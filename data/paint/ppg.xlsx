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thebellgroupairdrie-my.sharepoint.com/personal/j_bellamy_bellgroup_co_uk/Documents/Documents/Paint Prices/"/>
    </mc:Choice>
  </mc:AlternateContent>
  <xr:revisionPtr revIDLastSave="85" documentId="13_ncr:1_{7B8CBB6B-78EF-4EB6-8EFB-CFCD48E61390}" xr6:coauthVersionLast="47" xr6:coauthVersionMax="47" xr10:uidLastSave="{35D54D55-8C70-49C2-8A7B-2BF460874DE5}"/>
  <bookViews>
    <workbookView xWindow="-28920" yWindow="-90" windowWidth="29040" windowHeight="15720" xr2:uid="{43E76F07-29B0-44E8-A6E4-4ECB32CE42AF}"/>
  </bookViews>
  <sheets>
    <sheet name="Uploads " sheetId="1" r:id="rId1"/>
  </sheets>
  <externalReferences>
    <externalReference r:id="rId2"/>
    <externalReference r:id="rId3"/>
    <externalReference r:id="rId4"/>
    <externalReference r:id="rId5"/>
  </externalReferences>
  <definedNames>
    <definedName name="_xlnm._FilterDatabase" localSheetId="0" hidden="1">'Uploads '!$A$2:$W$2668</definedName>
    <definedName name="DATA1" localSheetId="0">#REF!</definedName>
    <definedName name="DATA1">#REF!</definedName>
    <definedName name="DATA10" localSheetId="0">[1]Sheet1!#REF!</definedName>
    <definedName name="DATA10">[2]Sheet1!#REF!</definedName>
    <definedName name="DATA11" localSheetId="0">[1]Sheet1!#REF!</definedName>
    <definedName name="DATA11">[2]Sheet1!#REF!</definedName>
    <definedName name="DATA12" localSheetId="0">#REF!</definedName>
    <definedName name="DATA12">#REF!</definedName>
    <definedName name="DATA13" localSheetId="0">#REF!</definedName>
    <definedName name="DATA13">#REF!</definedName>
    <definedName name="DATA14" localSheetId="0">[1]Sheet1!#REF!</definedName>
    <definedName name="DATA14">[2]Sheet1!#REF!</definedName>
    <definedName name="DATA2" localSheetId="0">#REF!</definedName>
    <definedName name="DATA2">#REF!</definedName>
    <definedName name="DATA3" localSheetId="0">[1]Sheet1!#REF!</definedName>
    <definedName name="DATA3">[2]Sheet1!#REF!</definedName>
    <definedName name="DATA4" localSheetId="0">[1]Sheet1!#REF!</definedName>
    <definedName name="DATA4">[2]Sheet1!#REF!</definedName>
    <definedName name="DATA5" localSheetId="0">[1]Sheet1!#REF!</definedName>
    <definedName name="DATA5">[2]Sheet1!#REF!</definedName>
    <definedName name="DATA6" localSheetId="0">[1]Sheet1!#REF!</definedName>
    <definedName name="DATA6">[2]Sheet1!#REF!</definedName>
    <definedName name="DATA7" localSheetId="0">[1]Sheet1!#REF!</definedName>
    <definedName name="DATA7">[2]Sheet1!#REF!</definedName>
    <definedName name="DATA8" localSheetId="0">[1]Sheet1!#REF!</definedName>
    <definedName name="DATA8">[2]Sheet1!#REF!</definedName>
    <definedName name="DATA9" localSheetId="0">[1]Sheet1!#REF!</definedName>
    <definedName name="DATA9">[2]Sheet1!#REF!</definedName>
    <definedName name="TEST1" localSheetId="0">#REF!</definedName>
    <definedName name="TEST1">#REF!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9" i="1" l="1"/>
  <c r="F2668" i="1" l="1"/>
  <c r="F2667" i="1"/>
  <c r="F2666" i="1"/>
  <c r="F2665" i="1"/>
  <c r="U73"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U2479" i="1"/>
  <c r="V2479" i="1" s="1"/>
  <c r="U2480" i="1"/>
  <c r="V2480" i="1" s="1"/>
  <c r="U2481" i="1"/>
  <c r="V2481" i="1" s="1"/>
  <c r="U2482" i="1"/>
  <c r="V2482" i="1" s="1"/>
  <c r="U2483" i="1"/>
  <c r="V2483" i="1" s="1"/>
  <c r="U2484" i="1"/>
  <c r="V2484" i="1" s="1"/>
  <c r="U2485" i="1"/>
  <c r="V2485" i="1" s="1"/>
  <c r="U2486" i="1"/>
  <c r="V2486" i="1" s="1"/>
  <c r="U2487" i="1"/>
  <c r="V2487" i="1" s="1"/>
  <c r="U2488" i="1"/>
  <c r="V2488" i="1" s="1"/>
  <c r="U2489" i="1"/>
  <c r="V2489" i="1" s="1"/>
  <c r="U2490" i="1"/>
  <c r="V2490" i="1" s="1"/>
  <c r="U2491" i="1"/>
  <c r="V2491" i="1" s="1"/>
  <c r="U2492" i="1"/>
  <c r="V2492" i="1" s="1"/>
  <c r="U2493" i="1"/>
  <c r="V2493" i="1" s="1"/>
  <c r="U2494" i="1"/>
  <c r="V2494" i="1" s="1"/>
  <c r="U2495" i="1"/>
  <c r="V2495" i="1" s="1"/>
  <c r="U2496" i="1"/>
  <c r="V2496" i="1" s="1"/>
  <c r="U2497" i="1"/>
  <c r="V2497" i="1" s="1"/>
  <c r="U2498" i="1"/>
  <c r="V2498" i="1" s="1"/>
  <c r="U2499" i="1"/>
  <c r="V2499" i="1" s="1"/>
  <c r="U2500" i="1"/>
  <c r="V2500" i="1" s="1"/>
  <c r="U2501" i="1"/>
  <c r="V2501" i="1" s="1"/>
  <c r="U2502" i="1"/>
  <c r="V2502" i="1" s="1"/>
  <c r="U2503" i="1"/>
  <c r="V2503" i="1" s="1"/>
  <c r="U2504" i="1"/>
  <c r="V2504" i="1" s="1"/>
  <c r="U2505" i="1"/>
  <c r="V2505" i="1" s="1"/>
  <c r="U2506" i="1"/>
  <c r="V2506" i="1" s="1"/>
  <c r="U2507" i="1"/>
  <c r="V2507" i="1" s="1"/>
  <c r="U2508" i="1"/>
  <c r="V2508" i="1" s="1"/>
  <c r="U2509" i="1"/>
  <c r="V2509" i="1" s="1"/>
  <c r="U2510" i="1"/>
  <c r="V2510" i="1" s="1"/>
  <c r="U2511" i="1"/>
  <c r="V2511" i="1" s="1"/>
  <c r="U2512" i="1"/>
  <c r="V2512" i="1" s="1"/>
  <c r="U2513" i="1"/>
  <c r="V2513" i="1" s="1"/>
  <c r="U2514" i="1"/>
  <c r="V2514" i="1" s="1"/>
  <c r="U2515" i="1"/>
  <c r="V2515" i="1" s="1"/>
  <c r="U2516" i="1"/>
  <c r="V2516" i="1" s="1"/>
  <c r="U2517" i="1"/>
  <c r="V2517" i="1" s="1"/>
  <c r="U2518" i="1"/>
  <c r="V2518" i="1" s="1"/>
  <c r="U2519" i="1"/>
  <c r="V2519" i="1" s="1"/>
  <c r="U2520" i="1"/>
  <c r="V2520" i="1" s="1"/>
  <c r="U2521" i="1"/>
  <c r="V2521" i="1" s="1"/>
  <c r="U2522" i="1"/>
  <c r="V2522" i="1" s="1"/>
  <c r="U2523" i="1"/>
  <c r="V2523" i="1" s="1"/>
  <c r="U2524" i="1"/>
  <c r="V2524" i="1" s="1"/>
  <c r="U2525" i="1"/>
  <c r="V2525" i="1" s="1"/>
  <c r="U2526" i="1"/>
  <c r="V2526" i="1" s="1"/>
  <c r="U2527" i="1"/>
  <c r="V2527" i="1" s="1"/>
  <c r="U2528" i="1"/>
  <c r="V2528" i="1" s="1"/>
  <c r="U2529" i="1"/>
  <c r="V2529" i="1" s="1"/>
  <c r="U2530" i="1"/>
  <c r="V2530" i="1" s="1"/>
  <c r="U2531" i="1"/>
  <c r="V2531" i="1" s="1"/>
  <c r="U2532" i="1"/>
  <c r="V2532" i="1" s="1"/>
  <c r="U2533" i="1"/>
  <c r="V2533" i="1" s="1"/>
  <c r="U2534" i="1"/>
  <c r="V2534" i="1" s="1"/>
  <c r="U2535" i="1"/>
  <c r="V2535" i="1" s="1"/>
  <c r="U2536" i="1"/>
  <c r="V2536" i="1" s="1"/>
  <c r="U2537" i="1"/>
  <c r="V2537" i="1" s="1"/>
  <c r="U2538" i="1"/>
  <c r="V2538" i="1" s="1"/>
  <c r="U2539" i="1"/>
  <c r="V2539" i="1" s="1"/>
  <c r="U2540" i="1"/>
  <c r="V2540" i="1" s="1"/>
  <c r="U2541" i="1"/>
  <c r="V2541" i="1" s="1"/>
  <c r="U2542" i="1"/>
  <c r="V2542" i="1" s="1"/>
  <c r="U2543" i="1"/>
  <c r="V2543" i="1" s="1"/>
  <c r="U2544" i="1"/>
  <c r="V2544" i="1" s="1"/>
  <c r="U2545" i="1"/>
  <c r="V2545" i="1" s="1"/>
  <c r="U2546" i="1"/>
  <c r="V2546" i="1" s="1"/>
  <c r="U2547" i="1"/>
  <c r="V2547" i="1" s="1"/>
  <c r="U2548" i="1"/>
  <c r="V2548" i="1" s="1"/>
  <c r="U2549" i="1"/>
  <c r="V2549" i="1" s="1"/>
  <c r="U2550" i="1"/>
  <c r="V2550" i="1" s="1"/>
  <c r="U2551" i="1"/>
  <c r="V2551" i="1" s="1"/>
  <c r="U2552" i="1"/>
  <c r="V2552" i="1" s="1"/>
  <c r="U2553" i="1"/>
  <c r="V2553" i="1" s="1"/>
  <c r="U2554" i="1"/>
  <c r="V2554" i="1" s="1"/>
  <c r="U2555" i="1"/>
  <c r="V2555" i="1" s="1"/>
  <c r="U2556" i="1"/>
  <c r="V2556" i="1" s="1"/>
  <c r="U2557" i="1"/>
  <c r="V2557" i="1" s="1"/>
  <c r="U2558" i="1"/>
  <c r="V2558" i="1" s="1"/>
  <c r="U2559" i="1"/>
  <c r="V2559" i="1" s="1"/>
  <c r="U2560" i="1"/>
  <c r="V2560" i="1" s="1"/>
  <c r="U2561" i="1"/>
  <c r="V2561" i="1" s="1"/>
  <c r="U2562" i="1"/>
  <c r="V2562" i="1" s="1"/>
  <c r="U2563" i="1"/>
  <c r="V2563" i="1" s="1"/>
  <c r="U2564" i="1"/>
  <c r="V2564" i="1" s="1"/>
  <c r="U2565" i="1"/>
  <c r="V2565" i="1" s="1"/>
  <c r="U2566" i="1"/>
  <c r="V2566" i="1" s="1"/>
  <c r="U2567" i="1"/>
  <c r="V2567" i="1" s="1"/>
  <c r="U2568" i="1"/>
  <c r="V2568" i="1" s="1"/>
  <c r="U2569" i="1"/>
  <c r="V2569" i="1" s="1"/>
  <c r="U2570" i="1"/>
  <c r="V2570" i="1" s="1"/>
  <c r="U2571" i="1"/>
  <c r="V2571" i="1" s="1"/>
  <c r="U2572" i="1"/>
  <c r="V2572" i="1" s="1"/>
  <c r="U2573" i="1"/>
  <c r="V2573" i="1" s="1"/>
  <c r="U2574" i="1"/>
  <c r="V2574" i="1" s="1"/>
  <c r="U2575" i="1"/>
  <c r="V2575" i="1" s="1"/>
  <c r="U2576" i="1"/>
  <c r="V2576" i="1" s="1"/>
  <c r="U2577" i="1"/>
  <c r="V2577" i="1" s="1"/>
  <c r="U2578" i="1"/>
  <c r="V2578" i="1" s="1"/>
  <c r="U2579" i="1"/>
  <c r="V2579" i="1" s="1"/>
  <c r="U2580" i="1"/>
  <c r="V2580" i="1" s="1"/>
  <c r="U2581" i="1"/>
  <c r="V2581" i="1" s="1"/>
  <c r="U2582" i="1"/>
  <c r="V2582" i="1" s="1"/>
  <c r="U2583" i="1"/>
  <c r="V2583" i="1" s="1"/>
  <c r="U2584" i="1"/>
  <c r="V2584" i="1" s="1"/>
  <c r="U2585" i="1"/>
  <c r="V2585" i="1" s="1"/>
  <c r="U2586" i="1"/>
  <c r="V2586" i="1" s="1"/>
  <c r="U2587" i="1"/>
  <c r="V2587" i="1" s="1"/>
  <c r="U2588" i="1"/>
  <c r="V2588" i="1" s="1"/>
  <c r="U2589" i="1"/>
  <c r="V2589" i="1" s="1"/>
  <c r="U2590" i="1"/>
  <c r="V2590" i="1" s="1"/>
  <c r="U2591" i="1"/>
  <c r="V2591" i="1" s="1"/>
  <c r="U2592" i="1"/>
  <c r="V2592" i="1" s="1"/>
  <c r="U2593" i="1"/>
  <c r="V2593" i="1" s="1"/>
  <c r="U2594" i="1"/>
  <c r="V2594" i="1" s="1"/>
  <c r="U2595" i="1"/>
  <c r="V2595" i="1" s="1"/>
  <c r="U2596" i="1"/>
  <c r="V2596" i="1" s="1"/>
  <c r="U2597" i="1"/>
  <c r="V2597" i="1" s="1"/>
  <c r="U2598" i="1"/>
  <c r="V2598" i="1" s="1"/>
  <c r="U2599" i="1"/>
  <c r="V2599" i="1" s="1"/>
  <c r="U2600" i="1"/>
  <c r="V2600" i="1" s="1"/>
  <c r="U2601" i="1"/>
  <c r="V2601" i="1" s="1"/>
  <c r="U2602" i="1"/>
  <c r="V2602" i="1" s="1"/>
  <c r="U2603" i="1"/>
  <c r="V2603" i="1" s="1"/>
  <c r="U2604" i="1"/>
  <c r="V2604" i="1" s="1"/>
  <c r="U2605" i="1"/>
  <c r="V2605" i="1" s="1"/>
  <c r="U2606" i="1"/>
  <c r="V2606" i="1" s="1"/>
  <c r="U2607" i="1"/>
  <c r="V2607" i="1" s="1"/>
  <c r="U2608" i="1"/>
  <c r="V2608" i="1" s="1"/>
  <c r="U2609" i="1"/>
  <c r="V2609" i="1" s="1"/>
  <c r="U2610" i="1"/>
  <c r="V2610" i="1" s="1"/>
  <c r="U2611" i="1"/>
  <c r="V2611" i="1" s="1"/>
  <c r="U2612" i="1"/>
  <c r="V2612" i="1" s="1"/>
  <c r="U2613" i="1"/>
  <c r="V2613" i="1" s="1"/>
  <c r="U2614" i="1"/>
  <c r="V2614" i="1" s="1"/>
  <c r="U2615" i="1"/>
  <c r="V2615" i="1" s="1"/>
  <c r="U2616" i="1"/>
  <c r="V2616" i="1" s="1"/>
  <c r="U2617" i="1"/>
  <c r="V2617" i="1" s="1"/>
  <c r="U2618" i="1"/>
  <c r="V2618" i="1" s="1"/>
  <c r="U2619" i="1"/>
  <c r="V2619" i="1" s="1"/>
  <c r="U2620" i="1"/>
  <c r="V2620" i="1" s="1"/>
  <c r="U2621" i="1"/>
  <c r="V2621" i="1" s="1"/>
  <c r="U2622" i="1"/>
  <c r="V2622" i="1" s="1"/>
  <c r="U2623" i="1"/>
  <c r="V2623" i="1" s="1"/>
  <c r="U2624" i="1"/>
  <c r="V2624" i="1" s="1"/>
  <c r="U2625" i="1"/>
  <c r="V2625" i="1" s="1"/>
  <c r="U2626" i="1"/>
  <c r="V2626" i="1" s="1"/>
  <c r="U2627" i="1"/>
  <c r="V2627" i="1" s="1"/>
  <c r="U2628" i="1"/>
  <c r="V2628" i="1" s="1"/>
  <c r="U2629" i="1"/>
  <c r="V2629" i="1" s="1"/>
  <c r="U2630" i="1"/>
  <c r="V2630" i="1" s="1"/>
  <c r="U2631" i="1"/>
  <c r="V2631" i="1" s="1"/>
  <c r="U2632" i="1"/>
  <c r="V2632" i="1" s="1"/>
  <c r="U2633" i="1"/>
  <c r="V2633" i="1" s="1"/>
  <c r="U2634" i="1"/>
  <c r="V2634" i="1" s="1"/>
  <c r="U2635" i="1"/>
  <c r="V2635" i="1" s="1"/>
  <c r="U2636" i="1"/>
  <c r="V2636" i="1" s="1"/>
  <c r="U2637" i="1"/>
  <c r="V2637" i="1" s="1"/>
  <c r="U2638" i="1"/>
  <c r="V2638" i="1" s="1"/>
  <c r="U2639" i="1"/>
  <c r="V2639" i="1" s="1"/>
  <c r="U2640" i="1"/>
  <c r="V2640" i="1" s="1"/>
  <c r="U2641" i="1"/>
  <c r="V2641" i="1" s="1"/>
  <c r="U2642" i="1"/>
  <c r="V2642" i="1" s="1"/>
  <c r="U2643" i="1"/>
  <c r="V2643" i="1" s="1"/>
  <c r="U2644" i="1"/>
  <c r="V2644" i="1" s="1"/>
  <c r="U2645" i="1"/>
  <c r="V2645" i="1" s="1"/>
  <c r="U2646" i="1"/>
  <c r="V2646" i="1" s="1"/>
  <c r="U2647" i="1"/>
  <c r="V2647" i="1" s="1"/>
  <c r="U2648" i="1"/>
  <c r="V2648" i="1" s="1"/>
  <c r="U2649" i="1"/>
  <c r="V2649" i="1" s="1"/>
  <c r="U2650" i="1"/>
  <c r="V2650" i="1" s="1"/>
  <c r="U2651" i="1"/>
  <c r="V2651" i="1" s="1"/>
  <c r="U2652" i="1"/>
  <c r="V2652" i="1" s="1"/>
  <c r="U2653" i="1"/>
  <c r="V2653" i="1" s="1"/>
  <c r="U2654" i="1"/>
  <c r="V2654" i="1" s="1"/>
  <c r="U2655" i="1"/>
  <c r="V2655" i="1" s="1"/>
  <c r="U2656" i="1"/>
  <c r="V2656" i="1" s="1"/>
  <c r="U2657" i="1"/>
  <c r="V2657" i="1" s="1"/>
  <c r="U2658" i="1"/>
  <c r="V2658" i="1" s="1"/>
  <c r="U2659" i="1"/>
  <c r="V2659" i="1" s="1"/>
  <c r="U2660" i="1"/>
  <c r="V2660" i="1" s="1"/>
  <c r="U2661" i="1"/>
  <c r="V2661" i="1" s="1"/>
  <c r="U2662" i="1"/>
  <c r="V2662" i="1" s="1"/>
  <c r="U2663" i="1"/>
  <c r="V2663" i="1" s="1"/>
  <c r="U2664" i="1"/>
  <c r="V2664" i="1" s="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3" i="1"/>
  <c r="W2494" i="1" l="1"/>
  <c r="W2482" i="1"/>
  <c r="W2481" i="1"/>
  <c r="W2491" i="1"/>
  <c r="W2479" i="1"/>
  <c r="W2658" i="1"/>
  <c r="W2646" i="1"/>
  <c r="W2634" i="1"/>
  <c r="W2622" i="1"/>
  <c r="W2610" i="1"/>
  <c r="W2598" i="1"/>
  <c r="W2586" i="1"/>
  <c r="W2574" i="1"/>
  <c r="W2562" i="1"/>
  <c r="W2550" i="1"/>
  <c r="W2538" i="1"/>
  <c r="W2526" i="1"/>
  <c r="W2514" i="1"/>
  <c r="W2502" i="1"/>
  <c r="W2490" i="1"/>
  <c r="W2655" i="1"/>
  <c r="W2643" i="1"/>
  <c r="W2631" i="1"/>
  <c r="W2619" i="1"/>
  <c r="W2607" i="1"/>
  <c r="W2595" i="1"/>
  <c r="W2583" i="1"/>
  <c r="W2571" i="1"/>
  <c r="W2559" i="1"/>
  <c r="W2547" i="1"/>
  <c r="W2535" i="1"/>
  <c r="W2523" i="1"/>
  <c r="W2511" i="1"/>
  <c r="W2499" i="1"/>
  <c r="W2487" i="1"/>
  <c r="W2654" i="1"/>
  <c r="W2642" i="1"/>
  <c r="W2630" i="1"/>
  <c r="W2618" i="1"/>
  <c r="W2606" i="1"/>
  <c r="W2594" i="1"/>
  <c r="W2582" i="1"/>
  <c r="W2570" i="1"/>
  <c r="W2558" i="1"/>
  <c r="W2546" i="1"/>
  <c r="W2534" i="1"/>
  <c r="W2522" i="1"/>
  <c r="W2510" i="1"/>
  <c r="W2498" i="1"/>
  <c r="W2486" i="1"/>
  <c r="W2653" i="1"/>
  <c r="W2641" i="1"/>
  <c r="W2629" i="1"/>
  <c r="W2617" i="1"/>
  <c r="W2605" i="1"/>
  <c r="W2593" i="1"/>
  <c r="W2581" i="1"/>
  <c r="W2569" i="1"/>
  <c r="W2557" i="1"/>
  <c r="W2545" i="1"/>
  <c r="W2533" i="1"/>
  <c r="W2521" i="1"/>
  <c r="W2509" i="1"/>
  <c r="W2497" i="1"/>
  <c r="W2485" i="1"/>
  <c r="W2664" i="1"/>
  <c r="W2652" i="1"/>
  <c r="W2640" i="1"/>
  <c r="W2628" i="1"/>
  <c r="W2616" i="1"/>
  <c r="W2604" i="1"/>
  <c r="W2592" i="1"/>
  <c r="W2580" i="1"/>
  <c r="W2568" i="1"/>
  <c r="W2556" i="1"/>
  <c r="W2544" i="1"/>
  <c r="W2532" i="1"/>
  <c r="W2520" i="1"/>
  <c r="W2508" i="1"/>
  <c r="W2496" i="1"/>
  <c r="W2484" i="1"/>
  <c r="W2663" i="1"/>
  <c r="W2651" i="1"/>
  <c r="W2639" i="1"/>
  <c r="W2627" i="1"/>
  <c r="W2615" i="1"/>
  <c r="W2603" i="1"/>
  <c r="W2591" i="1"/>
  <c r="W2579" i="1"/>
  <c r="W2567" i="1"/>
  <c r="W2555" i="1"/>
  <c r="W2543" i="1"/>
  <c r="W2531" i="1"/>
  <c r="W2519" i="1"/>
  <c r="W2507" i="1"/>
  <c r="W2495" i="1"/>
  <c r="W2483" i="1"/>
  <c r="W2662" i="1"/>
  <c r="W2650" i="1"/>
  <c r="W2638" i="1"/>
  <c r="W2626" i="1"/>
  <c r="W2614" i="1"/>
  <c r="W2602" i="1"/>
  <c r="W2590" i="1"/>
  <c r="W2578" i="1"/>
  <c r="W2566" i="1"/>
  <c r="W2554" i="1"/>
  <c r="W2542" i="1"/>
  <c r="W2530" i="1"/>
  <c r="W2518" i="1"/>
  <c r="W2506" i="1"/>
  <c r="W2661" i="1"/>
  <c r="W2649" i="1"/>
  <c r="W2637" i="1"/>
  <c r="W2625" i="1"/>
  <c r="W2613" i="1"/>
  <c r="W2601" i="1"/>
  <c r="W2589" i="1"/>
  <c r="W2577" i="1"/>
  <c r="W2565" i="1"/>
  <c r="W2553" i="1"/>
  <c r="W2541" i="1"/>
  <c r="W2529" i="1"/>
  <c r="W2517" i="1"/>
  <c r="W2505" i="1"/>
  <c r="W2493" i="1"/>
  <c r="W2660" i="1"/>
  <c r="W2648" i="1"/>
  <c r="W2636" i="1"/>
  <c r="W2624" i="1"/>
  <c r="W2612" i="1"/>
  <c r="W2600" i="1"/>
  <c r="W2588" i="1"/>
  <c r="W2576" i="1"/>
  <c r="W2564" i="1"/>
  <c r="W2552" i="1"/>
  <c r="W2540" i="1"/>
  <c r="W2528" i="1"/>
  <c r="W2516" i="1"/>
  <c r="W2504" i="1"/>
  <c r="W2492" i="1"/>
  <c r="W2480" i="1"/>
  <c r="W2659" i="1"/>
  <c r="W2647" i="1"/>
  <c r="W2635" i="1"/>
  <c r="W2623" i="1"/>
  <c r="W2611" i="1"/>
  <c r="W2599" i="1"/>
  <c r="W2587" i="1"/>
  <c r="W2575" i="1"/>
  <c r="W2563" i="1"/>
  <c r="W2551" i="1"/>
  <c r="W2539" i="1"/>
  <c r="W2527" i="1"/>
  <c r="W2515" i="1"/>
  <c r="W2503" i="1"/>
  <c r="W2657" i="1"/>
  <c r="W2645" i="1"/>
  <c r="W2633" i="1"/>
  <c r="W2621" i="1"/>
  <c r="W2609" i="1"/>
  <c r="W2597" i="1"/>
  <c r="W2585" i="1"/>
  <c r="W2573" i="1"/>
  <c r="W2561" i="1"/>
  <c r="W2549" i="1"/>
  <c r="W2537" i="1"/>
  <c r="W2525" i="1"/>
  <c r="W2513" i="1"/>
  <c r="W2501" i="1"/>
  <c r="W2489" i="1"/>
  <c r="W2656" i="1"/>
  <c r="W2644" i="1"/>
  <c r="W2632" i="1"/>
  <c r="W2620" i="1"/>
  <c r="W2608" i="1"/>
  <c r="W2596" i="1"/>
  <c r="W2584" i="1"/>
  <c r="W2572" i="1"/>
  <c r="W2560" i="1"/>
  <c r="W2548" i="1"/>
  <c r="W2536" i="1"/>
  <c r="W2524" i="1"/>
  <c r="W2512" i="1"/>
  <c r="W2500" i="1"/>
  <c r="W2488"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3"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18" i="1"/>
  <c r="F2617" i="1" l="1"/>
  <c r="F2599" i="1" l="1"/>
  <c r="F2600" i="1"/>
  <c r="F2601" i="1"/>
  <c r="F2602" i="1"/>
  <c r="F2603" i="1"/>
  <c r="F2604" i="1"/>
  <c r="F2605" i="1"/>
  <c r="F2606" i="1"/>
  <c r="F2607" i="1"/>
  <c r="F2608" i="1"/>
  <c r="F2609" i="1"/>
  <c r="F2610" i="1"/>
  <c r="F2611" i="1"/>
  <c r="F2612" i="1"/>
  <c r="F2613" i="1"/>
  <c r="F2614" i="1"/>
  <c r="F2615" i="1"/>
  <c r="F2616" i="1"/>
  <c r="F2500" i="1" l="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492" i="1"/>
  <c r="F2493" i="1"/>
  <c r="F2494" i="1"/>
  <c r="F2495" i="1"/>
  <c r="F2496" i="1"/>
  <c r="F2497" i="1"/>
  <c r="F2498" i="1"/>
  <c r="F2499" i="1"/>
  <c r="F2490" i="1"/>
  <c r="F2491" i="1"/>
  <c r="F2488" i="1"/>
  <c r="F2489" i="1"/>
  <c r="F2485" i="1"/>
  <c r="F2486" i="1"/>
  <c r="F2487" i="1"/>
  <c r="F2484" i="1"/>
  <c r="F2483" i="1"/>
  <c r="F2482" i="1"/>
  <c r="F2481" i="1"/>
  <c r="F2480" i="1"/>
  <c r="F2479" i="1"/>
  <c r="P2478" i="1"/>
  <c r="L2478" i="1"/>
  <c r="F2478" i="1"/>
  <c r="P2477" i="1"/>
  <c r="L2477" i="1"/>
  <c r="F2477" i="1"/>
  <c r="P2476" i="1"/>
  <c r="L2476" i="1"/>
  <c r="F2476" i="1"/>
  <c r="P2475" i="1"/>
  <c r="L2475" i="1"/>
  <c r="F2475" i="1"/>
  <c r="P2474" i="1"/>
  <c r="L2474" i="1"/>
  <c r="F2474" i="1"/>
  <c r="P2473" i="1"/>
  <c r="L2473" i="1"/>
  <c r="F2473" i="1"/>
  <c r="P2472" i="1"/>
  <c r="L2472" i="1"/>
  <c r="F2472" i="1"/>
  <c r="P2471" i="1"/>
  <c r="L2471" i="1"/>
  <c r="F2471" i="1"/>
  <c r="P2470" i="1"/>
  <c r="L2470" i="1"/>
  <c r="F2470" i="1"/>
  <c r="P2469" i="1"/>
  <c r="L2469" i="1"/>
  <c r="F2469" i="1"/>
  <c r="P2468" i="1"/>
  <c r="L2468" i="1"/>
  <c r="F2468" i="1"/>
  <c r="P2467" i="1"/>
  <c r="L2467" i="1"/>
  <c r="F2467" i="1"/>
  <c r="P2466" i="1"/>
  <c r="L2466" i="1"/>
  <c r="F2466" i="1"/>
  <c r="P2465" i="1"/>
  <c r="L2465" i="1"/>
  <c r="F2465" i="1"/>
  <c r="P2464" i="1"/>
  <c r="L2464" i="1"/>
  <c r="F2464" i="1"/>
  <c r="P2463" i="1"/>
  <c r="L2463" i="1"/>
  <c r="F2463" i="1"/>
  <c r="P2462" i="1"/>
  <c r="L2462" i="1"/>
  <c r="F2462" i="1"/>
  <c r="P2461" i="1"/>
  <c r="L2461" i="1"/>
  <c r="F2461" i="1"/>
  <c r="P2460" i="1"/>
  <c r="L2460" i="1"/>
  <c r="F2460" i="1"/>
  <c r="P2459" i="1"/>
  <c r="L2459" i="1"/>
  <c r="F2459" i="1"/>
  <c r="P2458" i="1"/>
  <c r="L2458" i="1"/>
  <c r="F2458" i="1"/>
  <c r="P2457" i="1"/>
  <c r="L2457" i="1"/>
  <c r="F2457" i="1"/>
  <c r="P2456" i="1"/>
  <c r="L2456" i="1"/>
  <c r="F2456" i="1"/>
  <c r="P2455" i="1"/>
  <c r="L2455" i="1"/>
  <c r="F2455" i="1"/>
  <c r="P2454" i="1"/>
  <c r="L2454" i="1"/>
  <c r="F2454" i="1"/>
  <c r="P2453" i="1"/>
  <c r="L2453" i="1"/>
  <c r="F2453" i="1"/>
  <c r="P2452" i="1"/>
  <c r="L2452" i="1"/>
  <c r="F2452" i="1"/>
  <c r="P2451" i="1"/>
  <c r="L2451" i="1"/>
  <c r="F2451" i="1"/>
  <c r="P2450" i="1"/>
  <c r="L2450" i="1"/>
  <c r="F2450" i="1"/>
  <c r="P2449" i="1"/>
  <c r="L2449" i="1"/>
  <c r="F2449" i="1"/>
  <c r="P2448" i="1"/>
  <c r="L2448" i="1"/>
  <c r="F2448" i="1"/>
  <c r="P2447" i="1"/>
  <c r="L2447" i="1"/>
  <c r="F2447" i="1"/>
  <c r="P2446" i="1"/>
  <c r="L2446" i="1"/>
  <c r="F2446" i="1"/>
  <c r="P2445" i="1"/>
  <c r="L2445" i="1"/>
  <c r="F2445" i="1"/>
  <c r="P2444" i="1"/>
  <c r="L2444" i="1"/>
  <c r="F2444" i="1"/>
  <c r="P2443" i="1"/>
  <c r="L2443" i="1"/>
  <c r="F2443" i="1"/>
  <c r="P2442" i="1"/>
  <c r="L2442" i="1"/>
  <c r="F2442" i="1"/>
  <c r="P2441" i="1"/>
  <c r="L2441" i="1"/>
  <c r="F2441" i="1"/>
  <c r="P2440" i="1"/>
  <c r="L2440" i="1"/>
  <c r="F2440" i="1"/>
  <c r="P2439" i="1"/>
  <c r="L2439" i="1"/>
  <c r="F2439" i="1"/>
  <c r="P2438" i="1"/>
  <c r="L2438" i="1"/>
  <c r="F2438" i="1"/>
  <c r="P2437" i="1"/>
  <c r="L2437" i="1"/>
  <c r="F2437" i="1"/>
  <c r="P2436" i="1"/>
  <c r="L2436" i="1"/>
  <c r="F2436" i="1"/>
  <c r="P2435" i="1"/>
  <c r="L2435" i="1"/>
  <c r="F2435" i="1"/>
  <c r="P2434" i="1"/>
  <c r="L2434" i="1"/>
  <c r="F2434" i="1"/>
  <c r="P2433" i="1"/>
  <c r="L2433" i="1"/>
  <c r="F2433" i="1"/>
  <c r="P2432" i="1"/>
  <c r="L2432" i="1"/>
  <c r="F2432" i="1"/>
  <c r="P2431" i="1"/>
  <c r="L2431" i="1"/>
  <c r="F2431" i="1"/>
  <c r="P2430" i="1"/>
  <c r="L2430" i="1"/>
  <c r="F2430" i="1"/>
  <c r="P2429" i="1"/>
  <c r="L2429" i="1"/>
  <c r="F2429" i="1"/>
  <c r="P2428" i="1"/>
  <c r="L2428" i="1"/>
  <c r="F2428" i="1"/>
  <c r="P2427" i="1"/>
  <c r="L2427" i="1"/>
  <c r="F2427" i="1"/>
  <c r="P2426" i="1"/>
  <c r="L2426" i="1"/>
  <c r="F2426" i="1"/>
  <c r="P2425" i="1"/>
  <c r="L2425" i="1"/>
  <c r="F2425" i="1"/>
  <c r="P2424" i="1"/>
  <c r="L2424" i="1"/>
  <c r="F2424" i="1"/>
  <c r="P2423" i="1"/>
  <c r="L2423" i="1"/>
  <c r="F2423" i="1"/>
  <c r="P2422" i="1"/>
  <c r="L2422" i="1"/>
  <c r="F2422" i="1"/>
  <c r="P2421" i="1"/>
  <c r="L2421" i="1"/>
  <c r="F2421" i="1"/>
  <c r="P2420" i="1"/>
  <c r="L2420" i="1"/>
  <c r="F2420" i="1"/>
  <c r="P2419" i="1"/>
  <c r="L2419" i="1"/>
  <c r="F2419" i="1"/>
  <c r="P2418" i="1"/>
  <c r="L2418" i="1"/>
  <c r="F2418" i="1"/>
  <c r="P2417" i="1"/>
  <c r="L2417" i="1"/>
  <c r="F2417" i="1"/>
  <c r="P2416" i="1"/>
  <c r="L2416" i="1"/>
  <c r="F2416" i="1"/>
  <c r="P2415" i="1"/>
  <c r="L2415" i="1"/>
  <c r="F2415" i="1"/>
  <c r="P2414" i="1"/>
  <c r="L2414" i="1"/>
  <c r="F2414" i="1"/>
  <c r="P2413" i="1"/>
  <c r="L2413" i="1"/>
  <c r="F2413" i="1"/>
  <c r="P2412" i="1"/>
  <c r="L2412" i="1"/>
  <c r="F2412" i="1"/>
  <c r="P2411" i="1"/>
  <c r="L2411" i="1"/>
  <c r="F2411" i="1"/>
  <c r="P2410" i="1"/>
  <c r="L2410" i="1"/>
  <c r="F2410" i="1"/>
  <c r="P2409" i="1"/>
  <c r="L2409" i="1"/>
  <c r="F2409" i="1"/>
  <c r="P2408" i="1"/>
  <c r="L2408" i="1"/>
  <c r="F2408" i="1"/>
  <c r="P2407" i="1"/>
  <c r="L2407" i="1"/>
  <c r="F2407" i="1"/>
  <c r="P2406" i="1"/>
  <c r="L2406" i="1"/>
  <c r="F2406" i="1"/>
  <c r="P2405" i="1"/>
  <c r="L2405" i="1"/>
  <c r="F2405" i="1"/>
  <c r="P2404" i="1"/>
  <c r="L2404" i="1"/>
  <c r="F2404" i="1"/>
  <c r="P2403" i="1"/>
  <c r="L2403" i="1"/>
  <c r="F2403" i="1"/>
  <c r="P2402" i="1"/>
  <c r="L2402" i="1"/>
  <c r="F2402" i="1"/>
  <c r="P2401" i="1"/>
  <c r="L2401" i="1"/>
  <c r="F2401" i="1"/>
  <c r="P2400" i="1"/>
  <c r="L2400" i="1"/>
  <c r="F2400" i="1"/>
  <c r="P2399" i="1"/>
  <c r="L2399" i="1"/>
  <c r="F2399" i="1"/>
  <c r="P2398" i="1"/>
  <c r="L2398" i="1"/>
  <c r="F2398" i="1"/>
  <c r="P2397" i="1"/>
  <c r="L2397" i="1"/>
  <c r="F2397" i="1"/>
  <c r="P2396" i="1"/>
  <c r="L2396" i="1"/>
  <c r="F2396" i="1"/>
  <c r="P2395" i="1"/>
  <c r="L2395" i="1"/>
  <c r="F2395" i="1"/>
  <c r="P2394" i="1"/>
  <c r="L2394" i="1"/>
  <c r="F2394" i="1"/>
  <c r="P2393" i="1"/>
  <c r="L2393" i="1"/>
  <c r="F2393" i="1"/>
  <c r="P2392" i="1"/>
  <c r="L2392" i="1"/>
  <c r="F2392" i="1"/>
  <c r="P2391" i="1"/>
  <c r="L2391" i="1"/>
  <c r="F2391" i="1"/>
  <c r="P2390" i="1"/>
  <c r="L2390" i="1"/>
  <c r="F2390" i="1"/>
  <c r="P2389" i="1"/>
  <c r="L2389" i="1"/>
  <c r="F2389" i="1"/>
  <c r="P2388" i="1"/>
  <c r="L2388" i="1"/>
  <c r="F2388" i="1"/>
  <c r="P2387" i="1"/>
  <c r="L2387" i="1"/>
  <c r="F2387" i="1"/>
  <c r="P2386" i="1"/>
  <c r="L2386" i="1"/>
  <c r="F2386" i="1"/>
  <c r="P2385" i="1"/>
  <c r="L2385" i="1"/>
  <c r="F2385" i="1"/>
  <c r="P2384" i="1"/>
  <c r="L2384" i="1"/>
  <c r="F2384" i="1"/>
  <c r="P2383" i="1"/>
  <c r="L2383" i="1"/>
  <c r="F2383" i="1"/>
  <c r="P2382" i="1"/>
  <c r="L2382" i="1"/>
  <c r="F2382" i="1"/>
  <c r="P2381" i="1"/>
  <c r="L2381" i="1"/>
  <c r="F2381" i="1"/>
  <c r="P2380" i="1"/>
  <c r="L2380" i="1"/>
  <c r="F2380" i="1"/>
  <c r="P2379" i="1"/>
  <c r="L2379" i="1"/>
  <c r="F2379" i="1"/>
  <c r="P2378" i="1"/>
  <c r="L2378" i="1"/>
  <c r="F2378" i="1"/>
  <c r="P2377" i="1"/>
  <c r="L2377" i="1"/>
  <c r="F2377" i="1"/>
  <c r="P2376" i="1"/>
  <c r="L2376" i="1"/>
  <c r="F2376" i="1"/>
  <c r="P2375" i="1"/>
  <c r="L2375" i="1"/>
  <c r="F2375" i="1"/>
  <c r="P2374" i="1"/>
  <c r="L2374" i="1"/>
  <c r="F2374" i="1"/>
  <c r="P2373" i="1"/>
  <c r="L2373" i="1"/>
  <c r="F2373" i="1"/>
  <c r="P2372" i="1"/>
  <c r="L2372" i="1"/>
  <c r="F2372" i="1"/>
  <c r="P2371" i="1"/>
  <c r="L2371" i="1"/>
  <c r="F2371" i="1"/>
  <c r="P2370" i="1"/>
  <c r="L2370" i="1"/>
  <c r="F2370" i="1"/>
  <c r="P2369" i="1"/>
  <c r="L2369" i="1"/>
  <c r="F2369" i="1"/>
  <c r="P2368" i="1"/>
  <c r="L2368" i="1"/>
  <c r="F2368" i="1"/>
  <c r="P2367" i="1"/>
  <c r="L2367" i="1"/>
  <c r="F2367" i="1"/>
  <c r="P2366" i="1"/>
  <c r="L2366" i="1"/>
  <c r="F2366" i="1"/>
  <c r="P2365" i="1"/>
  <c r="L2365" i="1"/>
  <c r="F2365" i="1"/>
  <c r="P2364" i="1"/>
  <c r="L2364" i="1"/>
  <c r="F2364" i="1"/>
  <c r="P2363" i="1"/>
  <c r="L2363" i="1"/>
  <c r="F2363" i="1"/>
  <c r="P2362" i="1"/>
  <c r="L2362" i="1"/>
  <c r="F2362" i="1"/>
  <c r="P2361" i="1"/>
  <c r="L2361" i="1"/>
  <c r="F2361" i="1"/>
  <c r="P2360" i="1"/>
  <c r="L2360" i="1"/>
  <c r="F2360" i="1"/>
  <c r="P2359" i="1"/>
  <c r="L2359" i="1"/>
  <c r="F2359" i="1"/>
  <c r="P2358" i="1"/>
  <c r="L2358" i="1"/>
  <c r="F2358" i="1"/>
  <c r="P2357" i="1"/>
  <c r="L2357" i="1"/>
  <c r="F2357" i="1"/>
  <c r="P2356" i="1"/>
  <c r="L2356" i="1"/>
  <c r="F2356" i="1"/>
  <c r="P2355" i="1"/>
  <c r="L2355" i="1"/>
  <c r="F2355" i="1"/>
  <c r="P2354" i="1"/>
  <c r="L2354" i="1"/>
  <c r="F2354" i="1"/>
  <c r="P2353" i="1"/>
  <c r="L2353" i="1"/>
  <c r="F2353" i="1"/>
  <c r="P2352" i="1"/>
  <c r="L2352" i="1"/>
  <c r="F2352" i="1"/>
  <c r="P2351" i="1"/>
  <c r="L2351" i="1"/>
  <c r="F2351" i="1"/>
  <c r="P2350" i="1"/>
  <c r="L2350" i="1"/>
  <c r="F2350" i="1"/>
  <c r="P2349" i="1"/>
  <c r="L2349" i="1"/>
  <c r="F2349" i="1"/>
  <c r="P2348" i="1"/>
  <c r="L2348" i="1"/>
  <c r="F2348" i="1"/>
  <c r="P2347" i="1"/>
  <c r="L2347" i="1"/>
  <c r="F2347" i="1"/>
  <c r="P2346" i="1"/>
  <c r="L2346" i="1"/>
  <c r="F2346" i="1"/>
  <c r="P2345" i="1"/>
  <c r="L2345" i="1"/>
  <c r="F2345" i="1"/>
  <c r="P2344" i="1"/>
  <c r="L2344" i="1"/>
  <c r="F2344" i="1"/>
  <c r="P2343" i="1"/>
  <c r="L2343" i="1"/>
  <c r="F2343" i="1"/>
  <c r="P2342" i="1"/>
  <c r="L2342" i="1"/>
  <c r="F2342" i="1"/>
  <c r="P2341" i="1"/>
  <c r="L2341" i="1"/>
  <c r="F2341" i="1"/>
  <c r="P2340" i="1"/>
  <c r="L2340" i="1"/>
  <c r="F2340" i="1"/>
  <c r="P2339" i="1"/>
  <c r="L2339" i="1"/>
  <c r="F2339" i="1"/>
  <c r="P2338" i="1"/>
  <c r="L2338" i="1"/>
  <c r="F2338" i="1"/>
  <c r="P2337" i="1"/>
  <c r="L2337" i="1"/>
  <c r="F2337" i="1"/>
  <c r="P2336" i="1"/>
  <c r="L2336" i="1"/>
  <c r="F2336" i="1"/>
  <c r="P2335" i="1"/>
  <c r="L2335" i="1"/>
  <c r="F2335" i="1"/>
  <c r="P2334" i="1"/>
  <c r="L2334" i="1"/>
  <c r="F2334" i="1"/>
  <c r="P2333" i="1"/>
  <c r="L2333" i="1"/>
  <c r="F2333" i="1"/>
  <c r="P2332" i="1"/>
  <c r="L2332" i="1"/>
  <c r="F2332" i="1"/>
  <c r="P2331" i="1"/>
  <c r="L2331" i="1"/>
  <c r="F2331" i="1"/>
  <c r="P2330" i="1"/>
  <c r="L2330" i="1"/>
  <c r="F2330" i="1"/>
  <c r="P2329" i="1"/>
  <c r="L2329" i="1"/>
  <c r="F2329" i="1"/>
  <c r="P2328" i="1"/>
  <c r="L2328" i="1"/>
  <c r="F2328" i="1"/>
  <c r="P2327" i="1"/>
  <c r="L2327" i="1"/>
  <c r="F2327" i="1"/>
  <c r="P2326" i="1"/>
  <c r="L2326" i="1"/>
  <c r="F2326" i="1"/>
  <c r="P2325" i="1"/>
  <c r="L2325" i="1"/>
  <c r="F2325" i="1"/>
  <c r="P2324" i="1"/>
  <c r="L2324" i="1"/>
  <c r="F2324" i="1"/>
  <c r="P2323" i="1"/>
  <c r="L2323" i="1"/>
  <c r="F2323" i="1"/>
  <c r="P2322" i="1"/>
  <c r="L2322" i="1"/>
  <c r="F2322" i="1"/>
  <c r="P2321" i="1"/>
  <c r="L2321" i="1"/>
  <c r="F2321" i="1"/>
  <c r="P2320" i="1"/>
  <c r="L2320" i="1"/>
  <c r="F2320" i="1"/>
  <c r="P2319" i="1"/>
  <c r="L2319" i="1"/>
  <c r="F2319" i="1"/>
  <c r="P2318" i="1"/>
  <c r="L2318" i="1"/>
  <c r="F2318" i="1"/>
  <c r="P2317" i="1"/>
  <c r="L2317" i="1"/>
  <c r="F2317" i="1"/>
  <c r="P2316" i="1"/>
  <c r="L2316" i="1"/>
  <c r="F2316" i="1"/>
  <c r="P2315" i="1"/>
  <c r="L2315" i="1"/>
  <c r="F2315" i="1"/>
  <c r="P2314" i="1"/>
  <c r="L2314" i="1"/>
  <c r="F2314" i="1"/>
  <c r="P2313" i="1"/>
  <c r="L2313" i="1"/>
  <c r="F2313" i="1"/>
  <c r="P2312" i="1"/>
  <c r="L2312" i="1"/>
  <c r="F2312" i="1"/>
  <c r="P2311" i="1"/>
  <c r="L2311" i="1"/>
  <c r="F2311" i="1"/>
  <c r="P2310" i="1"/>
  <c r="L2310" i="1"/>
  <c r="F2310" i="1"/>
  <c r="P2309" i="1"/>
  <c r="L2309" i="1"/>
  <c r="F2309" i="1"/>
  <c r="P2308" i="1"/>
  <c r="L2308" i="1"/>
  <c r="F2308" i="1"/>
  <c r="P2307" i="1"/>
  <c r="L2307" i="1"/>
  <c r="F2307" i="1"/>
  <c r="P2306" i="1"/>
  <c r="L2306" i="1"/>
  <c r="F2306" i="1"/>
  <c r="P2305" i="1"/>
  <c r="L2305" i="1"/>
  <c r="F2305" i="1"/>
  <c r="P2304" i="1"/>
  <c r="L2304" i="1"/>
  <c r="F2304" i="1"/>
  <c r="P2303" i="1"/>
  <c r="L2303" i="1"/>
  <c r="F2303" i="1"/>
  <c r="P2302" i="1"/>
  <c r="L2302" i="1"/>
  <c r="F2302" i="1"/>
  <c r="P2301" i="1"/>
  <c r="L2301" i="1"/>
  <c r="F2301" i="1"/>
  <c r="P2300" i="1"/>
  <c r="L2300" i="1"/>
  <c r="F2300" i="1"/>
  <c r="P2299" i="1"/>
  <c r="L2299" i="1"/>
  <c r="F2299" i="1"/>
  <c r="P2298" i="1"/>
  <c r="L2298" i="1"/>
  <c r="F2298" i="1"/>
  <c r="P2297" i="1"/>
  <c r="L2297" i="1"/>
  <c r="F2297" i="1"/>
  <c r="P2296" i="1"/>
  <c r="L2296" i="1"/>
  <c r="F2296" i="1"/>
  <c r="P2295" i="1"/>
  <c r="L2295" i="1"/>
  <c r="F2295" i="1"/>
  <c r="P2294" i="1"/>
  <c r="L2294" i="1"/>
  <c r="F2294" i="1"/>
  <c r="P2293" i="1"/>
  <c r="L2293" i="1"/>
  <c r="F2293" i="1"/>
  <c r="P2292" i="1"/>
  <c r="L2292" i="1"/>
  <c r="F2292" i="1"/>
  <c r="P2291" i="1"/>
  <c r="L2291" i="1"/>
  <c r="F2291" i="1"/>
  <c r="P2290" i="1"/>
  <c r="L2290" i="1"/>
  <c r="F2290" i="1"/>
  <c r="P2289" i="1"/>
  <c r="L2289" i="1"/>
  <c r="F2289" i="1"/>
  <c r="P2288" i="1"/>
  <c r="L2288" i="1"/>
  <c r="F2288" i="1"/>
  <c r="P2287" i="1"/>
  <c r="L2287" i="1"/>
  <c r="F2287" i="1"/>
  <c r="P2286" i="1"/>
  <c r="L2286" i="1"/>
  <c r="F2286" i="1"/>
  <c r="P2285" i="1"/>
  <c r="L2285" i="1"/>
  <c r="F2285" i="1"/>
  <c r="P2284" i="1"/>
  <c r="L2284" i="1"/>
  <c r="F2284" i="1"/>
  <c r="P2283" i="1"/>
  <c r="L2283" i="1"/>
  <c r="F2283" i="1"/>
  <c r="P2282" i="1"/>
  <c r="L2282" i="1"/>
  <c r="F2282" i="1"/>
  <c r="P2281" i="1"/>
  <c r="L2281" i="1"/>
  <c r="F2281" i="1"/>
  <c r="P2280" i="1"/>
  <c r="L2280" i="1"/>
  <c r="F2280" i="1"/>
  <c r="P2279" i="1"/>
  <c r="L2279" i="1"/>
  <c r="F2279" i="1"/>
  <c r="P2278" i="1"/>
  <c r="L2278" i="1"/>
  <c r="F2278" i="1"/>
  <c r="P2277" i="1"/>
  <c r="L2277" i="1"/>
  <c r="F2277" i="1"/>
  <c r="P2276" i="1"/>
  <c r="L2276" i="1"/>
  <c r="F2276" i="1"/>
  <c r="P2275" i="1"/>
  <c r="L2275" i="1"/>
  <c r="F2275" i="1"/>
  <c r="P2274" i="1"/>
  <c r="L2274" i="1"/>
  <c r="F2274" i="1"/>
  <c r="P2273" i="1"/>
  <c r="L2273" i="1"/>
  <c r="F2273" i="1"/>
  <c r="P2272" i="1"/>
  <c r="L2272" i="1"/>
  <c r="F2272" i="1"/>
  <c r="P2271" i="1"/>
  <c r="L2271" i="1"/>
  <c r="F2271" i="1"/>
  <c r="P2270" i="1"/>
  <c r="L2270" i="1"/>
  <c r="F2270" i="1"/>
  <c r="P2269" i="1"/>
  <c r="L2269" i="1"/>
  <c r="F2269" i="1"/>
  <c r="P2268" i="1"/>
  <c r="L2268" i="1"/>
  <c r="F2268" i="1"/>
  <c r="P2267" i="1"/>
  <c r="L2267" i="1"/>
  <c r="F2267" i="1"/>
  <c r="P2266" i="1"/>
  <c r="L2266" i="1"/>
  <c r="F2266" i="1"/>
  <c r="P2265" i="1"/>
  <c r="L2265" i="1"/>
  <c r="F2265" i="1"/>
  <c r="P2264" i="1"/>
  <c r="L2264" i="1"/>
  <c r="F2264" i="1"/>
  <c r="P2263" i="1"/>
  <c r="L2263" i="1"/>
  <c r="F2263" i="1"/>
  <c r="P2262" i="1"/>
  <c r="L2262" i="1"/>
  <c r="F2262" i="1"/>
  <c r="P2261" i="1"/>
  <c r="L2261" i="1"/>
  <c r="F2261" i="1"/>
  <c r="P2260" i="1"/>
  <c r="L2260" i="1"/>
  <c r="F2260" i="1"/>
  <c r="P2259" i="1"/>
  <c r="L2259" i="1"/>
  <c r="F2259" i="1"/>
  <c r="P2258" i="1"/>
  <c r="L2258" i="1"/>
  <c r="F2258" i="1"/>
  <c r="P2257" i="1"/>
  <c r="L2257" i="1"/>
  <c r="F2257" i="1"/>
  <c r="P2256" i="1"/>
  <c r="L2256" i="1"/>
  <c r="F2256" i="1"/>
  <c r="P2255" i="1"/>
  <c r="L2255" i="1"/>
  <c r="F2255" i="1"/>
  <c r="P2254" i="1"/>
  <c r="L2254" i="1"/>
  <c r="F2254" i="1"/>
  <c r="P2253" i="1"/>
  <c r="L2253" i="1"/>
  <c r="F2253" i="1"/>
  <c r="P2252" i="1"/>
  <c r="L2252" i="1"/>
  <c r="F2252" i="1"/>
  <c r="P2251" i="1"/>
  <c r="L2251" i="1"/>
  <c r="F2251" i="1"/>
  <c r="P2250" i="1"/>
  <c r="L2250" i="1"/>
  <c r="F2250" i="1"/>
  <c r="P2249" i="1"/>
  <c r="L2249" i="1"/>
  <c r="F2249" i="1"/>
  <c r="P2248" i="1"/>
  <c r="L2248" i="1"/>
  <c r="F2248" i="1"/>
  <c r="P2247" i="1"/>
  <c r="L2247" i="1"/>
  <c r="F2247" i="1"/>
  <c r="P2246" i="1"/>
  <c r="L2246" i="1"/>
  <c r="F2246" i="1"/>
  <c r="P2245" i="1"/>
  <c r="L2245" i="1"/>
  <c r="F2245" i="1"/>
  <c r="P2244" i="1"/>
  <c r="L2244" i="1"/>
  <c r="F2244" i="1"/>
  <c r="P2243" i="1"/>
  <c r="L2243" i="1"/>
  <c r="F2243" i="1"/>
  <c r="P2242" i="1"/>
  <c r="L2242" i="1"/>
  <c r="F2242" i="1"/>
  <c r="P2241" i="1"/>
  <c r="L2241" i="1"/>
  <c r="F2241" i="1"/>
  <c r="P2240" i="1"/>
  <c r="L2240" i="1"/>
  <c r="F2240" i="1"/>
  <c r="P2239" i="1"/>
  <c r="L2239" i="1"/>
  <c r="F2239" i="1"/>
  <c r="P2238" i="1"/>
  <c r="L2238" i="1"/>
  <c r="F2238" i="1"/>
  <c r="P2237" i="1"/>
  <c r="L2237" i="1"/>
  <c r="F2237" i="1"/>
  <c r="P2236" i="1"/>
  <c r="L2236" i="1"/>
  <c r="F2236" i="1"/>
  <c r="P2235" i="1"/>
  <c r="L2235" i="1"/>
  <c r="F2235" i="1"/>
  <c r="P2234" i="1"/>
  <c r="L2234" i="1"/>
  <c r="F2234" i="1"/>
  <c r="P2233" i="1"/>
  <c r="L2233" i="1"/>
  <c r="F2233" i="1"/>
  <c r="P2232" i="1"/>
  <c r="L2232" i="1"/>
  <c r="F2232" i="1"/>
  <c r="P2231" i="1"/>
  <c r="L2231" i="1"/>
  <c r="F2231" i="1"/>
  <c r="P2230" i="1"/>
  <c r="L2230" i="1"/>
  <c r="F2230" i="1"/>
  <c r="P2229" i="1"/>
  <c r="L2229" i="1"/>
  <c r="F2229" i="1"/>
  <c r="P2228" i="1"/>
  <c r="L2228" i="1"/>
  <c r="F2228" i="1"/>
  <c r="P2227" i="1"/>
  <c r="L2227" i="1"/>
  <c r="F2227" i="1"/>
  <c r="P2226" i="1"/>
  <c r="L2226" i="1"/>
  <c r="F2226" i="1"/>
  <c r="P2225" i="1"/>
  <c r="L2225" i="1"/>
  <c r="F2225" i="1"/>
  <c r="P2224" i="1"/>
  <c r="L2224" i="1"/>
  <c r="F2224" i="1"/>
  <c r="P2223" i="1"/>
  <c r="L2223" i="1"/>
  <c r="F2223" i="1"/>
  <c r="P2222" i="1"/>
  <c r="L2222" i="1"/>
  <c r="F2222" i="1"/>
  <c r="P2221" i="1"/>
  <c r="L2221" i="1"/>
  <c r="F2221" i="1"/>
  <c r="P2220" i="1"/>
  <c r="L2220" i="1"/>
  <c r="F2220" i="1"/>
  <c r="P2219" i="1"/>
  <c r="L2219" i="1"/>
  <c r="F2219" i="1"/>
  <c r="P2218" i="1"/>
  <c r="L2218" i="1"/>
  <c r="F2218" i="1"/>
  <c r="P2217" i="1"/>
  <c r="L2217" i="1"/>
  <c r="F2217" i="1"/>
  <c r="P2216" i="1"/>
  <c r="L2216" i="1"/>
  <c r="F2216" i="1"/>
  <c r="P2215" i="1"/>
  <c r="L2215" i="1"/>
  <c r="F2215" i="1"/>
  <c r="P2214" i="1"/>
  <c r="L2214" i="1"/>
  <c r="F2214" i="1"/>
  <c r="P2213" i="1"/>
  <c r="L2213" i="1"/>
  <c r="F2213" i="1"/>
  <c r="P2212" i="1"/>
  <c r="L2212" i="1"/>
  <c r="F2212" i="1"/>
  <c r="P2211" i="1"/>
  <c r="L2211" i="1"/>
  <c r="F2211" i="1"/>
  <c r="P2210" i="1"/>
  <c r="L2210" i="1"/>
  <c r="F2210" i="1"/>
  <c r="P2209" i="1"/>
  <c r="L2209" i="1"/>
  <c r="F2209" i="1"/>
  <c r="P2208" i="1"/>
  <c r="L2208" i="1"/>
  <c r="F2208" i="1"/>
  <c r="P2207" i="1"/>
  <c r="L2207" i="1"/>
  <c r="F2207" i="1"/>
  <c r="P2206" i="1"/>
  <c r="L2206" i="1"/>
  <c r="F2206" i="1"/>
  <c r="P2205" i="1"/>
  <c r="L2205" i="1"/>
  <c r="F2205" i="1"/>
  <c r="P2204" i="1"/>
  <c r="L2204" i="1"/>
  <c r="F2204" i="1"/>
  <c r="P2203" i="1"/>
  <c r="L2203" i="1"/>
  <c r="F2203" i="1"/>
  <c r="P2202" i="1"/>
  <c r="L2202" i="1"/>
  <c r="F2202" i="1"/>
  <c r="P2201" i="1"/>
  <c r="L2201" i="1"/>
  <c r="F2201" i="1"/>
  <c r="P2200" i="1"/>
  <c r="L2200" i="1"/>
  <c r="F2200" i="1"/>
  <c r="P2199" i="1"/>
  <c r="L2199" i="1"/>
  <c r="F2199" i="1"/>
  <c r="P2198" i="1"/>
  <c r="L2198" i="1"/>
  <c r="F2198" i="1"/>
  <c r="P2197" i="1"/>
  <c r="L2197" i="1"/>
  <c r="F2197" i="1"/>
  <c r="P2196" i="1"/>
  <c r="L2196" i="1"/>
  <c r="F2196" i="1"/>
  <c r="P2195" i="1"/>
  <c r="L2195" i="1"/>
  <c r="F2195" i="1"/>
  <c r="P2194" i="1"/>
  <c r="L2194" i="1"/>
  <c r="F2194" i="1"/>
  <c r="P2193" i="1"/>
  <c r="L2193" i="1"/>
  <c r="F2193" i="1"/>
  <c r="P2192" i="1"/>
  <c r="L2192" i="1"/>
  <c r="F2192" i="1"/>
  <c r="P2191" i="1"/>
  <c r="L2191" i="1"/>
  <c r="F2191" i="1"/>
  <c r="P2190" i="1"/>
  <c r="L2190" i="1"/>
  <c r="F2190" i="1"/>
  <c r="P2189" i="1"/>
  <c r="L2189" i="1"/>
  <c r="F2189" i="1"/>
  <c r="P2188" i="1"/>
  <c r="L2188" i="1"/>
  <c r="F2188" i="1"/>
  <c r="P2187" i="1"/>
  <c r="L2187" i="1"/>
  <c r="F2187" i="1"/>
  <c r="P2186" i="1"/>
  <c r="L2186" i="1"/>
  <c r="F2186" i="1"/>
  <c r="P2185" i="1"/>
  <c r="L2185" i="1"/>
  <c r="F2185" i="1"/>
  <c r="P2184" i="1"/>
  <c r="L2184" i="1"/>
  <c r="F2184" i="1"/>
  <c r="P2183" i="1"/>
  <c r="L2183" i="1"/>
  <c r="F2183" i="1"/>
  <c r="P2182" i="1"/>
  <c r="L2182" i="1"/>
  <c r="F2182" i="1"/>
  <c r="P2181" i="1"/>
  <c r="L2181" i="1"/>
  <c r="F2181" i="1"/>
  <c r="P2180" i="1"/>
  <c r="L2180" i="1"/>
  <c r="F2180" i="1"/>
  <c r="P2179" i="1"/>
  <c r="L2179" i="1"/>
  <c r="F2179" i="1"/>
  <c r="P2178" i="1"/>
  <c r="L2178" i="1"/>
  <c r="F2178" i="1"/>
  <c r="P2177" i="1"/>
  <c r="L2177" i="1"/>
  <c r="F2177" i="1"/>
  <c r="P2176" i="1"/>
  <c r="L2176" i="1"/>
  <c r="F2176" i="1"/>
  <c r="P2175" i="1"/>
  <c r="L2175" i="1"/>
  <c r="F2175" i="1"/>
  <c r="P2174" i="1"/>
  <c r="L2174" i="1"/>
  <c r="F2174" i="1"/>
  <c r="P2173" i="1"/>
  <c r="L2173" i="1"/>
  <c r="F2173" i="1"/>
  <c r="P2172" i="1"/>
  <c r="L2172" i="1"/>
  <c r="F2172" i="1"/>
  <c r="P2171" i="1"/>
  <c r="L2171" i="1"/>
  <c r="F2171" i="1"/>
  <c r="P2170" i="1"/>
  <c r="L2170" i="1"/>
  <c r="F2170" i="1"/>
  <c r="P2169" i="1"/>
  <c r="L2169" i="1"/>
  <c r="F2169" i="1"/>
  <c r="P2168" i="1"/>
  <c r="L2168" i="1"/>
  <c r="F2168" i="1"/>
  <c r="P2167" i="1"/>
  <c r="L2167" i="1"/>
  <c r="F2167" i="1"/>
  <c r="P2166" i="1"/>
  <c r="L2166" i="1"/>
  <c r="F2166" i="1"/>
  <c r="P2165" i="1"/>
  <c r="L2165" i="1"/>
  <c r="F2165" i="1"/>
  <c r="P2164" i="1"/>
  <c r="L2164" i="1"/>
  <c r="F2164" i="1"/>
  <c r="P2163" i="1"/>
  <c r="L2163" i="1"/>
  <c r="F2163" i="1"/>
  <c r="P2162" i="1"/>
  <c r="L2162" i="1"/>
  <c r="F2162" i="1"/>
  <c r="P2161" i="1"/>
  <c r="L2161" i="1"/>
  <c r="F2161" i="1"/>
  <c r="P2160" i="1"/>
  <c r="L2160" i="1"/>
  <c r="F2160" i="1"/>
  <c r="P2159" i="1"/>
  <c r="L2159" i="1"/>
  <c r="F2159" i="1"/>
  <c r="P2158" i="1"/>
  <c r="L2158" i="1"/>
  <c r="F2158" i="1"/>
  <c r="P2157" i="1"/>
  <c r="L2157" i="1"/>
  <c r="F2157" i="1"/>
  <c r="P2156" i="1"/>
  <c r="L2156" i="1"/>
  <c r="F2156" i="1"/>
  <c r="P2155" i="1"/>
  <c r="L2155" i="1"/>
  <c r="F2155" i="1"/>
  <c r="P2154" i="1"/>
  <c r="L2154" i="1"/>
  <c r="F2154" i="1"/>
  <c r="P2153" i="1"/>
  <c r="L2153" i="1"/>
  <c r="F2153" i="1"/>
  <c r="P2152" i="1"/>
  <c r="L2152" i="1"/>
  <c r="F2152" i="1"/>
  <c r="P2151" i="1"/>
  <c r="L2151" i="1"/>
  <c r="F2151" i="1"/>
  <c r="P2150" i="1"/>
  <c r="L2150" i="1"/>
  <c r="F2150" i="1"/>
  <c r="P2149" i="1"/>
  <c r="L2149" i="1"/>
  <c r="F2149" i="1"/>
  <c r="P2148" i="1"/>
  <c r="L2148" i="1"/>
  <c r="F2148" i="1"/>
  <c r="P2147" i="1"/>
  <c r="L2147" i="1"/>
  <c r="F2147" i="1"/>
  <c r="P2146" i="1"/>
  <c r="L2146" i="1"/>
  <c r="F2146" i="1"/>
  <c r="P2145" i="1"/>
  <c r="L2145" i="1"/>
  <c r="F2145" i="1"/>
  <c r="P2144" i="1"/>
  <c r="L2144" i="1"/>
  <c r="F2144" i="1"/>
  <c r="P2143" i="1"/>
  <c r="L2143" i="1"/>
  <c r="F2143" i="1"/>
  <c r="P2142" i="1"/>
  <c r="L2142" i="1"/>
  <c r="F2142" i="1"/>
  <c r="P2141" i="1"/>
  <c r="L2141" i="1"/>
  <c r="F2141" i="1"/>
  <c r="P2140" i="1"/>
  <c r="L2140" i="1"/>
  <c r="F2140" i="1"/>
  <c r="P2139" i="1"/>
  <c r="L2139" i="1"/>
  <c r="F2139" i="1"/>
  <c r="P2138" i="1"/>
  <c r="L2138" i="1"/>
  <c r="F2138" i="1"/>
  <c r="P2137" i="1"/>
  <c r="L2137" i="1"/>
  <c r="F2137" i="1"/>
  <c r="P2136" i="1"/>
  <c r="L2136" i="1"/>
  <c r="F2136" i="1"/>
  <c r="P2135" i="1"/>
  <c r="L2135" i="1"/>
  <c r="F2135" i="1"/>
  <c r="P2134" i="1"/>
  <c r="L2134" i="1"/>
  <c r="F2134" i="1"/>
  <c r="P2133" i="1"/>
  <c r="L2133" i="1"/>
  <c r="F2133" i="1"/>
  <c r="P2132" i="1"/>
  <c r="L2132" i="1"/>
  <c r="F2132" i="1"/>
  <c r="P2131" i="1"/>
  <c r="L2131" i="1"/>
  <c r="F2131" i="1"/>
  <c r="P2130" i="1"/>
  <c r="L2130" i="1"/>
  <c r="F2130" i="1"/>
  <c r="P2129" i="1"/>
  <c r="L2129" i="1"/>
  <c r="F2129" i="1"/>
  <c r="P2128" i="1"/>
  <c r="L2128" i="1"/>
  <c r="F2128" i="1"/>
  <c r="P2127" i="1"/>
  <c r="L2127" i="1"/>
  <c r="F2127" i="1"/>
  <c r="P2126" i="1"/>
  <c r="L2126" i="1"/>
  <c r="F2126" i="1"/>
  <c r="P2125" i="1"/>
  <c r="L2125" i="1"/>
  <c r="F2125" i="1"/>
  <c r="P2124" i="1"/>
  <c r="L2124" i="1"/>
  <c r="F2124" i="1"/>
  <c r="P2123" i="1"/>
  <c r="L2123" i="1"/>
  <c r="F2123" i="1"/>
  <c r="P2122" i="1"/>
  <c r="L2122" i="1"/>
  <c r="F2122" i="1"/>
  <c r="P2121" i="1"/>
  <c r="L2121" i="1"/>
  <c r="F2121" i="1"/>
  <c r="P2120" i="1"/>
  <c r="L2120" i="1"/>
  <c r="F2120" i="1"/>
  <c r="P2119" i="1"/>
  <c r="L2119" i="1"/>
  <c r="F2119" i="1"/>
  <c r="P2118" i="1"/>
  <c r="L2118" i="1"/>
  <c r="F2118" i="1"/>
  <c r="P2117" i="1"/>
  <c r="L2117" i="1"/>
  <c r="F2117" i="1"/>
  <c r="P2116" i="1"/>
  <c r="L2116" i="1"/>
  <c r="F2116" i="1"/>
  <c r="P2115" i="1"/>
  <c r="L2115" i="1"/>
  <c r="F2115" i="1"/>
  <c r="P2114" i="1"/>
  <c r="L2114" i="1"/>
  <c r="F2114" i="1"/>
  <c r="P2113" i="1"/>
  <c r="L2113" i="1"/>
  <c r="F2113" i="1"/>
  <c r="P2112" i="1"/>
  <c r="L2112" i="1"/>
  <c r="F2112" i="1"/>
  <c r="P2111" i="1"/>
  <c r="L2111" i="1"/>
  <c r="F2111" i="1"/>
  <c r="P2110" i="1"/>
  <c r="L2110" i="1"/>
  <c r="F2110" i="1"/>
  <c r="P2109" i="1"/>
  <c r="L2109" i="1"/>
  <c r="F2109" i="1"/>
  <c r="P2108" i="1"/>
  <c r="L2108" i="1"/>
  <c r="F2108" i="1"/>
  <c r="P2107" i="1"/>
  <c r="L2107" i="1"/>
  <c r="F2107" i="1"/>
  <c r="P2106" i="1"/>
  <c r="L2106" i="1"/>
  <c r="F2106" i="1"/>
  <c r="P2105" i="1"/>
  <c r="L2105" i="1"/>
  <c r="F2105" i="1"/>
  <c r="P2104" i="1"/>
  <c r="L2104" i="1"/>
  <c r="F2104" i="1"/>
  <c r="P2103" i="1"/>
  <c r="L2103" i="1"/>
  <c r="F2103" i="1"/>
  <c r="P2102" i="1"/>
  <c r="L2102" i="1"/>
  <c r="F2102" i="1"/>
  <c r="P2101" i="1"/>
  <c r="L2101" i="1"/>
  <c r="F2101" i="1"/>
  <c r="P2100" i="1"/>
  <c r="L2100" i="1"/>
  <c r="F2100" i="1"/>
  <c r="P2099" i="1"/>
  <c r="L2099" i="1"/>
  <c r="F2099" i="1"/>
  <c r="P2098" i="1"/>
  <c r="L2098" i="1"/>
  <c r="F2098" i="1"/>
  <c r="P2097" i="1"/>
  <c r="L2097" i="1"/>
  <c r="F2097" i="1"/>
  <c r="P2096" i="1"/>
  <c r="L2096" i="1"/>
  <c r="F2096" i="1"/>
  <c r="P2095" i="1"/>
  <c r="L2095" i="1"/>
  <c r="F2095" i="1"/>
  <c r="P2094" i="1"/>
  <c r="L2094" i="1"/>
  <c r="F2094" i="1"/>
  <c r="P2093" i="1"/>
  <c r="L2093" i="1"/>
  <c r="F2093" i="1"/>
  <c r="P2092" i="1"/>
  <c r="L2092" i="1"/>
  <c r="F2092" i="1"/>
  <c r="P2091" i="1"/>
  <c r="L2091" i="1"/>
  <c r="F2091" i="1"/>
  <c r="P2090" i="1"/>
  <c r="L2090" i="1"/>
  <c r="F2090" i="1"/>
  <c r="P2089" i="1"/>
  <c r="L2089" i="1"/>
  <c r="F2089" i="1"/>
  <c r="P2088" i="1"/>
  <c r="L2088" i="1"/>
  <c r="F2088" i="1"/>
  <c r="P2087" i="1"/>
  <c r="L2087" i="1"/>
  <c r="F2087" i="1"/>
  <c r="P2086" i="1"/>
  <c r="L2086" i="1"/>
  <c r="F2086" i="1"/>
  <c r="P2085" i="1"/>
  <c r="L2085" i="1"/>
  <c r="F2085" i="1"/>
  <c r="P2084" i="1"/>
  <c r="L2084" i="1"/>
  <c r="F2084" i="1"/>
  <c r="P2083" i="1"/>
  <c r="L2083" i="1"/>
  <c r="F2083" i="1"/>
  <c r="P2082" i="1"/>
  <c r="L2082" i="1"/>
  <c r="F2082" i="1"/>
  <c r="P2081" i="1"/>
  <c r="L2081" i="1"/>
  <c r="F2081" i="1"/>
  <c r="P2080" i="1"/>
  <c r="L2080" i="1"/>
  <c r="F2080" i="1"/>
  <c r="P2079" i="1"/>
  <c r="L2079" i="1"/>
  <c r="F2079" i="1"/>
  <c r="P2078" i="1"/>
  <c r="L2078" i="1"/>
  <c r="F2078" i="1"/>
  <c r="P2077" i="1"/>
  <c r="L2077" i="1"/>
  <c r="F2077" i="1"/>
  <c r="P2076" i="1"/>
  <c r="L2076" i="1"/>
  <c r="F2076" i="1"/>
  <c r="P2075" i="1"/>
  <c r="L2075" i="1"/>
  <c r="F2075" i="1"/>
  <c r="P2074" i="1"/>
  <c r="L2074" i="1"/>
  <c r="F2074" i="1"/>
  <c r="P2073" i="1"/>
  <c r="L2073" i="1"/>
  <c r="F2073" i="1"/>
  <c r="P2072" i="1"/>
  <c r="L2072" i="1"/>
  <c r="F2072" i="1"/>
  <c r="P2071" i="1"/>
  <c r="L2071" i="1"/>
  <c r="F2071" i="1"/>
  <c r="P2070" i="1"/>
  <c r="L2070" i="1"/>
  <c r="F2070" i="1"/>
  <c r="P2069" i="1"/>
  <c r="L2069" i="1"/>
  <c r="F2069" i="1"/>
  <c r="P2068" i="1"/>
  <c r="L2068" i="1"/>
  <c r="F2068" i="1"/>
  <c r="P2067" i="1"/>
  <c r="L2067" i="1"/>
  <c r="F2067" i="1"/>
  <c r="P2066" i="1"/>
  <c r="L2066" i="1"/>
  <c r="F2066" i="1"/>
  <c r="P2065" i="1"/>
  <c r="L2065" i="1"/>
  <c r="F2065" i="1"/>
  <c r="P2064" i="1"/>
  <c r="L2064" i="1"/>
  <c r="F2064" i="1"/>
  <c r="P2063" i="1"/>
  <c r="L2063" i="1"/>
  <c r="F2063" i="1"/>
  <c r="P2062" i="1"/>
  <c r="L2062" i="1"/>
  <c r="F2062" i="1"/>
  <c r="P2061" i="1"/>
  <c r="L2061" i="1"/>
  <c r="F2061" i="1"/>
  <c r="P2060" i="1"/>
  <c r="L2060" i="1"/>
  <c r="F2060" i="1"/>
  <c r="P2059" i="1"/>
  <c r="L2059" i="1"/>
  <c r="F2059" i="1"/>
  <c r="P2058" i="1"/>
  <c r="L2058" i="1"/>
  <c r="F2058" i="1"/>
  <c r="P2057" i="1"/>
  <c r="L2057" i="1"/>
  <c r="F2057" i="1"/>
  <c r="P2056" i="1"/>
  <c r="L2056" i="1"/>
  <c r="F2056" i="1"/>
  <c r="P2055" i="1"/>
  <c r="L2055" i="1"/>
  <c r="F2055" i="1"/>
  <c r="P2054" i="1"/>
  <c r="L2054" i="1"/>
  <c r="F2054" i="1"/>
  <c r="P2053" i="1"/>
  <c r="L2053" i="1"/>
  <c r="F2053" i="1"/>
  <c r="P2052" i="1"/>
  <c r="L2052" i="1"/>
  <c r="F2052" i="1"/>
  <c r="P2051" i="1"/>
  <c r="L2051" i="1"/>
  <c r="F2051" i="1"/>
  <c r="P2050" i="1"/>
  <c r="L2050" i="1"/>
  <c r="F2050" i="1"/>
  <c r="P2049" i="1"/>
  <c r="L2049" i="1"/>
  <c r="F2049" i="1"/>
  <c r="P2048" i="1"/>
  <c r="L2048" i="1"/>
  <c r="F2048" i="1"/>
  <c r="P2047" i="1"/>
  <c r="L2047" i="1"/>
  <c r="F2047" i="1"/>
  <c r="P2046" i="1"/>
  <c r="L2046" i="1"/>
  <c r="F2046" i="1"/>
  <c r="P2045" i="1"/>
  <c r="L2045" i="1"/>
  <c r="F2045" i="1"/>
  <c r="P2044" i="1"/>
  <c r="L2044" i="1"/>
  <c r="F2044" i="1"/>
  <c r="P2043" i="1"/>
  <c r="L2043" i="1"/>
  <c r="F2043" i="1"/>
  <c r="P2042" i="1"/>
  <c r="L2042" i="1"/>
  <c r="F2042" i="1"/>
  <c r="P2041" i="1"/>
  <c r="L2041" i="1"/>
  <c r="F2041" i="1"/>
  <c r="P2040" i="1"/>
  <c r="L2040" i="1"/>
  <c r="F2040" i="1"/>
  <c r="P2039" i="1"/>
  <c r="L2039" i="1"/>
  <c r="F2039" i="1"/>
  <c r="P2038" i="1"/>
  <c r="L2038" i="1"/>
  <c r="F2038" i="1"/>
  <c r="P2037" i="1"/>
  <c r="L2037" i="1"/>
  <c r="F2037" i="1"/>
  <c r="P2036" i="1"/>
  <c r="L2036" i="1"/>
  <c r="F2036" i="1"/>
  <c r="P2035" i="1"/>
  <c r="L2035" i="1"/>
  <c r="F2035" i="1"/>
  <c r="P2034" i="1"/>
  <c r="L2034" i="1"/>
  <c r="F2034" i="1"/>
  <c r="P2033" i="1"/>
  <c r="L2033" i="1"/>
  <c r="F2033" i="1"/>
  <c r="P2032" i="1"/>
  <c r="L2032" i="1"/>
  <c r="F2032" i="1"/>
  <c r="P2031" i="1"/>
  <c r="L2031" i="1"/>
  <c r="F2031" i="1"/>
  <c r="P2030" i="1"/>
  <c r="L2030" i="1"/>
  <c r="F2030" i="1"/>
  <c r="P2029" i="1"/>
  <c r="L2029" i="1"/>
  <c r="F2029" i="1"/>
  <c r="P2028" i="1"/>
  <c r="L2028" i="1"/>
  <c r="F2028" i="1"/>
  <c r="P2027" i="1"/>
  <c r="L2027" i="1"/>
  <c r="F2027" i="1"/>
  <c r="P2026" i="1"/>
  <c r="L2026" i="1"/>
  <c r="F2026" i="1"/>
  <c r="P2025" i="1"/>
  <c r="L2025" i="1"/>
  <c r="F2025" i="1"/>
  <c r="P2024" i="1"/>
  <c r="L2024" i="1"/>
  <c r="F2024" i="1"/>
  <c r="P2023" i="1"/>
  <c r="L2023" i="1"/>
  <c r="F2023" i="1"/>
  <c r="P2022" i="1"/>
  <c r="L2022" i="1"/>
  <c r="F2022" i="1"/>
  <c r="P2021" i="1"/>
  <c r="L2021" i="1"/>
  <c r="F2021" i="1"/>
  <c r="P2020" i="1"/>
  <c r="L2020" i="1"/>
  <c r="F2020" i="1"/>
  <c r="P2019" i="1"/>
  <c r="L2019" i="1"/>
  <c r="F2019" i="1"/>
  <c r="P2018" i="1"/>
  <c r="L2018" i="1"/>
  <c r="F2018" i="1"/>
  <c r="P2017" i="1"/>
  <c r="L2017" i="1"/>
  <c r="F2017" i="1"/>
  <c r="P2016" i="1"/>
  <c r="L2016" i="1"/>
  <c r="F2016" i="1"/>
  <c r="P2015" i="1"/>
  <c r="L2015" i="1"/>
  <c r="F2015" i="1"/>
  <c r="P2014" i="1"/>
  <c r="L2014" i="1"/>
  <c r="F2014" i="1"/>
  <c r="P2013" i="1"/>
  <c r="L2013" i="1"/>
  <c r="F2013" i="1"/>
  <c r="P2012" i="1"/>
  <c r="L2012" i="1"/>
  <c r="F2012" i="1"/>
  <c r="P2011" i="1"/>
  <c r="L2011" i="1"/>
  <c r="F2011" i="1"/>
  <c r="P2010" i="1"/>
  <c r="L2010" i="1"/>
  <c r="F2010" i="1"/>
  <c r="P2009" i="1"/>
  <c r="L2009" i="1"/>
  <c r="F2009" i="1"/>
  <c r="P2008" i="1"/>
  <c r="L2008" i="1"/>
  <c r="F2008" i="1"/>
  <c r="P2007" i="1"/>
  <c r="L2007" i="1"/>
  <c r="F2007" i="1"/>
  <c r="P2006" i="1"/>
  <c r="L2006" i="1"/>
  <c r="F2006" i="1"/>
  <c r="P2005" i="1"/>
  <c r="L2005" i="1"/>
  <c r="F2005" i="1"/>
  <c r="P2004" i="1"/>
  <c r="L2004" i="1"/>
  <c r="F2004" i="1"/>
  <c r="P2003" i="1"/>
  <c r="L2003" i="1"/>
  <c r="F2003" i="1"/>
  <c r="P2002" i="1"/>
  <c r="L2002" i="1"/>
  <c r="F2002" i="1"/>
  <c r="P2001" i="1"/>
  <c r="L2001" i="1"/>
  <c r="F2001" i="1"/>
  <c r="P2000" i="1"/>
  <c r="L2000" i="1"/>
  <c r="F2000" i="1"/>
  <c r="P1999" i="1"/>
  <c r="L1999" i="1"/>
  <c r="F1999" i="1"/>
  <c r="P1998" i="1"/>
  <c r="L1998" i="1"/>
  <c r="F1998" i="1"/>
  <c r="P1997" i="1"/>
  <c r="L1997" i="1"/>
  <c r="F1997" i="1"/>
  <c r="P1996" i="1"/>
  <c r="L1996" i="1"/>
  <c r="F1996" i="1"/>
  <c r="P1995" i="1"/>
  <c r="L1995" i="1"/>
  <c r="F1995" i="1"/>
  <c r="P1994" i="1"/>
  <c r="L1994" i="1"/>
  <c r="F1994" i="1"/>
  <c r="P1993" i="1"/>
  <c r="L1993" i="1"/>
  <c r="F1993" i="1"/>
  <c r="P1992" i="1"/>
  <c r="L1992" i="1"/>
  <c r="F1992" i="1"/>
  <c r="P1991" i="1"/>
  <c r="L1991" i="1"/>
  <c r="F1991" i="1"/>
  <c r="P1990" i="1"/>
  <c r="L1990" i="1"/>
  <c r="F1990" i="1"/>
  <c r="P1989" i="1"/>
  <c r="L1989" i="1"/>
  <c r="F1989" i="1"/>
  <c r="P1988" i="1"/>
  <c r="L1988" i="1"/>
  <c r="F1988" i="1"/>
  <c r="P1987" i="1"/>
  <c r="L1987" i="1"/>
  <c r="F1987" i="1"/>
  <c r="P1986" i="1"/>
  <c r="L1986" i="1"/>
  <c r="F1986" i="1"/>
  <c r="P1985" i="1"/>
  <c r="L1985" i="1"/>
  <c r="F1985" i="1"/>
  <c r="P1984" i="1"/>
  <c r="L1984" i="1"/>
  <c r="F1984" i="1"/>
  <c r="P1983" i="1"/>
  <c r="L1983" i="1"/>
  <c r="F1983" i="1"/>
  <c r="P1982" i="1"/>
  <c r="L1982" i="1"/>
  <c r="F1982" i="1"/>
  <c r="P1981" i="1"/>
  <c r="L1981" i="1"/>
  <c r="F1981" i="1"/>
  <c r="P1980" i="1"/>
  <c r="L1980" i="1"/>
  <c r="F1980" i="1"/>
  <c r="P1979" i="1"/>
  <c r="L1979" i="1"/>
  <c r="F1979" i="1"/>
  <c r="P1978" i="1"/>
  <c r="L1978" i="1"/>
  <c r="F1978" i="1"/>
  <c r="P1977" i="1"/>
  <c r="L1977" i="1"/>
  <c r="F1977" i="1"/>
  <c r="P1976" i="1"/>
  <c r="L1976" i="1"/>
  <c r="F1976" i="1"/>
  <c r="P1975" i="1"/>
  <c r="L1975" i="1"/>
  <c r="F1975" i="1"/>
  <c r="P1974" i="1"/>
  <c r="L1974" i="1"/>
  <c r="F1974" i="1"/>
  <c r="P1973" i="1"/>
  <c r="L1973" i="1"/>
  <c r="F1973" i="1"/>
  <c r="P1972" i="1"/>
  <c r="L1972" i="1"/>
  <c r="F1972" i="1"/>
  <c r="P1971" i="1"/>
  <c r="L1971" i="1"/>
  <c r="F1971" i="1"/>
  <c r="P1970" i="1"/>
  <c r="L1970" i="1"/>
  <c r="F1970" i="1"/>
  <c r="P1969" i="1"/>
  <c r="L1969" i="1"/>
  <c r="F1969" i="1"/>
  <c r="P1968" i="1"/>
  <c r="L1968" i="1"/>
  <c r="F1968" i="1"/>
  <c r="P1967" i="1"/>
  <c r="L1967" i="1"/>
  <c r="F1967" i="1"/>
  <c r="P1966" i="1"/>
  <c r="L1966" i="1"/>
  <c r="F1966" i="1"/>
  <c r="P1965" i="1"/>
  <c r="L1965" i="1"/>
  <c r="F1965" i="1"/>
  <c r="P1964" i="1"/>
  <c r="L1964" i="1"/>
  <c r="F1964" i="1"/>
  <c r="P1963" i="1"/>
  <c r="L1963" i="1"/>
  <c r="F1963" i="1"/>
  <c r="P1962" i="1"/>
  <c r="L1962" i="1"/>
  <c r="F1962" i="1"/>
  <c r="P1961" i="1"/>
  <c r="L1961" i="1"/>
  <c r="F1961" i="1"/>
  <c r="P1960" i="1"/>
  <c r="L1960" i="1"/>
  <c r="F1960" i="1"/>
  <c r="P1959" i="1"/>
  <c r="L1959" i="1"/>
  <c r="F1959" i="1"/>
  <c r="P1958" i="1"/>
  <c r="L1958" i="1"/>
  <c r="F1958" i="1"/>
  <c r="P1957" i="1"/>
  <c r="L1957" i="1"/>
  <c r="F1957" i="1"/>
  <c r="P1956" i="1"/>
  <c r="L1956" i="1"/>
  <c r="F1956" i="1"/>
  <c r="P1955" i="1"/>
  <c r="L1955" i="1"/>
  <c r="F1955" i="1"/>
  <c r="P1954" i="1"/>
  <c r="L1954" i="1"/>
  <c r="F1954" i="1"/>
  <c r="P1953" i="1"/>
  <c r="L1953" i="1"/>
  <c r="F1953" i="1"/>
  <c r="P1952" i="1"/>
  <c r="L1952" i="1"/>
  <c r="F1952" i="1"/>
  <c r="P1951" i="1"/>
  <c r="L1951" i="1"/>
  <c r="F1951" i="1"/>
  <c r="P1950" i="1"/>
  <c r="L1950" i="1"/>
  <c r="F1950" i="1"/>
  <c r="P1949" i="1"/>
  <c r="L1949" i="1"/>
  <c r="F1949" i="1"/>
  <c r="P1948" i="1"/>
  <c r="L1948" i="1"/>
  <c r="F1948" i="1"/>
  <c r="P1947" i="1"/>
  <c r="L1947" i="1"/>
  <c r="F1947" i="1"/>
  <c r="P1946" i="1"/>
  <c r="L1946" i="1"/>
  <c r="F1946" i="1"/>
  <c r="P1945" i="1"/>
  <c r="L1945" i="1"/>
  <c r="F1945" i="1"/>
  <c r="P1944" i="1"/>
  <c r="L1944" i="1"/>
  <c r="F1944" i="1"/>
  <c r="P1943" i="1"/>
  <c r="L1943" i="1"/>
  <c r="F1943" i="1"/>
  <c r="P1942" i="1"/>
  <c r="L1942" i="1"/>
  <c r="F1942" i="1"/>
  <c r="P1941" i="1"/>
  <c r="L1941" i="1"/>
  <c r="F1941" i="1"/>
  <c r="P1940" i="1"/>
  <c r="L1940" i="1"/>
  <c r="F1940" i="1"/>
  <c r="P1939" i="1"/>
  <c r="L1939" i="1"/>
  <c r="F1939" i="1"/>
  <c r="P1938" i="1"/>
  <c r="L1938" i="1"/>
  <c r="F1938" i="1"/>
  <c r="P1937" i="1"/>
  <c r="L1937" i="1"/>
  <c r="F1937" i="1"/>
  <c r="P1936" i="1"/>
  <c r="L1936" i="1"/>
  <c r="F1936" i="1"/>
  <c r="P1935" i="1"/>
  <c r="L1935" i="1"/>
  <c r="F1935" i="1"/>
  <c r="P1934" i="1"/>
  <c r="L1934" i="1"/>
  <c r="F1934" i="1"/>
  <c r="P1933" i="1"/>
  <c r="L1933" i="1"/>
  <c r="F1933" i="1"/>
  <c r="P1932" i="1"/>
  <c r="L1932" i="1"/>
  <c r="F1932" i="1"/>
  <c r="P1931" i="1"/>
  <c r="L1931" i="1"/>
  <c r="F1931" i="1"/>
  <c r="P1930" i="1"/>
  <c r="L1930" i="1"/>
  <c r="F1930" i="1"/>
  <c r="P1929" i="1"/>
  <c r="L1929" i="1"/>
  <c r="F1929" i="1"/>
  <c r="P1928" i="1"/>
  <c r="L1928" i="1"/>
  <c r="F1928" i="1"/>
  <c r="P1927" i="1"/>
  <c r="L1927" i="1"/>
  <c r="F1927" i="1"/>
  <c r="P1926" i="1"/>
  <c r="L1926" i="1"/>
  <c r="F1926" i="1"/>
  <c r="P1925" i="1"/>
  <c r="L1925" i="1"/>
  <c r="F1925" i="1"/>
  <c r="P1924" i="1"/>
  <c r="L1924" i="1"/>
  <c r="F1924" i="1"/>
  <c r="P1923" i="1"/>
  <c r="L1923" i="1"/>
  <c r="F1923" i="1"/>
  <c r="P1922" i="1"/>
  <c r="L1922" i="1"/>
  <c r="F1922" i="1"/>
  <c r="P1921" i="1"/>
  <c r="L1921" i="1"/>
  <c r="F1921" i="1"/>
  <c r="P1920" i="1"/>
  <c r="L1920" i="1"/>
  <c r="F1920" i="1"/>
  <c r="P1919" i="1"/>
  <c r="L1919" i="1"/>
  <c r="F1919" i="1"/>
  <c r="P1918" i="1"/>
  <c r="L1918" i="1"/>
  <c r="F1918" i="1"/>
  <c r="P1917" i="1"/>
  <c r="L1917" i="1"/>
  <c r="F1917" i="1"/>
  <c r="P1916" i="1"/>
  <c r="L1916" i="1"/>
  <c r="F1916" i="1"/>
  <c r="P1915" i="1"/>
  <c r="L1915" i="1"/>
  <c r="F1915" i="1"/>
  <c r="P1914" i="1"/>
  <c r="L1914" i="1"/>
  <c r="F1914" i="1"/>
  <c r="P1913" i="1"/>
  <c r="L1913" i="1"/>
  <c r="F1913" i="1"/>
  <c r="P1912" i="1"/>
  <c r="L1912" i="1"/>
  <c r="F1912" i="1"/>
  <c r="P1911" i="1"/>
  <c r="L1911" i="1"/>
  <c r="F1911" i="1"/>
  <c r="P1910" i="1"/>
  <c r="L1910" i="1"/>
  <c r="F1910" i="1"/>
  <c r="P1909" i="1"/>
  <c r="L1909" i="1"/>
  <c r="F1909" i="1"/>
  <c r="P1908" i="1"/>
  <c r="L1908" i="1"/>
  <c r="F1908" i="1"/>
  <c r="P1907" i="1"/>
  <c r="L1907" i="1"/>
  <c r="F1907" i="1"/>
  <c r="P1906" i="1"/>
  <c r="L1906" i="1"/>
  <c r="F1906" i="1"/>
  <c r="P1905" i="1"/>
  <c r="L1905" i="1"/>
  <c r="F1905" i="1"/>
  <c r="P1904" i="1"/>
  <c r="L1904" i="1"/>
  <c r="F1904" i="1"/>
  <c r="P1903" i="1"/>
  <c r="L1903" i="1"/>
  <c r="F1903" i="1"/>
  <c r="P1902" i="1"/>
  <c r="L1902" i="1"/>
  <c r="F1902" i="1"/>
  <c r="P1901" i="1"/>
  <c r="L1901" i="1"/>
  <c r="F1901" i="1"/>
  <c r="P1900" i="1"/>
  <c r="L1900" i="1"/>
  <c r="F1900" i="1"/>
  <c r="P1899" i="1"/>
  <c r="L1899" i="1"/>
  <c r="F1899" i="1"/>
  <c r="P1898" i="1"/>
  <c r="L1898" i="1"/>
  <c r="F1898" i="1"/>
  <c r="P1897" i="1"/>
  <c r="L1897" i="1"/>
  <c r="F1897" i="1"/>
  <c r="P1896" i="1"/>
  <c r="L1896" i="1"/>
  <c r="F1896" i="1"/>
  <c r="P1895" i="1"/>
  <c r="L1895" i="1"/>
  <c r="F1895" i="1"/>
  <c r="P1894" i="1"/>
  <c r="L1894" i="1"/>
  <c r="F1894" i="1"/>
  <c r="P1893" i="1"/>
  <c r="L1893" i="1"/>
  <c r="F1893" i="1"/>
  <c r="P1892" i="1"/>
  <c r="L1892" i="1"/>
  <c r="F1892" i="1"/>
  <c r="P1891" i="1"/>
  <c r="L1891" i="1"/>
  <c r="F1891" i="1"/>
  <c r="P1890" i="1"/>
  <c r="L1890" i="1"/>
  <c r="F1890" i="1"/>
  <c r="P1889" i="1"/>
  <c r="L1889" i="1"/>
  <c r="F1889" i="1"/>
  <c r="P1888" i="1"/>
  <c r="L1888" i="1"/>
  <c r="F1888" i="1"/>
  <c r="P1887" i="1"/>
  <c r="L1887" i="1"/>
  <c r="F1887" i="1"/>
  <c r="P1886" i="1"/>
  <c r="L1886" i="1"/>
  <c r="F1886" i="1"/>
  <c r="P1885" i="1"/>
  <c r="L1885" i="1"/>
  <c r="F1885" i="1"/>
  <c r="P1884" i="1"/>
  <c r="L1884" i="1"/>
  <c r="F1884" i="1"/>
  <c r="P1883" i="1"/>
  <c r="L1883" i="1"/>
  <c r="F1883" i="1"/>
  <c r="P1882" i="1"/>
  <c r="L1882" i="1"/>
  <c r="F1882" i="1"/>
  <c r="P1881" i="1"/>
  <c r="L1881" i="1"/>
  <c r="F1881" i="1"/>
  <c r="P1880" i="1"/>
  <c r="L1880" i="1"/>
  <c r="F1880" i="1"/>
  <c r="P1879" i="1"/>
  <c r="L1879" i="1"/>
  <c r="F1879" i="1"/>
  <c r="P1878" i="1"/>
  <c r="L1878" i="1"/>
  <c r="F1878" i="1"/>
  <c r="P1877" i="1"/>
  <c r="L1877" i="1"/>
  <c r="F1877" i="1"/>
  <c r="P1876" i="1"/>
  <c r="L1876" i="1"/>
  <c r="F1876" i="1"/>
  <c r="P1875" i="1"/>
  <c r="L1875" i="1"/>
  <c r="F1875" i="1"/>
  <c r="P1874" i="1"/>
  <c r="L1874" i="1"/>
  <c r="F1874" i="1"/>
  <c r="P1873" i="1"/>
  <c r="L1873" i="1"/>
  <c r="F1873" i="1"/>
  <c r="P1872" i="1"/>
  <c r="L1872" i="1"/>
  <c r="F1872" i="1"/>
  <c r="P1871" i="1"/>
  <c r="L1871" i="1"/>
  <c r="F1871" i="1"/>
  <c r="P1870" i="1"/>
  <c r="L1870" i="1"/>
  <c r="F1870" i="1"/>
  <c r="P1869" i="1"/>
  <c r="L1869" i="1"/>
  <c r="F1869" i="1"/>
  <c r="P1868" i="1"/>
  <c r="L1868" i="1"/>
  <c r="F1868" i="1"/>
  <c r="P1867" i="1"/>
  <c r="L1867" i="1"/>
  <c r="F1867" i="1"/>
  <c r="P1866" i="1"/>
  <c r="L1866" i="1"/>
  <c r="F1866" i="1"/>
  <c r="P1865" i="1"/>
  <c r="L1865" i="1"/>
  <c r="F1865" i="1"/>
  <c r="P1864" i="1"/>
  <c r="L1864" i="1"/>
  <c r="F1864" i="1"/>
  <c r="P1863" i="1"/>
  <c r="L1863" i="1"/>
  <c r="F1863" i="1"/>
  <c r="P1862" i="1"/>
  <c r="L1862" i="1"/>
  <c r="F1862" i="1"/>
  <c r="P1861" i="1"/>
  <c r="L1861" i="1"/>
  <c r="F1861" i="1"/>
  <c r="P1860" i="1"/>
  <c r="L1860" i="1"/>
  <c r="F1860" i="1"/>
  <c r="P1859" i="1"/>
  <c r="L1859" i="1"/>
  <c r="F1859" i="1"/>
  <c r="P1858" i="1"/>
  <c r="L1858" i="1"/>
  <c r="F1858" i="1"/>
  <c r="P1857" i="1"/>
  <c r="L1857" i="1"/>
  <c r="F1857" i="1"/>
  <c r="P1856" i="1"/>
  <c r="L1856" i="1"/>
  <c r="F1856" i="1"/>
  <c r="P1855" i="1"/>
  <c r="L1855" i="1"/>
  <c r="F1855" i="1"/>
  <c r="P1854" i="1"/>
  <c r="L1854" i="1"/>
  <c r="F1854" i="1"/>
  <c r="P1853" i="1"/>
  <c r="L1853" i="1"/>
  <c r="F1853" i="1"/>
  <c r="P1852" i="1"/>
  <c r="L1852" i="1"/>
  <c r="F1852" i="1"/>
  <c r="P1851" i="1"/>
  <c r="L1851" i="1"/>
  <c r="F1851" i="1"/>
  <c r="P1850" i="1"/>
  <c r="L1850" i="1"/>
  <c r="F1850" i="1"/>
  <c r="P1849" i="1"/>
  <c r="L1849" i="1"/>
  <c r="F1849" i="1"/>
  <c r="P1848" i="1"/>
  <c r="L1848" i="1"/>
  <c r="F1848" i="1"/>
  <c r="P1847" i="1"/>
  <c r="L1847" i="1"/>
  <c r="F1847" i="1"/>
  <c r="P1846" i="1"/>
  <c r="L1846" i="1"/>
  <c r="F1846" i="1"/>
  <c r="P1845" i="1"/>
  <c r="L1845" i="1"/>
  <c r="F1845" i="1"/>
  <c r="P1844" i="1"/>
  <c r="L1844" i="1"/>
  <c r="F1844" i="1"/>
  <c r="P1843" i="1"/>
  <c r="L1843" i="1"/>
  <c r="F1843" i="1"/>
  <c r="P1842" i="1"/>
  <c r="L1842" i="1"/>
  <c r="F1842" i="1"/>
  <c r="P1841" i="1"/>
  <c r="L1841" i="1"/>
  <c r="F1841" i="1"/>
  <c r="P1840" i="1"/>
  <c r="L1840" i="1"/>
  <c r="F1840" i="1"/>
  <c r="P1839" i="1"/>
  <c r="L1839" i="1"/>
  <c r="F1839" i="1"/>
  <c r="P1838" i="1"/>
  <c r="L1838" i="1"/>
  <c r="F1838" i="1"/>
  <c r="P1837" i="1"/>
  <c r="L1837" i="1"/>
  <c r="F1837" i="1"/>
  <c r="P1836" i="1"/>
  <c r="L1836" i="1"/>
  <c r="F1836" i="1"/>
  <c r="P1835" i="1"/>
  <c r="L1835" i="1"/>
  <c r="F1835" i="1"/>
  <c r="P1834" i="1"/>
  <c r="L1834" i="1"/>
  <c r="F1834" i="1"/>
  <c r="P1833" i="1"/>
  <c r="L1833" i="1"/>
  <c r="F1833" i="1"/>
  <c r="P1832" i="1"/>
  <c r="L1832" i="1"/>
  <c r="F1832" i="1"/>
  <c r="P1831" i="1"/>
  <c r="L1831" i="1"/>
  <c r="F1831" i="1"/>
  <c r="P1830" i="1"/>
  <c r="L1830" i="1"/>
  <c r="F1830" i="1"/>
  <c r="P1829" i="1"/>
  <c r="L1829" i="1"/>
  <c r="F1829" i="1"/>
  <c r="P1828" i="1"/>
  <c r="L1828" i="1"/>
  <c r="F1828" i="1"/>
  <c r="P1827" i="1"/>
  <c r="L1827" i="1"/>
  <c r="F1827" i="1"/>
  <c r="P1826" i="1"/>
  <c r="L1826" i="1"/>
  <c r="F1826" i="1"/>
  <c r="P1825" i="1"/>
  <c r="L1825" i="1"/>
  <c r="F1825" i="1"/>
  <c r="P1824" i="1"/>
  <c r="L1824" i="1"/>
  <c r="F1824" i="1"/>
  <c r="P1823" i="1"/>
  <c r="L1823" i="1"/>
  <c r="F1823" i="1"/>
  <c r="P1822" i="1"/>
  <c r="L1822" i="1"/>
  <c r="F1822" i="1"/>
  <c r="P1821" i="1"/>
  <c r="L1821" i="1"/>
  <c r="F1821" i="1"/>
  <c r="P1820" i="1"/>
  <c r="L1820" i="1"/>
  <c r="F1820" i="1"/>
  <c r="P1819" i="1"/>
  <c r="L1819" i="1"/>
  <c r="F1819" i="1"/>
  <c r="P1818" i="1"/>
  <c r="L1818" i="1"/>
  <c r="F1818" i="1"/>
  <c r="P1817" i="1"/>
  <c r="L1817" i="1"/>
  <c r="F1817" i="1"/>
  <c r="P1816" i="1"/>
  <c r="L1816" i="1"/>
  <c r="F1816" i="1"/>
  <c r="P1815" i="1"/>
  <c r="L1815" i="1"/>
  <c r="F1815" i="1"/>
  <c r="P1814" i="1"/>
  <c r="L1814" i="1"/>
  <c r="F1814" i="1"/>
  <c r="P1813" i="1"/>
  <c r="L1813" i="1"/>
  <c r="F1813" i="1"/>
  <c r="P1812" i="1"/>
  <c r="L1812" i="1"/>
  <c r="F1812" i="1"/>
  <c r="P1811" i="1"/>
  <c r="L1811" i="1"/>
  <c r="F1811" i="1"/>
  <c r="P1810" i="1"/>
  <c r="L1810" i="1"/>
  <c r="F1810" i="1"/>
  <c r="P1809" i="1"/>
  <c r="L1809" i="1"/>
  <c r="F1809" i="1"/>
  <c r="P1808" i="1"/>
  <c r="L1808" i="1"/>
  <c r="F1808" i="1"/>
  <c r="P1807" i="1"/>
  <c r="L1807" i="1"/>
  <c r="F1807" i="1"/>
  <c r="P1806" i="1"/>
  <c r="L1806" i="1"/>
  <c r="F1806" i="1"/>
  <c r="P1805" i="1"/>
  <c r="L1805" i="1"/>
  <c r="F1805" i="1"/>
  <c r="P1804" i="1"/>
  <c r="L1804" i="1"/>
  <c r="F1804" i="1"/>
  <c r="P1803" i="1"/>
  <c r="L1803" i="1"/>
  <c r="F1803" i="1"/>
  <c r="P1802" i="1"/>
  <c r="L1802" i="1"/>
  <c r="F1802" i="1"/>
  <c r="P1801" i="1"/>
  <c r="L1801" i="1"/>
  <c r="F1801" i="1"/>
  <c r="P1800" i="1"/>
  <c r="L1800" i="1"/>
  <c r="F1800" i="1"/>
  <c r="P1799" i="1"/>
  <c r="L1799" i="1"/>
  <c r="F1799" i="1"/>
  <c r="P1798" i="1"/>
  <c r="L1798" i="1"/>
  <c r="F1798" i="1"/>
  <c r="P1797" i="1"/>
  <c r="L1797" i="1"/>
  <c r="F1797" i="1"/>
  <c r="P1796" i="1"/>
  <c r="L1796" i="1"/>
  <c r="F1796" i="1"/>
  <c r="P1795" i="1"/>
  <c r="L1795" i="1"/>
  <c r="F1795" i="1"/>
  <c r="P1794" i="1"/>
  <c r="L1794" i="1"/>
  <c r="F1794" i="1"/>
  <c r="P1793" i="1"/>
  <c r="L1793" i="1"/>
  <c r="F1793" i="1"/>
  <c r="P1792" i="1"/>
  <c r="L1792" i="1"/>
  <c r="F1792" i="1"/>
  <c r="P1791" i="1"/>
  <c r="L1791" i="1"/>
  <c r="F1791" i="1"/>
  <c r="P1790" i="1"/>
  <c r="L1790" i="1"/>
  <c r="F1790" i="1"/>
  <c r="P1789" i="1"/>
  <c r="L1789" i="1"/>
  <c r="F1789" i="1"/>
  <c r="P1788" i="1"/>
  <c r="L1788" i="1"/>
  <c r="F1788" i="1"/>
  <c r="P1787" i="1"/>
  <c r="L1787" i="1"/>
  <c r="F1787" i="1"/>
  <c r="P1786" i="1"/>
  <c r="L1786" i="1"/>
  <c r="F1786" i="1"/>
  <c r="P1785" i="1"/>
  <c r="L1785" i="1"/>
  <c r="F1785" i="1"/>
  <c r="P1784" i="1"/>
  <c r="L1784" i="1"/>
  <c r="F1784" i="1"/>
  <c r="P1783" i="1"/>
  <c r="L1783" i="1"/>
  <c r="F1783" i="1"/>
  <c r="P1782" i="1"/>
  <c r="L1782" i="1"/>
  <c r="F1782" i="1"/>
  <c r="P1781" i="1"/>
  <c r="L1781" i="1"/>
  <c r="F1781" i="1"/>
  <c r="P1780" i="1"/>
  <c r="L1780" i="1"/>
  <c r="F1780" i="1"/>
  <c r="P1779" i="1"/>
  <c r="L1779" i="1"/>
  <c r="F1779" i="1"/>
  <c r="P1778" i="1"/>
  <c r="L1778" i="1"/>
  <c r="F1778" i="1"/>
  <c r="P1777" i="1"/>
  <c r="L1777" i="1"/>
  <c r="F1777" i="1"/>
  <c r="P1776" i="1"/>
  <c r="L1776" i="1"/>
  <c r="F1776" i="1"/>
  <c r="P1775" i="1"/>
  <c r="L1775" i="1"/>
  <c r="F1775" i="1"/>
  <c r="P1774" i="1"/>
  <c r="L1774" i="1"/>
  <c r="F1774" i="1"/>
  <c r="P1773" i="1"/>
  <c r="L1773" i="1"/>
  <c r="F1773" i="1"/>
  <c r="P1772" i="1"/>
  <c r="L1772" i="1"/>
  <c r="F1772" i="1"/>
  <c r="P1771" i="1"/>
  <c r="L1771" i="1"/>
  <c r="F1771" i="1"/>
  <c r="P1770" i="1"/>
  <c r="L1770" i="1"/>
  <c r="F1770" i="1"/>
  <c r="P1769" i="1"/>
  <c r="L1769" i="1"/>
  <c r="F1769" i="1"/>
  <c r="P1768" i="1"/>
  <c r="L1768" i="1"/>
  <c r="F1768" i="1"/>
  <c r="P1767" i="1"/>
  <c r="L1767" i="1"/>
  <c r="F1767" i="1"/>
  <c r="P1766" i="1"/>
  <c r="L1766" i="1"/>
  <c r="F1766" i="1"/>
  <c r="P1765" i="1"/>
  <c r="L1765" i="1"/>
  <c r="F1765" i="1"/>
  <c r="P1764" i="1"/>
  <c r="L1764" i="1"/>
  <c r="F1764" i="1"/>
  <c r="P1763" i="1"/>
  <c r="L1763" i="1"/>
  <c r="F1763" i="1"/>
  <c r="P1762" i="1"/>
  <c r="L1762" i="1"/>
  <c r="F1762" i="1"/>
  <c r="P1761" i="1"/>
  <c r="L1761" i="1"/>
  <c r="F1761" i="1"/>
  <c r="P1760" i="1"/>
  <c r="L1760" i="1"/>
  <c r="F1760" i="1"/>
  <c r="P1759" i="1"/>
  <c r="L1759" i="1"/>
  <c r="F1759" i="1"/>
  <c r="P1758" i="1"/>
  <c r="L1758" i="1"/>
  <c r="F1758" i="1"/>
  <c r="P1757" i="1"/>
  <c r="L1757" i="1"/>
  <c r="F1757" i="1"/>
  <c r="P1756" i="1"/>
  <c r="L1756" i="1"/>
  <c r="F1756" i="1"/>
  <c r="P1755" i="1"/>
  <c r="L1755" i="1"/>
  <c r="F1755" i="1"/>
  <c r="P1754" i="1"/>
  <c r="L1754" i="1"/>
  <c r="F1754" i="1"/>
  <c r="P1753" i="1"/>
  <c r="L1753" i="1"/>
  <c r="F1753" i="1"/>
  <c r="P1752" i="1"/>
  <c r="L1752" i="1"/>
  <c r="F1752" i="1"/>
  <c r="P1751" i="1"/>
  <c r="L1751" i="1"/>
  <c r="F1751" i="1"/>
  <c r="P1750" i="1"/>
  <c r="L1750" i="1"/>
  <c r="F1750" i="1"/>
  <c r="P1749" i="1"/>
  <c r="L1749" i="1"/>
  <c r="F1749" i="1"/>
  <c r="P1748" i="1"/>
  <c r="L1748" i="1"/>
  <c r="F1748" i="1"/>
  <c r="P1747" i="1"/>
  <c r="L1747" i="1"/>
  <c r="F1747" i="1"/>
  <c r="P1746" i="1"/>
  <c r="L1746" i="1"/>
  <c r="F1746" i="1"/>
  <c r="P1745" i="1"/>
  <c r="L1745" i="1"/>
  <c r="F1745" i="1"/>
  <c r="L1744" i="1"/>
  <c r="F1744" i="1"/>
  <c r="P1743" i="1"/>
  <c r="L1743" i="1"/>
  <c r="F1743" i="1"/>
  <c r="L1742" i="1"/>
  <c r="F1742" i="1"/>
  <c r="L1741" i="1"/>
  <c r="F1741" i="1"/>
  <c r="L1740" i="1"/>
  <c r="F1740" i="1"/>
  <c r="P1739" i="1"/>
  <c r="L1739" i="1"/>
  <c r="F1739" i="1"/>
  <c r="P1738" i="1"/>
  <c r="L1738" i="1"/>
  <c r="F1738" i="1"/>
  <c r="L1737" i="1"/>
  <c r="F1737" i="1"/>
  <c r="L1736" i="1"/>
  <c r="F1736" i="1"/>
  <c r="L1735" i="1"/>
  <c r="F1735" i="1"/>
  <c r="P1734" i="1"/>
  <c r="L1734" i="1"/>
  <c r="F1734" i="1"/>
  <c r="P1733" i="1"/>
  <c r="L1733" i="1"/>
  <c r="F1733" i="1"/>
  <c r="L1732" i="1"/>
  <c r="F1732" i="1"/>
  <c r="L1731" i="1"/>
  <c r="F1731" i="1"/>
  <c r="L1730" i="1"/>
  <c r="F1730" i="1"/>
  <c r="L1729" i="1"/>
  <c r="F1729" i="1"/>
  <c r="L1728" i="1"/>
  <c r="F1728" i="1"/>
  <c r="L1727" i="1"/>
  <c r="F1727" i="1"/>
  <c r="L1726" i="1"/>
  <c r="F1726" i="1"/>
  <c r="P1725" i="1"/>
  <c r="L1725" i="1"/>
  <c r="F1725" i="1"/>
  <c r="L1724" i="1"/>
  <c r="F1724" i="1"/>
  <c r="P1723" i="1"/>
  <c r="L1723" i="1"/>
  <c r="F1723" i="1"/>
  <c r="P1722" i="1"/>
  <c r="L1722" i="1"/>
  <c r="F1722" i="1"/>
  <c r="P1721" i="1"/>
  <c r="L1721" i="1"/>
  <c r="F1721" i="1"/>
  <c r="P1720" i="1"/>
  <c r="L1720" i="1"/>
  <c r="F1720" i="1"/>
  <c r="P1719" i="1"/>
  <c r="L1719" i="1"/>
  <c r="F1719" i="1"/>
  <c r="L1718" i="1"/>
  <c r="F1718" i="1"/>
  <c r="L1717" i="1"/>
  <c r="F1717" i="1"/>
  <c r="P1716" i="1"/>
  <c r="L1716" i="1"/>
  <c r="F1716" i="1"/>
  <c r="L1715" i="1"/>
  <c r="F1715" i="1"/>
  <c r="L1714" i="1"/>
  <c r="F1714" i="1"/>
  <c r="P1713" i="1"/>
  <c r="L1713" i="1"/>
  <c r="F1713" i="1"/>
  <c r="P1712" i="1"/>
  <c r="L1712" i="1"/>
  <c r="F1712" i="1"/>
  <c r="P1711" i="1"/>
  <c r="L1711" i="1"/>
  <c r="F1711" i="1"/>
  <c r="P1710" i="1"/>
  <c r="L1710" i="1"/>
  <c r="F1710" i="1"/>
  <c r="L1709" i="1"/>
  <c r="F1709" i="1"/>
  <c r="L1708" i="1"/>
  <c r="F1708" i="1"/>
  <c r="L1707" i="1"/>
  <c r="F1707" i="1"/>
  <c r="L1706" i="1"/>
  <c r="F1706" i="1"/>
  <c r="L1705" i="1"/>
  <c r="F1705" i="1"/>
  <c r="L1704" i="1"/>
  <c r="F1704" i="1"/>
  <c r="L1703" i="1"/>
  <c r="F1703" i="1"/>
  <c r="L1702" i="1"/>
  <c r="F1702" i="1"/>
  <c r="P1701" i="1"/>
  <c r="L1701" i="1"/>
  <c r="F1701" i="1"/>
  <c r="L1700" i="1"/>
  <c r="F1700" i="1"/>
  <c r="P1699" i="1"/>
  <c r="L1699" i="1"/>
  <c r="F1699" i="1"/>
  <c r="L1698" i="1"/>
  <c r="F1698" i="1"/>
  <c r="L1697" i="1"/>
  <c r="F1697" i="1"/>
  <c r="L1696" i="1"/>
  <c r="F1696" i="1"/>
  <c r="P1695" i="1"/>
  <c r="L1695" i="1"/>
  <c r="F1695" i="1"/>
  <c r="L1694" i="1"/>
  <c r="F1694" i="1"/>
  <c r="P1693" i="1"/>
  <c r="L1693" i="1"/>
  <c r="F1693" i="1"/>
  <c r="P1692" i="1"/>
  <c r="L1692" i="1"/>
  <c r="F1692" i="1"/>
  <c r="L1691" i="1"/>
  <c r="F1691" i="1"/>
  <c r="P1690" i="1"/>
  <c r="L1690" i="1"/>
  <c r="F1690" i="1"/>
  <c r="P1689" i="1"/>
  <c r="L1689" i="1"/>
  <c r="F1689" i="1"/>
  <c r="L1688" i="1"/>
  <c r="F1688" i="1"/>
  <c r="L1687" i="1"/>
  <c r="F1687" i="1"/>
  <c r="L1686" i="1"/>
  <c r="F1686" i="1"/>
  <c r="L1685" i="1"/>
  <c r="F1685" i="1"/>
  <c r="L1684" i="1"/>
  <c r="F1684" i="1"/>
  <c r="L1683" i="1"/>
  <c r="F1683" i="1"/>
  <c r="L1682" i="1"/>
  <c r="F1682" i="1"/>
  <c r="L1681" i="1"/>
  <c r="F1681" i="1"/>
  <c r="L1680" i="1"/>
  <c r="F1680" i="1"/>
  <c r="L1679" i="1"/>
  <c r="F1679" i="1"/>
  <c r="L1678" i="1"/>
  <c r="F1678" i="1"/>
  <c r="L1677" i="1"/>
  <c r="F1677" i="1"/>
  <c r="L1676" i="1"/>
  <c r="F1676" i="1"/>
  <c r="L1675" i="1"/>
  <c r="F1675" i="1"/>
  <c r="L1674" i="1"/>
  <c r="F1674" i="1"/>
  <c r="L1673" i="1"/>
  <c r="F1673" i="1"/>
  <c r="L1672" i="1"/>
  <c r="F1672" i="1"/>
  <c r="L1671" i="1"/>
  <c r="F1671" i="1"/>
  <c r="L1670" i="1"/>
  <c r="F1670" i="1"/>
  <c r="L1669" i="1"/>
  <c r="F1669" i="1"/>
  <c r="P1668" i="1"/>
  <c r="L1668" i="1"/>
  <c r="F1668" i="1"/>
  <c r="P1667" i="1"/>
  <c r="L1667" i="1"/>
  <c r="F1667" i="1"/>
  <c r="L1666" i="1"/>
  <c r="F1666" i="1"/>
  <c r="P1665" i="1"/>
  <c r="L1665" i="1"/>
  <c r="F1665" i="1"/>
  <c r="L1664" i="1"/>
  <c r="F1664" i="1"/>
  <c r="L1663" i="1"/>
  <c r="F1663" i="1"/>
  <c r="L1662" i="1"/>
  <c r="F1662" i="1"/>
  <c r="L1661" i="1"/>
  <c r="F1661" i="1"/>
  <c r="L1660" i="1"/>
  <c r="F1660" i="1"/>
  <c r="L1659" i="1"/>
  <c r="F1659" i="1"/>
  <c r="P1658" i="1"/>
  <c r="L1658" i="1"/>
  <c r="F1658" i="1"/>
  <c r="P1657" i="1"/>
  <c r="L1657" i="1"/>
  <c r="F1657" i="1"/>
  <c r="P1656" i="1"/>
  <c r="L1656" i="1"/>
  <c r="F1656" i="1"/>
  <c r="P1655" i="1"/>
  <c r="L1655" i="1"/>
  <c r="F1655" i="1"/>
  <c r="P1654" i="1"/>
  <c r="L1654" i="1"/>
  <c r="F1654" i="1"/>
  <c r="P1653" i="1"/>
  <c r="L1653" i="1"/>
  <c r="F1653" i="1"/>
  <c r="P1652" i="1"/>
  <c r="L1652" i="1"/>
  <c r="F1652" i="1"/>
  <c r="P1651" i="1"/>
  <c r="L1651" i="1"/>
  <c r="F1651" i="1"/>
  <c r="P1650" i="1"/>
  <c r="L1650" i="1"/>
  <c r="F1650" i="1"/>
  <c r="P1649" i="1"/>
  <c r="L1649" i="1"/>
  <c r="F1649" i="1"/>
  <c r="P1648" i="1"/>
  <c r="L1648" i="1"/>
  <c r="F1648" i="1"/>
  <c r="P1647" i="1"/>
  <c r="L1647" i="1"/>
  <c r="F1647" i="1"/>
  <c r="P1646" i="1"/>
  <c r="L1646" i="1"/>
  <c r="F1646" i="1"/>
  <c r="P1645" i="1"/>
  <c r="L1645" i="1"/>
  <c r="F1645" i="1"/>
  <c r="P1644" i="1"/>
  <c r="L1644" i="1"/>
  <c r="F1644" i="1"/>
  <c r="P1643" i="1"/>
  <c r="L1643" i="1"/>
  <c r="F1643" i="1"/>
  <c r="P1642" i="1"/>
  <c r="L1642" i="1"/>
  <c r="F1642" i="1"/>
  <c r="P1641" i="1"/>
  <c r="L1641" i="1"/>
  <c r="F1641" i="1"/>
  <c r="P1640" i="1"/>
  <c r="L1640" i="1"/>
  <c r="F1640" i="1"/>
  <c r="P1639" i="1"/>
  <c r="L1639" i="1"/>
  <c r="F1639" i="1"/>
  <c r="P1638" i="1"/>
  <c r="L1638" i="1"/>
  <c r="F1638" i="1"/>
  <c r="P1637" i="1"/>
  <c r="L1637" i="1"/>
  <c r="F1637" i="1"/>
  <c r="P1636" i="1"/>
  <c r="L1636" i="1"/>
  <c r="F1636" i="1"/>
  <c r="P1635" i="1"/>
  <c r="L1635" i="1"/>
  <c r="F1635" i="1"/>
  <c r="P1634" i="1"/>
  <c r="L1634" i="1"/>
  <c r="F1634" i="1"/>
  <c r="P1633" i="1"/>
  <c r="L1633" i="1"/>
  <c r="F1633" i="1"/>
  <c r="P1632" i="1"/>
  <c r="L1632" i="1"/>
  <c r="F1632" i="1"/>
  <c r="P1631" i="1"/>
  <c r="L1631" i="1"/>
  <c r="F1631" i="1"/>
  <c r="P1630" i="1"/>
  <c r="L1630" i="1"/>
  <c r="F1630" i="1"/>
  <c r="P1629" i="1"/>
  <c r="L1629" i="1"/>
  <c r="F1629" i="1"/>
  <c r="P1628" i="1"/>
  <c r="L1628" i="1"/>
  <c r="F1628" i="1"/>
  <c r="P1627" i="1"/>
  <c r="L1627" i="1"/>
  <c r="F1627" i="1"/>
  <c r="P1626" i="1"/>
  <c r="L1626" i="1"/>
  <c r="F1626" i="1"/>
  <c r="P1625" i="1"/>
  <c r="L1625" i="1"/>
  <c r="F1625" i="1"/>
  <c r="P1624" i="1"/>
  <c r="L1624" i="1"/>
  <c r="F1624" i="1"/>
  <c r="P1623" i="1"/>
  <c r="L1623" i="1"/>
  <c r="F1623" i="1"/>
  <c r="P1622" i="1"/>
  <c r="L1622" i="1"/>
  <c r="F1622" i="1"/>
  <c r="P1621" i="1"/>
  <c r="L1621" i="1"/>
  <c r="F1621" i="1"/>
  <c r="P1620" i="1"/>
  <c r="L1620" i="1"/>
  <c r="F1620" i="1"/>
  <c r="P1619" i="1"/>
  <c r="L1619" i="1"/>
  <c r="F1619" i="1"/>
  <c r="P1618" i="1"/>
  <c r="L1618" i="1"/>
  <c r="F1618" i="1"/>
  <c r="P1617" i="1"/>
  <c r="L1617" i="1"/>
  <c r="F1617" i="1"/>
  <c r="P1616" i="1"/>
  <c r="L1616" i="1"/>
  <c r="F1616" i="1"/>
  <c r="P1615" i="1"/>
  <c r="L1615" i="1"/>
  <c r="F1615" i="1"/>
  <c r="P1614" i="1"/>
  <c r="L1614" i="1"/>
  <c r="F1614" i="1"/>
  <c r="P1613" i="1"/>
  <c r="L1613" i="1"/>
  <c r="F1613" i="1"/>
  <c r="P1612" i="1"/>
  <c r="L1612" i="1"/>
  <c r="F1612" i="1"/>
  <c r="P1611" i="1"/>
  <c r="L1611" i="1"/>
  <c r="F1611" i="1"/>
  <c r="P1610" i="1"/>
  <c r="L1610" i="1"/>
  <c r="F1610" i="1"/>
  <c r="P1609" i="1"/>
  <c r="L1609" i="1"/>
  <c r="F1609" i="1"/>
  <c r="P1608" i="1"/>
  <c r="L1608" i="1"/>
  <c r="F1608" i="1"/>
  <c r="P1607" i="1"/>
  <c r="L1607" i="1"/>
  <c r="F1607" i="1"/>
  <c r="P1606" i="1"/>
  <c r="L1606" i="1"/>
  <c r="F1606" i="1"/>
  <c r="P1605" i="1"/>
  <c r="L1605" i="1"/>
  <c r="F1605" i="1"/>
  <c r="P1604" i="1"/>
  <c r="L1604" i="1"/>
  <c r="F1604" i="1"/>
  <c r="P1603" i="1"/>
  <c r="L1603" i="1"/>
  <c r="F1603" i="1"/>
  <c r="P1602" i="1"/>
  <c r="L1602" i="1"/>
  <c r="F1602" i="1"/>
  <c r="P1601" i="1"/>
  <c r="L1601" i="1"/>
  <c r="F1601" i="1"/>
  <c r="P1600" i="1"/>
  <c r="L1600" i="1"/>
  <c r="F1600" i="1"/>
  <c r="P1599" i="1"/>
  <c r="L1599" i="1"/>
  <c r="F1599" i="1"/>
  <c r="P1598" i="1"/>
  <c r="L1598" i="1"/>
  <c r="F1598" i="1"/>
  <c r="P1597" i="1"/>
  <c r="L1597" i="1"/>
  <c r="F1597" i="1"/>
  <c r="P1596" i="1"/>
  <c r="L1596" i="1"/>
  <c r="F1596" i="1"/>
  <c r="P1595" i="1"/>
  <c r="L1595" i="1"/>
  <c r="F1595" i="1"/>
  <c r="P1594" i="1"/>
  <c r="L1594" i="1"/>
  <c r="F1594" i="1"/>
  <c r="P1593" i="1"/>
  <c r="L1593" i="1"/>
  <c r="F1593" i="1"/>
  <c r="P1592" i="1"/>
  <c r="L1592" i="1"/>
  <c r="F1592" i="1"/>
  <c r="P1591" i="1"/>
  <c r="L1591" i="1"/>
  <c r="F1591" i="1"/>
  <c r="P1590" i="1"/>
  <c r="L1590" i="1"/>
  <c r="F1590" i="1"/>
  <c r="P1589" i="1"/>
  <c r="L1589" i="1"/>
  <c r="F1589" i="1"/>
  <c r="P1588" i="1"/>
  <c r="L1588" i="1"/>
  <c r="F1588" i="1"/>
  <c r="P1587" i="1"/>
  <c r="L1587" i="1"/>
  <c r="F1587" i="1"/>
  <c r="P1586" i="1"/>
  <c r="L1586" i="1"/>
  <c r="F1586" i="1"/>
  <c r="P1585" i="1"/>
  <c r="L1585" i="1"/>
  <c r="F1585" i="1"/>
  <c r="P1584" i="1"/>
  <c r="L1584" i="1"/>
  <c r="F1584" i="1"/>
  <c r="P1583" i="1"/>
  <c r="L1583" i="1"/>
  <c r="F1583" i="1"/>
  <c r="P1582" i="1"/>
  <c r="L1582" i="1"/>
  <c r="F1582" i="1"/>
  <c r="P1581" i="1"/>
  <c r="L1581" i="1"/>
  <c r="F1581" i="1"/>
  <c r="P1580" i="1"/>
  <c r="L1580" i="1"/>
  <c r="F1580" i="1"/>
  <c r="P1579" i="1"/>
  <c r="L1579" i="1"/>
  <c r="F1579" i="1"/>
  <c r="P1578" i="1"/>
  <c r="L1578" i="1"/>
  <c r="F1578" i="1"/>
  <c r="P1577" i="1"/>
  <c r="L1577" i="1"/>
  <c r="F1577" i="1"/>
  <c r="P1576" i="1"/>
  <c r="L1576" i="1"/>
  <c r="F1576" i="1"/>
  <c r="P1575" i="1"/>
  <c r="L1575" i="1"/>
  <c r="F1575" i="1"/>
  <c r="P1574" i="1"/>
  <c r="L1574" i="1"/>
  <c r="F1574" i="1"/>
  <c r="P1573" i="1"/>
  <c r="L1573" i="1"/>
  <c r="F1573" i="1"/>
  <c r="P1572" i="1"/>
  <c r="L1572" i="1"/>
  <c r="F1572" i="1"/>
  <c r="P1571" i="1"/>
  <c r="L1571" i="1"/>
  <c r="F1571" i="1"/>
  <c r="P1570" i="1"/>
  <c r="L1570" i="1"/>
  <c r="F1570" i="1"/>
  <c r="P1569" i="1"/>
  <c r="L1569" i="1"/>
  <c r="F1569" i="1"/>
  <c r="P1568" i="1"/>
  <c r="L1568" i="1"/>
  <c r="F1568" i="1"/>
  <c r="P1567" i="1"/>
  <c r="L1567" i="1"/>
  <c r="F1567" i="1"/>
  <c r="P1566" i="1"/>
  <c r="L1566" i="1"/>
  <c r="F1566" i="1"/>
  <c r="P1565" i="1"/>
  <c r="L1565" i="1"/>
  <c r="F1565" i="1"/>
  <c r="P1564" i="1"/>
  <c r="L1564" i="1"/>
  <c r="F1564" i="1"/>
  <c r="P1563" i="1"/>
  <c r="L1563" i="1"/>
  <c r="F1563" i="1"/>
  <c r="P1562" i="1"/>
  <c r="L1562" i="1"/>
  <c r="F1562" i="1"/>
  <c r="P1561" i="1"/>
  <c r="L1561" i="1"/>
  <c r="F1561" i="1"/>
  <c r="P1560" i="1"/>
  <c r="L1560" i="1"/>
  <c r="F1560" i="1"/>
  <c r="P1559" i="1"/>
  <c r="L1559" i="1"/>
  <c r="F1559" i="1"/>
  <c r="P1558" i="1"/>
  <c r="L1558" i="1"/>
  <c r="F1558" i="1"/>
  <c r="P1557" i="1"/>
  <c r="L1557" i="1"/>
  <c r="F1557" i="1"/>
  <c r="P1556" i="1"/>
  <c r="L1556" i="1"/>
  <c r="F1556" i="1"/>
  <c r="P1555" i="1"/>
  <c r="L1555" i="1"/>
  <c r="F1555" i="1"/>
  <c r="P1554" i="1"/>
  <c r="L1554" i="1"/>
  <c r="F1554" i="1"/>
  <c r="P1553" i="1"/>
  <c r="L1553" i="1"/>
  <c r="F1553" i="1"/>
  <c r="P1552" i="1"/>
  <c r="L1552" i="1"/>
  <c r="F1552" i="1"/>
  <c r="P1551" i="1"/>
  <c r="L1551" i="1"/>
  <c r="F1551" i="1"/>
  <c r="P1550" i="1"/>
  <c r="L1550" i="1"/>
  <c r="F1550" i="1"/>
  <c r="P1549" i="1"/>
  <c r="L1549" i="1"/>
  <c r="F1549" i="1"/>
  <c r="P1548" i="1"/>
  <c r="L1548" i="1"/>
  <c r="F1548" i="1"/>
  <c r="P1547" i="1"/>
  <c r="L1547" i="1"/>
  <c r="F1547" i="1"/>
  <c r="P1546" i="1"/>
  <c r="L1546" i="1"/>
  <c r="F1546" i="1"/>
  <c r="P1545" i="1"/>
  <c r="L1545" i="1"/>
  <c r="F1545" i="1"/>
  <c r="P1544" i="1"/>
  <c r="L1544" i="1"/>
  <c r="F1544" i="1"/>
  <c r="P1543" i="1"/>
  <c r="L1543" i="1"/>
  <c r="F1543" i="1"/>
  <c r="P1542" i="1"/>
  <c r="L1542" i="1"/>
  <c r="F1542" i="1"/>
  <c r="P1541" i="1"/>
  <c r="L1541" i="1"/>
  <c r="F1541" i="1"/>
  <c r="P1540" i="1"/>
  <c r="L1540" i="1"/>
  <c r="F1540" i="1"/>
  <c r="P1539" i="1"/>
  <c r="L1539" i="1"/>
  <c r="F1539" i="1"/>
  <c r="P1538" i="1"/>
  <c r="L1538" i="1"/>
  <c r="F1538" i="1"/>
  <c r="P1537" i="1"/>
  <c r="L1537" i="1"/>
  <c r="F1537" i="1"/>
  <c r="P1536" i="1"/>
  <c r="L1536" i="1"/>
  <c r="F1536" i="1"/>
  <c r="P1535" i="1"/>
  <c r="L1535" i="1"/>
  <c r="F1535" i="1"/>
  <c r="P1534" i="1"/>
  <c r="L1534" i="1"/>
  <c r="F1534" i="1"/>
  <c r="P1533" i="1"/>
  <c r="L1533" i="1"/>
  <c r="F1533" i="1"/>
  <c r="P1532" i="1"/>
  <c r="L1532" i="1"/>
  <c r="F1532" i="1"/>
  <c r="P1531" i="1"/>
  <c r="L1531" i="1"/>
  <c r="F1531" i="1"/>
  <c r="P1530" i="1"/>
  <c r="L1530" i="1"/>
  <c r="F1530" i="1"/>
  <c r="P1529" i="1"/>
  <c r="L1529" i="1"/>
  <c r="F1529" i="1"/>
  <c r="P1528" i="1"/>
  <c r="L1528" i="1"/>
  <c r="F1528" i="1"/>
  <c r="P1527" i="1"/>
  <c r="L1527" i="1"/>
  <c r="F1527" i="1"/>
  <c r="P1526" i="1"/>
  <c r="L1526" i="1"/>
  <c r="F1526" i="1"/>
  <c r="P1525" i="1"/>
  <c r="L1525" i="1"/>
  <c r="F1525" i="1"/>
  <c r="P1524" i="1"/>
  <c r="L1524" i="1"/>
  <c r="F1524" i="1"/>
  <c r="P1523" i="1"/>
  <c r="L1523" i="1"/>
  <c r="F1523" i="1"/>
  <c r="P1522" i="1"/>
  <c r="L1522" i="1"/>
  <c r="F1522" i="1"/>
  <c r="P1521" i="1"/>
  <c r="L1521" i="1"/>
  <c r="F1521" i="1"/>
  <c r="P1520" i="1"/>
  <c r="L1520" i="1"/>
  <c r="F1520" i="1"/>
  <c r="P1519" i="1"/>
  <c r="L1519" i="1"/>
  <c r="F1519" i="1"/>
  <c r="P1518" i="1"/>
  <c r="L1518" i="1"/>
  <c r="F1518" i="1"/>
  <c r="P1517" i="1"/>
  <c r="L1517" i="1"/>
  <c r="F1517" i="1"/>
  <c r="P1516" i="1"/>
  <c r="L1516" i="1"/>
  <c r="F1516" i="1"/>
  <c r="P1515" i="1"/>
  <c r="L1515" i="1"/>
  <c r="F1515" i="1"/>
  <c r="P1514" i="1"/>
  <c r="L1514" i="1"/>
  <c r="F1514" i="1"/>
  <c r="P1513" i="1"/>
  <c r="L1513" i="1"/>
  <c r="F1513" i="1"/>
  <c r="P1512" i="1"/>
  <c r="L1512" i="1"/>
  <c r="F1512" i="1"/>
  <c r="P1511" i="1"/>
  <c r="L1511" i="1"/>
  <c r="F1511" i="1"/>
  <c r="P1510" i="1"/>
  <c r="L1510" i="1"/>
  <c r="F1510" i="1"/>
  <c r="P1509" i="1"/>
  <c r="L1509" i="1"/>
  <c r="F1509" i="1"/>
  <c r="P1508" i="1"/>
  <c r="L1508" i="1"/>
  <c r="F1508" i="1"/>
  <c r="P1507" i="1"/>
  <c r="L1507" i="1"/>
  <c r="F1507" i="1"/>
  <c r="P1506" i="1"/>
  <c r="L1506" i="1"/>
  <c r="F1506" i="1"/>
  <c r="P1505" i="1"/>
  <c r="L1505" i="1"/>
  <c r="F1505" i="1"/>
  <c r="P1504" i="1"/>
  <c r="L1504" i="1"/>
  <c r="F1504" i="1"/>
  <c r="P1503" i="1"/>
  <c r="L1503" i="1"/>
  <c r="F1503" i="1"/>
  <c r="P1502" i="1"/>
  <c r="L1502" i="1"/>
  <c r="F1502" i="1"/>
  <c r="P1501" i="1"/>
  <c r="L1501" i="1"/>
  <c r="F1501" i="1"/>
  <c r="P1500" i="1"/>
  <c r="L1500" i="1"/>
  <c r="F1500" i="1"/>
  <c r="P1499" i="1"/>
  <c r="L1499" i="1"/>
  <c r="F1499" i="1"/>
  <c r="P1498" i="1"/>
  <c r="L1498" i="1"/>
  <c r="F1498" i="1"/>
  <c r="P1497" i="1"/>
  <c r="L1497" i="1"/>
  <c r="F1497" i="1"/>
  <c r="P1496" i="1"/>
  <c r="L1496" i="1"/>
  <c r="F1496" i="1"/>
  <c r="P1495" i="1"/>
  <c r="L1495" i="1"/>
  <c r="F1495" i="1"/>
  <c r="P1494" i="1"/>
  <c r="L1494" i="1"/>
  <c r="F1494" i="1"/>
  <c r="P1493" i="1"/>
  <c r="L1493" i="1"/>
  <c r="F1493" i="1"/>
  <c r="P1492" i="1"/>
  <c r="L1492" i="1"/>
  <c r="F1492" i="1"/>
  <c r="P1491" i="1"/>
  <c r="L1491" i="1"/>
  <c r="F1491" i="1"/>
  <c r="P1490" i="1"/>
  <c r="L1490" i="1"/>
  <c r="F1490" i="1"/>
  <c r="P1489" i="1"/>
  <c r="L1489" i="1"/>
  <c r="F1489" i="1"/>
  <c r="P1488" i="1"/>
  <c r="L1488" i="1"/>
  <c r="F1488" i="1"/>
  <c r="P1487" i="1"/>
  <c r="L1487" i="1"/>
  <c r="F1487" i="1"/>
  <c r="P1486" i="1"/>
  <c r="L1486" i="1"/>
  <c r="F1486" i="1"/>
  <c r="P1485" i="1"/>
  <c r="L1485" i="1"/>
  <c r="F1485" i="1"/>
  <c r="P1484" i="1"/>
  <c r="L1484" i="1"/>
  <c r="F1484" i="1"/>
  <c r="P1483" i="1"/>
  <c r="L1483" i="1"/>
  <c r="F1483" i="1"/>
  <c r="P1482" i="1"/>
  <c r="L1482" i="1"/>
  <c r="F1482" i="1"/>
  <c r="P1481" i="1"/>
  <c r="L1481" i="1"/>
  <c r="F1481" i="1"/>
  <c r="P1480" i="1"/>
  <c r="L1480" i="1"/>
  <c r="F1480" i="1"/>
  <c r="P1479" i="1"/>
  <c r="L1479" i="1"/>
  <c r="F1479" i="1"/>
  <c r="P1478" i="1"/>
  <c r="L1478" i="1"/>
  <c r="F1478" i="1"/>
  <c r="P1477" i="1"/>
  <c r="L1477" i="1"/>
  <c r="F1477" i="1"/>
  <c r="P1476" i="1"/>
  <c r="L1476" i="1"/>
  <c r="F1476" i="1"/>
  <c r="P1475" i="1"/>
  <c r="L1475" i="1"/>
  <c r="F1475" i="1"/>
  <c r="P1474" i="1"/>
  <c r="L1474" i="1"/>
  <c r="F1474" i="1"/>
  <c r="P1473" i="1"/>
  <c r="L1473" i="1"/>
  <c r="F1473" i="1"/>
  <c r="P1472" i="1"/>
  <c r="L1472" i="1"/>
  <c r="F1472" i="1"/>
  <c r="P1471" i="1"/>
  <c r="L1471" i="1"/>
  <c r="F1471" i="1"/>
  <c r="P1470" i="1"/>
  <c r="L1470" i="1"/>
  <c r="F1470" i="1"/>
  <c r="P1469" i="1"/>
  <c r="L1469" i="1"/>
  <c r="F1469" i="1"/>
  <c r="P1468" i="1"/>
  <c r="L1468" i="1"/>
  <c r="F1468" i="1"/>
  <c r="P1467" i="1"/>
  <c r="L1467" i="1"/>
  <c r="F1467" i="1"/>
  <c r="P1466" i="1"/>
  <c r="L1466" i="1"/>
  <c r="F1466" i="1"/>
  <c r="P1465" i="1"/>
  <c r="L1465" i="1"/>
  <c r="F1465" i="1"/>
  <c r="P1464" i="1"/>
  <c r="L1464" i="1"/>
  <c r="F1464" i="1"/>
  <c r="P1463" i="1"/>
  <c r="L1463" i="1"/>
  <c r="F1463" i="1"/>
  <c r="P1462" i="1"/>
  <c r="L1462" i="1"/>
  <c r="F1462" i="1"/>
  <c r="P1461" i="1"/>
  <c r="L1461" i="1"/>
  <c r="F1461" i="1"/>
  <c r="P1460" i="1"/>
  <c r="L1460" i="1"/>
  <c r="F1460" i="1"/>
  <c r="P1459" i="1"/>
  <c r="L1459" i="1"/>
  <c r="F1459" i="1"/>
  <c r="P1458" i="1"/>
  <c r="L1458" i="1"/>
  <c r="F1458" i="1"/>
  <c r="P1457" i="1"/>
  <c r="L1457" i="1"/>
  <c r="F1457" i="1"/>
  <c r="P1456" i="1"/>
  <c r="L1456" i="1"/>
  <c r="F1456" i="1"/>
  <c r="P1455" i="1"/>
  <c r="L1455" i="1"/>
  <c r="F1455" i="1"/>
  <c r="P1454" i="1"/>
  <c r="L1454" i="1"/>
  <c r="F1454" i="1"/>
  <c r="P1453" i="1"/>
  <c r="L1453" i="1"/>
  <c r="F1453" i="1"/>
  <c r="P1452" i="1"/>
  <c r="L1452" i="1"/>
  <c r="F1452" i="1"/>
  <c r="P1451" i="1"/>
  <c r="L1451" i="1"/>
  <c r="F1451" i="1"/>
  <c r="P1450" i="1"/>
  <c r="L1450" i="1"/>
  <c r="F1450" i="1"/>
  <c r="P1449" i="1"/>
  <c r="L1449" i="1"/>
  <c r="F1449" i="1"/>
  <c r="P1448" i="1"/>
  <c r="L1448" i="1"/>
  <c r="F1448" i="1"/>
  <c r="P1447" i="1"/>
  <c r="L1447" i="1"/>
  <c r="F1447" i="1"/>
  <c r="P1446" i="1"/>
  <c r="L1446" i="1"/>
  <c r="F1446" i="1"/>
  <c r="P1445" i="1"/>
  <c r="L1445" i="1"/>
  <c r="F1445" i="1"/>
  <c r="P1444" i="1"/>
  <c r="L1444" i="1"/>
  <c r="F1444" i="1"/>
  <c r="P1443" i="1"/>
  <c r="L1443" i="1"/>
  <c r="F1443" i="1"/>
  <c r="P1442" i="1"/>
  <c r="L1442" i="1"/>
  <c r="F1442" i="1"/>
  <c r="P1441" i="1"/>
  <c r="L1441" i="1"/>
  <c r="F1441" i="1"/>
  <c r="P1440" i="1"/>
  <c r="L1440" i="1"/>
  <c r="F1440" i="1"/>
  <c r="P1439" i="1"/>
  <c r="L1439" i="1"/>
  <c r="F1439" i="1"/>
  <c r="P1438" i="1"/>
  <c r="L1438" i="1"/>
  <c r="F1438" i="1"/>
  <c r="P1437" i="1"/>
  <c r="L1437" i="1"/>
  <c r="F1437" i="1"/>
  <c r="P1436" i="1"/>
  <c r="L1436" i="1"/>
  <c r="F1436" i="1"/>
  <c r="P1435" i="1"/>
  <c r="L1435" i="1"/>
  <c r="F1435" i="1"/>
  <c r="P1434" i="1"/>
  <c r="L1434" i="1"/>
  <c r="F1434" i="1"/>
  <c r="P1433" i="1"/>
  <c r="L1433" i="1"/>
  <c r="F1433" i="1"/>
  <c r="P1432" i="1"/>
  <c r="L1432" i="1"/>
  <c r="F1432" i="1"/>
  <c r="P1431" i="1"/>
  <c r="L1431" i="1"/>
  <c r="F1431" i="1"/>
  <c r="P1430" i="1"/>
  <c r="L1430" i="1"/>
  <c r="F1430" i="1"/>
  <c r="P1429" i="1"/>
  <c r="L1429" i="1"/>
  <c r="F1429" i="1"/>
  <c r="P1428" i="1"/>
  <c r="L1428" i="1"/>
  <c r="F1428" i="1"/>
  <c r="P1427" i="1"/>
  <c r="L1427" i="1"/>
  <c r="F1427" i="1"/>
  <c r="P1426" i="1"/>
  <c r="L1426" i="1"/>
  <c r="F1426" i="1"/>
  <c r="P1425" i="1"/>
  <c r="L1425" i="1"/>
  <c r="F1425" i="1"/>
  <c r="P1424" i="1"/>
  <c r="L1424" i="1"/>
  <c r="F1424" i="1"/>
  <c r="P1423" i="1"/>
  <c r="L1423" i="1"/>
  <c r="F1423" i="1"/>
  <c r="P1422" i="1"/>
  <c r="L1422" i="1"/>
  <c r="F1422" i="1"/>
  <c r="P1421" i="1"/>
  <c r="L1421" i="1"/>
  <c r="F1421" i="1"/>
  <c r="P1420" i="1"/>
  <c r="L1420" i="1"/>
  <c r="F1420" i="1"/>
  <c r="P1419" i="1"/>
  <c r="L1419" i="1"/>
  <c r="F1419" i="1"/>
  <c r="P1418" i="1"/>
  <c r="L1418" i="1"/>
  <c r="F1418" i="1"/>
  <c r="P1417" i="1"/>
  <c r="L1417" i="1"/>
  <c r="F1417" i="1"/>
  <c r="P1416" i="1"/>
  <c r="L1416" i="1"/>
  <c r="F1416" i="1"/>
  <c r="P1415" i="1"/>
  <c r="L1415" i="1"/>
  <c r="F1415" i="1"/>
  <c r="P1414" i="1"/>
  <c r="L1414" i="1"/>
  <c r="F1414" i="1"/>
  <c r="P1413" i="1"/>
  <c r="L1413" i="1"/>
  <c r="F1413" i="1"/>
  <c r="P1412" i="1"/>
  <c r="L1412" i="1"/>
  <c r="F1412" i="1"/>
  <c r="P1411" i="1"/>
  <c r="L1411" i="1"/>
  <c r="F1411" i="1"/>
  <c r="P1410" i="1"/>
  <c r="L1410" i="1"/>
  <c r="F1410" i="1"/>
  <c r="P1409" i="1"/>
  <c r="L1409" i="1"/>
  <c r="F1409" i="1"/>
  <c r="P1408" i="1"/>
  <c r="L1408" i="1"/>
  <c r="F1408" i="1"/>
  <c r="P1407" i="1"/>
  <c r="L1407" i="1"/>
  <c r="F1407" i="1"/>
  <c r="P1406" i="1"/>
  <c r="L1406" i="1"/>
  <c r="F1406" i="1"/>
  <c r="P1405" i="1"/>
  <c r="L1405" i="1"/>
  <c r="F1405" i="1"/>
  <c r="P1404" i="1"/>
  <c r="L1404" i="1"/>
  <c r="F1404" i="1"/>
  <c r="P1403" i="1"/>
  <c r="L1403" i="1"/>
  <c r="F1403" i="1"/>
  <c r="P1402" i="1"/>
  <c r="L1402" i="1"/>
  <c r="F1402" i="1"/>
  <c r="P1401" i="1"/>
  <c r="L1401" i="1"/>
  <c r="F1401" i="1"/>
  <c r="P1400" i="1"/>
  <c r="L1400" i="1"/>
  <c r="F1400" i="1"/>
  <c r="P1399" i="1"/>
  <c r="L1399" i="1"/>
  <c r="F1399" i="1"/>
  <c r="P1398" i="1"/>
  <c r="L1398" i="1"/>
  <c r="F1398" i="1"/>
  <c r="P1397" i="1"/>
  <c r="L1397" i="1"/>
  <c r="F1397" i="1"/>
  <c r="P1396" i="1"/>
  <c r="L1396" i="1"/>
  <c r="F1396" i="1"/>
  <c r="P1395" i="1"/>
  <c r="L1395" i="1"/>
  <c r="F1395" i="1"/>
  <c r="P1394" i="1"/>
  <c r="L1394" i="1"/>
  <c r="F1394" i="1"/>
  <c r="P1393" i="1"/>
  <c r="L1393" i="1"/>
  <c r="F1393" i="1"/>
  <c r="P1392" i="1"/>
  <c r="L1392" i="1"/>
  <c r="F1392" i="1"/>
  <c r="P1391" i="1"/>
  <c r="L1391" i="1"/>
  <c r="F1391" i="1"/>
  <c r="P1390" i="1"/>
  <c r="L1390" i="1"/>
  <c r="F1390" i="1"/>
  <c r="P1389" i="1"/>
  <c r="L1389" i="1"/>
  <c r="F1389" i="1"/>
  <c r="P1388" i="1"/>
  <c r="L1388" i="1"/>
  <c r="F1388" i="1"/>
  <c r="P1387" i="1"/>
  <c r="L1387" i="1"/>
  <c r="F1387" i="1"/>
  <c r="P1386" i="1"/>
  <c r="L1386" i="1"/>
  <c r="F1386" i="1"/>
  <c r="P1385" i="1"/>
  <c r="L1385" i="1"/>
  <c r="F1385" i="1"/>
  <c r="P1384" i="1"/>
  <c r="L1384" i="1"/>
  <c r="F1384" i="1"/>
  <c r="P1383" i="1"/>
  <c r="L1383" i="1"/>
  <c r="F1383" i="1"/>
  <c r="P1382" i="1"/>
  <c r="L1382" i="1"/>
  <c r="F1382" i="1"/>
  <c r="P1381" i="1"/>
  <c r="L1381" i="1"/>
  <c r="F1381" i="1"/>
  <c r="P1380" i="1"/>
  <c r="L1380" i="1"/>
  <c r="F1380" i="1"/>
  <c r="P1379" i="1"/>
  <c r="L1379" i="1"/>
  <c r="F1379" i="1"/>
  <c r="P1378" i="1"/>
  <c r="L1378" i="1"/>
  <c r="F1378" i="1"/>
  <c r="P1377" i="1"/>
  <c r="L1377" i="1"/>
  <c r="F1377" i="1"/>
  <c r="P1376" i="1"/>
  <c r="L1376" i="1"/>
  <c r="F1376" i="1"/>
  <c r="P1375" i="1"/>
  <c r="L1375" i="1"/>
  <c r="F1375" i="1"/>
  <c r="P1374" i="1"/>
  <c r="L1374" i="1"/>
  <c r="F1374" i="1"/>
  <c r="P1373" i="1"/>
  <c r="L1373" i="1"/>
  <c r="F1373" i="1"/>
  <c r="P1372" i="1"/>
  <c r="L1372" i="1"/>
  <c r="F1372" i="1"/>
  <c r="P1371" i="1"/>
  <c r="L1371" i="1"/>
  <c r="F1371" i="1"/>
  <c r="P1370" i="1"/>
  <c r="L1370" i="1"/>
  <c r="F1370" i="1"/>
  <c r="P1369" i="1"/>
  <c r="L1369" i="1"/>
  <c r="F1369" i="1"/>
  <c r="P1368" i="1"/>
  <c r="L1368" i="1"/>
  <c r="F1368" i="1"/>
  <c r="P1367" i="1"/>
  <c r="L1367" i="1"/>
  <c r="F1367" i="1"/>
  <c r="P1366" i="1"/>
  <c r="L1366" i="1"/>
  <c r="F1366" i="1"/>
  <c r="P1365" i="1"/>
  <c r="L1365" i="1"/>
  <c r="F1365" i="1"/>
  <c r="P1364" i="1"/>
  <c r="L1364" i="1"/>
  <c r="F1364" i="1"/>
  <c r="P1363" i="1"/>
  <c r="L1363" i="1"/>
  <c r="F1363" i="1"/>
  <c r="P1362" i="1"/>
  <c r="L1362" i="1"/>
  <c r="F1362" i="1"/>
  <c r="P1361" i="1"/>
  <c r="L1361" i="1"/>
  <c r="F1361" i="1"/>
  <c r="P1360" i="1"/>
  <c r="L1360" i="1"/>
  <c r="F1360" i="1"/>
  <c r="P1359" i="1"/>
  <c r="L1359" i="1"/>
  <c r="F1359" i="1"/>
  <c r="P1358" i="1"/>
  <c r="L1358" i="1"/>
  <c r="F1358" i="1"/>
  <c r="P1357" i="1"/>
  <c r="L1357" i="1"/>
  <c r="F1357" i="1"/>
  <c r="P1356" i="1"/>
  <c r="L1356" i="1"/>
  <c r="F1356" i="1"/>
  <c r="P1355" i="1"/>
  <c r="L1355" i="1"/>
  <c r="F1355" i="1"/>
  <c r="P1354" i="1"/>
  <c r="L1354" i="1"/>
  <c r="F1354" i="1"/>
  <c r="P1353" i="1"/>
  <c r="L1353" i="1"/>
  <c r="F1353" i="1"/>
  <c r="P1352" i="1"/>
  <c r="L1352" i="1"/>
  <c r="F1352" i="1"/>
  <c r="P1351" i="1"/>
  <c r="L1351" i="1"/>
  <c r="F1351" i="1"/>
  <c r="P1350" i="1"/>
  <c r="L1350" i="1"/>
  <c r="F1350" i="1"/>
  <c r="P1349" i="1"/>
  <c r="L1349" i="1"/>
  <c r="F1349" i="1"/>
  <c r="P1348" i="1"/>
  <c r="L1348" i="1"/>
  <c r="F1348" i="1"/>
  <c r="P1347" i="1"/>
  <c r="L1347" i="1"/>
  <c r="F1347" i="1"/>
  <c r="P1346" i="1"/>
  <c r="L1346" i="1"/>
  <c r="F1346" i="1"/>
  <c r="P1345" i="1"/>
  <c r="L1345" i="1"/>
  <c r="F1345" i="1"/>
  <c r="P1344" i="1"/>
  <c r="L1344" i="1"/>
  <c r="F1344" i="1"/>
  <c r="P1343" i="1"/>
  <c r="L1343" i="1"/>
  <c r="F1343" i="1"/>
  <c r="P1342" i="1"/>
  <c r="L1342" i="1"/>
  <c r="F1342" i="1"/>
  <c r="P1341" i="1"/>
  <c r="L1341" i="1"/>
  <c r="F1341" i="1"/>
  <c r="P1340" i="1"/>
  <c r="L1340" i="1"/>
  <c r="F1340" i="1"/>
  <c r="P1339" i="1"/>
  <c r="L1339" i="1"/>
  <c r="F1339" i="1"/>
  <c r="P1338" i="1"/>
  <c r="L1338" i="1"/>
  <c r="F1338" i="1"/>
  <c r="P1337" i="1"/>
  <c r="L1337" i="1"/>
  <c r="F1337" i="1"/>
  <c r="P1336" i="1"/>
  <c r="L1336" i="1"/>
  <c r="F1336" i="1"/>
  <c r="P1335" i="1"/>
  <c r="L1335" i="1"/>
  <c r="F1335" i="1"/>
  <c r="P1334" i="1"/>
  <c r="L1334" i="1"/>
  <c r="F1334" i="1"/>
  <c r="P1333" i="1"/>
  <c r="L1333" i="1"/>
  <c r="F1333" i="1"/>
  <c r="P1332" i="1"/>
  <c r="L1332" i="1"/>
  <c r="F1332" i="1"/>
  <c r="P1331" i="1"/>
  <c r="L1331" i="1"/>
  <c r="F1331" i="1"/>
  <c r="P1330" i="1"/>
  <c r="L1330" i="1"/>
  <c r="F1330" i="1"/>
  <c r="P1329" i="1"/>
  <c r="L1329" i="1"/>
  <c r="F1329" i="1"/>
  <c r="P1328" i="1"/>
  <c r="L1328" i="1"/>
  <c r="F1328" i="1"/>
  <c r="P1327" i="1"/>
  <c r="L1327" i="1"/>
  <c r="F1327" i="1"/>
  <c r="P1326" i="1"/>
  <c r="L1326" i="1"/>
  <c r="F1326" i="1"/>
  <c r="P1325" i="1"/>
  <c r="L1325" i="1"/>
  <c r="F1325" i="1"/>
  <c r="P1324" i="1"/>
  <c r="L1324" i="1"/>
  <c r="F1324" i="1"/>
  <c r="P1323" i="1"/>
  <c r="L1323" i="1"/>
  <c r="F1323" i="1"/>
  <c r="P1322" i="1"/>
  <c r="L1322" i="1"/>
  <c r="F1322" i="1"/>
  <c r="P1321" i="1"/>
  <c r="L1321" i="1"/>
  <c r="F1321" i="1"/>
  <c r="P1320" i="1"/>
  <c r="L1320" i="1"/>
  <c r="F1320" i="1"/>
  <c r="P1319" i="1"/>
  <c r="L1319" i="1"/>
  <c r="F1319" i="1"/>
  <c r="P1318" i="1"/>
  <c r="L1318" i="1"/>
  <c r="F1318" i="1"/>
  <c r="P1317" i="1"/>
  <c r="L1317" i="1"/>
  <c r="F1317" i="1"/>
  <c r="P1316" i="1"/>
  <c r="L1316" i="1"/>
  <c r="F1316" i="1"/>
  <c r="P1315" i="1"/>
  <c r="L1315" i="1"/>
  <c r="F1315" i="1"/>
  <c r="P1314" i="1"/>
  <c r="L1314" i="1"/>
  <c r="F1314" i="1"/>
  <c r="P1313" i="1"/>
  <c r="L1313" i="1"/>
  <c r="F1313" i="1"/>
  <c r="P1312" i="1"/>
  <c r="L1312" i="1"/>
  <c r="F1312" i="1"/>
  <c r="P1311" i="1"/>
  <c r="L1311" i="1"/>
  <c r="F1311" i="1"/>
  <c r="P1310" i="1"/>
  <c r="L1310" i="1"/>
  <c r="F1310" i="1"/>
  <c r="P1309" i="1"/>
  <c r="L1309" i="1"/>
  <c r="F1309" i="1"/>
  <c r="P1308" i="1"/>
  <c r="L1308" i="1"/>
  <c r="F1308" i="1"/>
  <c r="P1307" i="1"/>
  <c r="L1307" i="1"/>
  <c r="F1307" i="1"/>
  <c r="P1306" i="1"/>
  <c r="L1306" i="1"/>
  <c r="F1306" i="1"/>
  <c r="P1305" i="1"/>
  <c r="L1305" i="1"/>
  <c r="F1305" i="1"/>
  <c r="L1304" i="1"/>
  <c r="F1304" i="1"/>
  <c r="P1303" i="1"/>
  <c r="F1303" i="1"/>
  <c r="P1302" i="1"/>
  <c r="Q1302" i="1" s="1"/>
  <c r="F1302" i="1"/>
  <c r="P1301" i="1"/>
  <c r="Q1301" i="1" s="1"/>
  <c r="F1301" i="1"/>
  <c r="P1300" i="1"/>
  <c r="Q1300" i="1" s="1"/>
  <c r="F1300" i="1"/>
  <c r="P1299" i="1"/>
  <c r="Q1299" i="1" s="1"/>
  <c r="F1299" i="1"/>
  <c r="P1298" i="1"/>
  <c r="F1298" i="1"/>
  <c r="P1297" i="1"/>
  <c r="F1297" i="1"/>
  <c r="P1296" i="1"/>
  <c r="Q1296" i="1" s="1"/>
  <c r="F1296" i="1"/>
  <c r="P1295" i="1"/>
  <c r="F1295" i="1"/>
  <c r="P1294" i="1"/>
  <c r="F1294" i="1"/>
  <c r="P1293" i="1"/>
  <c r="Q1293" i="1" s="1"/>
  <c r="F1293" i="1"/>
  <c r="P1292" i="1"/>
  <c r="F1292" i="1"/>
  <c r="P1291" i="1"/>
  <c r="Q1291" i="1" s="1"/>
  <c r="F1291" i="1"/>
  <c r="P1290" i="1"/>
  <c r="Q1290" i="1" s="1"/>
  <c r="F1290" i="1"/>
  <c r="P1289" i="1"/>
  <c r="Q1289" i="1" s="1"/>
  <c r="F1289" i="1"/>
  <c r="P1288" i="1"/>
  <c r="F1288" i="1"/>
  <c r="P1287" i="1"/>
  <c r="Q1287" i="1" s="1"/>
  <c r="F1287" i="1"/>
  <c r="P1286" i="1"/>
  <c r="Q1286" i="1" s="1"/>
  <c r="F1286" i="1"/>
  <c r="P1285" i="1"/>
  <c r="Q1285" i="1" s="1"/>
  <c r="F1285" i="1"/>
  <c r="P1284" i="1"/>
  <c r="F1284" i="1"/>
  <c r="P1283" i="1"/>
  <c r="F1283" i="1"/>
  <c r="P1282" i="1"/>
  <c r="Q1282" i="1" s="1"/>
  <c r="F1282" i="1"/>
  <c r="P1281" i="1"/>
  <c r="Q1281" i="1" s="1"/>
  <c r="F1281" i="1"/>
  <c r="P1280" i="1"/>
  <c r="F1280" i="1"/>
  <c r="P1279" i="1"/>
  <c r="Q1279" i="1" s="1"/>
  <c r="F1279" i="1"/>
  <c r="P1278" i="1"/>
  <c r="F1278" i="1"/>
  <c r="P1277" i="1"/>
  <c r="Q1277" i="1" s="1"/>
  <c r="F1277" i="1"/>
  <c r="P1276" i="1"/>
  <c r="Q1276" i="1" s="1"/>
  <c r="F1276" i="1"/>
  <c r="P1275" i="1"/>
  <c r="Q1275" i="1" s="1"/>
  <c r="F1275" i="1"/>
  <c r="P1274" i="1"/>
  <c r="Q1274" i="1" s="1"/>
  <c r="F1274" i="1"/>
  <c r="P1273" i="1"/>
  <c r="Q1273" i="1" s="1"/>
  <c r="F1273" i="1"/>
  <c r="P1272" i="1"/>
  <c r="Q1272" i="1" s="1"/>
  <c r="F1272" i="1"/>
  <c r="P1271" i="1"/>
  <c r="Q1271" i="1" s="1"/>
  <c r="F1271" i="1"/>
  <c r="P1270" i="1"/>
  <c r="Q1270" i="1" s="1"/>
  <c r="F1270" i="1"/>
  <c r="P1269" i="1"/>
  <c r="F1269" i="1"/>
  <c r="P1268" i="1"/>
  <c r="Q1268" i="1" s="1"/>
  <c r="F1268" i="1"/>
  <c r="P1267" i="1"/>
  <c r="Q1267" i="1" s="1"/>
  <c r="F1267" i="1"/>
  <c r="P1266" i="1"/>
  <c r="Q1266" i="1" s="1"/>
  <c r="F1266" i="1"/>
  <c r="P1265" i="1"/>
  <c r="Q1265" i="1" s="1"/>
  <c r="F1265" i="1"/>
  <c r="P1264" i="1"/>
  <c r="Q1264" i="1" s="1"/>
  <c r="F1264" i="1"/>
  <c r="P1263" i="1"/>
  <c r="F1263" i="1"/>
  <c r="P1262" i="1"/>
  <c r="F1262" i="1"/>
  <c r="P1261" i="1"/>
  <c r="Q1261" i="1" s="1"/>
  <c r="F1261" i="1"/>
  <c r="P1260" i="1"/>
  <c r="F1260" i="1"/>
  <c r="P1259" i="1"/>
  <c r="F1259" i="1"/>
  <c r="P1258" i="1"/>
  <c r="Q1258" i="1" s="1"/>
  <c r="F1258" i="1"/>
  <c r="P1257" i="1"/>
  <c r="Q1257" i="1" s="1"/>
  <c r="F1257" i="1"/>
  <c r="P1256" i="1"/>
  <c r="Q1256" i="1" s="1"/>
  <c r="F1256" i="1"/>
  <c r="P1255" i="1"/>
  <c r="Q1255" i="1" s="1"/>
  <c r="F1255" i="1"/>
  <c r="P1254" i="1"/>
  <c r="Q1254" i="1" s="1"/>
  <c r="F1254" i="1"/>
  <c r="P1253" i="1"/>
  <c r="Q1253" i="1" s="1"/>
  <c r="F1253" i="1"/>
  <c r="P1252" i="1"/>
  <c r="Q1252" i="1" s="1"/>
  <c r="F1252" i="1"/>
  <c r="P1251" i="1"/>
  <c r="Q1251" i="1" s="1"/>
  <c r="F1251" i="1"/>
  <c r="P1250" i="1"/>
  <c r="F1250" i="1"/>
  <c r="P1249" i="1"/>
  <c r="Q1249" i="1" s="1"/>
  <c r="F1249" i="1"/>
  <c r="P1248" i="1"/>
  <c r="F1248" i="1"/>
  <c r="P1247" i="1"/>
  <c r="Q1247" i="1" s="1"/>
  <c r="F1247" i="1"/>
  <c r="P1246" i="1"/>
  <c r="Q1246" i="1" s="1"/>
  <c r="F1246" i="1"/>
  <c r="P1245" i="1"/>
  <c r="Q1245" i="1" s="1"/>
  <c r="F1245" i="1"/>
  <c r="P1244" i="1"/>
  <c r="Q1244" i="1" s="1"/>
  <c r="F1244" i="1"/>
  <c r="P1243" i="1"/>
  <c r="Q1243" i="1" s="1"/>
  <c r="F1243" i="1"/>
  <c r="P1242" i="1"/>
  <c r="Q1242" i="1" s="1"/>
  <c r="F1242" i="1"/>
  <c r="P1241" i="1"/>
  <c r="Q1241" i="1" s="1"/>
  <c r="F1241" i="1"/>
  <c r="P1240" i="1"/>
  <c r="Q1240" i="1" s="1"/>
  <c r="F1240" i="1"/>
  <c r="P1239" i="1"/>
  <c r="F1239" i="1"/>
  <c r="P1238" i="1"/>
  <c r="F1238" i="1"/>
  <c r="P1237" i="1"/>
  <c r="Q1237" i="1" s="1"/>
  <c r="F1237" i="1"/>
  <c r="P1236" i="1"/>
  <c r="F1236" i="1"/>
  <c r="P1235" i="1"/>
  <c r="Q1235" i="1" s="1"/>
  <c r="F1235" i="1"/>
  <c r="P1234" i="1"/>
  <c r="Q1234" i="1" s="1"/>
  <c r="F1234" i="1"/>
  <c r="P1233" i="1"/>
  <c r="F1233" i="1"/>
  <c r="P1232" i="1"/>
  <c r="Q1232" i="1" s="1"/>
  <c r="F1232" i="1"/>
  <c r="P1231" i="1"/>
  <c r="Q1231" i="1" s="1"/>
  <c r="F1231" i="1"/>
  <c r="P1230" i="1"/>
  <c r="F1230" i="1"/>
  <c r="P1229" i="1"/>
  <c r="Q1229" i="1" s="1"/>
  <c r="F1229" i="1"/>
  <c r="P1228" i="1"/>
  <c r="Q1228" i="1" s="1"/>
  <c r="F1228" i="1"/>
  <c r="P1227" i="1"/>
  <c r="Q1227" i="1" s="1"/>
  <c r="F1227" i="1"/>
  <c r="P1226" i="1"/>
  <c r="F1226" i="1"/>
  <c r="P1225" i="1"/>
  <c r="Q1225" i="1" s="1"/>
  <c r="F1225" i="1"/>
  <c r="P1224" i="1"/>
  <c r="F1224" i="1"/>
  <c r="P1223" i="1"/>
  <c r="F1223" i="1"/>
  <c r="P1222" i="1"/>
  <c r="Q1222" i="1" s="1"/>
  <c r="F1222" i="1"/>
  <c r="P1221" i="1"/>
  <c r="F1221" i="1"/>
  <c r="P1220" i="1"/>
  <c r="Q1220" i="1" s="1"/>
  <c r="F1220" i="1"/>
  <c r="P1219" i="1"/>
  <c r="Q1219" i="1" s="1"/>
  <c r="F1219" i="1"/>
  <c r="P1218" i="1"/>
  <c r="Q1218" i="1" s="1"/>
  <c r="F1218" i="1"/>
  <c r="P1217" i="1"/>
  <c r="F1217" i="1"/>
  <c r="P1216" i="1"/>
  <c r="Q1216" i="1" s="1"/>
  <c r="F1216" i="1"/>
  <c r="P1215" i="1"/>
  <c r="Q1215" i="1" s="1"/>
  <c r="F1215" i="1"/>
  <c r="P1214" i="1"/>
  <c r="Q1214" i="1" s="1"/>
  <c r="F1214" i="1"/>
  <c r="P1213" i="1"/>
  <c r="Q1213" i="1" s="1"/>
  <c r="F1213" i="1"/>
  <c r="P1212" i="1"/>
  <c r="Q1212" i="1" s="1"/>
  <c r="F1212" i="1"/>
  <c r="P1211" i="1"/>
  <c r="Q1211" i="1" s="1"/>
  <c r="F1211" i="1"/>
  <c r="P1210" i="1"/>
  <c r="Q1210" i="1" s="1"/>
  <c r="F1210" i="1"/>
  <c r="P1209" i="1"/>
  <c r="Q1209" i="1" s="1"/>
  <c r="F1209" i="1"/>
  <c r="P1208" i="1"/>
  <c r="Q1208" i="1" s="1"/>
  <c r="F1208" i="1"/>
  <c r="P1207" i="1"/>
  <c r="Q1207" i="1" s="1"/>
  <c r="F1207" i="1"/>
  <c r="P1206" i="1"/>
  <c r="L1206" i="1"/>
  <c r="F1206" i="1"/>
  <c r="P1205" i="1"/>
  <c r="L1205" i="1"/>
  <c r="F1205" i="1"/>
  <c r="P1204" i="1"/>
  <c r="L1204" i="1"/>
  <c r="F1204" i="1"/>
  <c r="P1203" i="1"/>
  <c r="L1203" i="1"/>
  <c r="F1203" i="1"/>
  <c r="P1202" i="1"/>
  <c r="L1202" i="1"/>
  <c r="F1202" i="1"/>
  <c r="P1201" i="1"/>
  <c r="L1201" i="1"/>
  <c r="F1201" i="1"/>
  <c r="P1200" i="1"/>
  <c r="L1200" i="1"/>
  <c r="F1200" i="1"/>
  <c r="P1199" i="1"/>
  <c r="L1199" i="1"/>
  <c r="F1199" i="1"/>
  <c r="P1198" i="1"/>
  <c r="L1198" i="1"/>
  <c r="F1198" i="1"/>
  <c r="P1197" i="1"/>
  <c r="L1197" i="1"/>
  <c r="F1197" i="1"/>
  <c r="P1196" i="1"/>
  <c r="L1196" i="1"/>
  <c r="F1196" i="1"/>
  <c r="P1195" i="1"/>
  <c r="L1195" i="1"/>
  <c r="F1195" i="1"/>
  <c r="P1194" i="1"/>
  <c r="L1194" i="1"/>
  <c r="F1194" i="1"/>
  <c r="P1193" i="1"/>
  <c r="L1193" i="1"/>
  <c r="F1193" i="1"/>
  <c r="P1192" i="1"/>
  <c r="L1192" i="1"/>
  <c r="F1192" i="1"/>
  <c r="P1191" i="1"/>
  <c r="L1191" i="1"/>
  <c r="F1191" i="1"/>
  <c r="P1190" i="1"/>
  <c r="L1190" i="1"/>
  <c r="F1190" i="1"/>
  <c r="P1189" i="1"/>
  <c r="L1189" i="1"/>
  <c r="F1189" i="1"/>
  <c r="P1188" i="1"/>
  <c r="L1188" i="1"/>
  <c r="F1188" i="1"/>
  <c r="P1187" i="1"/>
  <c r="L1187" i="1"/>
  <c r="F1187" i="1"/>
  <c r="P1186" i="1"/>
  <c r="L1186" i="1"/>
  <c r="F1186" i="1"/>
  <c r="P1185" i="1"/>
  <c r="L1185" i="1"/>
  <c r="F1185" i="1"/>
  <c r="P1184" i="1"/>
  <c r="L1184" i="1"/>
  <c r="F1184" i="1"/>
  <c r="P1183" i="1"/>
  <c r="L1183" i="1"/>
  <c r="F1183" i="1"/>
  <c r="P1182" i="1"/>
  <c r="L1182" i="1"/>
  <c r="F1182" i="1"/>
  <c r="P1181" i="1"/>
  <c r="L1181" i="1"/>
  <c r="F1181" i="1"/>
  <c r="P1180" i="1"/>
  <c r="L1180" i="1"/>
  <c r="F1180" i="1"/>
  <c r="P1179" i="1"/>
  <c r="L1179" i="1"/>
  <c r="F1179" i="1"/>
  <c r="P1178" i="1"/>
  <c r="L1178" i="1"/>
  <c r="F1178" i="1"/>
  <c r="P1177" i="1"/>
  <c r="L1177" i="1"/>
  <c r="F1177" i="1"/>
  <c r="P1176" i="1"/>
  <c r="L1176" i="1"/>
  <c r="F1176" i="1"/>
  <c r="P1175" i="1"/>
  <c r="L1175" i="1"/>
  <c r="F1175" i="1"/>
  <c r="P1174" i="1"/>
  <c r="L1174" i="1"/>
  <c r="F1174" i="1"/>
  <c r="P1173" i="1"/>
  <c r="L1173" i="1"/>
  <c r="F1173" i="1"/>
  <c r="P1172" i="1"/>
  <c r="L1172" i="1"/>
  <c r="F1172" i="1"/>
  <c r="P1171" i="1"/>
  <c r="L1171" i="1"/>
  <c r="F1171" i="1"/>
  <c r="P1170" i="1"/>
  <c r="L1170" i="1"/>
  <c r="F1170" i="1"/>
  <c r="P1169" i="1"/>
  <c r="L1169" i="1"/>
  <c r="F1169" i="1"/>
  <c r="P1168" i="1"/>
  <c r="L1168" i="1"/>
  <c r="F1168" i="1"/>
  <c r="P1167" i="1"/>
  <c r="L1167" i="1"/>
  <c r="F1167" i="1"/>
  <c r="P1166" i="1"/>
  <c r="L1166" i="1"/>
  <c r="F1166" i="1"/>
  <c r="P1165" i="1"/>
  <c r="L1165" i="1"/>
  <c r="F1165" i="1"/>
  <c r="P1164" i="1"/>
  <c r="L1164" i="1"/>
  <c r="F1164" i="1"/>
  <c r="P1163" i="1"/>
  <c r="L1163" i="1"/>
  <c r="F1163" i="1"/>
  <c r="P1162" i="1"/>
  <c r="L1162" i="1"/>
  <c r="F1162" i="1"/>
  <c r="P1161" i="1"/>
  <c r="L1161" i="1"/>
  <c r="F1161" i="1"/>
  <c r="P1160" i="1"/>
  <c r="L1160" i="1"/>
  <c r="F1160" i="1"/>
  <c r="P1159" i="1"/>
  <c r="L1159" i="1"/>
  <c r="F1159" i="1"/>
  <c r="P1158" i="1"/>
  <c r="L1158" i="1"/>
  <c r="F1158" i="1"/>
  <c r="P1157" i="1"/>
  <c r="L1157" i="1"/>
  <c r="F1157" i="1"/>
  <c r="P1156" i="1"/>
  <c r="L1156" i="1"/>
  <c r="F1156" i="1"/>
  <c r="P1155" i="1"/>
  <c r="L1155" i="1"/>
  <c r="F1155" i="1"/>
  <c r="P1154" i="1"/>
  <c r="L1154" i="1"/>
  <c r="F1154" i="1"/>
  <c r="P1153" i="1"/>
  <c r="L1153" i="1"/>
  <c r="F1153" i="1"/>
  <c r="P1152" i="1"/>
  <c r="L1152" i="1"/>
  <c r="F1152" i="1"/>
  <c r="P1151" i="1"/>
  <c r="L1151" i="1"/>
  <c r="F1151" i="1"/>
  <c r="P1150" i="1"/>
  <c r="L1150" i="1"/>
  <c r="F1150" i="1"/>
  <c r="P1149" i="1"/>
  <c r="L1149" i="1"/>
  <c r="F1149" i="1"/>
  <c r="P1148" i="1"/>
  <c r="L1148" i="1"/>
  <c r="F1148" i="1"/>
  <c r="P1147" i="1"/>
  <c r="L1147" i="1"/>
  <c r="F1147" i="1"/>
  <c r="P1146" i="1"/>
  <c r="L1146" i="1"/>
  <c r="F1146" i="1"/>
  <c r="P1145" i="1"/>
  <c r="L1145" i="1"/>
  <c r="F1145" i="1"/>
  <c r="P1144" i="1"/>
  <c r="L1144" i="1"/>
  <c r="F1144" i="1"/>
  <c r="P1143" i="1"/>
  <c r="L1143" i="1"/>
  <c r="F1143" i="1"/>
  <c r="P1142" i="1"/>
  <c r="L1142" i="1"/>
  <c r="F1142" i="1"/>
  <c r="P1141" i="1"/>
  <c r="L1141" i="1"/>
  <c r="F1141" i="1"/>
  <c r="P1140" i="1"/>
  <c r="L1140" i="1"/>
  <c r="F1140" i="1"/>
  <c r="P1139" i="1"/>
  <c r="L1139" i="1"/>
  <c r="F1139" i="1"/>
  <c r="P1138" i="1"/>
  <c r="L1138" i="1"/>
  <c r="F1138" i="1"/>
  <c r="P1137" i="1"/>
  <c r="L1137" i="1"/>
  <c r="F1137" i="1"/>
  <c r="P1136" i="1"/>
  <c r="L1136" i="1"/>
  <c r="F1136" i="1"/>
  <c r="P1135" i="1"/>
  <c r="L1135" i="1"/>
  <c r="F1135" i="1"/>
  <c r="P1134" i="1"/>
  <c r="L1134" i="1"/>
  <c r="F1134" i="1"/>
  <c r="P1133" i="1"/>
  <c r="L1133" i="1"/>
  <c r="F1133" i="1"/>
  <c r="P1132" i="1"/>
  <c r="L1132" i="1"/>
  <c r="F1132" i="1"/>
  <c r="P1131" i="1"/>
  <c r="L1131" i="1"/>
  <c r="F1131" i="1"/>
  <c r="P1130" i="1"/>
  <c r="L1130" i="1"/>
  <c r="F1130" i="1"/>
  <c r="P1129" i="1"/>
  <c r="L1129" i="1"/>
  <c r="F1129" i="1"/>
  <c r="P1128" i="1"/>
  <c r="L1128" i="1"/>
  <c r="F1128" i="1"/>
  <c r="P1127" i="1"/>
  <c r="L1127" i="1"/>
  <c r="F1127" i="1"/>
  <c r="P1126" i="1"/>
  <c r="L1126" i="1"/>
  <c r="F1126" i="1"/>
  <c r="P1125" i="1"/>
  <c r="L1125" i="1"/>
  <c r="F1125" i="1"/>
  <c r="P1124" i="1"/>
  <c r="L1124" i="1"/>
  <c r="F1124" i="1"/>
  <c r="P1123" i="1"/>
  <c r="L1123" i="1"/>
  <c r="F1123" i="1"/>
  <c r="P1122" i="1"/>
  <c r="L1122" i="1"/>
  <c r="F1122" i="1"/>
  <c r="P1121" i="1"/>
  <c r="L1121" i="1"/>
  <c r="F1121" i="1"/>
  <c r="P1120" i="1"/>
  <c r="L1120" i="1"/>
  <c r="F1120" i="1"/>
  <c r="P1119" i="1"/>
  <c r="L1119" i="1"/>
  <c r="F1119" i="1"/>
  <c r="P1118" i="1"/>
  <c r="L1118" i="1"/>
  <c r="F1118" i="1"/>
  <c r="P1117" i="1"/>
  <c r="L1117" i="1"/>
  <c r="F1117" i="1"/>
  <c r="P1116" i="1"/>
  <c r="L1116" i="1"/>
  <c r="F1116" i="1"/>
  <c r="P1115" i="1"/>
  <c r="L1115" i="1"/>
  <c r="F1115" i="1"/>
  <c r="P1114" i="1"/>
  <c r="L1114" i="1"/>
  <c r="F1114" i="1"/>
  <c r="P1113" i="1"/>
  <c r="L1113" i="1"/>
  <c r="F1113" i="1"/>
  <c r="P1112" i="1"/>
  <c r="L1112" i="1"/>
  <c r="F1112" i="1"/>
  <c r="P1111" i="1"/>
  <c r="L1111" i="1"/>
  <c r="F1111" i="1"/>
  <c r="P1110" i="1"/>
  <c r="L1110" i="1"/>
  <c r="F1110" i="1"/>
  <c r="P1109" i="1"/>
  <c r="L1109" i="1"/>
  <c r="F1109" i="1"/>
  <c r="P1108" i="1"/>
  <c r="L1108" i="1"/>
  <c r="F1108" i="1"/>
  <c r="P1107" i="1"/>
  <c r="L1107" i="1"/>
  <c r="F1107" i="1"/>
  <c r="P1106" i="1"/>
  <c r="L1106" i="1"/>
  <c r="F1106" i="1"/>
  <c r="P1105" i="1"/>
  <c r="L1105" i="1"/>
  <c r="F1105" i="1"/>
  <c r="P1104" i="1"/>
  <c r="L1104" i="1"/>
  <c r="F1104" i="1"/>
  <c r="P1103" i="1"/>
  <c r="L1103" i="1"/>
  <c r="F1103" i="1"/>
  <c r="P1102" i="1"/>
  <c r="L1102" i="1"/>
  <c r="F1102" i="1"/>
  <c r="P1101" i="1"/>
  <c r="L1101" i="1"/>
  <c r="F1101" i="1"/>
  <c r="P1100" i="1"/>
  <c r="L1100" i="1"/>
  <c r="F1100" i="1"/>
  <c r="P1099" i="1"/>
  <c r="L1099" i="1"/>
  <c r="F1099" i="1"/>
  <c r="P1098" i="1"/>
  <c r="L1098" i="1"/>
  <c r="F1098" i="1"/>
  <c r="P1097" i="1"/>
  <c r="L1097" i="1"/>
  <c r="F1097" i="1"/>
  <c r="P1096" i="1"/>
  <c r="L1096" i="1"/>
  <c r="F1096" i="1"/>
  <c r="P1095" i="1"/>
  <c r="L1095" i="1"/>
  <c r="F1095" i="1"/>
  <c r="P1094" i="1"/>
  <c r="L1094" i="1"/>
  <c r="F1094" i="1"/>
  <c r="P1093" i="1"/>
  <c r="L1093" i="1"/>
  <c r="F1093" i="1"/>
  <c r="P1092" i="1"/>
  <c r="L1092" i="1"/>
  <c r="F1092" i="1"/>
  <c r="P1091" i="1"/>
  <c r="L1091" i="1"/>
  <c r="F1091" i="1"/>
  <c r="P1090" i="1"/>
  <c r="L1090" i="1"/>
  <c r="F1090" i="1"/>
  <c r="P1089" i="1"/>
  <c r="L1089" i="1"/>
  <c r="F1089" i="1"/>
  <c r="P1088" i="1"/>
  <c r="L1088" i="1"/>
  <c r="F1088" i="1"/>
  <c r="P1087" i="1"/>
  <c r="L1087" i="1"/>
  <c r="F1087" i="1"/>
  <c r="P1086" i="1"/>
  <c r="L1086" i="1"/>
  <c r="F1086" i="1"/>
  <c r="P1085" i="1"/>
  <c r="L1085" i="1"/>
  <c r="F1085" i="1"/>
  <c r="P1084" i="1"/>
  <c r="L1084" i="1"/>
  <c r="F1084" i="1"/>
  <c r="P1083" i="1"/>
  <c r="L1083" i="1"/>
  <c r="F1083" i="1"/>
  <c r="P1082" i="1"/>
  <c r="L1082" i="1"/>
  <c r="F1082" i="1"/>
  <c r="P1081" i="1"/>
  <c r="L1081" i="1"/>
  <c r="F1081" i="1"/>
  <c r="P1080" i="1"/>
  <c r="L1080" i="1"/>
  <c r="F1080" i="1"/>
  <c r="P1079" i="1"/>
  <c r="L1079" i="1"/>
  <c r="F1079" i="1"/>
  <c r="P1078" i="1"/>
  <c r="L1078" i="1"/>
  <c r="F1078" i="1"/>
  <c r="P1077" i="1"/>
  <c r="L1077" i="1"/>
  <c r="F1077" i="1"/>
  <c r="P1076" i="1"/>
  <c r="L1076" i="1"/>
  <c r="F1076" i="1"/>
  <c r="P1075" i="1"/>
  <c r="L1075" i="1"/>
  <c r="F1075" i="1"/>
  <c r="P1074" i="1"/>
  <c r="L1074" i="1"/>
  <c r="F1074" i="1"/>
  <c r="P1073" i="1"/>
  <c r="L1073" i="1"/>
  <c r="F1073" i="1"/>
  <c r="P1072" i="1"/>
  <c r="L1072" i="1"/>
  <c r="F1072" i="1"/>
  <c r="P1071" i="1"/>
  <c r="L1071" i="1"/>
  <c r="F1071" i="1"/>
  <c r="P1070" i="1"/>
  <c r="L1070" i="1"/>
  <c r="F1070" i="1"/>
  <c r="P1069" i="1"/>
  <c r="L1069" i="1"/>
  <c r="F1069" i="1"/>
  <c r="P1068" i="1"/>
  <c r="L1068" i="1"/>
  <c r="F1068" i="1"/>
  <c r="P1067" i="1"/>
  <c r="L1067" i="1"/>
  <c r="F1067" i="1"/>
  <c r="P1066" i="1"/>
  <c r="L1066" i="1"/>
  <c r="F1066" i="1"/>
  <c r="P1065" i="1"/>
  <c r="L1065" i="1"/>
  <c r="F1065" i="1"/>
  <c r="P1064" i="1"/>
  <c r="L1064" i="1"/>
  <c r="F1064" i="1"/>
  <c r="P1063" i="1"/>
  <c r="L1063" i="1"/>
  <c r="F1063" i="1"/>
  <c r="P1062" i="1"/>
  <c r="L1062" i="1"/>
  <c r="F1062" i="1"/>
  <c r="P1061" i="1"/>
  <c r="L1061" i="1"/>
  <c r="F1061" i="1"/>
  <c r="P1060" i="1"/>
  <c r="L1060" i="1"/>
  <c r="F1060" i="1"/>
  <c r="P1059" i="1"/>
  <c r="L1059" i="1"/>
  <c r="F1059" i="1"/>
  <c r="P1058" i="1"/>
  <c r="L1058" i="1"/>
  <c r="F1058" i="1"/>
  <c r="P1057" i="1"/>
  <c r="L1057" i="1"/>
  <c r="F1057" i="1"/>
  <c r="P1056" i="1"/>
  <c r="L1056" i="1"/>
  <c r="F1056" i="1"/>
  <c r="P1055" i="1"/>
  <c r="L1055" i="1"/>
  <c r="F1055" i="1"/>
  <c r="P1054" i="1"/>
  <c r="L1054" i="1"/>
  <c r="F1054" i="1"/>
  <c r="P1053" i="1"/>
  <c r="L1053" i="1"/>
  <c r="F1053" i="1"/>
  <c r="P1052" i="1"/>
  <c r="L1052" i="1"/>
  <c r="F1052" i="1"/>
  <c r="P1051" i="1"/>
  <c r="L1051" i="1"/>
  <c r="F1051" i="1"/>
  <c r="P1050" i="1"/>
  <c r="L1050" i="1"/>
  <c r="F1050" i="1"/>
  <c r="P1049" i="1"/>
  <c r="L1049" i="1"/>
  <c r="F1049" i="1"/>
  <c r="P1048" i="1"/>
  <c r="L1048" i="1"/>
  <c r="F1048" i="1"/>
  <c r="P1047" i="1"/>
  <c r="L1047" i="1"/>
  <c r="F1047" i="1"/>
  <c r="P1046" i="1"/>
  <c r="L1046" i="1"/>
  <c r="F1046" i="1"/>
  <c r="P1045" i="1"/>
  <c r="L1045" i="1"/>
  <c r="F1045" i="1"/>
  <c r="P1044" i="1"/>
  <c r="L1044" i="1"/>
  <c r="F1044" i="1"/>
  <c r="P1043" i="1"/>
  <c r="L1043" i="1"/>
  <c r="F1043" i="1"/>
  <c r="P1042" i="1"/>
  <c r="L1042" i="1"/>
  <c r="F1042" i="1"/>
  <c r="P1041" i="1"/>
  <c r="L1041" i="1"/>
  <c r="F1041" i="1"/>
  <c r="P1040" i="1"/>
  <c r="L1040" i="1"/>
  <c r="F1040" i="1"/>
  <c r="P1039" i="1"/>
  <c r="L1039" i="1"/>
  <c r="F1039" i="1"/>
  <c r="P1038" i="1"/>
  <c r="L1038" i="1"/>
  <c r="F1038" i="1"/>
  <c r="P1037" i="1"/>
  <c r="L1037" i="1"/>
  <c r="F1037" i="1"/>
  <c r="P1036" i="1"/>
  <c r="L1036" i="1"/>
  <c r="F1036" i="1"/>
  <c r="P1035" i="1"/>
  <c r="L1035" i="1"/>
  <c r="F1035" i="1"/>
  <c r="P1034" i="1"/>
  <c r="L1034" i="1"/>
  <c r="F1034" i="1"/>
  <c r="P1033" i="1"/>
  <c r="L1033" i="1"/>
  <c r="F1033" i="1"/>
  <c r="P1032" i="1"/>
  <c r="L1032" i="1"/>
  <c r="F1032" i="1"/>
  <c r="P1031" i="1"/>
  <c r="L1031" i="1"/>
  <c r="F1031" i="1"/>
  <c r="P1030" i="1"/>
  <c r="L1030" i="1"/>
  <c r="F1030" i="1"/>
  <c r="P1029" i="1"/>
  <c r="L1029" i="1"/>
  <c r="F1029" i="1"/>
  <c r="P1028" i="1"/>
  <c r="L1028" i="1"/>
  <c r="F1028" i="1"/>
  <c r="P1027" i="1"/>
  <c r="L1027" i="1"/>
  <c r="F1027" i="1"/>
  <c r="P1026" i="1"/>
  <c r="L1026" i="1"/>
  <c r="F1026" i="1"/>
  <c r="P1025" i="1"/>
  <c r="L1025" i="1"/>
  <c r="F1025" i="1"/>
  <c r="P1024" i="1"/>
  <c r="L1024" i="1"/>
  <c r="F1024" i="1"/>
  <c r="P1023" i="1"/>
  <c r="L1023" i="1"/>
  <c r="F1023" i="1"/>
  <c r="P1022" i="1"/>
  <c r="L1022" i="1"/>
  <c r="F1022" i="1"/>
  <c r="P1021" i="1"/>
  <c r="L1021" i="1"/>
  <c r="F1021" i="1"/>
  <c r="P1020" i="1"/>
  <c r="L1020" i="1"/>
  <c r="F1020" i="1"/>
  <c r="P1019" i="1"/>
  <c r="L1019" i="1"/>
  <c r="F1019" i="1"/>
  <c r="P1018" i="1"/>
  <c r="L1018" i="1"/>
  <c r="F1018" i="1"/>
  <c r="P1017" i="1"/>
  <c r="L1017" i="1"/>
  <c r="F1017" i="1"/>
  <c r="P1016" i="1"/>
  <c r="L1016" i="1"/>
  <c r="F1016" i="1"/>
  <c r="P1015" i="1"/>
  <c r="L1015" i="1"/>
  <c r="F1015" i="1"/>
  <c r="P1014" i="1"/>
  <c r="L1014" i="1"/>
  <c r="F1014" i="1"/>
  <c r="P1013" i="1"/>
  <c r="L1013" i="1"/>
  <c r="F1013" i="1"/>
  <c r="P1012" i="1"/>
  <c r="L1012" i="1"/>
  <c r="F1012" i="1"/>
  <c r="P1011" i="1"/>
  <c r="L1011" i="1"/>
  <c r="F1011" i="1"/>
  <c r="P1010" i="1"/>
  <c r="L1010" i="1"/>
  <c r="F1010" i="1"/>
  <c r="P1009" i="1"/>
  <c r="L1009" i="1"/>
  <c r="F1009" i="1"/>
  <c r="P1008" i="1"/>
  <c r="L1008" i="1"/>
  <c r="F1008" i="1"/>
  <c r="P1007" i="1"/>
  <c r="L1007" i="1"/>
  <c r="F1007" i="1"/>
  <c r="P1006" i="1"/>
  <c r="L1006" i="1"/>
  <c r="F1006" i="1"/>
  <c r="P1005" i="1"/>
  <c r="L1005" i="1"/>
  <c r="F1005" i="1"/>
  <c r="P1004" i="1"/>
  <c r="L1004" i="1"/>
  <c r="F1004" i="1"/>
  <c r="P1003" i="1"/>
  <c r="L1003" i="1"/>
  <c r="F1003" i="1"/>
  <c r="P1002" i="1"/>
  <c r="L1002" i="1"/>
  <c r="F1002" i="1"/>
  <c r="P1001" i="1"/>
  <c r="L1001" i="1"/>
  <c r="F1001" i="1"/>
  <c r="P1000" i="1"/>
  <c r="L1000" i="1"/>
  <c r="F1000" i="1"/>
  <c r="P999" i="1"/>
  <c r="L999" i="1"/>
  <c r="F999" i="1"/>
  <c r="P998" i="1"/>
  <c r="L998" i="1"/>
  <c r="F998" i="1"/>
  <c r="P997" i="1"/>
  <c r="L997" i="1"/>
  <c r="F997" i="1"/>
  <c r="P996" i="1"/>
  <c r="L996" i="1"/>
  <c r="F996" i="1"/>
  <c r="P995" i="1"/>
  <c r="L995" i="1"/>
  <c r="F995" i="1"/>
  <c r="P994" i="1"/>
  <c r="L994" i="1"/>
  <c r="F994" i="1"/>
  <c r="P993" i="1"/>
  <c r="L993" i="1"/>
  <c r="F993" i="1"/>
  <c r="P992" i="1"/>
  <c r="L992" i="1"/>
  <c r="F992" i="1"/>
  <c r="P991" i="1"/>
  <c r="L991" i="1"/>
  <c r="F991" i="1"/>
  <c r="P990" i="1"/>
  <c r="L990" i="1"/>
  <c r="F990" i="1"/>
  <c r="P989" i="1"/>
  <c r="L989" i="1"/>
  <c r="F989" i="1"/>
  <c r="P988" i="1"/>
  <c r="L988" i="1"/>
  <c r="F988" i="1"/>
  <c r="P987" i="1"/>
  <c r="L987" i="1"/>
  <c r="F987" i="1"/>
  <c r="P986" i="1"/>
  <c r="L986" i="1"/>
  <c r="F986" i="1"/>
  <c r="P985" i="1"/>
  <c r="L985" i="1"/>
  <c r="F985" i="1"/>
  <c r="P984" i="1"/>
  <c r="L984" i="1"/>
  <c r="F984" i="1"/>
  <c r="P983" i="1"/>
  <c r="L983" i="1"/>
  <c r="F983" i="1"/>
  <c r="P982" i="1"/>
  <c r="L982" i="1"/>
  <c r="F982" i="1"/>
  <c r="P981" i="1"/>
  <c r="L981" i="1"/>
  <c r="F981" i="1"/>
  <c r="P980" i="1"/>
  <c r="L980" i="1"/>
  <c r="F980" i="1"/>
  <c r="P979" i="1"/>
  <c r="L979" i="1"/>
  <c r="F979" i="1"/>
  <c r="P978" i="1"/>
  <c r="L978" i="1"/>
  <c r="F978" i="1"/>
  <c r="P977" i="1"/>
  <c r="L977" i="1"/>
  <c r="F977" i="1"/>
  <c r="P976" i="1"/>
  <c r="L976" i="1"/>
  <c r="F976" i="1"/>
  <c r="P975" i="1"/>
  <c r="L975" i="1"/>
  <c r="F975" i="1"/>
  <c r="P974" i="1"/>
  <c r="L974" i="1"/>
  <c r="F974" i="1"/>
  <c r="P973" i="1"/>
  <c r="L973" i="1"/>
  <c r="F973" i="1"/>
  <c r="P972" i="1"/>
  <c r="L972" i="1"/>
  <c r="F972" i="1"/>
  <c r="P971" i="1"/>
  <c r="L971" i="1"/>
  <c r="F971" i="1"/>
  <c r="P970" i="1"/>
  <c r="L970" i="1"/>
  <c r="F970" i="1"/>
  <c r="P969" i="1"/>
  <c r="L969" i="1"/>
  <c r="F969" i="1"/>
  <c r="P968" i="1"/>
  <c r="L968" i="1"/>
  <c r="F968" i="1"/>
  <c r="P967" i="1"/>
  <c r="L967" i="1"/>
  <c r="F967" i="1"/>
  <c r="P966" i="1"/>
  <c r="L966" i="1"/>
  <c r="F966" i="1"/>
  <c r="P965" i="1"/>
  <c r="L965" i="1"/>
  <c r="F965" i="1"/>
  <c r="P964" i="1"/>
  <c r="L964" i="1"/>
  <c r="F964" i="1"/>
  <c r="P963" i="1"/>
  <c r="L963" i="1"/>
  <c r="F963" i="1"/>
  <c r="P962" i="1"/>
  <c r="L962" i="1"/>
  <c r="F962" i="1"/>
  <c r="P961" i="1"/>
  <c r="L961" i="1"/>
  <c r="F961" i="1"/>
  <c r="P960" i="1"/>
  <c r="L960" i="1"/>
  <c r="F960" i="1"/>
  <c r="P959" i="1"/>
  <c r="L959" i="1"/>
  <c r="F959" i="1"/>
  <c r="P958" i="1"/>
  <c r="L958" i="1"/>
  <c r="F958" i="1"/>
  <c r="P957" i="1"/>
  <c r="L957" i="1"/>
  <c r="F957" i="1"/>
  <c r="P956" i="1"/>
  <c r="L956" i="1"/>
  <c r="F956" i="1"/>
  <c r="P955" i="1"/>
  <c r="L955" i="1"/>
  <c r="F955" i="1"/>
  <c r="P954" i="1"/>
  <c r="L954" i="1"/>
  <c r="F954" i="1"/>
  <c r="P953" i="1"/>
  <c r="L953" i="1"/>
  <c r="F953" i="1"/>
  <c r="P952" i="1"/>
  <c r="L952" i="1"/>
  <c r="F952" i="1"/>
  <c r="P951" i="1"/>
  <c r="L951" i="1"/>
  <c r="F951" i="1"/>
  <c r="P950" i="1"/>
  <c r="L950" i="1"/>
  <c r="F950" i="1"/>
  <c r="P949" i="1"/>
  <c r="L949" i="1"/>
  <c r="F949" i="1"/>
  <c r="P948" i="1"/>
  <c r="L948" i="1"/>
  <c r="F948" i="1"/>
  <c r="P947" i="1"/>
  <c r="L947" i="1"/>
  <c r="F947" i="1"/>
  <c r="P946" i="1"/>
  <c r="L946" i="1"/>
  <c r="F946" i="1"/>
  <c r="P945" i="1"/>
  <c r="L945" i="1"/>
  <c r="F945" i="1"/>
  <c r="P944" i="1"/>
  <c r="L944" i="1"/>
  <c r="F944" i="1"/>
  <c r="P943" i="1"/>
  <c r="L943" i="1"/>
  <c r="F943" i="1"/>
  <c r="P942" i="1"/>
  <c r="L942" i="1"/>
  <c r="F942" i="1"/>
  <c r="P941" i="1"/>
  <c r="L941" i="1"/>
  <c r="F941" i="1"/>
  <c r="P940" i="1"/>
  <c r="L940" i="1"/>
  <c r="F940" i="1"/>
  <c r="L939" i="1"/>
  <c r="F939" i="1"/>
  <c r="L938" i="1"/>
  <c r="F938" i="1"/>
  <c r="P937" i="1"/>
  <c r="L937" i="1"/>
  <c r="F937" i="1"/>
  <c r="P936" i="1"/>
  <c r="L936" i="1"/>
  <c r="F936" i="1"/>
  <c r="P935" i="1"/>
  <c r="L935" i="1"/>
  <c r="F935" i="1"/>
  <c r="P934" i="1"/>
  <c r="L934" i="1"/>
  <c r="F934" i="1"/>
  <c r="P933" i="1"/>
  <c r="L933" i="1"/>
  <c r="F933" i="1"/>
  <c r="P932" i="1"/>
  <c r="L932" i="1"/>
  <c r="F932" i="1"/>
  <c r="P931" i="1"/>
  <c r="L931" i="1"/>
  <c r="F931" i="1"/>
  <c r="P930" i="1"/>
  <c r="L930" i="1"/>
  <c r="F930" i="1"/>
  <c r="P929" i="1"/>
  <c r="L929" i="1"/>
  <c r="F929" i="1"/>
  <c r="P928" i="1"/>
  <c r="L928" i="1"/>
  <c r="F928" i="1"/>
  <c r="P927" i="1"/>
  <c r="L927" i="1"/>
  <c r="F927" i="1"/>
  <c r="P926" i="1"/>
  <c r="L926" i="1"/>
  <c r="F926" i="1"/>
  <c r="P925" i="1"/>
  <c r="L925" i="1"/>
  <c r="F925" i="1"/>
  <c r="P924" i="1"/>
  <c r="L924" i="1"/>
  <c r="F924" i="1"/>
  <c r="P923" i="1"/>
  <c r="L923" i="1"/>
  <c r="F923" i="1"/>
  <c r="P922" i="1"/>
  <c r="L922" i="1"/>
  <c r="F922" i="1"/>
  <c r="P921" i="1"/>
  <c r="Q921" i="1" s="1"/>
  <c r="F921" i="1"/>
  <c r="P920" i="1"/>
  <c r="L920" i="1"/>
  <c r="F920" i="1"/>
  <c r="L919" i="1"/>
  <c r="F919" i="1"/>
  <c r="P918" i="1"/>
  <c r="L918" i="1"/>
  <c r="F918" i="1"/>
  <c r="P917" i="1"/>
  <c r="L917" i="1"/>
  <c r="F917" i="1"/>
  <c r="P916" i="1"/>
  <c r="L916" i="1"/>
  <c r="F916" i="1"/>
  <c r="P915" i="1"/>
  <c r="L915" i="1"/>
  <c r="F915" i="1"/>
  <c r="P914" i="1"/>
  <c r="F914" i="1"/>
  <c r="P913" i="1"/>
  <c r="L913" i="1"/>
  <c r="F913" i="1"/>
  <c r="P912" i="1"/>
  <c r="L912" i="1"/>
  <c r="F912" i="1"/>
  <c r="P911" i="1"/>
  <c r="L911" i="1"/>
  <c r="F911" i="1"/>
  <c r="P910" i="1"/>
  <c r="L910" i="1"/>
  <c r="F910" i="1"/>
  <c r="P909" i="1"/>
  <c r="L909" i="1"/>
  <c r="F909" i="1"/>
  <c r="P908" i="1"/>
  <c r="L908" i="1"/>
  <c r="F908" i="1"/>
  <c r="P907" i="1"/>
  <c r="L907" i="1"/>
  <c r="F907" i="1"/>
  <c r="P906" i="1"/>
  <c r="Q906" i="1" s="1"/>
  <c r="F906" i="1"/>
  <c r="P905" i="1"/>
  <c r="Q905" i="1" s="1"/>
  <c r="F905" i="1"/>
  <c r="L904" i="1"/>
  <c r="F904" i="1"/>
  <c r="P903" i="1"/>
  <c r="L903" i="1"/>
  <c r="F903" i="1"/>
  <c r="P902" i="1"/>
  <c r="L902" i="1"/>
  <c r="F902" i="1"/>
  <c r="P901" i="1"/>
  <c r="L901" i="1"/>
  <c r="F901" i="1"/>
  <c r="P900" i="1"/>
  <c r="L900" i="1"/>
  <c r="F900" i="1"/>
  <c r="P899" i="1"/>
  <c r="L899" i="1"/>
  <c r="F899" i="1"/>
  <c r="P898" i="1"/>
  <c r="L898" i="1"/>
  <c r="F898" i="1"/>
  <c r="P897" i="1"/>
  <c r="L897" i="1"/>
  <c r="F897" i="1"/>
  <c r="P896" i="1"/>
  <c r="L896" i="1"/>
  <c r="F896" i="1"/>
  <c r="L895" i="1"/>
  <c r="F895" i="1"/>
  <c r="P894" i="1"/>
  <c r="L894" i="1"/>
  <c r="F894" i="1"/>
  <c r="P893" i="1"/>
  <c r="L893" i="1"/>
  <c r="F893" i="1"/>
  <c r="P892" i="1"/>
  <c r="L892" i="1"/>
  <c r="F892" i="1"/>
  <c r="P891" i="1"/>
  <c r="L891" i="1"/>
  <c r="F891" i="1"/>
  <c r="P890" i="1"/>
  <c r="L890" i="1"/>
  <c r="F890" i="1"/>
  <c r="P889" i="1"/>
  <c r="L889" i="1"/>
  <c r="F889" i="1"/>
  <c r="P888" i="1"/>
  <c r="L888" i="1"/>
  <c r="F888" i="1"/>
  <c r="P887" i="1"/>
  <c r="L887" i="1"/>
  <c r="F887" i="1"/>
  <c r="P886" i="1"/>
  <c r="L886" i="1"/>
  <c r="F886" i="1"/>
  <c r="P885" i="1"/>
  <c r="L885" i="1"/>
  <c r="F885" i="1"/>
  <c r="P884" i="1"/>
  <c r="L884" i="1"/>
  <c r="F884" i="1"/>
  <c r="P883" i="1"/>
  <c r="L883" i="1"/>
  <c r="F883" i="1"/>
  <c r="P882" i="1"/>
  <c r="L882" i="1"/>
  <c r="F882" i="1"/>
  <c r="P881" i="1"/>
  <c r="L881" i="1"/>
  <c r="F881" i="1"/>
  <c r="P880" i="1"/>
  <c r="L880" i="1"/>
  <c r="F880" i="1"/>
  <c r="P879" i="1"/>
  <c r="L879" i="1"/>
  <c r="F879" i="1"/>
  <c r="P878" i="1"/>
  <c r="L878" i="1"/>
  <c r="F878" i="1"/>
  <c r="P877" i="1"/>
  <c r="L877" i="1"/>
  <c r="F877" i="1"/>
  <c r="P876" i="1"/>
  <c r="L876" i="1"/>
  <c r="F876" i="1"/>
  <c r="P875" i="1"/>
  <c r="L875" i="1"/>
  <c r="F875" i="1"/>
  <c r="P874" i="1"/>
  <c r="Q874" i="1" s="1"/>
  <c r="F874" i="1"/>
  <c r="P873" i="1"/>
  <c r="L873" i="1"/>
  <c r="F873" i="1"/>
  <c r="P872" i="1"/>
  <c r="L872" i="1"/>
  <c r="F872" i="1"/>
  <c r="P871" i="1"/>
  <c r="L871" i="1"/>
  <c r="F871" i="1"/>
  <c r="P870" i="1"/>
  <c r="L870" i="1"/>
  <c r="F870" i="1"/>
  <c r="P869" i="1"/>
  <c r="L869" i="1"/>
  <c r="F869" i="1"/>
  <c r="P868" i="1"/>
  <c r="L868" i="1"/>
  <c r="F868" i="1"/>
  <c r="P867" i="1"/>
  <c r="L867" i="1"/>
  <c r="F867" i="1"/>
  <c r="P866" i="1"/>
  <c r="L866" i="1"/>
  <c r="F866" i="1"/>
  <c r="P865" i="1"/>
  <c r="L865" i="1"/>
  <c r="F865" i="1"/>
  <c r="P864" i="1"/>
  <c r="L864" i="1"/>
  <c r="F864" i="1"/>
  <c r="P863" i="1"/>
  <c r="L863" i="1"/>
  <c r="F863" i="1"/>
  <c r="P862" i="1"/>
  <c r="L862" i="1"/>
  <c r="F862" i="1"/>
  <c r="P861" i="1"/>
  <c r="L861" i="1"/>
  <c r="F861" i="1"/>
  <c r="P860" i="1"/>
  <c r="L860" i="1"/>
  <c r="F860" i="1"/>
  <c r="P859" i="1"/>
  <c r="L859" i="1"/>
  <c r="F859" i="1"/>
  <c r="P858" i="1"/>
  <c r="L858" i="1"/>
  <c r="F858" i="1"/>
  <c r="P857" i="1"/>
  <c r="L857" i="1"/>
  <c r="F857" i="1"/>
  <c r="P856" i="1"/>
  <c r="L856" i="1"/>
  <c r="F856" i="1"/>
  <c r="P855" i="1"/>
  <c r="L855" i="1"/>
  <c r="F855" i="1"/>
  <c r="P854" i="1"/>
  <c r="L854" i="1"/>
  <c r="F854" i="1"/>
  <c r="P853" i="1"/>
  <c r="L853" i="1"/>
  <c r="F853" i="1"/>
  <c r="P852" i="1"/>
  <c r="L852" i="1"/>
  <c r="F852" i="1"/>
  <c r="P851" i="1"/>
  <c r="L851" i="1"/>
  <c r="F851" i="1"/>
  <c r="P850" i="1"/>
  <c r="L850" i="1"/>
  <c r="F850" i="1"/>
  <c r="P849" i="1"/>
  <c r="L849" i="1"/>
  <c r="F849" i="1"/>
  <c r="P848" i="1"/>
  <c r="L848" i="1"/>
  <c r="F848" i="1"/>
  <c r="L847" i="1"/>
  <c r="F847" i="1"/>
  <c r="P846" i="1"/>
  <c r="L846" i="1"/>
  <c r="F846" i="1"/>
  <c r="P845" i="1"/>
  <c r="L845" i="1"/>
  <c r="F845" i="1"/>
  <c r="P844" i="1"/>
  <c r="L844" i="1"/>
  <c r="F844" i="1"/>
  <c r="P843" i="1"/>
  <c r="L843" i="1"/>
  <c r="F843" i="1"/>
  <c r="P842" i="1"/>
  <c r="L842" i="1"/>
  <c r="F842" i="1"/>
  <c r="P841" i="1"/>
  <c r="L841" i="1"/>
  <c r="F841" i="1"/>
  <c r="P840" i="1"/>
  <c r="L840" i="1"/>
  <c r="F840" i="1"/>
  <c r="P839" i="1"/>
  <c r="L839" i="1"/>
  <c r="F839" i="1"/>
  <c r="P838" i="1"/>
  <c r="L838" i="1"/>
  <c r="F838" i="1"/>
  <c r="P837" i="1"/>
  <c r="L837" i="1"/>
  <c r="F837" i="1"/>
  <c r="P836" i="1"/>
  <c r="L836" i="1"/>
  <c r="F836" i="1"/>
  <c r="P835" i="1"/>
  <c r="L835" i="1"/>
  <c r="F835" i="1"/>
  <c r="P834" i="1"/>
  <c r="L834" i="1"/>
  <c r="F834" i="1"/>
  <c r="P833" i="1"/>
  <c r="L833" i="1"/>
  <c r="F833" i="1"/>
  <c r="P832" i="1"/>
  <c r="L832" i="1"/>
  <c r="F832" i="1"/>
  <c r="P831" i="1"/>
  <c r="L831" i="1"/>
  <c r="F831" i="1"/>
  <c r="P830" i="1"/>
  <c r="L830" i="1"/>
  <c r="F830" i="1"/>
  <c r="P829" i="1"/>
  <c r="L829" i="1"/>
  <c r="F829" i="1"/>
  <c r="P828" i="1"/>
  <c r="L828" i="1"/>
  <c r="F828" i="1"/>
  <c r="P827" i="1"/>
  <c r="L827" i="1"/>
  <c r="F827" i="1"/>
  <c r="P826" i="1"/>
  <c r="L826" i="1"/>
  <c r="F826" i="1"/>
  <c r="P825" i="1"/>
  <c r="L825" i="1"/>
  <c r="F825" i="1"/>
  <c r="P824" i="1"/>
  <c r="L824" i="1"/>
  <c r="F824" i="1"/>
  <c r="P823" i="1"/>
  <c r="L823" i="1"/>
  <c r="F823" i="1"/>
  <c r="P822" i="1"/>
  <c r="L822" i="1"/>
  <c r="F822" i="1"/>
  <c r="P821" i="1"/>
  <c r="L821" i="1"/>
  <c r="F821" i="1"/>
  <c r="P820" i="1"/>
  <c r="L820" i="1"/>
  <c r="F820" i="1"/>
  <c r="P819" i="1"/>
  <c r="L819" i="1"/>
  <c r="F819" i="1"/>
  <c r="P818" i="1"/>
  <c r="L818" i="1"/>
  <c r="F818" i="1"/>
  <c r="P817" i="1"/>
  <c r="L817" i="1"/>
  <c r="F817" i="1"/>
  <c r="P816" i="1"/>
  <c r="L816" i="1"/>
  <c r="F816" i="1"/>
  <c r="P815" i="1"/>
  <c r="Q815" i="1" s="1"/>
  <c r="F815" i="1"/>
  <c r="P814" i="1"/>
  <c r="L814" i="1"/>
  <c r="F814" i="1"/>
  <c r="P813" i="1"/>
  <c r="Q813" i="1" s="1"/>
  <c r="F813" i="1"/>
  <c r="P812" i="1"/>
  <c r="L812" i="1"/>
  <c r="F812" i="1"/>
  <c r="L811" i="1"/>
  <c r="F811" i="1"/>
  <c r="P810" i="1"/>
  <c r="L810" i="1"/>
  <c r="F810" i="1"/>
  <c r="P809" i="1"/>
  <c r="L809" i="1"/>
  <c r="F809" i="1"/>
  <c r="P808" i="1"/>
  <c r="L808" i="1"/>
  <c r="F808" i="1"/>
  <c r="P807" i="1"/>
  <c r="L807" i="1"/>
  <c r="F807" i="1"/>
  <c r="P806" i="1"/>
  <c r="L806" i="1"/>
  <c r="F806" i="1"/>
  <c r="P805" i="1"/>
  <c r="L805" i="1"/>
  <c r="F805" i="1"/>
  <c r="P804" i="1"/>
  <c r="L804" i="1"/>
  <c r="F804" i="1"/>
  <c r="P803" i="1"/>
  <c r="L803" i="1"/>
  <c r="F803" i="1"/>
  <c r="P802" i="1"/>
  <c r="L802" i="1"/>
  <c r="F802" i="1"/>
  <c r="P801" i="1"/>
  <c r="L801" i="1"/>
  <c r="F801" i="1"/>
  <c r="P800" i="1"/>
  <c r="L800" i="1"/>
  <c r="F800" i="1"/>
  <c r="L799" i="1"/>
  <c r="F799" i="1"/>
  <c r="P798" i="1"/>
  <c r="L798" i="1"/>
  <c r="F798" i="1"/>
  <c r="P797" i="1"/>
  <c r="L797" i="1"/>
  <c r="F797" i="1"/>
  <c r="P796" i="1"/>
  <c r="L796" i="1"/>
  <c r="F796" i="1"/>
  <c r="L795" i="1"/>
  <c r="F795" i="1"/>
  <c r="P794" i="1"/>
  <c r="L794" i="1"/>
  <c r="F794" i="1"/>
  <c r="L793" i="1"/>
  <c r="F793" i="1"/>
  <c r="P792" i="1"/>
  <c r="L792" i="1"/>
  <c r="F792" i="1"/>
  <c r="P791" i="1"/>
  <c r="L791" i="1"/>
  <c r="F791" i="1"/>
  <c r="P790" i="1"/>
  <c r="L790" i="1"/>
  <c r="F790" i="1"/>
  <c r="P789" i="1"/>
  <c r="L789" i="1"/>
  <c r="F789" i="1"/>
  <c r="P788" i="1"/>
  <c r="L788" i="1"/>
  <c r="F788" i="1"/>
  <c r="P787" i="1"/>
  <c r="L787" i="1"/>
  <c r="F787" i="1"/>
  <c r="P786" i="1"/>
  <c r="L786" i="1"/>
  <c r="F786" i="1"/>
  <c r="P785" i="1"/>
  <c r="L785" i="1"/>
  <c r="F785" i="1"/>
  <c r="P784" i="1"/>
  <c r="L784" i="1"/>
  <c r="F784" i="1"/>
  <c r="L783" i="1"/>
  <c r="F783" i="1"/>
  <c r="L782" i="1"/>
  <c r="F782" i="1"/>
  <c r="P781" i="1"/>
  <c r="L781" i="1"/>
  <c r="F781" i="1"/>
  <c r="P780" i="1"/>
  <c r="L780" i="1"/>
  <c r="F780" i="1"/>
  <c r="P779" i="1"/>
  <c r="L779" i="1"/>
  <c r="F779" i="1"/>
  <c r="P778" i="1"/>
  <c r="L778" i="1"/>
  <c r="F778" i="1"/>
  <c r="P777" i="1"/>
  <c r="L777" i="1"/>
  <c r="F777" i="1"/>
  <c r="P776" i="1"/>
  <c r="L776" i="1"/>
  <c r="F776" i="1"/>
  <c r="P775" i="1"/>
  <c r="L775" i="1"/>
  <c r="F775" i="1"/>
  <c r="P774" i="1"/>
  <c r="L774" i="1"/>
  <c r="F774" i="1"/>
  <c r="P773" i="1"/>
  <c r="L773" i="1"/>
  <c r="F773" i="1"/>
  <c r="P772" i="1"/>
  <c r="L772" i="1"/>
  <c r="F772" i="1"/>
  <c r="P771" i="1"/>
  <c r="L771" i="1"/>
  <c r="F771" i="1"/>
  <c r="P770" i="1"/>
  <c r="L770" i="1"/>
  <c r="F770" i="1"/>
  <c r="P769" i="1"/>
  <c r="L769" i="1"/>
  <c r="F769" i="1"/>
  <c r="P768" i="1"/>
  <c r="L768" i="1"/>
  <c r="F768" i="1"/>
  <c r="P767" i="1"/>
  <c r="L767" i="1"/>
  <c r="F767" i="1"/>
  <c r="P766" i="1"/>
  <c r="L766" i="1"/>
  <c r="F766" i="1"/>
  <c r="P765" i="1"/>
  <c r="L765" i="1"/>
  <c r="F765" i="1"/>
  <c r="P764" i="1"/>
  <c r="L764" i="1"/>
  <c r="F764" i="1"/>
  <c r="P763" i="1"/>
  <c r="L763" i="1"/>
  <c r="F763" i="1"/>
  <c r="P762" i="1"/>
  <c r="L762" i="1"/>
  <c r="F762" i="1"/>
  <c r="P761" i="1"/>
  <c r="L761" i="1"/>
  <c r="F761" i="1"/>
  <c r="P760" i="1"/>
  <c r="L760" i="1"/>
  <c r="F760" i="1"/>
  <c r="P759" i="1"/>
  <c r="L759" i="1"/>
  <c r="F759" i="1"/>
  <c r="P758" i="1"/>
  <c r="L758" i="1"/>
  <c r="F758" i="1"/>
  <c r="P757" i="1"/>
  <c r="L757" i="1"/>
  <c r="F757" i="1"/>
  <c r="P756" i="1"/>
  <c r="L756" i="1"/>
  <c r="F756" i="1"/>
  <c r="P755" i="1"/>
  <c r="L755" i="1"/>
  <c r="F755" i="1"/>
  <c r="P754" i="1"/>
  <c r="L754" i="1"/>
  <c r="F754" i="1"/>
  <c r="P753" i="1"/>
  <c r="L753" i="1"/>
  <c r="F753" i="1"/>
  <c r="P752" i="1"/>
  <c r="L752" i="1"/>
  <c r="F752" i="1"/>
  <c r="P751" i="1"/>
  <c r="L751" i="1"/>
  <c r="F751" i="1"/>
  <c r="P750" i="1"/>
  <c r="L750" i="1"/>
  <c r="F750" i="1"/>
  <c r="P749" i="1"/>
  <c r="L749" i="1"/>
  <c r="F749" i="1"/>
  <c r="P748" i="1"/>
  <c r="L748" i="1"/>
  <c r="F748" i="1"/>
  <c r="P747" i="1"/>
  <c r="L747" i="1"/>
  <c r="F747" i="1"/>
  <c r="P746" i="1"/>
  <c r="L746" i="1"/>
  <c r="F746" i="1"/>
  <c r="P745" i="1"/>
  <c r="L745" i="1"/>
  <c r="F745" i="1"/>
  <c r="P744" i="1"/>
  <c r="L744" i="1"/>
  <c r="F744" i="1"/>
  <c r="P743" i="1"/>
  <c r="L743" i="1"/>
  <c r="F743" i="1"/>
  <c r="P742" i="1"/>
  <c r="L742" i="1"/>
  <c r="F742" i="1"/>
  <c r="P741" i="1"/>
  <c r="L741" i="1"/>
  <c r="F741" i="1"/>
  <c r="P740" i="1"/>
  <c r="L740" i="1"/>
  <c r="F740" i="1"/>
  <c r="P739" i="1"/>
  <c r="L739" i="1"/>
  <c r="F739" i="1"/>
  <c r="P738" i="1"/>
  <c r="L738" i="1"/>
  <c r="F738" i="1"/>
  <c r="P737" i="1"/>
  <c r="L737" i="1"/>
  <c r="F737" i="1"/>
  <c r="P736" i="1"/>
  <c r="L736" i="1"/>
  <c r="F736" i="1"/>
  <c r="P735" i="1"/>
  <c r="L735" i="1"/>
  <c r="F735" i="1"/>
  <c r="P734" i="1"/>
  <c r="L734" i="1"/>
  <c r="F734" i="1"/>
  <c r="P733" i="1"/>
  <c r="L733" i="1"/>
  <c r="F733" i="1"/>
  <c r="P732" i="1"/>
  <c r="L732" i="1"/>
  <c r="F732" i="1"/>
  <c r="P731" i="1"/>
  <c r="L731" i="1"/>
  <c r="F731" i="1"/>
  <c r="P730" i="1"/>
  <c r="L730" i="1"/>
  <c r="F730" i="1"/>
  <c r="P729" i="1"/>
  <c r="L729" i="1"/>
  <c r="F729" i="1"/>
  <c r="P728" i="1"/>
  <c r="L728" i="1"/>
  <c r="F728" i="1"/>
  <c r="P727" i="1"/>
  <c r="L727" i="1"/>
  <c r="F727" i="1"/>
  <c r="P726" i="1"/>
  <c r="L726" i="1"/>
  <c r="F726" i="1"/>
  <c r="P725" i="1"/>
  <c r="L725" i="1"/>
  <c r="F725" i="1"/>
  <c r="P724" i="1"/>
  <c r="L724" i="1"/>
  <c r="F724" i="1"/>
  <c r="P723" i="1"/>
  <c r="L723" i="1"/>
  <c r="F723" i="1"/>
  <c r="P722" i="1"/>
  <c r="L722" i="1"/>
  <c r="F722" i="1"/>
  <c r="P721" i="1"/>
  <c r="L721" i="1"/>
  <c r="F721" i="1"/>
  <c r="P720" i="1"/>
  <c r="Q720" i="1" s="1"/>
  <c r="F720" i="1"/>
  <c r="P719" i="1"/>
  <c r="L719" i="1"/>
  <c r="F719" i="1"/>
  <c r="P718" i="1"/>
  <c r="L718" i="1"/>
  <c r="F718" i="1"/>
  <c r="P717" i="1"/>
  <c r="L717" i="1"/>
  <c r="F717" i="1"/>
  <c r="P716" i="1"/>
  <c r="L716" i="1"/>
  <c r="F716" i="1"/>
  <c r="P715" i="1"/>
  <c r="L715" i="1"/>
  <c r="F715" i="1"/>
  <c r="P714" i="1"/>
  <c r="L714" i="1"/>
  <c r="F714" i="1"/>
  <c r="P713" i="1"/>
  <c r="Q713" i="1" s="1"/>
  <c r="F713" i="1"/>
  <c r="P712" i="1"/>
  <c r="L712" i="1"/>
  <c r="F712" i="1"/>
  <c r="P711" i="1"/>
  <c r="L711" i="1"/>
  <c r="F711" i="1"/>
  <c r="P710" i="1"/>
  <c r="L710" i="1"/>
  <c r="F710" i="1"/>
  <c r="P709" i="1"/>
  <c r="L709" i="1"/>
  <c r="F709" i="1"/>
  <c r="P708" i="1"/>
  <c r="L708" i="1"/>
  <c r="F708" i="1"/>
  <c r="P707" i="1"/>
  <c r="L707" i="1"/>
  <c r="F707" i="1"/>
  <c r="P706" i="1"/>
  <c r="L706" i="1"/>
  <c r="F706" i="1"/>
  <c r="P705" i="1"/>
  <c r="L705" i="1"/>
  <c r="F705" i="1"/>
  <c r="P704" i="1"/>
  <c r="L704" i="1"/>
  <c r="F704" i="1"/>
  <c r="P703" i="1"/>
  <c r="L703" i="1"/>
  <c r="F703" i="1"/>
  <c r="P702" i="1"/>
  <c r="L702" i="1"/>
  <c r="F702" i="1"/>
  <c r="P701" i="1"/>
  <c r="L701" i="1"/>
  <c r="F701" i="1"/>
  <c r="P700" i="1"/>
  <c r="L700" i="1"/>
  <c r="F700" i="1"/>
  <c r="P699" i="1"/>
  <c r="L699" i="1"/>
  <c r="F699" i="1"/>
  <c r="P698" i="1"/>
  <c r="L698" i="1"/>
  <c r="F698" i="1"/>
  <c r="P697" i="1"/>
  <c r="L697" i="1"/>
  <c r="F697" i="1"/>
  <c r="P696" i="1"/>
  <c r="L696" i="1"/>
  <c r="F696" i="1"/>
  <c r="P695" i="1"/>
  <c r="L695" i="1"/>
  <c r="F695" i="1"/>
  <c r="L694" i="1"/>
  <c r="F694" i="1"/>
  <c r="P693" i="1"/>
  <c r="L693" i="1"/>
  <c r="F693" i="1"/>
  <c r="P692" i="1"/>
  <c r="L692" i="1"/>
  <c r="F692" i="1"/>
  <c r="P691" i="1"/>
  <c r="L691" i="1"/>
  <c r="F691" i="1"/>
  <c r="P690" i="1"/>
  <c r="L690" i="1"/>
  <c r="F690" i="1"/>
  <c r="P689" i="1"/>
  <c r="L689" i="1"/>
  <c r="F689" i="1"/>
  <c r="P688" i="1"/>
  <c r="L688" i="1"/>
  <c r="F688" i="1"/>
  <c r="P687" i="1"/>
  <c r="L687" i="1"/>
  <c r="F687" i="1"/>
  <c r="P686" i="1"/>
  <c r="L686" i="1"/>
  <c r="F686" i="1"/>
  <c r="P685" i="1"/>
  <c r="L685" i="1"/>
  <c r="F685" i="1"/>
  <c r="P684" i="1"/>
  <c r="L684" i="1"/>
  <c r="F684" i="1"/>
  <c r="P683" i="1"/>
  <c r="L683" i="1"/>
  <c r="F683" i="1"/>
  <c r="P682" i="1"/>
  <c r="L682" i="1"/>
  <c r="F682" i="1"/>
  <c r="P681" i="1"/>
  <c r="L681" i="1"/>
  <c r="F681" i="1"/>
  <c r="P680" i="1"/>
  <c r="L680" i="1"/>
  <c r="F680" i="1"/>
  <c r="P679" i="1"/>
  <c r="L679" i="1"/>
  <c r="F679" i="1"/>
  <c r="P678" i="1"/>
  <c r="L678" i="1"/>
  <c r="F678" i="1"/>
  <c r="P677" i="1"/>
  <c r="Q677" i="1" s="1"/>
  <c r="F677" i="1"/>
  <c r="P676" i="1"/>
  <c r="L676" i="1"/>
  <c r="F676" i="1"/>
  <c r="P675" i="1"/>
  <c r="L675" i="1"/>
  <c r="F675" i="1"/>
  <c r="P674" i="1"/>
  <c r="L674" i="1"/>
  <c r="F674" i="1"/>
  <c r="P673" i="1"/>
  <c r="L673" i="1"/>
  <c r="F673" i="1"/>
  <c r="P672" i="1"/>
  <c r="L672" i="1"/>
  <c r="F672" i="1"/>
  <c r="P671" i="1"/>
  <c r="L671" i="1"/>
  <c r="F671" i="1"/>
  <c r="P670" i="1"/>
  <c r="L670" i="1"/>
  <c r="F670" i="1"/>
  <c r="P669" i="1"/>
  <c r="L669" i="1"/>
  <c r="F669" i="1"/>
  <c r="P668" i="1"/>
  <c r="L668" i="1"/>
  <c r="F668" i="1"/>
  <c r="P667" i="1"/>
  <c r="L667" i="1"/>
  <c r="F667" i="1"/>
  <c r="P666" i="1"/>
  <c r="L666" i="1"/>
  <c r="F666" i="1"/>
  <c r="P665" i="1"/>
  <c r="Q665" i="1" s="1"/>
  <c r="F665" i="1"/>
  <c r="P664" i="1"/>
  <c r="L664" i="1"/>
  <c r="F664" i="1"/>
  <c r="P663" i="1"/>
  <c r="L663" i="1"/>
  <c r="F663" i="1"/>
  <c r="P662" i="1"/>
  <c r="L662" i="1"/>
  <c r="F662" i="1"/>
  <c r="P661" i="1"/>
  <c r="Q661" i="1" s="1"/>
  <c r="F661" i="1"/>
  <c r="P660" i="1"/>
  <c r="L660" i="1"/>
  <c r="F660" i="1"/>
  <c r="P659" i="1"/>
  <c r="L659" i="1"/>
  <c r="F659" i="1"/>
  <c r="P658" i="1"/>
  <c r="L658" i="1"/>
  <c r="F658" i="1"/>
  <c r="P657" i="1"/>
  <c r="L657" i="1"/>
  <c r="F657" i="1"/>
  <c r="P656" i="1"/>
  <c r="L656" i="1"/>
  <c r="F656" i="1"/>
  <c r="P655" i="1"/>
  <c r="L655" i="1"/>
  <c r="F655" i="1"/>
  <c r="P654" i="1"/>
  <c r="L654" i="1"/>
  <c r="F654" i="1"/>
  <c r="P653" i="1"/>
  <c r="L653" i="1"/>
  <c r="F653" i="1"/>
  <c r="P652" i="1"/>
  <c r="L652" i="1"/>
  <c r="F652" i="1"/>
  <c r="P651" i="1"/>
  <c r="L651" i="1"/>
  <c r="F651" i="1"/>
  <c r="P650" i="1"/>
  <c r="L650" i="1"/>
  <c r="F650" i="1"/>
  <c r="P649" i="1"/>
  <c r="L649" i="1"/>
  <c r="F649" i="1"/>
  <c r="P648" i="1"/>
  <c r="L648" i="1"/>
  <c r="F648" i="1"/>
  <c r="P647" i="1"/>
  <c r="L647" i="1"/>
  <c r="F647" i="1"/>
  <c r="P646" i="1"/>
  <c r="L646" i="1"/>
  <c r="F646" i="1"/>
  <c r="P645" i="1"/>
  <c r="L645" i="1"/>
  <c r="F645" i="1"/>
  <c r="P644" i="1"/>
  <c r="L644" i="1"/>
  <c r="F644" i="1"/>
  <c r="P643" i="1"/>
  <c r="L643" i="1"/>
  <c r="F643" i="1"/>
  <c r="P642" i="1"/>
  <c r="L642" i="1"/>
  <c r="F642" i="1"/>
  <c r="P641" i="1"/>
  <c r="L641" i="1"/>
  <c r="F641" i="1"/>
  <c r="P640" i="1"/>
  <c r="L640" i="1"/>
  <c r="F640" i="1"/>
  <c r="P639" i="1"/>
  <c r="L639" i="1"/>
  <c r="F639" i="1"/>
  <c r="P638" i="1"/>
  <c r="L638" i="1"/>
  <c r="F638" i="1"/>
  <c r="P637" i="1"/>
  <c r="L637" i="1"/>
  <c r="F637" i="1"/>
  <c r="P636" i="1"/>
  <c r="L636" i="1"/>
  <c r="F636" i="1"/>
  <c r="P635" i="1"/>
  <c r="L635" i="1"/>
  <c r="F635" i="1"/>
  <c r="P634" i="1"/>
  <c r="L634" i="1"/>
  <c r="F634" i="1"/>
  <c r="P633" i="1"/>
  <c r="L633" i="1"/>
  <c r="F633" i="1"/>
  <c r="P632" i="1"/>
  <c r="L632" i="1"/>
  <c r="F632" i="1"/>
  <c r="P631" i="1"/>
  <c r="Q631" i="1" s="1"/>
  <c r="F631" i="1"/>
  <c r="P630" i="1"/>
  <c r="L630" i="1"/>
  <c r="F630" i="1"/>
  <c r="P629" i="1"/>
  <c r="L629" i="1"/>
  <c r="F629" i="1"/>
  <c r="P628" i="1"/>
  <c r="L628" i="1"/>
  <c r="F628" i="1"/>
  <c r="P627" i="1"/>
  <c r="L627" i="1"/>
  <c r="F627" i="1"/>
  <c r="P626" i="1"/>
  <c r="L626" i="1"/>
  <c r="F626" i="1"/>
  <c r="P625" i="1"/>
  <c r="L625" i="1"/>
  <c r="F625" i="1"/>
  <c r="P624" i="1"/>
  <c r="L624" i="1"/>
  <c r="F624" i="1"/>
  <c r="P623" i="1"/>
  <c r="L623" i="1"/>
  <c r="F623" i="1"/>
  <c r="P622" i="1"/>
  <c r="Q622" i="1" s="1"/>
  <c r="F622" i="1"/>
  <c r="P621" i="1"/>
  <c r="L621" i="1"/>
  <c r="F621" i="1"/>
  <c r="P620" i="1"/>
  <c r="L620" i="1"/>
  <c r="F620" i="1"/>
  <c r="P619" i="1"/>
  <c r="L619" i="1"/>
  <c r="F619" i="1"/>
  <c r="P618" i="1"/>
  <c r="L618" i="1"/>
  <c r="F618" i="1"/>
  <c r="P617" i="1"/>
  <c r="L617" i="1"/>
  <c r="F617" i="1"/>
  <c r="P616" i="1"/>
  <c r="L616" i="1"/>
  <c r="F616" i="1"/>
  <c r="P615" i="1"/>
  <c r="L615" i="1"/>
  <c r="F615" i="1"/>
  <c r="P614" i="1"/>
  <c r="L614" i="1"/>
  <c r="F614" i="1"/>
  <c r="P613" i="1"/>
  <c r="L613" i="1"/>
  <c r="F613" i="1"/>
  <c r="P612" i="1"/>
  <c r="L612" i="1"/>
  <c r="F612" i="1"/>
  <c r="P611" i="1"/>
  <c r="L611" i="1"/>
  <c r="F611" i="1"/>
  <c r="L610" i="1"/>
  <c r="F610" i="1"/>
  <c r="P609" i="1"/>
  <c r="L609" i="1"/>
  <c r="F609" i="1"/>
  <c r="P608" i="1"/>
  <c r="L608" i="1"/>
  <c r="F608" i="1"/>
  <c r="P607" i="1"/>
  <c r="L607" i="1"/>
  <c r="F607" i="1"/>
  <c r="P606" i="1"/>
  <c r="L606" i="1"/>
  <c r="F606" i="1"/>
  <c r="P605" i="1"/>
  <c r="L605" i="1"/>
  <c r="F605" i="1"/>
  <c r="P604" i="1"/>
  <c r="L604" i="1"/>
  <c r="F604" i="1"/>
  <c r="P603" i="1"/>
  <c r="L603" i="1"/>
  <c r="F603" i="1"/>
  <c r="P602" i="1"/>
  <c r="L602" i="1"/>
  <c r="F602" i="1"/>
  <c r="P601" i="1"/>
  <c r="L601" i="1"/>
  <c r="F601" i="1"/>
  <c r="P600" i="1"/>
  <c r="L600" i="1"/>
  <c r="F600" i="1"/>
  <c r="P599" i="1"/>
  <c r="L599" i="1"/>
  <c r="F599" i="1"/>
  <c r="P598" i="1"/>
  <c r="Q598" i="1" s="1"/>
  <c r="F598" i="1"/>
  <c r="P597" i="1"/>
  <c r="L597" i="1"/>
  <c r="F597" i="1"/>
  <c r="P596" i="1"/>
  <c r="L596" i="1"/>
  <c r="F596" i="1"/>
  <c r="P595" i="1"/>
  <c r="L595" i="1"/>
  <c r="F595" i="1"/>
  <c r="P594" i="1"/>
  <c r="L594" i="1"/>
  <c r="F594" i="1"/>
  <c r="P593" i="1"/>
  <c r="L593" i="1"/>
  <c r="F593" i="1"/>
  <c r="P592" i="1"/>
  <c r="L592" i="1"/>
  <c r="F592" i="1"/>
  <c r="P591" i="1"/>
  <c r="L591" i="1"/>
  <c r="F591" i="1"/>
  <c r="P590" i="1"/>
  <c r="L590" i="1"/>
  <c r="F590" i="1"/>
  <c r="P589" i="1"/>
  <c r="L589" i="1"/>
  <c r="F589" i="1"/>
  <c r="P588" i="1"/>
  <c r="L588" i="1"/>
  <c r="F588" i="1"/>
  <c r="P587" i="1"/>
  <c r="L587" i="1"/>
  <c r="F587" i="1"/>
  <c r="P586" i="1"/>
  <c r="L586" i="1"/>
  <c r="F586" i="1"/>
  <c r="P585" i="1"/>
  <c r="L585" i="1"/>
  <c r="F585" i="1"/>
  <c r="P584" i="1"/>
  <c r="L584" i="1"/>
  <c r="F584" i="1"/>
  <c r="P583" i="1"/>
  <c r="L583" i="1"/>
  <c r="F583" i="1"/>
  <c r="P582" i="1"/>
  <c r="L582" i="1"/>
  <c r="F582" i="1"/>
  <c r="P581" i="1"/>
  <c r="L581" i="1"/>
  <c r="F581" i="1"/>
  <c r="P580" i="1"/>
  <c r="L580" i="1"/>
  <c r="F580" i="1"/>
  <c r="P579" i="1"/>
  <c r="L579" i="1"/>
  <c r="F579" i="1"/>
  <c r="P578" i="1"/>
  <c r="L578" i="1"/>
  <c r="F578" i="1"/>
  <c r="P577" i="1"/>
  <c r="L577" i="1"/>
  <c r="F577" i="1"/>
  <c r="P576" i="1"/>
  <c r="L576" i="1"/>
  <c r="F576" i="1"/>
  <c r="P575" i="1"/>
  <c r="L575" i="1"/>
  <c r="F575" i="1"/>
  <c r="P574" i="1"/>
  <c r="L574" i="1"/>
  <c r="F574" i="1"/>
  <c r="P573" i="1"/>
  <c r="L573" i="1"/>
  <c r="F573" i="1"/>
  <c r="P572" i="1"/>
  <c r="L572" i="1"/>
  <c r="F572" i="1"/>
  <c r="P571" i="1"/>
  <c r="L571" i="1"/>
  <c r="F571" i="1"/>
  <c r="P570" i="1"/>
  <c r="L570" i="1"/>
  <c r="F570" i="1"/>
  <c r="P569" i="1"/>
  <c r="L569" i="1"/>
  <c r="F569" i="1"/>
  <c r="P568" i="1"/>
  <c r="L568" i="1"/>
  <c r="F568" i="1"/>
  <c r="P567" i="1"/>
  <c r="L567" i="1"/>
  <c r="F567" i="1"/>
  <c r="P566" i="1"/>
  <c r="L566" i="1"/>
  <c r="F566" i="1"/>
  <c r="P565" i="1"/>
  <c r="L565" i="1"/>
  <c r="F565" i="1"/>
  <c r="P564" i="1"/>
  <c r="L564" i="1"/>
  <c r="F564" i="1"/>
  <c r="P563" i="1"/>
  <c r="L563" i="1"/>
  <c r="F563" i="1"/>
  <c r="P562" i="1"/>
  <c r="L562" i="1"/>
  <c r="F562" i="1"/>
  <c r="P561" i="1"/>
  <c r="L561" i="1"/>
  <c r="F561" i="1"/>
  <c r="P560" i="1"/>
  <c r="L560" i="1"/>
  <c r="F560" i="1"/>
  <c r="P559" i="1"/>
  <c r="L559" i="1"/>
  <c r="F559" i="1"/>
  <c r="P558" i="1"/>
  <c r="L558" i="1"/>
  <c r="F558" i="1"/>
  <c r="P557" i="1"/>
  <c r="L557" i="1"/>
  <c r="F557" i="1"/>
  <c r="P556" i="1"/>
  <c r="L556" i="1"/>
  <c r="F556" i="1"/>
  <c r="P555" i="1"/>
  <c r="L555" i="1"/>
  <c r="F555" i="1"/>
  <c r="P554" i="1"/>
  <c r="L554" i="1"/>
  <c r="F554" i="1"/>
  <c r="P553" i="1"/>
  <c r="L553" i="1"/>
  <c r="F553" i="1"/>
  <c r="P552" i="1"/>
  <c r="L552" i="1"/>
  <c r="F552" i="1"/>
  <c r="P551" i="1"/>
  <c r="L551" i="1"/>
  <c r="F551" i="1"/>
  <c r="P550" i="1"/>
  <c r="L550" i="1"/>
  <c r="F550" i="1"/>
  <c r="P549" i="1"/>
  <c r="L549" i="1"/>
  <c r="F549" i="1"/>
  <c r="P548" i="1"/>
  <c r="L548" i="1"/>
  <c r="F548" i="1"/>
  <c r="P547" i="1"/>
  <c r="L547" i="1"/>
  <c r="F547" i="1"/>
  <c r="P546" i="1"/>
  <c r="L546" i="1"/>
  <c r="F546" i="1"/>
  <c r="P545" i="1"/>
  <c r="L545" i="1"/>
  <c r="F545" i="1"/>
  <c r="P544" i="1"/>
  <c r="L544" i="1"/>
  <c r="F544" i="1"/>
  <c r="P543" i="1"/>
  <c r="L543" i="1"/>
  <c r="F543" i="1"/>
  <c r="P542" i="1"/>
  <c r="L542" i="1"/>
  <c r="F542" i="1"/>
  <c r="L541" i="1"/>
  <c r="F541" i="1"/>
  <c r="P540" i="1"/>
  <c r="L540" i="1"/>
  <c r="F540" i="1"/>
  <c r="P539" i="1"/>
  <c r="L539" i="1"/>
  <c r="F539" i="1"/>
  <c r="P538" i="1"/>
  <c r="L538" i="1"/>
  <c r="F538" i="1"/>
  <c r="P537" i="1"/>
  <c r="L537" i="1"/>
  <c r="F537" i="1"/>
  <c r="P536" i="1"/>
  <c r="L536" i="1"/>
  <c r="F536" i="1"/>
  <c r="P535" i="1"/>
  <c r="L535" i="1"/>
  <c r="F535" i="1"/>
  <c r="P534" i="1"/>
  <c r="L534" i="1"/>
  <c r="F534" i="1"/>
  <c r="P533" i="1"/>
  <c r="L533" i="1"/>
  <c r="F533" i="1"/>
  <c r="P532" i="1"/>
  <c r="L532" i="1"/>
  <c r="F532" i="1"/>
  <c r="P531" i="1"/>
  <c r="L531" i="1"/>
  <c r="F531" i="1"/>
  <c r="P530" i="1"/>
  <c r="L530" i="1"/>
  <c r="F530" i="1"/>
  <c r="P529" i="1"/>
  <c r="L529" i="1"/>
  <c r="F529" i="1"/>
  <c r="P528" i="1"/>
  <c r="Q528" i="1" s="1"/>
  <c r="F528" i="1"/>
  <c r="P527" i="1"/>
  <c r="L527" i="1"/>
  <c r="F527" i="1"/>
  <c r="P526" i="1"/>
  <c r="L526" i="1"/>
  <c r="F526" i="1"/>
  <c r="P525" i="1"/>
  <c r="L525" i="1"/>
  <c r="F525" i="1"/>
  <c r="P524" i="1"/>
  <c r="L524" i="1"/>
  <c r="F524" i="1"/>
  <c r="P523" i="1"/>
  <c r="L523" i="1"/>
  <c r="F523" i="1"/>
  <c r="P522" i="1"/>
  <c r="L522" i="1"/>
  <c r="F522" i="1"/>
  <c r="P521" i="1"/>
  <c r="L521" i="1"/>
  <c r="F521" i="1"/>
  <c r="P520" i="1"/>
  <c r="L520" i="1"/>
  <c r="F520" i="1"/>
  <c r="P519" i="1"/>
  <c r="L519" i="1"/>
  <c r="F519" i="1"/>
  <c r="P518" i="1"/>
  <c r="L518" i="1"/>
  <c r="F518" i="1"/>
  <c r="P517" i="1"/>
  <c r="L517" i="1"/>
  <c r="F517" i="1"/>
  <c r="P516" i="1"/>
  <c r="L516" i="1"/>
  <c r="F516" i="1"/>
  <c r="P515" i="1"/>
  <c r="Q515" i="1" s="1"/>
  <c r="F515" i="1"/>
  <c r="P514" i="1"/>
  <c r="L514" i="1"/>
  <c r="F514" i="1"/>
  <c r="P513" i="1"/>
  <c r="L513" i="1"/>
  <c r="F513" i="1"/>
  <c r="P512" i="1"/>
  <c r="L512" i="1"/>
  <c r="F512" i="1"/>
  <c r="P511" i="1"/>
  <c r="L511" i="1"/>
  <c r="F511" i="1"/>
  <c r="P510" i="1"/>
  <c r="L510" i="1"/>
  <c r="F510" i="1"/>
  <c r="P509" i="1"/>
  <c r="L509" i="1"/>
  <c r="F509" i="1"/>
  <c r="P508" i="1"/>
  <c r="L508" i="1"/>
  <c r="F508" i="1"/>
  <c r="P507" i="1"/>
  <c r="L507" i="1"/>
  <c r="F507" i="1"/>
  <c r="P506" i="1"/>
  <c r="L506" i="1"/>
  <c r="F506" i="1"/>
  <c r="P505" i="1"/>
  <c r="L505" i="1"/>
  <c r="F505" i="1"/>
  <c r="P504" i="1"/>
  <c r="L504" i="1"/>
  <c r="F504" i="1"/>
  <c r="P503" i="1"/>
  <c r="L503" i="1"/>
  <c r="F503" i="1"/>
  <c r="P502" i="1"/>
  <c r="L502" i="1"/>
  <c r="F502" i="1"/>
  <c r="P501" i="1"/>
  <c r="L501" i="1"/>
  <c r="F501" i="1"/>
  <c r="P500" i="1"/>
  <c r="L500" i="1"/>
  <c r="F500" i="1"/>
  <c r="P499" i="1"/>
  <c r="L499" i="1"/>
  <c r="F499" i="1"/>
  <c r="P498" i="1"/>
  <c r="L498" i="1"/>
  <c r="F498" i="1"/>
  <c r="P497" i="1"/>
  <c r="L497" i="1"/>
  <c r="F497" i="1"/>
  <c r="P496" i="1"/>
  <c r="L496" i="1"/>
  <c r="F496" i="1"/>
  <c r="P495" i="1"/>
  <c r="L495" i="1"/>
  <c r="F495" i="1"/>
  <c r="P494" i="1"/>
  <c r="L494" i="1"/>
  <c r="F494" i="1"/>
  <c r="P493" i="1"/>
  <c r="L493" i="1"/>
  <c r="F493" i="1"/>
  <c r="P492" i="1"/>
  <c r="L492" i="1"/>
  <c r="F492" i="1"/>
  <c r="P491" i="1"/>
  <c r="L491" i="1"/>
  <c r="F491" i="1"/>
  <c r="P490" i="1"/>
  <c r="L490" i="1"/>
  <c r="F490" i="1"/>
  <c r="P489" i="1"/>
  <c r="L489" i="1"/>
  <c r="F489" i="1"/>
  <c r="P488" i="1"/>
  <c r="L488" i="1"/>
  <c r="F488" i="1"/>
  <c r="P487" i="1"/>
  <c r="L487" i="1"/>
  <c r="F487" i="1"/>
  <c r="P486" i="1"/>
  <c r="L486" i="1"/>
  <c r="F486" i="1"/>
  <c r="P485" i="1"/>
  <c r="L485" i="1"/>
  <c r="F485" i="1"/>
  <c r="P484" i="1"/>
  <c r="L484" i="1"/>
  <c r="F484" i="1"/>
  <c r="P483" i="1"/>
  <c r="L483" i="1"/>
  <c r="F483" i="1"/>
  <c r="P482" i="1"/>
  <c r="L482" i="1"/>
  <c r="F482" i="1"/>
  <c r="P481" i="1"/>
  <c r="L481" i="1"/>
  <c r="F481" i="1"/>
  <c r="P480" i="1"/>
  <c r="L480" i="1"/>
  <c r="F480" i="1"/>
  <c r="P479" i="1"/>
  <c r="L479" i="1"/>
  <c r="F479" i="1"/>
  <c r="P478" i="1"/>
  <c r="L478" i="1"/>
  <c r="F478" i="1"/>
  <c r="P477" i="1"/>
  <c r="L477" i="1"/>
  <c r="F477" i="1"/>
  <c r="P476" i="1"/>
  <c r="L476" i="1"/>
  <c r="F476" i="1"/>
  <c r="P475" i="1"/>
  <c r="L475" i="1"/>
  <c r="F475" i="1"/>
  <c r="P474" i="1"/>
  <c r="L474" i="1"/>
  <c r="F474" i="1"/>
  <c r="P473" i="1"/>
  <c r="L473" i="1"/>
  <c r="F473" i="1"/>
  <c r="P472" i="1"/>
  <c r="L472" i="1"/>
  <c r="F472" i="1"/>
  <c r="P471" i="1"/>
  <c r="L471" i="1"/>
  <c r="F471" i="1"/>
  <c r="P470" i="1"/>
  <c r="L470" i="1"/>
  <c r="F470" i="1"/>
  <c r="P469" i="1"/>
  <c r="L469" i="1"/>
  <c r="F469" i="1"/>
  <c r="P468" i="1"/>
  <c r="L468" i="1"/>
  <c r="F468" i="1"/>
  <c r="P467" i="1"/>
  <c r="L467" i="1"/>
  <c r="F467" i="1"/>
  <c r="P466" i="1"/>
  <c r="L466" i="1"/>
  <c r="F466" i="1"/>
  <c r="P465" i="1"/>
  <c r="L465" i="1"/>
  <c r="F465" i="1"/>
  <c r="P464" i="1"/>
  <c r="L464" i="1"/>
  <c r="F464" i="1"/>
  <c r="P463" i="1"/>
  <c r="L463" i="1"/>
  <c r="F463" i="1"/>
  <c r="P462" i="1"/>
  <c r="L462" i="1"/>
  <c r="F462" i="1"/>
  <c r="P461" i="1"/>
  <c r="L461" i="1"/>
  <c r="F461" i="1"/>
  <c r="P460" i="1"/>
  <c r="L460" i="1"/>
  <c r="F460" i="1"/>
  <c r="P459" i="1"/>
  <c r="L459" i="1"/>
  <c r="F459" i="1"/>
  <c r="P458" i="1"/>
  <c r="L458" i="1"/>
  <c r="F458" i="1"/>
  <c r="P457" i="1"/>
  <c r="L457" i="1"/>
  <c r="F457" i="1"/>
  <c r="P456" i="1"/>
  <c r="L456" i="1"/>
  <c r="F456" i="1"/>
  <c r="P455" i="1"/>
  <c r="L455" i="1"/>
  <c r="F455" i="1"/>
  <c r="P454" i="1"/>
  <c r="L454" i="1"/>
  <c r="F454" i="1"/>
  <c r="P453" i="1"/>
  <c r="L453" i="1"/>
  <c r="F453" i="1"/>
  <c r="P452" i="1"/>
  <c r="L452" i="1"/>
  <c r="F452" i="1"/>
  <c r="P451" i="1"/>
  <c r="L451" i="1"/>
  <c r="F451" i="1"/>
  <c r="P450" i="1"/>
  <c r="L450" i="1"/>
  <c r="F450" i="1"/>
  <c r="L449" i="1"/>
  <c r="F449" i="1"/>
  <c r="P448" i="1"/>
  <c r="L448" i="1"/>
  <c r="F448" i="1"/>
  <c r="P447" i="1"/>
  <c r="L447" i="1"/>
  <c r="F447" i="1"/>
  <c r="P446" i="1"/>
  <c r="L446" i="1"/>
  <c r="F446" i="1"/>
  <c r="P445" i="1"/>
  <c r="L445" i="1"/>
  <c r="F445" i="1"/>
  <c r="P444" i="1"/>
  <c r="L444" i="1"/>
  <c r="F444" i="1"/>
  <c r="P443" i="1"/>
  <c r="L443" i="1"/>
  <c r="F443" i="1"/>
  <c r="P442" i="1"/>
  <c r="L442" i="1"/>
  <c r="F442" i="1"/>
  <c r="P441" i="1"/>
  <c r="L441" i="1"/>
  <c r="F441" i="1"/>
  <c r="P440" i="1"/>
  <c r="L440" i="1"/>
  <c r="F440" i="1"/>
  <c r="P439" i="1"/>
  <c r="L439" i="1"/>
  <c r="F439" i="1"/>
  <c r="L438" i="1"/>
  <c r="F438" i="1"/>
  <c r="P437" i="1"/>
  <c r="L437" i="1"/>
  <c r="F437" i="1"/>
  <c r="P436" i="1"/>
  <c r="L436" i="1"/>
  <c r="F436" i="1"/>
  <c r="P435" i="1"/>
  <c r="L435" i="1"/>
  <c r="F435" i="1"/>
  <c r="P434" i="1"/>
  <c r="L434" i="1"/>
  <c r="F434" i="1"/>
  <c r="P433" i="1"/>
  <c r="L433" i="1"/>
  <c r="F433" i="1"/>
  <c r="P432" i="1"/>
  <c r="L432" i="1"/>
  <c r="F432" i="1"/>
  <c r="P431" i="1"/>
  <c r="L431" i="1"/>
  <c r="F431" i="1"/>
  <c r="P430" i="1"/>
  <c r="F430" i="1"/>
  <c r="P429" i="1"/>
  <c r="L429" i="1"/>
  <c r="F429" i="1"/>
  <c r="P428" i="1"/>
  <c r="L428" i="1"/>
  <c r="F428" i="1"/>
  <c r="P427" i="1"/>
  <c r="L427" i="1"/>
  <c r="F427" i="1"/>
  <c r="P426" i="1"/>
  <c r="L426" i="1"/>
  <c r="F426" i="1"/>
  <c r="P425" i="1"/>
  <c r="L425" i="1"/>
  <c r="F425" i="1"/>
  <c r="P424" i="1"/>
  <c r="L424" i="1"/>
  <c r="F424" i="1"/>
  <c r="L423" i="1"/>
  <c r="F423" i="1"/>
  <c r="P422" i="1"/>
  <c r="L422" i="1"/>
  <c r="F422" i="1"/>
  <c r="P421" i="1"/>
  <c r="L421" i="1"/>
  <c r="F421" i="1"/>
  <c r="P420" i="1"/>
  <c r="L420" i="1"/>
  <c r="F420" i="1"/>
  <c r="P419" i="1"/>
  <c r="L419" i="1"/>
  <c r="F419" i="1"/>
  <c r="P418" i="1"/>
  <c r="L418" i="1"/>
  <c r="F418" i="1"/>
  <c r="P417" i="1"/>
  <c r="L417" i="1"/>
  <c r="F417" i="1"/>
  <c r="P416" i="1"/>
  <c r="L416" i="1"/>
  <c r="F416" i="1"/>
  <c r="P415" i="1"/>
  <c r="L415" i="1"/>
  <c r="F415" i="1"/>
  <c r="P414" i="1"/>
  <c r="L414" i="1"/>
  <c r="F414" i="1"/>
  <c r="P413" i="1"/>
  <c r="L413" i="1"/>
  <c r="F413" i="1"/>
  <c r="P412" i="1"/>
  <c r="L412" i="1"/>
  <c r="F412" i="1"/>
  <c r="P411" i="1"/>
  <c r="L411" i="1"/>
  <c r="F411" i="1"/>
  <c r="P410" i="1"/>
  <c r="L410" i="1"/>
  <c r="F410" i="1"/>
  <c r="P409" i="1"/>
  <c r="L409" i="1"/>
  <c r="F409" i="1"/>
  <c r="P408" i="1"/>
  <c r="L408" i="1"/>
  <c r="F408" i="1"/>
  <c r="P407" i="1"/>
  <c r="L407" i="1"/>
  <c r="F407" i="1"/>
  <c r="P406" i="1"/>
  <c r="L406" i="1"/>
  <c r="F406" i="1"/>
  <c r="P405" i="1"/>
  <c r="L405" i="1"/>
  <c r="F405" i="1"/>
  <c r="P404" i="1"/>
  <c r="L404" i="1"/>
  <c r="F404" i="1"/>
  <c r="P403" i="1"/>
  <c r="L403" i="1"/>
  <c r="F403" i="1"/>
  <c r="P402" i="1"/>
  <c r="L402" i="1"/>
  <c r="F402" i="1"/>
  <c r="P401" i="1"/>
  <c r="L401" i="1"/>
  <c r="F401" i="1"/>
  <c r="L400" i="1"/>
  <c r="F400" i="1"/>
  <c r="P399" i="1"/>
  <c r="L399" i="1"/>
  <c r="F399" i="1"/>
  <c r="P398" i="1"/>
  <c r="L398" i="1"/>
  <c r="F398" i="1"/>
  <c r="P397" i="1"/>
  <c r="L397" i="1"/>
  <c r="F397" i="1"/>
  <c r="P396" i="1"/>
  <c r="L396" i="1"/>
  <c r="F396" i="1"/>
  <c r="P395" i="1"/>
  <c r="L395" i="1"/>
  <c r="F395" i="1"/>
  <c r="P394" i="1"/>
  <c r="L394" i="1"/>
  <c r="F394" i="1"/>
  <c r="P393" i="1"/>
  <c r="L393" i="1"/>
  <c r="F393" i="1"/>
  <c r="P392" i="1"/>
  <c r="L392" i="1"/>
  <c r="F392" i="1"/>
  <c r="P391" i="1"/>
  <c r="L391" i="1"/>
  <c r="F391" i="1"/>
  <c r="P390" i="1"/>
  <c r="L390" i="1"/>
  <c r="F390" i="1"/>
  <c r="P389" i="1"/>
  <c r="L389" i="1"/>
  <c r="F389" i="1"/>
  <c r="P388" i="1"/>
  <c r="L388" i="1"/>
  <c r="F388" i="1"/>
  <c r="P387" i="1"/>
  <c r="L387" i="1"/>
  <c r="F387" i="1"/>
  <c r="P386" i="1"/>
  <c r="L386" i="1"/>
  <c r="F386" i="1"/>
  <c r="P385" i="1"/>
  <c r="L385" i="1"/>
  <c r="F385" i="1"/>
  <c r="P384" i="1"/>
  <c r="L384" i="1"/>
  <c r="F384" i="1"/>
  <c r="P383" i="1"/>
  <c r="L383" i="1"/>
  <c r="F383" i="1"/>
  <c r="P382" i="1"/>
  <c r="L382" i="1"/>
  <c r="F382" i="1"/>
  <c r="P381" i="1"/>
  <c r="L381" i="1"/>
  <c r="F381" i="1"/>
  <c r="P380" i="1"/>
  <c r="L380" i="1"/>
  <c r="F380" i="1"/>
  <c r="P379" i="1"/>
  <c r="L379" i="1"/>
  <c r="F379" i="1"/>
  <c r="P378" i="1"/>
  <c r="L378" i="1"/>
  <c r="F378" i="1"/>
  <c r="L377" i="1"/>
  <c r="F377" i="1"/>
  <c r="P376" i="1"/>
  <c r="L376" i="1"/>
  <c r="F376" i="1"/>
  <c r="P375" i="1"/>
  <c r="L375" i="1"/>
  <c r="F375" i="1"/>
  <c r="P374" i="1"/>
  <c r="L374" i="1"/>
  <c r="F374" i="1"/>
  <c r="P373" i="1"/>
  <c r="L373" i="1"/>
  <c r="F373" i="1"/>
  <c r="P372" i="1"/>
  <c r="L372" i="1"/>
  <c r="F372" i="1"/>
  <c r="P371" i="1"/>
  <c r="L371" i="1"/>
  <c r="F371" i="1"/>
  <c r="P370" i="1"/>
  <c r="L370" i="1"/>
  <c r="F370" i="1"/>
  <c r="P369" i="1"/>
  <c r="L369" i="1"/>
  <c r="F369" i="1"/>
  <c r="P368" i="1"/>
  <c r="L368" i="1"/>
  <c r="F368" i="1"/>
  <c r="P367" i="1"/>
  <c r="L367" i="1"/>
  <c r="F367" i="1"/>
  <c r="P366" i="1"/>
  <c r="L366" i="1"/>
  <c r="F366" i="1"/>
  <c r="P365" i="1"/>
  <c r="L365" i="1"/>
  <c r="F365" i="1"/>
  <c r="P364" i="1"/>
  <c r="L364" i="1"/>
  <c r="F364" i="1"/>
  <c r="P363" i="1"/>
  <c r="L363" i="1"/>
  <c r="F363" i="1"/>
  <c r="P362" i="1"/>
  <c r="L362" i="1"/>
  <c r="F362" i="1"/>
  <c r="P361" i="1"/>
  <c r="L361" i="1"/>
  <c r="F361" i="1"/>
  <c r="P360" i="1"/>
  <c r="L360" i="1"/>
  <c r="F360" i="1"/>
  <c r="P359" i="1"/>
  <c r="L359" i="1"/>
  <c r="F359" i="1"/>
  <c r="P358" i="1"/>
  <c r="L358" i="1"/>
  <c r="F358" i="1"/>
  <c r="P357" i="1"/>
  <c r="L357" i="1"/>
  <c r="F357" i="1"/>
  <c r="P356" i="1"/>
  <c r="L356" i="1"/>
  <c r="F356" i="1"/>
  <c r="P355" i="1"/>
  <c r="L355" i="1"/>
  <c r="F355" i="1"/>
  <c r="P354" i="1"/>
  <c r="L354" i="1"/>
  <c r="F354" i="1"/>
  <c r="P353" i="1"/>
  <c r="L353" i="1"/>
  <c r="F353" i="1"/>
  <c r="P352" i="1"/>
  <c r="L352" i="1"/>
  <c r="F352" i="1"/>
  <c r="P351" i="1"/>
  <c r="L351" i="1"/>
  <c r="F351" i="1"/>
  <c r="P350" i="1"/>
  <c r="L350" i="1"/>
  <c r="F350" i="1"/>
  <c r="P349" i="1"/>
  <c r="L349" i="1"/>
  <c r="F349" i="1"/>
  <c r="P348" i="1"/>
  <c r="L348" i="1"/>
  <c r="F348" i="1"/>
  <c r="P347" i="1"/>
  <c r="L347" i="1"/>
  <c r="F347" i="1"/>
  <c r="P346" i="1"/>
  <c r="L346" i="1"/>
  <c r="F346" i="1"/>
  <c r="P345" i="1"/>
  <c r="L345" i="1"/>
  <c r="F345" i="1"/>
  <c r="P344" i="1"/>
  <c r="L344" i="1"/>
  <c r="F344" i="1"/>
  <c r="P343" i="1"/>
  <c r="L343" i="1"/>
  <c r="F343" i="1"/>
  <c r="P342" i="1"/>
  <c r="L342" i="1"/>
  <c r="F342" i="1"/>
  <c r="P341" i="1"/>
  <c r="L341" i="1"/>
  <c r="F341" i="1"/>
  <c r="P340" i="1"/>
  <c r="L340" i="1"/>
  <c r="F340" i="1"/>
  <c r="P339" i="1"/>
  <c r="L339" i="1"/>
  <c r="F339" i="1"/>
  <c r="P338" i="1"/>
  <c r="L338" i="1"/>
  <c r="F338" i="1"/>
  <c r="P337" i="1"/>
  <c r="L337" i="1"/>
  <c r="F337" i="1"/>
  <c r="P336" i="1"/>
  <c r="L336" i="1"/>
  <c r="F336" i="1"/>
  <c r="P335" i="1"/>
  <c r="L335" i="1"/>
  <c r="F335" i="1"/>
  <c r="P334" i="1"/>
  <c r="L334" i="1"/>
  <c r="F334" i="1"/>
  <c r="P333" i="1"/>
  <c r="L333" i="1"/>
  <c r="F333" i="1"/>
  <c r="P332" i="1"/>
  <c r="L332" i="1"/>
  <c r="F332" i="1"/>
  <c r="P331" i="1"/>
  <c r="L331" i="1"/>
  <c r="F331" i="1"/>
  <c r="P330" i="1"/>
  <c r="L330" i="1"/>
  <c r="F330" i="1"/>
  <c r="P329" i="1"/>
  <c r="L329" i="1"/>
  <c r="F329" i="1"/>
  <c r="P328" i="1"/>
  <c r="L328" i="1"/>
  <c r="F328" i="1"/>
  <c r="P327" i="1"/>
  <c r="L327" i="1"/>
  <c r="F327" i="1"/>
  <c r="P326" i="1"/>
  <c r="L326" i="1"/>
  <c r="F326" i="1"/>
  <c r="P325" i="1"/>
  <c r="L325" i="1"/>
  <c r="F325" i="1"/>
  <c r="P324" i="1"/>
  <c r="L324" i="1"/>
  <c r="F324" i="1"/>
  <c r="P323" i="1"/>
  <c r="L323" i="1"/>
  <c r="F323" i="1"/>
  <c r="P322" i="1"/>
  <c r="L322" i="1"/>
  <c r="F322" i="1"/>
  <c r="P321" i="1"/>
  <c r="L321" i="1"/>
  <c r="F321" i="1"/>
  <c r="P320" i="1"/>
  <c r="L320" i="1"/>
  <c r="F320" i="1"/>
  <c r="P319" i="1"/>
  <c r="L319" i="1"/>
  <c r="F319" i="1"/>
  <c r="P318" i="1"/>
  <c r="L318" i="1"/>
  <c r="F318" i="1"/>
  <c r="P317" i="1"/>
  <c r="L317" i="1"/>
  <c r="F317" i="1"/>
  <c r="P316" i="1"/>
  <c r="L316" i="1"/>
  <c r="F316" i="1"/>
  <c r="P315" i="1"/>
  <c r="L315" i="1"/>
  <c r="F315" i="1"/>
  <c r="P314" i="1"/>
  <c r="L314" i="1"/>
  <c r="F314" i="1"/>
  <c r="P313" i="1"/>
  <c r="L313" i="1"/>
  <c r="F313" i="1"/>
  <c r="P312" i="1"/>
  <c r="L312" i="1"/>
  <c r="F312" i="1"/>
  <c r="P311" i="1"/>
  <c r="L311" i="1"/>
  <c r="F311" i="1"/>
  <c r="P310" i="1"/>
  <c r="L310" i="1"/>
  <c r="F310" i="1"/>
  <c r="P309" i="1"/>
  <c r="L309" i="1"/>
  <c r="F309" i="1"/>
  <c r="P308" i="1"/>
  <c r="L308" i="1"/>
  <c r="F308" i="1"/>
  <c r="P307" i="1"/>
  <c r="L307" i="1"/>
  <c r="F307" i="1"/>
  <c r="P306" i="1"/>
  <c r="L306" i="1"/>
  <c r="F306" i="1"/>
  <c r="P305" i="1"/>
  <c r="L305" i="1"/>
  <c r="F305" i="1"/>
  <c r="P304" i="1"/>
  <c r="L304" i="1"/>
  <c r="F304" i="1"/>
  <c r="P303" i="1"/>
  <c r="L303" i="1"/>
  <c r="F303" i="1"/>
  <c r="P302" i="1"/>
  <c r="L302" i="1"/>
  <c r="F302" i="1"/>
  <c r="P301" i="1"/>
  <c r="L301" i="1"/>
  <c r="F301" i="1"/>
  <c r="P300" i="1"/>
  <c r="L300" i="1"/>
  <c r="F300" i="1"/>
  <c r="P299" i="1"/>
  <c r="L299" i="1"/>
  <c r="F299" i="1"/>
  <c r="P298" i="1"/>
  <c r="L298" i="1"/>
  <c r="F298" i="1"/>
  <c r="P297" i="1"/>
  <c r="L297" i="1"/>
  <c r="F297" i="1"/>
  <c r="P296" i="1"/>
  <c r="L296" i="1"/>
  <c r="F296" i="1"/>
  <c r="P295" i="1"/>
  <c r="L295" i="1"/>
  <c r="F295" i="1"/>
  <c r="P294" i="1"/>
  <c r="L294" i="1"/>
  <c r="F294" i="1"/>
  <c r="P293" i="1"/>
  <c r="L293" i="1"/>
  <c r="F293" i="1"/>
  <c r="P292" i="1"/>
  <c r="L292" i="1"/>
  <c r="F292" i="1"/>
  <c r="P291" i="1"/>
  <c r="L291" i="1"/>
  <c r="F291" i="1"/>
  <c r="L290" i="1"/>
  <c r="F290" i="1"/>
  <c r="P289" i="1"/>
  <c r="L289" i="1"/>
  <c r="F289" i="1"/>
  <c r="P288" i="1"/>
  <c r="L288" i="1"/>
  <c r="F288" i="1"/>
  <c r="P287" i="1"/>
  <c r="L287" i="1"/>
  <c r="F287" i="1"/>
  <c r="P286" i="1"/>
  <c r="L286" i="1"/>
  <c r="F286" i="1"/>
  <c r="P285" i="1"/>
  <c r="L285" i="1"/>
  <c r="F285" i="1"/>
  <c r="P284" i="1"/>
  <c r="L284" i="1"/>
  <c r="F284" i="1"/>
  <c r="P283" i="1"/>
  <c r="L283" i="1"/>
  <c r="F283" i="1"/>
  <c r="P282" i="1"/>
  <c r="L282" i="1"/>
  <c r="F282" i="1"/>
  <c r="P281" i="1"/>
  <c r="L281" i="1"/>
  <c r="F281" i="1"/>
  <c r="P280" i="1"/>
  <c r="L280" i="1"/>
  <c r="F280" i="1"/>
  <c r="P279" i="1"/>
  <c r="L279" i="1"/>
  <c r="F279" i="1"/>
  <c r="P278" i="1"/>
  <c r="L278" i="1"/>
  <c r="F278" i="1"/>
  <c r="L277" i="1"/>
  <c r="F277" i="1"/>
  <c r="P276" i="1"/>
  <c r="L276" i="1"/>
  <c r="F276" i="1"/>
  <c r="P275" i="1"/>
  <c r="L275" i="1"/>
  <c r="F275" i="1"/>
  <c r="P274" i="1"/>
  <c r="L274" i="1"/>
  <c r="F274" i="1"/>
  <c r="P273" i="1"/>
  <c r="L273" i="1"/>
  <c r="F273" i="1"/>
  <c r="P272" i="1"/>
  <c r="F272" i="1"/>
  <c r="P271" i="1"/>
  <c r="L271" i="1"/>
  <c r="F271" i="1"/>
  <c r="P270" i="1"/>
  <c r="L270" i="1"/>
  <c r="F270" i="1"/>
  <c r="P269" i="1"/>
  <c r="L269" i="1"/>
  <c r="F269" i="1"/>
  <c r="P268" i="1"/>
  <c r="L268" i="1"/>
  <c r="F268" i="1"/>
  <c r="P267" i="1"/>
  <c r="L267" i="1"/>
  <c r="F267" i="1"/>
  <c r="P266" i="1"/>
  <c r="L266" i="1"/>
  <c r="F266" i="1"/>
  <c r="P265" i="1"/>
  <c r="L265" i="1"/>
  <c r="F265" i="1"/>
  <c r="P264" i="1"/>
  <c r="L264" i="1"/>
  <c r="F264" i="1"/>
  <c r="P263" i="1"/>
  <c r="L263" i="1"/>
  <c r="F263" i="1"/>
  <c r="P262" i="1"/>
  <c r="L262" i="1"/>
  <c r="F262" i="1"/>
  <c r="P261" i="1"/>
  <c r="L261" i="1"/>
  <c r="F261" i="1"/>
  <c r="P260" i="1"/>
  <c r="L260" i="1"/>
  <c r="F260" i="1"/>
  <c r="P259" i="1"/>
  <c r="L259" i="1"/>
  <c r="F259" i="1"/>
  <c r="P258" i="1"/>
  <c r="L258" i="1"/>
  <c r="F258" i="1"/>
  <c r="P257" i="1"/>
  <c r="L257" i="1"/>
  <c r="F257" i="1"/>
  <c r="P256" i="1"/>
  <c r="L256" i="1"/>
  <c r="F256" i="1"/>
  <c r="L255" i="1"/>
  <c r="F255" i="1"/>
  <c r="P254" i="1"/>
  <c r="L254" i="1"/>
  <c r="F254" i="1"/>
  <c r="P253" i="1"/>
  <c r="L253" i="1"/>
  <c r="F253" i="1"/>
  <c r="P252" i="1"/>
  <c r="L252" i="1"/>
  <c r="F252" i="1"/>
  <c r="P251" i="1"/>
  <c r="L251" i="1"/>
  <c r="F251" i="1"/>
  <c r="P250" i="1"/>
  <c r="L250" i="1"/>
  <c r="F250" i="1"/>
  <c r="P249" i="1"/>
  <c r="L249" i="1"/>
  <c r="F249" i="1"/>
  <c r="P248" i="1"/>
  <c r="L248" i="1"/>
  <c r="F248" i="1"/>
  <c r="P247" i="1"/>
  <c r="L247" i="1"/>
  <c r="F247" i="1"/>
  <c r="P246" i="1"/>
  <c r="L246" i="1"/>
  <c r="F246" i="1"/>
  <c r="P245" i="1"/>
  <c r="L245" i="1"/>
  <c r="F245" i="1"/>
  <c r="P244" i="1"/>
  <c r="L244" i="1"/>
  <c r="F244" i="1"/>
  <c r="P243" i="1"/>
  <c r="L243" i="1"/>
  <c r="F243" i="1"/>
  <c r="P242" i="1"/>
  <c r="L242" i="1"/>
  <c r="F242" i="1"/>
  <c r="P241" i="1"/>
  <c r="L241" i="1"/>
  <c r="F241" i="1"/>
  <c r="P240" i="1"/>
  <c r="L240" i="1"/>
  <c r="F240" i="1"/>
  <c r="P239" i="1"/>
  <c r="L239" i="1"/>
  <c r="F239" i="1"/>
  <c r="P238" i="1"/>
  <c r="L238" i="1"/>
  <c r="F238" i="1"/>
  <c r="L237" i="1"/>
  <c r="F237" i="1"/>
  <c r="P236" i="1"/>
  <c r="L236" i="1"/>
  <c r="F236" i="1"/>
  <c r="P235" i="1"/>
  <c r="L235" i="1"/>
  <c r="F235" i="1"/>
  <c r="P234" i="1"/>
  <c r="L234" i="1"/>
  <c r="F234" i="1"/>
  <c r="P233" i="1"/>
  <c r="L233" i="1"/>
  <c r="F233" i="1"/>
  <c r="P232" i="1"/>
  <c r="L232" i="1"/>
  <c r="F232" i="1"/>
  <c r="P231" i="1"/>
  <c r="L231" i="1"/>
  <c r="F231" i="1"/>
  <c r="P230" i="1"/>
  <c r="L230" i="1"/>
  <c r="F230" i="1"/>
  <c r="P229" i="1"/>
  <c r="L229" i="1"/>
  <c r="F229" i="1"/>
  <c r="P228" i="1"/>
  <c r="L228" i="1"/>
  <c r="F228" i="1"/>
  <c r="P227" i="1"/>
  <c r="L227" i="1"/>
  <c r="F227" i="1"/>
  <c r="P226" i="1"/>
  <c r="L226" i="1"/>
  <c r="F226" i="1"/>
  <c r="P225" i="1"/>
  <c r="L225" i="1"/>
  <c r="F225" i="1"/>
  <c r="P224" i="1"/>
  <c r="L224" i="1"/>
  <c r="F224" i="1"/>
  <c r="P223" i="1"/>
  <c r="L223" i="1"/>
  <c r="F223" i="1"/>
  <c r="P222" i="1"/>
  <c r="L222" i="1"/>
  <c r="F222" i="1"/>
  <c r="P221" i="1"/>
  <c r="L221" i="1"/>
  <c r="F221" i="1"/>
  <c r="P220" i="1"/>
  <c r="L220" i="1"/>
  <c r="F220" i="1"/>
  <c r="P219" i="1"/>
  <c r="L219" i="1"/>
  <c r="F219" i="1"/>
  <c r="P218" i="1"/>
  <c r="L218" i="1"/>
  <c r="F218" i="1"/>
  <c r="P217" i="1"/>
  <c r="L217" i="1"/>
  <c r="F217" i="1"/>
  <c r="P216" i="1"/>
  <c r="L216" i="1"/>
  <c r="F216" i="1"/>
  <c r="P215" i="1"/>
  <c r="L215" i="1"/>
  <c r="F215" i="1"/>
  <c r="P214" i="1"/>
  <c r="L214" i="1"/>
  <c r="F214" i="1"/>
  <c r="P213" i="1"/>
  <c r="L213" i="1"/>
  <c r="F213" i="1"/>
  <c r="P212" i="1"/>
  <c r="L212" i="1"/>
  <c r="F212" i="1"/>
  <c r="P211" i="1"/>
  <c r="L211" i="1"/>
  <c r="F211" i="1"/>
  <c r="P210" i="1"/>
  <c r="L210" i="1"/>
  <c r="F210" i="1"/>
  <c r="P209" i="1"/>
  <c r="L209" i="1"/>
  <c r="F209" i="1"/>
  <c r="P208" i="1"/>
  <c r="L208" i="1"/>
  <c r="F208" i="1"/>
  <c r="P207" i="1"/>
  <c r="L207" i="1"/>
  <c r="F207" i="1"/>
  <c r="P206" i="1"/>
  <c r="L206" i="1"/>
  <c r="F206" i="1"/>
  <c r="P205" i="1"/>
  <c r="L205" i="1"/>
  <c r="F205" i="1"/>
  <c r="P204" i="1"/>
  <c r="L204" i="1"/>
  <c r="F204" i="1"/>
  <c r="P203" i="1"/>
  <c r="L203" i="1"/>
  <c r="F203" i="1"/>
  <c r="P202" i="1"/>
  <c r="L202" i="1"/>
  <c r="F202" i="1"/>
  <c r="P201" i="1"/>
  <c r="L201" i="1"/>
  <c r="F201" i="1"/>
  <c r="P200" i="1"/>
  <c r="L200" i="1"/>
  <c r="F200" i="1"/>
  <c r="P199" i="1"/>
  <c r="L199" i="1"/>
  <c r="F199" i="1"/>
  <c r="P198" i="1"/>
  <c r="L198" i="1"/>
  <c r="F198" i="1"/>
  <c r="P197" i="1"/>
  <c r="L197" i="1"/>
  <c r="F197" i="1"/>
  <c r="P196" i="1"/>
  <c r="L196" i="1"/>
  <c r="F196" i="1"/>
  <c r="P195" i="1"/>
  <c r="L195" i="1"/>
  <c r="F195" i="1"/>
  <c r="P194" i="1"/>
  <c r="L194" i="1"/>
  <c r="F194" i="1"/>
  <c r="P193" i="1"/>
  <c r="L193" i="1"/>
  <c r="F193" i="1"/>
  <c r="P192" i="1"/>
  <c r="L192" i="1"/>
  <c r="F192" i="1"/>
  <c r="P191" i="1"/>
  <c r="L191" i="1"/>
  <c r="F191" i="1"/>
  <c r="P190" i="1"/>
  <c r="L190" i="1"/>
  <c r="F190" i="1"/>
  <c r="P189" i="1"/>
  <c r="L189" i="1"/>
  <c r="F189" i="1"/>
  <c r="P188" i="1"/>
  <c r="L188" i="1"/>
  <c r="F188" i="1"/>
  <c r="P187" i="1"/>
  <c r="L187" i="1"/>
  <c r="F187" i="1"/>
  <c r="P186" i="1"/>
  <c r="L186" i="1"/>
  <c r="F186" i="1"/>
  <c r="P185" i="1"/>
  <c r="L185" i="1"/>
  <c r="F185" i="1"/>
  <c r="P184" i="1"/>
  <c r="L184" i="1"/>
  <c r="F184" i="1"/>
  <c r="P183" i="1"/>
  <c r="L183" i="1"/>
  <c r="F183" i="1"/>
  <c r="P182" i="1"/>
  <c r="L182" i="1"/>
  <c r="F182" i="1"/>
  <c r="P181" i="1"/>
  <c r="L181" i="1"/>
  <c r="F181" i="1"/>
  <c r="P180" i="1"/>
  <c r="L180" i="1"/>
  <c r="F180" i="1"/>
  <c r="P179" i="1"/>
  <c r="L179" i="1"/>
  <c r="F179" i="1"/>
  <c r="P178" i="1"/>
  <c r="L178" i="1"/>
  <c r="F178" i="1"/>
  <c r="P177" i="1"/>
  <c r="L177" i="1"/>
  <c r="F177" i="1"/>
  <c r="P176" i="1"/>
  <c r="L176" i="1"/>
  <c r="F176" i="1"/>
  <c r="P175" i="1"/>
  <c r="L175" i="1"/>
  <c r="F175" i="1"/>
  <c r="P174" i="1"/>
  <c r="L174" i="1"/>
  <c r="F174" i="1"/>
  <c r="P173" i="1"/>
  <c r="L173" i="1"/>
  <c r="F173" i="1"/>
  <c r="P172" i="1"/>
  <c r="L172" i="1"/>
  <c r="F172" i="1"/>
  <c r="P171" i="1"/>
  <c r="L171" i="1"/>
  <c r="F171" i="1"/>
  <c r="P170" i="1"/>
  <c r="L170" i="1"/>
  <c r="F170" i="1"/>
  <c r="P169" i="1"/>
  <c r="L169" i="1"/>
  <c r="F169" i="1"/>
  <c r="P168" i="1"/>
  <c r="L168" i="1"/>
  <c r="F168" i="1"/>
  <c r="P167" i="1"/>
  <c r="L167" i="1"/>
  <c r="F167" i="1"/>
  <c r="P166" i="1"/>
  <c r="L166" i="1"/>
  <c r="F166" i="1"/>
  <c r="P165" i="1"/>
  <c r="L165" i="1"/>
  <c r="F165" i="1"/>
  <c r="P164" i="1"/>
  <c r="L164" i="1"/>
  <c r="F164" i="1"/>
  <c r="P163" i="1"/>
  <c r="L163" i="1"/>
  <c r="F163" i="1"/>
  <c r="P162" i="1"/>
  <c r="L162" i="1"/>
  <c r="F162" i="1"/>
  <c r="P161" i="1"/>
  <c r="L161" i="1"/>
  <c r="F161" i="1"/>
  <c r="P160" i="1"/>
  <c r="L160" i="1"/>
  <c r="F160" i="1"/>
  <c r="P159" i="1"/>
  <c r="L159" i="1"/>
  <c r="F159" i="1"/>
  <c r="P158" i="1"/>
  <c r="L158" i="1"/>
  <c r="F158" i="1"/>
  <c r="P157" i="1"/>
  <c r="L157" i="1"/>
  <c r="F157" i="1"/>
  <c r="P156" i="1"/>
  <c r="L156" i="1"/>
  <c r="F156" i="1"/>
  <c r="P155" i="1"/>
  <c r="L155" i="1"/>
  <c r="F155" i="1"/>
  <c r="P154" i="1"/>
  <c r="L154" i="1"/>
  <c r="F154" i="1"/>
  <c r="P153" i="1"/>
  <c r="L153" i="1"/>
  <c r="F153" i="1"/>
  <c r="P152" i="1"/>
  <c r="L152" i="1"/>
  <c r="F152" i="1"/>
  <c r="P151" i="1"/>
  <c r="L151" i="1"/>
  <c r="F151" i="1"/>
  <c r="P150" i="1"/>
  <c r="L150" i="1"/>
  <c r="F150" i="1"/>
  <c r="P149" i="1"/>
  <c r="L149" i="1"/>
  <c r="F149" i="1"/>
  <c r="P148" i="1"/>
  <c r="L148" i="1"/>
  <c r="F148" i="1"/>
  <c r="P147" i="1"/>
  <c r="L147" i="1"/>
  <c r="F147" i="1"/>
  <c r="P146" i="1"/>
  <c r="L146" i="1"/>
  <c r="F146" i="1"/>
  <c r="P145" i="1"/>
  <c r="L145" i="1"/>
  <c r="F145" i="1"/>
  <c r="P144" i="1"/>
  <c r="L144" i="1"/>
  <c r="F144" i="1"/>
  <c r="P143" i="1"/>
  <c r="L143" i="1"/>
  <c r="F143" i="1"/>
  <c r="P142" i="1"/>
  <c r="L142" i="1"/>
  <c r="F142" i="1"/>
  <c r="P141" i="1"/>
  <c r="L141" i="1"/>
  <c r="F141" i="1"/>
  <c r="P140" i="1"/>
  <c r="L140" i="1"/>
  <c r="F140" i="1"/>
  <c r="P139" i="1"/>
  <c r="L139" i="1"/>
  <c r="P138" i="1"/>
  <c r="L138" i="1"/>
  <c r="F138" i="1"/>
  <c r="P137" i="1"/>
  <c r="L137" i="1"/>
  <c r="F137" i="1"/>
  <c r="P136" i="1"/>
  <c r="L136" i="1"/>
  <c r="F136" i="1"/>
  <c r="P135" i="1"/>
  <c r="L135" i="1"/>
  <c r="F135" i="1"/>
  <c r="P134" i="1"/>
  <c r="L134" i="1"/>
  <c r="F134" i="1"/>
  <c r="P133" i="1"/>
  <c r="L133" i="1"/>
  <c r="F133" i="1"/>
  <c r="P132" i="1"/>
  <c r="L132" i="1"/>
  <c r="F132" i="1"/>
  <c r="P131" i="1"/>
  <c r="L131" i="1"/>
  <c r="F131" i="1"/>
  <c r="P130" i="1"/>
  <c r="L130" i="1"/>
  <c r="F130" i="1"/>
  <c r="P129" i="1"/>
  <c r="L129" i="1"/>
  <c r="F129" i="1"/>
  <c r="P128" i="1"/>
  <c r="L128" i="1"/>
  <c r="F128" i="1"/>
  <c r="L127" i="1"/>
  <c r="F127" i="1"/>
  <c r="P126" i="1"/>
  <c r="L126" i="1"/>
  <c r="F126" i="1"/>
  <c r="P125" i="1"/>
  <c r="L125" i="1"/>
  <c r="F125" i="1"/>
  <c r="P124" i="1"/>
  <c r="L124" i="1"/>
  <c r="F124" i="1"/>
  <c r="P123" i="1"/>
  <c r="L123" i="1"/>
  <c r="F123" i="1"/>
  <c r="P122" i="1"/>
  <c r="L122" i="1"/>
  <c r="F122" i="1"/>
  <c r="P121" i="1"/>
  <c r="L121" i="1"/>
  <c r="F121" i="1"/>
  <c r="P120" i="1"/>
  <c r="L120" i="1"/>
  <c r="F120" i="1"/>
  <c r="P119" i="1"/>
  <c r="L119" i="1"/>
  <c r="F119" i="1"/>
  <c r="P118" i="1"/>
  <c r="L118" i="1"/>
  <c r="F118" i="1"/>
  <c r="P117" i="1"/>
  <c r="L117" i="1"/>
  <c r="F117" i="1"/>
  <c r="P116" i="1"/>
  <c r="L116" i="1"/>
  <c r="F116" i="1"/>
  <c r="P115" i="1"/>
  <c r="L115" i="1"/>
  <c r="F115" i="1"/>
  <c r="P114" i="1"/>
  <c r="L114" i="1"/>
  <c r="F114" i="1"/>
  <c r="P113" i="1"/>
  <c r="L113" i="1"/>
  <c r="F113" i="1"/>
  <c r="P112" i="1"/>
  <c r="L112" i="1"/>
  <c r="F112" i="1"/>
  <c r="P111" i="1"/>
  <c r="L111" i="1"/>
  <c r="F111" i="1"/>
  <c r="P110" i="1"/>
  <c r="L110" i="1"/>
  <c r="F110" i="1"/>
  <c r="P109" i="1"/>
  <c r="L109" i="1"/>
  <c r="F109" i="1"/>
  <c r="P108" i="1"/>
  <c r="L108" i="1"/>
  <c r="F108" i="1"/>
  <c r="P107" i="1"/>
  <c r="L107" i="1"/>
  <c r="F107" i="1"/>
  <c r="P106" i="1"/>
  <c r="L106" i="1"/>
  <c r="F106" i="1"/>
  <c r="P105" i="1"/>
  <c r="L105" i="1"/>
  <c r="F105" i="1"/>
  <c r="P104" i="1"/>
  <c r="L104" i="1"/>
  <c r="F104" i="1"/>
  <c r="P103" i="1"/>
  <c r="L103" i="1"/>
  <c r="F103" i="1"/>
  <c r="P102" i="1"/>
  <c r="L102" i="1"/>
  <c r="F102" i="1"/>
  <c r="P101" i="1"/>
  <c r="L101" i="1"/>
  <c r="F101" i="1"/>
  <c r="P100" i="1"/>
  <c r="L100" i="1"/>
  <c r="F100" i="1"/>
  <c r="P99" i="1"/>
  <c r="L99" i="1"/>
  <c r="F99" i="1"/>
  <c r="P98" i="1"/>
  <c r="L98" i="1"/>
  <c r="F98" i="1"/>
  <c r="P97" i="1"/>
  <c r="L97" i="1"/>
  <c r="F97" i="1"/>
  <c r="P96" i="1"/>
  <c r="L96" i="1"/>
  <c r="F96" i="1"/>
  <c r="P95" i="1"/>
  <c r="L95" i="1"/>
  <c r="F95" i="1"/>
  <c r="P94" i="1"/>
  <c r="L94" i="1"/>
  <c r="F94" i="1"/>
  <c r="P93" i="1"/>
  <c r="L93" i="1"/>
  <c r="F93" i="1"/>
  <c r="P92" i="1"/>
  <c r="L92" i="1"/>
  <c r="F92" i="1"/>
  <c r="P91" i="1"/>
  <c r="L91" i="1"/>
  <c r="F91" i="1"/>
  <c r="P90" i="1"/>
  <c r="L90" i="1"/>
  <c r="F90" i="1"/>
  <c r="P89" i="1"/>
  <c r="L89" i="1"/>
  <c r="F89" i="1"/>
  <c r="P88" i="1"/>
  <c r="L88" i="1"/>
  <c r="F88" i="1"/>
  <c r="P87" i="1"/>
  <c r="L87" i="1"/>
  <c r="F87" i="1"/>
  <c r="P86" i="1"/>
  <c r="L86" i="1"/>
  <c r="F86" i="1"/>
  <c r="P85" i="1"/>
  <c r="L85" i="1"/>
  <c r="F85" i="1"/>
  <c r="P84" i="1"/>
  <c r="L84" i="1"/>
  <c r="F84" i="1"/>
  <c r="P83" i="1"/>
  <c r="L83" i="1"/>
  <c r="F83" i="1"/>
  <c r="P82" i="1"/>
  <c r="L82" i="1"/>
  <c r="F82" i="1"/>
  <c r="P81" i="1"/>
  <c r="L81" i="1"/>
  <c r="F81" i="1"/>
  <c r="P80" i="1"/>
  <c r="L80" i="1"/>
  <c r="F80" i="1"/>
  <c r="P79" i="1"/>
  <c r="L79" i="1"/>
  <c r="F79" i="1"/>
  <c r="P78" i="1"/>
  <c r="L78" i="1"/>
  <c r="F78" i="1"/>
  <c r="P77" i="1"/>
  <c r="L77" i="1"/>
  <c r="F77" i="1"/>
  <c r="P76" i="1"/>
  <c r="L76" i="1"/>
  <c r="F76" i="1"/>
  <c r="P75" i="1"/>
  <c r="L75" i="1"/>
  <c r="F75" i="1"/>
  <c r="P74" i="1"/>
  <c r="L74" i="1"/>
  <c r="F74" i="1"/>
  <c r="P73" i="1"/>
  <c r="L73" i="1"/>
  <c r="F73" i="1"/>
  <c r="P72" i="1"/>
  <c r="Q72" i="1" s="1"/>
  <c r="F72" i="1"/>
  <c r="P71" i="1"/>
  <c r="L71" i="1"/>
  <c r="F71" i="1"/>
  <c r="P70" i="1"/>
  <c r="L70" i="1"/>
  <c r="F70" i="1"/>
  <c r="P69" i="1"/>
  <c r="L69" i="1"/>
  <c r="F69" i="1"/>
  <c r="P68" i="1"/>
  <c r="L68" i="1"/>
  <c r="F68" i="1"/>
  <c r="P67" i="1"/>
  <c r="L67" i="1"/>
  <c r="F67" i="1"/>
  <c r="P66" i="1"/>
  <c r="L66" i="1"/>
  <c r="F66" i="1"/>
  <c r="P65" i="1"/>
  <c r="L65" i="1"/>
  <c r="F65" i="1"/>
  <c r="P64" i="1"/>
  <c r="L64" i="1"/>
  <c r="F64" i="1"/>
  <c r="P63" i="1"/>
  <c r="L63" i="1"/>
  <c r="F63" i="1"/>
  <c r="P62" i="1"/>
  <c r="L62" i="1"/>
  <c r="F62" i="1"/>
  <c r="P61" i="1"/>
  <c r="L61" i="1"/>
  <c r="F61" i="1"/>
  <c r="P60" i="1"/>
  <c r="L60" i="1"/>
  <c r="F60" i="1"/>
  <c r="P59" i="1"/>
  <c r="L59" i="1"/>
  <c r="F59" i="1"/>
  <c r="P58" i="1"/>
  <c r="L58" i="1"/>
  <c r="F58" i="1"/>
  <c r="P57" i="1"/>
  <c r="L57" i="1"/>
  <c r="F57" i="1"/>
  <c r="P56" i="1"/>
  <c r="L56" i="1"/>
  <c r="F56" i="1"/>
  <c r="P55" i="1"/>
  <c r="L55" i="1"/>
  <c r="F55" i="1"/>
  <c r="P54" i="1"/>
  <c r="L54" i="1"/>
  <c r="F54" i="1"/>
  <c r="P53" i="1"/>
  <c r="L53" i="1"/>
  <c r="F53" i="1"/>
  <c r="P52" i="1"/>
  <c r="L52" i="1"/>
  <c r="F52" i="1"/>
  <c r="P51" i="1"/>
  <c r="L51" i="1"/>
  <c r="F51" i="1"/>
  <c r="P50" i="1"/>
  <c r="L50" i="1"/>
  <c r="F50" i="1"/>
  <c r="P49" i="1"/>
  <c r="L49" i="1"/>
  <c r="F49" i="1"/>
  <c r="P48" i="1"/>
  <c r="L48" i="1"/>
  <c r="F48" i="1"/>
  <c r="P47" i="1"/>
  <c r="L47" i="1"/>
  <c r="F47" i="1"/>
  <c r="P46" i="1"/>
  <c r="L46" i="1"/>
  <c r="F46" i="1"/>
  <c r="P45" i="1"/>
  <c r="L45" i="1"/>
  <c r="F45" i="1"/>
  <c r="P44" i="1"/>
  <c r="L44" i="1"/>
  <c r="F44" i="1"/>
  <c r="P43" i="1"/>
  <c r="L43" i="1"/>
  <c r="F43" i="1"/>
  <c r="P42" i="1"/>
  <c r="L42" i="1"/>
  <c r="F42" i="1"/>
  <c r="P41" i="1"/>
  <c r="L41" i="1"/>
  <c r="F41" i="1"/>
  <c r="P40" i="1"/>
  <c r="L40" i="1"/>
  <c r="F40" i="1"/>
  <c r="P39" i="1"/>
  <c r="L39" i="1"/>
  <c r="F39" i="1"/>
  <c r="P38" i="1"/>
  <c r="L38" i="1"/>
  <c r="F38" i="1"/>
  <c r="P37" i="1"/>
  <c r="L37" i="1"/>
  <c r="F37" i="1"/>
  <c r="P36" i="1"/>
  <c r="L36" i="1"/>
  <c r="F36" i="1"/>
  <c r="P35" i="1"/>
  <c r="L35" i="1"/>
  <c r="F35" i="1"/>
  <c r="P34" i="1"/>
  <c r="L34" i="1"/>
  <c r="F34" i="1"/>
  <c r="P33" i="1"/>
  <c r="L33" i="1"/>
  <c r="F33" i="1"/>
  <c r="P32" i="1"/>
  <c r="L32" i="1"/>
  <c r="F32" i="1"/>
  <c r="P31" i="1"/>
  <c r="L31" i="1"/>
  <c r="F31" i="1"/>
  <c r="P30" i="1"/>
  <c r="L30" i="1"/>
  <c r="F30" i="1"/>
  <c r="P29" i="1"/>
  <c r="L29" i="1"/>
  <c r="F29" i="1"/>
  <c r="P28" i="1"/>
  <c r="L28" i="1"/>
  <c r="F28" i="1"/>
  <c r="P27" i="1"/>
  <c r="L27" i="1"/>
  <c r="F27" i="1"/>
  <c r="P26" i="1"/>
  <c r="L26" i="1"/>
  <c r="F26" i="1"/>
  <c r="P25" i="1"/>
  <c r="L25" i="1"/>
  <c r="F25" i="1"/>
  <c r="P24" i="1"/>
  <c r="L24" i="1"/>
  <c r="F24" i="1"/>
  <c r="P23" i="1"/>
  <c r="L23" i="1"/>
  <c r="F23" i="1"/>
  <c r="P22" i="1"/>
  <c r="L22" i="1"/>
  <c r="F22" i="1"/>
  <c r="P21" i="1"/>
  <c r="L21" i="1"/>
  <c r="F21" i="1"/>
  <c r="P20" i="1"/>
  <c r="L20" i="1"/>
  <c r="F20" i="1"/>
  <c r="P19" i="1"/>
  <c r="L19" i="1"/>
  <c r="F19" i="1"/>
  <c r="P18" i="1"/>
  <c r="L18" i="1"/>
  <c r="F18" i="1"/>
  <c r="P17" i="1"/>
  <c r="L17" i="1"/>
  <c r="F17" i="1"/>
  <c r="P16" i="1"/>
  <c r="L16" i="1"/>
  <c r="F16" i="1"/>
  <c r="P15" i="1"/>
  <c r="L15" i="1"/>
  <c r="F15" i="1"/>
  <c r="P14" i="1"/>
  <c r="L14" i="1"/>
  <c r="F14" i="1"/>
  <c r="P13" i="1"/>
  <c r="L13" i="1"/>
  <c r="F13" i="1"/>
  <c r="P12" i="1"/>
  <c r="L12" i="1"/>
  <c r="F12" i="1"/>
  <c r="P11" i="1"/>
  <c r="L11" i="1"/>
  <c r="F11" i="1"/>
  <c r="P10" i="1"/>
  <c r="L10" i="1"/>
  <c r="F10" i="1"/>
  <c r="P9" i="1"/>
  <c r="L9" i="1"/>
  <c r="F9" i="1"/>
  <c r="P8" i="1"/>
  <c r="L8" i="1"/>
  <c r="F8" i="1"/>
  <c r="P7" i="1"/>
  <c r="L7" i="1"/>
  <c r="F7" i="1"/>
  <c r="P6" i="1"/>
  <c r="L6" i="1"/>
  <c r="F6" i="1"/>
  <c r="P5" i="1"/>
  <c r="L5" i="1"/>
  <c r="F5" i="1"/>
  <c r="P4" i="1"/>
  <c r="L4" i="1"/>
  <c r="F4" i="1"/>
  <c r="P3" i="1"/>
  <c r="L3" i="1"/>
  <c r="F3" i="1"/>
  <c r="V2477" i="1" l="1"/>
  <c r="W2477" i="1" s="1"/>
  <c r="V1425" i="1"/>
  <c r="W1425" i="1" s="1"/>
  <c r="V1463" i="1"/>
  <c r="V1517" i="1"/>
  <c r="W1517" i="1" s="1"/>
  <c r="V2447" i="1"/>
  <c r="V1429" i="1"/>
  <c r="W1429" i="1" s="1"/>
  <c r="Q729" i="1"/>
  <c r="Q735" i="1"/>
  <c r="V1563" i="1"/>
  <c r="W1563" i="1" s="1"/>
  <c r="V1565" i="1"/>
  <c r="W1565" i="1" s="1"/>
  <c r="V1567" i="1"/>
  <c r="W1567" i="1" s="1"/>
  <c r="V1569" i="1"/>
  <c r="W1569" i="1" s="1"/>
  <c r="V1573" i="1"/>
  <c r="W1573" i="1" s="1"/>
  <c r="V2047" i="1"/>
  <c r="W2047" i="1" s="1"/>
  <c r="V2049" i="1"/>
  <c r="W2049" i="1" s="1"/>
  <c r="V2205" i="1"/>
  <c r="W2205" i="1" s="1"/>
  <c r="V2233" i="1"/>
  <c r="W2233" i="1" s="1"/>
  <c r="V2245" i="1"/>
  <c r="W2245" i="1" s="1"/>
  <c r="V2247" i="1"/>
  <c r="W2247" i="1" s="1"/>
  <c r="V2267" i="1"/>
  <c r="W2267" i="1" s="1"/>
  <c r="V2277" i="1"/>
  <c r="W2277" i="1" s="1"/>
  <c r="V2279" i="1"/>
  <c r="W2279" i="1" s="1"/>
  <c r="V2285" i="1"/>
  <c r="W2285" i="1" s="1"/>
  <c r="V2337" i="1"/>
  <c r="W2337" i="1" s="1"/>
  <c r="V2341" i="1"/>
  <c r="W2341" i="1" s="1"/>
  <c r="V2345" i="1"/>
  <c r="W2345" i="1" s="1"/>
  <c r="V2347" i="1"/>
  <c r="W2347" i="1" s="1"/>
  <c r="V2349" i="1"/>
  <c r="W2349" i="1" s="1"/>
  <c r="V2367" i="1"/>
  <c r="W2367" i="1" s="1"/>
  <c r="V2425" i="1"/>
  <c r="W2425" i="1" s="1"/>
  <c r="V2429" i="1"/>
  <c r="W2429" i="1" s="1"/>
  <c r="V2443" i="1"/>
  <c r="W2443" i="1" s="1"/>
  <c r="V2459" i="1"/>
  <c r="W2459" i="1" s="1"/>
  <c r="V2463" i="1"/>
  <c r="W2463" i="1" s="1"/>
  <c r="V2467" i="1"/>
  <c r="W2467" i="1" s="1"/>
  <c r="V2475" i="1"/>
  <c r="W2475" i="1" s="1"/>
  <c r="V1472" i="1"/>
  <c r="W1472" i="1" s="1"/>
  <c r="V1482" i="1"/>
  <c r="W1482" i="1" s="1"/>
  <c r="V2202" i="1"/>
  <c r="W2202" i="1" s="1"/>
  <c r="V2234" i="1"/>
  <c r="W2234" i="1" s="1"/>
  <c r="V2242" i="1"/>
  <c r="W2242" i="1" s="1"/>
  <c r="V2258" i="1"/>
  <c r="W2258" i="1" s="1"/>
  <c r="V2270" i="1"/>
  <c r="W2270" i="1" s="1"/>
  <c r="V2348" i="1"/>
  <c r="W2348" i="1" s="1"/>
  <c r="Q1109" i="1"/>
  <c r="Q1614" i="1"/>
  <c r="Q1824" i="1"/>
  <c r="Q1832" i="1"/>
  <c r="Q1834" i="1"/>
  <c r="Q1838" i="1"/>
  <c r="Q1842" i="1"/>
  <c r="Q1846" i="1"/>
  <c r="Q1858" i="1"/>
  <c r="Q1878" i="1"/>
  <c r="Q1890" i="1"/>
  <c r="Q1894" i="1"/>
  <c r="Q1926" i="1"/>
  <c r="Q1930" i="1"/>
  <c r="Q1950" i="1"/>
  <c r="Q1954" i="1"/>
  <c r="Q1958" i="1"/>
  <c r="Q1986" i="1"/>
  <c r="Q2022" i="1"/>
  <c r="Q2026" i="1"/>
  <c r="Q2438" i="1"/>
  <c r="Q2458" i="1"/>
  <c r="Q862" i="1"/>
  <c r="Q872" i="1"/>
  <c r="Q1171" i="1"/>
  <c r="Q1193" i="1"/>
  <c r="Q1199" i="1"/>
  <c r="Q437" i="1"/>
  <c r="Q59" i="1"/>
  <c r="Q433" i="1"/>
  <c r="Q449" i="1"/>
  <c r="Q1607" i="1"/>
  <c r="Q841" i="1"/>
  <c r="Q1687" i="1"/>
  <c r="Q746" i="1"/>
  <c r="Q919" i="1"/>
  <c r="Q277" i="1"/>
  <c r="Q393" i="1"/>
  <c r="Q287" i="1"/>
  <c r="Q1378" i="1"/>
  <c r="Q1386" i="1"/>
  <c r="V287" i="1"/>
  <c r="W287" i="1" s="1"/>
  <c r="V1186" i="1"/>
  <c r="W1186" i="1" s="1"/>
  <c r="Q1476" i="1"/>
  <c r="Q1538" i="1"/>
  <c r="V1172" i="1"/>
  <c r="W1172" i="1" s="1"/>
  <c r="V296" i="1"/>
  <c r="W296" i="1" s="1"/>
  <c r="V328" i="1"/>
  <c r="W328" i="1" s="1"/>
  <c r="V1057" i="1"/>
  <c r="W1057" i="1" s="1"/>
  <c r="V1069" i="1"/>
  <c r="W1069" i="1" s="1"/>
  <c r="V1077" i="1"/>
  <c r="W1077" i="1" s="1"/>
  <c r="V1079" i="1"/>
  <c r="W1079" i="1" s="1"/>
  <c r="V1191" i="1"/>
  <c r="W1191" i="1" s="1"/>
  <c r="V1240" i="1"/>
  <c r="W1240" i="1" s="1"/>
  <c r="V1632" i="1"/>
  <c r="W1632" i="1" s="1"/>
  <c r="V1754" i="1"/>
  <c r="W1754" i="1" s="1"/>
  <c r="Q381" i="1"/>
  <c r="Q2056" i="1"/>
  <c r="V1326" i="1"/>
  <c r="W1326" i="1" s="1"/>
  <c r="V294" i="1"/>
  <c r="W294" i="1" s="1"/>
  <c r="V300" i="1"/>
  <c r="W300" i="1" s="1"/>
  <c r="V358" i="1"/>
  <c r="W358" i="1" s="1"/>
  <c r="V1065" i="1"/>
  <c r="W1065" i="1" s="1"/>
  <c r="V1089" i="1"/>
  <c r="W1089" i="1" s="1"/>
  <c r="V88" i="1"/>
  <c r="W88" i="1" s="1"/>
  <c r="V92" i="1"/>
  <c r="W92" i="1" s="1"/>
  <c r="V176" i="1"/>
  <c r="W176" i="1" s="1"/>
  <c r="Q607" i="1"/>
  <c r="Q1309" i="1"/>
  <c r="Q1371" i="1"/>
  <c r="Q1387" i="1"/>
  <c r="Q1391" i="1"/>
  <c r="Q1405" i="1"/>
  <c r="Q1423" i="1"/>
  <c r="Q285" i="1"/>
  <c r="V1341" i="1"/>
  <c r="W1341" i="1" s="1"/>
  <c r="V1343" i="1"/>
  <c r="W1343" i="1" s="1"/>
  <c r="Q283" i="1"/>
  <c r="Q383" i="1"/>
  <c r="Q648" i="1"/>
  <c r="V1218" i="1"/>
  <c r="W1218" i="1" s="1"/>
  <c r="Q1480" i="1"/>
  <c r="V64" i="1"/>
  <c r="W64" i="1" s="1"/>
  <c r="Q1658" i="1"/>
  <c r="Q1696" i="1"/>
  <c r="Q1698" i="1"/>
  <c r="Q1702" i="1"/>
  <c r="Q1706" i="1"/>
  <c r="Q1710" i="1"/>
  <c r="Q1712" i="1"/>
  <c r="Q1714" i="1"/>
  <c r="Q1734" i="1"/>
  <c r="Q1738" i="1"/>
  <c r="Q1752" i="1"/>
  <c r="Q1754" i="1"/>
  <c r="Q2032" i="1"/>
  <c r="Q2034" i="1"/>
  <c r="Q2042" i="1"/>
  <c r="Q2050" i="1"/>
  <c r="Q2478" i="1"/>
  <c r="Q1626" i="1"/>
  <c r="Q46" i="1"/>
  <c r="Q54" i="1"/>
  <c r="Q74" i="1"/>
  <c r="Q2116" i="1"/>
  <c r="Q2122" i="1"/>
  <c r="Q2274" i="1"/>
  <c r="Q2334" i="1"/>
  <c r="Q2370" i="1"/>
  <c r="Q380" i="1"/>
  <c r="Q426" i="1"/>
  <c r="V558" i="1"/>
  <c r="W558" i="1" s="1"/>
  <c r="V576" i="1"/>
  <c r="W576" i="1" s="1"/>
  <c r="Q651" i="1"/>
  <c r="Q657" i="1"/>
  <c r="V677" i="1"/>
  <c r="W677" i="1" s="1"/>
  <c r="Q971" i="1"/>
  <c r="Q981" i="1"/>
  <c r="Q1760" i="1"/>
  <c r="Q1766" i="1"/>
  <c r="Q1786" i="1"/>
  <c r="Q1814" i="1"/>
  <c r="Q1818" i="1"/>
  <c r="Q1822" i="1"/>
  <c r="Q34" i="1"/>
  <c r="Q42" i="1"/>
  <c r="Q50" i="1"/>
  <c r="Q78" i="1"/>
  <c r="Q2094" i="1"/>
  <c r="Q2382" i="1"/>
  <c r="Q2406" i="1"/>
  <c r="V1634" i="1"/>
  <c r="W1634" i="1" s="1"/>
  <c r="V1652" i="1"/>
  <c r="W1652" i="1" s="1"/>
  <c r="V1654" i="1"/>
  <c r="W1654" i="1" s="1"/>
  <c r="V1672" i="1"/>
  <c r="W1672" i="1" s="1"/>
  <c r="V1676" i="1"/>
  <c r="W1676" i="1" s="1"/>
  <c r="V1678" i="1"/>
  <c r="W1678" i="1" s="1"/>
  <c r="V921" i="1"/>
  <c r="W921" i="1" s="1"/>
  <c r="V945" i="1"/>
  <c r="W945" i="1" s="1"/>
  <c r="V947" i="1"/>
  <c r="W947" i="1" s="1"/>
  <c r="V953" i="1"/>
  <c r="W953" i="1" s="1"/>
  <c r="V961" i="1"/>
  <c r="W961" i="1" s="1"/>
  <c r="V991" i="1"/>
  <c r="W991" i="1" s="1"/>
  <c r="V997" i="1"/>
  <c r="W997" i="1" s="1"/>
  <c r="V1001" i="1"/>
  <c r="W1001" i="1" s="1"/>
  <c r="V1015" i="1"/>
  <c r="W1015" i="1" s="1"/>
  <c r="V1091" i="1"/>
  <c r="W1091" i="1" s="1"/>
  <c r="Q1463" i="1"/>
  <c r="Q1499" i="1"/>
  <c r="Q1585" i="1"/>
  <c r="V1874" i="1"/>
  <c r="W1874" i="1" s="1"/>
  <c r="V1886" i="1"/>
  <c r="W1886" i="1" s="1"/>
  <c r="V1898" i="1"/>
  <c r="W1898" i="1" s="1"/>
  <c r="V1902" i="1"/>
  <c r="W1902" i="1" s="1"/>
  <c r="V1920" i="1"/>
  <c r="W1920" i="1" s="1"/>
  <c r="V1926" i="1"/>
  <c r="W1926" i="1" s="1"/>
  <c r="V1942" i="1"/>
  <c r="W1942" i="1" s="1"/>
  <c r="V1944" i="1"/>
  <c r="W1944" i="1" s="1"/>
  <c r="V1946" i="1"/>
  <c r="W1946" i="1" s="1"/>
  <c r="V1950" i="1"/>
  <c r="W1950" i="1" s="1"/>
  <c r="V1966" i="1"/>
  <c r="W1966" i="1" s="1"/>
  <c r="V1970" i="1"/>
  <c r="W1970" i="1" s="1"/>
  <c r="V1974" i="1"/>
  <c r="W1974" i="1" s="1"/>
  <c r="V1978" i="1"/>
  <c r="W1978" i="1" s="1"/>
  <c r="V1980" i="1"/>
  <c r="W1980" i="1" s="1"/>
  <c r="V1982" i="1"/>
  <c r="W1982" i="1" s="1"/>
  <c r="V1984" i="1"/>
  <c r="W1984" i="1" s="1"/>
  <c r="V1986" i="1"/>
  <c r="W1986" i="1" s="1"/>
  <c r="Q859" i="1"/>
  <c r="Q871" i="1"/>
  <c r="Q873" i="1"/>
  <c r="Q1617" i="1"/>
  <c r="Q1705" i="1"/>
  <c r="Q1741" i="1"/>
  <c r="Q276" i="1"/>
  <c r="V554" i="1"/>
  <c r="W554" i="1" s="1"/>
  <c r="V578" i="1"/>
  <c r="W578" i="1" s="1"/>
  <c r="Q993" i="1"/>
  <c r="Q1165" i="1"/>
  <c r="Q1764" i="1"/>
  <c r="Q1772" i="1"/>
  <c r="Q1812" i="1"/>
  <c r="Q38" i="1"/>
  <c r="Q76" i="1"/>
  <c r="Q94" i="1"/>
  <c r="Q2058" i="1"/>
  <c r="Q2096" i="1"/>
  <c r="Q2110" i="1"/>
  <c r="Q70" i="1"/>
  <c r="V923" i="1"/>
  <c r="W923" i="1" s="1"/>
  <c r="V927" i="1"/>
  <c r="W927" i="1" s="1"/>
  <c r="V931" i="1"/>
  <c r="W931" i="1" s="1"/>
  <c r="V949" i="1"/>
  <c r="W949" i="1" s="1"/>
  <c r="V959" i="1"/>
  <c r="W959" i="1" s="1"/>
  <c r="V965" i="1"/>
  <c r="W965" i="1" s="1"/>
  <c r="V1005" i="1"/>
  <c r="W1005" i="1" s="1"/>
  <c r="V1017" i="1"/>
  <c r="W1017" i="1" s="1"/>
  <c r="V1021" i="1"/>
  <c r="W1021" i="1" s="1"/>
  <c r="Q1519" i="1"/>
  <c r="Q1583" i="1"/>
  <c r="V1878" i="1"/>
  <c r="W1878" i="1" s="1"/>
  <c r="V1922" i="1"/>
  <c r="W1922" i="1" s="1"/>
  <c r="V1948" i="1"/>
  <c r="W1948" i="1" s="1"/>
  <c r="V853" i="1"/>
  <c r="W853" i="1" s="1"/>
  <c r="V907" i="1"/>
  <c r="W907" i="1" s="1"/>
  <c r="V913" i="1"/>
  <c r="W913" i="1" s="1"/>
  <c r="Q968" i="1"/>
  <c r="Q980" i="1"/>
  <c r="Q1086" i="1"/>
  <c r="Q1118" i="1"/>
  <c r="Q1154" i="1"/>
  <c r="Q1194" i="1"/>
  <c r="Q1795" i="1"/>
  <c r="Q1873" i="1"/>
  <c r="V926" i="1"/>
  <c r="W926" i="1" s="1"/>
  <c r="V942" i="1"/>
  <c r="W942" i="1" s="1"/>
  <c r="V1030" i="1"/>
  <c r="W1030" i="1" s="1"/>
  <c r="V1823" i="1"/>
  <c r="W1823" i="1" s="1"/>
  <c r="Q412" i="1"/>
  <c r="V582" i="1"/>
  <c r="W582" i="1" s="1"/>
  <c r="V427" i="1"/>
  <c r="W427" i="1" s="1"/>
  <c r="V1044" i="1"/>
  <c r="W1044" i="1" s="1"/>
  <c r="Q29" i="1"/>
  <c r="Q51" i="1"/>
  <c r="Q85" i="1"/>
  <c r="Q209" i="1"/>
  <c r="Q743" i="1"/>
  <c r="Q456" i="1"/>
  <c r="Q382" i="1"/>
  <c r="V580" i="1"/>
  <c r="W580" i="1" s="1"/>
  <c r="Q653" i="1"/>
  <c r="V922" i="1"/>
  <c r="W922" i="1" s="1"/>
  <c r="V1054" i="1"/>
  <c r="W1054" i="1" s="1"/>
  <c r="Q9" i="1"/>
  <c r="Q19" i="1"/>
  <c r="V21" i="1"/>
  <c r="W21" i="1" s="1"/>
  <c r="Q83" i="1"/>
  <c r="Q87" i="1"/>
  <c r="Q213" i="1"/>
  <c r="Q2063" i="1"/>
  <c r="Q2067" i="1"/>
  <c r="Q2069" i="1"/>
  <c r="Q2147" i="1"/>
  <c r="Q63" i="1"/>
  <c r="Q71" i="1"/>
  <c r="Q544" i="1"/>
  <c r="V910" i="1"/>
  <c r="W910" i="1" s="1"/>
  <c r="Q1328" i="1"/>
  <c r="Q1364" i="1"/>
  <c r="V1366" i="1"/>
  <c r="W1366" i="1" s="1"/>
  <c r="V1390" i="1"/>
  <c r="W1390" i="1" s="1"/>
  <c r="Q1400" i="1"/>
  <c r="Q1454" i="1"/>
  <c r="Q1458" i="1"/>
  <c r="Q1466" i="1"/>
  <c r="Q1598" i="1"/>
  <c r="Q1600" i="1"/>
  <c r="Q96" i="1"/>
  <c r="Q98" i="1"/>
  <c r="Q100" i="1"/>
  <c r="Q102" i="1"/>
  <c r="Q220" i="1"/>
  <c r="Q224" i="1"/>
  <c r="Q254" i="1"/>
  <c r="V1579" i="1"/>
  <c r="W1579" i="1" s="1"/>
  <c r="V1603" i="1"/>
  <c r="W1603" i="1" s="1"/>
  <c r="Q1910" i="1"/>
  <c r="V2016" i="1"/>
  <c r="W2016" i="1" s="1"/>
  <c r="V2036" i="1"/>
  <c r="W2036" i="1" s="1"/>
  <c r="Q2082" i="1"/>
  <c r="Q2190" i="1"/>
  <c r="Q1185" i="1"/>
  <c r="V1358" i="1"/>
  <c r="W1358" i="1" s="1"/>
  <c r="Q1464" i="1"/>
  <c r="Q1498" i="1"/>
  <c r="Q1522" i="1"/>
  <c r="V1611" i="1"/>
  <c r="W1611" i="1" s="1"/>
  <c r="V1613" i="1"/>
  <c r="W1613" i="1" s="1"/>
  <c r="V1615" i="1"/>
  <c r="W1615" i="1" s="1"/>
  <c r="V1804" i="1"/>
  <c r="W1804" i="1" s="1"/>
  <c r="Q1683" i="1"/>
  <c r="Q2436" i="1"/>
  <c r="V1806" i="1"/>
  <c r="W1806" i="1" s="1"/>
  <c r="V1033" i="1"/>
  <c r="W1033" i="1" s="1"/>
  <c r="V1214" i="1"/>
  <c r="W1214" i="1" s="1"/>
  <c r="V1382" i="1"/>
  <c r="W1382" i="1" s="1"/>
  <c r="Q747" i="1"/>
  <c r="V1109" i="1"/>
  <c r="W1109" i="1" s="1"/>
  <c r="V1111" i="1"/>
  <c r="W1111" i="1" s="1"/>
  <c r="V1115" i="1"/>
  <c r="W1115" i="1" s="1"/>
  <c r="V1257" i="1"/>
  <c r="W1257" i="1" s="1"/>
  <c r="V1802" i="1"/>
  <c r="W1802" i="1" s="1"/>
  <c r="Q1368" i="1"/>
  <c r="Q2422" i="1"/>
  <c r="Q1107" i="1"/>
  <c r="Q889" i="1"/>
  <c r="Q576" i="1"/>
  <c r="Q586" i="1"/>
  <c r="Q588" i="1"/>
  <c r="Q590" i="1"/>
  <c r="Q592" i="1"/>
  <c r="Q705" i="1"/>
  <c r="Q707" i="1"/>
  <c r="V821" i="1"/>
  <c r="W821" i="1" s="1"/>
  <c r="V833" i="1"/>
  <c r="W833" i="1" s="1"/>
  <c r="V835" i="1"/>
  <c r="W835" i="1" s="1"/>
  <c r="V839" i="1"/>
  <c r="W839" i="1" s="1"/>
  <c r="V905" i="1"/>
  <c r="W905" i="1" s="1"/>
  <c r="Q924" i="1"/>
  <c r="Q928" i="1"/>
  <c r="Q944" i="1"/>
  <c r="Q1349" i="1"/>
  <c r="Q1353" i="1"/>
  <c r="V1822" i="1"/>
  <c r="W1822" i="1" s="1"/>
  <c r="Q1149" i="1"/>
  <c r="V1031" i="1"/>
  <c r="W1031" i="1" s="1"/>
  <c r="V1380" i="1"/>
  <c r="W1380" i="1" s="1"/>
  <c r="V221" i="1"/>
  <c r="W221" i="1" s="1"/>
  <c r="V223" i="1"/>
  <c r="W223" i="1" s="1"/>
  <c r="V225" i="1"/>
  <c r="W225" i="1" s="1"/>
  <c r="V723" i="1"/>
  <c r="W723" i="1" s="1"/>
  <c r="V725" i="1"/>
  <c r="W725" i="1" s="1"/>
  <c r="V735" i="1"/>
  <c r="W735" i="1" s="1"/>
  <c r="V739" i="1"/>
  <c r="W739" i="1" s="1"/>
  <c r="V841" i="1"/>
  <c r="W841" i="1" s="1"/>
  <c r="V843" i="1"/>
  <c r="W843" i="1" s="1"/>
  <c r="V849" i="1"/>
  <c r="W849" i="1" s="1"/>
  <c r="V851" i="1"/>
  <c r="W851" i="1" s="1"/>
  <c r="V887" i="1"/>
  <c r="W887" i="1" s="1"/>
  <c r="V889" i="1"/>
  <c r="W889" i="1" s="1"/>
  <c r="V903" i="1"/>
  <c r="W903" i="1" s="1"/>
  <c r="Q1002" i="1"/>
  <c r="Q1008" i="1"/>
  <c r="Q1020" i="1"/>
  <c r="Q1396" i="1"/>
  <c r="Q1655" i="1"/>
  <c r="Q1679" i="1"/>
  <c r="Q1135" i="1"/>
  <c r="Q1153" i="1"/>
  <c r="Q1404" i="1"/>
  <c r="Q1691" i="1"/>
  <c r="V1035" i="1"/>
  <c r="W1035" i="1" s="1"/>
  <c r="V1041" i="1"/>
  <c r="W1041" i="1" s="1"/>
  <c r="V1370" i="1"/>
  <c r="W1370" i="1" s="1"/>
  <c r="V1378" i="1"/>
  <c r="W1378" i="1" s="1"/>
  <c r="Q294" i="1"/>
  <c r="Q322" i="1"/>
  <c r="Q338" i="1"/>
  <c r="V719" i="1"/>
  <c r="W719" i="1" s="1"/>
  <c r="V743" i="1"/>
  <c r="W743" i="1" s="1"/>
  <c r="V757" i="1"/>
  <c r="W757" i="1" s="1"/>
  <c r="V803" i="1"/>
  <c r="W803" i="1" s="1"/>
  <c r="V811" i="1"/>
  <c r="W811" i="1" s="1"/>
  <c r="V869" i="1"/>
  <c r="W869" i="1" s="1"/>
  <c r="V871" i="1"/>
  <c r="W871" i="1" s="1"/>
  <c r="Q2470" i="1"/>
  <c r="V693" i="1"/>
  <c r="W693" i="1" s="1"/>
  <c r="Q834" i="1"/>
  <c r="Q1046" i="1"/>
  <c r="Q1357" i="1"/>
  <c r="V1454" i="1"/>
  <c r="W1454" i="1" s="1"/>
  <c r="Q1564" i="1"/>
  <c r="V2058" i="1"/>
  <c r="W2058" i="1" s="1"/>
  <c r="V2066" i="1"/>
  <c r="W2066" i="1" s="1"/>
  <c r="Q902" i="1"/>
  <c r="Q1108" i="1"/>
  <c r="Q1158" i="1"/>
  <c r="Q1389" i="1"/>
  <c r="Q1395" i="1"/>
  <c r="V1661" i="1"/>
  <c r="W1661" i="1" s="1"/>
  <c r="V1669" i="1"/>
  <c r="W1669" i="1" s="1"/>
  <c r="V1679" i="1"/>
  <c r="W1679" i="1" s="1"/>
  <c r="Q1859" i="1"/>
  <c r="V276" i="1"/>
  <c r="W276" i="1" s="1"/>
  <c r="V284" i="1"/>
  <c r="W284" i="1" s="1"/>
  <c r="V438" i="1"/>
  <c r="W438" i="1" s="1"/>
  <c r="Q529" i="1"/>
  <c r="Q549" i="1"/>
  <c r="Q551" i="1"/>
  <c r="Q553" i="1"/>
  <c r="Q567" i="1"/>
  <c r="Q569" i="1"/>
  <c r="Q577" i="1"/>
  <c r="Q581" i="1"/>
  <c r="Q583" i="1"/>
  <c r="Q593" i="1"/>
  <c r="Q682" i="1"/>
  <c r="V776" i="1"/>
  <c r="W776" i="1" s="1"/>
  <c r="V860" i="1"/>
  <c r="W860" i="1" s="1"/>
  <c r="Q923" i="1"/>
  <c r="Q925" i="1"/>
  <c r="Q935" i="1"/>
  <c r="Q945" i="1"/>
  <c r="Q947" i="1"/>
  <c r="Q949" i="1"/>
  <c r="Q953" i="1"/>
  <c r="Q961" i="1"/>
  <c r="Q965" i="1"/>
  <c r="V994" i="1"/>
  <c r="W994" i="1" s="1"/>
  <c r="V1026" i="1"/>
  <c r="W1026" i="1" s="1"/>
  <c r="V1028" i="1"/>
  <c r="W1028" i="1" s="1"/>
  <c r="Q1172" i="1"/>
  <c r="V1253" i="1"/>
  <c r="W1253" i="1" s="1"/>
  <c r="V1289" i="1"/>
  <c r="W1289" i="1" s="1"/>
  <c r="V1466" i="1"/>
  <c r="W1466" i="1" s="1"/>
  <c r="V1502" i="1"/>
  <c r="W1502" i="1" s="1"/>
  <c r="V1518" i="1"/>
  <c r="W1518" i="1" s="1"/>
  <c r="V1522" i="1"/>
  <c r="W1522" i="1" s="1"/>
  <c r="V1540" i="1"/>
  <c r="W1540" i="1" s="1"/>
  <c r="V1542" i="1"/>
  <c r="W1542" i="1" s="1"/>
  <c r="V1560" i="1"/>
  <c r="W1560" i="1" s="1"/>
  <c r="V1562" i="1"/>
  <c r="W1562" i="1" s="1"/>
  <c r="Q1628" i="1"/>
  <c r="Q1630" i="1"/>
  <c r="Q1654" i="1"/>
  <c r="V1705" i="1"/>
  <c r="W1705" i="1" s="1"/>
  <c r="V1739" i="1"/>
  <c r="W1739" i="1" s="1"/>
  <c r="V1741" i="1"/>
  <c r="W1741" i="1" s="1"/>
  <c r="V1743" i="1"/>
  <c r="W1743" i="1" s="1"/>
  <c r="V1747" i="1"/>
  <c r="W1747" i="1" s="1"/>
  <c r="Q1875" i="1"/>
  <c r="Q1877" i="1"/>
  <c r="Q1883" i="1"/>
  <c r="Q1885" i="1"/>
  <c r="Q1895" i="1"/>
  <c r="Q1897" i="1"/>
  <c r="Q1915" i="1"/>
  <c r="Q1917" i="1"/>
  <c r="Q1919" i="1"/>
  <c r="Q1939" i="1"/>
  <c r="Q1993" i="1"/>
  <c r="Q1995" i="1"/>
  <c r="Q2091" i="1"/>
  <c r="Q2189" i="1"/>
  <c r="Q2195" i="1"/>
  <c r="Q2205" i="1"/>
  <c r="Q2233" i="1"/>
  <c r="Q2265" i="1"/>
  <c r="Q2301" i="1"/>
  <c r="Q2321" i="1"/>
  <c r="V695" i="1"/>
  <c r="W695" i="1" s="1"/>
  <c r="V2062" i="1"/>
  <c r="W2062" i="1" s="1"/>
  <c r="V2102" i="1"/>
  <c r="W2102" i="1" s="1"/>
  <c r="V671" i="1"/>
  <c r="W671" i="1" s="1"/>
  <c r="V675" i="1"/>
  <c r="W675" i="1" s="1"/>
  <c r="V1673" i="1"/>
  <c r="W1673" i="1" s="1"/>
  <c r="V374" i="1"/>
  <c r="W374" i="1" s="1"/>
  <c r="V376" i="1"/>
  <c r="W376" i="1" s="1"/>
  <c r="V380" i="1"/>
  <c r="W380" i="1" s="1"/>
  <c r="V398" i="1"/>
  <c r="W398" i="1" s="1"/>
  <c r="V420" i="1"/>
  <c r="W420" i="1" s="1"/>
  <c r="V555" i="1"/>
  <c r="W555" i="1" s="1"/>
  <c r="V563" i="1"/>
  <c r="W563" i="1" s="1"/>
  <c r="V575" i="1"/>
  <c r="W575" i="1" s="1"/>
  <c r="V587" i="1"/>
  <c r="W587" i="1" s="1"/>
  <c r="V649" i="1"/>
  <c r="W649" i="1" s="1"/>
  <c r="V1058" i="1"/>
  <c r="W1058" i="1" s="1"/>
  <c r="V1064" i="1"/>
  <c r="W1064" i="1" s="1"/>
  <c r="V1232" i="1"/>
  <c r="W1232" i="1" s="1"/>
  <c r="V1292" i="1"/>
  <c r="W1292" i="1" s="1"/>
  <c r="V1773" i="1"/>
  <c r="W1773" i="1" s="1"/>
  <c r="V1775" i="1"/>
  <c r="W1775" i="1" s="1"/>
  <c r="V1793" i="1"/>
  <c r="W1793" i="1" s="1"/>
  <c r="V2113" i="1"/>
  <c r="W2113" i="1" s="1"/>
  <c r="V2173" i="1"/>
  <c r="W2173" i="1" s="1"/>
  <c r="V689" i="1"/>
  <c r="W689" i="1" s="1"/>
  <c r="V966" i="1"/>
  <c r="W966" i="1" s="1"/>
  <c r="Q1048" i="1"/>
  <c r="Q1359" i="1"/>
  <c r="V1452" i="1"/>
  <c r="W1452" i="1" s="1"/>
  <c r="Q1578" i="1"/>
  <c r="V2140" i="1"/>
  <c r="W2140" i="1" s="1"/>
  <c r="V2192" i="1"/>
  <c r="W2192" i="1" s="1"/>
  <c r="Q814" i="1"/>
  <c r="Q1620" i="1"/>
  <c r="V1663" i="1"/>
  <c r="W1663" i="1" s="1"/>
  <c r="Q1825" i="1"/>
  <c r="Q1849" i="1"/>
  <c r="Q7" i="1"/>
  <c r="Q497" i="1"/>
  <c r="Q662" i="1"/>
  <c r="Q911" i="1"/>
  <c r="Q991" i="1"/>
  <c r="V1116" i="1"/>
  <c r="W1116" i="1" s="1"/>
  <c r="V1118" i="1"/>
  <c r="W1118" i="1" s="1"/>
  <c r="V1122" i="1"/>
  <c r="W1122" i="1" s="1"/>
  <c r="V1124" i="1"/>
  <c r="W1124" i="1" s="1"/>
  <c r="V1138" i="1"/>
  <c r="W1138" i="1" s="1"/>
  <c r="V1144" i="1"/>
  <c r="W1144" i="1" s="1"/>
  <c r="V1146" i="1"/>
  <c r="W1146" i="1" s="1"/>
  <c r="V1154" i="1"/>
  <c r="W1154" i="1" s="1"/>
  <c r="V1287" i="1"/>
  <c r="W1287" i="1" s="1"/>
  <c r="Q1306" i="1"/>
  <c r="Q1318" i="1"/>
  <c r="Q1322" i="1"/>
  <c r="Q1324" i="1"/>
  <c r="V1389" i="1"/>
  <c r="W1389" i="1" s="1"/>
  <c r="V1397" i="1"/>
  <c r="W1397" i="1" s="1"/>
  <c r="Q1475" i="1"/>
  <c r="Q1489" i="1"/>
  <c r="V1608" i="1"/>
  <c r="W1608" i="1" s="1"/>
  <c r="V1616" i="1"/>
  <c r="W1616" i="1" s="1"/>
  <c r="V1618" i="1"/>
  <c r="W1618" i="1" s="1"/>
  <c r="V1867" i="1"/>
  <c r="W1867" i="1" s="1"/>
  <c r="V1869" i="1"/>
  <c r="W1869" i="1" s="1"/>
  <c r="Q2437" i="1"/>
  <c r="V33" i="1"/>
  <c r="W33" i="1" s="1"/>
  <c r="V35" i="1"/>
  <c r="W35" i="1" s="1"/>
  <c r="Q239" i="1"/>
  <c r="Q247" i="1"/>
  <c r="Q249" i="1"/>
  <c r="Q251" i="1"/>
  <c r="Q409" i="1"/>
  <c r="V439" i="1"/>
  <c r="W439" i="1" s="1"/>
  <c r="V453" i="1"/>
  <c r="W453" i="1" s="1"/>
  <c r="V463" i="1"/>
  <c r="W463" i="1" s="1"/>
  <c r="Q1033" i="1"/>
  <c r="Q1041" i="1"/>
  <c r="Q1057" i="1"/>
  <c r="Q1079" i="1"/>
  <c r="Q1085" i="1"/>
  <c r="V1467" i="1"/>
  <c r="W1467" i="1" s="1"/>
  <c r="V1495" i="1"/>
  <c r="W1495" i="1" s="1"/>
  <c r="V1507" i="1"/>
  <c r="W1507" i="1" s="1"/>
  <c r="V1539" i="1"/>
  <c r="W1539" i="1" s="1"/>
  <c r="V1559" i="1"/>
  <c r="W1559" i="1" s="1"/>
  <c r="V1720" i="1"/>
  <c r="W1720" i="1" s="1"/>
  <c r="V1724" i="1"/>
  <c r="W1724" i="1" s="1"/>
  <c r="V1730" i="1"/>
  <c r="W1730" i="1" s="1"/>
  <c r="Q1361" i="1"/>
  <c r="Q1830" i="1"/>
  <c r="Q1852" i="1"/>
  <c r="Q289" i="1"/>
  <c r="Q547" i="1"/>
  <c r="Q573" i="1"/>
  <c r="V818" i="1"/>
  <c r="W818" i="1" s="1"/>
  <c r="V822" i="1"/>
  <c r="W822" i="1" s="1"/>
  <c r="V826" i="1"/>
  <c r="W826" i="1" s="1"/>
  <c r="V830" i="1"/>
  <c r="W830" i="1" s="1"/>
  <c r="Q1570" i="1"/>
  <c r="Q2402" i="1"/>
  <c r="V301" i="1"/>
  <c r="W301" i="1" s="1"/>
  <c r="V317" i="1"/>
  <c r="W317" i="1" s="1"/>
  <c r="Q12" i="1"/>
  <c r="Q16" i="1"/>
  <c r="Q24" i="1"/>
  <c r="Q28" i="1"/>
  <c r="Q1226" i="1"/>
  <c r="V1226" i="1"/>
  <c r="W1226" i="1" s="1"/>
  <c r="Q1477" i="1"/>
  <c r="Q1479" i="1"/>
  <c r="Q1481" i="1"/>
  <c r="Q1487" i="1"/>
  <c r="Q457" i="1"/>
  <c r="V295" i="1"/>
  <c r="W295" i="1" s="1"/>
  <c r="V321" i="1"/>
  <c r="W321" i="1" s="1"/>
  <c r="Q204" i="1"/>
  <c r="Q246" i="1"/>
  <c r="Q272" i="1"/>
  <c r="V272" i="1"/>
  <c r="W272" i="1" s="1"/>
  <c r="V409" i="1"/>
  <c r="W409" i="1" s="1"/>
  <c r="Q1392" i="1"/>
  <c r="Q1398" i="1"/>
  <c r="Q1501" i="1"/>
  <c r="Q1515" i="1"/>
  <c r="V1782" i="1"/>
  <c r="W1782" i="1" s="1"/>
  <c r="Q397" i="1"/>
  <c r="V297" i="1"/>
  <c r="W297" i="1" s="1"/>
  <c r="Q1418" i="1"/>
  <c r="Q1422" i="1"/>
  <c r="Q1424" i="1"/>
  <c r="Q2017" i="1"/>
  <c r="Q976" i="1"/>
  <c r="Q2097" i="1"/>
  <c r="Q802" i="1"/>
  <c r="V1768" i="1"/>
  <c r="W1768" i="1" s="1"/>
  <c r="Q411" i="1"/>
  <c r="Q1580" i="1"/>
  <c r="Q1586" i="1"/>
  <c r="Q818" i="1"/>
  <c r="Q910" i="1"/>
  <c r="Q914" i="1"/>
  <c r="V914" i="1"/>
  <c r="W914" i="1" s="1"/>
  <c r="Q916" i="1"/>
  <c r="V1099" i="1"/>
  <c r="W1099" i="1" s="1"/>
  <c r="V1101" i="1"/>
  <c r="W1101" i="1" s="1"/>
  <c r="V1103" i="1"/>
  <c r="W1103" i="1" s="1"/>
  <c r="V1105" i="1"/>
  <c r="W1105" i="1" s="1"/>
  <c r="V1770" i="1"/>
  <c r="W1770" i="1" s="1"/>
  <c r="V1786" i="1"/>
  <c r="W1786" i="1" s="1"/>
  <c r="Q451" i="1"/>
  <c r="Q1582" i="1"/>
  <c r="V1872" i="1"/>
  <c r="W1872" i="1" s="1"/>
  <c r="Q876" i="1"/>
  <c r="Q882" i="1"/>
  <c r="V1368" i="1"/>
  <c r="W1368" i="1" s="1"/>
  <c r="V1398" i="1"/>
  <c r="W1398" i="1" s="1"/>
  <c r="Q1776" i="1"/>
  <c r="Q1778" i="1"/>
  <c r="V1963" i="1"/>
  <c r="W1963" i="1" s="1"/>
  <c r="V2015" i="1"/>
  <c r="W2015" i="1" s="1"/>
  <c r="Q2426" i="1"/>
  <c r="V1953" i="1"/>
  <c r="W1953" i="1" s="1"/>
  <c r="V1961" i="1"/>
  <c r="W1961" i="1" s="1"/>
  <c r="V1987" i="1"/>
  <c r="W1987" i="1" s="1"/>
  <c r="V2194" i="1"/>
  <c r="W2194" i="1" s="1"/>
  <c r="V2198" i="1"/>
  <c r="W2198" i="1" s="1"/>
  <c r="V2326" i="1"/>
  <c r="W2326" i="1" s="1"/>
  <c r="V36" i="1"/>
  <c r="W36" i="1" s="1"/>
  <c r="V50" i="1"/>
  <c r="W50" i="1" s="1"/>
  <c r="Q465" i="1"/>
  <c r="V1209" i="1"/>
  <c r="W1209" i="1" s="1"/>
  <c r="Q1365" i="1"/>
  <c r="V1582" i="1"/>
  <c r="W1582" i="1" s="1"/>
  <c r="V96" i="1"/>
  <c r="W96" i="1" s="1"/>
  <c r="V108" i="1"/>
  <c r="W108" i="1" s="1"/>
  <c r="V112" i="1"/>
  <c r="W112" i="1" s="1"/>
  <c r="V130" i="1"/>
  <c r="W130" i="1" s="1"/>
  <c r="V148" i="1"/>
  <c r="W148" i="1" s="1"/>
  <c r="V152" i="1"/>
  <c r="W152" i="1" s="1"/>
  <c r="V210" i="1"/>
  <c r="W210" i="1" s="1"/>
  <c r="V533" i="1"/>
  <c r="W533" i="1" s="1"/>
  <c r="V535" i="1"/>
  <c r="W535" i="1" s="1"/>
  <c r="V541" i="1"/>
  <c r="W541" i="1" s="1"/>
  <c r="V758" i="1"/>
  <c r="W758" i="1" s="1"/>
  <c r="V772" i="1"/>
  <c r="W772" i="1" s="1"/>
  <c r="Q941" i="1"/>
  <c r="Q1634" i="1"/>
  <c r="Q1695" i="1"/>
  <c r="Q1715" i="1"/>
  <c r="Q1717" i="1"/>
  <c r="Q1723" i="1"/>
  <c r="V1830" i="1"/>
  <c r="W1830" i="1" s="1"/>
  <c r="Q2151" i="1"/>
  <c r="V1959" i="1"/>
  <c r="W1959" i="1" s="1"/>
  <c r="V2196" i="1"/>
  <c r="W2196" i="1" s="1"/>
  <c r="V2200" i="1"/>
  <c r="W2200" i="1" s="1"/>
  <c r="V2278" i="1"/>
  <c r="W2278" i="1" s="1"/>
  <c r="V2290" i="1"/>
  <c r="W2290" i="1" s="1"/>
  <c r="V2336" i="1"/>
  <c r="W2336" i="1" s="1"/>
  <c r="V20" i="1"/>
  <c r="W20" i="1" s="1"/>
  <c r="V42" i="1"/>
  <c r="W42" i="1" s="1"/>
  <c r="Q260" i="1"/>
  <c r="V1337" i="1"/>
  <c r="W1337" i="1" s="1"/>
  <c r="V1349" i="1"/>
  <c r="W1349" i="1" s="1"/>
  <c r="Q1438" i="1"/>
  <c r="V1580" i="1"/>
  <c r="W1580" i="1" s="1"/>
  <c r="V1602" i="1"/>
  <c r="W1602" i="1" s="1"/>
  <c r="V1606" i="1"/>
  <c r="W1606" i="1" s="1"/>
  <c r="Q2099" i="1"/>
  <c r="V2388" i="1"/>
  <c r="W2388" i="1" s="1"/>
  <c r="V2396" i="1"/>
  <c r="W2396" i="1" s="1"/>
  <c r="V2404" i="1"/>
  <c r="W2404" i="1" s="1"/>
  <c r="V120" i="1"/>
  <c r="W120" i="1" s="1"/>
  <c r="V128" i="1"/>
  <c r="W128" i="1" s="1"/>
  <c r="V136" i="1"/>
  <c r="W136" i="1" s="1"/>
  <c r="Q286" i="1"/>
  <c r="V545" i="1"/>
  <c r="W545" i="1" s="1"/>
  <c r="Q644" i="1"/>
  <c r="V746" i="1"/>
  <c r="W746" i="1" s="1"/>
  <c r="V768" i="1"/>
  <c r="W768" i="1" s="1"/>
  <c r="V1353" i="1"/>
  <c r="W1353" i="1" s="1"/>
  <c r="Q1567" i="1"/>
  <c r="Q1652" i="1"/>
  <c r="Q1693" i="1"/>
  <c r="Q1697" i="1"/>
  <c r="V1703" i="1"/>
  <c r="W1703" i="1" s="1"/>
  <c r="Q1729" i="1"/>
  <c r="V1850" i="1"/>
  <c r="W1850" i="1" s="1"/>
  <c r="Q2159" i="1"/>
  <c r="Q3" i="1"/>
  <c r="Q43" i="1"/>
  <c r="Q81" i="1"/>
  <c r="V232" i="1"/>
  <c r="W232" i="1" s="1"/>
  <c r="V234" i="1"/>
  <c r="W234" i="1" s="1"/>
  <c r="V236" i="1"/>
  <c r="W236" i="1" s="1"/>
  <c r="V250" i="1"/>
  <c r="W250" i="1" s="1"/>
  <c r="Q298" i="1"/>
  <c r="Q306" i="1"/>
  <c r="V429" i="1"/>
  <c r="W429" i="1" s="1"/>
  <c r="V449" i="1"/>
  <c r="W449" i="1" s="1"/>
  <c r="Q628" i="1"/>
  <c r="V652" i="1"/>
  <c r="W652" i="1" s="1"/>
  <c r="V658" i="1"/>
  <c r="W658" i="1" s="1"/>
  <c r="V819" i="1"/>
  <c r="W819" i="1" s="1"/>
  <c r="Q853" i="1"/>
  <c r="V1034" i="1"/>
  <c r="W1034" i="1" s="1"/>
  <c r="V1038" i="1"/>
  <c r="W1038" i="1" s="1"/>
  <c r="V1173" i="1"/>
  <c r="W1173" i="1" s="1"/>
  <c r="V1175" i="1"/>
  <c r="W1175" i="1" s="1"/>
  <c r="V1177" i="1"/>
  <c r="W1177" i="1" s="1"/>
  <c r="V1179" i="1"/>
  <c r="W1179" i="1" s="1"/>
  <c r="Q1330" i="1"/>
  <c r="Q1338" i="1"/>
  <c r="Q1346" i="1"/>
  <c r="Q1352" i="1"/>
  <c r="Q1470" i="1"/>
  <c r="Q1488" i="1"/>
  <c r="V1771" i="1"/>
  <c r="W1771" i="1" s="1"/>
  <c r="Q1797" i="1"/>
  <c r="V1803" i="1"/>
  <c r="W1803" i="1" s="1"/>
  <c r="Q1807" i="1"/>
  <c r="Q1811" i="1"/>
  <c r="V1817" i="1"/>
  <c r="W1817" i="1" s="1"/>
  <c r="V1866" i="1"/>
  <c r="W1866" i="1" s="1"/>
  <c r="V1868" i="1"/>
  <c r="W1868" i="1" s="1"/>
  <c r="V1870" i="1"/>
  <c r="W1870" i="1" s="1"/>
  <c r="Q1912" i="1"/>
  <c r="Q1940" i="1"/>
  <c r="Q1990" i="1"/>
  <c r="Q1994" i="1"/>
  <c r="Q1996" i="1"/>
  <c r="V2000" i="1"/>
  <c r="W2000" i="1" s="1"/>
  <c r="Q2004" i="1"/>
  <c r="Q2006" i="1"/>
  <c r="Q2008" i="1"/>
  <c r="V2069" i="1"/>
  <c r="W2069" i="1" s="1"/>
  <c r="V2075" i="1"/>
  <c r="W2075" i="1" s="1"/>
  <c r="Q2211" i="1"/>
  <c r="V2213" i="1"/>
  <c r="W2213" i="1" s="1"/>
  <c r="V2217" i="1"/>
  <c r="W2217" i="1" s="1"/>
  <c r="V1957" i="1"/>
  <c r="W1957" i="1" s="1"/>
  <c r="V1973" i="1"/>
  <c r="W1973" i="1" s="1"/>
  <c r="V2280" i="1"/>
  <c r="W2280" i="1" s="1"/>
  <c r="V32" i="1"/>
  <c r="W32" i="1" s="1"/>
  <c r="V40" i="1"/>
  <c r="W40" i="1" s="1"/>
  <c r="Q1436" i="1"/>
  <c r="V1578" i="1"/>
  <c r="W1578" i="1" s="1"/>
  <c r="V1600" i="1"/>
  <c r="W1600" i="1" s="1"/>
  <c r="V1604" i="1"/>
  <c r="W1604" i="1" s="1"/>
  <c r="Q1874" i="1"/>
  <c r="V2394" i="1"/>
  <c r="W2394" i="1" s="1"/>
  <c r="V2400" i="1"/>
  <c r="W2400" i="1" s="1"/>
  <c r="V124" i="1"/>
  <c r="W124" i="1" s="1"/>
  <c r="V132" i="1"/>
  <c r="W132" i="1" s="1"/>
  <c r="V529" i="1"/>
  <c r="W529" i="1" s="1"/>
  <c r="Q642" i="1"/>
  <c r="V770" i="1"/>
  <c r="W770" i="1" s="1"/>
  <c r="V1515" i="1"/>
  <c r="W1515" i="1" s="1"/>
  <c r="Q1636" i="1"/>
  <c r="Q1644" i="1"/>
  <c r="Q1650" i="1"/>
  <c r="V1727" i="1"/>
  <c r="W1727" i="1" s="1"/>
  <c r="V1846" i="1"/>
  <c r="W1846" i="1" s="1"/>
  <c r="Q2157" i="1"/>
  <c r="Q2163" i="1"/>
  <c r="Q2177" i="1"/>
  <c r="Q203" i="1"/>
  <c r="V254" i="1"/>
  <c r="W254" i="1" s="1"/>
  <c r="V256" i="1"/>
  <c r="W256" i="1" s="1"/>
  <c r="V258" i="1"/>
  <c r="W258" i="1" s="1"/>
  <c r="V274" i="1"/>
  <c r="W274" i="1" s="1"/>
  <c r="V364" i="1"/>
  <c r="W364" i="1" s="1"/>
  <c r="V477" i="1"/>
  <c r="W477" i="1" s="1"/>
  <c r="V479" i="1"/>
  <c r="W479" i="1" s="1"/>
  <c r="V481" i="1"/>
  <c r="W481" i="1" s="1"/>
  <c r="V487" i="1"/>
  <c r="W487" i="1" s="1"/>
  <c r="V503" i="1"/>
  <c r="W503" i="1" s="1"/>
  <c r="V507" i="1"/>
  <c r="W507" i="1" s="1"/>
  <c r="V983" i="1"/>
  <c r="W983" i="1" s="1"/>
  <c r="V985" i="1"/>
  <c r="W985" i="1" s="1"/>
  <c r="V987" i="1"/>
  <c r="W987" i="1" s="1"/>
  <c r="Q1001" i="1"/>
  <c r="Q1005" i="1"/>
  <c r="Q1009" i="1"/>
  <c r="Q1015" i="1"/>
  <c r="Q1017" i="1"/>
  <c r="Q1021" i="1"/>
  <c r="Q1023" i="1"/>
  <c r="Q1025" i="1"/>
  <c r="Q1029" i="1"/>
  <c r="V1162" i="1"/>
  <c r="W1162" i="1" s="1"/>
  <c r="V1203" i="1"/>
  <c r="W1203" i="1" s="1"/>
  <c r="V1205" i="1"/>
  <c r="W1205" i="1" s="1"/>
  <c r="V1266" i="1"/>
  <c r="W1266" i="1" s="1"/>
  <c r="V1428" i="1"/>
  <c r="W1428" i="1" s="1"/>
  <c r="V1430" i="1"/>
  <c r="W1430" i="1" s="1"/>
  <c r="Q1518" i="1"/>
  <c r="Q1615" i="1"/>
  <c r="Q1670" i="1"/>
  <c r="Q1835" i="1"/>
  <c r="Q1843" i="1"/>
  <c r="Q2046" i="1"/>
  <c r="Q2054" i="1"/>
  <c r="V2115" i="1"/>
  <c r="W2115" i="1" s="1"/>
  <c r="V2123" i="1"/>
  <c r="W2123" i="1" s="1"/>
  <c r="V2125" i="1"/>
  <c r="W2125" i="1" s="1"/>
  <c r="V2141" i="1"/>
  <c r="W2141" i="1" s="1"/>
  <c r="V2417" i="1"/>
  <c r="W2417" i="1" s="1"/>
  <c r="V995" i="1"/>
  <c r="W995" i="1" s="1"/>
  <c r="Q221" i="1"/>
  <c r="Q1180" i="1"/>
  <c r="V1264" i="1"/>
  <c r="W1264" i="1" s="1"/>
  <c r="V1407" i="1"/>
  <c r="W1407" i="1" s="1"/>
  <c r="Q1413" i="1"/>
  <c r="Q1415" i="1"/>
  <c r="Q1417" i="1"/>
  <c r="Q1532" i="1"/>
  <c r="Q1536" i="1"/>
  <c r="Q1680" i="1"/>
  <c r="Q1686" i="1"/>
  <c r="Q1861" i="1"/>
  <c r="Q1863" i="1"/>
  <c r="Q2443" i="1"/>
  <c r="Q2445" i="1"/>
  <c r="V1029" i="1"/>
  <c r="W1029" i="1" s="1"/>
  <c r="Q223" i="1"/>
  <c r="Q227" i="1"/>
  <c r="Q932" i="1"/>
  <c r="Q938" i="1"/>
  <c r="Q950" i="1"/>
  <c r="Q954" i="1"/>
  <c r="Q1055" i="1"/>
  <c r="Q1093" i="1"/>
  <c r="Q1095" i="1"/>
  <c r="Q1097" i="1"/>
  <c r="V1338" i="1"/>
  <c r="W1338" i="1" s="1"/>
  <c r="V1340" i="1"/>
  <c r="W1340" i="1" s="1"/>
  <c r="V1342" i="1"/>
  <c r="W1342" i="1" s="1"/>
  <c r="V1346" i="1"/>
  <c r="W1346" i="1" s="1"/>
  <c r="V1348" i="1"/>
  <c r="W1348" i="1" s="1"/>
  <c r="Q1457" i="1"/>
  <c r="Q1459" i="1"/>
  <c r="Q1461" i="1"/>
  <c r="V1488" i="1"/>
  <c r="W1488" i="1" s="1"/>
  <c r="V1490" i="1"/>
  <c r="W1490" i="1" s="1"/>
  <c r="Q1546" i="1"/>
  <c r="Q1562" i="1"/>
  <c r="V1593" i="1"/>
  <c r="W1593" i="1" s="1"/>
  <c r="V1597" i="1"/>
  <c r="W1597" i="1" s="1"/>
  <c r="V1656" i="1"/>
  <c r="W1656" i="1" s="1"/>
  <c r="Q1690" i="1"/>
  <c r="Q1726" i="1"/>
  <c r="Q1750" i="1"/>
  <c r="V2146" i="1"/>
  <c r="W2146" i="1" s="1"/>
  <c r="Q2434" i="1"/>
  <c r="Q2219" i="1"/>
  <c r="V2225" i="1"/>
  <c r="W2225" i="1" s="1"/>
  <c r="Q2229" i="1"/>
  <c r="Q2231" i="1"/>
  <c r="Q2275" i="1"/>
  <c r="Q2283" i="1"/>
  <c r="Q2285" i="1"/>
  <c r="V2295" i="1"/>
  <c r="W2295" i="1" s="1"/>
  <c r="V2309" i="1"/>
  <c r="W2309" i="1" s="1"/>
  <c r="V2313" i="1"/>
  <c r="W2313" i="1" s="1"/>
  <c r="V2321" i="1"/>
  <c r="W2321" i="1" s="1"/>
  <c r="V2329" i="1"/>
  <c r="W2329" i="1" s="1"/>
  <c r="Q2333" i="1"/>
  <c r="V2410" i="1"/>
  <c r="W2410" i="1" s="1"/>
  <c r="V2412" i="1"/>
  <c r="W2412" i="1" s="1"/>
  <c r="V2414" i="1"/>
  <c r="W2414" i="1" s="1"/>
  <c r="V2422" i="1"/>
  <c r="W2422" i="1" s="1"/>
  <c r="V2424" i="1"/>
  <c r="W2424" i="1" s="1"/>
  <c r="V2426" i="1"/>
  <c r="W2426" i="1" s="1"/>
  <c r="V7" i="1"/>
  <c r="W7" i="1" s="1"/>
  <c r="V79" i="1"/>
  <c r="W79" i="1" s="1"/>
  <c r="V81" i="1"/>
  <c r="W81" i="1" s="1"/>
  <c r="Q235" i="1"/>
  <c r="V251" i="1"/>
  <c r="W251" i="1" s="1"/>
  <c r="Q255" i="1"/>
  <c r="Q259" i="1"/>
  <c r="V324" i="1"/>
  <c r="W324" i="1" s="1"/>
  <c r="V404" i="1"/>
  <c r="W404" i="1" s="1"/>
  <c r="V408" i="1"/>
  <c r="W408" i="1" s="1"/>
  <c r="Q420" i="1"/>
  <c r="Q434" i="1"/>
  <c r="Q452" i="1"/>
  <c r="Q516" i="1"/>
  <c r="Q518" i="1"/>
  <c r="V542" i="1"/>
  <c r="W542" i="1" s="1"/>
  <c r="Q572" i="1"/>
  <c r="Q600" i="1"/>
  <c r="Q616" i="1"/>
  <c r="V668" i="1"/>
  <c r="W668" i="1" s="1"/>
  <c r="V672" i="1"/>
  <c r="W672" i="1" s="1"/>
  <c r="Q727" i="1"/>
  <c r="Q731" i="1"/>
  <c r="V936" i="1"/>
  <c r="W936" i="1" s="1"/>
  <c r="Q1026" i="1"/>
  <c r="Q1111" i="1"/>
  <c r="Q1113" i="1"/>
  <c r="Q1143" i="1"/>
  <c r="V1168" i="1"/>
  <c r="W1168" i="1" s="1"/>
  <c r="Q1198" i="1"/>
  <c r="Q1200" i="1"/>
  <c r="Q1202" i="1"/>
  <c r="Q1356" i="1"/>
  <c r="Q1360" i="1"/>
  <c r="Q1442" i="1"/>
  <c r="Q1450" i="1"/>
  <c r="V1473" i="1"/>
  <c r="W1473" i="1" s="1"/>
  <c r="Q1608" i="1"/>
  <c r="Q1618" i="1"/>
  <c r="V1641" i="1"/>
  <c r="W1641" i="1" s="1"/>
  <c r="V1645" i="1"/>
  <c r="W1645" i="1" s="1"/>
  <c r="V1649" i="1"/>
  <c r="W1649" i="1" s="1"/>
  <c r="Q1663" i="1"/>
  <c r="Q1788" i="1"/>
  <c r="Q1790" i="1"/>
  <c r="Q1794" i="1"/>
  <c r="V1833" i="1"/>
  <c r="W1833" i="1" s="1"/>
  <c r="V1837" i="1"/>
  <c r="W1837" i="1" s="1"/>
  <c r="V1839" i="1"/>
  <c r="W1839" i="1" s="1"/>
  <c r="V1843" i="1"/>
  <c r="W1843" i="1" s="1"/>
  <c r="Q2078" i="1"/>
  <c r="Q2080" i="1"/>
  <c r="V2143" i="1"/>
  <c r="W2143" i="1" s="1"/>
  <c r="V2145" i="1"/>
  <c r="W2145" i="1" s="1"/>
  <c r="Q2345" i="1"/>
  <c r="Q2397" i="1"/>
  <c r="Q2405" i="1"/>
  <c r="V59" i="1"/>
  <c r="W59" i="1" s="1"/>
  <c r="V63" i="1"/>
  <c r="W63" i="1" s="1"/>
  <c r="V181" i="1"/>
  <c r="W181" i="1" s="1"/>
  <c r="V183" i="1"/>
  <c r="W183" i="1" s="1"/>
  <c r="V199" i="1"/>
  <c r="W199" i="1" s="1"/>
  <c r="V201" i="1"/>
  <c r="W201" i="1" s="1"/>
  <c r="V203" i="1"/>
  <c r="W203" i="1" s="1"/>
  <c r="V205" i="1"/>
  <c r="W205" i="1" s="1"/>
  <c r="V207" i="1"/>
  <c r="W207" i="1" s="1"/>
  <c r="V211" i="1"/>
  <c r="W211" i="1" s="1"/>
  <c r="V275" i="1"/>
  <c r="W275" i="1" s="1"/>
  <c r="V330" i="1"/>
  <c r="W330" i="1" s="1"/>
  <c r="V338" i="1"/>
  <c r="W338" i="1" s="1"/>
  <c r="V342" i="1"/>
  <c r="W342" i="1" s="1"/>
  <c r="V346" i="1"/>
  <c r="W346" i="1" s="1"/>
  <c r="V350" i="1"/>
  <c r="W350" i="1" s="1"/>
  <c r="Q496" i="1"/>
  <c r="Q512" i="1"/>
  <c r="V526" i="1"/>
  <c r="W526" i="1" s="1"/>
  <c r="V632" i="1"/>
  <c r="W632" i="1" s="1"/>
  <c r="V636" i="1"/>
  <c r="W636" i="1" s="1"/>
  <c r="V640" i="1"/>
  <c r="W640" i="1" s="1"/>
  <c r="V642" i="1"/>
  <c r="W642" i="1" s="1"/>
  <c r="Q687" i="1"/>
  <c r="Q701" i="1"/>
  <c r="V782" i="1"/>
  <c r="W782" i="1" s="1"/>
  <c r="V796" i="1"/>
  <c r="W796" i="1" s="1"/>
  <c r="V798" i="1"/>
  <c r="W798" i="1" s="1"/>
  <c r="Q821" i="1"/>
  <c r="Q823" i="1"/>
  <c r="Q825" i="1"/>
  <c r="Q827" i="1"/>
  <c r="Q835" i="1"/>
  <c r="V866" i="1"/>
  <c r="W866" i="1" s="1"/>
  <c r="V902" i="1"/>
  <c r="W902" i="1" s="1"/>
  <c r="V954" i="1"/>
  <c r="W954" i="1" s="1"/>
  <c r="V956" i="1"/>
  <c r="W956" i="1" s="1"/>
  <c r="V958" i="1"/>
  <c r="W958" i="1" s="1"/>
  <c r="V1018" i="1"/>
  <c r="W1018" i="1" s="1"/>
  <c r="Q1038" i="1"/>
  <c r="V1123" i="1"/>
  <c r="W1123" i="1" s="1"/>
  <c r="V1139" i="1"/>
  <c r="W1139" i="1" s="1"/>
  <c r="Q1159" i="1"/>
  <c r="V1170" i="1"/>
  <c r="W1170" i="1" s="1"/>
  <c r="V1306" i="1"/>
  <c r="W1306" i="1" s="1"/>
  <c r="V1310" i="1"/>
  <c r="W1310" i="1" s="1"/>
  <c r="V1312" i="1"/>
  <c r="W1312" i="1" s="1"/>
  <c r="V1322" i="1"/>
  <c r="W1322" i="1" s="1"/>
  <c r="V1418" i="1"/>
  <c r="W1418" i="1" s="1"/>
  <c r="V1527" i="1"/>
  <c r="W1527" i="1" s="1"/>
  <c r="Q1543" i="1"/>
  <c r="V1570" i="1"/>
  <c r="W1570" i="1" s="1"/>
  <c r="V1734" i="1"/>
  <c r="W1734" i="1" s="1"/>
  <c r="V1748" i="1"/>
  <c r="W1748" i="1" s="1"/>
  <c r="V1750" i="1"/>
  <c r="W1750" i="1" s="1"/>
  <c r="V1853" i="1"/>
  <c r="W1853" i="1" s="1"/>
  <c r="V1857" i="1"/>
  <c r="W1857" i="1" s="1"/>
  <c r="Q1929" i="1"/>
  <c r="Q1935" i="1"/>
  <c r="Q1983" i="1"/>
  <c r="Q1989" i="1"/>
  <c r="V2042" i="1"/>
  <c r="W2042" i="1" s="1"/>
  <c r="V2050" i="1"/>
  <c r="W2050" i="1" s="1"/>
  <c r="V2092" i="1"/>
  <c r="W2092" i="1" s="1"/>
  <c r="Q2100" i="1"/>
  <c r="Q2102" i="1"/>
  <c r="Q2104" i="1"/>
  <c r="V2391" i="1"/>
  <c r="W2391" i="1" s="1"/>
  <c r="V2397" i="1"/>
  <c r="W2397" i="1" s="1"/>
  <c r="Q2411" i="1"/>
  <c r="Q333" i="1"/>
  <c r="Q337" i="1"/>
  <c r="Q345" i="1"/>
  <c r="Q349" i="1"/>
  <c r="V351" i="1"/>
  <c r="W351" i="1" s="1"/>
  <c r="Q353" i="1"/>
  <c r="Q361" i="1"/>
  <c r="Q633" i="1"/>
  <c r="Q635" i="1"/>
  <c r="V637" i="1"/>
  <c r="W637" i="1" s="1"/>
  <c r="Q641" i="1"/>
  <c r="Q645" i="1"/>
  <c r="Q647" i="1"/>
  <c r="V777" i="1"/>
  <c r="W777" i="1" s="1"/>
  <c r="Q779" i="1"/>
  <c r="Q791" i="1"/>
  <c r="Q943" i="1"/>
  <c r="Q973" i="1"/>
  <c r="Q975" i="1"/>
  <c r="Q1060" i="1"/>
  <c r="Q1062" i="1"/>
  <c r="V1070" i="1"/>
  <c r="W1070" i="1" s="1"/>
  <c r="Q1078" i="1"/>
  <c r="Q1082" i="1"/>
  <c r="Q1092" i="1"/>
  <c r="Q1173" i="1"/>
  <c r="Q1175" i="1"/>
  <c r="Q1305" i="1"/>
  <c r="V1323" i="1"/>
  <c r="W1323" i="1" s="1"/>
  <c r="Q1337" i="1"/>
  <c r="Q1384" i="1"/>
  <c r="V1496" i="1"/>
  <c r="W1496" i="1" s="1"/>
  <c r="Q1512" i="1"/>
  <c r="Q1765" i="1"/>
  <c r="Q1773" i="1"/>
  <c r="Q1781" i="1"/>
  <c r="Q1856" i="1"/>
  <c r="Q1864" i="1"/>
  <c r="Q1866" i="1"/>
  <c r="Q1870" i="1"/>
  <c r="Q1872" i="1"/>
  <c r="Q2039" i="1"/>
  <c r="Q2041" i="1"/>
  <c r="Q2051" i="1"/>
  <c r="Q2053" i="1"/>
  <c r="Q2164" i="1"/>
  <c r="Q2166" i="1"/>
  <c r="Q2168" i="1"/>
  <c r="V2182" i="1"/>
  <c r="W2182" i="1" s="1"/>
  <c r="Q2194" i="1"/>
  <c r="Q2258" i="1"/>
  <c r="Q2298" i="1"/>
  <c r="Q625" i="1"/>
  <c r="Q1040" i="1"/>
  <c r="Q565" i="1"/>
  <c r="Q619" i="1"/>
  <c r="Q15" i="1"/>
  <c r="Q158" i="1"/>
  <c r="Q166" i="1"/>
  <c r="V645" i="1"/>
  <c r="W645" i="1" s="1"/>
  <c r="Q460" i="1"/>
  <c r="Q2136" i="1"/>
  <c r="V2136" i="1"/>
  <c r="W2136" i="1" s="1"/>
  <c r="V2155" i="1"/>
  <c r="W2155" i="1" s="1"/>
  <c r="V2157" i="1"/>
  <c r="W2157" i="1" s="1"/>
  <c r="V2167" i="1"/>
  <c r="W2167" i="1" s="1"/>
  <c r="V2171" i="1"/>
  <c r="W2171" i="1" s="1"/>
  <c r="Q2381" i="1"/>
  <c r="Q160" i="1"/>
  <c r="Q27" i="1"/>
  <c r="V547" i="1"/>
  <c r="W547" i="1" s="1"/>
  <c r="Q1313" i="1"/>
  <c r="Q1321" i="1"/>
  <c r="Q31" i="1"/>
  <c r="Q1514" i="1"/>
  <c r="Q103" i="1"/>
  <c r="V156" i="1"/>
  <c r="W156" i="1" s="1"/>
  <c r="V172" i="1"/>
  <c r="W172" i="1" s="1"/>
  <c r="V192" i="1"/>
  <c r="W192" i="1" s="1"/>
  <c r="Q6" i="1"/>
  <c r="Q109" i="1"/>
  <c r="Q111" i="1"/>
  <c r="Q129" i="1"/>
  <c r="Q147" i="1"/>
  <c r="Q151" i="1"/>
  <c r="V434" i="1"/>
  <c r="W434" i="1" s="1"/>
  <c r="Q500" i="1"/>
  <c r="Q1587" i="1"/>
  <c r="Q1589" i="1"/>
  <c r="Q1591" i="1"/>
  <c r="Q241" i="1"/>
  <c r="Q154" i="1"/>
  <c r="Q174" i="1"/>
  <c r="Q1903" i="1"/>
  <c r="V1903" i="1"/>
  <c r="W1903" i="1" s="1"/>
  <c r="V47" i="1"/>
  <c r="W47" i="1" s="1"/>
  <c r="Q47" i="1"/>
  <c r="V509" i="1"/>
  <c r="W509" i="1" s="1"/>
  <c r="Q105" i="1"/>
  <c r="V428" i="1"/>
  <c r="W428" i="1" s="1"/>
  <c r="Q858" i="1"/>
  <c r="Q623" i="1"/>
  <c r="Q613" i="1"/>
  <c r="Q162" i="1"/>
  <c r="Q23" i="1"/>
  <c r="Q1317" i="1"/>
  <c r="V15" i="1"/>
  <c r="W15" i="1" s="1"/>
  <c r="Q243" i="1"/>
  <c r="Q557" i="1"/>
  <c r="Q615" i="1"/>
  <c r="Q11" i="1"/>
  <c r="Q156" i="1"/>
  <c r="Q190" i="1"/>
  <c r="Q1899" i="1"/>
  <c r="V4" i="1"/>
  <c r="W4" i="1" s="1"/>
  <c r="Q48" i="1"/>
  <c r="Q56" i="1"/>
  <c r="V151" i="1"/>
  <c r="W151" i="1" s="1"/>
  <c r="V745" i="1"/>
  <c r="W745" i="1" s="1"/>
  <c r="Q767" i="1"/>
  <c r="Q775" i="1"/>
  <c r="Q245" i="1"/>
  <c r="Q627" i="1"/>
  <c r="Q730" i="1"/>
  <c r="Q164" i="1"/>
  <c r="V229" i="1"/>
  <c r="W229" i="1" s="1"/>
  <c r="V154" i="1"/>
  <c r="W154" i="1" s="1"/>
  <c r="V48" i="1"/>
  <c r="W48" i="1" s="1"/>
  <c r="Q60" i="1"/>
  <c r="Q64" i="1"/>
  <c r="Q231" i="1"/>
  <c r="Q781" i="1"/>
  <c r="Q817" i="1"/>
  <c r="Q2430" i="1"/>
  <c r="Q312" i="1"/>
  <c r="Q476" i="1"/>
  <c r="Q492" i="1"/>
  <c r="V625" i="1"/>
  <c r="W625" i="1" s="1"/>
  <c r="Q716" i="1"/>
  <c r="Q1333" i="1"/>
  <c r="Q2030" i="1"/>
  <c r="Q2038" i="1"/>
  <c r="V2231" i="1"/>
  <c r="W2231" i="1" s="1"/>
  <c r="Q2446" i="1"/>
  <c r="Q2448" i="1"/>
  <c r="Q2450" i="1"/>
  <c r="Q2454" i="1"/>
  <c r="Q2468" i="1"/>
  <c r="V27" i="1"/>
  <c r="W27" i="1" s="1"/>
  <c r="V52" i="1"/>
  <c r="W52" i="1" s="1"/>
  <c r="Q413" i="1"/>
  <c r="Q423" i="1"/>
  <c r="Q502" i="1"/>
  <c r="Q522" i="1"/>
  <c r="Q684" i="1"/>
  <c r="Q702" i="1"/>
  <c r="Q712" i="1"/>
  <c r="V1406" i="1"/>
  <c r="W1406" i="1" s="1"/>
  <c r="Q1821" i="1"/>
  <c r="Q2385" i="1"/>
  <c r="V2432" i="1"/>
  <c r="W2432" i="1" s="1"/>
  <c r="V39" i="1"/>
  <c r="W39" i="1" s="1"/>
  <c r="V43" i="1"/>
  <c r="W43" i="1" s="1"/>
  <c r="V101" i="1"/>
  <c r="W101" i="1" s="1"/>
  <c r="V103" i="1"/>
  <c r="W103" i="1" s="1"/>
  <c r="V107" i="1"/>
  <c r="W107" i="1" s="1"/>
  <c r="V174" i="1"/>
  <c r="W174" i="1" s="1"/>
  <c r="Q212" i="1"/>
  <c r="V302" i="1"/>
  <c r="W302" i="1" s="1"/>
  <c r="V306" i="1"/>
  <c r="W306" i="1" s="1"/>
  <c r="Q342" i="1"/>
  <c r="Q429" i="1"/>
  <c r="Q508" i="1"/>
  <c r="V510" i="1"/>
  <c r="W510" i="1" s="1"/>
  <c r="Q514" i="1"/>
  <c r="V583" i="1"/>
  <c r="W583" i="1" s="1"/>
  <c r="V589" i="1"/>
  <c r="W589" i="1" s="1"/>
  <c r="V593" i="1"/>
  <c r="W593" i="1" s="1"/>
  <c r="V595" i="1"/>
  <c r="W595" i="1" s="1"/>
  <c r="V646" i="1"/>
  <c r="W646" i="1" s="1"/>
  <c r="Q652" i="1"/>
  <c r="Q656" i="1"/>
  <c r="Q660" i="1"/>
  <c r="Q668" i="1"/>
  <c r="Q670" i="1"/>
  <c r="Q672" i="1"/>
  <c r="Q674" i="1"/>
  <c r="V728" i="1"/>
  <c r="W728" i="1" s="1"/>
  <c r="V847" i="1"/>
  <c r="W847" i="1" s="1"/>
  <c r="Q1139" i="1"/>
  <c r="V1301" i="1"/>
  <c r="W1301" i="1" s="1"/>
  <c r="V1305" i="1"/>
  <c r="W1305" i="1" s="1"/>
  <c r="Q1397" i="1"/>
  <c r="Q1452" i="1"/>
  <c r="Q1456" i="1"/>
  <c r="Q1559" i="1"/>
  <c r="Q1862" i="1"/>
  <c r="Q474" i="1"/>
  <c r="Q795" i="1"/>
  <c r="V1212" i="1"/>
  <c r="W1212" i="1" s="1"/>
  <c r="V1478" i="1"/>
  <c r="W1478" i="1" s="1"/>
  <c r="Q1525" i="1"/>
  <c r="V2067" i="1"/>
  <c r="W2067" i="1" s="1"/>
  <c r="V2201" i="1"/>
  <c r="W2201" i="1" s="1"/>
  <c r="Q2442" i="1"/>
  <c r="V23" i="1"/>
  <c r="W23" i="1" s="1"/>
  <c r="V160" i="1"/>
  <c r="W160" i="1" s="1"/>
  <c r="Q196" i="1"/>
  <c r="Q704" i="1"/>
  <c r="V1402" i="1"/>
  <c r="W1402" i="1" s="1"/>
  <c r="Q18" i="1"/>
  <c r="V66" i="1"/>
  <c r="W66" i="1" s="1"/>
  <c r="V68" i="1"/>
  <c r="W68" i="1" s="1"/>
  <c r="V72" i="1"/>
  <c r="W72" i="1" s="1"/>
  <c r="V74" i="1"/>
  <c r="W74" i="1" s="1"/>
  <c r="V76" i="1"/>
  <c r="W76" i="1" s="1"/>
  <c r="V123" i="1"/>
  <c r="W123" i="1" s="1"/>
  <c r="V125" i="1"/>
  <c r="W125" i="1" s="1"/>
  <c r="V127" i="1"/>
  <c r="W127" i="1" s="1"/>
  <c r="V141" i="1"/>
  <c r="W141" i="1" s="1"/>
  <c r="V143" i="1"/>
  <c r="W143" i="1" s="1"/>
  <c r="V178" i="1"/>
  <c r="W178" i="1" s="1"/>
  <c r="V180" i="1"/>
  <c r="W180" i="1" s="1"/>
  <c r="V184" i="1"/>
  <c r="W184" i="1" s="1"/>
  <c r="V188" i="1"/>
  <c r="W188" i="1" s="1"/>
  <c r="V243" i="1"/>
  <c r="W243" i="1" s="1"/>
  <c r="V245" i="1"/>
  <c r="W245" i="1" s="1"/>
  <c r="V247" i="1"/>
  <c r="W247" i="1" s="1"/>
  <c r="V310" i="1"/>
  <c r="W310" i="1" s="1"/>
  <c r="Q445" i="1"/>
  <c r="V445" i="1"/>
  <c r="W445" i="1" s="1"/>
  <c r="V734" i="1"/>
  <c r="W734" i="1" s="1"/>
  <c r="V1801" i="1"/>
  <c r="W1801" i="1" s="1"/>
  <c r="V1805" i="1"/>
  <c r="W1805" i="1" s="1"/>
  <c r="V1807" i="1"/>
  <c r="W1807" i="1" s="1"/>
  <c r="V1809" i="1"/>
  <c r="W1809" i="1" s="1"/>
  <c r="V2377" i="1"/>
  <c r="W2377" i="1" s="1"/>
  <c r="Q310" i="1"/>
  <c r="Q466" i="1"/>
  <c r="Q490" i="1"/>
  <c r="Q538" i="1"/>
  <c r="Q738" i="1"/>
  <c r="V1356" i="1"/>
  <c r="W1356" i="1" s="1"/>
  <c r="Q198" i="1"/>
  <c r="V227" i="1"/>
  <c r="W227" i="1" s="1"/>
  <c r="V450" i="1"/>
  <c r="W450" i="1" s="1"/>
  <c r="Q686" i="1"/>
  <c r="Q710" i="1"/>
  <c r="Q1471" i="1"/>
  <c r="Q2383" i="1"/>
  <c r="Q22" i="1"/>
  <c r="Q55" i="1"/>
  <c r="V84" i="1"/>
  <c r="W84" i="1" s="1"/>
  <c r="Q167" i="1"/>
  <c r="V194" i="1"/>
  <c r="W194" i="1" s="1"/>
  <c r="V259" i="1"/>
  <c r="W259" i="1" s="1"/>
  <c r="V326" i="1"/>
  <c r="W326" i="1" s="1"/>
  <c r="V431" i="1"/>
  <c r="W431" i="1" s="1"/>
  <c r="V680" i="1"/>
  <c r="W680" i="1" s="1"/>
  <c r="V684" i="1"/>
  <c r="W684" i="1" s="1"/>
  <c r="V686" i="1"/>
  <c r="W686" i="1" s="1"/>
  <c r="V688" i="1"/>
  <c r="W688" i="1" s="1"/>
  <c r="V708" i="1"/>
  <c r="W708" i="1" s="1"/>
  <c r="V710" i="1"/>
  <c r="W710" i="1" s="1"/>
  <c r="V1076" i="1"/>
  <c r="W1076" i="1" s="1"/>
  <c r="V1078" i="1"/>
  <c r="W1078" i="1" s="1"/>
  <c r="Q1100" i="1"/>
  <c r="Q1106" i="1"/>
  <c r="V1117" i="1"/>
  <c r="W1117" i="1" s="1"/>
  <c r="V1131" i="1"/>
  <c r="W1131" i="1" s="1"/>
  <c r="V1135" i="1"/>
  <c r="W1135" i="1" s="1"/>
  <c r="V1137" i="1"/>
  <c r="W1137" i="1" s="1"/>
  <c r="V1234" i="1"/>
  <c r="W1234" i="1" s="1"/>
  <c r="Q1388" i="1"/>
  <c r="Q1403" i="1"/>
  <c r="V1610" i="1"/>
  <c r="W1610" i="1" s="1"/>
  <c r="Q1610" i="1"/>
  <c r="V1714" i="1"/>
  <c r="W1714" i="1" s="1"/>
  <c r="Q1774" i="1"/>
  <c r="V1811" i="1"/>
  <c r="W1811" i="1" s="1"/>
  <c r="Q1827" i="1"/>
  <c r="V386" i="1"/>
  <c r="W386" i="1" s="1"/>
  <c r="V392" i="1"/>
  <c r="W392" i="1" s="1"/>
  <c r="V867" i="1"/>
  <c r="W867" i="1" s="1"/>
  <c r="V877" i="1"/>
  <c r="W877" i="1" s="1"/>
  <c r="V881" i="1"/>
  <c r="W881" i="1" s="1"/>
  <c r="V1082" i="1"/>
  <c r="W1082" i="1" s="1"/>
  <c r="V1450" i="1"/>
  <c r="W1450" i="1" s="1"/>
  <c r="V1471" i="1"/>
  <c r="W1471" i="1" s="1"/>
  <c r="Q464" i="1"/>
  <c r="Q540" i="1"/>
  <c r="V1476" i="1"/>
  <c r="W1476" i="1" s="1"/>
  <c r="Q1508" i="1"/>
  <c r="Q1521" i="1"/>
  <c r="Q1535" i="1"/>
  <c r="V56" i="1"/>
  <c r="W56" i="1" s="1"/>
  <c r="V168" i="1"/>
  <c r="W168" i="1" s="1"/>
  <c r="Q694" i="1"/>
  <c r="Q706" i="1"/>
  <c r="Q1469" i="1"/>
  <c r="Q1819" i="1"/>
  <c r="V16" i="1"/>
  <c r="W16" i="1" s="1"/>
  <c r="V18" i="1"/>
  <c r="W18" i="1" s="1"/>
  <c r="Q67" i="1"/>
  <c r="Q79" i="1"/>
  <c r="V90" i="1"/>
  <c r="W90" i="1" s="1"/>
  <c r="Q114" i="1"/>
  <c r="Q116" i="1"/>
  <c r="Q118" i="1"/>
  <c r="Q128" i="1"/>
  <c r="Q134" i="1"/>
  <c r="Q136" i="1"/>
  <c r="Q142" i="1"/>
  <c r="Q150" i="1"/>
  <c r="Q177" i="1"/>
  <c r="Q185" i="1"/>
  <c r="Q187" i="1"/>
  <c r="V220" i="1"/>
  <c r="W220" i="1" s="1"/>
  <c r="V291" i="1"/>
  <c r="W291" i="1" s="1"/>
  <c r="Q315" i="1"/>
  <c r="Q317" i="1"/>
  <c r="Q321" i="1"/>
  <c r="Q323" i="1"/>
  <c r="V354" i="1"/>
  <c r="W354" i="1" s="1"/>
  <c r="V396" i="1"/>
  <c r="W396" i="1" s="1"/>
  <c r="Q402" i="1"/>
  <c r="Q406" i="1"/>
  <c r="V406" i="1"/>
  <c r="W406" i="1" s="1"/>
  <c r="Q531" i="1"/>
  <c r="Q545" i="1"/>
  <c r="V548" i="1"/>
  <c r="W548" i="1" s="1"/>
  <c r="V628" i="1"/>
  <c r="W628" i="1" s="1"/>
  <c r="V630" i="1"/>
  <c r="W630" i="1" s="1"/>
  <c r="V660" i="1"/>
  <c r="W660" i="1" s="1"/>
  <c r="V820" i="1"/>
  <c r="W820" i="1" s="1"/>
  <c r="Q869" i="1"/>
  <c r="V911" i="1"/>
  <c r="W911" i="1" s="1"/>
  <c r="Q917" i="1"/>
  <c r="V925" i="1"/>
  <c r="W925" i="1" s="1"/>
  <c r="V929" i="1"/>
  <c r="W929" i="1" s="1"/>
  <c r="Q933" i="1"/>
  <c r="V972" i="1"/>
  <c r="W972" i="1" s="1"/>
  <c r="Q1061" i="1"/>
  <c r="Q1110" i="1"/>
  <c r="Q1703" i="1"/>
  <c r="V1764" i="1"/>
  <c r="W1764" i="1" s="1"/>
  <c r="V1766" i="1"/>
  <c r="W1766" i="1" s="1"/>
  <c r="V2340" i="1"/>
  <c r="W2340" i="1" s="1"/>
  <c r="Q470" i="1"/>
  <c r="Q486" i="1"/>
  <c r="Q532" i="1"/>
  <c r="V164" i="1"/>
  <c r="W164" i="1" s="1"/>
  <c r="Q257" i="1"/>
  <c r="Q421" i="1"/>
  <c r="Q524" i="1"/>
  <c r="Q1813" i="1"/>
  <c r="V384" i="1"/>
  <c r="W384" i="1" s="1"/>
  <c r="V5" i="1"/>
  <c r="W5" i="1" s="1"/>
  <c r="V268" i="1"/>
  <c r="W268" i="1" s="1"/>
  <c r="V368" i="1"/>
  <c r="W368" i="1" s="1"/>
  <c r="V372" i="1"/>
  <c r="W372" i="1" s="1"/>
  <c r="V602" i="1"/>
  <c r="W602" i="1" s="1"/>
  <c r="V604" i="1"/>
  <c r="W604" i="1" s="1"/>
  <c r="V606" i="1"/>
  <c r="W606" i="1" s="1"/>
  <c r="V610" i="1"/>
  <c r="W610" i="1" s="1"/>
  <c r="Q753" i="1"/>
  <c r="Q757" i="1"/>
  <c r="Q844" i="1"/>
  <c r="Q846" i="1"/>
  <c r="V976" i="1"/>
  <c r="W976" i="1" s="1"/>
  <c r="V980" i="1"/>
  <c r="W980" i="1" s="1"/>
  <c r="V1043" i="1"/>
  <c r="W1043" i="1" s="1"/>
  <c r="V1045" i="1"/>
  <c r="W1045" i="1" s="1"/>
  <c r="V1049" i="1"/>
  <c r="W1049" i="1" s="1"/>
  <c r="V1384" i="1"/>
  <c r="W1384" i="1" s="1"/>
  <c r="V1642" i="1"/>
  <c r="W1642" i="1" s="1"/>
  <c r="V2147" i="1"/>
  <c r="W2147" i="1" s="1"/>
  <c r="Q2167" i="1"/>
  <c r="Q723" i="1"/>
  <c r="V730" i="1"/>
  <c r="W730" i="1" s="1"/>
  <c r="V775" i="1"/>
  <c r="W775" i="1" s="1"/>
  <c r="Q799" i="1"/>
  <c r="V846" i="1"/>
  <c r="W846" i="1" s="1"/>
  <c r="Q866" i="1"/>
  <c r="Q880" i="1"/>
  <c r="V1032" i="1"/>
  <c r="W1032" i="1" s="1"/>
  <c r="Q1036" i="1"/>
  <c r="Q1073" i="1"/>
  <c r="Q1075" i="1"/>
  <c r="V1092" i="1"/>
  <c r="W1092" i="1" s="1"/>
  <c r="Q1122" i="1"/>
  <c r="Q1124" i="1"/>
  <c r="Q1126" i="1"/>
  <c r="Q1128" i="1"/>
  <c r="Q1132" i="1"/>
  <c r="Q1134" i="1"/>
  <c r="Q1136" i="1"/>
  <c r="V1159" i="1"/>
  <c r="W1159" i="1" s="1"/>
  <c r="Q1295" i="1"/>
  <c r="V1295" i="1"/>
  <c r="W1295" i="1" s="1"/>
  <c r="V1299" i="1"/>
  <c r="W1299" i="1" s="1"/>
  <c r="V1361" i="1"/>
  <c r="W1361" i="1" s="1"/>
  <c r="Q1369" i="1"/>
  <c r="Q1373" i="1"/>
  <c r="Q1497" i="1"/>
  <c r="V1631" i="1"/>
  <c r="W1631" i="1" s="1"/>
  <c r="Q1631" i="1"/>
  <c r="Q1743" i="1"/>
  <c r="Q1745" i="1"/>
  <c r="Q1749" i="1"/>
  <c r="Q1751" i="1"/>
  <c r="Q1792" i="1"/>
  <c r="Q1798" i="1"/>
  <c r="Q1800" i="1"/>
  <c r="V1882" i="1"/>
  <c r="W1882" i="1" s="1"/>
  <c r="Q1886" i="1"/>
  <c r="Q2062" i="1"/>
  <c r="Q2064" i="1"/>
  <c r="V2195" i="1"/>
  <c r="W2195" i="1" s="1"/>
  <c r="V2338" i="1"/>
  <c r="W2338" i="1" s="1"/>
  <c r="V2436" i="1"/>
  <c r="W2436" i="1" s="1"/>
  <c r="Q261" i="1"/>
  <c r="Q265" i="1"/>
  <c r="Q267" i="1"/>
  <c r="Q269" i="1"/>
  <c r="Q271" i="1"/>
  <c r="Q316" i="1"/>
  <c r="V331" i="1"/>
  <c r="W331" i="1" s="1"/>
  <c r="V333" i="1"/>
  <c r="W333" i="1" s="1"/>
  <c r="V335" i="1"/>
  <c r="W335" i="1" s="1"/>
  <c r="Q385" i="1"/>
  <c r="Q418" i="1"/>
  <c r="V466" i="1"/>
  <c r="W466" i="1" s="1"/>
  <c r="V470" i="1"/>
  <c r="W470" i="1" s="1"/>
  <c r="V490" i="1"/>
  <c r="W490" i="1" s="1"/>
  <c r="V494" i="1"/>
  <c r="W494" i="1" s="1"/>
  <c r="V561" i="1"/>
  <c r="W561" i="1" s="1"/>
  <c r="Q673" i="1"/>
  <c r="Q683" i="1"/>
  <c r="Q689" i="1"/>
  <c r="Q693" i="1"/>
  <c r="Q695" i="1"/>
  <c r="Q711" i="1"/>
  <c r="V1000" i="1"/>
  <c r="W1000" i="1" s="1"/>
  <c r="V1006" i="1"/>
  <c r="W1006" i="1" s="1"/>
  <c r="V1014" i="1"/>
  <c r="W1014" i="1" s="1"/>
  <c r="V1020" i="1"/>
  <c r="W1020" i="1" s="1"/>
  <c r="Q1042" i="1"/>
  <c r="Q1050" i="1"/>
  <c r="Q1052" i="1"/>
  <c r="V1108" i="1"/>
  <c r="W1108" i="1" s="1"/>
  <c r="Q1187" i="1"/>
  <c r="V1309" i="1"/>
  <c r="W1309" i="1" s="1"/>
  <c r="V1317" i="1"/>
  <c r="W1317" i="1" s="1"/>
  <c r="Q1503" i="1"/>
  <c r="Q1594" i="1"/>
  <c r="V1635" i="1"/>
  <c r="W1635" i="1" s="1"/>
  <c r="Q1635" i="1"/>
  <c r="V1721" i="1"/>
  <c r="W1721" i="1" s="1"/>
  <c r="Q1759" i="1"/>
  <c r="Q1761" i="1"/>
  <c r="Q2287" i="1"/>
  <c r="Q2291" i="1"/>
  <c r="Q2299" i="1"/>
  <c r="Q2346" i="1"/>
  <c r="Q2368" i="1"/>
  <c r="Q2407" i="1"/>
  <c r="Q2415" i="1"/>
  <c r="Q2425" i="1"/>
  <c r="V343" i="1"/>
  <c r="W343" i="1" s="1"/>
  <c r="V349" i="1"/>
  <c r="W349" i="1" s="1"/>
  <c r="V500" i="1"/>
  <c r="W500" i="1" s="1"/>
  <c r="V502" i="1"/>
  <c r="W502" i="1" s="1"/>
  <c r="V506" i="1"/>
  <c r="W506" i="1" s="1"/>
  <c r="V522" i="1"/>
  <c r="W522" i="1" s="1"/>
  <c r="V534" i="1"/>
  <c r="W534" i="1" s="1"/>
  <c r="V538" i="1"/>
  <c r="W538" i="1" s="1"/>
  <c r="V565" i="1"/>
  <c r="W565" i="1" s="1"/>
  <c r="V567" i="1"/>
  <c r="W567" i="1" s="1"/>
  <c r="V569" i="1"/>
  <c r="W569" i="1" s="1"/>
  <c r="V969" i="1"/>
  <c r="W969" i="1" s="1"/>
  <c r="Q995" i="1"/>
  <c r="Q997" i="1"/>
  <c r="V1251" i="1"/>
  <c r="W1251" i="1" s="1"/>
  <c r="V1281" i="1"/>
  <c r="W1281" i="1" s="1"/>
  <c r="V1329" i="1"/>
  <c r="W1329" i="1" s="1"/>
  <c r="V1354" i="1"/>
  <c r="W1354" i="1" s="1"/>
  <c r="Q1406" i="1"/>
  <c r="Q1410" i="1"/>
  <c r="Q1414" i="1"/>
  <c r="Q1478" i="1"/>
  <c r="Q1482" i="1"/>
  <c r="V1625" i="1"/>
  <c r="W1625" i="1" s="1"/>
  <c r="V1937" i="1"/>
  <c r="W1937" i="1" s="1"/>
  <c r="Q2086" i="1"/>
  <c r="Q2143" i="1"/>
  <c r="Q2186" i="1"/>
  <c r="Q2188" i="1"/>
  <c r="V2229" i="1"/>
  <c r="W2229" i="1" s="1"/>
  <c r="Q2335" i="1"/>
  <c r="Q2374" i="1"/>
  <c r="V2381" i="1"/>
  <c r="W2381" i="1" s="1"/>
  <c r="V214" i="1"/>
  <c r="W214" i="1" s="1"/>
  <c r="V216" i="1"/>
  <c r="W216" i="1" s="1"/>
  <c r="V218" i="1"/>
  <c r="W218" i="1" s="1"/>
  <c r="Q232" i="1"/>
  <c r="V261" i="1"/>
  <c r="W261" i="1" s="1"/>
  <c r="V322" i="1"/>
  <c r="W322" i="1" s="1"/>
  <c r="Q330" i="1"/>
  <c r="V336" i="1"/>
  <c r="W336" i="1" s="1"/>
  <c r="V365" i="1"/>
  <c r="W365" i="1" s="1"/>
  <c r="V367" i="1"/>
  <c r="W367" i="1" s="1"/>
  <c r="V369" i="1"/>
  <c r="W369" i="1" s="1"/>
  <c r="V416" i="1"/>
  <c r="W416" i="1" s="1"/>
  <c r="V418" i="1"/>
  <c r="W418" i="1" s="1"/>
  <c r="Q440" i="1"/>
  <c r="Q442" i="1"/>
  <c r="Q467" i="1"/>
  <c r="Q469" i="1"/>
  <c r="V471" i="1"/>
  <c r="W471" i="1" s="1"/>
  <c r="Q473" i="1"/>
  <c r="Q477" i="1"/>
  <c r="Q489" i="1"/>
  <c r="V491" i="1"/>
  <c r="W491" i="1" s="1"/>
  <c r="Q560" i="1"/>
  <c r="V619" i="1"/>
  <c r="W619" i="1" s="1"/>
  <c r="V727" i="1"/>
  <c r="W727" i="1" s="1"/>
  <c r="Q737" i="1"/>
  <c r="Q739" i="1"/>
  <c r="Q788" i="1"/>
  <c r="V924" i="1"/>
  <c r="W924" i="1" s="1"/>
  <c r="V928" i="1"/>
  <c r="W928" i="1" s="1"/>
  <c r="Q946" i="1"/>
  <c r="V950" i="1"/>
  <c r="W950" i="1" s="1"/>
  <c r="Q952" i="1"/>
  <c r="Q956" i="1"/>
  <c r="V960" i="1"/>
  <c r="W960" i="1" s="1"/>
  <c r="V977" i="1"/>
  <c r="W977" i="1" s="1"/>
  <c r="V979" i="1"/>
  <c r="W979" i="1" s="1"/>
  <c r="V1007" i="1"/>
  <c r="W1007" i="1" s="1"/>
  <c r="Q1013" i="1"/>
  <c r="V1019" i="1"/>
  <c r="W1019" i="1" s="1"/>
  <c r="Q1056" i="1"/>
  <c r="V1207" i="1"/>
  <c r="W1207" i="1" s="1"/>
  <c r="V1249" i="1"/>
  <c r="W1249" i="1" s="1"/>
  <c r="V1272" i="1"/>
  <c r="W1272" i="1" s="1"/>
  <c r="Q1569" i="1"/>
  <c r="Q1573" i="1"/>
  <c r="V1575" i="1"/>
  <c r="W1575" i="1" s="1"/>
  <c r="V1590" i="1"/>
  <c r="W1590" i="1" s="1"/>
  <c r="Q1718" i="1"/>
  <c r="V1800" i="1"/>
  <c r="W1800" i="1" s="1"/>
  <c r="Q1871" i="1"/>
  <c r="Q1922" i="1"/>
  <c r="Q1928" i="1"/>
  <c r="Q2206" i="1"/>
  <c r="Q2210" i="1"/>
  <c r="Q2212" i="1"/>
  <c r="Q2218" i="1"/>
  <c r="Q2222" i="1"/>
  <c r="Q2224" i="1"/>
  <c r="Q2226" i="1"/>
  <c r="V2301" i="1"/>
  <c r="W2301" i="1" s="1"/>
  <c r="V2325" i="1"/>
  <c r="W2325" i="1" s="1"/>
  <c r="V2327" i="1"/>
  <c r="W2327" i="1" s="1"/>
  <c r="Q152" i="1"/>
  <c r="V163" i="1"/>
  <c r="W163" i="1" s="1"/>
  <c r="V165" i="1"/>
  <c r="W165" i="1" s="1"/>
  <c r="Q195" i="1"/>
  <c r="Q201" i="1"/>
  <c r="Q211" i="1"/>
  <c r="Q250" i="1"/>
  <c r="V277" i="1"/>
  <c r="W277" i="1" s="1"/>
  <c r="V279" i="1"/>
  <c r="W279" i="1" s="1"/>
  <c r="Q297" i="1"/>
  <c r="Q305" i="1"/>
  <c r="V344" i="1"/>
  <c r="W344" i="1" s="1"/>
  <c r="V348" i="1"/>
  <c r="W348" i="1" s="1"/>
  <c r="V383" i="1"/>
  <c r="W383" i="1" s="1"/>
  <c r="V385" i="1"/>
  <c r="W385" i="1" s="1"/>
  <c r="V387" i="1"/>
  <c r="W387" i="1" s="1"/>
  <c r="V391" i="1"/>
  <c r="W391" i="1" s="1"/>
  <c r="V422" i="1"/>
  <c r="W422" i="1" s="1"/>
  <c r="V424" i="1"/>
  <c r="W424" i="1" s="1"/>
  <c r="V457" i="1"/>
  <c r="W457" i="1" s="1"/>
  <c r="V501" i="1"/>
  <c r="W501" i="1" s="1"/>
  <c r="Q513" i="1"/>
  <c r="Q517" i="1"/>
  <c r="Q519" i="1"/>
  <c r="Q521" i="1"/>
  <c r="Q525" i="1"/>
  <c r="Q527" i="1"/>
  <c r="V539" i="1"/>
  <c r="W539" i="1" s="1"/>
  <c r="Q541" i="1"/>
  <c r="V570" i="1"/>
  <c r="W570" i="1" s="1"/>
  <c r="Q636" i="1"/>
  <c r="V651" i="1"/>
  <c r="W651" i="1" s="1"/>
  <c r="V701" i="1"/>
  <c r="W701" i="1" s="1"/>
  <c r="V705" i="1"/>
  <c r="W705" i="1" s="1"/>
  <c r="Q792" i="1"/>
  <c r="Q794" i="1"/>
  <c r="Q798" i="1"/>
  <c r="Q877" i="1"/>
  <c r="Q893" i="1"/>
  <c r="Q901" i="1"/>
  <c r="Q907" i="1"/>
  <c r="V970" i="1"/>
  <c r="W970" i="1" s="1"/>
  <c r="Q974" i="1"/>
  <c r="V981" i="1"/>
  <c r="W981" i="1" s="1"/>
  <c r="V989" i="1"/>
  <c r="W989" i="1" s="1"/>
  <c r="Q1031" i="1"/>
  <c r="V1050" i="1"/>
  <c r="W1050" i="1" s="1"/>
  <c r="Q1072" i="1"/>
  <c r="V1270" i="1"/>
  <c r="W1270" i="1" s="1"/>
  <c r="V1293" i="1"/>
  <c r="W1293" i="1" s="1"/>
  <c r="Q1336" i="1"/>
  <c r="V1391" i="1"/>
  <c r="W1391" i="1" s="1"/>
  <c r="Q1575" i="1"/>
  <c r="Q1577" i="1"/>
  <c r="V2076" i="1"/>
  <c r="W2076" i="1" s="1"/>
  <c r="V2080" i="1"/>
  <c r="W2080" i="1" s="1"/>
  <c r="Q2230" i="1"/>
  <c r="V2386" i="1"/>
  <c r="W2386" i="1" s="1"/>
  <c r="Q748" i="1"/>
  <c r="Q754" i="1"/>
  <c r="V779" i="1"/>
  <c r="W779" i="1" s="1"/>
  <c r="V787" i="1"/>
  <c r="W787" i="1" s="1"/>
  <c r="Q809" i="1"/>
  <c r="Q811" i="1"/>
  <c r="V850" i="1"/>
  <c r="W850" i="1" s="1"/>
  <c r="Q878" i="1"/>
  <c r="V933" i="1"/>
  <c r="W933" i="1" s="1"/>
  <c r="Q955" i="1"/>
  <c r="Q959" i="1"/>
  <c r="Q982" i="1"/>
  <c r="Q986" i="1"/>
  <c r="Q1035" i="1"/>
  <c r="Q1037" i="1"/>
  <c r="Q1039" i="1"/>
  <c r="V1067" i="1"/>
  <c r="W1067" i="1" s="1"/>
  <c r="V1073" i="1"/>
  <c r="W1073" i="1" s="1"/>
  <c r="V1075" i="1"/>
  <c r="W1075" i="1" s="1"/>
  <c r="V1093" i="1"/>
  <c r="W1093" i="1" s="1"/>
  <c r="Q1099" i="1"/>
  <c r="Q1142" i="1"/>
  <c r="V1192" i="1"/>
  <c r="W1192" i="1" s="1"/>
  <c r="V1222" i="1"/>
  <c r="W1222" i="1" s="1"/>
  <c r="V1247" i="1"/>
  <c r="W1247" i="1" s="1"/>
  <c r="V1254" i="1"/>
  <c r="W1254" i="1" s="1"/>
  <c r="V1280" i="1"/>
  <c r="W1280" i="1" s="1"/>
  <c r="Q1280" i="1"/>
  <c r="V1333" i="1"/>
  <c r="W1333" i="1" s="1"/>
  <c r="V1365" i="1"/>
  <c r="W1365" i="1" s="1"/>
  <c r="Q1377" i="1"/>
  <c r="Q1431" i="1"/>
  <c r="Q1433" i="1"/>
  <c r="Q1435" i="1"/>
  <c r="V1483" i="1"/>
  <c r="W1483" i="1" s="1"/>
  <c r="V1506" i="1"/>
  <c r="W1506" i="1" s="1"/>
  <c r="V1508" i="1"/>
  <c r="W1508" i="1" s="1"/>
  <c r="V1510" i="1"/>
  <c r="W1510" i="1" s="1"/>
  <c r="V1512" i="1"/>
  <c r="W1512" i="1" s="1"/>
  <c r="V1519" i="1"/>
  <c r="W1519" i="1" s="1"/>
  <c r="V1535" i="1"/>
  <c r="W1535" i="1" s="1"/>
  <c r="Q1561" i="1"/>
  <c r="V1591" i="1"/>
  <c r="W1591" i="1" s="1"/>
  <c r="Q1681" i="1"/>
  <c r="V1698" i="1"/>
  <c r="W1698" i="1" s="1"/>
  <c r="V1755" i="1"/>
  <c r="W1755" i="1" s="1"/>
  <c r="V1759" i="1"/>
  <c r="W1759" i="1" s="1"/>
  <c r="V1761" i="1"/>
  <c r="W1761" i="1" s="1"/>
  <c r="V1825" i="1"/>
  <c r="W1825" i="1" s="1"/>
  <c r="V1827" i="1"/>
  <c r="W1827" i="1" s="1"/>
  <c r="Q1853" i="1"/>
  <c r="V2038" i="1"/>
  <c r="W2038" i="1" s="1"/>
  <c r="V2059" i="1"/>
  <c r="W2059" i="1" s="1"/>
  <c r="V2061" i="1"/>
  <c r="W2061" i="1" s="1"/>
  <c r="Q2077" i="1"/>
  <c r="Q2079" i="1"/>
  <c r="Q2081" i="1"/>
  <c r="V2106" i="1"/>
  <c r="W2106" i="1" s="1"/>
  <c r="V2108" i="1"/>
  <c r="W2108" i="1" s="1"/>
  <c r="Q2246" i="1"/>
  <c r="Q2254" i="1"/>
  <c r="Q2337" i="1"/>
  <c r="V2383" i="1"/>
  <c r="W2383" i="1" s="1"/>
  <c r="V2385" i="1"/>
  <c r="W2385" i="1" s="1"/>
  <c r="V2389" i="1"/>
  <c r="W2389" i="1" s="1"/>
  <c r="Q764" i="1"/>
  <c r="Q768" i="1"/>
  <c r="Q770" i="1"/>
  <c r="V795" i="1"/>
  <c r="W795" i="1" s="1"/>
  <c r="Q847" i="1"/>
  <c r="Q849" i="1"/>
  <c r="V870" i="1"/>
  <c r="W870" i="1" s="1"/>
  <c r="V884" i="1"/>
  <c r="W884" i="1" s="1"/>
  <c r="V888" i="1"/>
  <c r="W888" i="1" s="1"/>
  <c r="Q890" i="1"/>
  <c r="V892" i="1"/>
  <c r="W892" i="1" s="1"/>
  <c r="V896" i="1"/>
  <c r="W896" i="1" s="1"/>
  <c r="Q898" i="1"/>
  <c r="V937" i="1"/>
  <c r="W937" i="1" s="1"/>
  <c r="Q969" i="1"/>
  <c r="Q994" i="1"/>
  <c r="V996" i="1"/>
  <c r="W996" i="1" s="1"/>
  <c r="Q1004" i="1"/>
  <c r="Q1006" i="1"/>
  <c r="V1023" i="1"/>
  <c r="W1023" i="1" s="1"/>
  <c r="V1025" i="1"/>
  <c r="W1025" i="1" s="1"/>
  <c r="Q1049" i="1"/>
  <c r="Q1064" i="1"/>
  <c r="V1085" i="1"/>
  <c r="W1085" i="1" s="1"/>
  <c r="Q1146" i="1"/>
  <c r="Q1148" i="1"/>
  <c r="Q1150" i="1"/>
  <c r="V1165" i="1"/>
  <c r="W1165" i="1" s="1"/>
  <c r="Q1183" i="1"/>
  <c r="V1194" i="1"/>
  <c r="W1194" i="1" s="1"/>
  <c r="Q1308" i="1"/>
  <c r="V1314" i="1"/>
  <c r="W1314" i="1" s="1"/>
  <c r="Q1320" i="1"/>
  <c r="Q1326" i="1"/>
  <c r="Q1441" i="1"/>
  <c r="Q1443" i="1"/>
  <c r="Q1445" i="1"/>
  <c r="Q1447" i="1"/>
  <c r="V1464" i="1"/>
  <c r="W1464" i="1" s="1"/>
  <c r="V1487" i="1"/>
  <c r="W1487" i="1" s="1"/>
  <c r="V1514" i="1"/>
  <c r="W1514" i="1" s="1"/>
  <c r="V1543" i="1"/>
  <c r="W1543" i="1" s="1"/>
  <c r="V1549" i="1"/>
  <c r="W1549" i="1" s="1"/>
  <c r="V1553" i="1"/>
  <c r="W1553" i="1" s="1"/>
  <c r="Q1689" i="1"/>
  <c r="V1706" i="1"/>
  <c r="W1706" i="1" s="1"/>
  <c r="V1708" i="1"/>
  <c r="W1708" i="1" s="1"/>
  <c r="V1710" i="1"/>
  <c r="W1710" i="1" s="1"/>
  <c r="V1712" i="1"/>
  <c r="W1712" i="1" s="1"/>
  <c r="Q1730" i="1"/>
  <c r="V1798" i="1"/>
  <c r="W1798" i="1" s="1"/>
  <c r="Q1908" i="1"/>
  <c r="Q2085" i="1"/>
  <c r="Q2087" i="1"/>
  <c r="Q2089" i="1"/>
  <c r="Q2103" i="1"/>
  <c r="V2126" i="1"/>
  <c r="W2126" i="1" s="1"/>
  <c r="V2130" i="1"/>
  <c r="W2130" i="1" s="1"/>
  <c r="Q2142" i="1"/>
  <c r="Q2146" i="1"/>
  <c r="Q2191" i="1"/>
  <c r="V2216" i="1"/>
  <c r="W2216" i="1" s="1"/>
  <c r="V2218" i="1"/>
  <c r="W2218" i="1" s="1"/>
  <c r="V2220" i="1"/>
  <c r="W2220" i="1" s="1"/>
  <c r="V2226" i="1"/>
  <c r="W2226" i="1" s="1"/>
  <c r="Q2276" i="1"/>
  <c r="V2331" i="1"/>
  <c r="W2331" i="1" s="1"/>
  <c r="V2453" i="1"/>
  <c r="W2453" i="1" s="1"/>
  <c r="Q2459" i="1"/>
  <c r="V2461" i="1"/>
  <c r="W2461" i="1" s="1"/>
  <c r="Q857" i="1"/>
  <c r="Q863" i="1"/>
  <c r="V938" i="1"/>
  <c r="W938" i="1" s="1"/>
  <c r="Q942" i="1"/>
  <c r="V975" i="1"/>
  <c r="W975" i="1" s="1"/>
  <c r="Q977" i="1"/>
  <c r="Q1024" i="1"/>
  <c r="Q1051" i="1"/>
  <c r="Q1084" i="1"/>
  <c r="V1086" i="1"/>
  <c r="W1086" i="1" s="1"/>
  <c r="V1090" i="1"/>
  <c r="W1090" i="1" s="1"/>
  <c r="Q1119" i="1"/>
  <c r="Q1121" i="1"/>
  <c r="Q1125" i="1"/>
  <c r="Q1133" i="1"/>
  <c r="Q1166" i="1"/>
  <c r="Q1340" i="1"/>
  <c r="Q1344" i="1"/>
  <c r="V1355" i="1"/>
  <c r="W1355" i="1" s="1"/>
  <c r="Q1355" i="1"/>
  <c r="Q1602" i="1"/>
  <c r="Q1604" i="1"/>
  <c r="V1683" i="1"/>
  <c r="W1683" i="1" s="1"/>
  <c r="Q1770" i="1"/>
  <c r="Q1801" i="1"/>
  <c r="Q1836" i="1"/>
  <c r="V1906" i="1"/>
  <c r="W1906" i="1" s="1"/>
  <c r="Q1938" i="1"/>
  <c r="V1991" i="1"/>
  <c r="W1991" i="1" s="1"/>
  <c r="Q2043" i="1"/>
  <c r="V2054" i="1"/>
  <c r="W2054" i="1" s="1"/>
  <c r="V2274" i="1"/>
  <c r="W2274" i="1" s="1"/>
  <c r="V1405" i="1"/>
  <c r="W1405" i="1" s="1"/>
  <c r="Q1411" i="1"/>
  <c r="Q1426" i="1"/>
  <c r="Q1434" i="1"/>
  <c r="Q1465" i="1"/>
  <c r="V1468" i="1"/>
  <c r="W1468" i="1" s="1"/>
  <c r="V1470" i="1"/>
  <c r="W1470" i="1" s="1"/>
  <c r="Q1490" i="1"/>
  <c r="Q1492" i="1"/>
  <c r="Q1505" i="1"/>
  <c r="Q1511" i="1"/>
  <c r="Q1526" i="1"/>
  <c r="Q1530" i="1"/>
  <c r="Q1574" i="1"/>
  <c r="Q1593" i="1"/>
  <c r="Q1597" i="1"/>
  <c r="Q1599" i="1"/>
  <c r="V1691" i="1"/>
  <c r="W1691" i="1" s="1"/>
  <c r="V1695" i="1"/>
  <c r="W1695" i="1" s="1"/>
  <c r="Q1742" i="1"/>
  <c r="V1744" i="1"/>
  <c r="W1744" i="1" s="1"/>
  <c r="Q1802" i="1"/>
  <c r="Q1808" i="1"/>
  <c r="Q1816" i="1"/>
  <c r="Q1839" i="1"/>
  <c r="Q1841" i="1"/>
  <c r="V1854" i="1"/>
  <c r="W1854" i="1" s="1"/>
  <c r="V1875" i="1"/>
  <c r="W1875" i="1" s="1"/>
  <c r="V1879" i="1"/>
  <c r="W1879" i="1" s="1"/>
  <c r="V1883" i="1"/>
  <c r="W1883" i="1" s="1"/>
  <c r="V1885" i="1"/>
  <c r="W1885" i="1" s="1"/>
  <c r="Q1913" i="1"/>
  <c r="Q1946" i="1"/>
  <c r="V1952" i="1"/>
  <c r="W1952" i="1" s="1"/>
  <c r="Q1964" i="1"/>
  <c r="V1968" i="1"/>
  <c r="W1968" i="1" s="1"/>
  <c r="Q1970" i="1"/>
  <c r="V2017" i="1"/>
  <c r="W2017" i="1" s="1"/>
  <c r="V2021" i="1"/>
  <c r="W2021" i="1" s="1"/>
  <c r="V2023" i="1"/>
  <c r="W2023" i="1" s="1"/>
  <c r="V2027" i="1"/>
  <c r="W2027" i="1" s="1"/>
  <c r="V2033" i="1"/>
  <c r="W2033" i="1" s="1"/>
  <c r="Q2070" i="1"/>
  <c r="Q2074" i="1"/>
  <c r="V2083" i="1"/>
  <c r="W2083" i="1" s="1"/>
  <c r="V2089" i="1"/>
  <c r="W2089" i="1" s="1"/>
  <c r="Q2117" i="1"/>
  <c r="Q2119" i="1"/>
  <c r="Q2121" i="1"/>
  <c r="Q2125" i="1"/>
  <c r="Q2170" i="1"/>
  <c r="Q2174" i="1"/>
  <c r="V2185" i="1"/>
  <c r="W2185" i="1" s="1"/>
  <c r="V2189" i="1"/>
  <c r="W2189" i="1" s="1"/>
  <c r="V2191" i="1"/>
  <c r="W2191" i="1" s="1"/>
  <c r="Q2203" i="1"/>
  <c r="Q2213" i="1"/>
  <c r="V2232" i="1"/>
  <c r="W2232" i="1" s="1"/>
  <c r="V2288" i="1"/>
  <c r="W2288" i="1" s="1"/>
  <c r="Q2302" i="1"/>
  <c r="Q2314" i="1"/>
  <c r="Q2318" i="1"/>
  <c r="Q2322" i="1"/>
  <c r="Q2343" i="1"/>
  <c r="V2366" i="1"/>
  <c r="W2366" i="1" s="1"/>
  <c r="V2448" i="1"/>
  <c r="W2448" i="1" s="1"/>
  <c r="Q1325" i="1"/>
  <c r="Q1329" i="1"/>
  <c r="V1373" i="1"/>
  <c r="W1373" i="1" s="1"/>
  <c r="V1377" i="1"/>
  <c r="W1377" i="1" s="1"/>
  <c r="V1422" i="1"/>
  <c r="W1422" i="1" s="1"/>
  <c r="Q1440" i="1"/>
  <c r="Q1446" i="1"/>
  <c r="V1457" i="1"/>
  <c r="W1457" i="1" s="1"/>
  <c r="V1459" i="1"/>
  <c r="W1459" i="1" s="1"/>
  <c r="Q1467" i="1"/>
  <c r="Q1496" i="1"/>
  <c r="V1501" i="1"/>
  <c r="W1501" i="1" s="1"/>
  <c r="Q1542" i="1"/>
  <c r="V1583" i="1"/>
  <c r="W1583" i="1" s="1"/>
  <c r="Q1721" i="1"/>
  <c r="Q1758" i="1"/>
  <c r="V1788" i="1"/>
  <c r="W1788" i="1" s="1"/>
  <c r="V1790" i="1"/>
  <c r="W1790" i="1" s="1"/>
  <c r="V1858" i="1"/>
  <c r="W1858" i="1" s="1"/>
  <c r="V1887" i="1"/>
  <c r="W1887" i="1" s="1"/>
  <c r="V1930" i="1"/>
  <c r="W1930" i="1" s="1"/>
  <c r="V1932" i="1"/>
  <c r="W1932" i="1" s="1"/>
  <c r="V2056" i="1"/>
  <c r="W2056" i="1" s="1"/>
  <c r="Q2076" i="1"/>
  <c r="V2097" i="1"/>
  <c r="W2097" i="1" s="1"/>
  <c r="V2101" i="1"/>
  <c r="W2101" i="1" s="1"/>
  <c r="V2236" i="1"/>
  <c r="W2236" i="1" s="1"/>
  <c r="V2238" i="1"/>
  <c r="W2238" i="1" s="1"/>
  <c r="V2240" i="1"/>
  <c r="W2240" i="1" s="1"/>
  <c r="V2250" i="1"/>
  <c r="W2250" i="1" s="1"/>
  <c r="V2252" i="1"/>
  <c r="W2252" i="1" s="1"/>
  <c r="V2268" i="1"/>
  <c r="W2268" i="1" s="1"/>
  <c r="V2333" i="1"/>
  <c r="W2333" i="1" s="1"/>
  <c r="V2343" i="1"/>
  <c r="W2343" i="1" s="1"/>
  <c r="V2370" i="1"/>
  <c r="W2370" i="1" s="1"/>
  <c r="V2374" i="1"/>
  <c r="W2374" i="1" s="1"/>
  <c r="Q2386" i="1"/>
  <c r="V2411" i="1"/>
  <c r="W2411" i="1" s="1"/>
  <c r="Q2463" i="1"/>
  <c r="Q2467" i="1"/>
  <c r="V2469" i="1"/>
  <c r="W2469" i="1" s="1"/>
  <c r="Q2471" i="1"/>
  <c r="V1158" i="1"/>
  <c r="W1158" i="1" s="1"/>
  <c r="V1183" i="1"/>
  <c r="W1183" i="1" s="1"/>
  <c r="Q1203" i="1"/>
  <c r="V1245" i="1"/>
  <c r="W1245" i="1" s="1"/>
  <c r="V1261" i="1"/>
  <c r="W1261" i="1" s="1"/>
  <c r="V1268" i="1"/>
  <c r="W1268" i="1" s="1"/>
  <c r="V1300" i="1"/>
  <c r="W1300" i="1" s="1"/>
  <c r="V1321" i="1"/>
  <c r="W1321" i="1" s="1"/>
  <c r="Q1343" i="1"/>
  <c r="Q1376" i="1"/>
  <c r="V1394" i="1"/>
  <c r="W1394" i="1" s="1"/>
  <c r="Q1402" i="1"/>
  <c r="V1413" i="1"/>
  <c r="W1413" i="1" s="1"/>
  <c r="Q1419" i="1"/>
  <c r="V1434" i="1"/>
  <c r="W1434" i="1" s="1"/>
  <c r="V1436" i="1"/>
  <c r="W1436" i="1" s="1"/>
  <c r="V1458" i="1"/>
  <c r="W1458" i="1" s="1"/>
  <c r="Q1473" i="1"/>
  <c r="V1524" i="1"/>
  <c r="W1524" i="1" s="1"/>
  <c r="V1526" i="1"/>
  <c r="W1526" i="1" s="1"/>
  <c r="V1530" i="1"/>
  <c r="W1530" i="1" s="1"/>
  <c r="V1532" i="1"/>
  <c r="W1532" i="1" s="1"/>
  <c r="V1534" i="1"/>
  <c r="W1534" i="1" s="1"/>
  <c r="V1536" i="1"/>
  <c r="W1536" i="1" s="1"/>
  <c r="V1572" i="1"/>
  <c r="W1572" i="1" s="1"/>
  <c r="V1574" i="1"/>
  <c r="W1574" i="1" s="1"/>
  <c r="Q1590" i="1"/>
  <c r="V1601" i="1"/>
  <c r="W1601" i="1" s="1"/>
  <c r="Q1611" i="1"/>
  <c r="V1622" i="1"/>
  <c r="W1622" i="1" s="1"/>
  <c r="Q1642" i="1"/>
  <c r="V1686" i="1"/>
  <c r="W1686" i="1" s="1"/>
  <c r="Q1704" i="1"/>
  <c r="Q1733" i="1"/>
  <c r="Q1737" i="1"/>
  <c r="V1812" i="1"/>
  <c r="W1812" i="1" s="1"/>
  <c r="V1816" i="1"/>
  <c r="W1816" i="1" s="1"/>
  <c r="V1818" i="1"/>
  <c r="W1818" i="1" s="1"/>
  <c r="V1820" i="1"/>
  <c r="W1820" i="1" s="1"/>
  <c r="Q1898" i="1"/>
  <c r="Q1902" i="1"/>
  <c r="V1911" i="1"/>
  <c r="W1911" i="1" s="1"/>
  <c r="V1913" i="1"/>
  <c r="W1913" i="1" s="1"/>
  <c r="V1919" i="1"/>
  <c r="W1919" i="1" s="1"/>
  <c r="Q1931" i="1"/>
  <c r="V1994" i="1"/>
  <c r="W1994" i="1" s="1"/>
  <c r="V1996" i="1"/>
  <c r="W1996" i="1" s="1"/>
  <c r="V2006" i="1"/>
  <c r="W2006" i="1" s="1"/>
  <c r="V2008" i="1"/>
  <c r="W2008" i="1" s="1"/>
  <c r="V2051" i="1"/>
  <c r="W2051" i="1" s="1"/>
  <c r="Q2061" i="1"/>
  <c r="Q2065" i="1"/>
  <c r="V2070" i="1"/>
  <c r="W2070" i="1" s="1"/>
  <c r="V2072" i="1"/>
  <c r="W2072" i="1" s="1"/>
  <c r="V2074" i="1"/>
  <c r="W2074" i="1" s="1"/>
  <c r="V2148" i="1"/>
  <c r="W2148" i="1" s="1"/>
  <c r="V2152" i="1"/>
  <c r="W2152" i="1" s="1"/>
  <c r="V2154" i="1"/>
  <c r="W2154" i="1" s="1"/>
  <c r="V2170" i="1"/>
  <c r="W2170" i="1" s="1"/>
  <c r="V2207" i="1"/>
  <c r="W2207" i="1" s="1"/>
  <c r="V2215" i="1"/>
  <c r="W2215" i="1" s="1"/>
  <c r="V2373" i="1"/>
  <c r="W2373" i="1" s="1"/>
  <c r="V2375" i="1"/>
  <c r="W2375" i="1" s="1"/>
  <c r="V2421" i="1"/>
  <c r="W2421" i="1" s="1"/>
  <c r="V2450" i="1"/>
  <c r="W2450" i="1" s="1"/>
  <c r="V2452" i="1"/>
  <c r="W2452" i="1" s="1"/>
  <c r="V2458" i="1"/>
  <c r="W2458" i="1" s="1"/>
  <c r="V2464" i="1"/>
  <c r="W2464" i="1" s="1"/>
  <c r="V2466" i="1"/>
  <c r="W2466" i="1" s="1"/>
  <c r="V2468" i="1"/>
  <c r="W2468" i="1" s="1"/>
  <c r="V2472" i="1"/>
  <c r="W2472" i="1" s="1"/>
  <c r="V2476" i="1"/>
  <c r="W2476" i="1" s="1"/>
  <c r="V1417" i="1"/>
  <c r="W1417" i="1" s="1"/>
  <c r="Q1425" i="1"/>
  <c r="V1438" i="1"/>
  <c r="W1438" i="1" s="1"/>
  <c r="V1440" i="1"/>
  <c r="W1440" i="1" s="1"/>
  <c r="V1442" i="1"/>
  <c r="W1442" i="1" s="1"/>
  <c r="Q1552" i="1"/>
  <c r="Q1554" i="1"/>
  <c r="Q1556" i="1"/>
  <c r="Q1558" i="1"/>
  <c r="Q1641" i="1"/>
  <c r="Q1645" i="1"/>
  <c r="Q1649" i="1"/>
  <c r="V1658" i="1"/>
  <c r="W1658" i="1" s="1"/>
  <c r="V1660" i="1"/>
  <c r="W1660" i="1" s="1"/>
  <c r="V1662" i="1"/>
  <c r="W1662" i="1" s="1"/>
  <c r="Q1674" i="1"/>
  <c r="Q1678" i="1"/>
  <c r="V1689" i="1"/>
  <c r="W1689" i="1" s="1"/>
  <c r="V1718" i="1"/>
  <c r="W1718" i="1" s="1"/>
  <c r="V1859" i="1"/>
  <c r="W1859" i="1" s="1"/>
  <c r="V1863" i="1"/>
  <c r="W1863" i="1" s="1"/>
  <c r="Q1914" i="1"/>
  <c r="Q1918" i="1"/>
  <c r="Q1920" i="1"/>
  <c r="Q1943" i="1"/>
  <c r="Q1953" i="1"/>
  <c r="Q1955" i="1"/>
  <c r="Q1963" i="1"/>
  <c r="Q1965" i="1"/>
  <c r="Q1967" i="1"/>
  <c r="Q1969" i="1"/>
  <c r="Q1975" i="1"/>
  <c r="Q1991" i="1"/>
  <c r="V2022" i="1"/>
  <c r="W2022" i="1" s="1"/>
  <c r="V2026" i="1"/>
  <c r="W2026" i="1" s="1"/>
  <c r="V2030" i="1"/>
  <c r="W2030" i="1" s="1"/>
  <c r="V2034" i="1"/>
  <c r="W2034" i="1" s="1"/>
  <c r="Q2073" i="1"/>
  <c r="V2084" i="1"/>
  <c r="W2084" i="1" s="1"/>
  <c r="V2086" i="1"/>
  <c r="W2086" i="1" s="1"/>
  <c r="V2090" i="1"/>
  <c r="W2090" i="1" s="1"/>
  <c r="Q2112" i="1"/>
  <c r="V2178" i="1"/>
  <c r="W2178" i="1" s="1"/>
  <c r="V2180" i="1"/>
  <c r="W2180" i="1" s="1"/>
  <c r="Q2200" i="1"/>
  <c r="V2227" i="1"/>
  <c r="W2227" i="1" s="1"/>
  <c r="Q2241" i="1"/>
  <c r="Q2251" i="1"/>
  <c r="Q2255" i="1"/>
  <c r="V2261" i="1"/>
  <c r="W2261" i="1" s="1"/>
  <c r="Q2271" i="1"/>
  <c r="V2273" i="1"/>
  <c r="W2273" i="1" s="1"/>
  <c r="Q2277" i="1"/>
  <c r="Q2279" i="1"/>
  <c r="V2294" i="1"/>
  <c r="W2294" i="1" s="1"/>
  <c r="V2296" i="1"/>
  <c r="W2296" i="1" s="1"/>
  <c r="V2300" i="1"/>
  <c r="W2300" i="1" s="1"/>
  <c r="V2304" i="1"/>
  <c r="W2304" i="1" s="1"/>
  <c r="V2308" i="1"/>
  <c r="W2308" i="1" s="1"/>
  <c r="V2310" i="1"/>
  <c r="W2310" i="1" s="1"/>
  <c r="V2351" i="1"/>
  <c r="W2351" i="1" s="1"/>
  <c r="Q2355" i="1"/>
  <c r="Q2359" i="1"/>
  <c r="V2361" i="1"/>
  <c r="W2361" i="1" s="1"/>
  <c r="V2365" i="1"/>
  <c r="W2365" i="1" s="1"/>
  <c r="Q2367" i="1"/>
  <c r="V2369" i="1"/>
  <c r="W2369" i="1" s="1"/>
  <c r="Q2375" i="1"/>
  <c r="Q2414" i="1"/>
  <c r="Q1147" i="1"/>
  <c r="V1147" i="1"/>
  <c r="W1147" i="1" s="1"/>
  <c r="Q89" i="1"/>
  <c r="Q178" i="1"/>
  <c r="Q182" i="1"/>
  <c r="Q226" i="1"/>
  <c r="Q424" i="1"/>
  <c r="Q487" i="1"/>
  <c r="V1223" i="1"/>
  <c r="W1223" i="1" s="1"/>
  <c r="Q1223" i="1"/>
  <c r="Q140" i="1"/>
  <c r="Q215" i="1"/>
  <c r="Q91" i="1"/>
  <c r="Q104" i="1"/>
  <c r="V104" i="1"/>
  <c r="W104" i="1" s="1"/>
  <c r="Q180" i="1"/>
  <c r="Q184" i="1"/>
  <c r="Q293" i="1"/>
  <c r="Q422" i="1"/>
  <c r="V485" i="1"/>
  <c r="W485" i="1" s="1"/>
  <c r="Q778" i="1"/>
  <c r="V29" i="1"/>
  <c r="W29" i="1" s="1"/>
  <c r="V83" i="1"/>
  <c r="W83" i="1" s="1"/>
  <c r="V85" i="1"/>
  <c r="W85" i="1" s="1"/>
  <c r="V87" i="1"/>
  <c r="W87" i="1" s="1"/>
  <c r="V98" i="1"/>
  <c r="W98" i="1" s="1"/>
  <c r="V100" i="1"/>
  <c r="W100" i="1" s="1"/>
  <c r="V147" i="1"/>
  <c r="W147" i="1" s="1"/>
  <c r="V149" i="1"/>
  <c r="W149" i="1" s="1"/>
  <c r="Q153" i="1"/>
  <c r="Q253" i="1"/>
  <c r="V283" i="1"/>
  <c r="W283" i="1" s="1"/>
  <c r="V312" i="1"/>
  <c r="W312" i="1" s="1"/>
  <c r="Q325" i="1"/>
  <c r="Q327" i="1"/>
  <c r="Q344" i="1"/>
  <c r="Q346" i="1"/>
  <c r="V401" i="1"/>
  <c r="W401" i="1" s="1"/>
  <c r="Q401" i="1"/>
  <c r="V412" i="1"/>
  <c r="W412" i="1" s="1"/>
  <c r="Q453" i="1"/>
  <c r="V456" i="1"/>
  <c r="W456" i="1" s="1"/>
  <c r="V571" i="1"/>
  <c r="W571" i="1" s="1"/>
  <c r="V586" i="1"/>
  <c r="W586" i="1" s="1"/>
  <c r="V590" i="1"/>
  <c r="W590" i="1" s="1"/>
  <c r="Q621" i="1"/>
  <c r="Q676" i="1"/>
  <c r="V699" i="1"/>
  <c r="W699" i="1" s="1"/>
  <c r="V751" i="1"/>
  <c r="W751" i="1" s="1"/>
  <c r="V1762" i="1"/>
  <c r="W1762" i="1" s="1"/>
  <c r="Q1762" i="1"/>
  <c r="Q138" i="1"/>
  <c r="Q169" i="1"/>
  <c r="Q386" i="1"/>
  <c r="Q417" i="1"/>
  <c r="Q240" i="1"/>
  <c r="Q562" i="1"/>
  <c r="Q724" i="1"/>
  <c r="Q832" i="1"/>
  <c r="Q629" i="1"/>
  <c r="Q690" i="1"/>
  <c r="Q960" i="1"/>
  <c r="Q2456" i="1"/>
  <c r="V2456" i="1"/>
  <c r="W2456" i="1" s="1"/>
  <c r="Q341" i="1"/>
  <c r="Q309" i="1"/>
  <c r="V309" i="1"/>
  <c r="W309" i="1" s="1"/>
  <c r="Q726" i="1"/>
  <c r="V904" i="1"/>
  <c r="W904" i="1" s="1"/>
  <c r="Q904" i="1"/>
  <c r="V1217" i="1"/>
  <c r="W1217" i="1" s="1"/>
  <c r="Q1217" i="1"/>
  <c r="Q26" i="1"/>
  <c r="V140" i="1"/>
  <c r="W140" i="1" s="1"/>
  <c r="Q663" i="1"/>
  <c r="V692" i="1"/>
  <c r="W692" i="1" s="1"/>
  <c r="Q920" i="1"/>
  <c r="Q1292" i="1"/>
  <c r="Q124" i="1"/>
  <c r="V198" i="1"/>
  <c r="W198" i="1" s="1"/>
  <c r="V263" i="1"/>
  <c r="W263" i="1" s="1"/>
  <c r="V265" i="1"/>
  <c r="W265" i="1" s="1"/>
  <c r="Q273" i="1"/>
  <c r="V273" i="1"/>
  <c r="W273" i="1" s="1"/>
  <c r="V280" i="1"/>
  <c r="W280" i="1" s="1"/>
  <c r="V305" i="1"/>
  <c r="W305" i="1" s="1"/>
  <c r="V339" i="1"/>
  <c r="W339" i="1" s="1"/>
  <c r="Q360" i="1"/>
  <c r="Q362" i="1"/>
  <c r="V413" i="1"/>
  <c r="W413" i="1" s="1"/>
  <c r="V417" i="1"/>
  <c r="W417" i="1" s="1"/>
  <c r="Q605" i="1"/>
  <c r="V614" i="1"/>
  <c r="W614" i="1" s="1"/>
  <c r="Q681" i="1"/>
  <c r="Q836" i="1"/>
  <c r="Q838" i="1"/>
  <c r="V906" i="1"/>
  <c r="W906" i="1" s="1"/>
  <c r="V993" i="1"/>
  <c r="W993" i="1" s="1"/>
  <c r="Q1027" i="1"/>
  <c r="V1393" i="1"/>
  <c r="W1393" i="1" s="1"/>
  <c r="Q1393" i="1"/>
  <c r="V1682" i="1"/>
  <c r="W1682" i="1" s="1"/>
  <c r="Q1682" i="1"/>
  <c r="Q1707" i="1"/>
  <c r="Q1221" i="1"/>
  <c r="V1221" i="1"/>
  <c r="W1221" i="1" s="1"/>
  <c r="Q2419" i="1"/>
  <c r="V2419" i="1"/>
  <c r="W2419" i="1" s="1"/>
  <c r="Q171" i="1"/>
  <c r="Q390" i="1"/>
  <c r="V390" i="1"/>
  <c r="W390" i="1" s="1"/>
  <c r="Q455" i="1"/>
  <c r="Q692" i="1"/>
  <c r="Q870" i="1"/>
  <c r="Q964" i="1"/>
  <c r="V1339" i="1"/>
  <c r="W1339" i="1" s="1"/>
  <c r="Q1339" i="1"/>
  <c r="V1722" i="1"/>
  <c r="W1722" i="1" s="1"/>
  <c r="Q1722" i="1"/>
  <c r="Q144" i="1"/>
  <c r="Q175" i="1"/>
  <c r="V175" i="1"/>
  <c r="W175" i="1" s="1"/>
  <c r="Q280" i="1"/>
  <c r="Q371" i="1"/>
  <c r="Q526" i="1"/>
  <c r="Q696" i="1"/>
  <c r="Q733" i="1"/>
  <c r="V314" i="1"/>
  <c r="W314" i="1" s="1"/>
  <c r="Q601" i="1"/>
  <c r="Q667" i="1"/>
  <c r="V31" i="1"/>
  <c r="W31" i="1" s="1"/>
  <c r="V138" i="1"/>
  <c r="W138" i="1" s="1"/>
  <c r="V171" i="1"/>
  <c r="W171" i="1" s="1"/>
  <c r="Q191" i="1"/>
  <c r="V196" i="1"/>
  <c r="W196" i="1" s="1"/>
  <c r="Q206" i="1"/>
  <c r="Q244" i="1"/>
  <c r="V316" i="1"/>
  <c r="W316" i="1" s="1"/>
  <c r="V320" i="1"/>
  <c r="W320" i="1" s="1"/>
  <c r="Q446" i="1"/>
  <c r="V446" i="1"/>
  <c r="W446" i="1" s="1"/>
  <c r="Q478" i="1"/>
  <c r="Q484" i="1"/>
  <c r="V577" i="1"/>
  <c r="W577" i="1" s="1"/>
  <c r="Q957" i="1"/>
  <c r="Q1094" i="1"/>
  <c r="Q1204" i="1"/>
  <c r="V1294" i="1"/>
  <c r="W1294" i="1" s="1"/>
  <c r="Q1294" i="1"/>
  <c r="V13" i="1"/>
  <c r="W13" i="1" s="1"/>
  <c r="Q58" i="1"/>
  <c r="Q107" i="1"/>
  <c r="Q120" i="1"/>
  <c r="Q122" i="1"/>
  <c r="Q126" i="1"/>
  <c r="V144" i="1"/>
  <c r="W144" i="1" s="1"/>
  <c r="Q229" i="1"/>
  <c r="V17" i="1"/>
  <c r="W17" i="1" s="1"/>
  <c r="Q62" i="1"/>
  <c r="V114" i="1"/>
  <c r="W114" i="1" s="1"/>
  <c r="Q193" i="1"/>
  <c r="Q258" i="1"/>
  <c r="V267" i="1"/>
  <c r="W267" i="1" s="1"/>
  <c r="Q302" i="1"/>
  <c r="Q364" i="1"/>
  <c r="Q368" i="1"/>
  <c r="V442" i="1"/>
  <c r="W442" i="1" s="1"/>
  <c r="Q504" i="1"/>
  <c r="Q506" i="1"/>
  <c r="V513" i="1"/>
  <c r="W513" i="1" s="1"/>
  <c r="V560" i="1"/>
  <c r="W560" i="1" s="1"/>
  <c r="V601" i="1"/>
  <c r="W601" i="1" s="1"/>
  <c r="V618" i="1"/>
  <c r="W618" i="1" s="1"/>
  <c r="V638" i="1"/>
  <c r="W638" i="1" s="1"/>
  <c r="V661" i="1"/>
  <c r="W661" i="1" s="1"/>
  <c r="V714" i="1"/>
  <c r="W714" i="1" s="1"/>
  <c r="V722" i="1"/>
  <c r="W722" i="1" s="1"/>
  <c r="V754" i="1"/>
  <c r="W754" i="1" s="1"/>
  <c r="V832" i="1"/>
  <c r="W832" i="1" s="1"/>
  <c r="V857" i="1"/>
  <c r="W857" i="1" s="1"/>
  <c r="Q988" i="1"/>
  <c r="Q1162" i="1"/>
  <c r="Q1164" i="1"/>
  <c r="Q1284" i="1"/>
  <c r="V1284" i="1"/>
  <c r="W1284" i="1" s="1"/>
  <c r="V1379" i="1"/>
  <c r="W1379" i="1" s="1"/>
  <c r="Q1379" i="1"/>
  <c r="V1439" i="1"/>
  <c r="W1439" i="1" s="1"/>
  <c r="Q1439" i="1"/>
  <c r="Q1449" i="1"/>
  <c r="Q80" i="1"/>
  <c r="V80" i="1"/>
  <c r="W80" i="1" s="1"/>
  <c r="V3" i="1"/>
  <c r="W3" i="1" s="1"/>
  <c r="Q35" i="1"/>
  <c r="Q39" i="1"/>
  <c r="Q698" i="1"/>
  <c r="Q771" i="1"/>
  <c r="V771" i="1"/>
  <c r="W771" i="1" s="1"/>
  <c r="Q444" i="1"/>
  <c r="Q756" i="1"/>
  <c r="V167" i="1"/>
  <c r="W167" i="1" s="1"/>
  <c r="Q242" i="1"/>
  <c r="V242" i="1"/>
  <c r="W242" i="1" s="1"/>
  <c r="Q448" i="1"/>
  <c r="Q718" i="1"/>
  <c r="V22" i="1"/>
  <c r="W22" i="1" s="1"/>
  <c r="V24" i="1"/>
  <c r="W24" i="1" s="1"/>
  <c r="Q40" i="1"/>
  <c r="Q44" i="1"/>
  <c r="V116" i="1"/>
  <c r="W116" i="1" s="1"/>
  <c r="V187" i="1"/>
  <c r="W187" i="1" s="1"/>
  <c r="V189" i="1"/>
  <c r="W189" i="1" s="1"/>
  <c r="V191" i="1"/>
  <c r="W191" i="1" s="1"/>
  <c r="V240" i="1"/>
  <c r="W240" i="1" s="1"/>
  <c r="V269" i="1"/>
  <c r="W269" i="1" s="1"/>
  <c r="V478" i="1"/>
  <c r="W478" i="1" s="1"/>
  <c r="V549" i="1"/>
  <c r="W549" i="1" s="1"/>
  <c r="V551" i="1"/>
  <c r="W551" i="1" s="1"/>
  <c r="V597" i="1"/>
  <c r="W597" i="1" s="1"/>
  <c r="V653" i="1"/>
  <c r="W653" i="1" s="1"/>
  <c r="V657" i="1"/>
  <c r="W657" i="1" s="1"/>
  <c r="V712" i="1"/>
  <c r="W712" i="1" s="1"/>
  <c r="V716" i="1"/>
  <c r="W716" i="1" s="1"/>
  <c r="Q897" i="1"/>
  <c r="Q1077" i="1"/>
  <c r="Q1081" i="1"/>
  <c r="Q320" i="1"/>
  <c r="Q202" i="1"/>
  <c r="Q472" i="1"/>
  <c r="V78" i="1"/>
  <c r="W78" i="1" s="1"/>
  <c r="Q131" i="1"/>
  <c r="Q375" i="1"/>
  <c r="Q722" i="1"/>
  <c r="Q1169" i="1"/>
  <c r="V1169" i="1"/>
  <c r="W1169" i="1" s="1"/>
  <c r="Q189" i="1"/>
  <c r="Q564" i="1"/>
  <c r="Q603" i="1"/>
  <c r="Q8" i="1"/>
  <c r="V11" i="1"/>
  <c r="W11" i="1" s="1"/>
  <c r="V54" i="1"/>
  <c r="W54" i="1" s="1"/>
  <c r="V105" i="1"/>
  <c r="W105" i="1" s="1"/>
  <c r="Q262" i="1"/>
  <c r="V262" i="1"/>
  <c r="W262" i="1" s="1"/>
  <c r="Q332" i="1"/>
  <c r="V332" i="1"/>
  <c r="W332" i="1" s="1"/>
  <c r="V360" i="1"/>
  <c r="W360" i="1" s="1"/>
  <c r="V402" i="1"/>
  <c r="W402" i="1" s="1"/>
  <c r="Q435" i="1"/>
  <c r="V435" i="1"/>
  <c r="W435" i="1" s="1"/>
  <c r="V531" i="1"/>
  <c r="W531" i="1" s="1"/>
  <c r="Q533" i="1"/>
  <c r="Q535" i="1"/>
  <c r="Q537" i="1"/>
  <c r="V679" i="1"/>
  <c r="W679" i="1" s="1"/>
  <c r="V681" i="1"/>
  <c r="W681" i="1" s="1"/>
  <c r="Q703" i="1"/>
  <c r="Q749" i="1"/>
  <c r="V749" i="1"/>
  <c r="W749" i="1" s="1"/>
  <c r="Q1151" i="1"/>
  <c r="Q780" i="1"/>
  <c r="Q1112" i="1"/>
  <c r="Q1381" i="1"/>
  <c r="Q1460" i="1"/>
  <c r="Q1462" i="1"/>
  <c r="Q2014" i="1"/>
  <c r="V44" i="1"/>
  <c r="W44" i="1" s="1"/>
  <c r="V67" i="1"/>
  <c r="W67" i="1" s="1"/>
  <c r="V69" i="1"/>
  <c r="W69" i="1" s="1"/>
  <c r="Q73" i="1"/>
  <c r="Q75" i="1"/>
  <c r="Q82" i="1"/>
  <c r="Q84" i="1"/>
  <c r="Q95" i="1"/>
  <c r="V102" i="1"/>
  <c r="W102" i="1" s="1"/>
  <c r="Q113" i="1"/>
  <c r="Q115" i="1"/>
  <c r="Q133" i="1"/>
  <c r="Q135" i="1"/>
  <c r="Q146" i="1"/>
  <c r="Q148" i="1"/>
  <c r="Q155" i="1"/>
  <c r="Q168" i="1"/>
  <c r="V173" i="1"/>
  <c r="W173" i="1" s="1"/>
  <c r="Q186" i="1"/>
  <c r="Q188" i="1"/>
  <c r="Q197" i="1"/>
  <c r="Q199" i="1"/>
  <c r="V202" i="1"/>
  <c r="W202" i="1" s="1"/>
  <c r="Q208" i="1"/>
  <c r="Q210" i="1"/>
  <c r="Q217" i="1"/>
  <c r="Q219" i="1"/>
  <c r="Q228" i="1"/>
  <c r="V231" i="1"/>
  <c r="W231" i="1" s="1"/>
  <c r="V249" i="1"/>
  <c r="W249" i="1" s="1"/>
  <c r="V260" i="1"/>
  <c r="W260" i="1" s="1"/>
  <c r="V271" i="1"/>
  <c r="W271" i="1" s="1"/>
  <c r="Q284" i="1"/>
  <c r="Q311" i="1"/>
  <c r="Q313" i="1"/>
  <c r="V323" i="1"/>
  <c r="W323" i="1" s="1"/>
  <c r="Q348" i="1"/>
  <c r="Q350" i="1"/>
  <c r="Q370" i="1"/>
  <c r="Q372" i="1"/>
  <c r="V373" i="1"/>
  <c r="W373" i="1" s="1"/>
  <c r="Q405" i="1"/>
  <c r="V410" i="1"/>
  <c r="W410" i="1" s="1"/>
  <c r="Q416" i="1"/>
  <c r="Q428" i="1"/>
  <c r="Q441" i="1"/>
  <c r="Q450" i="1"/>
  <c r="V489" i="1"/>
  <c r="W489" i="1" s="1"/>
  <c r="Q503" i="1"/>
  <c r="V521" i="1"/>
  <c r="W521" i="1" s="1"/>
  <c r="Q523" i="1"/>
  <c r="V537" i="1"/>
  <c r="W537" i="1" s="1"/>
  <c r="Q548" i="1"/>
  <c r="Q561" i="1"/>
  <c r="V564" i="1"/>
  <c r="W564" i="1" s="1"/>
  <c r="Q585" i="1"/>
  <c r="Q589" i="1"/>
  <c r="Q596" i="1"/>
  <c r="V603" i="1"/>
  <c r="W603" i="1" s="1"/>
  <c r="Q624" i="1"/>
  <c r="V627" i="1"/>
  <c r="W627" i="1" s="1"/>
  <c r="Q639" i="1"/>
  <c r="V644" i="1"/>
  <c r="W644" i="1" s="1"/>
  <c r="Q654" i="1"/>
  <c r="Q671" i="1"/>
  <c r="Q678" i="1"/>
  <c r="Q680" i="1"/>
  <c r="V683" i="1"/>
  <c r="W683" i="1" s="1"/>
  <c r="Q691" i="1"/>
  <c r="Q700" i="1"/>
  <c r="Q715" i="1"/>
  <c r="Q742" i="1"/>
  <c r="V747" i="1"/>
  <c r="W747" i="1" s="1"/>
  <c r="Q766" i="1"/>
  <c r="Q829" i="1"/>
  <c r="Q861" i="1"/>
  <c r="V861" i="1"/>
  <c r="W861" i="1" s="1"/>
  <c r="Q865" i="1"/>
  <c r="Q884" i="1"/>
  <c r="V891" i="1"/>
  <c r="W891" i="1" s="1"/>
  <c r="V986" i="1"/>
  <c r="W986" i="1" s="1"/>
  <c r="Q992" i="1"/>
  <c r="V992" i="1"/>
  <c r="W992" i="1" s="1"/>
  <c r="V1016" i="1"/>
  <c r="W1016" i="1" s="1"/>
  <c r="Q1102" i="1"/>
  <c r="V1104" i="1"/>
  <c r="W1104" i="1" s="1"/>
  <c r="Q1104" i="1"/>
  <c r="V1107" i="1"/>
  <c r="W1107" i="1" s="1"/>
  <c r="V1198" i="1"/>
  <c r="W1198" i="1" s="1"/>
  <c r="V1210" i="1"/>
  <c r="W1210" i="1" s="1"/>
  <c r="Q1334" i="1"/>
  <c r="Q1341" i="1"/>
  <c r="Q1550" i="1"/>
  <c r="Q1566" i="1"/>
  <c r="V1680" i="1"/>
  <c r="W1680" i="1" s="1"/>
  <c r="Q2330" i="1"/>
  <c r="Q21" i="1"/>
  <c r="V46" i="1"/>
  <c r="W46" i="1" s="1"/>
  <c r="V298" i="1"/>
  <c r="W298" i="1" s="1"/>
  <c r="V460" i="1"/>
  <c r="W460" i="1" s="1"/>
  <c r="V467" i="1"/>
  <c r="W467" i="1" s="1"/>
  <c r="V546" i="1"/>
  <c r="W546" i="1" s="1"/>
  <c r="V557" i="1"/>
  <c r="W557" i="1" s="1"/>
  <c r="V566" i="1"/>
  <c r="W566" i="1" s="1"/>
  <c r="V592" i="1"/>
  <c r="W592" i="1" s="1"/>
  <c r="V605" i="1"/>
  <c r="W605" i="1" s="1"/>
  <c r="V616" i="1"/>
  <c r="W616" i="1" s="1"/>
  <c r="V633" i="1"/>
  <c r="W633" i="1" s="1"/>
  <c r="V648" i="1"/>
  <c r="W648" i="1" s="1"/>
  <c r="V667" i="1"/>
  <c r="W667" i="1" s="1"/>
  <c r="V674" i="1"/>
  <c r="W674" i="1" s="1"/>
  <c r="V696" i="1"/>
  <c r="W696" i="1" s="1"/>
  <c r="V784" i="1"/>
  <c r="W784" i="1" s="1"/>
  <c r="V786" i="1"/>
  <c r="W786" i="1" s="1"/>
  <c r="V836" i="1"/>
  <c r="W836" i="1" s="1"/>
  <c r="V855" i="1"/>
  <c r="W855" i="1" s="1"/>
  <c r="Q886" i="1"/>
  <c r="V886" i="1"/>
  <c r="W886" i="1" s="1"/>
  <c r="V893" i="1"/>
  <c r="W893" i="1" s="1"/>
  <c r="V1081" i="1"/>
  <c r="W1081" i="1" s="1"/>
  <c r="V1149" i="1"/>
  <c r="W1149" i="1" s="1"/>
  <c r="V1202" i="1"/>
  <c r="W1202" i="1" s="1"/>
  <c r="V1345" i="1"/>
  <c r="W1345" i="1" s="1"/>
  <c r="Q1345" i="1"/>
  <c r="V1443" i="1"/>
  <c r="W1443" i="1" s="1"/>
  <c r="V1447" i="1"/>
  <c r="W1447" i="1" s="1"/>
  <c r="Q1596" i="1"/>
  <c r="Q357" i="1"/>
  <c r="V393" i="1"/>
  <c r="W393" i="1" s="1"/>
  <c r="Q419" i="1"/>
  <c r="Q480" i="1"/>
  <c r="Q1053" i="1"/>
  <c r="Q1206" i="1"/>
  <c r="V51" i="1"/>
  <c r="W51" i="1" s="1"/>
  <c r="V109" i="1"/>
  <c r="W109" i="1" s="1"/>
  <c r="V129" i="1"/>
  <c r="W129" i="1" s="1"/>
  <c r="V289" i="1"/>
  <c r="W289" i="1" s="1"/>
  <c r="Q5" i="1"/>
  <c r="V8" i="1"/>
  <c r="W8" i="1" s="1"/>
  <c r="Q30" i="1"/>
  <c r="V41" i="1"/>
  <c r="W41" i="1" s="1"/>
  <c r="V60" i="1"/>
  <c r="W60" i="1" s="1"/>
  <c r="Q66" i="1"/>
  <c r="Q68" i="1"/>
  <c r="V71" i="1"/>
  <c r="W71" i="1" s="1"/>
  <c r="Q86" i="1"/>
  <c r="Q88" i="1"/>
  <c r="V93" i="1"/>
  <c r="W93" i="1" s="1"/>
  <c r="Q97" i="1"/>
  <c r="Q99" i="1"/>
  <c r="Q106" i="1"/>
  <c r="Q108" i="1"/>
  <c r="Q119" i="1"/>
  <c r="V126" i="1"/>
  <c r="W126" i="1" s="1"/>
  <c r="Q137" i="1"/>
  <c r="Q139" i="1"/>
  <c r="Q157" i="1"/>
  <c r="Q159" i="1"/>
  <c r="Q170" i="1"/>
  <c r="Q172" i="1"/>
  <c r="Q179" i="1"/>
  <c r="Q192" i="1"/>
  <c r="V204" i="1"/>
  <c r="W204" i="1" s="1"/>
  <c r="V224" i="1"/>
  <c r="W224" i="1" s="1"/>
  <c r="V226" i="1"/>
  <c r="W226" i="1" s="1"/>
  <c r="Q230" i="1"/>
  <c r="V235" i="1"/>
  <c r="W235" i="1" s="1"/>
  <c r="V244" i="1"/>
  <c r="W244" i="1" s="1"/>
  <c r="V253" i="1"/>
  <c r="W253" i="1" s="1"/>
  <c r="Q324" i="1"/>
  <c r="V325" i="1"/>
  <c r="W325" i="1" s="1"/>
  <c r="V327" i="1"/>
  <c r="W327" i="1" s="1"/>
  <c r="V341" i="1"/>
  <c r="W341" i="1" s="1"/>
  <c r="V357" i="1"/>
  <c r="W357" i="1" s="1"/>
  <c r="Q394" i="1"/>
  <c r="Q398" i="1"/>
  <c r="V419" i="1"/>
  <c r="W419" i="1" s="1"/>
  <c r="V437" i="1"/>
  <c r="W437" i="1" s="1"/>
  <c r="Q488" i="1"/>
  <c r="V497" i="1"/>
  <c r="W497" i="1" s="1"/>
  <c r="V528" i="1"/>
  <c r="W528" i="1" s="1"/>
  <c r="Q554" i="1"/>
  <c r="Q563" i="1"/>
  <c r="V581" i="1"/>
  <c r="W581" i="1" s="1"/>
  <c r="V594" i="1"/>
  <c r="W594" i="1" s="1"/>
  <c r="Q604" i="1"/>
  <c r="V607" i="1"/>
  <c r="W607" i="1" s="1"/>
  <c r="V609" i="1"/>
  <c r="W609" i="1" s="1"/>
  <c r="V629" i="1"/>
  <c r="W629" i="1" s="1"/>
  <c r="Q643" i="1"/>
  <c r="V663" i="1"/>
  <c r="W663" i="1" s="1"/>
  <c r="V711" i="1"/>
  <c r="W711" i="1" s="1"/>
  <c r="V713" i="1"/>
  <c r="W713" i="1" s="1"/>
  <c r="V726" i="1"/>
  <c r="W726" i="1" s="1"/>
  <c r="V740" i="1"/>
  <c r="W740" i="1" s="1"/>
  <c r="V760" i="1"/>
  <c r="W760" i="1" s="1"/>
  <c r="V762" i="1"/>
  <c r="W762" i="1" s="1"/>
  <c r="V781" i="1"/>
  <c r="W781" i="1" s="1"/>
  <c r="V823" i="1"/>
  <c r="W823" i="1" s="1"/>
  <c r="V859" i="1"/>
  <c r="W859" i="1" s="1"/>
  <c r="Q888" i="1"/>
  <c r="V916" i="1"/>
  <c r="W916" i="1" s="1"/>
  <c r="Q939" i="1"/>
  <c r="Q983" i="1"/>
  <c r="V1094" i="1"/>
  <c r="W1094" i="1" s="1"/>
  <c r="V1132" i="1"/>
  <c r="W1132" i="1" s="1"/>
  <c r="Q1174" i="1"/>
  <c r="Q1176" i="1"/>
  <c r="Q1191" i="1"/>
  <c r="Q462" i="1"/>
  <c r="V58" i="1"/>
  <c r="W58" i="1" s="1"/>
  <c r="V91" i="1"/>
  <c r="W91" i="1" s="1"/>
  <c r="V162" i="1"/>
  <c r="W162" i="1" s="1"/>
  <c r="V213" i="1"/>
  <c r="W213" i="1" s="1"/>
  <c r="V353" i="1"/>
  <c r="W353" i="1" s="1"/>
  <c r="V375" i="1"/>
  <c r="W375" i="1" s="1"/>
  <c r="V426" i="1"/>
  <c r="W426" i="1" s="1"/>
  <c r="Q20" i="1"/>
  <c r="Q32" i="1"/>
  <c r="Q52" i="1"/>
  <c r="V75" i="1"/>
  <c r="W75" i="1" s="1"/>
  <c r="V82" i="1"/>
  <c r="W82" i="1" s="1"/>
  <c r="V95" i="1"/>
  <c r="W95" i="1" s="1"/>
  <c r="V115" i="1"/>
  <c r="W115" i="1" s="1"/>
  <c r="V133" i="1"/>
  <c r="W133" i="1" s="1"/>
  <c r="V135" i="1"/>
  <c r="W135" i="1" s="1"/>
  <c r="V146" i="1"/>
  <c r="W146" i="1" s="1"/>
  <c r="V153" i="1"/>
  <c r="W153" i="1" s="1"/>
  <c r="V155" i="1"/>
  <c r="W155" i="1" s="1"/>
  <c r="V186" i="1"/>
  <c r="W186" i="1" s="1"/>
  <c r="V195" i="1"/>
  <c r="W195" i="1" s="1"/>
  <c r="V197" i="1"/>
  <c r="W197" i="1" s="1"/>
  <c r="V206" i="1"/>
  <c r="W206" i="1" s="1"/>
  <c r="V208" i="1"/>
  <c r="W208" i="1" s="1"/>
  <c r="V215" i="1"/>
  <c r="W215" i="1" s="1"/>
  <c r="V217" i="1"/>
  <c r="W217" i="1" s="1"/>
  <c r="V228" i="1"/>
  <c r="W228" i="1" s="1"/>
  <c r="V255" i="1"/>
  <c r="W255" i="1" s="1"/>
  <c r="V264" i="1"/>
  <c r="W264" i="1" s="1"/>
  <c r="V266" i="1"/>
  <c r="W266" i="1" s="1"/>
  <c r="V288" i="1"/>
  <c r="W288" i="1" s="1"/>
  <c r="V308" i="1"/>
  <c r="W308" i="1" s="1"/>
  <c r="V352" i="1"/>
  <c r="W352" i="1" s="1"/>
  <c r="V379" i="1"/>
  <c r="W379" i="1" s="1"/>
  <c r="V403" i="1"/>
  <c r="W403" i="1" s="1"/>
  <c r="V405" i="1"/>
  <c r="W405" i="1" s="1"/>
  <c r="V484" i="1"/>
  <c r="W484" i="1" s="1"/>
  <c r="V516" i="1"/>
  <c r="W516" i="1" s="1"/>
  <c r="V530" i="1"/>
  <c r="W530" i="1" s="1"/>
  <c r="V591" i="1"/>
  <c r="W591" i="1" s="1"/>
  <c r="V598" i="1"/>
  <c r="W598" i="1" s="1"/>
  <c r="V624" i="1"/>
  <c r="W624" i="1" s="1"/>
  <c r="V639" i="1"/>
  <c r="W639" i="1" s="1"/>
  <c r="V654" i="1"/>
  <c r="W654" i="1" s="1"/>
  <c r="V698" i="1"/>
  <c r="W698" i="1" s="1"/>
  <c r="V700" i="1"/>
  <c r="W700" i="1" s="1"/>
  <c r="V715" i="1"/>
  <c r="W715" i="1" s="1"/>
  <c r="V742" i="1"/>
  <c r="W742" i="1" s="1"/>
  <c r="V792" i="1"/>
  <c r="W792" i="1" s="1"/>
  <c r="V794" i="1"/>
  <c r="W794" i="1" s="1"/>
  <c r="Q852" i="1"/>
  <c r="V852" i="1"/>
  <c r="W852" i="1" s="1"/>
  <c r="V901" i="1"/>
  <c r="W901" i="1" s="1"/>
  <c r="Q909" i="1"/>
  <c r="V920" i="1"/>
  <c r="W920" i="1" s="1"/>
  <c r="Q930" i="1"/>
  <c r="Q985" i="1"/>
  <c r="Q998" i="1"/>
  <c r="Q1000" i="1"/>
  <c r="V1042" i="1"/>
  <c r="W1042" i="1" s="1"/>
  <c r="V1100" i="1"/>
  <c r="W1100" i="1" s="1"/>
  <c r="Q1195" i="1"/>
  <c r="V1195" i="1"/>
  <c r="W1195" i="1" s="1"/>
  <c r="Q1197" i="1"/>
  <c r="Q1233" i="1"/>
  <c r="V1233" i="1"/>
  <c r="W1233" i="1" s="1"/>
  <c r="Q1323" i="1"/>
  <c r="V1544" i="1"/>
  <c r="W1544" i="1" s="1"/>
  <c r="V362" i="1"/>
  <c r="W362" i="1" s="1"/>
  <c r="V474" i="1"/>
  <c r="W474" i="1" s="1"/>
  <c r="Q493" i="1"/>
  <c r="Q510" i="1"/>
  <c r="V519" i="1"/>
  <c r="W519" i="1" s="1"/>
  <c r="Q570" i="1"/>
  <c r="Q594" i="1"/>
  <c r="Q609" i="1"/>
  <c r="Q637" i="1"/>
  <c r="V703" i="1"/>
  <c r="W703" i="1" s="1"/>
  <c r="Q1096" i="1"/>
  <c r="Q1659" i="1"/>
  <c r="V1659" i="1"/>
  <c r="W1659" i="1" s="1"/>
  <c r="V1711" i="1"/>
  <c r="W1711" i="1" s="1"/>
  <c r="Q1711" i="1"/>
  <c r="V19" i="1"/>
  <c r="W19" i="1" s="1"/>
  <c r="V12" i="1"/>
  <c r="W12" i="1" s="1"/>
  <c r="V14" i="1"/>
  <c r="W14" i="1" s="1"/>
  <c r="V25" i="1"/>
  <c r="W25" i="1" s="1"/>
  <c r="V28" i="1"/>
  <c r="W28" i="1" s="1"/>
  <c r="V77" i="1"/>
  <c r="W77" i="1" s="1"/>
  <c r="Q90" i="1"/>
  <c r="Q92" i="1"/>
  <c r="Q110" i="1"/>
  <c r="Q112" i="1"/>
  <c r="V117" i="1"/>
  <c r="W117" i="1" s="1"/>
  <c r="Q121" i="1"/>
  <c r="Q123" i="1"/>
  <c r="Q130" i="1"/>
  <c r="Q132" i="1"/>
  <c r="Q143" i="1"/>
  <c r="V150" i="1"/>
  <c r="W150" i="1" s="1"/>
  <c r="Q161" i="1"/>
  <c r="Q163" i="1"/>
  <c r="Q181" i="1"/>
  <c r="Q183" i="1"/>
  <c r="Q194" i="1"/>
  <c r="Q214" i="1"/>
  <c r="V219" i="1"/>
  <c r="W219" i="1" s="1"/>
  <c r="V239" i="1"/>
  <c r="W239" i="1" s="1"/>
  <c r="V246" i="1"/>
  <c r="W246" i="1" s="1"/>
  <c r="Q279" i="1"/>
  <c r="V290" i="1"/>
  <c r="W290" i="1" s="1"/>
  <c r="Q301" i="1"/>
  <c r="V313" i="1"/>
  <c r="W313" i="1" s="1"/>
  <c r="Q354" i="1"/>
  <c r="Q365" i="1"/>
  <c r="Q367" i="1"/>
  <c r="V370" i="1"/>
  <c r="W370" i="1" s="1"/>
  <c r="Q374" i="1"/>
  <c r="Q376" i="1"/>
  <c r="Q389" i="1"/>
  <c r="V421" i="1"/>
  <c r="W421" i="1" s="1"/>
  <c r="V423" i="1"/>
  <c r="W423" i="1" s="1"/>
  <c r="Q436" i="1"/>
  <c r="V443" i="1"/>
  <c r="W443" i="1" s="1"/>
  <c r="V454" i="1"/>
  <c r="W454" i="1" s="1"/>
  <c r="V461" i="1"/>
  <c r="W461" i="1" s="1"/>
  <c r="V464" i="1"/>
  <c r="W464" i="1" s="1"/>
  <c r="V486" i="1"/>
  <c r="W486" i="1" s="1"/>
  <c r="Q509" i="1"/>
  <c r="V512" i="1"/>
  <c r="W512" i="1" s="1"/>
  <c r="V518" i="1"/>
  <c r="W518" i="1" s="1"/>
  <c r="V532" i="1"/>
  <c r="W532" i="1" s="1"/>
  <c r="V550" i="1"/>
  <c r="W550" i="1" s="1"/>
  <c r="V572" i="1"/>
  <c r="W572" i="1" s="1"/>
  <c r="V585" i="1"/>
  <c r="W585" i="1" s="1"/>
  <c r="Q591" i="1"/>
  <c r="V600" i="1"/>
  <c r="W600" i="1" s="1"/>
  <c r="V613" i="1"/>
  <c r="W613" i="1" s="1"/>
  <c r="Q617" i="1"/>
  <c r="Q632" i="1"/>
  <c r="Q666" i="1"/>
  <c r="Q675" i="1"/>
  <c r="V691" i="1"/>
  <c r="W691" i="1" s="1"/>
  <c r="V697" i="1"/>
  <c r="W697" i="1" s="1"/>
  <c r="Q708" i="1"/>
  <c r="Q725" i="1"/>
  <c r="Q732" i="1"/>
  <c r="Q750" i="1"/>
  <c r="V759" i="1"/>
  <c r="W759" i="1" s="1"/>
  <c r="V783" i="1"/>
  <c r="W783" i="1" s="1"/>
  <c r="Q787" i="1"/>
  <c r="V789" i="1"/>
  <c r="W789" i="1" s="1"/>
  <c r="Q806" i="1"/>
  <c r="Q808" i="1"/>
  <c r="Q810" i="1"/>
  <c r="Q812" i="1"/>
  <c r="Q913" i="1"/>
  <c r="V915" i="1"/>
  <c r="W915" i="1" s="1"/>
  <c r="Q915" i="1"/>
  <c r="V1009" i="1"/>
  <c r="W1009" i="1" s="1"/>
  <c r="V1024" i="1"/>
  <c r="W1024" i="1" s="1"/>
  <c r="Q1127" i="1"/>
  <c r="Q1131" i="1"/>
  <c r="V1167" i="1"/>
  <c r="W1167" i="1" s="1"/>
  <c r="V1546" i="1"/>
  <c r="W1546" i="1" s="1"/>
  <c r="V1548" i="1"/>
  <c r="W1548" i="1" s="1"/>
  <c r="V1550" i="1"/>
  <c r="W1550" i="1" s="1"/>
  <c r="V2112" i="1"/>
  <c r="W2112" i="1" s="1"/>
  <c r="V2179" i="1"/>
  <c r="W2179" i="1" s="1"/>
  <c r="Q2179" i="1"/>
  <c r="Q334" i="1"/>
  <c r="Q439" i="1"/>
  <c r="V451" i="1"/>
  <c r="W451" i="1" s="1"/>
  <c r="V544" i="1"/>
  <c r="W544" i="1" s="1"/>
  <c r="V553" i="1"/>
  <c r="W553" i="1" s="1"/>
  <c r="V562" i="1"/>
  <c r="W562" i="1" s="1"/>
  <c r="V573" i="1"/>
  <c r="W573" i="1" s="1"/>
  <c r="V736" i="1"/>
  <c r="W736" i="1" s="1"/>
  <c r="V1027" i="1"/>
  <c r="W1027" i="1" s="1"/>
  <c r="V1259" i="1"/>
  <c r="W1259" i="1" s="1"/>
  <c r="Q1259" i="1"/>
  <c r="Q1709" i="1"/>
  <c r="Q10" i="1"/>
  <c r="Q14" i="1"/>
  <c r="V111" i="1"/>
  <c r="W111" i="1" s="1"/>
  <c r="V122" i="1"/>
  <c r="W122" i="1" s="1"/>
  <c r="V131" i="1"/>
  <c r="W131" i="1" s="1"/>
  <c r="V233" i="1"/>
  <c r="W233" i="1" s="1"/>
  <c r="Q4" i="1"/>
  <c r="V9" i="1"/>
  <c r="W9" i="1" s="1"/>
  <c r="Q25" i="1"/>
  <c r="Q36" i="1"/>
  <c r="V55" i="1"/>
  <c r="W55" i="1" s="1"/>
  <c r="V99" i="1"/>
  <c r="W99" i="1" s="1"/>
  <c r="V106" i="1"/>
  <c r="W106" i="1" s="1"/>
  <c r="V119" i="1"/>
  <c r="W119" i="1" s="1"/>
  <c r="Q127" i="1"/>
  <c r="V139" i="1"/>
  <c r="W139" i="1" s="1"/>
  <c r="Q145" i="1"/>
  <c r="V157" i="1"/>
  <c r="W157" i="1" s="1"/>
  <c r="V159" i="1"/>
  <c r="W159" i="1" s="1"/>
  <c r="V170" i="1"/>
  <c r="W170" i="1" s="1"/>
  <c r="Q176" i="1"/>
  <c r="V177" i="1"/>
  <c r="W177" i="1" s="1"/>
  <c r="V179" i="1"/>
  <c r="W179" i="1" s="1"/>
  <c r="Q205" i="1"/>
  <c r="Q207" i="1"/>
  <c r="Q225" i="1"/>
  <c r="V230" i="1"/>
  <c r="W230" i="1" s="1"/>
  <c r="Q236" i="1"/>
  <c r="V257" i="1"/>
  <c r="W257" i="1" s="1"/>
  <c r="Q263" i="1"/>
  <c r="Q328" i="1"/>
  <c r="Q335" i="1"/>
  <c r="Q358" i="1"/>
  <c r="V361" i="1"/>
  <c r="W361" i="1" s="1"/>
  <c r="Q369" i="1"/>
  <c r="V394" i="1"/>
  <c r="W394" i="1" s="1"/>
  <c r="Q431" i="1"/>
  <c r="Q438" i="1"/>
  <c r="Q463" i="1"/>
  <c r="Q479" i="1"/>
  <c r="Q481" i="1"/>
  <c r="Q494" i="1"/>
  <c r="Q498" i="1"/>
  <c r="V525" i="1"/>
  <c r="W525" i="1" s="1"/>
  <c r="V574" i="1"/>
  <c r="W574" i="1" s="1"/>
  <c r="Q580" i="1"/>
  <c r="Q582" i="1"/>
  <c r="Q595" i="1"/>
  <c r="Q597" i="1"/>
  <c r="Q640" i="1"/>
  <c r="Q664" i="1"/>
  <c r="Q679" i="1"/>
  <c r="Q688" i="1"/>
  <c r="Q697" i="1"/>
  <c r="Q699" i="1"/>
  <c r="V704" i="1"/>
  <c r="W704" i="1" s="1"/>
  <c r="Q734" i="1"/>
  <c r="V737" i="1"/>
  <c r="W737" i="1" s="1"/>
  <c r="Q759" i="1"/>
  <c r="Q763" i="1"/>
  <c r="V765" i="1"/>
  <c r="W765" i="1" s="1"/>
  <c r="Q822" i="1"/>
  <c r="Q843" i="1"/>
  <c r="V939" i="1"/>
  <c r="W939" i="1" s="1"/>
  <c r="Q978" i="1"/>
  <c r="V1037" i="1"/>
  <c r="W1037" i="1" s="1"/>
  <c r="Q1063" i="1"/>
  <c r="Q1065" i="1"/>
  <c r="Q1167" i="1"/>
  <c r="Q1182" i="1"/>
  <c r="Q1184" i="1"/>
  <c r="Q1304" i="1"/>
  <c r="Q1539" i="1"/>
  <c r="Q1541" i="1"/>
  <c r="Q2144" i="1"/>
  <c r="Q630" i="1"/>
  <c r="V634" i="1"/>
  <c r="W634" i="1" s="1"/>
  <c r="V641" i="1"/>
  <c r="W641" i="1" s="1"/>
  <c r="Q649" i="1"/>
  <c r="V656" i="1"/>
  <c r="W656" i="1" s="1"/>
  <c r="V669" i="1"/>
  <c r="W669" i="1" s="1"/>
  <c r="V676" i="1"/>
  <c r="W676" i="1" s="1"/>
  <c r="V687" i="1"/>
  <c r="W687" i="1" s="1"/>
  <c r="V707" i="1"/>
  <c r="W707" i="1" s="1"/>
  <c r="Q717" i="1"/>
  <c r="Q719" i="1"/>
  <c r="Q721" i="1"/>
  <c r="V724" i="1"/>
  <c r="W724" i="1" s="1"/>
  <c r="V731" i="1"/>
  <c r="W731" i="1" s="1"/>
  <c r="V753" i="1"/>
  <c r="W753" i="1" s="1"/>
  <c r="Q758" i="1"/>
  <c r="V767" i="1"/>
  <c r="W767" i="1" s="1"/>
  <c r="Q782" i="1"/>
  <c r="V791" i="1"/>
  <c r="W791" i="1" s="1"/>
  <c r="V797" i="1"/>
  <c r="W797" i="1" s="1"/>
  <c r="V806" i="1"/>
  <c r="W806" i="1" s="1"/>
  <c r="V808" i="1"/>
  <c r="W808" i="1" s="1"/>
  <c r="Q831" i="1"/>
  <c r="Q842" i="1"/>
  <c r="V854" i="1"/>
  <c r="W854" i="1" s="1"/>
  <c r="Q856" i="1"/>
  <c r="Q867" i="1"/>
  <c r="V873" i="1"/>
  <c r="W873" i="1" s="1"/>
  <c r="V897" i="1"/>
  <c r="W897" i="1" s="1"/>
  <c r="V899" i="1"/>
  <c r="W899" i="1" s="1"/>
  <c r="Q927" i="1"/>
  <c r="Q929" i="1"/>
  <c r="V932" i="1"/>
  <c r="W932" i="1" s="1"/>
  <c r="Q936" i="1"/>
  <c r="V941" i="1"/>
  <c r="W941" i="1" s="1"/>
  <c r="V955" i="1"/>
  <c r="W955" i="1" s="1"/>
  <c r="Q966" i="1"/>
  <c r="V988" i="1"/>
  <c r="W988" i="1" s="1"/>
  <c r="Q1034" i="1"/>
  <c r="V1061" i="1"/>
  <c r="W1061" i="1" s="1"/>
  <c r="V1072" i="1"/>
  <c r="W1072" i="1" s="1"/>
  <c r="V1084" i="1"/>
  <c r="W1084" i="1" s="1"/>
  <c r="V1088" i="1"/>
  <c r="W1088" i="1" s="1"/>
  <c r="Q1116" i="1"/>
  <c r="V1119" i="1"/>
  <c r="W1119" i="1" s="1"/>
  <c r="V1134" i="1"/>
  <c r="W1134" i="1" s="1"/>
  <c r="Q1138" i="1"/>
  <c r="Q1140" i="1"/>
  <c r="V1143" i="1"/>
  <c r="W1143" i="1" s="1"/>
  <c r="Q1186" i="1"/>
  <c r="Q1188" i="1"/>
  <c r="V1330" i="1"/>
  <c r="W1330" i="1" s="1"/>
  <c r="V1332" i="1"/>
  <c r="W1332" i="1" s="1"/>
  <c r="Q1374" i="1"/>
  <c r="V1386" i="1"/>
  <c r="W1386" i="1" s="1"/>
  <c r="V1492" i="1"/>
  <c r="W1492" i="1" s="1"/>
  <c r="V1494" i="1"/>
  <c r="W1494" i="1" s="1"/>
  <c r="Q1640" i="1"/>
  <c r="Q1646" i="1"/>
  <c r="Q1692" i="1"/>
  <c r="Q1694" i="1"/>
  <c r="Q1713" i="1"/>
  <c r="Q2016" i="1"/>
  <c r="Q2259" i="1"/>
  <c r="Q2263" i="1"/>
  <c r="V2302" i="1"/>
  <c r="W2302" i="1" s="1"/>
  <c r="V2322" i="1"/>
  <c r="W2322" i="1" s="1"/>
  <c r="V825" i="1"/>
  <c r="W825" i="1" s="1"/>
  <c r="V973" i="1"/>
  <c r="W973" i="1" s="1"/>
  <c r="V978" i="1"/>
  <c r="W978" i="1" s="1"/>
  <c r="V1002" i="1"/>
  <c r="W1002" i="1" s="1"/>
  <c r="V1004" i="1"/>
  <c r="W1004" i="1" s="1"/>
  <c r="V1048" i="1"/>
  <c r="W1048" i="1" s="1"/>
  <c r="V1110" i="1"/>
  <c r="W1110" i="1" s="1"/>
  <c r="V1121" i="1"/>
  <c r="W1121" i="1" s="1"/>
  <c r="V1136" i="1"/>
  <c r="W1136" i="1" s="1"/>
  <c r="V1193" i="1"/>
  <c r="W1193" i="1" s="1"/>
  <c r="V1587" i="1"/>
  <c r="W1587" i="1" s="1"/>
  <c r="V1726" i="1"/>
  <c r="W1726" i="1" s="1"/>
  <c r="Q1891" i="1"/>
  <c r="V1891" i="1"/>
  <c r="W1891" i="1" s="1"/>
  <c r="V773" i="1"/>
  <c r="W773" i="1" s="1"/>
  <c r="V801" i="1"/>
  <c r="W801" i="1" s="1"/>
  <c r="Q803" i="1"/>
  <c r="V827" i="1"/>
  <c r="W827" i="1" s="1"/>
  <c r="V838" i="1"/>
  <c r="W838" i="1" s="1"/>
  <c r="V844" i="1"/>
  <c r="W844" i="1" s="1"/>
  <c r="Q851" i="1"/>
  <c r="Q860" i="1"/>
  <c r="V863" i="1"/>
  <c r="W863" i="1" s="1"/>
  <c r="V872" i="1"/>
  <c r="W872" i="1" s="1"/>
  <c r="V876" i="1"/>
  <c r="W876" i="1" s="1"/>
  <c r="Q894" i="1"/>
  <c r="Q900" i="1"/>
  <c r="Q908" i="1"/>
  <c r="Q922" i="1"/>
  <c r="Q931" i="1"/>
  <c r="V934" i="1"/>
  <c r="W934" i="1" s="1"/>
  <c r="Q940" i="1"/>
  <c r="V943" i="1"/>
  <c r="W943" i="1" s="1"/>
  <c r="V952" i="1"/>
  <c r="W952" i="1" s="1"/>
  <c r="V957" i="1"/>
  <c r="W957" i="1" s="1"/>
  <c r="V962" i="1"/>
  <c r="W962" i="1" s="1"/>
  <c r="Q972" i="1"/>
  <c r="Q989" i="1"/>
  <c r="V1013" i="1"/>
  <c r="W1013" i="1" s="1"/>
  <c r="V1039" i="1"/>
  <c r="W1039" i="1" s="1"/>
  <c r="Q1043" i="1"/>
  <c r="Q1045" i="1"/>
  <c r="V1055" i="1"/>
  <c r="W1055" i="1" s="1"/>
  <c r="Q1071" i="1"/>
  <c r="Q1090" i="1"/>
  <c r="V1102" i="1"/>
  <c r="W1102" i="1" s="1"/>
  <c r="V1125" i="1"/>
  <c r="W1125" i="1" s="1"/>
  <c r="V1151" i="1"/>
  <c r="W1151" i="1" s="1"/>
  <c r="Q1161" i="1"/>
  <c r="Q1269" i="1"/>
  <c r="V1269" i="1"/>
  <c r="W1269" i="1" s="1"/>
  <c r="Q1278" i="1"/>
  <c r="V1278" i="1"/>
  <c r="W1278" i="1" s="1"/>
  <c r="Q1316" i="1"/>
  <c r="V1327" i="1"/>
  <c r="W1327" i="1" s="1"/>
  <c r="Q1327" i="1"/>
  <c r="Q1421" i="1"/>
  <c r="V1426" i="1"/>
  <c r="W1426" i="1" s="1"/>
  <c r="Q1845" i="1"/>
  <c r="Q1971" i="1"/>
  <c r="V2010" i="1"/>
  <c r="W2010" i="1" s="1"/>
  <c r="V2012" i="1"/>
  <c r="W2012" i="1" s="1"/>
  <c r="Q2018" i="1"/>
  <c r="Q2129" i="1"/>
  <c r="Q2133" i="1"/>
  <c r="Q2242" i="1"/>
  <c r="V2253" i="1"/>
  <c r="W2253" i="1" s="1"/>
  <c r="Q2289" i="1"/>
  <c r="V2289" i="1"/>
  <c r="W2289" i="1" s="1"/>
  <c r="V824" i="1"/>
  <c r="W824" i="1" s="1"/>
  <c r="V829" i="1"/>
  <c r="W829" i="1" s="1"/>
  <c r="V885" i="1"/>
  <c r="W885" i="1" s="1"/>
  <c r="V900" i="1"/>
  <c r="W900" i="1" s="1"/>
  <c r="V1012" i="1"/>
  <c r="W1012" i="1" s="1"/>
  <c r="V1053" i="1"/>
  <c r="W1053" i="1" s="1"/>
  <c r="V1120" i="1"/>
  <c r="W1120" i="1" s="1"/>
  <c r="V1273" i="1"/>
  <c r="W1273" i="1" s="1"/>
  <c r="V1307" i="1"/>
  <c r="W1307" i="1" s="1"/>
  <c r="V1381" i="1"/>
  <c r="W1381" i="1" s="1"/>
  <c r="V1385" i="1"/>
  <c r="W1385" i="1" s="1"/>
  <c r="Q1385" i="1"/>
  <c r="Q1416" i="1"/>
  <c r="W1463" i="1"/>
  <c r="V1474" i="1"/>
  <c r="W1474" i="1" s="1"/>
  <c r="Q1474" i="1"/>
  <c r="V1636" i="1"/>
  <c r="W1636" i="1" s="1"/>
  <c r="V1638" i="1"/>
  <c r="W1638" i="1" s="1"/>
  <c r="Q1847" i="1"/>
  <c r="Q2215" i="1"/>
  <c r="V2255" i="1"/>
  <c r="W2255" i="1" s="1"/>
  <c r="V2263" i="1"/>
  <c r="W2263" i="1" s="1"/>
  <c r="V815" i="1"/>
  <c r="W815" i="1" s="1"/>
  <c r="Q824" i="1"/>
  <c r="Q826" i="1"/>
  <c r="V831" i="1"/>
  <c r="W831" i="1" s="1"/>
  <c r="Q839" i="1"/>
  <c r="V842" i="1"/>
  <c r="W842" i="1" s="1"/>
  <c r="Q912" i="1"/>
  <c r="Q958" i="1"/>
  <c r="Q963" i="1"/>
  <c r="V974" i="1"/>
  <c r="W974" i="1" s="1"/>
  <c r="Q979" i="1"/>
  <c r="V1003" i="1"/>
  <c r="W1003" i="1" s="1"/>
  <c r="V1008" i="1"/>
  <c r="W1008" i="1" s="1"/>
  <c r="Q1012" i="1"/>
  <c r="Q1014" i="1"/>
  <c r="Q1028" i="1"/>
  <c r="V1036" i="1"/>
  <c r="W1036" i="1" s="1"/>
  <c r="Q1101" i="1"/>
  <c r="Q1103" i="1"/>
  <c r="Q1115" i="1"/>
  <c r="Q1120" i="1"/>
  <c r="V1140" i="1"/>
  <c r="W1140" i="1" s="1"/>
  <c r="Q1152" i="1"/>
  <c r="Q1170" i="1"/>
  <c r="V1188" i="1"/>
  <c r="W1188" i="1" s="1"/>
  <c r="Q1263" i="1"/>
  <c r="V1263" i="1"/>
  <c r="W1263" i="1" s="1"/>
  <c r="Q1307" i="1"/>
  <c r="Q1348" i="1"/>
  <c r="V1374" i="1"/>
  <c r="W1374" i="1" s="1"/>
  <c r="Q1484" i="1"/>
  <c r="Q1486" i="1"/>
  <c r="Q1601" i="1"/>
  <c r="Q1815" i="1"/>
  <c r="Q1851" i="1"/>
  <c r="V799" i="1"/>
  <c r="W799" i="1" s="1"/>
  <c r="V828" i="1"/>
  <c r="W828" i="1" s="1"/>
  <c r="Q830" i="1"/>
  <c r="V837" i="1"/>
  <c r="W837" i="1" s="1"/>
  <c r="Q855" i="1"/>
  <c r="V858" i="1"/>
  <c r="W858" i="1" s="1"/>
  <c r="V874" i="1"/>
  <c r="W874" i="1" s="1"/>
  <c r="V880" i="1"/>
  <c r="W880" i="1" s="1"/>
  <c r="V883" i="1"/>
  <c r="W883" i="1" s="1"/>
  <c r="V894" i="1"/>
  <c r="W894" i="1" s="1"/>
  <c r="V908" i="1"/>
  <c r="W908" i="1" s="1"/>
  <c r="V917" i="1"/>
  <c r="W917" i="1" s="1"/>
  <c r="Q937" i="1"/>
  <c r="V940" i="1"/>
  <c r="W940" i="1" s="1"/>
  <c r="V944" i="1"/>
  <c r="W944" i="1" s="1"/>
  <c r="V963" i="1"/>
  <c r="W963" i="1" s="1"/>
  <c r="V982" i="1"/>
  <c r="W982" i="1" s="1"/>
  <c r="V999" i="1"/>
  <c r="W999" i="1" s="1"/>
  <c r="Q1016" i="1"/>
  <c r="Q1018" i="1"/>
  <c r="Q1030" i="1"/>
  <c r="V1040" i="1"/>
  <c r="W1040" i="1" s="1"/>
  <c r="Q1054" i="1"/>
  <c r="Q1087" i="1"/>
  <c r="Q1089" i="1"/>
  <c r="V1095" i="1"/>
  <c r="W1095" i="1" s="1"/>
  <c r="V1097" i="1"/>
  <c r="W1097" i="1" s="1"/>
  <c r="Q1105" i="1"/>
  <c r="V1106" i="1"/>
  <c r="W1106" i="1" s="1"/>
  <c r="V1130" i="1"/>
  <c r="W1130" i="1" s="1"/>
  <c r="V1133" i="1"/>
  <c r="W1133" i="1" s="1"/>
  <c r="V1142" i="1"/>
  <c r="W1142" i="1" s="1"/>
  <c r="Q1156" i="1"/>
  <c r="V1161" i="1"/>
  <c r="W1161" i="1" s="1"/>
  <c r="Q1196" i="1"/>
  <c r="V1228" i="1"/>
  <c r="W1228" i="1" s="1"/>
  <c r="V1316" i="1"/>
  <c r="W1316" i="1" s="1"/>
  <c r="V1318" i="1"/>
  <c r="W1318" i="1" s="1"/>
  <c r="Q1350" i="1"/>
  <c r="Q1362" i="1"/>
  <c r="V1408" i="1"/>
  <c r="W1408" i="1" s="1"/>
  <c r="V1410" i="1"/>
  <c r="W1410" i="1" s="1"/>
  <c r="Q1603" i="1"/>
  <c r="V1797" i="1"/>
  <c r="W1797" i="1" s="1"/>
  <c r="V1051" i="1"/>
  <c r="W1051" i="1" s="1"/>
  <c r="V1056" i="1"/>
  <c r="W1056" i="1" s="1"/>
  <c r="Q1067" i="1"/>
  <c r="Q1069" i="1"/>
  <c r="Q1076" i="1"/>
  <c r="V1087" i="1"/>
  <c r="W1087" i="1" s="1"/>
  <c r="Q1091" i="1"/>
  <c r="Q1098" i="1"/>
  <c r="V1113" i="1"/>
  <c r="W1113" i="1" s="1"/>
  <c r="Q1117" i="1"/>
  <c r="Q1137" i="1"/>
  <c r="V1164" i="1"/>
  <c r="W1164" i="1" s="1"/>
  <c r="Q1168" i="1"/>
  <c r="V1171" i="1"/>
  <c r="W1171" i="1" s="1"/>
  <c r="Q1177" i="1"/>
  <c r="Q1179" i="1"/>
  <c r="V1180" i="1"/>
  <c r="W1180" i="1" s="1"/>
  <c r="V1184" i="1"/>
  <c r="W1184" i="1" s="1"/>
  <c r="V1190" i="1"/>
  <c r="W1190" i="1" s="1"/>
  <c r="Q1201" i="1"/>
  <c r="V1206" i="1"/>
  <c r="W1206" i="1" s="1"/>
  <c r="V1252" i="1"/>
  <c r="W1252" i="1" s="1"/>
  <c r="V1271" i="1"/>
  <c r="W1271" i="1" s="1"/>
  <c r="V1286" i="1"/>
  <c r="W1286" i="1" s="1"/>
  <c r="V1290" i="1"/>
  <c r="W1290" i="1" s="1"/>
  <c r="Q1315" i="1"/>
  <c r="V1334" i="1"/>
  <c r="W1334" i="1" s="1"/>
  <c r="V1350" i="1"/>
  <c r="W1350" i="1" s="1"/>
  <c r="Q1354" i="1"/>
  <c r="V1360" i="1"/>
  <c r="W1360" i="1" s="1"/>
  <c r="Q1366" i="1"/>
  <c r="V1371" i="1"/>
  <c r="W1371" i="1" s="1"/>
  <c r="V1376" i="1"/>
  <c r="W1376" i="1" s="1"/>
  <c r="V1456" i="1"/>
  <c r="W1456" i="1" s="1"/>
  <c r="Q1491" i="1"/>
  <c r="Q1493" i="1"/>
  <c r="V1528" i="1"/>
  <c r="W1528" i="1" s="1"/>
  <c r="Q1534" i="1"/>
  <c r="V1552" i="1"/>
  <c r="W1552" i="1" s="1"/>
  <c r="Q1563" i="1"/>
  <c r="V1592" i="1"/>
  <c r="W1592" i="1" s="1"/>
  <c r="Q1633" i="1"/>
  <c r="V1690" i="1"/>
  <c r="W1690" i="1" s="1"/>
  <c r="Q1783" i="1"/>
  <c r="Q1785" i="1"/>
  <c r="V1815" i="1"/>
  <c r="W1815" i="1" s="1"/>
  <c r="V1847" i="1"/>
  <c r="W1847" i="1" s="1"/>
  <c r="Q1997" i="1"/>
  <c r="Q2114" i="1"/>
  <c r="V2127" i="1"/>
  <c r="W2127" i="1" s="1"/>
  <c r="Q2137" i="1"/>
  <c r="V2137" i="1"/>
  <c r="W2137" i="1" s="1"/>
  <c r="V2269" i="1"/>
  <c r="W2269" i="1" s="1"/>
  <c r="Q2408" i="1"/>
  <c r="V2408" i="1"/>
  <c r="W2408" i="1" s="1"/>
  <c r="V1211" i="1"/>
  <c r="W1211" i="1" s="1"/>
  <c r="V1215" i="1"/>
  <c r="W1215" i="1" s="1"/>
  <c r="V1235" i="1"/>
  <c r="W1235" i="1" s="1"/>
  <c r="V1274" i="1"/>
  <c r="W1274" i="1" s="1"/>
  <c r="V1315" i="1"/>
  <c r="W1315" i="1" s="1"/>
  <c r="V1325" i="1"/>
  <c r="W1325" i="1" s="1"/>
  <c r="V1347" i="1"/>
  <c r="W1347" i="1" s="1"/>
  <c r="V1362" i="1"/>
  <c r="W1362" i="1" s="1"/>
  <c r="V1369" i="1"/>
  <c r="W1369" i="1" s="1"/>
  <c r="V1460" i="1"/>
  <c r="W1460" i="1" s="1"/>
  <c r="V1475" i="1"/>
  <c r="W1475" i="1" s="1"/>
  <c r="V1480" i="1"/>
  <c r="W1480" i="1" s="1"/>
  <c r="Q1622" i="1"/>
  <c r="Q1662" i="1"/>
  <c r="V1777" i="1"/>
  <c r="W1777" i="1" s="1"/>
  <c r="V1779" i="1"/>
  <c r="W1779" i="1" s="1"/>
  <c r="V1967" i="1"/>
  <c r="W1967" i="1" s="1"/>
  <c r="V1975" i="1"/>
  <c r="W1975" i="1" s="1"/>
  <c r="Q2120" i="1"/>
  <c r="V2120" i="1"/>
  <c r="W2120" i="1" s="1"/>
  <c r="V2244" i="1"/>
  <c r="W2244" i="1" s="1"/>
  <c r="V1197" i="1"/>
  <c r="W1197" i="1" s="1"/>
  <c r="V1199" i="1"/>
  <c r="W1199" i="1" s="1"/>
  <c r="V1225" i="1"/>
  <c r="W1225" i="1" s="1"/>
  <c r="V1227" i="1"/>
  <c r="W1227" i="1" s="1"/>
  <c r="V1229" i="1"/>
  <c r="W1229" i="1" s="1"/>
  <c r="V1244" i="1"/>
  <c r="W1244" i="1" s="1"/>
  <c r="V1265" i="1"/>
  <c r="W1265" i="1" s="1"/>
  <c r="V1282" i="1"/>
  <c r="W1282" i="1" s="1"/>
  <c r="V1291" i="1"/>
  <c r="W1291" i="1" s="1"/>
  <c r="V1296" i="1"/>
  <c r="W1296" i="1" s="1"/>
  <c r="V1302" i="1"/>
  <c r="W1302" i="1" s="1"/>
  <c r="Q1310" i="1"/>
  <c r="V1320" i="1"/>
  <c r="W1320" i="1" s="1"/>
  <c r="V1357" i="1"/>
  <c r="W1357" i="1" s="1"/>
  <c r="V1359" i="1"/>
  <c r="W1359" i="1" s="1"/>
  <c r="V1375" i="1"/>
  <c r="W1375" i="1" s="1"/>
  <c r="V1388" i="1"/>
  <c r="W1388" i="1" s="1"/>
  <c r="Q1407" i="1"/>
  <c r="Q1409" i="1"/>
  <c r="V1414" i="1"/>
  <c r="W1414" i="1" s="1"/>
  <c r="Q1427" i="1"/>
  <c r="Q1429" i="1"/>
  <c r="Q1444" i="1"/>
  <c r="V1449" i="1"/>
  <c r="W1449" i="1" s="1"/>
  <c r="V1484" i="1"/>
  <c r="W1484" i="1" s="1"/>
  <c r="V1541" i="1"/>
  <c r="W1541" i="1" s="1"/>
  <c r="V1594" i="1"/>
  <c r="W1594" i="1" s="1"/>
  <c r="V1639" i="1"/>
  <c r="W1639" i="1" s="1"/>
  <c r="Q1639" i="1"/>
  <c r="V2044" i="1"/>
  <c r="W2044" i="1" s="1"/>
  <c r="Q2055" i="1"/>
  <c r="V2055" i="1"/>
  <c r="W2055" i="1" s="1"/>
  <c r="Q2105" i="1"/>
  <c r="V1313" i="1"/>
  <c r="W1313" i="1" s="1"/>
  <c r="Q1342" i="1"/>
  <c r="V1651" i="1"/>
  <c r="W1651" i="1" s="1"/>
  <c r="Q1829" i="1"/>
  <c r="Q1952" i="1"/>
  <c r="Q1956" i="1"/>
  <c r="Q1960" i="1"/>
  <c r="Q2044" i="1"/>
  <c r="Q2109" i="1"/>
  <c r="V2204" i="1"/>
  <c r="W2204" i="1" s="1"/>
  <c r="Q2387" i="1"/>
  <c r="Q2389" i="1"/>
  <c r="Q2393" i="1"/>
  <c r="V2393" i="1"/>
  <c r="W2393" i="1" s="1"/>
  <c r="Q2395" i="1"/>
  <c r="V1303" i="1"/>
  <c r="W1303" i="1" s="1"/>
  <c r="Q1312" i="1"/>
  <c r="V1319" i="1"/>
  <c r="W1319" i="1" s="1"/>
  <c r="Q1363" i="1"/>
  <c r="Q1370" i="1"/>
  <c r="Q1468" i="1"/>
  <c r="V1499" i="1"/>
  <c r="W1499" i="1" s="1"/>
  <c r="Q1584" i="1"/>
  <c r="V1584" i="1"/>
  <c r="W1584" i="1" s="1"/>
  <c r="Q1651" i="1"/>
  <c r="Q1664" i="1"/>
  <c r="Q1666" i="1"/>
  <c r="Q1923" i="1"/>
  <c r="Q1925" i="1"/>
  <c r="Q2023" i="1"/>
  <c r="V2208" i="1"/>
  <c r="W2208" i="1" s="1"/>
  <c r="V2210" i="1"/>
  <c r="W2210" i="1" s="1"/>
  <c r="Q1314" i="1"/>
  <c r="Q1358" i="1"/>
  <c r="V1363" i="1"/>
  <c r="W1363" i="1" s="1"/>
  <c r="Q1394" i="1"/>
  <c r="V1401" i="1"/>
  <c r="W1401" i="1" s="1"/>
  <c r="Q1401" i="1"/>
  <c r="Q1494" i="1"/>
  <c r="V1599" i="1"/>
  <c r="W1599" i="1" s="1"/>
  <c r="Q1744" i="1"/>
  <c r="V1746" i="1"/>
  <c r="W1746" i="1" s="1"/>
  <c r="Q1746" i="1"/>
  <c r="V1904" i="1"/>
  <c r="W1904" i="1" s="1"/>
  <c r="Q2025" i="1"/>
  <c r="Q2027" i="1"/>
  <c r="Q2029" i="1"/>
  <c r="Q2035" i="1"/>
  <c r="Q2037" i="1"/>
  <c r="Q2149" i="1"/>
  <c r="V2149" i="1"/>
  <c r="W2149" i="1" s="1"/>
  <c r="Q2418" i="1"/>
  <c r="Q1382" i="1"/>
  <c r="Q1390" i="1"/>
  <c r="Q1428" i="1"/>
  <c r="Q1430" i="1"/>
  <c r="V1433" i="1"/>
  <c r="W1433" i="1" s="1"/>
  <c r="Q1453" i="1"/>
  <c r="Q1455" i="1"/>
  <c r="V1477" i="1"/>
  <c r="W1477" i="1" s="1"/>
  <c r="Q1500" i="1"/>
  <c r="Q1502" i="1"/>
  <c r="V1503" i="1"/>
  <c r="W1503" i="1" s="1"/>
  <c r="Q1529" i="1"/>
  <c r="Q1545" i="1"/>
  <c r="V1566" i="1"/>
  <c r="W1566" i="1" s="1"/>
  <c r="Q1581" i="1"/>
  <c r="Q1609" i="1"/>
  <c r="Q1621" i="1"/>
  <c r="V1626" i="1"/>
  <c r="W1626" i="1" s="1"/>
  <c r="V1628" i="1"/>
  <c r="W1628" i="1" s="1"/>
  <c r="Q1632" i="1"/>
  <c r="V1674" i="1"/>
  <c r="W1674" i="1" s="1"/>
  <c r="V1707" i="1"/>
  <c r="W1707" i="1" s="1"/>
  <c r="V1709" i="1"/>
  <c r="W1709" i="1" s="1"/>
  <c r="Q1763" i="1"/>
  <c r="V1832" i="1"/>
  <c r="W1832" i="1" s="1"/>
  <c r="V1834" i="1"/>
  <c r="W1834" i="1" s="1"/>
  <c r="Q1840" i="1"/>
  <c r="V1851" i="1"/>
  <c r="W1851" i="1" s="1"/>
  <c r="Q2098" i="1"/>
  <c r="Q2158" i="1"/>
  <c r="V2184" i="1"/>
  <c r="W2184" i="1" s="1"/>
  <c r="Q2235" i="1"/>
  <c r="Q2237" i="1"/>
  <c r="V2330" i="1"/>
  <c r="W2330" i="1" s="1"/>
  <c r="V2372" i="1"/>
  <c r="W2372" i="1" s="1"/>
  <c r="Q2378" i="1"/>
  <c r="V2387" i="1"/>
  <c r="W2387" i="1" s="1"/>
  <c r="Q2399" i="1"/>
  <c r="V1486" i="1"/>
  <c r="W1486" i="1" s="1"/>
  <c r="Q1495" i="1"/>
  <c r="V1505" i="1"/>
  <c r="W1505" i="1" s="1"/>
  <c r="Q1513" i="1"/>
  <c r="V1531" i="1"/>
  <c r="W1531" i="1" s="1"/>
  <c r="Q1549" i="1"/>
  <c r="V1554" i="1"/>
  <c r="W1554" i="1" s="1"/>
  <c r="V1556" i="1"/>
  <c r="W1556" i="1" s="1"/>
  <c r="Q1560" i="1"/>
  <c r="V1577" i="1"/>
  <c r="W1577" i="1" s="1"/>
  <c r="V1623" i="1"/>
  <c r="W1623" i="1" s="1"/>
  <c r="V1630" i="1"/>
  <c r="W1630" i="1" s="1"/>
  <c r="V1685" i="1"/>
  <c r="W1685" i="1" s="1"/>
  <c r="V1702" i="1"/>
  <c r="W1702" i="1" s="1"/>
  <c r="V1732" i="1"/>
  <c r="W1732" i="1" s="1"/>
  <c r="Q1747" i="1"/>
  <c r="Q1767" i="1"/>
  <c r="Q1769" i="1"/>
  <c r="V1781" i="1"/>
  <c r="W1781" i="1" s="1"/>
  <c r="V1792" i="1"/>
  <c r="W1792" i="1" s="1"/>
  <c r="V1796" i="1"/>
  <c r="W1796" i="1" s="1"/>
  <c r="Q1796" i="1"/>
  <c r="Q1817" i="1"/>
  <c r="V1836" i="1"/>
  <c r="W1836" i="1" s="1"/>
  <c r="Q1844" i="1"/>
  <c r="V1844" i="1"/>
  <c r="W1844" i="1" s="1"/>
  <c r="Q1865" i="1"/>
  <c r="Q1941" i="1"/>
  <c r="Q1962" i="1"/>
  <c r="V1962" i="1"/>
  <c r="W1962" i="1" s="1"/>
  <c r="Q1966" i="1"/>
  <c r="Q1999" i="1"/>
  <c r="Q2001" i="1"/>
  <c r="Q2003" i="1"/>
  <c r="Q2005" i="1"/>
  <c r="Q2007" i="1"/>
  <c r="V2007" i="1"/>
  <c r="W2007" i="1" s="1"/>
  <c r="V2014" i="1"/>
  <c r="W2014" i="1" s="1"/>
  <c r="Q2071" i="1"/>
  <c r="V2162" i="1"/>
  <c r="W2162" i="1" s="1"/>
  <c r="Q2162" i="1"/>
  <c r="V2222" i="1"/>
  <c r="W2222" i="1" s="1"/>
  <c r="Q2307" i="1"/>
  <c r="Q2311" i="1"/>
  <c r="Q2325" i="1"/>
  <c r="Q2363" i="1"/>
  <c r="V1404" i="1"/>
  <c r="W1404" i="1" s="1"/>
  <c r="V1411" i="1"/>
  <c r="W1411" i="1" s="1"/>
  <c r="V1419" i="1"/>
  <c r="W1419" i="1" s="1"/>
  <c r="Q1432" i="1"/>
  <c r="V1444" i="1"/>
  <c r="W1444" i="1" s="1"/>
  <c r="V1446" i="1"/>
  <c r="W1446" i="1" s="1"/>
  <c r="V1479" i="1"/>
  <c r="W1479" i="1" s="1"/>
  <c r="Q1483" i="1"/>
  <c r="V1498" i="1"/>
  <c r="W1498" i="1" s="1"/>
  <c r="V1525" i="1"/>
  <c r="W1525" i="1" s="1"/>
  <c r="Q1531" i="1"/>
  <c r="Q1533" i="1"/>
  <c r="V1538" i="1"/>
  <c r="W1538" i="1" s="1"/>
  <c r="V1558" i="1"/>
  <c r="W1558" i="1" s="1"/>
  <c r="Q1572" i="1"/>
  <c r="V1596" i="1"/>
  <c r="W1596" i="1" s="1"/>
  <c r="V1598" i="1"/>
  <c r="W1598" i="1" s="1"/>
  <c r="V1607" i="1"/>
  <c r="W1607" i="1" s="1"/>
  <c r="V1614" i="1"/>
  <c r="W1614" i="1" s="1"/>
  <c r="Q1616" i="1"/>
  <c r="Q1623" i="1"/>
  <c r="Q1625" i="1"/>
  <c r="Q1665" i="1"/>
  <c r="Q1669" i="1"/>
  <c r="V1687" i="1"/>
  <c r="W1687" i="1" s="1"/>
  <c r="V1715" i="1"/>
  <c r="W1715" i="1" s="1"/>
  <c r="Q1727" i="1"/>
  <c r="Q1732" i="1"/>
  <c r="V1772" i="1"/>
  <c r="W1772" i="1" s="1"/>
  <c r="V1912" i="1"/>
  <c r="W1912" i="1" s="1"/>
  <c r="V1954" i="1"/>
  <c r="W1954" i="1" s="1"/>
  <c r="V1976" i="1"/>
  <c r="W1976" i="1" s="1"/>
  <c r="V2449" i="1"/>
  <c r="W2449" i="1" s="1"/>
  <c r="Q2449" i="1"/>
  <c r="V1387" i="1"/>
  <c r="W1387" i="1" s="1"/>
  <c r="V1396" i="1"/>
  <c r="W1396" i="1" s="1"/>
  <c r="V1403" i="1"/>
  <c r="W1403" i="1" s="1"/>
  <c r="V1409" i="1"/>
  <c r="W1409" i="1" s="1"/>
  <c r="V1416" i="1"/>
  <c r="W1416" i="1" s="1"/>
  <c r="V1421" i="1"/>
  <c r="W1421" i="1" s="1"/>
  <c r="V1453" i="1"/>
  <c r="W1453" i="1" s="1"/>
  <c r="V1462" i="1"/>
  <c r="W1462" i="1" s="1"/>
  <c r="V1481" i="1"/>
  <c r="W1481" i="1" s="1"/>
  <c r="Q1485" i="1"/>
  <c r="V1491" i="1"/>
  <c r="W1491" i="1" s="1"/>
  <c r="V1504" i="1"/>
  <c r="W1504" i="1" s="1"/>
  <c r="Q1506" i="1"/>
  <c r="V1511" i="1"/>
  <c r="W1511" i="1" s="1"/>
  <c r="V1529" i="1"/>
  <c r="W1529" i="1" s="1"/>
  <c r="Q1553" i="1"/>
  <c r="V1568" i="1"/>
  <c r="W1568" i="1" s="1"/>
  <c r="V1586" i="1"/>
  <c r="W1586" i="1" s="1"/>
  <c r="Q1588" i="1"/>
  <c r="Q1606" i="1"/>
  <c r="V1621" i="1"/>
  <c r="W1621" i="1" s="1"/>
  <c r="V1627" i="1"/>
  <c r="W1627" i="1" s="1"/>
  <c r="Q1673" i="1"/>
  <c r="Q1699" i="1"/>
  <c r="V1699" i="1"/>
  <c r="W1699" i="1" s="1"/>
  <c r="Q1701" i="1"/>
  <c r="Q1756" i="1"/>
  <c r="V1763" i="1"/>
  <c r="W1763" i="1" s="1"/>
  <c r="Q1804" i="1"/>
  <c r="Q1806" i="1"/>
  <c r="Q1810" i="1"/>
  <c r="Q1826" i="1"/>
  <c r="Q1854" i="1"/>
  <c r="Q1934" i="1"/>
  <c r="Q1945" i="1"/>
  <c r="Q1947" i="1"/>
  <c r="Q1949" i="1"/>
  <c r="V1956" i="1"/>
  <c r="W1956" i="1" s="1"/>
  <c r="V1958" i="1"/>
  <c r="W1958" i="1" s="1"/>
  <c r="V1995" i="1"/>
  <c r="W1995" i="1" s="1"/>
  <c r="V2098" i="1"/>
  <c r="W2098" i="1" s="1"/>
  <c r="V2138" i="1"/>
  <c r="W2138" i="1" s="1"/>
  <c r="V2156" i="1"/>
  <c r="W2156" i="1" s="1"/>
  <c r="V2237" i="1"/>
  <c r="W2237" i="1" s="1"/>
  <c r="V2241" i="1"/>
  <c r="W2241" i="1" s="1"/>
  <c r="V2291" i="1"/>
  <c r="W2291" i="1" s="1"/>
  <c r="V2293" i="1"/>
  <c r="W2293" i="1" s="1"/>
  <c r="V2299" i="1"/>
  <c r="W2299" i="1" s="1"/>
  <c r="Q2342" i="1"/>
  <c r="Q2344" i="1"/>
  <c r="V2355" i="1"/>
  <c r="W2355" i="1" s="1"/>
  <c r="Q2371" i="1"/>
  <c r="V2378" i="1"/>
  <c r="W2378" i="1" s="1"/>
  <c r="V2380" i="1"/>
  <c r="W2380" i="1" s="1"/>
  <c r="V1395" i="1"/>
  <c r="W1395" i="1" s="1"/>
  <c r="Q1408" i="1"/>
  <c r="Q1420" i="1"/>
  <c r="Q1510" i="1"/>
  <c r="Q1524" i="1"/>
  <c r="V1555" i="1"/>
  <c r="W1555" i="1" s="1"/>
  <c r="V1576" i="1"/>
  <c r="W1576" i="1" s="1"/>
  <c r="Q1638" i="1"/>
  <c r="Q1688" i="1"/>
  <c r="V1693" i="1"/>
  <c r="W1693" i="1" s="1"/>
  <c r="V1736" i="1"/>
  <c r="W1736" i="1" s="1"/>
  <c r="V1745" i="1"/>
  <c r="W1745" i="1" s="1"/>
  <c r="V1939" i="1"/>
  <c r="W1939" i="1" s="1"/>
  <c r="Q1951" i="1"/>
  <c r="V1951" i="1"/>
  <c r="W1951" i="1" s="1"/>
  <c r="Q1988" i="1"/>
  <c r="V1988" i="1"/>
  <c r="W1988" i="1" s="1"/>
  <c r="Q2066" i="1"/>
  <c r="V2071" i="1"/>
  <c r="W2071" i="1" s="1"/>
  <c r="Q2138" i="1"/>
  <c r="V2158" i="1"/>
  <c r="W2158" i="1" s="1"/>
  <c r="V2160" i="1"/>
  <c r="W2160" i="1" s="1"/>
  <c r="V2164" i="1"/>
  <c r="W2164" i="1" s="1"/>
  <c r="Q2202" i="1"/>
  <c r="Q2221" i="1"/>
  <c r="V2221" i="1"/>
  <c r="W2221" i="1" s="1"/>
  <c r="Q2223" i="1"/>
  <c r="Q2286" i="1"/>
  <c r="V2359" i="1"/>
  <c r="W2359" i="1" s="1"/>
  <c r="V2363" i="1"/>
  <c r="W2363" i="1" s="1"/>
  <c r="V2445" i="1"/>
  <c r="W2445" i="1" s="1"/>
  <c r="Q2451" i="1"/>
  <c r="Q2455" i="1"/>
  <c r="V2455" i="1"/>
  <c r="W2455" i="1" s="1"/>
  <c r="V1655" i="1"/>
  <c r="W1655" i="1" s="1"/>
  <c r="Q1668" i="1"/>
  <c r="Q1672" i="1"/>
  <c r="V1729" i="1"/>
  <c r="W1729" i="1" s="1"/>
  <c r="V1738" i="1"/>
  <c r="W1738" i="1" s="1"/>
  <c r="Q1753" i="1"/>
  <c r="V1756" i="1"/>
  <c r="W1756" i="1" s="1"/>
  <c r="V1765" i="1"/>
  <c r="W1765" i="1" s="1"/>
  <c r="Q1771" i="1"/>
  <c r="V1774" i="1"/>
  <c r="W1774" i="1" s="1"/>
  <c r="Q1780" i="1"/>
  <c r="Q1782" i="1"/>
  <c r="Q1787" i="1"/>
  <c r="Q1789" i="1"/>
  <c r="V1808" i="1"/>
  <c r="W1808" i="1" s="1"/>
  <c r="V1810" i="1"/>
  <c r="W1810" i="1" s="1"/>
  <c r="V1819" i="1"/>
  <c r="W1819" i="1" s="1"/>
  <c r="V1871" i="1"/>
  <c r="W1871" i="1" s="1"/>
  <c r="Q1888" i="1"/>
  <c r="V1895" i="1"/>
  <c r="W1895" i="1" s="1"/>
  <c r="Q1901" i="1"/>
  <c r="V1908" i="1"/>
  <c r="W1908" i="1" s="1"/>
  <c r="Q1916" i="1"/>
  <c r="V1934" i="1"/>
  <c r="W1934" i="1" s="1"/>
  <c r="Q1942" i="1"/>
  <c r="V1943" i="1"/>
  <c r="W1943" i="1" s="1"/>
  <c r="V1947" i="1"/>
  <c r="W1947" i="1" s="1"/>
  <c r="Q1979" i="1"/>
  <c r="Q1981" i="1"/>
  <c r="Q1985" i="1"/>
  <c r="Q1992" i="1"/>
  <c r="V2094" i="1"/>
  <c r="W2094" i="1" s="1"/>
  <c r="Q2111" i="1"/>
  <c r="V2116" i="1"/>
  <c r="W2116" i="1" s="1"/>
  <c r="V2133" i="1"/>
  <c r="W2133" i="1" s="1"/>
  <c r="V2151" i="1"/>
  <c r="W2151" i="1" s="1"/>
  <c r="Q2183" i="1"/>
  <c r="V2206" i="1"/>
  <c r="W2206" i="1" s="1"/>
  <c r="Q2214" i="1"/>
  <c r="Q2266" i="1"/>
  <c r="Q2315" i="1"/>
  <c r="Q2323" i="1"/>
  <c r="V2335" i="1"/>
  <c r="W2335" i="1" s="1"/>
  <c r="V2344" i="1"/>
  <c r="W2344" i="1" s="1"/>
  <c r="W2447" i="1"/>
  <c r="V1742" i="1"/>
  <c r="W1742" i="1" s="1"/>
  <c r="V1758" i="1"/>
  <c r="W1758" i="1" s="1"/>
  <c r="V1767" i="1"/>
  <c r="W1767" i="1" s="1"/>
  <c r="V1785" i="1"/>
  <c r="W1785" i="1" s="1"/>
  <c r="V1794" i="1"/>
  <c r="W1794" i="1" s="1"/>
  <c r="V1840" i="1"/>
  <c r="W1840" i="1" s="1"/>
  <c r="V1842" i="1"/>
  <c r="W1842" i="1" s="1"/>
  <c r="V1910" i="1"/>
  <c r="W1910" i="1" s="1"/>
  <c r="V1923" i="1"/>
  <c r="W1923" i="1" s="1"/>
  <c r="V1964" i="1"/>
  <c r="W1964" i="1" s="1"/>
  <c r="V2001" i="1"/>
  <c r="W2001" i="1" s="1"/>
  <c r="V2005" i="1"/>
  <c r="W2005" i="1" s="1"/>
  <c r="V2039" i="1"/>
  <c r="W2039" i="1" s="1"/>
  <c r="V2041" i="1"/>
  <c r="W2041" i="1" s="1"/>
  <c r="V2079" i="1"/>
  <c r="W2079" i="1" s="1"/>
  <c r="V2081" i="1"/>
  <c r="W2081" i="1" s="1"/>
  <c r="V2105" i="1"/>
  <c r="W2105" i="1" s="1"/>
  <c r="V2271" i="1"/>
  <c r="W2271" i="1" s="1"/>
  <c r="Q2341" i="1"/>
  <c r="Q2350" i="1"/>
  <c r="Q2358" i="1"/>
  <c r="V2409" i="1"/>
  <c r="W2409" i="1" s="1"/>
  <c r="Q2429" i="1"/>
  <c r="V1646" i="1"/>
  <c r="W1646" i="1" s="1"/>
  <c r="Q1661" i="1"/>
  <c r="V1664" i="1"/>
  <c r="W1664" i="1" s="1"/>
  <c r="Q1676" i="1"/>
  <c r="Q1684" i="1"/>
  <c r="V1692" i="1"/>
  <c r="W1692" i="1" s="1"/>
  <c r="Q1708" i="1"/>
  <c r="Q1735" i="1"/>
  <c r="Q1748" i="1"/>
  <c r="V1751" i="1"/>
  <c r="W1751" i="1" s="1"/>
  <c r="Q1755" i="1"/>
  <c r="V1776" i="1"/>
  <c r="W1776" i="1" s="1"/>
  <c r="V1778" i="1"/>
  <c r="W1778" i="1" s="1"/>
  <c r="V1784" i="1"/>
  <c r="W1784" i="1" s="1"/>
  <c r="Q1793" i="1"/>
  <c r="Q1809" i="1"/>
  <c r="V1826" i="1"/>
  <c r="W1826" i="1" s="1"/>
  <c r="V1855" i="1"/>
  <c r="W1855" i="1" s="1"/>
  <c r="V1862" i="1"/>
  <c r="W1862" i="1" s="1"/>
  <c r="V1897" i="1"/>
  <c r="W1897" i="1" s="1"/>
  <c r="Q1905" i="1"/>
  <c r="Q1907" i="1"/>
  <c r="Q1933" i="1"/>
  <c r="Q2015" i="1"/>
  <c r="V2018" i="1"/>
  <c r="W2018" i="1" s="1"/>
  <c r="V2028" i="1"/>
  <c r="W2028" i="1" s="1"/>
  <c r="Q2047" i="1"/>
  <c r="V2109" i="1"/>
  <c r="W2109" i="1" s="1"/>
  <c r="Q2113" i="1"/>
  <c r="V2169" i="1"/>
  <c r="W2169" i="1" s="1"/>
  <c r="V2172" i="1"/>
  <c r="W2172" i="1" s="1"/>
  <c r="V2186" i="1"/>
  <c r="W2186" i="1" s="1"/>
  <c r="V2223" i="1"/>
  <c r="W2223" i="1" s="1"/>
  <c r="V2239" i="1"/>
  <c r="W2239" i="1" s="1"/>
  <c r="Q2243" i="1"/>
  <c r="V2275" i="1"/>
  <c r="W2275" i="1" s="1"/>
  <c r="V2286" i="1"/>
  <c r="W2286" i="1" s="1"/>
  <c r="Q2296" i="1"/>
  <c r="V2307" i="1"/>
  <c r="W2307" i="1" s="1"/>
  <c r="Q2327" i="1"/>
  <c r="V2346" i="1"/>
  <c r="W2346" i="1" s="1"/>
  <c r="Q2360" i="1"/>
  <c r="V2360" i="1"/>
  <c r="W2360" i="1" s="1"/>
  <c r="Q2362" i="1"/>
  <c r="Q2366" i="1"/>
  <c r="Q2398" i="1"/>
  <c r="V2407" i="1"/>
  <c r="W2407" i="1" s="1"/>
  <c r="Q2409" i="1"/>
  <c r="V1650" i="1"/>
  <c r="W1650" i="1" s="1"/>
  <c r="Q1656" i="1"/>
  <c r="V1666" i="1"/>
  <c r="W1666" i="1" s="1"/>
  <c r="V1670" i="1"/>
  <c r="W1670" i="1" s="1"/>
  <c r="V1694" i="1"/>
  <c r="W1694" i="1" s="1"/>
  <c r="V1733" i="1"/>
  <c r="W1733" i="1" s="1"/>
  <c r="Q1739" i="1"/>
  <c r="V1753" i="1"/>
  <c r="W1753" i="1" s="1"/>
  <c r="Q1768" i="1"/>
  <c r="Q1775" i="1"/>
  <c r="Q1784" i="1"/>
  <c r="V1789" i="1"/>
  <c r="W1789" i="1" s="1"/>
  <c r="V1814" i="1"/>
  <c r="W1814" i="1" s="1"/>
  <c r="Q1848" i="1"/>
  <c r="Q1850" i="1"/>
  <c r="Q1857" i="1"/>
  <c r="Q1879" i="1"/>
  <c r="Q1881" i="1"/>
  <c r="V1888" i="1"/>
  <c r="W1888" i="1" s="1"/>
  <c r="Q1909" i="1"/>
  <c r="V1914" i="1"/>
  <c r="W1914" i="1" s="1"/>
  <c r="Q1972" i="1"/>
  <c r="Q1974" i="1"/>
  <c r="V1979" i="1"/>
  <c r="W1979" i="1" s="1"/>
  <c r="V1981" i="1"/>
  <c r="W1981" i="1" s="1"/>
  <c r="Q1987" i="1"/>
  <c r="Q1998" i="1"/>
  <c r="Q2002" i="1"/>
  <c r="Q2093" i="1"/>
  <c r="Q2150" i="1"/>
  <c r="Q2152" i="1"/>
  <c r="Q2154" i="1"/>
  <c r="Q2169" i="1"/>
  <c r="Q2185" i="1"/>
  <c r="Q2234" i="1"/>
  <c r="V2311" i="1"/>
  <c r="W2311" i="1" s="1"/>
  <c r="V2315" i="1"/>
  <c r="W2315" i="1" s="1"/>
  <c r="V2319" i="1"/>
  <c r="W2319" i="1" s="1"/>
  <c r="V2323" i="1"/>
  <c r="W2323" i="1" s="1"/>
  <c r="V2339" i="1"/>
  <c r="W2339" i="1" s="1"/>
  <c r="V1696" i="1"/>
  <c r="W1696" i="1" s="1"/>
  <c r="Q1700" i="1"/>
  <c r="V1717" i="1"/>
  <c r="W1717" i="1" s="1"/>
  <c r="Q1777" i="1"/>
  <c r="Q1779" i="1"/>
  <c r="V1795" i="1"/>
  <c r="W1795" i="1" s="1"/>
  <c r="V1890" i="1"/>
  <c r="W1890" i="1" s="1"/>
  <c r="V1896" i="1"/>
  <c r="W1896" i="1" s="1"/>
  <c r="V1899" i="1"/>
  <c r="W1899" i="1" s="1"/>
  <c r="V1918" i="1"/>
  <c r="W1918" i="1" s="1"/>
  <c r="V1940" i="1"/>
  <c r="W1940" i="1" s="1"/>
  <c r="Q1978" i="1"/>
  <c r="V1992" i="1"/>
  <c r="W1992" i="1" s="1"/>
  <c r="Q2060" i="1"/>
  <c r="V2063" i="1"/>
  <c r="W2063" i="1" s="1"/>
  <c r="V2087" i="1"/>
  <c r="W2087" i="1" s="1"/>
  <c r="V2139" i="1"/>
  <c r="W2139" i="1" s="1"/>
  <c r="Q2173" i="1"/>
  <c r="V2174" i="1"/>
  <c r="W2174" i="1" s="1"/>
  <c r="V2183" i="1"/>
  <c r="W2183" i="1" s="1"/>
  <c r="V2260" i="1"/>
  <c r="W2260" i="1" s="1"/>
  <c r="V2266" i="1"/>
  <c r="W2266" i="1" s="1"/>
  <c r="Q2270" i="1"/>
  <c r="Q2272" i="1"/>
  <c r="V2402" i="1"/>
  <c r="W2402" i="1" s="1"/>
  <c r="V2413" i="1"/>
  <c r="W2413" i="1" s="1"/>
  <c r="V2418" i="1"/>
  <c r="W2418" i="1" s="1"/>
  <c r="Q2424" i="1"/>
  <c r="Q2435" i="1"/>
  <c r="V2442" i="1"/>
  <c r="W2442" i="1" s="1"/>
  <c r="Q2474" i="1"/>
  <c r="Q2476" i="1"/>
  <c r="V2474" i="1"/>
  <c r="W2474" i="1" s="1"/>
  <c r="Q1823" i="1"/>
  <c r="V1829" i="1"/>
  <c r="W1829" i="1" s="1"/>
  <c r="Q1831" i="1"/>
  <c r="Q1833" i="1"/>
  <c r="V1835" i="1"/>
  <c r="W1835" i="1" s="1"/>
  <c r="V1838" i="1"/>
  <c r="W1838" i="1" s="1"/>
  <c r="Q1860" i="1"/>
  <c r="Q1867" i="1"/>
  <c r="Q1869" i="1"/>
  <c r="Q1876" i="1"/>
  <c r="V1881" i="1"/>
  <c r="W1881" i="1" s="1"/>
  <c r="Q1887" i="1"/>
  <c r="V1892" i="1"/>
  <c r="W1892" i="1" s="1"/>
  <c r="V1894" i="1"/>
  <c r="W1894" i="1" s="1"/>
  <c r="Q1911" i="1"/>
  <c r="V1916" i="1"/>
  <c r="W1916" i="1" s="1"/>
  <c r="V1938" i="1"/>
  <c r="W1938" i="1" s="1"/>
  <c r="V1960" i="1"/>
  <c r="W1960" i="1" s="1"/>
  <c r="Q1973" i="1"/>
  <c r="Q1984" i="1"/>
  <c r="V2024" i="1"/>
  <c r="W2024" i="1" s="1"/>
  <c r="V2053" i="1"/>
  <c r="W2053" i="1" s="1"/>
  <c r="Q2057" i="1"/>
  <c r="Q2068" i="1"/>
  <c r="Q2075" i="1"/>
  <c r="V2078" i="1"/>
  <c r="W2078" i="1" s="1"/>
  <c r="Q2084" i="1"/>
  <c r="Q2088" i="1"/>
  <c r="V2100" i="1"/>
  <c r="W2100" i="1" s="1"/>
  <c r="V2111" i="1"/>
  <c r="W2111" i="1" s="1"/>
  <c r="Q2115" i="1"/>
  <c r="Q2126" i="1"/>
  <c r="Q2141" i="1"/>
  <c r="Q2180" i="1"/>
  <c r="V2212" i="1"/>
  <c r="W2212" i="1" s="1"/>
  <c r="Q2216" i="1"/>
  <c r="V2219" i="1"/>
  <c r="W2219" i="1" s="1"/>
  <c r="Q2227" i="1"/>
  <c r="V2230" i="1"/>
  <c r="W2230" i="1" s="1"/>
  <c r="Q2232" i="1"/>
  <c r="Q2239" i="1"/>
  <c r="V2265" i="1"/>
  <c r="W2265" i="1" s="1"/>
  <c r="Q2267" i="1"/>
  <c r="Q2269" i="1"/>
  <c r="Q2278" i="1"/>
  <c r="Q2310" i="1"/>
  <c r="V2332" i="1"/>
  <c r="W2332" i="1" s="1"/>
  <c r="Q2338" i="1"/>
  <c r="V2350" i="1"/>
  <c r="W2350" i="1" s="1"/>
  <c r="V2352" i="1"/>
  <c r="W2352" i="1" s="1"/>
  <c r="V2356" i="1"/>
  <c r="W2356" i="1" s="1"/>
  <c r="V2358" i="1"/>
  <c r="W2358" i="1" s="1"/>
  <c r="V2371" i="1"/>
  <c r="W2371" i="1" s="1"/>
  <c r="Q2377" i="1"/>
  <c r="V2382" i="1"/>
  <c r="W2382" i="1" s="1"/>
  <c r="V2395" i="1"/>
  <c r="W2395" i="1" s="1"/>
  <c r="Q2403" i="1"/>
  <c r="Q2460" i="1"/>
  <c r="V2460" i="1"/>
  <c r="W2460" i="1" s="1"/>
  <c r="Q2462" i="1"/>
  <c r="Q1828" i="1"/>
  <c r="Q1837" i="1"/>
  <c r="V1849" i="1"/>
  <c r="W1849" i="1" s="1"/>
  <c r="V1856" i="1"/>
  <c r="W1856" i="1" s="1"/>
  <c r="V1865" i="1"/>
  <c r="W1865" i="1" s="1"/>
  <c r="Q1882" i="1"/>
  <c r="Q1893" i="1"/>
  <c r="V1909" i="1"/>
  <c r="W1909" i="1" s="1"/>
  <c r="V1928" i="1"/>
  <c r="W1928" i="1" s="1"/>
  <c r="V1931" i="1"/>
  <c r="W1931" i="1" s="1"/>
  <c r="V1933" i="1"/>
  <c r="W1933" i="1" s="1"/>
  <c r="Q1948" i="1"/>
  <c r="Q1957" i="1"/>
  <c r="Q1959" i="1"/>
  <c r="Q1961" i="1"/>
  <c r="Q1968" i="1"/>
  <c r="V1971" i="1"/>
  <c r="W1971" i="1" s="1"/>
  <c r="Q1977" i="1"/>
  <c r="V1998" i="1"/>
  <c r="W1998" i="1" s="1"/>
  <c r="V2002" i="1"/>
  <c r="W2002" i="1" s="1"/>
  <c r="V2004" i="1"/>
  <c r="W2004" i="1" s="1"/>
  <c r="Q2010" i="1"/>
  <c r="Q2012" i="1"/>
  <c r="Q2021" i="1"/>
  <c r="V2032" i="1"/>
  <c r="W2032" i="1" s="1"/>
  <c r="V2046" i="1"/>
  <c r="W2046" i="1" s="1"/>
  <c r="Q2059" i="1"/>
  <c r="V2064" i="1"/>
  <c r="W2064" i="1" s="1"/>
  <c r="V2073" i="1"/>
  <c r="W2073" i="1" s="1"/>
  <c r="V2082" i="1"/>
  <c r="W2082" i="1" s="1"/>
  <c r="Q2090" i="1"/>
  <c r="Q2108" i="1"/>
  <c r="Q2148" i="1"/>
  <c r="V2175" i="1"/>
  <c r="W2175" i="1" s="1"/>
  <c r="V2177" i="1"/>
  <c r="W2177" i="1" s="1"/>
  <c r="Q2250" i="1"/>
  <c r="V2259" i="1"/>
  <c r="W2259" i="1" s="1"/>
  <c r="Q2280" i="1"/>
  <c r="Q2282" i="1"/>
  <c r="V2334" i="1"/>
  <c r="W2334" i="1" s="1"/>
  <c r="V2364" i="1"/>
  <c r="W2364" i="1" s="1"/>
  <c r="Q2394" i="1"/>
  <c r="V2399" i="1"/>
  <c r="W2399" i="1" s="1"/>
  <c r="Q2423" i="1"/>
  <c r="V2434" i="1"/>
  <c r="W2434" i="1" s="1"/>
  <c r="V2439" i="1"/>
  <c r="W2439" i="1" s="1"/>
  <c r="Q2447" i="1"/>
  <c r="V2454" i="1"/>
  <c r="W2454" i="1" s="1"/>
  <c r="Q2475" i="1"/>
  <c r="V2451" i="1"/>
  <c r="W2451" i="1" s="1"/>
  <c r="V2471" i="1"/>
  <c r="W2471" i="1" s="1"/>
  <c r="V1860" i="1"/>
  <c r="W1860" i="1" s="1"/>
  <c r="V1864" i="1"/>
  <c r="W1864" i="1" s="1"/>
  <c r="V1876" i="1"/>
  <c r="W1876" i="1" s="1"/>
  <c r="Q1900" i="1"/>
  <c r="Q1904" i="1"/>
  <c r="Q1906" i="1"/>
  <c r="Q1937" i="1"/>
  <c r="Q1944" i="1"/>
  <c r="Q1980" i="1"/>
  <c r="Q1982" i="1"/>
  <c r="V1985" i="1"/>
  <c r="W1985" i="1" s="1"/>
  <c r="V1990" i="1"/>
  <c r="W1990" i="1" s="1"/>
  <c r="Q2013" i="1"/>
  <c r="V2020" i="1"/>
  <c r="W2020" i="1" s="1"/>
  <c r="Q2033" i="1"/>
  <c r="V2043" i="1"/>
  <c r="W2043" i="1" s="1"/>
  <c r="Q2049" i="1"/>
  <c r="Q2072" i="1"/>
  <c r="V2077" i="1"/>
  <c r="W2077" i="1" s="1"/>
  <c r="Q2083" i="1"/>
  <c r="Q2101" i="1"/>
  <c r="V2128" i="1"/>
  <c r="W2128" i="1" s="1"/>
  <c r="Q2130" i="1"/>
  <c r="V2135" i="1"/>
  <c r="W2135" i="1" s="1"/>
  <c r="V2142" i="1"/>
  <c r="W2142" i="1" s="1"/>
  <c r="Q2178" i="1"/>
  <c r="V2199" i="1"/>
  <c r="W2199" i="1" s="1"/>
  <c r="Q2201" i="1"/>
  <c r="V2224" i="1"/>
  <c r="W2224" i="1" s="1"/>
  <c r="Q2238" i="1"/>
  <c r="Q2247" i="1"/>
  <c r="Q2253" i="1"/>
  <c r="V2256" i="1"/>
  <c r="W2256" i="1" s="1"/>
  <c r="V2282" i="1"/>
  <c r="W2282" i="1" s="1"/>
  <c r="Q2290" i="1"/>
  <c r="V2314" i="1"/>
  <c r="W2314" i="1" s="1"/>
  <c r="V2316" i="1"/>
  <c r="W2316" i="1" s="1"/>
  <c r="V2318" i="1"/>
  <c r="W2318" i="1" s="1"/>
  <c r="V2320" i="1"/>
  <c r="W2320" i="1" s="1"/>
  <c r="Q2326" i="1"/>
  <c r="Q2340" i="1"/>
  <c r="Q2347" i="1"/>
  <c r="Q2349" i="1"/>
  <c r="Q2390" i="1"/>
  <c r="Q2392" i="1"/>
  <c r="V2405" i="1"/>
  <c r="W2405" i="1" s="1"/>
  <c r="Q2410" i="1"/>
  <c r="V2415" i="1"/>
  <c r="W2415" i="1" s="1"/>
  <c r="Q2421" i="1"/>
  <c r="V2431" i="1"/>
  <c r="W2431" i="1" s="1"/>
  <c r="V2437" i="1"/>
  <c r="W2437" i="1" s="1"/>
  <c r="Q2466" i="1"/>
  <c r="Q2477" i="1"/>
  <c r="V2446" i="1"/>
  <c r="W2446" i="1" s="1"/>
  <c r="Q2461" i="1"/>
  <c r="Q2472" i="1"/>
  <c r="Q264" i="1"/>
  <c r="Q378" i="1"/>
  <c r="V430" i="1"/>
  <c r="W430" i="1" s="1"/>
  <c r="Q430" i="1"/>
  <c r="V584" i="1"/>
  <c r="W584" i="1" s="1"/>
  <c r="Q584" i="1"/>
  <c r="Q659" i="1"/>
  <c r="Q828" i="1"/>
  <c r="V990" i="1"/>
  <c r="W990" i="1" s="1"/>
  <c r="Q990" i="1"/>
  <c r="Q1007" i="1"/>
  <c r="Q41" i="1"/>
  <c r="V222" i="1"/>
  <c r="W222" i="1" s="1"/>
  <c r="Q222" i="1"/>
  <c r="Q238" i="1"/>
  <c r="V281" i="1"/>
  <c r="W281" i="1" s="1"/>
  <c r="Q281" i="1"/>
  <c r="Q296" i="1"/>
  <c r="Q359" i="1"/>
  <c r="Q373" i="1"/>
  <c r="Q505" i="1"/>
  <c r="Q556" i="1"/>
  <c r="V685" i="1"/>
  <c r="W685" i="1" s="1"/>
  <c r="Q685" i="1"/>
  <c r="V756" i="1"/>
  <c r="W756" i="1" s="1"/>
  <c r="V848" i="1"/>
  <c r="W848" i="1" s="1"/>
  <c r="Q848" i="1"/>
  <c r="V70" i="1"/>
  <c r="W70" i="1" s="1"/>
  <c r="V94" i="1"/>
  <c r="W94" i="1" s="1"/>
  <c r="V118" i="1"/>
  <c r="W118" i="1" s="1"/>
  <c r="V142" i="1"/>
  <c r="W142" i="1" s="1"/>
  <c r="V166" i="1"/>
  <c r="W166" i="1" s="1"/>
  <c r="V190" i="1"/>
  <c r="W190" i="1" s="1"/>
  <c r="V212" i="1"/>
  <c r="W212" i="1" s="1"/>
  <c r="Q256" i="1"/>
  <c r="Q314" i="1"/>
  <c r="Q392" i="1"/>
  <c r="V397" i="1"/>
  <c r="W397" i="1" s="1"/>
  <c r="Q468" i="1"/>
  <c r="V473" i="1"/>
  <c r="W473" i="1" s="1"/>
  <c r="Q546" i="1"/>
  <c r="Q612" i="1"/>
  <c r="Q741" i="1"/>
  <c r="V812" i="1"/>
  <c r="W812" i="1" s="1"/>
  <c r="Q885" i="1"/>
  <c r="V1112" i="1"/>
  <c r="W1112" i="1" s="1"/>
  <c r="V1262" i="1"/>
  <c r="W1262" i="1" s="1"/>
  <c r="Q1262" i="1"/>
  <c r="V1451" i="1"/>
  <c r="W1451" i="1" s="1"/>
  <c r="Q1451" i="1"/>
  <c r="V1880" i="1"/>
  <c r="W1880" i="1" s="1"/>
  <c r="Q1880" i="1"/>
  <c r="Q2324" i="1"/>
  <c r="Q2329" i="1"/>
  <c r="Q101" i="1"/>
  <c r="Q125" i="1"/>
  <c r="Q149" i="1"/>
  <c r="Q252" i="1"/>
  <c r="Q278" i="1"/>
  <c r="V329" i="1"/>
  <c r="W329" i="1" s="1"/>
  <c r="Q329" i="1"/>
  <c r="Q363" i="1"/>
  <c r="Q415" i="1"/>
  <c r="V447" i="1"/>
  <c r="W447" i="1" s="1"/>
  <c r="Q447" i="1"/>
  <c r="V620" i="1"/>
  <c r="W620" i="1" s="1"/>
  <c r="Q620" i="1"/>
  <c r="V721" i="1"/>
  <c r="W721" i="1" s="1"/>
  <c r="Q33" i="1"/>
  <c r="V73" i="1"/>
  <c r="W73" i="1" s="1"/>
  <c r="V169" i="1"/>
  <c r="W169" i="1" s="1"/>
  <c r="V193" i="1"/>
  <c r="W193" i="1" s="1"/>
  <c r="Q233" i="1"/>
  <c r="Q268" i="1"/>
  <c r="Q307" i="1"/>
  <c r="V359" i="1"/>
  <c r="W359" i="1" s="1"/>
  <c r="Q790" i="1"/>
  <c r="Q1044" i="1"/>
  <c r="Q1145" i="1"/>
  <c r="V10" i="1"/>
  <c r="W10" i="1" s="1"/>
  <c r="V38" i="1"/>
  <c r="W38" i="1" s="1"/>
  <c r="Q216" i="1"/>
  <c r="V252" i="1"/>
  <c r="W252" i="1" s="1"/>
  <c r="V278" i="1"/>
  <c r="W278" i="1" s="1"/>
  <c r="V304" i="1"/>
  <c r="W304" i="1" s="1"/>
  <c r="Q304" i="1"/>
  <c r="Q326" i="1"/>
  <c r="V377" i="1"/>
  <c r="W377" i="1" s="1"/>
  <c r="Q377" i="1"/>
  <c r="Q403" i="1"/>
  <c r="Q410" i="1"/>
  <c r="V709" i="1"/>
  <c r="W709" i="1" s="1"/>
  <c r="Q709" i="1"/>
  <c r="V805" i="1"/>
  <c r="W805" i="1" s="1"/>
  <c r="Q805" i="1"/>
  <c r="V845" i="1"/>
  <c r="W845" i="1" s="1"/>
  <c r="Q845" i="1"/>
  <c r="Q896" i="1"/>
  <c r="V1351" i="1"/>
  <c r="W1351" i="1" s="1"/>
  <c r="Q1351" i="1"/>
  <c r="V1448" i="1"/>
  <c r="W1448" i="1" s="1"/>
  <c r="Q1448" i="1"/>
  <c r="Q13" i="1"/>
  <c r="V371" i="1"/>
  <c r="W371" i="1" s="1"/>
  <c r="Q173" i="1"/>
  <c r="V286" i="1"/>
  <c r="W286" i="1" s="1"/>
  <c r="Q319" i="1"/>
  <c r="V356" i="1"/>
  <c r="W356" i="1" s="1"/>
  <c r="Q356" i="1"/>
  <c r="Q408" i="1"/>
  <c r="Q1114" i="1"/>
  <c r="Q65" i="1"/>
  <c r="V65" i="1"/>
  <c r="W65" i="1" s="1"/>
  <c r="V97" i="1"/>
  <c r="W97" i="1" s="1"/>
  <c r="V121" i="1"/>
  <c r="W121" i="1" s="1"/>
  <c r="V145" i="1"/>
  <c r="W145" i="1" s="1"/>
  <c r="V238" i="1"/>
  <c r="W238" i="1" s="1"/>
  <c r="Q290" i="1"/>
  <c r="V556" i="1"/>
  <c r="W556" i="1" s="1"/>
  <c r="V650" i="1"/>
  <c r="W650" i="1" s="1"/>
  <c r="Q650" i="1"/>
  <c r="V948" i="1"/>
  <c r="W948" i="1" s="1"/>
  <c r="Q948" i="1"/>
  <c r="V1059" i="1"/>
  <c r="W1059" i="1" s="1"/>
  <c r="Q1059" i="1"/>
  <c r="Q1129" i="1"/>
  <c r="V1129" i="1"/>
  <c r="W1129" i="1" s="1"/>
  <c r="V57" i="1"/>
  <c r="W57" i="1" s="1"/>
  <c r="Q57" i="1"/>
  <c r="Q93" i="1"/>
  <c r="Q117" i="1"/>
  <c r="Q141" i="1"/>
  <c r="Q165" i="1"/>
  <c r="V209" i="1"/>
  <c r="W209" i="1" s="1"/>
  <c r="V270" i="1"/>
  <c r="W270" i="1" s="1"/>
  <c r="Q270" i="1"/>
  <c r="Q282" i="1"/>
  <c r="V307" i="1"/>
  <c r="W307" i="1" s="1"/>
  <c r="V382" i="1"/>
  <c r="W382" i="1" s="1"/>
  <c r="Q520" i="1"/>
  <c r="Q534" i="1"/>
  <c r="V543" i="1"/>
  <c r="W543" i="1" s="1"/>
  <c r="Q543" i="1"/>
  <c r="Q614" i="1"/>
  <c r="V615" i="1"/>
  <c r="W615" i="1" s="1"/>
  <c r="V868" i="1"/>
  <c r="W868" i="1" s="1"/>
  <c r="Q868" i="1"/>
  <c r="V890" i="1"/>
  <c r="W890" i="1" s="1"/>
  <c r="V1127" i="1"/>
  <c r="W1127" i="1" s="1"/>
  <c r="V366" i="1"/>
  <c r="W366" i="1" s="1"/>
  <c r="Q366" i="1"/>
  <c r="V579" i="1"/>
  <c r="W579" i="1" s="1"/>
  <c r="Q579" i="1"/>
  <c r="V37" i="1"/>
  <c r="W37" i="1" s="1"/>
  <c r="Q37" i="1"/>
  <c r="V62" i="1"/>
  <c r="W62" i="1" s="1"/>
  <c r="V89" i="1"/>
  <c r="W89" i="1" s="1"/>
  <c r="V113" i="1"/>
  <c r="W113" i="1" s="1"/>
  <c r="V137" i="1"/>
  <c r="W137" i="1" s="1"/>
  <c r="V161" i="1"/>
  <c r="W161" i="1" s="1"/>
  <c r="V185" i="1"/>
  <c r="W185" i="1" s="1"/>
  <c r="V441" i="1"/>
  <c r="W441" i="1" s="1"/>
  <c r="V612" i="1"/>
  <c r="W612" i="1" s="1"/>
  <c r="V665" i="1"/>
  <c r="W665" i="1" s="1"/>
  <c r="V761" i="1"/>
  <c r="W761" i="1" s="1"/>
  <c r="Q761" i="1"/>
  <c r="V807" i="1"/>
  <c r="W807" i="1" s="1"/>
  <c r="Q807" i="1"/>
  <c r="V840" i="1"/>
  <c r="W840" i="1" s="1"/>
  <c r="Q840" i="1"/>
  <c r="V1250" i="1"/>
  <c r="W1250" i="1" s="1"/>
  <c r="Q1250" i="1"/>
  <c r="V559" i="1"/>
  <c r="W559" i="1" s="1"/>
  <c r="Q559" i="1"/>
  <c r="V241" i="1"/>
  <c r="W241" i="1" s="1"/>
  <c r="Q77" i="1"/>
  <c r="V30" i="1"/>
  <c r="W30" i="1" s="1"/>
  <c r="V86" i="1"/>
  <c r="W86" i="1" s="1"/>
  <c r="V110" i="1"/>
  <c r="W110" i="1" s="1"/>
  <c r="V134" i="1"/>
  <c r="W134" i="1" s="1"/>
  <c r="V158" i="1"/>
  <c r="W158" i="1" s="1"/>
  <c r="V182" i="1"/>
  <c r="W182" i="1" s="1"/>
  <c r="V458" i="1"/>
  <c r="W458" i="1" s="1"/>
  <c r="Q458" i="1"/>
  <c r="V493" i="1"/>
  <c r="W493" i="1" s="1"/>
  <c r="V774" i="1"/>
  <c r="W774" i="1" s="1"/>
  <c r="Q774" i="1"/>
  <c r="V1178" i="1"/>
  <c r="W1178" i="1" s="1"/>
  <c r="Q1178" i="1"/>
  <c r="Q49" i="1"/>
  <c r="V49" i="1"/>
  <c r="W49" i="1" s="1"/>
  <c r="Q234" i="1"/>
  <c r="Q274" i="1"/>
  <c r="V340" i="1"/>
  <c r="W340" i="1" s="1"/>
  <c r="Q340" i="1"/>
  <c r="V400" i="1"/>
  <c r="W400" i="1" s="1"/>
  <c r="Q400" i="1"/>
  <c r="Q483" i="1"/>
  <c r="Q499" i="1"/>
  <c r="V499" i="1"/>
  <c r="W499" i="1" s="1"/>
  <c r="Q511" i="1"/>
  <c r="V511" i="1"/>
  <c r="W511" i="1" s="1"/>
  <c r="Q566" i="1"/>
  <c r="Q602" i="1"/>
  <c r="Q800" i="1"/>
  <c r="V800" i="1"/>
  <c r="W800" i="1" s="1"/>
  <c r="Q996" i="1"/>
  <c r="Q1074" i="1"/>
  <c r="V1311" i="1"/>
  <c r="W1311" i="1" s="1"/>
  <c r="Q1311" i="1"/>
  <c r="Q275" i="1"/>
  <c r="V315" i="1"/>
  <c r="W315" i="1" s="1"/>
  <c r="V411" i="1"/>
  <c r="W411" i="1" s="1"/>
  <c r="V536" i="1"/>
  <c r="W536" i="1" s="1"/>
  <c r="Q536" i="1"/>
  <c r="Q655" i="1"/>
  <c r="Q714" i="1"/>
  <c r="Q736" i="1"/>
  <c r="Q744" i="1"/>
  <c r="V744" i="1"/>
  <c r="W744" i="1" s="1"/>
  <c r="Q786" i="1"/>
  <c r="Q899" i="1"/>
  <c r="V930" i="1"/>
  <c r="W930" i="1" s="1"/>
  <c r="Q1010" i="1"/>
  <c r="V1010" i="1"/>
  <c r="W1010" i="1" s="1"/>
  <c r="V1141" i="1"/>
  <c r="W1141" i="1" s="1"/>
  <c r="Q1141" i="1"/>
  <c r="V1176" i="1"/>
  <c r="W1176" i="1" s="1"/>
  <c r="V1220" i="1"/>
  <c r="W1220" i="1" s="1"/>
  <c r="V1547" i="1"/>
  <c r="W1547" i="1" s="1"/>
  <c r="Q1547" i="1"/>
  <c r="V1551" i="1"/>
  <c r="W1551" i="1" s="1"/>
  <c r="Q1551" i="1"/>
  <c r="Q407" i="1"/>
  <c r="V425" i="1"/>
  <c r="W425" i="1" s="1"/>
  <c r="Q425" i="1"/>
  <c r="V455" i="1"/>
  <c r="W455" i="1" s="1"/>
  <c r="V465" i="1"/>
  <c r="W465" i="1" s="1"/>
  <c r="V496" i="1"/>
  <c r="W496" i="1" s="1"/>
  <c r="V568" i="1"/>
  <c r="W568" i="1" s="1"/>
  <c r="Q568" i="1"/>
  <c r="V617" i="1"/>
  <c r="W617" i="1" s="1"/>
  <c r="V788" i="1"/>
  <c r="W788" i="1" s="1"/>
  <c r="Q879" i="1"/>
  <c r="V968" i="1"/>
  <c r="W968" i="1" s="1"/>
  <c r="V1066" i="1"/>
  <c r="W1066" i="1" s="1"/>
  <c r="Q1066" i="1"/>
  <c r="Q1160" i="1"/>
  <c r="V1671" i="1"/>
  <c r="W1671" i="1" s="1"/>
  <c r="Q1671" i="1"/>
  <c r="Q355" i="1"/>
  <c r="V293" i="1"/>
  <c r="W293" i="1" s="1"/>
  <c r="V389" i="1"/>
  <c r="W389" i="1" s="1"/>
  <c r="V433" i="1"/>
  <c r="W433" i="1" s="1"/>
  <c r="Q578" i="1"/>
  <c r="Q599" i="1"/>
  <c r="Q611" i="1"/>
  <c r="V769" i="1"/>
  <c r="W769" i="1" s="1"/>
  <c r="Q769" i="1"/>
  <c r="Q783" i="1"/>
  <c r="V862" i="1"/>
  <c r="W862" i="1" s="1"/>
  <c r="Q1653" i="1"/>
  <c r="Q17" i="1"/>
  <c r="V26" i="1"/>
  <c r="W26" i="1" s="1"/>
  <c r="V45" i="1"/>
  <c r="W45" i="1" s="1"/>
  <c r="Q45" i="1"/>
  <c r="V53" i="1"/>
  <c r="W53" i="1" s="1"/>
  <c r="Q53" i="1"/>
  <c r="V61" i="1"/>
  <c r="W61" i="1" s="1"/>
  <c r="Q61" i="1"/>
  <c r="Q69" i="1"/>
  <c r="Q200" i="1"/>
  <c r="V200" i="1"/>
  <c r="W200" i="1" s="1"/>
  <c r="V248" i="1"/>
  <c r="W248" i="1" s="1"/>
  <c r="Q248" i="1"/>
  <c r="Q308" i="1"/>
  <c r="V337" i="1"/>
  <c r="W337" i="1" s="1"/>
  <c r="V345" i="1"/>
  <c r="W345" i="1" s="1"/>
  <c r="Q352" i="1"/>
  <c r="V363" i="1"/>
  <c r="W363" i="1" s="1"/>
  <c r="Q404" i="1"/>
  <c r="Q443" i="1"/>
  <c r="V452" i="1"/>
  <c r="W452" i="1" s="1"/>
  <c r="V462" i="1"/>
  <c r="W462" i="1" s="1"/>
  <c r="Q495" i="1"/>
  <c r="V495" i="1"/>
  <c r="W495" i="1" s="1"/>
  <c r="Q530" i="1"/>
  <c r="Q550" i="1"/>
  <c r="Q606" i="1"/>
  <c r="V662" i="1"/>
  <c r="W662" i="1" s="1"/>
  <c r="V718" i="1"/>
  <c r="W718" i="1" s="1"/>
  <c r="V733" i="1"/>
  <c r="W733" i="1" s="1"/>
  <c r="V748" i="1"/>
  <c r="W748" i="1" s="1"/>
  <c r="V802" i="1"/>
  <c r="W802" i="1" s="1"/>
  <c r="Q820" i="1"/>
  <c r="Q967" i="1"/>
  <c r="V1181" i="1"/>
  <c r="W1181" i="1" s="1"/>
  <c r="Q1181" i="1"/>
  <c r="Q1190" i="1"/>
  <c r="Q1347" i="1"/>
  <c r="Q1412" i="1"/>
  <c r="Q1612" i="1"/>
  <c r="Q1637" i="1"/>
  <c r="V1665" i="1"/>
  <c r="W1665" i="1" s="1"/>
  <c r="Q1799" i="1"/>
  <c r="V319" i="1"/>
  <c r="W319" i="1" s="1"/>
  <c r="Q638" i="1"/>
  <c r="Q797" i="1"/>
  <c r="V946" i="1"/>
  <c r="W946" i="1" s="1"/>
  <c r="V6" i="1"/>
  <c r="W6" i="1" s="1"/>
  <c r="Q218" i="1"/>
  <c r="Q266" i="1"/>
  <c r="V285" i="1"/>
  <c r="W285" i="1" s="1"/>
  <c r="V292" i="1"/>
  <c r="W292" i="1" s="1"/>
  <c r="Q292" i="1"/>
  <c r="Q300" i="1"/>
  <c r="V311" i="1"/>
  <c r="W311" i="1" s="1"/>
  <c r="V381" i="1"/>
  <c r="W381" i="1" s="1"/>
  <c r="V388" i="1"/>
  <c r="W388" i="1" s="1"/>
  <c r="Q388" i="1"/>
  <c r="Q396" i="1"/>
  <c r="V407" i="1"/>
  <c r="W407" i="1" s="1"/>
  <c r="Q432" i="1"/>
  <c r="V505" i="1"/>
  <c r="W505" i="1" s="1"/>
  <c r="V515" i="1"/>
  <c r="W515" i="1" s="1"/>
  <c r="V540" i="1"/>
  <c r="W540" i="1" s="1"/>
  <c r="Q575" i="1"/>
  <c r="Q618" i="1"/>
  <c r="Q745" i="1"/>
  <c r="Q837" i="1"/>
  <c r="Q854" i="1"/>
  <c r="V879" i="1"/>
  <c r="W879" i="1" s="1"/>
  <c r="V1022" i="1"/>
  <c r="W1022" i="1" s="1"/>
  <c r="Q1022" i="1"/>
  <c r="Q1047" i="1"/>
  <c r="V1047" i="1"/>
  <c r="W1047" i="1" s="1"/>
  <c r="Q1238" i="1"/>
  <c r="V1238" i="1"/>
  <c r="W1238" i="1" s="1"/>
  <c r="V1242" i="1"/>
  <c r="W1242" i="1" s="1"/>
  <c r="V1383" i="1"/>
  <c r="W1383" i="1" s="1"/>
  <c r="Q1383" i="1"/>
  <c r="Q1576" i="1"/>
  <c r="V1648" i="1"/>
  <c r="W1648" i="1" s="1"/>
  <c r="Q1648" i="1"/>
  <c r="V237" i="1"/>
  <c r="W237" i="1" s="1"/>
  <c r="Q237" i="1"/>
  <c r="V415" i="1"/>
  <c r="W415" i="1" s="1"/>
  <c r="Q459" i="1"/>
  <c r="V483" i="1"/>
  <c r="W483" i="1" s="1"/>
  <c r="Q626" i="1"/>
  <c r="V738" i="1"/>
  <c r="W738" i="1" s="1"/>
  <c r="V34" i="1"/>
  <c r="W34" i="1" s="1"/>
  <c r="V282" i="1"/>
  <c r="W282" i="1" s="1"/>
  <c r="V318" i="1"/>
  <c r="W318" i="1" s="1"/>
  <c r="Q318" i="1"/>
  <c r="V334" i="1"/>
  <c r="W334" i="1" s="1"/>
  <c r="V355" i="1"/>
  <c r="W355" i="1" s="1"/>
  <c r="V378" i="1"/>
  <c r="W378" i="1" s="1"/>
  <c r="V414" i="1"/>
  <c r="W414" i="1" s="1"/>
  <c r="Q414" i="1"/>
  <c r="V459" i="1"/>
  <c r="W459" i="1" s="1"/>
  <c r="V469" i="1"/>
  <c r="W469" i="1" s="1"/>
  <c r="V480" i="1"/>
  <c r="W480" i="1" s="1"/>
  <c r="V482" i="1"/>
  <c r="W482" i="1" s="1"/>
  <c r="Q482" i="1"/>
  <c r="V517" i="1"/>
  <c r="W517" i="1" s="1"/>
  <c r="V552" i="1"/>
  <c r="W552" i="1" s="1"/>
  <c r="Q552" i="1"/>
  <c r="V608" i="1"/>
  <c r="W608" i="1" s="1"/>
  <c r="Q608" i="1"/>
  <c r="V621" i="1"/>
  <c r="W621" i="1" s="1"/>
  <c r="V664" i="1"/>
  <c r="W664" i="1" s="1"/>
  <c r="V750" i="1"/>
  <c r="W750" i="1" s="1"/>
  <c r="V764" i="1"/>
  <c r="W764" i="1" s="1"/>
  <c r="V778" i="1"/>
  <c r="W778" i="1" s="1"/>
  <c r="Q918" i="1"/>
  <c r="V918" i="1"/>
  <c r="W918" i="1" s="1"/>
  <c r="Q1080" i="1"/>
  <c r="V1080" i="1"/>
  <c r="W1080" i="1" s="1"/>
  <c r="Q1083" i="1"/>
  <c r="V1083" i="1"/>
  <c r="W1083" i="1" s="1"/>
  <c r="V1096" i="1"/>
  <c r="W1096" i="1" s="1"/>
  <c r="V1288" i="1"/>
  <c r="W1288" i="1" s="1"/>
  <c r="Q1288" i="1"/>
  <c r="Q1298" i="1"/>
  <c r="V1298" i="1"/>
  <c r="W1298" i="1" s="1"/>
  <c r="V1399" i="1"/>
  <c r="W1399" i="1" s="1"/>
  <c r="Q1399" i="1"/>
  <c r="Q1472" i="1"/>
  <c r="Q288" i="1"/>
  <c r="Q299" i="1"/>
  <c r="Q336" i="1"/>
  <c r="Q347" i="1"/>
  <c r="Q384" i="1"/>
  <c r="Q395" i="1"/>
  <c r="V444" i="1"/>
  <c r="W444" i="1" s="1"/>
  <c r="Q454" i="1"/>
  <c r="Q461" i="1"/>
  <c r="Q485" i="1"/>
  <c r="Q501" i="1"/>
  <c r="V524" i="1"/>
  <c r="W524" i="1" s="1"/>
  <c r="Q539" i="1"/>
  <c r="Q542" i="1"/>
  <c r="Q555" i="1"/>
  <c r="Q558" i="1"/>
  <c r="Q571" i="1"/>
  <c r="Q574" i="1"/>
  <c r="Q587" i="1"/>
  <c r="V623" i="1"/>
  <c r="W623" i="1" s="1"/>
  <c r="V626" i="1"/>
  <c r="W626" i="1" s="1"/>
  <c r="Q634" i="1"/>
  <c r="Q646" i="1"/>
  <c r="Q658" i="1"/>
  <c r="V670" i="1"/>
  <c r="W670" i="1" s="1"/>
  <c r="V673" i="1"/>
  <c r="W673" i="1" s="1"/>
  <c r="V682" i="1"/>
  <c r="W682" i="1" s="1"/>
  <c r="V694" i="1"/>
  <c r="W694" i="1" s="1"/>
  <c r="V706" i="1"/>
  <c r="W706" i="1" s="1"/>
  <c r="Q752" i="1"/>
  <c r="Q755" i="1"/>
  <c r="Q777" i="1"/>
  <c r="Q804" i="1"/>
  <c r="V817" i="1"/>
  <c r="W817" i="1" s="1"/>
  <c r="V834" i="1"/>
  <c r="W834" i="1" s="1"/>
  <c r="V865" i="1"/>
  <c r="W865" i="1" s="1"/>
  <c r="Q881" i="1"/>
  <c r="Q895" i="1"/>
  <c r="Q926" i="1"/>
  <c r="Q970" i="1"/>
  <c r="Q987" i="1"/>
  <c r="Q1019" i="1"/>
  <c r="V1052" i="1"/>
  <c r="W1052" i="1" s="1"/>
  <c r="Q1155" i="1"/>
  <c r="V1155" i="1"/>
  <c r="W1155" i="1" s="1"/>
  <c r="Q1157" i="1"/>
  <c r="V1256" i="1"/>
  <c r="W1256" i="1" s="1"/>
  <c r="V1258" i="1"/>
  <c r="W1258" i="1" s="1"/>
  <c r="V1297" i="1"/>
  <c r="W1297" i="1" s="1"/>
  <c r="Q1297" i="1"/>
  <c r="V1331" i="1"/>
  <c r="W1331" i="1" s="1"/>
  <c r="Q1331" i="1"/>
  <c r="Q1437" i="1"/>
  <c r="Q1537" i="1"/>
  <c r="V1564" i="1"/>
  <c r="W1564" i="1" s="1"/>
  <c r="V1716" i="1"/>
  <c r="W1716" i="1" s="1"/>
  <c r="Q1716" i="1"/>
  <c r="Q2225" i="1"/>
  <c r="Q303" i="1"/>
  <c r="V448" i="1"/>
  <c r="W448" i="1" s="1"/>
  <c r="V476" i="1"/>
  <c r="W476" i="1" s="1"/>
  <c r="V588" i="1"/>
  <c r="W588" i="1" s="1"/>
  <c r="V635" i="1"/>
  <c r="W635" i="1" s="1"/>
  <c r="V647" i="1"/>
  <c r="W647" i="1" s="1"/>
  <c r="V785" i="1"/>
  <c r="W785" i="1" s="1"/>
  <c r="Q785" i="1"/>
  <c r="V793" i="1"/>
  <c r="W793" i="1" s="1"/>
  <c r="Q793" i="1"/>
  <c r="V935" i="1"/>
  <c r="W935" i="1" s="1"/>
  <c r="Q951" i="1"/>
  <c r="V951" i="1"/>
  <c r="W951" i="1" s="1"/>
  <c r="V1114" i="1"/>
  <c r="W1114" i="1" s="1"/>
  <c r="V1283" i="1"/>
  <c r="W1283" i="1" s="1"/>
  <c r="Q1283" i="1"/>
  <c r="Q295" i="1"/>
  <c r="Q343" i="1"/>
  <c r="Q391" i="1"/>
  <c r="V440" i="1"/>
  <c r="W440" i="1" s="1"/>
  <c r="Q471" i="1"/>
  <c r="V472" i="1"/>
  <c r="W472" i="1" s="1"/>
  <c r="Q491" i="1"/>
  <c r="V492" i="1"/>
  <c r="W492" i="1" s="1"/>
  <c r="Q507" i="1"/>
  <c r="V508" i="1"/>
  <c r="W508" i="1" s="1"/>
  <c r="V527" i="1"/>
  <c r="W527" i="1" s="1"/>
  <c r="Q669" i="1"/>
  <c r="V720" i="1"/>
  <c r="W720" i="1" s="1"/>
  <c r="V729" i="1"/>
  <c r="W729" i="1" s="1"/>
  <c r="V732" i="1"/>
  <c r="W732" i="1" s="1"/>
  <c r="V741" i="1"/>
  <c r="W741" i="1" s="1"/>
  <c r="V766" i="1"/>
  <c r="W766" i="1" s="1"/>
  <c r="V780" i="1"/>
  <c r="W780" i="1" s="1"/>
  <c r="V816" i="1"/>
  <c r="W816" i="1" s="1"/>
  <c r="Q816" i="1"/>
  <c r="Q833" i="1"/>
  <c r="Q850" i="1"/>
  <c r="V864" i="1"/>
  <c r="W864" i="1" s="1"/>
  <c r="Q864" i="1"/>
  <c r="Q875" i="1"/>
  <c r="Q892" i="1"/>
  <c r="Q903" i="1"/>
  <c r="Q934" i="1"/>
  <c r="Q1068" i="1"/>
  <c r="V1068" i="1"/>
  <c r="W1068" i="1" s="1"/>
  <c r="Q1123" i="1"/>
  <c r="V1153" i="1"/>
  <c r="W1153" i="1" s="1"/>
  <c r="V1187" i="1"/>
  <c r="W1187" i="1" s="1"/>
  <c r="V1308" i="1"/>
  <c r="W1308" i="1" s="1"/>
  <c r="Q1528" i="1"/>
  <c r="Q1627" i="1"/>
  <c r="Q1629" i="1"/>
  <c r="V1769" i="1"/>
  <c r="W1769" i="1" s="1"/>
  <c r="Q1924" i="1"/>
  <c r="V2052" i="1"/>
  <c r="W2052" i="1" s="1"/>
  <c r="Q2052" i="1"/>
  <c r="Q984" i="1"/>
  <c r="V2048" i="1"/>
  <c r="W2048" i="1" s="1"/>
  <c r="Q2048" i="1"/>
  <c r="Q2249" i="1"/>
  <c r="V2249" i="1"/>
  <c r="W2249" i="1" s="1"/>
  <c r="Q291" i="1"/>
  <c r="Q339" i="1"/>
  <c r="Q387" i="1"/>
  <c r="V436" i="1"/>
  <c r="W436" i="1" s="1"/>
  <c r="V599" i="1"/>
  <c r="W599" i="1" s="1"/>
  <c r="Q610" i="1"/>
  <c r="V611" i="1"/>
  <c r="W611" i="1" s="1"/>
  <c r="Q728" i="1"/>
  <c r="Q740" i="1"/>
  <c r="Q760" i="1"/>
  <c r="Q801" i="1"/>
  <c r="V912" i="1"/>
  <c r="W912" i="1" s="1"/>
  <c r="Q1003" i="1"/>
  <c r="V1011" i="1"/>
  <c r="W1011" i="1" s="1"/>
  <c r="Q1011" i="1"/>
  <c r="V1071" i="1"/>
  <c r="W1071" i="1" s="1"/>
  <c r="V1163" i="1"/>
  <c r="W1163" i="1" s="1"/>
  <c r="V1277" i="1"/>
  <c r="W1277" i="1" s="1"/>
  <c r="V1367" i="1"/>
  <c r="W1367" i="1" s="1"/>
  <c r="Q1367" i="1"/>
  <c r="V1435" i="1"/>
  <c r="W1435" i="1" s="1"/>
  <c r="Q1516" i="1"/>
  <c r="Q1757" i="1"/>
  <c r="Q399" i="1"/>
  <c r="Q475" i="1"/>
  <c r="V659" i="1"/>
  <c r="W659" i="1" s="1"/>
  <c r="V882" i="1"/>
  <c r="W882" i="1" s="1"/>
  <c r="Q1163" i="1"/>
  <c r="V303" i="1"/>
  <c r="W303" i="1" s="1"/>
  <c r="V399" i="1"/>
  <c r="W399" i="1" s="1"/>
  <c r="V432" i="1"/>
  <c r="W432" i="1" s="1"/>
  <c r="V468" i="1"/>
  <c r="W468" i="1" s="1"/>
  <c r="V475" i="1"/>
  <c r="W475" i="1" s="1"/>
  <c r="V498" i="1"/>
  <c r="W498" i="1" s="1"/>
  <c r="V514" i="1"/>
  <c r="W514" i="1" s="1"/>
  <c r="V520" i="1"/>
  <c r="W520" i="1" s="1"/>
  <c r="V596" i="1"/>
  <c r="W596" i="1" s="1"/>
  <c r="V631" i="1"/>
  <c r="W631" i="1" s="1"/>
  <c r="V643" i="1"/>
  <c r="W643" i="1" s="1"/>
  <c r="V655" i="1"/>
  <c r="W655" i="1" s="1"/>
  <c r="V717" i="1"/>
  <c r="W717" i="1" s="1"/>
  <c r="V752" i="1"/>
  <c r="W752" i="1" s="1"/>
  <c r="V755" i="1"/>
  <c r="W755" i="1" s="1"/>
  <c r="V763" i="1"/>
  <c r="W763" i="1" s="1"/>
  <c r="V790" i="1"/>
  <c r="W790" i="1" s="1"/>
  <c r="V804" i="1"/>
  <c r="W804" i="1" s="1"/>
  <c r="V814" i="1"/>
  <c r="W814" i="1" s="1"/>
  <c r="V856" i="1"/>
  <c r="W856" i="1" s="1"/>
  <c r="V878" i="1"/>
  <c r="W878" i="1" s="1"/>
  <c r="V895" i="1"/>
  <c r="W895" i="1" s="1"/>
  <c r="V898" i="1"/>
  <c r="W898" i="1" s="1"/>
  <c r="V909" i="1"/>
  <c r="W909" i="1" s="1"/>
  <c r="V964" i="1"/>
  <c r="W964" i="1" s="1"/>
  <c r="V984" i="1"/>
  <c r="W984" i="1" s="1"/>
  <c r="V998" i="1"/>
  <c r="W998" i="1" s="1"/>
  <c r="V1046" i="1"/>
  <c r="W1046" i="1" s="1"/>
  <c r="V1145" i="1"/>
  <c r="W1145" i="1" s="1"/>
  <c r="V1157" i="1"/>
  <c r="W1157" i="1" s="1"/>
  <c r="V1182" i="1"/>
  <c r="W1182" i="1" s="1"/>
  <c r="V1201" i="1"/>
  <c r="W1201" i="1" s="1"/>
  <c r="Q1239" i="1"/>
  <c r="V1239" i="1"/>
  <c r="W1239" i="1" s="1"/>
  <c r="V1275" i="1"/>
  <c r="W1275" i="1" s="1"/>
  <c r="V1915" i="1"/>
  <c r="W1915" i="1" s="1"/>
  <c r="Q351" i="1"/>
  <c r="V810" i="1"/>
  <c r="W810" i="1" s="1"/>
  <c r="V971" i="1"/>
  <c r="W971" i="1" s="1"/>
  <c r="Q1248" i="1"/>
  <c r="V1248" i="1"/>
  <c r="W1248" i="1" s="1"/>
  <c r="Q2107" i="1"/>
  <c r="V299" i="1"/>
  <c r="W299" i="1" s="1"/>
  <c r="Q331" i="1"/>
  <c r="V347" i="1"/>
  <c r="W347" i="1" s="1"/>
  <c r="Q379" i="1"/>
  <c r="V395" i="1"/>
  <c r="W395" i="1" s="1"/>
  <c r="Q427" i="1"/>
  <c r="V488" i="1"/>
  <c r="W488" i="1" s="1"/>
  <c r="V504" i="1"/>
  <c r="W504" i="1" s="1"/>
  <c r="V523" i="1"/>
  <c r="W523" i="1" s="1"/>
  <c r="V622" i="1"/>
  <c r="W622" i="1" s="1"/>
  <c r="V666" i="1"/>
  <c r="W666" i="1" s="1"/>
  <c r="V678" i="1"/>
  <c r="W678" i="1" s="1"/>
  <c r="V690" i="1"/>
  <c r="W690" i="1" s="1"/>
  <c r="V702" i="1"/>
  <c r="W702" i="1" s="1"/>
  <c r="Q751" i="1"/>
  <c r="Q762" i="1"/>
  <c r="Q773" i="1"/>
  <c r="Q776" i="1"/>
  <c r="Q784" i="1"/>
  <c r="V809" i="1"/>
  <c r="W809" i="1" s="1"/>
  <c r="V875" i="1"/>
  <c r="W875" i="1" s="1"/>
  <c r="V1060" i="1"/>
  <c r="W1060" i="1" s="1"/>
  <c r="V1063" i="1"/>
  <c r="W1063" i="1" s="1"/>
  <c r="V1432" i="1"/>
  <c r="W1432" i="1" s="1"/>
  <c r="V1624" i="1"/>
  <c r="W1624" i="1" s="1"/>
  <c r="Q1624" i="1"/>
  <c r="Q891" i="1"/>
  <c r="Q999" i="1"/>
  <c r="Q1058" i="1"/>
  <c r="V1098" i="1"/>
  <c r="W1098" i="1" s="1"/>
  <c r="V1126" i="1"/>
  <c r="W1126" i="1" s="1"/>
  <c r="Q1144" i="1"/>
  <c r="V1150" i="1"/>
  <c r="W1150" i="1" s="1"/>
  <c r="V1174" i="1"/>
  <c r="W1174" i="1" s="1"/>
  <c r="V1185" i="1"/>
  <c r="W1185" i="1" s="1"/>
  <c r="V1279" i="1"/>
  <c r="W1279" i="1" s="1"/>
  <c r="V1445" i="1"/>
  <c r="W1445" i="1" s="1"/>
  <c r="V1516" i="1"/>
  <c r="W1516" i="1" s="1"/>
  <c r="V1521" i="1"/>
  <c r="W1521" i="1" s="1"/>
  <c r="Q1544" i="1"/>
  <c r="V1588" i="1"/>
  <c r="W1588" i="1" s="1"/>
  <c r="V1595" i="1"/>
  <c r="W1595" i="1" s="1"/>
  <c r="Q1595" i="1"/>
  <c r="Q1657" i="1"/>
  <c r="V1684" i="1"/>
  <c r="W1684" i="1" s="1"/>
  <c r="Q1884" i="1"/>
  <c r="Q2011" i="1"/>
  <c r="V2011" i="1"/>
  <c r="W2011" i="1" s="1"/>
  <c r="Q772" i="1"/>
  <c r="Q796" i="1"/>
  <c r="Q819" i="1"/>
  <c r="V1062" i="1"/>
  <c r="W1062" i="1" s="1"/>
  <c r="Q1224" i="1"/>
  <c r="V1224" i="1"/>
  <c r="W1224" i="1" s="1"/>
  <c r="Q1260" i="1"/>
  <c r="V1260" i="1"/>
  <c r="W1260" i="1" s="1"/>
  <c r="V1336" i="1"/>
  <c r="W1336" i="1" s="1"/>
  <c r="V1523" i="1"/>
  <c r="W1523" i="1" s="1"/>
  <c r="Q1523" i="1"/>
  <c r="V1644" i="1"/>
  <c r="W1644" i="1" s="1"/>
  <c r="Q1731" i="1"/>
  <c r="V1731" i="1"/>
  <c r="W1731" i="1" s="1"/>
  <c r="V1740" i="1"/>
  <c r="W1740" i="1" s="1"/>
  <c r="Q1740" i="1"/>
  <c r="Q765" i="1"/>
  <c r="Q789" i="1"/>
  <c r="Q887" i="1"/>
  <c r="V967" i="1"/>
  <c r="W967" i="1" s="1"/>
  <c r="Q1070" i="1"/>
  <c r="V1074" i="1"/>
  <c r="W1074" i="1" s="1"/>
  <c r="Q1088" i="1"/>
  <c r="V1128" i="1"/>
  <c r="W1128" i="1" s="1"/>
  <c r="Q1130" i="1"/>
  <c r="V1166" i="1"/>
  <c r="W1166" i="1" s="1"/>
  <c r="V1189" i="1"/>
  <c r="W1189" i="1" s="1"/>
  <c r="Q1189" i="1"/>
  <c r="Q1205" i="1"/>
  <c r="V1208" i="1"/>
  <c r="W1208" i="1" s="1"/>
  <c r="Q1230" i="1"/>
  <c r="V1230" i="1"/>
  <c r="W1230" i="1" s="1"/>
  <c r="V1424" i="1"/>
  <c r="W1424" i="1" s="1"/>
  <c r="Q1507" i="1"/>
  <c r="Q1520" i="1"/>
  <c r="Q1548" i="1"/>
  <c r="Q1592" i="1"/>
  <c r="V1675" i="1"/>
  <c r="W1675" i="1" s="1"/>
  <c r="Q1675" i="1"/>
  <c r="Q1719" i="1"/>
  <c r="V1719" i="1"/>
  <c r="W1719" i="1" s="1"/>
  <c r="V1728" i="1"/>
  <c r="W1728" i="1" s="1"/>
  <c r="Q1728" i="1"/>
  <c r="V1335" i="1"/>
  <c r="W1335" i="1" s="1"/>
  <c r="Q1335" i="1"/>
  <c r="Q2176" i="1"/>
  <c r="V2176" i="1"/>
  <c r="W2176" i="1" s="1"/>
  <c r="V813" i="1"/>
  <c r="W813" i="1" s="1"/>
  <c r="Q883" i="1"/>
  <c r="Q962" i="1"/>
  <c r="Q1032" i="1"/>
  <c r="Q1372" i="1"/>
  <c r="Q1579" i="1"/>
  <c r="V1643" i="1"/>
  <c r="W1643" i="1" s="1"/>
  <c r="Q1643" i="1"/>
  <c r="V1647" i="1"/>
  <c r="W1647" i="1" s="1"/>
  <c r="Q1647" i="1"/>
  <c r="Q1725" i="1"/>
  <c r="V1497" i="1"/>
  <c r="W1497" i="1" s="1"/>
  <c r="V1500" i="1"/>
  <c r="W1500" i="1" s="1"/>
  <c r="Q1509" i="1"/>
  <c r="Q1517" i="1"/>
  <c r="V1571" i="1"/>
  <c r="W1571" i="1" s="1"/>
  <c r="Q1571" i="1"/>
  <c r="V1589" i="1"/>
  <c r="W1589" i="1" s="1"/>
  <c r="V1620" i="1"/>
  <c r="W1620" i="1" s="1"/>
  <c r="Q1660" i="1"/>
  <c r="V1701" i="1"/>
  <c r="W1701" i="1" s="1"/>
  <c r="V1787" i="1"/>
  <c r="W1787" i="1" s="1"/>
  <c r="Q1791" i="1"/>
  <c r="Q2045" i="1"/>
  <c r="V919" i="1"/>
  <c r="W919" i="1" s="1"/>
  <c r="V1237" i="1"/>
  <c r="W1237" i="1" s="1"/>
  <c r="V1328" i="1"/>
  <c r="W1328" i="1" s="1"/>
  <c r="Q1380" i="1"/>
  <c r="V1427" i="1"/>
  <c r="W1427" i="1" s="1"/>
  <c r="Q1504" i="1"/>
  <c r="Q1527" i="1"/>
  <c r="Q1540" i="1"/>
  <c r="Q1555" i="1"/>
  <c r="Q1568" i="1"/>
  <c r="V1612" i="1"/>
  <c r="W1612" i="1" s="1"/>
  <c r="V1617" i="1"/>
  <c r="W1617" i="1" s="1"/>
  <c r="V1640" i="1"/>
  <c r="W1640" i="1" s="1"/>
  <c r="Q1677" i="1"/>
  <c r="Q1685" i="1"/>
  <c r="Q1932" i="1"/>
  <c r="V2040" i="1"/>
  <c r="W2040" i="1" s="1"/>
  <c r="Q2040" i="1"/>
  <c r="Q2309" i="1"/>
  <c r="V1160" i="1"/>
  <c r="W1160" i="1" s="1"/>
  <c r="V1216" i="1"/>
  <c r="W1216" i="1" s="1"/>
  <c r="V1246" i="1"/>
  <c r="W1246" i="1" s="1"/>
  <c r="Q1303" i="1"/>
  <c r="Q1319" i="1"/>
  <c r="Q1332" i="1"/>
  <c r="Q1375" i="1"/>
  <c r="V1520" i="1"/>
  <c r="W1520" i="1" s="1"/>
  <c r="Q1557" i="1"/>
  <c r="Q1565" i="1"/>
  <c r="V1619" i="1"/>
  <c r="W1619" i="1" s="1"/>
  <c r="Q1619" i="1"/>
  <c r="V1637" i="1"/>
  <c r="W1637" i="1" s="1"/>
  <c r="V1668" i="1"/>
  <c r="W1668" i="1" s="1"/>
  <c r="Q1720" i="1"/>
  <c r="V1723" i="1"/>
  <c r="W1723" i="1" s="1"/>
  <c r="Q1803" i="1"/>
  <c r="Q1192" i="1"/>
  <c r="V1213" i="1"/>
  <c r="W1213" i="1" s="1"/>
  <c r="Q1236" i="1"/>
  <c r="V1236" i="1"/>
  <c r="W1236" i="1" s="1"/>
  <c r="V1241" i="1"/>
  <c r="W1241" i="1" s="1"/>
  <c r="V1364" i="1"/>
  <c r="W1364" i="1" s="1"/>
  <c r="V1412" i="1"/>
  <c r="W1412" i="1" s="1"/>
  <c r="V1415" i="1"/>
  <c r="W1415" i="1" s="1"/>
  <c r="V1545" i="1"/>
  <c r="W1545" i="1" s="1"/>
  <c r="Q1605" i="1"/>
  <c r="Q1613" i="1"/>
  <c r="V1667" i="1"/>
  <c r="W1667" i="1" s="1"/>
  <c r="Q1667" i="1"/>
  <c r="V1735" i="1"/>
  <c r="W1735" i="1" s="1"/>
  <c r="V1925" i="1"/>
  <c r="W1925" i="1" s="1"/>
  <c r="Q1927" i="1"/>
  <c r="V1927" i="1"/>
  <c r="W1927" i="1" s="1"/>
  <c r="V1936" i="1"/>
  <c r="W1936" i="1" s="1"/>
  <c r="Q1936" i="1"/>
  <c r="V1156" i="1"/>
  <c r="W1156" i="1" s="1"/>
  <c r="V1204" i="1"/>
  <c r="W1204" i="1" s="1"/>
  <c r="V1344" i="1"/>
  <c r="W1344" i="1" s="1"/>
  <c r="V1392" i="1"/>
  <c r="W1392" i="1" s="1"/>
  <c r="Q1805" i="1"/>
  <c r="Q1921" i="1"/>
  <c r="Q2019" i="1"/>
  <c r="V2019" i="1"/>
  <c r="W2019" i="1" s="1"/>
  <c r="V2117" i="1"/>
  <c r="W2117" i="1" s="1"/>
  <c r="Q2132" i="1"/>
  <c r="V2132" i="1"/>
  <c r="W2132" i="1" s="1"/>
  <c r="V1152" i="1"/>
  <c r="W1152" i="1" s="1"/>
  <c r="V1200" i="1"/>
  <c r="W1200" i="1" s="1"/>
  <c r="V1219" i="1"/>
  <c r="W1219" i="1" s="1"/>
  <c r="V1324" i="1"/>
  <c r="W1324" i="1" s="1"/>
  <c r="V1372" i="1"/>
  <c r="W1372" i="1" s="1"/>
  <c r="V1420" i="1"/>
  <c r="W1420" i="1" s="1"/>
  <c r="V1423" i="1"/>
  <c r="W1423" i="1" s="1"/>
  <c r="V1431" i="1"/>
  <c r="W1431" i="1" s="1"/>
  <c r="V1469" i="1"/>
  <c r="W1469" i="1" s="1"/>
  <c r="V1831" i="1"/>
  <c r="W1831" i="1" s="1"/>
  <c r="V1905" i="1"/>
  <c r="W1905" i="1" s="1"/>
  <c r="V1148" i="1"/>
  <c r="W1148" i="1" s="1"/>
  <c r="V1196" i="1"/>
  <c r="W1196" i="1" s="1"/>
  <c r="V1231" i="1"/>
  <c r="W1231" i="1" s="1"/>
  <c r="V1243" i="1"/>
  <c r="W1243" i="1" s="1"/>
  <c r="V1255" i="1"/>
  <c r="W1255" i="1" s="1"/>
  <c r="V1267" i="1"/>
  <c r="W1267" i="1" s="1"/>
  <c r="V1276" i="1"/>
  <c r="W1276" i="1" s="1"/>
  <c r="V1285" i="1"/>
  <c r="W1285" i="1" s="1"/>
  <c r="V1304" i="1"/>
  <c r="W1304" i="1" s="1"/>
  <c r="V1352" i="1"/>
  <c r="W1352" i="1" s="1"/>
  <c r="V1400" i="1"/>
  <c r="W1400" i="1" s="1"/>
  <c r="V1455" i="1"/>
  <c r="W1455" i="1" s="1"/>
  <c r="V1493" i="1"/>
  <c r="W1493" i="1" s="1"/>
  <c r="V1828" i="1"/>
  <c r="W1828" i="1" s="1"/>
  <c r="V2035" i="1"/>
  <c r="W2035" i="1" s="1"/>
  <c r="V2306" i="1"/>
  <c r="W2306" i="1" s="1"/>
  <c r="Q2306" i="1"/>
  <c r="Q2317" i="1"/>
  <c r="V2317" i="1"/>
  <c r="W2317" i="1" s="1"/>
  <c r="V2433" i="1"/>
  <c r="W2433" i="1" s="1"/>
  <c r="Q2433" i="1"/>
  <c r="Q2444" i="1"/>
  <c r="V2444" i="1"/>
  <c r="W2444" i="1" s="1"/>
  <c r="Q2464" i="1"/>
  <c r="V2473" i="1"/>
  <c r="W2473" i="1" s="1"/>
  <c r="Q2473" i="1"/>
  <c r="V1749" i="1"/>
  <c r="W1749" i="1" s="1"/>
  <c r="V1752" i="1"/>
  <c r="W1752" i="1" s="1"/>
  <c r="V1783" i="1"/>
  <c r="W1783" i="1" s="1"/>
  <c r="Q1889" i="1"/>
  <c r="V2153" i="1"/>
  <c r="W2153" i="1" s="1"/>
  <c r="Q2153" i="1"/>
  <c r="V2357" i="1"/>
  <c r="W2357" i="1" s="1"/>
  <c r="Q2357" i="1"/>
  <c r="V1441" i="1"/>
  <c r="W1441" i="1" s="1"/>
  <c r="V1465" i="1"/>
  <c r="W1465" i="1" s="1"/>
  <c r="V1489" i="1"/>
  <c r="W1489" i="1" s="1"/>
  <c r="V1513" i="1"/>
  <c r="W1513" i="1" s="1"/>
  <c r="V1537" i="1"/>
  <c r="W1537" i="1" s="1"/>
  <c r="V1561" i="1"/>
  <c r="W1561" i="1" s="1"/>
  <c r="V1585" i="1"/>
  <c r="W1585" i="1" s="1"/>
  <c r="V1609" i="1"/>
  <c r="W1609" i="1" s="1"/>
  <c r="V1633" i="1"/>
  <c r="W1633" i="1" s="1"/>
  <c r="V1657" i="1"/>
  <c r="W1657" i="1" s="1"/>
  <c r="V1681" i="1"/>
  <c r="W1681" i="1" s="1"/>
  <c r="V1688" i="1"/>
  <c r="W1688" i="1" s="1"/>
  <c r="V1704" i="1"/>
  <c r="W1704" i="1" s="1"/>
  <c r="V1780" i="1"/>
  <c r="W1780" i="1" s="1"/>
  <c r="V1813" i="1"/>
  <c r="W1813" i="1" s="1"/>
  <c r="V1821" i="1"/>
  <c r="W1821" i="1" s="1"/>
  <c r="V1824" i="1"/>
  <c r="W1824" i="1" s="1"/>
  <c r="V1848" i="1"/>
  <c r="W1848" i="1" s="1"/>
  <c r="V1900" i="1"/>
  <c r="W1900" i="1" s="1"/>
  <c r="V2203" i="1"/>
  <c r="W2203" i="1" s="1"/>
  <c r="V1697" i="1"/>
  <c r="W1697" i="1" s="1"/>
  <c r="V1713" i="1"/>
  <c r="W1713" i="1" s="1"/>
  <c r="V1725" i="1"/>
  <c r="W1725" i="1" s="1"/>
  <c r="V1737" i="1"/>
  <c r="W1737" i="1" s="1"/>
  <c r="V1757" i="1"/>
  <c r="W1757" i="1" s="1"/>
  <c r="V1760" i="1"/>
  <c r="W1760" i="1" s="1"/>
  <c r="Q1868" i="1"/>
  <c r="V2003" i="1"/>
  <c r="W2003" i="1" s="1"/>
  <c r="Q2134" i="1"/>
  <c r="V1437" i="1"/>
  <c r="W1437" i="1" s="1"/>
  <c r="V1461" i="1"/>
  <c r="W1461" i="1" s="1"/>
  <c r="V1485" i="1"/>
  <c r="W1485" i="1" s="1"/>
  <c r="V1509" i="1"/>
  <c r="W1509" i="1" s="1"/>
  <c r="V1533" i="1"/>
  <c r="W1533" i="1" s="1"/>
  <c r="V1557" i="1"/>
  <c r="W1557" i="1" s="1"/>
  <c r="V1581" i="1"/>
  <c r="W1581" i="1" s="1"/>
  <c r="V1605" i="1"/>
  <c r="W1605" i="1" s="1"/>
  <c r="V1629" i="1"/>
  <c r="W1629" i="1" s="1"/>
  <c r="V1653" i="1"/>
  <c r="W1653" i="1" s="1"/>
  <c r="V1677" i="1"/>
  <c r="W1677" i="1" s="1"/>
  <c r="V1791" i="1"/>
  <c r="W1791" i="1" s="1"/>
  <c r="V1799" i="1"/>
  <c r="W1799" i="1" s="1"/>
  <c r="Q1820" i="1"/>
  <c r="Q1855" i="1"/>
  <c r="V1884" i="1"/>
  <c r="W1884" i="1" s="1"/>
  <c r="Q1896" i="1"/>
  <c r="Q2000" i="1"/>
  <c r="V2281" i="1"/>
  <c r="W2281" i="1" s="1"/>
  <c r="Q2281" i="1"/>
  <c r="Q2292" i="1"/>
  <c r="V2292" i="1"/>
  <c r="W2292" i="1" s="1"/>
  <c r="Q2365" i="1"/>
  <c r="V1700" i="1"/>
  <c r="W1700" i="1" s="1"/>
  <c r="Q1724" i="1"/>
  <c r="Q1736" i="1"/>
  <c r="V2124" i="1"/>
  <c r="W2124" i="1" s="1"/>
  <c r="Q2124" i="1"/>
  <c r="Q2193" i="1"/>
  <c r="V2193" i="1"/>
  <c r="W2193" i="1" s="1"/>
  <c r="Q2379" i="1"/>
  <c r="Q1892" i="1"/>
  <c r="V1972" i="1"/>
  <c r="W1972" i="1" s="1"/>
  <c r="V1983" i="1"/>
  <c r="W1983" i="1" s="1"/>
  <c r="V1997" i="1"/>
  <c r="W1997" i="1" s="1"/>
  <c r="V2104" i="1"/>
  <c r="W2104" i="1" s="1"/>
  <c r="V2122" i="1"/>
  <c r="W2122" i="1" s="1"/>
  <c r="V2159" i="1"/>
  <c r="W2159" i="1" s="1"/>
  <c r="Q2262" i="1"/>
  <c r="V2368" i="1"/>
  <c r="W2368" i="1" s="1"/>
  <c r="V1845" i="1"/>
  <c r="W1845" i="1" s="1"/>
  <c r="V1852" i="1"/>
  <c r="W1852" i="1" s="1"/>
  <c r="V1861" i="1"/>
  <c r="W1861" i="1" s="1"/>
  <c r="V1877" i="1"/>
  <c r="W1877" i="1" s="1"/>
  <c r="V1955" i="1"/>
  <c r="W1955" i="1" s="1"/>
  <c r="V2119" i="1"/>
  <c r="W2119" i="1" s="1"/>
  <c r="Q2197" i="1"/>
  <c r="V2197" i="1"/>
  <c r="W2197" i="1" s="1"/>
  <c r="V2303" i="1"/>
  <c r="W2303" i="1" s="1"/>
  <c r="Q2303" i="1"/>
  <c r="V1924" i="1"/>
  <c r="W1924" i="1" s="1"/>
  <c r="V1935" i="1"/>
  <c r="W1935" i="1" s="1"/>
  <c r="V1949" i="1"/>
  <c r="W1949" i="1" s="1"/>
  <c r="V1977" i="1"/>
  <c r="W1977" i="1" s="1"/>
  <c r="V2029" i="1"/>
  <c r="W2029" i="1" s="1"/>
  <c r="V2129" i="1"/>
  <c r="W2129" i="1" s="1"/>
  <c r="Q2199" i="1"/>
  <c r="Q2248" i="1"/>
  <c r="V2248" i="1"/>
  <c r="W2248" i="1" s="1"/>
  <c r="V2441" i="1"/>
  <c r="W2441" i="1" s="1"/>
  <c r="Q2441" i="1"/>
  <c r="V1841" i="1"/>
  <c r="W1841" i="1" s="1"/>
  <c r="V1889" i="1"/>
  <c r="W1889" i="1" s="1"/>
  <c r="V1907" i="1"/>
  <c r="W1907" i="1" s="1"/>
  <c r="Q2031" i="1"/>
  <c r="V2031" i="1"/>
  <c r="W2031" i="1" s="1"/>
  <c r="V2093" i="1"/>
  <c r="W2093" i="1" s="1"/>
  <c r="V2118" i="1"/>
  <c r="W2118" i="1" s="1"/>
  <c r="Q2118" i="1"/>
  <c r="V1873" i="1"/>
  <c r="W1873" i="1" s="1"/>
  <c r="V1901" i="1"/>
  <c r="W1901" i="1" s="1"/>
  <c r="V1929" i="1"/>
  <c r="W1929" i="1" s="1"/>
  <c r="Q1976" i="1"/>
  <c r="V1999" i="1"/>
  <c r="W1999" i="1" s="1"/>
  <c r="Q2009" i="1"/>
  <c r="Q2020" i="1"/>
  <c r="Q2028" i="1"/>
  <c r="V2114" i="1"/>
  <c r="W2114" i="1" s="1"/>
  <c r="Q2135" i="1"/>
  <c r="V2163" i="1"/>
  <c r="W2163" i="1" s="1"/>
  <c r="Q2187" i="1"/>
  <c r="V2190" i="1"/>
  <c r="W2190" i="1" s="1"/>
  <c r="Q2228" i="1"/>
  <c r="Q2240" i="1"/>
  <c r="V2246" i="1"/>
  <c r="W2246" i="1" s="1"/>
  <c r="Q2284" i="1"/>
  <c r="Q2312" i="1"/>
  <c r="V2312" i="1"/>
  <c r="W2312" i="1" s="1"/>
  <c r="Q2332" i="1"/>
  <c r="Q2428" i="1"/>
  <c r="V2428" i="1"/>
  <c r="W2428" i="1" s="1"/>
  <c r="V1921" i="1"/>
  <c r="W1921" i="1" s="1"/>
  <c r="V1945" i="1"/>
  <c r="W1945" i="1" s="1"/>
  <c r="V1969" i="1"/>
  <c r="W1969" i="1" s="1"/>
  <c r="V1993" i="1"/>
  <c r="W1993" i="1" s="1"/>
  <c r="V2013" i="1"/>
  <c r="W2013" i="1" s="1"/>
  <c r="V2025" i="1"/>
  <c r="W2025" i="1" s="1"/>
  <c r="V2037" i="1"/>
  <c r="W2037" i="1" s="1"/>
  <c r="V2057" i="1"/>
  <c r="W2057" i="1" s="1"/>
  <c r="V2060" i="1"/>
  <c r="W2060" i="1" s="1"/>
  <c r="V2088" i="1"/>
  <c r="W2088" i="1" s="1"/>
  <c r="V2096" i="1"/>
  <c r="W2096" i="1" s="1"/>
  <c r="Q2131" i="1"/>
  <c r="Q2160" i="1"/>
  <c r="V2166" i="1"/>
  <c r="W2166" i="1" s="1"/>
  <c r="Q2181" i="1"/>
  <c r="V2181" i="1"/>
  <c r="W2181" i="1" s="1"/>
  <c r="Q2245" i="1"/>
  <c r="Q2319" i="1"/>
  <c r="V2401" i="1"/>
  <c r="W2401" i="1" s="1"/>
  <c r="Q2401" i="1"/>
  <c r="V2085" i="1"/>
  <c r="W2085" i="1" s="1"/>
  <c r="V2134" i="1"/>
  <c r="W2134" i="1" s="1"/>
  <c r="V2144" i="1"/>
  <c r="W2144" i="1" s="1"/>
  <c r="V2209" i="1"/>
  <c r="W2209" i="1" s="1"/>
  <c r="Q2209" i="1"/>
  <c r="V2243" i="1"/>
  <c r="W2243" i="1" s="1"/>
  <c r="Q2264" i="1"/>
  <c r="V2264" i="1"/>
  <c r="W2264" i="1" s="1"/>
  <c r="V2362" i="1"/>
  <c r="W2362" i="1" s="1"/>
  <c r="V2406" i="1"/>
  <c r="W2406" i="1" s="1"/>
  <c r="V2457" i="1"/>
  <c r="W2457" i="1" s="1"/>
  <c r="Q2457" i="1"/>
  <c r="V1893" i="1"/>
  <c r="W1893" i="1" s="1"/>
  <c r="V1917" i="1"/>
  <c r="W1917" i="1" s="1"/>
  <c r="V1941" i="1"/>
  <c r="W1941" i="1" s="1"/>
  <c r="V1965" i="1"/>
  <c r="W1965" i="1" s="1"/>
  <c r="V1989" i="1"/>
  <c r="W1989" i="1" s="1"/>
  <c r="Q2024" i="1"/>
  <c r="Q2036" i="1"/>
  <c r="V2065" i="1"/>
  <c r="W2065" i="1" s="1"/>
  <c r="V2068" i="1"/>
  <c r="W2068" i="1" s="1"/>
  <c r="Q2095" i="1"/>
  <c r="V2110" i="1"/>
  <c r="W2110" i="1" s="1"/>
  <c r="V2121" i="1"/>
  <c r="W2121" i="1" s="1"/>
  <c r="V2165" i="1"/>
  <c r="W2165" i="1" s="1"/>
  <c r="Q2165" i="1"/>
  <c r="Q2196" i="1"/>
  <c r="Q2217" i="1"/>
  <c r="V2235" i="1"/>
  <c r="W2235" i="1" s="1"/>
  <c r="V2262" i="1"/>
  <c r="W2262" i="1" s="1"/>
  <c r="Q2295" i="1"/>
  <c r="V2298" i="1"/>
  <c r="W2298" i="1" s="1"/>
  <c r="V2354" i="1"/>
  <c r="W2354" i="1" s="1"/>
  <c r="Q2354" i="1"/>
  <c r="V2390" i="1"/>
  <c r="W2390" i="1" s="1"/>
  <c r="V2009" i="1"/>
  <c r="W2009" i="1" s="1"/>
  <c r="V2045" i="1"/>
  <c r="W2045" i="1" s="1"/>
  <c r="Q2092" i="1"/>
  <c r="Q2106" i="1"/>
  <c r="Q2128" i="1"/>
  <c r="Q2175" i="1"/>
  <c r="V2257" i="1"/>
  <c r="W2257" i="1" s="1"/>
  <c r="Q2257" i="1"/>
  <c r="Q2273" i="1"/>
  <c r="Q2384" i="1"/>
  <c r="V2392" i="1"/>
  <c r="W2392" i="1" s="1"/>
  <c r="Q2431" i="1"/>
  <c r="V2276" i="1"/>
  <c r="W2276" i="1" s="1"/>
  <c r="Q2297" i="1"/>
  <c r="V2297" i="1"/>
  <c r="W2297" i="1" s="1"/>
  <c r="V2107" i="1"/>
  <c r="W2107" i="1" s="1"/>
  <c r="Q2140" i="1"/>
  <c r="Q2294" i="1"/>
  <c r="Q2339" i="1"/>
  <c r="V2342" i="1"/>
  <c r="W2342" i="1" s="1"/>
  <c r="V2384" i="1"/>
  <c r="W2384" i="1" s="1"/>
  <c r="V2438" i="1"/>
  <c r="W2438" i="1" s="1"/>
  <c r="V2462" i="1"/>
  <c r="W2462" i="1" s="1"/>
  <c r="V2103" i="1"/>
  <c r="W2103" i="1" s="1"/>
  <c r="V2150" i="1"/>
  <c r="W2150" i="1" s="1"/>
  <c r="V2187" i="1"/>
  <c r="W2187" i="1" s="1"/>
  <c r="V2214" i="1"/>
  <c r="W2214" i="1" s="1"/>
  <c r="V2228" i="1"/>
  <c r="W2228" i="1" s="1"/>
  <c r="V2254" i="1"/>
  <c r="W2254" i="1" s="1"/>
  <c r="V2284" i="1"/>
  <c r="W2284" i="1" s="1"/>
  <c r="V2287" i="1"/>
  <c r="W2287" i="1" s="1"/>
  <c r="Q2376" i="1"/>
  <c r="V2376" i="1"/>
  <c r="W2376" i="1" s="1"/>
  <c r="V2379" i="1"/>
  <c r="W2379" i="1" s="1"/>
  <c r="V2099" i="1"/>
  <c r="W2099" i="1" s="1"/>
  <c r="Q2127" i="1"/>
  <c r="V2131" i="1"/>
  <c r="W2131" i="1" s="1"/>
  <c r="Q2155" i="1"/>
  <c r="V2161" i="1"/>
  <c r="W2161" i="1" s="1"/>
  <c r="Q2161" i="1"/>
  <c r="Q2192" i="1"/>
  <c r="Q2198" i="1"/>
  <c r="V2211" i="1"/>
  <c r="W2211" i="1" s="1"/>
  <c r="Q2244" i="1"/>
  <c r="Q2261" i="1"/>
  <c r="V2324" i="1"/>
  <c r="W2324" i="1" s="1"/>
  <c r="Q2351" i="1"/>
  <c r="V2403" i="1"/>
  <c r="W2403" i="1" s="1"/>
  <c r="Q2420" i="1"/>
  <c r="V2420" i="1"/>
  <c r="W2420" i="1" s="1"/>
  <c r="V2423" i="1"/>
  <c r="W2423" i="1" s="1"/>
  <c r="V2435" i="1"/>
  <c r="W2435" i="1" s="1"/>
  <c r="V2095" i="1"/>
  <c r="W2095" i="1" s="1"/>
  <c r="Q2145" i="1"/>
  <c r="Q2373" i="1"/>
  <c r="Q2417" i="1"/>
  <c r="V2091" i="1"/>
  <c r="W2091" i="1" s="1"/>
  <c r="Q2123" i="1"/>
  <c r="V2168" i="1"/>
  <c r="W2168" i="1" s="1"/>
  <c r="Q2182" i="1"/>
  <c r="Q2207" i="1"/>
  <c r="V2272" i="1"/>
  <c r="W2272" i="1" s="1"/>
  <c r="Q2293" i="1"/>
  <c r="Q2313" i="1"/>
  <c r="V2398" i="1"/>
  <c r="W2398" i="1" s="1"/>
  <c r="V2353" i="1"/>
  <c r="W2353" i="1" s="1"/>
  <c r="Q2353" i="1"/>
  <c r="Q2427" i="1"/>
  <c r="V2427" i="1"/>
  <c r="W2427" i="1" s="1"/>
  <c r="Q2288" i="1"/>
  <c r="Q2320" i="1"/>
  <c r="Q2331" i="1"/>
  <c r="Q2372" i="1"/>
  <c r="Q2380" i="1"/>
  <c r="Q2388" i="1"/>
  <c r="Q2391" i="1"/>
  <c r="Q2416" i="1"/>
  <c r="V2416" i="1"/>
  <c r="W2416" i="1" s="1"/>
  <c r="Q2440" i="1"/>
  <c r="V2440" i="1"/>
  <c r="W2440" i="1" s="1"/>
  <c r="Q2139" i="1"/>
  <c r="Q2171" i="1"/>
  <c r="Q2184" i="1"/>
  <c r="V2188" i="1"/>
  <c r="W2188" i="1" s="1"/>
  <c r="Q2236" i="1"/>
  <c r="V2251" i="1"/>
  <c r="W2251" i="1" s="1"/>
  <c r="V2283" i="1"/>
  <c r="W2283" i="1" s="1"/>
  <c r="V2305" i="1"/>
  <c r="W2305" i="1" s="1"/>
  <c r="Q2305" i="1"/>
  <c r="Q2328" i="1"/>
  <c r="V2328" i="1"/>
  <c r="W2328" i="1" s="1"/>
  <c r="Q2336" i="1"/>
  <c r="Q2361" i="1"/>
  <c r="Q2369" i="1"/>
  <c r="Q2413" i="1"/>
  <c r="V2430" i="1"/>
  <c r="W2430" i="1" s="1"/>
  <c r="Q2453" i="1"/>
  <c r="V2465" i="1"/>
  <c r="W2465" i="1" s="1"/>
  <c r="Q2465" i="1"/>
  <c r="Q2172" i="1"/>
  <c r="Q2220" i="1"/>
  <c r="Q2268" i="1"/>
  <c r="Q2316" i="1"/>
  <c r="Q2364" i="1"/>
  <c r="Q2412" i="1"/>
  <c r="V2470" i="1"/>
  <c r="W2470" i="1" s="1"/>
  <c r="V2478" i="1"/>
  <c r="W2478" i="1" s="1"/>
  <c r="Q2260" i="1"/>
  <c r="Q2308" i="1"/>
  <c r="Q2356" i="1"/>
  <c r="Q2404" i="1"/>
  <c r="Q2452" i="1"/>
  <c r="Q2469" i="1"/>
  <c r="Q2208" i="1"/>
  <c r="Q2256" i="1"/>
  <c r="Q2304" i="1"/>
  <c r="Q2352" i="1"/>
  <c r="Q2400" i="1"/>
  <c r="Q2432" i="1"/>
  <c r="Q2439" i="1"/>
  <c r="Q2156" i="1"/>
  <c r="Q2204" i="1"/>
  <c r="Q2252" i="1"/>
  <c r="Q2300" i="1"/>
  <c r="Q2348" i="1"/>
  <c r="Q23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AIRDRIE\EQ2SVC</author>
  </authors>
  <commentList>
    <comment ref="A2" authorId="0" shapeId="0" xr:uid="{4922483B-DAAC-4B7B-9426-8FECB922EA39}">
      <text>
        <r>
          <rPr>
            <b/>
            <sz val="9"/>
            <color indexed="81"/>
            <rFont val="Tahoma"/>
            <family val="2"/>
          </rPr>
          <t>Code20</t>
        </r>
      </text>
    </comment>
    <comment ref="C2" authorId="0" shapeId="0" xr:uid="{1CDD7D7D-2E32-49F1-BA05-FD26AEF68DE4}">
      <text>
        <r>
          <rPr>
            <b/>
            <sz val="9"/>
            <color indexed="81"/>
            <rFont val="Tahoma"/>
            <family val="2"/>
          </rPr>
          <t>Code2</t>
        </r>
      </text>
    </comment>
    <comment ref="F2" authorId="0" shapeId="0" xr:uid="{42DC3029-E1F1-4B1B-8151-3D817851D520}">
      <text>
        <r>
          <rPr>
            <b/>
            <sz val="9"/>
            <color indexed="81"/>
            <rFont val="Tahoma"/>
            <family val="2"/>
          </rPr>
          <t>Text50</t>
        </r>
      </text>
    </comment>
    <comment ref="I2" authorId="0" shapeId="0" xr:uid="{7833D383-7421-4227-A14A-BF91CB85B7C5}">
      <text>
        <r>
          <rPr>
            <b/>
            <sz val="9"/>
            <color indexed="81"/>
            <rFont val="Tahoma"/>
            <family val="2"/>
          </rPr>
          <t>Code20</t>
        </r>
      </text>
    </comment>
    <comment ref="J2" authorId="0" shapeId="0" xr:uid="{8C9A7A15-9C8E-4424-B383-93BCA2D4CA69}">
      <text>
        <r>
          <rPr>
            <b/>
            <sz val="9"/>
            <color indexed="81"/>
            <rFont val="Tahoma"/>
            <family val="2"/>
          </rPr>
          <t>Code20</t>
        </r>
      </text>
    </comment>
    <comment ref="K2" authorId="0" shapeId="0" xr:uid="{626F7CD6-7FAC-41E5-9A92-B26051D3F78A}">
      <text>
        <r>
          <rPr>
            <b/>
            <sz val="9"/>
            <color indexed="81"/>
            <rFont val="Tahoma"/>
            <family val="2"/>
          </rPr>
          <t>Code20</t>
        </r>
      </text>
    </comment>
    <comment ref="M2" authorId="0" shapeId="0" xr:uid="{3CB3C30D-1107-4A3A-8FD5-B8A8A2588BE1}">
      <text>
        <r>
          <rPr>
            <b/>
            <sz val="9"/>
            <color indexed="81"/>
            <rFont val="Tahoma"/>
            <family val="2"/>
          </rPr>
          <t>Code20</t>
        </r>
      </text>
    </comment>
    <comment ref="N2" authorId="0" shapeId="0" xr:uid="{91884BD9-20D9-4E6D-97CD-4590C457DE9F}">
      <text>
        <r>
          <rPr>
            <b/>
            <sz val="9"/>
            <color indexed="81"/>
            <rFont val="Tahoma"/>
            <family val="2"/>
          </rPr>
          <t>Code20</t>
        </r>
      </text>
    </comment>
  </commentList>
</comments>
</file>

<file path=xl/sharedStrings.xml><?xml version="1.0" encoding="utf-8"?>
<sst xmlns="http://schemas.openxmlformats.org/spreadsheetml/2006/main" count="29347" uniqueCount="8009">
  <si>
    <t>Enter your  Item No  We can't have duplicates in the system so if the cell highlights blue, you need to add ; at the end enough times to make unique  Limited to 20 characters, yellow if more than this, need to cut down</t>
  </si>
  <si>
    <t>Enter your number (without any ; if you needed to add any in the 'No' field for duplicates)  Again limited to 20 characters, need to cut down if yellow
(Might be same as column A)</t>
  </si>
  <si>
    <t>Enter Vendor Number from Vendor List (new ERP number)</t>
  </si>
  <si>
    <t>Enter the suppliers name (doesn't need to be full legal one, this is just for description</t>
  </si>
  <si>
    <t xml:space="preserve">Paste in the suppliers description of the item </t>
  </si>
  <si>
    <t xml:space="preserve">Drag formula down after completing D &amp; E  Formula will combine the prior to cells  We are though restricted to 50 characters so if the cell highlights in yellow it's too long, need to cut down, or move excess to description 2 column  </t>
  </si>
  <si>
    <t>Enter if need more space to describe the Item</t>
  </si>
  <si>
    <t>Enter unit of measure</t>
  </si>
  <si>
    <t>Enter either "ITEM" or "PLANT"</t>
  </si>
  <si>
    <t>Enter "EXT-PLANT" or "ITEM"</t>
  </si>
  <si>
    <t>Enter category code to help group the items together, see "Category Code" for ones we've used so far  Can add to this list though</t>
  </si>
  <si>
    <t>Enter Price of Item</t>
  </si>
  <si>
    <t xml:space="preserve">Enter "STD20" unless you know it's not Vatable  Alternatively, "REDUCED" or "ZERO"  </t>
  </si>
  <si>
    <t>Enter a cost code for materials or plant (unless it's an overhead like stationery in which case can leave blank)</t>
  </si>
  <si>
    <t>New Price from 1st Oct</t>
  </si>
  <si>
    <t>No</t>
  </si>
  <si>
    <t>Vendor Item No</t>
  </si>
  <si>
    <t>No 2</t>
  </si>
  <si>
    <t>Suppliers Name</t>
  </si>
  <si>
    <t>Item Description</t>
  </si>
  <si>
    <t>Description for System</t>
  </si>
  <si>
    <t>Description 2</t>
  </si>
  <si>
    <t>Base Unit of Measure</t>
  </si>
  <si>
    <t>Inventory Posting Group</t>
  </si>
  <si>
    <t>Gen Prod Posting Group</t>
  </si>
  <si>
    <t>Item Category Code</t>
  </si>
  <si>
    <t>Unit Cost</t>
  </si>
  <si>
    <t>VAT Prod Posting Group</t>
  </si>
  <si>
    <t>Global Dimension 2 Code</t>
  </si>
  <si>
    <t>New Price</t>
  </si>
  <si>
    <t>% Uplift</t>
  </si>
  <si>
    <t xml:space="preserve">Comments </t>
  </si>
  <si>
    <t>00300711</t>
  </si>
  <si>
    <t>PPGA01</t>
  </si>
  <si>
    <t>PPG</t>
  </si>
  <si>
    <t>Leyland T/GUARD FLEX EXT UCOAT - DK Gry 2.5l</t>
  </si>
  <si>
    <r>
      <rPr>
        <sz val="10"/>
        <rFont val="Calibri"/>
        <family val="1"/>
      </rPr>
      <t>Each</t>
    </r>
  </si>
  <si>
    <t>Item</t>
  </si>
  <si>
    <t xml:space="preserve">item </t>
  </si>
  <si>
    <t xml:space="preserve">Paint  </t>
  </si>
  <si>
    <t xml:space="preserve">STD20 </t>
  </si>
  <si>
    <t>Discontinued</t>
  </si>
  <si>
    <t>00306057</t>
  </si>
  <si>
    <t>Johnstones DAMP PROOF PAINT - BW - 5ltr</t>
  </si>
  <si>
    <t>00380681</t>
  </si>
  <si>
    <t>Leyland DAMP BLOCK - White - 2.5ltr</t>
  </si>
  <si>
    <t>00380682</t>
  </si>
  <si>
    <t>Leyland ANTI-DAMP PAINT - Bril White 2.5ltr</t>
  </si>
  <si>
    <t>00682080</t>
  </si>
  <si>
    <t>ProGold ZIPPED DOOR PROTECTOR - 2.2M X 1.2M</t>
  </si>
  <si>
    <t>00736046</t>
  </si>
  <si>
    <t>Johnstones MORDANT SOLUTION - Blue - 5ltr</t>
  </si>
  <si>
    <t>00264737</t>
  </si>
  <si>
    <t>&amp;ULL  T/G SMTH 15Y PORTLAND S 0000001500</t>
  </si>
  <si>
    <t>00272497</t>
  </si>
  <si>
    <t>&amp;U    S/CL MASONRY BRIL WHITE 0000002100</t>
  </si>
  <si>
    <t>00272499</t>
  </si>
  <si>
    <t>&amp;U    S/CL MASONRY MAGNOLIA   0000001500</t>
  </si>
  <si>
    <t>00301766</t>
  </si>
  <si>
    <t>Johnstones ANTI CONDENSATION PAINT - 5ltr</t>
  </si>
  <si>
    <t>00302417</t>
  </si>
  <si>
    <t>&amp;U    2PK SB FLOOR TILE RED   0000001300</t>
  </si>
  <si>
    <t>00302418</t>
  </si>
  <si>
    <t>&amp;U    2PK SB FLOOR MORN MIST  0000001300</t>
  </si>
  <si>
    <t>00302420</t>
  </si>
  <si>
    <t>&amp;U    2PK SB FLOOR DARK GREEN 0000001300</t>
  </si>
  <si>
    <t>00302454</t>
  </si>
  <si>
    <t>&amp;U    2PK W/B GRAF CLEAR      0000001500</t>
  </si>
  <si>
    <t>00302456</t>
  </si>
  <si>
    <t>&amp;U    2PK W/B GRAF BASE       0000001500</t>
  </si>
  <si>
    <t>00324719</t>
  </si>
  <si>
    <t>&amp;UJST SMOOTH METAL RED        0000001250</t>
  </si>
  <si>
    <t>00326781</t>
  </si>
  <si>
    <t>&amp;UJST SMOOTH METAL GOLD       0000001250</t>
  </si>
  <si>
    <t>00727189</t>
  </si>
  <si>
    <t>00727190</t>
  </si>
  <si>
    <t>00736938</t>
  </si>
  <si>
    <t>00738716</t>
  </si>
  <si>
    <t>00852823</t>
  </si>
  <si>
    <t>&amp;U PG 2" FLEX FILL KNIFE</t>
  </si>
  <si>
    <t>00308403</t>
  </si>
  <si>
    <t>Johnstones QD METAL PRIMER - White - 2.5ltr</t>
  </si>
  <si>
    <t>00727362</t>
  </si>
  <si>
    <t>FatHog FATEV S/SKIN ROLL  EVO 9 -  - 9"ltr</t>
  </si>
  <si>
    <t>00727116</t>
  </si>
  <si>
    <t>FatHog GEN PURP MINI ROLLER 4"</t>
  </si>
  <si>
    <t>00730504</t>
  </si>
  <si>
    <t>00727365</t>
  </si>
  <si>
    <t>FatHog FATEV S/SKIN ROLL  EVO 12 -  - 12"ltr</t>
  </si>
  <si>
    <t>00732927</t>
  </si>
  <si>
    <t>FatHog FATHG DEC CAULK    BROWN      0000000295 -  - 295mlltr</t>
  </si>
  <si>
    <t>00732926</t>
  </si>
  <si>
    <t>00301938</t>
  </si>
  <si>
    <t>Johnstones SATIN WOODSTAIN -Light Oak-750ml</t>
  </si>
  <si>
    <t>00730486</t>
  </si>
  <si>
    <t>00730431</t>
  </si>
  <si>
    <t>Woodworks RAW LINSEED OIL -  - 500ltr</t>
  </si>
  <si>
    <t>00264631</t>
  </si>
  <si>
    <t>Leyland GLOSS - Empire Green - 5ltr</t>
  </si>
  <si>
    <t>00264636</t>
  </si>
  <si>
    <t>Leyland GLOSS - Peat - 5ltr</t>
  </si>
  <si>
    <t>00264697</t>
  </si>
  <si>
    <t>Leyland TRUGARD PLIOLITE - Gardenia - 5ltr</t>
  </si>
  <si>
    <t>00264709</t>
  </si>
  <si>
    <t>Leyland SUPERLEYTEX - Gardenia - 10ltr</t>
  </si>
  <si>
    <t>00264742</t>
  </si>
  <si>
    <t>Leyland TRUGUARD FINE TEXTURED - Mag - 5ltr</t>
  </si>
  <si>
    <t>00300713</t>
  </si>
  <si>
    <t>Leyland TRUGARD PLIOLITE - Pearl - 5ltr</t>
  </si>
  <si>
    <t>00300719</t>
  </si>
  <si>
    <t>Leyland TRUGARD PLIOLITE - Pale Beige - 5ltr</t>
  </si>
  <si>
    <t>00300722</t>
  </si>
  <si>
    <t>Leyland TRUGARD PLIOLITE - Peat - 5ltr</t>
  </si>
  <si>
    <t>00301528</t>
  </si>
  <si>
    <t>Stormshield SMOOTH MASONRY - C Cream - 5ltr</t>
  </si>
  <si>
    <t>00301529</t>
  </si>
  <si>
    <t>Stormshield SMOOTH MASONRY - Mushroom - 5ltr</t>
  </si>
  <si>
    <t>00301530</t>
  </si>
  <si>
    <t>Stormshield SMOOTH MASONRY - Antique - 5ltr</t>
  </si>
  <si>
    <t>00301531</t>
  </si>
  <si>
    <t>Stormshield SMOOTH MASONRY - Brick - 5ltr</t>
  </si>
  <si>
    <t>00301560</t>
  </si>
  <si>
    <t>Johnstones PRO GLOSS - Trafic Yellow - 5ltr</t>
  </si>
  <si>
    <t>00301563</t>
  </si>
  <si>
    <t>Johnstones PRO GLOSS - Saffron Yellow - 5ltr</t>
  </si>
  <si>
    <t>00301573</t>
  </si>
  <si>
    <t>Johnstones PRO GLOSS - Fiesta Red - 5ltr</t>
  </si>
  <si>
    <t>00301575</t>
  </si>
  <si>
    <t>Johnstones PRO GLOSS - Post Off Red - 5ltr</t>
  </si>
  <si>
    <t>00301768</t>
  </si>
  <si>
    <t>Johnstones ANTI MOULD ACRYLIC - MAG - 5LTR</t>
  </si>
  <si>
    <t>00301840</t>
  </si>
  <si>
    <t>Johnstones 2PK WB FLOOR - Green - 5l</t>
  </si>
  <si>
    <t>00301844</t>
  </si>
  <si>
    <t>00305860</t>
  </si>
  <si>
    <t>00305861</t>
  </si>
  <si>
    <t>Johnstones  UNIVERSAL PRIMER - White - 5ltr</t>
  </si>
  <si>
    <t>00442391</t>
  </si>
  <si>
    <t>00717210</t>
  </si>
  <si>
    <t>00723310</t>
  </si>
  <si>
    <t>00727110</t>
  </si>
  <si>
    <t>FatHog FOAM ROLLER 7"</t>
  </si>
  <si>
    <t>00727112</t>
  </si>
  <si>
    <t>00727352</t>
  </si>
  <si>
    <t>00727357</t>
  </si>
  <si>
    <t>00727366</t>
  </si>
  <si>
    <t>00727790</t>
  </si>
  <si>
    <t>Fat Hog PURE PROF BRUSH 4"</t>
  </si>
  <si>
    <t>00727809</t>
  </si>
  <si>
    <t>Fat Hog PROF WALL BRUSH 4"</t>
  </si>
  <si>
    <t>00727810</t>
  </si>
  <si>
    <t>Fat Hog PROF WALL BRUSH 5"</t>
  </si>
  <si>
    <t>00728009</t>
  </si>
  <si>
    <t>00728013</t>
  </si>
  <si>
    <t>FatHog FATHG SCALE TANG CHISEL KNIFE -  - ltr</t>
  </si>
  <si>
    <t>00730501</t>
  </si>
  <si>
    <t>00736937</t>
  </si>
  <si>
    <t>00736955</t>
  </si>
  <si>
    <t>00853283</t>
  </si>
  <si>
    <t>00305042</t>
  </si>
  <si>
    <t>Johnstones ACRYLIC EGGSHELL - Mix - 5ltr</t>
  </si>
  <si>
    <t>00305051</t>
  </si>
  <si>
    <t>Stormshield PLIOLITE - Mix - 5ltr</t>
  </si>
  <si>
    <t>00301460</t>
  </si>
  <si>
    <t>Johnstones COVAPLUS - Brilliant White 10ltr</t>
  </si>
  <si>
    <t>00307051</t>
  </si>
  <si>
    <t>Johnstones FLAME RET ACRYLIC EGGSHELL Mix 5l</t>
  </si>
  <si>
    <t>00301857</t>
  </si>
  <si>
    <t>Johnstones SOLV OPAQUE - Russet - 5ltr</t>
  </si>
  <si>
    <t>00305070</t>
  </si>
  <si>
    <t>Johnstones STEEL &amp; CLADDING - Mix - 5ltr</t>
  </si>
  <si>
    <t>00421701</t>
  </si>
  <si>
    <t>Johnstones STAINAWAY - Bril White - 5ltr</t>
  </si>
  <si>
    <t>00303395</t>
  </si>
  <si>
    <t>Johnstones QD OPAQUE - Mix - 5ltr</t>
  </si>
  <si>
    <t>00305040</t>
  </si>
  <si>
    <t>Johnstones Acrylic Durable Matt - Mix - 5ltr</t>
  </si>
  <si>
    <t>00301546</t>
  </si>
  <si>
    <t>Johnstones ACRYLIC EGGSHELL - BW - 5ltr</t>
  </si>
  <si>
    <t>00307047</t>
  </si>
  <si>
    <t>Johnstones FLAME RET DURABLE MATT - BW - 5l</t>
  </si>
  <si>
    <t>00423218</t>
  </si>
  <si>
    <t>Stormshield SMOOTH MASONRY - Mix - 5ltr</t>
  </si>
  <si>
    <t>00305034</t>
  </si>
  <si>
    <t>Johnstones COVAPLUS - Mix - 5ltr</t>
  </si>
  <si>
    <t>00423493</t>
  </si>
  <si>
    <t>Johnstones AQUA GLOSS - Bril White - 5ltr</t>
  </si>
  <si>
    <t>00375147</t>
  </si>
  <si>
    <t>Johnstones SMOOTH METAL - Black - 5ltr</t>
  </si>
  <si>
    <t>00301452</t>
  </si>
  <si>
    <t>Johnstones COVAPLUS - Magnolia - 10ltr</t>
  </si>
  <si>
    <t>00306471</t>
  </si>
  <si>
    <t>Johnstones Acrylic Durable Matt - Mix - 10l</t>
  </si>
  <si>
    <t>00423219</t>
  </si>
  <si>
    <t>Stormshield SMOOTH MASONRY - Mix - 10ltr</t>
  </si>
  <si>
    <t>00389448</t>
  </si>
  <si>
    <t>Johnstones STAINAWAY - Mix - 5ltr</t>
  </si>
  <si>
    <t>00852809</t>
  </si>
  <si>
    <t>ProGold COTTON DUST SHEET 3 PIECE 12' X 9'</t>
  </si>
  <si>
    <t>00423212</t>
  </si>
  <si>
    <t>Stormshield SMOOTH MASONRY - BW - 10ltr</t>
  </si>
  <si>
    <t>00307046</t>
  </si>
  <si>
    <t>Johnstones FLAME RET ACRYLIC EGGSHELL MAG 5l</t>
  </si>
  <si>
    <t>00306896</t>
  </si>
  <si>
    <t>Johnstones AQUA UNDERCOAT - BW - 5ltr</t>
  </si>
  <si>
    <t>00423465</t>
  </si>
  <si>
    <t>Johnstones PRO GLOSS - Brill White - 5ltr</t>
  </si>
  <si>
    <t>00309019</t>
  </si>
  <si>
    <t>Johnstones SMOOTH METAL - Mix - 5ltr</t>
  </si>
  <si>
    <t>00423213</t>
  </si>
  <si>
    <t>Stormshield SMOOTH MASONRY - Mag - 10ltr</t>
  </si>
  <si>
    <t>00737779</t>
  </si>
  <si>
    <t>EWI   STRU2G 155MM MAX 120MM INSULATION</t>
  </si>
  <si>
    <t>Each</t>
  </si>
  <si>
    <t>STD20</t>
  </si>
  <si>
    <t>00737555</t>
  </si>
  <si>
    <t>EWI   DASH RECEIVER SOFT CREAM 25KG</t>
  </si>
  <si>
    <t>00737957</t>
  </si>
  <si>
    <t>EWI   HIGH PERF RENDER BASECOAT 25KG</t>
  </si>
  <si>
    <t>00301542</t>
  </si>
  <si>
    <t>Johnstones ACRYLIC EGGSHELL - Mag - 5ltr</t>
  </si>
  <si>
    <t>00732199</t>
  </si>
  <si>
    <t>PPGA10</t>
  </si>
  <si>
    <t>Artex PROMIX LITE NEW - 17ltr</t>
  </si>
  <si>
    <t>STD29</t>
  </si>
  <si>
    <t>00306744</t>
  </si>
  <si>
    <t>Johnstones SMOOTH METAL - Mix - 2.5ltr</t>
  </si>
  <si>
    <t>00264803</t>
  </si>
  <si>
    <t>Leyland VINYL MATT - Brilliant White - 5ltr</t>
  </si>
  <si>
    <t>00305958</t>
  </si>
  <si>
    <t>Johnstones SOLV OPAQUE - Mix - 5ltr</t>
  </si>
  <si>
    <t>00731831</t>
  </si>
  <si>
    <t>Artex CORNER TAPE  30M</t>
  </si>
  <si>
    <t>00305833</t>
  </si>
  <si>
    <t>Leyland TRUGARD PLIOLITE - Mix - 5ltr</t>
  </si>
  <si>
    <t>00611476</t>
  </si>
  <si>
    <t>ProGold CONTRACTOR BRUSH 2''</t>
  </si>
  <si>
    <t>00264818</t>
  </si>
  <si>
    <t>Leyland VINYL MATT - Magnolia - 5ltr</t>
  </si>
  <si>
    <t>00301665</t>
  </si>
  <si>
    <t>Johnstones PRO UNDERCOAT - BW - 5ltr</t>
  </si>
  <si>
    <t>00307059</t>
  </si>
  <si>
    <t>Johnstones FLAME RET DURABLE MATT - Mix - 5l</t>
  </si>
  <si>
    <t>00305956</t>
  </si>
  <si>
    <t>00301463</t>
  </si>
  <si>
    <t>Johnstones COVAPLUS - Brilliant White - 5ltr</t>
  </si>
  <si>
    <t>00423505</t>
  </si>
  <si>
    <t>Johnstones AQUA GLOSS - Mix - 5ltr</t>
  </si>
  <si>
    <t>00386447</t>
  </si>
  <si>
    <t>Johnstones  JONMAT - Brilliant White - 10ltr</t>
  </si>
  <si>
    <t>00615013</t>
  </si>
  <si>
    <t>CONTRACTOR PRO SYN BRUSH SET+FREE PRODUCT</t>
  </si>
  <si>
    <t>00305033</t>
  </si>
  <si>
    <t>Johnstones COVAPLUS - Mix - 10ltr</t>
  </si>
  <si>
    <t>00306922</t>
  </si>
  <si>
    <t>Johnstones AQUA UNDERCOAT - Mix - 5ltr</t>
  </si>
  <si>
    <t>00358544</t>
  </si>
  <si>
    <t>STEELGUARD 751              3000AMEU2200</t>
  </si>
  <si>
    <t>00737420</t>
  </si>
  <si>
    <t>EWI   RENDER REINFORCING MESH CLOTH</t>
  </si>
  <si>
    <t>00306361</t>
  </si>
  <si>
    <t>Johnstones Acrylic Durable Matt - BW - 10l</t>
  </si>
  <si>
    <t>00301751</t>
  </si>
  <si>
    <t>Johnstones PROF SATIN FINISH - BW - 2.5ltr</t>
  </si>
  <si>
    <t>00307668</t>
  </si>
  <si>
    <t>Johnstones QD STEEL &amp; CLADDING - Mix - 5ltr</t>
  </si>
  <si>
    <t>00728168</t>
  </si>
  <si>
    <t>Zinsser BIN PRIMER WHITE - 5ltr</t>
  </si>
  <si>
    <t>00301863</t>
  </si>
  <si>
    <t>Johnstones SOLV OPAQUE - Ebony - 5ltr</t>
  </si>
  <si>
    <t>Artex EASY-FILL 45 - 10kg</t>
  </si>
  <si>
    <t>00718417</t>
  </si>
  <si>
    <t>PPGA07</t>
  </si>
  <si>
    <t>Artex JOINT FILLER GYP - 12.5kg</t>
  </si>
  <si>
    <t>STD26</t>
  </si>
  <si>
    <t>00305828</t>
  </si>
  <si>
    <t>Leyland ACRYLIC EGGSHELL - Mix - 5ltr</t>
  </si>
  <si>
    <t>00301695</t>
  </si>
  <si>
    <t>Stormshield PLIOLITE - Brilliant White - 5l</t>
  </si>
  <si>
    <t>00324704</t>
  </si>
  <si>
    <t>Johnstones SMOOTH METAL - Black - 2.5ltr</t>
  </si>
  <si>
    <t>00733996</t>
  </si>
  <si>
    <t>OSMO  UV PROTECT   OIL EXTRA  0000001250</t>
  </si>
  <si>
    <t>00423476</t>
  </si>
  <si>
    <t>Johnstones PRO GLOSS - Black - 5ltr</t>
  </si>
  <si>
    <t>00729828</t>
  </si>
  <si>
    <t>EASY  EASYTEX      10-036     BARK</t>
  </si>
  <si>
    <t>00853079</t>
  </si>
  <si>
    <t>ProGold MASKING TAPE 2"</t>
  </si>
  <si>
    <t>00728147</t>
  </si>
  <si>
    <t>Zinsser BIN PRIMER SEAL WHITE - 2.5ltr</t>
  </si>
  <si>
    <t>00852812</t>
  </si>
  <si>
    <t>ProGold PROTECTOR DUST SHEET 12' X 9'</t>
  </si>
  <si>
    <t>00324717</t>
  </si>
  <si>
    <t>Johnstones SMOOTH METAL - White - 2.5ltr</t>
  </si>
  <si>
    <t>00305066</t>
  </si>
  <si>
    <t>Johnstones PRO UNDERCOAT - Mix - 5ltr</t>
  </si>
  <si>
    <t>00301691</t>
  </si>
  <si>
    <t>Stormshield PLIOLITE - Magnolia - 5ltr</t>
  </si>
  <si>
    <t>00307896</t>
  </si>
  <si>
    <t>Johnstones AQUA SATIN - Mix - 5ltr</t>
  </si>
  <si>
    <t>00308459</t>
  </si>
  <si>
    <t>Johnstones QD POLY FLORTRED - Mix - 5ltr</t>
  </si>
  <si>
    <t>00305830</t>
  </si>
  <si>
    <t>Leyland TG SMOOTH MASONRY- Mix - 10ltr</t>
  </si>
  <si>
    <t>00305043</t>
  </si>
  <si>
    <t>Johnstones ACRYLIC EGGSHELL - Mix - 2.5ltr</t>
  </si>
  <si>
    <t>00302797</t>
  </si>
  <si>
    <t>Johnstones 2PK ADHESION PRIMER - White -2.5l</t>
  </si>
  <si>
    <t>00423202</t>
  </si>
  <si>
    <t>Stormshield SMOOTH MASONRY - BW - 5ltr</t>
  </si>
  <si>
    <t>00301472</t>
  </si>
  <si>
    <t>Johnstones Acrylic Durable Matt - BW - 5ltr</t>
  </si>
  <si>
    <t>00301634</t>
  </si>
  <si>
    <t>Johnstones JONCRYL QD PRIMER - BW -  5ltr</t>
  </si>
  <si>
    <t>00421703</t>
  </si>
  <si>
    <t>Johnstones STAINAWAY - Bril White - 10ltr</t>
  </si>
  <si>
    <t>00307667</t>
  </si>
  <si>
    <t>Johnstones AQUA SATIN - Bril White - 5ltr</t>
  </si>
  <si>
    <t>00852653</t>
  </si>
  <si>
    <t>Artex JOINT TAPE 150M 19646 (60020)</t>
  </si>
  <si>
    <t>00306894</t>
  </si>
  <si>
    <t>Johnstones AQUA UNDERCOAT - BW - 2.5ltr</t>
  </si>
  <si>
    <t>00308408</t>
  </si>
  <si>
    <t>Johnstones QD ZINC PHOS PRIMER - Grey - 5ltr</t>
  </si>
  <si>
    <t>00307048</t>
  </si>
  <si>
    <t>Johnstones FLAME RET DURABLE MATT - MAG - 5l</t>
  </si>
  <si>
    <t>00423381</t>
  </si>
  <si>
    <t>Johnstones AQUAGUARD - Mix - 5ltr</t>
  </si>
  <si>
    <t>00718439</t>
  </si>
  <si>
    <t>PPGA09</t>
  </si>
  <si>
    <t>Artex THISTLE FT50 PROTAPE</t>
  </si>
  <si>
    <t>STD28</t>
  </si>
  <si>
    <t>00852919</t>
  </si>
  <si>
    <t>ProGold LONG PILE POLYESTER ROLLER 4"</t>
  </si>
  <si>
    <t>00264604</t>
  </si>
  <si>
    <t>Leyland GLOSS - Brilliant White - 2.5ltr</t>
  </si>
  <si>
    <t>00852828</t>
  </si>
  <si>
    <t>ProGold SYNTHETIC SASH BRUSH SET</t>
  </si>
  <si>
    <t>00423204</t>
  </si>
  <si>
    <t>Stormshield SMOOTH MASONRY - Black - 5ltr</t>
  </si>
  <si>
    <t>00301842</t>
  </si>
  <si>
    <t>Johnstones 2PK WB FLOOR - Tile Red - 5ltr</t>
  </si>
  <si>
    <t>00737547</t>
  </si>
  <si>
    <t>EWI   DASH RECEIVER NATURAL WHITE 25KG</t>
  </si>
  <si>
    <t>00423492</t>
  </si>
  <si>
    <t>Johnstones AQUA GLOSS - Bril White - 2.5ltr</t>
  </si>
  <si>
    <t>00736947</t>
  </si>
  <si>
    <t>RODO 5L MINI BLCK SCUTTLE</t>
  </si>
  <si>
    <t>00321137</t>
  </si>
  <si>
    <t>FD STEELGUARD 2458 BAS (X)  XXXXCCEU2200</t>
  </si>
  <si>
    <t>00305069</t>
  </si>
  <si>
    <t>Stormshield FLEXIBLE EX GLOSS - Mix - 2.5ltr</t>
  </si>
  <si>
    <t>00303391</t>
  </si>
  <si>
    <t>Johnstones QD OPAQUE - Jacobean - 5ltr</t>
  </si>
  <si>
    <t>00852428</t>
  </si>
  <si>
    <t>ProGold WHITE SPIRIT 4ltr</t>
  </si>
  <si>
    <t>00423464</t>
  </si>
  <si>
    <t>Johnstones PRO GLOSS - Brill White - 2.5ltr</t>
  </si>
  <si>
    <t>00423746</t>
  </si>
  <si>
    <t>Johnstones FLORTRED Tile Red - 5ltr</t>
  </si>
  <si>
    <t>00723493</t>
  </si>
  <si>
    <t>PLASTIC 12"  SKUTTLE</t>
  </si>
  <si>
    <t>00301734</t>
  </si>
  <si>
    <t>Stormshield FLEXIBLE EX GLOSS - BW - 2.5ltr</t>
  </si>
  <si>
    <t>00301856</t>
  </si>
  <si>
    <t>Johnstones SOLV OPAQUE - Jacobean - 5ltr</t>
  </si>
  <si>
    <t>00852916</t>
  </si>
  <si>
    <t>ProGold WOVEN MEDIUM PILE ROLLER 4"</t>
  </si>
  <si>
    <t>00728166</t>
  </si>
  <si>
    <t>ZINSR BULLSEYE 123 WHITE      0000001500</t>
  </si>
  <si>
    <t>00852474</t>
  </si>
  <si>
    <t>ProGold ROUGH ROLLER 9"</t>
  </si>
  <si>
    <t>00423745</t>
  </si>
  <si>
    <t>Johnstones FLORTRED Princess Grey - 5ltr</t>
  </si>
  <si>
    <t>00303392</t>
  </si>
  <si>
    <t>Johnstones QD OPAQUE - Ebony - 5ltr</t>
  </si>
  <si>
    <t>00649579</t>
  </si>
  <si>
    <t>Artex QUICKSAND 25kg</t>
  </si>
  <si>
    <t>00301688</t>
  </si>
  <si>
    <t>Johnstones ALKALI RESIST PRIMER - BW - 5ltr</t>
  </si>
  <si>
    <t>00301843</t>
  </si>
  <si>
    <t>Johnstones 2PK WB FLOOR - Princs Grey - 5ltr</t>
  </si>
  <si>
    <t>00301866</t>
  </si>
  <si>
    <t>Johnstones SOLV OPAQUE - White - 5ltr</t>
  </si>
  <si>
    <t>00852426</t>
  </si>
  <si>
    <t>ProGold TURPS SUBSTITUTE 4ltr</t>
  </si>
  <si>
    <t>00423259</t>
  </si>
  <si>
    <t>Johnstones PERFECT MATT - Mix- 10ltr</t>
  </si>
  <si>
    <t>00611477</t>
  </si>
  <si>
    <t>ProGold CONTRACTOR BRUSH 3"</t>
  </si>
  <si>
    <t>00423504</t>
  </si>
  <si>
    <t>Johnstones AQUA GLOSS - Mix - 2.5ltr</t>
  </si>
  <si>
    <t>00306003</t>
  </si>
  <si>
    <t>Johnstones PROF SATIN FINISH - Mix - 2.5ltr</t>
  </si>
  <si>
    <t>00718440</t>
  </si>
  <si>
    <t>ARTEX DRYWALL PRIM 10L        PROTAP2100</t>
  </si>
  <si>
    <t>00305071</t>
  </si>
  <si>
    <t>Stormshield FLEXIBLE EX U/C - Mix - 2.5ltr</t>
  </si>
  <si>
    <t>00301753</t>
  </si>
  <si>
    <t>Johnstones MICROBAR-ACRY EGGSHELL - BW - 5l</t>
  </si>
  <si>
    <t>00737475</t>
  </si>
  <si>
    <t>EWI   DASHING SPAR FRANSPAR 25KG</t>
  </si>
  <si>
    <t>00307666</t>
  </si>
  <si>
    <t>Johnstones AQUA SATIN - Bril White - 2.5ltr</t>
  </si>
  <si>
    <t>00389449</t>
  </si>
  <si>
    <t>Johnstones STAINAWAY - Mix - 10ltr</t>
  </si>
  <si>
    <t>00737643</t>
  </si>
  <si>
    <t>EWI   BOXBS CLIPON NOSE W/MESH 2.5M 10MM</t>
  </si>
  <si>
    <t>00301854</t>
  </si>
  <si>
    <t>Johnstones SOLV OPAQUE - Rustic Oak - 5ltr</t>
  </si>
  <si>
    <t>00423208</t>
  </si>
  <si>
    <t>Stormshield SMOOTH MASONRY - Magnolia - 5ltr</t>
  </si>
  <si>
    <t>00734926</t>
  </si>
  <si>
    <t>BLINE ONE TIME     FILLER 4L  TOEBOA1400</t>
  </si>
  <si>
    <t>00306920</t>
  </si>
  <si>
    <t>Johnstones AQUA UNDERCOAT - Mix - 2.5ltr</t>
  </si>
  <si>
    <t>00852476</t>
  </si>
  <si>
    <t>ProGold ROUGH ROLLER 4"</t>
  </si>
  <si>
    <t>00611465</t>
  </si>
  <si>
    <t>ProGold CLASSIC SYNTHETIC BRUSH 5 PIECE PACK</t>
  </si>
  <si>
    <t>00423747</t>
  </si>
  <si>
    <t>Johnstones FLORTRED Dark Grey - 5ltr</t>
  </si>
  <si>
    <t>00305030</t>
  </si>
  <si>
    <t>Johnstones VINYL SOFT SHEEN - Mix - 5ltr</t>
  </si>
  <si>
    <t>00852424</t>
  </si>
  <si>
    <t>ProGold READY MIX ALL PUR WALLCOV ADH 10kg</t>
  </si>
  <si>
    <t>00325104</t>
  </si>
  <si>
    <t>Johnstones ROAD MARKING - White - 5ltr</t>
  </si>
  <si>
    <t>00303707</t>
  </si>
  <si>
    <t>Johstones STEEL &amp; CLADDING - BW - 5ltr</t>
  </si>
  <si>
    <t>00852923</t>
  </si>
  <si>
    <t>ProGold WOVEN LONG PILE ROLLER 9"</t>
  </si>
  <si>
    <t>00302178</t>
  </si>
  <si>
    <t>Johnstones QD FLOOR VARN - Clr Gloss - 2.5l</t>
  </si>
  <si>
    <t>00734825</t>
  </si>
  <si>
    <t>Artex EASI FILLER 5X 1KG BAGS</t>
  </si>
  <si>
    <t>00305823</t>
  </si>
  <si>
    <t>Leyland VINYL MATT - Mix - 5ltr</t>
  </si>
  <si>
    <t>00264371</t>
  </si>
  <si>
    <t>Leyland ACRYLIC EGGSHELL   - Magnolia - 5ltr</t>
  </si>
  <si>
    <t>00306897</t>
  </si>
  <si>
    <t>Johnstones AQUA UNDERCOAT - DK GRY - 5ltr</t>
  </si>
  <si>
    <t>00305035</t>
  </si>
  <si>
    <t>Johnstones COVAPLUS - Mix - 2.5ltr</t>
  </si>
  <si>
    <t>00307045</t>
  </si>
  <si>
    <t>Johnstones FLAME RET ACRYLIC EGGSHELL BW 5l</t>
  </si>
  <si>
    <t>00852478</t>
  </si>
  <si>
    <t>ProGold MICROFIBRE ROLLER 4"</t>
  </si>
  <si>
    <t>00264366</t>
  </si>
  <si>
    <t>Leyland ACRYLIC PRIMER U/COAT - White - 5ltr</t>
  </si>
  <si>
    <t>00264786</t>
  </si>
  <si>
    <t>Leyland UNDERCOAT - Brilliant White - 5ltr</t>
  </si>
  <si>
    <t>00852554</t>
  </si>
  <si>
    <t>ProGold HEAVY DUTY Multi Wipes - Pack 75</t>
  </si>
  <si>
    <t>00301958</t>
  </si>
  <si>
    <t>Johnstones SATIN WOODSTAIN - Med Oak - 5ltr</t>
  </si>
  <si>
    <t>00301717</t>
  </si>
  <si>
    <t>Johnstones VINYL SILK - Magnolia - 10ltr</t>
  </si>
  <si>
    <t>00264369</t>
  </si>
  <si>
    <t>Leyland ACRYLIC EGGSHELL - BW - 5ltr</t>
  </si>
  <si>
    <t>00737701</t>
  </si>
  <si>
    <t>EWI   GALV ANGLE PLASTIC NOSE 3.0M 60MM</t>
  </si>
  <si>
    <t>00852920</t>
  </si>
  <si>
    <t>ProGold WOVEN MEDIUM PILE ROLLER 9"</t>
  </si>
  <si>
    <t>00852816</t>
  </si>
  <si>
    <t>ProGold HEAVY DUTY ROLLER FRAME - 9"</t>
  </si>
  <si>
    <t>00301455</t>
  </si>
  <si>
    <t>Johnstones COVAPLUS - Magnolia - 5ltr</t>
  </si>
  <si>
    <t>00264695</t>
  </si>
  <si>
    <t>Leyland TRUGARD PLIOLITE - Black - 5ltr</t>
  </si>
  <si>
    <t>00853382</t>
  </si>
  <si>
    <t>BLACKROCK PT LW GRIP GLOVE L/XL</t>
  </si>
  <si>
    <t>00301745</t>
  </si>
  <si>
    <t>Stormshield FLEXIBLE EX U/C - BW - 2.5ltr</t>
  </si>
  <si>
    <t>00264565</t>
  </si>
  <si>
    <t>Leyland CONTRACT MATT - Brill White - 10ltr</t>
  </si>
  <si>
    <t>00737822</t>
  </si>
  <si>
    <t>EWI   SDK U 45MM 100 PACK</t>
  </si>
  <si>
    <t>00303394</t>
  </si>
  <si>
    <t>Johnstones QD OPAQUE - White - 5ltr</t>
  </si>
  <si>
    <t>00305063</t>
  </si>
  <si>
    <t>Johnstones EGGSHELL - Mix - 5ltr</t>
  </si>
  <si>
    <t>00852822</t>
  </si>
  <si>
    <t>ProGold EXTENSION POLE 4'-8'</t>
  </si>
  <si>
    <t>00301668</t>
  </si>
  <si>
    <t>Johnstones PRO UNDERCOAT - Dark Grey - 5ltr</t>
  </si>
  <si>
    <t>00303709</t>
  </si>
  <si>
    <t>Johstones STEEL &amp; CLADDING - Black - 5ltr</t>
  </si>
  <si>
    <t>00852471</t>
  </si>
  <si>
    <t>ProGold SMOOTH ROLLER 4"</t>
  </si>
  <si>
    <t>00423529</t>
  </si>
  <si>
    <t>ProGold DEC CAULK WHITE 380ml</t>
  </si>
  <si>
    <t>PPGA06</t>
  </si>
  <si>
    <t>Artex GYPROC EASYFILL 5KG</t>
  </si>
  <si>
    <t>STD25</t>
  </si>
  <si>
    <t>00737720</t>
  </si>
  <si>
    <t>EWI   ROCKWOOL 90MM 1200 X 600 MM</t>
  </si>
  <si>
    <t>00611464</t>
  </si>
  <si>
    <t>ProGold CLASSIC SYNTHETIC BRUSH 3 PIECE PACK</t>
  </si>
  <si>
    <t>00305831</t>
  </si>
  <si>
    <t>Leyland TG SMOOTH MASONRY- Mix - 5ltr</t>
  </si>
  <si>
    <t>00423683</t>
  </si>
  <si>
    <t>ProGold PREMIUM FLEXI CAULK - White - 380ml</t>
  </si>
  <si>
    <t>00301719</t>
  </si>
  <si>
    <t>Johnstones VINYL SILK - Magnolia - 5ltr</t>
  </si>
  <si>
    <t>00737919</t>
  </si>
  <si>
    <t>BLACKROCK PAINTERS GLOVES L WEIGHT</t>
  </si>
  <si>
    <t>00611478</t>
  </si>
  <si>
    <t>ProGold CONTRACTOR BRUSH SET 5 PIECE PACK</t>
  </si>
  <si>
    <t>00325105</t>
  </si>
  <si>
    <t>Johnstones ROAD MARKING - Yellow - 5ltr</t>
  </si>
  <si>
    <t>00682319</t>
  </si>
  <si>
    <t>ProGold POLYTHENE ROLL DUST SHEET - 2M X 50M</t>
  </si>
  <si>
    <t>00424019</t>
  </si>
  <si>
    <t>Stormshield SILICONE MASONRY - Mix - 5ltr</t>
  </si>
  <si>
    <t>00308192</t>
  </si>
  <si>
    <t>00301967</t>
  </si>
  <si>
    <t>Johnstones SATIN WOODSTAIN - Mahogany - 5ltr</t>
  </si>
  <si>
    <t>00304323</t>
  </si>
  <si>
    <t>Johnstones STABILISING SOLU - Clear - 5ltr</t>
  </si>
  <si>
    <t>00611475</t>
  </si>
  <si>
    <t>ProGold CONTRACTOR BRUSH 1.5"</t>
  </si>
  <si>
    <t>00301633</t>
  </si>
  <si>
    <t>Johnstones JONCRYL QD PRIMER - BW - 2.5ltr</t>
  </si>
  <si>
    <t>00737690</t>
  </si>
  <si>
    <t>EWI   WHITE PLASTIC STOP BEAD 2.5M 10MM</t>
  </si>
  <si>
    <t>PPGA05</t>
  </si>
  <si>
    <t>Artex EASI-FILL- 10kg</t>
  </si>
  <si>
    <t>STD24</t>
  </si>
  <si>
    <t>00302180</t>
  </si>
  <si>
    <t>Johnstones QD FLOOR VARN - Clr Satin - 2.5l</t>
  </si>
  <si>
    <t>00300400</t>
  </si>
  <si>
    <t>Johnstones ACRYLIC SATIN - Bril White - 5ltr</t>
  </si>
  <si>
    <t>00852808</t>
  </si>
  <si>
    <t>ProGold COTTON DUST SHEET 12' X 9'</t>
  </si>
  <si>
    <t>00852821</t>
  </si>
  <si>
    <t>ProGold EXTENSION POLE 2'-4'</t>
  </si>
  <si>
    <t>00722129</t>
  </si>
  <si>
    <t>K     REFUSE SACKS (50) POLY  BLACK (RS2</t>
  </si>
  <si>
    <t>00301943</t>
  </si>
  <si>
    <t>Johnstones SATIN WOODSTAIN-Antiq Pine- 5ltr</t>
  </si>
  <si>
    <t>00852818</t>
  </si>
  <si>
    <t>ProGold SOFT GRIP MINI ROLLER FRAME - 4"</t>
  </si>
  <si>
    <t>00306543</t>
  </si>
  <si>
    <t>Johnstones ENDURA - Mix - 5ltr</t>
  </si>
  <si>
    <t>00852798</t>
  </si>
  <si>
    <t>ProGold ALUMINIUM OXIDE GRD120 5M</t>
  </si>
  <si>
    <t>00852372</t>
  </si>
  <si>
    <t>WATCO SPEC CONF FL RAL COLS   0000001500</t>
  </si>
  <si>
    <t>00264625</t>
  </si>
  <si>
    <t>Leyland VINYL MATT - Brilliant White - 10ltr</t>
  </si>
  <si>
    <t>00301957</t>
  </si>
  <si>
    <t>Johnstones SATIN WOODSTAIN - Med Oak -2.5ltr</t>
  </si>
  <si>
    <t>00301732</t>
  </si>
  <si>
    <t>Stormshield FLEXIBLE EX GLOSS - Black- 2.5l</t>
  </si>
  <si>
    <t>00852802</t>
  </si>
  <si>
    <t>ProGold ALUMINIUM OXIDE GRD120 10M</t>
  </si>
  <si>
    <t>00852429</t>
  </si>
  <si>
    <t>ProGold WHITE SPIRIT 2ltr</t>
  </si>
  <si>
    <t>00737310</t>
  </si>
  <si>
    <t>EASYL LINING PAPER 1200 DOUBL</t>
  </si>
  <si>
    <t>00611392</t>
  </si>
  <si>
    <t>TESA PR MASK TAPE 50M X 50MM 4440</t>
  </si>
  <si>
    <t>00301664</t>
  </si>
  <si>
    <t>Johnstones PRO UNDERCOAT - BW - 2.5ltr</t>
  </si>
  <si>
    <t>00723486</t>
  </si>
  <si>
    <t>PLASTIC 15"  SCUTTLE</t>
  </si>
  <si>
    <t>00306360</t>
  </si>
  <si>
    <t>Johnstones Acrylic Durable Matt - Mag - 10l</t>
  </si>
  <si>
    <t>00304285</t>
  </si>
  <si>
    <t>Johnstones ULTRA PRIMER SEALER - BW - 5ltr</t>
  </si>
  <si>
    <t>Artex EASI FILL 20 10KG</t>
  </si>
  <si>
    <t>00306952</t>
  </si>
  <si>
    <t>Johnstones STAIN BLOCK PRIMER - White - 5ltr</t>
  </si>
  <si>
    <t>00301841</t>
  </si>
  <si>
    <t>Johnstones 2PK WB FLOOR - Morn Mist - 5ltr</t>
  </si>
  <si>
    <t>00852553</t>
  </si>
  <si>
    <t>ProGold Multi Wipes - Pack 100</t>
  </si>
  <si>
    <t>00423469</t>
  </si>
  <si>
    <t>Johnstones PRO GLOSS - Black - 2.5ltr</t>
  </si>
  <si>
    <t>00301680</t>
  </si>
  <si>
    <t>Johnstones EGGSHELL - Brilliant White - 5ltr</t>
  </si>
  <si>
    <t>00264820</t>
  </si>
  <si>
    <t>Leyland VINYL MATT - Magnolia - 10ltr</t>
  </si>
  <si>
    <t>00305067</t>
  </si>
  <si>
    <t>Johnstones PRO UNDERCOAT - Mix - 2.5ltr</t>
  </si>
  <si>
    <t>00852805</t>
  </si>
  <si>
    <t>ProGold ALUMINIUM OXIDE GRD80 10M</t>
  </si>
  <si>
    <t>00633142</t>
  </si>
  <si>
    <t>ZINSR BULLSEYE 123 WHITE      0000001250</t>
  </si>
  <si>
    <t>00264698</t>
  </si>
  <si>
    <t>Leyland TRUGARD PLIOLITE - Magnolia - 5ltr</t>
  </si>
  <si>
    <t>00737674</t>
  </si>
  <si>
    <t>EWI   WHIPLASTIC EXPANSION BEAD 2.5M10MM</t>
  </si>
  <si>
    <t>00728163</t>
  </si>
  <si>
    <t>Zinsser BIN PRIMER WHITE 1ltr</t>
  </si>
  <si>
    <t>Artex EASIFILL 20 5KG</t>
  </si>
  <si>
    <t>00301485</t>
  </si>
  <si>
    <t>Johnstones VINYL SOFT SHEEN - BW - 10ltr</t>
  </si>
  <si>
    <t>00301468</t>
  </si>
  <si>
    <t>Johnstones Acrylic Durable Matt - Mag -5ltr</t>
  </si>
  <si>
    <t>00852409</t>
  </si>
  <si>
    <t>ProGold ALL PURPOSE WALL ADHESIVE 36 roll</t>
  </si>
  <si>
    <t>00852555</t>
  </si>
  <si>
    <t>ProGold Multi Wipes - Pack 300</t>
  </si>
  <si>
    <t>00305041</t>
  </si>
  <si>
    <t>Johnstones Acrylic Durable Matt - Mix - 2.5l</t>
  </si>
  <si>
    <t>00301722</t>
  </si>
  <si>
    <t>Johnstones VINYL SILK - BW - 10ltr</t>
  </si>
  <si>
    <t>00307895</t>
  </si>
  <si>
    <t>Johnstones AQUA SATIN - Mix - 2.5ltr</t>
  </si>
  <si>
    <t>00423503</t>
  </si>
  <si>
    <t>Johnstones AQUA GLOSS - Mix - 1ltr</t>
  </si>
  <si>
    <t>00305858</t>
  </si>
  <si>
    <t>Johnstones UNI PRIMER - Red Oxide - 5ltr</t>
  </si>
  <si>
    <t>00307976</t>
  </si>
  <si>
    <t>Johnstones QD OPAQUE - Mix - 2.5ltr</t>
  </si>
  <si>
    <t>00358302</t>
  </si>
  <si>
    <t>Johnstones QD STEEL &amp; CLADDING - BW - 5ltr</t>
  </si>
  <si>
    <t>00728161</t>
  </si>
  <si>
    <t>ZINSR COVERSTAIN   WHITE      0000001500</t>
  </si>
  <si>
    <t>00264696</t>
  </si>
  <si>
    <t>Leyland TRUGARD PLIOLITE - Bril White - 5ltr</t>
  </si>
  <si>
    <t>00264621</t>
  </si>
  <si>
    <t>Leyland FLOOR PAINT - Tile Red - 5ltr</t>
  </si>
  <si>
    <t>00734925</t>
  </si>
  <si>
    <t>BEELINE ONE TIME FILLER 1L</t>
  </si>
  <si>
    <t>00852918</t>
  </si>
  <si>
    <t>ProGold EXTRA LONG PILE POLYESTER ROLLER 9"</t>
  </si>
  <si>
    <t>00301819</t>
  </si>
  <si>
    <t>Johnstones QD ZINC PHOS - White - 5ltr</t>
  </si>
  <si>
    <t>00852915</t>
  </si>
  <si>
    <t>PGOLD SIM MOHAIR   4" ROLLER</t>
  </si>
  <si>
    <t>00301837</t>
  </si>
  <si>
    <t>Johnstones HEAVY DUTY GLAZE - Clear - 5ltr</t>
  </si>
  <si>
    <t>00852801</t>
  </si>
  <si>
    <t>ProGold ALUMINIUM OXIDE GRD80 5M</t>
  </si>
  <si>
    <t>00308406</t>
  </si>
  <si>
    <t>Johnstones ADV MULTI SURF PRIMER - BW - 5ltr</t>
  </si>
  <si>
    <t>00264566</t>
  </si>
  <si>
    <t>Leyland CONTRACT MATT - Magnolia - 10ltr</t>
  </si>
  <si>
    <t>00305045</t>
  </si>
  <si>
    <t>Johnstones MICROBAR-ACRY EGGSHELL - Mix - 5l</t>
  </si>
  <si>
    <t>00302008</t>
  </si>
  <si>
    <t>Johnstones SHED &amp; FENCE - Dark Oak - 9ltr</t>
  </si>
  <si>
    <t>00301952</t>
  </si>
  <si>
    <t>Johnstones SATIN WOODSTAIN - Ebony - 5ltr</t>
  </si>
  <si>
    <t>00852473</t>
  </si>
  <si>
    <t>ProGold SEMI ROUGH ROLLER 9"</t>
  </si>
  <si>
    <t>00615158</t>
  </si>
  <si>
    <t>RODO  MULTI PURPSE PASTE TBLE</t>
  </si>
  <si>
    <t>00300630</t>
  </si>
  <si>
    <t>Woodworks YACHT VARNISH - Clear Gloss - 5ltr</t>
  </si>
  <si>
    <t>00720265</t>
  </si>
  <si>
    <t>Artex SANDER PAPER A4X25 120GM</t>
  </si>
  <si>
    <t>00307678</t>
  </si>
  <si>
    <t>JST   1.5 S/CONE EN RENDER WH 0000002250</t>
  </si>
  <si>
    <t>00423380</t>
  </si>
  <si>
    <t>Johnstones AQUAGUARD - Mix - 2.5ltr</t>
  </si>
  <si>
    <t>00261714</t>
  </si>
  <si>
    <t>S'FAST 20 GREY              500000EU1500</t>
  </si>
  <si>
    <t>00732196</t>
  </si>
  <si>
    <t>ZINSR COVERSTAIN   WHITE      0000001250</t>
  </si>
  <si>
    <t>00301725</t>
  </si>
  <si>
    <t>Johnstones VINYL SILK - BW - 5ltr</t>
  </si>
  <si>
    <t>00852422</t>
  </si>
  <si>
    <t>ProGold READY MIXED ALL PURPOSE FILLER 2kg</t>
  </si>
  <si>
    <t>00264726</t>
  </si>
  <si>
    <t>Leyland TG SMOOTH MASONRY - BW - 10ltr</t>
  </si>
  <si>
    <t>00305037</t>
  </si>
  <si>
    <t>Johnstones VINYL SILK - Mix - 5ltr</t>
  </si>
  <si>
    <t>00723492</t>
  </si>
  <si>
    <t>STRIKER &amp; POLE 2 X 2"</t>
  </si>
  <si>
    <t>00324713</t>
  </si>
  <si>
    <t>Johnstones SMOOTH METAL - Silver - 2.5ltr</t>
  </si>
  <si>
    <t>00737935</t>
  </si>
  <si>
    <t>RODO  DUSTING BRSH 4"</t>
  </si>
  <si>
    <t>00305053</t>
  </si>
  <si>
    <t>Johnstones ACRYLIC SATIN - Mix - 5ltr</t>
  </si>
  <si>
    <t>00386446</t>
  </si>
  <si>
    <t>Johnstones  JONMAT - Magnolia - 10ltr</t>
  </si>
  <si>
    <t>00852475</t>
  </si>
  <si>
    <t>ProGold ROUGH ROLLER 12"</t>
  </si>
  <si>
    <t>00423258</t>
  </si>
  <si>
    <t>Johnstones PERFECT MATT - Mix- 5ltr</t>
  </si>
  <si>
    <t>00304862</t>
  </si>
  <si>
    <t>Woodworks POLY VARNISH - Satin Clear - 5l</t>
  </si>
  <si>
    <t>00423618</t>
  </si>
  <si>
    <t>GORI 88 Trans - Mix - 5ltr</t>
  </si>
  <si>
    <t>00739809</t>
  </si>
  <si>
    <t>EWI   STR PLUG *BOX 500*</t>
  </si>
  <si>
    <t>00306950</t>
  </si>
  <si>
    <t>Stormshield FLEXIBLE EX SATIN - Mix - 2.5ltr</t>
  </si>
  <si>
    <t>00301859</t>
  </si>
  <si>
    <t>Johnstones SOLV OPAQUE - Burnt Wal - 5ltr</t>
  </si>
  <si>
    <t>00305064</t>
  </si>
  <si>
    <t>Johnstones EGGSHELL - Mix - 2.5ltr</t>
  </si>
  <si>
    <t>00302007</t>
  </si>
  <si>
    <t>Johnstones SHED &amp; FENCE - Dark Oak - 5ltr</t>
  </si>
  <si>
    <t>00737313</t>
  </si>
  <si>
    <t>EASYL LINING PAPER 1400 DOUBL</t>
  </si>
  <si>
    <t>00611461</t>
  </si>
  <si>
    <t>ProGold CLASSIC SYNTHETIC BRUSH 2"</t>
  </si>
  <si>
    <t>00718565</t>
  </si>
  <si>
    <t>Artex Artex SAND PAPER 100GM 600211 -  - ltr</t>
  </si>
  <si>
    <t>00306524</t>
  </si>
  <si>
    <t>Johnstones FLORTRED ANTI SLiP - P Grey - 5l</t>
  </si>
  <si>
    <t>00611474</t>
  </si>
  <si>
    <t>ProGold CONTRACTOR BRUSH 1"</t>
  </si>
  <si>
    <t>00301679</t>
  </si>
  <si>
    <t>Johnstones EGGSHELL - Brill White - 2.5ltr</t>
  </si>
  <si>
    <t>00423751</t>
  </si>
  <si>
    <t>Johnstones FLORTRED Safety Blue - 5ltr</t>
  </si>
  <si>
    <t>00737956</t>
  </si>
  <si>
    <t>EWI   INSULATION PANEL ADHESIVE 25KG</t>
  </si>
  <si>
    <t>00301998</t>
  </si>
  <si>
    <t>Johnstones QD Woodstain - Mahogany - 2.5l</t>
  </si>
  <si>
    <t>00264365</t>
  </si>
  <si>
    <t>Leyland ACRYLIC PRIME U/COAT - White -2.5ltr</t>
  </si>
  <si>
    <t>00738464</t>
  </si>
  <si>
    <t>EWI   BASETRACK JOINT CLIPS</t>
  </si>
  <si>
    <t>00611473</t>
  </si>
  <si>
    <t>ProGold CLASSIC HYBRID BRUSH 5 PIECE PACK</t>
  </si>
  <si>
    <t>00306947</t>
  </si>
  <si>
    <t>Stormshield FLEXIBLE EX SATIN - BW - 2.5ltr</t>
  </si>
  <si>
    <t>00728164</t>
  </si>
  <si>
    <t>Zinsser BIN PRIMER SEALER WHITE - 400ml</t>
  </si>
  <si>
    <t>00302419</t>
  </si>
  <si>
    <t>Johnstones 2PK SOLV FLOOR - Prin Grey - 4ltr</t>
  </si>
  <si>
    <t>00423615</t>
  </si>
  <si>
    <t>GORI 88 Opaque - Mix - 5ltr</t>
  </si>
  <si>
    <t>00852804</t>
  </si>
  <si>
    <t>ProGold ALUMINIUM OXIDE GRD60 10M</t>
  </si>
  <si>
    <t>00633322</t>
  </si>
  <si>
    <t>RODO CARPET PROTECTOR 20MX600MM</t>
  </si>
  <si>
    <t>00615244</t>
  </si>
  <si>
    <t>RODO 400ML SKELETON CAULKINGGUN XSTRONG</t>
  </si>
  <si>
    <t>00852922</t>
  </si>
  <si>
    <t>ProGold WOVEN LONG PILE ROLLER 12"</t>
  </si>
  <si>
    <t>00238865</t>
  </si>
  <si>
    <t>SD S'DUR 550 SET (X)        XXXXCCEU2200</t>
  </si>
  <si>
    <t>00306525</t>
  </si>
  <si>
    <t>Johnstones FLORTRED ANTI SLIP - Dk Grey - 5l</t>
  </si>
  <si>
    <t>00852406</t>
  </si>
  <si>
    <t>ProGold ALL PURPOSE POWDER FILLER 10kg</t>
  </si>
  <si>
    <t>00301743</t>
  </si>
  <si>
    <t>Stormshield FLEXIBLE EX U/C - Grey - 2.5ltr</t>
  </si>
  <si>
    <t>00852427</t>
  </si>
  <si>
    <t>ProGold TURPS SUBSTITUTE 2ltr</t>
  </si>
  <si>
    <t>00852817</t>
  </si>
  <si>
    <t>ProGold SOFT HANDLE ROLLER FRAME - 9"</t>
  </si>
  <si>
    <t>00852815</t>
  </si>
  <si>
    <t>ProGold WOODEN HANDLE ROLLER FRAME - 9"</t>
  </si>
  <si>
    <t>00306918</t>
  </si>
  <si>
    <t>Johnstones AQUA UNDERCOAT - Mix - 1ltr</t>
  </si>
  <si>
    <t>00611463</t>
  </si>
  <si>
    <t>ProGold CLASSIC SYNTHETIC BRUSH 4"</t>
  </si>
  <si>
    <t>00738112</t>
  </si>
  <si>
    <t>OLFA  18MM BLADES  PK10</t>
  </si>
  <si>
    <t>00852800</t>
  </si>
  <si>
    <t>ProGold ALUMINIUM OXIDE GRD60 5M</t>
  </si>
  <si>
    <t>00300845</t>
  </si>
  <si>
    <t>Leyland SATINWOOD - Brilliant White - 5ltr</t>
  </si>
  <si>
    <t>00852405</t>
  </si>
  <si>
    <t>ProGold ALL PURPOSE POWDER FILLER 5kg</t>
  </si>
  <si>
    <t>00852806</t>
  </si>
  <si>
    <t>ProGold ALUMINIUM OXIDE GRD120 50M</t>
  </si>
  <si>
    <t>00307975</t>
  </si>
  <si>
    <t>Johnstones SOLV OPAQUE - Mix - 2.5ltr</t>
  </si>
  <si>
    <t>00636278</t>
  </si>
  <si>
    <t>00718704</t>
  </si>
  <si>
    <t>RODO  H/D CAULK    GUN PRCG11 REVOLVING</t>
  </si>
  <si>
    <t>00306537</t>
  </si>
  <si>
    <t>Johnstones ENDURA - Brilliant White - 5ltr</t>
  </si>
  <si>
    <t>00301848</t>
  </si>
  <si>
    <t>JST   Q/DRY OPAQUE RUSSET     0000001250</t>
  </si>
  <si>
    <t>00301462</t>
  </si>
  <si>
    <t>Johnstones COVAPLUS - Brilliant White 2.5ltr</t>
  </si>
  <si>
    <t>00305835</t>
  </si>
  <si>
    <t>Leyland GLOSS - Mix - 5ltr</t>
  </si>
  <si>
    <t>00305447</t>
  </si>
  <si>
    <t>Johnstones JONMAT - Mix - 10ltr</t>
  </si>
  <si>
    <t>00728210</t>
  </si>
  <si>
    <t>HAMIL HD STRIPPER  4"</t>
  </si>
  <si>
    <t>00302009</t>
  </si>
  <si>
    <t>Johnstones SHED &amp; FENCE - Dark C'Nut - 5ltr</t>
  </si>
  <si>
    <t>00852479</t>
  </si>
  <si>
    <t>PGOLD GLOSSER      ROLLER 4"</t>
  </si>
  <si>
    <t>00729833</t>
  </si>
  <si>
    <t>EASY  EASYTEX      10-041     LIGHT STIP</t>
  </si>
  <si>
    <t>00423749</t>
  </si>
  <si>
    <t>Johnstones FLORTRED Safety Yellow - 5ltr</t>
  </si>
  <si>
    <t>00611438</t>
  </si>
  <si>
    <t>MIRKA DEOS PROMO   KIT 110V   KIT1827INM</t>
  </si>
  <si>
    <t>00306895</t>
  </si>
  <si>
    <t>Johnstones AQUA UNDERCOAT - DK GRY - 2.5ltr</t>
  </si>
  <si>
    <t>00852829</t>
  </si>
  <si>
    <t>ProGold FITCH PACK - 5 PACK</t>
  </si>
  <si>
    <t>00852807</t>
  </si>
  <si>
    <t>ProGold ALUMINIUM OXIDE GRD80 50M</t>
  </si>
  <si>
    <t>00423692</t>
  </si>
  <si>
    <t>Johnstones FLORTRED Mix - 5ltr</t>
  </si>
  <si>
    <t>00308409</t>
  </si>
  <si>
    <t>Johnstones QD ZINC PHOS PRIMER - Grey - 2.5l</t>
  </si>
  <si>
    <t>00301697</t>
  </si>
  <si>
    <t>JST   SS Q/D STAB  CLEAR      0000001500</t>
  </si>
  <si>
    <t>00718914</t>
  </si>
  <si>
    <t>RODO  DUCT TAPE    50M X 50MM PTDT50</t>
  </si>
  <si>
    <t>00301487</t>
  </si>
  <si>
    <t>Johnstones VINYL SOFT SHEEN - BW - 5ltr</t>
  </si>
  <si>
    <t>00852826</t>
  </si>
  <si>
    <t>ProGold STRIPPING KNIFE - 3"</t>
  </si>
  <si>
    <t>00611470</t>
  </si>
  <si>
    <t>ProGold CLASSIC HYBRID BRUSH 2.5"</t>
  </si>
  <si>
    <t>00636277</t>
  </si>
  <si>
    <t>00852430</t>
  </si>
  <si>
    <t>PGOLD WHITE SPIRIT 750ML            0750</t>
  </si>
  <si>
    <t>00611836</t>
  </si>
  <si>
    <t>MIRKA DEOS DELTA   110V L/KIT</t>
  </si>
  <si>
    <t>00202825</t>
  </si>
  <si>
    <t>SD S'DUR 520 SET (X)        XXXXCCEU1400</t>
  </si>
  <si>
    <t>00301982</t>
  </si>
  <si>
    <t>Johnstones QD Woodstain - Antiq Pine - 2.5l</t>
  </si>
  <si>
    <t>00728160</t>
  </si>
  <si>
    <t>Zinsser COVERSTAIN AEROSOL - 400ml</t>
  </si>
  <si>
    <t>00435198</t>
  </si>
  <si>
    <t>Johnstones AQUAGUARD - Bril White - 5ltr</t>
  </si>
  <si>
    <t>00264736</t>
  </si>
  <si>
    <t>Leyland TG SMOOTH MASONRY - Peat - 5ltr</t>
  </si>
  <si>
    <t>00307894</t>
  </si>
  <si>
    <t>Johnstones AQUA SATIN - Mix - 1ltr</t>
  </si>
  <si>
    <t>00264850</t>
  </si>
  <si>
    <t>Leyland VINYL SILK - Brilliant White - 5ltr</t>
  </si>
  <si>
    <t>00305029</t>
  </si>
  <si>
    <t>Johnstones VINYL SOFT SHEEN - Mix - 10ltr</t>
  </si>
  <si>
    <t>00852799</t>
  </si>
  <si>
    <t>ProGold ALUMINIUM OXIDE GRD40 5M</t>
  </si>
  <si>
    <t>00307869</t>
  </si>
  <si>
    <t>Leyland ACRYLIC EGGSHELL - BW - 10ltr</t>
  </si>
  <si>
    <t>00723465</t>
  </si>
  <si>
    <t>Misc Sundries IND SPONTEX  SPONGE</t>
  </si>
  <si>
    <t>00302434</t>
  </si>
  <si>
    <t>Johnstones ADV STAIN BLOCK PRIME - BW - 2.5l</t>
  </si>
  <si>
    <t>00737041</t>
  </si>
  <si>
    <t>MIRKA DEROS 6560CV 240V DECO  SOL KIT</t>
  </si>
  <si>
    <t>00318284</t>
  </si>
  <si>
    <t>SD S'COVER 350 SET (X)      XXXXCCEU1400</t>
  </si>
  <si>
    <t>00852269</t>
  </si>
  <si>
    <t>MIRKA DECO KIT     240V DEOS  DELTA</t>
  </si>
  <si>
    <t>00737312</t>
  </si>
  <si>
    <t>EASYL LINING PAPER 1700 DOUBL</t>
  </si>
  <si>
    <t>00723477</t>
  </si>
  <si>
    <t>TETR  A/P POWDER   FILLER 10K 0000002100</t>
  </si>
  <si>
    <t>00305068</t>
  </si>
  <si>
    <t>Johnstones PRO UNDERCOAT - Mix - 1ltr</t>
  </si>
  <si>
    <t>00738159</t>
  </si>
  <si>
    <t>RODO  MASONRY BRSH 4 INCH</t>
  </si>
  <si>
    <t>00734786</t>
  </si>
  <si>
    <t>ZINSR BULLSEYE 123 PLUS       0000001250</t>
  </si>
  <si>
    <t>00735642</t>
  </si>
  <si>
    <t>00301545</t>
  </si>
  <si>
    <t>Johnstones ACRYLIC EGGSHELL - BW - 2.5ltr</t>
  </si>
  <si>
    <t>00730997</t>
  </si>
  <si>
    <t>ESKI  BAG OF RAGS</t>
  </si>
  <si>
    <t>00733019</t>
  </si>
  <si>
    <t>PURDY SHORT HANDLE WIRE BRUSH</t>
  </si>
  <si>
    <t>00430610</t>
  </si>
  <si>
    <t>Johnstones PERFECT MATT - BW- 5ltr</t>
  </si>
  <si>
    <t>00611460</t>
  </si>
  <si>
    <t>ProGold CLASSIC SYNTHETIC BRUSH 1.5"</t>
  </si>
  <si>
    <t>00301966</t>
  </si>
  <si>
    <t>Johnstones SATIN WOODSTAIN -Mahogany-2.5ltr</t>
  </si>
  <si>
    <t>00611391</t>
  </si>
  <si>
    <t>TESA PR MASK TAPE 50M X 38MM 4440</t>
  </si>
  <si>
    <t>00615365</t>
  </si>
  <si>
    <t>PURDY ADJUST FRAME 12IN-18IN</t>
  </si>
  <si>
    <t>00423496</t>
  </si>
  <si>
    <t>Johnstones AQUA GLOSS - Black - 5ltr</t>
  </si>
  <si>
    <t>00301852</t>
  </si>
  <si>
    <t>Johnstones QD OPAQUE - White - 2.5ltr</t>
  </si>
  <si>
    <t>00430612</t>
  </si>
  <si>
    <t>Johnstones PERFECT MATT - BW - 10ltr</t>
  </si>
  <si>
    <t>00302006</t>
  </si>
  <si>
    <t>Johnstones SHED &amp; FENCE - Green - 5ltr</t>
  </si>
  <si>
    <t>00611101</t>
  </si>
  <si>
    <t>EWI   RECYCLING    BAGS ROLL 50</t>
  </si>
  <si>
    <t>00852417</t>
  </si>
  <si>
    <t>ProGold INTERIOR POWDER FILLER 5kg</t>
  </si>
  <si>
    <t>00735641</t>
  </si>
  <si>
    <t>00306001</t>
  </si>
  <si>
    <t>Johnstones PROF SATIN FINISH - Mix - 1ltr</t>
  </si>
  <si>
    <t>00301674</t>
  </si>
  <si>
    <t>Johnstones EGGSHELL - Magnolia - 5ltr</t>
  </si>
  <si>
    <t>00326780</t>
  </si>
  <si>
    <t>Johnstones SMOOTH METAL - Gold - 800ml</t>
  </si>
  <si>
    <t>00264638</t>
  </si>
  <si>
    <t>Leyland GLOSS - Black - 5ltr</t>
  </si>
  <si>
    <t>00308137</t>
  </si>
  <si>
    <t>JST   OPAQUE W/FIN Z2         0000001197</t>
  </si>
  <si>
    <t>00729830</t>
  </si>
  <si>
    <t>EASY  EASYTEX      10-038     SWIRL</t>
  </si>
  <si>
    <t>00730083</t>
  </si>
  <si>
    <t>G&amp;B   FRESCO 19782 CARRERA    PG.HS</t>
  </si>
  <si>
    <t>00264725</t>
  </si>
  <si>
    <t>Leyland TG SMOOTH MASONRY- BW - 5ltr</t>
  </si>
  <si>
    <t>00853338</t>
  </si>
  <si>
    <t>ProGold REPLACE SNAP KNIFE BLADE 18MM</t>
  </si>
  <si>
    <t>00305826</t>
  </si>
  <si>
    <t>Leyland VINYL SILK - Mix - 5ltr</t>
  </si>
  <si>
    <t>00730469</t>
  </si>
  <si>
    <t>00423209</t>
  </si>
  <si>
    <t>00300664</t>
  </si>
  <si>
    <t>Johnstones SHED &amp; FENCE - Dark C'Nut - 9ltr</t>
  </si>
  <si>
    <t>00302874</t>
  </si>
  <si>
    <t>Johnstones CLEANER &amp; DEGREASER - Clear - 5l</t>
  </si>
  <si>
    <t>00304853</t>
  </si>
  <si>
    <t>Woodworks POLY VARNISH - GLOSS Clear - 5l</t>
  </si>
  <si>
    <t>00301990</t>
  </si>
  <si>
    <t>Johnstones QD Woodstain - Teak - 2.5l</t>
  </si>
  <si>
    <t>00423491</t>
  </si>
  <si>
    <t>Johnstones AQUA GLOSS - Bril White - 1ltr</t>
  </si>
  <si>
    <t>00611472</t>
  </si>
  <si>
    <t>ProGold CLASSIC HYBRID BRUSH 4"</t>
  </si>
  <si>
    <t>00272495</t>
  </si>
  <si>
    <t>Stormshield SELF CLEAN MASONRY - BW - 5ltr</t>
  </si>
  <si>
    <t>00300399</t>
  </si>
  <si>
    <t>Johnstones ACRYLIC SATIN - Bril White 2.5ltr</t>
  </si>
  <si>
    <t>00723311</t>
  </si>
  <si>
    <t>PURDY MON 01C      BRUSH SET  CONTENTS 1</t>
  </si>
  <si>
    <t>00301805</t>
  </si>
  <si>
    <t>Johnstones  AGRICULTURAL OXIDE - Grey - 5ltr</t>
  </si>
  <si>
    <t>00301755</t>
  </si>
  <si>
    <t>Johnstones MICROBAR-ACRYLIC MATT - BW - 5l</t>
  </si>
  <si>
    <t>00728208</t>
  </si>
  <si>
    <t>HAMIL HD TUNGSTEN CARBIDE SCRAPER 2"</t>
  </si>
  <si>
    <t>00852421</t>
  </si>
  <si>
    <t>ProGold READY MIXED ALL PURPOSE FILLER 1kg</t>
  </si>
  <si>
    <t>00305842</t>
  </si>
  <si>
    <t>Leyland UNDERCOAT - Mix - 5ltr</t>
  </si>
  <si>
    <t>00852819</t>
  </si>
  <si>
    <t>ProGold DOUBLE ARM FRAME 12"</t>
  </si>
  <si>
    <t>00736949</t>
  </si>
  <si>
    <t>MGRR  FUNGICIDAL   WASH       0000001250</t>
  </si>
  <si>
    <t>00723485</t>
  </si>
  <si>
    <t>RODO WIRE BRUSH 4 ROW</t>
  </si>
  <si>
    <t>00852929</t>
  </si>
  <si>
    <t>ProGold LONG PILE POLYESTER ROLLER 9"</t>
  </si>
  <si>
    <t>00852407</t>
  </si>
  <si>
    <t>ProGold ALL PURPOSE POWDER FILLER 2kg</t>
  </si>
  <si>
    <t>00301976</t>
  </si>
  <si>
    <t>Johnstones WB FLOOR VARN - Clear Gloss - 5l</t>
  </si>
  <si>
    <t>00723498</t>
  </si>
  <si>
    <t>K     BIRDCAGE     9" FRAME   PLASTICHAN</t>
  </si>
  <si>
    <t>00617975</t>
  </si>
  <si>
    <t>RODO  SUPER CLING  DUST SHEET PRODEC</t>
  </si>
  <si>
    <t>00657764</t>
  </si>
  <si>
    <t>PPG COLOUR SCANNER                 CR100</t>
  </si>
  <si>
    <t>00730819</t>
  </si>
  <si>
    <t>EASYM EASYTEX MAX  LAGOON W/C 10-069</t>
  </si>
  <si>
    <t>00954103</t>
  </si>
  <si>
    <t>MANGR PAINT KETTLE 2.5L       WITH HANDL</t>
  </si>
  <si>
    <t>00264606</t>
  </si>
  <si>
    <t>Leyland GLOSS - Brilliant White - 5ltr</t>
  </si>
  <si>
    <t>00264707</t>
  </si>
  <si>
    <t>Leyland SUPERLEYTEX - Brill White - 15ltr</t>
  </si>
  <si>
    <t>00301667</t>
  </si>
  <si>
    <t>Johnstones PRO UNDERCOAT - Dark Grey 2.5ltr</t>
  </si>
  <si>
    <t>00729827</t>
  </si>
  <si>
    <t>EASY  EASYTEX      10-035     CASCADE</t>
  </si>
  <si>
    <t>00305054</t>
  </si>
  <si>
    <t>Johnstones ACRYLIC SATIN - Mix - 2.5ltr</t>
  </si>
  <si>
    <t>00301942</t>
  </si>
  <si>
    <t>Johnstones SATIN WOODSTAIN-Antiq Pine-2.5ltr</t>
  </si>
  <si>
    <t>00301512</t>
  </si>
  <si>
    <t>Johnstones COVAPLUS - Black - 5ltr</t>
  </si>
  <si>
    <t>00728204</t>
  </si>
  <si>
    <t>HAMIL HD TUNGSTEN CARBIDE BLADE 2"</t>
  </si>
  <si>
    <t>00852688</t>
  </si>
  <si>
    <t>ProGold AQUA SYNTH BRUSH SET</t>
  </si>
  <si>
    <t>00305031</t>
  </si>
  <si>
    <t>Johnstones VINYL SOFT SHEEN - Mix - 2.5ltr</t>
  </si>
  <si>
    <t>00611469</t>
  </si>
  <si>
    <t>ProGold CLASSIC HYBRID BRUSH 2"</t>
  </si>
  <si>
    <t>00306951</t>
  </si>
  <si>
    <t>Johnstones STAIN BLOCK PRIMER - White - 1ltr</t>
  </si>
  <si>
    <t>00306892</t>
  </si>
  <si>
    <t>Johnstones AQUA UNDERCOAT - BW - 1ltr</t>
  </si>
  <si>
    <t>00307553</t>
  </si>
  <si>
    <t>Johnstones COVAPLUS - Testerpot</t>
  </si>
  <si>
    <t>00611485</t>
  </si>
  <si>
    <t>ProGold PREMIUM BRISTLE BRUSH 2"</t>
  </si>
  <si>
    <t>00423612</t>
  </si>
  <si>
    <t>FD    44+QUICK DRY MIXED      0000001500</t>
  </si>
  <si>
    <t>00852477</t>
  </si>
  <si>
    <t>ProGold MICROFIBRE ROLLER 9"</t>
  </si>
  <si>
    <t>00264723</t>
  </si>
  <si>
    <t>Leyland TG SMOOTH MASONRY - Black - 5ltr</t>
  </si>
  <si>
    <t>00649634</t>
  </si>
  <si>
    <t>EWI   EPS 70E      50MM</t>
  </si>
  <si>
    <t>00718436</t>
  </si>
  <si>
    <t>PPGA02</t>
  </si>
  <si>
    <t>Artex GYPROC COVE  3M X 100MM</t>
  </si>
  <si>
    <t>STD21</t>
  </si>
  <si>
    <t>00442392</t>
  </si>
  <si>
    <t>Johnstones S/SHIELD STAB SOLU - White - 5ltr</t>
  </si>
  <si>
    <t>00301861</t>
  </si>
  <si>
    <t>Johnstones SOLV OPAQUE - Forest Grn- 5ltr</t>
  </si>
  <si>
    <t>00373759</t>
  </si>
  <si>
    <t>JST  QD POLY FLORTRED Z1 2010      1500</t>
  </si>
  <si>
    <t>00647211</t>
  </si>
  <si>
    <t>QTECH QTECTOR PUMP COND 3.8LT Q400-011</t>
  </si>
  <si>
    <t>00852728</t>
  </si>
  <si>
    <t>EWI   DT-PRO PLAST TAPE 50MT  OUTSIDE GR</t>
  </si>
  <si>
    <t>00301932</t>
  </si>
  <si>
    <t>Woodworks YACHT VARN - Clear Gloss - 2.5ltr</t>
  </si>
  <si>
    <t>00301750</t>
  </si>
  <si>
    <t>Johnstones PROF SATIN FINISH - BW - 1ltr</t>
  </si>
  <si>
    <t>00723495</t>
  </si>
  <si>
    <t>K     HANDLE FRAME 4" LONG</t>
  </si>
  <si>
    <t>00305036</t>
  </si>
  <si>
    <t>Johnstones COVAPLUS - Mix - 1ltr</t>
  </si>
  <si>
    <t>00734720</t>
  </si>
  <si>
    <t>FROGT FROG TAPE    36MM       DELICATE</t>
  </si>
  <si>
    <t>00307870</t>
  </si>
  <si>
    <t>Leyland ACRYLIC EGGSHELL - Magnolia - 10ltr</t>
  </si>
  <si>
    <t>00852936</t>
  </si>
  <si>
    <t>HARRIS &amp; HAMILTON SCISSORS</t>
  </si>
  <si>
    <t>00722130</t>
  </si>
  <si>
    <t>REFUSE SACKS (10) POLY  BLACK RS10</t>
  </si>
  <si>
    <t>00301955</t>
  </si>
  <si>
    <t>Johnstones SATIN WOODSTAIN - Teak - 5ltr</t>
  </si>
  <si>
    <t>00614872</t>
  </si>
  <si>
    <t>PURDY 9"SLEEVE     13/4C 3/4N MARATHON</t>
  </si>
  <si>
    <t>00631525</t>
  </si>
  <si>
    <t>Johnstones ADV STAIN BLOCK PRIMER - BW - 5l</t>
  </si>
  <si>
    <t>00435197</t>
  </si>
  <si>
    <t>Johnstones AQUAGUARD - Bril White - 2.5ltr</t>
  </si>
  <si>
    <t>00304854</t>
  </si>
  <si>
    <t>Woodworks POLY VARNISH - GLOSS Clear -2.5l</t>
  </si>
  <si>
    <t>00305840</t>
  </si>
  <si>
    <t>Leyland EGGSHELL - Mix - 2.5ltr</t>
  </si>
  <si>
    <t>00680387</t>
  </si>
  <si>
    <t>TESA DUCT TAPE SI 50M X 48MM 74613</t>
  </si>
  <si>
    <t>00423463</t>
  </si>
  <si>
    <t>Johnstones PRO GLOSS - Brill White - 1ltr</t>
  </si>
  <si>
    <t>00611462</t>
  </si>
  <si>
    <t>ProGold CLASSIC SYNTHETIC BRUSH 3"</t>
  </si>
  <si>
    <t>00729838</t>
  </si>
  <si>
    <t>EASY  EASYTEX      10-046     STITCH</t>
  </si>
  <si>
    <t>00730772</t>
  </si>
  <si>
    <t>FatHog BIB&amp;BRACE WHITE 44"-46"</t>
  </si>
  <si>
    <t>00718761</t>
  </si>
  <si>
    <t>RODO POLE SANDER HEAD</t>
  </si>
  <si>
    <t>00423205</t>
  </si>
  <si>
    <t>00852415</t>
  </si>
  <si>
    <t>ProGold FINE SURFACE FILLER 1kg</t>
  </si>
  <si>
    <t>00305822</t>
  </si>
  <si>
    <t>Leyland VINYL MATT - Mix - 10ltr</t>
  </si>
  <si>
    <t>00302873</t>
  </si>
  <si>
    <t>Johnstones ANTI SLIP ADDITIVE - 1.5kg</t>
  </si>
  <si>
    <t>00734722</t>
  </si>
  <si>
    <t>FROGT FROG TAPE    36MM       MULTISURFA</t>
  </si>
  <si>
    <t>00301984</t>
  </si>
  <si>
    <t>Johnstones QD Woodstain - Walnut - 2.5l</t>
  </si>
  <si>
    <t>00730471</t>
  </si>
  <si>
    <t>FatHog DEC CAULK MAGNOLIA - 380ml</t>
  </si>
  <si>
    <t>00611388</t>
  </si>
  <si>
    <t>TESA SEN MASKTAPE 50M X 38MM 4333</t>
  </si>
  <si>
    <t>00727887</t>
  </si>
  <si>
    <t>HODGS LINSEED OIL  PUTTY 2KG  0000000200</t>
  </si>
  <si>
    <t>00302179</t>
  </si>
  <si>
    <t>Johnstones QD FLOOR VARN - Clr Satin - 750ml</t>
  </si>
  <si>
    <t>00614869</t>
  </si>
  <si>
    <t>PURDY POWERLOCK    2-4 FT     EXT POLE</t>
  </si>
  <si>
    <t>00304851</t>
  </si>
  <si>
    <t>Woodworks INT FLOOR VARN - Clear Satin - 5l</t>
  </si>
  <si>
    <t>00852811</t>
  </si>
  <si>
    <t>ProGold COTTON TWIL DUST SHEET MINI 24' X 3'</t>
  </si>
  <si>
    <t>00421699</t>
  </si>
  <si>
    <t>Johnstones STAINAWAY - Bril White - 2.5ltr</t>
  </si>
  <si>
    <t>00614870</t>
  </si>
  <si>
    <t>PURDY POWERLOCK    4-8 FT     EXT POLE</t>
  </si>
  <si>
    <t>00423466</t>
  </si>
  <si>
    <t>Johnstones PRO GLOSS - Black - 1ltr</t>
  </si>
  <si>
    <t>00305038</t>
  </si>
  <si>
    <t>Johnstones VINYL SILK - Mix - 2.5ltr</t>
  </si>
  <si>
    <t>00611041</t>
  </si>
  <si>
    <t>HAMIL PRESTIGE SYN 5BS + COMB 5 BRUSH SE</t>
  </si>
  <si>
    <t>00305059</t>
  </si>
  <si>
    <t>Johnstones PRO GLOSS - Mix - 5ltr</t>
  </si>
  <si>
    <t>00738116</t>
  </si>
  <si>
    <t>AXUS  WALLPAPER    SCISSORS</t>
  </si>
  <si>
    <t>00614921</t>
  </si>
  <si>
    <t>00350668</t>
  </si>
  <si>
    <t>S'COVER 350 SET ALUMINIUM     9000001400</t>
  </si>
  <si>
    <t>00738113</t>
  </si>
  <si>
    <t>OLFA  12.5MM W/PAP SNAP KNIFE</t>
  </si>
  <si>
    <t>00102670</t>
  </si>
  <si>
    <t>THINNER 90-53               0000TREU1500</t>
  </si>
  <si>
    <t>00264752</t>
  </si>
  <si>
    <t>Leyland UNDERCOAT - Dark Grey - 5ltr</t>
  </si>
  <si>
    <t>00852445</t>
  </si>
  <si>
    <t>FROGT GLOSS &amp;SATIN 36MM(1.5") 104189</t>
  </si>
  <si>
    <t>00373758</t>
  </si>
  <si>
    <t>JST  QD POLY FLORTRED L 2010       1500</t>
  </si>
  <si>
    <t>00301509</t>
  </si>
  <si>
    <t>Johnstones JONMAT - Brilliant White - 5ltr</t>
  </si>
  <si>
    <t>00852472</t>
  </si>
  <si>
    <t>ProGold SEMI ROUGH ROLLER 12"</t>
  </si>
  <si>
    <t>00735596</t>
  </si>
  <si>
    <t>BLINE READY MIXED  PASTE      0000000900</t>
  </si>
  <si>
    <t>00264861</t>
  </si>
  <si>
    <t>Leyland VINYL SILK - Magnolia - 10ltr</t>
  </si>
  <si>
    <t>00312533</t>
  </si>
  <si>
    <t>S'COVER 350 SET OFFWHITE      7001002200</t>
  </si>
  <si>
    <t>00264863</t>
  </si>
  <si>
    <t>Leyland VINYL SILK - Magnolia - 5ltr</t>
  </si>
  <si>
    <t>00737707</t>
  </si>
  <si>
    <t>EWI   ADH BACKED MESH WING RB 2.5M 6MM</t>
  </si>
  <si>
    <t>00305829</t>
  </si>
  <si>
    <t>Leyland ACRYLIC EGGSHELL - Mix - 2.5ltr</t>
  </si>
  <si>
    <t>00656000</t>
  </si>
  <si>
    <t>ProGold POLYTHENE ROLL DUST SHEET - 3M X 25M</t>
  </si>
  <si>
    <t>00306718</t>
  </si>
  <si>
    <t>Leyland FAST DRYING WB GLOSS - BW - 2.5ltr</t>
  </si>
  <si>
    <t>00264382</t>
  </si>
  <si>
    <t>Leyland ALKALI RESISTING PRIMER -  - 5ltr</t>
  </si>
  <si>
    <t>00682327</t>
  </si>
  <si>
    <t>ProGold POLY PROTECTING DUST SHEET - 4M X 5M</t>
  </si>
  <si>
    <t>00302003</t>
  </si>
  <si>
    <t>Johnstones SHED &amp; FENCE - Ebony - 5ltr</t>
  </si>
  <si>
    <t>00736490</t>
  </si>
  <si>
    <t>UB    SANDING PAD  MEDIUM</t>
  </si>
  <si>
    <t>00307676</t>
  </si>
  <si>
    <t>JST   ENH RENDER PRIMER WHITE 0000002150</t>
  </si>
  <si>
    <t>00423475</t>
  </si>
  <si>
    <t>Johnstones PRO GLOSS - Magnolia - 5ltr</t>
  </si>
  <si>
    <t>00737318</t>
  </si>
  <si>
    <t>EASYL LINING PAPER 1000 DOUBL</t>
  </si>
  <si>
    <t>00852480</t>
  </si>
  <si>
    <t>PGOLD CONCAVE FOAM ROLLER 4"</t>
  </si>
  <si>
    <t>00238763</t>
  </si>
  <si>
    <t>S'DUR 550 SET WHITE           7000002200</t>
  </si>
  <si>
    <t>00301508</t>
  </si>
  <si>
    <t>Johnstones JONMAT - Brilliant White - 15ltr</t>
  </si>
  <si>
    <t>00738111</t>
  </si>
  <si>
    <t>OLFA  18MM AUTO    LOCK KNIFE</t>
  </si>
  <si>
    <t>00853078</t>
  </si>
  <si>
    <t>PGOLD MASKING TAPE 1.5" 50M</t>
  </si>
  <si>
    <t>00608175</t>
  </si>
  <si>
    <t>Artex Artex FIBATAPE 90M CLASSIC -  - ltr</t>
  </si>
  <si>
    <t>00302000</t>
  </si>
  <si>
    <t>Johnstones QD Woodstain - Clear - 2.5l</t>
  </si>
  <si>
    <t>00853154</t>
  </si>
  <si>
    <t>ProGold MINI ROLLER KIT 22 PIECE</t>
  </si>
  <si>
    <t>00264796</t>
  </si>
  <si>
    <t>Leyland VINYL MATT - Black - 5ltr</t>
  </si>
  <si>
    <t>00301977</t>
  </si>
  <si>
    <t>Johnstones WB FLOOR VARN - Clear Satin -2.5l</t>
  </si>
  <si>
    <t>00852425</t>
  </si>
  <si>
    <t>ProGold READY MIX ALL PUR WALLCOV ADH 2.5kg</t>
  </si>
  <si>
    <t>00728205</t>
  </si>
  <si>
    <t>HAMIL HEAVY DUTY   BLADES 4"</t>
  </si>
  <si>
    <t>00680308</t>
  </si>
  <si>
    <t>ARTEX LEVELLINE    GYPROC 30M</t>
  </si>
  <si>
    <t>00853337</t>
  </si>
  <si>
    <t>ProGold SNAP KNIFE 18mm</t>
  </si>
  <si>
    <t>00264563</t>
  </si>
  <si>
    <t>Leyland CONTRACT MATT - Brill White - 15ltr</t>
  </si>
  <si>
    <t>00723496</t>
  </si>
  <si>
    <t>UNBRANDED SHORT HANDLE FRAME 4"</t>
  </si>
  <si>
    <t>00723476</t>
  </si>
  <si>
    <t>TETR  A/P POWDER   FILLER 5KG 0000001500</t>
  </si>
  <si>
    <t>00301661</t>
  </si>
  <si>
    <t>Johnstones PRO UNDERCOAT - Charcoal - 5ltr</t>
  </si>
  <si>
    <t>00264700</t>
  </si>
  <si>
    <t>Leyland SATINWOOD - Brilliant White - 2.5ltr</t>
  </si>
  <si>
    <t>00423495</t>
  </si>
  <si>
    <t>Johnstones AQUA GLOSS - Black - 2.5ltr</t>
  </si>
  <si>
    <t>00301486</t>
  </si>
  <si>
    <t>Johnstones VINYL SOFT SHEEN - BW - 2.5ltr</t>
  </si>
  <si>
    <t>00723463</t>
  </si>
  <si>
    <t>K     SPONTEX      STD SPONGE</t>
  </si>
  <si>
    <t>00301992</t>
  </si>
  <si>
    <t>Johnstones QD Woodstain - Medium Oak - 2.5l</t>
  </si>
  <si>
    <t>00730762</t>
  </si>
  <si>
    <t>FatHog TROUSERS WHITE 34"</t>
  </si>
  <si>
    <t>00852830</t>
  </si>
  <si>
    <t>ProGold WALL BRUSH - 6"</t>
  </si>
  <si>
    <t>00730770</t>
  </si>
  <si>
    <t>FatHog BIB&amp;BRACE WHITE 36"-38"</t>
  </si>
  <si>
    <t>00301838</t>
  </si>
  <si>
    <t>Johnstones STERILISATION WASH - Clear - 2.5l</t>
  </si>
  <si>
    <t>00728165</t>
  </si>
  <si>
    <t>ZINSR BULLSEYE 123 WHITE      0000001100</t>
  </si>
  <si>
    <t>00852824</t>
  </si>
  <si>
    <t>ProGold FLEXIBLE FILLING KNIFE - 3"</t>
  </si>
  <si>
    <t>00423748</t>
  </si>
  <si>
    <t>Johnstones FLORTRED Black - 5ltr</t>
  </si>
  <si>
    <t>00423379</t>
  </si>
  <si>
    <t>Johnstones AQUAGUARD - Mix - 1ltr</t>
  </si>
  <si>
    <t>00302861</t>
  </si>
  <si>
    <t>Johnstones  ACID ETCH - Clear - 5ltr</t>
  </si>
  <si>
    <t>00737112</t>
  </si>
  <si>
    <t>FatHog LIGHTWEIGHT FILLER 1L</t>
  </si>
  <si>
    <t>00611382</t>
  </si>
  <si>
    <t>TESA MASK TAPE 50M X 38MM 4348</t>
  </si>
  <si>
    <t>00730433</t>
  </si>
  <si>
    <t>Woodworks KNOTTING SOLUTION - 250ml</t>
  </si>
  <si>
    <t>00852927</t>
  </si>
  <si>
    <t>ProGold MEDIUM PILE POLYESTER ROLLER 9"</t>
  </si>
  <si>
    <t>00305824</t>
  </si>
  <si>
    <t>Leyland VINYL MATT - Mix - 2.5ltr</t>
  </si>
  <si>
    <t>00614848</t>
  </si>
  <si>
    <t>CORAL PAPERWIZ</t>
  </si>
  <si>
    <t>00726726</t>
  </si>
  <si>
    <t>PURDY COLOSSUS     12" ROLLER</t>
  </si>
  <si>
    <t>00306743</t>
  </si>
  <si>
    <t>Johnstones SMOOTH METAL - Mix - 800ml</t>
  </si>
  <si>
    <t>00324702</t>
  </si>
  <si>
    <t>Johnstones SMOOTH METAL - Black - 800ml</t>
  </si>
  <si>
    <t>00324714</t>
  </si>
  <si>
    <t>Johnstones SMOOTH METAL - White - 800ml</t>
  </si>
  <si>
    <t>00423621</t>
  </si>
  <si>
    <t>GORI 99 Opaque - Mix - 5ltr</t>
  </si>
  <si>
    <t>00730771</t>
  </si>
  <si>
    <t>FatHog BIB&amp;BRACE WHITE 40"-42"</t>
  </si>
  <si>
    <t>00264851</t>
  </si>
  <si>
    <t>Leyland VINYL SILK - Brill White - 10ltr</t>
  </si>
  <si>
    <t>00735644</t>
  </si>
  <si>
    <t>00717187</t>
  </si>
  <si>
    <t>PURDY XL MON ELITE 2" BRUSH</t>
  </si>
  <si>
    <t>00734785</t>
  </si>
  <si>
    <t>ZINSR BULLSEYE 123 PLUS       0000001500</t>
  </si>
  <si>
    <t>00611471</t>
  </si>
  <si>
    <t>ProGold CLASSIC HYBRID BRUSH 3"</t>
  </si>
  <si>
    <t>00300720</t>
  </si>
  <si>
    <t>Leyland TRUGARD PLIOLITE - Mushroom - 5ltr</t>
  </si>
  <si>
    <t>00301454</t>
  </si>
  <si>
    <t>Johnstones COVAPLUS - Magnolia - 2.5ltr</t>
  </si>
  <si>
    <t>00717220</t>
  </si>
  <si>
    <t>PURDY COLOSSUS     9" ROLLER</t>
  </si>
  <si>
    <t>00852935</t>
  </si>
  <si>
    <t>HARRIS &amp; HAMILTON STRIPPING KNIFE - 3''</t>
  </si>
  <si>
    <t>00730763</t>
  </si>
  <si>
    <t>FatHog TROUSERS WHITE 36"</t>
  </si>
  <si>
    <t>00611484</t>
  </si>
  <si>
    <t>ProGold PREMIUM BRISTLE BRUSH 1.5"</t>
  </si>
  <si>
    <t>00852933</t>
  </si>
  <si>
    <t>HARRIS &amp; HAMILTON FILLING KNIFE -  - 3''ltr</t>
  </si>
  <si>
    <t>00423494</t>
  </si>
  <si>
    <t>Johnstones AQUA GLOSS - Black - 1ltr</t>
  </si>
  <si>
    <t>00452930</t>
  </si>
  <si>
    <t>Stormshield SILICONE MASONRY - BW - 5ltr</t>
  </si>
  <si>
    <t>00730761</t>
  </si>
  <si>
    <t>FatHog TROUSERS WHITE 32"</t>
  </si>
  <si>
    <t>00264703</t>
  </si>
  <si>
    <t>Leyland ONE COAT GLOSS - BW - 2.5ltr</t>
  </si>
  <si>
    <t>00730749</t>
  </si>
  <si>
    <t>FatHog EVOLUTION TROUSER 42" WHITE</t>
  </si>
  <si>
    <t>00730756</t>
  </si>
  <si>
    <t>FatHog EVO BIB &amp; BRACE  48-50" XXL WHITE</t>
  </si>
  <si>
    <t>00423750</t>
  </si>
  <si>
    <t>Johnstones FLORTRED White - 5ltr</t>
  </si>
  <si>
    <t>00853077</t>
  </si>
  <si>
    <t>PGOLD MASKING TAPE 1" 50M</t>
  </si>
  <si>
    <t>00737113</t>
  </si>
  <si>
    <t>FatHog LIGHTWEIGHT FILLER 4L</t>
  </si>
  <si>
    <t>00730760</t>
  </si>
  <si>
    <t>FatHog TROUSERS WHITE 30"</t>
  </si>
  <si>
    <t>00611394</t>
  </si>
  <si>
    <t>TESA EASYCOVER 1800MMX33M 4368</t>
  </si>
  <si>
    <t>00735006</t>
  </si>
  <si>
    <t>BLKRO DISPOSABLE   GLOVES XL  BRPDG100XL</t>
  </si>
  <si>
    <t>00738114</t>
  </si>
  <si>
    <t>OLFA  12.5MM BLADE PK10</t>
  </si>
  <si>
    <t>00736962</t>
  </si>
  <si>
    <t>Mangers SUGAR SOAP SPRAY 500ML</t>
  </si>
  <si>
    <t>00301640</t>
  </si>
  <si>
    <t>Johnstones PRO UNDERCOAT - Mid Grey - 5ltr</t>
  </si>
  <si>
    <t>00430609</t>
  </si>
  <si>
    <t>Johnstones PERFECT MATT - BW - 2.5ltr</t>
  </si>
  <si>
    <t>00734723</t>
  </si>
  <si>
    <t>FROGT FROG TAPE    24MM       MULTISURFA</t>
  </si>
  <si>
    <t>00264738</t>
  </si>
  <si>
    <t>Leyland TG SMOOTH MASONRY - Quary Red - 5ltr</t>
  </si>
  <si>
    <t>00639968</t>
  </si>
  <si>
    <t>EWI   COMPRESSIBLE SEAL - 10M TEP-EPDM-2</t>
  </si>
  <si>
    <t>00730815</t>
  </si>
  <si>
    <t>ZINSR SB STAIN KIL MATT WHITE 0000001500</t>
  </si>
  <si>
    <t>00734721</t>
  </si>
  <si>
    <t>FROGT FROG TAPE    24MM       DELICATE</t>
  </si>
  <si>
    <t>00852825</t>
  </si>
  <si>
    <t>ProGold STRIPPING KNIFE - 2"</t>
  </si>
  <si>
    <t>00301503</t>
  </si>
  <si>
    <t>Johnstones JONMAT - Magnolia - 15ltr</t>
  </si>
  <si>
    <t>00304863</t>
  </si>
  <si>
    <t>Woodworks POLY VARNISH - Satin Clear - 2.5l</t>
  </si>
  <si>
    <t>00423206</t>
  </si>
  <si>
    <t>00611468</t>
  </si>
  <si>
    <t>ProGold CLASSIC HYBRID BRUSH 1.5"</t>
  </si>
  <si>
    <t>00306948</t>
  </si>
  <si>
    <t>Stormshield FLEXIBLE EX SATIN - Black- 2.5l</t>
  </si>
  <si>
    <t>00852687</t>
  </si>
  <si>
    <t>ProGold AQUA ANGLE OVAL BRUSH 2"</t>
  </si>
  <si>
    <t>00301978</t>
  </si>
  <si>
    <t>Johnstones WB FLOOR VARN - Clear Satin - 5l</t>
  </si>
  <si>
    <t>00264769</t>
  </si>
  <si>
    <t>Leyland UNDERCOAT - Mid Grey 5ltr</t>
  </si>
  <si>
    <t>00852680</t>
  </si>
  <si>
    <t>ProGold AQUA SYNTHETIC BRUSH 2"</t>
  </si>
  <si>
    <t>00611048</t>
  </si>
  <si>
    <t>RODO PRODEC PREM BRUSH SET6 PBPT049</t>
  </si>
  <si>
    <t>00852685</t>
  </si>
  <si>
    <t>ProGold AQUA SYNTHETIC ANGLE BRUSH 1.5"</t>
  </si>
  <si>
    <t>00736958</t>
  </si>
  <si>
    <t>Mangers SUGAR SOAP 10L MIX</t>
  </si>
  <si>
    <t>00308454</t>
  </si>
  <si>
    <t>Leyland STAIN BLOCKING PRIMER - White - 2.5l</t>
  </si>
  <si>
    <t>00737916</t>
  </si>
  <si>
    <t>RODO  12" CAULKER  PLDT004</t>
  </si>
  <si>
    <t>00738118</t>
  </si>
  <si>
    <t>RODO  PAINT DOZEN  12P BRUSH  SET</t>
  </si>
  <si>
    <t>00738727</t>
  </si>
  <si>
    <t>ZINSR PEEL STOP                     1500</t>
  </si>
  <si>
    <t>00852411</t>
  </si>
  <si>
    <t>ProGold BORDER &amp; OVERLAP ADH 1kg</t>
  </si>
  <si>
    <t>00727681</t>
  </si>
  <si>
    <t>Johnstones ADV STAIN BLOCK PRIMER - BW - 1l</t>
  </si>
  <si>
    <t>00611383</t>
  </si>
  <si>
    <t>TESA MASK TAPE 50M X 50MM 4348</t>
  </si>
  <si>
    <t>00735548</t>
  </si>
  <si>
    <t>RODO  PROTECTOR LI DUST SHEET NON WOVEN</t>
  </si>
  <si>
    <t>00309455</t>
  </si>
  <si>
    <t>Stormshield FLEXIBLE EX GLOSS - Mix - 1ltr</t>
  </si>
  <si>
    <t>00633370</t>
  </si>
  <si>
    <t>UB    COMP SYNTHET BRUSH 2"</t>
  </si>
  <si>
    <t>00424018</t>
  </si>
  <si>
    <t>PROGOLD ABRASIVE PAD COURSE(10</t>
  </si>
  <si>
    <t>00737281</t>
  </si>
  <si>
    <t>UB    3G BUILDERS  BUCKET</t>
  </si>
  <si>
    <t>00301660</t>
  </si>
  <si>
    <t>Johnstones PRO UNDERCOAT - Charcoal - 2.5ltr</t>
  </si>
  <si>
    <t>00301831</t>
  </si>
  <si>
    <t>Johnstones MDF PRIMER - Bril White - 5ltr</t>
  </si>
  <si>
    <t>00738678</t>
  </si>
  <si>
    <t>RODO PRECISION EDGE MASKING TAPE 1.5"</t>
  </si>
  <si>
    <t>00631680</t>
  </si>
  <si>
    <t>BLKRO LATEX GRIP   GLOVE</t>
  </si>
  <si>
    <t>00852416</t>
  </si>
  <si>
    <t>ProGold INTERIOR POWDER FILLER 2kg</t>
  </si>
  <si>
    <t>00611514</t>
  </si>
  <si>
    <t>MIRKA ABRANET 81X133 P180  10 STK</t>
  </si>
  <si>
    <t>00301945</t>
  </si>
  <si>
    <t>Johnstones SATIN WOODSTAIN - Walnut - 2.5ltr</t>
  </si>
  <si>
    <t>00737914</t>
  </si>
  <si>
    <t>RODO  10" CAULKER  PLDT003</t>
  </si>
  <si>
    <t>00301818</t>
  </si>
  <si>
    <t>Johnstones QD ZINC PHOS - Red Ox - 2.5ltr</t>
  </si>
  <si>
    <t>00853155</t>
  </si>
  <si>
    <t>ProGold SCUTTLE KIT</t>
  </si>
  <si>
    <t>00611390</t>
  </si>
  <si>
    <t>TESA PR MASK TAPE 50M X 25MM 4440</t>
  </si>
  <si>
    <t>00305836</t>
  </si>
  <si>
    <t>Leyland GLOSS - Mix - 2.5ltr</t>
  </si>
  <si>
    <t>00423864</t>
  </si>
  <si>
    <t>Johnstones CLEANABLE MATT - Mix - 10ltr</t>
  </si>
  <si>
    <t>00736960</t>
  </si>
  <si>
    <t>Mangers SUGAR SOAP 30L MIX</t>
  </si>
  <si>
    <t>00305843</t>
  </si>
  <si>
    <t>Leyland UNDERCOAT - Mix - 2.5ltr</t>
  </si>
  <si>
    <t>00736948</t>
  </si>
  <si>
    <t>Mangers FUNGICIDAL  SPRAY 500ML</t>
  </si>
  <si>
    <t>00852930</t>
  </si>
  <si>
    <t>ProGold LONG PILE POLYESTER ROLLER 12"</t>
  </si>
  <si>
    <t>00302010</t>
  </si>
  <si>
    <t>Johnstones SHED &amp; FENCE - Acorn Gold - 5ltr</t>
  </si>
  <si>
    <t>00852420</t>
  </si>
  <si>
    <t>ProGold PVA ADHESIVE SEAL 5ltr</t>
  </si>
  <si>
    <t>00852423</t>
  </si>
  <si>
    <t>ProGold READY MIXED ALL PURPOSE FILLER 600g</t>
  </si>
  <si>
    <t>00730769</t>
  </si>
  <si>
    <t>FatHog BIB&amp;BRACE WHITE 32"-34"</t>
  </si>
  <si>
    <t>00611459</t>
  </si>
  <si>
    <t>ProGold CLASSIC SYNTHETIC BRUSH 1"</t>
  </si>
  <si>
    <t>00304852</t>
  </si>
  <si>
    <t>Woodworks INT FLOOR VARN - Clr Satin - 2.5l</t>
  </si>
  <si>
    <t>00852414</t>
  </si>
  <si>
    <t>ProGold CLEAN SPIRIT 2ltr</t>
  </si>
  <si>
    <t>00301833</t>
  </si>
  <si>
    <t>Johnstones QD MATT BLACKBOARD - Black - 2.5l</t>
  </si>
  <si>
    <t>00305065</t>
  </si>
  <si>
    <t>Johnstones EGGSHELL - Mix - 1ltr</t>
  </si>
  <si>
    <t>00852934</t>
  </si>
  <si>
    <t>HARRIS &amp; HAMILTON STRIPPING KNIFE - 2''</t>
  </si>
  <si>
    <t>00727894</t>
  </si>
  <si>
    <t>00423535</t>
  </si>
  <si>
    <t>Johnstones SHED &amp; FENCE - Grey - 5ltr</t>
  </si>
  <si>
    <t>00852681</t>
  </si>
  <si>
    <t>ProGold AQUA SYNTHETIC BRUSH 2.5"</t>
  </si>
  <si>
    <t>00324709</t>
  </si>
  <si>
    <t>Johnstones SMOOTH METAL - Silver - 800ml</t>
  </si>
  <si>
    <t>00611486</t>
  </si>
  <si>
    <t>ProGold PREMIUM BRISTLE BRUSH 2.5"</t>
  </si>
  <si>
    <t>00301975</t>
  </si>
  <si>
    <t>Johnstones WB FLOOR VARN - Clear Gloss -2.5l</t>
  </si>
  <si>
    <t>00239972</t>
  </si>
  <si>
    <t>S'DUR 550 SET BLACK           8000001400</t>
  </si>
  <si>
    <t>00423740</t>
  </si>
  <si>
    <t>Johnstones FLORTRED Dark Grey - 2.5ltr</t>
  </si>
  <si>
    <t>00738714</t>
  </si>
  <si>
    <t>Johnstones BLACK BITUMEN - Black  - 5ltr</t>
  </si>
  <si>
    <t>00264368</t>
  </si>
  <si>
    <t>Leyland ACRYLIC EGGSHELL - BW - 2.5lt</t>
  </si>
  <si>
    <t>00735142</t>
  </si>
  <si>
    <t>OSMO  UV PROT OIL  CLEAR      0000000750</t>
  </si>
  <si>
    <t>00639829</t>
  </si>
  <si>
    <t>RODO  CONT PLASTIC M/ SCRAPER PACK 8</t>
  </si>
  <si>
    <t>00301892</t>
  </si>
  <si>
    <t>JST MATT WOODSTAIN - Medium Oak - 2.5ltr</t>
  </si>
  <si>
    <t>00728159</t>
  </si>
  <si>
    <t>ZINSR COVERSTAIN   WHITE      0000001100</t>
  </si>
  <si>
    <t>00306893</t>
  </si>
  <si>
    <t>Johnstones AQUA UNDERCOAT - DK GRY - 1ltr</t>
  </si>
  <si>
    <t>00423743</t>
  </si>
  <si>
    <t>Johnstones FLORTRED Safety Yellow - 2.5ltr</t>
  </si>
  <si>
    <t>00852932</t>
  </si>
  <si>
    <t>HARRIS &amp; HAMILTON FILLING KNIFE - 2''ltr</t>
  </si>
  <si>
    <t>00301936</t>
  </si>
  <si>
    <t>Johnstones SATIN WOODSTAIN - Clear - 2.5ltr</t>
  </si>
  <si>
    <t>00611873</t>
  </si>
  <si>
    <t>Artex EASIFILLER LIGHT 2.5KG</t>
  </si>
  <si>
    <t>00611395</t>
  </si>
  <si>
    <t>TESA ECOVER PAPER 25M X 0.3M 4364</t>
  </si>
  <si>
    <t>00718416</t>
  </si>
  <si>
    <t>Artex R/MIX JOINT CEMEMT 12ltr</t>
  </si>
  <si>
    <t>00729836</t>
  </si>
  <si>
    <t>EASY  EASYTEX      10-044     FIBROUS</t>
  </si>
  <si>
    <t>00302431</t>
  </si>
  <si>
    <t>Johnstones TC3 THINNER - 5ltr</t>
  </si>
  <si>
    <t>00718774</t>
  </si>
  <si>
    <t>RODO  6" L/HANDLE  SCRAPER    (LHWS6)</t>
  </si>
  <si>
    <t>00301939</t>
  </si>
  <si>
    <t>JST   SATIN W/STN  LIGHT OAK  0000001250</t>
  </si>
  <si>
    <t>00852928</t>
  </si>
  <si>
    <t>ProGold WOVEN SHORT PILE ROLLER 12"</t>
  </si>
  <si>
    <t>00611389</t>
  </si>
  <si>
    <t>TESA SEN MASKTAPE 50M X 50MM 4333</t>
  </si>
  <si>
    <t>00852418</t>
  </si>
  <si>
    <t>ProGold METHALATED SPIRIT 500ML</t>
  </si>
  <si>
    <t>00852924</t>
  </si>
  <si>
    <t>ProGold MEDIUM PILE POLYESTER ROLLER 12"</t>
  </si>
  <si>
    <t>00852679</t>
  </si>
  <si>
    <t>ProGold AQUA SYNTHETIC BRUSH 1.5"</t>
  </si>
  <si>
    <t>00730754</t>
  </si>
  <si>
    <t>FatHog EVO BIB &amp; BRACE  40-42" LRG WHITE</t>
  </si>
  <si>
    <t>00723475</t>
  </si>
  <si>
    <t>TETR  A/P POWDER(8 FILLER 1.5 0000001150</t>
  </si>
  <si>
    <t>00718799</t>
  </si>
  <si>
    <t>RODO  RUBBLE SACKS PACK OF 5  (RB5)</t>
  </si>
  <si>
    <t>00738064</t>
  </si>
  <si>
    <t>CORAL PASTE TABLE  HARDBOARD  TOP</t>
  </si>
  <si>
    <t>00301946</t>
  </si>
  <si>
    <t>Johnstones SATIN WOODSTAIN - Walnut - 5ltr</t>
  </si>
  <si>
    <t>00305953</t>
  </si>
  <si>
    <t>Johnstones SATIN WOODSTAIN - Mix - 5ltr</t>
  </si>
  <si>
    <t>00301956</t>
  </si>
  <si>
    <t>Johnstones SATIN WOODSTAIN - Med Oak - 750ml</t>
  </si>
  <si>
    <t>00302005</t>
  </si>
  <si>
    <t>Johnstones SHED &amp; FENCE - Rustic Red - 5ltr</t>
  </si>
  <si>
    <t>00301639</t>
  </si>
  <si>
    <t>Johnstones PRO UNDERCOAT - Mid Grey - 2.5ltr</t>
  </si>
  <si>
    <t>00730768</t>
  </si>
  <si>
    <t>FatHog TROUSERS WHITE 46"</t>
  </si>
  <si>
    <t>00730764</t>
  </si>
  <si>
    <t>FatHog TROUSERS WHITE 38"</t>
  </si>
  <si>
    <t>00852410</t>
  </si>
  <si>
    <t>ProGold ALL PURPOSE WALL ADHESIVE 10 roll</t>
  </si>
  <si>
    <t>00435196</t>
  </si>
  <si>
    <t>Johnstones AQUAGUARD - Bril White - 1ltr</t>
  </si>
  <si>
    <t>00301652</t>
  </si>
  <si>
    <t>Johnstones PRO UNDERCOAT - Light Grey 2.5ltr</t>
  </si>
  <si>
    <t>00389447</t>
  </si>
  <si>
    <t>Johnstones STAINAWAY - Mix - 2.5ltr</t>
  </si>
  <si>
    <t>00264785</t>
  </si>
  <si>
    <t>Leyland UNDERCOAT - Brilliant White - 2.5ltr</t>
  </si>
  <si>
    <t>00727888</t>
  </si>
  <si>
    <t>HODGS LINSEED OIL PUTTY 5KG  00000001500</t>
  </si>
  <si>
    <t>00289133</t>
  </si>
  <si>
    <t>PREP 88                     0000AMEU2100</t>
  </si>
  <si>
    <t>00608176</t>
  </si>
  <si>
    <t>Artex FIBATAPE 90M PERFECT    FINISH</t>
  </si>
  <si>
    <t>00739391</t>
  </si>
  <si>
    <t>RODO  DISPOSABLE   X LARGE    COVERALL</t>
  </si>
  <si>
    <t>00301914</t>
  </si>
  <si>
    <t>JST MATT WOODSTAIN - Clear - 5ltr</t>
  </si>
  <si>
    <t>00737756</t>
  </si>
  <si>
    <t>EWI   H1 ECO 115MM MAX 80MM INSULATION</t>
  </si>
  <si>
    <t>00611871</t>
  </si>
  <si>
    <t>Artex EASIFILLER READYMIXED 1KG</t>
  </si>
  <si>
    <t>00305331</t>
  </si>
  <si>
    <t>Johnstones JONMAT - Mix - 5ltr</t>
  </si>
  <si>
    <t>00301511</t>
  </si>
  <si>
    <t>Johnstones COVAPLUS - Black - 2.5ltr</t>
  </si>
  <si>
    <t>00305055</t>
  </si>
  <si>
    <t>Johnstones ACRYLIC SATIN - Mix - 1ltr</t>
  </si>
  <si>
    <t>00305738</t>
  </si>
  <si>
    <t>Leyland VINYL SOFT SHEEN - Mix - 5ltr</t>
  </si>
  <si>
    <t>00264862</t>
  </si>
  <si>
    <t>Leyland VINYL SILK - Magnolia - 2.5ltr</t>
  </si>
  <si>
    <t>00264639</t>
  </si>
  <si>
    <t>Leyland GLOSS - Black - 2.5ltr</t>
  </si>
  <si>
    <t>00717188</t>
  </si>
  <si>
    <t>PURDY XL MON ELITE 3" BRUSH</t>
  </si>
  <si>
    <t>00264732</t>
  </si>
  <si>
    <t>Leyland TG SMOOTH MASONRY - Magnolia - 10ltr</t>
  </si>
  <si>
    <t>00730744</t>
  </si>
  <si>
    <t>FatHog EVOLUTION TROUSER 32" WHITE</t>
  </si>
  <si>
    <t>00301817</t>
  </si>
  <si>
    <t>Johnstones QD ZINC PHOS - Red Oxide - 5ltr</t>
  </si>
  <si>
    <t>00730753</t>
  </si>
  <si>
    <t>FatHog EVO BIB &amp; BRACE  36-38" MED WHITE</t>
  </si>
  <si>
    <t>00730755</t>
  </si>
  <si>
    <t>FatHog EVO BIB &amp; BRACE  44-46" XL  WHITE</t>
  </si>
  <si>
    <t>00730757</t>
  </si>
  <si>
    <t>FatHog EVO BIB &amp; BRACE  52-54"XXXL WHITE</t>
  </si>
  <si>
    <t>00423863</t>
  </si>
  <si>
    <t>Johnstones CLEANABLE MATT - Mix - 5ltr</t>
  </si>
  <si>
    <t>00730746</t>
  </si>
  <si>
    <t>FatHog EVOLUTION TROUSER 36" WHITE</t>
  </si>
  <si>
    <t>00303182</t>
  </si>
  <si>
    <t>Stormshield SELF CLEAN MASONRY - Mix - 5ltr</t>
  </si>
  <si>
    <t>00423257</t>
  </si>
  <si>
    <t>Johnstones PERFECT MATT - Mix- 2.5ltr</t>
  </si>
  <si>
    <t>00304284</t>
  </si>
  <si>
    <t>Johnstones ULTRA PRIMER SEALER - BW - 2.5ltr</t>
  </si>
  <si>
    <t>00301905</t>
  </si>
  <si>
    <t>JST MATT WOODSTAIN - Mahogany - 2.5ltr</t>
  </si>
  <si>
    <t>00301951</t>
  </si>
  <si>
    <t>Johnstones SATIN WOODSTAIN - Ebony - 2.5ltr</t>
  </si>
  <si>
    <t>00305060</t>
  </si>
  <si>
    <t>Johnstones PRO GLOSS - Mix - 2.5ltr</t>
  </si>
  <si>
    <t>00305837</t>
  </si>
  <si>
    <t>Leyland GLOSS - Mix - 1ltr</t>
  </si>
  <si>
    <t>00727886</t>
  </si>
  <si>
    <t>HODGS LINSEED OIL  PUTTY 1KG  0000000100</t>
  </si>
  <si>
    <t>00301678</t>
  </si>
  <si>
    <t>Johnstones EGGSHELL - Brilliant White - 1ltr</t>
  </si>
  <si>
    <t>00301481</t>
  </si>
  <si>
    <t>Johnstones VINYL SOFT SHEEN - Mag - 10ltr</t>
  </si>
  <si>
    <t>00611513</t>
  </si>
  <si>
    <t>JDONE JOB DONE     BRUSH 2"</t>
  </si>
  <si>
    <t>00301471</t>
  </si>
  <si>
    <t>Johnstones Acrylic Durable Matt - BW -2.5ltr</t>
  </si>
  <si>
    <t>00852419</t>
  </si>
  <si>
    <t>ProGold PVA ADHESIVE SEAL 2.5ltr</t>
  </si>
  <si>
    <t>00301954</t>
  </si>
  <si>
    <t>Johnstones SATIN WOODSTAIN - Teak - 2.5ltr</t>
  </si>
  <si>
    <t>00301675</t>
  </si>
  <si>
    <t>Johnstones EGGSHELL - Black - 2.5ltr</t>
  </si>
  <si>
    <t>00717218</t>
  </si>
  <si>
    <t>PURDY WHITE DOVE   3/8" 9"</t>
  </si>
  <si>
    <t>00852827</t>
  </si>
  <si>
    <t>PGOLD 4" FOAM MINI ROLLER</t>
  </si>
  <si>
    <t>00301551</t>
  </si>
  <si>
    <t>Stormshield JONTEX HI BUILD - Mag- 10ltr</t>
  </si>
  <si>
    <t>00308407</t>
  </si>
  <si>
    <t>Johnstones ADV MULTI SURF PRIMER - BW - 1ltr</t>
  </si>
  <si>
    <t>00718698</t>
  </si>
  <si>
    <t>RODO  TAC CLOTHS              (PTR10P)</t>
  </si>
  <si>
    <t>00735646</t>
  </si>
  <si>
    <t>00731058</t>
  </si>
  <si>
    <t>00309456</t>
  </si>
  <si>
    <t>Stormshield FLEXIBLE EX U/C - Mix - 1ltr</t>
  </si>
  <si>
    <t>00423345</t>
  </si>
  <si>
    <t>Leyland SMART MULTI-SURFACE - Black - 2.5ltr</t>
  </si>
  <si>
    <t>00730773</t>
  </si>
  <si>
    <t>FatHog BIB&amp;BRACE WHITE 48"-50"</t>
  </si>
  <si>
    <t>00307965</t>
  </si>
  <si>
    <t>JST   MATT W/STAIN TRANS      0000001242</t>
  </si>
  <si>
    <t>00264572</t>
  </si>
  <si>
    <t>Leyland EGGSHELL - Black - 2.5ltr</t>
  </si>
  <si>
    <t>00730914</t>
  </si>
  <si>
    <t>BLKRO GRIPPER      GLOVES</t>
  </si>
  <si>
    <t>00736963</t>
  </si>
  <si>
    <t>Mangers WHITE SPIRIT 4LTR</t>
  </si>
  <si>
    <t>00305825</t>
  </si>
  <si>
    <t>Leyland VINYL MATT - Mix - 1ltr</t>
  </si>
  <si>
    <t>00306715</t>
  </si>
  <si>
    <t>Leyland FAST DRYING WB SATIN - BW- 2.5ltr</t>
  </si>
  <si>
    <t>00636279</t>
  </si>
  <si>
    <t>00301988</t>
  </si>
  <si>
    <t>Johnstones QD Woodstain - Ebony - 2.5l</t>
  </si>
  <si>
    <t>00649894</t>
  </si>
  <si>
    <t>00308138</t>
  </si>
  <si>
    <t>JST   Q/DRY OPAQUE Z          0000001231</t>
  </si>
  <si>
    <t>00264370</t>
  </si>
  <si>
    <t>Leyland ACRYLIC EGGSHELL   - Mag - 2.5ltr</t>
  </si>
  <si>
    <t>00736489</t>
  </si>
  <si>
    <t>UB    SAINDING PAD FINE       PACK 250</t>
  </si>
  <si>
    <t>00735643</t>
  </si>
  <si>
    <t>00737317</t>
  </si>
  <si>
    <t>EASYL LINING PAPER 1400 SINGL</t>
  </si>
  <si>
    <t>00264617</t>
  </si>
  <si>
    <t>Leyland FLOOR PAINT - Nimbus Grey - 5ltr</t>
  </si>
  <si>
    <t>00301663</t>
  </si>
  <si>
    <t>Johnstones PRO UNDERCOAT - BW - 1ltr</t>
  </si>
  <si>
    <t>00302177</t>
  </si>
  <si>
    <t>Johnstones QD FLOOR VARN - Clr Gloss - 750ml</t>
  </si>
  <si>
    <t>00718796</t>
  </si>
  <si>
    <t>RODO  6" H/D SCRAP BLADES (5) FOR LHWS6</t>
  </si>
  <si>
    <t>00264712</t>
  </si>
  <si>
    <t>Leyland SUPERLEYTEX - Magnolia - 15ltr</t>
  </si>
  <si>
    <t>00736956</t>
  </si>
  <si>
    <t>Mangers SUGAR SOAP CONCENTRATE 500ML</t>
  </si>
  <si>
    <t>00734924</t>
  </si>
  <si>
    <t>BLINE ONE TIME     FILL 500ML TOEBOA0500</t>
  </si>
  <si>
    <t>00737309</t>
  </si>
  <si>
    <t>EASYL LINING PAPER 1000 QUAD</t>
  </si>
  <si>
    <t>00719184</t>
  </si>
  <si>
    <t>Brushmate FLUID 250ml</t>
  </si>
  <si>
    <t>00302421</t>
  </si>
  <si>
    <t>Johnstones TC1 THINNER - 5ltr</t>
  </si>
  <si>
    <t>00614898</t>
  </si>
  <si>
    <t>00853254</t>
  </si>
  <si>
    <t>PGOLD ROLLER KIT   9 INCH</t>
  </si>
  <si>
    <t>00424016</t>
  </si>
  <si>
    <t>PROGOLD ABRASIVE PAD FINE (10)</t>
  </si>
  <si>
    <t>00301941</t>
  </si>
  <si>
    <t>Johnstones SATIN WOODSTAIN-Antiq Pine-750ml</t>
  </si>
  <si>
    <t>00424017</t>
  </si>
  <si>
    <t>PROGOLD ABRASIVE PAD MED (10)</t>
  </si>
  <si>
    <t>00264619</t>
  </si>
  <si>
    <t>Leyland FLOOR PAINT - Slate - 5ltr</t>
  </si>
  <si>
    <t>00611515</t>
  </si>
  <si>
    <t>JDONE JOB DONE     B/SET 3PC</t>
  </si>
  <si>
    <t>00423741</t>
  </si>
  <si>
    <t>Johnstones FLORTRED Tile Red - 2.5ltr</t>
  </si>
  <si>
    <t>00718685</t>
  </si>
  <si>
    <t>RODO  PAINT KETTLE            (1EC) 1 LI</t>
  </si>
  <si>
    <t>00305839</t>
  </si>
  <si>
    <t>Leyland EGGSHELL - Mix - 5ltr</t>
  </si>
  <si>
    <t>00441642</t>
  </si>
  <si>
    <t>GORI 05 EXP DECK WALNU (UK)  78080001250</t>
  </si>
  <si>
    <t>00301666</t>
  </si>
  <si>
    <t>Johnstones PRO UNDERCOAT - Dark Grey - 1ltr</t>
  </si>
  <si>
    <t>00730920</t>
  </si>
  <si>
    <t>BLKRO TW/HALF MASK RESPIRATOR A1P2</t>
  </si>
  <si>
    <t>00115352</t>
  </si>
  <si>
    <t>THINNER 21-06               0000TREU1500</t>
  </si>
  <si>
    <t>00614993</t>
  </si>
  <si>
    <t>RODO  PRECISION    TAPE 2"    ATMT003</t>
  </si>
  <si>
    <t>00737913</t>
  </si>
  <si>
    <t>RODO  8" CAULKER   PLDT002</t>
  </si>
  <si>
    <t>00423349</t>
  </si>
  <si>
    <t>Leyland SMART MULTI-SURFACE - BW - 5ltr</t>
  </si>
  <si>
    <t>00738677</t>
  </si>
  <si>
    <t>RODO  PRECISION    TAPE 1"    ATM001</t>
  </si>
  <si>
    <t>00727690</t>
  </si>
  <si>
    <t>FatHog GENERAL PURPOSE SILICONE CLEAR -295ml</t>
  </si>
  <si>
    <t>00954101</t>
  </si>
  <si>
    <t>K     ROLLER TRAY  9" 330H</t>
  </si>
  <si>
    <t>00119507</t>
  </si>
  <si>
    <t>THINNER 20-05               0000TREU1500</t>
  </si>
  <si>
    <t>00723494</t>
  </si>
  <si>
    <t>K     EXT POLE     4-7'</t>
  </si>
  <si>
    <t>00238863</t>
  </si>
  <si>
    <t>SD S'DUR 550 SET (X)        XXXXCCEU1400</t>
  </si>
  <si>
    <t>00423744</t>
  </si>
  <si>
    <t>Johnstones FLORTRED White - 2.5ltr</t>
  </si>
  <si>
    <t>00852470</t>
  </si>
  <si>
    <t>ProGold SMOOTH ROLLER 9"</t>
  </si>
  <si>
    <t>00306723</t>
  </si>
  <si>
    <t>Leyland FAST DRYING WB U/COAT - Mix - 2.5ltr</t>
  </si>
  <si>
    <t>00722938</t>
  </si>
  <si>
    <t>G&amp;B   FRESCO 12011 BUCKINGHAM PG.HR</t>
  </si>
  <si>
    <t>00611466</t>
  </si>
  <si>
    <t>ProGold CLASSIC HYBRID BRUSH 0.5"</t>
  </si>
  <si>
    <t>00423470</t>
  </si>
  <si>
    <t>Johnstones PRO GLOSS - Magnolia - 2.5ltr</t>
  </si>
  <si>
    <t>00301636</t>
  </si>
  <si>
    <t>Johnstones WOOD PRIMER - White - 2.5ltr</t>
  </si>
  <si>
    <t>00718885</t>
  </si>
  <si>
    <t>RODO  4PCK FILLING BLADES     1X50,80,10</t>
  </si>
  <si>
    <t>00727687</t>
  </si>
  <si>
    <t>FatHog GENERAL PURPOSE SILICONE WHITE -295ml</t>
  </si>
  <si>
    <t>00264797</t>
  </si>
  <si>
    <t>Leyland VINYL MATT - Black - 1ltr</t>
  </si>
  <si>
    <t>00608353</t>
  </si>
  <si>
    <t>RODO  5L MINI      SCUTTLE    BPSM</t>
  </si>
  <si>
    <t>00852810</t>
  </si>
  <si>
    <t>ProGold COTTON TWILL DUST SHEET MINI 6' X 3'</t>
  </si>
  <si>
    <t>00264733</t>
  </si>
  <si>
    <t>Leyland TG SMOOTH MASONRY - Mushroom - 5ltr</t>
  </si>
  <si>
    <t>00643622</t>
  </si>
  <si>
    <t>00852731</t>
  </si>
  <si>
    <t>EWI   WINDOW PROT  FILM 15MT  FODO07476</t>
  </si>
  <si>
    <t>00238761</t>
  </si>
  <si>
    <t>S'DUR 550 SET WHITE           7000001400</t>
  </si>
  <si>
    <t>00301981</t>
  </si>
  <si>
    <t>Johnstones QD Woodstain - Antiq Pine - 750ml</t>
  </si>
  <si>
    <t>00423620</t>
  </si>
  <si>
    <t>GORI 99 Opaque - Mix - 2.5ltr</t>
  </si>
  <si>
    <t>00264731</t>
  </si>
  <si>
    <t>Leyland TG SMOOTH MASONRY - Magnolia - 5ltr</t>
  </si>
  <si>
    <t>00301953</t>
  </si>
  <si>
    <t>Johnstones SATIN WOODSTAIN - Teak - 750ml</t>
  </si>
  <si>
    <t>00301931</t>
  </si>
  <si>
    <t>Woodworks YACHT VARN - Clear Gloss - 750ltr</t>
  </si>
  <si>
    <t>00423619</t>
  </si>
  <si>
    <t>GORI 99 Opaque - Mix - 750ml</t>
  </si>
  <si>
    <t>00724421</t>
  </si>
  <si>
    <t>RODO  FIBREGLASS   POLE HANDL PFGP (REPL</t>
  </si>
  <si>
    <t>00614849</t>
  </si>
  <si>
    <t>CORAL PAPERWIZ     FLEX</t>
  </si>
  <si>
    <t>00301882</t>
  </si>
  <si>
    <t>JST MATT WOODSTAIN - Ebony - 5ltr</t>
  </si>
  <si>
    <t>00649644</t>
  </si>
  <si>
    <t>LEYTS DEC CAULK    WHI 380ML  (12)</t>
  </si>
  <si>
    <t>00423528</t>
  </si>
  <si>
    <t>PGOLD DEC CAULK    WHITE 300M 0000000300</t>
  </si>
  <si>
    <t>00423527</t>
  </si>
  <si>
    <t>PGOLD SO/FREE GRAB ADHESIVE   0000000300</t>
  </si>
  <si>
    <t>00267882</t>
  </si>
  <si>
    <t>Manger DEC SPONGES x24</t>
  </si>
  <si>
    <t>00852444</t>
  </si>
  <si>
    <t>FROGT GLOSS &amp;SATIN 24MM (1")  104188</t>
  </si>
  <si>
    <t>00264706</t>
  </si>
  <si>
    <t>Leyland SUPERLEYTEX - Brill White - 10ltr</t>
  </si>
  <si>
    <t>00305841</t>
  </si>
  <si>
    <t>Leyland EGGSHELL - Mix - 1ltr</t>
  </si>
  <si>
    <t>00734824</t>
  </si>
  <si>
    <t>Artex EASIFILLER POWDER 1kg</t>
  </si>
  <si>
    <t>00423210</t>
  </si>
  <si>
    <t>Stormshield SMOOTH MASONRY - Parchment - 5l</t>
  </si>
  <si>
    <t>00852803</t>
  </si>
  <si>
    <t>PGOLD 40 GRIT 10M  ALUM OXIDE</t>
  </si>
  <si>
    <t>00730916</t>
  </si>
  <si>
    <t>BLACKROCK LATEX DISP GLOVESX100 PAIRS</t>
  </si>
  <si>
    <t>00739390</t>
  </si>
  <si>
    <t>RODO  DISPOSABLE   LARGE      COVERALL</t>
  </si>
  <si>
    <t>00730747</t>
  </si>
  <si>
    <t>FatHog EVOLUTION TROUSER 38" WHITE</t>
  </si>
  <si>
    <t>00853253</t>
  </si>
  <si>
    <t>ProGold MINI ROLLER KIT 4"</t>
  </si>
  <si>
    <t>00736491</t>
  </si>
  <si>
    <t>UB    SANDING PAD  COARSE</t>
  </si>
  <si>
    <t>00611393</t>
  </si>
  <si>
    <t>TESA ECOVER CW DI 1400MMX33M 59179</t>
  </si>
  <si>
    <t>00853115</t>
  </si>
  <si>
    <t>ProGold TAPE MEASURE - 5M</t>
  </si>
  <si>
    <t>00646957</t>
  </si>
  <si>
    <t>EWI   GUN GRADE    FOAM       0000000750</t>
  </si>
  <si>
    <t>00353883</t>
  </si>
  <si>
    <t>Woodworks DANISH OIL - 750ml</t>
  </si>
  <si>
    <t>00852730</t>
  </si>
  <si>
    <t>EWI   HYBRID PAINT TAPE 41MT  HPT</t>
  </si>
  <si>
    <t>00307665</t>
  </si>
  <si>
    <t>Johnstones AQUA SATIN - Bril White - 1ltr</t>
  </si>
  <si>
    <t>00608178</t>
  </si>
  <si>
    <t>Artex Artex FIBATAPE 90M XTREME -  - ltr</t>
  </si>
  <si>
    <t>00611893</t>
  </si>
  <si>
    <t>RODO  ICE FUSION   ROLLER KIT PRODEC</t>
  </si>
  <si>
    <t>00737332</t>
  </si>
  <si>
    <t>KNAUF JOINT TAPE   150 MTR</t>
  </si>
  <si>
    <t>00730745</t>
  </si>
  <si>
    <t>FatHog EVOLUTION TROUSER 34" WHITE</t>
  </si>
  <si>
    <t>00301983</t>
  </si>
  <si>
    <t>Johnstones QD Woodstain - Walnut - 750ml</t>
  </si>
  <si>
    <t>00305857</t>
  </si>
  <si>
    <t>Johnstones UNI PRIMER - Red Oxide - 2.5ltr</t>
  </si>
  <si>
    <t>00301483</t>
  </si>
  <si>
    <t>Johnstones VINYL SOFT SHEEN - Mag - 5ltr</t>
  </si>
  <si>
    <t>00852678</t>
  </si>
  <si>
    <t>ProGold AQUA SYNTHETIC BRUSH 1"</t>
  </si>
  <si>
    <t>00301997</t>
  </si>
  <si>
    <t>Johnstones QD Woodstain - Mahogany - 750ml</t>
  </si>
  <si>
    <t>00730774</t>
  </si>
  <si>
    <t>FatHog BIB&amp;BRACE WHITE 52"-54"</t>
  </si>
  <si>
    <t>00738158</t>
  </si>
  <si>
    <t>RODO  PRODEC WALL BRUSH 6 INCH</t>
  </si>
  <si>
    <t>00264702</t>
  </si>
  <si>
    <t>Leyland ONE COAT GLOSS - BW- 750ml</t>
  </si>
  <si>
    <t>00730473</t>
  </si>
  <si>
    <t>FatHog GRAB ADHESIV SOLVENTED - 350ml</t>
  </si>
  <si>
    <t>00727689</t>
  </si>
  <si>
    <t>FatHog GENERAL PURPOSE SILICONE BLACK -295ml</t>
  </si>
  <si>
    <t>00305950</t>
  </si>
  <si>
    <t>Johnstones QD Woodstain - Mix - 2.5ltr</t>
  </si>
  <si>
    <t>00731057</t>
  </si>
  <si>
    <t>00301693</t>
  </si>
  <si>
    <t>Stormshield PLIOLITE - Mushroom - 5ltr</t>
  </si>
  <si>
    <t>00301979</t>
  </si>
  <si>
    <t>JST   QD WOODSTAIN LIGHT OAK  0000000750</t>
  </si>
  <si>
    <t>00738576</t>
  </si>
  <si>
    <t>EWI   SCRATCH RENDER CREAM 25KG</t>
  </si>
  <si>
    <t>00647210</t>
  </si>
  <si>
    <t>QTECH QTECTOR PUMP COND 946ML Q400-010</t>
  </si>
  <si>
    <t>00301451</t>
  </si>
  <si>
    <t>Johnstones COVAPLUS - Ivory - 5ltr</t>
  </si>
  <si>
    <t>00301461</t>
  </si>
  <si>
    <t>Johnstones COVAPLUS - Brilliant White - 1ltr</t>
  </si>
  <si>
    <t>00301690</t>
  </si>
  <si>
    <t>Stormshield PLIOLITE - Ivory - 5ltr</t>
  </si>
  <si>
    <t>00309454</t>
  </si>
  <si>
    <t>Stormshield FLEXIBLE EX SATIN - Mix - 1ltr</t>
  </si>
  <si>
    <t>00735640</t>
  </si>
  <si>
    <t>00611386</t>
  </si>
  <si>
    <t>TESA PR MASK TAPE 50M X 50MM 4334</t>
  </si>
  <si>
    <t>00611387</t>
  </si>
  <si>
    <t>TESA SEN MASKTAPE 50M X 25MM 4333</t>
  </si>
  <si>
    <t>00720474</t>
  </si>
  <si>
    <t>Brushmate 4 PLUS</t>
  </si>
  <si>
    <t>00301944</t>
  </si>
  <si>
    <t>Johnstones SATIN WOODSTAIN - Walnut - 750ml</t>
  </si>
  <si>
    <t>00301965</t>
  </si>
  <si>
    <t>Johnstones SATIN WOODSTAIN - Mahogany-750ml</t>
  </si>
  <si>
    <t>00305061</t>
  </si>
  <si>
    <t>Johnstones PRO GLOSS - Mix - 1ltr</t>
  </si>
  <si>
    <t>00730766</t>
  </si>
  <si>
    <t>FatHog TROUSERS WHITE 42"</t>
  </si>
  <si>
    <t>00717186</t>
  </si>
  <si>
    <t>PURDY XL MON ELITE 1.5" BRUSH</t>
  </si>
  <si>
    <t>00301504</t>
  </si>
  <si>
    <t>Johnstones JONMAT - Magnolia - 5ltr</t>
  </si>
  <si>
    <t>00611399</t>
  </si>
  <si>
    <t>TESA CRACK R TAPE 10M X 50MM 5225</t>
  </si>
  <si>
    <t>00852921</t>
  </si>
  <si>
    <t>ProGold WOVEN SHORT PILE ROLLER 9"</t>
  </si>
  <si>
    <t>00423478</t>
  </si>
  <si>
    <t>Johnstones PRO GLOSS - Post Of Red - 5ltr</t>
  </si>
  <si>
    <t>00611487</t>
  </si>
  <si>
    <t>ProGold PREMIUM BRISTLE BRUSH 3"</t>
  </si>
  <si>
    <t>00264575</t>
  </si>
  <si>
    <t>Leyland EGGSHELL - Brilliant White - 2.5ltr</t>
  </si>
  <si>
    <t>00615350</t>
  </si>
  <si>
    <t>00301687</t>
  </si>
  <si>
    <t>Johnstones ALKALI RESIST PRIMER - BW -2.5ltr</t>
  </si>
  <si>
    <t>00611384</t>
  </si>
  <si>
    <t>TESA PR MASK TAPE 50M X 25MM 4334</t>
  </si>
  <si>
    <t>00423201</t>
  </si>
  <si>
    <t>Stormshield SMOOTH MASONRY - BW - 2.5ltr</t>
  </si>
  <si>
    <t>00301523</t>
  </si>
  <si>
    <t>Johnstones STORMSHIELD TEXTURED - BW - 5ltr</t>
  </si>
  <si>
    <t>00301876</t>
  </si>
  <si>
    <t>JST MATT WOODSTAIN - Walnut- 2.5ltr</t>
  </si>
  <si>
    <t>00301883</t>
  </si>
  <si>
    <t>JST MATT WOODSTAIN - Ebony- 2.5ltr</t>
  </si>
  <si>
    <t>00737617</t>
  </si>
  <si>
    <t>EWI   ALUM BASETRACK BOX BASE 2.5M 50MM</t>
  </si>
  <si>
    <t>00730432</t>
  </si>
  <si>
    <t>Woodworks BOILED LINSEED OIL - 500ml</t>
  </si>
  <si>
    <t>00611467</t>
  </si>
  <si>
    <t>ProGold CLASSIC HYBRID BRUSH 1"</t>
  </si>
  <si>
    <t>00738573</t>
  </si>
  <si>
    <t>EWI   ONE COAT RENDER 25KG</t>
  </si>
  <si>
    <t>00301989</t>
  </si>
  <si>
    <t>Johnstones QD Woodstain - Teak - 750ml</t>
  </si>
  <si>
    <t>00305859</t>
  </si>
  <si>
    <t>Johnstones UNI PRIMER - White - 1ltr</t>
  </si>
  <si>
    <t>00304864</t>
  </si>
  <si>
    <t>Woodworks POLY VARNISH - Satin Clear - 750ml</t>
  </si>
  <si>
    <t>00301915</t>
  </si>
  <si>
    <t>JST MATT WOODSTAIN - Clear - 2.5ltr</t>
  </si>
  <si>
    <t>00308368</t>
  </si>
  <si>
    <t>LL    TESTERPOT    PASTEL BSE 0000000350</t>
  </si>
  <si>
    <t>00737315</t>
  </si>
  <si>
    <t>EASYL LINING PAPER 1000 SINGL</t>
  </si>
  <si>
    <t>00852820</t>
  </si>
  <si>
    <t>ProGold DOUBLE ARM FRAME 15"</t>
  </si>
  <si>
    <t>00300692</t>
  </si>
  <si>
    <t>Leyland TG SMOOTH MASONRY - C Cream - 5ltr</t>
  </si>
  <si>
    <t>00608489</t>
  </si>
  <si>
    <t>00852304</t>
  </si>
  <si>
    <t>00304327</t>
  </si>
  <si>
    <t>Leyland T/GUARD STAB PRIMER - Clear - 5ltr</t>
  </si>
  <si>
    <t>00264849</t>
  </si>
  <si>
    <t>Leyland VINYL SILK - Brill White - 2.5ltr</t>
  </si>
  <si>
    <t>00722953</t>
  </si>
  <si>
    <t>HODGS MULTI PURP PUTTY BROWN  0000001100</t>
  </si>
  <si>
    <t>00423611</t>
  </si>
  <si>
    <t>GORI 44+ QD DECK STAIN - Mix - 5ltr</t>
  </si>
  <si>
    <t>00301832</t>
  </si>
  <si>
    <t>Johnstones QD MATT BLACKBOARD - Black - 1ltr</t>
  </si>
  <si>
    <t>00264871</t>
  </si>
  <si>
    <t>Leyland VINYL SOFT SHEEN - BW - 2.5ltr</t>
  </si>
  <si>
    <t>00727885</t>
  </si>
  <si>
    <t>HODGS LINSEED OIL  PUTTY 500G 0000000050</t>
  </si>
  <si>
    <t>00423341</t>
  </si>
  <si>
    <t>Leyland SMART MULTI-SURFACE - DK GRY - 750ml</t>
  </si>
  <si>
    <t>00618002</t>
  </si>
  <si>
    <t>SIRO  EXPANDING    FOAM 500ML       0500</t>
  </si>
  <si>
    <t>00305827</t>
  </si>
  <si>
    <t>Leyland VINYL SILK - Mix - 2.5ltr</t>
  </si>
  <si>
    <t>00852686</t>
  </si>
  <si>
    <t>ProGold AQUA SYNTHETIC ANGLE BRUSH 2"</t>
  </si>
  <si>
    <t>00737110</t>
  </si>
  <si>
    <t>FatHog LIGHTWEIGHT FILLER 500ML</t>
  </si>
  <si>
    <t>00730765</t>
  </si>
  <si>
    <t>FatHog TROUSERS WHITE 40"</t>
  </si>
  <si>
    <t>00729837</t>
  </si>
  <si>
    <t>EASY  EASYTEX      10-045     STRAND</t>
  </si>
  <si>
    <t>00719190</t>
  </si>
  <si>
    <t>Brushmate PACK TRADE 20 S</t>
  </si>
  <si>
    <t>00852682</t>
  </si>
  <si>
    <t>ProGold AQUA SYNTHETIC BRUSH 3"</t>
  </si>
  <si>
    <t>00852413</t>
  </si>
  <si>
    <t>ProGold BRUSH CLEANER 2ltr</t>
  </si>
  <si>
    <t>00730927</t>
  </si>
  <si>
    <t>BLKRO DISPOSABLE   OVERSHOES  X5 PAIR</t>
  </si>
  <si>
    <t>00304855</t>
  </si>
  <si>
    <t>Woodworks POLY VARNISH - GLOSS Clear-750ml</t>
  </si>
  <si>
    <t>00300398</t>
  </si>
  <si>
    <t>Johnstones ACRYLIC SATIN - Bril White - 1ltr</t>
  </si>
  <si>
    <t>00739010</t>
  </si>
  <si>
    <t>RODO  GRIP GLOVE   LWEIGHT    5401000</t>
  </si>
  <si>
    <t>00647337</t>
  </si>
  <si>
    <t>RODO  ICE 4" 2PK   FUSION SLV ARRE034</t>
  </si>
  <si>
    <t>00264788</t>
  </si>
  <si>
    <t>Leyland VINYL MATT - Antique White - 5ltr</t>
  </si>
  <si>
    <t>00615356</t>
  </si>
  <si>
    <t>RODO  LOW TACK     MASK TAPE  PREC EDGE</t>
  </si>
  <si>
    <t>00423531</t>
  </si>
  <si>
    <t>PGOLD GP SILICONE  WHITE      0000000300</t>
  </si>
  <si>
    <t>00300870</t>
  </si>
  <si>
    <t>Leyland ACRYLIC PRIM U/COAT - White - 750ml</t>
  </si>
  <si>
    <t>00301659</t>
  </si>
  <si>
    <t>Johnstones PRO UNDERCOAT - Charcoal - 1ltr</t>
  </si>
  <si>
    <t>00264836</t>
  </si>
  <si>
    <t>Leyland VINYL MATT - White - 5ltr</t>
  </si>
  <si>
    <t>00852727</t>
  </si>
  <si>
    <t>EWI   MT PE TARP   TAPE 25MT  STUCCO</t>
  </si>
  <si>
    <t>00301991</t>
  </si>
  <si>
    <t>Johnstones QD Woodstain - Medium Oak - 750ml</t>
  </si>
  <si>
    <t>00308366</t>
  </si>
  <si>
    <t>LL    TESTERPOT    ULTRA DEEP 0000000325</t>
  </si>
  <si>
    <t>00305032</t>
  </si>
  <si>
    <t>Johnstones VINYL SOFT SHEEN - Mix - 1ltr</t>
  </si>
  <si>
    <t>00730915</t>
  </si>
  <si>
    <t>BLKRO COTTON GLOVE PAINTER</t>
  </si>
  <si>
    <t>00852926</t>
  </si>
  <si>
    <t>ProGold LONG PILE POLYESTER ROLLER 15"</t>
  </si>
  <si>
    <t>00264798</t>
  </si>
  <si>
    <t>Leyland VINYL MATT - Black - 2.5ltr</t>
  </si>
  <si>
    <t>00264801</t>
  </si>
  <si>
    <t>Leyland VINYL MATT - Brilliant White - 1ltr</t>
  </si>
  <si>
    <t>00718900</t>
  </si>
  <si>
    <t>RODO LOW TACK 50MM - 2" MASKING TAPE</t>
  </si>
  <si>
    <t>00264821</t>
  </si>
  <si>
    <t>Leyland VINYL MATT - Magnolia - 2.5ltr</t>
  </si>
  <si>
    <t>00264637</t>
  </si>
  <si>
    <t>Leyland GLOSS - Black - 750ml</t>
  </si>
  <si>
    <t>00718739</t>
  </si>
  <si>
    <t>RODO  SANDING      BLOCK      (SANDING)</t>
  </si>
  <si>
    <t>00264605</t>
  </si>
  <si>
    <t>Leyland GLOSS - Brilliant White - 750ml</t>
  </si>
  <si>
    <t>00738157</t>
  </si>
  <si>
    <t>RODO  WALL BRUSH   4 INCH</t>
  </si>
  <si>
    <t>00736984</t>
  </si>
  <si>
    <t>Mangers AP W/PAPER ADH 30ROLL</t>
  </si>
  <si>
    <t>00852684</t>
  </si>
  <si>
    <t>ProGold AQUA OVAL SYNTHETIC BRUSH 2"</t>
  </si>
  <si>
    <t>00423459</t>
  </si>
  <si>
    <t>Johnstones PRO GLOSS - Black - 500ml</t>
  </si>
  <si>
    <t>00852683</t>
  </si>
  <si>
    <t>ProGold AQUA OVAL SYNTHETIC BRUSH 1.5"</t>
  </si>
  <si>
    <t>00718824</t>
  </si>
  <si>
    <t>RODO  4" PLASTIC   M.R.TRAY   (MRT)</t>
  </si>
  <si>
    <t>00719181</t>
  </si>
  <si>
    <t>Brushmate VAPOUR MATE</t>
  </si>
  <si>
    <t>00730913</t>
  </si>
  <si>
    <t>BLKRO INDIRECT     GOGGLES</t>
  </si>
  <si>
    <t>00610644</t>
  </si>
  <si>
    <t>BLACKROCK PU GRIPPER GLOVE BLK</t>
  </si>
  <si>
    <t>00611483</t>
  </si>
  <si>
    <t>ProGold PREMIUM BRISTLE BRUSH 1"</t>
  </si>
  <si>
    <t>00852412</t>
  </si>
  <si>
    <t>ProGold BRUSH CLEANER 500ml</t>
  </si>
  <si>
    <t>00639830</t>
  </si>
  <si>
    <t>RODO  BLADES FOR   CONT PLAST IC MINI SC</t>
  </si>
  <si>
    <t>00718701</t>
  </si>
  <si>
    <t>RODO  16" PAINT    STIRRER    (PS16)</t>
  </si>
  <si>
    <t>00718751</t>
  </si>
  <si>
    <t>RODO  4" SCRAPER   BLACK HAND (FFJPS4)</t>
  </si>
  <si>
    <t>00736968</t>
  </si>
  <si>
    <t>Mangers TURPS SUB 750ML</t>
  </si>
  <si>
    <t>00680366</t>
  </si>
  <si>
    <t>RODO  STEEL WOOL   MIX RETAIL</t>
  </si>
  <si>
    <t>00611512</t>
  </si>
  <si>
    <t>JDONE JOB DONE     BRUSH 1"</t>
  </si>
  <si>
    <t>00737316</t>
  </si>
  <si>
    <t>EASYL LINING PAPER 1200 SINGL</t>
  </si>
  <si>
    <t>00614868</t>
  </si>
  <si>
    <t>PURDY POWERLOCK    1-2 FT     EXT POLE</t>
  </si>
  <si>
    <t>00264314</t>
  </si>
  <si>
    <t>Stormshield JONTEX HI BUILD MSRY - BW - 10l</t>
  </si>
  <si>
    <t>00264367</t>
  </si>
  <si>
    <t>Leyland ACRYLIC EGGSHELL - BW - 750ml</t>
  </si>
  <si>
    <t>00264381</t>
  </si>
  <si>
    <t>Leyland ALKALI RESISTING PRIMER -  - 2.5ltr</t>
  </si>
  <si>
    <t>00264383</t>
  </si>
  <si>
    <t>Leyland ALL PURPOSE PRIMER -  - 2.5ltr</t>
  </si>
  <si>
    <t>00264564</t>
  </si>
  <si>
    <t>Leyland CONTRACT MATT - Magnolia - 15ltr</t>
  </si>
  <si>
    <t>00264567</t>
  </si>
  <si>
    <t>Leyland CONTRACT PRIMER - BW - 5ltr</t>
  </si>
  <si>
    <t>00264568</t>
  </si>
  <si>
    <t>Leyland CONTRACT SILK - Brill White - 10ltr</t>
  </si>
  <si>
    <t>00264569</t>
  </si>
  <si>
    <t>Leyland CONTRACT SILK - Magnolia - 10ltr</t>
  </si>
  <si>
    <t>00264573</t>
  </si>
  <si>
    <t>Leyland EGGSHELL - Black - 5ltr</t>
  </si>
  <si>
    <t>00264574</t>
  </si>
  <si>
    <t>Leyland EGGSHELL - Brilliant White - 750ml</t>
  </si>
  <si>
    <t>00264576</t>
  </si>
  <si>
    <t>Leyland EGGSHELL - Brilliant White - 5ltr</t>
  </si>
  <si>
    <t>00264587</t>
  </si>
  <si>
    <t>Leyland EGGSHELL - Magnolia - 750ltr</t>
  </si>
  <si>
    <t>00264588</t>
  </si>
  <si>
    <t>Leyland EGGSHELL - Magnolia - 2.5ltr</t>
  </si>
  <si>
    <t>00264589</t>
  </si>
  <si>
    <t>Leyland EGGSHELL - Magnolia - 5ltr</t>
  </si>
  <si>
    <t>00264614</t>
  </si>
  <si>
    <t>Leyland FLOOR PAINT - Empire Green - 5ltr</t>
  </si>
  <si>
    <t>00264615</t>
  </si>
  <si>
    <t>Leyland FLOOR PAINT - Frigate - 5ltr</t>
  </si>
  <si>
    <t>00264616</t>
  </si>
  <si>
    <t>Leyland FLOOR PAINT - Nimbus Grey - 2.5ltr</t>
  </si>
  <si>
    <t>00264618</t>
  </si>
  <si>
    <t>Leyland FLOOR PAINT - Slate - 2.5ltr</t>
  </si>
  <si>
    <t>00264620</t>
  </si>
  <si>
    <t>Leyland FLOOR PAINT - Tile Red - 2.5ltr</t>
  </si>
  <si>
    <t>00264635</t>
  </si>
  <si>
    <t>Leyland GLOSS - Peat - 750ml</t>
  </si>
  <si>
    <t>00264648</t>
  </si>
  <si>
    <t>Leyland GLOSS - Cherry Red - 5ltr</t>
  </si>
  <si>
    <t>00264662</t>
  </si>
  <si>
    <t>Leyland GLOSS - Magnolia - 750ml</t>
  </si>
  <si>
    <t>00264663</t>
  </si>
  <si>
    <t>Leyland GLOSS - Magnolia - 2.5ltr</t>
  </si>
  <si>
    <t>00264664</t>
  </si>
  <si>
    <t>Leyland GLOSS - Magnolia - 5ltr</t>
  </si>
  <si>
    <t>00264672</t>
  </si>
  <si>
    <t>Leyland GLOSS - Nanking Blue - 5ltr</t>
  </si>
  <si>
    <t>00264678</t>
  </si>
  <si>
    <t>Leyland GLOSS - Peat - 2.5ltr</t>
  </si>
  <si>
    <t>00264680</t>
  </si>
  <si>
    <t>Leyland GLOSS - Signal Red - 750ml</t>
  </si>
  <si>
    <t>00264681</t>
  </si>
  <si>
    <t>Leyland GLOSS - Signal Red- 2.5ltr</t>
  </si>
  <si>
    <t>00264682</t>
  </si>
  <si>
    <t>Leyland GLOSS - Signal Red - 5ltr</t>
  </si>
  <si>
    <t>00264688</t>
  </si>
  <si>
    <t>Leyland T/GUARD FLEX EXT UCOAT - BW - 2.5ltr</t>
  </si>
  <si>
    <t>00264690</t>
  </si>
  <si>
    <t>Leyland T/GUARD FLEX EXT GLOSS - BW - 2.5ltr</t>
  </si>
  <si>
    <t>00264693</t>
  </si>
  <si>
    <t>Leyland NON DRIP GLOSS - BW - 750ml</t>
  </si>
  <si>
    <t>00264694</t>
  </si>
  <si>
    <t>Leyland NON DRIP GLOSS - BW - 2.5ltr</t>
  </si>
  <si>
    <t>00264699</t>
  </si>
  <si>
    <t>Leyland SATINWOOD - Brilliant White - 750ltr</t>
  </si>
  <si>
    <t>00264705</t>
  </si>
  <si>
    <t>Leyland SUPERLEYTEX - Brilliant White - 5ltr</t>
  </si>
  <si>
    <t>00264710</t>
  </si>
  <si>
    <t>Leyland SUPERLEYTEX - Magnolia - 10ltr</t>
  </si>
  <si>
    <t>00264711</t>
  </si>
  <si>
    <t>Leyland SUPERLEYTEX - Magnolia - 5ltr</t>
  </si>
  <si>
    <t>00264722</t>
  </si>
  <si>
    <t>Leyland TRUGUARD FINE TEXTURED - BW- 5ltr</t>
  </si>
  <si>
    <t>00264727</t>
  </si>
  <si>
    <t>Leyland TG SMOOTH MASONRY - Cream - 5ltr</t>
  </si>
  <si>
    <t>00264728</t>
  </si>
  <si>
    <t>Leyland TG SMOOTH MASONRY - Dove Grey - 5ltr</t>
  </si>
  <si>
    <t>00264730</t>
  </si>
  <si>
    <t>Leyland TG SMOOTH MASONRY - K Beige - 5ltr</t>
  </si>
  <si>
    <t>00264735</t>
  </si>
  <si>
    <t>Leyland TG SMOOTH MASONRY - Pearl - 5ltr</t>
  </si>
  <si>
    <t>00264750</t>
  </si>
  <si>
    <t>Leyland UNDERCOAT - Dark Grey - 750ml</t>
  </si>
  <si>
    <t>00264751</t>
  </si>
  <si>
    <t>Leyland UNDERCOAT - Dark Grey - 2.5ltr</t>
  </si>
  <si>
    <t>00264767</t>
  </si>
  <si>
    <t>Leyland UNDERCOAT - Mid Grey 750ml</t>
  </si>
  <si>
    <t>00264768</t>
  </si>
  <si>
    <t>Leyland UNDERCOAT - Mid Grey 2.5ltr</t>
  </si>
  <si>
    <t>00264784</t>
  </si>
  <si>
    <t>Leyland UNDERCOAT - Brilliant White - 750ltr</t>
  </si>
  <si>
    <t>00264802</t>
  </si>
  <si>
    <t>Leyland VINYL MATT - Brill White - 2.5ltr</t>
  </si>
  <si>
    <t>00264811</t>
  </si>
  <si>
    <t>Leyland VINYL MATT - Dove Grey - 5ltr</t>
  </si>
  <si>
    <t>00264815</t>
  </si>
  <si>
    <t>Leyland VINYL MATT - Gardenia - 5ltr</t>
  </si>
  <si>
    <t>00264819</t>
  </si>
  <si>
    <t>Leyland VINYL MATT - Magnolia - 1ltr</t>
  </si>
  <si>
    <t>00264827</t>
  </si>
  <si>
    <t>Leyland VINYL MATT - Pale Beige - 5ltr</t>
  </si>
  <si>
    <t>00264835</t>
  </si>
  <si>
    <t>Leyland VINYL MATT - White - 10ltr</t>
  </si>
  <si>
    <t>00264848</t>
  </si>
  <si>
    <t>Leyland VINYL SILK - Brilliant White - 1ltr</t>
  </si>
  <si>
    <t>00264870</t>
  </si>
  <si>
    <t>Leyland VINYL SOFT SHEEN - BW - 5ltr</t>
  </si>
  <si>
    <t>00264872</t>
  </si>
  <si>
    <t>Leyland VINYL SOFT SHEEN - Magnolia - 5ltr</t>
  </si>
  <si>
    <t>00264877</t>
  </si>
  <si>
    <t>Leyland WOOD PRIMER  - White - 2.5ltr</t>
  </si>
  <si>
    <t>00264878</t>
  </si>
  <si>
    <t>Leyland WOOD PRIMER  - White - 5ltr</t>
  </si>
  <si>
    <t>00300694</t>
  </si>
  <si>
    <t>Leyland TG SMOOTH MASONRY - Gardenia - 5ltr</t>
  </si>
  <si>
    <t>00300702</t>
  </si>
  <si>
    <t>Leyland TRUGUARD HI TEXTURED - BW - 10ltr</t>
  </si>
  <si>
    <t>00300708</t>
  </si>
  <si>
    <t>Leyland FLOOR PAINT - Frigate - 2.5ltr</t>
  </si>
  <si>
    <t>00300709</t>
  </si>
  <si>
    <t>Leyland ONE COAT GLOSS - Black - 750ltr</t>
  </si>
  <si>
    <t>00300871</t>
  </si>
  <si>
    <t>Leyland WOOD PRIMER - White - 750ml</t>
  </si>
  <si>
    <t>00300872</t>
  </si>
  <si>
    <t>Leyland ALL PURPOSE PRIMER - White - 750ml</t>
  </si>
  <si>
    <t>00300875</t>
  </si>
  <si>
    <t>Leyland CONTRACT PRIMER - BW - 2.5ltr</t>
  </si>
  <si>
    <t>00301449</t>
  </si>
  <si>
    <t>Johnstones COVAPLUS - Soft Primrose - 5ltr</t>
  </si>
  <si>
    <t>00301467</t>
  </si>
  <si>
    <t>Johnstones Acrylic Durable Matt - Mag -2.5lt</t>
  </si>
  <si>
    <t>00301482</t>
  </si>
  <si>
    <t>Johnstones VINYL SOFT SHEEN - Mag - 2.5ltr</t>
  </si>
  <si>
    <t>00301632</t>
  </si>
  <si>
    <t>Johnstones JONCRYL QD PRIMER - BW - 1ltr</t>
  </si>
  <si>
    <t>00301635</t>
  </si>
  <si>
    <t>Johnstones WOOD PRIMER - White - 1ltr</t>
  </si>
  <si>
    <t>00301637</t>
  </si>
  <si>
    <t>Johnstones WOOD PRIMER - White - 5ltr</t>
  </si>
  <si>
    <t>00301638</t>
  </si>
  <si>
    <t>Johnstones PRO UNDERCOAT - Mid Grey - 1ltr</t>
  </si>
  <si>
    <t>00301651</t>
  </si>
  <si>
    <t>Johnstones PRO UNDERCOAT - Light Grey - 1ltr</t>
  </si>
  <si>
    <t>00301662</t>
  </si>
  <si>
    <t>Johnstones PRO UNDERCOAT - BW - 500ml</t>
  </si>
  <si>
    <t>00301677</t>
  </si>
  <si>
    <t>Johnstones EGGSHELL - Brill White - 500ml</t>
  </si>
  <si>
    <t>00301689</t>
  </si>
  <si>
    <t>Stormshield PLIOLITE - Parchment - 5ltr</t>
  </si>
  <si>
    <t>00301692</t>
  </si>
  <si>
    <t>Stormshield PLIOLITE - County Cream - 5ltr</t>
  </si>
  <si>
    <t>00301696</t>
  </si>
  <si>
    <t>Johnstones S/SHIELD WATERSEAL - Clear - 5ltr</t>
  </si>
  <si>
    <t>00301718</t>
  </si>
  <si>
    <t>Johnstones VINYL SILK - Magnolia - 2.5ltr</t>
  </si>
  <si>
    <t>00301723</t>
  </si>
  <si>
    <t>Johnstones VINYL SILK - BW - 1ltr</t>
  </si>
  <si>
    <t>00301724</t>
  </si>
  <si>
    <t>Johnstones VINYL SILK - BW - 2.5ltr</t>
  </si>
  <si>
    <t>00301752</t>
  </si>
  <si>
    <t>Johnstones MICROBAR-ACRY EGGSHELL - Mag - 5l</t>
  </si>
  <si>
    <t>00447549</t>
  </si>
  <si>
    <t>Johnstones Stopmould - Magnolia - 5ltr</t>
  </si>
  <si>
    <t>00447548</t>
  </si>
  <si>
    <t>Johnstones Stopmould - Brill White - 5ltr</t>
  </si>
  <si>
    <t>00301803</t>
  </si>
  <si>
    <t>Johnstones AGRICULTURAL OXIDE - Green - 5ltr</t>
  </si>
  <si>
    <t>00301804</t>
  </si>
  <si>
    <t>Johnstones AGRICULTURAL OXIDE - Red Ox -5ltr</t>
  </si>
  <si>
    <t>00301823</t>
  </si>
  <si>
    <t>Johnstones FLAT OIL PAINT - BW - 2.5ltr</t>
  </si>
  <si>
    <t>00301824</t>
  </si>
  <si>
    <t>Johnstones FLAT OIL PAINT - BW - 5ltr</t>
  </si>
  <si>
    <t>00301829</t>
  </si>
  <si>
    <t>Johnstones MDF PRIMER - Bril White - 1ltr</t>
  </si>
  <si>
    <t>00301830</t>
  </si>
  <si>
    <t>Johnstones MDF PRIMER - Bril White - 2.5ltr</t>
  </si>
  <si>
    <t>00301845</t>
  </si>
  <si>
    <t>Johnstones 2PK WB FLOOR - Dark Grey - 5ltr</t>
  </si>
  <si>
    <t>00301872</t>
  </si>
  <si>
    <t>JST MATT WOODSTAIN - Antique Pine - 2.5ltr</t>
  </si>
  <si>
    <t>00301887</t>
  </si>
  <si>
    <t>JST MATT WOODSTAIN - Teak - 2.5ltr</t>
  </si>
  <si>
    <t>00301913</t>
  </si>
  <si>
    <t>JST MATT WOODSTAIN - Clear - 750ml</t>
  </si>
  <si>
    <t>00301935</t>
  </si>
  <si>
    <t>Johnstones SATIN WOODSTAIN - Clear - 750ml</t>
  </si>
  <si>
    <t>00301937</t>
  </si>
  <si>
    <t>Johnstones SATIN WOODSTAIN - Clear - 5ltr</t>
  </si>
  <si>
    <t>00301950</t>
  </si>
  <si>
    <t>Johnstones SATIN WOODSTAIN - Ebony - 750ml</t>
  </si>
  <si>
    <t>00301987</t>
  </si>
  <si>
    <t>Johnstones QD Woodstain - Ebony - 750ml</t>
  </si>
  <si>
    <t>00301999</t>
  </si>
  <si>
    <t>Johnstones QD Woodstain - Clear - 750ml</t>
  </si>
  <si>
    <t>00302004</t>
  </si>
  <si>
    <t>Johnstones SHED &amp; FENCE - Light Brown - 5ltr</t>
  </si>
  <si>
    <t>00302435</t>
  </si>
  <si>
    <t>Johnstones 2PK SOLV FLOOR - Dark Grey - 4ltr</t>
  </si>
  <si>
    <t>00304283</t>
  </si>
  <si>
    <t>Johnstones ULTRA PRIMER SEALER - BW - 1ltr</t>
  </si>
  <si>
    <t>00304325</t>
  </si>
  <si>
    <t>Leyland T/GUARD STAB PRIMER - Clear - 2.5ltr</t>
  </si>
  <si>
    <t>00304696</t>
  </si>
  <si>
    <t>Leyland FLOOR PAINT - Clear - 5ltr</t>
  </si>
  <si>
    <t>00304742</t>
  </si>
  <si>
    <t>Johnstones DRY LINING PAINT - BW - 10ltr</t>
  </si>
  <si>
    <t>00304743</t>
  </si>
  <si>
    <t>Woodworks INT FLOOR VARN - Clear Gloss - 5l</t>
  </si>
  <si>
    <t>00304850</t>
  </si>
  <si>
    <t>Woodworks INT FLOOR VARN - Clr Gloss - 2.5l</t>
  </si>
  <si>
    <t>00304865</t>
  </si>
  <si>
    <t>Johnstones FLORTRED Clear - 5ltr</t>
  </si>
  <si>
    <t>00305039</t>
  </si>
  <si>
    <t>Johnstones VINYL SILK - Mix - 1ltr</t>
  </si>
  <si>
    <t>00305050</t>
  </si>
  <si>
    <t>Johnstones STORMSHIELD TEXTURED - Mix - 5ltr</t>
  </si>
  <si>
    <t>00305052</t>
  </si>
  <si>
    <t>Johnstones ANTIMOULD ACRYLIC - Mix - 5ltr</t>
  </si>
  <si>
    <t>00305073</t>
  </si>
  <si>
    <t>Johnstones S&amp;C GLOSS TCT - Mix - 5ltr</t>
  </si>
  <si>
    <t>00305821</t>
  </si>
  <si>
    <t>Leyland VINYL SOFT SHEEN - Mix - 2.5ltr</t>
  </si>
  <si>
    <t>00305832</t>
  </si>
  <si>
    <t>Leyland TRUGUARD FINE TEXTURED - Mix - 5l</t>
  </si>
  <si>
    <t>00305838</t>
  </si>
  <si>
    <t>Leyland GLOSS - Mix - 500ml</t>
  </si>
  <si>
    <t>00305844</t>
  </si>
  <si>
    <t>Leyland UNDERCOAT - Mix - 1ltr</t>
  </si>
  <si>
    <t>00305845</t>
  </si>
  <si>
    <t>Leyland SUPERLEYTEX - Mix - 10ltr</t>
  </si>
  <si>
    <t>00305846</t>
  </si>
  <si>
    <t>Leyland SUPERLEYTEX - Mix - 5ltr</t>
  </si>
  <si>
    <t>00305856</t>
  </si>
  <si>
    <t>Johnstones UNI PRIMER - Red Oxide - 1ltr</t>
  </si>
  <si>
    <t>00305966</t>
  </si>
  <si>
    <t>JST MATT WOODSTAIN - Mix - 5ltr</t>
  </si>
  <si>
    <t>00306353</t>
  </si>
  <si>
    <t>Leyland CONTRACT GLOSS - BW - 2.5ltr</t>
  </si>
  <si>
    <t>00306354</t>
  </si>
  <si>
    <t>Leyland CONTRACT GLOSS - BW - 5ltr</t>
  </si>
  <si>
    <t>00306355</t>
  </si>
  <si>
    <t>Leyland CONTRACT UNDERCOAT - BW - 2.5ltr</t>
  </si>
  <si>
    <t>00306356</t>
  </si>
  <si>
    <t>Leyland CONTRACT UNDERCOAT - BW - 5ltr</t>
  </si>
  <si>
    <t>00306526</t>
  </si>
  <si>
    <t>Johnstones FLORTRED ANTI SLIP - Tile Rd - 5l</t>
  </si>
  <si>
    <t>00306668</t>
  </si>
  <si>
    <t>Leyland HARDWEARING MATT - Bril White - 5ltr</t>
  </si>
  <si>
    <t>00306670</t>
  </si>
  <si>
    <t>Leyland HARDWEARING MATT - Magnolia - 5ltr</t>
  </si>
  <si>
    <t>00306672</t>
  </si>
  <si>
    <t>Leyland HARDWEARING MATT - Mix - 5ltr</t>
  </si>
  <si>
    <t>00306714</t>
  </si>
  <si>
    <t>Leyland FAST DRYING WB SATIN - BW - 750ml</t>
  </si>
  <si>
    <t>00306716</t>
  </si>
  <si>
    <t>Leyland FAST DRYING WB SATIN - Black - 2.5l</t>
  </si>
  <si>
    <t>00306717</t>
  </si>
  <si>
    <t>Leyland FAST DRYING WB GLOSS - BW - 750ml</t>
  </si>
  <si>
    <t>00306719</t>
  </si>
  <si>
    <t>Leyland FAST DRYING WB GLOSS - Black - 2.5l</t>
  </si>
  <si>
    <t>00306720</t>
  </si>
  <si>
    <t>Leyland FAST DRYING WB U/COAT - BW - 2.5ltr</t>
  </si>
  <si>
    <t>00306721</t>
  </si>
  <si>
    <t>Leyland FAST DRYING WB U/COAT - D GRY - 2.5l</t>
  </si>
  <si>
    <t>00306728</t>
  </si>
  <si>
    <t>Leyland FAST DRYING WB GLOSS - Mix - 2.5ltr</t>
  </si>
  <si>
    <t>00306734</t>
  </si>
  <si>
    <t>Leyland FAST DRYING WB SATIN - Mix - 2.5ltr</t>
  </si>
  <si>
    <t>00306736</t>
  </si>
  <si>
    <t>Leyland FAST DRYING WB U/COAT - BW - 750ml</t>
  </si>
  <si>
    <t>00307552</t>
  </si>
  <si>
    <t>Johnstones ULTRA PRIMER &amp; FINISH - BW - 10l</t>
  </si>
  <si>
    <t>00307871</t>
  </si>
  <si>
    <t>Leyland HARDWEARING MATT - Bril White - 2.5l</t>
  </si>
  <si>
    <t>00307872</t>
  </si>
  <si>
    <t>Leyland HARDWEARING MATT - Bril White - 10l</t>
  </si>
  <si>
    <t>00307890</t>
  </si>
  <si>
    <t>Leyland T/GUARD FLEX EXT GLOSS - BW - 750ml</t>
  </si>
  <si>
    <t>00307891</t>
  </si>
  <si>
    <t>Leyland T/GUARD FLEX EXT GLOSS - Black 750ml</t>
  </si>
  <si>
    <t>00307967</t>
  </si>
  <si>
    <t>JST MATT WOODSTAIN - Mix - 2.5l</t>
  </si>
  <si>
    <t>00307970</t>
  </si>
  <si>
    <t>Johnstones SATIN WOODSTAIN - Mix - 2.5ltr</t>
  </si>
  <si>
    <t>00308410</t>
  </si>
  <si>
    <t>Leyland ANTI-CORROSIVE PRIMER - Grey - 2.5l</t>
  </si>
  <si>
    <t>00308411</t>
  </si>
  <si>
    <t>Leyland ANTI-CORROSIVE PRIMER - RD OX - 2.5l</t>
  </si>
  <si>
    <t>00308451</t>
  </si>
  <si>
    <t>Leyland FLOOR PAINT - Yellow - 5ltr</t>
  </si>
  <si>
    <t>00308452</t>
  </si>
  <si>
    <t>Leyland MDF PRIMER - White  - 750ml</t>
  </si>
  <si>
    <t>00308453</t>
  </si>
  <si>
    <t>Leyland MDF PRIMER - White  - 2.5ltr</t>
  </si>
  <si>
    <t>00308455</t>
  </si>
  <si>
    <t>Leyland ANTISLIP FLOOR - Slate - 5ltr</t>
  </si>
  <si>
    <t>00308456</t>
  </si>
  <si>
    <t>Leyland ANTISLIP FLOOR - Tile Red - 5ltr</t>
  </si>
  <si>
    <t>00372998</t>
  </si>
  <si>
    <t>Leyland DIRECT TO METAL - Black - 750ml</t>
  </si>
  <si>
    <t>00372999</t>
  </si>
  <si>
    <t>Leyland DIRECT TO METAL - Black - 2.5ltr</t>
  </si>
  <si>
    <t>00373002</t>
  </si>
  <si>
    <t>Leyland DIRECT TO METAL - Silver - 750ml</t>
  </si>
  <si>
    <t>00373005</t>
  </si>
  <si>
    <t>Leyland DIRECT TO METAL - White - 750ml</t>
  </si>
  <si>
    <t>00389419</t>
  </si>
  <si>
    <t>Leyland HARDWEARING MATT - Mix - 2.5ltr</t>
  </si>
  <si>
    <t>00389420</t>
  </si>
  <si>
    <t>Leyland HARDWEARING MATT - Mix - 10ltr</t>
  </si>
  <si>
    <t>00389480</t>
  </si>
  <si>
    <t>Johnstones  AIRPURE - Mix - 5ltr</t>
  </si>
  <si>
    <t>00422617</t>
  </si>
  <si>
    <t>Johnstones  AIRPURE - Brilliant White - 5ltr</t>
  </si>
  <si>
    <t>00423203</t>
  </si>
  <si>
    <t>00423207</t>
  </si>
  <si>
    <t>Stormshield SMOOTH MASONRY - Ivory - 5ltr</t>
  </si>
  <si>
    <t>00423337</t>
  </si>
  <si>
    <t>Leyland SMART MULTI-SURFACE - BW - 750ml</t>
  </si>
  <si>
    <t>00423338</t>
  </si>
  <si>
    <t>Leyland SMART MULTI-SURFACE - Mag - 750ml</t>
  </si>
  <si>
    <t>00423339</t>
  </si>
  <si>
    <t>Leyland SMART MULTI-SURFACE - Black - 750ml</t>
  </si>
  <si>
    <t>00423340</t>
  </si>
  <si>
    <t>Leyland SMART MULTI-SURFACE - LT GRY - 750ml</t>
  </si>
  <si>
    <t>00423342</t>
  </si>
  <si>
    <t>Leyland SMART MULTI-SURFACE - Of Whi - 750ml</t>
  </si>
  <si>
    <t>00423343</t>
  </si>
  <si>
    <t>Leyland SMART MULTI-SURFACE - BW - 2.5ltr</t>
  </si>
  <si>
    <t>00423344</t>
  </si>
  <si>
    <t>Leyland SMART MULTI-SURFACE - Mag - 2.5ltr</t>
  </si>
  <si>
    <t>00423346</t>
  </si>
  <si>
    <t>Leyland SMART MULTI-SURFACE - LT GRY - 2.5l</t>
  </si>
  <si>
    <t>00423347</t>
  </si>
  <si>
    <t>Leyland SMART MULTI-SURFACE - DK GRY - 2.5l</t>
  </si>
  <si>
    <t>00423348</t>
  </si>
  <si>
    <t>Leyland SMART MULTI-SURFACE - Of Whi - 2.5l</t>
  </si>
  <si>
    <t>00423350</t>
  </si>
  <si>
    <t>Leyland SMART MULTI-SURFACE - Mag - 5ltr</t>
  </si>
  <si>
    <t>00423462</t>
  </si>
  <si>
    <t>Johnstones PRO GLOSS - Brill White - 500ml</t>
  </si>
  <si>
    <t>00423467</t>
  </si>
  <si>
    <t>Johnstones PRO GLOSS - Magnolia - 1ltr</t>
  </si>
  <si>
    <t>00423468</t>
  </si>
  <si>
    <t>Johnstones PRO GLOSS - Post Of Red - 1ltr</t>
  </si>
  <si>
    <t>00423471</t>
  </si>
  <si>
    <t>Johnstones PRO GLOSS - Post Of Red - 2.5ltr</t>
  </si>
  <si>
    <t>00423472</t>
  </si>
  <si>
    <t>Johnstones PRO GLOSS - Saxe Blue - 5ltr</t>
  </si>
  <si>
    <t>00423473</t>
  </si>
  <si>
    <t>Johnstones PRO GLOSS - Sapphire - 5ltr</t>
  </si>
  <si>
    <t>00423474</t>
  </si>
  <si>
    <t>Johnstones PRO GLOSS - Fiesta Red- 5ltr</t>
  </si>
  <si>
    <t>00423477</t>
  </si>
  <si>
    <t>Johnstones PRO GLOSS - Traffic Yellow - 5ltr</t>
  </si>
  <si>
    <t>00423479</t>
  </si>
  <si>
    <t>Johnstones PRO GLOSS - Saffron Yellow - 5ltr</t>
  </si>
  <si>
    <t>00423613</t>
  </si>
  <si>
    <t>GORI 88 Opaque - Mix - 750ml</t>
  </si>
  <si>
    <t>00423614</t>
  </si>
  <si>
    <t>GORI 88 Opaque - Mix - 2.5ltr</t>
  </si>
  <si>
    <t>00423616</t>
  </si>
  <si>
    <t>GORI 88 Trans - Mix - 750ml</t>
  </si>
  <si>
    <t>00423617</t>
  </si>
  <si>
    <t>GORI 88 Trans - Mix - 2.5ltr</t>
  </si>
  <si>
    <t>00423682</t>
  </si>
  <si>
    <t>Leyland SMART MATT - Mix - 5ltr</t>
  </si>
  <si>
    <t>00423688</t>
  </si>
  <si>
    <t>XXX</t>
  </si>
  <si>
    <t>00423739</t>
  </si>
  <si>
    <t>Johnstones FLORTRED Black - 2.5ltr</t>
  </si>
  <si>
    <t>00423752</t>
  </si>
  <si>
    <t>Johnstones FLORTRED Dark Green - 5ltr</t>
  </si>
  <si>
    <t>00423753</t>
  </si>
  <si>
    <t>Johnstones FLORTRED Sherwood Green - 5ltr</t>
  </si>
  <si>
    <t>00423754</t>
  </si>
  <si>
    <t>Johnstones FLORTRED Safety Red - 5ltr</t>
  </si>
  <si>
    <t>00423861</t>
  </si>
  <si>
    <t>Johnstones CLEANABLE MATT - Mix - 1ltr</t>
  </si>
  <si>
    <t>00423862</t>
  </si>
  <si>
    <t>Johnstones CLEANABLE MATT - Mix - 2.5ltr</t>
  </si>
  <si>
    <t>00435173</t>
  </si>
  <si>
    <t>Leyland SMART MATT - Brilliant White - 2.5l</t>
  </si>
  <si>
    <t>00435174</t>
  </si>
  <si>
    <t>Leyland SMART MATT - Brilliant White - 5ltr</t>
  </si>
  <si>
    <t>00435175</t>
  </si>
  <si>
    <t>Leyland SMART MATT - Brilliant White - 10ltr</t>
  </si>
  <si>
    <t>00435176</t>
  </si>
  <si>
    <t>Leyland SMART MATT - Magnolia - 2.5ltr</t>
  </si>
  <si>
    <t>00435177</t>
  </si>
  <si>
    <t>Leyland SMART MATT - Magnolia - 5ltr</t>
  </si>
  <si>
    <t>00435178</t>
  </si>
  <si>
    <t>Leyland SMART MATT - Magnolia - 10ltr</t>
  </si>
  <si>
    <t>00435180</t>
  </si>
  <si>
    <t>Leyland SMART MATT - Tornado - 2.5ltr</t>
  </si>
  <si>
    <t>00435183</t>
  </si>
  <si>
    <t>Leyland SMART MATT - Tornado - 5ltr</t>
  </si>
  <si>
    <t>00435186</t>
  </si>
  <si>
    <t>Leyland SMART MATT - Tornado - 10ltr</t>
  </si>
  <si>
    <t>00447296</t>
  </si>
  <si>
    <t>Johnstones CLEANABLE MATT - BW - 2.5ltr</t>
  </si>
  <si>
    <t>00447299</t>
  </si>
  <si>
    <t>Johnstones CLEANABLE MATT - BW - 5ltr</t>
  </si>
  <si>
    <t>00447301</t>
  </si>
  <si>
    <t>Johnstones CLEANABLE MATT - BW - 10ltr</t>
  </si>
  <si>
    <t>00608507</t>
  </si>
  <si>
    <t>Artex JOINT FILLER - 12.5KG</t>
  </si>
  <si>
    <t>00610763</t>
  </si>
  <si>
    <t>Artex COVE ADH - 12.5KG</t>
  </si>
  <si>
    <t>00610764</t>
  </si>
  <si>
    <t>Artex COVE ADH - 5KG</t>
  </si>
  <si>
    <t>00617904</t>
  </si>
  <si>
    <t>Zinsser ALLCOAT EXT SAT PASTEL  2.5ltr</t>
  </si>
  <si>
    <t>00617905</t>
  </si>
  <si>
    <t>Zinsser EXT WB SATIN TRANSPAREN 2.5ltr</t>
  </si>
  <si>
    <t>00618135</t>
  </si>
  <si>
    <t>Zinsser ALLCOAT EX   SATIN DEEP 2.5ltr</t>
  </si>
  <si>
    <t>00618136</t>
  </si>
  <si>
    <t>Zinsser ALLCOAT EX   GLOSS PAST 2.5ltr</t>
  </si>
  <si>
    <t>00618137</t>
  </si>
  <si>
    <t>Zinsser ALLCOAT EX   GLOSS TRAN 2.5ltr</t>
  </si>
  <si>
    <t>00618138</t>
  </si>
  <si>
    <t>Zinsser ALLCOAT EX   GLOSS DEEP 2.5ltr</t>
  </si>
  <si>
    <t>00618248</t>
  </si>
  <si>
    <t>Zinsser ALLCOAT EXT  GLS B/WHIT 2.5ltr</t>
  </si>
  <si>
    <t>00618249</t>
  </si>
  <si>
    <t>Zinsser ALLCOAT EXT  GLS BLACK  2.5ltr</t>
  </si>
  <si>
    <t>00631369</t>
  </si>
  <si>
    <t>Zinsser EXT SATIN    TRANS BASE 5ltr</t>
  </si>
  <si>
    <t>00631644</t>
  </si>
  <si>
    <t>Zinsser BIN PRIMER   WHITE      500ml</t>
  </si>
  <si>
    <t>00633147</t>
  </si>
  <si>
    <t>Artex ANGLE BEAD 3M X 30MM</t>
  </si>
  <si>
    <t>00633148</t>
  </si>
  <si>
    <t>Artex ANGLE BEAD 2.4MX 30MM</t>
  </si>
  <si>
    <t>00633149</t>
  </si>
  <si>
    <t>Artex EASY FLEX 30M X 79MM</t>
  </si>
  <si>
    <t>00636710</t>
  </si>
  <si>
    <t>Artex AQUABEAD     2500</t>
  </si>
  <si>
    <t>00643612</t>
  </si>
  <si>
    <t>Artex BOARD FINISH 25KG</t>
  </si>
  <si>
    <t>00643613</t>
  </si>
  <si>
    <t>Artex THISTLE UNFINISH   25KG</t>
  </si>
  <si>
    <t>00717055</t>
  </si>
  <si>
    <t>Zinsser PERMA WHITE 5ltr</t>
  </si>
  <si>
    <t>00717964</t>
  </si>
  <si>
    <t>Artex TEXT'D POWDR FIN 5kg</t>
  </si>
  <si>
    <t>00718433</t>
  </si>
  <si>
    <t>Artex GYPROC CORNI ADH - 5kg</t>
  </si>
  <si>
    <t>00718437</t>
  </si>
  <si>
    <t>PPGA08</t>
  </si>
  <si>
    <t>Artex GYPROC COVE 3M X 127MM</t>
  </si>
  <si>
    <t>STD27</t>
  </si>
  <si>
    <t>00718438</t>
  </si>
  <si>
    <t>PPGA03</t>
  </si>
  <si>
    <t>Artex GYPROC COVE  3.6M X 127MM</t>
  </si>
  <si>
    <t>STD22</t>
  </si>
  <si>
    <t>00718475</t>
  </si>
  <si>
    <t>Artex GYP JNT KNIF 350MM</t>
  </si>
  <si>
    <t>00718517</t>
  </si>
  <si>
    <t>Artex VELCRO PAD HEAD 19403 FOR SANDER</t>
  </si>
  <si>
    <t>00718536</t>
  </si>
  <si>
    <t>Artex DEC CORNICE ADAM 50023 DEC. CORNI</t>
  </si>
  <si>
    <t>00718543</t>
  </si>
  <si>
    <t>Artex DEC CORNICE ROMAN50323 DEC. CORNI</t>
  </si>
  <si>
    <t>00718559</t>
  </si>
  <si>
    <t>PPGA04</t>
  </si>
  <si>
    <t xml:space="preserve">Artex SCULPTURED COVE </t>
  </si>
  <si>
    <t>STD23</t>
  </si>
  <si>
    <t>00718564</t>
  </si>
  <si>
    <t>Artex CORNIC STRIP GYP 60019  CORNICE</t>
  </si>
  <si>
    <t>00718576</t>
  </si>
  <si>
    <t>Artex R'MOND CORNI 88236      DPM 5M MUL</t>
  </si>
  <si>
    <t>00719182</t>
  </si>
  <si>
    <t>Brushmate TRADE 20</t>
  </si>
  <si>
    <t>00719186</t>
  </si>
  <si>
    <t>Brushmate CLIPS PACK (4)</t>
  </si>
  <si>
    <t>00719188</t>
  </si>
  <si>
    <t>Brushmate AROMA 240</t>
  </si>
  <si>
    <t>00720260</t>
  </si>
  <si>
    <t>Artex H/D PLAST MX 60040WHEEL PLASTER MI</t>
  </si>
  <si>
    <t>00720473</t>
  </si>
  <si>
    <t>Brushmate LID TRADE 20</t>
  </si>
  <si>
    <t>00720475</t>
  </si>
  <si>
    <t>Brushmate TRD 4 PLUS TWIN PACK</t>
  </si>
  <si>
    <t>00724589</t>
  </si>
  <si>
    <t>ARTEX SERVIC CHARGE &amp; REPAIR</t>
  </si>
  <si>
    <t>00725410</t>
  </si>
  <si>
    <t>Artex CHALK LINE 15M</t>
  </si>
  <si>
    <t>00726530</t>
  </si>
  <si>
    <t>Artex PYRAMID      BLADE      7111</t>
  </si>
  <si>
    <t>00726621</t>
  </si>
  <si>
    <t>Artex BLUE CHALK   REFILL     5200115212</t>
  </si>
  <si>
    <t>00726899</t>
  </si>
  <si>
    <t>Artex SANDING      5200425706 DISCS 150G</t>
  </si>
  <si>
    <t>00727688</t>
  </si>
  <si>
    <t>FatHog GENERAL PURPOSE SILICONE BROWN -295ml</t>
  </si>
  <si>
    <t>00727858</t>
  </si>
  <si>
    <t>Artex CEILING ROSE CAVENDISH 36CM 72704</t>
  </si>
  <si>
    <t>00728169</t>
  </si>
  <si>
    <t>Zinsser WATERTITE WHITE - 5ltr</t>
  </si>
  <si>
    <t>00729997</t>
  </si>
  <si>
    <t>Artex PRO SET      17.5KG     5200432668</t>
  </si>
  <si>
    <t>00730430</t>
  </si>
  <si>
    <t>Woodworks TEAK OIL- 500ml</t>
  </si>
  <si>
    <t>00730470</t>
  </si>
  <si>
    <t>FatHog GRAB ADHESIV SOLV FREE  SCALE 295ml</t>
  </si>
  <si>
    <t>00730743</t>
  </si>
  <si>
    <t>FatHog EVOLUTION TROUSER 30" WHITE</t>
  </si>
  <si>
    <t>00730748</t>
  </si>
  <si>
    <t>FatHog EVOLUTION TROUSER 40" WHITE</t>
  </si>
  <si>
    <t>00730751</t>
  </si>
  <si>
    <t>FatHog EVOLUTION TROUSER 46" WHITE</t>
  </si>
  <si>
    <t>00731920</t>
  </si>
  <si>
    <t>Artex RE-USEABLE              VAC BAGS</t>
  </si>
  <si>
    <t>00736194</t>
  </si>
  <si>
    <t>Artex SCULPTURED LARGE 54CM ROSE</t>
  </si>
  <si>
    <t>00736798</t>
  </si>
  <si>
    <t>Artex FEATURE EXT CORNER</t>
  </si>
  <si>
    <t>00736932</t>
  </si>
  <si>
    <t>Mangers ALL-IN-1 TLE GRTAD 2.2L</t>
  </si>
  <si>
    <t>00736933</t>
  </si>
  <si>
    <t>Mangers ALL-IN-1 TLE GRTAD 4.4L</t>
  </si>
  <si>
    <t>00736939</t>
  </si>
  <si>
    <t>Mangers LW DEEP GAP FILL 500ML</t>
  </si>
  <si>
    <t>00736941</t>
  </si>
  <si>
    <t>Mangers LW DEEP GAP  FILLER 1L</t>
  </si>
  <si>
    <t>00736945</t>
  </si>
  <si>
    <t>Mangers BRUSH CLEANR 500ML</t>
  </si>
  <si>
    <t>00736950</t>
  </si>
  <si>
    <t>Mangers PAINT &amp; VARNISH REMOVER 500ML</t>
  </si>
  <si>
    <t>00736953</t>
  </si>
  <si>
    <t>Mangers PAINT &amp; VARNISH REMOVER 1L</t>
  </si>
  <si>
    <t>00736959</t>
  </si>
  <si>
    <t>Mangers CLEAN SPIRIT 750ML</t>
  </si>
  <si>
    <t>00736961</t>
  </si>
  <si>
    <t>Mangers METH SPIRIT 500ML</t>
  </si>
  <si>
    <t>00736964</t>
  </si>
  <si>
    <t>Mangers INTERIOR FILLER 2KG</t>
  </si>
  <si>
    <t>00736965</t>
  </si>
  <si>
    <t>Mangers WHITE SPIRIT 2LTR</t>
  </si>
  <si>
    <t>00736966</t>
  </si>
  <si>
    <t>Mangers AP FILLER 500G</t>
  </si>
  <si>
    <t>00736967</t>
  </si>
  <si>
    <t>Mangers WHITE SPIRIT 750ML</t>
  </si>
  <si>
    <t>00736969</t>
  </si>
  <si>
    <t>Mangers AP FILLER 2KG</t>
  </si>
  <si>
    <t>00736970</t>
  </si>
  <si>
    <t>Mangers RM WALLPAPER PASTE 10KG</t>
  </si>
  <si>
    <t>00736971</t>
  </si>
  <si>
    <t>Mangers AP FILLER 5KG</t>
  </si>
  <si>
    <t>00736972</t>
  </si>
  <si>
    <t>Mangers AP FILLER 10KG</t>
  </si>
  <si>
    <t>00736973</t>
  </si>
  <si>
    <t>Mangers R/MIX FILLER 600G</t>
  </si>
  <si>
    <t>00736974</t>
  </si>
  <si>
    <t>Mangers RM WALLPAPER PASTE 4.5KG</t>
  </si>
  <si>
    <t>00736975</t>
  </si>
  <si>
    <t>Mangers R/MIX FILLER 1KG</t>
  </si>
  <si>
    <t>00736976</t>
  </si>
  <si>
    <t>Mangers RM WALLPAPER PASTE 2.5KG</t>
  </si>
  <si>
    <t>00736977</t>
  </si>
  <si>
    <t>Mangers R/MIX FILLER 2KG</t>
  </si>
  <si>
    <t>00736978</t>
  </si>
  <si>
    <t>Mangers RM WALLPAPER PASTE 1KG</t>
  </si>
  <si>
    <t>00736979</t>
  </si>
  <si>
    <t>Mangers FINE SURFACE FILL 600G</t>
  </si>
  <si>
    <t>00736980</t>
  </si>
  <si>
    <t>Mangers AP W/PAPER ADH 5ROLL</t>
  </si>
  <si>
    <t>00736981</t>
  </si>
  <si>
    <t>Mangers BRD &amp;OVERLAP ADH 500G</t>
  </si>
  <si>
    <t>00736982</t>
  </si>
  <si>
    <t>Mangers AP W/PAPER ADH 10ROLL</t>
  </si>
  <si>
    <t>00736983</t>
  </si>
  <si>
    <t>Mangers BRD &amp; REPAIR ADH 250G</t>
  </si>
  <si>
    <t>00737044</t>
  </si>
  <si>
    <t>Artex MP ADHESIVE 5200601486</t>
  </si>
  <si>
    <t>00737102</t>
  </si>
  <si>
    <t>Mangers R/MIX FILLER 330G</t>
  </si>
  <si>
    <t>00737883</t>
  </si>
  <si>
    <t>Zinsser ALLCOAT EXT DEEP BASE 5ltr</t>
  </si>
  <si>
    <t>00737884</t>
  </si>
  <si>
    <t>Zinsser ALLCOAT EXT MID BASE 5ltr</t>
  </si>
  <si>
    <t>00737886</t>
  </si>
  <si>
    <t>Zinsser ALLCOAT EXT PASTEL BASE 5ltr</t>
  </si>
  <si>
    <t>00737920</t>
  </si>
  <si>
    <t>Zinsser ZINSSER WHITE 5ltr</t>
  </si>
  <si>
    <t>00737924</t>
  </si>
  <si>
    <t>Artex 100 GYPROC CORNICE STRIPS PK8</t>
  </si>
  <si>
    <t>00738715</t>
  </si>
  <si>
    <t>Johnstones BLACK BITUMEN - Black  - 2.5ltr</t>
  </si>
  <si>
    <t>00852925</t>
  </si>
  <si>
    <t>ProGold SHORT PILE POLYESTER ROLLER 9"</t>
  </si>
  <si>
    <t>00730750</t>
  </si>
  <si>
    <t>FatHog EVOLUTION TROUSER 44" WHITE</t>
  </si>
  <si>
    <t>00730752</t>
  </si>
  <si>
    <t>FatHog EVO BIB &amp; BRACE  32-34" SML WHITE</t>
  </si>
  <si>
    <t>00730767</t>
  </si>
  <si>
    <t>FatHog TROUSERS WHITE 44"</t>
  </si>
  <si>
    <t>00611381</t>
  </si>
  <si>
    <t>TESA MASK TAPE 50M X 25MM 4348</t>
  </si>
  <si>
    <t>00611385</t>
  </si>
  <si>
    <t>TESA PR MASK TAPE 50M X 38MM 4334</t>
  </si>
  <si>
    <t>00680139</t>
  </si>
  <si>
    <t>TESA 59177 ECOVER 550MMX33M</t>
  </si>
  <si>
    <t>00680140</t>
  </si>
  <si>
    <t>TESA 4368 ECOVER  550MMX33M</t>
  </si>
  <si>
    <t>00680388</t>
  </si>
  <si>
    <t>TESA BDPLAST TAPE 33M X 50MM 67001</t>
  </si>
  <si>
    <t>00732894</t>
  </si>
  <si>
    <t>00717212</t>
  </si>
  <si>
    <t>PURDY SPRIG ELITE  1.5" BRUSH</t>
  </si>
  <si>
    <t>00611398</t>
  </si>
  <si>
    <t>TESA  DUCT TAPE SI 50M X 48MM 4613</t>
  </si>
  <si>
    <t>00611894</t>
  </si>
  <si>
    <t>UB    COLOUR READR PRO CRP100</t>
  </si>
  <si>
    <t>00292236</t>
  </si>
  <si>
    <t>A'COAT 385 SET BLACK          9000AM2200</t>
  </si>
  <si>
    <t>00288576</t>
  </si>
  <si>
    <t>A'COAT 385 SET RAL            1004261500</t>
  </si>
  <si>
    <t>00292238</t>
  </si>
  <si>
    <t>A'COAT 385 SET RAL            1004262200</t>
  </si>
  <si>
    <t>00288582</t>
  </si>
  <si>
    <t>A'COAT 385 SET RAL            7035261500</t>
  </si>
  <si>
    <t>00285287</t>
  </si>
  <si>
    <t>A'COAT 385 SET WHITE          3000AM1500</t>
  </si>
  <si>
    <t>00316381</t>
  </si>
  <si>
    <t>A'COAT 450E SET LIEB GREY     2000AM1500</t>
  </si>
  <si>
    <t>00316382</t>
  </si>
  <si>
    <t>A'COAT 450E SET LIEB GREY     2000AM2200</t>
  </si>
  <si>
    <t>00318224</t>
  </si>
  <si>
    <t>A'COAT 450E SET LIEB YELLOW   8000AM1500</t>
  </si>
  <si>
    <t>00318225</t>
  </si>
  <si>
    <t>A'COAT 450E SET LIEB YELLOW   8000AM2200</t>
  </si>
  <si>
    <t>00288877</t>
  </si>
  <si>
    <t>A'COAT 71 PRI SET OXIDE RED   7000AM1500</t>
  </si>
  <si>
    <t>00283414</t>
  </si>
  <si>
    <t>A'COAT 71 PRI SET OXIDE RED   7000AM2200</t>
  </si>
  <si>
    <t>00288880</t>
  </si>
  <si>
    <t>A'COAT 71 TIECOAT SET OFFWH   3300AM1500</t>
  </si>
  <si>
    <t>00283417</t>
  </si>
  <si>
    <t>A'COAT 71 TIECOAT SET OFFWH   3300AM2200</t>
  </si>
  <si>
    <t>00283418</t>
  </si>
  <si>
    <t>A'COAT 71 TIECOAT SET OX RED  7001AM1500</t>
  </si>
  <si>
    <t>00291521</t>
  </si>
  <si>
    <t>A'COAT 71 TIECOAT SET OX RED  7001AM2200</t>
  </si>
  <si>
    <t>00290613</t>
  </si>
  <si>
    <t>A'LOCK 2 C SET BLACK          9000AM1500</t>
  </si>
  <si>
    <t>00290627</t>
  </si>
  <si>
    <t>A'LOCK 2 C SET MIO BLACK      9000AM2200</t>
  </si>
  <si>
    <t>00292336</t>
  </si>
  <si>
    <t>A'LOCK 2 C SET RAL            7040262200</t>
  </si>
  <si>
    <t>00292337</t>
  </si>
  <si>
    <t>A'LOCK 2 C SET RAL            7043262200</t>
  </si>
  <si>
    <t>00290639</t>
  </si>
  <si>
    <t>A'LOCK 2 C SET RAL            9002262200</t>
  </si>
  <si>
    <t>00289004</t>
  </si>
  <si>
    <t>A'LOCK 400 C SET WHITE        3000AM1500</t>
  </si>
  <si>
    <t>00289006</t>
  </si>
  <si>
    <t>A'LOCK 400AL SET              0000AM2200</t>
  </si>
  <si>
    <t>00285361</t>
  </si>
  <si>
    <t>A'LOCK 400AL SET              9000001500</t>
  </si>
  <si>
    <t>00102689</t>
  </si>
  <si>
    <t>ANTISKID POWDER 32020002    0000NAEU1500</t>
  </si>
  <si>
    <t>00146103</t>
  </si>
  <si>
    <t>AQUACOVER 45 WHITE          700000EU2200</t>
  </si>
  <si>
    <t>00268430</t>
  </si>
  <si>
    <t>AQUAWELD 100 SET REDBROWN     2008002180</t>
  </si>
  <si>
    <t>00643610</t>
  </si>
  <si>
    <t>ARTEX BROWNING     25KG       0000002250</t>
  </si>
  <si>
    <t>00718514</t>
  </si>
  <si>
    <t>ARTEX CEILING 25K  FIN 19340  12406 2250</t>
  </si>
  <si>
    <t>00643616</t>
  </si>
  <si>
    <t>ARTEX DRI WALL     ADHESIVE         2250</t>
  </si>
  <si>
    <t>00643609</t>
  </si>
  <si>
    <t>ARTEX HARDWALL     25KG             2250</t>
  </si>
  <si>
    <t>00643614</t>
  </si>
  <si>
    <t>ARTEX MAGNETIC     PLASTER          2250</t>
  </si>
  <si>
    <t>00643611</t>
  </si>
  <si>
    <t>ARTEX MULTI FINISH 25KG             2250</t>
  </si>
  <si>
    <t>00717972</t>
  </si>
  <si>
    <t>ARTEX U/C PLASTER  2.5KG      PLASTE2125</t>
  </si>
  <si>
    <t>00680212</t>
  </si>
  <si>
    <t>00643642</t>
  </si>
  <si>
    <t>BLKFR 2PK WB FLOOR EPOX PASTL 0000001500</t>
  </si>
  <si>
    <t>00737229</t>
  </si>
  <si>
    <t>BLKFR B/F 2 PK WB  14C39      0000001500</t>
  </si>
  <si>
    <t>00737856</t>
  </si>
  <si>
    <t>BLKFR HIGH TRAFF   TAL BASE   0000001500</t>
  </si>
  <si>
    <t>00640017</t>
  </si>
  <si>
    <t>BLKFR POLY FLOOR   LIGHT GREY 0000001500</t>
  </si>
  <si>
    <t>00735452</t>
  </si>
  <si>
    <t>BLKFR PRO EPOXY    CLEAR      0000001500</t>
  </si>
  <si>
    <t>00733874</t>
  </si>
  <si>
    <t>BLKFR QD90 RUST    PRIMER     0000001250</t>
  </si>
  <si>
    <t>00680210</t>
  </si>
  <si>
    <t>BLKFR TEREBINE     DRIERS     0000000250</t>
  </si>
  <si>
    <t>00680211</t>
  </si>
  <si>
    <t>BLKFR TEREBINE     DRIERS     0000000500</t>
  </si>
  <si>
    <t>00631643</t>
  </si>
  <si>
    <t>BLKRO DB HI VIS    VEST XXL</t>
  </si>
  <si>
    <t>00631620</t>
  </si>
  <si>
    <t>BLKRO HIVIS YELLOW POLO SMALL</t>
  </si>
  <si>
    <t>00730918</t>
  </si>
  <si>
    <t>BLKRO MOULD DUST   RESPIRATOR FFP2 (2XMA</t>
  </si>
  <si>
    <t>00730919</t>
  </si>
  <si>
    <t>BLKRO MOULD PAINT  RESPIRATOR FFP2 (2XMA</t>
  </si>
  <si>
    <t>00631681</t>
  </si>
  <si>
    <t>BLKRO PAINTERS     GLOVE</t>
  </si>
  <si>
    <t>00730921</t>
  </si>
  <si>
    <t>BLKRO REPLACE CART A1P2 FOR   A1P2 73092</t>
  </si>
  <si>
    <t>00730912</t>
  </si>
  <si>
    <t>BLKRO SAFETY       SPECTACLES</t>
  </si>
  <si>
    <t>00447003</t>
  </si>
  <si>
    <t>BON GARDENGREYS DARK NATURGR 22000000750</t>
  </si>
  <si>
    <t>00447005</t>
  </si>
  <si>
    <t>BON GARDENGREYS DRIFTWOOD GREY  22020750</t>
  </si>
  <si>
    <t>00447004</t>
  </si>
  <si>
    <t>BON GARDENGREYS LIGHT NATURGR  220100750</t>
  </si>
  <si>
    <t>00447012</t>
  </si>
  <si>
    <t>BON LONG LIFE UV CLEAR  (UK) 90000000750</t>
  </si>
  <si>
    <t>00447007</t>
  </si>
  <si>
    <t>BON PREMIUM NIGHT BLACK (UK) 00000001250</t>
  </si>
  <si>
    <t>00447006</t>
  </si>
  <si>
    <t>BON PREMIUM SILVER GREY (UK) 20000001250</t>
  </si>
  <si>
    <t>00726174</t>
  </si>
  <si>
    <t>COOVR AC LINE MARK 08E51      0000001250</t>
  </si>
  <si>
    <t>00719046</t>
  </si>
  <si>
    <t>COOVR ANTI GRAFITI WB101      0000001250</t>
  </si>
  <si>
    <t>00680264</t>
  </si>
  <si>
    <t>COOVR HAMMERCOTE   SMTH BLACK 0000000400</t>
  </si>
  <si>
    <t>00680263</t>
  </si>
  <si>
    <t>COOVR HAMMERCOTE   SMTH WHITE 0000000400</t>
  </si>
  <si>
    <t>00720926</t>
  </si>
  <si>
    <t>COOVR LINE MARKER  ASS COLOUR 0000001250</t>
  </si>
  <si>
    <t>00732469</t>
  </si>
  <si>
    <t>COOVR LINE MARKER  BLUE       0000000750</t>
  </si>
  <si>
    <t>00680265</t>
  </si>
  <si>
    <t>COOVR ROAD MARKING AERO WHITE 0000000750</t>
  </si>
  <si>
    <t>00680266</t>
  </si>
  <si>
    <t>COOVR ROAD MARKING AERO YELLW 0000000750</t>
  </si>
  <si>
    <t>00680271</t>
  </si>
  <si>
    <t>COOVR VANDELENE    BLACK      0000001250</t>
  </si>
  <si>
    <t>00680270</t>
  </si>
  <si>
    <t>COOVR VANDELENE    BLACK      0000001500</t>
  </si>
  <si>
    <t>00289042</t>
  </si>
  <si>
    <t>DIMETCOTE 11 GREY           2000AMEU1800</t>
  </si>
  <si>
    <t>00283467</t>
  </si>
  <si>
    <t>DIMETCOTE 9 SET GRAY          2000AM2100</t>
  </si>
  <si>
    <t>00729840</t>
  </si>
  <si>
    <t>EASY  EASTYEX      10-048     CORD</t>
  </si>
  <si>
    <t>00729844</t>
  </si>
  <si>
    <t>EASY  EASYTEX      10-052     DAMASK</t>
  </si>
  <si>
    <t>00737125</t>
  </si>
  <si>
    <t>EASY  EASYTEX      10-055 W/C RIBBON</t>
  </si>
  <si>
    <t>00737311</t>
  </si>
  <si>
    <t>EASYL INSULATION   LINER 10M  SINGLE</t>
  </si>
  <si>
    <t>00730821</t>
  </si>
  <si>
    <t>EASYM EASYTEX MAX  GLACIER    W/C 10-071</t>
  </si>
  <si>
    <t>00730820</t>
  </si>
  <si>
    <t>EASYM EASYTEX MAX  SNOWSTORM  W/C 10-070</t>
  </si>
  <si>
    <t>00737666</t>
  </si>
  <si>
    <t>EWI   1.2MM AL WHI UNDERCILL 2.5M 105MM</t>
  </si>
  <si>
    <t>00737667</t>
  </si>
  <si>
    <t>EWI   1.2MM AL WHI UNDERCILL 2.5M 115MM</t>
  </si>
  <si>
    <t>00737658</t>
  </si>
  <si>
    <t>EWI   1.2MM AL WHI VERGE 2.5M 130MM</t>
  </si>
  <si>
    <t>00737659</t>
  </si>
  <si>
    <t>EWI   1.2MM AL WHI VERGE 2.5M 140MM</t>
  </si>
  <si>
    <t>00611272</t>
  </si>
  <si>
    <t>EWI   10MM PVC COR BEAD/NOSE  TEPCB010PP</t>
  </si>
  <si>
    <t>00649742</t>
  </si>
  <si>
    <t>EWI   15MM PL STOP BEAD 2.5M  SB15PPVC25</t>
  </si>
  <si>
    <t>00649669</t>
  </si>
  <si>
    <t>EWI   70E 110MM GREY L/TRM 1200X600MM</t>
  </si>
  <si>
    <t>00649670</t>
  </si>
  <si>
    <t>EWI   70E 120MM GREY L/TRM 1200X600MM</t>
  </si>
  <si>
    <t>00649674</t>
  </si>
  <si>
    <t>EWI   70E 160MM GREY L/TRM 1200X600MM</t>
  </si>
  <si>
    <t>00649678</t>
  </si>
  <si>
    <t>EWI   70E 200MM GREY L/TRM 1200X600MM</t>
  </si>
  <si>
    <t>00649667</t>
  </si>
  <si>
    <t>EWI   70E 70MM GREY 1200X600MM L/TRM</t>
  </si>
  <si>
    <t>00649668</t>
  </si>
  <si>
    <t>EWI   70E 80MM GREY L/TRM 1200X600MM</t>
  </si>
  <si>
    <t>00631538</t>
  </si>
  <si>
    <t>EWI   AL BASETRACK 2.5M 270MM BOX BASE</t>
  </si>
  <si>
    <t>00738661</t>
  </si>
  <si>
    <t>EWI   AL STOP PROF WHI FINISH 2.5M 90MM</t>
  </si>
  <si>
    <t>00738434</t>
  </si>
  <si>
    <t>EWI   ALUM BASETRACK BOX BASE 2.5M 20MM</t>
  </si>
  <si>
    <t>00739338</t>
  </si>
  <si>
    <t>EWI   ALUM BASETRACK BOX BASE 2.5M 30MM</t>
  </si>
  <si>
    <t>00739500</t>
  </si>
  <si>
    <t>EWI   ALUM BASETRACK BOX BASE 2.5M 40MM</t>
  </si>
  <si>
    <t>00737618</t>
  </si>
  <si>
    <t>EWI   ALUM BASETRACK BOX BASE 2.5M 60MM</t>
  </si>
  <si>
    <t>00737621</t>
  </si>
  <si>
    <t>EWI   ALUM BASETRACK BOX BASE 2.5M 90MM</t>
  </si>
  <si>
    <t>00611062</t>
  </si>
  <si>
    <t>EWI   ANG SH/SPINE 15MM IVORY TEPAB15PPV</t>
  </si>
  <si>
    <t>00737642</t>
  </si>
  <si>
    <t>EWI   BOXBS CLIPON NOSE W/MESH 2.5M 6MM</t>
  </si>
  <si>
    <t>00737567</t>
  </si>
  <si>
    <t>EWI   BRICK EFFECT RENDER BRICK RED 25KG</t>
  </si>
  <si>
    <t>00737560</t>
  </si>
  <si>
    <t>EWI   BRICK EFFECT RENDER CHARCOAL 25KG</t>
  </si>
  <si>
    <t>00737565</t>
  </si>
  <si>
    <t>EWI   BRICK EFFECT RENDER CL/MORTAR 25KG</t>
  </si>
  <si>
    <t>00737563</t>
  </si>
  <si>
    <t>EWI   BRICK EFFECT RENDER CLASS/RED 25KG</t>
  </si>
  <si>
    <t>00737561</t>
  </si>
  <si>
    <t>EWI   BRICK EFFECT RENDER DARK BROWN25KG</t>
  </si>
  <si>
    <t>00737566</t>
  </si>
  <si>
    <t>EWI   BRICK EFFECT RENDER DARK GREY 25KG</t>
  </si>
  <si>
    <t>00737568</t>
  </si>
  <si>
    <t>EWI   BRICK EFFECT RENDER GOLDEN STN25KG</t>
  </si>
  <si>
    <t>00737559</t>
  </si>
  <si>
    <t>EWI   BRICK EFFECT RENDER LIGHT GREY25KG</t>
  </si>
  <si>
    <t>00737570</t>
  </si>
  <si>
    <t>EWI   BRICK EFFECT RENDER SANDSTONE 25KG</t>
  </si>
  <si>
    <t>00739808</t>
  </si>
  <si>
    <t>EWI   BRICK EFFECT RENDER SOFT BROWN25KG</t>
  </si>
  <si>
    <t>00737569</t>
  </si>
  <si>
    <t>EWI   BRICK EFFECT RENDER TERRACOTTA25KG</t>
  </si>
  <si>
    <t>00737564</t>
  </si>
  <si>
    <t>EWI   BRICK EFFECT RENDER TRAD GREY 25KG</t>
  </si>
  <si>
    <t>00737562</t>
  </si>
  <si>
    <t>EWI   BRICK EFFECT RENDER TRAD RED 25KG</t>
  </si>
  <si>
    <t>00739350</t>
  </si>
  <si>
    <t>EWI   BRICK SLIP ADHESIVE 25KG</t>
  </si>
  <si>
    <t>00739546</t>
  </si>
  <si>
    <t>EWI   BRICK SLIP BASETRACK 2.5M 60MM</t>
  </si>
  <si>
    <t>00737550</t>
  </si>
  <si>
    <t>EWI   DASH RECEIVER ANTIQUE WHITE 25KG</t>
  </si>
  <si>
    <t>00737546</t>
  </si>
  <si>
    <t>EWI   DASH RECEIVER BLUE 25KG</t>
  </si>
  <si>
    <t>00737556</t>
  </si>
  <si>
    <t>EWI   DASH RECEIVER BUTTERMILK 25KG</t>
  </si>
  <si>
    <t>00737554</t>
  </si>
  <si>
    <t>EWI   DASH RECEIVER CREAM 25KG</t>
  </si>
  <si>
    <t>00737545</t>
  </si>
  <si>
    <t>EWI   DASH RECEIVER GREEN 25KG</t>
  </si>
  <si>
    <t>00737548</t>
  </si>
  <si>
    <t>EWI   DASH RECEIVER GREY 25KG</t>
  </si>
  <si>
    <t>00737553</t>
  </si>
  <si>
    <t>EWI   DASH RECEIVER PALE STONE 25KG</t>
  </si>
  <si>
    <t>00737551</t>
  </si>
  <si>
    <t>EWI   DASH RECEIVER PINK 25KG</t>
  </si>
  <si>
    <t>00737558</t>
  </si>
  <si>
    <t>EWI   DASH RECEIVER SANDSTONE 25KG</t>
  </si>
  <si>
    <t>00737557</t>
  </si>
  <si>
    <t>EWI   DASH RECEIVER STONE 25KG</t>
  </si>
  <si>
    <t>00737549</t>
  </si>
  <si>
    <t>EWI   DASH RECEIVER STONE GREY 25KG</t>
  </si>
  <si>
    <t>00737552</t>
  </si>
  <si>
    <t>EWI   DASH RECEIVER TERRACOTTA 25KG</t>
  </si>
  <si>
    <t>00737484</t>
  </si>
  <si>
    <t>EWI   DASHING SPAR ASHTON CREAM 25KG</t>
  </si>
  <si>
    <t>00737479</t>
  </si>
  <si>
    <t>EWI   DASHING SPAR BARLEYCORN 25KG</t>
  </si>
  <si>
    <t>00737486</t>
  </si>
  <si>
    <t>EWI   DASHING SPAR BUFF QUARTZ 25KG</t>
  </si>
  <si>
    <t>00737473</t>
  </si>
  <si>
    <t>EWI   DASHING SPAR CHATSWORTH 25KG</t>
  </si>
  <si>
    <t>00737478</t>
  </si>
  <si>
    <t>EWI   DASHING SPAR HADDON SPAR0000002250</t>
  </si>
  <si>
    <t>00737480</t>
  </si>
  <si>
    <t>EWI   DASHING SPAR HARVEST 25KG</t>
  </si>
  <si>
    <t>00737354</t>
  </si>
  <si>
    <t>EWI   DASHING SPAR LIMESTONE 25KG</t>
  </si>
  <si>
    <t>00737477</t>
  </si>
  <si>
    <t>EWI   DASHING SPAR NORDIC SPAR 25KG</t>
  </si>
  <si>
    <t>00737467</t>
  </si>
  <si>
    <t>EWI   DASHING SPAR POLAR RED WHITE 25KG</t>
  </si>
  <si>
    <t>00737483</t>
  </si>
  <si>
    <t>EWI   DASHING SPAR SNOWDROP 25KG</t>
  </si>
  <si>
    <t>00737487</t>
  </si>
  <si>
    <t>EWI   DASHING SPAR SUNSET 25KG</t>
  </si>
  <si>
    <t>00611955</t>
  </si>
  <si>
    <t>EWI   DMT 85/7E ST STEEL WASH 85MM</t>
  </si>
  <si>
    <t>00631539</t>
  </si>
  <si>
    <t>EWI   ENHANCED     EPS 270MM  1200 X 600</t>
  </si>
  <si>
    <t>00852937</t>
  </si>
  <si>
    <t>EWI   ENHANCED     ROUTED BRD 100MM</t>
  </si>
  <si>
    <t>00737989</t>
  </si>
  <si>
    <t>EWI   ENHANCED EPS 100MM 1200 X 600 MM</t>
  </si>
  <si>
    <t>00737991</t>
  </si>
  <si>
    <t>EWI   ENHANCED EPS 110MM 1200 X 600 MM</t>
  </si>
  <si>
    <t>00737993</t>
  </si>
  <si>
    <t>EWI   ENHANCED EPS 120MM 1200 X 600 MM</t>
  </si>
  <si>
    <t>00737974</t>
  </si>
  <si>
    <t>EWI   ENHANCED EPS 20MM 1200 X 600 MM</t>
  </si>
  <si>
    <t>00737977</t>
  </si>
  <si>
    <t>EWI   ENHANCED EPS 30MM 1200 X 600 MM</t>
  </si>
  <si>
    <t>00737979</t>
  </si>
  <si>
    <t>EWI   ENHANCED EPS 40MM 1200 X 600 MM</t>
  </si>
  <si>
    <t>00737981</t>
  </si>
  <si>
    <t>EWI   ENHANCED EPS 50MM 1200 X 600 MM</t>
  </si>
  <si>
    <t>00737983</t>
  </si>
  <si>
    <t>EWI   ENHANCED EPS 60MM 1200 X 600 MM</t>
  </si>
  <si>
    <t>00737988</t>
  </si>
  <si>
    <t>EWI   ENHANCED EPS 90MM 1200 X 600 MM</t>
  </si>
  <si>
    <t>00649680</t>
  </si>
  <si>
    <t>EWI   EPS 200E30MM 1200X600MM HD WHITE</t>
  </si>
  <si>
    <t>00649682</t>
  </si>
  <si>
    <t>EWI   EPS 200E90MM 1200X600MM HD WHITE</t>
  </si>
  <si>
    <t>00649630</t>
  </si>
  <si>
    <t>EWI   EPS 70E      20MM</t>
  </si>
  <si>
    <t>00649631</t>
  </si>
  <si>
    <t>EWI   EPS 70E      30MM</t>
  </si>
  <si>
    <t>00649632</t>
  </si>
  <si>
    <t>EWI   EPS 70E      40MM</t>
  </si>
  <si>
    <t>00649635</t>
  </si>
  <si>
    <t>EWI   EPS 70E      60MM</t>
  </si>
  <si>
    <t>00649636</t>
  </si>
  <si>
    <t>EWI   EPS 70E      90MM</t>
  </si>
  <si>
    <t>00649683</t>
  </si>
  <si>
    <t>EWI   EPS200E100MM 1200X600MM HD WHITE</t>
  </si>
  <si>
    <t>00739347</t>
  </si>
  <si>
    <t>EWI   FIR TREE FIXING BLACK*BOX OF 1000*</t>
  </si>
  <si>
    <t>00646959</t>
  </si>
  <si>
    <t>EWI   FOAM GUN</t>
  </si>
  <si>
    <t>00737757</t>
  </si>
  <si>
    <t>EWI   H1 ECO 135MM MAX 100MM INSULATION</t>
  </si>
  <si>
    <t>00737758</t>
  </si>
  <si>
    <t>EWI   H1 ECO 155MM MAX 120MM INSULATION</t>
  </si>
  <si>
    <t>00737737</t>
  </si>
  <si>
    <t>EWI   H1 ECO 95MM MAX 60MM INSULATION</t>
  </si>
  <si>
    <t>00738566</t>
  </si>
  <si>
    <t>EWI   HIGH FLEX RENDER BASECOAT 25KG</t>
  </si>
  <si>
    <t>00737421</t>
  </si>
  <si>
    <t>EWI   HIGH IMPACT RENDER MESH CLOTH</t>
  </si>
  <si>
    <t>00633361</t>
  </si>
  <si>
    <t>EWI   IDK-N 8/60   75MM 200BX</t>
  </si>
  <si>
    <t>00738562</t>
  </si>
  <si>
    <t>EWI   KEY COAT PRIMER 25KG</t>
  </si>
  <si>
    <t>00737808</t>
  </si>
  <si>
    <t>EWI   NKU HAMMER 45MM 100 PACK</t>
  </si>
  <si>
    <t>00649690</t>
  </si>
  <si>
    <t>EWI   PL ANGL BEAD 10MM IVORY 2.5M S/SPI</t>
  </si>
  <si>
    <t>00649689</t>
  </si>
  <si>
    <t>EWI   PL BELL BEAD 15MM IVORY 2.5M</t>
  </si>
  <si>
    <t>00649688</t>
  </si>
  <si>
    <t>EWI   PL STOP BEAD 10MM IVORY 2.5M</t>
  </si>
  <si>
    <t>00649687</t>
  </si>
  <si>
    <t>EWI   PLAS EX BEAD 10MM IVORY 2.5M</t>
  </si>
  <si>
    <t>00738569</t>
  </si>
  <si>
    <t>EWI   POINTING MORTAR CHARCOAL 25KG</t>
  </si>
  <si>
    <t>00738568</t>
  </si>
  <si>
    <t>EWI   POINTING MORTAR DARK GREY 25KG</t>
  </si>
  <si>
    <t>00739351</t>
  </si>
  <si>
    <t>EWI   POINTING MORTAR NATURAL GREY 25KG</t>
  </si>
  <si>
    <t>00739675</t>
  </si>
  <si>
    <t>EWI   POINTING MORTOR CLASSIC 25KG</t>
  </si>
  <si>
    <t>00852729</t>
  </si>
  <si>
    <t>EWI   POLE &amp; SEAM  TAPE 25MT  PHS</t>
  </si>
  <si>
    <t>00646958</t>
  </si>
  <si>
    <t>EWI   PU FOAM      CLEANER    0000000500</t>
  </si>
  <si>
    <t>00608273</t>
  </si>
  <si>
    <t>EWI   QUICK SET ADDITIVE 250ML*20</t>
  </si>
  <si>
    <t>00739898</t>
  </si>
  <si>
    <t>EWI   RECYCLING BAG CLEAR *150*</t>
  </si>
  <si>
    <t>00737722</t>
  </si>
  <si>
    <t>EWI   ROCKWOOL 110MM 1200 X 600 MM</t>
  </si>
  <si>
    <t>00737723</t>
  </si>
  <si>
    <t>EWI   ROCKWOOL 120MM 1200 X 600 MM</t>
  </si>
  <si>
    <t>00737729</t>
  </si>
  <si>
    <t>EWI   ROCKWOOL 180MM 1200 X 600 MM</t>
  </si>
  <si>
    <t>00737717</t>
  </si>
  <si>
    <t>EWI   ROCKWOOL 60MM 1200 X 600 MM</t>
  </si>
  <si>
    <t>00737718</t>
  </si>
  <si>
    <t>EWI   ROCKWOOL 70MM 1200 X 600 MM</t>
  </si>
  <si>
    <t>00633486</t>
  </si>
  <si>
    <t>EWI   S/S MINERAL  COUNTY CRM THIN COAT</t>
  </si>
  <si>
    <t>00633483</t>
  </si>
  <si>
    <t>EWI   S/S MINERAL  IVORY      THIN COAT</t>
  </si>
  <si>
    <t>00633485</t>
  </si>
  <si>
    <t>EWI   S/S MINERAL  MUSHROOM   THIN COAT</t>
  </si>
  <si>
    <t>00633484</t>
  </si>
  <si>
    <t>EWI   S/S MINERAL  PRIN GREY  THIN COAT</t>
  </si>
  <si>
    <t>00633482</t>
  </si>
  <si>
    <t>EWI   S/S MINERAL  WHITE      THIN COAT</t>
  </si>
  <si>
    <t>00633488</t>
  </si>
  <si>
    <t>EWI   S/S SILICONE IVORY      MINERAL T/</t>
  </si>
  <si>
    <t>00633490</t>
  </si>
  <si>
    <t>EWI   S/S SILICONE MUSHROOM   MINERAL T/</t>
  </si>
  <si>
    <t>00633489</t>
  </si>
  <si>
    <t>EWI   S/S SILICONE PRIN GREY  MINERAL T/</t>
  </si>
  <si>
    <t>00633487</t>
  </si>
  <si>
    <t>EWI   S/S SILICONE WHITE      MINERAL T/</t>
  </si>
  <si>
    <t>00739436</t>
  </si>
  <si>
    <t>EWI   SANDED RED NUANCE BRICK SLIP BOX30</t>
  </si>
  <si>
    <t>00739437</t>
  </si>
  <si>
    <t>EWI   SANDED RED NUANCE PISTOL BRK BOX14</t>
  </si>
  <si>
    <t>00738578</t>
  </si>
  <si>
    <t>EWI   SCRATCH RENDER BLUE 25KG</t>
  </si>
  <si>
    <t>00738582</t>
  </si>
  <si>
    <t>EWI   SCRATCH RENDER EARTH 25KG</t>
  </si>
  <si>
    <t>00738579</t>
  </si>
  <si>
    <t>EWI   SCRATCH RENDER GOLD 25KG</t>
  </si>
  <si>
    <t>00739251</t>
  </si>
  <si>
    <t>EWI   SCRATCH RENDER GOLDEN BROWN 25KG</t>
  </si>
  <si>
    <t>00738580</t>
  </si>
  <si>
    <t>EWI   SCRATCH RENDER GREEN 25KG</t>
  </si>
  <si>
    <t>00738577</t>
  </si>
  <si>
    <t>EWI   SCRATCH RENDER GREY 25KG</t>
  </si>
  <si>
    <t>00738583</t>
  </si>
  <si>
    <t>EWI   SCRATCH RENDER GUN METAL 25KG</t>
  </si>
  <si>
    <t>00738574</t>
  </si>
  <si>
    <t>EWI   SCRATCH RENDER HIGH WHITE 25KG</t>
  </si>
  <si>
    <t>00738585</t>
  </si>
  <si>
    <t>EWI   SCRATCH RENDER IVORY 25KG</t>
  </si>
  <si>
    <t>00738575</t>
  </si>
  <si>
    <t>EWI   SCRATCH RENDER NATURAL WHITE 25KG</t>
  </si>
  <si>
    <t>00739252</t>
  </si>
  <si>
    <t>EWI   SCRATCH RENDER PASTEL ROSE 25KG</t>
  </si>
  <si>
    <t>00738584</t>
  </si>
  <si>
    <t>EWI   SCRATCH RENDER SANDSTONE 25KG</t>
  </si>
  <si>
    <t>00738581</t>
  </si>
  <si>
    <t>EWI   SCRATCH RENDER TERRACOTTA 25KG</t>
  </si>
  <si>
    <t>00739442</t>
  </si>
  <si>
    <t>EWI   SMTH GRENOBLE BRICK SLIP BOX 30</t>
  </si>
  <si>
    <t>00739443</t>
  </si>
  <si>
    <t>EWI   SMTH GRENOBLE PISTOL BRK BOX 14</t>
  </si>
  <si>
    <t>00737813</t>
  </si>
  <si>
    <t>EWI   SPIRAL ANCOR FOR LW ATTACHMENTS</t>
  </si>
  <si>
    <t>00737777</t>
  </si>
  <si>
    <t>EWI   STRU2G 115MM MAX 80MM INSULATION</t>
  </si>
  <si>
    <t>00737778</t>
  </si>
  <si>
    <t>EWI   STRU2G 135MM MAX 100MM INSULATION</t>
  </si>
  <si>
    <t>00646954</t>
  </si>
  <si>
    <t>EWI   SWI-EX       EXT TUBE</t>
  </si>
  <si>
    <t>00737443</t>
  </si>
  <si>
    <t>EWI   TECNIC SILICONE SEALANT 0000000380</t>
  </si>
  <si>
    <t>00618059</t>
  </si>
  <si>
    <t>EWI   TP10 50MM    1200X2400</t>
  </si>
  <si>
    <t>00852736</t>
  </si>
  <si>
    <t>EWI   VENTED TOP   BEAD 101   2.5MT</t>
  </si>
  <si>
    <t>00852737</t>
  </si>
  <si>
    <t>EWI   VENTED U CHN 40X40X14 + 6MM NOSE</t>
  </si>
  <si>
    <t>00739340</t>
  </si>
  <si>
    <t>EWI   VERGE EXT CORNERS *SPECIFY SIZE*</t>
  </si>
  <si>
    <t>00739238</t>
  </si>
  <si>
    <t>EWI   VERGE TRIM END CAPSX2 WELDED OVER</t>
  </si>
  <si>
    <t>00738463</t>
  </si>
  <si>
    <t>EWI   VERGE TRIM JOINT CLIPS</t>
  </si>
  <si>
    <t>00737702</t>
  </si>
  <si>
    <t>EWI   WHI PLASTIC ANGLE S/SPINE 2.5M 6MM</t>
  </si>
  <si>
    <t>00737703</t>
  </si>
  <si>
    <t>EWI   WHI PLASTIC ANGLE S/SPINE 2.5M10MM</t>
  </si>
  <si>
    <t>00737704</t>
  </si>
  <si>
    <t>EWI   WHI PLASTIC ANGLE S/SPINE 2.5M15MM</t>
  </si>
  <si>
    <t>00737697</t>
  </si>
  <si>
    <t>EWI   WHI PLASTIC BELLCAST BEAD 2.5M10MM</t>
  </si>
  <si>
    <t>00737698</t>
  </si>
  <si>
    <t>EWI   WHI PLASTIC BELLCAST BEAD 2.5M15MM</t>
  </si>
  <si>
    <t>00737673</t>
  </si>
  <si>
    <t>EWI   WHIPLASTIC EXPANSION BEAD 2.5M 6MM</t>
  </si>
  <si>
    <t>00737706</t>
  </si>
  <si>
    <t>EWI   WHITE PLASTIC ANGLE BEAD MESH 2.5M</t>
  </si>
  <si>
    <t>00737691</t>
  </si>
  <si>
    <t>EWI   WHITE PLASTIC STOP BEAD 2.5M 15MM</t>
  </si>
  <si>
    <t>00737689</t>
  </si>
  <si>
    <t>EWI   WHITE PLASTIC STOP BEAD 2.5M 6MM</t>
  </si>
  <si>
    <t>00646947</t>
  </si>
  <si>
    <t>EWI   WH-SWI-SP-B  SATA PLATE BLACK</t>
  </si>
  <si>
    <t>00646951</t>
  </si>
  <si>
    <t>EWI   WH-SWI-SP-W  SATA PLATE WHITE</t>
  </si>
  <si>
    <t>00646946</t>
  </si>
  <si>
    <t>EWI   WH-SWI-ST-B  BLACK TUBE FITTING</t>
  </si>
  <si>
    <t>00646950</t>
  </si>
  <si>
    <t>EWI   WH-SWI-ST-W  WHITE TUBE FITTING</t>
  </si>
  <si>
    <t>00646948</t>
  </si>
  <si>
    <t>EWI   WH-SWI-TT-B  TAP CONNECTION BLACK</t>
  </si>
  <si>
    <t>00646952</t>
  </si>
  <si>
    <t>EWI   WH-SWI-TT-W  TAP CONNEC WHITE</t>
  </si>
  <si>
    <t>00646949</t>
  </si>
  <si>
    <t>EWI   WH-SWI-WL-B  CABLE CONN BLACK</t>
  </si>
  <si>
    <t>00646953</t>
  </si>
  <si>
    <t>EWI   WH-SWI-WL-W  CABLE CONN WHITE</t>
  </si>
  <si>
    <t>00737476</t>
  </si>
  <si>
    <t>EWI  DASHING SPAR CLASSIC SPAR 25KG</t>
  </si>
  <si>
    <t>00611610</t>
  </si>
  <si>
    <t>FATEV BIB &amp; BRACE  32/34" SML FI1090 NI</t>
  </si>
  <si>
    <t>00611611</t>
  </si>
  <si>
    <t>FATEV BIB &amp; BRACE  36/38" MED FI1100 NI</t>
  </si>
  <si>
    <t>00611612</t>
  </si>
  <si>
    <t>FATEV BIB &amp; BRACE  40/42" LRG FI1110 NI</t>
  </si>
  <si>
    <t>00611601</t>
  </si>
  <si>
    <t>FATEV FHEV TROUSER 30" WHITE  FI1000 NI</t>
  </si>
  <si>
    <t>00611602</t>
  </si>
  <si>
    <t>FATEV FHEV TROUSER 32" WHITE  FI1010 NI</t>
  </si>
  <si>
    <t>00611603</t>
  </si>
  <si>
    <t>FATEV FHEV TROUSER 34" WHITE  FI1020 NI</t>
  </si>
  <si>
    <t>00611604</t>
  </si>
  <si>
    <t>FATEV FHEV TROUSER 36" WHITE  FI1030 NI</t>
  </si>
  <si>
    <t>00611605</t>
  </si>
  <si>
    <t>FATEV FHEV TROUSER 38" WHITE  FI1040 NI</t>
  </si>
  <si>
    <t>00611626</t>
  </si>
  <si>
    <t>FATHG FH BIB&amp;BRACE 36/38"     FH2100 NI</t>
  </si>
  <si>
    <t>00611627</t>
  </si>
  <si>
    <t>FATHG FH BIB&amp;BRACE 40/42"     FH2110 NI</t>
  </si>
  <si>
    <t>00611616</t>
  </si>
  <si>
    <t>FATHG FH TROUSERS  WHITE 30"  FH2000 NI</t>
  </si>
  <si>
    <t>00611617</t>
  </si>
  <si>
    <t>FATHG FH TROUSERS  WHITE 32"  FH2010 NI</t>
  </si>
  <si>
    <t>00611618</t>
  </si>
  <si>
    <t>FATHG FH TROUSERS  WHITE 34"  FH2020 NI</t>
  </si>
  <si>
    <t>00611619</t>
  </si>
  <si>
    <t>FATHG FH TROUSERS  WHITE 36"  FH2030 NI</t>
  </si>
  <si>
    <t>00611620</t>
  </si>
  <si>
    <t>FATHG FH TROUSERS  WHITE 38"  FH2040 NI</t>
  </si>
  <si>
    <t>00611621</t>
  </si>
  <si>
    <t>FATHG FH TROUSERS  WHITE 40"  FH2050 NI</t>
  </si>
  <si>
    <t>00309173</t>
  </si>
  <si>
    <t>FD    GORI88 OPAQU MIXED COL  0000000750</t>
  </si>
  <si>
    <t>00309174</t>
  </si>
  <si>
    <t>FD    GORI88 OPAQU MIXED COL  0000001250</t>
  </si>
  <si>
    <t>00309175</t>
  </si>
  <si>
    <t>FD    GORI88 OPAQU MIXED COL  0000001900</t>
  </si>
  <si>
    <t>00309127</t>
  </si>
  <si>
    <t>FD    GORI88 TRANS MIXED COL  0000000750</t>
  </si>
  <si>
    <t>00309171</t>
  </si>
  <si>
    <t>FD    GORI88 TRANS MIXED COL  0000001250</t>
  </si>
  <si>
    <t>00309172</t>
  </si>
  <si>
    <t>FD    GORI88 TRANS MIXED COL  0000001900</t>
  </si>
  <si>
    <t>00721515</t>
  </si>
  <si>
    <t>G&amp;B   FRESCO 19059 PLASTER    PG.HS</t>
  </si>
  <si>
    <t>00722931</t>
  </si>
  <si>
    <t>G&amp;B   FRESCO 205 STIPPLE PG.HT</t>
  </si>
  <si>
    <t>00722932</t>
  </si>
  <si>
    <t>G&amp;B   FRESCO 284 STRING PG.HT</t>
  </si>
  <si>
    <t>00721524</t>
  </si>
  <si>
    <t>G&amp;B   FRESCO 70074 HEAVY STIPPLE PG.HR</t>
  </si>
  <si>
    <t>00721525</t>
  </si>
  <si>
    <t>G&amp;B   FRESCO 726   BARK       PG.HR</t>
  </si>
  <si>
    <t>00441639</t>
  </si>
  <si>
    <t>GORI 05 EXP DECK  CLEAR (UK)  9900001250</t>
  </si>
  <si>
    <t>00441640</t>
  </si>
  <si>
    <t>GORI 05 EXP DECK  TEAK (UK)  78040001250</t>
  </si>
  <si>
    <t>00441641</t>
  </si>
  <si>
    <t>GORI 05 EXP DECK OAK (UK)    78050001250</t>
  </si>
  <si>
    <t>00441637</t>
  </si>
  <si>
    <t>GORI 11 WOOD PRES CLEAR (UK) 9900001250</t>
  </si>
  <si>
    <t>00441638</t>
  </si>
  <si>
    <t>GORI 11 WOOD PRES CLEAR (UK) 9900001500</t>
  </si>
  <si>
    <t>00441661</t>
  </si>
  <si>
    <t>GORI 99 EXTR OPAQ WHIT (UK)   8000001250</t>
  </si>
  <si>
    <t>00441662</t>
  </si>
  <si>
    <t>GORI 99 EXTR OPAQ WHIT (UK) 8000001500</t>
  </si>
  <si>
    <t>00852291</t>
  </si>
  <si>
    <t>HAMIL 7 PC WOVEN   ROLLER KIT</t>
  </si>
  <si>
    <t>00728206</t>
  </si>
  <si>
    <t>HAMIL PERFECTION   BRUSH 2.5"</t>
  </si>
  <si>
    <t>00728207</t>
  </si>
  <si>
    <t>HAMIL PERFECTION   BRUSH 3"</t>
  </si>
  <si>
    <t>00611044</t>
  </si>
  <si>
    <t>HAMIL PRESTIGE SYN SASH 18MM  BRUSH</t>
  </si>
  <si>
    <t>00718256</t>
  </si>
  <si>
    <t>HAMIL ROLLER       CLEANER    2905035</t>
  </si>
  <si>
    <t>00419374</t>
  </si>
  <si>
    <t>HI-TEMP 1000 ALUMINUM            05 B400</t>
  </si>
  <si>
    <t>00419182</t>
  </si>
  <si>
    <t>HI-TEMP 1000 MEDIUM GRAY         01 B100</t>
  </si>
  <si>
    <t>00419177</t>
  </si>
  <si>
    <t>HI-TEMP 1000 SAFETY YELLOW       01 B100</t>
  </si>
  <si>
    <t>00419171</t>
  </si>
  <si>
    <t>HI-TEMP 1000 WHITE               01 B100</t>
  </si>
  <si>
    <t>00426751</t>
  </si>
  <si>
    <t>HI-TEMP 1027 BLACK           00000EU1400</t>
  </si>
  <si>
    <t>00426757</t>
  </si>
  <si>
    <t>HI-TEMP 1027 GREY           000000EU1400</t>
  </si>
  <si>
    <t>00426756</t>
  </si>
  <si>
    <t>HI-TEMP 1027 LT GR          000000EU1400</t>
  </si>
  <si>
    <t>00307677</t>
  </si>
  <si>
    <t>JST   1.0 S/CONE EN RENDER WH 0000002250</t>
  </si>
  <si>
    <t>00737542</t>
  </si>
  <si>
    <t>JST   1.0 S/CONE FULL REN WHI 0000002250</t>
  </si>
  <si>
    <t>00737543</t>
  </si>
  <si>
    <t>JST   1.5 S/CONE FULL REN WHI 0000002250</t>
  </si>
  <si>
    <t>00737544</t>
  </si>
  <si>
    <t>JST   2.0 S/CONE FULL REN WHI 0000002250</t>
  </si>
  <si>
    <t>00737541</t>
  </si>
  <si>
    <t>JST   FULL RENDER PRIMER WHI  0000002250</t>
  </si>
  <si>
    <t>00423686</t>
  </si>
  <si>
    <t>JST   MATT W/STAIN TRANSPAREN 0000000738</t>
  </si>
  <si>
    <t>00307966</t>
  </si>
  <si>
    <t>JST   MATT W/STAIN YELLOW     0000001242</t>
  </si>
  <si>
    <t>00423687</t>
  </si>
  <si>
    <t>JST   QD W/STN SAT TRANSPAREN 0000000738</t>
  </si>
  <si>
    <t>00302002</t>
  </si>
  <si>
    <t>JST   QD WOODSTAIN PINE       0000001250</t>
  </si>
  <si>
    <t>00301962</t>
  </si>
  <si>
    <t>JST   SATIN W/STN  JACOB OAK  0000000750</t>
  </si>
  <si>
    <t>00301963</t>
  </si>
  <si>
    <t>JST   SATIN W/STN  JACOB OAK  0000001250</t>
  </si>
  <si>
    <t>00307968</t>
  </si>
  <si>
    <t>JST   SATIN W/STN  TRANS      0000001242</t>
  </si>
  <si>
    <t>00421700</t>
  </si>
  <si>
    <t>JST  STAINAWAY BAS L         0711001250</t>
  </si>
  <si>
    <t>00447293</t>
  </si>
  <si>
    <t>JST CLEAN MAT UPGR BAS L      0711001100</t>
  </si>
  <si>
    <t>00447295</t>
  </si>
  <si>
    <t>JST CLEAN MAT UPGR BAS L      0711001250</t>
  </si>
  <si>
    <t>00447298</t>
  </si>
  <si>
    <t>JST CLEAN MAT UPGR BAS L      0711001500</t>
  </si>
  <si>
    <t>00447294</t>
  </si>
  <si>
    <t>JST CLEAN MAT UPGR BAS Z      0071001231</t>
  </si>
  <si>
    <t>00447297</t>
  </si>
  <si>
    <t>JST CLEAN MAT UPGR BAS Z      0071001462</t>
  </si>
  <si>
    <t>00384427</t>
  </si>
  <si>
    <t>JST SILICONE ENH PRIMER WHITE       1500</t>
  </si>
  <si>
    <t>00421704</t>
  </si>
  <si>
    <t>JST STAINAWAY BAS L           0711002100</t>
  </si>
  <si>
    <t>00723497</t>
  </si>
  <si>
    <t>K     BIRDCAGE     7" FRAME   PLASTICHAN</t>
  </si>
  <si>
    <t>00633525</t>
  </si>
  <si>
    <t>KNAUF AIRLESS      BACKING    470359</t>
  </si>
  <si>
    <t>00646920</t>
  </si>
  <si>
    <t>KNAUF AQUAPANEL    EXT JOINT  0000002200</t>
  </si>
  <si>
    <t>00646922</t>
  </si>
  <si>
    <t>KNAUF AQUAPANEL    INT SKIM   0000002250</t>
  </si>
  <si>
    <t>00646921</t>
  </si>
  <si>
    <t>KNAUF AQUAPANEL IN JOINT TAPE 20MX48MM</t>
  </si>
  <si>
    <t>00852442</t>
  </si>
  <si>
    <t>KNAUF CAVANNA SPEC EQUALISER  0000002125</t>
  </si>
  <si>
    <t>00737323</t>
  </si>
  <si>
    <t>KNAUF EASY PLASTER            0000001250</t>
  </si>
  <si>
    <t>00737324</t>
  </si>
  <si>
    <t>KNAUF EASY PLASTER            0000001600</t>
  </si>
  <si>
    <t>00611072</t>
  </si>
  <si>
    <t>KNAUF FIBA TAPE    153M       493670</t>
  </si>
  <si>
    <t>00611138</t>
  </si>
  <si>
    <t>KNAUF FILL N FINIS PREMIUM 60 0000002100</t>
  </si>
  <si>
    <t>00611071</t>
  </si>
  <si>
    <t>KNAUF JOINT CEMENT PREMIUM    0000002200</t>
  </si>
  <si>
    <t>00737325</t>
  </si>
  <si>
    <t>KNAUF JOINT FILLER                  2200</t>
  </si>
  <si>
    <t>00611069</t>
  </si>
  <si>
    <t>KNAUF JOINT FILLER PREMIUM    0000002200</t>
  </si>
  <si>
    <t>00853477</t>
  </si>
  <si>
    <t>KNAUF UNIIFLOTT    253631     0000002250</t>
  </si>
  <si>
    <t>00737330</t>
  </si>
  <si>
    <t>KNAUF WALLBOARD    PRIMER           2120</t>
  </si>
  <si>
    <t>00649484</t>
  </si>
  <si>
    <t>LEYTS 4" EMUL MINI ROLLER KIT PACK OF 10</t>
  </si>
  <si>
    <t>00649486</t>
  </si>
  <si>
    <t>LEYTS 4" FOAM MINI FRAME SOFT PACK OF 10</t>
  </si>
  <si>
    <t>00649485</t>
  </si>
  <si>
    <t>LEYTS 4" FOAM MINI ROLLER KIT PACK OF 10</t>
  </si>
  <si>
    <t>00649487</t>
  </si>
  <si>
    <t>LEYTS 4" FOAM MINI ROLLER(10)</t>
  </si>
  <si>
    <t>00649489</t>
  </si>
  <si>
    <t>LEYTS 4" MED MINI  ROLLER(10) PACK OF 10</t>
  </si>
  <si>
    <t>00649488</t>
  </si>
  <si>
    <t>LEYTS 4" WOVEN MED MINI ROLLER PACK 10</t>
  </si>
  <si>
    <t>00649479</t>
  </si>
  <si>
    <t>LEYTS 4PC 9"ROLL &amp; TRAYKIT 20</t>
  </si>
  <si>
    <t>00649480</t>
  </si>
  <si>
    <t>LEYTS 6PC 9"ROLL &amp; TRAYKIT 20</t>
  </si>
  <si>
    <t>00649470</t>
  </si>
  <si>
    <t>LEYTS 7PC CONTRACT BRUSH PK10</t>
  </si>
  <si>
    <t>00649483</t>
  </si>
  <si>
    <t>LEYTS 9" MED PILE  POLY ROLLER(6)PACK 10</t>
  </si>
  <si>
    <t>00649481</t>
  </si>
  <si>
    <t>LEYTS 9"ROLLER FRM SOFT GRIP PACK OF 10</t>
  </si>
  <si>
    <t>00649482</t>
  </si>
  <si>
    <t>LEYTS 9"WOVEN MED  ROLL(6)P10</t>
  </si>
  <si>
    <t>00649471</t>
  </si>
  <si>
    <t>LEYTS CONT BRUSH   1" PK6</t>
  </si>
  <si>
    <t>00649472</t>
  </si>
  <si>
    <t>LEYTS CONTRACTOR   BRUSH 1.5" PACK OF 6</t>
  </si>
  <si>
    <t>00649473</t>
  </si>
  <si>
    <t>LEYTS CONTRACTOR   BRUSH 2" PACK OF 6</t>
  </si>
  <si>
    <t>00649474</t>
  </si>
  <si>
    <t>LEYTS CONTRACTOR   BRUSH 2.5" PACK OF 6</t>
  </si>
  <si>
    <t>00649475</t>
  </si>
  <si>
    <t>LEYTS CONTRACTOR   BRUSH 3" PACK OF 6</t>
  </si>
  <si>
    <t>00649476</t>
  </si>
  <si>
    <t>LEYTS MASONRY BRSH 4" PACK 10</t>
  </si>
  <si>
    <t>00649477</t>
  </si>
  <si>
    <t>LEYTS MASONRY KIT  9" PACK 10</t>
  </si>
  <si>
    <t>00649478</t>
  </si>
  <si>
    <t>LEYTS MASONRY REPL 9" ROLLERS PACK 10</t>
  </si>
  <si>
    <t>00649491</t>
  </si>
  <si>
    <t>LEYTS MED PILE WOV MINI JUMBO ROLL(4)P10</t>
  </si>
  <si>
    <t>00649490</t>
  </si>
  <si>
    <t>LEYTS MICROFIBRE MINI JUMBO ROLLER(4)P10</t>
  </si>
  <si>
    <t>00423684</t>
  </si>
  <si>
    <t>LEYTS PRM FL CAULK WHI 380ML</t>
  </si>
  <si>
    <t>00649633</t>
  </si>
  <si>
    <t>LEYTS ROLL &amp; GO    MINI (24)  + 3 LINERS</t>
  </si>
  <si>
    <t>00649638</t>
  </si>
  <si>
    <t>LEYTS ROLL&amp;GO MINI LINERS 3   (48)</t>
  </si>
  <si>
    <t>00649623</t>
  </si>
  <si>
    <t>LEYTS WHITE SPIRIT 2L (PK8)   0000002160</t>
  </si>
  <si>
    <t>00447491</t>
  </si>
  <si>
    <t>LL    CONTRCT MATT LIGHT GREY 0000002100</t>
  </si>
  <si>
    <t>00423756</t>
  </si>
  <si>
    <t>LL    H/WEAR MATT  ULTRA DEEP 0000001231</t>
  </si>
  <si>
    <t>00423757</t>
  </si>
  <si>
    <t>LL    H/WEAR MATT  ULTRA DEEP 0000001462</t>
  </si>
  <si>
    <t>00423755</t>
  </si>
  <si>
    <t>LL    VINYL MATT   ULTRA DEEP 0000001925</t>
  </si>
  <si>
    <t>00423695</t>
  </si>
  <si>
    <t>MGRR  DEC CAULK    300ML      0000000300</t>
  </si>
  <si>
    <t>00423696</t>
  </si>
  <si>
    <t>MGRR  DEC CAULK    380ML      0000000380</t>
  </si>
  <si>
    <t>00423697</t>
  </si>
  <si>
    <t>MGRR  R/MIX FILLER 330GM      0000000330</t>
  </si>
  <si>
    <t>00615020</t>
  </si>
  <si>
    <t>MIRKA 1025LTR      EXTRACTOR  240V</t>
  </si>
  <si>
    <t>00608223</t>
  </si>
  <si>
    <t>MIRKA 10MTR  HOSE             EXTENSION</t>
  </si>
  <si>
    <t>00852651</t>
  </si>
  <si>
    <t>MIRKA 1230M DUST   EXTRC 110V KIT1705ALM</t>
  </si>
  <si>
    <t>00614922</t>
  </si>
  <si>
    <t>00727896</t>
  </si>
  <si>
    <t>00727897</t>
  </si>
  <si>
    <t>00614900</t>
  </si>
  <si>
    <t>00611882</t>
  </si>
  <si>
    <t>00647345</t>
  </si>
  <si>
    <t>00615349</t>
  </si>
  <si>
    <t>MIRKA 915M CLASS   230V       EXTRACTOR</t>
  </si>
  <si>
    <t>00649895</t>
  </si>
  <si>
    <t>00649847</t>
  </si>
  <si>
    <t>MIRKA ABRALON 77MM P4000 PK20 8A20302097</t>
  </si>
  <si>
    <t>00852396</t>
  </si>
  <si>
    <t>MIRKA ABRANET      DISCS P180 PK50</t>
  </si>
  <si>
    <t>00727895</t>
  </si>
  <si>
    <t>00643848</t>
  </si>
  <si>
    <t>00732840</t>
  </si>
  <si>
    <t>00732841</t>
  </si>
  <si>
    <t>00732839</t>
  </si>
  <si>
    <t>00611844</t>
  </si>
  <si>
    <t>00611847</t>
  </si>
  <si>
    <t>00611852</t>
  </si>
  <si>
    <t>00611853</t>
  </si>
  <si>
    <t>00731060</t>
  </si>
  <si>
    <t>00732552</t>
  </si>
  <si>
    <t>00643623</t>
  </si>
  <si>
    <t>00643624</t>
  </si>
  <si>
    <t>00643625</t>
  </si>
  <si>
    <t>00643626</t>
  </si>
  <si>
    <t>00852482</t>
  </si>
  <si>
    <t>00614899</t>
  </si>
  <si>
    <t>00852305</t>
  </si>
  <si>
    <t>00728200</t>
  </si>
  <si>
    <t>00730468</t>
  </si>
  <si>
    <t>00640081</t>
  </si>
  <si>
    <t>MIRKA AROS-B 150NV 32MM 10.8V BMFC00147</t>
  </si>
  <si>
    <t>00735967</t>
  </si>
  <si>
    <t>MIRKA BACK PAD     150MM MED  8295494111</t>
  </si>
  <si>
    <t>00611856</t>
  </si>
  <si>
    <t>00610783</t>
  </si>
  <si>
    <t>MIRKA BACK PAD QK  LOCK 32MM  8294598511</t>
  </si>
  <si>
    <t>00631522</t>
  </si>
  <si>
    <t>MIRKA BACKING PAD             150MM</t>
  </si>
  <si>
    <t>00640079</t>
  </si>
  <si>
    <t>00605482</t>
  </si>
  <si>
    <t>MIRKA BESKYTTELSE RONDEL 225MM</t>
  </si>
  <si>
    <t>00611952</t>
  </si>
  <si>
    <t>00636280</t>
  </si>
  <si>
    <t>00611786</t>
  </si>
  <si>
    <t>00643413</t>
  </si>
  <si>
    <t>MIRKA CEROS MAINS  CABLE 230V 6416868323</t>
  </si>
  <si>
    <t>00732895</t>
  </si>
  <si>
    <t>00852270</t>
  </si>
  <si>
    <t>MIRKA DECO KIT     110V DEOS  DELTA</t>
  </si>
  <si>
    <t>00611848</t>
  </si>
  <si>
    <t>00611845</t>
  </si>
  <si>
    <t>00611846</t>
  </si>
  <si>
    <t>00611849</t>
  </si>
  <si>
    <t>00611855</t>
  </si>
  <si>
    <t>00611851</t>
  </si>
  <si>
    <t>00640078</t>
  </si>
  <si>
    <t>00649936</t>
  </si>
  <si>
    <t>00610730</t>
  </si>
  <si>
    <t>MIRKA DEOS BANKING PLATE      MIE3512611</t>
  </si>
  <si>
    <t>00640077</t>
  </si>
  <si>
    <t>MIRKA DEOS DECO    KIT 230V   KIT1718CDM</t>
  </si>
  <si>
    <t>00611311</t>
  </si>
  <si>
    <t>MIRKA DEOS DECOKIT 110V       KIT1822CDM</t>
  </si>
  <si>
    <t>00611837</t>
  </si>
  <si>
    <t>MIRKA DEOS DELTA   230V L/KIT</t>
  </si>
  <si>
    <t>00611842</t>
  </si>
  <si>
    <t>00611843</t>
  </si>
  <si>
    <t>00611145</t>
  </si>
  <si>
    <t>MIRKA DEOS PROMO   230V       KIT1804INM</t>
  </si>
  <si>
    <t>00643627</t>
  </si>
  <si>
    <t>00611256</t>
  </si>
  <si>
    <t>00611144</t>
  </si>
  <si>
    <t>MIRKA DEROS PROMO  110V       KIT1805INM</t>
  </si>
  <si>
    <t>00611143</t>
  </si>
  <si>
    <t>MIRKA DEROS PROMO  230V       KIT1803INM</t>
  </si>
  <si>
    <t>00614855</t>
  </si>
  <si>
    <t>MIRKA DEROS5650XCV 110V DECO  SOL KIT</t>
  </si>
  <si>
    <t>00732838</t>
  </si>
  <si>
    <t>MIRKA DUST EXT 915 MACHINE    110V</t>
  </si>
  <si>
    <t>00643433</t>
  </si>
  <si>
    <t>MIRKA EXHAUST KIT  CEROS      MIN6519011</t>
  </si>
  <si>
    <t>00636276</t>
  </si>
  <si>
    <t>00732543</t>
  </si>
  <si>
    <t>00732000</t>
  </si>
  <si>
    <t>00733770</t>
  </si>
  <si>
    <t>00733768</t>
  </si>
  <si>
    <t>00733769</t>
  </si>
  <si>
    <t>00733767</t>
  </si>
  <si>
    <t>00732544</t>
  </si>
  <si>
    <t>00732545</t>
  </si>
  <si>
    <t>00611298</t>
  </si>
  <si>
    <t>MIRKA LEROS KIT LTD EDITION CMFC00167</t>
  </si>
  <si>
    <t>00649887</t>
  </si>
  <si>
    <t>MIRKA LEROS WALL   SANDER     MIW95020BA</t>
  </si>
  <si>
    <t>00852394</t>
  </si>
  <si>
    <t>00631360</t>
  </si>
  <si>
    <t>00611831</t>
  </si>
  <si>
    <t>00732549</t>
  </si>
  <si>
    <t>MIRKA MIRO 955     SANDER     110V</t>
  </si>
  <si>
    <t>00732547</t>
  </si>
  <si>
    <t>00611857</t>
  </si>
  <si>
    <t>00731041</t>
  </si>
  <si>
    <t>00649891</t>
  </si>
  <si>
    <t>00649714</t>
  </si>
  <si>
    <t>MIRKA PROS 650CV   AIR SANDER 8995650111</t>
  </si>
  <si>
    <t>00636275</t>
  </si>
  <si>
    <t>00649886</t>
  </si>
  <si>
    <t>MIRKA WALL SANDER  DECO KIT   BMFC00168</t>
  </si>
  <si>
    <t>00447377</t>
  </si>
  <si>
    <t>MYCOL DURABLE MATT AQUA DREAM 0000001250</t>
  </si>
  <si>
    <t>00447384</t>
  </si>
  <si>
    <t>MYCOL DURABLE MATT ASH GROVE  0000001250</t>
  </si>
  <si>
    <t>00447381</t>
  </si>
  <si>
    <t>MYCOL DURABLE MATT BOULD LICH 0000001250</t>
  </si>
  <si>
    <t>00447386</t>
  </si>
  <si>
    <t>MYCOL DURABLE MATT CANDLE SMK 0000001250</t>
  </si>
  <si>
    <t>00447388</t>
  </si>
  <si>
    <t>MYCOL DURABLE MATT COASTOFMAI 0000001250</t>
  </si>
  <si>
    <t>00447373</t>
  </si>
  <si>
    <t>MYCOL DURABLE MATT EL CAPITAN 0000001250</t>
  </si>
  <si>
    <t>00447382</t>
  </si>
  <si>
    <t>MYCOL DURABLE MATT ENCH EGGPL 0000001250</t>
  </si>
  <si>
    <t>00447374</t>
  </si>
  <si>
    <t>MYCOL DURABLE MATT INTUITIVE  0000001250</t>
  </si>
  <si>
    <t>00447389</t>
  </si>
  <si>
    <t>MYCOL DURABLE MATT NEW CHALK  0000001250</t>
  </si>
  <si>
    <t>00447372</t>
  </si>
  <si>
    <t>MYCOL DURABLE MATT NIGHTCAP   0000001250</t>
  </si>
  <si>
    <t>00447370</t>
  </si>
  <si>
    <t>MYCOL DURABLE MATT NIGHTWATCH 0000001250</t>
  </si>
  <si>
    <t>00447380</t>
  </si>
  <si>
    <t>MYCOL DURABLE MATT PEACH PUDD 0000001250</t>
  </si>
  <si>
    <t>00447379</t>
  </si>
  <si>
    <t>MYCOL DURABLE MATT SINGI SAND 0000001250</t>
  </si>
  <si>
    <t>00447385</t>
  </si>
  <si>
    <t>MYCOL DURABLE MATT SOMBRE TAN 0000001250</t>
  </si>
  <si>
    <t>00447383</t>
  </si>
  <si>
    <t>MYCOL DURABLE MATT STEEL MILL 0000001250</t>
  </si>
  <si>
    <t>00447375</t>
  </si>
  <si>
    <t>MYCOL DURABLE MATT SUMMER SHA 0000001250</t>
  </si>
  <si>
    <t>00447387</t>
  </si>
  <si>
    <t>MYCOL DURABLE MATT SWANSONG   0000001250</t>
  </si>
  <si>
    <t>00447378</t>
  </si>
  <si>
    <t>MYCOL DURABLE MATT SYMMETRY   0000001250</t>
  </si>
  <si>
    <t>00447371</t>
  </si>
  <si>
    <t>MYCOL DURABLE MATT TAN YRHIDE 0000001250</t>
  </si>
  <si>
    <t>00447376</t>
  </si>
  <si>
    <t>MYCOL DURABLE MATT WHITBY JET 0000001250</t>
  </si>
  <si>
    <t>00447390</t>
  </si>
  <si>
    <t>MYCOL DURABLE MATT WING COMMA 0000001250</t>
  </si>
  <si>
    <t>00681045</t>
  </si>
  <si>
    <t>MYCOL PEEL &amp; STICK AQUA DREAM</t>
  </si>
  <si>
    <t>00681052</t>
  </si>
  <si>
    <t>MYCOL PEEL &amp; STICK ASH GROVE</t>
  </si>
  <si>
    <t>00681049</t>
  </si>
  <si>
    <t>MYCOL PEEL &amp; STICK BOULD LICH</t>
  </si>
  <si>
    <t>00681054</t>
  </si>
  <si>
    <t>MYCOL PEEL &amp; STICK CANDLE SMK</t>
  </si>
  <si>
    <t>00681041</t>
  </si>
  <si>
    <t>MYCOL PEEL &amp; STICK EL CAPITAN</t>
  </si>
  <si>
    <t>00681050</t>
  </si>
  <si>
    <t>MYCOL PEEL &amp; STICK ENCH EGGPL</t>
  </si>
  <si>
    <t>00681057</t>
  </si>
  <si>
    <t>MYCOL PEEL &amp; STICK NEW CHALK</t>
  </si>
  <si>
    <t>00681040</t>
  </si>
  <si>
    <t>MYCOL PEEL &amp; STICK NIGHTCAP</t>
  </si>
  <si>
    <t>00681038</t>
  </si>
  <si>
    <t>MYCOL PEEL &amp; STICK NIGHTWATCH</t>
  </si>
  <si>
    <t>00681048</t>
  </si>
  <si>
    <t>MYCOL PEEL &amp; STICK PEACH PUDD</t>
  </si>
  <si>
    <t>00681047</t>
  </si>
  <si>
    <t>MYCOL PEEL &amp; STICK SINGI SAND</t>
  </si>
  <si>
    <t>00681053</t>
  </si>
  <si>
    <t>MYCOL PEEL &amp; STICK SOMBRE TAN</t>
  </si>
  <si>
    <t>00681051</t>
  </si>
  <si>
    <t>MYCOL PEEL &amp; STICK STEEL MILL</t>
  </si>
  <si>
    <t>00681043</t>
  </si>
  <si>
    <t>MYCOL PEEL &amp; STICK SUMMER SHA</t>
  </si>
  <si>
    <t>00681055</t>
  </si>
  <si>
    <t>MYCOL PEEL &amp; STICK SWANSONG</t>
  </si>
  <si>
    <t>00681046</t>
  </si>
  <si>
    <t>MYCOL PEEL &amp; STICK SYMMETRY</t>
  </si>
  <si>
    <t>00681039</t>
  </si>
  <si>
    <t>MYCOL PEEL &amp; STICK TAN YR HID</t>
  </si>
  <si>
    <t>00681044</t>
  </si>
  <si>
    <t>MYCOL PEEL &amp; STICK WHITBY JET</t>
  </si>
  <si>
    <t>00681058</t>
  </si>
  <si>
    <t>MYCOL PEEL &amp; STICK WING COMMA</t>
  </si>
  <si>
    <t>00447489</t>
  </si>
  <si>
    <t>MYCOL TESTER POT   AQUA DREAM 0000000055</t>
  </si>
  <si>
    <t>00447476</t>
  </si>
  <si>
    <t>MYCOL TESTER POT   ASH GROVE  0000000055</t>
  </si>
  <si>
    <t>00447473</t>
  </si>
  <si>
    <t>MYCOL TESTER POT   BOULD LICH 0000000055</t>
  </si>
  <si>
    <t>00447478</t>
  </si>
  <si>
    <t>MYCOL TESTER POT   CANDLE SMK 0000000055</t>
  </si>
  <si>
    <t>00447480</t>
  </si>
  <si>
    <t>MYCOL TESTER POT   COASTOFMAI 0000000055</t>
  </si>
  <si>
    <t>00447485</t>
  </si>
  <si>
    <t>MYCOL TESTER POT   EL CAPITAN 0000000055</t>
  </si>
  <si>
    <t>00447474</t>
  </si>
  <si>
    <t>MYCOL TESTER POT   ENCH EGGPL 0000000055</t>
  </si>
  <si>
    <t>00447486</t>
  </si>
  <si>
    <t>MYCOL TESTER POT   INTUITIVE  0000000055</t>
  </si>
  <si>
    <t>00447481</t>
  </si>
  <si>
    <t>MYCOL TESTER POT   NEW CHALK  0000000055</t>
  </si>
  <si>
    <t>00447484</t>
  </si>
  <si>
    <t>MYCOL TESTER POT   NIGHTCAP   0000000055</t>
  </si>
  <si>
    <t>00447470</t>
  </si>
  <si>
    <t>MYCOL TESTER POT   NIGHTWATCH 0000000055</t>
  </si>
  <si>
    <t>00447472</t>
  </si>
  <si>
    <t>MYCOL TESTER POT   PEACH PUDD 0000000055</t>
  </si>
  <si>
    <t>00447471</t>
  </si>
  <si>
    <t>MYCOL TESTER POT   SINGI SAND 0000000055</t>
  </si>
  <si>
    <t>00447477</t>
  </si>
  <si>
    <t>MYCOL TESTER POT   SOMBRE TAN 0000000055</t>
  </si>
  <si>
    <t>00447475</t>
  </si>
  <si>
    <t>MYCOL TESTER POT   STEEL MILL 0000000055</t>
  </si>
  <si>
    <t>00447487</t>
  </si>
  <si>
    <t>MYCOL TESTER POT   SUMMER SHA 0000000055</t>
  </si>
  <si>
    <t>00447479</t>
  </si>
  <si>
    <t>MYCOL TESTER POT   SWANSONG   0000000055</t>
  </si>
  <si>
    <t>00447490</t>
  </si>
  <si>
    <t>MYCOL TESTER POT   SYMMETRY   0000000055</t>
  </si>
  <si>
    <t>00447483</t>
  </si>
  <si>
    <t>MYCOL TESTER POT   TAN YRHIDE 0000000055</t>
  </si>
  <si>
    <t>00447482</t>
  </si>
  <si>
    <t>MYCOL TESTER POT   WING COMMA 0000000055</t>
  </si>
  <si>
    <t>00241815</t>
  </si>
  <si>
    <t>NOVAGUARD 260 SET PINK        6007002200</t>
  </si>
  <si>
    <t>00352167</t>
  </si>
  <si>
    <t>NOVAGUARD 4701 SET LIGHTAMBER 3000002200</t>
  </si>
  <si>
    <t>00346294</t>
  </si>
  <si>
    <t>NOVAGUARD 4801 SET WHITE      7000002200</t>
  </si>
  <si>
    <t>00377970</t>
  </si>
  <si>
    <t>NOVAGUARD 615 SET LIGHT GREY  5001002200</t>
  </si>
  <si>
    <t>00340121</t>
  </si>
  <si>
    <t>NOVAGUARD 650 SET OFFWHITE    7001002200</t>
  </si>
  <si>
    <t>00237775</t>
  </si>
  <si>
    <t>NOVAGUARD 840 SET CREAM       3012002200</t>
  </si>
  <si>
    <t>00282887</t>
  </si>
  <si>
    <t>NOVAGUARD 890 SET CREAM       3002002200</t>
  </si>
  <si>
    <t>00394172</t>
  </si>
  <si>
    <t>NUKLAD IMP SET CLEAR         N0000002119</t>
  </si>
  <si>
    <t>00347747</t>
  </si>
  <si>
    <t>NUKLAD SL SET BAS Z           0070002170</t>
  </si>
  <si>
    <t>00734995</t>
  </si>
  <si>
    <t>OSMO  BRUSH        CLEAR      0000001100</t>
  </si>
  <si>
    <t>00611273</t>
  </si>
  <si>
    <t>OSMO  COUNTRY COLS 0804-Y30R  0000001250</t>
  </si>
  <si>
    <t>00610514</t>
  </si>
  <si>
    <t>OSMO  COUNTRY COLS ANTH GREY  0000001250</t>
  </si>
  <si>
    <t>00649883</t>
  </si>
  <si>
    <t>OSMO  COUNTRY COLS DUSK GREY  0000000750</t>
  </si>
  <si>
    <t>00615062</t>
  </si>
  <si>
    <t>OSMO  COUNTRY COLS MED BROWN  0000001250</t>
  </si>
  <si>
    <t>00615303</t>
  </si>
  <si>
    <t>OSMO  DECK STAIN   430D CLEAR 0000001250</t>
  </si>
  <si>
    <t>00739389</t>
  </si>
  <si>
    <t>OSMO  DOOR OIL     CLEAR      0000001100</t>
  </si>
  <si>
    <t>00618104</t>
  </si>
  <si>
    <t>OSMO  NAT OIL      L/OAK 732C 0000000750</t>
  </si>
  <si>
    <t>00852664</t>
  </si>
  <si>
    <t>OSMO  NAT OIL W/ST EBONY 712C 0000000750</t>
  </si>
  <si>
    <t>00631545</t>
  </si>
  <si>
    <t>OSMO  NATURAL OIL  LARCH 702  0000001250</t>
  </si>
  <si>
    <t>00636499</t>
  </si>
  <si>
    <t>OSMO  NATURAL OIL  WHITE      0000001250</t>
  </si>
  <si>
    <t>00610675</t>
  </si>
  <si>
    <t>OSMO  OPAQUE GLOSS WHIT 2104D 0000001250</t>
  </si>
  <si>
    <t>00852544</t>
  </si>
  <si>
    <t>OSMO  OSMO DECKOIL GARAPA 013 0000001250</t>
  </si>
  <si>
    <t>00732973</t>
  </si>
  <si>
    <t>OSMO  POLYX H/WAX  OIL MATT   0000000750</t>
  </si>
  <si>
    <t>00722374</t>
  </si>
  <si>
    <t>OSMO  POLYX H/WAX  OIL MATT   0000001250</t>
  </si>
  <si>
    <t>00732972</t>
  </si>
  <si>
    <t>OSMO  POLYX H/WAX  OIL SATIN  0000000750</t>
  </si>
  <si>
    <t>00722373</t>
  </si>
  <si>
    <t>OSMO  POLYX H/WAX  OIL SATIN  0000001250</t>
  </si>
  <si>
    <t>00649802</t>
  </si>
  <si>
    <t>OSMO  POLYX OIL    3073 TERRA 0000000125</t>
  </si>
  <si>
    <t>00736935</t>
  </si>
  <si>
    <t>OSMO  POLYX OIL    BLACK      0000000750</t>
  </si>
  <si>
    <t>00639875</t>
  </si>
  <si>
    <t>OSMO  POLYX OIL    BLACK      0000001100</t>
  </si>
  <si>
    <t>00733832</t>
  </si>
  <si>
    <t>OSMO  POLYX OIL    CLR SAT 0000000750</t>
  </si>
  <si>
    <t>00615147</t>
  </si>
  <si>
    <t>OSMO  POLYX OIL    GRAPHITE   0000000750</t>
  </si>
  <si>
    <t>00737531</t>
  </si>
  <si>
    <t>OSMO  POLYX OIL    HONEY      0000001250</t>
  </si>
  <si>
    <t>00732671</t>
  </si>
  <si>
    <t>OSMO  POLYX OIL    MATT       0000001250</t>
  </si>
  <si>
    <t>00735794</t>
  </si>
  <si>
    <t>OSMO  POLYX OIL    METALLIC   0000000125</t>
  </si>
  <si>
    <t>00732670</t>
  </si>
  <si>
    <t>OSMO  POLYX OIL    SATIN      0000001250</t>
  </si>
  <si>
    <t>00649801</t>
  </si>
  <si>
    <t>OSMO  POLYX OIL    TINT AMBER 0000000125</t>
  </si>
  <si>
    <t>00733833</t>
  </si>
  <si>
    <t>OSMO  POLYX OIL   CLR  MAT 0000750</t>
  </si>
  <si>
    <t>00852386</t>
  </si>
  <si>
    <t>OSMO  POLYX OIL SM CLEAR 3065 0000001250</t>
  </si>
  <si>
    <t>00733835</t>
  </si>
  <si>
    <t>OSMO  POLYX RAPID  CLR MAT  0001250</t>
  </si>
  <si>
    <t>00733834</t>
  </si>
  <si>
    <t>OSMO  POLYX RAPID  CLR SAT 000001250</t>
  </si>
  <si>
    <t>00736799</t>
  </si>
  <si>
    <t>OSMO  POLYX S-MATT CLEAR      0000001250</t>
  </si>
  <si>
    <t>00738470</t>
  </si>
  <si>
    <t>OSMO  THERMOWOOD   OIL        0000001250</t>
  </si>
  <si>
    <t>00735894</t>
  </si>
  <si>
    <t>OSMO  TOP OIL      CLEAR MATT 0000000500</t>
  </si>
  <si>
    <t>00647115</t>
  </si>
  <si>
    <t>OSMO  TOP OIL SAT  CLEAR      0000000500</t>
  </si>
  <si>
    <t>00680227</t>
  </si>
  <si>
    <t>OSMO  UV PROT OIL  EXT SATIN/ 0000001250</t>
  </si>
  <si>
    <t>00617977</t>
  </si>
  <si>
    <t>OSMO  UV PROTECT   CLEAR      4205 SACHE</t>
  </si>
  <si>
    <t>00733995</t>
  </si>
  <si>
    <t>OSMO  UV PROTECT   OIL        0000001250</t>
  </si>
  <si>
    <t>00735455</t>
  </si>
  <si>
    <t>OSMO  WOOD OIL     BANGKIRAL  0000001250</t>
  </si>
  <si>
    <t>00631543</t>
  </si>
  <si>
    <t>OSMO  WOOD WAX     OAK ANTIQU 0000001250</t>
  </si>
  <si>
    <t>00739159</t>
  </si>
  <si>
    <t>OSMO  WOODWAX TRAS WALNUT     0000001250</t>
  </si>
  <si>
    <t>00717278</t>
  </si>
  <si>
    <t>OWAT  EASY SURFACE PRIMER     FFJ7SF1100</t>
  </si>
  <si>
    <t>00717274</t>
  </si>
  <si>
    <t>OWAT  EMULSA BOND             FFJ7SF1100</t>
  </si>
  <si>
    <t>00717275</t>
  </si>
  <si>
    <t>OWAT  EMULSA BOND             FFJ7SF1250</t>
  </si>
  <si>
    <t>00717276</t>
  </si>
  <si>
    <t>OWAT  FLOETROL     OWATROL    FFJ7SF1100</t>
  </si>
  <si>
    <t>00717277</t>
  </si>
  <si>
    <t>OWAT  FLOETROL     OWATROL    FFJ7SF1250</t>
  </si>
  <si>
    <t>00680213</t>
  </si>
  <si>
    <t>OWAT  MOULD KILLER VC175      0000000050</t>
  </si>
  <si>
    <t>00717272</t>
  </si>
  <si>
    <t>OWAT  OWATROL OIL             FFJ7SF0500</t>
  </si>
  <si>
    <t>00717273</t>
  </si>
  <si>
    <t>OWAT  OWATROL OIL             FFJ7SF1100</t>
  </si>
  <si>
    <t>00717223</t>
  </si>
  <si>
    <t>OWAT  OWATROL OIL             FFJ7SF1500</t>
  </si>
  <si>
    <t>00136557</t>
  </si>
  <si>
    <t>P VIKOTE 18 DARK GRAY       010000EU2200</t>
  </si>
  <si>
    <t>00167535</t>
  </si>
  <si>
    <t>P VIKOTE 18 LIGHT GRAY      020000EU1500</t>
  </si>
  <si>
    <t>00136558</t>
  </si>
  <si>
    <t>P VIKOTE 18 LIGHT GRAY      020000EU2200</t>
  </si>
  <si>
    <t>00154034</t>
  </si>
  <si>
    <t>P VIKOTE 56 BLACK           800000EU1500</t>
  </si>
  <si>
    <t>00154023</t>
  </si>
  <si>
    <t>P VIKOTE 56 BLACK           800000EU2200</t>
  </si>
  <si>
    <t>00154033</t>
  </si>
  <si>
    <t>P VIKOTE 56 WHITE           700000EU1500</t>
  </si>
  <si>
    <t>00154022</t>
  </si>
  <si>
    <t>P VIKOTE 56 WHITE           700000EU2200</t>
  </si>
  <si>
    <t>00137925</t>
  </si>
  <si>
    <t>P VIKOTE 63                 800000EU1500</t>
  </si>
  <si>
    <t>00150897</t>
  </si>
  <si>
    <t>P VIKOTE 63                 800000EU2200</t>
  </si>
  <si>
    <t>00852408</t>
  </si>
  <si>
    <t>PGOLD AP WALLPAPER ADH 120 RL</t>
  </si>
  <si>
    <t>00424078</t>
  </si>
  <si>
    <t>PGOLD FLEX FILLING KNIFE 2"</t>
  </si>
  <si>
    <t>00424079</t>
  </si>
  <si>
    <t>PGOLD FLEX FILLING KNIFE 3"</t>
  </si>
  <si>
    <t>00423530</t>
  </si>
  <si>
    <t>PGOLD GP SILICONE  CLEAR      0000000300</t>
  </si>
  <si>
    <t>00424081</t>
  </si>
  <si>
    <t>PGOLD SCALE TANG   SCARPER 3"</t>
  </si>
  <si>
    <t>00424080</t>
  </si>
  <si>
    <t>PGOLD SCALE TANG   SCRAPER 2"</t>
  </si>
  <si>
    <t>00424059</t>
  </si>
  <si>
    <t>PGOLD SHEEP ROLLER 12"</t>
  </si>
  <si>
    <t>00424058</t>
  </si>
  <si>
    <t>PGOLD SHEEP ROLLER 9"</t>
  </si>
  <si>
    <t>00180705</t>
  </si>
  <si>
    <t>PHENGUARD 930 SET OFFWHITE    7001001400</t>
  </si>
  <si>
    <t>00180706</t>
  </si>
  <si>
    <t>PHENGUARD 930 SET OFFWHITE    7001002200</t>
  </si>
  <si>
    <t>00180100</t>
  </si>
  <si>
    <t>PHENGUARD 935 SET PINK        6007001400</t>
  </si>
  <si>
    <t>00179115</t>
  </si>
  <si>
    <t>PHENGUARD 935 SET PINK        6007002200</t>
  </si>
  <si>
    <t>00179117</t>
  </si>
  <si>
    <t>PHENGUARD 940 SET GREY        5000001400</t>
  </si>
  <si>
    <t>00179118</t>
  </si>
  <si>
    <t>PHENGUARD 940 SET GREY        5000002200</t>
  </si>
  <si>
    <t>00434213</t>
  </si>
  <si>
    <t>PHENGUARD SUBSEA 610 SET REDG 0000001400</t>
  </si>
  <si>
    <t>00382341</t>
  </si>
  <si>
    <t>PHENGUARD SUBSEA 610 SET REDGREY 0002200</t>
  </si>
  <si>
    <t>00383931</t>
  </si>
  <si>
    <t>PHENGUARD SUBSEA 780   SET RAL1018261400</t>
  </si>
  <si>
    <t>00383927</t>
  </si>
  <si>
    <t>PHENGUARD SUBSEA 780 SET RAL  1004261400</t>
  </si>
  <si>
    <t>00383929</t>
  </si>
  <si>
    <t>PHENGUARD SUBSEA 780 SET RAL  2004261400</t>
  </si>
  <si>
    <t>00639820</t>
  </si>
  <si>
    <t>PPG   EP001        HARDENER   0000001158</t>
  </si>
  <si>
    <t>00639822</t>
  </si>
  <si>
    <t>PPG   EP001        HARDENER   0000001316</t>
  </si>
  <si>
    <t>00639824</t>
  </si>
  <si>
    <t>PPG   EP001        HARDENER   0000001790</t>
  </si>
  <si>
    <t>00639819</t>
  </si>
  <si>
    <t>PPG   EP001        YELLOW     0000001342</t>
  </si>
  <si>
    <t>00639821</t>
  </si>
  <si>
    <t>PPG   EP001        YELLOW     0000001684</t>
  </si>
  <si>
    <t>00639823</t>
  </si>
  <si>
    <t>PPG   EP001        YELLOW     0000002171</t>
  </si>
  <si>
    <t>00639813</t>
  </si>
  <si>
    <t>PPG   EP002        CLEAR      0000001338</t>
  </si>
  <si>
    <t>00639815</t>
  </si>
  <si>
    <t>PPG   EP002        CLEAR      0000001676</t>
  </si>
  <si>
    <t>00639817</t>
  </si>
  <si>
    <t>PPG   EP002        CLEAR      0000002169</t>
  </si>
  <si>
    <t>00639814</t>
  </si>
  <si>
    <t>PPG   EP002        HARDENER   0000001162</t>
  </si>
  <si>
    <t>00639816</t>
  </si>
  <si>
    <t>PPG   EP002        HARDENER   0000001324</t>
  </si>
  <si>
    <t>00639818</t>
  </si>
  <si>
    <t>PPG   EP002        HARDENER   0000001809</t>
  </si>
  <si>
    <t>00639800</t>
  </si>
  <si>
    <t>PPG   EP201        DARK BLUE  0000001185</t>
  </si>
  <si>
    <t>00639860</t>
  </si>
  <si>
    <t>PPG   EP201        DARK BLUE  0000001370</t>
  </si>
  <si>
    <t>00639808</t>
  </si>
  <si>
    <t>PPG   EP201        DARK GREY  0000001185</t>
  </si>
  <si>
    <t>00639868</t>
  </si>
  <si>
    <t>PPG   EP201        DARK GREY  0000001370</t>
  </si>
  <si>
    <t>00639804</t>
  </si>
  <si>
    <t>PPG   EP201        DARK YELL  0000001185</t>
  </si>
  <si>
    <t>00639864</t>
  </si>
  <si>
    <t>PPG   EP201        DRK YELLOW 0000001370</t>
  </si>
  <si>
    <t>00639801</t>
  </si>
  <si>
    <t>PPG   EP201        GREEN      0000001185</t>
  </si>
  <si>
    <t>00639861</t>
  </si>
  <si>
    <t>PPG   EP201        GREEN      0000001370</t>
  </si>
  <si>
    <t>00639812</t>
  </si>
  <si>
    <t>PPG   EP201        HARDENER   0000001315</t>
  </si>
  <si>
    <t>00639872</t>
  </si>
  <si>
    <t>PPG   EP201        HARDENER   0000001630</t>
  </si>
  <si>
    <t>00639806</t>
  </si>
  <si>
    <t>PPG   EP201        LIGHT GREY 0000001185</t>
  </si>
  <si>
    <t>00639866</t>
  </si>
  <si>
    <t>PPG   EP201        LIGHT GREY 0000001370</t>
  </si>
  <si>
    <t>00639802</t>
  </si>
  <si>
    <t>PPG   EP201        LIGHT YELL 0000001185</t>
  </si>
  <si>
    <t>00639862</t>
  </si>
  <si>
    <t>PPG   EP201        LIGHT YELL 0000001370</t>
  </si>
  <si>
    <t>00639799</t>
  </si>
  <si>
    <t>PPG   EP201        MID BLUE   0000001185</t>
  </si>
  <si>
    <t>00639859</t>
  </si>
  <si>
    <t>PPG   EP201        MID BLUE   0000001370</t>
  </si>
  <si>
    <t>00639807</t>
  </si>
  <si>
    <t>PPG   EP201        MID GREY   0000001185</t>
  </si>
  <si>
    <t>00639867</t>
  </si>
  <si>
    <t>PPG   EP201        MID GREY   0000001370</t>
  </si>
  <si>
    <t>00639803</t>
  </si>
  <si>
    <t>PPG   EP201        MID YELL   0000001185</t>
  </si>
  <si>
    <t>00639863</t>
  </si>
  <si>
    <t>PPG   EP201        MID YELLOW 0000001370</t>
  </si>
  <si>
    <t>00639805</t>
  </si>
  <si>
    <t>PPG   EP201        RED        0000001185</t>
  </si>
  <si>
    <t>00639865</t>
  </si>
  <si>
    <t>PPG   EP201        RED        0000001370</t>
  </si>
  <si>
    <t>00639809</t>
  </si>
  <si>
    <t>PPG   EP201        SAFETY RED 0000001185</t>
  </si>
  <si>
    <t>00639869</t>
  </si>
  <si>
    <t>PPG   EP201        SAFETY RED 0000001370</t>
  </si>
  <si>
    <t>00639810</t>
  </si>
  <si>
    <t>PPG   EP201        SAFETY YEL 0000001185</t>
  </si>
  <si>
    <t>00639870</t>
  </si>
  <si>
    <t>PPG   EP201        SFTY YELL  0000001370</t>
  </si>
  <si>
    <t>00639811</t>
  </si>
  <si>
    <t>PPG   EP201        SPEC COL   0000001185</t>
  </si>
  <si>
    <t>00639871</t>
  </si>
  <si>
    <t>PPG   EP201        SPEC COL   0000001370</t>
  </si>
  <si>
    <t>00639758</t>
  </si>
  <si>
    <t>PPG   EP301        DARK BLUE  0000001405</t>
  </si>
  <si>
    <t>00639772</t>
  </si>
  <si>
    <t>PPG   EP301        DARK BLUE  0000001808</t>
  </si>
  <si>
    <t>00639786</t>
  </si>
  <si>
    <t>PPG   EP301        DARK BLUE  0000002101</t>
  </si>
  <si>
    <t>00639766</t>
  </si>
  <si>
    <t>PPG   EP301        DARK GREY  0000001405</t>
  </si>
  <si>
    <t>00639780</t>
  </si>
  <si>
    <t>PPG   EP301        DARK GREY  0000001808</t>
  </si>
  <si>
    <t>00639794</t>
  </si>
  <si>
    <t>PPG   EP301        DARK GREY  0000002101</t>
  </si>
  <si>
    <t>00639762</t>
  </si>
  <si>
    <t>PPG   EP301        DRK YELLOW 0000001405</t>
  </si>
  <si>
    <t>00639776</t>
  </si>
  <si>
    <t>PPG   EP301        DRK YELLOW 0000001808</t>
  </si>
  <si>
    <t>00639790</t>
  </si>
  <si>
    <t>PPG   EP301        DRK YELLOW 0000002101</t>
  </si>
  <si>
    <t>00639759</t>
  </si>
  <si>
    <t>PPG   EP301        GREEN      0000001405</t>
  </si>
  <si>
    <t>00639773</t>
  </si>
  <si>
    <t>PPG   EP301        GREEN      0000001808</t>
  </si>
  <si>
    <t>00639787</t>
  </si>
  <si>
    <t>PPG   EP301        GREEN      0000002101</t>
  </si>
  <si>
    <t>00639770</t>
  </si>
  <si>
    <t>PPG   EP301        HARDENER   0000000950</t>
  </si>
  <si>
    <t>00639784</t>
  </si>
  <si>
    <t>PPG   EP301        HARDENER   0000001192</t>
  </si>
  <si>
    <t>00639873</t>
  </si>
  <si>
    <t>PPG   EP301        HARDENER   0000001240</t>
  </si>
  <si>
    <t>00639760</t>
  </si>
  <si>
    <t>PPG   EP301        LGT YELLOW 0000001405</t>
  </si>
  <si>
    <t>00639764</t>
  </si>
  <si>
    <t>PPG   EP301        LIGHT GREY 0000001405</t>
  </si>
  <si>
    <t>00639778</t>
  </si>
  <si>
    <t>PPG   EP301        LIGHT GREY 0000001808</t>
  </si>
  <si>
    <t>00639792</t>
  </si>
  <si>
    <t>PPG   EP301        LIGHT GREY 0000002101</t>
  </si>
  <si>
    <t>00639774</t>
  </si>
  <si>
    <t>PPG   EP301        LIGHT YELL 0000001808</t>
  </si>
  <si>
    <t>00639788</t>
  </si>
  <si>
    <t>PPG   EP301        LIGHT YELL 0000002101</t>
  </si>
  <si>
    <t>00639757</t>
  </si>
  <si>
    <t>PPG   EP301        MID BLUE   0000001405</t>
  </si>
  <si>
    <t>00639771</t>
  </si>
  <si>
    <t>PPG   EP301        MID BLUE   0000001808</t>
  </si>
  <si>
    <t>00639785</t>
  </si>
  <si>
    <t>PPG   EP301        MID BLUE   0000002101</t>
  </si>
  <si>
    <t>00639765</t>
  </si>
  <si>
    <t>PPG   EP301        MID GREY   0000001405</t>
  </si>
  <si>
    <t>00639779</t>
  </si>
  <si>
    <t>PPG   EP301        MID GREY   0000001808</t>
  </si>
  <si>
    <t>00639793</t>
  </si>
  <si>
    <t>PPG   EP301        MID GREY   0000002101</t>
  </si>
  <si>
    <t>00639761</t>
  </si>
  <si>
    <t>PPG   EP301        MID YELLOW 0000001405</t>
  </si>
  <si>
    <t>00639775</t>
  </si>
  <si>
    <t>PPG   EP301        MID YELLOW 0000001808</t>
  </si>
  <si>
    <t>00639789</t>
  </si>
  <si>
    <t>PPG   EP301        MID YELLOW 0000002101</t>
  </si>
  <si>
    <t>00639763</t>
  </si>
  <si>
    <t>PPG   EP301        RED        0000001405</t>
  </si>
  <si>
    <t>00639777</t>
  </si>
  <si>
    <t>PPG   EP301        RED        0000001808</t>
  </si>
  <si>
    <t>00639791</t>
  </si>
  <si>
    <t>PPG   EP301        RED        0000002101</t>
  </si>
  <si>
    <t>00639767</t>
  </si>
  <si>
    <t>PPG   EP301        SAFETY RED 0000001405</t>
  </si>
  <si>
    <t>00639781</t>
  </si>
  <si>
    <t>PPG   EP301        SAFETY RED 0000001808</t>
  </si>
  <si>
    <t>00639795</t>
  </si>
  <si>
    <t>PPG   EP301        SAFETY RED 0000002101</t>
  </si>
  <si>
    <t>00639768</t>
  </si>
  <si>
    <t>PPG   EP301        SAFETY YEL 0000001405</t>
  </si>
  <si>
    <t>00639782</t>
  </si>
  <si>
    <t>PPG   EP301        SAFETY YEL 0000001808</t>
  </si>
  <si>
    <t>00639796</t>
  </si>
  <si>
    <t>PPG   EP301        SAFETY YEL 0000002101</t>
  </si>
  <si>
    <t>00639769</t>
  </si>
  <si>
    <t>PPG   EP301        SPEC COL   0000001405</t>
  </si>
  <si>
    <t>00639783</t>
  </si>
  <si>
    <t>PPG   EP301        SPEC COL   0000001808</t>
  </si>
  <si>
    <t>00639797</t>
  </si>
  <si>
    <t>PPG   EP301        SPEC COL   0000002101</t>
  </si>
  <si>
    <t>00639756</t>
  </si>
  <si>
    <t>PPG   EP4501       AGGREGATE  0000002200</t>
  </si>
  <si>
    <t>00639743</t>
  </si>
  <si>
    <t>PPG   EP4501       DARK BLUE  0000001767</t>
  </si>
  <si>
    <t>00639751</t>
  </si>
  <si>
    <t>PPG   EP4501       DARK GREY  0000001767</t>
  </si>
  <si>
    <t>00639747</t>
  </si>
  <si>
    <t>PPG   EP4501       DRK YELLOW 0000001767</t>
  </si>
  <si>
    <t>00639744</t>
  </si>
  <si>
    <t>PPG   EP4501       GREEN      0000001767</t>
  </si>
  <si>
    <t>00639755</t>
  </si>
  <si>
    <t>PPG   EP4501       HARDENER   0000001333</t>
  </si>
  <si>
    <t>00639749</t>
  </si>
  <si>
    <t>PPG   EP4501       LIGHT GREY 0000001767</t>
  </si>
  <si>
    <t>00639745</t>
  </si>
  <si>
    <t>PPG   EP4501       LIGHT YELL 0000001767</t>
  </si>
  <si>
    <t>00639742</t>
  </si>
  <si>
    <t>PPG   EP4501       MID BLUE   0000001767</t>
  </si>
  <si>
    <t>00639750</t>
  </si>
  <si>
    <t>PPG   EP4501       MID GREY   0000001767</t>
  </si>
  <si>
    <t>00639746</t>
  </si>
  <si>
    <t>PPG   EP4501       MID YELLOW 0000001767</t>
  </si>
  <si>
    <t>00639748</t>
  </si>
  <si>
    <t>PPG   EP4501       RED        0000001767</t>
  </si>
  <si>
    <t>00639752</t>
  </si>
  <si>
    <t>PPG   EP4501       SAFETY RED 0000001767</t>
  </si>
  <si>
    <t>00639753</t>
  </si>
  <si>
    <t>PPG   EP4501       SFTY YELL  0000001767</t>
  </si>
  <si>
    <t>00639754</t>
  </si>
  <si>
    <t>PPG   EP4501       SPEC COLL  0000001767</t>
  </si>
  <si>
    <t>00319296</t>
  </si>
  <si>
    <t>PSX 700A FDE SET CLEAR COAT   0000AM1450</t>
  </si>
  <si>
    <t>00717198</t>
  </si>
  <si>
    <t>PURDY DALE ELITE   1" BRUSH</t>
  </si>
  <si>
    <t>00717199</t>
  </si>
  <si>
    <t>PURDY DALE ELITE   1.5" BRUSH</t>
  </si>
  <si>
    <t>00618084</t>
  </si>
  <si>
    <t>PURDY MONSPEC3     BRUSH SET</t>
  </si>
  <si>
    <t>00614986</t>
  </si>
  <si>
    <t>PURDY PRO EXTRA    TWIN PACK  MON ELITE</t>
  </si>
  <si>
    <t>00717206</t>
  </si>
  <si>
    <t>PURDY SPRIG ELITE  2" BRUSH</t>
  </si>
  <si>
    <t>00852390</t>
  </si>
  <si>
    <t>QTECH 1/4" HOSE    25 METRE   61425EETD</t>
  </si>
  <si>
    <t>00852298</t>
  </si>
  <si>
    <t>QTECH 1/4"X2M HOSE 61402ETD</t>
  </si>
  <si>
    <t>00852299</t>
  </si>
  <si>
    <t>QTECH 1/4"X3M HOSE 61403ETD</t>
  </si>
  <si>
    <t>00611782</t>
  </si>
  <si>
    <t>QTECH 1M WHIP HOSE 63601EET</t>
  </si>
  <si>
    <t>00611349</t>
  </si>
  <si>
    <t>QTECH 600-810      240 VOLT   TRITECH T5</t>
  </si>
  <si>
    <t>00647215</t>
  </si>
  <si>
    <t>QTECH ALUMIN 36X9" PT SHIELD  28000</t>
  </si>
  <si>
    <t>00647216</t>
  </si>
  <si>
    <t>QTECH ALUMIN 48X9" PT SHIELD  28040</t>
  </si>
  <si>
    <t>00610670</t>
  </si>
  <si>
    <t>QTECH BALL GUIDE   QP00008</t>
  </si>
  <si>
    <t>00610712</t>
  </si>
  <si>
    <t>QTECH CORE SPRING  600-240</t>
  </si>
  <si>
    <t>00611180</t>
  </si>
  <si>
    <t>QTECH DRAIN TUBE   QP00014A   QP021</t>
  </si>
  <si>
    <t>00611565</t>
  </si>
  <si>
    <t>QTECH GRAVITY GUN  10-1051    HVLP</t>
  </si>
  <si>
    <t>00647219</t>
  </si>
  <si>
    <t>QTECH HOSE 3/8" X  15M ASSEML 63815FFTD</t>
  </si>
  <si>
    <t>00611558</t>
  </si>
  <si>
    <t>QTECH HVLP 110V GG 10-1004    QTECH3</t>
  </si>
  <si>
    <t>00611562</t>
  </si>
  <si>
    <t>QTECH HVLP 110V GG 10-1012    QTECH5</t>
  </si>
  <si>
    <t>00611556</t>
  </si>
  <si>
    <t>QTECH HVLP 110V SG 10-1000    QTECH3</t>
  </si>
  <si>
    <t>00611560</t>
  </si>
  <si>
    <t>QTECH HVLP 110V SG 10-1008    QTECH5</t>
  </si>
  <si>
    <t>00611563</t>
  </si>
  <si>
    <t>QTECH HVLP 240V GG 10-1013    QTECH5</t>
  </si>
  <si>
    <t>00611561</t>
  </si>
  <si>
    <t>QTECH HVLP 240V SG 10-1009    QTECH5</t>
  </si>
  <si>
    <t>00852322</t>
  </si>
  <si>
    <t>QTECH HVLP NDL NOZ #4 1.5MM   10-2026</t>
  </si>
  <si>
    <t>00852323</t>
  </si>
  <si>
    <t>QTECH HVLP NDL NOZ #5 1.8MM   10-2027</t>
  </si>
  <si>
    <t>00852435</t>
  </si>
  <si>
    <t>QTECH HVLP NYLON   STRAINER   10-2059</t>
  </si>
  <si>
    <t>00852334</t>
  </si>
  <si>
    <t>QTECH HVLP REMOTE  POT 2LT    10-2036</t>
  </si>
  <si>
    <t>00852434</t>
  </si>
  <si>
    <t>QTECH HVLP SG      CLEAN KIT  10-2020</t>
  </si>
  <si>
    <t>00647233</t>
  </si>
  <si>
    <t>QTECH HVLP TUR GUN PAT ADJ AS QTG-6A QT3</t>
  </si>
  <si>
    <t>00647232</t>
  </si>
  <si>
    <t>QTECH HVLP TUR GUN VENT TU AS QTG-33 QT3</t>
  </si>
  <si>
    <t>00647234</t>
  </si>
  <si>
    <t>QTECH HVLP TURB    MAIN FILTR QT3-51 QT3</t>
  </si>
  <si>
    <t>00647235</t>
  </si>
  <si>
    <t>QTECH HVLP TURB    PRIM FILTR QT3-53 QT3</t>
  </si>
  <si>
    <t>00647132</t>
  </si>
  <si>
    <t>QTECH IN LINE GUN  670-G ASM</t>
  </si>
  <si>
    <t>00610672</t>
  </si>
  <si>
    <t>QTECH O-RING S31.5 QP00030</t>
  </si>
  <si>
    <t>00852347</t>
  </si>
  <si>
    <t>QTECH P TUBE CHECK VALVE PK5  10-2001</t>
  </si>
  <si>
    <t>00647113</t>
  </si>
  <si>
    <t>QTECH PACKING KIT  QP00016    QP019/021/</t>
  </si>
  <si>
    <t>00647114</t>
  </si>
  <si>
    <t>QTECH PACKING KIT  QP036-9    QP031/036</t>
  </si>
  <si>
    <t>00611341</t>
  </si>
  <si>
    <t>QTECH PISTON                  QP019-53-Q</t>
  </si>
  <si>
    <t>00611338</t>
  </si>
  <si>
    <t>QTECH PISTON       QP00025    QP021/QP02</t>
  </si>
  <si>
    <t>00611358</t>
  </si>
  <si>
    <t>QTECH PRESS GUAGE  120-625</t>
  </si>
  <si>
    <t>00647209</t>
  </si>
  <si>
    <t>QTECH QLUBE PISTON LUBE 946ML Q400-006</t>
  </si>
  <si>
    <t>00611784</t>
  </si>
  <si>
    <t>QTECH QP00111T</t>
  </si>
  <si>
    <t>00852311</t>
  </si>
  <si>
    <t>QTECH QT190        110V</t>
  </si>
  <si>
    <t>00852312</t>
  </si>
  <si>
    <t>QTECH QT190        240V</t>
  </si>
  <si>
    <t>00852313</t>
  </si>
  <si>
    <t>QTECH QT290        110V</t>
  </si>
  <si>
    <t>00852314</t>
  </si>
  <si>
    <t>QTECH QT290        240V</t>
  </si>
  <si>
    <t>00647223</t>
  </si>
  <si>
    <t>QTECH QT3 HVLP SIL P TURB GUN MO-745</t>
  </si>
  <si>
    <t>00852317</t>
  </si>
  <si>
    <t>QTECH QT650        110V</t>
  </si>
  <si>
    <t>00610532</t>
  </si>
  <si>
    <t>QTECH QTECH O RING QP00004</t>
  </si>
  <si>
    <t>00611077</t>
  </si>
  <si>
    <t>QTECH ROUGH ROLLER COVER 9"   7724</t>
  </si>
  <si>
    <t>00610673</t>
  </si>
  <si>
    <t>QTECH SEAL SEAT    QP00031</t>
  </si>
  <si>
    <t>00611488</t>
  </si>
  <si>
    <t>QTECH T36/T720     SEAL       501-018</t>
  </si>
  <si>
    <t>00611332</t>
  </si>
  <si>
    <t>QTECH TIP 18"      QC917 FAN  QC917</t>
  </si>
  <si>
    <t>00611246</t>
  </si>
  <si>
    <t>QTECH TIP EXTENSON 6"         110-206</t>
  </si>
  <si>
    <t>00610531</t>
  </si>
  <si>
    <t>QTECH TT PAINT HOP ASSEMBLY   600-556</t>
  </si>
  <si>
    <t>00731355</t>
  </si>
  <si>
    <t>RODO  10SHT COARSE SANDPAPER  FFJASP10C</t>
  </si>
  <si>
    <t>00731353</t>
  </si>
  <si>
    <t>RODO  10SHT FINE   SANDPAPER  FFJASP10F</t>
  </si>
  <si>
    <t>00731354</t>
  </si>
  <si>
    <t>RODO  10STH MEDIUM SANDPAPER  FFJAP10M</t>
  </si>
  <si>
    <t>00631555</t>
  </si>
  <si>
    <t>RODO  18'X12' BLUE TARPAULIN  CNT1812</t>
  </si>
  <si>
    <t>00718752</t>
  </si>
  <si>
    <t>RODO  2" FILLING   KNIFE(BLK) (.FFJFK2)</t>
  </si>
  <si>
    <t>00718749</t>
  </si>
  <si>
    <t>RODO  2" SCRAPER   BLACK HAND  (FFJPS2)</t>
  </si>
  <si>
    <t>00736317</t>
  </si>
  <si>
    <t>RODO  2.5L PLASTIC PAINT CAN  7PC</t>
  </si>
  <si>
    <t>00718738</t>
  </si>
  <si>
    <t>RODO  24" TRIMMING EDGE       (TE241S)</t>
  </si>
  <si>
    <t>00718753</t>
  </si>
  <si>
    <t>RODO  3" FILLING   KNIFE(BLK) (FFJFK3)</t>
  </si>
  <si>
    <t>00718750</t>
  </si>
  <si>
    <t>RODO  3" SCRAPER   BLACK HAND (6)(FFJPS3</t>
  </si>
  <si>
    <t>00608352</t>
  </si>
  <si>
    <t>RODO  4" FRAME     21" LONG   PRFR014</t>
  </si>
  <si>
    <t>00739012</t>
  </si>
  <si>
    <t>RODO  4" ROLLERSET MED PILE   ARRF007</t>
  </si>
  <si>
    <t>00739011</t>
  </si>
  <si>
    <t>RODO  4" ROLLERSET SHORT PILE ARRF001</t>
  </si>
  <si>
    <t>00618099</t>
  </si>
  <si>
    <t>RODO  4PC FLOOR    PAINT KIT</t>
  </si>
  <si>
    <t>00615243</t>
  </si>
  <si>
    <t>RODO  600MM SQUARE WORKSTATIO ALUMINIUM</t>
  </si>
  <si>
    <t>00633321</t>
  </si>
  <si>
    <t>RODO  8P TIGER SET ROLL FRAME</t>
  </si>
  <si>
    <t>00608346</t>
  </si>
  <si>
    <t>RODO  9" MASONRY   ROLLER SET PRRF006</t>
  </si>
  <si>
    <t>00732311</t>
  </si>
  <si>
    <t>RODO  9" X 1.5"    TITAN FRM  ARFR002</t>
  </si>
  <si>
    <t>00732309</t>
  </si>
  <si>
    <t>RODO  9" X 1.75"   WOOD FRAME PRFR007</t>
  </si>
  <si>
    <t>00731719</t>
  </si>
  <si>
    <t>RODO  9"ROLLER KIT 2 SLEEVES  PSSETH</t>
  </si>
  <si>
    <t>00731720</t>
  </si>
  <si>
    <t>RODO  9"ROLLER KIT 3 SLEEVES  PSET3H</t>
  </si>
  <si>
    <t>00718925</t>
  </si>
  <si>
    <t>RODO  ADAPTOR FOR  STRUCTRON  POLES (SEA</t>
  </si>
  <si>
    <t>00727164</t>
  </si>
  <si>
    <t>RODO  ALU EXT POLE PREX002    4'-7'</t>
  </si>
  <si>
    <t>00615706</t>
  </si>
  <si>
    <t>RODO  BACK PRINT   100 PLUS</t>
  </si>
  <si>
    <t>00615707</t>
  </si>
  <si>
    <t>RODO  BREAST PRINT 100 PLUS</t>
  </si>
  <si>
    <t>00727165</t>
  </si>
  <si>
    <t>RODO  BUTTON POLE  AREX001    2'-4'</t>
  </si>
  <si>
    <t>00727166</t>
  </si>
  <si>
    <t>RODO  BUTTON POLE  AREX005    4'-8'</t>
  </si>
  <si>
    <t>00727249</t>
  </si>
  <si>
    <t>RODO  DBL GLS SLV  12"        PRRE026</t>
  </si>
  <si>
    <t>00739227</t>
  </si>
  <si>
    <t>RODO  DIAMOND      BRUSH 1"   FFJDB25</t>
  </si>
  <si>
    <t>00739228</t>
  </si>
  <si>
    <t>RODO  DIAMOND      BRUSH 1.5" FFJDB38</t>
  </si>
  <si>
    <t>00739232</t>
  </si>
  <si>
    <t>RODO  DIAMOND      BRUSH 2"   FFJDB50</t>
  </si>
  <si>
    <t>00739229</t>
  </si>
  <si>
    <t>RODO  DIAMOND      BRUSH 2.5" FFJDB63</t>
  </si>
  <si>
    <t>00739230</t>
  </si>
  <si>
    <t>RODO  DIAMOND      BRUSH 3"   FFJDB75</t>
  </si>
  <si>
    <t>00739231</t>
  </si>
  <si>
    <t>RODO  DIAMOND      BRUSH 4"   FFJDB100</t>
  </si>
  <si>
    <t>00739223</t>
  </si>
  <si>
    <t>RODO  DIAMOND 3PC  BRUSHSET   FFJDBS3</t>
  </si>
  <si>
    <t>00734742</t>
  </si>
  <si>
    <t>RODO  DIAMOND 5PCE BRUSHSET</t>
  </si>
  <si>
    <t>00732064</t>
  </si>
  <si>
    <t>RODO  EMULSION 9"  TRAY 9PT</t>
  </si>
  <si>
    <t>00727239</t>
  </si>
  <si>
    <t>RODO  EXT POLY SLV 9"         PRRE020</t>
  </si>
  <si>
    <t>00732048</t>
  </si>
  <si>
    <t>RODO  FFJ A/PURP   0.5" BRUSH</t>
  </si>
  <si>
    <t>00732049</t>
  </si>
  <si>
    <t>RODO  FFJ A/PURP   0.75"BRUSH</t>
  </si>
  <si>
    <t>00732050</t>
  </si>
  <si>
    <t>RODO  FFJ A/PURP   1" BRUSH</t>
  </si>
  <si>
    <t>00732085</t>
  </si>
  <si>
    <t>RODO  FFJ A/PURP   1.5" BRUSH</t>
  </si>
  <si>
    <t>00732051</t>
  </si>
  <si>
    <t>RODO  FFJ A/PURP   2" BRUSH</t>
  </si>
  <si>
    <t>00732052</t>
  </si>
  <si>
    <t>RODO  FFJ A/PURP   2.5" BRUSH</t>
  </si>
  <si>
    <t>00732053</t>
  </si>
  <si>
    <t>RODO  FFJ A/PURP   3" BRUSH</t>
  </si>
  <si>
    <t>00732054</t>
  </si>
  <si>
    <t>RODO  FFJ A/PURP   4" BRUSH</t>
  </si>
  <si>
    <t>00732055</t>
  </si>
  <si>
    <t>RODO  FFJ A/PURP   BRUSHSET   3PCE</t>
  </si>
  <si>
    <t>00732056</t>
  </si>
  <si>
    <t>RODO  FFJ A/PURP   BRUSHSET   5PCE</t>
  </si>
  <si>
    <t>00732067</t>
  </si>
  <si>
    <t>RODO  FFJ ASSORTED SANDPAPER  5SHEET</t>
  </si>
  <si>
    <t>00739225</t>
  </si>
  <si>
    <t>RODO  FFJ FINE MED SAND BLOCK FFJSBF</t>
  </si>
  <si>
    <t>00735468</t>
  </si>
  <si>
    <t>RODO  FFJ MASONRY  BLOCK BRSH FBBB004</t>
  </si>
  <si>
    <t>00739226</t>
  </si>
  <si>
    <t>RODO  FFJ MED CRSE SAND BLOCK FFJSBC</t>
  </si>
  <si>
    <t>00732078</t>
  </si>
  <si>
    <t>RODO  FFJ NO BRIST 1" BRUSH</t>
  </si>
  <si>
    <t>00732079</t>
  </si>
  <si>
    <t>RODO  FFJ NO BRIST 1.5"BRUSH</t>
  </si>
  <si>
    <t>00732080</t>
  </si>
  <si>
    <t>RODO  FFJ NO BRIST 2" BRUSH</t>
  </si>
  <si>
    <t>00732081</t>
  </si>
  <si>
    <t>RODO  FFJ NO BRIST 2.5" BRUSH</t>
  </si>
  <si>
    <t>00732082</t>
  </si>
  <si>
    <t>RODO  FFJ NO BRIST 3" BRUSH</t>
  </si>
  <si>
    <t>00732083</t>
  </si>
  <si>
    <t>RODO  FFJ NO BRIST 4" BRUSH</t>
  </si>
  <si>
    <t>00735467</t>
  </si>
  <si>
    <t>RODO  FFJ SHED&amp;FEN BLOCK BRSH FBBB003</t>
  </si>
  <si>
    <t>00615627</t>
  </si>
  <si>
    <t>RODO  FIBREGLASS 6 TREAD STEP LADDER</t>
  </si>
  <si>
    <t>00718754</t>
  </si>
  <si>
    <t>RODO  FILLING KNF  4" PACK(6) (FFJFK4)*N</t>
  </si>
  <si>
    <t>00727254</t>
  </si>
  <si>
    <t>RODO  FLR PAINT SL 12"        ARRE011</t>
  </si>
  <si>
    <t>00852381</t>
  </si>
  <si>
    <t>RODO  FOAM BRUSH   SET 1"2"3" FBS3P</t>
  </si>
  <si>
    <t>00727234</t>
  </si>
  <si>
    <t>RODO  FOAM GLS SLV 9"         PRRE012</t>
  </si>
  <si>
    <t>00722407</t>
  </si>
  <si>
    <t>RODO  GARMENT      GP1A25     0000001100</t>
  </si>
  <si>
    <t>00732177</t>
  </si>
  <si>
    <t>RODO  GLOSS PILE   9"X1.75"   PRRE002</t>
  </si>
  <si>
    <t>00727235</t>
  </si>
  <si>
    <t>RODO  GLS PILE SLV 9" X 6     PRRE013</t>
  </si>
  <si>
    <t>00727245</t>
  </si>
  <si>
    <t>RODO  H/D POLY SLV 9"         ARRE009</t>
  </si>
  <si>
    <t>00727251</t>
  </si>
  <si>
    <t>RODO  H/D WOVEN SL 12"        PRRE028</t>
  </si>
  <si>
    <t>00615708</t>
  </si>
  <si>
    <t>RODO  HELMET PRINT 100 PLUS</t>
  </si>
  <si>
    <t>00631406</t>
  </si>
  <si>
    <t>RODO  HI VIS VEST BACK LOGO ID POCKET</t>
  </si>
  <si>
    <t>00647334</t>
  </si>
  <si>
    <t>RODO  ICE 9"X1.75" FUSION SLV ARRE031</t>
  </si>
  <si>
    <t>00735162</t>
  </si>
  <si>
    <t>RODO  L/HAND TITAN HD SCRAPER</t>
  </si>
  <si>
    <t>00727244</t>
  </si>
  <si>
    <t>RODO  L/P POLY SLV 9"         ARRE008</t>
  </si>
  <si>
    <t>00727238</t>
  </si>
  <si>
    <t>RODO  L/P POLY SLV 9"         PRRE019</t>
  </si>
  <si>
    <t>00727246</t>
  </si>
  <si>
    <t>RODO  L/P S/SKIN   9"         SLV PRRE02</t>
  </si>
  <si>
    <t>00727241</t>
  </si>
  <si>
    <t>RODO  L/P WOVEN SL 9"         PREE015</t>
  </si>
  <si>
    <t>00718898</t>
  </si>
  <si>
    <t>RODO  LOW TACK     25MM - 1"  MASKING TA</t>
  </si>
  <si>
    <t>00718899</t>
  </si>
  <si>
    <t>RODO  LOW TACK     38MM-1.5"  MASKING TA</t>
  </si>
  <si>
    <t>00727253</t>
  </si>
  <si>
    <t>RODO  M/P MICRO SL 12"        ARRE010</t>
  </si>
  <si>
    <t>00727243</t>
  </si>
  <si>
    <t>RODO  M/P MICRO SL 9"         ARRE07</t>
  </si>
  <si>
    <t>00727237</t>
  </si>
  <si>
    <t>RODO  M/P POLY SLV 9"         PRRE018</t>
  </si>
  <si>
    <t>00718706</t>
  </si>
  <si>
    <t>RODO  MASKING 12MP PAPER 12"  PRICE CHAN</t>
  </si>
  <si>
    <t>00732061</t>
  </si>
  <si>
    <t>RODO  MASONRY      4" BRUSH   PR4GY</t>
  </si>
  <si>
    <t>00727167</t>
  </si>
  <si>
    <t>RODO  MASONRY KIT  PRKT004</t>
  </si>
  <si>
    <t>00739034</t>
  </si>
  <si>
    <t>RODO  MINI ROLLER  KIT 4 INCH 10PK</t>
  </si>
  <si>
    <t>00732063</t>
  </si>
  <si>
    <t>RODO  MINI ROLLER  TRAY MRT</t>
  </si>
  <si>
    <t>00852379</t>
  </si>
  <si>
    <t>RODO  PAINT PAD 6" X4" CLICK  FFJCSPP</t>
  </si>
  <si>
    <t>00722480</t>
  </si>
  <si>
    <t>RODO  PAPERHANGING 7" BRUSH   FFJ7RP</t>
  </si>
  <si>
    <t>00727133</t>
  </si>
  <si>
    <t>RODO  PICTURE HANGING KIT (8)</t>
  </si>
  <si>
    <t>00718838</t>
  </si>
  <si>
    <t>RODO  PLASTIC 15"  TRAY       RT15PB (IR</t>
  </si>
  <si>
    <t>00718760</t>
  </si>
  <si>
    <t>RODO  POLE SANDER  HANDLE     (SPH)</t>
  </si>
  <si>
    <t>00718957</t>
  </si>
  <si>
    <t>RODO  POLY D/SHEET 12X9       (FFJ129P)N</t>
  </si>
  <si>
    <t>00649833</t>
  </si>
  <si>
    <t>RODO  POUCH MATE   PRO AD SML AWPMS</t>
  </si>
  <si>
    <t>00639948</t>
  </si>
  <si>
    <t>RODO  PRECISION    1" LOW TAC ATMT006</t>
  </si>
  <si>
    <t>00639949</t>
  </si>
  <si>
    <t>RODO  PRECISION    1.5" LOW T ATMT007</t>
  </si>
  <si>
    <t>00639950</t>
  </si>
  <si>
    <t>RODO  PRECISION    2" LOW TAC ATMT008</t>
  </si>
  <si>
    <t>00649822</t>
  </si>
  <si>
    <t>RODO  PRO ADV 32"  TROUSERS   AWTR32R</t>
  </si>
  <si>
    <t>00649824</t>
  </si>
  <si>
    <t>RODO  PRO ADV 36"  TROUSERS   AWTR36R</t>
  </si>
  <si>
    <t>00649825</t>
  </si>
  <si>
    <t>RODO  PRO ADV 38"  TROUSERS   AWTR38R</t>
  </si>
  <si>
    <t>00639942</t>
  </si>
  <si>
    <t>RODO  PRODEC DECOR 4" BRUSH   PBPT037</t>
  </si>
  <si>
    <t>00639694</t>
  </si>
  <si>
    <t>RODO  PRODEC DECOR BRUSH 2.5" PBPT035</t>
  </si>
  <si>
    <t>00718699</t>
  </si>
  <si>
    <t>RODO  PRODEC MASON SLEEVE 10" (518700)</t>
  </si>
  <si>
    <t>00608362</t>
  </si>
  <si>
    <t>RODO  PRODEC MIXED FITCH SET  PBRC001</t>
  </si>
  <si>
    <t>00639931</t>
  </si>
  <si>
    <t>RODO  PRODEC PREM  1" BRUSH   PBPT042</t>
  </si>
  <si>
    <t>00639941</t>
  </si>
  <si>
    <t>RODO  PRODEC PREM  2" CUT IN  PBPT053</t>
  </si>
  <si>
    <t>00718839</t>
  </si>
  <si>
    <t>RODO  PRODEC PUSH  FRAME 10"  (SS714)</t>
  </si>
  <si>
    <t>00718932</t>
  </si>
  <si>
    <t>RODO  PROFLEX      PAPFV60    60 GRIT 5M</t>
  </si>
  <si>
    <t>00718933</t>
  </si>
  <si>
    <t>RODO  PROFLEX SANDING PAPER 80GRIT MED</t>
  </si>
  <si>
    <t>00727257</t>
  </si>
  <si>
    <t>RODO  S/FIT COM FR 9"         PRF009</t>
  </si>
  <si>
    <t>00727255</t>
  </si>
  <si>
    <t>RODO  S/FIT PLS FM 9"         PRF002</t>
  </si>
  <si>
    <t>00727256</t>
  </si>
  <si>
    <t>RODO  S/FIT WD FRM 9"         PRF003</t>
  </si>
  <si>
    <t>00727242</t>
  </si>
  <si>
    <t>RODO  S/P MICRO SL 9"         ARRE006</t>
  </si>
  <si>
    <t>00727236</t>
  </si>
  <si>
    <t>RODO  S/P POLY SLV 9"         PRRE017</t>
  </si>
  <si>
    <t>00718808</t>
  </si>
  <si>
    <t>RODO  SHED/FENCE   BRUSH4"(6) FFJSFB</t>
  </si>
  <si>
    <t>00732180</t>
  </si>
  <si>
    <t>RODO  SHORT PILE   9"X1.75"   PRRE006</t>
  </si>
  <si>
    <t>00727248</t>
  </si>
  <si>
    <t>RODO  STICK LP SLV 10"        PRRE025</t>
  </si>
  <si>
    <t>00727247</t>
  </si>
  <si>
    <t>RODO  STICK MP SLV 10"        PRRE024</t>
  </si>
  <si>
    <t>00727250</t>
  </si>
  <si>
    <t>RODO  TIG MP WOV   12"        SLV PRRE02</t>
  </si>
  <si>
    <t>00727168</t>
  </si>
  <si>
    <t>RODO  TIGER MP KIT PRRT004 9"</t>
  </si>
  <si>
    <t>00727240</t>
  </si>
  <si>
    <t>RODO  TIGER MP SLV 9"         PREE014</t>
  </si>
  <si>
    <t>00727169</t>
  </si>
  <si>
    <t>RODO  WG EXT D/SHT P126WG     12'X6'</t>
  </si>
  <si>
    <t>00722532</t>
  </si>
  <si>
    <t>RODO  WINDOW       SCRAPER</t>
  </si>
  <si>
    <t>00718769</t>
  </si>
  <si>
    <t>RODO  WIRE BRUSH   4 ROW *12* (BWB4)</t>
  </si>
  <si>
    <t>00733839</t>
  </si>
  <si>
    <t>RODO  WOODWORKER   BRUSH 2IN</t>
  </si>
  <si>
    <t>00256301</t>
  </si>
  <si>
    <t>S ECOFLEET 530 BLACK        800000EU1500</t>
  </si>
  <si>
    <t>00180438</t>
  </si>
  <si>
    <t>S ECOFLEET 530 BLACK        800000EU2200</t>
  </si>
  <si>
    <t>00242163</t>
  </si>
  <si>
    <t>S ECOFLEET 530 BLUE         100000EU1500</t>
  </si>
  <si>
    <t>00230906</t>
  </si>
  <si>
    <t>S ECOFLEET 530 BLUE         100000EU2200</t>
  </si>
  <si>
    <t>00146096</t>
  </si>
  <si>
    <t>S ECOFLEET 530 BROWN        200000EU2200</t>
  </si>
  <si>
    <t>00242162</t>
  </si>
  <si>
    <t>S ECOFLEET 530 REDBROWN     200800EU1500</t>
  </si>
  <si>
    <t>00146095</t>
  </si>
  <si>
    <t>S ECOFLEET 530 REDBROWN     200800EU2200</t>
  </si>
  <si>
    <t>00164865</t>
  </si>
  <si>
    <t>S ECOFLEET530 SPRUCE GREEN 16D4530EU2200</t>
  </si>
  <si>
    <t>00239485</t>
  </si>
  <si>
    <t>S EP 110 PRI SET BS          08C35302200</t>
  </si>
  <si>
    <t>00251061</t>
  </si>
  <si>
    <t>S EP 111 PRI SET              3005002200</t>
  </si>
  <si>
    <t>00267332</t>
  </si>
  <si>
    <t>S EP 112 MIOCOAT SET          9500051400</t>
  </si>
  <si>
    <t>00251065</t>
  </si>
  <si>
    <t>S EP 112 MIOCOAT SET          9500052200</t>
  </si>
  <si>
    <t>00271218</t>
  </si>
  <si>
    <t>S EP 112 MIOCOAT SET DARKGREY 9501051400</t>
  </si>
  <si>
    <t>00271219</t>
  </si>
  <si>
    <t>S EP 112 MIOCOAT SET DARKGREY 9501052200</t>
  </si>
  <si>
    <t>00239842</t>
  </si>
  <si>
    <t>S EP 159 SEALER SET           0000001400</t>
  </si>
  <si>
    <t>00131931</t>
  </si>
  <si>
    <t>S ETCH                      000000EU1500</t>
  </si>
  <si>
    <t>00129937</t>
  </si>
  <si>
    <t>S RAPID DRY FLOOR PAINT GREY 9-096001500</t>
  </si>
  <si>
    <t>00129925</t>
  </si>
  <si>
    <t>S RAPID DRY FLOOR PAINT RED  1-024001500</t>
  </si>
  <si>
    <t>00312075</t>
  </si>
  <si>
    <t>S'COVER 2 SET BLACK           8000001400</t>
  </si>
  <si>
    <t>00312076</t>
  </si>
  <si>
    <t>S'COVER 2 SET BLACK           8000002200</t>
  </si>
  <si>
    <t>00331922</t>
  </si>
  <si>
    <t>S'COVER 2 SET BS 00A05       00A05301400</t>
  </si>
  <si>
    <t>00331921</t>
  </si>
  <si>
    <t>S'COVER 2 SET BS 00A05       00A05302200</t>
  </si>
  <si>
    <t>00331920</t>
  </si>
  <si>
    <t>S'COVER 2 SET WHITE           7000001400</t>
  </si>
  <si>
    <t>00331919</t>
  </si>
  <si>
    <t>S'COVER 2 SET WHITE           7000002200</t>
  </si>
  <si>
    <t>00179629</t>
  </si>
  <si>
    <t>S'COVER 256 SET CREAM         3012001400</t>
  </si>
  <si>
    <t>00179630</t>
  </si>
  <si>
    <t>S'COVER 256 SET CREAM         3012002200</t>
  </si>
  <si>
    <t>00184149</t>
  </si>
  <si>
    <t>S'COVER 280 SET GREY          5000001400</t>
  </si>
  <si>
    <t>00185279</t>
  </si>
  <si>
    <t>S'COVER 280 SET GREY          5000002200</t>
  </si>
  <si>
    <t>00179084</t>
  </si>
  <si>
    <t>S'COVER 280 SET REDBROWN      6137001400</t>
  </si>
  <si>
    <t>00179085</t>
  </si>
  <si>
    <t>S'COVER 280 SET REDBROWN      6137002200</t>
  </si>
  <si>
    <t>00179081</t>
  </si>
  <si>
    <t>S'COVER 280 SET YEL/GR        4009001400</t>
  </si>
  <si>
    <t>00179083</t>
  </si>
  <si>
    <t>S'COVER 280 SET YEL/GR        4009002200</t>
  </si>
  <si>
    <t>00352241</t>
  </si>
  <si>
    <t>S'COVER 350 LT SET ALU        9000002200</t>
  </si>
  <si>
    <t>00246239</t>
  </si>
  <si>
    <t>S'COVER 350 LT SET GREY       5177052200</t>
  </si>
  <si>
    <t>00246240</t>
  </si>
  <si>
    <t>S'COVER 350 LT SET REDBROWN   6179052200</t>
  </si>
  <si>
    <t>00347323</t>
  </si>
  <si>
    <t>S'COVER 350 SET ALUMINIUM     9000002200</t>
  </si>
  <si>
    <t>00220296</t>
  </si>
  <si>
    <t>S'COVER 350 SET GREY          5177052200</t>
  </si>
  <si>
    <t>00272758</t>
  </si>
  <si>
    <t>S'COVER 350 SET REDBROWN      6179051400</t>
  </si>
  <si>
    <t>00220298</t>
  </si>
  <si>
    <t>S'COVER 350 SET REDBROWN      6179052200</t>
  </si>
  <si>
    <t>00311594</t>
  </si>
  <si>
    <t>S'COVER 380 SET BLACK         8000002200</t>
  </si>
  <si>
    <t>00250041</t>
  </si>
  <si>
    <t>S'COVER 380 SET GREEN         4100052200</t>
  </si>
  <si>
    <t>00272768</t>
  </si>
  <si>
    <t>S'COVER 380 SET GREY          5100051400</t>
  </si>
  <si>
    <t>00250043</t>
  </si>
  <si>
    <t>S'COVER 380 SET GREY          5100052200</t>
  </si>
  <si>
    <t>00332016</t>
  </si>
  <si>
    <t>S'COVER 400 SET ALUMINIUM     9000001400</t>
  </si>
  <si>
    <t>00332015</t>
  </si>
  <si>
    <t>S'COVER 400 SET ALUMINIUM     9000002200</t>
  </si>
  <si>
    <t>00312059</t>
  </si>
  <si>
    <t>S'COVER 400 SET BLACK         8000001400</t>
  </si>
  <si>
    <t>00312060</t>
  </si>
  <si>
    <t>S'COVER 400 SET BLACK         8000002200</t>
  </si>
  <si>
    <t>00331890</t>
  </si>
  <si>
    <t>S'COVER 400 SET BS 00A05     00A05301400</t>
  </si>
  <si>
    <t>00331889</t>
  </si>
  <si>
    <t>S'COVER 400 SET BS 00A05     00A05302200</t>
  </si>
  <si>
    <t>00331888</t>
  </si>
  <si>
    <t>S'COVER 400 SET WHITE         7000001400</t>
  </si>
  <si>
    <t>00331887</t>
  </si>
  <si>
    <t>S'COVER 400 SET WHITE         7000002200</t>
  </si>
  <si>
    <t>00299392</t>
  </si>
  <si>
    <t>S'COVER 410 SET MIO DARKGREY  9120052200</t>
  </si>
  <si>
    <t>00299388</t>
  </si>
  <si>
    <t>S'COVER 410 SET MIO LIGHTGREY 9110052200</t>
  </si>
  <si>
    <t>00250029</t>
  </si>
  <si>
    <t>S'COVER 410 SET OFFWHITE      7001002200</t>
  </si>
  <si>
    <t>00153150</t>
  </si>
  <si>
    <t>S'COVER 435 SET               9558051400</t>
  </si>
  <si>
    <t>00179024</t>
  </si>
  <si>
    <t>S'COVER 435 SET LIGHTGREY     9553051400</t>
  </si>
  <si>
    <t>00179025</t>
  </si>
  <si>
    <t>S'COVER 435 SET LIGHTGREY     9553052200</t>
  </si>
  <si>
    <t>00215902</t>
  </si>
  <si>
    <t>S'COVER 456 HS SET RAL        9010262200</t>
  </si>
  <si>
    <t>00179078</t>
  </si>
  <si>
    <t>S'COVER 456 SET BLACK         8000001400</t>
  </si>
  <si>
    <t>00179079</t>
  </si>
  <si>
    <t>S'COVER 456 SET BLACK         8000002200</t>
  </si>
  <si>
    <t>00141370</t>
  </si>
  <si>
    <t>S'COVER 456 SET BS           00A05301400</t>
  </si>
  <si>
    <t>00141371</t>
  </si>
  <si>
    <t>S'COVER 456 SET BS           00A05302200</t>
  </si>
  <si>
    <t>00179057</t>
  </si>
  <si>
    <t>S'COVER 456 SET GREY          5163052200</t>
  </si>
  <si>
    <t>00179061</t>
  </si>
  <si>
    <t>S'COVER 456 SET GREY          5177052200</t>
  </si>
  <si>
    <t>00292122</t>
  </si>
  <si>
    <t>S'COVER 456 SET RAL           1004261400</t>
  </si>
  <si>
    <t>00179072</t>
  </si>
  <si>
    <t>S'COVER 456 SET WHITE         7000001400</t>
  </si>
  <si>
    <t>00179073</t>
  </si>
  <si>
    <t>S'COVER 456 SET WHITE         7000002200</t>
  </si>
  <si>
    <t>00179509</t>
  </si>
  <si>
    <t>S'COVER 522 SET GREEN         9048051400</t>
  </si>
  <si>
    <t>00179510</t>
  </si>
  <si>
    <t>S'COVER 522 SET GREEN         9048052200</t>
  </si>
  <si>
    <t>00328960</t>
  </si>
  <si>
    <t>S'COVER 555 SET BLACK        N8000002200</t>
  </si>
  <si>
    <t>00179332</t>
  </si>
  <si>
    <t>S'COVER 690 SET LIGHT         0200001400</t>
  </si>
  <si>
    <t>00179333</t>
  </si>
  <si>
    <t>S'COVER 690 SET LIGHT         0200002200</t>
  </si>
  <si>
    <t>00247858</t>
  </si>
  <si>
    <t>S'COVER 805 SET BLACK         8000001400</t>
  </si>
  <si>
    <t>00182348</t>
  </si>
  <si>
    <t>S'COVER 805 SET BLACK         8000002200</t>
  </si>
  <si>
    <t>00182345</t>
  </si>
  <si>
    <t>S'COVER 805 SET OFFWHITE      7001002200</t>
  </si>
  <si>
    <t>00436149</t>
  </si>
  <si>
    <t>SD A'LOCK 2C SET (X)        XXXXCCEU2200</t>
  </si>
  <si>
    <t>00226577</t>
  </si>
  <si>
    <t>SD AQUACOVER 400 SET (X)     XXXXCCC1400</t>
  </si>
  <si>
    <t>00226576</t>
  </si>
  <si>
    <t>SD AQUACOVER 400 SET (X)     XXXXCCC2160</t>
  </si>
  <si>
    <t>00440936</t>
  </si>
  <si>
    <t>SD AQUACOVER 400 SET (X)    XXXXCCEU1400</t>
  </si>
  <si>
    <t>00440937</t>
  </si>
  <si>
    <t>SD AQUACOVER 400 SET (X)    XXXXCCEU2160</t>
  </si>
  <si>
    <t>00386632</t>
  </si>
  <si>
    <t>SD NUKLAD SL SET COLOR +FIL XXXXCCEU2250</t>
  </si>
  <si>
    <t>00316385</t>
  </si>
  <si>
    <t>SD PSX 700 SET (X)          XXXXCCEU1500</t>
  </si>
  <si>
    <t>00316386</t>
  </si>
  <si>
    <t>SD PSX 700 SET (X)          XXXXCCEU2200</t>
  </si>
  <si>
    <t>00331931</t>
  </si>
  <si>
    <t>SD S'COVER 2 SET (X)        XXXXCCEU1400</t>
  </si>
  <si>
    <t>00331930</t>
  </si>
  <si>
    <t>SD S'COVER 2 SET (X)        XXXXCCEU2200</t>
  </si>
  <si>
    <t>00228252</t>
  </si>
  <si>
    <t>SD S'COVER 256 SET          XXXXCCEU1400</t>
  </si>
  <si>
    <t>00217190</t>
  </si>
  <si>
    <t>SD S'COVER 256 SET          XXXXCCEU2200</t>
  </si>
  <si>
    <t>00326978</t>
  </si>
  <si>
    <t>SD S'COVER 350 LT SET (X)   XXXXCCEU2200</t>
  </si>
  <si>
    <t>00318281</t>
  </si>
  <si>
    <t>SD S'COVER 350 SET (X)      XXXXCCEU2200</t>
  </si>
  <si>
    <t>00331900</t>
  </si>
  <si>
    <t>SD S'COVER 400 SET (X)      XXXXCCEU1400</t>
  </si>
  <si>
    <t>00331899</t>
  </si>
  <si>
    <t>SD S'COVER 400 SET (X)      XXXXCCEU2200</t>
  </si>
  <si>
    <t>00192435</t>
  </si>
  <si>
    <t>SD S'COVER 456 HS SET (X)   XXXXCCEU1400</t>
  </si>
  <si>
    <t>00192447</t>
  </si>
  <si>
    <t>SD S'COVER 456 HS SET (X)   XXXXCCEU2200</t>
  </si>
  <si>
    <t>00192454</t>
  </si>
  <si>
    <t>SD S'COVER 456 SET (X)      XXXXCCEU1400</t>
  </si>
  <si>
    <t>00192455</t>
  </si>
  <si>
    <t>SD S'COVER 456 SET (X)      XXXXCCEU2200</t>
  </si>
  <si>
    <t>00246324</t>
  </si>
  <si>
    <t>SD S'DUR 1800 SET (X)       XXXXCCEU1400</t>
  </si>
  <si>
    <t>00246328</t>
  </si>
  <si>
    <t>SD S'DUR 1800 SET (X)       XXXXCCEU2200</t>
  </si>
  <si>
    <t>00202826</t>
  </si>
  <si>
    <t>SD S'DUR 520 SET (X)        XXXXCCEU2200</t>
  </si>
  <si>
    <t>00202827</t>
  </si>
  <si>
    <t>SD S'DUR 540 SET (X)        XXXXCCEU1400</t>
  </si>
  <si>
    <t>00202828</t>
  </si>
  <si>
    <t>SD S'DUR 540 SET (X)        XXXXCCEU2200</t>
  </si>
  <si>
    <t>00332556</t>
  </si>
  <si>
    <t>SD S'DUR 550H SET (X)       XXXXCCEU1400</t>
  </si>
  <si>
    <t>00324601</t>
  </si>
  <si>
    <t>SD S'DUR 550H SET (X)       XXXXCCEU2200</t>
  </si>
  <si>
    <t>00320432</t>
  </si>
  <si>
    <t>SD S'FAST 205 LT SET (X)    XXXXCCEU1400</t>
  </si>
  <si>
    <t>00320433</t>
  </si>
  <si>
    <t>SD S'FAST 205 LT SET (X)    XXXXCCEU2200</t>
  </si>
  <si>
    <t>00227252</t>
  </si>
  <si>
    <t>SD S'FAST 205 SET(X)        XXXXCCEU1400</t>
  </si>
  <si>
    <t>00227253</t>
  </si>
  <si>
    <t>SD S'FAST 205 SET(X)        XXXXCCEU2200</t>
  </si>
  <si>
    <t>00365420</t>
  </si>
  <si>
    <t>SD S'FAST 210 HS SET (X)    XXXXCCEU1400</t>
  </si>
  <si>
    <t>00365421</t>
  </si>
  <si>
    <t>SD S'FAST 210 HS SET (X)    XXXXCCEU2200</t>
  </si>
  <si>
    <t>00345822</t>
  </si>
  <si>
    <t>SD S'FAST 278 SET (X)         XXXXCC1400</t>
  </si>
  <si>
    <t>00345821</t>
  </si>
  <si>
    <t>SD S'FAST 278 SET (X)         XXXXCC2200</t>
  </si>
  <si>
    <t>00437912</t>
  </si>
  <si>
    <t>SD S'FAST 278 SET (X)      NXXXXCCEU1400</t>
  </si>
  <si>
    <t>00437913</t>
  </si>
  <si>
    <t>SD S'FAST 278 SET (X)      NXXXXCCEU2200</t>
  </si>
  <si>
    <t>00346487</t>
  </si>
  <si>
    <t>SD S'SHIELD 880 SET (X)     XXXXCCEU1400</t>
  </si>
  <si>
    <t>00323739</t>
  </si>
  <si>
    <t>SD S'SHIELD 880 SET (X)     XXXXCCEU2200</t>
  </si>
  <si>
    <t>00236081</t>
  </si>
  <si>
    <t>S'DUR 1800 SET WHITE          7000002200</t>
  </si>
  <si>
    <t>00312276</t>
  </si>
  <si>
    <t>S'DUR 520 SET ALU DARK        9001002200</t>
  </si>
  <si>
    <t>00312273</t>
  </si>
  <si>
    <t>S'DUR 520 SET ALU LIGHT       9000001400</t>
  </si>
  <si>
    <t>00312274</t>
  </si>
  <si>
    <t>S'DUR 520 SET ALU LIGHT       9000002200</t>
  </si>
  <si>
    <t>00181858</t>
  </si>
  <si>
    <t>S'DUR 520 SET RAL             7035262200</t>
  </si>
  <si>
    <t>00180149</t>
  </si>
  <si>
    <t>S'DUR 520 SET RAL             9010262200</t>
  </si>
  <si>
    <t>00239976</t>
  </si>
  <si>
    <t>S'DUR 550 SET BLACK           8000002200</t>
  </si>
  <si>
    <t>00240482</t>
  </si>
  <si>
    <t>S'DUR 550 SET GREEN           4199052200</t>
  </si>
  <si>
    <t>00239995</t>
  </si>
  <si>
    <t>S'DUR 550 SET GREY            5177052200</t>
  </si>
  <si>
    <t>00242085</t>
  </si>
  <si>
    <t>S'DUR 550 SET REDBROWN        6179052200</t>
  </si>
  <si>
    <t>00192494</t>
  </si>
  <si>
    <t>S'DUR CLEARCOAT SET           0000CL1400</t>
  </si>
  <si>
    <t>00217280</t>
  </si>
  <si>
    <t>S'FAST 20 BLACK RAL         900526EU2200</t>
  </si>
  <si>
    <t>00311403</t>
  </si>
  <si>
    <t>S'FAST 20 DARK CAPE YELLOW  300500EU1500</t>
  </si>
  <si>
    <t>00261715</t>
  </si>
  <si>
    <t>S'FAST 20 GREY              500000EU2200</t>
  </si>
  <si>
    <t>00311401</t>
  </si>
  <si>
    <t>S'FAST 20 LIGHT BROWN       200500EU1500</t>
  </si>
  <si>
    <t>00312468</t>
  </si>
  <si>
    <t>S'FAST 20 OFFWHITE          700100EU1500</t>
  </si>
  <si>
    <t>00312469</t>
  </si>
  <si>
    <t>S'FAST 20 OFFWHITE          700100EU2200</t>
  </si>
  <si>
    <t>00181056</t>
  </si>
  <si>
    <t>S'FAST 20 RAL               703526EU2200</t>
  </si>
  <si>
    <t>00181054</t>
  </si>
  <si>
    <t>S'FAST 20 RAL               704226EU2200</t>
  </si>
  <si>
    <t>00199088</t>
  </si>
  <si>
    <t>S'FAST 20 REDBROWN          200800EU1500</t>
  </si>
  <si>
    <t>00178249</t>
  </si>
  <si>
    <t>S'FAST 20 REDBROWN          200800EU2200</t>
  </si>
  <si>
    <t>00317935</t>
  </si>
  <si>
    <t>S'FAST 205 LT SET RAL         3009262200</t>
  </si>
  <si>
    <t>00317936</t>
  </si>
  <si>
    <t>S'FAST 205 LT SET RAL         7001262200</t>
  </si>
  <si>
    <t>00314463</t>
  </si>
  <si>
    <t>S'FAST 205 LT SET RAL         7035262200</t>
  </si>
  <si>
    <t>00317937</t>
  </si>
  <si>
    <t>S'FAST 205 LT SET RAL         9010262200</t>
  </si>
  <si>
    <t>00276215</t>
  </si>
  <si>
    <t>S'FAST 205 SET RAL            3009262200</t>
  </si>
  <si>
    <t>00226810</t>
  </si>
  <si>
    <t>S'FAST 205 SET RAL            7001262200</t>
  </si>
  <si>
    <t>00226633</t>
  </si>
  <si>
    <t>S'FAST 205 SET RAL            7016262200</t>
  </si>
  <si>
    <t>00231235</t>
  </si>
  <si>
    <t>S'FAST 205 SET RAL            7035262200</t>
  </si>
  <si>
    <t>00242165</t>
  </si>
  <si>
    <t>S'FAST 205 SET RAL            9002262200</t>
  </si>
  <si>
    <t>00226812</t>
  </si>
  <si>
    <t>S'FAST 205 SET RAL            9010262200</t>
  </si>
  <si>
    <t>00386053</t>
  </si>
  <si>
    <t>S'FAST 210 HS SET RAL         7035262200</t>
  </si>
  <si>
    <t>00387470</t>
  </si>
  <si>
    <t>S'FAST 210 HS SET RAL         7046262200</t>
  </si>
  <si>
    <t>00373943</t>
  </si>
  <si>
    <t>S'FAST 210 HS SET RAL         9005262200</t>
  </si>
  <si>
    <t>00351817</t>
  </si>
  <si>
    <t>S'FAST 210 HS SET RAL         9010262200</t>
  </si>
  <si>
    <t>00436031</t>
  </si>
  <si>
    <t>S'FAST 278 SET CREAM         N3012002200</t>
  </si>
  <si>
    <t>00437802</t>
  </si>
  <si>
    <t>S'FAST 278 SET MIO DARK GREY N9120002200</t>
  </si>
  <si>
    <t>00437803</t>
  </si>
  <si>
    <t>S'FAST 278 SET OFFWHITE      N7001002200</t>
  </si>
  <si>
    <t>00437572</t>
  </si>
  <si>
    <t>S'FAST 278 SET RAL           N7035262200</t>
  </si>
  <si>
    <t>00437805</t>
  </si>
  <si>
    <t>S'FAST 278 SET RAL           N7046262200</t>
  </si>
  <si>
    <t>00437806</t>
  </si>
  <si>
    <t>S'FAST 278 SET REDBROWN      N2008002200</t>
  </si>
  <si>
    <t>00283315</t>
  </si>
  <si>
    <t>S'FAST 302 SET BLUEGREEN      1000002200</t>
  </si>
  <si>
    <t>00737189</t>
  </si>
  <si>
    <t>SFRES EDEN         18390 W/C</t>
  </si>
  <si>
    <t>00737230</t>
  </si>
  <si>
    <t>SFRES SUPERFRESCO  12015 W/C  WATERFALL</t>
  </si>
  <si>
    <t>00737185</t>
  </si>
  <si>
    <t>SFRES SUPERFRESCO  19018 W/C  FLOATING S</t>
  </si>
  <si>
    <t>00737190</t>
  </si>
  <si>
    <t>SFRES SUPERFRESCO  268 W/C    GEOMETRIC</t>
  </si>
  <si>
    <t>00181151</t>
  </si>
  <si>
    <t>S'GUARD 720 SET GREEN         4000001400</t>
  </si>
  <si>
    <t>00180730</t>
  </si>
  <si>
    <t>S'GUARD 720 SET GREEN         4000002200</t>
  </si>
  <si>
    <t>00179122</t>
  </si>
  <si>
    <t>S'GUARD 720 SET GREY          5000002200</t>
  </si>
  <si>
    <t>00191438</t>
  </si>
  <si>
    <t>S'GUARD 720 SET WHITE         7000001400</t>
  </si>
  <si>
    <t>00179125</t>
  </si>
  <si>
    <t>S'GUARD 720 SET WHITE         7000002200</t>
  </si>
  <si>
    <t>00247817</t>
  </si>
  <si>
    <t>S'GUARD 730 SET CREAM         3005002200</t>
  </si>
  <si>
    <t>00247818</t>
  </si>
  <si>
    <t>S'GUARD 730 SET OFFWHITE      7001002200</t>
  </si>
  <si>
    <t>00295032</t>
  </si>
  <si>
    <t>S'GUARD 750 SET GREY          5000002135</t>
  </si>
  <si>
    <t>00219195</t>
  </si>
  <si>
    <t>S'GUARD CSF 585 SET BLUE      1000001400</t>
  </si>
  <si>
    <t>00219191</t>
  </si>
  <si>
    <t>S'GUARD CSF 585 SET BLUE      1000002200</t>
  </si>
  <si>
    <t>00219190</t>
  </si>
  <si>
    <t>S'GUARD CSF 585 SET WHITE     7000002200</t>
  </si>
  <si>
    <t>00179130</t>
  </si>
  <si>
    <t>S'GUARD CSF 650 SET GREEN     4000001400</t>
  </si>
  <si>
    <t>00179131</t>
  </si>
  <si>
    <t>S'GUARD CSF 650 SET GREEN     4000002200</t>
  </si>
  <si>
    <t>00149000</t>
  </si>
  <si>
    <t>S'GUARD CSF 650 SET OFFWHITE  7001002200</t>
  </si>
  <si>
    <t>00250297</t>
  </si>
  <si>
    <t>S'LINE 2000 SET REDBROWN      2008002200</t>
  </si>
  <si>
    <t>00211291</t>
  </si>
  <si>
    <t>S'PRIME 200 SET GREY          9515052200</t>
  </si>
  <si>
    <t>00202391</t>
  </si>
  <si>
    <t>S'PRIME 200 SET YEL/GREEN     4009002200</t>
  </si>
  <si>
    <t>00317127</t>
  </si>
  <si>
    <t>S'PRIME 700 SET GREY          5000002200</t>
  </si>
  <si>
    <t>00317126</t>
  </si>
  <si>
    <t>S'PRIME 700 SET REDBROWN      2008002200</t>
  </si>
  <si>
    <t>00104943</t>
  </si>
  <si>
    <t>S'RINE 35                     9553052200</t>
  </si>
  <si>
    <t>00101545</t>
  </si>
  <si>
    <t>S'RINE 35                   955305EU1400</t>
  </si>
  <si>
    <t>00117055</t>
  </si>
  <si>
    <t>S'RINE 35                   955805EU1400</t>
  </si>
  <si>
    <t>00102834</t>
  </si>
  <si>
    <t>S'RINE 35                   955805EU2200</t>
  </si>
  <si>
    <t>00111637</t>
  </si>
  <si>
    <t>S'RINE 35                   959005EU1400</t>
  </si>
  <si>
    <t>00224094</t>
  </si>
  <si>
    <t>S'RINE 48 WHITE             700000EU1500</t>
  </si>
  <si>
    <t>00250792</t>
  </si>
  <si>
    <t>S'RINE 48 WHITE             700000EU2200</t>
  </si>
  <si>
    <t>00195840</t>
  </si>
  <si>
    <t>S'SHIELD 1200 SET BLACK       8000002200</t>
  </si>
  <si>
    <t>00195822</t>
  </si>
  <si>
    <t>S'SHIELD 1200 SET GREY        5177052200</t>
  </si>
  <si>
    <t>00331804</t>
  </si>
  <si>
    <t>S'SHIELD 400 SET BLACK        8000002200</t>
  </si>
  <si>
    <t>00331803</t>
  </si>
  <si>
    <t>S'SHIELD 400 SET RAL          7035262200</t>
  </si>
  <si>
    <t>00204818</t>
  </si>
  <si>
    <t>S'SHIELD 460 BAS RAL        703526EU2150</t>
  </si>
  <si>
    <t>00179366</t>
  </si>
  <si>
    <t>S'SHIELD 460 SET BLACK        8000001400</t>
  </si>
  <si>
    <t>00191640</t>
  </si>
  <si>
    <t>S'SHIELD 460 SET BLACK        8000002200</t>
  </si>
  <si>
    <t>00257093</t>
  </si>
  <si>
    <t>S'SHIELD 460 SET OFFWHITE     7001002200</t>
  </si>
  <si>
    <t>00328341</t>
  </si>
  <si>
    <t>S'SHIELD 880 GF SET BLACK     8000002200</t>
  </si>
  <si>
    <t>00344559</t>
  </si>
  <si>
    <t>S'SHIELD 880 GF SET GREY      5177052200</t>
  </si>
  <si>
    <t>00388003</t>
  </si>
  <si>
    <t>S'SHIELD 880 SET BLACK        8000001400</t>
  </si>
  <si>
    <t>00318047</t>
  </si>
  <si>
    <t>S'SHIELD 880 SET BLACK        8000002200</t>
  </si>
  <si>
    <t>00323079</t>
  </si>
  <si>
    <t>S'SHIELD 880 SET GREY         5177052200</t>
  </si>
  <si>
    <t>00327019</t>
  </si>
  <si>
    <t>S'SHIELD 880 SET RAL          5015262200</t>
  </si>
  <si>
    <t>00296948</t>
  </si>
  <si>
    <t>STEELGUARD 564 WHITE          3000AM3200</t>
  </si>
  <si>
    <t>00296947</t>
  </si>
  <si>
    <t>STEELGUARD 564 WHITE        3000AMEU2200</t>
  </si>
  <si>
    <t>00291802</t>
  </si>
  <si>
    <t>STEELGUARD 581 WHITE          3000AM2200</t>
  </si>
  <si>
    <t>00359402</t>
  </si>
  <si>
    <t>STEELGUARD 651 WHITE        3000AMEU2200</t>
  </si>
  <si>
    <t>00346410</t>
  </si>
  <si>
    <t>STEELGUARD 701 WHITE        3000AMEU2200</t>
  </si>
  <si>
    <t>00346411</t>
  </si>
  <si>
    <t>STEELGUARD 801 WHITE        3000AMEU2200</t>
  </si>
  <si>
    <t>00371796</t>
  </si>
  <si>
    <t>STEELGUARD 851 WHITE        3000AMEU2200</t>
  </si>
  <si>
    <t>00136664</t>
  </si>
  <si>
    <t>S'THERM 175                 900000EU1500</t>
  </si>
  <si>
    <t>00273023</t>
  </si>
  <si>
    <t>S'THERM 230 SET GREY          5000002200</t>
  </si>
  <si>
    <t>00273021</t>
  </si>
  <si>
    <t>S'THERM 230 SET PINK          6007002200</t>
  </si>
  <si>
    <t>00168790</t>
  </si>
  <si>
    <t>S'THERM 350 ALU             900000CN2200</t>
  </si>
  <si>
    <t>00218772</t>
  </si>
  <si>
    <t>S'THERM 540                 900000EU1500</t>
  </si>
  <si>
    <t>00218773</t>
  </si>
  <si>
    <t>S'THERM 540                 900000EU2200</t>
  </si>
  <si>
    <t>00312805</t>
  </si>
  <si>
    <t>S'WELD 120 SET GREY           5000002200</t>
  </si>
  <si>
    <t>00179591</t>
  </si>
  <si>
    <t>S'WELD 120 SET RED OXIDE      2008002200</t>
  </si>
  <si>
    <t>00179171</t>
  </si>
  <si>
    <t>S'WELD 190 (MC MK3) SET R/B   2008002180</t>
  </si>
  <si>
    <t>00179166</t>
  </si>
  <si>
    <t>S'WELD 199 SET GREEN          4000002180</t>
  </si>
  <si>
    <t>00179167</t>
  </si>
  <si>
    <t>S'WELD 199 SET GREY           5000002180</t>
  </si>
  <si>
    <t>00179165</t>
  </si>
  <si>
    <t>S'WELD 199 SET REDBROWN       2008002180</t>
  </si>
  <si>
    <t>00332384</t>
  </si>
  <si>
    <t>S'ZINC 105 SET GREY           5000002200</t>
  </si>
  <si>
    <t>00218766</t>
  </si>
  <si>
    <t>S'ZINC 109 HS SET REDGREY     5010001800</t>
  </si>
  <si>
    <t>00179568</t>
  </si>
  <si>
    <t>S'ZINC 158 SET                5009002185</t>
  </si>
  <si>
    <t>00136783</t>
  </si>
  <si>
    <t>S'ZINC 19                   500000EU1200</t>
  </si>
  <si>
    <t>00611397</t>
  </si>
  <si>
    <t>TESA  BLDPROT TAPE 33M X 50MM 4843</t>
  </si>
  <si>
    <t>00611396</t>
  </si>
  <si>
    <t>TESA  CRV MASKTAPE 25M X 19MM 4319</t>
  </si>
  <si>
    <t>00853023</t>
  </si>
  <si>
    <t>TESA  PRECISION    PROMO PACK</t>
  </si>
  <si>
    <t>00102400</t>
  </si>
  <si>
    <t>THINNER 20-05               0000TREU2200</t>
  </si>
  <si>
    <t>00113191</t>
  </si>
  <si>
    <t>THINNER 21-06               0000TREU2200</t>
  </si>
  <si>
    <t>00284799</t>
  </si>
  <si>
    <t>THINNER 21-25               0000TREU1500</t>
  </si>
  <si>
    <t>00288909</t>
  </si>
  <si>
    <t>THINNER 60-12               0000TRCN2200</t>
  </si>
  <si>
    <t>00284667</t>
  </si>
  <si>
    <t>THINNER 60-12               0000TREU1500</t>
  </si>
  <si>
    <t>00284670</t>
  </si>
  <si>
    <t>THINNER 60-15               0000TREU1500</t>
  </si>
  <si>
    <t>00281529</t>
  </si>
  <si>
    <t>THINNER 60-15               0000TREU2200</t>
  </si>
  <si>
    <t>00119495</t>
  </si>
  <si>
    <t>THINNER 90-53               0000TREU2200</t>
  </si>
  <si>
    <t>00288374</t>
  </si>
  <si>
    <t>THINNER 90-58               0000TRCN2200</t>
  </si>
  <si>
    <t>00284529</t>
  </si>
  <si>
    <t>THINNER 90-58               0000TREU1500</t>
  </si>
  <si>
    <t>00202664</t>
  </si>
  <si>
    <t>THINNER 90-83               0000TREU2200</t>
  </si>
  <si>
    <t>00104135</t>
  </si>
  <si>
    <t>THINNER 91-79               0000TREU1500</t>
  </si>
  <si>
    <t>00118356</t>
  </si>
  <si>
    <t>THINNER 91-79               0000TREU2200</t>
  </si>
  <si>
    <t>00121186</t>
  </si>
  <si>
    <t>THINNER 91-92               0000TREU1500</t>
  </si>
  <si>
    <t>00108309</t>
  </si>
  <si>
    <t>THINNER 91-92               0000TREU2200</t>
  </si>
  <si>
    <t>00729847</t>
  </si>
  <si>
    <t>UB    ESSENTIALS   9"VALUEKIT</t>
  </si>
  <si>
    <t>00633403</t>
  </si>
  <si>
    <t>WATCO 4 HOUR EPOXY PRIMER     5ltr</t>
  </si>
  <si>
    <t>00610674</t>
  </si>
  <si>
    <t>WATCO A/SLIP CONC  FLR PT     5ltr</t>
  </si>
  <si>
    <t>00611065</t>
  </si>
  <si>
    <t>WATCO ASPHALT PT              5ltr</t>
  </si>
  <si>
    <t>00852387</t>
  </si>
  <si>
    <t>WATCO BALCONY COAT STD COLOUR 25kg</t>
  </si>
  <si>
    <t>00611864</t>
  </si>
  <si>
    <t>WATCO BIO-D        DEGREASER  5ltr</t>
  </si>
  <si>
    <t>00611869</t>
  </si>
  <si>
    <t>WATCO BUND SEALER  2PK        4ltr</t>
  </si>
  <si>
    <t>00852436</t>
  </si>
  <si>
    <t>WATCO CHEMI-COAT   STD COLS   4ltr</t>
  </si>
  <si>
    <t>00636684</t>
  </si>
  <si>
    <t>WATCO COLD SET     ALL COLS   2.5ltr</t>
  </si>
  <si>
    <t>00611068</t>
  </si>
  <si>
    <t>WATCO CONCRETE F/P STD COL    5ltr</t>
  </si>
  <si>
    <t>00649685</t>
  </si>
  <si>
    <t>WATCO CONCRETE WB  SEAL MATT  5ltr</t>
  </si>
  <si>
    <t>00611807</t>
  </si>
  <si>
    <t>WATCO CONCREX FINE FILLER 2PK 10kg</t>
  </si>
  <si>
    <t>00618244</t>
  </si>
  <si>
    <t>WATCO EPOXICOTE AD ANTI SLIP  4ltr</t>
  </si>
  <si>
    <t>00649884</t>
  </si>
  <si>
    <t>WATCO EPOXY GLOSS  COAT WB    5ltr</t>
  </si>
  <si>
    <t>00633316</t>
  </si>
  <si>
    <t>WATCO EPOXY GLS M/GRY SP ONLY 5ltr</t>
  </si>
  <si>
    <t>00610711</t>
  </si>
  <si>
    <t>WATCO EPOXYLINE               1ltr</t>
  </si>
  <si>
    <t>00649808</t>
  </si>
  <si>
    <t>WATCO FIBREGLASS   REINF TAPE       1100</t>
  </si>
  <si>
    <t>00852547</t>
  </si>
  <si>
    <t>WATCO FLOOR JOINT  SEALANT    2ltr</t>
  </si>
  <si>
    <t>00852548</t>
  </si>
  <si>
    <t>WATCO FLOOR JOINT  SLR PRIMER 250ml</t>
  </si>
  <si>
    <t>00633319</t>
  </si>
  <si>
    <t>WATCO FLOWTOP      GREY       25kg</t>
  </si>
  <si>
    <t>00610630</t>
  </si>
  <si>
    <t>WATCO GALVAPRIME              1ltr</t>
  </si>
  <si>
    <t>00852469</t>
  </si>
  <si>
    <t>WATCO HI VISIBILIT FLUOR YELL 2.5ltr</t>
  </si>
  <si>
    <t>00611840</t>
  </si>
  <si>
    <t>WATCO IND WALLCOAT WHITE      10ltr</t>
  </si>
  <si>
    <t>00852371</t>
  </si>
  <si>
    <t>WATCO LIQUID ROOF  MEMBRANE   5ltr</t>
  </si>
  <si>
    <t>00852455</t>
  </si>
  <si>
    <t>WATCO NEW CONCRETE PRIMER     8kg</t>
  </si>
  <si>
    <t>00852336</t>
  </si>
  <si>
    <t>WATCO OIL BLOCK    PRIMER     4ltr</t>
  </si>
  <si>
    <t>00636589</t>
  </si>
  <si>
    <t>WATCO PLANT ROOM   CT ALL COL 25kg</t>
  </si>
  <si>
    <t>00647342</t>
  </si>
  <si>
    <t>WATCO POWERFLOAT   ANTI SLIP  5ltr</t>
  </si>
  <si>
    <t>00636683</t>
  </si>
  <si>
    <t>WATCO POWERFLOAT   FLR PRIMER 5ltr</t>
  </si>
  <si>
    <t>00611176</t>
  </si>
  <si>
    <t>WATCO POWERFLOATP  PRIMER     5ltr</t>
  </si>
  <si>
    <t>00610611</t>
  </si>
  <si>
    <t>WATCO PROTECTA CT  ANTI SLIP  2.5ltr</t>
  </si>
  <si>
    <t>00610610</t>
  </si>
  <si>
    <t>WATCO PROTECTA CT  STANDARD   2.5ltr</t>
  </si>
  <si>
    <t>00649684</t>
  </si>
  <si>
    <t>WATCO RESIFLOW     FLEX GLOSS 20kg</t>
  </si>
  <si>
    <t>00611274</t>
  </si>
  <si>
    <t>WATCO ROAD PT RAP  STD COLS   5ltr</t>
  </si>
  <si>
    <t>00611890</t>
  </si>
  <si>
    <t>WATCO ROOFITE                 5ltr</t>
  </si>
  <si>
    <t>00852431</t>
  </si>
  <si>
    <t>WATCO ROOFITE                 25kg</t>
  </si>
  <si>
    <t>00649878</t>
  </si>
  <si>
    <t>WATCO SAFETY COAT  COARSE     5ltr</t>
  </si>
  <si>
    <t>00649873</t>
  </si>
  <si>
    <t>WATCO SAFETY COAT  COLD CURE  2.5ltr</t>
  </si>
  <si>
    <t>00649874</t>
  </si>
  <si>
    <t>WATCO SAFETY COAT  FLOOR COAT 5ltr</t>
  </si>
  <si>
    <t>00636685</t>
  </si>
  <si>
    <t>WATCO SAFETY COAT  FOOD SAFE  2.5ltr</t>
  </si>
  <si>
    <t>00647328</t>
  </si>
  <si>
    <t>WATCO SAFETY COAT  LI GREY SP 5ltr</t>
  </si>
  <si>
    <t>00633565</t>
  </si>
  <si>
    <t>WATCO SAFETY COAT  MID GREEN  5ltr</t>
  </si>
  <si>
    <t>00633317</t>
  </si>
  <si>
    <t>WATCO SAFETY COAT  MID GREY   5ltr</t>
  </si>
  <si>
    <t>00649492</t>
  </si>
  <si>
    <t>WATCO SAFETY GRIP  COLD CURE  5ltr</t>
  </si>
  <si>
    <t>00636588</t>
  </si>
  <si>
    <t>WATCO SAFETY GRIP  FLEX 5M2</t>
  </si>
  <si>
    <t>00611174</t>
  </si>
  <si>
    <t>WATCO SP HD A/SLIP GREEN      5ltr</t>
  </si>
  <si>
    <t>00649701</t>
  </si>
  <si>
    <t>WATCO SP HD A/SLIP TRAF BLACK 5ltr</t>
  </si>
  <si>
    <t>00852461</t>
  </si>
  <si>
    <t>WATCO STELLAR      FLAKE SYST</t>
  </si>
  <si>
    <t>00852273</t>
  </si>
  <si>
    <t>WATCO STEPMAKER</t>
  </si>
  <si>
    <t>00610710</t>
  </si>
  <si>
    <t>WATCO TILE PRIMER             5ltr</t>
  </si>
  <si>
    <t>00611259</t>
  </si>
  <si>
    <t>WATCO TRAFFICLINE  RD MARKING 5ltr</t>
  </si>
  <si>
    <t>00636590</t>
  </si>
  <si>
    <t>WATCO UNI SEALER   DUSTPROOF  1ltr</t>
  </si>
  <si>
    <t>00611319</t>
  </si>
  <si>
    <t>WATCO UNIV SEALER  DUSTPROOF  25ltr</t>
  </si>
  <si>
    <t>00647351</t>
  </si>
  <si>
    <t>WATCO WALLGUARD    WHITE      5ltr</t>
  </si>
  <si>
    <t>00647353</t>
  </si>
  <si>
    <t>WATCO WALLSEAL                5ltr</t>
  </si>
  <si>
    <t>00618247</t>
  </si>
  <si>
    <t>Zinsser EXT WB SATIN BLACK 2.5ltr</t>
  </si>
  <si>
    <t>00737882</t>
  </si>
  <si>
    <t>Zinsser EXT WB SATIN BLACK 5ltr</t>
  </si>
  <si>
    <t>00618246</t>
  </si>
  <si>
    <t>Zinsser EXT WB SATIN WHITE 2.5ltr</t>
  </si>
  <si>
    <t>00737881</t>
  </si>
  <si>
    <t>Zinsser EXT WB SATIN WHITE 5ltr</t>
  </si>
  <si>
    <t>00631683</t>
  </si>
  <si>
    <t>Zinsser GARDZ 2.5ltr</t>
  </si>
  <si>
    <t>00733042</t>
  </si>
  <si>
    <t>Zinsser GARDZ  5ltr</t>
  </si>
  <si>
    <t>00732555</t>
  </si>
  <si>
    <t>Zinsser PEEL STOP  1ltr</t>
  </si>
  <si>
    <t>00728114</t>
  </si>
  <si>
    <t>Zinsser PERMA WHITE  INT MATT  1ltr</t>
  </si>
  <si>
    <t>00736407</t>
  </si>
  <si>
    <t>Zinsser PERMA WHITE  INT MATT  2.5ltr</t>
  </si>
  <si>
    <t>00728115</t>
  </si>
  <si>
    <t>Zinsser PERMA WHITE  INT MATT 5ltr</t>
  </si>
  <si>
    <t>00728117</t>
  </si>
  <si>
    <t>Zinsser PERMA WHITE  INT SATIN 1ltr</t>
  </si>
  <si>
    <t>00730297</t>
  </si>
  <si>
    <t>Zinsser PERMA WHITE  INT SATIN 2.5ltr</t>
  </si>
  <si>
    <t>00470313</t>
  </si>
  <si>
    <t>Johnstone's ULTRALAST BRIL WHITE 10L</t>
  </si>
  <si>
    <t>00470314</t>
  </si>
  <si>
    <t>Johnstone's ULTRALAST BRIL WHITE 5L</t>
  </si>
  <si>
    <t>00447550</t>
  </si>
  <si>
    <t>Johnstone's ULTRALAST MIXED 10L</t>
  </si>
  <si>
    <t>00447551</t>
  </si>
  <si>
    <t>Johnstone's ULTRALAST MIXED 5L</t>
  </si>
  <si>
    <t>PPG - Leyland T/GUARD FLEX EXT UCOAT - DK Gry 2.5l</t>
  </si>
  <si>
    <t>PPG - Johnstones DAMP PROOF PAINT - BW - 5ltr</t>
  </si>
  <si>
    <t>PPG - Leyland DAMP BLOCK - White - 2.5ltr</t>
  </si>
  <si>
    <t>PPG - Leyland ANTI-DAMP PAINT - Bril White 2.5ltr</t>
  </si>
  <si>
    <t>PPG - ProGold ZIPPED DOOR PROTECTOR - 2.2M X 1.2M</t>
  </si>
  <si>
    <t>PPG - Johnstones MORDANT SOLUTION - Blue - 5ltr</t>
  </si>
  <si>
    <t>PPG - &amp;ULL  T/G SMTH 15Y PORTLAND S 0000001500</t>
  </si>
  <si>
    <t>PPG - &amp;U    S/CL MASONRY BRIL WHITE 0000002100</t>
  </si>
  <si>
    <t>PPG - &amp;U    S/CL MASONRY MAGNOLIA   0000001500</t>
  </si>
  <si>
    <t>PPG - Johnstones ANTI CONDENSATION PAINT - 5ltr</t>
  </si>
  <si>
    <t>PPG - &amp;U    2PK SB FLOOR TILE RED   0000001300</t>
  </si>
  <si>
    <t>PPG - &amp;U    2PK SB FLOOR MORN MIST  0000001300</t>
  </si>
  <si>
    <t>PPG - &amp;U    2PK SB FLOOR DARK GREEN 0000001300</t>
  </si>
  <si>
    <t>PPG - &amp;U    2PK W/B GRAF CLEAR      0000001500</t>
  </si>
  <si>
    <t>PPG - &amp;U    2PK W/B GRAF BASE       0000001500</t>
  </si>
  <si>
    <t>PPG - &amp;UJST SMOOTH METAL RED        0000001250</t>
  </si>
  <si>
    <t>PPG - &amp;UJST SMOOTH METAL GOLD       0000001250</t>
  </si>
  <si>
    <t>PPG - &amp;U PG 2" FLEX FILL KNIFE</t>
  </si>
  <si>
    <t>PPG - Johnstones QD METAL PRIMER - White - 2.5ltr</t>
  </si>
  <si>
    <t>PPG - FatHog FATEV S/SKIN ROLL  EVO 9 -  - 9"ltr</t>
  </si>
  <si>
    <t>PPG - FatHog GEN PURP MINI ROLLER 4"</t>
  </si>
  <si>
    <t>PPG - FatHog FATEV S/SKIN ROLL  EVO 12 -  - 12"ltr</t>
  </si>
  <si>
    <t>PPG - FatHog FATHG DEC CAULK    BROWN      0000000295 -  - 295mlltr</t>
  </si>
  <si>
    <t>PPG - Johnstones SATIN WOODSTAIN -Light Oak-750ml</t>
  </si>
  <si>
    <t>PPG - Woodworks RAW LINSEED OIL -  - 500ltr</t>
  </si>
  <si>
    <t>PPG - Leyland GLOSS - Empire Green - 5ltr</t>
  </si>
  <si>
    <t>PPG - Leyland GLOSS - Peat - 5ltr</t>
  </si>
  <si>
    <t>PPG - Leyland TRUGARD PLIOLITE - Gardenia - 5ltr</t>
  </si>
  <si>
    <t>PPG - Leyland SUPERLEYTEX - Gardenia - 10ltr</t>
  </si>
  <si>
    <t>PPG - Leyland TRUGUARD FINE TEXTURED - Mag - 5ltr</t>
  </si>
  <si>
    <t>PPG - Leyland TRUGARD PLIOLITE - Pearl - 5ltr</t>
  </si>
  <si>
    <t>PPG - Leyland TRUGARD PLIOLITE - Pale Beige - 5ltr</t>
  </si>
  <si>
    <t>PPG - Leyland TRUGARD PLIOLITE - Peat - 5ltr</t>
  </si>
  <si>
    <t>PPG - Stormshield SMOOTH MASONRY - C Cream - 5ltr</t>
  </si>
  <si>
    <t>PPG - Stormshield SMOOTH MASONRY - Mushroom - 5ltr</t>
  </si>
  <si>
    <t>PPG - Stormshield SMOOTH MASONRY - Antique - 5ltr</t>
  </si>
  <si>
    <t>PPG - Stormshield SMOOTH MASONRY - Brick - 5ltr</t>
  </si>
  <si>
    <t>PPG - Johnstones PRO GLOSS - Trafic Yellow - 5ltr</t>
  </si>
  <si>
    <t>PPG - Johnstones PRO GLOSS - Saffron Yellow - 5ltr</t>
  </si>
  <si>
    <t>PPG - Johnstones PRO GLOSS - Fiesta Red - 5ltr</t>
  </si>
  <si>
    <t>PPG - Johnstones PRO GLOSS - Post Off Red - 5ltr</t>
  </si>
  <si>
    <t>PPG - Johnstones ANTI MOULD ACRYLIC - MAG - 5LTR</t>
  </si>
  <si>
    <t>PPG - Johnstones 2PK WB FLOOR - Green - 5l</t>
  </si>
  <si>
    <t>PPG - Johnstones  UNIVERSAL PRIMER - White - 5ltr</t>
  </si>
  <si>
    <t xml:space="preserve">PPG - </t>
  </si>
  <si>
    <t>PPG - FatHog FOAM ROLLER 7"</t>
  </si>
  <si>
    <t>PPG - Fat Hog PURE PROF BRUSH 4"</t>
  </si>
  <si>
    <t>PPG - Fat Hog PROF WALL BRUSH 4"</t>
  </si>
  <si>
    <t>PPG - Fat Hog PROF WALL BRUSH 5"</t>
  </si>
  <si>
    <t>PPG - FatHog FATHG SCALE TANG CHISEL KNIFE -  - ltr</t>
  </si>
  <si>
    <t>PPG - Johnstones ACRYLIC EGGSHELL - Mix - 5ltr</t>
  </si>
  <si>
    <t>PPG - Stormshield PLIOLITE - Mix - 5ltr</t>
  </si>
  <si>
    <t>PPG - Johnstones COVAPLUS - Brilliant White 10ltr</t>
  </si>
  <si>
    <t>PPG - Johnstones FLAME RET ACRYLIC EGGSHELL Mix 5l</t>
  </si>
  <si>
    <t>PPG - Johnstones SOLV OPAQUE - Russet - 5ltr</t>
  </si>
  <si>
    <t>PPG - Johnstones STEEL &amp; CLADDING - Mix - 5ltr</t>
  </si>
  <si>
    <t>PPG - Johnstones STAINAWAY - Bril White - 5ltr</t>
  </si>
  <si>
    <t>PPG - Johnstones QD OPAQUE - Mix - 5ltr</t>
  </si>
  <si>
    <t>PPG - Johnstones Acrylic Durable Matt - Mix - 5ltr</t>
  </si>
  <si>
    <t>PPG - Johnstones ACRYLIC EGGSHELL - BW - 5ltr</t>
  </si>
  <si>
    <t>PPG - Johnstones FLAME RET DURABLE MATT - BW - 5l</t>
  </si>
  <si>
    <t>PPG - Stormshield SMOOTH MASONRY - Mix - 5ltr</t>
  </si>
  <si>
    <t>PPG - Johnstones COVAPLUS - Mix - 5ltr</t>
  </si>
  <si>
    <t>PPG - Johnstones AQUA GLOSS - Bril White - 5ltr</t>
  </si>
  <si>
    <t>PPG - Johnstones SMOOTH METAL - Black - 5ltr</t>
  </si>
  <si>
    <t>PPG - Johnstones COVAPLUS - Magnolia - 10ltr</t>
  </si>
  <si>
    <t>PPG - Johnstones Acrylic Durable Matt - Mix - 10l</t>
  </si>
  <si>
    <t>PPG - Stormshield SMOOTH MASONRY - Mix - 10ltr</t>
  </si>
  <si>
    <t>PPG - Johnstones STAINAWAY - Mix - 5ltr</t>
  </si>
  <si>
    <t>PPG - ProGold COTTON DUST SHEET 3 PIECE 12' X 9'</t>
  </si>
  <si>
    <t>PPG - Stormshield SMOOTH MASONRY - BW - 10ltr</t>
  </si>
  <si>
    <t>PPG - Johnstones FLAME RET ACRYLIC EGGSHELL MAG 5l</t>
  </si>
  <si>
    <t>PPG - Johnstones AQUA UNDERCOAT - BW - 5ltr</t>
  </si>
  <si>
    <t>PPG - Johnstones PRO GLOSS - Brill White - 5ltr</t>
  </si>
  <si>
    <t>PPG - Johnstones SMOOTH METAL - Mix - 5ltr</t>
  </si>
  <si>
    <t>PPG - Stormshield SMOOTH MASONRY - Mag - 10ltr</t>
  </si>
  <si>
    <t>PPG - EWI   STRU2G 155MM MAX 120MM INSULATION</t>
  </si>
  <si>
    <t>PPG - EWI   DASH RECEIVER SOFT CREAM 25KG</t>
  </si>
  <si>
    <t>PPG - EWI   HIGH PERF RENDER BASECOAT 25KG</t>
  </si>
  <si>
    <t>PPG - Johnstones ACRYLIC EGGSHELL - Mag - 5ltr</t>
  </si>
  <si>
    <t>PPG - Artex PROMIX LITE NEW - 17ltr</t>
  </si>
  <si>
    <t>PPG - Johnstones SMOOTH METAL - Mix - 2.5ltr</t>
  </si>
  <si>
    <t>PPG - Leyland VINYL MATT - Brilliant White - 5ltr</t>
  </si>
  <si>
    <t>PPG - Johnstones SOLV OPAQUE - Mix - 5ltr</t>
  </si>
  <si>
    <t>PPG - Artex CORNER TAPE  30M</t>
  </si>
  <si>
    <t>PPG - Leyland TRUGARD PLIOLITE - Mix - 5ltr</t>
  </si>
  <si>
    <t>PPG - ProGold CONTRACTOR BRUSH 2''</t>
  </si>
  <si>
    <t>PPG - Leyland VINYL MATT - Magnolia - 5ltr</t>
  </si>
  <si>
    <t>PPG - Johnstones PRO UNDERCOAT - BW - 5ltr</t>
  </si>
  <si>
    <t>PPG - Johnstones FLAME RET DURABLE MATT - Mix - 5l</t>
  </si>
  <si>
    <t>PPG - Johnstones COVAPLUS - Brilliant White - 5ltr</t>
  </si>
  <si>
    <t>PPG - Johnstones AQUA GLOSS - Mix - 5ltr</t>
  </si>
  <si>
    <t>PPG - Johnstones  JONMAT - Brilliant White - 10ltr</t>
  </si>
  <si>
    <t>PPG - CONTRACTOR PRO SYN BRUSH SET+FREE PRODUCT</t>
  </si>
  <si>
    <t>PPG - Johnstones COVAPLUS - Mix - 10ltr</t>
  </si>
  <si>
    <t>PPG - Johnstones AQUA UNDERCOAT - Mix - 5ltr</t>
  </si>
  <si>
    <t>PPG - STEELGUARD 751              3000AMEU2200</t>
  </si>
  <si>
    <t>PPG - EWI   RENDER REINFORCING MESH CLOTH</t>
  </si>
  <si>
    <t>PPG - Johnstones Acrylic Durable Matt - BW - 10l</t>
  </si>
  <si>
    <t>PPG - Johnstones PROF SATIN FINISH - BW - 2.5ltr</t>
  </si>
  <si>
    <t>PPG - Johnstones QD STEEL &amp; CLADDING - Mix - 5ltr</t>
  </si>
  <si>
    <t>PPG - Zinsser BIN PRIMER WHITE - 5ltr</t>
  </si>
  <si>
    <t>PPG - Johnstones SOLV OPAQUE - Ebony - 5ltr</t>
  </si>
  <si>
    <t>PPG - Artex EASY-FILL 45 - 10kg</t>
  </si>
  <si>
    <t>PPG - Artex JOINT FILLER GYP - 12.5kg</t>
  </si>
  <si>
    <t>PPG - Leyland ACRYLIC EGGSHELL - Mix - 5ltr</t>
  </si>
  <si>
    <t>PPG - Stormshield PLIOLITE - Brilliant White - 5l</t>
  </si>
  <si>
    <t>PPG - Johnstones SMOOTH METAL - Black - 2.5ltr</t>
  </si>
  <si>
    <t>PPG - OSMO  UV PROTECT   OIL EXTRA  0000001250</t>
  </si>
  <si>
    <t>PPG - Johnstones PRO GLOSS - Black - 5ltr</t>
  </si>
  <si>
    <t>PPG - EASY  EASYTEX      10-036     BARK</t>
  </si>
  <si>
    <t>PPG - ProGold MASKING TAPE 2"</t>
  </si>
  <si>
    <t>PPG - Zinsser BIN PRIMER SEAL WHITE - 2.5ltr</t>
  </si>
  <si>
    <t>PPG - ProGold PROTECTOR DUST SHEET 12' X 9'</t>
  </si>
  <si>
    <t>PPG - Johnstones SMOOTH METAL - White - 2.5ltr</t>
  </si>
  <si>
    <t>PPG - Johnstones PRO UNDERCOAT - Mix - 5ltr</t>
  </si>
  <si>
    <t>PPG - Stormshield PLIOLITE - Magnolia - 5ltr</t>
  </si>
  <si>
    <t>PPG - Johnstones AQUA SATIN - Mix - 5ltr</t>
  </si>
  <si>
    <t>PPG - Johnstones QD POLY FLORTRED - Mix - 5ltr</t>
  </si>
  <si>
    <t>PPG - Leyland TG SMOOTH MASONRY- Mix - 10ltr</t>
  </si>
  <si>
    <t>PPG - Johnstones ACRYLIC EGGSHELL - Mix - 2.5ltr</t>
  </si>
  <si>
    <t>PPG - Johnstones 2PK ADHESION PRIMER - White -2.5l</t>
  </si>
  <si>
    <t>PPG - Stormshield SMOOTH MASONRY - BW - 5ltr</t>
  </si>
  <si>
    <t>PPG - Johnstones Acrylic Durable Matt - BW - 5ltr</t>
  </si>
  <si>
    <t>PPG - Johnstones JONCRYL QD PRIMER - BW -  5ltr</t>
  </si>
  <si>
    <t>PPG - Johnstones STAINAWAY - Bril White - 10ltr</t>
  </si>
  <si>
    <t>PPG - Johnstones AQUA SATIN - Bril White - 5ltr</t>
  </si>
  <si>
    <t>PPG - Artex JOINT TAPE 150M 19646 (60020)</t>
  </si>
  <si>
    <t>PPG - Johnstones AQUA UNDERCOAT - BW - 2.5ltr</t>
  </si>
  <si>
    <t>PPG - Johnstones QD ZINC PHOS PRIMER - Grey - 5ltr</t>
  </si>
  <si>
    <t>PPG - Johnstones FLAME RET DURABLE MATT - MAG - 5l</t>
  </si>
  <si>
    <t>PPG - Johnstones AQUAGUARD - Mix - 5ltr</t>
  </si>
  <si>
    <t>PPG - Artex THISTLE FT50 PROTAPE</t>
  </si>
  <si>
    <t>PPG - ProGold LONG PILE POLYESTER ROLLER 4"</t>
  </si>
  <si>
    <t>PPG - Leyland GLOSS - Brilliant White - 2.5ltr</t>
  </si>
  <si>
    <t>PPG - ProGold SYNTHETIC SASH BRUSH SET</t>
  </si>
  <si>
    <t>PPG - Stormshield SMOOTH MASONRY - Black - 5ltr</t>
  </si>
  <si>
    <t>PPG - Johnstones 2PK WB FLOOR - Tile Red - 5ltr</t>
  </si>
  <si>
    <t>PPG - EWI   DASH RECEIVER NATURAL WHITE 25KG</t>
  </si>
  <si>
    <t>PPG - Johnstones AQUA GLOSS - Bril White - 2.5ltr</t>
  </si>
  <si>
    <t>PPG - RODO 5L MINI BLCK SCUTTLE</t>
  </si>
  <si>
    <t>PPG - FD STEELGUARD 2458 BAS (X)  XXXXCCEU2200</t>
  </si>
  <si>
    <t>PPG - Stormshield FLEXIBLE EX GLOSS - Mix - 2.5ltr</t>
  </si>
  <si>
    <t>PPG - Johnstones QD OPAQUE - Jacobean - 5ltr</t>
  </si>
  <si>
    <t>PPG - ProGold WHITE SPIRIT 4ltr</t>
  </si>
  <si>
    <t>PPG - Johnstones PRO GLOSS - Brill White - 2.5ltr</t>
  </si>
  <si>
    <t>PPG - Johnstones FLORTRED Tile Red - 5ltr</t>
  </si>
  <si>
    <t>PPG - PLASTIC 12"  SKUTTLE</t>
  </si>
  <si>
    <t>PPG - Stormshield FLEXIBLE EX GLOSS - BW - 2.5ltr</t>
  </si>
  <si>
    <t>PPG - Johnstones SOLV OPAQUE - Jacobean - 5ltr</t>
  </si>
  <si>
    <t>PPG - ProGold WOVEN MEDIUM PILE ROLLER 4"</t>
  </si>
  <si>
    <t>PPG - ZINSR BULLSEYE 123 WHITE      0000001500</t>
  </si>
  <si>
    <t>PPG - ProGold ROUGH ROLLER 9"</t>
  </si>
  <si>
    <t>PPG - Johnstones FLORTRED Princess Grey - 5ltr</t>
  </si>
  <si>
    <t>PPG - Johnstones QD OPAQUE - Ebony - 5ltr</t>
  </si>
  <si>
    <t>PPG - Artex QUICKSAND 25kg</t>
  </si>
  <si>
    <t>PPG - Johnstones ALKALI RESIST PRIMER - BW - 5ltr</t>
  </si>
  <si>
    <t>PPG - Johnstones 2PK WB FLOOR - Princs Grey - 5ltr</t>
  </si>
  <si>
    <t>PPG - Johnstones SOLV OPAQUE - White - 5ltr</t>
  </si>
  <si>
    <t>PPG - ProGold TURPS SUBSTITUTE 4ltr</t>
  </si>
  <si>
    <t>PPG - Johnstones PERFECT MATT - Mix- 10ltr</t>
  </si>
  <si>
    <t>PPG - ProGold CONTRACTOR BRUSH 3"</t>
  </si>
  <si>
    <t>PPG - Johnstones AQUA GLOSS - Mix - 2.5ltr</t>
  </si>
  <si>
    <t>PPG - Johnstones PROF SATIN FINISH - Mix - 2.5ltr</t>
  </si>
  <si>
    <t>PPG - ARTEX DRYWALL PRIM 10L        PROTAP2100</t>
  </si>
  <si>
    <t>PPG - Stormshield FLEXIBLE EX U/C - Mix - 2.5ltr</t>
  </si>
  <si>
    <t>PPG - Johnstones MICROBAR-ACRY EGGSHELL - BW - 5l</t>
  </si>
  <si>
    <t>PPG - EWI   DASHING SPAR FRANSPAR 25KG</t>
  </si>
  <si>
    <t>PPG - Johnstones AQUA SATIN - Bril White - 2.5ltr</t>
  </si>
  <si>
    <t>PPG - Johnstones STAINAWAY - Mix - 10ltr</t>
  </si>
  <si>
    <t>PPG - EWI   BOXBS CLIPON NOSE W/MESH 2.5M 10MM</t>
  </si>
  <si>
    <t>PPG - Johnstones SOLV OPAQUE - Rustic Oak - 5ltr</t>
  </si>
  <si>
    <t>PPG - Stormshield SMOOTH MASONRY - Magnolia - 5ltr</t>
  </si>
  <si>
    <t>PPG - BLINE ONE TIME     FILLER 4L  TOEBOA1400</t>
  </si>
  <si>
    <t>PPG - Johnstones AQUA UNDERCOAT - Mix - 2.5ltr</t>
  </si>
  <si>
    <t>PPG - ProGold ROUGH ROLLER 4"</t>
  </si>
  <si>
    <t>PPG - ProGold CLASSIC SYNTHETIC BRUSH 5 PIECE PACK</t>
  </si>
  <si>
    <t>PPG - Johnstones FLORTRED Dark Grey - 5ltr</t>
  </si>
  <si>
    <t>PPG - Johnstones VINYL SOFT SHEEN - Mix - 5ltr</t>
  </si>
  <si>
    <t>PPG - ProGold READY MIX ALL PUR WALLCOV ADH 10kg</t>
  </si>
  <si>
    <t>PPG - Johnstones ROAD MARKING - White - 5ltr</t>
  </si>
  <si>
    <t>PPG - Johstones STEEL &amp; CLADDING - BW - 5ltr</t>
  </si>
  <si>
    <t>PPG - ProGold WOVEN LONG PILE ROLLER 9"</t>
  </si>
  <si>
    <t>PPG - Johnstones QD FLOOR VARN - Clr Gloss - 2.5l</t>
  </si>
  <si>
    <t>PPG - Artex EASI FILLER 5X 1KG BAGS</t>
  </si>
  <si>
    <t>PPG - Leyland VINYL MATT - Mix - 5ltr</t>
  </si>
  <si>
    <t>PPG - Leyland ACRYLIC EGGSHELL   - Magnolia - 5ltr</t>
  </si>
  <si>
    <t>PPG - Johnstones AQUA UNDERCOAT - DK GRY - 5ltr</t>
  </si>
  <si>
    <t>PPG - Johnstones COVAPLUS - Mix - 2.5ltr</t>
  </si>
  <si>
    <t>PPG - Johnstones FLAME RET ACRYLIC EGGSHELL BW 5l</t>
  </si>
  <si>
    <t>PPG - ProGold MICROFIBRE ROLLER 4"</t>
  </si>
  <si>
    <t>PPG - Leyland ACRYLIC PRIMER U/COAT - White - 5ltr</t>
  </si>
  <si>
    <t>PPG - Leyland UNDERCOAT - Brilliant White - 5ltr</t>
  </si>
  <si>
    <t>PPG - ProGold HEAVY DUTY Multi Wipes - Pack 75</t>
  </si>
  <si>
    <t>PPG - Johnstones SATIN WOODSTAIN - Med Oak - 5ltr</t>
  </si>
  <si>
    <t>PPG - Johnstones VINYL SILK - Magnolia - 10ltr</t>
  </si>
  <si>
    <t>PPG - Leyland ACRYLIC EGGSHELL - BW - 5ltr</t>
  </si>
  <si>
    <t>PPG - EWI   GALV ANGLE PLASTIC NOSE 3.0M 60MM</t>
  </si>
  <si>
    <t>PPG - ProGold WOVEN MEDIUM PILE ROLLER 9"</t>
  </si>
  <si>
    <t>PPG - ProGold HEAVY DUTY ROLLER FRAME - 9"</t>
  </si>
  <si>
    <t>PPG - Johnstones COVAPLUS - Magnolia - 5ltr</t>
  </si>
  <si>
    <t>PPG - Leyland TRUGARD PLIOLITE - Black - 5ltr</t>
  </si>
  <si>
    <t>PPG - BLACKROCK PT LW GRIP GLOVE L/XL</t>
  </si>
  <si>
    <t>PPG - Stormshield FLEXIBLE EX U/C - BW - 2.5ltr</t>
  </si>
  <si>
    <t>PPG - Leyland CONTRACT MATT - Brill White - 10ltr</t>
  </si>
  <si>
    <t>PPG - EWI   SDK U 45MM 100 PACK</t>
  </si>
  <si>
    <t>PPG - Johnstones QD OPAQUE - White - 5ltr</t>
  </si>
  <si>
    <t>PPG - Johnstones EGGSHELL - Mix - 5ltr</t>
  </si>
  <si>
    <t>PPG - ProGold EXTENSION POLE 4'-8'</t>
  </si>
  <si>
    <t>PPG - Johnstones PRO UNDERCOAT - Dark Grey - 5ltr</t>
  </si>
  <si>
    <t>PPG - Johstones STEEL &amp; CLADDING - Black - 5ltr</t>
  </si>
  <si>
    <t>PPG - ProGold SMOOTH ROLLER 4"</t>
  </si>
  <si>
    <t>PPG - ProGold DEC CAULK WHITE 380ml</t>
  </si>
  <si>
    <t>PPG - Artex GYPROC EASYFILL 5KG</t>
  </si>
  <si>
    <t>PPG - EWI   ROCKWOOL 90MM 1200 X 600 MM</t>
  </si>
  <si>
    <t>PPG - ProGold CLASSIC SYNTHETIC BRUSH 3 PIECE PACK</t>
  </si>
  <si>
    <t>PPG - Leyland TG SMOOTH MASONRY- Mix - 5ltr</t>
  </si>
  <si>
    <t>PPG - ProGold PREMIUM FLEXI CAULK - White - 380ml</t>
  </si>
  <si>
    <t>PPG - Johnstones VINYL SILK - Magnolia - 5ltr</t>
  </si>
  <si>
    <t>PPG - BLACKROCK PAINTERS GLOVES L WEIGHT</t>
  </si>
  <si>
    <t>PPG - ProGold CONTRACTOR BRUSH SET 5 PIECE PACK</t>
  </si>
  <si>
    <t>PPG - Johnstones ROAD MARKING - Yellow - 5ltr</t>
  </si>
  <si>
    <t>PPG - ProGold POLYTHENE ROLL DUST SHEET - 2M X 50M</t>
  </si>
  <si>
    <t>PPG - Stormshield SILICONE MASONRY - Mix - 5ltr</t>
  </si>
  <si>
    <t>PPG - Johnstones SATIN WOODSTAIN - Mahogany - 5ltr</t>
  </si>
  <si>
    <t>PPG - Johnstones STABILISING SOLU - Clear - 5ltr</t>
  </si>
  <si>
    <t>PPG - ProGold CONTRACTOR BRUSH 1.5"</t>
  </si>
  <si>
    <t>PPG - Johnstones JONCRYL QD PRIMER - BW - 2.5ltr</t>
  </si>
  <si>
    <t>PPG - EWI   WHITE PLASTIC STOP BEAD 2.5M 10MM</t>
  </si>
  <si>
    <t>PPG - Artex EASI-FILL- 10kg</t>
  </si>
  <si>
    <t>PPG - Johnstones QD FLOOR VARN - Clr Satin - 2.5l</t>
  </si>
  <si>
    <t>PPG - Johnstones ACRYLIC SATIN - Bril White - 5ltr</t>
  </si>
  <si>
    <t>PPG - ProGold COTTON DUST SHEET 12' X 9'</t>
  </si>
  <si>
    <t>PPG - ProGold EXTENSION POLE 2'-4'</t>
  </si>
  <si>
    <t>PPG - K     REFUSE SACKS (50) POLY  BLACK (RS2</t>
  </si>
  <si>
    <t>PPG - Johnstones SATIN WOODSTAIN-Antiq Pine- 5ltr</t>
  </si>
  <si>
    <t>PPG - ProGold SOFT GRIP MINI ROLLER FRAME - 4"</t>
  </si>
  <si>
    <t>PPG - Johnstones ENDURA - Mix - 5ltr</t>
  </si>
  <si>
    <t>PPG - ProGold ALUMINIUM OXIDE GRD120 5M</t>
  </si>
  <si>
    <t>PPG - WATCO SPEC CONF FL RAL COLS   0000001500</t>
  </si>
  <si>
    <t>PPG - Leyland VINYL MATT - Brilliant White - 10ltr</t>
  </si>
  <si>
    <t>PPG - Johnstones SATIN WOODSTAIN - Med Oak -2.5ltr</t>
  </si>
  <si>
    <t>PPG - Stormshield FLEXIBLE EX GLOSS - Black- 2.5l</t>
  </si>
  <si>
    <t>PPG - ProGold ALUMINIUM OXIDE GRD120 10M</t>
  </si>
  <si>
    <t>PPG - ProGold WHITE SPIRIT 2ltr</t>
  </si>
  <si>
    <t>PPG - EASYL LINING PAPER 1200 DOUBL</t>
  </si>
  <si>
    <t>PPG - TESA PR MASK TAPE 50M X 50MM 4440</t>
  </si>
  <si>
    <t>PPG - Johnstones PRO UNDERCOAT - BW - 2.5ltr</t>
  </si>
  <si>
    <t>PPG - PLASTIC 15"  SCUTTLE</t>
  </si>
  <si>
    <t>PPG - Johnstones Acrylic Durable Matt - Mag - 10l</t>
  </si>
  <si>
    <t>PPG - Johnstones ULTRA PRIMER SEALER - BW - 5ltr</t>
  </si>
  <si>
    <t>PPG - Artex EASI FILL 20 10KG</t>
  </si>
  <si>
    <t>PPG - Johnstones STAIN BLOCK PRIMER - White - 5ltr</t>
  </si>
  <si>
    <t>PPG - Johnstones 2PK WB FLOOR - Morn Mist - 5ltr</t>
  </si>
  <si>
    <t>PPG - ProGold Multi Wipes - Pack 100</t>
  </si>
  <si>
    <t>PPG - Johnstones PRO GLOSS - Black - 2.5ltr</t>
  </si>
  <si>
    <t>PPG - Johnstones EGGSHELL - Brilliant White - 5ltr</t>
  </si>
  <si>
    <t>PPG - Leyland VINYL MATT - Magnolia - 10ltr</t>
  </si>
  <si>
    <t>PPG - Johnstones PRO UNDERCOAT - Mix - 2.5ltr</t>
  </si>
  <si>
    <t>PPG - ProGold ALUMINIUM OXIDE GRD80 10M</t>
  </si>
  <si>
    <t>PPG - ZINSR BULLSEYE 123 WHITE      0000001250</t>
  </si>
  <si>
    <t>PPG - Leyland TRUGARD PLIOLITE - Magnolia - 5ltr</t>
  </si>
  <si>
    <t>PPG - EWI   WHIPLASTIC EXPANSION BEAD 2.5M10MM</t>
  </si>
  <si>
    <t>PPG - Zinsser BIN PRIMER WHITE 1ltr</t>
  </si>
  <si>
    <t>PPG - Artex EASIFILL 20 5KG</t>
  </si>
  <si>
    <t>PPG - Johnstones VINYL SOFT SHEEN - BW - 10ltr</t>
  </si>
  <si>
    <t>PPG - Johnstones Acrylic Durable Matt - Mag -5ltr</t>
  </si>
  <si>
    <t>PPG - ProGold ALL PURPOSE WALL ADHESIVE 36 roll</t>
  </si>
  <si>
    <t>PPG - ProGold Multi Wipes - Pack 300</t>
  </si>
  <si>
    <t>PPG - Johnstones Acrylic Durable Matt - Mix - 2.5l</t>
  </si>
  <si>
    <t>PPG - Johnstones VINYL SILK - BW - 10ltr</t>
  </si>
  <si>
    <t>PPG - Johnstones AQUA SATIN - Mix - 2.5ltr</t>
  </si>
  <si>
    <t>PPG - Johnstones AQUA GLOSS - Mix - 1ltr</t>
  </si>
  <si>
    <t>PPG - Johnstones UNI PRIMER - Red Oxide - 5ltr</t>
  </si>
  <si>
    <t>PPG - Johnstones QD OPAQUE - Mix - 2.5ltr</t>
  </si>
  <si>
    <t>PPG - Johnstones QD STEEL &amp; CLADDING - BW - 5ltr</t>
  </si>
  <si>
    <t>PPG - ZINSR COVERSTAIN   WHITE      0000001500</t>
  </si>
  <si>
    <t>PPG - Leyland TRUGARD PLIOLITE - Bril White - 5ltr</t>
  </si>
  <si>
    <t>PPG - Leyland FLOOR PAINT - Tile Red - 5ltr</t>
  </si>
  <si>
    <t>PPG - BEELINE ONE TIME FILLER 1L</t>
  </si>
  <si>
    <t>PPG - ProGold EXTRA LONG PILE POLYESTER ROLLER 9"</t>
  </si>
  <si>
    <t>PPG - Johnstones QD ZINC PHOS - White - 5ltr</t>
  </si>
  <si>
    <t>PPG - PGOLD SIM MOHAIR   4" ROLLER</t>
  </si>
  <si>
    <t>PPG - Johnstones HEAVY DUTY GLAZE - Clear - 5ltr</t>
  </si>
  <si>
    <t>PPG - ProGold ALUMINIUM OXIDE GRD80 5M</t>
  </si>
  <si>
    <t>PPG - Johnstones ADV MULTI SURF PRIMER - BW - 5ltr</t>
  </si>
  <si>
    <t>PPG - Leyland CONTRACT MATT - Magnolia - 10ltr</t>
  </si>
  <si>
    <t>PPG - Johnstones MICROBAR-ACRY EGGSHELL - Mix - 5l</t>
  </si>
  <si>
    <t>PPG - Johnstones SHED &amp; FENCE - Dark Oak - 9ltr</t>
  </si>
  <si>
    <t>PPG - Johnstones SATIN WOODSTAIN - Ebony - 5ltr</t>
  </si>
  <si>
    <t>PPG - ProGold SEMI ROUGH ROLLER 9"</t>
  </si>
  <si>
    <t>PPG - RODO  MULTI PURPSE PASTE TBLE</t>
  </si>
  <si>
    <t>PPG - Woodworks YACHT VARNISH - Clear Gloss - 5ltr</t>
  </si>
  <si>
    <t>PPG - Artex SANDER PAPER A4X25 120GM</t>
  </si>
  <si>
    <t>PPG - JST   1.5 S/CONE EN RENDER WH 0000002250</t>
  </si>
  <si>
    <t>PPG - Johnstones AQUAGUARD - Mix - 2.5ltr</t>
  </si>
  <si>
    <t>PPG - S'FAST 20 GREY              500000EU1500</t>
  </si>
  <si>
    <t>PPG - ZINSR COVERSTAIN   WHITE      0000001250</t>
  </si>
  <si>
    <t>PPG - Johnstones VINYL SILK - BW - 5ltr</t>
  </si>
  <si>
    <t>PPG - ProGold READY MIXED ALL PURPOSE FILLER 2kg</t>
  </si>
  <si>
    <t>PPG - Leyland TG SMOOTH MASONRY - BW - 10ltr</t>
  </si>
  <si>
    <t>PPG - Johnstones VINYL SILK - Mix - 5ltr</t>
  </si>
  <si>
    <t>PPG - STRIKER &amp; POLE 2 X 2"</t>
  </si>
  <si>
    <t>PPG - Johnstones SMOOTH METAL - Silver - 2.5ltr</t>
  </si>
  <si>
    <t>PPG - RODO  DUSTING BRSH 4"</t>
  </si>
  <si>
    <t>PPG - Johnstones ACRYLIC SATIN - Mix - 5ltr</t>
  </si>
  <si>
    <t>PPG - Johnstones  JONMAT - Magnolia - 10ltr</t>
  </si>
  <si>
    <t>PPG - ProGold ROUGH ROLLER 12"</t>
  </si>
  <si>
    <t>PPG - Johnstones PERFECT MATT - Mix- 5ltr</t>
  </si>
  <si>
    <t>PPG - Woodworks POLY VARNISH - Satin Clear - 5l</t>
  </si>
  <si>
    <t>PPG - GORI 88 Trans - Mix - 5ltr</t>
  </si>
  <si>
    <t>PPG - EWI   STR PLUG *BOX 500*</t>
  </si>
  <si>
    <t>PPG - Stormshield FLEXIBLE EX SATIN - Mix - 2.5ltr</t>
  </si>
  <si>
    <t>PPG - Johnstones SOLV OPAQUE - Burnt Wal - 5ltr</t>
  </si>
  <si>
    <t>PPG - Johnstones EGGSHELL - Mix - 2.5ltr</t>
  </si>
  <si>
    <t>PPG - Johnstones SHED &amp; FENCE - Dark Oak - 5ltr</t>
  </si>
  <si>
    <t>PPG - EASYL LINING PAPER 1400 DOUBL</t>
  </si>
  <si>
    <t>PPG - ProGold CLASSIC SYNTHETIC BRUSH 2"</t>
  </si>
  <si>
    <t>PPG - Artex Artex SAND PAPER 100GM 600211 -  - ltr</t>
  </si>
  <si>
    <t>PPG - Johnstones FLORTRED ANTI SLiP - P Grey - 5l</t>
  </si>
  <si>
    <t>PPG - ProGold CONTRACTOR BRUSH 1"</t>
  </si>
  <si>
    <t>PPG - Johnstones EGGSHELL - Brill White - 2.5ltr</t>
  </si>
  <si>
    <t>PPG - Johnstones FLORTRED Safety Blue - 5ltr</t>
  </si>
  <si>
    <t>PPG - EWI   INSULATION PANEL ADHESIVE 25KG</t>
  </si>
  <si>
    <t>PPG - Johnstones QD Woodstain - Mahogany - 2.5l</t>
  </si>
  <si>
    <t>PPG - Leyland ACRYLIC PRIME U/COAT - White -2.5ltr</t>
  </si>
  <si>
    <t>PPG - EWI   BASETRACK JOINT CLIPS</t>
  </si>
  <si>
    <t>PPG - ProGold CLASSIC HYBRID BRUSH 5 PIECE PACK</t>
  </si>
  <si>
    <t>PPG - Stormshield FLEXIBLE EX SATIN - BW - 2.5ltr</t>
  </si>
  <si>
    <t>PPG - Zinsser BIN PRIMER SEALER WHITE - 400ml</t>
  </si>
  <si>
    <t>PPG - Johnstones 2PK SOLV FLOOR - Prin Grey - 4ltr</t>
  </si>
  <si>
    <t>PPG - GORI 88 Opaque - Mix - 5ltr</t>
  </si>
  <si>
    <t>PPG - ProGold ALUMINIUM OXIDE GRD60 10M</t>
  </si>
  <si>
    <t>PPG - RODO CARPET PROTECTOR 20MX600MM</t>
  </si>
  <si>
    <t>PPG - RODO 400ML SKELETON CAULKINGGUN XSTRONG</t>
  </si>
  <si>
    <t>PPG - ProGold WOVEN LONG PILE ROLLER 12"</t>
  </si>
  <si>
    <t>PPG - SD S'DUR 550 SET (X)        XXXXCCEU2200</t>
  </si>
  <si>
    <t>PPG - Johnstones FLORTRED ANTI SLIP - Dk Grey - 5l</t>
  </si>
  <si>
    <t>PPG - ProGold ALL PURPOSE POWDER FILLER 10kg</t>
  </si>
  <si>
    <t>PPG - Stormshield FLEXIBLE EX U/C - Grey - 2.5ltr</t>
  </si>
  <si>
    <t>PPG - ProGold TURPS SUBSTITUTE 2ltr</t>
  </si>
  <si>
    <t>PPG - ProGold SOFT HANDLE ROLLER FRAME - 9"</t>
  </si>
  <si>
    <t>PPG - ProGold WOODEN HANDLE ROLLER FRAME - 9"</t>
  </si>
  <si>
    <t>PPG - Johnstones AQUA UNDERCOAT - Mix - 1ltr</t>
  </si>
  <si>
    <t>PPG - ProGold CLASSIC SYNTHETIC BRUSH 4"</t>
  </si>
  <si>
    <t>PPG - OLFA  18MM BLADES  PK10</t>
  </si>
  <si>
    <t>PPG - ProGold ALUMINIUM OXIDE GRD60 5M</t>
  </si>
  <si>
    <t>PPG - Leyland SATINWOOD - Brilliant White - 5ltr</t>
  </si>
  <si>
    <t>PPG - ProGold ALL PURPOSE POWDER FILLER 5kg</t>
  </si>
  <si>
    <t>PPG - ProGold ALUMINIUM OXIDE GRD120 50M</t>
  </si>
  <si>
    <t>PPG - Johnstones SOLV OPAQUE - Mix - 2.5ltr</t>
  </si>
  <si>
    <t>PPG - MIRKA EXTRACTOR    230V 1230M</t>
  </si>
  <si>
    <t>PPG - RODO  H/D CAULK    GUN PRCG11 REVOLVING</t>
  </si>
  <si>
    <t>PPG - Johnstones ENDURA - Brilliant White - 5ltr</t>
  </si>
  <si>
    <t>PPG - JST   Q/DRY OPAQUE RUSSET     0000001250</t>
  </si>
  <si>
    <t>PPG - Johnstones COVAPLUS - Brilliant White 2.5ltr</t>
  </si>
  <si>
    <t>PPG - Leyland GLOSS - Mix - 5ltr</t>
  </si>
  <si>
    <t>PPG - Johnstones JONMAT - Mix - 10ltr</t>
  </si>
  <si>
    <t>PPG - HAMIL HD STRIPPER  4"</t>
  </si>
  <si>
    <t>PPG - Johnstones SHED &amp; FENCE - Dark C'Nut - 5ltr</t>
  </si>
  <si>
    <t>PPG - PGOLD GLOSSER      ROLLER 4"</t>
  </si>
  <si>
    <t>PPG - EASY  EASYTEX      10-041     LIGHT STIP</t>
  </si>
  <si>
    <t>PPG - Johnstones FLORTRED Safety Yellow - 5ltr</t>
  </si>
  <si>
    <t>PPG - MIRKA DEOS PROMO   KIT 110V   KIT1827INM</t>
  </si>
  <si>
    <t>PPG - Johnstones AQUA UNDERCOAT - DK GRY - 2.5ltr</t>
  </si>
  <si>
    <t>PPG - ProGold FITCH PACK - 5 PACK</t>
  </si>
  <si>
    <t>PPG - ProGold ALUMINIUM OXIDE GRD80 50M</t>
  </si>
  <si>
    <t>PPG - Johnstones FLORTRED Mix - 5ltr</t>
  </si>
  <si>
    <t>PPG - Johnstones QD ZINC PHOS PRIMER - Grey - 2.5l</t>
  </si>
  <si>
    <t>PPG - JST   SS Q/D STAB  CLEAR      0000001500</t>
  </si>
  <si>
    <t>PPG - RODO  DUCT TAPE    50M X 50MM PTDT50</t>
  </si>
  <si>
    <t>PPG - Johnstones VINYL SOFT SHEEN - BW - 5ltr</t>
  </si>
  <si>
    <t>PPG - ProGold STRIPPING KNIFE - 3"</t>
  </si>
  <si>
    <t>PPG - ProGold CLASSIC HYBRID BRUSH 2.5"</t>
  </si>
  <si>
    <t>PPG - MIRKA EXTRACTOR    230V 1230L</t>
  </si>
  <si>
    <t>PPG - PGOLD WHITE SPIRIT 750ML            0750</t>
  </si>
  <si>
    <t>PPG - MIRKA DEOS DELTA   110V L/KIT</t>
  </si>
  <si>
    <t>PPG - SD S'DUR 520 SET (X)        XXXXCCEU1400</t>
  </si>
  <si>
    <t>PPG - Johnstones QD Woodstain - Antiq Pine - 2.5l</t>
  </si>
  <si>
    <t>PPG - Zinsser COVERSTAIN AEROSOL - 400ml</t>
  </si>
  <si>
    <t>PPG - Johnstones AQUAGUARD - Bril White - 5ltr</t>
  </si>
  <si>
    <t>PPG - Leyland TG SMOOTH MASONRY - Peat - 5ltr</t>
  </si>
  <si>
    <t>PPG - Johnstones AQUA SATIN - Mix - 1ltr</t>
  </si>
  <si>
    <t>PPG - Leyland VINYL SILK - Brilliant White - 5ltr</t>
  </si>
  <si>
    <t>PPG - Johnstones VINYL SOFT SHEEN - Mix - 10ltr</t>
  </si>
  <si>
    <t>PPG - ProGold ALUMINIUM OXIDE GRD40 5M</t>
  </si>
  <si>
    <t>PPG - Leyland ACRYLIC EGGSHELL - BW - 10ltr</t>
  </si>
  <si>
    <t>PPG - Misc Sundries IND SPONTEX  SPONGE</t>
  </si>
  <si>
    <t>PPG - Johnstones ADV STAIN BLOCK PRIME - BW - 2.5l</t>
  </si>
  <si>
    <t>PPG - MIRKA DEROS 6560CV 240V DECO  SOL KIT</t>
  </si>
  <si>
    <t>PPG - SD S'COVER 350 SET (X)      XXXXCCEU1400</t>
  </si>
  <si>
    <t>PPG - MIRKA DECO KIT     240V DEOS  DELTA</t>
  </si>
  <si>
    <t>PPG - EASYL LINING PAPER 1700 DOUBL</t>
  </si>
  <si>
    <t>PPG - TETR  A/P POWDER   FILLER 10K 0000002100</t>
  </si>
  <si>
    <t>PPG - Johnstones PRO UNDERCOAT - Mix - 1ltr</t>
  </si>
  <si>
    <t>PPG - RODO  MASONRY BRSH 4 INCH</t>
  </si>
  <si>
    <t>PPG - ZINSR BULLSEYE 123 PLUS       0000001250</t>
  </si>
  <si>
    <t>PPG - MIRKA HIOMANT 50MT 80 GRIT</t>
  </si>
  <si>
    <t>PPG - Johnstones ACRYLIC EGGSHELL - BW - 2.5ltr</t>
  </si>
  <si>
    <t>PPG - ESKI  BAG OF RAGS</t>
  </si>
  <si>
    <t>PPG - PURDY SHORT HANDLE WIRE BRUSH</t>
  </si>
  <si>
    <t>PPG - Johnstones PERFECT MATT - BW- 5ltr</t>
  </si>
  <si>
    <t>PPG - ProGold CLASSIC SYNTHETIC BRUSH 1.5"</t>
  </si>
  <si>
    <t>PPG - Johnstones SATIN WOODSTAIN -Mahogany-2.5ltr</t>
  </si>
  <si>
    <t>PPG - TESA PR MASK TAPE 50M X 38MM 4440</t>
  </si>
  <si>
    <t>PPG - PURDY ADJUST FRAME 12IN-18IN</t>
  </si>
  <si>
    <t>PPG - Johnstones AQUA GLOSS - Black - 5ltr</t>
  </si>
  <si>
    <t>PPG - Johnstones QD OPAQUE - White - 2.5ltr</t>
  </si>
  <si>
    <t>PPG - Johnstones PERFECT MATT - BW - 10ltr</t>
  </si>
  <si>
    <t>PPG - Johnstones SHED &amp; FENCE - Green - 5ltr</t>
  </si>
  <si>
    <t>PPG - EWI   RECYCLING    BAGS ROLL 50</t>
  </si>
  <si>
    <t>PPG - ProGold INTERIOR POWDER FILLER 5kg</t>
  </si>
  <si>
    <t>PPG - MIRKA HIOMANT 10MT 120 GRIT</t>
  </si>
  <si>
    <t>PPG - Johnstones PROF SATIN FINISH - Mix - 1ltr</t>
  </si>
  <si>
    <t>PPG - Johnstones EGGSHELL - Magnolia - 5ltr</t>
  </si>
  <si>
    <t>PPG - Johnstones SMOOTH METAL - Gold - 800ml</t>
  </si>
  <si>
    <t>PPG - Leyland GLOSS - Black - 5ltr</t>
  </si>
  <si>
    <t>PPG - JST   OPAQUE W/FIN Z2         0000001197</t>
  </si>
  <si>
    <t>PPG - EASY  EASYTEX      10-038     SWIRL</t>
  </si>
  <si>
    <t>PPG - G&amp;B   FRESCO 19782 CARRERA    PG.HS</t>
  </si>
  <si>
    <t>PPG - Leyland TG SMOOTH MASONRY- BW - 5ltr</t>
  </si>
  <si>
    <t>PPG - ProGold REPLACE SNAP KNIFE BLADE 18MM</t>
  </si>
  <si>
    <t>PPG - Leyland VINYL SILK - Mix - 5ltr</t>
  </si>
  <si>
    <t>PPG - MIRKA ALUM OXIDE   80GRIT 10M HIOMANT</t>
  </si>
  <si>
    <t>PPG - Johnstones SHED &amp; FENCE - Dark C'Nut - 9ltr</t>
  </si>
  <si>
    <t>PPG - Johnstones CLEANER &amp; DEGREASER - Clear - 5l</t>
  </si>
  <si>
    <t>PPG - Woodworks POLY VARNISH - GLOSS Clear - 5l</t>
  </si>
  <si>
    <t>PPG - Johnstones QD Woodstain - Teak - 2.5l</t>
  </si>
  <si>
    <t>PPG - Johnstones AQUA GLOSS - Bril White - 1ltr</t>
  </si>
  <si>
    <t>PPG - ProGold CLASSIC HYBRID BRUSH 4"</t>
  </si>
  <si>
    <t>PPG - Stormshield SELF CLEAN MASONRY - BW - 5ltr</t>
  </si>
  <si>
    <t>PPG - Johnstones ACRYLIC SATIN - Bril White 2.5ltr</t>
  </si>
  <si>
    <t>PPG - PURDY MON 01C      BRUSH SET  CONTENTS 1</t>
  </si>
  <si>
    <t>PPG - Johnstones  AGRICULTURAL OXIDE - Grey - 5ltr</t>
  </si>
  <si>
    <t>PPG - Johnstones MICROBAR-ACRYLIC MATT - BW - 5l</t>
  </si>
  <si>
    <t>PPG - HAMIL HD TUNGSTEN CARBIDE SCRAPER 2"</t>
  </si>
  <si>
    <t>PPG - ProGold READY MIXED ALL PURPOSE FILLER 1kg</t>
  </si>
  <si>
    <t>PPG - Leyland UNDERCOAT - Mix - 5ltr</t>
  </si>
  <si>
    <t>PPG - ProGold DOUBLE ARM FRAME 12"</t>
  </si>
  <si>
    <t>PPG - MGRR  FUNGICIDAL   WASH       0000001250</t>
  </si>
  <si>
    <t>PPG - RODO WIRE BRUSH 4 ROW</t>
  </si>
  <si>
    <t>PPG - ProGold LONG PILE POLYESTER ROLLER 9"</t>
  </si>
  <si>
    <t>PPG - ProGold ALL PURPOSE POWDER FILLER 2kg</t>
  </si>
  <si>
    <t>PPG - Johnstones WB FLOOR VARN - Clear Gloss - 5l</t>
  </si>
  <si>
    <t>PPG - K     BIRDCAGE     9" FRAME   PLASTICHAN</t>
  </si>
  <si>
    <t>PPG - RODO  SUPER CLING  DUST SHEET PRODEC</t>
  </si>
  <si>
    <t>PPG - PPG COLOUR SCANNER                 CR100</t>
  </si>
  <si>
    <t>PPG - EASYM EASYTEX MAX  LAGOON W/C 10-069</t>
  </si>
  <si>
    <t>PPG - MANGR PAINT KETTLE 2.5L       WITH HANDL</t>
  </si>
  <si>
    <t>PPG - Leyland GLOSS - Brilliant White - 5ltr</t>
  </si>
  <si>
    <t>PPG - Leyland SUPERLEYTEX - Brill White - 15ltr</t>
  </si>
  <si>
    <t>PPG - Johnstones PRO UNDERCOAT - Dark Grey 2.5ltr</t>
  </si>
  <si>
    <t>PPG - EASY  EASYTEX      10-035     CASCADE</t>
  </si>
  <si>
    <t>PPG - Johnstones ACRYLIC SATIN - Mix - 2.5ltr</t>
  </si>
  <si>
    <t>PPG - Johnstones SATIN WOODSTAIN-Antiq Pine-2.5ltr</t>
  </si>
  <si>
    <t>PPG - Johnstones COVAPLUS - Black - 5ltr</t>
  </si>
  <si>
    <t>PPG - HAMIL HD TUNGSTEN CARBIDE BLADE 2"</t>
  </si>
  <si>
    <t>PPG - ProGold AQUA SYNTH BRUSH SET</t>
  </si>
  <si>
    <t>PPG - Johnstones VINYL SOFT SHEEN - Mix - 2.5ltr</t>
  </si>
  <si>
    <t>PPG - ProGold CLASSIC HYBRID BRUSH 2"</t>
  </si>
  <si>
    <t>PPG - Johnstones STAIN BLOCK PRIMER - White - 1ltr</t>
  </si>
  <si>
    <t>PPG - Johnstones AQUA UNDERCOAT - BW - 1ltr</t>
  </si>
  <si>
    <t>PPG - Johnstones COVAPLUS - Testerpot</t>
  </si>
  <si>
    <t>PPG - ProGold PREMIUM BRISTLE BRUSH 2"</t>
  </si>
  <si>
    <t>PPG - FD    44+QUICK DRY MIXED      0000001500</t>
  </si>
  <si>
    <t>PPG - ProGold MICROFIBRE ROLLER 9"</t>
  </si>
  <si>
    <t>PPG - Leyland TG SMOOTH MASONRY - Black - 5ltr</t>
  </si>
  <si>
    <t>PPG - EWI   EPS 70E      50MM</t>
  </si>
  <si>
    <t>PPG - Artex GYPROC COVE  3M X 100MM</t>
  </si>
  <si>
    <t>PPG - Johnstones S/SHIELD STAB SOLU - White - 5ltr</t>
  </si>
  <si>
    <t>PPG - Johnstones SOLV OPAQUE - Forest Grn- 5ltr</t>
  </si>
  <si>
    <t>PPG - JST  QD POLY FLORTRED Z1 2010      1500</t>
  </si>
  <si>
    <t>PPG - QTECH QTECTOR PUMP COND 3.8LT Q400-011</t>
  </si>
  <si>
    <t>PPG - EWI   DT-PRO PLAST TAPE 50MT  OUTSIDE GR</t>
  </si>
  <si>
    <t>PPG - Woodworks YACHT VARN - Clear Gloss - 2.5ltr</t>
  </si>
  <si>
    <t>PPG - Johnstones PROF SATIN FINISH - BW - 1ltr</t>
  </si>
  <si>
    <t>PPG - K     HANDLE FRAME 4" LONG</t>
  </si>
  <si>
    <t>PPG - Johnstones COVAPLUS - Mix - 1ltr</t>
  </si>
  <si>
    <t>PPG - FROGT FROG TAPE    36MM       DELICATE</t>
  </si>
  <si>
    <t>PPG - Leyland ACRYLIC EGGSHELL - Magnolia - 10ltr</t>
  </si>
  <si>
    <t>PPG - HARRIS &amp; HAMILTON SCISSORS</t>
  </si>
  <si>
    <t>PPG - REFUSE SACKS (10) POLY  BLACK RS10</t>
  </si>
  <si>
    <t>PPG - Johnstones SATIN WOODSTAIN - Teak - 5ltr</t>
  </si>
  <si>
    <t>PPG - PURDY 9"SLEEVE     13/4C 3/4N MARATHON</t>
  </si>
  <si>
    <t>PPG - Johnstones ADV STAIN BLOCK PRIMER - BW - 5l</t>
  </si>
  <si>
    <t>PPG - Johnstones AQUAGUARD - Bril White - 2.5ltr</t>
  </si>
  <si>
    <t>PPG - Woodworks POLY VARNISH - GLOSS Clear -2.5l</t>
  </si>
  <si>
    <t>PPG - Leyland EGGSHELL - Mix - 2.5ltr</t>
  </si>
  <si>
    <t>PPG - TESA DUCT TAPE SI 50M X 48MM 74613</t>
  </si>
  <si>
    <t>PPG - Johnstones PRO GLOSS - Brill White - 1ltr</t>
  </si>
  <si>
    <t>PPG - ProGold CLASSIC SYNTHETIC BRUSH 3"</t>
  </si>
  <si>
    <t>PPG - EASY  EASYTEX      10-046     STITCH</t>
  </si>
  <si>
    <t>PPG - FatHog BIB&amp;BRACE WHITE 44"-46"</t>
  </si>
  <si>
    <t>PPG - RODO POLE SANDER HEAD</t>
  </si>
  <si>
    <t>PPG - ProGold FINE SURFACE FILLER 1kg</t>
  </si>
  <si>
    <t>PPG - Leyland VINYL MATT - Mix - 10ltr</t>
  </si>
  <si>
    <t>PPG - Johnstones ANTI SLIP ADDITIVE - 1.5kg</t>
  </si>
  <si>
    <t>PPG - FROGT FROG TAPE    36MM       MULTISURFA</t>
  </si>
  <si>
    <t>PPG - Johnstones QD Woodstain - Walnut - 2.5l</t>
  </si>
  <si>
    <t>PPG - FatHog DEC CAULK MAGNOLIA - 380ml</t>
  </si>
  <si>
    <t>PPG - TESA SEN MASKTAPE 50M X 38MM 4333</t>
  </si>
  <si>
    <t>PPG - HODGS LINSEED OIL  PUTTY 2KG  0000000200</t>
  </si>
  <si>
    <t>PPG - Johnstones QD FLOOR VARN - Clr Satin - 750ml</t>
  </si>
  <si>
    <t>PPG - PURDY POWERLOCK    2-4 FT     EXT POLE</t>
  </si>
  <si>
    <t>PPG - Woodworks INT FLOOR VARN - Clear Satin - 5l</t>
  </si>
  <si>
    <t>PPG - ProGold COTTON TWIL DUST SHEET MINI 24' X 3'</t>
  </si>
  <si>
    <t>PPG - Johnstones STAINAWAY - Bril White - 2.5ltr</t>
  </si>
  <si>
    <t>PPG - PURDY POWERLOCK    4-8 FT     EXT POLE</t>
  </si>
  <si>
    <t>PPG - Johnstones PRO GLOSS - Black - 1ltr</t>
  </si>
  <si>
    <t>PPG - Johnstones VINYL SILK - Mix - 2.5ltr</t>
  </si>
  <si>
    <t>PPG - HAMIL PRESTIGE SYN 5BS + COMB 5 BRUSH SE</t>
  </si>
  <si>
    <t>PPG - Johnstones PRO GLOSS - Mix - 5ltr</t>
  </si>
  <si>
    <t>PPG - AXUS  WALLPAPER    SCISSORS</t>
  </si>
  <si>
    <t>PPG - MIRKA 150MM        PAD        BACKING</t>
  </si>
  <si>
    <t>PPG - S'COVER 350 SET ALUMINIUM     9000001400</t>
  </si>
  <si>
    <t>PPG - OLFA  12.5MM W/PAP SNAP KNIFE</t>
  </si>
  <si>
    <t>PPG - THINNER 90-53               0000TREU1500</t>
  </si>
  <si>
    <t>PPG - Leyland UNDERCOAT - Dark Grey - 5ltr</t>
  </si>
  <si>
    <t>PPG - FROGT GLOSS &amp;SATIN 36MM(1.5") 104189</t>
  </si>
  <si>
    <t>PPG - JST  QD POLY FLORTRED L 2010       1500</t>
  </si>
  <si>
    <t>PPG - Johnstones JONMAT - Brilliant White - 5ltr</t>
  </si>
  <si>
    <t>PPG - ProGold SEMI ROUGH ROLLER 12"</t>
  </si>
  <si>
    <t>PPG - BLINE READY MIXED  PASTE      0000000900</t>
  </si>
  <si>
    <t>PPG - Leyland VINYL SILK - Magnolia - 10ltr</t>
  </si>
  <si>
    <t>PPG - S'COVER 350 SET OFFWHITE      7001002200</t>
  </si>
  <si>
    <t>PPG - Leyland VINYL SILK - Magnolia - 5ltr</t>
  </si>
  <si>
    <t>PPG - EWI   ADH BACKED MESH WING RB 2.5M 6MM</t>
  </si>
  <si>
    <t>PPG - Leyland ACRYLIC EGGSHELL - Mix - 2.5ltr</t>
  </si>
  <si>
    <t>PPG - ProGold POLYTHENE ROLL DUST SHEET - 3M X 25M</t>
  </si>
  <si>
    <t>PPG - Leyland FAST DRYING WB GLOSS - BW - 2.5ltr</t>
  </si>
  <si>
    <t>PPG - Leyland ALKALI RESISTING PRIMER -  - 5ltr</t>
  </si>
  <si>
    <t>PPG - ProGold POLY PROTECTING DUST SHEET - 4M X 5M</t>
  </si>
  <si>
    <t>PPG - Johnstones SHED &amp; FENCE - Ebony - 5ltr</t>
  </si>
  <si>
    <t>PPG - UB    SANDING PAD  MEDIUM</t>
  </si>
  <si>
    <t>PPG - JST   ENH RENDER PRIMER WHITE 0000002150</t>
  </si>
  <si>
    <t>PPG - Johnstones PRO GLOSS - Magnolia - 5ltr</t>
  </si>
  <si>
    <t>PPG - EASYL LINING PAPER 1000 DOUBL</t>
  </si>
  <si>
    <t>PPG - PGOLD CONCAVE FOAM ROLLER 4"</t>
  </si>
  <si>
    <t>PPG - S'DUR 550 SET WHITE           7000002200</t>
  </si>
  <si>
    <t>PPG - Johnstones JONMAT - Brilliant White - 15ltr</t>
  </si>
  <si>
    <t>PPG - OLFA  18MM AUTO    LOCK KNIFE</t>
  </si>
  <si>
    <t>PPG - PGOLD MASKING TAPE 1.5" 50M</t>
  </si>
  <si>
    <t>PPG - Artex Artex FIBATAPE 90M CLASSIC -  - ltr</t>
  </si>
  <si>
    <t>PPG - Johnstones QD Woodstain - Clear - 2.5l</t>
  </si>
  <si>
    <t>PPG - ProGold MINI ROLLER KIT 22 PIECE</t>
  </si>
  <si>
    <t>PPG - Leyland VINYL MATT - Black - 5ltr</t>
  </si>
  <si>
    <t>PPG - Johnstones WB FLOOR VARN - Clear Satin -2.5l</t>
  </si>
  <si>
    <t>PPG - ProGold READY MIX ALL PUR WALLCOV ADH 2.5kg</t>
  </si>
  <si>
    <t>PPG - HAMIL HEAVY DUTY   BLADES 4"</t>
  </si>
  <si>
    <t>PPG - ARTEX LEVELLINE    GYPROC 30M</t>
  </si>
  <si>
    <t>PPG - ProGold SNAP KNIFE 18mm</t>
  </si>
  <si>
    <t>PPG - Leyland CONTRACT MATT - Brill White - 15ltr</t>
  </si>
  <si>
    <t>PPG - UNBRANDED SHORT HANDLE FRAME 4"</t>
  </si>
  <si>
    <t>PPG - TETR  A/P POWDER   FILLER 5KG 0000001500</t>
  </si>
  <si>
    <t>PPG - Johnstones PRO UNDERCOAT - Charcoal - 5ltr</t>
  </si>
  <si>
    <t>PPG - Leyland SATINWOOD - Brilliant White - 2.5ltr</t>
  </si>
  <si>
    <t>PPG - Johnstones AQUA GLOSS - Black - 2.5ltr</t>
  </si>
  <si>
    <t>PPG - Johnstones VINYL SOFT SHEEN - BW - 2.5ltr</t>
  </si>
  <si>
    <t>PPG - K     SPONTEX      STD SPONGE</t>
  </si>
  <si>
    <t>PPG - Johnstones QD Woodstain - Medium Oak - 2.5l</t>
  </si>
  <si>
    <t>PPG - FatHog TROUSERS WHITE 34"</t>
  </si>
  <si>
    <t>PPG - ProGold WALL BRUSH - 6"</t>
  </si>
  <si>
    <t>PPG - FatHog BIB&amp;BRACE WHITE 36"-38"</t>
  </si>
  <si>
    <t>PPG - Johnstones STERILISATION WASH - Clear - 2.5l</t>
  </si>
  <si>
    <t>PPG - ZINSR BULLSEYE 123 WHITE      0000001100</t>
  </si>
  <si>
    <t>PPG - ProGold FLEXIBLE FILLING KNIFE - 3"</t>
  </si>
  <si>
    <t>PPG - Johnstones FLORTRED Black - 5ltr</t>
  </si>
  <si>
    <t>PPG - Johnstones AQUAGUARD - Mix - 1ltr</t>
  </si>
  <si>
    <t>PPG - Johnstones  ACID ETCH - Clear - 5ltr</t>
  </si>
  <si>
    <t>PPG - FatHog LIGHTWEIGHT FILLER 1L</t>
  </si>
  <si>
    <t>PPG - TESA MASK TAPE 50M X 38MM 4348</t>
  </si>
  <si>
    <t>PPG - Woodworks KNOTTING SOLUTION - 250ml</t>
  </si>
  <si>
    <t>PPG - ProGold MEDIUM PILE POLYESTER ROLLER 9"</t>
  </si>
  <si>
    <t>PPG - Leyland VINYL MATT - Mix - 2.5ltr</t>
  </si>
  <si>
    <t>PPG - CORAL PAPERWIZ</t>
  </si>
  <si>
    <t>PPG - PURDY COLOSSUS     12" ROLLER</t>
  </si>
  <si>
    <t>PPG - Johnstones SMOOTH METAL - Mix - 800ml</t>
  </si>
  <si>
    <t>PPG - Johnstones SMOOTH METAL - Black - 800ml</t>
  </si>
  <si>
    <t>PPG - Johnstones SMOOTH METAL - White - 800ml</t>
  </si>
  <si>
    <t>PPG - GORI 99 Opaque - Mix - 5ltr</t>
  </si>
  <si>
    <t>PPG - FatHog BIB&amp;BRACE WHITE 40"-42"</t>
  </si>
  <si>
    <t>PPG - Leyland VINYL SILK - Brill White - 10ltr</t>
  </si>
  <si>
    <t>PPG - MIRKA CARATFLEX 5M 320 GRIT</t>
  </si>
  <si>
    <t>PPG - PURDY XL MON ELITE 2" BRUSH</t>
  </si>
  <si>
    <t>PPG - ZINSR BULLSEYE 123 PLUS       0000001500</t>
  </si>
  <si>
    <t>PPG - ProGold CLASSIC HYBRID BRUSH 3"</t>
  </si>
  <si>
    <t>PPG - Leyland TRUGARD PLIOLITE - Mushroom - 5ltr</t>
  </si>
  <si>
    <t>PPG - Johnstones COVAPLUS - Magnolia - 2.5ltr</t>
  </si>
  <si>
    <t>PPG - PURDY COLOSSUS     9" ROLLER</t>
  </si>
  <si>
    <t>PPG - HARRIS &amp; HAMILTON STRIPPING KNIFE - 3''</t>
  </si>
  <si>
    <t>PPG - FatHog TROUSERS WHITE 36"</t>
  </si>
  <si>
    <t>PPG - ProGold PREMIUM BRISTLE BRUSH 1.5"</t>
  </si>
  <si>
    <t>PPG - HARRIS &amp; HAMILTON FILLING KNIFE -  - 3''ltr</t>
  </si>
  <si>
    <t>PPG - Johnstones AQUA GLOSS - Black - 1ltr</t>
  </si>
  <si>
    <t>PPG - Stormshield SILICONE MASONRY - BW - 5ltr</t>
  </si>
  <si>
    <t>PPG - FatHog TROUSERS WHITE 32"</t>
  </si>
  <si>
    <t>PPG - Leyland ONE COAT GLOSS - BW - 2.5ltr</t>
  </si>
  <si>
    <t>PPG - FatHog EVOLUTION TROUSER 42" WHITE</t>
  </si>
  <si>
    <t>PPG - FatHog EVO BIB &amp; BRACE  48-50" XXL WHITE</t>
  </si>
  <si>
    <t>PPG - Johnstones FLORTRED White - 5ltr</t>
  </si>
  <si>
    <t>PPG - PGOLD MASKING TAPE 1" 50M</t>
  </si>
  <si>
    <t>PPG - FatHog LIGHTWEIGHT FILLER 4L</t>
  </si>
  <si>
    <t>PPG - FatHog TROUSERS WHITE 30"</t>
  </si>
  <si>
    <t>PPG - TESA EASYCOVER 1800MMX33M 4368</t>
  </si>
  <si>
    <t>PPG - BLKRO DISPOSABLE   GLOVES XL  BRPDG100XL</t>
  </si>
  <si>
    <t>PPG - OLFA  12.5MM BLADE PK10</t>
  </si>
  <si>
    <t>PPG - Mangers SUGAR SOAP SPRAY 500ML</t>
  </si>
  <si>
    <t>PPG - Johnstones PRO UNDERCOAT - Mid Grey - 5ltr</t>
  </si>
  <si>
    <t>PPG - Johnstones PERFECT MATT - BW - 2.5ltr</t>
  </si>
  <si>
    <t>PPG - FROGT FROG TAPE    24MM       MULTISURFA</t>
  </si>
  <si>
    <t>PPG - Leyland TG SMOOTH MASONRY - Quary Red - 5ltr</t>
  </si>
  <si>
    <t>PPG - EWI   COMPRESSIBLE SEAL - 10M TEP-EPDM-2</t>
  </si>
  <si>
    <t>PPG - ZINSR SB STAIN KIL MATT WHITE 0000001500</t>
  </si>
  <si>
    <t>PPG - FROGT FROG TAPE    24MM       DELICATE</t>
  </si>
  <si>
    <t>PPG - ProGold STRIPPING KNIFE - 2"</t>
  </si>
  <si>
    <t>PPG - Johnstones JONMAT - Magnolia - 15ltr</t>
  </si>
  <si>
    <t>PPG - Woodworks POLY VARNISH - Satin Clear - 2.5l</t>
  </si>
  <si>
    <t>PPG - ProGold CLASSIC HYBRID BRUSH 1.5"</t>
  </si>
  <si>
    <t>PPG - Stormshield FLEXIBLE EX SATIN - Black- 2.5l</t>
  </si>
  <si>
    <t>PPG - ProGold AQUA ANGLE OVAL BRUSH 2"</t>
  </si>
  <si>
    <t>PPG - Johnstones WB FLOOR VARN - Clear Satin - 5l</t>
  </si>
  <si>
    <t>PPG - Leyland UNDERCOAT - Mid Grey 5ltr</t>
  </si>
  <si>
    <t>PPG - ProGold AQUA SYNTHETIC BRUSH 2"</t>
  </si>
  <si>
    <t>PPG - RODO PRODEC PREM BRUSH SET6 PBPT049</t>
  </si>
  <si>
    <t>PPG - ProGold AQUA SYNTHETIC ANGLE BRUSH 1.5"</t>
  </si>
  <si>
    <t>PPG - Mangers SUGAR SOAP 10L MIX</t>
  </si>
  <si>
    <t>PPG - Leyland STAIN BLOCKING PRIMER - White - 2.5l</t>
  </si>
  <si>
    <t>PPG - RODO  12" CAULKER  PLDT004</t>
  </si>
  <si>
    <t>PPG - RODO  PAINT DOZEN  12P BRUSH  SET</t>
  </si>
  <si>
    <t>PPG - ZINSR PEEL STOP                     1500</t>
  </si>
  <si>
    <t>PPG - ProGold BORDER &amp; OVERLAP ADH 1kg</t>
  </si>
  <si>
    <t>PPG - Johnstones ADV STAIN BLOCK PRIMER - BW - 1l</t>
  </si>
  <si>
    <t>PPG - TESA MASK TAPE 50M X 50MM 4348</t>
  </si>
  <si>
    <t>PPG - RODO  PROTECTOR LI DUST SHEET NON WOVEN</t>
  </si>
  <si>
    <t>PPG - Stormshield FLEXIBLE EX GLOSS - Mix - 1ltr</t>
  </si>
  <si>
    <t>PPG - UB    COMP SYNTHET BRUSH 2"</t>
  </si>
  <si>
    <t>PPG - PROGOLD ABRASIVE PAD COURSE(10</t>
  </si>
  <si>
    <t>PPG - UB    3G BUILDERS  BUCKET</t>
  </si>
  <si>
    <t>PPG - Johnstones PRO UNDERCOAT - Charcoal - 2.5ltr</t>
  </si>
  <si>
    <t>PPG - Johnstones MDF PRIMER - Bril White - 5ltr</t>
  </si>
  <si>
    <t>PPG - RODO PRECISION EDGE MASKING TAPE 1.5"</t>
  </si>
  <si>
    <t>PPG - BLKRO LATEX GRIP   GLOVE</t>
  </si>
  <si>
    <t>PPG - ProGold INTERIOR POWDER FILLER 2kg</t>
  </si>
  <si>
    <t>PPG - MIRKA ABRANET 81X133 P180  10 STK</t>
  </si>
  <si>
    <t>PPG - Johnstones SATIN WOODSTAIN - Walnut - 2.5ltr</t>
  </si>
  <si>
    <t>PPG - RODO  10" CAULKER  PLDT003</t>
  </si>
  <si>
    <t>PPG - Johnstones QD ZINC PHOS - Red Ox - 2.5ltr</t>
  </si>
  <si>
    <t>PPG - ProGold SCUTTLE KIT</t>
  </si>
  <si>
    <t>PPG - TESA PR MASK TAPE 50M X 25MM 4440</t>
  </si>
  <si>
    <t>PPG - Leyland GLOSS - Mix - 2.5ltr</t>
  </si>
  <si>
    <t>PPG - Johnstones CLEANABLE MATT - Mix - 10ltr</t>
  </si>
  <si>
    <t>PPG - Mangers SUGAR SOAP 30L MIX</t>
  </si>
  <si>
    <t>PPG - Leyland UNDERCOAT - Mix - 2.5ltr</t>
  </si>
  <si>
    <t>PPG - Mangers FUNGICIDAL  SPRAY 500ML</t>
  </si>
  <si>
    <t>PPG - ProGold LONG PILE POLYESTER ROLLER 12"</t>
  </si>
  <si>
    <t>PPG - Johnstones SHED &amp; FENCE - Acorn Gold - 5ltr</t>
  </si>
  <si>
    <t>PPG - ProGold PVA ADHESIVE SEAL 5ltr</t>
  </si>
  <si>
    <t>PPG - ProGold READY MIXED ALL PURPOSE FILLER 600g</t>
  </si>
  <si>
    <t>PPG - FatHog BIB&amp;BRACE WHITE 32"-34"</t>
  </si>
  <si>
    <t>PPG - ProGold CLASSIC SYNTHETIC BRUSH 1"</t>
  </si>
  <si>
    <t>PPG - Woodworks INT FLOOR VARN - Clr Satin - 2.5l</t>
  </si>
  <si>
    <t>PPG - ProGold CLEAN SPIRIT 2ltr</t>
  </si>
  <si>
    <t>PPG - Johnstones QD MATT BLACKBOARD - Black - 2.5l</t>
  </si>
  <si>
    <t>PPG - Johnstones EGGSHELL - Mix - 1ltr</t>
  </si>
  <si>
    <t>PPG - HARRIS &amp; HAMILTON STRIPPING KNIFE - 2''</t>
  </si>
  <si>
    <t>PPG - MIRKA ABRANET 150MM P80 50 STK</t>
  </si>
  <si>
    <t>PPG - Johnstones SHED &amp; FENCE - Grey - 5ltr</t>
  </si>
  <si>
    <t>PPG - ProGold AQUA SYNTHETIC BRUSH 2.5"</t>
  </si>
  <si>
    <t>PPG - Johnstones SMOOTH METAL - Silver - 800ml</t>
  </si>
  <si>
    <t>PPG - ProGold PREMIUM BRISTLE BRUSH 2.5"</t>
  </si>
  <si>
    <t>PPG - Johnstones WB FLOOR VARN - Clear Gloss -2.5l</t>
  </si>
  <si>
    <t>PPG - S'DUR 550 SET BLACK           8000001400</t>
  </si>
  <si>
    <t>PPG - Johnstones FLORTRED Dark Grey - 2.5ltr</t>
  </si>
  <si>
    <t>PPG - Johnstones BLACK BITUMEN - Black  - 5ltr</t>
  </si>
  <si>
    <t>PPG - Leyland ACRYLIC EGGSHELL - BW - 2.5lt</t>
  </si>
  <si>
    <t>PPG - OSMO  UV PROT OIL  CLEAR      0000000750</t>
  </si>
  <si>
    <t>PPG - RODO  CONT PLASTIC M/ SCRAPER PACK 8</t>
  </si>
  <si>
    <t>PPG - JST MATT WOODSTAIN - Medium Oak - 2.5ltr</t>
  </si>
  <si>
    <t>PPG - ZINSR COVERSTAIN   WHITE      0000001100</t>
  </si>
  <si>
    <t>PPG - Johnstones AQUA UNDERCOAT - DK GRY - 1ltr</t>
  </si>
  <si>
    <t>PPG - Johnstones FLORTRED Safety Yellow - 2.5ltr</t>
  </si>
  <si>
    <t>PPG - HARRIS &amp; HAMILTON FILLING KNIFE - 2''ltr</t>
  </si>
  <si>
    <t>PPG - Johnstones SATIN WOODSTAIN - Clear - 2.5ltr</t>
  </si>
  <si>
    <t>PPG - Artex EASIFILLER LIGHT 2.5KG</t>
  </si>
  <si>
    <t>PPG - TESA ECOVER PAPER 25M X 0.3M 4364</t>
  </si>
  <si>
    <t>PPG - Artex R/MIX JOINT CEMEMT 12ltr</t>
  </si>
  <si>
    <t>PPG - EASY  EASYTEX      10-044     FIBROUS</t>
  </si>
  <si>
    <t>PPG - Johnstones TC3 THINNER - 5ltr</t>
  </si>
  <si>
    <t>PPG - RODO  6" L/HANDLE  SCRAPER    (LHWS6)</t>
  </si>
  <si>
    <t>PPG - JST   SATIN W/STN  LIGHT OAK  0000001250</t>
  </si>
  <si>
    <t>PPG - ProGold WOVEN SHORT PILE ROLLER 12"</t>
  </si>
  <si>
    <t>PPG - TESA SEN MASKTAPE 50M X 50MM 4333</t>
  </si>
  <si>
    <t>PPG - ProGold METHALATED SPIRIT 500ML</t>
  </si>
  <si>
    <t>PPG - ProGold MEDIUM PILE POLYESTER ROLLER 12"</t>
  </si>
  <si>
    <t>PPG - ProGold AQUA SYNTHETIC BRUSH 1.5"</t>
  </si>
  <si>
    <t>PPG - FatHog EVO BIB &amp; BRACE  40-42" LRG WHITE</t>
  </si>
  <si>
    <t>PPG - TETR  A/P POWDER(8 FILLER 1.5 0000001150</t>
  </si>
  <si>
    <t>PPG - RODO  RUBBLE SACKS PACK OF 5  (RB5)</t>
  </si>
  <si>
    <t>PPG - CORAL PASTE TABLE  HARDBOARD  TOP</t>
  </si>
  <si>
    <t>PPG - Johnstones SATIN WOODSTAIN - Walnut - 5ltr</t>
  </si>
  <si>
    <t>PPG - Johnstones SATIN WOODSTAIN - Mix - 5ltr</t>
  </si>
  <si>
    <t>PPG - Johnstones SATIN WOODSTAIN - Med Oak - 750ml</t>
  </si>
  <si>
    <t>PPG - Johnstones SHED &amp; FENCE - Rustic Red - 5ltr</t>
  </si>
  <si>
    <t>PPG - Johnstones PRO UNDERCOAT - Mid Grey - 2.5ltr</t>
  </si>
  <si>
    <t>PPG - FatHog TROUSERS WHITE 46"</t>
  </si>
  <si>
    <t>PPG - FatHog TROUSERS WHITE 38"</t>
  </si>
  <si>
    <t>PPG - ProGold ALL PURPOSE WALL ADHESIVE 10 roll</t>
  </si>
  <si>
    <t>PPG - Johnstones AQUAGUARD - Bril White - 1ltr</t>
  </si>
  <si>
    <t>PPG - Johnstones PRO UNDERCOAT - Light Grey 2.5ltr</t>
  </si>
  <si>
    <t>PPG - Johnstones STAINAWAY - Mix - 2.5ltr</t>
  </si>
  <si>
    <t>PPG - Leyland UNDERCOAT - Brilliant White - 2.5ltr</t>
  </si>
  <si>
    <t>PPG - HODGS LINSEED OIL PUTTY 5KG  00000001500</t>
  </si>
  <si>
    <t>PPG - PREP 88                     0000AMEU2100</t>
  </si>
  <si>
    <t>PPG - Artex FIBATAPE 90M PERFECT    FINISH</t>
  </si>
  <si>
    <t>PPG - RODO  DISPOSABLE   X LARGE    COVERALL</t>
  </si>
  <si>
    <t>PPG - JST MATT WOODSTAIN - Clear - 5ltr</t>
  </si>
  <si>
    <t>PPG - EWI   H1 ECO 115MM MAX 80MM INSULATION</t>
  </si>
  <si>
    <t>PPG - Artex EASIFILLER READYMIXED 1KG</t>
  </si>
  <si>
    <t>PPG - Johnstones JONMAT - Mix - 5ltr</t>
  </si>
  <si>
    <t>PPG - Johnstones COVAPLUS - Black - 2.5ltr</t>
  </si>
  <si>
    <t>PPG - Johnstones ACRYLIC SATIN - Mix - 1ltr</t>
  </si>
  <si>
    <t>PPG - Leyland VINYL SOFT SHEEN - Mix - 5ltr</t>
  </si>
  <si>
    <t>PPG - Leyland VINYL SILK - Magnolia - 2.5ltr</t>
  </si>
  <si>
    <t>PPG - Leyland GLOSS - Black - 2.5ltr</t>
  </si>
  <si>
    <t>PPG - PURDY XL MON ELITE 3" BRUSH</t>
  </si>
  <si>
    <t>PPG - Leyland TG SMOOTH MASONRY - Magnolia - 10ltr</t>
  </si>
  <si>
    <t>PPG - FatHog EVOLUTION TROUSER 32" WHITE</t>
  </si>
  <si>
    <t>PPG - Johnstones QD ZINC PHOS - Red Oxide - 5ltr</t>
  </si>
  <si>
    <t>PPG - FatHog EVO BIB &amp; BRACE  36-38" MED WHITE</t>
  </si>
  <si>
    <t>PPG - FatHog EVO BIB &amp; BRACE  44-46" XL  WHITE</t>
  </si>
  <si>
    <t>PPG - FatHog EVO BIB &amp; BRACE  52-54"XXXL WHITE</t>
  </si>
  <si>
    <t>PPG - Johnstones CLEANABLE MATT - Mix - 5ltr</t>
  </si>
  <si>
    <t>PPG - FatHog EVOLUTION TROUSER 36" WHITE</t>
  </si>
  <si>
    <t>PPG - Stormshield SELF CLEAN MASONRY - Mix - 5ltr</t>
  </si>
  <si>
    <t>PPG - Johnstones PERFECT MATT - Mix- 2.5ltr</t>
  </si>
  <si>
    <t>PPG - Johnstones ULTRA PRIMER SEALER - BW - 2.5ltr</t>
  </si>
  <si>
    <t>PPG - JST MATT WOODSTAIN - Mahogany - 2.5ltr</t>
  </si>
  <si>
    <t>PPG - Johnstones SATIN WOODSTAIN - Ebony - 2.5ltr</t>
  </si>
  <si>
    <t>PPG - Johnstones PRO GLOSS - Mix - 2.5ltr</t>
  </si>
  <si>
    <t>PPG - Leyland GLOSS - Mix - 1ltr</t>
  </si>
  <si>
    <t>PPG - HODGS LINSEED OIL  PUTTY 1KG  0000000100</t>
  </si>
  <si>
    <t>PPG - Johnstones EGGSHELL - Brilliant White - 1ltr</t>
  </si>
  <si>
    <t>PPG - Johnstones VINYL SOFT SHEEN - Mag - 10ltr</t>
  </si>
  <si>
    <t>PPG - JDONE JOB DONE     BRUSH 2"</t>
  </si>
  <si>
    <t>PPG - Johnstones Acrylic Durable Matt - BW -2.5ltr</t>
  </si>
  <si>
    <t>PPG - ProGold PVA ADHESIVE SEAL 2.5ltr</t>
  </si>
  <si>
    <t>PPG - Johnstones SATIN WOODSTAIN - Teak - 2.5ltr</t>
  </si>
  <si>
    <t>PPG - Johnstones EGGSHELL - Black - 2.5ltr</t>
  </si>
  <si>
    <t>PPG - PURDY WHITE DOVE   3/8" 9"</t>
  </si>
  <si>
    <t>PPG - PGOLD 4" FOAM MINI ROLLER</t>
  </si>
  <si>
    <t>PPG - Stormshield JONTEX HI BUILD - Mag- 10ltr</t>
  </si>
  <si>
    <t>PPG - Johnstones ADV MULTI SURF PRIMER - BW - 1ltr</t>
  </si>
  <si>
    <t>PPG - RODO  TAC CLOTHS              (PTR10P)</t>
  </si>
  <si>
    <t>PPG - MIRKA HIOMANT 50MT 120 GRIT</t>
  </si>
  <si>
    <t>PPG - MIRKA ABRANET ECO  150MM P120 10 STK</t>
  </si>
  <si>
    <t>PPG - Stormshield FLEXIBLE EX U/C - Mix - 1ltr</t>
  </si>
  <si>
    <t>PPG - Leyland SMART MULTI-SURFACE - Black - 2.5ltr</t>
  </si>
  <si>
    <t>PPG - FatHog BIB&amp;BRACE WHITE 48"-50"</t>
  </si>
  <si>
    <t>PPG - JST   MATT W/STAIN TRANS      0000001242</t>
  </si>
  <si>
    <t>PPG - Leyland EGGSHELL - Black - 2.5ltr</t>
  </si>
  <si>
    <t>PPG - BLKRO GRIPPER      GLOVES</t>
  </si>
  <si>
    <t>PPG - Mangers WHITE SPIRIT 4LTR</t>
  </si>
  <si>
    <t>PPG - Leyland VINYL MATT - Mix - 1ltr</t>
  </si>
  <si>
    <t>PPG - Leyland FAST DRYING WB SATIN - BW- 2.5ltr</t>
  </si>
  <si>
    <t>PPG - MIRKA FLEECE DUST  BAG 1230S</t>
  </si>
  <si>
    <t>PPG - Johnstones QD Woodstain - Ebony - 2.5l</t>
  </si>
  <si>
    <t>PPG - MIRKA ABRANET RONDEL 225MM P80</t>
  </si>
  <si>
    <t>PPG - JST   Q/DRY OPAQUE Z          0000001231</t>
  </si>
  <si>
    <t>PPG - Leyland ACRYLIC EGGSHELL   - Mag - 2.5ltr</t>
  </si>
  <si>
    <t>PPG - UB    SAINDING PAD FINE       PACK 250</t>
  </si>
  <si>
    <t>PPG - MIRKA CARATFLEX 5M 180 GRIT</t>
  </si>
  <si>
    <t>PPG - EASYL LINING PAPER 1400 SINGL</t>
  </si>
  <si>
    <t>PPG - Leyland FLOOR PAINT - Nimbus Grey - 5ltr</t>
  </si>
  <si>
    <t>PPG - Johnstones PRO UNDERCOAT - BW - 1ltr</t>
  </si>
  <si>
    <t>PPG - Johnstones QD FLOOR VARN - Clr Gloss - 750ml</t>
  </si>
  <si>
    <t>PPG - RODO  6" H/D SCRAP BLADES (5) FOR LHWS6</t>
  </si>
  <si>
    <t>PPG - Leyland SUPERLEYTEX - Magnolia - 15ltr</t>
  </si>
  <si>
    <t>PPG - Mangers SUGAR SOAP CONCENTRATE 500ML</t>
  </si>
  <si>
    <t>PPG - BLINE ONE TIME     FILL 500ML TOEBOA0500</t>
  </si>
  <si>
    <t>PPG - EASYL LINING PAPER 1000 QUAD</t>
  </si>
  <si>
    <t>PPG - Brushmate FLUID 250ml</t>
  </si>
  <si>
    <t>PPG - Johnstones TC1 THINNER - 5ltr</t>
  </si>
  <si>
    <t>PPG - MIRKA ABRANET RONDEL 225MM P120</t>
  </si>
  <si>
    <t>PPG - PGOLD ROLLER KIT   9 INCH</t>
  </si>
  <si>
    <t>PPG - PROGOLD ABRASIVE PAD FINE (10)</t>
  </si>
  <si>
    <t>PPG - Johnstones SATIN WOODSTAIN-Antiq Pine-750ml</t>
  </si>
  <si>
    <t>PPG - PROGOLD ABRASIVE PAD MED (10)</t>
  </si>
  <si>
    <t>PPG - Leyland FLOOR PAINT - Slate - 5ltr</t>
  </si>
  <si>
    <t>PPG - JDONE JOB DONE     B/SET 3PC</t>
  </si>
  <si>
    <t>PPG - Johnstones FLORTRED Tile Red - 2.5ltr</t>
  </si>
  <si>
    <t>PPG - RODO  PAINT KETTLE            (1EC) 1 LI</t>
  </si>
  <si>
    <t>PPG - Leyland EGGSHELL - Mix - 5ltr</t>
  </si>
  <si>
    <t>PPG - GORI 05 EXP DECK WALNU (UK)  78080001250</t>
  </si>
  <si>
    <t>PPG - Johnstones PRO UNDERCOAT - Dark Grey - 1ltr</t>
  </si>
  <si>
    <t>PPG - BLKRO TW/HALF MASK RESPIRATOR A1P2</t>
  </si>
  <si>
    <t>PPG - THINNER 21-06               0000TREU1500</t>
  </si>
  <si>
    <t>PPG - RODO  PRECISION    TAPE 2"    ATMT003</t>
  </si>
  <si>
    <t>PPG - RODO  8" CAULKER   PLDT002</t>
  </si>
  <si>
    <t>PPG - Leyland SMART MULTI-SURFACE - BW - 5ltr</t>
  </si>
  <si>
    <t>PPG - RODO  PRECISION    TAPE 1"    ATM001</t>
  </si>
  <si>
    <t>PPG - FatHog GENERAL PURPOSE SILICONE CLEAR -295ml</t>
  </si>
  <si>
    <t>PPG - K     ROLLER TRAY  9" 330H</t>
  </si>
  <si>
    <t>PPG - THINNER 20-05               0000TREU1500</t>
  </si>
  <si>
    <t>PPG - K     EXT POLE     4-7'</t>
  </si>
  <si>
    <t>PPG - SD S'DUR 550 SET (X)        XXXXCCEU1400</t>
  </si>
  <si>
    <t>PPG - Johnstones FLORTRED White - 2.5ltr</t>
  </si>
  <si>
    <t>PPG - ProGold SMOOTH ROLLER 9"</t>
  </si>
  <si>
    <t>PPG - Leyland FAST DRYING WB U/COAT - Mix - 2.5ltr</t>
  </si>
  <si>
    <t>PPG - G&amp;B   FRESCO 12011 BUCKINGHAM PG.HR</t>
  </si>
  <si>
    <t>PPG - ProGold CLASSIC HYBRID BRUSH 0.5"</t>
  </si>
  <si>
    <t>PPG - Johnstones PRO GLOSS - Magnolia - 2.5ltr</t>
  </si>
  <si>
    <t>PPG - Johnstones WOOD PRIMER - White - 2.5ltr</t>
  </si>
  <si>
    <t>PPG - RODO  4PCK FILLING BLADES     1X50,80,10</t>
  </si>
  <si>
    <t>PPG - FatHog GENERAL PURPOSE SILICONE WHITE -295ml</t>
  </si>
  <si>
    <t>PPG - Leyland VINYL MATT - Black - 1ltr</t>
  </si>
  <si>
    <t>PPG - RODO  5L MINI      SCUTTLE    BPSM</t>
  </si>
  <si>
    <t>PPG - ProGold COTTON TWILL DUST SHEET MINI 6' X 3'</t>
  </si>
  <si>
    <t>PPG - Leyland TG SMOOTH MASONRY - Mushroom - 5ltr</t>
  </si>
  <si>
    <t>PPG - MIRKA ABRANET P80  81X133MM   BOX 50 541</t>
  </si>
  <si>
    <t>PPG - EWI   WINDOW PROT  FILM 15MT  FODO07476</t>
  </si>
  <si>
    <t>PPG - S'DUR 550 SET WHITE           7000001400</t>
  </si>
  <si>
    <t>PPG - Johnstones QD Woodstain - Antiq Pine - 750ml</t>
  </si>
  <si>
    <t>PPG - GORI 99 Opaque - Mix - 2.5ltr</t>
  </si>
  <si>
    <t>PPG - Leyland TG SMOOTH MASONRY - Magnolia - 5ltr</t>
  </si>
  <si>
    <t>PPG - Johnstones SATIN WOODSTAIN - Teak - 750ml</t>
  </si>
  <si>
    <t>PPG - Woodworks YACHT VARN - Clear Gloss - 750ltr</t>
  </si>
  <si>
    <t>PPG - GORI 99 Opaque - Mix - 750ml</t>
  </si>
  <si>
    <t>PPG - RODO  FIBREGLASS   POLE HANDL PFGP (REPL</t>
  </si>
  <si>
    <t>PPG - CORAL PAPERWIZ     FLEX</t>
  </si>
  <si>
    <t>PPG - JST MATT WOODSTAIN - Ebony - 5ltr</t>
  </si>
  <si>
    <t>PPG - LEYTS DEC CAULK    WHI 380ML  (12)</t>
  </si>
  <si>
    <t>PPG - PGOLD DEC CAULK    WHITE 300M 0000000300</t>
  </si>
  <si>
    <t>PPG - PGOLD SO/FREE GRAB ADHESIVE   0000000300</t>
  </si>
  <si>
    <t>PPG - Manger DEC SPONGES x24</t>
  </si>
  <si>
    <t>PPG - FROGT GLOSS &amp;SATIN 24MM (1")  104188</t>
  </si>
  <si>
    <t>PPG - Leyland SUPERLEYTEX - Brill White - 10ltr</t>
  </si>
  <si>
    <t>PPG - Leyland EGGSHELL - Mix - 1ltr</t>
  </si>
  <si>
    <t>PPG - Artex EASIFILLER POWDER 1kg</t>
  </si>
  <si>
    <t>PPG - Stormshield SMOOTH MASONRY - Parchment - 5l</t>
  </si>
  <si>
    <t>PPG - PGOLD 40 GRIT 10M  ALUM OXIDE</t>
  </si>
  <si>
    <t>PPG - BLACKROCK LATEX DISP GLOVESX100 PAIRS</t>
  </si>
  <si>
    <t>PPG - RODO  DISPOSABLE   LARGE      COVERALL</t>
  </si>
  <si>
    <t>PPG - FatHog EVOLUTION TROUSER 38" WHITE</t>
  </si>
  <si>
    <t>PPG - ProGold MINI ROLLER KIT 4"</t>
  </si>
  <si>
    <t>PPG - UB    SANDING PAD  COARSE</t>
  </si>
  <si>
    <t>PPG - TESA ECOVER CW DI 1400MMX33M 59179</t>
  </si>
  <si>
    <t>PPG - ProGold TAPE MEASURE - 5M</t>
  </si>
  <si>
    <t>PPG - EWI   GUN GRADE    FOAM       0000000750</t>
  </si>
  <si>
    <t>PPG - Woodworks DANISH OIL - 750ml</t>
  </si>
  <si>
    <t>PPG - EWI   HYBRID PAINT TAPE 41MT  HPT</t>
  </si>
  <si>
    <t>PPG - Johnstones AQUA SATIN - Bril White - 1ltr</t>
  </si>
  <si>
    <t>PPG - Artex Artex FIBATAPE 90M XTREME -  - ltr</t>
  </si>
  <si>
    <t>PPG - RODO  ICE FUSION   ROLLER KIT PRODEC</t>
  </si>
  <si>
    <t>PPG - KNAUF JOINT TAPE   150 MTR</t>
  </si>
  <si>
    <t>PPG - FatHog EVOLUTION TROUSER 34" WHITE</t>
  </si>
  <si>
    <t>PPG - Johnstones QD Woodstain - Walnut - 750ml</t>
  </si>
  <si>
    <t>PPG - Johnstones UNI PRIMER - Red Oxide - 2.5ltr</t>
  </si>
  <si>
    <t>PPG - Johnstones VINYL SOFT SHEEN - Mag - 5ltr</t>
  </si>
  <si>
    <t>PPG - ProGold AQUA SYNTHETIC BRUSH 1"</t>
  </si>
  <si>
    <t>PPG - Johnstones QD Woodstain - Mahogany - 750ml</t>
  </si>
  <si>
    <t>PPG - FatHog BIB&amp;BRACE WHITE 52"-54"</t>
  </si>
  <si>
    <t>PPG - RODO  PRODEC WALL BRUSH 6 INCH</t>
  </si>
  <si>
    <t>PPG - Leyland ONE COAT GLOSS - BW- 750ml</t>
  </si>
  <si>
    <t>PPG - FatHog GRAB ADHESIV SOLVENTED - 350ml</t>
  </si>
  <si>
    <t>PPG - FatHog GENERAL PURPOSE SILICONE BLACK -295ml</t>
  </si>
  <si>
    <t>PPG - Johnstones QD Woodstain - Mix - 2.5ltr</t>
  </si>
  <si>
    <t>PPG - MIRKA ABRANET ECO  150MM P80 10 STK</t>
  </si>
  <si>
    <t>PPG - Stormshield PLIOLITE - Mushroom - 5ltr</t>
  </si>
  <si>
    <t>PPG - JST   QD WOODSTAIN LIGHT OAK  0000000750</t>
  </si>
  <si>
    <t>PPG - EWI   SCRATCH RENDER CREAM 25KG</t>
  </si>
  <si>
    <t>PPG - QTECH QTECTOR PUMP COND 946ML Q400-010</t>
  </si>
  <si>
    <t>PPG - Johnstones COVAPLUS - Ivory - 5ltr</t>
  </si>
  <si>
    <t>PPG - Johnstones COVAPLUS - Brilliant White - 1ltr</t>
  </si>
  <si>
    <t>PPG - Stormshield PLIOLITE - Ivory - 5ltr</t>
  </si>
  <si>
    <t>PPG - Stormshield FLEXIBLE EX SATIN - Mix - 1ltr</t>
  </si>
  <si>
    <t>PPG - MIRKA HIOMANT 10MT 60 GRIT</t>
  </si>
  <si>
    <t>PPG - TESA PR MASK TAPE 50M X 50MM 4334</t>
  </si>
  <si>
    <t>PPG - TESA SEN MASKTAPE 50M X 25MM 4333</t>
  </si>
  <si>
    <t>PPG - Brushmate 4 PLUS</t>
  </si>
  <si>
    <t>PPG - Johnstones SATIN WOODSTAIN - Walnut - 750ml</t>
  </si>
  <si>
    <t>PPG - Johnstones SATIN WOODSTAIN - Mahogany-750ml</t>
  </si>
  <si>
    <t>PPG - Johnstones PRO GLOSS - Mix - 1ltr</t>
  </si>
  <si>
    <t>PPG - FatHog TROUSERS WHITE 42"</t>
  </si>
  <si>
    <t>PPG - PURDY XL MON ELITE 1.5" BRUSH</t>
  </si>
  <si>
    <t>PPG - Johnstones JONMAT - Magnolia - 5ltr</t>
  </si>
  <si>
    <t>PPG - TESA CRACK R TAPE 10M X 50MM 5225</t>
  </si>
  <si>
    <t>PPG - ProGold WOVEN SHORT PILE ROLLER 9"</t>
  </si>
  <si>
    <t>PPG - Johnstones PRO GLOSS - Post Of Red - 5ltr</t>
  </si>
  <si>
    <t>PPG - ProGold PREMIUM BRISTLE BRUSH 3"</t>
  </si>
  <si>
    <t>PPG - Leyland EGGSHELL - Brilliant White - 2.5ltr</t>
  </si>
  <si>
    <t>PPG - MIRKA FLEECE       1025L      DUST BAG</t>
  </si>
  <si>
    <t>PPG - Johnstones ALKALI RESIST PRIMER - BW -2.5ltr</t>
  </si>
  <si>
    <t>PPG - TESA PR MASK TAPE 50M X 25MM 4334</t>
  </si>
  <si>
    <t>PPG - Stormshield SMOOTH MASONRY - BW - 2.5ltr</t>
  </si>
  <si>
    <t>PPG - Johnstones STORMSHIELD TEXTURED - BW - 5ltr</t>
  </si>
  <si>
    <t>PPG - JST MATT WOODSTAIN - Walnut- 2.5ltr</t>
  </si>
  <si>
    <t>PPG - JST MATT WOODSTAIN - Ebony- 2.5ltr</t>
  </si>
  <si>
    <t>PPG - EWI   ALUM BASETRACK BOX BASE 2.5M 50MM</t>
  </si>
  <si>
    <t>PPG - Woodworks BOILED LINSEED OIL - 500ml</t>
  </si>
  <si>
    <t>PPG - ProGold CLASSIC HYBRID BRUSH 1"</t>
  </si>
  <si>
    <t>PPG - EWI   ONE COAT RENDER 25KG</t>
  </si>
  <si>
    <t>PPG - Johnstones QD Woodstain - Teak - 750ml</t>
  </si>
  <si>
    <t>PPG - Johnstones UNI PRIMER - White - 1ltr</t>
  </si>
  <si>
    <t>PPG - Woodworks POLY VARNISH - Satin Clear - 750ml</t>
  </si>
  <si>
    <t>PPG - JST MATT WOODSTAIN - Clear - 2.5ltr</t>
  </si>
  <si>
    <t>PPG - LL    TESTERPOT    PASTEL BSE 0000000350</t>
  </si>
  <si>
    <t>PPG - EASYL LINING PAPER 1000 SINGL</t>
  </si>
  <si>
    <t>PPG - ProGold DOUBLE ARM FRAME 15"</t>
  </si>
  <si>
    <t>PPG - Leyland TG SMOOTH MASONRY - C Cream - 5ltr</t>
  </si>
  <si>
    <t>PPG - MIRKA ABRANET      P120(PK10) DISC 125MM</t>
  </si>
  <si>
    <t>PPG - MIRKA ACE HD DELTA P80 PK5    ABRANET</t>
  </si>
  <si>
    <t>PPG - Leyland T/GUARD STAB PRIMER - Clear - 5ltr</t>
  </si>
  <si>
    <t>PPG - Leyland VINYL SILK - Brill White - 2.5ltr</t>
  </si>
  <si>
    <t>PPG - HODGS MULTI PURP PUTTY BROWN  0000001100</t>
  </si>
  <si>
    <t>PPG - GORI 44+ QD DECK STAIN - Mix - 5ltr</t>
  </si>
  <si>
    <t>PPG - Johnstones QD MATT BLACKBOARD - Black - 1ltr</t>
  </si>
  <si>
    <t>PPG - Leyland VINYL SOFT SHEEN - BW - 2.5ltr</t>
  </si>
  <si>
    <t>PPG - HODGS LINSEED OIL  PUTTY 500G 0000000050</t>
  </si>
  <si>
    <t>PPG - Leyland SMART MULTI-SURFACE - DK GRY - 750ml</t>
  </si>
  <si>
    <t>PPG - SIRO  EXPANDING    FOAM 500ML       0500</t>
  </si>
  <si>
    <t>PPG - Leyland VINYL SILK - Mix - 2.5ltr</t>
  </si>
  <si>
    <t>PPG - ProGold AQUA SYNTHETIC ANGLE BRUSH 2"</t>
  </si>
  <si>
    <t>PPG - FatHog LIGHTWEIGHT FILLER 500ML</t>
  </si>
  <si>
    <t>PPG - FatHog TROUSERS WHITE 40"</t>
  </si>
  <si>
    <t>PPG - EASY  EASYTEX      10-045     STRAND</t>
  </si>
  <si>
    <t>PPG - Brushmate PACK TRADE 20 S</t>
  </si>
  <si>
    <t>PPG - ProGold AQUA SYNTHETIC BRUSH 3"</t>
  </si>
  <si>
    <t>PPG - ProGold BRUSH CLEANER 2ltr</t>
  </si>
  <si>
    <t>PPG - BLKRO DISPOSABLE   OVERSHOES  X5 PAIR</t>
  </si>
  <si>
    <t>PPG - Woodworks POLY VARNISH - GLOSS Clear-750ml</t>
  </si>
  <si>
    <t>PPG - Johnstones ACRYLIC SATIN - Bril White - 1ltr</t>
  </si>
  <si>
    <t>PPG - RODO  GRIP GLOVE   LWEIGHT    5401000</t>
  </si>
  <si>
    <t>PPG - RODO  ICE 4" 2PK   FUSION SLV ARRE034</t>
  </si>
  <si>
    <t>PPG - Leyland VINYL MATT - Antique White - 5ltr</t>
  </si>
  <si>
    <t>PPG - RODO  LOW TACK     MASK TAPE  PREC EDGE</t>
  </si>
  <si>
    <t>PPG - PGOLD GP SILICONE  WHITE      0000000300</t>
  </si>
  <si>
    <t>PPG - Leyland ACRYLIC PRIM U/COAT - White - 750ml</t>
  </si>
  <si>
    <t>PPG - Johnstones PRO UNDERCOAT - Charcoal - 1ltr</t>
  </si>
  <si>
    <t>PPG - Leyland VINYL MATT - White - 5ltr</t>
  </si>
  <si>
    <t>PPG - EWI   MT PE TARP   TAPE 25MT  STUCCO</t>
  </si>
  <si>
    <t>PPG - Johnstones QD Woodstain - Medium Oak - 750ml</t>
  </si>
  <si>
    <t>PPG - LL    TESTERPOT    ULTRA DEEP 0000000325</t>
  </si>
  <si>
    <t>PPG - Johnstones VINYL SOFT SHEEN - Mix - 1ltr</t>
  </si>
  <si>
    <t>PPG - BLKRO COTTON GLOVE PAINTER</t>
  </si>
  <si>
    <t>PPG - ProGold LONG PILE POLYESTER ROLLER 15"</t>
  </si>
  <si>
    <t>PPG - Leyland VINYL MATT - Black - 2.5ltr</t>
  </si>
  <si>
    <t>PPG - Leyland VINYL MATT - Brilliant White - 1ltr</t>
  </si>
  <si>
    <t>PPG - RODO LOW TACK 50MM - 2" MASKING TAPE</t>
  </si>
  <si>
    <t>PPG - Leyland VINYL MATT - Magnolia - 2.5ltr</t>
  </si>
  <si>
    <t>PPG - Leyland GLOSS - Black - 750ml</t>
  </si>
  <si>
    <t>PPG - RODO  SANDING      BLOCK      (SANDING)</t>
  </si>
  <si>
    <t>PPG - Leyland GLOSS - Brilliant White - 750ml</t>
  </si>
  <si>
    <t>PPG - RODO  WALL BRUSH   4 INCH</t>
  </si>
  <si>
    <t>PPG - Mangers AP W/PAPER ADH 30ROLL</t>
  </si>
  <si>
    <t>PPG - ProGold AQUA OVAL SYNTHETIC BRUSH 2"</t>
  </si>
  <si>
    <t>PPG - Johnstones PRO GLOSS - Black - 500ml</t>
  </si>
  <si>
    <t>PPG - ProGold AQUA OVAL SYNTHETIC BRUSH 1.5"</t>
  </si>
  <si>
    <t>PPG - RODO  4" PLASTIC   M.R.TRAY   (MRT)</t>
  </si>
  <si>
    <t>PPG - Brushmate VAPOUR MATE</t>
  </si>
  <si>
    <t>PPG - BLKRO INDIRECT     GOGGLES</t>
  </si>
  <si>
    <t>PPG - BLACKROCK PU GRIPPER GLOVE BLK</t>
  </si>
  <si>
    <t>PPG - ProGold PREMIUM BRISTLE BRUSH 1"</t>
  </si>
  <si>
    <t>PPG - ProGold BRUSH CLEANER 500ml</t>
  </si>
  <si>
    <t>PPG - RODO  BLADES FOR   CONT PLAST IC MINI SC</t>
  </si>
  <si>
    <t>PPG - RODO  16" PAINT    STIRRER    (PS16)</t>
  </si>
  <si>
    <t>PPG - RODO  4" SCRAPER   BLACK HAND (FFJPS4)</t>
  </si>
  <si>
    <t>PPG - Mangers TURPS SUB 750ML</t>
  </si>
  <si>
    <t>PPG - RODO  STEEL WOOL   MIX RETAIL</t>
  </si>
  <si>
    <t>PPG - JDONE JOB DONE     BRUSH 1"</t>
  </si>
  <si>
    <t>PPG - EASYL LINING PAPER 1200 SINGL</t>
  </si>
  <si>
    <t>PPG - PURDY POWERLOCK    1-2 FT     EXT POLE</t>
  </si>
  <si>
    <t>PPG - Stormshield JONTEX HI BUILD MSRY - BW - 10l</t>
  </si>
  <si>
    <t>PPG - Leyland ACRYLIC EGGSHELL - BW - 750ml</t>
  </si>
  <si>
    <t>PPG - Leyland ALKALI RESISTING PRIMER -  - 2.5ltr</t>
  </si>
  <si>
    <t>PPG - Leyland ALL PURPOSE PRIMER -  - 2.5ltr</t>
  </si>
  <si>
    <t>PPG - Leyland CONTRACT MATT - Magnolia - 15ltr</t>
  </si>
  <si>
    <t>PPG - Leyland CONTRACT PRIMER - BW - 5ltr</t>
  </si>
  <si>
    <t>PPG - Leyland CONTRACT SILK - Brill White - 10ltr</t>
  </si>
  <si>
    <t>PPG - Leyland CONTRACT SILK - Magnolia - 10ltr</t>
  </si>
  <si>
    <t>PPG - Leyland EGGSHELL - Black - 5ltr</t>
  </si>
  <si>
    <t>PPG - Leyland EGGSHELL - Brilliant White - 750ml</t>
  </si>
  <si>
    <t>PPG - Leyland EGGSHELL - Brilliant White - 5ltr</t>
  </si>
  <si>
    <t>PPG - Leyland EGGSHELL - Magnolia - 750ltr</t>
  </si>
  <si>
    <t>PPG - Leyland EGGSHELL - Magnolia - 2.5ltr</t>
  </si>
  <si>
    <t>PPG - Leyland EGGSHELL - Magnolia - 5ltr</t>
  </si>
  <si>
    <t>PPG - Leyland FLOOR PAINT - Empire Green - 5ltr</t>
  </si>
  <si>
    <t>PPG - Leyland FLOOR PAINT - Frigate - 5ltr</t>
  </si>
  <si>
    <t>PPG - Leyland FLOOR PAINT - Nimbus Grey - 2.5ltr</t>
  </si>
  <si>
    <t>PPG - Leyland FLOOR PAINT - Slate - 2.5ltr</t>
  </si>
  <si>
    <t>PPG - Leyland FLOOR PAINT - Tile Red - 2.5ltr</t>
  </si>
  <si>
    <t>PPG - Leyland GLOSS - Peat - 750ml</t>
  </si>
  <si>
    <t>PPG - Leyland GLOSS - Cherry Red - 5ltr</t>
  </si>
  <si>
    <t>PPG - Leyland GLOSS - Magnolia - 750ml</t>
  </si>
  <si>
    <t>PPG - Leyland GLOSS - Magnolia - 2.5ltr</t>
  </si>
  <si>
    <t>PPG - Leyland GLOSS - Magnolia - 5ltr</t>
  </si>
  <si>
    <t>PPG - Leyland GLOSS - Nanking Blue - 5ltr</t>
  </si>
  <si>
    <t>PPG - Leyland GLOSS - Peat - 2.5ltr</t>
  </si>
  <si>
    <t>PPG - Leyland GLOSS - Signal Red - 750ml</t>
  </si>
  <si>
    <t>PPG - Leyland GLOSS - Signal Red- 2.5ltr</t>
  </si>
  <si>
    <t>PPG - Leyland GLOSS - Signal Red - 5ltr</t>
  </si>
  <si>
    <t>PPG - Leyland T/GUARD FLEX EXT UCOAT - BW - 2.5ltr</t>
  </si>
  <si>
    <t>PPG - Leyland T/GUARD FLEX EXT GLOSS - BW - 2.5ltr</t>
  </si>
  <si>
    <t>PPG - Leyland NON DRIP GLOSS - BW - 750ml</t>
  </si>
  <si>
    <t>PPG - Leyland NON DRIP GLOSS - BW - 2.5ltr</t>
  </si>
  <si>
    <t>PPG - Leyland SATINWOOD - Brilliant White - 750ltr</t>
  </si>
  <si>
    <t>PPG - Leyland SUPERLEYTEX - Brilliant White - 5ltr</t>
  </si>
  <si>
    <t>PPG - Leyland SUPERLEYTEX - Magnolia - 10ltr</t>
  </si>
  <si>
    <t>PPG - Leyland SUPERLEYTEX - Magnolia - 5ltr</t>
  </si>
  <si>
    <t>PPG - Leyland TRUGUARD FINE TEXTURED - BW- 5ltr</t>
  </si>
  <si>
    <t>PPG - Leyland TG SMOOTH MASONRY - Cream - 5ltr</t>
  </si>
  <si>
    <t>PPG - Leyland TG SMOOTH MASONRY - Dove Grey - 5ltr</t>
  </si>
  <si>
    <t>PPG - Leyland TG SMOOTH MASONRY - K Beige - 5ltr</t>
  </si>
  <si>
    <t>PPG - Leyland TG SMOOTH MASONRY - Pearl - 5ltr</t>
  </si>
  <si>
    <t>PPG - Leyland UNDERCOAT - Dark Grey - 750ml</t>
  </si>
  <si>
    <t>PPG - Leyland UNDERCOAT - Dark Grey - 2.5ltr</t>
  </si>
  <si>
    <t>PPG - Leyland UNDERCOAT - Mid Grey 750ml</t>
  </si>
  <si>
    <t>PPG - Leyland UNDERCOAT - Mid Grey 2.5ltr</t>
  </si>
  <si>
    <t>PPG - Leyland UNDERCOAT - Brilliant White - 750ltr</t>
  </si>
  <si>
    <t>PPG - Leyland VINYL MATT - Brill White - 2.5ltr</t>
  </si>
  <si>
    <t>PPG - Leyland VINYL MATT - Dove Grey - 5ltr</t>
  </si>
  <si>
    <t>PPG - Leyland VINYL MATT - Gardenia - 5ltr</t>
  </si>
  <si>
    <t>PPG - Leyland VINYL MATT - Magnolia - 1ltr</t>
  </si>
  <si>
    <t>PPG - Leyland VINYL MATT - Pale Beige - 5ltr</t>
  </si>
  <si>
    <t>PPG - Leyland VINYL MATT - White - 10ltr</t>
  </si>
  <si>
    <t>PPG - Leyland VINYL SILK - Brilliant White - 1ltr</t>
  </si>
  <si>
    <t>PPG - Leyland VINYL SOFT SHEEN - BW - 5ltr</t>
  </si>
  <si>
    <t>PPG - Leyland VINYL SOFT SHEEN - Magnolia - 5ltr</t>
  </si>
  <si>
    <t>PPG - Leyland WOOD PRIMER  - White - 2.5ltr</t>
  </si>
  <si>
    <t>PPG - Leyland WOOD PRIMER  - White - 5ltr</t>
  </si>
  <si>
    <t>PPG - Leyland TG SMOOTH MASONRY - Gardenia - 5ltr</t>
  </si>
  <si>
    <t>PPG - Leyland TRUGUARD HI TEXTURED - BW - 10ltr</t>
  </si>
  <si>
    <t>PPG - Leyland FLOOR PAINT - Frigate - 2.5ltr</t>
  </si>
  <si>
    <t>PPG - Leyland ONE COAT GLOSS - Black - 750ltr</t>
  </si>
  <si>
    <t>PPG - Leyland WOOD PRIMER - White - 750ml</t>
  </si>
  <si>
    <t>PPG - Leyland ALL PURPOSE PRIMER - White - 750ml</t>
  </si>
  <si>
    <t>PPG - Leyland CONTRACT PRIMER - BW - 2.5ltr</t>
  </si>
  <si>
    <t>PPG - Johnstones COVAPLUS - Soft Primrose - 5ltr</t>
  </si>
  <si>
    <t>PPG - Johnstones Acrylic Durable Matt - Mag -2.5lt</t>
  </si>
  <si>
    <t>PPG - Johnstones VINYL SOFT SHEEN - Mag - 2.5ltr</t>
  </si>
  <si>
    <t>PPG - Johnstones JONCRYL QD PRIMER - BW - 1ltr</t>
  </si>
  <si>
    <t>PPG - Johnstones WOOD PRIMER - White - 1ltr</t>
  </si>
  <si>
    <t>PPG - Johnstones WOOD PRIMER - White - 5ltr</t>
  </si>
  <si>
    <t>PPG - Johnstones PRO UNDERCOAT - Mid Grey - 1ltr</t>
  </si>
  <si>
    <t>PPG - Johnstones PRO UNDERCOAT - Light Grey - 1ltr</t>
  </si>
  <si>
    <t>PPG - Johnstones PRO UNDERCOAT - BW - 500ml</t>
  </si>
  <si>
    <t>PPG - Johnstones EGGSHELL - Brill White - 500ml</t>
  </si>
  <si>
    <t>PPG - Stormshield PLIOLITE - Parchment - 5ltr</t>
  </si>
  <si>
    <t>PPG - Stormshield PLIOLITE - County Cream - 5ltr</t>
  </si>
  <si>
    <t>PPG - Johnstones S/SHIELD WATERSEAL - Clear - 5ltr</t>
  </si>
  <si>
    <t>PPG - Johnstones VINYL SILK - Magnolia - 2.5ltr</t>
  </si>
  <si>
    <t>PPG - Johnstones VINYL SILK - BW - 1ltr</t>
  </si>
  <si>
    <t>PPG - Johnstones VINYL SILK - BW - 2.5ltr</t>
  </si>
  <si>
    <t>PPG - Johnstones MICROBAR-ACRY EGGSHELL - Mag - 5l</t>
  </si>
  <si>
    <t>PPG - Johnstones Stopmould - Magnolia - 5ltr</t>
  </si>
  <si>
    <t>PPG - Johnstones Stopmould - Brill White - 5ltr</t>
  </si>
  <si>
    <t>PPG - Johnstones AGRICULTURAL OXIDE - Green - 5ltr</t>
  </si>
  <si>
    <t>PPG - Johnstones AGRICULTURAL OXIDE - Red Ox -5ltr</t>
  </si>
  <si>
    <t>PPG - Johnstones FLAT OIL PAINT - BW - 2.5ltr</t>
  </si>
  <si>
    <t>PPG - Johnstones FLAT OIL PAINT - BW - 5ltr</t>
  </si>
  <si>
    <t>PPG - Johnstones MDF PRIMER - Bril White - 1ltr</t>
  </si>
  <si>
    <t>PPG - Johnstones MDF PRIMER - Bril White - 2.5ltr</t>
  </si>
  <si>
    <t>PPG - Johnstones 2PK WB FLOOR - Dark Grey - 5ltr</t>
  </si>
  <si>
    <t>PPG - JST MATT WOODSTAIN - Antique Pine - 2.5ltr</t>
  </si>
  <si>
    <t>PPG - JST MATT WOODSTAIN - Teak - 2.5ltr</t>
  </si>
  <si>
    <t>PPG - JST MATT WOODSTAIN - Clear - 750ml</t>
  </si>
  <si>
    <t>PPG - Johnstones SATIN WOODSTAIN - Clear - 750ml</t>
  </si>
  <si>
    <t>PPG - Johnstones SATIN WOODSTAIN - Clear - 5ltr</t>
  </si>
  <si>
    <t>PPG - Johnstones SATIN WOODSTAIN - Ebony - 750ml</t>
  </si>
  <si>
    <t>PPG - Johnstones QD Woodstain - Ebony - 750ml</t>
  </si>
  <si>
    <t>PPG - Johnstones QD Woodstain - Clear - 750ml</t>
  </si>
  <si>
    <t>PPG - Johnstones SHED &amp; FENCE - Light Brown - 5ltr</t>
  </si>
  <si>
    <t>PPG - Johnstones 2PK SOLV FLOOR - Dark Grey - 4ltr</t>
  </si>
  <si>
    <t>PPG - Johnstones ULTRA PRIMER SEALER - BW - 1ltr</t>
  </si>
  <si>
    <t>PPG - Leyland T/GUARD STAB PRIMER - Clear - 2.5ltr</t>
  </si>
  <si>
    <t>PPG - Leyland FLOOR PAINT - Clear - 5ltr</t>
  </si>
  <si>
    <t>PPG - Johnstones DRY LINING PAINT - BW - 10ltr</t>
  </si>
  <si>
    <t>PPG - Woodworks INT FLOOR VARN - Clear Gloss - 5l</t>
  </si>
  <si>
    <t>PPG - Woodworks INT FLOOR VARN - Clr Gloss - 2.5l</t>
  </si>
  <si>
    <t>PPG - Johnstones FLORTRED Clear - 5ltr</t>
  </si>
  <si>
    <t>PPG - Johnstones VINYL SILK - Mix - 1ltr</t>
  </si>
  <si>
    <t>PPG - Johnstones STORMSHIELD TEXTURED - Mix - 5ltr</t>
  </si>
  <si>
    <t>PPG - Johnstones ANTIMOULD ACRYLIC - Mix - 5ltr</t>
  </si>
  <si>
    <t>PPG - Johnstones S&amp;C GLOSS TCT - Mix - 5ltr</t>
  </si>
  <si>
    <t>PPG - Leyland VINYL SOFT SHEEN - Mix - 2.5ltr</t>
  </si>
  <si>
    <t>PPG - Leyland TRUGUARD FINE TEXTURED - Mix - 5l</t>
  </si>
  <si>
    <t>PPG - Leyland GLOSS - Mix - 500ml</t>
  </si>
  <si>
    <t>PPG - Leyland UNDERCOAT - Mix - 1ltr</t>
  </si>
  <si>
    <t>PPG - Leyland SUPERLEYTEX - Mix - 10ltr</t>
  </si>
  <si>
    <t>PPG - Leyland SUPERLEYTEX - Mix - 5ltr</t>
  </si>
  <si>
    <t>PPG - Johnstones UNI PRIMER - Red Oxide - 1ltr</t>
  </si>
  <si>
    <t>PPG - JST MATT WOODSTAIN - Mix - 5ltr</t>
  </si>
  <si>
    <t>PPG - Leyland CONTRACT GLOSS - BW - 2.5ltr</t>
  </si>
  <si>
    <t>PPG - Leyland CONTRACT GLOSS - BW - 5ltr</t>
  </si>
  <si>
    <t>PPG - Leyland CONTRACT UNDERCOAT - BW - 2.5ltr</t>
  </si>
  <si>
    <t>PPG - Leyland CONTRACT UNDERCOAT - BW - 5ltr</t>
  </si>
  <si>
    <t>PPG - Johnstones FLORTRED ANTI SLIP - Tile Rd - 5l</t>
  </si>
  <si>
    <t>PPG - Leyland HARDWEARING MATT - Bril White - 5ltr</t>
  </si>
  <si>
    <t>PPG - Leyland HARDWEARING MATT - Magnolia - 5ltr</t>
  </si>
  <si>
    <t>PPG - Leyland HARDWEARING MATT - Mix - 5ltr</t>
  </si>
  <si>
    <t>PPG - Leyland FAST DRYING WB SATIN - BW - 750ml</t>
  </si>
  <si>
    <t>PPG - Leyland FAST DRYING WB SATIN - Black - 2.5l</t>
  </si>
  <si>
    <t>PPG - Leyland FAST DRYING WB GLOSS - BW - 750ml</t>
  </si>
  <si>
    <t>PPG - Leyland FAST DRYING WB GLOSS - Black - 2.5l</t>
  </si>
  <si>
    <t>PPG - Leyland FAST DRYING WB U/COAT - BW - 2.5ltr</t>
  </si>
  <si>
    <t>PPG - Leyland FAST DRYING WB U/COAT - D GRY - 2.5l</t>
  </si>
  <si>
    <t>PPG - Leyland FAST DRYING WB GLOSS - Mix - 2.5ltr</t>
  </si>
  <si>
    <t>PPG - Leyland FAST DRYING WB SATIN - Mix - 2.5ltr</t>
  </si>
  <si>
    <t>PPG - Leyland FAST DRYING WB U/COAT - BW - 750ml</t>
  </si>
  <si>
    <t>PPG - Johnstones ULTRA PRIMER &amp; FINISH - BW - 10l</t>
  </si>
  <si>
    <t>PPG - Leyland HARDWEARING MATT - Bril White - 2.5l</t>
  </si>
  <si>
    <t>PPG - Leyland HARDWEARING MATT - Bril White - 10l</t>
  </si>
  <si>
    <t>PPG - Leyland T/GUARD FLEX EXT GLOSS - BW - 750ml</t>
  </si>
  <si>
    <t>PPG - Leyland T/GUARD FLEX EXT GLOSS - Black 750ml</t>
  </si>
  <si>
    <t>PPG - JST MATT WOODSTAIN - Mix - 2.5l</t>
  </si>
  <si>
    <t>PPG - Johnstones SATIN WOODSTAIN - Mix - 2.5ltr</t>
  </si>
  <si>
    <t>PPG - Leyland ANTI-CORROSIVE PRIMER - Grey - 2.5l</t>
  </si>
  <si>
    <t>PPG - Leyland ANTI-CORROSIVE PRIMER - RD OX - 2.5l</t>
  </si>
  <si>
    <t>PPG - Leyland FLOOR PAINT - Yellow - 5ltr</t>
  </si>
  <si>
    <t>PPG - Leyland MDF PRIMER - White  - 750ml</t>
  </si>
  <si>
    <t>PPG - Leyland MDF PRIMER - White  - 2.5ltr</t>
  </si>
  <si>
    <t>PPG - Leyland ANTISLIP FLOOR - Slate - 5ltr</t>
  </si>
  <si>
    <t>PPG - Leyland ANTISLIP FLOOR - Tile Red - 5ltr</t>
  </si>
  <si>
    <t>PPG - Leyland DIRECT TO METAL - Black - 750ml</t>
  </si>
  <si>
    <t>PPG - Leyland DIRECT TO METAL - Black - 2.5ltr</t>
  </si>
  <si>
    <t>PPG - Leyland DIRECT TO METAL - Silver - 750ml</t>
  </si>
  <si>
    <t>PPG - Leyland DIRECT TO METAL - White - 750ml</t>
  </si>
  <si>
    <t>PPG - Leyland HARDWEARING MATT - Mix - 2.5ltr</t>
  </si>
  <si>
    <t>PPG - Leyland HARDWEARING MATT - Mix - 10ltr</t>
  </si>
  <si>
    <t>PPG - Johnstones  AIRPURE - Mix - 5ltr</t>
  </si>
  <si>
    <t>PPG - Johnstones  AIRPURE - Brilliant White - 5ltr</t>
  </si>
  <si>
    <t>PPG - Stormshield SMOOTH MASONRY - Ivory - 5ltr</t>
  </si>
  <si>
    <t>PPG - Leyland SMART MULTI-SURFACE - BW - 750ml</t>
  </si>
  <si>
    <t>PPG - Leyland SMART MULTI-SURFACE - Mag - 750ml</t>
  </si>
  <si>
    <t>PPG - Leyland SMART MULTI-SURFACE - Black - 750ml</t>
  </si>
  <si>
    <t>PPG - Leyland SMART MULTI-SURFACE - LT GRY - 750ml</t>
  </si>
  <si>
    <t>PPG - Leyland SMART MULTI-SURFACE - Of Whi - 750ml</t>
  </si>
  <si>
    <t>PPG - Leyland SMART MULTI-SURFACE - BW - 2.5ltr</t>
  </si>
  <si>
    <t>PPG - Leyland SMART MULTI-SURFACE - Mag - 2.5ltr</t>
  </si>
  <si>
    <t>PPG - Leyland SMART MULTI-SURFACE - LT GRY - 2.5l</t>
  </si>
  <si>
    <t>PPG - Leyland SMART MULTI-SURFACE - DK GRY - 2.5l</t>
  </si>
  <si>
    <t>PPG - Leyland SMART MULTI-SURFACE - Of Whi - 2.5l</t>
  </si>
  <si>
    <t>PPG - Leyland SMART MULTI-SURFACE - Mag - 5ltr</t>
  </si>
  <si>
    <t>PPG - Johnstones PRO GLOSS - Brill White - 500ml</t>
  </si>
  <si>
    <t>PPG - Johnstones PRO GLOSS - Magnolia - 1ltr</t>
  </si>
  <si>
    <t>PPG - Johnstones PRO GLOSS - Post Of Red - 1ltr</t>
  </si>
  <si>
    <t>PPG - Johnstones PRO GLOSS - Post Of Red - 2.5ltr</t>
  </si>
  <si>
    <t>PPG - Johnstones PRO GLOSS - Saxe Blue - 5ltr</t>
  </si>
  <si>
    <t>PPG - Johnstones PRO GLOSS - Sapphire - 5ltr</t>
  </si>
  <si>
    <t>PPG - Johnstones PRO GLOSS - Fiesta Red- 5ltr</t>
  </si>
  <si>
    <t>PPG - Johnstones PRO GLOSS - Traffic Yellow - 5ltr</t>
  </si>
  <si>
    <t>PPG - Johnstones PRO GLOSS - Saffron Yellow - 5ltr</t>
  </si>
  <si>
    <t>PPG - GORI 88 Opaque - Mix - 750ml</t>
  </si>
  <si>
    <t>PPG - GORI 88 Opaque - Mix - 2.5ltr</t>
  </si>
  <si>
    <t>PPG - GORI 88 Trans - Mix - 750ml</t>
  </si>
  <si>
    <t>PPG - GORI 88 Trans - Mix - 2.5ltr</t>
  </si>
  <si>
    <t>PPG - Leyland SMART MATT - Mix - 5ltr</t>
  </si>
  <si>
    <t>PPG - XXX</t>
  </si>
  <si>
    <t>PPG - Johnstones FLORTRED Black - 2.5ltr</t>
  </si>
  <si>
    <t>PPG - Johnstones FLORTRED Dark Green - 5ltr</t>
  </si>
  <si>
    <t>PPG - Johnstones FLORTRED Sherwood Green - 5ltr</t>
  </si>
  <si>
    <t>PPG - Johnstones FLORTRED Safety Red - 5ltr</t>
  </si>
  <si>
    <t>PPG - Johnstones CLEANABLE MATT - Mix - 1ltr</t>
  </si>
  <si>
    <t>PPG - Johnstones CLEANABLE MATT - Mix - 2.5ltr</t>
  </si>
  <si>
    <t>PPG - Leyland SMART MATT - Brilliant White - 2.5l</t>
  </si>
  <si>
    <t>PPG - Leyland SMART MATT - Brilliant White - 5ltr</t>
  </si>
  <si>
    <t>PPG - Leyland SMART MATT - Brilliant White - 10ltr</t>
  </si>
  <si>
    <t>PPG - Leyland SMART MATT - Magnolia - 2.5ltr</t>
  </si>
  <si>
    <t>PPG - Leyland SMART MATT - Magnolia - 5ltr</t>
  </si>
  <si>
    <t>PPG - Leyland SMART MATT - Magnolia - 10ltr</t>
  </si>
  <si>
    <t>PPG - Leyland SMART MATT - Tornado - 2.5ltr</t>
  </si>
  <si>
    <t>PPG - Leyland SMART MATT - Tornado - 5ltr</t>
  </si>
  <si>
    <t>PPG - Leyland SMART MATT - Tornado - 10ltr</t>
  </si>
  <si>
    <t>PPG - Johnstones CLEANABLE MATT - BW - 2.5ltr</t>
  </si>
  <si>
    <t>PPG - Johnstones CLEANABLE MATT - BW - 5ltr</t>
  </si>
  <si>
    <t>PPG - Johnstones CLEANABLE MATT - BW - 10ltr</t>
  </si>
  <si>
    <t>PPG - Artex JOINT FILLER - 12.5KG</t>
  </si>
  <si>
    <t>PPG - Artex COVE ADH - 12.5KG</t>
  </si>
  <si>
    <t>PPG - Artex COVE ADH - 5KG</t>
  </si>
  <si>
    <t>PPG - Zinsser ALLCOAT EXT SAT PASTEL  2.5ltr</t>
  </si>
  <si>
    <t>PPG - Zinsser EXT WB SATIN TRANSPAREN 2.5ltr</t>
  </si>
  <si>
    <t>PPG - Zinsser ALLCOAT EX   SATIN DEEP 2.5ltr</t>
  </si>
  <si>
    <t>PPG - Zinsser ALLCOAT EX   GLOSS PAST 2.5ltr</t>
  </si>
  <si>
    <t>PPG - Zinsser ALLCOAT EX   GLOSS TRAN 2.5ltr</t>
  </si>
  <si>
    <t>PPG - Zinsser ALLCOAT EX   GLOSS DEEP 2.5ltr</t>
  </si>
  <si>
    <t>PPG - Zinsser ALLCOAT EXT  GLS B/WHIT 2.5ltr</t>
  </si>
  <si>
    <t>PPG - Zinsser ALLCOAT EXT  GLS BLACK  2.5ltr</t>
  </si>
  <si>
    <t>PPG - Zinsser EXT SATIN    TRANS BASE 5ltr</t>
  </si>
  <si>
    <t>PPG - Zinsser BIN PRIMER   WHITE      500ml</t>
  </si>
  <si>
    <t>PPG - Artex ANGLE BEAD 3M X 30MM</t>
  </si>
  <si>
    <t>PPG - Artex ANGLE BEAD 2.4MX 30MM</t>
  </si>
  <si>
    <t>PPG - Artex EASY FLEX 30M X 79MM</t>
  </si>
  <si>
    <t>PPG - Artex AQUABEAD     2500</t>
  </si>
  <si>
    <t>PPG - Artex BOARD FINISH 25KG</t>
  </si>
  <si>
    <t>PPG - Artex THISTLE UNFINISH   25KG</t>
  </si>
  <si>
    <t>PPG - Zinsser PERMA WHITE 5ltr</t>
  </si>
  <si>
    <t>PPG - Artex TEXT'D POWDR FIN 5kg</t>
  </si>
  <si>
    <t>PPG - Artex GYPROC CORNI ADH - 5kg</t>
  </si>
  <si>
    <t>PPG - Artex GYPROC COVE 3M X 127MM</t>
  </si>
  <si>
    <t>PPG - Artex GYPROC COVE  3.6M X 127MM</t>
  </si>
  <si>
    <t>PPG - Artex GYP JNT KNIF 350MM</t>
  </si>
  <si>
    <t>PPG - Artex VELCRO PAD HEAD 19403 FOR SANDER</t>
  </si>
  <si>
    <t>PPG - Artex DEC CORNICE ADAM 50023 DEC. CORNI</t>
  </si>
  <si>
    <t>PPG - Artex DEC CORNICE ROMAN50323 DEC. CORNI</t>
  </si>
  <si>
    <t xml:space="preserve">PPG - Artex SCULPTURED COVE </t>
  </si>
  <si>
    <t>PPG - Artex CORNIC STRIP GYP 60019  CORNICE</t>
  </si>
  <si>
    <t>PPG - Artex R'MOND CORNI 88236      DPM 5M MUL</t>
  </si>
  <si>
    <t>PPG - Brushmate TRADE 20</t>
  </si>
  <si>
    <t>PPG - Brushmate CLIPS PACK (4)</t>
  </si>
  <si>
    <t>PPG - Brushmate AROMA 240</t>
  </si>
  <si>
    <t>PPG - Artex H/D PLAST MX 60040WHEEL PLASTER MI</t>
  </si>
  <si>
    <t>PPG - Brushmate LID TRADE 20</t>
  </si>
  <si>
    <t>PPG - Brushmate TRD 4 PLUS TWIN PACK</t>
  </si>
  <si>
    <t>PPG - ARTEX SERVIC CHARGE &amp; REPAIR</t>
  </si>
  <si>
    <t>PPG - Artex CHALK LINE 15M</t>
  </si>
  <si>
    <t>PPG - Artex PYRAMID      BLADE      7111</t>
  </si>
  <si>
    <t>PPG - Artex BLUE CHALK   REFILL     5200115212</t>
  </si>
  <si>
    <t>PPG - Artex SANDING      5200425706 DISCS 150G</t>
  </si>
  <si>
    <t>PPG - FatHog GENERAL PURPOSE SILICONE BROWN -295ml</t>
  </si>
  <si>
    <t>PPG - Artex CEILING ROSE CAVENDISH 36CM 72704</t>
  </si>
  <si>
    <t>PPG - Zinsser WATERTITE WHITE - 5ltr</t>
  </si>
  <si>
    <t>PPG - Artex PRO SET      17.5KG     5200432668</t>
  </si>
  <si>
    <t>PPG - Woodworks TEAK OIL- 500ml</t>
  </si>
  <si>
    <t>PPG - FatHog GRAB ADHESIV SOLV FREE  SCALE 295ml</t>
  </si>
  <si>
    <t>PPG - FatHog EVOLUTION TROUSER 30" WHITE</t>
  </si>
  <si>
    <t>PPG - FatHog EVOLUTION TROUSER 40" WHITE</t>
  </si>
  <si>
    <t>PPG - FatHog EVOLUTION TROUSER 46" WHITE</t>
  </si>
  <si>
    <t>PPG - Artex RE-USEABLE              VAC BAGS</t>
  </si>
  <si>
    <t>PPG - Artex SCULPTURED LARGE 54CM ROSE</t>
  </si>
  <si>
    <t>PPG - Artex FEATURE EXT CORNER</t>
  </si>
  <si>
    <t>PPG - Mangers ALL-IN-1 TLE GRTAD 2.2L</t>
  </si>
  <si>
    <t>PPG - Mangers ALL-IN-1 TLE GRTAD 4.4L</t>
  </si>
  <si>
    <t>PPG - Mangers LW DEEP GAP FILL 500ML</t>
  </si>
  <si>
    <t>PPG - Mangers LW DEEP GAP  FILLER 1L</t>
  </si>
  <si>
    <t>PPG - Mangers BRUSH CLEANR 500ML</t>
  </si>
  <si>
    <t>PPG - Mangers PAINT &amp; VARNISH REMOVER 500ML</t>
  </si>
  <si>
    <t>PPG - Mangers PAINT &amp; VARNISH REMOVER 1L</t>
  </si>
  <si>
    <t>PPG - Mangers CLEAN SPIRIT 750ML</t>
  </si>
  <si>
    <t>PPG - Mangers METH SPIRIT 500ML</t>
  </si>
  <si>
    <t>PPG - Mangers INTERIOR FILLER 2KG</t>
  </si>
  <si>
    <t>PPG - Mangers WHITE SPIRIT 2LTR</t>
  </si>
  <si>
    <t>PPG - Mangers AP FILLER 500G</t>
  </si>
  <si>
    <t>PPG - Mangers WHITE SPIRIT 750ML</t>
  </si>
  <si>
    <t>PPG - Mangers AP FILLER 2KG</t>
  </si>
  <si>
    <t>PPG - Mangers RM WALLPAPER PASTE 10KG</t>
  </si>
  <si>
    <t>PPG - Mangers AP FILLER 5KG</t>
  </si>
  <si>
    <t>PPG - Mangers AP FILLER 10KG</t>
  </si>
  <si>
    <t>PPG - Mangers R/MIX FILLER 600G</t>
  </si>
  <si>
    <t>PPG - Mangers RM WALLPAPER PASTE 4.5KG</t>
  </si>
  <si>
    <t>PPG - Mangers R/MIX FILLER 1KG</t>
  </si>
  <si>
    <t>PPG - Mangers RM WALLPAPER PASTE 2.5KG</t>
  </si>
  <si>
    <t>PPG - Mangers R/MIX FILLER 2KG</t>
  </si>
  <si>
    <t>PPG - Mangers RM WALLPAPER PASTE 1KG</t>
  </si>
  <si>
    <t>PPG - Mangers FINE SURFACE FILL 600G</t>
  </si>
  <si>
    <t>PPG - Mangers AP W/PAPER ADH 5ROLL</t>
  </si>
  <si>
    <t>PPG - Mangers BRD &amp;OVERLAP ADH 500G</t>
  </si>
  <si>
    <t>PPG - Mangers AP W/PAPER ADH 10ROLL</t>
  </si>
  <si>
    <t>PPG - Mangers BRD &amp; REPAIR ADH 250G</t>
  </si>
  <si>
    <t>PPG - Artex MP ADHESIVE 5200601486</t>
  </si>
  <si>
    <t>PPG - Mangers R/MIX FILLER 330G</t>
  </si>
  <si>
    <t>PPG - Zinsser ALLCOAT EXT DEEP BASE 5ltr</t>
  </si>
  <si>
    <t>PPG - Zinsser ALLCOAT EXT MID BASE 5ltr</t>
  </si>
  <si>
    <t>PPG - Zinsser ALLCOAT EXT PASTEL BASE 5ltr</t>
  </si>
  <si>
    <t>PPG - Zinsser ZINSSER WHITE 5ltr</t>
  </si>
  <si>
    <t>PPG - Artex 100 GYPROC CORNICE STRIPS PK8</t>
  </si>
  <si>
    <t>PPG - Johnstones BLACK BITUMEN - Black  - 2.5ltr</t>
  </si>
  <si>
    <t>PPG - ProGold SHORT PILE POLYESTER ROLLER 9"</t>
  </si>
  <si>
    <t>PPG - FatHog EVOLUTION TROUSER 44" WHITE</t>
  </si>
  <si>
    <t>PPG - FatHog EVO BIB &amp; BRACE  32-34" SML WHITE</t>
  </si>
  <si>
    <t>PPG - FatHog TROUSERS WHITE 44"</t>
  </si>
  <si>
    <t>PPG - TESA MASK TAPE 50M X 25MM 4348</t>
  </si>
  <si>
    <t>PPG - TESA PR MASK TAPE 50M X 38MM 4334</t>
  </si>
  <si>
    <t>PPG - TESA 59177 ECOVER 550MMX33M</t>
  </si>
  <si>
    <t>PPG - TESA 4368 ECOVER  550MMX33M</t>
  </si>
  <si>
    <t>PPG - TESA BDPLAST TAPE 33M X 50MM 67001</t>
  </si>
  <si>
    <t>PPG - MIRKA SLANGE 27MM X 4M + ADAPTER</t>
  </si>
  <si>
    <t>PPG - PURDY SPRIG ELITE  1.5" BRUSH</t>
  </si>
  <si>
    <t>PPG - TESA  DUCT TAPE SI 50M X 48MM 4613</t>
  </si>
  <si>
    <t>PPG - UB    COLOUR READR PRO CRP100</t>
  </si>
  <si>
    <t>PPG - A'COAT 385 SET BLACK          9000AM2200</t>
  </si>
  <si>
    <t>PPG - A'COAT 385 SET RAL            1004261500</t>
  </si>
  <si>
    <t>PPG - A'COAT 385 SET RAL            1004262200</t>
  </si>
  <si>
    <t>PPG - A'COAT 385 SET RAL            7035261500</t>
  </si>
  <si>
    <t>PPG - A'COAT 385 SET WHITE          3000AM1500</t>
  </si>
  <si>
    <t>PPG - A'COAT 450E SET LIEB GREY     2000AM1500</t>
  </si>
  <si>
    <t>PPG - A'COAT 450E SET LIEB GREY     2000AM2200</t>
  </si>
  <si>
    <t>PPG - A'COAT 450E SET LIEB YELLOW   8000AM1500</t>
  </si>
  <si>
    <t>PPG - A'COAT 450E SET LIEB YELLOW   8000AM2200</t>
  </si>
  <si>
    <t>PPG - A'COAT 71 PRI SET OXIDE RED   7000AM1500</t>
  </si>
  <si>
    <t>PPG - A'COAT 71 PRI SET OXIDE RED   7000AM2200</t>
  </si>
  <si>
    <t>PPG - A'COAT 71 TIECOAT SET OFFWH   3300AM1500</t>
  </si>
  <si>
    <t>PPG - A'COAT 71 TIECOAT SET OFFWH   3300AM2200</t>
  </si>
  <si>
    <t>PPG - A'COAT 71 TIECOAT SET OX RED  7001AM1500</t>
  </si>
  <si>
    <t>PPG - A'COAT 71 TIECOAT SET OX RED  7001AM2200</t>
  </si>
  <si>
    <t>PPG - A'LOCK 2 C SET BLACK          9000AM1500</t>
  </si>
  <si>
    <t>PPG - A'LOCK 2 C SET MIO BLACK      9000AM2200</t>
  </si>
  <si>
    <t>PPG - A'LOCK 2 C SET RAL            7040262200</t>
  </si>
  <si>
    <t>PPG - A'LOCK 2 C SET RAL            7043262200</t>
  </si>
  <si>
    <t>PPG - A'LOCK 2 C SET RAL            9002262200</t>
  </si>
  <si>
    <t>PPG - A'LOCK 400 C SET WHITE        3000AM1500</t>
  </si>
  <si>
    <t>PPG - A'LOCK 400AL SET              0000AM2200</t>
  </si>
  <si>
    <t>PPG - A'LOCK 400AL SET              9000001500</t>
  </si>
  <si>
    <t>PPG - ANTISKID POWDER 32020002    0000NAEU1500</t>
  </si>
  <si>
    <t>PPG - AQUACOVER 45 WHITE          700000EU2200</t>
  </si>
  <si>
    <t>PPG - AQUAWELD 100 SET REDBROWN     2008002180</t>
  </si>
  <si>
    <t>PPG - ARTEX BROWNING     25KG       0000002250</t>
  </si>
  <si>
    <t>PPG - ARTEX CEILING 25K  FIN 19340  12406 2250</t>
  </si>
  <si>
    <t>PPG - ARTEX DRI WALL     ADHESIVE         2250</t>
  </si>
  <si>
    <t>PPG - ARTEX HARDWALL     25KG             2250</t>
  </si>
  <si>
    <t>PPG - ARTEX MAGNETIC     PLASTER          2250</t>
  </si>
  <si>
    <t>PPG - ARTEX MULTI FINISH 25KG             2250</t>
  </si>
  <si>
    <t>PPG - ARTEX U/C PLASTER  2.5KG      PLASTE2125</t>
  </si>
  <si>
    <t>PPG - BLKFR 2PK WB FLOOR EPOX PASTL 0000001500</t>
  </si>
  <si>
    <t>PPG - BLKFR B/F 2 PK WB  14C39      0000001500</t>
  </si>
  <si>
    <t>PPG - BLKFR HIGH TRAFF   TAL BASE   0000001500</t>
  </si>
  <si>
    <t>PPG - BLKFR POLY FLOOR   LIGHT GREY 0000001500</t>
  </si>
  <si>
    <t>PPG - BLKFR PRO EPOXY    CLEAR      0000001500</t>
  </si>
  <si>
    <t>PPG - BLKFR QD90 RUST    PRIMER     0000001250</t>
  </si>
  <si>
    <t>PPG - BLKFR TEREBINE     DRIERS     0000000250</t>
  </si>
  <si>
    <t>PPG - BLKFR TEREBINE     DRIERS     0000000500</t>
  </si>
  <si>
    <t>PPG - BLKRO DB HI VIS    VEST XXL</t>
  </si>
  <si>
    <t>PPG - BLKRO HIVIS YELLOW POLO SMALL</t>
  </si>
  <si>
    <t>PPG - BLKRO MOULD DUST   RESPIRATOR FFP2 (2XMA</t>
  </si>
  <si>
    <t>PPG - BLKRO MOULD PAINT  RESPIRATOR FFP2 (2XMA</t>
  </si>
  <si>
    <t>PPG - BLKRO PAINTERS     GLOVE</t>
  </si>
  <si>
    <t>PPG - BLKRO REPLACE CART A1P2 FOR   A1P2 73092</t>
  </si>
  <si>
    <t>PPG - BLKRO SAFETY       SPECTACLES</t>
  </si>
  <si>
    <t>PPG - BON GARDENGREYS DARK NATURGR 22000000750</t>
  </si>
  <si>
    <t>PPG - BON GARDENGREYS DRIFTWOOD GREY  22020750</t>
  </si>
  <si>
    <t>PPG - BON GARDENGREYS LIGHT NATURGR  220100750</t>
  </si>
  <si>
    <t>PPG - BON LONG LIFE UV CLEAR  (UK) 90000000750</t>
  </si>
  <si>
    <t>PPG - BON PREMIUM NIGHT BLACK (UK) 00000001250</t>
  </si>
  <si>
    <t>PPG - BON PREMIUM SILVER GREY (UK) 20000001250</t>
  </si>
  <si>
    <t>PPG - COOVR AC LINE MARK 08E51      0000001250</t>
  </si>
  <si>
    <t>PPG - COOVR ANTI GRAFITI WB101      0000001250</t>
  </si>
  <si>
    <t>PPG - COOVR HAMMERCOTE   SMTH BLACK 0000000400</t>
  </si>
  <si>
    <t>PPG - COOVR HAMMERCOTE   SMTH WHITE 0000000400</t>
  </si>
  <si>
    <t>PPG - COOVR LINE MARKER  ASS COLOUR 0000001250</t>
  </si>
  <si>
    <t>PPG - COOVR LINE MARKER  BLUE       0000000750</t>
  </si>
  <si>
    <t>PPG - COOVR ROAD MARKING AERO WHITE 0000000750</t>
  </si>
  <si>
    <t>PPG - COOVR ROAD MARKING AERO YELLW 0000000750</t>
  </si>
  <si>
    <t>PPG - COOVR VANDELENE    BLACK      0000001250</t>
  </si>
  <si>
    <t>PPG - COOVR VANDELENE    BLACK      0000001500</t>
  </si>
  <si>
    <t>PPG - DIMETCOTE 11 GREY           2000AMEU1800</t>
  </si>
  <si>
    <t>PPG - DIMETCOTE 9 SET GRAY          2000AM2100</t>
  </si>
  <si>
    <t>PPG - EASY  EASTYEX      10-048     CORD</t>
  </si>
  <si>
    <t>PPG - EASY  EASYTEX      10-052     DAMASK</t>
  </si>
  <si>
    <t>PPG - EASY  EASYTEX      10-055 W/C RIBBON</t>
  </si>
  <si>
    <t>PPG - EASYL INSULATION   LINER 10M  SINGLE</t>
  </si>
  <si>
    <t>PPG - EASYM EASYTEX MAX  GLACIER    W/C 10-071</t>
  </si>
  <si>
    <t>PPG - EASYM EASYTEX MAX  SNOWSTORM  W/C 10-070</t>
  </si>
  <si>
    <t>PPG - EWI   1.2MM AL WHI UNDERCILL 2.5M 105MM</t>
  </si>
  <si>
    <t>PPG - EWI   1.2MM AL WHI UNDERCILL 2.5M 115MM</t>
  </si>
  <si>
    <t>PPG - EWI   1.2MM AL WHI VERGE 2.5M 130MM</t>
  </si>
  <si>
    <t>PPG - EWI   1.2MM AL WHI VERGE 2.5M 140MM</t>
  </si>
  <si>
    <t>PPG - EWI   10MM PVC COR BEAD/NOSE  TEPCB010PP</t>
  </si>
  <si>
    <t>PPG - EWI   15MM PL STOP BEAD 2.5M  SB15PPVC25</t>
  </si>
  <si>
    <t>PPG - EWI   70E 110MM GREY L/TRM 1200X600MM</t>
  </si>
  <si>
    <t>PPG - EWI   70E 120MM GREY L/TRM 1200X600MM</t>
  </si>
  <si>
    <t>PPG - EWI   70E 160MM GREY L/TRM 1200X600MM</t>
  </si>
  <si>
    <t>PPG - EWI   70E 200MM GREY L/TRM 1200X600MM</t>
  </si>
  <si>
    <t>PPG - EWI   70E 70MM GREY 1200X600MM L/TRM</t>
  </si>
  <si>
    <t>PPG - EWI   70E 80MM GREY L/TRM 1200X600MM</t>
  </si>
  <si>
    <t>PPG - EWI   AL BASETRACK 2.5M 270MM BOX BASE</t>
  </si>
  <si>
    <t>PPG - EWI   AL STOP PROF WHI FINISH 2.5M 90MM</t>
  </si>
  <si>
    <t>PPG - EWI   ALUM BASETRACK BOX BASE 2.5M 20MM</t>
  </si>
  <si>
    <t>PPG - EWI   ALUM BASETRACK BOX BASE 2.5M 30MM</t>
  </si>
  <si>
    <t>PPG - EWI   ALUM BASETRACK BOX BASE 2.5M 40MM</t>
  </si>
  <si>
    <t>PPG - EWI   ALUM BASETRACK BOX BASE 2.5M 60MM</t>
  </si>
  <si>
    <t>PPG - EWI   ALUM BASETRACK BOX BASE 2.5M 90MM</t>
  </si>
  <si>
    <t>PPG - EWI   ANG SH/SPINE 15MM IVORY TEPAB15PPV</t>
  </si>
  <si>
    <t>PPG - EWI   BOXBS CLIPON NOSE W/MESH 2.5M 6MM</t>
  </si>
  <si>
    <t>PPG - EWI   BRICK EFFECT RENDER BRICK RED 25KG</t>
  </si>
  <si>
    <t>PPG - EWI   BRICK EFFECT RENDER CHARCOAL 25KG</t>
  </si>
  <si>
    <t>PPG - EWI   BRICK EFFECT RENDER CL/MORTAR 25KG</t>
  </si>
  <si>
    <t>PPG - EWI   BRICK EFFECT RENDER CLASS/RED 25KG</t>
  </si>
  <si>
    <t>PPG - EWI   BRICK EFFECT RENDER DARK BROWN25KG</t>
  </si>
  <si>
    <t>PPG - EWI   BRICK EFFECT RENDER DARK GREY 25KG</t>
  </si>
  <si>
    <t>PPG - EWI   BRICK EFFECT RENDER GOLDEN STN25KG</t>
  </si>
  <si>
    <t>PPG - EWI   BRICK EFFECT RENDER LIGHT GREY25KG</t>
  </si>
  <si>
    <t>PPG - EWI   BRICK EFFECT RENDER SANDSTONE 25KG</t>
  </si>
  <si>
    <t>PPG - EWI   BRICK EFFECT RENDER SOFT BROWN25KG</t>
  </si>
  <si>
    <t>PPG - EWI   BRICK EFFECT RENDER TERRACOTTA25KG</t>
  </si>
  <si>
    <t>PPG - EWI   BRICK EFFECT RENDER TRAD GREY 25KG</t>
  </si>
  <si>
    <t>PPG - EWI   BRICK EFFECT RENDER TRAD RED 25KG</t>
  </si>
  <si>
    <t>PPG - EWI   BRICK SLIP ADHESIVE 25KG</t>
  </si>
  <si>
    <t>PPG - EWI   BRICK SLIP BASETRACK 2.5M 60MM</t>
  </si>
  <si>
    <t>PPG - EWI   DASH RECEIVER ANTIQUE WHITE 25KG</t>
  </si>
  <si>
    <t>PPG - EWI   DASH RECEIVER BLUE 25KG</t>
  </si>
  <si>
    <t>PPG - EWI   DASH RECEIVER BUTTERMILK 25KG</t>
  </si>
  <si>
    <t>PPG - EWI   DASH RECEIVER CREAM 25KG</t>
  </si>
  <si>
    <t>PPG - EWI   DASH RECEIVER GREEN 25KG</t>
  </si>
  <si>
    <t>PPG - EWI   DASH RECEIVER GREY 25KG</t>
  </si>
  <si>
    <t>PPG - EWI   DASH RECEIVER PALE STONE 25KG</t>
  </si>
  <si>
    <t>PPG - EWI   DASH RECEIVER PINK 25KG</t>
  </si>
  <si>
    <t>PPG - EWI   DASH RECEIVER SANDSTONE 25KG</t>
  </si>
  <si>
    <t>PPG - EWI   DASH RECEIVER STONE 25KG</t>
  </si>
  <si>
    <t>PPG - EWI   DASH RECEIVER STONE GREY 25KG</t>
  </si>
  <si>
    <t>PPG - EWI   DASH RECEIVER TERRACOTTA 25KG</t>
  </si>
  <si>
    <t>PPG - EWI   DASHING SPAR ASHTON CREAM 25KG</t>
  </si>
  <si>
    <t>PPG - EWI   DASHING SPAR BARLEYCORN 25KG</t>
  </si>
  <si>
    <t>PPG - EWI   DASHING SPAR BUFF QUARTZ 25KG</t>
  </si>
  <si>
    <t>PPG - EWI   DASHING SPAR CHATSWORTH 25KG</t>
  </si>
  <si>
    <t>PPG - EWI   DASHING SPAR HADDON SPAR0000002250</t>
  </si>
  <si>
    <t>PPG - EWI   DASHING SPAR HARVEST 25KG</t>
  </si>
  <si>
    <t>PPG - EWI   DASHING SPAR LIMESTONE 25KG</t>
  </si>
  <si>
    <t>PPG - EWI   DASHING SPAR NORDIC SPAR 25KG</t>
  </si>
  <si>
    <t>PPG - EWI   DASHING SPAR POLAR RED WHITE 25KG</t>
  </si>
  <si>
    <t>PPG - EWI   DASHING SPAR SNOWDROP 25KG</t>
  </si>
  <si>
    <t>PPG - EWI   DASHING SPAR SUNSET 25KG</t>
  </si>
  <si>
    <t>PPG - EWI   DMT 85/7E ST STEEL WASH 85MM</t>
  </si>
  <si>
    <t>PPG - EWI   ENHANCED     EPS 270MM  1200 X 600</t>
  </si>
  <si>
    <t>PPG - EWI   ENHANCED     ROUTED BRD 100MM</t>
  </si>
  <si>
    <t>PPG - EWI   ENHANCED EPS 100MM 1200 X 600 MM</t>
  </si>
  <si>
    <t>PPG - EWI   ENHANCED EPS 110MM 1200 X 600 MM</t>
  </si>
  <si>
    <t>PPG - EWI   ENHANCED EPS 120MM 1200 X 600 MM</t>
  </si>
  <si>
    <t>PPG - EWI   ENHANCED EPS 20MM 1200 X 600 MM</t>
  </si>
  <si>
    <t>PPG - EWI   ENHANCED EPS 30MM 1200 X 600 MM</t>
  </si>
  <si>
    <t>PPG - EWI   ENHANCED EPS 40MM 1200 X 600 MM</t>
  </si>
  <si>
    <t>PPG - EWI   ENHANCED EPS 50MM 1200 X 600 MM</t>
  </si>
  <si>
    <t>PPG - EWI   ENHANCED EPS 60MM 1200 X 600 MM</t>
  </si>
  <si>
    <t>PPG - EWI   ENHANCED EPS 90MM 1200 X 600 MM</t>
  </si>
  <si>
    <t>PPG - EWI   EPS 200E30MM 1200X600MM HD WHITE</t>
  </si>
  <si>
    <t>PPG - EWI   EPS 200E90MM 1200X600MM HD WHITE</t>
  </si>
  <si>
    <t>PPG - EWI   EPS 70E      20MM</t>
  </si>
  <si>
    <t>PPG - EWI   EPS 70E      30MM</t>
  </si>
  <si>
    <t>PPG - EWI   EPS 70E      40MM</t>
  </si>
  <si>
    <t>PPG - EWI   EPS 70E      60MM</t>
  </si>
  <si>
    <t>PPG - EWI   EPS 70E      90MM</t>
  </si>
  <si>
    <t>PPG - EWI   EPS200E100MM 1200X600MM HD WHITE</t>
  </si>
  <si>
    <t>PPG - EWI   FIR TREE FIXING BLACK*BOX OF 1000*</t>
  </si>
  <si>
    <t>PPG - EWI   FOAM GUN</t>
  </si>
  <si>
    <t>PPG - EWI   H1 ECO 135MM MAX 100MM INSULATION</t>
  </si>
  <si>
    <t>PPG - EWI   H1 ECO 155MM MAX 120MM INSULATION</t>
  </si>
  <si>
    <t>PPG - EWI   H1 ECO 95MM MAX 60MM INSULATION</t>
  </si>
  <si>
    <t>PPG - EWI   HIGH FLEX RENDER BASECOAT 25KG</t>
  </si>
  <si>
    <t>PPG - EWI   HIGH IMPACT RENDER MESH CLOTH</t>
  </si>
  <si>
    <t>PPG - EWI   IDK-N 8/60   75MM 200BX</t>
  </si>
  <si>
    <t>PPG - EWI   KEY COAT PRIMER 25KG</t>
  </si>
  <si>
    <t>PPG - EWI   NKU HAMMER 45MM 100 PACK</t>
  </si>
  <si>
    <t>PPG - EWI   PL ANGL BEAD 10MM IVORY 2.5M S/SPI</t>
  </si>
  <si>
    <t>PPG - EWI   PL BELL BEAD 15MM IVORY 2.5M</t>
  </si>
  <si>
    <t>PPG - EWI   PL STOP BEAD 10MM IVORY 2.5M</t>
  </si>
  <si>
    <t>PPG - EWI   PLAS EX BEAD 10MM IVORY 2.5M</t>
  </si>
  <si>
    <t>PPG - EWI   POINTING MORTAR CHARCOAL 25KG</t>
  </si>
  <si>
    <t>PPG - EWI   POINTING MORTAR DARK GREY 25KG</t>
  </si>
  <si>
    <t>PPG - EWI   POINTING MORTAR NATURAL GREY 25KG</t>
  </si>
  <si>
    <t>PPG - EWI   POINTING MORTOR CLASSIC 25KG</t>
  </si>
  <si>
    <t>PPG - EWI   POLE &amp; SEAM  TAPE 25MT  PHS</t>
  </si>
  <si>
    <t>PPG - EWI   PU FOAM      CLEANER    0000000500</t>
  </si>
  <si>
    <t>PPG - EWI   QUICK SET ADDITIVE 250ML*20</t>
  </si>
  <si>
    <t>PPG - EWI   RECYCLING BAG CLEAR *150*</t>
  </si>
  <si>
    <t>PPG - EWI   ROCKWOOL 110MM 1200 X 600 MM</t>
  </si>
  <si>
    <t>PPG - EWI   ROCKWOOL 120MM 1200 X 600 MM</t>
  </si>
  <si>
    <t>PPG - EWI   ROCKWOOL 180MM 1200 X 600 MM</t>
  </si>
  <si>
    <t>PPG - EWI   ROCKWOOL 60MM 1200 X 600 MM</t>
  </si>
  <si>
    <t>PPG - EWI   ROCKWOOL 70MM 1200 X 600 MM</t>
  </si>
  <si>
    <t>PPG - EWI   S/S MINERAL  COUNTY CRM THIN COAT</t>
  </si>
  <si>
    <t>PPG - EWI   S/S MINERAL  IVORY      THIN COAT</t>
  </si>
  <si>
    <t>PPG - EWI   S/S MINERAL  MUSHROOM   THIN COAT</t>
  </si>
  <si>
    <t>PPG - EWI   S/S MINERAL  PRIN GREY  THIN COAT</t>
  </si>
  <si>
    <t>PPG - EWI   S/S MINERAL  WHITE      THIN COAT</t>
  </si>
  <si>
    <t>PPG - EWI   S/S SILICONE IVORY      MINERAL T/</t>
  </si>
  <si>
    <t>PPG - EWI   S/S SILICONE MUSHROOM   MINERAL T/</t>
  </si>
  <si>
    <t>PPG - EWI   S/S SILICONE PRIN GREY  MINERAL T/</t>
  </si>
  <si>
    <t>PPG - EWI   S/S SILICONE WHITE      MINERAL T/</t>
  </si>
  <si>
    <t>PPG - EWI   SANDED RED NUANCE BRICK SLIP BOX30</t>
  </si>
  <si>
    <t>PPG - EWI   SANDED RED NUANCE PISTOL BRK BOX14</t>
  </si>
  <si>
    <t>PPG - EWI   SCRATCH RENDER BLUE 25KG</t>
  </si>
  <si>
    <t>PPG - EWI   SCRATCH RENDER EARTH 25KG</t>
  </si>
  <si>
    <t>PPG - EWI   SCRATCH RENDER GOLD 25KG</t>
  </si>
  <si>
    <t>PPG - EWI   SCRATCH RENDER GOLDEN BROWN 25KG</t>
  </si>
  <si>
    <t>PPG - EWI   SCRATCH RENDER GREEN 25KG</t>
  </si>
  <si>
    <t>PPG - EWI   SCRATCH RENDER GREY 25KG</t>
  </si>
  <si>
    <t>PPG - EWI   SCRATCH RENDER GUN METAL 25KG</t>
  </si>
  <si>
    <t>PPG - EWI   SCRATCH RENDER HIGH WHITE 25KG</t>
  </si>
  <si>
    <t>PPG - EWI   SCRATCH RENDER IVORY 25KG</t>
  </si>
  <si>
    <t>PPG - EWI   SCRATCH RENDER NATURAL WHITE 25KG</t>
  </si>
  <si>
    <t>PPG - EWI   SCRATCH RENDER PASTEL ROSE 25KG</t>
  </si>
  <si>
    <t>PPG - EWI   SCRATCH RENDER SANDSTONE 25KG</t>
  </si>
  <si>
    <t>PPG - EWI   SCRATCH RENDER TERRACOTTA 25KG</t>
  </si>
  <si>
    <t>PPG - EWI   SMTH GRENOBLE BRICK SLIP BOX 30</t>
  </si>
  <si>
    <t>PPG - EWI   SMTH GRENOBLE PISTOL BRK BOX 14</t>
  </si>
  <si>
    <t>PPG - EWI   SPIRAL ANCOR FOR LW ATTACHMENTS</t>
  </si>
  <si>
    <t>PPG - EWI   STRU2G 115MM MAX 80MM INSULATION</t>
  </si>
  <si>
    <t>PPG - EWI   STRU2G 135MM MAX 100MM INSULATION</t>
  </si>
  <si>
    <t>PPG - EWI   SWI-EX       EXT TUBE</t>
  </si>
  <si>
    <t>PPG - EWI   TECNIC SILICONE SEALANT 0000000380</t>
  </si>
  <si>
    <t>PPG - EWI   TP10 50MM    1200X2400</t>
  </si>
  <si>
    <t>PPG - EWI   VENTED TOP   BEAD 101   2.5MT</t>
  </si>
  <si>
    <t>PPG - EWI   VENTED U CHN 40X40X14 + 6MM NOSE</t>
  </si>
  <si>
    <t>PPG - EWI   VERGE EXT CORNERS *SPECIFY SIZE*</t>
  </si>
  <si>
    <t>PPG - EWI   VERGE TRIM END CAPSX2 WELDED OVER</t>
  </si>
  <si>
    <t>PPG - EWI   VERGE TRIM JOINT CLIPS</t>
  </si>
  <si>
    <t>PPG - EWI   WHI PLASTIC ANGLE S/SPINE 2.5M 6MM</t>
  </si>
  <si>
    <t>PPG - EWI   WHI PLASTIC ANGLE S/SPINE 2.5M10MM</t>
  </si>
  <si>
    <t>PPG - EWI   WHI PLASTIC ANGLE S/SPINE 2.5M15MM</t>
  </si>
  <si>
    <t>PPG - EWI   WHI PLASTIC BELLCAST BEAD 2.5M10MM</t>
  </si>
  <si>
    <t>PPG - EWI   WHI PLASTIC BELLCAST BEAD 2.5M15MM</t>
  </si>
  <si>
    <t>PPG - EWI   WHIPLASTIC EXPANSION BEAD 2.5M 6MM</t>
  </si>
  <si>
    <t>PPG - EWI   WHITE PLASTIC ANGLE BEAD MESH 2.5M</t>
  </si>
  <si>
    <t>PPG - EWI   WHITE PLASTIC STOP BEAD 2.5M 15MM</t>
  </si>
  <si>
    <t>PPG - EWI   WHITE PLASTIC STOP BEAD 2.5M 6MM</t>
  </si>
  <si>
    <t>PPG - EWI   WH-SWI-SP-B  SATA PLATE BLACK</t>
  </si>
  <si>
    <t>PPG - EWI   WH-SWI-SP-W  SATA PLATE WHITE</t>
  </si>
  <si>
    <t>PPG - EWI   WH-SWI-ST-B  BLACK TUBE FITTING</t>
  </si>
  <si>
    <t>PPG - EWI   WH-SWI-ST-W  WHITE TUBE FITTING</t>
  </si>
  <si>
    <t>PPG - EWI   WH-SWI-TT-B  TAP CONNECTION BLACK</t>
  </si>
  <si>
    <t>PPG - EWI   WH-SWI-TT-W  TAP CONNEC WHITE</t>
  </si>
  <si>
    <t>PPG - EWI   WH-SWI-WL-B  CABLE CONN BLACK</t>
  </si>
  <si>
    <t>PPG - EWI   WH-SWI-WL-W  CABLE CONN WHITE</t>
  </si>
  <si>
    <t>PPG - EWI  DASHING SPAR CLASSIC SPAR 25KG</t>
  </si>
  <si>
    <t>PPG - FATEV BIB &amp; BRACE  32/34" SML FI1090 NI</t>
  </si>
  <si>
    <t>PPG - FATEV BIB &amp; BRACE  36/38" MED FI1100 NI</t>
  </si>
  <si>
    <t>PPG - FATEV BIB &amp; BRACE  40/42" LRG FI1110 NI</t>
  </si>
  <si>
    <t>PPG - FATEV FHEV TROUSER 30" WHITE  FI1000 NI</t>
  </si>
  <si>
    <t>PPG - FATEV FHEV TROUSER 32" WHITE  FI1010 NI</t>
  </si>
  <si>
    <t>PPG - FATEV FHEV TROUSER 34" WHITE  FI1020 NI</t>
  </si>
  <si>
    <t>PPG - FATEV FHEV TROUSER 36" WHITE  FI1030 NI</t>
  </si>
  <si>
    <t>PPG - FATEV FHEV TROUSER 38" WHITE  FI1040 NI</t>
  </si>
  <si>
    <t>PPG - FATHG FH BIB&amp;BRACE 36/38"     FH2100 NI</t>
  </si>
  <si>
    <t>PPG - FATHG FH BIB&amp;BRACE 40/42"     FH2110 NI</t>
  </si>
  <si>
    <t>PPG - FATHG FH TROUSERS  WHITE 30"  FH2000 NI</t>
  </si>
  <si>
    <t>PPG - FATHG FH TROUSERS  WHITE 32"  FH2010 NI</t>
  </si>
  <si>
    <t>PPG - FATHG FH TROUSERS  WHITE 34"  FH2020 NI</t>
  </si>
  <si>
    <t>PPG - FATHG FH TROUSERS  WHITE 36"  FH2030 NI</t>
  </si>
  <si>
    <t>PPG - FATHG FH TROUSERS  WHITE 38"  FH2040 NI</t>
  </si>
  <si>
    <t>PPG - FATHG FH TROUSERS  WHITE 40"  FH2050 NI</t>
  </si>
  <si>
    <t>PPG - FD    GORI88 OPAQU MIXED COL  0000000750</t>
  </si>
  <si>
    <t>PPG - FD    GORI88 OPAQU MIXED COL  0000001250</t>
  </si>
  <si>
    <t>PPG - FD    GORI88 OPAQU MIXED COL  0000001900</t>
  </si>
  <si>
    <t>PPG - FD    GORI88 TRANS MIXED COL  0000000750</t>
  </si>
  <si>
    <t>PPG - FD    GORI88 TRANS MIXED COL  0000001250</t>
  </si>
  <si>
    <t>PPG - FD    GORI88 TRANS MIXED COL  0000001900</t>
  </si>
  <si>
    <t>PPG - G&amp;B   FRESCO 19059 PLASTER    PG.HS</t>
  </si>
  <si>
    <t>PPG - G&amp;B   FRESCO 205 STIPPLE PG.HT</t>
  </si>
  <si>
    <t>PPG - G&amp;B   FRESCO 284 STRING PG.HT</t>
  </si>
  <si>
    <t>PPG - G&amp;B   FRESCO 70074 HEAVY STIPPLE PG.HR</t>
  </si>
  <si>
    <t>PPG - G&amp;B   FRESCO 726   BARK       PG.HR</t>
  </si>
  <si>
    <t>PPG - GORI 05 EXP DECK  CLEAR (UK)  9900001250</t>
  </si>
  <si>
    <t>PPG - GORI 05 EXP DECK  TEAK (UK)  78040001250</t>
  </si>
  <si>
    <t>PPG - GORI 05 EXP DECK OAK (UK)    78050001250</t>
  </si>
  <si>
    <t>PPG - GORI 11 WOOD PRES CLEAR (UK) 9900001250</t>
  </si>
  <si>
    <t>PPG - GORI 11 WOOD PRES CLEAR (UK) 9900001500</t>
  </si>
  <si>
    <t>PPG - GORI 99 EXTR OPAQ WHIT (UK)   8000001250</t>
  </si>
  <si>
    <t>PPG - GORI 99 EXTR OPAQ WHIT (UK) 8000001500</t>
  </si>
  <si>
    <t>PPG - HAMIL 7 PC WOVEN   ROLLER KIT</t>
  </si>
  <si>
    <t>PPG - HAMIL PERFECTION   BRUSH 2.5"</t>
  </si>
  <si>
    <t>PPG - HAMIL PERFECTION   BRUSH 3"</t>
  </si>
  <si>
    <t>PPG - HAMIL PRESTIGE SYN SASH 18MM  BRUSH</t>
  </si>
  <si>
    <t>PPG - HAMIL ROLLER       CLEANER    2905035</t>
  </si>
  <si>
    <t>PPG - HI-TEMP 1000 ALUMINUM            05 B400</t>
  </si>
  <si>
    <t>PPG - HI-TEMP 1000 MEDIUM GRAY         01 B100</t>
  </si>
  <si>
    <t>PPG - HI-TEMP 1000 SAFETY YELLOW       01 B100</t>
  </si>
  <si>
    <t>PPG - HI-TEMP 1000 WHITE               01 B100</t>
  </si>
  <si>
    <t>PPG - HI-TEMP 1027 BLACK           00000EU1400</t>
  </si>
  <si>
    <t>PPG - HI-TEMP 1027 GREY           000000EU1400</t>
  </si>
  <si>
    <t>PPG - HI-TEMP 1027 LT GR          000000EU1400</t>
  </si>
  <si>
    <t>PPG - JST   1.0 S/CONE EN RENDER WH 0000002250</t>
  </si>
  <si>
    <t>PPG - JST   1.0 S/CONE FULL REN WHI 0000002250</t>
  </si>
  <si>
    <t>PPG - JST   1.5 S/CONE FULL REN WHI 0000002250</t>
  </si>
  <si>
    <t>PPG - JST   2.0 S/CONE FULL REN WHI 0000002250</t>
  </si>
  <si>
    <t>PPG - JST   FULL RENDER PRIMER WHI  0000002250</t>
  </si>
  <si>
    <t>PPG - JST   MATT W/STAIN TRANSPAREN 0000000738</t>
  </si>
  <si>
    <t>PPG - JST   MATT W/STAIN YELLOW     0000001242</t>
  </si>
  <si>
    <t>PPG - JST   QD W/STN SAT TRANSPAREN 0000000738</t>
  </si>
  <si>
    <t>PPG - JST   QD WOODSTAIN PINE       0000001250</t>
  </si>
  <si>
    <t>PPG - JST   SATIN W/STN  JACOB OAK  0000000750</t>
  </si>
  <si>
    <t>PPG - JST   SATIN W/STN  JACOB OAK  0000001250</t>
  </si>
  <si>
    <t>PPG - JST   SATIN W/STN  TRANS      0000001242</t>
  </si>
  <si>
    <t>PPG - JST  STAINAWAY BAS L         0711001250</t>
  </si>
  <si>
    <t>PPG - JST CLEAN MAT UPGR BAS L      0711001100</t>
  </si>
  <si>
    <t>PPG - JST CLEAN MAT UPGR BAS L      0711001250</t>
  </si>
  <si>
    <t>PPG - JST CLEAN MAT UPGR BAS L      0711001500</t>
  </si>
  <si>
    <t>PPG - JST CLEAN MAT UPGR BAS Z      0071001231</t>
  </si>
  <si>
    <t>PPG - JST CLEAN MAT UPGR BAS Z      0071001462</t>
  </si>
  <si>
    <t>PPG - JST SILICONE ENH PRIMER WHITE       1500</t>
  </si>
  <si>
    <t>PPG - JST STAINAWAY BAS L           0711002100</t>
  </si>
  <si>
    <t>PPG - K     BIRDCAGE     7" FRAME   PLASTICHAN</t>
  </si>
  <si>
    <t>PPG - KNAUF AIRLESS      BACKING    470359</t>
  </si>
  <si>
    <t>PPG - KNAUF AQUAPANEL    EXT JOINT  0000002200</t>
  </si>
  <si>
    <t>PPG - KNAUF AQUAPANEL    INT SKIM   0000002250</t>
  </si>
  <si>
    <t>PPG - KNAUF AQUAPANEL IN JOINT TAPE 20MX48MM</t>
  </si>
  <si>
    <t>PPG - KNAUF CAVANNA SPEC EQUALISER  0000002125</t>
  </si>
  <si>
    <t>PPG - KNAUF EASY PLASTER            0000001250</t>
  </si>
  <si>
    <t>PPG - KNAUF EASY PLASTER            0000001600</t>
  </si>
  <si>
    <t>PPG - KNAUF FIBA TAPE    153M       493670</t>
  </si>
  <si>
    <t>PPG - KNAUF FILL N FINIS PREMIUM 60 0000002100</t>
  </si>
  <si>
    <t>PPG - KNAUF JOINT CEMENT PREMIUM    0000002200</t>
  </si>
  <si>
    <t>PPG - KNAUF JOINT FILLER                  2200</t>
  </si>
  <si>
    <t>PPG - KNAUF JOINT FILLER PREMIUM    0000002200</t>
  </si>
  <si>
    <t>PPG - KNAUF UNIIFLOTT    253631     0000002250</t>
  </si>
  <si>
    <t>PPG - KNAUF WALLBOARD    PRIMER           2120</t>
  </si>
  <si>
    <t>PPG - LEYTS 4" EMUL MINI ROLLER KIT PACK OF 10</t>
  </si>
  <si>
    <t>PPG - LEYTS 4" FOAM MINI FRAME SOFT PACK OF 10</t>
  </si>
  <si>
    <t>PPG - LEYTS 4" FOAM MINI ROLLER KIT PACK OF 10</t>
  </si>
  <si>
    <t>PPG - LEYTS 4" FOAM MINI ROLLER(10)</t>
  </si>
  <si>
    <t>PPG - LEYTS 4" MED MINI  ROLLER(10) PACK OF 10</t>
  </si>
  <si>
    <t>PPG - LEYTS 4" WOVEN MED MINI ROLLER PACK 10</t>
  </si>
  <si>
    <t>PPG - LEYTS 4PC 9"ROLL &amp; TRAYKIT 20</t>
  </si>
  <si>
    <t>PPG - LEYTS 6PC 9"ROLL &amp; TRAYKIT 20</t>
  </si>
  <si>
    <t>PPG - LEYTS 7PC CONTRACT BRUSH PK10</t>
  </si>
  <si>
    <t>PPG - LEYTS 9" MED PILE  POLY ROLLER(6)PACK 10</t>
  </si>
  <si>
    <t>PPG - LEYTS 9"ROLLER FRM SOFT GRIP PACK OF 10</t>
  </si>
  <si>
    <t>PPG - LEYTS 9"WOVEN MED  ROLL(6)P10</t>
  </si>
  <si>
    <t>PPG - LEYTS CONT BRUSH   1" PK6</t>
  </si>
  <si>
    <t>PPG - LEYTS CONTRACTOR   BRUSH 1.5" PACK OF 6</t>
  </si>
  <si>
    <t>PPG - LEYTS CONTRACTOR   BRUSH 2" PACK OF 6</t>
  </si>
  <si>
    <t>PPG - LEYTS CONTRACTOR   BRUSH 2.5" PACK OF 6</t>
  </si>
  <si>
    <t>PPG - LEYTS CONTRACTOR   BRUSH 3" PACK OF 6</t>
  </si>
  <si>
    <t>PPG - LEYTS MASONRY BRSH 4" PACK 10</t>
  </si>
  <si>
    <t>PPG - LEYTS MASONRY KIT  9" PACK 10</t>
  </si>
  <si>
    <t>PPG - LEYTS MASONRY REPL 9" ROLLERS PACK 10</t>
  </si>
  <si>
    <t>PPG - LEYTS MED PILE WOV MINI JUMBO ROLL(4)P10</t>
  </si>
  <si>
    <t>PPG - LEYTS MICROFIBRE MINI JUMBO ROLLER(4)P10</t>
  </si>
  <si>
    <t>PPG - LEYTS PRM FL CAULK WHI 380ML</t>
  </si>
  <si>
    <t>PPG - LEYTS ROLL &amp; GO    MINI (24)  + 3 LINERS</t>
  </si>
  <si>
    <t>PPG - LEYTS ROLL&amp;GO MINI LINERS 3   (48)</t>
  </si>
  <si>
    <t>PPG - LEYTS WHITE SPIRIT 2L (PK8)   0000002160</t>
  </si>
  <si>
    <t>PPG - LL    CONTRCT MATT LIGHT GREY 0000002100</t>
  </si>
  <si>
    <t>PPG - LL    H/WEAR MATT  ULTRA DEEP 0000001231</t>
  </si>
  <si>
    <t>PPG - LL    H/WEAR MATT  ULTRA DEEP 0000001462</t>
  </si>
  <si>
    <t>PPG - LL    VINYL MATT   ULTRA DEEP 0000001925</t>
  </si>
  <si>
    <t>PPG - MGRR  DEC CAULK    300ML      0000000300</t>
  </si>
  <si>
    <t>PPG - MGRR  DEC CAULK    380ML      0000000380</t>
  </si>
  <si>
    <t>PPG - MGRR  R/MIX FILLER 330GM      0000000330</t>
  </si>
  <si>
    <t>PPG - MIRKA 1025LTR      EXTRACTOR  240V</t>
  </si>
  <si>
    <t>PPG - MIRKA 10MTR  HOSE             EXTENSION</t>
  </si>
  <si>
    <t>PPG - MIRKA 1230M DUST   EXTRC 110V KIT1705ALM</t>
  </si>
  <si>
    <t>PPG - MIRKA 125MM        PAD        BACKING</t>
  </si>
  <si>
    <t>PPG - MIRKA 150MM GRIP   DISC 240G  PK 50</t>
  </si>
  <si>
    <t>PPG - MIRKA 150MM GRIP   DISC 320G  PK 50</t>
  </si>
  <si>
    <t>PPG - MIRKA 225MM DISCS  180 GRIT   PACK 25</t>
  </si>
  <si>
    <t>PPG - MIRKA 350CV 77MM   230V DECO  KIT DEROS</t>
  </si>
  <si>
    <t>PPG - MIRKA 81X133MM ACE HD P80 P25 AH17802580</t>
  </si>
  <si>
    <t>PPG - MIRKA 915M CLASS   230V       EXTRACTOR</t>
  </si>
  <si>
    <t>PPG - MIRKA ABRA 225MM   P240 BOX25 5422302525</t>
  </si>
  <si>
    <t>PPG - MIRKA ABRALON 77MM P4000 PK20 8A20302097</t>
  </si>
  <si>
    <t>PPG - MIRKA ABRANET      DISCS P180 PK50</t>
  </si>
  <si>
    <t>PPG - MIRKA ABRANET 150MM P120 50 STK</t>
  </si>
  <si>
    <t>PPG - MIRKA ABRANET 150MM P180 50 STK</t>
  </si>
  <si>
    <t>PPG - MIRKA ABRANET 81X133 P120 10 STK</t>
  </si>
  <si>
    <t>PPG - MIRKA ABRANET 81X133 P80  10 STK</t>
  </si>
  <si>
    <t>PPG - MIRKA ABRANET DELTA 100X152X152MM P120</t>
  </si>
  <si>
    <t>PPG - MIRKA ABRANET DELTA 100X152X152MM P80</t>
  </si>
  <si>
    <t>PPG - MIRKA ABRANET DELTA P120 10PK</t>
  </si>
  <si>
    <t>PPG - MIRKA ABRANET DELTA P180 10PK</t>
  </si>
  <si>
    <t>PPG - MIRKA ABRANET ECO  150MM P180 10 STK</t>
  </si>
  <si>
    <t>PPG - MIRKA ABRANET ECO 225MM P80 10 STK</t>
  </si>
  <si>
    <t>PPG - MIRKA ABRANET P120 81X133MM   BOX 50</t>
  </si>
  <si>
    <t>PPG - MIRKA ABRANET P180 81X133MM   BOX 50</t>
  </si>
  <si>
    <t>PPG - MIRKA ABRANET P240 81X133MM   BOX 50</t>
  </si>
  <si>
    <t>PPG - MIRKA ABRANET P320 81X133MM   BOX 50</t>
  </si>
  <si>
    <t>PPG - MIRKA ABRANET PK50 70X198</t>
  </si>
  <si>
    <t>PPG - MIRKA ABRANET RONDEL 225MM P150</t>
  </si>
  <si>
    <t>PPG - MIRKA ACE HD DELTA P120 PK5   ABRANET</t>
  </si>
  <si>
    <t>PPG - MIRKA ADAPTER</t>
  </si>
  <si>
    <t>PPG - MIRKA ALUM OXIDE   40GRIT 10M HIOMANT</t>
  </si>
  <si>
    <t>PPG - MIRKA AROS-B 150NV 32MM 10.8V BMFC00147</t>
  </si>
  <si>
    <t>PPG - MIRKA BACK PAD     150MM MED  8295494111</t>
  </si>
  <si>
    <t>PPG - MIRKA BACK PAD     34H MEDIUM DEOS DELTA</t>
  </si>
  <si>
    <t>PPG - MIRKA BACK PAD QK  LOCK 32MM  8294598511</t>
  </si>
  <si>
    <t>PPG - MIRKA BACKING PAD             150MM</t>
  </si>
  <si>
    <t>PPG - MIRKA BACKING PAD  81X133MM   8292353011</t>
  </si>
  <si>
    <t>PPG - MIRKA BESKYTTELSE RONDEL 225MM</t>
  </si>
  <si>
    <t>PPG - MIRKA CABLE 230V              MIE9017011</t>
  </si>
  <si>
    <t>PPG - MIRKA CASE FASTEN  FOR 1230S</t>
  </si>
  <si>
    <t>PPG - MIRKA CAUK DEROS   DEOS KIT   MID6535322</t>
  </si>
  <si>
    <t>PPG - MIRKA CEROS MAINS  CABLE 230V 6416868323</t>
  </si>
  <si>
    <t>PPG - MIRKA CEROS YELLOW CASE</t>
  </si>
  <si>
    <t>PPG - MIRKA DECO KIT     110V DEOS  DELTA</t>
  </si>
  <si>
    <t>PPG - MIRKA DELTA SHEET  P120 25PK  ACE HD</t>
  </si>
  <si>
    <t>PPG - MIRKA DELTA SHEET  P180 50PK  ABRANET</t>
  </si>
  <si>
    <t>PPG - MIRKA DELTA SHEET  P240 50PK  ABRANET</t>
  </si>
  <si>
    <t>PPG - MIRKA DELTA SHEET  P40  25PK  ACE HD</t>
  </si>
  <si>
    <t>PPG - MIRKA DELTA SHEET  P80  10PK  ABRANET</t>
  </si>
  <si>
    <t>PPG - MIRKA DELTA SHEET  P80  25PK  ACE HD</t>
  </si>
  <si>
    <t>PPG - MIRKA DEOS         230V       MID35302CA</t>
  </si>
  <si>
    <t>PPG - MIRKA DEOS 383C 70 X198 230V  MID3830201</t>
  </si>
  <si>
    <t>PPG - MIRKA DEOS BANKING PLATE      MIE3512611</t>
  </si>
  <si>
    <t>PPG - MIRKA DEOS DECO    KIT 230V   KIT1718CDM</t>
  </si>
  <si>
    <t>PPG - MIRKA DEOS DECOKIT 110V       KIT1822CDM</t>
  </si>
  <si>
    <t>PPG - MIRKA DEOS DELTA   230V L/KIT</t>
  </si>
  <si>
    <t>PPG - MIRKA DEOS DELTA   663CV 230V</t>
  </si>
  <si>
    <t>PPG - MIRKA DEOS DELTA   663XCV 10V</t>
  </si>
  <si>
    <t>PPG - MIRKA DEOS PROMO   230V       KIT1804INM</t>
  </si>
  <si>
    <t>PPG - MIRKA DEROS 650CV  MID6502022 UK</t>
  </si>
  <si>
    <t>PPG - MIRKA DEROS 680V   8MM 230V   BMFC00130</t>
  </si>
  <si>
    <t>PPG - MIRKA DEROS PROMO  110V       KIT1805INM</t>
  </si>
  <si>
    <t>PPG - MIRKA DEROS PROMO  230V       KIT1803INM</t>
  </si>
  <si>
    <t>PPG - MIRKA DEROS5650XCV 110V DECO  SOL KIT</t>
  </si>
  <si>
    <t>PPG - MIRKA DUST EXT 915 MACHINE    110V</t>
  </si>
  <si>
    <t>PPG - MIRKA EXHAUST KIT  CEROS      MIN6519011</t>
  </si>
  <si>
    <t>PPG - MIRKA EXTRACTOR    110V 1230M</t>
  </si>
  <si>
    <t>PPG - MIRKA FILTER FOR   EXT MACHIN</t>
  </si>
  <si>
    <t>PPG - MIRKA FLEECE       PACK 5     DUSTBAG</t>
  </si>
  <si>
    <t>PPG - MIRKA HANDY ABRANET 80X230 MM P240 10 ST</t>
  </si>
  <si>
    <t>PPG - MIRKA HANDY STRIPS P120 PK10  80 X 230MM</t>
  </si>
  <si>
    <t>PPG - MIRKA HANDY STRIPS P180 PK10  80 X 230MM</t>
  </si>
  <si>
    <t>PPG - MIRKA HANDY STRIPS P80 PK10   80 X 230MM</t>
  </si>
  <si>
    <t>PPG - MIRKA INT/FACE PAD 125MM PK5  8295530111</t>
  </si>
  <si>
    <t>PPG - MIRKA INTERFACE    PAD 150MM  PK5</t>
  </si>
  <si>
    <t>PPG - MIRKA LEROS KIT LTD EDITION CMFC00167</t>
  </si>
  <si>
    <t>PPG - MIRKA LEROS WALL   SANDER     MIW95020BA</t>
  </si>
  <si>
    <t>PPG - MIRKA MACHINE ONLY DEROS 110V</t>
  </si>
  <si>
    <t>PPG - MIRKA MIRKA CASE   MIN6533011</t>
  </si>
  <si>
    <t>PPG - MIRKA MIRLON TOTAL VF360 PK3  115X230MM</t>
  </si>
  <si>
    <t>PPG - MIRKA MIRO 955     SANDER     110V</t>
  </si>
  <si>
    <t>PPG - MIRKA PAD SAVER    125MM PK5  8295511011</t>
  </si>
  <si>
    <t>PPG - MIRKA PAD SAVER    34H 5PK    DEOS DELTA</t>
  </si>
  <si>
    <t>PPG - MIRKA PAD SAVER    81 X 133MM (PK 5)</t>
  </si>
  <si>
    <t>PPG - MIRKA PAD SAVER 1P 225MM 25H  MIW9535011</t>
  </si>
  <si>
    <t>PPG - MIRKA PROS 650CV   AIR SANDER 8995650111</t>
  </si>
  <si>
    <t>PPG - MIRKA ROUNDY KIT</t>
  </si>
  <si>
    <t>PPG - MIRKA WALL SANDER  DECO KIT   BMFC00168</t>
  </si>
  <si>
    <t>PPG - MYCOL DURABLE MATT AQUA DREAM 0000001250</t>
  </si>
  <si>
    <t>PPG - MYCOL DURABLE MATT ASH GROVE  0000001250</t>
  </si>
  <si>
    <t>PPG - MYCOL DURABLE MATT BOULD LICH 0000001250</t>
  </si>
  <si>
    <t>PPG - MYCOL DURABLE MATT CANDLE SMK 0000001250</t>
  </si>
  <si>
    <t>PPG - MYCOL DURABLE MATT COASTOFMAI 0000001250</t>
  </si>
  <si>
    <t>PPG - MYCOL DURABLE MATT EL CAPITAN 0000001250</t>
  </si>
  <si>
    <t>PPG - MYCOL DURABLE MATT ENCH EGGPL 0000001250</t>
  </si>
  <si>
    <t>PPG - MYCOL DURABLE MATT INTUITIVE  0000001250</t>
  </si>
  <si>
    <t>PPG - MYCOL DURABLE MATT NEW CHALK  0000001250</t>
  </si>
  <si>
    <t>PPG - MYCOL DURABLE MATT NIGHTCAP   0000001250</t>
  </si>
  <si>
    <t>PPG - MYCOL DURABLE MATT NIGHTWATCH 0000001250</t>
  </si>
  <si>
    <t>PPG - MYCOL DURABLE MATT PEACH PUDD 0000001250</t>
  </si>
  <si>
    <t>PPG - MYCOL DURABLE MATT SINGI SAND 0000001250</t>
  </si>
  <si>
    <t>PPG - MYCOL DURABLE MATT SOMBRE TAN 0000001250</t>
  </si>
  <si>
    <t>PPG - MYCOL DURABLE MATT STEEL MILL 0000001250</t>
  </si>
  <si>
    <t>PPG - MYCOL DURABLE MATT SUMMER SHA 0000001250</t>
  </si>
  <si>
    <t>PPG - MYCOL DURABLE MATT SWANSONG   0000001250</t>
  </si>
  <si>
    <t>PPG - MYCOL DURABLE MATT SYMMETRY   0000001250</t>
  </si>
  <si>
    <t>PPG - MYCOL DURABLE MATT TAN YRHIDE 0000001250</t>
  </si>
  <si>
    <t>PPG - MYCOL DURABLE MATT WHITBY JET 0000001250</t>
  </si>
  <si>
    <t>PPG - MYCOL DURABLE MATT WING COMMA 0000001250</t>
  </si>
  <si>
    <t>PPG - MYCOL PEEL &amp; STICK AQUA DREAM</t>
  </si>
  <si>
    <t>PPG - MYCOL PEEL &amp; STICK ASH GROVE</t>
  </si>
  <si>
    <t>PPG - MYCOL PEEL &amp; STICK BOULD LICH</t>
  </si>
  <si>
    <t>PPG - MYCOL PEEL &amp; STICK CANDLE SMK</t>
  </si>
  <si>
    <t>PPG - MYCOL PEEL &amp; STICK EL CAPITAN</t>
  </si>
  <si>
    <t>PPG - MYCOL PEEL &amp; STICK ENCH EGGPL</t>
  </si>
  <si>
    <t>PPG - MYCOL PEEL &amp; STICK NEW CHALK</t>
  </si>
  <si>
    <t>PPG - MYCOL PEEL &amp; STICK NIGHTCAP</t>
  </si>
  <si>
    <t>PPG - MYCOL PEEL &amp; STICK NIGHTWATCH</t>
  </si>
  <si>
    <t>PPG - MYCOL PEEL &amp; STICK PEACH PUDD</t>
  </si>
  <si>
    <t>PPG - MYCOL PEEL &amp; STICK SINGI SAND</t>
  </si>
  <si>
    <t>PPG - MYCOL PEEL &amp; STICK SOMBRE TAN</t>
  </si>
  <si>
    <t>PPG - MYCOL PEEL &amp; STICK STEEL MILL</t>
  </si>
  <si>
    <t>PPG - MYCOL PEEL &amp; STICK SUMMER SHA</t>
  </si>
  <si>
    <t>PPG - MYCOL PEEL &amp; STICK SWANSONG</t>
  </si>
  <si>
    <t>PPG - MYCOL PEEL &amp; STICK SYMMETRY</t>
  </si>
  <si>
    <t>PPG - MYCOL PEEL &amp; STICK TAN YR HID</t>
  </si>
  <si>
    <t>PPG - MYCOL PEEL &amp; STICK WHITBY JET</t>
  </si>
  <si>
    <t>PPG - MYCOL PEEL &amp; STICK WING COMMA</t>
  </si>
  <si>
    <t>PPG - MYCOL TESTER POT   AQUA DREAM 0000000055</t>
  </si>
  <si>
    <t>PPG - MYCOL TESTER POT   ASH GROVE  0000000055</t>
  </si>
  <si>
    <t>PPG - MYCOL TESTER POT   BOULD LICH 0000000055</t>
  </si>
  <si>
    <t>PPG - MYCOL TESTER POT   CANDLE SMK 0000000055</t>
  </si>
  <si>
    <t>PPG - MYCOL TESTER POT   COASTOFMAI 0000000055</t>
  </si>
  <si>
    <t>PPG - MYCOL TESTER POT   EL CAPITAN 0000000055</t>
  </si>
  <si>
    <t>PPG - MYCOL TESTER POT   ENCH EGGPL 0000000055</t>
  </si>
  <si>
    <t>PPG - MYCOL TESTER POT   INTUITIVE  0000000055</t>
  </si>
  <si>
    <t>PPG - MYCOL TESTER POT   NEW CHALK  0000000055</t>
  </si>
  <si>
    <t>PPG - MYCOL TESTER POT   NIGHTCAP   0000000055</t>
  </si>
  <si>
    <t>PPG - MYCOL TESTER POT   NIGHTWATCH 0000000055</t>
  </si>
  <si>
    <t>PPG - MYCOL TESTER POT   PEACH PUDD 0000000055</t>
  </si>
  <si>
    <t>PPG - MYCOL TESTER POT   SINGI SAND 0000000055</t>
  </si>
  <si>
    <t>PPG - MYCOL TESTER POT   SOMBRE TAN 0000000055</t>
  </si>
  <si>
    <t>PPG - MYCOL TESTER POT   STEEL MILL 0000000055</t>
  </si>
  <si>
    <t>PPG - MYCOL TESTER POT   SUMMER SHA 0000000055</t>
  </si>
  <si>
    <t>PPG - MYCOL TESTER POT   SWANSONG   0000000055</t>
  </si>
  <si>
    <t>PPG - MYCOL TESTER POT   SYMMETRY   0000000055</t>
  </si>
  <si>
    <t>PPG - MYCOL TESTER POT   TAN YRHIDE 0000000055</t>
  </si>
  <si>
    <t>PPG - MYCOL TESTER POT   WING COMMA 0000000055</t>
  </si>
  <si>
    <t>PPG - NOVAGUARD 260 SET PINK        6007002200</t>
  </si>
  <si>
    <t>PPG - NOVAGUARD 4701 SET LIGHTAMBER 3000002200</t>
  </si>
  <si>
    <t>PPG - NOVAGUARD 4801 SET WHITE      7000002200</t>
  </si>
  <si>
    <t>PPG - NOVAGUARD 615 SET LIGHT GREY  5001002200</t>
  </si>
  <si>
    <t>PPG - NOVAGUARD 650 SET OFFWHITE    7001002200</t>
  </si>
  <si>
    <t>PPG - NOVAGUARD 840 SET CREAM       3012002200</t>
  </si>
  <si>
    <t>PPG - NOVAGUARD 890 SET CREAM       3002002200</t>
  </si>
  <si>
    <t>PPG - NUKLAD IMP SET CLEAR         N0000002119</t>
  </si>
  <si>
    <t>PPG - NUKLAD SL SET BAS Z           0070002170</t>
  </si>
  <si>
    <t>PPG - OSMO  BRUSH        CLEAR      0000001100</t>
  </si>
  <si>
    <t>PPG - OSMO  COUNTRY COLS 0804-Y30R  0000001250</t>
  </si>
  <si>
    <t>PPG - OSMO  COUNTRY COLS ANTH GREY  0000001250</t>
  </si>
  <si>
    <t>PPG - OSMO  COUNTRY COLS DUSK GREY  0000000750</t>
  </si>
  <si>
    <t>PPG - OSMO  COUNTRY COLS MED BROWN  0000001250</t>
  </si>
  <si>
    <t>PPG - OSMO  DECK STAIN   430D CLEAR 0000001250</t>
  </si>
  <si>
    <t>PPG - OSMO  DOOR OIL     CLEAR      0000001100</t>
  </si>
  <si>
    <t>PPG - OSMO  NAT OIL      L/OAK 732C 0000000750</t>
  </si>
  <si>
    <t>PPG - OSMO  NAT OIL W/ST EBONY 712C 0000000750</t>
  </si>
  <si>
    <t>PPG - OSMO  NATURAL OIL  LARCH 702  0000001250</t>
  </si>
  <si>
    <t>PPG - OSMO  NATURAL OIL  WHITE      0000001250</t>
  </si>
  <si>
    <t>PPG - OSMO  OPAQUE GLOSS WHIT 2104D 0000001250</t>
  </si>
  <si>
    <t>PPG - OSMO  OSMO DECKOIL GARAPA 013 0000001250</t>
  </si>
  <si>
    <t>PPG - OSMO  POLYX H/WAX  OIL MATT   0000000750</t>
  </si>
  <si>
    <t>PPG - OSMO  POLYX H/WAX  OIL MATT   0000001250</t>
  </si>
  <si>
    <t>PPG - OSMO  POLYX H/WAX  OIL SATIN  0000000750</t>
  </si>
  <si>
    <t>PPG - OSMO  POLYX H/WAX  OIL SATIN  0000001250</t>
  </si>
  <si>
    <t>PPG - OSMO  POLYX OIL    3073 TERRA 0000000125</t>
  </si>
  <si>
    <t>PPG - OSMO  POLYX OIL    BLACK      0000000750</t>
  </si>
  <si>
    <t>PPG - OSMO  POLYX OIL    BLACK      0000001100</t>
  </si>
  <si>
    <t>PPG - OSMO  POLYX OIL    CLR SAT 0000000750</t>
  </si>
  <si>
    <t>PPG - OSMO  POLYX OIL    GRAPHITE   0000000750</t>
  </si>
  <si>
    <t>PPG - OSMO  POLYX OIL    HONEY      0000001250</t>
  </si>
  <si>
    <t>PPG - OSMO  POLYX OIL    MATT       0000001250</t>
  </si>
  <si>
    <t>PPG - OSMO  POLYX OIL    METALLIC   0000000125</t>
  </si>
  <si>
    <t>PPG - OSMO  POLYX OIL    SATIN      0000001250</t>
  </si>
  <si>
    <t>PPG - OSMO  POLYX OIL    TINT AMBER 0000000125</t>
  </si>
  <si>
    <t>PPG - OSMO  POLYX OIL   CLR  MAT 0000750</t>
  </si>
  <si>
    <t>PPG - OSMO  POLYX OIL SM CLEAR 3065 0000001250</t>
  </si>
  <si>
    <t>PPG - OSMO  POLYX RAPID  CLR MAT  0001250</t>
  </si>
  <si>
    <t>PPG - OSMO  POLYX RAPID  CLR SAT 000001250</t>
  </si>
  <si>
    <t>PPG - OSMO  POLYX S-MATT CLEAR      0000001250</t>
  </si>
  <si>
    <t>PPG - OSMO  THERMOWOOD   OIL        0000001250</t>
  </si>
  <si>
    <t>PPG - OSMO  TOP OIL      CLEAR MATT 0000000500</t>
  </si>
  <si>
    <t>PPG - OSMO  TOP OIL SAT  CLEAR      0000000500</t>
  </si>
  <si>
    <t>PPG - OSMO  UV PROT OIL  EXT SATIN/ 0000001250</t>
  </si>
  <si>
    <t>PPG - OSMO  UV PROTECT   CLEAR      4205 SACHE</t>
  </si>
  <si>
    <t>PPG - OSMO  UV PROTECT   OIL        0000001250</t>
  </si>
  <si>
    <t>PPG - OSMO  WOOD OIL     BANGKIRAL  0000001250</t>
  </si>
  <si>
    <t>PPG - OSMO  WOOD WAX     OAK ANTIQU 0000001250</t>
  </si>
  <si>
    <t>PPG - OSMO  WOODWAX TRAS WALNUT     0000001250</t>
  </si>
  <si>
    <t>PPG - OWAT  EASY SURFACE PRIMER     FFJ7SF1100</t>
  </si>
  <si>
    <t>PPG - OWAT  EMULSA BOND             FFJ7SF1100</t>
  </si>
  <si>
    <t>PPG - OWAT  EMULSA BOND             FFJ7SF1250</t>
  </si>
  <si>
    <t>PPG - OWAT  FLOETROL     OWATROL    FFJ7SF1100</t>
  </si>
  <si>
    <t>PPG - OWAT  FLOETROL     OWATROL    FFJ7SF1250</t>
  </si>
  <si>
    <t>PPG - OWAT  MOULD KILLER VC175      0000000050</t>
  </si>
  <si>
    <t>PPG - OWAT  OWATROL OIL             FFJ7SF0500</t>
  </si>
  <si>
    <t>PPG - OWAT  OWATROL OIL             FFJ7SF1100</t>
  </si>
  <si>
    <t>PPG - OWAT  OWATROL OIL             FFJ7SF1500</t>
  </si>
  <si>
    <t>PPG - P VIKOTE 18 DARK GRAY       010000EU2200</t>
  </si>
  <si>
    <t>PPG - P VIKOTE 18 LIGHT GRAY      020000EU1500</t>
  </si>
  <si>
    <t>PPG - P VIKOTE 18 LIGHT GRAY      020000EU2200</t>
  </si>
  <si>
    <t>PPG - P VIKOTE 56 BLACK           800000EU1500</t>
  </si>
  <si>
    <t>PPG - P VIKOTE 56 BLACK           800000EU2200</t>
  </si>
  <si>
    <t>PPG - P VIKOTE 56 WHITE           700000EU1500</t>
  </si>
  <si>
    <t>PPG - P VIKOTE 56 WHITE           700000EU2200</t>
  </si>
  <si>
    <t>PPG - P VIKOTE 63                 800000EU1500</t>
  </si>
  <si>
    <t>PPG - P VIKOTE 63                 800000EU2200</t>
  </si>
  <si>
    <t>PPG - PGOLD AP WALLPAPER ADH 120 RL</t>
  </si>
  <si>
    <t>PPG - PGOLD FLEX FILLING KNIFE 2"</t>
  </si>
  <si>
    <t>PPG - PGOLD FLEX FILLING KNIFE 3"</t>
  </si>
  <si>
    <t>PPG - PGOLD GP SILICONE  CLEAR      0000000300</t>
  </si>
  <si>
    <t>PPG - PGOLD SCALE TANG   SCARPER 3"</t>
  </si>
  <si>
    <t>PPG - PGOLD SCALE TANG   SCRAPER 2"</t>
  </si>
  <si>
    <t>PPG - PGOLD SHEEP ROLLER 12"</t>
  </si>
  <si>
    <t>PPG - PGOLD SHEEP ROLLER 9"</t>
  </si>
  <si>
    <t>PPG - PHENGUARD 930 SET OFFWHITE    7001001400</t>
  </si>
  <si>
    <t>PPG - PHENGUARD 930 SET OFFWHITE    7001002200</t>
  </si>
  <si>
    <t>PPG - PHENGUARD 935 SET PINK        6007001400</t>
  </si>
  <si>
    <t>PPG - PHENGUARD 935 SET PINK        6007002200</t>
  </si>
  <si>
    <t>PPG - PHENGUARD 940 SET GREY        5000001400</t>
  </si>
  <si>
    <t>PPG - PHENGUARD 940 SET GREY        5000002200</t>
  </si>
  <si>
    <t>PPG - PHENGUARD SUBSEA 610 SET REDG 0000001400</t>
  </si>
  <si>
    <t>PPG - PHENGUARD SUBSEA 610 SET REDGREY 0002200</t>
  </si>
  <si>
    <t>PPG - PHENGUARD SUBSEA 780   SET RAL1018261400</t>
  </si>
  <si>
    <t>PPG - PHENGUARD SUBSEA 780 SET RAL  1004261400</t>
  </si>
  <si>
    <t>PPG - PHENGUARD SUBSEA 780 SET RAL  2004261400</t>
  </si>
  <si>
    <t>PPG - PPG   EP001        HARDENER   0000001158</t>
  </si>
  <si>
    <t>PPG - PPG   EP001        HARDENER   0000001316</t>
  </si>
  <si>
    <t>PPG - PPG   EP001        HARDENER   0000001790</t>
  </si>
  <si>
    <t>PPG - PPG   EP001        YELLOW     0000001342</t>
  </si>
  <si>
    <t>PPG - PPG   EP001        YELLOW     0000001684</t>
  </si>
  <si>
    <t>PPG - PPG   EP001        YELLOW     0000002171</t>
  </si>
  <si>
    <t>PPG - PPG   EP002        CLEAR      0000001338</t>
  </si>
  <si>
    <t>PPG - PPG   EP002        CLEAR      0000001676</t>
  </si>
  <si>
    <t>PPG - PPG   EP002        CLEAR      0000002169</t>
  </si>
  <si>
    <t>PPG - PPG   EP002        HARDENER   0000001162</t>
  </si>
  <si>
    <t>PPG - PPG   EP002        HARDENER   0000001324</t>
  </si>
  <si>
    <t>PPG - PPG   EP002        HARDENER   0000001809</t>
  </si>
  <si>
    <t>PPG - PPG   EP201        DARK BLUE  0000001185</t>
  </si>
  <si>
    <t>PPG - PPG   EP201        DARK BLUE  0000001370</t>
  </si>
  <si>
    <t>PPG - PPG   EP201        DARK GREY  0000001185</t>
  </si>
  <si>
    <t>PPG - PPG   EP201        DARK GREY  0000001370</t>
  </si>
  <si>
    <t>PPG - PPG   EP201        DARK YELL  0000001185</t>
  </si>
  <si>
    <t>PPG - PPG   EP201        DRK YELLOW 0000001370</t>
  </si>
  <si>
    <t>PPG - PPG   EP201        GREEN      0000001185</t>
  </si>
  <si>
    <t>PPG - PPG   EP201        GREEN      0000001370</t>
  </si>
  <si>
    <t>PPG - PPG   EP201        HARDENER   0000001315</t>
  </si>
  <si>
    <t>PPG - PPG   EP201        HARDENER   0000001630</t>
  </si>
  <si>
    <t>PPG - PPG   EP201        LIGHT GREY 0000001185</t>
  </si>
  <si>
    <t>PPG - PPG   EP201        LIGHT GREY 0000001370</t>
  </si>
  <si>
    <t>PPG - PPG   EP201        LIGHT YELL 0000001185</t>
  </si>
  <si>
    <t>PPG - PPG   EP201        LIGHT YELL 0000001370</t>
  </si>
  <si>
    <t>PPG - PPG   EP201        MID BLUE   0000001185</t>
  </si>
  <si>
    <t>PPG - PPG   EP201        MID BLUE   0000001370</t>
  </si>
  <si>
    <t>PPG - PPG   EP201        MID GREY   0000001185</t>
  </si>
  <si>
    <t>PPG - PPG   EP201        MID GREY   0000001370</t>
  </si>
  <si>
    <t>PPG - PPG   EP201        MID YELL   0000001185</t>
  </si>
  <si>
    <t>PPG - PPG   EP201        MID YELLOW 0000001370</t>
  </si>
  <si>
    <t>PPG - PPG   EP201        RED        0000001185</t>
  </si>
  <si>
    <t>PPG - PPG   EP201        RED        0000001370</t>
  </si>
  <si>
    <t>PPG - PPG   EP201        SAFETY RED 0000001185</t>
  </si>
  <si>
    <t>PPG - PPG   EP201        SAFETY RED 0000001370</t>
  </si>
  <si>
    <t>PPG - PPG   EP201        SAFETY YEL 0000001185</t>
  </si>
  <si>
    <t>PPG - PPG   EP201        SFTY YELL  0000001370</t>
  </si>
  <si>
    <t>PPG - PPG   EP201        SPEC COL   0000001185</t>
  </si>
  <si>
    <t>PPG - PPG   EP201        SPEC COL   0000001370</t>
  </si>
  <si>
    <t>PPG - PPG   EP301        DARK BLUE  0000001405</t>
  </si>
  <si>
    <t>PPG - PPG   EP301        DARK BLUE  0000001808</t>
  </si>
  <si>
    <t>PPG - PPG   EP301        DARK BLUE  0000002101</t>
  </si>
  <si>
    <t>PPG - PPG   EP301        DARK GREY  0000001405</t>
  </si>
  <si>
    <t>PPG - PPG   EP301        DARK GREY  0000001808</t>
  </si>
  <si>
    <t>PPG - PPG   EP301        DARK GREY  0000002101</t>
  </si>
  <si>
    <t>PPG - PPG   EP301        DRK YELLOW 0000001405</t>
  </si>
  <si>
    <t>PPG - PPG   EP301        DRK YELLOW 0000001808</t>
  </si>
  <si>
    <t>PPG - PPG   EP301        DRK YELLOW 0000002101</t>
  </si>
  <si>
    <t>PPG - PPG   EP301        GREEN      0000001405</t>
  </si>
  <si>
    <t>PPG - PPG   EP301        GREEN      0000001808</t>
  </si>
  <si>
    <t>PPG - PPG   EP301        GREEN      0000002101</t>
  </si>
  <si>
    <t>PPG - PPG   EP301        HARDENER   0000000950</t>
  </si>
  <si>
    <t>PPG - PPG   EP301        HARDENER   0000001192</t>
  </si>
  <si>
    <t>PPG - PPG   EP301        HARDENER   0000001240</t>
  </si>
  <si>
    <t>PPG - PPG   EP301        LGT YELLOW 0000001405</t>
  </si>
  <si>
    <t>PPG - PPG   EP301        LIGHT GREY 0000001405</t>
  </si>
  <si>
    <t>PPG - PPG   EP301        LIGHT GREY 0000001808</t>
  </si>
  <si>
    <t>PPG - PPG   EP301        LIGHT GREY 0000002101</t>
  </si>
  <si>
    <t>PPG - PPG   EP301        LIGHT YELL 0000001808</t>
  </si>
  <si>
    <t>PPG - PPG   EP301        LIGHT YELL 0000002101</t>
  </si>
  <si>
    <t>PPG - PPG   EP301        MID BLUE   0000001405</t>
  </si>
  <si>
    <t>PPG - PPG   EP301        MID BLUE   0000001808</t>
  </si>
  <si>
    <t>PPG - PPG   EP301        MID BLUE   0000002101</t>
  </si>
  <si>
    <t>PPG - PPG   EP301        MID GREY   0000001405</t>
  </si>
  <si>
    <t>PPG - PPG   EP301        MID GREY   0000001808</t>
  </si>
  <si>
    <t>PPG - PPG   EP301        MID GREY   0000002101</t>
  </si>
  <si>
    <t>PPG - PPG   EP301        MID YELLOW 0000001405</t>
  </si>
  <si>
    <t>PPG - PPG   EP301        MID YELLOW 0000001808</t>
  </si>
  <si>
    <t>PPG - PPG   EP301        MID YELLOW 0000002101</t>
  </si>
  <si>
    <t>PPG - PPG   EP301        RED        0000001405</t>
  </si>
  <si>
    <t>PPG - PPG   EP301        RED        0000001808</t>
  </si>
  <si>
    <t>PPG - PPG   EP301        RED        0000002101</t>
  </si>
  <si>
    <t>PPG - PPG   EP301        SAFETY RED 0000001405</t>
  </si>
  <si>
    <t>PPG - PPG   EP301        SAFETY RED 0000001808</t>
  </si>
  <si>
    <t>PPG - PPG   EP301        SAFETY RED 0000002101</t>
  </si>
  <si>
    <t>PPG - PPG   EP301        SAFETY YEL 0000001405</t>
  </si>
  <si>
    <t>PPG - PPG   EP301        SAFETY YEL 0000001808</t>
  </si>
  <si>
    <t>PPG - PPG   EP301        SAFETY YEL 0000002101</t>
  </si>
  <si>
    <t>PPG - PPG   EP301        SPEC COL   0000001405</t>
  </si>
  <si>
    <t>PPG - PPG   EP301        SPEC COL   0000001808</t>
  </si>
  <si>
    <t>PPG - PPG   EP301        SPEC COL   0000002101</t>
  </si>
  <si>
    <t>PPG - PPG   EP4501       AGGREGATE  0000002200</t>
  </si>
  <si>
    <t>PPG - PPG   EP4501       DARK BLUE  0000001767</t>
  </si>
  <si>
    <t>PPG - PPG   EP4501       DARK GREY  0000001767</t>
  </si>
  <si>
    <t>PPG - PPG   EP4501       DRK YELLOW 0000001767</t>
  </si>
  <si>
    <t>PPG - PPG   EP4501       GREEN      0000001767</t>
  </si>
  <si>
    <t>PPG - PPG   EP4501       HARDENER   0000001333</t>
  </si>
  <si>
    <t>PPG - PPG   EP4501       LIGHT GREY 0000001767</t>
  </si>
  <si>
    <t>PPG - PPG   EP4501       LIGHT YELL 0000001767</t>
  </si>
  <si>
    <t>PPG - PPG   EP4501       MID BLUE   0000001767</t>
  </si>
  <si>
    <t>PPG - PPG   EP4501       MID GREY   0000001767</t>
  </si>
  <si>
    <t>PPG - PPG   EP4501       MID YELLOW 0000001767</t>
  </si>
  <si>
    <t>PPG - PPG   EP4501       RED        0000001767</t>
  </si>
  <si>
    <t>PPG - PPG   EP4501       SAFETY RED 0000001767</t>
  </si>
  <si>
    <t>PPG - PPG   EP4501       SFTY YELL  0000001767</t>
  </si>
  <si>
    <t>PPG - PPG   EP4501       SPEC COLL  0000001767</t>
  </si>
  <si>
    <t>PPG - PSX 700A FDE SET CLEAR COAT   0000AM1450</t>
  </si>
  <si>
    <t>PPG - PURDY DALE ELITE   1" BRUSH</t>
  </si>
  <si>
    <t>PPG - PURDY DALE ELITE   1.5" BRUSH</t>
  </si>
  <si>
    <t>PPG - PURDY MONSPEC3     BRUSH SET</t>
  </si>
  <si>
    <t>PPG - PURDY PRO EXTRA    TWIN PACK  MON ELITE</t>
  </si>
  <si>
    <t>PPG - PURDY SPRIG ELITE  2" BRUSH</t>
  </si>
  <si>
    <t>PPG - QTECH 1/4" HOSE    25 METRE   61425EETD</t>
  </si>
  <si>
    <t>PPG - QTECH 1/4"X2M HOSE 61402ETD</t>
  </si>
  <si>
    <t>PPG - QTECH 1/4"X3M HOSE 61403ETD</t>
  </si>
  <si>
    <t>PPG - QTECH 1M WHIP HOSE 63601EET</t>
  </si>
  <si>
    <t>PPG - QTECH 600-810      240 VOLT   TRITECH T5</t>
  </si>
  <si>
    <t>PPG - QTECH ALUMIN 36X9" PT SHIELD  28000</t>
  </si>
  <si>
    <t>PPG - QTECH ALUMIN 48X9" PT SHIELD  28040</t>
  </si>
  <si>
    <t>PPG - QTECH BALL GUIDE   QP00008</t>
  </si>
  <si>
    <t>PPG - QTECH CORE SPRING  600-240</t>
  </si>
  <si>
    <t>PPG - QTECH DRAIN TUBE   QP00014A   QP021</t>
  </si>
  <si>
    <t>PPG - QTECH GRAVITY GUN  10-1051    HVLP</t>
  </si>
  <si>
    <t>PPG - QTECH HOSE 3/8" X  15M ASSEML 63815FFTD</t>
  </si>
  <si>
    <t>PPG - QTECH HVLP 110V GG 10-1004    QTECH3</t>
  </si>
  <si>
    <t>PPG - QTECH HVLP 110V GG 10-1012    QTECH5</t>
  </si>
  <si>
    <t>PPG - QTECH HVLP 110V SG 10-1000    QTECH3</t>
  </si>
  <si>
    <t>PPG - QTECH HVLP 110V SG 10-1008    QTECH5</t>
  </si>
  <si>
    <t>PPG - QTECH HVLP 240V GG 10-1013    QTECH5</t>
  </si>
  <si>
    <t>PPG - QTECH HVLP 240V SG 10-1009    QTECH5</t>
  </si>
  <si>
    <t>PPG - QTECH HVLP NDL NOZ #4 1.5MM   10-2026</t>
  </si>
  <si>
    <t>PPG - QTECH HVLP NDL NOZ #5 1.8MM   10-2027</t>
  </si>
  <si>
    <t>PPG - QTECH HVLP NYLON   STRAINER   10-2059</t>
  </si>
  <si>
    <t>PPG - QTECH HVLP REMOTE  POT 2LT    10-2036</t>
  </si>
  <si>
    <t>PPG - QTECH HVLP SG      CLEAN KIT  10-2020</t>
  </si>
  <si>
    <t>PPG - QTECH HVLP TUR GUN PAT ADJ AS QTG-6A QT3</t>
  </si>
  <si>
    <t>PPG - QTECH HVLP TUR GUN VENT TU AS QTG-33 QT3</t>
  </si>
  <si>
    <t>PPG - QTECH HVLP TURB    MAIN FILTR QT3-51 QT3</t>
  </si>
  <si>
    <t>PPG - QTECH HVLP TURB    PRIM FILTR QT3-53 QT3</t>
  </si>
  <si>
    <t>PPG - QTECH IN LINE GUN  670-G ASM</t>
  </si>
  <si>
    <t>PPG - QTECH O-RING S31.5 QP00030</t>
  </si>
  <si>
    <t>PPG - QTECH P TUBE CHECK VALVE PK5  10-2001</t>
  </si>
  <si>
    <t>PPG - QTECH PACKING KIT  QP00016    QP019/021/</t>
  </si>
  <si>
    <t>PPG - QTECH PACKING KIT  QP036-9    QP031/036</t>
  </si>
  <si>
    <t>PPG - QTECH PISTON                  QP019-53-Q</t>
  </si>
  <si>
    <t>PPG - QTECH PISTON       QP00025    QP021/QP02</t>
  </si>
  <si>
    <t>PPG - QTECH PRESS GUAGE  120-625</t>
  </si>
  <si>
    <t>PPG - QTECH QLUBE PISTON LUBE 946ML Q400-006</t>
  </si>
  <si>
    <t>PPG - QTECH QP00111T</t>
  </si>
  <si>
    <t>PPG - QTECH QT190        110V</t>
  </si>
  <si>
    <t>PPG - QTECH QT190        240V</t>
  </si>
  <si>
    <t>PPG - QTECH QT290        110V</t>
  </si>
  <si>
    <t>PPG - QTECH QT290        240V</t>
  </si>
  <si>
    <t>PPG - QTECH QT3 HVLP SIL P TURB GUN MO-745</t>
  </si>
  <si>
    <t>PPG - QTECH QT650        110V</t>
  </si>
  <si>
    <t>PPG - QTECH QTECH O RING QP00004</t>
  </si>
  <si>
    <t>PPG - QTECH ROUGH ROLLER COVER 9"   7724</t>
  </si>
  <si>
    <t>PPG - QTECH SEAL SEAT    QP00031</t>
  </si>
  <si>
    <t>PPG - QTECH T36/T720     SEAL       501-018</t>
  </si>
  <si>
    <t>PPG - QTECH TIP 18"      QC917 FAN  QC917</t>
  </si>
  <si>
    <t>PPG - QTECH TIP EXTENSON 6"         110-206</t>
  </si>
  <si>
    <t>PPG - QTECH TT PAINT HOP ASSEMBLY   600-556</t>
  </si>
  <si>
    <t>PPG - RODO  10SHT COARSE SANDPAPER  FFJASP10C</t>
  </si>
  <si>
    <t>PPG - RODO  10SHT FINE   SANDPAPER  FFJASP10F</t>
  </si>
  <si>
    <t>PPG - RODO  10STH MEDIUM SANDPAPER  FFJAP10M</t>
  </si>
  <si>
    <t>PPG - RODO  18'X12' BLUE TARPAULIN  CNT1812</t>
  </si>
  <si>
    <t>PPG - RODO  2" FILLING   KNIFE(BLK) (.FFJFK2)</t>
  </si>
  <si>
    <t>PPG - RODO  2" SCRAPER   BLACK HAND  (FFJPS2)</t>
  </si>
  <si>
    <t>PPG - RODO  2.5L PLASTIC PAINT CAN  7PC</t>
  </si>
  <si>
    <t>PPG - RODO  24" TRIMMING EDGE       (TE241S)</t>
  </si>
  <si>
    <t>PPG - RODO  3" FILLING   KNIFE(BLK) (FFJFK3)</t>
  </si>
  <si>
    <t>PPG - RODO  3" SCRAPER   BLACK HAND (6)(FFJPS3</t>
  </si>
  <si>
    <t>PPG - RODO  4" FRAME     21" LONG   PRFR014</t>
  </si>
  <si>
    <t>PPG - RODO  4" ROLLERSET MED PILE   ARRF007</t>
  </si>
  <si>
    <t>PPG - RODO  4" ROLLERSET SHORT PILE ARRF001</t>
  </si>
  <si>
    <t>PPG - RODO  4PC FLOOR    PAINT KIT</t>
  </si>
  <si>
    <t>PPG - RODO  600MM SQUARE WORKSTATIO ALUMINIUM</t>
  </si>
  <si>
    <t>PPG - RODO  8P TIGER SET ROLL FRAME</t>
  </si>
  <si>
    <t>PPG - RODO  9" MASONRY   ROLLER SET PRRF006</t>
  </si>
  <si>
    <t>PPG - RODO  9" X 1.5"    TITAN FRM  ARFR002</t>
  </si>
  <si>
    <t>PPG - RODO  9" X 1.75"   WOOD FRAME PRFR007</t>
  </si>
  <si>
    <t>PPG - RODO  9"ROLLER KIT 2 SLEEVES  PSSETH</t>
  </si>
  <si>
    <t>PPG - RODO  9"ROLLER KIT 3 SLEEVES  PSET3H</t>
  </si>
  <si>
    <t>PPG - RODO  ADAPTOR FOR  STRUCTRON  POLES (SEA</t>
  </si>
  <si>
    <t>PPG - RODO  ALU EXT POLE PREX002    4'-7'</t>
  </si>
  <si>
    <t>PPG - RODO  BACK PRINT   100 PLUS</t>
  </si>
  <si>
    <t>PPG - RODO  BREAST PRINT 100 PLUS</t>
  </si>
  <si>
    <t>PPG - RODO  BUTTON POLE  AREX001    2'-4'</t>
  </si>
  <si>
    <t>PPG - RODO  BUTTON POLE  AREX005    4'-8'</t>
  </si>
  <si>
    <t>PPG - RODO  DBL GLS SLV  12"        PRRE026</t>
  </si>
  <si>
    <t>PPG - RODO  DIAMOND      BRUSH 1"   FFJDB25</t>
  </si>
  <si>
    <t>PPG - RODO  DIAMOND      BRUSH 1.5" FFJDB38</t>
  </si>
  <si>
    <t>PPG - RODO  DIAMOND      BRUSH 2"   FFJDB50</t>
  </si>
  <si>
    <t>PPG - RODO  DIAMOND      BRUSH 2.5" FFJDB63</t>
  </si>
  <si>
    <t>PPG - RODO  DIAMOND      BRUSH 3"   FFJDB75</t>
  </si>
  <si>
    <t>PPG - RODO  DIAMOND      BRUSH 4"   FFJDB100</t>
  </si>
  <si>
    <t>PPG - RODO  DIAMOND 3PC  BRUSHSET   FFJDBS3</t>
  </si>
  <si>
    <t>PPG - RODO  DIAMOND 5PCE BRUSHSET</t>
  </si>
  <si>
    <t>PPG - RODO  EMULSION 9"  TRAY 9PT</t>
  </si>
  <si>
    <t>PPG - RODO  EXT POLY SLV 9"         PRRE020</t>
  </si>
  <si>
    <t>PPG - RODO  FFJ A/PURP   0.5" BRUSH</t>
  </si>
  <si>
    <t>PPG - RODO  FFJ A/PURP   0.75"BRUSH</t>
  </si>
  <si>
    <t>PPG - RODO  FFJ A/PURP   1" BRUSH</t>
  </si>
  <si>
    <t>PPG - RODO  FFJ A/PURP   1.5" BRUSH</t>
  </si>
  <si>
    <t>PPG - RODO  FFJ A/PURP   2" BRUSH</t>
  </si>
  <si>
    <t>PPG - RODO  FFJ A/PURP   2.5" BRUSH</t>
  </si>
  <si>
    <t>PPG - RODO  FFJ A/PURP   3" BRUSH</t>
  </si>
  <si>
    <t>PPG - RODO  FFJ A/PURP   4" BRUSH</t>
  </si>
  <si>
    <t>PPG - RODO  FFJ A/PURP   BRUSHSET   3PCE</t>
  </si>
  <si>
    <t>PPG - RODO  FFJ A/PURP   BRUSHSET   5PCE</t>
  </si>
  <si>
    <t>PPG - RODO  FFJ ASSORTED SANDPAPER  5SHEET</t>
  </si>
  <si>
    <t>PPG - RODO  FFJ FINE MED SAND BLOCK FFJSBF</t>
  </si>
  <si>
    <t>PPG - RODO  FFJ MASONRY  BLOCK BRSH FBBB004</t>
  </si>
  <si>
    <t>PPG - RODO  FFJ MED CRSE SAND BLOCK FFJSBC</t>
  </si>
  <si>
    <t>PPG - RODO  FFJ NO BRIST 1" BRUSH</t>
  </si>
  <si>
    <t>PPG - RODO  FFJ NO BRIST 1.5"BRUSH</t>
  </si>
  <si>
    <t>PPG - RODO  FFJ NO BRIST 2" BRUSH</t>
  </si>
  <si>
    <t>PPG - RODO  FFJ NO BRIST 2.5" BRUSH</t>
  </si>
  <si>
    <t>PPG - RODO  FFJ NO BRIST 3" BRUSH</t>
  </si>
  <si>
    <t>PPG - RODO  FFJ NO BRIST 4" BRUSH</t>
  </si>
  <si>
    <t>PPG - RODO  FFJ SHED&amp;FEN BLOCK BRSH FBBB003</t>
  </si>
  <si>
    <t>PPG - RODO  FIBREGLASS 6 TREAD STEP LADDER</t>
  </si>
  <si>
    <t>PPG - RODO  FILLING KNF  4" PACK(6) (FFJFK4)*N</t>
  </si>
  <si>
    <t>PPG - RODO  FLR PAINT SL 12"        ARRE011</t>
  </si>
  <si>
    <t>PPG - RODO  FOAM BRUSH   SET 1"2"3" FBS3P</t>
  </si>
  <si>
    <t>PPG - RODO  FOAM GLS SLV 9"         PRRE012</t>
  </si>
  <si>
    <t>PPG - RODO  GARMENT      GP1A25     0000001100</t>
  </si>
  <si>
    <t>PPG - RODO  GLOSS PILE   9"X1.75"   PRRE002</t>
  </si>
  <si>
    <t>PPG - RODO  GLS PILE SLV 9" X 6     PRRE013</t>
  </si>
  <si>
    <t>PPG - RODO  H/D POLY SLV 9"         ARRE009</t>
  </si>
  <si>
    <t>PPG - RODO  H/D WOVEN SL 12"        PRRE028</t>
  </si>
  <si>
    <t>PPG - RODO  HELMET PRINT 100 PLUS</t>
  </si>
  <si>
    <t>PPG - RODO  HI VIS VEST BACK LOGO ID POCKET</t>
  </si>
  <si>
    <t>PPG - RODO  ICE 9"X1.75" FUSION SLV ARRE031</t>
  </si>
  <si>
    <t>PPG - RODO  L/HAND TITAN HD SCRAPER</t>
  </si>
  <si>
    <t>PPG - RODO  L/P POLY SLV 9"         ARRE008</t>
  </si>
  <si>
    <t>PPG - RODO  L/P POLY SLV 9"         PRRE019</t>
  </si>
  <si>
    <t>PPG - RODO  L/P S/SKIN   9"         SLV PRRE02</t>
  </si>
  <si>
    <t>PPG - RODO  L/P WOVEN SL 9"         PREE015</t>
  </si>
  <si>
    <t>PPG - RODO  LOW TACK     25MM - 1"  MASKING TA</t>
  </si>
  <si>
    <t>PPG - RODO  LOW TACK     38MM-1.5"  MASKING TA</t>
  </si>
  <si>
    <t>PPG - RODO  M/P MICRO SL 12"        ARRE010</t>
  </si>
  <si>
    <t>PPG - RODO  M/P MICRO SL 9"         ARRE07</t>
  </si>
  <si>
    <t>PPG - RODO  M/P POLY SLV 9"         PRRE018</t>
  </si>
  <si>
    <t>PPG - RODO  MASKING 12MP PAPER 12"  PRICE CHAN</t>
  </si>
  <si>
    <t>PPG - RODO  MASONRY      4" BRUSH   PR4GY</t>
  </si>
  <si>
    <t>PPG - RODO  MASONRY KIT  PRKT004</t>
  </si>
  <si>
    <t>PPG - RODO  MINI ROLLER  KIT 4 INCH 10PK</t>
  </si>
  <si>
    <t>PPG - RODO  MINI ROLLER  TRAY MRT</t>
  </si>
  <si>
    <t>PPG - RODO  PAINT PAD 6" X4" CLICK  FFJCSPP</t>
  </si>
  <si>
    <t>PPG - RODO  PAPERHANGING 7" BRUSH   FFJ7RP</t>
  </si>
  <si>
    <t>PPG - RODO  PICTURE HANGING KIT (8)</t>
  </si>
  <si>
    <t>PPG - RODO  PLASTIC 15"  TRAY       RT15PB (IR</t>
  </si>
  <si>
    <t>PPG - RODO  POLE SANDER  HANDLE     (SPH)</t>
  </si>
  <si>
    <t>PPG - RODO  POLY D/SHEET 12X9       (FFJ129P)N</t>
  </si>
  <si>
    <t>PPG - RODO  POUCH MATE   PRO AD SML AWPMS</t>
  </si>
  <si>
    <t>PPG - RODO  PRECISION    1" LOW TAC ATMT006</t>
  </si>
  <si>
    <t>PPG - RODO  PRECISION    1.5" LOW T ATMT007</t>
  </si>
  <si>
    <t>PPG - RODO  PRECISION    2" LOW TAC ATMT008</t>
  </si>
  <si>
    <t>PPG - RODO  PRO ADV 32"  TROUSERS   AWTR32R</t>
  </si>
  <si>
    <t>PPG - RODO  PRO ADV 36"  TROUSERS   AWTR36R</t>
  </si>
  <si>
    <t>PPG - RODO  PRO ADV 38"  TROUSERS   AWTR38R</t>
  </si>
  <si>
    <t>PPG - RODO  PRODEC DECOR 4" BRUSH   PBPT037</t>
  </si>
  <si>
    <t>PPG - RODO  PRODEC DECOR BRUSH 2.5" PBPT035</t>
  </si>
  <si>
    <t>PPG - RODO  PRODEC MASON SLEEVE 10" (518700)</t>
  </si>
  <si>
    <t>PPG - RODO  PRODEC MIXED FITCH SET  PBRC001</t>
  </si>
  <si>
    <t>PPG - RODO  PRODEC PREM  1" BRUSH   PBPT042</t>
  </si>
  <si>
    <t>PPG - RODO  PRODEC PREM  2" CUT IN  PBPT053</t>
  </si>
  <si>
    <t>PPG - RODO  PRODEC PUSH  FRAME 10"  (SS714)</t>
  </si>
  <si>
    <t>PPG - RODO  PROFLEX      PAPFV60    60 GRIT 5M</t>
  </si>
  <si>
    <t>PPG - RODO  PROFLEX SANDING PAPER 80GRIT MED</t>
  </si>
  <si>
    <t>PPG - RODO  S/FIT COM FR 9"         PRF009</t>
  </si>
  <si>
    <t>PPG - RODO  S/FIT PLS FM 9"         PRF002</t>
  </si>
  <si>
    <t>PPG - RODO  S/FIT WD FRM 9"         PRF003</t>
  </si>
  <si>
    <t>PPG - RODO  S/P MICRO SL 9"         ARRE006</t>
  </si>
  <si>
    <t>PPG - RODO  S/P POLY SLV 9"         PRRE017</t>
  </si>
  <si>
    <t>PPG - RODO  SHED/FENCE   BRUSH4"(6) FFJSFB</t>
  </si>
  <si>
    <t>PPG - RODO  SHORT PILE   9"X1.75"   PRRE006</t>
  </si>
  <si>
    <t>PPG - RODO  STICK LP SLV 10"        PRRE025</t>
  </si>
  <si>
    <t>PPG - RODO  STICK MP SLV 10"        PRRE024</t>
  </si>
  <si>
    <t>PPG - RODO  TIG MP WOV   12"        SLV PRRE02</t>
  </si>
  <si>
    <t>PPG - RODO  TIGER MP KIT PRRT004 9"</t>
  </si>
  <si>
    <t>PPG - RODO  TIGER MP SLV 9"         PREE014</t>
  </si>
  <si>
    <t>PPG - RODO  WG EXT D/SHT P126WG     12'X6'</t>
  </si>
  <si>
    <t>PPG - RODO  WINDOW       SCRAPER</t>
  </si>
  <si>
    <t>PPG - RODO  WIRE BRUSH   4 ROW *12* (BWB4)</t>
  </si>
  <si>
    <t>PPG - RODO  WOODWORKER   BRUSH 2IN</t>
  </si>
  <si>
    <t>PPG - S ECOFLEET 530 BLACK        800000EU1500</t>
  </si>
  <si>
    <t>PPG - S ECOFLEET 530 BLACK        800000EU2200</t>
  </si>
  <si>
    <t>PPG - S ECOFLEET 530 BLUE         100000EU1500</t>
  </si>
  <si>
    <t>PPG - S ECOFLEET 530 BLUE         100000EU2200</t>
  </si>
  <si>
    <t>PPG - S ECOFLEET 530 BROWN        200000EU2200</t>
  </si>
  <si>
    <t>PPG - S ECOFLEET 530 REDBROWN     200800EU1500</t>
  </si>
  <si>
    <t>PPG - S ECOFLEET 530 REDBROWN     200800EU2200</t>
  </si>
  <si>
    <t>PPG - S ECOFLEET530 SPRUCE GREEN 16D4530EU2200</t>
  </si>
  <si>
    <t>PPG - S EP 110 PRI SET BS          08C35302200</t>
  </si>
  <si>
    <t>PPG - S EP 111 PRI SET              3005002200</t>
  </si>
  <si>
    <t>PPG - S EP 112 MIOCOAT SET          9500051400</t>
  </si>
  <si>
    <t>PPG - S EP 112 MIOCOAT SET          9500052200</t>
  </si>
  <si>
    <t>PPG - S EP 112 MIOCOAT SET DARKGREY 9501051400</t>
  </si>
  <si>
    <t>PPG - S EP 112 MIOCOAT SET DARKGREY 9501052200</t>
  </si>
  <si>
    <t>PPG - S EP 159 SEALER SET           0000001400</t>
  </si>
  <si>
    <t>PPG - S ETCH                      000000EU1500</t>
  </si>
  <si>
    <t>PPG - S RAPID DRY FLOOR PAINT GREY 9-096001500</t>
  </si>
  <si>
    <t>PPG - S RAPID DRY FLOOR PAINT RED  1-024001500</t>
  </si>
  <si>
    <t>PPG - S'COVER 2 SET BLACK           8000001400</t>
  </si>
  <si>
    <t>PPG - S'COVER 2 SET BLACK           8000002200</t>
  </si>
  <si>
    <t>PPG - S'COVER 2 SET BS 00A05       00A05301400</t>
  </si>
  <si>
    <t>PPG - S'COVER 2 SET BS 00A05       00A05302200</t>
  </si>
  <si>
    <t>PPG - S'COVER 2 SET WHITE           7000001400</t>
  </si>
  <si>
    <t>PPG - S'COVER 2 SET WHITE           7000002200</t>
  </si>
  <si>
    <t>PPG - S'COVER 256 SET CREAM         3012001400</t>
  </si>
  <si>
    <t>PPG - S'COVER 256 SET CREAM         3012002200</t>
  </si>
  <si>
    <t>PPG - S'COVER 280 SET GREY          5000001400</t>
  </si>
  <si>
    <t>PPG - S'COVER 280 SET GREY          5000002200</t>
  </si>
  <si>
    <t>PPG - S'COVER 280 SET REDBROWN      6137001400</t>
  </si>
  <si>
    <t>PPG - S'COVER 280 SET REDBROWN      6137002200</t>
  </si>
  <si>
    <t>PPG - S'COVER 280 SET YEL/GR        4009001400</t>
  </si>
  <si>
    <t>PPG - S'COVER 280 SET YEL/GR        4009002200</t>
  </si>
  <si>
    <t>PPG - S'COVER 350 LT SET ALU        9000002200</t>
  </si>
  <si>
    <t>PPG - S'COVER 350 LT SET GREY       5177052200</t>
  </si>
  <si>
    <t>PPG - S'COVER 350 LT SET REDBROWN   6179052200</t>
  </si>
  <si>
    <t>PPG - S'COVER 350 SET ALUMINIUM     9000002200</t>
  </si>
  <si>
    <t>PPG - S'COVER 350 SET GREY          5177052200</t>
  </si>
  <si>
    <t>PPG - S'COVER 350 SET REDBROWN      6179051400</t>
  </si>
  <si>
    <t>PPG - S'COVER 350 SET REDBROWN      6179052200</t>
  </si>
  <si>
    <t>PPG - S'COVER 380 SET BLACK         8000002200</t>
  </si>
  <si>
    <t>PPG - S'COVER 380 SET GREEN         4100052200</t>
  </si>
  <si>
    <t>PPG - S'COVER 380 SET GREY          5100051400</t>
  </si>
  <si>
    <t>PPG - S'COVER 380 SET GREY          5100052200</t>
  </si>
  <si>
    <t>PPG - S'COVER 400 SET ALUMINIUM     9000001400</t>
  </si>
  <si>
    <t>PPG - S'COVER 400 SET ALUMINIUM     9000002200</t>
  </si>
  <si>
    <t>PPG - S'COVER 400 SET BLACK         8000001400</t>
  </si>
  <si>
    <t>PPG - S'COVER 400 SET BLACK         8000002200</t>
  </si>
  <si>
    <t>PPG - S'COVER 400 SET BS 00A05     00A05301400</t>
  </si>
  <si>
    <t>PPG - S'COVER 400 SET BS 00A05     00A05302200</t>
  </si>
  <si>
    <t>PPG - S'COVER 400 SET WHITE         7000001400</t>
  </si>
  <si>
    <t>PPG - S'COVER 400 SET WHITE         7000002200</t>
  </si>
  <si>
    <t>PPG - S'COVER 410 SET MIO DARKGREY  9120052200</t>
  </si>
  <si>
    <t>PPG - S'COVER 410 SET MIO LIGHTGREY 9110052200</t>
  </si>
  <si>
    <t>PPG - S'COVER 410 SET OFFWHITE      7001002200</t>
  </si>
  <si>
    <t>PPG - S'COVER 435 SET               9558051400</t>
  </si>
  <si>
    <t>PPG - S'COVER 435 SET LIGHTGREY     9553051400</t>
  </si>
  <si>
    <t>PPG - S'COVER 435 SET LIGHTGREY     9553052200</t>
  </si>
  <si>
    <t>PPG - S'COVER 456 HS SET RAL        9010262200</t>
  </si>
  <si>
    <t>PPG - S'COVER 456 SET BLACK         8000001400</t>
  </si>
  <si>
    <t>PPG - S'COVER 456 SET BLACK         8000002200</t>
  </si>
  <si>
    <t>PPG - S'COVER 456 SET BS           00A05301400</t>
  </si>
  <si>
    <t>PPG - S'COVER 456 SET BS           00A05302200</t>
  </si>
  <si>
    <t>PPG - S'COVER 456 SET GREY          5163052200</t>
  </si>
  <si>
    <t>PPG - S'COVER 456 SET GREY          5177052200</t>
  </si>
  <si>
    <t>PPG - S'COVER 456 SET RAL           1004261400</t>
  </si>
  <si>
    <t>PPG - S'COVER 456 SET WHITE         7000001400</t>
  </si>
  <si>
    <t>PPG - S'COVER 456 SET WHITE         7000002200</t>
  </si>
  <si>
    <t>PPG - S'COVER 522 SET GREEN         9048051400</t>
  </si>
  <si>
    <t>PPG - S'COVER 522 SET GREEN         9048052200</t>
  </si>
  <si>
    <t>PPG - S'COVER 555 SET BLACK        N8000002200</t>
  </si>
  <si>
    <t>PPG - S'COVER 690 SET LIGHT         0200001400</t>
  </si>
  <si>
    <t>PPG - S'COVER 690 SET LIGHT         0200002200</t>
  </si>
  <si>
    <t>PPG - S'COVER 805 SET BLACK         8000001400</t>
  </si>
  <si>
    <t>PPG - S'COVER 805 SET BLACK         8000002200</t>
  </si>
  <si>
    <t>PPG - S'COVER 805 SET OFFWHITE      7001002200</t>
  </si>
  <si>
    <t>PPG - SD A'LOCK 2C SET (X)        XXXXCCEU2200</t>
  </si>
  <si>
    <t>PPG - SD AQUACOVER 400 SET (X)     XXXXCCC1400</t>
  </si>
  <si>
    <t>PPG - SD AQUACOVER 400 SET (X)     XXXXCCC2160</t>
  </si>
  <si>
    <t>PPG - SD AQUACOVER 400 SET (X)    XXXXCCEU1400</t>
  </si>
  <si>
    <t>PPG - SD AQUACOVER 400 SET (X)    XXXXCCEU2160</t>
  </si>
  <si>
    <t>PPG - SD NUKLAD SL SET COLOR +FIL XXXXCCEU2250</t>
  </si>
  <si>
    <t>PPG - SD PSX 700 SET (X)          XXXXCCEU1500</t>
  </si>
  <si>
    <t>PPG - SD PSX 700 SET (X)          XXXXCCEU2200</t>
  </si>
  <si>
    <t>PPG - SD S'COVER 2 SET (X)        XXXXCCEU1400</t>
  </si>
  <si>
    <t>PPG - SD S'COVER 2 SET (X)        XXXXCCEU2200</t>
  </si>
  <si>
    <t>PPG - SD S'COVER 256 SET          XXXXCCEU1400</t>
  </si>
  <si>
    <t>PPG - SD S'COVER 256 SET          XXXXCCEU2200</t>
  </si>
  <si>
    <t>PPG - SD S'COVER 350 LT SET (X)   XXXXCCEU2200</t>
  </si>
  <si>
    <t>PPG - SD S'COVER 350 SET (X)      XXXXCCEU2200</t>
  </si>
  <si>
    <t>PPG - SD S'COVER 400 SET (X)      XXXXCCEU1400</t>
  </si>
  <si>
    <t>PPG - SD S'COVER 400 SET (X)      XXXXCCEU2200</t>
  </si>
  <si>
    <t>PPG - SD S'COVER 456 HS SET (X)   XXXXCCEU1400</t>
  </si>
  <si>
    <t>PPG - SD S'COVER 456 HS SET (X)   XXXXCCEU2200</t>
  </si>
  <si>
    <t>PPG - SD S'COVER 456 SET (X)      XXXXCCEU1400</t>
  </si>
  <si>
    <t>PPG - SD S'COVER 456 SET (X)      XXXXCCEU2200</t>
  </si>
  <si>
    <t>PPG - SD S'DUR 1800 SET (X)       XXXXCCEU1400</t>
  </si>
  <si>
    <t>PPG - SD S'DUR 1800 SET (X)       XXXXCCEU2200</t>
  </si>
  <si>
    <t>PPG - SD S'DUR 520 SET (X)        XXXXCCEU2200</t>
  </si>
  <si>
    <t>PPG - SD S'DUR 540 SET (X)        XXXXCCEU1400</t>
  </si>
  <si>
    <t>PPG - SD S'DUR 540 SET (X)        XXXXCCEU2200</t>
  </si>
  <si>
    <t>PPG - SD S'DUR 550H SET (X)       XXXXCCEU1400</t>
  </si>
  <si>
    <t>PPG - SD S'DUR 550H SET (X)       XXXXCCEU2200</t>
  </si>
  <si>
    <t>PPG - SD S'FAST 205 LT SET (X)    XXXXCCEU1400</t>
  </si>
  <si>
    <t>PPG - SD S'FAST 205 LT SET (X)    XXXXCCEU2200</t>
  </si>
  <si>
    <t>PPG - SD S'FAST 205 SET(X)        XXXXCCEU1400</t>
  </si>
  <si>
    <t>PPG - SD S'FAST 205 SET(X)        XXXXCCEU2200</t>
  </si>
  <si>
    <t>PPG - SD S'FAST 210 HS SET (X)    XXXXCCEU1400</t>
  </si>
  <si>
    <t>PPG - SD S'FAST 210 HS SET (X)    XXXXCCEU2200</t>
  </si>
  <si>
    <t>PPG - SD S'FAST 278 SET (X)         XXXXCC1400</t>
  </si>
  <si>
    <t>PPG - SD S'FAST 278 SET (X)         XXXXCC2200</t>
  </si>
  <si>
    <t>PPG - SD S'FAST 278 SET (X)      NXXXXCCEU1400</t>
  </si>
  <si>
    <t>PPG - SD S'FAST 278 SET (X)      NXXXXCCEU2200</t>
  </si>
  <si>
    <t>PPG - SD S'SHIELD 880 SET (X)     XXXXCCEU1400</t>
  </si>
  <si>
    <t>PPG - SD S'SHIELD 880 SET (X)     XXXXCCEU2200</t>
  </si>
  <si>
    <t>PPG - S'DUR 1800 SET WHITE          7000002200</t>
  </si>
  <si>
    <t>PPG - S'DUR 520 SET ALU DARK        9001002200</t>
  </si>
  <si>
    <t>PPG - S'DUR 520 SET ALU LIGHT       9000001400</t>
  </si>
  <si>
    <t>PPG - S'DUR 520 SET ALU LIGHT       9000002200</t>
  </si>
  <si>
    <t>PPG - S'DUR 520 SET RAL             7035262200</t>
  </si>
  <si>
    <t>PPG - S'DUR 520 SET RAL             9010262200</t>
  </si>
  <si>
    <t>PPG - S'DUR 550 SET BLACK           8000002200</t>
  </si>
  <si>
    <t>PPG - S'DUR 550 SET GREEN           4199052200</t>
  </si>
  <si>
    <t>PPG - S'DUR 550 SET GREY            5177052200</t>
  </si>
  <si>
    <t>PPG - S'DUR 550 SET REDBROWN        6179052200</t>
  </si>
  <si>
    <t>PPG - S'DUR CLEARCOAT SET           0000CL1400</t>
  </si>
  <si>
    <t>PPG - S'FAST 20 BLACK RAL         900526EU2200</t>
  </si>
  <si>
    <t>PPG - S'FAST 20 DARK CAPE YELLOW  300500EU1500</t>
  </si>
  <si>
    <t>PPG - S'FAST 20 GREY              500000EU2200</t>
  </si>
  <si>
    <t>PPG - S'FAST 20 LIGHT BROWN       200500EU1500</t>
  </si>
  <si>
    <t>PPG - S'FAST 20 OFFWHITE          700100EU1500</t>
  </si>
  <si>
    <t>PPG - S'FAST 20 OFFWHITE          700100EU2200</t>
  </si>
  <si>
    <t>PPG - S'FAST 20 RAL               703526EU2200</t>
  </si>
  <si>
    <t>PPG - S'FAST 20 RAL               704226EU2200</t>
  </si>
  <si>
    <t>PPG - S'FAST 20 REDBROWN          200800EU1500</t>
  </si>
  <si>
    <t>PPG - S'FAST 20 REDBROWN          200800EU2200</t>
  </si>
  <si>
    <t>PPG - S'FAST 205 LT SET RAL         3009262200</t>
  </si>
  <si>
    <t>PPG - S'FAST 205 LT SET RAL         7001262200</t>
  </si>
  <si>
    <t>PPG - S'FAST 205 LT SET RAL         7035262200</t>
  </si>
  <si>
    <t>PPG - S'FAST 205 LT SET RAL         9010262200</t>
  </si>
  <si>
    <t>PPG - S'FAST 205 SET RAL            3009262200</t>
  </si>
  <si>
    <t>PPG - S'FAST 205 SET RAL            7001262200</t>
  </si>
  <si>
    <t>PPG - S'FAST 205 SET RAL            7016262200</t>
  </si>
  <si>
    <t>PPG - S'FAST 205 SET RAL            7035262200</t>
  </si>
  <si>
    <t>PPG - S'FAST 205 SET RAL            9002262200</t>
  </si>
  <si>
    <t>PPG - S'FAST 205 SET RAL            9010262200</t>
  </si>
  <si>
    <t>PPG - S'FAST 210 HS SET RAL         7035262200</t>
  </si>
  <si>
    <t>PPG - S'FAST 210 HS SET RAL         7046262200</t>
  </si>
  <si>
    <t>PPG - S'FAST 210 HS SET RAL         9005262200</t>
  </si>
  <si>
    <t>PPG - S'FAST 210 HS SET RAL         9010262200</t>
  </si>
  <si>
    <t>PPG - S'FAST 278 SET CREAM         N3012002200</t>
  </si>
  <si>
    <t>PPG - S'FAST 278 SET MIO DARK GREY N9120002200</t>
  </si>
  <si>
    <t>PPG - S'FAST 278 SET OFFWHITE      N7001002200</t>
  </si>
  <si>
    <t>PPG - S'FAST 278 SET RAL           N7035262200</t>
  </si>
  <si>
    <t>PPG - S'FAST 278 SET RAL           N7046262200</t>
  </si>
  <si>
    <t>PPG - S'FAST 278 SET REDBROWN      N2008002200</t>
  </si>
  <si>
    <t>PPG - S'FAST 302 SET BLUEGREEN      1000002200</t>
  </si>
  <si>
    <t>PPG - SFRES EDEN         18390 W/C</t>
  </si>
  <si>
    <t>PPG - SFRES SUPERFRESCO  12015 W/C  WATERFALL</t>
  </si>
  <si>
    <t>PPG - SFRES SUPERFRESCO  19018 W/C  FLOATING S</t>
  </si>
  <si>
    <t>PPG - SFRES SUPERFRESCO  268 W/C    GEOMETRIC</t>
  </si>
  <si>
    <t>PPG - S'GUARD 720 SET GREEN         4000001400</t>
  </si>
  <si>
    <t>PPG - S'GUARD 720 SET GREEN         4000002200</t>
  </si>
  <si>
    <t>PPG - S'GUARD 720 SET GREY          5000002200</t>
  </si>
  <si>
    <t>PPG - S'GUARD 720 SET WHITE         7000001400</t>
  </si>
  <si>
    <t>PPG - S'GUARD 720 SET WHITE         7000002200</t>
  </si>
  <si>
    <t>PPG - S'GUARD 730 SET CREAM         3005002200</t>
  </si>
  <si>
    <t>PPG - S'GUARD 730 SET OFFWHITE      7001002200</t>
  </si>
  <si>
    <t>PPG - S'GUARD 750 SET GREY          5000002135</t>
  </si>
  <si>
    <t>PPG - S'GUARD CSF 585 SET BLUE      1000001400</t>
  </si>
  <si>
    <t>PPG - S'GUARD CSF 585 SET BLUE      1000002200</t>
  </si>
  <si>
    <t>PPG - S'GUARD CSF 585 SET WHITE     7000002200</t>
  </si>
  <si>
    <t>PPG - S'GUARD CSF 650 SET GREEN     4000001400</t>
  </si>
  <si>
    <t>PPG - S'GUARD CSF 650 SET GREEN     4000002200</t>
  </si>
  <si>
    <t>PPG - S'GUARD CSF 650 SET OFFWHITE  7001002200</t>
  </si>
  <si>
    <t>PPG - S'LINE 2000 SET REDBROWN      2008002200</t>
  </si>
  <si>
    <t>PPG - S'PRIME 200 SET GREY          9515052200</t>
  </si>
  <si>
    <t>PPG - S'PRIME 200 SET YEL/GREEN     4009002200</t>
  </si>
  <si>
    <t>PPG - S'PRIME 700 SET GREY          5000002200</t>
  </si>
  <si>
    <t>PPG - S'PRIME 700 SET REDBROWN      2008002200</t>
  </si>
  <si>
    <t>PPG - S'RINE 35                     9553052200</t>
  </si>
  <si>
    <t>PPG - S'RINE 35                   955305EU1400</t>
  </si>
  <si>
    <t>PPG - S'RINE 35                   955805EU1400</t>
  </si>
  <si>
    <t>PPG - S'RINE 35                   955805EU2200</t>
  </si>
  <si>
    <t>PPG - S'RINE 35                   959005EU1400</t>
  </si>
  <si>
    <t>PPG - S'RINE 48 WHITE             700000EU1500</t>
  </si>
  <si>
    <t>PPG - S'RINE 48 WHITE             700000EU2200</t>
  </si>
  <si>
    <t>PPG - S'SHIELD 1200 SET BLACK       8000002200</t>
  </si>
  <si>
    <t>PPG - S'SHIELD 1200 SET GREY        5177052200</t>
  </si>
  <si>
    <t>PPG - S'SHIELD 400 SET BLACK        8000002200</t>
  </si>
  <si>
    <t>PPG - S'SHIELD 400 SET RAL          7035262200</t>
  </si>
  <si>
    <t>PPG - S'SHIELD 460 BAS RAL        703526EU2150</t>
  </si>
  <si>
    <t>PPG - S'SHIELD 460 SET BLACK        8000001400</t>
  </si>
  <si>
    <t>PPG - S'SHIELD 460 SET BLACK        8000002200</t>
  </si>
  <si>
    <t>PPG - S'SHIELD 460 SET OFFWHITE     7001002200</t>
  </si>
  <si>
    <t>PPG - S'SHIELD 880 GF SET BLACK     8000002200</t>
  </si>
  <si>
    <t>PPG - S'SHIELD 880 GF SET GREY      5177052200</t>
  </si>
  <si>
    <t>PPG - S'SHIELD 880 SET BLACK        8000001400</t>
  </si>
  <si>
    <t>PPG - S'SHIELD 880 SET BLACK        8000002200</t>
  </si>
  <si>
    <t>PPG - S'SHIELD 880 SET GREY         5177052200</t>
  </si>
  <si>
    <t>PPG - S'SHIELD 880 SET RAL          5015262200</t>
  </si>
  <si>
    <t>PPG - STEELGUARD 564 WHITE          3000AM3200</t>
  </si>
  <si>
    <t>PPG - STEELGUARD 564 WHITE        3000AMEU2200</t>
  </si>
  <si>
    <t>PPG - STEELGUARD 581 WHITE          3000AM2200</t>
  </si>
  <si>
    <t>PPG - STEELGUARD 651 WHITE        3000AMEU2200</t>
  </si>
  <si>
    <t>PPG - STEELGUARD 701 WHITE        3000AMEU2200</t>
  </si>
  <si>
    <t>PPG - STEELGUARD 801 WHITE        3000AMEU2200</t>
  </si>
  <si>
    <t>PPG - STEELGUARD 851 WHITE        3000AMEU2200</t>
  </si>
  <si>
    <t>PPG - S'THERM 175                 900000EU1500</t>
  </si>
  <si>
    <t>PPG - S'THERM 230 SET GREY          5000002200</t>
  </si>
  <si>
    <t>PPG - S'THERM 230 SET PINK          6007002200</t>
  </si>
  <si>
    <t>PPG - S'THERM 350 ALU             900000CN2200</t>
  </si>
  <si>
    <t>PPG - S'THERM 540                 900000EU1500</t>
  </si>
  <si>
    <t>PPG - S'THERM 540                 900000EU2200</t>
  </si>
  <si>
    <t>PPG - S'WELD 120 SET GREY           5000002200</t>
  </si>
  <si>
    <t>PPG - S'WELD 120 SET RED OXIDE      2008002200</t>
  </si>
  <si>
    <t>PPG - S'WELD 190 (MC MK3) SET R/B   2008002180</t>
  </si>
  <si>
    <t>PPG - S'WELD 199 SET GREEN          4000002180</t>
  </si>
  <si>
    <t>PPG - S'WELD 199 SET GREY           5000002180</t>
  </si>
  <si>
    <t>PPG - S'WELD 199 SET REDBROWN       2008002180</t>
  </si>
  <si>
    <t>PPG - S'ZINC 105 SET GREY           5000002200</t>
  </si>
  <si>
    <t>PPG - S'ZINC 109 HS SET REDGREY     5010001800</t>
  </si>
  <si>
    <t>PPG - S'ZINC 158 SET                5009002185</t>
  </si>
  <si>
    <t>PPG - S'ZINC 19                   500000EU1200</t>
  </si>
  <si>
    <t>PPG - TESA  BLDPROT TAPE 33M X 50MM 4843</t>
  </si>
  <si>
    <t>PPG - TESA  CRV MASKTAPE 25M X 19MM 4319</t>
  </si>
  <si>
    <t>PPG - TESA  PRECISION    PROMO PACK</t>
  </si>
  <si>
    <t>PPG - THINNER 20-05               0000TREU2200</t>
  </si>
  <si>
    <t>PPG - THINNER 21-06               0000TREU2200</t>
  </si>
  <si>
    <t>PPG - THINNER 21-25               0000TREU1500</t>
  </si>
  <si>
    <t>PPG - THINNER 60-12               0000TRCN2200</t>
  </si>
  <si>
    <t>PPG - THINNER 60-12               0000TREU1500</t>
  </si>
  <si>
    <t>PPG - THINNER 60-15               0000TREU1500</t>
  </si>
  <si>
    <t>PPG - THINNER 60-15               0000TREU2200</t>
  </si>
  <si>
    <t>PPG - THINNER 90-53               0000TREU2200</t>
  </si>
  <si>
    <t>PPG - THINNER 90-58               0000TRCN2200</t>
  </si>
  <si>
    <t>PPG - THINNER 90-58               0000TREU1500</t>
  </si>
  <si>
    <t>PPG - THINNER 90-83               0000TREU2200</t>
  </si>
  <si>
    <t>PPG - THINNER 91-79               0000TREU1500</t>
  </si>
  <si>
    <t>PPG - THINNER 91-79               0000TREU2200</t>
  </si>
  <si>
    <t>PPG - THINNER 91-92               0000TREU1500</t>
  </si>
  <si>
    <t>PPG - THINNER 91-92               0000TREU2200</t>
  </si>
  <si>
    <t>PPG - UB    ESSENTIALS   9"VALUEKIT</t>
  </si>
  <si>
    <t>PPG - WATCO 4 HOUR EPOXY PRIMER     5ltr</t>
  </si>
  <si>
    <t>PPG - WATCO A/SLIP CONC  FLR PT     5ltr</t>
  </si>
  <si>
    <t>PPG - WATCO ASPHALT PT              5ltr</t>
  </si>
  <si>
    <t>PPG - WATCO BALCONY COAT STD COLOUR 25kg</t>
  </si>
  <si>
    <t>PPG - WATCO BIO-D        DEGREASER  5ltr</t>
  </si>
  <si>
    <t>PPG - WATCO BUND SEALER  2PK        4ltr</t>
  </si>
  <si>
    <t>PPG - WATCO CHEMI-COAT   STD COLS   4ltr</t>
  </si>
  <si>
    <t>PPG - WATCO COLD SET     ALL COLS   2.5ltr</t>
  </si>
  <si>
    <t>PPG - WATCO CONCRETE F/P STD COL    5ltr</t>
  </si>
  <si>
    <t>PPG - WATCO CONCRETE WB  SEAL MATT  5ltr</t>
  </si>
  <si>
    <t>PPG - WATCO CONCREX FINE FILLER 2PK 10kg</t>
  </si>
  <si>
    <t>PPG - WATCO EPOXICOTE AD ANTI SLIP  4ltr</t>
  </si>
  <si>
    <t>PPG - WATCO EPOXY GLOSS  COAT WB    5ltr</t>
  </si>
  <si>
    <t>PPG - WATCO EPOXY GLS M/GRY SP ONLY 5ltr</t>
  </si>
  <si>
    <t>PPG - WATCO EPOXYLINE               1ltr</t>
  </si>
  <si>
    <t>PPG - WATCO FIBREGLASS   REINF TAPE       1100</t>
  </si>
  <si>
    <t>PPG - WATCO FLOOR JOINT  SEALANT    2ltr</t>
  </si>
  <si>
    <t>PPG - WATCO FLOOR JOINT  SLR PRIMER 250ml</t>
  </si>
  <si>
    <t>PPG - WATCO FLOWTOP      GREY       25kg</t>
  </si>
  <si>
    <t>PPG - WATCO GALVAPRIME              1ltr</t>
  </si>
  <si>
    <t>PPG - WATCO HI VISIBILIT FLUOR YELL 2.5ltr</t>
  </si>
  <si>
    <t>PPG - WATCO IND WALLCOAT WHITE      10ltr</t>
  </si>
  <si>
    <t>PPG - WATCO LIQUID ROOF  MEMBRANE   5ltr</t>
  </si>
  <si>
    <t>PPG - WATCO NEW CONCRETE PRIMER     8kg</t>
  </si>
  <si>
    <t>PPG - WATCO OIL BLOCK    PRIMER     4ltr</t>
  </si>
  <si>
    <t>PPG - WATCO PLANT ROOM   CT ALL COL 25kg</t>
  </si>
  <si>
    <t>PPG - WATCO POWERFLOAT   ANTI SLIP  5ltr</t>
  </si>
  <si>
    <t>PPG - WATCO POWERFLOAT   FLR PRIMER 5ltr</t>
  </si>
  <si>
    <t>PPG - WATCO POWERFLOATP  PRIMER     5ltr</t>
  </si>
  <si>
    <t>PPG - WATCO PROTECTA CT  ANTI SLIP  2.5ltr</t>
  </si>
  <si>
    <t>PPG - WATCO PROTECTA CT  STANDARD   2.5ltr</t>
  </si>
  <si>
    <t>PPG - WATCO RESIFLOW     FLEX GLOSS 20kg</t>
  </si>
  <si>
    <t>PPG - WATCO ROAD PT RAP  STD COLS   5ltr</t>
  </si>
  <si>
    <t>PPG - WATCO ROOFITE                 5ltr</t>
  </si>
  <si>
    <t>PPG - WATCO ROOFITE                 25kg</t>
  </si>
  <si>
    <t>PPG - WATCO SAFETY COAT  COARSE     5ltr</t>
  </si>
  <si>
    <t>PPG - WATCO SAFETY COAT  COLD CURE  2.5ltr</t>
  </si>
  <si>
    <t>PPG - WATCO SAFETY COAT  FLOOR COAT 5ltr</t>
  </si>
  <si>
    <t>PPG - WATCO SAFETY COAT  FOOD SAFE  2.5ltr</t>
  </si>
  <si>
    <t>PPG - WATCO SAFETY COAT  LI GREY SP 5ltr</t>
  </si>
  <si>
    <t>PPG - WATCO SAFETY COAT  MID GREEN  5ltr</t>
  </si>
  <si>
    <t>PPG - WATCO SAFETY COAT  MID GREY   5ltr</t>
  </si>
  <si>
    <t>PPG - WATCO SAFETY GRIP  COLD CURE  5ltr</t>
  </si>
  <si>
    <t>PPG - WATCO SAFETY GRIP  FLEX 5M2</t>
  </si>
  <si>
    <t>PPG - WATCO SP HD A/SLIP GREEN      5ltr</t>
  </si>
  <si>
    <t>PPG - WATCO SP HD A/SLIP TRAF BLACK 5ltr</t>
  </si>
  <si>
    <t>PPG - WATCO STELLAR      FLAKE SYST</t>
  </si>
  <si>
    <t>PPG - WATCO STEPMAKER</t>
  </si>
  <si>
    <t>PPG - WATCO TILE PRIMER             5ltr</t>
  </si>
  <si>
    <t>PPG - WATCO TRAFFICLINE  RD MARKING 5ltr</t>
  </si>
  <si>
    <t>PPG - WATCO UNI SEALER   DUSTPROOF  1ltr</t>
  </si>
  <si>
    <t>PPG - WATCO UNIV SEALER  DUSTPROOF  25ltr</t>
  </si>
  <si>
    <t>PPG - WATCO WALLGUARD    WHITE      5ltr</t>
  </si>
  <si>
    <t>PPG - WATCO WALLSEAL                5ltr</t>
  </si>
  <si>
    <t>PPG - Zinsser EXT WB SATIN BLACK 2.5ltr</t>
  </si>
  <si>
    <t>PPG - Zinsser EXT WB SATIN BLACK 5ltr</t>
  </si>
  <si>
    <t>PPG - Zinsser EXT WB SATIN WHITE 2.5ltr</t>
  </si>
  <si>
    <t>PPG - Zinsser EXT WB SATIN WHITE 5ltr</t>
  </si>
  <si>
    <t>PPG - Zinsser GARDZ 2.5ltr</t>
  </si>
  <si>
    <t>PPG - Zinsser GARDZ  5ltr</t>
  </si>
  <si>
    <t>PPG - Zinsser PEEL STOP  1ltr</t>
  </si>
  <si>
    <t>PPG - Zinsser PERMA WHITE  INT MATT  1ltr</t>
  </si>
  <si>
    <t>PPG - Zinsser PERMA WHITE  INT MATT  2.5ltr</t>
  </si>
  <si>
    <t>PPG - Zinsser PERMA WHITE  INT MATT 5ltr</t>
  </si>
  <si>
    <t>PPG - Zinsser PERMA WHITE  INT SATIN 1ltr</t>
  </si>
  <si>
    <t>PPG - Zinsser PERMA WHITE  INT SATIN 2.5ltr</t>
  </si>
  <si>
    <t>PPG - Johnstone's ULTRALAST BRIL WHITE 10L</t>
  </si>
  <si>
    <t>PPG - Johnstone's ULTRALAST BRIL WHITE 5L</t>
  </si>
  <si>
    <t>PPG - Johnstone's ULTRALAST MIXED 10L</t>
  </si>
  <si>
    <t>PPG - Johnstone's ULTRALAST MIXED 5L</t>
  </si>
  <si>
    <t>00853257</t>
  </si>
  <si>
    <t>Wooster SUPERFAB 9"X1-1/4"PILE Roller</t>
  </si>
  <si>
    <t>PPG - Wooster SUPERFAB 9"X1-1/4"PILE Roller</t>
  </si>
  <si>
    <t>Ultragrime Pro Multisurface wipes Pack x 100</t>
  </si>
  <si>
    <t>00680149</t>
  </si>
  <si>
    <t>PPG - Ultragrime Pro Multisurface wipes Pack x 100</t>
  </si>
  <si>
    <t>00681822</t>
  </si>
  <si>
    <t>00681821</t>
  </si>
  <si>
    <t>00681820</t>
  </si>
  <si>
    <t>ZINSSER B-I-N AQUA 5L</t>
  </si>
  <si>
    <t>ZINSSER B-I-N AQUA 2.5L</t>
  </si>
  <si>
    <t>ZINSSER B-I-N AQUA 1L</t>
  </si>
  <si>
    <t>PPG - ZINSSER B-I-N AQUA 5L</t>
  </si>
  <si>
    <t>PPG - ZINSSER B-I-N AQUA 2.5L</t>
  </si>
  <si>
    <t>PPG - ZINSSER B-I-N AQUA 1L</t>
  </si>
  <si>
    <t>PPG - TIMBABUILD EHB60 400ML</t>
  </si>
  <si>
    <t>PPG - TIMBABUILD EXTRUSION TOOL</t>
  </si>
  <si>
    <t>00732882</t>
  </si>
  <si>
    <t>00722291</t>
  </si>
  <si>
    <t>TIMBABUILD EHB60 400ML (packof 10)</t>
  </si>
  <si>
    <t>TIMBABUILD EXTRUSION TOOL (pack of 10)</t>
  </si>
  <si>
    <t>00680187</t>
  </si>
  <si>
    <t>00681120</t>
  </si>
  <si>
    <t xml:space="preserve">EASIFILL 60 10KG </t>
  </si>
  <si>
    <t xml:space="preserve">TOUPRET WOOD FILLER 1.25KG </t>
  </si>
  <si>
    <t xml:space="preserve">PPG - EASIFILL 60 10KG </t>
  </si>
  <si>
    <t xml:space="preserve">PPG - TOUPRET WOOD FILLER 1.25KG </t>
  </si>
  <si>
    <t>Mirka 1230M Dust Extractor 240v Auto Clean</t>
  </si>
  <si>
    <t>Mirka 1230L Dust Extractor 240v Push &amp; Clean</t>
  </si>
  <si>
    <t>Mirka Hiomant 115mm x 50m P80</t>
  </si>
  <si>
    <t>Mirka Hiomant 115mm x 10m P120</t>
  </si>
  <si>
    <t>Mirka Hiomant 115mm x 10m P80</t>
  </si>
  <si>
    <t>Mirka 150mm Backing Pad for DEROS/CEROS</t>
  </si>
  <si>
    <t>Mirka Caratflex 115mm x 5m P320</t>
  </si>
  <si>
    <t>Mirka Abranet 150mm PK50 P80</t>
  </si>
  <si>
    <t>Mirka Hiomant 115mm x 50m P120</t>
  </si>
  <si>
    <t>Mirka Abranet 150mm PK10 P120</t>
  </si>
  <si>
    <t>Mirka Fleece Dustbags for 1230 Extractor PK5</t>
  </si>
  <si>
    <t>Mirka Abranet 225mm PK25 P80</t>
  </si>
  <si>
    <t>Mirka Caratflex 115mm x 5m P180</t>
  </si>
  <si>
    <t>Mirka Abranet 225mm PK25 P120</t>
  </si>
  <si>
    <t>Mirka Abranet 81x133mm PK50 P80</t>
  </si>
  <si>
    <t>Mirka Abranet 150mm PK10 P80</t>
  </si>
  <si>
    <t>Mirka Hiomant 115mm x 10m P60</t>
  </si>
  <si>
    <t>Mirka Fleece Dustbags for 1025 Extractor PK5</t>
  </si>
  <si>
    <t>Mirka Abranet 125mm PK10 P120</t>
  </si>
  <si>
    <t>Mirka Abranet Ace HD 152x152x100mm PK5 P80</t>
  </si>
  <si>
    <t>Mirka Hose 27mm x 4m for Electric Machines</t>
  </si>
  <si>
    <t>Mirka 125mm Backing Pad for DEROS/CEROS</t>
  </si>
  <si>
    <t>Mirka Abranet 150mm PK50 P240</t>
  </si>
  <si>
    <t>Mirka Abranet 150mm PK50 P320</t>
  </si>
  <si>
    <t>Mirka Abranet 225mm PK25 P180</t>
  </si>
  <si>
    <t>Mirka DEROS 350CV 77mm 230v Deco Sol Kit</t>
  </si>
  <si>
    <t>Mirka Abranet ACE HD 81x133mm PK25 P80</t>
  </si>
  <si>
    <t>Mirka Abranet 225mm PK25 P240</t>
  </si>
  <si>
    <t>Mirka Abranet 150mm PK50 P120</t>
  </si>
  <si>
    <t>Mirka Abranet 150mm PK50 P180</t>
  </si>
  <si>
    <t>Mirka Abranet 81x133mm PK10 P120</t>
  </si>
  <si>
    <t>Mirka Abranet 81x133mm PK10 P180</t>
  </si>
  <si>
    <t>Mirka Abranet 81x133mm PK10 P80</t>
  </si>
  <si>
    <t>Mirka Abranet 152x152x100mm PK50 P120</t>
  </si>
  <si>
    <t>Mirka Abranet 152x152x100mm PK50 P80</t>
  </si>
  <si>
    <t>Mirka Abranet 152x152x100mm PK10 P120</t>
  </si>
  <si>
    <t>Mirka Abranet 152x152x100mm PK10 P180</t>
  </si>
  <si>
    <t>Mirka Abranet 150mm PK10 P180</t>
  </si>
  <si>
    <t>Mirka Abranet 225mm PK10 P80</t>
  </si>
  <si>
    <t>Mirka Abranet 81x133mm PK50 P120</t>
  </si>
  <si>
    <t>Mirka Abranet 81x133mm PK50 P180</t>
  </si>
  <si>
    <t>Mirka® Abranet 81x133mm PK50 P240</t>
  </si>
  <si>
    <t>Mirka Abranet 81x133mm PK50 P320</t>
  </si>
  <si>
    <t>Mirka Abranet 70x198mm PK50 P80</t>
  </si>
  <si>
    <t>Mirka Abranet 225mm PK25 P150</t>
  </si>
  <si>
    <t>Mirka Abranet Ace HD 152x152x100mm PK5 P120</t>
  </si>
  <si>
    <t>Mirka Universal Adaptor for 27mm Hose</t>
  </si>
  <si>
    <t>Mirka Hiomant 115mm x 10m P40</t>
  </si>
  <si>
    <t>Mirka Backing Pad for DEOS Delta Sander PK5</t>
  </si>
  <si>
    <t>Mirka® 81x133mm Backing Pad for DEOS</t>
  </si>
  <si>
    <t>Mirka Rewireable Mains Cable 4.3m 230v UK</t>
  </si>
  <si>
    <t xml:space="preserve">Mirka Case Fastening Acc for 1230 Extractor </t>
  </si>
  <si>
    <t>Mirka DEOS &amp; DEROS 230v Kit</t>
  </si>
  <si>
    <t>Mirka Yellow Case 400x300x158mm</t>
  </si>
  <si>
    <t>Mirka Abranet Ace HD 152x152x100mm PK25 P120</t>
  </si>
  <si>
    <t>Mirka Abranet 152x152x100mm PK50 P180</t>
  </si>
  <si>
    <t>Mirka Abranet 152x152x100mm PK50 P240</t>
  </si>
  <si>
    <t>Mirka Abranet Ace HD 152x152x100mm PK25 P40</t>
  </si>
  <si>
    <t>Mirka Abranet 152x152x100mm PK10 P80</t>
  </si>
  <si>
    <t>Mirka Abranet Ace HD 152x152x100mm PK25 P80</t>
  </si>
  <si>
    <t>Mirka DEOS 353CV 81 x 133mm 230v in case</t>
  </si>
  <si>
    <t>Mirka DEOS 383CV 70 x 198mm 230v in box</t>
  </si>
  <si>
    <t>Mirka DEOS Delta 663CV 230v in cardboard box</t>
  </si>
  <si>
    <t>Mirka DEOS Delta 663CV 110v in cardboard box</t>
  </si>
  <si>
    <t>Mirka DEROS 650CV 150mm 230v in cardboardbox</t>
  </si>
  <si>
    <t>Mirka DEROS 680CV 150mm 230v in cardboardbox</t>
  </si>
  <si>
    <t>Mirka 1230M Dust Extractor 110v Push &amp; Clean</t>
  </si>
  <si>
    <t>Mirka Filter for 915/1025 Dust Extractor</t>
  </si>
  <si>
    <t>Mirka Fleece Dustbags for 915 Extractor PK5</t>
  </si>
  <si>
    <t>Mirka Abranet 80x230mm PK10 P240</t>
  </si>
  <si>
    <t>Mirka Abranet 80x230mm PK10 P120</t>
  </si>
  <si>
    <t>Mirka Abranet 80x230mm PK10 P180</t>
  </si>
  <si>
    <t>Mirka Abranet 80x230mm PK10 P80</t>
  </si>
  <si>
    <t>Mirka 125mm InterfacePad DEROS/CEROS 10mmPK5</t>
  </si>
  <si>
    <t>Mirka 150mm InterfacePad DEROS/CEROS 10mmPK5</t>
  </si>
  <si>
    <t>Mirka DEROS 5650XCV 125/150mm 110v in case</t>
  </si>
  <si>
    <t>Mirka Yellow Case 400x300x210mm</t>
  </si>
  <si>
    <t>Mirka Mirlon Total 115x230mm PK3 VF/P360</t>
  </si>
  <si>
    <t>Mirka 125mm Pad Saver for DEROS/CEROS PK5</t>
  </si>
  <si>
    <t>Mirka® Pad Saver for DEOS Delta Sander PK5</t>
  </si>
  <si>
    <t>Mirka 81x133mm Pad Saver for DEOS PK5</t>
  </si>
  <si>
    <t>Mirka 225mm Pad Saver for LEROS PK 1</t>
  </si>
  <si>
    <t>Mirka Roundy Kit</t>
  </si>
  <si>
    <t>Mirka Rewireable Mains Cable 10.5m 230v UK</t>
  </si>
  <si>
    <t>PPG - Mirka Rewireable Mains Cable 10.5m 230v UK</t>
  </si>
  <si>
    <t>Mirka Rewireable Mains Cable 4.3m 110v UK</t>
  </si>
  <si>
    <t>PPG - Mirka Rewireable Mains Cable 4.3m 110v UK</t>
  </si>
  <si>
    <t>Mirka Rewireable Connector HP-9R</t>
  </si>
  <si>
    <t>PPG - Mirka Rewireable Connector HP-9R</t>
  </si>
  <si>
    <t>PPG - Mirka Hose 27mm x 10m for Electric Machines</t>
  </si>
  <si>
    <t>Mirka Hose Sleeve 9.8m</t>
  </si>
  <si>
    <t>Mirka Hose Sleeve 3.8m</t>
  </si>
  <si>
    <t>PPG - Mirka Hose Sleeve 9.8m</t>
  </si>
  <si>
    <t>PPG - Mirka Hose Sleeve 3.8m</t>
  </si>
  <si>
    <t>Mirka DEOS Delta &amp; DEROS 230v Kit</t>
  </si>
  <si>
    <t>PPG - Mirka DEOS Delta &amp; DEROS 230v Kit</t>
  </si>
  <si>
    <t>Mirka 70x198mm Interface Pad 10mm PK5</t>
  </si>
  <si>
    <t>PPG - Mirka 70x198mm Interface Pad 10mm PK5</t>
  </si>
  <si>
    <t>00680792</t>
  </si>
  <si>
    <t>00680793</t>
  </si>
  <si>
    <t>00853235</t>
  </si>
  <si>
    <t>00680235</t>
  </si>
  <si>
    <t>00853361</t>
  </si>
  <si>
    <t>00611953</t>
  </si>
  <si>
    <t>00680234</t>
  </si>
  <si>
    <t>00647277</t>
  </si>
  <si>
    <t>00680824</t>
  </si>
  <si>
    <t>00649893</t>
  </si>
  <si>
    <t>00680453</t>
  </si>
  <si>
    <t>00649889</t>
  </si>
  <si>
    <t>00649890</t>
  </si>
  <si>
    <t>00649892</t>
  </si>
  <si>
    <t>00680786</t>
  </si>
  <si>
    <t>00680787</t>
  </si>
  <si>
    <t>00680065</t>
  </si>
  <si>
    <t>00647270</t>
  </si>
  <si>
    <t>00617988</t>
  </si>
  <si>
    <t>00611887</t>
  </si>
  <si>
    <t>00611888</t>
  </si>
  <si>
    <t>00731039</t>
  </si>
  <si>
    <t>00680867</t>
  </si>
  <si>
    <t>00680788</t>
  </si>
  <si>
    <t>00680789</t>
  </si>
  <si>
    <t>00853026</t>
  </si>
  <si>
    <t>00728119</t>
  </si>
  <si>
    <t>00731040</t>
  </si>
  <si>
    <t>00680236</t>
  </si>
  <si>
    <t>00852901</t>
  </si>
  <si>
    <t>00853083</t>
  </si>
  <si>
    <t>00680790</t>
  </si>
  <si>
    <t>00680791</t>
  </si>
  <si>
    <t>00853360</t>
  </si>
  <si>
    <t>00640080</t>
  </si>
  <si>
    <t>00731051</t>
  </si>
  <si>
    <t>00739885</t>
  </si>
  <si>
    <t>00733766</t>
  </si>
  <si>
    <t>00731074</t>
  </si>
  <si>
    <t>00739286</t>
  </si>
  <si>
    <t>00722160</t>
  </si>
  <si>
    <t>00636322</t>
  </si>
  <si>
    <t>00680796</t>
  </si>
  <si>
    <t>00680794</t>
  </si>
  <si>
    <t>00680795</t>
  </si>
  <si>
    <t>00728145</t>
  </si>
  <si>
    <t>00615652</t>
  </si>
  <si>
    <t>00647326</t>
  </si>
  <si>
    <t>00639698</t>
  </si>
  <si>
    <t>00853102</t>
  </si>
  <si>
    <t>00853486</t>
  </si>
  <si>
    <t>00639918</t>
  </si>
  <si>
    <t>00608488</t>
  </si>
  <si>
    <t>00608494</t>
  </si>
  <si>
    <t>00608495</t>
  </si>
  <si>
    <t>00608496</t>
  </si>
  <si>
    <t>00647268</t>
  </si>
  <si>
    <t>00852450</t>
  </si>
  <si>
    <t>00647296</t>
  </si>
  <si>
    <t>00617986</t>
  </si>
  <si>
    <t>00852451</t>
  </si>
  <si>
    <t>00617987</t>
  </si>
  <si>
    <t>00852447</t>
  </si>
  <si>
    <t>00608497</t>
  </si>
  <si>
    <t>00608498</t>
  </si>
  <si>
    <t>00617985</t>
  </si>
  <si>
    <t>00617984</t>
  </si>
  <si>
    <t>00680093</t>
  </si>
  <si>
    <t>00853092</t>
  </si>
  <si>
    <t>00853093</t>
  </si>
  <si>
    <t>00732554</t>
  </si>
  <si>
    <t>00643697</t>
  </si>
  <si>
    <t>00649896</t>
  </si>
  <si>
    <t>00611883</t>
  </si>
  <si>
    <t>00611884</t>
  </si>
  <si>
    <t>00611885</t>
  </si>
  <si>
    <t>00611886</t>
  </si>
  <si>
    <t>00647276</t>
  </si>
  <si>
    <t>00647275</t>
  </si>
  <si>
    <t>00647274</t>
  </si>
  <si>
    <t>00647273</t>
  </si>
  <si>
    <t>00647272</t>
  </si>
  <si>
    <t>00647271</t>
  </si>
  <si>
    <t>00731066</t>
  </si>
  <si>
    <t>00731067</t>
  </si>
  <si>
    <t>00731068</t>
  </si>
  <si>
    <t>00731069</t>
  </si>
  <si>
    <t>00852452</t>
  </si>
  <si>
    <t>00852454</t>
  </si>
  <si>
    <t>00647343</t>
  </si>
  <si>
    <t>00647344</t>
  </si>
  <si>
    <t>00611854</t>
  </si>
  <si>
    <t>00852302</t>
  </si>
  <si>
    <t>00852303</t>
  </si>
  <si>
    <t>00611850</t>
  </si>
  <si>
    <t>00853373</t>
  </si>
  <si>
    <t>00615358</t>
  </si>
  <si>
    <t>00615359</t>
  </si>
  <si>
    <t>00615362</t>
  </si>
  <si>
    <t>00615363</t>
  </si>
  <si>
    <t>00618268</t>
  </si>
  <si>
    <t>00618269</t>
  </si>
  <si>
    <t>00610861</t>
  </si>
  <si>
    <t>00643410</t>
  </si>
  <si>
    <t>00643411</t>
  </si>
  <si>
    <t>00643412</t>
  </si>
  <si>
    <t>00643408</t>
  </si>
  <si>
    <t>Mirka LEROS 950CV Dual Voltage Deco Kit</t>
  </si>
  <si>
    <t>Mirka LEROS-S 950 CV Dual Voltage Deco Kit</t>
  </si>
  <si>
    <t>Mirka LEROS 950CV Dual V + 5mm orbit &amp; bag</t>
  </si>
  <si>
    <t>Mirka Carry Bag for LEROS-S</t>
  </si>
  <si>
    <t>Mirka Carry Bag for LEROS</t>
  </si>
  <si>
    <t>Mirka 225mm Interface Pad for LEROS PK3</t>
  </si>
  <si>
    <t>Mirka 225mm Interface Pad for LEROS PK1</t>
  </si>
  <si>
    <t>Mirka LEROS 50cm Extension Shaft</t>
  </si>
  <si>
    <t>Mirka DEROS 5650CV 125/150mm 230v Deco Kit</t>
  </si>
  <si>
    <t>Mirka Case Inlay for 150mm Discs</t>
  </si>
  <si>
    <t>Mirka Pad Wrench for DEROS/CEROS Sanders</t>
  </si>
  <si>
    <t>Mirka 77mm Backing Pad for DEROS 350CV</t>
  </si>
  <si>
    <t>Mirka 77mm Pad Saver for DEROS 350CV PK5</t>
  </si>
  <si>
    <t>Mirka 150mm Pad Saver for DEROS/CEROS PK5</t>
  </si>
  <si>
    <t>Mirka Edge Protector for DEROS 150 mm</t>
  </si>
  <si>
    <t>Mirka DEOS 353CV 230v Deco Solution Kit</t>
  </si>
  <si>
    <t>Mirka DEOS 353CV 110v Deco Solution Kit</t>
  </si>
  <si>
    <t>Mirka DEOS 353CV 81 x 133mm 230v in box</t>
  </si>
  <si>
    <t>Mirka 81x133mm Interface Pad DEOS 7mm PK5</t>
  </si>
  <si>
    <t>Mirka 70x198mm Backing Pad</t>
  </si>
  <si>
    <t>Mirka 81x165mm Extended Backing Pad</t>
  </si>
  <si>
    <t>Mirka DEOS Delta 230v Deco Solution Kit</t>
  </si>
  <si>
    <t>Mirka DEOS Delta 110v Deco Solution Kit</t>
  </si>
  <si>
    <t>Mirka Interface Pad DEOS Delta Sander PK5</t>
  </si>
  <si>
    <t>Mirka AROS-B 150NV 32mm 10.8v Sander</t>
  </si>
  <si>
    <t>Mirka Hand Starter Kit</t>
  </si>
  <si>
    <t>Mirka Handy Kit</t>
  </si>
  <si>
    <t>Mirka Handy Block 80x230mm</t>
  </si>
  <si>
    <t>Mirka 20mm x 4m Hose for Hand Blocks</t>
  </si>
  <si>
    <t>Mirka Curved Pad for 70x198mm Hand Block</t>
  </si>
  <si>
    <t>Mirka DECOSANDER 70x198mm</t>
  </si>
  <si>
    <t>Mirka Soft Quick Change Adaptor</t>
  </si>
  <si>
    <t>Mirka Dual Vacuum Kit</t>
  </si>
  <si>
    <t>Mirka Clean Up Kit</t>
  </si>
  <si>
    <t>Mirka Clean Up Kit without Hose</t>
  </si>
  <si>
    <t>Mirka Hose Bag</t>
  </si>
  <si>
    <t>Mirka Handle for 1230 Dust Extractor</t>
  </si>
  <si>
    <t>Mirka Shark Blade 48x28mm CrN</t>
  </si>
  <si>
    <t>Mirka Abranet 34mm PK50 P180</t>
  </si>
  <si>
    <t>Mirka Abranet 125mm PK10 P80</t>
  </si>
  <si>
    <t>Mirka Abranet 125mm PK10 P180</t>
  </si>
  <si>
    <t>Mirka Abranet 125mm PK10 P240</t>
  </si>
  <si>
    <t>Mirka Abranet 125mm PK10 P320</t>
  </si>
  <si>
    <t>Mirka Abranet 125mm PK50 P80</t>
  </si>
  <si>
    <t>Mirka Abranet 125mm PK50 P100</t>
  </si>
  <si>
    <t>Mirka Abranet 125mm PK50 P120</t>
  </si>
  <si>
    <t>Mirka Abranet 125mm PK50 P150</t>
  </si>
  <si>
    <t>Mirka Abranet 125mm PK50 P180</t>
  </si>
  <si>
    <t>Mirka Abranet 125mm PK50 P240</t>
  </si>
  <si>
    <t>Mirka Abranet 125mm PK50 P320</t>
  </si>
  <si>
    <t>Mirka Abranet 150mm PK10 P240</t>
  </si>
  <si>
    <t>Mirka Abranet 150mm PK10 P320</t>
  </si>
  <si>
    <t>Mirka Abranet 150mm PK50 P150</t>
  </si>
  <si>
    <t>Mirka Abranet 150mm PK50 P400</t>
  </si>
  <si>
    <t>Mirka Abranet 150mm PK50 P600</t>
  </si>
  <si>
    <t>Mirka Abranet 150mm PK50 P800</t>
  </si>
  <si>
    <t>Mirka Abranet 150mm PK50 P1000</t>
  </si>
  <si>
    <t>Mirka Abranet 225mm PK10 P180</t>
  </si>
  <si>
    <t>Mirka Abranet 225mm PK10 P240</t>
  </si>
  <si>
    <t>Mirka Abranet 225mm PK25 P320</t>
  </si>
  <si>
    <t>Mirka Abranet Ace 77mm PK50 P80</t>
  </si>
  <si>
    <t>Mirka Abranet Ace 77mm PK50 P120</t>
  </si>
  <si>
    <t>Mirka Abranet Ace 77mm PK50 P180</t>
  </si>
  <si>
    <t>Mirka Abranet Ace 77mm PK50 P240</t>
  </si>
  <si>
    <t>Mirka Abranet ACE HD 125mm PK25 P40</t>
  </si>
  <si>
    <t>Mirka Abranet ACE HD 125mm PK25 P60</t>
  </si>
  <si>
    <t>Mirka Abranet ACE HD 125mm PK25 P80</t>
  </si>
  <si>
    <t>Mirka Abranet ACE HD 150mm PK25 P40</t>
  </si>
  <si>
    <t>Mirka Abranet ACE HD 150mm PK25 P60</t>
  </si>
  <si>
    <t>Mirka Abranet ACE HD 150mm PK25 P80</t>
  </si>
  <si>
    <t>Mirka Abranet 70x198mm PK10 P80</t>
  </si>
  <si>
    <t>Mirka Abranet 70x198mm PK10 P120</t>
  </si>
  <si>
    <t>Mirka Abranet 70x198mm PK10 P180</t>
  </si>
  <si>
    <t>Mirka Abranet 70x198mm PK10 P240</t>
  </si>
  <si>
    <t>Mirka Abranet 80x230mm PK50 P80</t>
  </si>
  <si>
    <t>Mirka Abranet 80x230mm PK50 P180</t>
  </si>
  <si>
    <t>Mirka Abranet ACE HD 81x133mm PK25 P40</t>
  </si>
  <si>
    <t>Mirka Abranet ACE HD 81x133mm PK25 P60</t>
  </si>
  <si>
    <t>Mirka Abranet 152x152x100mm PK10 P240</t>
  </si>
  <si>
    <t>Mirka Abranet Ace HD 152x152x100mm PK5 P40</t>
  </si>
  <si>
    <t>Mirka Abranet Ace HD 152x152x100mm PK5 P60</t>
  </si>
  <si>
    <t>Mirka Iridium 36H 152x152x100mm PK50 80</t>
  </si>
  <si>
    <t>Mirka Abranet 115mm x 10m P80</t>
  </si>
  <si>
    <t>Mirka Abranet 115mm x 10m P120</t>
  </si>
  <si>
    <t>Mirka Abranet 115mm x 10m P320</t>
  </si>
  <si>
    <t>Mirka Abranet 115mm x 10m P400</t>
  </si>
  <si>
    <t>Mirka Hiomant 115mm x 5m P40</t>
  </si>
  <si>
    <t>Mirka Hiomant 115mm x 5m P120</t>
  </si>
  <si>
    <t>Mirka Hiomant 115mm x 50m P180</t>
  </si>
  <si>
    <t>Mirka Goldflex-Soft Hand Pads PK10 P150</t>
  </si>
  <si>
    <t>Mirka Goldflex-Soft Hand Pads PK10 P240</t>
  </si>
  <si>
    <t>Mirka Goldflex-Soft Hand Pads PK10 P320</t>
  </si>
  <si>
    <t>Mirka Goldflex-Soft Hand Pads PK200 P240</t>
  </si>
  <si>
    <t>PPG - Mirka LEROS 950CV Dual Voltage Deco Kit</t>
  </si>
  <si>
    <t>PPG - Mirka LEROS-S 950 CV Dual Voltage Deco Kit</t>
  </si>
  <si>
    <t>PPG - Mirka LEROS 950CV Dual V + 5mm orbit &amp; bag</t>
  </si>
  <si>
    <t>PPG - Mirka Carry Bag for LEROS</t>
  </si>
  <si>
    <t>PPG - Mirka Carry Bag for LEROS-S</t>
  </si>
  <si>
    <t>PPG - Mirka 225mm Interface Pad for LEROS PK3</t>
  </si>
  <si>
    <t>PPG - Mirka 225mm Interface Pad for LEROS PK1</t>
  </si>
  <si>
    <t>PPG - Mirka LEROS 50cm Extension Shaft</t>
  </si>
  <si>
    <t>PPG - Mirka DEROS 5650CV 125/150mm 230v Deco Kit</t>
  </si>
  <si>
    <t>PPG - Mirka DEROS 5650XCV 125/150mm 110v Deco Kit</t>
  </si>
  <si>
    <t>PPG - Mirka Case Inlay for 150mm Discs</t>
  </si>
  <si>
    <t>PPG - Mirka Pad Wrench for DEROS/CEROS Sanders</t>
  </si>
  <si>
    <t>PPG - Mirka 77mm Backing Pad for DEROS 350CV</t>
  </si>
  <si>
    <t>PPG - Mirka 77mm Pad Saver for DEROS 350CV PK5</t>
  </si>
  <si>
    <t>PPG - Mirka 150mm Pad Saver for DEROS/CEROS PK5</t>
  </si>
  <si>
    <t>PPG - Mirka Edge Protector for DEROS 150 mm</t>
  </si>
  <si>
    <t>PPG - Mirka DEOS 353CV 230v Deco Solution Kit</t>
  </si>
  <si>
    <t>PPG - Mirka DEOS 353CV 110v Deco Solution Kit</t>
  </si>
  <si>
    <t>PPG - Mirka DEOS 353CV 81 x 133mm 230v in box</t>
  </si>
  <si>
    <t>PPG - Mirka 81x133mm Interface Pad DEOS 7mm PK5</t>
  </si>
  <si>
    <t>PPG - Mirka 81x165mm Pad Saver for Ext Backing Pad</t>
  </si>
  <si>
    <t>PPG - Mirka 70x198mm Backing Pad</t>
  </si>
  <si>
    <t>PPG - Mirka 81x165mm Extended Backing Pad</t>
  </si>
  <si>
    <t>PPG - Mirka DEOS Delta 230v Deco Solution Kit</t>
  </si>
  <si>
    <t>PPG - Mirka DEOS Delta 110v Deco Solution Kit</t>
  </si>
  <si>
    <t>PPG - Mirka Interface Pad DEOS Delta Sander PK5</t>
  </si>
  <si>
    <t>PPG - Mirka AROS-B 150NV 32mm 10.8v Sander</t>
  </si>
  <si>
    <t>PPG - Mirka Hand Starter Kit</t>
  </si>
  <si>
    <t>PPG - Mirka Handy Kit</t>
  </si>
  <si>
    <t>PPG - Mirka Handy Block 80x230mm</t>
  </si>
  <si>
    <t>PPG - Mirka 20mm x 4m Hose for Hand Blocks</t>
  </si>
  <si>
    <t>PPG - Mirka Curved Pad for 70x198mm Hand Block</t>
  </si>
  <si>
    <t>PPG - Mirka DECOSANDER 70x198mm</t>
  </si>
  <si>
    <t>PPG - Mirka Soft Quick Change Adaptor</t>
  </si>
  <si>
    <t>PPG - Mirka 1230L Extractor240v Push&amp;Clean+4mHose</t>
  </si>
  <si>
    <t>PPG - Mirka 1230M Extractor 240v Auto Clean+4mHose</t>
  </si>
  <si>
    <t>PPG - Mirka 1230M Extractor 110v Push&amp;Clean+4mHose</t>
  </si>
  <si>
    <t>PPG - Mirka Dual Vacuum Kit</t>
  </si>
  <si>
    <t>PPG - Mirka Clean Up Kit</t>
  </si>
  <si>
    <t>PPG - Mirka Clean Up Kit without Hose</t>
  </si>
  <si>
    <t>PPG - Mirka Hose Bag</t>
  </si>
  <si>
    <t>PPG - Mirka Handle for 1230 Dust Extractor</t>
  </si>
  <si>
    <t>PPG - Mirka Shark Blade 48x28mm CrN</t>
  </si>
  <si>
    <t>PPG - Mirka Abranet 34mm PK50 P180</t>
  </si>
  <si>
    <t>PPG - Mirka Abranet 125mm PK10 P80</t>
  </si>
  <si>
    <t>PPG - Mirka Abranet 125mm PK10 P180</t>
  </si>
  <si>
    <t>PPG - Mirka Abranet 125mm PK10 P240</t>
  </si>
  <si>
    <t>PPG - Mirka Abranet 125mm PK10 P320</t>
  </si>
  <si>
    <t>PPG - Mirka Abranet 125mm PK50 P80</t>
  </si>
  <si>
    <t>PPG - Mirka Abranet 125mm PK50 P100</t>
  </si>
  <si>
    <t>PPG - Mirka Abranet 125mm PK50 P120</t>
  </si>
  <si>
    <t>PPG - Mirka Abranet 125mm PK50 P150</t>
  </si>
  <si>
    <t>PPG - Mirka Abranet 125mm PK50 P180</t>
  </si>
  <si>
    <t>PPG - Mirka Abranet 125mm PK50 P240</t>
  </si>
  <si>
    <t>PPG - Mirka Abranet 125mm PK50 P320</t>
  </si>
  <si>
    <t>PPG - Mirka Abranet 150mm PK10 P240</t>
  </si>
  <si>
    <t>PPG - Mirka Abranet 150mm PK10 P320</t>
  </si>
  <si>
    <t>PPG - Mirka Abranet 150mm PK50 P150</t>
  </si>
  <si>
    <t>PPG - Mirka Abranet 150mm PK50 P400</t>
  </si>
  <si>
    <t>PPG - Mirka Abranet 150mm PK50 P600</t>
  </si>
  <si>
    <t>PPG - Mirka Abranet 150mm PK50 P800</t>
  </si>
  <si>
    <t>PPG - Mirka Abranet 150mm PK50 P1000</t>
  </si>
  <si>
    <t>PPG - Mirka Abranet 225mm PK10 P180</t>
  </si>
  <si>
    <t>PPG - Mirka Abranet 225mm PK10 P240</t>
  </si>
  <si>
    <t>PPG - Mirka Abranet 225mm PK25 P320</t>
  </si>
  <si>
    <t>PPG - Mirka Abranet Ace 77mm PK50 P80</t>
  </si>
  <si>
    <t>PPG - Mirka Abranet Ace 77mm PK50 P120</t>
  </si>
  <si>
    <t>PPG - Mirka Abranet Ace 77mm PK50 P180</t>
  </si>
  <si>
    <t>PPG - Mirka Abranet Ace 77mm PK50 P240</t>
  </si>
  <si>
    <t>PPG - Mirka Abranet ACE HD 125mm PK25 P40</t>
  </si>
  <si>
    <t>PPG - Mirka Abranet ACE HD 125mm PK25 P60</t>
  </si>
  <si>
    <t>PPG - Mirka Abranet ACE HD 125mm PK25 P80</t>
  </si>
  <si>
    <t>PPG - Mirka Abranet ACE HD 150mm PK25 P40</t>
  </si>
  <si>
    <t>PPG - Mirka Abranet ACE HD 150mm PK25 P60</t>
  </si>
  <si>
    <t>PPG - Mirka Abranet ACE HD 150mm PK25 P80</t>
  </si>
  <si>
    <t>PPG - Mirka Abranet 70x198mm PK10 P80</t>
  </si>
  <si>
    <t>PPG - Mirka Abranet 70x198mm PK10 P120</t>
  </si>
  <si>
    <t>PPG - Mirka Abranet 70x198mm PK10 P180</t>
  </si>
  <si>
    <t>PPG - Mirka Abranet 70x198mm PK10 P240</t>
  </si>
  <si>
    <t>PPG - Mirka Abranet 80x230mm PK50 P80</t>
  </si>
  <si>
    <t>PPG - Mirka Abranet 80x230mm PK50 P180</t>
  </si>
  <si>
    <t>PPG - Mirka Abranet ACE HD 81x133mm PK25 P40</t>
  </si>
  <si>
    <t>PPG - Mirka Abranet ACE HD 81x133mm PK25 P60</t>
  </si>
  <si>
    <t>PPG - Mirka Abranet 152x152x100mm PK10 P240</t>
  </si>
  <si>
    <t>PPG - Mirka Abranet Ace HD 152x152x100mm PK5 P40</t>
  </si>
  <si>
    <t>PPG - Mirka Abranet Ace HD 152x152x100mm PK5 P60</t>
  </si>
  <si>
    <t>PPG - Mirka Abranet Ace HD 152x152x100mm PK25 P60</t>
  </si>
  <si>
    <t>PPG - Mirka Iridium 36H 152x152x100mm PK50 80</t>
  </si>
  <si>
    <t>PPG - Mirka Abranet 115mm x 10m P80</t>
  </si>
  <si>
    <t>PPG - Mirka Abranet 115mm x 10m P120</t>
  </si>
  <si>
    <t>PPG - Mirka Abranet 115mm x 10m P320</t>
  </si>
  <si>
    <t>PPG - Mirka Abranet 115mm x 10m P400</t>
  </si>
  <si>
    <t>PPG - Mirka Hiomant 115mm x 5m P40</t>
  </si>
  <si>
    <t>PPG - Mirka Hiomant 115mm x 5m P120</t>
  </si>
  <si>
    <t>PPG - Mirka Hiomant 115mm x 50m P180</t>
  </si>
  <si>
    <t>PPG - Mirka Goldflex-Soft Hand Pads PK10 P150</t>
  </si>
  <si>
    <t>PPG - Mirka Goldflex-Soft Hand Pads PK10 P240</t>
  </si>
  <si>
    <t>PPG - Mirka Goldflex-Soft Hand Pads PK10 P320</t>
  </si>
  <si>
    <t>PPG - Mirka Goldflex-Soft Hand Pads PK200 P240</t>
  </si>
  <si>
    <t>JST AQ PRI UNDERCT BRIL WHITE 7000001100  </t>
  </si>
  <si>
    <t>JST AQ PRI UNDERCT BRIL WHITE 7000001250  </t>
  </si>
  <si>
    <t>JST AQ PRI UNDERCT BRIL WHITE 7000001500  </t>
  </si>
  <si>
    <t>JST AQ GUARD MAT BRILL WHITE  7000001100 </t>
  </si>
  <si>
    <t>JST AQ GUARD MAT BRILL WHITE  7000001250 </t>
  </si>
  <si>
    <t>JST AQ GUARD MAT BRILL WHITE  7000001500 </t>
  </si>
  <si>
    <t>JST AQ GUARD GLS BRILL WHITE  7000001100  </t>
  </si>
  <si>
    <t>JST AQ GUARD GLS BRILL WHITE  7000001250  </t>
  </si>
  <si>
    <t>JST AQ GUARD GLS BRILL WHITE  7000001500  </t>
  </si>
  <si>
    <t>FD JS AQ PRIM U/CT MIXED      0000001100  </t>
  </si>
  <si>
    <t>FD JS AQ PRIM U/CT MIXED      0000001250  </t>
  </si>
  <si>
    <t>FD JS AQ PRIM U/CT MIXED      0000001500  </t>
  </si>
  <si>
    <t>FD JS AQ GUARD MAT MIXED      0000001100  </t>
  </si>
  <si>
    <t>FD JS AQ GUARD MAT MIXED      0000001250  </t>
  </si>
  <si>
    <t>FD JS AQ GUARD MAT MIXED      0000001500  </t>
  </si>
  <si>
    <t>FD JS AQ GUARD GLS MIXED      0000001100  </t>
  </si>
  <si>
    <t>FD JS AQ GUARD GLS MIXED      0000001250  </t>
  </si>
  <si>
    <t>FD JS AQ GUARD GLS MIXED      0000001500  </t>
  </si>
  <si>
    <t>JST AquaGuard Primer U/C Brill White 1ltr</t>
  </si>
  <si>
    <t>JST AquaGuard Primer U/C Brill White 2.5ltr</t>
  </si>
  <si>
    <t>JST AquaGuard Primer U/C Brill White 5ltr</t>
  </si>
  <si>
    <t>JST AquaGuard Matt Brilliant White 1ltr</t>
  </si>
  <si>
    <t>JST AquaGuard Matt Brilliant White 2.5ltr</t>
  </si>
  <si>
    <t>JST AquaGuard Matt Brilliant White 5ltr</t>
  </si>
  <si>
    <t>JST AquaGuard Gloss Brilliant White 1ltr</t>
  </si>
  <si>
    <t>JST AquaGuard Gloss Brilliant White 2.5ltr</t>
  </si>
  <si>
    <t>JST AquaGuard Gloss Brilliant White 5ltr</t>
  </si>
  <si>
    <t>JST AquaGuard Primer U/C Mix Colour 1ltr</t>
  </si>
  <si>
    <t>JST AquaGuard Primer U/C Mix Colour 2.5ltr</t>
  </si>
  <si>
    <t>JST AquaGuard Primer U/C Mix Colour 5ltr</t>
  </si>
  <si>
    <t>JST AquaGuard Matt Mix Colour 1ltr</t>
  </si>
  <si>
    <t>JST AquaGuard Matt Mix Colour 2.5ltr</t>
  </si>
  <si>
    <t>JST AquaGuard Matt Mix Colour 5ltr</t>
  </si>
  <si>
    <t>JST AquaGuard Gloss Mix Colour 1ltr</t>
  </si>
  <si>
    <t>JST AquaGuard Gloss Mix Colour 2.5ltr</t>
  </si>
  <si>
    <t>JST AquaGuard Gloss Mix Colour 5ltr</t>
  </si>
  <si>
    <t>00473516</t>
  </si>
  <si>
    <t>00473517</t>
  </si>
  <si>
    <t>00473519</t>
  </si>
  <si>
    <t>00473527</t>
  </si>
  <si>
    <t>00473528</t>
  </si>
  <si>
    <t>00473529</t>
  </si>
  <si>
    <t>00473537</t>
  </si>
  <si>
    <t>00473538</t>
  </si>
  <si>
    <t>00473539</t>
  </si>
  <si>
    <t>00447590</t>
  </si>
  <si>
    <t>00447591</t>
  </si>
  <si>
    <t>00447592</t>
  </si>
  <si>
    <t>00447594</t>
  </si>
  <si>
    <t>00447595</t>
  </si>
  <si>
    <t>00447596</t>
  </si>
  <si>
    <t>00447597</t>
  </si>
  <si>
    <t>00447598</t>
  </si>
  <si>
    <t>00447599</t>
  </si>
  <si>
    <t>00615318</t>
  </si>
  <si>
    <t>Owatrol VC175 Mould Stop 50ml</t>
  </si>
  <si>
    <t>PPG - Owatrol VC175 Mould Stop 50ml</t>
  </si>
  <si>
    <t>00682045</t>
  </si>
  <si>
    <t>00682046</t>
  </si>
  <si>
    <t>00682047</t>
  </si>
  <si>
    <t>00682048</t>
  </si>
  <si>
    <t>00682049</t>
  </si>
  <si>
    <t>00682050</t>
  </si>
  <si>
    <t>00682051</t>
  </si>
  <si>
    <t>00682052</t>
  </si>
  <si>
    <t>00682053</t>
  </si>
  <si>
    <t>00682054</t>
  </si>
  <si>
    <t>00682055</t>
  </si>
  <si>
    <t>00682056</t>
  </si>
  <si>
    <t>00682057</t>
  </si>
  <si>
    <t>00682058</t>
  </si>
  <si>
    <t>00682059</t>
  </si>
  <si>
    <t>00682060</t>
  </si>
  <si>
    <t>00682061</t>
  </si>
  <si>
    <t>00682062</t>
  </si>
  <si>
    <t>00682063</t>
  </si>
  <si>
    <t>00682064</t>
  </si>
  <si>
    <t>00915440</t>
  </si>
  <si>
    <t>00915441</t>
  </si>
  <si>
    <t>00915442</t>
  </si>
  <si>
    <t>00915443</t>
  </si>
  <si>
    <t>00915444</t>
  </si>
  <si>
    <t>00915445</t>
  </si>
  <si>
    <t>00915446</t>
  </si>
  <si>
    <t>00915447</t>
  </si>
  <si>
    <t>00915448</t>
  </si>
  <si>
    <t>00915449</t>
  </si>
  <si>
    <t>00915450</t>
  </si>
  <si>
    <t>00915451</t>
  </si>
  <si>
    <t>00915452</t>
  </si>
  <si>
    <t>00915453</t>
  </si>
  <si>
    <t>00915454</t>
  </si>
  <si>
    <t>00915455</t>
  </si>
  <si>
    <t>00915456</t>
  </si>
  <si>
    <t>00915457</t>
  </si>
  <si>
    <t>00915458</t>
  </si>
  <si>
    <t>00915459</t>
  </si>
  <si>
    <t>00915460</t>
  </si>
  <si>
    <t>00915461</t>
  </si>
  <si>
    <t>00915462</t>
  </si>
  <si>
    <t>00915463</t>
  </si>
  <si>
    <t>00915464</t>
  </si>
  <si>
    <t>00915465</t>
  </si>
  <si>
    <t>00915471</t>
  </si>
  <si>
    <t>FR ASF 300ml</t>
  </si>
  <si>
    <t>FR ASF 290ml</t>
  </si>
  <si>
    <t>FR ASF 380ml</t>
  </si>
  <si>
    <t>FR Acrylic 300ml</t>
  </si>
  <si>
    <t>FR Acrylic 310ml</t>
  </si>
  <si>
    <t>FR Acrylic 310ml pure white</t>
  </si>
  <si>
    <t>FR Graphite 310ml</t>
  </si>
  <si>
    <t>FR Adhesive 310ml</t>
  </si>
  <si>
    <t>FR Backing 25/48/9000mm</t>
  </si>
  <si>
    <t>FR Backing 25/610/7200mm</t>
  </si>
  <si>
    <t>Eco-Cartridge 300ml (empty)</t>
  </si>
  <si>
    <t>FR Board 50mm 1-S ribbed</t>
  </si>
  <si>
    <t>FR Board 50mm 2-S ribbed</t>
  </si>
  <si>
    <t>FR Board 60mm 2-S ribbed</t>
  </si>
  <si>
    <t>EX Mortar 10 ltr</t>
  </si>
  <si>
    <t>EX Mortar 20 ltr</t>
  </si>
  <si>
    <t>FR Collar Ø32/30mm</t>
  </si>
  <si>
    <t>FR Collar Ø32/50mm</t>
  </si>
  <si>
    <t>FR Collar Ø40/30mm</t>
  </si>
  <si>
    <t>FR Collar Ø40/50mm</t>
  </si>
  <si>
    <t>FR Collar Ø55/30mm</t>
  </si>
  <si>
    <t>FR Collar Ø55/50mm</t>
  </si>
  <si>
    <t>FR Collar Ø63/30mm</t>
  </si>
  <si>
    <t>FR Collar Ø63/50mm</t>
  </si>
  <si>
    <t>FR Collar Ø75/30mm</t>
  </si>
  <si>
    <t>FR Collar Ø75/50mm</t>
  </si>
  <si>
    <t>FR Collar Ø82/30mm</t>
  </si>
  <si>
    <t>FR Collar Ø82/50mm</t>
  </si>
  <si>
    <t>FR Collar Ø90/30mm</t>
  </si>
  <si>
    <t>FR Collar Ø90/50mm</t>
  </si>
  <si>
    <t>FR Collar Ø110/30mm</t>
  </si>
  <si>
    <t>FR Collar Ø110/50mm</t>
  </si>
  <si>
    <t>FR Collar Ø125/60mm</t>
  </si>
  <si>
    <t>FR Collar Ø140/60mm</t>
  </si>
  <si>
    <t>FR Collar Ø160/60mm</t>
  </si>
  <si>
    <t>FR Collar Ø200/60mm</t>
  </si>
  <si>
    <t>FR Pipe Wrap 82mm</t>
  </si>
  <si>
    <t>FR Pipe Wrap 110mm</t>
  </si>
  <si>
    <t>FR Pipe Wrap 125mm</t>
  </si>
  <si>
    <t>FR Pipe Wrap 50mmx25m</t>
  </si>
  <si>
    <t>FR Pipe Wrap 75mmx25m</t>
  </si>
  <si>
    <t>Wrap 50mmx25m w/adhesive</t>
  </si>
  <si>
    <t>Wrap 75mmx25m w/adhesive</t>
  </si>
  <si>
    <t>FR Coating 8 ltr</t>
  </si>
  <si>
    <t>Service Coat FR-1 3 ltr</t>
  </si>
  <si>
    <t>Interior Paint FR-1 10 ltr</t>
  </si>
  <si>
    <t>Putty Cord Ø15mm 5x20cm</t>
  </si>
  <si>
    <t>Polyseam</t>
  </si>
  <si>
    <t>Mirka</t>
  </si>
  <si>
    <t>Hose 27mm x 10m for Electric Machines</t>
  </si>
  <si>
    <t>DEROS 5650XCV 125/150mm 110v Deco Kit</t>
  </si>
  <si>
    <t>81x165mm Pad Saver for Ext Backing Pad</t>
  </si>
  <si>
    <t>1230L Extractor240v Push&amp;Clean+4mHose</t>
  </si>
  <si>
    <t>1230M Extractor 240v Auto Clean+4mHose</t>
  </si>
  <si>
    <t>1230M Extractor 110v Push&amp;Clean+4mHose</t>
  </si>
  <si>
    <t>Abranet Ace HD 152x152x100mm PK25 P60</t>
  </si>
  <si>
    <t>Owatrol</t>
  </si>
  <si>
    <t>PPG - FR ASF 300ml</t>
  </si>
  <si>
    <t>PPG - FR ASF 290ml</t>
  </si>
  <si>
    <t>PPG - FR ASF 380ml</t>
  </si>
  <si>
    <t>PPG - FR Acrylic 300ml</t>
  </si>
  <si>
    <t>PPG - FR Acrylic 310ml</t>
  </si>
  <si>
    <t>PPG - FR Acrylic 310ml pure white</t>
  </si>
  <si>
    <t>PPG - FR Graphite 310ml</t>
  </si>
  <si>
    <t>PPG - FR Adhesive 310ml</t>
  </si>
  <si>
    <t>PPG - FR Backing 25/48/9000mm</t>
  </si>
  <si>
    <t>PPG - FR Backing 25/610/7200mm</t>
  </si>
  <si>
    <t>PPG - Eco-Cartridge 300ml (empty)</t>
  </si>
  <si>
    <t>PPG - FR Board 50mm 1-S ribbed</t>
  </si>
  <si>
    <t>PPG - FR Board 50mm 2-S ribbed</t>
  </si>
  <si>
    <t>PPG - FR Board 60mm 2-S ribbed</t>
  </si>
  <si>
    <t>PPG - EX Mortar 10 ltr</t>
  </si>
  <si>
    <t>PPG - EX Mortar 20 ltr</t>
  </si>
  <si>
    <t>PPG - FR Collar Ø32/30mm</t>
  </si>
  <si>
    <t>PPG - FR Collar Ø32/50mm</t>
  </si>
  <si>
    <t>PPG - FR Collar Ø40/30mm</t>
  </si>
  <si>
    <t>PPG - FR Collar Ø40/50mm</t>
  </si>
  <si>
    <t>PPG - FR Collar Ø55/30mm</t>
  </si>
  <si>
    <t>PPG - FR Collar Ø55/50mm</t>
  </si>
  <si>
    <t>PPG - FR Collar Ø63/30mm</t>
  </si>
  <si>
    <t>PPG - FR Collar Ø63/50mm</t>
  </si>
  <si>
    <t>PPG - FR Collar Ø75/30mm</t>
  </si>
  <si>
    <t>PPG - FR Collar Ø75/50mm</t>
  </si>
  <si>
    <t>PPG - FR Collar Ø82/30mm</t>
  </si>
  <si>
    <t>PPG - FR Collar Ø82/50mm</t>
  </si>
  <si>
    <t>PPG - FR Collar Ø90/30mm</t>
  </si>
  <si>
    <t>PPG - FR Collar Ø90/50mm</t>
  </si>
  <si>
    <t>PPG - FR Collar Ø110/30mm</t>
  </si>
  <si>
    <t>PPG - FR Collar Ø110/50mm</t>
  </si>
  <si>
    <t>PPG - FR Collar Ø125/60mm</t>
  </si>
  <si>
    <t>PPG - FR Collar Ø140/60mm</t>
  </si>
  <si>
    <t>PPG - FR Collar Ø160/60mm</t>
  </si>
  <si>
    <t>PPG - FR Collar Ø200/60mm</t>
  </si>
  <si>
    <t>PPG - FR Pipe Wrap 82mm</t>
  </si>
  <si>
    <t>PPG - FR Pipe Wrap 110mm</t>
  </si>
  <si>
    <t>PPG - FR Pipe Wrap 125mm</t>
  </si>
  <si>
    <t>PPG - FR Pipe Wrap 50mmx25m</t>
  </si>
  <si>
    <t>PPG - FR Pipe Wrap 75mmx25m</t>
  </si>
  <si>
    <t>PPG - Wrap 50mmx25m w/adhesive</t>
  </si>
  <si>
    <t>PPG - Wrap 75mmx25m w/adhesive</t>
  </si>
  <si>
    <t>PPG - FR Coating 8 ltr</t>
  </si>
  <si>
    <t>PPG - Service Coat FR-1 3 ltr</t>
  </si>
  <si>
    <t>PPG - Interior Paint FR-1 10 ltr</t>
  </si>
  <si>
    <t>PPG - Putty Cord Ø15mm 5x20cm</t>
  </si>
  <si>
    <t>Fire Protection</t>
  </si>
  <si>
    <t>Value (£)
2023</t>
  </si>
  <si>
    <t>Volume (ltrs)
2023</t>
  </si>
  <si>
    <t>Units
2023</t>
  </si>
  <si>
    <t>Impact/unit (£)
2024
(Units 2023 * New price)</t>
  </si>
  <si>
    <r>
      <t xml:space="preserve">Value difference 23 vs 24*
</t>
    </r>
    <r>
      <rPr>
        <b/>
        <i/>
        <sz val="11"/>
        <color theme="1"/>
        <rFont val="Calibri Light"/>
        <family val="2"/>
        <scheme val="major"/>
      </rPr>
      <t>Variation on formula as some of the units counted in 2023 where provided free of charge.</t>
    </r>
  </si>
  <si>
    <t>00915482</t>
  </si>
  <si>
    <t>00681121</t>
  </si>
  <si>
    <t>00915483</t>
  </si>
  <si>
    <t>00681122</t>
  </si>
  <si>
    <t>Habito Corner Tape</t>
  </si>
  <si>
    <t>Artex</t>
  </si>
  <si>
    <t>00915510</t>
  </si>
  <si>
    <t>00915564</t>
  </si>
  <si>
    <t>00915562</t>
  </si>
  <si>
    <t>00915563</t>
  </si>
  <si>
    <t>Artex - Habito Corner Tape</t>
  </si>
  <si>
    <t>Artex - Speed M Roller &amp; Frame</t>
  </si>
  <si>
    <t>Artex - Speed Max Roller Replacement</t>
  </si>
  <si>
    <t>Dalapro Roll Nova 12ltr</t>
  </si>
  <si>
    <t>Artex - Dalapro Roll Nova 12ltr</t>
  </si>
  <si>
    <t>Speed M Roller &amp; Frame 230mm</t>
  </si>
  <si>
    <t>Speed Max Roller Replacement 230mm</t>
  </si>
  <si>
    <t xml:space="preserve">Prices from 12th Aug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</si>
</sst>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0.0%"/>
  </numFmts>
  <fonts count="20" x14ac:knownFonts="1">
    <font>
      <sz val="11"/>
      <color theme="1"/>
      <name val="Calibri"/>
      <family val="2"/>
      <scheme val="minor"/>
    </font>
    <font>
      <sz val="11"/>
      <color theme="1"/>
      <name val="Calibri"/>
      <family val="2"/>
      <scheme val="minor"/>
    </font>
    <font>
      <sz val="11"/>
      <color theme="1"/>
      <name val="Calibri Light"/>
      <family val="2"/>
      <scheme val="major"/>
    </font>
    <font>
      <b/>
      <sz val="11"/>
      <name val="Calibri Light"/>
      <family val="2"/>
      <scheme val="major"/>
    </font>
    <font>
      <sz val="11"/>
      <name val="Calibri Light"/>
      <family val="2"/>
      <scheme val="major"/>
    </font>
    <font>
      <sz val="10"/>
      <color theme="1"/>
      <name val="Calibri Light"/>
      <family val="2"/>
      <scheme val="major"/>
    </font>
    <font>
      <sz val="10"/>
      <name val="Calibri"/>
      <family val="2"/>
    </font>
    <font>
      <sz val="10"/>
      <name val="Calibri"/>
      <family val="1"/>
    </font>
    <font>
      <sz val="11"/>
      <color theme="1"/>
      <name val="Calibri"/>
      <family val="2"/>
    </font>
    <font>
      <sz val="10"/>
      <color rgb="FF000000"/>
      <name val="Calibri Light"/>
      <family val="2"/>
    </font>
    <font>
      <sz val="10"/>
      <name val="Arial"/>
      <family val="2"/>
    </font>
    <font>
      <sz val="10"/>
      <name val="Calibri"/>
      <family val="2"/>
      <scheme val="minor"/>
    </font>
    <font>
      <sz val="11"/>
      <name val="Calibri"/>
      <family val="2"/>
      <scheme val="minor"/>
    </font>
    <font>
      <sz val="11"/>
      <color theme="1"/>
      <name val="Arial"/>
      <family val="2"/>
    </font>
    <font>
      <sz val="11"/>
      <color indexed="8"/>
      <name val="Calibri"/>
      <family val="2"/>
      <scheme val="minor"/>
    </font>
    <font>
      <sz val="11"/>
      <color rgb="FF000000"/>
      <name val="Calibri"/>
      <family val="2"/>
      <scheme val="minor"/>
    </font>
    <font>
      <b/>
      <sz val="9"/>
      <color indexed="81"/>
      <name val="Tahoma"/>
      <family val="2"/>
    </font>
    <font>
      <sz val="8"/>
      <name val="Calibri"/>
      <family val="2"/>
      <scheme val="minor"/>
    </font>
    <font>
      <b/>
      <i/>
      <sz val="11"/>
      <color theme="1"/>
      <name val="Calibri Light"/>
      <family val="2"/>
      <scheme val="major"/>
    </font>
    <font>
      <sz val="11"/>
      <color rgb="FF000000"/>
      <name val="Calibri"/>
      <family val="2"/>
    </font>
  </fonts>
  <fills count="13">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bgColor indexed="64"/>
      </patternFill>
    </fill>
    <fill>
      <patternFill patternType="solid">
        <fgColor theme="8" tint="0.59999389629810485"/>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00B0F0"/>
        <bgColor indexed="64"/>
      </patternFill>
    </fill>
  </fills>
  <borders count="2">
    <border>
      <left/>
      <right/>
      <top/>
      <bottom/>
      <diagonal/>
    </border>
    <border>
      <left style="medium">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4">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164" fontId="2" fillId="0" borderId="0" xfId="0" applyNumberFormat="1" applyFont="1" applyAlignment="1">
      <alignment horizontal="center" vertical="center" wrapText="1"/>
    </xf>
    <xf numFmtId="0" fontId="2" fillId="2" borderId="0" xfId="0" applyFont="1" applyFill="1" applyAlignment="1">
      <alignment horizontal="center" vertical="center" wrapText="1"/>
    </xf>
    <xf numFmtId="9" fontId="2" fillId="0" borderId="0" xfId="2" applyFont="1" applyAlignment="1">
      <alignment horizontal="center" vertical="center" wrapText="1"/>
    </xf>
    <xf numFmtId="1" fontId="2" fillId="0" borderId="0" xfId="0" applyNumberFormat="1" applyFont="1" applyAlignment="1">
      <alignment horizontal="center" vertical="center" wrapText="1"/>
    </xf>
    <xf numFmtId="164" fontId="2" fillId="0" borderId="0" xfId="2" applyNumberFormat="1" applyFont="1" applyAlignment="1">
      <alignment horizontal="center" vertical="center" wrapText="1"/>
    </xf>
    <xf numFmtId="49" fontId="3" fillId="3" borderId="0" xfId="0" applyNumberFormat="1" applyFont="1" applyFill="1" applyAlignment="1">
      <alignment vertical="center" wrapText="1"/>
    </xf>
    <xf numFmtId="49" fontId="3" fillId="0" borderId="0" xfId="0" applyNumberFormat="1" applyFont="1" applyAlignment="1">
      <alignment horizontal="center" vertical="center" wrapText="1"/>
    </xf>
    <xf numFmtId="49" fontId="3" fillId="3" borderId="0" xfId="0" applyNumberFormat="1" applyFont="1" applyFill="1" applyAlignment="1">
      <alignment horizontal="left" vertical="center" wrapText="1"/>
    </xf>
    <xf numFmtId="49" fontId="3"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wrapText="1"/>
    </xf>
    <xf numFmtId="164" fontId="4" fillId="3" borderId="0" xfId="0" applyNumberFormat="1" applyFont="1" applyFill="1" applyAlignment="1">
      <alignment horizontal="center" vertical="center" wrapText="1"/>
    </xf>
    <xf numFmtId="0" fontId="2" fillId="2" borderId="0" xfId="0" applyFont="1" applyFill="1"/>
    <xf numFmtId="164" fontId="2" fillId="0" borderId="0" xfId="0" applyNumberFormat="1" applyFont="1" applyAlignment="1">
      <alignment horizontal="left"/>
    </xf>
    <xf numFmtId="9" fontId="2" fillId="0" borderId="0" xfId="2" applyFont="1" applyAlignment="1">
      <alignment horizontal="left"/>
    </xf>
    <xf numFmtId="0" fontId="2" fillId="0" borderId="0" xfId="0" applyFont="1" applyAlignment="1">
      <alignment horizontal="center"/>
    </xf>
    <xf numFmtId="1" fontId="2" fillId="0" borderId="0" xfId="0" applyNumberFormat="1" applyFont="1" applyAlignment="1">
      <alignment horizontal="left"/>
    </xf>
    <xf numFmtId="0" fontId="2" fillId="0" borderId="0" xfId="0" applyFont="1" applyAlignment="1">
      <alignment horizontal="left"/>
    </xf>
    <xf numFmtId="164" fontId="2" fillId="0" borderId="0" xfId="2" applyNumberFormat="1" applyFont="1" applyAlignment="1">
      <alignment horizontal="left"/>
    </xf>
    <xf numFmtId="49" fontId="0" fillId="0" borderId="0" xfId="0" applyNumberFormat="1"/>
    <xf numFmtId="0" fontId="5" fillId="0" borderId="0" xfId="0" applyFont="1" applyAlignment="1">
      <alignment horizontal="left" vertical="top" wrapText="1"/>
    </xf>
    <xf numFmtId="0" fontId="0" fillId="0" borderId="0" xfId="0" applyAlignment="1">
      <alignment horizontal="left"/>
    </xf>
    <xf numFmtId="0" fontId="6" fillId="0" borderId="0" xfId="0" applyFont="1" applyAlignment="1">
      <alignment horizontal="center" vertical="top" wrapText="1"/>
    </xf>
    <xf numFmtId="4" fontId="0" fillId="0" borderId="0" xfId="0" applyNumberFormat="1"/>
    <xf numFmtId="9" fontId="2" fillId="4" borderId="0" xfId="2" applyFont="1" applyFill="1" applyAlignment="1">
      <alignment horizontal="left"/>
    </xf>
    <xf numFmtId="0" fontId="5" fillId="2" borderId="0" xfId="0" applyFont="1" applyFill="1" applyAlignment="1">
      <alignment horizontal="left" vertical="top" wrapText="1"/>
    </xf>
    <xf numFmtId="0" fontId="6" fillId="2" borderId="0" xfId="0" applyFont="1" applyFill="1" applyAlignment="1">
      <alignment horizontal="center" vertical="top" wrapText="1"/>
    </xf>
    <xf numFmtId="0" fontId="2" fillId="2" borderId="0" xfId="0" applyFont="1" applyFill="1" applyAlignment="1">
      <alignment horizontal="center"/>
    </xf>
    <xf numFmtId="0" fontId="0" fillId="2" borderId="0" xfId="0" applyFill="1"/>
    <xf numFmtId="0" fontId="2" fillId="2" borderId="0" xfId="0" applyFont="1" applyFill="1" applyAlignment="1">
      <alignment horizontal="left"/>
    </xf>
    <xf numFmtId="165" fontId="2" fillId="4" borderId="0" xfId="2" applyNumberFormat="1" applyFont="1" applyFill="1" applyAlignment="1">
      <alignment horizontal="left"/>
    </xf>
    <xf numFmtId="49" fontId="0" fillId="5" borderId="0" xfId="0" applyNumberFormat="1" applyFill="1"/>
    <xf numFmtId="165" fontId="2" fillId="2" borderId="0" xfId="2" applyNumberFormat="1" applyFont="1" applyFill="1" applyAlignment="1">
      <alignment horizontal="left"/>
    </xf>
    <xf numFmtId="0" fontId="0" fillId="6" borderId="0" xfId="0" applyFill="1"/>
    <xf numFmtId="49" fontId="0" fillId="2" borderId="0" xfId="0" applyNumberFormat="1" applyFill="1"/>
    <xf numFmtId="0" fontId="5" fillId="7" borderId="0" xfId="0" applyFont="1" applyFill="1" applyAlignment="1">
      <alignment horizontal="left" vertical="top" wrapText="1"/>
    </xf>
    <xf numFmtId="0" fontId="6" fillId="7" borderId="0" xfId="0" applyFont="1" applyFill="1" applyAlignment="1">
      <alignment horizontal="center" vertical="top" wrapText="1"/>
    </xf>
    <xf numFmtId="0" fontId="2" fillId="7" borderId="0" xfId="0" applyFont="1" applyFill="1" applyAlignment="1">
      <alignment horizontal="center"/>
    </xf>
    <xf numFmtId="0" fontId="0" fillId="7" borderId="0" xfId="0" applyFill="1"/>
    <xf numFmtId="0" fontId="2" fillId="7" borderId="0" xfId="0" applyFont="1" applyFill="1" applyAlignment="1">
      <alignment horizontal="left"/>
    </xf>
    <xf numFmtId="0" fontId="2" fillId="7" borderId="0" xfId="0" applyFont="1" applyFill="1"/>
    <xf numFmtId="165" fontId="2" fillId="7" borderId="0" xfId="2" applyNumberFormat="1" applyFont="1" applyFill="1" applyAlignment="1">
      <alignment horizontal="left"/>
    </xf>
    <xf numFmtId="4" fontId="0" fillId="2" borderId="0" xfId="0" applyNumberFormat="1" applyFill="1"/>
    <xf numFmtId="0" fontId="8" fillId="0" borderId="0" xfId="0" applyFont="1"/>
    <xf numFmtId="0" fontId="9" fillId="0" borderId="0" xfId="0" applyFont="1" applyAlignment="1">
      <alignment vertical="center"/>
    </xf>
    <xf numFmtId="0" fontId="2" fillId="0" borderId="0" xfId="0" applyFont="1"/>
    <xf numFmtId="0" fontId="10" fillId="0" borderId="0" xfId="0" applyFont="1" applyAlignment="1">
      <alignment horizontal="center"/>
    </xf>
    <xf numFmtId="164" fontId="0" fillId="0" borderId="0" xfId="0" applyNumberFormat="1" applyAlignment="1">
      <alignment horizontal="center"/>
    </xf>
    <xf numFmtId="0" fontId="5" fillId="0" borderId="0" xfId="0" applyFont="1"/>
    <xf numFmtId="9" fontId="2" fillId="7" borderId="0" xfId="2" applyFont="1" applyFill="1" applyAlignment="1">
      <alignment horizontal="left"/>
    </xf>
    <xf numFmtId="0" fontId="0" fillId="8" borderId="0" xfId="0" applyFill="1"/>
    <xf numFmtId="49" fontId="0" fillId="8" borderId="0" xfId="0" applyNumberFormat="1" applyFill="1"/>
    <xf numFmtId="49" fontId="0" fillId="9" borderId="0" xfId="0" applyNumberFormat="1" applyFill="1"/>
    <xf numFmtId="0" fontId="0" fillId="10" borderId="0" xfId="0" applyFill="1"/>
    <xf numFmtId="49" fontId="0" fillId="10" borderId="0" xfId="0" applyNumberFormat="1" applyFill="1"/>
    <xf numFmtId="0" fontId="0" fillId="11" borderId="0" xfId="0" applyFill="1"/>
    <xf numFmtId="9" fontId="2" fillId="2" borderId="0" xfId="2" applyFont="1" applyFill="1" applyAlignment="1">
      <alignment horizontal="left"/>
    </xf>
    <xf numFmtId="0" fontId="0" fillId="6" borderId="0" xfId="0" quotePrefix="1" applyFill="1" applyAlignment="1">
      <alignment horizontal="left"/>
    </xf>
    <xf numFmtId="49" fontId="0" fillId="0" borderId="1" xfId="0" applyNumberFormat="1" applyBorder="1"/>
    <xf numFmtId="0" fontId="0" fillId="6" borderId="1" xfId="0" quotePrefix="1" applyFill="1" applyBorder="1" applyAlignment="1">
      <alignment horizontal="left"/>
    </xf>
    <xf numFmtId="0" fontId="0" fillId="6" borderId="1" xfId="0" applyFill="1" applyBorder="1"/>
    <xf numFmtId="2" fontId="0" fillId="2" borderId="0" xfId="0" applyNumberFormat="1" applyFill="1"/>
    <xf numFmtId="2" fontId="0" fillId="7" borderId="0" xfId="0" applyNumberFormat="1" applyFill="1"/>
    <xf numFmtId="0" fontId="0" fillId="0" borderId="1" xfId="0" applyBorder="1"/>
    <xf numFmtId="43" fontId="0" fillId="7" borderId="0" xfId="1" applyFont="1" applyFill="1" applyAlignment="1">
      <alignment horizontal="left"/>
    </xf>
    <xf numFmtId="2" fontId="0" fillId="6" borderId="0" xfId="0" applyNumberFormat="1" applyFill="1"/>
    <xf numFmtId="49" fontId="0" fillId="10" borderId="1" xfId="0" applyNumberFormat="1" applyFill="1" applyBorder="1"/>
    <xf numFmtId="0" fontId="0" fillId="10" borderId="1" xfId="0" applyFill="1" applyBorder="1"/>
    <xf numFmtId="0" fontId="8" fillId="0" borderId="1" xfId="0" applyFont="1" applyBorder="1"/>
    <xf numFmtId="0" fontId="0" fillId="0" borderId="0" xfId="0" applyAlignment="1">
      <alignment horizontal="center"/>
    </xf>
    <xf numFmtId="164" fontId="0" fillId="0" borderId="0" xfId="0" applyNumberFormat="1"/>
    <xf numFmtId="0" fontId="11" fillId="0" borderId="0" xfId="0" applyFont="1" applyAlignment="1">
      <alignment wrapText="1"/>
    </xf>
    <xf numFmtId="0" fontId="11" fillId="0" borderId="0" xfId="0" applyFont="1" applyAlignment="1">
      <alignment horizontal="center" wrapText="1"/>
    </xf>
    <xf numFmtId="0" fontId="11" fillId="0" borderId="0" xfId="0" applyFont="1" applyAlignment="1">
      <alignment horizontal="left" wrapText="1"/>
    </xf>
    <xf numFmtId="0" fontId="12" fillId="0" borderId="0" xfId="0" applyFont="1" applyAlignment="1">
      <alignment horizontal="left" wrapText="1"/>
    </xf>
    <xf numFmtId="0" fontId="13" fillId="0" borderId="0" xfId="0" applyFont="1"/>
    <xf numFmtId="0" fontId="13" fillId="0" borderId="0" xfId="0" applyFont="1" applyAlignment="1">
      <alignment horizontal="center"/>
    </xf>
    <xf numFmtId="49" fontId="12" fillId="0" borderId="0" xfId="0" applyNumberFormat="1" applyFont="1" applyAlignment="1">
      <alignment horizontal="left" wrapText="1"/>
    </xf>
    <xf numFmtId="0" fontId="12" fillId="0" borderId="0" xfId="0" applyFont="1" applyAlignment="1">
      <alignment horizontal="left"/>
    </xf>
    <xf numFmtId="49" fontId="0" fillId="0" borderId="0" xfId="0" applyNumberFormat="1" applyAlignment="1">
      <alignment horizontal="center"/>
    </xf>
    <xf numFmtId="0" fontId="12" fillId="0" borderId="0" xfId="0" applyFont="1" applyAlignment="1">
      <alignment horizontal="center"/>
    </xf>
    <xf numFmtId="0" fontId="14" fillId="0" borderId="0" xfId="0" applyFont="1" applyAlignment="1">
      <alignment vertical="center"/>
    </xf>
    <xf numFmtId="0" fontId="14" fillId="0" borderId="0" xfId="0" applyFont="1" applyAlignment="1">
      <alignment horizontal="center"/>
    </xf>
    <xf numFmtId="0" fontId="14" fillId="0" borderId="0" xfId="0" applyFont="1" applyAlignment="1">
      <alignment horizontal="center" vertical="center"/>
    </xf>
    <xf numFmtId="0" fontId="15" fillId="0" borderId="0" xfId="0" applyFont="1" applyAlignment="1">
      <alignment horizontal="center"/>
    </xf>
    <xf numFmtId="2" fontId="0" fillId="0" borderId="0" xfId="0" applyNumberFormat="1"/>
    <xf numFmtId="164" fontId="2" fillId="0" borderId="0" xfId="0" applyNumberFormat="1" applyFont="1"/>
    <xf numFmtId="164" fontId="2" fillId="0" borderId="0" xfId="0" applyNumberFormat="1" applyFont="1" applyAlignment="1">
      <alignment horizontal="center"/>
    </xf>
    <xf numFmtId="0" fontId="9" fillId="12" borderId="0" xfId="0" applyFont="1" applyFill="1" applyAlignment="1">
      <alignment vertical="center"/>
    </xf>
    <xf numFmtId="0" fontId="2" fillId="12" borderId="0" xfId="0" applyFont="1" applyFill="1"/>
    <xf numFmtId="0" fontId="2" fillId="12" borderId="0" xfId="0" applyFont="1" applyFill="1" applyAlignment="1">
      <alignment horizontal="center"/>
    </xf>
    <xf numFmtId="0" fontId="2" fillId="12" borderId="0" xfId="0" applyFont="1" applyFill="1" applyAlignment="1">
      <alignment horizontal="left"/>
    </xf>
    <xf numFmtId="0" fontId="10" fillId="12" borderId="0" xfId="0" applyFont="1" applyFill="1" applyAlignment="1">
      <alignment horizontal="center"/>
    </xf>
    <xf numFmtId="164" fontId="0" fillId="12" borderId="0" xfId="0" applyNumberFormat="1" applyFill="1" applyAlignment="1">
      <alignment horizontal="center"/>
    </xf>
    <xf numFmtId="164" fontId="2" fillId="12" borderId="0" xfId="0" applyNumberFormat="1" applyFont="1" applyFill="1" applyAlignment="1">
      <alignment horizontal="left"/>
    </xf>
    <xf numFmtId="9" fontId="2" fillId="12" borderId="0" xfId="2" applyFont="1" applyFill="1" applyAlignment="1">
      <alignment horizontal="left"/>
    </xf>
    <xf numFmtId="0" fontId="2" fillId="12" borderId="0" xfId="0" quotePrefix="1" applyFont="1" applyFill="1" applyAlignment="1">
      <alignment horizontal="center"/>
    </xf>
    <xf numFmtId="49" fontId="0" fillId="12" borderId="0" xfId="0" applyNumberFormat="1" applyFill="1"/>
    <xf numFmtId="0" fontId="0" fillId="12" borderId="0" xfId="0" applyFill="1" applyAlignment="1">
      <alignment horizontal="center"/>
    </xf>
    <xf numFmtId="0" fontId="19" fillId="0" borderId="0" xfId="0" applyFont="1"/>
    <xf numFmtId="0" fontId="0" fillId="0" borderId="0" xfId="0" applyProtection="1">
      <protection locked="0"/>
    </xf>
  </cellXfs>
  <cellStyles count="3">
    <cellStyle name="Comma" xfId="1" builtinId="3"/>
    <cellStyle name="Normal" xfId="0" builtinId="0"/>
    <cellStyle name="Percent" xfId="2" builtinId="5"/>
  </cellStyles>
  <dxfs count="30">
    <dxf>
      <fill>
        <patternFill>
          <bgColor rgb="FFFFFF00"/>
        </patternFill>
      </fill>
    </dxf>
    <dxf>
      <fill>
        <patternFill>
          <bgColor rgb="FFFFFF00"/>
        </patternFill>
      </fill>
    </dxf>
    <dxf>
      <fill>
        <patternFill>
          <bgColor rgb="FFFFFF00"/>
        </patternFill>
      </fill>
    </dxf>
    <dxf>
      <fill>
        <patternFill>
          <bgColor rgb="FF00206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pgindustriesinceu-my.sharepoint.com/personal/richardson_ppg_com/Documents/NPCs/Bell%20Group/Bell%20pricing%20work/NPCs/Bell%20Group/Bell%20pricing%20work/PPG%20March%201%202023%20-%20updated%20price%20fil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286761\OneDrive%20-%20PPG%20Industries,%20Inc\NPCs\Bell%20Group\PPG%20March%201%202023%20-%20updated%20price%20fil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pgindustriesinceu-my.sharepoint.com/personal/richardson_ppg_com/Documents/NPCs/Bell%20Group/Bell%20pricing%20work/NPCs/Bell%20Group/Bell%20pricing%20work/Bell%20Group%20-%20Pricing%20proposal%20-%20To%20Shar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pgindustriesinceu-my.sharepoint.com/personal/richardson_ppg_com/Documents/NPCs/Bell%20Group/Bell%20Group%202023%20product%20purchases%20FY%20sales,%20units,%20volume%20DATA%20FOR%20ERP%20TEMPLATE%20VLOO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tions"/>
      <sheetName val="Sheet1"/>
      <sheetName val="Uploads "/>
      <sheetName val="PPG Approved Price List"/>
      <sheetName val="16.01.23"/>
      <sheetName val="Spend breakdown 2022"/>
    </sheetNames>
    <sheetDataSet>
      <sheetData sheetId="0"/>
      <sheetData sheetId="1"/>
      <sheetData sheetId="2"/>
      <sheetData sheetId="3"/>
      <sheetData sheetId="4"/>
      <sheetData sheetId="5">
        <row r="1">
          <cell r="B1" t="str">
            <v>Material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tions"/>
      <sheetName val="Sheet1"/>
      <sheetName val="Uploads "/>
      <sheetName val="PPG Approved Price List"/>
      <sheetName val="16.01.23"/>
      <sheetName val="Spend breakdown 2022"/>
    </sheetNames>
    <sheetDataSet>
      <sheetData sheetId="0"/>
      <sheetData sheetId="1"/>
      <sheetData sheetId="2"/>
      <sheetData sheetId="3"/>
      <sheetData sheetId="4"/>
      <sheetData sheetId="5">
        <row r="1">
          <cell r="B1" t="str">
            <v>Material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info"/>
      <sheetName val="Sheet2"/>
      <sheetName val="Uploads "/>
    </sheetNames>
    <sheetDataSet>
      <sheetData sheetId="0">
        <row r="1">
          <cell r="A1" t="str">
            <v>SAP code</v>
          </cell>
          <cell r="B1" t="str">
            <v>Product description</v>
          </cell>
          <cell r="C1" t="str">
            <v>Product type</v>
          </cell>
          <cell r="D1" t="str">
            <v>Bell Current Price 2023 (£)</v>
          </cell>
          <cell r="E1" t="str">
            <v>2022 Value (£)</v>
          </cell>
          <cell r="F1" t="str">
            <v>2022 units</v>
          </cell>
          <cell r="G1" t="str">
            <v>2022 volume (ltrs)</v>
          </cell>
          <cell r="H1" t="str">
            <v>Proposed 2023 price</v>
          </cell>
        </row>
        <row r="2">
          <cell r="A2" t="str">
            <v>00305042</v>
          </cell>
          <cell r="B2" t="str">
            <v>FD JS ACRY E/SHELL MIXED COL  0000001500</v>
          </cell>
          <cell r="C2" t="str">
            <v>Acrylic Eggshell</v>
          </cell>
          <cell r="D2">
            <v>19.260000000000002</v>
          </cell>
          <cell r="E2">
            <v>119083.14</v>
          </cell>
          <cell r="F2">
            <v>6817</v>
          </cell>
          <cell r="G2">
            <v>34085</v>
          </cell>
          <cell r="H2">
            <v>19.260000000000002</v>
          </cell>
        </row>
        <row r="3">
          <cell r="A3" t="str">
            <v>00305051</v>
          </cell>
          <cell r="B3" t="str">
            <v>FD JS S/SLD PLIOLI MIXED COL  0000001500</v>
          </cell>
          <cell r="C3" t="str">
            <v>Pliolite</v>
          </cell>
          <cell r="D3">
            <v>23.07</v>
          </cell>
          <cell r="E3">
            <v>95160.18</v>
          </cell>
          <cell r="F3">
            <v>4551</v>
          </cell>
          <cell r="G3">
            <v>22755</v>
          </cell>
          <cell r="H3">
            <v>23.07</v>
          </cell>
        </row>
        <row r="4">
          <cell r="A4" t="str">
            <v>00301460</v>
          </cell>
          <cell r="B4" t="str">
            <v>JST   COVAPLUS     BRIL WHITE 0000002100</v>
          </cell>
          <cell r="C4" t="str">
            <v>Vinyl matt</v>
          </cell>
          <cell r="D4">
            <v>16.62</v>
          </cell>
          <cell r="E4">
            <v>55317.54</v>
          </cell>
          <cell r="F4">
            <v>3578</v>
          </cell>
          <cell r="G4">
            <v>35780</v>
          </cell>
          <cell r="H4">
            <v>16.62</v>
          </cell>
        </row>
        <row r="5">
          <cell r="A5" t="str">
            <v>00649637</v>
          </cell>
          <cell r="B5" t="str">
            <v>EWI   EPS 70E      100MM</v>
          </cell>
          <cell r="C5" t="str">
            <v>EWI</v>
          </cell>
          <cell r="D5">
            <v>8.0299999999999994</v>
          </cell>
          <cell r="E5">
            <v>49476.04</v>
          </cell>
          <cell r="F5">
            <v>6746</v>
          </cell>
          <cell r="G5">
            <v>6746</v>
          </cell>
          <cell r="H5">
            <v>8.0299999999999994</v>
          </cell>
        </row>
        <row r="6">
          <cell r="A6" t="str">
            <v>00307051</v>
          </cell>
          <cell r="B6" t="str">
            <v>FD JS F/RET AC/EGG MIXED COL  0000001500</v>
          </cell>
          <cell r="C6" t="str">
            <v>Flame</v>
          </cell>
          <cell r="D6">
            <v>40.590000000000003</v>
          </cell>
          <cell r="E6">
            <v>44779.8</v>
          </cell>
          <cell r="F6">
            <v>1224</v>
          </cell>
          <cell r="G6">
            <v>6120</v>
          </cell>
          <cell r="H6">
            <v>40.590000000000003</v>
          </cell>
        </row>
        <row r="7">
          <cell r="A7" t="str">
            <v>00301857</v>
          </cell>
          <cell r="B7" t="str">
            <v>JST   OPQ WF SATIN RUSSET     0000001500</v>
          </cell>
          <cell r="C7" t="str">
            <v>Opaque Solvent</v>
          </cell>
          <cell r="D7">
            <v>21.15</v>
          </cell>
          <cell r="E7">
            <v>41414.97</v>
          </cell>
          <cell r="F7">
            <v>2200</v>
          </cell>
          <cell r="G7">
            <v>11000</v>
          </cell>
          <cell r="H7">
            <v>21.15</v>
          </cell>
        </row>
        <row r="8">
          <cell r="A8" t="str">
            <v>00305070</v>
          </cell>
          <cell r="B8" t="str">
            <v>FD JS S/GLOSS T/CT MIXED COL  0000001500</v>
          </cell>
          <cell r="C8" t="str">
            <v>Steel and Cladding</v>
          </cell>
          <cell r="D8">
            <v>58.58</v>
          </cell>
          <cell r="E8">
            <v>39306.43</v>
          </cell>
          <cell r="F8">
            <v>730</v>
          </cell>
          <cell r="G8">
            <v>3650</v>
          </cell>
          <cell r="H8">
            <v>52</v>
          </cell>
        </row>
        <row r="9">
          <cell r="A9" t="str">
            <v>00421701</v>
          </cell>
          <cell r="B9" t="str">
            <v>JST  STAINAWAY WHITE         7000001500</v>
          </cell>
          <cell r="C9" t="str">
            <v>Stainaway</v>
          </cell>
          <cell r="D9">
            <v>36.9</v>
          </cell>
          <cell r="E9">
            <v>37667.71</v>
          </cell>
          <cell r="F9">
            <v>1171</v>
          </cell>
          <cell r="G9">
            <v>5855</v>
          </cell>
          <cell r="H9">
            <v>34.353900000000003</v>
          </cell>
        </row>
        <row r="10">
          <cell r="A10" t="str">
            <v>00303395</v>
          </cell>
          <cell r="B10" t="str">
            <v>JST   Q/DRY OPAQUE RUSSET     0000001500</v>
          </cell>
          <cell r="C10" t="str">
            <v>WB Opaque</v>
          </cell>
          <cell r="D10">
            <v>25.08</v>
          </cell>
          <cell r="E10">
            <v>33146.01</v>
          </cell>
          <cell r="F10">
            <v>1425</v>
          </cell>
          <cell r="G10">
            <v>7125</v>
          </cell>
          <cell r="H10">
            <v>23.34948</v>
          </cell>
        </row>
        <row r="11">
          <cell r="A11" t="str">
            <v>00305040</v>
          </cell>
          <cell r="B11" t="str">
            <v>FD JS AC/DURA MATT MIXED COL  0000001500</v>
          </cell>
          <cell r="C11" t="str">
            <v>Acrylic Matt</v>
          </cell>
          <cell r="D11">
            <v>22.47</v>
          </cell>
          <cell r="E11">
            <v>31532.54</v>
          </cell>
          <cell r="F11">
            <v>1545</v>
          </cell>
          <cell r="G11">
            <v>7725</v>
          </cell>
          <cell r="H11">
            <v>18.3</v>
          </cell>
        </row>
        <row r="12">
          <cell r="A12" t="str">
            <v>00301546</v>
          </cell>
          <cell r="B12" t="str">
            <v>JST   ACRY E/SHELL BRIL WHITE 0000001500</v>
          </cell>
          <cell r="C12" t="str">
            <v>Acrylic Eggshell</v>
          </cell>
          <cell r="D12">
            <v>18.66</v>
          </cell>
          <cell r="E12">
            <v>30227.11</v>
          </cell>
          <cell r="F12">
            <v>1781</v>
          </cell>
          <cell r="G12">
            <v>8905</v>
          </cell>
          <cell r="H12">
            <v>17.37246</v>
          </cell>
        </row>
        <row r="13">
          <cell r="A13" t="str">
            <v>00307047</v>
          </cell>
          <cell r="B13" t="str">
            <v>JST   F/RET D/MATT BRIL WHITE 0000001500</v>
          </cell>
          <cell r="C13" t="str">
            <v>Flame</v>
          </cell>
          <cell r="D13">
            <v>40.590000000000003</v>
          </cell>
          <cell r="E13">
            <v>28765.919999999998</v>
          </cell>
          <cell r="F13">
            <v>787</v>
          </cell>
          <cell r="G13">
            <v>3935</v>
          </cell>
          <cell r="H13">
            <v>40.590000000000003</v>
          </cell>
        </row>
        <row r="14">
          <cell r="A14" t="str">
            <v>00423218</v>
          </cell>
          <cell r="B14" t="str">
            <v>FD JS S/SLD SMOOTH MIXED COL  0000001500</v>
          </cell>
          <cell r="C14" t="str">
            <v>Smooth masonry</v>
          </cell>
          <cell r="D14">
            <v>17.84</v>
          </cell>
          <cell r="E14">
            <v>26661.94</v>
          </cell>
          <cell r="F14">
            <v>1671</v>
          </cell>
          <cell r="G14">
            <v>8355</v>
          </cell>
          <cell r="H14">
            <v>16.61</v>
          </cell>
        </row>
        <row r="15">
          <cell r="A15" t="str">
            <v>00305034</v>
          </cell>
          <cell r="B15" t="str">
            <v>FD JS COVAPLUS     MIXED COL  0000001500</v>
          </cell>
          <cell r="C15" t="str">
            <v>Vinyl matt</v>
          </cell>
          <cell r="D15">
            <v>11.77</v>
          </cell>
          <cell r="E15">
            <v>25252.86</v>
          </cell>
          <cell r="F15">
            <v>2374</v>
          </cell>
          <cell r="G15">
            <v>11870</v>
          </cell>
          <cell r="H15">
            <v>10.95787</v>
          </cell>
        </row>
        <row r="16">
          <cell r="A16" t="str">
            <v>00423493</v>
          </cell>
          <cell r="B16" t="str">
            <v>JST   AQUA WB GLS  BRIL WHITE 0000001500</v>
          </cell>
          <cell r="C16" t="str">
            <v>Aqua Gloss</v>
          </cell>
          <cell r="D16">
            <v>23.05</v>
          </cell>
          <cell r="E16">
            <v>22742.7</v>
          </cell>
          <cell r="F16">
            <v>1098</v>
          </cell>
          <cell r="G16">
            <v>5490</v>
          </cell>
          <cell r="H16">
            <v>23.05</v>
          </cell>
        </row>
        <row r="17">
          <cell r="A17" t="str">
            <v>00375147</v>
          </cell>
          <cell r="B17" t="str">
            <v>JST  SMOOTH METAL BLACK          1500</v>
          </cell>
          <cell r="C17" t="str">
            <v>Smooth Metal</v>
          </cell>
          <cell r="D17">
            <v>47.88</v>
          </cell>
          <cell r="E17">
            <v>22624.97</v>
          </cell>
          <cell r="F17">
            <v>523</v>
          </cell>
          <cell r="G17">
            <v>2615</v>
          </cell>
          <cell r="H17">
            <v>44.576280000000004</v>
          </cell>
        </row>
        <row r="18">
          <cell r="A18" t="str">
            <v>00301452</v>
          </cell>
          <cell r="B18" t="str">
            <v>JST   COVAPLUS     MAGNOLIA   0000002100</v>
          </cell>
          <cell r="C18" t="str">
            <v>Vinyl matt</v>
          </cell>
          <cell r="D18">
            <v>18.670000000000002</v>
          </cell>
          <cell r="E18">
            <v>22543.69</v>
          </cell>
          <cell r="F18">
            <v>1295</v>
          </cell>
          <cell r="G18">
            <v>12950</v>
          </cell>
          <cell r="H18">
            <v>16.62</v>
          </cell>
        </row>
        <row r="19">
          <cell r="A19" t="str">
            <v>00306471</v>
          </cell>
          <cell r="B19" t="str">
            <v>FD JS AC DURA MATT MIXED COL  0000002100</v>
          </cell>
          <cell r="C19" t="str">
            <v>Acrylic Matt</v>
          </cell>
          <cell r="D19">
            <v>40.83</v>
          </cell>
          <cell r="E19">
            <v>22054.02</v>
          </cell>
          <cell r="F19">
            <v>595</v>
          </cell>
          <cell r="G19">
            <v>5950</v>
          </cell>
          <cell r="H19">
            <v>34.770000000000003</v>
          </cell>
        </row>
        <row r="20">
          <cell r="A20" t="str">
            <v>00423219</v>
          </cell>
          <cell r="B20" t="str">
            <v>FD JS S/SLD SMOOTH MIXED COL  0000002100</v>
          </cell>
          <cell r="C20" t="str">
            <v>Smooth masonry</v>
          </cell>
          <cell r="D20">
            <v>29.75</v>
          </cell>
          <cell r="E20">
            <v>21823.06</v>
          </cell>
          <cell r="F20">
            <v>806</v>
          </cell>
          <cell r="G20">
            <v>8060</v>
          </cell>
          <cell r="H20">
            <v>29.75</v>
          </cell>
        </row>
        <row r="21">
          <cell r="A21" t="str">
            <v>00389448</v>
          </cell>
          <cell r="B21" t="str">
            <v>FD JS STAINAWAY    MIXED      0000001500</v>
          </cell>
          <cell r="C21" t="str">
            <v>Stainaway</v>
          </cell>
          <cell r="D21">
            <v>60.61</v>
          </cell>
          <cell r="E21">
            <v>21535.77</v>
          </cell>
          <cell r="F21">
            <v>412</v>
          </cell>
          <cell r="G21">
            <v>2060</v>
          </cell>
          <cell r="H21">
            <v>42.76</v>
          </cell>
        </row>
        <row r="22">
          <cell r="A22" t="str">
            <v>00852809</v>
          </cell>
          <cell r="B22" t="str">
            <v>PGOLD 12X9 TWILL   DUST SHEET TRIPLE</v>
          </cell>
          <cell r="C22" t="str">
            <v>Dustsheet</v>
          </cell>
          <cell r="D22">
            <v>23.74</v>
          </cell>
          <cell r="E22">
            <v>21261.89</v>
          </cell>
          <cell r="F22">
            <v>1006</v>
          </cell>
          <cell r="G22">
            <v>1006</v>
          </cell>
          <cell r="H22">
            <v>22.101939999999999</v>
          </cell>
        </row>
        <row r="23">
          <cell r="A23" t="str">
            <v>00423212</v>
          </cell>
          <cell r="B23" t="str">
            <v>JST   S/SLD SMOOTH BRIL WHITE 0000002100</v>
          </cell>
          <cell r="C23" t="str">
            <v>Smooth masonry</v>
          </cell>
          <cell r="D23">
            <v>26</v>
          </cell>
          <cell r="E23">
            <v>21161.15</v>
          </cell>
          <cell r="F23">
            <v>892</v>
          </cell>
          <cell r="G23">
            <v>8920</v>
          </cell>
          <cell r="H23">
            <v>26</v>
          </cell>
        </row>
        <row r="24">
          <cell r="A24" t="str">
            <v>00307046</v>
          </cell>
          <cell r="B24" t="str">
            <v>JST   F/RET AC/EGG MAGNOLIA   0000001500</v>
          </cell>
          <cell r="C24" t="str">
            <v>Flame</v>
          </cell>
          <cell r="D24">
            <v>40.590000000000003</v>
          </cell>
          <cell r="E24">
            <v>20188.3</v>
          </cell>
          <cell r="F24">
            <v>562</v>
          </cell>
          <cell r="G24">
            <v>2810</v>
          </cell>
          <cell r="H24">
            <v>40.590000000000003</v>
          </cell>
        </row>
        <row r="25">
          <cell r="A25" t="str">
            <v>00306896</v>
          </cell>
          <cell r="B25" t="str">
            <v>JST   AQUA WB U/C  BRIL WHITE 0000001500</v>
          </cell>
          <cell r="C25" t="str">
            <v>Aqua Undercoat</v>
          </cell>
          <cell r="D25">
            <v>23.05</v>
          </cell>
          <cell r="E25">
            <v>19697.28</v>
          </cell>
          <cell r="F25">
            <v>952</v>
          </cell>
          <cell r="G25">
            <v>4760</v>
          </cell>
          <cell r="H25">
            <v>23.05</v>
          </cell>
        </row>
        <row r="26">
          <cell r="A26" t="str">
            <v>00423465</v>
          </cell>
          <cell r="B26" t="str">
            <v>JST   PROF GLOSS   BRIL WHITE 0000001500</v>
          </cell>
          <cell r="C26" t="str">
            <v>Solvent Gloss</v>
          </cell>
          <cell r="D26">
            <v>16.899999999999999</v>
          </cell>
          <cell r="E26">
            <v>19028.419999999998</v>
          </cell>
          <cell r="F26">
            <v>1244</v>
          </cell>
          <cell r="G26">
            <v>6220</v>
          </cell>
          <cell r="H26">
            <v>23.659999999999997</v>
          </cell>
        </row>
        <row r="27">
          <cell r="A27" t="str">
            <v>00309019</v>
          </cell>
          <cell r="B27" t="str">
            <v>FD JS SMOOTH METAL MIXED COL  0000001500</v>
          </cell>
          <cell r="C27" t="str">
            <v>Smooth Metal</v>
          </cell>
          <cell r="D27">
            <v>47.88</v>
          </cell>
          <cell r="E27">
            <v>18522.23</v>
          </cell>
          <cell r="F27">
            <v>426</v>
          </cell>
          <cell r="G27">
            <v>2130</v>
          </cell>
          <cell r="H27">
            <v>44.576280000000004</v>
          </cell>
        </row>
        <row r="28">
          <cell r="A28" t="str">
            <v>00423213</v>
          </cell>
          <cell r="B28" t="str">
            <v>JST   S/SLD SMOOTH MAGNOLIA   0000002100</v>
          </cell>
          <cell r="C28" t="str">
            <v>Smooth masonry</v>
          </cell>
          <cell r="D28">
            <v>28.22</v>
          </cell>
          <cell r="E28">
            <v>18198.73</v>
          </cell>
          <cell r="F28">
            <v>717</v>
          </cell>
          <cell r="G28">
            <v>7170</v>
          </cell>
          <cell r="H28">
            <v>26.272819999999999</v>
          </cell>
        </row>
        <row r="29">
          <cell r="A29" t="str">
            <v>00737779</v>
          </cell>
          <cell r="B29" t="str">
            <v>EWI   STRU2G 155MM MAX 120MM INSULATION</v>
          </cell>
          <cell r="C29" t="str">
            <v>EWI</v>
          </cell>
          <cell r="D29">
            <v>45.91</v>
          </cell>
          <cell r="E29">
            <v>16925.18</v>
          </cell>
          <cell r="F29">
            <v>404</v>
          </cell>
          <cell r="G29">
            <v>404</v>
          </cell>
          <cell r="H29">
            <v>45.91</v>
          </cell>
        </row>
        <row r="30">
          <cell r="A30" t="str">
            <v>00737555</v>
          </cell>
          <cell r="B30" t="str">
            <v>EWI   DASH RECEIVER SOFT CREAM 25KG</v>
          </cell>
          <cell r="C30" t="str">
            <v>EWI</v>
          </cell>
          <cell r="D30">
            <v>12.28</v>
          </cell>
          <cell r="E30">
            <v>15811.43</v>
          </cell>
          <cell r="F30">
            <v>1391</v>
          </cell>
          <cell r="G30">
            <v>1391</v>
          </cell>
          <cell r="H30">
            <v>12.28</v>
          </cell>
        </row>
        <row r="31">
          <cell r="A31" t="str">
            <v>00737957</v>
          </cell>
          <cell r="B31" t="str">
            <v>EWI   HIGH PERF RENDER BASECOAT 25KG</v>
          </cell>
          <cell r="C31" t="str">
            <v>EWI</v>
          </cell>
          <cell r="D31">
            <v>14.1</v>
          </cell>
          <cell r="E31">
            <v>15146.6</v>
          </cell>
          <cell r="F31">
            <v>1197</v>
          </cell>
          <cell r="G31">
            <v>1197</v>
          </cell>
          <cell r="H31">
            <v>14.1</v>
          </cell>
        </row>
        <row r="32">
          <cell r="A32" t="str">
            <v>00301542</v>
          </cell>
          <cell r="B32" t="str">
            <v>JST   ACRY E/SHELL MAGNOLIA   0000001500</v>
          </cell>
          <cell r="C32" t="str">
            <v>Acrylic Eggshell</v>
          </cell>
          <cell r="D32">
            <v>18.66</v>
          </cell>
          <cell r="E32">
            <v>14967.11</v>
          </cell>
          <cell r="F32">
            <v>888</v>
          </cell>
          <cell r="G32">
            <v>4440</v>
          </cell>
          <cell r="H32">
            <v>17.37246</v>
          </cell>
        </row>
        <row r="33">
          <cell r="A33" t="str">
            <v>00732199</v>
          </cell>
          <cell r="B33" t="str">
            <v>ARTEX PROMIX LITE  NEW        0000002170</v>
          </cell>
          <cell r="C33" t="str">
            <v>Artex</v>
          </cell>
          <cell r="D33">
            <v>35.770000000000003</v>
          </cell>
          <cell r="E33">
            <v>13184.96</v>
          </cell>
          <cell r="F33">
            <v>470</v>
          </cell>
          <cell r="G33">
            <v>7990</v>
          </cell>
          <cell r="H33">
            <v>28.57</v>
          </cell>
        </row>
        <row r="34">
          <cell r="A34" t="str">
            <v>00306744</v>
          </cell>
          <cell r="B34" t="str">
            <v>FD JS SMOOTH METAL MIXED COL  0000001250</v>
          </cell>
          <cell r="C34" t="str">
            <v>Smooth Metal</v>
          </cell>
          <cell r="D34">
            <v>24.28</v>
          </cell>
          <cell r="E34">
            <v>12248.28</v>
          </cell>
          <cell r="F34">
            <v>567</v>
          </cell>
          <cell r="G34">
            <v>1417.5</v>
          </cell>
          <cell r="H34">
            <v>22.604680000000002</v>
          </cell>
        </row>
        <row r="35">
          <cell r="A35" t="str">
            <v>00264803</v>
          </cell>
          <cell r="B35" t="str">
            <v>LL    VINYL MATT   BRIL WHITE 0000001500</v>
          </cell>
          <cell r="C35" t="str">
            <v>Vinyl matt</v>
          </cell>
          <cell r="D35">
            <v>9.4600000000000009</v>
          </cell>
          <cell r="E35">
            <v>12033.02</v>
          </cell>
          <cell r="F35">
            <v>1442</v>
          </cell>
          <cell r="G35">
            <v>7210</v>
          </cell>
          <cell r="H35">
            <v>8.68</v>
          </cell>
        </row>
        <row r="36">
          <cell r="A36" t="str">
            <v>00305958</v>
          </cell>
          <cell r="B36" t="str">
            <v>FD JS OPAQUE W/FIN MIXED COL  0000001500</v>
          </cell>
          <cell r="C36" t="str">
            <v>Opaque Solvent</v>
          </cell>
          <cell r="D36">
            <v>21.15</v>
          </cell>
          <cell r="E36">
            <v>11963.92</v>
          </cell>
          <cell r="F36">
            <v>624</v>
          </cell>
          <cell r="G36">
            <v>3120</v>
          </cell>
          <cell r="H36">
            <v>21.15</v>
          </cell>
        </row>
        <row r="37">
          <cell r="A37" t="str">
            <v>00731831</v>
          </cell>
          <cell r="B37" t="str">
            <v>ARTEX CORNER TAPE  30M</v>
          </cell>
          <cell r="C37" t="str">
            <v>Artex</v>
          </cell>
          <cell r="D37">
            <v>25.76</v>
          </cell>
          <cell r="E37">
            <v>11549.29</v>
          </cell>
          <cell r="F37">
            <v>554</v>
          </cell>
          <cell r="G37">
            <v>554</v>
          </cell>
          <cell r="H37">
            <v>25.76</v>
          </cell>
        </row>
        <row r="38">
          <cell r="A38" t="str">
            <v>00305833</v>
          </cell>
          <cell r="B38" t="str">
            <v>FD LL PLIOLITE     MIXED COL  0000001500</v>
          </cell>
          <cell r="C38" t="str">
            <v>Pliolite</v>
          </cell>
          <cell r="D38">
            <v>18.010000000000002</v>
          </cell>
          <cell r="E38">
            <v>11449.96</v>
          </cell>
          <cell r="F38">
            <v>731</v>
          </cell>
          <cell r="G38">
            <v>3655</v>
          </cell>
          <cell r="H38">
            <v>21.61</v>
          </cell>
        </row>
        <row r="39">
          <cell r="A39" t="str">
            <v>00611476</v>
          </cell>
          <cell r="B39" t="str">
            <v>PGOLD CONTRACTOR   BRUSH 2"</v>
          </cell>
          <cell r="C39" t="str">
            <v>Brush</v>
          </cell>
          <cell r="D39">
            <v>1.89</v>
          </cell>
          <cell r="E39">
            <v>11210.22</v>
          </cell>
          <cell r="F39">
            <v>6621</v>
          </cell>
          <cell r="G39">
            <v>6621</v>
          </cell>
          <cell r="H39">
            <v>1.75959</v>
          </cell>
        </row>
        <row r="40">
          <cell r="A40" t="str">
            <v>00264818</v>
          </cell>
          <cell r="B40" t="str">
            <v>LL    VINYL MATT   MAGNOLIA   0000001500</v>
          </cell>
          <cell r="C40" t="str">
            <v>Vinyl matt</v>
          </cell>
          <cell r="D40">
            <v>9.4600000000000009</v>
          </cell>
          <cell r="E40">
            <v>10674.78</v>
          </cell>
          <cell r="F40">
            <v>1278</v>
          </cell>
          <cell r="G40">
            <v>6390</v>
          </cell>
          <cell r="H40">
            <v>8.68</v>
          </cell>
        </row>
        <row r="41">
          <cell r="A41" t="str">
            <v>00301665</v>
          </cell>
          <cell r="B41" t="str">
            <v>JST   PROF U/COAT  BRIL WHITE 0000001500</v>
          </cell>
          <cell r="C41" t="str">
            <v>Solvent Undercoat</v>
          </cell>
          <cell r="D41">
            <v>16.899999999999999</v>
          </cell>
          <cell r="E41">
            <v>10373.450000000001</v>
          </cell>
          <cell r="F41">
            <v>679</v>
          </cell>
          <cell r="G41">
            <v>3395</v>
          </cell>
          <cell r="H41">
            <v>19.434999999999995</v>
          </cell>
        </row>
        <row r="42">
          <cell r="A42" t="str">
            <v>00307059</v>
          </cell>
          <cell r="B42" t="str">
            <v>FD JS F/RET D/MATT MIXED COL  0000001500</v>
          </cell>
          <cell r="C42" t="str">
            <v>Flame</v>
          </cell>
          <cell r="D42">
            <v>40.590000000000003</v>
          </cell>
          <cell r="E42">
            <v>10095.44</v>
          </cell>
          <cell r="F42">
            <v>278</v>
          </cell>
          <cell r="G42">
            <v>1390</v>
          </cell>
          <cell r="H42">
            <v>40.590000000000003</v>
          </cell>
        </row>
        <row r="43">
          <cell r="A43" t="str">
            <v>00305956</v>
          </cell>
          <cell r="B43" t="str">
            <v>FD JS Q/DRY OPAQUE MIXED COL  0000001500</v>
          </cell>
          <cell r="C43" t="str">
            <v>WB Opaque</v>
          </cell>
          <cell r="D43">
            <v>25.08</v>
          </cell>
          <cell r="E43">
            <v>9999.83</v>
          </cell>
          <cell r="F43">
            <v>429</v>
          </cell>
          <cell r="G43">
            <v>2145</v>
          </cell>
          <cell r="H43">
            <v>23.35</v>
          </cell>
        </row>
        <row r="44">
          <cell r="A44" t="str">
            <v>00301463</v>
          </cell>
          <cell r="B44" t="str">
            <v>JST   COVAPLUS     BRIL WHITE 0000001500</v>
          </cell>
          <cell r="C44" t="str">
            <v>Vinyl matt</v>
          </cell>
          <cell r="D44">
            <v>10.36</v>
          </cell>
          <cell r="E44">
            <v>9929.91</v>
          </cell>
          <cell r="F44">
            <v>1066</v>
          </cell>
          <cell r="G44">
            <v>5330</v>
          </cell>
          <cell r="H44">
            <v>9.9700000000000006</v>
          </cell>
        </row>
        <row r="45">
          <cell r="A45" t="str">
            <v>00423505</v>
          </cell>
          <cell r="B45" t="str">
            <v>FD JS AQUA WB GLS  MIXED COL  0000001500</v>
          </cell>
          <cell r="C45" t="str">
            <v>Aqua Gloss</v>
          </cell>
          <cell r="D45">
            <v>27.32</v>
          </cell>
          <cell r="E45">
            <v>9479.5300000000007</v>
          </cell>
          <cell r="F45">
            <v>373</v>
          </cell>
          <cell r="G45">
            <v>1865</v>
          </cell>
          <cell r="H45">
            <v>27.32</v>
          </cell>
        </row>
        <row r="46">
          <cell r="A46" t="str">
            <v>00386447</v>
          </cell>
          <cell r="B46" t="str">
            <v>JST   JONMAT       BRIL WHITE 0000002100</v>
          </cell>
          <cell r="C46" t="str">
            <v>Contract matt</v>
          </cell>
          <cell r="D46">
            <v>17.809999999999999</v>
          </cell>
          <cell r="E46">
            <v>9342.82</v>
          </cell>
          <cell r="F46">
            <v>581</v>
          </cell>
          <cell r="G46">
            <v>5810</v>
          </cell>
          <cell r="H46">
            <v>14</v>
          </cell>
        </row>
        <row r="47">
          <cell r="A47" t="str">
            <v>00615013</v>
          </cell>
          <cell r="B47" t="str">
            <v>UB    CONT PRO SYN BRUSH SET  +FREE PROD</v>
          </cell>
          <cell r="C47" t="str">
            <v>Brush</v>
          </cell>
          <cell r="D47">
            <v>8.0399999999999991</v>
          </cell>
          <cell r="E47">
            <v>8846.69</v>
          </cell>
          <cell r="F47">
            <v>1292</v>
          </cell>
          <cell r="G47">
            <v>1292</v>
          </cell>
          <cell r="H47">
            <v>7.4852399999999992</v>
          </cell>
        </row>
        <row r="48">
          <cell r="A48" t="str">
            <v>00305033</v>
          </cell>
          <cell r="B48" t="str">
            <v>FD JS COVAPLUS     MIXED COL  0000002100</v>
          </cell>
          <cell r="C48" t="str">
            <v>Vinyl matt</v>
          </cell>
          <cell r="D48">
            <v>22.61</v>
          </cell>
          <cell r="E48">
            <v>8845.6200000000008</v>
          </cell>
          <cell r="F48">
            <v>433</v>
          </cell>
          <cell r="G48">
            <v>4330</v>
          </cell>
          <cell r="H48">
            <v>20.82</v>
          </cell>
        </row>
        <row r="49">
          <cell r="A49" t="str">
            <v>00306922</v>
          </cell>
          <cell r="B49" t="str">
            <v>FD JS AQUA WB U/C  MIXED COL  0000001500</v>
          </cell>
          <cell r="C49" t="str">
            <v>Aqua Undercoat</v>
          </cell>
          <cell r="D49">
            <v>31.1</v>
          </cell>
          <cell r="E49">
            <v>8465.1200000000008</v>
          </cell>
          <cell r="F49">
            <v>299</v>
          </cell>
          <cell r="G49">
            <v>1495</v>
          </cell>
          <cell r="H49">
            <v>31.1</v>
          </cell>
        </row>
        <row r="50">
          <cell r="A50" t="str">
            <v>00358544</v>
          </cell>
          <cell r="B50" t="str">
            <v>STEELGUARD 751              3000AMEU2200</v>
          </cell>
          <cell r="C50" t="str">
            <v>PMC</v>
          </cell>
          <cell r="D50">
            <v>736.66</v>
          </cell>
          <cell r="E50">
            <v>7770.84</v>
          </cell>
          <cell r="F50">
            <v>21</v>
          </cell>
          <cell r="G50">
            <v>420</v>
          </cell>
          <cell r="H50">
            <v>662.99</v>
          </cell>
        </row>
        <row r="51">
          <cell r="A51" t="str">
            <v>00737420</v>
          </cell>
          <cell r="B51" t="str">
            <v>EWI   RENDER REINFORCING MESH CLOTH</v>
          </cell>
          <cell r="C51" t="str">
            <v>EWI</v>
          </cell>
          <cell r="D51">
            <v>55.15</v>
          </cell>
          <cell r="E51">
            <v>7751.28</v>
          </cell>
          <cell r="F51">
            <v>156</v>
          </cell>
          <cell r="G51">
            <v>156</v>
          </cell>
          <cell r="H51">
            <v>55.15</v>
          </cell>
        </row>
        <row r="52">
          <cell r="A52" t="str">
            <v>00306361</v>
          </cell>
          <cell r="B52" t="str">
            <v>JST   ACRYLIC MATT BRIL WHITE 0000002100</v>
          </cell>
          <cell r="C52" t="str">
            <v>Acrylic Matt</v>
          </cell>
          <cell r="D52">
            <v>34.5</v>
          </cell>
          <cell r="E52">
            <v>7643.83</v>
          </cell>
          <cell r="F52">
            <v>251</v>
          </cell>
          <cell r="G52">
            <v>2510</v>
          </cell>
          <cell r="H52">
            <v>31.35</v>
          </cell>
        </row>
        <row r="53">
          <cell r="A53" t="str">
            <v>00301751</v>
          </cell>
          <cell r="B53" t="str">
            <v>JST   PROF SATIN   BRIL WHITE 0000001250</v>
          </cell>
          <cell r="C53" t="str">
            <v>Solvent Satin</v>
          </cell>
          <cell r="D53">
            <v>16.149999999999999</v>
          </cell>
          <cell r="E53">
            <v>7452.04</v>
          </cell>
          <cell r="F53">
            <v>507</v>
          </cell>
          <cell r="G53">
            <v>1267.5</v>
          </cell>
          <cell r="H53">
            <v>15.035649999999999</v>
          </cell>
        </row>
        <row r="54">
          <cell r="A54" t="str">
            <v>00307668</v>
          </cell>
          <cell r="B54" t="str">
            <v>FD JS QD STEEL&amp;CLD MIXED COL  0000001500</v>
          </cell>
          <cell r="C54" t="str">
            <v>Steel and Cladding</v>
          </cell>
          <cell r="D54">
            <v>53.24</v>
          </cell>
          <cell r="E54">
            <v>7317.45</v>
          </cell>
          <cell r="F54">
            <v>99</v>
          </cell>
          <cell r="G54">
            <v>495</v>
          </cell>
          <cell r="H54">
            <v>49.566440000000007</v>
          </cell>
        </row>
        <row r="55">
          <cell r="A55" t="str">
            <v>00728168</v>
          </cell>
          <cell r="B55" t="str">
            <v>ZINSR BIN PRIMER   WHITE      0000001500</v>
          </cell>
          <cell r="C55" t="str">
            <v>Zinsser</v>
          </cell>
          <cell r="D55">
            <v>64.680000000000007</v>
          </cell>
          <cell r="E55">
            <v>7312.25</v>
          </cell>
          <cell r="F55">
            <v>125</v>
          </cell>
          <cell r="G55">
            <v>625</v>
          </cell>
          <cell r="H55">
            <v>84.084000000000017</v>
          </cell>
        </row>
        <row r="56">
          <cell r="A56" t="str">
            <v>00301863</v>
          </cell>
          <cell r="B56" t="str">
            <v>JST   OPQ WF SATIN EBONY      0000001500</v>
          </cell>
          <cell r="C56" t="str">
            <v>Opaque Solvent</v>
          </cell>
          <cell r="D56">
            <v>21.15</v>
          </cell>
          <cell r="E56">
            <v>7288.08</v>
          </cell>
          <cell r="F56">
            <v>380</v>
          </cell>
          <cell r="G56">
            <v>1900</v>
          </cell>
          <cell r="H56">
            <v>21.15</v>
          </cell>
        </row>
        <row r="57">
          <cell r="A57" t="str">
            <v>00718464</v>
          </cell>
          <cell r="B57" t="str">
            <v>ARTEX EASY-FILL 45 10KG 78820 0000002100</v>
          </cell>
          <cell r="C57" t="str">
            <v>Artex</v>
          </cell>
          <cell r="D57">
            <v>17.21</v>
          </cell>
          <cell r="E57">
            <v>7184.45</v>
          </cell>
          <cell r="F57">
            <v>504</v>
          </cell>
          <cell r="G57">
            <v>5040</v>
          </cell>
          <cell r="H57">
            <v>17.21</v>
          </cell>
        </row>
        <row r="58">
          <cell r="A58" t="str">
            <v>00718417</v>
          </cell>
          <cell r="B58" t="str">
            <v>ARTEX JOINT FILLER 12.5KG     60020 2125</v>
          </cell>
          <cell r="C58" t="str">
            <v>Artex</v>
          </cell>
          <cell r="D58">
            <v>10.93</v>
          </cell>
          <cell r="E58">
            <v>7057.33</v>
          </cell>
          <cell r="F58">
            <v>835</v>
          </cell>
          <cell r="G58">
            <v>10437.5</v>
          </cell>
          <cell r="H58">
            <v>10.79</v>
          </cell>
        </row>
        <row r="59">
          <cell r="A59" t="str">
            <v>00305828</v>
          </cell>
          <cell r="B59" t="str">
            <v>FD LL ACRY E/SHELL MIXED COL  0000001500</v>
          </cell>
          <cell r="C59" t="str">
            <v>Acrylic Eggshell</v>
          </cell>
          <cell r="D59">
            <v>18.66</v>
          </cell>
          <cell r="E59">
            <v>7055.5</v>
          </cell>
          <cell r="F59">
            <v>420</v>
          </cell>
          <cell r="G59">
            <v>2100</v>
          </cell>
          <cell r="H59">
            <v>17.329999999999998</v>
          </cell>
        </row>
        <row r="60">
          <cell r="A60" t="str">
            <v>00301695</v>
          </cell>
          <cell r="B60" t="str">
            <v>JST   S/SLD PLIOLI BRIL WHITE 0000001500</v>
          </cell>
          <cell r="C60" t="str">
            <v>Pliolite</v>
          </cell>
          <cell r="D60">
            <v>21.88</v>
          </cell>
          <cell r="E60">
            <v>6669.24</v>
          </cell>
          <cell r="F60">
            <v>365</v>
          </cell>
          <cell r="G60">
            <v>1825</v>
          </cell>
          <cell r="H60">
            <v>21.88</v>
          </cell>
        </row>
        <row r="61">
          <cell r="A61" t="str">
            <v>00324704</v>
          </cell>
          <cell r="B61" t="str">
            <v>JST   SMOOTH METAL BLACK      0000001250</v>
          </cell>
          <cell r="C61" t="str">
            <v>Smooth Metal</v>
          </cell>
          <cell r="D61">
            <v>24.28</v>
          </cell>
          <cell r="E61">
            <v>6568.9</v>
          </cell>
          <cell r="F61">
            <v>303</v>
          </cell>
          <cell r="G61">
            <v>757.5</v>
          </cell>
          <cell r="H61">
            <v>22.604680000000002</v>
          </cell>
        </row>
        <row r="62">
          <cell r="A62" t="str">
            <v>00733996</v>
          </cell>
          <cell r="B62" t="str">
            <v>OSMO  UV PROTECT   OIL EXTRA  0000001250</v>
          </cell>
          <cell r="C62" t="str">
            <v>OSMO</v>
          </cell>
          <cell r="D62">
            <v>74.540000000000006</v>
          </cell>
          <cell r="E62">
            <v>6053.41</v>
          </cell>
          <cell r="F62">
            <v>97</v>
          </cell>
          <cell r="G62">
            <v>242.5</v>
          </cell>
          <cell r="H62">
            <v>69.396740000000008</v>
          </cell>
        </row>
        <row r="63">
          <cell r="A63" t="str">
            <v>00423476</v>
          </cell>
          <cell r="B63" t="str">
            <v>JST   PROF GLOSS   BLACK      0000001500</v>
          </cell>
          <cell r="C63" t="str">
            <v>Solvent Gloss</v>
          </cell>
          <cell r="D63">
            <v>18.82</v>
          </cell>
          <cell r="E63">
            <v>5908.7</v>
          </cell>
          <cell r="F63">
            <v>353</v>
          </cell>
          <cell r="G63">
            <v>1765</v>
          </cell>
          <cell r="H63">
            <v>24.7</v>
          </cell>
        </row>
        <row r="64">
          <cell r="A64" t="str">
            <v>00729828</v>
          </cell>
          <cell r="B64" t="str">
            <v>EASY  EASYTEX      10-036     BARK</v>
          </cell>
          <cell r="C64" t="str">
            <v>Wallcovering</v>
          </cell>
          <cell r="D64">
            <v>5.18</v>
          </cell>
          <cell r="E64">
            <v>5691.12</v>
          </cell>
          <cell r="F64">
            <v>1340</v>
          </cell>
          <cell r="G64">
            <v>1340</v>
          </cell>
          <cell r="H64">
            <v>4.8225800000000003</v>
          </cell>
        </row>
        <row r="65">
          <cell r="A65" t="str">
            <v>00853079</v>
          </cell>
          <cell r="B65" t="str">
            <v>PGOLD MASKING TAPE 2" 50M</v>
          </cell>
          <cell r="C65" t="str">
            <v>Tape</v>
          </cell>
          <cell r="D65">
            <v>1.43</v>
          </cell>
          <cell r="E65">
            <v>5687.68</v>
          </cell>
          <cell r="F65">
            <v>4374</v>
          </cell>
          <cell r="G65">
            <v>4374</v>
          </cell>
          <cell r="H65">
            <v>1.3313299999999999</v>
          </cell>
        </row>
        <row r="66">
          <cell r="A66" t="str">
            <v>00728147</v>
          </cell>
          <cell r="B66" t="str">
            <v>ZINSR BIN PRIMER   SEAL WHITE 0000001250</v>
          </cell>
          <cell r="C66" t="str">
            <v>Zinsser</v>
          </cell>
          <cell r="D66">
            <v>57.71</v>
          </cell>
          <cell r="E66">
            <v>5451.84</v>
          </cell>
          <cell r="F66">
            <v>95</v>
          </cell>
          <cell r="G66">
            <v>237.5</v>
          </cell>
          <cell r="H66">
            <v>53.728010000000005</v>
          </cell>
        </row>
        <row r="67">
          <cell r="A67" t="str">
            <v>00852812</v>
          </cell>
          <cell r="B67" t="str">
            <v>PGOLD 12X9 D/SHEET PROTECTOR</v>
          </cell>
          <cell r="C67" t="str">
            <v>Dust sheet</v>
          </cell>
          <cell r="D67">
            <v>16.850000000000001</v>
          </cell>
          <cell r="E67">
            <v>5292.77</v>
          </cell>
          <cell r="F67">
            <v>399</v>
          </cell>
          <cell r="G67">
            <v>399</v>
          </cell>
          <cell r="H67">
            <v>15.687350000000002</v>
          </cell>
        </row>
        <row r="68">
          <cell r="A68" t="str">
            <v>00324717</v>
          </cell>
          <cell r="B68" t="str">
            <v>JST   SMOOTH METAL WHITE      0000001250</v>
          </cell>
          <cell r="C68" t="str">
            <v>Smooth Metal</v>
          </cell>
          <cell r="D68">
            <v>24.28</v>
          </cell>
          <cell r="E68">
            <v>5287.36</v>
          </cell>
          <cell r="F68">
            <v>245</v>
          </cell>
          <cell r="G68">
            <v>612.5</v>
          </cell>
          <cell r="H68">
            <v>22.604680000000002</v>
          </cell>
        </row>
        <row r="69">
          <cell r="A69" t="str">
            <v>00305066</v>
          </cell>
          <cell r="B69" t="str">
            <v>FD JS PROF U/COAT  MIXED COL  0000001500</v>
          </cell>
          <cell r="C69" t="str">
            <v>Solvent Undercoat</v>
          </cell>
          <cell r="D69">
            <v>18.350000000000001</v>
          </cell>
          <cell r="E69">
            <v>5097.74</v>
          </cell>
          <cell r="F69">
            <v>309</v>
          </cell>
          <cell r="G69">
            <v>1545</v>
          </cell>
          <cell r="H69">
            <v>25.69</v>
          </cell>
        </row>
        <row r="70">
          <cell r="A70" t="str">
            <v>00301691</v>
          </cell>
          <cell r="B70" t="str">
            <v>JST   S/SLD PLIOLI MAGNOLIA   0000001500</v>
          </cell>
          <cell r="C70" t="str">
            <v>Pliolite</v>
          </cell>
          <cell r="D70">
            <v>21.88</v>
          </cell>
          <cell r="E70">
            <v>4927.33</v>
          </cell>
          <cell r="F70">
            <v>252</v>
          </cell>
          <cell r="G70">
            <v>1260</v>
          </cell>
          <cell r="H70">
            <v>21.88</v>
          </cell>
        </row>
        <row r="71">
          <cell r="A71" t="str">
            <v>00307896</v>
          </cell>
          <cell r="B71" t="str">
            <v>FD JS AQUA WB SAT  MIXED COL  0000001500</v>
          </cell>
          <cell r="C71" t="str">
            <v>Aqua Satin</v>
          </cell>
          <cell r="D71">
            <v>31.1</v>
          </cell>
          <cell r="E71">
            <v>4842.96</v>
          </cell>
          <cell r="F71">
            <v>168</v>
          </cell>
          <cell r="G71">
            <v>840</v>
          </cell>
          <cell r="H71">
            <v>31.1</v>
          </cell>
        </row>
        <row r="72">
          <cell r="A72" t="str">
            <v>00308403</v>
          </cell>
          <cell r="B72" t="str">
            <v>JST   QD METAL WHITE PRIMER   0000001250</v>
          </cell>
          <cell r="C72" t="str">
            <v>Primer</v>
          </cell>
          <cell r="D72">
            <v>34.46</v>
          </cell>
          <cell r="E72">
            <v>4756.76</v>
          </cell>
          <cell r="F72">
            <v>151</v>
          </cell>
          <cell r="G72">
            <v>377.5</v>
          </cell>
          <cell r="H72">
            <v>32.082260000000005</v>
          </cell>
        </row>
        <row r="73">
          <cell r="A73" t="str">
            <v>00308459</v>
          </cell>
          <cell r="B73" t="str">
            <v>FD JS QD POLY FTRD MIXED COL  0000001500</v>
          </cell>
          <cell r="C73" t="str">
            <v>Floor paint</v>
          </cell>
          <cell r="D73">
            <v>78.099999999999994</v>
          </cell>
          <cell r="E73">
            <v>4516.67</v>
          </cell>
          <cell r="F73">
            <v>65</v>
          </cell>
          <cell r="G73">
            <v>325</v>
          </cell>
          <cell r="H73">
            <v>72.711100000000002</v>
          </cell>
        </row>
        <row r="74">
          <cell r="A74" t="str">
            <v>00305830</v>
          </cell>
          <cell r="B74" t="str">
            <v>FD LL T/G SMOOTH   MIXED COL  0000002100</v>
          </cell>
          <cell r="C74" t="str">
            <v>Smooth masonry</v>
          </cell>
          <cell r="D74">
            <v>31.35</v>
          </cell>
          <cell r="E74">
            <v>4497.68</v>
          </cell>
          <cell r="F74">
            <v>156</v>
          </cell>
          <cell r="G74">
            <v>1560</v>
          </cell>
          <cell r="H74">
            <v>24.93</v>
          </cell>
        </row>
        <row r="75">
          <cell r="A75" t="str">
            <v>00305043</v>
          </cell>
          <cell r="B75" t="str">
            <v>FD JS ACRY E/SHELL MIXED COL  0000001250</v>
          </cell>
          <cell r="C75" t="str">
            <v>Acrylic Eggshell</v>
          </cell>
          <cell r="D75">
            <v>11.59</v>
          </cell>
          <cell r="E75">
            <v>4484.21</v>
          </cell>
          <cell r="F75">
            <v>441</v>
          </cell>
          <cell r="G75">
            <v>1102.5</v>
          </cell>
          <cell r="H75">
            <v>11.56</v>
          </cell>
        </row>
        <row r="76">
          <cell r="A76" t="str">
            <v>00302797</v>
          </cell>
          <cell r="B76" t="str">
            <v>JST   2PK ADH PROM PRIM BASE  0000001200</v>
          </cell>
          <cell r="C76" t="str">
            <v>Primer</v>
          </cell>
          <cell r="D76">
            <v>32.83</v>
          </cell>
          <cell r="E76">
            <v>4458.16</v>
          </cell>
          <cell r="F76">
            <v>152</v>
          </cell>
          <cell r="G76">
            <v>304</v>
          </cell>
          <cell r="H76">
            <v>30.564730000000001</v>
          </cell>
        </row>
        <row r="77">
          <cell r="A77" t="str">
            <v>00423202</v>
          </cell>
          <cell r="B77" t="str">
            <v>JST   S/SLD SMOOTH BRIL WHITE 0000001500</v>
          </cell>
          <cell r="C77" t="str">
            <v>Smooth masonry</v>
          </cell>
          <cell r="D77">
            <v>16.940000000000001</v>
          </cell>
          <cell r="E77">
            <v>4404.28</v>
          </cell>
          <cell r="F77">
            <v>294</v>
          </cell>
          <cell r="G77">
            <v>1470</v>
          </cell>
          <cell r="H77">
            <v>15.771140000000003</v>
          </cell>
        </row>
        <row r="78">
          <cell r="A78" t="str">
            <v>00301472</v>
          </cell>
          <cell r="B78" t="str">
            <v>JST   ACRYLIC MATT BRIL WHITE 0000001500</v>
          </cell>
          <cell r="C78" t="str">
            <v>Acrylic Matt</v>
          </cell>
          <cell r="D78">
            <v>21.99</v>
          </cell>
          <cell r="E78">
            <v>4392.46</v>
          </cell>
          <cell r="F78">
            <v>222</v>
          </cell>
          <cell r="G78">
            <v>1110</v>
          </cell>
          <cell r="H78">
            <v>16.5</v>
          </cell>
        </row>
        <row r="79">
          <cell r="A79" t="str">
            <v>00301634</v>
          </cell>
          <cell r="B79" t="str">
            <v>JST   JONCRYL F PR BRIL WHITE 0000001500</v>
          </cell>
          <cell r="C79" t="str">
            <v>Primer</v>
          </cell>
          <cell r="D79">
            <v>17.440000000000001</v>
          </cell>
          <cell r="E79">
            <v>4354.55</v>
          </cell>
          <cell r="F79">
            <v>279</v>
          </cell>
          <cell r="G79">
            <v>1395</v>
          </cell>
          <cell r="H79">
            <v>16.236640000000001</v>
          </cell>
        </row>
        <row r="80">
          <cell r="A80" t="str">
            <v>00421703</v>
          </cell>
          <cell r="B80" t="str">
            <v>JST  STAINAWAY WHITE        7000002100</v>
          </cell>
          <cell r="C80" t="str">
            <v>Stainaway</v>
          </cell>
          <cell r="D80">
            <v>68.77</v>
          </cell>
          <cell r="E80">
            <v>4338.26</v>
          </cell>
          <cell r="F80">
            <v>70</v>
          </cell>
          <cell r="G80">
            <v>700</v>
          </cell>
          <cell r="H80">
            <v>64.024869999999993</v>
          </cell>
        </row>
        <row r="81">
          <cell r="A81" t="str">
            <v>00307667</v>
          </cell>
          <cell r="B81" t="str">
            <v>JST   AQUA WB SAT  BRIL WHITE 0000001500</v>
          </cell>
          <cell r="C81" t="str">
            <v>Aqua Satin</v>
          </cell>
          <cell r="D81">
            <v>23.05</v>
          </cell>
          <cell r="E81">
            <v>4313.08</v>
          </cell>
          <cell r="F81">
            <v>207</v>
          </cell>
          <cell r="G81">
            <v>1035</v>
          </cell>
          <cell r="H81">
            <v>23.05</v>
          </cell>
        </row>
        <row r="82">
          <cell r="A82" t="str">
            <v>00852653</v>
          </cell>
          <cell r="B82" t="str">
            <v>ARTEX JOINT TAPE   150M ROLL</v>
          </cell>
          <cell r="C82" t="str">
            <v>Artex</v>
          </cell>
          <cell r="D82">
            <v>8.7899999999999991</v>
          </cell>
          <cell r="E82">
            <v>4262.3</v>
          </cell>
          <cell r="F82">
            <v>603</v>
          </cell>
          <cell r="G82">
            <v>603</v>
          </cell>
          <cell r="H82">
            <v>7.63</v>
          </cell>
        </row>
        <row r="83">
          <cell r="A83" t="str">
            <v>00306894</v>
          </cell>
          <cell r="B83" t="str">
            <v>JST   AQUA WB U/C  BRIL WHITE 0000001250</v>
          </cell>
          <cell r="C83" t="str">
            <v>Aqua Undercoat</v>
          </cell>
          <cell r="D83">
            <v>13.8</v>
          </cell>
          <cell r="E83">
            <v>4157.3999999999996</v>
          </cell>
          <cell r="F83">
            <v>338</v>
          </cell>
          <cell r="G83">
            <v>845</v>
          </cell>
          <cell r="H83">
            <v>13.8</v>
          </cell>
        </row>
        <row r="84">
          <cell r="A84" t="str">
            <v>00308408</v>
          </cell>
          <cell r="B84" t="str">
            <v>JST   QD ZINC PHOS PRIMER GRY 0000001500</v>
          </cell>
          <cell r="C84" t="str">
            <v>Primer</v>
          </cell>
          <cell r="D84">
            <v>26.37</v>
          </cell>
          <cell r="E84">
            <v>4084.54</v>
          </cell>
          <cell r="F84">
            <v>166</v>
          </cell>
          <cell r="G84">
            <v>830</v>
          </cell>
          <cell r="H84">
            <v>24.550470000000001</v>
          </cell>
        </row>
        <row r="85">
          <cell r="A85" t="str">
            <v>00307048</v>
          </cell>
          <cell r="B85" t="str">
            <v>JST   F/RET D/MATT MAGNOLIA   0000001500</v>
          </cell>
          <cell r="C85" t="str">
            <v>Flame</v>
          </cell>
          <cell r="D85">
            <v>40.590000000000003</v>
          </cell>
          <cell r="E85">
            <v>4076.21</v>
          </cell>
          <cell r="F85">
            <v>143</v>
          </cell>
          <cell r="G85">
            <v>715</v>
          </cell>
          <cell r="H85">
            <v>40.590000000000003</v>
          </cell>
        </row>
        <row r="86">
          <cell r="A86" t="str">
            <v>00423381</v>
          </cell>
          <cell r="B86" t="str">
            <v>FD JS AQ GUARD SAT MIXED      0000001500</v>
          </cell>
          <cell r="C86" t="str">
            <v>Aquaguard</v>
          </cell>
          <cell r="D86">
            <v>75.349999999999994</v>
          </cell>
          <cell r="E86">
            <v>4000.51</v>
          </cell>
          <cell r="F86">
            <v>57</v>
          </cell>
          <cell r="G86">
            <v>285</v>
          </cell>
          <cell r="H86">
            <v>60.28</v>
          </cell>
        </row>
        <row r="87">
          <cell r="A87" t="str">
            <v>00718439</v>
          </cell>
          <cell r="B87" t="str">
            <v>ARTEX THISTLE FT50 60022      PROTAPE (1</v>
          </cell>
          <cell r="C87" t="str">
            <v>Artex</v>
          </cell>
          <cell r="D87">
            <v>4.25</v>
          </cell>
          <cell r="E87">
            <v>3973.24</v>
          </cell>
          <cell r="F87">
            <v>1218</v>
          </cell>
          <cell r="G87">
            <v>1218</v>
          </cell>
          <cell r="H87">
            <v>4.25</v>
          </cell>
        </row>
        <row r="88">
          <cell r="A88" t="str">
            <v>00852919</v>
          </cell>
          <cell r="B88" t="str">
            <v>PGOLD LONG POLY    4" ROLLER</v>
          </cell>
          <cell r="C88" t="str">
            <v>Roller</v>
          </cell>
          <cell r="D88">
            <v>0.35</v>
          </cell>
          <cell r="E88">
            <v>3942.1</v>
          </cell>
          <cell r="F88">
            <v>12494</v>
          </cell>
          <cell r="G88">
            <v>12494</v>
          </cell>
          <cell r="H88">
            <v>0.32584999999999997</v>
          </cell>
        </row>
        <row r="89">
          <cell r="A89" t="str">
            <v>00264604</v>
          </cell>
          <cell r="B89" t="str">
            <v>LL    GLOSS        BRIL WHITE 0000001250</v>
          </cell>
          <cell r="C89" t="str">
            <v>Solvent Gloss</v>
          </cell>
          <cell r="D89">
            <v>10.48</v>
          </cell>
          <cell r="E89">
            <v>3902.18</v>
          </cell>
          <cell r="F89">
            <v>416</v>
          </cell>
          <cell r="G89">
            <v>1040</v>
          </cell>
          <cell r="H89">
            <v>11.36</v>
          </cell>
        </row>
        <row r="90">
          <cell r="A90" t="str">
            <v>00852828</v>
          </cell>
          <cell r="B90" t="str">
            <v>PGOLD 4PC SYNTHETC SASH SET</v>
          </cell>
          <cell r="C90" t="str">
            <v>Brush</v>
          </cell>
          <cell r="D90">
            <v>6.89</v>
          </cell>
          <cell r="E90">
            <v>3849.4</v>
          </cell>
          <cell r="F90">
            <v>601</v>
          </cell>
          <cell r="G90">
            <v>601</v>
          </cell>
          <cell r="H90">
            <v>6.4145900000000005</v>
          </cell>
        </row>
        <row r="91">
          <cell r="A91" t="str">
            <v>00423204</v>
          </cell>
          <cell r="B91" t="str">
            <v>JST   S/SLD SMOOTH BLACK      0000001500</v>
          </cell>
          <cell r="C91" t="str">
            <v>Smooth masonry</v>
          </cell>
          <cell r="D91">
            <v>17.84</v>
          </cell>
          <cell r="E91">
            <v>3840.16</v>
          </cell>
          <cell r="F91">
            <v>236</v>
          </cell>
          <cell r="G91">
            <v>1180</v>
          </cell>
          <cell r="H91">
            <v>16.60904</v>
          </cell>
        </row>
        <row r="92">
          <cell r="A92" t="str">
            <v>00301842</v>
          </cell>
          <cell r="B92" t="str">
            <v>JST   2PK WB FLOOR TILE RED   0000001400</v>
          </cell>
          <cell r="C92" t="str">
            <v>Floor paint</v>
          </cell>
          <cell r="D92">
            <v>127.65</v>
          </cell>
          <cell r="E92">
            <v>3835.52</v>
          </cell>
          <cell r="F92">
            <v>32</v>
          </cell>
          <cell r="G92">
            <v>128</v>
          </cell>
          <cell r="H92">
            <v>76.59</v>
          </cell>
        </row>
        <row r="93">
          <cell r="A93" t="str">
            <v>00737547</v>
          </cell>
          <cell r="B93" t="str">
            <v>EWI   DASH RECEIVER NATURAL WHITE 25KG</v>
          </cell>
          <cell r="C93" t="str">
            <v>EWI</v>
          </cell>
          <cell r="D93">
            <v>12.28</v>
          </cell>
          <cell r="E93">
            <v>3802.08</v>
          </cell>
          <cell r="F93">
            <v>356</v>
          </cell>
          <cell r="G93">
            <v>356</v>
          </cell>
          <cell r="H93">
            <v>12.28</v>
          </cell>
        </row>
        <row r="94">
          <cell r="A94" t="str">
            <v>00423492</v>
          </cell>
          <cell r="B94" t="str">
            <v>JST   AQUA WB GLS  BRIL WHITE 0000001250</v>
          </cell>
          <cell r="C94" t="str">
            <v>Aqua Gloss</v>
          </cell>
          <cell r="D94">
            <v>13.8</v>
          </cell>
          <cell r="E94">
            <v>3767.4</v>
          </cell>
          <cell r="F94">
            <v>305</v>
          </cell>
          <cell r="G94">
            <v>762.5</v>
          </cell>
          <cell r="H94">
            <v>13.8</v>
          </cell>
        </row>
        <row r="95">
          <cell r="A95" t="str">
            <v>00736947</v>
          </cell>
          <cell r="B95" t="str">
            <v>RODO  5L MINI BLCK SCUTTLE</v>
          </cell>
          <cell r="C95" t="str">
            <v>RODO</v>
          </cell>
          <cell r="D95">
            <v>3.18</v>
          </cell>
          <cell r="E95">
            <v>3705.38</v>
          </cell>
          <cell r="F95">
            <v>1034</v>
          </cell>
          <cell r="G95">
            <v>1034</v>
          </cell>
          <cell r="H95">
            <v>2.9605800000000002</v>
          </cell>
        </row>
        <row r="96">
          <cell r="A96" t="str">
            <v>00321137</v>
          </cell>
          <cell r="B96" t="str">
            <v>FD STEELGUARD 2458 BAS (X)  XXXXCCEU2200</v>
          </cell>
          <cell r="C96" t="str">
            <v>PMC</v>
          </cell>
          <cell r="D96">
            <v>664.02</v>
          </cell>
          <cell r="E96">
            <v>3665.09</v>
          </cell>
          <cell r="F96">
            <v>13</v>
          </cell>
          <cell r="G96">
            <v>260</v>
          </cell>
          <cell r="H96">
            <v>618.20262000000002</v>
          </cell>
        </row>
        <row r="97">
          <cell r="A97" t="str">
            <v>00305069</v>
          </cell>
          <cell r="B97" t="str">
            <v>FD JS S/SLD FX GLS MIXED COL  0000001250</v>
          </cell>
          <cell r="C97" t="str">
            <v>Flexible exterior</v>
          </cell>
          <cell r="D97">
            <v>25.18</v>
          </cell>
          <cell r="E97">
            <v>3631.01</v>
          </cell>
          <cell r="F97">
            <v>159</v>
          </cell>
          <cell r="G97">
            <v>397.5</v>
          </cell>
          <cell r="H97">
            <v>18</v>
          </cell>
        </row>
        <row r="98">
          <cell r="A98" t="str">
            <v>00303391</v>
          </cell>
          <cell r="B98" t="str">
            <v>JST   Q/DRY OPAQUE JACOBEAN   0000001500</v>
          </cell>
          <cell r="C98" t="str">
            <v>WB Opaque</v>
          </cell>
          <cell r="D98">
            <v>25.08</v>
          </cell>
          <cell r="E98">
            <v>3429</v>
          </cell>
          <cell r="F98">
            <v>141</v>
          </cell>
          <cell r="G98">
            <v>705</v>
          </cell>
          <cell r="H98">
            <v>23.34948</v>
          </cell>
        </row>
        <row r="99">
          <cell r="A99" t="str">
            <v>00852428</v>
          </cell>
          <cell r="B99" t="str">
            <v>PGOLD WHITE SPIRIT 4LT        0000001400</v>
          </cell>
          <cell r="C99" t="str">
            <v>Spirits</v>
          </cell>
          <cell r="D99">
            <v>5.92</v>
          </cell>
          <cell r="E99">
            <v>3365.12</v>
          </cell>
          <cell r="F99">
            <v>627</v>
          </cell>
          <cell r="G99">
            <v>2508</v>
          </cell>
          <cell r="H99">
            <v>6.5120000000000005</v>
          </cell>
        </row>
        <row r="100">
          <cell r="A100" t="str">
            <v>00423464</v>
          </cell>
          <cell r="B100" t="str">
            <v>JST   PROF GLOSS   BRIL WHITE 0000001250</v>
          </cell>
          <cell r="C100" t="str">
            <v>Solvent Gloss</v>
          </cell>
          <cell r="D100">
            <v>11.76</v>
          </cell>
          <cell r="E100">
            <v>3294.23</v>
          </cell>
          <cell r="F100">
            <v>313</v>
          </cell>
          <cell r="G100">
            <v>782.5</v>
          </cell>
          <cell r="H100">
            <v>14.2</v>
          </cell>
        </row>
        <row r="101">
          <cell r="A101" t="str">
            <v>00423746</v>
          </cell>
          <cell r="B101" t="str">
            <v>JST   FLORTRED     TILE RED   0000001500</v>
          </cell>
          <cell r="C101" t="str">
            <v>Floor paint</v>
          </cell>
          <cell r="D101">
            <v>22.63</v>
          </cell>
          <cell r="E101">
            <v>3246.66</v>
          </cell>
          <cell r="F101">
            <v>159</v>
          </cell>
          <cell r="G101">
            <v>795</v>
          </cell>
          <cell r="H101">
            <v>21.068529999999999</v>
          </cell>
        </row>
        <row r="102">
          <cell r="A102" t="str">
            <v>00723493</v>
          </cell>
          <cell r="B102" t="str">
            <v>K     PLASTIC      14"SKUTTLE</v>
          </cell>
          <cell r="C102" t="str">
            <v>Scuttle</v>
          </cell>
          <cell r="D102">
            <v>3</v>
          </cell>
          <cell r="E102">
            <v>3203.88</v>
          </cell>
          <cell r="F102">
            <v>1193</v>
          </cell>
          <cell r="G102">
            <v>1193</v>
          </cell>
          <cell r="H102">
            <v>2.7930000000000001</v>
          </cell>
        </row>
        <row r="103">
          <cell r="A103" t="str">
            <v>00301734</v>
          </cell>
          <cell r="B103" t="str">
            <v>JST   S/SLD FX GLS BRIL WHITE 0000001250</v>
          </cell>
          <cell r="C103" t="str">
            <v>Flexible exterior</v>
          </cell>
          <cell r="D103">
            <v>22.54</v>
          </cell>
          <cell r="E103">
            <v>3181.57</v>
          </cell>
          <cell r="F103">
            <v>162</v>
          </cell>
          <cell r="G103">
            <v>405</v>
          </cell>
          <cell r="H103">
            <v>15</v>
          </cell>
        </row>
        <row r="104">
          <cell r="A104" t="str">
            <v>00301856</v>
          </cell>
          <cell r="B104" t="str">
            <v>JST   OPQ WF SATIN JACOBEAN   0000001500</v>
          </cell>
          <cell r="C104" t="str">
            <v>Opaque Solvent</v>
          </cell>
          <cell r="D104">
            <v>21.15</v>
          </cell>
          <cell r="E104">
            <v>3156.36</v>
          </cell>
          <cell r="F104">
            <v>165</v>
          </cell>
          <cell r="G104">
            <v>825</v>
          </cell>
          <cell r="H104">
            <v>21.15</v>
          </cell>
        </row>
        <row r="105">
          <cell r="A105" t="str">
            <v>00852916</v>
          </cell>
          <cell r="B105" t="str">
            <v>PGOLD MED PILE WOV 4" ROLLER</v>
          </cell>
          <cell r="C105" t="str">
            <v>Roller</v>
          </cell>
          <cell r="D105">
            <v>0.38</v>
          </cell>
          <cell r="E105">
            <v>3154.35</v>
          </cell>
          <cell r="F105">
            <v>9156</v>
          </cell>
          <cell r="G105">
            <v>9156</v>
          </cell>
          <cell r="H105">
            <v>0.35378000000000004</v>
          </cell>
        </row>
        <row r="106">
          <cell r="A106" t="str">
            <v>00728166</v>
          </cell>
          <cell r="B106" t="str">
            <v>ZINSR BULLSEYE 123 WHITE      0000001500</v>
          </cell>
          <cell r="C106" t="str">
            <v>Zinsser</v>
          </cell>
          <cell r="D106">
            <v>50.09</v>
          </cell>
          <cell r="E106">
            <v>3015.29</v>
          </cell>
          <cell r="F106">
            <v>67</v>
          </cell>
          <cell r="G106">
            <v>335</v>
          </cell>
          <cell r="H106">
            <v>50.09</v>
          </cell>
        </row>
        <row r="107">
          <cell r="A107" t="str">
            <v>00852474</v>
          </cell>
          <cell r="B107" t="str">
            <v>PGOLD ROUGH ROLLER 9"</v>
          </cell>
          <cell r="C107" t="str">
            <v>Roller</v>
          </cell>
          <cell r="D107">
            <v>3.06</v>
          </cell>
          <cell r="E107">
            <v>2993.99</v>
          </cell>
          <cell r="F107">
            <v>1086</v>
          </cell>
          <cell r="G107">
            <v>1086</v>
          </cell>
          <cell r="H107">
            <v>2.8488600000000002</v>
          </cell>
        </row>
        <row r="108">
          <cell r="A108" t="str">
            <v>00423745</v>
          </cell>
          <cell r="B108" t="str">
            <v>JST   FLORTRED     PRINC GREY 0000001500</v>
          </cell>
          <cell r="C108" t="str">
            <v>Floor paint</v>
          </cell>
          <cell r="D108">
            <v>22.63</v>
          </cell>
          <cell r="E108">
            <v>2987.89</v>
          </cell>
          <cell r="F108">
            <v>146</v>
          </cell>
          <cell r="G108">
            <v>730</v>
          </cell>
          <cell r="H108">
            <v>21.068529999999999</v>
          </cell>
        </row>
        <row r="109">
          <cell r="A109" t="str">
            <v>00303392</v>
          </cell>
          <cell r="B109" t="str">
            <v>JST   Q/DRY OPAQUE EBONY      0000001500</v>
          </cell>
          <cell r="C109" t="str">
            <v>WB Opaque</v>
          </cell>
          <cell r="D109">
            <v>25.08</v>
          </cell>
          <cell r="E109">
            <v>2970.12</v>
          </cell>
          <cell r="F109">
            <v>130</v>
          </cell>
          <cell r="G109">
            <v>650</v>
          </cell>
          <cell r="H109">
            <v>23.34948</v>
          </cell>
        </row>
        <row r="110">
          <cell r="A110" t="str">
            <v>00649579</v>
          </cell>
          <cell r="B110" t="str">
            <v>ARTEX QUICKSAND                     2250</v>
          </cell>
          <cell r="C110" t="str">
            <v>Artex</v>
          </cell>
          <cell r="D110">
            <v>29.75</v>
          </cell>
          <cell r="E110">
            <v>2918.06</v>
          </cell>
          <cell r="F110">
            <v>119</v>
          </cell>
          <cell r="G110">
            <v>2975</v>
          </cell>
          <cell r="H110">
            <v>29.75</v>
          </cell>
        </row>
        <row r="111">
          <cell r="A111" t="str">
            <v>00301688</v>
          </cell>
          <cell r="B111" t="str">
            <v>JST   ALKALI RESIS PRIMER     0000001500</v>
          </cell>
          <cell r="C111" t="str">
            <v>Primer</v>
          </cell>
          <cell r="D111">
            <v>26.16</v>
          </cell>
          <cell r="E111">
            <v>2856.63</v>
          </cell>
          <cell r="F111">
            <v>121</v>
          </cell>
          <cell r="G111">
            <v>605</v>
          </cell>
          <cell r="H111">
            <v>24.354960000000002</v>
          </cell>
        </row>
        <row r="112">
          <cell r="A112" t="str">
            <v>00301843</v>
          </cell>
          <cell r="B112" t="str">
            <v>JST   2P WB FLOOR  PRINCS GRY 0000001400</v>
          </cell>
          <cell r="C112" t="str">
            <v>Floor paint</v>
          </cell>
          <cell r="D112">
            <v>127.65</v>
          </cell>
          <cell r="E112">
            <v>2827.78</v>
          </cell>
          <cell r="F112">
            <v>25</v>
          </cell>
          <cell r="G112">
            <v>100</v>
          </cell>
          <cell r="H112">
            <v>118.84215000000002</v>
          </cell>
        </row>
        <row r="113">
          <cell r="A113" t="str">
            <v>00301866</v>
          </cell>
          <cell r="B113" t="str">
            <v>JST   OPQ WF SATIN WHITE      0000001500</v>
          </cell>
          <cell r="C113" t="str">
            <v>Opaque Solvent</v>
          </cell>
          <cell r="D113">
            <v>21.15</v>
          </cell>
          <cell r="E113">
            <v>2799.6</v>
          </cell>
          <cell r="F113">
            <v>146</v>
          </cell>
          <cell r="G113">
            <v>730</v>
          </cell>
          <cell r="H113">
            <v>21.15</v>
          </cell>
        </row>
        <row r="114">
          <cell r="A114" t="str">
            <v>00852426</v>
          </cell>
          <cell r="B114" t="str">
            <v>PGOLD TURPS SUB    4LT              1400</v>
          </cell>
          <cell r="C114" t="str">
            <v>Spirits</v>
          </cell>
          <cell r="D114">
            <v>5.92</v>
          </cell>
          <cell r="E114">
            <v>2766.72</v>
          </cell>
          <cell r="F114">
            <v>524</v>
          </cell>
          <cell r="G114">
            <v>2096</v>
          </cell>
          <cell r="H114">
            <v>6.5120000000000005</v>
          </cell>
        </row>
        <row r="115">
          <cell r="A115" t="str">
            <v>00423259</v>
          </cell>
          <cell r="B115" t="str">
            <v>FD JS PERFECT MATT MIXED COL  0000002100</v>
          </cell>
          <cell r="C115" t="str">
            <v>Perfect Matt</v>
          </cell>
          <cell r="D115">
            <v>107.31</v>
          </cell>
          <cell r="E115">
            <v>2750.46</v>
          </cell>
          <cell r="F115">
            <v>29</v>
          </cell>
          <cell r="G115">
            <v>290</v>
          </cell>
          <cell r="H115">
            <v>75.12</v>
          </cell>
        </row>
        <row r="116">
          <cell r="A116" t="str">
            <v>00611477</v>
          </cell>
          <cell r="B116" t="str">
            <v>PGOLD CONRACTOR    BRUSH 3"</v>
          </cell>
          <cell r="C116" t="str">
            <v>Brush</v>
          </cell>
          <cell r="D116">
            <v>2.2000000000000002</v>
          </cell>
          <cell r="E116">
            <v>2704.02</v>
          </cell>
          <cell r="F116">
            <v>1361</v>
          </cell>
          <cell r="G116">
            <v>1361</v>
          </cell>
          <cell r="H116">
            <v>2.0482000000000005</v>
          </cell>
        </row>
        <row r="117">
          <cell r="A117" t="str">
            <v>00423504</v>
          </cell>
          <cell r="B117" t="str">
            <v>FD JS AQUA WB GLS  MIXED COL  0000001250</v>
          </cell>
          <cell r="C117" t="str">
            <v>Aqua Gloss</v>
          </cell>
          <cell r="D117">
            <v>18.670000000000002</v>
          </cell>
          <cell r="E117">
            <v>2703.1</v>
          </cell>
          <cell r="F117">
            <v>164</v>
          </cell>
          <cell r="G117">
            <v>410</v>
          </cell>
          <cell r="H117">
            <v>18.670000000000002</v>
          </cell>
        </row>
        <row r="118">
          <cell r="A118" t="str">
            <v>00306003</v>
          </cell>
          <cell r="B118" t="str">
            <v>FD JS PROF SATIN   MIXED COL  0000001250</v>
          </cell>
          <cell r="C118" t="str">
            <v>Solvent Satin</v>
          </cell>
          <cell r="D118">
            <v>21.33</v>
          </cell>
          <cell r="E118">
            <v>2581.4</v>
          </cell>
          <cell r="F118">
            <v>124</v>
          </cell>
          <cell r="G118">
            <v>310</v>
          </cell>
          <cell r="H118">
            <v>19.858229999999999</v>
          </cell>
        </row>
        <row r="119">
          <cell r="A119" t="str">
            <v>00718440</v>
          </cell>
          <cell r="B119" t="str">
            <v>ARTEX DRYWALL PRIM 10L        PROTAP2100</v>
          </cell>
          <cell r="C119" t="str">
            <v>Artex</v>
          </cell>
          <cell r="D119">
            <v>55.42</v>
          </cell>
          <cell r="E119">
            <v>2452.4499999999998</v>
          </cell>
          <cell r="F119">
            <v>55</v>
          </cell>
          <cell r="G119">
            <v>550</v>
          </cell>
          <cell r="H119">
            <v>44.88</v>
          </cell>
        </row>
        <row r="120">
          <cell r="A120" t="str">
            <v>00305071</v>
          </cell>
          <cell r="B120" t="str">
            <v>FD JS S/SLD FX U/C MIXED COL  0000001250</v>
          </cell>
          <cell r="C120" t="str">
            <v>Flexible exterior</v>
          </cell>
          <cell r="D120">
            <v>30.37</v>
          </cell>
          <cell r="E120">
            <v>2446.5300000000002</v>
          </cell>
          <cell r="F120">
            <v>90</v>
          </cell>
          <cell r="G120">
            <v>225</v>
          </cell>
          <cell r="H120">
            <v>18</v>
          </cell>
        </row>
        <row r="121">
          <cell r="A121" t="str">
            <v>00301753</v>
          </cell>
          <cell r="B121" t="str">
            <v>JST   ABAC AC EGG  BRIL WHITE 0000001500</v>
          </cell>
          <cell r="C121" t="str">
            <v>Anti-bacterial</v>
          </cell>
          <cell r="D121">
            <v>49.44</v>
          </cell>
          <cell r="E121">
            <v>2295.1799999999998</v>
          </cell>
          <cell r="F121">
            <v>51</v>
          </cell>
          <cell r="G121">
            <v>255</v>
          </cell>
          <cell r="H121">
            <v>46.028640000000003</v>
          </cell>
        </row>
        <row r="122">
          <cell r="A122" t="str">
            <v>00737475</v>
          </cell>
          <cell r="B122" t="str">
            <v>EWI   DASHING SPAR FRANSPAR 25KG</v>
          </cell>
          <cell r="C122" t="str">
            <v>EWI</v>
          </cell>
          <cell r="D122">
            <v>6.3</v>
          </cell>
          <cell r="E122">
            <v>2279.6799999999998</v>
          </cell>
          <cell r="F122">
            <v>416</v>
          </cell>
          <cell r="G122">
            <v>416</v>
          </cell>
          <cell r="H122">
            <v>6.3</v>
          </cell>
        </row>
        <row r="123">
          <cell r="A123" t="str">
            <v>00307666</v>
          </cell>
          <cell r="B123" t="str">
            <v>JST   AQUA WB SAT  BRIL WHITE 0000001250</v>
          </cell>
          <cell r="C123" t="str">
            <v>Aqua Satin</v>
          </cell>
          <cell r="D123">
            <v>13.8</v>
          </cell>
          <cell r="E123">
            <v>2262.04</v>
          </cell>
          <cell r="F123">
            <v>184</v>
          </cell>
          <cell r="G123">
            <v>460</v>
          </cell>
          <cell r="H123">
            <v>13.8</v>
          </cell>
        </row>
        <row r="124">
          <cell r="A124" t="str">
            <v>00389449</v>
          </cell>
          <cell r="B124" t="str">
            <v>FD JST STAINAWAY MIXED COLOUR 0000002100</v>
          </cell>
          <cell r="C124" t="str">
            <v>Stainaway</v>
          </cell>
          <cell r="D124">
            <v>112.71</v>
          </cell>
          <cell r="E124">
            <v>2259.66</v>
          </cell>
          <cell r="F124">
            <v>22</v>
          </cell>
          <cell r="G124">
            <v>220</v>
          </cell>
          <cell r="H124">
            <v>76.97</v>
          </cell>
        </row>
        <row r="125">
          <cell r="A125" t="str">
            <v>00737643</v>
          </cell>
          <cell r="B125" t="str">
            <v>EWI   BOXBS CLIPON NOSE W/MESH 2.5M 10MM</v>
          </cell>
          <cell r="C125" t="str">
            <v>EWI</v>
          </cell>
          <cell r="D125">
            <v>5.34</v>
          </cell>
          <cell r="E125">
            <v>2201.7399999999998</v>
          </cell>
          <cell r="F125">
            <v>460</v>
          </cell>
          <cell r="G125">
            <v>460</v>
          </cell>
          <cell r="H125">
            <v>5.34</v>
          </cell>
        </row>
        <row r="126">
          <cell r="A126" t="str">
            <v>00301854</v>
          </cell>
          <cell r="B126" t="str">
            <v>JST   OPAQUE W/FIN RUSTIC OAK 0000001500</v>
          </cell>
          <cell r="C126" t="str">
            <v>Opaque Solvent</v>
          </cell>
          <cell r="D126">
            <v>21.15</v>
          </cell>
          <cell r="E126">
            <v>2170.7399999999998</v>
          </cell>
          <cell r="F126">
            <v>117</v>
          </cell>
          <cell r="G126">
            <v>585</v>
          </cell>
          <cell r="H126">
            <v>27.5</v>
          </cell>
        </row>
        <row r="127">
          <cell r="A127" t="str">
            <v>00423208</v>
          </cell>
          <cell r="B127" t="str">
            <v>JST   S/SLD SMOOTH MAGNOLIA   0000001500</v>
          </cell>
          <cell r="C127" t="str">
            <v>Smooth masonry</v>
          </cell>
          <cell r="D127">
            <v>16.940000000000001</v>
          </cell>
          <cell r="E127">
            <v>2135.34</v>
          </cell>
          <cell r="F127">
            <v>140</v>
          </cell>
          <cell r="G127">
            <v>700</v>
          </cell>
          <cell r="H127">
            <v>15.771140000000003</v>
          </cell>
        </row>
        <row r="128">
          <cell r="A128" t="str">
            <v>00734926</v>
          </cell>
          <cell r="B128" t="str">
            <v>BLINE ONE TIME     FILLER 4L  TOEBOA1400</v>
          </cell>
          <cell r="C128" t="str">
            <v>BeeLine</v>
          </cell>
          <cell r="D128">
            <v>24.1</v>
          </cell>
          <cell r="E128">
            <v>2084.58</v>
          </cell>
          <cell r="F128">
            <v>97</v>
          </cell>
          <cell r="G128">
            <v>388</v>
          </cell>
          <cell r="H128">
            <v>22.437100000000001</v>
          </cell>
        </row>
        <row r="129">
          <cell r="A129" t="str">
            <v>00306920</v>
          </cell>
          <cell r="B129" t="str">
            <v>FD JS AQUA WB U/C  MIXED COL  0000001250</v>
          </cell>
          <cell r="C129" t="str">
            <v>Aqua Undercoat</v>
          </cell>
          <cell r="D129">
            <v>18.670000000000002</v>
          </cell>
          <cell r="E129">
            <v>2044.01</v>
          </cell>
          <cell r="F129">
            <v>123</v>
          </cell>
          <cell r="G129">
            <v>307.5</v>
          </cell>
          <cell r="H129">
            <v>18.670000000000002</v>
          </cell>
        </row>
        <row r="130">
          <cell r="A130" t="str">
            <v>00852476</v>
          </cell>
          <cell r="B130" t="str">
            <v>PGOLD ROUGH ROLLER 4"</v>
          </cell>
          <cell r="C130" t="str">
            <v>Roller</v>
          </cell>
          <cell r="D130">
            <v>1.27</v>
          </cell>
          <cell r="E130">
            <v>1999.22</v>
          </cell>
          <cell r="F130">
            <v>1882</v>
          </cell>
          <cell r="G130">
            <v>1882</v>
          </cell>
          <cell r="H130">
            <v>1.1823700000000001</v>
          </cell>
        </row>
        <row r="131">
          <cell r="A131" t="str">
            <v>00611465</v>
          </cell>
          <cell r="B131" t="str">
            <v>PGOLD CLASS SYNTH  BR SET 5PC</v>
          </cell>
          <cell r="C131" t="str">
            <v>Brush</v>
          </cell>
          <cell r="D131">
            <v>14.43</v>
          </cell>
          <cell r="E131">
            <v>1991.87</v>
          </cell>
          <cell r="F131">
            <v>173</v>
          </cell>
          <cell r="G131">
            <v>173</v>
          </cell>
          <cell r="H131">
            <v>13.434330000000001</v>
          </cell>
        </row>
        <row r="132">
          <cell r="A132" t="str">
            <v>00423747</v>
          </cell>
          <cell r="B132" t="str">
            <v>JST   FLORTRED     DARK GREY  0000001500</v>
          </cell>
          <cell r="C132" t="str">
            <v>Floor paint</v>
          </cell>
          <cell r="D132">
            <v>22.63</v>
          </cell>
          <cell r="E132">
            <v>1990.6</v>
          </cell>
          <cell r="F132">
            <v>97</v>
          </cell>
          <cell r="G132">
            <v>485</v>
          </cell>
          <cell r="H132">
            <v>21.068529999999999</v>
          </cell>
        </row>
        <row r="133">
          <cell r="A133" t="str">
            <v>00305030</v>
          </cell>
          <cell r="B133" t="str">
            <v>FD JS V/SOFT SHEEN MIXED COL  0000001500</v>
          </cell>
          <cell r="C133" t="str">
            <v>Soft Sheen</v>
          </cell>
          <cell r="D133">
            <v>13.99</v>
          </cell>
          <cell r="E133">
            <v>1982.12</v>
          </cell>
          <cell r="F133">
            <v>160</v>
          </cell>
          <cell r="G133">
            <v>800</v>
          </cell>
          <cell r="H133">
            <v>13.99</v>
          </cell>
        </row>
        <row r="134">
          <cell r="A134" t="str">
            <v>00852424</v>
          </cell>
          <cell r="B134" t="str">
            <v>PGOLD RM W/PAPER   ADH 10KG   0000002100</v>
          </cell>
          <cell r="C134" t="str">
            <v>Adhesive</v>
          </cell>
          <cell r="D134">
            <v>9.5</v>
          </cell>
          <cell r="E134">
            <v>1969.95</v>
          </cell>
          <cell r="F134">
            <v>229</v>
          </cell>
          <cell r="G134">
            <v>2290</v>
          </cell>
          <cell r="H134">
            <v>8.8445</v>
          </cell>
        </row>
        <row r="135">
          <cell r="A135" t="str">
            <v>00325104</v>
          </cell>
          <cell r="B135" t="str">
            <v>JST ROAD MARKING WHITE 5LT          1500</v>
          </cell>
          <cell r="C135" t="str">
            <v>Floor paint</v>
          </cell>
          <cell r="D135">
            <v>52.91</v>
          </cell>
          <cell r="E135">
            <v>1930.16</v>
          </cell>
          <cell r="F135">
            <v>41</v>
          </cell>
          <cell r="G135">
            <v>205</v>
          </cell>
          <cell r="H135">
            <v>49.259209999999996</v>
          </cell>
        </row>
        <row r="136">
          <cell r="A136" t="str">
            <v>00303707</v>
          </cell>
          <cell r="B136" t="str">
            <v>JST   S/GLOSS T/CT BRIL WHITE 0000001500</v>
          </cell>
          <cell r="C136" t="str">
            <v>Steel and Cladding</v>
          </cell>
          <cell r="D136">
            <v>58.58</v>
          </cell>
          <cell r="E136">
            <v>1912.9</v>
          </cell>
          <cell r="F136">
            <v>37</v>
          </cell>
          <cell r="G136">
            <v>185</v>
          </cell>
          <cell r="H136">
            <v>54.537980000000005</v>
          </cell>
        </row>
        <row r="137">
          <cell r="A137" t="str">
            <v>00852923</v>
          </cell>
          <cell r="B137" t="str">
            <v>PGOLD LONG WOVEN   9" ROLLER</v>
          </cell>
          <cell r="C137" t="str">
            <v>Roller</v>
          </cell>
          <cell r="D137">
            <v>1.52</v>
          </cell>
          <cell r="E137">
            <v>1909.92</v>
          </cell>
          <cell r="F137">
            <v>1397</v>
          </cell>
          <cell r="G137">
            <v>1397</v>
          </cell>
          <cell r="H137">
            <v>1.4151200000000002</v>
          </cell>
        </row>
        <row r="138">
          <cell r="A138" t="str">
            <v>00302178</v>
          </cell>
          <cell r="B138" t="str">
            <v>JST   QD VARNISH   CLEAR GLS  0000001250</v>
          </cell>
          <cell r="C138" t="str">
            <v>Varnish</v>
          </cell>
          <cell r="D138">
            <v>19.13</v>
          </cell>
          <cell r="E138">
            <v>1862.98</v>
          </cell>
          <cell r="F138">
            <v>108</v>
          </cell>
          <cell r="G138">
            <v>270</v>
          </cell>
          <cell r="H138">
            <v>17.810030000000001</v>
          </cell>
        </row>
        <row r="139">
          <cell r="A139" t="str">
            <v>00734825</v>
          </cell>
          <cell r="B139" t="str">
            <v>ARTEX EASI FILLER 5X 1KG BAGS 0000001500</v>
          </cell>
          <cell r="C139" t="str">
            <v>Artex</v>
          </cell>
          <cell r="D139">
            <v>19.690000000000001</v>
          </cell>
          <cell r="E139">
            <v>1860.42</v>
          </cell>
          <cell r="F139">
            <v>114</v>
          </cell>
          <cell r="G139">
            <v>570</v>
          </cell>
          <cell r="H139">
            <v>18.331390000000003</v>
          </cell>
        </row>
        <row r="140">
          <cell r="A140" t="str">
            <v>00305823</v>
          </cell>
          <cell r="B140" t="str">
            <v>FD LL VINYL MATT   MIXED COL  0000001500</v>
          </cell>
          <cell r="C140" t="str">
            <v>Vinyl matt</v>
          </cell>
          <cell r="D140">
            <v>10.38</v>
          </cell>
          <cell r="E140">
            <v>1843.38</v>
          </cell>
          <cell r="F140">
            <v>198</v>
          </cell>
          <cell r="G140">
            <v>990</v>
          </cell>
          <cell r="H140">
            <v>9.86</v>
          </cell>
        </row>
        <row r="141">
          <cell r="A141" t="str">
            <v>00264371</v>
          </cell>
          <cell r="B141" t="str">
            <v>LL    ACRY E/SHELL MAGNOLIA   0000001500</v>
          </cell>
          <cell r="C141" t="str">
            <v>Acrylic Eggshell</v>
          </cell>
          <cell r="D141">
            <v>18.02</v>
          </cell>
          <cell r="E141">
            <v>1777.45</v>
          </cell>
          <cell r="F141">
            <v>110</v>
          </cell>
          <cell r="G141">
            <v>550</v>
          </cell>
          <cell r="H141">
            <v>16.7348</v>
          </cell>
        </row>
        <row r="142">
          <cell r="A142" t="str">
            <v>00306897</v>
          </cell>
          <cell r="B142" t="str">
            <v>JST   AQUA WB U/C  DARK GREY  0000001500</v>
          </cell>
          <cell r="C142" t="str">
            <v>Aqua Undercoat</v>
          </cell>
          <cell r="D142">
            <v>31.1</v>
          </cell>
          <cell r="E142">
            <v>1775.92</v>
          </cell>
          <cell r="F142">
            <v>64</v>
          </cell>
          <cell r="G142">
            <v>320</v>
          </cell>
          <cell r="H142">
            <v>31.1</v>
          </cell>
        </row>
        <row r="143">
          <cell r="A143" t="str">
            <v>00305035</v>
          </cell>
          <cell r="B143" t="str">
            <v>FD JS COVAPLUS     MIXED COL  0000001250</v>
          </cell>
          <cell r="C143" t="str">
            <v>Vinyl matt</v>
          </cell>
          <cell r="D143">
            <v>9.44</v>
          </cell>
          <cell r="E143">
            <v>1765.2</v>
          </cell>
          <cell r="F143">
            <v>209</v>
          </cell>
          <cell r="G143">
            <v>522.5</v>
          </cell>
          <cell r="H143">
            <v>6.57</v>
          </cell>
        </row>
        <row r="144">
          <cell r="A144" t="str">
            <v>00307045</v>
          </cell>
          <cell r="B144" t="str">
            <v>JST   F/RET AC/EGG BRIL WHITE 0000001500</v>
          </cell>
          <cell r="C144" t="str">
            <v>Flame</v>
          </cell>
          <cell r="D144">
            <v>40.590000000000003</v>
          </cell>
          <cell r="E144">
            <v>1750.32</v>
          </cell>
          <cell r="F144">
            <v>48</v>
          </cell>
          <cell r="G144">
            <v>240</v>
          </cell>
          <cell r="H144">
            <v>40.590000000000003</v>
          </cell>
        </row>
        <row r="145">
          <cell r="A145" t="str">
            <v>00852478</v>
          </cell>
          <cell r="B145" t="str">
            <v>PGOLD MICROFIBRE   ROLLER 4"</v>
          </cell>
          <cell r="C145" t="str">
            <v>Roller</v>
          </cell>
          <cell r="D145">
            <v>0.64</v>
          </cell>
          <cell r="E145">
            <v>1749.38</v>
          </cell>
          <cell r="F145">
            <v>3079</v>
          </cell>
          <cell r="G145">
            <v>3079</v>
          </cell>
          <cell r="H145">
            <v>0.59584000000000004</v>
          </cell>
        </row>
        <row r="146">
          <cell r="A146" t="str">
            <v>00264366</v>
          </cell>
          <cell r="B146" t="str">
            <v>LL    AC PR U/COAT WHITE      0000001500</v>
          </cell>
          <cell r="C146" t="str">
            <v>Primer</v>
          </cell>
          <cell r="D146">
            <v>15.7</v>
          </cell>
          <cell r="E146">
            <v>1743.88</v>
          </cell>
          <cell r="F146">
            <v>126</v>
          </cell>
          <cell r="G146">
            <v>630</v>
          </cell>
          <cell r="H146">
            <v>14.6167</v>
          </cell>
        </row>
        <row r="147">
          <cell r="A147" t="str">
            <v>00264786</v>
          </cell>
          <cell r="B147" t="str">
            <v>LL    UNDERCOAT    WHITE      0000001500</v>
          </cell>
          <cell r="C147" t="str">
            <v>Solvent Undercoat</v>
          </cell>
          <cell r="D147">
            <v>15.7</v>
          </cell>
          <cell r="E147">
            <v>1725.87</v>
          </cell>
          <cell r="F147">
            <v>125</v>
          </cell>
          <cell r="G147">
            <v>625</v>
          </cell>
          <cell r="H147">
            <v>18.463249999999995</v>
          </cell>
        </row>
        <row r="148">
          <cell r="A148" t="str">
            <v>00852554</v>
          </cell>
          <cell r="B148" t="str">
            <v>PGOLD HD TEXTURED  WIPES (75)</v>
          </cell>
          <cell r="C148" t="str">
            <v>Cleaning</v>
          </cell>
          <cell r="D148">
            <v>3.78</v>
          </cell>
          <cell r="E148">
            <v>1719.12</v>
          </cell>
          <cell r="F148">
            <v>485</v>
          </cell>
          <cell r="G148">
            <v>485</v>
          </cell>
          <cell r="H148">
            <v>3.51918</v>
          </cell>
        </row>
        <row r="149">
          <cell r="A149" t="str">
            <v>00301958</v>
          </cell>
          <cell r="B149" t="str">
            <v>JST   SATIN W/STN  MEDIUM OAK 0000001500</v>
          </cell>
          <cell r="C149" t="str">
            <v>Woodstain</v>
          </cell>
          <cell r="D149">
            <v>29.65</v>
          </cell>
          <cell r="E149">
            <v>1662.16</v>
          </cell>
          <cell r="F149">
            <v>60</v>
          </cell>
          <cell r="G149">
            <v>300</v>
          </cell>
          <cell r="H149">
            <v>27.604150000000001</v>
          </cell>
        </row>
        <row r="150">
          <cell r="A150" t="str">
            <v>00301717</v>
          </cell>
          <cell r="B150" t="str">
            <v>JST   VINYL SILK   MAGNOLIA   0000002100</v>
          </cell>
          <cell r="C150" t="str">
            <v>Vinyl Silk</v>
          </cell>
          <cell r="D150">
            <v>25.79</v>
          </cell>
          <cell r="E150">
            <v>1660.66</v>
          </cell>
          <cell r="F150">
            <v>73</v>
          </cell>
          <cell r="G150">
            <v>730</v>
          </cell>
          <cell r="H150">
            <v>34</v>
          </cell>
        </row>
        <row r="151">
          <cell r="A151" t="str">
            <v>00264369</v>
          </cell>
          <cell r="B151" t="str">
            <v>LL    ACRY E/SHELL BRIL WHITE 0000001500</v>
          </cell>
          <cell r="C151" t="str">
            <v>Acrylic Eggshell</v>
          </cell>
          <cell r="D151">
            <v>18.02</v>
          </cell>
          <cell r="E151">
            <v>1642.09</v>
          </cell>
          <cell r="F151">
            <v>102</v>
          </cell>
          <cell r="G151">
            <v>510</v>
          </cell>
          <cell r="H151">
            <v>15.64</v>
          </cell>
        </row>
        <row r="152">
          <cell r="A152" t="str">
            <v>00737701</v>
          </cell>
          <cell r="B152" t="str">
            <v>EWI   GALV ANGLE PLASTIC NOSE 3.0M 60MM</v>
          </cell>
          <cell r="C152" t="str">
            <v>EWI</v>
          </cell>
          <cell r="D152">
            <v>4.8</v>
          </cell>
          <cell r="E152">
            <v>1629.98</v>
          </cell>
          <cell r="F152">
            <v>386</v>
          </cell>
          <cell r="G152">
            <v>386</v>
          </cell>
          <cell r="H152">
            <v>4.8</v>
          </cell>
        </row>
        <row r="153">
          <cell r="A153" t="str">
            <v>00852920</v>
          </cell>
          <cell r="B153" t="str">
            <v>PGOLD MEDIUM WOVEN 9" ROLLER</v>
          </cell>
          <cell r="C153" t="str">
            <v>Roller</v>
          </cell>
          <cell r="D153">
            <v>1.3</v>
          </cell>
          <cell r="E153">
            <v>1623.96</v>
          </cell>
          <cell r="F153">
            <v>1415</v>
          </cell>
          <cell r="G153">
            <v>1415</v>
          </cell>
          <cell r="H153">
            <v>1.2103000000000002</v>
          </cell>
        </row>
        <row r="154">
          <cell r="A154" t="str">
            <v>00852816</v>
          </cell>
          <cell r="B154" t="str">
            <v>PGOLD 9"HEAVY DUTY ROLL FRAME</v>
          </cell>
          <cell r="C154" t="str">
            <v>Roller</v>
          </cell>
          <cell r="D154">
            <v>2.4300000000000002</v>
          </cell>
          <cell r="E154">
            <v>1610.34</v>
          </cell>
          <cell r="F154">
            <v>728</v>
          </cell>
          <cell r="G154">
            <v>728</v>
          </cell>
          <cell r="H154">
            <v>3.0375000000000001</v>
          </cell>
        </row>
        <row r="155">
          <cell r="A155" t="str">
            <v>00301455</v>
          </cell>
          <cell r="B155" t="str">
            <v>JST   COVAPLUS     MAGNOLIA   0000001500</v>
          </cell>
          <cell r="C155" t="str">
            <v>Vinyl matt</v>
          </cell>
          <cell r="D155">
            <v>10.36</v>
          </cell>
          <cell r="E155">
            <v>1595.97</v>
          </cell>
          <cell r="F155">
            <v>170</v>
          </cell>
          <cell r="G155">
            <v>850</v>
          </cell>
          <cell r="H155">
            <v>9.9700000000000006</v>
          </cell>
        </row>
        <row r="156">
          <cell r="A156" t="str">
            <v>00264695</v>
          </cell>
          <cell r="B156" t="str">
            <v>LL    PLIOLITE     BLACK      0000001500</v>
          </cell>
          <cell r="C156" t="str">
            <v>Pliolite</v>
          </cell>
          <cell r="D156">
            <v>18.010000000000002</v>
          </cell>
          <cell r="E156">
            <v>1595.27</v>
          </cell>
          <cell r="F156">
            <v>97</v>
          </cell>
          <cell r="G156">
            <v>485</v>
          </cell>
          <cell r="H156">
            <v>21.612000000000002</v>
          </cell>
        </row>
        <row r="157">
          <cell r="A157" t="str">
            <v>00853382</v>
          </cell>
          <cell r="B157" t="str">
            <v>BLKRO PT LW GRIP   GLOVE L/XL</v>
          </cell>
          <cell r="C157" t="str">
            <v>Black Rock</v>
          </cell>
          <cell r="D157">
            <v>6.6</v>
          </cell>
          <cell r="E157">
            <v>1588.66</v>
          </cell>
          <cell r="F157">
            <v>266</v>
          </cell>
          <cell r="G157">
            <v>266</v>
          </cell>
          <cell r="H157">
            <v>6.11</v>
          </cell>
        </row>
        <row r="158">
          <cell r="A158" t="str">
            <v>00301745</v>
          </cell>
          <cell r="B158" t="str">
            <v>JST   S/SLD FX U/C BRIL WHITE 0000001250</v>
          </cell>
          <cell r="C158" t="str">
            <v>Flexible exterior</v>
          </cell>
          <cell r="D158">
            <v>22.54</v>
          </cell>
          <cell r="E158">
            <v>1583.72</v>
          </cell>
          <cell r="F158">
            <v>83</v>
          </cell>
          <cell r="G158">
            <v>207.5</v>
          </cell>
          <cell r="H158">
            <v>15</v>
          </cell>
        </row>
        <row r="159">
          <cell r="A159" t="str">
            <v>00264565</v>
          </cell>
          <cell r="B159" t="str">
            <v>LL    CONTRCT MATT BRIL WHITE 0000002100</v>
          </cell>
          <cell r="C159" t="str">
            <v>Contract matt</v>
          </cell>
          <cell r="D159">
            <v>12.46</v>
          </cell>
          <cell r="E159">
            <v>1544.22</v>
          </cell>
          <cell r="F159">
            <v>136</v>
          </cell>
          <cell r="G159">
            <v>1360</v>
          </cell>
          <cell r="H159">
            <v>11.600260000000002</v>
          </cell>
        </row>
        <row r="160">
          <cell r="A160" t="str">
            <v>00737822</v>
          </cell>
          <cell r="B160" t="str">
            <v>EWI   SDK U 45MM 100 PACK</v>
          </cell>
          <cell r="C160" t="str">
            <v>EWI</v>
          </cell>
          <cell r="D160">
            <v>18.98</v>
          </cell>
          <cell r="E160">
            <v>1537.8</v>
          </cell>
          <cell r="F160">
            <v>88</v>
          </cell>
          <cell r="G160">
            <v>88</v>
          </cell>
          <cell r="H160">
            <v>18.98</v>
          </cell>
        </row>
        <row r="161">
          <cell r="A161" t="str">
            <v>00303394</v>
          </cell>
          <cell r="B161" t="str">
            <v>JST   Q/DRY OPAQUE WHITE      0000001500</v>
          </cell>
          <cell r="C161" t="str">
            <v>WB Opaque</v>
          </cell>
          <cell r="D161">
            <v>25.08</v>
          </cell>
          <cell r="E161">
            <v>1481.97</v>
          </cell>
          <cell r="F161">
            <v>64</v>
          </cell>
          <cell r="G161">
            <v>320</v>
          </cell>
          <cell r="H161">
            <v>23.34948</v>
          </cell>
        </row>
        <row r="162">
          <cell r="A162" t="str">
            <v>00305063</v>
          </cell>
          <cell r="B162" t="str">
            <v>FD JS EGGSHELL     MIXED COL  0000001500</v>
          </cell>
          <cell r="C162" t="str">
            <v>Solvent Eggshell</v>
          </cell>
          <cell r="D162">
            <v>21.53</v>
          </cell>
          <cell r="E162">
            <v>1461</v>
          </cell>
          <cell r="F162">
            <v>75</v>
          </cell>
          <cell r="G162">
            <v>375</v>
          </cell>
          <cell r="H162">
            <v>23.683000000000003</v>
          </cell>
        </row>
        <row r="163">
          <cell r="A163" t="str">
            <v>00852822</v>
          </cell>
          <cell r="B163" t="str">
            <v>PGOLD EXTENSION    POLE 4-8'</v>
          </cell>
          <cell r="C163" t="str">
            <v>Extension Pole</v>
          </cell>
          <cell r="D163">
            <v>11.92</v>
          </cell>
          <cell r="E163">
            <v>1457.93</v>
          </cell>
          <cell r="F163">
            <v>136</v>
          </cell>
          <cell r="G163">
            <v>136</v>
          </cell>
          <cell r="H163">
            <v>11.92</v>
          </cell>
        </row>
        <row r="164">
          <cell r="A164" t="str">
            <v>00301668</v>
          </cell>
          <cell r="B164" t="str">
            <v>JST   PROF U/COAT  DARK GREY  0000001500</v>
          </cell>
          <cell r="C164" t="str">
            <v>Solvent Undercoat</v>
          </cell>
          <cell r="D164">
            <v>18.350000000000001</v>
          </cell>
          <cell r="E164">
            <v>1454.11</v>
          </cell>
          <cell r="F164">
            <v>89</v>
          </cell>
          <cell r="G164">
            <v>445</v>
          </cell>
          <cell r="H164">
            <v>25.69</v>
          </cell>
        </row>
        <row r="165">
          <cell r="A165" t="str">
            <v>00303709</v>
          </cell>
          <cell r="B165" t="str">
            <v>JST   S/GLOSS T/CT BLACK      0000001500</v>
          </cell>
          <cell r="C165" t="str">
            <v>Steel and Cladding</v>
          </cell>
          <cell r="D165">
            <v>58.58</v>
          </cell>
          <cell r="E165">
            <v>1452.44</v>
          </cell>
          <cell r="F165">
            <v>27</v>
          </cell>
          <cell r="G165">
            <v>135</v>
          </cell>
          <cell r="H165">
            <v>52</v>
          </cell>
        </row>
        <row r="166">
          <cell r="A166" t="str">
            <v>00852471</v>
          </cell>
          <cell r="B166" t="str">
            <v>PGOLD SMOOTH       ROLLER 4"</v>
          </cell>
          <cell r="C166" t="str">
            <v>Roller</v>
          </cell>
          <cell r="D166">
            <v>1.1399999999999999</v>
          </cell>
          <cell r="E166">
            <v>1435.24</v>
          </cell>
          <cell r="F166">
            <v>1448</v>
          </cell>
          <cell r="G166">
            <v>1448</v>
          </cell>
          <cell r="H166">
            <v>1.06134</v>
          </cell>
        </row>
        <row r="167">
          <cell r="A167" t="str">
            <v>00423529</v>
          </cell>
          <cell r="B167" t="str">
            <v>PGOLD DEC CAULK    WHITE 380M 0000000380</v>
          </cell>
          <cell r="C167" t="str">
            <v>Caulk</v>
          </cell>
          <cell r="D167">
            <v>0.93</v>
          </cell>
          <cell r="E167">
            <v>1423.53</v>
          </cell>
          <cell r="F167">
            <v>1617</v>
          </cell>
          <cell r="G167">
            <v>614.46</v>
          </cell>
          <cell r="H167">
            <v>0.93</v>
          </cell>
        </row>
        <row r="168">
          <cell r="A168" t="str">
            <v>00718569</v>
          </cell>
          <cell r="B168" t="str">
            <v>ARTEX GYPROC EASYFILL 5KG     0000001500</v>
          </cell>
          <cell r="C168" t="str">
            <v>Artex</v>
          </cell>
          <cell r="D168">
            <v>11.57</v>
          </cell>
          <cell r="E168">
            <v>1400.97</v>
          </cell>
          <cell r="F168">
            <v>151</v>
          </cell>
          <cell r="G168">
            <v>755</v>
          </cell>
          <cell r="H168">
            <v>11.57</v>
          </cell>
        </row>
        <row r="169">
          <cell r="A169" t="str">
            <v>00737720</v>
          </cell>
          <cell r="B169" t="str">
            <v>EWI   ROCKWOOL 90MM 1200 X 600 MM</v>
          </cell>
          <cell r="C169" t="str">
            <v>EWI</v>
          </cell>
          <cell r="D169">
            <v>12.42</v>
          </cell>
          <cell r="E169">
            <v>1392.76</v>
          </cell>
          <cell r="F169">
            <v>126</v>
          </cell>
          <cell r="G169">
            <v>126</v>
          </cell>
          <cell r="H169">
            <v>12.42</v>
          </cell>
        </row>
        <row r="170">
          <cell r="A170" t="str">
            <v>00611464</v>
          </cell>
          <cell r="B170" t="str">
            <v>PGOLD CLASS SYNTH  BR SET 3PC</v>
          </cell>
          <cell r="C170" t="str">
            <v>Brush</v>
          </cell>
          <cell r="D170">
            <v>7.56</v>
          </cell>
          <cell r="E170">
            <v>1377.33</v>
          </cell>
          <cell r="F170">
            <v>212</v>
          </cell>
          <cell r="G170">
            <v>212</v>
          </cell>
          <cell r="H170">
            <v>7.0383599999999999</v>
          </cell>
        </row>
        <row r="171">
          <cell r="A171" t="str">
            <v>00305831</v>
          </cell>
          <cell r="B171" t="str">
            <v>FD LL T/G SMOOTH   MIXED COL  0000001500</v>
          </cell>
          <cell r="C171" t="str">
            <v>Smooth masonry</v>
          </cell>
          <cell r="D171">
            <v>16.010000000000002</v>
          </cell>
          <cell r="E171">
            <v>1330.68</v>
          </cell>
          <cell r="F171">
            <v>94</v>
          </cell>
          <cell r="G171">
            <v>470</v>
          </cell>
          <cell r="H171">
            <v>14.905310000000002</v>
          </cell>
        </row>
        <row r="172">
          <cell r="A172" t="str">
            <v>00423683</v>
          </cell>
          <cell r="B172" t="str">
            <v>PGOLD PREM FLEXI   CAULK      0000000380</v>
          </cell>
          <cell r="C172" t="str">
            <v>Caulk</v>
          </cell>
          <cell r="D172">
            <v>3.18</v>
          </cell>
          <cell r="E172">
            <v>1327.88</v>
          </cell>
          <cell r="F172">
            <v>468</v>
          </cell>
          <cell r="G172">
            <v>177.84</v>
          </cell>
          <cell r="H172">
            <v>2.9605800000000002</v>
          </cell>
        </row>
        <row r="173">
          <cell r="A173" t="str">
            <v>00301719</v>
          </cell>
          <cell r="B173" t="str">
            <v>JST   VINYL SILK   MAGNOLIA   0000001500</v>
          </cell>
          <cell r="C173" t="str">
            <v>Vinyl Silk</v>
          </cell>
          <cell r="D173">
            <v>12.78</v>
          </cell>
          <cell r="E173">
            <v>1322.61</v>
          </cell>
          <cell r="F173">
            <v>114</v>
          </cell>
          <cell r="G173">
            <v>570</v>
          </cell>
          <cell r="H173">
            <v>17</v>
          </cell>
        </row>
        <row r="174">
          <cell r="A174" t="str">
            <v>00737919</v>
          </cell>
          <cell r="B174" t="str">
            <v>BLKRO PAINTERS     GLOVES     L WEIGHT</v>
          </cell>
          <cell r="C174" t="str">
            <v>Black Rock</v>
          </cell>
          <cell r="D174">
            <v>1.27</v>
          </cell>
          <cell r="E174">
            <v>1310.79</v>
          </cell>
          <cell r="F174">
            <v>1152</v>
          </cell>
          <cell r="G174">
            <v>1152</v>
          </cell>
          <cell r="H174">
            <v>1.1823700000000001</v>
          </cell>
        </row>
        <row r="175">
          <cell r="A175" t="str">
            <v>00611478</v>
          </cell>
          <cell r="B175" t="str">
            <v>PGOLD CONTRACTOR   B/SET 5PC</v>
          </cell>
          <cell r="C175" t="str">
            <v>Brush</v>
          </cell>
          <cell r="D175">
            <v>12.74</v>
          </cell>
          <cell r="E175">
            <v>1301.45</v>
          </cell>
          <cell r="F175">
            <v>114</v>
          </cell>
          <cell r="G175">
            <v>114</v>
          </cell>
          <cell r="H175">
            <v>11.860940000000001</v>
          </cell>
        </row>
        <row r="176">
          <cell r="A176" t="str">
            <v>00325105</v>
          </cell>
          <cell r="B176" t="str">
            <v>JST ROAD MARKING YELLOW 5LT         1500</v>
          </cell>
          <cell r="C176" t="str">
            <v>Floor paint</v>
          </cell>
          <cell r="D176">
            <v>52.91</v>
          </cell>
          <cell r="E176">
            <v>1299.04</v>
          </cell>
          <cell r="F176">
            <v>28</v>
          </cell>
          <cell r="G176">
            <v>140</v>
          </cell>
          <cell r="H176">
            <v>49.259209999999996</v>
          </cell>
        </row>
        <row r="177">
          <cell r="A177" t="str">
            <v>00682319</v>
          </cell>
          <cell r="B177" t="str">
            <v>PG Dust sheet Polyethylene 2mx50m 20micr</v>
          </cell>
          <cell r="C177" t="str">
            <v>Dust sheet</v>
          </cell>
          <cell r="D177">
            <v>8.4600000000000009</v>
          </cell>
          <cell r="E177">
            <v>1288.2</v>
          </cell>
          <cell r="F177">
            <v>168</v>
          </cell>
          <cell r="G177">
            <v>0.16800000000000001</v>
          </cell>
          <cell r="H177">
            <v>7.8762600000000011</v>
          </cell>
        </row>
        <row r="178">
          <cell r="A178" t="str">
            <v>00424019</v>
          </cell>
          <cell r="B178" t="str">
            <v>FD JS SILICO MASON MIXED      0000001500</v>
          </cell>
          <cell r="C178" t="str">
            <v>Silicone Masonry</v>
          </cell>
          <cell r="D178">
            <v>52.95</v>
          </cell>
          <cell r="E178">
            <v>1286.3399999999999</v>
          </cell>
          <cell r="F178">
            <v>22</v>
          </cell>
          <cell r="G178">
            <v>110</v>
          </cell>
          <cell r="H178">
            <v>52.95</v>
          </cell>
        </row>
        <row r="179">
          <cell r="A179" t="str">
            <v>00308192</v>
          </cell>
          <cell r="B179" t="str">
            <v>JST   OPAQUE W/FIN RUSSET     0000001250</v>
          </cell>
          <cell r="C179" t="str">
            <v>Opaque Solvent</v>
          </cell>
          <cell r="D179">
            <v>15.55</v>
          </cell>
          <cell r="E179">
            <v>1260.54</v>
          </cell>
          <cell r="F179">
            <v>114</v>
          </cell>
          <cell r="G179">
            <v>285</v>
          </cell>
          <cell r="H179">
            <v>12.69</v>
          </cell>
        </row>
        <row r="180">
          <cell r="A180" t="str">
            <v>00301967</v>
          </cell>
          <cell r="B180" t="str">
            <v>JST   SATIN W/STN  MAHOGANY   0000001500</v>
          </cell>
          <cell r="C180" t="str">
            <v>Woodstain</v>
          </cell>
          <cell r="D180">
            <v>29.65</v>
          </cell>
          <cell r="E180">
            <v>1251.8</v>
          </cell>
          <cell r="F180">
            <v>46</v>
          </cell>
          <cell r="G180">
            <v>230</v>
          </cell>
          <cell r="H180">
            <v>27.604150000000001</v>
          </cell>
        </row>
        <row r="181">
          <cell r="A181" t="str">
            <v>00304323</v>
          </cell>
          <cell r="B181" t="str">
            <v>JST   S/SLD STAB SOL CLEAR  0000001500</v>
          </cell>
          <cell r="C181" t="str">
            <v>Stabilising Solution</v>
          </cell>
          <cell r="D181">
            <v>16.71</v>
          </cell>
          <cell r="E181">
            <v>1250.68</v>
          </cell>
          <cell r="F181">
            <v>84</v>
          </cell>
          <cell r="G181">
            <v>420</v>
          </cell>
          <cell r="H181">
            <v>15.557010000000002</v>
          </cell>
        </row>
        <row r="182">
          <cell r="A182" t="str">
            <v>00611475</v>
          </cell>
          <cell r="B182" t="str">
            <v>PGOLD CONTRACTOR   BRUSH 1.5"</v>
          </cell>
          <cell r="C182" t="str">
            <v>Brush</v>
          </cell>
          <cell r="D182">
            <v>1.58</v>
          </cell>
          <cell r="E182">
            <v>1232.74</v>
          </cell>
          <cell r="F182">
            <v>875</v>
          </cell>
          <cell r="G182">
            <v>875</v>
          </cell>
          <cell r="H182">
            <v>1.4709800000000002</v>
          </cell>
        </row>
        <row r="183">
          <cell r="A183" t="str">
            <v>00301633</v>
          </cell>
          <cell r="B183" t="str">
            <v>JST   JONCRYL F PR BRIL WHITE 0000001250</v>
          </cell>
          <cell r="C183" t="str">
            <v>Primer</v>
          </cell>
          <cell r="D183">
            <v>11.76</v>
          </cell>
          <cell r="E183">
            <v>1231.43</v>
          </cell>
          <cell r="F183">
            <v>115</v>
          </cell>
          <cell r="G183">
            <v>287.5</v>
          </cell>
          <cell r="H183">
            <v>10.948560000000001</v>
          </cell>
        </row>
        <row r="184">
          <cell r="A184" t="str">
            <v>00737690</v>
          </cell>
          <cell r="B184" t="str">
            <v>EWI   WHITE PLASTIC STOP BEAD 2.5M 10MM</v>
          </cell>
          <cell r="C184" t="str">
            <v>EWI</v>
          </cell>
          <cell r="D184">
            <v>2.42</v>
          </cell>
          <cell r="E184">
            <v>1228.06</v>
          </cell>
          <cell r="F184">
            <v>572</v>
          </cell>
          <cell r="G184">
            <v>572</v>
          </cell>
          <cell r="H184">
            <v>2.42</v>
          </cell>
        </row>
        <row r="185">
          <cell r="A185" t="str">
            <v>00718458</v>
          </cell>
          <cell r="B185" t="str">
            <v>ARTEX EASI-FILL    10KG 60038 0000002100</v>
          </cell>
          <cell r="C185" t="str">
            <v>Artex</v>
          </cell>
          <cell r="D185">
            <v>17.75</v>
          </cell>
          <cell r="E185">
            <v>1205.03</v>
          </cell>
          <cell r="F185">
            <v>86</v>
          </cell>
          <cell r="G185">
            <v>860</v>
          </cell>
          <cell r="H185">
            <v>17.75</v>
          </cell>
        </row>
        <row r="186">
          <cell r="A186" t="str">
            <v>00302180</v>
          </cell>
          <cell r="B186" t="str">
            <v>JST   QD VARNISH   CLEAR SAT  0000001250</v>
          </cell>
          <cell r="C186" t="str">
            <v>Varnish</v>
          </cell>
          <cell r="D186">
            <v>19.13</v>
          </cell>
          <cell r="E186">
            <v>1204</v>
          </cell>
          <cell r="F186">
            <v>70</v>
          </cell>
          <cell r="G186">
            <v>175</v>
          </cell>
          <cell r="H186">
            <v>17.810030000000001</v>
          </cell>
        </row>
        <row r="187">
          <cell r="A187" t="str">
            <v>00300400</v>
          </cell>
          <cell r="B187" t="str">
            <v>JST   ACRYL SATIN  BRIL WHITE 0000001500</v>
          </cell>
          <cell r="C187" t="str">
            <v>Acrylic Satin</v>
          </cell>
          <cell r="D187">
            <v>26</v>
          </cell>
          <cell r="E187">
            <v>1162.58</v>
          </cell>
          <cell r="F187">
            <v>50</v>
          </cell>
          <cell r="G187">
            <v>250</v>
          </cell>
          <cell r="H187">
            <v>24.206000000000003</v>
          </cell>
        </row>
        <row r="188">
          <cell r="A188" t="str">
            <v>00852808</v>
          </cell>
          <cell r="B188" t="str">
            <v>PGOLD 12X9 COTTON  DUST SHEET</v>
          </cell>
          <cell r="C188" t="str">
            <v>Dust sheet</v>
          </cell>
          <cell r="D188">
            <v>8.0399999999999991</v>
          </cell>
          <cell r="E188">
            <v>1155.3399999999999</v>
          </cell>
          <cell r="F188">
            <v>119</v>
          </cell>
          <cell r="G188">
            <v>119</v>
          </cell>
          <cell r="H188">
            <v>7.4852399999999992</v>
          </cell>
        </row>
        <row r="189">
          <cell r="A189" t="str">
            <v>00852821</v>
          </cell>
          <cell r="B189" t="str">
            <v>PGOLD EXTENSION    POLE 2-4'</v>
          </cell>
          <cell r="C189" t="str">
            <v>Extension Pole</v>
          </cell>
          <cell r="D189">
            <v>7.71</v>
          </cell>
          <cell r="E189">
            <v>1153.24</v>
          </cell>
          <cell r="F189">
            <v>166</v>
          </cell>
          <cell r="G189">
            <v>166</v>
          </cell>
          <cell r="H189">
            <v>7.71</v>
          </cell>
        </row>
        <row r="190">
          <cell r="A190" t="str">
            <v>00722129</v>
          </cell>
          <cell r="B190" t="str">
            <v>K     REFUSE SACKS (50) POLY  BLACK (RS2</v>
          </cell>
          <cell r="C190" t="str">
            <v>Cleaning</v>
          </cell>
          <cell r="D190">
            <v>4.88</v>
          </cell>
          <cell r="E190">
            <v>1142.45</v>
          </cell>
          <cell r="F190">
            <v>263</v>
          </cell>
          <cell r="G190">
            <v>263</v>
          </cell>
          <cell r="H190">
            <v>5.3680000000000003</v>
          </cell>
        </row>
        <row r="191">
          <cell r="A191" t="str">
            <v>00301943</v>
          </cell>
          <cell r="B191" t="str">
            <v>JST   SATIN W/STN  ANTIQ PINE 0000001500</v>
          </cell>
          <cell r="C191" t="str">
            <v>Woodstain</v>
          </cell>
          <cell r="D191">
            <v>29.65</v>
          </cell>
          <cell r="E191">
            <v>1123.96</v>
          </cell>
          <cell r="F191">
            <v>42</v>
          </cell>
          <cell r="G191">
            <v>210</v>
          </cell>
          <cell r="H191">
            <v>27.604150000000001</v>
          </cell>
        </row>
        <row r="192">
          <cell r="A192" t="str">
            <v>00852818</v>
          </cell>
          <cell r="B192" t="str">
            <v>PGOLD 4" MINI FOAM ROLL FRAME SOFT GRIP</v>
          </cell>
          <cell r="C192" t="str">
            <v>Roller</v>
          </cell>
          <cell r="D192">
            <v>2.35</v>
          </cell>
          <cell r="E192">
            <v>1109.23</v>
          </cell>
          <cell r="F192">
            <v>581</v>
          </cell>
          <cell r="G192">
            <v>581</v>
          </cell>
          <cell r="H192">
            <v>2.1878500000000001</v>
          </cell>
        </row>
        <row r="193">
          <cell r="A193" t="str">
            <v>00306543</v>
          </cell>
          <cell r="B193" t="str">
            <v>FD JS ENDURA MATT  MIXED COL  0000001500</v>
          </cell>
          <cell r="C193" t="str">
            <v>Endura</v>
          </cell>
          <cell r="D193">
            <v>47.74</v>
          </cell>
          <cell r="E193">
            <v>1108.93</v>
          </cell>
          <cell r="F193">
            <v>26</v>
          </cell>
          <cell r="G193">
            <v>130</v>
          </cell>
          <cell r="H193">
            <v>44.445940000000007</v>
          </cell>
        </row>
        <row r="194">
          <cell r="A194" t="str">
            <v>00852798</v>
          </cell>
          <cell r="B194" t="str">
            <v>PGOLD 120 GRIT 5M  ALUM OXIDE</v>
          </cell>
          <cell r="C194" t="str">
            <v>Aluminium Oxide</v>
          </cell>
          <cell r="D194">
            <v>2.88</v>
          </cell>
          <cell r="E194">
            <v>1095.75</v>
          </cell>
          <cell r="F194">
            <v>253</v>
          </cell>
          <cell r="G194">
            <v>253</v>
          </cell>
          <cell r="H194">
            <v>2.6812800000000001</v>
          </cell>
        </row>
        <row r="195">
          <cell r="A195" t="str">
            <v>00852372</v>
          </cell>
          <cell r="B195" t="str">
            <v>WATCO SPEC CONF FL RAL COLS   0000001500</v>
          </cell>
          <cell r="C195" t="str">
            <v>Watco</v>
          </cell>
          <cell r="D195">
            <v>106.08</v>
          </cell>
          <cell r="E195">
            <v>1095.71</v>
          </cell>
          <cell r="F195">
            <v>11</v>
          </cell>
          <cell r="G195">
            <v>55</v>
          </cell>
          <cell r="H195">
            <v>90.17</v>
          </cell>
        </row>
        <row r="196">
          <cell r="A196" t="str">
            <v>00264625</v>
          </cell>
          <cell r="B196" t="str">
            <v>LL    VINYL MATT   BRIL WHITE 0000002100</v>
          </cell>
          <cell r="C196" t="str">
            <v>Vinyl matt</v>
          </cell>
          <cell r="D196">
            <v>18.93</v>
          </cell>
          <cell r="E196">
            <v>1091.08</v>
          </cell>
          <cell r="F196">
            <v>64</v>
          </cell>
          <cell r="G196">
            <v>640</v>
          </cell>
          <cell r="H196">
            <v>16.489999999999998</v>
          </cell>
        </row>
        <row r="197">
          <cell r="A197" t="str">
            <v>00301957</v>
          </cell>
          <cell r="B197" t="str">
            <v>JST   SATIN W/STN  MEDIUM OAK 0000001250</v>
          </cell>
          <cell r="C197" t="str">
            <v>Woodstain</v>
          </cell>
          <cell r="D197">
            <v>16.88</v>
          </cell>
          <cell r="E197">
            <v>1082.83</v>
          </cell>
          <cell r="F197">
            <v>70</v>
          </cell>
          <cell r="G197">
            <v>175</v>
          </cell>
          <cell r="H197">
            <v>15.71528</v>
          </cell>
        </row>
        <row r="198">
          <cell r="A198" t="str">
            <v>00301732</v>
          </cell>
          <cell r="B198" t="str">
            <v>JST   S/SLD FX GLS BLACK      0000001250</v>
          </cell>
          <cell r="C198" t="str">
            <v>Flexible exterior</v>
          </cell>
          <cell r="D198">
            <v>25.18</v>
          </cell>
          <cell r="E198">
            <v>1077.83</v>
          </cell>
          <cell r="F198">
            <v>47</v>
          </cell>
          <cell r="G198">
            <v>117.5</v>
          </cell>
          <cell r="H198">
            <v>18</v>
          </cell>
        </row>
        <row r="199">
          <cell r="A199" t="str">
            <v>00852802</v>
          </cell>
          <cell r="B199" t="str">
            <v>PGOLD 120 GRIT 10M ALUM OXIDE</v>
          </cell>
          <cell r="C199" t="str">
            <v>Aluminium Oxide</v>
          </cell>
          <cell r="D199">
            <v>5.29</v>
          </cell>
          <cell r="E199">
            <v>1076.3399999999999</v>
          </cell>
          <cell r="F199">
            <v>168</v>
          </cell>
          <cell r="G199">
            <v>168</v>
          </cell>
          <cell r="H199">
            <v>4.9249900000000002</v>
          </cell>
        </row>
        <row r="200">
          <cell r="A200" t="str">
            <v>00852429</v>
          </cell>
          <cell r="B200" t="str">
            <v>PGOLD WHITE SPIRIT 2LT              1200</v>
          </cell>
          <cell r="C200" t="str">
            <v>Spirits</v>
          </cell>
          <cell r="D200">
            <v>2.83</v>
          </cell>
          <cell r="E200">
            <v>1055.67</v>
          </cell>
          <cell r="F200">
            <v>408</v>
          </cell>
          <cell r="G200">
            <v>816</v>
          </cell>
          <cell r="H200">
            <v>3.3959999999999999</v>
          </cell>
        </row>
        <row r="201">
          <cell r="A201" t="str">
            <v>00737310</v>
          </cell>
          <cell r="B201" t="str">
            <v>EASYL LINING PAPER 1200 DOUBL</v>
          </cell>
          <cell r="C201" t="str">
            <v>Wallcovering</v>
          </cell>
          <cell r="D201">
            <v>3.32</v>
          </cell>
          <cell r="E201">
            <v>1051.6199999999999</v>
          </cell>
          <cell r="F201">
            <v>351</v>
          </cell>
          <cell r="G201">
            <v>351</v>
          </cell>
          <cell r="H201">
            <v>3.32</v>
          </cell>
        </row>
        <row r="202">
          <cell r="A202" t="str">
            <v>00611392</v>
          </cell>
          <cell r="B202" t="str">
            <v>TESA  PR MASK TAPE 50M X 50MM 4440</v>
          </cell>
          <cell r="C202" t="str">
            <v>Tape</v>
          </cell>
          <cell r="D202">
            <v>9.19</v>
          </cell>
          <cell r="E202">
            <v>1041.8900000000001</v>
          </cell>
          <cell r="F202">
            <v>107</v>
          </cell>
          <cell r="G202">
            <v>61.045999999999999</v>
          </cell>
          <cell r="H202">
            <v>8.5558899999999998</v>
          </cell>
        </row>
        <row r="203">
          <cell r="A203" t="str">
            <v>00301664</v>
          </cell>
          <cell r="B203" t="str">
            <v>JST   PROF U/COAT  BRIL WHITE 0000001250</v>
          </cell>
          <cell r="C203" t="str">
            <v>Solvent Undercoat</v>
          </cell>
          <cell r="D203">
            <v>9.7799999999999994</v>
          </cell>
          <cell r="E203">
            <v>1024.9000000000001</v>
          </cell>
          <cell r="F203">
            <v>115</v>
          </cell>
          <cell r="G203">
            <v>287.5</v>
          </cell>
          <cell r="H203">
            <v>9.7799999999999994</v>
          </cell>
        </row>
        <row r="204">
          <cell r="A204" t="str">
            <v>00723486</v>
          </cell>
          <cell r="B204" t="str">
            <v>K     PLASTIC      20"SCUTTLE (FOR 15" R</v>
          </cell>
          <cell r="C204" t="str">
            <v>Scuttle</v>
          </cell>
          <cell r="D204">
            <v>6.65</v>
          </cell>
          <cell r="E204">
            <v>1022.68</v>
          </cell>
          <cell r="F204">
            <v>170</v>
          </cell>
          <cell r="G204">
            <v>170</v>
          </cell>
          <cell r="H204">
            <v>6.1911500000000004</v>
          </cell>
        </row>
        <row r="205">
          <cell r="A205" t="str">
            <v>00306360</v>
          </cell>
          <cell r="B205" t="str">
            <v>JST   ACRYLIC MATT MAGNOLIA   0000002100</v>
          </cell>
          <cell r="C205" t="str">
            <v>Acrylic Matt</v>
          </cell>
          <cell r="D205">
            <v>34.5</v>
          </cell>
          <cell r="E205">
            <v>1016.07</v>
          </cell>
          <cell r="F205">
            <v>33</v>
          </cell>
          <cell r="G205">
            <v>330</v>
          </cell>
          <cell r="H205">
            <v>31.35</v>
          </cell>
        </row>
        <row r="206">
          <cell r="A206" t="str">
            <v>00304285</v>
          </cell>
          <cell r="B206" t="str">
            <v>JST   ULTRA PR/SLR BRIL WHITE 0000001500</v>
          </cell>
          <cell r="C206" t="str">
            <v>Primer</v>
          </cell>
          <cell r="D206">
            <v>25.22</v>
          </cell>
          <cell r="E206">
            <v>1008.32</v>
          </cell>
          <cell r="F206">
            <v>40</v>
          </cell>
          <cell r="G206">
            <v>200</v>
          </cell>
          <cell r="H206">
            <v>23.47982</v>
          </cell>
        </row>
        <row r="207">
          <cell r="A207" t="str">
            <v>00726024</v>
          </cell>
          <cell r="B207" t="str">
            <v>ARTEX EASI FILL 20 10KG             2100</v>
          </cell>
          <cell r="C207" t="str">
            <v>Artex</v>
          </cell>
          <cell r="D207">
            <v>17.690000000000001</v>
          </cell>
          <cell r="E207">
            <v>1006.22</v>
          </cell>
          <cell r="F207">
            <v>68</v>
          </cell>
          <cell r="G207">
            <v>680</v>
          </cell>
          <cell r="H207">
            <v>17.690000000000001</v>
          </cell>
        </row>
        <row r="208">
          <cell r="A208" t="str">
            <v>00306952</v>
          </cell>
          <cell r="B208" t="str">
            <v>JST   STAIN BLOCK  BRIL WHITE 0000001500</v>
          </cell>
          <cell r="C208" t="str">
            <v>Primer</v>
          </cell>
          <cell r="D208">
            <v>46.71</v>
          </cell>
          <cell r="E208">
            <v>1001.07</v>
          </cell>
          <cell r="F208">
            <v>23</v>
          </cell>
          <cell r="G208">
            <v>115</v>
          </cell>
          <cell r="H208">
            <v>43.487010000000005</v>
          </cell>
        </row>
        <row r="209">
          <cell r="A209" t="str">
            <v>00301841</v>
          </cell>
          <cell r="B209" t="str">
            <v>JST   2PK WB FLOOR MORN MIST  0000001400</v>
          </cell>
          <cell r="C209" t="str">
            <v>Floor paint</v>
          </cell>
          <cell r="D209">
            <v>127.65</v>
          </cell>
          <cell r="E209">
            <v>998.56</v>
          </cell>
          <cell r="F209">
            <v>16</v>
          </cell>
          <cell r="G209">
            <v>64</v>
          </cell>
          <cell r="H209">
            <v>76.59</v>
          </cell>
        </row>
        <row r="210">
          <cell r="A210" t="str">
            <v>00852553</v>
          </cell>
          <cell r="B210" t="str">
            <v>PGOLD MULTI WIPES  (100)</v>
          </cell>
          <cell r="C210" t="str">
            <v>Cleaning</v>
          </cell>
          <cell r="D210">
            <v>3.15</v>
          </cell>
          <cell r="E210">
            <v>950.92</v>
          </cell>
          <cell r="F210">
            <v>334</v>
          </cell>
          <cell r="G210">
            <v>334</v>
          </cell>
          <cell r="H210">
            <v>2.9326500000000002</v>
          </cell>
        </row>
        <row r="211">
          <cell r="A211" t="str">
            <v>00423469</v>
          </cell>
          <cell r="B211" t="str">
            <v>JST   PROF GLOSS   BLACK      0000001250</v>
          </cell>
          <cell r="C211" t="str">
            <v>Solvent Gloss</v>
          </cell>
          <cell r="D211">
            <v>12.72</v>
          </cell>
          <cell r="E211">
            <v>950.5</v>
          </cell>
          <cell r="F211">
            <v>87</v>
          </cell>
          <cell r="G211">
            <v>217.5</v>
          </cell>
          <cell r="H211">
            <v>14.82</v>
          </cell>
        </row>
        <row r="212">
          <cell r="A212" t="str">
            <v>00301680</v>
          </cell>
          <cell r="B212" t="str">
            <v>JST   EGGSHELL     BRIL WHITE 0000001500</v>
          </cell>
          <cell r="C212" t="str">
            <v>Solvent Eggshell</v>
          </cell>
          <cell r="D212">
            <v>19.079999999999998</v>
          </cell>
          <cell r="E212">
            <v>947.03</v>
          </cell>
          <cell r="F212">
            <v>55</v>
          </cell>
          <cell r="G212">
            <v>275</v>
          </cell>
          <cell r="H212">
            <v>23.68</v>
          </cell>
        </row>
        <row r="213">
          <cell r="A213" t="str">
            <v>00264820</v>
          </cell>
          <cell r="B213" t="str">
            <v>LL    VINYL MATT   MAGNOLIA   0000002100</v>
          </cell>
          <cell r="C213" t="str">
            <v>Vinyl matt</v>
          </cell>
          <cell r="D213">
            <v>18.93</v>
          </cell>
          <cell r="E213">
            <v>944.96</v>
          </cell>
          <cell r="F213">
            <v>56</v>
          </cell>
          <cell r="G213">
            <v>560</v>
          </cell>
          <cell r="H213">
            <v>16.489999999999998</v>
          </cell>
        </row>
        <row r="214">
          <cell r="A214" t="str">
            <v>00305067</v>
          </cell>
          <cell r="B214" t="str">
            <v>FD JS PROF U/COAT  MIXED COL  0000001250</v>
          </cell>
          <cell r="C214" t="str">
            <v>Solvent Undercoat</v>
          </cell>
          <cell r="D214">
            <v>9.7799999999999994</v>
          </cell>
          <cell r="E214">
            <v>934.28</v>
          </cell>
          <cell r="F214">
            <v>106</v>
          </cell>
          <cell r="G214">
            <v>265</v>
          </cell>
          <cell r="H214">
            <v>13.69</v>
          </cell>
        </row>
        <row r="215">
          <cell r="A215" t="str">
            <v>00852805</v>
          </cell>
          <cell r="B215" t="str">
            <v>PGOLD 80 GRIT 10M  ALUM OXIDE</v>
          </cell>
          <cell r="C215" t="str">
            <v>Aluminium Oxide</v>
          </cell>
          <cell r="D215">
            <v>5.29</v>
          </cell>
          <cell r="E215">
            <v>923.96</v>
          </cell>
          <cell r="F215">
            <v>117</v>
          </cell>
          <cell r="G215">
            <v>117</v>
          </cell>
          <cell r="H215">
            <v>4.9249900000000002</v>
          </cell>
        </row>
        <row r="216">
          <cell r="A216" t="str">
            <v>00633142</v>
          </cell>
          <cell r="B216" t="str">
            <v>ZINSR BULLSEYE 123 WHITE      0000001250</v>
          </cell>
          <cell r="C216" t="str">
            <v>Zinsser</v>
          </cell>
          <cell r="D216">
            <v>33.96</v>
          </cell>
          <cell r="E216">
            <v>920.06</v>
          </cell>
          <cell r="F216">
            <v>31</v>
          </cell>
          <cell r="G216">
            <v>77.5</v>
          </cell>
          <cell r="H216">
            <v>31.616760000000003</v>
          </cell>
        </row>
        <row r="217">
          <cell r="A217" t="str">
            <v>00264698</v>
          </cell>
          <cell r="B217" t="str">
            <v>LL    PLIOLITE     MAGNOLIA   0000001500</v>
          </cell>
          <cell r="C217" t="str">
            <v>Pliolite</v>
          </cell>
          <cell r="D217">
            <v>17.100000000000001</v>
          </cell>
          <cell r="E217">
            <v>908.26</v>
          </cell>
          <cell r="F217">
            <v>61</v>
          </cell>
          <cell r="G217">
            <v>305</v>
          </cell>
          <cell r="H217">
            <v>20.52</v>
          </cell>
        </row>
        <row r="218">
          <cell r="A218" t="str">
            <v>00737674</v>
          </cell>
          <cell r="B218" t="str">
            <v>EWI   WHIPLASTIC EXPANSION BEAD 2.5M10MM</v>
          </cell>
          <cell r="C218" t="str">
            <v>EWI</v>
          </cell>
          <cell r="D218">
            <v>5.87</v>
          </cell>
          <cell r="E218">
            <v>881.4</v>
          </cell>
          <cell r="F218">
            <v>168</v>
          </cell>
          <cell r="G218">
            <v>168</v>
          </cell>
          <cell r="H218">
            <v>5.87</v>
          </cell>
        </row>
        <row r="219">
          <cell r="A219" t="str">
            <v>00728163</v>
          </cell>
          <cell r="B219" t="str">
            <v>ZINSR BIN PRIMER   WHITE      0000001100</v>
          </cell>
          <cell r="C219" t="str">
            <v>Zinsser</v>
          </cell>
          <cell r="D219">
            <v>17.690000000000001</v>
          </cell>
          <cell r="E219">
            <v>875.42</v>
          </cell>
          <cell r="F219">
            <v>55</v>
          </cell>
          <cell r="G219">
            <v>55</v>
          </cell>
          <cell r="H219">
            <v>19.459000000000003</v>
          </cell>
        </row>
        <row r="220">
          <cell r="A220" t="str">
            <v>00732315</v>
          </cell>
          <cell r="B220" t="str">
            <v>ARTEX EASIFILL 20 5KG         0000001500</v>
          </cell>
          <cell r="C220" t="str">
            <v>Artex</v>
          </cell>
          <cell r="D220">
            <v>15.32</v>
          </cell>
          <cell r="E220">
            <v>873.47</v>
          </cell>
          <cell r="F220">
            <v>69</v>
          </cell>
          <cell r="G220">
            <v>345</v>
          </cell>
          <cell r="H220">
            <v>14.262920000000001</v>
          </cell>
        </row>
        <row r="221">
          <cell r="A221" t="str">
            <v>00301485</v>
          </cell>
          <cell r="B221" t="str">
            <v>JST   V/SOFT SHEEN BRIL WHITE 0000002100</v>
          </cell>
          <cell r="C221" t="str">
            <v>Soft Sheen</v>
          </cell>
          <cell r="D221">
            <v>25.79</v>
          </cell>
          <cell r="E221">
            <v>871.08</v>
          </cell>
          <cell r="F221">
            <v>37</v>
          </cell>
          <cell r="G221">
            <v>370</v>
          </cell>
          <cell r="H221">
            <v>21.42</v>
          </cell>
        </row>
        <row r="222">
          <cell r="A222" t="str">
            <v>00301468</v>
          </cell>
          <cell r="B222" t="str">
            <v>JST   ACRYLIC MATT MAGNOLIA   0000001500</v>
          </cell>
          <cell r="C222" t="str">
            <v>Acrylic Matt</v>
          </cell>
          <cell r="D222">
            <v>21.99</v>
          </cell>
          <cell r="E222">
            <v>869.58</v>
          </cell>
          <cell r="F222">
            <v>45</v>
          </cell>
          <cell r="G222">
            <v>225</v>
          </cell>
          <cell r="H222">
            <v>16.5</v>
          </cell>
        </row>
        <row r="223">
          <cell r="A223" t="str">
            <v>00852409</v>
          </cell>
          <cell r="B223" t="str">
            <v>PGOLD AP WALLPAPER ADH 36 RL</v>
          </cell>
          <cell r="C223" t="str">
            <v>Adhesive</v>
          </cell>
          <cell r="D223">
            <v>3.9</v>
          </cell>
          <cell r="E223">
            <v>869.1</v>
          </cell>
          <cell r="F223">
            <v>250</v>
          </cell>
          <cell r="G223">
            <v>250</v>
          </cell>
          <cell r="H223">
            <v>3.6309</v>
          </cell>
        </row>
        <row r="224">
          <cell r="A224" t="str">
            <v>00852555</v>
          </cell>
          <cell r="B224" t="str">
            <v>PGOLD MULTI WIPES  (300)</v>
          </cell>
          <cell r="C224" t="str">
            <v>Cleaning</v>
          </cell>
          <cell r="D224">
            <v>7.19</v>
          </cell>
          <cell r="E224">
            <v>864.16</v>
          </cell>
          <cell r="F224">
            <v>124</v>
          </cell>
          <cell r="G224">
            <v>124</v>
          </cell>
          <cell r="H224">
            <v>7.19</v>
          </cell>
        </row>
        <row r="225">
          <cell r="A225" t="str">
            <v>00305041</v>
          </cell>
          <cell r="B225" t="str">
            <v>FD JS AC/DURA MATT MIXED COL  0000001250</v>
          </cell>
          <cell r="C225" t="str">
            <v>Acrylic Matt</v>
          </cell>
          <cell r="D225">
            <v>12.55</v>
          </cell>
          <cell r="E225">
            <v>862.77</v>
          </cell>
          <cell r="F225">
            <v>75</v>
          </cell>
          <cell r="G225">
            <v>187.5</v>
          </cell>
          <cell r="H225">
            <v>10.98</v>
          </cell>
        </row>
        <row r="226">
          <cell r="A226" t="str">
            <v>00301722</v>
          </cell>
          <cell r="B226" t="str">
            <v>JST   VINYL SILK   BRIL WHITE 0000002100</v>
          </cell>
          <cell r="C226" t="str">
            <v>Vinyl Silk</v>
          </cell>
          <cell r="D226">
            <v>25.79</v>
          </cell>
          <cell r="E226">
            <v>860.34</v>
          </cell>
          <cell r="F226">
            <v>37</v>
          </cell>
          <cell r="G226">
            <v>370</v>
          </cell>
          <cell r="H226">
            <v>24.010490000000001</v>
          </cell>
        </row>
        <row r="227">
          <cell r="A227" t="str">
            <v>00307895</v>
          </cell>
          <cell r="B227" t="str">
            <v>FD JS AQUA WB SAT  MIXED COL  0000001250</v>
          </cell>
          <cell r="C227" t="str">
            <v>Aqua Satin</v>
          </cell>
          <cell r="D227">
            <v>18.670000000000002</v>
          </cell>
          <cell r="E227">
            <v>849.2</v>
          </cell>
          <cell r="F227">
            <v>50</v>
          </cell>
          <cell r="G227">
            <v>125</v>
          </cell>
          <cell r="H227">
            <v>18.670000000000002</v>
          </cell>
        </row>
        <row r="228">
          <cell r="A228" t="str">
            <v>00423503</v>
          </cell>
          <cell r="B228" t="str">
            <v>FD JS AQUA WB GLS  MIXED COL  0000001100</v>
          </cell>
          <cell r="C228" t="str">
            <v>Aqua Gloss</v>
          </cell>
          <cell r="D228">
            <v>11.92</v>
          </cell>
          <cell r="E228">
            <v>847.09</v>
          </cell>
          <cell r="F228">
            <v>78</v>
          </cell>
          <cell r="G228">
            <v>78</v>
          </cell>
          <cell r="H228">
            <v>11.92</v>
          </cell>
        </row>
        <row r="229">
          <cell r="A229" t="str">
            <v>00305858</v>
          </cell>
          <cell r="B229" t="str">
            <v>JST   UNI PRIMER   RED OXIDE  0000001500</v>
          </cell>
          <cell r="C229" t="str">
            <v>Primer</v>
          </cell>
          <cell r="D229">
            <v>44.53</v>
          </cell>
          <cell r="E229">
            <v>846.99</v>
          </cell>
          <cell r="F229">
            <v>21</v>
          </cell>
          <cell r="G229">
            <v>105</v>
          </cell>
          <cell r="H229">
            <v>41.457430000000002</v>
          </cell>
        </row>
        <row r="230">
          <cell r="A230" t="str">
            <v>00307976</v>
          </cell>
          <cell r="B230" t="str">
            <v>FD JS Q/DRY OPAQUE MIXED COL  0000001250</v>
          </cell>
          <cell r="C230" t="str">
            <v>WB Opaque</v>
          </cell>
          <cell r="D230">
            <v>17.09</v>
          </cell>
          <cell r="E230">
            <v>843.3</v>
          </cell>
          <cell r="F230">
            <v>55</v>
          </cell>
          <cell r="G230">
            <v>137.5</v>
          </cell>
          <cell r="H230">
            <v>15.91079</v>
          </cell>
        </row>
        <row r="231">
          <cell r="A231" t="str">
            <v>00358302</v>
          </cell>
          <cell r="B231" t="str">
            <v>JST   QD STEEL &amp;   CLAD B/WHI 0000001500</v>
          </cell>
          <cell r="C231" t="str">
            <v>Steel and Cladding</v>
          </cell>
          <cell r="D231">
            <v>53.24</v>
          </cell>
          <cell r="E231">
            <v>841.11</v>
          </cell>
          <cell r="F231">
            <v>15</v>
          </cell>
          <cell r="G231">
            <v>75</v>
          </cell>
          <cell r="H231">
            <v>49.566440000000007</v>
          </cell>
        </row>
        <row r="232">
          <cell r="A232" t="str">
            <v>00728161</v>
          </cell>
          <cell r="B232" t="str">
            <v>ZINSR COVERSTAIN   WHITE      0000001500</v>
          </cell>
          <cell r="C232" t="str">
            <v>Zinsser</v>
          </cell>
          <cell r="D232">
            <v>54.78</v>
          </cell>
          <cell r="E232">
            <v>839.92</v>
          </cell>
          <cell r="F232">
            <v>17</v>
          </cell>
          <cell r="G232">
            <v>85</v>
          </cell>
          <cell r="H232">
            <v>51.00018</v>
          </cell>
        </row>
        <row r="233">
          <cell r="A233" t="str">
            <v>00264696</v>
          </cell>
          <cell r="B233" t="str">
            <v>LL    PLIOLITE     BRIL WHITE 0000001500</v>
          </cell>
          <cell r="C233" t="str">
            <v>Pliolite</v>
          </cell>
          <cell r="D233">
            <v>17.100000000000001</v>
          </cell>
          <cell r="E233">
            <v>838.67</v>
          </cell>
          <cell r="F233">
            <v>56</v>
          </cell>
          <cell r="G233">
            <v>280</v>
          </cell>
          <cell r="H233">
            <v>20.52</v>
          </cell>
        </row>
        <row r="234">
          <cell r="A234" t="str">
            <v>00264621</v>
          </cell>
          <cell r="B234" t="str">
            <v>LL    FLOOR PAINT  TILE RED   0000001500</v>
          </cell>
          <cell r="C234" t="str">
            <v>Floor paint</v>
          </cell>
          <cell r="D234">
            <v>20.74</v>
          </cell>
          <cell r="E234">
            <v>832.95</v>
          </cell>
          <cell r="F234">
            <v>45</v>
          </cell>
          <cell r="G234">
            <v>225</v>
          </cell>
          <cell r="H234">
            <v>19.30894</v>
          </cell>
        </row>
        <row r="235">
          <cell r="A235" t="str">
            <v>00734925</v>
          </cell>
          <cell r="B235" t="str">
            <v>BLINE ONE TIME     FILLER 1L  TOEBOA1100</v>
          </cell>
          <cell r="C235" t="str">
            <v>BeeLine</v>
          </cell>
          <cell r="D235">
            <v>7.1</v>
          </cell>
          <cell r="E235">
            <v>824.81</v>
          </cell>
          <cell r="F235">
            <v>130</v>
          </cell>
          <cell r="G235">
            <v>130</v>
          </cell>
          <cell r="H235">
            <v>6.6101000000000001</v>
          </cell>
        </row>
        <row r="236">
          <cell r="A236" t="str">
            <v>00852918</v>
          </cell>
          <cell r="B236" t="str">
            <v>PGOLD EX LONG POLY 9" ROLLER</v>
          </cell>
          <cell r="C236" t="str">
            <v>Roller</v>
          </cell>
          <cell r="D236">
            <v>4.41</v>
          </cell>
          <cell r="E236">
            <v>815.63</v>
          </cell>
          <cell r="F236">
            <v>202</v>
          </cell>
          <cell r="G236">
            <v>202</v>
          </cell>
          <cell r="H236">
            <v>4.1057100000000002</v>
          </cell>
        </row>
        <row r="237">
          <cell r="A237" t="str">
            <v>00301819</v>
          </cell>
          <cell r="B237" t="str">
            <v>JST   QD HB ZINC   WHITE      0000001500</v>
          </cell>
          <cell r="C237" t="str">
            <v>Primer</v>
          </cell>
          <cell r="D237">
            <v>26.37</v>
          </cell>
          <cell r="E237">
            <v>803.41</v>
          </cell>
          <cell r="F237">
            <v>34</v>
          </cell>
          <cell r="G237">
            <v>170</v>
          </cell>
          <cell r="H237">
            <v>24.550470000000001</v>
          </cell>
        </row>
        <row r="238">
          <cell r="A238" t="str">
            <v>00852915</v>
          </cell>
          <cell r="B238" t="str">
            <v>PGOLD SIM MOHAIR   4" ROLLER</v>
          </cell>
          <cell r="C238" t="str">
            <v>Roller</v>
          </cell>
          <cell r="D238">
            <v>1.19</v>
          </cell>
          <cell r="E238">
            <v>801.96</v>
          </cell>
          <cell r="F238">
            <v>754</v>
          </cell>
          <cell r="G238">
            <v>754</v>
          </cell>
          <cell r="H238">
            <v>1.10789</v>
          </cell>
        </row>
        <row r="239">
          <cell r="A239" t="str">
            <v>00301837</v>
          </cell>
          <cell r="B239" t="str">
            <v>JST   HD GLAZE     CLEAR      0000001500</v>
          </cell>
          <cell r="C239" t="str">
            <v>Glaze</v>
          </cell>
          <cell r="D239">
            <v>29.81</v>
          </cell>
          <cell r="E239">
            <v>785.88</v>
          </cell>
          <cell r="F239">
            <v>30</v>
          </cell>
          <cell r="G239">
            <v>150</v>
          </cell>
          <cell r="H239">
            <v>27.75311</v>
          </cell>
        </row>
        <row r="240">
          <cell r="A240" t="str">
            <v>00852801</v>
          </cell>
          <cell r="B240" t="str">
            <v>PGOLD 80 GRIT 5M   ALUM OXIDE</v>
          </cell>
          <cell r="C240" t="str">
            <v>Aluminium Oxide</v>
          </cell>
          <cell r="D240">
            <v>2.88</v>
          </cell>
          <cell r="E240">
            <v>783</v>
          </cell>
          <cell r="F240">
            <v>173</v>
          </cell>
          <cell r="G240">
            <v>173</v>
          </cell>
          <cell r="H240">
            <v>2.6812800000000001</v>
          </cell>
        </row>
        <row r="241">
          <cell r="A241" t="str">
            <v>00308406</v>
          </cell>
          <cell r="B241" t="str">
            <v>JST   AD MULT SURF PRIMER WHI 0000001500</v>
          </cell>
          <cell r="C241" t="str">
            <v>Primer</v>
          </cell>
          <cell r="D241">
            <v>32.11</v>
          </cell>
          <cell r="E241">
            <v>773.91</v>
          </cell>
          <cell r="F241">
            <v>27</v>
          </cell>
          <cell r="G241">
            <v>135</v>
          </cell>
          <cell r="H241">
            <v>29.894410000000001</v>
          </cell>
        </row>
        <row r="242">
          <cell r="A242" t="str">
            <v>00264566</v>
          </cell>
          <cell r="B242" t="str">
            <v>LL    CONTRCT MATT MAGNOLIA   0000002100</v>
          </cell>
          <cell r="C242" t="str">
            <v>Contract matt</v>
          </cell>
          <cell r="D242">
            <v>12.46</v>
          </cell>
          <cell r="E242">
            <v>773.76</v>
          </cell>
          <cell r="F242">
            <v>70</v>
          </cell>
          <cell r="G242">
            <v>700</v>
          </cell>
          <cell r="H242">
            <v>11.600260000000002</v>
          </cell>
        </row>
        <row r="243">
          <cell r="A243" t="str">
            <v>00305045</v>
          </cell>
          <cell r="B243" t="str">
            <v>FD JS A/BAC EC/EGG MIXED COL  0000001500</v>
          </cell>
          <cell r="C243" t="str">
            <v>Anti-bacterial</v>
          </cell>
          <cell r="D243">
            <v>49.27</v>
          </cell>
          <cell r="E243">
            <v>756.45</v>
          </cell>
          <cell r="F243">
            <v>17</v>
          </cell>
          <cell r="G243">
            <v>85</v>
          </cell>
          <cell r="H243">
            <v>45.870370000000008</v>
          </cell>
        </row>
        <row r="244">
          <cell r="A244" t="str">
            <v>00302008</v>
          </cell>
          <cell r="B244" t="str">
            <v>JST   SHED &amp; FENCE DARK OAK   0000001900</v>
          </cell>
          <cell r="C244" t="str">
            <v>Shed and fence</v>
          </cell>
          <cell r="D244">
            <v>14.38</v>
          </cell>
          <cell r="E244">
            <v>748.26</v>
          </cell>
          <cell r="F244">
            <v>60</v>
          </cell>
          <cell r="G244">
            <v>540</v>
          </cell>
          <cell r="H244">
            <v>13.387780000000001</v>
          </cell>
        </row>
        <row r="245">
          <cell r="A245" t="str">
            <v>00301952</v>
          </cell>
          <cell r="B245" t="str">
            <v>JST   SATIN W/STN  EBONY      0000001500</v>
          </cell>
          <cell r="C245" t="str">
            <v>Woodstain</v>
          </cell>
          <cell r="D245">
            <v>29.65</v>
          </cell>
          <cell r="E245">
            <v>747.62</v>
          </cell>
          <cell r="F245">
            <v>29</v>
          </cell>
          <cell r="G245">
            <v>145</v>
          </cell>
          <cell r="H245">
            <v>27.604150000000001</v>
          </cell>
        </row>
        <row r="246">
          <cell r="A246" t="str">
            <v>00852473</v>
          </cell>
          <cell r="B246" t="str">
            <v>PGOLD SEMI ROUGH   ROLLER 9"</v>
          </cell>
          <cell r="C246" t="str">
            <v>Roller</v>
          </cell>
          <cell r="D246">
            <v>2.78</v>
          </cell>
          <cell r="E246">
            <v>744.44</v>
          </cell>
          <cell r="F246">
            <v>296</v>
          </cell>
          <cell r="G246">
            <v>296</v>
          </cell>
          <cell r="H246">
            <v>2.5881799999999999</v>
          </cell>
        </row>
        <row r="247">
          <cell r="A247" t="str">
            <v>00615158</v>
          </cell>
          <cell r="B247" t="str">
            <v>RODO  MULTI PURPSE PASTE TBLE</v>
          </cell>
          <cell r="C247" t="str">
            <v>RODO</v>
          </cell>
          <cell r="D247">
            <v>60.06</v>
          </cell>
          <cell r="E247">
            <v>741.31</v>
          </cell>
          <cell r="F247">
            <v>15</v>
          </cell>
          <cell r="G247">
            <v>15</v>
          </cell>
          <cell r="H247">
            <v>60.06</v>
          </cell>
        </row>
        <row r="248">
          <cell r="A248" t="str">
            <v>00300630</v>
          </cell>
          <cell r="B248" t="str">
            <v>JST   YACHT VARNIS CLEAR      0000001500</v>
          </cell>
          <cell r="C248" t="str">
            <v>Varnish</v>
          </cell>
          <cell r="D248">
            <v>43.19</v>
          </cell>
          <cell r="E248">
            <v>738.76</v>
          </cell>
          <cell r="F248">
            <v>20</v>
          </cell>
          <cell r="G248">
            <v>100</v>
          </cell>
          <cell r="H248">
            <v>40.209890000000001</v>
          </cell>
        </row>
        <row r="249">
          <cell r="A249" t="str">
            <v>00720265</v>
          </cell>
          <cell r="B249" t="str">
            <v>ARTEX SANDER PAPER A4X25 120GM</v>
          </cell>
          <cell r="C249" t="str">
            <v>Artex</v>
          </cell>
          <cell r="D249">
            <v>10.83</v>
          </cell>
          <cell r="E249">
            <v>738.06</v>
          </cell>
          <cell r="F249">
            <v>83</v>
          </cell>
          <cell r="G249">
            <v>83</v>
          </cell>
          <cell r="H249">
            <v>9.9499999999999993</v>
          </cell>
        </row>
        <row r="250">
          <cell r="A250" t="str">
            <v>00307678</v>
          </cell>
          <cell r="B250" t="str">
            <v>JST   1.5 S/CONE EN RENDER WH 0000002250</v>
          </cell>
          <cell r="C250" t="str">
            <v>EWI</v>
          </cell>
          <cell r="D250">
            <v>51.99</v>
          </cell>
          <cell r="E250">
            <v>728.68</v>
          </cell>
          <cell r="F250">
            <v>15</v>
          </cell>
          <cell r="G250">
            <v>214.155</v>
          </cell>
          <cell r="H250">
            <v>48.402690000000007</v>
          </cell>
        </row>
        <row r="251">
          <cell r="A251" t="str">
            <v>00423380</v>
          </cell>
          <cell r="B251" t="str">
            <v>FD JS AQ GUARD SAT MIXED      0000001250</v>
          </cell>
          <cell r="C251" t="str">
            <v>Aquaguard</v>
          </cell>
          <cell r="D251">
            <v>45.2</v>
          </cell>
          <cell r="E251">
            <v>723.87</v>
          </cell>
          <cell r="F251">
            <v>18</v>
          </cell>
          <cell r="G251">
            <v>45</v>
          </cell>
          <cell r="H251">
            <v>36.159999999999997</v>
          </cell>
        </row>
        <row r="252">
          <cell r="A252" t="str">
            <v>00261714</v>
          </cell>
          <cell r="B252" t="str">
            <v>S'FAST 20 GREY              500000EU1500</v>
          </cell>
          <cell r="C252" t="str">
            <v>PMC</v>
          </cell>
          <cell r="D252">
            <v>62.52</v>
          </cell>
          <cell r="E252">
            <v>721.98</v>
          </cell>
          <cell r="F252">
            <v>21</v>
          </cell>
          <cell r="G252">
            <v>105</v>
          </cell>
          <cell r="H252">
            <v>56.27</v>
          </cell>
        </row>
        <row r="253">
          <cell r="A253" t="str">
            <v>00732196</v>
          </cell>
          <cell r="B253" t="str">
            <v>ZINSR COVERSTAIN   WHITE      0000001250</v>
          </cell>
          <cell r="C253" t="str">
            <v>Zinsser</v>
          </cell>
          <cell r="D253">
            <v>35.909999999999997</v>
          </cell>
          <cell r="E253">
            <v>717.62</v>
          </cell>
          <cell r="F253">
            <v>16</v>
          </cell>
          <cell r="G253">
            <v>40</v>
          </cell>
          <cell r="H253">
            <v>33.432209999999998</v>
          </cell>
        </row>
        <row r="254">
          <cell r="A254" t="str">
            <v>00301725</v>
          </cell>
          <cell r="B254" t="str">
            <v>JST   VINYL SILK   BRIL WHITE 0000001500</v>
          </cell>
          <cell r="C254" t="str">
            <v>Vinyl Silk</v>
          </cell>
          <cell r="D254">
            <v>12.78</v>
          </cell>
          <cell r="E254">
            <v>716.41</v>
          </cell>
          <cell r="F254">
            <v>62</v>
          </cell>
          <cell r="G254">
            <v>310</v>
          </cell>
          <cell r="H254">
            <v>12.78</v>
          </cell>
        </row>
        <row r="255">
          <cell r="A255" t="str">
            <v>00852422</v>
          </cell>
          <cell r="B255" t="str">
            <v>PGOLD READY MIXED  FILLER 2KG 0000001200</v>
          </cell>
          <cell r="C255" t="str">
            <v>Filler</v>
          </cell>
          <cell r="D255">
            <v>7.1</v>
          </cell>
          <cell r="E255">
            <v>713.72</v>
          </cell>
          <cell r="F255">
            <v>112</v>
          </cell>
          <cell r="G255">
            <v>224</v>
          </cell>
          <cell r="H255">
            <v>6.6101000000000001</v>
          </cell>
        </row>
        <row r="256">
          <cell r="A256" t="str">
            <v>00264726</v>
          </cell>
          <cell r="B256" t="str">
            <v>LL    T/G SMTH 15Y BRIL WHITE 0000002100</v>
          </cell>
          <cell r="C256" t="str">
            <v>Smooth masonry</v>
          </cell>
          <cell r="D256">
            <v>25.3</v>
          </cell>
          <cell r="E256">
            <v>713.68</v>
          </cell>
          <cell r="F256">
            <v>31</v>
          </cell>
          <cell r="G256">
            <v>310</v>
          </cell>
          <cell r="H256">
            <v>23.554300000000001</v>
          </cell>
        </row>
        <row r="257">
          <cell r="A257" t="str">
            <v>00305037</v>
          </cell>
          <cell r="B257" t="str">
            <v>FD JS VINYL SILK   MIXED COL  0000001500</v>
          </cell>
          <cell r="C257" t="str">
            <v>Vinyl Silk</v>
          </cell>
          <cell r="D257">
            <v>14.33</v>
          </cell>
          <cell r="E257">
            <v>712.76</v>
          </cell>
          <cell r="F257">
            <v>56</v>
          </cell>
          <cell r="G257">
            <v>280</v>
          </cell>
          <cell r="H257">
            <v>14.33</v>
          </cell>
        </row>
        <row r="258">
          <cell r="A258" t="str">
            <v>00723492</v>
          </cell>
          <cell r="B258" t="str">
            <v>LH    STRIKER&amp;POLE 2 X 2"</v>
          </cell>
          <cell r="C258" t="str">
            <v>Brush</v>
          </cell>
          <cell r="D258">
            <v>6.88</v>
          </cell>
          <cell r="E258">
            <v>704.94</v>
          </cell>
          <cell r="F258">
            <v>118</v>
          </cell>
          <cell r="G258">
            <v>118</v>
          </cell>
          <cell r="H258">
            <v>6.4052800000000003</v>
          </cell>
        </row>
        <row r="259">
          <cell r="A259" t="str">
            <v>00324713</v>
          </cell>
          <cell r="B259" t="str">
            <v>JST   SMOOTH METAL SILVER     0000001250</v>
          </cell>
          <cell r="C259" t="str">
            <v>Smooth Metal</v>
          </cell>
          <cell r="D259">
            <v>24.28</v>
          </cell>
          <cell r="E259">
            <v>702.96</v>
          </cell>
          <cell r="F259">
            <v>33</v>
          </cell>
          <cell r="G259">
            <v>82.5</v>
          </cell>
          <cell r="H259">
            <v>22.604680000000002</v>
          </cell>
        </row>
        <row r="260">
          <cell r="A260" t="str">
            <v>00737935</v>
          </cell>
          <cell r="B260" t="str">
            <v>RODO  DUSTING BRSH 4"</v>
          </cell>
          <cell r="C260" t="str">
            <v>RODO</v>
          </cell>
          <cell r="D260">
            <v>8.0299999999999994</v>
          </cell>
          <cell r="E260">
            <v>701.73</v>
          </cell>
          <cell r="F260">
            <v>167</v>
          </cell>
          <cell r="G260">
            <v>167</v>
          </cell>
          <cell r="H260">
            <v>7.47593</v>
          </cell>
        </row>
        <row r="261">
          <cell r="A261" t="str">
            <v>00305053</v>
          </cell>
          <cell r="B261" t="str">
            <v>FD JS ACRYL SATIN  MIXED COL  0000001500</v>
          </cell>
          <cell r="C261" t="str">
            <v>Acrylic Satin</v>
          </cell>
          <cell r="D261">
            <v>34.69</v>
          </cell>
          <cell r="E261">
            <v>692.44</v>
          </cell>
          <cell r="F261">
            <v>22</v>
          </cell>
          <cell r="G261">
            <v>110</v>
          </cell>
          <cell r="H261">
            <v>32.296390000000002</v>
          </cell>
        </row>
        <row r="262">
          <cell r="A262" t="str">
            <v>00386446</v>
          </cell>
          <cell r="B262" t="str">
            <v>JST   JONMAT       MAGNOLIA   0000002100</v>
          </cell>
          <cell r="C262" t="str">
            <v>Contract matt</v>
          </cell>
          <cell r="D262">
            <v>17.809999999999999</v>
          </cell>
          <cell r="E262">
            <v>690.44</v>
          </cell>
          <cell r="F262">
            <v>43</v>
          </cell>
          <cell r="G262">
            <v>430</v>
          </cell>
          <cell r="H262">
            <v>14</v>
          </cell>
        </row>
        <row r="263">
          <cell r="A263" t="str">
            <v>00852475</v>
          </cell>
          <cell r="B263" t="str">
            <v>PGOLD ROUGH ROLLER 12"</v>
          </cell>
          <cell r="C263" t="str">
            <v>Roller</v>
          </cell>
          <cell r="D263">
            <v>8.52</v>
          </cell>
          <cell r="E263">
            <v>688.07</v>
          </cell>
          <cell r="F263">
            <v>88</v>
          </cell>
          <cell r="G263">
            <v>88</v>
          </cell>
          <cell r="H263">
            <v>7.9321200000000003</v>
          </cell>
        </row>
        <row r="264">
          <cell r="A264" t="str">
            <v>00423258</v>
          </cell>
          <cell r="B264" t="str">
            <v>FD JS PERFECT MATT MIXED COL  0000001500</v>
          </cell>
          <cell r="C264" t="str">
            <v>Perfect Matt</v>
          </cell>
          <cell r="D264">
            <v>53.67</v>
          </cell>
          <cell r="E264">
            <v>686.81</v>
          </cell>
          <cell r="F264">
            <v>14</v>
          </cell>
          <cell r="G264">
            <v>70</v>
          </cell>
          <cell r="H264">
            <v>45.07</v>
          </cell>
        </row>
        <row r="265">
          <cell r="A265" t="str">
            <v>00304862</v>
          </cell>
          <cell r="B265" t="str">
            <v>JST   POLY VARNISH SAT CLEAR  0000001500</v>
          </cell>
          <cell r="C265" t="str">
            <v>Varnish</v>
          </cell>
          <cell r="D265">
            <v>28.15</v>
          </cell>
          <cell r="E265">
            <v>675.42</v>
          </cell>
          <cell r="F265">
            <v>26</v>
          </cell>
          <cell r="G265">
            <v>130</v>
          </cell>
          <cell r="H265">
            <v>26.207650000000001</v>
          </cell>
        </row>
        <row r="266">
          <cell r="A266" t="str">
            <v>00423618</v>
          </cell>
          <cell r="B266" t="str">
            <v>FD    88 COMP TRAN MIXED      0000001500</v>
          </cell>
          <cell r="C266" t="str">
            <v>GORI</v>
          </cell>
          <cell r="D266">
            <v>71.78</v>
          </cell>
          <cell r="E266">
            <v>674</v>
          </cell>
          <cell r="F266">
            <v>10</v>
          </cell>
          <cell r="G266">
            <v>50</v>
          </cell>
          <cell r="H266">
            <v>52</v>
          </cell>
        </row>
        <row r="267">
          <cell r="A267" t="str">
            <v>00739809</v>
          </cell>
          <cell r="B267" t="str">
            <v>EWI   STR PLUG *BOX 500*</v>
          </cell>
          <cell r="C267" t="str">
            <v>EWI</v>
          </cell>
          <cell r="D267">
            <v>8.6199999999999992</v>
          </cell>
          <cell r="E267">
            <v>671.12</v>
          </cell>
          <cell r="F267">
            <v>88</v>
          </cell>
          <cell r="G267">
            <v>88</v>
          </cell>
          <cell r="H267">
            <v>8.6199999999999992</v>
          </cell>
        </row>
        <row r="268">
          <cell r="A268" t="str">
            <v>00306950</v>
          </cell>
          <cell r="B268" t="str">
            <v>FD JS S/SLD FX SAT MIXED COL  0000001250</v>
          </cell>
          <cell r="C268" t="str">
            <v>Flexible exterior</v>
          </cell>
          <cell r="D268">
            <v>34.5</v>
          </cell>
          <cell r="E268">
            <v>670.59</v>
          </cell>
          <cell r="F268">
            <v>21</v>
          </cell>
          <cell r="G268">
            <v>52.5</v>
          </cell>
          <cell r="H268">
            <v>18</v>
          </cell>
        </row>
        <row r="269">
          <cell r="A269" t="str">
            <v>00301859</v>
          </cell>
          <cell r="B269" t="str">
            <v>JST   OPQ WF SATIN BURNT WALN 0000001500</v>
          </cell>
          <cell r="C269" t="str">
            <v>Opaque Solvent</v>
          </cell>
          <cell r="D269">
            <v>21.15</v>
          </cell>
          <cell r="E269">
            <v>670.11</v>
          </cell>
          <cell r="F269">
            <v>35</v>
          </cell>
          <cell r="G269">
            <v>175</v>
          </cell>
          <cell r="H269">
            <v>27.494999999999997</v>
          </cell>
        </row>
        <row r="270">
          <cell r="A270" t="str">
            <v>00305064</v>
          </cell>
          <cell r="B270" t="str">
            <v>FD JS EGGSHELL     MIXED COL  0000001250</v>
          </cell>
          <cell r="C270" t="str">
            <v>Solvent Eggshell</v>
          </cell>
          <cell r="D270">
            <v>16.829999999999998</v>
          </cell>
          <cell r="E270">
            <v>658.69</v>
          </cell>
          <cell r="F270">
            <v>44</v>
          </cell>
          <cell r="G270">
            <v>110</v>
          </cell>
          <cell r="H270">
            <v>15.66873</v>
          </cell>
        </row>
        <row r="271">
          <cell r="A271" t="str">
            <v>00302007</v>
          </cell>
          <cell r="B271" t="str">
            <v>JST   SHED &amp; FENCE DARK OAK   0000001500</v>
          </cell>
          <cell r="C271" t="str">
            <v>Shed and fence</v>
          </cell>
          <cell r="D271">
            <v>8.2100000000000009</v>
          </cell>
          <cell r="E271">
            <v>653.55999999999995</v>
          </cell>
          <cell r="F271">
            <v>97</v>
          </cell>
          <cell r="G271">
            <v>485</v>
          </cell>
          <cell r="H271">
            <v>7.6435100000000009</v>
          </cell>
        </row>
        <row r="272">
          <cell r="A272" t="str">
            <v>00737313</v>
          </cell>
          <cell r="B272" t="str">
            <v>EASYL LINING PAPER 1400 DOUBL</v>
          </cell>
          <cell r="C272" t="str">
            <v>Wallcovering</v>
          </cell>
          <cell r="D272">
            <v>3.46</v>
          </cell>
          <cell r="E272">
            <v>653.09</v>
          </cell>
          <cell r="F272">
            <v>209</v>
          </cell>
          <cell r="G272">
            <v>209</v>
          </cell>
          <cell r="H272">
            <v>3.22126</v>
          </cell>
        </row>
        <row r="273">
          <cell r="A273" t="str">
            <v>00611461</v>
          </cell>
          <cell r="B273" t="str">
            <v>PGOLD CLASS SYNTH  BRUSH 2"</v>
          </cell>
          <cell r="C273" t="str">
            <v>Brush</v>
          </cell>
          <cell r="D273">
            <v>3.25</v>
          </cell>
          <cell r="E273">
            <v>634.04999999999995</v>
          </cell>
          <cell r="F273">
            <v>205</v>
          </cell>
          <cell r="G273">
            <v>205</v>
          </cell>
          <cell r="H273">
            <v>3.0257500000000004</v>
          </cell>
        </row>
        <row r="274">
          <cell r="A274" t="str">
            <v>00718565</v>
          </cell>
          <cell r="B274" t="str">
            <v>ARTEX SAND PAPER   100GM      60211</v>
          </cell>
          <cell r="C274" t="str">
            <v>Artex</v>
          </cell>
          <cell r="D274">
            <v>10.24</v>
          </cell>
          <cell r="E274">
            <v>610.97</v>
          </cell>
          <cell r="F274">
            <v>72</v>
          </cell>
          <cell r="G274">
            <v>72</v>
          </cell>
          <cell r="H274">
            <v>9.5334400000000006</v>
          </cell>
        </row>
        <row r="275">
          <cell r="A275" t="str">
            <v>00306524</v>
          </cell>
          <cell r="B275" t="str">
            <v>JST   A/SLIP FLOOR PRINC GREY 0000001500</v>
          </cell>
          <cell r="C275" t="str">
            <v>Floor paint</v>
          </cell>
          <cell r="D275">
            <v>63.25</v>
          </cell>
          <cell r="E275">
            <v>609.29</v>
          </cell>
          <cell r="F275">
            <v>11</v>
          </cell>
          <cell r="G275">
            <v>55</v>
          </cell>
          <cell r="H275">
            <v>58.885750000000002</v>
          </cell>
        </row>
        <row r="276">
          <cell r="A276" t="str">
            <v>00611474</v>
          </cell>
          <cell r="B276" t="str">
            <v>PGOLD CONTRACTOR   BRUSH 1"</v>
          </cell>
          <cell r="C276" t="str">
            <v>Brush</v>
          </cell>
          <cell r="D276">
            <v>1.27</v>
          </cell>
          <cell r="E276">
            <v>607.80999999999995</v>
          </cell>
          <cell r="F276">
            <v>533</v>
          </cell>
          <cell r="G276">
            <v>533</v>
          </cell>
          <cell r="H276">
            <v>1.1823700000000001</v>
          </cell>
        </row>
        <row r="277">
          <cell r="A277" t="str">
            <v>00301679</v>
          </cell>
          <cell r="B277" t="str">
            <v>JST   EGGSHELL     BRIL WHITE 0000001250</v>
          </cell>
          <cell r="C277" t="str">
            <v>Solvent Eggshell</v>
          </cell>
          <cell r="D277">
            <v>13.34</v>
          </cell>
          <cell r="E277">
            <v>606.97</v>
          </cell>
          <cell r="F277">
            <v>50</v>
          </cell>
          <cell r="G277">
            <v>125</v>
          </cell>
          <cell r="H277">
            <v>12.419540000000001</v>
          </cell>
        </row>
        <row r="278">
          <cell r="A278" t="str">
            <v>00423751</v>
          </cell>
          <cell r="B278" t="str">
            <v>JST   FLORTRED     SAFETYBLUE 0000001500</v>
          </cell>
          <cell r="C278" t="str">
            <v>Floor paint</v>
          </cell>
          <cell r="D278">
            <v>58.03</v>
          </cell>
          <cell r="E278">
            <v>605.4</v>
          </cell>
          <cell r="F278">
            <v>12</v>
          </cell>
          <cell r="G278">
            <v>60</v>
          </cell>
          <cell r="H278">
            <v>21.07</v>
          </cell>
        </row>
        <row r="279">
          <cell r="A279" t="str">
            <v>00737956</v>
          </cell>
          <cell r="B279" t="str">
            <v>EWI   INSULATION PANEL ADHESIVE 25KG</v>
          </cell>
          <cell r="C279" t="str">
            <v>EWI</v>
          </cell>
          <cell r="D279">
            <v>12.28</v>
          </cell>
          <cell r="E279">
            <v>587.4</v>
          </cell>
          <cell r="F279">
            <v>55</v>
          </cell>
          <cell r="G279">
            <v>55</v>
          </cell>
          <cell r="H279">
            <v>12.28</v>
          </cell>
        </row>
        <row r="280">
          <cell r="A280" t="str">
            <v>00301998</v>
          </cell>
          <cell r="B280" t="str">
            <v>JST   QD WOODSTAIN MAHOGANY   0000001250</v>
          </cell>
          <cell r="C280" t="str">
            <v>Woodstain</v>
          </cell>
          <cell r="D280">
            <v>23.03</v>
          </cell>
          <cell r="E280">
            <v>578.86</v>
          </cell>
          <cell r="F280">
            <v>27</v>
          </cell>
          <cell r="G280">
            <v>67.5</v>
          </cell>
          <cell r="H280">
            <v>21.440930000000002</v>
          </cell>
        </row>
        <row r="281">
          <cell r="A281" t="str">
            <v>00264365</v>
          </cell>
          <cell r="B281" t="str">
            <v>LL    AC PR U/COAT WHITE      0000001250</v>
          </cell>
          <cell r="C281" t="str">
            <v>Primer</v>
          </cell>
          <cell r="D281">
            <v>10.48</v>
          </cell>
          <cell r="E281">
            <v>576.85</v>
          </cell>
          <cell r="F281">
            <v>63</v>
          </cell>
          <cell r="G281">
            <v>157.5</v>
          </cell>
          <cell r="H281">
            <v>9.7568800000000007</v>
          </cell>
        </row>
        <row r="282">
          <cell r="A282" t="str">
            <v>00738464</v>
          </cell>
          <cell r="B282" t="str">
            <v>EWI   BASETRACK JOINT CLIPS</v>
          </cell>
          <cell r="C282" t="str">
            <v>EWI</v>
          </cell>
          <cell r="D282">
            <v>23.11</v>
          </cell>
          <cell r="E282">
            <v>573.02</v>
          </cell>
          <cell r="F282">
            <v>27</v>
          </cell>
          <cell r="G282">
            <v>27</v>
          </cell>
          <cell r="H282">
            <v>23.11</v>
          </cell>
        </row>
        <row r="283">
          <cell r="A283" t="str">
            <v>00611473</v>
          </cell>
          <cell r="B283" t="str">
            <v>PGOLD CLASS HYBRID BR SET 5PC</v>
          </cell>
          <cell r="C283" t="str">
            <v>Brush</v>
          </cell>
          <cell r="D283">
            <v>11.79</v>
          </cell>
          <cell r="E283">
            <v>568.04999999999995</v>
          </cell>
          <cell r="F283">
            <v>48</v>
          </cell>
          <cell r="G283">
            <v>48</v>
          </cell>
          <cell r="H283">
            <v>10.97649</v>
          </cell>
        </row>
        <row r="284">
          <cell r="A284" t="str">
            <v>00306947</v>
          </cell>
          <cell r="B284" t="str">
            <v>JST   S/SLD FX SAT BRIL WHITE 0000001250</v>
          </cell>
          <cell r="C284" t="str">
            <v>Flexible exterior</v>
          </cell>
          <cell r="D284">
            <v>31.92</v>
          </cell>
          <cell r="E284">
            <v>567.21</v>
          </cell>
          <cell r="F284">
            <v>19</v>
          </cell>
          <cell r="G284">
            <v>47.5</v>
          </cell>
          <cell r="H284">
            <v>15</v>
          </cell>
        </row>
        <row r="285">
          <cell r="A285" t="str">
            <v>00728164</v>
          </cell>
          <cell r="B285" t="str">
            <v>ZINSR BIN PRIMER SEALER WHITE 0000000400</v>
          </cell>
          <cell r="C285" t="str">
            <v>Zinsser</v>
          </cell>
          <cell r="D285">
            <v>10.62</v>
          </cell>
          <cell r="E285">
            <v>566.98</v>
          </cell>
          <cell r="F285">
            <v>60</v>
          </cell>
          <cell r="G285">
            <v>24</v>
          </cell>
          <cell r="H285">
            <v>10.62</v>
          </cell>
        </row>
        <row r="286">
          <cell r="A286" t="str">
            <v>00302419</v>
          </cell>
          <cell r="B286" t="str">
            <v>JST   2PK SB FLOOR PRINC GREY 0000001300</v>
          </cell>
          <cell r="C286" t="str">
            <v>Floor paint</v>
          </cell>
          <cell r="D286">
            <v>53.63</v>
          </cell>
          <cell r="E286">
            <v>559.55999999999995</v>
          </cell>
          <cell r="F286">
            <v>12</v>
          </cell>
          <cell r="G286">
            <v>36</v>
          </cell>
          <cell r="H286">
            <v>49.929530000000007</v>
          </cell>
        </row>
        <row r="287">
          <cell r="A287" t="str">
            <v>00423615</v>
          </cell>
          <cell r="B287" t="str">
            <v>FD    88 COMP OPAQ MIXED      0000001500</v>
          </cell>
          <cell r="C287" t="str">
            <v>GORI</v>
          </cell>
          <cell r="D287">
            <v>74.25</v>
          </cell>
          <cell r="E287">
            <v>557.76</v>
          </cell>
          <cell r="F287">
            <v>8</v>
          </cell>
          <cell r="G287">
            <v>40</v>
          </cell>
          <cell r="H287">
            <v>50</v>
          </cell>
        </row>
        <row r="288">
          <cell r="A288" t="str">
            <v>00852804</v>
          </cell>
          <cell r="B288" t="str">
            <v>PGOLD 60 GRIT 10M  ALUM OXIDE</v>
          </cell>
          <cell r="C288" t="str">
            <v>Aluminium Oxide</v>
          </cell>
          <cell r="D288">
            <v>8.3800000000000008</v>
          </cell>
          <cell r="E288">
            <v>556.54999999999995</v>
          </cell>
          <cell r="F288">
            <v>54</v>
          </cell>
          <cell r="G288">
            <v>54</v>
          </cell>
          <cell r="H288">
            <v>7.8017800000000008</v>
          </cell>
        </row>
        <row r="289">
          <cell r="A289" t="str">
            <v>00633322</v>
          </cell>
          <cell r="B289" t="str">
            <v>RODO  CARPET       PROTECTOR  20MX600MM</v>
          </cell>
          <cell r="C289" t="str">
            <v>RODO</v>
          </cell>
          <cell r="D289">
            <v>14.88</v>
          </cell>
          <cell r="E289">
            <v>555.67999999999995</v>
          </cell>
          <cell r="F289">
            <v>41</v>
          </cell>
          <cell r="G289">
            <v>41</v>
          </cell>
          <cell r="H289">
            <v>13.853280000000002</v>
          </cell>
        </row>
        <row r="290">
          <cell r="A290" t="str">
            <v>00615244</v>
          </cell>
          <cell r="B290" t="str">
            <v>RODO  400ML SKELET CAULK GUN  EXTRA STRO</v>
          </cell>
          <cell r="C290" t="str">
            <v>RODO</v>
          </cell>
          <cell r="D290">
            <v>4.88</v>
          </cell>
          <cell r="E290">
            <v>553.41999999999996</v>
          </cell>
          <cell r="F290">
            <v>147</v>
          </cell>
          <cell r="G290">
            <v>147</v>
          </cell>
          <cell r="H290">
            <v>4.5432800000000002</v>
          </cell>
        </row>
        <row r="291">
          <cell r="A291" t="str">
            <v>00852922</v>
          </cell>
          <cell r="B291" t="str">
            <v>PGOLD LONG WOVEN   12" ROLLER</v>
          </cell>
          <cell r="C291" t="str">
            <v>Roller</v>
          </cell>
          <cell r="D291">
            <v>6.05</v>
          </cell>
          <cell r="E291">
            <v>546.54999999999995</v>
          </cell>
          <cell r="F291">
            <v>104</v>
          </cell>
          <cell r="G291">
            <v>104</v>
          </cell>
          <cell r="H291">
            <v>5.6325500000000002</v>
          </cell>
        </row>
        <row r="292">
          <cell r="A292" t="str">
            <v>00238865</v>
          </cell>
          <cell r="B292" t="str">
            <v>SD S'DUR 550 SET (X)        XXXXCCEU2200</v>
          </cell>
          <cell r="C292" t="str">
            <v>PMC</v>
          </cell>
          <cell r="D292">
            <v>208.49</v>
          </cell>
          <cell r="E292">
            <v>541.6</v>
          </cell>
          <cell r="F292">
            <v>4</v>
          </cell>
          <cell r="G292">
            <v>80</v>
          </cell>
          <cell r="H292">
            <v>194.10419000000002</v>
          </cell>
        </row>
        <row r="293">
          <cell r="A293" t="str">
            <v>00306525</v>
          </cell>
          <cell r="B293" t="str">
            <v>JST   A/SLIP FLOOR DARK GREY  0000001500</v>
          </cell>
          <cell r="C293" t="str">
            <v>Floor paint</v>
          </cell>
          <cell r="D293">
            <v>63.25</v>
          </cell>
          <cell r="E293">
            <v>534.51</v>
          </cell>
          <cell r="F293">
            <v>9</v>
          </cell>
          <cell r="G293">
            <v>45</v>
          </cell>
          <cell r="H293">
            <v>58.885750000000002</v>
          </cell>
        </row>
        <row r="294">
          <cell r="A294" t="str">
            <v>00852406</v>
          </cell>
          <cell r="B294" t="str">
            <v>PGOLD AP POWDER    FILLR 10KG 0000002100</v>
          </cell>
          <cell r="C294" t="str">
            <v>Filler</v>
          </cell>
          <cell r="D294">
            <v>9.01</v>
          </cell>
          <cell r="E294">
            <v>531</v>
          </cell>
          <cell r="F294">
            <v>65</v>
          </cell>
          <cell r="G294">
            <v>650</v>
          </cell>
          <cell r="H294">
            <v>8.3883100000000006</v>
          </cell>
        </row>
        <row r="295">
          <cell r="A295" t="str">
            <v>00301743</v>
          </cell>
          <cell r="B295" t="str">
            <v>JST   S/SLD FX U/C GREY       0000001250</v>
          </cell>
          <cell r="C295" t="str">
            <v>Flexible exterior</v>
          </cell>
          <cell r="D295">
            <v>30.37</v>
          </cell>
          <cell r="E295">
            <v>520.78</v>
          </cell>
          <cell r="F295">
            <v>19</v>
          </cell>
          <cell r="G295">
            <v>47.5</v>
          </cell>
          <cell r="H295">
            <v>18</v>
          </cell>
        </row>
        <row r="296">
          <cell r="A296" t="str">
            <v>00852427</v>
          </cell>
          <cell r="B296" t="str">
            <v>PGOLD TURPS SUB    2LT        0000001200</v>
          </cell>
          <cell r="C296" t="str">
            <v>Spirits</v>
          </cell>
          <cell r="D296">
            <v>3.34</v>
          </cell>
          <cell r="E296">
            <v>515.39</v>
          </cell>
          <cell r="F296">
            <v>173</v>
          </cell>
          <cell r="G296">
            <v>346</v>
          </cell>
          <cell r="H296">
            <v>3.5904999999999996</v>
          </cell>
        </row>
        <row r="297">
          <cell r="A297" t="str">
            <v>00852817</v>
          </cell>
          <cell r="B297" t="str">
            <v>PGOLD 9" SOFT HAND ROLL FRAME</v>
          </cell>
          <cell r="C297" t="str">
            <v>Roller</v>
          </cell>
          <cell r="D297">
            <v>3.35</v>
          </cell>
          <cell r="E297">
            <v>509.49</v>
          </cell>
          <cell r="F297">
            <v>167</v>
          </cell>
          <cell r="G297">
            <v>167</v>
          </cell>
          <cell r="H297">
            <v>3.1188500000000001</v>
          </cell>
        </row>
        <row r="298">
          <cell r="A298" t="str">
            <v>00852815</v>
          </cell>
          <cell r="B298" t="str">
            <v>PGOLD 9" WOOD HAND ROLL FRAME</v>
          </cell>
          <cell r="C298" t="str">
            <v>Roller</v>
          </cell>
          <cell r="D298">
            <v>3.35</v>
          </cell>
          <cell r="E298">
            <v>508.71</v>
          </cell>
          <cell r="F298">
            <v>235</v>
          </cell>
          <cell r="G298">
            <v>235</v>
          </cell>
          <cell r="H298">
            <v>3.8524999999999996</v>
          </cell>
        </row>
        <row r="299">
          <cell r="A299" t="str">
            <v>00306918</v>
          </cell>
          <cell r="B299" t="str">
            <v>FD JS AQUA WB U/C  MIXED COL  0000001100</v>
          </cell>
          <cell r="C299" t="str">
            <v>Aqua Undercoat</v>
          </cell>
          <cell r="D299">
            <v>11.92</v>
          </cell>
          <cell r="E299">
            <v>499.86</v>
          </cell>
          <cell r="F299">
            <v>46</v>
          </cell>
          <cell r="G299">
            <v>46</v>
          </cell>
          <cell r="H299">
            <v>11.92</v>
          </cell>
        </row>
        <row r="300">
          <cell r="A300" t="str">
            <v>00611463</v>
          </cell>
          <cell r="B300" t="str">
            <v>PGOLD CLASS SYNTH  BRUSH 4"</v>
          </cell>
          <cell r="C300" t="str">
            <v>Brush</v>
          </cell>
          <cell r="D300">
            <v>10.74</v>
          </cell>
          <cell r="E300">
            <v>494.49</v>
          </cell>
          <cell r="F300">
            <v>53</v>
          </cell>
          <cell r="G300">
            <v>53</v>
          </cell>
          <cell r="H300">
            <v>9.998940000000001</v>
          </cell>
        </row>
        <row r="301">
          <cell r="A301" t="str">
            <v>00738112</v>
          </cell>
          <cell r="B301" t="str">
            <v>OLFA  18MM BLADES  PK10</v>
          </cell>
          <cell r="C301" t="str">
            <v>Olfa</v>
          </cell>
          <cell r="D301">
            <v>7.54</v>
          </cell>
          <cell r="E301">
            <v>490.84</v>
          </cell>
          <cell r="F301">
            <v>72</v>
          </cell>
          <cell r="G301">
            <v>72</v>
          </cell>
          <cell r="H301">
            <v>7.0197400000000005</v>
          </cell>
        </row>
        <row r="302">
          <cell r="A302" t="str">
            <v>00852800</v>
          </cell>
          <cell r="B302" t="str">
            <v>PGOLD 60 GRIT 5M   ALUM OXIDE</v>
          </cell>
          <cell r="C302" t="str">
            <v>Aluminium Oxide</v>
          </cell>
          <cell r="D302">
            <v>13.34</v>
          </cell>
          <cell r="E302">
            <v>490.65</v>
          </cell>
          <cell r="F302">
            <v>48</v>
          </cell>
          <cell r="G302">
            <v>48</v>
          </cell>
          <cell r="H302">
            <v>12.419540000000001</v>
          </cell>
        </row>
        <row r="303">
          <cell r="A303" t="str">
            <v>00300845</v>
          </cell>
          <cell r="B303" t="str">
            <v>LL    SATINWOOD    BRIL WHITE 0000001500</v>
          </cell>
          <cell r="C303" t="str">
            <v>Solvent Satin</v>
          </cell>
          <cell r="D303">
            <v>18.7</v>
          </cell>
          <cell r="E303">
            <v>481.94</v>
          </cell>
          <cell r="F303">
            <v>29</v>
          </cell>
          <cell r="G303">
            <v>145</v>
          </cell>
          <cell r="H303">
            <v>20.57</v>
          </cell>
        </row>
        <row r="304">
          <cell r="A304" t="str">
            <v>00852405</v>
          </cell>
          <cell r="B304" t="str">
            <v>PGOLD AP POWDER    FILLER 5KG 0000001500</v>
          </cell>
          <cell r="C304" t="str">
            <v>Filler</v>
          </cell>
          <cell r="D304">
            <v>6.16</v>
          </cell>
          <cell r="E304">
            <v>476.68</v>
          </cell>
          <cell r="F304">
            <v>85</v>
          </cell>
          <cell r="G304">
            <v>425</v>
          </cell>
          <cell r="H304">
            <v>5.7349600000000001</v>
          </cell>
        </row>
        <row r="305">
          <cell r="A305" t="str">
            <v>00852806</v>
          </cell>
          <cell r="B305" t="str">
            <v>PGOLD 120 GRIT 50M ALUM OXIDE</v>
          </cell>
          <cell r="C305" t="str">
            <v>Aluminium Oxide</v>
          </cell>
          <cell r="D305">
            <v>17.34</v>
          </cell>
          <cell r="E305">
            <v>476.02</v>
          </cell>
          <cell r="F305">
            <v>31</v>
          </cell>
          <cell r="G305">
            <v>31</v>
          </cell>
          <cell r="H305">
            <v>17.34</v>
          </cell>
        </row>
        <row r="306">
          <cell r="A306" t="str">
            <v>00307975</v>
          </cell>
          <cell r="B306" t="str">
            <v>FD JS OPQ W/F SAT  MIXED COL  0000001250</v>
          </cell>
          <cell r="C306" t="str">
            <v>Opaque Solvent</v>
          </cell>
          <cell r="D306">
            <v>15.55</v>
          </cell>
          <cell r="E306">
            <v>474.07</v>
          </cell>
          <cell r="F306">
            <v>37</v>
          </cell>
          <cell r="G306">
            <v>92.5</v>
          </cell>
          <cell r="H306">
            <v>12.69</v>
          </cell>
        </row>
        <row r="307">
          <cell r="A307" t="str">
            <v>00636278</v>
          </cell>
          <cell r="B307" t="str">
            <v>MIRKA EXTRACTOR    230V 1230M</v>
          </cell>
          <cell r="C307" t="str">
            <v>MIRKA</v>
          </cell>
          <cell r="D307">
            <v>1107.96</v>
          </cell>
          <cell r="E307">
            <v>469</v>
          </cell>
          <cell r="F307">
            <v>1</v>
          </cell>
          <cell r="G307">
            <v>1</v>
          </cell>
          <cell r="H307">
            <v>659.75700000000006</v>
          </cell>
        </row>
        <row r="308">
          <cell r="A308" t="str">
            <v>00718704</v>
          </cell>
          <cell r="B308" t="str">
            <v>RODO  H/D CAULK    GUN PRCG11 REVOLVING</v>
          </cell>
          <cell r="C308" t="str">
            <v>RODO</v>
          </cell>
          <cell r="D308">
            <v>8.8000000000000007</v>
          </cell>
          <cell r="E308">
            <v>466.27</v>
          </cell>
          <cell r="F308">
            <v>107</v>
          </cell>
          <cell r="G308">
            <v>107</v>
          </cell>
          <cell r="H308">
            <v>8.1928000000000019</v>
          </cell>
        </row>
        <row r="309">
          <cell r="A309" t="str">
            <v>00306537</v>
          </cell>
          <cell r="B309" t="str">
            <v>JST   ENDURA MATT  BRIL WHITE 0000001500</v>
          </cell>
          <cell r="C309" t="str">
            <v>Endura</v>
          </cell>
          <cell r="D309">
            <v>46.28</v>
          </cell>
          <cell r="E309">
            <v>461.96</v>
          </cell>
          <cell r="F309">
            <v>11</v>
          </cell>
          <cell r="G309">
            <v>55</v>
          </cell>
          <cell r="H309">
            <v>43.086680000000001</v>
          </cell>
        </row>
        <row r="310">
          <cell r="A310" t="str">
            <v>00301848</v>
          </cell>
          <cell r="B310" t="str">
            <v>JST   Q/DRY OPAQUE RUSSET     0000001250</v>
          </cell>
          <cell r="C310" t="str">
            <v>WB Opaque</v>
          </cell>
          <cell r="D310">
            <v>17.09</v>
          </cell>
          <cell r="E310">
            <v>457.74</v>
          </cell>
          <cell r="F310">
            <v>31</v>
          </cell>
          <cell r="G310">
            <v>77.5</v>
          </cell>
          <cell r="H310">
            <v>15.91079</v>
          </cell>
        </row>
        <row r="311">
          <cell r="A311" t="str">
            <v>00301462</v>
          </cell>
          <cell r="B311" t="str">
            <v>JST   COVAPLUS     BRIL WHITE 0000001250</v>
          </cell>
          <cell r="C311" t="str">
            <v>Vinyl matt</v>
          </cell>
          <cell r="D311">
            <v>9.43</v>
          </cell>
          <cell r="E311">
            <v>456.75</v>
          </cell>
          <cell r="F311">
            <v>55</v>
          </cell>
          <cell r="G311">
            <v>137.5</v>
          </cell>
          <cell r="H311">
            <v>5.98</v>
          </cell>
        </row>
        <row r="312">
          <cell r="A312" t="str">
            <v>00305835</v>
          </cell>
          <cell r="B312" t="str">
            <v>FD LL GLOSS        MIXED COL  0000001500</v>
          </cell>
          <cell r="C312" t="str">
            <v>Solvent Gloss</v>
          </cell>
          <cell r="D312">
            <v>16.71</v>
          </cell>
          <cell r="E312">
            <v>455.07</v>
          </cell>
          <cell r="F312">
            <v>31</v>
          </cell>
          <cell r="G312">
            <v>155</v>
          </cell>
          <cell r="H312">
            <v>22.93</v>
          </cell>
        </row>
        <row r="313">
          <cell r="A313" t="str">
            <v>00305447</v>
          </cell>
          <cell r="B313" t="str">
            <v>FD JS JONMAT       MIXED COL  0000002100</v>
          </cell>
          <cell r="C313" t="str">
            <v>Contract matt</v>
          </cell>
          <cell r="D313">
            <v>21.99</v>
          </cell>
          <cell r="E313">
            <v>452.77</v>
          </cell>
          <cell r="F313">
            <v>22</v>
          </cell>
          <cell r="G313">
            <v>220</v>
          </cell>
          <cell r="H313">
            <v>17.5</v>
          </cell>
        </row>
        <row r="314">
          <cell r="A314" t="str">
            <v>00728210</v>
          </cell>
          <cell r="B314" t="str">
            <v>HAMIL HD STRIPPER  4"</v>
          </cell>
          <cell r="C314" t="str">
            <v>Hamilton</v>
          </cell>
          <cell r="D314">
            <v>10.199999999999999</v>
          </cell>
          <cell r="E314">
            <v>444.93</v>
          </cell>
          <cell r="F314">
            <v>48</v>
          </cell>
          <cell r="G314">
            <v>48</v>
          </cell>
          <cell r="H314">
            <v>9.4962</v>
          </cell>
        </row>
        <row r="315">
          <cell r="A315" t="str">
            <v>00302009</v>
          </cell>
          <cell r="B315" t="str">
            <v>JST   SHED &amp; FENCE DARK C'NUT 0000001500</v>
          </cell>
          <cell r="C315" t="str">
            <v>Shed and fence</v>
          </cell>
          <cell r="D315">
            <v>8.2100000000000009</v>
          </cell>
          <cell r="E315">
            <v>438.81</v>
          </cell>
          <cell r="F315">
            <v>70</v>
          </cell>
          <cell r="G315">
            <v>350</v>
          </cell>
          <cell r="H315">
            <v>7.6435100000000009</v>
          </cell>
        </row>
        <row r="316">
          <cell r="A316" t="str">
            <v>00852479</v>
          </cell>
          <cell r="B316" t="str">
            <v>PGOLD GLOSSER      ROLLER 4"</v>
          </cell>
          <cell r="C316" t="str">
            <v>Roller</v>
          </cell>
          <cell r="D316">
            <v>0.75</v>
          </cell>
          <cell r="E316">
            <v>435.75</v>
          </cell>
          <cell r="F316">
            <v>655</v>
          </cell>
          <cell r="G316">
            <v>655</v>
          </cell>
          <cell r="H316">
            <v>0.69825000000000004</v>
          </cell>
        </row>
        <row r="317">
          <cell r="A317" t="str">
            <v>00729833</v>
          </cell>
          <cell r="B317" t="str">
            <v>EASY  EASYTEX      10-041     LIGHT STIP</v>
          </cell>
          <cell r="C317" t="str">
            <v>Wallcovering</v>
          </cell>
          <cell r="D317">
            <v>4.1100000000000003</v>
          </cell>
          <cell r="E317">
            <v>432.2</v>
          </cell>
          <cell r="F317">
            <v>116</v>
          </cell>
          <cell r="G317">
            <v>116</v>
          </cell>
          <cell r="H317">
            <v>4.9320000000000004</v>
          </cell>
        </row>
        <row r="318">
          <cell r="A318" t="str">
            <v>00423749</v>
          </cell>
          <cell r="B318" t="str">
            <v>JST   FLORTRED     SAFETY YEL 0000001500</v>
          </cell>
          <cell r="C318" t="str">
            <v>Floor paint</v>
          </cell>
          <cell r="D318">
            <v>22.63</v>
          </cell>
          <cell r="E318">
            <v>423.43</v>
          </cell>
          <cell r="F318">
            <v>20</v>
          </cell>
          <cell r="G318">
            <v>100</v>
          </cell>
          <cell r="H318">
            <v>22.63</v>
          </cell>
        </row>
        <row r="319">
          <cell r="A319" t="str">
            <v>00611438</v>
          </cell>
          <cell r="B319" t="str">
            <v>MIRKA DEOS PROMO   KIT 110V   KIT1827INM</v>
          </cell>
          <cell r="C319" t="str">
            <v>MIRKA</v>
          </cell>
          <cell r="D319">
            <v>723.38</v>
          </cell>
          <cell r="E319">
            <v>421.92</v>
          </cell>
          <cell r="F319">
            <v>1</v>
          </cell>
          <cell r="G319">
            <v>1</v>
          </cell>
          <cell r="H319">
            <v>651.04999999999995</v>
          </cell>
        </row>
        <row r="320">
          <cell r="A320" t="str">
            <v>00306895</v>
          </cell>
          <cell r="B320" t="str">
            <v>JST   AQUA WB U/C  DARK GREY  0000001250</v>
          </cell>
          <cell r="C320" t="str">
            <v>Aqua Undercoat</v>
          </cell>
          <cell r="D320">
            <v>18.670000000000002</v>
          </cell>
          <cell r="E320">
            <v>420.05</v>
          </cell>
          <cell r="F320">
            <v>25</v>
          </cell>
          <cell r="G320">
            <v>62.5</v>
          </cell>
          <cell r="H320">
            <v>18.670000000000002</v>
          </cell>
        </row>
        <row r="321">
          <cell r="A321" t="str">
            <v>00852829</v>
          </cell>
          <cell r="B321" t="str">
            <v>PGOLD 5PC FITCH    PACK</v>
          </cell>
          <cell r="C321" t="str">
            <v>Brush</v>
          </cell>
          <cell r="D321">
            <v>4.6500000000000004</v>
          </cell>
          <cell r="E321">
            <v>420.04</v>
          </cell>
          <cell r="F321">
            <v>101</v>
          </cell>
          <cell r="G321">
            <v>101</v>
          </cell>
          <cell r="H321">
            <v>4.3291500000000003</v>
          </cell>
        </row>
        <row r="322">
          <cell r="A322" t="str">
            <v>00852807</v>
          </cell>
          <cell r="B322" t="str">
            <v>PGOLD 80 GRIT 50M  ALUM OXIDE</v>
          </cell>
          <cell r="C322" t="str">
            <v>Aluminium Oxide</v>
          </cell>
          <cell r="D322">
            <v>17.34</v>
          </cell>
          <cell r="E322">
            <v>418.99</v>
          </cell>
          <cell r="F322">
            <v>27</v>
          </cell>
          <cell r="G322">
            <v>27</v>
          </cell>
          <cell r="H322">
            <v>17.34</v>
          </cell>
        </row>
        <row r="323">
          <cell r="A323" t="str">
            <v>00423692</v>
          </cell>
          <cell r="B323" t="str">
            <v>FD JS FLORTRED     MIXED      0000001500</v>
          </cell>
          <cell r="C323" t="str">
            <v>Floor paint</v>
          </cell>
          <cell r="D323">
            <v>22.63</v>
          </cell>
          <cell r="E323">
            <v>418.72</v>
          </cell>
          <cell r="F323">
            <v>20</v>
          </cell>
          <cell r="G323">
            <v>100</v>
          </cell>
          <cell r="H323">
            <v>21.068529999999999</v>
          </cell>
        </row>
        <row r="324">
          <cell r="A324" t="str">
            <v>00308409</v>
          </cell>
          <cell r="B324" t="str">
            <v>JST   QD ZINC PHOS PRIMER GRY 0000001250</v>
          </cell>
          <cell r="C324" t="str">
            <v>Primer</v>
          </cell>
          <cell r="D324">
            <v>25.54</v>
          </cell>
          <cell r="E324">
            <v>418.19</v>
          </cell>
          <cell r="F324">
            <v>19</v>
          </cell>
          <cell r="G324">
            <v>47.5</v>
          </cell>
          <cell r="H324">
            <v>23.777740000000001</v>
          </cell>
        </row>
        <row r="325">
          <cell r="A325" t="str">
            <v>00301697</v>
          </cell>
          <cell r="B325" t="str">
            <v>JST   SS Q/D STAB  CLEAR      0000001500</v>
          </cell>
          <cell r="C325" t="str">
            <v>Stabilising Solution</v>
          </cell>
          <cell r="D325">
            <v>17.11</v>
          </cell>
          <cell r="E325">
            <v>417.44</v>
          </cell>
          <cell r="F325">
            <v>26</v>
          </cell>
          <cell r="G325">
            <v>130</v>
          </cell>
          <cell r="H325">
            <v>15.929410000000001</v>
          </cell>
        </row>
        <row r="326">
          <cell r="A326" t="str">
            <v>00718914</v>
          </cell>
          <cell r="B326" t="str">
            <v>RODO  DUCT TAPE    50M X 50MM PTDT50</v>
          </cell>
          <cell r="C326" t="str">
            <v>Tape</v>
          </cell>
          <cell r="D326">
            <v>8.8699999999999992</v>
          </cell>
          <cell r="E326">
            <v>416.68</v>
          </cell>
          <cell r="F326">
            <v>53</v>
          </cell>
          <cell r="G326">
            <v>53</v>
          </cell>
          <cell r="H326">
            <v>8.2579700000000003</v>
          </cell>
        </row>
        <row r="327">
          <cell r="A327" t="str">
            <v>00301487</v>
          </cell>
          <cell r="B327" t="str">
            <v>JST   V/SOFT SHEEN BRIL WHITE 0000001500</v>
          </cell>
          <cell r="C327" t="str">
            <v>Soft Sheen</v>
          </cell>
          <cell r="D327">
            <v>12.78</v>
          </cell>
          <cell r="E327">
            <v>414.2</v>
          </cell>
          <cell r="F327">
            <v>36</v>
          </cell>
          <cell r="G327">
            <v>180</v>
          </cell>
          <cell r="H327">
            <v>11.89818</v>
          </cell>
        </row>
        <row r="328">
          <cell r="A328" t="str">
            <v>00852826</v>
          </cell>
          <cell r="B328" t="str">
            <v>PGOLD 3" STRIPPING KNIFE</v>
          </cell>
          <cell r="C328" t="str">
            <v>Stripping knife</v>
          </cell>
          <cell r="D328">
            <v>8.6300000000000008</v>
          </cell>
          <cell r="E328">
            <v>402.48</v>
          </cell>
          <cell r="F328">
            <v>53</v>
          </cell>
          <cell r="G328">
            <v>53</v>
          </cell>
          <cell r="H328">
            <v>8.0345300000000019</v>
          </cell>
        </row>
        <row r="329">
          <cell r="A329" t="str">
            <v>00611470</v>
          </cell>
          <cell r="B329" t="str">
            <v>PGOLD CLASS HYBRID BRUSH 2.5"</v>
          </cell>
          <cell r="C329" t="str">
            <v>Brush</v>
          </cell>
          <cell r="D329">
            <v>9.23</v>
          </cell>
          <cell r="E329">
            <v>395.53</v>
          </cell>
          <cell r="F329">
            <v>48</v>
          </cell>
          <cell r="G329">
            <v>48</v>
          </cell>
          <cell r="H329">
            <v>8.5931300000000004</v>
          </cell>
        </row>
        <row r="330">
          <cell r="A330" t="str">
            <v>00636277</v>
          </cell>
          <cell r="B330" t="str">
            <v>MIRKA EXTRACTOR    230V 1230L</v>
          </cell>
          <cell r="C330" t="str">
            <v>MIRKA</v>
          </cell>
          <cell r="D330">
            <v>692.47</v>
          </cell>
          <cell r="E330">
            <v>394.99</v>
          </cell>
          <cell r="F330">
            <v>1</v>
          </cell>
          <cell r="G330">
            <v>1</v>
          </cell>
          <cell r="H330">
            <v>623.23</v>
          </cell>
        </row>
        <row r="331">
          <cell r="A331" t="str">
            <v>00852430</v>
          </cell>
          <cell r="B331" t="str">
            <v>PGOLD WHITE SPIRIT 750ML            0750</v>
          </cell>
          <cell r="C331" t="str">
            <v>Spirits</v>
          </cell>
          <cell r="D331">
            <v>1.28</v>
          </cell>
          <cell r="E331">
            <v>394.62</v>
          </cell>
          <cell r="F331">
            <v>344</v>
          </cell>
          <cell r="G331">
            <v>258</v>
          </cell>
          <cell r="H331">
            <v>1.4080000000000001</v>
          </cell>
        </row>
        <row r="332">
          <cell r="A332" t="str">
            <v>00611836</v>
          </cell>
          <cell r="B332" t="str">
            <v>MIRKA DEOS DELTA   110V L/KIT</v>
          </cell>
          <cell r="C332" t="str">
            <v>MIRKA</v>
          </cell>
          <cell r="D332">
            <v>695.55</v>
          </cell>
          <cell r="E332">
            <v>391.28</v>
          </cell>
          <cell r="F332">
            <v>1</v>
          </cell>
          <cell r="G332">
            <v>1</v>
          </cell>
          <cell r="H332">
            <v>626</v>
          </cell>
        </row>
        <row r="333">
          <cell r="A333" t="str">
            <v>00202825</v>
          </cell>
          <cell r="B333" t="str">
            <v>SD S'DUR 520 SET (X)        XXXXCCEU1400</v>
          </cell>
          <cell r="C333" t="str">
            <v>PMC</v>
          </cell>
          <cell r="D333">
            <v>209.25</v>
          </cell>
          <cell r="E333">
            <v>390</v>
          </cell>
          <cell r="F333">
            <v>5</v>
          </cell>
          <cell r="G333">
            <v>20</v>
          </cell>
          <cell r="H333">
            <v>194.81175000000002</v>
          </cell>
        </row>
        <row r="334">
          <cell r="A334" t="str">
            <v>00301982</v>
          </cell>
          <cell r="B334" t="str">
            <v>JST   QD WOODSTAIN ANTIQ PINE 0000001250</v>
          </cell>
          <cell r="C334" t="str">
            <v>Woodstain</v>
          </cell>
          <cell r="D334">
            <v>23.03</v>
          </cell>
          <cell r="E334">
            <v>380.91</v>
          </cell>
          <cell r="F334">
            <v>18</v>
          </cell>
          <cell r="G334">
            <v>45</v>
          </cell>
          <cell r="H334">
            <v>21.440930000000002</v>
          </cell>
        </row>
        <row r="335">
          <cell r="A335" t="str">
            <v>00728160</v>
          </cell>
          <cell r="B335" t="str">
            <v>ZINSR COVERSTAIN   AEROSOL    0000000400</v>
          </cell>
          <cell r="C335" t="str">
            <v>Zinsser</v>
          </cell>
          <cell r="D335">
            <v>8.57</v>
          </cell>
          <cell r="E335">
            <v>380.05</v>
          </cell>
          <cell r="F335">
            <v>49</v>
          </cell>
          <cell r="G335">
            <v>19.600000000000001</v>
          </cell>
          <cell r="H335">
            <v>7.978670000000001</v>
          </cell>
        </row>
        <row r="336">
          <cell r="A336" t="str">
            <v>00435198</v>
          </cell>
          <cell r="B336" t="str">
            <v>JST  AQ GUARD SAT BRILL WHITE  000001500</v>
          </cell>
          <cell r="C336" t="str">
            <v>Aquaguard</v>
          </cell>
          <cell r="D336">
            <v>51.22</v>
          </cell>
          <cell r="E336">
            <v>377.6</v>
          </cell>
          <cell r="F336">
            <v>9</v>
          </cell>
          <cell r="G336">
            <v>45</v>
          </cell>
          <cell r="H336">
            <v>40.98</v>
          </cell>
        </row>
        <row r="337">
          <cell r="A337" t="str">
            <v>00264736</v>
          </cell>
          <cell r="B337" t="str">
            <v>LL    T/G SMTH 15Y PEAT       0000001500</v>
          </cell>
          <cell r="C337" t="str">
            <v>Smooth masonry</v>
          </cell>
          <cell r="D337">
            <v>16.010000000000002</v>
          </cell>
          <cell r="E337">
            <v>375.84</v>
          </cell>
          <cell r="F337">
            <v>27</v>
          </cell>
          <cell r="G337">
            <v>135</v>
          </cell>
          <cell r="H337">
            <v>14.905310000000002</v>
          </cell>
        </row>
        <row r="338">
          <cell r="A338" t="str">
            <v>00307894</v>
          </cell>
          <cell r="B338" t="str">
            <v>FD JS AQUA WB SAT  MIXED COL  0000001100</v>
          </cell>
          <cell r="C338" t="str">
            <v>Aqua Satin</v>
          </cell>
          <cell r="D338">
            <v>11.92</v>
          </cell>
          <cell r="E338">
            <v>371.33</v>
          </cell>
          <cell r="F338">
            <v>34</v>
          </cell>
          <cell r="G338">
            <v>34</v>
          </cell>
          <cell r="H338">
            <v>11.92</v>
          </cell>
        </row>
        <row r="339">
          <cell r="A339" t="str">
            <v>00264850</v>
          </cell>
          <cell r="B339" t="str">
            <v>LL    VINYL SILK   BRIL WHITE 0000001500</v>
          </cell>
          <cell r="C339" t="str">
            <v>Vinyl Silk</v>
          </cell>
          <cell r="D339">
            <v>10.91</v>
          </cell>
          <cell r="E339">
            <v>369.72</v>
          </cell>
          <cell r="F339">
            <v>39</v>
          </cell>
          <cell r="G339">
            <v>195</v>
          </cell>
          <cell r="H339">
            <v>13.09</v>
          </cell>
        </row>
        <row r="340">
          <cell r="A340" t="str">
            <v>00305029</v>
          </cell>
          <cell r="B340" t="str">
            <v>FD JS V/SOFT SHEEN MIXED COL  0000002100</v>
          </cell>
          <cell r="C340" t="str">
            <v>Soft Sheen</v>
          </cell>
          <cell r="D340">
            <v>27.7</v>
          </cell>
          <cell r="E340">
            <v>368.92</v>
          </cell>
          <cell r="F340">
            <v>15</v>
          </cell>
          <cell r="G340">
            <v>150</v>
          </cell>
          <cell r="H340">
            <v>25.788700000000002</v>
          </cell>
        </row>
        <row r="341">
          <cell r="A341" t="str">
            <v>00852799</v>
          </cell>
          <cell r="B341" t="str">
            <v>PGOLD 40 GRIT 5M   ALUM OXIDE</v>
          </cell>
          <cell r="C341" t="str">
            <v>Aluminium Oxide</v>
          </cell>
          <cell r="D341">
            <v>16.66</v>
          </cell>
          <cell r="E341">
            <v>367.8</v>
          </cell>
          <cell r="F341">
            <v>25</v>
          </cell>
          <cell r="G341">
            <v>25</v>
          </cell>
          <cell r="H341">
            <v>15.51046</v>
          </cell>
        </row>
        <row r="342">
          <cell r="A342" t="str">
            <v>00307869</v>
          </cell>
          <cell r="B342" t="str">
            <v>LL    ACRY E/SHELL BRIL WHITE 0000002100</v>
          </cell>
          <cell r="C342" t="str">
            <v>Acrylic Eggshell</v>
          </cell>
          <cell r="D342">
            <v>58.4</v>
          </cell>
          <cell r="E342">
            <v>367.36</v>
          </cell>
          <cell r="F342">
            <v>8</v>
          </cell>
          <cell r="G342">
            <v>80</v>
          </cell>
          <cell r="H342">
            <v>31.28</v>
          </cell>
        </row>
        <row r="343">
          <cell r="A343" t="str">
            <v>00723465</v>
          </cell>
          <cell r="B343" t="str">
            <v>K     SPONTEX      IND SPONGE</v>
          </cell>
          <cell r="C343" t="str">
            <v>Sponge</v>
          </cell>
          <cell r="D343">
            <v>2.4900000000000002</v>
          </cell>
          <cell r="E343">
            <v>366.38</v>
          </cell>
          <cell r="F343">
            <v>171</v>
          </cell>
          <cell r="G343">
            <v>171</v>
          </cell>
          <cell r="H343">
            <v>2.3181900000000004</v>
          </cell>
        </row>
        <row r="344">
          <cell r="A344" t="str">
            <v>00302434</v>
          </cell>
          <cell r="B344" t="str">
            <v>JST   ADV STAIN    BLK PRIMER 0000001250</v>
          </cell>
          <cell r="C344" t="str">
            <v>Primer</v>
          </cell>
          <cell r="D344">
            <v>32.32</v>
          </cell>
          <cell r="E344">
            <v>366.31</v>
          </cell>
          <cell r="F344">
            <v>13</v>
          </cell>
          <cell r="G344">
            <v>32.5</v>
          </cell>
          <cell r="H344">
            <v>35.552000000000007</v>
          </cell>
        </row>
        <row r="345">
          <cell r="A345" t="str">
            <v>00737041</v>
          </cell>
          <cell r="B345" t="str">
            <v>MIRKA DEROS 6560CV 240V DECO  SOL KIT</v>
          </cell>
          <cell r="C345" t="str">
            <v>MIRKA</v>
          </cell>
          <cell r="D345">
            <v>629.79</v>
          </cell>
          <cell r="E345">
            <v>365</v>
          </cell>
          <cell r="F345">
            <v>1</v>
          </cell>
          <cell r="G345">
            <v>1</v>
          </cell>
          <cell r="H345">
            <v>511.18799999999999</v>
          </cell>
        </row>
        <row r="346">
          <cell r="A346" t="str">
            <v>00318284</v>
          </cell>
          <cell r="B346" t="str">
            <v>SD S'COVER 350 SET (X)      XXXXCCEU1400</v>
          </cell>
          <cell r="C346" t="str">
            <v>PMC</v>
          </cell>
          <cell r="D346">
            <v>165.95</v>
          </cell>
          <cell r="E346">
            <v>363.12</v>
          </cell>
          <cell r="F346">
            <v>7</v>
          </cell>
          <cell r="G346">
            <v>28</v>
          </cell>
          <cell r="H346">
            <v>154.49945</v>
          </cell>
        </row>
        <row r="347">
          <cell r="A347" t="str">
            <v>00852269</v>
          </cell>
          <cell r="B347" t="str">
            <v>MIRKA DECO KIT     240V DEOS  DELTA</v>
          </cell>
          <cell r="C347" t="str">
            <v>MIRKA</v>
          </cell>
          <cell r="D347">
            <v>695.55</v>
          </cell>
          <cell r="E347">
            <v>361.6</v>
          </cell>
          <cell r="F347">
            <v>1</v>
          </cell>
          <cell r="G347">
            <v>1</v>
          </cell>
          <cell r="H347">
            <v>626</v>
          </cell>
        </row>
        <row r="348">
          <cell r="A348" t="str">
            <v>00737312</v>
          </cell>
          <cell r="B348" t="str">
            <v>EASYL LINING PAPER 1700 DOUBL</v>
          </cell>
          <cell r="C348" t="str">
            <v>Wallcovering</v>
          </cell>
          <cell r="D348">
            <v>3.84</v>
          </cell>
          <cell r="E348">
            <v>358.01</v>
          </cell>
          <cell r="F348">
            <v>104</v>
          </cell>
          <cell r="G348">
            <v>104</v>
          </cell>
          <cell r="H348">
            <v>3.57504</v>
          </cell>
        </row>
        <row r="349">
          <cell r="A349" t="str">
            <v>00723477</v>
          </cell>
          <cell r="B349" t="str">
            <v>TETR  A/P POWDER   FILLER 10K 0000002100</v>
          </cell>
          <cell r="C349" t="str">
            <v>Tetrion</v>
          </cell>
          <cell r="D349">
            <v>20.58</v>
          </cell>
          <cell r="E349">
            <v>349.92</v>
          </cell>
          <cell r="F349">
            <v>19</v>
          </cell>
          <cell r="G349">
            <v>190</v>
          </cell>
          <cell r="H349">
            <v>19.159980000000001</v>
          </cell>
        </row>
        <row r="350">
          <cell r="A350" t="str">
            <v>00305068</v>
          </cell>
          <cell r="B350" t="str">
            <v>FD JS PROF U/COAT  MIXED COL  0000001100</v>
          </cell>
          <cell r="C350" t="str">
            <v>Solvent Undercoat</v>
          </cell>
          <cell r="D350">
            <v>9.52</v>
          </cell>
          <cell r="E350">
            <v>342.72</v>
          </cell>
          <cell r="F350">
            <v>39</v>
          </cell>
          <cell r="G350">
            <v>39</v>
          </cell>
          <cell r="H350">
            <v>8.8631200000000003</v>
          </cell>
        </row>
        <row r="351">
          <cell r="A351" t="str">
            <v>00738159</v>
          </cell>
          <cell r="B351" t="str">
            <v>RODO  MASONRY BRSH 4 INCH</v>
          </cell>
          <cell r="C351" t="str">
            <v>RODO</v>
          </cell>
          <cell r="D351">
            <v>10.64</v>
          </cell>
          <cell r="E351">
            <v>341.81</v>
          </cell>
          <cell r="F351">
            <v>27</v>
          </cell>
          <cell r="G351">
            <v>27</v>
          </cell>
          <cell r="H351">
            <v>9.9058400000000013</v>
          </cell>
        </row>
        <row r="352">
          <cell r="A352" t="str">
            <v>00734786</v>
          </cell>
          <cell r="B352" t="str">
            <v>ZINSR BULLSEYE 123 PLUS       0000001250</v>
          </cell>
          <cell r="C352" t="str">
            <v>Zinsser</v>
          </cell>
          <cell r="D352">
            <v>63.68</v>
          </cell>
          <cell r="E352">
            <v>341.68</v>
          </cell>
          <cell r="F352">
            <v>7</v>
          </cell>
          <cell r="G352">
            <v>17.5</v>
          </cell>
          <cell r="H352">
            <v>59.286080000000005</v>
          </cell>
        </row>
        <row r="353">
          <cell r="A353" t="str">
            <v>00735642</v>
          </cell>
          <cell r="B353" t="str">
            <v>MIRKA HIOMANT 50MT 80 GRIT</v>
          </cell>
          <cell r="C353" t="str">
            <v>MIRKA</v>
          </cell>
          <cell r="D353">
            <v>47.56</v>
          </cell>
          <cell r="E353">
            <v>340.25</v>
          </cell>
          <cell r="F353">
            <v>8</v>
          </cell>
          <cell r="G353">
            <v>8</v>
          </cell>
          <cell r="H353">
            <v>44.278360000000006</v>
          </cell>
        </row>
        <row r="354">
          <cell r="A354" t="str">
            <v>00301545</v>
          </cell>
          <cell r="B354" t="str">
            <v>JST   ACRY E/SHELL BRIL WHITE 0000001250</v>
          </cell>
          <cell r="C354" t="str">
            <v>Acrylic Eggshell</v>
          </cell>
          <cell r="D354">
            <v>11.17</v>
          </cell>
          <cell r="E354">
            <v>329.15</v>
          </cell>
          <cell r="F354">
            <v>33</v>
          </cell>
          <cell r="G354">
            <v>82.5</v>
          </cell>
          <cell r="H354">
            <v>10.42</v>
          </cell>
        </row>
        <row r="355">
          <cell r="A355" t="str">
            <v>00730997</v>
          </cell>
          <cell r="B355" t="str">
            <v>ESKI  BAG OF RAGS</v>
          </cell>
          <cell r="C355" t="str">
            <v>Cleaning</v>
          </cell>
          <cell r="D355">
            <v>20.059999999999999</v>
          </cell>
          <cell r="E355">
            <v>327.92</v>
          </cell>
          <cell r="F355">
            <v>18</v>
          </cell>
          <cell r="G355">
            <v>18</v>
          </cell>
          <cell r="H355">
            <v>18.67586</v>
          </cell>
        </row>
        <row r="356">
          <cell r="A356" t="str">
            <v>00733019</v>
          </cell>
          <cell r="B356" t="str">
            <v>PURDY SHORT HANDLE WIRE BRUSH</v>
          </cell>
          <cell r="C356" t="str">
            <v>Brush</v>
          </cell>
          <cell r="D356">
            <v>8.8000000000000007</v>
          </cell>
          <cell r="E356">
            <v>327.24</v>
          </cell>
          <cell r="F356">
            <v>41</v>
          </cell>
          <cell r="G356">
            <v>41</v>
          </cell>
          <cell r="H356">
            <v>8.1928000000000019</v>
          </cell>
        </row>
        <row r="357">
          <cell r="A357" t="str">
            <v>00430610</v>
          </cell>
          <cell r="B357" t="str">
            <v>JST  PERFECT MATT B/WHITE     7000001500</v>
          </cell>
          <cell r="C357" t="str">
            <v>Perfect Matt</v>
          </cell>
          <cell r="D357">
            <v>43.93</v>
          </cell>
          <cell r="E357">
            <v>323.88</v>
          </cell>
          <cell r="F357">
            <v>8</v>
          </cell>
          <cell r="G357">
            <v>40</v>
          </cell>
          <cell r="H357">
            <v>35.94</v>
          </cell>
        </row>
        <row r="358">
          <cell r="A358" t="str">
            <v>00611460</v>
          </cell>
          <cell r="B358" t="str">
            <v>PGOLD CLASS SYNTH  BRUSH 1.5"</v>
          </cell>
          <cell r="C358" t="str">
            <v>Brush</v>
          </cell>
          <cell r="D358">
            <v>2.82</v>
          </cell>
          <cell r="E358">
            <v>321.41000000000003</v>
          </cell>
          <cell r="F358">
            <v>113</v>
          </cell>
          <cell r="G358">
            <v>113</v>
          </cell>
          <cell r="H358">
            <v>2.6254200000000001</v>
          </cell>
        </row>
        <row r="359">
          <cell r="A359" t="str">
            <v>00301966</v>
          </cell>
          <cell r="B359" t="str">
            <v>JST   SATIN W/STN  MAHOGANY   0000001250</v>
          </cell>
          <cell r="C359" t="str">
            <v>Woodstain</v>
          </cell>
          <cell r="D359">
            <v>16.88</v>
          </cell>
          <cell r="E359">
            <v>321.37</v>
          </cell>
          <cell r="F359">
            <v>22</v>
          </cell>
          <cell r="G359">
            <v>55</v>
          </cell>
          <cell r="H359">
            <v>15.71528</v>
          </cell>
        </row>
        <row r="360">
          <cell r="A360" t="str">
            <v>00611391</v>
          </cell>
          <cell r="B360" t="str">
            <v>TESA  PR MASK TAPE 50M X 38MM 4440</v>
          </cell>
          <cell r="C360" t="str">
            <v>Tape</v>
          </cell>
          <cell r="D360">
            <v>7.72</v>
          </cell>
          <cell r="E360">
            <v>319.37</v>
          </cell>
          <cell r="F360">
            <v>23</v>
          </cell>
          <cell r="G360">
            <v>23</v>
          </cell>
          <cell r="H360">
            <v>7.1873199999999997</v>
          </cell>
        </row>
        <row r="361">
          <cell r="A361" t="str">
            <v>00615365</v>
          </cell>
          <cell r="B361" t="str">
            <v>PURDY ADJUST FRAME 12IN-18IN</v>
          </cell>
          <cell r="C361" t="str">
            <v>Purdy</v>
          </cell>
          <cell r="D361">
            <v>17.25</v>
          </cell>
          <cell r="E361">
            <v>318.60000000000002</v>
          </cell>
          <cell r="F361">
            <v>21</v>
          </cell>
          <cell r="G361">
            <v>21</v>
          </cell>
          <cell r="H361">
            <v>16.059750000000001</v>
          </cell>
        </row>
        <row r="362">
          <cell r="A362" t="str">
            <v>00423496</v>
          </cell>
          <cell r="B362" t="str">
            <v>JST   AQUA WB GLS  BLACK      0000001500</v>
          </cell>
          <cell r="C362" t="str">
            <v>Aqua Gloss</v>
          </cell>
          <cell r="D362">
            <v>27.32</v>
          </cell>
          <cell r="E362">
            <v>311.97000000000003</v>
          </cell>
          <cell r="F362">
            <v>12</v>
          </cell>
          <cell r="G362">
            <v>60</v>
          </cell>
          <cell r="H362">
            <v>27.32</v>
          </cell>
        </row>
        <row r="363">
          <cell r="A363" t="str">
            <v>00301852</v>
          </cell>
          <cell r="B363" t="str">
            <v>JST   Q/DRY OPAQUE WHITE      0000001250</v>
          </cell>
          <cell r="C363" t="str">
            <v>WB Opaque</v>
          </cell>
          <cell r="D363">
            <v>17.09</v>
          </cell>
          <cell r="E363">
            <v>311.12</v>
          </cell>
          <cell r="F363">
            <v>21</v>
          </cell>
          <cell r="G363">
            <v>52.5</v>
          </cell>
          <cell r="H363">
            <v>15.91079</v>
          </cell>
        </row>
        <row r="364">
          <cell r="A364" t="str">
            <v>00430612</v>
          </cell>
          <cell r="B364" t="str">
            <v>JST  PERFECT MATT B/WHITE     7000002100</v>
          </cell>
          <cell r="C364" t="str">
            <v>Perfect Matt</v>
          </cell>
          <cell r="D364">
            <v>85.57</v>
          </cell>
          <cell r="E364">
            <v>309.5</v>
          </cell>
          <cell r="F364">
            <v>4</v>
          </cell>
          <cell r="G364">
            <v>40</v>
          </cell>
          <cell r="H364">
            <v>59.9</v>
          </cell>
        </row>
        <row r="365">
          <cell r="A365" t="str">
            <v>00302006</v>
          </cell>
          <cell r="B365" t="str">
            <v>JST   SHED &amp; FENCE GREEN      0000001500</v>
          </cell>
          <cell r="C365" t="str">
            <v>Shed and fence</v>
          </cell>
          <cell r="D365">
            <v>8.2100000000000009</v>
          </cell>
          <cell r="E365">
            <v>308.73</v>
          </cell>
          <cell r="F365">
            <v>43</v>
          </cell>
          <cell r="G365">
            <v>215</v>
          </cell>
          <cell r="H365">
            <v>7.6435100000000009</v>
          </cell>
        </row>
        <row r="366">
          <cell r="A366" t="str">
            <v>00611101</v>
          </cell>
          <cell r="B366" t="str">
            <v>EWI   RECYCLING    BAGS ROLL 50</v>
          </cell>
          <cell r="C366" t="str">
            <v>EWI</v>
          </cell>
          <cell r="D366">
            <v>57.17</v>
          </cell>
          <cell r="E366">
            <v>307.16000000000003</v>
          </cell>
          <cell r="F366">
            <v>7</v>
          </cell>
          <cell r="G366">
            <v>7</v>
          </cell>
          <cell r="H366">
            <v>57.17</v>
          </cell>
        </row>
        <row r="367">
          <cell r="A367" t="str">
            <v>00852417</v>
          </cell>
          <cell r="B367" t="str">
            <v>PGOLD INT POWDER   FILLER 5KG 0000001500</v>
          </cell>
          <cell r="C367" t="str">
            <v>Filler</v>
          </cell>
          <cell r="D367">
            <v>8.4600000000000009</v>
          </cell>
          <cell r="E367">
            <v>306.45</v>
          </cell>
          <cell r="F367">
            <v>42</v>
          </cell>
          <cell r="G367">
            <v>210</v>
          </cell>
          <cell r="H367">
            <v>7.8762600000000011</v>
          </cell>
        </row>
        <row r="368">
          <cell r="A368" t="str">
            <v>00735641</v>
          </cell>
          <cell r="B368" t="str">
            <v>MIRKA HIOMANT 10MT 120 GRIT</v>
          </cell>
          <cell r="C368" t="str">
            <v>MIRKA</v>
          </cell>
          <cell r="D368">
            <v>17.04</v>
          </cell>
          <cell r="E368">
            <v>306.36</v>
          </cell>
          <cell r="F368">
            <v>17</v>
          </cell>
          <cell r="G368">
            <v>17</v>
          </cell>
          <cell r="H368">
            <v>15.864240000000001</v>
          </cell>
        </row>
        <row r="369">
          <cell r="A369" t="str">
            <v>00306001</v>
          </cell>
          <cell r="B369" t="str">
            <v>FD JS PROF SATIN   MIXED COL  0000001100</v>
          </cell>
          <cell r="C369" t="str">
            <v>Solvent Satin</v>
          </cell>
          <cell r="D369">
            <v>20.21</v>
          </cell>
          <cell r="E369">
            <v>305.74</v>
          </cell>
          <cell r="F369">
            <v>17</v>
          </cell>
          <cell r="G369">
            <v>17</v>
          </cell>
          <cell r="H369">
            <v>18.815510000000003</v>
          </cell>
        </row>
        <row r="370">
          <cell r="A370" t="str">
            <v>00301674</v>
          </cell>
          <cell r="B370" t="str">
            <v>JST   EGGSHELL     MAGNOLIA   0000001500</v>
          </cell>
          <cell r="C370" t="str">
            <v>Solvent Eggshell</v>
          </cell>
          <cell r="D370">
            <v>19.079999999999998</v>
          </cell>
          <cell r="E370">
            <v>303.31</v>
          </cell>
          <cell r="F370">
            <v>17</v>
          </cell>
          <cell r="G370">
            <v>85</v>
          </cell>
          <cell r="H370">
            <v>22.895999999999997</v>
          </cell>
        </row>
        <row r="371">
          <cell r="A371" t="str">
            <v>00326780</v>
          </cell>
          <cell r="B371" t="str">
            <v>JST   SMOOTH METAL GOLD       0000000800</v>
          </cell>
          <cell r="C371" t="str">
            <v>Smooth Metal</v>
          </cell>
          <cell r="D371">
            <v>18.850000000000001</v>
          </cell>
          <cell r="E371">
            <v>298.95</v>
          </cell>
          <cell r="F371">
            <v>18</v>
          </cell>
          <cell r="G371">
            <v>14.4</v>
          </cell>
          <cell r="H371">
            <v>17.549350000000004</v>
          </cell>
        </row>
        <row r="372">
          <cell r="A372" t="str">
            <v>00264638</v>
          </cell>
          <cell r="B372" t="str">
            <v>LL    GLOSS        BLACK      0000001500</v>
          </cell>
          <cell r="C372" t="str">
            <v>Solvent Gloss</v>
          </cell>
          <cell r="D372">
            <v>16.71</v>
          </cell>
          <cell r="E372">
            <v>298.72000000000003</v>
          </cell>
          <cell r="F372">
            <v>20</v>
          </cell>
          <cell r="G372">
            <v>100</v>
          </cell>
          <cell r="H372">
            <v>22.93</v>
          </cell>
        </row>
        <row r="373">
          <cell r="A373" t="str">
            <v>00308137</v>
          </cell>
          <cell r="B373" t="str">
            <v>JST   OPAQUE W/FIN Z2         0000001197</v>
          </cell>
          <cell r="C373" t="str">
            <v>Opaque Solvent</v>
          </cell>
          <cell r="D373">
            <v>38.69</v>
          </cell>
          <cell r="E373">
            <v>298.26</v>
          </cell>
          <cell r="F373">
            <v>10</v>
          </cell>
          <cell r="G373">
            <v>19.7</v>
          </cell>
          <cell r="H373">
            <v>36.020389999999999</v>
          </cell>
        </row>
        <row r="374">
          <cell r="A374" t="str">
            <v>00729830</v>
          </cell>
          <cell r="B374" t="str">
            <v>EASY  EASYTEX      10-038     SWIRL</v>
          </cell>
          <cell r="C374" t="str">
            <v>Wallcovering</v>
          </cell>
          <cell r="D374">
            <v>5.18</v>
          </cell>
          <cell r="E374">
            <v>295.92</v>
          </cell>
          <cell r="F374">
            <v>54</v>
          </cell>
          <cell r="G374">
            <v>54</v>
          </cell>
          <cell r="H374">
            <v>4.8225800000000003</v>
          </cell>
        </row>
        <row r="375">
          <cell r="A375" t="str">
            <v>00730083</v>
          </cell>
          <cell r="B375" t="str">
            <v>G&amp;B   FRESCO 19782 CARRERA    PG.HS</v>
          </cell>
          <cell r="C375" t="str">
            <v>Wallcovering</v>
          </cell>
          <cell r="D375">
            <v>8.9700000000000006</v>
          </cell>
          <cell r="E375">
            <v>294.7</v>
          </cell>
          <cell r="F375">
            <v>35</v>
          </cell>
          <cell r="G375">
            <v>35</v>
          </cell>
          <cell r="H375">
            <v>8.3930000000000007</v>
          </cell>
        </row>
        <row r="376">
          <cell r="A376" t="str">
            <v>00264725</v>
          </cell>
          <cell r="B376" t="str">
            <v>LL    T/G SMTH 15Y BRIL WHITE 0000001500</v>
          </cell>
          <cell r="C376" t="str">
            <v>Smooth masonry</v>
          </cell>
          <cell r="D376">
            <v>15.18</v>
          </cell>
          <cell r="E376">
            <v>292.3</v>
          </cell>
          <cell r="F376">
            <v>22</v>
          </cell>
          <cell r="G376">
            <v>110</v>
          </cell>
          <cell r="H376">
            <v>14.132580000000001</v>
          </cell>
        </row>
        <row r="377">
          <cell r="A377" t="str">
            <v>00853338</v>
          </cell>
          <cell r="B377" t="str">
            <v>PGOLD REPLACE SK   BLADE 18MM 674128</v>
          </cell>
          <cell r="C377" t="str">
            <v>Blades</v>
          </cell>
          <cell r="D377">
            <v>2.15</v>
          </cell>
          <cell r="E377">
            <v>290.06</v>
          </cell>
          <cell r="F377">
            <v>154</v>
          </cell>
          <cell r="G377">
            <v>154</v>
          </cell>
          <cell r="H377">
            <v>2.0016500000000002</v>
          </cell>
        </row>
        <row r="378">
          <cell r="A378" t="str">
            <v>00305826</v>
          </cell>
          <cell r="B378" t="str">
            <v>FD LL VINYL SILK   MIXED COL  0000001500</v>
          </cell>
          <cell r="C378" t="str">
            <v>Vinyl Silk</v>
          </cell>
          <cell r="D378">
            <v>11.62</v>
          </cell>
          <cell r="E378">
            <v>288.08999999999997</v>
          </cell>
          <cell r="F378">
            <v>27</v>
          </cell>
          <cell r="G378">
            <v>135</v>
          </cell>
          <cell r="H378">
            <v>13.94</v>
          </cell>
        </row>
        <row r="379">
          <cell r="A379" t="str">
            <v>00730469</v>
          </cell>
          <cell r="B379" t="str">
            <v>MIRKA ALUM OXIDE   80GRIT 10M HIOMANT</v>
          </cell>
          <cell r="C379" t="str">
            <v>MIRKA</v>
          </cell>
          <cell r="D379">
            <v>12.6</v>
          </cell>
          <cell r="E379">
            <v>287.39999999999998</v>
          </cell>
          <cell r="F379">
            <v>25</v>
          </cell>
          <cell r="G379">
            <v>25</v>
          </cell>
          <cell r="H379">
            <v>11.730600000000001</v>
          </cell>
        </row>
        <row r="380">
          <cell r="A380" t="str">
            <v>00423209</v>
          </cell>
          <cell r="B380" t="str">
            <v>JST   S/SLD SMOOTH MUSHROOM   0000001500</v>
          </cell>
          <cell r="C380" t="str">
            <v>Smooth masonry</v>
          </cell>
          <cell r="D380">
            <v>17.84</v>
          </cell>
          <cell r="E380">
            <v>285.38</v>
          </cell>
          <cell r="F380">
            <v>18</v>
          </cell>
          <cell r="G380">
            <v>90</v>
          </cell>
          <cell r="H380">
            <v>16.60904</v>
          </cell>
        </row>
        <row r="381">
          <cell r="A381" t="str">
            <v>00300664</v>
          </cell>
          <cell r="B381" t="str">
            <v>JST   SHED &amp; FENCE DARK C'NUT 0000001900</v>
          </cell>
          <cell r="C381" t="str">
            <v>Shed and fence</v>
          </cell>
          <cell r="D381">
            <v>14.38</v>
          </cell>
          <cell r="E381">
            <v>283</v>
          </cell>
          <cell r="F381">
            <v>23</v>
          </cell>
          <cell r="G381">
            <v>207</v>
          </cell>
          <cell r="H381">
            <v>13.387780000000001</v>
          </cell>
        </row>
        <row r="382">
          <cell r="A382" t="str">
            <v>00302874</v>
          </cell>
          <cell r="B382" t="str">
            <v>JST   CLEANER &amp;    DEGREASER  0000001500</v>
          </cell>
          <cell r="C382" t="str">
            <v>Cleaning</v>
          </cell>
          <cell r="D382">
            <v>16.16</v>
          </cell>
          <cell r="E382">
            <v>282.63</v>
          </cell>
          <cell r="F382">
            <v>19</v>
          </cell>
          <cell r="G382">
            <v>95</v>
          </cell>
          <cell r="H382">
            <v>15.044960000000001</v>
          </cell>
        </row>
        <row r="383">
          <cell r="A383" t="str">
            <v>00304853</v>
          </cell>
          <cell r="B383" t="str">
            <v>JST   POLY VARNISH GLS CLEAR  0000001500</v>
          </cell>
          <cell r="C383" t="str">
            <v>Varnish</v>
          </cell>
          <cell r="D383">
            <v>28.15</v>
          </cell>
          <cell r="E383">
            <v>280.93</v>
          </cell>
          <cell r="F383">
            <v>11</v>
          </cell>
          <cell r="G383">
            <v>55</v>
          </cell>
          <cell r="H383">
            <v>26.207650000000001</v>
          </cell>
        </row>
        <row r="384">
          <cell r="A384" t="str">
            <v>00301990</v>
          </cell>
          <cell r="B384" t="str">
            <v>JST   QD WOODSTAIN TEAK       0000001250</v>
          </cell>
          <cell r="C384" t="str">
            <v>Woodstain</v>
          </cell>
          <cell r="D384">
            <v>23.03</v>
          </cell>
          <cell r="E384">
            <v>279.72000000000003</v>
          </cell>
          <cell r="F384">
            <v>14</v>
          </cell>
          <cell r="G384">
            <v>35</v>
          </cell>
          <cell r="H384">
            <v>21.440930000000002</v>
          </cell>
        </row>
        <row r="385">
          <cell r="A385" t="str">
            <v>00423491</v>
          </cell>
          <cell r="B385" t="str">
            <v>JST   AQUA WB GLS  BRIL WHITE 0000001100</v>
          </cell>
          <cell r="C385" t="str">
            <v>Aqua Gloss</v>
          </cell>
          <cell r="D385">
            <v>8.8000000000000007</v>
          </cell>
          <cell r="E385">
            <v>275.07</v>
          </cell>
          <cell r="F385">
            <v>36</v>
          </cell>
          <cell r="G385">
            <v>36</v>
          </cell>
          <cell r="H385">
            <v>8.8000000000000007</v>
          </cell>
        </row>
        <row r="386">
          <cell r="A386" t="str">
            <v>00611472</v>
          </cell>
          <cell r="B386" t="str">
            <v>PGOLD CLASS HYBRID BRUSH 4"</v>
          </cell>
          <cell r="C386" t="str">
            <v>Brush</v>
          </cell>
          <cell r="D386">
            <v>6.44</v>
          </cell>
          <cell r="E386">
            <v>274.32</v>
          </cell>
          <cell r="F386">
            <v>52</v>
          </cell>
          <cell r="G386">
            <v>52</v>
          </cell>
          <cell r="H386">
            <v>5.9956400000000007</v>
          </cell>
        </row>
        <row r="387">
          <cell r="A387" t="str">
            <v>00272495</v>
          </cell>
          <cell r="B387" t="str">
            <v>JST   S/CL MASONRY BRIL WHITE 0000001500</v>
          </cell>
          <cell r="C387" t="str">
            <v>Self cleaning masonry</v>
          </cell>
          <cell r="D387">
            <v>49.84</v>
          </cell>
          <cell r="E387">
            <v>273.86</v>
          </cell>
          <cell r="F387">
            <v>6</v>
          </cell>
          <cell r="G387">
            <v>30</v>
          </cell>
          <cell r="H387">
            <v>46.401040000000009</v>
          </cell>
        </row>
        <row r="388">
          <cell r="A388" t="str">
            <v>00300399</v>
          </cell>
          <cell r="B388" t="str">
            <v>JST   ACRYL SATIN  BRIL WHITE 0000001250</v>
          </cell>
          <cell r="C388" t="str">
            <v>Acrylic Satin</v>
          </cell>
          <cell r="D388">
            <v>15.58</v>
          </cell>
          <cell r="E388">
            <v>272.31</v>
          </cell>
          <cell r="F388">
            <v>20</v>
          </cell>
          <cell r="G388">
            <v>50</v>
          </cell>
          <cell r="H388">
            <v>14.504980000000002</v>
          </cell>
        </row>
        <row r="389">
          <cell r="A389" t="str">
            <v>00723311</v>
          </cell>
          <cell r="B389" t="str">
            <v>PURDY MON 01C      BRUSH SET  CONTENTS 1</v>
          </cell>
          <cell r="C389" t="str">
            <v>Brush</v>
          </cell>
          <cell r="D389">
            <v>22.9</v>
          </cell>
          <cell r="E389">
            <v>271.55</v>
          </cell>
          <cell r="F389">
            <v>13</v>
          </cell>
          <cell r="G389">
            <v>13</v>
          </cell>
          <cell r="H389">
            <v>21.319900000000001</v>
          </cell>
        </row>
        <row r="390">
          <cell r="A390" t="str">
            <v>00301805</v>
          </cell>
          <cell r="B390" t="str">
            <v>JST   AGRICU OXIDE GREY       0000001500</v>
          </cell>
          <cell r="C390" t="str">
            <v>Primer</v>
          </cell>
          <cell r="D390">
            <v>48.28</v>
          </cell>
          <cell r="E390">
            <v>269.45999999999998</v>
          </cell>
          <cell r="F390">
            <v>6</v>
          </cell>
          <cell r="G390">
            <v>30</v>
          </cell>
          <cell r="H390">
            <v>44.948680000000003</v>
          </cell>
        </row>
        <row r="391">
          <cell r="A391" t="str">
            <v>00301755</v>
          </cell>
          <cell r="B391" t="str">
            <v>JST   ABAC AC MATT BRIL WHITE 0000001500</v>
          </cell>
          <cell r="C391" t="str">
            <v>Anti-bacterial</v>
          </cell>
          <cell r="D391">
            <v>49.44</v>
          </cell>
          <cell r="E391">
            <v>268.2</v>
          </cell>
          <cell r="F391">
            <v>6</v>
          </cell>
          <cell r="G391">
            <v>30</v>
          </cell>
          <cell r="H391">
            <v>46.028640000000003</v>
          </cell>
        </row>
        <row r="392">
          <cell r="A392" t="str">
            <v>00728208</v>
          </cell>
          <cell r="B392" t="str">
            <v>HAMIL HD TUNGSTEN CARBIDE SCRAPER 2"</v>
          </cell>
          <cell r="C392" t="str">
            <v>Hamilton</v>
          </cell>
          <cell r="D392">
            <v>10.91</v>
          </cell>
          <cell r="E392">
            <v>268.12</v>
          </cell>
          <cell r="F392">
            <v>28</v>
          </cell>
          <cell r="G392">
            <v>28</v>
          </cell>
          <cell r="H392">
            <v>10.157210000000001</v>
          </cell>
        </row>
        <row r="393">
          <cell r="A393" t="str">
            <v>00852421</v>
          </cell>
          <cell r="B393" t="str">
            <v>PGOLD READY MIXED  FILLER 1KG       1100</v>
          </cell>
          <cell r="C393" t="str">
            <v>Filler</v>
          </cell>
          <cell r="D393">
            <v>3.72</v>
          </cell>
          <cell r="E393">
            <v>266.02</v>
          </cell>
          <cell r="F393">
            <v>78</v>
          </cell>
          <cell r="G393">
            <v>78</v>
          </cell>
          <cell r="H393">
            <v>3.4633200000000004</v>
          </cell>
        </row>
        <row r="394">
          <cell r="A394" t="str">
            <v>00305842</v>
          </cell>
          <cell r="B394" t="str">
            <v>FD LL UNDERCOAT    MIXED COL  0000001500</v>
          </cell>
          <cell r="C394" t="str">
            <v>Solvent Undercoat</v>
          </cell>
          <cell r="D394">
            <v>16.71</v>
          </cell>
          <cell r="E394">
            <v>265.02</v>
          </cell>
          <cell r="F394">
            <v>18</v>
          </cell>
          <cell r="G394">
            <v>90</v>
          </cell>
          <cell r="H394">
            <v>25.065000000000001</v>
          </cell>
        </row>
        <row r="395">
          <cell r="A395" t="str">
            <v>00852819</v>
          </cell>
          <cell r="B395" t="str">
            <v>PGOLD 12" DOUBLE   ARM FRAME</v>
          </cell>
          <cell r="C395" t="str">
            <v>Roller</v>
          </cell>
          <cell r="D395">
            <v>5.78</v>
          </cell>
          <cell r="E395">
            <v>264.7</v>
          </cell>
          <cell r="F395">
            <v>50</v>
          </cell>
          <cell r="G395">
            <v>50</v>
          </cell>
          <cell r="H395">
            <v>6.3580000000000005</v>
          </cell>
        </row>
        <row r="396">
          <cell r="A396" t="str">
            <v>00736949</v>
          </cell>
          <cell r="B396" t="str">
            <v>MGRR  FUNGICIDAL   WASH       0000001250</v>
          </cell>
          <cell r="C396" t="str">
            <v>Mangers</v>
          </cell>
          <cell r="D396">
            <v>4.2</v>
          </cell>
          <cell r="E396">
            <v>262.57</v>
          </cell>
          <cell r="F396">
            <v>71</v>
          </cell>
          <cell r="G396">
            <v>177.5</v>
          </cell>
          <cell r="H396">
            <v>3.9102000000000006</v>
          </cell>
        </row>
        <row r="397">
          <cell r="A397" t="str">
            <v>00723485</v>
          </cell>
          <cell r="B397" t="str">
            <v>RODO  WIRE BRUSH   4 ROW      (BWB4)</v>
          </cell>
          <cell r="C397" t="str">
            <v>Brush</v>
          </cell>
          <cell r="D397">
            <v>1.74</v>
          </cell>
          <cell r="E397">
            <v>262.2</v>
          </cell>
          <cell r="F397">
            <v>168</v>
          </cell>
          <cell r="G397">
            <v>168</v>
          </cell>
          <cell r="H397">
            <v>1.6199400000000002</v>
          </cell>
        </row>
        <row r="398">
          <cell r="A398" t="str">
            <v>00852929</v>
          </cell>
          <cell r="B398" t="str">
            <v>PGOLD LONG POLY    9" ROLLER</v>
          </cell>
          <cell r="C398" t="str">
            <v>Roller</v>
          </cell>
          <cell r="D398">
            <v>1.2</v>
          </cell>
          <cell r="E398">
            <v>262.12</v>
          </cell>
          <cell r="F398">
            <v>236</v>
          </cell>
          <cell r="G398">
            <v>236</v>
          </cell>
          <cell r="H398">
            <v>1.1172</v>
          </cell>
        </row>
        <row r="399">
          <cell r="A399" t="str">
            <v>00852407</v>
          </cell>
          <cell r="B399" t="str">
            <v>PGOLD AP POWDER    FILLER 2KG 0000001200</v>
          </cell>
          <cell r="C399" t="str">
            <v>Filler</v>
          </cell>
          <cell r="D399">
            <v>4.6100000000000003</v>
          </cell>
          <cell r="E399">
            <v>259.08999999999997</v>
          </cell>
          <cell r="F399">
            <v>62</v>
          </cell>
          <cell r="G399">
            <v>124</v>
          </cell>
          <cell r="H399">
            <v>4.2919100000000006</v>
          </cell>
        </row>
        <row r="400">
          <cell r="A400" t="str">
            <v>00301976</v>
          </cell>
          <cell r="B400" t="str">
            <v>JST   WB FLR VARN  CLEAR GLS  0000001500</v>
          </cell>
          <cell r="C400" t="str">
            <v>Varnish</v>
          </cell>
          <cell r="D400">
            <v>40.25</v>
          </cell>
          <cell r="E400">
            <v>256.13</v>
          </cell>
          <cell r="F400">
            <v>7</v>
          </cell>
          <cell r="G400">
            <v>35</v>
          </cell>
          <cell r="H400">
            <v>37.472750000000005</v>
          </cell>
        </row>
        <row r="401">
          <cell r="A401" t="str">
            <v>00723498</v>
          </cell>
          <cell r="B401" t="str">
            <v>K     BIRDCAGE     9" FRAME   PLASTICHAN</v>
          </cell>
          <cell r="C401" t="str">
            <v>Roller</v>
          </cell>
          <cell r="D401">
            <v>4.95</v>
          </cell>
          <cell r="E401">
            <v>255.76</v>
          </cell>
          <cell r="F401">
            <v>58</v>
          </cell>
          <cell r="G401">
            <v>58</v>
          </cell>
          <cell r="H401">
            <v>4.6084500000000004</v>
          </cell>
        </row>
        <row r="402">
          <cell r="A402" t="str">
            <v>00617975</v>
          </cell>
          <cell r="B402" t="str">
            <v>RODO  SUPER CLING  DUST SHEET PRODEC</v>
          </cell>
          <cell r="C402" t="str">
            <v>RODO</v>
          </cell>
          <cell r="D402">
            <v>15.63</v>
          </cell>
          <cell r="E402">
            <v>255.42</v>
          </cell>
          <cell r="F402">
            <v>18</v>
          </cell>
          <cell r="G402">
            <v>18</v>
          </cell>
          <cell r="H402">
            <v>14.551530000000001</v>
          </cell>
        </row>
        <row r="403">
          <cell r="A403" t="str">
            <v>00657764</v>
          </cell>
          <cell r="B403" t="str">
            <v>PPG COLOUR SCANNER                 CR100</v>
          </cell>
          <cell r="C403" t="str">
            <v>Colour scanner</v>
          </cell>
          <cell r="D403">
            <v>117.15</v>
          </cell>
          <cell r="E403">
            <v>252.96</v>
          </cell>
          <cell r="F403">
            <v>3</v>
          </cell>
          <cell r="G403">
            <v>0</v>
          </cell>
          <cell r="H403">
            <v>83.52</v>
          </cell>
        </row>
        <row r="404">
          <cell r="A404" t="str">
            <v>00730819</v>
          </cell>
          <cell r="B404" t="str">
            <v>EASYM EASYTEX MAX  LAGOON W/C 10-069</v>
          </cell>
          <cell r="C404" t="str">
            <v>Wallcovering</v>
          </cell>
          <cell r="D404">
            <v>8.18</v>
          </cell>
          <cell r="E404">
            <v>252.84</v>
          </cell>
          <cell r="F404">
            <v>28</v>
          </cell>
          <cell r="G404">
            <v>28</v>
          </cell>
          <cell r="H404">
            <v>7.6155800000000005</v>
          </cell>
        </row>
        <row r="405">
          <cell r="A405" t="str">
            <v>00727362</v>
          </cell>
          <cell r="B405" t="str">
            <v>FATEV S/SKIN ROLL  EVO 9</v>
          </cell>
          <cell r="C405" t="str">
            <v>Roller</v>
          </cell>
          <cell r="D405">
            <v>17.02</v>
          </cell>
          <cell r="E405">
            <v>251.6</v>
          </cell>
          <cell r="F405">
            <v>17</v>
          </cell>
          <cell r="G405">
            <v>17</v>
          </cell>
          <cell r="H405">
            <v>15.84562</v>
          </cell>
        </row>
        <row r="406">
          <cell r="A406" t="str">
            <v>00954103</v>
          </cell>
          <cell r="B406" t="str">
            <v>MANGR PAINT KETTLE 2.5L       WITH HANDL</v>
          </cell>
          <cell r="C406" t="str">
            <v>Kettle</v>
          </cell>
          <cell r="D406">
            <v>0.57999999999999996</v>
          </cell>
          <cell r="E406">
            <v>250.92</v>
          </cell>
          <cell r="F406">
            <v>482</v>
          </cell>
          <cell r="G406">
            <v>482</v>
          </cell>
          <cell r="H406">
            <v>0.53998000000000002</v>
          </cell>
        </row>
        <row r="407">
          <cell r="A407" t="str">
            <v>00264606</v>
          </cell>
          <cell r="B407" t="str">
            <v>LL    GLOSS        BRIL WHITE 0000001500</v>
          </cell>
          <cell r="C407" t="str">
            <v>Solvent Gloss</v>
          </cell>
          <cell r="D407">
            <v>15.7</v>
          </cell>
          <cell r="E407">
            <v>248.4</v>
          </cell>
          <cell r="F407">
            <v>17</v>
          </cell>
          <cell r="G407">
            <v>85</v>
          </cell>
          <cell r="H407">
            <v>18.93</v>
          </cell>
        </row>
        <row r="408">
          <cell r="A408" t="str">
            <v>00264707</v>
          </cell>
          <cell r="B408" t="str">
            <v>LL    SUPER LEYTEX BRIL WHITE 0000002150</v>
          </cell>
          <cell r="C408" t="str">
            <v>Contract matt</v>
          </cell>
          <cell r="D408">
            <v>22.95</v>
          </cell>
          <cell r="E408">
            <v>247.99</v>
          </cell>
          <cell r="F408">
            <v>11</v>
          </cell>
          <cell r="G408">
            <v>165</v>
          </cell>
          <cell r="H408">
            <v>17.64</v>
          </cell>
        </row>
        <row r="409">
          <cell r="A409" t="str">
            <v>00301667</v>
          </cell>
          <cell r="B409" t="str">
            <v>JST   PROF U/COAT  DARK GREY  0000001250</v>
          </cell>
          <cell r="C409" t="str">
            <v>Solvent Undercoat</v>
          </cell>
          <cell r="D409">
            <v>9.7799999999999994</v>
          </cell>
          <cell r="E409">
            <v>246.16</v>
          </cell>
          <cell r="F409">
            <v>29</v>
          </cell>
          <cell r="G409">
            <v>72.5</v>
          </cell>
          <cell r="H409">
            <v>9.7799999999999994</v>
          </cell>
        </row>
        <row r="410">
          <cell r="A410" t="str">
            <v>00729827</v>
          </cell>
          <cell r="B410" t="str">
            <v>EASY  EASYTEX      10-035     CASCADE</v>
          </cell>
          <cell r="C410" t="str">
            <v>Wallcovering</v>
          </cell>
          <cell r="D410">
            <v>5.18</v>
          </cell>
          <cell r="E410">
            <v>244.82</v>
          </cell>
          <cell r="F410">
            <v>47</v>
          </cell>
          <cell r="G410">
            <v>47</v>
          </cell>
          <cell r="H410">
            <v>4.8225800000000003</v>
          </cell>
        </row>
        <row r="411">
          <cell r="A411" t="str">
            <v>00305054</v>
          </cell>
          <cell r="B411" t="str">
            <v>FD JS ACRYL SATIN  MIXED COL  0000001250</v>
          </cell>
          <cell r="C411" t="str">
            <v>Acrylic Satin</v>
          </cell>
          <cell r="D411">
            <v>20.76</v>
          </cell>
          <cell r="E411">
            <v>244.73</v>
          </cell>
          <cell r="F411">
            <v>13</v>
          </cell>
          <cell r="G411">
            <v>32.5</v>
          </cell>
          <cell r="H411">
            <v>19.327560000000002</v>
          </cell>
        </row>
        <row r="412">
          <cell r="A412" t="str">
            <v>00301942</v>
          </cell>
          <cell r="B412" t="str">
            <v>JST   SATIN W/STN  ANTIQ PINE 0000001250</v>
          </cell>
          <cell r="C412" t="str">
            <v>Woodstain</v>
          </cell>
          <cell r="D412">
            <v>16.88</v>
          </cell>
          <cell r="E412">
            <v>244.69</v>
          </cell>
          <cell r="F412">
            <v>17</v>
          </cell>
          <cell r="G412">
            <v>42.5</v>
          </cell>
          <cell r="H412">
            <v>15.71528</v>
          </cell>
        </row>
        <row r="413">
          <cell r="A413" t="str">
            <v>00301512</v>
          </cell>
          <cell r="B413" t="str">
            <v>JST   COVAPLUS     BLACK      0000001500</v>
          </cell>
          <cell r="C413" t="str">
            <v>Vinyl matt</v>
          </cell>
          <cell r="D413">
            <v>11.77</v>
          </cell>
          <cell r="E413">
            <v>243.49</v>
          </cell>
          <cell r="F413">
            <v>23</v>
          </cell>
          <cell r="G413">
            <v>115</v>
          </cell>
          <cell r="H413">
            <v>10.96</v>
          </cell>
        </row>
        <row r="414">
          <cell r="A414" t="str">
            <v>00728204</v>
          </cell>
          <cell r="B414" t="str">
            <v>HAMIL HD TUNGSTEN CARBIDE BLADE 2"</v>
          </cell>
          <cell r="C414" t="str">
            <v>Hamilton</v>
          </cell>
          <cell r="D414">
            <v>8.0399999999999991</v>
          </cell>
          <cell r="E414">
            <v>242.61</v>
          </cell>
          <cell r="F414">
            <v>33</v>
          </cell>
          <cell r="G414">
            <v>33</v>
          </cell>
          <cell r="H414">
            <v>7.4852399999999992</v>
          </cell>
        </row>
        <row r="415">
          <cell r="A415" t="str">
            <v>00852688</v>
          </cell>
          <cell r="B415" t="str">
            <v>PGOLD AQUA SYNTH   BRUSH SET</v>
          </cell>
          <cell r="C415" t="str">
            <v>Brush</v>
          </cell>
          <cell r="D415">
            <v>7.87</v>
          </cell>
          <cell r="E415">
            <v>239.16</v>
          </cell>
          <cell r="F415">
            <v>40</v>
          </cell>
          <cell r="G415">
            <v>40</v>
          </cell>
          <cell r="H415">
            <v>7.3269700000000002</v>
          </cell>
        </row>
        <row r="416">
          <cell r="A416" t="str">
            <v>00305031</v>
          </cell>
          <cell r="B416" t="str">
            <v>FD JS V/SOFT SHEEN MIXED COL  0000001250</v>
          </cell>
          <cell r="C416" t="str">
            <v>Soft Sheen</v>
          </cell>
          <cell r="D416">
            <v>11.19</v>
          </cell>
          <cell r="E416">
            <v>238.2</v>
          </cell>
          <cell r="F416">
            <v>24</v>
          </cell>
          <cell r="G416">
            <v>60</v>
          </cell>
          <cell r="H416">
            <v>8.3940000000000001</v>
          </cell>
        </row>
        <row r="417">
          <cell r="A417" t="str">
            <v>00611469</v>
          </cell>
          <cell r="B417" t="str">
            <v>PGOLD CLASS HYBRID BRUSH 2"</v>
          </cell>
          <cell r="C417" t="str">
            <v>Brush</v>
          </cell>
          <cell r="D417">
            <v>2.82</v>
          </cell>
          <cell r="E417">
            <v>238.05</v>
          </cell>
          <cell r="F417">
            <v>92</v>
          </cell>
          <cell r="G417">
            <v>92</v>
          </cell>
          <cell r="H417">
            <v>2.6254200000000001</v>
          </cell>
        </row>
        <row r="418">
          <cell r="A418" t="str">
            <v>00306951</v>
          </cell>
          <cell r="B418" t="str">
            <v>JST   STAIN BLOCK  BRIL WHITE 0000001100</v>
          </cell>
          <cell r="C418" t="str">
            <v>Primer</v>
          </cell>
          <cell r="D418">
            <v>14.33</v>
          </cell>
          <cell r="E418">
            <v>236.28</v>
          </cell>
          <cell r="F418">
            <v>18</v>
          </cell>
          <cell r="G418">
            <v>18</v>
          </cell>
          <cell r="H418">
            <v>13.341230000000001</v>
          </cell>
        </row>
        <row r="419">
          <cell r="A419" t="str">
            <v>00306892</v>
          </cell>
          <cell r="B419" t="str">
            <v>JST   AQUA WB U/C  BRIL WHITE 0000001100</v>
          </cell>
          <cell r="C419" t="str">
            <v>Aqua Undercoat</v>
          </cell>
          <cell r="D419">
            <v>8.8000000000000007</v>
          </cell>
          <cell r="E419">
            <v>233.44</v>
          </cell>
          <cell r="F419">
            <v>30</v>
          </cell>
          <cell r="G419">
            <v>30</v>
          </cell>
          <cell r="H419">
            <v>8.8000000000000007</v>
          </cell>
        </row>
        <row r="420">
          <cell r="A420" t="str">
            <v>00307553</v>
          </cell>
          <cell r="B420" t="str">
            <v>FD JS CV TESTERPOT MIXED COL  0000000350</v>
          </cell>
          <cell r="C420" t="str">
            <v>Vinyl matt</v>
          </cell>
          <cell r="D420">
            <v>2.83</v>
          </cell>
          <cell r="E420">
            <v>232.68</v>
          </cell>
          <cell r="F420">
            <v>90</v>
          </cell>
          <cell r="G420">
            <v>31.5</v>
          </cell>
          <cell r="H420">
            <v>2.6347300000000002</v>
          </cell>
        </row>
        <row r="421">
          <cell r="A421" t="str">
            <v>00611485</v>
          </cell>
          <cell r="B421" t="str">
            <v>PGOLD PREM BRISTLE BRUSH 2"</v>
          </cell>
          <cell r="C421" t="str">
            <v>Brush</v>
          </cell>
          <cell r="D421">
            <v>6.92</v>
          </cell>
          <cell r="E421">
            <v>232.08</v>
          </cell>
          <cell r="F421">
            <v>36</v>
          </cell>
          <cell r="G421">
            <v>36</v>
          </cell>
          <cell r="H421">
            <v>6.44252</v>
          </cell>
        </row>
        <row r="422">
          <cell r="A422" t="str">
            <v>00727116</v>
          </cell>
          <cell r="B422" t="str">
            <v>FATHG G.PURP MINI  ROLLER 4"</v>
          </cell>
          <cell r="C422" t="str">
            <v>Roller</v>
          </cell>
          <cell r="D422">
            <v>0.92</v>
          </cell>
          <cell r="E422">
            <v>231.84</v>
          </cell>
          <cell r="F422">
            <v>284</v>
          </cell>
          <cell r="G422">
            <v>284</v>
          </cell>
          <cell r="H422">
            <v>0.92</v>
          </cell>
        </row>
        <row r="423">
          <cell r="A423" t="str">
            <v>00423612</v>
          </cell>
          <cell r="B423" t="str">
            <v>FD    44+QUICK DRY MIXED      0000001500</v>
          </cell>
          <cell r="C423" t="str">
            <v>GORI</v>
          </cell>
          <cell r="D423">
            <v>68.03</v>
          </cell>
          <cell r="E423">
            <v>228.8</v>
          </cell>
          <cell r="F423">
            <v>10</v>
          </cell>
          <cell r="G423">
            <v>50</v>
          </cell>
          <cell r="H423">
            <v>63.335930000000005</v>
          </cell>
        </row>
        <row r="424">
          <cell r="A424" t="str">
            <v>00852477</v>
          </cell>
          <cell r="B424" t="str">
            <v>PGOLD MICROFIBRE   ROLLER 9"</v>
          </cell>
          <cell r="C424" t="str">
            <v>Roller</v>
          </cell>
          <cell r="D424">
            <v>2.2200000000000002</v>
          </cell>
          <cell r="E424">
            <v>225.01</v>
          </cell>
          <cell r="F424">
            <v>112</v>
          </cell>
          <cell r="G424">
            <v>112</v>
          </cell>
          <cell r="H424">
            <v>2.0668200000000003</v>
          </cell>
        </row>
        <row r="425">
          <cell r="A425" t="str">
            <v>00264723</v>
          </cell>
          <cell r="B425" t="str">
            <v>LL    T/G SMTH 15Y BLACK      0000001500</v>
          </cell>
          <cell r="C425" t="str">
            <v>Smooth masonry</v>
          </cell>
          <cell r="D425">
            <v>16.010000000000002</v>
          </cell>
          <cell r="E425">
            <v>223.83</v>
          </cell>
          <cell r="F425">
            <v>16</v>
          </cell>
          <cell r="G425">
            <v>80</v>
          </cell>
          <cell r="H425">
            <v>14.905310000000002</v>
          </cell>
        </row>
        <row r="426">
          <cell r="A426" t="str">
            <v>00649634</v>
          </cell>
          <cell r="B426" t="str">
            <v>EWI   EPS 70E      50MM</v>
          </cell>
          <cell r="C426" t="str">
            <v>EWI</v>
          </cell>
          <cell r="D426">
            <v>4.0199999999999996</v>
          </cell>
          <cell r="E426">
            <v>223.36</v>
          </cell>
          <cell r="F426">
            <v>64</v>
          </cell>
          <cell r="G426">
            <v>64</v>
          </cell>
          <cell r="H426">
            <v>4.0199999999999996</v>
          </cell>
        </row>
        <row r="427">
          <cell r="A427" t="str">
            <v>00718436</v>
          </cell>
          <cell r="B427" t="str">
            <v>ARTEX GYPROC COVE  3M X 100MM (60014)</v>
          </cell>
          <cell r="C427" t="str">
            <v>Artex</v>
          </cell>
          <cell r="D427">
            <v>7.44</v>
          </cell>
          <cell r="E427">
            <v>222.07</v>
          </cell>
          <cell r="F427">
            <v>38</v>
          </cell>
          <cell r="G427">
            <v>38</v>
          </cell>
          <cell r="H427">
            <v>5.42</v>
          </cell>
        </row>
        <row r="428">
          <cell r="A428" t="str">
            <v>00442392</v>
          </cell>
          <cell r="B428" t="str">
            <v>JST STAB SOLUTION WHITE       0000001500</v>
          </cell>
          <cell r="C428" t="str">
            <v>Stabilising Solution</v>
          </cell>
          <cell r="D428">
            <v>46.69</v>
          </cell>
          <cell r="E428">
            <v>219.2</v>
          </cell>
          <cell r="F428">
            <v>5</v>
          </cell>
          <cell r="G428">
            <v>25</v>
          </cell>
          <cell r="H428">
            <v>43.468389999999999</v>
          </cell>
        </row>
        <row r="429">
          <cell r="A429" t="str">
            <v>00301861</v>
          </cell>
          <cell r="B429" t="str">
            <v>JST   OPQ WF SATIN FOREST GRN 0000001500</v>
          </cell>
          <cell r="C429" t="str">
            <v>Opaque Solvent</v>
          </cell>
          <cell r="D429">
            <v>21.15</v>
          </cell>
          <cell r="E429">
            <v>216.99</v>
          </cell>
          <cell r="F429">
            <v>11</v>
          </cell>
          <cell r="G429">
            <v>55</v>
          </cell>
          <cell r="H429">
            <v>27.5</v>
          </cell>
        </row>
        <row r="430">
          <cell r="A430" t="str">
            <v>00373759</v>
          </cell>
          <cell r="B430" t="str">
            <v>JST  QD POLY FLORTRED Z1 2010      1500</v>
          </cell>
          <cell r="C430" t="str">
            <v>Floor paint</v>
          </cell>
          <cell r="D430">
            <v>82.81</v>
          </cell>
          <cell r="E430">
            <v>216</v>
          </cell>
          <cell r="F430">
            <v>3</v>
          </cell>
          <cell r="G430">
            <v>15</v>
          </cell>
          <cell r="H430">
            <v>77.09611000000001</v>
          </cell>
        </row>
        <row r="431">
          <cell r="A431" t="str">
            <v>00647211</v>
          </cell>
          <cell r="B431" t="str">
            <v>QTECH QTECTOR PUMP COND 3.8LT Q400-011</v>
          </cell>
          <cell r="C431" t="str">
            <v>Qtech</v>
          </cell>
          <cell r="D431">
            <v>46.01</v>
          </cell>
          <cell r="E431">
            <v>214.43</v>
          </cell>
          <cell r="F431">
            <v>5</v>
          </cell>
          <cell r="G431">
            <v>5</v>
          </cell>
          <cell r="H431">
            <v>42.83531</v>
          </cell>
        </row>
        <row r="432">
          <cell r="A432" t="str">
            <v>00852728</v>
          </cell>
          <cell r="B432" t="str">
            <v>EWI   DT-PRO PLAST TAPE 50MT  OUTSIDE GR</v>
          </cell>
          <cell r="C432" t="str">
            <v>EWI</v>
          </cell>
          <cell r="D432">
            <v>5.51</v>
          </cell>
          <cell r="E432">
            <v>211.55</v>
          </cell>
          <cell r="F432">
            <v>41</v>
          </cell>
          <cell r="G432">
            <v>41</v>
          </cell>
          <cell r="H432">
            <v>4.7699999999999996</v>
          </cell>
        </row>
        <row r="433">
          <cell r="A433" t="str">
            <v>00301932</v>
          </cell>
          <cell r="B433" t="str">
            <v>JST   YACHT VARNIS CLEAR      0000001250</v>
          </cell>
          <cell r="C433" t="str">
            <v>Varnish</v>
          </cell>
          <cell r="D433">
            <v>23.95</v>
          </cell>
          <cell r="E433">
            <v>211.54</v>
          </cell>
          <cell r="F433">
            <v>10</v>
          </cell>
          <cell r="G433">
            <v>25</v>
          </cell>
          <cell r="H433">
            <v>22.297450000000001</v>
          </cell>
        </row>
        <row r="434">
          <cell r="A434" t="str">
            <v>00301750</v>
          </cell>
          <cell r="B434" t="str">
            <v>JST   PROF SATIN   BRIL WHITE 0000001100</v>
          </cell>
          <cell r="C434" t="str">
            <v>Solvent Satin</v>
          </cell>
          <cell r="D434">
            <v>9.69</v>
          </cell>
          <cell r="E434">
            <v>211.03</v>
          </cell>
          <cell r="F434">
            <v>24</v>
          </cell>
          <cell r="G434">
            <v>24</v>
          </cell>
          <cell r="H434">
            <v>9.0213900000000002</v>
          </cell>
        </row>
        <row r="435">
          <cell r="A435" t="str">
            <v>00723495</v>
          </cell>
          <cell r="B435" t="str">
            <v>K     HANDLE FRAME 4" LONG</v>
          </cell>
          <cell r="C435" t="str">
            <v>Roller</v>
          </cell>
          <cell r="D435">
            <v>0.67</v>
          </cell>
          <cell r="E435">
            <v>210.81</v>
          </cell>
          <cell r="F435">
            <v>353</v>
          </cell>
          <cell r="G435">
            <v>353</v>
          </cell>
          <cell r="H435">
            <v>0.7370000000000001</v>
          </cell>
        </row>
        <row r="436">
          <cell r="A436" t="str">
            <v>00305036</v>
          </cell>
          <cell r="B436" t="str">
            <v>FD JS COVAPLUS     MIXED COL  0000001100</v>
          </cell>
          <cell r="C436" t="str">
            <v>Vinyl matt</v>
          </cell>
          <cell r="D436">
            <v>7.64</v>
          </cell>
          <cell r="E436">
            <v>208.21</v>
          </cell>
          <cell r="F436">
            <v>31</v>
          </cell>
          <cell r="G436">
            <v>31</v>
          </cell>
          <cell r="H436">
            <v>4.93</v>
          </cell>
        </row>
        <row r="437">
          <cell r="A437" t="str">
            <v>00734720</v>
          </cell>
          <cell r="B437" t="str">
            <v>FROGT FROG TAPE    36MM       DELICATE</v>
          </cell>
          <cell r="C437" t="str">
            <v>Tape</v>
          </cell>
          <cell r="D437">
            <v>6.04</v>
          </cell>
          <cell r="E437">
            <v>207.01</v>
          </cell>
          <cell r="F437">
            <v>39</v>
          </cell>
          <cell r="G437">
            <v>39</v>
          </cell>
          <cell r="H437">
            <v>5.62324</v>
          </cell>
        </row>
        <row r="438">
          <cell r="A438" t="str">
            <v>00307870</v>
          </cell>
          <cell r="B438" t="str">
            <v>LL    ACRY E/SHELL MAGNOLIA   0000002100</v>
          </cell>
          <cell r="C438" t="str">
            <v>Acrylic Eggshell</v>
          </cell>
          <cell r="D438">
            <v>55.07</v>
          </cell>
          <cell r="E438">
            <v>199.18</v>
          </cell>
          <cell r="F438">
            <v>4</v>
          </cell>
          <cell r="G438">
            <v>40</v>
          </cell>
          <cell r="H438">
            <v>31.28</v>
          </cell>
        </row>
        <row r="439">
          <cell r="A439" t="str">
            <v>00730504</v>
          </cell>
          <cell r="B439" t="str">
            <v>FATHG TURPS SUB    4L         0000001400</v>
          </cell>
          <cell r="C439" t="str">
            <v>Spirits</v>
          </cell>
          <cell r="D439">
            <v>13.24</v>
          </cell>
          <cell r="E439">
            <v>198.88</v>
          </cell>
          <cell r="F439">
            <v>16</v>
          </cell>
          <cell r="G439">
            <v>64</v>
          </cell>
          <cell r="H439">
            <v>12.326440000000002</v>
          </cell>
        </row>
        <row r="440">
          <cell r="A440" t="str">
            <v>00852936</v>
          </cell>
          <cell r="B440" t="str">
            <v>HAMIL DECORATORS   SCISSORS</v>
          </cell>
          <cell r="C440" t="str">
            <v>Hamilton</v>
          </cell>
          <cell r="D440">
            <v>8.83</v>
          </cell>
          <cell r="E440">
            <v>198.71</v>
          </cell>
          <cell r="F440">
            <v>26</v>
          </cell>
          <cell r="G440">
            <v>26</v>
          </cell>
          <cell r="H440">
            <v>8.2207299999999996</v>
          </cell>
        </row>
        <row r="441">
          <cell r="A441" t="str">
            <v>00722130</v>
          </cell>
          <cell r="B441" t="str">
            <v>K     REFUSE SACKS (10) POLY  BLACK RS10</v>
          </cell>
          <cell r="C441" t="str">
            <v>Cleaning</v>
          </cell>
          <cell r="D441">
            <v>1.25</v>
          </cell>
          <cell r="E441">
            <v>197.2</v>
          </cell>
          <cell r="F441">
            <v>181</v>
          </cell>
          <cell r="G441">
            <v>181</v>
          </cell>
          <cell r="H441">
            <v>1.1637500000000001</v>
          </cell>
        </row>
        <row r="442">
          <cell r="A442" t="str">
            <v>00301955</v>
          </cell>
          <cell r="B442" t="str">
            <v>JST   SATIN W/STN  TEAK       0000001500</v>
          </cell>
          <cell r="C442" t="str">
            <v>Woodstain</v>
          </cell>
          <cell r="D442">
            <v>29.65</v>
          </cell>
          <cell r="E442">
            <v>197.12</v>
          </cell>
          <cell r="F442">
            <v>7</v>
          </cell>
          <cell r="G442">
            <v>35</v>
          </cell>
          <cell r="H442">
            <v>27.604150000000001</v>
          </cell>
        </row>
        <row r="443">
          <cell r="A443" t="str">
            <v>00614872</v>
          </cell>
          <cell r="B443" t="str">
            <v>PURDY 9"SLEEVE     13/4C 3/4N MARATHON</v>
          </cell>
          <cell r="C443" t="str">
            <v>Purdy</v>
          </cell>
          <cell r="D443">
            <v>5.85</v>
          </cell>
          <cell r="E443">
            <v>196.98</v>
          </cell>
          <cell r="F443">
            <v>37</v>
          </cell>
          <cell r="G443">
            <v>37</v>
          </cell>
          <cell r="H443">
            <v>5.4463499999999998</v>
          </cell>
        </row>
        <row r="444">
          <cell r="A444" t="str">
            <v>00631525</v>
          </cell>
          <cell r="B444" t="str">
            <v>JST   ADV STAIN    BLK PRIMER 0000001500</v>
          </cell>
          <cell r="C444" t="str">
            <v>Primer</v>
          </cell>
          <cell r="D444">
            <v>71.7</v>
          </cell>
          <cell r="E444">
            <v>196.97</v>
          </cell>
          <cell r="F444">
            <v>3</v>
          </cell>
          <cell r="G444">
            <v>15</v>
          </cell>
          <cell r="H444">
            <v>71.7</v>
          </cell>
        </row>
        <row r="445">
          <cell r="A445" t="str">
            <v>00435197</v>
          </cell>
          <cell r="B445" t="str">
            <v>JST  AQ GUARD SAT BRILL WHITE  000001250</v>
          </cell>
          <cell r="C445" t="str">
            <v>Aquaguard</v>
          </cell>
          <cell r="D445">
            <v>30.7</v>
          </cell>
          <cell r="E445">
            <v>195.39</v>
          </cell>
          <cell r="F445">
            <v>7</v>
          </cell>
          <cell r="G445">
            <v>17.5</v>
          </cell>
          <cell r="H445">
            <v>24.56</v>
          </cell>
        </row>
        <row r="446">
          <cell r="A446" t="str">
            <v>00304854</v>
          </cell>
          <cell r="B446" t="str">
            <v>JST   POLY VARNISH GLS CLEAR  0000001250</v>
          </cell>
          <cell r="C446" t="str">
            <v>Varnish</v>
          </cell>
          <cell r="D446">
            <v>15.35</v>
          </cell>
          <cell r="E446">
            <v>195.32</v>
          </cell>
          <cell r="F446">
            <v>14</v>
          </cell>
          <cell r="G446">
            <v>35</v>
          </cell>
          <cell r="H446">
            <v>14.290850000000001</v>
          </cell>
        </row>
        <row r="447">
          <cell r="A447" t="str">
            <v>00305840</v>
          </cell>
          <cell r="B447" t="str">
            <v>FD LL EGGSHELL     MIXED COL  0000001250</v>
          </cell>
          <cell r="C447" t="str">
            <v>Solvent Eggshell</v>
          </cell>
          <cell r="D447">
            <v>15.93</v>
          </cell>
          <cell r="E447">
            <v>193.9</v>
          </cell>
          <cell r="F447">
            <v>14</v>
          </cell>
          <cell r="G447">
            <v>35</v>
          </cell>
          <cell r="H447">
            <v>14.830830000000001</v>
          </cell>
        </row>
        <row r="448">
          <cell r="A448" t="str">
            <v>00680387</v>
          </cell>
          <cell r="B448" t="str">
            <v>TESA  DUCT TAPE SI 50M X 48MM 74613</v>
          </cell>
          <cell r="C448" t="str">
            <v>Tape</v>
          </cell>
          <cell r="D448">
            <v>5.84</v>
          </cell>
          <cell r="E448">
            <v>191.6</v>
          </cell>
          <cell r="F448">
            <v>36</v>
          </cell>
          <cell r="G448">
            <v>36</v>
          </cell>
          <cell r="H448">
            <v>5.4370400000000005</v>
          </cell>
        </row>
        <row r="449">
          <cell r="A449" t="str">
            <v>00423463</v>
          </cell>
          <cell r="B449" t="str">
            <v>JST   PROF GLOSS   BRIL WHITE 0000001100</v>
          </cell>
          <cell r="C449" t="str">
            <v>Solvent Gloss</v>
          </cell>
          <cell r="D449">
            <v>7.04</v>
          </cell>
          <cell r="E449">
            <v>191.2</v>
          </cell>
          <cell r="F449">
            <v>30</v>
          </cell>
          <cell r="G449">
            <v>30</v>
          </cell>
          <cell r="H449">
            <v>6.5542400000000001</v>
          </cell>
        </row>
        <row r="450">
          <cell r="A450" t="str">
            <v>00611462</v>
          </cell>
          <cell r="B450" t="str">
            <v>PGOLD CLASS SYNTH  BRUSH 3"</v>
          </cell>
          <cell r="C450" t="str">
            <v>Brush</v>
          </cell>
          <cell r="D450">
            <v>4.1399999999999997</v>
          </cell>
          <cell r="E450">
            <v>189.31</v>
          </cell>
          <cell r="F450">
            <v>50</v>
          </cell>
          <cell r="G450">
            <v>50</v>
          </cell>
          <cell r="H450">
            <v>3.8543400000000001</v>
          </cell>
        </row>
        <row r="451">
          <cell r="A451" t="str">
            <v>00729838</v>
          </cell>
          <cell r="B451" t="str">
            <v>EASY  EASYTEX      10-046     STITCH</v>
          </cell>
          <cell r="C451" t="str">
            <v>Wallcovering</v>
          </cell>
          <cell r="D451">
            <v>5.18</v>
          </cell>
          <cell r="E451">
            <v>188.76</v>
          </cell>
          <cell r="F451">
            <v>33</v>
          </cell>
          <cell r="G451">
            <v>33</v>
          </cell>
          <cell r="H451">
            <v>4.8225800000000003</v>
          </cell>
        </row>
        <row r="452">
          <cell r="A452" t="str">
            <v>00730772</v>
          </cell>
          <cell r="B452" t="str">
            <v>FATHG FH BIB&amp;BRACE WHITE      44"-46"</v>
          </cell>
          <cell r="C452" t="str">
            <v>Bib &amp; Brace</v>
          </cell>
          <cell r="D452">
            <v>11.56</v>
          </cell>
          <cell r="E452">
            <v>188.1</v>
          </cell>
          <cell r="F452">
            <v>18</v>
          </cell>
          <cell r="G452">
            <v>18</v>
          </cell>
          <cell r="H452">
            <v>16.184000000000001</v>
          </cell>
        </row>
        <row r="453">
          <cell r="A453" t="str">
            <v>00718761</v>
          </cell>
          <cell r="B453" t="str">
            <v>RODO  POLE SANDER  HEAD       (SPSH)</v>
          </cell>
          <cell r="C453" t="str">
            <v>RODO</v>
          </cell>
          <cell r="D453">
            <v>15.8</v>
          </cell>
          <cell r="E453">
            <v>187.42</v>
          </cell>
          <cell r="F453">
            <v>13</v>
          </cell>
          <cell r="G453">
            <v>13</v>
          </cell>
          <cell r="H453">
            <v>14.709800000000001</v>
          </cell>
        </row>
        <row r="454">
          <cell r="A454" t="str">
            <v>00423205</v>
          </cell>
          <cell r="B454" t="str">
            <v>JST   S/SLD SMOOTH BRICK      0000001500</v>
          </cell>
          <cell r="C454" t="str">
            <v>Smooth masonry</v>
          </cell>
          <cell r="D454">
            <v>17.84</v>
          </cell>
          <cell r="E454">
            <v>187.36</v>
          </cell>
          <cell r="F454">
            <v>12</v>
          </cell>
          <cell r="G454">
            <v>60</v>
          </cell>
          <cell r="H454">
            <v>16.60904</v>
          </cell>
        </row>
        <row r="455">
          <cell r="A455" t="str">
            <v>00852415</v>
          </cell>
          <cell r="B455" t="str">
            <v>PGOLD FINE SURFACE FILL 1KG   0000001100</v>
          </cell>
          <cell r="C455" t="str">
            <v>Filler</v>
          </cell>
          <cell r="D455">
            <v>6.27</v>
          </cell>
          <cell r="E455">
            <v>187.33</v>
          </cell>
          <cell r="F455">
            <v>33</v>
          </cell>
          <cell r="G455">
            <v>33</v>
          </cell>
          <cell r="H455">
            <v>5.8373699999999999</v>
          </cell>
        </row>
        <row r="456">
          <cell r="A456" t="str">
            <v>00305822</v>
          </cell>
          <cell r="B456" t="str">
            <v>FD LL VINYL MATT   MIXED COL  0000002100</v>
          </cell>
          <cell r="C456" t="str">
            <v>Vinyl matt</v>
          </cell>
          <cell r="D456">
            <v>20.74</v>
          </cell>
          <cell r="E456">
            <v>186.06</v>
          </cell>
          <cell r="F456">
            <v>10</v>
          </cell>
          <cell r="G456">
            <v>100</v>
          </cell>
          <cell r="H456">
            <v>17.75</v>
          </cell>
        </row>
        <row r="457">
          <cell r="A457" t="str">
            <v>00302873</v>
          </cell>
          <cell r="B457" t="str">
            <v>JST   ANTI-SLIP ADDIIVE 1.5KG 0000001150</v>
          </cell>
          <cell r="C457" t="str">
            <v>Floor paint</v>
          </cell>
          <cell r="D457">
            <v>6.2</v>
          </cell>
          <cell r="E457">
            <v>183.64</v>
          </cell>
          <cell r="F457">
            <v>34</v>
          </cell>
          <cell r="G457">
            <v>51</v>
          </cell>
          <cell r="H457">
            <v>5.7722000000000007</v>
          </cell>
        </row>
        <row r="458">
          <cell r="A458" t="str">
            <v>00734722</v>
          </cell>
          <cell r="B458" t="str">
            <v>FROGT FROG TAPE    36MM       MULTISURFA</v>
          </cell>
          <cell r="C458" t="str">
            <v>Tape</v>
          </cell>
          <cell r="D458">
            <v>6.04</v>
          </cell>
          <cell r="E458">
            <v>183.12</v>
          </cell>
          <cell r="F458">
            <v>34</v>
          </cell>
          <cell r="G458">
            <v>34</v>
          </cell>
          <cell r="H458">
            <v>5.62324</v>
          </cell>
        </row>
        <row r="459">
          <cell r="A459" t="str">
            <v>00301984</v>
          </cell>
          <cell r="B459" t="str">
            <v>JST   QD WOODSTAIN WALNUT     0000001250</v>
          </cell>
          <cell r="C459" t="str">
            <v>Woodstain</v>
          </cell>
          <cell r="D459">
            <v>23.03</v>
          </cell>
          <cell r="E459">
            <v>181.6</v>
          </cell>
          <cell r="F459">
            <v>9</v>
          </cell>
          <cell r="G459">
            <v>22.5</v>
          </cell>
          <cell r="H459">
            <v>21.440930000000002</v>
          </cell>
        </row>
        <row r="460">
          <cell r="A460" t="str">
            <v>00730471</v>
          </cell>
          <cell r="B460" t="str">
            <v>FATHG DEC CAULK    MAGNOLIA   HIOMAN0380</v>
          </cell>
          <cell r="C460" t="str">
            <v>Caulk</v>
          </cell>
          <cell r="D460">
            <v>2.19</v>
          </cell>
          <cell r="E460">
            <v>178.31</v>
          </cell>
          <cell r="F460">
            <v>109</v>
          </cell>
          <cell r="G460">
            <v>41.42</v>
          </cell>
          <cell r="H460">
            <v>2.0388899999999999</v>
          </cell>
        </row>
        <row r="461">
          <cell r="A461" t="str">
            <v>00611388</v>
          </cell>
          <cell r="B461" t="str">
            <v>TESA  SEN MASKTAPE 50M X 38MM 4333</v>
          </cell>
          <cell r="C461" t="str">
            <v>Tape</v>
          </cell>
          <cell r="D461">
            <v>7.72</v>
          </cell>
          <cell r="E461">
            <v>176.13</v>
          </cell>
          <cell r="F461">
            <v>14</v>
          </cell>
          <cell r="G461">
            <v>14</v>
          </cell>
          <cell r="H461">
            <v>7.1873199999999997</v>
          </cell>
        </row>
        <row r="462">
          <cell r="A462" t="str">
            <v>00727887</v>
          </cell>
          <cell r="B462" t="str">
            <v>HODGS LINSEED OIL  PUTTY 2KG  0000000200</v>
          </cell>
          <cell r="C462" t="str">
            <v>Putty</v>
          </cell>
          <cell r="D462">
            <v>2.2799999999999998</v>
          </cell>
          <cell r="E462">
            <v>175.23</v>
          </cell>
          <cell r="F462">
            <v>85</v>
          </cell>
          <cell r="G462">
            <v>17</v>
          </cell>
          <cell r="H462">
            <v>2.2799999999999998</v>
          </cell>
        </row>
        <row r="463">
          <cell r="A463" t="str">
            <v>00302179</v>
          </cell>
          <cell r="B463" t="str">
            <v>JST   QD VARNISH   CLEAR SAT  0000000750</v>
          </cell>
          <cell r="C463" t="str">
            <v>Varnish</v>
          </cell>
          <cell r="D463">
            <v>6.2</v>
          </cell>
          <cell r="E463">
            <v>173.34</v>
          </cell>
          <cell r="F463">
            <v>32</v>
          </cell>
          <cell r="G463">
            <v>24</v>
          </cell>
          <cell r="H463">
            <v>5.7722000000000007</v>
          </cell>
        </row>
        <row r="464">
          <cell r="A464" t="str">
            <v>00614869</v>
          </cell>
          <cell r="B464" t="str">
            <v>PURDY POWERLOCK    2-4 FT     EXT POLE</v>
          </cell>
          <cell r="C464" t="str">
            <v>Purdy</v>
          </cell>
          <cell r="D464">
            <v>20.99</v>
          </cell>
          <cell r="E464">
            <v>171.55</v>
          </cell>
          <cell r="F464">
            <v>9</v>
          </cell>
          <cell r="G464">
            <v>9</v>
          </cell>
          <cell r="H464">
            <v>19.541689999999999</v>
          </cell>
        </row>
        <row r="465">
          <cell r="A465" t="str">
            <v>00304851</v>
          </cell>
          <cell r="B465" t="str">
            <v>JST   FLOOR VARN   SAT CLEAR  0000001500</v>
          </cell>
          <cell r="C465" t="str">
            <v>Varnish</v>
          </cell>
          <cell r="D465">
            <v>62.38</v>
          </cell>
          <cell r="E465">
            <v>171.37</v>
          </cell>
          <cell r="F465">
            <v>3</v>
          </cell>
          <cell r="G465">
            <v>15</v>
          </cell>
          <cell r="H465">
            <v>58.075780000000009</v>
          </cell>
        </row>
        <row r="466">
          <cell r="A466" t="str">
            <v>00852811</v>
          </cell>
          <cell r="B466" t="str">
            <v>PGOLD 24X3 TWILL   DUST SHEET</v>
          </cell>
          <cell r="C466" t="str">
            <v>Dust sheet</v>
          </cell>
          <cell r="D466">
            <v>13.16</v>
          </cell>
          <cell r="E466">
            <v>170.28</v>
          </cell>
          <cell r="F466">
            <v>14</v>
          </cell>
          <cell r="G466">
            <v>14</v>
          </cell>
          <cell r="H466">
            <v>12.25196</v>
          </cell>
        </row>
        <row r="467">
          <cell r="A467" t="str">
            <v>00421699</v>
          </cell>
          <cell r="B467" t="str">
            <v>JST  STAINAWAY WHITE         7000001250</v>
          </cell>
          <cell r="C467" t="str">
            <v>Stainaway</v>
          </cell>
          <cell r="D467">
            <v>23.19</v>
          </cell>
          <cell r="E467">
            <v>167.72</v>
          </cell>
          <cell r="F467">
            <v>8</v>
          </cell>
          <cell r="G467">
            <v>20</v>
          </cell>
          <cell r="H467">
            <v>21.589890000000004</v>
          </cell>
        </row>
        <row r="468">
          <cell r="A468" t="str">
            <v>00614870</v>
          </cell>
          <cell r="B468" t="str">
            <v>PURDY POWERLOCK    4-8 FT     EXT POLE</v>
          </cell>
          <cell r="C468" t="str">
            <v>Purdy</v>
          </cell>
          <cell r="D468">
            <v>26.08</v>
          </cell>
          <cell r="E468">
            <v>166</v>
          </cell>
          <cell r="F468">
            <v>7</v>
          </cell>
          <cell r="G468">
            <v>7</v>
          </cell>
          <cell r="H468">
            <v>24.280480000000001</v>
          </cell>
        </row>
        <row r="469">
          <cell r="A469" t="str">
            <v>00423466</v>
          </cell>
          <cell r="B469" t="str">
            <v>JST   PROF GLOSS   BLACK      0000001100</v>
          </cell>
          <cell r="C469" t="str">
            <v>Solvent Gloss</v>
          </cell>
          <cell r="D469">
            <v>9.52</v>
          </cell>
          <cell r="E469">
            <v>165.9</v>
          </cell>
          <cell r="F469">
            <v>19</v>
          </cell>
          <cell r="G469">
            <v>19</v>
          </cell>
          <cell r="H469">
            <v>8.89</v>
          </cell>
        </row>
        <row r="470">
          <cell r="A470" t="str">
            <v>00305038</v>
          </cell>
          <cell r="B470" t="str">
            <v>FD JS VINYL SILK   MIXED COL  0000001250</v>
          </cell>
          <cell r="C470" t="str">
            <v>Vinyl Silk</v>
          </cell>
          <cell r="D470">
            <v>11.46</v>
          </cell>
          <cell r="E470">
            <v>165.76</v>
          </cell>
          <cell r="F470">
            <v>16</v>
          </cell>
          <cell r="G470">
            <v>40</v>
          </cell>
          <cell r="H470">
            <v>10.669260000000001</v>
          </cell>
        </row>
        <row r="471">
          <cell r="A471" t="str">
            <v>00611041</v>
          </cell>
          <cell r="B471" t="str">
            <v>HAMIL PRESTIGE SYN 5BS + COMB 5 BRUSH SE</v>
          </cell>
          <cell r="C471" t="str">
            <v>Brush</v>
          </cell>
          <cell r="D471">
            <v>39.229999999999997</v>
          </cell>
          <cell r="E471">
            <v>165.47</v>
          </cell>
          <cell r="F471">
            <v>8</v>
          </cell>
          <cell r="G471">
            <v>8</v>
          </cell>
          <cell r="H471">
            <v>26.61</v>
          </cell>
        </row>
        <row r="472">
          <cell r="A472" t="str">
            <v>00305059</v>
          </cell>
          <cell r="B472" t="str">
            <v>FD JS PROF GLOSS   MIXED COL  0000001500</v>
          </cell>
          <cell r="C472" t="str">
            <v>Solvent Gloss</v>
          </cell>
          <cell r="D472">
            <v>18.82</v>
          </cell>
          <cell r="E472">
            <v>164.91</v>
          </cell>
          <cell r="F472">
            <v>10</v>
          </cell>
          <cell r="G472">
            <v>50</v>
          </cell>
          <cell r="H472">
            <v>24.7</v>
          </cell>
        </row>
        <row r="473">
          <cell r="A473" t="str">
            <v>00738116</v>
          </cell>
          <cell r="B473" t="str">
            <v>AXUS  WALLPAPER    SCISSORS</v>
          </cell>
          <cell r="C473" t="str">
            <v>Blades</v>
          </cell>
          <cell r="D473">
            <v>29.43</v>
          </cell>
          <cell r="E473">
            <v>164.62</v>
          </cell>
          <cell r="F473">
            <v>6</v>
          </cell>
          <cell r="G473">
            <v>6</v>
          </cell>
          <cell r="H473">
            <v>27.399330000000003</v>
          </cell>
        </row>
        <row r="474">
          <cell r="A474" t="str">
            <v>00614921</v>
          </cell>
          <cell r="B474" t="str">
            <v>MIRKA 150MM        PAD        BACKING</v>
          </cell>
          <cell r="C474" t="str">
            <v>MIRKA</v>
          </cell>
          <cell r="D474">
            <v>49.48</v>
          </cell>
          <cell r="E474">
            <v>164.33</v>
          </cell>
          <cell r="F474">
            <v>4</v>
          </cell>
          <cell r="G474">
            <v>4</v>
          </cell>
          <cell r="H474">
            <v>45.84</v>
          </cell>
        </row>
        <row r="475">
          <cell r="A475" t="str">
            <v>00350668</v>
          </cell>
          <cell r="B475" t="str">
            <v>S'COVER 350 SET ALUMINIUM     9000001400</v>
          </cell>
          <cell r="C475" t="str">
            <v>PMC</v>
          </cell>
          <cell r="D475">
            <v>35.950000000000003</v>
          </cell>
          <cell r="E475">
            <v>163.53</v>
          </cell>
          <cell r="F475">
            <v>5</v>
          </cell>
          <cell r="G475">
            <v>0</v>
          </cell>
          <cell r="H475">
            <v>33.469450000000002</v>
          </cell>
        </row>
        <row r="476">
          <cell r="A476" t="str">
            <v>00738113</v>
          </cell>
          <cell r="B476" t="str">
            <v>OLFA  12.5MM W/PAP SNAP KNIFE</v>
          </cell>
          <cell r="C476" t="str">
            <v>Olfa</v>
          </cell>
          <cell r="D476">
            <v>11.32</v>
          </cell>
          <cell r="E476">
            <v>162.56</v>
          </cell>
          <cell r="F476">
            <v>16</v>
          </cell>
          <cell r="G476">
            <v>16</v>
          </cell>
          <cell r="H476">
            <v>10.538920000000001</v>
          </cell>
        </row>
        <row r="477">
          <cell r="A477" t="str">
            <v>00102670</v>
          </cell>
          <cell r="B477" t="str">
            <v>THINNER 90-53               0000TREU1500</v>
          </cell>
          <cell r="C477" t="str">
            <v>PMC</v>
          </cell>
          <cell r="D477">
            <v>66.11</v>
          </cell>
          <cell r="E477">
            <v>159.94999999999999</v>
          </cell>
          <cell r="F477">
            <v>5</v>
          </cell>
          <cell r="G477">
            <v>25</v>
          </cell>
          <cell r="H477">
            <v>59.5</v>
          </cell>
        </row>
        <row r="478">
          <cell r="A478" t="str">
            <v>00264752</v>
          </cell>
          <cell r="B478" t="str">
            <v>LL    UNDERCOAT    DARK GREY  0000001500</v>
          </cell>
          <cell r="C478" t="str">
            <v>Solvent Undercoat</v>
          </cell>
          <cell r="D478">
            <v>16.71</v>
          </cell>
          <cell r="E478">
            <v>159.83000000000001</v>
          </cell>
          <cell r="F478">
            <v>11</v>
          </cell>
          <cell r="G478">
            <v>55</v>
          </cell>
          <cell r="H478">
            <v>25.07</v>
          </cell>
        </row>
        <row r="479">
          <cell r="A479" t="str">
            <v>00852445</v>
          </cell>
          <cell r="B479" t="str">
            <v>FROGT GLOSS &amp;SATIN 36MM(1.5") 104189</v>
          </cell>
          <cell r="C479" t="str">
            <v>Tape</v>
          </cell>
          <cell r="D479">
            <v>7.51</v>
          </cell>
          <cell r="E479">
            <v>159.55000000000001</v>
          </cell>
          <cell r="F479">
            <v>23</v>
          </cell>
          <cell r="G479">
            <v>23</v>
          </cell>
          <cell r="H479">
            <v>6.9918100000000001</v>
          </cell>
        </row>
        <row r="480">
          <cell r="A480" t="str">
            <v>00373758</v>
          </cell>
          <cell r="B480" t="str">
            <v>JST  QD POLY FLORTRED L 2010       1500</v>
          </cell>
          <cell r="C480" t="str">
            <v>Floor paint</v>
          </cell>
          <cell r="D480">
            <v>84.35</v>
          </cell>
          <cell r="E480">
            <v>158.4</v>
          </cell>
          <cell r="F480">
            <v>2</v>
          </cell>
          <cell r="G480">
            <v>10</v>
          </cell>
          <cell r="H480">
            <v>78.529849999999996</v>
          </cell>
        </row>
        <row r="481">
          <cell r="A481" t="str">
            <v>00301509</v>
          </cell>
          <cell r="B481" t="str">
            <v>JST   JONMAT       BRIL WHITE 0000001500</v>
          </cell>
          <cell r="C481" t="str">
            <v>Contract matt</v>
          </cell>
          <cell r="D481">
            <v>9.1999999999999993</v>
          </cell>
          <cell r="E481">
            <v>157.76</v>
          </cell>
          <cell r="F481">
            <v>19</v>
          </cell>
          <cell r="G481">
            <v>95</v>
          </cell>
          <cell r="H481">
            <v>8.565199999999999</v>
          </cell>
        </row>
        <row r="482">
          <cell r="A482" t="str">
            <v>00852472</v>
          </cell>
          <cell r="B482" t="str">
            <v>PGOLD SEMI ROUGH   ROLLER 12"</v>
          </cell>
          <cell r="C482" t="str">
            <v>Roller</v>
          </cell>
          <cell r="D482">
            <v>6.36</v>
          </cell>
          <cell r="E482">
            <v>157.65</v>
          </cell>
          <cell r="F482">
            <v>29</v>
          </cell>
          <cell r="G482">
            <v>29</v>
          </cell>
          <cell r="H482">
            <v>5.9211600000000004</v>
          </cell>
        </row>
        <row r="483">
          <cell r="A483" t="str">
            <v>00735596</v>
          </cell>
          <cell r="B483" t="str">
            <v>BLINE READY MIXED  PASTE      0000000900</v>
          </cell>
          <cell r="C483" t="str">
            <v>BeeLine</v>
          </cell>
          <cell r="D483">
            <v>38.520000000000003</v>
          </cell>
          <cell r="E483">
            <v>156.16</v>
          </cell>
          <cell r="F483">
            <v>4</v>
          </cell>
          <cell r="G483">
            <v>3.6</v>
          </cell>
          <cell r="H483">
            <v>35.862120000000004</v>
          </cell>
        </row>
        <row r="484">
          <cell r="A484" t="str">
            <v>00264861</v>
          </cell>
          <cell r="B484" t="str">
            <v>LL    VINYL SILK   MAGNOLIA   0000002100</v>
          </cell>
          <cell r="C484" t="str">
            <v>Vinyl Silk</v>
          </cell>
          <cell r="D484">
            <v>40.729999999999997</v>
          </cell>
          <cell r="E484">
            <v>155.80000000000001</v>
          </cell>
          <cell r="F484">
            <v>4</v>
          </cell>
          <cell r="G484">
            <v>40</v>
          </cell>
          <cell r="H484">
            <v>26</v>
          </cell>
        </row>
        <row r="485">
          <cell r="A485" t="str">
            <v>00312533</v>
          </cell>
          <cell r="B485" t="str">
            <v>S'COVER 350 SET OFFWHITE      7001002200</v>
          </cell>
          <cell r="C485" t="str">
            <v>PMC</v>
          </cell>
          <cell r="D485">
            <v>174.76</v>
          </cell>
          <cell r="E485">
            <v>154.80000000000001</v>
          </cell>
          <cell r="F485">
            <v>1</v>
          </cell>
          <cell r="G485">
            <v>0</v>
          </cell>
          <cell r="H485">
            <v>162.70156</v>
          </cell>
        </row>
        <row r="486">
          <cell r="A486" t="str">
            <v>00264863</v>
          </cell>
          <cell r="B486" t="str">
            <v>LL    VINYL SILK   MAGNOLIA   0000001500</v>
          </cell>
          <cell r="C486" t="str">
            <v>Vinyl Silk</v>
          </cell>
          <cell r="D486">
            <v>10.91</v>
          </cell>
          <cell r="E486">
            <v>154.72</v>
          </cell>
          <cell r="F486">
            <v>16</v>
          </cell>
          <cell r="G486">
            <v>80</v>
          </cell>
          <cell r="H486">
            <v>13.09</v>
          </cell>
        </row>
        <row r="487">
          <cell r="A487" t="str">
            <v>00737707</v>
          </cell>
          <cell r="B487" t="str">
            <v>EWI   ADH BACKED MESH WING RB 2.5M 6MM</v>
          </cell>
          <cell r="C487" t="str">
            <v>EWI</v>
          </cell>
          <cell r="D487">
            <v>4.0199999999999996</v>
          </cell>
          <cell r="E487">
            <v>154.57</v>
          </cell>
          <cell r="F487">
            <v>41</v>
          </cell>
          <cell r="G487">
            <v>41</v>
          </cell>
          <cell r="H487">
            <v>4.0199999999999996</v>
          </cell>
        </row>
        <row r="488">
          <cell r="A488" t="str">
            <v>00305829</v>
          </cell>
          <cell r="B488" t="str">
            <v>FD LL ACRY E/SHELL MIXED COL  0000001250</v>
          </cell>
          <cell r="C488" t="str">
            <v>Acrylic Eggshell</v>
          </cell>
          <cell r="D488">
            <v>11.17</v>
          </cell>
          <cell r="E488">
            <v>153.44999999999999</v>
          </cell>
          <cell r="F488">
            <v>15</v>
          </cell>
          <cell r="G488">
            <v>37.5</v>
          </cell>
          <cell r="H488">
            <v>10.4</v>
          </cell>
        </row>
        <row r="489">
          <cell r="A489" t="str">
            <v>00656000</v>
          </cell>
          <cell r="B489" t="str">
            <v>PG PROTECTIVE SHEET 3MX25M</v>
          </cell>
          <cell r="C489" t="str">
            <v>Dust sheet</v>
          </cell>
          <cell r="D489">
            <v>9.48</v>
          </cell>
          <cell r="E489">
            <v>152.25</v>
          </cell>
          <cell r="F489">
            <v>76</v>
          </cell>
          <cell r="G489">
            <v>333.488</v>
          </cell>
          <cell r="H489">
            <v>8.8258800000000015</v>
          </cell>
        </row>
        <row r="490">
          <cell r="A490" t="str">
            <v>00306718</v>
          </cell>
          <cell r="B490" t="str">
            <v>LL    F/DRY GLOSS  BRIL WHITE 0000001250</v>
          </cell>
          <cell r="C490" t="str">
            <v>Water based gloss</v>
          </cell>
          <cell r="D490">
            <v>21.43</v>
          </cell>
          <cell r="E490">
            <v>152.02000000000001</v>
          </cell>
          <cell r="F490">
            <v>8</v>
          </cell>
          <cell r="G490">
            <v>20</v>
          </cell>
          <cell r="H490">
            <v>19.951330000000002</v>
          </cell>
        </row>
        <row r="491">
          <cell r="A491" t="str">
            <v>00264382</v>
          </cell>
          <cell r="B491" t="str">
            <v>LL    PRIMER       P20 ALK RS 0000001500</v>
          </cell>
          <cell r="C491" t="str">
            <v>Primer</v>
          </cell>
          <cell r="D491">
            <v>24.39</v>
          </cell>
          <cell r="E491">
            <v>151.80000000000001</v>
          </cell>
          <cell r="F491">
            <v>7</v>
          </cell>
          <cell r="G491">
            <v>35</v>
          </cell>
          <cell r="H491">
            <v>22.707090000000001</v>
          </cell>
        </row>
        <row r="492">
          <cell r="A492" t="str">
            <v>00682327</v>
          </cell>
          <cell r="B492" t="str">
            <v>PG COVER FILM 7UM 4MX5M           801700</v>
          </cell>
          <cell r="C492" t="str">
            <v>Dust sheet</v>
          </cell>
          <cell r="D492">
            <v>1.84</v>
          </cell>
          <cell r="E492">
            <v>151.06</v>
          </cell>
          <cell r="F492">
            <v>110</v>
          </cell>
          <cell r="G492">
            <v>0</v>
          </cell>
          <cell r="H492">
            <v>1.7130400000000001</v>
          </cell>
        </row>
        <row r="493">
          <cell r="A493" t="str">
            <v>00302003</v>
          </cell>
          <cell r="B493" t="str">
            <v>JST   SHED &amp; FENCE EBONY      0000001500</v>
          </cell>
          <cell r="C493" t="str">
            <v>Shed and fence</v>
          </cell>
          <cell r="D493">
            <v>8.2100000000000009</v>
          </cell>
          <cell r="E493">
            <v>150.51</v>
          </cell>
          <cell r="F493">
            <v>21</v>
          </cell>
          <cell r="G493">
            <v>105</v>
          </cell>
          <cell r="H493">
            <v>7.6435100000000009</v>
          </cell>
        </row>
        <row r="494">
          <cell r="A494" t="str">
            <v>00736490</v>
          </cell>
          <cell r="B494" t="str">
            <v>UB    SANDING PAD  MEDIUM</v>
          </cell>
          <cell r="C494" t="str">
            <v>Sanding pads</v>
          </cell>
          <cell r="D494">
            <v>0.37</v>
          </cell>
          <cell r="E494">
            <v>149.71</v>
          </cell>
          <cell r="F494">
            <v>458</v>
          </cell>
          <cell r="G494">
            <v>458</v>
          </cell>
          <cell r="H494">
            <v>0.34447</v>
          </cell>
        </row>
        <row r="495">
          <cell r="A495" t="str">
            <v>00307676</v>
          </cell>
          <cell r="B495" t="str">
            <v>JST   ENH RENDER PRIMER WHITE 0000002150</v>
          </cell>
          <cell r="C495" t="str">
            <v>EWI</v>
          </cell>
          <cell r="D495">
            <v>52.95</v>
          </cell>
          <cell r="E495">
            <v>149.16</v>
          </cell>
          <cell r="F495">
            <v>3</v>
          </cell>
          <cell r="G495">
            <v>45</v>
          </cell>
          <cell r="H495">
            <v>49.296450000000007</v>
          </cell>
        </row>
        <row r="496">
          <cell r="A496" t="str">
            <v>00423475</v>
          </cell>
          <cell r="B496" t="str">
            <v>JST   PROF GLOSS   MAGNOLIA   0000001500</v>
          </cell>
          <cell r="C496" t="str">
            <v>Solvent Gloss</v>
          </cell>
          <cell r="D496">
            <v>18.82</v>
          </cell>
          <cell r="E496">
            <v>147.24</v>
          </cell>
          <cell r="F496">
            <v>9</v>
          </cell>
          <cell r="G496">
            <v>45</v>
          </cell>
          <cell r="H496">
            <v>23.66</v>
          </cell>
        </row>
        <row r="497">
          <cell r="A497" t="str">
            <v>00737318</v>
          </cell>
          <cell r="B497" t="str">
            <v>EASYL LINING PAPER 1000 DOUBL</v>
          </cell>
          <cell r="C497" t="str">
            <v>Wallcovering</v>
          </cell>
          <cell r="D497">
            <v>2.5</v>
          </cell>
          <cell r="E497">
            <v>146.26</v>
          </cell>
          <cell r="F497">
            <v>66</v>
          </cell>
          <cell r="G497">
            <v>66</v>
          </cell>
          <cell r="H497">
            <v>2.75</v>
          </cell>
        </row>
        <row r="498">
          <cell r="A498" t="str">
            <v>00852480</v>
          </cell>
          <cell r="B498" t="str">
            <v>PGOLD CONCAVE FOAM ROLLER 4"</v>
          </cell>
          <cell r="C498" t="str">
            <v>Roller</v>
          </cell>
          <cell r="D498">
            <v>2.12</v>
          </cell>
          <cell r="E498">
            <v>145.88</v>
          </cell>
          <cell r="F498">
            <v>94</v>
          </cell>
          <cell r="G498">
            <v>94</v>
          </cell>
          <cell r="H498">
            <v>1.9737200000000001</v>
          </cell>
        </row>
        <row r="499">
          <cell r="A499" t="str">
            <v>00238763</v>
          </cell>
          <cell r="B499" t="str">
            <v>S'DUR 550 SET WHITE           7000002200</v>
          </cell>
          <cell r="C499" t="str">
            <v>PMC</v>
          </cell>
          <cell r="D499">
            <v>799.9</v>
          </cell>
          <cell r="E499">
            <v>144.99</v>
          </cell>
          <cell r="F499">
            <v>1</v>
          </cell>
          <cell r="G499">
            <v>0</v>
          </cell>
          <cell r="H499">
            <v>744.70690000000002</v>
          </cell>
        </row>
        <row r="500">
          <cell r="A500" t="str">
            <v>00301508</v>
          </cell>
          <cell r="B500" t="str">
            <v>JST   JONMAT       BRIL WHITE 0000002150</v>
          </cell>
          <cell r="C500" t="str">
            <v>Contract matt</v>
          </cell>
          <cell r="D500">
            <v>23.28</v>
          </cell>
          <cell r="E500">
            <v>144.91999999999999</v>
          </cell>
          <cell r="F500">
            <v>7</v>
          </cell>
          <cell r="G500">
            <v>105</v>
          </cell>
          <cell r="H500">
            <v>22.5</v>
          </cell>
        </row>
        <row r="501">
          <cell r="A501" t="str">
            <v>00738111</v>
          </cell>
          <cell r="B501" t="str">
            <v>OLFA  18MM AUTO    LOCK KNIFE</v>
          </cell>
          <cell r="C501" t="str">
            <v>Olfa</v>
          </cell>
          <cell r="D501">
            <v>11.32</v>
          </cell>
          <cell r="E501">
            <v>144.13999999999999</v>
          </cell>
          <cell r="F501">
            <v>14</v>
          </cell>
          <cell r="G501">
            <v>14</v>
          </cell>
          <cell r="H501">
            <v>10.538920000000001</v>
          </cell>
        </row>
        <row r="502">
          <cell r="A502" t="str">
            <v>00853078</v>
          </cell>
          <cell r="B502" t="str">
            <v>PGOLD MASKING TAPE 1.5" 50M</v>
          </cell>
          <cell r="C502" t="str">
            <v>Tape</v>
          </cell>
          <cell r="D502">
            <v>1.37</v>
          </cell>
          <cell r="E502">
            <v>143.15</v>
          </cell>
          <cell r="F502">
            <v>115</v>
          </cell>
          <cell r="G502">
            <v>115</v>
          </cell>
          <cell r="H502">
            <v>1.2754700000000001</v>
          </cell>
        </row>
        <row r="503">
          <cell r="A503" t="str">
            <v>00608175</v>
          </cell>
          <cell r="B503" t="str">
            <v>ARTEX FIBATAPE 90M CLASSIC</v>
          </cell>
          <cell r="C503" t="str">
            <v>Artex</v>
          </cell>
          <cell r="D503">
            <v>4.9000000000000004</v>
          </cell>
          <cell r="E503">
            <v>142.76</v>
          </cell>
          <cell r="F503">
            <v>35</v>
          </cell>
          <cell r="G503">
            <v>35</v>
          </cell>
          <cell r="H503">
            <v>4.49</v>
          </cell>
        </row>
        <row r="504">
          <cell r="A504" t="str">
            <v>00302000</v>
          </cell>
          <cell r="B504" t="str">
            <v>JST   QD WOODSTAIN CLEAR      0000001250</v>
          </cell>
          <cell r="C504" t="str">
            <v>Woodstain</v>
          </cell>
          <cell r="D504">
            <v>23.03</v>
          </cell>
          <cell r="E504">
            <v>141.91999999999999</v>
          </cell>
          <cell r="F504">
            <v>7</v>
          </cell>
          <cell r="G504">
            <v>17.5</v>
          </cell>
          <cell r="H504">
            <v>21.440930000000002</v>
          </cell>
        </row>
        <row r="505">
          <cell r="A505" t="str">
            <v>00853154</v>
          </cell>
          <cell r="B505" t="str">
            <v>PGOLD MINI ROLLER  KIT 22PC</v>
          </cell>
          <cell r="C505" t="str">
            <v>Roller</v>
          </cell>
          <cell r="D505">
            <v>12.77</v>
          </cell>
          <cell r="E505">
            <v>140.55000000000001</v>
          </cell>
          <cell r="F505">
            <v>17</v>
          </cell>
          <cell r="G505">
            <v>17</v>
          </cell>
          <cell r="H505">
            <v>11.888870000000001</v>
          </cell>
        </row>
        <row r="506">
          <cell r="A506" t="str">
            <v>00264796</v>
          </cell>
          <cell r="B506" t="str">
            <v>LL    VINYL MATT   BLACK      0000001500</v>
          </cell>
          <cell r="C506" t="str">
            <v>Vinyl matt</v>
          </cell>
          <cell r="D506">
            <v>10.38</v>
          </cell>
          <cell r="E506">
            <v>140.49</v>
          </cell>
          <cell r="F506">
            <v>15</v>
          </cell>
          <cell r="G506">
            <v>75</v>
          </cell>
          <cell r="H506">
            <v>9.86</v>
          </cell>
        </row>
        <row r="507">
          <cell r="A507" t="str">
            <v>00301977</v>
          </cell>
          <cell r="B507" t="str">
            <v>JST   WB FLR VARN  CLEAR SAT  0000001250</v>
          </cell>
          <cell r="C507" t="str">
            <v>Varnish</v>
          </cell>
          <cell r="D507">
            <v>24.13</v>
          </cell>
          <cell r="E507">
            <v>140.35</v>
          </cell>
          <cell r="F507">
            <v>7</v>
          </cell>
          <cell r="G507">
            <v>17.5</v>
          </cell>
          <cell r="H507">
            <v>22.465029999999999</v>
          </cell>
        </row>
        <row r="508">
          <cell r="A508" t="str">
            <v>00852425</v>
          </cell>
          <cell r="B508" t="str">
            <v>PGOLD RM W/PAPER   ADH 2.5KG  0000001250</v>
          </cell>
          <cell r="C508" t="str">
            <v>Adhesive</v>
          </cell>
          <cell r="D508">
            <v>10.29</v>
          </cell>
          <cell r="E508">
            <v>139.13999999999999</v>
          </cell>
          <cell r="F508">
            <v>15</v>
          </cell>
          <cell r="G508">
            <v>37.5</v>
          </cell>
          <cell r="H508">
            <v>9.5799900000000004</v>
          </cell>
        </row>
        <row r="509">
          <cell r="A509" t="str">
            <v>00728205</v>
          </cell>
          <cell r="B509" t="str">
            <v>HAMIL HEAVY DUTY   BLADES 4"</v>
          </cell>
          <cell r="C509" t="str">
            <v>Hamilton</v>
          </cell>
          <cell r="D509">
            <v>2.74</v>
          </cell>
          <cell r="E509">
            <v>139.04</v>
          </cell>
          <cell r="F509">
            <v>57</v>
          </cell>
          <cell r="G509">
            <v>57</v>
          </cell>
          <cell r="H509">
            <v>2.5509400000000002</v>
          </cell>
        </row>
        <row r="510">
          <cell r="A510" t="str">
            <v>00680308</v>
          </cell>
          <cell r="B510" t="str">
            <v>ARTEX LEVELLINE    GYPROC 30M</v>
          </cell>
          <cell r="C510" t="str">
            <v>Artex</v>
          </cell>
          <cell r="D510">
            <v>36.64</v>
          </cell>
          <cell r="E510">
            <v>137.71</v>
          </cell>
          <cell r="F510">
            <v>5</v>
          </cell>
          <cell r="G510">
            <v>5</v>
          </cell>
          <cell r="H510">
            <v>26.7</v>
          </cell>
        </row>
        <row r="511">
          <cell r="A511" t="str">
            <v>00853337</v>
          </cell>
          <cell r="B511" t="str">
            <v>PGOLD SNAP KNIFE   18MM       674127</v>
          </cell>
          <cell r="C511" t="str">
            <v>Blades</v>
          </cell>
          <cell r="D511">
            <v>2.36</v>
          </cell>
          <cell r="E511">
            <v>137.58000000000001</v>
          </cell>
          <cell r="F511">
            <v>76</v>
          </cell>
          <cell r="G511">
            <v>76</v>
          </cell>
          <cell r="H511">
            <v>2.1971599999999998</v>
          </cell>
        </row>
        <row r="512">
          <cell r="A512" t="str">
            <v>00264563</v>
          </cell>
          <cell r="B512" t="str">
            <v>LL    CONTRCT MATT BRIL WHITE 0000002150</v>
          </cell>
          <cell r="C512" t="str">
            <v>Contract matt</v>
          </cell>
          <cell r="D512">
            <v>35.25</v>
          </cell>
          <cell r="E512">
            <v>136.88</v>
          </cell>
          <cell r="F512">
            <v>4</v>
          </cell>
          <cell r="G512">
            <v>60</v>
          </cell>
          <cell r="H512">
            <v>17.64</v>
          </cell>
        </row>
        <row r="513">
          <cell r="A513" t="str">
            <v>00723496</v>
          </cell>
          <cell r="B513" t="str">
            <v>K     FRAME HANDLE 4" SHORT</v>
          </cell>
          <cell r="C513" t="str">
            <v>Roller</v>
          </cell>
          <cell r="D513">
            <v>0.49</v>
          </cell>
          <cell r="E513">
            <v>136.27000000000001</v>
          </cell>
          <cell r="F513">
            <v>300</v>
          </cell>
          <cell r="G513">
            <v>300</v>
          </cell>
          <cell r="H513">
            <v>0.45619000000000004</v>
          </cell>
        </row>
        <row r="514">
          <cell r="A514" t="str">
            <v>00723476</v>
          </cell>
          <cell r="B514" t="str">
            <v>TETR  A/P POWDER   FILLER 5KG 0000001500</v>
          </cell>
          <cell r="C514" t="str">
            <v>Tetrion</v>
          </cell>
          <cell r="D514">
            <v>12.5</v>
          </cell>
          <cell r="E514">
            <v>135.97999999999999</v>
          </cell>
          <cell r="F514">
            <v>12</v>
          </cell>
          <cell r="G514">
            <v>60</v>
          </cell>
          <cell r="H514">
            <v>11.637500000000001</v>
          </cell>
        </row>
        <row r="515">
          <cell r="A515" t="str">
            <v>00301661</v>
          </cell>
          <cell r="B515" t="str">
            <v>JST   PROF U/COAT  CHARCOAL   0000001500</v>
          </cell>
          <cell r="C515" t="str">
            <v>Solvent Undercoat</v>
          </cell>
          <cell r="D515">
            <v>18.350000000000001</v>
          </cell>
          <cell r="E515">
            <v>135.28</v>
          </cell>
          <cell r="F515">
            <v>8</v>
          </cell>
          <cell r="G515">
            <v>40</v>
          </cell>
          <cell r="H515">
            <v>25.69</v>
          </cell>
        </row>
        <row r="516">
          <cell r="A516" t="str">
            <v>00264700</v>
          </cell>
          <cell r="B516" t="str">
            <v>LL    SATINWOOD    BRIL WHITE 0000001250</v>
          </cell>
          <cell r="C516" t="str">
            <v>Solvent Satin</v>
          </cell>
          <cell r="D516">
            <v>14.81</v>
          </cell>
          <cell r="E516">
            <v>135.27000000000001</v>
          </cell>
          <cell r="F516">
            <v>11</v>
          </cell>
          <cell r="G516">
            <v>27.5</v>
          </cell>
          <cell r="H516">
            <v>13.788110000000001</v>
          </cell>
        </row>
        <row r="517">
          <cell r="A517" t="str">
            <v>00423495</v>
          </cell>
          <cell r="B517" t="str">
            <v>JST   AQUA WB GLS  BLACK      0000001250</v>
          </cell>
          <cell r="C517" t="str">
            <v>Aqua Gloss</v>
          </cell>
          <cell r="D517">
            <v>18.670000000000002</v>
          </cell>
          <cell r="E517">
            <v>133.74</v>
          </cell>
          <cell r="F517">
            <v>8</v>
          </cell>
          <cell r="G517">
            <v>20</v>
          </cell>
          <cell r="H517">
            <v>18.670000000000002</v>
          </cell>
        </row>
        <row r="518">
          <cell r="A518" t="str">
            <v>00301486</v>
          </cell>
          <cell r="B518" t="str">
            <v>JST   V/SOFT SHEEN BRIL WHITE 0000001250</v>
          </cell>
          <cell r="C518" t="str">
            <v>Soft Sheen</v>
          </cell>
          <cell r="D518">
            <v>10.32</v>
          </cell>
          <cell r="E518">
            <v>132.06</v>
          </cell>
          <cell r="F518">
            <v>14</v>
          </cell>
          <cell r="G518">
            <v>35</v>
          </cell>
          <cell r="H518">
            <v>7.14</v>
          </cell>
        </row>
        <row r="519">
          <cell r="A519" t="str">
            <v>00723463</v>
          </cell>
          <cell r="B519" t="str">
            <v>K     SPONTEX      STD SPONGE</v>
          </cell>
          <cell r="C519" t="str">
            <v>Sponge</v>
          </cell>
          <cell r="D519">
            <v>1.76</v>
          </cell>
          <cell r="E519">
            <v>131.41999999999999</v>
          </cell>
          <cell r="F519">
            <v>85</v>
          </cell>
          <cell r="G519">
            <v>85</v>
          </cell>
          <cell r="H519">
            <v>1.63856</v>
          </cell>
        </row>
        <row r="520">
          <cell r="A520" t="str">
            <v>00301992</v>
          </cell>
          <cell r="B520" t="str">
            <v>JST   QD WOODSTAIN MEDIUM OAK 0000001250</v>
          </cell>
          <cell r="C520" t="str">
            <v>Woodstain</v>
          </cell>
          <cell r="D520">
            <v>23.03</v>
          </cell>
          <cell r="E520">
            <v>130.08000000000001</v>
          </cell>
          <cell r="F520">
            <v>6</v>
          </cell>
          <cell r="G520">
            <v>15</v>
          </cell>
          <cell r="H520">
            <v>21.440930000000002</v>
          </cell>
        </row>
        <row r="521">
          <cell r="A521" t="str">
            <v>00730762</v>
          </cell>
          <cell r="B521" t="str">
            <v>FATHG FH TROUSERS  WHITE      34"</v>
          </cell>
          <cell r="C521" t="str">
            <v>Trousers</v>
          </cell>
          <cell r="D521">
            <v>11.96</v>
          </cell>
          <cell r="E521">
            <v>128.94999999999999</v>
          </cell>
          <cell r="F521">
            <v>12</v>
          </cell>
          <cell r="G521">
            <v>12</v>
          </cell>
          <cell r="H521">
            <v>13.156000000000002</v>
          </cell>
        </row>
        <row r="522">
          <cell r="A522" t="str">
            <v>00852830</v>
          </cell>
          <cell r="B522" t="str">
            <v>PGOLD WALL BRUSH   6"</v>
          </cell>
          <cell r="C522" t="str">
            <v>Brush</v>
          </cell>
          <cell r="D522">
            <v>34.76</v>
          </cell>
          <cell r="E522">
            <v>128.13999999999999</v>
          </cell>
          <cell r="F522">
            <v>4</v>
          </cell>
          <cell r="G522">
            <v>4</v>
          </cell>
          <cell r="H522">
            <v>32.361559999999997</v>
          </cell>
        </row>
        <row r="523">
          <cell r="A523" t="str">
            <v>00730770</v>
          </cell>
          <cell r="B523" t="str">
            <v>FATHG FH BIB&amp;BRACE WHITE      36"-38"</v>
          </cell>
          <cell r="C523" t="str">
            <v>Bib &amp; Brace</v>
          </cell>
          <cell r="D523">
            <v>11.56</v>
          </cell>
          <cell r="E523">
            <v>127.8</v>
          </cell>
          <cell r="F523">
            <v>12</v>
          </cell>
          <cell r="G523">
            <v>12</v>
          </cell>
          <cell r="H523">
            <v>16.184000000000001</v>
          </cell>
        </row>
        <row r="524">
          <cell r="A524" t="str">
            <v>00301838</v>
          </cell>
          <cell r="B524" t="str">
            <v>JST   STERIL WASH  CLEAR      0000001250</v>
          </cell>
          <cell r="C524" t="str">
            <v>Anti-bacterial</v>
          </cell>
          <cell r="D524">
            <v>5.0199999999999996</v>
          </cell>
          <cell r="E524">
            <v>127.49</v>
          </cell>
          <cell r="F524">
            <v>29</v>
          </cell>
          <cell r="G524">
            <v>72.5</v>
          </cell>
          <cell r="H524">
            <v>4.6736199999999997</v>
          </cell>
        </row>
        <row r="525">
          <cell r="A525" t="str">
            <v>00728165</v>
          </cell>
          <cell r="B525" t="str">
            <v>ZINSR BULLSEYE 123 WHITE      0000001100</v>
          </cell>
          <cell r="C525" t="str">
            <v>Zinsser</v>
          </cell>
          <cell r="D525">
            <v>17.46</v>
          </cell>
          <cell r="E525">
            <v>127.49</v>
          </cell>
          <cell r="F525">
            <v>8</v>
          </cell>
          <cell r="G525">
            <v>8</v>
          </cell>
          <cell r="H525">
            <v>16.255260000000003</v>
          </cell>
        </row>
        <row r="526">
          <cell r="A526" t="str">
            <v>00852824</v>
          </cell>
          <cell r="B526" t="str">
            <v>PGOLD 3" FLEX FILL KNIFE</v>
          </cell>
          <cell r="C526" t="str">
            <v>Filling knife</v>
          </cell>
          <cell r="D526">
            <v>4.6500000000000004</v>
          </cell>
          <cell r="E526">
            <v>126.3</v>
          </cell>
          <cell r="F526">
            <v>30</v>
          </cell>
          <cell r="G526">
            <v>30</v>
          </cell>
          <cell r="H526">
            <v>4.3291500000000003</v>
          </cell>
        </row>
        <row r="527">
          <cell r="A527" t="str">
            <v>00423748</v>
          </cell>
          <cell r="B527" t="str">
            <v>JST   FLORTRED     BLACK      0000001500</v>
          </cell>
          <cell r="C527" t="str">
            <v>Floor paint</v>
          </cell>
          <cell r="D527">
            <v>22.63</v>
          </cell>
          <cell r="E527">
            <v>125.93</v>
          </cell>
          <cell r="F527">
            <v>6</v>
          </cell>
          <cell r="G527">
            <v>30</v>
          </cell>
          <cell r="H527">
            <v>21.068529999999999</v>
          </cell>
        </row>
        <row r="528">
          <cell r="A528" t="str">
            <v>00423379</v>
          </cell>
          <cell r="B528" t="str">
            <v>FD JS AQ GUARD SAT MIXED      0000001100</v>
          </cell>
          <cell r="C528" t="str">
            <v>Aquaguard</v>
          </cell>
          <cell r="D528">
            <v>22.29</v>
          </cell>
          <cell r="E528">
            <v>125.58</v>
          </cell>
          <cell r="F528">
            <v>6</v>
          </cell>
          <cell r="G528">
            <v>6</v>
          </cell>
          <cell r="H528">
            <v>17.829999999999998</v>
          </cell>
        </row>
        <row r="529">
          <cell r="A529" t="str">
            <v>00302861</v>
          </cell>
          <cell r="B529" t="str">
            <v>JST   ACID ETCH    SOLUTION   0000001500</v>
          </cell>
          <cell r="C529" t="str">
            <v>Floor paint</v>
          </cell>
          <cell r="D529">
            <v>26.64</v>
          </cell>
          <cell r="E529">
            <v>125.05</v>
          </cell>
          <cell r="F529">
            <v>5</v>
          </cell>
          <cell r="G529">
            <v>25</v>
          </cell>
          <cell r="H529">
            <v>24.801840000000002</v>
          </cell>
        </row>
        <row r="530">
          <cell r="A530" t="str">
            <v>00737112</v>
          </cell>
          <cell r="B530" t="str">
            <v>FATHG LIGHTWEIGHT  FILLER 1L  0000001100</v>
          </cell>
          <cell r="C530" t="str">
            <v>Filler</v>
          </cell>
          <cell r="D530">
            <v>5.24</v>
          </cell>
          <cell r="E530">
            <v>123.84</v>
          </cell>
          <cell r="F530">
            <v>27</v>
          </cell>
          <cell r="G530">
            <v>27</v>
          </cell>
          <cell r="H530">
            <v>4.8784400000000003</v>
          </cell>
        </row>
        <row r="531">
          <cell r="A531" t="str">
            <v>00611382</v>
          </cell>
          <cell r="B531" t="str">
            <v>TESA  MASK TAPE    50M X 38MM 4348</v>
          </cell>
          <cell r="C531" t="str">
            <v>Tape</v>
          </cell>
          <cell r="D531">
            <v>3.65</v>
          </cell>
          <cell r="E531">
            <v>123.79</v>
          </cell>
          <cell r="F531">
            <v>19</v>
          </cell>
          <cell r="G531">
            <v>19</v>
          </cell>
          <cell r="H531">
            <v>3.3981500000000002</v>
          </cell>
        </row>
        <row r="532">
          <cell r="A532" t="str">
            <v>00730433</v>
          </cell>
          <cell r="B532" t="str">
            <v>JST   KNOTTING     SOLUTION   0000000250</v>
          </cell>
          <cell r="C532" t="str">
            <v>Primer</v>
          </cell>
          <cell r="D532">
            <v>7.33</v>
          </cell>
          <cell r="E532">
            <v>122.56</v>
          </cell>
          <cell r="F532">
            <v>19</v>
          </cell>
          <cell r="G532">
            <v>4.75</v>
          </cell>
          <cell r="H532">
            <v>6.82423</v>
          </cell>
        </row>
        <row r="533">
          <cell r="A533" t="str">
            <v>00727365</v>
          </cell>
          <cell r="B533" t="str">
            <v>FATEV S/SKIN ROLL  EVO 12</v>
          </cell>
          <cell r="C533" t="str">
            <v>Roller</v>
          </cell>
          <cell r="D533">
            <v>14.47</v>
          </cell>
          <cell r="E533">
            <v>122.31</v>
          </cell>
          <cell r="F533">
            <v>9</v>
          </cell>
          <cell r="G533">
            <v>9</v>
          </cell>
          <cell r="H533">
            <v>15.917000000000002</v>
          </cell>
        </row>
        <row r="534">
          <cell r="A534" t="str">
            <v>00852927</v>
          </cell>
          <cell r="B534" t="str">
            <v>PGOLD MEDIUM POLY  9" ROLLER</v>
          </cell>
          <cell r="C534" t="str">
            <v>Roller</v>
          </cell>
          <cell r="D534">
            <v>1.25</v>
          </cell>
          <cell r="E534">
            <v>122.03</v>
          </cell>
          <cell r="F534">
            <v>137</v>
          </cell>
          <cell r="G534">
            <v>137</v>
          </cell>
          <cell r="H534">
            <v>1.1637500000000001</v>
          </cell>
        </row>
        <row r="535">
          <cell r="A535" t="str">
            <v>00305824</v>
          </cell>
          <cell r="B535" t="str">
            <v>FD LL VINYL MATT   MIXED COL  0000001250</v>
          </cell>
          <cell r="C535" t="str">
            <v>Vinyl matt</v>
          </cell>
          <cell r="D535">
            <v>7.41</v>
          </cell>
          <cell r="E535">
            <v>119.56</v>
          </cell>
          <cell r="F535">
            <v>18</v>
          </cell>
          <cell r="G535">
            <v>45</v>
          </cell>
          <cell r="H535">
            <v>5.91</v>
          </cell>
        </row>
        <row r="536">
          <cell r="A536" t="str">
            <v>00614848</v>
          </cell>
          <cell r="B536" t="str">
            <v>CORAL PAPERWIZ</v>
          </cell>
          <cell r="C536" t="str">
            <v>Blades</v>
          </cell>
          <cell r="D536">
            <v>5.89</v>
          </cell>
          <cell r="E536">
            <v>119.46</v>
          </cell>
          <cell r="F536">
            <v>29</v>
          </cell>
          <cell r="G536">
            <v>29</v>
          </cell>
          <cell r="H536">
            <v>5.4835900000000004</v>
          </cell>
        </row>
        <row r="537">
          <cell r="A537" t="str">
            <v>00726726</v>
          </cell>
          <cell r="B537" t="str">
            <v>PURDY COLOSSUS     12" ROLLER</v>
          </cell>
          <cell r="C537" t="str">
            <v>Purdy</v>
          </cell>
          <cell r="D537">
            <v>9.31</v>
          </cell>
          <cell r="E537">
            <v>119.08</v>
          </cell>
          <cell r="F537">
            <v>14</v>
          </cell>
          <cell r="G537">
            <v>14</v>
          </cell>
          <cell r="H537">
            <v>8.6676100000000016</v>
          </cell>
        </row>
        <row r="538">
          <cell r="A538" t="str">
            <v>00306743</v>
          </cell>
          <cell r="B538" t="str">
            <v>FD JS SMOOTH METAL MIXED COL  0000000800</v>
          </cell>
          <cell r="C538" t="str">
            <v>Smooth Metal</v>
          </cell>
          <cell r="D538">
            <v>18.850000000000001</v>
          </cell>
          <cell r="E538">
            <v>118.66</v>
          </cell>
          <cell r="F538">
            <v>7</v>
          </cell>
          <cell r="G538">
            <v>5.6</v>
          </cell>
          <cell r="H538">
            <v>17.549350000000004</v>
          </cell>
        </row>
        <row r="539">
          <cell r="A539" t="str">
            <v>00324702</v>
          </cell>
          <cell r="B539" t="str">
            <v>JST   SMOOTH METAL BLACK      0000000800</v>
          </cell>
          <cell r="C539" t="str">
            <v>Smooth Metal</v>
          </cell>
          <cell r="D539">
            <v>18.850000000000001</v>
          </cell>
          <cell r="E539">
            <v>118.66</v>
          </cell>
          <cell r="F539">
            <v>7</v>
          </cell>
          <cell r="G539">
            <v>5.6</v>
          </cell>
          <cell r="H539">
            <v>17.549350000000004</v>
          </cell>
        </row>
        <row r="540">
          <cell r="A540" t="str">
            <v>00324714</v>
          </cell>
          <cell r="B540" t="str">
            <v>JST   SMOOTH METAL WHITE      0000000800</v>
          </cell>
          <cell r="C540" t="str">
            <v>Smooth Metal</v>
          </cell>
          <cell r="D540">
            <v>18.850000000000001</v>
          </cell>
          <cell r="E540">
            <v>118.66</v>
          </cell>
          <cell r="F540">
            <v>7</v>
          </cell>
          <cell r="G540">
            <v>5.6</v>
          </cell>
          <cell r="H540">
            <v>17.549350000000004</v>
          </cell>
        </row>
        <row r="541">
          <cell r="A541" t="str">
            <v>00423621</v>
          </cell>
          <cell r="B541" t="str">
            <v>FD    99 EXTR OPAQ MIXED      0000001500</v>
          </cell>
          <cell r="C541" t="str">
            <v>GORI</v>
          </cell>
          <cell r="D541">
            <v>75.81</v>
          </cell>
          <cell r="E541">
            <v>115.91</v>
          </cell>
          <cell r="F541">
            <v>2</v>
          </cell>
          <cell r="G541">
            <v>10</v>
          </cell>
          <cell r="H541">
            <v>48</v>
          </cell>
        </row>
        <row r="542">
          <cell r="A542" t="str">
            <v>00730771</v>
          </cell>
          <cell r="B542" t="str">
            <v>FATHG FH BIB&amp;BRACE WHITE      40"-42"</v>
          </cell>
          <cell r="C542" t="str">
            <v>Bib &amp; Brace</v>
          </cell>
          <cell r="D542">
            <v>11.56</v>
          </cell>
          <cell r="E542">
            <v>115.35</v>
          </cell>
          <cell r="F542">
            <v>11</v>
          </cell>
          <cell r="G542">
            <v>11</v>
          </cell>
          <cell r="H542">
            <v>16.184000000000001</v>
          </cell>
        </row>
        <row r="543">
          <cell r="A543" t="str">
            <v>00264851</v>
          </cell>
          <cell r="B543" t="str">
            <v>LL    VINYL SILK   BRIL WHITE 0000002100</v>
          </cell>
          <cell r="C543" t="str">
            <v>Vinyl Silk</v>
          </cell>
          <cell r="D543">
            <v>40.729999999999997</v>
          </cell>
          <cell r="E543">
            <v>114.72</v>
          </cell>
          <cell r="F543">
            <v>3</v>
          </cell>
          <cell r="G543">
            <v>30</v>
          </cell>
          <cell r="H543">
            <v>26</v>
          </cell>
        </row>
        <row r="544">
          <cell r="A544" t="str">
            <v>00735644</v>
          </cell>
          <cell r="B544" t="str">
            <v>MIRKA CARATFLEX 5M 320 GRIT</v>
          </cell>
          <cell r="C544" t="str">
            <v>MIRKA</v>
          </cell>
          <cell r="D544">
            <v>11.07</v>
          </cell>
          <cell r="E544">
            <v>114.29</v>
          </cell>
          <cell r="F544">
            <v>11</v>
          </cell>
          <cell r="G544">
            <v>11</v>
          </cell>
          <cell r="H544">
            <v>10.306170000000002</v>
          </cell>
        </row>
        <row r="545">
          <cell r="A545" t="str">
            <v>00717187</v>
          </cell>
          <cell r="B545" t="str">
            <v>PURDY XL MON ELITE 2" BRUSH</v>
          </cell>
          <cell r="C545" t="str">
            <v>Brush</v>
          </cell>
          <cell r="D545">
            <v>12.63</v>
          </cell>
          <cell r="E545">
            <v>114.28</v>
          </cell>
          <cell r="F545">
            <v>10</v>
          </cell>
          <cell r="G545">
            <v>10</v>
          </cell>
          <cell r="H545">
            <v>11.758530000000002</v>
          </cell>
        </row>
        <row r="546">
          <cell r="A546" t="str">
            <v>00734785</v>
          </cell>
          <cell r="B546" t="str">
            <v>ZINSR BULLSEYE 123 PLUS       0000001500</v>
          </cell>
          <cell r="C546" t="str">
            <v>Zinsser</v>
          </cell>
          <cell r="D546">
            <v>111.59</v>
          </cell>
          <cell r="E546">
            <v>114.21</v>
          </cell>
          <cell r="F546">
            <v>1</v>
          </cell>
          <cell r="G546">
            <v>5</v>
          </cell>
          <cell r="H546">
            <v>103.89029000000001</v>
          </cell>
        </row>
        <row r="547">
          <cell r="A547" t="str">
            <v>00611471</v>
          </cell>
          <cell r="B547" t="str">
            <v>PGOLD CLASS HYBRID BRUSH 3"</v>
          </cell>
          <cell r="C547" t="str">
            <v>Brush</v>
          </cell>
          <cell r="D547">
            <v>3.59</v>
          </cell>
          <cell r="E547">
            <v>112.47</v>
          </cell>
          <cell r="F547">
            <v>36</v>
          </cell>
          <cell r="G547">
            <v>36</v>
          </cell>
          <cell r="H547">
            <v>3.3422900000000002</v>
          </cell>
        </row>
        <row r="548">
          <cell r="A548" t="str">
            <v>00300720</v>
          </cell>
          <cell r="B548" t="str">
            <v>LL    PLIOLITE     MUSHROOM   0000001500</v>
          </cell>
          <cell r="C548" t="str">
            <v>Pliolite</v>
          </cell>
          <cell r="D548">
            <v>18.010000000000002</v>
          </cell>
          <cell r="E548">
            <v>112.12</v>
          </cell>
          <cell r="F548">
            <v>7</v>
          </cell>
          <cell r="G548">
            <v>35</v>
          </cell>
          <cell r="H548">
            <v>21.61</v>
          </cell>
        </row>
        <row r="549">
          <cell r="A549" t="str">
            <v>00301454</v>
          </cell>
          <cell r="B549" t="str">
            <v>JST   COVAPLUS     MAGNOLIA   0000001250</v>
          </cell>
          <cell r="C549" t="str">
            <v>Vinyl matt</v>
          </cell>
          <cell r="D549">
            <v>9.43</v>
          </cell>
          <cell r="E549">
            <v>111.83</v>
          </cell>
          <cell r="F549">
            <v>15</v>
          </cell>
          <cell r="G549">
            <v>37.5</v>
          </cell>
          <cell r="H549">
            <v>5.98</v>
          </cell>
        </row>
        <row r="550">
          <cell r="A550" t="str">
            <v>00717220</v>
          </cell>
          <cell r="B550" t="str">
            <v>PURDY COLOSSUS     9" ROLLER</v>
          </cell>
          <cell r="C550" t="str">
            <v>Purdy</v>
          </cell>
          <cell r="D550">
            <v>5.23</v>
          </cell>
          <cell r="E550">
            <v>110.37</v>
          </cell>
          <cell r="F550">
            <v>22</v>
          </cell>
          <cell r="G550">
            <v>0</v>
          </cell>
          <cell r="H550">
            <v>4.8691300000000011</v>
          </cell>
        </row>
        <row r="551">
          <cell r="A551" t="str">
            <v>00852935</v>
          </cell>
          <cell r="B551" t="str">
            <v>HAMIL STRIP KNIFE  PRESTGE 3"</v>
          </cell>
          <cell r="C551" t="str">
            <v>Hamilton</v>
          </cell>
          <cell r="D551">
            <v>6.61</v>
          </cell>
          <cell r="E551">
            <v>109.88</v>
          </cell>
          <cell r="F551">
            <v>20</v>
          </cell>
          <cell r="G551">
            <v>20</v>
          </cell>
          <cell r="H551">
            <v>6.1539100000000007</v>
          </cell>
        </row>
        <row r="552">
          <cell r="A552" t="str">
            <v>00730763</v>
          </cell>
          <cell r="B552" t="str">
            <v>FATHG FH TROUSERS  WHITE      36"</v>
          </cell>
          <cell r="C552" t="str">
            <v>Trousers</v>
          </cell>
          <cell r="D552">
            <v>11.96</v>
          </cell>
          <cell r="E552">
            <v>109.81</v>
          </cell>
          <cell r="F552">
            <v>10</v>
          </cell>
          <cell r="G552">
            <v>10</v>
          </cell>
          <cell r="H552">
            <v>13.156000000000002</v>
          </cell>
        </row>
        <row r="553">
          <cell r="A553" t="str">
            <v>00611484</v>
          </cell>
          <cell r="B553" t="str">
            <v>PGOLD PREM BRISTLE BRUSH 1.5"</v>
          </cell>
          <cell r="C553" t="str">
            <v>Brush</v>
          </cell>
          <cell r="D553">
            <v>8.83</v>
          </cell>
          <cell r="E553">
            <v>109.35</v>
          </cell>
          <cell r="F553">
            <v>14</v>
          </cell>
          <cell r="G553">
            <v>14</v>
          </cell>
          <cell r="H553">
            <v>8.2207299999999996</v>
          </cell>
        </row>
        <row r="554">
          <cell r="A554" t="str">
            <v>00852933</v>
          </cell>
          <cell r="B554" t="str">
            <v>HAMIL FILL KNIFE   PRESTGE 3"</v>
          </cell>
          <cell r="C554" t="str">
            <v>Hamilton</v>
          </cell>
          <cell r="D554">
            <v>6.61</v>
          </cell>
          <cell r="E554">
            <v>108.8</v>
          </cell>
          <cell r="F554">
            <v>18</v>
          </cell>
          <cell r="G554">
            <v>18</v>
          </cell>
          <cell r="H554">
            <v>6.1539100000000007</v>
          </cell>
        </row>
        <row r="555">
          <cell r="A555" t="str">
            <v>00423494</v>
          </cell>
          <cell r="B555" t="str">
            <v>JST   AQUA WB GLS  BLACK      0000001100</v>
          </cell>
          <cell r="C555" t="str">
            <v>Aqua Gloss</v>
          </cell>
          <cell r="D555">
            <v>11.92</v>
          </cell>
          <cell r="E555">
            <v>107.75</v>
          </cell>
          <cell r="F555">
            <v>10</v>
          </cell>
          <cell r="G555">
            <v>10</v>
          </cell>
          <cell r="H555">
            <v>11.92</v>
          </cell>
        </row>
        <row r="556">
          <cell r="A556" t="str">
            <v>00452930</v>
          </cell>
          <cell r="B556" t="str">
            <v>JST SILICONE MASONRY B/WHIT 5L</v>
          </cell>
          <cell r="C556" t="str">
            <v>Silicone Masonry</v>
          </cell>
          <cell r="D556">
            <v>52.95</v>
          </cell>
          <cell r="E556">
            <v>107.72</v>
          </cell>
          <cell r="F556">
            <v>2</v>
          </cell>
          <cell r="G556">
            <v>10</v>
          </cell>
          <cell r="H556">
            <v>52.95</v>
          </cell>
        </row>
        <row r="557">
          <cell r="A557" t="str">
            <v>00730761</v>
          </cell>
          <cell r="B557" t="str">
            <v>FATHG FH TROUSERS  WHITE      32"</v>
          </cell>
          <cell r="C557" t="str">
            <v>Trousers</v>
          </cell>
          <cell r="D557">
            <v>11.96</v>
          </cell>
          <cell r="E557">
            <v>107.32</v>
          </cell>
          <cell r="F557">
            <v>10</v>
          </cell>
          <cell r="G557">
            <v>10</v>
          </cell>
          <cell r="H557">
            <v>13.156000000000002</v>
          </cell>
        </row>
        <row r="558">
          <cell r="A558" t="str">
            <v>00264703</v>
          </cell>
          <cell r="B558" t="str">
            <v>LL    O/COAT GLOSS BRIL WHITE 0000001250</v>
          </cell>
          <cell r="C558" t="str">
            <v>Solvent Gloss</v>
          </cell>
          <cell r="D558">
            <v>16.64</v>
          </cell>
          <cell r="E558">
            <v>107.02</v>
          </cell>
          <cell r="F558">
            <v>7</v>
          </cell>
          <cell r="G558">
            <v>17.5</v>
          </cell>
          <cell r="H558">
            <v>15.491840000000002</v>
          </cell>
        </row>
        <row r="559">
          <cell r="A559" t="str">
            <v>00730749</v>
          </cell>
          <cell r="B559" t="str">
            <v>FATEV FHEV TROUSER 42" WHITE</v>
          </cell>
          <cell r="C559" t="str">
            <v>Trousers</v>
          </cell>
          <cell r="D559">
            <v>54.07</v>
          </cell>
          <cell r="E559">
            <v>106.77</v>
          </cell>
          <cell r="F559">
            <v>7</v>
          </cell>
          <cell r="G559">
            <v>7</v>
          </cell>
          <cell r="H559">
            <v>46.81</v>
          </cell>
        </row>
        <row r="560">
          <cell r="A560" t="str">
            <v>00730756</v>
          </cell>
          <cell r="B560" t="str">
            <v>FATEV BIB &amp; BRACE  48-50" XXL WHITE</v>
          </cell>
          <cell r="C560" t="str">
            <v>Bib &amp; Brace</v>
          </cell>
          <cell r="D560">
            <v>56.58</v>
          </cell>
          <cell r="E560">
            <v>106.26</v>
          </cell>
          <cell r="F560">
            <v>2</v>
          </cell>
          <cell r="G560">
            <v>2</v>
          </cell>
          <cell r="H560">
            <v>52.41</v>
          </cell>
        </row>
        <row r="561">
          <cell r="A561" t="str">
            <v>00423750</v>
          </cell>
          <cell r="B561" t="str">
            <v>JST   FLORTRED     WHITE      0000001500</v>
          </cell>
          <cell r="C561" t="str">
            <v>Floor paint</v>
          </cell>
          <cell r="D561">
            <v>22.63</v>
          </cell>
          <cell r="E561">
            <v>106.25</v>
          </cell>
          <cell r="F561">
            <v>5</v>
          </cell>
          <cell r="G561">
            <v>25</v>
          </cell>
          <cell r="H561">
            <v>21.068529999999999</v>
          </cell>
        </row>
        <row r="562">
          <cell r="A562" t="str">
            <v>00853077</v>
          </cell>
          <cell r="B562" t="str">
            <v>PGOLD MASKING TAPE 1" 50M</v>
          </cell>
          <cell r="C562" t="str">
            <v>Tape</v>
          </cell>
          <cell r="D562">
            <v>0.8</v>
          </cell>
          <cell r="E562">
            <v>104.9</v>
          </cell>
          <cell r="F562">
            <v>118</v>
          </cell>
          <cell r="G562">
            <v>118</v>
          </cell>
          <cell r="H562">
            <v>0.74480000000000013</v>
          </cell>
        </row>
        <row r="563">
          <cell r="A563" t="str">
            <v>00737113</v>
          </cell>
          <cell r="B563" t="str">
            <v>FATHG LIGHTWEIGHT  FILLER 4L  0000001400</v>
          </cell>
          <cell r="C563" t="str">
            <v>Filler</v>
          </cell>
          <cell r="D563">
            <v>17.23</v>
          </cell>
          <cell r="E563">
            <v>104.86</v>
          </cell>
          <cell r="F563">
            <v>7</v>
          </cell>
          <cell r="G563">
            <v>28</v>
          </cell>
          <cell r="H563">
            <v>16.041130000000003</v>
          </cell>
        </row>
        <row r="564">
          <cell r="A564" t="str">
            <v>00730760</v>
          </cell>
          <cell r="B564" t="str">
            <v>FATHG FH TROUSERS  WHITE      30"</v>
          </cell>
          <cell r="C564" t="str">
            <v>Trousers</v>
          </cell>
          <cell r="D564">
            <v>20.36</v>
          </cell>
          <cell r="E564">
            <v>104.58</v>
          </cell>
          <cell r="F564">
            <v>6</v>
          </cell>
          <cell r="G564">
            <v>6</v>
          </cell>
          <cell r="H564">
            <v>18.955159999999999</v>
          </cell>
        </row>
        <row r="565">
          <cell r="A565" t="str">
            <v>00611394</v>
          </cell>
          <cell r="B565" t="str">
            <v>TESA  EASYCOVER    1800MMX33M 4368</v>
          </cell>
          <cell r="C565" t="str">
            <v>Tape</v>
          </cell>
          <cell r="D565">
            <v>6.59</v>
          </cell>
          <cell r="E565">
            <v>101.82</v>
          </cell>
          <cell r="F565">
            <v>6</v>
          </cell>
          <cell r="G565">
            <v>6</v>
          </cell>
          <cell r="H565">
            <v>6.1352900000000004</v>
          </cell>
        </row>
        <row r="566">
          <cell r="A566" t="str">
            <v>00735006</v>
          </cell>
          <cell r="B566" t="str">
            <v>BLKRO DISPOSABLE   GLOVES XL  BRPDG100XL</v>
          </cell>
          <cell r="C566" t="str">
            <v>Black Rock</v>
          </cell>
          <cell r="D566">
            <v>12.02</v>
          </cell>
          <cell r="E566">
            <v>101.61</v>
          </cell>
          <cell r="F566">
            <v>9</v>
          </cell>
          <cell r="G566">
            <v>9</v>
          </cell>
          <cell r="H566">
            <v>10.220000000000001</v>
          </cell>
        </row>
        <row r="567">
          <cell r="A567" t="str">
            <v>00738114</v>
          </cell>
          <cell r="B567" t="str">
            <v>OLFA  12.5MM BLADE PK10</v>
          </cell>
          <cell r="C567" t="str">
            <v>Blades</v>
          </cell>
          <cell r="D567">
            <v>7.54</v>
          </cell>
          <cell r="E567">
            <v>101.11</v>
          </cell>
          <cell r="F567">
            <v>15</v>
          </cell>
          <cell r="G567">
            <v>15</v>
          </cell>
          <cell r="H567">
            <v>7.0197400000000005</v>
          </cell>
        </row>
        <row r="568">
          <cell r="A568" t="str">
            <v>00736962</v>
          </cell>
          <cell r="B568" t="str">
            <v>MGRR  SUGAR SOAP   SPRY 500ML 0000000500</v>
          </cell>
          <cell r="C568" t="str">
            <v>Mangers</v>
          </cell>
          <cell r="D568">
            <v>2.0699999999999998</v>
          </cell>
          <cell r="E568">
            <v>100.94</v>
          </cell>
          <cell r="F568">
            <v>58</v>
          </cell>
          <cell r="G568">
            <v>29</v>
          </cell>
          <cell r="H568">
            <v>1.92717</v>
          </cell>
        </row>
        <row r="569">
          <cell r="A569" t="str">
            <v>00301640</v>
          </cell>
          <cell r="B569" t="str">
            <v>JST   PROF U/COAT  MID GREY   0000001500</v>
          </cell>
          <cell r="C569" t="str">
            <v>Solvent Undercoat</v>
          </cell>
          <cell r="D569">
            <v>18.350000000000001</v>
          </cell>
          <cell r="E569">
            <v>100.82</v>
          </cell>
          <cell r="F569">
            <v>6</v>
          </cell>
          <cell r="G569">
            <v>30</v>
          </cell>
          <cell r="H569">
            <v>25.69</v>
          </cell>
        </row>
        <row r="570">
          <cell r="A570" t="str">
            <v>00430609</v>
          </cell>
          <cell r="B570" t="str">
            <v>JST  PERFECT MATT B/WHITE    7000001250</v>
          </cell>
          <cell r="C570" t="str">
            <v>Perfect Matt</v>
          </cell>
          <cell r="D570">
            <v>26.5</v>
          </cell>
          <cell r="E570">
            <v>99.99</v>
          </cell>
          <cell r="F570">
            <v>4</v>
          </cell>
          <cell r="G570">
            <v>10</v>
          </cell>
          <cell r="H570">
            <v>21.56</v>
          </cell>
        </row>
        <row r="571">
          <cell r="A571" t="str">
            <v>00734723</v>
          </cell>
          <cell r="B571" t="str">
            <v>FROGT FROG TAPE    24MM       MULTISURFA</v>
          </cell>
          <cell r="C571" t="str">
            <v>Tape</v>
          </cell>
          <cell r="D571">
            <v>5.03</v>
          </cell>
          <cell r="E571">
            <v>97.72</v>
          </cell>
          <cell r="F571">
            <v>21</v>
          </cell>
          <cell r="G571">
            <v>21</v>
          </cell>
          <cell r="H571">
            <v>4.6829300000000007</v>
          </cell>
        </row>
        <row r="572">
          <cell r="A572" t="str">
            <v>00264738</v>
          </cell>
          <cell r="B572" t="str">
            <v>LL    T/G SMTH 15Y QUARRY RED 0000001500</v>
          </cell>
          <cell r="C572" t="str">
            <v>Smooth masonry</v>
          </cell>
          <cell r="D572">
            <v>16.010000000000002</v>
          </cell>
          <cell r="E572">
            <v>97.44</v>
          </cell>
          <cell r="F572">
            <v>7</v>
          </cell>
          <cell r="G572">
            <v>35</v>
          </cell>
          <cell r="H572">
            <v>14.905310000000002</v>
          </cell>
        </row>
        <row r="573">
          <cell r="A573" t="str">
            <v>00639968</v>
          </cell>
          <cell r="B573" t="str">
            <v>EWI   COMPRESSIBLE SEAL - 10M TEP-EPDM-2</v>
          </cell>
          <cell r="C573" t="str">
            <v>EWI</v>
          </cell>
          <cell r="D573">
            <v>8</v>
          </cell>
          <cell r="E573">
            <v>97.3</v>
          </cell>
          <cell r="F573">
            <v>14</v>
          </cell>
          <cell r="G573">
            <v>14</v>
          </cell>
          <cell r="H573">
            <v>6.92</v>
          </cell>
        </row>
        <row r="574">
          <cell r="A574" t="str">
            <v>00730815</v>
          </cell>
          <cell r="B574" t="str">
            <v>ZINSR SB STAIN KIL MATT WHITE 0000001500</v>
          </cell>
          <cell r="C574" t="str">
            <v>Zinsser</v>
          </cell>
          <cell r="D574">
            <v>87.06</v>
          </cell>
          <cell r="E574">
            <v>96.18</v>
          </cell>
          <cell r="F574">
            <v>1</v>
          </cell>
          <cell r="G574">
            <v>5</v>
          </cell>
          <cell r="H574">
            <v>81.05286000000001</v>
          </cell>
        </row>
        <row r="575">
          <cell r="A575" t="str">
            <v>00734721</v>
          </cell>
          <cell r="B575" t="str">
            <v>FROGT FROG TAPE    24MM       DELICATE</v>
          </cell>
          <cell r="C575" t="str">
            <v>Tape</v>
          </cell>
          <cell r="D575">
            <v>5.03</v>
          </cell>
          <cell r="E575">
            <v>95.62</v>
          </cell>
          <cell r="F575">
            <v>21</v>
          </cell>
          <cell r="G575">
            <v>21</v>
          </cell>
          <cell r="H575">
            <v>4.6829300000000007</v>
          </cell>
        </row>
        <row r="576">
          <cell r="A576" t="str">
            <v>00852825</v>
          </cell>
          <cell r="B576" t="str">
            <v>PGOLD 2" STRIPPING KNIFE</v>
          </cell>
          <cell r="C576" t="str">
            <v>Stripping knife</v>
          </cell>
          <cell r="D576">
            <v>4.28</v>
          </cell>
          <cell r="E576">
            <v>95.1</v>
          </cell>
          <cell r="F576">
            <v>29</v>
          </cell>
          <cell r="G576">
            <v>29</v>
          </cell>
          <cell r="H576">
            <v>3.9846800000000004</v>
          </cell>
        </row>
        <row r="577">
          <cell r="A577" t="str">
            <v>00301503</v>
          </cell>
          <cell r="B577" t="str">
            <v>JST   JONMAT       MAGNOLIA   0000002150</v>
          </cell>
          <cell r="C577" t="str">
            <v>Contract matt</v>
          </cell>
          <cell r="D577">
            <v>49.77</v>
          </cell>
          <cell r="E577">
            <v>94.72</v>
          </cell>
          <cell r="F577">
            <v>2</v>
          </cell>
          <cell r="G577">
            <v>30</v>
          </cell>
          <cell r="H577">
            <v>22.5</v>
          </cell>
        </row>
        <row r="578">
          <cell r="A578" t="str">
            <v>00304863</v>
          </cell>
          <cell r="B578" t="str">
            <v>JST   POLY VARNISH SAT CLEAR  0000001250</v>
          </cell>
          <cell r="C578" t="str">
            <v>Varnish</v>
          </cell>
          <cell r="D578">
            <v>15.35</v>
          </cell>
          <cell r="E578">
            <v>94.45</v>
          </cell>
          <cell r="F578">
            <v>7</v>
          </cell>
          <cell r="G578">
            <v>17.5</v>
          </cell>
          <cell r="H578">
            <v>14.290850000000001</v>
          </cell>
        </row>
        <row r="579">
          <cell r="A579" t="str">
            <v>00423206</v>
          </cell>
          <cell r="B579" t="str">
            <v>JST   S/SLD SMOOTH COUNTRYCRM 0000001500</v>
          </cell>
          <cell r="C579" t="str">
            <v>Smooth masonry</v>
          </cell>
          <cell r="D579">
            <v>17.84</v>
          </cell>
          <cell r="E579">
            <v>93.06</v>
          </cell>
          <cell r="F579">
            <v>6</v>
          </cell>
          <cell r="G579">
            <v>30</v>
          </cell>
          <cell r="H579">
            <v>16.60904</v>
          </cell>
        </row>
        <row r="580">
          <cell r="A580" t="str">
            <v>00611468</v>
          </cell>
          <cell r="B580" t="str">
            <v>PGOLD CLASS HYBRID BRUSH 1.5"</v>
          </cell>
          <cell r="C580" t="str">
            <v>Brush</v>
          </cell>
          <cell r="D580">
            <v>2.59</v>
          </cell>
          <cell r="E580">
            <v>92.91</v>
          </cell>
          <cell r="F580">
            <v>31</v>
          </cell>
          <cell r="G580">
            <v>31</v>
          </cell>
          <cell r="H580">
            <v>2.4112900000000002</v>
          </cell>
        </row>
        <row r="581">
          <cell r="A581" t="str">
            <v>00306948</v>
          </cell>
          <cell r="B581" t="str">
            <v>JST   S/SLD FX SAT BLACK      0000001250</v>
          </cell>
          <cell r="C581" t="str">
            <v>Flexible exterior</v>
          </cell>
          <cell r="D581">
            <v>34.5</v>
          </cell>
          <cell r="E581">
            <v>92.37</v>
          </cell>
          <cell r="F581">
            <v>3</v>
          </cell>
          <cell r="G581">
            <v>7.5</v>
          </cell>
          <cell r="H581">
            <v>18</v>
          </cell>
        </row>
        <row r="582">
          <cell r="A582" t="str">
            <v>00852687</v>
          </cell>
          <cell r="B582" t="str">
            <v>PGOLD AQUA ANG/OVL BRUSH 2"</v>
          </cell>
          <cell r="C582" t="str">
            <v>Brush</v>
          </cell>
          <cell r="D582">
            <v>6.2</v>
          </cell>
          <cell r="E582">
            <v>92.26</v>
          </cell>
          <cell r="F582">
            <v>16</v>
          </cell>
          <cell r="G582">
            <v>16</v>
          </cell>
          <cell r="H582">
            <v>5.7722000000000007</v>
          </cell>
        </row>
        <row r="583">
          <cell r="A583" t="str">
            <v>00301978</v>
          </cell>
          <cell r="B583" t="str">
            <v>JST   WB FLR VARN  CLEAR SAT  0000001500</v>
          </cell>
          <cell r="C583" t="str">
            <v>Varnish</v>
          </cell>
          <cell r="D583">
            <v>40.25</v>
          </cell>
          <cell r="E583">
            <v>92.21</v>
          </cell>
          <cell r="F583">
            <v>3</v>
          </cell>
          <cell r="G583">
            <v>15</v>
          </cell>
          <cell r="H583">
            <v>37.472750000000005</v>
          </cell>
        </row>
        <row r="584">
          <cell r="A584" t="str">
            <v>00264769</v>
          </cell>
          <cell r="B584" t="str">
            <v>LL    UNDERCOAT    MID GREY   0000001500</v>
          </cell>
          <cell r="C584" t="str">
            <v>Solvent Undercoat</v>
          </cell>
          <cell r="D584">
            <v>16.71</v>
          </cell>
          <cell r="E584">
            <v>91.82</v>
          </cell>
          <cell r="F584">
            <v>6</v>
          </cell>
          <cell r="G584">
            <v>30</v>
          </cell>
          <cell r="H584">
            <v>23.393999999999998</v>
          </cell>
        </row>
        <row r="585">
          <cell r="A585" t="str">
            <v>00852680</v>
          </cell>
          <cell r="B585" t="str">
            <v>PGOLD AQUA SYNTH   BRUSH 2"</v>
          </cell>
          <cell r="C585" t="str">
            <v>Brush</v>
          </cell>
          <cell r="D585">
            <v>3.6</v>
          </cell>
          <cell r="E585">
            <v>90.73</v>
          </cell>
          <cell r="F585">
            <v>28</v>
          </cell>
          <cell r="G585">
            <v>28</v>
          </cell>
          <cell r="H585">
            <v>3.3516000000000004</v>
          </cell>
        </row>
        <row r="586">
          <cell r="A586" t="str">
            <v>00611048</v>
          </cell>
          <cell r="B586" t="str">
            <v>RODO  PRODEC PREM  BRUSH SET6 PBPT049</v>
          </cell>
          <cell r="C586" t="str">
            <v>Brush</v>
          </cell>
          <cell r="D586">
            <v>19.47</v>
          </cell>
          <cell r="E586">
            <v>90.05</v>
          </cell>
          <cell r="F586">
            <v>5</v>
          </cell>
          <cell r="G586">
            <v>5</v>
          </cell>
          <cell r="H586">
            <v>15.96</v>
          </cell>
        </row>
        <row r="587">
          <cell r="A587" t="str">
            <v>00852685</v>
          </cell>
          <cell r="B587" t="str">
            <v>PGOLD AQUA SY ANGL BRUSH 1.5"</v>
          </cell>
          <cell r="C587" t="str">
            <v>Brush</v>
          </cell>
          <cell r="D587">
            <v>5.18</v>
          </cell>
          <cell r="E587">
            <v>90</v>
          </cell>
          <cell r="F587">
            <v>21</v>
          </cell>
          <cell r="G587">
            <v>21</v>
          </cell>
          <cell r="H587">
            <v>4.8225800000000003</v>
          </cell>
        </row>
        <row r="588">
          <cell r="A588" t="str">
            <v>00736958</v>
          </cell>
          <cell r="B588" t="str">
            <v>MGRR  SUGAR SOAP   10L MIX</v>
          </cell>
          <cell r="C588" t="str">
            <v>Mangers</v>
          </cell>
          <cell r="D588">
            <v>2.64</v>
          </cell>
          <cell r="E588">
            <v>88.84</v>
          </cell>
          <cell r="F588">
            <v>44</v>
          </cell>
          <cell r="G588">
            <v>44</v>
          </cell>
          <cell r="H588">
            <v>2.4578400000000005</v>
          </cell>
        </row>
        <row r="589">
          <cell r="A589" t="str">
            <v>00308454</v>
          </cell>
          <cell r="B589" t="str">
            <v>LL    STAIN BLOCK  WHITE      0000001250</v>
          </cell>
          <cell r="C589" t="str">
            <v>Primer</v>
          </cell>
          <cell r="D589">
            <v>23.81</v>
          </cell>
          <cell r="E589">
            <v>87.78</v>
          </cell>
          <cell r="F589">
            <v>4</v>
          </cell>
          <cell r="G589">
            <v>10</v>
          </cell>
          <cell r="H589">
            <v>22.167110000000001</v>
          </cell>
        </row>
        <row r="590">
          <cell r="A590" t="str">
            <v>00737916</v>
          </cell>
          <cell r="B590" t="str">
            <v>RODO  12" CAULKER  PLDT004</v>
          </cell>
          <cell r="C590" t="str">
            <v>RODO</v>
          </cell>
          <cell r="D590">
            <v>8.0399999999999991</v>
          </cell>
          <cell r="E590">
            <v>87.03</v>
          </cell>
          <cell r="F590">
            <v>12</v>
          </cell>
          <cell r="G590">
            <v>12</v>
          </cell>
          <cell r="H590">
            <v>7.4852399999999992</v>
          </cell>
        </row>
        <row r="591">
          <cell r="A591" t="str">
            <v>00738118</v>
          </cell>
          <cell r="B591" t="str">
            <v>RODO  PAINT DOZEN  12P BRUSH  SET</v>
          </cell>
          <cell r="C591" t="str">
            <v>Brush</v>
          </cell>
          <cell r="D591">
            <v>16.09</v>
          </cell>
          <cell r="E591">
            <v>86.58</v>
          </cell>
          <cell r="F591">
            <v>6</v>
          </cell>
          <cell r="G591">
            <v>6</v>
          </cell>
          <cell r="H591">
            <v>14.979790000000001</v>
          </cell>
        </row>
        <row r="592">
          <cell r="A592" t="str">
            <v>00738727</v>
          </cell>
          <cell r="B592" t="str">
            <v>ZINSR PEEL STOP                     1500</v>
          </cell>
          <cell r="C592" t="str">
            <v>Zinsser</v>
          </cell>
          <cell r="D592">
            <v>43.06</v>
          </cell>
          <cell r="E592">
            <v>86.48</v>
          </cell>
          <cell r="F592">
            <v>2</v>
          </cell>
          <cell r="G592">
            <v>10</v>
          </cell>
          <cell r="H592">
            <v>40.088860000000004</v>
          </cell>
        </row>
        <row r="593">
          <cell r="A593" t="str">
            <v>00852411</v>
          </cell>
          <cell r="B593" t="str">
            <v>PGOLD BDR &amp; O/LAP  ADH 1KG    0000001100</v>
          </cell>
          <cell r="C593" t="str">
            <v>Adhesive</v>
          </cell>
          <cell r="D593">
            <v>7.37</v>
          </cell>
          <cell r="E593">
            <v>85.88</v>
          </cell>
          <cell r="F593">
            <v>13</v>
          </cell>
          <cell r="G593">
            <v>13</v>
          </cell>
          <cell r="H593">
            <v>6.8614700000000006</v>
          </cell>
        </row>
        <row r="594">
          <cell r="A594" t="str">
            <v>00727681</v>
          </cell>
          <cell r="B594" t="str">
            <v>JST   ADV STAIN    BLK PRIMER 0000001100</v>
          </cell>
          <cell r="C594" t="str">
            <v>Primer</v>
          </cell>
          <cell r="D594">
            <v>15.26</v>
          </cell>
          <cell r="E594">
            <v>85.11</v>
          </cell>
          <cell r="F594">
            <v>6</v>
          </cell>
          <cell r="G594">
            <v>6</v>
          </cell>
          <cell r="H594">
            <v>14.20706</v>
          </cell>
        </row>
        <row r="595">
          <cell r="A595" t="str">
            <v>00611383</v>
          </cell>
          <cell r="B595" t="str">
            <v>TESA  MASK TAPE    50M X 50MM 4348</v>
          </cell>
          <cell r="C595" t="str">
            <v>Tape</v>
          </cell>
          <cell r="D595">
            <v>4.49</v>
          </cell>
          <cell r="E595">
            <v>84.61</v>
          </cell>
          <cell r="F595">
            <v>13</v>
          </cell>
          <cell r="G595">
            <v>13</v>
          </cell>
          <cell r="H595">
            <v>4.1801900000000005</v>
          </cell>
        </row>
        <row r="596">
          <cell r="A596" t="str">
            <v>00735548</v>
          </cell>
          <cell r="B596" t="str">
            <v>RODO  PROTECTOR LI DUST SHEET NON WOVEN</v>
          </cell>
          <cell r="C596" t="str">
            <v>RODO</v>
          </cell>
          <cell r="D596">
            <v>5.29</v>
          </cell>
          <cell r="E596">
            <v>83.52</v>
          </cell>
          <cell r="F596">
            <v>16</v>
          </cell>
          <cell r="G596">
            <v>16</v>
          </cell>
          <cell r="H596">
            <v>4.9249900000000002</v>
          </cell>
        </row>
        <row r="597">
          <cell r="A597" t="str">
            <v>00309455</v>
          </cell>
          <cell r="B597" t="str">
            <v>FD JS S/SLD FX GLS MIXED COL  0000001100</v>
          </cell>
          <cell r="C597" t="str">
            <v>Flexible exterior</v>
          </cell>
          <cell r="D597">
            <v>22.09</v>
          </cell>
          <cell r="E597">
            <v>83.34</v>
          </cell>
          <cell r="F597">
            <v>4</v>
          </cell>
          <cell r="G597">
            <v>4</v>
          </cell>
          <cell r="H597">
            <v>8</v>
          </cell>
        </row>
        <row r="598">
          <cell r="A598" t="str">
            <v>00633370</v>
          </cell>
          <cell r="B598" t="str">
            <v>UB    COMP SYNTHET BRUSH 2"</v>
          </cell>
          <cell r="C598" t="str">
            <v>Brush</v>
          </cell>
          <cell r="D598">
            <v>4.26</v>
          </cell>
          <cell r="E598">
            <v>82.74</v>
          </cell>
          <cell r="F598">
            <v>17</v>
          </cell>
          <cell r="G598">
            <v>17</v>
          </cell>
          <cell r="H598">
            <v>3.9660600000000001</v>
          </cell>
        </row>
        <row r="599">
          <cell r="A599" t="str">
            <v>00424018</v>
          </cell>
          <cell r="B599" t="str">
            <v>PROGOLD ABRASIVE PAD COURSE(10</v>
          </cell>
          <cell r="C599" t="str">
            <v>Sanding pads</v>
          </cell>
          <cell r="D599">
            <v>4.38</v>
          </cell>
          <cell r="E599">
            <v>82.2</v>
          </cell>
          <cell r="F599">
            <v>21</v>
          </cell>
          <cell r="G599">
            <v>21</v>
          </cell>
          <cell r="H599">
            <v>4.0777799999999997</v>
          </cell>
        </row>
        <row r="600">
          <cell r="A600" t="str">
            <v>00737281</v>
          </cell>
          <cell r="B600" t="str">
            <v>UB    3G BUILDERS  BUCKET</v>
          </cell>
          <cell r="C600" t="str">
            <v>Scuttle</v>
          </cell>
          <cell r="D600">
            <v>3.37</v>
          </cell>
          <cell r="E600">
            <v>82.1</v>
          </cell>
          <cell r="F600">
            <v>27</v>
          </cell>
          <cell r="G600">
            <v>27</v>
          </cell>
          <cell r="H600">
            <v>3.1374700000000004</v>
          </cell>
        </row>
        <row r="601">
          <cell r="A601" t="str">
            <v>00301660</v>
          </cell>
          <cell r="B601" t="str">
            <v>JST   PROF U/COAT  CHARCOAL   0000001250</v>
          </cell>
          <cell r="C601" t="str">
            <v>Solvent Undercoat</v>
          </cell>
          <cell r="D601">
            <v>9.7799999999999994</v>
          </cell>
          <cell r="E601">
            <v>81.94</v>
          </cell>
          <cell r="F601">
            <v>9</v>
          </cell>
          <cell r="G601">
            <v>22.5</v>
          </cell>
          <cell r="H601">
            <v>13.69</v>
          </cell>
        </row>
        <row r="602">
          <cell r="A602" t="str">
            <v>00301831</v>
          </cell>
          <cell r="B602" t="str">
            <v>JST   MDF PRIMER   BRIL WHITE 0000001500</v>
          </cell>
          <cell r="C602" t="str">
            <v>Primer</v>
          </cell>
          <cell r="D602">
            <v>29.68</v>
          </cell>
          <cell r="E602">
            <v>81.55</v>
          </cell>
          <cell r="F602">
            <v>3</v>
          </cell>
          <cell r="G602">
            <v>15</v>
          </cell>
          <cell r="H602">
            <v>27.632080000000002</v>
          </cell>
        </row>
        <row r="603">
          <cell r="A603" t="str">
            <v>00738678</v>
          </cell>
          <cell r="B603" t="str">
            <v>RODO  PRECISION    TAPE 1.5"  ATMT002</v>
          </cell>
          <cell r="C603" t="str">
            <v>Tape</v>
          </cell>
          <cell r="D603">
            <v>3.72</v>
          </cell>
          <cell r="E603">
            <v>81.010000000000005</v>
          </cell>
          <cell r="F603">
            <v>26</v>
          </cell>
          <cell r="G603">
            <v>26</v>
          </cell>
          <cell r="H603">
            <v>3.4633200000000004</v>
          </cell>
        </row>
        <row r="604">
          <cell r="A604" t="str">
            <v>00631680</v>
          </cell>
          <cell r="B604" t="str">
            <v>BLKRO LATEX GRIP   GLOVE</v>
          </cell>
          <cell r="C604" t="str">
            <v>Black Rock</v>
          </cell>
          <cell r="D604">
            <v>1.95</v>
          </cell>
          <cell r="E604">
            <v>80.16</v>
          </cell>
          <cell r="F604">
            <v>46</v>
          </cell>
          <cell r="G604">
            <v>46</v>
          </cell>
          <cell r="H604">
            <v>1.81545</v>
          </cell>
        </row>
        <row r="605">
          <cell r="A605" t="str">
            <v>00852416</v>
          </cell>
          <cell r="B605" t="str">
            <v>PGOLD INT POWDER   FILLER 2KG 0000000200</v>
          </cell>
          <cell r="C605" t="str">
            <v>Filler</v>
          </cell>
          <cell r="D605">
            <v>3.42</v>
          </cell>
          <cell r="E605">
            <v>79.62</v>
          </cell>
          <cell r="F605">
            <v>26</v>
          </cell>
          <cell r="G605">
            <v>5.2</v>
          </cell>
          <cell r="H605">
            <v>3.1840200000000003</v>
          </cell>
        </row>
        <row r="606">
          <cell r="A606" t="str">
            <v>00611514</v>
          </cell>
          <cell r="B606" t="str">
            <v>JDONE JOB DONE     BRUSH 3"</v>
          </cell>
          <cell r="C606" t="str">
            <v>Brush</v>
          </cell>
          <cell r="D606">
            <v>4.3099999999999996</v>
          </cell>
          <cell r="E606">
            <v>79.16</v>
          </cell>
          <cell r="F606">
            <v>18</v>
          </cell>
          <cell r="G606">
            <v>18</v>
          </cell>
          <cell r="H606">
            <v>4.0126099999999996</v>
          </cell>
        </row>
        <row r="607">
          <cell r="A607" t="str">
            <v>00301945</v>
          </cell>
          <cell r="B607" t="str">
            <v>JST   SATIN W/STN  WALNUT     0000001250</v>
          </cell>
          <cell r="C607" t="str">
            <v>Woodstain</v>
          </cell>
          <cell r="D607">
            <v>16.88</v>
          </cell>
          <cell r="E607">
            <v>78.08</v>
          </cell>
          <cell r="F607">
            <v>5</v>
          </cell>
          <cell r="G607">
            <v>12.5</v>
          </cell>
          <cell r="H607">
            <v>15.71528</v>
          </cell>
        </row>
        <row r="608">
          <cell r="A608" t="str">
            <v>00737914</v>
          </cell>
          <cell r="B608" t="str">
            <v>RODO  10" CAULKER  PLDT003</v>
          </cell>
          <cell r="C608" t="str">
            <v>RODO</v>
          </cell>
          <cell r="D608">
            <v>6.43</v>
          </cell>
          <cell r="E608">
            <v>77.319999999999993</v>
          </cell>
          <cell r="F608">
            <v>14</v>
          </cell>
          <cell r="G608">
            <v>14</v>
          </cell>
          <cell r="H608">
            <v>5.9863299999999997</v>
          </cell>
        </row>
        <row r="609">
          <cell r="A609" t="str">
            <v>00301818</v>
          </cell>
          <cell r="B609" t="str">
            <v>JST   QD HB ZINC   RED OXIDE  0000001250</v>
          </cell>
          <cell r="C609" t="str">
            <v>Primer</v>
          </cell>
          <cell r="D609">
            <v>27.07</v>
          </cell>
          <cell r="E609">
            <v>77.22</v>
          </cell>
          <cell r="F609">
            <v>3</v>
          </cell>
          <cell r="G609">
            <v>7.5</v>
          </cell>
          <cell r="H609">
            <v>25.202170000000002</v>
          </cell>
        </row>
        <row r="610">
          <cell r="A610" t="str">
            <v>00853155</v>
          </cell>
          <cell r="B610" t="str">
            <v>PGOLD HP SCUTTLE   KIT</v>
          </cell>
          <cell r="C610" t="str">
            <v>Scuttle</v>
          </cell>
          <cell r="D610">
            <v>13.83</v>
          </cell>
          <cell r="E610">
            <v>76.3</v>
          </cell>
          <cell r="F610">
            <v>7</v>
          </cell>
          <cell r="G610">
            <v>7</v>
          </cell>
          <cell r="H610">
            <v>12.875730000000001</v>
          </cell>
        </row>
        <row r="611">
          <cell r="A611" t="str">
            <v>00611390</v>
          </cell>
          <cell r="B611" t="str">
            <v>TESA  PR MASK TAPE 50M X 25MM 4440</v>
          </cell>
          <cell r="C611" t="str">
            <v>Tape</v>
          </cell>
          <cell r="D611">
            <v>5.71</v>
          </cell>
          <cell r="E611">
            <v>76.19</v>
          </cell>
          <cell r="F611">
            <v>7</v>
          </cell>
          <cell r="G611">
            <v>7</v>
          </cell>
          <cell r="H611">
            <v>5.3160100000000003</v>
          </cell>
        </row>
        <row r="612">
          <cell r="A612" t="str">
            <v>00305836</v>
          </cell>
          <cell r="B612" t="str">
            <v>FD LL GLOSS        MIXED COL  0000001250</v>
          </cell>
          <cell r="C612" t="str">
            <v>Solvent Gloss</v>
          </cell>
          <cell r="D612">
            <v>14.19</v>
          </cell>
          <cell r="E612">
            <v>75.959999999999994</v>
          </cell>
          <cell r="F612">
            <v>6</v>
          </cell>
          <cell r="G612">
            <v>15</v>
          </cell>
          <cell r="H612">
            <v>13.76</v>
          </cell>
        </row>
        <row r="613">
          <cell r="A613" t="str">
            <v>00423864</v>
          </cell>
          <cell r="B613" t="str">
            <v>FD JS CLEAN MATT   MIXED      0000002100</v>
          </cell>
          <cell r="C613" t="str">
            <v>Cleanable Matt</v>
          </cell>
          <cell r="D613">
            <v>80.290000000000006</v>
          </cell>
          <cell r="E613">
            <v>75.39</v>
          </cell>
          <cell r="F613">
            <v>1</v>
          </cell>
          <cell r="G613">
            <v>10</v>
          </cell>
          <cell r="H613">
            <v>56.2</v>
          </cell>
        </row>
        <row r="614">
          <cell r="A614" t="str">
            <v>00736960</v>
          </cell>
          <cell r="B614" t="str">
            <v>MGRR  SUGAR SOAP   30L MIX</v>
          </cell>
          <cell r="C614" t="str">
            <v>Mangers</v>
          </cell>
          <cell r="D614">
            <v>8.14</v>
          </cell>
          <cell r="E614">
            <v>75.209999999999994</v>
          </cell>
          <cell r="F614">
            <v>10</v>
          </cell>
          <cell r="G614">
            <v>10</v>
          </cell>
          <cell r="H614">
            <v>7.5783400000000007</v>
          </cell>
        </row>
        <row r="615">
          <cell r="A615" t="str">
            <v>00305843</v>
          </cell>
          <cell r="B615" t="str">
            <v>FD LL UNDERCOAT    MIXED COL  0000001250</v>
          </cell>
          <cell r="C615" t="str">
            <v>Solvent Undercoat</v>
          </cell>
          <cell r="D615">
            <v>14.19</v>
          </cell>
          <cell r="E615">
            <v>74.97</v>
          </cell>
          <cell r="F615">
            <v>6</v>
          </cell>
          <cell r="G615">
            <v>15</v>
          </cell>
          <cell r="H615">
            <v>14.19</v>
          </cell>
        </row>
        <row r="616">
          <cell r="A616" t="str">
            <v>00736948</v>
          </cell>
          <cell r="B616" t="str">
            <v>MGRR  FUNGICIDAL   SPRY 500ML 0000000500</v>
          </cell>
          <cell r="C616" t="str">
            <v>Mangers</v>
          </cell>
          <cell r="D616">
            <v>3.28</v>
          </cell>
          <cell r="E616">
            <v>74.56</v>
          </cell>
          <cell r="F616">
            <v>26</v>
          </cell>
          <cell r="G616">
            <v>13</v>
          </cell>
          <cell r="H616">
            <v>3.0536799999999999</v>
          </cell>
        </row>
        <row r="617">
          <cell r="A617" t="str">
            <v>00852930</v>
          </cell>
          <cell r="B617" t="str">
            <v>PGOLD LONG POLY    12" ROLLER</v>
          </cell>
          <cell r="C617" t="str">
            <v>Roller</v>
          </cell>
          <cell r="D617">
            <v>4.93</v>
          </cell>
          <cell r="E617">
            <v>74.36</v>
          </cell>
          <cell r="F617">
            <v>16</v>
          </cell>
          <cell r="G617">
            <v>16</v>
          </cell>
          <cell r="H617">
            <v>4.5898300000000001</v>
          </cell>
        </row>
        <row r="618">
          <cell r="A618" t="str">
            <v>00302010</v>
          </cell>
          <cell r="B618" t="str">
            <v>JST   SHED &amp; FENCE ACORN GOLD 0000001500</v>
          </cell>
          <cell r="C618" t="str">
            <v>Shed and fence</v>
          </cell>
          <cell r="D618">
            <v>8.2100000000000009</v>
          </cell>
          <cell r="E618">
            <v>73.680000000000007</v>
          </cell>
          <cell r="F618">
            <v>10</v>
          </cell>
          <cell r="G618">
            <v>50</v>
          </cell>
          <cell r="H618">
            <v>7.6435100000000009</v>
          </cell>
        </row>
        <row r="619">
          <cell r="A619" t="str">
            <v>00852420</v>
          </cell>
          <cell r="B619" t="str">
            <v>PGOLD PVA          5LT        0000001500</v>
          </cell>
          <cell r="C619" t="str">
            <v>Adhesive</v>
          </cell>
          <cell r="D619">
            <v>16.489999999999998</v>
          </cell>
          <cell r="E619">
            <v>72.8</v>
          </cell>
          <cell r="F619">
            <v>5</v>
          </cell>
          <cell r="G619">
            <v>25</v>
          </cell>
          <cell r="H619">
            <v>15.35219</v>
          </cell>
        </row>
        <row r="620">
          <cell r="A620" t="str">
            <v>00852423</v>
          </cell>
          <cell r="B620" t="str">
            <v>PGOLD READY MIXED  FILL 600GM       0600</v>
          </cell>
          <cell r="C620" t="str">
            <v>Filler</v>
          </cell>
          <cell r="D620">
            <v>2.79</v>
          </cell>
          <cell r="E620">
            <v>71.959999999999994</v>
          </cell>
          <cell r="F620">
            <v>29</v>
          </cell>
          <cell r="G620">
            <v>17.399999999999999</v>
          </cell>
          <cell r="H620">
            <v>2.5974900000000001</v>
          </cell>
        </row>
        <row r="621">
          <cell r="A621" t="str">
            <v>00730769</v>
          </cell>
          <cell r="B621" t="str">
            <v>FATHG FH BIB&amp;BRACE WHITE      32"-34"</v>
          </cell>
          <cell r="C621" t="str">
            <v>Bib &amp; Brace</v>
          </cell>
          <cell r="D621">
            <v>11.56</v>
          </cell>
          <cell r="E621">
            <v>71.95</v>
          </cell>
          <cell r="F621">
            <v>7</v>
          </cell>
          <cell r="G621">
            <v>7</v>
          </cell>
          <cell r="H621">
            <v>16.184000000000001</v>
          </cell>
        </row>
        <row r="622">
          <cell r="A622" t="str">
            <v>00611459</v>
          </cell>
          <cell r="B622" t="str">
            <v>PGOLD CLASS SYNTH  BRUSH 1"</v>
          </cell>
          <cell r="C622" t="str">
            <v>Brush</v>
          </cell>
          <cell r="D622">
            <v>3.49</v>
          </cell>
          <cell r="E622">
            <v>71.599999999999994</v>
          </cell>
          <cell r="F622">
            <v>23</v>
          </cell>
          <cell r="G622">
            <v>23</v>
          </cell>
          <cell r="H622">
            <v>3.2491900000000005</v>
          </cell>
        </row>
        <row r="623">
          <cell r="A623" t="str">
            <v>00304852</v>
          </cell>
          <cell r="B623" t="str">
            <v>JST   FLOOR VARN   SAT CLEAR  0000001250</v>
          </cell>
          <cell r="C623" t="str">
            <v>Varnish</v>
          </cell>
          <cell r="D623">
            <v>37.39</v>
          </cell>
          <cell r="E623">
            <v>70.22</v>
          </cell>
          <cell r="F623">
            <v>2</v>
          </cell>
          <cell r="G623">
            <v>5</v>
          </cell>
          <cell r="H623">
            <v>34.810090000000002</v>
          </cell>
        </row>
        <row r="624">
          <cell r="A624" t="str">
            <v>00732927</v>
          </cell>
          <cell r="B624" t="str">
            <v>FATHG DEC CAULK    BROWN            0295</v>
          </cell>
          <cell r="C624" t="str">
            <v>Caulk</v>
          </cell>
          <cell r="D624">
            <v>1.84</v>
          </cell>
          <cell r="E624">
            <v>69.8</v>
          </cell>
          <cell r="F624">
            <v>42</v>
          </cell>
          <cell r="G624">
            <v>12.39</v>
          </cell>
          <cell r="H624">
            <v>1.7130400000000001</v>
          </cell>
        </row>
        <row r="625">
          <cell r="A625" t="str">
            <v>00852414</v>
          </cell>
          <cell r="B625" t="str">
            <v>PGOLD CLEAN SPIRIT 2LT        0000001200</v>
          </cell>
          <cell r="C625" t="str">
            <v>Spirits</v>
          </cell>
          <cell r="D625">
            <v>3.13</v>
          </cell>
          <cell r="E625">
            <v>69.540000000000006</v>
          </cell>
          <cell r="F625">
            <v>25</v>
          </cell>
          <cell r="G625">
            <v>50</v>
          </cell>
          <cell r="H625">
            <v>2.9140299999999999</v>
          </cell>
        </row>
        <row r="626">
          <cell r="A626" t="str">
            <v>00301833</v>
          </cell>
          <cell r="B626" t="str">
            <v>JST   Q/DRY MATT   BLACKBOARD 0000001250</v>
          </cell>
          <cell r="C626" t="str">
            <v>Blackboard</v>
          </cell>
          <cell r="D626">
            <v>15.72</v>
          </cell>
          <cell r="E626">
            <v>69.44</v>
          </cell>
          <cell r="F626">
            <v>5</v>
          </cell>
          <cell r="G626">
            <v>12.5</v>
          </cell>
          <cell r="H626">
            <v>14.635320000000002</v>
          </cell>
        </row>
        <row r="627">
          <cell r="A627" t="str">
            <v>00305065</v>
          </cell>
          <cell r="B627" t="str">
            <v>FD JS EGGSHELL     MIXED COL  0000001100</v>
          </cell>
          <cell r="C627" t="str">
            <v>Solvent Eggshell</v>
          </cell>
          <cell r="D627">
            <v>10.79</v>
          </cell>
          <cell r="E627">
            <v>69.41</v>
          </cell>
          <cell r="F627">
            <v>7</v>
          </cell>
          <cell r="G627">
            <v>7</v>
          </cell>
          <cell r="H627">
            <v>10.045489999999999</v>
          </cell>
        </row>
        <row r="628">
          <cell r="A628" t="str">
            <v>00852934</v>
          </cell>
          <cell r="B628" t="str">
            <v>HAMIL STRIP KNIFE  PRESTGE 2"</v>
          </cell>
          <cell r="C628" t="str">
            <v>Hamilton</v>
          </cell>
          <cell r="D628">
            <v>5.73</v>
          </cell>
          <cell r="E628">
            <v>67.959999999999994</v>
          </cell>
          <cell r="F628">
            <v>15</v>
          </cell>
          <cell r="G628">
            <v>15</v>
          </cell>
          <cell r="H628">
            <v>5.3346300000000006</v>
          </cell>
        </row>
        <row r="629">
          <cell r="A629" t="str">
            <v>00727894</v>
          </cell>
          <cell r="B629" t="str">
            <v>MIRKA ABRANET 150MM P80 50 STK</v>
          </cell>
          <cell r="C629" t="str">
            <v>MIRKA</v>
          </cell>
          <cell r="D629">
            <v>66.84</v>
          </cell>
          <cell r="E629">
            <v>67.75</v>
          </cell>
          <cell r="F629">
            <v>1</v>
          </cell>
          <cell r="G629">
            <v>1</v>
          </cell>
          <cell r="H629">
            <v>62.228040000000007</v>
          </cell>
        </row>
        <row r="630">
          <cell r="A630" t="str">
            <v>00423535</v>
          </cell>
          <cell r="B630" t="str">
            <v>JST   SHED &amp; FENCE GREY       0000001500</v>
          </cell>
          <cell r="C630" t="str">
            <v>Shed and fence</v>
          </cell>
          <cell r="D630">
            <v>8.2100000000000009</v>
          </cell>
          <cell r="E630">
            <v>67.41</v>
          </cell>
          <cell r="F630">
            <v>10</v>
          </cell>
          <cell r="G630">
            <v>50</v>
          </cell>
          <cell r="H630">
            <v>7.6435100000000009</v>
          </cell>
        </row>
        <row r="631">
          <cell r="A631" t="str">
            <v>00852681</v>
          </cell>
          <cell r="B631" t="str">
            <v>PGOLD AQUA SYNTH   BRUSH 2.5"</v>
          </cell>
          <cell r="C631" t="str">
            <v>Brush</v>
          </cell>
          <cell r="D631">
            <v>7.23</v>
          </cell>
          <cell r="E631">
            <v>67.400000000000006</v>
          </cell>
          <cell r="F631">
            <v>10</v>
          </cell>
          <cell r="G631">
            <v>10</v>
          </cell>
          <cell r="H631">
            <v>6.7311300000000012</v>
          </cell>
        </row>
        <row r="632">
          <cell r="A632" t="str">
            <v>00324709</v>
          </cell>
          <cell r="B632" t="str">
            <v>JST   SMOOTH METAL SILVER     0000000800</v>
          </cell>
          <cell r="C632" t="str">
            <v>Smooth Metal</v>
          </cell>
          <cell r="D632">
            <v>18.850000000000001</v>
          </cell>
          <cell r="E632">
            <v>66.87</v>
          </cell>
          <cell r="F632">
            <v>4</v>
          </cell>
          <cell r="G632">
            <v>3.2</v>
          </cell>
          <cell r="H632">
            <v>17.549350000000004</v>
          </cell>
        </row>
        <row r="633">
          <cell r="A633" t="str">
            <v>00611486</v>
          </cell>
          <cell r="B633" t="str">
            <v>PGOLD PREM BRISTLE BRUSH 2.5"</v>
          </cell>
          <cell r="C633" t="str">
            <v>Brush</v>
          </cell>
          <cell r="D633">
            <v>18.38</v>
          </cell>
          <cell r="E633">
            <v>66.48</v>
          </cell>
          <cell r="F633">
            <v>4</v>
          </cell>
          <cell r="G633">
            <v>4</v>
          </cell>
          <cell r="H633">
            <v>17.11178</v>
          </cell>
        </row>
        <row r="634">
          <cell r="A634" t="str">
            <v>00301975</v>
          </cell>
          <cell r="B634" t="str">
            <v>JST   WB FLR VARN  CLEAR GLS  0000001250</v>
          </cell>
          <cell r="C634" t="str">
            <v>Varnish</v>
          </cell>
          <cell r="D634">
            <v>24.13</v>
          </cell>
          <cell r="E634">
            <v>66.3</v>
          </cell>
          <cell r="F634">
            <v>3</v>
          </cell>
          <cell r="G634">
            <v>7.5</v>
          </cell>
          <cell r="H634">
            <v>22.465029999999999</v>
          </cell>
        </row>
        <row r="635">
          <cell r="A635" t="str">
            <v>00239972</v>
          </cell>
          <cell r="B635" t="str">
            <v>S'DUR 550 SET BLACK           8000001400</v>
          </cell>
          <cell r="C635" t="str">
            <v>PMC</v>
          </cell>
          <cell r="D635">
            <v>178.66</v>
          </cell>
          <cell r="E635">
            <v>65.599999999999994</v>
          </cell>
          <cell r="F635">
            <v>2</v>
          </cell>
          <cell r="G635">
            <v>0</v>
          </cell>
          <cell r="H635">
            <v>166.33246</v>
          </cell>
        </row>
        <row r="636">
          <cell r="A636" t="str">
            <v>00423740</v>
          </cell>
          <cell r="B636" t="str">
            <v>JST   FLORTRED     DARK GREY  0000001250</v>
          </cell>
          <cell r="C636" t="str">
            <v>Floor paint</v>
          </cell>
          <cell r="D636">
            <v>34.83</v>
          </cell>
          <cell r="E636">
            <v>65.400000000000006</v>
          </cell>
          <cell r="F636">
            <v>2</v>
          </cell>
          <cell r="G636">
            <v>5</v>
          </cell>
          <cell r="H636">
            <v>12.67</v>
          </cell>
        </row>
        <row r="637">
          <cell r="A637" t="str">
            <v>00738714</v>
          </cell>
          <cell r="B637" t="str">
            <v>JST   BLACK        BITUMEN          1500</v>
          </cell>
          <cell r="C637" t="str">
            <v>Bitumen</v>
          </cell>
          <cell r="D637">
            <v>18.739999999999998</v>
          </cell>
          <cell r="E637">
            <v>65.2</v>
          </cell>
          <cell r="F637">
            <v>4</v>
          </cell>
          <cell r="G637">
            <v>20</v>
          </cell>
          <cell r="H637">
            <v>17.446939999999998</v>
          </cell>
        </row>
        <row r="638">
          <cell r="A638" t="str">
            <v>00264368</v>
          </cell>
          <cell r="B638" t="str">
            <v>LL    ACRY E/SHELL BRIL WHITE 0000001250</v>
          </cell>
          <cell r="C638" t="str">
            <v>Acrylic Eggshell</v>
          </cell>
          <cell r="D638">
            <v>21.84</v>
          </cell>
          <cell r="E638">
            <v>64.8</v>
          </cell>
          <cell r="F638">
            <v>4</v>
          </cell>
          <cell r="G638">
            <v>10</v>
          </cell>
          <cell r="H638">
            <v>9.39</v>
          </cell>
        </row>
        <row r="639">
          <cell r="A639" t="str">
            <v>00735142</v>
          </cell>
          <cell r="B639" t="str">
            <v>OSMO  UV PROT OIL  CLEAR      0000000750</v>
          </cell>
          <cell r="C639" t="str">
            <v>OSMO</v>
          </cell>
          <cell r="D639">
            <v>29.81</v>
          </cell>
          <cell r="E639">
            <v>64.38</v>
          </cell>
          <cell r="F639">
            <v>2</v>
          </cell>
          <cell r="G639">
            <v>1.5</v>
          </cell>
          <cell r="H639">
            <v>27.75311</v>
          </cell>
        </row>
        <row r="640">
          <cell r="A640" t="str">
            <v>00639829</v>
          </cell>
          <cell r="B640" t="str">
            <v>RODO  CONT PLASTIC M/ SCRAPER PACK 8</v>
          </cell>
          <cell r="C640" t="str">
            <v>RODO</v>
          </cell>
          <cell r="D640">
            <v>1.83</v>
          </cell>
          <cell r="E640">
            <v>63.59</v>
          </cell>
          <cell r="F640">
            <v>42</v>
          </cell>
          <cell r="G640">
            <v>42</v>
          </cell>
          <cell r="H640">
            <v>1.7037300000000002</v>
          </cell>
        </row>
        <row r="641">
          <cell r="A641" t="str">
            <v>00301892</v>
          </cell>
          <cell r="B641" t="str">
            <v>JST   MATT W/STAIN MEDIUM OAK 0000001250</v>
          </cell>
          <cell r="C641" t="str">
            <v>Woodstain</v>
          </cell>
          <cell r="D641">
            <v>16.88</v>
          </cell>
          <cell r="E641">
            <v>63.4</v>
          </cell>
          <cell r="F641">
            <v>4</v>
          </cell>
          <cell r="G641">
            <v>10</v>
          </cell>
          <cell r="H641">
            <v>15.71528</v>
          </cell>
        </row>
        <row r="642">
          <cell r="A642" t="str">
            <v>00728159</v>
          </cell>
          <cell r="B642" t="str">
            <v>ZINSR COVERSTAIN   WHITE      0000001100</v>
          </cell>
          <cell r="C642" t="str">
            <v>Zinsser</v>
          </cell>
          <cell r="D642">
            <v>14.1</v>
          </cell>
          <cell r="E642">
            <v>63.26</v>
          </cell>
          <cell r="F642">
            <v>5</v>
          </cell>
          <cell r="G642">
            <v>5</v>
          </cell>
          <cell r="H642">
            <v>13.1271</v>
          </cell>
        </row>
        <row r="643">
          <cell r="A643" t="str">
            <v>00306893</v>
          </cell>
          <cell r="B643" t="str">
            <v>JST   AQUA WB U/C  DARK GREY  0000001100</v>
          </cell>
          <cell r="C643" t="str">
            <v>Aqua Undercoat</v>
          </cell>
          <cell r="D643">
            <v>11.92</v>
          </cell>
          <cell r="E643">
            <v>62.99</v>
          </cell>
          <cell r="F643">
            <v>6</v>
          </cell>
          <cell r="G643">
            <v>6</v>
          </cell>
          <cell r="H643">
            <v>11.92</v>
          </cell>
        </row>
        <row r="644">
          <cell r="A644" t="str">
            <v>00423743</v>
          </cell>
          <cell r="B644" t="str">
            <v>JST   FLORTRED     SAFETY YEL 0000001250</v>
          </cell>
          <cell r="C644" t="str">
            <v>Floor paint</v>
          </cell>
          <cell r="D644">
            <v>34.83</v>
          </cell>
          <cell r="E644">
            <v>62.98</v>
          </cell>
          <cell r="F644">
            <v>2</v>
          </cell>
          <cell r="G644">
            <v>5</v>
          </cell>
          <cell r="H644">
            <v>12.67</v>
          </cell>
        </row>
        <row r="645">
          <cell r="A645" t="str">
            <v>00852932</v>
          </cell>
          <cell r="B645" t="str">
            <v>HAMIL FILL KNIFE   PRESTGE 2"</v>
          </cell>
          <cell r="C645" t="str">
            <v>Hamilton</v>
          </cell>
          <cell r="D645">
            <v>5.33</v>
          </cell>
          <cell r="E645">
            <v>62.42</v>
          </cell>
          <cell r="F645">
            <v>36</v>
          </cell>
          <cell r="G645">
            <v>36</v>
          </cell>
          <cell r="H645">
            <v>4.9622299999999999</v>
          </cell>
        </row>
        <row r="646">
          <cell r="A646" t="str">
            <v>00301936</v>
          </cell>
          <cell r="B646" t="str">
            <v>JST   SATIN W/STN  CLEAR      0000001250</v>
          </cell>
          <cell r="C646" t="str">
            <v>Woodstain</v>
          </cell>
          <cell r="D646">
            <v>16.88</v>
          </cell>
          <cell r="E646">
            <v>62.23</v>
          </cell>
          <cell r="F646">
            <v>4</v>
          </cell>
          <cell r="G646">
            <v>10</v>
          </cell>
          <cell r="H646">
            <v>15.71528</v>
          </cell>
        </row>
        <row r="647">
          <cell r="A647" t="str">
            <v>00611873</v>
          </cell>
          <cell r="B647" t="str">
            <v>ARTEX EASIFILLER   LIGHT            1250</v>
          </cell>
          <cell r="C647" t="str">
            <v>Artex</v>
          </cell>
          <cell r="D647">
            <v>21.97</v>
          </cell>
          <cell r="E647">
            <v>62.18</v>
          </cell>
          <cell r="F647">
            <v>4</v>
          </cell>
          <cell r="G647">
            <v>10</v>
          </cell>
          <cell r="H647">
            <v>20.454070000000002</v>
          </cell>
        </row>
        <row r="648">
          <cell r="A648" t="str">
            <v>00611395</v>
          </cell>
          <cell r="B648" t="str">
            <v>TESA  ECOVER PAPER 25M X 0.3M 4364</v>
          </cell>
          <cell r="C648" t="str">
            <v>Tape</v>
          </cell>
          <cell r="D648">
            <v>8.66</v>
          </cell>
          <cell r="E648">
            <v>61.76</v>
          </cell>
          <cell r="F648">
            <v>4</v>
          </cell>
          <cell r="G648">
            <v>4</v>
          </cell>
          <cell r="H648">
            <v>8.0624599999999997</v>
          </cell>
        </row>
        <row r="649">
          <cell r="A649" t="str">
            <v>00718416</v>
          </cell>
          <cell r="B649" t="str">
            <v>ARTEX R/MIX JOINT  CEMEMT 12L 60020 2120</v>
          </cell>
          <cell r="C649" t="str">
            <v>Artex</v>
          </cell>
          <cell r="D649">
            <v>18.059999999999999</v>
          </cell>
          <cell r="E649">
            <v>61.68</v>
          </cell>
          <cell r="F649">
            <v>4</v>
          </cell>
          <cell r="G649">
            <v>48</v>
          </cell>
          <cell r="H649">
            <v>18.059999999999999</v>
          </cell>
        </row>
        <row r="650">
          <cell r="A650" t="str">
            <v>00729836</v>
          </cell>
          <cell r="B650" t="str">
            <v>EASY  EASYTEX      10-044     FIBROUS</v>
          </cell>
          <cell r="C650" t="str">
            <v>Wallcovering</v>
          </cell>
          <cell r="D650">
            <v>5.18</v>
          </cell>
          <cell r="E650">
            <v>61.36</v>
          </cell>
          <cell r="F650">
            <v>11</v>
          </cell>
          <cell r="G650">
            <v>11</v>
          </cell>
          <cell r="H650">
            <v>5.18</v>
          </cell>
        </row>
        <row r="651">
          <cell r="A651" t="str">
            <v>00302431</v>
          </cell>
          <cell r="B651" t="str">
            <v>JST   TC3 THINNER  &amp; CLEANER  0000001500</v>
          </cell>
          <cell r="C651" t="str">
            <v>Thinner</v>
          </cell>
          <cell r="D651">
            <v>24.71</v>
          </cell>
          <cell r="E651">
            <v>60.98</v>
          </cell>
          <cell r="F651">
            <v>2</v>
          </cell>
          <cell r="G651">
            <v>10</v>
          </cell>
          <cell r="H651">
            <v>27.181000000000004</v>
          </cell>
        </row>
        <row r="652">
          <cell r="A652" t="str">
            <v>00718774</v>
          </cell>
          <cell r="B652" t="str">
            <v>RODO  6" L/HANDLE  SCRAPER    (LHWS6)</v>
          </cell>
          <cell r="C652" t="str">
            <v>RODO</v>
          </cell>
          <cell r="D652">
            <v>10.98</v>
          </cell>
          <cell r="E652">
            <v>60.54</v>
          </cell>
          <cell r="F652">
            <v>6</v>
          </cell>
          <cell r="G652">
            <v>6</v>
          </cell>
          <cell r="H652">
            <v>10.222380000000001</v>
          </cell>
        </row>
        <row r="653">
          <cell r="A653" t="str">
            <v>00301939</v>
          </cell>
          <cell r="B653" t="str">
            <v>JST   SATIN W/STN  LIGHT OAK  0000001250</v>
          </cell>
          <cell r="C653" t="str">
            <v>Woodstain</v>
          </cell>
          <cell r="D653">
            <v>16.88</v>
          </cell>
          <cell r="E653">
            <v>59.89</v>
          </cell>
          <cell r="F653">
            <v>4</v>
          </cell>
          <cell r="G653">
            <v>10</v>
          </cell>
          <cell r="H653">
            <v>15.71528</v>
          </cell>
        </row>
        <row r="654">
          <cell r="A654" t="str">
            <v>00852928</v>
          </cell>
          <cell r="B654" t="str">
            <v>PGOLD SHORT WOVEN  12" ROLLER</v>
          </cell>
          <cell r="C654" t="str">
            <v>Roller</v>
          </cell>
          <cell r="D654">
            <v>7.94</v>
          </cell>
          <cell r="E654">
            <v>59.72</v>
          </cell>
          <cell r="F654">
            <v>7</v>
          </cell>
          <cell r="G654">
            <v>7</v>
          </cell>
          <cell r="H654">
            <v>7.3921400000000004</v>
          </cell>
        </row>
        <row r="655">
          <cell r="A655" t="str">
            <v>00611389</v>
          </cell>
          <cell r="B655" t="str">
            <v>TESA  SEN MASKTAPE 50M X 50MM 4333</v>
          </cell>
          <cell r="C655" t="str">
            <v>Tape</v>
          </cell>
          <cell r="D655">
            <v>10.16</v>
          </cell>
          <cell r="E655">
            <v>58.68</v>
          </cell>
          <cell r="F655">
            <v>5</v>
          </cell>
          <cell r="G655">
            <v>5</v>
          </cell>
          <cell r="H655">
            <v>9.4589600000000011</v>
          </cell>
        </row>
        <row r="656">
          <cell r="A656" t="str">
            <v>00852418</v>
          </cell>
          <cell r="B656" t="str">
            <v>PGOLD METH SPIRIT  500ML      0000000500</v>
          </cell>
          <cell r="C656" t="str">
            <v>Spirits</v>
          </cell>
          <cell r="D656">
            <v>3.01</v>
          </cell>
          <cell r="E656">
            <v>58.27</v>
          </cell>
          <cell r="F656">
            <v>22</v>
          </cell>
          <cell r="G656">
            <v>11</v>
          </cell>
          <cell r="H656">
            <v>2.8023099999999999</v>
          </cell>
        </row>
        <row r="657">
          <cell r="A657" t="str">
            <v>00852924</v>
          </cell>
          <cell r="B657" t="str">
            <v>PGOLD MEDIUM POLY  12" ROLLER</v>
          </cell>
          <cell r="C657" t="str">
            <v>Roller</v>
          </cell>
          <cell r="D657">
            <v>1.53</v>
          </cell>
          <cell r="E657">
            <v>58.15</v>
          </cell>
          <cell r="F657">
            <v>42</v>
          </cell>
          <cell r="G657">
            <v>42</v>
          </cell>
          <cell r="H657">
            <v>1.4244300000000001</v>
          </cell>
        </row>
        <row r="658">
          <cell r="A658" t="str">
            <v>00852679</v>
          </cell>
          <cell r="B658" t="str">
            <v>PGOLD AQUA SYNTH   BRUSH 1.5"</v>
          </cell>
          <cell r="C658" t="str">
            <v>Brush</v>
          </cell>
          <cell r="D658">
            <v>2.74</v>
          </cell>
          <cell r="E658">
            <v>57.97</v>
          </cell>
          <cell r="F658">
            <v>23</v>
          </cell>
          <cell r="G658">
            <v>23</v>
          </cell>
          <cell r="H658">
            <v>2.5509400000000002</v>
          </cell>
        </row>
        <row r="659">
          <cell r="A659" t="str">
            <v>00730754</v>
          </cell>
          <cell r="B659" t="str">
            <v>FATEV BIB &amp; BRACE  40-42" LRG WHITE</v>
          </cell>
          <cell r="C659" t="str">
            <v>Bib &amp; Brace</v>
          </cell>
          <cell r="D659">
            <v>52.41</v>
          </cell>
          <cell r="E659">
            <v>57.89</v>
          </cell>
          <cell r="F659">
            <v>1</v>
          </cell>
          <cell r="G659">
            <v>1</v>
          </cell>
          <cell r="H659">
            <v>48.793709999999997</v>
          </cell>
        </row>
        <row r="660">
          <cell r="A660" t="str">
            <v>00723475</v>
          </cell>
          <cell r="B660" t="str">
            <v>TETR  A/P POWDER(8 FILLER 1.5 0000001150</v>
          </cell>
          <cell r="C660" t="str">
            <v>Tetrion</v>
          </cell>
          <cell r="D660">
            <v>5.84</v>
          </cell>
          <cell r="E660">
            <v>57.41</v>
          </cell>
          <cell r="F660">
            <v>11</v>
          </cell>
          <cell r="G660">
            <v>16.5</v>
          </cell>
          <cell r="H660">
            <v>5.4370400000000005</v>
          </cell>
        </row>
        <row r="661">
          <cell r="A661" t="str">
            <v>00718799</v>
          </cell>
          <cell r="B661" t="str">
            <v>RODO  RUBBLE SACKS PACK OF 5  (RB5)</v>
          </cell>
          <cell r="C661" t="str">
            <v>RODO</v>
          </cell>
          <cell r="D661">
            <v>1.7</v>
          </cell>
          <cell r="E661">
            <v>57.16</v>
          </cell>
          <cell r="F661">
            <v>37</v>
          </cell>
          <cell r="G661">
            <v>37</v>
          </cell>
          <cell r="H661">
            <v>1.5827</v>
          </cell>
        </row>
        <row r="662">
          <cell r="A662" t="str">
            <v>00738064</v>
          </cell>
          <cell r="B662" t="str">
            <v>CORAL PASTE TABLE  HARDBOARD  TOP</v>
          </cell>
          <cell r="C662" t="str">
            <v>Paste table</v>
          </cell>
          <cell r="D662">
            <v>21.19</v>
          </cell>
          <cell r="E662">
            <v>56.76</v>
          </cell>
          <cell r="F662">
            <v>3</v>
          </cell>
          <cell r="G662">
            <v>3</v>
          </cell>
          <cell r="H662">
            <v>19.727890000000002</v>
          </cell>
        </row>
        <row r="663">
          <cell r="A663" t="str">
            <v>00305953</v>
          </cell>
          <cell r="B663" t="str">
            <v>FD JS SATIN W/STN  MIXED COL  0000001500</v>
          </cell>
          <cell r="C663" t="str">
            <v>Woodstain</v>
          </cell>
          <cell r="D663">
            <v>29.65</v>
          </cell>
          <cell r="E663">
            <v>55.68</v>
          </cell>
          <cell r="F663">
            <v>2</v>
          </cell>
          <cell r="G663">
            <v>10</v>
          </cell>
          <cell r="H663">
            <v>27.604150000000001</v>
          </cell>
        </row>
        <row r="664">
          <cell r="A664" t="str">
            <v>00301946</v>
          </cell>
          <cell r="B664" t="str">
            <v>JST   SATIN W/STN  WALNUT     0000001500</v>
          </cell>
          <cell r="C664" t="str">
            <v>Woodstain</v>
          </cell>
          <cell r="D664">
            <v>29.65</v>
          </cell>
          <cell r="E664">
            <v>55.68</v>
          </cell>
          <cell r="F664">
            <v>2</v>
          </cell>
          <cell r="G664">
            <v>10</v>
          </cell>
          <cell r="H664">
            <v>27.604150000000001</v>
          </cell>
        </row>
        <row r="665">
          <cell r="A665" t="str">
            <v>00301956</v>
          </cell>
          <cell r="B665" t="str">
            <v>JST   SATIN W/STN  MEDIUM OAK 0000000750</v>
          </cell>
          <cell r="C665" t="str">
            <v>Woodstain</v>
          </cell>
          <cell r="D665">
            <v>6.58</v>
          </cell>
          <cell r="E665">
            <v>55.16</v>
          </cell>
          <cell r="F665">
            <v>9</v>
          </cell>
          <cell r="G665">
            <v>6.75</v>
          </cell>
          <cell r="H665">
            <v>6.1259800000000002</v>
          </cell>
        </row>
        <row r="666">
          <cell r="A666" t="str">
            <v>00302005</v>
          </cell>
          <cell r="B666" t="str">
            <v>JST   SHED &amp; FENCE RUSTIC RED 0000001500</v>
          </cell>
          <cell r="C666" t="str">
            <v>Shed and fence</v>
          </cell>
          <cell r="D666">
            <v>8.2100000000000009</v>
          </cell>
          <cell r="E666">
            <v>55.14</v>
          </cell>
          <cell r="F666">
            <v>9</v>
          </cell>
          <cell r="G666">
            <v>45</v>
          </cell>
          <cell r="H666">
            <v>7.6435100000000009</v>
          </cell>
        </row>
        <row r="667">
          <cell r="A667" t="str">
            <v>00301639</v>
          </cell>
          <cell r="B667" t="str">
            <v>JST   PROF U/COAT  MID GREY   0000001250</v>
          </cell>
          <cell r="C667" t="str">
            <v>Solvent Undercoat</v>
          </cell>
          <cell r="D667">
            <v>9.7799999999999994</v>
          </cell>
          <cell r="E667">
            <v>55.08</v>
          </cell>
          <cell r="F667">
            <v>6</v>
          </cell>
          <cell r="G667">
            <v>15</v>
          </cell>
          <cell r="H667">
            <v>13.691999999999998</v>
          </cell>
        </row>
        <row r="668">
          <cell r="A668" t="str">
            <v>00730768</v>
          </cell>
          <cell r="B668" t="str">
            <v>FATHG FH TROUSERS  WHITE      46"</v>
          </cell>
          <cell r="C668" t="str">
            <v>Trousers</v>
          </cell>
          <cell r="D668">
            <v>20.36</v>
          </cell>
          <cell r="E668">
            <v>54.52</v>
          </cell>
          <cell r="F668">
            <v>9</v>
          </cell>
          <cell r="G668">
            <v>9</v>
          </cell>
          <cell r="H668">
            <v>18.955159999999999</v>
          </cell>
        </row>
        <row r="669">
          <cell r="A669" t="str">
            <v>00730764</v>
          </cell>
          <cell r="B669" t="str">
            <v>FATHG FH TROUSERS  WHITE      38"</v>
          </cell>
          <cell r="C669" t="str">
            <v>Trousers</v>
          </cell>
          <cell r="D669">
            <v>11.96</v>
          </cell>
          <cell r="E669">
            <v>54.49</v>
          </cell>
          <cell r="F669">
            <v>5</v>
          </cell>
          <cell r="G669">
            <v>5</v>
          </cell>
          <cell r="H669">
            <v>13.156000000000002</v>
          </cell>
        </row>
        <row r="670">
          <cell r="A670" t="str">
            <v>00852410</v>
          </cell>
          <cell r="B670" t="str">
            <v>PGOLD AP WALLPAPER ADH 10 RL</v>
          </cell>
          <cell r="C670" t="str">
            <v>Adhesive</v>
          </cell>
          <cell r="D670">
            <v>2.56</v>
          </cell>
          <cell r="E670">
            <v>54</v>
          </cell>
          <cell r="F670">
            <v>24</v>
          </cell>
          <cell r="G670">
            <v>24</v>
          </cell>
          <cell r="H670">
            <v>2.3833600000000001</v>
          </cell>
        </row>
        <row r="671">
          <cell r="A671" t="str">
            <v>00435196</v>
          </cell>
          <cell r="B671" t="str">
            <v>JST  AQ GUARD SAT BRILL WHITE  000001100</v>
          </cell>
          <cell r="C671" t="str">
            <v>Aquaguard</v>
          </cell>
          <cell r="D671">
            <v>15.15</v>
          </cell>
          <cell r="E671">
            <v>53.77</v>
          </cell>
          <cell r="F671">
            <v>5</v>
          </cell>
          <cell r="G671">
            <v>5</v>
          </cell>
          <cell r="H671">
            <v>12.12</v>
          </cell>
        </row>
        <row r="672">
          <cell r="A672" t="str">
            <v>00301652</v>
          </cell>
          <cell r="B672" t="str">
            <v>JST   PROF U/COAT  LIGHT GREY 0000001250</v>
          </cell>
          <cell r="C672" t="str">
            <v>Solvent Undercoat</v>
          </cell>
          <cell r="D672">
            <v>9.7799999999999994</v>
          </cell>
          <cell r="E672">
            <v>53.72</v>
          </cell>
          <cell r="F672">
            <v>6</v>
          </cell>
          <cell r="G672">
            <v>15</v>
          </cell>
          <cell r="H672">
            <v>13.69</v>
          </cell>
        </row>
        <row r="673">
          <cell r="A673" t="str">
            <v>00389447</v>
          </cell>
          <cell r="B673" t="str">
            <v>FD JST STAINAWAY MIXED COLOUR 0000001250</v>
          </cell>
          <cell r="C673" t="str">
            <v>Stainaway</v>
          </cell>
          <cell r="D673">
            <v>32.44</v>
          </cell>
          <cell r="E673">
            <v>52.68</v>
          </cell>
          <cell r="F673">
            <v>2</v>
          </cell>
          <cell r="G673">
            <v>5</v>
          </cell>
          <cell r="H673">
            <v>25.66</v>
          </cell>
        </row>
        <row r="674">
          <cell r="A674" t="str">
            <v>00727888</v>
          </cell>
          <cell r="B674" t="str">
            <v>HODGS LINSEED OIL PUTTY 5KG  00000001500</v>
          </cell>
          <cell r="C674" t="str">
            <v>Putty</v>
          </cell>
          <cell r="D674">
            <v>4.43</v>
          </cell>
          <cell r="E674">
            <v>51.91</v>
          </cell>
          <cell r="F674">
            <v>13</v>
          </cell>
          <cell r="G674">
            <v>65</v>
          </cell>
          <cell r="H674">
            <v>4.8730000000000002</v>
          </cell>
        </row>
        <row r="675">
          <cell r="A675" t="str">
            <v>00264785</v>
          </cell>
          <cell r="B675" t="str">
            <v>LL    UNDERCOAT    WHITE      0000001250</v>
          </cell>
          <cell r="C675" t="str">
            <v>Solvent Undercoat</v>
          </cell>
          <cell r="D675">
            <v>10.48</v>
          </cell>
          <cell r="E675">
            <v>51.91</v>
          </cell>
          <cell r="F675">
            <v>6</v>
          </cell>
          <cell r="G675">
            <v>15</v>
          </cell>
          <cell r="H675">
            <v>9.7568800000000007</v>
          </cell>
        </row>
        <row r="676">
          <cell r="A676" t="str">
            <v>00289133</v>
          </cell>
          <cell r="B676" t="str">
            <v>PREP 88                     0000AMEU2100</v>
          </cell>
          <cell r="C676" t="str">
            <v>PMC</v>
          </cell>
          <cell r="D676">
            <v>122.06</v>
          </cell>
          <cell r="E676">
            <v>51.87</v>
          </cell>
          <cell r="F676">
            <v>1</v>
          </cell>
          <cell r="G676">
            <v>10</v>
          </cell>
          <cell r="H676">
            <v>109.85</v>
          </cell>
        </row>
        <row r="677">
          <cell r="A677" t="str">
            <v>00608176</v>
          </cell>
          <cell r="B677" t="str">
            <v>ARTEX FIBATAPE 90M PERFECT    FINISH</v>
          </cell>
          <cell r="C677" t="str">
            <v>Artex</v>
          </cell>
          <cell r="D677">
            <v>6.86</v>
          </cell>
          <cell r="E677">
            <v>51.8</v>
          </cell>
          <cell r="F677">
            <v>9</v>
          </cell>
          <cell r="G677">
            <v>9</v>
          </cell>
          <cell r="H677">
            <v>6.3866600000000009</v>
          </cell>
        </row>
        <row r="678">
          <cell r="A678" t="str">
            <v>00739391</v>
          </cell>
          <cell r="B678" t="str">
            <v>RODO  DISPOSABLE   X LARGE    COVERALL</v>
          </cell>
          <cell r="C678" t="str">
            <v>RODO</v>
          </cell>
          <cell r="D678">
            <v>7.43</v>
          </cell>
          <cell r="E678">
            <v>51.68</v>
          </cell>
          <cell r="F678">
            <v>12</v>
          </cell>
          <cell r="G678">
            <v>12</v>
          </cell>
          <cell r="H678">
            <v>6.43</v>
          </cell>
        </row>
        <row r="679">
          <cell r="A679" t="str">
            <v>00301914</v>
          </cell>
          <cell r="B679" t="str">
            <v>JST   MATT W/STAIN CLEAR      0000001500</v>
          </cell>
          <cell r="C679" t="str">
            <v>Woodstain</v>
          </cell>
          <cell r="D679">
            <v>29.65</v>
          </cell>
          <cell r="E679">
            <v>51.56</v>
          </cell>
          <cell r="F679">
            <v>2</v>
          </cell>
          <cell r="G679">
            <v>10</v>
          </cell>
          <cell r="H679">
            <v>27.604150000000001</v>
          </cell>
        </row>
        <row r="680">
          <cell r="A680" t="str">
            <v>00737756</v>
          </cell>
          <cell r="B680" t="str">
            <v>EWI   H1 ECO 115MM MAX 80MM INSULATION</v>
          </cell>
          <cell r="C680" t="str">
            <v>EWI</v>
          </cell>
          <cell r="D680">
            <v>19.73</v>
          </cell>
          <cell r="E680">
            <v>51.48</v>
          </cell>
          <cell r="F680">
            <v>3</v>
          </cell>
          <cell r="G680">
            <v>3</v>
          </cell>
          <cell r="H680">
            <v>19.73</v>
          </cell>
        </row>
        <row r="681">
          <cell r="A681" t="str">
            <v>00611871</v>
          </cell>
          <cell r="B681" t="str">
            <v>ARTEX EASIFILLER   READYMIXED 0000001100</v>
          </cell>
          <cell r="C681" t="str">
            <v>Artex</v>
          </cell>
          <cell r="D681">
            <v>9.51</v>
          </cell>
          <cell r="E681">
            <v>51.31</v>
          </cell>
          <cell r="F681">
            <v>7</v>
          </cell>
          <cell r="G681">
            <v>7</v>
          </cell>
          <cell r="H681">
            <v>8.8538100000000011</v>
          </cell>
        </row>
        <row r="682">
          <cell r="A682" t="str">
            <v>00305331</v>
          </cell>
          <cell r="B682" t="str">
            <v>FD JS JONMAT       MIXED COL  0000001500</v>
          </cell>
          <cell r="C682" t="str">
            <v>Contract matt</v>
          </cell>
          <cell r="D682">
            <v>11.78</v>
          </cell>
          <cell r="E682">
            <v>51.2</v>
          </cell>
          <cell r="F682">
            <v>5</v>
          </cell>
          <cell r="G682">
            <v>25</v>
          </cell>
          <cell r="H682">
            <v>10.967180000000001</v>
          </cell>
        </row>
        <row r="683">
          <cell r="A683" t="str">
            <v>00301511</v>
          </cell>
          <cell r="B683" t="str">
            <v>JST   COVAPLUS     BLACK      0000001250</v>
          </cell>
          <cell r="C683" t="str">
            <v>Vinyl matt</v>
          </cell>
          <cell r="D683">
            <v>9.44</v>
          </cell>
          <cell r="E683">
            <v>51.18</v>
          </cell>
          <cell r="F683">
            <v>6</v>
          </cell>
          <cell r="G683">
            <v>15</v>
          </cell>
          <cell r="H683">
            <v>6.57</v>
          </cell>
        </row>
        <row r="684">
          <cell r="A684" t="str">
            <v>00305055</v>
          </cell>
          <cell r="B684" t="str">
            <v>FD JS ACRYL SATIN  MIXED COL  0000001100</v>
          </cell>
          <cell r="C684" t="str">
            <v>Acrylic Satin</v>
          </cell>
          <cell r="D684">
            <v>14.6</v>
          </cell>
          <cell r="E684">
            <v>50.76</v>
          </cell>
          <cell r="F684">
            <v>4</v>
          </cell>
          <cell r="G684">
            <v>4</v>
          </cell>
          <cell r="H684">
            <v>13.592600000000001</v>
          </cell>
        </row>
        <row r="685">
          <cell r="A685" t="str">
            <v>00305738</v>
          </cell>
          <cell r="B685" t="str">
            <v>FD LL V/SOFT SHEEN MIXED COL  0000001500</v>
          </cell>
          <cell r="C685" t="str">
            <v>Soft Sheen</v>
          </cell>
          <cell r="D685">
            <v>11.62</v>
          </cell>
          <cell r="E685">
            <v>50.5</v>
          </cell>
          <cell r="F685">
            <v>5</v>
          </cell>
          <cell r="G685">
            <v>25</v>
          </cell>
          <cell r="H685">
            <v>13.943999999999999</v>
          </cell>
        </row>
        <row r="686">
          <cell r="A686" t="str">
            <v>00264862</v>
          </cell>
          <cell r="B686" t="str">
            <v>LL    VINYL SILK   MAGNOLIA   0000001250</v>
          </cell>
          <cell r="C686" t="str">
            <v>Vinyl Silk</v>
          </cell>
          <cell r="D686">
            <v>13.42</v>
          </cell>
          <cell r="E686">
            <v>50.4</v>
          </cell>
          <cell r="F686">
            <v>4</v>
          </cell>
          <cell r="G686">
            <v>10</v>
          </cell>
          <cell r="H686">
            <v>7.85</v>
          </cell>
        </row>
        <row r="687">
          <cell r="A687" t="str">
            <v>00264639</v>
          </cell>
          <cell r="B687" t="str">
            <v>LL    GLOSS        BLACK      0000001250</v>
          </cell>
          <cell r="C687" t="str">
            <v>Solvent Gloss</v>
          </cell>
          <cell r="D687">
            <v>14.19</v>
          </cell>
          <cell r="E687">
            <v>50.31</v>
          </cell>
          <cell r="F687">
            <v>4</v>
          </cell>
          <cell r="G687">
            <v>10</v>
          </cell>
          <cell r="H687">
            <v>13.76</v>
          </cell>
        </row>
        <row r="688">
          <cell r="A688" t="str">
            <v>00717188</v>
          </cell>
          <cell r="B688" t="str">
            <v>PURDY XL MON ELITE 3" BRUSH</v>
          </cell>
          <cell r="C688" t="str">
            <v>Brush</v>
          </cell>
          <cell r="D688">
            <v>18.61</v>
          </cell>
          <cell r="E688">
            <v>50.16</v>
          </cell>
          <cell r="F688">
            <v>3</v>
          </cell>
          <cell r="G688">
            <v>3</v>
          </cell>
          <cell r="H688">
            <v>17.32591</v>
          </cell>
        </row>
        <row r="689">
          <cell r="A689" t="str">
            <v>00264732</v>
          </cell>
          <cell r="B689" t="str">
            <v>LL    T/G SMTH 15Y MAGNOLIA   0000002100</v>
          </cell>
          <cell r="C689" t="str">
            <v>Smooth masonry</v>
          </cell>
          <cell r="D689">
            <v>26.65</v>
          </cell>
          <cell r="E689">
            <v>50.04</v>
          </cell>
          <cell r="F689">
            <v>2</v>
          </cell>
          <cell r="G689">
            <v>20</v>
          </cell>
          <cell r="H689">
            <v>24.811150000000001</v>
          </cell>
        </row>
        <row r="690">
          <cell r="A690" t="str">
            <v>00730744</v>
          </cell>
          <cell r="B690" t="str">
            <v>FATEV FHEV TROUSER 32" WHITE</v>
          </cell>
          <cell r="C690" t="str">
            <v>Trousers</v>
          </cell>
          <cell r="D690">
            <v>27.43</v>
          </cell>
          <cell r="E690">
            <v>49.61</v>
          </cell>
          <cell r="F690">
            <v>2</v>
          </cell>
          <cell r="G690">
            <v>2</v>
          </cell>
          <cell r="H690">
            <v>25.537330000000001</v>
          </cell>
        </row>
        <row r="691">
          <cell r="A691" t="str">
            <v>00301817</v>
          </cell>
          <cell r="B691" t="str">
            <v>JST   QD HB ZINC   RED OXIDE  0000001500</v>
          </cell>
          <cell r="C691" t="str">
            <v>Primer</v>
          </cell>
          <cell r="D691">
            <v>26.37</v>
          </cell>
          <cell r="E691">
            <v>49.52</v>
          </cell>
          <cell r="F691">
            <v>2</v>
          </cell>
          <cell r="G691">
            <v>10</v>
          </cell>
          <cell r="H691">
            <v>24.550470000000001</v>
          </cell>
        </row>
        <row r="692">
          <cell r="A692" t="str">
            <v>00730753</v>
          </cell>
          <cell r="B692" t="str">
            <v>FATEV BIB &amp; BRACE  36-38" MED WHITE</v>
          </cell>
          <cell r="C692" t="str">
            <v>Bib &amp; Brace</v>
          </cell>
          <cell r="D692">
            <v>52.41</v>
          </cell>
          <cell r="E692">
            <v>49.19</v>
          </cell>
          <cell r="F692">
            <v>1</v>
          </cell>
          <cell r="G692">
            <v>1</v>
          </cell>
          <cell r="H692">
            <v>48.793709999999997</v>
          </cell>
        </row>
        <row r="693">
          <cell r="A693" t="str">
            <v>00730755</v>
          </cell>
          <cell r="B693" t="str">
            <v>FATEV BIB &amp; BRACE  44-46" XL  WHITE</v>
          </cell>
          <cell r="C693" t="str">
            <v>Bib &amp; Brace</v>
          </cell>
          <cell r="D693">
            <v>52.41</v>
          </cell>
          <cell r="E693">
            <v>49.19</v>
          </cell>
          <cell r="F693">
            <v>1</v>
          </cell>
          <cell r="G693">
            <v>1</v>
          </cell>
          <cell r="H693">
            <v>48.793709999999997</v>
          </cell>
        </row>
        <row r="694">
          <cell r="A694" t="str">
            <v>00730757</v>
          </cell>
          <cell r="B694" t="str">
            <v>FATEV BIB &amp; BRACE  52-54"XXXL WHITE</v>
          </cell>
          <cell r="C694" t="str">
            <v>Bib &amp; Brace</v>
          </cell>
          <cell r="D694">
            <v>56.58</v>
          </cell>
          <cell r="E694">
            <v>49.19</v>
          </cell>
          <cell r="F694">
            <v>2</v>
          </cell>
          <cell r="G694">
            <v>2</v>
          </cell>
          <cell r="H694">
            <v>52.41</v>
          </cell>
        </row>
        <row r="695">
          <cell r="A695" t="str">
            <v>00423863</v>
          </cell>
          <cell r="B695" t="str">
            <v>FD JS CLEAN MATT   MIXED      0000001500</v>
          </cell>
          <cell r="C695" t="str">
            <v>Cleanable Matt</v>
          </cell>
          <cell r="D695">
            <v>51.67</v>
          </cell>
          <cell r="E695">
            <v>48.52</v>
          </cell>
          <cell r="F695">
            <v>1</v>
          </cell>
          <cell r="G695">
            <v>5</v>
          </cell>
          <cell r="H695">
            <v>33.72</v>
          </cell>
        </row>
        <row r="696">
          <cell r="A696" t="str">
            <v>00730746</v>
          </cell>
          <cell r="B696" t="str">
            <v>FATEV FHEV TROUSER 36" WHITE</v>
          </cell>
          <cell r="C696" t="str">
            <v>Trousers</v>
          </cell>
          <cell r="D696">
            <v>27.43</v>
          </cell>
          <cell r="E696">
            <v>47.7</v>
          </cell>
          <cell r="F696">
            <v>2</v>
          </cell>
          <cell r="G696">
            <v>2</v>
          </cell>
          <cell r="H696">
            <v>25.537330000000001</v>
          </cell>
        </row>
        <row r="697">
          <cell r="A697" t="str">
            <v>00303182</v>
          </cell>
          <cell r="B697" t="str">
            <v>FD JS S/CL MASONRY MIXED COL  0000001500</v>
          </cell>
          <cell r="C697" t="str">
            <v>Self cleaning masonry</v>
          </cell>
          <cell r="D697">
            <v>49.84</v>
          </cell>
          <cell r="E697">
            <v>46.8</v>
          </cell>
          <cell r="F697">
            <v>1</v>
          </cell>
          <cell r="G697">
            <v>5</v>
          </cell>
          <cell r="H697">
            <v>46.401040000000009</v>
          </cell>
        </row>
        <row r="698">
          <cell r="A698" t="str">
            <v>00423257</v>
          </cell>
          <cell r="B698" t="str">
            <v>FD JS PERFECT MATT MIXED COL  0000001250</v>
          </cell>
          <cell r="C698" t="str">
            <v>Perfect Matt</v>
          </cell>
          <cell r="D698">
            <v>37.86</v>
          </cell>
          <cell r="E698">
            <v>46.66</v>
          </cell>
          <cell r="F698">
            <v>2</v>
          </cell>
          <cell r="G698">
            <v>5</v>
          </cell>
          <cell r="H698">
            <v>27.04</v>
          </cell>
        </row>
        <row r="699">
          <cell r="A699" t="str">
            <v>00304284</v>
          </cell>
          <cell r="B699" t="str">
            <v>JST   ULTRA PR/SLR BRIL WHITE 0000001250</v>
          </cell>
          <cell r="C699" t="str">
            <v>Primer</v>
          </cell>
          <cell r="D699">
            <v>12.62</v>
          </cell>
          <cell r="E699">
            <v>46.52</v>
          </cell>
          <cell r="F699">
            <v>4</v>
          </cell>
          <cell r="G699">
            <v>10</v>
          </cell>
          <cell r="H699">
            <v>11.749219999999999</v>
          </cell>
        </row>
        <row r="700">
          <cell r="A700" t="str">
            <v>00301905</v>
          </cell>
          <cell r="B700" t="str">
            <v>JST   MATT W/STAIN MAHOGANY   0000001250</v>
          </cell>
          <cell r="C700" t="str">
            <v>Woodstain</v>
          </cell>
          <cell r="D700">
            <v>16.88</v>
          </cell>
          <cell r="E700">
            <v>46.38</v>
          </cell>
          <cell r="F700">
            <v>3</v>
          </cell>
          <cell r="G700">
            <v>7.5</v>
          </cell>
          <cell r="H700">
            <v>15.71528</v>
          </cell>
        </row>
        <row r="701">
          <cell r="A701" t="str">
            <v>00301951</v>
          </cell>
          <cell r="B701" t="str">
            <v>JST   SATIN W/STN  EBONY      0000001250</v>
          </cell>
          <cell r="C701" t="str">
            <v>Woodstain</v>
          </cell>
          <cell r="D701">
            <v>16.88</v>
          </cell>
          <cell r="E701">
            <v>46.38</v>
          </cell>
          <cell r="F701">
            <v>3</v>
          </cell>
          <cell r="G701">
            <v>7.5</v>
          </cell>
          <cell r="H701">
            <v>15.71528</v>
          </cell>
        </row>
        <row r="702">
          <cell r="A702" t="str">
            <v>00305060</v>
          </cell>
          <cell r="B702" t="str">
            <v>FD JS PROF GLOSS   MIXED COL  0000001250</v>
          </cell>
          <cell r="C702" t="str">
            <v>Solvent Gloss</v>
          </cell>
          <cell r="D702">
            <v>12.72</v>
          </cell>
          <cell r="E702">
            <v>46</v>
          </cell>
          <cell r="F702">
            <v>4</v>
          </cell>
          <cell r="G702">
            <v>10</v>
          </cell>
          <cell r="H702">
            <v>14.82</v>
          </cell>
        </row>
        <row r="703">
          <cell r="A703" t="str">
            <v>00305837</v>
          </cell>
          <cell r="B703" t="str">
            <v>FD LL GLOSS        MIXED COL  0000001100</v>
          </cell>
          <cell r="C703" t="str">
            <v>Solvent Gloss</v>
          </cell>
          <cell r="D703">
            <v>8.52</v>
          </cell>
          <cell r="E703">
            <v>45.64</v>
          </cell>
          <cell r="F703">
            <v>6</v>
          </cell>
          <cell r="G703">
            <v>6</v>
          </cell>
          <cell r="H703">
            <v>7.9321200000000003</v>
          </cell>
        </row>
        <row r="704">
          <cell r="A704" t="str">
            <v>00727886</v>
          </cell>
          <cell r="B704" t="str">
            <v>HODGS LINSEED OIL  PUTTY 1KG  0000000100</v>
          </cell>
          <cell r="C704" t="str">
            <v>Putty</v>
          </cell>
          <cell r="D704">
            <v>1.44</v>
          </cell>
          <cell r="E704">
            <v>45.1</v>
          </cell>
          <cell r="F704">
            <v>36</v>
          </cell>
          <cell r="G704">
            <v>3.6</v>
          </cell>
          <cell r="H704">
            <v>1.3406400000000001</v>
          </cell>
        </row>
        <row r="705">
          <cell r="A705" t="str">
            <v>00301678</v>
          </cell>
          <cell r="B705" t="str">
            <v>JST   EGGSHELL     BRIL WHITE 0000001100</v>
          </cell>
          <cell r="C705" t="str">
            <v>Solvent Eggshell</v>
          </cell>
          <cell r="D705">
            <v>7.99</v>
          </cell>
          <cell r="E705">
            <v>45</v>
          </cell>
          <cell r="F705">
            <v>6</v>
          </cell>
          <cell r="G705">
            <v>6</v>
          </cell>
          <cell r="H705">
            <v>7.4386900000000002</v>
          </cell>
        </row>
        <row r="706">
          <cell r="A706" t="str">
            <v>00301481</v>
          </cell>
          <cell r="B706" t="str">
            <v>JST   V/SOFT SHEEN MAGNOLIA   0000002100</v>
          </cell>
          <cell r="C706" t="str">
            <v>Soft Sheen</v>
          </cell>
          <cell r="D706">
            <v>25.79</v>
          </cell>
          <cell r="E706">
            <v>44.86</v>
          </cell>
          <cell r="F706">
            <v>2</v>
          </cell>
          <cell r="G706">
            <v>20</v>
          </cell>
          <cell r="H706">
            <v>24.010490000000001</v>
          </cell>
        </row>
        <row r="707">
          <cell r="A707" t="str">
            <v>00611513</v>
          </cell>
          <cell r="B707" t="str">
            <v>JDONE JOB DONE     BRUSH 2"</v>
          </cell>
          <cell r="C707" t="str">
            <v>Brush</v>
          </cell>
          <cell r="D707">
            <v>1.55</v>
          </cell>
          <cell r="E707">
            <v>44.71</v>
          </cell>
          <cell r="F707">
            <v>31</v>
          </cell>
          <cell r="G707">
            <v>31</v>
          </cell>
          <cell r="H707">
            <v>1.4430500000000002</v>
          </cell>
        </row>
        <row r="708">
          <cell r="A708" t="str">
            <v>00301471</v>
          </cell>
          <cell r="B708" t="str">
            <v>JST   ACRYLIC MATT BRIL WHITE 0000001250</v>
          </cell>
          <cell r="C708" t="str">
            <v>Acrylic Matt</v>
          </cell>
          <cell r="D708">
            <v>12.55</v>
          </cell>
          <cell r="E708">
            <v>44.51</v>
          </cell>
          <cell r="F708">
            <v>4</v>
          </cell>
          <cell r="G708">
            <v>10</v>
          </cell>
          <cell r="H708">
            <v>9.9</v>
          </cell>
        </row>
        <row r="709">
          <cell r="A709" t="str">
            <v>00852419</v>
          </cell>
          <cell r="B709" t="str">
            <v>PGOLD PVA          2.5LT      0000001250</v>
          </cell>
          <cell r="C709" t="str">
            <v>Adhesive</v>
          </cell>
          <cell r="D709">
            <v>10.029999999999999</v>
          </cell>
          <cell r="E709">
            <v>44.3</v>
          </cell>
          <cell r="F709">
            <v>5</v>
          </cell>
          <cell r="G709">
            <v>12.5</v>
          </cell>
          <cell r="H709">
            <v>9.3379300000000001</v>
          </cell>
        </row>
        <row r="710">
          <cell r="A710" t="str">
            <v>00301954</v>
          </cell>
          <cell r="B710" t="str">
            <v>JST   SATIN W/STN  TEAK       0000001250</v>
          </cell>
          <cell r="C710" t="str">
            <v>Woodstain</v>
          </cell>
          <cell r="D710">
            <v>16.88</v>
          </cell>
          <cell r="E710">
            <v>44.04</v>
          </cell>
          <cell r="F710">
            <v>3</v>
          </cell>
          <cell r="G710">
            <v>7.5</v>
          </cell>
          <cell r="H710">
            <v>15.71528</v>
          </cell>
        </row>
        <row r="711">
          <cell r="A711" t="str">
            <v>00301675</v>
          </cell>
          <cell r="B711" t="str">
            <v>JST   EGGSHELL     BLACK      0000001250</v>
          </cell>
          <cell r="C711" t="str">
            <v>Solvent Eggshell</v>
          </cell>
          <cell r="D711">
            <v>16.829999999999998</v>
          </cell>
          <cell r="E711">
            <v>43.89</v>
          </cell>
          <cell r="F711">
            <v>3</v>
          </cell>
          <cell r="G711">
            <v>7.5</v>
          </cell>
          <cell r="H711">
            <v>15.66873</v>
          </cell>
        </row>
        <row r="712">
          <cell r="A712" t="str">
            <v>00717218</v>
          </cell>
          <cell r="B712" t="str">
            <v>PURDY WHITE DOVE   3/8" 9"</v>
          </cell>
          <cell r="C712" t="str">
            <v>Purdy</v>
          </cell>
          <cell r="D712">
            <v>6.63</v>
          </cell>
          <cell r="E712">
            <v>43.87</v>
          </cell>
          <cell r="F712">
            <v>7</v>
          </cell>
          <cell r="G712">
            <v>7</v>
          </cell>
          <cell r="H712">
            <v>6.1725300000000001</v>
          </cell>
        </row>
        <row r="713">
          <cell r="A713" t="str">
            <v>00852827</v>
          </cell>
          <cell r="B713" t="str">
            <v>PGOLD 4" FOAM MINI ROLLER</v>
          </cell>
          <cell r="C713" t="str">
            <v>Roller</v>
          </cell>
          <cell r="D713">
            <v>0.43</v>
          </cell>
          <cell r="E713">
            <v>43.18</v>
          </cell>
          <cell r="F713">
            <v>112</v>
          </cell>
          <cell r="G713">
            <v>112</v>
          </cell>
          <cell r="H713">
            <v>0.40033000000000002</v>
          </cell>
        </row>
        <row r="714">
          <cell r="A714" t="str">
            <v>00732926</v>
          </cell>
          <cell r="B714" t="str">
            <v>FATHG DEC CAULK    WHITE            0295</v>
          </cell>
          <cell r="C714" t="str">
            <v>Caulk</v>
          </cell>
          <cell r="D714">
            <v>1.84</v>
          </cell>
          <cell r="E714">
            <v>42.64</v>
          </cell>
          <cell r="F714">
            <v>26</v>
          </cell>
          <cell r="G714">
            <v>7.67</v>
          </cell>
          <cell r="H714">
            <v>1.7130400000000001</v>
          </cell>
        </row>
        <row r="715">
          <cell r="A715" t="str">
            <v>00301551</v>
          </cell>
          <cell r="B715" t="str">
            <v>JST   JONTEX HIBLD MAGNOLIA   0000002100</v>
          </cell>
          <cell r="C715" t="str">
            <v>High Build masonry</v>
          </cell>
          <cell r="D715">
            <v>45.33</v>
          </cell>
          <cell r="E715">
            <v>42.56</v>
          </cell>
          <cell r="F715">
            <v>1</v>
          </cell>
          <cell r="G715">
            <v>10</v>
          </cell>
          <cell r="H715">
            <v>42.20223</v>
          </cell>
        </row>
        <row r="716">
          <cell r="A716" t="str">
            <v>00308407</v>
          </cell>
          <cell r="B716" t="str">
            <v>JST   AD MULT SURF PRIMER WHI 0000001100</v>
          </cell>
          <cell r="C716" t="str">
            <v>Primer</v>
          </cell>
          <cell r="D716">
            <v>15.75</v>
          </cell>
          <cell r="E716">
            <v>42.17</v>
          </cell>
          <cell r="F716">
            <v>3</v>
          </cell>
          <cell r="G716">
            <v>3</v>
          </cell>
          <cell r="H716">
            <v>14.663250000000001</v>
          </cell>
        </row>
        <row r="717">
          <cell r="A717" t="str">
            <v>00718698</v>
          </cell>
          <cell r="B717" t="str">
            <v>RODO  TAC CLOTHS              (PTR10P)</v>
          </cell>
          <cell r="C717" t="str">
            <v>RODO</v>
          </cell>
          <cell r="D717">
            <v>1.47</v>
          </cell>
          <cell r="E717">
            <v>42.16</v>
          </cell>
          <cell r="F717">
            <v>32</v>
          </cell>
          <cell r="G717">
            <v>32</v>
          </cell>
          <cell r="H717">
            <v>1.3685700000000001</v>
          </cell>
        </row>
        <row r="718">
          <cell r="A718" t="str">
            <v>00735646</v>
          </cell>
          <cell r="B718" t="str">
            <v>MIRKA HIOMANT 50MT 120 GRIT</v>
          </cell>
          <cell r="C718" t="str">
            <v>MIRKA</v>
          </cell>
          <cell r="D718">
            <v>47.56</v>
          </cell>
          <cell r="E718">
            <v>42.11</v>
          </cell>
          <cell r="F718">
            <v>1</v>
          </cell>
          <cell r="G718">
            <v>1</v>
          </cell>
          <cell r="H718">
            <v>44.278360000000006</v>
          </cell>
        </row>
        <row r="719">
          <cell r="A719" t="str">
            <v>00731058</v>
          </cell>
          <cell r="B719" t="str">
            <v>MIRKA ABRANET ECO  150MM P120 10 STK</v>
          </cell>
          <cell r="C719" t="str">
            <v>MIRKA</v>
          </cell>
          <cell r="D719">
            <v>22.71</v>
          </cell>
          <cell r="E719">
            <v>41.87</v>
          </cell>
          <cell r="F719">
            <v>2</v>
          </cell>
          <cell r="G719">
            <v>2</v>
          </cell>
          <cell r="H719">
            <v>21.14301</v>
          </cell>
        </row>
        <row r="720">
          <cell r="A720" t="str">
            <v>00309456</v>
          </cell>
          <cell r="B720" t="str">
            <v>FD JS S/SLD FX U/C MIXED COL  0000001100</v>
          </cell>
          <cell r="C720" t="str">
            <v>Flexible exterior</v>
          </cell>
          <cell r="D720">
            <v>22.09</v>
          </cell>
          <cell r="E720">
            <v>41.86</v>
          </cell>
          <cell r="F720">
            <v>2</v>
          </cell>
          <cell r="G720">
            <v>2</v>
          </cell>
          <cell r="H720">
            <v>8</v>
          </cell>
        </row>
        <row r="721">
          <cell r="A721" t="str">
            <v>00423345</v>
          </cell>
          <cell r="B721" t="str">
            <v>LL    SMART M/SURF BLACK      0000001250</v>
          </cell>
          <cell r="C721" t="str">
            <v>Smart multisurface</v>
          </cell>
          <cell r="D721">
            <v>24.07</v>
          </cell>
          <cell r="E721">
            <v>41.86</v>
          </cell>
          <cell r="F721">
            <v>2</v>
          </cell>
          <cell r="G721">
            <v>5</v>
          </cell>
          <cell r="H721">
            <v>22.409170000000003</v>
          </cell>
        </row>
        <row r="722">
          <cell r="A722" t="str">
            <v>00730773</v>
          </cell>
          <cell r="B722" t="str">
            <v>FATHG FH BIB&amp;BRACE WHITE      48"-50"</v>
          </cell>
          <cell r="C722" t="str">
            <v>Bib &amp; Brace</v>
          </cell>
          <cell r="D722">
            <v>11.56</v>
          </cell>
          <cell r="E722">
            <v>41.8</v>
          </cell>
          <cell r="F722">
            <v>4</v>
          </cell>
          <cell r="G722">
            <v>4</v>
          </cell>
          <cell r="H722">
            <v>16.184000000000001</v>
          </cell>
        </row>
        <row r="723">
          <cell r="A723" t="str">
            <v>00307965</v>
          </cell>
          <cell r="B723" t="str">
            <v>JST   MATT W/STAIN TRANS      0000001242</v>
          </cell>
          <cell r="C723" t="str">
            <v>Woodstain</v>
          </cell>
          <cell r="D723">
            <v>44.47</v>
          </cell>
          <cell r="E723">
            <v>41.76</v>
          </cell>
          <cell r="F723">
            <v>1</v>
          </cell>
          <cell r="G723">
            <v>2.4249999999999998</v>
          </cell>
          <cell r="H723">
            <v>41.40157</v>
          </cell>
        </row>
        <row r="724">
          <cell r="A724" t="str">
            <v>00264572</v>
          </cell>
          <cell r="B724" t="str">
            <v>LL    EGGSHELL     BLACK      0000001250</v>
          </cell>
          <cell r="C724" t="str">
            <v>Solvent Eggshell</v>
          </cell>
          <cell r="D724">
            <v>25.57</v>
          </cell>
          <cell r="E724">
            <v>41.69</v>
          </cell>
          <cell r="F724">
            <v>3</v>
          </cell>
          <cell r="G724">
            <v>7.5</v>
          </cell>
          <cell r="H724">
            <v>14.83</v>
          </cell>
        </row>
        <row r="725">
          <cell r="A725" t="str">
            <v>00730914</v>
          </cell>
          <cell r="B725" t="str">
            <v>BLKRO GRIPPER      GLOVES</v>
          </cell>
          <cell r="C725" t="str">
            <v>Black Rock</v>
          </cell>
          <cell r="D725">
            <v>2.14</v>
          </cell>
          <cell r="E725">
            <v>41.64</v>
          </cell>
          <cell r="F725">
            <v>21</v>
          </cell>
          <cell r="G725">
            <v>21</v>
          </cell>
          <cell r="H725">
            <v>1.9923400000000002</v>
          </cell>
        </row>
        <row r="726">
          <cell r="A726" t="str">
            <v>00736963</v>
          </cell>
          <cell r="B726" t="str">
            <v>MGRR  WHITE SPIRIT 4LTR             1400</v>
          </cell>
          <cell r="C726" t="str">
            <v>Mangers</v>
          </cell>
          <cell r="D726">
            <v>5.67</v>
          </cell>
          <cell r="E726">
            <v>41.54</v>
          </cell>
          <cell r="F726">
            <v>8</v>
          </cell>
          <cell r="G726">
            <v>32</v>
          </cell>
          <cell r="H726">
            <v>6.2370000000000001</v>
          </cell>
        </row>
        <row r="727">
          <cell r="A727" t="str">
            <v>00305825</v>
          </cell>
          <cell r="B727" t="str">
            <v>FD LL VINYL MATT   MIXED COL  0000001100</v>
          </cell>
          <cell r="C727" t="str">
            <v>Vinyl matt</v>
          </cell>
          <cell r="D727">
            <v>6.71</v>
          </cell>
          <cell r="E727">
            <v>41.28</v>
          </cell>
          <cell r="F727">
            <v>12</v>
          </cell>
          <cell r="G727">
            <v>12</v>
          </cell>
          <cell r="H727">
            <v>4.4400000000000004</v>
          </cell>
        </row>
        <row r="728">
          <cell r="A728" t="str">
            <v>00306715</v>
          </cell>
          <cell r="B728" t="str">
            <v>LL    F/DRY SATIN  BRIL WHITE 0000001250</v>
          </cell>
          <cell r="C728" t="str">
            <v>Acrylic Satin</v>
          </cell>
          <cell r="D728">
            <v>23.55</v>
          </cell>
          <cell r="E728">
            <v>40.94</v>
          </cell>
          <cell r="F728">
            <v>2</v>
          </cell>
          <cell r="G728">
            <v>5</v>
          </cell>
          <cell r="H728">
            <v>21.925050000000002</v>
          </cell>
        </row>
        <row r="729">
          <cell r="A729" t="str">
            <v>00636279</v>
          </cell>
          <cell r="B729" t="str">
            <v>MIRKA FLEECE DUST  BAG 1230S</v>
          </cell>
          <cell r="C729" t="str">
            <v>MIRKA</v>
          </cell>
          <cell r="D729">
            <v>50.54</v>
          </cell>
          <cell r="E729">
            <v>40.130000000000003</v>
          </cell>
          <cell r="F729">
            <v>1</v>
          </cell>
          <cell r="G729">
            <v>0</v>
          </cell>
          <cell r="H729">
            <v>47.05274</v>
          </cell>
        </row>
        <row r="730">
          <cell r="A730" t="str">
            <v>00301988</v>
          </cell>
          <cell r="B730" t="str">
            <v>JST   QD WOODSTAIN EBONY      0000001250</v>
          </cell>
          <cell r="C730" t="str">
            <v>Woodstain</v>
          </cell>
          <cell r="D730">
            <v>23.03</v>
          </cell>
          <cell r="E730">
            <v>40.04</v>
          </cell>
          <cell r="F730">
            <v>2</v>
          </cell>
          <cell r="G730">
            <v>5</v>
          </cell>
          <cell r="H730">
            <v>21.440930000000002</v>
          </cell>
        </row>
        <row r="731">
          <cell r="A731" t="str">
            <v>00649894</v>
          </cell>
          <cell r="B731" t="str">
            <v>MIRKA ABRANET RONDEL 225MM P80</v>
          </cell>
          <cell r="C731" t="str">
            <v>MIRKA</v>
          </cell>
          <cell r="D731">
            <v>60.2</v>
          </cell>
          <cell r="E731">
            <v>39.94</v>
          </cell>
          <cell r="F731">
            <v>1</v>
          </cell>
          <cell r="G731">
            <v>1</v>
          </cell>
          <cell r="H731">
            <v>56.046200000000006</v>
          </cell>
        </row>
        <row r="732">
          <cell r="A732" t="str">
            <v>00308138</v>
          </cell>
          <cell r="B732" t="str">
            <v>JST   Q/DRY OPAQUE Z          0000001231</v>
          </cell>
          <cell r="C732" t="str">
            <v>WB Opaque</v>
          </cell>
          <cell r="D732">
            <v>42.52</v>
          </cell>
          <cell r="E732">
            <v>39.92</v>
          </cell>
          <cell r="F732">
            <v>1</v>
          </cell>
          <cell r="G732">
            <v>2.31</v>
          </cell>
          <cell r="H732">
            <v>39.586120000000008</v>
          </cell>
        </row>
        <row r="733">
          <cell r="A733" t="str">
            <v>00264370</v>
          </cell>
          <cell r="B733" t="str">
            <v>LL    ACRY E/SHELL MAGNOLIA   0000001250</v>
          </cell>
          <cell r="C733" t="str">
            <v>Acrylic Eggshell</v>
          </cell>
          <cell r="D733">
            <v>21.84</v>
          </cell>
          <cell r="E733">
            <v>39.5</v>
          </cell>
          <cell r="F733">
            <v>2</v>
          </cell>
          <cell r="G733">
            <v>5</v>
          </cell>
          <cell r="H733">
            <v>9.39</v>
          </cell>
        </row>
        <row r="734">
          <cell r="A734" t="str">
            <v>00736489</v>
          </cell>
          <cell r="B734" t="str">
            <v>UB    SAINDING PAD FINE       PACK 250</v>
          </cell>
          <cell r="C734" t="str">
            <v>Sanding pads</v>
          </cell>
          <cell r="D734">
            <v>0.75</v>
          </cell>
          <cell r="E734">
            <v>39.25</v>
          </cell>
          <cell r="F734">
            <v>69</v>
          </cell>
          <cell r="G734">
            <v>69</v>
          </cell>
          <cell r="H734">
            <v>0.53</v>
          </cell>
        </row>
        <row r="735">
          <cell r="A735" t="str">
            <v>00735643</v>
          </cell>
          <cell r="B735" t="str">
            <v>MIRKA CARATFLEX 5M 180 GRIT</v>
          </cell>
          <cell r="C735" t="str">
            <v>MIRKA</v>
          </cell>
          <cell r="D735">
            <v>11.07</v>
          </cell>
          <cell r="E735">
            <v>39.24</v>
          </cell>
          <cell r="F735">
            <v>4</v>
          </cell>
          <cell r="G735">
            <v>4</v>
          </cell>
          <cell r="H735">
            <v>10.306170000000002</v>
          </cell>
        </row>
        <row r="736">
          <cell r="A736" t="str">
            <v>00737317</v>
          </cell>
          <cell r="B736" t="str">
            <v>EASYL LINING PAPER 1400 SINGL</v>
          </cell>
          <cell r="C736" t="str">
            <v>Wallcovering</v>
          </cell>
          <cell r="D736">
            <v>2.02</v>
          </cell>
          <cell r="E736">
            <v>39.06</v>
          </cell>
          <cell r="F736">
            <v>21</v>
          </cell>
          <cell r="G736">
            <v>21</v>
          </cell>
          <cell r="H736">
            <v>2.02</v>
          </cell>
        </row>
        <row r="737">
          <cell r="A737" t="str">
            <v>00264617</v>
          </cell>
          <cell r="B737" t="str">
            <v>LL    FLOOR PAINT  NIMBUSGREY 0000001500</v>
          </cell>
          <cell r="C737" t="str">
            <v>Floor paint</v>
          </cell>
          <cell r="D737">
            <v>20.74</v>
          </cell>
          <cell r="E737">
            <v>38.94</v>
          </cell>
          <cell r="F737">
            <v>2</v>
          </cell>
          <cell r="G737">
            <v>10</v>
          </cell>
          <cell r="H737">
            <v>19.30894</v>
          </cell>
        </row>
        <row r="738">
          <cell r="A738" t="str">
            <v>00301663</v>
          </cell>
          <cell r="B738" t="str">
            <v>JST   PROF U/COAT  BRIL WHITE 0000001100</v>
          </cell>
          <cell r="C738" t="str">
            <v>Solvent Undercoat</v>
          </cell>
          <cell r="D738">
            <v>7.04</v>
          </cell>
          <cell r="E738">
            <v>38.83</v>
          </cell>
          <cell r="F738">
            <v>7</v>
          </cell>
          <cell r="G738">
            <v>7</v>
          </cell>
          <cell r="H738">
            <v>6.5542400000000001</v>
          </cell>
        </row>
        <row r="739">
          <cell r="A739" t="str">
            <v>00302177</v>
          </cell>
          <cell r="B739" t="str">
            <v>JST   QD VARNISH   CLEAR GLS  0000000750</v>
          </cell>
          <cell r="C739" t="str">
            <v>Varnish</v>
          </cell>
          <cell r="D739">
            <v>6.2</v>
          </cell>
          <cell r="E739">
            <v>38.590000000000003</v>
          </cell>
          <cell r="F739">
            <v>7</v>
          </cell>
          <cell r="G739">
            <v>5.25</v>
          </cell>
          <cell r="H739">
            <v>5.7722000000000007</v>
          </cell>
        </row>
        <row r="740">
          <cell r="A740" t="str">
            <v>00718796</v>
          </cell>
          <cell r="B740" t="str">
            <v>RODO  6" H/D SCRAP BLADES (5) FOR LHWS6</v>
          </cell>
          <cell r="C740" t="str">
            <v>RODO</v>
          </cell>
          <cell r="D740">
            <v>3.63</v>
          </cell>
          <cell r="E740">
            <v>38.42</v>
          </cell>
          <cell r="F740">
            <v>12</v>
          </cell>
          <cell r="G740">
            <v>12</v>
          </cell>
          <cell r="H740">
            <v>3.3795299999999999</v>
          </cell>
        </row>
        <row r="741">
          <cell r="A741" t="str">
            <v>00264712</v>
          </cell>
          <cell r="B741" t="str">
            <v>LL    SUPER LEYTEX MAGNOLIA   0000002150</v>
          </cell>
          <cell r="C741" t="str">
            <v>Contract matt</v>
          </cell>
          <cell r="D741">
            <v>36.22</v>
          </cell>
          <cell r="E741">
            <v>38.08</v>
          </cell>
          <cell r="F741">
            <v>1</v>
          </cell>
          <cell r="G741">
            <v>15</v>
          </cell>
          <cell r="H741">
            <v>17.64</v>
          </cell>
        </row>
        <row r="742">
          <cell r="A742" t="str">
            <v>00736956</v>
          </cell>
          <cell r="B742" t="str">
            <v>MGRR  SUGAR SOAP   CONC 500ML 0000000500</v>
          </cell>
          <cell r="C742" t="str">
            <v>Mangers</v>
          </cell>
          <cell r="D742">
            <v>1.41</v>
          </cell>
          <cell r="E742">
            <v>37.700000000000003</v>
          </cell>
          <cell r="F742">
            <v>30</v>
          </cell>
          <cell r="G742">
            <v>15</v>
          </cell>
          <cell r="H742">
            <v>1.31271</v>
          </cell>
        </row>
        <row r="743">
          <cell r="A743" t="str">
            <v>00734924</v>
          </cell>
          <cell r="B743" t="str">
            <v>BLINE ONE TIME     FILL 500ML TOEBOA0500</v>
          </cell>
          <cell r="C743" t="str">
            <v>BeeLine</v>
          </cell>
          <cell r="D743">
            <v>4.99</v>
          </cell>
          <cell r="E743">
            <v>37.520000000000003</v>
          </cell>
          <cell r="F743">
            <v>8</v>
          </cell>
          <cell r="G743">
            <v>4</v>
          </cell>
          <cell r="H743">
            <v>4.6456900000000001</v>
          </cell>
        </row>
        <row r="744">
          <cell r="A744" t="str">
            <v>00737309</v>
          </cell>
          <cell r="B744" t="str">
            <v>EASYL LINING PAPER 1000 QUAD</v>
          </cell>
          <cell r="C744" t="str">
            <v>Wallcovering</v>
          </cell>
          <cell r="D744">
            <v>5.35</v>
          </cell>
          <cell r="E744">
            <v>37.200000000000003</v>
          </cell>
          <cell r="F744">
            <v>8</v>
          </cell>
          <cell r="G744">
            <v>8</v>
          </cell>
          <cell r="H744">
            <v>5.35</v>
          </cell>
        </row>
        <row r="745">
          <cell r="A745" t="str">
            <v>00719184</v>
          </cell>
          <cell r="B745" t="str">
            <v>BSHM  BRUSHMATE    FLUID            0250</v>
          </cell>
          <cell r="C745" t="str">
            <v>Brushmate</v>
          </cell>
          <cell r="D745">
            <v>7.1</v>
          </cell>
          <cell r="E745">
            <v>37.08</v>
          </cell>
          <cell r="F745">
            <v>6</v>
          </cell>
          <cell r="G745">
            <v>1.5</v>
          </cell>
          <cell r="H745">
            <v>6.6101000000000001</v>
          </cell>
        </row>
        <row r="746">
          <cell r="A746" t="str">
            <v>00302421</v>
          </cell>
          <cell r="B746" t="str">
            <v>JST   TC1 THINNER  &amp; CLEANER  0000001500</v>
          </cell>
          <cell r="C746" t="str">
            <v>Thinner</v>
          </cell>
          <cell r="D746">
            <v>23.17</v>
          </cell>
          <cell r="E746">
            <v>37.01</v>
          </cell>
          <cell r="F746">
            <v>1</v>
          </cell>
          <cell r="G746">
            <v>5</v>
          </cell>
          <cell r="H746">
            <v>23.17</v>
          </cell>
        </row>
        <row r="747">
          <cell r="A747" t="str">
            <v>00614898</v>
          </cell>
          <cell r="B747" t="str">
            <v>MIRKA ABRANET RONDEL 225MM P120</v>
          </cell>
          <cell r="C747" t="str">
            <v>MIRKA</v>
          </cell>
          <cell r="D747">
            <v>60.2</v>
          </cell>
          <cell r="E747">
            <v>36.74</v>
          </cell>
          <cell r="F747">
            <v>1</v>
          </cell>
          <cell r="G747">
            <v>1</v>
          </cell>
          <cell r="H747">
            <v>56.046200000000006</v>
          </cell>
        </row>
        <row r="748">
          <cell r="A748" t="str">
            <v>00853254</v>
          </cell>
          <cell r="B748" t="str">
            <v>PGOLD ROLLER KIT   9 INCH</v>
          </cell>
          <cell r="C748" t="str">
            <v>Roller</v>
          </cell>
          <cell r="D748">
            <v>4.1100000000000003</v>
          </cell>
          <cell r="E748">
            <v>36.72</v>
          </cell>
          <cell r="F748">
            <v>10</v>
          </cell>
          <cell r="G748">
            <v>10</v>
          </cell>
          <cell r="H748">
            <v>3.8264100000000005</v>
          </cell>
        </row>
        <row r="749">
          <cell r="A749" t="str">
            <v>00424016</v>
          </cell>
          <cell r="B749" t="str">
            <v>PROGOLD ABRASIVE PAD FINE (10)</v>
          </cell>
          <cell r="C749" t="str">
            <v>Sanding pads</v>
          </cell>
          <cell r="D749">
            <v>4.3</v>
          </cell>
          <cell r="E749">
            <v>36.200000000000003</v>
          </cell>
          <cell r="F749">
            <v>9</v>
          </cell>
          <cell r="G749">
            <v>9</v>
          </cell>
          <cell r="H749">
            <v>4.0033000000000003</v>
          </cell>
        </row>
        <row r="750">
          <cell r="A750" t="str">
            <v>00301941</v>
          </cell>
          <cell r="B750" t="str">
            <v>JST   SATIN W/STN  ANTIQ PINE 0000000750</v>
          </cell>
          <cell r="C750" t="str">
            <v>Woodstain</v>
          </cell>
          <cell r="D750">
            <v>6.58</v>
          </cell>
          <cell r="E750">
            <v>36.159999999999997</v>
          </cell>
          <cell r="F750">
            <v>6</v>
          </cell>
          <cell r="G750">
            <v>4.5</v>
          </cell>
          <cell r="H750">
            <v>6.1259800000000002</v>
          </cell>
        </row>
        <row r="751">
          <cell r="A751" t="str">
            <v>00424017</v>
          </cell>
          <cell r="B751" t="str">
            <v>PROGOLD ABRASIVE PAD MED (10)</v>
          </cell>
          <cell r="C751" t="str">
            <v>Sanding pads</v>
          </cell>
          <cell r="D751">
            <v>4.38</v>
          </cell>
          <cell r="E751">
            <v>36.130000000000003</v>
          </cell>
          <cell r="F751">
            <v>10</v>
          </cell>
          <cell r="G751">
            <v>10</v>
          </cell>
          <cell r="H751">
            <v>4.0777799999999997</v>
          </cell>
        </row>
        <row r="752">
          <cell r="A752" t="str">
            <v>00264619</v>
          </cell>
          <cell r="B752" t="str">
            <v>LL    FLOOR PAINT  SLATE      0000001500</v>
          </cell>
          <cell r="C752" t="str">
            <v>Floor paint</v>
          </cell>
          <cell r="D752">
            <v>20.74</v>
          </cell>
          <cell r="E752">
            <v>36.06</v>
          </cell>
          <cell r="F752">
            <v>2</v>
          </cell>
          <cell r="G752">
            <v>10</v>
          </cell>
          <cell r="H752">
            <v>19.30894</v>
          </cell>
        </row>
        <row r="753">
          <cell r="A753" t="str">
            <v>00611515</v>
          </cell>
          <cell r="B753" t="str">
            <v>JDONE JOB DONE     B/SET 3PC</v>
          </cell>
          <cell r="C753" t="str">
            <v>Brush</v>
          </cell>
          <cell r="D753">
            <v>7.19</v>
          </cell>
          <cell r="E753">
            <v>35.96</v>
          </cell>
          <cell r="F753">
            <v>8</v>
          </cell>
          <cell r="G753">
            <v>8</v>
          </cell>
          <cell r="H753">
            <v>6.6938900000000006</v>
          </cell>
        </row>
        <row r="754">
          <cell r="A754" t="str">
            <v>00423741</v>
          </cell>
          <cell r="B754" t="str">
            <v>JST   FLORTRED     TILE RED   0000001250</v>
          </cell>
          <cell r="C754" t="str">
            <v>Floor paint</v>
          </cell>
          <cell r="D754">
            <v>13.61</v>
          </cell>
          <cell r="E754">
            <v>35.49</v>
          </cell>
          <cell r="F754">
            <v>3</v>
          </cell>
          <cell r="G754">
            <v>7.5</v>
          </cell>
          <cell r="H754">
            <v>12.670910000000001</v>
          </cell>
        </row>
        <row r="755">
          <cell r="A755" t="str">
            <v>00718685</v>
          </cell>
          <cell r="B755" t="str">
            <v>RODO  PAINT KETTLE            (1EC) 1 LI</v>
          </cell>
          <cell r="C755" t="str">
            <v>RODO</v>
          </cell>
          <cell r="D755">
            <v>2.88</v>
          </cell>
          <cell r="E755">
            <v>35.4</v>
          </cell>
          <cell r="F755">
            <v>14</v>
          </cell>
          <cell r="G755">
            <v>14</v>
          </cell>
          <cell r="H755">
            <v>1.6</v>
          </cell>
        </row>
        <row r="756">
          <cell r="A756" t="str">
            <v>00305839</v>
          </cell>
          <cell r="B756" t="str">
            <v>FD LL EGGSHELL     MIXED COL  0000001500</v>
          </cell>
          <cell r="C756" t="str">
            <v>Solvent Eggshell</v>
          </cell>
          <cell r="D756">
            <v>18.84</v>
          </cell>
          <cell r="E756">
            <v>35.380000000000003</v>
          </cell>
          <cell r="F756">
            <v>2</v>
          </cell>
          <cell r="G756">
            <v>10</v>
          </cell>
          <cell r="H756">
            <v>21.665999999999997</v>
          </cell>
        </row>
        <row r="757">
          <cell r="A757" t="str">
            <v>00441642</v>
          </cell>
          <cell r="B757" t="str">
            <v>GORI 05 EXP DECK WALNU (UK)  78080001250</v>
          </cell>
          <cell r="C757" t="str">
            <v>GORI</v>
          </cell>
          <cell r="D757">
            <v>37.61</v>
          </cell>
          <cell r="E757">
            <v>35.31</v>
          </cell>
          <cell r="F757">
            <v>1</v>
          </cell>
          <cell r="G757">
            <v>2.5</v>
          </cell>
          <cell r="H757">
            <v>35.01491</v>
          </cell>
        </row>
        <row r="758">
          <cell r="A758" t="str">
            <v>00301666</v>
          </cell>
          <cell r="B758" t="str">
            <v>JST   PROF U/COAT  DARK GREY  0000001100</v>
          </cell>
          <cell r="C758" t="str">
            <v>Solvent Undercoat</v>
          </cell>
          <cell r="D758">
            <v>9.52</v>
          </cell>
          <cell r="E758">
            <v>35.1</v>
          </cell>
          <cell r="F758">
            <v>4</v>
          </cell>
          <cell r="G758">
            <v>4</v>
          </cell>
          <cell r="H758">
            <v>8.8631200000000003</v>
          </cell>
        </row>
        <row r="759">
          <cell r="A759" t="str">
            <v>00730920</v>
          </cell>
          <cell r="B759" t="str">
            <v>BLKRO TW/HALF MASK RESPIRATOR A1P2</v>
          </cell>
          <cell r="C759" t="str">
            <v>Black Rock</v>
          </cell>
          <cell r="D759">
            <v>34.229999999999997</v>
          </cell>
          <cell r="E759">
            <v>34.700000000000003</v>
          </cell>
          <cell r="F759">
            <v>1</v>
          </cell>
          <cell r="G759">
            <v>1</v>
          </cell>
          <cell r="H759">
            <v>31.868129999999997</v>
          </cell>
        </row>
        <row r="760">
          <cell r="A760" t="str">
            <v>00115352</v>
          </cell>
          <cell r="B760" t="str">
            <v>THINNER 21-06               0000TREU1500</v>
          </cell>
          <cell r="C760" t="str">
            <v>PMC</v>
          </cell>
          <cell r="D760">
            <v>34.67</v>
          </cell>
          <cell r="E760">
            <v>34.67</v>
          </cell>
          <cell r="F760">
            <v>1</v>
          </cell>
          <cell r="G760">
            <v>5</v>
          </cell>
          <cell r="H760">
            <v>32.277770000000004</v>
          </cell>
        </row>
        <row r="761">
          <cell r="A761" t="str">
            <v>00614993</v>
          </cell>
          <cell r="B761" t="str">
            <v>RODO  PRECISION    TAPE 2"    ATMT003</v>
          </cell>
          <cell r="C761" t="str">
            <v>Tape</v>
          </cell>
          <cell r="D761">
            <v>7.94</v>
          </cell>
          <cell r="E761">
            <v>34.549999999999997</v>
          </cell>
          <cell r="F761">
            <v>5</v>
          </cell>
          <cell r="G761">
            <v>5</v>
          </cell>
          <cell r="H761">
            <v>7.36</v>
          </cell>
        </row>
        <row r="762">
          <cell r="A762" t="str">
            <v>00737913</v>
          </cell>
          <cell r="B762" t="str">
            <v>RODO  8" CAULKER   PLDT002</v>
          </cell>
          <cell r="C762" t="str">
            <v>RODO</v>
          </cell>
          <cell r="D762">
            <v>3.41</v>
          </cell>
          <cell r="E762">
            <v>34.24</v>
          </cell>
          <cell r="F762">
            <v>11</v>
          </cell>
          <cell r="G762">
            <v>11</v>
          </cell>
          <cell r="H762">
            <v>3.41</v>
          </cell>
        </row>
        <row r="763">
          <cell r="A763" t="str">
            <v>00423349</v>
          </cell>
          <cell r="B763" t="str">
            <v>LL    SMART M/SURF BRIL WHITE 0000001500</v>
          </cell>
          <cell r="C763" t="str">
            <v>Smart multisurface</v>
          </cell>
          <cell r="D763">
            <v>36.43</v>
          </cell>
          <cell r="E763">
            <v>34.21</v>
          </cell>
          <cell r="F763">
            <v>1</v>
          </cell>
          <cell r="G763">
            <v>5</v>
          </cell>
          <cell r="H763">
            <v>33.916330000000002</v>
          </cell>
        </row>
        <row r="764">
          <cell r="A764" t="str">
            <v>00738677</v>
          </cell>
          <cell r="B764" t="str">
            <v>RODO  PRECISION    TAPE 1"    ATM001</v>
          </cell>
          <cell r="C764" t="str">
            <v>Tape</v>
          </cell>
          <cell r="D764">
            <v>3</v>
          </cell>
          <cell r="E764">
            <v>34.14</v>
          </cell>
          <cell r="F764">
            <v>13</v>
          </cell>
          <cell r="G764">
            <v>13</v>
          </cell>
          <cell r="H764">
            <v>2.7930000000000001</v>
          </cell>
        </row>
        <row r="765">
          <cell r="A765" t="str">
            <v>00727690</v>
          </cell>
          <cell r="B765" t="str">
            <v>FATHG GP SILICONE  CLEAR</v>
          </cell>
          <cell r="C765" t="str">
            <v>Silicone</v>
          </cell>
          <cell r="D765">
            <v>2.34</v>
          </cell>
          <cell r="E765">
            <v>33.6</v>
          </cell>
          <cell r="F765">
            <v>16</v>
          </cell>
          <cell r="G765">
            <v>16</v>
          </cell>
          <cell r="H765">
            <v>2.1785399999999999</v>
          </cell>
        </row>
        <row r="766">
          <cell r="A766" t="str">
            <v>00954101</v>
          </cell>
          <cell r="B766" t="str">
            <v>K     ROLLER TRAY  9" 330H</v>
          </cell>
          <cell r="C766" t="str">
            <v>Roller</v>
          </cell>
          <cell r="D766">
            <v>2.74</v>
          </cell>
          <cell r="E766">
            <v>33.57</v>
          </cell>
          <cell r="F766">
            <v>15</v>
          </cell>
          <cell r="G766">
            <v>15</v>
          </cell>
          <cell r="H766">
            <v>2.13</v>
          </cell>
        </row>
        <row r="767">
          <cell r="A767" t="str">
            <v>00119507</v>
          </cell>
          <cell r="B767" t="str">
            <v>THINNER 20-05               0000TREU1500</v>
          </cell>
          <cell r="C767" t="str">
            <v>PMC</v>
          </cell>
          <cell r="D767">
            <v>60.24</v>
          </cell>
          <cell r="E767">
            <v>33.14</v>
          </cell>
          <cell r="F767">
            <v>1</v>
          </cell>
          <cell r="G767">
            <v>5</v>
          </cell>
          <cell r="H767">
            <v>54.22</v>
          </cell>
        </row>
        <row r="768">
          <cell r="A768" t="str">
            <v>00723494</v>
          </cell>
          <cell r="B768" t="str">
            <v>K     EXT POLE     4-7'</v>
          </cell>
          <cell r="C768" t="str">
            <v>Extension Pole</v>
          </cell>
          <cell r="D768">
            <v>5.29</v>
          </cell>
          <cell r="E768">
            <v>32.94</v>
          </cell>
          <cell r="F768">
            <v>7</v>
          </cell>
          <cell r="G768">
            <v>7</v>
          </cell>
          <cell r="H768">
            <v>4.9249900000000002</v>
          </cell>
        </row>
        <row r="769">
          <cell r="A769" t="str">
            <v>00238863</v>
          </cell>
          <cell r="B769" t="str">
            <v>SD S'DUR 550 SET (X)        XXXXCCEU1400</v>
          </cell>
          <cell r="C769" t="str">
            <v>PMC</v>
          </cell>
          <cell r="D769">
            <v>220.49</v>
          </cell>
          <cell r="E769">
            <v>32.799999999999997</v>
          </cell>
          <cell r="F769">
            <v>1</v>
          </cell>
          <cell r="G769">
            <v>4</v>
          </cell>
          <cell r="H769">
            <v>205.27619000000001</v>
          </cell>
        </row>
        <row r="770">
          <cell r="A770" t="str">
            <v>00423744</v>
          </cell>
          <cell r="B770" t="str">
            <v>JST   FLORTRED     WHITE      0000001250</v>
          </cell>
          <cell r="C770" t="str">
            <v>Floor paint</v>
          </cell>
          <cell r="D770">
            <v>34.83</v>
          </cell>
          <cell r="E770">
            <v>32.700000000000003</v>
          </cell>
          <cell r="F770">
            <v>1</v>
          </cell>
          <cell r="G770">
            <v>2.5</v>
          </cell>
          <cell r="H770">
            <v>12.67</v>
          </cell>
        </row>
        <row r="771">
          <cell r="A771" t="str">
            <v>00852470</v>
          </cell>
          <cell r="B771" t="str">
            <v>PGOLD SMOOTH       ROLLER 9"</v>
          </cell>
          <cell r="C771" t="str">
            <v>Roller</v>
          </cell>
          <cell r="D771">
            <v>2.11</v>
          </cell>
          <cell r="E771">
            <v>32.46</v>
          </cell>
          <cell r="F771">
            <v>17</v>
          </cell>
          <cell r="G771">
            <v>17</v>
          </cell>
          <cell r="H771">
            <v>1.96441</v>
          </cell>
        </row>
        <row r="772">
          <cell r="A772" t="str">
            <v>00306723</v>
          </cell>
          <cell r="B772" t="str">
            <v>FD LL F/DRY U/COAT MIXED COL  0000001250</v>
          </cell>
          <cell r="C772" t="str">
            <v>Acrylic Undercoat</v>
          </cell>
          <cell r="D772">
            <v>34.409999999999997</v>
          </cell>
          <cell r="E772">
            <v>32.31</v>
          </cell>
          <cell r="F772">
            <v>1</v>
          </cell>
          <cell r="G772">
            <v>2.5</v>
          </cell>
          <cell r="H772">
            <v>17.736499999999999</v>
          </cell>
        </row>
        <row r="773">
          <cell r="A773" t="str">
            <v>00722938</v>
          </cell>
          <cell r="B773" t="str">
            <v>G&amp;B   FRESCO 12011 BUCKINGHAM PG.HR</v>
          </cell>
          <cell r="C773" t="str">
            <v>Wallcovering</v>
          </cell>
          <cell r="D773">
            <v>8.5399999999999991</v>
          </cell>
          <cell r="E773">
            <v>32.08</v>
          </cell>
          <cell r="F773">
            <v>4</v>
          </cell>
          <cell r="G773">
            <v>4</v>
          </cell>
          <cell r="H773">
            <v>7.9860000000000007</v>
          </cell>
        </row>
        <row r="774">
          <cell r="A774" t="str">
            <v>00611466</v>
          </cell>
          <cell r="B774" t="str">
            <v>PGOLD CLASS HYBRID BRUSH 0.5"</v>
          </cell>
          <cell r="C774" t="str">
            <v>Brush</v>
          </cell>
          <cell r="D774">
            <v>2.11</v>
          </cell>
          <cell r="E774">
            <v>31.86</v>
          </cell>
          <cell r="F774">
            <v>17</v>
          </cell>
          <cell r="G774">
            <v>17</v>
          </cell>
          <cell r="H774">
            <v>1.96441</v>
          </cell>
        </row>
        <row r="775">
          <cell r="A775" t="str">
            <v>00423470</v>
          </cell>
          <cell r="B775" t="str">
            <v>JST   PROF GLOSS   MAGNOLIA   0000001250</v>
          </cell>
          <cell r="C775" t="str">
            <v>Solvent Gloss</v>
          </cell>
          <cell r="D775">
            <v>11.76</v>
          </cell>
          <cell r="E775">
            <v>31.48</v>
          </cell>
          <cell r="F775">
            <v>3</v>
          </cell>
          <cell r="G775">
            <v>7.5</v>
          </cell>
          <cell r="H775">
            <v>14.2</v>
          </cell>
        </row>
        <row r="776">
          <cell r="A776" t="str">
            <v>00301636</v>
          </cell>
          <cell r="B776" t="str">
            <v>JST   WOOD PRIMER  WHITE      0000001250</v>
          </cell>
          <cell r="C776" t="str">
            <v>Primer</v>
          </cell>
          <cell r="D776">
            <v>17.239999999999998</v>
          </cell>
          <cell r="E776">
            <v>31.18</v>
          </cell>
          <cell r="F776">
            <v>2</v>
          </cell>
          <cell r="G776">
            <v>5</v>
          </cell>
          <cell r="H776">
            <v>16.050439999999998</v>
          </cell>
        </row>
        <row r="777">
          <cell r="A777" t="str">
            <v>00718885</v>
          </cell>
          <cell r="B777" t="str">
            <v>RODO  4PCK FILLING BLADES     1X50,80,10</v>
          </cell>
          <cell r="C777" t="str">
            <v>RODO</v>
          </cell>
          <cell r="D777">
            <v>3.47</v>
          </cell>
          <cell r="E777">
            <v>30.68</v>
          </cell>
          <cell r="F777">
            <v>10</v>
          </cell>
          <cell r="G777">
            <v>10</v>
          </cell>
          <cell r="H777">
            <v>3.2305700000000002</v>
          </cell>
        </row>
        <row r="778">
          <cell r="A778" t="str">
            <v>00727687</v>
          </cell>
          <cell r="B778" t="str">
            <v>FATHG GP SILICONE  WHITE</v>
          </cell>
          <cell r="C778" t="str">
            <v>Silicone</v>
          </cell>
          <cell r="D778">
            <v>2.34</v>
          </cell>
          <cell r="E778">
            <v>30.65</v>
          </cell>
          <cell r="F778">
            <v>15</v>
          </cell>
          <cell r="G778">
            <v>15</v>
          </cell>
          <cell r="H778">
            <v>2.1785399999999999</v>
          </cell>
        </row>
        <row r="779">
          <cell r="A779" t="str">
            <v>00264797</v>
          </cell>
          <cell r="B779" t="str">
            <v>LL    VINYL MATT   BLACK      0000001100</v>
          </cell>
          <cell r="C779" t="str">
            <v>Vinyl matt</v>
          </cell>
          <cell r="D779">
            <v>10.81</v>
          </cell>
          <cell r="E779">
            <v>30.45</v>
          </cell>
          <cell r="F779">
            <v>3</v>
          </cell>
          <cell r="G779">
            <v>3</v>
          </cell>
          <cell r="H779">
            <v>4.4400000000000004</v>
          </cell>
        </row>
        <row r="780">
          <cell r="A780" t="str">
            <v>00301938</v>
          </cell>
          <cell r="B780" t="str">
            <v>JST   SATIN W/STN  LIGHT OAK  0000000750</v>
          </cell>
          <cell r="C780" t="str">
            <v>Woodstain</v>
          </cell>
          <cell r="D780">
            <v>6.58</v>
          </cell>
          <cell r="E780">
            <v>30.44</v>
          </cell>
          <cell r="F780">
            <v>5</v>
          </cell>
          <cell r="G780">
            <v>3.75</v>
          </cell>
          <cell r="H780">
            <v>6.1259800000000002</v>
          </cell>
        </row>
        <row r="781">
          <cell r="A781" t="str">
            <v>00608353</v>
          </cell>
          <cell r="B781" t="str">
            <v>RODO  5L MINI      SCUTTLE    BPSM</v>
          </cell>
          <cell r="C781" t="str">
            <v>RODO</v>
          </cell>
          <cell r="D781">
            <v>2.5</v>
          </cell>
          <cell r="E781">
            <v>30.21</v>
          </cell>
          <cell r="F781">
            <v>13</v>
          </cell>
          <cell r="G781">
            <v>13</v>
          </cell>
          <cell r="H781">
            <v>2.3275000000000001</v>
          </cell>
        </row>
        <row r="782">
          <cell r="A782" t="str">
            <v>00852810</v>
          </cell>
          <cell r="B782" t="str">
            <v>PGOLD 6X3 MINI TWL DUST SHEET</v>
          </cell>
          <cell r="C782" t="str">
            <v>Dust sheet</v>
          </cell>
          <cell r="D782">
            <v>4.95</v>
          </cell>
          <cell r="E782">
            <v>30.17</v>
          </cell>
          <cell r="F782">
            <v>7</v>
          </cell>
          <cell r="G782">
            <v>7</v>
          </cell>
          <cell r="H782">
            <v>4.6084500000000004</v>
          </cell>
        </row>
        <row r="783">
          <cell r="A783" t="str">
            <v>00264733</v>
          </cell>
          <cell r="B783" t="str">
            <v>LL    T/G SMTH 15Y MUSHROOM   0000001500</v>
          </cell>
          <cell r="C783" t="str">
            <v>Smooth masonry</v>
          </cell>
          <cell r="D783">
            <v>16.010000000000002</v>
          </cell>
          <cell r="E783">
            <v>30.06</v>
          </cell>
          <cell r="F783">
            <v>2</v>
          </cell>
          <cell r="G783">
            <v>10</v>
          </cell>
          <cell r="H783">
            <v>14.905310000000002</v>
          </cell>
        </row>
        <row r="784">
          <cell r="A784" t="str">
            <v>00643622</v>
          </cell>
          <cell r="B784" t="str">
            <v>MIRKA ABRANET P80  81X133MM   BOX 50 541</v>
          </cell>
          <cell r="C784" t="str">
            <v>MIRKA</v>
          </cell>
          <cell r="D784">
            <v>44.84</v>
          </cell>
          <cell r="E784">
            <v>29.99</v>
          </cell>
          <cell r="F784">
            <v>1</v>
          </cell>
          <cell r="G784">
            <v>1</v>
          </cell>
          <cell r="H784">
            <v>40.35</v>
          </cell>
        </row>
        <row r="785">
          <cell r="A785" t="str">
            <v>00852731</v>
          </cell>
          <cell r="B785" t="str">
            <v>EWI   WINDOW PROT  FILM 15MT  FODO07476</v>
          </cell>
          <cell r="C785" t="str">
            <v>EWI</v>
          </cell>
          <cell r="D785">
            <v>7.94</v>
          </cell>
          <cell r="E785">
            <v>29.84</v>
          </cell>
          <cell r="F785">
            <v>4</v>
          </cell>
          <cell r="G785">
            <v>4</v>
          </cell>
          <cell r="H785">
            <v>6.75</v>
          </cell>
        </row>
        <row r="786">
          <cell r="A786" t="str">
            <v>00238761</v>
          </cell>
          <cell r="B786" t="str">
            <v>S'DUR 550 SET WHITE           7000001400</v>
          </cell>
          <cell r="C786" t="str">
            <v>PMC</v>
          </cell>
          <cell r="D786">
            <v>32.619999999999997</v>
          </cell>
          <cell r="E786">
            <v>29.79</v>
          </cell>
          <cell r="F786">
            <v>1</v>
          </cell>
          <cell r="G786">
            <v>0</v>
          </cell>
          <cell r="H786">
            <v>30.369219999999999</v>
          </cell>
        </row>
        <row r="787">
          <cell r="A787" t="str">
            <v>00301981</v>
          </cell>
          <cell r="B787" t="str">
            <v>JST   QD WOODSTAIN ANTIQ PINE 0000000750</v>
          </cell>
          <cell r="C787" t="str">
            <v>Woodstain</v>
          </cell>
          <cell r="D787">
            <v>8.3800000000000008</v>
          </cell>
          <cell r="E787">
            <v>29.74</v>
          </cell>
          <cell r="F787">
            <v>4</v>
          </cell>
          <cell r="G787">
            <v>3</v>
          </cell>
          <cell r="H787">
            <v>7.8017800000000008</v>
          </cell>
        </row>
        <row r="788">
          <cell r="A788" t="str">
            <v>00423620</v>
          </cell>
          <cell r="B788" t="str">
            <v>FD    99 EXTR OPAQ MIXED      0000001250</v>
          </cell>
          <cell r="C788" t="str">
            <v>GORI</v>
          </cell>
          <cell r="D788">
            <v>46.57</v>
          </cell>
          <cell r="E788">
            <v>29.72</v>
          </cell>
          <cell r="F788">
            <v>2</v>
          </cell>
          <cell r="G788">
            <v>5</v>
          </cell>
          <cell r="H788">
            <v>28.8</v>
          </cell>
        </row>
        <row r="789">
          <cell r="A789" t="str">
            <v>00264731</v>
          </cell>
          <cell r="B789" t="str">
            <v>LL    T/G SMTH 15Y MAGNOLIA   0000001500</v>
          </cell>
          <cell r="C789" t="str">
            <v>Smooth masonry</v>
          </cell>
          <cell r="D789">
            <v>16.010000000000002</v>
          </cell>
          <cell r="E789">
            <v>28.95</v>
          </cell>
          <cell r="F789">
            <v>2</v>
          </cell>
          <cell r="G789">
            <v>10</v>
          </cell>
          <cell r="H789">
            <v>14.905310000000002</v>
          </cell>
        </row>
        <row r="790">
          <cell r="A790" t="str">
            <v>00301953</v>
          </cell>
          <cell r="B790" t="str">
            <v>JST   SATIN W/STN  TEAK       0000000750</v>
          </cell>
          <cell r="C790" t="str">
            <v>Woodstain</v>
          </cell>
          <cell r="D790">
            <v>6.58</v>
          </cell>
          <cell r="E790">
            <v>28.6</v>
          </cell>
          <cell r="F790">
            <v>5</v>
          </cell>
          <cell r="G790">
            <v>3.75</v>
          </cell>
          <cell r="H790">
            <v>6.1259800000000002</v>
          </cell>
        </row>
        <row r="791">
          <cell r="A791" t="str">
            <v>00301931</v>
          </cell>
          <cell r="B791" t="str">
            <v>JST   YACHT VARNIS CLEAR      0000000750</v>
          </cell>
          <cell r="C791" t="str">
            <v>Varnish</v>
          </cell>
          <cell r="D791">
            <v>8.01</v>
          </cell>
          <cell r="E791">
            <v>28.4</v>
          </cell>
          <cell r="F791">
            <v>4</v>
          </cell>
          <cell r="G791">
            <v>3</v>
          </cell>
          <cell r="H791">
            <v>7.4573100000000005</v>
          </cell>
        </row>
        <row r="792">
          <cell r="A792" t="str">
            <v>00423619</v>
          </cell>
          <cell r="B792" t="str">
            <v>FD    99 EXTR OPAQ MIXED      0000000750</v>
          </cell>
          <cell r="C792" t="str">
            <v>GORI</v>
          </cell>
          <cell r="D792">
            <v>15.67</v>
          </cell>
          <cell r="E792">
            <v>28.33</v>
          </cell>
          <cell r="F792">
            <v>2</v>
          </cell>
          <cell r="G792">
            <v>1.5</v>
          </cell>
          <cell r="H792">
            <v>14.58877</v>
          </cell>
        </row>
        <row r="793">
          <cell r="A793" t="str">
            <v>00724421</v>
          </cell>
          <cell r="B793" t="str">
            <v>RODO  FIBREGLASS   POLE HANDL PFGP (REPL</v>
          </cell>
          <cell r="C793" t="str">
            <v>RODO</v>
          </cell>
          <cell r="D793">
            <v>8.0399999999999991</v>
          </cell>
          <cell r="E793">
            <v>27.96</v>
          </cell>
          <cell r="F793">
            <v>4</v>
          </cell>
          <cell r="G793">
            <v>4</v>
          </cell>
          <cell r="H793">
            <v>7.46</v>
          </cell>
        </row>
        <row r="794">
          <cell r="A794" t="str">
            <v>00614849</v>
          </cell>
          <cell r="B794" t="str">
            <v>CORAL PAPERWIZ     FLEX</v>
          </cell>
          <cell r="C794" t="str">
            <v>Blades</v>
          </cell>
          <cell r="D794">
            <v>4.4000000000000004</v>
          </cell>
          <cell r="E794">
            <v>27.92</v>
          </cell>
          <cell r="F794">
            <v>11</v>
          </cell>
          <cell r="G794">
            <v>11</v>
          </cell>
          <cell r="H794">
            <v>4.0964000000000009</v>
          </cell>
        </row>
        <row r="795">
          <cell r="A795" t="str">
            <v>00301882</v>
          </cell>
          <cell r="B795" t="str">
            <v>JST   MATT W/STAIN EBONY      0000001500</v>
          </cell>
          <cell r="C795" t="str">
            <v>Woodstain</v>
          </cell>
          <cell r="D795">
            <v>29.65</v>
          </cell>
          <cell r="E795">
            <v>27.84</v>
          </cell>
          <cell r="F795">
            <v>1</v>
          </cell>
          <cell r="G795">
            <v>5</v>
          </cell>
          <cell r="H795">
            <v>27.604150000000001</v>
          </cell>
        </row>
        <row r="796">
          <cell r="A796" t="str">
            <v>00649644</v>
          </cell>
          <cell r="B796" t="str">
            <v>LEYTS DEC CAULK    WHI 380ML  (12)</v>
          </cell>
          <cell r="C796" t="str">
            <v>Caulk</v>
          </cell>
          <cell r="D796">
            <v>16.010000000000002</v>
          </cell>
          <cell r="E796">
            <v>27.84</v>
          </cell>
          <cell r="F796">
            <v>2</v>
          </cell>
          <cell r="G796">
            <v>2</v>
          </cell>
          <cell r="H796">
            <v>14.82</v>
          </cell>
        </row>
        <row r="797">
          <cell r="A797" t="str">
            <v>00423528</v>
          </cell>
          <cell r="B797" t="str">
            <v>PGOLD DEC CAULK    WHITE 300M 0000000300</v>
          </cell>
          <cell r="C797" t="str">
            <v>Caulk</v>
          </cell>
          <cell r="D797">
            <v>1.84</v>
          </cell>
          <cell r="E797">
            <v>27.68</v>
          </cell>
          <cell r="F797">
            <v>16</v>
          </cell>
          <cell r="G797">
            <v>4.8</v>
          </cell>
          <cell r="H797">
            <v>1.7130400000000001</v>
          </cell>
        </row>
        <row r="798">
          <cell r="A798" t="str">
            <v>00423527</v>
          </cell>
          <cell r="B798" t="str">
            <v>PGOLD SO/FREE GRAB ADHESIVE   0000000300</v>
          </cell>
          <cell r="C798" t="str">
            <v>Adhesive</v>
          </cell>
          <cell r="D798">
            <v>5.88</v>
          </cell>
          <cell r="E798">
            <v>27.6</v>
          </cell>
          <cell r="F798">
            <v>5</v>
          </cell>
          <cell r="G798">
            <v>1.5</v>
          </cell>
          <cell r="H798">
            <v>5.4742800000000003</v>
          </cell>
        </row>
        <row r="799">
          <cell r="A799" t="str">
            <v>00267882</v>
          </cell>
          <cell r="B799" t="str">
            <v>MANGR DEC SPONGES  (24)</v>
          </cell>
          <cell r="C799" t="str">
            <v>Sponge</v>
          </cell>
          <cell r="D799">
            <v>0.95</v>
          </cell>
          <cell r="E799">
            <v>27.31</v>
          </cell>
          <cell r="F799">
            <v>35</v>
          </cell>
          <cell r="G799">
            <v>35</v>
          </cell>
          <cell r="H799">
            <v>0.88444999999999996</v>
          </cell>
        </row>
        <row r="800">
          <cell r="A800" t="str">
            <v>00852444</v>
          </cell>
          <cell r="B800" t="str">
            <v>FROGT GLOSS &amp;SATIN 24MM (1")  104188</v>
          </cell>
          <cell r="C800" t="str">
            <v>Tape</v>
          </cell>
          <cell r="D800">
            <v>6.27</v>
          </cell>
          <cell r="E800">
            <v>27.25</v>
          </cell>
          <cell r="F800">
            <v>5</v>
          </cell>
          <cell r="G800">
            <v>5</v>
          </cell>
          <cell r="H800">
            <v>5.8373699999999999</v>
          </cell>
        </row>
        <row r="801">
          <cell r="A801" t="str">
            <v>00264706</v>
          </cell>
          <cell r="B801" t="str">
            <v>LL    SUPER LEYTEX BRIL WHITE 0000002100</v>
          </cell>
          <cell r="C801" t="str">
            <v>Contract matt</v>
          </cell>
          <cell r="D801">
            <v>27.22</v>
          </cell>
          <cell r="E801">
            <v>27.16</v>
          </cell>
          <cell r="F801">
            <v>1</v>
          </cell>
          <cell r="G801">
            <v>10</v>
          </cell>
          <cell r="H801">
            <v>13</v>
          </cell>
        </row>
        <row r="802">
          <cell r="A802" t="str">
            <v>00734824</v>
          </cell>
          <cell r="B802" t="str">
            <v>ARTEX EASIFILLER   POWDER     0000001100</v>
          </cell>
          <cell r="C802" t="str">
            <v>Artex</v>
          </cell>
          <cell r="D802">
            <v>6.57</v>
          </cell>
          <cell r="E802">
            <v>26.66</v>
          </cell>
          <cell r="F802">
            <v>5</v>
          </cell>
          <cell r="G802">
            <v>5</v>
          </cell>
          <cell r="H802">
            <v>6.1166700000000009</v>
          </cell>
        </row>
        <row r="803">
          <cell r="A803" t="str">
            <v>00305841</v>
          </cell>
          <cell r="B803" t="str">
            <v>FD LL EGGSHELL     MIXED COL  0000001100</v>
          </cell>
          <cell r="C803" t="str">
            <v>Solvent Eggshell</v>
          </cell>
          <cell r="D803">
            <v>15.34</v>
          </cell>
          <cell r="E803">
            <v>26.66</v>
          </cell>
          <cell r="F803">
            <v>2</v>
          </cell>
          <cell r="G803">
            <v>2</v>
          </cell>
          <cell r="H803">
            <v>14.281540000000001</v>
          </cell>
        </row>
        <row r="804">
          <cell r="A804" t="str">
            <v>00423210</v>
          </cell>
          <cell r="B804" t="str">
            <v>JST   S/SLD SMOOTH PARCHMENT  0000001500</v>
          </cell>
          <cell r="C804" t="str">
            <v>Smooth masonry</v>
          </cell>
          <cell r="D804">
            <v>17.84</v>
          </cell>
          <cell r="E804">
            <v>26.5</v>
          </cell>
          <cell r="F804">
            <v>2</v>
          </cell>
          <cell r="G804">
            <v>10</v>
          </cell>
          <cell r="H804">
            <v>16.60904</v>
          </cell>
        </row>
        <row r="805">
          <cell r="A805" t="str">
            <v>00852803</v>
          </cell>
          <cell r="B805" t="str">
            <v>PGOLD 40 GRIT 10M  ALUM OXIDE</v>
          </cell>
          <cell r="C805" t="str">
            <v>Aluminium Oxide</v>
          </cell>
          <cell r="D805">
            <v>27.83</v>
          </cell>
          <cell r="E805">
            <v>26.13</v>
          </cell>
          <cell r="F805">
            <v>1</v>
          </cell>
          <cell r="G805">
            <v>1</v>
          </cell>
          <cell r="H805">
            <v>25.90973</v>
          </cell>
        </row>
        <row r="806">
          <cell r="A806" t="str">
            <v>00730916</v>
          </cell>
          <cell r="B806" t="str">
            <v>BLKRO LATEX DISP   GLOVESX100 PAIRS</v>
          </cell>
          <cell r="C806" t="str">
            <v>Black Rock</v>
          </cell>
          <cell r="D806">
            <v>4.6100000000000003</v>
          </cell>
          <cell r="E806">
            <v>25.98</v>
          </cell>
          <cell r="F806">
            <v>6</v>
          </cell>
          <cell r="G806">
            <v>6</v>
          </cell>
          <cell r="H806">
            <v>5.0710000000000006</v>
          </cell>
        </row>
        <row r="807">
          <cell r="A807" t="str">
            <v>00739390</v>
          </cell>
          <cell r="B807" t="str">
            <v>RODO  DISPOSABLE   LARGE      COVERALL</v>
          </cell>
          <cell r="C807" t="str">
            <v>RODO</v>
          </cell>
          <cell r="D807">
            <v>7.43</v>
          </cell>
          <cell r="E807">
            <v>25.84</v>
          </cell>
          <cell r="F807">
            <v>10</v>
          </cell>
          <cell r="G807">
            <v>10</v>
          </cell>
          <cell r="H807">
            <v>6.43</v>
          </cell>
        </row>
        <row r="808">
          <cell r="A808" t="str">
            <v>00730747</v>
          </cell>
          <cell r="B808" t="str">
            <v>FATEV FHEV TROUSER 38" WHITE</v>
          </cell>
          <cell r="C808" t="str">
            <v>Trousers</v>
          </cell>
          <cell r="D808">
            <v>27.43</v>
          </cell>
          <cell r="E808">
            <v>25.76</v>
          </cell>
          <cell r="F808">
            <v>1</v>
          </cell>
          <cell r="G808">
            <v>1</v>
          </cell>
          <cell r="H808">
            <v>25.537330000000001</v>
          </cell>
        </row>
        <row r="809">
          <cell r="A809" t="str">
            <v>00853253</v>
          </cell>
          <cell r="B809" t="str">
            <v>PGOLD MINI ROLLER  KIT 4"</v>
          </cell>
          <cell r="C809" t="str">
            <v>Roller</v>
          </cell>
          <cell r="D809">
            <v>1.98</v>
          </cell>
          <cell r="E809">
            <v>25.76</v>
          </cell>
          <cell r="F809">
            <v>15</v>
          </cell>
          <cell r="G809">
            <v>15</v>
          </cell>
          <cell r="H809">
            <v>1.84338</v>
          </cell>
        </row>
        <row r="810">
          <cell r="A810" t="str">
            <v>00736491</v>
          </cell>
          <cell r="B810" t="str">
            <v>UB    SANDING PAD  COARSE</v>
          </cell>
          <cell r="C810" t="str">
            <v>Sanding pads</v>
          </cell>
          <cell r="D810">
            <v>0.4</v>
          </cell>
          <cell r="E810">
            <v>25.36</v>
          </cell>
          <cell r="F810">
            <v>71</v>
          </cell>
          <cell r="G810">
            <v>71</v>
          </cell>
          <cell r="H810">
            <v>0.37240000000000006</v>
          </cell>
        </row>
        <row r="811">
          <cell r="A811" t="str">
            <v>00611393</v>
          </cell>
          <cell r="B811" t="str">
            <v>TESA  ECOVER CW DI 1400MMX33M 59179</v>
          </cell>
          <cell r="C811" t="str">
            <v>Tape</v>
          </cell>
          <cell r="D811">
            <v>4.49</v>
          </cell>
          <cell r="E811">
            <v>25.26</v>
          </cell>
          <cell r="F811">
            <v>1</v>
          </cell>
          <cell r="G811">
            <v>1</v>
          </cell>
          <cell r="H811">
            <v>4.49</v>
          </cell>
        </row>
        <row r="812">
          <cell r="A812" t="str">
            <v>00853115</v>
          </cell>
          <cell r="B812" t="str">
            <v>PGOLD TAPE MEASURE 5M</v>
          </cell>
          <cell r="C812" t="str">
            <v>Tape Measure</v>
          </cell>
          <cell r="D812">
            <v>2.82</v>
          </cell>
          <cell r="E812">
            <v>25.1</v>
          </cell>
          <cell r="F812">
            <v>11</v>
          </cell>
          <cell r="G812">
            <v>11</v>
          </cell>
          <cell r="H812">
            <v>2.6254200000000001</v>
          </cell>
        </row>
        <row r="813">
          <cell r="A813" t="str">
            <v>00646957</v>
          </cell>
          <cell r="B813" t="str">
            <v>EWI   GUN GRADE    FOAM       0000000750</v>
          </cell>
          <cell r="C813" t="str">
            <v>EWI</v>
          </cell>
          <cell r="D813">
            <v>7.14</v>
          </cell>
          <cell r="E813">
            <v>24.8</v>
          </cell>
          <cell r="F813">
            <v>4</v>
          </cell>
          <cell r="G813">
            <v>3</v>
          </cell>
          <cell r="H813">
            <v>7.14</v>
          </cell>
        </row>
        <row r="814">
          <cell r="A814" t="str">
            <v>00353883</v>
          </cell>
          <cell r="B814" t="str">
            <v>JST  WOODWORKS DANISH OIL CLEAR    0750</v>
          </cell>
          <cell r="C814" t="str">
            <v>Oil</v>
          </cell>
          <cell r="D814">
            <v>14.21</v>
          </cell>
          <cell r="E814">
            <v>24.7</v>
          </cell>
          <cell r="F814">
            <v>2</v>
          </cell>
          <cell r="G814">
            <v>1.5</v>
          </cell>
          <cell r="H814">
            <v>13.229510000000001</v>
          </cell>
        </row>
        <row r="815">
          <cell r="A815" t="str">
            <v>00852730</v>
          </cell>
          <cell r="B815" t="str">
            <v>EWI   HYBRID PAINT TAPE 41MT  HPT</v>
          </cell>
          <cell r="C815" t="str">
            <v>EWI</v>
          </cell>
          <cell r="D815">
            <v>5.67</v>
          </cell>
          <cell r="E815">
            <v>24.65</v>
          </cell>
          <cell r="F815">
            <v>5</v>
          </cell>
          <cell r="G815">
            <v>5</v>
          </cell>
          <cell r="H815">
            <v>4.91</v>
          </cell>
        </row>
        <row r="816">
          <cell r="A816" t="str">
            <v>00307665</v>
          </cell>
          <cell r="B816" t="str">
            <v>JST   AQUA WB SAT  BRIL WHITE 0000001100</v>
          </cell>
          <cell r="C816" t="str">
            <v>Aqua Satin</v>
          </cell>
          <cell r="D816">
            <v>8.8000000000000007</v>
          </cell>
          <cell r="E816">
            <v>24.17</v>
          </cell>
          <cell r="F816">
            <v>3</v>
          </cell>
          <cell r="G816">
            <v>3</v>
          </cell>
          <cell r="H816">
            <v>8.8000000000000007</v>
          </cell>
        </row>
        <row r="817">
          <cell r="A817" t="str">
            <v>00608178</v>
          </cell>
          <cell r="B817" t="str">
            <v>ARTEX FIBATAPE 90M XTREME</v>
          </cell>
          <cell r="C817" t="str">
            <v>Artex</v>
          </cell>
          <cell r="D817">
            <v>7.33</v>
          </cell>
          <cell r="E817">
            <v>24.13</v>
          </cell>
          <cell r="F817">
            <v>4</v>
          </cell>
          <cell r="G817">
            <v>4</v>
          </cell>
          <cell r="H817">
            <v>6.6</v>
          </cell>
        </row>
        <row r="818">
          <cell r="A818" t="str">
            <v>00611893</v>
          </cell>
          <cell r="B818" t="str">
            <v>RODO  ICE FUSION   ROLLER KIT PRODEC</v>
          </cell>
          <cell r="C818" t="str">
            <v>RODO</v>
          </cell>
          <cell r="D818">
            <v>13.87</v>
          </cell>
          <cell r="E818">
            <v>24.12</v>
          </cell>
          <cell r="F818">
            <v>2</v>
          </cell>
          <cell r="G818">
            <v>2</v>
          </cell>
          <cell r="H818">
            <v>11.7</v>
          </cell>
        </row>
        <row r="819">
          <cell r="A819" t="str">
            <v>00737332</v>
          </cell>
          <cell r="B819" t="str">
            <v>KNAUF JOINT TAPE   150 MTR</v>
          </cell>
          <cell r="C819" t="str">
            <v>Knauf</v>
          </cell>
          <cell r="D819">
            <v>8.48</v>
          </cell>
          <cell r="E819">
            <v>23.88</v>
          </cell>
          <cell r="F819">
            <v>3</v>
          </cell>
          <cell r="G819">
            <v>3</v>
          </cell>
          <cell r="H819">
            <v>7.34</v>
          </cell>
        </row>
        <row r="820">
          <cell r="A820" t="str">
            <v>00730745</v>
          </cell>
          <cell r="B820" t="str">
            <v>FATEV FHEV TROUSER 34" WHITE</v>
          </cell>
          <cell r="C820" t="str">
            <v>Trousers</v>
          </cell>
          <cell r="D820">
            <v>27.43</v>
          </cell>
          <cell r="E820">
            <v>23.85</v>
          </cell>
          <cell r="F820">
            <v>1</v>
          </cell>
          <cell r="G820">
            <v>1</v>
          </cell>
          <cell r="H820">
            <v>25.537330000000001</v>
          </cell>
        </row>
        <row r="821">
          <cell r="A821" t="str">
            <v>00301983</v>
          </cell>
          <cell r="B821" t="str">
            <v>JST   QD WOODSTAIN WALNUT     0000000750</v>
          </cell>
          <cell r="C821" t="str">
            <v>Woodstain</v>
          </cell>
          <cell r="D821">
            <v>8.3800000000000008</v>
          </cell>
          <cell r="E821">
            <v>23.61</v>
          </cell>
          <cell r="F821">
            <v>3</v>
          </cell>
          <cell r="G821">
            <v>2.25</v>
          </cell>
          <cell r="H821">
            <v>7.8017800000000008</v>
          </cell>
        </row>
        <row r="822">
          <cell r="A822" t="str">
            <v>00305857</v>
          </cell>
          <cell r="B822" t="str">
            <v>JST   UNI PRIMER   RED OXIDE  0000001250</v>
          </cell>
          <cell r="C822" t="str">
            <v>Primer</v>
          </cell>
          <cell r="D822">
            <v>26.7</v>
          </cell>
          <cell r="E822">
            <v>23.21</v>
          </cell>
          <cell r="F822">
            <v>1</v>
          </cell>
          <cell r="G822">
            <v>2.5</v>
          </cell>
          <cell r="H822">
            <v>24.857700000000001</v>
          </cell>
        </row>
        <row r="823">
          <cell r="A823" t="str">
            <v>00301483</v>
          </cell>
          <cell r="B823" t="str">
            <v>JST   V/SOFT SHEEN MAGNOLIA   0000001500</v>
          </cell>
          <cell r="C823" t="str">
            <v>Soft Sheen</v>
          </cell>
          <cell r="D823">
            <v>12.78</v>
          </cell>
          <cell r="E823">
            <v>23.11</v>
          </cell>
          <cell r="F823">
            <v>2</v>
          </cell>
          <cell r="G823">
            <v>10</v>
          </cell>
          <cell r="H823">
            <v>11.89818</v>
          </cell>
        </row>
        <row r="824">
          <cell r="A824" t="str">
            <v>00852678</v>
          </cell>
          <cell r="B824" t="str">
            <v>PGOLD AQUA SYNTH   BRUSH 1"</v>
          </cell>
          <cell r="C824" t="str">
            <v>Brush</v>
          </cell>
          <cell r="D824">
            <v>1.77</v>
          </cell>
          <cell r="E824">
            <v>22.88</v>
          </cell>
          <cell r="F824">
            <v>11</v>
          </cell>
          <cell r="G824">
            <v>11</v>
          </cell>
          <cell r="H824">
            <v>1.6478700000000002</v>
          </cell>
        </row>
        <row r="825">
          <cell r="A825" t="str">
            <v>00301997</v>
          </cell>
          <cell r="B825" t="str">
            <v>JST   QD WOODSTAIN MAHOGANY   0000000750</v>
          </cell>
          <cell r="C825" t="str">
            <v>Woodstain</v>
          </cell>
          <cell r="D825">
            <v>8.3800000000000008</v>
          </cell>
          <cell r="E825">
            <v>22.45</v>
          </cell>
          <cell r="F825">
            <v>3</v>
          </cell>
          <cell r="G825">
            <v>2.25</v>
          </cell>
          <cell r="H825">
            <v>7.8017800000000008</v>
          </cell>
        </row>
        <row r="826">
          <cell r="A826" t="str">
            <v>00730774</v>
          </cell>
          <cell r="B826" t="str">
            <v>FATHG FH BIB&amp;BRACE WHITE      52"-54"</v>
          </cell>
          <cell r="C826" t="str">
            <v>Bib &amp; Brace</v>
          </cell>
          <cell r="D826">
            <v>23.88</v>
          </cell>
          <cell r="E826">
            <v>22.42</v>
          </cell>
          <cell r="F826">
            <v>1</v>
          </cell>
          <cell r="G826">
            <v>1</v>
          </cell>
          <cell r="H826">
            <v>22.232279999999999</v>
          </cell>
        </row>
        <row r="827">
          <cell r="A827" t="str">
            <v>00738158</v>
          </cell>
          <cell r="B827" t="str">
            <v>RODO  PRODEC WALL BRUSH 6 INCH</v>
          </cell>
          <cell r="C827" t="str">
            <v>Brush</v>
          </cell>
          <cell r="D827">
            <v>8.36</v>
          </cell>
          <cell r="E827">
            <v>22.39</v>
          </cell>
          <cell r="F827">
            <v>3</v>
          </cell>
          <cell r="G827">
            <v>3</v>
          </cell>
          <cell r="H827">
            <v>7.7831599999999996</v>
          </cell>
        </row>
        <row r="828">
          <cell r="A828" t="str">
            <v>00264702</v>
          </cell>
          <cell r="B828" t="str">
            <v>LL    O/COAT GLOSS BRIL WHITE 0000000750</v>
          </cell>
          <cell r="C828" t="str">
            <v>Solvent Gloss</v>
          </cell>
          <cell r="D828">
            <v>11.8</v>
          </cell>
          <cell r="E828">
            <v>22.16</v>
          </cell>
          <cell r="F828">
            <v>2</v>
          </cell>
          <cell r="G828">
            <v>1.5</v>
          </cell>
          <cell r="H828">
            <v>10.985800000000001</v>
          </cell>
        </row>
        <row r="829">
          <cell r="A829" t="str">
            <v>00730473</v>
          </cell>
          <cell r="B829" t="str">
            <v>FATHG GRAB ADHESIV SOLVENTED  0000000350</v>
          </cell>
          <cell r="C829" t="str">
            <v>Adhesive</v>
          </cell>
          <cell r="D829">
            <v>4.72</v>
          </cell>
          <cell r="E829">
            <v>22.15</v>
          </cell>
          <cell r="F829">
            <v>5</v>
          </cell>
          <cell r="G829">
            <v>1.75</v>
          </cell>
          <cell r="H829">
            <v>4.3943199999999996</v>
          </cell>
        </row>
        <row r="830">
          <cell r="A830" t="str">
            <v>00727689</v>
          </cell>
          <cell r="B830" t="str">
            <v>FATHG GP SILICONE  BLACK</v>
          </cell>
          <cell r="C830" t="str">
            <v>Silicone</v>
          </cell>
          <cell r="D830">
            <v>3.32</v>
          </cell>
          <cell r="E830">
            <v>21.84</v>
          </cell>
          <cell r="F830">
            <v>7</v>
          </cell>
          <cell r="G830">
            <v>7</v>
          </cell>
          <cell r="H830">
            <v>3.9839999999999995</v>
          </cell>
        </row>
        <row r="831">
          <cell r="A831" t="str">
            <v>00305950</v>
          </cell>
          <cell r="B831" t="str">
            <v>FD JS QD W/S SATIN MIXED COL  0000001250</v>
          </cell>
          <cell r="C831" t="str">
            <v>Woodstain</v>
          </cell>
          <cell r="D831">
            <v>23.03</v>
          </cell>
          <cell r="E831">
            <v>21.8</v>
          </cell>
          <cell r="F831">
            <v>1</v>
          </cell>
          <cell r="G831">
            <v>2.5</v>
          </cell>
          <cell r="H831">
            <v>21.440930000000002</v>
          </cell>
        </row>
        <row r="832">
          <cell r="A832" t="str">
            <v>00731057</v>
          </cell>
          <cell r="B832" t="str">
            <v>MIRKA ABRANET ECO  150MM P80 10 STK</v>
          </cell>
          <cell r="C832" t="str">
            <v>MIRKA</v>
          </cell>
          <cell r="D832">
            <v>21.45</v>
          </cell>
          <cell r="E832">
            <v>21.74</v>
          </cell>
          <cell r="F832">
            <v>1</v>
          </cell>
          <cell r="G832">
            <v>1</v>
          </cell>
          <cell r="H832">
            <v>19.969950000000001</v>
          </cell>
        </row>
        <row r="833">
          <cell r="A833" t="str">
            <v>00301693</v>
          </cell>
          <cell r="B833" t="str">
            <v>JST   S/SLD PLIOLI MUSHROOM   0000001500</v>
          </cell>
          <cell r="C833" t="str">
            <v>Pliolite</v>
          </cell>
          <cell r="D833">
            <v>23.07</v>
          </cell>
          <cell r="E833">
            <v>21.66</v>
          </cell>
          <cell r="F833">
            <v>1</v>
          </cell>
          <cell r="G833">
            <v>5</v>
          </cell>
          <cell r="H833">
            <v>23.07</v>
          </cell>
        </row>
        <row r="834">
          <cell r="A834" t="str">
            <v>00301979</v>
          </cell>
          <cell r="B834" t="str">
            <v>JST   QD WOODSTAIN LIGHT OAK  0000000750</v>
          </cell>
          <cell r="C834" t="str">
            <v>Woodstain</v>
          </cell>
          <cell r="D834">
            <v>8.3800000000000008</v>
          </cell>
          <cell r="E834">
            <v>21.58</v>
          </cell>
          <cell r="F834">
            <v>3</v>
          </cell>
          <cell r="G834">
            <v>2.25</v>
          </cell>
          <cell r="H834">
            <v>7.8017800000000008</v>
          </cell>
        </row>
        <row r="835">
          <cell r="A835" t="str">
            <v>00738576</v>
          </cell>
          <cell r="B835" t="str">
            <v>EWI   SCRATCH RENDER CREAM 25KG</v>
          </cell>
          <cell r="C835" t="str">
            <v>EWI</v>
          </cell>
          <cell r="D835">
            <v>11.04</v>
          </cell>
          <cell r="E835">
            <v>20.74</v>
          </cell>
          <cell r="F835">
            <v>2</v>
          </cell>
          <cell r="G835">
            <v>2</v>
          </cell>
          <cell r="H835">
            <v>11.04</v>
          </cell>
        </row>
        <row r="836">
          <cell r="A836" t="str">
            <v>00647210</v>
          </cell>
          <cell r="B836" t="str">
            <v>QTECH QTECTOR PUMP COND 946ML Q400-010</v>
          </cell>
          <cell r="C836" t="str">
            <v>Qtech</v>
          </cell>
          <cell r="D836">
            <v>19.170000000000002</v>
          </cell>
          <cell r="E836">
            <v>20.48</v>
          </cell>
          <cell r="F836">
            <v>1</v>
          </cell>
          <cell r="G836">
            <v>1</v>
          </cell>
          <cell r="H836">
            <v>17.847270000000002</v>
          </cell>
        </row>
        <row r="837">
          <cell r="A837" t="str">
            <v>00301451</v>
          </cell>
          <cell r="B837" t="str">
            <v>JST   COVAPLUS     IVORY      0000001500</v>
          </cell>
          <cell r="C837" t="str">
            <v>Vinyl matt</v>
          </cell>
          <cell r="D837">
            <v>11.77</v>
          </cell>
          <cell r="E837">
            <v>20.46</v>
          </cell>
          <cell r="F837">
            <v>2</v>
          </cell>
          <cell r="G837">
            <v>10</v>
          </cell>
          <cell r="H837">
            <v>10.95787</v>
          </cell>
        </row>
        <row r="838">
          <cell r="A838" t="str">
            <v>00301461</v>
          </cell>
          <cell r="B838" t="str">
            <v>JST   COVAPLUS     BRIL WHITE 0000001100</v>
          </cell>
          <cell r="C838" t="str">
            <v>Vinyl matt</v>
          </cell>
          <cell r="D838">
            <v>7.64</v>
          </cell>
          <cell r="E838">
            <v>20.45</v>
          </cell>
          <cell r="F838">
            <v>3</v>
          </cell>
          <cell r="G838">
            <v>3</v>
          </cell>
          <cell r="H838">
            <v>4.34</v>
          </cell>
        </row>
        <row r="839">
          <cell r="A839" t="str">
            <v>00301690</v>
          </cell>
          <cell r="B839" t="str">
            <v>JST   S/SLD PLIOLI IVORY      0000001500</v>
          </cell>
          <cell r="C839" t="str">
            <v>Pliolite</v>
          </cell>
          <cell r="D839">
            <v>23.07</v>
          </cell>
          <cell r="E839">
            <v>20.059999999999999</v>
          </cell>
          <cell r="F839">
            <v>1</v>
          </cell>
          <cell r="G839">
            <v>5</v>
          </cell>
          <cell r="H839">
            <v>23.07</v>
          </cell>
        </row>
        <row r="840">
          <cell r="A840" t="str">
            <v>00309454</v>
          </cell>
          <cell r="B840" t="str">
            <v>FD JS S/SLD FX SAT MIXED COL  0000001100</v>
          </cell>
          <cell r="C840" t="str">
            <v>Flexible exterior</v>
          </cell>
          <cell r="D840">
            <v>22.09</v>
          </cell>
          <cell r="E840">
            <v>19.2</v>
          </cell>
          <cell r="F840">
            <v>1</v>
          </cell>
          <cell r="G840">
            <v>1</v>
          </cell>
          <cell r="H840">
            <v>8</v>
          </cell>
        </row>
        <row r="841">
          <cell r="A841" t="str">
            <v>00735640</v>
          </cell>
          <cell r="B841" t="str">
            <v>MIRKA HIOMANT 10MT 60 GRIT</v>
          </cell>
          <cell r="C841" t="str">
            <v>MIRKA</v>
          </cell>
          <cell r="D841">
            <v>20.14</v>
          </cell>
          <cell r="E841">
            <v>19.100000000000001</v>
          </cell>
          <cell r="F841">
            <v>1</v>
          </cell>
          <cell r="G841">
            <v>1</v>
          </cell>
          <cell r="H841">
            <v>18.750340000000001</v>
          </cell>
        </row>
        <row r="842">
          <cell r="A842" t="str">
            <v>00611386</v>
          </cell>
          <cell r="B842" t="str">
            <v>TESA  PR MASK TAPE 50M X 50MM 4334</v>
          </cell>
          <cell r="C842" t="str">
            <v>Tape</v>
          </cell>
          <cell r="D842">
            <v>8.36</v>
          </cell>
          <cell r="E842">
            <v>19</v>
          </cell>
          <cell r="F842">
            <v>4</v>
          </cell>
          <cell r="G842">
            <v>4</v>
          </cell>
          <cell r="H842">
            <v>7.7831599999999996</v>
          </cell>
        </row>
        <row r="843">
          <cell r="A843" t="str">
            <v>00611387</v>
          </cell>
          <cell r="B843" t="str">
            <v>TESA  SEN MASKTAPE 50M X 25MM 4333</v>
          </cell>
          <cell r="C843" t="str">
            <v>Tape</v>
          </cell>
          <cell r="D843">
            <v>5.0999999999999996</v>
          </cell>
          <cell r="E843">
            <v>18.86</v>
          </cell>
          <cell r="F843">
            <v>2</v>
          </cell>
          <cell r="G843">
            <v>2</v>
          </cell>
          <cell r="H843">
            <v>4.7481</v>
          </cell>
        </row>
        <row r="844">
          <cell r="A844" t="str">
            <v>00720474</v>
          </cell>
          <cell r="B844" t="str">
            <v>BSHM  BRUSHMATE    4 PLUS</v>
          </cell>
          <cell r="C844" t="str">
            <v>Brushmate</v>
          </cell>
          <cell r="D844">
            <v>16.27</v>
          </cell>
          <cell r="E844">
            <v>18.78</v>
          </cell>
          <cell r="F844">
            <v>1</v>
          </cell>
          <cell r="G844">
            <v>1</v>
          </cell>
          <cell r="H844">
            <v>15.14737</v>
          </cell>
        </row>
        <row r="845">
          <cell r="A845" t="str">
            <v>00301965</v>
          </cell>
          <cell r="B845" t="str">
            <v>JST   SATIN W/STN  MAHOGANY   0000000750</v>
          </cell>
          <cell r="C845" t="str">
            <v>Woodstain</v>
          </cell>
          <cell r="D845">
            <v>6.58</v>
          </cell>
          <cell r="E845">
            <v>18.079999999999998</v>
          </cell>
          <cell r="F845">
            <v>3</v>
          </cell>
          <cell r="G845">
            <v>2.25</v>
          </cell>
          <cell r="H845">
            <v>6.1259800000000002</v>
          </cell>
        </row>
        <row r="846">
          <cell r="A846" t="str">
            <v>00301944</v>
          </cell>
          <cell r="B846" t="str">
            <v>JST   SATIN W/STN  WALNUT     0000000750</v>
          </cell>
          <cell r="C846" t="str">
            <v>Woodstain</v>
          </cell>
          <cell r="D846">
            <v>6.58</v>
          </cell>
          <cell r="E846">
            <v>18.079999999999998</v>
          </cell>
          <cell r="F846">
            <v>3</v>
          </cell>
          <cell r="G846">
            <v>2.25</v>
          </cell>
          <cell r="H846">
            <v>6.1259800000000002</v>
          </cell>
        </row>
        <row r="847">
          <cell r="A847" t="str">
            <v>00305061</v>
          </cell>
          <cell r="B847" t="str">
            <v>FD JS PROF GLOSS   MIXED COL  0000001100</v>
          </cell>
          <cell r="C847" t="str">
            <v>Solvent Gloss</v>
          </cell>
          <cell r="D847">
            <v>9.52</v>
          </cell>
          <cell r="E847">
            <v>17.88</v>
          </cell>
          <cell r="F847">
            <v>2</v>
          </cell>
          <cell r="G847">
            <v>2</v>
          </cell>
          <cell r="H847">
            <v>8.89</v>
          </cell>
        </row>
        <row r="848">
          <cell r="A848" t="str">
            <v>00730766</v>
          </cell>
          <cell r="B848" t="str">
            <v>FATHG FH TROUSERS  WHITE      42"</v>
          </cell>
          <cell r="C848" t="str">
            <v>Trousers</v>
          </cell>
          <cell r="D848">
            <v>20.36</v>
          </cell>
          <cell r="E848">
            <v>17.7</v>
          </cell>
          <cell r="F848">
            <v>7</v>
          </cell>
          <cell r="G848">
            <v>7</v>
          </cell>
          <cell r="H848">
            <v>18.955159999999999</v>
          </cell>
        </row>
        <row r="849">
          <cell r="A849" t="str">
            <v>00717186</v>
          </cell>
          <cell r="B849" t="str">
            <v>PURDY XL MON ELITE 1.5" BRUSH</v>
          </cell>
          <cell r="C849" t="str">
            <v>Brush</v>
          </cell>
          <cell r="D849">
            <v>9.93</v>
          </cell>
          <cell r="E849">
            <v>17.260000000000002</v>
          </cell>
          <cell r="F849">
            <v>2</v>
          </cell>
          <cell r="G849">
            <v>2</v>
          </cell>
          <cell r="H849">
            <v>9.2448300000000003</v>
          </cell>
        </row>
        <row r="850">
          <cell r="A850" t="str">
            <v>00301504</v>
          </cell>
          <cell r="B850" t="str">
            <v>JST   JONMAT       MAGNOLIA   0000001500</v>
          </cell>
          <cell r="C850" t="str">
            <v>Contract matt</v>
          </cell>
          <cell r="D850">
            <v>9.1999999999999993</v>
          </cell>
          <cell r="E850">
            <v>16.64</v>
          </cell>
          <cell r="F850">
            <v>2</v>
          </cell>
          <cell r="G850">
            <v>10</v>
          </cell>
          <cell r="H850">
            <v>8.565199999999999</v>
          </cell>
        </row>
        <row r="851">
          <cell r="A851" t="str">
            <v>00611399</v>
          </cell>
          <cell r="B851" t="str">
            <v>TESA  CRACK R TAPE 10M X 50MM 5225</v>
          </cell>
          <cell r="C851" t="str">
            <v>Tape</v>
          </cell>
          <cell r="D851">
            <v>4.0999999999999996</v>
          </cell>
          <cell r="E851">
            <v>16.54</v>
          </cell>
          <cell r="F851">
            <v>2</v>
          </cell>
          <cell r="G851">
            <v>2</v>
          </cell>
          <cell r="H851">
            <v>3.8170999999999999</v>
          </cell>
        </row>
        <row r="852">
          <cell r="A852" t="str">
            <v>00852921</v>
          </cell>
          <cell r="B852" t="str">
            <v>PGOLD SHORT WOVEN  9" ROLLER</v>
          </cell>
          <cell r="C852" t="str">
            <v>Roller</v>
          </cell>
          <cell r="D852">
            <v>1.78</v>
          </cell>
          <cell r="E852">
            <v>16.46</v>
          </cell>
          <cell r="F852">
            <v>10</v>
          </cell>
          <cell r="G852">
            <v>10</v>
          </cell>
          <cell r="H852">
            <v>1.6571800000000001</v>
          </cell>
        </row>
        <row r="853">
          <cell r="A853" t="str">
            <v>00423478</v>
          </cell>
          <cell r="B853" t="str">
            <v>JST   PROF GLOSS   POST O RED 0000001500</v>
          </cell>
          <cell r="C853" t="str">
            <v>Solvent Gloss</v>
          </cell>
          <cell r="D853">
            <v>18.82</v>
          </cell>
          <cell r="E853">
            <v>16.36</v>
          </cell>
          <cell r="F853">
            <v>1</v>
          </cell>
          <cell r="G853">
            <v>5</v>
          </cell>
          <cell r="H853">
            <v>24.7</v>
          </cell>
        </row>
        <row r="854">
          <cell r="A854" t="str">
            <v>00611487</v>
          </cell>
          <cell r="B854" t="str">
            <v>PGOLD PREM BRISTLE BRUSH 3"</v>
          </cell>
          <cell r="C854" t="str">
            <v>Brush</v>
          </cell>
          <cell r="D854">
            <v>14.38</v>
          </cell>
          <cell r="E854">
            <v>16.329999999999998</v>
          </cell>
          <cell r="F854">
            <v>1</v>
          </cell>
          <cell r="G854">
            <v>1</v>
          </cell>
          <cell r="H854">
            <v>13.387780000000001</v>
          </cell>
        </row>
        <row r="855">
          <cell r="A855" t="str">
            <v>00264575</v>
          </cell>
          <cell r="B855" t="str">
            <v>LL    EGGSHELL     BRIL WHITE 0000001250</v>
          </cell>
          <cell r="C855" t="str">
            <v>Solvent Eggshell</v>
          </cell>
          <cell r="D855">
            <v>17.36</v>
          </cell>
          <cell r="E855">
            <v>16.3</v>
          </cell>
          <cell r="F855">
            <v>1</v>
          </cell>
          <cell r="G855">
            <v>2.5</v>
          </cell>
          <cell r="H855">
            <v>16.16216</v>
          </cell>
        </row>
        <row r="856">
          <cell r="A856" t="str">
            <v>00615350</v>
          </cell>
          <cell r="B856" t="str">
            <v>MIRKA FLEECE       1025L      DUST BAG</v>
          </cell>
          <cell r="C856" t="str">
            <v>MIRKA</v>
          </cell>
          <cell r="D856">
            <v>30.38</v>
          </cell>
          <cell r="E856">
            <v>16.260000000000002</v>
          </cell>
          <cell r="F856">
            <v>1</v>
          </cell>
          <cell r="G856">
            <v>1</v>
          </cell>
          <cell r="H856">
            <v>25.83</v>
          </cell>
        </row>
        <row r="857">
          <cell r="A857" t="str">
            <v>00301687</v>
          </cell>
          <cell r="B857" t="str">
            <v>JST   ALKALI RESIS PRIMER     0000001250</v>
          </cell>
          <cell r="C857" t="str">
            <v>Primer</v>
          </cell>
          <cell r="D857">
            <v>17.239999999999998</v>
          </cell>
          <cell r="E857">
            <v>16.190000000000001</v>
          </cell>
          <cell r="F857">
            <v>1</v>
          </cell>
          <cell r="G857">
            <v>2.5</v>
          </cell>
          <cell r="H857">
            <v>16.050439999999998</v>
          </cell>
        </row>
        <row r="858">
          <cell r="A858" t="str">
            <v>00611384</v>
          </cell>
          <cell r="B858" t="str">
            <v>TESA  PR MASK TAPE 50M X 25MM 4334</v>
          </cell>
          <cell r="C858" t="str">
            <v>Tape</v>
          </cell>
          <cell r="D858">
            <v>4.58</v>
          </cell>
          <cell r="E858">
            <v>15.96</v>
          </cell>
          <cell r="F858">
            <v>2</v>
          </cell>
          <cell r="G858">
            <v>2</v>
          </cell>
          <cell r="H858">
            <v>4.2639800000000001</v>
          </cell>
        </row>
        <row r="859">
          <cell r="A859" t="str">
            <v>00423201</v>
          </cell>
          <cell r="B859" t="str">
            <v>JST   S/SLD SMOOTH BRIL WHITE 0000001250</v>
          </cell>
          <cell r="C859" t="str">
            <v>Smooth masonry</v>
          </cell>
          <cell r="D859">
            <v>12.27</v>
          </cell>
          <cell r="E859">
            <v>15.9</v>
          </cell>
          <cell r="F859">
            <v>2</v>
          </cell>
          <cell r="G859">
            <v>5</v>
          </cell>
          <cell r="H859">
            <v>11.42337</v>
          </cell>
        </row>
        <row r="860">
          <cell r="A860" t="str">
            <v>00301523</v>
          </cell>
          <cell r="B860" t="str">
            <v>JST   S/SLD TEXT   BRIL WHITE 0000001500</v>
          </cell>
          <cell r="C860" t="str">
            <v>Textured masonry</v>
          </cell>
          <cell r="D860">
            <v>16.91</v>
          </cell>
          <cell r="E860">
            <v>15.88</v>
          </cell>
          <cell r="F860">
            <v>1</v>
          </cell>
          <cell r="G860">
            <v>5</v>
          </cell>
          <cell r="H860">
            <v>15.743210000000001</v>
          </cell>
        </row>
        <row r="861">
          <cell r="A861" t="str">
            <v>00301883</v>
          </cell>
          <cell r="B861" t="str">
            <v>JST   MATT W/STAIN EBONY      0000001250</v>
          </cell>
          <cell r="C861" t="str">
            <v>Woodstain</v>
          </cell>
          <cell r="D861">
            <v>16.88</v>
          </cell>
          <cell r="E861">
            <v>15.85</v>
          </cell>
          <cell r="F861">
            <v>1</v>
          </cell>
          <cell r="G861">
            <v>2.5</v>
          </cell>
          <cell r="H861">
            <v>15.71528</v>
          </cell>
        </row>
        <row r="862">
          <cell r="A862" t="str">
            <v>00301876</v>
          </cell>
          <cell r="B862" t="str">
            <v>JST   MATT W/STAIN WALNUT     0000001250</v>
          </cell>
          <cell r="C862" t="str">
            <v>Woodstain</v>
          </cell>
          <cell r="D862">
            <v>16.88</v>
          </cell>
          <cell r="E862">
            <v>15.85</v>
          </cell>
          <cell r="F862">
            <v>1</v>
          </cell>
          <cell r="G862">
            <v>2.5</v>
          </cell>
          <cell r="H862">
            <v>15.71528</v>
          </cell>
        </row>
        <row r="863">
          <cell r="A863" t="str">
            <v>00737617</v>
          </cell>
          <cell r="B863" t="str">
            <v>EWI   ALUM BASETRACK BOX BASE 2.5M 50MM</v>
          </cell>
          <cell r="C863" t="str">
            <v>EWI</v>
          </cell>
          <cell r="D863">
            <v>6.07</v>
          </cell>
          <cell r="E863">
            <v>15.84</v>
          </cell>
          <cell r="F863">
            <v>3</v>
          </cell>
          <cell r="G863">
            <v>3</v>
          </cell>
          <cell r="H863">
            <v>6.07</v>
          </cell>
        </row>
        <row r="864">
          <cell r="A864" t="str">
            <v>00730432</v>
          </cell>
          <cell r="B864" t="str">
            <v>JST   LINSEED OIL  BOILED     0000000500</v>
          </cell>
          <cell r="C864" t="str">
            <v>Oil</v>
          </cell>
          <cell r="D864">
            <v>6.01</v>
          </cell>
          <cell r="E864">
            <v>15.66</v>
          </cell>
          <cell r="F864">
            <v>3</v>
          </cell>
          <cell r="G864">
            <v>1.5</v>
          </cell>
          <cell r="H864">
            <v>5.5953100000000004</v>
          </cell>
        </row>
        <row r="865">
          <cell r="A865" t="str">
            <v>00738573</v>
          </cell>
          <cell r="B865" t="str">
            <v>EWI   ONE COAT RENDER 25KG</v>
          </cell>
          <cell r="C865" t="str">
            <v>EWI</v>
          </cell>
          <cell r="D865">
            <v>8.9600000000000009</v>
          </cell>
          <cell r="E865">
            <v>15.58</v>
          </cell>
          <cell r="F865">
            <v>2</v>
          </cell>
          <cell r="G865">
            <v>2</v>
          </cell>
          <cell r="H865">
            <v>8.9600000000000009</v>
          </cell>
        </row>
        <row r="866">
          <cell r="A866" t="str">
            <v>00611467</v>
          </cell>
          <cell r="B866" t="str">
            <v>PGOLD CLASS HYBRID BRUSH 1"</v>
          </cell>
          <cell r="C866" t="str">
            <v>Brush</v>
          </cell>
          <cell r="D866">
            <v>2.25</v>
          </cell>
          <cell r="E866">
            <v>15.58</v>
          </cell>
          <cell r="F866">
            <v>7</v>
          </cell>
          <cell r="G866">
            <v>7</v>
          </cell>
          <cell r="H866">
            <v>2.0947500000000003</v>
          </cell>
        </row>
        <row r="867">
          <cell r="A867" t="str">
            <v>00301989</v>
          </cell>
          <cell r="B867" t="str">
            <v>JST   QD WOODSTAIN TEAK       0000000750</v>
          </cell>
          <cell r="C867" t="str">
            <v>Woodstain</v>
          </cell>
          <cell r="D867">
            <v>8.3800000000000008</v>
          </cell>
          <cell r="E867">
            <v>15.16</v>
          </cell>
          <cell r="F867">
            <v>2</v>
          </cell>
          <cell r="G867">
            <v>1.5</v>
          </cell>
          <cell r="H867">
            <v>7.8017800000000008</v>
          </cell>
        </row>
        <row r="868">
          <cell r="A868" t="str">
            <v>00305859</v>
          </cell>
          <cell r="B868" t="str">
            <v>JST   UNI PRIMER   BRIL WHITE 0000001100</v>
          </cell>
          <cell r="C868" t="str">
            <v>Primer</v>
          </cell>
          <cell r="D868">
            <v>16.010000000000002</v>
          </cell>
          <cell r="E868">
            <v>15.03</v>
          </cell>
          <cell r="F868">
            <v>1</v>
          </cell>
          <cell r="G868">
            <v>1</v>
          </cell>
          <cell r="H868">
            <v>14.905310000000002</v>
          </cell>
        </row>
        <row r="869">
          <cell r="A869" t="str">
            <v>00304864</v>
          </cell>
          <cell r="B869" t="str">
            <v>JST   POLY VARNISH SAT CLEAR  0000000750</v>
          </cell>
          <cell r="C869" t="str">
            <v>Varnish</v>
          </cell>
          <cell r="D869">
            <v>5.35</v>
          </cell>
          <cell r="E869">
            <v>14.69</v>
          </cell>
          <cell r="F869">
            <v>3</v>
          </cell>
          <cell r="G869">
            <v>2.25</v>
          </cell>
          <cell r="H869">
            <v>4.9808500000000002</v>
          </cell>
        </row>
        <row r="870">
          <cell r="A870" t="str">
            <v>00301915</v>
          </cell>
          <cell r="B870" t="str">
            <v>JST   MATT W/STAIN CLEAR      0000001250</v>
          </cell>
          <cell r="C870" t="str">
            <v>Woodstain</v>
          </cell>
          <cell r="D870">
            <v>16.88</v>
          </cell>
          <cell r="E870">
            <v>14.68</v>
          </cell>
          <cell r="F870">
            <v>1</v>
          </cell>
          <cell r="G870">
            <v>2.5</v>
          </cell>
          <cell r="H870">
            <v>15.71528</v>
          </cell>
        </row>
        <row r="871">
          <cell r="A871" t="str">
            <v>00308368</v>
          </cell>
          <cell r="B871" t="str">
            <v>LL    TESTERPOT    PASTEL BSE 0000000350</v>
          </cell>
          <cell r="C871" t="str">
            <v>Vinyl matt</v>
          </cell>
          <cell r="D871">
            <v>2.81</v>
          </cell>
          <cell r="E871">
            <v>14.64</v>
          </cell>
          <cell r="F871">
            <v>6</v>
          </cell>
          <cell r="G871">
            <v>2.1</v>
          </cell>
          <cell r="H871">
            <v>2.6161100000000004</v>
          </cell>
        </row>
        <row r="872">
          <cell r="A872" t="str">
            <v>00737315</v>
          </cell>
          <cell r="B872" t="str">
            <v>EASYL LINING PAPER 1000 SINGL</v>
          </cell>
          <cell r="C872" t="str">
            <v>Wallcovering</v>
          </cell>
          <cell r="D872">
            <v>1.62</v>
          </cell>
          <cell r="E872">
            <v>14.1</v>
          </cell>
          <cell r="F872">
            <v>10</v>
          </cell>
          <cell r="G872">
            <v>10</v>
          </cell>
          <cell r="H872">
            <v>1.5082200000000001</v>
          </cell>
        </row>
        <row r="873">
          <cell r="A873" t="str">
            <v>00852820</v>
          </cell>
          <cell r="B873" t="str">
            <v>PGOLD 15" DOUBLE   ARM FRAME</v>
          </cell>
          <cell r="C873" t="str">
            <v>Roller</v>
          </cell>
          <cell r="D873">
            <v>14.85</v>
          </cell>
          <cell r="E873">
            <v>13.94</v>
          </cell>
          <cell r="F873">
            <v>1</v>
          </cell>
          <cell r="G873">
            <v>1</v>
          </cell>
          <cell r="H873">
            <v>13.82535</v>
          </cell>
        </row>
        <row r="874">
          <cell r="A874" t="str">
            <v>00300692</v>
          </cell>
          <cell r="B874" t="str">
            <v>LL    T/G SMTH 15Y COUNTY CRM 0000001500</v>
          </cell>
          <cell r="C874" t="str">
            <v>Smooth masonry</v>
          </cell>
          <cell r="D874">
            <v>16.010000000000002</v>
          </cell>
          <cell r="E874">
            <v>13.92</v>
          </cell>
          <cell r="F874">
            <v>1</v>
          </cell>
          <cell r="G874">
            <v>5</v>
          </cell>
          <cell r="H874">
            <v>14.905310000000002</v>
          </cell>
        </row>
        <row r="875">
          <cell r="A875" t="str">
            <v>00608489</v>
          </cell>
          <cell r="B875" t="str">
            <v>MIRKA ABRANET      P120(PK10) DISC 125MM</v>
          </cell>
          <cell r="C875" t="str">
            <v>MIRKA</v>
          </cell>
          <cell r="D875">
            <v>14.68</v>
          </cell>
          <cell r="E875">
            <v>13.79</v>
          </cell>
          <cell r="F875">
            <v>1</v>
          </cell>
          <cell r="G875">
            <v>1</v>
          </cell>
          <cell r="H875">
            <v>13.66708</v>
          </cell>
        </row>
        <row r="876">
          <cell r="A876" t="str">
            <v>00852304</v>
          </cell>
          <cell r="B876" t="str">
            <v>MIRKA ACE HD DELTA P80 PK5    ABRANET</v>
          </cell>
          <cell r="C876" t="str">
            <v>MIRKA</v>
          </cell>
          <cell r="D876">
            <v>12.67</v>
          </cell>
          <cell r="E876">
            <v>13.22</v>
          </cell>
          <cell r="F876">
            <v>1</v>
          </cell>
          <cell r="G876">
            <v>1</v>
          </cell>
          <cell r="H876">
            <v>11.795770000000001</v>
          </cell>
        </row>
        <row r="877">
          <cell r="A877" t="str">
            <v>00730486</v>
          </cell>
          <cell r="B877" t="str">
            <v>FATHG A/P W/C ADH  36 ROLL    0000000790</v>
          </cell>
          <cell r="C877" t="str">
            <v>Adhesive</v>
          </cell>
          <cell r="D877">
            <v>5.33</v>
          </cell>
          <cell r="E877">
            <v>12.75</v>
          </cell>
          <cell r="F877">
            <v>3</v>
          </cell>
          <cell r="G877">
            <v>2.37</v>
          </cell>
          <cell r="H877">
            <v>4.9622299999999999</v>
          </cell>
        </row>
        <row r="878">
          <cell r="A878" t="str">
            <v>00304327</v>
          </cell>
          <cell r="B878" t="str">
            <v>LL    STAB SOLUTIO CLEAR      0000001500</v>
          </cell>
          <cell r="C878" t="str">
            <v>Stabilising Solution</v>
          </cell>
          <cell r="D878">
            <v>14.58</v>
          </cell>
          <cell r="E878">
            <v>12.68</v>
          </cell>
          <cell r="F878">
            <v>1</v>
          </cell>
          <cell r="G878">
            <v>5</v>
          </cell>
          <cell r="H878">
            <v>16.038</v>
          </cell>
        </row>
        <row r="879">
          <cell r="A879" t="str">
            <v>00264849</v>
          </cell>
          <cell r="B879" t="str">
            <v>LL    VINYL SILK   BRIL WHITE 0000001250</v>
          </cell>
          <cell r="C879" t="str">
            <v>Vinyl Silk</v>
          </cell>
          <cell r="D879">
            <v>13.42</v>
          </cell>
          <cell r="E879">
            <v>12.6</v>
          </cell>
          <cell r="F879">
            <v>1</v>
          </cell>
          <cell r="G879">
            <v>2.5</v>
          </cell>
          <cell r="H879">
            <v>7.85</v>
          </cell>
        </row>
        <row r="880">
          <cell r="A880" t="str">
            <v>00722953</v>
          </cell>
          <cell r="B880" t="str">
            <v>HODGS MULTI PURP PUTTY BROWN  0000001100</v>
          </cell>
          <cell r="C880" t="str">
            <v>Putty</v>
          </cell>
          <cell r="D880">
            <v>1.2</v>
          </cell>
          <cell r="E880">
            <v>12.11</v>
          </cell>
          <cell r="F880">
            <v>11</v>
          </cell>
          <cell r="G880">
            <v>11</v>
          </cell>
          <cell r="H880">
            <v>1.32</v>
          </cell>
        </row>
        <row r="881">
          <cell r="A881" t="str">
            <v>00423611</v>
          </cell>
          <cell r="B881" t="str">
            <v>FD    44+QUICK DRY MIXED      0000000750</v>
          </cell>
          <cell r="C881" t="str">
            <v>GORI</v>
          </cell>
          <cell r="D881">
            <v>12.86</v>
          </cell>
          <cell r="E881">
            <v>12.08</v>
          </cell>
          <cell r="F881">
            <v>1</v>
          </cell>
          <cell r="G881">
            <v>0.75</v>
          </cell>
          <cell r="H881">
            <v>11.972659999999999</v>
          </cell>
        </row>
        <row r="882">
          <cell r="A882" t="str">
            <v>00301832</v>
          </cell>
          <cell r="B882" t="str">
            <v>JST   Q/DRY MATT   BLACKBOARD 0000001100</v>
          </cell>
          <cell r="C882" t="str">
            <v>Blackboard</v>
          </cell>
          <cell r="D882">
            <v>6.53</v>
          </cell>
          <cell r="E882">
            <v>11.81</v>
          </cell>
          <cell r="F882">
            <v>2</v>
          </cell>
          <cell r="G882">
            <v>2</v>
          </cell>
          <cell r="H882">
            <v>6.0794300000000003</v>
          </cell>
        </row>
        <row r="883">
          <cell r="A883" t="str">
            <v>00264871</v>
          </cell>
          <cell r="B883" t="str">
            <v>LL    V/SOFT SHEEN BRIL WHITE 0000001250</v>
          </cell>
          <cell r="C883" t="str">
            <v>Soft Sheen</v>
          </cell>
          <cell r="D883">
            <v>13.42</v>
          </cell>
          <cell r="E883">
            <v>11.67</v>
          </cell>
          <cell r="F883">
            <v>1</v>
          </cell>
          <cell r="G883">
            <v>2.5</v>
          </cell>
          <cell r="H883">
            <v>12.494020000000001</v>
          </cell>
        </row>
        <row r="884">
          <cell r="A884" t="str">
            <v>00727885</v>
          </cell>
          <cell r="B884" t="str">
            <v>HODGS LINSEED OIL  PUTTY 500G 0000000050</v>
          </cell>
          <cell r="C884" t="str">
            <v>Putty</v>
          </cell>
          <cell r="D884">
            <v>1.04</v>
          </cell>
          <cell r="E884">
            <v>11.52</v>
          </cell>
          <cell r="F884">
            <v>12</v>
          </cell>
          <cell r="G884">
            <v>0.6</v>
          </cell>
          <cell r="H884">
            <v>0.9682400000000001</v>
          </cell>
        </row>
        <row r="885">
          <cell r="A885" t="str">
            <v>00423341</v>
          </cell>
          <cell r="B885" t="str">
            <v>LL   SMART M/SURF DARK GREY  0000000750</v>
          </cell>
          <cell r="C885" t="str">
            <v>Smart multisurface</v>
          </cell>
          <cell r="D885">
            <v>11.84</v>
          </cell>
          <cell r="E885">
            <v>11.12</v>
          </cell>
          <cell r="F885">
            <v>1</v>
          </cell>
          <cell r="G885">
            <v>0.75</v>
          </cell>
          <cell r="H885">
            <v>11.02304</v>
          </cell>
        </row>
        <row r="886">
          <cell r="A886" t="str">
            <v>00618002</v>
          </cell>
          <cell r="B886" t="str">
            <v>SIRO  EXPANDING    FOAM 500ML       0500</v>
          </cell>
          <cell r="C886" t="str">
            <v>Expanding foam</v>
          </cell>
          <cell r="D886">
            <v>5.89</v>
          </cell>
          <cell r="E886">
            <v>11.06</v>
          </cell>
          <cell r="F886">
            <v>2</v>
          </cell>
          <cell r="G886">
            <v>1</v>
          </cell>
          <cell r="H886">
            <v>5.4835900000000004</v>
          </cell>
        </row>
        <row r="887">
          <cell r="A887" t="str">
            <v>00305827</v>
          </cell>
          <cell r="B887" t="str">
            <v>FD LL VINYL SILK   MIXED COL  0000001250</v>
          </cell>
          <cell r="C887" t="str">
            <v>Vinyl Silk</v>
          </cell>
          <cell r="D887">
            <v>12.32</v>
          </cell>
          <cell r="E887">
            <v>10.9</v>
          </cell>
          <cell r="F887">
            <v>2</v>
          </cell>
          <cell r="G887">
            <v>5</v>
          </cell>
          <cell r="H887">
            <v>9.6</v>
          </cell>
        </row>
        <row r="888">
          <cell r="A888" t="str">
            <v>00852686</v>
          </cell>
          <cell r="B888" t="str">
            <v>PGOLD AQUA SY ANGL BRUSH 2"</v>
          </cell>
          <cell r="C888" t="str">
            <v>Brush</v>
          </cell>
          <cell r="D888">
            <v>6.2</v>
          </cell>
          <cell r="E888">
            <v>10.78</v>
          </cell>
          <cell r="F888">
            <v>2</v>
          </cell>
          <cell r="G888">
            <v>2</v>
          </cell>
          <cell r="H888">
            <v>5.7722000000000007</v>
          </cell>
        </row>
        <row r="889">
          <cell r="A889" t="str">
            <v>00737110</v>
          </cell>
          <cell r="B889" t="str">
            <v>FATHG LIGHTWEIGHT  FILL 500ML 0000000500</v>
          </cell>
          <cell r="C889" t="str">
            <v>Filler</v>
          </cell>
          <cell r="D889">
            <v>3.94</v>
          </cell>
          <cell r="E889">
            <v>10.56</v>
          </cell>
          <cell r="F889">
            <v>3</v>
          </cell>
          <cell r="G889">
            <v>1.5</v>
          </cell>
          <cell r="H889">
            <v>3.6681400000000002</v>
          </cell>
        </row>
        <row r="890">
          <cell r="A890" t="str">
            <v>00729837</v>
          </cell>
          <cell r="B890" t="str">
            <v>EASY  EASYTEX      10-045     STRAND</v>
          </cell>
          <cell r="C890" t="str">
            <v>Wallcovering</v>
          </cell>
          <cell r="D890">
            <v>5.18</v>
          </cell>
          <cell r="E890">
            <v>10.4</v>
          </cell>
          <cell r="F890">
            <v>2</v>
          </cell>
          <cell r="G890">
            <v>2</v>
          </cell>
          <cell r="H890">
            <v>5.18</v>
          </cell>
        </row>
        <row r="891">
          <cell r="A891" t="str">
            <v>00730765</v>
          </cell>
          <cell r="B891" t="str">
            <v>FATHG FH TROUSERS  WHITE      40"</v>
          </cell>
          <cell r="C891" t="str">
            <v>Trousers</v>
          </cell>
          <cell r="D891">
            <v>11.96</v>
          </cell>
          <cell r="E891">
            <v>10.4</v>
          </cell>
          <cell r="F891">
            <v>1</v>
          </cell>
          <cell r="G891">
            <v>1</v>
          </cell>
          <cell r="H891">
            <v>13.156000000000002</v>
          </cell>
        </row>
        <row r="892">
          <cell r="A892" t="str">
            <v>00719190</v>
          </cell>
          <cell r="B892" t="str">
            <v>BSHM  BRUSHMATE    PACK       TRADE 20 S</v>
          </cell>
          <cell r="C892" t="str">
            <v>Brushmate</v>
          </cell>
          <cell r="D892">
            <v>10.87</v>
          </cell>
          <cell r="E892">
            <v>10.210000000000001</v>
          </cell>
          <cell r="F892">
            <v>1</v>
          </cell>
          <cell r="G892">
            <v>1</v>
          </cell>
          <cell r="H892">
            <v>10.11997</v>
          </cell>
        </row>
        <row r="893">
          <cell r="A893" t="str">
            <v>00852682</v>
          </cell>
          <cell r="B893" t="str">
            <v>PGOLD AQUA SYNTH   BRUSH 3"</v>
          </cell>
          <cell r="C893" t="str">
            <v>Brush</v>
          </cell>
          <cell r="D893">
            <v>5.62</v>
          </cell>
          <cell r="E893">
            <v>10.17</v>
          </cell>
          <cell r="F893">
            <v>2</v>
          </cell>
          <cell r="G893">
            <v>2</v>
          </cell>
          <cell r="H893">
            <v>5.2322200000000008</v>
          </cell>
        </row>
        <row r="894">
          <cell r="A894" t="str">
            <v>00730431</v>
          </cell>
          <cell r="B894" t="str">
            <v>JST   LINSEED OIL  RAW        0000000500</v>
          </cell>
          <cell r="C894" t="str">
            <v>Oil</v>
          </cell>
          <cell r="D894">
            <v>5.84</v>
          </cell>
          <cell r="E894">
            <v>10.14</v>
          </cell>
          <cell r="F894">
            <v>2</v>
          </cell>
          <cell r="G894">
            <v>1</v>
          </cell>
          <cell r="H894">
            <v>5.4370400000000005</v>
          </cell>
        </row>
        <row r="895">
          <cell r="A895" t="str">
            <v>00852413</v>
          </cell>
          <cell r="B895" t="str">
            <v>PGOLD BRUSH CLEANR 2LTR       0000001200</v>
          </cell>
          <cell r="C895" t="str">
            <v>Cleaner</v>
          </cell>
          <cell r="D895">
            <v>5.6</v>
          </cell>
          <cell r="E895">
            <v>10.130000000000001</v>
          </cell>
          <cell r="F895">
            <v>2</v>
          </cell>
          <cell r="G895">
            <v>4</v>
          </cell>
          <cell r="H895">
            <v>5.2135999999999996</v>
          </cell>
        </row>
        <row r="896">
          <cell r="A896" t="str">
            <v>00730927</v>
          </cell>
          <cell r="B896" t="str">
            <v>BLKRO DISPOSABLE   OVERSHOES  X5 PAIR</v>
          </cell>
          <cell r="C896" t="str">
            <v>Black Rock</v>
          </cell>
          <cell r="D896">
            <v>3.87</v>
          </cell>
          <cell r="E896">
            <v>10.08</v>
          </cell>
          <cell r="F896">
            <v>3</v>
          </cell>
          <cell r="G896">
            <v>3</v>
          </cell>
          <cell r="H896">
            <v>3.35</v>
          </cell>
        </row>
        <row r="897">
          <cell r="A897" t="str">
            <v>00304855</v>
          </cell>
          <cell r="B897" t="str">
            <v>JST   POLY VARNISH GLS CLEAR  0000000750</v>
          </cell>
          <cell r="C897" t="str">
            <v>Varnish</v>
          </cell>
          <cell r="D897">
            <v>5.35</v>
          </cell>
          <cell r="E897">
            <v>10.039999999999999</v>
          </cell>
          <cell r="F897">
            <v>2</v>
          </cell>
          <cell r="G897">
            <v>1.5</v>
          </cell>
          <cell r="H897">
            <v>4.9808500000000002</v>
          </cell>
        </row>
        <row r="898">
          <cell r="A898" t="str">
            <v>00300398</v>
          </cell>
          <cell r="B898" t="str">
            <v>JST   ACRYL SATIN  BRIL WHITE 0000001100</v>
          </cell>
          <cell r="C898" t="str">
            <v>Acrylic Satin</v>
          </cell>
          <cell r="D898">
            <v>10.79</v>
          </cell>
          <cell r="E898">
            <v>9.3800000000000008</v>
          </cell>
          <cell r="F898">
            <v>1</v>
          </cell>
          <cell r="G898">
            <v>1</v>
          </cell>
          <cell r="H898">
            <v>10.045489999999999</v>
          </cell>
        </row>
        <row r="899">
          <cell r="A899" t="str">
            <v>00739010</v>
          </cell>
          <cell r="B899" t="str">
            <v>RODO  GRIP GLOVE   LWEIGHT    5401000</v>
          </cell>
          <cell r="C899" t="str">
            <v>RODO</v>
          </cell>
          <cell r="D899">
            <v>1.42</v>
          </cell>
          <cell r="E899">
            <v>9.31</v>
          </cell>
          <cell r="F899">
            <v>7</v>
          </cell>
          <cell r="G899">
            <v>7</v>
          </cell>
          <cell r="H899">
            <v>1.32202</v>
          </cell>
        </row>
        <row r="900">
          <cell r="A900" t="str">
            <v>00647337</v>
          </cell>
          <cell r="B900" t="str">
            <v>RODO  ICE 4" 2PK   FUSION SLV ARRE034</v>
          </cell>
          <cell r="C900" t="str">
            <v>RODO</v>
          </cell>
          <cell r="D900">
            <v>3.28</v>
          </cell>
          <cell r="E900">
            <v>9.24</v>
          </cell>
          <cell r="F900">
            <v>3</v>
          </cell>
          <cell r="G900">
            <v>3</v>
          </cell>
          <cell r="H900">
            <v>2.79</v>
          </cell>
        </row>
        <row r="901">
          <cell r="A901" t="str">
            <v>00264788</v>
          </cell>
          <cell r="B901" t="str">
            <v>LL    VINYL MATT   ANTIQ WHIT 0000001500</v>
          </cell>
          <cell r="C901" t="str">
            <v>Vinyl matt</v>
          </cell>
          <cell r="D901">
            <v>10.38</v>
          </cell>
          <cell r="E901">
            <v>9.0299999999999994</v>
          </cell>
          <cell r="F901">
            <v>1</v>
          </cell>
          <cell r="G901">
            <v>5</v>
          </cell>
          <cell r="H901">
            <v>13.494000000000002</v>
          </cell>
        </row>
        <row r="902">
          <cell r="A902" t="str">
            <v>00615356</v>
          </cell>
          <cell r="B902" t="str">
            <v>RODO  LOW TACK     MASK TAPE  PREC EDGE</v>
          </cell>
          <cell r="C902" t="str">
            <v>Tape</v>
          </cell>
          <cell r="D902">
            <v>4.05</v>
          </cell>
          <cell r="E902">
            <v>8.94</v>
          </cell>
          <cell r="F902">
            <v>2</v>
          </cell>
          <cell r="G902">
            <v>2</v>
          </cell>
          <cell r="H902">
            <v>3.7705500000000001</v>
          </cell>
        </row>
        <row r="903">
          <cell r="A903" t="str">
            <v>00423531</v>
          </cell>
          <cell r="B903" t="str">
            <v>PGOLD GP SILICONE  WHITE      0000000300</v>
          </cell>
          <cell r="C903" t="str">
            <v>Silicone</v>
          </cell>
          <cell r="D903">
            <v>2.34</v>
          </cell>
          <cell r="E903">
            <v>8.8000000000000007</v>
          </cell>
          <cell r="F903">
            <v>4</v>
          </cell>
          <cell r="G903">
            <v>1.2</v>
          </cell>
          <cell r="H903">
            <v>3.2759999999999998</v>
          </cell>
        </row>
        <row r="904">
          <cell r="A904" t="str">
            <v>00300870</v>
          </cell>
          <cell r="B904" t="str">
            <v>LL    AC PR U/COAT WHITE      0000000750</v>
          </cell>
          <cell r="C904" t="str">
            <v>Acrylic Undercoat</v>
          </cell>
          <cell r="D904">
            <v>9.24</v>
          </cell>
          <cell r="E904">
            <v>8.68</v>
          </cell>
          <cell r="F904">
            <v>1</v>
          </cell>
          <cell r="G904">
            <v>0.75</v>
          </cell>
          <cell r="H904">
            <v>8.6024400000000014</v>
          </cell>
        </row>
        <row r="905">
          <cell r="A905" t="str">
            <v>00301659</v>
          </cell>
          <cell r="B905" t="str">
            <v>JST   PROF U/COAT  CHARCOAL   0000001100</v>
          </cell>
          <cell r="C905" t="str">
            <v>Solvent Undercoat</v>
          </cell>
          <cell r="D905">
            <v>9.52</v>
          </cell>
          <cell r="E905">
            <v>8.2799999999999994</v>
          </cell>
          <cell r="F905">
            <v>1</v>
          </cell>
          <cell r="G905">
            <v>1</v>
          </cell>
          <cell r="H905">
            <v>8.8631200000000003</v>
          </cell>
        </row>
        <row r="906">
          <cell r="A906" t="str">
            <v>00264836</v>
          </cell>
          <cell r="B906" t="str">
            <v>LL    VINYL MATT   WHITE      0000001500</v>
          </cell>
          <cell r="C906" t="str">
            <v>Vinyl matt</v>
          </cell>
          <cell r="D906">
            <v>9.4600000000000009</v>
          </cell>
          <cell r="E906">
            <v>8.2200000000000006</v>
          </cell>
          <cell r="F906">
            <v>1</v>
          </cell>
          <cell r="G906">
            <v>5</v>
          </cell>
          <cell r="H906">
            <v>8.68</v>
          </cell>
        </row>
        <row r="907">
          <cell r="A907" t="str">
            <v>00852727</v>
          </cell>
          <cell r="B907" t="str">
            <v>EWI   MT PE TARP   TAPE 25MT  STUCCO</v>
          </cell>
          <cell r="C907" t="str">
            <v>EWI</v>
          </cell>
          <cell r="D907">
            <v>2.13</v>
          </cell>
          <cell r="E907">
            <v>8</v>
          </cell>
          <cell r="F907">
            <v>4</v>
          </cell>
          <cell r="G907">
            <v>4</v>
          </cell>
          <cell r="H907">
            <v>1.81</v>
          </cell>
        </row>
        <row r="908">
          <cell r="A908" t="str">
            <v>00301991</v>
          </cell>
          <cell r="B908" t="str">
            <v>JST   QD WOODSTAIN MEDIUM OAK 0000000750</v>
          </cell>
          <cell r="C908" t="str">
            <v>Woodstain</v>
          </cell>
          <cell r="D908">
            <v>8.3800000000000008</v>
          </cell>
          <cell r="E908">
            <v>7.87</v>
          </cell>
          <cell r="F908">
            <v>1</v>
          </cell>
          <cell r="G908">
            <v>0.75</v>
          </cell>
          <cell r="H908">
            <v>7.8017800000000008</v>
          </cell>
        </row>
        <row r="909">
          <cell r="A909" t="str">
            <v>00308366</v>
          </cell>
          <cell r="B909" t="str">
            <v>LL    TESTERPOT    ULTRA DEEP 0000000325</v>
          </cell>
          <cell r="C909" t="str">
            <v>Vinyl matt</v>
          </cell>
          <cell r="D909">
            <v>2.81</v>
          </cell>
          <cell r="E909">
            <v>7.72</v>
          </cell>
          <cell r="F909">
            <v>3</v>
          </cell>
          <cell r="G909">
            <v>0.97499999999999998</v>
          </cell>
          <cell r="H909">
            <v>2.6161100000000004</v>
          </cell>
        </row>
        <row r="910">
          <cell r="A910" t="str">
            <v>00730915</v>
          </cell>
          <cell r="B910" t="str">
            <v>BLKRO COTTON GLOVE PAINTER</v>
          </cell>
          <cell r="C910" t="str">
            <v>Black Rock</v>
          </cell>
          <cell r="D910">
            <v>0.47</v>
          </cell>
          <cell r="E910">
            <v>7.27</v>
          </cell>
          <cell r="F910">
            <v>17</v>
          </cell>
          <cell r="G910">
            <v>17</v>
          </cell>
          <cell r="H910">
            <v>0.58749999999999991</v>
          </cell>
        </row>
        <row r="911">
          <cell r="A911" t="str">
            <v>00305032</v>
          </cell>
          <cell r="B911" t="str">
            <v>FD JS V/SOFT SHEEN MIXED COL  0000001100</v>
          </cell>
          <cell r="C911" t="str">
            <v>Soft Sheen</v>
          </cell>
          <cell r="D911">
            <v>8.36</v>
          </cell>
          <cell r="E911">
            <v>7.27</v>
          </cell>
          <cell r="F911">
            <v>1</v>
          </cell>
          <cell r="G911">
            <v>1</v>
          </cell>
          <cell r="H911">
            <v>7.7831599999999996</v>
          </cell>
        </row>
        <row r="912">
          <cell r="A912" t="str">
            <v>00852926</v>
          </cell>
          <cell r="B912" t="str">
            <v>PGOLD LONG POLY    15" ROLLER</v>
          </cell>
          <cell r="C912" t="str">
            <v>Roller</v>
          </cell>
          <cell r="D912">
            <v>2.63</v>
          </cell>
          <cell r="E912">
            <v>7.05</v>
          </cell>
          <cell r="F912">
            <v>3</v>
          </cell>
          <cell r="G912">
            <v>3</v>
          </cell>
          <cell r="H912">
            <v>2.4485299999999999</v>
          </cell>
        </row>
        <row r="913">
          <cell r="A913" t="str">
            <v>00264798</v>
          </cell>
          <cell r="B913" t="str">
            <v>LL    VINYL MATT   BLACK      0000001250</v>
          </cell>
          <cell r="C913" t="str">
            <v>Vinyl matt</v>
          </cell>
          <cell r="D913">
            <v>7.41</v>
          </cell>
          <cell r="E913">
            <v>6.96</v>
          </cell>
          <cell r="F913">
            <v>1</v>
          </cell>
          <cell r="G913">
            <v>2.5</v>
          </cell>
          <cell r="H913">
            <v>5.91</v>
          </cell>
        </row>
        <row r="914">
          <cell r="A914" t="str">
            <v>00264801</v>
          </cell>
          <cell r="B914" t="str">
            <v>LL    VINYL MATT   BRIL WHITE 0000001100</v>
          </cell>
          <cell r="C914" t="str">
            <v>Vinyl matt</v>
          </cell>
          <cell r="D914">
            <v>7.35</v>
          </cell>
          <cell r="E914">
            <v>6.9</v>
          </cell>
          <cell r="F914">
            <v>1</v>
          </cell>
          <cell r="G914">
            <v>1</v>
          </cell>
          <cell r="H914">
            <v>3.91</v>
          </cell>
        </row>
        <row r="915">
          <cell r="A915" t="str">
            <v>00718900</v>
          </cell>
          <cell r="B915" t="str">
            <v>RODO  LOW TACK     50MM - 2"  MASKING TA</v>
          </cell>
          <cell r="C915" t="str">
            <v>RODO</v>
          </cell>
          <cell r="D915">
            <v>3.8</v>
          </cell>
          <cell r="E915">
            <v>6.62</v>
          </cell>
          <cell r="F915">
            <v>2</v>
          </cell>
          <cell r="G915">
            <v>2</v>
          </cell>
          <cell r="H915">
            <v>3.5377999999999998</v>
          </cell>
        </row>
        <row r="916">
          <cell r="A916" t="str">
            <v>00264821</v>
          </cell>
          <cell r="B916" t="str">
            <v>LL    VINYL MATT   MAGNOLIA   0000001250</v>
          </cell>
          <cell r="C916" t="str">
            <v>Vinyl matt</v>
          </cell>
          <cell r="D916">
            <v>7.41</v>
          </cell>
          <cell r="E916">
            <v>6.44</v>
          </cell>
          <cell r="F916">
            <v>1</v>
          </cell>
          <cell r="G916">
            <v>2.5</v>
          </cell>
          <cell r="H916">
            <v>5.21</v>
          </cell>
        </row>
        <row r="917">
          <cell r="A917" t="str">
            <v>00264637</v>
          </cell>
          <cell r="B917" t="str">
            <v>LL    GLOSS        BLACK      0000000750</v>
          </cell>
          <cell r="C917" t="str">
            <v>Solvent Gloss</v>
          </cell>
          <cell r="D917">
            <v>6.79</v>
          </cell>
          <cell r="E917">
            <v>6.38</v>
          </cell>
          <cell r="F917">
            <v>1</v>
          </cell>
          <cell r="G917">
            <v>0.75</v>
          </cell>
          <cell r="H917">
            <v>6.3214900000000007</v>
          </cell>
        </row>
        <row r="918">
          <cell r="A918" t="str">
            <v>00718739</v>
          </cell>
          <cell r="B918" t="str">
            <v>RODO  SANDING      BLOCK      (SANDING)</v>
          </cell>
          <cell r="C918" t="str">
            <v>RODO</v>
          </cell>
          <cell r="D918">
            <v>6.42</v>
          </cell>
          <cell r="E918">
            <v>6.03</v>
          </cell>
          <cell r="F918">
            <v>1</v>
          </cell>
          <cell r="G918">
            <v>1</v>
          </cell>
          <cell r="H918">
            <v>5.9770200000000004</v>
          </cell>
        </row>
        <row r="919">
          <cell r="A919" t="str">
            <v>00264605</v>
          </cell>
          <cell r="B919" t="str">
            <v>LL    GLOSS        BRIL WHITE 0000000750</v>
          </cell>
          <cell r="C919" t="str">
            <v>Solvent Gloss</v>
          </cell>
          <cell r="D919">
            <v>6.79</v>
          </cell>
          <cell r="E919">
            <v>5.91</v>
          </cell>
          <cell r="F919">
            <v>1</v>
          </cell>
          <cell r="G919">
            <v>0.75</v>
          </cell>
          <cell r="H919">
            <v>6.3214900000000007</v>
          </cell>
        </row>
        <row r="920">
          <cell r="A920" t="str">
            <v>00738157</v>
          </cell>
          <cell r="B920" t="str">
            <v>RODO  WALL BRUSH   4 INCH</v>
          </cell>
          <cell r="C920" t="str">
            <v>Brush</v>
          </cell>
          <cell r="D920">
            <v>6.51</v>
          </cell>
          <cell r="E920">
            <v>5.66</v>
          </cell>
          <cell r="F920">
            <v>1</v>
          </cell>
          <cell r="G920">
            <v>1</v>
          </cell>
          <cell r="H920">
            <v>6.06081</v>
          </cell>
        </row>
        <row r="921">
          <cell r="A921" t="str">
            <v>00736984</v>
          </cell>
          <cell r="B921" t="str">
            <v>MGRR  AP W/PAPER   ADH 30ROLL</v>
          </cell>
          <cell r="C921" t="str">
            <v>Mangers</v>
          </cell>
          <cell r="D921">
            <v>5.94</v>
          </cell>
          <cell r="E921">
            <v>5.58</v>
          </cell>
          <cell r="F921">
            <v>1</v>
          </cell>
          <cell r="G921">
            <v>1</v>
          </cell>
          <cell r="H921">
            <v>5.5301400000000003</v>
          </cell>
        </row>
        <row r="922">
          <cell r="A922" t="str">
            <v>00852684</v>
          </cell>
          <cell r="B922" t="str">
            <v>PGOLD AQUA SY OVAL BRUSH 2"</v>
          </cell>
          <cell r="C922" t="str">
            <v>Brush</v>
          </cell>
          <cell r="D922">
            <v>6.2</v>
          </cell>
          <cell r="E922">
            <v>5.39</v>
          </cell>
          <cell r="F922">
            <v>1</v>
          </cell>
          <cell r="G922">
            <v>1</v>
          </cell>
          <cell r="H922">
            <v>5.7722000000000007</v>
          </cell>
        </row>
        <row r="923">
          <cell r="A923" t="str">
            <v>00423459</v>
          </cell>
          <cell r="B923" t="str">
            <v>JST   PROF GLOSS   BLACK      0000000500</v>
          </cell>
          <cell r="C923" t="str">
            <v>Solvent Gloss</v>
          </cell>
          <cell r="D923">
            <v>5.72</v>
          </cell>
          <cell r="E923">
            <v>5.37</v>
          </cell>
          <cell r="F923">
            <v>1</v>
          </cell>
          <cell r="G923">
            <v>0.5</v>
          </cell>
          <cell r="H923">
            <v>5.3253199999999996</v>
          </cell>
        </row>
        <row r="924">
          <cell r="A924" t="str">
            <v>00852683</v>
          </cell>
          <cell r="B924" t="str">
            <v>PGOLD AQUA SY OVAL BRUSH 1.5"</v>
          </cell>
          <cell r="C924" t="str">
            <v>Brush</v>
          </cell>
          <cell r="D924">
            <v>5.46</v>
          </cell>
          <cell r="E924">
            <v>4.75</v>
          </cell>
          <cell r="F924">
            <v>1</v>
          </cell>
          <cell r="G924">
            <v>1</v>
          </cell>
          <cell r="H924">
            <v>5.0832600000000001</v>
          </cell>
        </row>
        <row r="925">
          <cell r="A925" t="str">
            <v>00718824</v>
          </cell>
          <cell r="B925" t="str">
            <v>RODO  4" PLASTIC   M.R.TRAY   (MRT)</v>
          </cell>
          <cell r="C925" t="str">
            <v>RODO</v>
          </cell>
          <cell r="D925">
            <v>0.98</v>
          </cell>
          <cell r="E925">
            <v>4.46</v>
          </cell>
          <cell r="F925">
            <v>5</v>
          </cell>
          <cell r="G925">
            <v>5</v>
          </cell>
          <cell r="H925">
            <v>0.91238000000000008</v>
          </cell>
        </row>
        <row r="926">
          <cell r="A926" t="str">
            <v>00719181</v>
          </cell>
          <cell r="B926" t="str">
            <v>BSHM  VAPOUR       MATE</v>
          </cell>
          <cell r="C926" t="str">
            <v>Brushmate</v>
          </cell>
          <cell r="D926">
            <v>5.0199999999999996</v>
          </cell>
          <cell r="E926">
            <v>4.3600000000000003</v>
          </cell>
          <cell r="F926">
            <v>1</v>
          </cell>
          <cell r="G926">
            <v>1</v>
          </cell>
          <cell r="H926">
            <v>4.6736199999999997</v>
          </cell>
        </row>
        <row r="927">
          <cell r="A927" t="str">
            <v>00730913</v>
          </cell>
          <cell r="B927" t="str">
            <v>BLKRO INDIRECT     GOGGLES</v>
          </cell>
          <cell r="C927" t="str">
            <v>Black Rock</v>
          </cell>
          <cell r="D927">
            <v>4.2</v>
          </cell>
          <cell r="E927">
            <v>4.22</v>
          </cell>
          <cell r="F927">
            <v>1</v>
          </cell>
          <cell r="G927">
            <v>1</v>
          </cell>
          <cell r="H927">
            <v>3.9102000000000006</v>
          </cell>
        </row>
        <row r="928">
          <cell r="A928" t="str">
            <v>00610644</v>
          </cell>
          <cell r="B928" t="str">
            <v>BLKRO PU GRIPPER   GLOVE BLK  8430109</v>
          </cell>
          <cell r="C928" t="str">
            <v>Black Rock</v>
          </cell>
          <cell r="D928">
            <v>1.28</v>
          </cell>
          <cell r="E928">
            <v>3.94</v>
          </cell>
          <cell r="F928">
            <v>3</v>
          </cell>
          <cell r="G928">
            <v>3</v>
          </cell>
          <cell r="H928">
            <v>1.1916800000000001</v>
          </cell>
        </row>
        <row r="929">
          <cell r="A929" t="str">
            <v>00611483</v>
          </cell>
          <cell r="B929" t="str">
            <v>PGOLD PREM BRISTLE BRUSH 1"</v>
          </cell>
          <cell r="C929" t="str">
            <v>Brush</v>
          </cell>
          <cell r="D929">
            <v>4.41</v>
          </cell>
          <cell r="E929">
            <v>3.83</v>
          </cell>
          <cell r="F929">
            <v>1</v>
          </cell>
          <cell r="G929">
            <v>1</v>
          </cell>
          <cell r="H929">
            <v>4.1057100000000002</v>
          </cell>
        </row>
        <row r="930">
          <cell r="A930" t="str">
            <v>00852412</v>
          </cell>
          <cell r="B930" t="str">
            <v>PGOLD BRUSH CLEANR 500ML      0000000500</v>
          </cell>
          <cell r="C930" t="str">
            <v>Brush</v>
          </cell>
          <cell r="D930">
            <v>3.97</v>
          </cell>
          <cell r="E930">
            <v>3.45</v>
          </cell>
          <cell r="F930">
            <v>1</v>
          </cell>
          <cell r="G930">
            <v>0.5</v>
          </cell>
          <cell r="H930">
            <v>3.6960700000000002</v>
          </cell>
        </row>
        <row r="931">
          <cell r="A931" t="str">
            <v>00639830</v>
          </cell>
          <cell r="B931" t="str">
            <v>RODO  BLADES FOR   CONT PLAST IC MINI SC</v>
          </cell>
          <cell r="C931" t="str">
            <v>RODO</v>
          </cell>
          <cell r="D931">
            <v>1.78</v>
          </cell>
          <cell r="E931">
            <v>3.44</v>
          </cell>
          <cell r="F931">
            <v>2</v>
          </cell>
          <cell r="G931">
            <v>2</v>
          </cell>
          <cell r="H931">
            <v>1.6571800000000001</v>
          </cell>
        </row>
        <row r="932">
          <cell r="A932" t="str">
            <v>00718701</v>
          </cell>
          <cell r="B932" t="str">
            <v>RODO  16" PAINT    STIRRER    (PS16)</v>
          </cell>
          <cell r="C932" t="str">
            <v>RODO</v>
          </cell>
          <cell r="D932">
            <v>1.83</v>
          </cell>
          <cell r="E932">
            <v>3.31</v>
          </cell>
          <cell r="F932">
            <v>2</v>
          </cell>
          <cell r="G932">
            <v>2</v>
          </cell>
          <cell r="H932">
            <v>2.0130000000000003</v>
          </cell>
        </row>
        <row r="933">
          <cell r="A933" t="str">
            <v>00718751</v>
          </cell>
          <cell r="B933" t="str">
            <v>RODO  4" SCRAPER   BLACK HAND (FFJPS4)</v>
          </cell>
          <cell r="C933" t="str">
            <v>RODO</v>
          </cell>
          <cell r="D933">
            <v>3.22</v>
          </cell>
          <cell r="E933">
            <v>2.98</v>
          </cell>
          <cell r="F933">
            <v>1</v>
          </cell>
          <cell r="G933">
            <v>1</v>
          </cell>
          <cell r="H933">
            <v>2.9978200000000004</v>
          </cell>
        </row>
        <row r="934">
          <cell r="A934" t="str">
            <v>00736968</v>
          </cell>
          <cell r="B934" t="str">
            <v>MGRR  TURPS SUB    750ML            0750</v>
          </cell>
          <cell r="C934" t="str">
            <v>Mangers</v>
          </cell>
          <cell r="D934">
            <v>2.96</v>
          </cell>
          <cell r="E934">
            <v>2.78</v>
          </cell>
          <cell r="F934">
            <v>1</v>
          </cell>
          <cell r="G934">
            <v>0.75</v>
          </cell>
          <cell r="H934">
            <v>2.75576</v>
          </cell>
        </row>
        <row r="935">
          <cell r="A935" t="str">
            <v>00680366</v>
          </cell>
          <cell r="B935" t="str">
            <v>RODO  STEEL WOOL   MIX RETAIL</v>
          </cell>
          <cell r="C935" t="str">
            <v>Steel wool</v>
          </cell>
          <cell r="D935">
            <v>1.98</v>
          </cell>
          <cell r="E935">
            <v>2.19</v>
          </cell>
          <cell r="F935">
            <v>1</v>
          </cell>
          <cell r="G935">
            <v>1</v>
          </cell>
          <cell r="H935">
            <v>1.84338</v>
          </cell>
        </row>
        <row r="936">
          <cell r="A936" t="str">
            <v>00611512</v>
          </cell>
          <cell r="B936" t="str">
            <v>JDONE JOB DONE     BRUSH 1"</v>
          </cell>
          <cell r="C936" t="str">
            <v>Brush</v>
          </cell>
          <cell r="D936">
            <v>2.25</v>
          </cell>
          <cell r="E936">
            <v>2.11</v>
          </cell>
          <cell r="F936">
            <v>1</v>
          </cell>
          <cell r="G936">
            <v>1</v>
          </cell>
          <cell r="H936">
            <v>2.0947500000000003</v>
          </cell>
        </row>
        <row r="937">
          <cell r="A937" t="str">
            <v>00737316</v>
          </cell>
          <cell r="B937" t="str">
            <v>EASYL LINING PAPER 1200 SINGL</v>
          </cell>
          <cell r="C937" t="str">
            <v>Wallcovering</v>
          </cell>
          <cell r="D937">
            <v>1.53</v>
          </cell>
          <cell r="E937">
            <v>1.44</v>
          </cell>
          <cell r="F937">
            <v>1</v>
          </cell>
          <cell r="G937">
            <v>1</v>
          </cell>
          <cell r="H937">
            <v>1.8359999999999999</v>
          </cell>
        </row>
        <row r="938">
          <cell r="A938" t="str">
            <v>00614868</v>
          </cell>
          <cell r="B938" t="str">
            <v>PURDY POWERLOCK    1-2 FT     EXT POLE</v>
          </cell>
          <cell r="C938" t="str">
            <v>Purdy</v>
          </cell>
          <cell r="D938">
            <v>19.66</v>
          </cell>
          <cell r="E938">
            <v>1.37</v>
          </cell>
          <cell r="F938">
            <v>0</v>
          </cell>
          <cell r="G938">
            <v>0</v>
          </cell>
          <cell r="H938">
            <v>18.303460000000001</v>
          </cell>
        </row>
        <row r="939">
          <cell r="A939" t="str">
            <v>00730752</v>
          </cell>
          <cell r="B939" t="str">
            <v>FATEV BIB &amp; BRACE  32-34" SML WHITE</v>
          </cell>
          <cell r="C939" t="str">
            <v>Bib &amp; Brace</v>
          </cell>
          <cell r="D939">
            <v>56.58</v>
          </cell>
          <cell r="E939">
            <v>0</v>
          </cell>
          <cell r="F939">
            <v>9</v>
          </cell>
          <cell r="G939">
            <v>9</v>
          </cell>
          <cell r="H939">
            <v>52.41</v>
          </cell>
        </row>
        <row r="940">
          <cell r="A940" t="str">
            <v>00730750</v>
          </cell>
          <cell r="B940" t="str">
            <v>FATEV FHEV TROUSER 44" WHITE</v>
          </cell>
          <cell r="C940" t="str">
            <v>Trousers</v>
          </cell>
          <cell r="D940">
            <v>54.07</v>
          </cell>
          <cell r="E940">
            <v>0</v>
          </cell>
          <cell r="F940">
            <v>3</v>
          </cell>
          <cell r="G940">
            <v>3</v>
          </cell>
          <cell r="H940">
            <v>46.81</v>
          </cell>
        </row>
        <row r="941">
          <cell r="A941" t="str">
            <v>00727357</v>
          </cell>
          <cell r="B941" t="str">
            <v>FATHG ALUMIN OXIDE GRD60 50M</v>
          </cell>
          <cell r="C941" t="str">
            <v>Aluminium Oxide</v>
          </cell>
          <cell r="D941">
            <v>29.85</v>
          </cell>
          <cell r="E941">
            <v>0</v>
          </cell>
          <cell r="F941">
            <v>1</v>
          </cell>
          <cell r="G941">
            <v>1</v>
          </cell>
          <cell r="H941">
            <v>27.790350000000004</v>
          </cell>
        </row>
        <row r="942">
          <cell r="A942" t="str">
            <v>00730767</v>
          </cell>
          <cell r="B942" t="str">
            <v>FATHG FH TROUSERS  WHITE      44"</v>
          </cell>
          <cell r="C942" t="str">
            <v>Trousers</v>
          </cell>
          <cell r="D942">
            <v>20.36</v>
          </cell>
          <cell r="E942">
            <v>0</v>
          </cell>
          <cell r="F942">
            <v>7</v>
          </cell>
          <cell r="G942">
            <v>7</v>
          </cell>
          <cell r="H942">
            <v>18.955159999999999</v>
          </cell>
        </row>
        <row r="943">
          <cell r="A943" t="str">
            <v>00732894</v>
          </cell>
          <cell r="B943" t="str">
            <v>MIRKA SLANGE 27MM X 4M + ADAPTER</v>
          </cell>
          <cell r="C943" t="str">
            <v>MIRKA</v>
          </cell>
          <cell r="D943">
            <v>50.65</v>
          </cell>
          <cell r="E943">
            <v>0</v>
          </cell>
          <cell r="F943">
            <v>1</v>
          </cell>
          <cell r="G943">
            <v>1</v>
          </cell>
          <cell r="H943">
            <v>45.58</v>
          </cell>
        </row>
        <row r="944">
          <cell r="A944" t="str">
            <v>00717212</v>
          </cell>
          <cell r="B944" t="str">
            <v>PURDY SPRIG ELITE  1.5" BRUSH</v>
          </cell>
          <cell r="C944" t="str">
            <v>Brush</v>
          </cell>
          <cell r="D944">
            <v>15.79</v>
          </cell>
          <cell r="E944">
            <v>0</v>
          </cell>
          <cell r="F944">
            <v>2</v>
          </cell>
          <cell r="G944">
            <v>2</v>
          </cell>
          <cell r="H944">
            <v>14.70049</v>
          </cell>
        </row>
        <row r="945">
          <cell r="A945" t="str">
            <v>00680139</v>
          </cell>
          <cell r="B945" t="str">
            <v>TESA  59177 ECOVER 550MMX33M</v>
          </cell>
          <cell r="C945" t="str">
            <v>Tape</v>
          </cell>
          <cell r="D945">
            <v>5.8309999999999995</v>
          </cell>
          <cell r="E945">
            <v>0</v>
          </cell>
          <cell r="F945">
            <v>2</v>
          </cell>
          <cell r="G945">
            <v>2</v>
          </cell>
          <cell r="H945">
            <v>5.428661</v>
          </cell>
        </row>
        <row r="946">
          <cell r="A946" t="str">
            <v>00611398</v>
          </cell>
          <cell r="B946" t="str">
            <v>TESA  DUCT TAPE SI 50M X 48MM 4613</v>
          </cell>
          <cell r="C946" t="str">
            <v>Tape</v>
          </cell>
          <cell r="D946">
            <v>9.69</v>
          </cell>
          <cell r="E946">
            <v>0</v>
          </cell>
          <cell r="F946">
            <v>3</v>
          </cell>
          <cell r="G946">
            <v>3</v>
          </cell>
          <cell r="H946">
            <v>4.6500000000000004</v>
          </cell>
        </row>
        <row r="947">
          <cell r="A947" t="str">
            <v>00611894</v>
          </cell>
          <cell r="B947" t="str">
            <v>UB    COLOUR READR PRO CRP100</v>
          </cell>
          <cell r="C947" t="str">
            <v>Colour reader</v>
          </cell>
          <cell r="D947">
            <v>276.89999999999998</v>
          </cell>
          <cell r="E947">
            <v>0</v>
          </cell>
          <cell r="F947">
            <v>2</v>
          </cell>
          <cell r="G947">
            <v>2</v>
          </cell>
          <cell r="H947">
            <v>257.79390000000001</v>
          </cell>
        </row>
        <row r="948">
          <cell r="A948" t="str">
            <v>00305846</v>
          </cell>
          <cell r="B948" t="str">
            <v>FD LL SUPER LEYTEX MIXED COL  0000001500</v>
          </cell>
          <cell r="C948" t="str">
            <v>Contract matt</v>
          </cell>
          <cell r="D948">
            <v>25.28</v>
          </cell>
          <cell r="E948">
            <v>0</v>
          </cell>
          <cell r="F948">
            <v>0</v>
          </cell>
          <cell r="G948">
            <v>0</v>
          </cell>
          <cell r="H948">
            <v>25.28</v>
          </cell>
        </row>
        <row r="949">
          <cell r="A949" t="str">
            <v>00305845</v>
          </cell>
          <cell r="B949" t="str">
            <v>FD LL SUPER LEYTEX MIXED COL  0000002100</v>
          </cell>
          <cell r="C949" t="str">
            <v>Contract matt</v>
          </cell>
          <cell r="D949">
            <v>45.9</v>
          </cell>
          <cell r="E949">
            <v>0</v>
          </cell>
          <cell r="F949">
            <v>0</v>
          </cell>
          <cell r="G949">
            <v>0</v>
          </cell>
          <cell r="H949">
            <v>45.9</v>
          </cell>
        </row>
        <row r="950">
          <cell r="A950" t="str">
            <v>00264705</v>
          </cell>
          <cell r="B950" t="str">
            <v>LL    SUPER LEYTEX BRIL WHITE 0000001500</v>
          </cell>
          <cell r="C950" t="str">
            <v>Contract matt</v>
          </cell>
          <cell r="D950">
            <v>17.149999999999999</v>
          </cell>
          <cell r="E950">
            <v>0</v>
          </cell>
          <cell r="F950">
            <v>0</v>
          </cell>
          <cell r="G950">
            <v>0</v>
          </cell>
          <cell r="H950">
            <v>17.149999999999999</v>
          </cell>
        </row>
        <row r="951">
          <cell r="A951" t="str">
            <v>00292236</v>
          </cell>
          <cell r="B951" t="str">
            <v>A'COAT 385 SET BLACK          9000AM2200</v>
          </cell>
          <cell r="C951" t="str">
            <v>PMC</v>
          </cell>
          <cell r="D951">
            <v>483.12</v>
          </cell>
          <cell r="E951">
            <v>0</v>
          </cell>
          <cell r="F951">
            <v>0</v>
          </cell>
          <cell r="G951">
            <v>0</v>
          </cell>
          <cell r="H951">
            <v>483.12</v>
          </cell>
        </row>
        <row r="952">
          <cell r="A952" t="str">
            <v>00288576</v>
          </cell>
          <cell r="B952" t="str">
            <v>A'COAT 385 SET RAL            1004261500</v>
          </cell>
          <cell r="C952" t="str">
            <v>PMC</v>
          </cell>
          <cell r="D952">
            <v>134.74</v>
          </cell>
          <cell r="E952">
            <v>0</v>
          </cell>
          <cell r="F952">
            <v>0</v>
          </cell>
          <cell r="G952">
            <v>0</v>
          </cell>
          <cell r="H952">
            <v>134.74</v>
          </cell>
        </row>
        <row r="953">
          <cell r="A953" t="str">
            <v>00292238</v>
          </cell>
          <cell r="B953" t="str">
            <v>A'COAT 385 SET RAL            1004262200</v>
          </cell>
          <cell r="C953" t="str">
            <v>PMC</v>
          </cell>
          <cell r="D953">
            <v>487.69</v>
          </cell>
          <cell r="E953">
            <v>0</v>
          </cell>
          <cell r="F953">
            <v>0</v>
          </cell>
          <cell r="G953">
            <v>0</v>
          </cell>
          <cell r="H953">
            <v>487.69</v>
          </cell>
        </row>
        <row r="954">
          <cell r="A954" t="str">
            <v>00288582</v>
          </cell>
          <cell r="B954" t="str">
            <v>A'COAT 385 SET RAL            7035261500</v>
          </cell>
          <cell r="C954" t="str">
            <v>PMC</v>
          </cell>
          <cell r="D954">
            <v>134.74</v>
          </cell>
          <cell r="E954">
            <v>0</v>
          </cell>
          <cell r="F954">
            <v>0</v>
          </cell>
          <cell r="G954">
            <v>0</v>
          </cell>
          <cell r="H954">
            <v>134.74</v>
          </cell>
        </row>
        <row r="955">
          <cell r="A955" t="str">
            <v>00285287</v>
          </cell>
          <cell r="B955" t="str">
            <v>A'COAT 385 SET WHITE          3000AM1500</v>
          </cell>
          <cell r="C955" t="str">
            <v>PMC</v>
          </cell>
          <cell r="D955">
            <v>134.74</v>
          </cell>
          <cell r="E955">
            <v>0</v>
          </cell>
          <cell r="F955">
            <v>0</v>
          </cell>
          <cell r="G955">
            <v>0</v>
          </cell>
          <cell r="H955">
            <v>134.74</v>
          </cell>
        </row>
        <row r="956">
          <cell r="A956" t="str">
            <v>00316381</v>
          </cell>
          <cell r="B956" t="str">
            <v>A'COAT 450E SET LIEB GREY     2000AM1500</v>
          </cell>
          <cell r="C956" t="str">
            <v>PMC</v>
          </cell>
          <cell r="D956">
            <v>252.54</v>
          </cell>
          <cell r="E956">
            <v>0</v>
          </cell>
          <cell r="F956">
            <v>0</v>
          </cell>
          <cell r="G956">
            <v>0</v>
          </cell>
          <cell r="H956">
            <v>252.54</v>
          </cell>
        </row>
        <row r="957">
          <cell r="A957" t="str">
            <v>00316382</v>
          </cell>
          <cell r="B957" t="str">
            <v>A'COAT 450E SET LIEB GREY     2000AM2200</v>
          </cell>
          <cell r="C957" t="str">
            <v>PMC</v>
          </cell>
          <cell r="D957">
            <v>1010.13</v>
          </cell>
          <cell r="E957">
            <v>0</v>
          </cell>
          <cell r="F957">
            <v>0</v>
          </cell>
          <cell r="G957">
            <v>0</v>
          </cell>
          <cell r="H957">
            <v>1010.13</v>
          </cell>
        </row>
        <row r="958">
          <cell r="A958" t="str">
            <v>00318224</v>
          </cell>
          <cell r="B958" t="str">
            <v>A'COAT 450E SET LIEB YELLOW   8000AM1500</v>
          </cell>
          <cell r="C958" t="str">
            <v>PMC</v>
          </cell>
          <cell r="D958">
            <v>252.54</v>
          </cell>
          <cell r="E958">
            <v>0</v>
          </cell>
          <cell r="F958">
            <v>0</v>
          </cell>
          <cell r="G958">
            <v>0</v>
          </cell>
          <cell r="H958">
            <v>252.54</v>
          </cell>
        </row>
        <row r="959">
          <cell r="A959" t="str">
            <v>00318225</v>
          </cell>
          <cell r="B959" t="str">
            <v>A'COAT 450E SET LIEB YELLOW   8000AM2200</v>
          </cell>
          <cell r="C959" t="str">
            <v>PMC</v>
          </cell>
          <cell r="D959">
            <v>1010.13</v>
          </cell>
          <cell r="E959">
            <v>0</v>
          </cell>
          <cell r="F959">
            <v>0</v>
          </cell>
          <cell r="G959">
            <v>0</v>
          </cell>
          <cell r="H959">
            <v>1010.13</v>
          </cell>
        </row>
        <row r="960">
          <cell r="A960" t="str">
            <v>00288877</v>
          </cell>
          <cell r="B960" t="str">
            <v>A'COAT 71 PRI SET OXIDE RED   7000AM1500</v>
          </cell>
          <cell r="C960" t="str">
            <v>PMC</v>
          </cell>
          <cell r="D960">
            <v>140.87</v>
          </cell>
          <cell r="E960">
            <v>0</v>
          </cell>
          <cell r="F960">
            <v>0</v>
          </cell>
          <cell r="G960">
            <v>0</v>
          </cell>
          <cell r="H960">
            <v>140.87</v>
          </cell>
        </row>
        <row r="961">
          <cell r="A961" t="str">
            <v>00283414</v>
          </cell>
          <cell r="B961" t="str">
            <v>A'COAT 71 PRI SET OXIDE RED   7000AM2200</v>
          </cell>
          <cell r="C961" t="str">
            <v>PMC</v>
          </cell>
          <cell r="D961">
            <v>563.49</v>
          </cell>
          <cell r="E961">
            <v>0</v>
          </cell>
          <cell r="F961">
            <v>0</v>
          </cell>
          <cell r="G961">
            <v>0</v>
          </cell>
          <cell r="H961">
            <v>563.49</v>
          </cell>
        </row>
        <row r="962">
          <cell r="A962" t="str">
            <v>00288880</v>
          </cell>
          <cell r="B962" t="str">
            <v>A'COAT 71 TIECOAT SET OFFWH   3300AM1500</v>
          </cell>
          <cell r="C962" t="str">
            <v>PMC</v>
          </cell>
          <cell r="D962">
            <v>140.87</v>
          </cell>
          <cell r="E962">
            <v>0</v>
          </cell>
          <cell r="F962">
            <v>0</v>
          </cell>
          <cell r="G962">
            <v>0</v>
          </cell>
          <cell r="H962">
            <v>140.87</v>
          </cell>
        </row>
        <row r="963">
          <cell r="A963" t="str">
            <v>00283417</v>
          </cell>
          <cell r="B963" t="str">
            <v>A'COAT 71 TIECOAT SET OFFWH   3300AM2200</v>
          </cell>
          <cell r="C963" t="str">
            <v>PMC</v>
          </cell>
          <cell r="D963">
            <v>617.02</v>
          </cell>
          <cell r="E963">
            <v>0</v>
          </cell>
          <cell r="F963">
            <v>0</v>
          </cell>
          <cell r="G963">
            <v>0</v>
          </cell>
          <cell r="H963">
            <v>617.02</v>
          </cell>
        </row>
        <row r="964">
          <cell r="A964" t="str">
            <v>00283418</v>
          </cell>
          <cell r="B964" t="str">
            <v>A'COAT 71 TIECOAT SET OX RED  7001AM1500</v>
          </cell>
          <cell r="C964" t="str">
            <v>PMC</v>
          </cell>
          <cell r="D964">
            <v>140.87</v>
          </cell>
          <cell r="E964">
            <v>0</v>
          </cell>
          <cell r="F964">
            <v>0</v>
          </cell>
          <cell r="G964">
            <v>0</v>
          </cell>
          <cell r="H964">
            <v>140.87</v>
          </cell>
        </row>
        <row r="965">
          <cell r="A965" t="str">
            <v>00291521</v>
          </cell>
          <cell r="B965" t="str">
            <v>A'COAT 71 TIECOAT SET OX RED  7001AM2200</v>
          </cell>
          <cell r="C965" t="str">
            <v>PMC</v>
          </cell>
          <cell r="D965">
            <v>617.02</v>
          </cell>
          <cell r="E965">
            <v>0</v>
          </cell>
          <cell r="F965">
            <v>0</v>
          </cell>
          <cell r="G965">
            <v>0</v>
          </cell>
          <cell r="H965">
            <v>617.02</v>
          </cell>
        </row>
        <row r="966">
          <cell r="A966" t="str">
            <v>00290613</v>
          </cell>
          <cell r="B966" t="str">
            <v>A'LOCK 2 C SET BLACK          9000AM1500</v>
          </cell>
          <cell r="C966" t="str">
            <v>PMC</v>
          </cell>
          <cell r="D966">
            <v>176.91</v>
          </cell>
          <cell r="E966">
            <v>0</v>
          </cell>
          <cell r="F966">
            <v>0</v>
          </cell>
          <cell r="G966">
            <v>0</v>
          </cell>
          <cell r="H966">
            <v>176.91</v>
          </cell>
        </row>
        <row r="967">
          <cell r="A967" t="str">
            <v>00290627</v>
          </cell>
          <cell r="B967" t="str">
            <v>A'LOCK 2 C SET MIO BLACK      9000AM2200</v>
          </cell>
          <cell r="C967" t="str">
            <v>PMC</v>
          </cell>
          <cell r="D967">
            <v>707.61</v>
          </cell>
          <cell r="E967">
            <v>0</v>
          </cell>
          <cell r="F967">
            <v>0</v>
          </cell>
          <cell r="G967">
            <v>0</v>
          </cell>
          <cell r="H967">
            <v>707.61</v>
          </cell>
        </row>
        <row r="968">
          <cell r="A968" t="str">
            <v>00292336</v>
          </cell>
          <cell r="B968" t="str">
            <v>A'LOCK 2 C SET RAL            7040262200</v>
          </cell>
          <cell r="C968" t="str">
            <v>PMC</v>
          </cell>
          <cell r="D968">
            <v>707.61</v>
          </cell>
          <cell r="E968">
            <v>0</v>
          </cell>
          <cell r="F968">
            <v>0</v>
          </cell>
          <cell r="G968">
            <v>0</v>
          </cell>
          <cell r="H968">
            <v>707.61</v>
          </cell>
        </row>
        <row r="969">
          <cell r="A969" t="str">
            <v>00292337</v>
          </cell>
          <cell r="B969" t="str">
            <v>A'LOCK 2 C SET RAL            7043262200</v>
          </cell>
          <cell r="C969" t="str">
            <v>PMC</v>
          </cell>
          <cell r="D969">
            <v>707.61</v>
          </cell>
          <cell r="E969">
            <v>0</v>
          </cell>
          <cell r="F969">
            <v>0</v>
          </cell>
          <cell r="G969">
            <v>0</v>
          </cell>
          <cell r="H969">
            <v>707.61</v>
          </cell>
        </row>
        <row r="970">
          <cell r="A970" t="str">
            <v>00290639</v>
          </cell>
          <cell r="B970" t="str">
            <v>A'LOCK 2 C SET RAL            9002262200</v>
          </cell>
          <cell r="C970" t="str">
            <v>PMC</v>
          </cell>
          <cell r="D970">
            <v>707.61</v>
          </cell>
          <cell r="E970">
            <v>0</v>
          </cell>
          <cell r="F970">
            <v>0</v>
          </cell>
          <cell r="G970">
            <v>0</v>
          </cell>
          <cell r="H970">
            <v>707.61</v>
          </cell>
        </row>
        <row r="971">
          <cell r="A971" t="str">
            <v>00289004</v>
          </cell>
          <cell r="B971" t="str">
            <v>A'LOCK 400 C SET WHITE        3000AM1500</v>
          </cell>
          <cell r="C971" t="str">
            <v>PMC</v>
          </cell>
          <cell r="D971">
            <v>142.88999999999999</v>
          </cell>
          <cell r="E971">
            <v>0</v>
          </cell>
          <cell r="F971">
            <v>0</v>
          </cell>
          <cell r="G971">
            <v>0</v>
          </cell>
          <cell r="H971">
            <v>142.88999999999999</v>
          </cell>
        </row>
        <row r="972">
          <cell r="A972" t="str">
            <v>00289006</v>
          </cell>
          <cell r="B972" t="str">
            <v>A'LOCK 400AL SET              0000AM2200</v>
          </cell>
          <cell r="C972" t="str">
            <v>PMC</v>
          </cell>
          <cell r="D972">
            <v>792.48</v>
          </cell>
          <cell r="E972">
            <v>0</v>
          </cell>
          <cell r="F972">
            <v>0</v>
          </cell>
          <cell r="G972">
            <v>0</v>
          </cell>
          <cell r="H972">
            <v>792.48</v>
          </cell>
        </row>
        <row r="973">
          <cell r="A973" t="str">
            <v>00285361</v>
          </cell>
          <cell r="B973" t="str">
            <v>A'LOCK 400AL SET              9000001500</v>
          </cell>
          <cell r="C973" t="str">
            <v>PMC</v>
          </cell>
          <cell r="D973">
            <v>198.13</v>
          </cell>
          <cell r="E973">
            <v>0</v>
          </cell>
          <cell r="F973">
            <v>0</v>
          </cell>
          <cell r="G973">
            <v>0</v>
          </cell>
          <cell r="H973">
            <v>198.13</v>
          </cell>
        </row>
        <row r="974">
          <cell r="A974" t="str">
            <v>00102689</v>
          </cell>
          <cell r="B974" t="str">
            <v>ANTISKID POWDER 32020002    0000NAEU1500</v>
          </cell>
          <cell r="C974" t="str">
            <v>PMC</v>
          </cell>
          <cell r="D974">
            <v>63.67</v>
          </cell>
          <cell r="E974">
            <v>0</v>
          </cell>
          <cell r="F974">
            <v>0</v>
          </cell>
          <cell r="G974">
            <v>0</v>
          </cell>
          <cell r="H974">
            <v>63.67</v>
          </cell>
        </row>
        <row r="975">
          <cell r="A975" t="str">
            <v>00146103</v>
          </cell>
          <cell r="B975" t="str">
            <v>AQUACOVER 45 WHITE          700000EU2200</v>
          </cell>
          <cell r="C975" t="str">
            <v>PMC</v>
          </cell>
          <cell r="D975">
            <v>482</v>
          </cell>
          <cell r="E975">
            <v>0</v>
          </cell>
          <cell r="F975">
            <v>0</v>
          </cell>
          <cell r="G975">
            <v>0</v>
          </cell>
          <cell r="H975">
            <v>482</v>
          </cell>
        </row>
        <row r="976">
          <cell r="A976" t="str">
            <v>00268430</v>
          </cell>
          <cell r="B976" t="str">
            <v>AQUAWELD 100 SET REDBROWN     2008002180</v>
          </cell>
          <cell r="C976" t="str">
            <v>PMC</v>
          </cell>
          <cell r="D976">
            <v>712.47</v>
          </cell>
          <cell r="E976">
            <v>0</v>
          </cell>
          <cell r="F976">
            <v>0</v>
          </cell>
          <cell r="G976">
            <v>0</v>
          </cell>
          <cell r="H976">
            <v>712.47</v>
          </cell>
        </row>
        <row r="977">
          <cell r="A977" t="str">
            <v>00737924</v>
          </cell>
          <cell r="B977" t="str">
            <v>ARTEX 100 GYPROC CORNICE STRIPS PK8</v>
          </cell>
          <cell r="C977" t="str">
            <v>Artex</v>
          </cell>
          <cell r="D977">
            <v>65.27</v>
          </cell>
          <cell r="E977">
            <v>0</v>
          </cell>
          <cell r="F977">
            <v>0</v>
          </cell>
          <cell r="G977">
            <v>0</v>
          </cell>
          <cell r="H977">
            <v>65.27</v>
          </cell>
        </row>
        <row r="978">
          <cell r="A978" t="str">
            <v>00633148</v>
          </cell>
          <cell r="B978" t="str">
            <v>ARTEX ANGLE BEAD   2.4MX 30MM 5200009020</v>
          </cell>
          <cell r="C978" t="str">
            <v>Artex</v>
          </cell>
          <cell r="D978">
            <v>3.74</v>
          </cell>
          <cell r="E978">
            <v>0</v>
          </cell>
          <cell r="F978">
            <v>0</v>
          </cell>
          <cell r="G978">
            <v>0</v>
          </cell>
          <cell r="H978">
            <v>3.74</v>
          </cell>
        </row>
        <row r="979">
          <cell r="A979" t="str">
            <v>00633147</v>
          </cell>
          <cell r="B979" t="str">
            <v>ARTEX ANGLE BEAD   3M X 30MM  5200009019</v>
          </cell>
          <cell r="C979" t="str">
            <v>Artex</v>
          </cell>
          <cell r="D979">
            <v>4.4000000000000004</v>
          </cell>
          <cell r="E979">
            <v>0</v>
          </cell>
          <cell r="F979">
            <v>0</v>
          </cell>
          <cell r="G979">
            <v>0</v>
          </cell>
          <cell r="H979">
            <v>4.4000000000000004</v>
          </cell>
        </row>
        <row r="980">
          <cell r="A980" t="str">
            <v>00636710</v>
          </cell>
          <cell r="B980" t="str">
            <v>ARTEX AQUABEAD     2500</v>
          </cell>
          <cell r="C980" t="str">
            <v>Artex</v>
          </cell>
          <cell r="D980">
            <v>7.64</v>
          </cell>
          <cell r="E980">
            <v>0</v>
          </cell>
          <cell r="F980">
            <v>0</v>
          </cell>
          <cell r="G980">
            <v>0</v>
          </cell>
          <cell r="H980">
            <v>7.64</v>
          </cell>
        </row>
        <row r="981">
          <cell r="A981" t="str">
            <v>00724589</v>
          </cell>
          <cell r="B981" t="str">
            <v>ARTEX ATREX SERVIC CHARGE     &amp; REPAIR</v>
          </cell>
          <cell r="C981" t="str">
            <v>Artex</v>
          </cell>
          <cell r="D981">
            <v>160.57</v>
          </cell>
          <cell r="E981">
            <v>0</v>
          </cell>
          <cell r="F981">
            <v>0</v>
          </cell>
          <cell r="G981">
            <v>0</v>
          </cell>
          <cell r="H981">
            <v>160.57</v>
          </cell>
        </row>
        <row r="982">
          <cell r="A982" t="str">
            <v>00726621</v>
          </cell>
          <cell r="B982" t="str">
            <v>ARTEX BLUE CHALK   REFILL     5200115212</v>
          </cell>
          <cell r="C982" t="str">
            <v>Artex</v>
          </cell>
          <cell r="D982">
            <v>2.59</v>
          </cell>
          <cell r="E982">
            <v>0</v>
          </cell>
          <cell r="F982">
            <v>0</v>
          </cell>
          <cell r="G982">
            <v>0</v>
          </cell>
          <cell r="H982">
            <v>2.59</v>
          </cell>
        </row>
        <row r="983">
          <cell r="A983" t="str">
            <v>00643612</v>
          </cell>
          <cell r="B983" t="str">
            <v>ARTEX BOARD FINISH 25KG</v>
          </cell>
          <cell r="C983" t="str">
            <v>Artex</v>
          </cell>
          <cell r="D983">
            <v>9.74</v>
          </cell>
          <cell r="E983">
            <v>0</v>
          </cell>
          <cell r="F983">
            <v>0</v>
          </cell>
          <cell r="G983">
            <v>0</v>
          </cell>
          <cell r="H983">
            <v>9.74</v>
          </cell>
        </row>
        <row r="984">
          <cell r="A984" t="str">
            <v>00643610</v>
          </cell>
          <cell r="B984" t="str">
            <v>ARTEX BROWNING     25KG       0000002250</v>
          </cell>
          <cell r="C984" t="str">
            <v>Artex</v>
          </cell>
          <cell r="D984">
            <v>14.26</v>
          </cell>
          <cell r="E984">
            <v>0</v>
          </cell>
          <cell r="F984">
            <v>0</v>
          </cell>
          <cell r="G984">
            <v>0</v>
          </cell>
          <cell r="H984">
            <v>14.26</v>
          </cell>
        </row>
        <row r="985">
          <cell r="A985" t="str">
            <v>00718514</v>
          </cell>
          <cell r="B985" t="str">
            <v>ARTEX CEILING 25K  FIN 19340  12406 2250</v>
          </cell>
          <cell r="C985" t="str">
            <v>Artex</v>
          </cell>
          <cell r="D985">
            <v>37.06</v>
          </cell>
          <cell r="E985">
            <v>0</v>
          </cell>
          <cell r="F985">
            <v>0</v>
          </cell>
          <cell r="G985">
            <v>0</v>
          </cell>
          <cell r="H985">
            <v>37.06</v>
          </cell>
        </row>
        <row r="986">
          <cell r="A986" t="str">
            <v>00727858</v>
          </cell>
          <cell r="B986" t="str">
            <v>ARTEX CEILING ROSE CAVENDISH 36CM 72704</v>
          </cell>
          <cell r="C986" t="str">
            <v>Artex</v>
          </cell>
          <cell r="D986">
            <v>30.91</v>
          </cell>
          <cell r="E986">
            <v>0</v>
          </cell>
          <cell r="F986">
            <v>0</v>
          </cell>
          <cell r="G986">
            <v>0</v>
          </cell>
          <cell r="H986">
            <v>30.91</v>
          </cell>
        </row>
        <row r="987">
          <cell r="A987" t="str">
            <v>00725410</v>
          </cell>
          <cell r="B987" t="str">
            <v>ARTEX CHALK LINE   15M</v>
          </cell>
          <cell r="C987" t="str">
            <v>Artex</v>
          </cell>
          <cell r="D987">
            <v>8.77</v>
          </cell>
          <cell r="E987">
            <v>0</v>
          </cell>
          <cell r="F987">
            <v>0</v>
          </cell>
          <cell r="G987">
            <v>0</v>
          </cell>
          <cell r="H987">
            <v>8.77</v>
          </cell>
        </row>
        <row r="988">
          <cell r="A988" t="str">
            <v>00718564</v>
          </cell>
          <cell r="B988" t="str">
            <v>ARTEX CORNIC STRIP GYP 60019  CORNICE (6</v>
          </cell>
          <cell r="C988" t="str">
            <v>Artex</v>
          </cell>
          <cell r="D988">
            <v>67.290000000000006</v>
          </cell>
          <cell r="E988">
            <v>0</v>
          </cell>
          <cell r="F988">
            <v>0</v>
          </cell>
          <cell r="G988">
            <v>0</v>
          </cell>
          <cell r="H988">
            <v>67.290000000000006</v>
          </cell>
        </row>
        <row r="989">
          <cell r="A989" t="str">
            <v>00610763</v>
          </cell>
          <cell r="B989" t="str">
            <v>ARTEX COVE    ADH 12.5KG</v>
          </cell>
          <cell r="C989" t="str">
            <v>Artex</v>
          </cell>
          <cell r="D989">
            <v>24.91</v>
          </cell>
          <cell r="E989">
            <v>0</v>
          </cell>
          <cell r="F989">
            <v>0</v>
          </cell>
          <cell r="G989">
            <v>0</v>
          </cell>
          <cell r="H989">
            <v>24.91</v>
          </cell>
        </row>
        <row r="990">
          <cell r="A990" t="str">
            <v>00610764</v>
          </cell>
          <cell r="B990" t="str">
            <v>ARTEX COVE    ADH 5KG</v>
          </cell>
          <cell r="C990" t="str">
            <v>Artex</v>
          </cell>
          <cell r="D990">
            <v>12.88</v>
          </cell>
          <cell r="E990">
            <v>0</v>
          </cell>
          <cell r="F990">
            <v>0</v>
          </cell>
          <cell r="G990">
            <v>0</v>
          </cell>
          <cell r="H990">
            <v>12.88</v>
          </cell>
        </row>
        <row r="991">
          <cell r="A991" t="str">
            <v>00718536</v>
          </cell>
          <cell r="B991" t="str">
            <v>ARTEX DEC CORNICE  ADAM 50023 DEC. CORNI</v>
          </cell>
          <cell r="C991" t="str">
            <v>Artex</v>
          </cell>
          <cell r="D991">
            <v>60.88</v>
          </cell>
          <cell r="E991">
            <v>0</v>
          </cell>
          <cell r="F991">
            <v>0</v>
          </cell>
          <cell r="G991">
            <v>0</v>
          </cell>
          <cell r="H991">
            <v>60.88</v>
          </cell>
        </row>
        <row r="992">
          <cell r="A992" t="str">
            <v>00718543</v>
          </cell>
          <cell r="B992" t="str">
            <v>ARTEX DEC CORNICE  ROMAN50323 DEC. CORNI</v>
          </cell>
          <cell r="C992" t="str">
            <v>Artex</v>
          </cell>
          <cell r="D992">
            <v>60.88</v>
          </cell>
          <cell r="E992">
            <v>0</v>
          </cell>
          <cell r="F992">
            <v>0</v>
          </cell>
          <cell r="G992">
            <v>0</v>
          </cell>
          <cell r="H992">
            <v>60.88</v>
          </cell>
        </row>
        <row r="993">
          <cell r="A993" t="str">
            <v>00643616</v>
          </cell>
          <cell r="B993" t="str">
            <v>ARTEX DRI WALL     ADHESIVE         2250</v>
          </cell>
          <cell r="C993" t="str">
            <v>Artex</v>
          </cell>
          <cell r="D993">
            <v>12.92</v>
          </cell>
          <cell r="E993">
            <v>0</v>
          </cell>
          <cell r="F993">
            <v>0</v>
          </cell>
          <cell r="G993">
            <v>0</v>
          </cell>
          <cell r="H993">
            <v>12.92</v>
          </cell>
        </row>
        <row r="994">
          <cell r="A994" t="str">
            <v>00633149</v>
          </cell>
          <cell r="B994" t="str">
            <v>ARTEX EASY FLEX    30M X 79MM 5200689759</v>
          </cell>
          <cell r="C994" t="str">
            <v>Artex</v>
          </cell>
          <cell r="D994">
            <v>91.5</v>
          </cell>
          <cell r="E994">
            <v>0</v>
          </cell>
          <cell r="F994">
            <v>0</v>
          </cell>
          <cell r="G994">
            <v>0</v>
          </cell>
          <cell r="H994">
            <v>91.5</v>
          </cell>
        </row>
        <row r="995">
          <cell r="A995" t="str">
            <v>00736798</v>
          </cell>
          <cell r="B995" t="str">
            <v>ARTEX FEATURE EXT  CORNER</v>
          </cell>
          <cell r="C995" t="str">
            <v>Artex</v>
          </cell>
          <cell r="D995">
            <v>24.12</v>
          </cell>
          <cell r="E995">
            <v>0</v>
          </cell>
          <cell r="F995">
            <v>0</v>
          </cell>
          <cell r="G995">
            <v>0</v>
          </cell>
          <cell r="H995">
            <v>24.12</v>
          </cell>
        </row>
        <row r="996">
          <cell r="A996" t="str">
            <v>00718475</v>
          </cell>
          <cell r="B996" t="str">
            <v>ARTEX GYP JNT KNIF 350MM 9363 KNIFE 0936</v>
          </cell>
          <cell r="C996" t="str">
            <v>Artex</v>
          </cell>
          <cell r="D996">
            <v>18.46</v>
          </cell>
          <cell r="E996">
            <v>0</v>
          </cell>
          <cell r="F996">
            <v>0</v>
          </cell>
          <cell r="G996">
            <v>0</v>
          </cell>
          <cell r="H996">
            <v>18.46</v>
          </cell>
        </row>
        <row r="997">
          <cell r="A997" t="str">
            <v>00718433</v>
          </cell>
          <cell r="B997" t="str">
            <v>ARTEX GYPROC CORNI ADH 60026  0000001500</v>
          </cell>
          <cell r="C997" t="str">
            <v>Artex</v>
          </cell>
          <cell r="D997">
            <v>12.39</v>
          </cell>
          <cell r="E997">
            <v>0</v>
          </cell>
          <cell r="F997">
            <v>0</v>
          </cell>
          <cell r="G997">
            <v>0</v>
          </cell>
          <cell r="H997">
            <v>12.39</v>
          </cell>
        </row>
        <row r="998">
          <cell r="A998" t="str">
            <v>00718438</v>
          </cell>
          <cell r="B998" t="str">
            <v>ARTEX GYPROC COVE  3.6M X 127MM 60012</v>
          </cell>
          <cell r="C998" t="str">
            <v>Artex</v>
          </cell>
          <cell r="D998">
            <v>10</v>
          </cell>
          <cell r="E998">
            <v>0</v>
          </cell>
          <cell r="F998">
            <v>0</v>
          </cell>
          <cell r="G998">
            <v>0</v>
          </cell>
          <cell r="H998">
            <v>10</v>
          </cell>
        </row>
        <row r="999">
          <cell r="A999" t="str">
            <v>00718437</v>
          </cell>
          <cell r="B999" t="str">
            <v>ARTEX GYPROC COVE 3M X 127MM 60015</v>
          </cell>
          <cell r="C999" t="str">
            <v>Artex</v>
          </cell>
          <cell r="D999">
            <v>5.0999999999999996</v>
          </cell>
          <cell r="E999">
            <v>0</v>
          </cell>
          <cell r="F999">
            <v>0</v>
          </cell>
          <cell r="G999">
            <v>0</v>
          </cell>
          <cell r="H999">
            <v>5.0999999999999996</v>
          </cell>
        </row>
        <row r="1000">
          <cell r="A1000" t="str">
            <v>00720260</v>
          </cell>
          <cell r="B1000" t="str">
            <v>ARTEX H/D PLAST MX 60040WHEEL PLASTER MI</v>
          </cell>
          <cell r="C1000" t="str">
            <v>Artex</v>
          </cell>
          <cell r="D1000">
            <v>33.549999999999997</v>
          </cell>
          <cell r="E1000">
            <v>0</v>
          </cell>
          <cell r="F1000">
            <v>0</v>
          </cell>
          <cell r="G1000">
            <v>0</v>
          </cell>
          <cell r="H1000">
            <v>33.549999999999997</v>
          </cell>
        </row>
        <row r="1001">
          <cell r="A1001" t="str">
            <v>00643609</v>
          </cell>
          <cell r="B1001" t="str">
            <v>ARTEX HARDWALL     25KG             2250</v>
          </cell>
          <cell r="C1001" t="str">
            <v>Artex</v>
          </cell>
          <cell r="D1001">
            <v>14.98</v>
          </cell>
          <cell r="E1001">
            <v>0</v>
          </cell>
          <cell r="F1001">
            <v>0</v>
          </cell>
          <cell r="G1001">
            <v>0</v>
          </cell>
          <cell r="H1001">
            <v>14.98</v>
          </cell>
        </row>
        <row r="1002">
          <cell r="A1002" t="str">
            <v>00608507</v>
          </cell>
          <cell r="B1002" t="str">
            <v>ARTEX JOINT FILLER 12.5KG</v>
          </cell>
          <cell r="C1002" t="str">
            <v>Artex</v>
          </cell>
          <cell r="D1002">
            <v>13.83</v>
          </cell>
          <cell r="E1002">
            <v>0</v>
          </cell>
          <cell r="F1002">
            <v>0</v>
          </cell>
          <cell r="G1002">
            <v>0</v>
          </cell>
          <cell r="H1002">
            <v>13.83</v>
          </cell>
        </row>
        <row r="1003">
          <cell r="A1003" t="str">
            <v>00643614</v>
          </cell>
          <cell r="B1003" t="str">
            <v>ARTEX MAGNETIC     PLASTER          2250</v>
          </cell>
          <cell r="C1003" t="str">
            <v>Artex</v>
          </cell>
          <cell r="D1003">
            <v>120.1</v>
          </cell>
          <cell r="E1003">
            <v>0</v>
          </cell>
          <cell r="F1003">
            <v>0</v>
          </cell>
          <cell r="G1003">
            <v>0</v>
          </cell>
          <cell r="H1003">
            <v>120.1</v>
          </cell>
        </row>
        <row r="1004">
          <cell r="A1004" t="str">
            <v>00737044</v>
          </cell>
          <cell r="B1004" t="str">
            <v>ARTEX MP ADHESIVE             5200601486</v>
          </cell>
          <cell r="C1004" t="str">
            <v>Artex</v>
          </cell>
          <cell r="D1004">
            <v>15.3</v>
          </cell>
          <cell r="E1004">
            <v>0</v>
          </cell>
          <cell r="F1004">
            <v>0</v>
          </cell>
          <cell r="G1004">
            <v>0</v>
          </cell>
          <cell r="H1004">
            <v>15.3</v>
          </cell>
        </row>
        <row r="1005">
          <cell r="A1005" t="str">
            <v>00643611</v>
          </cell>
          <cell r="B1005" t="str">
            <v>ARTEX MULTI FINISH 25KG             2250</v>
          </cell>
          <cell r="C1005" t="str">
            <v>Artex</v>
          </cell>
          <cell r="D1005">
            <v>11.08</v>
          </cell>
          <cell r="E1005">
            <v>0</v>
          </cell>
          <cell r="F1005">
            <v>0</v>
          </cell>
          <cell r="G1005">
            <v>0</v>
          </cell>
          <cell r="H1005">
            <v>11.08</v>
          </cell>
        </row>
        <row r="1006">
          <cell r="A1006" t="str">
            <v>00729997</v>
          </cell>
          <cell r="B1006" t="str">
            <v>ARTEX PRO SET      17.5KG     5200432668</v>
          </cell>
          <cell r="C1006" t="str">
            <v>Artex</v>
          </cell>
          <cell r="D1006">
            <v>40.56</v>
          </cell>
          <cell r="E1006">
            <v>0</v>
          </cell>
          <cell r="F1006">
            <v>0</v>
          </cell>
          <cell r="G1006">
            <v>0</v>
          </cell>
          <cell r="H1006">
            <v>40.56</v>
          </cell>
        </row>
        <row r="1007">
          <cell r="A1007" t="str">
            <v>00726530</v>
          </cell>
          <cell r="B1007" t="str">
            <v>ARTEX PYRAMID      BLADE      7111</v>
          </cell>
          <cell r="C1007" t="str">
            <v>Artex</v>
          </cell>
          <cell r="D1007">
            <v>2.2799999999999998</v>
          </cell>
          <cell r="E1007">
            <v>0</v>
          </cell>
          <cell r="F1007">
            <v>0</v>
          </cell>
          <cell r="G1007">
            <v>0</v>
          </cell>
          <cell r="H1007">
            <v>2.2799999999999998</v>
          </cell>
        </row>
        <row r="1008">
          <cell r="A1008" t="str">
            <v>00731920</v>
          </cell>
          <cell r="B1008" t="str">
            <v>ARTEX RE-USEABLE              VAC BAGS</v>
          </cell>
          <cell r="C1008" t="str">
            <v>Artex</v>
          </cell>
          <cell r="D1008">
            <v>28.1</v>
          </cell>
          <cell r="E1008">
            <v>0</v>
          </cell>
          <cell r="F1008">
            <v>0</v>
          </cell>
          <cell r="G1008">
            <v>0</v>
          </cell>
          <cell r="H1008">
            <v>28.1</v>
          </cell>
        </row>
        <row r="1009">
          <cell r="A1009" t="str">
            <v>00718576</v>
          </cell>
          <cell r="B1009" t="str">
            <v>ARTEX R'MOND CORNI 88236      DPM 5M MUL</v>
          </cell>
          <cell r="C1009" t="str">
            <v>Artex</v>
          </cell>
          <cell r="D1009">
            <v>44.85</v>
          </cell>
          <cell r="E1009">
            <v>0</v>
          </cell>
          <cell r="F1009">
            <v>0</v>
          </cell>
          <cell r="G1009">
            <v>0</v>
          </cell>
          <cell r="H1009">
            <v>44.85</v>
          </cell>
        </row>
        <row r="1010">
          <cell r="A1010" t="str">
            <v>00726899</v>
          </cell>
          <cell r="B1010" t="str">
            <v>ARTEX SANDING      5200425706 DISCS 150G</v>
          </cell>
          <cell r="C1010" t="str">
            <v>Artex</v>
          </cell>
          <cell r="D1010">
            <v>57.96</v>
          </cell>
          <cell r="E1010">
            <v>0</v>
          </cell>
          <cell r="F1010">
            <v>0</v>
          </cell>
          <cell r="G1010">
            <v>0</v>
          </cell>
          <cell r="H1010">
            <v>57.96</v>
          </cell>
        </row>
        <row r="1011">
          <cell r="A1011" t="str">
            <v>00718559</v>
          </cell>
          <cell r="B1011" t="str">
            <v>ARTEX SCULPTURED   COVE 3M    X135MM</v>
          </cell>
          <cell r="C1011" t="str">
            <v>Artex</v>
          </cell>
          <cell r="D1011">
            <v>9.34</v>
          </cell>
          <cell r="E1011">
            <v>0</v>
          </cell>
          <cell r="F1011">
            <v>0</v>
          </cell>
          <cell r="G1011">
            <v>0</v>
          </cell>
          <cell r="H1011">
            <v>9.34</v>
          </cell>
        </row>
        <row r="1012">
          <cell r="A1012" t="str">
            <v>00736194</v>
          </cell>
          <cell r="B1012" t="str">
            <v>ARTEX SCULPTURED   LARGE 54CM ROSE</v>
          </cell>
          <cell r="C1012" t="str">
            <v>Artex</v>
          </cell>
          <cell r="D1012">
            <v>44.51</v>
          </cell>
          <cell r="E1012">
            <v>0</v>
          </cell>
          <cell r="F1012">
            <v>0</v>
          </cell>
          <cell r="G1012">
            <v>0</v>
          </cell>
          <cell r="H1012">
            <v>44.51</v>
          </cell>
        </row>
        <row r="1013">
          <cell r="A1013" t="str">
            <v>00717964</v>
          </cell>
          <cell r="B1013" t="str">
            <v>ARTEX TEXT'D POWDR FIN 60089        1500</v>
          </cell>
          <cell r="C1013" t="str">
            <v>Artex</v>
          </cell>
          <cell r="D1013">
            <v>18.329999999999998</v>
          </cell>
          <cell r="E1013">
            <v>0</v>
          </cell>
          <cell r="F1013">
            <v>0</v>
          </cell>
          <cell r="G1013">
            <v>0</v>
          </cell>
          <cell r="H1013">
            <v>18.329999999999998</v>
          </cell>
        </row>
        <row r="1014">
          <cell r="A1014" t="str">
            <v>00643613</v>
          </cell>
          <cell r="B1014" t="str">
            <v>ARTEX THISTLE      UNFINISH   25KG</v>
          </cell>
          <cell r="C1014" t="str">
            <v>Artex</v>
          </cell>
          <cell r="D1014">
            <v>17.54</v>
          </cell>
          <cell r="E1014">
            <v>0</v>
          </cell>
          <cell r="F1014">
            <v>0</v>
          </cell>
          <cell r="G1014">
            <v>0</v>
          </cell>
          <cell r="H1014">
            <v>17.54</v>
          </cell>
        </row>
        <row r="1015">
          <cell r="A1015" t="str">
            <v>00717972</v>
          </cell>
          <cell r="B1015" t="str">
            <v>ARTEX U/C PLASTER  2.5KG      PLASTE2125</v>
          </cell>
          <cell r="C1015" t="str">
            <v>Artex</v>
          </cell>
          <cell r="D1015">
            <v>11.73</v>
          </cell>
          <cell r="E1015">
            <v>0</v>
          </cell>
          <cell r="F1015">
            <v>0</v>
          </cell>
          <cell r="G1015">
            <v>0</v>
          </cell>
          <cell r="H1015">
            <v>11.73</v>
          </cell>
        </row>
        <row r="1016">
          <cell r="A1016" t="str">
            <v>00718517</v>
          </cell>
          <cell r="B1016" t="str">
            <v>ARTEX VELCRO PAD   HEAD 19403 FOR SANDER</v>
          </cell>
          <cell r="C1016" t="str">
            <v>Artex</v>
          </cell>
          <cell r="D1016">
            <v>35.270000000000003</v>
          </cell>
          <cell r="E1016">
            <v>0</v>
          </cell>
          <cell r="F1016">
            <v>0</v>
          </cell>
          <cell r="G1016">
            <v>0</v>
          </cell>
          <cell r="H1016">
            <v>35.270000000000003</v>
          </cell>
        </row>
        <row r="1017">
          <cell r="A1017" t="str">
            <v>00680212</v>
          </cell>
          <cell r="B1017" t="str">
            <v>BLINE READY MIXED  PASTE      0000000900</v>
          </cell>
          <cell r="C1017" t="str">
            <v>BeeLine</v>
          </cell>
          <cell r="D1017">
            <v>42.36</v>
          </cell>
          <cell r="E1017">
            <v>0</v>
          </cell>
          <cell r="F1017">
            <v>0</v>
          </cell>
          <cell r="G1017">
            <v>0</v>
          </cell>
          <cell r="H1017">
            <v>42.36</v>
          </cell>
        </row>
        <row r="1018">
          <cell r="A1018" t="str">
            <v>00643642</v>
          </cell>
          <cell r="B1018" t="str">
            <v>BLKFR 2PK WB FLOOR EPOX PASTL 0000001500</v>
          </cell>
          <cell r="C1018" t="str">
            <v>Blackfriar</v>
          </cell>
          <cell r="D1018">
            <v>151.91999999999999</v>
          </cell>
          <cell r="E1018">
            <v>0</v>
          </cell>
          <cell r="F1018">
            <v>0</v>
          </cell>
          <cell r="G1018">
            <v>0</v>
          </cell>
          <cell r="H1018">
            <v>151.91999999999999</v>
          </cell>
        </row>
        <row r="1019">
          <cell r="A1019" t="str">
            <v>00737229</v>
          </cell>
          <cell r="B1019" t="str">
            <v>BLKFR B/F 2 PK WB  14C39      0000001500</v>
          </cell>
          <cell r="C1019" t="str">
            <v>Blackfriar</v>
          </cell>
          <cell r="D1019">
            <v>201.64</v>
          </cell>
          <cell r="E1019">
            <v>0</v>
          </cell>
          <cell r="F1019">
            <v>0</v>
          </cell>
          <cell r="G1019">
            <v>0</v>
          </cell>
          <cell r="H1019">
            <v>201.64</v>
          </cell>
        </row>
        <row r="1020">
          <cell r="A1020" t="str">
            <v>00737856</v>
          </cell>
          <cell r="B1020" t="str">
            <v>BLKFR HIGH TRAFF   TAL BASE   0000001500</v>
          </cell>
          <cell r="C1020" t="str">
            <v>Blackfriar</v>
          </cell>
          <cell r="D1020">
            <v>115.84</v>
          </cell>
          <cell r="E1020">
            <v>0</v>
          </cell>
          <cell r="F1020">
            <v>0</v>
          </cell>
          <cell r="G1020">
            <v>0</v>
          </cell>
          <cell r="H1020">
            <v>115.84</v>
          </cell>
        </row>
        <row r="1021">
          <cell r="A1021" t="str">
            <v>00640017</v>
          </cell>
          <cell r="B1021" t="str">
            <v>BLKFR POLY FLOOR   LIGHT GREY 0000001500</v>
          </cell>
          <cell r="C1021" t="str">
            <v>Blackfriar</v>
          </cell>
          <cell r="D1021">
            <v>58.7</v>
          </cell>
          <cell r="E1021">
            <v>0</v>
          </cell>
          <cell r="F1021">
            <v>0</v>
          </cell>
          <cell r="G1021">
            <v>0</v>
          </cell>
          <cell r="H1021">
            <v>58.7</v>
          </cell>
        </row>
        <row r="1022">
          <cell r="A1022" t="str">
            <v>00735452</v>
          </cell>
          <cell r="B1022" t="str">
            <v>BLKFR PRO EPOXY    CLEAR      0000001500</v>
          </cell>
          <cell r="C1022" t="str">
            <v>Blackfriar</v>
          </cell>
          <cell r="D1022">
            <v>147.33000000000001</v>
          </cell>
          <cell r="E1022">
            <v>0</v>
          </cell>
          <cell r="F1022">
            <v>0</v>
          </cell>
          <cell r="G1022">
            <v>0</v>
          </cell>
          <cell r="H1022">
            <v>147.33000000000001</v>
          </cell>
        </row>
        <row r="1023">
          <cell r="A1023" t="str">
            <v>00733874</v>
          </cell>
          <cell r="B1023" t="str">
            <v>BLKFR QD90 RUST    PRIMER     0000001250</v>
          </cell>
          <cell r="C1023" t="str">
            <v>Blackfriar</v>
          </cell>
          <cell r="D1023">
            <v>36.71</v>
          </cell>
          <cell r="E1023">
            <v>0</v>
          </cell>
          <cell r="F1023">
            <v>0</v>
          </cell>
          <cell r="G1023">
            <v>0</v>
          </cell>
          <cell r="H1023">
            <v>36.71</v>
          </cell>
        </row>
        <row r="1024">
          <cell r="A1024" t="str">
            <v>00680210</v>
          </cell>
          <cell r="B1024" t="str">
            <v>BLKFR TEREBINE     DRIERS     0000000250</v>
          </cell>
          <cell r="C1024" t="str">
            <v>Blackfriar</v>
          </cell>
          <cell r="D1024">
            <v>6.91</v>
          </cell>
          <cell r="E1024">
            <v>0</v>
          </cell>
          <cell r="F1024">
            <v>0</v>
          </cell>
          <cell r="G1024">
            <v>0</v>
          </cell>
          <cell r="H1024">
            <v>6.91</v>
          </cell>
        </row>
        <row r="1025">
          <cell r="A1025" t="str">
            <v>00680211</v>
          </cell>
          <cell r="B1025" t="str">
            <v>BLKFR TEREBINE     DRIERS     0000000500</v>
          </cell>
          <cell r="C1025" t="str">
            <v>Blackfriar</v>
          </cell>
          <cell r="D1025">
            <v>10.15</v>
          </cell>
          <cell r="E1025">
            <v>0</v>
          </cell>
          <cell r="F1025">
            <v>0</v>
          </cell>
          <cell r="G1025">
            <v>0</v>
          </cell>
          <cell r="H1025">
            <v>10.15</v>
          </cell>
        </row>
        <row r="1026">
          <cell r="A1026" t="str">
            <v>00631643</v>
          </cell>
          <cell r="B1026" t="str">
            <v>BLKRO DB HI VIS    VEST XXL</v>
          </cell>
          <cell r="C1026" t="str">
            <v>Black Rock</v>
          </cell>
          <cell r="D1026">
            <v>7.61</v>
          </cell>
          <cell r="E1026">
            <v>0</v>
          </cell>
          <cell r="F1026">
            <v>0</v>
          </cell>
          <cell r="G1026">
            <v>0</v>
          </cell>
          <cell r="H1026">
            <v>7.61</v>
          </cell>
        </row>
        <row r="1027">
          <cell r="A1027" t="str">
            <v>00631620</v>
          </cell>
          <cell r="B1027" t="str">
            <v>BLKRO HIVIS YELLOW POLO SMALL</v>
          </cell>
          <cell r="C1027" t="str">
            <v>Black Rock</v>
          </cell>
          <cell r="D1027">
            <v>11.8</v>
          </cell>
          <cell r="E1027">
            <v>0</v>
          </cell>
          <cell r="F1027">
            <v>0</v>
          </cell>
          <cell r="G1027">
            <v>0</v>
          </cell>
          <cell r="H1027">
            <v>11.8</v>
          </cell>
        </row>
        <row r="1028">
          <cell r="A1028" t="str">
            <v>00730918</v>
          </cell>
          <cell r="B1028" t="str">
            <v>BLKRO MOULD DUST   RESPIRATOR FFP2 (2XMA</v>
          </cell>
          <cell r="C1028" t="str">
            <v>Black Rock</v>
          </cell>
          <cell r="D1028">
            <v>5.95</v>
          </cell>
          <cell r="E1028">
            <v>0</v>
          </cell>
          <cell r="F1028">
            <v>0</v>
          </cell>
          <cell r="G1028">
            <v>0</v>
          </cell>
          <cell r="H1028">
            <v>5.95</v>
          </cell>
        </row>
        <row r="1029">
          <cell r="A1029" t="str">
            <v>00730919</v>
          </cell>
          <cell r="B1029" t="str">
            <v>BLKRO MOULD PAINT  RESPIRATOR FFP2 (2XMA</v>
          </cell>
          <cell r="C1029" t="str">
            <v>Black Rock</v>
          </cell>
          <cell r="D1029">
            <v>7.97</v>
          </cell>
          <cell r="E1029">
            <v>0</v>
          </cell>
          <cell r="F1029">
            <v>0</v>
          </cell>
          <cell r="G1029">
            <v>0</v>
          </cell>
          <cell r="H1029">
            <v>7.97</v>
          </cell>
        </row>
        <row r="1030">
          <cell r="A1030" t="str">
            <v>00631681</v>
          </cell>
          <cell r="B1030" t="str">
            <v>BLKRO PAINTERS     GLOVE</v>
          </cell>
          <cell r="C1030" t="str">
            <v>Black Rock</v>
          </cell>
          <cell r="D1030">
            <v>1.73</v>
          </cell>
          <cell r="E1030">
            <v>0</v>
          </cell>
          <cell r="F1030">
            <v>0</v>
          </cell>
          <cell r="G1030">
            <v>0</v>
          </cell>
          <cell r="H1030">
            <v>1.73</v>
          </cell>
        </row>
        <row r="1031">
          <cell r="A1031" t="str">
            <v>00730921</v>
          </cell>
          <cell r="B1031" t="str">
            <v>BLKRO REPLACE CART A1P2 FOR   A1P2 73092</v>
          </cell>
          <cell r="C1031" t="str">
            <v>Black Rock</v>
          </cell>
          <cell r="D1031">
            <v>17.059999999999999</v>
          </cell>
          <cell r="E1031">
            <v>0</v>
          </cell>
          <cell r="F1031">
            <v>0</v>
          </cell>
          <cell r="G1031">
            <v>0</v>
          </cell>
          <cell r="H1031">
            <v>17.059999999999999</v>
          </cell>
        </row>
        <row r="1032">
          <cell r="A1032" t="str">
            <v>00730912</v>
          </cell>
          <cell r="B1032" t="str">
            <v>BLKRO SAFETY       SPECTACLES</v>
          </cell>
          <cell r="C1032" t="str">
            <v>Black Rock</v>
          </cell>
          <cell r="D1032">
            <v>7.64</v>
          </cell>
          <cell r="E1032">
            <v>0</v>
          </cell>
          <cell r="F1032">
            <v>0</v>
          </cell>
          <cell r="G1032">
            <v>0</v>
          </cell>
          <cell r="H1032">
            <v>7.64</v>
          </cell>
        </row>
        <row r="1033">
          <cell r="A1033" t="str">
            <v>00447003</v>
          </cell>
          <cell r="B1033" t="str">
            <v>BON GARDENGREYS DARK NATURGR 22000000750</v>
          </cell>
          <cell r="C1033" t="str">
            <v>BON</v>
          </cell>
          <cell r="D1033">
            <v>22.79</v>
          </cell>
          <cell r="E1033">
            <v>0</v>
          </cell>
          <cell r="F1033">
            <v>0</v>
          </cell>
          <cell r="G1033">
            <v>0</v>
          </cell>
          <cell r="H1033">
            <v>22.79</v>
          </cell>
        </row>
        <row r="1034">
          <cell r="A1034" t="str">
            <v>00447005</v>
          </cell>
          <cell r="B1034" t="str">
            <v>BON GARDENGREYS DRIFTWOOD GREY  22020750</v>
          </cell>
          <cell r="C1034" t="str">
            <v>BON</v>
          </cell>
          <cell r="D1034">
            <v>22.79</v>
          </cell>
          <cell r="E1034">
            <v>0</v>
          </cell>
          <cell r="F1034">
            <v>0</v>
          </cell>
          <cell r="G1034">
            <v>0</v>
          </cell>
          <cell r="H1034">
            <v>22.79</v>
          </cell>
        </row>
        <row r="1035">
          <cell r="A1035" t="str">
            <v>00447004</v>
          </cell>
          <cell r="B1035" t="str">
            <v>BON GARDENGREYS LIGHT NATURGR  220100750</v>
          </cell>
          <cell r="C1035" t="str">
            <v>BON</v>
          </cell>
          <cell r="D1035">
            <v>22.79</v>
          </cell>
          <cell r="E1035">
            <v>0</v>
          </cell>
          <cell r="F1035">
            <v>0</v>
          </cell>
          <cell r="G1035">
            <v>0</v>
          </cell>
          <cell r="H1035">
            <v>22.79</v>
          </cell>
        </row>
        <row r="1036">
          <cell r="A1036" t="str">
            <v>00447012</v>
          </cell>
          <cell r="B1036" t="str">
            <v>BON LONG LIFE UV CLEAR  (UK) 90000000750</v>
          </cell>
          <cell r="C1036" t="str">
            <v>BON</v>
          </cell>
          <cell r="D1036">
            <v>21.08</v>
          </cell>
          <cell r="E1036">
            <v>0</v>
          </cell>
          <cell r="F1036">
            <v>0</v>
          </cell>
          <cell r="G1036">
            <v>0</v>
          </cell>
          <cell r="H1036">
            <v>21.08</v>
          </cell>
        </row>
        <row r="1037">
          <cell r="A1037" t="str">
            <v>00447007</v>
          </cell>
          <cell r="B1037" t="str">
            <v>BON PREMIUM NIGHT BLACK (UK) 00000001250</v>
          </cell>
          <cell r="C1037" t="str">
            <v>BON</v>
          </cell>
          <cell r="D1037">
            <v>51.88</v>
          </cell>
          <cell r="E1037">
            <v>0</v>
          </cell>
          <cell r="F1037">
            <v>0</v>
          </cell>
          <cell r="G1037">
            <v>0</v>
          </cell>
          <cell r="H1037">
            <v>51.88</v>
          </cell>
        </row>
        <row r="1038">
          <cell r="A1038" t="str">
            <v>00447006</v>
          </cell>
          <cell r="B1038" t="str">
            <v>BON PREMIUM SILVER GREY (UK) 20000001250</v>
          </cell>
          <cell r="C1038" t="str">
            <v>BON</v>
          </cell>
          <cell r="D1038">
            <v>51.88</v>
          </cell>
          <cell r="E1038">
            <v>0</v>
          </cell>
          <cell r="F1038">
            <v>0</v>
          </cell>
          <cell r="G1038">
            <v>0</v>
          </cell>
          <cell r="H1038">
            <v>51.88</v>
          </cell>
        </row>
        <row r="1039">
          <cell r="A1039" t="str">
            <v>00719188</v>
          </cell>
          <cell r="B1039" t="str">
            <v>BSHM  AROMA        240</v>
          </cell>
          <cell r="C1039" t="str">
            <v>Brushmate</v>
          </cell>
          <cell r="D1039">
            <v>3</v>
          </cell>
          <cell r="E1039">
            <v>0</v>
          </cell>
          <cell r="F1039">
            <v>0</v>
          </cell>
          <cell r="G1039">
            <v>0</v>
          </cell>
          <cell r="H1039">
            <v>3</v>
          </cell>
        </row>
        <row r="1040">
          <cell r="A1040" t="str">
            <v>00720473</v>
          </cell>
          <cell r="B1040" t="str">
            <v>BSHM  BRUSHMATE    LID        TRADE 20</v>
          </cell>
          <cell r="C1040" t="str">
            <v>Brushmate</v>
          </cell>
          <cell r="D1040">
            <v>15.26</v>
          </cell>
          <cell r="E1040">
            <v>0</v>
          </cell>
          <cell r="F1040">
            <v>0</v>
          </cell>
          <cell r="G1040">
            <v>0</v>
          </cell>
          <cell r="H1040">
            <v>15.26</v>
          </cell>
        </row>
        <row r="1041">
          <cell r="A1041" t="str">
            <v>00719182</v>
          </cell>
          <cell r="B1041" t="str">
            <v>BSHM  BRUSHMATE    TRADE 20</v>
          </cell>
          <cell r="C1041" t="str">
            <v>Brushmate</v>
          </cell>
          <cell r="D1041">
            <v>113.13</v>
          </cell>
          <cell r="E1041">
            <v>0</v>
          </cell>
          <cell r="F1041">
            <v>0</v>
          </cell>
          <cell r="G1041">
            <v>0</v>
          </cell>
          <cell r="H1041">
            <v>113.13</v>
          </cell>
        </row>
        <row r="1042">
          <cell r="A1042" t="str">
            <v>00720475</v>
          </cell>
          <cell r="B1042" t="str">
            <v>BSHM  BRUSHMATE    TRD 4 PLUS TWIN PACK</v>
          </cell>
          <cell r="C1042" t="str">
            <v>Brushmate</v>
          </cell>
          <cell r="D1042">
            <v>42.8</v>
          </cell>
          <cell r="E1042">
            <v>0</v>
          </cell>
          <cell r="F1042">
            <v>0</v>
          </cell>
          <cell r="G1042">
            <v>0</v>
          </cell>
          <cell r="H1042">
            <v>42.8</v>
          </cell>
        </row>
        <row r="1043">
          <cell r="A1043" t="str">
            <v>00719186</v>
          </cell>
          <cell r="B1043" t="str">
            <v>BSHM  CLIPS        PACK (4)   BRUSHMATE</v>
          </cell>
          <cell r="C1043" t="str">
            <v>Brushmate</v>
          </cell>
          <cell r="D1043">
            <v>2.77</v>
          </cell>
          <cell r="E1043">
            <v>0</v>
          </cell>
          <cell r="F1043">
            <v>0</v>
          </cell>
          <cell r="G1043">
            <v>0</v>
          </cell>
          <cell r="H1043">
            <v>2.77</v>
          </cell>
        </row>
        <row r="1044">
          <cell r="A1044" t="str">
            <v>00726174</v>
          </cell>
          <cell r="B1044" t="str">
            <v>COOVR AC LINE MARK 08E51      0000001250</v>
          </cell>
          <cell r="C1044" t="str">
            <v>CooVar</v>
          </cell>
          <cell r="D1044">
            <v>99.11</v>
          </cell>
          <cell r="E1044">
            <v>0</v>
          </cell>
          <cell r="F1044">
            <v>0</v>
          </cell>
          <cell r="G1044">
            <v>0</v>
          </cell>
          <cell r="H1044">
            <v>99.11</v>
          </cell>
        </row>
        <row r="1045">
          <cell r="A1045" t="str">
            <v>00719046</v>
          </cell>
          <cell r="B1045" t="str">
            <v>COOVR ANTI GRAFITI WB101      0000001250</v>
          </cell>
          <cell r="C1045" t="str">
            <v>CooVar</v>
          </cell>
          <cell r="D1045">
            <v>128.4</v>
          </cell>
          <cell r="E1045">
            <v>0</v>
          </cell>
          <cell r="F1045">
            <v>0</v>
          </cell>
          <cell r="G1045">
            <v>0</v>
          </cell>
          <cell r="H1045">
            <v>128.4</v>
          </cell>
        </row>
        <row r="1046">
          <cell r="A1046" t="str">
            <v>00680264</v>
          </cell>
          <cell r="B1046" t="str">
            <v>COOVR HAMMERCOTE   SMTH BLACK 0000000400</v>
          </cell>
          <cell r="C1046" t="str">
            <v>CooVar</v>
          </cell>
          <cell r="D1046">
            <v>9.24</v>
          </cell>
          <cell r="E1046">
            <v>0</v>
          </cell>
          <cell r="F1046">
            <v>0</v>
          </cell>
          <cell r="G1046">
            <v>0</v>
          </cell>
          <cell r="H1046">
            <v>9.24</v>
          </cell>
        </row>
        <row r="1047">
          <cell r="A1047" t="str">
            <v>00680263</v>
          </cell>
          <cell r="B1047" t="str">
            <v>COOVR HAMMERCOTE   SMTH WHITE 0000000400</v>
          </cell>
          <cell r="C1047" t="str">
            <v>CooVar</v>
          </cell>
          <cell r="D1047">
            <v>9.24</v>
          </cell>
          <cell r="E1047">
            <v>0</v>
          </cell>
          <cell r="F1047">
            <v>0</v>
          </cell>
          <cell r="G1047">
            <v>0</v>
          </cell>
          <cell r="H1047">
            <v>9.24</v>
          </cell>
        </row>
        <row r="1048">
          <cell r="A1048" t="str">
            <v>00720926</v>
          </cell>
          <cell r="B1048" t="str">
            <v>COOVR LINE MARKER  ASS COLOUR 0000001250</v>
          </cell>
          <cell r="C1048" t="str">
            <v>CooVar</v>
          </cell>
          <cell r="D1048">
            <v>51.09</v>
          </cell>
          <cell r="E1048">
            <v>0</v>
          </cell>
          <cell r="F1048">
            <v>0</v>
          </cell>
          <cell r="G1048">
            <v>0</v>
          </cell>
          <cell r="H1048">
            <v>51.09</v>
          </cell>
        </row>
        <row r="1049">
          <cell r="A1049" t="str">
            <v>00732469</v>
          </cell>
          <cell r="B1049" t="str">
            <v>COOVR LINE MARKER  BLUE       0000000750</v>
          </cell>
          <cell r="C1049" t="str">
            <v>CooVar</v>
          </cell>
          <cell r="D1049">
            <v>10.58</v>
          </cell>
          <cell r="E1049">
            <v>0</v>
          </cell>
          <cell r="F1049">
            <v>0</v>
          </cell>
          <cell r="G1049">
            <v>0</v>
          </cell>
          <cell r="H1049">
            <v>10.58</v>
          </cell>
        </row>
        <row r="1050">
          <cell r="A1050" t="str">
            <v>00680265</v>
          </cell>
          <cell r="B1050" t="str">
            <v>COOVR ROAD MARKING AERO WHITE 0000000750</v>
          </cell>
          <cell r="C1050" t="str">
            <v>CooVar</v>
          </cell>
          <cell r="D1050">
            <v>10.15</v>
          </cell>
          <cell r="E1050">
            <v>0</v>
          </cell>
          <cell r="F1050">
            <v>0</v>
          </cell>
          <cell r="G1050">
            <v>0</v>
          </cell>
          <cell r="H1050">
            <v>10.15</v>
          </cell>
        </row>
        <row r="1051">
          <cell r="A1051" t="str">
            <v>00680266</v>
          </cell>
          <cell r="B1051" t="str">
            <v>COOVR ROAD MARKING AERO YELLW 0000000750</v>
          </cell>
          <cell r="C1051" t="str">
            <v>CooVar</v>
          </cell>
          <cell r="D1051">
            <v>10.15</v>
          </cell>
          <cell r="E1051">
            <v>0</v>
          </cell>
          <cell r="F1051">
            <v>0</v>
          </cell>
          <cell r="G1051">
            <v>0</v>
          </cell>
          <cell r="H1051">
            <v>10.15</v>
          </cell>
        </row>
        <row r="1052">
          <cell r="A1052" t="str">
            <v>00680271</v>
          </cell>
          <cell r="B1052" t="str">
            <v>COOVR VANDELENE    BLACK      0000001250</v>
          </cell>
          <cell r="C1052" t="str">
            <v>CooVar</v>
          </cell>
          <cell r="D1052">
            <v>42.04</v>
          </cell>
          <cell r="E1052">
            <v>0</v>
          </cell>
          <cell r="F1052">
            <v>0</v>
          </cell>
          <cell r="G1052">
            <v>0</v>
          </cell>
          <cell r="H1052">
            <v>42.04</v>
          </cell>
        </row>
        <row r="1053">
          <cell r="A1053" t="str">
            <v>00680270</v>
          </cell>
          <cell r="B1053" t="str">
            <v>COOVR VANDELENE    BLACK      0000001500</v>
          </cell>
          <cell r="C1053" t="str">
            <v>CooVar</v>
          </cell>
          <cell r="D1053">
            <v>80.739999999999995</v>
          </cell>
          <cell r="E1053">
            <v>0</v>
          </cell>
          <cell r="F1053">
            <v>0</v>
          </cell>
          <cell r="G1053">
            <v>0</v>
          </cell>
          <cell r="H1053">
            <v>80.739999999999995</v>
          </cell>
        </row>
        <row r="1054">
          <cell r="A1054" t="str">
            <v>00289042</v>
          </cell>
          <cell r="B1054" t="str">
            <v>DIMETCOTE 11 GREY           2000AMEU1800</v>
          </cell>
          <cell r="C1054" t="str">
            <v>PMC</v>
          </cell>
          <cell r="D1054">
            <v>364.85</v>
          </cell>
          <cell r="E1054">
            <v>0</v>
          </cell>
          <cell r="F1054">
            <v>0</v>
          </cell>
          <cell r="G1054">
            <v>0</v>
          </cell>
          <cell r="H1054">
            <v>364.85</v>
          </cell>
        </row>
        <row r="1055">
          <cell r="A1055" t="str">
            <v>00283467</v>
          </cell>
          <cell r="B1055" t="str">
            <v>DIMETCOTE 9 SET GRAY          2000AM2100</v>
          </cell>
          <cell r="C1055" t="str">
            <v>PMC</v>
          </cell>
          <cell r="D1055">
            <v>424.73</v>
          </cell>
          <cell r="E1055">
            <v>0</v>
          </cell>
          <cell r="F1055">
            <v>0</v>
          </cell>
          <cell r="G1055">
            <v>0</v>
          </cell>
          <cell r="H1055">
            <v>424.73</v>
          </cell>
        </row>
        <row r="1056">
          <cell r="A1056" t="str">
            <v>00729840</v>
          </cell>
          <cell r="B1056" t="str">
            <v>EASY  EASTYEX      10-048     CORD</v>
          </cell>
          <cell r="C1056" t="str">
            <v>Wallcovering</v>
          </cell>
          <cell r="D1056">
            <v>5.18</v>
          </cell>
          <cell r="E1056">
            <v>0</v>
          </cell>
          <cell r="F1056">
            <v>0</v>
          </cell>
          <cell r="G1056">
            <v>0</v>
          </cell>
          <cell r="H1056">
            <v>5.18</v>
          </cell>
        </row>
        <row r="1057">
          <cell r="A1057" t="str">
            <v>00729844</v>
          </cell>
          <cell r="B1057" t="str">
            <v>EASY  EASYTEX      10-052     DAMASK</v>
          </cell>
          <cell r="C1057" t="str">
            <v>Wallcovering</v>
          </cell>
          <cell r="D1057">
            <v>5.18</v>
          </cell>
          <cell r="E1057">
            <v>0</v>
          </cell>
          <cell r="F1057">
            <v>0</v>
          </cell>
          <cell r="G1057">
            <v>0</v>
          </cell>
          <cell r="H1057">
            <v>5.18</v>
          </cell>
        </row>
        <row r="1058">
          <cell r="A1058" t="str">
            <v>00737125</v>
          </cell>
          <cell r="B1058" t="str">
            <v>EASY  EASYTEX      10-055 W/C RIBBON</v>
          </cell>
          <cell r="C1058" t="str">
            <v>Wallcovering</v>
          </cell>
          <cell r="D1058">
            <v>6.09</v>
          </cell>
          <cell r="E1058">
            <v>0</v>
          </cell>
          <cell r="F1058">
            <v>0</v>
          </cell>
          <cell r="G1058">
            <v>0</v>
          </cell>
          <cell r="H1058">
            <v>6.09</v>
          </cell>
        </row>
        <row r="1059">
          <cell r="A1059" t="str">
            <v>00737311</v>
          </cell>
          <cell r="B1059" t="str">
            <v>EASYL INSULATION   LINER 10M  SINGLE</v>
          </cell>
          <cell r="C1059" t="str">
            <v>Wallcovering</v>
          </cell>
          <cell r="D1059">
            <v>8.91</v>
          </cell>
          <cell r="E1059">
            <v>0</v>
          </cell>
          <cell r="F1059">
            <v>0</v>
          </cell>
          <cell r="G1059">
            <v>0</v>
          </cell>
          <cell r="H1059">
            <v>8.91</v>
          </cell>
        </row>
        <row r="1060">
          <cell r="A1060" t="str">
            <v>00730821</v>
          </cell>
          <cell r="B1060" t="str">
            <v>EASYM EASYTEX MAX  GLACIER    W/C 10-071</v>
          </cell>
          <cell r="C1060" t="str">
            <v>Wallcovering</v>
          </cell>
          <cell r="D1060">
            <v>8.18</v>
          </cell>
          <cell r="E1060">
            <v>0</v>
          </cell>
          <cell r="F1060">
            <v>0</v>
          </cell>
          <cell r="G1060">
            <v>0</v>
          </cell>
          <cell r="H1060">
            <v>8.18</v>
          </cell>
        </row>
        <row r="1061">
          <cell r="A1061" t="str">
            <v>00730820</v>
          </cell>
          <cell r="B1061" t="str">
            <v>EASYM EASYTEX MAX  SNOWSTORM  W/C 10-070</v>
          </cell>
          <cell r="C1061" t="str">
            <v>Wallcovering</v>
          </cell>
          <cell r="D1061">
            <v>8.18</v>
          </cell>
          <cell r="E1061">
            <v>0</v>
          </cell>
          <cell r="F1061">
            <v>0</v>
          </cell>
          <cell r="G1061">
            <v>0</v>
          </cell>
          <cell r="H1061">
            <v>8.18</v>
          </cell>
        </row>
        <row r="1062">
          <cell r="A1062" t="str">
            <v>00737666</v>
          </cell>
          <cell r="B1062" t="str">
            <v>EWI   1.2MM AL WHI UNDERCILL 2.5M 105MM</v>
          </cell>
          <cell r="C1062" t="str">
            <v>EWI</v>
          </cell>
          <cell r="D1062">
            <v>25.38</v>
          </cell>
          <cell r="E1062">
            <v>0</v>
          </cell>
          <cell r="F1062">
            <v>0</v>
          </cell>
          <cell r="G1062">
            <v>0</v>
          </cell>
          <cell r="H1062">
            <v>25.38</v>
          </cell>
        </row>
        <row r="1063">
          <cell r="A1063" t="str">
            <v>00737667</v>
          </cell>
          <cell r="B1063" t="str">
            <v>EWI   1.2MM AL WHI UNDERCILL 2.5M 115MM</v>
          </cell>
          <cell r="C1063" t="str">
            <v>EWI</v>
          </cell>
          <cell r="D1063">
            <v>25.45</v>
          </cell>
          <cell r="E1063">
            <v>0</v>
          </cell>
          <cell r="F1063">
            <v>0</v>
          </cell>
          <cell r="G1063">
            <v>0</v>
          </cell>
          <cell r="H1063">
            <v>25.45</v>
          </cell>
        </row>
        <row r="1064">
          <cell r="A1064" t="str">
            <v>00737658</v>
          </cell>
          <cell r="B1064" t="str">
            <v>EWI   1.2MM AL WHI VERGE 2.5M 130MM</v>
          </cell>
          <cell r="C1064" t="str">
            <v>EWI</v>
          </cell>
          <cell r="D1064">
            <v>23.84</v>
          </cell>
          <cell r="E1064">
            <v>0</v>
          </cell>
          <cell r="F1064">
            <v>0</v>
          </cell>
          <cell r="G1064">
            <v>0</v>
          </cell>
          <cell r="H1064">
            <v>23.84</v>
          </cell>
        </row>
        <row r="1065">
          <cell r="A1065" t="str">
            <v>00737659</v>
          </cell>
          <cell r="B1065" t="str">
            <v>EWI   1.2MM AL WHI VERGE 2.5M 140MM</v>
          </cell>
          <cell r="C1065" t="str">
            <v>EWI</v>
          </cell>
          <cell r="D1065">
            <v>23.89</v>
          </cell>
          <cell r="E1065">
            <v>0</v>
          </cell>
          <cell r="F1065">
            <v>0</v>
          </cell>
          <cell r="G1065">
            <v>0</v>
          </cell>
          <cell r="H1065">
            <v>23.89</v>
          </cell>
        </row>
        <row r="1066">
          <cell r="A1066" t="str">
            <v>00611272</v>
          </cell>
          <cell r="B1066" t="str">
            <v>EWI   10MM PVC COR BEAD/NOSE  TEPCB010PP</v>
          </cell>
          <cell r="C1066" t="str">
            <v>EWI</v>
          </cell>
          <cell r="D1066">
            <v>4.0199999999999996</v>
          </cell>
          <cell r="E1066">
            <v>0</v>
          </cell>
          <cell r="F1066">
            <v>0</v>
          </cell>
          <cell r="G1066">
            <v>0</v>
          </cell>
          <cell r="H1066">
            <v>4.0199999999999996</v>
          </cell>
        </row>
        <row r="1067">
          <cell r="A1067" t="str">
            <v>00649742</v>
          </cell>
          <cell r="B1067" t="str">
            <v>EWI   15MM PL STOP BEAD 2.5M  SB15PPVC25</v>
          </cell>
          <cell r="C1067" t="str">
            <v>EWI</v>
          </cell>
          <cell r="D1067">
            <v>2.9</v>
          </cell>
          <cell r="E1067">
            <v>0</v>
          </cell>
          <cell r="F1067">
            <v>0</v>
          </cell>
          <cell r="G1067">
            <v>0</v>
          </cell>
          <cell r="H1067">
            <v>2.9</v>
          </cell>
        </row>
        <row r="1068">
          <cell r="A1068" t="str">
            <v>00649669</v>
          </cell>
          <cell r="B1068" t="str">
            <v>EWI   70E 110MM GREY L/TRM 1200X600MM</v>
          </cell>
          <cell r="C1068" t="str">
            <v>EWI</v>
          </cell>
          <cell r="D1068">
            <v>8.99</v>
          </cell>
          <cell r="E1068">
            <v>0</v>
          </cell>
          <cell r="F1068">
            <v>0</v>
          </cell>
          <cell r="G1068">
            <v>0</v>
          </cell>
          <cell r="H1068">
            <v>8.99</v>
          </cell>
        </row>
        <row r="1069">
          <cell r="A1069" t="str">
            <v>00649670</v>
          </cell>
          <cell r="B1069" t="str">
            <v>EWI   70E 120MM GREY L/TRM 1200X600MM</v>
          </cell>
          <cell r="C1069" t="str">
            <v>EWI</v>
          </cell>
          <cell r="D1069">
            <v>9.82</v>
          </cell>
          <cell r="E1069">
            <v>0</v>
          </cell>
          <cell r="F1069">
            <v>0</v>
          </cell>
          <cell r="G1069">
            <v>0</v>
          </cell>
          <cell r="H1069">
            <v>9.82</v>
          </cell>
        </row>
        <row r="1070">
          <cell r="A1070" t="str">
            <v>00649674</v>
          </cell>
          <cell r="B1070" t="str">
            <v>EWI   70E 160MM GREY L/TRM 1200X600MM</v>
          </cell>
          <cell r="C1070" t="str">
            <v>EWI</v>
          </cell>
          <cell r="D1070">
            <v>13.1</v>
          </cell>
          <cell r="E1070">
            <v>0</v>
          </cell>
          <cell r="F1070">
            <v>0</v>
          </cell>
          <cell r="G1070">
            <v>0</v>
          </cell>
          <cell r="H1070">
            <v>13.1</v>
          </cell>
        </row>
        <row r="1071">
          <cell r="A1071" t="str">
            <v>00649678</v>
          </cell>
          <cell r="B1071" t="str">
            <v>EWI   70E 200MM GREY L/TRM 1200X600MM</v>
          </cell>
          <cell r="C1071" t="str">
            <v>EWI</v>
          </cell>
          <cell r="D1071">
            <v>20.56</v>
          </cell>
          <cell r="E1071">
            <v>0</v>
          </cell>
          <cell r="F1071">
            <v>0</v>
          </cell>
          <cell r="G1071">
            <v>0</v>
          </cell>
          <cell r="H1071">
            <v>20.56</v>
          </cell>
        </row>
        <row r="1072">
          <cell r="A1072" t="str">
            <v>00649667</v>
          </cell>
          <cell r="B1072" t="str">
            <v>EWI   70E 70MM GREY 1200X600MM L/TRM</v>
          </cell>
          <cell r="C1072" t="str">
            <v>EWI</v>
          </cell>
          <cell r="D1072">
            <v>5.72</v>
          </cell>
          <cell r="E1072">
            <v>0</v>
          </cell>
          <cell r="F1072">
            <v>0</v>
          </cell>
          <cell r="G1072">
            <v>0</v>
          </cell>
          <cell r="H1072">
            <v>5.72</v>
          </cell>
        </row>
        <row r="1073">
          <cell r="A1073" t="str">
            <v>00649668</v>
          </cell>
          <cell r="B1073" t="str">
            <v>EWI   70E 80MM GREY L/TRM 1200X600MM</v>
          </cell>
          <cell r="C1073" t="str">
            <v>EWI</v>
          </cell>
          <cell r="D1073">
            <v>6.54</v>
          </cell>
          <cell r="E1073">
            <v>0</v>
          </cell>
          <cell r="F1073">
            <v>0</v>
          </cell>
          <cell r="G1073">
            <v>0</v>
          </cell>
          <cell r="H1073">
            <v>6.54</v>
          </cell>
        </row>
        <row r="1074">
          <cell r="A1074" t="str">
            <v>00631538</v>
          </cell>
          <cell r="B1074" t="str">
            <v>EWI   AL BASETRACK 2.5M 270MM BOX BASE</v>
          </cell>
          <cell r="C1074" t="str">
            <v>EWI</v>
          </cell>
          <cell r="D1074">
            <v>41.34</v>
          </cell>
          <cell r="E1074">
            <v>0</v>
          </cell>
          <cell r="F1074">
            <v>0</v>
          </cell>
          <cell r="G1074">
            <v>0</v>
          </cell>
          <cell r="H1074">
            <v>41.34</v>
          </cell>
        </row>
        <row r="1075">
          <cell r="A1075" t="str">
            <v>00738661</v>
          </cell>
          <cell r="B1075" t="str">
            <v>EWI   AL STOP PROF WHI FINISH 2.5M 90MM</v>
          </cell>
          <cell r="C1075" t="str">
            <v>EWI</v>
          </cell>
          <cell r="D1075">
            <v>14.06</v>
          </cell>
          <cell r="E1075">
            <v>0</v>
          </cell>
          <cell r="F1075">
            <v>0</v>
          </cell>
          <cell r="G1075">
            <v>0</v>
          </cell>
          <cell r="H1075">
            <v>14.06</v>
          </cell>
        </row>
        <row r="1076">
          <cell r="A1076" t="str">
            <v>00738434</v>
          </cell>
          <cell r="B1076" t="str">
            <v>EWI   ALUM BASETRACK BOX BASE 2.5M 20MM</v>
          </cell>
          <cell r="C1076" t="str">
            <v>EWI</v>
          </cell>
          <cell r="D1076">
            <v>5.55</v>
          </cell>
          <cell r="E1076">
            <v>0</v>
          </cell>
          <cell r="F1076">
            <v>0</v>
          </cell>
          <cell r="G1076">
            <v>0</v>
          </cell>
          <cell r="H1076">
            <v>5.55</v>
          </cell>
        </row>
        <row r="1077">
          <cell r="A1077" t="str">
            <v>00739338</v>
          </cell>
          <cell r="B1077" t="str">
            <v>EWI   ALUM BASETRACK BOX BASE 2.5M 30MM</v>
          </cell>
          <cell r="C1077" t="str">
            <v>EWI</v>
          </cell>
          <cell r="D1077">
            <v>5.99</v>
          </cell>
          <cell r="E1077">
            <v>0</v>
          </cell>
          <cell r="F1077">
            <v>0</v>
          </cell>
          <cell r="G1077">
            <v>0</v>
          </cell>
          <cell r="H1077">
            <v>5.99</v>
          </cell>
        </row>
        <row r="1078">
          <cell r="A1078" t="str">
            <v>00739500</v>
          </cell>
          <cell r="B1078" t="str">
            <v>EWI   ALUM BASETRACK BOX BASE 2.5M 40MM</v>
          </cell>
          <cell r="C1078" t="str">
            <v>EWI</v>
          </cell>
          <cell r="D1078">
            <v>5.99</v>
          </cell>
          <cell r="E1078">
            <v>0</v>
          </cell>
          <cell r="F1078">
            <v>0</v>
          </cell>
          <cell r="G1078">
            <v>0</v>
          </cell>
          <cell r="H1078">
            <v>5.99</v>
          </cell>
        </row>
        <row r="1079">
          <cell r="A1079" t="str">
            <v>00737618</v>
          </cell>
          <cell r="B1079" t="str">
            <v>EWI   ALUM BASETRACK BOX BASE 2.5M 60MM</v>
          </cell>
          <cell r="C1079" t="str">
            <v>EWI</v>
          </cell>
          <cell r="D1079">
            <v>6.83</v>
          </cell>
          <cell r="E1079">
            <v>0</v>
          </cell>
          <cell r="F1079">
            <v>0</v>
          </cell>
          <cell r="G1079">
            <v>0</v>
          </cell>
          <cell r="H1079">
            <v>6.83</v>
          </cell>
        </row>
        <row r="1080">
          <cell r="A1080" t="str">
            <v>00737621</v>
          </cell>
          <cell r="B1080" t="str">
            <v>EWI   ALUM BASETRACK BOX BASE 2.5M 90MM</v>
          </cell>
          <cell r="C1080" t="str">
            <v>EWI</v>
          </cell>
          <cell r="D1080">
            <v>8.77</v>
          </cell>
          <cell r="E1080">
            <v>0</v>
          </cell>
          <cell r="F1080">
            <v>0</v>
          </cell>
          <cell r="G1080">
            <v>0</v>
          </cell>
          <cell r="H1080">
            <v>8.77</v>
          </cell>
        </row>
        <row r="1081">
          <cell r="A1081" t="str">
            <v>00611062</v>
          </cell>
          <cell r="B1081" t="str">
            <v>EWI   ANG SH/SPINE 15MM IVORY TEPAB15PPV</v>
          </cell>
          <cell r="C1081" t="str">
            <v>EWI</v>
          </cell>
          <cell r="D1081">
            <v>3.44</v>
          </cell>
          <cell r="E1081">
            <v>0</v>
          </cell>
          <cell r="F1081">
            <v>0</v>
          </cell>
          <cell r="G1081">
            <v>0</v>
          </cell>
          <cell r="H1081">
            <v>3.44</v>
          </cell>
        </row>
        <row r="1082">
          <cell r="A1082" t="str">
            <v>00737642</v>
          </cell>
          <cell r="B1082" t="str">
            <v>EWI   BOXBS CLIPON NOSE W/MESH 2.5M 6MM</v>
          </cell>
          <cell r="C1082" t="str">
            <v>EWI</v>
          </cell>
          <cell r="D1082">
            <v>5.22</v>
          </cell>
          <cell r="E1082">
            <v>0</v>
          </cell>
          <cell r="F1082">
            <v>0</v>
          </cell>
          <cell r="G1082">
            <v>0</v>
          </cell>
          <cell r="H1082">
            <v>5.22</v>
          </cell>
        </row>
        <row r="1083">
          <cell r="A1083" t="str">
            <v>00737567</v>
          </cell>
          <cell r="B1083" t="str">
            <v>EWI   BRICK EFFECT RENDER BRICK RED 25KG</v>
          </cell>
          <cell r="C1083" t="str">
            <v>EWI</v>
          </cell>
          <cell r="D1083">
            <v>24.07</v>
          </cell>
          <cell r="E1083">
            <v>0</v>
          </cell>
          <cell r="F1083">
            <v>0</v>
          </cell>
          <cell r="G1083">
            <v>0</v>
          </cell>
          <cell r="H1083">
            <v>24.07</v>
          </cell>
        </row>
        <row r="1084">
          <cell r="A1084" t="str">
            <v>00737560</v>
          </cell>
          <cell r="B1084" t="str">
            <v>EWI   BRICK EFFECT RENDER CHARCOAL 25KG</v>
          </cell>
          <cell r="C1084" t="str">
            <v>EWI</v>
          </cell>
          <cell r="D1084">
            <v>24.07</v>
          </cell>
          <cell r="E1084">
            <v>0</v>
          </cell>
          <cell r="F1084">
            <v>0</v>
          </cell>
          <cell r="G1084">
            <v>0</v>
          </cell>
          <cell r="H1084">
            <v>24.07</v>
          </cell>
        </row>
        <row r="1085">
          <cell r="A1085" t="str">
            <v>00737565</v>
          </cell>
          <cell r="B1085" t="str">
            <v>EWI   BRICK EFFECT RENDER CL/MORTAR 25KG</v>
          </cell>
          <cell r="C1085" t="str">
            <v>EWI</v>
          </cell>
          <cell r="D1085">
            <v>20.8</v>
          </cell>
          <cell r="E1085">
            <v>0</v>
          </cell>
          <cell r="F1085">
            <v>0</v>
          </cell>
          <cell r="G1085">
            <v>0</v>
          </cell>
          <cell r="H1085">
            <v>20.8</v>
          </cell>
        </row>
        <row r="1086">
          <cell r="A1086" t="str">
            <v>00737563</v>
          </cell>
          <cell r="B1086" t="str">
            <v>EWI   BRICK EFFECT RENDER CLASS/RED 25KG</v>
          </cell>
          <cell r="C1086" t="str">
            <v>EWI</v>
          </cell>
          <cell r="D1086">
            <v>24.07</v>
          </cell>
          <cell r="E1086">
            <v>0</v>
          </cell>
          <cell r="F1086">
            <v>0</v>
          </cell>
          <cell r="G1086">
            <v>0</v>
          </cell>
          <cell r="H1086">
            <v>24.07</v>
          </cell>
        </row>
        <row r="1087">
          <cell r="A1087" t="str">
            <v>00737561</v>
          </cell>
          <cell r="B1087" t="str">
            <v>EWI   BRICK EFFECT RENDER DARK BROWN25KG</v>
          </cell>
          <cell r="C1087" t="str">
            <v>EWI</v>
          </cell>
          <cell r="D1087">
            <v>24.07</v>
          </cell>
          <cell r="E1087">
            <v>0</v>
          </cell>
          <cell r="F1087">
            <v>0</v>
          </cell>
          <cell r="G1087">
            <v>0</v>
          </cell>
          <cell r="H1087">
            <v>24.07</v>
          </cell>
        </row>
        <row r="1088">
          <cell r="A1088" t="str">
            <v>00737566</v>
          </cell>
          <cell r="B1088" t="str">
            <v>EWI   BRICK EFFECT RENDER DARK GREY 25KG</v>
          </cell>
          <cell r="C1088" t="str">
            <v>EWI</v>
          </cell>
          <cell r="D1088">
            <v>20.8</v>
          </cell>
          <cell r="E1088">
            <v>0</v>
          </cell>
          <cell r="F1088">
            <v>0</v>
          </cell>
          <cell r="G1088">
            <v>0</v>
          </cell>
          <cell r="H1088">
            <v>20.8</v>
          </cell>
        </row>
        <row r="1089">
          <cell r="A1089" t="str">
            <v>00737568</v>
          </cell>
          <cell r="B1089" t="str">
            <v>EWI   BRICK EFFECT RENDER GOLDEN STN25KG</v>
          </cell>
          <cell r="C1089" t="str">
            <v>EWI</v>
          </cell>
          <cell r="D1089">
            <v>24.07</v>
          </cell>
          <cell r="E1089">
            <v>0</v>
          </cell>
          <cell r="F1089">
            <v>0</v>
          </cell>
          <cell r="G1089">
            <v>0</v>
          </cell>
          <cell r="H1089">
            <v>24.07</v>
          </cell>
        </row>
        <row r="1090">
          <cell r="A1090" t="str">
            <v>00737559</v>
          </cell>
          <cell r="B1090" t="str">
            <v>EWI   BRICK EFFECT RENDER LIGHT GREY25KG</v>
          </cell>
          <cell r="C1090" t="str">
            <v>EWI</v>
          </cell>
          <cell r="D1090">
            <v>20.8</v>
          </cell>
          <cell r="E1090">
            <v>0</v>
          </cell>
          <cell r="F1090">
            <v>0</v>
          </cell>
          <cell r="G1090">
            <v>0</v>
          </cell>
          <cell r="H1090">
            <v>20.8</v>
          </cell>
        </row>
        <row r="1091">
          <cell r="A1091" t="str">
            <v>00737570</v>
          </cell>
          <cell r="B1091" t="str">
            <v>EWI   BRICK EFFECT RENDER SANDSTONE 25KG</v>
          </cell>
          <cell r="C1091" t="str">
            <v>EWI</v>
          </cell>
          <cell r="D1091">
            <v>24.07</v>
          </cell>
          <cell r="E1091">
            <v>0</v>
          </cell>
          <cell r="F1091">
            <v>0</v>
          </cell>
          <cell r="G1091">
            <v>0</v>
          </cell>
          <cell r="H1091">
            <v>24.07</v>
          </cell>
        </row>
        <row r="1092">
          <cell r="A1092" t="str">
            <v>00739808</v>
          </cell>
          <cell r="B1092" t="str">
            <v>EWI   BRICK EFFECT RENDER SOFT BROWN25KG</v>
          </cell>
          <cell r="C1092" t="str">
            <v>EWI</v>
          </cell>
          <cell r="D1092">
            <v>20.8</v>
          </cell>
          <cell r="E1092">
            <v>0</v>
          </cell>
          <cell r="F1092">
            <v>0</v>
          </cell>
          <cell r="G1092">
            <v>0</v>
          </cell>
          <cell r="H1092">
            <v>20.8</v>
          </cell>
        </row>
        <row r="1093">
          <cell r="A1093" t="str">
            <v>00737569</v>
          </cell>
          <cell r="B1093" t="str">
            <v>EWI   BRICK EFFECT RENDER TERRACOTTA25KG</v>
          </cell>
          <cell r="C1093" t="str">
            <v>EWI</v>
          </cell>
          <cell r="D1093">
            <v>24.07</v>
          </cell>
          <cell r="E1093">
            <v>0</v>
          </cell>
          <cell r="F1093">
            <v>0</v>
          </cell>
          <cell r="G1093">
            <v>0</v>
          </cell>
          <cell r="H1093">
            <v>24.07</v>
          </cell>
        </row>
        <row r="1094">
          <cell r="A1094" t="str">
            <v>00737564</v>
          </cell>
          <cell r="B1094" t="str">
            <v>EWI   BRICK EFFECT RENDER TRAD GREY 25KG</v>
          </cell>
          <cell r="C1094" t="str">
            <v>EWI</v>
          </cell>
          <cell r="D1094">
            <v>20.8</v>
          </cell>
          <cell r="E1094">
            <v>0</v>
          </cell>
          <cell r="F1094">
            <v>0</v>
          </cell>
          <cell r="G1094">
            <v>0</v>
          </cell>
          <cell r="H1094">
            <v>20.8</v>
          </cell>
        </row>
        <row r="1095">
          <cell r="A1095" t="str">
            <v>00737562</v>
          </cell>
          <cell r="B1095" t="str">
            <v>EWI   BRICK EFFECT RENDER TRAD RED 25KG</v>
          </cell>
          <cell r="C1095" t="str">
            <v>EWI</v>
          </cell>
          <cell r="D1095">
            <v>24.07</v>
          </cell>
          <cell r="E1095">
            <v>0</v>
          </cell>
          <cell r="F1095">
            <v>0</v>
          </cell>
          <cell r="G1095">
            <v>0</v>
          </cell>
          <cell r="H1095">
            <v>24.07</v>
          </cell>
        </row>
        <row r="1096">
          <cell r="A1096" t="str">
            <v>00739350</v>
          </cell>
          <cell r="B1096" t="str">
            <v>EWI   BRICK SLIP ADHESIVE 25KG</v>
          </cell>
          <cell r="C1096" t="str">
            <v>EWI</v>
          </cell>
          <cell r="D1096">
            <v>14.45</v>
          </cell>
          <cell r="E1096">
            <v>0</v>
          </cell>
          <cell r="F1096">
            <v>0</v>
          </cell>
          <cell r="G1096">
            <v>0</v>
          </cell>
          <cell r="H1096">
            <v>14.45</v>
          </cell>
        </row>
        <row r="1097">
          <cell r="A1097" t="str">
            <v>00739546</v>
          </cell>
          <cell r="B1097" t="str">
            <v>EWI   BRICK SLIP BASETRACK 2.5M 60MM</v>
          </cell>
          <cell r="C1097" t="str">
            <v>EWI</v>
          </cell>
          <cell r="D1097">
            <v>18.66</v>
          </cell>
          <cell r="E1097">
            <v>0</v>
          </cell>
          <cell r="F1097">
            <v>0</v>
          </cell>
          <cell r="G1097">
            <v>0</v>
          </cell>
          <cell r="H1097">
            <v>18.66</v>
          </cell>
        </row>
        <row r="1098">
          <cell r="A1098" t="str">
            <v>00737550</v>
          </cell>
          <cell r="B1098" t="str">
            <v>EWI   DASH RECEIVER ANTIQUE WHITE 25KG</v>
          </cell>
          <cell r="C1098" t="str">
            <v>EWI</v>
          </cell>
          <cell r="D1098">
            <v>12.51</v>
          </cell>
          <cell r="E1098">
            <v>0</v>
          </cell>
          <cell r="F1098">
            <v>0</v>
          </cell>
          <cell r="G1098">
            <v>0</v>
          </cell>
          <cell r="H1098">
            <v>12.51</v>
          </cell>
        </row>
        <row r="1099">
          <cell r="A1099" t="str">
            <v>00737546</v>
          </cell>
          <cell r="B1099" t="str">
            <v>EWI   DASH RECEIVER BLUE 25KG</v>
          </cell>
          <cell r="C1099" t="str">
            <v>EWI</v>
          </cell>
          <cell r="D1099">
            <v>12.51</v>
          </cell>
          <cell r="E1099">
            <v>0</v>
          </cell>
          <cell r="F1099">
            <v>0</v>
          </cell>
          <cell r="G1099">
            <v>0</v>
          </cell>
          <cell r="H1099">
            <v>12.51</v>
          </cell>
        </row>
        <row r="1100">
          <cell r="A1100" t="str">
            <v>00737556</v>
          </cell>
          <cell r="B1100" t="str">
            <v>EWI   DASH RECEIVER BUTTERMILK 25KG</v>
          </cell>
          <cell r="C1100" t="str">
            <v>EWI</v>
          </cell>
          <cell r="D1100">
            <v>12.51</v>
          </cell>
          <cell r="E1100">
            <v>0</v>
          </cell>
          <cell r="F1100">
            <v>0</v>
          </cell>
          <cell r="G1100">
            <v>0</v>
          </cell>
          <cell r="H1100">
            <v>12.51</v>
          </cell>
        </row>
        <row r="1101">
          <cell r="A1101" t="str">
            <v>00737554</v>
          </cell>
          <cell r="B1101" t="str">
            <v>EWI   DASH RECEIVER CREAM 25KG</v>
          </cell>
          <cell r="C1101" t="str">
            <v>EWI</v>
          </cell>
          <cell r="D1101">
            <v>12.51</v>
          </cell>
          <cell r="E1101">
            <v>0</v>
          </cell>
          <cell r="F1101">
            <v>0</v>
          </cell>
          <cell r="G1101">
            <v>0</v>
          </cell>
          <cell r="H1101">
            <v>12.51</v>
          </cell>
        </row>
        <row r="1102">
          <cell r="A1102" t="str">
            <v>00737545</v>
          </cell>
          <cell r="B1102" t="str">
            <v>EWI   DASH RECEIVER GREEN 25KG</v>
          </cell>
          <cell r="C1102" t="str">
            <v>EWI</v>
          </cell>
          <cell r="D1102">
            <v>12.51</v>
          </cell>
          <cell r="E1102">
            <v>0</v>
          </cell>
          <cell r="F1102">
            <v>0</v>
          </cell>
          <cell r="G1102">
            <v>0</v>
          </cell>
          <cell r="H1102">
            <v>12.51</v>
          </cell>
        </row>
        <row r="1103">
          <cell r="A1103" t="str">
            <v>00737548</v>
          </cell>
          <cell r="B1103" t="str">
            <v>EWI   DASH RECEIVER GREY 25KG</v>
          </cell>
          <cell r="C1103" t="str">
            <v>EWI</v>
          </cell>
          <cell r="D1103">
            <v>12.51</v>
          </cell>
          <cell r="E1103">
            <v>0</v>
          </cell>
          <cell r="F1103">
            <v>0</v>
          </cell>
          <cell r="G1103">
            <v>0</v>
          </cell>
          <cell r="H1103">
            <v>12.51</v>
          </cell>
        </row>
        <row r="1104">
          <cell r="A1104" t="str">
            <v>00737553</v>
          </cell>
          <cell r="B1104" t="str">
            <v>EWI   DASH RECEIVER PALE STONE 25KG</v>
          </cell>
          <cell r="C1104" t="str">
            <v>EWI</v>
          </cell>
          <cell r="D1104">
            <v>12.51</v>
          </cell>
          <cell r="E1104">
            <v>0</v>
          </cell>
          <cell r="F1104">
            <v>0</v>
          </cell>
          <cell r="G1104">
            <v>0</v>
          </cell>
          <cell r="H1104">
            <v>12.51</v>
          </cell>
        </row>
        <row r="1105">
          <cell r="A1105" t="str">
            <v>00737551</v>
          </cell>
          <cell r="B1105" t="str">
            <v>EWI   DASH RECEIVER PINK 25KG</v>
          </cell>
          <cell r="C1105" t="str">
            <v>EWI</v>
          </cell>
          <cell r="D1105">
            <v>12.51</v>
          </cell>
          <cell r="E1105">
            <v>0</v>
          </cell>
          <cell r="F1105">
            <v>0</v>
          </cell>
          <cell r="G1105">
            <v>0</v>
          </cell>
          <cell r="H1105">
            <v>12.51</v>
          </cell>
        </row>
        <row r="1106">
          <cell r="A1106" t="str">
            <v>00737558</v>
          </cell>
          <cell r="B1106" t="str">
            <v>EWI   DASH RECEIVER SANDSTONE 25KG</v>
          </cell>
          <cell r="C1106" t="str">
            <v>EWI</v>
          </cell>
          <cell r="D1106">
            <v>12.51</v>
          </cell>
          <cell r="E1106">
            <v>0</v>
          </cell>
          <cell r="F1106">
            <v>0</v>
          </cell>
          <cell r="G1106">
            <v>0</v>
          </cell>
          <cell r="H1106">
            <v>12.51</v>
          </cell>
        </row>
        <row r="1107">
          <cell r="A1107" t="str">
            <v>00737557</v>
          </cell>
          <cell r="B1107" t="str">
            <v>EWI   DASH RECEIVER STONE 25KG</v>
          </cell>
          <cell r="C1107" t="str">
            <v>EWI</v>
          </cell>
          <cell r="D1107">
            <v>12.51</v>
          </cell>
          <cell r="E1107">
            <v>0</v>
          </cell>
          <cell r="F1107">
            <v>0</v>
          </cell>
          <cell r="G1107">
            <v>0</v>
          </cell>
          <cell r="H1107">
            <v>12.51</v>
          </cell>
        </row>
        <row r="1108">
          <cell r="A1108" t="str">
            <v>00737549</v>
          </cell>
          <cell r="B1108" t="str">
            <v>EWI   DASH RECEIVER STONE GREY 25KG</v>
          </cell>
          <cell r="C1108" t="str">
            <v>EWI</v>
          </cell>
          <cell r="D1108">
            <v>12.51</v>
          </cell>
          <cell r="E1108">
            <v>0</v>
          </cell>
          <cell r="F1108">
            <v>0</v>
          </cell>
          <cell r="G1108">
            <v>0</v>
          </cell>
          <cell r="H1108">
            <v>12.51</v>
          </cell>
        </row>
        <row r="1109">
          <cell r="A1109" t="str">
            <v>00737552</v>
          </cell>
          <cell r="B1109" t="str">
            <v>EWI   DASH RECEIVER TERRACOTTA 25KG</v>
          </cell>
          <cell r="C1109" t="str">
            <v>EWI</v>
          </cell>
          <cell r="D1109">
            <v>12.51</v>
          </cell>
          <cell r="E1109">
            <v>0</v>
          </cell>
          <cell r="F1109">
            <v>0</v>
          </cell>
          <cell r="G1109">
            <v>0</v>
          </cell>
          <cell r="H1109">
            <v>12.51</v>
          </cell>
        </row>
        <row r="1110">
          <cell r="A1110" t="str">
            <v>00737484</v>
          </cell>
          <cell r="B1110" t="str">
            <v>EWI   DASHING SPAR ASHTON CREAM 25KG</v>
          </cell>
          <cell r="C1110" t="str">
            <v>EWI</v>
          </cell>
          <cell r="D1110">
            <v>7.7</v>
          </cell>
          <cell r="E1110">
            <v>0</v>
          </cell>
          <cell r="F1110">
            <v>0</v>
          </cell>
          <cell r="G1110">
            <v>0</v>
          </cell>
          <cell r="H1110">
            <v>7.7</v>
          </cell>
        </row>
        <row r="1111">
          <cell r="A1111" t="str">
            <v>00737479</v>
          </cell>
          <cell r="B1111" t="str">
            <v>EWI   DASHING SPAR BARLEYCORN 25KG</v>
          </cell>
          <cell r="C1111" t="str">
            <v>EWI</v>
          </cell>
          <cell r="D1111">
            <v>7.7</v>
          </cell>
          <cell r="E1111">
            <v>0</v>
          </cell>
          <cell r="F1111">
            <v>0</v>
          </cell>
          <cell r="G1111">
            <v>0</v>
          </cell>
          <cell r="H1111">
            <v>7.7</v>
          </cell>
        </row>
        <row r="1112">
          <cell r="A1112" t="str">
            <v>00737486</v>
          </cell>
          <cell r="B1112" t="str">
            <v>EWI   DASHING SPAR BUFF QUARTZ 25KG</v>
          </cell>
          <cell r="C1112" t="str">
            <v>EWI</v>
          </cell>
          <cell r="D1112">
            <v>7.7</v>
          </cell>
          <cell r="E1112">
            <v>0</v>
          </cell>
          <cell r="F1112">
            <v>0</v>
          </cell>
          <cell r="G1112">
            <v>0</v>
          </cell>
          <cell r="H1112">
            <v>7.7</v>
          </cell>
        </row>
        <row r="1113">
          <cell r="A1113" t="str">
            <v>00737473</v>
          </cell>
          <cell r="B1113" t="str">
            <v>EWI   DASHING SPAR CHATSWORTH 25KG</v>
          </cell>
          <cell r="C1113" t="str">
            <v>EWI</v>
          </cell>
          <cell r="D1113">
            <v>6.42</v>
          </cell>
          <cell r="E1113">
            <v>0</v>
          </cell>
          <cell r="F1113">
            <v>0</v>
          </cell>
          <cell r="G1113">
            <v>0</v>
          </cell>
          <cell r="H1113">
            <v>6.42</v>
          </cell>
        </row>
        <row r="1114">
          <cell r="A1114" t="str">
            <v>00737478</v>
          </cell>
          <cell r="B1114" t="str">
            <v>EWI   DASHING SPAR HADDON SPAR0000002250</v>
          </cell>
          <cell r="C1114" t="str">
            <v>EWI</v>
          </cell>
          <cell r="D1114">
            <v>7.7</v>
          </cell>
          <cell r="E1114">
            <v>0</v>
          </cell>
          <cell r="F1114">
            <v>0</v>
          </cell>
          <cell r="G1114">
            <v>0</v>
          </cell>
          <cell r="H1114">
            <v>7.7</v>
          </cell>
        </row>
        <row r="1115">
          <cell r="A1115" t="str">
            <v>00737480</v>
          </cell>
          <cell r="B1115" t="str">
            <v>EWI   DASHING SPAR HARVEST 25KG</v>
          </cell>
          <cell r="C1115" t="str">
            <v>EWI</v>
          </cell>
          <cell r="D1115">
            <v>7.7</v>
          </cell>
          <cell r="E1115">
            <v>0</v>
          </cell>
          <cell r="F1115">
            <v>0</v>
          </cell>
          <cell r="G1115">
            <v>0</v>
          </cell>
          <cell r="H1115">
            <v>7.7</v>
          </cell>
        </row>
        <row r="1116">
          <cell r="A1116" t="str">
            <v>00737354</v>
          </cell>
          <cell r="B1116" t="str">
            <v>EWI   DASHING SPAR LIMESTONE 25KG</v>
          </cell>
          <cell r="C1116" t="str">
            <v>EWI</v>
          </cell>
          <cell r="D1116">
            <v>5.14</v>
          </cell>
          <cell r="E1116">
            <v>0</v>
          </cell>
          <cell r="F1116">
            <v>0</v>
          </cell>
          <cell r="G1116">
            <v>0</v>
          </cell>
          <cell r="H1116">
            <v>5.14</v>
          </cell>
        </row>
        <row r="1117">
          <cell r="A1117" t="str">
            <v>00737477</v>
          </cell>
          <cell r="B1117" t="str">
            <v>EWI   DASHING SPAR NORDIC SPAR 25KG</v>
          </cell>
          <cell r="C1117" t="str">
            <v>EWI</v>
          </cell>
          <cell r="D1117">
            <v>6.42</v>
          </cell>
          <cell r="E1117">
            <v>0</v>
          </cell>
          <cell r="F1117">
            <v>0</v>
          </cell>
          <cell r="G1117">
            <v>0</v>
          </cell>
          <cell r="H1117">
            <v>6.42</v>
          </cell>
        </row>
        <row r="1118">
          <cell r="A1118" t="str">
            <v>00737467</v>
          </cell>
          <cell r="B1118" t="str">
            <v>EWI   DASHING SPAR POLAR RED WHITE 25KG</v>
          </cell>
          <cell r="C1118" t="str">
            <v>EWI</v>
          </cell>
          <cell r="D1118">
            <v>6.42</v>
          </cell>
          <cell r="E1118">
            <v>0</v>
          </cell>
          <cell r="F1118">
            <v>0</v>
          </cell>
          <cell r="G1118">
            <v>0</v>
          </cell>
          <cell r="H1118">
            <v>6.42</v>
          </cell>
        </row>
        <row r="1119">
          <cell r="A1119" t="str">
            <v>00737483</v>
          </cell>
          <cell r="B1119" t="str">
            <v>EWI   DASHING SPAR SNOWDROP 25KG</v>
          </cell>
          <cell r="C1119" t="str">
            <v>EWI</v>
          </cell>
          <cell r="D1119">
            <v>7.7</v>
          </cell>
          <cell r="E1119">
            <v>0</v>
          </cell>
          <cell r="F1119">
            <v>0</v>
          </cell>
          <cell r="G1119">
            <v>0</v>
          </cell>
          <cell r="H1119">
            <v>7.7</v>
          </cell>
        </row>
        <row r="1120">
          <cell r="A1120" t="str">
            <v>00737487</v>
          </cell>
          <cell r="B1120" t="str">
            <v>EWI   DASHING SPAR SUNSET 25KG</v>
          </cell>
          <cell r="C1120" t="str">
            <v>EWI</v>
          </cell>
          <cell r="D1120">
            <v>7.7</v>
          </cell>
          <cell r="E1120">
            <v>0</v>
          </cell>
          <cell r="F1120">
            <v>0</v>
          </cell>
          <cell r="G1120">
            <v>0</v>
          </cell>
          <cell r="H1120">
            <v>7.7</v>
          </cell>
        </row>
        <row r="1121">
          <cell r="A1121" t="str">
            <v>00611955</v>
          </cell>
          <cell r="B1121" t="str">
            <v>EWI   DMT 85/7E ST STEEL WASH 85MM</v>
          </cell>
          <cell r="C1121" t="str">
            <v>EWI</v>
          </cell>
          <cell r="D1121">
            <v>66.45</v>
          </cell>
          <cell r="E1121">
            <v>0</v>
          </cell>
          <cell r="F1121">
            <v>0</v>
          </cell>
          <cell r="G1121">
            <v>0</v>
          </cell>
          <cell r="H1121">
            <v>66.45</v>
          </cell>
        </row>
        <row r="1122">
          <cell r="A1122" t="str">
            <v>00631539</v>
          </cell>
          <cell r="B1122" t="str">
            <v>EWI   ENHANCED     EPS 270MM  1200 X 600</v>
          </cell>
          <cell r="C1122" t="str">
            <v>EWI</v>
          </cell>
          <cell r="D1122">
            <v>19.64</v>
          </cell>
          <cell r="E1122">
            <v>0</v>
          </cell>
          <cell r="F1122">
            <v>0</v>
          </cell>
          <cell r="G1122">
            <v>0</v>
          </cell>
          <cell r="H1122">
            <v>19.64</v>
          </cell>
        </row>
        <row r="1123">
          <cell r="A1123" t="str">
            <v>00852937</v>
          </cell>
          <cell r="B1123" t="str">
            <v>EWI   ENHANCED     ROUTED BRD 100MM</v>
          </cell>
          <cell r="C1123" t="str">
            <v>EWI</v>
          </cell>
          <cell r="D1123">
            <v>13.91</v>
          </cell>
          <cell r="E1123">
            <v>0</v>
          </cell>
          <cell r="F1123">
            <v>0</v>
          </cell>
          <cell r="G1123">
            <v>0</v>
          </cell>
          <cell r="H1123">
            <v>13.91</v>
          </cell>
        </row>
        <row r="1124">
          <cell r="A1124" t="str">
            <v>00737989</v>
          </cell>
          <cell r="B1124" t="str">
            <v>EWI   ENHANCED EPS 100MM 1200 X 600 MM</v>
          </cell>
          <cell r="C1124" t="str">
            <v>EWI</v>
          </cell>
          <cell r="D1124">
            <v>7.43</v>
          </cell>
          <cell r="E1124">
            <v>0</v>
          </cell>
          <cell r="F1124">
            <v>0</v>
          </cell>
          <cell r="G1124">
            <v>0</v>
          </cell>
          <cell r="H1124">
            <v>7.43</v>
          </cell>
        </row>
        <row r="1125">
          <cell r="A1125" t="str">
            <v>00737991</v>
          </cell>
          <cell r="B1125" t="str">
            <v>EWI   ENHANCED EPS 110MM 1200 X 600 MM</v>
          </cell>
          <cell r="C1125" t="str">
            <v>EWI</v>
          </cell>
          <cell r="D1125">
            <v>8.17</v>
          </cell>
          <cell r="E1125">
            <v>0</v>
          </cell>
          <cell r="F1125">
            <v>0</v>
          </cell>
          <cell r="G1125">
            <v>0</v>
          </cell>
          <cell r="H1125">
            <v>8.17</v>
          </cell>
        </row>
        <row r="1126">
          <cell r="A1126" t="str">
            <v>00737993</v>
          </cell>
          <cell r="B1126" t="str">
            <v>EWI   ENHANCED EPS 120MM 1200 X 600 MM</v>
          </cell>
          <cell r="C1126" t="str">
            <v>EWI</v>
          </cell>
          <cell r="D1126">
            <v>8.93</v>
          </cell>
          <cell r="E1126">
            <v>0</v>
          </cell>
          <cell r="F1126">
            <v>0</v>
          </cell>
          <cell r="G1126">
            <v>0</v>
          </cell>
          <cell r="H1126">
            <v>8.93</v>
          </cell>
        </row>
        <row r="1127">
          <cell r="A1127" t="str">
            <v>00737974</v>
          </cell>
          <cell r="B1127" t="str">
            <v>EWI   ENHANCED EPS 20MM 1200 X 600 MM</v>
          </cell>
          <cell r="C1127" t="str">
            <v>EWI</v>
          </cell>
          <cell r="D1127">
            <v>1.49</v>
          </cell>
          <cell r="E1127">
            <v>0</v>
          </cell>
          <cell r="F1127">
            <v>0</v>
          </cell>
          <cell r="G1127">
            <v>0</v>
          </cell>
          <cell r="H1127">
            <v>1.49</v>
          </cell>
        </row>
        <row r="1128">
          <cell r="A1128" t="str">
            <v>00737977</v>
          </cell>
          <cell r="B1128" t="str">
            <v>EWI   ENHANCED EPS 30MM 1200 X 600 MM</v>
          </cell>
          <cell r="C1128" t="str">
            <v>EWI</v>
          </cell>
          <cell r="D1128">
            <v>2.23</v>
          </cell>
          <cell r="E1128">
            <v>0</v>
          </cell>
          <cell r="F1128">
            <v>0</v>
          </cell>
          <cell r="G1128">
            <v>0</v>
          </cell>
          <cell r="H1128">
            <v>2.23</v>
          </cell>
        </row>
        <row r="1129">
          <cell r="A1129" t="str">
            <v>00737979</v>
          </cell>
          <cell r="B1129" t="str">
            <v>EWI   ENHANCED EPS 40MM 1200 X 600 MM</v>
          </cell>
          <cell r="C1129" t="str">
            <v>EWI</v>
          </cell>
          <cell r="D1129">
            <v>2.97</v>
          </cell>
          <cell r="E1129">
            <v>0</v>
          </cell>
          <cell r="F1129">
            <v>0</v>
          </cell>
          <cell r="G1129">
            <v>0</v>
          </cell>
          <cell r="H1129">
            <v>2.97</v>
          </cell>
        </row>
        <row r="1130">
          <cell r="A1130" t="str">
            <v>00737981</v>
          </cell>
          <cell r="B1130" t="str">
            <v>EWI   ENHANCED EPS 50MM 1200 X 600 MM</v>
          </cell>
          <cell r="C1130" t="str">
            <v>EWI</v>
          </cell>
          <cell r="D1130">
            <v>3.71</v>
          </cell>
          <cell r="E1130">
            <v>0</v>
          </cell>
          <cell r="F1130">
            <v>0</v>
          </cell>
          <cell r="G1130">
            <v>0</v>
          </cell>
          <cell r="H1130">
            <v>3.71</v>
          </cell>
        </row>
        <row r="1131">
          <cell r="A1131" t="str">
            <v>00737983</v>
          </cell>
          <cell r="B1131" t="str">
            <v>EWI   ENHANCED EPS 60MM 1200 X 600 MM</v>
          </cell>
          <cell r="C1131" t="str">
            <v>EWI</v>
          </cell>
          <cell r="D1131">
            <v>4.46</v>
          </cell>
          <cell r="E1131">
            <v>0</v>
          </cell>
          <cell r="F1131">
            <v>0</v>
          </cell>
          <cell r="G1131">
            <v>0</v>
          </cell>
          <cell r="H1131">
            <v>4.46</v>
          </cell>
        </row>
        <row r="1132">
          <cell r="A1132" t="str">
            <v>00737988</v>
          </cell>
          <cell r="B1132" t="str">
            <v>EWI   ENHANCED EPS 90MM 1200 X 600 MM</v>
          </cell>
          <cell r="C1132" t="str">
            <v>EWI</v>
          </cell>
          <cell r="D1132">
            <v>6.68</v>
          </cell>
          <cell r="E1132">
            <v>0</v>
          </cell>
          <cell r="F1132">
            <v>0</v>
          </cell>
          <cell r="G1132">
            <v>0</v>
          </cell>
          <cell r="H1132">
            <v>6.68</v>
          </cell>
        </row>
        <row r="1133">
          <cell r="A1133" t="str">
            <v>00649680</v>
          </cell>
          <cell r="B1133" t="str">
            <v>EWI   EPS 200E30MM 1200X600MM HD WHITE</v>
          </cell>
          <cell r="C1133" t="str">
            <v>EWI</v>
          </cell>
          <cell r="D1133">
            <v>5.09</v>
          </cell>
          <cell r="E1133">
            <v>0</v>
          </cell>
          <cell r="F1133">
            <v>0</v>
          </cell>
          <cell r="G1133">
            <v>0</v>
          </cell>
          <cell r="H1133">
            <v>5.09</v>
          </cell>
        </row>
        <row r="1134">
          <cell r="A1134" t="str">
            <v>00649682</v>
          </cell>
          <cell r="B1134" t="str">
            <v>EWI   EPS 200E90MM 1200X600MM HD WHITE</v>
          </cell>
          <cell r="C1134" t="str">
            <v>EWI</v>
          </cell>
          <cell r="D1134">
            <v>9.74</v>
          </cell>
          <cell r="E1134">
            <v>0</v>
          </cell>
          <cell r="F1134">
            <v>0</v>
          </cell>
          <cell r="G1134">
            <v>0</v>
          </cell>
          <cell r="H1134">
            <v>9.74</v>
          </cell>
        </row>
        <row r="1135">
          <cell r="A1135" t="str">
            <v>00649630</v>
          </cell>
          <cell r="B1135" t="str">
            <v>EWI   EPS 70E      20MM</v>
          </cell>
          <cell r="C1135" t="str">
            <v>EWI</v>
          </cell>
          <cell r="D1135">
            <v>1.62</v>
          </cell>
          <cell r="E1135">
            <v>0</v>
          </cell>
          <cell r="F1135">
            <v>0</v>
          </cell>
          <cell r="G1135">
            <v>0</v>
          </cell>
          <cell r="H1135">
            <v>1.62</v>
          </cell>
        </row>
        <row r="1136">
          <cell r="A1136" t="str">
            <v>00649631</v>
          </cell>
          <cell r="B1136" t="str">
            <v>EWI   EPS 70E      30MM</v>
          </cell>
          <cell r="C1136" t="str">
            <v>EWI</v>
          </cell>
          <cell r="D1136">
            <v>2.46</v>
          </cell>
          <cell r="E1136">
            <v>0</v>
          </cell>
          <cell r="F1136">
            <v>0</v>
          </cell>
          <cell r="G1136">
            <v>0</v>
          </cell>
          <cell r="H1136">
            <v>2.46</v>
          </cell>
        </row>
        <row r="1137">
          <cell r="A1137" t="str">
            <v>00649632</v>
          </cell>
          <cell r="B1137" t="str">
            <v>EWI   EPS 70E      40MM</v>
          </cell>
          <cell r="C1137" t="str">
            <v>EWI</v>
          </cell>
          <cell r="D1137">
            <v>3.26</v>
          </cell>
          <cell r="E1137">
            <v>0</v>
          </cell>
          <cell r="F1137">
            <v>0</v>
          </cell>
          <cell r="G1137">
            <v>0</v>
          </cell>
          <cell r="H1137">
            <v>3.26</v>
          </cell>
        </row>
        <row r="1138">
          <cell r="A1138" t="str">
            <v>00649635</v>
          </cell>
          <cell r="B1138" t="str">
            <v>EWI   EPS 70E      60MM</v>
          </cell>
          <cell r="C1138" t="str">
            <v>EWI</v>
          </cell>
          <cell r="D1138">
            <v>4.8899999999999997</v>
          </cell>
          <cell r="E1138">
            <v>0</v>
          </cell>
          <cell r="F1138">
            <v>0</v>
          </cell>
          <cell r="G1138">
            <v>0</v>
          </cell>
          <cell r="H1138">
            <v>4.8899999999999997</v>
          </cell>
        </row>
        <row r="1139">
          <cell r="A1139" t="str">
            <v>00649636</v>
          </cell>
          <cell r="B1139" t="str">
            <v>EWI   EPS 70E      90MM</v>
          </cell>
          <cell r="C1139" t="str">
            <v>EWI</v>
          </cell>
          <cell r="D1139">
            <v>7.34</v>
          </cell>
          <cell r="E1139">
            <v>0</v>
          </cell>
          <cell r="F1139">
            <v>0</v>
          </cell>
          <cell r="G1139">
            <v>0</v>
          </cell>
          <cell r="H1139">
            <v>7.34</v>
          </cell>
        </row>
        <row r="1140">
          <cell r="A1140" t="str">
            <v>00649683</v>
          </cell>
          <cell r="B1140" t="str">
            <v>EWI   EPS200E100MM 1200X600MM HD WHITE</v>
          </cell>
          <cell r="C1140" t="str">
            <v>EWI</v>
          </cell>
          <cell r="D1140">
            <v>10.7</v>
          </cell>
          <cell r="E1140">
            <v>0</v>
          </cell>
          <cell r="F1140">
            <v>0</v>
          </cell>
          <cell r="G1140">
            <v>0</v>
          </cell>
          <cell r="H1140">
            <v>10.7</v>
          </cell>
        </row>
        <row r="1141">
          <cell r="A1141" t="str">
            <v>00739347</v>
          </cell>
          <cell r="B1141" t="str">
            <v>EWI   FIR TREE FIXING BLACK*BOX OF 1000*</v>
          </cell>
          <cell r="C1141" t="str">
            <v>EWI</v>
          </cell>
          <cell r="D1141">
            <v>50.74</v>
          </cell>
          <cell r="E1141">
            <v>0</v>
          </cell>
          <cell r="F1141">
            <v>0</v>
          </cell>
          <cell r="G1141">
            <v>0</v>
          </cell>
          <cell r="H1141">
            <v>50.74</v>
          </cell>
        </row>
        <row r="1142">
          <cell r="A1142" t="str">
            <v>00646959</v>
          </cell>
          <cell r="B1142" t="str">
            <v>EWI   FOAM GUN</v>
          </cell>
          <cell r="C1142" t="str">
            <v>EWI</v>
          </cell>
          <cell r="D1142">
            <v>26.9</v>
          </cell>
          <cell r="E1142">
            <v>0</v>
          </cell>
          <cell r="F1142">
            <v>0</v>
          </cell>
          <cell r="G1142">
            <v>0</v>
          </cell>
          <cell r="H1142">
            <v>26.9</v>
          </cell>
        </row>
        <row r="1143">
          <cell r="A1143" t="str">
            <v>00737757</v>
          </cell>
          <cell r="B1143" t="str">
            <v>EWI   H1 ECO 135MM MAX 100MM INSULATION</v>
          </cell>
          <cell r="C1143" t="str">
            <v>EWI</v>
          </cell>
          <cell r="D1143">
            <v>22.27</v>
          </cell>
          <cell r="E1143">
            <v>0</v>
          </cell>
          <cell r="F1143">
            <v>0</v>
          </cell>
          <cell r="G1143">
            <v>0</v>
          </cell>
          <cell r="H1143">
            <v>22.27</v>
          </cell>
        </row>
        <row r="1144">
          <cell r="A1144" t="str">
            <v>00737758</v>
          </cell>
          <cell r="B1144" t="str">
            <v>EWI   H1 ECO 155MM MAX 120MM INSULATION</v>
          </cell>
          <cell r="C1144" t="str">
            <v>EWI</v>
          </cell>
          <cell r="D1144">
            <v>25.45</v>
          </cell>
          <cell r="E1144">
            <v>0</v>
          </cell>
          <cell r="F1144">
            <v>0</v>
          </cell>
          <cell r="G1144">
            <v>0</v>
          </cell>
          <cell r="H1144">
            <v>25.45</v>
          </cell>
        </row>
        <row r="1145">
          <cell r="A1145" t="str">
            <v>00737737</v>
          </cell>
          <cell r="B1145" t="str">
            <v>EWI   H1 ECO 95MM MAX 60MM INSULATION</v>
          </cell>
          <cell r="C1145" t="str">
            <v>EWI</v>
          </cell>
          <cell r="D1145">
            <v>19.22</v>
          </cell>
          <cell r="E1145">
            <v>0</v>
          </cell>
          <cell r="F1145">
            <v>0</v>
          </cell>
          <cell r="G1145">
            <v>0</v>
          </cell>
          <cell r="H1145">
            <v>19.22</v>
          </cell>
        </row>
        <row r="1146">
          <cell r="A1146" t="str">
            <v>00738566</v>
          </cell>
          <cell r="B1146" t="str">
            <v>EWI   HIGH FLEX RENDER BASECOAT 25KG</v>
          </cell>
          <cell r="C1146" t="str">
            <v>EWI</v>
          </cell>
          <cell r="D1146">
            <v>19.25</v>
          </cell>
          <cell r="E1146">
            <v>0</v>
          </cell>
          <cell r="F1146">
            <v>0</v>
          </cell>
          <cell r="G1146">
            <v>0</v>
          </cell>
          <cell r="H1146">
            <v>19.25</v>
          </cell>
        </row>
        <row r="1147">
          <cell r="A1147" t="str">
            <v>00737421</v>
          </cell>
          <cell r="B1147" t="str">
            <v>EWI   HIGH IMPACT RENDER MESH CLOTH</v>
          </cell>
          <cell r="C1147" t="str">
            <v>EWI</v>
          </cell>
          <cell r="D1147">
            <v>127.85</v>
          </cell>
          <cell r="E1147">
            <v>0</v>
          </cell>
          <cell r="F1147">
            <v>0</v>
          </cell>
          <cell r="G1147">
            <v>0</v>
          </cell>
          <cell r="H1147">
            <v>127.85</v>
          </cell>
        </row>
        <row r="1148">
          <cell r="A1148" t="str">
            <v>00633361</v>
          </cell>
          <cell r="B1148" t="str">
            <v>EWI   IDK-N 8/60   75MM 200BX</v>
          </cell>
          <cell r="C1148" t="str">
            <v>EWI</v>
          </cell>
          <cell r="D1148">
            <v>30.9</v>
          </cell>
          <cell r="E1148">
            <v>0</v>
          </cell>
          <cell r="F1148">
            <v>0</v>
          </cell>
          <cell r="G1148">
            <v>0</v>
          </cell>
          <cell r="H1148">
            <v>30.9</v>
          </cell>
        </row>
        <row r="1149">
          <cell r="A1149" t="str">
            <v>00738562</v>
          </cell>
          <cell r="B1149" t="str">
            <v>EWI   KEY COAT PRIMER 25KG</v>
          </cell>
          <cell r="C1149" t="str">
            <v>EWI</v>
          </cell>
          <cell r="D1149">
            <v>15.4</v>
          </cell>
          <cell r="E1149">
            <v>0</v>
          </cell>
          <cell r="F1149">
            <v>0</v>
          </cell>
          <cell r="G1149">
            <v>0</v>
          </cell>
          <cell r="H1149">
            <v>15.4</v>
          </cell>
        </row>
        <row r="1150">
          <cell r="A1150" t="str">
            <v>00737808</v>
          </cell>
          <cell r="B1150" t="str">
            <v>EWI   NKU HAMMER 45MM 100 PACK</v>
          </cell>
          <cell r="C1150" t="str">
            <v>EWI</v>
          </cell>
          <cell r="D1150">
            <v>12.12</v>
          </cell>
          <cell r="E1150">
            <v>0</v>
          </cell>
          <cell r="F1150">
            <v>0</v>
          </cell>
          <cell r="G1150">
            <v>0</v>
          </cell>
          <cell r="H1150">
            <v>12.12</v>
          </cell>
        </row>
        <row r="1151">
          <cell r="A1151" t="str">
            <v>00649690</v>
          </cell>
          <cell r="B1151" t="str">
            <v>EWI   PL ANGL BEAD 10MM IVORY 2.5M S/SPI</v>
          </cell>
          <cell r="C1151" t="str">
            <v>EWI</v>
          </cell>
          <cell r="D1151">
            <v>3.44</v>
          </cell>
          <cell r="E1151">
            <v>0</v>
          </cell>
          <cell r="F1151">
            <v>0</v>
          </cell>
          <cell r="G1151">
            <v>0</v>
          </cell>
          <cell r="H1151">
            <v>3.44</v>
          </cell>
        </row>
        <row r="1152">
          <cell r="A1152" t="str">
            <v>00649689</v>
          </cell>
          <cell r="B1152" t="str">
            <v>EWI   PL BELL BEAD 15MM IVORY 2.5M</v>
          </cell>
          <cell r="C1152" t="str">
            <v>EWI</v>
          </cell>
          <cell r="D1152">
            <v>3.11</v>
          </cell>
          <cell r="E1152">
            <v>0</v>
          </cell>
          <cell r="F1152">
            <v>0</v>
          </cell>
          <cell r="G1152">
            <v>0</v>
          </cell>
          <cell r="H1152">
            <v>3.11</v>
          </cell>
        </row>
        <row r="1153">
          <cell r="A1153" t="str">
            <v>00649688</v>
          </cell>
          <cell r="B1153" t="str">
            <v>EWI   PL STOP BEAD 10MM IVORY 2.5M</v>
          </cell>
          <cell r="C1153" t="str">
            <v>EWI</v>
          </cell>
          <cell r="D1153">
            <v>2.9</v>
          </cell>
          <cell r="E1153">
            <v>0</v>
          </cell>
          <cell r="F1153">
            <v>0</v>
          </cell>
          <cell r="G1153">
            <v>0</v>
          </cell>
          <cell r="H1153">
            <v>2.9</v>
          </cell>
        </row>
        <row r="1154">
          <cell r="A1154" t="str">
            <v>00649687</v>
          </cell>
          <cell r="B1154" t="str">
            <v>EWI   PLAS EX BEAD 10MM IVORY 2.5M</v>
          </cell>
          <cell r="C1154" t="str">
            <v>EWI</v>
          </cell>
          <cell r="D1154">
            <v>6.44</v>
          </cell>
          <cell r="E1154">
            <v>0</v>
          </cell>
          <cell r="F1154">
            <v>0</v>
          </cell>
          <cell r="G1154">
            <v>0</v>
          </cell>
          <cell r="H1154">
            <v>6.44</v>
          </cell>
        </row>
        <row r="1155">
          <cell r="A1155" t="str">
            <v>00738569</v>
          </cell>
          <cell r="B1155" t="str">
            <v>EWI   POINTING MORTAR CHARCOAL 25KG</v>
          </cell>
          <cell r="C1155" t="str">
            <v>EWI</v>
          </cell>
          <cell r="D1155">
            <v>17.329999999999998</v>
          </cell>
          <cell r="E1155">
            <v>0</v>
          </cell>
          <cell r="F1155">
            <v>0</v>
          </cell>
          <cell r="G1155">
            <v>0</v>
          </cell>
          <cell r="H1155">
            <v>17.329999999999998</v>
          </cell>
        </row>
        <row r="1156">
          <cell r="A1156" t="str">
            <v>00738568</v>
          </cell>
          <cell r="B1156" t="str">
            <v>EWI   POINTING MORTAR DARK GREY 25KG</v>
          </cell>
          <cell r="C1156" t="str">
            <v>EWI</v>
          </cell>
          <cell r="D1156">
            <v>17.329999999999998</v>
          </cell>
          <cell r="E1156">
            <v>0</v>
          </cell>
          <cell r="F1156">
            <v>0</v>
          </cell>
          <cell r="G1156">
            <v>0</v>
          </cell>
          <cell r="H1156">
            <v>17.329999999999998</v>
          </cell>
        </row>
        <row r="1157">
          <cell r="A1157" t="str">
            <v>00739351</v>
          </cell>
          <cell r="B1157" t="str">
            <v>EWI   POINTING MORTAR NATURAL GREY 25KG</v>
          </cell>
          <cell r="C1157" t="str">
            <v>EWI</v>
          </cell>
          <cell r="D1157">
            <v>17.329999999999998</v>
          </cell>
          <cell r="E1157">
            <v>0</v>
          </cell>
          <cell r="F1157">
            <v>0</v>
          </cell>
          <cell r="G1157">
            <v>0</v>
          </cell>
          <cell r="H1157">
            <v>17.329999999999998</v>
          </cell>
        </row>
        <row r="1158">
          <cell r="A1158" t="str">
            <v>00739675</v>
          </cell>
          <cell r="B1158" t="str">
            <v>EWI   POINTING MORTOR CLASSIC 25KG</v>
          </cell>
          <cell r="C1158" t="str">
            <v>EWI</v>
          </cell>
          <cell r="D1158">
            <v>17.329999999999998</v>
          </cell>
          <cell r="E1158">
            <v>0</v>
          </cell>
          <cell r="F1158">
            <v>0</v>
          </cell>
          <cell r="G1158">
            <v>0</v>
          </cell>
          <cell r="H1158">
            <v>17.329999999999998</v>
          </cell>
        </row>
        <row r="1159">
          <cell r="A1159" t="str">
            <v>00852729</v>
          </cell>
          <cell r="B1159" t="str">
            <v>EWI   POLE &amp; SEAM  TAPE 25MT  PHS</v>
          </cell>
          <cell r="C1159" t="str">
            <v>EWI</v>
          </cell>
          <cell r="D1159">
            <v>3.86</v>
          </cell>
          <cell r="E1159">
            <v>0</v>
          </cell>
          <cell r="F1159">
            <v>0</v>
          </cell>
          <cell r="G1159">
            <v>0</v>
          </cell>
          <cell r="H1159">
            <v>3.86</v>
          </cell>
        </row>
        <row r="1160">
          <cell r="A1160" t="str">
            <v>00646958</v>
          </cell>
          <cell r="B1160" t="str">
            <v>EWI   PU FOAM      CLEANER    0000000500</v>
          </cell>
          <cell r="C1160" t="str">
            <v>EWI</v>
          </cell>
          <cell r="D1160">
            <v>4.5999999999999996</v>
          </cell>
          <cell r="E1160">
            <v>0</v>
          </cell>
          <cell r="F1160">
            <v>0</v>
          </cell>
          <cell r="G1160">
            <v>0</v>
          </cell>
          <cell r="H1160">
            <v>4.5999999999999996</v>
          </cell>
        </row>
        <row r="1161">
          <cell r="A1161" t="str">
            <v>00608273</v>
          </cell>
          <cell r="B1161" t="str">
            <v>EWI   QUICK SET ADDITIVE 250ML*20</v>
          </cell>
          <cell r="C1161" t="str">
            <v>EWI</v>
          </cell>
          <cell r="D1161">
            <v>197.37</v>
          </cell>
          <cell r="E1161">
            <v>0</v>
          </cell>
          <cell r="F1161">
            <v>0</v>
          </cell>
          <cell r="G1161">
            <v>0</v>
          </cell>
          <cell r="H1161">
            <v>197.37</v>
          </cell>
        </row>
        <row r="1162">
          <cell r="A1162" t="str">
            <v>00739898</v>
          </cell>
          <cell r="B1162" t="str">
            <v>EWI   RECYCLING BAG CLEAR *150*</v>
          </cell>
          <cell r="C1162" t="str">
            <v>EWI</v>
          </cell>
          <cell r="D1162">
            <v>160.44999999999999</v>
          </cell>
          <cell r="E1162">
            <v>0</v>
          </cell>
          <cell r="F1162">
            <v>0</v>
          </cell>
          <cell r="G1162">
            <v>0</v>
          </cell>
          <cell r="H1162">
            <v>160.44999999999999</v>
          </cell>
        </row>
        <row r="1163">
          <cell r="A1163" t="str">
            <v>00737722</v>
          </cell>
          <cell r="B1163" t="str">
            <v>EWI   ROCKWOOL 110MM 1200 X 600 MM</v>
          </cell>
          <cell r="C1163" t="str">
            <v>EWI</v>
          </cell>
          <cell r="D1163">
            <v>15.46</v>
          </cell>
          <cell r="E1163">
            <v>0</v>
          </cell>
          <cell r="F1163">
            <v>0</v>
          </cell>
          <cell r="G1163">
            <v>0</v>
          </cell>
          <cell r="H1163">
            <v>15.46</v>
          </cell>
        </row>
        <row r="1164">
          <cell r="A1164" t="str">
            <v>00737723</v>
          </cell>
          <cell r="B1164" t="str">
            <v>EWI   ROCKWOOL 120MM 1200 X 600 MM</v>
          </cell>
          <cell r="C1164" t="str">
            <v>EWI</v>
          </cell>
          <cell r="D1164">
            <v>16.87</v>
          </cell>
          <cell r="E1164">
            <v>0</v>
          </cell>
          <cell r="F1164">
            <v>0</v>
          </cell>
          <cell r="G1164">
            <v>0</v>
          </cell>
          <cell r="H1164">
            <v>16.87</v>
          </cell>
        </row>
        <row r="1165">
          <cell r="A1165" t="str">
            <v>00737729</v>
          </cell>
          <cell r="B1165" t="str">
            <v>EWI   ROCKWOOL 180MM 1200 X 600 MM</v>
          </cell>
          <cell r="C1165" t="str">
            <v>EWI</v>
          </cell>
          <cell r="D1165">
            <v>25.31</v>
          </cell>
          <cell r="E1165">
            <v>0</v>
          </cell>
          <cell r="F1165">
            <v>0</v>
          </cell>
          <cell r="G1165">
            <v>0</v>
          </cell>
          <cell r="H1165">
            <v>25.31</v>
          </cell>
        </row>
        <row r="1166">
          <cell r="A1166" t="str">
            <v>00737717</v>
          </cell>
          <cell r="B1166" t="str">
            <v>EWI   ROCKWOOL 60MM 1200 X 600 MM</v>
          </cell>
          <cell r="C1166" t="str">
            <v>EWI</v>
          </cell>
          <cell r="D1166">
            <v>8.39</v>
          </cell>
          <cell r="E1166">
            <v>0</v>
          </cell>
          <cell r="F1166">
            <v>0</v>
          </cell>
          <cell r="G1166">
            <v>0</v>
          </cell>
          <cell r="H1166">
            <v>8.39</v>
          </cell>
        </row>
        <row r="1167">
          <cell r="A1167" t="str">
            <v>00737718</v>
          </cell>
          <cell r="B1167" t="str">
            <v>EWI   ROCKWOOL 70MM 1200 X 600 MM</v>
          </cell>
          <cell r="C1167" t="str">
            <v>EWI</v>
          </cell>
          <cell r="D1167">
            <v>9.84</v>
          </cell>
          <cell r="E1167">
            <v>0</v>
          </cell>
          <cell r="F1167">
            <v>0</v>
          </cell>
          <cell r="G1167">
            <v>0</v>
          </cell>
          <cell r="H1167">
            <v>9.84</v>
          </cell>
        </row>
        <row r="1168">
          <cell r="A1168" t="str">
            <v>00633486</v>
          </cell>
          <cell r="B1168" t="str">
            <v>EWI   S/S MINERAL  COUNTY CRM THIN COAT</v>
          </cell>
          <cell r="C1168" t="str">
            <v>EWI</v>
          </cell>
          <cell r="D1168">
            <v>52.95</v>
          </cell>
          <cell r="E1168">
            <v>0</v>
          </cell>
          <cell r="F1168">
            <v>0</v>
          </cell>
          <cell r="G1168">
            <v>0</v>
          </cell>
          <cell r="H1168">
            <v>52.95</v>
          </cell>
        </row>
        <row r="1169">
          <cell r="A1169" t="str">
            <v>00633483</v>
          </cell>
          <cell r="B1169" t="str">
            <v>EWI   S/S MINERAL  IVORY      THIN COAT</v>
          </cell>
          <cell r="C1169" t="str">
            <v>EWI</v>
          </cell>
          <cell r="D1169">
            <v>52.95</v>
          </cell>
          <cell r="E1169">
            <v>0</v>
          </cell>
          <cell r="F1169">
            <v>0</v>
          </cell>
          <cell r="G1169">
            <v>0</v>
          </cell>
          <cell r="H1169">
            <v>52.95</v>
          </cell>
        </row>
        <row r="1170">
          <cell r="A1170" t="str">
            <v>00633485</v>
          </cell>
          <cell r="B1170" t="str">
            <v>EWI   S/S MINERAL  MUSHROOM   THIN COAT</v>
          </cell>
          <cell r="C1170" t="str">
            <v>EWI</v>
          </cell>
          <cell r="D1170">
            <v>52.95</v>
          </cell>
          <cell r="E1170">
            <v>0</v>
          </cell>
          <cell r="F1170">
            <v>0</v>
          </cell>
          <cell r="G1170">
            <v>0</v>
          </cell>
          <cell r="H1170">
            <v>52.95</v>
          </cell>
        </row>
        <row r="1171">
          <cell r="A1171" t="str">
            <v>00633484</v>
          </cell>
          <cell r="B1171" t="str">
            <v>EWI   S/S MINERAL  PRIN GREY  THIN COAT</v>
          </cell>
          <cell r="C1171" t="str">
            <v>EWI</v>
          </cell>
          <cell r="D1171">
            <v>52.95</v>
          </cell>
          <cell r="E1171">
            <v>0</v>
          </cell>
          <cell r="F1171">
            <v>0</v>
          </cell>
          <cell r="G1171">
            <v>0</v>
          </cell>
          <cell r="H1171">
            <v>52.95</v>
          </cell>
        </row>
        <row r="1172">
          <cell r="A1172" t="str">
            <v>00633482</v>
          </cell>
          <cell r="B1172" t="str">
            <v>EWI   S/S MINERAL  WHITE      THIN COAT</v>
          </cell>
          <cell r="C1172" t="str">
            <v>EWI</v>
          </cell>
          <cell r="D1172">
            <v>52.95</v>
          </cell>
          <cell r="E1172">
            <v>0</v>
          </cell>
          <cell r="F1172">
            <v>0</v>
          </cell>
          <cell r="G1172">
            <v>0</v>
          </cell>
          <cell r="H1172">
            <v>52.95</v>
          </cell>
        </row>
        <row r="1173">
          <cell r="A1173" t="str">
            <v>00633488</v>
          </cell>
          <cell r="B1173" t="str">
            <v>EWI   S/S SILICONE IVORY      MINERAL T/</v>
          </cell>
          <cell r="C1173" t="str">
            <v>EWI</v>
          </cell>
          <cell r="D1173">
            <v>72.19</v>
          </cell>
          <cell r="E1173">
            <v>0</v>
          </cell>
          <cell r="F1173">
            <v>0</v>
          </cell>
          <cell r="G1173">
            <v>0</v>
          </cell>
          <cell r="H1173">
            <v>72.19</v>
          </cell>
        </row>
        <row r="1174">
          <cell r="A1174" t="str">
            <v>00633490</v>
          </cell>
          <cell r="B1174" t="str">
            <v>EWI   S/S SILICONE MUSHROOM   MINERAL T/</v>
          </cell>
          <cell r="C1174" t="str">
            <v>EWI</v>
          </cell>
          <cell r="D1174">
            <v>72.19</v>
          </cell>
          <cell r="E1174">
            <v>0</v>
          </cell>
          <cell r="F1174">
            <v>0</v>
          </cell>
          <cell r="G1174">
            <v>0</v>
          </cell>
          <cell r="H1174">
            <v>72.19</v>
          </cell>
        </row>
        <row r="1175">
          <cell r="A1175" t="str">
            <v>00633489</v>
          </cell>
          <cell r="B1175" t="str">
            <v>EWI   S/S SILICONE PRIN GREY  MINERAL T/</v>
          </cell>
          <cell r="C1175" t="str">
            <v>EWI</v>
          </cell>
          <cell r="D1175">
            <v>72.19</v>
          </cell>
          <cell r="E1175">
            <v>0</v>
          </cell>
          <cell r="F1175">
            <v>0</v>
          </cell>
          <cell r="G1175">
            <v>0</v>
          </cell>
          <cell r="H1175">
            <v>72.19</v>
          </cell>
        </row>
        <row r="1176">
          <cell r="A1176" t="str">
            <v>00633487</v>
          </cell>
          <cell r="B1176" t="str">
            <v>EWI   S/S SILICONE WHITE      MINERAL T/</v>
          </cell>
          <cell r="C1176" t="str">
            <v>EWI</v>
          </cell>
          <cell r="D1176">
            <v>72.19</v>
          </cell>
          <cell r="E1176">
            <v>0</v>
          </cell>
          <cell r="F1176">
            <v>0</v>
          </cell>
          <cell r="G1176">
            <v>0</v>
          </cell>
          <cell r="H1176">
            <v>72.19</v>
          </cell>
        </row>
        <row r="1177">
          <cell r="A1177" t="str">
            <v>00739436</v>
          </cell>
          <cell r="B1177" t="str">
            <v>EWI   SANDED RED NUANCE BRICK SLIP BOX30</v>
          </cell>
          <cell r="C1177" t="str">
            <v>EWI</v>
          </cell>
          <cell r="D1177">
            <v>18.48</v>
          </cell>
          <cell r="E1177">
            <v>0</v>
          </cell>
          <cell r="F1177">
            <v>0</v>
          </cell>
          <cell r="G1177">
            <v>0</v>
          </cell>
          <cell r="H1177">
            <v>18.48</v>
          </cell>
        </row>
        <row r="1178">
          <cell r="A1178" t="str">
            <v>00739437</v>
          </cell>
          <cell r="B1178" t="str">
            <v>EWI   SANDED RED NUANCE PISTOL BRK BOX14</v>
          </cell>
          <cell r="C1178" t="str">
            <v>EWI</v>
          </cell>
          <cell r="D1178">
            <v>37.74</v>
          </cell>
          <cell r="E1178">
            <v>0</v>
          </cell>
          <cell r="F1178">
            <v>0</v>
          </cell>
          <cell r="G1178">
            <v>0</v>
          </cell>
          <cell r="H1178">
            <v>37.74</v>
          </cell>
        </row>
        <row r="1179">
          <cell r="A1179" t="str">
            <v>00738578</v>
          </cell>
          <cell r="B1179" t="str">
            <v>EWI   SCRATCH RENDER BLUE 25KG</v>
          </cell>
          <cell r="C1179" t="str">
            <v>EWI</v>
          </cell>
          <cell r="D1179">
            <v>11.04</v>
          </cell>
          <cell r="E1179">
            <v>0</v>
          </cell>
          <cell r="F1179">
            <v>0</v>
          </cell>
          <cell r="G1179">
            <v>0</v>
          </cell>
          <cell r="H1179">
            <v>11.04</v>
          </cell>
        </row>
        <row r="1180">
          <cell r="A1180" t="str">
            <v>00738582</v>
          </cell>
          <cell r="B1180" t="str">
            <v>EWI   SCRATCH RENDER EARTH 25KG</v>
          </cell>
          <cell r="C1180" t="str">
            <v>EWI</v>
          </cell>
          <cell r="D1180">
            <v>11.04</v>
          </cell>
          <cell r="E1180">
            <v>0</v>
          </cell>
          <cell r="F1180">
            <v>0</v>
          </cell>
          <cell r="G1180">
            <v>0</v>
          </cell>
          <cell r="H1180">
            <v>11.04</v>
          </cell>
        </row>
        <row r="1181">
          <cell r="A1181" t="str">
            <v>00738579</v>
          </cell>
          <cell r="B1181" t="str">
            <v>EWI   SCRATCH RENDER GOLD 25KG</v>
          </cell>
          <cell r="C1181" t="str">
            <v>EWI</v>
          </cell>
          <cell r="D1181">
            <v>11.04</v>
          </cell>
          <cell r="E1181">
            <v>0</v>
          </cell>
          <cell r="F1181">
            <v>0</v>
          </cell>
          <cell r="G1181">
            <v>0</v>
          </cell>
          <cell r="H1181">
            <v>11.04</v>
          </cell>
        </row>
        <row r="1182">
          <cell r="A1182" t="str">
            <v>00739251</v>
          </cell>
          <cell r="B1182" t="str">
            <v>EWI   SCRATCH RENDER GOLDEN BROWN 25KG</v>
          </cell>
          <cell r="C1182" t="str">
            <v>EWI</v>
          </cell>
          <cell r="D1182">
            <v>11.04</v>
          </cell>
          <cell r="E1182">
            <v>0</v>
          </cell>
          <cell r="F1182">
            <v>0</v>
          </cell>
          <cell r="G1182">
            <v>0</v>
          </cell>
          <cell r="H1182">
            <v>11.04</v>
          </cell>
        </row>
        <row r="1183">
          <cell r="A1183" t="str">
            <v>00738580</v>
          </cell>
          <cell r="B1183" t="str">
            <v>EWI   SCRATCH RENDER GREEN 25KG</v>
          </cell>
          <cell r="C1183" t="str">
            <v>EWI</v>
          </cell>
          <cell r="D1183">
            <v>11.04</v>
          </cell>
          <cell r="E1183">
            <v>0</v>
          </cell>
          <cell r="F1183">
            <v>0</v>
          </cell>
          <cell r="G1183">
            <v>0</v>
          </cell>
          <cell r="H1183">
            <v>11.04</v>
          </cell>
        </row>
        <row r="1184">
          <cell r="A1184" t="str">
            <v>00738577</v>
          </cell>
          <cell r="B1184" t="str">
            <v>EWI   SCRATCH RENDER GREY 25KG</v>
          </cell>
          <cell r="C1184" t="str">
            <v>EWI</v>
          </cell>
          <cell r="D1184">
            <v>11.04</v>
          </cell>
          <cell r="E1184">
            <v>0</v>
          </cell>
          <cell r="F1184">
            <v>0</v>
          </cell>
          <cell r="G1184">
            <v>0</v>
          </cell>
          <cell r="H1184">
            <v>11.04</v>
          </cell>
        </row>
        <row r="1185">
          <cell r="A1185" t="str">
            <v>00738583</v>
          </cell>
          <cell r="B1185" t="str">
            <v>EWI   SCRATCH RENDER GUN METAL 25KG</v>
          </cell>
          <cell r="C1185" t="str">
            <v>EWI</v>
          </cell>
          <cell r="D1185">
            <v>11.04</v>
          </cell>
          <cell r="E1185">
            <v>0</v>
          </cell>
          <cell r="F1185">
            <v>0</v>
          </cell>
          <cell r="G1185">
            <v>0</v>
          </cell>
          <cell r="H1185">
            <v>11.04</v>
          </cell>
        </row>
        <row r="1186">
          <cell r="A1186" t="str">
            <v>00738574</v>
          </cell>
          <cell r="B1186" t="str">
            <v>EWI   SCRATCH RENDER HIGH WHITE 25KG</v>
          </cell>
          <cell r="C1186" t="str">
            <v>EWI</v>
          </cell>
          <cell r="D1186">
            <v>11.04</v>
          </cell>
          <cell r="E1186">
            <v>0</v>
          </cell>
          <cell r="F1186">
            <v>0</v>
          </cell>
          <cell r="G1186">
            <v>0</v>
          </cell>
          <cell r="H1186">
            <v>11.04</v>
          </cell>
        </row>
        <row r="1187">
          <cell r="A1187" t="str">
            <v>00738585</v>
          </cell>
          <cell r="B1187" t="str">
            <v>EWI   SCRATCH RENDER IVORY 25KG</v>
          </cell>
          <cell r="C1187" t="str">
            <v>EWI</v>
          </cell>
          <cell r="D1187">
            <v>11.04</v>
          </cell>
          <cell r="E1187">
            <v>0</v>
          </cell>
          <cell r="F1187">
            <v>0</v>
          </cell>
          <cell r="G1187">
            <v>0</v>
          </cell>
          <cell r="H1187">
            <v>11.04</v>
          </cell>
        </row>
        <row r="1188">
          <cell r="A1188" t="str">
            <v>00738575</v>
          </cell>
          <cell r="B1188" t="str">
            <v>EWI   SCRATCH RENDER NATURAL WHITE 25KG</v>
          </cell>
          <cell r="C1188" t="str">
            <v>EWI</v>
          </cell>
          <cell r="D1188">
            <v>11.04</v>
          </cell>
          <cell r="E1188">
            <v>0</v>
          </cell>
          <cell r="F1188">
            <v>0</v>
          </cell>
          <cell r="G1188">
            <v>0</v>
          </cell>
          <cell r="H1188">
            <v>11.04</v>
          </cell>
        </row>
        <row r="1189">
          <cell r="A1189" t="str">
            <v>00739252</v>
          </cell>
          <cell r="B1189" t="str">
            <v>EWI   SCRATCH RENDER PASTEL ROSE 25KG</v>
          </cell>
          <cell r="C1189" t="str">
            <v>EWI</v>
          </cell>
          <cell r="D1189">
            <v>11.04</v>
          </cell>
          <cell r="E1189">
            <v>0</v>
          </cell>
          <cell r="F1189">
            <v>0</v>
          </cell>
          <cell r="G1189">
            <v>0</v>
          </cell>
          <cell r="H1189">
            <v>11.04</v>
          </cell>
        </row>
        <row r="1190">
          <cell r="A1190" t="str">
            <v>00738584</v>
          </cell>
          <cell r="B1190" t="str">
            <v>EWI   SCRATCH RENDER SANDSTONE 25KG</v>
          </cell>
          <cell r="C1190" t="str">
            <v>EWI</v>
          </cell>
          <cell r="D1190">
            <v>11.04</v>
          </cell>
          <cell r="E1190">
            <v>0</v>
          </cell>
          <cell r="F1190">
            <v>0</v>
          </cell>
          <cell r="G1190">
            <v>0</v>
          </cell>
          <cell r="H1190">
            <v>11.04</v>
          </cell>
        </row>
        <row r="1191">
          <cell r="A1191" t="str">
            <v>00738581</v>
          </cell>
          <cell r="B1191" t="str">
            <v>EWI   SCRATCH RENDER TERRACOTTA 25KG</v>
          </cell>
          <cell r="C1191" t="str">
            <v>EWI</v>
          </cell>
          <cell r="D1191">
            <v>11.04</v>
          </cell>
          <cell r="E1191">
            <v>0</v>
          </cell>
          <cell r="F1191">
            <v>0</v>
          </cell>
          <cell r="G1191">
            <v>0</v>
          </cell>
          <cell r="H1191">
            <v>11.04</v>
          </cell>
        </row>
        <row r="1192">
          <cell r="A1192" t="str">
            <v>00739442</v>
          </cell>
          <cell r="B1192" t="str">
            <v>EWI   SMTH GRENOBLE BRICK SLIP BOX 30</v>
          </cell>
          <cell r="C1192" t="str">
            <v>EWI</v>
          </cell>
          <cell r="D1192">
            <v>23.89</v>
          </cell>
          <cell r="E1192">
            <v>0</v>
          </cell>
          <cell r="F1192">
            <v>0</v>
          </cell>
          <cell r="G1192">
            <v>0</v>
          </cell>
          <cell r="H1192">
            <v>23.89</v>
          </cell>
        </row>
        <row r="1193">
          <cell r="A1193" t="str">
            <v>00739443</v>
          </cell>
          <cell r="B1193" t="str">
            <v>EWI   SMTH GRENOBLE PISTOL BRK BOX 14</v>
          </cell>
          <cell r="C1193" t="str">
            <v>EWI</v>
          </cell>
          <cell r="D1193">
            <v>46.74</v>
          </cell>
          <cell r="E1193">
            <v>0</v>
          </cell>
          <cell r="F1193">
            <v>0</v>
          </cell>
          <cell r="G1193">
            <v>0</v>
          </cell>
          <cell r="H1193">
            <v>46.74</v>
          </cell>
        </row>
        <row r="1194">
          <cell r="A1194" t="str">
            <v>00737813</v>
          </cell>
          <cell r="B1194" t="str">
            <v>EWI   SPIRAL ANCOR FOR LW ATTACHMENTS</v>
          </cell>
          <cell r="C1194" t="str">
            <v>EWI</v>
          </cell>
          <cell r="D1194">
            <v>5.7</v>
          </cell>
          <cell r="E1194">
            <v>0</v>
          </cell>
          <cell r="F1194">
            <v>0</v>
          </cell>
          <cell r="G1194">
            <v>0</v>
          </cell>
          <cell r="H1194">
            <v>5.7</v>
          </cell>
        </row>
        <row r="1195">
          <cell r="A1195" t="str">
            <v>00737777</v>
          </cell>
          <cell r="B1195" t="str">
            <v>EWI   STRU2G 115MM MAX 80MM INSULATION</v>
          </cell>
          <cell r="C1195" t="str">
            <v>EWI</v>
          </cell>
          <cell r="D1195">
            <v>33.54</v>
          </cell>
          <cell r="E1195">
            <v>0</v>
          </cell>
          <cell r="F1195">
            <v>0</v>
          </cell>
          <cell r="G1195">
            <v>0</v>
          </cell>
          <cell r="H1195">
            <v>33.54</v>
          </cell>
        </row>
        <row r="1196">
          <cell r="A1196" t="str">
            <v>00737778</v>
          </cell>
          <cell r="B1196" t="str">
            <v>EWI   STRU2G 135MM MAX 100MM INSULATION</v>
          </cell>
          <cell r="C1196" t="str">
            <v>EWI</v>
          </cell>
          <cell r="D1196">
            <v>38.58</v>
          </cell>
          <cell r="E1196">
            <v>0</v>
          </cell>
          <cell r="F1196">
            <v>0</v>
          </cell>
          <cell r="G1196">
            <v>0</v>
          </cell>
          <cell r="H1196">
            <v>38.58</v>
          </cell>
        </row>
        <row r="1197">
          <cell r="A1197" t="str">
            <v>00646954</v>
          </cell>
          <cell r="B1197" t="str">
            <v>EWI   SWI-EX       EXT TUBE</v>
          </cell>
          <cell r="C1197" t="str">
            <v>EWI</v>
          </cell>
          <cell r="D1197">
            <v>1.22</v>
          </cell>
          <cell r="E1197">
            <v>0</v>
          </cell>
          <cell r="F1197">
            <v>0</v>
          </cell>
          <cell r="G1197">
            <v>0</v>
          </cell>
          <cell r="H1197">
            <v>1.22</v>
          </cell>
        </row>
        <row r="1198">
          <cell r="A1198" t="str">
            <v>00737443</v>
          </cell>
          <cell r="B1198" t="str">
            <v>EWI   TECNIC SILICONE SEALANT 0000000380</v>
          </cell>
          <cell r="C1198" t="str">
            <v>EWI</v>
          </cell>
          <cell r="D1198">
            <v>3.22</v>
          </cell>
          <cell r="E1198">
            <v>0</v>
          </cell>
          <cell r="F1198">
            <v>0</v>
          </cell>
          <cell r="G1198">
            <v>0</v>
          </cell>
          <cell r="H1198">
            <v>3.22</v>
          </cell>
        </row>
        <row r="1199">
          <cell r="A1199" t="str">
            <v>00618059</v>
          </cell>
          <cell r="B1199" t="str">
            <v>EWI   TP10 50MM    1200X2400</v>
          </cell>
          <cell r="C1199" t="str">
            <v>EWI</v>
          </cell>
          <cell r="D1199">
            <v>31.11</v>
          </cell>
          <cell r="E1199">
            <v>0</v>
          </cell>
          <cell r="F1199">
            <v>0</v>
          </cell>
          <cell r="G1199">
            <v>0</v>
          </cell>
          <cell r="H1199">
            <v>31.11</v>
          </cell>
        </row>
        <row r="1200">
          <cell r="A1200" t="str">
            <v>00852736</v>
          </cell>
          <cell r="B1200" t="str">
            <v>EWI   VENTED TOP   BEAD 101   2.5MT</v>
          </cell>
          <cell r="C1200" t="str">
            <v>EWI</v>
          </cell>
          <cell r="D1200">
            <v>17.38</v>
          </cell>
          <cell r="E1200">
            <v>0</v>
          </cell>
          <cell r="F1200">
            <v>0</v>
          </cell>
          <cell r="G1200">
            <v>0</v>
          </cell>
          <cell r="H1200">
            <v>17.38</v>
          </cell>
        </row>
        <row r="1201">
          <cell r="A1201" t="str">
            <v>00852737</v>
          </cell>
          <cell r="B1201" t="str">
            <v>EWI   VENTED U CHN 40X40X14 + 6MM NOSE</v>
          </cell>
          <cell r="C1201" t="str">
            <v>EWI</v>
          </cell>
          <cell r="D1201">
            <v>22.23</v>
          </cell>
          <cell r="E1201">
            <v>0</v>
          </cell>
          <cell r="F1201">
            <v>0</v>
          </cell>
          <cell r="G1201">
            <v>0</v>
          </cell>
          <cell r="H1201">
            <v>22.23</v>
          </cell>
        </row>
        <row r="1202">
          <cell r="A1202" t="str">
            <v>00739340</v>
          </cell>
          <cell r="B1202" t="str">
            <v>EWI   VERGE EXT CORNERS *SPECIFY SIZE*</v>
          </cell>
          <cell r="C1202" t="str">
            <v>EWI</v>
          </cell>
          <cell r="D1202">
            <v>26.73</v>
          </cell>
          <cell r="E1202">
            <v>0</v>
          </cell>
          <cell r="F1202">
            <v>0</v>
          </cell>
          <cell r="G1202">
            <v>0</v>
          </cell>
          <cell r="H1202">
            <v>26.73</v>
          </cell>
        </row>
        <row r="1203">
          <cell r="A1203" t="str">
            <v>00739238</v>
          </cell>
          <cell r="B1203" t="str">
            <v>EWI   VERGE TRIM END CAPSX2 WELDED OVER</v>
          </cell>
          <cell r="C1203" t="str">
            <v>EWI</v>
          </cell>
          <cell r="D1203">
            <v>12.41</v>
          </cell>
          <cell r="E1203">
            <v>0</v>
          </cell>
          <cell r="F1203">
            <v>0</v>
          </cell>
          <cell r="G1203">
            <v>0</v>
          </cell>
          <cell r="H1203">
            <v>12.41</v>
          </cell>
        </row>
        <row r="1204">
          <cell r="A1204" t="str">
            <v>00738463</v>
          </cell>
          <cell r="B1204" t="str">
            <v>EWI   VERGE TRIM JOINT CLIPS</v>
          </cell>
          <cell r="C1204" t="str">
            <v>EWI</v>
          </cell>
          <cell r="D1204">
            <v>3.22</v>
          </cell>
          <cell r="E1204">
            <v>0</v>
          </cell>
          <cell r="F1204">
            <v>0</v>
          </cell>
          <cell r="G1204">
            <v>0</v>
          </cell>
          <cell r="H1204">
            <v>3.22</v>
          </cell>
        </row>
        <row r="1205">
          <cell r="A1205" t="str">
            <v>00737702</v>
          </cell>
          <cell r="B1205" t="str">
            <v>EWI   WHI PLASTIC ANGLE S/SPINE 2.5M 6MM</v>
          </cell>
          <cell r="C1205" t="str">
            <v>EWI</v>
          </cell>
          <cell r="D1205">
            <v>2.88</v>
          </cell>
          <cell r="E1205">
            <v>0</v>
          </cell>
          <cell r="F1205">
            <v>0</v>
          </cell>
          <cell r="G1205">
            <v>0</v>
          </cell>
          <cell r="H1205">
            <v>2.88</v>
          </cell>
        </row>
        <row r="1206">
          <cell r="A1206" t="str">
            <v>00737703</v>
          </cell>
          <cell r="B1206" t="str">
            <v>EWI   WHI PLASTIC ANGLE S/SPINE 2.5M10MM</v>
          </cell>
          <cell r="C1206" t="str">
            <v>EWI</v>
          </cell>
          <cell r="D1206">
            <v>3</v>
          </cell>
          <cell r="E1206">
            <v>0</v>
          </cell>
          <cell r="F1206">
            <v>0</v>
          </cell>
          <cell r="G1206">
            <v>0</v>
          </cell>
          <cell r="H1206">
            <v>3</v>
          </cell>
        </row>
        <row r="1207">
          <cell r="A1207" t="str">
            <v>00737704</v>
          </cell>
          <cell r="B1207" t="str">
            <v>EWI   WHI PLASTIC ANGLE S/SPINE 2.5M15MM</v>
          </cell>
          <cell r="C1207" t="str">
            <v>EWI</v>
          </cell>
          <cell r="D1207">
            <v>3.1</v>
          </cell>
          <cell r="E1207">
            <v>0</v>
          </cell>
          <cell r="F1207">
            <v>0</v>
          </cell>
          <cell r="G1207">
            <v>0</v>
          </cell>
          <cell r="H1207">
            <v>3.1</v>
          </cell>
        </row>
        <row r="1208">
          <cell r="A1208" t="str">
            <v>00737697</v>
          </cell>
          <cell r="B1208" t="str">
            <v>EWI   WHI PLASTIC BELLCAST BEAD 2.5M10MM</v>
          </cell>
          <cell r="C1208" t="str">
            <v>EWI</v>
          </cell>
          <cell r="D1208">
            <v>2.78</v>
          </cell>
          <cell r="E1208">
            <v>0</v>
          </cell>
          <cell r="F1208">
            <v>0</v>
          </cell>
          <cell r="G1208">
            <v>0</v>
          </cell>
          <cell r="H1208">
            <v>2.78</v>
          </cell>
        </row>
        <row r="1209">
          <cell r="A1209" t="str">
            <v>00737698</v>
          </cell>
          <cell r="B1209" t="str">
            <v>EWI   WHI PLASTIC BELLCAST BEAD 2.5M15MM</v>
          </cell>
          <cell r="C1209" t="str">
            <v>EWI</v>
          </cell>
          <cell r="D1209">
            <v>2.88</v>
          </cell>
          <cell r="E1209">
            <v>0</v>
          </cell>
          <cell r="F1209">
            <v>0</v>
          </cell>
          <cell r="G1209">
            <v>0</v>
          </cell>
          <cell r="H1209">
            <v>2.88</v>
          </cell>
        </row>
        <row r="1210">
          <cell r="A1210" t="str">
            <v>00737673</v>
          </cell>
          <cell r="B1210" t="str">
            <v>EWI   WHIPLASTIC EXPANSION BEAD 2.5M 6MM</v>
          </cell>
          <cell r="C1210" t="str">
            <v>EWI</v>
          </cell>
          <cell r="D1210">
            <v>5.54</v>
          </cell>
          <cell r="E1210">
            <v>0</v>
          </cell>
          <cell r="F1210">
            <v>0</v>
          </cell>
          <cell r="G1210">
            <v>0</v>
          </cell>
          <cell r="H1210">
            <v>5.54</v>
          </cell>
        </row>
        <row r="1211">
          <cell r="A1211" t="str">
            <v>00737706</v>
          </cell>
          <cell r="B1211" t="str">
            <v>EWI   WHITE PLASTIC ANGLE BEAD MESH 2.5M</v>
          </cell>
          <cell r="C1211" t="str">
            <v>EWI</v>
          </cell>
          <cell r="D1211">
            <v>2.58</v>
          </cell>
          <cell r="E1211">
            <v>0</v>
          </cell>
          <cell r="F1211">
            <v>0</v>
          </cell>
          <cell r="G1211">
            <v>0</v>
          </cell>
          <cell r="H1211">
            <v>2.58</v>
          </cell>
        </row>
        <row r="1212">
          <cell r="A1212" t="str">
            <v>00737691</v>
          </cell>
          <cell r="B1212" t="str">
            <v>EWI   WHITE PLASTIC STOP BEAD 2.5M 15MM</v>
          </cell>
          <cell r="C1212" t="str">
            <v>EWI</v>
          </cell>
          <cell r="D1212">
            <v>2.4900000000000002</v>
          </cell>
          <cell r="E1212">
            <v>0</v>
          </cell>
          <cell r="F1212">
            <v>0</v>
          </cell>
          <cell r="G1212">
            <v>0</v>
          </cell>
          <cell r="H1212">
            <v>2.4900000000000002</v>
          </cell>
        </row>
        <row r="1213">
          <cell r="A1213" t="str">
            <v>00737689</v>
          </cell>
          <cell r="B1213" t="str">
            <v>EWI   WHITE PLASTIC STOP BEAD 2.5M 6MM</v>
          </cell>
          <cell r="C1213" t="str">
            <v>EWI</v>
          </cell>
          <cell r="D1213">
            <v>2.2599999999999998</v>
          </cell>
          <cell r="E1213">
            <v>0</v>
          </cell>
          <cell r="F1213">
            <v>0</v>
          </cell>
          <cell r="G1213">
            <v>0</v>
          </cell>
          <cell r="H1213">
            <v>2.2599999999999998</v>
          </cell>
        </row>
        <row r="1214">
          <cell r="A1214" t="str">
            <v>00646947</v>
          </cell>
          <cell r="B1214" t="str">
            <v>EWI   WH-SWI-SP-B  SATA PLATE BLACK</v>
          </cell>
          <cell r="C1214" t="str">
            <v>EWI</v>
          </cell>
          <cell r="D1214">
            <v>13.74</v>
          </cell>
          <cell r="E1214">
            <v>0</v>
          </cell>
          <cell r="F1214">
            <v>0</v>
          </cell>
          <cell r="G1214">
            <v>0</v>
          </cell>
          <cell r="H1214">
            <v>13.74</v>
          </cell>
        </row>
        <row r="1215">
          <cell r="A1215" t="str">
            <v>00646951</v>
          </cell>
          <cell r="B1215" t="str">
            <v>EWI   WH-SWI-SP-W  SATA PLATE WHITE</v>
          </cell>
          <cell r="C1215" t="str">
            <v>EWI</v>
          </cell>
          <cell r="D1215">
            <v>13.74</v>
          </cell>
          <cell r="E1215">
            <v>0</v>
          </cell>
          <cell r="F1215">
            <v>0</v>
          </cell>
          <cell r="G1215">
            <v>0</v>
          </cell>
          <cell r="H1215">
            <v>13.74</v>
          </cell>
        </row>
        <row r="1216">
          <cell r="A1216" t="str">
            <v>00646946</v>
          </cell>
          <cell r="B1216" t="str">
            <v>EWI   WH-SWI-ST-B  BLACK TUBE FITTING</v>
          </cell>
          <cell r="C1216" t="str">
            <v>EWI</v>
          </cell>
          <cell r="D1216">
            <v>2.2799999999999998</v>
          </cell>
          <cell r="E1216">
            <v>0</v>
          </cell>
          <cell r="F1216">
            <v>0</v>
          </cell>
          <cell r="G1216">
            <v>0</v>
          </cell>
          <cell r="H1216">
            <v>2.2799999999999998</v>
          </cell>
        </row>
        <row r="1217">
          <cell r="A1217" t="str">
            <v>00646950</v>
          </cell>
          <cell r="B1217" t="str">
            <v>EWI   WH-SWI-ST-W  WHITE TUBE FITTING</v>
          </cell>
          <cell r="C1217" t="str">
            <v>EWI</v>
          </cell>
          <cell r="D1217">
            <v>2.2799999999999998</v>
          </cell>
          <cell r="E1217">
            <v>0</v>
          </cell>
          <cell r="F1217">
            <v>0</v>
          </cell>
          <cell r="G1217">
            <v>0</v>
          </cell>
          <cell r="H1217">
            <v>2.2799999999999998</v>
          </cell>
        </row>
        <row r="1218">
          <cell r="A1218" t="str">
            <v>00646948</v>
          </cell>
          <cell r="B1218" t="str">
            <v>EWI   WH-SWI-TT-B  TAP CONNECTION BLACK</v>
          </cell>
          <cell r="C1218" t="str">
            <v>EWI</v>
          </cell>
          <cell r="D1218">
            <v>6.11</v>
          </cell>
          <cell r="E1218">
            <v>0</v>
          </cell>
          <cell r="F1218">
            <v>0</v>
          </cell>
          <cell r="G1218">
            <v>0</v>
          </cell>
          <cell r="H1218">
            <v>6.11</v>
          </cell>
        </row>
        <row r="1219">
          <cell r="A1219" t="str">
            <v>00646952</v>
          </cell>
          <cell r="B1219" t="str">
            <v>EWI   WH-SWI-TT-W  TAP CONNEC WHITE</v>
          </cell>
          <cell r="C1219" t="str">
            <v>EWI</v>
          </cell>
          <cell r="D1219">
            <v>6.11</v>
          </cell>
          <cell r="E1219">
            <v>0</v>
          </cell>
          <cell r="F1219">
            <v>0</v>
          </cell>
          <cell r="G1219">
            <v>0</v>
          </cell>
          <cell r="H1219">
            <v>6.11</v>
          </cell>
        </row>
        <row r="1220">
          <cell r="A1220" t="str">
            <v>00646949</v>
          </cell>
          <cell r="B1220" t="str">
            <v>EWI   WH-SWI-WL-B  CABLE CONN BLACK</v>
          </cell>
          <cell r="C1220" t="str">
            <v>EWI</v>
          </cell>
          <cell r="D1220">
            <v>7.61</v>
          </cell>
          <cell r="E1220">
            <v>0</v>
          </cell>
          <cell r="F1220">
            <v>0</v>
          </cell>
          <cell r="G1220">
            <v>0</v>
          </cell>
          <cell r="H1220">
            <v>7.61</v>
          </cell>
        </row>
        <row r="1221">
          <cell r="A1221" t="str">
            <v>00646953</v>
          </cell>
          <cell r="B1221" t="str">
            <v>EWI   WH-SWI-WL-W  CABLE CONN WHITE</v>
          </cell>
          <cell r="C1221" t="str">
            <v>EWI</v>
          </cell>
          <cell r="D1221">
            <v>7.61</v>
          </cell>
          <cell r="E1221">
            <v>0</v>
          </cell>
          <cell r="F1221">
            <v>0</v>
          </cell>
          <cell r="G1221">
            <v>0</v>
          </cell>
          <cell r="H1221">
            <v>7.61</v>
          </cell>
        </row>
        <row r="1222">
          <cell r="A1222" t="str">
            <v>00737476</v>
          </cell>
          <cell r="B1222" t="str">
            <v>EWI  DASHING SPAR CLASSIC SPAR 25KG</v>
          </cell>
          <cell r="C1222" t="str">
            <v>EWI</v>
          </cell>
          <cell r="D1222">
            <v>6.42</v>
          </cell>
          <cell r="E1222">
            <v>0</v>
          </cell>
          <cell r="F1222">
            <v>0</v>
          </cell>
          <cell r="G1222">
            <v>0</v>
          </cell>
          <cell r="H1222">
            <v>6.42</v>
          </cell>
        </row>
        <row r="1223">
          <cell r="A1223" t="str">
            <v>00611610</v>
          </cell>
          <cell r="B1223" t="str">
            <v>FATEV BIB &amp; BRACE  32/34" SML FI1090 NI</v>
          </cell>
          <cell r="C1223" t="str">
            <v>Bib &amp; Brace</v>
          </cell>
          <cell r="D1223">
            <v>59.28</v>
          </cell>
          <cell r="E1223">
            <v>0</v>
          </cell>
          <cell r="F1223">
            <v>0</v>
          </cell>
          <cell r="G1223">
            <v>0</v>
          </cell>
          <cell r="H1223">
            <v>59.28</v>
          </cell>
        </row>
        <row r="1224">
          <cell r="A1224" t="str">
            <v>00611611</v>
          </cell>
          <cell r="B1224" t="str">
            <v>FATEV BIB &amp; BRACE  36/38" MED FI1100 NI</v>
          </cell>
          <cell r="C1224" t="str">
            <v>Bib &amp; Brace</v>
          </cell>
          <cell r="D1224">
            <v>59.28</v>
          </cell>
          <cell r="E1224">
            <v>0</v>
          </cell>
          <cell r="F1224">
            <v>0</v>
          </cell>
          <cell r="G1224">
            <v>0</v>
          </cell>
          <cell r="H1224">
            <v>59.28</v>
          </cell>
        </row>
        <row r="1225">
          <cell r="A1225" t="str">
            <v>00611612</v>
          </cell>
          <cell r="B1225" t="str">
            <v>FATEV BIB &amp; BRACE  40/42" LRG FI1110 NI</v>
          </cell>
          <cell r="C1225" t="str">
            <v>Bib &amp; Brace</v>
          </cell>
          <cell r="D1225">
            <v>59.28</v>
          </cell>
          <cell r="E1225">
            <v>0</v>
          </cell>
          <cell r="F1225">
            <v>0</v>
          </cell>
          <cell r="G1225">
            <v>0</v>
          </cell>
          <cell r="H1225">
            <v>59.28</v>
          </cell>
        </row>
        <row r="1226">
          <cell r="A1226" t="str">
            <v>00730743</v>
          </cell>
          <cell r="B1226" t="str">
            <v>FATEV FHEV TROUSER 30" WHITE</v>
          </cell>
          <cell r="C1226" t="str">
            <v>Trousers</v>
          </cell>
          <cell r="D1226">
            <v>27.43</v>
          </cell>
          <cell r="E1226">
            <v>0</v>
          </cell>
          <cell r="F1226">
            <v>0</v>
          </cell>
          <cell r="G1226">
            <v>0</v>
          </cell>
          <cell r="H1226">
            <v>27.43</v>
          </cell>
        </row>
        <row r="1227">
          <cell r="A1227" t="str">
            <v>00611601</v>
          </cell>
          <cell r="B1227" t="str">
            <v>FATEV FHEV TROUSER 30" WHITE  FI1000 NI</v>
          </cell>
          <cell r="C1227" t="str">
            <v>Trousers</v>
          </cell>
          <cell r="D1227">
            <v>49.94</v>
          </cell>
          <cell r="E1227">
            <v>0</v>
          </cell>
          <cell r="F1227">
            <v>0</v>
          </cell>
          <cell r="G1227">
            <v>0</v>
          </cell>
          <cell r="H1227">
            <v>49.94</v>
          </cell>
        </row>
        <row r="1228">
          <cell r="A1228" t="str">
            <v>00611602</v>
          </cell>
          <cell r="B1228" t="str">
            <v>FATEV FHEV TROUSER 32" WHITE  FI1010 NI</v>
          </cell>
          <cell r="C1228" t="str">
            <v>Trousers</v>
          </cell>
          <cell r="D1228">
            <v>49.94</v>
          </cell>
          <cell r="E1228">
            <v>0</v>
          </cell>
          <cell r="F1228">
            <v>0</v>
          </cell>
          <cell r="G1228">
            <v>0</v>
          </cell>
          <cell r="H1228">
            <v>49.94</v>
          </cell>
        </row>
        <row r="1229">
          <cell r="A1229" t="str">
            <v>00611603</v>
          </cell>
          <cell r="B1229" t="str">
            <v>FATEV FHEV TROUSER 34" WHITE  FI1020 NI</v>
          </cell>
          <cell r="C1229" t="str">
            <v>Trousers</v>
          </cell>
          <cell r="D1229">
            <v>49.94</v>
          </cell>
          <cell r="E1229">
            <v>0</v>
          </cell>
          <cell r="F1229">
            <v>0</v>
          </cell>
          <cell r="G1229">
            <v>0</v>
          </cell>
          <cell r="H1229">
            <v>49.94</v>
          </cell>
        </row>
        <row r="1230">
          <cell r="A1230" t="str">
            <v>00611604</v>
          </cell>
          <cell r="B1230" t="str">
            <v>FATEV FHEV TROUSER 36" WHITE  FI1030 NI</v>
          </cell>
          <cell r="C1230" t="str">
            <v>Trousers</v>
          </cell>
          <cell r="D1230">
            <v>49.94</v>
          </cell>
          <cell r="E1230">
            <v>0</v>
          </cell>
          <cell r="F1230">
            <v>0</v>
          </cell>
          <cell r="G1230">
            <v>0</v>
          </cell>
          <cell r="H1230">
            <v>49.94</v>
          </cell>
        </row>
        <row r="1231">
          <cell r="A1231" t="str">
            <v>00611605</v>
          </cell>
          <cell r="B1231" t="str">
            <v>FATEV FHEV TROUSER 38" WHITE  FI1040 NI</v>
          </cell>
          <cell r="C1231" t="str">
            <v>Trousers</v>
          </cell>
          <cell r="D1231">
            <v>49.94</v>
          </cell>
          <cell r="E1231">
            <v>0</v>
          </cell>
          <cell r="F1231">
            <v>0</v>
          </cell>
          <cell r="G1231">
            <v>0</v>
          </cell>
          <cell r="H1231">
            <v>49.94</v>
          </cell>
        </row>
        <row r="1232">
          <cell r="A1232" t="str">
            <v>00730748</v>
          </cell>
          <cell r="B1232" t="str">
            <v>FATEV FHEV TROUSER 40" WHITE</v>
          </cell>
          <cell r="C1232" t="str">
            <v>Trousers</v>
          </cell>
          <cell r="D1232">
            <v>46.81</v>
          </cell>
          <cell r="E1232">
            <v>0</v>
          </cell>
          <cell r="F1232">
            <v>0</v>
          </cell>
          <cell r="G1232">
            <v>0</v>
          </cell>
          <cell r="H1232">
            <v>46.81</v>
          </cell>
        </row>
        <row r="1233">
          <cell r="A1233" t="str">
            <v>00730751</v>
          </cell>
          <cell r="B1233" t="str">
            <v>FATEV FHEV TROUSER 46" WHITE</v>
          </cell>
          <cell r="C1233" t="str">
            <v>Trousers</v>
          </cell>
          <cell r="D1233">
            <v>54.07</v>
          </cell>
          <cell r="E1233">
            <v>0</v>
          </cell>
          <cell r="F1233">
            <v>0</v>
          </cell>
          <cell r="G1233">
            <v>0</v>
          </cell>
          <cell r="H1233">
            <v>54.07</v>
          </cell>
        </row>
        <row r="1234">
          <cell r="A1234" t="str">
            <v>00727352</v>
          </cell>
          <cell r="B1234" t="str">
            <v>FATHG ALUMIN OXIDE GRD40 50M</v>
          </cell>
          <cell r="C1234" t="str">
            <v>Aluminium Oxide</v>
          </cell>
          <cell r="D1234">
            <v>105.53</v>
          </cell>
          <cell r="E1234">
            <v>0</v>
          </cell>
          <cell r="F1234">
            <v>0</v>
          </cell>
          <cell r="G1234">
            <v>0</v>
          </cell>
          <cell r="H1234">
            <v>105.53</v>
          </cell>
        </row>
        <row r="1235">
          <cell r="A1235" t="str">
            <v>00727790</v>
          </cell>
          <cell r="B1235" t="str">
            <v>FATHG BRUSH        4"         PURE PROF</v>
          </cell>
          <cell r="C1235" t="str">
            <v>Brush</v>
          </cell>
          <cell r="D1235">
            <v>38.83</v>
          </cell>
          <cell r="E1235">
            <v>0</v>
          </cell>
          <cell r="F1235">
            <v>0</v>
          </cell>
          <cell r="G1235">
            <v>0</v>
          </cell>
          <cell r="H1235">
            <v>38.83</v>
          </cell>
        </row>
        <row r="1236">
          <cell r="A1236" t="str">
            <v>00728009</v>
          </cell>
          <cell r="B1236" t="str">
            <v>FATHG CLIPT PUTTY  KNIFE      SCALE TANG</v>
          </cell>
          <cell r="C1236" t="str">
            <v>Blades</v>
          </cell>
          <cell r="D1236">
            <v>9.49</v>
          </cell>
          <cell r="E1236">
            <v>0</v>
          </cell>
          <cell r="F1236">
            <v>0</v>
          </cell>
          <cell r="G1236">
            <v>0</v>
          </cell>
          <cell r="H1236">
            <v>9.49</v>
          </cell>
        </row>
        <row r="1237">
          <cell r="A1237" t="str">
            <v>00611626</v>
          </cell>
          <cell r="B1237" t="str">
            <v>FATHG FH BIB&amp;BRACE 36/38"     FH2100 NI</v>
          </cell>
          <cell r="C1237" t="str">
            <v>Bib &amp; Brace</v>
          </cell>
          <cell r="D1237">
            <v>21.65</v>
          </cell>
          <cell r="E1237">
            <v>0</v>
          </cell>
          <cell r="F1237">
            <v>0</v>
          </cell>
          <cell r="G1237">
            <v>0</v>
          </cell>
          <cell r="H1237">
            <v>21.65</v>
          </cell>
        </row>
        <row r="1238">
          <cell r="A1238" t="str">
            <v>00611627</v>
          </cell>
          <cell r="B1238" t="str">
            <v>FATHG FH BIB&amp;BRACE 40/42"     FH2110 NI</v>
          </cell>
          <cell r="C1238" t="str">
            <v>Bib &amp; Brace</v>
          </cell>
          <cell r="D1238">
            <v>21.65</v>
          </cell>
          <cell r="E1238">
            <v>0</v>
          </cell>
          <cell r="F1238">
            <v>0</v>
          </cell>
          <cell r="G1238">
            <v>0</v>
          </cell>
          <cell r="H1238">
            <v>21.65</v>
          </cell>
        </row>
        <row r="1239">
          <cell r="A1239" t="str">
            <v>00611616</v>
          </cell>
          <cell r="B1239" t="str">
            <v>FATHG FH TROUSERS  WHITE 30"  FH2000 NI</v>
          </cell>
          <cell r="C1239" t="str">
            <v>Trousers</v>
          </cell>
          <cell r="D1239">
            <v>17.71</v>
          </cell>
          <cell r="E1239">
            <v>0</v>
          </cell>
          <cell r="F1239">
            <v>0</v>
          </cell>
          <cell r="G1239">
            <v>0</v>
          </cell>
          <cell r="H1239">
            <v>17.71</v>
          </cell>
        </row>
        <row r="1240">
          <cell r="A1240" t="str">
            <v>00611617</v>
          </cell>
          <cell r="B1240" t="str">
            <v>FATHG FH TROUSERS  WHITE 32"  FH2010 NI</v>
          </cell>
          <cell r="C1240" t="str">
            <v>Trousers</v>
          </cell>
          <cell r="D1240">
            <v>17.71</v>
          </cell>
          <cell r="E1240">
            <v>0</v>
          </cell>
          <cell r="F1240">
            <v>0</v>
          </cell>
          <cell r="G1240">
            <v>0</v>
          </cell>
          <cell r="H1240">
            <v>17.71</v>
          </cell>
        </row>
        <row r="1241">
          <cell r="A1241" t="str">
            <v>00611618</v>
          </cell>
          <cell r="B1241" t="str">
            <v>FATHG FH TROUSERS  WHITE 34"  FH2020 NI</v>
          </cell>
          <cell r="C1241" t="str">
            <v>Trousers</v>
          </cell>
          <cell r="D1241">
            <v>17.71</v>
          </cell>
          <cell r="E1241">
            <v>0</v>
          </cell>
          <cell r="F1241">
            <v>0</v>
          </cell>
          <cell r="G1241">
            <v>0</v>
          </cell>
          <cell r="H1241">
            <v>17.71</v>
          </cell>
        </row>
        <row r="1242">
          <cell r="A1242" t="str">
            <v>00611619</v>
          </cell>
          <cell r="B1242" t="str">
            <v>FATHG FH TROUSERS  WHITE 36"  FH2030 NI</v>
          </cell>
          <cell r="C1242" t="str">
            <v>Trousers</v>
          </cell>
          <cell r="D1242">
            <v>17.71</v>
          </cell>
          <cell r="E1242">
            <v>0</v>
          </cell>
          <cell r="F1242">
            <v>0</v>
          </cell>
          <cell r="G1242">
            <v>0</v>
          </cell>
          <cell r="H1242">
            <v>17.71</v>
          </cell>
        </row>
        <row r="1243">
          <cell r="A1243" t="str">
            <v>00611620</v>
          </cell>
          <cell r="B1243" t="str">
            <v>FATHG FH TROUSERS  WHITE 38"  FH2040 NI</v>
          </cell>
          <cell r="C1243" t="str">
            <v>Trousers</v>
          </cell>
          <cell r="D1243">
            <v>17.71</v>
          </cell>
          <cell r="E1243">
            <v>0</v>
          </cell>
          <cell r="F1243">
            <v>0</v>
          </cell>
          <cell r="G1243">
            <v>0</v>
          </cell>
          <cell r="H1243">
            <v>17.71</v>
          </cell>
        </row>
        <row r="1244">
          <cell r="A1244" t="str">
            <v>00611621</v>
          </cell>
          <cell r="B1244" t="str">
            <v>FATHG FH TROUSERS  WHITE 40"  FH2050 NI</v>
          </cell>
          <cell r="C1244" t="str">
            <v>Trousers</v>
          </cell>
          <cell r="D1244">
            <v>17.71</v>
          </cell>
          <cell r="E1244">
            <v>0</v>
          </cell>
          <cell r="F1244">
            <v>0</v>
          </cell>
          <cell r="G1244">
            <v>0</v>
          </cell>
          <cell r="H1244">
            <v>17.71</v>
          </cell>
        </row>
        <row r="1245">
          <cell r="A1245" t="str">
            <v>00727688</v>
          </cell>
          <cell r="B1245" t="str">
            <v>FATHG GP SILICONE  BROWN</v>
          </cell>
          <cell r="C1245" t="str">
            <v>Silicone</v>
          </cell>
          <cell r="D1245">
            <v>2.41</v>
          </cell>
          <cell r="E1245">
            <v>0</v>
          </cell>
          <cell r="F1245">
            <v>0</v>
          </cell>
          <cell r="G1245">
            <v>0</v>
          </cell>
          <cell r="H1245">
            <v>2.41</v>
          </cell>
        </row>
        <row r="1246">
          <cell r="A1246" t="str">
            <v>00730470</v>
          </cell>
          <cell r="B1246" t="str">
            <v>FATHG GRAB ADHESIV SOLV FREE  SCALE 0295</v>
          </cell>
          <cell r="C1246" t="str">
            <v>Adhesive</v>
          </cell>
          <cell r="D1246">
            <v>5.88</v>
          </cell>
          <cell r="E1246">
            <v>0</v>
          </cell>
          <cell r="F1246">
            <v>0</v>
          </cell>
          <cell r="G1246">
            <v>0</v>
          </cell>
          <cell r="H1246">
            <v>5.88</v>
          </cell>
        </row>
        <row r="1247">
          <cell r="A1247" t="str">
            <v>00727809</v>
          </cell>
          <cell r="B1247" t="str">
            <v>FATHG PROF WALL    BRUSH 4"</v>
          </cell>
          <cell r="C1247" t="str">
            <v>Brush</v>
          </cell>
          <cell r="D1247">
            <v>28.98</v>
          </cell>
          <cell r="E1247">
            <v>0</v>
          </cell>
          <cell r="F1247">
            <v>0</v>
          </cell>
          <cell r="G1247">
            <v>0</v>
          </cell>
          <cell r="H1247">
            <v>28.98</v>
          </cell>
        </row>
        <row r="1248">
          <cell r="A1248" t="str">
            <v>00727810</v>
          </cell>
          <cell r="B1248" t="str">
            <v>FATHG PROF WALL    BRUSH 5"</v>
          </cell>
          <cell r="C1248" t="str">
            <v>Brush</v>
          </cell>
          <cell r="D1248">
            <v>35.89</v>
          </cell>
          <cell r="E1248">
            <v>0</v>
          </cell>
          <cell r="F1248">
            <v>0</v>
          </cell>
          <cell r="G1248">
            <v>0</v>
          </cell>
          <cell r="H1248">
            <v>35.89</v>
          </cell>
        </row>
        <row r="1249">
          <cell r="A1249" t="str">
            <v>00730501</v>
          </cell>
          <cell r="B1249" t="str">
            <v>FATHG PVA ADHESIVE SEALER     0000001250</v>
          </cell>
          <cell r="C1249" t="str">
            <v>Adhesive</v>
          </cell>
          <cell r="D1249">
            <v>13.59</v>
          </cell>
          <cell r="E1249">
            <v>0</v>
          </cell>
          <cell r="F1249">
            <v>0</v>
          </cell>
          <cell r="G1249">
            <v>0</v>
          </cell>
          <cell r="H1249">
            <v>13.59</v>
          </cell>
        </row>
        <row r="1250">
          <cell r="A1250" t="str">
            <v>00728013</v>
          </cell>
          <cell r="B1250" t="str">
            <v>FATHG SCALE TANG CHISEL KNIFE</v>
          </cell>
          <cell r="C1250" t="str">
            <v>Blades</v>
          </cell>
          <cell r="D1250">
            <v>6.49</v>
          </cell>
          <cell r="E1250">
            <v>0</v>
          </cell>
          <cell r="F1250">
            <v>0</v>
          </cell>
          <cell r="G1250">
            <v>0</v>
          </cell>
          <cell r="H1250">
            <v>6.49</v>
          </cell>
        </row>
        <row r="1251">
          <cell r="A1251" t="str">
            <v>00727366</v>
          </cell>
          <cell r="B1251" t="str">
            <v>FATHG SILICONE CAR 320(QUIRE)</v>
          </cell>
          <cell r="C1251" t="str">
            <v>Aluminium Oxide</v>
          </cell>
          <cell r="D1251">
            <v>31.65</v>
          </cell>
          <cell r="E1251">
            <v>0</v>
          </cell>
          <cell r="F1251">
            <v>0</v>
          </cell>
          <cell r="G1251">
            <v>0</v>
          </cell>
          <cell r="H1251">
            <v>31.65</v>
          </cell>
        </row>
        <row r="1252">
          <cell r="A1252" t="str">
            <v>00727110</v>
          </cell>
          <cell r="B1252" t="str">
            <v>FATHG(WHITE LAB) FOAM ROLLER 7"</v>
          </cell>
          <cell r="C1252" t="str">
            <v>Roller</v>
          </cell>
          <cell r="D1252">
            <v>2.29</v>
          </cell>
          <cell r="E1252">
            <v>0</v>
          </cell>
          <cell r="F1252">
            <v>0</v>
          </cell>
          <cell r="G1252">
            <v>0</v>
          </cell>
          <cell r="H1252">
            <v>2.29</v>
          </cell>
        </row>
        <row r="1253">
          <cell r="A1253" t="str">
            <v>00727112</v>
          </cell>
          <cell r="B1253" t="str">
            <v>FATHG(WHITE LAB) FOAM ROLLER 9"</v>
          </cell>
          <cell r="C1253" t="str">
            <v>Roller</v>
          </cell>
          <cell r="D1253">
            <v>3.33</v>
          </cell>
          <cell r="E1253">
            <v>0</v>
          </cell>
          <cell r="F1253">
            <v>0</v>
          </cell>
          <cell r="G1253">
            <v>0</v>
          </cell>
          <cell r="H1253">
            <v>3.33</v>
          </cell>
        </row>
        <row r="1254">
          <cell r="A1254" t="str">
            <v>00423613</v>
          </cell>
          <cell r="B1254" t="str">
            <v>FD    88 COMP OPAQ MIXED      0000000750</v>
          </cell>
          <cell r="C1254" t="str">
            <v>GORI</v>
          </cell>
          <cell r="D1254">
            <v>15.32</v>
          </cell>
          <cell r="E1254">
            <v>0</v>
          </cell>
          <cell r="F1254">
            <v>0</v>
          </cell>
          <cell r="G1254">
            <v>0</v>
          </cell>
          <cell r="H1254">
            <v>14.262920000000001</v>
          </cell>
        </row>
        <row r="1255">
          <cell r="A1255" t="str">
            <v>00423614</v>
          </cell>
          <cell r="B1255" t="str">
            <v>FD    88 COMP OPAQ MIXED      0000001250</v>
          </cell>
          <cell r="C1255" t="str">
            <v>GORI</v>
          </cell>
          <cell r="D1255">
            <v>44.6</v>
          </cell>
          <cell r="E1255">
            <v>0</v>
          </cell>
          <cell r="F1255">
            <v>0</v>
          </cell>
          <cell r="G1255">
            <v>0</v>
          </cell>
          <cell r="H1255">
            <v>30</v>
          </cell>
        </row>
        <row r="1256">
          <cell r="A1256" t="str">
            <v>00423616</v>
          </cell>
          <cell r="B1256" t="str">
            <v>FD    88 COMP TRAN MIXED      0000000750</v>
          </cell>
          <cell r="C1256" t="str">
            <v>GORI</v>
          </cell>
          <cell r="D1256">
            <v>14.79</v>
          </cell>
          <cell r="E1256">
            <v>0</v>
          </cell>
          <cell r="F1256">
            <v>0</v>
          </cell>
          <cell r="G1256">
            <v>0</v>
          </cell>
          <cell r="H1256">
            <v>13.769489999999999</v>
          </cell>
        </row>
        <row r="1257">
          <cell r="A1257" t="str">
            <v>00423617</v>
          </cell>
          <cell r="B1257" t="str">
            <v>FD    88 COMP TRAN MIXED      0000001250</v>
          </cell>
          <cell r="C1257" t="str">
            <v>GORI</v>
          </cell>
          <cell r="D1257">
            <v>42.88</v>
          </cell>
          <cell r="E1257">
            <v>0</v>
          </cell>
          <cell r="F1257">
            <v>0</v>
          </cell>
          <cell r="G1257">
            <v>0</v>
          </cell>
          <cell r="H1257">
            <v>31.2</v>
          </cell>
        </row>
        <row r="1258">
          <cell r="A1258" t="str">
            <v>00309173</v>
          </cell>
          <cell r="B1258" t="str">
            <v>FD    GORI88 OPAQU MIXED COL  0000000750</v>
          </cell>
          <cell r="C1258" t="str">
            <v>GORI</v>
          </cell>
          <cell r="D1258">
            <v>20.43</v>
          </cell>
          <cell r="E1258">
            <v>0</v>
          </cell>
          <cell r="F1258">
            <v>0</v>
          </cell>
          <cell r="G1258">
            <v>0</v>
          </cell>
          <cell r="H1258">
            <v>20.43</v>
          </cell>
        </row>
        <row r="1259">
          <cell r="A1259" t="str">
            <v>00309174</v>
          </cell>
          <cell r="B1259" t="str">
            <v>FD    GORI88 OPAQU MIXED COL  0000001250</v>
          </cell>
          <cell r="C1259" t="str">
            <v>GORI</v>
          </cell>
          <cell r="D1259">
            <v>59.47</v>
          </cell>
          <cell r="E1259">
            <v>0</v>
          </cell>
          <cell r="F1259">
            <v>0</v>
          </cell>
          <cell r="G1259">
            <v>0</v>
          </cell>
          <cell r="H1259">
            <v>59.47</v>
          </cell>
        </row>
        <row r="1260">
          <cell r="A1260" t="str">
            <v>00309175</v>
          </cell>
          <cell r="B1260" t="str">
            <v>FD    GORI88 OPAQU MIXED COL  0000001900</v>
          </cell>
          <cell r="C1260" t="str">
            <v>GORI</v>
          </cell>
          <cell r="D1260">
            <v>171.66</v>
          </cell>
          <cell r="E1260">
            <v>0</v>
          </cell>
          <cell r="F1260">
            <v>0</v>
          </cell>
          <cell r="G1260">
            <v>0</v>
          </cell>
          <cell r="H1260">
            <v>171.66</v>
          </cell>
        </row>
        <row r="1261">
          <cell r="A1261" t="str">
            <v>00309127</v>
          </cell>
          <cell r="B1261" t="str">
            <v>FD    GORI88 TRANS MIXED COL  0000000750</v>
          </cell>
          <cell r="C1261" t="str">
            <v>GORI</v>
          </cell>
          <cell r="D1261">
            <v>19.72</v>
          </cell>
          <cell r="E1261">
            <v>0</v>
          </cell>
          <cell r="F1261">
            <v>0</v>
          </cell>
          <cell r="G1261">
            <v>0</v>
          </cell>
          <cell r="H1261">
            <v>19.72</v>
          </cell>
        </row>
        <row r="1262">
          <cell r="A1262" t="str">
            <v>00309171</v>
          </cell>
          <cell r="B1262" t="str">
            <v>FD    GORI88 TRANS MIXED COL  0000001250</v>
          </cell>
          <cell r="C1262" t="str">
            <v>GORI</v>
          </cell>
          <cell r="D1262">
            <v>57.17</v>
          </cell>
          <cell r="E1262">
            <v>0</v>
          </cell>
          <cell r="F1262">
            <v>0</v>
          </cell>
          <cell r="G1262">
            <v>0</v>
          </cell>
          <cell r="H1262">
            <v>57.17</v>
          </cell>
        </row>
        <row r="1263">
          <cell r="A1263" t="str">
            <v>00309172</v>
          </cell>
          <cell r="B1263" t="str">
            <v>FD    GORI88 TRANS MIXED COL  0000001900</v>
          </cell>
          <cell r="C1263" t="str">
            <v>GORI</v>
          </cell>
          <cell r="D1263">
            <v>158.83000000000001</v>
          </cell>
          <cell r="E1263">
            <v>0</v>
          </cell>
          <cell r="F1263">
            <v>0</v>
          </cell>
          <cell r="G1263">
            <v>0</v>
          </cell>
          <cell r="H1263">
            <v>158.83000000000001</v>
          </cell>
        </row>
        <row r="1264">
          <cell r="A1264" t="str">
            <v>00305052</v>
          </cell>
          <cell r="B1264" t="str">
            <v>FD JS A/MOULD ACRY MIXED COL  0000001500</v>
          </cell>
          <cell r="C1264" t="str">
            <v>Anti-mould</v>
          </cell>
          <cell r="D1264">
            <v>32.9</v>
          </cell>
          <cell r="E1264">
            <v>0</v>
          </cell>
          <cell r="F1264">
            <v>0</v>
          </cell>
          <cell r="G1264">
            <v>0</v>
          </cell>
          <cell r="H1264">
            <v>32.9</v>
          </cell>
        </row>
        <row r="1265">
          <cell r="A1265" t="str">
            <v>00389480</v>
          </cell>
          <cell r="B1265" t="str">
            <v>FD JS AIR PURE     MIXED      0000001500</v>
          </cell>
          <cell r="C1265" t="str">
            <v>Airpure</v>
          </cell>
          <cell r="D1265">
            <v>112.45</v>
          </cell>
          <cell r="E1265">
            <v>0</v>
          </cell>
          <cell r="F1265">
            <v>0</v>
          </cell>
          <cell r="G1265">
            <v>0</v>
          </cell>
          <cell r="H1265">
            <v>112.45</v>
          </cell>
        </row>
        <row r="1266">
          <cell r="A1266" t="str">
            <v>00423861</v>
          </cell>
          <cell r="B1266" t="str">
            <v>FD JS CLEAN MATT   MIXED      0000001100</v>
          </cell>
          <cell r="C1266" t="str">
            <v>Cleanable Matt</v>
          </cell>
          <cell r="D1266">
            <v>15.16</v>
          </cell>
          <cell r="E1266">
            <v>0</v>
          </cell>
          <cell r="F1266">
            <v>0</v>
          </cell>
          <cell r="G1266">
            <v>0</v>
          </cell>
          <cell r="H1266">
            <v>12.14</v>
          </cell>
        </row>
        <row r="1267">
          <cell r="A1267" t="str">
            <v>00423862</v>
          </cell>
          <cell r="B1267" t="str">
            <v>FD JS CLEAN MATT   MIXED      0000001250</v>
          </cell>
          <cell r="C1267" t="str">
            <v>Cleanable Matt</v>
          </cell>
          <cell r="D1267">
            <v>30.66</v>
          </cell>
          <cell r="E1267">
            <v>0</v>
          </cell>
          <cell r="F1267">
            <v>0</v>
          </cell>
          <cell r="G1267">
            <v>0</v>
          </cell>
          <cell r="H1267">
            <v>18.5</v>
          </cell>
        </row>
        <row r="1268">
          <cell r="A1268" t="str">
            <v>00305073</v>
          </cell>
          <cell r="B1268" t="str">
            <v>FD JS GLOSS T/CT   MIXED COL  0000001500</v>
          </cell>
          <cell r="C1268" t="str">
            <v>Steel and Cladding</v>
          </cell>
          <cell r="D1268">
            <v>92.48</v>
          </cell>
          <cell r="E1268">
            <v>0</v>
          </cell>
          <cell r="F1268">
            <v>0</v>
          </cell>
          <cell r="G1268">
            <v>0</v>
          </cell>
          <cell r="H1268">
            <v>92.48</v>
          </cell>
        </row>
        <row r="1269">
          <cell r="A1269" t="str">
            <v>00307967</v>
          </cell>
          <cell r="B1269" t="str">
            <v>FD JS MATT W/STAIN MIXED COL  0000001250</v>
          </cell>
          <cell r="C1269" t="str">
            <v>Woodstain</v>
          </cell>
          <cell r="D1269">
            <v>16.88</v>
          </cell>
          <cell r="E1269">
            <v>0</v>
          </cell>
          <cell r="F1269">
            <v>0</v>
          </cell>
          <cell r="G1269">
            <v>0</v>
          </cell>
          <cell r="H1269">
            <v>16.88</v>
          </cell>
        </row>
        <row r="1270">
          <cell r="A1270" t="str">
            <v>00305966</v>
          </cell>
          <cell r="B1270" t="str">
            <v>FD JS MATT W/STAIN MIXED COL  0000001500</v>
          </cell>
          <cell r="C1270" t="str">
            <v>Woodstain</v>
          </cell>
          <cell r="D1270">
            <v>29.65</v>
          </cell>
          <cell r="E1270">
            <v>0</v>
          </cell>
          <cell r="F1270">
            <v>0</v>
          </cell>
          <cell r="G1270">
            <v>0</v>
          </cell>
          <cell r="H1270">
            <v>29.65</v>
          </cell>
        </row>
        <row r="1271">
          <cell r="A1271" t="str">
            <v>00305050</v>
          </cell>
          <cell r="B1271" t="str">
            <v>FD JS S/SLD TEXT   MIXED COL  0000001500</v>
          </cell>
          <cell r="C1271" t="str">
            <v>Textured masonry</v>
          </cell>
          <cell r="D1271">
            <v>43.65</v>
          </cell>
          <cell r="E1271">
            <v>0</v>
          </cell>
          <cell r="F1271">
            <v>0</v>
          </cell>
          <cell r="G1271">
            <v>0</v>
          </cell>
          <cell r="H1271">
            <v>43.65</v>
          </cell>
        </row>
        <row r="1272">
          <cell r="A1272" t="str">
            <v>00307970</v>
          </cell>
          <cell r="B1272" t="str">
            <v>FD JS SATIN W/STN  MIXED COL  0000001250</v>
          </cell>
          <cell r="C1272" t="str">
            <v>Woodstain</v>
          </cell>
          <cell r="D1272">
            <v>16.88</v>
          </cell>
          <cell r="E1272">
            <v>0</v>
          </cell>
          <cell r="F1272">
            <v>0</v>
          </cell>
          <cell r="G1272">
            <v>0</v>
          </cell>
          <cell r="H1272">
            <v>16.88</v>
          </cell>
        </row>
        <row r="1273">
          <cell r="A1273" t="str">
            <v>00305039</v>
          </cell>
          <cell r="B1273" t="str">
            <v>FD JS VINYL SILK   MIXED COL  0000001100</v>
          </cell>
          <cell r="C1273" t="str">
            <v>Vinyl Silk</v>
          </cell>
          <cell r="D1273">
            <v>13.69</v>
          </cell>
          <cell r="E1273">
            <v>0</v>
          </cell>
          <cell r="F1273">
            <v>0</v>
          </cell>
          <cell r="G1273">
            <v>0</v>
          </cell>
          <cell r="H1273">
            <v>13.69</v>
          </cell>
        </row>
        <row r="1274">
          <cell r="A1274" t="str">
            <v>00306728</v>
          </cell>
          <cell r="B1274" t="str">
            <v>FD LL F/DRY GLOSS  MIXED COL  0000001250</v>
          </cell>
          <cell r="C1274" t="str">
            <v>Acrylic Gloss</v>
          </cell>
          <cell r="D1274">
            <v>32.46</v>
          </cell>
          <cell r="E1274">
            <v>0</v>
          </cell>
          <cell r="F1274">
            <v>0</v>
          </cell>
          <cell r="G1274">
            <v>0</v>
          </cell>
          <cell r="H1274">
            <v>17.736499999999999</v>
          </cell>
        </row>
        <row r="1275">
          <cell r="A1275" t="str">
            <v>00306734</v>
          </cell>
          <cell r="B1275" t="str">
            <v>FD LL F/DRY SATIN  MIXED COL  0000001250</v>
          </cell>
          <cell r="C1275" t="str">
            <v>Acrylic Satin</v>
          </cell>
          <cell r="D1275">
            <v>34.630000000000003</v>
          </cell>
          <cell r="E1275">
            <v>0</v>
          </cell>
          <cell r="F1275">
            <v>0</v>
          </cell>
          <cell r="G1275">
            <v>0</v>
          </cell>
          <cell r="H1275">
            <v>17.736499999999999</v>
          </cell>
        </row>
        <row r="1276">
          <cell r="A1276" t="str">
            <v>00305838</v>
          </cell>
          <cell r="B1276" t="str">
            <v>FD LL GLOSS        MIXED COL  0000000500</v>
          </cell>
          <cell r="C1276" t="str">
            <v>Solvent Gloss</v>
          </cell>
          <cell r="D1276">
            <v>5.09</v>
          </cell>
          <cell r="E1276">
            <v>0</v>
          </cell>
          <cell r="F1276">
            <v>0</v>
          </cell>
          <cell r="G1276">
            <v>0</v>
          </cell>
          <cell r="H1276">
            <v>5.09</v>
          </cell>
        </row>
        <row r="1277">
          <cell r="A1277" t="str">
            <v>00389419</v>
          </cell>
          <cell r="B1277" t="str">
            <v>FD LL H/WEAR MATT  MIXED COL  0000001250</v>
          </cell>
          <cell r="C1277" t="str">
            <v>Acrylic Matt</v>
          </cell>
          <cell r="D1277">
            <v>25.73</v>
          </cell>
          <cell r="E1277">
            <v>0</v>
          </cell>
          <cell r="F1277">
            <v>0</v>
          </cell>
          <cell r="G1277">
            <v>0</v>
          </cell>
          <cell r="H1277">
            <v>9.8820000000000014</v>
          </cell>
        </row>
        <row r="1278">
          <cell r="A1278" t="str">
            <v>00306672</v>
          </cell>
          <cell r="B1278" t="str">
            <v>FD LL H/WEAR MATT  MIXED COL  0000001500</v>
          </cell>
          <cell r="C1278" t="str">
            <v>Acrylic Matt</v>
          </cell>
          <cell r="D1278">
            <v>42.59</v>
          </cell>
          <cell r="E1278">
            <v>0</v>
          </cell>
          <cell r="F1278">
            <v>0</v>
          </cell>
          <cell r="G1278">
            <v>0</v>
          </cell>
          <cell r="H1278">
            <v>16.470000000000002</v>
          </cell>
        </row>
        <row r="1279">
          <cell r="A1279" t="str">
            <v>00389420</v>
          </cell>
          <cell r="B1279" t="str">
            <v>FD LL H/WEAR MATT  MIXED COL  0000002100</v>
          </cell>
          <cell r="C1279" t="str">
            <v>Acrylic Matt</v>
          </cell>
          <cell r="D1279">
            <v>77.97</v>
          </cell>
          <cell r="E1279">
            <v>0</v>
          </cell>
          <cell r="F1279">
            <v>0</v>
          </cell>
          <cell r="G1279">
            <v>0</v>
          </cell>
          <cell r="H1279">
            <v>31.293000000000003</v>
          </cell>
        </row>
        <row r="1280">
          <cell r="A1280" t="str">
            <v>00423682</v>
          </cell>
          <cell r="B1280" t="str">
            <v>FD LL SMART MATT   MIXED COL  0000001500</v>
          </cell>
          <cell r="C1280" t="str">
            <v>Smart Matt</v>
          </cell>
          <cell r="D1280">
            <v>40.08</v>
          </cell>
          <cell r="E1280">
            <v>0</v>
          </cell>
          <cell r="F1280">
            <v>0</v>
          </cell>
          <cell r="G1280">
            <v>0</v>
          </cell>
          <cell r="H1280">
            <v>40.08</v>
          </cell>
        </row>
        <row r="1281">
          <cell r="A1281" t="str">
            <v>00305832</v>
          </cell>
          <cell r="B1281" t="str">
            <v>FD LL T/G TEXTURED MIXED COL  0000001500</v>
          </cell>
          <cell r="C1281" t="str">
            <v>Textured masonry</v>
          </cell>
          <cell r="D1281">
            <v>37.83</v>
          </cell>
          <cell r="E1281">
            <v>0</v>
          </cell>
          <cell r="F1281">
            <v>0</v>
          </cell>
          <cell r="G1281">
            <v>0</v>
          </cell>
          <cell r="H1281">
            <v>37.83</v>
          </cell>
        </row>
        <row r="1282">
          <cell r="A1282" t="str">
            <v>00305844</v>
          </cell>
          <cell r="B1282" t="str">
            <v>FD LL UNDERCOAT    MIXED COL  0000001100</v>
          </cell>
          <cell r="C1282" t="str">
            <v>Solvent Undercoat</v>
          </cell>
          <cell r="D1282">
            <v>13.69</v>
          </cell>
          <cell r="E1282">
            <v>0</v>
          </cell>
          <cell r="F1282">
            <v>0</v>
          </cell>
          <cell r="G1282">
            <v>0</v>
          </cell>
          <cell r="H1282">
            <v>13.69</v>
          </cell>
        </row>
        <row r="1283">
          <cell r="A1283" t="str">
            <v>00305821</v>
          </cell>
          <cell r="B1283" t="str">
            <v>FD LL V/SOFT SHEEN MIXED COL  0000001250</v>
          </cell>
          <cell r="C1283" t="str">
            <v>Soft Sheen</v>
          </cell>
          <cell r="D1283">
            <v>12.3</v>
          </cell>
          <cell r="E1283">
            <v>0</v>
          </cell>
          <cell r="F1283">
            <v>0</v>
          </cell>
          <cell r="G1283">
            <v>0</v>
          </cell>
          <cell r="H1283">
            <v>8.3940000000000001</v>
          </cell>
        </row>
        <row r="1284">
          <cell r="A1284" t="str">
            <v>00721515</v>
          </cell>
          <cell r="B1284" t="str">
            <v>G&amp;B   FRESCO 19059 PLASTER    PG.HS</v>
          </cell>
          <cell r="C1284" t="str">
            <v>Wallcovering</v>
          </cell>
          <cell r="D1284">
            <v>8.5399999999999991</v>
          </cell>
          <cell r="E1284">
            <v>0</v>
          </cell>
          <cell r="F1284">
            <v>0</v>
          </cell>
          <cell r="G1284">
            <v>0</v>
          </cell>
          <cell r="H1284">
            <v>8.5399999999999991</v>
          </cell>
        </row>
        <row r="1285">
          <cell r="A1285" t="str">
            <v>00722931</v>
          </cell>
          <cell r="B1285" t="str">
            <v>G&amp;B   FRESCO 205 STIPPLE PG.HT</v>
          </cell>
          <cell r="C1285" t="str">
            <v>Wallcovering</v>
          </cell>
          <cell r="D1285">
            <v>7.26</v>
          </cell>
          <cell r="E1285">
            <v>0</v>
          </cell>
          <cell r="F1285">
            <v>0</v>
          </cell>
          <cell r="G1285">
            <v>0</v>
          </cell>
          <cell r="H1285">
            <v>7.26</v>
          </cell>
        </row>
        <row r="1286">
          <cell r="A1286" t="str">
            <v>00722932</v>
          </cell>
          <cell r="B1286" t="str">
            <v>G&amp;B   FRESCO 284 STRING PG.HT</v>
          </cell>
          <cell r="C1286" t="str">
            <v>Wallcovering</v>
          </cell>
          <cell r="D1286">
            <v>7.26</v>
          </cell>
          <cell r="E1286">
            <v>0</v>
          </cell>
          <cell r="F1286">
            <v>0</v>
          </cell>
          <cell r="G1286">
            <v>0</v>
          </cell>
          <cell r="H1286">
            <v>7.26</v>
          </cell>
        </row>
        <row r="1287">
          <cell r="A1287" t="str">
            <v>00721524</v>
          </cell>
          <cell r="B1287" t="str">
            <v>G&amp;B   FRESCO 70074 HEAVY STIPPLE PG.HR</v>
          </cell>
          <cell r="C1287" t="str">
            <v>Wallcovering</v>
          </cell>
          <cell r="D1287">
            <v>7.26</v>
          </cell>
          <cell r="E1287">
            <v>0</v>
          </cell>
          <cell r="F1287">
            <v>0</v>
          </cell>
          <cell r="G1287">
            <v>0</v>
          </cell>
          <cell r="H1287">
            <v>7.26</v>
          </cell>
        </row>
        <row r="1288">
          <cell r="A1288" t="str">
            <v>00721525</v>
          </cell>
          <cell r="B1288" t="str">
            <v>G&amp;B   FRESCO 726   BARK       PG.HR</v>
          </cell>
          <cell r="C1288" t="str">
            <v>Wallcovering</v>
          </cell>
          <cell r="D1288">
            <v>7.63</v>
          </cell>
          <cell r="E1288">
            <v>0</v>
          </cell>
          <cell r="F1288">
            <v>0</v>
          </cell>
          <cell r="G1288">
            <v>0</v>
          </cell>
          <cell r="H1288">
            <v>7.63</v>
          </cell>
        </row>
        <row r="1289">
          <cell r="A1289" t="str">
            <v>00441639</v>
          </cell>
          <cell r="B1289" t="str">
            <v>GORI 05 EXP DECK  CLEAR (UK)  9900001250</v>
          </cell>
          <cell r="C1289" t="str">
            <v>GORI</v>
          </cell>
          <cell r="D1289">
            <v>35.630000000000003</v>
          </cell>
          <cell r="E1289">
            <v>0</v>
          </cell>
          <cell r="F1289">
            <v>0</v>
          </cell>
          <cell r="G1289">
            <v>0</v>
          </cell>
          <cell r="H1289">
            <v>35.630000000000003</v>
          </cell>
        </row>
        <row r="1290">
          <cell r="A1290" t="str">
            <v>00441640</v>
          </cell>
          <cell r="B1290" t="str">
            <v>GORI 05 EXP DECK  TEAK (UK)  78040001250</v>
          </cell>
          <cell r="C1290" t="str">
            <v>GORI</v>
          </cell>
          <cell r="D1290">
            <v>37.61</v>
          </cell>
          <cell r="E1290">
            <v>0</v>
          </cell>
          <cell r="F1290">
            <v>0</v>
          </cell>
          <cell r="G1290">
            <v>0</v>
          </cell>
          <cell r="H1290">
            <v>37.61</v>
          </cell>
        </row>
        <row r="1291">
          <cell r="A1291" t="str">
            <v>00441641</v>
          </cell>
          <cell r="B1291" t="str">
            <v>GORI 05 EXP DECK OAK (UK)    78050001250</v>
          </cell>
          <cell r="C1291" t="str">
            <v>GORI</v>
          </cell>
          <cell r="D1291">
            <v>37.61</v>
          </cell>
          <cell r="E1291">
            <v>0</v>
          </cell>
          <cell r="F1291">
            <v>0</v>
          </cell>
          <cell r="G1291">
            <v>0</v>
          </cell>
          <cell r="H1291">
            <v>37.61</v>
          </cell>
        </row>
        <row r="1292">
          <cell r="A1292" t="str">
            <v>00441637</v>
          </cell>
          <cell r="B1292" t="str">
            <v>GORI 11 WOOD PRES CLEAR (UK) 9900001250</v>
          </cell>
          <cell r="C1292" t="str">
            <v>GORI</v>
          </cell>
          <cell r="D1292">
            <v>23.75</v>
          </cell>
          <cell r="E1292">
            <v>0</v>
          </cell>
          <cell r="F1292">
            <v>0</v>
          </cell>
          <cell r="G1292">
            <v>0</v>
          </cell>
          <cell r="H1292">
            <v>23.75</v>
          </cell>
        </row>
        <row r="1293">
          <cell r="A1293" t="str">
            <v>00441638</v>
          </cell>
          <cell r="B1293" t="str">
            <v>GORI 11 WOOD PRES CLEAR (UK) 9900001500</v>
          </cell>
          <cell r="C1293" t="str">
            <v>GORI</v>
          </cell>
          <cell r="D1293">
            <v>38.6</v>
          </cell>
          <cell r="E1293">
            <v>0</v>
          </cell>
          <cell r="F1293">
            <v>0</v>
          </cell>
          <cell r="G1293">
            <v>0</v>
          </cell>
          <cell r="H1293">
            <v>38.6</v>
          </cell>
        </row>
        <row r="1294">
          <cell r="A1294" t="str">
            <v>00441661</v>
          </cell>
          <cell r="B1294" t="str">
            <v>GORI 99 EXTR OPAQ WHIT (UK)   8000001250</v>
          </cell>
          <cell r="C1294" t="str">
            <v>GORI</v>
          </cell>
          <cell r="D1294">
            <v>47.43</v>
          </cell>
          <cell r="E1294">
            <v>0</v>
          </cell>
          <cell r="F1294">
            <v>0</v>
          </cell>
          <cell r="G1294">
            <v>0</v>
          </cell>
          <cell r="H1294">
            <v>47.43</v>
          </cell>
        </row>
        <row r="1295">
          <cell r="A1295" t="str">
            <v>00441662</v>
          </cell>
          <cell r="B1295" t="str">
            <v>GORI 99 EXTR OPAQ WHIT (UK) 8000001500</v>
          </cell>
          <cell r="C1295" t="str">
            <v>GORI</v>
          </cell>
          <cell r="D1295">
            <v>77.209999999999994</v>
          </cell>
          <cell r="E1295">
            <v>0</v>
          </cell>
          <cell r="F1295">
            <v>0</v>
          </cell>
          <cell r="G1295">
            <v>0</v>
          </cell>
          <cell r="H1295">
            <v>77.209999999999994</v>
          </cell>
        </row>
        <row r="1296">
          <cell r="A1296" t="str">
            <v>00852291</v>
          </cell>
          <cell r="B1296" t="str">
            <v>HAMIL 7 PC WOVEN   ROLLER KIT</v>
          </cell>
          <cell r="C1296" t="str">
            <v>Hamilton</v>
          </cell>
          <cell r="D1296">
            <v>19.670000000000002</v>
          </cell>
          <cell r="E1296">
            <v>0</v>
          </cell>
          <cell r="F1296">
            <v>0</v>
          </cell>
          <cell r="G1296">
            <v>0</v>
          </cell>
          <cell r="H1296">
            <v>19.670000000000002</v>
          </cell>
        </row>
        <row r="1297">
          <cell r="A1297" t="str">
            <v>00728206</v>
          </cell>
          <cell r="B1297" t="str">
            <v>HAMIL PERFECTION   BRUSH 2.5"</v>
          </cell>
          <cell r="C1297" t="str">
            <v>Brush</v>
          </cell>
          <cell r="D1297">
            <v>27.84</v>
          </cell>
          <cell r="E1297">
            <v>0</v>
          </cell>
          <cell r="F1297">
            <v>0</v>
          </cell>
          <cell r="G1297">
            <v>0</v>
          </cell>
          <cell r="H1297">
            <v>27.84</v>
          </cell>
        </row>
        <row r="1298">
          <cell r="A1298" t="str">
            <v>00728207</v>
          </cell>
          <cell r="B1298" t="str">
            <v>HAMIL PERFECTION   BRUSH 3"</v>
          </cell>
          <cell r="C1298" t="str">
            <v>Brush</v>
          </cell>
          <cell r="D1298">
            <v>33.35</v>
          </cell>
          <cell r="E1298">
            <v>0</v>
          </cell>
          <cell r="F1298">
            <v>0</v>
          </cell>
          <cell r="G1298">
            <v>0</v>
          </cell>
          <cell r="H1298">
            <v>33.35</v>
          </cell>
        </row>
        <row r="1299">
          <cell r="A1299" t="str">
            <v>00611044</v>
          </cell>
          <cell r="B1299" t="str">
            <v>HAMIL PRESTIGE SYN SASH 18MM  BRUSH</v>
          </cell>
          <cell r="C1299" t="str">
            <v>Brush</v>
          </cell>
          <cell r="D1299">
            <v>11.05</v>
          </cell>
          <cell r="E1299">
            <v>0</v>
          </cell>
          <cell r="F1299">
            <v>0</v>
          </cell>
          <cell r="G1299">
            <v>0</v>
          </cell>
          <cell r="H1299">
            <v>11.05</v>
          </cell>
        </row>
        <row r="1300">
          <cell r="A1300" t="str">
            <v>00718256</v>
          </cell>
          <cell r="B1300" t="str">
            <v>HAMIL ROLLER       CLEANER    2905035</v>
          </cell>
          <cell r="C1300" t="str">
            <v>Hamilton</v>
          </cell>
          <cell r="D1300">
            <v>2.41</v>
          </cell>
          <cell r="E1300">
            <v>0</v>
          </cell>
          <cell r="F1300">
            <v>0</v>
          </cell>
          <cell r="G1300">
            <v>0</v>
          </cell>
          <cell r="H1300">
            <v>2.41</v>
          </cell>
        </row>
        <row r="1301">
          <cell r="A1301" t="str">
            <v>00419374</v>
          </cell>
          <cell r="B1301" t="str">
            <v>HI-TEMP 1000 ALUMINUM            05 B400</v>
          </cell>
          <cell r="C1301" t="str">
            <v>PMC</v>
          </cell>
          <cell r="D1301">
            <v>1819</v>
          </cell>
          <cell r="E1301">
            <v>0</v>
          </cell>
          <cell r="F1301">
            <v>0</v>
          </cell>
          <cell r="G1301">
            <v>0</v>
          </cell>
          <cell r="H1301">
            <v>1819</v>
          </cell>
        </row>
        <row r="1302">
          <cell r="A1302" t="str">
            <v>00419182</v>
          </cell>
          <cell r="B1302" t="str">
            <v>HI-TEMP 1000 MEDIUM GRAY         01 B100</v>
          </cell>
          <cell r="C1302" t="str">
            <v>PMC</v>
          </cell>
          <cell r="D1302">
            <v>381.99</v>
          </cell>
          <cell r="E1302">
            <v>0</v>
          </cell>
          <cell r="F1302">
            <v>0</v>
          </cell>
          <cell r="G1302">
            <v>0</v>
          </cell>
          <cell r="H1302">
            <v>381.99</v>
          </cell>
        </row>
        <row r="1303">
          <cell r="A1303" t="str">
            <v>00419177</v>
          </cell>
          <cell r="B1303" t="str">
            <v>HI-TEMP 1000 SAFETY YELLOW       01 B100</v>
          </cell>
          <cell r="C1303" t="str">
            <v>PMC</v>
          </cell>
          <cell r="D1303">
            <v>381.99</v>
          </cell>
          <cell r="E1303">
            <v>0</v>
          </cell>
          <cell r="F1303">
            <v>0</v>
          </cell>
          <cell r="G1303">
            <v>0</v>
          </cell>
          <cell r="H1303">
            <v>381.99</v>
          </cell>
        </row>
        <row r="1304">
          <cell r="A1304" t="str">
            <v>00419171</v>
          </cell>
          <cell r="B1304" t="str">
            <v>HI-TEMP 1000 WHITE               01 B100</v>
          </cell>
          <cell r="C1304" t="str">
            <v>PMC</v>
          </cell>
          <cell r="D1304">
            <v>381.99</v>
          </cell>
          <cell r="E1304">
            <v>0</v>
          </cell>
          <cell r="F1304">
            <v>0</v>
          </cell>
          <cell r="G1304">
            <v>0</v>
          </cell>
          <cell r="H1304">
            <v>381.99</v>
          </cell>
        </row>
        <row r="1305">
          <cell r="A1305" t="str">
            <v>00426751</v>
          </cell>
          <cell r="B1305" t="str">
            <v>HI-TEMP 1027 BLACK           00000EU1400</v>
          </cell>
          <cell r="C1305" t="str">
            <v>PMC</v>
          </cell>
          <cell r="D1305">
            <v>654.11</v>
          </cell>
          <cell r="E1305">
            <v>0</v>
          </cell>
          <cell r="F1305">
            <v>0</v>
          </cell>
          <cell r="G1305">
            <v>0</v>
          </cell>
          <cell r="H1305">
            <v>654.11</v>
          </cell>
        </row>
        <row r="1306">
          <cell r="A1306" t="str">
            <v>00426757</v>
          </cell>
          <cell r="B1306" t="str">
            <v>HI-TEMP 1027 GREY           000000EU1400</v>
          </cell>
          <cell r="C1306" t="str">
            <v>PMC</v>
          </cell>
          <cell r="D1306">
            <v>654.11</v>
          </cell>
          <cell r="E1306">
            <v>0</v>
          </cell>
          <cell r="F1306">
            <v>0</v>
          </cell>
          <cell r="G1306">
            <v>0</v>
          </cell>
          <cell r="H1306">
            <v>654.11</v>
          </cell>
        </row>
        <row r="1307">
          <cell r="A1307" t="str">
            <v>00426756</v>
          </cell>
          <cell r="B1307" t="str">
            <v>HI-TEMP 1027 LT GR          000000EU1400</v>
          </cell>
          <cell r="C1307" t="str">
            <v>PMC</v>
          </cell>
          <cell r="D1307">
            <v>654.11</v>
          </cell>
          <cell r="E1307">
            <v>0</v>
          </cell>
          <cell r="F1307">
            <v>0</v>
          </cell>
          <cell r="G1307">
            <v>0</v>
          </cell>
          <cell r="H1307">
            <v>654.11</v>
          </cell>
        </row>
        <row r="1308">
          <cell r="A1308" t="str">
            <v>00307677</v>
          </cell>
          <cell r="B1308" t="str">
            <v>JST   1.0 S/CONE EN RENDER WH 0000002250</v>
          </cell>
          <cell r="C1308" t="str">
            <v>EWI</v>
          </cell>
          <cell r="D1308">
            <v>52.95</v>
          </cell>
          <cell r="E1308">
            <v>0</v>
          </cell>
          <cell r="F1308">
            <v>0</v>
          </cell>
          <cell r="G1308">
            <v>0</v>
          </cell>
          <cell r="H1308">
            <v>52.95</v>
          </cell>
        </row>
        <row r="1309">
          <cell r="A1309" t="str">
            <v>00737542</v>
          </cell>
          <cell r="B1309" t="str">
            <v>JST   1.0 S/CONE FULL REN WHI 0000002250</v>
          </cell>
          <cell r="C1309" t="str">
            <v>EWI</v>
          </cell>
          <cell r="D1309">
            <v>72.19</v>
          </cell>
          <cell r="E1309">
            <v>0</v>
          </cell>
          <cell r="F1309">
            <v>0</v>
          </cell>
          <cell r="G1309">
            <v>0</v>
          </cell>
          <cell r="H1309">
            <v>72.19</v>
          </cell>
        </row>
        <row r="1310">
          <cell r="A1310" t="str">
            <v>00737543</v>
          </cell>
          <cell r="B1310" t="str">
            <v>JST   1.5 S/CONE FULL REN WHI 0000002250</v>
          </cell>
          <cell r="C1310" t="str">
            <v>EWI</v>
          </cell>
          <cell r="D1310">
            <v>72.19</v>
          </cell>
          <cell r="E1310">
            <v>0</v>
          </cell>
          <cell r="F1310">
            <v>0</v>
          </cell>
          <cell r="G1310">
            <v>0</v>
          </cell>
          <cell r="H1310">
            <v>72.19</v>
          </cell>
        </row>
        <row r="1311">
          <cell r="A1311" t="str">
            <v>00737544</v>
          </cell>
          <cell r="B1311" t="str">
            <v>JST   2.0 S/CONE FULL REN WHI 0000002250</v>
          </cell>
          <cell r="C1311" t="str">
            <v>EWI</v>
          </cell>
          <cell r="D1311">
            <v>72.19</v>
          </cell>
          <cell r="E1311">
            <v>0</v>
          </cell>
          <cell r="F1311">
            <v>0</v>
          </cell>
          <cell r="G1311">
            <v>0</v>
          </cell>
          <cell r="H1311">
            <v>72.19</v>
          </cell>
        </row>
        <row r="1312">
          <cell r="A1312" t="str">
            <v>00301845</v>
          </cell>
          <cell r="B1312" t="str">
            <v>JST   2P WB FLOOR  DARK GREY  0000001400</v>
          </cell>
          <cell r="C1312" t="str">
            <v>Floor paint</v>
          </cell>
          <cell r="D1312">
            <v>127.65</v>
          </cell>
          <cell r="E1312">
            <v>0</v>
          </cell>
          <cell r="F1312">
            <v>0</v>
          </cell>
          <cell r="G1312">
            <v>0</v>
          </cell>
          <cell r="H1312">
            <v>127.65</v>
          </cell>
        </row>
        <row r="1313">
          <cell r="A1313" t="str">
            <v>00301844</v>
          </cell>
          <cell r="B1313" t="str">
            <v>JST   2PK EPOXY WB BRIL WHITE 0000001200</v>
          </cell>
          <cell r="C1313" t="str">
            <v>2pk Wall Coating</v>
          </cell>
          <cell r="D1313">
            <v>81.849999999999994</v>
          </cell>
          <cell r="E1313">
            <v>0</v>
          </cell>
          <cell r="F1313">
            <v>0</v>
          </cell>
          <cell r="G1313">
            <v>0</v>
          </cell>
          <cell r="H1313">
            <v>81.849999999999994</v>
          </cell>
        </row>
        <row r="1314">
          <cell r="A1314" t="str">
            <v>00302435</v>
          </cell>
          <cell r="B1314" t="str">
            <v>JST   2PK SB FLOOR DARK GREY  0000001300</v>
          </cell>
          <cell r="C1314" t="str">
            <v>Floor paint</v>
          </cell>
          <cell r="D1314">
            <v>84.78</v>
          </cell>
          <cell r="E1314">
            <v>0</v>
          </cell>
          <cell r="F1314">
            <v>0</v>
          </cell>
          <cell r="G1314">
            <v>0</v>
          </cell>
          <cell r="H1314">
            <v>49.93</v>
          </cell>
        </row>
        <row r="1315">
          <cell r="A1315" t="str">
            <v>00301840</v>
          </cell>
          <cell r="B1315" t="str">
            <v>JST   2PK WB FLOOR DARK GREEN 0000001400</v>
          </cell>
          <cell r="C1315" t="str">
            <v>Floor paint</v>
          </cell>
          <cell r="D1315">
            <v>130.01</v>
          </cell>
          <cell r="E1315">
            <v>0</v>
          </cell>
          <cell r="F1315">
            <v>0</v>
          </cell>
          <cell r="G1315">
            <v>0</v>
          </cell>
          <cell r="H1315">
            <v>76.59</v>
          </cell>
        </row>
        <row r="1316">
          <cell r="A1316" t="str">
            <v>00301768</v>
          </cell>
          <cell r="B1316" t="str">
            <v>JST   A/MOULD ACRY MAGNOLIA   0000001500</v>
          </cell>
          <cell r="C1316" t="str">
            <v>Anti-mould</v>
          </cell>
          <cell r="D1316">
            <v>51.63</v>
          </cell>
          <cell r="E1316">
            <v>0</v>
          </cell>
          <cell r="F1316">
            <v>0</v>
          </cell>
          <cell r="G1316">
            <v>0</v>
          </cell>
          <cell r="H1316">
            <v>51.63</v>
          </cell>
        </row>
        <row r="1317">
          <cell r="A1317" t="str">
            <v>00306526</v>
          </cell>
          <cell r="B1317" t="str">
            <v>JST   A/SLIP FLOOR TILE RED   0000001500</v>
          </cell>
          <cell r="C1317" t="str">
            <v>Floor paint</v>
          </cell>
          <cell r="D1317">
            <v>67.08</v>
          </cell>
          <cell r="E1317">
            <v>0</v>
          </cell>
          <cell r="F1317">
            <v>0</v>
          </cell>
          <cell r="G1317">
            <v>0</v>
          </cell>
          <cell r="H1317">
            <v>67.08</v>
          </cell>
        </row>
        <row r="1318">
          <cell r="A1318" t="str">
            <v>00301752</v>
          </cell>
          <cell r="B1318" t="str">
            <v>JST   ABAC AC EGG  MAGNOLIA   0000001500</v>
          </cell>
          <cell r="C1318" t="str">
            <v>Anti-bacterial</v>
          </cell>
          <cell r="D1318">
            <v>49.35</v>
          </cell>
          <cell r="E1318">
            <v>0</v>
          </cell>
          <cell r="F1318">
            <v>0</v>
          </cell>
          <cell r="G1318">
            <v>0</v>
          </cell>
          <cell r="H1318">
            <v>49.35</v>
          </cell>
        </row>
        <row r="1319">
          <cell r="A1319" t="str">
            <v>00301467</v>
          </cell>
          <cell r="B1319" t="str">
            <v>JST   ACRYLIC MATT MAGNOLIA   0000001250</v>
          </cell>
          <cell r="C1319" t="str">
            <v>Acrylic Matt</v>
          </cell>
          <cell r="D1319">
            <v>12.55</v>
          </cell>
          <cell r="E1319">
            <v>0</v>
          </cell>
          <cell r="F1319">
            <v>0</v>
          </cell>
          <cell r="G1319">
            <v>0</v>
          </cell>
          <cell r="H1319">
            <v>9.9</v>
          </cell>
        </row>
        <row r="1320">
          <cell r="A1320" t="str">
            <v>00301803</v>
          </cell>
          <cell r="B1320" t="str">
            <v>JST   AGRICU OXIDE GREEN      0000001500</v>
          </cell>
          <cell r="C1320" t="str">
            <v>Primer</v>
          </cell>
          <cell r="D1320">
            <v>48.28</v>
          </cell>
          <cell r="E1320">
            <v>0</v>
          </cell>
          <cell r="F1320">
            <v>0</v>
          </cell>
          <cell r="G1320">
            <v>0</v>
          </cell>
          <cell r="H1320">
            <v>48.28</v>
          </cell>
        </row>
        <row r="1321">
          <cell r="A1321" t="str">
            <v>00301804</v>
          </cell>
          <cell r="B1321" t="str">
            <v>JST   AGRICU OXIDE RED        0000001500</v>
          </cell>
          <cell r="C1321" t="str">
            <v>Primer</v>
          </cell>
          <cell r="D1321">
            <v>48.28</v>
          </cell>
          <cell r="E1321">
            <v>0</v>
          </cell>
          <cell r="F1321">
            <v>0</v>
          </cell>
          <cell r="G1321">
            <v>0</v>
          </cell>
          <cell r="H1321">
            <v>48.28</v>
          </cell>
        </row>
        <row r="1322">
          <cell r="A1322" t="str">
            <v>00738715</v>
          </cell>
          <cell r="B1322" t="str">
            <v>JST   BLACK        BITUMEN          1250</v>
          </cell>
          <cell r="C1322" t="str">
            <v>Bitumen</v>
          </cell>
          <cell r="D1322">
            <v>12.43</v>
          </cell>
          <cell r="E1322">
            <v>0</v>
          </cell>
          <cell r="F1322">
            <v>0</v>
          </cell>
          <cell r="G1322">
            <v>0</v>
          </cell>
          <cell r="H1322">
            <v>12.43</v>
          </cell>
        </row>
        <row r="1323">
          <cell r="A1323" t="str">
            <v>00447296</v>
          </cell>
          <cell r="B1323" t="str">
            <v>JST   CLEAN MATT   BRIL WHITE 0000001250</v>
          </cell>
          <cell r="C1323" t="str">
            <v>Cleanable Matt</v>
          </cell>
          <cell r="D1323">
            <v>21.9</v>
          </cell>
          <cell r="E1323">
            <v>0</v>
          </cell>
          <cell r="F1323">
            <v>0</v>
          </cell>
          <cell r="G1323">
            <v>0</v>
          </cell>
          <cell r="H1323">
            <v>16.650000000000002</v>
          </cell>
        </row>
        <row r="1324">
          <cell r="A1324" t="str">
            <v>00301449</v>
          </cell>
          <cell r="B1324" t="str">
            <v>JST   COVAPLUS     SOFT PRIMR 0000001500</v>
          </cell>
          <cell r="C1324" t="str">
            <v>Vinyl matt</v>
          </cell>
          <cell r="D1324">
            <v>11.77</v>
          </cell>
          <cell r="E1324">
            <v>0</v>
          </cell>
          <cell r="F1324">
            <v>0</v>
          </cell>
          <cell r="G1324">
            <v>0</v>
          </cell>
          <cell r="H1324">
            <v>11.77</v>
          </cell>
        </row>
        <row r="1325">
          <cell r="A1325" t="str">
            <v>00304742</v>
          </cell>
          <cell r="B1325" t="str">
            <v>JST   DRY LINING   BRIL WHITE 0000002100</v>
          </cell>
          <cell r="C1325" t="str">
            <v>Dry lining paint</v>
          </cell>
          <cell r="D1325">
            <v>42.76</v>
          </cell>
          <cell r="E1325">
            <v>0</v>
          </cell>
          <cell r="F1325">
            <v>0</v>
          </cell>
          <cell r="G1325">
            <v>0</v>
          </cell>
          <cell r="H1325">
            <v>42.76</v>
          </cell>
        </row>
        <row r="1326">
          <cell r="A1326" t="str">
            <v>00301677</v>
          </cell>
          <cell r="B1326" t="str">
            <v>JST   EGGSHELL     BRIL WHITE 0000000500</v>
          </cell>
          <cell r="C1326" t="str">
            <v>Solvent Eggshell</v>
          </cell>
          <cell r="D1326">
            <v>7.21</v>
          </cell>
          <cell r="E1326">
            <v>0</v>
          </cell>
          <cell r="F1326">
            <v>0</v>
          </cell>
          <cell r="G1326">
            <v>0</v>
          </cell>
          <cell r="H1326">
            <v>7.21</v>
          </cell>
        </row>
        <row r="1327">
          <cell r="A1327" t="str">
            <v>00301823</v>
          </cell>
          <cell r="B1327" t="str">
            <v>JST   FLAT OIL PT             0000001250</v>
          </cell>
          <cell r="C1327" t="str">
            <v>Flat oil</v>
          </cell>
          <cell r="D1327">
            <v>30.74</v>
          </cell>
          <cell r="E1327">
            <v>0</v>
          </cell>
          <cell r="F1327">
            <v>0</v>
          </cell>
          <cell r="G1327">
            <v>0</v>
          </cell>
          <cell r="H1327">
            <v>30.74</v>
          </cell>
        </row>
        <row r="1328">
          <cell r="A1328" t="str">
            <v>00301824</v>
          </cell>
          <cell r="B1328" t="str">
            <v>JST   FLAT OIL PT             0000001500</v>
          </cell>
          <cell r="C1328" t="str">
            <v>Flat oil</v>
          </cell>
          <cell r="D1328">
            <v>51.29</v>
          </cell>
          <cell r="E1328">
            <v>0</v>
          </cell>
          <cell r="F1328">
            <v>0</v>
          </cell>
          <cell r="G1328">
            <v>0</v>
          </cell>
          <cell r="H1328">
            <v>51.29</v>
          </cell>
        </row>
        <row r="1329">
          <cell r="A1329" t="str">
            <v>00304850</v>
          </cell>
          <cell r="B1329" t="str">
            <v>JST   FLOOR VARN   GLS CLEAR  0000001250</v>
          </cell>
          <cell r="C1329" t="str">
            <v>Varnish</v>
          </cell>
          <cell r="D1329">
            <v>37.39</v>
          </cell>
          <cell r="E1329">
            <v>0</v>
          </cell>
          <cell r="F1329">
            <v>0</v>
          </cell>
          <cell r="G1329">
            <v>0</v>
          </cell>
          <cell r="H1329">
            <v>37.39</v>
          </cell>
        </row>
        <row r="1330">
          <cell r="A1330" t="str">
            <v>00304743</v>
          </cell>
          <cell r="B1330" t="str">
            <v>JST   FLOOR VARN   GLS CLEAR  0000001500</v>
          </cell>
          <cell r="C1330" t="str">
            <v>Varnish</v>
          </cell>
          <cell r="D1330">
            <v>62.38</v>
          </cell>
          <cell r="E1330">
            <v>0</v>
          </cell>
          <cell r="F1330">
            <v>0</v>
          </cell>
          <cell r="G1330">
            <v>0</v>
          </cell>
          <cell r="H1330">
            <v>62.38</v>
          </cell>
        </row>
        <row r="1331">
          <cell r="A1331" t="str">
            <v>00423739</v>
          </cell>
          <cell r="B1331" t="str">
            <v>JST   FLORTRED     BLACK      0000001250</v>
          </cell>
          <cell r="C1331" t="str">
            <v>Floor paint</v>
          </cell>
          <cell r="D1331">
            <v>34.83</v>
          </cell>
          <cell r="E1331">
            <v>0</v>
          </cell>
          <cell r="F1331">
            <v>0</v>
          </cell>
          <cell r="G1331">
            <v>0</v>
          </cell>
          <cell r="H1331">
            <v>34.83</v>
          </cell>
        </row>
        <row r="1332">
          <cell r="A1332" t="str">
            <v>00304865</v>
          </cell>
          <cell r="B1332" t="str">
            <v>JST   FLORTRED     CLEAR      0000001500</v>
          </cell>
          <cell r="C1332" t="str">
            <v>Floor paint</v>
          </cell>
          <cell r="D1332">
            <v>58.03</v>
          </cell>
          <cell r="E1332">
            <v>0</v>
          </cell>
          <cell r="F1332">
            <v>0</v>
          </cell>
          <cell r="G1332">
            <v>0</v>
          </cell>
          <cell r="H1332">
            <v>58.03</v>
          </cell>
        </row>
        <row r="1333">
          <cell r="A1333" t="str">
            <v>00423752</v>
          </cell>
          <cell r="B1333" t="str">
            <v>JST   FLORTRED     DARK GREEN 0000001500</v>
          </cell>
          <cell r="C1333" t="str">
            <v>Floor paint</v>
          </cell>
          <cell r="D1333">
            <v>22.63</v>
          </cell>
          <cell r="E1333">
            <v>0</v>
          </cell>
          <cell r="F1333">
            <v>0</v>
          </cell>
          <cell r="G1333">
            <v>0</v>
          </cell>
          <cell r="H1333">
            <v>22.63</v>
          </cell>
        </row>
        <row r="1334">
          <cell r="A1334" t="str">
            <v>00423754</v>
          </cell>
          <cell r="B1334" t="str">
            <v>JST   FLORTRED     SAFETY RED 0000001500</v>
          </cell>
          <cell r="C1334" t="str">
            <v>Floor paint</v>
          </cell>
          <cell r="D1334">
            <v>22.63</v>
          </cell>
          <cell r="E1334">
            <v>0</v>
          </cell>
          <cell r="F1334">
            <v>0</v>
          </cell>
          <cell r="G1334">
            <v>0</v>
          </cell>
          <cell r="H1334">
            <v>22.63</v>
          </cell>
        </row>
        <row r="1335">
          <cell r="A1335" t="str">
            <v>00423753</v>
          </cell>
          <cell r="B1335" t="str">
            <v>JST   FLORTRED     SHER GREEN 0000001500</v>
          </cell>
          <cell r="C1335" t="str">
            <v>Floor paint</v>
          </cell>
          <cell r="D1335">
            <v>22.63</v>
          </cell>
          <cell r="E1335">
            <v>0</v>
          </cell>
          <cell r="F1335">
            <v>0</v>
          </cell>
          <cell r="G1335">
            <v>0</v>
          </cell>
          <cell r="H1335">
            <v>22.63</v>
          </cell>
        </row>
        <row r="1336">
          <cell r="A1336" t="str">
            <v>00737541</v>
          </cell>
          <cell r="B1336" t="str">
            <v>JST   FULL RENDER PRIMER WHI  0000002250</v>
          </cell>
          <cell r="C1336" t="str">
            <v>EWI</v>
          </cell>
          <cell r="D1336">
            <v>72.19</v>
          </cell>
          <cell r="E1336">
            <v>0</v>
          </cell>
          <cell r="F1336">
            <v>0</v>
          </cell>
          <cell r="G1336">
            <v>0</v>
          </cell>
          <cell r="H1336">
            <v>72.19</v>
          </cell>
        </row>
        <row r="1337">
          <cell r="A1337" t="str">
            <v>00301632</v>
          </cell>
          <cell r="B1337" t="str">
            <v>JST   JONCRYL      WHITE      0000001100</v>
          </cell>
          <cell r="C1337" t="str">
            <v>Primer</v>
          </cell>
          <cell r="D1337">
            <v>7.04</v>
          </cell>
          <cell r="E1337">
            <v>0</v>
          </cell>
          <cell r="F1337">
            <v>0</v>
          </cell>
          <cell r="G1337">
            <v>0</v>
          </cell>
          <cell r="H1337">
            <v>7.04</v>
          </cell>
        </row>
        <row r="1338">
          <cell r="A1338" t="str">
            <v>00264314</v>
          </cell>
          <cell r="B1338" t="str">
            <v>JST   JONTEX HIBLD BRIL WHITE 0000002100</v>
          </cell>
          <cell r="C1338" t="str">
            <v>High Build masonry</v>
          </cell>
          <cell r="D1338">
            <v>45.33</v>
          </cell>
          <cell r="E1338">
            <v>0</v>
          </cell>
          <cell r="F1338">
            <v>0</v>
          </cell>
          <cell r="G1338">
            <v>0</v>
          </cell>
          <cell r="H1338">
            <v>45.33</v>
          </cell>
        </row>
        <row r="1339">
          <cell r="A1339" t="str">
            <v>00301872</v>
          </cell>
          <cell r="B1339" t="str">
            <v>JST   MATT W/STAIN ANTIQ PINE 0000001250</v>
          </cell>
          <cell r="C1339" t="str">
            <v>Woodstain</v>
          </cell>
          <cell r="D1339">
            <v>16.88</v>
          </cell>
          <cell r="E1339">
            <v>0</v>
          </cell>
          <cell r="F1339">
            <v>0</v>
          </cell>
          <cell r="G1339">
            <v>0</v>
          </cell>
          <cell r="H1339">
            <v>16.88</v>
          </cell>
        </row>
        <row r="1340">
          <cell r="A1340" t="str">
            <v>00301913</v>
          </cell>
          <cell r="B1340" t="str">
            <v>JST   MATT W/STAIN CLEAR      0000000750</v>
          </cell>
          <cell r="C1340" t="str">
            <v>Woodstain</v>
          </cell>
          <cell r="D1340">
            <v>7.67</v>
          </cell>
          <cell r="E1340">
            <v>0</v>
          </cell>
          <cell r="F1340">
            <v>0</v>
          </cell>
          <cell r="G1340">
            <v>0</v>
          </cell>
          <cell r="H1340">
            <v>7.67</v>
          </cell>
        </row>
        <row r="1341">
          <cell r="A1341" t="str">
            <v>00301887</v>
          </cell>
          <cell r="B1341" t="str">
            <v>JST   MATT W/STAIN TEAK       0000001250</v>
          </cell>
          <cell r="C1341" t="str">
            <v>Woodstain</v>
          </cell>
          <cell r="D1341">
            <v>16.88</v>
          </cell>
          <cell r="E1341">
            <v>0</v>
          </cell>
          <cell r="F1341">
            <v>0</v>
          </cell>
          <cell r="G1341">
            <v>0</v>
          </cell>
          <cell r="H1341">
            <v>16.88</v>
          </cell>
        </row>
        <row r="1342">
          <cell r="A1342" t="str">
            <v>00423686</v>
          </cell>
          <cell r="B1342" t="str">
            <v>JST   MATT W/STAIN TRANSPAREN 0000000738</v>
          </cell>
          <cell r="C1342" t="str">
            <v>Woodstain</v>
          </cell>
          <cell r="D1342">
            <v>12.09</v>
          </cell>
          <cell r="E1342">
            <v>0</v>
          </cell>
          <cell r="F1342">
            <v>0</v>
          </cell>
          <cell r="G1342">
            <v>0</v>
          </cell>
          <cell r="H1342">
            <v>12.09</v>
          </cell>
        </row>
        <row r="1343">
          <cell r="A1343" t="str">
            <v>00307966</v>
          </cell>
          <cell r="B1343" t="str">
            <v>JST   MATT W/STAIN YELLOW     0000001242</v>
          </cell>
          <cell r="C1343" t="str">
            <v>Woodstain</v>
          </cell>
          <cell r="D1343">
            <v>44.47</v>
          </cell>
          <cell r="E1343">
            <v>0</v>
          </cell>
          <cell r="F1343">
            <v>0</v>
          </cell>
          <cell r="G1343">
            <v>0</v>
          </cell>
          <cell r="H1343">
            <v>44.47</v>
          </cell>
        </row>
        <row r="1344">
          <cell r="A1344" t="str">
            <v>00301829</v>
          </cell>
          <cell r="B1344" t="str">
            <v>JST   MDF PRIMER   BRIL WHITE 0000001100</v>
          </cell>
          <cell r="C1344" t="str">
            <v>Primer</v>
          </cell>
          <cell r="D1344">
            <v>16.850000000000001</v>
          </cell>
          <cell r="E1344">
            <v>0</v>
          </cell>
          <cell r="F1344">
            <v>0</v>
          </cell>
          <cell r="G1344">
            <v>0</v>
          </cell>
          <cell r="H1344">
            <v>16.850000000000001</v>
          </cell>
        </row>
        <row r="1345">
          <cell r="A1345" t="str">
            <v>00301830</v>
          </cell>
          <cell r="B1345" t="str">
            <v>JST   MDF PRIMER   BRIL WHITE 0000001250</v>
          </cell>
          <cell r="C1345" t="str">
            <v>Primer</v>
          </cell>
          <cell r="D1345">
            <v>17.79</v>
          </cell>
          <cell r="E1345">
            <v>0</v>
          </cell>
          <cell r="F1345">
            <v>0</v>
          </cell>
          <cell r="G1345">
            <v>0</v>
          </cell>
          <cell r="H1345">
            <v>17.79</v>
          </cell>
        </row>
        <row r="1346">
          <cell r="A1346" t="str">
            <v>00423462</v>
          </cell>
          <cell r="B1346" t="str">
            <v>JST   PROF GLOSS   BRIL WHITE 0000000500</v>
          </cell>
          <cell r="C1346" t="str">
            <v>Solvent Gloss</v>
          </cell>
          <cell r="D1346">
            <v>5.72</v>
          </cell>
          <cell r="E1346">
            <v>0</v>
          </cell>
          <cell r="F1346">
            <v>0</v>
          </cell>
          <cell r="G1346">
            <v>0</v>
          </cell>
          <cell r="H1346">
            <v>5.3253199999999996</v>
          </cell>
        </row>
        <row r="1347">
          <cell r="A1347" t="str">
            <v>00301573</v>
          </cell>
          <cell r="B1347" t="str">
            <v>JST   PROF GLOSS   FIESTA RED 0000001500</v>
          </cell>
          <cell r="C1347" t="str">
            <v>Solvent Gloss</v>
          </cell>
          <cell r="D1347">
            <v>18.82</v>
          </cell>
          <cell r="E1347">
            <v>0</v>
          </cell>
          <cell r="F1347">
            <v>0</v>
          </cell>
          <cell r="G1347">
            <v>0</v>
          </cell>
          <cell r="H1347">
            <v>24.7</v>
          </cell>
        </row>
        <row r="1348">
          <cell r="A1348" t="str">
            <v>00423474</v>
          </cell>
          <cell r="B1348" t="str">
            <v>JST   PROF GLOSS   FIESTA RED 0000001500</v>
          </cell>
          <cell r="C1348" t="str">
            <v>Solvent Gloss</v>
          </cell>
          <cell r="D1348">
            <v>18.82</v>
          </cell>
          <cell r="E1348">
            <v>0</v>
          </cell>
          <cell r="F1348">
            <v>0</v>
          </cell>
          <cell r="G1348">
            <v>0</v>
          </cell>
          <cell r="H1348">
            <v>24.7</v>
          </cell>
        </row>
        <row r="1349">
          <cell r="A1349" t="str">
            <v>00423467</v>
          </cell>
          <cell r="B1349" t="str">
            <v>JST   PROF GLOSS   MAGNOLIA   0000001100</v>
          </cell>
          <cell r="C1349" t="str">
            <v>Solvent Gloss</v>
          </cell>
          <cell r="D1349">
            <v>9.52</v>
          </cell>
          <cell r="E1349">
            <v>0</v>
          </cell>
          <cell r="F1349">
            <v>0</v>
          </cell>
          <cell r="G1349">
            <v>0</v>
          </cell>
          <cell r="H1349">
            <v>8.89</v>
          </cell>
        </row>
        <row r="1350">
          <cell r="A1350" t="str">
            <v>00423468</v>
          </cell>
          <cell r="B1350" t="str">
            <v>JST   PROF GLOSS   POST O RED 0000001100</v>
          </cell>
          <cell r="C1350" t="str">
            <v>Solvent Gloss</v>
          </cell>
          <cell r="D1350">
            <v>9.52</v>
          </cell>
          <cell r="E1350">
            <v>0</v>
          </cell>
          <cell r="F1350">
            <v>0</v>
          </cell>
          <cell r="G1350">
            <v>0</v>
          </cell>
          <cell r="H1350">
            <v>8.89</v>
          </cell>
        </row>
        <row r="1351">
          <cell r="A1351" t="str">
            <v>00423471</v>
          </cell>
          <cell r="B1351" t="str">
            <v>JST   PROF GLOSS   POST O RED 0000001250</v>
          </cell>
          <cell r="C1351" t="str">
            <v>Solvent Gloss</v>
          </cell>
          <cell r="D1351">
            <v>12.72</v>
          </cell>
          <cell r="E1351">
            <v>0</v>
          </cell>
          <cell r="F1351">
            <v>0</v>
          </cell>
          <cell r="G1351">
            <v>0</v>
          </cell>
          <cell r="H1351">
            <v>14.82</v>
          </cell>
        </row>
        <row r="1352">
          <cell r="A1352" t="str">
            <v>00301575</v>
          </cell>
          <cell r="B1352" t="str">
            <v>JST   PROF GLOSS   PST OF RED 0000001250</v>
          </cell>
          <cell r="C1352" t="str">
            <v>Solvent Gloss</v>
          </cell>
          <cell r="D1352">
            <v>12.72</v>
          </cell>
          <cell r="E1352">
            <v>0</v>
          </cell>
          <cell r="F1352">
            <v>0</v>
          </cell>
          <cell r="G1352">
            <v>0</v>
          </cell>
          <cell r="H1352">
            <v>14.82</v>
          </cell>
        </row>
        <row r="1353">
          <cell r="A1353" t="str">
            <v>00423479</v>
          </cell>
          <cell r="B1353" t="str">
            <v>JST   PROF GLOSS   SAFF YELLO 0000001500</v>
          </cell>
          <cell r="C1353" t="str">
            <v>Solvent Gloss</v>
          </cell>
          <cell r="D1353">
            <v>18.82</v>
          </cell>
          <cell r="E1353">
            <v>0</v>
          </cell>
          <cell r="F1353">
            <v>0</v>
          </cell>
          <cell r="G1353">
            <v>0</v>
          </cell>
          <cell r="H1353">
            <v>24.7</v>
          </cell>
        </row>
        <row r="1354">
          <cell r="A1354" t="str">
            <v>00301563</v>
          </cell>
          <cell r="B1354" t="str">
            <v>JST   PROF GLOSS   SAFFRONYEL 0000001500</v>
          </cell>
          <cell r="C1354" t="str">
            <v>Solvent Gloss</v>
          </cell>
          <cell r="D1354">
            <v>18.82</v>
          </cell>
          <cell r="E1354">
            <v>0</v>
          </cell>
          <cell r="F1354">
            <v>0</v>
          </cell>
          <cell r="G1354">
            <v>0</v>
          </cell>
          <cell r="H1354">
            <v>24.7</v>
          </cell>
        </row>
        <row r="1355">
          <cell r="A1355" t="str">
            <v>00423473</v>
          </cell>
          <cell r="B1355" t="str">
            <v>JST   PROF GLOSS   SAPPHIRE   0000001500</v>
          </cell>
          <cell r="C1355" t="str">
            <v>Solvent Gloss</v>
          </cell>
          <cell r="D1355">
            <v>18.82</v>
          </cell>
          <cell r="E1355">
            <v>0</v>
          </cell>
          <cell r="F1355">
            <v>0</v>
          </cell>
          <cell r="G1355">
            <v>0</v>
          </cell>
          <cell r="H1355">
            <v>24.7</v>
          </cell>
        </row>
        <row r="1356">
          <cell r="A1356" t="str">
            <v>00423472</v>
          </cell>
          <cell r="B1356" t="str">
            <v>JST   PROF GLOSS   SAXE BLUE  0000001500</v>
          </cell>
          <cell r="C1356" t="str">
            <v>Solvent Gloss</v>
          </cell>
          <cell r="D1356">
            <v>18.82</v>
          </cell>
          <cell r="E1356">
            <v>0</v>
          </cell>
          <cell r="F1356">
            <v>0</v>
          </cell>
          <cell r="G1356">
            <v>0</v>
          </cell>
          <cell r="H1356">
            <v>24.7</v>
          </cell>
        </row>
        <row r="1357">
          <cell r="A1357" t="str">
            <v>00423477</v>
          </cell>
          <cell r="B1357" t="str">
            <v>JST   PROF GLOSS   TRAFF YELL       1500</v>
          </cell>
          <cell r="C1357" t="str">
            <v>Solvent Gloss</v>
          </cell>
          <cell r="D1357">
            <v>18.82</v>
          </cell>
          <cell r="E1357">
            <v>0</v>
          </cell>
          <cell r="F1357">
            <v>0</v>
          </cell>
          <cell r="G1357">
            <v>0</v>
          </cell>
          <cell r="H1357">
            <v>24.7</v>
          </cell>
        </row>
        <row r="1358">
          <cell r="A1358" t="str">
            <v>00301560</v>
          </cell>
          <cell r="B1358" t="str">
            <v>JST   PROF GLOSS   TRAFIC YEL 0000001500</v>
          </cell>
          <cell r="C1358" t="str">
            <v>Solvent Gloss</v>
          </cell>
          <cell r="D1358">
            <v>18.82</v>
          </cell>
          <cell r="E1358">
            <v>0</v>
          </cell>
          <cell r="F1358">
            <v>0</v>
          </cell>
          <cell r="G1358">
            <v>0</v>
          </cell>
          <cell r="H1358">
            <v>24.7</v>
          </cell>
        </row>
        <row r="1359">
          <cell r="A1359" t="str">
            <v>00301662</v>
          </cell>
          <cell r="B1359" t="str">
            <v>JST   PROF U/COAT  BRIL WHITE 0000000500</v>
          </cell>
          <cell r="C1359" t="str">
            <v>Solvent Undercoat</v>
          </cell>
          <cell r="D1359">
            <v>6.34</v>
          </cell>
          <cell r="E1359">
            <v>0</v>
          </cell>
          <cell r="F1359">
            <v>0</v>
          </cell>
          <cell r="G1359">
            <v>0</v>
          </cell>
          <cell r="H1359">
            <v>6.34</v>
          </cell>
        </row>
        <row r="1360">
          <cell r="A1360" t="str">
            <v>00301651</v>
          </cell>
          <cell r="B1360" t="str">
            <v>JST   PROF U/COAT  LIGHT GREY 0000001100</v>
          </cell>
          <cell r="C1360" t="str">
            <v>Solvent Undercoat</v>
          </cell>
          <cell r="D1360">
            <v>9.52</v>
          </cell>
          <cell r="E1360">
            <v>0</v>
          </cell>
          <cell r="F1360">
            <v>0</v>
          </cell>
          <cell r="G1360">
            <v>0</v>
          </cell>
          <cell r="H1360">
            <v>9.52</v>
          </cell>
        </row>
        <row r="1361">
          <cell r="A1361" t="str">
            <v>00301638</v>
          </cell>
          <cell r="B1361" t="str">
            <v>JST   PROF U/COAT  MID GREY   0000001100</v>
          </cell>
          <cell r="C1361" t="str">
            <v>Solvent Undercoat</v>
          </cell>
          <cell r="D1361">
            <v>9.52</v>
          </cell>
          <cell r="E1361">
            <v>0</v>
          </cell>
          <cell r="F1361">
            <v>0</v>
          </cell>
          <cell r="G1361">
            <v>0</v>
          </cell>
          <cell r="H1361">
            <v>9.52</v>
          </cell>
        </row>
        <row r="1362">
          <cell r="A1362" t="str">
            <v>00423687</v>
          </cell>
          <cell r="B1362" t="str">
            <v>JST   QD W/STN SAT TRANSPAREN 0000000738</v>
          </cell>
          <cell r="C1362" t="str">
            <v>Woodstain</v>
          </cell>
          <cell r="D1362">
            <v>13.25</v>
          </cell>
          <cell r="E1362">
            <v>0</v>
          </cell>
          <cell r="F1362">
            <v>0</v>
          </cell>
          <cell r="G1362">
            <v>0</v>
          </cell>
          <cell r="H1362">
            <v>13.25</v>
          </cell>
        </row>
        <row r="1363">
          <cell r="A1363" t="str">
            <v>00301999</v>
          </cell>
          <cell r="B1363" t="str">
            <v>JST   QD WOODSTAIN CLEAR      0000000750</v>
          </cell>
          <cell r="C1363" t="str">
            <v>Woodstain</v>
          </cell>
          <cell r="D1363">
            <v>8.3800000000000008</v>
          </cell>
          <cell r="E1363">
            <v>0</v>
          </cell>
          <cell r="F1363">
            <v>0</v>
          </cell>
          <cell r="G1363">
            <v>0</v>
          </cell>
          <cell r="H1363">
            <v>8.3800000000000008</v>
          </cell>
        </row>
        <row r="1364">
          <cell r="A1364" t="str">
            <v>00301987</v>
          </cell>
          <cell r="B1364" t="str">
            <v>JST   QD WOODSTAIN EBONY      0000000750</v>
          </cell>
          <cell r="C1364" t="str">
            <v>Woodstain</v>
          </cell>
          <cell r="D1364">
            <v>8.3800000000000008</v>
          </cell>
          <cell r="E1364">
            <v>0</v>
          </cell>
          <cell r="F1364">
            <v>0</v>
          </cell>
          <cell r="G1364">
            <v>0</v>
          </cell>
          <cell r="H1364">
            <v>8.3800000000000008</v>
          </cell>
        </row>
        <row r="1365">
          <cell r="A1365" t="str">
            <v>00302002</v>
          </cell>
          <cell r="B1365" t="str">
            <v>JST   QD WOODSTAIN PINE       0000001250</v>
          </cell>
          <cell r="C1365" t="str">
            <v>Woodstain</v>
          </cell>
          <cell r="D1365">
            <v>23.03</v>
          </cell>
          <cell r="E1365">
            <v>0</v>
          </cell>
          <cell r="F1365">
            <v>0</v>
          </cell>
          <cell r="G1365">
            <v>0</v>
          </cell>
          <cell r="H1365">
            <v>23.03</v>
          </cell>
        </row>
        <row r="1366">
          <cell r="A1366" t="str">
            <v>00301692</v>
          </cell>
          <cell r="B1366" t="str">
            <v>JST   S/SLD PLIOLI COUNTY CRM 0000001500</v>
          </cell>
          <cell r="C1366" t="str">
            <v>Pliolite</v>
          </cell>
          <cell r="D1366">
            <v>23.07</v>
          </cell>
          <cell r="E1366">
            <v>0</v>
          </cell>
          <cell r="F1366">
            <v>0</v>
          </cell>
          <cell r="G1366">
            <v>0</v>
          </cell>
          <cell r="H1366">
            <v>23.07</v>
          </cell>
        </row>
        <row r="1367">
          <cell r="A1367" t="str">
            <v>00301689</v>
          </cell>
          <cell r="B1367" t="str">
            <v>JST   S/SLD PLIOLI PARCHMENT  0000001500</v>
          </cell>
          <cell r="C1367" t="str">
            <v>Pliolite</v>
          </cell>
          <cell r="D1367">
            <v>23.07</v>
          </cell>
          <cell r="E1367">
            <v>0</v>
          </cell>
          <cell r="F1367">
            <v>0</v>
          </cell>
          <cell r="G1367">
            <v>0</v>
          </cell>
          <cell r="H1367">
            <v>23.07</v>
          </cell>
        </row>
        <row r="1368">
          <cell r="A1368" t="str">
            <v>00301530</v>
          </cell>
          <cell r="B1368" t="str">
            <v>JST   S/SLD SMOOTH ANTIQUE    0000001500</v>
          </cell>
          <cell r="C1368" t="str">
            <v>Smooth masonry</v>
          </cell>
          <cell r="D1368">
            <v>17.84</v>
          </cell>
          <cell r="E1368">
            <v>0</v>
          </cell>
          <cell r="F1368">
            <v>0</v>
          </cell>
          <cell r="G1368">
            <v>0</v>
          </cell>
          <cell r="H1368">
            <v>17.84</v>
          </cell>
        </row>
        <row r="1369">
          <cell r="A1369" t="str">
            <v>00423203</v>
          </cell>
          <cell r="B1369" t="str">
            <v>JST   S/SLD SMOOTH ANTIQUE    0000001500</v>
          </cell>
          <cell r="C1369" t="str">
            <v>Smooth masonry</v>
          </cell>
          <cell r="D1369">
            <v>17.84</v>
          </cell>
          <cell r="E1369">
            <v>0</v>
          </cell>
          <cell r="F1369">
            <v>0</v>
          </cell>
          <cell r="G1369">
            <v>0</v>
          </cell>
          <cell r="H1369">
            <v>17.84</v>
          </cell>
        </row>
        <row r="1370">
          <cell r="A1370" t="str">
            <v>00301531</v>
          </cell>
          <cell r="B1370" t="str">
            <v>JST   S/SLD SMOOTH BRICK      0000001500</v>
          </cell>
          <cell r="C1370" t="str">
            <v>Smooth masonry</v>
          </cell>
          <cell r="D1370">
            <v>17.84</v>
          </cell>
          <cell r="E1370">
            <v>0</v>
          </cell>
          <cell r="F1370">
            <v>0</v>
          </cell>
          <cell r="G1370">
            <v>0</v>
          </cell>
          <cell r="H1370">
            <v>17.84</v>
          </cell>
        </row>
        <row r="1371">
          <cell r="A1371" t="str">
            <v>00301528</v>
          </cell>
          <cell r="B1371" t="str">
            <v>JST   S/SLD SMOOTH COUNTY CRM 0000001500</v>
          </cell>
          <cell r="C1371" t="str">
            <v>Smooth masonry</v>
          </cell>
          <cell r="D1371">
            <v>17.84</v>
          </cell>
          <cell r="E1371">
            <v>0</v>
          </cell>
          <cell r="F1371">
            <v>0</v>
          </cell>
          <cell r="G1371">
            <v>0</v>
          </cell>
          <cell r="H1371">
            <v>17.84</v>
          </cell>
        </row>
        <row r="1372">
          <cell r="A1372" t="str">
            <v>00423207</v>
          </cell>
          <cell r="B1372" t="str">
            <v>JST   S/SLD SMOOTH IVORY      0000001500</v>
          </cell>
          <cell r="C1372" t="str">
            <v>Smooth masonry</v>
          </cell>
          <cell r="D1372">
            <v>17.84</v>
          </cell>
          <cell r="E1372">
            <v>0</v>
          </cell>
          <cell r="F1372">
            <v>0</v>
          </cell>
          <cell r="G1372">
            <v>0</v>
          </cell>
          <cell r="H1372">
            <v>17.84</v>
          </cell>
        </row>
        <row r="1373">
          <cell r="A1373" t="str">
            <v>00301529</v>
          </cell>
          <cell r="B1373" t="str">
            <v>JST   S/SLD SMOOTH MUSHROOM   0000001500</v>
          </cell>
          <cell r="C1373" t="str">
            <v>Smooth masonry</v>
          </cell>
          <cell r="D1373">
            <v>17.84</v>
          </cell>
          <cell r="E1373">
            <v>0</v>
          </cell>
          <cell r="F1373">
            <v>0</v>
          </cell>
          <cell r="G1373">
            <v>0</v>
          </cell>
          <cell r="H1373">
            <v>17.84</v>
          </cell>
        </row>
        <row r="1374">
          <cell r="A1374" t="str">
            <v>00301696</v>
          </cell>
          <cell r="B1374" t="str">
            <v>JST   S/SLD W/SEAL CLEAR      0000001500</v>
          </cell>
          <cell r="C1374" t="str">
            <v>Water seal</v>
          </cell>
          <cell r="D1374">
            <v>18.3</v>
          </cell>
          <cell r="E1374">
            <v>0</v>
          </cell>
          <cell r="F1374">
            <v>0</v>
          </cell>
          <cell r="G1374">
            <v>0</v>
          </cell>
          <cell r="H1374">
            <v>18.3</v>
          </cell>
        </row>
        <row r="1375">
          <cell r="A1375" t="str">
            <v>00301935</v>
          </cell>
          <cell r="B1375" t="str">
            <v>JST   SATIN W/STN  CLEAR      0000000750</v>
          </cell>
          <cell r="C1375" t="str">
            <v>Woodstain</v>
          </cell>
          <cell r="D1375">
            <v>6.58</v>
          </cell>
          <cell r="E1375">
            <v>0</v>
          </cell>
          <cell r="F1375">
            <v>0</v>
          </cell>
          <cell r="G1375">
            <v>0</v>
          </cell>
          <cell r="H1375">
            <v>6.58</v>
          </cell>
        </row>
        <row r="1376">
          <cell r="A1376" t="str">
            <v>00301937</v>
          </cell>
          <cell r="B1376" t="str">
            <v>JST   SATIN W/STN  CLEAR      0000001500</v>
          </cell>
          <cell r="C1376" t="str">
            <v>Woodstain</v>
          </cell>
          <cell r="D1376">
            <v>29.65</v>
          </cell>
          <cell r="E1376">
            <v>0</v>
          </cell>
          <cell r="F1376">
            <v>0</v>
          </cell>
          <cell r="G1376">
            <v>0</v>
          </cell>
          <cell r="H1376">
            <v>29.65</v>
          </cell>
        </row>
        <row r="1377">
          <cell r="A1377" t="str">
            <v>00301950</v>
          </cell>
          <cell r="B1377" t="str">
            <v>JST   SATIN W/STN  EBONY      0000000750</v>
          </cell>
          <cell r="C1377" t="str">
            <v>Woodstain</v>
          </cell>
          <cell r="D1377">
            <v>6.58</v>
          </cell>
          <cell r="E1377">
            <v>0</v>
          </cell>
          <cell r="F1377">
            <v>0</v>
          </cell>
          <cell r="G1377">
            <v>0</v>
          </cell>
          <cell r="H1377">
            <v>6.58</v>
          </cell>
        </row>
        <row r="1378">
          <cell r="A1378" t="str">
            <v>00301962</v>
          </cell>
          <cell r="B1378" t="str">
            <v>JST   SATIN W/STN  JACOB OAK  0000000750</v>
          </cell>
          <cell r="C1378" t="str">
            <v>Woodstain</v>
          </cell>
          <cell r="D1378">
            <v>6.58</v>
          </cell>
          <cell r="E1378">
            <v>0</v>
          </cell>
          <cell r="F1378">
            <v>0</v>
          </cell>
          <cell r="G1378">
            <v>0</v>
          </cell>
          <cell r="H1378">
            <v>6.58</v>
          </cell>
        </row>
        <row r="1379">
          <cell r="A1379" t="str">
            <v>00301963</v>
          </cell>
          <cell r="B1379" t="str">
            <v>JST   SATIN W/STN  JACOB OAK  0000001250</v>
          </cell>
          <cell r="C1379" t="str">
            <v>Woodstain</v>
          </cell>
          <cell r="D1379">
            <v>16.88</v>
          </cell>
          <cell r="E1379">
            <v>0</v>
          </cell>
          <cell r="F1379">
            <v>0</v>
          </cell>
          <cell r="G1379">
            <v>0</v>
          </cell>
          <cell r="H1379">
            <v>16.88</v>
          </cell>
        </row>
        <row r="1380">
          <cell r="A1380" t="str">
            <v>00307968</v>
          </cell>
          <cell r="B1380" t="str">
            <v>JST   SATIN W/STN  TRANS      0000001242</v>
          </cell>
          <cell r="C1380" t="str">
            <v>Woodstain</v>
          </cell>
          <cell r="D1380">
            <v>52.95</v>
          </cell>
          <cell r="E1380">
            <v>0</v>
          </cell>
          <cell r="F1380">
            <v>0</v>
          </cell>
          <cell r="G1380">
            <v>0</v>
          </cell>
          <cell r="H1380">
            <v>52.95</v>
          </cell>
        </row>
        <row r="1381">
          <cell r="A1381" t="str">
            <v>00302004</v>
          </cell>
          <cell r="B1381" t="str">
            <v>JST   SHED &amp; FENCE LIGHTBROWN 0000001500</v>
          </cell>
          <cell r="C1381" t="str">
            <v>Shed and fence</v>
          </cell>
          <cell r="D1381">
            <v>8.2100000000000009</v>
          </cell>
          <cell r="E1381">
            <v>0</v>
          </cell>
          <cell r="F1381">
            <v>0</v>
          </cell>
          <cell r="G1381">
            <v>0</v>
          </cell>
          <cell r="H1381">
            <v>7.6435100000000009</v>
          </cell>
        </row>
        <row r="1382">
          <cell r="A1382" t="str">
            <v>00447548</v>
          </cell>
          <cell r="B1382" t="str">
            <v>JST   STOPMOULD    BRIL WHITE 0000001500</v>
          </cell>
          <cell r="C1382" t="str">
            <v>Anti-mould</v>
          </cell>
          <cell r="D1382">
            <v>28.6</v>
          </cell>
          <cell r="E1382">
            <v>0</v>
          </cell>
          <cell r="F1382">
            <v>0</v>
          </cell>
          <cell r="G1382">
            <v>0</v>
          </cell>
          <cell r="H1382">
            <v>24</v>
          </cell>
        </row>
        <row r="1383">
          <cell r="A1383" t="str">
            <v>00447549</v>
          </cell>
          <cell r="B1383" t="str">
            <v>JST   STOPMOULD    MAGNOLIA   0000001500</v>
          </cell>
          <cell r="C1383" t="str">
            <v>Anti-mould</v>
          </cell>
          <cell r="D1383">
            <v>28.55</v>
          </cell>
          <cell r="E1383">
            <v>0</v>
          </cell>
          <cell r="F1383">
            <v>0</v>
          </cell>
          <cell r="G1383">
            <v>0</v>
          </cell>
          <cell r="H1383">
            <v>24</v>
          </cell>
        </row>
        <row r="1384">
          <cell r="A1384" t="str">
            <v>00730430</v>
          </cell>
          <cell r="B1384" t="str">
            <v>JST   TEAK OIL                0000000500</v>
          </cell>
          <cell r="C1384" t="str">
            <v>Oil</v>
          </cell>
          <cell r="D1384">
            <v>5.81</v>
          </cell>
          <cell r="E1384">
            <v>0</v>
          </cell>
          <cell r="F1384">
            <v>0</v>
          </cell>
          <cell r="G1384">
            <v>0</v>
          </cell>
          <cell r="H1384">
            <v>5.81</v>
          </cell>
        </row>
        <row r="1385">
          <cell r="A1385" t="str">
            <v>00304283</v>
          </cell>
          <cell r="B1385" t="str">
            <v>JST   ULTRA PR/SLR BRIL WHITE 0000001100</v>
          </cell>
          <cell r="C1385" t="str">
            <v>Primer</v>
          </cell>
          <cell r="D1385">
            <v>6.32</v>
          </cell>
          <cell r="E1385">
            <v>0</v>
          </cell>
          <cell r="F1385">
            <v>0</v>
          </cell>
          <cell r="G1385">
            <v>0</v>
          </cell>
          <cell r="H1385">
            <v>6.32</v>
          </cell>
        </row>
        <row r="1386">
          <cell r="A1386" t="str">
            <v>00307552</v>
          </cell>
          <cell r="B1386" t="str">
            <v>JST   ULTRA PRIM&amp;FINISH BWHI  0000002100</v>
          </cell>
          <cell r="C1386" t="str">
            <v>Primer</v>
          </cell>
          <cell r="D1386">
            <v>69.25</v>
          </cell>
          <cell r="E1386">
            <v>0</v>
          </cell>
          <cell r="F1386">
            <v>0</v>
          </cell>
          <cell r="G1386">
            <v>0</v>
          </cell>
          <cell r="H1386">
            <v>69.25</v>
          </cell>
        </row>
        <row r="1387">
          <cell r="A1387" t="str">
            <v>00305860</v>
          </cell>
          <cell r="B1387" t="str">
            <v>JST   UNI PRIMER   BRIL WHITE 0000001250</v>
          </cell>
          <cell r="C1387" t="str">
            <v>Primer</v>
          </cell>
          <cell r="D1387">
            <v>27.19</v>
          </cell>
          <cell r="E1387">
            <v>0</v>
          </cell>
          <cell r="F1387">
            <v>0</v>
          </cell>
          <cell r="G1387">
            <v>0</v>
          </cell>
          <cell r="H1387">
            <v>27.19</v>
          </cell>
        </row>
        <row r="1388">
          <cell r="A1388" t="str">
            <v>00305861</v>
          </cell>
          <cell r="B1388" t="str">
            <v>JST   UNI PRIMER   BRIL WHITE 0000001500</v>
          </cell>
          <cell r="C1388" t="str">
            <v>Primer</v>
          </cell>
          <cell r="D1388">
            <v>28.74</v>
          </cell>
          <cell r="E1388">
            <v>0</v>
          </cell>
          <cell r="F1388">
            <v>0</v>
          </cell>
          <cell r="G1388">
            <v>0</v>
          </cell>
          <cell r="H1388">
            <v>28.74</v>
          </cell>
        </row>
        <row r="1389">
          <cell r="A1389" t="str">
            <v>00305856</v>
          </cell>
          <cell r="B1389" t="str">
            <v>JST   UNI PRIMER   RED OXIDE  0000001100</v>
          </cell>
          <cell r="C1389" t="str">
            <v>Primer</v>
          </cell>
          <cell r="D1389">
            <v>16.010000000000002</v>
          </cell>
          <cell r="E1389">
            <v>0</v>
          </cell>
          <cell r="F1389">
            <v>0</v>
          </cell>
          <cell r="G1389">
            <v>0</v>
          </cell>
          <cell r="H1389">
            <v>16.010000000000002</v>
          </cell>
        </row>
        <row r="1390">
          <cell r="A1390" t="str">
            <v>00301482</v>
          </cell>
          <cell r="B1390" t="str">
            <v>JST   V/SOFT SHEEN MAGNOLIA   0000001250</v>
          </cell>
          <cell r="C1390" t="str">
            <v>Soft Sheen</v>
          </cell>
          <cell r="D1390">
            <v>11.19</v>
          </cell>
          <cell r="E1390">
            <v>0</v>
          </cell>
          <cell r="F1390">
            <v>0</v>
          </cell>
          <cell r="G1390">
            <v>0</v>
          </cell>
          <cell r="H1390">
            <v>7.78</v>
          </cell>
        </row>
        <row r="1391">
          <cell r="A1391" t="str">
            <v>00301723</v>
          </cell>
          <cell r="B1391" t="str">
            <v>JST   VINYL SILK   BRIL WHITE 0000001100</v>
          </cell>
          <cell r="C1391" t="str">
            <v>Vinyl Silk</v>
          </cell>
          <cell r="D1391">
            <v>9.31</v>
          </cell>
          <cell r="E1391">
            <v>0</v>
          </cell>
          <cell r="F1391">
            <v>0</v>
          </cell>
          <cell r="G1391">
            <v>0</v>
          </cell>
          <cell r="H1391">
            <v>9.31</v>
          </cell>
        </row>
        <row r="1392">
          <cell r="A1392" t="str">
            <v>00301724</v>
          </cell>
          <cell r="B1392" t="str">
            <v>JST   VINYL SILK   BRIL WHITE 0000001250</v>
          </cell>
          <cell r="C1392" t="str">
            <v>Vinyl Silk</v>
          </cell>
          <cell r="D1392">
            <v>10.32</v>
          </cell>
          <cell r="E1392">
            <v>0</v>
          </cell>
          <cell r="F1392">
            <v>0</v>
          </cell>
          <cell r="G1392">
            <v>0</v>
          </cell>
          <cell r="H1392">
            <v>7.6679999999999993</v>
          </cell>
        </row>
        <row r="1393">
          <cell r="A1393" t="str">
            <v>00301718</v>
          </cell>
          <cell r="B1393" t="str">
            <v>JST   VINYL SILK   MAGNOLIA   0000001250</v>
          </cell>
          <cell r="C1393" t="str">
            <v>Vinyl Silk</v>
          </cell>
          <cell r="D1393">
            <v>11.46</v>
          </cell>
          <cell r="E1393">
            <v>0</v>
          </cell>
          <cell r="F1393">
            <v>0</v>
          </cell>
          <cell r="G1393">
            <v>0</v>
          </cell>
          <cell r="H1393">
            <v>10.199999999999999</v>
          </cell>
        </row>
        <row r="1394">
          <cell r="A1394" t="str">
            <v>00423688</v>
          </cell>
          <cell r="B1394" t="str">
            <v>JST   W/STAIN SAT  TRANSPAREN 0000000738</v>
          </cell>
          <cell r="C1394" t="str">
            <v>Woodstain</v>
          </cell>
          <cell r="D1394">
            <v>14.11</v>
          </cell>
          <cell r="E1394">
            <v>0</v>
          </cell>
          <cell r="F1394">
            <v>0</v>
          </cell>
          <cell r="G1394">
            <v>0</v>
          </cell>
          <cell r="H1394">
            <v>14.11</v>
          </cell>
        </row>
        <row r="1395">
          <cell r="A1395" t="str">
            <v>00301635</v>
          </cell>
          <cell r="B1395" t="str">
            <v>JST   WOOD PRIMER  WHITE      0000001100</v>
          </cell>
          <cell r="C1395" t="str">
            <v>Primer</v>
          </cell>
          <cell r="D1395">
            <v>15.54</v>
          </cell>
          <cell r="E1395">
            <v>0</v>
          </cell>
          <cell r="F1395">
            <v>0</v>
          </cell>
          <cell r="G1395">
            <v>0</v>
          </cell>
          <cell r="H1395">
            <v>15.54</v>
          </cell>
        </row>
        <row r="1396">
          <cell r="A1396" t="str">
            <v>00301637</v>
          </cell>
          <cell r="B1396" t="str">
            <v>JST   WOOD PRIMER  WHITE      0000001500</v>
          </cell>
          <cell r="C1396" t="str">
            <v>Primer</v>
          </cell>
          <cell r="D1396">
            <v>17.53</v>
          </cell>
          <cell r="E1396">
            <v>0</v>
          </cell>
          <cell r="F1396">
            <v>0</v>
          </cell>
          <cell r="G1396">
            <v>0</v>
          </cell>
          <cell r="H1396">
            <v>17.53</v>
          </cell>
        </row>
        <row r="1397">
          <cell r="A1397" t="str">
            <v>00421700</v>
          </cell>
          <cell r="B1397" t="str">
            <v>JST  STAINAWAY BAS L         0711001250</v>
          </cell>
          <cell r="C1397" t="str">
            <v>Stainaway</v>
          </cell>
          <cell r="D1397">
            <v>33.03</v>
          </cell>
          <cell r="E1397">
            <v>0</v>
          </cell>
          <cell r="F1397">
            <v>0</v>
          </cell>
          <cell r="G1397">
            <v>0</v>
          </cell>
          <cell r="H1397">
            <v>33.03</v>
          </cell>
        </row>
        <row r="1398">
          <cell r="A1398" t="str">
            <v>00422617</v>
          </cell>
          <cell r="B1398" t="str">
            <v>JST AIR PURE BRIL WHITE       000001500</v>
          </cell>
          <cell r="C1398" t="str">
            <v>Airpure</v>
          </cell>
          <cell r="D1398">
            <v>80.38</v>
          </cell>
          <cell r="E1398">
            <v>0</v>
          </cell>
          <cell r="F1398">
            <v>0</v>
          </cell>
          <cell r="G1398">
            <v>0</v>
          </cell>
          <cell r="H1398">
            <v>80.38</v>
          </cell>
        </row>
        <row r="1399">
          <cell r="A1399" t="str">
            <v>00447293</v>
          </cell>
          <cell r="B1399" t="str">
            <v>JST CLEAN MAT UPGR BAS L      0711001100</v>
          </cell>
          <cell r="C1399" t="str">
            <v>Cleanable Matt</v>
          </cell>
          <cell r="D1399">
            <v>15.16</v>
          </cell>
          <cell r="E1399">
            <v>0</v>
          </cell>
          <cell r="F1399">
            <v>0</v>
          </cell>
          <cell r="G1399">
            <v>0</v>
          </cell>
          <cell r="H1399">
            <v>15.16</v>
          </cell>
        </row>
        <row r="1400">
          <cell r="A1400" t="str">
            <v>00447295</v>
          </cell>
          <cell r="B1400" t="str">
            <v>JST CLEAN MAT UPGR BAS L      0711001250</v>
          </cell>
          <cell r="C1400" t="str">
            <v>Cleanable Matt</v>
          </cell>
          <cell r="D1400">
            <v>30.66</v>
          </cell>
          <cell r="E1400">
            <v>0</v>
          </cell>
          <cell r="F1400">
            <v>0</v>
          </cell>
          <cell r="G1400">
            <v>0</v>
          </cell>
          <cell r="H1400">
            <v>30.66</v>
          </cell>
        </row>
        <row r="1401">
          <cell r="A1401" t="str">
            <v>00447298</v>
          </cell>
          <cell r="B1401" t="str">
            <v>JST CLEAN MAT UPGR BAS L      0711001500</v>
          </cell>
          <cell r="C1401" t="str">
            <v>Cleanable Matt</v>
          </cell>
          <cell r="D1401">
            <v>55.8</v>
          </cell>
          <cell r="E1401">
            <v>0</v>
          </cell>
          <cell r="F1401">
            <v>0</v>
          </cell>
          <cell r="G1401">
            <v>0</v>
          </cell>
          <cell r="H1401">
            <v>55.8</v>
          </cell>
        </row>
        <row r="1402">
          <cell r="A1402" t="str">
            <v>00447294</v>
          </cell>
          <cell r="B1402" t="str">
            <v>JST CLEAN MAT UPGR BAS Z      0071001231</v>
          </cell>
          <cell r="C1402" t="str">
            <v>Cleanable Matt</v>
          </cell>
          <cell r="D1402">
            <v>30.66</v>
          </cell>
          <cell r="E1402">
            <v>0</v>
          </cell>
          <cell r="F1402">
            <v>0</v>
          </cell>
          <cell r="G1402">
            <v>0</v>
          </cell>
          <cell r="H1402">
            <v>30.66</v>
          </cell>
        </row>
        <row r="1403">
          <cell r="A1403" t="str">
            <v>00447297</v>
          </cell>
          <cell r="B1403" t="str">
            <v>JST CLEAN MAT UPGR BAS Z      0071001462</v>
          </cell>
          <cell r="C1403" t="str">
            <v>Cleanable Matt</v>
          </cell>
          <cell r="D1403">
            <v>55.8</v>
          </cell>
          <cell r="E1403">
            <v>0</v>
          </cell>
          <cell r="F1403">
            <v>0</v>
          </cell>
          <cell r="G1403">
            <v>0</v>
          </cell>
          <cell r="H1403">
            <v>55.8</v>
          </cell>
        </row>
        <row r="1404">
          <cell r="A1404" t="str">
            <v>00447299</v>
          </cell>
          <cell r="B1404" t="str">
            <v>JST CLEAN MAT UPGR BRIL WHITE 7000001500</v>
          </cell>
          <cell r="C1404" t="str">
            <v>Cleanable Matt</v>
          </cell>
          <cell r="D1404">
            <v>39.880000000000003</v>
          </cell>
          <cell r="E1404">
            <v>0</v>
          </cell>
          <cell r="F1404">
            <v>0</v>
          </cell>
          <cell r="G1404">
            <v>0</v>
          </cell>
          <cell r="H1404">
            <v>31.9</v>
          </cell>
        </row>
        <row r="1405">
          <cell r="A1405" t="str">
            <v>00447301</v>
          </cell>
          <cell r="B1405" t="str">
            <v>JST CLEAN MAT UPGR BRIL WHITE 7000002100</v>
          </cell>
          <cell r="C1405" t="str">
            <v>Cleanable Matt</v>
          </cell>
          <cell r="D1405">
            <v>75.760000000000005</v>
          </cell>
          <cell r="E1405">
            <v>0</v>
          </cell>
          <cell r="F1405">
            <v>0</v>
          </cell>
          <cell r="G1405">
            <v>0</v>
          </cell>
          <cell r="H1405">
            <v>54.24</v>
          </cell>
        </row>
        <row r="1406">
          <cell r="A1406" t="str">
            <v>00384427</v>
          </cell>
          <cell r="B1406" t="str">
            <v>JST SILICONE ENH PRIMER WHITE       1500</v>
          </cell>
          <cell r="C1406" t="str">
            <v>EWI</v>
          </cell>
          <cell r="D1406">
            <v>16.940000000000001</v>
          </cell>
          <cell r="E1406">
            <v>0</v>
          </cell>
          <cell r="F1406">
            <v>0</v>
          </cell>
          <cell r="G1406">
            <v>0</v>
          </cell>
          <cell r="H1406">
            <v>16.940000000000001</v>
          </cell>
        </row>
        <row r="1407">
          <cell r="A1407" t="str">
            <v>00421704</v>
          </cell>
          <cell r="B1407" t="str">
            <v>JST STAINAWAY BAS L           0711002100</v>
          </cell>
          <cell r="C1407" t="str">
            <v>Stainaway</v>
          </cell>
          <cell r="D1407">
            <v>114.8</v>
          </cell>
          <cell r="E1407">
            <v>0</v>
          </cell>
          <cell r="F1407">
            <v>0</v>
          </cell>
          <cell r="G1407">
            <v>0</v>
          </cell>
          <cell r="H1407">
            <v>114.8</v>
          </cell>
        </row>
        <row r="1408">
          <cell r="A1408" t="str">
            <v>00723497</v>
          </cell>
          <cell r="B1408" t="str">
            <v>K     BIRDCAGE     7" FRAME   PLASTICHAN</v>
          </cell>
          <cell r="C1408" t="str">
            <v>Roller</v>
          </cell>
          <cell r="D1408">
            <v>6.51</v>
          </cell>
          <cell r="E1408">
            <v>0</v>
          </cell>
          <cell r="F1408">
            <v>0</v>
          </cell>
          <cell r="G1408">
            <v>0</v>
          </cell>
          <cell r="H1408">
            <v>6.51</v>
          </cell>
        </row>
        <row r="1409">
          <cell r="A1409" t="str">
            <v>00633525</v>
          </cell>
          <cell r="B1409" t="str">
            <v>KNAUF AIRLESS      BACKING    470359</v>
          </cell>
          <cell r="C1409" t="str">
            <v>Knauf</v>
          </cell>
          <cell r="D1409">
            <v>43.77</v>
          </cell>
          <cell r="E1409">
            <v>0</v>
          </cell>
          <cell r="F1409">
            <v>0</v>
          </cell>
          <cell r="G1409">
            <v>0</v>
          </cell>
          <cell r="H1409">
            <v>43.77</v>
          </cell>
        </row>
        <row r="1410">
          <cell r="A1410" t="str">
            <v>00646920</v>
          </cell>
          <cell r="B1410" t="str">
            <v>KNAUF AQUAPANEL    EXT JOINT  0000002200</v>
          </cell>
          <cell r="C1410" t="str">
            <v>Knauf</v>
          </cell>
          <cell r="D1410">
            <v>142.12</v>
          </cell>
          <cell r="E1410">
            <v>0</v>
          </cell>
          <cell r="F1410">
            <v>0</v>
          </cell>
          <cell r="G1410">
            <v>0</v>
          </cell>
          <cell r="H1410">
            <v>142.12</v>
          </cell>
        </row>
        <row r="1411">
          <cell r="A1411" t="str">
            <v>00646922</v>
          </cell>
          <cell r="B1411" t="str">
            <v>KNAUF AQUAPANEL    INT SKIM   0000002250</v>
          </cell>
          <cell r="C1411" t="str">
            <v>Knauf</v>
          </cell>
          <cell r="D1411">
            <v>178.48</v>
          </cell>
          <cell r="E1411">
            <v>0</v>
          </cell>
          <cell r="F1411">
            <v>0</v>
          </cell>
          <cell r="G1411">
            <v>0</v>
          </cell>
          <cell r="H1411">
            <v>178.48</v>
          </cell>
        </row>
        <row r="1412">
          <cell r="A1412" t="str">
            <v>00646921</v>
          </cell>
          <cell r="B1412" t="str">
            <v>KNAUF AQUAPANEL IN JOINT TAPE 20MX48MM</v>
          </cell>
          <cell r="C1412" t="str">
            <v>Knauf</v>
          </cell>
          <cell r="D1412">
            <v>14.63</v>
          </cell>
          <cell r="E1412">
            <v>0</v>
          </cell>
          <cell r="F1412">
            <v>0</v>
          </cell>
          <cell r="G1412">
            <v>0</v>
          </cell>
          <cell r="H1412">
            <v>14.63</v>
          </cell>
        </row>
        <row r="1413">
          <cell r="A1413" t="str">
            <v>00852442</v>
          </cell>
          <cell r="B1413" t="str">
            <v>KNAUF CAVANNA SPEC EQUALISER  0000002125</v>
          </cell>
          <cell r="C1413" t="str">
            <v>Knauf</v>
          </cell>
          <cell r="D1413">
            <v>232.35</v>
          </cell>
          <cell r="E1413">
            <v>0</v>
          </cell>
          <cell r="F1413">
            <v>0</v>
          </cell>
          <cell r="G1413">
            <v>0</v>
          </cell>
          <cell r="H1413">
            <v>232.35</v>
          </cell>
        </row>
        <row r="1414">
          <cell r="A1414" t="str">
            <v>00737323</v>
          </cell>
          <cell r="B1414" t="str">
            <v>KNAUF EASY PLASTER            0000001250</v>
          </cell>
          <cell r="C1414" t="str">
            <v>Knauf</v>
          </cell>
          <cell r="D1414">
            <v>15.15</v>
          </cell>
          <cell r="E1414">
            <v>0</v>
          </cell>
          <cell r="F1414">
            <v>0</v>
          </cell>
          <cell r="G1414">
            <v>0</v>
          </cell>
          <cell r="H1414">
            <v>15.15</v>
          </cell>
        </row>
        <row r="1415">
          <cell r="A1415" t="str">
            <v>00737324</v>
          </cell>
          <cell r="B1415" t="str">
            <v>KNAUF EASY PLASTER            0000001600</v>
          </cell>
          <cell r="C1415" t="str">
            <v>Knauf</v>
          </cell>
          <cell r="D1415">
            <v>29.38</v>
          </cell>
          <cell r="E1415">
            <v>0</v>
          </cell>
          <cell r="F1415">
            <v>0</v>
          </cell>
          <cell r="G1415">
            <v>0</v>
          </cell>
          <cell r="H1415">
            <v>29.38</v>
          </cell>
        </row>
        <row r="1416">
          <cell r="A1416" t="str">
            <v>00611072</v>
          </cell>
          <cell r="B1416" t="str">
            <v>KNAUF FIBA TAPE    153M       493670</v>
          </cell>
          <cell r="C1416" t="str">
            <v>Knauf</v>
          </cell>
          <cell r="D1416">
            <v>9.23</v>
          </cell>
          <cell r="E1416">
            <v>0</v>
          </cell>
          <cell r="F1416">
            <v>0</v>
          </cell>
          <cell r="G1416">
            <v>0</v>
          </cell>
          <cell r="H1416">
            <v>9.23</v>
          </cell>
        </row>
        <row r="1417">
          <cell r="A1417" t="str">
            <v>00611138</v>
          </cell>
          <cell r="B1417" t="str">
            <v>KNAUF FILL N FINIS PREMIUM 60 0000002100</v>
          </cell>
          <cell r="C1417" t="str">
            <v>Knauf</v>
          </cell>
          <cell r="D1417">
            <v>25.62</v>
          </cell>
          <cell r="E1417">
            <v>0</v>
          </cell>
          <cell r="F1417">
            <v>0</v>
          </cell>
          <cell r="G1417">
            <v>0</v>
          </cell>
          <cell r="H1417">
            <v>25.62</v>
          </cell>
        </row>
        <row r="1418">
          <cell r="A1418" t="str">
            <v>00611071</v>
          </cell>
          <cell r="B1418" t="str">
            <v>KNAUF JOINT CEMENT PREMIUM    0000002200</v>
          </cell>
          <cell r="C1418" t="str">
            <v>Knauf</v>
          </cell>
          <cell r="D1418">
            <v>48.69</v>
          </cell>
          <cell r="E1418">
            <v>0</v>
          </cell>
          <cell r="F1418">
            <v>0</v>
          </cell>
          <cell r="G1418">
            <v>0</v>
          </cell>
          <cell r="H1418">
            <v>48.69</v>
          </cell>
        </row>
        <row r="1419">
          <cell r="A1419" t="str">
            <v>00737325</v>
          </cell>
          <cell r="B1419" t="str">
            <v>KNAUF JOINT FILLER                  2200</v>
          </cell>
          <cell r="C1419" t="str">
            <v>Knauf</v>
          </cell>
          <cell r="D1419">
            <v>22.27</v>
          </cell>
          <cell r="E1419">
            <v>0</v>
          </cell>
          <cell r="F1419">
            <v>0</v>
          </cell>
          <cell r="G1419">
            <v>0</v>
          </cell>
          <cell r="H1419">
            <v>22.27</v>
          </cell>
        </row>
        <row r="1420">
          <cell r="A1420" t="str">
            <v>00611069</v>
          </cell>
          <cell r="B1420" t="str">
            <v>KNAUF JOINT FILLER PREMIUM    0000002200</v>
          </cell>
          <cell r="C1420" t="str">
            <v>Knauf</v>
          </cell>
          <cell r="D1420">
            <v>26.49</v>
          </cell>
          <cell r="E1420">
            <v>0</v>
          </cell>
          <cell r="F1420">
            <v>0</v>
          </cell>
          <cell r="G1420">
            <v>0</v>
          </cell>
          <cell r="H1420">
            <v>26.49</v>
          </cell>
        </row>
        <row r="1421">
          <cell r="A1421" t="str">
            <v>00853477</v>
          </cell>
          <cell r="B1421" t="str">
            <v>KNAUF UNIIFLOTT    253631     0000002250</v>
          </cell>
          <cell r="C1421" t="str">
            <v>Knauf</v>
          </cell>
          <cell r="D1421">
            <v>75.489999999999995</v>
          </cell>
          <cell r="E1421">
            <v>0</v>
          </cell>
          <cell r="F1421">
            <v>0</v>
          </cell>
          <cell r="G1421">
            <v>0</v>
          </cell>
          <cell r="H1421">
            <v>75.489999999999995</v>
          </cell>
        </row>
        <row r="1422">
          <cell r="A1422" t="str">
            <v>00737330</v>
          </cell>
          <cell r="B1422" t="str">
            <v>KNAUF WALLBOARD    PRIMER           2120</v>
          </cell>
          <cell r="C1422" t="str">
            <v>Knauf</v>
          </cell>
          <cell r="D1422">
            <v>77.150000000000006</v>
          </cell>
          <cell r="E1422">
            <v>0</v>
          </cell>
          <cell r="F1422">
            <v>0</v>
          </cell>
          <cell r="G1422">
            <v>0</v>
          </cell>
          <cell r="H1422">
            <v>77.150000000000006</v>
          </cell>
        </row>
        <row r="1423">
          <cell r="A1423" t="str">
            <v>00372998</v>
          </cell>
          <cell r="B1423" t="str">
            <v>LEYLAND DIRECT TO METAL PAINT BLACK 0750</v>
          </cell>
          <cell r="C1423" t="str">
            <v>Primer</v>
          </cell>
          <cell r="D1423">
            <v>20.34</v>
          </cell>
          <cell r="E1423">
            <v>0</v>
          </cell>
          <cell r="F1423">
            <v>0</v>
          </cell>
          <cell r="G1423">
            <v>0</v>
          </cell>
          <cell r="H1423">
            <v>20.34</v>
          </cell>
        </row>
        <row r="1424">
          <cell r="A1424" t="str">
            <v>00372999</v>
          </cell>
          <cell r="B1424" t="str">
            <v>LEYLAND DIRECT TO METAL PAINT BLACK 1250</v>
          </cell>
          <cell r="C1424" t="str">
            <v>Primer</v>
          </cell>
          <cell r="D1424">
            <v>51.51</v>
          </cell>
          <cell r="E1424">
            <v>0</v>
          </cell>
          <cell r="F1424">
            <v>0</v>
          </cell>
          <cell r="G1424">
            <v>0</v>
          </cell>
          <cell r="H1424">
            <v>51.51</v>
          </cell>
        </row>
        <row r="1425">
          <cell r="A1425" t="str">
            <v>00373002</v>
          </cell>
          <cell r="B1425" t="str">
            <v>LEYLAND DIRECT TO METAL PAINT SILVER0750</v>
          </cell>
          <cell r="C1425" t="str">
            <v>Primer</v>
          </cell>
          <cell r="D1425">
            <v>20.34</v>
          </cell>
          <cell r="E1425">
            <v>0</v>
          </cell>
          <cell r="F1425">
            <v>0</v>
          </cell>
          <cell r="G1425">
            <v>0</v>
          </cell>
          <cell r="H1425">
            <v>20.34</v>
          </cell>
        </row>
        <row r="1426">
          <cell r="A1426" t="str">
            <v>00373005</v>
          </cell>
          <cell r="B1426" t="str">
            <v>LEYLAND DIRECT TO METAL PAINT WHITE 0750</v>
          </cell>
          <cell r="C1426" t="str">
            <v>Primer</v>
          </cell>
          <cell r="D1426">
            <v>19.07</v>
          </cell>
          <cell r="E1426">
            <v>0</v>
          </cell>
          <cell r="F1426">
            <v>0</v>
          </cell>
          <cell r="G1426">
            <v>0</v>
          </cell>
          <cell r="H1426">
            <v>19.07</v>
          </cell>
        </row>
        <row r="1427">
          <cell r="A1427" t="str">
            <v>00649484</v>
          </cell>
          <cell r="B1427" t="str">
            <v>LEYTS 4" EMUL MINI ROLLER KIT PACK OF 10</v>
          </cell>
          <cell r="C1427" t="str">
            <v>Roller</v>
          </cell>
          <cell r="D1427">
            <v>28.16</v>
          </cell>
          <cell r="E1427">
            <v>0</v>
          </cell>
          <cell r="F1427">
            <v>0</v>
          </cell>
          <cell r="G1427">
            <v>0</v>
          </cell>
          <cell r="H1427">
            <v>28.16</v>
          </cell>
        </row>
        <row r="1428">
          <cell r="A1428" t="str">
            <v>00649486</v>
          </cell>
          <cell r="B1428" t="str">
            <v>LEYTS 4" FOAM MINI FRAME SOFT PACK OF 10</v>
          </cell>
          <cell r="C1428" t="str">
            <v>Roller</v>
          </cell>
          <cell r="D1428">
            <v>14.98</v>
          </cell>
          <cell r="E1428">
            <v>0</v>
          </cell>
          <cell r="F1428">
            <v>0</v>
          </cell>
          <cell r="G1428">
            <v>0</v>
          </cell>
          <cell r="H1428">
            <v>14.98</v>
          </cell>
        </row>
        <row r="1429">
          <cell r="A1429" t="str">
            <v>00649485</v>
          </cell>
          <cell r="B1429" t="str">
            <v>LEYTS 4" FOAM MINI ROLLER KIT PACK OF 10</v>
          </cell>
          <cell r="C1429" t="str">
            <v>Roller</v>
          </cell>
          <cell r="D1429">
            <v>28.16</v>
          </cell>
          <cell r="E1429">
            <v>0</v>
          </cell>
          <cell r="F1429">
            <v>0</v>
          </cell>
          <cell r="G1429">
            <v>0</v>
          </cell>
          <cell r="H1429">
            <v>28.16</v>
          </cell>
        </row>
        <row r="1430">
          <cell r="A1430" t="str">
            <v>00649487</v>
          </cell>
          <cell r="B1430" t="str">
            <v>LEYTS 4" FOAM MINI ROLLER(10)</v>
          </cell>
          <cell r="C1430" t="str">
            <v>Roller</v>
          </cell>
          <cell r="D1430">
            <v>47.07</v>
          </cell>
          <cell r="E1430">
            <v>0</v>
          </cell>
          <cell r="F1430">
            <v>0</v>
          </cell>
          <cell r="G1430">
            <v>0</v>
          </cell>
          <cell r="H1430">
            <v>47.07</v>
          </cell>
        </row>
        <row r="1431">
          <cell r="A1431" t="str">
            <v>00649489</v>
          </cell>
          <cell r="B1431" t="str">
            <v>LEYTS 4" MED MINI  ROLLER(10) PACK OF 10</v>
          </cell>
          <cell r="C1431" t="str">
            <v>Roller</v>
          </cell>
          <cell r="D1431">
            <v>47.07</v>
          </cell>
          <cell r="E1431">
            <v>0</v>
          </cell>
          <cell r="F1431">
            <v>0</v>
          </cell>
          <cell r="G1431">
            <v>0</v>
          </cell>
          <cell r="H1431">
            <v>47.07</v>
          </cell>
        </row>
        <row r="1432">
          <cell r="A1432" t="str">
            <v>00649488</v>
          </cell>
          <cell r="B1432" t="str">
            <v>LEYTS 4" WOVEN MED MINI ROLLER PACK 10</v>
          </cell>
          <cell r="C1432" t="str">
            <v>Roller</v>
          </cell>
          <cell r="D1432">
            <v>47.07</v>
          </cell>
          <cell r="E1432">
            <v>0</v>
          </cell>
          <cell r="F1432">
            <v>0</v>
          </cell>
          <cell r="G1432">
            <v>0</v>
          </cell>
          <cell r="H1432">
            <v>47.07</v>
          </cell>
        </row>
        <row r="1433">
          <cell r="A1433" t="str">
            <v>00649479</v>
          </cell>
          <cell r="B1433" t="str">
            <v>LEYTS 4PC 9"ROLL &amp; TRAYKIT 20</v>
          </cell>
          <cell r="C1433" t="str">
            <v>Roller</v>
          </cell>
          <cell r="D1433">
            <v>110.46</v>
          </cell>
          <cell r="E1433">
            <v>0</v>
          </cell>
          <cell r="F1433">
            <v>0</v>
          </cell>
          <cell r="G1433">
            <v>0</v>
          </cell>
          <cell r="H1433">
            <v>110.46</v>
          </cell>
        </row>
        <row r="1434">
          <cell r="A1434" t="str">
            <v>00649480</v>
          </cell>
          <cell r="B1434" t="str">
            <v>LEYTS 6PC 9"ROLL &amp; TRAYKIT 20</v>
          </cell>
          <cell r="C1434" t="str">
            <v>Roller</v>
          </cell>
          <cell r="D1434">
            <v>140.13</v>
          </cell>
          <cell r="E1434">
            <v>0</v>
          </cell>
          <cell r="F1434">
            <v>0</v>
          </cell>
          <cell r="G1434">
            <v>0</v>
          </cell>
          <cell r="H1434">
            <v>140.13</v>
          </cell>
        </row>
        <row r="1435">
          <cell r="A1435" t="str">
            <v>00649470</v>
          </cell>
          <cell r="B1435" t="str">
            <v>LEYTS 7PC CONTRACT BRUSH PK10</v>
          </cell>
          <cell r="C1435" t="str">
            <v>Brush</v>
          </cell>
          <cell r="D1435">
            <v>103.81</v>
          </cell>
          <cell r="E1435">
            <v>0</v>
          </cell>
          <cell r="F1435">
            <v>0</v>
          </cell>
          <cell r="G1435">
            <v>0</v>
          </cell>
          <cell r="H1435">
            <v>103.81</v>
          </cell>
        </row>
        <row r="1436">
          <cell r="A1436" t="str">
            <v>00649483</v>
          </cell>
          <cell r="B1436" t="str">
            <v>LEYTS 9" MED PILE  POLY ROLLER(6)PACK 10</v>
          </cell>
          <cell r="C1436" t="str">
            <v>Roller</v>
          </cell>
          <cell r="D1436">
            <v>63.57</v>
          </cell>
          <cell r="E1436">
            <v>0</v>
          </cell>
          <cell r="F1436">
            <v>0</v>
          </cell>
          <cell r="G1436">
            <v>0</v>
          </cell>
          <cell r="H1436">
            <v>63.57</v>
          </cell>
        </row>
        <row r="1437">
          <cell r="A1437" t="str">
            <v>00649481</v>
          </cell>
          <cell r="B1437" t="str">
            <v>LEYTS 9"ROLLER FRM SOFT GRIP PACK OF 10</v>
          </cell>
          <cell r="C1437" t="str">
            <v>Roller</v>
          </cell>
          <cell r="D1437">
            <v>28.61</v>
          </cell>
          <cell r="E1437">
            <v>0</v>
          </cell>
          <cell r="F1437">
            <v>0</v>
          </cell>
          <cell r="G1437">
            <v>0</v>
          </cell>
          <cell r="H1437">
            <v>28.61</v>
          </cell>
        </row>
        <row r="1438">
          <cell r="A1438" t="str">
            <v>00649482</v>
          </cell>
          <cell r="B1438" t="str">
            <v>LEYTS 9"WOVEN MED  ROLL(6)P10</v>
          </cell>
          <cell r="C1438" t="str">
            <v>Roller</v>
          </cell>
          <cell r="D1438">
            <v>64.77</v>
          </cell>
          <cell r="E1438">
            <v>0</v>
          </cell>
          <cell r="F1438">
            <v>0</v>
          </cell>
          <cell r="G1438">
            <v>0</v>
          </cell>
          <cell r="H1438">
            <v>64.77</v>
          </cell>
        </row>
        <row r="1439">
          <cell r="A1439" t="str">
            <v>00649471</v>
          </cell>
          <cell r="B1439" t="str">
            <v>LEYTS CONT BRUSH   1" PK6</v>
          </cell>
          <cell r="C1439" t="str">
            <v>Brush</v>
          </cell>
          <cell r="D1439">
            <v>4.9000000000000004</v>
          </cell>
          <cell r="E1439">
            <v>0</v>
          </cell>
          <cell r="F1439">
            <v>0</v>
          </cell>
          <cell r="G1439">
            <v>0</v>
          </cell>
          <cell r="H1439">
            <v>4.9000000000000004</v>
          </cell>
        </row>
        <row r="1440">
          <cell r="A1440" t="str">
            <v>00649472</v>
          </cell>
          <cell r="B1440" t="str">
            <v>LEYTS CONTRACTOR   BRUSH 1.5" PACK OF 6</v>
          </cell>
          <cell r="C1440" t="str">
            <v>Brush</v>
          </cell>
          <cell r="D1440">
            <v>7.26</v>
          </cell>
          <cell r="E1440">
            <v>0</v>
          </cell>
          <cell r="F1440">
            <v>0</v>
          </cell>
          <cell r="G1440">
            <v>0</v>
          </cell>
          <cell r="H1440">
            <v>7.26</v>
          </cell>
        </row>
        <row r="1441">
          <cell r="A1441" t="str">
            <v>00649473</v>
          </cell>
          <cell r="B1441" t="str">
            <v>LEYTS CONTRACTOR   BRUSH 2" PACK OF 6</v>
          </cell>
          <cell r="C1441" t="str">
            <v>Brush</v>
          </cell>
          <cell r="D1441">
            <v>9.5500000000000007</v>
          </cell>
          <cell r="E1441">
            <v>0</v>
          </cell>
          <cell r="F1441">
            <v>0</v>
          </cell>
          <cell r="G1441">
            <v>0</v>
          </cell>
          <cell r="H1441">
            <v>9.5500000000000007</v>
          </cell>
        </row>
        <row r="1442">
          <cell r="A1442" t="str">
            <v>00649474</v>
          </cell>
          <cell r="B1442" t="str">
            <v>LEYTS CONTRACTOR   BRUSH 2.5" PACK OF 6</v>
          </cell>
          <cell r="C1442" t="str">
            <v>Brush</v>
          </cell>
          <cell r="D1442">
            <v>11.35</v>
          </cell>
          <cell r="E1442">
            <v>0</v>
          </cell>
          <cell r="F1442">
            <v>0</v>
          </cell>
          <cell r="G1442">
            <v>0</v>
          </cell>
          <cell r="H1442">
            <v>11.35</v>
          </cell>
        </row>
        <row r="1443">
          <cell r="A1443" t="str">
            <v>00649475</v>
          </cell>
          <cell r="B1443" t="str">
            <v>LEYTS CONTRACTOR   BRUSH 3" PACK OF 6</v>
          </cell>
          <cell r="C1443" t="str">
            <v>Brush</v>
          </cell>
          <cell r="D1443">
            <v>13.9</v>
          </cell>
          <cell r="E1443">
            <v>0</v>
          </cell>
          <cell r="F1443">
            <v>0</v>
          </cell>
          <cell r="G1443">
            <v>0</v>
          </cell>
          <cell r="H1443">
            <v>13.9</v>
          </cell>
        </row>
        <row r="1444">
          <cell r="A1444" t="str">
            <v>00649476</v>
          </cell>
          <cell r="B1444" t="str">
            <v>LEYTS MASONRY BRSH 4" PACK 10</v>
          </cell>
          <cell r="C1444" t="str">
            <v>Roller</v>
          </cell>
          <cell r="D1444">
            <v>24.38</v>
          </cell>
          <cell r="E1444">
            <v>0</v>
          </cell>
          <cell r="F1444">
            <v>0</v>
          </cell>
          <cell r="G1444">
            <v>0</v>
          </cell>
          <cell r="H1444">
            <v>24.38</v>
          </cell>
        </row>
        <row r="1445">
          <cell r="A1445" t="str">
            <v>00649477</v>
          </cell>
          <cell r="B1445" t="str">
            <v>LEYTS MASONRY KIT  9" PACK 10</v>
          </cell>
          <cell r="C1445" t="str">
            <v>Roller</v>
          </cell>
          <cell r="D1445">
            <v>105.78</v>
          </cell>
          <cell r="E1445">
            <v>0</v>
          </cell>
          <cell r="F1445">
            <v>0</v>
          </cell>
          <cell r="G1445">
            <v>0</v>
          </cell>
          <cell r="H1445">
            <v>105.78</v>
          </cell>
        </row>
        <row r="1446">
          <cell r="A1446" t="str">
            <v>00649478</v>
          </cell>
          <cell r="B1446" t="str">
            <v>LEYTS MASONRY REPL 9" ROLLERS PACK 10</v>
          </cell>
          <cell r="C1446" t="str">
            <v>Roller</v>
          </cell>
          <cell r="D1446">
            <v>62.04</v>
          </cell>
          <cell r="E1446">
            <v>0</v>
          </cell>
          <cell r="F1446">
            <v>0</v>
          </cell>
          <cell r="G1446">
            <v>0</v>
          </cell>
          <cell r="H1446">
            <v>62.04</v>
          </cell>
        </row>
        <row r="1447">
          <cell r="A1447" t="str">
            <v>00649491</v>
          </cell>
          <cell r="B1447" t="str">
            <v>LEYTS MED PILE WOV MINI JUMBO ROLL(4)P10</v>
          </cell>
          <cell r="C1447" t="str">
            <v>Roller</v>
          </cell>
          <cell r="D1447">
            <v>50.53</v>
          </cell>
          <cell r="E1447">
            <v>0</v>
          </cell>
          <cell r="F1447">
            <v>0</v>
          </cell>
          <cell r="G1447">
            <v>0</v>
          </cell>
          <cell r="H1447">
            <v>50.53</v>
          </cell>
        </row>
        <row r="1448">
          <cell r="A1448" t="str">
            <v>00649490</v>
          </cell>
          <cell r="B1448" t="str">
            <v>LEYTS MICROFIBRE MINI JUMBO ROLLER(4)P10</v>
          </cell>
          <cell r="C1448" t="str">
            <v>Roller</v>
          </cell>
          <cell r="D1448">
            <v>49.19</v>
          </cell>
          <cell r="E1448">
            <v>0</v>
          </cell>
          <cell r="F1448">
            <v>0</v>
          </cell>
          <cell r="G1448">
            <v>0</v>
          </cell>
          <cell r="H1448">
            <v>49.19</v>
          </cell>
        </row>
        <row r="1449">
          <cell r="A1449" t="str">
            <v>00423684</v>
          </cell>
          <cell r="B1449" t="str">
            <v>LEYTS PRM FL CAULK WHI 380ML</v>
          </cell>
          <cell r="C1449" t="str">
            <v>Caulk</v>
          </cell>
          <cell r="D1449">
            <v>1.1399999999999999</v>
          </cell>
          <cell r="E1449">
            <v>0</v>
          </cell>
          <cell r="F1449">
            <v>0</v>
          </cell>
          <cell r="G1449">
            <v>0</v>
          </cell>
          <cell r="H1449">
            <v>1.1399999999999999</v>
          </cell>
        </row>
        <row r="1450">
          <cell r="A1450" t="str">
            <v>00649633</v>
          </cell>
          <cell r="B1450" t="str">
            <v>LEYTS ROLL &amp; GO    MINI (24)  + 3 LINERS</v>
          </cell>
          <cell r="C1450" t="str">
            <v>Roller</v>
          </cell>
          <cell r="D1450">
            <v>134.01</v>
          </cell>
          <cell r="E1450">
            <v>0</v>
          </cell>
          <cell r="F1450">
            <v>0</v>
          </cell>
          <cell r="G1450">
            <v>0</v>
          </cell>
          <cell r="H1450">
            <v>134.01</v>
          </cell>
        </row>
        <row r="1451">
          <cell r="A1451" t="str">
            <v>00649638</v>
          </cell>
          <cell r="B1451" t="str">
            <v>LEYTS ROLL&amp;GO MINI LINERS 3   (48)</v>
          </cell>
          <cell r="C1451" t="str">
            <v>Roller</v>
          </cell>
          <cell r="D1451">
            <v>119.86</v>
          </cell>
          <cell r="E1451">
            <v>0</v>
          </cell>
          <cell r="F1451">
            <v>0</v>
          </cell>
          <cell r="G1451">
            <v>0</v>
          </cell>
          <cell r="H1451">
            <v>119.86</v>
          </cell>
        </row>
        <row r="1452">
          <cell r="A1452" t="str">
            <v>00649623</v>
          </cell>
          <cell r="B1452" t="str">
            <v>LEYTS WHITE SPIRIT 2L (PK8)   0000002160</v>
          </cell>
          <cell r="C1452" t="str">
            <v>Spirits</v>
          </cell>
          <cell r="D1452">
            <v>29.17</v>
          </cell>
          <cell r="E1452">
            <v>0</v>
          </cell>
          <cell r="F1452">
            <v>0</v>
          </cell>
          <cell r="G1452">
            <v>0</v>
          </cell>
          <cell r="H1452">
            <v>29.17</v>
          </cell>
        </row>
        <row r="1453">
          <cell r="A1453" t="str">
            <v>00300872</v>
          </cell>
          <cell r="B1453" t="str">
            <v>LL    A/PUR PRIMER WHITE      0000000750</v>
          </cell>
          <cell r="C1453" t="str">
            <v>Primer</v>
          </cell>
          <cell r="D1453">
            <v>14.12</v>
          </cell>
          <cell r="E1453">
            <v>0</v>
          </cell>
          <cell r="F1453">
            <v>0</v>
          </cell>
          <cell r="G1453">
            <v>0</v>
          </cell>
          <cell r="H1453">
            <v>14.12</v>
          </cell>
        </row>
        <row r="1454">
          <cell r="A1454" t="str">
            <v>00264383</v>
          </cell>
          <cell r="B1454" t="str">
            <v>LL    A/PUR PRIMER WHITE      0000001250</v>
          </cell>
          <cell r="C1454" t="str">
            <v>Primer</v>
          </cell>
          <cell r="D1454">
            <v>23.55</v>
          </cell>
          <cell r="E1454">
            <v>0</v>
          </cell>
          <cell r="F1454">
            <v>0</v>
          </cell>
          <cell r="G1454">
            <v>0</v>
          </cell>
          <cell r="H1454">
            <v>23.55</v>
          </cell>
        </row>
        <row r="1455">
          <cell r="A1455" t="str">
            <v>00264367</v>
          </cell>
          <cell r="B1455" t="str">
            <v>LL    ACRY E/SHELL BRIL WHITE 0000000750</v>
          </cell>
          <cell r="C1455" t="str">
            <v>Acrylic Eggshell</v>
          </cell>
          <cell r="D1455">
            <v>10.81</v>
          </cell>
          <cell r="E1455">
            <v>0</v>
          </cell>
          <cell r="F1455">
            <v>0</v>
          </cell>
          <cell r="G1455">
            <v>0</v>
          </cell>
          <cell r="H1455">
            <v>10.81</v>
          </cell>
        </row>
        <row r="1456">
          <cell r="A1456" t="str">
            <v>00308410</v>
          </cell>
          <cell r="B1456" t="str">
            <v>LL    ANTI CORROSI GREY       0000001250</v>
          </cell>
          <cell r="C1456" t="str">
            <v>Primer</v>
          </cell>
          <cell r="D1456">
            <v>22.77</v>
          </cell>
          <cell r="E1456">
            <v>0</v>
          </cell>
          <cell r="F1456">
            <v>0</v>
          </cell>
          <cell r="G1456">
            <v>0</v>
          </cell>
          <cell r="H1456">
            <v>22.77</v>
          </cell>
        </row>
        <row r="1457">
          <cell r="A1457" t="str">
            <v>00308411</v>
          </cell>
          <cell r="B1457" t="str">
            <v>LL    ANTI CORROSI RED OXIDE  0000001250</v>
          </cell>
          <cell r="C1457" t="str">
            <v>Primer</v>
          </cell>
          <cell r="D1457">
            <v>22.77</v>
          </cell>
          <cell r="E1457">
            <v>0</v>
          </cell>
          <cell r="F1457">
            <v>0</v>
          </cell>
          <cell r="G1457">
            <v>0</v>
          </cell>
          <cell r="H1457">
            <v>22.77</v>
          </cell>
        </row>
        <row r="1458">
          <cell r="A1458" t="str">
            <v>00308455</v>
          </cell>
          <cell r="B1458" t="str">
            <v>LL    ANTI-SLIP FL SLATE      0000001500</v>
          </cell>
          <cell r="C1458" t="str">
            <v>Floor paint</v>
          </cell>
          <cell r="D1458">
            <v>62.49</v>
          </cell>
          <cell r="E1458">
            <v>0</v>
          </cell>
          <cell r="F1458">
            <v>0</v>
          </cell>
          <cell r="G1458">
            <v>0</v>
          </cell>
          <cell r="H1458">
            <v>62.49</v>
          </cell>
        </row>
        <row r="1459">
          <cell r="A1459" t="str">
            <v>00308456</v>
          </cell>
          <cell r="B1459" t="str">
            <v>LL    ANTI-SLIP FL TILE RED   0000001500</v>
          </cell>
          <cell r="C1459" t="str">
            <v>Floor paint</v>
          </cell>
          <cell r="D1459">
            <v>62.49</v>
          </cell>
          <cell r="E1459">
            <v>0</v>
          </cell>
          <cell r="F1459">
            <v>0</v>
          </cell>
          <cell r="G1459">
            <v>0</v>
          </cell>
          <cell r="H1459">
            <v>62.49</v>
          </cell>
        </row>
        <row r="1460">
          <cell r="A1460" t="str">
            <v>00306353</v>
          </cell>
          <cell r="B1460" t="str">
            <v>LL    CONT GLOSS   BRIL WHITE 0000001250</v>
          </cell>
          <cell r="C1460" t="str">
            <v>Solvent Gloss</v>
          </cell>
          <cell r="D1460">
            <v>14.41</v>
          </cell>
          <cell r="E1460">
            <v>0</v>
          </cell>
          <cell r="F1460">
            <v>0</v>
          </cell>
          <cell r="G1460">
            <v>0</v>
          </cell>
          <cell r="H1460">
            <v>14.41</v>
          </cell>
        </row>
        <row r="1461">
          <cell r="A1461" t="str">
            <v>00306354</v>
          </cell>
          <cell r="B1461" t="str">
            <v>LL    CONT GLOSS   BRIL WHITE 0000001500</v>
          </cell>
          <cell r="C1461" t="str">
            <v>Solvent Gloss</v>
          </cell>
          <cell r="D1461">
            <v>23.96</v>
          </cell>
          <cell r="E1461">
            <v>0</v>
          </cell>
          <cell r="F1461">
            <v>0</v>
          </cell>
          <cell r="G1461">
            <v>0</v>
          </cell>
          <cell r="H1461">
            <v>23.96</v>
          </cell>
        </row>
        <row r="1462">
          <cell r="A1462" t="str">
            <v>00300875</v>
          </cell>
          <cell r="B1462" t="str">
            <v>LL    CONT PRIMER  BRIL WHITE 0000001250</v>
          </cell>
          <cell r="C1462" t="str">
            <v>Primer</v>
          </cell>
          <cell r="D1462">
            <v>14.41</v>
          </cell>
          <cell r="E1462">
            <v>0</v>
          </cell>
          <cell r="F1462">
            <v>0</v>
          </cell>
          <cell r="G1462">
            <v>0</v>
          </cell>
          <cell r="H1462">
            <v>14.41</v>
          </cell>
        </row>
        <row r="1463">
          <cell r="A1463" t="str">
            <v>00264567</v>
          </cell>
          <cell r="B1463" t="str">
            <v>LL    CONT PRIMER  BRIL WHITE 0000001500</v>
          </cell>
          <cell r="C1463" t="str">
            <v>Primer</v>
          </cell>
          <cell r="D1463">
            <v>23.96</v>
          </cell>
          <cell r="E1463">
            <v>0</v>
          </cell>
          <cell r="F1463">
            <v>0</v>
          </cell>
          <cell r="G1463">
            <v>0</v>
          </cell>
          <cell r="H1463">
            <v>23.96</v>
          </cell>
        </row>
        <row r="1464">
          <cell r="A1464" t="str">
            <v>00306355</v>
          </cell>
          <cell r="B1464" t="str">
            <v>LL    CONT U/COAT  BRIL WHITE 0000001250</v>
          </cell>
          <cell r="C1464" t="str">
            <v>Solvent Undercoat</v>
          </cell>
          <cell r="D1464">
            <v>14.41</v>
          </cell>
          <cell r="E1464">
            <v>0</v>
          </cell>
          <cell r="F1464">
            <v>0</v>
          </cell>
          <cell r="G1464">
            <v>0</v>
          </cell>
          <cell r="H1464">
            <v>14.41</v>
          </cell>
        </row>
        <row r="1465">
          <cell r="A1465" t="str">
            <v>00306356</v>
          </cell>
          <cell r="B1465" t="str">
            <v>LL    CONT U/COAT  BRIL WHITE 0000001500</v>
          </cell>
          <cell r="C1465" t="str">
            <v>Solvent Undercoat</v>
          </cell>
          <cell r="D1465">
            <v>23.96</v>
          </cell>
          <cell r="E1465">
            <v>0</v>
          </cell>
          <cell r="F1465">
            <v>0</v>
          </cell>
          <cell r="G1465">
            <v>0</v>
          </cell>
          <cell r="H1465">
            <v>23.96</v>
          </cell>
        </row>
        <row r="1466">
          <cell r="A1466" t="str">
            <v>00447491</v>
          </cell>
          <cell r="B1466" t="str">
            <v>LL    CONTRCT MATT LIGHT GREY 0000002100</v>
          </cell>
          <cell r="C1466" t="str">
            <v>Contract matt</v>
          </cell>
          <cell r="D1466">
            <v>28.64</v>
          </cell>
          <cell r="E1466">
            <v>0</v>
          </cell>
          <cell r="F1466">
            <v>0</v>
          </cell>
          <cell r="G1466">
            <v>0</v>
          </cell>
          <cell r="H1466">
            <v>28.64</v>
          </cell>
        </row>
        <row r="1467">
          <cell r="A1467" t="str">
            <v>00264564</v>
          </cell>
          <cell r="B1467" t="str">
            <v>LL    CONTRCT MATT MAGNOLIA   0000002150</v>
          </cell>
          <cell r="C1467" t="str">
            <v>Contract matt</v>
          </cell>
          <cell r="D1467">
            <v>39.36</v>
          </cell>
          <cell r="E1467">
            <v>0</v>
          </cell>
          <cell r="F1467">
            <v>0</v>
          </cell>
          <cell r="G1467">
            <v>0</v>
          </cell>
          <cell r="H1467">
            <v>39.36</v>
          </cell>
        </row>
        <row r="1468">
          <cell r="A1468" t="str">
            <v>00264568</v>
          </cell>
          <cell r="B1468" t="str">
            <v>LL    CONTRCT SILK BRIL WHITE 0000002100</v>
          </cell>
          <cell r="C1468" t="str">
            <v>Contract silk</v>
          </cell>
          <cell r="D1468">
            <v>31.03</v>
          </cell>
          <cell r="E1468">
            <v>0</v>
          </cell>
          <cell r="F1468">
            <v>0</v>
          </cell>
          <cell r="G1468">
            <v>0</v>
          </cell>
          <cell r="H1468">
            <v>31.03</v>
          </cell>
        </row>
        <row r="1469">
          <cell r="A1469" t="str">
            <v>00264569</v>
          </cell>
          <cell r="B1469" t="str">
            <v>LL    CONTRCT SILK MAGNOLIA   0000002100</v>
          </cell>
          <cell r="C1469" t="str">
            <v>Contract silk</v>
          </cell>
          <cell r="D1469">
            <v>31.03</v>
          </cell>
          <cell r="E1469">
            <v>0</v>
          </cell>
          <cell r="F1469">
            <v>0</v>
          </cell>
          <cell r="G1469">
            <v>0</v>
          </cell>
          <cell r="H1469">
            <v>31.03</v>
          </cell>
        </row>
        <row r="1470">
          <cell r="A1470" t="str">
            <v>00264573</v>
          </cell>
          <cell r="B1470" t="str">
            <v>LL    EGGSHELL     BLACK      0000001500</v>
          </cell>
          <cell r="C1470" t="str">
            <v>Solvent Eggshell</v>
          </cell>
          <cell r="D1470">
            <v>18.84</v>
          </cell>
          <cell r="E1470">
            <v>0</v>
          </cell>
          <cell r="F1470">
            <v>0</v>
          </cell>
          <cell r="G1470">
            <v>0</v>
          </cell>
          <cell r="H1470">
            <v>18.84</v>
          </cell>
        </row>
        <row r="1471">
          <cell r="A1471" t="str">
            <v>00264574</v>
          </cell>
          <cell r="B1471" t="str">
            <v>LL    EGGSHELL     BRIL WHITE 0000000750</v>
          </cell>
          <cell r="C1471" t="str">
            <v>Solvent Eggshell</v>
          </cell>
          <cell r="D1471">
            <v>8.34</v>
          </cell>
          <cell r="E1471">
            <v>0</v>
          </cell>
          <cell r="F1471">
            <v>0</v>
          </cell>
          <cell r="G1471">
            <v>0</v>
          </cell>
          <cell r="H1471">
            <v>8.34</v>
          </cell>
        </row>
        <row r="1472">
          <cell r="A1472" t="str">
            <v>00264576</v>
          </cell>
          <cell r="B1472" t="str">
            <v>LL    EGGSHELL     BRIL WHITE 0000001500</v>
          </cell>
          <cell r="C1472" t="str">
            <v>Solvent Eggshell</v>
          </cell>
          <cell r="D1472">
            <v>17.96</v>
          </cell>
          <cell r="E1472">
            <v>0</v>
          </cell>
          <cell r="F1472">
            <v>0</v>
          </cell>
          <cell r="G1472">
            <v>0</v>
          </cell>
          <cell r="H1472">
            <v>17.96</v>
          </cell>
        </row>
        <row r="1473">
          <cell r="A1473" t="str">
            <v>00264587</v>
          </cell>
          <cell r="B1473" t="str">
            <v>LL    EGGSHELL     MAGNOLIA   0000000750</v>
          </cell>
          <cell r="C1473" t="str">
            <v>Solvent Eggshell</v>
          </cell>
          <cell r="D1473">
            <v>8.34</v>
          </cell>
          <cell r="E1473">
            <v>0</v>
          </cell>
          <cell r="F1473">
            <v>0</v>
          </cell>
          <cell r="G1473">
            <v>0</v>
          </cell>
          <cell r="H1473">
            <v>8.34</v>
          </cell>
        </row>
        <row r="1474">
          <cell r="A1474" t="str">
            <v>00264588</v>
          </cell>
          <cell r="B1474" t="str">
            <v>LL    EGGSHELL     MAGNOLIA   0000001250</v>
          </cell>
          <cell r="C1474" t="str">
            <v>Solvent Eggshell</v>
          </cell>
          <cell r="D1474">
            <v>17.36</v>
          </cell>
          <cell r="E1474">
            <v>0</v>
          </cell>
          <cell r="F1474">
            <v>0</v>
          </cell>
          <cell r="G1474">
            <v>0</v>
          </cell>
          <cell r="H1474">
            <v>17.36</v>
          </cell>
        </row>
        <row r="1475">
          <cell r="A1475" t="str">
            <v>00264589</v>
          </cell>
          <cell r="B1475" t="str">
            <v>LL    EGGSHELL     MAGNOLIA   0000001500</v>
          </cell>
          <cell r="C1475" t="str">
            <v>Solvent Eggshell</v>
          </cell>
          <cell r="D1475">
            <v>18.84</v>
          </cell>
          <cell r="E1475">
            <v>0</v>
          </cell>
          <cell r="F1475">
            <v>0</v>
          </cell>
          <cell r="G1475">
            <v>0</v>
          </cell>
          <cell r="H1475">
            <v>18.84</v>
          </cell>
        </row>
        <row r="1476">
          <cell r="A1476" t="str">
            <v>00306719</v>
          </cell>
          <cell r="B1476" t="str">
            <v>LL    F/DRY GLOSS  BLACK      0000001250</v>
          </cell>
          <cell r="C1476" t="str">
            <v>Acrylic Gloss</v>
          </cell>
          <cell r="D1476">
            <v>32.46</v>
          </cell>
          <cell r="E1476">
            <v>0</v>
          </cell>
          <cell r="F1476">
            <v>0</v>
          </cell>
          <cell r="G1476">
            <v>0</v>
          </cell>
          <cell r="H1476">
            <v>17.736499999999999</v>
          </cell>
        </row>
        <row r="1477">
          <cell r="A1477" t="str">
            <v>00306717</v>
          </cell>
          <cell r="B1477" t="str">
            <v>LL    F/DRY GLOSS  BRIL WHITE 0000000750</v>
          </cell>
          <cell r="C1477" t="str">
            <v>Acrylic Gloss</v>
          </cell>
          <cell r="D1477">
            <v>8.66</v>
          </cell>
          <cell r="E1477">
            <v>0</v>
          </cell>
          <cell r="F1477">
            <v>0</v>
          </cell>
          <cell r="G1477">
            <v>0</v>
          </cell>
          <cell r="H1477">
            <v>8.66</v>
          </cell>
        </row>
        <row r="1478">
          <cell r="A1478" t="str">
            <v>00306716</v>
          </cell>
          <cell r="B1478" t="str">
            <v>LL    F/DRY SATIN  BLACK      0000001250</v>
          </cell>
          <cell r="C1478" t="str">
            <v>Acrylic Satin</v>
          </cell>
          <cell r="D1478">
            <v>34.630000000000003</v>
          </cell>
          <cell r="E1478">
            <v>0</v>
          </cell>
          <cell r="F1478">
            <v>0</v>
          </cell>
          <cell r="G1478">
            <v>0</v>
          </cell>
          <cell r="H1478">
            <v>17.736499999999999</v>
          </cell>
        </row>
        <row r="1479">
          <cell r="A1479" t="str">
            <v>00306714</v>
          </cell>
          <cell r="B1479" t="str">
            <v>LL    F/DRY SATIN  BRIL WHITE 0000000750</v>
          </cell>
          <cell r="C1479" t="str">
            <v>Acrylic Satin</v>
          </cell>
          <cell r="D1479">
            <v>10.62</v>
          </cell>
          <cell r="E1479">
            <v>0</v>
          </cell>
          <cell r="F1479">
            <v>0</v>
          </cell>
          <cell r="G1479">
            <v>0</v>
          </cell>
          <cell r="H1479">
            <v>8.66</v>
          </cell>
        </row>
        <row r="1480">
          <cell r="A1480" t="str">
            <v>00306736</v>
          </cell>
          <cell r="B1480" t="str">
            <v>LL    F/DRY U/COAT BRIL WHITE 0000000750</v>
          </cell>
          <cell r="C1480" t="str">
            <v>Acrylic Undercoat</v>
          </cell>
          <cell r="D1480">
            <v>8.66</v>
          </cell>
          <cell r="E1480">
            <v>0</v>
          </cell>
          <cell r="F1480">
            <v>0</v>
          </cell>
          <cell r="G1480">
            <v>0</v>
          </cell>
          <cell r="H1480">
            <v>8.66</v>
          </cell>
        </row>
        <row r="1481">
          <cell r="A1481" t="str">
            <v>00306720</v>
          </cell>
          <cell r="B1481" t="str">
            <v>LL    F/DRY U/COAT BRIL WHITE 0000001250</v>
          </cell>
          <cell r="C1481" t="str">
            <v>Acrylic Undercoat</v>
          </cell>
          <cell r="D1481">
            <v>23.38</v>
          </cell>
          <cell r="E1481">
            <v>0</v>
          </cell>
          <cell r="F1481">
            <v>0</v>
          </cell>
          <cell r="G1481">
            <v>0</v>
          </cell>
          <cell r="H1481">
            <v>16.739999999999998</v>
          </cell>
        </row>
        <row r="1482">
          <cell r="A1482" t="str">
            <v>00306721</v>
          </cell>
          <cell r="B1482" t="str">
            <v>LL    F/DRY U/COAT DARK GREY  0000001250</v>
          </cell>
          <cell r="C1482" t="str">
            <v>Acrylic Undercoat</v>
          </cell>
          <cell r="D1482">
            <v>34.409999999999997</v>
          </cell>
          <cell r="E1482">
            <v>0</v>
          </cell>
          <cell r="F1482">
            <v>0</v>
          </cell>
          <cell r="G1482">
            <v>0</v>
          </cell>
          <cell r="H1482">
            <v>17.736499999999999</v>
          </cell>
        </row>
        <row r="1483">
          <cell r="A1483" t="str">
            <v>00307891</v>
          </cell>
          <cell r="B1483" t="str">
            <v>LL    FLEX EXT GLS BLACK      0000000750</v>
          </cell>
          <cell r="C1483" t="str">
            <v>Flexible exterior</v>
          </cell>
          <cell r="D1483">
            <v>19.38</v>
          </cell>
          <cell r="E1483">
            <v>0</v>
          </cell>
          <cell r="F1483">
            <v>0</v>
          </cell>
          <cell r="G1483">
            <v>0</v>
          </cell>
          <cell r="H1483">
            <v>19.38</v>
          </cell>
        </row>
        <row r="1484">
          <cell r="A1484" t="str">
            <v>00307890</v>
          </cell>
          <cell r="B1484" t="str">
            <v>LL    FLEX EXT GLS BRIL WHITE 0000000750</v>
          </cell>
          <cell r="C1484" t="str">
            <v>Flexible exterior</v>
          </cell>
          <cell r="D1484">
            <v>13.18</v>
          </cell>
          <cell r="E1484">
            <v>0</v>
          </cell>
          <cell r="F1484">
            <v>0</v>
          </cell>
          <cell r="G1484">
            <v>0</v>
          </cell>
          <cell r="H1484">
            <v>13.18</v>
          </cell>
        </row>
        <row r="1485">
          <cell r="A1485" t="str">
            <v>00264690</v>
          </cell>
          <cell r="B1485" t="str">
            <v>LL    FLEX EXT GLS BRIL WHITE 0000001250</v>
          </cell>
          <cell r="C1485" t="str">
            <v>Flexible exterior</v>
          </cell>
          <cell r="D1485">
            <v>29.87</v>
          </cell>
          <cell r="E1485">
            <v>0</v>
          </cell>
          <cell r="F1485">
            <v>0</v>
          </cell>
          <cell r="G1485">
            <v>0</v>
          </cell>
          <cell r="H1485">
            <v>29.87</v>
          </cell>
        </row>
        <row r="1486">
          <cell r="A1486" t="str">
            <v>00264688</v>
          </cell>
          <cell r="B1486" t="str">
            <v>LL    FLEX EXT U/C WHITE      0000001250</v>
          </cell>
          <cell r="C1486" t="str">
            <v>Flexible exterior</v>
          </cell>
          <cell r="D1486">
            <v>29.87</v>
          </cell>
          <cell r="E1486">
            <v>0</v>
          </cell>
          <cell r="F1486">
            <v>0</v>
          </cell>
          <cell r="G1486">
            <v>0</v>
          </cell>
          <cell r="H1486">
            <v>29.87</v>
          </cell>
        </row>
        <row r="1487">
          <cell r="A1487" t="str">
            <v>00304696</v>
          </cell>
          <cell r="B1487" t="str">
            <v>LL    FLOOR PAINT  CLEAR      0000001500</v>
          </cell>
          <cell r="C1487" t="str">
            <v>Floor paint</v>
          </cell>
          <cell r="D1487">
            <v>20.74</v>
          </cell>
          <cell r="E1487">
            <v>0</v>
          </cell>
          <cell r="F1487">
            <v>0</v>
          </cell>
          <cell r="G1487">
            <v>0</v>
          </cell>
          <cell r="H1487">
            <v>20.74</v>
          </cell>
        </row>
        <row r="1488">
          <cell r="A1488" t="str">
            <v>00264614</v>
          </cell>
          <cell r="B1488" t="str">
            <v>LL    FLOOR PAINT  EMPIRE GRN 0000001500</v>
          </cell>
          <cell r="C1488" t="str">
            <v>Floor paint</v>
          </cell>
          <cell r="D1488">
            <v>20.74</v>
          </cell>
          <cell r="E1488">
            <v>0</v>
          </cell>
          <cell r="F1488">
            <v>0</v>
          </cell>
          <cell r="G1488">
            <v>0</v>
          </cell>
          <cell r="H1488">
            <v>20.74</v>
          </cell>
        </row>
        <row r="1489">
          <cell r="A1489" t="str">
            <v>00300708</v>
          </cell>
          <cell r="B1489" t="str">
            <v>LL    FLOOR PAINT  FRIGATE    0000001250</v>
          </cell>
          <cell r="C1489" t="str">
            <v>Floor paint</v>
          </cell>
          <cell r="D1489">
            <v>15.04</v>
          </cell>
          <cell r="E1489">
            <v>0</v>
          </cell>
          <cell r="F1489">
            <v>0</v>
          </cell>
          <cell r="G1489">
            <v>0</v>
          </cell>
          <cell r="H1489">
            <v>15.04</v>
          </cell>
        </row>
        <row r="1490">
          <cell r="A1490" t="str">
            <v>00264615</v>
          </cell>
          <cell r="B1490" t="str">
            <v>LL    FLOOR PAINT  FRIGATE    0000001500</v>
          </cell>
          <cell r="C1490" t="str">
            <v>Floor paint</v>
          </cell>
          <cell r="D1490">
            <v>20.74</v>
          </cell>
          <cell r="E1490">
            <v>0</v>
          </cell>
          <cell r="F1490">
            <v>0</v>
          </cell>
          <cell r="G1490">
            <v>0</v>
          </cell>
          <cell r="H1490">
            <v>20.74</v>
          </cell>
        </row>
        <row r="1491">
          <cell r="A1491" t="str">
            <v>00264616</v>
          </cell>
          <cell r="B1491" t="str">
            <v>LL    FLOOR PAINT  NIMBUSGREY 0000001250</v>
          </cell>
          <cell r="C1491" t="str">
            <v>Floor paint</v>
          </cell>
          <cell r="D1491">
            <v>15.04</v>
          </cell>
          <cell r="E1491">
            <v>0</v>
          </cell>
          <cell r="F1491">
            <v>0</v>
          </cell>
          <cell r="G1491">
            <v>0</v>
          </cell>
          <cell r="H1491">
            <v>15.04</v>
          </cell>
        </row>
        <row r="1492">
          <cell r="A1492" t="str">
            <v>00264618</v>
          </cell>
          <cell r="B1492" t="str">
            <v>LL    FLOOR PAINT  SLATE      0000001250</v>
          </cell>
          <cell r="C1492" t="str">
            <v>Floor paint</v>
          </cell>
          <cell r="D1492">
            <v>15.04</v>
          </cell>
          <cell r="E1492">
            <v>0</v>
          </cell>
          <cell r="F1492">
            <v>0</v>
          </cell>
          <cell r="G1492">
            <v>0</v>
          </cell>
          <cell r="H1492">
            <v>15.04</v>
          </cell>
        </row>
        <row r="1493">
          <cell r="A1493" t="str">
            <v>00264620</v>
          </cell>
          <cell r="B1493" t="str">
            <v>LL    FLOOR PAINT  TILE RED   0000001250</v>
          </cell>
          <cell r="C1493" t="str">
            <v>Floor paint</v>
          </cell>
          <cell r="D1493">
            <v>15.04</v>
          </cell>
          <cell r="E1493">
            <v>0</v>
          </cell>
          <cell r="F1493">
            <v>0</v>
          </cell>
          <cell r="G1493">
            <v>0</v>
          </cell>
          <cell r="H1493">
            <v>15.04</v>
          </cell>
        </row>
        <row r="1494">
          <cell r="A1494" t="str">
            <v>00308451</v>
          </cell>
          <cell r="B1494" t="str">
            <v>LL    FLOOR PAINT  YELLOW     0000001500</v>
          </cell>
          <cell r="C1494" t="str">
            <v>Floor paint</v>
          </cell>
          <cell r="D1494">
            <v>20.74</v>
          </cell>
          <cell r="E1494">
            <v>0</v>
          </cell>
          <cell r="F1494">
            <v>0</v>
          </cell>
          <cell r="G1494">
            <v>0</v>
          </cell>
          <cell r="H1494">
            <v>20.74</v>
          </cell>
        </row>
        <row r="1495">
          <cell r="A1495" t="str">
            <v>00264648</v>
          </cell>
          <cell r="B1495" t="str">
            <v>LL    GLOSS        CHERRY RED 0000001500</v>
          </cell>
          <cell r="C1495" t="str">
            <v>Solvent Gloss</v>
          </cell>
          <cell r="D1495">
            <v>16.71</v>
          </cell>
          <cell r="E1495">
            <v>0</v>
          </cell>
          <cell r="F1495">
            <v>0</v>
          </cell>
          <cell r="G1495">
            <v>0</v>
          </cell>
          <cell r="H1495">
            <v>22.93</v>
          </cell>
        </row>
        <row r="1496">
          <cell r="A1496" t="str">
            <v>00264631</v>
          </cell>
          <cell r="B1496" t="str">
            <v>LL    GLOSS        EMPIRE GRN 0000001500</v>
          </cell>
          <cell r="C1496" t="str">
            <v>Solvent Gloss</v>
          </cell>
          <cell r="D1496">
            <v>16.71</v>
          </cell>
          <cell r="E1496">
            <v>0</v>
          </cell>
          <cell r="F1496">
            <v>0</v>
          </cell>
          <cell r="G1496">
            <v>0</v>
          </cell>
          <cell r="H1496">
            <v>22.93</v>
          </cell>
        </row>
        <row r="1497">
          <cell r="A1497" t="str">
            <v>00264662</v>
          </cell>
          <cell r="B1497" t="str">
            <v>LL    GLOSS        MAGNOLIA   0000000750</v>
          </cell>
          <cell r="C1497" t="str">
            <v>Solvent Gloss</v>
          </cell>
          <cell r="D1497">
            <v>6.79</v>
          </cell>
          <cell r="E1497">
            <v>0</v>
          </cell>
          <cell r="F1497">
            <v>0</v>
          </cell>
          <cell r="G1497">
            <v>0</v>
          </cell>
          <cell r="H1497">
            <v>6.3214900000000007</v>
          </cell>
        </row>
        <row r="1498">
          <cell r="A1498" t="str">
            <v>00264663</v>
          </cell>
          <cell r="B1498" t="str">
            <v>LL    GLOSS        MAGNOLIA   0000001250</v>
          </cell>
          <cell r="C1498" t="str">
            <v>Solvent Gloss</v>
          </cell>
          <cell r="D1498">
            <v>10.48</v>
          </cell>
          <cell r="E1498">
            <v>0</v>
          </cell>
          <cell r="F1498">
            <v>0</v>
          </cell>
          <cell r="G1498">
            <v>0</v>
          </cell>
          <cell r="H1498">
            <v>11.36</v>
          </cell>
        </row>
        <row r="1499">
          <cell r="A1499" t="str">
            <v>00264664</v>
          </cell>
          <cell r="B1499" t="str">
            <v>LL    GLOSS        MAGNOLIA   0000001500</v>
          </cell>
          <cell r="C1499" t="str">
            <v>Solvent Gloss</v>
          </cell>
          <cell r="D1499">
            <v>16.71</v>
          </cell>
          <cell r="E1499">
            <v>0</v>
          </cell>
          <cell r="F1499">
            <v>0</v>
          </cell>
          <cell r="G1499">
            <v>0</v>
          </cell>
          <cell r="H1499">
            <v>18.93</v>
          </cell>
        </row>
        <row r="1500">
          <cell r="A1500" t="str">
            <v>00264672</v>
          </cell>
          <cell r="B1500" t="str">
            <v>LL    GLOSS        NANKING BL 0000001500</v>
          </cell>
          <cell r="C1500" t="str">
            <v>Solvent Gloss</v>
          </cell>
          <cell r="D1500">
            <v>16.71</v>
          </cell>
          <cell r="E1500">
            <v>0</v>
          </cell>
          <cell r="F1500">
            <v>0</v>
          </cell>
          <cell r="G1500">
            <v>0</v>
          </cell>
          <cell r="H1500">
            <v>22.93</v>
          </cell>
        </row>
        <row r="1501">
          <cell r="A1501" t="str">
            <v>00264635</v>
          </cell>
          <cell r="B1501" t="str">
            <v>LL    GLOSS        PEAT       0000000750</v>
          </cell>
          <cell r="C1501" t="str">
            <v>Solvent Gloss</v>
          </cell>
          <cell r="D1501">
            <v>6.79</v>
          </cell>
          <cell r="E1501">
            <v>0</v>
          </cell>
          <cell r="F1501">
            <v>0</v>
          </cell>
          <cell r="G1501">
            <v>0</v>
          </cell>
          <cell r="H1501">
            <v>6.3214900000000007</v>
          </cell>
        </row>
        <row r="1502">
          <cell r="A1502" t="str">
            <v>00264678</v>
          </cell>
          <cell r="B1502" t="str">
            <v>LL    GLOSS        PEAT       0000001250</v>
          </cell>
          <cell r="C1502" t="str">
            <v>Solvent Gloss</v>
          </cell>
          <cell r="D1502">
            <v>14.19</v>
          </cell>
          <cell r="E1502">
            <v>0</v>
          </cell>
          <cell r="F1502">
            <v>0</v>
          </cell>
          <cell r="G1502">
            <v>0</v>
          </cell>
          <cell r="H1502">
            <v>13.76</v>
          </cell>
        </row>
        <row r="1503">
          <cell r="A1503" t="str">
            <v>00264636</v>
          </cell>
          <cell r="B1503" t="str">
            <v>LL    GLOSS        PEAT       0000001500</v>
          </cell>
          <cell r="C1503" t="str">
            <v>Solvent Gloss</v>
          </cell>
          <cell r="D1503">
            <v>16.71</v>
          </cell>
          <cell r="E1503">
            <v>0</v>
          </cell>
          <cell r="F1503">
            <v>0</v>
          </cell>
          <cell r="G1503">
            <v>0</v>
          </cell>
          <cell r="H1503">
            <v>22.93</v>
          </cell>
        </row>
        <row r="1504">
          <cell r="A1504" t="str">
            <v>00264680</v>
          </cell>
          <cell r="B1504" t="str">
            <v>LL    GLOSS        SIGNAL RED 0000000750</v>
          </cell>
          <cell r="C1504" t="str">
            <v>Solvent Gloss</v>
          </cell>
          <cell r="D1504">
            <v>6.79</v>
          </cell>
          <cell r="E1504">
            <v>0</v>
          </cell>
          <cell r="F1504">
            <v>0</v>
          </cell>
          <cell r="G1504">
            <v>0</v>
          </cell>
          <cell r="H1504">
            <v>6.3214900000000007</v>
          </cell>
        </row>
        <row r="1505">
          <cell r="A1505" t="str">
            <v>00264681</v>
          </cell>
          <cell r="B1505" t="str">
            <v>LL    GLOSS        SIGNAL RED 0000001250</v>
          </cell>
          <cell r="C1505" t="str">
            <v>Solvent Gloss</v>
          </cell>
          <cell r="D1505">
            <v>14.19</v>
          </cell>
          <cell r="E1505">
            <v>0</v>
          </cell>
          <cell r="F1505">
            <v>0</v>
          </cell>
          <cell r="G1505">
            <v>0</v>
          </cell>
          <cell r="H1505">
            <v>13.76</v>
          </cell>
        </row>
        <row r="1506">
          <cell r="A1506" t="str">
            <v>00264682</v>
          </cell>
          <cell r="B1506" t="str">
            <v>LL    GLOSS        SIGNAL RED 0000001500</v>
          </cell>
          <cell r="C1506" t="str">
            <v>Solvent Gloss</v>
          </cell>
          <cell r="D1506">
            <v>16.71</v>
          </cell>
          <cell r="E1506">
            <v>0</v>
          </cell>
          <cell r="F1506">
            <v>0</v>
          </cell>
          <cell r="G1506">
            <v>0</v>
          </cell>
          <cell r="H1506">
            <v>22.93</v>
          </cell>
        </row>
        <row r="1507">
          <cell r="A1507" t="str">
            <v>00307871</v>
          </cell>
          <cell r="B1507" t="str">
            <v>LL    H/WEAR MATT  BRIL WHITE 0000001250</v>
          </cell>
          <cell r="C1507" t="str">
            <v>Acrylic Matt</v>
          </cell>
          <cell r="D1507">
            <v>17.5</v>
          </cell>
          <cell r="E1507">
            <v>0</v>
          </cell>
          <cell r="F1507">
            <v>0</v>
          </cell>
          <cell r="G1507">
            <v>0</v>
          </cell>
          <cell r="H1507">
            <v>8.91</v>
          </cell>
        </row>
        <row r="1508">
          <cell r="A1508" t="str">
            <v>00306668</v>
          </cell>
          <cell r="B1508" t="str">
            <v>LL    H/WEAR MATT  BRIL WHITE 0000001500</v>
          </cell>
          <cell r="C1508" t="str">
            <v>Acrylic Matt</v>
          </cell>
          <cell r="D1508">
            <v>33.020000000000003</v>
          </cell>
          <cell r="E1508">
            <v>0</v>
          </cell>
          <cell r="F1508">
            <v>0</v>
          </cell>
          <cell r="G1508">
            <v>0</v>
          </cell>
          <cell r="H1508">
            <v>14.85</v>
          </cell>
        </row>
        <row r="1509">
          <cell r="A1509" t="str">
            <v>00307872</v>
          </cell>
          <cell r="B1509" t="str">
            <v>LL    H/WEAR MATT  BRIL WHITE 0000002100</v>
          </cell>
          <cell r="C1509" t="str">
            <v>Acrylic Matt</v>
          </cell>
          <cell r="D1509">
            <v>53.05</v>
          </cell>
          <cell r="E1509">
            <v>0</v>
          </cell>
          <cell r="F1509">
            <v>0</v>
          </cell>
          <cell r="G1509">
            <v>0</v>
          </cell>
          <cell r="H1509">
            <v>28.215000000000003</v>
          </cell>
        </row>
        <row r="1510">
          <cell r="A1510" t="str">
            <v>00306670</v>
          </cell>
          <cell r="B1510" t="str">
            <v>LL    H/WEAR MATT  MAGNOLIA   0000001500</v>
          </cell>
          <cell r="C1510" t="str">
            <v>Acrylic Matt</v>
          </cell>
          <cell r="D1510">
            <v>33.020000000000003</v>
          </cell>
          <cell r="E1510">
            <v>0</v>
          </cell>
          <cell r="F1510">
            <v>0</v>
          </cell>
          <cell r="G1510">
            <v>0</v>
          </cell>
          <cell r="H1510">
            <v>14.85</v>
          </cell>
        </row>
        <row r="1511">
          <cell r="A1511" t="str">
            <v>00423756</v>
          </cell>
          <cell r="B1511" t="str">
            <v>LL    H/WEAR MATT  ULTRA DEEP 0000001231</v>
          </cell>
          <cell r="C1511" t="str">
            <v>Acrylic Matt</v>
          </cell>
          <cell r="D1511">
            <v>26.2</v>
          </cell>
          <cell r="E1511">
            <v>0</v>
          </cell>
          <cell r="F1511">
            <v>0</v>
          </cell>
          <cell r="G1511">
            <v>0</v>
          </cell>
          <cell r="H1511">
            <v>26.2</v>
          </cell>
        </row>
        <row r="1512">
          <cell r="A1512" t="str">
            <v>00423757</v>
          </cell>
          <cell r="B1512" t="str">
            <v>LL    H/WEAR MATT  ULTRA DEEP 0000001462</v>
          </cell>
          <cell r="C1512" t="str">
            <v>Acrylic Matt</v>
          </cell>
          <cell r="D1512">
            <v>49.5</v>
          </cell>
          <cell r="E1512">
            <v>0</v>
          </cell>
          <cell r="F1512">
            <v>0</v>
          </cell>
          <cell r="G1512">
            <v>0</v>
          </cell>
          <cell r="H1512">
            <v>49.5</v>
          </cell>
        </row>
        <row r="1513">
          <cell r="A1513" t="str">
            <v>00308452</v>
          </cell>
          <cell r="B1513" t="str">
            <v>LL    MDF PRIMER   WHITE      0000000750</v>
          </cell>
          <cell r="C1513" t="str">
            <v>Primer</v>
          </cell>
          <cell r="D1513">
            <v>9.69</v>
          </cell>
          <cell r="E1513">
            <v>0</v>
          </cell>
          <cell r="F1513">
            <v>0</v>
          </cell>
          <cell r="G1513">
            <v>0</v>
          </cell>
          <cell r="H1513">
            <v>9.69</v>
          </cell>
        </row>
        <row r="1514">
          <cell r="A1514" t="str">
            <v>00308453</v>
          </cell>
          <cell r="B1514" t="str">
            <v>LL    MDF PRIMER   WHITE      0000001250</v>
          </cell>
          <cell r="C1514" t="str">
            <v>Primer</v>
          </cell>
          <cell r="D1514">
            <v>22.05</v>
          </cell>
          <cell r="E1514">
            <v>0</v>
          </cell>
          <cell r="F1514">
            <v>0</v>
          </cell>
          <cell r="G1514">
            <v>0</v>
          </cell>
          <cell r="H1514">
            <v>22.05</v>
          </cell>
        </row>
        <row r="1515">
          <cell r="A1515" t="str">
            <v>00264693</v>
          </cell>
          <cell r="B1515" t="str">
            <v>LL    ND GLOSS     BRIL WHITE       0750</v>
          </cell>
          <cell r="C1515" t="str">
            <v>Solvent Gloss</v>
          </cell>
          <cell r="D1515">
            <v>8.61</v>
          </cell>
          <cell r="E1515">
            <v>0</v>
          </cell>
          <cell r="F1515">
            <v>0</v>
          </cell>
          <cell r="G1515">
            <v>0</v>
          </cell>
          <cell r="H1515">
            <v>8.61</v>
          </cell>
        </row>
        <row r="1516">
          <cell r="A1516" t="str">
            <v>00264694</v>
          </cell>
          <cell r="B1516" t="str">
            <v>LL    ND GLOSS     BRIL WHITE       1250</v>
          </cell>
          <cell r="C1516" t="str">
            <v>Solvent Gloss</v>
          </cell>
          <cell r="D1516">
            <v>12.16</v>
          </cell>
          <cell r="E1516">
            <v>0</v>
          </cell>
          <cell r="F1516">
            <v>0</v>
          </cell>
          <cell r="G1516">
            <v>0</v>
          </cell>
          <cell r="H1516">
            <v>12.16</v>
          </cell>
        </row>
        <row r="1517">
          <cell r="A1517" t="str">
            <v>00300709</v>
          </cell>
          <cell r="B1517" t="str">
            <v>LL    O/COAT GLOSS BLACK      0000000750</v>
          </cell>
          <cell r="C1517" t="str">
            <v>Solvent Gloss</v>
          </cell>
          <cell r="D1517">
            <v>17.260000000000002</v>
          </cell>
          <cell r="E1517">
            <v>0</v>
          </cell>
          <cell r="F1517">
            <v>0</v>
          </cell>
          <cell r="G1517">
            <v>0</v>
          </cell>
          <cell r="H1517">
            <v>17.260000000000002</v>
          </cell>
        </row>
        <row r="1518">
          <cell r="A1518" t="str">
            <v>00264697</v>
          </cell>
          <cell r="B1518" t="str">
            <v>LL    PLIOLITE     GARDENIA   0000001500</v>
          </cell>
          <cell r="C1518" t="str">
            <v>Pliolite</v>
          </cell>
          <cell r="D1518">
            <v>18.010000000000002</v>
          </cell>
          <cell r="E1518">
            <v>0</v>
          </cell>
          <cell r="F1518">
            <v>0</v>
          </cell>
          <cell r="G1518">
            <v>0</v>
          </cell>
          <cell r="H1518">
            <v>18.010000000000002</v>
          </cell>
        </row>
        <row r="1519">
          <cell r="A1519" t="str">
            <v>00300719</v>
          </cell>
          <cell r="B1519" t="str">
            <v>LL    PLIOLITE     PALE BEIGE 0000001500</v>
          </cell>
          <cell r="C1519" t="str">
            <v>Pliolite</v>
          </cell>
          <cell r="D1519">
            <v>18.010000000000002</v>
          </cell>
          <cell r="E1519">
            <v>0</v>
          </cell>
          <cell r="F1519">
            <v>0</v>
          </cell>
          <cell r="G1519">
            <v>0</v>
          </cell>
          <cell r="H1519">
            <v>18.010000000000002</v>
          </cell>
        </row>
        <row r="1520">
          <cell r="A1520" t="str">
            <v>00300713</v>
          </cell>
          <cell r="B1520" t="str">
            <v>LL    PLIOLITE     PEARL      0000001500</v>
          </cell>
          <cell r="C1520" t="str">
            <v>Pliolite</v>
          </cell>
          <cell r="D1520">
            <v>18.010000000000002</v>
          </cell>
          <cell r="E1520">
            <v>0</v>
          </cell>
          <cell r="F1520">
            <v>0</v>
          </cell>
          <cell r="G1520">
            <v>0</v>
          </cell>
          <cell r="H1520">
            <v>18.010000000000002</v>
          </cell>
        </row>
        <row r="1521">
          <cell r="A1521" t="str">
            <v>00300722</v>
          </cell>
          <cell r="B1521" t="str">
            <v>LL    PLIOLITE     PEAT       0000001500</v>
          </cell>
          <cell r="C1521" t="str">
            <v>Pliolite</v>
          </cell>
          <cell r="D1521">
            <v>18.010000000000002</v>
          </cell>
          <cell r="E1521">
            <v>0</v>
          </cell>
          <cell r="F1521">
            <v>0</v>
          </cell>
          <cell r="G1521">
            <v>0</v>
          </cell>
          <cell r="H1521">
            <v>18.010000000000002</v>
          </cell>
        </row>
        <row r="1522">
          <cell r="A1522" t="str">
            <v>00264381</v>
          </cell>
          <cell r="B1522" t="str">
            <v>LL    PRIMER       P20 ALK RS 0000001250</v>
          </cell>
          <cell r="C1522" t="str">
            <v>Primer</v>
          </cell>
          <cell r="D1522">
            <v>23.55</v>
          </cell>
          <cell r="E1522">
            <v>0</v>
          </cell>
          <cell r="F1522">
            <v>0</v>
          </cell>
          <cell r="G1522">
            <v>0</v>
          </cell>
          <cell r="H1522">
            <v>23.55</v>
          </cell>
        </row>
        <row r="1523">
          <cell r="A1523" t="str">
            <v>00264699</v>
          </cell>
          <cell r="B1523" t="str">
            <v>LL    SATINWOOD    BRIL WHITE 0000000750</v>
          </cell>
          <cell r="C1523" t="str">
            <v>Solvent Satin</v>
          </cell>
          <cell r="D1523">
            <v>10.5</v>
          </cell>
          <cell r="E1523">
            <v>0</v>
          </cell>
          <cell r="F1523">
            <v>0</v>
          </cell>
          <cell r="G1523">
            <v>0</v>
          </cell>
          <cell r="H1523">
            <v>10.5</v>
          </cell>
        </row>
        <row r="1524">
          <cell r="A1524" t="str">
            <v>00423340</v>
          </cell>
          <cell r="B1524" t="str">
            <v>LL    SMART M/SURF LIGHT GREY 0000000750</v>
          </cell>
          <cell r="C1524" t="str">
            <v>Smart multisurface</v>
          </cell>
          <cell r="D1524">
            <v>11.84</v>
          </cell>
          <cell r="E1524">
            <v>0</v>
          </cell>
          <cell r="F1524">
            <v>0</v>
          </cell>
          <cell r="G1524">
            <v>0</v>
          </cell>
          <cell r="H1524">
            <v>11.84</v>
          </cell>
        </row>
        <row r="1525">
          <cell r="A1525" t="str">
            <v>00423346</v>
          </cell>
          <cell r="B1525" t="str">
            <v>LL    SMART M/SURF LIGHT GREY 0000001250</v>
          </cell>
          <cell r="C1525" t="str">
            <v>Smart multisurface</v>
          </cell>
          <cell r="D1525">
            <v>24.07</v>
          </cell>
          <cell r="E1525">
            <v>0</v>
          </cell>
          <cell r="F1525">
            <v>0</v>
          </cell>
          <cell r="G1525">
            <v>0</v>
          </cell>
          <cell r="H1525">
            <v>24.07</v>
          </cell>
        </row>
        <row r="1526">
          <cell r="A1526" t="str">
            <v>00423338</v>
          </cell>
          <cell r="B1526" t="str">
            <v>LL    SMART M/SURF MAGNOLIA   0000000750</v>
          </cell>
          <cell r="C1526" t="str">
            <v>Smart multisurface</v>
          </cell>
          <cell r="D1526">
            <v>10.77</v>
          </cell>
          <cell r="E1526">
            <v>0</v>
          </cell>
          <cell r="F1526">
            <v>0</v>
          </cell>
          <cell r="G1526">
            <v>0</v>
          </cell>
          <cell r="H1526">
            <v>10.77</v>
          </cell>
        </row>
        <row r="1527">
          <cell r="A1527" t="str">
            <v>00423350</v>
          </cell>
          <cell r="B1527" t="str">
            <v>LL    SMART M/SURF MAGNOLIA   0000001500</v>
          </cell>
          <cell r="C1527" t="str">
            <v>Smart multisurface</v>
          </cell>
          <cell r="D1527">
            <v>36.43</v>
          </cell>
          <cell r="E1527">
            <v>0</v>
          </cell>
          <cell r="F1527">
            <v>0</v>
          </cell>
          <cell r="G1527">
            <v>0</v>
          </cell>
          <cell r="H1527">
            <v>36.43</v>
          </cell>
        </row>
        <row r="1528">
          <cell r="A1528" t="str">
            <v>00423342</v>
          </cell>
          <cell r="B1528" t="str">
            <v>LL    SMART M/SURF OFF WHITE  0000000750</v>
          </cell>
          <cell r="C1528" t="str">
            <v>Smart multisurface</v>
          </cell>
          <cell r="D1528">
            <v>11.84</v>
          </cell>
          <cell r="E1528">
            <v>0</v>
          </cell>
          <cell r="F1528">
            <v>0</v>
          </cell>
          <cell r="G1528">
            <v>0</v>
          </cell>
          <cell r="H1528">
            <v>11.84</v>
          </cell>
        </row>
        <row r="1529">
          <cell r="A1529" t="str">
            <v>00304325</v>
          </cell>
          <cell r="B1529" t="str">
            <v>LL    STAB SOLUTIO CLEAR      0000001250</v>
          </cell>
          <cell r="C1529" t="str">
            <v>Stabilising Solution</v>
          </cell>
          <cell r="D1529">
            <v>22.33</v>
          </cell>
          <cell r="E1529">
            <v>0</v>
          </cell>
          <cell r="F1529">
            <v>0</v>
          </cell>
          <cell r="G1529">
            <v>0</v>
          </cell>
          <cell r="H1529">
            <v>22.33</v>
          </cell>
        </row>
        <row r="1530">
          <cell r="A1530" t="str">
            <v>00264709</v>
          </cell>
          <cell r="B1530" t="str">
            <v>LL    SUPER LEYTEX GARDENIA   0000002100</v>
          </cell>
          <cell r="C1530" t="str">
            <v>Contract matt</v>
          </cell>
          <cell r="D1530">
            <v>45.9</v>
          </cell>
          <cell r="E1530">
            <v>0</v>
          </cell>
          <cell r="F1530">
            <v>0</v>
          </cell>
          <cell r="G1530">
            <v>0</v>
          </cell>
          <cell r="H1530">
            <v>45.9</v>
          </cell>
        </row>
        <row r="1531">
          <cell r="A1531" t="str">
            <v>00264711</v>
          </cell>
          <cell r="B1531" t="str">
            <v>LL    SUPER LEYTEX MAGNOLIA   0000001500</v>
          </cell>
          <cell r="C1531" t="str">
            <v>Contract matt</v>
          </cell>
          <cell r="D1531">
            <v>17.149999999999999</v>
          </cell>
          <cell r="E1531">
            <v>0</v>
          </cell>
          <cell r="F1531">
            <v>0</v>
          </cell>
          <cell r="G1531">
            <v>0</v>
          </cell>
          <cell r="H1531">
            <v>17.149999999999999</v>
          </cell>
        </row>
        <row r="1532">
          <cell r="A1532" t="str">
            <v>00264710</v>
          </cell>
          <cell r="B1532" t="str">
            <v>LL    SUPER LEYTEX MAGNOLIA   0000002100</v>
          </cell>
          <cell r="C1532" t="str">
            <v>Contract matt</v>
          </cell>
          <cell r="D1532">
            <v>27.22</v>
          </cell>
          <cell r="E1532">
            <v>0</v>
          </cell>
          <cell r="F1532">
            <v>0</v>
          </cell>
          <cell r="G1532">
            <v>0</v>
          </cell>
          <cell r="H1532">
            <v>27.22</v>
          </cell>
        </row>
        <row r="1533">
          <cell r="A1533" t="str">
            <v>00300702</v>
          </cell>
          <cell r="B1533" t="str">
            <v>LL    T/G HI/TEXTURED  B/WHI 0000002100</v>
          </cell>
          <cell r="C1533" t="str">
            <v>High Build masonry</v>
          </cell>
          <cell r="D1533">
            <v>63.02</v>
          </cell>
          <cell r="E1533">
            <v>0</v>
          </cell>
          <cell r="F1533">
            <v>0</v>
          </cell>
          <cell r="G1533">
            <v>0</v>
          </cell>
          <cell r="H1533">
            <v>63.02</v>
          </cell>
        </row>
        <row r="1534">
          <cell r="A1534" t="str">
            <v>00264727</v>
          </cell>
          <cell r="B1534" t="str">
            <v>LL    T/G SMTH 15Y CREAM      0000001500</v>
          </cell>
          <cell r="C1534" t="str">
            <v>Smooth masonry</v>
          </cell>
          <cell r="D1534">
            <v>16.010000000000002</v>
          </cell>
          <cell r="E1534">
            <v>0</v>
          </cell>
          <cell r="F1534">
            <v>0</v>
          </cell>
          <cell r="G1534">
            <v>0</v>
          </cell>
          <cell r="H1534">
            <v>16.010000000000002</v>
          </cell>
        </row>
        <row r="1535">
          <cell r="A1535" t="str">
            <v>00264728</v>
          </cell>
          <cell r="B1535" t="str">
            <v>LL    T/G SMTH 15Y DOVE GREY  0000001500</v>
          </cell>
          <cell r="C1535" t="str">
            <v>Smooth masonry</v>
          </cell>
          <cell r="D1535">
            <v>16.010000000000002</v>
          </cell>
          <cell r="E1535">
            <v>0</v>
          </cell>
          <cell r="F1535">
            <v>0</v>
          </cell>
          <cell r="G1535">
            <v>0</v>
          </cell>
          <cell r="H1535">
            <v>16.010000000000002</v>
          </cell>
        </row>
        <row r="1536">
          <cell r="A1536" t="str">
            <v>00300694</v>
          </cell>
          <cell r="B1536" t="str">
            <v>LL    T/G SMTH 15Y GARDENIA   0000001500</v>
          </cell>
          <cell r="C1536" t="str">
            <v>Smooth masonry</v>
          </cell>
          <cell r="D1536">
            <v>16.010000000000002</v>
          </cell>
          <cell r="E1536">
            <v>0</v>
          </cell>
          <cell r="F1536">
            <v>0</v>
          </cell>
          <cell r="G1536">
            <v>0</v>
          </cell>
          <cell r="H1536">
            <v>16.010000000000002</v>
          </cell>
        </row>
        <row r="1537">
          <cell r="A1537" t="str">
            <v>00264730</v>
          </cell>
          <cell r="B1537" t="str">
            <v>LL    T/G SMTH 15Y KASH BIEGE 0000001500</v>
          </cell>
          <cell r="C1537" t="str">
            <v>Smooth masonry</v>
          </cell>
          <cell r="D1537">
            <v>16.010000000000002</v>
          </cell>
          <cell r="E1537">
            <v>0</v>
          </cell>
          <cell r="F1537">
            <v>0</v>
          </cell>
          <cell r="G1537">
            <v>0</v>
          </cell>
          <cell r="H1537">
            <v>16.010000000000002</v>
          </cell>
        </row>
        <row r="1538">
          <cell r="A1538" t="str">
            <v>00264735</v>
          </cell>
          <cell r="B1538" t="str">
            <v>LL    T/G SMTH 15Y PEARL      0000001500</v>
          </cell>
          <cell r="C1538" t="str">
            <v>Smooth masonry</v>
          </cell>
          <cell r="D1538">
            <v>16.010000000000002</v>
          </cell>
          <cell r="E1538">
            <v>0</v>
          </cell>
          <cell r="F1538">
            <v>0</v>
          </cell>
          <cell r="G1538">
            <v>0</v>
          </cell>
          <cell r="H1538">
            <v>16.010000000000002</v>
          </cell>
        </row>
        <row r="1539">
          <cell r="A1539" t="str">
            <v>00264722</v>
          </cell>
          <cell r="B1539" t="str">
            <v>LL    T/G TEXTURED BRIL WHITE 0000001500</v>
          </cell>
          <cell r="C1539" t="str">
            <v>Textured masonry</v>
          </cell>
          <cell r="D1539">
            <v>26.6</v>
          </cell>
          <cell r="E1539">
            <v>0</v>
          </cell>
          <cell r="F1539">
            <v>0</v>
          </cell>
          <cell r="G1539">
            <v>0</v>
          </cell>
          <cell r="H1539">
            <v>26.6</v>
          </cell>
        </row>
        <row r="1540">
          <cell r="A1540" t="str">
            <v>00264742</v>
          </cell>
          <cell r="B1540" t="str">
            <v>LL    T/G TEXTURED MAGNOLIA   0000001500</v>
          </cell>
          <cell r="C1540" t="str">
            <v>Textured masonry</v>
          </cell>
          <cell r="D1540">
            <v>26.6</v>
          </cell>
          <cell r="E1540">
            <v>0</v>
          </cell>
          <cell r="F1540">
            <v>0</v>
          </cell>
          <cell r="G1540">
            <v>0</v>
          </cell>
          <cell r="H1540">
            <v>26.6</v>
          </cell>
        </row>
        <row r="1541">
          <cell r="A1541" t="str">
            <v>00264750</v>
          </cell>
          <cell r="B1541" t="str">
            <v>LL    UNDERCOAT    DARK GREY  0000000750</v>
          </cell>
          <cell r="C1541" t="str">
            <v>Solvent Undercoat</v>
          </cell>
          <cell r="D1541">
            <v>10.95</v>
          </cell>
          <cell r="E1541">
            <v>0</v>
          </cell>
          <cell r="F1541">
            <v>0</v>
          </cell>
          <cell r="G1541">
            <v>0</v>
          </cell>
          <cell r="H1541">
            <v>10.95</v>
          </cell>
        </row>
        <row r="1542">
          <cell r="A1542" t="str">
            <v>00264751</v>
          </cell>
          <cell r="B1542" t="str">
            <v>LL    UNDERCOAT    DARK GREY  0000001250</v>
          </cell>
          <cell r="C1542" t="str">
            <v>Solvent Undercoat</v>
          </cell>
          <cell r="D1542">
            <v>14.19</v>
          </cell>
          <cell r="E1542">
            <v>0</v>
          </cell>
          <cell r="F1542">
            <v>0</v>
          </cell>
          <cell r="G1542">
            <v>0</v>
          </cell>
          <cell r="H1542">
            <v>14.19</v>
          </cell>
        </row>
        <row r="1543">
          <cell r="A1543" t="str">
            <v>00264767</v>
          </cell>
          <cell r="B1543" t="str">
            <v>LL    UNDERCOAT    MID GREY   0000000750</v>
          </cell>
          <cell r="C1543" t="str">
            <v>Solvent Undercoat</v>
          </cell>
          <cell r="D1543">
            <v>10.95</v>
          </cell>
          <cell r="E1543">
            <v>0</v>
          </cell>
          <cell r="F1543">
            <v>0</v>
          </cell>
          <cell r="G1543">
            <v>0</v>
          </cell>
          <cell r="H1543">
            <v>10.95</v>
          </cell>
        </row>
        <row r="1544">
          <cell r="A1544" t="str">
            <v>00264768</v>
          </cell>
          <cell r="B1544" t="str">
            <v>LL    UNDERCOAT    MID GREY   0000001250</v>
          </cell>
          <cell r="C1544" t="str">
            <v>Solvent Undercoat</v>
          </cell>
          <cell r="D1544">
            <v>14.19</v>
          </cell>
          <cell r="E1544">
            <v>0</v>
          </cell>
          <cell r="F1544">
            <v>0</v>
          </cell>
          <cell r="G1544">
            <v>0</v>
          </cell>
          <cell r="H1544">
            <v>14.19</v>
          </cell>
        </row>
        <row r="1545">
          <cell r="A1545" t="str">
            <v>00264784</v>
          </cell>
          <cell r="B1545" t="str">
            <v>LL    UNDERCOAT    WHITE      0000000750</v>
          </cell>
          <cell r="C1545" t="str">
            <v>Solvent Undercoat</v>
          </cell>
          <cell r="D1545">
            <v>7.41</v>
          </cell>
          <cell r="E1545">
            <v>0</v>
          </cell>
          <cell r="F1545">
            <v>0</v>
          </cell>
          <cell r="G1545">
            <v>0</v>
          </cell>
          <cell r="H1545">
            <v>7.41</v>
          </cell>
        </row>
        <row r="1546">
          <cell r="A1546" t="str">
            <v>00264870</v>
          </cell>
          <cell r="B1546" t="str">
            <v>LL    V/SOFT SHEEN BRIL WHITE 0000001500</v>
          </cell>
          <cell r="C1546" t="str">
            <v>Soft Sheen</v>
          </cell>
          <cell r="D1546">
            <v>10.89</v>
          </cell>
          <cell r="E1546">
            <v>0</v>
          </cell>
          <cell r="F1546">
            <v>0</v>
          </cell>
          <cell r="G1546">
            <v>0</v>
          </cell>
          <cell r="H1546">
            <v>10.89</v>
          </cell>
        </row>
        <row r="1547">
          <cell r="A1547" t="str">
            <v>00264872</v>
          </cell>
          <cell r="B1547" t="str">
            <v>LL    V/SOFT SHEEN MAGNOLIA   0000001500</v>
          </cell>
          <cell r="C1547" t="str">
            <v>Soft Sheen</v>
          </cell>
          <cell r="D1547">
            <v>10.91</v>
          </cell>
          <cell r="E1547">
            <v>0</v>
          </cell>
          <cell r="F1547">
            <v>0</v>
          </cell>
          <cell r="G1547">
            <v>0</v>
          </cell>
          <cell r="H1547">
            <v>10.89</v>
          </cell>
        </row>
        <row r="1548">
          <cell r="A1548" t="str">
            <v>00264802</v>
          </cell>
          <cell r="B1548" t="str">
            <v>LL    VINYL MATT   BRIL WHITE 0000001250</v>
          </cell>
          <cell r="C1548" t="str">
            <v>Vinyl matt</v>
          </cell>
          <cell r="D1548">
            <v>7.41</v>
          </cell>
          <cell r="E1548">
            <v>0</v>
          </cell>
          <cell r="F1548">
            <v>0</v>
          </cell>
          <cell r="G1548">
            <v>0</v>
          </cell>
          <cell r="H1548">
            <v>7.41</v>
          </cell>
        </row>
        <row r="1549">
          <cell r="A1549" t="str">
            <v>00264811</v>
          </cell>
          <cell r="B1549" t="str">
            <v>LL    VINYL MATT   DOVE GREY  0000001500</v>
          </cell>
          <cell r="C1549" t="str">
            <v>Vinyl matt</v>
          </cell>
          <cell r="D1549">
            <v>10.38</v>
          </cell>
          <cell r="E1549">
            <v>0</v>
          </cell>
          <cell r="F1549">
            <v>0</v>
          </cell>
          <cell r="G1549">
            <v>0</v>
          </cell>
          <cell r="H1549">
            <v>10.38</v>
          </cell>
        </row>
        <row r="1550">
          <cell r="A1550" t="str">
            <v>00264815</v>
          </cell>
          <cell r="B1550" t="str">
            <v>LL    VINYL MATT   GARDENIA   0000001500</v>
          </cell>
          <cell r="C1550" t="str">
            <v>Vinyl matt</v>
          </cell>
          <cell r="D1550">
            <v>10.38</v>
          </cell>
          <cell r="E1550">
            <v>0</v>
          </cell>
          <cell r="F1550">
            <v>0</v>
          </cell>
          <cell r="G1550">
            <v>0</v>
          </cell>
          <cell r="H1550">
            <v>10.38</v>
          </cell>
        </row>
        <row r="1551">
          <cell r="A1551" t="str">
            <v>00264819</v>
          </cell>
          <cell r="B1551" t="str">
            <v>LL    VINYL MATT   MAGNOLIA   0000001100</v>
          </cell>
          <cell r="C1551" t="str">
            <v>Vinyl matt</v>
          </cell>
          <cell r="D1551">
            <v>7.35</v>
          </cell>
          <cell r="E1551">
            <v>0</v>
          </cell>
          <cell r="F1551">
            <v>0</v>
          </cell>
          <cell r="G1551">
            <v>0</v>
          </cell>
          <cell r="H1551">
            <v>7.35</v>
          </cell>
        </row>
        <row r="1552">
          <cell r="A1552" t="str">
            <v>00264827</v>
          </cell>
          <cell r="B1552" t="str">
            <v>LL    VINYL MATT   PALE BEIGE 0000001500</v>
          </cell>
          <cell r="C1552" t="str">
            <v>Vinyl matt</v>
          </cell>
          <cell r="D1552">
            <v>10.38</v>
          </cell>
          <cell r="E1552">
            <v>0</v>
          </cell>
          <cell r="F1552">
            <v>0</v>
          </cell>
          <cell r="G1552">
            <v>0</v>
          </cell>
          <cell r="H1552">
            <v>10.38</v>
          </cell>
        </row>
        <row r="1553">
          <cell r="A1553" t="str">
            <v>00423755</v>
          </cell>
          <cell r="B1553" t="str">
            <v>LL    VINYL MATT   ULTRA DEEP 0000001925</v>
          </cell>
          <cell r="C1553" t="str">
            <v>Vinyl matt</v>
          </cell>
          <cell r="D1553">
            <v>55.49</v>
          </cell>
          <cell r="E1553">
            <v>0</v>
          </cell>
          <cell r="F1553">
            <v>0</v>
          </cell>
          <cell r="G1553">
            <v>0</v>
          </cell>
          <cell r="H1553">
            <v>55.49</v>
          </cell>
        </row>
        <row r="1554">
          <cell r="A1554" t="str">
            <v>00264835</v>
          </cell>
          <cell r="B1554" t="str">
            <v>LL    VINYL MATT   WHITE      0000002100</v>
          </cell>
          <cell r="C1554" t="str">
            <v>Vinyl matt</v>
          </cell>
          <cell r="D1554">
            <v>20.74</v>
          </cell>
          <cell r="E1554">
            <v>0</v>
          </cell>
          <cell r="F1554">
            <v>0</v>
          </cell>
          <cell r="G1554">
            <v>0</v>
          </cell>
          <cell r="H1554">
            <v>20.74</v>
          </cell>
        </row>
        <row r="1555">
          <cell r="A1555" t="str">
            <v>00264848</v>
          </cell>
          <cell r="B1555" t="str">
            <v>LL    VINYL SILK   BRIL WHITE 0000001100</v>
          </cell>
          <cell r="C1555" t="str">
            <v>Vinyl Silk</v>
          </cell>
          <cell r="D1555">
            <v>8.0500000000000007</v>
          </cell>
          <cell r="E1555">
            <v>0</v>
          </cell>
          <cell r="F1555">
            <v>0</v>
          </cell>
          <cell r="G1555">
            <v>0</v>
          </cell>
          <cell r="H1555">
            <v>8.0500000000000007</v>
          </cell>
        </row>
        <row r="1556">
          <cell r="A1556" t="str">
            <v>00300871</v>
          </cell>
          <cell r="B1556" t="str">
            <v>LL    WOOD PRIMER  WHITE      0000000750</v>
          </cell>
          <cell r="C1556" t="str">
            <v>Primer</v>
          </cell>
          <cell r="D1556">
            <v>9.59</v>
          </cell>
          <cell r="E1556">
            <v>0</v>
          </cell>
          <cell r="F1556">
            <v>0</v>
          </cell>
          <cell r="G1556">
            <v>0</v>
          </cell>
          <cell r="H1556">
            <v>9.59</v>
          </cell>
        </row>
        <row r="1557">
          <cell r="A1557" t="str">
            <v>00264877</v>
          </cell>
          <cell r="B1557" t="str">
            <v>LL    WOOD PRIMER  WHITE      0000001250</v>
          </cell>
          <cell r="C1557" t="str">
            <v>Primer</v>
          </cell>
          <cell r="D1557">
            <v>23.56</v>
          </cell>
          <cell r="E1557">
            <v>0</v>
          </cell>
          <cell r="F1557">
            <v>0</v>
          </cell>
          <cell r="G1557">
            <v>0</v>
          </cell>
          <cell r="H1557">
            <v>23.56</v>
          </cell>
        </row>
        <row r="1558">
          <cell r="A1558" t="str">
            <v>00264878</v>
          </cell>
          <cell r="B1558" t="str">
            <v>LL    WOOD PRIMER  WHITE      0000001500</v>
          </cell>
          <cell r="C1558" t="str">
            <v>Primer</v>
          </cell>
          <cell r="D1558">
            <v>17.53</v>
          </cell>
          <cell r="E1558">
            <v>0</v>
          </cell>
          <cell r="F1558">
            <v>0</v>
          </cell>
          <cell r="G1558">
            <v>0</v>
          </cell>
          <cell r="H1558">
            <v>17.53</v>
          </cell>
        </row>
        <row r="1559">
          <cell r="A1559" t="str">
            <v>00423343</v>
          </cell>
          <cell r="B1559" t="str">
            <v>LL   SMART M/SURF BRIL WHITE 0000001250</v>
          </cell>
          <cell r="C1559" t="str">
            <v>Smart multisurface</v>
          </cell>
          <cell r="D1559">
            <v>21.88</v>
          </cell>
          <cell r="E1559">
            <v>0</v>
          </cell>
          <cell r="F1559">
            <v>0</v>
          </cell>
          <cell r="G1559">
            <v>0</v>
          </cell>
          <cell r="H1559">
            <v>21.88</v>
          </cell>
        </row>
        <row r="1560">
          <cell r="A1560" t="str">
            <v>00423347</v>
          </cell>
          <cell r="B1560" t="str">
            <v>LL   SMART M/SURF DARK GREY  0000001250</v>
          </cell>
          <cell r="C1560" t="str">
            <v>Smart multisurface</v>
          </cell>
          <cell r="D1560">
            <v>24.07</v>
          </cell>
          <cell r="E1560">
            <v>0</v>
          </cell>
          <cell r="F1560">
            <v>0</v>
          </cell>
          <cell r="G1560">
            <v>0</v>
          </cell>
          <cell r="H1560">
            <v>24.07</v>
          </cell>
        </row>
        <row r="1561">
          <cell r="A1561" t="str">
            <v>00423344</v>
          </cell>
          <cell r="B1561" t="str">
            <v>LL   SMART M/SURF MANGOLIA   0000001250</v>
          </cell>
          <cell r="C1561" t="str">
            <v>Smart multisurface</v>
          </cell>
          <cell r="D1561">
            <v>21.88</v>
          </cell>
          <cell r="E1561">
            <v>0</v>
          </cell>
          <cell r="F1561">
            <v>0</v>
          </cell>
          <cell r="G1561">
            <v>0</v>
          </cell>
          <cell r="H1561">
            <v>21.88</v>
          </cell>
        </row>
        <row r="1562">
          <cell r="A1562" t="str">
            <v>00423348</v>
          </cell>
          <cell r="B1562" t="str">
            <v>LL   SMART M/SURF OFF WHITE  0000001250</v>
          </cell>
          <cell r="C1562" t="str">
            <v>Smart multisurface</v>
          </cell>
          <cell r="D1562">
            <v>24.07</v>
          </cell>
          <cell r="E1562">
            <v>0</v>
          </cell>
          <cell r="F1562">
            <v>0</v>
          </cell>
          <cell r="G1562">
            <v>0</v>
          </cell>
          <cell r="H1562">
            <v>24.07</v>
          </cell>
        </row>
        <row r="1563">
          <cell r="A1563" t="str">
            <v>00435173</v>
          </cell>
          <cell r="B1563" t="str">
            <v>LL   SMART MAT BRILL WHITE    000001250</v>
          </cell>
          <cell r="C1563" t="str">
            <v>Smart Matt</v>
          </cell>
          <cell r="D1563">
            <v>21.88</v>
          </cell>
          <cell r="E1563">
            <v>0</v>
          </cell>
          <cell r="F1563">
            <v>0</v>
          </cell>
          <cell r="G1563">
            <v>0</v>
          </cell>
          <cell r="H1563">
            <v>21.88</v>
          </cell>
        </row>
        <row r="1564">
          <cell r="A1564" t="str">
            <v>00435175</v>
          </cell>
          <cell r="B1564" t="str">
            <v>LL   SMART MAT BRILL WHITE   000002100</v>
          </cell>
          <cell r="C1564" t="str">
            <v>Smart Matt</v>
          </cell>
          <cell r="D1564">
            <v>66.2</v>
          </cell>
          <cell r="E1564">
            <v>0</v>
          </cell>
          <cell r="F1564">
            <v>0</v>
          </cell>
          <cell r="G1564">
            <v>0</v>
          </cell>
          <cell r="H1564">
            <v>66.2</v>
          </cell>
        </row>
        <row r="1565">
          <cell r="A1565" t="str">
            <v>00435174</v>
          </cell>
          <cell r="B1565" t="str">
            <v>LL   SMART MAT BRILL WHITE   00001500</v>
          </cell>
          <cell r="C1565" t="str">
            <v>Smart Matt</v>
          </cell>
          <cell r="D1565">
            <v>36.43</v>
          </cell>
          <cell r="E1565">
            <v>0</v>
          </cell>
          <cell r="F1565">
            <v>0</v>
          </cell>
          <cell r="G1565">
            <v>0</v>
          </cell>
          <cell r="H1565">
            <v>36.43</v>
          </cell>
        </row>
        <row r="1566">
          <cell r="A1566" t="str">
            <v>00435176</v>
          </cell>
          <cell r="B1566" t="str">
            <v>LL   SMART MAT MAGNOLIA     0000001250</v>
          </cell>
          <cell r="C1566" t="str">
            <v>Smart Matt</v>
          </cell>
          <cell r="D1566">
            <v>21.88</v>
          </cell>
          <cell r="E1566">
            <v>0</v>
          </cell>
          <cell r="F1566">
            <v>0</v>
          </cell>
          <cell r="G1566">
            <v>0</v>
          </cell>
          <cell r="H1566">
            <v>21.88</v>
          </cell>
        </row>
        <row r="1567">
          <cell r="A1567" t="str">
            <v>00435178</v>
          </cell>
          <cell r="B1567" t="str">
            <v>LL   SMART MAT MAGNOLIA     0000002100</v>
          </cell>
          <cell r="C1567" t="str">
            <v>Smart Matt</v>
          </cell>
          <cell r="D1567">
            <v>66.2</v>
          </cell>
          <cell r="E1567">
            <v>0</v>
          </cell>
          <cell r="F1567">
            <v>0</v>
          </cell>
          <cell r="G1567">
            <v>0</v>
          </cell>
          <cell r="H1567">
            <v>66.2</v>
          </cell>
        </row>
        <row r="1568">
          <cell r="A1568" t="str">
            <v>00435177</v>
          </cell>
          <cell r="B1568" t="str">
            <v>LL   SMART MAT MAGNOLIA    0000001500</v>
          </cell>
          <cell r="C1568" t="str">
            <v>Smart Matt</v>
          </cell>
          <cell r="D1568">
            <v>36.43</v>
          </cell>
          <cell r="E1568">
            <v>0</v>
          </cell>
          <cell r="F1568">
            <v>0</v>
          </cell>
          <cell r="G1568">
            <v>0</v>
          </cell>
          <cell r="H1568">
            <v>36.43</v>
          </cell>
        </row>
        <row r="1569">
          <cell r="A1569" t="str">
            <v>00435180</v>
          </cell>
          <cell r="B1569" t="str">
            <v>LL   SMART MAT TORNADO      1009-21250</v>
          </cell>
          <cell r="C1569" t="str">
            <v>Smart Matt</v>
          </cell>
          <cell r="D1569">
            <v>24.07</v>
          </cell>
          <cell r="E1569">
            <v>0</v>
          </cell>
          <cell r="F1569">
            <v>0</v>
          </cell>
          <cell r="G1569">
            <v>0</v>
          </cell>
          <cell r="H1569">
            <v>24.07</v>
          </cell>
        </row>
        <row r="1570">
          <cell r="A1570" t="str">
            <v>00435183</v>
          </cell>
          <cell r="B1570" t="str">
            <v>LL   SMART MAT TORNADO     1009-21500</v>
          </cell>
          <cell r="C1570" t="str">
            <v>Smart Matt</v>
          </cell>
          <cell r="D1570">
            <v>40.08</v>
          </cell>
          <cell r="E1570">
            <v>0</v>
          </cell>
          <cell r="F1570">
            <v>0</v>
          </cell>
          <cell r="G1570">
            <v>0</v>
          </cell>
          <cell r="H1570">
            <v>40.08</v>
          </cell>
        </row>
        <row r="1571">
          <cell r="A1571" t="str">
            <v>00435186</v>
          </cell>
          <cell r="B1571" t="str">
            <v>LL   SMART MAT TORNADO    1009-22100</v>
          </cell>
          <cell r="C1571" t="str">
            <v>Smart Matt</v>
          </cell>
          <cell r="D1571">
            <v>72.81</v>
          </cell>
          <cell r="E1571">
            <v>0</v>
          </cell>
          <cell r="F1571">
            <v>0</v>
          </cell>
          <cell r="G1571">
            <v>0</v>
          </cell>
          <cell r="H1571">
            <v>72.81</v>
          </cell>
        </row>
        <row r="1572">
          <cell r="A1572" t="str">
            <v>00423339</v>
          </cell>
          <cell r="B1572" t="str">
            <v>LL  SMART M/SURF BLACK     0000000750</v>
          </cell>
          <cell r="C1572" t="str">
            <v>Smart multisurface</v>
          </cell>
          <cell r="D1572">
            <v>11.84</v>
          </cell>
          <cell r="E1572">
            <v>0</v>
          </cell>
          <cell r="F1572">
            <v>0</v>
          </cell>
          <cell r="G1572">
            <v>0</v>
          </cell>
          <cell r="H1572">
            <v>11.84</v>
          </cell>
        </row>
        <row r="1573">
          <cell r="A1573" t="str">
            <v>00423337</v>
          </cell>
          <cell r="B1573" t="str">
            <v>LL  SMART M/SURF BRIL WHITE 0000000750</v>
          </cell>
          <cell r="C1573" t="str">
            <v>Smart multisurface</v>
          </cell>
          <cell r="D1573">
            <v>10.77</v>
          </cell>
          <cell r="E1573">
            <v>0</v>
          </cell>
          <cell r="F1573">
            <v>0</v>
          </cell>
          <cell r="G1573">
            <v>0</v>
          </cell>
          <cell r="H1573">
            <v>10.77</v>
          </cell>
        </row>
        <row r="1574">
          <cell r="A1574" t="str">
            <v>00442391</v>
          </cell>
          <cell r="B1574" t="str">
            <v>LL STAB PRIMER OFF WHITE      0000001500</v>
          </cell>
          <cell r="C1574" t="str">
            <v>Primer</v>
          </cell>
          <cell r="D1574">
            <v>45.72</v>
          </cell>
          <cell r="E1574">
            <v>0</v>
          </cell>
          <cell r="F1574">
            <v>0</v>
          </cell>
          <cell r="G1574">
            <v>0</v>
          </cell>
          <cell r="H1574">
            <v>45.72</v>
          </cell>
        </row>
        <row r="1575">
          <cell r="A1575" t="str">
            <v>00736932</v>
          </cell>
          <cell r="B1575" t="str">
            <v>MGRR  ALL-IN-1 TLE GRTAD 2.2L 0000001220</v>
          </cell>
          <cell r="C1575" t="str">
            <v>Mangers</v>
          </cell>
          <cell r="D1575">
            <v>6.66</v>
          </cell>
          <cell r="E1575">
            <v>0</v>
          </cell>
          <cell r="F1575">
            <v>0</v>
          </cell>
          <cell r="G1575">
            <v>0</v>
          </cell>
          <cell r="H1575">
            <v>6.66</v>
          </cell>
        </row>
        <row r="1576">
          <cell r="A1576" t="str">
            <v>00736933</v>
          </cell>
          <cell r="B1576" t="str">
            <v>MGRR  ALL-IN-1 TLE GRTAD 4.4L 0000001440</v>
          </cell>
          <cell r="C1576" t="str">
            <v>Mangers</v>
          </cell>
          <cell r="D1576">
            <v>12.22</v>
          </cell>
          <cell r="E1576">
            <v>0</v>
          </cell>
          <cell r="F1576">
            <v>0</v>
          </cell>
          <cell r="G1576">
            <v>0</v>
          </cell>
          <cell r="H1576">
            <v>12.22</v>
          </cell>
        </row>
        <row r="1577">
          <cell r="A1577" t="str">
            <v>00736972</v>
          </cell>
          <cell r="B1577" t="str">
            <v>MGRR  AP FILLER    10KG             2100</v>
          </cell>
          <cell r="C1577" t="str">
            <v>Mangers</v>
          </cell>
          <cell r="D1577">
            <v>27.03</v>
          </cell>
          <cell r="E1577">
            <v>0</v>
          </cell>
          <cell r="F1577">
            <v>0</v>
          </cell>
          <cell r="G1577">
            <v>0</v>
          </cell>
          <cell r="H1577">
            <v>27.03</v>
          </cell>
        </row>
        <row r="1578">
          <cell r="A1578" t="str">
            <v>00736969</v>
          </cell>
          <cell r="B1578" t="str">
            <v>MGRR  AP FILLER    2KG              1200</v>
          </cell>
          <cell r="C1578" t="str">
            <v>Mangers</v>
          </cell>
          <cell r="D1578">
            <v>6.39</v>
          </cell>
          <cell r="E1578">
            <v>0</v>
          </cell>
          <cell r="F1578">
            <v>0</v>
          </cell>
          <cell r="G1578">
            <v>0</v>
          </cell>
          <cell r="H1578">
            <v>6.39</v>
          </cell>
        </row>
        <row r="1579">
          <cell r="A1579" t="str">
            <v>00736966</v>
          </cell>
          <cell r="B1579" t="str">
            <v>MGRR  AP FILLER    500G             0500</v>
          </cell>
          <cell r="C1579" t="str">
            <v>Mangers</v>
          </cell>
          <cell r="D1579">
            <v>2.31</v>
          </cell>
          <cell r="E1579">
            <v>0</v>
          </cell>
          <cell r="F1579">
            <v>0</v>
          </cell>
          <cell r="G1579">
            <v>0</v>
          </cell>
          <cell r="H1579">
            <v>2.31</v>
          </cell>
        </row>
        <row r="1580">
          <cell r="A1580" t="str">
            <v>00736971</v>
          </cell>
          <cell r="B1580" t="str">
            <v>MGRR  AP FILLER    5KG              1500</v>
          </cell>
          <cell r="C1580" t="str">
            <v>Mangers</v>
          </cell>
          <cell r="D1580">
            <v>15.26</v>
          </cell>
          <cell r="E1580">
            <v>0</v>
          </cell>
          <cell r="F1580">
            <v>0</v>
          </cell>
          <cell r="G1580">
            <v>0</v>
          </cell>
          <cell r="H1580">
            <v>15.26</v>
          </cell>
        </row>
        <row r="1581">
          <cell r="A1581" t="str">
            <v>00736980</v>
          </cell>
          <cell r="B1581" t="str">
            <v>MGRR  AP W/PAPER   ADH  5ROLL</v>
          </cell>
          <cell r="C1581" t="str">
            <v>Mangers</v>
          </cell>
          <cell r="D1581">
            <v>2.08</v>
          </cell>
          <cell r="E1581">
            <v>0</v>
          </cell>
          <cell r="F1581">
            <v>0</v>
          </cell>
          <cell r="G1581">
            <v>0</v>
          </cell>
          <cell r="H1581">
            <v>2.08</v>
          </cell>
        </row>
        <row r="1582">
          <cell r="A1582" t="str">
            <v>00736982</v>
          </cell>
          <cell r="B1582" t="str">
            <v>MGRR  AP W/PAPER   ADH 10ROLL</v>
          </cell>
          <cell r="C1582" t="str">
            <v>Mangers</v>
          </cell>
          <cell r="D1582">
            <v>3.88</v>
          </cell>
          <cell r="E1582">
            <v>0</v>
          </cell>
          <cell r="F1582">
            <v>0</v>
          </cell>
          <cell r="G1582">
            <v>0</v>
          </cell>
          <cell r="H1582">
            <v>3.88</v>
          </cell>
        </row>
        <row r="1583">
          <cell r="A1583" t="str">
            <v>00736983</v>
          </cell>
          <cell r="B1583" t="str">
            <v>MGRR  BRD &amp; REPAIR ADH 250G         0250</v>
          </cell>
          <cell r="C1583" t="str">
            <v>Mangers</v>
          </cell>
          <cell r="D1583">
            <v>2.85</v>
          </cell>
          <cell r="E1583">
            <v>0</v>
          </cell>
          <cell r="F1583">
            <v>0</v>
          </cell>
          <cell r="G1583">
            <v>0</v>
          </cell>
          <cell r="H1583">
            <v>2.85</v>
          </cell>
        </row>
        <row r="1584">
          <cell r="A1584" t="str">
            <v>00736981</v>
          </cell>
          <cell r="B1584" t="str">
            <v>MGRR  BRD &amp;OVERLAP ADH 500G         0500</v>
          </cell>
          <cell r="C1584" t="str">
            <v>Mangers</v>
          </cell>
          <cell r="D1584">
            <v>3.92</v>
          </cell>
          <cell r="E1584">
            <v>0</v>
          </cell>
          <cell r="F1584">
            <v>0</v>
          </cell>
          <cell r="G1584">
            <v>0</v>
          </cell>
          <cell r="H1584">
            <v>3.92</v>
          </cell>
        </row>
        <row r="1585">
          <cell r="A1585" t="str">
            <v>00736945</v>
          </cell>
          <cell r="B1585" t="str">
            <v>MGRR  BRUSH CLEANR 500ML      0000000500</v>
          </cell>
          <cell r="C1585" t="str">
            <v>Mangers</v>
          </cell>
          <cell r="D1585">
            <v>4.3</v>
          </cell>
          <cell r="E1585">
            <v>0</v>
          </cell>
          <cell r="F1585">
            <v>0</v>
          </cell>
          <cell r="G1585">
            <v>0</v>
          </cell>
          <cell r="H1585">
            <v>4.3</v>
          </cell>
        </row>
        <row r="1586">
          <cell r="A1586" t="str">
            <v>00736959</v>
          </cell>
          <cell r="B1586" t="str">
            <v>MGRR  CLEAN SPIRIT 750ML            0750</v>
          </cell>
          <cell r="C1586" t="str">
            <v>Mangers</v>
          </cell>
          <cell r="D1586">
            <v>2.64</v>
          </cell>
          <cell r="E1586">
            <v>0</v>
          </cell>
          <cell r="F1586">
            <v>0</v>
          </cell>
          <cell r="G1586">
            <v>0</v>
          </cell>
          <cell r="H1586">
            <v>2.64</v>
          </cell>
        </row>
        <row r="1587">
          <cell r="A1587" t="str">
            <v>00736937</v>
          </cell>
          <cell r="B1587" t="str">
            <v>MGRR  DEC CAULK    295ML      0000000295</v>
          </cell>
          <cell r="C1587" t="str">
            <v>Mangers</v>
          </cell>
          <cell r="D1587">
            <v>2.54</v>
          </cell>
          <cell r="E1587">
            <v>0</v>
          </cell>
          <cell r="F1587">
            <v>0</v>
          </cell>
          <cell r="G1587">
            <v>0</v>
          </cell>
          <cell r="H1587">
            <v>2.54</v>
          </cell>
        </row>
        <row r="1588">
          <cell r="A1588" t="str">
            <v>00423695</v>
          </cell>
          <cell r="B1588" t="str">
            <v>MGRR  DEC CAULK    300ML      0000000300</v>
          </cell>
          <cell r="C1588" t="str">
            <v>Mangers</v>
          </cell>
          <cell r="D1588">
            <v>2.4900000000000002</v>
          </cell>
          <cell r="E1588">
            <v>0</v>
          </cell>
          <cell r="F1588">
            <v>0</v>
          </cell>
          <cell r="G1588">
            <v>0</v>
          </cell>
          <cell r="H1588">
            <v>2.4900000000000002</v>
          </cell>
        </row>
        <row r="1589">
          <cell r="A1589" t="str">
            <v>00423696</v>
          </cell>
          <cell r="B1589" t="str">
            <v>MGRR  DEC CAULK    380ML      0000000380</v>
          </cell>
          <cell r="C1589" t="str">
            <v>Mangers</v>
          </cell>
          <cell r="D1589">
            <v>0.95</v>
          </cell>
          <cell r="E1589">
            <v>0</v>
          </cell>
          <cell r="F1589">
            <v>0</v>
          </cell>
          <cell r="G1589">
            <v>0</v>
          </cell>
          <cell r="H1589">
            <v>0.95</v>
          </cell>
        </row>
        <row r="1590">
          <cell r="A1590" t="str">
            <v>00736979</v>
          </cell>
          <cell r="B1590" t="str">
            <v>MGRR  FINE SURFACE FILL 600G  0000000600</v>
          </cell>
          <cell r="C1590" t="str">
            <v>Mangers</v>
          </cell>
          <cell r="D1590">
            <v>4.99</v>
          </cell>
          <cell r="E1590">
            <v>0</v>
          </cell>
          <cell r="F1590">
            <v>0</v>
          </cell>
          <cell r="G1590">
            <v>0</v>
          </cell>
          <cell r="H1590">
            <v>4.99</v>
          </cell>
        </row>
        <row r="1591">
          <cell r="A1591" t="str">
            <v>00736964</v>
          </cell>
          <cell r="B1591" t="str">
            <v>MGRR  INTERIOR     FILLER 2KG 0000001200</v>
          </cell>
          <cell r="C1591" t="str">
            <v>Mangers</v>
          </cell>
          <cell r="D1591">
            <v>4.41</v>
          </cell>
          <cell r="E1591">
            <v>0</v>
          </cell>
          <cell r="F1591">
            <v>0</v>
          </cell>
          <cell r="G1591">
            <v>0</v>
          </cell>
          <cell r="H1591">
            <v>4.41</v>
          </cell>
        </row>
        <row r="1592">
          <cell r="A1592" t="str">
            <v>00736941</v>
          </cell>
          <cell r="B1592" t="str">
            <v>MGRR  LW DEEP GAP  FILLER 1L  0000001100</v>
          </cell>
          <cell r="C1592" t="str">
            <v>Mangers</v>
          </cell>
          <cell r="D1592">
            <v>7.04</v>
          </cell>
          <cell r="E1592">
            <v>0</v>
          </cell>
          <cell r="F1592">
            <v>0</v>
          </cell>
          <cell r="G1592">
            <v>0</v>
          </cell>
          <cell r="H1592">
            <v>7.04</v>
          </cell>
        </row>
        <row r="1593">
          <cell r="A1593" t="str">
            <v>00736939</v>
          </cell>
          <cell r="B1593" t="str">
            <v>MGRR  LW DEEP GAP FILL 500ML  0000000500</v>
          </cell>
          <cell r="C1593" t="str">
            <v>Mangers</v>
          </cell>
          <cell r="D1593">
            <v>5.34</v>
          </cell>
          <cell r="E1593">
            <v>0</v>
          </cell>
          <cell r="F1593">
            <v>0</v>
          </cell>
          <cell r="G1593">
            <v>0</v>
          </cell>
          <cell r="H1593">
            <v>5.34</v>
          </cell>
        </row>
        <row r="1594">
          <cell r="A1594" t="str">
            <v>00736961</v>
          </cell>
          <cell r="B1594" t="str">
            <v>MGRR  METH SPIRIT  500ML            0500</v>
          </cell>
          <cell r="C1594" t="str">
            <v>Mangers</v>
          </cell>
          <cell r="D1594">
            <v>4.3</v>
          </cell>
          <cell r="E1594">
            <v>0</v>
          </cell>
          <cell r="F1594">
            <v>0</v>
          </cell>
          <cell r="G1594">
            <v>0</v>
          </cell>
          <cell r="H1594">
            <v>4.3</v>
          </cell>
        </row>
        <row r="1595">
          <cell r="A1595" t="str">
            <v>00736950</v>
          </cell>
          <cell r="B1595" t="str">
            <v>MGRR  PAINT &amp; VARN REM 500ML  0000000500</v>
          </cell>
          <cell r="C1595" t="str">
            <v>Mangers</v>
          </cell>
          <cell r="D1595">
            <v>6.12</v>
          </cell>
          <cell r="E1595">
            <v>0</v>
          </cell>
          <cell r="F1595">
            <v>0</v>
          </cell>
          <cell r="G1595">
            <v>0</v>
          </cell>
          <cell r="H1595">
            <v>6.12</v>
          </cell>
        </row>
        <row r="1596">
          <cell r="A1596" t="str">
            <v>00736953</v>
          </cell>
          <cell r="B1596" t="str">
            <v>MGRR  PAINT &amp; VARN REMOVER 1L 0000001100</v>
          </cell>
          <cell r="C1596" t="str">
            <v>Mangers</v>
          </cell>
          <cell r="D1596">
            <v>10.16</v>
          </cell>
          <cell r="E1596">
            <v>0</v>
          </cell>
          <cell r="F1596">
            <v>0</v>
          </cell>
          <cell r="G1596">
            <v>0</v>
          </cell>
          <cell r="H1596">
            <v>10.16</v>
          </cell>
        </row>
        <row r="1597">
          <cell r="A1597" t="str">
            <v>00736955</v>
          </cell>
          <cell r="B1597" t="str">
            <v>MGRR  PAINT &amp; VARN REMOVER 5L 0000001500</v>
          </cell>
          <cell r="C1597" t="str">
            <v>Mangers</v>
          </cell>
          <cell r="D1597">
            <v>33.43</v>
          </cell>
          <cell r="E1597">
            <v>0</v>
          </cell>
          <cell r="F1597">
            <v>0</v>
          </cell>
          <cell r="G1597">
            <v>0</v>
          </cell>
          <cell r="H1597">
            <v>33.43</v>
          </cell>
        </row>
        <row r="1598">
          <cell r="A1598" t="str">
            <v>00736975</v>
          </cell>
          <cell r="B1598" t="str">
            <v>MGRR  R/MIX FILLER 1KG        0000001100</v>
          </cell>
          <cell r="C1598" t="str">
            <v>Mangers</v>
          </cell>
          <cell r="D1598">
            <v>4.99</v>
          </cell>
          <cell r="E1598">
            <v>0</v>
          </cell>
          <cell r="F1598">
            <v>0</v>
          </cell>
          <cell r="G1598">
            <v>0</v>
          </cell>
          <cell r="H1598">
            <v>4.99</v>
          </cell>
        </row>
        <row r="1599">
          <cell r="A1599" t="str">
            <v>00736977</v>
          </cell>
          <cell r="B1599" t="str">
            <v>MGRR  R/MIX FILLER 2KG        0000001200</v>
          </cell>
          <cell r="C1599" t="str">
            <v>Mangers</v>
          </cell>
          <cell r="D1599">
            <v>9.59</v>
          </cell>
          <cell r="E1599">
            <v>0</v>
          </cell>
          <cell r="F1599">
            <v>0</v>
          </cell>
          <cell r="G1599">
            <v>0</v>
          </cell>
          <cell r="H1599">
            <v>9.59</v>
          </cell>
        </row>
        <row r="1600">
          <cell r="A1600" t="str">
            <v>00737102</v>
          </cell>
          <cell r="B1600" t="str">
            <v>MGRR  R/MIX FILLER 330G       0000000330</v>
          </cell>
          <cell r="C1600" t="str">
            <v>Mangers</v>
          </cell>
          <cell r="D1600">
            <v>3.25</v>
          </cell>
          <cell r="E1600">
            <v>0</v>
          </cell>
          <cell r="F1600">
            <v>0</v>
          </cell>
          <cell r="G1600">
            <v>0</v>
          </cell>
          <cell r="H1600">
            <v>3.25</v>
          </cell>
        </row>
        <row r="1601">
          <cell r="A1601" t="str">
            <v>00423697</v>
          </cell>
          <cell r="B1601" t="str">
            <v>MGRR  R/MIX FILLER 330GM      0000000330</v>
          </cell>
          <cell r="C1601" t="str">
            <v>Mangers</v>
          </cell>
          <cell r="D1601">
            <v>3.25</v>
          </cell>
          <cell r="E1601">
            <v>0</v>
          </cell>
          <cell r="F1601">
            <v>0</v>
          </cell>
          <cell r="G1601">
            <v>0</v>
          </cell>
          <cell r="H1601">
            <v>3.25</v>
          </cell>
        </row>
        <row r="1602">
          <cell r="A1602" t="str">
            <v>00736973</v>
          </cell>
          <cell r="B1602" t="str">
            <v>MGRR  R/MIX FILLER 600G       0000000600</v>
          </cell>
          <cell r="C1602" t="str">
            <v>Mangers</v>
          </cell>
          <cell r="D1602">
            <v>3.75</v>
          </cell>
          <cell r="E1602">
            <v>0</v>
          </cell>
          <cell r="F1602">
            <v>0</v>
          </cell>
          <cell r="G1602">
            <v>0</v>
          </cell>
          <cell r="H1602">
            <v>3.75</v>
          </cell>
        </row>
        <row r="1603">
          <cell r="A1603" t="str">
            <v>00736970</v>
          </cell>
          <cell r="B1603" t="str">
            <v>MGRR  RM WALLPAPER PASTE 10KG       2100</v>
          </cell>
          <cell r="C1603" t="str">
            <v>Mangers</v>
          </cell>
          <cell r="D1603">
            <v>28.34</v>
          </cell>
          <cell r="E1603">
            <v>0</v>
          </cell>
          <cell r="F1603">
            <v>0</v>
          </cell>
          <cell r="G1603">
            <v>0</v>
          </cell>
          <cell r="H1603">
            <v>28.34</v>
          </cell>
        </row>
        <row r="1604">
          <cell r="A1604" t="str">
            <v>00736978</v>
          </cell>
          <cell r="B1604" t="str">
            <v>MGRR  RM WALLPAPER PASTE 1KG        1100</v>
          </cell>
          <cell r="C1604" t="str">
            <v>Mangers</v>
          </cell>
          <cell r="D1604">
            <v>6.39</v>
          </cell>
          <cell r="E1604">
            <v>0</v>
          </cell>
          <cell r="F1604">
            <v>0</v>
          </cell>
          <cell r="G1604">
            <v>0</v>
          </cell>
          <cell r="H1604">
            <v>6.39</v>
          </cell>
        </row>
        <row r="1605">
          <cell r="A1605" t="str">
            <v>00736976</v>
          </cell>
          <cell r="B1605" t="str">
            <v>MGRR  RM WALLPAPER PASTE2.5KG       1250</v>
          </cell>
          <cell r="C1605" t="str">
            <v>Mangers</v>
          </cell>
          <cell r="D1605">
            <v>13.16</v>
          </cell>
          <cell r="E1605">
            <v>0</v>
          </cell>
          <cell r="F1605">
            <v>0</v>
          </cell>
          <cell r="G1605">
            <v>0</v>
          </cell>
          <cell r="H1605">
            <v>13.16</v>
          </cell>
        </row>
        <row r="1606">
          <cell r="A1606" t="str">
            <v>00736974</v>
          </cell>
          <cell r="B1606" t="str">
            <v>MGRR  RM WALLPAPER PASTE4.5KG       1450</v>
          </cell>
          <cell r="C1606" t="str">
            <v>Mangers</v>
          </cell>
          <cell r="D1606">
            <v>18.61</v>
          </cell>
          <cell r="E1606">
            <v>0</v>
          </cell>
          <cell r="F1606">
            <v>0</v>
          </cell>
          <cell r="G1606">
            <v>0</v>
          </cell>
          <cell r="H1606">
            <v>18.61</v>
          </cell>
        </row>
        <row r="1607">
          <cell r="A1607" t="str">
            <v>00736965</v>
          </cell>
          <cell r="B1607" t="str">
            <v>MGRR  WHITE SPIRIT 2LTR             1200</v>
          </cell>
          <cell r="C1607" t="str">
            <v>Mangers</v>
          </cell>
          <cell r="D1607">
            <v>3.42</v>
          </cell>
          <cell r="E1607">
            <v>0</v>
          </cell>
          <cell r="F1607">
            <v>0</v>
          </cell>
          <cell r="G1607">
            <v>0</v>
          </cell>
          <cell r="H1607">
            <v>3.42</v>
          </cell>
        </row>
        <row r="1608">
          <cell r="A1608" t="str">
            <v>00736967</v>
          </cell>
          <cell r="B1608" t="str">
            <v>MGRR  WHITE SPIRIT 750ML            0750</v>
          </cell>
          <cell r="C1608" t="str">
            <v>Mangers</v>
          </cell>
          <cell r="D1608">
            <v>2.96</v>
          </cell>
          <cell r="E1608">
            <v>0</v>
          </cell>
          <cell r="F1608">
            <v>0</v>
          </cell>
          <cell r="G1608">
            <v>0</v>
          </cell>
          <cell r="H1608">
            <v>2.96</v>
          </cell>
        </row>
        <row r="1609">
          <cell r="A1609" t="str">
            <v>00615020</v>
          </cell>
          <cell r="B1609" t="str">
            <v>MIRKA 1025LTR      EXTRACTOR  240V</v>
          </cell>
          <cell r="C1609" t="str">
            <v>MIRKA</v>
          </cell>
          <cell r="D1609">
            <v>512.29</v>
          </cell>
          <cell r="E1609">
            <v>0</v>
          </cell>
          <cell r="F1609">
            <v>0</v>
          </cell>
          <cell r="G1609">
            <v>0</v>
          </cell>
          <cell r="H1609">
            <v>512.29</v>
          </cell>
        </row>
        <row r="1610">
          <cell r="A1610" t="str">
            <v>00608223</v>
          </cell>
          <cell r="B1610" t="str">
            <v>MIRKA 10MTR  HOSE             EXTENSION</v>
          </cell>
          <cell r="C1610" t="str">
            <v>MIRKA</v>
          </cell>
          <cell r="D1610">
            <v>164.85</v>
          </cell>
          <cell r="E1610">
            <v>0</v>
          </cell>
          <cell r="F1610">
            <v>0</v>
          </cell>
          <cell r="G1610">
            <v>0</v>
          </cell>
          <cell r="H1610">
            <v>164.85</v>
          </cell>
        </row>
        <row r="1611">
          <cell r="A1611" t="str">
            <v>00852651</v>
          </cell>
          <cell r="B1611" t="str">
            <v>MIRKA 1230M DUST   EXTRC 110V KIT1705ALM</v>
          </cell>
          <cell r="C1611" t="str">
            <v>MIRKA</v>
          </cell>
          <cell r="D1611">
            <v>1237.05</v>
          </cell>
          <cell r="E1611">
            <v>0</v>
          </cell>
          <cell r="F1611">
            <v>0</v>
          </cell>
          <cell r="G1611">
            <v>0</v>
          </cell>
          <cell r="H1611">
            <v>1237.05</v>
          </cell>
        </row>
        <row r="1612">
          <cell r="A1612" t="str">
            <v>00614922</v>
          </cell>
          <cell r="B1612" t="str">
            <v>MIRKA 125MM        PAD        BACKING</v>
          </cell>
          <cell r="C1612" t="str">
            <v>MIRKA</v>
          </cell>
          <cell r="D1612">
            <v>57.47</v>
          </cell>
          <cell r="E1612">
            <v>0</v>
          </cell>
          <cell r="F1612">
            <v>0</v>
          </cell>
          <cell r="G1612">
            <v>0</v>
          </cell>
          <cell r="H1612">
            <v>57.47</v>
          </cell>
        </row>
        <row r="1613">
          <cell r="A1613" t="str">
            <v>00727896</v>
          </cell>
          <cell r="B1613" t="str">
            <v>MIRKA 150MM GRIP   DISC 240G  PK 50</v>
          </cell>
          <cell r="C1613" t="str">
            <v>MIRKA</v>
          </cell>
          <cell r="D1613">
            <v>58.47</v>
          </cell>
          <cell r="E1613">
            <v>0</v>
          </cell>
          <cell r="F1613">
            <v>0</v>
          </cell>
          <cell r="G1613">
            <v>0</v>
          </cell>
          <cell r="H1613">
            <v>58.47</v>
          </cell>
        </row>
        <row r="1614">
          <cell r="A1614" t="str">
            <v>00727897</v>
          </cell>
          <cell r="B1614" t="str">
            <v>MIRKA 150MM GRIP   DISC 320G  PK 50</v>
          </cell>
          <cell r="C1614" t="str">
            <v>MIRKA</v>
          </cell>
          <cell r="D1614">
            <v>61.91</v>
          </cell>
          <cell r="E1614">
            <v>0</v>
          </cell>
          <cell r="F1614">
            <v>0</v>
          </cell>
          <cell r="G1614">
            <v>0</v>
          </cell>
          <cell r="H1614">
            <v>61.91</v>
          </cell>
        </row>
        <row r="1615">
          <cell r="A1615" t="str">
            <v>00614900</v>
          </cell>
          <cell r="B1615" t="str">
            <v>MIRKA 225MM DISCS  180 GRIT   PACK 25</v>
          </cell>
          <cell r="C1615" t="str">
            <v>MIRKA</v>
          </cell>
          <cell r="D1615">
            <v>60.2</v>
          </cell>
          <cell r="E1615">
            <v>0</v>
          </cell>
          <cell r="F1615">
            <v>0</v>
          </cell>
          <cell r="G1615">
            <v>0</v>
          </cell>
          <cell r="H1615">
            <v>60.2</v>
          </cell>
        </row>
        <row r="1616">
          <cell r="A1616" t="str">
            <v>00611882</v>
          </cell>
          <cell r="B1616" t="str">
            <v>MIRKA 350CV 77MM   230V DECO  KIT DEROS</v>
          </cell>
          <cell r="C1616" t="str">
            <v>MIRKA</v>
          </cell>
          <cell r="D1616">
            <v>620.85</v>
          </cell>
          <cell r="E1616">
            <v>0</v>
          </cell>
          <cell r="F1616">
            <v>0</v>
          </cell>
          <cell r="G1616">
            <v>0</v>
          </cell>
          <cell r="H1616">
            <v>620.85</v>
          </cell>
        </row>
        <row r="1617">
          <cell r="A1617" t="str">
            <v>00647345</v>
          </cell>
          <cell r="B1617" t="str">
            <v>MIRKA 81X133MM ACE HD P80 P25 AH17802580</v>
          </cell>
          <cell r="C1617" t="str">
            <v>MIRKA</v>
          </cell>
          <cell r="D1617">
            <v>31.63</v>
          </cell>
          <cell r="E1617">
            <v>0</v>
          </cell>
          <cell r="F1617">
            <v>0</v>
          </cell>
          <cell r="G1617">
            <v>0</v>
          </cell>
          <cell r="H1617">
            <v>31.63</v>
          </cell>
        </row>
        <row r="1618">
          <cell r="A1618" t="str">
            <v>00615349</v>
          </cell>
          <cell r="B1618" t="str">
            <v>MIRKA 915M CLASS   230V       EXTRACTOR</v>
          </cell>
          <cell r="C1618" t="str">
            <v>MIRKA</v>
          </cell>
          <cell r="D1618">
            <v>899.32</v>
          </cell>
          <cell r="E1618">
            <v>0</v>
          </cell>
          <cell r="F1618">
            <v>0</v>
          </cell>
          <cell r="G1618">
            <v>0</v>
          </cell>
          <cell r="H1618">
            <v>899.32</v>
          </cell>
        </row>
        <row r="1619">
          <cell r="A1619" t="str">
            <v>00649895</v>
          </cell>
          <cell r="B1619" t="str">
            <v>MIRKA ABRA 225MM   P240 BOX25 5422302525</v>
          </cell>
          <cell r="C1619" t="str">
            <v>MIRKA</v>
          </cell>
          <cell r="D1619">
            <v>70.819999999999993</v>
          </cell>
          <cell r="E1619">
            <v>0</v>
          </cell>
          <cell r="F1619">
            <v>0</v>
          </cell>
          <cell r="G1619">
            <v>0</v>
          </cell>
          <cell r="H1619">
            <v>70.819999999999993</v>
          </cell>
        </row>
        <row r="1620">
          <cell r="A1620" t="str">
            <v>00649847</v>
          </cell>
          <cell r="B1620" t="str">
            <v>MIRKA ABRALON 77MM P4000 PK20 8A20302097</v>
          </cell>
          <cell r="C1620" t="str">
            <v>MIRKA</v>
          </cell>
          <cell r="D1620">
            <v>44.94</v>
          </cell>
          <cell r="E1620">
            <v>0</v>
          </cell>
          <cell r="F1620">
            <v>0</v>
          </cell>
          <cell r="G1620">
            <v>0</v>
          </cell>
          <cell r="H1620">
            <v>44.94</v>
          </cell>
        </row>
        <row r="1621">
          <cell r="A1621" t="str">
            <v>00852396</v>
          </cell>
          <cell r="B1621" t="str">
            <v>MIRKA ABRANET      DISCS P180 PK50</v>
          </cell>
          <cell r="C1621" t="str">
            <v>MIRKA</v>
          </cell>
          <cell r="D1621">
            <v>59.79</v>
          </cell>
          <cell r="E1621">
            <v>0</v>
          </cell>
          <cell r="F1621">
            <v>0</v>
          </cell>
          <cell r="G1621">
            <v>0</v>
          </cell>
          <cell r="H1621">
            <v>59.79</v>
          </cell>
        </row>
        <row r="1622">
          <cell r="A1622" t="str">
            <v>00727895</v>
          </cell>
          <cell r="B1622" t="str">
            <v>MIRKA ABRANET 150MM P120 50 STK</v>
          </cell>
          <cell r="C1622" t="str">
            <v>MIRKA</v>
          </cell>
          <cell r="D1622">
            <v>58.47</v>
          </cell>
          <cell r="E1622">
            <v>0</v>
          </cell>
          <cell r="F1622">
            <v>0</v>
          </cell>
          <cell r="G1622">
            <v>0</v>
          </cell>
          <cell r="H1622">
            <v>58.47</v>
          </cell>
        </row>
        <row r="1623">
          <cell r="A1623" t="str">
            <v>00643848</v>
          </cell>
          <cell r="B1623" t="str">
            <v>MIRKA ABRANET 150MM P180 50 STK</v>
          </cell>
          <cell r="C1623" t="str">
            <v>MIRKA</v>
          </cell>
          <cell r="D1623">
            <v>62.65</v>
          </cell>
          <cell r="E1623">
            <v>0</v>
          </cell>
          <cell r="F1623">
            <v>0</v>
          </cell>
          <cell r="G1623">
            <v>0</v>
          </cell>
          <cell r="H1623">
            <v>62.65</v>
          </cell>
        </row>
        <row r="1624">
          <cell r="A1624" t="str">
            <v>00732840</v>
          </cell>
          <cell r="B1624" t="str">
            <v>MIRKA ABRANET 81X133 P120 10 STK</v>
          </cell>
          <cell r="C1624" t="str">
            <v>MIRKA</v>
          </cell>
          <cell r="D1624">
            <v>16.41</v>
          </cell>
          <cell r="E1624">
            <v>0</v>
          </cell>
          <cell r="F1624">
            <v>0</v>
          </cell>
          <cell r="G1624">
            <v>0</v>
          </cell>
          <cell r="H1624">
            <v>16.41</v>
          </cell>
        </row>
        <row r="1625">
          <cell r="A1625" t="str">
            <v>00732841</v>
          </cell>
          <cell r="B1625" t="str">
            <v>MIRKA ABRANET 81X133 P180  10 STK</v>
          </cell>
          <cell r="C1625" t="str">
            <v>MIRKA</v>
          </cell>
          <cell r="D1625">
            <v>16.41</v>
          </cell>
          <cell r="E1625">
            <v>0</v>
          </cell>
          <cell r="F1625">
            <v>0</v>
          </cell>
          <cell r="G1625">
            <v>0</v>
          </cell>
          <cell r="H1625">
            <v>16.41</v>
          </cell>
        </row>
        <row r="1626">
          <cell r="A1626" t="str">
            <v>00732839</v>
          </cell>
          <cell r="B1626" t="str">
            <v>MIRKA ABRANET 81X133 P80  10 STK</v>
          </cell>
          <cell r="C1626" t="str">
            <v>MIRKA</v>
          </cell>
          <cell r="D1626">
            <v>16.41</v>
          </cell>
          <cell r="E1626">
            <v>0</v>
          </cell>
          <cell r="F1626">
            <v>0</v>
          </cell>
          <cell r="G1626">
            <v>0</v>
          </cell>
          <cell r="H1626">
            <v>16.41</v>
          </cell>
        </row>
        <row r="1627">
          <cell r="A1627" t="str">
            <v>00611844</v>
          </cell>
          <cell r="B1627" t="str">
            <v>MIRKA ABRANET DELTA 100X152X152MM P120</v>
          </cell>
          <cell r="C1627" t="str">
            <v>MIRKA</v>
          </cell>
          <cell r="D1627">
            <v>60.32</v>
          </cell>
          <cell r="E1627">
            <v>0</v>
          </cell>
          <cell r="F1627">
            <v>0</v>
          </cell>
          <cell r="G1627">
            <v>0</v>
          </cell>
          <cell r="H1627">
            <v>60.32</v>
          </cell>
        </row>
        <row r="1628">
          <cell r="A1628" t="str">
            <v>00611847</v>
          </cell>
          <cell r="B1628" t="str">
            <v>MIRKA ABRANET DELTA 100X152X152MM P80</v>
          </cell>
          <cell r="C1628" t="str">
            <v>MIRKA</v>
          </cell>
          <cell r="D1628">
            <v>64.44</v>
          </cell>
          <cell r="E1628">
            <v>0</v>
          </cell>
          <cell r="F1628">
            <v>0</v>
          </cell>
          <cell r="G1628">
            <v>0</v>
          </cell>
          <cell r="H1628">
            <v>64.44</v>
          </cell>
        </row>
        <row r="1629">
          <cell r="A1629" t="str">
            <v>00611852</v>
          </cell>
          <cell r="B1629" t="str">
            <v>MIRKA ABRANET DELTA P120 10PK</v>
          </cell>
          <cell r="C1629" t="str">
            <v>MIRKA</v>
          </cell>
          <cell r="D1629">
            <v>21.09</v>
          </cell>
          <cell r="E1629">
            <v>0</v>
          </cell>
          <cell r="F1629">
            <v>0</v>
          </cell>
          <cell r="G1629">
            <v>0</v>
          </cell>
          <cell r="H1629">
            <v>21.09</v>
          </cell>
        </row>
        <row r="1630">
          <cell r="A1630" t="str">
            <v>00611853</v>
          </cell>
          <cell r="B1630" t="str">
            <v>MIRKA ABRANET DELTA P180 10PK</v>
          </cell>
          <cell r="C1630" t="str">
            <v>MIRKA</v>
          </cell>
          <cell r="D1630">
            <v>18.98</v>
          </cell>
          <cell r="E1630">
            <v>0</v>
          </cell>
          <cell r="F1630">
            <v>0</v>
          </cell>
          <cell r="G1630">
            <v>0</v>
          </cell>
          <cell r="H1630">
            <v>18.98</v>
          </cell>
        </row>
        <row r="1631">
          <cell r="A1631" t="str">
            <v>00731060</v>
          </cell>
          <cell r="B1631" t="str">
            <v>MIRKA ABRANET ECO  150MM P180 10 STK</v>
          </cell>
          <cell r="C1631" t="str">
            <v>MIRKA</v>
          </cell>
          <cell r="D1631">
            <v>21.45</v>
          </cell>
          <cell r="E1631">
            <v>0</v>
          </cell>
          <cell r="F1631">
            <v>0</v>
          </cell>
          <cell r="G1631">
            <v>0</v>
          </cell>
          <cell r="H1631">
            <v>21.45</v>
          </cell>
        </row>
        <row r="1632">
          <cell r="A1632" t="str">
            <v>00732552</v>
          </cell>
          <cell r="B1632" t="str">
            <v>MIRKA ABRANET ECO 225MM P80 10 STK</v>
          </cell>
          <cell r="C1632" t="str">
            <v>MIRKA</v>
          </cell>
          <cell r="D1632">
            <v>49.82</v>
          </cell>
          <cell r="E1632">
            <v>0</v>
          </cell>
          <cell r="F1632">
            <v>0</v>
          </cell>
          <cell r="G1632">
            <v>0</v>
          </cell>
          <cell r="H1632">
            <v>49.82</v>
          </cell>
        </row>
        <row r="1633">
          <cell r="A1633" t="str">
            <v>00643623</v>
          </cell>
          <cell r="B1633" t="str">
            <v>MIRKA ABRANET P120 81X133MM   BOX 50</v>
          </cell>
          <cell r="C1633" t="str">
            <v>MIRKA</v>
          </cell>
          <cell r="D1633">
            <v>39.11</v>
          </cell>
          <cell r="E1633">
            <v>0</v>
          </cell>
          <cell r="F1633">
            <v>0</v>
          </cell>
          <cell r="G1633">
            <v>0</v>
          </cell>
          <cell r="H1633">
            <v>39.11</v>
          </cell>
        </row>
        <row r="1634">
          <cell r="A1634" t="str">
            <v>00643624</v>
          </cell>
          <cell r="B1634" t="str">
            <v>MIRKA ABRANET P180 81X133MM   BOX 50</v>
          </cell>
          <cell r="C1634" t="str">
            <v>MIRKA</v>
          </cell>
          <cell r="D1634">
            <v>35.89</v>
          </cell>
          <cell r="E1634">
            <v>0</v>
          </cell>
          <cell r="F1634">
            <v>0</v>
          </cell>
          <cell r="G1634">
            <v>0</v>
          </cell>
          <cell r="H1634">
            <v>35.89</v>
          </cell>
        </row>
        <row r="1635">
          <cell r="A1635" t="str">
            <v>00643625</v>
          </cell>
          <cell r="B1635" t="str">
            <v>MIRKA ABRANET P240 81X133MM   BOX 50</v>
          </cell>
          <cell r="C1635" t="str">
            <v>MIRKA</v>
          </cell>
          <cell r="D1635">
            <v>39.11</v>
          </cell>
          <cell r="E1635">
            <v>0</v>
          </cell>
          <cell r="F1635">
            <v>0</v>
          </cell>
          <cell r="G1635">
            <v>0</v>
          </cell>
          <cell r="H1635">
            <v>39.11</v>
          </cell>
        </row>
        <row r="1636">
          <cell r="A1636" t="str">
            <v>00643626</v>
          </cell>
          <cell r="B1636" t="str">
            <v>MIRKA ABRANET P320 81X133MM   BOX 50</v>
          </cell>
          <cell r="C1636" t="str">
            <v>MIRKA</v>
          </cell>
          <cell r="D1636">
            <v>39.11</v>
          </cell>
          <cell r="E1636">
            <v>0</v>
          </cell>
          <cell r="F1636">
            <v>0</v>
          </cell>
          <cell r="G1636">
            <v>0</v>
          </cell>
          <cell r="H1636">
            <v>39.11</v>
          </cell>
        </row>
        <row r="1637">
          <cell r="A1637" t="str">
            <v>00852482</v>
          </cell>
          <cell r="B1637" t="str">
            <v>MIRKA ABRANET PK50 70X198</v>
          </cell>
          <cell r="C1637" t="str">
            <v>MIRKA</v>
          </cell>
          <cell r="D1637">
            <v>53.04</v>
          </cell>
          <cell r="E1637">
            <v>0</v>
          </cell>
          <cell r="F1637">
            <v>0</v>
          </cell>
          <cell r="G1637">
            <v>0</v>
          </cell>
          <cell r="H1637">
            <v>53.04</v>
          </cell>
        </row>
        <row r="1638">
          <cell r="A1638" t="str">
            <v>00614899</v>
          </cell>
          <cell r="B1638" t="str">
            <v>MIRKA ABRANET RONDEL 225MM P150</v>
          </cell>
          <cell r="C1638" t="str">
            <v>MIRKA</v>
          </cell>
          <cell r="D1638">
            <v>70.819999999999993</v>
          </cell>
          <cell r="E1638">
            <v>0</v>
          </cell>
          <cell r="F1638">
            <v>0</v>
          </cell>
          <cell r="G1638">
            <v>0</v>
          </cell>
          <cell r="H1638">
            <v>70.819999999999993</v>
          </cell>
        </row>
        <row r="1639">
          <cell r="A1639" t="str">
            <v>00852305</v>
          </cell>
          <cell r="B1639" t="str">
            <v>MIRKA ACE HD DELTA P120 PK5   ABRANET</v>
          </cell>
          <cell r="C1639" t="str">
            <v>MIRKA</v>
          </cell>
          <cell r="D1639">
            <v>12.67</v>
          </cell>
          <cell r="E1639">
            <v>0</v>
          </cell>
          <cell r="F1639">
            <v>0</v>
          </cell>
          <cell r="G1639">
            <v>0</v>
          </cell>
          <cell r="H1639">
            <v>12.67</v>
          </cell>
        </row>
        <row r="1640">
          <cell r="A1640" t="str">
            <v>00728200</v>
          </cell>
          <cell r="B1640" t="str">
            <v>MIRKA ADAPTER</v>
          </cell>
          <cell r="C1640" t="str">
            <v>MIRKA</v>
          </cell>
          <cell r="D1640">
            <v>7.56</v>
          </cell>
          <cell r="E1640">
            <v>0</v>
          </cell>
          <cell r="F1640">
            <v>0</v>
          </cell>
          <cell r="G1640">
            <v>0</v>
          </cell>
          <cell r="H1640">
            <v>7.56</v>
          </cell>
        </row>
        <row r="1641">
          <cell r="A1641" t="str">
            <v>00730468</v>
          </cell>
          <cell r="B1641" t="str">
            <v>MIRKA ALUM OXIDE   40GRIT 10M HIOMANT</v>
          </cell>
          <cell r="C1641" t="str">
            <v>MIRKA</v>
          </cell>
          <cell r="D1641">
            <v>13.36</v>
          </cell>
          <cell r="E1641">
            <v>0</v>
          </cell>
          <cell r="F1641">
            <v>0</v>
          </cell>
          <cell r="G1641">
            <v>0</v>
          </cell>
          <cell r="H1641">
            <v>13.36</v>
          </cell>
        </row>
        <row r="1642">
          <cell r="A1642" t="str">
            <v>00640081</v>
          </cell>
          <cell r="B1642" t="str">
            <v>MIRKA AROS-B 150NV 32MM 10.8V BMFC00147</v>
          </cell>
          <cell r="C1642" t="str">
            <v>MIRKA</v>
          </cell>
          <cell r="D1642">
            <v>796.35</v>
          </cell>
          <cell r="E1642">
            <v>0</v>
          </cell>
          <cell r="F1642">
            <v>0</v>
          </cell>
          <cell r="G1642">
            <v>0</v>
          </cell>
          <cell r="H1642">
            <v>796.35</v>
          </cell>
        </row>
        <row r="1643">
          <cell r="A1643" t="str">
            <v>00735967</v>
          </cell>
          <cell r="B1643" t="str">
            <v>MIRKA BACK PAD     150MM MED  8295494111</v>
          </cell>
          <cell r="C1643" t="str">
            <v>MIRKA</v>
          </cell>
          <cell r="D1643">
            <v>56.7</v>
          </cell>
          <cell r="E1643">
            <v>0</v>
          </cell>
          <cell r="F1643">
            <v>0</v>
          </cell>
          <cell r="G1643">
            <v>0</v>
          </cell>
          <cell r="H1643">
            <v>56.7</v>
          </cell>
        </row>
        <row r="1644">
          <cell r="A1644" t="str">
            <v>00611856</v>
          </cell>
          <cell r="B1644" t="str">
            <v>MIRKA BACK PAD     34H MEDIUM DEOS DELTA</v>
          </cell>
          <cell r="C1644" t="str">
            <v>MIRKA</v>
          </cell>
          <cell r="D1644">
            <v>43.78</v>
          </cell>
          <cell r="E1644">
            <v>0</v>
          </cell>
          <cell r="F1644">
            <v>0</v>
          </cell>
          <cell r="G1644">
            <v>0</v>
          </cell>
          <cell r="H1644">
            <v>43.78</v>
          </cell>
        </row>
        <row r="1645">
          <cell r="A1645" t="str">
            <v>00610783</v>
          </cell>
          <cell r="B1645" t="str">
            <v>MIRKA BACK PAD QK  LOCK 32MM  8294598511</v>
          </cell>
          <cell r="C1645" t="str">
            <v>MIRKA</v>
          </cell>
          <cell r="D1645">
            <v>45.87</v>
          </cell>
          <cell r="E1645">
            <v>0</v>
          </cell>
          <cell r="F1645">
            <v>0</v>
          </cell>
          <cell r="G1645">
            <v>0</v>
          </cell>
          <cell r="H1645">
            <v>45.87</v>
          </cell>
        </row>
        <row r="1646">
          <cell r="A1646" t="str">
            <v>00631522</v>
          </cell>
          <cell r="B1646" t="str">
            <v>MIRKA BACKING PAD             150MM</v>
          </cell>
          <cell r="C1646" t="str">
            <v>MIRKA</v>
          </cell>
          <cell r="D1646">
            <v>53.92</v>
          </cell>
          <cell r="E1646">
            <v>0</v>
          </cell>
          <cell r="F1646">
            <v>0</v>
          </cell>
          <cell r="G1646">
            <v>0</v>
          </cell>
          <cell r="H1646">
            <v>53.92</v>
          </cell>
        </row>
        <row r="1647">
          <cell r="A1647" t="str">
            <v>00640079</v>
          </cell>
          <cell r="B1647" t="str">
            <v>MIRKA BACKING PAD  81X133MM   8292353011</v>
          </cell>
          <cell r="C1647" t="str">
            <v>MIRKA</v>
          </cell>
          <cell r="D1647">
            <v>38.76</v>
          </cell>
          <cell r="E1647">
            <v>0</v>
          </cell>
          <cell r="F1647">
            <v>0</v>
          </cell>
          <cell r="G1647">
            <v>0</v>
          </cell>
          <cell r="H1647">
            <v>38.76</v>
          </cell>
        </row>
        <row r="1648">
          <cell r="A1648" t="str">
            <v>00605482</v>
          </cell>
          <cell r="B1648" t="str">
            <v>MIRKA BESKYTTELSE RONDEL 225MM</v>
          </cell>
          <cell r="C1648" t="str">
            <v>MIRKA</v>
          </cell>
          <cell r="D1648">
            <v>25.31</v>
          </cell>
          <cell r="E1648">
            <v>0</v>
          </cell>
          <cell r="F1648">
            <v>0</v>
          </cell>
          <cell r="G1648">
            <v>0</v>
          </cell>
          <cell r="H1648">
            <v>25.31</v>
          </cell>
        </row>
        <row r="1649">
          <cell r="A1649" t="str">
            <v>00611952</v>
          </cell>
          <cell r="B1649" t="str">
            <v>MIRKA CABLE 230V              MIE9017011</v>
          </cell>
          <cell r="C1649" t="str">
            <v>MIRKA</v>
          </cell>
          <cell r="D1649">
            <v>44.55</v>
          </cell>
          <cell r="E1649">
            <v>0</v>
          </cell>
          <cell r="F1649">
            <v>0</v>
          </cell>
          <cell r="G1649">
            <v>0</v>
          </cell>
          <cell r="H1649">
            <v>44.55</v>
          </cell>
        </row>
        <row r="1650">
          <cell r="A1650" t="str">
            <v>00636280</v>
          </cell>
          <cell r="B1650" t="str">
            <v>MIRKA CASE FASTEN  FOR 1230S</v>
          </cell>
          <cell r="C1650" t="str">
            <v>MIRKA</v>
          </cell>
          <cell r="D1650">
            <v>31.48</v>
          </cell>
          <cell r="E1650">
            <v>0</v>
          </cell>
          <cell r="F1650">
            <v>0</v>
          </cell>
          <cell r="G1650">
            <v>0</v>
          </cell>
          <cell r="H1650">
            <v>31.48</v>
          </cell>
        </row>
        <row r="1651">
          <cell r="A1651" t="str">
            <v>00611786</v>
          </cell>
          <cell r="B1651" t="str">
            <v>MIRKA CAUK DEROS   DEOS KIT   MID6535322</v>
          </cell>
          <cell r="C1651" t="str">
            <v>MIRKA</v>
          </cell>
          <cell r="D1651">
            <v>1050.6400000000001</v>
          </cell>
          <cell r="E1651">
            <v>0</v>
          </cell>
          <cell r="F1651">
            <v>0</v>
          </cell>
          <cell r="G1651">
            <v>0</v>
          </cell>
          <cell r="H1651">
            <v>1050.6400000000001</v>
          </cell>
        </row>
        <row r="1652">
          <cell r="A1652" t="str">
            <v>00643413</v>
          </cell>
          <cell r="B1652" t="str">
            <v>MIRKA CEROS MAINS  CABLE 230V 6416868323</v>
          </cell>
          <cell r="C1652" t="str">
            <v>MIRKA</v>
          </cell>
          <cell r="D1652">
            <v>33.31</v>
          </cell>
          <cell r="E1652">
            <v>0</v>
          </cell>
          <cell r="F1652">
            <v>0</v>
          </cell>
          <cell r="G1652">
            <v>0</v>
          </cell>
          <cell r="H1652">
            <v>33.31</v>
          </cell>
        </row>
        <row r="1653">
          <cell r="A1653" t="str">
            <v>00732895</v>
          </cell>
          <cell r="B1653" t="str">
            <v>MIRKA CEROS YELLOW CASE</v>
          </cell>
          <cell r="C1653" t="str">
            <v>MIRKA</v>
          </cell>
          <cell r="D1653">
            <v>99.15</v>
          </cell>
          <cell r="E1653">
            <v>0</v>
          </cell>
          <cell r="F1653">
            <v>0</v>
          </cell>
          <cell r="G1653">
            <v>0</v>
          </cell>
          <cell r="H1653">
            <v>99.15</v>
          </cell>
        </row>
        <row r="1654">
          <cell r="A1654" t="str">
            <v>00852270</v>
          </cell>
          <cell r="B1654" t="str">
            <v>MIRKA DECO KIT     110V DEOS  DELTA</v>
          </cell>
          <cell r="C1654" t="str">
            <v>MIRKA</v>
          </cell>
          <cell r="D1654">
            <v>695.55</v>
          </cell>
          <cell r="E1654">
            <v>0</v>
          </cell>
          <cell r="F1654">
            <v>0</v>
          </cell>
          <cell r="G1654">
            <v>0</v>
          </cell>
          <cell r="H1654">
            <v>695.55</v>
          </cell>
        </row>
        <row r="1655">
          <cell r="A1655" t="str">
            <v>00611848</v>
          </cell>
          <cell r="B1655" t="str">
            <v>MIRKA DELTA SHEET  P120 25PK  ACE HD</v>
          </cell>
          <cell r="C1655" t="str">
            <v>MIRKA</v>
          </cell>
          <cell r="D1655">
            <v>42.15</v>
          </cell>
          <cell r="E1655">
            <v>0</v>
          </cell>
          <cell r="F1655">
            <v>0</v>
          </cell>
          <cell r="G1655">
            <v>0</v>
          </cell>
          <cell r="H1655">
            <v>42.15</v>
          </cell>
        </row>
        <row r="1656">
          <cell r="A1656" t="str">
            <v>00611845</v>
          </cell>
          <cell r="B1656" t="str">
            <v>MIRKA DELTA SHEET  P180 50PK  ABRANET</v>
          </cell>
          <cell r="C1656" t="str">
            <v>MIRKA</v>
          </cell>
          <cell r="D1656">
            <v>60.32</v>
          </cell>
          <cell r="E1656">
            <v>0</v>
          </cell>
          <cell r="F1656">
            <v>0</v>
          </cell>
          <cell r="G1656">
            <v>0</v>
          </cell>
          <cell r="H1656">
            <v>60.32</v>
          </cell>
        </row>
        <row r="1657">
          <cell r="A1657" t="str">
            <v>00611846</v>
          </cell>
          <cell r="B1657" t="str">
            <v>MIRKA DELTA SHEET  P240 50PK  ABRANET</v>
          </cell>
          <cell r="C1657" t="str">
            <v>MIRKA</v>
          </cell>
          <cell r="D1657">
            <v>60.32</v>
          </cell>
          <cell r="E1657">
            <v>0</v>
          </cell>
          <cell r="F1657">
            <v>0</v>
          </cell>
          <cell r="G1657">
            <v>0</v>
          </cell>
          <cell r="H1657">
            <v>60.32</v>
          </cell>
        </row>
        <row r="1658">
          <cell r="A1658" t="str">
            <v>00611849</v>
          </cell>
          <cell r="B1658" t="str">
            <v>MIRKA DELTA SHEET  P40  25PK  ACE HD</v>
          </cell>
          <cell r="C1658" t="str">
            <v>MIRKA</v>
          </cell>
          <cell r="D1658">
            <v>49.29</v>
          </cell>
          <cell r="E1658">
            <v>0</v>
          </cell>
          <cell r="F1658">
            <v>0</v>
          </cell>
          <cell r="G1658">
            <v>0</v>
          </cell>
          <cell r="H1658">
            <v>49.29</v>
          </cell>
        </row>
        <row r="1659">
          <cell r="A1659" t="str">
            <v>00611855</v>
          </cell>
          <cell r="B1659" t="str">
            <v>MIRKA DELTA SHEET  P80  10PK  ABRANET</v>
          </cell>
          <cell r="C1659" t="str">
            <v>MIRKA</v>
          </cell>
          <cell r="D1659">
            <v>22.77</v>
          </cell>
          <cell r="E1659">
            <v>0</v>
          </cell>
          <cell r="F1659">
            <v>0</v>
          </cell>
          <cell r="G1659">
            <v>0</v>
          </cell>
          <cell r="H1659">
            <v>22.77</v>
          </cell>
        </row>
        <row r="1660">
          <cell r="A1660" t="str">
            <v>00611851</v>
          </cell>
          <cell r="B1660" t="str">
            <v>MIRKA DELTA SHEET  P80  25PK  ACE HD</v>
          </cell>
          <cell r="C1660" t="str">
            <v>MIRKA</v>
          </cell>
          <cell r="D1660">
            <v>44.43</v>
          </cell>
          <cell r="E1660">
            <v>0</v>
          </cell>
          <cell r="F1660">
            <v>0</v>
          </cell>
          <cell r="G1660">
            <v>0</v>
          </cell>
          <cell r="H1660">
            <v>44.43</v>
          </cell>
        </row>
        <row r="1661">
          <cell r="A1661" t="str">
            <v>00640078</v>
          </cell>
          <cell r="B1661" t="str">
            <v>MIRKA DEOS         230V       MID35302CA</v>
          </cell>
          <cell r="C1661" t="str">
            <v>MIRKA</v>
          </cell>
          <cell r="D1661">
            <v>585.79</v>
          </cell>
          <cell r="E1661">
            <v>0</v>
          </cell>
          <cell r="F1661">
            <v>0</v>
          </cell>
          <cell r="G1661">
            <v>0</v>
          </cell>
          <cell r="H1661">
            <v>585.79</v>
          </cell>
        </row>
        <row r="1662">
          <cell r="A1662" t="str">
            <v>00649936</v>
          </cell>
          <cell r="B1662" t="str">
            <v>MIRKA DEOS 383C 70 X198 230V  MID3830201</v>
          </cell>
          <cell r="C1662" t="str">
            <v>MIRKA</v>
          </cell>
          <cell r="D1662">
            <v>565.66</v>
          </cell>
          <cell r="E1662">
            <v>0</v>
          </cell>
          <cell r="F1662">
            <v>0</v>
          </cell>
          <cell r="G1662">
            <v>0</v>
          </cell>
          <cell r="H1662">
            <v>565.66</v>
          </cell>
        </row>
        <row r="1663">
          <cell r="A1663" t="str">
            <v>00610730</v>
          </cell>
          <cell r="B1663" t="str">
            <v>MIRKA DEOS BANKING PLATE      MIE3512611</v>
          </cell>
          <cell r="C1663" t="str">
            <v>MIRKA</v>
          </cell>
          <cell r="D1663">
            <v>21.62</v>
          </cell>
          <cell r="E1663">
            <v>0</v>
          </cell>
          <cell r="F1663">
            <v>0</v>
          </cell>
          <cell r="G1663">
            <v>0</v>
          </cell>
          <cell r="H1663">
            <v>21.62</v>
          </cell>
        </row>
        <row r="1664">
          <cell r="A1664" t="str">
            <v>00640077</v>
          </cell>
          <cell r="B1664" t="str">
            <v>MIRKA DEOS DECO    KIT 230V   KIT1718CDM</v>
          </cell>
          <cell r="C1664" t="str">
            <v>MIRKA</v>
          </cell>
          <cell r="D1664">
            <v>692.9</v>
          </cell>
          <cell r="E1664">
            <v>0</v>
          </cell>
          <cell r="F1664">
            <v>0</v>
          </cell>
          <cell r="G1664">
            <v>0</v>
          </cell>
          <cell r="H1664">
            <v>692.9</v>
          </cell>
        </row>
        <row r="1665">
          <cell r="A1665" t="str">
            <v>00611311</v>
          </cell>
          <cell r="B1665" t="str">
            <v>MIRKA DEOS DECOKIT 110V       KIT1822CDM</v>
          </cell>
          <cell r="C1665" t="str">
            <v>MIRKA</v>
          </cell>
          <cell r="D1665">
            <v>723.38</v>
          </cell>
          <cell r="E1665">
            <v>0</v>
          </cell>
          <cell r="F1665">
            <v>0</v>
          </cell>
          <cell r="G1665">
            <v>0</v>
          </cell>
          <cell r="H1665">
            <v>723.38</v>
          </cell>
        </row>
        <row r="1666">
          <cell r="A1666" t="str">
            <v>00611837</v>
          </cell>
          <cell r="B1666" t="str">
            <v>MIRKA DEOS DELTA   230V L/KIT</v>
          </cell>
          <cell r="C1666" t="str">
            <v>MIRKA</v>
          </cell>
          <cell r="D1666">
            <v>695.55</v>
          </cell>
          <cell r="E1666">
            <v>0</v>
          </cell>
          <cell r="F1666">
            <v>0</v>
          </cell>
          <cell r="G1666">
            <v>0</v>
          </cell>
          <cell r="H1666">
            <v>695.55</v>
          </cell>
        </row>
        <row r="1667">
          <cell r="A1667" t="str">
            <v>00611842</v>
          </cell>
          <cell r="B1667" t="str">
            <v>MIRKA DEOS DELTA   663CV 230V</v>
          </cell>
          <cell r="C1667" t="str">
            <v>MIRKA</v>
          </cell>
          <cell r="D1667">
            <v>603.77</v>
          </cell>
          <cell r="E1667">
            <v>0</v>
          </cell>
          <cell r="F1667">
            <v>0</v>
          </cell>
          <cell r="G1667">
            <v>0</v>
          </cell>
          <cell r="H1667">
            <v>603.77</v>
          </cell>
        </row>
        <row r="1668">
          <cell r="A1668" t="str">
            <v>00611843</v>
          </cell>
          <cell r="B1668" t="str">
            <v>MIRKA DEOS DELTA   663XCV 10V</v>
          </cell>
          <cell r="C1668" t="str">
            <v>MIRKA</v>
          </cell>
          <cell r="D1668">
            <v>603.77</v>
          </cell>
          <cell r="E1668">
            <v>0</v>
          </cell>
          <cell r="F1668">
            <v>0</v>
          </cell>
          <cell r="G1668">
            <v>0</v>
          </cell>
          <cell r="H1668">
            <v>603.77</v>
          </cell>
        </row>
        <row r="1669">
          <cell r="A1669" t="str">
            <v>00611145</v>
          </cell>
          <cell r="B1669" t="str">
            <v>MIRKA DEOS PROMO   230V       KIT1804INM</v>
          </cell>
          <cell r="C1669" t="str">
            <v>MIRKA</v>
          </cell>
          <cell r="D1669">
            <v>689.59</v>
          </cell>
          <cell r="E1669">
            <v>0</v>
          </cell>
          <cell r="F1669">
            <v>0</v>
          </cell>
          <cell r="G1669">
            <v>0</v>
          </cell>
          <cell r="H1669">
            <v>689.59</v>
          </cell>
        </row>
        <row r="1670">
          <cell r="A1670" t="str">
            <v>00643627</v>
          </cell>
          <cell r="B1670" t="str">
            <v>MIRKA DEROS 650CV  MID6502022 UK</v>
          </cell>
          <cell r="C1670" t="str">
            <v>MIRKA</v>
          </cell>
          <cell r="D1670">
            <v>541.30999999999995</v>
          </cell>
          <cell r="E1670">
            <v>0</v>
          </cell>
          <cell r="F1670">
            <v>0</v>
          </cell>
          <cell r="G1670">
            <v>0</v>
          </cell>
          <cell r="H1670">
            <v>541.30999999999995</v>
          </cell>
        </row>
        <row r="1671">
          <cell r="A1671" t="str">
            <v>00611256</v>
          </cell>
          <cell r="B1671" t="str">
            <v>MIRKA DEROS 680V   8MM 230V   BMFC00130</v>
          </cell>
          <cell r="C1671" t="str">
            <v>MIRKA</v>
          </cell>
          <cell r="D1671">
            <v>598.59</v>
          </cell>
          <cell r="E1671">
            <v>0</v>
          </cell>
          <cell r="F1671">
            <v>0</v>
          </cell>
          <cell r="G1671">
            <v>0</v>
          </cell>
          <cell r="H1671">
            <v>598.59</v>
          </cell>
        </row>
        <row r="1672">
          <cell r="A1672" t="str">
            <v>00611144</v>
          </cell>
          <cell r="B1672" t="str">
            <v>MIRKA DEROS PROMO  110V       KIT1805INM</v>
          </cell>
          <cell r="C1672" t="str">
            <v>MIRKA</v>
          </cell>
          <cell r="D1672">
            <v>703.52</v>
          </cell>
          <cell r="E1672">
            <v>0</v>
          </cell>
          <cell r="F1672">
            <v>0</v>
          </cell>
          <cell r="G1672">
            <v>0</v>
          </cell>
          <cell r="H1672">
            <v>703.52</v>
          </cell>
        </row>
        <row r="1673">
          <cell r="A1673" t="str">
            <v>00611143</v>
          </cell>
          <cell r="B1673" t="str">
            <v>MIRKA DEROS PROMO  230V       KIT1803INM</v>
          </cell>
          <cell r="C1673" t="str">
            <v>MIRKA</v>
          </cell>
          <cell r="D1673">
            <v>672.37</v>
          </cell>
          <cell r="E1673">
            <v>0</v>
          </cell>
          <cell r="F1673">
            <v>0</v>
          </cell>
          <cell r="G1673">
            <v>0</v>
          </cell>
          <cell r="H1673">
            <v>672.37</v>
          </cell>
        </row>
        <row r="1674">
          <cell r="A1674" t="str">
            <v>00614855</v>
          </cell>
          <cell r="B1674" t="str">
            <v>MIRKA DEROS5650XCV 110V DECO  SOL KIT</v>
          </cell>
          <cell r="C1674" t="str">
            <v>MIRKA</v>
          </cell>
          <cell r="D1674">
            <v>708.91</v>
          </cell>
          <cell r="E1674">
            <v>0</v>
          </cell>
          <cell r="F1674">
            <v>0</v>
          </cell>
          <cell r="G1674">
            <v>0</v>
          </cell>
          <cell r="H1674">
            <v>708.91</v>
          </cell>
        </row>
        <row r="1675">
          <cell r="A1675" t="str">
            <v>00732838</v>
          </cell>
          <cell r="B1675" t="str">
            <v>MIRKA DUST EXT 915 MACHINE    110V</v>
          </cell>
          <cell r="C1675" t="str">
            <v>MIRKA</v>
          </cell>
          <cell r="D1675">
            <v>628.65</v>
          </cell>
          <cell r="E1675">
            <v>0</v>
          </cell>
          <cell r="F1675">
            <v>0</v>
          </cell>
          <cell r="G1675">
            <v>0</v>
          </cell>
          <cell r="H1675">
            <v>628.65</v>
          </cell>
        </row>
        <row r="1676">
          <cell r="A1676" t="str">
            <v>00643433</v>
          </cell>
          <cell r="B1676" t="str">
            <v>MIRKA EXHAUST KIT  CEROS      MIN6519011</v>
          </cell>
          <cell r="C1676" t="str">
            <v>MIRKA</v>
          </cell>
          <cell r="D1676">
            <v>19.100000000000001</v>
          </cell>
          <cell r="E1676">
            <v>0</v>
          </cell>
          <cell r="F1676">
            <v>0</v>
          </cell>
          <cell r="G1676">
            <v>0</v>
          </cell>
          <cell r="H1676">
            <v>19.100000000000001</v>
          </cell>
        </row>
        <row r="1677">
          <cell r="A1677" t="str">
            <v>00636276</v>
          </cell>
          <cell r="B1677" t="str">
            <v>MIRKA EXTRACTOR    110V 1230M</v>
          </cell>
          <cell r="C1677" t="str">
            <v>MIRKA</v>
          </cell>
          <cell r="D1677">
            <v>1164.6099999999999</v>
          </cell>
          <cell r="E1677">
            <v>0</v>
          </cell>
          <cell r="F1677">
            <v>0</v>
          </cell>
          <cell r="G1677">
            <v>0</v>
          </cell>
          <cell r="H1677">
            <v>1164.6099999999999</v>
          </cell>
        </row>
        <row r="1678">
          <cell r="A1678" t="str">
            <v>00732543</v>
          </cell>
          <cell r="B1678" t="str">
            <v>MIRKA FILTER FOR   EXT MACHIN</v>
          </cell>
          <cell r="C1678" t="str">
            <v>MIRKA</v>
          </cell>
          <cell r="D1678">
            <v>58.79</v>
          </cell>
          <cell r="E1678">
            <v>0</v>
          </cell>
          <cell r="F1678">
            <v>0</v>
          </cell>
          <cell r="G1678">
            <v>0</v>
          </cell>
          <cell r="H1678">
            <v>58.79</v>
          </cell>
        </row>
        <row r="1679">
          <cell r="A1679" t="str">
            <v>00732000</v>
          </cell>
          <cell r="B1679" t="str">
            <v>MIRKA FLEECE       PACK 5     DUSTBAG</v>
          </cell>
          <cell r="C1679" t="str">
            <v>MIRKA</v>
          </cell>
          <cell r="D1679">
            <v>57.84</v>
          </cell>
          <cell r="E1679">
            <v>0</v>
          </cell>
          <cell r="F1679">
            <v>0</v>
          </cell>
          <cell r="G1679">
            <v>0</v>
          </cell>
          <cell r="H1679">
            <v>57.84</v>
          </cell>
        </row>
        <row r="1680">
          <cell r="A1680" t="str">
            <v>00733770</v>
          </cell>
          <cell r="B1680" t="str">
            <v>MIRKA HANDY ABRANET 80X230 MM P240 10 ST</v>
          </cell>
          <cell r="C1680" t="str">
            <v>MIRKA</v>
          </cell>
          <cell r="D1680">
            <v>20.81</v>
          </cell>
          <cell r="E1680">
            <v>0</v>
          </cell>
          <cell r="F1680">
            <v>0</v>
          </cell>
          <cell r="G1680">
            <v>0</v>
          </cell>
          <cell r="H1680">
            <v>20.81</v>
          </cell>
        </row>
        <row r="1681">
          <cell r="A1681" t="str">
            <v>00733768</v>
          </cell>
          <cell r="B1681" t="str">
            <v>MIRKA HANDY STRIPS P120 PK10  80 X 230MM</v>
          </cell>
          <cell r="C1681" t="str">
            <v>MIRKA</v>
          </cell>
          <cell r="D1681">
            <v>20.81</v>
          </cell>
          <cell r="E1681">
            <v>0</v>
          </cell>
          <cell r="F1681">
            <v>0</v>
          </cell>
          <cell r="G1681">
            <v>0</v>
          </cell>
          <cell r="H1681">
            <v>20.81</v>
          </cell>
        </row>
        <row r="1682">
          <cell r="A1682" t="str">
            <v>00733769</v>
          </cell>
          <cell r="B1682" t="str">
            <v>MIRKA HANDY STRIPS P180 PK10  80 X 230MM</v>
          </cell>
          <cell r="C1682" t="str">
            <v>MIRKA</v>
          </cell>
          <cell r="D1682">
            <v>20.81</v>
          </cell>
          <cell r="E1682">
            <v>0</v>
          </cell>
          <cell r="F1682">
            <v>0</v>
          </cell>
          <cell r="G1682">
            <v>0</v>
          </cell>
          <cell r="H1682">
            <v>20.81</v>
          </cell>
        </row>
        <row r="1683">
          <cell r="A1683" t="str">
            <v>00733767</v>
          </cell>
          <cell r="B1683" t="str">
            <v>MIRKA HANDY STRIPS P80 PK10   80 X 230MM</v>
          </cell>
          <cell r="C1683" t="str">
            <v>MIRKA</v>
          </cell>
          <cell r="D1683">
            <v>20.81</v>
          </cell>
          <cell r="E1683">
            <v>0</v>
          </cell>
          <cell r="F1683">
            <v>0</v>
          </cell>
          <cell r="G1683">
            <v>0</v>
          </cell>
          <cell r="H1683">
            <v>20.81</v>
          </cell>
        </row>
        <row r="1684">
          <cell r="A1684" t="str">
            <v>00732544</v>
          </cell>
          <cell r="B1684" t="str">
            <v>MIRKA INT/FACE PAD 125MM PK5  8295530111</v>
          </cell>
          <cell r="C1684" t="str">
            <v>MIRKA</v>
          </cell>
          <cell r="D1684">
            <v>51.4</v>
          </cell>
          <cell r="E1684">
            <v>0</v>
          </cell>
          <cell r="F1684">
            <v>0</v>
          </cell>
          <cell r="G1684">
            <v>0</v>
          </cell>
          <cell r="H1684">
            <v>51.4</v>
          </cell>
        </row>
        <row r="1685">
          <cell r="A1685" t="str">
            <v>00732545</v>
          </cell>
          <cell r="B1685" t="str">
            <v>MIRKA INTERFACE    PAD 150MM  PK5</v>
          </cell>
          <cell r="C1685" t="str">
            <v>MIRKA</v>
          </cell>
          <cell r="D1685">
            <v>57.04</v>
          </cell>
          <cell r="E1685">
            <v>0</v>
          </cell>
          <cell r="F1685">
            <v>0</v>
          </cell>
          <cell r="G1685">
            <v>0</v>
          </cell>
          <cell r="H1685">
            <v>57.04</v>
          </cell>
        </row>
        <row r="1686">
          <cell r="A1686" t="str">
            <v>00611298</v>
          </cell>
          <cell r="B1686" t="str">
            <v>MIRKA LEROS KIT LTD EDITION CMFC00167</v>
          </cell>
          <cell r="C1686" t="str">
            <v>MIRKA</v>
          </cell>
          <cell r="D1686">
            <v>1402.95</v>
          </cell>
          <cell r="E1686">
            <v>0</v>
          </cell>
          <cell r="F1686">
            <v>0</v>
          </cell>
          <cell r="G1686">
            <v>0</v>
          </cell>
          <cell r="H1686">
            <v>1402.95</v>
          </cell>
        </row>
        <row r="1687">
          <cell r="A1687" t="str">
            <v>00649887</v>
          </cell>
          <cell r="B1687" t="str">
            <v>MIRKA LEROS WALL   SANDER     MIW95020BA</v>
          </cell>
          <cell r="C1687" t="str">
            <v>MIRKA</v>
          </cell>
          <cell r="D1687">
            <v>1473.09</v>
          </cell>
          <cell r="E1687">
            <v>0</v>
          </cell>
          <cell r="F1687">
            <v>0</v>
          </cell>
          <cell r="G1687">
            <v>0</v>
          </cell>
          <cell r="H1687">
            <v>1473.09</v>
          </cell>
        </row>
        <row r="1688">
          <cell r="A1688" t="str">
            <v>00852394</v>
          </cell>
          <cell r="B1688" t="str">
            <v>MIRKA MACHINE ONLY DEROS 110V</v>
          </cell>
          <cell r="C1688" t="str">
            <v>MIRKA</v>
          </cell>
          <cell r="D1688">
            <v>661.23</v>
          </cell>
          <cell r="E1688">
            <v>0</v>
          </cell>
          <cell r="F1688">
            <v>0</v>
          </cell>
          <cell r="G1688">
            <v>0</v>
          </cell>
          <cell r="H1688">
            <v>661.23</v>
          </cell>
        </row>
        <row r="1689">
          <cell r="A1689" t="str">
            <v>00631360</v>
          </cell>
          <cell r="B1689" t="str">
            <v>MIRKA MIRKA CASE   MIN6533011</v>
          </cell>
          <cell r="C1689" t="str">
            <v>MIRKA</v>
          </cell>
          <cell r="D1689">
            <v>78.290000000000006</v>
          </cell>
          <cell r="E1689">
            <v>0</v>
          </cell>
          <cell r="F1689">
            <v>0</v>
          </cell>
          <cell r="G1689">
            <v>0</v>
          </cell>
          <cell r="H1689">
            <v>78.290000000000006</v>
          </cell>
        </row>
        <row r="1690">
          <cell r="A1690" t="str">
            <v>00611831</v>
          </cell>
          <cell r="B1690" t="str">
            <v>MIRKA MIRLON TOTAL VF360 PK3  115X230MM</v>
          </cell>
          <cell r="C1690" t="str">
            <v>MIRKA</v>
          </cell>
          <cell r="D1690">
            <v>4.37</v>
          </cell>
          <cell r="E1690">
            <v>0</v>
          </cell>
          <cell r="F1690">
            <v>0</v>
          </cell>
          <cell r="G1690">
            <v>0</v>
          </cell>
          <cell r="H1690">
            <v>4.37</v>
          </cell>
        </row>
        <row r="1691">
          <cell r="A1691" t="str">
            <v>00732549</v>
          </cell>
          <cell r="B1691" t="str">
            <v>MIRKA MIRO 955     SANDER     110V</v>
          </cell>
          <cell r="C1691" t="str">
            <v>MIRKA</v>
          </cell>
          <cell r="D1691">
            <v>1424.8</v>
          </cell>
          <cell r="E1691">
            <v>0</v>
          </cell>
          <cell r="F1691">
            <v>0</v>
          </cell>
          <cell r="G1691">
            <v>0</v>
          </cell>
          <cell r="H1691">
            <v>1424.8</v>
          </cell>
        </row>
        <row r="1692">
          <cell r="A1692" t="str">
            <v>00732547</v>
          </cell>
          <cell r="B1692" t="str">
            <v>MIRKA PAD SAVER    125MM PK5  8295511011</v>
          </cell>
          <cell r="C1692" t="str">
            <v>MIRKA</v>
          </cell>
          <cell r="D1692">
            <v>46.32</v>
          </cell>
          <cell r="E1692">
            <v>0</v>
          </cell>
          <cell r="F1692">
            <v>0</v>
          </cell>
          <cell r="G1692">
            <v>0</v>
          </cell>
          <cell r="H1692">
            <v>46.32</v>
          </cell>
        </row>
        <row r="1693">
          <cell r="A1693" t="str">
            <v>00611857</v>
          </cell>
          <cell r="B1693" t="str">
            <v>MIRKA PAD SAVER    34H 5PK    DEOS DELTA</v>
          </cell>
          <cell r="C1693" t="str">
            <v>MIRKA</v>
          </cell>
          <cell r="D1693">
            <v>22.3</v>
          </cell>
          <cell r="E1693">
            <v>0</v>
          </cell>
          <cell r="F1693">
            <v>0</v>
          </cell>
          <cell r="G1693">
            <v>0</v>
          </cell>
          <cell r="H1693">
            <v>22.3</v>
          </cell>
        </row>
        <row r="1694">
          <cell r="A1694" t="str">
            <v>00731041</v>
          </cell>
          <cell r="B1694" t="str">
            <v>MIRKA PAD SAVER    81 X 133MM (PK 5)</v>
          </cell>
          <cell r="C1694" t="str">
            <v>MIRKA</v>
          </cell>
          <cell r="D1694">
            <v>46.04</v>
          </cell>
          <cell r="E1694">
            <v>0</v>
          </cell>
          <cell r="F1694">
            <v>0</v>
          </cell>
          <cell r="G1694">
            <v>0</v>
          </cell>
          <cell r="H1694">
            <v>46.04</v>
          </cell>
        </row>
        <row r="1695">
          <cell r="A1695" t="str">
            <v>00649891</v>
          </cell>
          <cell r="B1695" t="str">
            <v>MIRKA PAD SAVER 1P 225MM 25H  MIW9535011</v>
          </cell>
          <cell r="C1695" t="str">
            <v>MIRKA</v>
          </cell>
          <cell r="D1695">
            <v>26.01</v>
          </cell>
          <cell r="E1695">
            <v>0</v>
          </cell>
          <cell r="F1695">
            <v>0</v>
          </cell>
          <cell r="G1695">
            <v>0</v>
          </cell>
          <cell r="H1695">
            <v>26.01</v>
          </cell>
        </row>
        <row r="1696">
          <cell r="A1696" t="str">
            <v>00649714</v>
          </cell>
          <cell r="B1696" t="str">
            <v>MIRKA PROS 650CV   AIR SANDER 8995650111</v>
          </cell>
          <cell r="C1696" t="str">
            <v>MIRKA</v>
          </cell>
          <cell r="D1696">
            <v>251.82</v>
          </cell>
          <cell r="E1696">
            <v>0</v>
          </cell>
          <cell r="F1696">
            <v>0</v>
          </cell>
          <cell r="G1696">
            <v>0</v>
          </cell>
          <cell r="H1696">
            <v>251.82</v>
          </cell>
        </row>
        <row r="1697">
          <cell r="A1697" t="str">
            <v>00636275</v>
          </cell>
          <cell r="B1697" t="str">
            <v>MIRKA ROUNDY KIT</v>
          </cell>
          <cell r="C1697" t="str">
            <v>MIRKA</v>
          </cell>
          <cell r="D1697">
            <v>70.819999999999993</v>
          </cell>
          <cell r="E1697">
            <v>0</v>
          </cell>
          <cell r="F1697">
            <v>0</v>
          </cell>
          <cell r="G1697">
            <v>0</v>
          </cell>
          <cell r="H1697">
            <v>70.819999999999993</v>
          </cell>
        </row>
        <row r="1698">
          <cell r="A1698" t="str">
            <v>00649886</v>
          </cell>
          <cell r="B1698" t="str">
            <v>MIRKA WALL SANDER  DECO KIT   BMFC00168</v>
          </cell>
          <cell r="C1698" t="str">
            <v>MIRKA</v>
          </cell>
          <cell r="D1698">
            <v>1568.55</v>
          </cell>
          <cell r="E1698">
            <v>0</v>
          </cell>
          <cell r="F1698">
            <v>0</v>
          </cell>
          <cell r="G1698">
            <v>0</v>
          </cell>
          <cell r="H1698">
            <v>1568.55</v>
          </cell>
        </row>
        <row r="1699">
          <cell r="A1699" t="str">
            <v>00447377</v>
          </cell>
          <cell r="B1699" t="str">
            <v>MYCOL DURABLE MATT AQUA DREAM 0000001250</v>
          </cell>
          <cell r="C1699" t="str">
            <v>My Colour</v>
          </cell>
          <cell r="D1699">
            <v>14</v>
          </cell>
          <cell r="E1699">
            <v>0</v>
          </cell>
          <cell r="F1699">
            <v>0</v>
          </cell>
          <cell r="G1699">
            <v>0</v>
          </cell>
          <cell r="H1699">
            <v>14</v>
          </cell>
        </row>
        <row r="1700">
          <cell r="A1700" t="str">
            <v>00447384</v>
          </cell>
          <cell r="B1700" t="str">
            <v>MYCOL DURABLE MATT ASH GROVE  0000001250</v>
          </cell>
          <cell r="C1700" t="str">
            <v>My Colour</v>
          </cell>
          <cell r="D1700">
            <v>14</v>
          </cell>
          <cell r="E1700">
            <v>0</v>
          </cell>
          <cell r="F1700">
            <v>0</v>
          </cell>
          <cell r="G1700">
            <v>0</v>
          </cell>
          <cell r="H1700">
            <v>14</v>
          </cell>
        </row>
        <row r="1701">
          <cell r="A1701" t="str">
            <v>00447381</v>
          </cell>
          <cell r="B1701" t="str">
            <v>MYCOL DURABLE MATT BOULD LICH 0000001250</v>
          </cell>
          <cell r="C1701" t="str">
            <v>My Colour</v>
          </cell>
          <cell r="D1701">
            <v>14</v>
          </cell>
          <cell r="E1701">
            <v>0</v>
          </cell>
          <cell r="F1701">
            <v>0</v>
          </cell>
          <cell r="G1701">
            <v>0</v>
          </cell>
          <cell r="H1701">
            <v>14</v>
          </cell>
        </row>
        <row r="1702">
          <cell r="A1702" t="str">
            <v>00447386</v>
          </cell>
          <cell r="B1702" t="str">
            <v>MYCOL DURABLE MATT CANDLE SMK 0000001250</v>
          </cell>
          <cell r="C1702" t="str">
            <v>My Colour</v>
          </cell>
          <cell r="D1702">
            <v>14</v>
          </cell>
          <cell r="E1702">
            <v>0</v>
          </cell>
          <cell r="F1702">
            <v>0</v>
          </cell>
          <cell r="G1702">
            <v>0</v>
          </cell>
          <cell r="H1702">
            <v>14</v>
          </cell>
        </row>
        <row r="1703">
          <cell r="A1703" t="str">
            <v>00447388</v>
          </cell>
          <cell r="B1703" t="str">
            <v>MYCOL DURABLE MATT COASTOFMAI 0000001250</v>
          </cell>
          <cell r="C1703" t="str">
            <v>My Colour</v>
          </cell>
          <cell r="D1703">
            <v>14</v>
          </cell>
          <cell r="E1703">
            <v>0</v>
          </cell>
          <cell r="F1703">
            <v>0</v>
          </cell>
          <cell r="G1703">
            <v>0</v>
          </cell>
          <cell r="H1703">
            <v>14</v>
          </cell>
        </row>
        <row r="1704">
          <cell r="A1704" t="str">
            <v>00447373</v>
          </cell>
          <cell r="B1704" t="str">
            <v>MYCOL DURABLE MATT EL CAPITAN 0000001250</v>
          </cell>
          <cell r="C1704" t="str">
            <v>My Colour</v>
          </cell>
          <cell r="D1704">
            <v>14</v>
          </cell>
          <cell r="E1704">
            <v>0</v>
          </cell>
          <cell r="F1704">
            <v>0</v>
          </cell>
          <cell r="G1704">
            <v>0</v>
          </cell>
          <cell r="H1704">
            <v>14</v>
          </cell>
        </row>
        <row r="1705">
          <cell r="A1705" t="str">
            <v>00447382</v>
          </cell>
          <cell r="B1705" t="str">
            <v>MYCOL DURABLE MATT ENCH EGGPL 0000001250</v>
          </cell>
          <cell r="C1705" t="str">
            <v>My Colour</v>
          </cell>
          <cell r="D1705">
            <v>14</v>
          </cell>
          <cell r="E1705">
            <v>0</v>
          </cell>
          <cell r="F1705">
            <v>0</v>
          </cell>
          <cell r="G1705">
            <v>0</v>
          </cell>
          <cell r="H1705">
            <v>14</v>
          </cell>
        </row>
        <row r="1706">
          <cell r="A1706" t="str">
            <v>00447374</v>
          </cell>
          <cell r="B1706" t="str">
            <v>MYCOL DURABLE MATT INTUITIVE  0000001250</v>
          </cell>
          <cell r="C1706" t="str">
            <v>My Colour</v>
          </cell>
          <cell r="D1706">
            <v>14</v>
          </cell>
          <cell r="E1706">
            <v>0</v>
          </cell>
          <cell r="F1706">
            <v>0</v>
          </cell>
          <cell r="G1706">
            <v>0</v>
          </cell>
          <cell r="H1706">
            <v>14</v>
          </cell>
        </row>
        <row r="1707">
          <cell r="A1707" t="str">
            <v>00447389</v>
          </cell>
          <cell r="B1707" t="str">
            <v>MYCOL DURABLE MATT NEW CHALK  0000001250</v>
          </cell>
          <cell r="C1707" t="str">
            <v>My Colour</v>
          </cell>
          <cell r="D1707">
            <v>14</v>
          </cell>
          <cell r="E1707">
            <v>0</v>
          </cell>
          <cell r="F1707">
            <v>0</v>
          </cell>
          <cell r="G1707">
            <v>0</v>
          </cell>
          <cell r="H1707">
            <v>14</v>
          </cell>
        </row>
        <row r="1708">
          <cell r="A1708" t="str">
            <v>00447372</v>
          </cell>
          <cell r="B1708" t="str">
            <v>MYCOL DURABLE MATT NIGHTCAP   0000001250</v>
          </cell>
          <cell r="C1708" t="str">
            <v>My Colour</v>
          </cell>
          <cell r="D1708">
            <v>14</v>
          </cell>
          <cell r="E1708">
            <v>0</v>
          </cell>
          <cell r="F1708">
            <v>0</v>
          </cell>
          <cell r="G1708">
            <v>0</v>
          </cell>
          <cell r="H1708">
            <v>14</v>
          </cell>
        </row>
        <row r="1709">
          <cell r="A1709" t="str">
            <v>00447370</v>
          </cell>
          <cell r="B1709" t="str">
            <v>MYCOL DURABLE MATT NIGHTWATCH 0000001250</v>
          </cell>
          <cell r="C1709" t="str">
            <v>My Colour</v>
          </cell>
          <cell r="D1709">
            <v>14</v>
          </cell>
          <cell r="E1709">
            <v>0</v>
          </cell>
          <cell r="F1709">
            <v>0</v>
          </cell>
          <cell r="G1709">
            <v>0</v>
          </cell>
          <cell r="H1709">
            <v>14</v>
          </cell>
        </row>
        <row r="1710">
          <cell r="A1710" t="str">
            <v>00447380</v>
          </cell>
          <cell r="B1710" t="str">
            <v>MYCOL DURABLE MATT PEACH PUDD 0000001250</v>
          </cell>
          <cell r="C1710" t="str">
            <v>My Colour</v>
          </cell>
          <cell r="D1710">
            <v>14</v>
          </cell>
          <cell r="E1710">
            <v>0</v>
          </cell>
          <cell r="F1710">
            <v>0</v>
          </cell>
          <cell r="G1710">
            <v>0</v>
          </cell>
          <cell r="H1710">
            <v>14</v>
          </cell>
        </row>
        <row r="1711">
          <cell r="A1711" t="str">
            <v>00447379</v>
          </cell>
          <cell r="B1711" t="str">
            <v>MYCOL DURABLE MATT SINGI SAND 0000001250</v>
          </cell>
          <cell r="C1711" t="str">
            <v>My Colour</v>
          </cell>
          <cell r="D1711">
            <v>14</v>
          </cell>
          <cell r="E1711">
            <v>0</v>
          </cell>
          <cell r="F1711">
            <v>0</v>
          </cell>
          <cell r="G1711">
            <v>0</v>
          </cell>
          <cell r="H1711">
            <v>14</v>
          </cell>
        </row>
        <row r="1712">
          <cell r="A1712" t="str">
            <v>00447385</v>
          </cell>
          <cell r="B1712" t="str">
            <v>MYCOL DURABLE MATT SOMBRE TAN 0000001250</v>
          </cell>
          <cell r="C1712" t="str">
            <v>My Colour</v>
          </cell>
          <cell r="D1712">
            <v>14</v>
          </cell>
          <cell r="E1712">
            <v>0</v>
          </cell>
          <cell r="F1712">
            <v>0</v>
          </cell>
          <cell r="G1712">
            <v>0</v>
          </cell>
          <cell r="H1712">
            <v>14</v>
          </cell>
        </row>
        <row r="1713">
          <cell r="A1713" t="str">
            <v>00447383</v>
          </cell>
          <cell r="B1713" t="str">
            <v>MYCOL DURABLE MATT STEEL MILL 0000001250</v>
          </cell>
          <cell r="C1713" t="str">
            <v>My Colour</v>
          </cell>
          <cell r="D1713">
            <v>14</v>
          </cell>
          <cell r="E1713">
            <v>0</v>
          </cell>
          <cell r="F1713">
            <v>0</v>
          </cell>
          <cell r="G1713">
            <v>0</v>
          </cell>
          <cell r="H1713">
            <v>14</v>
          </cell>
        </row>
        <row r="1714">
          <cell r="A1714" t="str">
            <v>00447375</v>
          </cell>
          <cell r="B1714" t="str">
            <v>MYCOL DURABLE MATT SUMMER SHA 0000001250</v>
          </cell>
          <cell r="C1714" t="str">
            <v>My Colour</v>
          </cell>
          <cell r="D1714">
            <v>14</v>
          </cell>
          <cell r="E1714">
            <v>0</v>
          </cell>
          <cell r="F1714">
            <v>0</v>
          </cell>
          <cell r="G1714">
            <v>0</v>
          </cell>
          <cell r="H1714">
            <v>14</v>
          </cell>
        </row>
        <row r="1715">
          <cell r="A1715" t="str">
            <v>00447387</v>
          </cell>
          <cell r="B1715" t="str">
            <v>MYCOL DURABLE MATT SWANSONG   0000001250</v>
          </cell>
          <cell r="C1715" t="str">
            <v>My Colour</v>
          </cell>
          <cell r="D1715">
            <v>14</v>
          </cell>
          <cell r="E1715">
            <v>0</v>
          </cell>
          <cell r="F1715">
            <v>0</v>
          </cell>
          <cell r="G1715">
            <v>0</v>
          </cell>
          <cell r="H1715">
            <v>14</v>
          </cell>
        </row>
        <row r="1716">
          <cell r="A1716" t="str">
            <v>00447378</v>
          </cell>
          <cell r="B1716" t="str">
            <v>MYCOL DURABLE MATT SYMMETRY   0000001250</v>
          </cell>
          <cell r="C1716" t="str">
            <v>My Colour</v>
          </cell>
          <cell r="D1716">
            <v>14</v>
          </cell>
          <cell r="E1716">
            <v>0</v>
          </cell>
          <cell r="F1716">
            <v>0</v>
          </cell>
          <cell r="G1716">
            <v>0</v>
          </cell>
          <cell r="H1716">
            <v>14</v>
          </cell>
        </row>
        <row r="1717">
          <cell r="A1717" t="str">
            <v>00447371</v>
          </cell>
          <cell r="B1717" t="str">
            <v>MYCOL DURABLE MATT TAN YRHIDE 0000001250</v>
          </cell>
          <cell r="C1717" t="str">
            <v>My Colour</v>
          </cell>
          <cell r="D1717">
            <v>14</v>
          </cell>
          <cell r="E1717">
            <v>0</v>
          </cell>
          <cell r="F1717">
            <v>0</v>
          </cell>
          <cell r="G1717">
            <v>0</v>
          </cell>
          <cell r="H1717">
            <v>14</v>
          </cell>
        </row>
        <row r="1718">
          <cell r="A1718" t="str">
            <v>00447376</v>
          </cell>
          <cell r="B1718" t="str">
            <v>MYCOL DURABLE MATT WHITBY JET 0000001250</v>
          </cell>
          <cell r="C1718" t="str">
            <v>My Colour</v>
          </cell>
          <cell r="D1718">
            <v>14</v>
          </cell>
          <cell r="E1718">
            <v>0</v>
          </cell>
          <cell r="F1718">
            <v>0</v>
          </cell>
          <cell r="G1718">
            <v>0</v>
          </cell>
          <cell r="H1718">
            <v>14</v>
          </cell>
        </row>
        <row r="1719">
          <cell r="A1719" t="str">
            <v>00447390</v>
          </cell>
          <cell r="B1719" t="str">
            <v>MYCOL DURABLE MATT WING COMMA 0000001250</v>
          </cell>
          <cell r="C1719" t="str">
            <v>My Colour</v>
          </cell>
          <cell r="D1719">
            <v>14</v>
          </cell>
          <cell r="E1719">
            <v>0</v>
          </cell>
          <cell r="F1719">
            <v>0</v>
          </cell>
          <cell r="G1719">
            <v>0</v>
          </cell>
          <cell r="H1719">
            <v>14</v>
          </cell>
        </row>
        <row r="1720">
          <cell r="A1720" t="str">
            <v>00681045</v>
          </cell>
          <cell r="B1720" t="str">
            <v>MYCOL PEEL &amp; STICK AQUA DREAM</v>
          </cell>
          <cell r="C1720" t="str">
            <v>My Colour</v>
          </cell>
          <cell r="D1720">
            <v>1.5</v>
          </cell>
          <cell r="E1720">
            <v>0</v>
          </cell>
          <cell r="F1720">
            <v>0</v>
          </cell>
          <cell r="G1720">
            <v>0</v>
          </cell>
          <cell r="H1720">
            <v>1.5</v>
          </cell>
        </row>
        <row r="1721">
          <cell r="A1721" t="str">
            <v>00681052</v>
          </cell>
          <cell r="B1721" t="str">
            <v>MYCOL PEEL &amp; STICK ASH GROVE</v>
          </cell>
          <cell r="C1721" t="str">
            <v>My Colour</v>
          </cell>
          <cell r="D1721">
            <v>1.5</v>
          </cell>
          <cell r="E1721">
            <v>0</v>
          </cell>
          <cell r="F1721">
            <v>0</v>
          </cell>
          <cell r="G1721">
            <v>0</v>
          </cell>
          <cell r="H1721">
            <v>1.5</v>
          </cell>
        </row>
        <row r="1722">
          <cell r="A1722" t="str">
            <v>00681049</v>
          </cell>
          <cell r="B1722" t="str">
            <v>MYCOL PEEL &amp; STICK BOULD LICH</v>
          </cell>
          <cell r="C1722" t="str">
            <v>My Colour</v>
          </cell>
          <cell r="D1722">
            <v>1.5</v>
          </cell>
          <cell r="E1722">
            <v>0</v>
          </cell>
          <cell r="F1722">
            <v>0</v>
          </cell>
          <cell r="G1722">
            <v>0</v>
          </cell>
          <cell r="H1722">
            <v>1.5</v>
          </cell>
        </row>
        <row r="1723">
          <cell r="A1723" t="str">
            <v>00681054</v>
          </cell>
          <cell r="B1723" t="str">
            <v>MYCOL PEEL &amp; STICK CANDLE SMK</v>
          </cell>
          <cell r="C1723" t="str">
            <v>My Colour</v>
          </cell>
          <cell r="D1723">
            <v>1.5</v>
          </cell>
          <cell r="E1723">
            <v>0</v>
          </cell>
          <cell r="F1723">
            <v>0</v>
          </cell>
          <cell r="G1723">
            <v>0</v>
          </cell>
          <cell r="H1723">
            <v>1.5</v>
          </cell>
        </row>
        <row r="1724">
          <cell r="A1724" t="str">
            <v>00681041</v>
          </cell>
          <cell r="B1724" t="str">
            <v>MYCOL PEEL &amp; STICK EL CAPITAN</v>
          </cell>
          <cell r="C1724" t="str">
            <v>My Colour</v>
          </cell>
          <cell r="D1724">
            <v>1.5</v>
          </cell>
          <cell r="E1724">
            <v>0</v>
          </cell>
          <cell r="F1724">
            <v>0</v>
          </cell>
          <cell r="G1724">
            <v>0</v>
          </cell>
          <cell r="H1724">
            <v>1.5</v>
          </cell>
        </row>
        <row r="1725">
          <cell r="A1725" t="str">
            <v>00681050</v>
          </cell>
          <cell r="B1725" t="str">
            <v>MYCOL PEEL &amp; STICK ENCH EGGPL</v>
          </cell>
          <cell r="C1725" t="str">
            <v>My Colour</v>
          </cell>
          <cell r="D1725">
            <v>1.5</v>
          </cell>
          <cell r="E1725">
            <v>0</v>
          </cell>
          <cell r="F1725">
            <v>0</v>
          </cell>
          <cell r="G1725">
            <v>0</v>
          </cell>
          <cell r="H1725">
            <v>1.5</v>
          </cell>
        </row>
        <row r="1726">
          <cell r="A1726" t="str">
            <v>00681057</v>
          </cell>
          <cell r="B1726" t="str">
            <v>MYCOL PEEL &amp; STICK NEW CHALK</v>
          </cell>
          <cell r="C1726" t="str">
            <v>My Colour</v>
          </cell>
          <cell r="D1726">
            <v>1.5</v>
          </cell>
          <cell r="E1726">
            <v>0</v>
          </cell>
          <cell r="F1726">
            <v>0</v>
          </cell>
          <cell r="G1726">
            <v>0</v>
          </cell>
          <cell r="H1726">
            <v>1.5</v>
          </cell>
        </row>
        <row r="1727">
          <cell r="A1727" t="str">
            <v>00681040</v>
          </cell>
          <cell r="B1727" t="str">
            <v>MYCOL PEEL &amp; STICK NIGHTCAP</v>
          </cell>
          <cell r="C1727" t="str">
            <v>My Colour</v>
          </cell>
          <cell r="D1727">
            <v>1.5</v>
          </cell>
          <cell r="E1727">
            <v>0</v>
          </cell>
          <cell r="F1727">
            <v>0</v>
          </cell>
          <cell r="G1727">
            <v>0</v>
          </cell>
          <cell r="H1727">
            <v>1.5</v>
          </cell>
        </row>
        <row r="1728">
          <cell r="A1728" t="str">
            <v>00681038</v>
          </cell>
          <cell r="B1728" t="str">
            <v>MYCOL PEEL &amp; STICK NIGHTWATCH</v>
          </cell>
          <cell r="C1728" t="str">
            <v>My Colour</v>
          </cell>
          <cell r="D1728">
            <v>1.5</v>
          </cell>
          <cell r="E1728">
            <v>0</v>
          </cell>
          <cell r="F1728">
            <v>0</v>
          </cell>
          <cell r="G1728">
            <v>0</v>
          </cell>
          <cell r="H1728">
            <v>1.5</v>
          </cell>
        </row>
        <row r="1729">
          <cell r="A1729" t="str">
            <v>00681048</v>
          </cell>
          <cell r="B1729" t="str">
            <v>MYCOL PEEL &amp; STICK PEACH PUDD</v>
          </cell>
          <cell r="C1729" t="str">
            <v>My Colour</v>
          </cell>
          <cell r="D1729">
            <v>1.5</v>
          </cell>
          <cell r="E1729">
            <v>0</v>
          </cell>
          <cell r="F1729">
            <v>0</v>
          </cell>
          <cell r="G1729">
            <v>0</v>
          </cell>
          <cell r="H1729">
            <v>1.5</v>
          </cell>
        </row>
        <row r="1730">
          <cell r="A1730" t="str">
            <v>00681047</v>
          </cell>
          <cell r="B1730" t="str">
            <v>MYCOL PEEL &amp; STICK SINGI SAND</v>
          </cell>
          <cell r="C1730" t="str">
            <v>My Colour</v>
          </cell>
          <cell r="D1730">
            <v>1.5</v>
          </cell>
          <cell r="E1730">
            <v>0</v>
          </cell>
          <cell r="F1730">
            <v>0</v>
          </cell>
          <cell r="G1730">
            <v>0</v>
          </cell>
          <cell r="H1730">
            <v>1.5</v>
          </cell>
        </row>
        <row r="1731">
          <cell r="A1731" t="str">
            <v>00681053</v>
          </cell>
          <cell r="B1731" t="str">
            <v>MYCOL PEEL &amp; STICK SOMBRE TAN</v>
          </cell>
          <cell r="C1731" t="str">
            <v>My Colour</v>
          </cell>
          <cell r="D1731">
            <v>1.5</v>
          </cell>
          <cell r="E1731">
            <v>0</v>
          </cell>
          <cell r="F1731">
            <v>0</v>
          </cell>
          <cell r="G1731">
            <v>0</v>
          </cell>
          <cell r="H1731">
            <v>1.5</v>
          </cell>
        </row>
        <row r="1732">
          <cell r="A1732" t="str">
            <v>00681051</v>
          </cell>
          <cell r="B1732" t="str">
            <v>MYCOL PEEL &amp; STICK STEEL MILL</v>
          </cell>
          <cell r="C1732" t="str">
            <v>My Colour</v>
          </cell>
          <cell r="D1732">
            <v>1.5</v>
          </cell>
          <cell r="E1732">
            <v>0</v>
          </cell>
          <cell r="F1732">
            <v>0</v>
          </cell>
          <cell r="G1732">
            <v>0</v>
          </cell>
          <cell r="H1732">
            <v>1.5</v>
          </cell>
        </row>
        <row r="1733">
          <cell r="A1733" t="str">
            <v>00681043</v>
          </cell>
          <cell r="B1733" t="str">
            <v>MYCOL PEEL &amp; STICK SUMMER SHA</v>
          </cell>
          <cell r="C1733" t="str">
            <v>My Colour</v>
          </cell>
          <cell r="D1733">
            <v>1.5</v>
          </cell>
          <cell r="E1733">
            <v>0</v>
          </cell>
          <cell r="F1733">
            <v>0</v>
          </cell>
          <cell r="G1733">
            <v>0</v>
          </cell>
          <cell r="H1733">
            <v>1.5</v>
          </cell>
        </row>
        <row r="1734">
          <cell r="A1734" t="str">
            <v>00681055</v>
          </cell>
          <cell r="B1734" t="str">
            <v>MYCOL PEEL &amp; STICK SWANSONG</v>
          </cell>
          <cell r="C1734" t="str">
            <v>My Colour</v>
          </cell>
          <cell r="D1734">
            <v>1.5</v>
          </cell>
          <cell r="E1734">
            <v>0</v>
          </cell>
          <cell r="F1734">
            <v>0</v>
          </cell>
          <cell r="G1734">
            <v>0</v>
          </cell>
          <cell r="H1734">
            <v>1.5</v>
          </cell>
        </row>
        <row r="1735">
          <cell r="A1735" t="str">
            <v>00681046</v>
          </cell>
          <cell r="B1735" t="str">
            <v>MYCOL PEEL &amp; STICK SYMMETRY</v>
          </cell>
          <cell r="C1735" t="str">
            <v>My Colour</v>
          </cell>
          <cell r="D1735">
            <v>1.5</v>
          </cell>
          <cell r="E1735">
            <v>0</v>
          </cell>
          <cell r="F1735">
            <v>0</v>
          </cell>
          <cell r="G1735">
            <v>0</v>
          </cell>
          <cell r="H1735">
            <v>1.5</v>
          </cell>
        </row>
        <row r="1736">
          <cell r="A1736" t="str">
            <v>00681039</v>
          </cell>
          <cell r="B1736" t="str">
            <v>MYCOL PEEL &amp; STICK TAN YR HID</v>
          </cell>
          <cell r="C1736" t="str">
            <v>My Colour</v>
          </cell>
          <cell r="D1736">
            <v>1.5</v>
          </cell>
          <cell r="E1736">
            <v>0</v>
          </cell>
          <cell r="F1736">
            <v>0</v>
          </cell>
          <cell r="G1736">
            <v>0</v>
          </cell>
          <cell r="H1736">
            <v>1.5</v>
          </cell>
        </row>
        <row r="1737">
          <cell r="A1737" t="str">
            <v>00681044</v>
          </cell>
          <cell r="B1737" t="str">
            <v>MYCOL PEEL &amp; STICK WHITBY JET</v>
          </cell>
          <cell r="C1737" t="str">
            <v>My Colour</v>
          </cell>
          <cell r="D1737">
            <v>1.5</v>
          </cell>
          <cell r="E1737">
            <v>0</v>
          </cell>
          <cell r="F1737">
            <v>0</v>
          </cell>
          <cell r="G1737">
            <v>0</v>
          </cell>
          <cell r="H1737">
            <v>1.5</v>
          </cell>
        </row>
        <row r="1738">
          <cell r="A1738" t="str">
            <v>00681058</v>
          </cell>
          <cell r="B1738" t="str">
            <v>MYCOL PEEL &amp; STICK WING COMMA</v>
          </cell>
          <cell r="C1738" t="str">
            <v>My Colour</v>
          </cell>
          <cell r="D1738">
            <v>1.5</v>
          </cell>
          <cell r="E1738">
            <v>0</v>
          </cell>
          <cell r="F1738">
            <v>0</v>
          </cell>
          <cell r="G1738">
            <v>0</v>
          </cell>
          <cell r="H1738">
            <v>1.5</v>
          </cell>
        </row>
        <row r="1739">
          <cell r="A1739" t="str">
            <v>00447489</v>
          </cell>
          <cell r="B1739" t="str">
            <v>MYCOL TESTER POT   AQUA DREAM 0000000055</v>
          </cell>
          <cell r="C1739" t="str">
            <v>My Colour</v>
          </cell>
          <cell r="D1739">
            <v>3</v>
          </cell>
          <cell r="E1739">
            <v>0</v>
          </cell>
          <cell r="F1739">
            <v>0</v>
          </cell>
          <cell r="G1739">
            <v>0</v>
          </cell>
          <cell r="H1739">
            <v>3</v>
          </cell>
        </row>
        <row r="1740">
          <cell r="A1740" t="str">
            <v>00447476</v>
          </cell>
          <cell r="B1740" t="str">
            <v>MYCOL TESTER POT   ASH GROVE  0000000055</v>
          </cell>
          <cell r="C1740" t="str">
            <v>My Colour</v>
          </cell>
          <cell r="D1740">
            <v>3</v>
          </cell>
          <cell r="E1740">
            <v>0</v>
          </cell>
          <cell r="F1740">
            <v>0</v>
          </cell>
          <cell r="G1740">
            <v>0</v>
          </cell>
          <cell r="H1740">
            <v>3</v>
          </cell>
        </row>
        <row r="1741">
          <cell r="A1741" t="str">
            <v>00447473</v>
          </cell>
          <cell r="B1741" t="str">
            <v>MYCOL TESTER POT   BOULD LICH 0000000055</v>
          </cell>
          <cell r="C1741" t="str">
            <v>My Colour</v>
          </cell>
          <cell r="D1741">
            <v>3</v>
          </cell>
          <cell r="E1741">
            <v>0</v>
          </cell>
          <cell r="F1741">
            <v>0</v>
          </cell>
          <cell r="G1741">
            <v>0</v>
          </cell>
          <cell r="H1741">
            <v>3</v>
          </cell>
        </row>
        <row r="1742">
          <cell r="A1742" t="str">
            <v>00447478</v>
          </cell>
          <cell r="B1742" t="str">
            <v>MYCOL TESTER POT   CANDLE SMK 0000000055</v>
          </cell>
          <cell r="C1742" t="str">
            <v>My Colour</v>
          </cell>
          <cell r="D1742">
            <v>3</v>
          </cell>
          <cell r="E1742">
            <v>0</v>
          </cell>
          <cell r="F1742">
            <v>0</v>
          </cell>
          <cell r="G1742">
            <v>0</v>
          </cell>
          <cell r="H1742">
            <v>3</v>
          </cell>
        </row>
        <row r="1743">
          <cell r="A1743" t="str">
            <v>00447480</v>
          </cell>
          <cell r="B1743" t="str">
            <v>MYCOL TESTER POT   COASTOFMAI 0000000055</v>
          </cell>
          <cell r="C1743" t="str">
            <v>My Colour</v>
          </cell>
          <cell r="D1743">
            <v>3</v>
          </cell>
          <cell r="E1743">
            <v>0</v>
          </cell>
          <cell r="F1743">
            <v>0</v>
          </cell>
          <cell r="G1743">
            <v>0</v>
          </cell>
          <cell r="H1743">
            <v>3</v>
          </cell>
        </row>
        <row r="1744">
          <cell r="A1744" t="str">
            <v>00447485</v>
          </cell>
          <cell r="B1744" t="str">
            <v>MYCOL TESTER POT   EL CAPITAN 0000000055</v>
          </cell>
          <cell r="C1744" t="str">
            <v>My Colour</v>
          </cell>
          <cell r="D1744">
            <v>3</v>
          </cell>
          <cell r="E1744">
            <v>0</v>
          </cell>
          <cell r="F1744">
            <v>0</v>
          </cell>
          <cell r="G1744">
            <v>0</v>
          </cell>
          <cell r="H1744">
            <v>3</v>
          </cell>
        </row>
        <row r="1745">
          <cell r="A1745" t="str">
            <v>00447474</v>
          </cell>
          <cell r="B1745" t="str">
            <v>MYCOL TESTER POT   ENCH EGGPL 0000000055</v>
          </cell>
          <cell r="C1745" t="str">
            <v>My Colour</v>
          </cell>
          <cell r="D1745">
            <v>3</v>
          </cell>
          <cell r="E1745">
            <v>0</v>
          </cell>
          <cell r="F1745">
            <v>0</v>
          </cell>
          <cell r="G1745">
            <v>0</v>
          </cell>
          <cell r="H1745">
            <v>3</v>
          </cell>
        </row>
        <row r="1746">
          <cell r="A1746" t="str">
            <v>00447486</v>
          </cell>
          <cell r="B1746" t="str">
            <v>MYCOL TESTER POT   INTUITIVE  0000000055</v>
          </cell>
          <cell r="C1746" t="str">
            <v>My Colour</v>
          </cell>
          <cell r="D1746">
            <v>3</v>
          </cell>
          <cell r="E1746">
            <v>0</v>
          </cell>
          <cell r="F1746">
            <v>0</v>
          </cell>
          <cell r="G1746">
            <v>0</v>
          </cell>
          <cell r="H1746">
            <v>3</v>
          </cell>
        </row>
        <row r="1747">
          <cell r="A1747" t="str">
            <v>00447481</v>
          </cell>
          <cell r="B1747" t="str">
            <v>MYCOL TESTER POT   NEW CHALK  0000000055</v>
          </cell>
          <cell r="C1747" t="str">
            <v>My Colour</v>
          </cell>
          <cell r="D1747">
            <v>3</v>
          </cell>
          <cell r="E1747">
            <v>0</v>
          </cell>
          <cell r="F1747">
            <v>0</v>
          </cell>
          <cell r="G1747">
            <v>0</v>
          </cell>
          <cell r="H1747">
            <v>3</v>
          </cell>
        </row>
        <row r="1748">
          <cell r="A1748" t="str">
            <v>00447484</v>
          </cell>
          <cell r="B1748" t="str">
            <v>MYCOL TESTER POT   NIGHTCAP   0000000055</v>
          </cell>
          <cell r="C1748" t="str">
            <v>My Colour</v>
          </cell>
          <cell r="D1748">
            <v>3</v>
          </cell>
          <cell r="E1748">
            <v>0</v>
          </cell>
          <cell r="F1748">
            <v>0</v>
          </cell>
          <cell r="G1748">
            <v>0</v>
          </cell>
          <cell r="H1748">
            <v>3</v>
          </cell>
        </row>
        <row r="1749">
          <cell r="A1749" t="str">
            <v>00447470</v>
          </cell>
          <cell r="B1749" t="str">
            <v>MYCOL TESTER POT   NIGHTWATCH 0000000055</v>
          </cell>
          <cell r="C1749" t="str">
            <v>My Colour</v>
          </cell>
          <cell r="D1749">
            <v>3</v>
          </cell>
          <cell r="E1749">
            <v>0</v>
          </cell>
          <cell r="F1749">
            <v>0</v>
          </cell>
          <cell r="G1749">
            <v>0</v>
          </cell>
          <cell r="H1749">
            <v>3</v>
          </cell>
        </row>
        <row r="1750">
          <cell r="A1750" t="str">
            <v>00447472</v>
          </cell>
          <cell r="B1750" t="str">
            <v>MYCOL TESTER POT   PEACH PUDD 0000000055</v>
          </cell>
          <cell r="C1750" t="str">
            <v>My Colour</v>
          </cell>
          <cell r="D1750">
            <v>3</v>
          </cell>
          <cell r="E1750">
            <v>0</v>
          </cell>
          <cell r="F1750">
            <v>0</v>
          </cell>
          <cell r="G1750">
            <v>0</v>
          </cell>
          <cell r="H1750">
            <v>3</v>
          </cell>
        </row>
        <row r="1751">
          <cell r="A1751" t="str">
            <v>00447471</v>
          </cell>
          <cell r="B1751" t="str">
            <v>MYCOL TESTER POT   SINGI SAND 0000000055</v>
          </cell>
          <cell r="C1751" t="str">
            <v>My Colour</v>
          </cell>
          <cell r="D1751">
            <v>3</v>
          </cell>
          <cell r="E1751">
            <v>0</v>
          </cell>
          <cell r="F1751">
            <v>0</v>
          </cell>
          <cell r="G1751">
            <v>0</v>
          </cell>
          <cell r="H1751">
            <v>3</v>
          </cell>
        </row>
        <row r="1752">
          <cell r="A1752" t="str">
            <v>00447477</v>
          </cell>
          <cell r="B1752" t="str">
            <v>MYCOL TESTER POT   SOMBRE TAN 0000000055</v>
          </cell>
          <cell r="C1752" t="str">
            <v>My Colour</v>
          </cell>
          <cell r="D1752">
            <v>3</v>
          </cell>
          <cell r="E1752">
            <v>0</v>
          </cell>
          <cell r="F1752">
            <v>0</v>
          </cell>
          <cell r="G1752">
            <v>0</v>
          </cell>
          <cell r="H1752">
            <v>3</v>
          </cell>
        </row>
        <row r="1753">
          <cell r="A1753" t="str">
            <v>00447475</v>
          </cell>
          <cell r="B1753" t="str">
            <v>MYCOL TESTER POT   STEEL MILL 0000000055</v>
          </cell>
          <cell r="C1753" t="str">
            <v>My Colour</v>
          </cell>
          <cell r="D1753">
            <v>3</v>
          </cell>
          <cell r="E1753">
            <v>0</v>
          </cell>
          <cell r="F1753">
            <v>0</v>
          </cell>
          <cell r="G1753">
            <v>0</v>
          </cell>
          <cell r="H1753">
            <v>3</v>
          </cell>
        </row>
        <row r="1754">
          <cell r="A1754" t="str">
            <v>00447487</v>
          </cell>
          <cell r="B1754" t="str">
            <v>MYCOL TESTER POT   SUMMER SHA 0000000055</v>
          </cell>
          <cell r="C1754" t="str">
            <v>My Colour</v>
          </cell>
          <cell r="D1754">
            <v>3</v>
          </cell>
          <cell r="E1754">
            <v>0</v>
          </cell>
          <cell r="F1754">
            <v>0</v>
          </cell>
          <cell r="G1754">
            <v>0</v>
          </cell>
          <cell r="H1754">
            <v>3</v>
          </cell>
        </row>
        <row r="1755">
          <cell r="A1755" t="str">
            <v>00447479</v>
          </cell>
          <cell r="B1755" t="str">
            <v>MYCOL TESTER POT   SWANSONG   0000000055</v>
          </cell>
          <cell r="C1755" t="str">
            <v>My Colour</v>
          </cell>
          <cell r="D1755">
            <v>3</v>
          </cell>
          <cell r="E1755">
            <v>0</v>
          </cell>
          <cell r="F1755">
            <v>0</v>
          </cell>
          <cell r="G1755">
            <v>0</v>
          </cell>
          <cell r="H1755">
            <v>3</v>
          </cell>
        </row>
        <row r="1756">
          <cell r="A1756" t="str">
            <v>00447490</v>
          </cell>
          <cell r="B1756" t="str">
            <v>MYCOL TESTER POT   SYMMETRY   0000000055</v>
          </cell>
          <cell r="C1756" t="str">
            <v>My Colour</v>
          </cell>
          <cell r="D1756">
            <v>3</v>
          </cell>
          <cell r="E1756">
            <v>0</v>
          </cell>
          <cell r="F1756">
            <v>0</v>
          </cell>
          <cell r="G1756">
            <v>0</v>
          </cell>
          <cell r="H1756">
            <v>3</v>
          </cell>
        </row>
        <row r="1757">
          <cell r="A1757" t="str">
            <v>00447483</v>
          </cell>
          <cell r="B1757" t="str">
            <v>MYCOL TESTER POT   TAN YRHIDE 0000000055</v>
          </cell>
          <cell r="C1757" t="str">
            <v>My Colour</v>
          </cell>
          <cell r="D1757">
            <v>3</v>
          </cell>
          <cell r="E1757">
            <v>0</v>
          </cell>
          <cell r="F1757">
            <v>0</v>
          </cell>
          <cell r="G1757">
            <v>0</v>
          </cell>
          <cell r="H1757">
            <v>3</v>
          </cell>
        </row>
        <row r="1758">
          <cell r="A1758" t="str">
            <v>00447482</v>
          </cell>
          <cell r="B1758" t="str">
            <v>MYCOL TESTER POT   WING COMMA 0000000055</v>
          </cell>
          <cell r="C1758" t="str">
            <v>My Colour</v>
          </cell>
          <cell r="D1758">
            <v>3</v>
          </cell>
          <cell r="E1758">
            <v>0</v>
          </cell>
          <cell r="F1758">
            <v>0</v>
          </cell>
          <cell r="G1758">
            <v>0</v>
          </cell>
          <cell r="H1758">
            <v>3</v>
          </cell>
        </row>
        <row r="1759">
          <cell r="A1759" t="str">
            <v>00241815</v>
          </cell>
          <cell r="B1759" t="str">
            <v>NOVAGUARD 260 SET PINK        6007002200</v>
          </cell>
          <cell r="C1759" t="str">
            <v>PMC</v>
          </cell>
          <cell r="D1759">
            <v>509.91</v>
          </cell>
          <cell r="E1759">
            <v>0</v>
          </cell>
          <cell r="F1759">
            <v>0</v>
          </cell>
          <cell r="G1759">
            <v>0</v>
          </cell>
          <cell r="H1759">
            <v>509.91</v>
          </cell>
        </row>
        <row r="1760">
          <cell r="A1760" t="str">
            <v>00352167</v>
          </cell>
          <cell r="B1760" t="str">
            <v>NOVAGUARD 4701 SET LIGHTAMBER 3000002200</v>
          </cell>
          <cell r="C1760" t="str">
            <v>PMC</v>
          </cell>
          <cell r="D1760">
            <v>636.67999999999995</v>
          </cell>
          <cell r="E1760">
            <v>0</v>
          </cell>
          <cell r="F1760">
            <v>0</v>
          </cell>
          <cell r="G1760">
            <v>0</v>
          </cell>
          <cell r="H1760">
            <v>636.67999999999995</v>
          </cell>
        </row>
        <row r="1761">
          <cell r="A1761" t="str">
            <v>00346294</v>
          </cell>
          <cell r="B1761" t="str">
            <v>NOVAGUARD 4801 SET WHITE      7000002200</v>
          </cell>
          <cell r="C1761" t="str">
            <v>PMC</v>
          </cell>
          <cell r="D1761">
            <v>954.87</v>
          </cell>
          <cell r="E1761">
            <v>0</v>
          </cell>
          <cell r="F1761">
            <v>0</v>
          </cell>
          <cell r="G1761">
            <v>0</v>
          </cell>
          <cell r="H1761">
            <v>954.87</v>
          </cell>
        </row>
        <row r="1762">
          <cell r="A1762" t="str">
            <v>00377970</v>
          </cell>
          <cell r="B1762" t="str">
            <v>NOVAGUARD 615 SET LIGHT GREY  5001002200</v>
          </cell>
          <cell r="C1762" t="str">
            <v>PMC</v>
          </cell>
          <cell r="D1762">
            <v>871.4</v>
          </cell>
          <cell r="E1762">
            <v>0</v>
          </cell>
          <cell r="F1762">
            <v>0</v>
          </cell>
          <cell r="G1762">
            <v>0</v>
          </cell>
          <cell r="H1762">
            <v>871.4</v>
          </cell>
        </row>
        <row r="1763">
          <cell r="A1763" t="str">
            <v>00340121</v>
          </cell>
          <cell r="B1763" t="str">
            <v>NOVAGUARD 650 SET OFFWHITE    7001002200</v>
          </cell>
          <cell r="C1763" t="str">
            <v>PMC</v>
          </cell>
          <cell r="D1763">
            <v>764</v>
          </cell>
          <cell r="E1763">
            <v>0</v>
          </cell>
          <cell r="F1763">
            <v>0</v>
          </cell>
          <cell r="G1763">
            <v>0</v>
          </cell>
          <cell r="H1763">
            <v>764</v>
          </cell>
        </row>
        <row r="1764">
          <cell r="A1764" t="str">
            <v>00237775</v>
          </cell>
          <cell r="B1764" t="str">
            <v>NOVAGUARD 840 SET CREAM       3012002200</v>
          </cell>
          <cell r="C1764" t="str">
            <v>PMC</v>
          </cell>
          <cell r="D1764">
            <v>979.94</v>
          </cell>
          <cell r="E1764">
            <v>0</v>
          </cell>
          <cell r="F1764">
            <v>0</v>
          </cell>
          <cell r="G1764">
            <v>0</v>
          </cell>
          <cell r="H1764">
            <v>979.94</v>
          </cell>
        </row>
        <row r="1765">
          <cell r="A1765" t="str">
            <v>00282887</v>
          </cell>
          <cell r="B1765" t="str">
            <v>NOVAGUARD 890 SET CREAM       3002002200</v>
          </cell>
          <cell r="C1765" t="str">
            <v>PMC</v>
          </cell>
          <cell r="D1765">
            <v>1323.48</v>
          </cell>
          <cell r="E1765">
            <v>0</v>
          </cell>
          <cell r="F1765">
            <v>0</v>
          </cell>
          <cell r="G1765">
            <v>0</v>
          </cell>
          <cell r="H1765">
            <v>1323.48</v>
          </cell>
        </row>
        <row r="1766">
          <cell r="A1766" t="str">
            <v>00394172</v>
          </cell>
          <cell r="B1766" t="str">
            <v>NUKLAD IMP SET CLEAR         N0000002119</v>
          </cell>
          <cell r="C1766" t="str">
            <v>PMC</v>
          </cell>
          <cell r="D1766">
            <v>295.55</v>
          </cell>
          <cell r="E1766">
            <v>0</v>
          </cell>
          <cell r="F1766">
            <v>0</v>
          </cell>
          <cell r="G1766">
            <v>0</v>
          </cell>
          <cell r="H1766">
            <v>295.55</v>
          </cell>
        </row>
        <row r="1767">
          <cell r="A1767" t="str">
            <v>00347747</v>
          </cell>
          <cell r="B1767" t="str">
            <v>NUKLAD SL SET BAS Z           0070002170</v>
          </cell>
          <cell r="C1767" t="str">
            <v>PMC</v>
          </cell>
          <cell r="D1767">
            <v>561.51</v>
          </cell>
          <cell r="E1767">
            <v>0</v>
          </cell>
          <cell r="F1767">
            <v>0</v>
          </cell>
          <cell r="G1767">
            <v>0</v>
          </cell>
          <cell r="H1767">
            <v>561.51</v>
          </cell>
        </row>
        <row r="1768">
          <cell r="A1768" t="str">
            <v>00734995</v>
          </cell>
          <cell r="B1768" t="str">
            <v>OSMO  BRUSH        CLEAR      0000001100</v>
          </cell>
          <cell r="C1768" t="str">
            <v>OSMO</v>
          </cell>
          <cell r="D1768">
            <v>11.36</v>
          </cell>
          <cell r="E1768">
            <v>0</v>
          </cell>
          <cell r="F1768">
            <v>0</v>
          </cell>
          <cell r="G1768">
            <v>0</v>
          </cell>
          <cell r="H1768">
            <v>11.36</v>
          </cell>
        </row>
        <row r="1769">
          <cell r="A1769" t="str">
            <v>00611273</v>
          </cell>
          <cell r="B1769" t="str">
            <v>OSMO  COUNTRY COLS 0804-Y30R  0000001250</v>
          </cell>
          <cell r="C1769" t="str">
            <v>OSMO</v>
          </cell>
          <cell r="D1769">
            <v>143.66999999999999</v>
          </cell>
          <cell r="E1769">
            <v>0</v>
          </cell>
          <cell r="F1769">
            <v>0</v>
          </cell>
          <cell r="G1769">
            <v>0</v>
          </cell>
          <cell r="H1769">
            <v>143.66999999999999</v>
          </cell>
        </row>
        <row r="1770">
          <cell r="A1770" t="str">
            <v>00610514</v>
          </cell>
          <cell r="B1770" t="str">
            <v>OSMO  COUNTRY COLS ANTH GREY  0000001250</v>
          </cell>
          <cell r="C1770" t="str">
            <v>OSMO</v>
          </cell>
          <cell r="D1770">
            <v>94.99</v>
          </cell>
          <cell r="E1770">
            <v>0</v>
          </cell>
          <cell r="F1770">
            <v>0</v>
          </cell>
          <cell r="G1770">
            <v>0</v>
          </cell>
          <cell r="H1770">
            <v>94.99</v>
          </cell>
        </row>
        <row r="1771">
          <cell r="A1771" t="str">
            <v>00649883</v>
          </cell>
          <cell r="B1771" t="str">
            <v>OSMO  COUNTRY COLS DUSK GREY  0000000750</v>
          </cell>
          <cell r="C1771" t="str">
            <v>OSMO</v>
          </cell>
          <cell r="D1771">
            <v>28.08</v>
          </cell>
          <cell r="E1771">
            <v>0</v>
          </cell>
          <cell r="F1771">
            <v>0</v>
          </cell>
          <cell r="G1771">
            <v>0</v>
          </cell>
          <cell r="H1771">
            <v>28.08</v>
          </cell>
        </row>
        <row r="1772">
          <cell r="A1772" t="str">
            <v>00615062</v>
          </cell>
          <cell r="B1772" t="str">
            <v>OSMO  COUNTRY COLS MED BROWN  0000001250</v>
          </cell>
          <cell r="C1772" t="str">
            <v>OSMO</v>
          </cell>
          <cell r="D1772">
            <v>90.17</v>
          </cell>
          <cell r="E1772">
            <v>0</v>
          </cell>
          <cell r="F1772">
            <v>0</v>
          </cell>
          <cell r="G1772">
            <v>0</v>
          </cell>
          <cell r="H1772">
            <v>90.17</v>
          </cell>
        </row>
        <row r="1773">
          <cell r="A1773" t="str">
            <v>00615303</v>
          </cell>
          <cell r="B1773" t="str">
            <v>OSMO  DECK STAIN   430D CLEAR 0000001250</v>
          </cell>
          <cell r="C1773" t="str">
            <v>OSMO</v>
          </cell>
          <cell r="D1773">
            <v>79.989999999999995</v>
          </cell>
          <cell r="E1773">
            <v>0</v>
          </cell>
          <cell r="F1773">
            <v>0</v>
          </cell>
          <cell r="G1773">
            <v>0</v>
          </cell>
          <cell r="H1773">
            <v>79.989999999999995</v>
          </cell>
        </row>
        <row r="1774">
          <cell r="A1774" t="str">
            <v>00739389</v>
          </cell>
          <cell r="B1774" t="str">
            <v>OSMO  DOOR OIL     CLEAR      0000001100</v>
          </cell>
          <cell r="C1774" t="str">
            <v>OSMO</v>
          </cell>
          <cell r="D1774">
            <v>36.21</v>
          </cell>
          <cell r="E1774">
            <v>0</v>
          </cell>
          <cell r="F1774">
            <v>0</v>
          </cell>
          <cell r="G1774">
            <v>0</v>
          </cell>
          <cell r="H1774">
            <v>36.21</v>
          </cell>
        </row>
        <row r="1775">
          <cell r="A1775" t="str">
            <v>00618104</v>
          </cell>
          <cell r="B1775" t="str">
            <v>OSMO  NAT OIL      L/OAK 732C 0000000750</v>
          </cell>
          <cell r="C1775" t="str">
            <v>OSMO</v>
          </cell>
          <cell r="D1775">
            <v>27.9</v>
          </cell>
          <cell r="E1775">
            <v>0</v>
          </cell>
          <cell r="F1775">
            <v>0</v>
          </cell>
          <cell r="G1775">
            <v>0</v>
          </cell>
          <cell r="H1775">
            <v>27.9</v>
          </cell>
        </row>
        <row r="1776">
          <cell r="A1776" t="str">
            <v>00852664</v>
          </cell>
          <cell r="B1776" t="str">
            <v>OSMO  NAT OIL W/ST EBONY 712C 0000000750</v>
          </cell>
          <cell r="C1776" t="str">
            <v>OSMO</v>
          </cell>
          <cell r="D1776">
            <v>27.64</v>
          </cell>
          <cell r="E1776">
            <v>0</v>
          </cell>
          <cell r="F1776">
            <v>0</v>
          </cell>
          <cell r="G1776">
            <v>0</v>
          </cell>
          <cell r="H1776">
            <v>27.64</v>
          </cell>
        </row>
        <row r="1777">
          <cell r="A1777" t="str">
            <v>00631545</v>
          </cell>
          <cell r="B1777" t="str">
            <v>OSMO  NATURAL OIL  LARCH 702  0000001250</v>
          </cell>
          <cell r="C1777" t="str">
            <v>OSMO</v>
          </cell>
          <cell r="D1777">
            <v>94.65</v>
          </cell>
          <cell r="E1777">
            <v>0</v>
          </cell>
          <cell r="F1777">
            <v>0</v>
          </cell>
          <cell r="G1777">
            <v>0</v>
          </cell>
          <cell r="H1777">
            <v>94.65</v>
          </cell>
        </row>
        <row r="1778">
          <cell r="A1778" t="str">
            <v>00636499</v>
          </cell>
          <cell r="B1778" t="str">
            <v>OSMO  NATURAL OIL  WHITE      0000001250</v>
          </cell>
          <cell r="C1778" t="str">
            <v>OSMO</v>
          </cell>
          <cell r="D1778">
            <v>79.64</v>
          </cell>
          <cell r="E1778">
            <v>0</v>
          </cell>
          <cell r="F1778">
            <v>0</v>
          </cell>
          <cell r="G1778">
            <v>0</v>
          </cell>
          <cell r="H1778">
            <v>79.64</v>
          </cell>
        </row>
        <row r="1779">
          <cell r="A1779" t="str">
            <v>00610675</v>
          </cell>
          <cell r="B1779" t="str">
            <v>OSMO  OPAQUE GLOSS WHIT 2104D 0000001250</v>
          </cell>
          <cell r="C1779" t="str">
            <v>OSMO</v>
          </cell>
          <cell r="D1779">
            <v>101.54</v>
          </cell>
          <cell r="E1779">
            <v>0</v>
          </cell>
          <cell r="F1779">
            <v>0</v>
          </cell>
          <cell r="G1779">
            <v>0</v>
          </cell>
          <cell r="H1779">
            <v>101.54</v>
          </cell>
        </row>
        <row r="1780">
          <cell r="A1780" t="str">
            <v>00852544</v>
          </cell>
          <cell r="B1780" t="str">
            <v>OSMO  OSMO DECKOIL GARAPA 013 0000001250</v>
          </cell>
          <cell r="C1780" t="str">
            <v>OSMO</v>
          </cell>
          <cell r="D1780">
            <v>65.52</v>
          </cell>
          <cell r="E1780">
            <v>0</v>
          </cell>
          <cell r="F1780">
            <v>0</v>
          </cell>
          <cell r="G1780">
            <v>0</v>
          </cell>
          <cell r="H1780">
            <v>65.52</v>
          </cell>
        </row>
        <row r="1781">
          <cell r="A1781" t="str">
            <v>00732973</v>
          </cell>
          <cell r="B1781" t="str">
            <v>OSMO  POLYX H/WAX  OIL MATT   0000000750</v>
          </cell>
          <cell r="C1781" t="str">
            <v>OSMO</v>
          </cell>
          <cell r="D1781">
            <v>35.71</v>
          </cell>
          <cell r="E1781">
            <v>0</v>
          </cell>
          <cell r="F1781">
            <v>0</v>
          </cell>
          <cell r="G1781">
            <v>0</v>
          </cell>
          <cell r="H1781">
            <v>35.71</v>
          </cell>
        </row>
        <row r="1782">
          <cell r="A1782" t="str">
            <v>00722374</v>
          </cell>
          <cell r="B1782" t="str">
            <v>OSMO  POLYX H/WAX  OIL MATT   0000001250</v>
          </cell>
          <cell r="C1782" t="str">
            <v>OSMO</v>
          </cell>
          <cell r="D1782">
            <v>115.39</v>
          </cell>
          <cell r="E1782">
            <v>0</v>
          </cell>
          <cell r="F1782">
            <v>0</v>
          </cell>
          <cell r="G1782">
            <v>0</v>
          </cell>
          <cell r="H1782">
            <v>115.39</v>
          </cell>
        </row>
        <row r="1783">
          <cell r="A1783" t="str">
            <v>00732972</v>
          </cell>
          <cell r="B1783" t="str">
            <v>OSMO  POLYX H/WAX  OIL SATIN  0000000750</v>
          </cell>
          <cell r="C1783" t="str">
            <v>OSMO</v>
          </cell>
          <cell r="D1783">
            <v>35.71</v>
          </cell>
          <cell r="E1783">
            <v>0</v>
          </cell>
          <cell r="F1783">
            <v>0</v>
          </cell>
          <cell r="G1783">
            <v>0</v>
          </cell>
          <cell r="H1783">
            <v>35.71</v>
          </cell>
        </row>
        <row r="1784">
          <cell r="A1784" t="str">
            <v>00722373</v>
          </cell>
          <cell r="B1784" t="str">
            <v>OSMO  POLYX H/WAX  OIL SATIN  0000001250</v>
          </cell>
          <cell r="C1784" t="str">
            <v>OSMO</v>
          </cell>
          <cell r="D1784">
            <v>115.39</v>
          </cell>
          <cell r="E1784">
            <v>0</v>
          </cell>
          <cell r="F1784">
            <v>0</v>
          </cell>
          <cell r="G1784">
            <v>0</v>
          </cell>
          <cell r="H1784">
            <v>115.39</v>
          </cell>
        </row>
        <row r="1785">
          <cell r="A1785" t="str">
            <v>00649802</v>
          </cell>
          <cell r="B1785" t="str">
            <v>OSMO  POLYX OIL    3073 TERRA 0000000125</v>
          </cell>
          <cell r="C1785" t="str">
            <v>OSMO</v>
          </cell>
          <cell r="D1785">
            <v>11.56</v>
          </cell>
          <cell r="E1785">
            <v>0</v>
          </cell>
          <cell r="F1785">
            <v>0</v>
          </cell>
          <cell r="G1785">
            <v>0</v>
          </cell>
          <cell r="H1785">
            <v>11.56</v>
          </cell>
        </row>
        <row r="1786">
          <cell r="A1786" t="str">
            <v>00736935</v>
          </cell>
          <cell r="B1786" t="str">
            <v>OSMO  POLYX OIL    BLACK      0000000750</v>
          </cell>
          <cell r="C1786" t="str">
            <v>OSMO</v>
          </cell>
          <cell r="D1786">
            <v>32.35</v>
          </cell>
          <cell r="E1786">
            <v>0</v>
          </cell>
          <cell r="F1786">
            <v>0</v>
          </cell>
          <cell r="G1786">
            <v>0</v>
          </cell>
          <cell r="H1786">
            <v>32.35</v>
          </cell>
        </row>
        <row r="1787">
          <cell r="A1787" t="str">
            <v>00639875</v>
          </cell>
          <cell r="B1787" t="str">
            <v>OSMO  POLYX OIL    BLACK      0000001100</v>
          </cell>
          <cell r="C1787" t="str">
            <v>OSMO</v>
          </cell>
          <cell r="D1787">
            <v>1.26</v>
          </cell>
          <cell r="E1787">
            <v>0</v>
          </cell>
          <cell r="F1787">
            <v>0</v>
          </cell>
          <cell r="G1787">
            <v>0</v>
          </cell>
          <cell r="H1787">
            <v>1.26</v>
          </cell>
        </row>
        <row r="1788">
          <cell r="A1788" t="str">
            <v>00733832</v>
          </cell>
          <cell r="B1788" t="str">
            <v>OSMO  POLYX OIL    CLR SAT 0000000750</v>
          </cell>
          <cell r="C1788" t="str">
            <v>OSMO</v>
          </cell>
          <cell r="D1788">
            <v>29.18</v>
          </cell>
          <cell r="E1788">
            <v>0</v>
          </cell>
          <cell r="F1788">
            <v>0</v>
          </cell>
          <cell r="G1788">
            <v>0</v>
          </cell>
          <cell r="H1788">
            <v>29.18</v>
          </cell>
        </row>
        <row r="1789">
          <cell r="A1789" t="str">
            <v>00615147</v>
          </cell>
          <cell r="B1789" t="str">
            <v>OSMO  POLYX OIL    GRAPHITE   0000000750</v>
          </cell>
          <cell r="C1789" t="str">
            <v>OSMO</v>
          </cell>
          <cell r="D1789">
            <v>31.67</v>
          </cell>
          <cell r="E1789">
            <v>0</v>
          </cell>
          <cell r="F1789">
            <v>0</v>
          </cell>
          <cell r="G1789">
            <v>0</v>
          </cell>
          <cell r="H1789">
            <v>31.67</v>
          </cell>
        </row>
        <row r="1790">
          <cell r="A1790" t="str">
            <v>00737531</v>
          </cell>
          <cell r="B1790" t="str">
            <v>OSMO  POLYX OIL    HONEY      0000001250</v>
          </cell>
          <cell r="C1790" t="str">
            <v>OSMO</v>
          </cell>
          <cell r="D1790">
            <v>98.02</v>
          </cell>
          <cell r="E1790">
            <v>0</v>
          </cell>
          <cell r="F1790">
            <v>0</v>
          </cell>
          <cell r="G1790">
            <v>0</v>
          </cell>
          <cell r="H1790">
            <v>98.02</v>
          </cell>
        </row>
        <row r="1791">
          <cell r="A1791" t="str">
            <v>00732671</v>
          </cell>
          <cell r="B1791" t="str">
            <v>OSMO  POLYX OIL    MATT       0000001250</v>
          </cell>
          <cell r="C1791" t="str">
            <v>OSMO</v>
          </cell>
          <cell r="D1791">
            <v>81.819999999999993</v>
          </cell>
          <cell r="E1791">
            <v>0</v>
          </cell>
          <cell r="F1791">
            <v>0</v>
          </cell>
          <cell r="G1791">
            <v>0</v>
          </cell>
          <cell r="H1791">
            <v>81.819999999999993</v>
          </cell>
        </row>
        <row r="1792">
          <cell r="A1792" t="str">
            <v>00735794</v>
          </cell>
          <cell r="B1792" t="str">
            <v>OSMO  POLYX OIL    METALLIC   0000000125</v>
          </cell>
          <cell r="C1792" t="str">
            <v>OSMO</v>
          </cell>
          <cell r="D1792">
            <v>15.3</v>
          </cell>
          <cell r="E1792">
            <v>0</v>
          </cell>
          <cell r="F1792">
            <v>0</v>
          </cell>
          <cell r="G1792">
            <v>0</v>
          </cell>
          <cell r="H1792">
            <v>15.3</v>
          </cell>
        </row>
        <row r="1793">
          <cell r="A1793" t="str">
            <v>00732670</v>
          </cell>
          <cell r="B1793" t="str">
            <v>OSMO  POLYX OIL    SATIN      0000001250</v>
          </cell>
          <cell r="C1793" t="str">
            <v>OSMO</v>
          </cell>
          <cell r="D1793">
            <v>81.819999999999993</v>
          </cell>
          <cell r="E1793">
            <v>0</v>
          </cell>
          <cell r="F1793">
            <v>0</v>
          </cell>
          <cell r="G1793">
            <v>0</v>
          </cell>
          <cell r="H1793">
            <v>81.819999999999993</v>
          </cell>
        </row>
        <row r="1794">
          <cell r="A1794" t="str">
            <v>00649801</v>
          </cell>
          <cell r="B1794" t="str">
            <v>OSMO  POLYX OIL    TINT AMBER 0000000125</v>
          </cell>
          <cell r="C1794" t="str">
            <v>OSMO</v>
          </cell>
          <cell r="D1794">
            <v>11.56</v>
          </cell>
          <cell r="E1794">
            <v>0</v>
          </cell>
          <cell r="F1794">
            <v>0</v>
          </cell>
          <cell r="G1794">
            <v>0</v>
          </cell>
          <cell r="H1794">
            <v>11.56</v>
          </cell>
        </row>
        <row r="1795">
          <cell r="A1795" t="str">
            <v>00733833</v>
          </cell>
          <cell r="B1795" t="str">
            <v>OSMO  POLYX OIL   CLR  MAT 0000750</v>
          </cell>
          <cell r="C1795" t="str">
            <v>OSMO</v>
          </cell>
          <cell r="D1795">
            <v>29.18</v>
          </cell>
          <cell r="E1795">
            <v>0</v>
          </cell>
          <cell r="F1795">
            <v>0</v>
          </cell>
          <cell r="G1795">
            <v>0</v>
          </cell>
          <cell r="H1795">
            <v>29.18</v>
          </cell>
        </row>
        <row r="1796">
          <cell r="A1796" t="str">
            <v>00852386</v>
          </cell>
          <cell r="B1796" t="str">
            <v>OSMO  POLYX OIL SM CLEAR 3065 0000001250</v>
          </cell>
          <cell r="C1796" t="str">
            <v>OSMO</v>
          </cell>
          <cell r="D1796">
            <v>91.8</v>
          </cell>
          <cell r="E1796">
            <v>0</v>
          </cell>
          <cell r="F1796">
            <v>0</v>
          </cell>
          <cell r="G1796">
            <v>0</v>
          </cell>
          <cell r="H1796">
            <v>91.8</v>
          </cell>
        </row>
        <row r="1797">
          <cell r="A1797" t="str">
            <v>00733835</v>
          </cell>
          <cell r="B1797" t="str">
            <v>OSMO  POLYX RAPID  CLR MAT  0001250</v>
          </cell>
          <cell r="C1797" t="str">
            <v>OSMO</v>
          </cell>
          <cell r="D1797">
            <v>90.19</v>
          </cell>
          <cell r="E1797">
            <v>0</v>
          </cell>
          <cell r="F1797">
            <v>0</v>
          </cell>
          <cell r="G1797">
            <v>0</v>
          </cell>
          <cell r="H1797">
            <v>90.19</v>
          </cell>
        </row>
        <row r="1798">
          <cell r="A1798" t="str">
            <v>00733834</v>
          </cell>
          <cell r="B1798" t="str">
            <v>OSMO  POLYX RAPID  CLR SAT 000001250</v>
          </cell>
          <cell r="C1798" t="str">
            <v>OSMO</v>
          </cell>
          <cell r="D1798">
            <v>90.19</v>
          </cell>
          <cell r="E1798">
            <v>0</v>
          </cell>
          <cell r="F1798">
            <v>0</v>
          </cell>
          <cell r="G1798">
            <v>0</v>
          </cell>
          <cell r="H1798">
            <v>90.19</v>
          </cell>
        </row>
        <row r="1799">
          <cell r="A1799" t="str">
            <v>00736799</v>
          </cell>
          <cell r="B1799" t="str">
            <v>OSMO  POLYX S-MATT CLEAR      0000001250</v>
          </cell>
          <cell r="C1799" t="str">
            <v>OSMO</v>
          </cell>
          <cell r="D1799">
            <v>96.27</v>
          </cell>
          <cell r="E1799">
            <v>0</v>
          </cell>
          <cell r="F1799">
            <v>0</v>
          </cell>
          <cell r="G1799">
            <v>0</v>
          </cell>
          <cell r="H1799">
            <v>96.27</v>
          </cell>
        </row>
        <row r="1800">
          <cell r="A1800" t="str">
            <v>00738470</v>
          </cell>
          <cell r="B1800" t="str">
            <v>OSMO  THERMOWOOD   OIL        0000001250</v>
          </cell>
          <cell r="C1800" t="str">
            <v>OSMO</v>
          </cell>
          <cell r="D1800">
            <v>68.430000000000007</v>
          </cell>
          <cell r="E1800">
            <v>0</v>
          </cell>
          <cell r="F1800">
            <v>0</v>
          </cell>
          <cell r="G1800">
            <v>0</v>
          </cell>
          <cell r="H1800">
            <v>68.430000000000007</v>
          </cell>
        </row>
        <row r="1801">
          <cell r="A1801" t="str">
            <v>00735894</v>
          </cell>
          <cell r="B1801" t="str">
            <v>OSMO  TOP OIL      CLEAR MATT 0000000500</v>
          </cell>
          <cell r="C1801" t="str">
            <v>OSMO</v>
          </cell>
          <cell r="D1801">
            <v>19.989999999999998</v>
          </cell>
          <cell r="E1801">
            <v>0</v>
          </cell>
          <cell r="F1801">
            <v>0</v>
          </cell>
          <cell r="G1801">
            <v>0</v>
          </cell>
          <cell r="H1801">
            <v>19.989999999999998</v>
          </cell>
        </row>
        <row r="1802">
          <cell r="A1802" t="str">
            <v>00647115</v>
          </cell>
          <cell r="B1802" t="str">
            <v>OSMO  TOP OIL SAT  CLEAR      0000000500</v>
          </cell>
          <cell r="C1802" t="str">
            <v>OSMO</v>
          </cell>
          <cell r="D1802">
            <v>19.989999999999998</v>
          </cell>
          <cell r="E1802">
            <v>0</v>
          </cell>
          <cell r="F1802">
            <v>0</v>
          </cell>
          <cell r="G1802">
            <v>0</v>
          </cell>
          <cell r="H1802">
            <v>19.989999999999998</v>
          </cell>
        </row>
        <row r="1803">
          <cell r="A1803" t="str">
            <v>00680227</v>
          </cell>
          <cell r="B1803" t="str">
            <v>OSMO  UV PROT OIL  EXT SATIN/ 0000001250</v>
          </cell>
          <cell r="C1803" t="str">
            <v>OSMO</v>
          </cell>
          <cell r="D1803">
            <v>99.82</v>
          </cell>
          <cell r="E1803">
            <v>0</v>
          </cell>
          <cell r="F1803">
            <v>0</v>
          </cell>
          <cell r="G1803">
            <v>0</v>
          </cell>
          <cell r="H1803">
            <v>99.82</v>
          </cell>
        </row>
        <row r="1804">
          <cell r="A1804" t="str">
            <v>00617977</v>
          </cell>
          <cell r="B1804" t="str">
            <v>OSMO  UV PROTECT   CLEAR      4205 SACHE</v>
          </cell>
          <cell r="C1804" t="str">
            <v>OSMO</v>
          </cell>
          <cell r="D1804">
            <v>1.35</v>
          </cell>
          <cell r="E1804">
            <v>0</v>
          </cell>
          <cell r="F1804">
            <v>0</v>
          </cell>
          <cell r="G1804">
            <v>0</v>
          </cell>
          <cell r="H1804">
            <v>1.35</v>
          </cell>
        </row>
        <row r="1805">
          <cell r="A1805" t="str">
            <v>00733995</v>
          </cell>
          <cell r="B1805" t="str">
            <v>OSMO  UV PROTECT   OIL        0000001250</v>
          </cell>
          <cell r="C1805" t="str">
            <v>OSMO</v>
          </cell>
          <cell r="D1805">
            <v>82.27</v>
          </cell>
          <cell r="E1805">
            <v>0</v>
          </cell>
          <cell r="F1805">
            <v>0</v>
          </cell>
          <cell r="G1805">
            <v>0</v>
          </cell>
          <cell r="H1805">
            <v>82.27</v>
          </cell>
        </row>
        <row r="1806">
          <cell r="A1806" t="str">
            <v>00735455</v>
          </cell>
          <cell r="B1806" t="str">
            <v>OSMO  WOOD OIL     BANGKIRAL  0000001250</v>
          </cell>
          <cell r="C1806" t="str">
            <v>OSMO</v>
          </cell>
          <cell r="D1806">
            <v>82.65</v>
          </cell>
          <cell r="E1806">
            <v>0</v>
          </cell>
          <cell r="F1806">
            <v>0</v>
          </cell>
          <cell r="G1806">
            <v>0</v>
          </cell>
          <cell r="H1806">
            <v>82.65</v>
          </cell>
        </row>
        <row r="1807">
          <cell r="A1807" t="str">
            <v>00631543</v>
          </cell>
          <cell r="B1807" t="str">
            <v>OSMO  WOOD WAX     OAK ANTIQU 0000001250</v>
          </cell>
          <cell r="C1807" t="str">
            <v>OSMO</v>
          </cell>
          <cell r="D1807">
            <v>89.23</v>
          </cell>
          <cell r="E1807">
            <v>0</v>
          </cell>
          <cell r="F1807">
            <v>0</v>
          </cell>
          <cell r="G1807">
            <v>0</v>
          </cell>
          <cell r="H1807">
            <v>89.23</v>
          </cell>
        </row>
        <row r="1808">
          <cell r="A1808" t="str">
            <v>00739159</v>
          </cell>
          <cell r="B1808" t="str">
            <v>OSMO  WOODWAX TRAS WALNUT     0000001250</v>
          </cell>
          <cell r="C1808" t="str">
            <v>OSMO</v>
          </cell>
          <cell r="D1808">
            <v>91.13</v>
          </cell>
          <cell r="E1808">
            <v>0</v>
          </cell>
          <cell r="F1808">
            <v>0</v>
          </cell>
          <cell r="G1808">
            <v>0</v>
          </cell>
          <cell r="H1808">
            <v>91.13</v>
          </cell>
        </row>
        <row r="1809">
          <cell r="A1809" t="str">
            <v>00717278</v>
          </cell>
          <cell r="B1809" t="str">
            <v>OWAT  EASY SURFACE PRIMER     FFJ7SF1100</v>
          </cell>
          <cell r="C1809" t="str">
            <v>Owatrol</v>
          </cell>
          <cell r="D1809">
            <v>22.47</v>
          </cell>
          <cell r="E1809">
            <v>0</v>
          </cell>
          <cell r="F1809">
            <v>0</v>
          </cell>
          <cell r="G1809">
            <v>0</v>
          </cell>
          <cell r="H1809">
            <v>22.47</v>
          </cell>
        </row>
        <row r="1810">
          <cell r="A1810" t="str">
            <v>00717274</v>
          </cell>
          <cell r="B1810" t="str">
            <v>OWAT  EMULSA BOND             FFJ7SF1100</v>
          </cell>
          <cell r="C1810" t="str">
            <v>Owatrol</v>
          </cell>
          <cell r="D1810">
            <v>22.48</v>
          </cell>
          <cell r="E1810">
            <v>0</v>
          </cell>
          <cell r="F1810">
            <v>0</v>
          </cell>
          <cell r="G1810">
            <v>0</v>
          </cell>
          <cell r="H1810">
            <v>22.48</v>
          </cell>
        </row>
        <row r="1811">
          <cell r="A1811" t="str">
            <v>00717275</v>
          </cell>
          <cell r="B1811" t="str">
            <v>OWAT  EMULSA BOND             FFJ7SF1250</v>
          </cell>
          <cell r="C1811" t="str">
            <v>Owatrol</v>
          </cell>
          <cell r="D1811">
            <v>47.47</v>
          </cell>
          <cell r="E1811">
            <v>0</v>
          </cell>
          <cell r="F1811">
            <v>0</v>
          </cell>
          <cell r="G1811">
            <v>0</v>
          </cell>
          <cell r="H1811">
            <v>47.47</v>
          </cell>
        </row>
        <row r="1812">
          <cell r="A1812" t="str">
            <v>00717276</v>
          </cell>
          <cell r="B1812" t="str">
            <v>OWAT  FLOETROL     OWATROL    FFJ7SF1100</v>
          </cell>
          <cell r="C1812" t="str">
            <v>Owatrol</v>
          </cell>
          <cell r="D1812">
            <v>14.68</v>
          </cell>
          <cell r="E1812">
            <v>0</v>
          </cell>
          <cell r="F1812">
            <v>0</v>
          </cell>
          <cell r="G1812">
            <v>0</v>
          </cell>
          <cell r="H1812">
            <v>14.68</v>
          </cell>
        </row>
        <row r="1813">
          <cell r="A1813" t="str">
            <v>00717277</v>
          </cell>
          <cell r="B1813" t="str">
            <v>OWAT  FLOETROL     OWATROL    FFJ7SF1250</v>
          </cell>
          <cell r="C1813" t="str">
            <v>Owatrol</v>
          </cell>
          <cell r="D1813">
            <v>31.54</v>
          </cell>
          <cell r="E1813">
            <v>0</v>
          </cell>
          <cell r="F1813">
            <v>0</v>
          </cell>
          <cell r="G1813">
            <v>0</v>
          </cell>
          <cell r="H1813">
            <v>31.54</v>
          </cell>
        </row>
        <row r="1814">
          <cell r="A1814" t="str">
            <v>00680213</v>
          </cell>
          <cell r="B1814" t="str">
            <v>OWAT  MOULD KILLER VC175      0000000050</v>
          </cell>
          <cell r="C1814" t="str">
            <v>Owatrol</v>
          </cell>
          <cell r="D1814">
            <v>14.52</v>
          </cell>
          <cell r="E1814">
            <v>0</v>
          </cell>
          <cell r="F1814">
            <v>0</v>
          </cell>
          <cell r="G1814">
            <v>0</v>
          </cell>
          <cell r="H1814">
            <v>14.52</v>
          </cell>
        </row>
        <row r="1815">
          <cell r="A1815" t="str">
            <v>00717272</v>
          </cell>
          <cell r="B1815" t="str">
            <v>OWAT  OWATROL OIL             FFJ7SF0500</v>
          </cell>
          <cell r="C1815" t="str">
            <v>Owatrol</v>
          </cell>
          <cell r="D1815">
            <v>13.84</v>
          </cell>
          <cell r="E1815">
            <v>0</v>
          </cell>
          <cell r="F1815">
            <v>0</v>
          </cell>
          <cell r="G1815">
            <v>0</v>
          </cell>
          <cell r="H1815">
            <v>13.84</v>
          </cell>
        </row>
        <row r="1816">
          <cell r="A1816" t="str">
            <v>00717273</v>
          </cell>
          <cell r="B1816" t="str">
            <v>OWAT  OWATROL OIL             FFJ7SF1100</v>
          </cell>
          <cell r="C1816" t="str">
            <v>Owatrol</v>
          </cell>
          <cell r="D1816">
            <v>22.47</v>
          </cell>
          <cell r="E1816">
            <v>0</v>
          </cell>
          <cell r="F1816">
            <v>0</v>
          </cell>
          <cell r="G1816">
            <v>0</v>
          </cell>
          <cell r="H1816">
            <v>22.47</v>
          </cell>
        </row>
        <row r="1817">
          <cell r="A1817" t="str">
            <v>00717223</v>
          </cell>
          <cell r="B1817" t="str">
            <v>OWAT  OWATROL OIL             FFJ7SF1500</v>
          </cell>
          <cell r="C1817" t="str">
            <v>Owatrol</v>
          </cell>
          <cell r="D1817">
            <v>82.31</v>
          </cell>
          <cell r="E1817">
            <v>0</v>
          </cell>
          <cell r="F1817">
            <v>0</v>
          </cell>
          <cell r="G1817">
            <v>0</v>
          </cell>
          <cell r="H1817">
            <v>82.31</v>
          </cell>
        </row>
        <row r="1818">
          <cell r="A1818" t="str">
            <v>00136557</v>
          </cell>
          <cell r="B1818" t="str">
            <v>P VIKOTE 18 DARK GRAY       010000EU2200</v>
          </cell>
          <cell r="C1818" t="str">
            <v>PMC</v>
          </cell>
          <cell r="D1818">
            <v>200.82</v>
          </cell>
          <cell r="E1818">
            <v>0</v>
          </cell>
          <cell r="F1818">
            <v>0</v>
          </cell>
          <cell r="G1818">
            <v>0</v>
          </cell>
          <cell r="H1818">
            <v>200.82</v>
          </cell>
        </row>
        <row r="1819">
          <cell r="A1819" t="str">
            <v>00167535</v>
          </cell>
          <cell r="B1819" t="str">
            <v>P VIKOTE 18 LIGHT GRAY      020000EU1500</v>
          </cell>
          <cell r="C1819" t="str">
            <v>PMC</v>
          </cell>
          <cell r="D1819">
            <v>50.22</v>
          </cell>
          <cell r="E1819">
            <v>0</v>
          </cell>
          <cell r="F1819">
            <v>0</v>
          </cell>
          <cell r="G1819">
            <v>0</v>
          </cell>
          <cell r="H1819">
            <v>50.22</v>
          </cell>
        </row>
        <row r="1820">
          <cell r="A1820" t="str">
            <v>00136558</v>
          </cell>
          <cell r="B1820" t="str">
            <v>P VIKOTE 18 LIGHT GRAY      020000EU2200</v>
          </cell>
          <cell r="C1820" t="str">
            <v>PMC</v>
          </cell>
          <cell r="D1820">
            <v>200.82</v>
          </cell>
          <cell r="E1820">
            <v>0</v>
          </cell>
          <cell r="F1820">
            <v>0</v>
          </cell>
          <cell r="G1820">
            <v>0</v>
          </cell>
          <cell r="H1820">
            <v>200.82</v>
          </cell>
        </row>
        <row r="1821">
          <cell r="A1821" t="str">
            <v>00154034</v>
          </cell>
          <cell r="B1821" t="str">
            <v>P VIKOTE 56 BLACK           800000EU1500</v>
          </cell>
          <cell r="C1821" t="str">
            <v>PMC</v>
          </cell>
          <cell r="D1821">
            <v>121.5</v>
          </cell>
          <cell r="E1821">
            <v>0</v>
          </cell>
          <cell r="F1821">
            <v>0</v>
          </cell>
          <cell r="G1821">
            <v>0</v>
          </cell>
          <cell r="H1821">
            <v>121.5</v>
          </cell>
        </row>
        <row r="1822">
          <cell r="A1822" t="str">
            <v>00154023</v>
          </cell>
          <cell r="B1822" t="str">
            <v>P VIKOTE 56 BLACK           800000EU2200</v>
          </cell>
          <cell r="C1822" t="str">
            <v>PMC</v>
          </cell>
          <cell r="D1822">
            <v>434.99</v>
          </cell>
          <cell r="E1822">
            <v>0</v>
          </cell>
          <cell r="F1822">
            <v>0</v>
          </cell>
          <cell r="G1822">
            <v>0</v>
          </cell>
          <cell r="H1822">
            <v>434.99</v>
          </cell>
        </row>
        <row r="1823">
          <cell r="A1823" t="str">
            <v>00154033</v>
          </cell>
          <cell r="B1823" t="str">
            <v>P VIKOTE 56 WHITE           700000EU1500</v>
          </cell>
          <cell r="C1823" t="str">
            <v>PMC</v>
          </cell>
          <cell r="D1823">
            <v>121.5</v>
          </cell>
          <cell r="E1823">
            <v>0</v>
          </cell>
          <cell r="F1823">
            <v>0</v>
          </cell>
          <cell r="G1823">
            <v>0</v>
          </cell>
          <cell r="H1823">
            <v>121.5</v>
          </cell>
        </row>
        <row r="1824">
          <cell r="A1824" t="str">
            <v>00154022</v>
          </cell>
          <cell r="B1824" t="str">
            <v>P VIKOTE 56 WHITE           700000EU2200</v>
          </cell>
          <cell r="C1824" t="str">
            <v>PMC</v>
          </cell>
          <cell r="D1824">
            <v>434.99</v>
          </cell>
          <cell r="E1824">
            <v>0</v>
          </cell>
          <cell r="F1824">
            <v>0</v>
          </cell>
          <cell r="G1824">
            <v>0</v>
          </cell>
          <cell r="H1824">
            <v>434.99</v>
          </cell>
        </row>
        <row r="1825">
          <cell r="A1825" t="str">
            <v>00137925</v>
          </cell>
          <cell r="B1825" t="str">
            <v>P VIKOTE 63                 800000EU1500</v>
          </cell>
          <cell r="C1825" t="str">
            <v>PMC</v>
          </cell>
          <cell r="D1825">
            <v>58.68</v>
          </cell>
          <cell r="E1825">
            <v>0</v>
          </cell>
          <cell r="F1825">
            <v>0</v>
          </cell>
          <cell r="G1825">
            <v>0</v>
          </cell>
          <cell r="H1825">
            <v>58.68</v>
          </cell>
        </row>
        <row r="1826">
          <cell r="A1826" t="str">
            <v>00150897</v>
          </cell>
          <cell r="B1826" t="str">
            <v>P VIKOTE 63                 800000EU2200</v>
          </cell>
          <cell r="C1826" t="str">
            <v>PMC</v>
          </cell>
          <cell r="D1826">
            <v>210.8</v>
          </cell>
          <cell r="E1826">
            <v>0</v>
          </cell>
          <cell r="F1826">
            <v>0</v>
          </cell>
          <cell r="G1826">
            <v>0</v>
          </cell>
          <cell r="H1826">
            <v>210.8</v>
          </cell>
        </row>
        <row r="1827">
          <cell r="A1827" t="str">
            <v>00852408</v>
          </cell>
          <cell r="B1827" t="str">
            <v>PGOLD AP WALLPAPER ADH 120 RL</v>
          </cell>
          <cell r="C1827" t="str">
            <v>Adhesive</v>
          </cell>
          <cell r="D1827">
            <v>21.21</v>
          </cell>
          <cell r="E1827">
            <v>0</v>
          </cell>
          <cell r="F1827">
            <v>0</v>
          </cell>
          <cell r="G1827">
            <v>0</v>
          </cell>
          <cell r="H1827">
            <v>21.21</v>
          </cell>
        </row>
        <row r="1828">
          <cell r="A1828" t="str">
            <v>00424078</v>
          </cell>
          <cell r="B1828" t="str">
            <v>PGOLD FLEX FILLING KNIFE 2"</v>
          </cell>
          <cell r="C1828" t="str">
            <v>Filling knife</v>
          </cell>
          <cell r="D1828">
            <v>7.32</v>
          </cell>
          <cell r="E1828">
            <v>0</v>
          </cell>
          <cell r="F1828">
            <v>0</v>
          </cell>
          <cell r="G1828">
            <v>0</v>
          </cell>
          <cell r="H1828">
            <v>7.32</v>
          </cell>
        </row>
        <row r="1829">
          <cell r="A1829" t="str">
            <v>00424079</v>
          </cell>
          <cell r="B1829" t="str">
            <v>PGOLD FLEX FILLING KNIFE 3"</v>
          </cell>
          <cell r="C1829" t="str">
            <v>Filling knife</v>
          </cell>
          <cell r="D1829">
            <v>7.99</v>
          </cell>
          <cell r="E1829">
            <v>0</v>
          </cell>
          <cell r="F1829">
            <v>0</v>
          </cell>
          <cell r="G1829">
            <v>0</v>
          </cell>
          <cell r="H1829">
            <v>7.99</v>
          </cell>
        </row>
        <row r="1830">
          <cell r="A1830" t="str">
            <v>00423530</v>
          </cell>
          <cell r="B1830" t="str">
            <v>PGOLD GP SILICONE  CLEAR      0000000300</v>
          </cell>
          <cell r="C1830" t="str">
            <v>Silicone</v>
          </cell>
          <cell r="D1830">
            <v>2.34</v>
          </cell>
          <cell r="E1830">
            <v>0</v>
          </cell>
          <cell r="F1830">
            <v>0</v>
          </cell>
          <cell r="G1830">
            <v>0</v>
          </cell>
          <cell r="H1830">
            <v>2.34</v>
          </cell>
        </row>
        <row r="1831">
          <cell r="A1831" t="str">
            <v>00424081</v>
          </cell>
          <cell r="B1831" t="str">
            <v>PGOLD SCALE TANG   SCARPER 3"</v>
          </cell>
          <cell r="C1831" t="str">
            <v>Scrapper</v>
          </cell>
          <cell r="D1831">
            <v>7.99</v>
          </cell>
          <cell r="E1831">
            <v>0</v>
          </cell>
          <cell r="F1831">
            <v>0</v>
          </cell>
          <cell r="G1831">
            <v>0</v>
          </cell>
          <cell r="H1831">
            <v>7.99</v>
          </cell>
        </row>
        <row r="1832">
          <cell r="A1832" t="str">
            <v>00424080</v>
          </cell>
          <cell r="B1832" t="str">
            <v>PGOLD SCALE TANG   SCRAPER 2"</v>
          </cell>
          <cell r="C1832" t="str">
            <v>Scrapper</v>
          </cell>
          <cell r="D1832">
            <v>7.32</v>
          </cell>
          <cell r="E1832">
            <v>0</v>
          </cell>
          <cell r="F1832">
            <v>0</v>
          </cell>
          <cell r="G1832">
            <v>0</v>
          </cell>
          <cell r="H1832">
            <v>7.32</v>
          </cell>
        </row>
        <row r="1833">
          <cell r="A1833" t="str">
            <v>00424059</v>
          </cell>
          <cell r="B1833" t="str">
            <v>PGOLD SHEEP ROLLER 12"</v>
          </cell>
          <cell r="C1833" t="str">
            <v>Roller</v>
          </cell>
          <cell r="D1833">
            <v>29.52</v>
          </cell>
          <cell r="E1833">
            <v>0</v>
          </cell>
          <cell r="F1833">
            <v>0</v>
          </cell>
          <cell r="G1833">
            <v>0</v>
          </cell>
          <cell r="H1833">
            <v>29.52</v>
          </cell>
        </row>
        <row r="1834">
          <cell r="A1834" t="str">
            <v>00424058</v>
          </cell>
          <cell r="B1834" t="str">
            <v>PGOLD SHEEP ROLLER 9"</v>
          </cell>
          <cell r="C1834" t="str">
            <v>Roller</v>
          </cell>
          <cell r="D1834">
            <v>22.26</v>
          </cell>
          <cell r="E1834">
            <v>0</v>
          </cell>
          <cell r="F1834">
            <v>0</v>
          </cell>
          <cell r="G1834">
            <v>0</v>
          </cell>
          <cell r="H1834">
            <v>22.26</v>
          </cell>
        </row>
        <row r="1835">
          <cell r="A1835" t="str">
            <v>00852925</v>
          </cell>
          <cell r="B1835" t="str">
            <v>PGOLD SHORT POLY   9" ROLLER</v>
          </cell>
          <cell r="C1835" t="str">
            <v>Roller</v>
          </cell>
          <cell r="D1835">
            <v>4.45</v>
          </cell>
          <cell r="E1835">
            <v>0</v>
          </cell>
          <cell r="F1835">
            <v>0</v>
          </cell>
          <cell r="G1835">
            <v>0</v>
          </cell>
          <cell r="H1835">
            <v>4.45</v>
          </cell>
        </row>
        <row r="1836">
          <cell r="A1836" t="str">
            <v>00180705</v>
          </cell>
          <cell r="B1836" t="str">
            <v>PHENGUARD 930 SET OFFWHITE    7001001400</v>
          </cell>
          <cell r="C1836" t="str">
            <v>PMC</v>
          </cell>
          <cell r="D1836">
            <v>190.45</v>
          </cell>
          <cell r="E1836">
            <v>0</v>
          </cell>
          <cell r="F1836">
            <v>0</v>
          </cell>
          <cell r="G1836">
            <v>0</v>
          </cell>
          <cell r="H1836">
            <v>190.45</v>
          </cell>
        </row>
        <row r="1837">
          <cell r="A1837" t="str">
            <v>00180706</v>
          </cell>
          <cell r="B1837" t="str">
            <v>PHENGUARD 930 SET OFFWHITE    7001002200</v>
          </cell>
          <cell r="C1837" t="str">
            <v>PMC</v>
          </cell>
          <cell r="D1837">
            <v>853.17</v>
          </cell>
          <cell r="E1837">
            <v>0</v>
          </cell>
          <cell r="F1837">
            <v>0</v>
          </cell>
          <cell r="G1837">
            <v>0</v>
          </cell>
          <cell r="H1837">
            <v>853.17</v>
          </cell>
        </row>
        <row r="1838">
          <cell r="A1838" t="str">
            <v>00180100</v>
          </cell>
          <cell r="B1838" t="str">
            <v>PHENGUARD 935 SET PINK        6007001400</v>
          </cell>
          <cell r="C1838" t="str">
            <v>PMC</v>
          </cell>
          <cell r="D1838">
            <v>190.45</v>
          </cell>
          <cell r="E1838">
            <v>0</v>
          </cell>
          <cell r="F1838">
            <v>0</v>
          </cell>
          <cell r="G1838">
            <v>0</v>
          </cell>
          <cell r="H1838">
            <v>190.45</v>
          </cell>
        </row>
        <row r="1839">
          <cell r="A1839" t="str">
            <v>00179115</v>
          </cell>
          <cell r="B1839" t="str">
            <v>PHENGUARD 935 SET PINK        6007002200</v>
          </cell>
          <cell r="C1839" t="str">
            <v>PMC</v>
          </cell>
          <cell r="D1839">
            <v>853.17</v>
          </cell>
          <cell r="E1839">
            <v>0</v>
          </cell>
          <cell r="F1839">
            <v>0</v>
          </cell>
          <cell r="G1839">
            <v>0</v>
          </cell>
          <cell r="H1839">
            <v>853.17</v>
          </cell>
        </row>
        <row r="1840">
          <cell r="A1840" t="str">
            <v>00179117</v>
          </cell>
          <cell r="B1840" t="str">
            <v>PHENGUARD 940 SET GREY        5000001400</v>
          </cell>
          <cell r="C1840" t="str">
            <v>PMC</v>
          </cell>
          <cell r="D1840">
            <v>190.45</v>
          </cell>
          <cell r="E1840">
            <v>0</v>
          </cell>
          <cell r="F1840">
            <v>0</v>
          </cell>
          <cell r="G1840">
            <v>0</v>
          </cell>
          <cell r="H1840">
            <v>190.45</v>
          </cell>
        </row>
        <row r="1841">
          <cell r="A1841" t="str">
            <v>00179118</v>
          </cell>
          <cell r="B1841" t="str">
            <v>PHENGUARD 940 SET GREY        5000002200</v>
          </cell>
          <cell r="C1841" t="str">
            <v>PMC</v>
          </cell>
          <cell r="D1841">
            <v>853.17</v>
          </cell>
          <cell r="E1841">
            <v>0</v>
          </cell>
          <cell r="F1841">
            <v>0</v>
          </cell>
          <cell r="G1841">
            <v>0</v>
          </cell>
          <cell r="H1841">
            <v>853.17</v>
          </cell>
        </row>
        <row r="1842">
          <cell r="A1842" t="str">
            <v>00434213</v>
          </cell>
          <cell r="B1842" t="str">
            <v>PHENGUARD SUBSEA 610 SET REDG 0000001400</v>
          </cell>
          <cell r="C1842" t="str">
            <v>PMC</v>
          </cell>
          <cell r="D1842">
            <v>200.03</v>
          </cell>
          <cell r="E1842">
            <v>0</v>
          </cell>
          <cell r="F1842">
            <v>0</v>
          </cell>
          <cell r="G1842">
            <v>0</v>
          </cell>
          <cell r="H1842">
            <v>200.03</v>
          </cell>
        </row>
        <row r="1843">
          <cell r="A1843" t="str">
            <v>00382341</v>
          </cell>
          <cell r="B1843" t="str">
            <v>PHENGUARD SUBSEA 610 SET REDGREY 0002200</v>
          </cell>
          <cell r="C1843" t="str">
            <v>PMC</v>
          </cell>
          <cell r="D1843">
            <v>817.92</v>
          </cell>
          <cell r="E1843">
            <v>0</v>
          </cell>
          <cell r="F1843">
            <v>0</v>
          </cell>
          <cell r="G1843">
            <v>0</v>
          </cell>
          <cell r="H1843">
            <v>817.92</v>
          </cell>
        </row>
        <row r="1844">
          <cell r="A1844" t="str">
            <v>00383931</v>
          </cell>
          <cell r="B1844" t="str">
            <v>PHENGUARD SUBSEA 780   SET RAL1018261400</v>
          </cell>
          <cell r="C1844" t="str">
            <v>PMC</v>
          </cell>
          <cell r="D1844">
            <v>201.46</v>
          </cell>
          <cell r="E1844">
            <v>0</v>
          </cell>
          <cell r="F1844">
            <v>0</v>
          </cell>
          <cell r="G1844">
            <v>0</v>
          </cell>
          <cell r="H1844">
            <v>201.46</v>
          </cell>
        </row>
        <row r="1845">
          <cell r="A1845" t="str">
            <v>00383927</v>
          </cell>
          <cell r="B1845" t="str">
            <v>PHENGUARD SUBSEA 780 SET RAL  1004261400</v>
          </cell>
          <cell r="C1845" t="str">
            <v>PMC</v>
          </cell>
          <cell r="D1845">
            <v>201.51</v>
          </cell>
          <cell r="E1845">
            <v>0</v>
          </cell>
          <cell r="F1845">
            <v>0</v>
          </cell>
          <cell r="G1845">
            <v>0</v>
          </cell>
          <cell r="H1845">
            <v>201.51</v>
          </cell>
        </row>
        <row r="1846">
          <cell r="A1846" t="str">
            <v>00383929</v>
          </cell>
          <cell r="B1846" t="str">
            <v>PHENGUARD SUBSEA 780 SET RAL  2004261400</v>
          </cell>
          <cell r="C1846" t="str">
            <v>PMC</v>
          </cell>
          <cell r="D1846">
            <v>201.51</v>
          </cell>
          <cell r="E1846">
            <v>0</v>
          </cell>
          <cell r="F1846">
            <v>0</v>
          </cell>
          <cell r="G1846">
            <v>0</v>
          </cell>
          <cell r="H1846">
            <v>201.51</v>
          </cell>
        </row>
        <row r="1847">
          <cell r="A1847" t="str">
            <v>00639820</v>
          </cell>
          <cell r="B1847" t="str">
            <v>PPG   EP001        HARDENER   0000001158</v>
          </cell>
          <cell r="C1847" t="str">
            <v>PPG EP Resin floor</v>
          </cell>
          <cell r="D1847">
            <v>140.6</v>
          </cell>
          <cell r="E1847">
            <v>0</v>
          </cell>
          <cell r="F1847">
            <v>0</v>
          </cell>
          <cell r="G1847">
            <v>0</v>
          </cell>
          <cell r="H1847">
            <v>140.6</v>
          </cell>
        </row>
        <row r="1848">
          <cell r="A1848" t="str">
            <v>00639822</v>
          </cell>
          <cell r="B1848" t="str">
            <v>PPG   EP001        HARDENER   0000001316</v>
          </cell>
          <cell r="C1848" t="str">
            <v>PPG EP Resin floor</v>
          </cell>
          <cell r="D1848">
            <v>276.77</v>
          </cell>
          <cell r="E1848">
            <v>0</v>
          </cell>
          <cell r="F1848">
            <v>0</v>
          </cell>
          <cell r="G1848">
            <v>0</v>
          </cell>
          <cell r="H1848">
            <v>276.77</v>
          </cell>
        </row>
        <row r="1849">
          <cell r="A1849" t="str">
            <v>00639824</v>
          </cell>
          <cell r="B1849" t="str">
            <v>PPG   EP001        HARDENER   0000001790</v>
          </cell>
          <cell r="C1849" t="str">
            <v>PPG EP Resin floor</v>
          </cell>
          <cell r="D1849">
            <v>686.38</v>
          </cell>
          <cell r="E1849">
            <v>0</v>
          </cell>
          <cell r="F1849">
            <v>0</v>
          </cell>
          <cell r="G1849">
            <v>0</v>
          </cell>
          <cell r="H1849">
            <v>686.38</v>
          </cell>
        </row>
        <row r="1850">
          <cell r="A1850" t="str">
            <v>00639819</v>
          </cell>
          <cell r="B1850" t="str">
            <v>PPG   EP001        YELLOW     0000001342</v>
          </cell>
          <cell r="C1850" t="str">
            <v>PPG EP Resin floor</v>
          </cell>
          <cell r="D1850">
            <v>262.38</v>
          </cell>
          <cell r="E1850">
            <v>0</v>
          </cell>
          <cell r="F1850">
            <v>0</v>
          </cell>
          <cell r="G1850">
            <v>0</v>
          </cell>
          <cell r="H1850">
            <v>262.38</v>
          </cell>
        </row>
        <row r="1851">
          <cell r="A1851" t="str">
            <v>00639821</v>
          </cell>
          <cell r="B1851" t="str">
            <v>PPG   EP001        YELLOW     0000001684</v>
          </cell>
          <cell r="C1851" t="str">
            <v>PPG EP Resin floor</v>
          </cell>
          <cell r="D1851">
            <v>471.61</v>
          </cell>
          <cell r="E1851">
            <v>0</v>
          </cell>
          <cell r="F1851">
            <v>0</v>
          </cell>
          <cell r="G1851">
            <v>0</v>
          </cell>
          <cell r="H1851">
            <v>471.61</v>
          </cell>
        </row>
        <row r="1852">
          <cell r="A1852" t="str">
            <v>00639823</v>
          </cell>
          <cell r="B1852" t="str">
            <v>PPG   EP001        YELLOW     0000002171</v>
          </cell>
          <cell r="C1852" t="str">
            <v>PPG EP Resin floor</v>
          </cell>
          <cell r="D1852">
            <v>1064.6400000000001</v>
          </cell>
          <cell r="E1852">
            <v>0</v>
          </cell>
          <cell r="F1852">
            <v>0</v>
          </cell>
          <cell r="G1852">
            <v>0</v>
          </cell>
          <cell r="H1852">
            <v>1064.6400000000001</v>
          </cell>
        </row>
        <row r="1853">
          <cell r="A1853" t="str">
            <v>00639813</v>
          </cell>
          <cell r="B1853" t="str">
            <v>PPG   EP002        CLEAR      0000001338</v>
          </cell>
          <cell r="C1853" t="str">
            <v>PPG EP Resin floor</v>
          </cell>
          <cell r="D1853">
            <v>226.95</v>
          </cell>
          <cell r="E1853">
            <v>0</v>
          </cell>
          <cell r="F1853">
            <v>0</v>
          </cell>
          <cell r="G1853">
            <v>0</v>
          </cell>
          <cell r="H1853">
            <v>226.95</v>
          </cell>
        </row>
        <row r="1854">
          <cell r="A1854" t="str">
            <v>00639815</v>
          </cell>
          <cell r="B1854" t="str">
            <v>PPG   EP002        CLEAR      0000001676</v>
          </cell>
          <cell r="C1854" t="str">
            <v>PPG EP Resin floor</v>
          </cell>
          <cell r="D1854">
            <v>422.9</v>
          </cell>
          <cell r="E1854">
            <v>0</v>
          </cell>
          <cell r="F1854">
            <v>0</v>
          </cell>
          <cell r="G1854">
            <v>0</v>
          </cell>
          <cell r="H1854">
            <v>422.9</v>
          </cell>
        </row>
        <row r="1855">
          <cell r="A1855" t="str">
            <v>00639817</v>
          </cell>
          <cell r="B1855" t="str">
            <v>PPG   EP002        CLEAR      0000002169</v>
          </cell>
          <cell r="C1855" t="str">
            <v>PPG EP Resin floor</v>
          </cell>
          <cell r="D1855">
            <v>1011.49</v>
          </cell>
          <cell r="E1855">
            <v>0</v>
          </cell>
          <cell r="F1855">
            <v>0</v>
          </cell>
          <cell r="G1855">
            <v>0</v>
          </cell>
          <cell r="H1855">
            <v>1011.49</v>
          </cell>
        </row>
        <row r="1856">
          <cell r="A1856" t="str">
            <v>00639814</v>
          </cell>
          <cell r="B1856" t="str">
            <v>PPG   EP002        HARDENER   0000001162</v>
          </cell>
          <cell r="C1856" t="str">
            <v>PPG EP Resin floor</v>
          </cell>
          <cell r="D1856">
            <v>107.02</v>
          </cell>
          <cell r="E1856">
            <v>0</v>
          </cell>
          <cell r="F1856">
            <v>0</v>
          </cell>
          <cell r="G1856">
            <v>0</v>
          </cell>
          <cell r="H1856">
            <v>107.02</v>
          </cell>
        </row>
        <row r="1857">
          <cell r="A1857" t="str">
            <v>00639816</v>
          </cell>
          <cell r="B1857" t="str">
            <v>PPG   EP002        HARDENER   0000001324</v>
          </cell>
          <cell r="C1857" t="str">
            <v>PPG EP Resin floor</v>
          </cell>
          <cell r="D1857">
            <v>210.35</v>
          </cell>
          <cell r="E1857">
            <v>0</v>
          </cell>
          <cell r="F1857">
            <v>0</v>
          </cell>
          <cell r="G1857">
            <v>0</v>
          </cell>
          <cell r="H1857">
            <v>210.35</v>
          </cell>
        </row>
        <row r="1858">
          <cell r="A1858" t="str">
            <v>00639818</v>
          </cell>
          <cell r="B1858" t="str">
            <v>PPG   EP002        HARDENER   0000001809</v>
          </cell>
          <cell r="C1858" t="str">
            <v>PPG EP Resin floor</v>
          </cell>
          <cell r="D1858">
            <v>523.65</v>
          </cell>
          <cell r="E1858">
            <v>0</v>
          </cell>
          <cell r="F1858">
            <v>0</v>
          </cell>
          <cell r="G1858">
            <v>0</v>
          </cell>
          <cell r="H1858">
            <v>523.65</v>
          </cell>
        </row>
        <row r="1859">
          <cell r="A1859" t="str">
            <v>00639800</v>
          </cell>
          <cell r="B1859" t="str">
            <v>PPG   EP201        DARK BLUE  0000001185</v>
          </cell>
          <cell r="C1859" t="str">
            <v>PPG EP Resin floor</v>
          </cell>
          <cell r="D1859">
            <v>223.27</v>
          </cell>
          <cell r="E1859">
            <v>0</v>
          </cell>
          <cell r="F1859">
            <v>0</v>
          </cell>
          <cell r="G1859">
            <v>0</v>
          </cell>
          <cell r="H1859">
            <v>223.27</v>
          </cell>
        </row>
        <row r="1860">
          <cell r="A1860" t="str">
            <v>00639860</v>
          </cell>
          <cell r="B1860" t="str">
            <v>PPG   EP201        DARK BLUE  0000001370</v>
          </cell>
          <cell r="C1860" t="str">
            <v>PPG EP Resin floor</v>
          </cell>
          <cell r="D1860">
            <v>417.37</v>
          </cell>
          <cell r="E1860">
            <v>0</v>
          </cell>
          <cell r="F1860">
            <v>0</v>
          </cell>
          <cell r="G1860">
            <v>0</v>
          </cell>
          <cell r="H1860">
            <v>417.37</v>
          </cell>
        </row>
        <row r="1861">
          <cell r="A1861" t="str">
            <v>00639808</v>
          </cell>
          <cell r="B1861" t="str">
            <v>PPG   EP201        DARK GREY  0000001185</v>
          </cell>
          <cell r="C1861" t="str">
            <v>PPG EP Resin floor</v>
          </cell>
          <cell r="D1861">
            <v>213.4</v>
          </cell>
          <cell r="E1861">
            <v>0</v>
          </cell>
          <cell r="F1861">
            <v>0</v>
          </cell>
          <cell r="G1861">
            <v>0</v>
          </cell>
          <cell r="H1861">
            <v>213.4</v>
          </cell>
        </row>
        <row r="1862">
          <cell r="A1862" t="str">
            <v>00639868</v>
          </cell>
          <cell r="B1862" t="str">
            <v>PPG   EP201        DARK GREY  0000001370</v>
          </cell>
          <cell r="C1862" t="str">
            <v>PPG EP Resin floor</v>
          </cell>
          <cell r="D1862">
            <v>418.37</v>
          </cell>
          <cell r="E1862">
            <v>0</v>
          </cell>
          <cell r="F1862">
            <v>0</v>
          </cell>
          <cell r="G1862">
            <v>0</v>
          </cell>
          <cell r="H1862">
            <v>418.37</v>
          </cell>
        </row>
        <row r="1863">
          <cell r="A1863" t="str">
            <v>00639804</v>
          </cell>
          <cell r="B1863" t="str">
            <v>PPG   EP201        DARK YELL  0000001185</v>
          </cell>
          <cell r="C1863" t="str">
            <v>PPG EP Resin floor</v>
          </cell>
          <cell r="D1863">
            <v>213.4</v>
          </cell>
          <cell r="E1863">
            <v>0</v>
          </cell>
          <cell r="F1863">
            <v>0</v>
          </cell>
          <cell r="G1863">
            <v>0</v>
          </cell>
          <cell r="H1863">
            <v>213.4</v>
          </cell>
        </row>
        <row r="1864">
          <cell r="A1864" t="str">
            <v>00639864</v>
          </cell>
          <cell r="B1864" t="str">
            <v>PPG   EP201        DRK YELLOW 0000001370</v>
          </cell>
          <cell r="C1864" t="str">
            <v>PPG EP Resin floor</v>
          </cell>
          <cell r="D1864">
            <v>418.37</v>
          </cell>
          <cell r="E1864">
            <v>0</v>
          </cell>
          <cell r="F1864">
            <v>0</v>
          </cell>
          <cell r="G1864">
            <v>0</v>
          </cell>
          <cell r="H1864">
            <v>418.37</v>
          </cell>
        </row>
        <row r="1865">
          <cell r="A1865" t="str">
            <v>00639801</v>
          </cell>
          <cell r="B1865" t="str">
            <v>PPG   EP201        GREEN      0000001185</v>
          </cell>
          <cell r="C1865" t="str">
            <v>PPG EP Resin floor</v>
          </cell>
          <cell r="D1865">
            <v>213.4</v>
          </cell>
          <cell r="E1865">
            <v>0</v>
          </cell>
          <cell r="F1865">
            <v>0</v>
          </cell>
          <cell r="G1865">
            <v>0</v>
          </cell>
          <cell r="H1865">
            <v>213.4</v>
          </cell>
        </row>
        <row r="1866">
          <cell r="A1866" t="str">
            <v>00639861</v>
          </cell>
          <cell r="B1866" t="str">
            <v>PPG   EP201        GREEN      0000001370</v>
          </cell>
          <cell r="C1866" t="str">
            <v>PPG EP Resin floor</v>
          </cell>
          <cell r="D1866">
            <v>418.37</v>
          </cell>
          <cell r="E1866">
            <v>0</v>
          </cell>
          <cell r="F1866">
            <v>0</v>
          </cell>
          <cell r="G1866">
            <v>0</v>
          </cell>
          <cell r="H1866">
            <v>418.37</v>
          </cell>
        </row>
        <row r="1867">
          <cell r="A1867" t="str">
            <v>00639812</v>
          </cell>
          <cell r="B1867" t="str">
            <v>PPG   EP201        HARDENER   0000001315</v>
          </cell>
          <cell r="C1867" t="str">
            <v>PPG EP Resin floor</v>
          </cell>
          <cell r="D1867">
            <v>82.67</v>
          </cell>
          <cell r="E1867">
            <v>0</v>
          </cell>
          <cell r="F1867">
            <v>0</v>
          </cell>
          <cell r="G1867">
            <v>0</v>
          </cell>
          <cell r="H1867">
            <v>82.67</v>
          </cell>
        </row>
        <row r="1868">
          <cell r="A1868" t="str">
            <v>00639872</v>
          </cell>
          <cell r="B1868" t="str">
            <v>PPG   EP201        HARDENER   0000001630</v>
          </cell>
          <cell r="C1868" t="str">
            <v>PPG EP Resin floor</v>
          </cell>
          <cell r="D1868">
            <v>158.31</v>
          </cell>
          <cell r="E1868">
            <v>0</v>
          </cell>
          <cell r="F1868">
            <v>0</v>
          </cell>
          <cell r="G1868">
            <v>0</v>
          </cell>
          <cell r="H1868">
            <v>158.31</v>
          </cell>
        </row>
        <row r="1869">
          <cell r="A1869" t="str">
            <v>00639806</v>
          </cell>
          <cell r="B1869" t="str">
            <v>PPG   EP201        LIGHT GREY 0000001185</v>
          </cell>
          <cell r="C1869" t="str">
            <v>PPG EP Resin floor</v>
          </cell>
          <cell r="D1869">
            <v>213.4</v>
          </cell>
          <cell r="E1869">
            <v>0</v>
          </cell>
          <cell r="F1869">
            <v>0</v>
          </cell>
          <cell r="G1869">
            <v>0</v>
          </cell>
          <cell r="H1869">
            <v>213.4</v>
          </cell>
        </row>
        <row r="1870">
          <cell r="A1870" t="str">
            <v>00639866</v>
          </cell>
          <cell r="B1870" t="str">
            <v>PPG   EP201        LIGHT GREY 0000001370</v>
          </cell>
          <cell r="C1870" t="str">
            <v>PPG EP Resin floor</v>
          </cell>
          <cell r="D1870">
            <v>418.37</v>
          </cell>
          <cell r="E1870">
            <v>0</v>
          </cell>
          <cell r="F1870">
            <v>0</v>
          </cell>
          <cell r="G1870">
            <v>0</v>
          </cell>
          <cell r="H1870">
            <v>418.37</v>
          </cell>
        </row>
        <row r="1871">
          <cell r="A1871" t="str">
            <v>00639802</v>
          </cell>
          <cell r="B1871" t="str">
            <v>PPG   EP201        LIGHT YELL 0000001185</v>
          </cell>
          <cell r="C1871" t="str">
            <v>PPG EP Resin floor</v>
          </cell>
          <cell r="D1871">
            <v>213.4</v>
          </cell>
          <cell r="E1871">
            <v>0</v>
          </cell>
          <cell r="F1871">
            <v>0</v>
          </cell>
          <cell r="G1871">
            <v>0</v>
          </cell>
          <cell r="H1871">
            <v>213.4</v>
          </cell>
        </row>
        <row r="1872">
          <cell r="A1872" t="str">
            <v>00639862</v>
          </cell>
          <cell r="B1872" t="str">
            <v>PPG   EP201        LIGHT YELL 0000001370</v>
          </cell>
          <cell r="C1872" t="str">
            <v>PPG EP Resin floor</v>
          </cell>
          <cell r="D1872">
            <v>418.37</v>
          </cell>
          <cell r="E1872">
            <v>0</v>
          </cell>
          <cell r="F1872">
            <v>0</v>
          </cell>
          <cell r="G1872">
            <v>0</v>
          </cell>
          <cell r="H1872">
            <v>418.37</v>
          </cell>
        </row>
        <row r="1873">
          <cell r="A1873" t="str">
            <v>00639799</v>
          </cell>
          <cell r="B1873" t="str">
            <v>PPG   EP201        MID BLUE   0000001185</v>
          </cell>
          <cell r="C1873" t="str">
            <v>PPG EP Resin floor</v>
          </cell>
          <cell r="D1873">
            <v>213.4</v>
          </cell>
          <cell r="E1873">
            <v>0</v>
          </cell>
          <cell r="F1873">
            <v>0</v>
          </cell>
          <cell r="G1873">
            <v>0</v>
          </cell>
          <cell r="H1873">
            <v>213.4</v>
          </cell>
        </row>
        <row r="1874">
          <cell r="A1874" t="str">
            <v>00639859</v>
          </cell>
          <cell r="B1874" t="str">
            <v>PPG   EP201        MID BLUE   0000001370</v>
          </cell>
          <cell r="C1874" t="str">
            <v>PPG EP Resin floor</v>
          </cell>
          <cell r="D1874">
            <v>418.37</v>
          </cell>
          <cell r="E1874">
            <v>0</v>
          </cell>
          <cell r="F1874">
            <v>0</v>
          </cell>
          <cell r="G1874">
            <v>0</v>
          </cell>
          <cell r="H1874">
            <v>418.37</v>
          </cell>
        </row>
        <row r="1875">
          <cell r="A1875" t="str">
            <v>00639807</v>
          </cell>
          <cell r="B1875" t="str">
            <v>PPG   EP201        MID GREY   0000001185</v>
          </cell>
          <cell r="C1875" t="str">
            <v>PPG EP Resin floor</v>
          </cell>
          <cell r="D1875">
            <v>213.4</v>
          </cell>
          <cell r="E1875">
            <v>0</v>
          </cell>
          <cell r="F1875">
            <v>0</v>
          </cell>
          <cell r="G1875">
            <v>0</v>
          </cell>
          <cell r="H1875">
            <v>213.4</v>
          </cell>
        </row>
        <row r="1876">
          <cell r="A1876" t="str">
            <v>00639867</v>
          </cell>
          <cell r="B1876" t="str">
            <v>PPG   EP201        MID GREY   0000001370</v>
          </cell>
          <cell r="C1876" t="str">
            <v>PPG EP Resin floor</v>
          </cell>
          <cell r="D1876">
            <v>418.37</v>
          </cell>
          <cell r="E1876">
            <v>0</v>
          </cell>
          <cell r="F1876">
            <v>0</v>
          </cell>
          <cell r="G1876">
            <v>0</v>
          </cell>
          <cell r="H1876">
            <v>418.37</v>
          </cell>
        </row>
        <row r="1877">
          <cell r="A1877" t="str">
            <v>00639803</v>
          </cell>
          <cell r="B1877" t="str">
            <v>PPG   EP201        MID YELL   0000001185</v>
          </cell>
          <cell r="C1877" t="str">
            <v>PPG EP Resin floor</v>
          </cell>
          <cell r="D1877">
            <v>213.4</v>
          </cell>
          <cell r="E1877">
            <v>0</v>
          </cell>
          <cell r="F1877">
            <v>0</v>
          </cell>
          <cell r="G1877">
            <v>0</v>
          </cell>
          <cell r="H1877">
            <v>213.4</v>
          </cell>
        </row>
        <row r="1878">
          <cell r="A1878" t="str">
            <v>00639863</v>
          </cell>
          <cell r="B1878" t="str">
            <v>PPG   EP201        MID YELLOW 0000001370</v>
          </cell>
          <cell r="C1878" t="str">
            <v>PPG EP Resin floor</v>
          </cell>
          <cell r="D1878">
            <v>418.37</v>
          </cell>
          <cell r="E1878">
            <v>0</v>
          </cell>
          <cell r="F1878">
            <v>0</v>
          </cell>
          <cell r="G1878">
            <v>0</v>
          </cell>
          <cell r="H1878">
            <v>418.37</v>
          </cell>
        </row>
        <row r="1879">
          <cell r="A1879" t="str">
            <v>00639805</v>
          </cell>
          <cell r="B1879" t="str">
            <v>PPG   EP201        RED        0000001185</v>
          </cell>
          <cell r="C1879" t="str">
            <v>PPG EP Resin floor</v>
          </cell>
          <cell r="D1879">
            <v>213.4</v>
          </cell>
          <cell r="E1879">
            <v>0</v>
          </cell>
          <cell r="F1879">
            <v>0</v>
          </cell>
          <cell r="G1879">
            <v>0</v>
          </cell>
          <cell r="H1879">
            <v>213.4</v>
          </cell>
        </row>
        <row r="1880">
          <cell r="A1880" t="str">
            <v>00639865</v>
          </cell>
          <cell r="B1880" t="str">
            <v>PPG   EP201        RED        0000001370</v>
          </cell>
          <cell r="C1880" t="str">
            <v>PPG EP Resin floor</v>
          </cell>
          <cell r="D1880">
            <v>418.37</v>
          </cell>
          <cell r="E1880">
            <v>0</v>
          </cell>
          <cell r="F1880">
            <v>0</v>
          </cell>
          <cell r="G1880">
            <v>0</v>
          </cell>
          <cell r="H1880">
            <v>418.37</v>
          </cell>
        </row>
        <row r="1881">
          <cell r="A1881" t="str">
            <v>00639809</v>
          </cell>
          <cell r="B1881" t="str">
            <v>PPG   EP201        SAFETY RED 0000001185</v>
          </cell>
          <cell r="C1881" t="str">
            <v>PPG EP Resin floor</v>
          </cell>
          <cell r="D1881">
            <v>213.4</v>
          </cell>
          <cell r="E1881">
            <v>0</v>
          </cell>
          <cell r="F1881">
            <v>0</v>
          </cell>
          <cell r="G1881">
            <v>0</v>
          </cell>
          <cell r="H1881">
            <v>213.4</v>
          </cell>
        </row>
        <row r="1882">
          <cell r="A1882" t="str">
            <v>00639869</v>
          </cell>
          <cell r="B1882" t="str">
            <v>PPG   EP201        SAFETY RED 0000001370</v>
          </cell>
          <cell r="C1882" t="str">
            <v>PPG EP Resin floor</v>
          </cell>
          <cell r="D1882">
            <v>418.37</v>
          </cell>
          <cell r="E1882">
            <v>0</v>
          </cell>
          <cell r="F1882">
            <v>0</v>
          </cell>
          <cell r="G1882">
            <v>0</v>
          </cell>
          <cell r="H1882">
            <v>418.37</v>
          </cell>
        </row>
        <row r="1883">
          <cell r="A1883" t="str">
            <v>00639810</v>
          </cell>
          <cell r="B1883" t="str">
            <v>PPG   EP201        SAFETY YEL 0000001185</v>
          </cell>
          <cell r="C1883" t="str">
            <v>PPG EP Resin floor</v>
          </cell>
          <cell r="D1883">
            <v>213.4</v>
          </cell>
          <cell r="E1883">
            <v>0</v>
          </cell>
          <cell r="F1883">
            <v>0</v>
          </cell>
          <cell r="G1883">
            <v>0</v>
          </cell>
          <cell r="H1883">
            <v>213.4</v>
          </cell>
        </row>
        <row r="1884">
          <cell r="A1884" t="str">
            <v>00639870</v>
          </cell>
          <cell r="B1884" t="str">
            <v>PPG   EP201        SFTY YELL  0000001370</v>
          </cell>
          <cell r="C1884" t="str">
            <v>PPG EP Resin floor</v>
          </cell>
          <cell r="D1884">
            <v>418.37</v>
          </cell>
          <cell r="E1884">
            <v>0</v>
          </cell>
          <cell r="F1884">
            <v>0</v>
          </cell>
          <cell r="G1884">
            <v>0</v>
          </cell>
          <cell r="H1884">
            <v>418.37</v>
          </cell>
        </row>
        <row r="1885">
          <cell r="A1885" t="str">
            <v>00639811</v>
          </cell>
          <cell r="B1885" t="str">
            <v>PPG   EP201        SPEC COL   0000001185</v>
          </cell>
          <cell r="C1885" t="str">
            <v>PPG EP Resin floor</v>
          </cell>
          <cell r="D1885">
            <v>213.4</v>
          </cell>
          <cell r="E1885">
            <v>0</v>
          </cell>
          <cell r="F1885">
            <v>0</v>
          </cell>
          <cell r="G1885">
            <v>0</v>
          </cell>
          <cell r="H1885">
            <v>213.4</v>
          </cell>
        </row>
        <row r="1886">
          <cell r="A1886" t="str">
            <v>00639871</v>
          </cell>
          <cell r="B1886" t="str">
            <v>PPG   EP201        SPEC COL   0000001370</v>
          </cell>
          <cell r="C1886" t="str">
            <v>PPG EP Resin floor</v>
          </cell>
          <cell r="D1886">
            <v>418.37</v>
          </cell>
          <cell r="E1886">
            <v>0</v>
          </cell>
          <cell r="F1886">
            <v>0</v>
          </cell>
          <cell r="G1886">
            <v>0</v>
          </cell>
          <cell r="H1886">
            <v>418.37</v>
          </cell>
        </row>
        <row r="1887">
          <cell r="A1887" t="str">
            <v>00639758</v>
          </cell>
          <cell r="B1887" t="str">
            <v>PPG   EP301        DARK BLUE  0000001405</v>
          </cell>
          <cell r="C1887" t="str">
            <v>PPG EP Resin floor</v>
          </cell>
          <cell r="D1887">
            <v>213.67</v>
          </cell>
          <cell r="E1887">
            <v>0</v>
          </cell>
          <cell r="F1887">
            <v>0</v>
          </cell>
          <cell r="G1887">
            <v>0</v>
          </cell>
          <cell r="H1887">
            <v>213.67</v>
          </cell>
        </row>
        <row r="1888">
          <cell r="A1888" t="str">
            <v>00639772</v>
          </cell>
          <cell r="B1888" t="str">
            <v>PPG   EP301        DARK BLUE  0000001808</v>
          </cell>
          <cell r="C1888" t="str">
            <v>PPG EP Resin floor</v>
          </cell>
          <cell r="D1888">
            <v>409.62</v>
          </cell>
          <cell r="E1888">
            <v>0</v>
          </cell>
          <cell r="F1888">
            <v>0</v>
          </cell>
          <cell r="G1888">
            <v>0</v>
          </cell>
          <cell r="H1888">
            <v>409.62</v>
          </cell>
        </row>
        <row r="1889">
          <cell r="A1889" t="str">
            <v>00639786</v>
          </cell>
          <cell r="B1889" t="str">
            <v>PPG   EP301        DARK BLUE  0000002101</v>
          </cell>
          <cell r="C1889" t="str">
            <v>PPG EP Resin floor</v>
          </cell>
          <cell r="D1889">
            <v>482.68</v>
          </cell>
          <cell r="E1889">
            <v>0</v>
          </cell>
          <cell r="F1889">
            <v>0</v>
          </cell>
          <cell r="G1889">
            <v>0</v>
          </cell>
          <cell r="H1889">
            <v>482.68</v>
          </cell>
        </row>
        <row r="1890">
          <cell r="A1890" t="str">
            <v>00639766</v>
          </cell>
          <cell r="B1890" t="str">
            <v>PPG   EP301        DARK GREY  0000001405</v>
          </cell>
          <cell r="C1890" t="str">
            <v>PPG EP Resin floor</v>
          </cell>
          <cell r="D1890">
            <v>187.75</v>
          </cell>
          <cell r="E1890">
            <v>0</v>
          </cell>
          <cell r="F1890">
            <v>0</v>
          </cell>
          <cell r="G1890">
            <v>0</v>
          </cell>
          <cell r="H1890">
            <v>187.75</v>
          </cell>
        </row>
        <row r="1891">
          <cell r="A1891" t="str">
            <v>00639780</v>
          </cell>
          <cell r="B1891" t="str">
            <v>PPG   EP301        DARK GREY  0000001808</v>
          </cell>
          <cell r="C1891" t="str">
            <v>PPG EP Resin floor</v>
          </cell>
          <cell r="D1891">
            <v>345.25</v>
          </cell>
          <cell r="E1891">
            <v>0</v>
          </cell>
          <cell r="F1891">
            <v>0</v>
          </cell>
          <cell r="G1891">
            <v>0</v>
          </cell>
          <cell r="H1891">
            <v>345.25</v>
          </cell>
        </row>
        <row r="1892">
          <cell r="A1892" t="str">
            <v>00639794</v>
          </cell>
          <cell r="B1892" t="str">
            <v>PPG   EP301        DARK GREY  0000002101</v>
          </cell>
          <cell r="C1892" t="str">
            <v>PPG EP Resin floor</v>
          </cell>
          <cell r="D1892">
            <v>404.9</v>
          </cell>
          <cell r="E1892">
            <v>0</v>
          </cell>
          <cell r="F1892">
            <v>0</v>
          </cell>
          <cell r="G1892">
            <v>0</v>
          </cell>
          <cell r="H1892">
            <v>404.9</v>
          </cell>
        </row>
        <row r="1893">
          <cell r="A1893" t="str">
            <v>00639762</v>
          </cell>
          <cell r="B1893" t="str">
            <v>PPG   EP301        DRK YELLOW 0000001405</v>
          </cell>
          <cell r="C1893" t="str">
            <v>PPG EP Resin floor</v>
          </cell>
          <cell r="D1893">
            <v>187.75</v>
          </cell>
          <cell r="E1893">
            <v>0</v>
          </cell>
          <cell r="F1893">
            <v>0</v>
          </cell>
          <cell r="G1893">
            <v>0</v>
          </cell>
          <cell r="H1893">
            <v>187.75</v>
          </cell>
        </row>
        <row r="1894">
          <cell r="A1894" t="str">
            <v>00639776</v>
          </cell>
          <cell r="B1894" t="str">
            <v>PPG   EP301        DRK YELLOW 0000001808</v>
          </cell>
          <cell r="C1894" t="str">
            <v>PPG EP Resin floor</v>
          </cell>
          <cell r="D1894">
            <v>345.25</v>
          </cell>
          <cell r="E1894">
            <v>0</v>
          </cell>
          <cell r="F1894">
            <v>0</v>
          </cell>
          <cell r="G1894">
            <v>0</v>
          </cell>
          <cell r="H1894">
            <v>345.25</v>
          </cell>
        </row>
        <row r="1895">
          <cell r="A1895" t="str">
            <v>00639790</v>
          </cell>
          <cell r="B1895" t="str">
            <v>PPG   EP301        DRK YELLOW 0000002101</v>
          </cell>
          <cell r="C1895" t="str">
            <v>PPG EP Resin floor</v>
          </cell>
          <cell r="D1895">
            <v>404.9</v>
          </cell>
          <cell r="E1895">
            <v>0</v>
          </cell>
          <cell r="F1895">
            <v>0</v>
          </cell>
          <cell r="G1895">
            <v>0</v>
          </cell>
          <cell r="H1895">
            <v>404.9</v>
          </cell>
        </row>
        <row r="1896">
          <cell r="A1896" t="str">
            <v>00639759</v>
          </cell>
          <cell r="B1896" t="str">
            <v>PPG   EP301        GREEN      0000001405</v>
          </cell>
          <cell r="C1896" t="str">
            <v>PPG EP Resin floor</v>
          </cell>
          <cell r="D1896">
            <v>187.75</v>
          </cell>
          <cell r="E1896">
            <v>0</v>
          </cell>
          <cell r="F1896">
            <v>0</v>
          </cell>
          <cell r="G1896">
            <v>0</v>
          </cell>
          <cell r="H1896">
            <v>187.75</v>
          </cell>
        </row>
        <row r="1897">
          <cell r="A1897" t="str">
            <v>00639773</v>
          </cell>
          <cell r="B1897" t="str">
            <v>PPG   EP301        GREEN      0000001808</v>
          </cell>
          <cell r="C1897" t="str">
            <v>PPG EP Resin floor</v>
          </cell>
          <cell r="D1897">
            <v>345.25</v>
          </cell>
          <cell r="E1897">
            <v>0</v>
          </cell>
          <cell r="F1897">
            <v>0</v>
          </cell>
          <cell r="G1897">
            <v>0</v>
          </cell>
          <cell r="H1897">
            <v>345.25</v>
          </cell>
        </row>
        <row r="1898">
          <cell r="A1898" t="str">
            <v>00639787</v>
          </cell>
          <cell r="B1898" t="str">
            <v>PPG   EP301        GREEN      0000002101</v>
          </cell>
          <cell r="C1898" t="str">
            <v>PPG EP Resin floor</v>
          </cell>
          <cell r="D1898">
            <v>404.9</v>
          </cell>
          <cell r="E1898">
            <v>0</v>
          </cell>
          <cell r="F1898">
            <v>0</v>
          </cell>
          <cell r="G1898">
            <v>0</v>
          </cell>
          <cell r="H1898">
            <v>404.9</v>
          </cell>
        </row>
        <row r="1899">
          <cell r="A1899" t="str">
            <v>00639770</v>
          </cell>
          <cell r="B1899" t="str">
            <v>PPG   EP301        HARDENER   0000000950</v>
          </cell>
          <cell r="C1899" t="str">
            <v>PPG EP Resin floor</v>
          </cell>
          <cell r="D1899">
            <v>73.8</v>
          </cell>
          <cell r="E1899">
            <v>0</v>
          </cell>
          <cell r="F1899">
            <v>0</v>
          </cell>
          <cell r="G1899">
            <v>0</v>
          </cell>
          <cell r="H1899">
            <v>73.8</v>
          </cell>
        </row>
        <row r="1900">
          <cell r="A1900" t="str">
            <v>00639784</v>
          </cell>
          <cell r="B1900" t="str">
            <v>PPG   EP301        HARDENER   0000001192</v>
          </cell>
          <cell r="C1900" t="str">
            <v>PPG EP Resin floor</v>
          </cell>
          <cell r="D1900">
            <v>137.28</v>
          </cell>
          <cell r="E1900">
            <v>0</v>
          </cell>
          <cell r="F1900">
            <v>0</v>
          </cell>
          <cell r="G1900">
            <v>0</v>
          </cell>
          <cell r="H1900">
            <v>137.28</v>
          </cell>
        </row>
        <row r="1901">
          <cell r="A1901" t="str">
            <v>00639873</v>
          </cell>
          <cell r="B1901" t="str">
            <v>PPG   EP301        HARDENER   0000001240</v>
          </cell>
          <cell r="C1901" t="str">
            <v>PPG EP Resin floor</v>
          </cell>
          <cell r="D1901">
            <v>169.75</v>
          </cell>
          <cell r="E1901">
            <v>0</v>
          </cell>
          <cell r="F1901">
            <v>0</v>
          </cell>
          <cell r="G1901">
            <v>0</v>
          </cell>
          <cell r="H1901">
            <v>169.75</v>
          </cell>
        </row>
        <row r="1902">
          <cell r="A1902" t="str">
            <v>00639760</v>
          </cell>
          <cell r="B1902" t="str">
            <v>PPG   EP301        LGT YELLOW 0000001405</v>
          </cell>
          <cell r="C1902" t="str">
            <v>PPG EP Resin floor</v>
          </cell>
          <cell r="D1902">
            <v>187.75</v>
          </cell>
          <cell r="E1902">
            <v>0</v>
          </cell>
          <cell r="F1902">
            <v>0</v>
          </cell>
          <cell r="G1902">
            <v>0</v>
          </cell>
          <cell r="H1902">
            <v>187.75</v>
          </cell>
        </row>
        <row r="1903">
          <cell r="A1903" t="str">
            <v>00639764</v>
          </cell>
          <cell r="B1903" t="str">
            <v>PPG   EP301        LIGHT GREY 0000001405</v>
          </cell>
          <cell r="C1903" t="str">
            <v>PPG EP Resin floor</v>
          </cell>
          <cell r="D1903">
            <v>187.75</v>
          </cell>
          <cell r="E1903">
            <v>0</v>
          </cell>
          <cell r="F1903">
            <v>0</v>
          </cell>
          <cell r="G1903">
            <v>0</v>
          </cell>
          <cell r="H1903">
            <v>187.75</v>
          </cell>
        </row>
        <row r="1904">
          <cell r="A1904" t="str">
            <v>00639778</v>
          </cell>
          <cell r="B1904" t="str">
            <v>PPG   EP301        LIGHT GREY 0000001808</v>
          </cell>
          <cell r="C1904" t="str">
            <v>PPG EP Resin floor</v>
          </cell>
          <cell r="D1904">
            <v>345.25</v>
          </cell>
          <cell r="E1904">
            <v>0</v>
          </cell>
          <cell r="F1904">
            <v>0</v>
          </cell>
          <cell r="G1904">
            <v>0</v>
          </cell>
          <cell r="H1904">
            <v>345.25</v>
          </cell>
        </row>
        <row r="1905">
          <cell r="A1905" t="str">
            <v>00639792</v>
          </cell>
          <cell r="B1905" t="str">
            <v>PPG   EP301        LIGHT GREY 0000002101</v>
          </cell>
          <cell r="C1905" t="str">
            <v>PPG EP Resin floor</v>
          </cell>
          <cell r="D1905">
            <v>404.9</v>
          </cell>
          <cell r="E1905">
            <v>0</v>
          </cell>
          <cell r="F1905">
            <v>0</v>
          </cell>
          <cell r="G1905">
            <v>0</v>
          </cell>
          <cell r="H1905">
            <v>404.9</v>
          </cell>
        </row>
        <row r="1906">
          <cell r="A1906" t="str">
            <v>00639774</v>
          </cell>
          <cell r="B1906" t="str">
            <v>PPG   EP301        LIGHT YELL 0000001808</v>
          </cell>
          <cell r="C1906" t="str">
            <v>PPG EP Resin floor</v>
          </cell>
          <cell r="D1906">
            <v>345.25</v>
          </cell>
          <cell r="E1906">
            <v>0</v>
          </cell>
          <cell r="F1906">
            <v>0</v>
          </cell>
          <cell r="G1906">
            <v>0</v>
          </cell>
          <cell r="H1906">
            <v>345.25</v>
          </cell>
        </row>
        <row r="1907">
          <cell r="A1907" t="str">
            <v>00639788</v>
          </cell>
          <cell r="B1907" t="str">
            <v>PPG   EP301        LIGHT YELL 0000002101</v>
          </cell>
          <cell r="C1907" t="str">
            <v>PPG EP Resin floor</v>
          </cell>
          <cell r="D1907">
            <v>404.9</v>
          </cell>
          <cell r="E1907">
            <v>0</v>
          </cell>
          <cell r="F1907">
            <v>0</v>
          </cell>
          <cell r="G1907">
            <v>0</v>
          </cell>
          <cell r="H1907">
            <v>404.9</v>
          </cell>
        </row>
        <row r="1908">
          <cell r="A1908" t="str">
            <v>00639757</v>
          </cell>
          <cell r="B1908" t="str">
            <v>PPG   EP301        MID BLUE   0000001405</v>
          </cell>
          <cell r="C1908" t="str">
            <v>PPG EP Resin floor</v>
          </cell>
          <cell r="D1908">
            <v>187.75</v>
          </cell>
          <cell r="E1908">
            <v>0</v>
          </cell>
          <cell r="F1908">
            <v>0</v>
          </cell>
          <cell r="G1908">
            <v>0</v>
          </cell>
          <cell r="H1908">
            <v>187.75</v>
          </cell>
        </row>
        <row r="1909">
          <cell r="A1909" t="str">
            <v>00639771</v>
          </cell>
          <cell r="B1909" t="str">
            <v>PPG   EP301        MID BLUE   0000001808</v>
          </cell>
          <cell r="C1909" t="str">
            <v>PPG EP Resin floor</v>
          </cell>
          <cell r="D1909">
            <v>345.25</v>
          </cell>
          <cell r="E1909">
            <v>0</v>
          </cell>
          <cell r="F1909">
            <v>0</v>
          </cell>
          <cell r="G1909">
            <v>0</v>
          </cell>
          <cell r="H1909">
            <v>345.25</v>
          </cell>
        </row>
        <row r="1910">
          <cell r="A1910" t="str">
            <v>00639785</v>
          </cell>
          <cell r="B1910" t="str">
            <v>PPG   EP301        MID BLUE   0000002101</v>
          </cell>
          <cell r="C1910" t="str">
            <v>PPG EP Resin floor</v>
          </cell>
          <cell r="D1910">
            <v>404.9</v>
          </cell>
          <cell r="E1910">
            <v>0</v>
          </cell>
          <cell r="F1910">
            <v>0</v>
          </cell>
          <cell r="G1910">
            <v>0</v>
          </cell>
          <cell r="H1910">
            <v>404.9</v>
          </cell>
        </row>
        <row r="1911">
          <cell r="A1911" t="str">
            <v>00639765</v>
          </cell>
          <cell r="B1911" t="str">
            <v>PPG   EP301        MID GREY   0000001405</v>
          </cell>
          <cell r="C1911" t="str">
            <v>PPG EP Resin floor</v>
          </cell>
          <cell r="D1911">
            <v>187.75</v>
          </cell>
          <cell r="E1911">
            <v>0</v>
          </cell>
          <cell r="F1911">
            <v>0</v>
          </cell>
          <cell r="G1911">
            <v>0</v>
          </cell>
          <cell r="H1911">
            <v>187.75</v>
          </cell>
        </row>
        <row r="1912">
          <cell r="A1912" t="str">
            <v>00639779</v>
          </cell>
          <cell r="B1912" t="str">
            <v>PPG   EP301        MID GREY   0000001808</v>
          </cell>
          <cell r="C1912" t="str">
            <v>PPG EP Resin floor</v>
          </cell>
          <cell r="D1912">
            <v>345.25</v>
          </cell>
          <cell r="E1912">
            <v>0</v>
          </cell>
          <cell r="F1912">
            <v>0</v>
          </cell>
          <cell r="G1912">
            <v>0</v>
          </cell>
          <cell r="H1912">
            <v>345.25</v>
          </cell>
        </row>
        <row r="1913">
          <cell r="A1913" t="str">
            <v>00639793</v>
          </cell>
          <cell r="B1913" t="str">
            <v>PPG   EP301        MID GREY   0000002101</v>
          </cell>
          <cell r="C1913" t="str">
            <v>PPG EP Resin floor</v>
          </cell>
          <cell r="D1913">
            <v>404.9</v>
          </cell>
          <cell r="E1913">
            <v>0</v>
          </cell>
          <cell r="F1913">
            <v>0</v>
          </cell>
          <cell r="G1913">
            <v>0</v>
          </cell>
          <cell r="H1913">
            <v>404.9</v>
          </cell>
        </row>
        <row r="1914">
          <cell r="A1914" t="str">
            <v>00639761</v>
          </cell>
          <cell r="B1914" t="str">
            <v>PPG   EP301        MID YELLOW 0000001405</v>
          </cell>
          <cell r="C1914" t="str">
            <v>PPG EP Resin floor</v>
          </cell>
          <cell r="D1914">
            <v>187.75</v>
          </cell>
          <cell r="E1914">
            <v>0</v>
          </cell>
          <cell r="F1914">
            <v>0</v>
          </cell>
          <cell r="G1914">
            <v>0</v>
          </cell>
          <cell r="H1914">
            <v>187.75</v>
          </cell>
        </row>
        <row r="1915">
          <cell r="A1915" t="str">
            <v>00639775</v>
          </cell>
          <cell r="B1915" t="str">
            <v>PPG   EP301        MID YELLOW 0000001808</v>
          </cell>
          <cell r="C1915" t="str">
            <v>PPG EP Resin floor</v>
          </cell>
          <cell r="D1915">
            <v>345.25</v>
          </cell>
          <cell r="E1915">
            <v>0</v>
          </cell>
          <cell r="F1915">
            <v>0</v>
          </cell>
          <cell r="G1915">
            <v>0</v>
          </cell>
          <cell r="H1915">
            <v>345.25</v>
          </cell>
        </row>
        <row r="1916">
          <cell r="A1916" t="str">
            <v>00639789</v>
          </cell>
          <cell r="B1916" t="str">
            <v>PPG   EP301        MID YELLOW 0000002101</v>
          </cell>
          <cell r="C1916" t="str">
            <v>PPG EP Resin floor</v>
          </cell>
          <cell r="D1916">
            <v>404.9</v>
          </cell>
          <cell r="E1916">
            <v>0</v>
          </cell>
          <cell r="F1916">
            <v>0</v>
          </cell>
          <cell r="G1916">
            <v>0</v>
          </cell>
          <cell r="H1916">
            <v>404.9</v>
          </cell>
        </row>
        <row r="1917">
          <cell r="A1917" t="str">
            <v>00639763</v>
          </cell>
          <cell r="B1917" t="str">
            <v>PPG   EP301        RED        0000001405</v>
          </cell>
          <cell r="C1917" t="str">
            <v>PPG EP Resin floor</v>
          </cell>
          <cell r="D1917">
            <v>187.75</v>
          </cell>
          <cell r="E1917">
            <v>0</v>
          </cell>
          <cell r="F1917">
            <v>0</v>
          </cell>
          <cell r="G1917">
            <v>0</v>
          </cell>
          <cell r="H1917">
            <v>187.75</v>
          </cell>
        </row>
        <row r="1918">
          <cell r="A1918" t="str">
            <v>00639777</v>
          </cell>
          <cell r="B1918" t="str">
            <v>PPG   EP301        RED        0000001808</v>
          </cell>
          <cell r="C1918" t="str">
            <v>PPG EP Resin floor</v>
          </cell>
          <cell r="D1918">
            <v>345.25</v>
          </cell>
          <cell r="E1918">
            <v>0</v>
          </cell>
          <cell r="F1918">
            <v>0</v>
          </cell>
          <cell r="G1918">
            <v>0</v>
          </cell>
          <cell r="H1918">
            <v>345.25</v>
          </cell>
        </row>
        <row r="1919">
          <cell r="A1919" t="str">
            <v>00639791</v>
          </cell>
          <cell r="B1919" t="str">
            <v>PPG   EP301        RED        0000002101</v>
          </cell>
          <cell r="C1919" t="str">
            <v>PPG EP Resin floor</v>
          </cell>
          <cell r="D1919">
            <v>404.9</v>
          </cell>
          <cell r="E1919">
            <v>0</v>
          </cell>
          <cell r="F1919">
            <v>0</v>
          </cell>
          <cell r="G1919">
            <v>0</v>
          </cell>
          <cell r="H1919">
            <v>404.9</v>
          </cell>
        </row>
        <row r="1920">
          <cell r="A1920" t="str">
            <v>00639767</v>
          </cell>
          <cell r="B1920" t="str">
            <v>PPG   EP301        SAFETY RED 0000001405</v>
          </cell>
          <cell r="C1920" t="str">
            <v>PPG EP Resin floor</v>
          </cell>
          <cell r="D1920">
            <v>187.75</v>
          </cell>
          <cell r="E1920">
            <v>0</v>
          </cell>
          <cell r="F1920">
            <v>0</v>
          </cell>
          <cell r="G1920">
            <v>0</v>
          </cell>
          <cell r="H1920">
            <v>187.75</v>
          </cell>
        </row>
        <row r="1921">
          <cell r="A1921" t="str">
            <v>00639781</v>
          </cell>
          <cell r="B1921" t="str">
            <v>PPG   EP301        SAFETY RED 0000001808</v>
          </cell>
          <cell r="C1921" t="str">
            <v>PPG EP Resin floor</v>
          </cell>
          <cell r="D1921">
            <v>345.25</v>
          </cell>
          <cell r="E1921">
            <v>0</v>
          </cell>
          <cell r="F1921">
            <v>0</v>
          </cell>
          <cell r="G1921">
            <v>0</v>
          </cell>
          <cell r="H1921">
            <v>345.25</v>
          </cell>
        </row>
        <row r="1922">
          <cell r="A1922" t="str">
            <v>00639795</v>
          </cell>
          <cell r="B1922" t="str">
            <v>PPG   EP301        SAFETY RED 0000002101</v>
          </cell>
          <cell r="C1922" t="str">
            <v>PPG EP Resin floor</v>
          </cell>
          <cell r="D1922">
            <v>404.9</v>
          </cell>
          <cell r="E1922">
            <v>0</v>
          </cell>
          <cell r="F1922">
            <v>0</v>
          </cell>
          <cell r="G1922">
            <v>0</v>
          </cell>
          <cell r="H1922">
            <v>404.9</v>
          </cell>
        </row>
        <row r="1923">
          <cell r="A1923" t="str">
            <v>00639768</v>
          </cell>
          <cell r="B1923" t="str">
            <v>PPG   EP301        SAFETY YEL 0000001405</v>
          </cell>
          <cell r="C1923" t="str">
            <v>PPG EP Resin floor</v>
          </cell>
          <cell r="D1923">
            <v>187.75</v>
          </cell>
          <cell r="E1923">
            <v>0</v>
          </cell>
          <cell r="F1923">
            <v>0</v>
          </cell>
          <cell r="G1923">
            <v>0</v>
          </cell>
          <cell r="H1923">
            <v>187.75</v>
          </cell>
        </row>
        <row r="1924">
          <cell r="A1924" t="str">
            <v>00639782</v>
          </cell>
          <cell r="B1924" t="str">
            <v>PPG   EP301        SAFETY YEL 0000001808</v>
          </cell>
          <cell r="C1924" t="str">
            <v>PPG EP Resin floor</v>
          </cell>
          <cell r="D1924">
            <v>345.25</v>
          </cell>
          <cell r="E1924">
            <v>0</v>
          </cell>
          <cell r="F1924">
            <v>0</v>
          </cell>
          <cell r="G1924">
            <v>0</v>
          </cell>
          <cell r="H1924">
            <v>345.25</v>
          </cell>
        </row>
        <row r="1925">
          <cell r="A1925" t="str">
            <v>00639796</v>
          </cell>
          <cell r="B1925" t="str">
            <v>PPG   EP301        SAFETY YEL 0000002101</v>
          </cell>
          <cell r="C1925" t="str">
            <v>PPG EP Resin floor</v>
          </cell>
          <cell r="D1925">
            <v>404.9</v>
          </cell>
          <cell r="E1925">
            <v>0</v>
          </cell>
          <cell r="F1925">
            <v>0</v>
          </cell>
          <cell r="G1925">
            <v>0</v>
          </cell>
          <cell r="H1925">
            <v>404.9</v>
          </cell>
        </row>
        <row r="1926">
          <cell r="A1926" t="str">
            <v>00639769</v>
          </cell>
          <cell r="B1926" t="str">
            <v>PPG   EP301        SPEC COL   0000001405</v>
          </cell>
          <cell r="C1926" t="str">
            <v>PPG EP Resin floor</v>
          </cell>
          <cell r="D1926">
            <v>187.75</v>
          </cell>
          <cell r="E1926">
            <v>0</v>
          </cell>
          <cell r="F1926">
            <v>0</v>
          </cell>
          <cell r="G1926">
            <v>0</v>
          </cell>
          <cell r="H1926">
            <v>187.75</v>
          </cell>
        </row>
        <row r="1927">
          <cell r="A1927" t="str">
            <v>00639783</v>
          </cell>
          <cell r="B1927" t="str">
            <v>PPG   EP301        SPEC COL   0000001808</v>
          </cell>
          <cell r="C1927" t="str">
            <v>PPG EP Resin floor</v>
          </cell>
          <cell r="D1927">
            <v>345.25</v>
          </cell>
          <cell r="E1927">
            <v>0</v>
          </cell>
          <cell r="F1927">
            <v>0</v>
          </cell>
          <cell r="G1927">
            <v>0</v>
          </cell>
          <cell r="H1927">
            <v>345.25</v>
          </cell>
        </row>
        <row r="1928">
          <cell r="A1928" t="str">
            <v>00639797</v>
          </cell>
          <cell r="B1928" t="str">
            <v>PPG   EP301        SPEC COL   0000002101</v>
          </cell>
          <cell r="C1928" t="str">
            <v>PPG EP Resin floor</v>
          </cell>
          <cell r="D1928">
            <v>404.9</v>
          </cell>
          <cell r="E1928">
            <v>0</v>
          </cell>
          <cell r="F1928">
            <v>0</v>
          </cell>
          <cell r="G1928">
            <v>0</v>
          </cell>
          <cell r="H1928">
            <v>404.9</v>
          </cell>
        </row>
        <row r="1929">
          <cell r="A1929" t="str">
            <v>00639756</v>
          </cell>
          <cell r="B1929" t="str">
            <v>PPG   EP4501       AGGREGATE  0000002200</v>
          </cell>
          <cell r="C1929" t="str">
            <v>PPG EP Resin floor</v>
          </cell>
          <cell r="D1929">
            <v>55.36</v>
          </cell>
          <cell r="E1929">
            <v>0</v>
          </cell>
          <cell r="F1929">
            <v>0</v>
          </cell>
          <cell r="G1929">
            <v>0</v>
          </cell>
          <cell r="H1929">
            <v>55.36</v>
          </cell>
        </row>
        <row r="1930">
          <cell r="A1930" t="str">
            <v>00639743</v>
          </cell>
          <cell r="B1930" t="str">
            <v>PPG   EP4501       DARK BLUE  0000001767</v>
          </cell>
          <cell r="C1930" t="str">
            <v>PPG EP Resin floor</v>
          </cell>
          <cell r="D1930">
            <v>407.78</v>
          </cell>
          <cell r="E1930">
            <v>0</v>
          </cell>
          <cell r="F1930">
            <v>0</v>
          </cell>
          <cell r="G1930">
            <v>0</v>
          </cell>
          <cell r="H1930">
            <v>407.78</v>
          </cell>
        </row>
        <row r="1931">
          <cell r="A1931" t="str">
            <v>00639751</v>
          </cell>
          <cell r="B1931" t="str">
            <v>PPG   EP4501       DARK GREY  0000001767</v>
          </cell>
          <cell r="C1931" t="str">
            <v>PPG EP Resin floor</v>
          </cell>
          <cell r="D1931">
            <v>468.98</v>
          </cell>
          <cell r="E1931">
            <v>0</v>
          </cell>
          <cell r="F1931">
            <v>0</v>
          </cell>
          <cell r="G1931">
            <v>0</v>
          </cell>
          <cell r="H1931">
            <v>468.98</v>
          </cell>
        </row>
        <row r="1932">
          <cell r="A1932" t="str">
            <v>00639747</v>
          </cell>
          <cell r="B1932" t="str">
            <v>PPG   EP4501       DRK YELLOW 0000001767</v>
          </cell>
          <cell r="C1932" t="str">
            <v>PPG EP Resin floor</v>
          </cell>
          <cell r="D1932">
            <v>468.98</v>
          </cell>
          <cell r="E1932">
            <v>0</v>
          </cell>
          <cell r="F1932">
            <v>0</v>
          </cell>
          <cell r="G1932">
            <v>0</v>
          </cell>
          <cell r="H1932">
            <v>468.98</v>
          </cell>
        </row>
        <row r="1933">
          <cell r="A1933" t="str">
            <v>00639744</v>
          </cell>
          <cell r="B1933" t="str">
            <v>PPG   EP4501       GREEN      0000001767</v>
          </cell>
          <cell r="C1933" t="str">
            <v>PPG EP Resin floor</v>
          </cell>
          <cell r="D1933">
            <v>468.98</v>
          </cell>
          <cell r="E1933">
            <v>0</v>
          </cell>
          <cell r="F1933">
            <v>0</v>
          </cell>
          <cell r="G1933">
            <v>0</v>
          </cell>
          <cell r="H1933">
            <v>468.98</v>
          </cell>
        </row>
        <row r="1934">
          <cell r="A1934" t="str">
            <v>00639755</v>
          </cell>
          <cell r="B1934" t="str">
            <v>PPG   EP4501       HARDENER   0000001333</v>
          </cell>
          <cell r="C1934" t="str">
            <v>PPG EP Resin floor</v>
          </cell>
          <cell r="D1934">
            <v>352.42</v>
          </cell>
          <cell r="E1934">
            <v>0</v>
          </cell>
          <cell r="F1934">
            <v>0</v>
          </cell>
          <cell r="G1934">
            <v>0</v>
          </cell>
          <cell r="H1934">
            <v>352.42</v>
          </cell>
        </row>
        <row r="1935">
          <cell r="A1935" t="str">
            <v>00639749</v>
          </cell>
          <cell r="B1935" t="str">
            <v>PPG   EP4501       LIGHT GREY 0000001767</v>
          </cell>
          <cell r="C1935" t="str">
            <v>PPG EP Resin floor</v>
          </cell>
          <cell r="D1935">
            <v>468.98</v>
          </cell>
          <cell r="E1935">
            <v>0</v>
          </cell>
          <cell r="F1935">
            <v>0</v>
          </cell>
          <cell r="G1935">
            <v>0</v>
          </cell>
          <cell r="H1935">
            <v>468.98</v>
          </cell>
        </row>
        <row r="1936">
          <cell r="A1936" t="str">
            <v>00639745</v>
          </cell>
          <cell r="B1936" t="str">
            <v>PPG   EP4501       LIGHT YELL 0000001767</v>
          </cell>
          <cell r="C1936" t="str">
            <v>PPG EP Resin floor</v>
          </cell>
          <cell r="D1936">
            <v>468.98</v>
          </cell>
          <cell r="E1936">
            <v>0</v>
          </cell>
          <cell r="F1936">
            <v>0</v>
          </cell>
          <cell r="G1936">
            <v>0</v>
          </cell>
          <cell r="H1936">
            <v>468.98</v>
          </cell>
        </row>
        <row r="1937">
          <cell r="A1937" t="str">
            <v>00639742</v>
          </cell>
          <cell r="B1937" t="str">
            <v>PPG   EP4501       MID BLUE   0000001767</v>
          </cell>
          <cell r="C1937" t="str">
            <v>PPG EP Resin floor</v>
          </cell>
          <cell r="D1937">
            <v>468.98</v>
          </cell>
          <cell r="E1937">
            <v>0</v>
          </cell>
          <cell r="F1937">
            <v>0</v>
          </cell>
          <cell r="G1937">
            <v>0</v>
          </cell>
          <cell r="H1937">
            <v>468.98</v>
          </cell>
        </row>
        <row r="1938">
          <cell r="A1938" t="str">
            <v>00639750</v>
          </cell>
          <cell r="B1938" t="str">
            <v>PPG   EP4501       MID GREY   0000001767</v>
          </cell>
          <cell r="C1938" t="str">
            <v>PPG EP Resin floor</v>
          </cell>
          <cell r="D1938">
            <v>468.98</v>
          </cell>
          <cell r="E1938">
            <v>0</v>
          </cell>
          <cell r="F1938">
            <v>0</v>
          </cell>
          <cell r="G1938">
            <v>0</v>
          </cell>
          <cell r="H1938">
            <v>468.98</v>
          </cell>
        </row>
        <row r="1939">
          <cell r="A1939" t="str">
            <v>00639746</v>
          </cell>
          <cell r="B1939" t="str">
            <v>PPG   EP4501       MID YELLOW 0000001767</v>
          </cell>
          <cell r="C1939" t="str">
            <v>PPG EP Resin floor</v>
          </cell>
          <cell r="D1939">
            <v>468.98</v>
          </cell>
          <cell r="E1939">
            <v>0</v>
          </cell>
          <cell r="F1939">
            <v>0</v>
          </cell>
          <cell r="G1939">
            <v>0</v>
          </cell>
          <cell r="H1939">
            <v>468.98</v>
          </cell>
        </row>
        <row r="1940">
          <cell r="A1940" t="str">
            <v>00639748</v>
          </cell>
          <cell r="B1940" t="str">
            <v>PPG   EP4501       RED        0000001767</v>
          </cell>
          <cell r="C1940" t="str">
            <v>PPG EP Resin floor</v>
          </cell>
          <cell r="D1940">
            <v>468.98</v>
          </cell>
          <cell r="E1940">
            <v>0</v>
          </cell>
          <cell r="F1940">
            <v>0</v>
          </cell>
          <cell r="G1940">
            <v>0</v>
          </cell>
          <cell r="H1940">
            <v>468.98</v>
          </cell>
        </row>
        <row r="1941">
          <cell r="A1941" t="str">
            <v>00639752</v>
          </cell>
          <cell r="B1941" t="str">
            <v>PPG   EP4501       SAFETY RED 0000001767</v>
          </cell>
          <cell r="C1941" t="str">
            <v>PPG EP Resin floor</v>
          </cell>
          <cell r="D1941">
            <v>468.98</v>
          </cell>
          <cell r="E1941">
            <v>0</v>
          </cell>
          <cell r="F1941">
            <v>0</v>
          </cell>
          <cell r="G1941">
            <v>0</v>
          </cell>
          <cell r="H1941">
            <v>468.98</v>
          </cell>
        </row>
        <row r="1942">
          <cell r="A1942" t="str">
            <v>00639753</v>
          </cell>
          <cell r="B1942" t="str">
            <v>PPG   EP4501       SFTY YELL  0000001767</v>
          </cell>
          <cell r="C1942" t="str">
            <v>PPG EP Resin floor</v>
          </cell>
          <cell r="D1942">
            <v>468.98</v>
          </cell>
          <cell r="E1942">
            <v>0</v>
          </cell>
          <cell r="F1942">
            <v>0</v>
          </cell>
          <cell r="G1942">
            <v>0</v>
          </cell>
          <cell r="H1942">
            <v>468.98</v>
          </cell>
        </row>
        <row r="1943">
          <cell r="A1943" t="str">
            <v>00639754</v>
          </cell>
          <cell r="B1943" t="str">
            <v>PPG   EP4501       SPEC COLL  0000001767</v>
          </cell>
          <cell r="C1943" t="str">
            <v>PPG EP Resin floor</v>
          </cell>
          <cell r="D1943">
            <v>468.98</v>
          </cell>
          <cell r="E1943">
            <v>0</v>
          </cell>
          <cell r="F1943">
            <v>0</v>
          </cell>
          <cell r="G1943">
            <v>0</v>
          </cell>
          <cell r="H1943">
            <v>468.98</v>
          </cell>
        </row>
        <row r="1944">
          <cell r="A1944" t="str">
            <v>00319296</v>
          </cell>
          <cell r="B1944" t="str">
            <v>PSX 700A FDE SET CLEAR COAT   0000AM1450</v>
          </cell>
          <cell r="C1944" t="str">
            <v>PMC</v>
          </cell>
          <cell r="D1944">
            <v>686.4</v>
          </cell>
          <cell r="E1944">
            <v>0</v>
          </cell>
          <cell r="F1944">
            <v>0</v>
          </cell>
          <cell r="G1944">
            <v>0</v>
          </cell>
          <cell r="H1944">
            <v>686.4</v>
          </cell>
        </row>
        <row r="1945">
          <cell r="A1945" t="str">
            <v>00717198</v>
          </cell>
          <cell r="B1945" t="str">
            <v>PURDY DALE ELITE   1" BRUSH</v>
          </cell>
          <cell r="C1945" t="str">
            <v>Brush</v>
          </cell>
          <cell r="D1945">
            <v>13.53</v>
          </cell>
          <cell r="E1945">
            <v>0</v>
          </cell>
          <cell r="F1945">
            <v>0</v>
          </cell>
          <cell r="G1945">
            <v>0</v>
          </cell>
          <cell r="H1945">
            <v>13.53</v>
          </cell>
        </row>
        <row r="1946">
          <cell r="A1946" t="str">
            <v>00717199</v>
          </cell>
          <cell r="B1946" t="str">
            <v>PURDY DALE ELITE   1.5" BRUSH</v>
          </cell>
          <cell r="C1946" t="str">
            <v>Brush</v>
          </cell>
          <cell r="D1946">
            <v>15.79</v>
          </cell>
          <cell r="E1946">
            <v>0</v>
          </cell>
          <cell r="F1946">
            <v>0</v>
          </cell>
          <cell r="G1946">
            <v>0</v>
          </cell>
          <cell r="H1946">
            <v>15.79</v>
          </cell>
        </row>
        <row r="1947">
          <cell r="A1947" t="str">
            <v>00723310</v>
          </cell>
          <cell r="B1947" t="str">
            <v>PURDY MON 23C      BRUSH SET  CONTENTS 1</v>
          </cell>
          <cell r="C1947" t="str">
            <v>Brush</v>
          </cell>
          <cell r="D1947">
            <v>39.799999999999997</v>
          </cell>
          <cell r="E1947">
            <v>0</v>
          </cell>
          <cell r="F1947">
            <v>0</v>
          </cell>
          <cell r="G1947">
            <v>0</v>
          </cell>
          <cell r="H1947">
            <v>39.799999999999997</v>
          </cell>
        </row>
        <row r="1948">
          <cell r="A1948" t="str">
            <v>00618084</v>
          </cell>
          <cell r="B1948" t="str">
            <v>PURDY MONSPEC3     BRUSH SET</v>
          </cell>
          <cell r="C1948" t="str">
            <v>Brush</v>
          </cell>
          <cell r="D1948">
            <v>48.6</v>
          </cell>
          <cell r="E1948">
            <v>0</v>
          </cell>
          <cell r="F1948">
            <v>0</v>
          </cell>
          <cell r="G1948">
            <v>0</v>
          </cell>
          <cell r="H1948">
            <v>48.6</v>
          </cell>
        </row>
        <row r="1949">
          <cell r="A1949" t="str">
            <v>00717210</v>
          </cell>
          <cell r="B1949" t="str">
            <v>PURDY PIP ELITE    3" BRUSH</v>
          </cell>
          <cell r="C1949" t="str">
            <v>Brush</v>
          </cell>
          <cell r="D1949">
            <v>51.03</v>
          </cell>
          <cell r="E1949">
            <v>0</v>
          </cell>
          <cell r="F1949">
            <v>0</v>
          </cell>
          <cell r="G1949">
            <v>0</v>
          </cell>
          <cell r="H1949">
            <v>51.03</v>
          </cell>
        </row>
        <row r="1950">
          <cell r="A1950" t="str">
            <v>00614986</v>
          </cell>
          <cell r="B1950" t="str">
            <v>PURDY PRO EXTRA    TWIN PACK  MON ELITE</v>
          </cell>
          <cell r="C1950" t="str">
            <v>Purdy</v>
          </cell>
          <cell r="D1950">
            <v>54.55</v>
          </cell>
          <cell r="E1950">
            <v>0</v>
          </cell>
          <cell r="F1950">
            <v>0</v>
          </cell>
          <cell r="G1950">
            <v>0</v>
          </cell>
          <cell r="H1950">
            <v>54.55</v>
          </cell>
        </row>
        <row r="1951">
          <cell r="A1951" t="str">
            <v>00717206</v>
          </cell>
          <cell r="B1951" t="str">
            <v>PURDY SPRIG ELITE  2" BRUSH</v>
          </cell>
          <cell r="C1951" t="str">
            <v>Brush</v>
          </cell>
          <cell r="D1951">
            <v>18.059999999999999</v>
          </cell>
          <cell r="E1951">
            <v>0</v>
          </cell>
          <cell r="F1951">
            <v>0</v>
          </cell>
          <cell r="G1951">
            <v>0</v>
          </cell>
          <cell r="H1951">
            <v>18.059999999999999</v>
          </cell>
        </row>
        <row r="1952">
          <cell r="A1952" t="str">
            <v>00852390</v>
          </cell>
          <cell r="B1952" t="str">
            <v>QTECH 1/4" HOSE    25 METRE   61425EETD</v>
          </cell>
          <cell r="C1952" t="str">
            <v>Qtech</v>
          </cell>
          <cell r="D1952">
            <v>119.74</v>
          </cell>
          <cell r="E1952">
            <v>0</v>
          </cell>
          <cell r="F1952">
            <v>0</v>
          </cell>
          <cell r="G1952">
            <v>0</v>
          </cell>
          <cell r="H1952">
            <v>119.74</v>
          </cell>
        </row>
        <row r="1953">
          <cell r="A1953" t="str">
            <v>00852298</v>
          </cell>
          <cell r="B1953" t="str">
            <v>QTECH 1/4"X2M HOSE 61402ETD</v>
          </cell>
          <cell r="C1953" t="str">
            <v>Qtech</v>
          </cell>
          <cell r="D1953">
            <v>25.89</v>
          </cell>
          <cell r="E1953">
            <v>0</v>
          </cell>
          <cell r="F1953">
            <v>0</v>
          </cell>
          <cell r="G1953">
            <v>0</v>
          </cell>
          <cell r="H1953">
            <v>25.89</v>
          </cell>
        </row>
        <row r="1954">
          <cell r="A1954" t="str">
            <v>00852299</v>
          </cell>
          <cell r="B1954" t="str">
            <v>QTECH 1/4"X3M HOSE 61403ETD</v>
          </cell>
          <cell r="C1954" t="str">
            <v>Qtech</v>
          </cell>
          <cell r="D1954">
            <v>26.66</v>
          </cell>
          <cell r="E1954">
            <v>0</v>
          </cell>
          <cell r="F1954">
            <v>0</v>
          </cell>
          <cell r="G1954">
            <v>0</v>
          </cell>
          <cell r="H1954">
            <v>26.66</v>
          </cell>
        </row>
        <row r="1955">
          <cell r="A1955" t="str">
            <v>00611782</v>
          </cell>
          <cell r="B1955" t="str">
            <v>QTECH 1M WHIP HOSE 63601EET</v>
          </cell>
          <cell r="C1955" t="str">
            <v>Qtech</v>
          </cell>
          <cell r="D1955">
            <v>17.579999999999998</v>
          </cell>
          <cell r="E1955">
            <v>0</v>
          </cell>
          <cell r="F1955">
            <v>0</v>
          </cell>
          <cell r="G1955">
            <v>0</v>
          </cell>
          <cell r="H1955">
            <v>17.579999999999998</v>
          </cell>
        </row>
        <row r="1956">
          <cell r="A1956" t="str">
            <v>00611349</v>
          </cell>
          <cell r="B1956" t="str">
            <v>QTECH 600-810      240 VOLT   TRITECH T5</v>
          </cell>
          <cell r="C1956" t="str">
            <v>Qtech</v>
          </cell>
          <cell r="D1956">
            <v>2059.5100000000002</v>
          </cell>
          <cell r="E1956">
            <v>0</v>
          </cell>
          <cell r="F1956">
            <v>0</v>
          </cell>
          <cell r="G1956">
            <v>0</v>
          </cell>
          <cell r="H1956">
            <v>2059.5100000000002</v>
          </cell>
        </row>
        <row r="1957">
          <cell r="A1957" t="str">
            <v>00647215</v>
          </cell>
          <cell r="B1957" t="str">
            <v>QTECH ALUMIN 36X9" PT SHIELD  28000</v>
          </cell>
          <cell r="C1957" t="str">
            <v>Qtech</v>
          </cell>
          <cell r="D1957">
            <v>40.9</v>
          </cell>
          <cell r="E1957">
            <v>0</v>
          </cell>
          <cell r="F1957">
            <v>0</v>
          </cell>
          <cell r="G1957">
            <v>0</v>
          </cell>
          <cell r="H1957">
            <v>40.9</v>
          </cell>
        </row>
        <row r="1958">
          <cell r="A1958" t="str">
            <v>00647216</v>
          </cell>
          <cell r="B1958" t="str">
            <v>QTECH ALUMIN 48X9" PT SHIELD  28040</v>
          </cell>
          <cell r="C1958" t="str">
            <v>Qtech</v>
          </cell>
          <cell r="D1958">
            <v>57.15</v>
          </cell>
          <cell r="E1958">
            <v>0</v>
          </cell>
          <cell r="F1958">
            <v>0</v>
          </cell>
          <cell r="G1958">
            <v>0</v>
          </cell>
          <cell r="H1958">
            <v>57.15</v>
          </cell>
        </row>
        <row r="1959">
          <cell r="A1959" t="str">
            <v>00610670</v>
          </cell>
          <cell r="B1959" t="str">
            <v>QTECH BALL GUIDE   QP00008</v>
          </cell>
          <cell r="C1959" t="str">
            <v>Qtech</v>
          </cell>
          <cell r="D1959">
            <v>4.21</v>
          </cell>
          <cell r="E1959">
            <v>0</v>
          </cell>
          <cell r="F1959">
            <v>0</v>
          </cell>
          <cell r="G1959">
            <v>0</v>
          </cell>
          <cell r="H1959">
            <v>4.21</v>
          </cell>
        </row>
        <row r="1960">
          <cell r="A1960" t="str">
            <v>00610712</v>
          </cell>
          <cell r="B1960" t="str">
            <v>QTECH CORE SPRING  600-240</v>
          </cell>
          <cell r="C1960" t="str">
            <v>Qtech</v>
          </cell>
          <cell r="D1960">
            <v>19.13</v>
          </cell>
          <cell r="E1960">
            <v>0</v>
          </cell>
          <cell r="F1960">
            <v>0</v>
          </cell>
          <cell r="G1960">
            <v>0</v>
          </cell>
          <cell r="H1960">
            <v>19.13</v>
          </cell>
        </row>
        <row r="1961">
          <cell r="A1961" t="str">
            <v>00611180</v>
          </cell>
          <cell r="B1961" t="str">
            <v>QTECH DRAIN TUBE   QP00014A   QP021</v>
          </cell>
          <cell r="C1961" t="str">
            <v>Qtech</v>
          </cell>
          <cell r="D1961">
            <v>16.73</v>
          </cell>
          <cell r="E1961">
            <v>0</v>
          </cell>
          <cell r="F1961">
            <v>0</v>
          </cell>
          <cell r="G1961">
            <v>0</v>
          </cell>
          <cell r="H1961">
            <v>16.73</v>
          </cell>
        </row>
        <row r="1962">
          <cell r="A1962" t="str">
            <v>00611565</v>
          </cell>
          <cell r="B1962" t="str">
            <v>QTECH GRAVITY GUN  10-1051    HVLP</v>
          </cell>
          <cell r="C1962" t="str">
            <v>Qtech</v>
          </cell>
          <cell r="D1962">
            <v>336.78</v>
          </cell>
          <cell r="E1962">
            <v>0</v>
          </cell>
          <cell r="F1962">
            <v>0</v>
          </cell>
          <cell r="G1962">
            <v>0</v>
          </cell>
          <cell r="H1962">
            <v>336.78</v>
          </cell>
        </row>
        <row r="1963">
          <cell r="A1963" t="str">
            <v>00647219</v>
          </cell>
          <cell r="B1963" t="str">
            <v>QTECH HOSE 3/8" X  15M ASSEML 63815FFTD</v>
          </cell>
          <cell r="C1963" t="str">
            <v>Qtech</v>
          </cell>
          <cell r="D1963">
            <v>129.49</v>
          </cell>
          <cell r="E1963">
            <v>0</v>
          </cell>
          <cell r="F1963">
            <v>0</v>
          </cell>
          <cell r="G1963">
            <v>0</v>
          </cell>
          <cell r="H1963">
            <v>129.49</v>
          </cell>
        </row>
        <row r="1964">
          <cell r="A1964" t="str">
            <v>00611558</v>
          </cell>
          <cell r="B1964" t="str">
            <v>QTECH HVLP 110V GG 10-1004    QTECH3</v>
          </cell>
          <cell r="C1964" t="str">
            <v>Qtech</v>
          </cell>
          <cell r="D1964">
            <v>739.44</v>
          </cell>
          <cell r="E1964">
            <v>0</v>
          </cell>
          <cell r="F1964">
            <v>0</v>
          </cell>
          <cell r="G1964">
            <v>0</v>
          </cell>
          <cell r="H1964">
            <v>739.44</v>
          </cell>
        </row>
        <row r="1965">
          <cell r="A1965" t="str">
            <v>00611562</v>
          </cell>
          <cell r="B1965" t="str">
            <v>QTECH HVLP 110V GG 10-1012    QTECH5</v>
          </cell>
          <cell r="C1965" t="str">
            <v>Qtech</v>
          </cell>
          <cell r="D1965">
            <v>1151</v>
          </cell>
          <cell r="E1965">
            <v>0</v>
          </cell>
          <cell r="F1965">
            <v>0</v>
          </cell>
          <cell r="G1965">
            <v>0</v>
          </cell>
          <cell r="H1965">
            <v>1151</v>
          </cell>
        </row>
        <row r="1966">
          <cell r="A1966" t="str">
            <v>00611556</v>
          </cell>
          <cell r="B1966" t="str">
            <v>QTECH HVLP 110V SG 10-1000    QTECH3</v>
          </cell>
          <cell r="C1966" t="str">
            <v>Qtech</v>
          </cell>
          <cell r="D1966">
            <v>739.44</v>
          </cell>
          <cell r="E1966">
            <v>0</v>
          </cell>
          <cell r="F1966">
            <v>0</v>
          </cell>
          <cell r="G1966">
            <v>0</v>
          </cell>
          <cell r="H1966">
            <v>739.44</v>
          </cell>
        </row>
        <row r="1967">
          <cell r="A1967" t="str">
            <v>00611560</v>
          </cell>
          <cell r="B1967" t="str">
            <v>QTECH HVLP 110V SG 10-1008    QTECH5</v>
          </cell>
          <cell r="C1967" t="str">
            <v>Qtech</v>
          </cell>
          <cell r="D1967">
            <v>1151</v>
          </cell>
          <cell r="E1967">
            <v>0</v>
          </cell>
          <cell r="F1967">
            <v>0</v>
          </cell>
          <cell r="G1967">
            <v>0</v>
          </cell>
          <cell r="H1967">
            <v>1151</v>
          </cell>
        </row>
        <row r="1968">
          <cell r="A1968" t="str">
            <v>00611563</v>
          </cell>
          <cell r="B1968" t="str">
            <v>QTECH HVLP 240V GG 10-1013    QTECH5</v>
          </cell>
          <cell r="C1968" t="str">
            <v>Qtech</v>
          </cell>
          <cell r="D1968">
            <v>1151</v>
          </cell>
          <cell r="E1968">
            <v>0</v>
          </cell>
          <cell r="F1968">
            <v>0</v>
          </cell>
          <cell r="G1968">
            <v>0</v>
          </cell>
          <cell r="H1968">
            <v>1151</v>
          </cell>
        </row>
        <row r="1969">
          <cell r="A1969" t="str">
            <v>00611561</v>
          </cell>
          <cell r="B1969" t="str">
            <v>QTECH HVLP 240V SG 10-1009    QTECH5</v>
          </cell>
          <cell r="C1969" t="str">
            <v>Qtech</v>
          </cell>
          <cell r="D1969">
            <v>974.48</v>
          </cell>
          <cell r="E1969">
            <v>0</v>
          </cell>
          <cell r="F1969">
            <v>0</v>
          </cell>
          <cell r="G1969">
            <v>0</v>
          </cell>
          <cell r="H1969">
            <v>974.48</v>
          </cell>
        </row>
        <row r="1970">
          <cell r="A1970" t="str">
            <v>00852322</v>
          </cell>
          <cell r="B1970" t="str">
            <v>QTECH HVLP NDL NOZ #4 1.5MM   10-2026</v>
          </cell>
          <cell r="C1970" t="str">
            <v>Qtech</v>
          </cell>
          <cell r="D1970">
            <v>81.81</v>
          </cell>
          <cell r="E1970">
            <v>0</v>
          </cell>
          <cell r="F1970">
            <v>0</v>
          </cell>
          <cell r="G1970">
            <v>0</v>
          </cell>
          <cell r="H1970">
            <v>81.81</v>
          </cell>
        </row>
        <row r="1971">
          <cell r="A1971" t="str">
            <v>00852323</v>
          </cell>
          <cell r="B1971" t="str">
            <v>QTECH HVLP NDL NOZ #5 1.8MM   10-2027</v>
          </cell>
          <cell r="C1971" t="str">
            <v>Qtech</v>
          </cell>
          <cell r="D1971">
            <v>81.81</v>
          </cell>
          <cell r="E1971">
            <v>0</v>
          </cell>
          <cell r="F1971">
            <v>0</v>
          </cell>
          <cell r="G1971">
            <v>0</v>
          </cell>
          <cell r="H1971">
            <v>81.81</v>
          </cell>
        </row>
        <row r="1972">
          <cell r="A1972" t="str">
            <v>00852435</v>
          </cell>
          <cell r="B1972" t="str">
            <v>QTECH HVLP NYLON   STRAINER   10-2059</v>
          </cell>
          <cell r="C1972" t="str">
            <v>Qtech</v>
          </cell>
          <cell r="D1972">
            <v>12.61</v>
          </cell>
          <cell r="E1972">
            <v>0</v>
          </cell>
          <cell r="F1972">
            <v>0</v>
          </cell>
          <cell r="G1972">
            <v>0</v>
          </cell>
          <cell r="H1972">
            <v>12.61</v>
          </cell>
        </row>
        <row r="1973">
          <cell r="A1973" t="str">
            <v>00852334</v>
          </cell>
          <cell r="B1973" t="str">
            <v>QTECH HVLP REMOTE  POT 2LT    10-2036</v>
          </cell>
          <cell r="C1973" t="str">
            <v>Qtech</v>
          </cell>
          <cell r="D1973">
            <v>236.59</v>
          </cell>
          <cell r="E1973">
            <v>0</v>
          </cell>
          <cell r="F1973">
            <v>0</v>
          </cell>
          <cell r="G1973">
            <v>0</v>
          </cell>
          <cell r="H1973">
            <v>236.59</v>
          </cell>
        </row>
        <row r="1974">
          <cell r="A1974" t="str">
            <v>00852434</v>
          </cell>
          <cell r="B1974" t="str">
            <v>QTECH HVLP SG      CLEAN KIT  10-2020</v>
          </cell>
          <cell r="C1974" t="str">
            <v>Qtech</v>
          </cell>
          <cell r="D1974">
            <v>42.41</v>
          </cell>
          <cell r="E1974">
            <v>0</v>
          </cell>
          <cell r="F1974">
            <v>0</v>
          </cell>
          <cell r="G1974">
            <v>0</v>
          </cell>
          <cell r="H1974">
            <v>42.41</v>
          </cell>
        </row>
        <row r="1975">
          <cell r="A1975" t="str">
            <v>00647233</v>
          </cell>
          <cell r="B1975" t="str">
            <v>QTECH HVLP TUR GUN PAT ADJ AS QTG-6A QT3</v>
          </cell>
          <cell r="C1975" t="str">
            <v>Qtech</v>
          </cell>
          <cell r="D1975">
            <v>13.65</v>
          </cell>
          <cell r="E1975">
            <v>0</v>
          </cell>
          <cell r="F1975">
            <v>0</v>
          </cell>
          <cell r="G1975">
            <v>0</v>
          </cell>
          <cell r="H1975">
            <v>13.65</v>
          </cell>
        </row>
        <row r="1976">
          <cell r="A1976" t="str">
            <v>00647232</v>
          </cell>
          <cell r="B1976" t="str">
            <v>QTECH HVLP TUR GUN VENT TU AS QTG-33 QT3</v>
          </cell>
          <cell r="C1976" t="str">
            <v>Qtech</v>
          </cell>
          <cell r="D1976">
            <v>10.59</v>
          </cell>
          <cell r="E1976">
            <v>0</v>
          </cell>
          <cell r="F1976">
            <v>0</v>
          </cell>
          <cell r="G1976">
            <v>0</v>
          </cell>
          <cell r="H1976">
            <v>10.59</v>
          </cell>
        </row>
        <row r="1977">
          <cell r="A1977" t="str">
            <v>00647234</v>
          </cell>
          <cell r="B1977" t="str">
            <v>QTECH HVLP TURB    MAIN FILTR QT3-51 QT3</v>
          </cell>
          <cell r="C1977" t="str">
            <v>Qtech</v>
          </cell>
          <cell r="D1977">
            <v>29.73</v>
          </cell>
          <cell r="E1977">
            <v>0</v>
          </cell>
          <cell r="F1977">
            <v>0</v>
          </cell>
          <cell r="G1977">
            <v>0</v>
          </cell>
          <cell r="H1977">
            <v>29.73</v>
          </cell>
        </row>
        <row r="1978">
          <cell r="A1978" t="str">
            <v>00647235</v>
          </cell>
          <cell r="B1978" t="str">
            <v>QTECH HVLP TURB    PRIM FILTR QT3-53 QT3</v>
          </cell>
          <cell r="C1978" t="str">
            <v>Qtech</v>
          </cell>
          <cell r="D1978">
            <v>6.04</v>
          </cell>
          <cell r="E1978">
            <v>0</v>
          </cell>
          <cell r="F1978">
            <v>0</v>
          </cell>
          <cell r="G1978">
            <v>0</v>
          </cell>
          <cell r="H1978">
            <v>6.04</v>
          </cell>
        </row>
        <row r="1979">
          <cell r="A1979" t="str">
            <v>00647132</v>
          </cell>
          <cell r="B1979" t="str">
            <v>QTECH IN LINE GUN  670-G ASM</v>
          </cell>
          <cell r="C1979" t="str">
            <v>Qtech</v>
          </cell>
          <cell r="D1979">
            <v>252</v>
          </cell>
          <cell r="E1979">
            <v>0</v>
          </cell>
          <cell r="F1979">
            <v>0</v>
          </cell>
          <cell r="G1979">
            <v>0</v>
          </cell>
          <cell r="H1979">
            <v>252</v>
          </cell>
        </row>
        <row r="1980">
          <cell r="A1980" t="str">
            <v>00610672</v>
          </cell>
          <cell r="B1980" t="str">
            <v>QTECH O-RING S31.5 QP00030</v>
          </cell>
          <cell r="C1980" t="str">
            <v>Qtech</v>
          </cell>
          <cell r="D1980">
            <v>2.82</v>
          </cell>
          <cell r="E1980">
            <v>0</v>
          </cell>
          <cell r="F1980">
            <v>0</v>
          </cell>
          <cell r="G1980">
            <v>0</v>
          </cell>
          <cell r="H1980">
            <v>2.82</v>
          </cell>
        </row>
        <row r="1981">
          <cell r="A1981" t="str">
            <v>00852347</v>
          </cell>
          <cell r="B1981" t="str">
            <v>QTECH P TUBE CHECK VALVE PK5  10-2001</v>
          </cell>
          <cell r="C1981" t="str">
            <v>Qtech</v>
          </cell>
          <cell r="D1981">
            <v>28.18</v>
          </cell>
          <cell r="E1981">
            <v>0</v>
          </cell>
          <cell r="F1981">
            <v>0</v>
          </cell>
          <cell r="G1981">
            <v>0</v>
          </cell>
          <cell r="H1981">
            <v>28.18</v>
          </cell>
        </row>
        <row r="1982">
          <cell r="A1982" t="str">
            <v>00647113</v>
          </cell>
          <cell r="B1982" t="str">
            <v>QTECH PACKING KIT  QP00016    QP019/021/</v>
          </cell>
          <cell r="C1982" t="str">
            <v>Qtech</v>
          </cell>
          <cell r="D1982">
            <v>125.23</v>
          </cell>
          <cell r="E1982">
            <v>0</v>
          </cell>
          <cell r="F1982">
            <v>0</v>
          </cell>
          <cell r="G1982">
            <v>0</v>
          </cell>
          <cell r="H1982">
            <v>125.23</v>
          </cell>
        </row>
        <row r="1983">
          <cell r="A1983" t="str">
            <v>00647114</v>
          </cell>
          <cell r="B1983" t="str">
            <v>QTECH PACKING KIT  QP036-9    QP031/036</v>
          </cell>
          <cell r="C1983" t="str">
            <v>Qtech</v>
          </cell>
          <cell r="D1983">
            <v>135.30000000000001</v>
          </cell>
          <cell r="E1983">
            <v>0</v>
          </cell>
          <cell r="F1983">
            <v>0</v>
          </cell>
          <cell r="G1983">
            <v>0</v>
          </cell>
          <cell r="H1983">
            <v>135.30000000000001</v>
          </cell>
        </row>
        <row r="1984">
          <cell r="A1984" t="str">
            <v>00611341</v>
          </cell>
          <cell r="B1984" t="str">
            <v>QTECH PISTON                  QP019-53-Q</v>
          </cell>
          <cell r="C1984" t="str">
            <v>Qtech</v>
          </cell>
          <cell r="D1984">
            <v>128.71</v>
          </cell>
          <cell r="E1984">
            <v>0</v>
          </cell>
          <cell r="F1984">
            <v>0</v>
          </cell>
          <cell r="G1984">
            <v>0</v>
          </cell>
          <cell r="H1984">
            <v>128.71</v>
          </cell>
        </row>
        <row r="1985">
          <cell r="A1985" t="str">
            <v>00611338</v>
          </cell>
          <cell r="B1985" t="str">
            <v>QTECH PISTON       QP00025    QP021/QP02</v>
          </cell>
          <cell r="C1985" t="str">
            <v>Qtech</v>
          </cell>
          <cell r="D1985">
            <v>128.71</v>
          </cell>
          <cell r="E1985">
            <v>0</v>
          </cell>
          <cell r="F1985">
            <v>0</v>
          </cell>
          <cell r="G1985">
            <v>0</v>
          </cell>
          <cell r="H1985">
            <v>128.71</v>
          </cell>
        </row>
        <row r="1986">
          <cell r="A1986" t="str">
            <v>00611358</v>
          </cell>
          <cell r="B1986" t="str">
            <v>QTECH PRESS GUAGE  120-625</v>
          </cell>
          <cell r="C1986" t="str">
            <v>Qtech</v>
          </cell>
          <cell r="D1986">
            <v>97.94</v>
          </cell>
          <cell r="E1986">
            <v>0</v>
          </cell>
          <cell r="F1986">
            <v>0</v>
          </cell>
          <cell r="G1986">
            <v>0</v>
          </cell>
          <cell r="H1986">
            <v>97.94</v>
          </cell>
        </row>
        <row r="1987">
          <cell r="A1987" t="str">
            <v>00647209</v>
          </cell>
          <cell r="B1987" t="str">
            <v>QTECH QLUBE PISTON LUBE 946ML Q400-006</v>
          </cell>
          <cell r="C1987" t="str">
            <v>Qtech</v>
          </cell>
          <cell r="D1987">
            <v>38.1</v>
          </cell>
          <cell r="E1987">
            <v>0</v>
          </cell>
          <cell r="F1987">
            <v>0</v>
          </cell>
          <cell r="G1987">
            <v>0</v>
          </cell>
          <cell r="H1987">
            <v>38.1</v>
          </cell>
        </row>
        <row r="1988">
          <cell r="A1988" t="str">
            <v>00611784</v>
          </cell>
          <cell r="B1988" t="str">
            <v>QTECH QP00111T</v>
          </cell>
          <cell r="C1988" t="str">
            <v>Qtech</v>
          </cell>
          <cell r="D1988">
            <v>16.36</v>
          </cell>
          <cell r="E1988">
            <v>0</v>
          </cell>
          <cell r="F1988">
            <v>0</v>
          </cell>
          <cell r="G1988">
            <v>0</v>
          </cell>
          <cell r="H1988">
            <v>16.36</v>
          </cell>
        </row>
        <row r="1989">
          <cell r="A1989" t="str">
            <v>00852311</v>
          </cell>
          <cell r="B1989" t="str">
            <v>QTECH QT190        110V</v>
          </cell>
          <cell r="C1989" t="str">
            <v>Qtech</v>
          </cell>
          <cell r="D1989">
            <v>740.18</v>
          </cell>
          <cell r="E1989">
            <v>0</v>
          </cell>
          <cell r="F1989">
            <v>0</v>
          </cell>
          <cell r="G1989">
            <v>0</v>
          </cell>
          <cell r="H1989">
            <v>740.18</v>
          </cell>
        </row>
        <row r="1990">
          <cell r="A1990" t="str">
            <v>00852312</v>
          </cell>
          <cell r="B1990" t="str">
            <v>QTECH QT190        240V</v>
          </cell>
          <cell r="C1990" t="str">
            <v>Qtech</v>
          </cell>
          <cell r="D1990">
            <v>740.18</v>
          </cell>
          <cell r="E1990">
            <v>0</v>
          </cell>
          <cell r="F1990">
            <v>0</v>
          </cell>
          <cell r="G1990">
            <v>0</v>
          </cell>
          <cell r="H1990">
            <v>740.18</v>
          </cell>
        </row>
        <row r="1991">
          <cell r="A1991" t="str">
            <v>00852313</v>
          </cell>
          <cell r="B1991" t="str">
            <v>QTECH QT290        110V</v>
          </cell>
          <cell r="C1991" t="str">
            <v>Qtech</v>
          </cell>
          <cell r="D1991">
            <v>1597.5</v>
          </cell>
          <cell r="E1991">
            <v>0</v>
          </cell>
          <cell r="F1991">
            <v>0</v>
          </cell>
          <cell r="G1991">
            <v>0</v>
          </cell>
          <cell r="H1991">
            <v>1597.5</v>
          </cell>
        </row>
        <row r="1992">
          <cell r="A1992" t="str">
            <v>00852314</v>
          </cell>
          <cell r="B1992" t="str">
            <v>QTECH QT290        240V</v>
          </cell>
          <cell r="C1992" t="str">
            <v>Qtech</v>
          </cell>
          <cell r="D1992">
            <v>1597.5</v>
          </cell>
          <cell r="E1992">
            <v>0</v>
          </cell>
          <cell r="F1992">
            <v>0</v>
          </cell>
          <cell r="G1992">
            <v>0</v>
          </cell>
          <cell r="H1992">
            <v>1597.5</v>
          </cell>
        </row>
        <row r="1993">
          <cell r="A1993" t="str">
            <v>00647223</v>
          </cell>
          <cell r="B1993" t="str">
            <v>QTECH QT3 HVLP SIL P TURB GUN MO-745</v>
          </cell>
          <cell r="C1993" t="str">
            <v>Qtech</v>
          </cell>
          <cell r="D1993">
            <v>182.07</v>
          </cell>
          <cell r="E1993">
            <v>0</v>
          </cell>
          <cell r="F1993">
            <v>0</v>
          </cell>
          <cell r="G1993">
            <v>0</v>
          </cell>
          <cell r="H1993">
            <v>182.07</v>
          </cell>
        </row>
        <row r="1994">
          <cell r="A1994" t="str">
            <v>00852317</v>
          </cell>
          <cell r="B1994" t="str">
            <v>QTECH QT650        110V</v>
          </cell>
          <cell r="C1994" t="str">
            <v>Qtech</v>
          </cell>
          <cell r="D1994">
            <v>4045.94</v>
          </cell>
          <cell r="E1994">
            <v>0</v>
          </cell>
          <cell r="F1994">
            <v>0</v>
          </cell>
          <cell r="G1994">
            <v>0</v>
          </cell>
          <cell r="H1994">
            <v>4045.94</v>
          </cell>
        </row>
        <row r="1995">
          <cell r="A1995" t="str">
            <v>00610532</v>
          </cell>
          <cell r="B1995" t="str">
            <v>QTECH QTECH O RING QP00004</v>
          </cell>
          <cell r="C1995" t="str">
            <v>Qtech</v>
          </cell>
          <cell r="D1995">
            <v>8.39</v>
          </cell>
          <cell r="E1995">
            <v>0</v>
          </cell>
          <cell r="F1995">
            <v>0</v>
          </cell>
          <cell r="G1995">
            <v>0</v>
          </cell>
          <cell r="H1995">
            <v>8.39</v>
          </cell>
        </row>
        <row r="1996">
          <cell r="A1996" t="str">
            <v>00611077</v>
          </cell>
          <cell r="B1996" t="str">
            <v>QTECH ROUGH ROLLER COVER 9"   7724</v>
          </cell>
          <cell r="C1996" t="str">
            <v>Qtech</v>
          </cell>
          <cell r="D1996">
            <v>22.1</v>
          </cell>
          <cell r="E1996">
            <v>0</v>
          </cell>
          <cell r="F1996">
            <v>0</v>
          </cell>
          <cell r="G1996">
            <v>0</v>
          </cell>
          <cell r="H1996">
            <v>22.1</v>
          </cell>
        </row>
        <row r="1997">
          <cell r="A1997" t="str">
            <v>00610673</v>
          </cell>
          <cell r="B1997" t="str">
            <v>QTECH SEAL SEAT    QP00031</v>
          </cell>
          <cell r="C1997" t="str">
            <v>Qtech</v>
          </cell>
          <cell r="D1997">
            <v>29.02</v>
          </cell>
          <cell r="E1997">
            <v>0</v>
          </cell>
          <cell r="F1997">
            <v>0</v>
          </cell>
          <cell r="G1997">
            <v>0</v>
          </cell>
          <cell r="H1997">
            <v>29.02</v>
          </cell>
        </row>
        <row r="1998">
          <cell r="A1998" t="str">
            <v>00611488</v>
          </cell>
          <cell r="B1998" t="str">
            <v>QTECH T36/T720     SEAL       501-018</v>
          </cell>
          <cell r="C1998" t="str">
            <v>Qtech</v>
          </cell>
          <cell r="D1998">
            <v>5.88</v>
          </cell>
          <cell r="E1998">
            <v>0</v>
          </cell>
          <cell r="F1998">
            <v>0</v>
          </cell>
          <cell r="G1998">
            <v>0</v>
          </cell>
          <cell r="H1998">
            <v>5.88</v>
          </cell>
        </row>
        <row r="1999">
          <cell r="A1999" t="str">
            <v>00611332</v>
          </cell>
          <cell r="B1999" t="str">
            <v>QTECH TIP 18"      QC917 FAN  QC917</v>
          </cell>
          <cell r="C1999" t="str">
            <v>Qtech</v>
          </cell>
          <cell r="D1999">
            <v>30.41</v>
          </cell>
          <cell r="E1999">
            <v>0</v>
          </cell>
          <cell r="F1999">
            <v>0</v>
          </cell>
          <cell r="G1999">
            <v>0</v>
          </cell>
          <cell r="H1999">
            <v>30.41</v>
          </cell>
        </row>
        <row r="2000">
          <cell r="A2000" t="str">
            <v>00611246</v>
          </cell>
          <cell r="B2000" t="str">
            <v>QTECH TIP EXTENSON 6"         110-206</v>
          </cell>
          <cell r="C2000" t="str">
            <v>Qtech</v>
          </cell>
          <cell r="D2000">
            <v>66.31</v>
          </cell>
          <cell r="E2000">
            <v>0</v>
          </cell>
          <cell r="F2000">
            <v>0</v>
          </cell>
          <cell r="G2000">
            <v>0</v>
          </cell>
          <cell r="H2000">
            <v>66.31</v>
          </cell>
        </row>
        <row r="2001">
          <cell r="A2001" t="str">
            <v>00610531</v>
          </cell>
          <cell r="B2001" t="str">
            <v>QTECH TT PAINT HOP ASSEMBLY   600-556</v>
          </cell>
          <cell r="C2001" t="str">
            <v>Qtech</v>
          </cell>
          <cell r="D2001">
            <v>297.08</v>
          </cell>
          <cell r="E2001">
            <v>0</v>
          </cell>
          <cell r="F2001">
            <v>0</v>
          </cell>
          <cell r="G2001">
            <v>0</v>
          </cell>
          <cell r="H2001">
            <v>297.08</v>
          </cell>
        </row>
        <row r="2002">
          <cell r="A2002" t="str">
            <v>00731355</v>
          </cell>
          <cell r="B2002" t="str">
            <v>RODO  10SHT COARSE SANDPAPER  FFJASP10C</v>
          </cell>
          <cell r="C2002" t="str">
            <v>RODO</v>
          </cell>
          <cell r="D2002">
            <v>0.46</v>
          </cell>
          <cell r="E2002">
            <v>0</v>
          </cell>
          <cell r="F2002">
            <v>0</v>
          </cell>
          <cell r="G2002">
            <v>0</v>
          </cell>
          <cell r="H2002">
            <v>0.46</v>
          </cell>
        </row>
        <row r="2003">
          <cell r="A2003" t="str">
            <v>00731353</v>
          </cell>
          <cell r="B2003" t="str">
            <v>RODO  10SHT FINE   SANDPAPER  FFJASP10F</v>
          </cell>
          <cell r="C2003" t="str">
            <v>RODO</v>
          </cell>
          <cell r="D2003">
            <v>0.46</v>
          </cell>
          <cell r="E2003">
            <v>0</v>
          </cell>
          <cell r="F2003">
            <v>0</v>
          </cell>
          <cell r="G2003">
            <v>0</v>
          </cell>
          <cell r="H2003">
            <v>0.46</v>
          </cell>
        </row>
        <row r="2004">
          <cell r="A2004" t="str">
            <v>00731354</v>
          </cell>
          <cell r="B2004" t="str">
            <v>RODO  10STH MEDIUM SANDPAPER  FFJAP10M</v>
          </cell>
          <cell r="C2004" t="str">
            <v>RODO</v>
          </cell>
          <cell r="D2004">
            <v>0.46</v>
          </cell>
          <cell r="E2004">
            <v>0</v>
          </cell>
          <cell r="F2004">
            <v>0</v>
          </cell>
          <cell r="G2004">
            <v>0</v>
          </cell>
          <cell r="H2004">
            <v>0.46</v>
          </cell>
        </row>
        <row r="2005">
          <cell r="A2005" t="str">
            <v>00631555</v>
          </cell>
          <cell r="B2005" t="str">
            <v>RODO  18'X12' BLUE TARPAULIN  CNT1812</v>
          </cell>
          <cell r="C2005" t="str">
            <v>RODO</v>
          </cell>
          <cell r="D2005">
            <v>14.4</v>
          </cell>
          <cell r="E2005">
            <v>0</v>
          </cell>
          <cell r="F2005">
            <v>0</v>
          </cell>
          <cell r="G2005">
            <v>0</v>
          </cell>
          <cell r="H2005">
            <v>14.4</v>
          </cell>
        </row>
        <row r="2006">
          <cell r="A2006" t="str">
            <v>00718752</v>
          </cell>
          <cell r="B2006" t="str">
            <v>RODO  2" FILLING   KNIFE(BLK) (.FFJFK2)</v>
          </cell>
          <cell r="C2006" t="str">
            <v>RODO</v>
          </cell>
          <cell r="D2006">
            <v>1.74</v>
          </cell>
          <cell r="E2006">
            <v>0</v>
          </cell>
          <cell r="F2006">
            <v>0</v>
          </cell>
          <cell r="G2006">
            <v>0</v>
          </cell>
          <cell r="H2006">
            <v>1.74</v>
          </cell>
        </row>
        <row r="2007">
          <cell r="A2007" t="str">
            <v>00718749</v>
          </cell>
          <cell r="B2007" t="str">
            <v>RODO  2" SCRAPER   BLACK HAND  (FFJPS2)</v>
          </cell>
          <cell r="C2007" t="str">
            <v>RODO</v>
          </cell>
          <cell r="D2007">
            <v>1.74</v>
          </cell>
          <cell r="E2007">
            <v>0</v>
          </cell>
          <cell r="F2007">
            <v>0</v>
          </cell>
          <cell r="G2007">
            <v>0</v>
          </cell>
          <cell r="H2007">
            <v>1.74</v>
          </cell>
        </row>
        <row r="2008">
          <cell r="A2008" t="str">
            <v>00736317</v>
          </cell>
          <cell r="B2008" t="str">
            <v>RODO  2.5L PLASTIC PAINT CAN  7PC</v>
          </cell>
          <cell r="C2008" t="str">
            <v>RODO</v>
          </cell>
          <cell r="D2008">
            <v>1.43</v>
          </cell>
          <cell r="E2008">
            <v>0</v>
          </cell>
          <cell r="F2008">
            <v>0</v>
          </cell>
          <cell r="G2008">
            <v>0</v>
          </cell>
          <cell r="H2008">
            <v>1.43</v>
          </cell>
        </row>
        <row r="2009">
          <cell r="A2009" t="str">
            <v>00718738</v>
          </cell>
          <cell r="B2009" t="str">
            <v>RODO  24" TRIMMING EDGE       (TE241S)</v>
          </cell>
          <cell r="C2009" t="str">
            <v>RODO</v>
          </cell>
          <cell r="D2009">
            <v>10.5</v>
          </cell>
          <cell r="E2009">
            <v>0</v>
          </cell>
          <cell r="F2009">
            <v>0</v>
          </cell>
          <cell r="G2009">
            <v>0</v>
          </cell>
          <cell r="H2009">
            <v>10.5</v>
          </cell>
        </row>
        <row r="2010">
          <cell r="A2010" t="str">
            <v>00718753</v>
          </cell>
          <cell r="B2010" t="str">
            <v>RODO  3" FILLING   KNIFE(BLK) (FFJFK3)</v>
          </cell>
          <cell r="C2010" t="str">
            <v>RODO</v>
          </cell>
          <cell r="D2010">
            <v>2.62</v>
          </cell>
          <cell r="E2010">
            <v>0</v>
          </cell>
          <cell r="F2010">
            <v>0</v>
          </cell>
          <cell r="G2010">
            <v>0</v>
          </cell>
          <cell r="H2010">
            <v>2.62</v>
          </cell>
        </row>
        <row r="2011">
          <cell r="A2011" t="str">
            <v>00718750</v>
          </cell>
          <cell r="B2011" t="str">
            <v>RODO  3" SCRAPER   BLACK HAND (6)(FFJPS3</v>
          </cell>
          <cell r="C2011" t="str">
            <v>RODO</v>
          </cell>
          <cell r="D2011">
            <v>3.07</v>
          </cell>
          <cell r="E2011">
            <v>0</v>
          </cell>
          <cell r="F2011">
            <v>0</v>
          </cell>
          <cell r="G2011">
            <v>0</v>
          </cell>
          <cell r="H2011">
            <v>3.07</v>
          </cell>
        </row>
        <row r="2012">
          <cell r="A2012" t="str">
            <v>00608352</v>
          </cell>
          <cell r="B2012" t="str">
            <v>RODO  4" FRAME     21" LONG   PRFR014</v>
          </cell>
          <cell r="C2012" t="str">
            <v>RODO</v>
          </cell>
          <cell r="D2012">
            <v>1.29</v>
          </cell>
          <cell r="E2012">
            <v>0</v>
          </cell>
          <cell r="F2012">
            <v>0</v>
          </cell>
          <cell r="G2012">
            <v>0</v>
          </cell>
          <cell r="H2012">
            <v>1.29</v>
          </cell>
        </row>
        <row r="2013">
          <cell r="A2013" t="str">
            <v>00739012</v>
          </cell>
          <cell r="B2013" t="str">
            <v>RODO  4" ROLLERSET MED PILE   ARRF007</v>
          </cell>
          <cell r="C2013" t="str">
            <v>RODO</v>
          </cell>
          <cell r="D2013">
            <v>7.67</v>
          </cell>
          <cell r="E2013">
            <v>0</v>
          </cell>
          <cell r="F2013">
            <v>0</v>
          </cell>
          <cell r="G2013">
            <v>0</v>
          </cell>
          <cell r="H2013">
            <v>7.67</v>
          </cell>
        </row>
        <row r="2014">
          <cell r="A2014" t="str">
            <v>00739011</v>
          </cell>
          <cell r="B2014" t="str">
            <v>RODO  4" ROLLERSET SHORT PILE ARRF001</v>
          </cell>
          <cell r="C2014" t="str">
            <v>RODO</v>
          </cell>
          <cell r="D2014">
            <v>7.16</v>
          </cell>
          <cell r="E2014">
            <v>0</v>
          </cell>
          <cell r="F2014">
            <v>0</v>
          </cell>
          <cell r="G2014">
            <v>0</v>
          </cell>
          <cell r="H2014">
            <v>7.16</v>
          </cell>
        </row>
        <row r="2015">
          <cell r="A2015" t="str">
            <v>00618099</v>
          </cell>
          <cell r="B2015" t="str">
            <v>RODO  4PC FLOOR    PAINT KIT</v>
          </cell>
          <cell r="C2015" t="str">
            <v>RODO</v>
          </cell>
          <cell r="D2015">
            <v>22.1</v>
          </cell>
          <cell r="E2015">
            <v>0</v>
          </cell>
          <cell r="F2015">
            <v>0</v>
          </cell>
          <cell r="G2015">
            <v>0</v>
          </cell>
          <cell r="H2015">
            <v>22.1</v>
          </cell>
        </row>
        <row r="2016">
          <cell r="A2016" t="str">
            <v>00615243</v>
          </cell>
          <cell r="B2016" t="str">
            <v>RODO  600MM SQUARE WORKSTATIO ALUMINIUM</v>
          </cell>
          <cell r="C2016" t="str">
            <v>RODO</v>
          </cell>
          <cell r="D2016">
            <v>67.510000000000005</v>
          </cell>
          <cell r="E2016">
            <v>0</v>
          </cell>
          <cell r="F2016">
            <v>0</v>
          </cell>
          <cell r="G2016">
            <v>0</v>
          </cell>
          <cell r="H2016">
            <v>67.510000000000005</v>
          </cell>
        </row>
        <row r="2017">
          <cell r="A2017" t="str">
            <v>00633321</v>
          </cell>
          <cell r="B2017" t="str">
            <v>RODO  8P TIGER SET ROLL FRAME</v>
          </cell>
          <cell r="C2017" t="str">
            <v>RODO</v>
          </cell>
          <cell r="D2017">
            <v>17.5</v>
          </cell>
          <cell r="E2017">
            <v>0</v>
          </cell>
          <cell r="F2017">
            <v>0</v>
          </cell>
          <cell r="G2017">
            <v>0</v>
          </cell>
          <cell r="H2017">
            <v>17.5</v>
          </cell>
        </row>
        <row r="2018">
          <cell r="A2018" t="str">
            <v>00608346</v>
          </cell>
          <cell r="B2018" t="str">
            <v>RODO  9" MASONRY   ROLLER SET PRRF006</v>
          </cell>
          <cell r="C2018" t="str">
            <v>RODO</v>
          </cell>
          <cell r="D2018">
            <v>6.55</v>
          </cell>
          <cell r="E2018">
            <v>0</v>
          </cell>
          <cell r="F2018">
            <v>0</v>
          </cell>
          <cell r="G2018">
            <v>0</v>
          </cell>
          <cell r="H2018">
            <v>6.55</v>
          </cell>
        </row>
        <row r="2019">
          <cell r="A2019" t="str">
            <v>00732311</v>
          </cell>
          <cell r="B2019" t="str">
            <v>RODO  9" X 1.5"    TITAN FRM  ARFR002</v>
          </cell>
          <cell r="C2019" t="str">
            <v>RODO</v>
          </cell>
          <cell r="D2019">
            <v>6.14</v>
          </cell>
          <cell r="E2019">
            <v>0</v>
          </cell>
          <cell r="F2019">
            <v>0</v>
          </cell>
          <cell r="G2019">
            <v>0</v>
          </cell>
          <cell r="H2019">
            <v>6.14</v>
          </cell>
        </row>
        <row r="2020">
          <cell r="A2020" t="str">
            <v>00732309</v>
          </cell>
          <cell r="B2020" t="str">
            <v>RODO  9" X 1.75"   WOOD FRAME PRFR007</v>
          </cell>
          <cell r="C2020" t="str">
            <v>RODO</v>
          </cell>
          <cell r="D2020">
            <v>13.22</v>
          </cell>
          <cell r="E2020">
            <v>0</v>
          </cell>
          <cell r="F2020">
            <v>0</v>
          </cell>
          <cell r="G2020">
            <v>0</v>
          </cell>
          <cell r="H2020">
            <v>13.22</v>
          </cell>
        </row>
        <row r="2021">
          <cell r="A2021" t="str">
            <v>00731719</v>
          </cell>
          <cell r="B2021" t="str">
            <v>RODO  9"ROLLER KIT 2 SLEEVES  PSSETH</v>
          </cell>
          <cell r="C2021" t="str">
            <v>RODO</v>
          </cell>
          <cell r="D2021">
            <v>3.86</v>
          </cell>
          <cell r="E2021">
            <v>0</v>
          </cell>
          <cell r="F2021">
            <v>0</v>
          </cell>
          <cell r="G2021">
            <v>0</v>
          </cell>
          <cell r="H2021">
            <v>3.86</v>
          </cell>
        </row>
        <row r="2022">
          <cell r="A2022" t="str">
            <v>00731720</v>
          </cell>
          <cell r="B2022" t="str">
            <v>RODO  9"ROLLER KIT 3 SLEEVES  PSET3H</v>
          </cell>
          <cell r="C2022" t="str">
            <v>RODO</v>
          </cell>
          <cell r="D2022">
            <v>4.3899999999999997</v>
          </cell>
          <cell r="E2022">
            <v>0</v>
          </cell>
          <cell r="F2022">
            <v>0</v>
          </cell>
          <cell r="G2022">
            <v>0</v>
          </cell>
          <cell r="H2022">
            <v>4.3899999999999997</v>
          </cell>
        </row>
        <row r="2023">
          <cell r="A2023" t="str">
            <v>00718925</v>
          </cell>
          <cell r="B2023" t="str">
            <v>RODO  ADAPTOR FOR  STRUCTRON  POLES (SEA</v>
          </cell>
          <cell r="C2023" t="str">
            <v>RODO</v>
          </cell>
          <cell r="D2023">
            <v>1.7</v>
          </cell>
          <cell r="E2023">
            <v>0</v>
          </cell>
          <cell r="F2023">
            <v>0</v>
          </cell>
          <cell r="G2023">
            <v>0</v>
          </cell>
          <cell r="H2023">
            <v>1.7</v>
          </cell>
        </row>
        <row r="2024">
          <cell r="A2024" t="str">
            <v>00727164</v>
          </cell>
          <cell r="B2024" t="str">
            <v>RODO  ALU EXT POLE PREX002    4'-7'</v>
          </cell>
          <cell r="C2024" t="str">
            <v>RODO</v>
          </cell>
          <cell r="D2024">
            <v>9.6300000000000008</v>
          </cell>
          <cell r="E2024">
            <v>0</v>
          </cell>
          <cell r="F2024">
            <v>0</v>
          </cell>
          <cell r="G2024">
            <v>0</v>
          </cell>
          <cell r="H2024">
            <v>9.6300000000000008</v>
          </cell>
        </row>
        <row r="2025">
          <cell r="A2025" t="str">
            <v>00615706</v>
          </cell>
          <cell r="B2025" t="str">
            <v>RODO  BACK PRINT   100 PLUS</v>
          </cell>
          <cell r="C2025" t="str">
            <v>RODO</v>
          </cell>
          <cell r="D2025">
            <v>4.6100000000000003</v>
          </cell>
          <cell r="E2025">
            <v>0</v>
          </cell>
          <cell r="F2025">
            <v>0</v>
          </cell>
          <cell r="G2025">
            <v>0</v>
          </cell>
          <cell r="H2025">
            <v>4.6100000000000003</v>
          </cell>
        </row>
        <row r="2026">
          <cell r="A2026" t="str">
            <v>00615707</v>
          </cell>
          <cell r="B2026" t="str">
            <v>RODO  BREAST PRINT 100 PLUS</v>
          </cell>
          <cell r="C2026" t="str">
            <v>RODO</v>
          </cell>
          <cell r="D2026">
            <v>3.46</v>
          </cell>
          <cell r="E2026">
            <v>0</v>
          </cell>
          <cell r="F2026">
            <v>0</v>
          </cell>
          <cell r="G2026">
            <v>0</v>
          </cell>
          <cell r="H2026">
            <v>3.46</v>
          </cell>
        </row>
        <row r="2027">
          <cell r="A2027" t="str">
            <v>00727165</v>
          </cell>
          <cell r="B2027" t="str">
            <v>RODO  BUTTON POLE  AREX001    2'-4'</v>
          </cell>
          <cell r="C2027" t="str">
            <v>RODO</v>
          </cell>
          <cell r="D2027">
            <v>15.35</v>
          </cell>
          <cell r="E2027">
            <v>0</v>
          </cell>
          <cell r="F2027">
            <v>0</v>
          </cell>
          <cell r="G2027">
            <v>0</v>
          </cell>
          <cell r="H2027">
            <v>15.35</v>
          </cell>
        </row>
        <row r="2028">
          <cell r="A2028" t="str">
            <v>00727166</v>
          </cell>
          <cell r="B2028" t="str">
            <v>RODO  BUTTON POLE  AREX005    4'-8'</v>
          </cell>
          <cell r="C2028" t="str">
            <v>RODO</v>
          </cell>
          <cell r="D2028">
            <v>24.19</v>
          </cell>
          <cell r="E2028">
            <v>0</v>
          </cell>
          <cell r="F2028">
            <v>0</v>
          </cell>
          <cell r="G2028">
            <v>0</v>
          </cell>
          <cell r="H2028">
            <v>24.19</v>
          </cell>
        </row>
        <row r="2029">
          <cell r="A2029" t="str">
            <v>00727249</v>
          </cell>
          <cell r="B2029" t="str">
            <v>RODO  DBL GLS SLV  12"        PRRE026</v>
          </cell>
          <cell r="C2029" t="str">
            <v>RODO</v>
          </cell>
          <cell r="D2029">
            <v>12.57</v>
          </cell>
          <cell r="E2029">
            <v>0</v>
          </cell>
          <cell r="F2029">
            <v>0</v>
          </cell>
          <cell r="G2029">
            <v>0</v>
          </cell>
          <cell r="H2029">
            <v>12.57</v>
          </cell>
        </row>
        <row r="2030">
          <cell r="A2030" t="str">
            <v>00739227</v>
          </cell>
          <cell r="B2030" t="str">
            <v>RODO  DIAMOND      BRUSH 1"   FFJDB25</v>
          </cell>
          <cell r="C2030" t="str">
            <v>Brush</v>
          </cell>
          <cell r="D2030">
            <v>1.02</v>
          </cell>
          <cell r="E2030">
            <v>0</v>
          </cell>
          <cell r="F2030">
            <v>0</v>
          </cell>
          <cell r="G2030">
            <v>0</v>
          </cell>
          <cell r="H2030">
            <v>1.02</v>
          </cell>
        </row>
        <row r="2031">
          <cell r="A2031" t="str">
            <v>00739228</v>
          </cell>
          <cell r="B2031" t="str">
            <v>RODO  DIAMOND      BRUSH 1.5" FFJDB38</v>
          </cell>
          <cell r="C2031" t="str">
            <v>Brush</v>
          </cell>
          <cell r="D2031">
            <v>1.53</v>
          </cell>
          <cell r="E2031">
            <v>0</v>
          </cell>
          <cell r="F2031">
            <v>0</v>
          </cell>
          <cell r="G2031">
            <v>0</v>
          </cell>
          <cell r="H2031">
            <v>1.53</v>
          </cell>
        </row>
        <row r="2032">
          <cell r="A2032" t="str">
            <v>00739232</v>
          </cell>
          <cell r="B2032" t="str">
            <v>RODO  DIAMOND      BRUSH 2"   FFJDB50</v>
          </cell>
          <cell r="C2032" t="str">
            <v>Brush</v>
          </cell>
          <cell r="D2032">
            <v>2.04</v>
          </cell>
          <cell r="E2032">
            <v>0</v>
          </cell>
          <cell r="F2032">
            <v>0</v>
          </cell>
          <cell r="G2032">
            <v>0</v>
          </cell>
          <cell r="H2032">
            <v>2.04</v>
          </cell>
        </row>
        <row r="2033">
          <cell r="A2033" t="str">
            <v>00739229</v>
          </cell>
          <cell r="B2033" t="str">
            <v>RODO  DIAMOND      BRUSH 2.5" FFJDB63</v>
          </cell>
          <cell r="C2033" t="str">
            <v>Brush</v>
          </cell>
          <cell r="D2033">
            <v>2.56</v>
          </cell>
          <cell r="E2033">
            <v>0</v>
          </cell>
          <cell r="F2033">
            <v>0</v>
          </cell>
          <cell r="G2033">
            <v>0</v>
          </cell>
          <cell r="H2033">
            <v>2.56</v>
          </cell>
        </row>
        <row r="2034">
          <cell r="A2034" t="str">
            <v>00739230</v>
          </cell>
          <cell r="B2034" t="str">
            <v>RODO  DIAMOND      BRUSH 3"   FFJDB75</v>
          </cell>
          <cell r="C2034" t="str">
            <v>Brush</v>
          </cell>
          <cell r="D2034">
            <v>3.33</v>
          </cell>
          <cell r="E2034">
            <v>0</v>
          </cell>
          <cell r="F2034">
            <v>0</v>
          </cell>
          <cell r="G2034">
            <v>0</v>
          </cell>
          <cell r="H2034">
            <v>3.33</v>
          </cell>
        </row>
        <row r="2035">
          <cell r="A2035" t="str">
            <v>00739231</v>
          </cell>
          <cell r="B2035" t="str">
            <v>RODO  DIAMOND      BRUSH 4"   FFJDB100</v>
          </cell>
          <cell r="C2035" t="str">
            <v>Brush</v>
          </cell>
          <cell r="D2035">
            <v>4.5999999999999996</v>
          </cell>
          <cell r="E2035">
            <v>0</v>
          </cell>
          <cell r="F2035">
            <v>0</v>
          </cell>
          <cell r="G2035">
            <v>0</v>
          </cell>
          <cell r="H2035">
            <v>4.5999999999999996</v>
          </cell>
        </row>
        <row r="2036">
          <cell r="A2036" t="str">
            <v>00739223</v>
          </cell>
          <cell r="B2036" t="str">
            <v>RODO  DIAMOND 3PC  BRUSHSET   FFJDBS3</v>
          </cell>
          <cell r="C2036" t="str">
            <v>Brush</v>
          </cell>
          <cell r="D2036">
            <v>3.69</v>
          </cell>
          <cell r="E2036">
            <v>0</v>
          </cell>
          <cell r="F2036">
            <v>0</v>
          </cell>
          <cell r="G2036">
            <v>0</v>
          </cell>
          <cell r="H2036">
            <v>3.69</v>
          </cell>
        </row>
        <row r="2037">
          <cell r="A2037" t="str">
            <v>00734742</v>
          </cell>
          <cell r="B2037" t="str">
            <v>RODO  DIAMOND 5PCE BRUSHSET</v>
          </cell>
          <cell r="C2037" t="str">
            <v>Brush</v>
          </cell>
          <cell r="D2037">
            <v>6.4</v>
          </cell>
          <cell r="E2037">
            <v>0</v>
          </cell>
          <cell r="F2037">
            <v>0</v>
          </cell>
          <cell r="G2037">
            <v>0</v>
          </cell>
          <cell r="H2037">
            <v>6.4</v>
          </cell>
        </row>
        <row r="2038">
          <cell r="A2038" t="str">
            <v>00732064</v>
          </cell>
          <cell r="B2038" t="str">
            <v>RODO  EMULSION 9"  TRAY 9PT</v>
          </cell>
          <cell r="C2038" t="str">
            <v>RODO</v>
          </cell>
          <cell r="D2038">
            <v>1.43</v>
          </cell>
          <cell r="E2038">
            <v>0</v>
          </cell>
          <cell r="F2038">
            <v>0</v>
          </cell>
          <cell r="G2038">
            <v>0</v>
          </cell>
          <cell r="H2038">
            <v>1.43</v>
          </cell>
        </row>
        <row r="2039">
          <cell r="A2039" t="str">
            <v>00727239</v>
          </cell>
          <cell r="B2039" t="str">
            <v>RODO  EXT POLY SLV 9"         PRRE020</v>
          </cell>
          <cell r="C2039" t="str">
            <v>RODO</v>
          </cell>
          <cell r="D2039">
            <v>2.56</v>
          </cell>
          <cell r="E2039">
            <v>0</v>
          </cell>
          <cell r="F2039">
            <v>0</v>
          </cell>
          <cell r="G2039">
            <v>0</v>
          </cell>
          <cell r="H2039">
            <v>2.56</v>
          </cell>
        </row>
        <row r="2040">
          <cell r="A2040" t="str">
            <v>00732048</v>
          </cell>
          <cell r="B2040" t="str">
            <v>RODO  FFJ A/PURP   0.5" BRUSH</v>
          </cell>
          <cell r="C2040" t="str">
            <v>Brush</v>
          </cell>
          <cell r="D2040">
            <v>0.41</v>
          </cell>
          <cell r="E2040">
            <v>0</v>
          </cell>
          <cell r="F2040">
            <v>0</v>
          </cell>
          <cell r="G2040">
            <v>0</v>
          </cell>
          <cell r="H2040">
            <v>0.41</v>
          </cell>
        </row>
        <row r="2041">
          <cell r="A2041" t="str">
            <v>00732049</v>
          </cell>
          <cell r="B2041" t="str">
            <v>RODO  FFJ A/PURP   0.75"BRUSH</v>
          </cell>
          <cell r="C2041" t="str">
            <v>Brush</v>
          </cell>
          <cell r="D2041">
            <v>0.61</v>
          </cell>
          <cell r="E2041">
            <v>0</v>
          </cell>
          <cell r="F2041">
            <v>0</v>
          </cell>
          <cell r="G2041">
            <v>0</v>
          </cell>
          <cell r="H2041">
            <v>0.61</v>
          </cell>
        </row>
        <row r="2042">
          <cell r="A2042" t="str">
            <v>00732050</v>
          </cell>
          <cell r="B2042" t="str">
            <v>RODO  FFJ A/PURP   1" BRUSH</v>
          </cell>
          <cell r="C2042" t="str">
            <v>Brush</v>
          </cell>
          <cell r="D2042">
            <v>0.81</v>
          </cell>
          <cell r="E2042">
            <v>0</v>
          </cell>
          <cell r="F2042">
            <v>0</v>
          </cell>
          <cell r="G2042">
            <v>0</v>
          </cell>
          <cell r="H2042">
            <v>0.81</v>
          </cell>
        </row>
        <row r="2043">
          <cell r="A2043" t="str">
            <v>00732085</v>
          </cell>
          <cell r="B2043" t="str">
            <v>RODO  FFJ A/PURP   1.5" BRUSH</v>
          </cell>
          <cell r="C2043" t="str">
            <v>Brush</v>
          </cell>
          <cell r="D2043">
            <v>1.24</v>
          </cell>
          <cell r="E2043">
            <v>0</v>
          </cell>
          <cell r="F2043">
            <v>0</v>
          </cell>
          <cell r="G2043">
            <v>0</v>
          </cell>
          <cell r="H2043">
            <v>1.24</v>
          </cell>
        </row>
        <row r="2044">
          <cell r="A2044" t="str">
            <v>00732051</v>
          </cell>
          <cell r="B2044" t="str">
            <v>RODO  FFJ A/PURP   2" BRUSH</v>
          </cell>
          <cell r="C2044" t="str">
            <v>Brush</v>
          </cell>
          <cell r="D2044">
            <v>1.64</v>
          </cell>
          <cell r="E2044">
            <v>0</v>
          </cell>
          <cell r="F2044">
            <v>0</v>
          </cell>
          <cell r="G2044">
            <v>0</v>
          </cell>
          <cell r="H2044">
            <v>1.64</v>
          </cell>
        </row>
        <row r="2045">
          <cell r="A2045" t="str">
            <v>00732052</v>
          </cell>
          <cell r="B2045" t="str">
            <v>RODO  FFJ A/PURP   2.5" BRUSH</v>
          </cell>
          <cell r="C2045" t="str">
            <v>Brush</v>
          </cell>
          <cell r="D2045">
            <v>2.04</v>
          </cell>
          <cell r="E2045">
            <v>0</v>
          </cell>
          <cell r="F2045">
            <v>0</v>
          </cell>
          <cell r="G2045">
            <v>0</v>
          </cell>
          <cell r="H2045">
            <v>2.04</v>
          </cell>
        </row>
        <row r="2046">
          <cell r="A2046" t="str">
            <v>00732053</v>
          </cell>
          <cell r="B2046" t="str">
            <v>RODO  FFJ A/PURP   3" BRUSH</v>
          </cell>
          <cell r="C2046" t="str">
            <v>Brush</v>
          </cell>
          <cell r="D2046">
            <v>2.81</v>
          </cell>
          <cell r="E2046">
            <v>0</v>
          </cell>
          <cell r="F2046">
            <v>0</v>
          </cell>
          <cell r="G2046">
            <v>0</v>
          </cell>
          <cell r="H2046">
            <v>2.81</v>
          </cell>
        </row>
        <row r="2047">
          <cell r="A2047" t="str">
            <v>00732054</v>
          </cell>
          <cell r="B2047" t="str">
            <v>RODO  FFJ A/PURP   4" BRUSH</v>
          </cell>
          <cell r="C2047" t="str">
            <v>Brush</v>
          </cell>
          <cell r="D2047">
            <v>4.0999999999999996</v>
          </cell>
          <cell r="E2047">
            <v>0</v>
          </cell>
          <cell r="F2047">
            <v>0</v>
          </cell>
          <cell r="G2047">
            <v>0</v>
          </cell>
          <cell r="H2047">
            <v>4.0999999999999996</v>
          </cell>
        </row>
        <row r="2048">
          <cell r="A2048" t="str">
            <v>00732055</v>
          </cell>
          <cell r="B2048" t="str">
            <v>RODO  FFJ A/PURP   BRUSHSET   3PCE</v>
          </cell>
          <cell r="C2048" t="str">
            <v>Brush</v>
          </cell>
          <cell r="D2048">
            <v>4.0999999999999996</v>
          </cell>
          <cell r="E2048">
            <v>0</v>
          </cell>
          <cell r="F2048">
            <v>0</v>
          </cell>
          <cell r="G2048">
            <v>0</v>
          </cell>
          <cell r="H2048">
            <v>4.0999999999999996</v>
          </cell>
        </row>
        <row r="2049">
          <cell r="A2049" t="str">
            <v>00732056</v>
          </cell>
          <cell r="B2049" t="str">
            <v>RODO  FFJ A/PURP   BRUSHSET   5PCE</v>
          </cell>
          <cell r="C2049" t="str">
            <v>Brush</v>
          </cell>
          <cell r="D2049">
            <v>9.1999999999999993</v>
          </cell>
          <cell r="E2049">
            <v>0</v>
          </cell>
          <cell r="F2049">
            <v>0</v>
          </cell>
          <cell r="G2049">
            <v>0</v>
          </cell>
          <cell r="H2049">
            <v>9.1999999999999993</v>
          </cell>
        </row>
        <row r="2050">
          <cell r="A2050" t="str">
            <v>00732067</v>
          </cell>
          <cell r="B2050" t="str">
            <v>RODO  FFJ ASSORTED SANDPAPER  5SHEET</v>
          </cell>
          <cell r="C2050" t="str">
            <v>RODO</v>
          </cell>
          <cell r="D2050">
            <v>1.04</v>
          </cell>
          <cell r="E2050">
            <v>0</v>
          </cell>
          <cell r="F2050">
            <v>0</v>
          </cell>
          <cell r="G2050">
            <v>0</v>
          </cell>
          <cell r="H2050">
            <v>1.04</v>
          </cell>
        </row>
        <row r="2051">
          <cell r="A2051" t="str">
            <v>00739225</v>
          </cell>
          <cell r="B2051" t="str">
            <v>RODO  FFJ FINE MED SAND BLOCK FFJSBF</v>
          </cell>
          <cell r="C2051" t="str">
            <v>RODO</v>
          </cell>
          <cell r="D2051">
            <v>1.02</v>
          </cell>
          <cell r="E2051">
            <v>0</v>
          </cell>
          <cell r="F2051">
            <v>0</v>
          </cell>
          <cell r="G2051">
            <v>0</v>
          </cell>
          <cell r="H2051">
            <v>1.02</v>
          </cell>
        </row>
        <row r="2052">
          <cell r="A2052" t="str">
            <v>00735468</v>
          </cell>
          <cell r="B2052" t="str">
            <v>RODO  FFJ MASONRY  BLOCK BRSH FBBB004</v>
          </cell>
          <cell r="C2052" t="str">
            <v>RODO</v>
          </cell>
          <cell r="D2052">
            <v>2.72</v>
          </cell>
          <cell r="E2052">
            <v>0</v>
          </cell>
          <cell r="F2052">
            <v>0</v>
          </cell>
          <cell r="G2052">
            <v>0</v>
          </cell>
          <cell r="H2052">
            <v>2.72</v>
          </cell>
        </row>
        <row r="2053">
          <cell r="A2053" t="str">
            <v>00739226</v>
          </cell>
          <cell r="B2053" t="str">
            <v>RODO  FFJ MED CRSE SAND BLOCK FFJSBC</v>
          </cell>
          <cell r="C2053" t="str">
            <v>RODO</v>
          </cell>
          <cell r="D2053">
            <v>1.02</v>
          </cell>
          <cell r="E2053">
            <v>0</v>
          </cell>
          <cell r="F2053">
            <v>0</v>
          </cell>
          <cell r="G2053">
            <v>0</v>
          </cell>
          <cell r="H2053">
            <v>1.02</v>
          </cell>
        </row>
        <row r="2054">
          <cell r="A2054" t="str">
            <v>00732078</v>
          </cell>
          <cell r="B2054" t="str">
            <v>RODO  FFJ NO BRIST 1" BRUSH</v>
          </cell>
          <cell r="C2054" t="str">
            <v>Brush</v>
          </cell>
          <cell r="D2054">
            <v>1.02</v>
          </cell>
          <cell r="E2054">
            <v>0</v>
          </cell>
          <cell r="F2054">
            <v>0</v>
          </cell>
          <cell r="G2054">
            <v>0</v>
          </cell>
          <cell r="H2054">
            <v>1.02</v>
          </cell>
        </row>
        <row r="2055">
          <cell r="A2055" t="str">
            <v>00732079</v>
          </cell>
          <cell r="B2055" t="str">
            <v>RODO  FFJ NO BRIST 1.5"BRUSH</v>
          </cell>
          <cell r="C2055" t="str">
            <v>Brush</v>
          </cell>
          <cell r="D2055">
            <v>1.53</v>
          </cell>
          <cell r="E2055">
            <v>0</v>
          </cell>
          <cell r="F2055">
            <v>0</v>
          </cell>
          <cell r="G2055">
            <v>0</v>
          </cell>
          <cell r="H2055">
            <v>1.53</v>
          </cell>
        </row>
        <row r="2056">
          <cell r="A2056" t="str">
            <v>00732080</v>
          </cell>
          <cell r="B2056" t="str">
            <v>RODO  FFJ NO BRIST 2" BRUSH</v>
          </cell>
          <cell r="C2056" t="str">
            <v>Brush</v>
          </cell>
          <cell r="D2056">
            <v>2.04</v>
          </cell>
          <cell r="E2056">
            <v>0</v>
          </cell>
          <cell r="F2056">
            <v>0</v>
          </cell>
          <cell r="G2056">
            <v>0</v>
          </cell>
          <cell r="H2056">
            <v>2.04</v>
          </cell>
        </row>
        <row r="2057">
          <cell r="A2057" t="str">
            <v>00732081</v>
          </cell>
          <cell r="B2057" t="str">
            <v>RODO  FFJ NO BRIST 2.5" BRUSH</v>
          </cell>
          <cell r="C2057" t="str">
            <v>Brush</v>
          </cell>
          <cell r="D2057">
            <v>2.56</v>
          </cell>
          <cell r="E2057">
            <v>0</v>
          </cell>
          <cell r="F2057">
            <v>0</v>
          </cell>
          <cell r="G2057">
            <v>0</v>
          </cell>
          <cell r="H2057">
            <v>2.56</v>
          </cell>
        </row>
        <row r="2058">
          <cell r="A2058" t="str">
            <v>00732082</v>
          </cell>
          <cell r="B2058" t="str">
            <v>RODO  FFJ NO BRIST 3" BRUSH</v>
          </cell>
          <cell r="C2058" t="str">
            <v>Brush</v>
          </cell>
          <cell r="D2058">
            <v>3.07</v>
          </cell>
          <cell r="E2058">
            <v>0</v>
          </cell>
          <cell r="F2058">
            <v>0</v>
          </cell>
          <cell r="G2058">
            <v>0</v>
          </cell>
          <cell r="H2058">
            <v>3.07</v>
          </cell>
        </row>
        <row r="2059">
          <cell r="A2059" t="str">
            <v>00732083</v>
          </cell>
          <cell r="B2059" t="str">
            <v>RODO  FFJ NO BRIST 4" BRUSH</v>
          </cell>
          <cell r="C2059" t="str">
            <v>Brush</v>
          </cell>
          <cell r="D2059">
            <v>4.0999999999999996</v>
          </cell>
          <cell r="E2059">
            <v>0</v>
          </cell>
          <cell r="F2059">
            <v>0</v>
          </cell>
          <cell r="G2059">
            <v>0</v>
          </cell>
          <cell r="H2059">
            <v>4.0999999999999996</v>
          </cell>
        </row>
        <row r="2060">
          <cell r="A2060" t="str">
            <v>00735467</v>
          </cell>
          <cell r="B2060" t="str">
            <v>RODO  FFJ SHED&amp;FEN BLOCK BRSH FBBB003</v>
          </cell>
          <cell r="C2060" t="str">
            <v>RODO</v>
          </cell>
          <cell r="D2060">
            <v>2.72</v>
          </cell>
          <cell r="E2060">
            <v>0</v>
          </cell>
          <cell r="F2060">
            <v>0</v>
          </cell>
          <cell r="G2060">
            <v>0</v>
          </cell>
          <cell r="H2060">
            <v>2.72</v>
          </cell>
        </row>
        <row r="2061">
          <cell r="A2061" t="str">
            <v>00615627</v>
          </cell>
          <cell r="B2061" t="str">
            <v>RODO  FIBREGLASS 6 TREAD STEP LADDER</v>
          </cell>
          <cell r="C2061" t="str">
            <v>RODO</v>
          </cell>
          <cell r="D2061">
            <v>110.16</v>
          </cell>
          <cell r="E2061">
            <v>0</v>
          </cell>
          <cell r="F2061">
            <v>0</v>
          </cell>
          <cell r="G2061">
            <v>0</v>
          </cell>
          <cell r="H2061">
            <v>110.16</v>
          </cell>
        </row>
        <row r="2062">
          <cell r="A2062" t="str">
            <v>00718754</v>
          </cell>
          <cell r="B2062" t="str">
            <v>RODO  FILLING KNF  4" PACK(6) (FFJFK4)*N</v>
          </cell>
          <cell r="C2062" t="str">
            <v>RODO</v>
          </cell>
          <cell r="D2062">
            <v>49.82</v>
          </cell>
          <cell r="E2062">
            <v>0</v>
          </cell>
          <cell r="F2062">
            <v>0</v>
          </cell>
          <cell r="G2062">
            <v>0</v>
          </cell>
          <cell r="H2062">
            <v>49.82</v>
          </cell>
        </row>
        <row r="2063">
          <cell r="A2063" t="str">
            <v>00727254</v>
          </cell>
          <cell r="B2063" t="str">
            <v>RODO  FLR PAINT SL 12"        ARRE011</v>
          </cell>
          <cell r="C2063" t="str">
            <v>RODO</v>
          </cell>
          <cell r="D2063">
            <v>7.14</v>
          </cell>
          <cell r="E2063">
            <v>0</v>
          </cell>
          <cell r="F2063">
            <v>0</v>
          </cell>
          <cell r="G2063">
            <v>0</v>
          </cell>
          <cell r="H2063">
            <v>7.14</v>
          </cell>
        </row>
        <row r="2064">
          <cell r="A2064" t="str">
            <v>00852381</v>
          </cell>
          <cell r="B2064" t="str">
            <v>RODO  FOAM BRUSH   SET 1"2"3" FBS3P</v>
          </cell>
          <cell r="C2064" t="str">
            <v>Brush</v>
          </cell>
          <cell r="D2064">
            <v>5.99</v>
          </cell>
          <cell r="E2064">
            <v>0</v>
          </cell>
          <cell r="F2064">
            <v>0</v>
          </cell>
          <cell r="G2064">
            <v>0</v>
          </cell>
          <cell r="H2064">
            <v>5.99</v>
          </cell>
        </row>
        <row r="2065">
          <cell r="A2065" t="str">
            <v>00727234</v>
          </cell>
          <cell r="B2065" t="str">
            <v>RODO  FOAM GLS SLV 9"         PRRE012</v>
          </cell>
          <cell r="C2065" t="str">
            <v>RODO</v>
          </cell>
          <cell r="D2065">
            <v>3.53</v>
          </cell>
          <cell r="E2065">
            <v>0</v>
          </cell>
          <cell r="F2065">
            <v>0</v>
          </cell>
          <cell r="G2065">
            <v>0</v>
          </cell>
          <cell r="H2065">
            <v>3.53</v>
          </cell>
        </row>
        <row r="2066">
          <cell r="A2066" t="str">
            <v>00722407</v>
          </cell>
          <cell r="B2066" t="str">
            <v>RODO  GARMENT      GP1A25     0000001100</v>
          </cell>
          <cell r="C2066" t="str">
            <v>RODO</v>
          </cell>
          <cell r="D2066">
            <v>4.3</v>
          </cell>
          <cell r="E2066">
            <v>0</v>
          </cell>
          <cell r="F2066">
            <v>0</v>
          </cell>
          <cell r="G2066">
            <v>0</v>
          </cell>
          <cell r="H2066">
            <v>4.3</v>
          </cell>
        </row>
        <row r="2067">
          <cell r="A2067" t="str">
            <v>00732177</v>
          </cell>
          <cell r="B2067" t="str">
            <v>RODO  GLOSS PILE   9"X1.75"   PRRE002</v>
          </cell>
          <cell r="C2067" t="str">
            <v>RODO</v>
          </cell>
          <cell r="D2067">
            <v>8.56</v>
          </cell>
          <cell r="E2067">
            <v>0</v>
          </cell>
          <cell r="F2067">
            <v>0</v>
          </cell>
          <cell r="G2067">
            <v>0</v>
          </cell>
          <cell r="H2067">
            <v>8.56</v>
          </cell>
        </row>
        <row r="2068">
          <cell r="A2068" t="str">
            <v>00727235</v>
          </cell>
          <cell r="B2068" t="str">
            <v>RODO  GLS PILE SLV 9" X 6     PRRE013</v>
          </cell>
          <cell r="C2068" t="str">
            <v>RODO</v>
          </cell>
          <cell r="D2068">
            <v>3.74</v>
          </cell>
          <cell r="E2068">
            <v>0</v>
          </cell>
          <cell r="F2068">
            <v>0</v>
          </cell>
          <cell r="G2068">
            <v>0</v>
          </cell>
          <cell r="H2068">
            <v>3.74</v>
          </cell>
        </row>
        <row r="2069">
          <cell r="A2069" t="str">
            <v>00727245</v>
          </cell>
          <cell r="B2069" t="str">
            <v>RODO  H/D POLY SLV 9"         ARRE009</v>
          </cell>
          <cell r="C2069" t="str">
            <v>RODO</v>
          </cell>
          <cell r="D2069">
            <v>6.61</v>
          </cell>
          <cell r="E2069">
            <v>0</v>
          </cell>
          <cell r="F2069">
            <v>0</v>
          </cell>
          <cell r="G2069">
            <v>0</v>
          </cell>
          <cell r="H2069">
            <v>6.61</v>
          </cell>
        </row>
        <row r="2070">
          <cell r="A2070" t="str">
            <v>00727251</v>
          </cell>
          <cell r="B2070" t="str">
            <v>RODO  H/D WOVEN SL 12"        PRRE028</v>
          </cell>
          <cell r="C2070" t="str">
            <v>RODO</v>
          </cell>
          <cell r="D2070">
            <v>8.59</v>
          </cell>
          <cell r="E2070">
            <v>0</v>
          </cell>
          <cell r="F2070">
            <v>0</v>
          </cell>
          <cell r="G2070">
            <v>0</v>
          </cell>
          <cell r="H2070">
            <v>8.59</v>
          </cell>
        </row>
        <row r="2071">
          <cell r="A2071" t="str">
            <v>00615708</v>
          </cell>
          <cell r="B2071" t="str">
            <v>RODO  HELMET PRINT 100 PLUS</v>
          </cell>
          <cell r="C2071" t="str">
            <v>RODO</v>
          </cell>
          <cell r="D2071">
            <v>2.31</v>
          </cell>
          <cell r="E2071">
            <v>0</v>
          </cell>
          <cell r="F2071">
            <v>0</v>
          </cell>
          <cell r="G2071">
            <v>0</v>
          </cell>
          <cell r="H2071">
            <v>2.31</v>
          </cell>
        </row>
        <row r="2072">
          <cell r="A2072" t="str">
            <v>00631406</v>
          </cell>
          <cell r="B2072" t="str">
            <v>RODO  HI VIS VEST BACK LOGO ID POCKET</v>
          </cell>
          <cell r="C2072" t="str">
            <v>RODO</v>
          </cell>
          <cell r="D2072">
            <v>8.7100000000000009</v>
          </cell>
          <cell r="E2072">
            <v>0</v>
          </cell>
          <cell r="F2072">
            <v>0</v>
          </cell>
          <cell r="G2072">
            <v>0</v>
          </cell>
          <cell r="H2072">
            <v>8.7100000000000009</v>
          </cell>
        </row>
        <row r="2073">
          <cell r="A2073" t="str">
            <v>00647334</v>
          </cell>
          <cell r="B2073" t="str">
            <v>RODO  ICE 9"X1.75" FUSION SLV ARRE031</v>
          </cell>
          <cell r="C2073" t="str">
            <v>RODO</v>
          </cell>
          <cell r="D2073">
            <v>7.02</v>
          </cell>
          <cell r="E2073">
            <v>0</v>
          </cell>
          <cell r="F2073">
            <v>0</v>
          </cell>
          <cell r="G2073">
            <v>0</v>
          </cell>
          <cell r="H2073">
            <v>7.02</v>
          </cell>
        </row>
        <row r="2074">
          <cell r="A2074" t="str">
            <v>00735162</v>
          </cell>
          <cell r="B2074" t="str">
            <v>RODO  L/HAND TITAN HD SCRAPER</v>
          </cell>
          <cell r="C2074" t="str">
            <v>RODO</v>
          </cell>
          <cell r="D2074">
            <v>16.86</v>
          </cell>
          <cell r="E2074">
            <v>0</v>
          </cell>
          <cell r="F2074">
            <v>0</v>
          </cell>
          <cell r="G2074">
            <v>0</v>
          </cell>
          <cell r="H2074">
            <v>16.86</v>
          </cell>
        </row>
        <row r="2075">
          <cell r="A2075" t="str">
            <v>00727244</v>
          </cell>
          <cell r="B2075" t="str">
            <v>RODO  L/P POLY SLV 9"         ARRE008</v>
          </cell>
          <cell r="C2075" t="str">
            <v>RODO</v>
          </cell>
          <cell r="D2075">
            <v>6.4</v>
          </cell>
          <cell r="E2075">
            <v>0</v>
          </cell>
          <cell r="F2075">
            <v>0</v>
          </cell>
          <cell r="G2075">
            <v>0</v>
          </cell>
          <cell r="H2075">
            <v>6.4</v>
          </cell>
        </row>
        <row r="2076">
          <cell r="A2076" t="str">
            <v>00727238</v>
          </cell>
          <cell r="B2076" t="str">
            <v>RODO  L/P POLY SLV 9"         PRRE019</v>
          </cell>
          <cell r="C2076" t="str">
            <v>RODO</v>
          </cell>
          <cell r="D2076">
            <v>4.37</v>
          </cell>
          <cell r="E2076">
            <v>0</v>
          </cell>
          <cell r="F2076">
            <v>0</v>
          </cell>
          <cell r="G2076">
            <v>0</v>
          </cell>
          <cell r="H2076">
            <v>4.37</v>
          </cell>
        </row>
        <row r="2077">
          <cell r="A2077" t="str">
            <v>00727246</v>
          </cell>
          <cell r="B2077" t="str">
            <v>RODO  L/P S/SKIN   9"         SLV PRRE02</v>
          </cell>
          <cell r="C2077" t="str">
            <v>RODO</v>
          </cell>
          <cell r="D2077">
            <v>10.99</v>
          </cell>
          <cell r="E2077">
            <v>0</v>
          </cell>
          <cell r="F2077">
            <v>0</v>
          </cell>
          <cell r="G2077">
            <v>0</v>
          </cell>
          <cell r="H2077">
            <v>10.99</v>
          </cell>
        </row>
        <row r="2078">
          <cell r="A2078" t="str">
            <v>00727241</v>
          </cell>
          <cell r="B2078" t="str">
            <v>RODO  L/P WOVEN SL 9"         PREE015</v>
          </cell>
          <cell r="C2078" t="str">
            <v>RODO</v>
          </cell>
          <cell r="D2078">
            <v>5.72</v>
          </cell>
          <cell r="E2078">
            <v>0</v>
          </cell>
          <cell r="F2078">
            <v>0</v>
          </cell>
          <cell r="G2078">
            <v>0</v>
          </cell>
          <cell r="H2078">
            <v>5.72</v>
          </cell>
        </row>
        <row r="2079">
          <cell r="A2079" t="str">
            <v>00718898</v>
          </cell>
          <cell r="B2079" t="str">
            <v>RODO  LOW TACK     25MM - 1"  MASKING TA</v>
          </cell>
          <cell r="C2079" t="str">
            <v>RODO</v>
          </cell>
          <cell r="D2079">
            <v>2.34</v>
          </cell>
          <cell r="E2079">
            <v>0</v>
          </cell>
          <cell r="F2079">
            <v>0</v>
          </cell>
          <cell r="G2079">
            <v>0</v>
          </cell>
          <cell r="H2079">
            <v>2.34</v>
          </cell>
        </row>
        <row r="2080">
          <cell r="A2080" t="str">
            <v>00718899</v>
          </cell>
          <cell r="B2080" t="str">
            <v>RODO  LOW TACK     38MM-1.5"  MASKING TA</v>
          </cell>
          <cell r="C2080" t="str">
            <v>RODO</v>
          </cell>
          <cell r="D2080">
            <v>4.88</v>
          </cell>
          <cell r="E2080">
            <v>0</v>
          </cell>
          <cell r="F2080">
            <v>0</v>
          </cell>
          <cell r="G2080">
            <v>0</v>
          </cell>
          <cell r="H2080">
            <v>4.88</v>
          </cell>
        </row>
        <row r="2081">
          <cell r="A2081" t="str">
            <v>00727253</v>
          </cell>
          <cell r="B2081" t="str">
            <v>RODO  M/P MICRO SL 12"        ARRE010</v>
          </cell>
          <cell r="C2081" t="str">
            <v>RODO</v>
          </cell>
          <cell r="D2081">
            <v>9.4600000000000009</v>
          </cell>
          <cell r="E2081">
            <v>0</v>
          </cell>
          <cell r="F2081">
            <v>0</v>
          </cell>
          <cell r="G2081">
            <v>0</v>
          </cell>
          <cell r="H2081">
            <v>9.4600000000000009</v>
          </cell>
        </row>
        <row r="2082">
          <cell r="A2082" t="str">
            <v>00727243</v>
          </cell>
          <cell r="B2082" t="str">
            <v>RODO  M/P MICRO SL 9"         ARRE07</v>
          </cell>
          <cell r="C2082" t="str">
            <v>RODO</v>
          </cell>
          <cell r="D2082">
            <v>6.15</v>
          </cell>
          <cell r="E2082">
            <v>0</v>
          </cell>
          <cell r="F2082">
            <v>0</v>
          </cell>
          <cell r="G2082">
            <v>0</v>
          </cell>
          <cell r="H2082">
            <v>6.15</v>
          </cell>
        </row>
        <row r="2083">
          <cell r="A2083" t="str">
            <v>00727237</v>
          </cell>
          <cell r="B2083" t="str">
            <v>RODO  M/P POLY SLV 9"         PRRE018</v>
          </cell>
          <cell r="C2083" t="str">
            <v>RODO</v>
          </cell>
          <cell r="D2083">
            <v>4.1500000000000004</v>
          </cell>
          <cell r="E2083">
            <v>0</v>
          </cell>
          <cell r="F2083">
            <v>0</v>
          </cell>
          <cell r="G2083">
            <v>0</v>
          </cell>
          <cell r="H2083">
            <v>4.1500000000000004</v>
          </cell>
        </row>
        <row r="2084">
          <cell r="A2084" t="str">
            <v>00718706</v>
          </cell>
          <cell r="B2084" t="str">
            <v>RODO  MASKING 12MP PAPER 12"  PRICE CHAN</v>
          </cell>
          <cell r="C2084" t="str">
            <v>RODO</v>
          </cell>
          <cell r="D2084">
            <v>5.73</v>
          </cell>
          <cell r="E2084">
            <v>0</v>
          </cell>
          <cell r="F2084">
            <v>0</v>
          </cell>
          <cell r="G2084">
            <v>0</v>
          </cell>
          <cell r="H2084">
            <v>5.73</v>
          </cell>
        </row>
        <row r="2085">
          <cell r="A2085" t="str">
            <v>00732061</v>
          </cell>
          <cell r="B2085" t="str">
            <v>RODO  MASONRY      4" BRUSH   PR4GY</v>
          </cell>
          <cell r="C2085" t="str">
            <v>Brush</v>
          </cell>
          <cell r="D2085">
            <v>4.3899999999999997</v>
          </cell>
          <cell r="E2085">
            <v>0</v>
          </cell>
          <cell r="F2085">
            <v>0</v>
          </cell>
          <cell r="G2085">
            <v>0</v>
          </cell>
          <cell r="H2085">
            <v>4.3899999999999997</v>
          </cell>
        </row>
        <row r="2086">
          <cell r="A2086" t="str">
            <v>00727167</v>
          </cell>
          <cell r="B2086" t="str">
            <v>RODO  MASONRY KIT  PRKT004</v>
          </cell>
          <cell r="C2086" t="str">
            <v>RODO</v>
          </cell>
          <cell r="D2086">
            <v>21.1</v>
          </cell>
          <cell r="E2086">
            <v>0</v>
          </cell>
          <cell r="F2086">
            <v>0</v>
          </cell>
          <cell r="G2086">
            <v>0</v>
          </cell>
          <cell r="H2086">
            <v>21.1</v>
          </cell>
        </row>
        <row r="2087">
          <cell r="A2087" t="str">
            <v>00739034</v>
          </cell>
          <cell r="B2087" t="str">
            <v>RODO  MINI ROLLER  KIT 4 INCH 10PK</v>
          </cell>
          <cell r="C2087" t="str">
            <v>RODO</v>
          </cell>
          <cell r="D2087">
            <v>5.66</v>
          </cell>
          <cell r="E2087">
            <v>0</v>
          </cell>
          <cell r="F2087">
            <v>0</v>
          </cell>
          <cell r="G2087">
            <v>0</v>
          </cell>
          <cell r="H2087">
            <v>5.66</v>
          </cell>
        </row>
        <row r="2088">
          <cell r="A2088" t="str">
            <v>00732063</v>
          </cell>
          <cell r="B2088" t="str">
            <v>RODO  MINI ROLLER  TRAY MRT</v>
          </cell>
          <cell r="C2088" t="str">
            <v>RODO</v>
          </cell>
          <cell r="D2088">
            <v>1.1100000000000001</v>
          </cell>
          <cell r="E2088">
            <v>0</v>
          </cell>
          <cell r="F2088">
            <v>0</v>
          </cell>
          <cell r="G2088">
            <v>0</v>
          </cell>
          <cell r="H2088">
            <v>1.1100000000000001</v>
          </cell>
        </row>
        <row r="2089">
          <cell r="A2089" t="str">
            <v>00852379</v>
          </cell>
          <cell r="B2089" t="str">
            <v>RODO  PAINT PAD 6" X4" CLICK  FFJCSPP</v>
          </cell>
          <cell r="C2089" t="str">
            <v>RODO</v>
          </cell>
          <cell r="D2089">
            <v>7.49</v>
          </cell>
          <cell r="E2089">
            <v>0</v>
          </cell>
          <cell r="F2089">
            <v>0</v>
          </cell>
          <cell r="G2089">
            <v>0</v>
          </cell>
          <cell r="H2089">
            <v>7.49</v>
          </cell>
        </row>
        <row r="2090">
          <cell r="A2090" t="str">
            <v>00722480</v>
          </cell>
          <cell r="B2090" t="str">
            <v>RODO  PAPERHANGING 7" BRUSH   FFJ7RP</v>
          </cell>
          <cell r="C2090" t="str">
            <v>Brush</v>
          </cell>
          <cell r="D2090">
            <v>3.81</v>
          </cell>
          <cell r="E2090">
            <v>0</v>
          </cell>
          <cell r="F2090">
            <v>0</v>
          </cell>
          <cell r="G2090">
            <v>0</v>
          </cell>
          <cell r="H2090">
            <v>3.81</v>
          </cell>
        </row>
        <row r="2091">
          <cell r="A2091" t="str">
            <v>00727133</v>
          </cell>
          <cell r="B2091" t="str">
            <v>RODO  PICTURE HANGING KIT (8)</v>
          </cell>
          <cell r="C2091" t="str">
            <v>RODO</v>
          </cell>
          <cell r="D2091">
            <v>34.93</v>
          </cell>
          <cell r="E2091">
            <v>0</v>
          </cell>
          <cell r="F2091">
            <v>0</v>
          </cell>
          <cell r="G2091">
            <v>0</v>
          </cell>
          <cell r="H2091">
            <v>34.93</v>
          </cell>
        </row>
        <row r="2092">
          <cell r="A2092" t="str">
            <v>00718838</v>
          </cell>
          <cell r="B2092" t="str">
            <v>RODO  PLASTIC 15"  TRAY       RT15PB (IR</v>
          </cell>
          <cell r="C2092" t="str">
            <v>RODO</v>
          </cell>
          <cell r="D2092">
            <v>7.25</v>
          </cell>
          <cell r="E2092">
            <v>0</v>
          </cell>
          <cell r="F2092">
            <v>0</v>
          </cell>
          <cell r="G2092">
            <v>0</v>
          </cell>
          <cell r="H2092">
            <v>7.25</v>
          </cell>
        </row>
        <row r="2093">
          <cell r="A2093" t="str">
            <v>00718760</v>
          </cell>
          <cell r="B2093" t="str">
            <v>RODO  POLE SANDER  HANDLE     (SPH)</v>
          </cell>
          <cell r="C2093" t="str">
            <v>RODO</v>
          </cell>
          <cell r="D2093">
            <v>7.06</v>
          </cell>
          <cell r="E2093">
            <v>0</v>
          </cell>
          <cell r="F2093">
            <v>0</v>
          </cell>
          <cell r="G2093">
            <v>0</v>
          </cell>
          <cell r="H2093">
            <v>7.06</v>
          </cell>
        </row>
        <row r="2094">
          <cell r="A2094" t="str">
            <v>00718957</v>
          </cell>
          <cell r="B2094" t="str">
            <v>RODO  POLY D/SHEET 12X9       (FFJ129P)N</v>
          </cell>
          <cell r="C2094" t="str">
            <v>RODO</v>
          </cell>
          <cell r="D2094">
            <v>1</v>
          </cell>
          <cell r="E2094">
            <v>0</v>
          </cell>
          <cell r="F2094">
            <v>0</v>
          </cell>
          <cell r="G2094">
            <v>0</v>
          </cell>
          <cell r="H2094">
            <v>1</v>
          </cell>
        </row>
        <row r="2095">
          <cell r="A2095" t="str">
            <v>00649833</v>
          </cell>
          <cell r="B2095" t="str">
            <v>RODO  POUCH MATE   PRO AD SML AWPMS</v>
          </cell>
          <cell r="C2095" t="str">
            <v>RODO</v>
          </cell>
          <cell r="D2095">
            <v>6.62</v>
          </cell>
          <cell r="E2095">
            <v>0</v>
          </cell>
          <cell r="F2095">
            <v>0</v>
          </cell>
          <cell r="G2095">
            <v>0</v>
          </cell>
          <cell r="H2095">
            <v>6.62</v>
          </cell>
        </row>
        <row r="2096">
          <cell r="A2096" t="str">
            <v>00639948</v>
          </cell>
          <cell r="B2096" t="str">
            <v>RODO  PRECISION    1" LOW TAC ATMT006</v>
          </cell>
          <cell r="C2096" t="str">
            <v>RODO</v>
          </cell>
          <cell r="D2096">
            <v>3.99</v>
          </cell>
          <cell r="E2096">
            <v>0</v>
          </cell>
          <cell r="F2096">
            <v>0</v>
          </cell>
          <cell r="G2096">
            <v>0</v>
          </cell>
          <cell r="H2096">
            <v>3.99</v>
          </cell>
        </row>
        <row r="2097">
          <cell r="A2097" t="str">
            <v>00639949</v>
          </cell>
          <cell r="B2097" t="str">
            <v>RODO  PRECISION    1.5" LOW T ATMT007</v>
          </cell>
          <cell r="C2097" t="str">
            <v>RODO</v>
          </cell>
          <cell r="D2097">
            <v>6.04</v>
          </cell>
          <cell r="E2097">
            <v>0</v>
          </cell>
          <cell r="F2097">
            <v>0</v>
          </cell>
          <cell r="G2097">
            <v>0</v>
          </cell>
          <cell r="H2097">
            <v>6.04</v>
          </cell>
        </row>
        <row r="2098">
          <cell r="A2098" t="str">
            <v>00639950</v>
          </cell>
          <cell r="B2098" t="str">
            <v>RODO  PRECISION    2" LOW TAC ATMT008</v>
          </cell>
          <cell r="C2098" t="str">
            <v>RODO</v>
          </cell>
          <cell r="D2098">
            <v>7.83</v>
          </cell>
          <cell r="E2098">
            <v>0</v>
          </cell>
          <cell r="F2098">
            <v>0</v>
          </cell>
          <cell r="G2098">
            <v>0</v>
          </cell>
          <cell r="H2098">
            <v>7.83</v>
          </cell>
        </row>
        <row r="2099">
          <cell r="A2099" t="str">
            <v>00649822</v>
          </cell>
          <cell r="B2099" t="str">
            <v>RODO  PRO ADV 32"  TROUSERS   AWTR32R</v>
          </cell>
          <cell r="C2099" t="str">
            <v>Trousers</v>
          </cell>
          <cell r="D2099">
            <v>49.57</v>
          </cell>
          <cell r="E2099">
            <v>0</v>
          </cell>
          <cell r="F2099">
            <v>0</v>
          </cell>
          <cell r="G2099">
            <v>0</v>
          </cell>
          <cell r="H2099">
            <v>49.57</v>
          </cell>
        </row>
        <row r="2100">
          <cell r="A2100" t="str">
            <v>00649824</v>
          </cell>
          <cell r="B2100" t="str">
            <v>RODO  PRO ADV 36"  TROUSERS   AWTR36R</v>
          </cell>
          <cell r="C2100" t="str">
            <v>Trousers</v>
          </cell>
          <cell r="D2100">
            <v>49.57</v>
          </cell>
          <cell r="E2100">
            <v>0</v>
          </cell>
          <cell r="F2100">
            <v>0</v>
          </cell>
          <cell r="G2100">
            <v>0</v>
          </cell>
          <cell r="H2100">
            <v>49.57</v>
          </cell>
        </row>
        <row r="2101">
          <cell r="A2101" t="str">
            <v>00649825</v>
          </cell>
          <cell r="B2101" t="str">
            <v>RODO  PRO ADV 38"  TROUSERS   AWTR38R</v>
          </cell>
          <cell r="C2101" t="str">
            <v>Trousers</v>
          </cell>
          <cell r="D2101">
            <v>49.57</v>
          </cell>
          <cell r="E2101">
            <v>0</v>
          </cell>
          <cell r="F2101">
            <v>0</v>
          </cell>
          <cell r="G2101">
            <v>0</v>
          </cell>
          <cell r="H2101">
            <v>49.57</v>
          </cell>
        </row>
        <row r="2102">
          <cell r="A2102" t="str">
            <v>00639942</v>
          </cell>
          <cell r="B2102" t="str">
            <v>RODO  PRODEC DECOR 4" BRUSH   PBPT037</v>
          </cell>
          <cell r="C2102" t="str">
            <v>Brush</v>
          </cell>
          <cell r="D2102">
            <v>6.56</v>
          </cell>
          <cell r="E2102">
            <v>0</v>
          </cell>
          <cell r="F2102">
            <v>0</v>
          </cell>
          <cell r="G2102">
            <v>0</v>
          </cell>
          <cell r="H2102">
            <v>6.56</v>
          </cell>
        </row>
        <row r="2103">
          <cell r="A2103" t="str">
            <v>00639694</v>
          </cell>
          <cell r="B2103" t="str">
            <v>RODO  PRODEC DECOR BRUSH 2.5" PBPT035</v>
          </cell>
          <cell r="C2103" t="str">
            <v>Brush</v>
          </cell>
          <cell r="D2103">
            <v>5.23</v>
          </cell>
          <cell r="E2103">
            <v>0</v>
          </cell>
          <cell r="F2103">
            <v>0</v>
          </cell>
          <cell r="G2103">
            <v>0</v>
          </cell>
          <cell r="H2103">
            <v>5.23</v>
          </cell>
        </row>
        <row r="2104">
          <cell r="A2104" t="str">
            <v>00718699</v>
          </cell>
          <cell r="B2104" t="str">
            <v>RODO  PRODEC MASON SLEEVE 10" (518700)</v>
          </cell>
          <cell r="C2104" t="str">
            <v>RODO</v>
          </cell>
          <cell r="D2104">
            <v>16.87</v>
          </cell>
          <cell r="E2104">
            <v>0</v>
          </cell>
          <cell r="F2104">
            <v>0</v>
          </cell>
          <cell r="G2104">
            <v>0</v>
          </cell>
          <cell r="H2104">
            <v>16.87</v>
          </cell>
        </row>
        <row r="2105">
          <cell r="A2105" t="str">
            <v>00608362</v>
          </cell>
          <cell r="B2105" t="str">
            <v>RODO  PRODEC MIXED FITCH SET  PBRC001</v>
          </cell>
          <cell r="C2105" t="str">
            <v>RODO</v>
          </cell>
          <cell r="D2105">
            <v>4.3</v>
          </cell>
          <cell r="E2105">
            <v>0</v>
          </cell>
          <cell r="F2105">
            <v>0</v>
          </cell>
          <cell r="G2105">
            <v>0</v>
          </cell>
          <cell r="H2105">
            <v>4.3</v>
          </cell>
        </row>
        <row r="2106">
          <cell r="A2106" t="str">
            <v>00639931</v>
          </cell>
          <cell r="B2106" t="str">
            <v>RODO  PRODEC PREM  1" BRUSH   PBPT042</v>
          </cell>
          <cell r="C2106" t="str">
            <v>Brush</v>
          </cell>
          <cell r="D2106">
            <v>1.54</v>
          </cell>
          <cell r="E2106">
            <v>0</v>
          </cell>
          <cell r="F2106">
            <v>0</v>
          </cell>
          <cell r="G2106">
            <v>0</v>
          </cell>
          <cell r="H2106">
            <v>1.54</v>
          </cell>
        </row>
        <row r="2107">
          <cell r="A2107" t="str">
            <v>00639941</v>
          </cell>
          <cell r="B2107" t="str">
            <v>RODO  PRODEC PREM  2" CUT IN  PBPT053</v>
          </cell>
          <cell r="C2107" t="str">
            <v>RODO</v>
          </cell>
          <cell r="D2107">
            <v>4.7</v>
          </cell>
          <cell r="E2107">
            <v>0</v>
          </cell>
          <cell r="F2107">
            <v>0</v>
          </cell>
          <cell r="G2107">
            <v>0</v>
          </cell>
          <cell r="H2107">
            <v>4.7</v>
          </cell>
        </row>
        <row r="2108">
          <cell r="A2108" t="str">
            <v>00718839</v>
          </cell>
          <cell r="B2108" t="str">
            <v>RODO  PRODEC PUSH  FRAME 10"  (SS714)</v>
          </cell>
          <cell r="C2108" t="str">
            <v>RODO</v>
          </cell>
          <cell r="D2108">
            <v>3.67</v>
          </cell>
          <cell r="E2108">
            <v>0</v>
          </cell>
          <cell r="F2108">
            <v>0</v>
          </cell>
          <cell r="G2108">
            <v>0</v>
          </cell>
          <cell r="H2108">
            <v>3.67</v>
          </cell>
        </row>
        <row r="2109">
          <cell r="A2109" t="str">
            <v>00718932</v>
          </cell>
          <cell r="B2109" t="str">
            <v>RODO  PROFLEX      PAPFV60    60 GRIT 5M</v>
          </cell>
          <cell r="C2109" t="str">
            <v>RODO</v>
          </cell>
          <cell r="D2109">
            <v>14.83</v>
          </cell>
          <cell r="E2109">
            <v>0</v>
          </cell>
          <cell r="F2109">
            <v>0</v>
          </cell>
          <cell r="G2109">
            <v>0</v>
          </cell>
          <cell r="H2109">
            <v>14.83</v>
          </cell>
        </row>
        <row r="2110">
          <cell r="A2110" t="str">
            <v>00718933</v>
          </cell>
          <cell r="B2110" t="str">
            <v>RODO  PROFLEX SANDING PAPER 80GRIT MED</v>
          </cell>
          <cell r="C2110" t="str">
            <v>RODO</v>
          </cell>
          <cell r="D2110">
            <v>13.9</v>
          </cell>
          <cell r="E2110">
            <v>0</v>
          </cell>
          <cell r="F2110">
            <v>0</v>
          </cell>
          <cell r="G2110">
            <v>0</v>
          </cell>
          <cell r="H2110">
            <v>13.9</v>
          </cell>
        </row>
        <row r="2111">
          <cell r="A2111" t="str">
            <v>00727257</v>
          </cell>
          <cell r="B2111" t="str">
            <v>RODO  S/FIT COM FR 9"         PRF009</v>
          </cell>
          <cell r="C2111" t="str">
            <v>RODO</v>
          </cell>
          <cell r="D2111">
            <v>4.3</v>
          </cell>
          <cell r="E2111">
            <v>0</v>
          </cell>
          <cell r="F2111">
            <v>0</v>
          </cell>
          <cell r="G2111">
            <v>0</v>
          </cell>
          <cell r="H2111">
            <v>4.3</v>
          </cell>
        </row>
        <row r="2112">
          <cell r="A2112" t="str">
            <v>00727255</v>
          </cell>
          <cell r="B2112" t="str">
            <v>RODO  S/FIT PLS FM 9"         PRF002</v>
          </cell>
          <cell r="C2112" t="str">
            <v>RODO</v>
          </cell>
          <cell r="D2112">
            <v>3.58</v>
          </cell>
          <cell r="E2112">
            <v>0</v>
          </cell>
          <cell r="F2112">
            <v>0</v>
          </cell>
          <cell r="G2112">
            <v>0</v>
          </cell>
          <cell r="H2112">
            <v>3.58</v>
          </cell>
        </row>
        <row r="2113">
          <cell r="A2113" t="str">
            <v>00727256</v>
          </cell>
          <cell r="B2113" t="str">
            <v>RODO  S/FIT WD FRM 9"         PRF003</v>
          </cell>
          <cell r="C2113" t="str">
            <v>RODO</v>
          </cell>
          <cell r="D2113">
            <v>4.63</v>
          </cell>
          <cell r="E2113">
            <v>0</v>
          </cell>
          <cell r="F2113">
            <v>0</v>
          </cell>
          <cell r="G2113">
            <v>0</v>
          </cell>
          <cell r="H2113">
            <v>4.63</v>
          </cell>
        </row>
        <row r="2114">
          <cell r="A2114" t="str">
            <v>00727242</v>
          </cell>
          <cell r="B2114" t="str">
            <v>RODO  S/P MICRO SL 9"         ARRE006</v>
          </cell>
          <cell r="C2114" t="str">
            <v>RODO</v>
          </cell>
          <cell r="D2114">
            <v>5.92</v>
          </cell>
          <cell r="E2114">
            <v>0</v>
          </cell>
          <cell r="F2114">
            <v>0</v>
          </cell>
          <cell r="G2114">
            <v>0</v>
          </cell>
          <cell r="H2114">
            <v>5.92</v>
          </cell>
        </row>
        <row r="2115">
          <cell r="A2115" t="str">
            <v>00727236</v>
          </cell>
          <cell r="B2115" t="str">
            <v>RODO  S/P POLY SLV 9"         PRRE017</v>
          </cell>
          <cell r="C2115" t="str">
            <v>RODO</v>
          </cell>
          <cell r="D2115">
            <v>1.53</v>
          </cell>
          <cell r="E2115">
            <v>0</v>
          </cell>
          <cell r="F2115">
            <v>0</v>
          </cell>
          <cell r="G2115">
            <v>0</v>
          </cell>
          <cell r="H2115">
            <v>1.53</v>
          </cell>
        </row>
        <row r="2116">
          <cell r="A2116" t="str">
            <v>00718808</v>
          </cell>
          <cell r="B2116" t="str">
            <v>RODO  SHED/FENCE   BRUSH4"(6) FFJSFB</v>
          </cell>
          <cell r="C2116" t="str">
            <v>Brush</v>
          </cell>
          <cell r="D2116">
            <v>13.81</v>
          </cell>
          <cell r="E2116">
            <v>0</v>
          </cell>
          <cell r="F2116">
            <v>0</v>
          </cell>
          <cell r="G2116">
            <v>0</v>
          </cell>
          <cell r="H2116">
            <v>13.81</v>
          </cell>
        </row>
        <row r="2117">
          <cell r="A2117" t="str">
            <v>00732180</v>
          </cell>
          <cell r="B2117" t="str">
            <v>RODO  SHORT PILE   9"X1.75"   PRRE006</v>
          </cell>
          <cell r="C2117" t="str">
            <v>RODO</v>
          </cell>
          <cell r="D2117">
            <v>6.11</v>
          </cell>
          <cell r="E2117">
            <v>0</v>
          </cell>
          <cell r="F2117">
            <v>0</v>
          </cell>
          <cell r="G2117">
            <v>0</v>
          </cell>
          <cell r="H2117">
            <v>6.11</v>
          </cell>
        </row>
        <row r="2118">
          <cell r="A2118" t="str">
            <v>00727248</v>
          </cell>
          <cell r="B2118" t="str">
            <v>RODO  STICK LP SLV 10"        PRRE025</v>
          </cell>
          <cell r="C2118" t="str">
            <v>RODO</v>
          </cell>
          <cell r="D2118">
            <v>28.71</v>
          </cell>
          <cell r="E2118">
            <v>0</v>
          </cell>
          <cell r="F2118">
            <v>0</v>
          </cell>
          <cell r="G2118">
            <v>0</v>
          </cell>
          <cell r="H2118">
            <v>28.71</v>
          </cell>
        </row>
        <row r="2119">
          <cell r="A2119" t="str">
            <v>00727247</v>
          </cell>
          <cell r="B2119" t="str">
            <v>RODO  STICK MP SLV 10"        PRRE024</v>
          </cell>
          <cell r="C2119" t="str">
            <v>RODO</v>
          </cell>
          <cell r="D2119">
            <v>13.51</v>
          </cell>
          <cell r="E2119">
            <v>0</v>
          </cell>
          <cell r="F2119">
            <v>0</v>
          </cell>
          <cell r="G2119">
            <v>0</v>
          </cell>
          <cell r="H2119">
            <v>13.51</v>
          </cell>
        </row>
        <row r="2120">
          <cell r="A2120" t="str">
            <v>00727250</v>
          </cell>
          <cell r="B2120" t="str">
            <v>RODO  TIG MP WOV   12"        SLV PRRE02</v>
          </cell>
          <cell r="C2120" t="str">
            <v>RODO</v>
          </cell>
          <cell r="D2120">
            <v>8.3699999999999992</v>
          </cell>
          <cell r="E2120">
            <v>0</v>
          </cell>
          <cell r="F2120">
            <v>0</v>
          </cell>
          <cell r="G2120">
            <v>0</v>
          </cell>
          <cell r="H2120">
            <v>8.3699999999999992</v>
          </cell>
        </row>
        <row r="2121">
          <cell r="A2121" t="str">
            <v>00727168</v>
          </cell>
          <cell r="B2121" t="str">
            <v>RODO  TIGER MP KIT PRRT004 9"</v>
          </cell>
          <cell r="C2121" t="str">
            <v>RODO</v>
          </cell>
          <cell r="D2121">
            <v>7.16</v>
          </cell>
          <cell r="E2121">
            <v>0</v>
          </cell>
          <cell r="F2121">
            <v>0</v>
          </cell>
          <cell r="G2121">
            <v>0</v>
          </cell>
          <cell r="H2121">
            <v>7.16</v>
          </cell>
        </row>
        <row r="2122">
          <cell r="A2122" t="str">
            <v>00727240</v>
          </cell>
          <cell r="B2122" t="str">
            <v>RODO  TIGER MP SLV 9"         PREE014</v>
          </cell>
          <cell r="C2122" t="str">
            <v>RODO</v>
          </cell>
          <cell r="D2122">
            <v>1.79</v>
          </cell>
          <cell r="E2122">
            <v>0</v>
          </cell>
          <cell r="F2122">
            <v>0</v>
          </cell>
          <cell r="G2122">
            <v>0</v>
          </cell>
          <cell r="H2122">
            <v>1.79</v>
          </cell>
        </row>
        <row r="2123">
          <cell r="A2123" t="str">
            <v>00727169</v>
          </cell>
          <cell r="B2123" t="str">
            <v>RODO  WG EXT D/SHT P126WG     12'X6'</v>
          </cell>
          <cell r="C2123" t="str">
            <v>RODO</v>
          </cell>
          <cell r="D2123">
            <v>24.48</v>
          </cell>
          <cell r="E2123">
            <v>0</v>
          </cell>
          <cell r="F2123">
            <v>0</v>
          </cell>
          <cell r="G2123">
            <v>0</v>
          </cell>
          <cell r="H2123">
            <v>24.48</v>
          </cell>
        </row>
        <row r="2124">
          <cell r="A2124" t="str">
            <v>00722532</v>
          </cell>
          <cell r="B2124" t="str">
            <v>RODO  WINDOW       SCRAPER</v>
          </cell>
          <cell r="C2124" t="str">
            <v>RODO</v>
          </cell>
          <cell r="D2124">
            <v>2.04</v>
          </cell>
          <cell r="E2124">
            <v>0</v>
          </cell>
          <cell r="F2124">
            <v>0</v>
          </cell>
          <cell r="G2124">
            <v>0</v>
          </cell>
          <cell r="H2124">
            <v>2.04</v>
          </cell>
        </row>
        <row r="2125">
          <cell r="A2125" t="str">
            <v>00718769</v>
          </cell>
          <cell r="B2125" t="str">
            <v>RODO  WIRE BRUSH   4 ROW *12* (BWB4)</v>
          </cell>
          <cell r="C2125" t="str">
            <v>Brush</v>
          </cell>
          <cell r="D2125">
            <v>1.79</v>
          </cell>
          <cell r="E2125">
            <v>0</v>
          </cell>
          <cell r="F2125">
            <v>0</v>
          </cell>
          <cell r="G2125">
            <v>0</v>
          </cell>
          <cell r="H2125">
            <v>1.79</v>
          </cell>
        </row>
        <row r="2126">
          <cell r="A2126" t="str">
            <v>00733839</v>
          </cell>
          <cell r="B2126" t="str">
            <v>RODO  WOODWORKER   BRUSH 2IN</v>
          </cell>
          <cell r="C2126" t="str">
            <v>Brush</v>
          </cell>
          <cell r="D2126">
            <v>6.36</v>
          </cell>
          <cell r="E2126">
            <v>0</v>
          </cell>
          <cell r="F2126">
            <v>0</v>
          </cell>
          <cell r="G2126">
            <v>0</v>
          </cell>
          <cell r="H2126">
            <v>6.36</v>
          </cell>
        </row>
        <row r="2127">
          <cell r="A2127" t="str">
            <v>00256301</v>
          </cell>
          <cell r="B2127" t="str">
            <v>S ECOFLEET 530 BLACK        800000EU1500</v>
          </cell>
          <cell r="C2127" t="str">
            <v>PMC</v>
          </cell>
          <cell r="D2127">
            <v>232.1</v>
          </cell>
          <cell r="E2127">
            <v>0</v>
          </cell>
          <cell r="F2127">
            <v>0</v>
          </cell>
          <cell r="G2127">
            <v>0</v>
          </cell>
          <cell r="H2127">
            <v>232.1</v>
          </cell>
        </row>
        <row r="2128">
          <cell r="A2128" t="str">
            <v>00180438</v>
          </cell>
          <cell r="B2128" t="str">
            <v>S ECOFLEET 530 BLACK        800000EU2200</v>
          </cell>
          <cell r="C2128" t="str">
            <v>PMC</v>
          </cell>
          <cell r="D2128">
            <v>928.37</v>
          </cell>
          <cell r="E2128">
            <v>0</v>
          </cell>
          <cell r="F2128">
            <v>0</v>
          </cell>
          <cell r="G2128">
            <v>0</v>
          </cell>
          <cell r="H2128">
            <v>928.37</v>
          </cell>
        </row>
        <row r="2129">
          <cell r="A2129" t="str">
            <v>00242163</v>
          </cell>
          <cell r="B2129" t="str">
            <v>S ECOFLEET 530 BLUE         100000EU1500</v>
          </cell>
          <cell r="C2129" t="str">
            <v>PMC</v>
          </cell>
          <cell r="D2129">
            <v>232.1</v>
          </cell>
          <cell r="E2129">
            <v>0</v>
          </cell>
          <cell r="F2129">
            <v>0</v>
          </cell>
          <cell r="G2129">
            <v>0</v>
          </cell>
          <cell r="H2129">
            <v>232.1</v>
          </cell>
        </row>
        <row r="2130">
          <cell r="A2130" t="str">
            <v>00230906</v>
          </cell>
          <cell r="B2130" t="str">
            <v>S ECOFLEET 530 BLUE         100000EU2200</v>
          </cell>
          <cell r="C2130" t="str">
            <v>PMC</v>
          </cell>
          <cell r="D2130">
            <v>928.37</v>
          </cell>
          <cell r="E2130">
            <v>0</v>
          </cell>
          <cell r="F2130">
            <v>0</v>
          </cell>
          <cell r="G2130">
            <v>0</v>
          </cell>
          <cell r="H2130">
            <v>928.37</v>
          </cell>
        </row>
        <row r="2131">
          <cell r="A2131" t="str">
            <v>00146096</v>
          </cell>
          <cell r="B2131" t="str">
            <v>S ECOFLEET 530 BROWN        200000EU2200</v>
          </cell>
          <cell r="C2131" t="str">
            <v>PMC</v>
          </cell>
          <cell r="D2131">
            <v>928.37</v>
          </cell>
          <cell r="E2131">
            <v>0</v>
          </cell>
          <cell r="F2131">
            <v>0</v>
          </cell>
          <cell r="G2131">
            <v>0</v>
          </cell>
          <cell r="H2131">
            <v>928.37</v>
          </cell>
        </row>
        <row r="2132">
          <cell r="A2132" t="str">
            <v>00242162</v>
          </cell>
          <cell r="B2132" t="str">
            <v>S ECOFLEET 530 REDBROWN     200800EU1500</v>
          </cell>
          <cell r="C2132" t="str">
            <v>PMC</v>
          </cell>
          <cell r="D2132">
            <v>232.1</v>
          </cell>
          <cell r="E2132">
            <v>0</v>
          </cell>
          <cell r="F2132">
            <v>0</v>
          </cell>
          <cell r="G2132">
            <v>0</v>
          </cell>
          <cell r="H2132">
            <v>232.1</v>
          </cell>
        </row>
        <row r="2133">
          <cell r="A2133" t="str">
            <v>00146095</v>
          </cell>
          <cell r="B2133" t="str">
            <v>S ECOFLEET 530 REDBROWN     200800EU2200</v>
          </cell>
          <cell r="C2133" t="str">
            <v>PMC</v>
          </cell>
          <cell r="D2133">
            <v>928.37</v>
          </cell>
          <cell r="E2133">
            <v>0</v>
          </cell>
          <cell r="F2133">
            <v>0</v>
          </cell>
          <cell r="G2133">
            <v>0</v>
          </cell>
          <cell r="H2133">
            <v>928.37</v>
          </cell>
        </row>
        <row r="2134">
          <cell r="A2134" t="str">
            <v>00164865</v>
          </cell>
          <cell r="B2134" t="str">
            <v>S ECOFLEET530 SPRUCE GREEN 16D4530EU2200</v>
          </cell>
          <cell r="C2134" t="str">
            <v>PMC</v>
          </cell>
          <cell r="D2134">
            <v>928.37</v>
          </cell>
          <cell r="E2134">
            <v>0</v>
          </cell>
          <cell r="F2134">
            <v>0</v>
          </cell>
          <cell r="G2134">
            <v>0</v>
          </cell>
          <cell r="H2134">
            <v>928.37</v>
          </cell>
        </row>
        <row r="2135">
          <cell r="A2135" t="str">
            <v>00239485</v>
          </cell>
          <cell r="B2135" t="str">
            <v>S EP 110 PRI SET BS          08C35302200</v>
          </cell>
          <cell r="C2135" t="str">
            <v>PMC</v>
          </cell>
          <cell r="D2135">
            <v>418.76</v>
          </cell>
          <cell r="E2135">
            <v>0</v>
          </cell>
          <cell r="F2135">
            <v>0</v>
          </cell>
          <cell r="G2135">
            <v>0</v>
          </cell>
          <cell r="H2135">
            <v>418.76</v>
          </cell>
        </row>
        <row r="2136">
          <cell r="A2136" t="str">
            <v>00251061</v>
          </cell>
          <cell r="B2136" t="str">
            <v>S EP 111 PRI SET              3005002200</v>
          </cell>
          <cell r="C2136" t="str">
            <v>PMC</v>
          </cell>
          <cell r="D2136">
            <v>461.19</v>
          </cell>
          <cell r="E2136">
            <v>0</v>
          </cell>
          <cell r="F2136">
            <v>0</v>
          </cell>
          <cell r="G2136">
            <v>0</v>
          </cell>
          <cell r="H2136">
            <v>461.19</v>
          </cell>
        </row>
        <row r="2137">
          <cell r="A2137" t="str">
            <v>00267332</v>
          </cell>
          <cell r="B2137" t="str">
            <v>S EP 112 MIOCOAT SET          9500051400</v>
          </cell>
          <cell r="C2137" t="str">
            <v>PMC</v>
          </cell>
          <cell r="D2137">
            <v>100.28</v>
          </cell>
          <cell r="E2137">
            <v>0</v>
          </cell>
          <cell r="F2137">
            <v>0</v>
          </cell>
          <cell r="G2137">
            <v>0</v>
          </cell>
          <cell r="H2137">
            <v>100.28</v>
          </cell>
        </row>
        <row r="2138">
          <cell r="A2138" t="str">
            <v>00251065</v>
          </cell>
          <cell r="B2138" t="str">
            <v>S EP 112 MIOCOAT SET          9500052200</v>
          </cell>
          <cell r="C2138" t="str">
            <v>PMC</v>
          </cell>
          <cell r="D2138">
            <v>448.38</v>
          </cell>
          <cell r="E2138">
            <v>0</v>
          </cell>
          <cell r="F2138">
            <v>0</v>
          </cell>
          <cell r="G2138">
            <v>0</v>
          </cell>
          <cell r="H2138">
            <v>448.38</v>
          </cell>
        </row>
        <row r="2139">
          <cell r="A2139" t="str">
            <v>00271218</v>
          </cell>
          <cell r="B2139" t="str">
            <v>S EP 112 MIOCOAT SET DARKGREY 9501051400</v>
          </cell>
          <cell r="C2139" t="str">
            <v>PMC</v>
          </cell>
          <cell r="D2139">
            <v>100.28</v>
          </cell>
          <cell r="E2139">
            <v>0</v>
          </cell>
          <cell r="F2139">
            <v>0</v>
          </cell>
          <cell r="G2139">
            <v>0</v>
          </cell>
          <cell r="H2139">
            <v>100.28</v>
          </cell>
        </row>
        <row r="2140">
          <cell r="A2140" t="str">
            <v>00271219</v>
          </cell>
          <cell r="B2140" t="str">
            <v>S EP 112 MIOCOAT SET DARKGREY 9501052200</v>
          </cell>
          <cell r="C2140" t="str">
            <v>PMC</v>
          </cell>
          <cell r="D2140">
            <v>448.38</v>
          </cell>
          <cell r="E2140">
            <v>0</v>
          </cell>
          <cell r="F2140">
            <v>0</v>
          </cell>
          <cell r="G2140">
            <v>0</v>
          </cell>
          <cell r="H2140">
            <v>448.38</v>
          </cell>
        </row>
        <row r="2141">
          <cell r="A2141" t="str">
            <v>00239842</v>
          </cell>
          <cell r="B2141" t="str">
            <v>S EP 159 SEALER SET           0000001400</v>
          </cell>
          <cell r="C2141" t="str">
            <v>PMC</v>
          </cell>
          <cell r="D2141">
            <v>96</v>
          </cell>
          <cell r="E2141">
            <v>0</v>
          </cell>
          <cell r="F2141">
            <v>0</v>
          </cell>
          <cell r="G2141">
            <v>0</v>
          </cell>
          <cell r="H2141">
            <v>96</v>
          </cell>
        </row>
        <row r="2142">
          <cell r="A2142" t="str">
            <v>00131931</v>
          </cell>
          <cell r="B2142" t="str">
            <v>S ETCH                      000000EU1500</v>
          </cell>
          <cell r="C2142" t="str">
            <v>PMC</v>
          </cell>
          <cell r="D2142">
            <v>25.12</v>
          </cell>
          <cell r="E2142">
            <v>0</v>
          </cell>
          <cell r="F2142">
            <v>0</v>
          </cell>
          <cell r="G2142">
            <v>0</v>
          </cell>
          <cell r="H2142">
            <v>25.12</v>
          </cell>
        </row>
        <row r="2143">
          <cell r="A2143" t="str">
            <v>00129937</v>
          </cell>
          <cell r="B2143" t="str">
            <v>S RAPID DRY FLOOR PAINT GREY 9-096001500</v>
          </cell>
          <cell r="C2143" t="str">
            <v>PMC</v>
          </cell>
          <cell r="D2143">
            <v>77.77</v>
          </cell>
          <cell r="E2143">
            <v>0</v>
          </cell>
          <cell r="F2143">
            <v>0</v>
          </cell>
          <cell r="G2143">
            <v>0</v>
          </cell>
          <cell r="H2143">
            <v>77.77</v>
          </cell>
        </row>
        <row r="2144">
          <cell r="A2144" t="str">
            <v>00129925</v>
          </cell>
          <cell r="B2144" t="str">
            <v>S RAPID DRY FLOOR PAINT RED  1-024001500</v>
          </cell>
          <cell r="C2144" t="str">
            <v>PMC</v>
          </cell>
          <cell r="D2144">
            <v>77.77</v>
          </cell>
          <cell r="E2144">
            <v>0</v>
          </cell>
          <cell r="F2144">
            <v>0</v>
          </cell>
          <cell r="G2144">
            <v>0</v>
          </cell>
          <cell r="H2144">
            <v>77.77</v>
          </cell>
        </row>
        <row r="2145">
          <cell r="A2145" t="str">
            <v>00312075</v>
          </cell>
          <cell r="B2145" t="str">
            <v>S'COVER 2 SET BLACK           8000001400</v>
          </cell>
          <cell r="C2145" t="str">
            <v>PMC</v>
          </cell>
          <cell r="D2145">
            <v>166.31</v>
          </cell>
          <cell r="E2145">
            <v>0</v>
          </cell>
          <cell r="F2145">
            <v>0</v>
          </cell>
          <cell r="G2145">
            <v>0</v>
          </cell>
          <cell r="H2145">
            <v>166.31</v>
          </cell>
        </row>
        <row r="2146">
          <cell r="A2146" t="str">
            <v>00312076</v>
          </cell>
          <cell r="B2146" t="str">
            <v>S'COVER 2 SET BLACK           8000002200</v>
          </cell>
          <cell r="C2146" t="str">
            <v>PMC</v>
          </cell>
          <cell r="D2146">
            <v>589.95000000000005</v>
          </cell>
          <cell r="E2146">
            <v>0</v>
          </cell>
          <cell r="F2146">
            <v>0</v>
          </cell>
          <cell r="G2146">
            <v>0</v>
          </cell>
          <cell r="H2146">
            <v>589.95000000000005</v>
          </cell>
        </row>
        <row r="2147">
          <cell r="A2147" t="str">
            <v>00331922</v>
          </cell>
          <cell r="B2147" t="str">
            <v>S'COVER 2 SET BS 00A05       00A05301400</v>
          </cell>
          <cell r="C2147" t="str">
            <v>PMC</v>
          </cell>
          <cell r="D2147">
            <v>131.66</v>
          </cell>
          <cell r="E2147">
            <v>0</v>
          </cell>
          <cell r="F2147">
            <v>0</v>
          </cell>
          <cell r="G2147">
            <v>0</v>
          </cell>
          <cell r="H2147">
            <v>131.66</v>
          </cell>
        </row>
        <row r="2148">
          <cell r="A2148" t="str">
            <v>00331921</v>
          </cell>
          <cell r="B2148" t="str">
            <v>S'COVER 2 SET BS 00A05       00A05302200</v>
          </cell>
          <cell r="C2148" t="str">
            <v>PMC</v>
          </cell>
          <cell r="D2148">
            <v>589.95000000000005</v>
          </cell>
          <cell r="E2148">
            <v>0</v>
          </cell>
          <cell r="F2148">
            <v>0</v>
          </cell>
          <cell r="G2148">
            <v>0</v>
          </cell>
          <cell r="H2148">
            <v>589.95000000000005</v>
          </cell>
        </row>
        <row r="2149">
          <cell r="A2149" t="str">
            <v>00331920</v>
          </cell>
          <cell r="B2149" t="str">
            <v>S'COVER 2 SET WHITE           7000001400</v>
          </cell>
          <cell r="C2149" t="str">
            <v>PMC</v>
          </cell>
          <cell r="D2149">
            <v>131.66</v>
          </cell>
          <cell r="E2149">
            <v>0</v>
          </cell>
          <cell r="F2149">
            <v>0</v>
          </cell>
          <cell r="G2149">
            <v>0</v>
          </cell>
          <cell r="H2149">
            <v>131.66</v>
          </cell>
        </row>
        <row r="2150">
          <cell r="A2150" t="str">
            <v>00331919</v>
          </cell>
          <cell r="B2150" t="str">
            <v>S'COVER 2 SET WHITE           7000002200</v>
          </cell>
          <cell r="C2150" t="str">
            <v>PMC</v>
          </cell>
          <cell r="D2150">
            <v>589.95000000000005</v>
          </cell>
          <cell r="E2150">
            <v>0</v>
          </cell>
          <cell r="F2150">
            <v>0</v>
          </cell>
          <cell r="G2150">
            <v>0</v>
          </cell>
          <cell r="H2150">
            <v>589.95000000000005</v>
          </cell>
        </row>
        <row r="2151">
          <cell r="A2151" t="str">
            <v>00179629</v>
          </cell>
          <cell r="B2151" t="str">
            <v>S'COVER 256 SET CREAM         3012001400</v>
          </cell>
          <cell r="C2151" t="str">
            <v>PMC</v>
          </cell>
          <cell r="D2151">
            <v>163.4</v>
          </cell>
          <cell r="E2151">
            <v>0</v>
          </cell>
          <cell r="F2151">
            <v>0</v>
          </cell>
          <cell r="G2151">
            <v>0</v>
          </cell>
          <cell r="H2151">
            <v>163.4</v>
          </cell>
        </row>
        <row r="2152">
          <cell r="A2152" t="str">
            <v>00179630</v>
          </cell>
          <cell r="B2152" t="str">
            <v>S'COVER 256 SET CREAM         3012002200</v>
          </cell>
          <cell r="C2152" t="str">
            <v>PMC</v>
          </cell>
          <cell r="D2152">
            <v>816.99</v>
          </cell>
          <cell r="E2152">
            <v>0</v>
          </cell>
          <cell r="F2152">
            <v>0</v>
          </cell>
          <cell r="G2152">
            <v>0</v>
          </cell>
          <cell r="H2152">
            <v>816.99</v>
          </cell>
        </row>
        <row r="2153">
          <cell r="A2153" t="str">
            <v>00184149</v>
          </cell>
          <cell r="B2153" t="str">
            <v>S'COVER 280 SET GREY          5000001400</v>
          </cell>
          <cell r="C2153" t="str">
            <v>PMC</v>
          </cell>
          <cell r="D2153">
            <v>61.09</v>
          </cell>
          <cell r="E2153">
            <v>0</v>
          </cell>
          <cell r="F2153">
            <v>0</v>
          </cell>
          <cell r="G2153">
            <v>0</v>
          </cell>
          <cell r="H2153">
            <v>61.09</v>
          </cell>
        </row>
        <row r="2154">
          <cell r="A2154" t="str">
            <v>00185279</v>
          </cell>
          <cell r="B2154" t="str">
            <v>S'COVER 280 SET GREY          5000002200</v>
          </cell>
          <cell r="C2154" t="str">
            <v>PMC</v>
          </cell>
          <cell r="D2154">
            <v>305.51</v>
          </cell>
          <cell r="E2154">
            <v>0</v>
          </cell>
          <cell r="F2154">
            <v>0</v>
          </cell>
          <cell r="G2154">
            <v>0</v>
          </cell>
          <cell r="H2154">
            <v>305.51</v>
          </cell>
        </row>
        <row r="2155">
          <cell r="A2155" t="str">
            <v>00179084</v>
          </cell>
          <cell r="B2155" t="str">
            <v>S'COVER 280 SET REDBROWN      6137001400</v>
          </cell>
          <cell r="C2155" t="str">
            <v>PMC</v>
          </cell>
          <cell r="D2155">
            <v>61.09</v>
          </cell>
          <cell r="E2155">
            <v>0</v>
          </cell>
          <cell r="F2155">
            <v>0</v>
          </cell>
          <cell r="G2155">
            <v>0</v>
          </cell>
          <cell r="H2155">
            <v>61.09</v>
          </cell>
        </row>
        <row r="2156">
          <cell r="A2156" t="str">
            <v>00179085</v>
          </cell>
          <cell r="B2156" t="str">
            <v>S'COVER 280 SET REDBROWN      6137002200</v>
          </cell>
          <cell r="C2156" t="str">
            <v>PMC</v>
          </cell>
          <cell r="D2156">
            <v>305.51</v>
          </cell>
          <cell r="E2156">
            <v>0</v>
          </cell>
          <cell r="F2156">
            <v>0</v>
          </cell>
          <cell r="G2156">
            <v>0</v>
          </cell>
          <cell r="H2156">
            <v>305.51</v>
          </cell>
        </row>
        <row r="2157">
          <cell r="A2157" t="str">
            <v>00179081</v>
          </cell>
          <cell r="B2157" t="str">
            <v>S'COVER 280 SET YEL/GR        4009001400</v>
          </cell>
          <cell r="C2157" t="str">
            <v>PMC</v>
          </cell>
          <cell r="D2157">
            <v>61.09</v>
          </cell>
          <cell r="E2157">
            <v>0</v>
          </cell>
          <cell r="F2157">
            <v>0</v>
          </cell>
          <cell r="G2157">
            <v>0</v>
          </cell>
          <cell r="H2157">
            <v>61.09</v>
          </cell>
        </row>
        <row r="2158">
          <cell r="A2158" t="str">
            <v>00179083</v>
          </cell>
          <cell r="B2158" t="str">
            <v>S'COVER 280 SET YEL/GR        4009002200</v>
          </cell>
          <cell r="C2158" t="str">
            <v>PMC</v>
          </cell>
          <cell r="D2158">
            <v>305.51</v>
          </cell>
          <cell r="E2158">
            <v>0</v>
          </cell>
          <cell r="F2158">
            <v>0</v>
          </cell>
          <cell r="G2158">
            <v>0</v>
          </cell>
          <cell r="H2158">
            <v>305.51</v>
          </cell>
        </row>
        <row r="2159">
          <cell r="A2159" t="str">
            <v>00352241</v>
          </cell>
          <cell r="B2159" t="str">
            <v>S'COVER 350 LT SET ALU        9000002200</v>
          </cell>
          <cell r="C2159" t="str">
            <v>PMC</v>
          </cell>
          <cell r="D2159">
            <v>611.27</v>
          </cell>
          <cell r="E2159">
            <v>0</v>
          </cell>
          <cell r="F2159">
            <v>0</v>
          </cell>
          <cell r="G2159">
            <v>0</v>
          </cell>
          <cell r="H2159">
            <v>611.27</v>
          </cell>
        </row>
        <row r="2160">
          <cell r="A2160" t="str">
            <v>00246239</v>
          </cell>
          <cell r="B2160" t="str">
            <v>S'COVER 350 LT SET GREY       5177052200</v>
          </cell>
          <cell r="C2160" t="str">
            <v>PMC</v>
          </cell>
          <cell r="D2160">
            <v>611.27</v>
          </cell>
          <cell r="E2160">
            <v>0</v>
          </cell>
          <cell r="F2160">
            <v>0</v>
          </cell>
          <cell r="G2160">
            <v>0</v>
          </cell>
          <cell r="H2160">
            <v>611.27</v>
          </cell>
        </row>
        <row r="2161">
          <cell r="A2161" t="str">
            <v>00246240</v>
          </cell>
          <cell r="B2161" t="str">
            <v>S'COVER 350 LT SET REDBROWN   6179052200</v>
          </cell>
          <cell r="C2161" t="str">
            <v>PMC</v>
          </cell>
          <cell r="D2161">
            <v>772.24</v>
          </cell>
          <cell r="E2161">
            <v>0</v>
          </cell>
          <cell r="F2161">
            <v>0</v>
          </cell>
          <cell r="G2161">
            <v>0</v>
          </cell>
          <cell r="H2161">
            <v>772.24</v>
          </cell>
        </row>
        <row r="2162">
          <cell r="A2162" t="str">
            <v>00347323</v>
          </cell>
          <cell r="B2162" t="str">
            <v>S'COVER 350 SET ALUMINIUM     9000002200</v>
          </cell>
          <cell r="C2162" t="str">
            <v>PMC</v>
          </cell>
          <cell r="D2162">
            <v>587.96</v>
          </cell>
          <cell r="E2162">
            <v>0</v>
          </cell>
          <cell r="F2162">
            <v>0</v>
          </cell>
          <cell r="G2162">
            <v>0</v>
          </cell>
          <cell r="H2162">
            <v>587.96</v>
          </cell>
        </row>
        <row r="2163">
          <cell r="A2163" t="str">
            <v>00220296</v>
          </cell>
          <cell r="B2163" t="str">
            <v>S'COVER 350 SET GREY          5177052200</v>
          </cell>
          <cell r="C2163" t="str">
            <v>PMC</v>
          </cell>
          <cell r="D2163">
            <v>587.96</v>
          </cell>
          <cell r="E2163">
            <v>0</v>
          </cell>
          <cell r="F2163">
            <v>0</v>
          </cell>
          <cell r="G2163">
            <v>0</v>
          </cell>
          <cell r="H2163">
            <v>587.96</v>
          </cell>
        </row>
        <row r="2164">
          <cell r="A2164" t="str">
            <v>00272758</v>
          </cell>
          <cell r="B2164" t="str">
            <v>S'COVER 350 SET REDBROWN      6179051400</v>
          </cell>
          <cell r="C2164" t="str">
            <v>PMC</v>
          </cell>
          <cell r="D2164">
            <v>165.95</v>
          </cell>
          <cell r="E2164">
            <v>0</v>
          </cell>
          <cell r="F2164">
            <v>0</v>
          </cell>
          <cell r="G2164">
            <v>0</v>
          </cell>
          <cell r="H2164">
            <v>165.95</v>
          </cell>
        </row>
        <row r="2165">
          <cell r="A2165" t="str">
            <v>00220298</v>
          </cell>
          <cell r="B2165" t="str">
            <v>S'COVER 350 SET REDBROWN      6179052200</v>
          </cell>
          <cell r="C2165" t="str">
            <v>PMC</v>
          </cell>
          <cell r="D2165">
            <v>743.02</v>
          </cell>
          <cell r="E2165">
            <v>0</v>
          </cell>
          <cell r="F2165">
            <v>0</v>
          </cell>
          <cell r="G2165">
            <v>0</v>
          </cell>
          <cell r="H2165">
            <v>743.02</v>
          </cell>
        </row>
        <row r="2166">
          <cell r="A2166" t="str">
            <v>00311594</v>
          </cell>
          <cell r="B2166" t="str">
            <v>S'COVER 380 SET BLACK         8000002200</v>
          </cell>
          <cell r="C2166" t="str">
            <v>PMC</v>
          </cell>
          <cell r="D2166">
            <v>601.64</v>
          </cell>
          <cell r="E2166">
            <v>0</v>
          </cell>
          <cell r="F2166">
            <v>0</v>
          </cell>
          <cell r="G2166">
            <v>0</v>
          </cell>
          <cell r="H2166">
            <v>601.64</v>
          </cell>
        </row>
        <row r="2167">
          <cell r="A2167" t="str">
            <v>00250041</v>
          </cell>
          <cell r="B2167" t="str">
            <v>S'COVER 380 SET GREEN         4100052200</v>
          </cell>
          <cell r="C2167" t="str">
            <v>PMC</v>
          </cell>
          <cell r="D2167">
            <v>601.64</v>
          </cell>
          <cell r="E2167">
            <v>0</v>
          </cell>
          <cell r="F2167">
            <v>0</v>
          </cell>
          <cell r="G2167">
            <v>0</v>
          </cell>
          <cell r="H2167">
            <v>601.64</v>
          </cell>
        </row>
        <row r="2168">
          <cell r="A2168" t="str">
            <v>00272768</v>
          </cell>
          <cell r="B2168" t="str">
            <v>S'COVER 380 SET GREY          5100051400</v>
          </cell>
          <cell r="C2168" t="str">
            <v>PMC</v>
          </cell>
          <cell r="D2168">
            <v>120.33</v>
          </cell>
          <cell r="E2168">
            <v>0</v>
          </cell>
          <cell r="F2168">
            <v>0</v>
          </cell>
          <cell r="G2168">
            <v>0</v>
          </cell>
          <cell r="H2168">
            <v>120.33</v>
          </cell>
        </row>
        <row r="2169">
          <cell r="A2169" t="str">
            <v>00250043</v>
          </cell>
          <cell r="B2169" t="str">
            <v>S'COVER 380 SET GREY          5100052200</v>
          </cell>
          <cell r="C2169" t="str">
            <v>PMC</v>
          </cell>
          <cell r="D2169">
            <v>601.64</v>
          </cell>
          <cell r="E2169">
            <v>0</v>
          </cell>
          <cell r="F2169">
            <v>0</v>
          </cell>
          <cell r="G2169">
            <v>0</v>
          </cell>
          <cell r="H2169">
            <v>601.64</v>
          </cell>
        </row>
        <row r="2170">
          <cell r="A2170" t="str">
            <v>00332016</v>
          </cell>
          <cell r="B2170" t="str">
            <v>S'COVER 400 SET ALUMINIUM     9000001400</v>
          </cell>
          <cell r="C2170" t="str">
            <v>PMC</v>
          </cell>
          <cell r="D2170">
            <v>141.53</v>
          </cell>
          <cell r="E2170">
            <v>0</v>
          </cell>
          <cell r="F2170">
            <v>0</v>
          </cell>
          <cell r="G2170">
            <v>0</v>
          </cell>
          <cell r="H2170">
            <v>141.53</v>
          </cell>
        </row>
        <row r="2171">
          <cell r="A2171" t="str">
            <v>00332015</v>
          </cell>
          <cell r="B2171" t="str">
            <v>S'COVER 400 SET ALUMINIUM     9000002200</v>
          </cell>
          <cell r="C2171" t="str">
            <v>PMC</v>
          </cell>
          <cell r="D2171">
            <v>633.82000000000005</v>
          </cell>
          <cell r="E2171">
            <v>0</v>
          </cell>
          <cell r="F2171">
            <v>0</v>
          </cell>
          <cell r="G2171">
            <v>0</v>
          </cell>
          <cell r="H2171">
            <v>633.82000000000005</v>
          </cell>
        </row>
        <row r="2172">
          <cell r="A2172" t="str">
            <v>00312059</v>
          </cell>
          <cell r="B2172" t="str">
            <v>S'COVER 400 SET BLACK         8000001400</v>
          </cell>
          <cell r="C2172" t="str">
            <v>PMC</v>
          </cell>
          <cell r="D2172">
            <v>158.5</v>
          </cell>
          <cell r="E2172">
            <v>0</v>
          </cell>
          <cell r="F2172">
            <v>0</v>
          </cell>
          <cell r="G2172">
            <v>0</v>
          </cell>
          <cell r="H2172">
            <v>158.5</v>
          </cell>
        </row>
        <row r="2173">
          <cell r="A2173" t="str">
            <v>00312060</v>
          </cell>
          <cell r="B2173" t="str">
            <v>S'COVER 400 SET BLACK         8000002200</v>
          </cell>
          <cell r="C2173" t="str">
            <v>PMC</v>
          </cell>
          <cell r="D2173">
            <v>560.61</v>
          </cell>
          <cell r="E2173">
            <v>0</v>
          </cell>
          <cell r="F2173">
            <v>0</v>
          </cell>
          <cell r="G2173">
            <v>0</v>
          </cell>
          <cell r="H2173">
            <v>560.61</v>
          </cell>
        </row>
        <row r="2174">
          <cell r="A2174" t="str">
            <v>00331890</v>
          </cell>
          <cell r="B2174" t="str">
            <v>S'COVER 400 SET BS 00A05     00A05301400</v>
          </cell>
          <cell r="C2174" t="str">
            <v>PMC</v>
          </cell>
          <cell r="D2174">
            <v>125.22</v>
          </cell>
          <cell r="E2174">
            <v>0</v>
          </cell>
          <cell r="F2174">
            <v>0</v>
          </cell>
          <cell r="G2174">
            <v>0</v>
          </cell>
          <cell r="H2174">
            <v>125.22</v>
          </cell>
        </row>
        <row r="2175">
          <cell r="A2175" t="str">
            <v>00331889</v>
          </cell>
          <cell r="B2175" t="str">
            <v>S'COVER 400 SET BS 00A05     00A05302200</v>
          </cell>
          <cell r="C2175" t="str">
            <v>PMC</v>
          </cell>
          <cell r="D2175">
            <v>560.61</v>
          </cell>
          <cell r="E2175">
            <v>0</v>
          </cell>
          <cell r="F2175">
            <v>0</v>
          </cell>
          <cell r="G2175">
            <v>0</v>
          </cell>
          <cell r="H2175">
            <v>560.61</v>
          </cell>
        </row>
        <row r="2176">
          <cell r="A2176" t="str">
            <v>00331888</v>
          </cell>
          <cell r="B2176" t="str">
            <v>S'COVER 400 SET WHITE         7000001400</v>
          </cell>
          <cell r="C2176" t="str">
            <v>PMC</v>
          </cell>
          <cell r="D2176">
            <v>125.22</v>
          </cell>
          <cell r="E2176">
            <v>0</v>
          </cell>
          <cell r="F2176">
            <v>0</v>
          </cell>
          <cell r="G2176">
            <v>0</v>
          </cell>
          <cell r="H2176">
            <v>125.22</v>
          </cell>
        </row>
        <row r="2177">
          <cell r="A2177" t="str">
            <v>00331887</v>
          </cell>
          <cell r="B2177" t="str">
            <v>S'COVER 400 SET WHITE         7000002200</v>
          </cell>
          <cell r="C2177" t="str">
            <v>PMC</v>
          </cell>
          <cell r="D2177">
            <v>560.61</v>
          </cell>
          <cell r="E2177">
            <v>0</v>
          </cell>
          <cell r="F2177">
            <v>0</v>
          </cell>
          <cell r="G2177">
            <v>0</v>
          </cell>
          <cell r="H2177">
            <v>560.61</v>
          </cell>
        </row>
        <row r="2178">
          <cell r="A2178" t="str">
            <v>00299392</v>
          </cell>
          <cell r="B2178" t="str">
            <v>S'COVER 410 SET MIO DARKGREY  9120052200</v>
          </cell>
          <cell r="C2178" t="str">
            <v>PMC</v>
          </cell>
          <cell r="D2178">
            <v>506.77</v>
          </cell>
          <cell r="E2178">
            <v>0</v>
          </cell>
          <cell r="F2178">
            <v>0</v>
          </cell>
          <cell r="G2178">
            <v>0</v>
          </cell>
          <cell r="H2178">
            <v>506.77</v>
          </cell>
        </row>
        <row r="2179">
          <cell r="A2179" t="str">
            <v>00299388</v>
          </cell>
          <cell r="B2179" t="str">
            <v>S'COVER 410 SET MIO LIGHTGREY 9110052200</v>
          </cell>
          <cell r="C2179" t="str">
            <v>PMC</v>
          </cell>
          <cell r="D2179">
            <v>506.77</v>
          </cell>
          <cell r="E2179">
            <v>0</v>
          </cell>
          <cell r="F2179">
            <v>0</v>
          </cell>
          <cell r="G2179">
            <v>0</v>
          </cell>
          <cell r="H2179">
            <v>506.77</v>
          </cell>
        </row>
        <row r="2180">
          <cell r="A2180" t="str">
            <v>00250029</v>
          </cell>
          <cell r="B2180" t="str">
            <v>S'COVER 410 SET OFFWHITE      7001002200</v>
          </cell>
          <cell r="C2180" t="str">
            <v>PMC</v>
          </cell>
          <cell r="D2180">
            <v>506.77</v>
          </cell>
          <cell r="E2180">
            <v>0</v>
          </cell>
          <cell r="F2180">
            <v>0</v>
          </cell>
          <cell r="G2180">
            <v>0</v>
          </cell>
          <cell r="H2180">
            <v>506.77</v>
          </cell>
        </row>
        <row r="2181">
          <cell r="A2181" t="str">
            <v>00153150</v>
          </cell>
          <cell r="B2181" t="str">
            <v>S'COVER 435 SET               9558051400</v>
          </cell>
          <cell r="C2181" t="str">
            <v>PMC</v>
          </cell>
          <cell r="D2181">
            <v>106.42</v>
          </cell>
          <cell r="E2181">
            <v>0</v>
          </cell>
          <cell r="F2181">
            <v>0</v>
          </cell>
          <cell r="G2181">
            <v>0</v>
          </cell>
          <cell r="H2181">
            <v>106.42</v>
          </cell>
        </row>
        <row r="2182">
          <cell r="A2182" t="str">
            <v>00179024</v>
          </cell>
          <cell r="B2182" t="str">
            <v>S'COVER 435 SET LIGHTGREY     9553051400</v>
          </cell>
          <cell r="C2182" t="str">
            <v>PMC</v>
          </cell>
          <cell r="D2182">
            <v>106.42</v>
          </cell>
          <cell r="E2182">
            <v>0</v>
          </cell>
          <cell r="F2182">
            <v>0</v>
          </cell>
          <cell r="G2182">
            <v>0</v>
          </cell>
          <cell r="H2182">
            <v>106.42</v>
          </cell>
        </row>
        <row r="2183">
          <cell r="A2183" t="str">
            <v>00179025</v>
          </cell>
          <cell r="B2183" t="str">
            <v>S'COVER 435 SET LIGHTGREY     9553052200</v>
          </cell>
          <cell r="C2183" t="str">
            <v>PMC</v>
          </cell>
          <cell r="D2183">
            <v>476.58</v>
          </cell>
          <cell r="E2183">
            <v>0</v>
          </cell>
          <cell r="F2183">
            <v>0</v>
          </cell>
          <cell r="G2183">
            <v>0</v>
          </cell>
          <cell r="H2183">
            <v>476.58</v>
          </cell>
        </row>
        <row r="2184">
          <cell r="A2184" t="str">
            <v>00215902</v>
          </cell>
          <cell r="B2184" t="str">
            <v>S'COVER 456 HS SET RAL        9010262200</v>
          </cell>
          <cell r="C2184" t="str">
            <v>PMC</v>
          </cell>
          <cell r="D2184">
            <v>725.56</v>
          </cell>
          <cell r="E2184">
            <v>0</v>
          </cell>
          <cell r="F2184">
            <v>0</v>
          </cell>
          <cell r="G2184">
            <v>0</v>
          </cell>
          <cell r="H2184">
            <v>725.56</v>
          </cell>
        </row>
        <row r="2185">
          <cell r="A2185" t="str">
            <v>00179078</v>
          </cell>
          <cell r="B2185" t="str">
            <v>S'COVER 456 SET BLACK         8000001400</v>
          </cell>
          <cell r="C2185" t="str">
            <v>PMC</v>
          </cell>
          <cell r="D2185">
            <v>118.33</v>
          </cell>
          <cell r="E2185">
            <v>0</v>
          </cell>
          <cell r="F2185">
            <v>0</v>
          </cell>
          <cell r="G2185">
            <v>0</v>
          </cell>
          <cell r="H2185">
            <v>118.33</v>
          </cell>
        </row>
        <row r="2186">
          <cell r="A2186" t="str">
            <v>00179079</v>
          </cell>
          <cell r="B2186" t="str">
            <v>S'COVER 456 SET BLACK         8000002200</v>
          </cell>
          <cell r="C2186" t="str">
            <v>PMC</v>
          </cell>
          <cell r="D2186">
            <v>530.13</v>
          </cell>
          <cell r="E2186">
            <v>0</v>
          </cell>
          <cell r="F2186">
            <v>0</v>
          </cell>
          <cell r="G2186">
            <v>0</v>
          </cell>
          <cell r="H2186">
            <v>530.13</v>
          </cell>
        </row>
        <row r="2187">
          <cell r="A2187" t="str">
            <v>00141370</v>
          </cell>
          <cell r="B2187" t="str">
            <v>S'COVER 456 SET BS           00A05301400</v>
          </cell>
          <cell r="C2187" t="str">
            <v>PMC</v>
          </cell>
          <cell r="D2187">
            <v>118.33</v>
          </cell>
          <cell r="E2187">
            <v>0</v>
          </cell>
          <cell r="F2187">
            <v>0</v>
          </cell>
          <cell r="G2187">
            <v>0</v>
          </cell>
          <cell r="H2187">
            <v>118.33</v>
          </cell>
        </row>
        <row r="2188">
          <cell r="A2188" t="str">
            <v>00141371</v>
          </cell>
          <cell r="B2188" t="str">
            <v>S'COVER 456 SET BS           00A05302200</v>
          </cell>
          <cell r="C2188" t="str">
            <v>PMC</v>
          </cell>
          <cell r="D2188">
            <v>530.13</v>
          </cell>
          <cell r="E2188">
            <v>0</v>
          </cell>
          <cell r="F2188">
            <v>0</v>
          </cell>
          <cell r="G2188">
            <v>0</v>
          </cell>
          <cell r="H2188">
            <v>530.13</v>
          </cell>
        </row>
        <row r="2189">
          <cell r="A2189" t="str">
            <v>00179057</v>
          </cell>
          <cell r="B2189" t="str">
            <v>S'COVER 456 SET GREY          5163052200</v>
          </cell>
          <cell r="C2189" t="str">
            <v>PMC</v>
          </cell>
          <cell r="D2189">
            <v>529.85</v>
          </cell>
          <cell r="E2189">
            <v>0</v>
          </cell>
          <cell r="F2189">
            <v>0</v>
          </cell>
          <cell r="G2189">
            <v>0</v>
          </cell>
          <cell r="H2189">
            <v>529.85</v>
          </cell>
        </row>
        <row r="2190">
          <cell r="A2190" t="str">
            <v>00179061</v>
          </cell>
          <cell r="B2190" t="str">
            <v>S'COVER 456 SET GREY          5177052200</v>
          </cell>
          <cell r="C2190" t="str">
            <v>PMC</v>
          </cell>
          <cell r="D2190">
            <v>529.85</v>
          </cell>
          <cell r="E2190">
            <v>0</v>
          </cell>
          <cell r="F2190">
            <v>0</v>
          </cell>
          <cell r="G2190">
            <v>0</v>
          </cell>
          <cell r="H2190">
            <v>529.85</v>
          </cell>
        </row>
        <row r="2191">
          <cell r="A2191" t="str">
            <v>00292122</v>
          </cell>
          <cell r="B2191" t="str">
            <v>S'COVER 456 SET RAL           1004261400</v>
          </cell>
          <cell r="C2191" t="str">
            <v>PMC</v>
          </cell>
          <cell r="D2191">
            <v>162.43</v>
          </cell>
          <cell r="E2191">
            <v>0</v>
          </cell>
          <cell r="F2191">
            <v>0</v>
          </cell>
          <cell r="G2191">
            <v>0</v>
          </cell>
          <cell r="H2191">
            <v>162.43</v>
          </cell>
        </row>
        <row r="2192">
          <cell r="A2192" t="str">
            <v>00179072</v>
          </cell>
          <cell r="B2192" t="str">
            <v>S'COVER 456 SET WHITE         7000001400</v>
          </cell>
          <cell r="C2192" t="str">
            <v>PMC</v>
          </cell>
          <cell r="D2192">
            <v>118.33</v>
          </cell>
          <cell r="E2192">
            <v>0</v>
          </cell>
          <cell r="F2192">
            <v>0</v>
          </cell>
          <cell r="G2192">
            <v>0</v>
          </cell>
          <cell r="H2192">
            <v>118.33</v>
          </cell>
        </row>
        <row r="2193">
          <cell r="A2193" t="str">
            <v>00179073</v>
          </cell>
          <cell r="B2193" t="str">
            <v>S'COVER 456 SET WHITE         7000002200</v>
          </cell>
          <cell r="C2193" t="str">
            <v>PMC</v>
          </cell>
          <cell r="D2193">
            <v>530.13</v>
          </cell>
          <cell r="E2193">
            <v>0</v>
          </cell>
          <cell r="F2193">
            <v>0</v>
          </cell>
          <cell r="G2193">
            <v>0</v>
          </cell>
          <cell r="H2193">
            <v>530.13</v>
          </cell>
        </row>
        <row r="2194">
          <cell r="A2194" t="str">
            <v>00179509</v>
          </cell>
          <cell r="B2194" t="str">
            <v>S'COVER 522 SET GREEN         9048051400</v>
          </cell>
          <cell r="C2194" t="str">
            <v>PMC</v>
          </cell>
          <cell r="D2194">
            <v>116.39</v>
          </cell>
          <cell r="E2194">
            <v>0</v>
          </cell>
          <cell r="F2194">
            <v>0</v>
          </cell>
          <cell r="G2194">
            <v>0</v>
          </cell>
          <cell r="H2194">
            <v>116.39</v>
          </cell>
        </row>
        <row r="2195">
          <cell r="A2195" t="str">
            <v>00179510</v>
          </cell>
          <cell r="B2195" t="str">
            <v>S'COVER 522 SET GREEN         9048052200</v>
          </cell>
          <cell r="C2195" t="str">
            <v>PMC</v>
          </cell>
          <cell r="D2195">
            <v>521.02</v>
          </cell>
          <cell r="E2195">
            <v>0</v>
          </cell>
          <cell r="F2195">
            <v>0</v>
          </cell>
          <cell r="G2195">
            <v>0</v>
          </cell>
          <cell r="H2195">
            <v>521.02</v>
          </cell>
        </row>
        <row r="2196">
          <cell r="A2196" t="str">
            <v>00328960</v>
          </cell>
          <cell r="B2196" t="str">
            <v>S'COVER 555 SET BLACK        N8000002200</v>
          </cell>
          <cell r="C2196" t="str">
            <v>PMC</v>
          </cell>
          <cell r="D2196">
            <v>489.11</v>
          </cell>
          <cell r="E2196">
            <v>0</v>
          </cell>
          <cell r="F2196">
            <v>0</v>
          </cell>
          <cell r="G2196">
            <v>0</v>
          </cell>
          <cell r="H2196">
            <v>489.11</v>
          </cell>
        </row>
        <row r="2197">
          <cell r="A2197" t="str">
            <v>00179332</v>
          </cell>
          <cell r="B2197" t="str">
            <v>S'COVER 690 SET LIGHT         0200001400</v>
          </cell>
          <cell r="C2197" t="str">
            <v>PMC</v>
          </cell>
          <cell r="D2197">
            <v>143.46</v>
          </cell>
          <cell r="E2197">
            <v>0</v>
          </cell>
          <cell r="F2197">
            <v>0</v>
          </cell>
          <cell r="G2197">
            <v>0</v>
          </cell>
          <cell r="H2197">
            <v>143.46</v>
          </cell>
        </row>
        <row r="2198">
          <cell r="A2198" t="str">
            <v>00179333</v>
          </cell>
          <cell r="B2198" t="str">
            <v>S'COVER 690 SET LIGHT         0200002200</v>
          </cell>
          <cell r="C2198" t="str">
            <v>PMC</v>
          </cell>
          <cell r="D2198">
            <v>642.09</v>
          </cell>
          <cell r="E2198">
            <v>0</v>
          </cell>
          <cell r="F2198">
            <v>0</v>
          </cell>
          <cell r="G2198">
            <v>0</v>
          </cell>
          <cell r="H2198">
            <v>642.09</v>
          </cell>
        </row>
        <row r="2199">
          <cell r="A2199" t="str">
            <v>00247858</v>
          </cell>
          <cell r="B2199" t="str">
            <v>S'COVER 805 SET BLACK         8000001400</v>
          </cell>
          <cell r="C2199" t="str">
            <v>PMC</v>
          </cell>
          <cell r="D2199">
            <v>72.53</v>
          </cell>
          <cell r="E2199">
            <v>0</v>
          </cell>
          <cell r="F2199">
            <v>0</v>
          </cell>
          <cell r="G2199">
            <v>0</v>
          </cell>
          <cell r="H2199">
            <v>72.53</v>
          </cell>
        </row>
        <row r="2200">
          <cell r="A2200" t="str">
            <v>00182348</v>
          </cell>
          <cell r="B2200" t="str">
            <v>S'COVER 805 SET BLACK         8000002200</v>
          </cell>
          <cell r="C2200" t="str">
            <v>PMC</v>
          </cell>
          <cell r="D2200">
            <v>396.81</v>
          </cell>
          <cell r="E2200">
            <v>0</v>
          </cell>
          <cell r="F2200">
            <v>0</v>
          </cell>
          <cell r="G2200">
            <v>0</v>
          </cell>
          <cell r="H2200">
            <v>396.81</v>
          </cell>
        </row>
        <row r="2201">
          <cell r="A2201" t="str">
            <v>00182345</v>
          </cell>
          <cell r="B2201" t="str">
            <v>S'COVER 805 SET OFFWHITE      7001002200</v>
          </cell>
          <cell r="C2201" t="str">
            <v>PMC</v>
          </cell>
          <cell r="D2201">
            <v>362.38</v>
          </cell>
          <cell r="E2201">
            <v>0</v>
          </cell>
          <cell r="F2201">
            <v>0</v>
          </cell>
          <cell r="G2201">
            <v>0</v>
          </cell>
          <cell r="H2201">
            <v>362.38</v>
          </cell>
        </row>
        <row r="2202">
          <cell r="A2202" t="str">
            <v>00436149</v>
          </cell>
          <cell r="B2202" t="str">
            <v>SD A'LOCK 2C SET (X)        XXXXCCEU2200</v>
          </cell>
          <cell r="C2202" t="str">
            <v>PMC</v>
          </cell>
          <cell r="D2202">
            <v>781.68</v>
          </cell>
          <cell r="E2202">
            <v>0</v>
          </cell>
          <cell r="F2202">
            <v>0</v>
          </cell>
          <cell r="G2202">
            <v>0</v>
          </cell>
          <cell r="H2202">
            <v>781.68</v>
          </cell>
        </row>
        <row r="2203">
          <cell r="A2203" t="str">
            <v>00226577</v>
          </cell>
          <cell r="B2203" t="str">
            <v>SD AQUACOVER 400 SET (X)     XXXXCCC1400</v>
          </cell>
          <cell r="C2203" t="str">
            <v>PMC</v>
          </cell>
          <cell r="D2203">
            <v>164.82</v>
          </cell>
          <cell r="E2203">
            <v>0</v>
          </cell>
          <cell r="F2203">
            <v>0</v>
          </cell>
          <cell r="G2203">
            <v>0</v>
          </cell>
          <cell r="H2203">
            <v>164.82</v>
          </cell>
        </row>
        <row r="2204">
          <cell r="A2204" t="str">
            <v>00226576</v>
          </cell>
          <cell r="B2204" t="str">
            <v>SD AQUACOVER 400 SET (X)     XXXXCCC2160</v>
          </cell>
          <cell r="C2204" t="str">
            <v>PMC</v>
          </cell>
          <cell r="D2204">
            <v>692.34</v>
          </cell>
          <cell r="E2204">
            <v>0</v>
          </cell>
          <cell r="F2204">
            <v>0</v>
          </cell>
          <cell r="G2204">
            <v>0</v>
          </cell>
          <cell r="H2204">
            <v>692.34</v>
          </cell>
        </row>
        <row r="2205">
          <cell r="A2205" t="str">
            <v>00440936</v>
          </cell>
          <cell r="B2205" t="str">
            <v>SD AQUACOVER 400 SET (X)    XXXXCCEU1400</v>
          </cell>
          <cell r="C2205" t="str">
            <v>PMC</v>
          </cell>
          <cell r="D2205">
            <v>164.82</v>
          </cell>
          <cell r="E2205">
            <v>0</v>
          </cell>
          <cell r="F2205">
            <v>0</v>
          </cell>
          <cell r="G2205">
            <v>0</v>
          </cell>
          <cell r="H2205">
            <v>164.82</v>
          </cell>
        </row>
        <row r="2206">
          <cell r="A2206" t="str">
            <v>00440937</v>
          </cell>
          <cell r="B2206" t="str">
            <v>SD AQUACOVER 400 SET (X)    XXXXCCEU2160</v>
          </cell>
          <cell r="C2206" t="str">
            <v>PMC</v>
          </cell>
          <cell r="D2206">
            <v>692.34</v>
          </cell>
          <cell r="E2206">
            <v>0</v>
          </cell>
          <cell r="F2206">
            <v>0</v>
          </cell>
          <cell r="G2206">
            <v>0</v>
          </cell>
          <cell r="H2206">
            <v>692.34</v>
          </cell>
        </row>
        <row r="2207">
          <cell r="A2207" t="str">
            <v>00386632</v>
          </cell>
          <cell r="B2207" t="str">
            <v>SD NUKLAD SL SET COLOR +FIL XXXXCCEU2250</v>
          </cell>
          <cell r="C2207" t="str">
            <v>PMC</v>
          </cell>
          <cell r="D2207">
            <v>825.76</v>
          </cell>
          <cell r="E2207">
            <v>0</v>
          </cell>
          <cell r="F2207">
            <v>0</v>
          </cell>
          <cell r="G2207">
            <v>0</v>
          </cell>
          <cell r="H2207">
            <v>825.76</v>
          </cell>
        </row>
        <row r="2208">
          <cell r="A2208" t="str">
            <v>00316385</v>
          </cell>
          <cell r="B2208" t="str">
            <v>SD PSX 700 SET (X)          XXXXCCEU1500</v>
          </cell>
          <cell r="C2208" t="str">
            <v>PMC</v>
          </cell>
          <cell r="D2208">
            <v>869.48</v>
          </cell>
          <cell r="E2208">
            <v>0</v>
          </cell>
          <cell r="F2208">
            <v>0</v>
          </cell>
          <cell r="G2208">
            <v>0</v>
          </cell>
          <cell r="H2208">
            <v>869.48</v>
          </cell>
        </row>
        <row r="2209">
          <cell r="A2209" t="str">
            <v>00316386</v>
          </cell>
          <cell r="B2209" t="str">
            <v>SD PSX 700 SET (X)          XXXXCCEU2200</v>
          </cell>
          <cell r="C2209" t="str">
            <v>PMC</v>
          </cell>
          <cell r="D2209">
            <v>3114.99</v>
          </cell>
          <cell r="E2209">
            <v>0</v>
          </cell>
          <cell r="F2209">
            <v>0</v>
          </cell>
          <cell r="G2209">
            <v>0</v>
          </cell>
          <cell r="H2209">
            <v>3114.99</v>
          </cell>
        </row>
        <row r="2210">
          <cell r="A2210" t="str">
            <v>00331931</v>
          </cell>
          <cell r="B2210" t="str">
            <v>SD S'COVER 2 SET (X)        XXXXCCEU1400</v>
          </cell>
          <cell r="C2210" t="str">
            <v>PMC</v>
          </cell>
          <cell r="D2210">
            <v>166.31</v>
          </cell>
          <cell r="E2210">
            <v>0</v>
          </cell>
          <cell r="F2210">
            <v>0</v>
          </cell>
          <cell r="G2210">
            <v>0</v>
          </cell>
          <cell r="H2210">
            <v>166.31</v>
          </cell>
        </row>
        <row r="2211">
          <cell r="A2211" t="str">
            <v>00331930</v>
          </cell>
          <cell r="B2211" t="str">
            <v>SD S'COVER 2 SET (X)        XXXXCCEU2200</v>
          </cell>
          <cell r="C2211" t="str">
            <v>PMC</v>
          </cell>
          <cell r="D2211">
            <v>745.2</v>
          </cell>
          <cell r="E2211">
            <v>0</v>
          </cell>
          <cell r="F2211">
            <v>0</v>
          </cell>
          <cell r="G2211">
            <v>0</v>
          </cell>
          <cell r="H2211">
            <v>745.2</v>
          </cell>
        </row>
        <row r="2212">
          <cell r="A2212" t="str">
            <v>00228252</v>
          </cell>
          <cell r="B2212" t="str">
            <v>SD S'COVER 256 SET          XXXXCCEU1400</v>
          </cell>
          <cell r="C2212" t="str">
            <v>PMC</v>
          </cell>
          <cell r="D2212">
            <v>163.4</v>
          </cell>
          <cell r="E2212">
            <v>0</v>
          </cell>
          <cell r="F2212">
            <v>0</v>
          </cell>
          <cell r="G2212">
            <v>0</v>
          </cell>
          <cell r="H2212">
            <v>163.4</v>
          </cell>
        </row>
        <row r="2213">
          <cell r="A2213" t="str">
            <v>00217190</v>
          </cell>
          <cell r="B2213" t="str">
            <v>SD S'COVER 256 SET          XXXXCCEU2200</v>
          </cell>
          <cell r="C2213" t="str">
            <v>PMC</v>
          </cell>
          <cell r="D2213">
            <v>816.99</v>
          </cell>
          <cell r="E2213">
            <v>0</v>
          </cell>
          <cell r="F2213">
            <v>0</v>
          </cell>
          <cell r="G2213">
            <v>0</v>
          </cell>
          <cell r="H2213">
            <v>816.99</v>
          </cell>
        </row>
        <row r="2214">
          <cell r="A2214" t="str">
            <v>00326978</v>
          </cell>
          <cell r="B2214" t="str">
            <v>SD S'COVER 350 LT SET (X)   XXXXCCEU2200</v>
          </cell>
          <cell r="C2214" t="str">
            <v>PMC</v>
          </cell>
          <cell r="D2214">
            <v>707.88</v>
          </cell>
          <cell r="E2214">
            <v>0</v>
          </cell>
          <cell r="F2214">
            <v>0</v>
          </cell>
          <cell r="G2214">
            <v>0</v>
          </cell>
          <cell r="H2214">
            <v>707.88</v>
          </cell>
        </row>
        <row r="2215">
          <cell r="A2215" t="str">
            <v>00318281</v>
          </cell>
          <cell r="B2215" t="str">
            <v>SD S'COVER 350 SET (X)      XXXXCCEU2200</v>
          </cell>
          <cell r="C2215" t="str">
            <v>PMC</v>
          </cell>
          <cell r="D2215">
            <v>743.65</v>
          </cell>
          <cell r="E2215">
            <v>0</v>
          </cell>
          <cell r="F2215">
            <v>0</v>
          </cell>
          <cell r="G2215">
            <v>0</v>
          </cell>
          <cell r="H2215">
            <v>743.65</v>
          </cell>
        </row>
        <row r="2216">
          <cell r="A2216" t="str">
            <v>00331900</v>
          </cell>
          <cell r="B2216" t="str">
            <v>SD S'COVER 400 SET (X)      XXXXCCEU1400</v>
          </cell>
          <cell r="C2216" t="str">
            <v>PMC</v>
          </cell>
          <cell r="D2216">
            <v>158.44</v>
          </cell>
          <cell r="E2216">
            <v>0</v>
          </cell>
          <cell r="F2216">
            <v>0</v>
          </cell>
          <cell r="G2216">
            <v>0</v>
          </cell>
          <cell r="H2216">
            <v>158.44</v>
          </cell>
        </row>
        <row r="2217">
          <cell r="A2217" t="str">
            <v>00331899</v>
          </cell>
          <cell r="B2217" t="str">
            <v>SD S'COVER 400 SET (X)      XXXXCCEU2200</v>
          </cell>
          <cell r="C2217" t="str">
            <v>PMC</v>
          </cell>
          <cell r="D2217">
            <v>709.89</v>
          </cell>
          <cell r="E2217">
            <v>0</v>
          </cell>
          <cell r="F2217">
            <v>0</v>
          </cell>
          <cell r="G2217">
            <v>0</v>
          </cell>
          <cell r="H2217">
            <v>709.89</v>
          </cell>
        </row>
        <row r="2218">
          <cell r="A2218" t="str">
            <v>00192435</v>
          </cell>
          <cell r="B2218" t="str">
            <v>SD S'COVER 456 HS SET (X)   XXXXCCEU1400</v>
          </cell>
          <cell r="C2218" t="str">
            <v>PMC</v>
          </cell>
          <cell r="D2218">
            <v>182.48</v>
          </cell>
          <cell r="E2218">
            <v>0</v>
          </cell>
          <cell r="F2218">
            <v>0</v>
          </cell>
          <cell r="G2218">
            <v>0</v>
          </cell>
          <cell r="H2218">
            <v>182.48</v>
          </cell>
        </row>
        <row r="2219">
          <cell r="A2219" t="str">
            <v>00192447</v>
          </cell>
          <cell r="B2219" t="str">
            <v>SD S'COVER 456 HS SET (X)   XXXXCCEU2200</v>
          </cell>
          <cell r="C2219" t="str">
            <v>PMC</v>
          </cell>
          <cell r="D2219">
            <v>817.28</v>
          </cell>
          <cell r="E2219">
            <v>0</v>
          </cell>
          <cell r="F2219">
            <v>0</v>
          </cell>
          <cell r="G2219">
            <v>0</v>
          </cell>
          <cell r="H2219">
            <v>817.28</v>
          </cell>
        </row>
        <row r="2220">
          <cell r="A2220" t="str">
            <v>00192454</v>
          </cell>
          <cell r="B2220" t="str">
            <v>SD S'COVER 456 SET (X)      XXXXCCEU1400</v>
          </cell>
          <cell r="C2220" t="str">
            <v>PMC</v>
          </cell>
          <cell r="D2220">
            <v>144.27000000000001</v>
          </cell>
          <cell r="E2220">
            <v>0</v>
          </cell>
          <cell r="F2220">
            <v>0</v>
          </cell>
          <cell r="G2220">
            <v>0</v>
          </cell>
          <cell r="H2220">
            <v>144.27000000000001</v>
          </cell>
        </row>
        <row r="2221">
          <cell r="A2221" t="str">
            <v>00192455</v>
          </cell>
          <cell r="B2221" t="str">
            <v>SD S'COVER 456 SET (X)      XXXXCCEU2200</v>
          </cell>
          <cell r="C2221" t="str">
            <v>PMC</v>
          </cell>
          <cell r="D2221">
            <v>645.79999999999995</v>
          </cell>
          <cell r="E2221">
            <v>0</v>
          </cell>
          <cell r="F2221">
            <v>0</v>
          </cell>
          <cell r="G2221">
            <v>0</v>
          </cell>
          <cell r="H2221">
            <v>645.79999999999995</v>
          </cell>
        </row>
        <row r="2222">
          <cell r="A2222" t="str">
            <v>00246324</v>
          </cell>
          <cell r="B2222" t="str">
            <v>SD S'DUR 1800 SET (X)       XXXXCCEU1400</v>
          </cell>
          <cell r="C2222" t="str">
            <v>PMC</v>
          </cell>
          <cell r="D2222">
            <v>281.16000000000003</v>
          </cell>
          <cell r="E2222">
            <v>0</v>
          </cell>
          <cell r="F2222">
            <v>0</v>
          </cell>
          <cell r="G2222">
            <v>0</v>
          </cell>
          <cell r="H2222">
            <v>281.16000000000003</v>
          </cell>
        </row>
        <row r="2223">
          <cell r="A2223" t="str">
            <v>00246328</v>
          </cell>
          <cell r="B2223" t="str">
            <v>SD S'DUR 1800 SET (X)       XXXXCCEU2200</v>
          </cell>
          <cell r="C2223" t="str">
            <v>PMC</v>
          </cell>
          <cell r="D2223">
            <v>1258.54</v>
          </cell>
          <cell r="E2223">
            <v>0</v>
          </cell>
          <cell r="F2223">
            <v>0</v>
          </cell>
          <cell r="G2223">
            <v>0</v>
          </cell>
          <cell r="H2223">
            <v>1258.54</v>
          </cell>
        </row>
        <row r="2224">
          <cell r="A2224" t="str">
            <v>00202826</v>
          </cell>
          <cell r="B2224" t="str">
            <v>SD S'DUR 520 SET (X)        XXXXCCEU2200</v>
          </cell>
          <cell r="C2224" t="str">
            <v>PMC</v>
          </cell>
          <cell r="D2224">
            <v>936.93</v>
          </cell>
          <cell r="E2224">
            <v>0</v>
          </cell>
          <cell r="F2224">
            <v>0</v>
          </cell>
          <cell r="G2224">
            <v>0</v>
          </cell>
          <cell r="H2224">
            <v>936.93</v>
          </cell>
        </row>
        <row r="2225">
          <cell r="A2225" t="str">
            <v>00202827</v>
          </cell>
          <cell r="B2225" t="str">
            <v>SD S'DUR 540 SET (X)        XXXXCCEU1400</v>
          </cell>
          <cell r="C2225" t="str">
            <v>PMC</v>
          </cell>
          <cell r="D2225">
            <v>216.33</v>
          </cell>
          <cell r="E2225">
            <v>0</v>
          </cell>
          <cell r="F2225">
            <v>0</v>
          </cell>
          <cell r="G2225">
            <v>0</v>
          </cell>
          <cell r="H2225">
            <v>216.33</v>
          </cell>
        </row>
        <row r="2226">
          <cell r="A2226" t="str">
            <v>00202828</v>
          </cell>
          <cell r="B2226" t="str">
            <v>SD S'DUR 540 SET (X)        XXXXCCEU2200</v>
          </cell>
          <cell r="C2226" t="str">
            <v>PMC</v>
          </cell>
          <cell r="D2226">
            <v>968.82</v>
          </cell>
          <cell r="E2226">
            <v>0</v>
          </cell>
          <cell r="F2226">
            <v>0</v>
          </cell>
          <cell r="G2226">
            <v>0</v>
          </cell>
          <cell r="H2226">
            <v>968.82</v>
          </cell>
        </row>
        <row r="2227">
          <cell r="A2227" t="str">
            <v>00332556</v>
          </cell>
          <cell r="B2227" t="str">
            <v>SD S'DUR 550H SET (X)       XXXXCCEU1400</v>
          </cell>
          <cell r="C2227" t="str">
            <v>PMC</v>
          </cell>
          <cell r="D2227">
            <v>75.06</v>
          </cell>
          <cell r="E2227">
            <v>0</v>
          </cell>
          <cell r="F2227">
            <v>0</v>
          </cell>
          <cell r="G2227">
            <v>0</v>
          </cell>
          <cell r="H2227">
            <v>75.06</v>
          </cell>
        </row>
        <row r="2228">
          <cell r="A2228" t="str">
            <v>00324601</v>
          </cell>
          <cell r="B2228" t="str">
            <v>SD S'DUR 550H SET (X)       XXXXCCEU2200</v>
          </cell>
          <cell r="C2228" t="str">
            <v>PMC</v>
          </cell>
          <cell r="D2228">
            <v>375.37</v>
          </cell>
          <cell r="E2228">
            <v>0</v>
          </cell>
          <cell r="F2228">
            <v>0</v>
          </cell>
          <cell r="G2228">
            <v>0</v>
          </cell>
          <cell r="H2228">
            <v>375.37</v>
          </cell>
        </row>
        <row r="2229">
          <cell r="A2229" t="str">
            <v>00320432</v>
          </cell>
          <cell r="B2229" t="str">
            <v>SD S'FAST 205 LT SET (X)    XXXXCCEU1400</v>
          </cell>
          <cell r="C2229" t="str">
            <v>PMC</v>
          </cell>
          <cell r="D2229">
            <v>110.89</v>
          </cell>
          <cell r="E2229">
            <v>0</v>
          </cell>
          <cell r="F2229">
            <v>0</v>
          </cell>
          <cell r="G2229">
            <v>0</v>
          </cell>
          <cell r="H2229">
            <v>110.89</v>
          </cell>
        </row>
        <row r="2230">
          <cell r="A2230" t="str">
            <v>00320433</v>
          </cell>
          <cell r="B2230" t="str">
            <v>SD S'FAST 205 LT SET (X)    XXXXCCEU2200</v>
          </cell>
          <cell r="C2230" t="str">
            <v>PMC</v>
          </cell>
          <cell r="D2230">
            <v>496.29</v>
          </cell>
          <cell r="E2230">
            <v>0</v>
          </cell>
          <cell r="F2230">
            <v>0</v>
          </cell>
          <cell r="G2230">
            <v>0</v>
          </cell>
          <cell r="H2230">
            <v>496.29</v>
          </cell>
        </row>
        <row r="2231">
          <cell r="A2231" t="str">
            <v>00227252</v>
          </cell>
          <cell r="B2231" t="str">
            <v>SD S'FAST 205 SET(X)        XXXXCCEU1400</v>
          </cell>
          <cell r="C2231" t="str">
            <v>PMC</v>
          </cell>
          <cell r="D2231">
            <v>36</v>
          </cell>
          <cell r="E2231">
            <v>0</v>
          </cell>
          <cell r="F2231">
            <v>0</v>
          </cell>
          <cell r="G2231">
            <v>0</v>
          </cell>
          <cell r="H2231">
            <v>36</v>
          </cell>
        </row>
        <row r="2232">
          <cell r="A2232" t="str">
            <v>00227253</v>
          </cell>
          <cell r="B2232" t="str">
            <v>SD S'FAST 205 SET(X)        XXXXCCEU2200</v>
          </cell>
          <cell r="C2232" t="str">
            <v>PMC</v>
          </cell>
          <cell r="D2232">
            <v>180.02</v>
          </cell>
          <cell r="E2232">
            <v>0</v>
          </cell>
          <cell r="F2232">
            <v>0</v>
          </cell>
          <cell r="G2232">
            <v>0</v>
          </cell>
          <cell r="H2232">
            <v>180.02</v>
          </cell>
        </row>
        <row r="2233">
          <cell r="A2233" t="str">
            <v>00365420</v>
          </cell>
          <cell r="B2233" t="str">
            <v>SD S'FAST 210 HS SET (X)    XXXXCCEU1400</v>
          </cell>
          <cell r="C2233" t="str">
            <v>PMC</v>
          </cell>
          <cell r="D2233">
            <v>144.82</v>
          </cell>
          <cell r="E2233">
            <v>0</v>
          </cell>
          <cell r="F2233">
            <v>0</v>
          </cell>
          <cell r="G2233">
            <v>0</v>
          </cell>
          <cell r="H2233">
            <v>144.82</v>
          </cell>
        </row>
        <row r="2234">
          <cell r="A2234" t="str">
            <v>00365421</v>
          </cell>
          <cell r="B2234" t="str">
            <v>SD S'FAST 210 HS SET (X)    XXXXCCEU2200</v>
          </cell>
          <cell r="C2234" t="str">
            <v>PMC</v>
          </cell>
          <cell r="D2234">
            <v>783.95</v>
          </cell>
          <cell r="E2234">
            <v>0</v>
          </cell>
          <cell r="F2234">
            <v>0</v>
          </cell>
          <cell r="G2234">
            <v>0</v>
          </cell>
          <cell r="H2234">
            <v>783.95</v>
          </cell>
        </row>
        <row r="2235">
          <cell r="A2235" t="str">
            <v>00345822</v>
          </cell>
          <cell r="B2235" t="str">
            <v>SD S'FAST 278 SET (X)         XXXXCC1400</v>
          </cell>
          <cell r="C2235" t="str">
            <v>PMC</v>
          </cell>
          <cell r="D2235">
            <v>107.14</v>
          </cell>
          <cell r="E2235">
            <v>0</v>
          </cell>
          <cell r="F2235">
            <v>0</v>
          </cell>
          <cell r="G2235">
            <v>0</v>
          </cell>
          <cell r="H2235">
            <v>107.14</v>
          </cell>
        </row>
        <row r="2236">
          <cell r="A2236" t="str">
            <v>00345821</v>
          </cell>
          <cell r="B2236" t="str">
            <v>SD S'FAST 278 SET (X)         XXXXCC2200</v>
          </cell>
          <cell r="C2236" t="str">
            <v>PMC</v>
          </cell>
          <cell r="D2236">
            <v>479.72</v>
          </cell>
          <cell r="E2236">
            <v>0</v>
          </cell>
          <cell r="F2236">
            <v>0</v>
          </cell>
          <cell r="G2236">
            <v>0</v>
          </cell>
          <cell r="H2236">
            <v>479.72</v>
          </cell>
        </row>
        <row r="2237">
          <cell r="A2237" t="str">
            <v>00437912</v>
          </cell>
          <cell r="B2237" t="str">
            <v>SD S'FAST 278 SET (X)      NXXXXCCEU1400</v>
          </cell>
          <cell r="C2237" t="str">
            <v>PMC</v>
          </cell>
          <cell r="D2237">
            <v>117.32</v>
          </cell>
          <cell r="E2237">
            <v>0</v>
          </cell>
          <cell r="F2237">
            <v>0</v>
          </cell>
          <cell r="G2237">
            <v>0</v>
          </cell>
          <cell r="H2237">
            <v>117.32</v>
          </cell>
        </row>
        <row r="2238">
          <cell r="A2238" t="str">
            <v>00437913</v>
          </cell>
          <cell r="B2238" t="str">
            <v>SD S'FAST 278 SET (X)      NXXXXCCEU2200</v>
          </cell>
          <cell r="C2238" t="str">
            <v>PMC</v>
          </cell>
          <cell r="D2238">
            <v>525.29</v>
          </cell>
          <cell r="E2238">
            <v>0</v>
          </cell>
          <cell r="F2238">
            <v>0</v>
          </cell>
          <cell r="G2238">
            <v>0</v>
          </cell>
          <cell r="H2238">
            <v>525.29</v>
          </cell>
        </row>
        <row r="2239">
          <cell r="A2239" t="str">
            <v>00346487</v>
          </cell>
          <cell r="B2239" t="str">
            <v>SD S'SHIELD 880 SET (X)     XXXXCCEU1400</v>
          </cell>
          <cell r="C2239" t="str">
            <v>PMC</v>
          </cell>
          <cell r="D2239">
            <v>94.55</v>
          </cell>
          <cell r="E2239">
            <v>0</v>
          </cell>
          <cell r="F2239">
            <v>0</v>
          </cell>
          <cell r="G2239">
            <v>0</v>
          </cell>
          <cell r="H2239">
            <v>94.55</v>
          </cell>
        </row>
        <row r="2240">
          <cell r="A2240" t="str">
            <v>00323739</v>
          </cell>
          <cell r="B2240" t="str">
            <v>SD S'SHIELD 880 SET (X)     XXXXCCEU2200</v>
          </cell>
          <cell r="C2240" t="str">
            <v>PMC</v>
          </cell>
          <cell r="D2240">
            <v>472.82</v>
          </cell>
          <cell r="E2240">
            <v>0</v>
          </cell>
          <cell r="F2240">
            <v>0</v>
          </cell>
          <cell r="G2240">
            <v>0</v>
          </cell>
          <cell r="H2240">
            <v>472.82</v>
          </cell>
        </row>
        <row r="2241">
          <cell r="A2241" t="str">
            <v>00236081</v>
          </cell>
          <cell r="B2241" t="str">
            <v>S'DUR 1800 SET WHITE          7000002200</v>
          </cell>
          <cell r="C2241" t="str">
            <v>PMC</v>
          </cell>
          <cell r="D2241">
            <v>1155.4000000000001</v>
          </cell>
          <cell r="E2241">
            <v>0</v>
          </cell>
          <cell r="F2241">
            <v>0</v>
          </cell>
          <cell r="G2241">
            <v>0</v>
          </cell>
          <cell r="H2241">
            <v>1155.4000000000001</v>
          </cell>
        </row>
        <row r="2242">
          <cell r="A2242" t="str">
            <v>00312276</v>
          </cell>
          <cell r="B2242" t="str">
            <v>S'DUR 520 SET ALU DARK        9001002200</v>
          </cell>
          <cell r="C2242" t="str">
            <v>PMC</v>
          </cell>
          <cell r="D2242">
            <v>817.28</v>
          </cell>
          <cell r="E2242">
            <v>0</v>
          </cell>
          <cell r="F2242">
            <v>0</v>
          </cell>
          <cell r="G2242">
            <v>0</v>
          </cell>
          <cell r="H2242">
            <v>817.28</v>
          </cell>
        </row>
        <row r="2243">
          <cell r="A2243" t="str">
            <v>00312273</v>
          </cell>
          <cell r="B2243" t="str">
            <v>S'DUR 520 SET ALU LIGHT       9000001400</v>
          </cell>
          <cell r="C2243" t="str">
            <v>PMC</v>
          </cell>
          <cell r="D2243">
            <v>182.48</v>
          </cell>
          <cell r="E2243">
            <v>0</v>
          </cell>
          <cell r="F2243">
            <v>0</v>
          </cell>
          <cell r="G2243">
            <v>0</v>
          </cell>
          <cell r="H2243">
            <v>182.48</v>
          </cell>
        </row>
        <row r="2244">
          <cell r="A2244" t="str">
            <v>00312274</v>
          </cell>
          <cell r="B2244" t="str">
            <v>S'DUR 520 SET ALU LIGHT       9000002200</v>
          </cell>
          <cell r="C2244" t="str">
            <v>PMC</v>
          </cell>
          <cell r="D2244">
            <v>817.28</v>
          </cell>
          <cell r="E2244">
            <v>0</v>
          </cell>
          <cell r="F2244">
            <v>0</v>
          </cell>
          <cell r="G2244">
            <v>0</v>
          </cell>
          <cell r="H2244">
            <v>817.28</v>
          </cell>
        </row>
        <row r="2245">
          <cell r="A2245" t="str">
            <v>00181858</v>
          </cell>
          <cell r="B2245" t="str">
            <v>S'DUR 520 SET RAL             7035262200</v>
          </cell>
          <cell r="C2245" t="str">
            <v>PMC</v>
          </cell>
          <cell r="D2245">
            <v>968.82</v>
          </cell>
          <cell r="E2245">
            <v>0</v>
          </cell>
          <cell r="F2245">
            <v>0</v>
          </cell>
          <cell r="G2245">
            <v>0</v>
          </cell>
          <cell r="H2245">
            <v>968.82</v>
          </cell>
        </row>
        <row r="2246">
          <cell r="A2246" t="str">
            <v>00180149</v>
          </cell>
          <cell r="B2246" t="str">
            <v>S'DUR 520 SET RAL             9010262200</v>
          </cell>
          <cell r="C2246" t="str">
            <v>PMC</v>
          </cell>
          <cell r="D2246">
            <v>968.82</v>
          </cell>
          <cell r="E2246">
            <v>0</v>
          </cell>
          <cell r="F2246">
            <v>0</v>
          </cell>
          <cell r="G2246">
            <v>0</v>
          </cell>
          <cell r="H2246">
            <v>968.82</v>
          </cell>
        </row>
        <row r="2247">
          <cell r="A2247" t="str">
            <v>00239976</v>
          </cell>
          <cell r="B2247" t="str">
            <v>S'DUR 550 SET BLACK           8000002200</v>
          </cell>
          <cell r="C2247" t="str">
            <v>PMC</v>
          </cell>
          <cell r="D2247">
            <v>799.9</v>
          </cell>
          <cell r="E2247">
            <v>0</v>
          </cell>
          <cell r="F2247">
            <v>0</v>
          </cell>
          <cell r="G2247">
            <v>0</v>
          </cell>
          <cell r="H2247">
            <v>799.9</v>
          </cell>
        </row>
        <row r="2248">
          <cell r="A2248" t="str">
            <v>00240482</v>
          </cell>
          <cell r="B2248" t="str">
            <v>S'DUR 550 SET GREEN           4199052200</v>
          </cell>
          <cell r="C2248" t="str">
            <v>PMC</v>
          </cell>
          <cell r="D2248">
            <v>987.34</v>
          </cell>
          <cell r="E2248">
            <v>0</v>
          </cell>
          <cell r="F2248">
            <v>0</v>
          </cell>
          <cell r="G2248">
            <v>0</v>
          </cell>
          <cell r="H2248">
            <v>987.34</v>
          </cell>
        </row>
        <row r="2249">
          <cell r="A2249" t="str">
            <v>00239995</v>
          </cell>
          <cell r="B2249" t="str">
            <v>S'DUR 550 SET GREY            5177052200</v>
          </cell>
          <cell r="C2249" t="str">
            <v>PMC</v>
          </cell>
          <cell r="D2249">
            <v>987.34</v>
          </cell>
          <cell r="E2249">
            <v>0</v>
          </cell>
          <cell r="F2249">
            <v>0</v>
          </cell>
          <cell r="G2249">
            <v>0</v>
          </cell>
          <cell r="H2249">
            <v>987.34</v>
          </cell>
        </row>
        <row r="2250">
          <cell r="A2250" t="str">
            <v>00242085</v>
          </cell>
          <cell r="B2250" t="str">
            <v>S'DUR 550 SET REDBROWN        6179052200</v>
          </cell>
          <cell r="C2250" t="str">
            <v>PMC</v>
          </cell>
          <cell r="D2250">
            <v>987.34</v>
          </cell>
          <cell r="E2250">
            <v>0</v>
          </cell>
          <cell r="F2250">
            <v>0</v>
          </cell>
          <cell r="G2250">
            <v>0</v>
          </cell>
          <cell r="H2250">
            <v>987.34</v>
          </cell>
        </row>
        <row r="2251">
          <cell r="A2251" t="str">
            <v>00192494</v>
          </cell>
          <cell r="B2251" t="str">
            <v>S'DUR CLEARCOAT SET           0000CL1400</v>
          </cell>
          <cell r="C2251" t="str">
            <v>PMC</v>
          </cell>
          <cell r="D2251">
            <v>115.37</v>
          </cell>
          <cell r="E2251">
            <v>0</v>
          </cell>
          <cell r="F2251">
            <v>0</v>
          </cell>
          <cell r="G2251">
            <v>0</v>
          </cell>
          <cell r="H2251">
            <v>115.37</v>
          </cell>
        </row>
        <row r="2252">
          <cell r="A2252" t="str">
            <v>00217280</v>
          </cell>
          <cell r="B2252" t="str">
            <v>S'FAST 20 BLACK RAL         900526EU2200</v>
          </cell>
          <cell r="C2252" t="str">
            <v>PMC</v>
          </cell>
          <cell r="D2252">
            <v>141.57</v>
          </cell>
          <cell r="E2252">
            <v>0</v>
          </cell>
          <cell r="F2252">
            <v>0</v>
          </cell>
          <cell r="G2252">
            <v>0</v>
          </cell>
          <cell r="H2252">
            <v>141.57</v>
          </cell>
        </row>
        <row r="2253">
          <cell r="A2253" t="str">
            <v>00311403</v>
          </cell>
          <cell r="B2253" t="str">
            <v>S'FAST 20 DARK CAPE YELLOW  300500EU1500</v>
          </cell>
          <cell r="C2253" t="str">
            <v>PMC</v>
          </cell>
          <cell r="D2253">
            <v>69.47</v>
          </cell>
          <cell r="E2253">
            <v>0</v>
          </cell>
          <cell r="F2253">
            <v>0</v>
          </cell>
          <cell r="G2253">
            <v>0</v>
          </cell>
          <cell r="H2253">
            <v>69.47</v>
          </cell>
        </row>
        <row r="2254">
          <cell r="A2254" t="str">
            <v>00261715</v>
          </cell>
          <cell r="B2254" t="str">
            <v>S'FAST 20 GREY              500000EU2200</v>
          </cell>
          <cell r="C2254" t="str">
            <v>PMC</v>
          </cell>
          <cell r="D2254">
            <v>224.48</v>
          </cell>
          <cell r="E2254">
            <v>0</v>
          </cell>
          <cell r="F2254">
            <v>0</v>
          </cell>
          <cell r="G2254">
            <v>0</v>
          </cell>
          <cell r="H2254">
            <v>224.48</v>
          </cell>
        </row>
        <row r="2255">
          <cell r="A2255" t="str">
            <v>00311401</v>
          </cell>
          <cell r="B2255" t="str">
            <v>S'FAST 20 LIGHT BROWN       200500EU1500</v>
          </cell>
          <cell r="C2255" t="str">
            <v>PMC</v>
          </cell>
          <cell r="D2255">
            <v>59.71</v>
          </cell>
          <cell r="E2255">
            <v>0</v>
          </cell>
          <cell r="F2255">
            <v>0</v>
          </cell>
          <cell r="G2255">
            <v>0</v>
          </cell>
          <cell r="H2255">
            <v>59.71</v>
          </cell>
        </row>
        <row r="2256">
          <cell r="A2256" t="str">
            <v>00312468</v>
          </cell>
          <cell r="B2256" t="str">
            <v>S'FAST 20 OFFWHITE          700100EU1500</v>
          </cell>
          <cell r="C2256" t="str">
            <v>PMC</v>
          </cell>
          <cell r="D2256">
            <v>62.52</v>
          </cell>
          <cell r="E2256">
            <v>0</v>
          </cell>
          <cell r="F2256">
            <v>0</v>
          </cell>
          <cell r="G2256">
            <v>0</v>
          </cell>
          <cell r="H2256">
            <v>62.52</v>
          </cell>
        </row>
        <row r="2257">
          <cell r="A2257" t="str">
            <v>00312469</v>
          </cell>
          <cell r="B2257" t="str">
            <v>S'FAST 20 OFFWHITE          700100EU2200</v>
          </cell>
          <cell r="C2257" t="str">
            <v>PMC</v>
          </cell>
          <cell r="D2257">
            <v>223.91</v>
          </cell>
          <cell r="E2257">
            <v>0</v>
          </cell>
          <cell r="F2257">
            <v>0</v>
          </cell>
          <cell r="G2257">
            <v>0</v>
          </cell>
          <cell r="H2257">
            <v>223.91</v>
          </cell>
        </row>
        <row r="2258">
          <cell r="A2258" t="str">
            <v>00181056</v>
          </cell>
          <cell r="B2258" t="str">
            <v>S'FAST 20 RAL               703526EU2200</v>
          </cell>
          <cell r="C2258" t="str">
            <v>PMC</v>
          </cell>
          <cell r="D2258">
            <v>272.61</v>
          </cell>
          <cell r="E2258">
            <v>0</v>
          </cell>
          <cell r="F2258">
            <v>0</v>
          </cell>
          <cell r="G2258">
            <v>0</v>
          </cell>
          <cell r="H2258">
            <v>272.61</v>
          </cell>
        </row>
        <row r="2259">
          <cell r="A2259" t="str">
            <v>00181054</v>
          </cell>
          <cell r="B2259" t="str">
            <v>S'FAST 20 RAL               704226EU2200</v>
          </cell>
          <cell r="C2259" t="str">
            <v>PMC</v>
          </cell>
          <cell r="D2259">
            <v>224.48</v>
          </cell>
          <cell r="E2259">
            <v>0</v>
          </cell>
          <cell r="F2259">
            <v>0</v>
          </cell>
          <cell r="G2259">
            <v>0</v>
          </cell>
          <cell r="H2259">
            <v>224.48</v>
          </cell>
        </row>
        <row r="2260">
          <cell r="A2260" t="str">
            <v>00199088</v>
          </cell>
          <cell r="B2260" t="str">
            <v>S'FAST 20 REDBROWN          200800EU1500</v>
          </cell>
          <cell r="C2260" t="str">
            <v>PMC</v>
          </cell>
          <cell r="D2260">
            <v>62.52</v>
          </cell>
          <cell r="E2260">
            <v>0</v>
          </cell>
          <cell r="F2260">
            <v>0</v>
          </cell>
          <cell r="G2260">
            <v>0</v>
          </cell>
          <cell r="H2260">
            <v>62.52</v>
          </cell>
        </row>
        <row r="2261">
          <cell r="A2261" t="str">
            <v>00178249</v>
          </cell>
          <cell r="B2261" t="str">
            <v>S'FAST 20 REDBROWN          200800EU2200</v>
          </cell>
          <cell r="C2261" t="str">
            <v>PMC</v>
          </cell>
          <cell r="D2261">
            <v>224.48</v>
          </cell>
          <cell r="E2261">
            <v>0</v>
          </cell>
          <cell r="F2261">
            <v>0</v>
          </cell>
          <cell r="G2261">
            <v>0</v>
          </cell>
          <cell r="H2261">
            <v>224.48</v>
          </cell>
        </row>
        <row r="2262">
          <cell r="A2262" t="str">
            <v>00317935</v>
          </cell>
          <cell r="B2262" t="str">
            <v>S'FAST 205 LT SET RAL         3009262200</v>
          </cell>
          <cell r="C2262" t="str">
            <v>PMC</v>
          </cell>
          <cell r="D2262">
            <v>428.54</v>
          </cell>
          <cell r="E2262">
            <v>0</v>
          </cell>
          <cell r="F2262">
            <v>0</v>
          </cell>
          <cell r="G2262">
            <v>0</v>
          </cell>
          <cell r="H2262">
            <v>428.54</v>
          </cell>
        </row>
        <row r="2263">
          <cell r="A2263" t="str">
            <v>00317936</v>
          </cell>
          <cell r="B2263" t="str">
            <v>S'FAST 205 LT SET RAL         7001262200</v>
          </cell>
          <cell r="C2263" t="str">
            <v>PMC</v>
          </cell>
          <cell r="D2263">
            <v>428.54</v>
          </cell>
          <cell r="E2263">
            <v>0</v>
          </cell>
          <cell r="F2263">
            <v>0</v>
          </cell>
          <cell r="G2263">
            <v>0</v>
          </cell>
          <cell r="H2263">
            <v>428.54</v>
          </cell>
        </row>
        <row r="2264">
          <cell r="A2264" t="str">
            <v>00314463</v>
          </cell>
          <cell r="B2264" t="str">
            <v>S'FAST 205 LT SET RAL         7035262200</v>
          </cell>
          <cell r="C2264" t="str">
            <v>PMC</v>
          </cell>
          <cell r="D2264">
            <v>428.54</v>
          </cell>
          <cell r="E2264">
            <v>0</v>
          </cell>
          <cell r="F2264">
            <v>0</v>
          </cell>
          <cell r="G2264">
            <v>0</v>
          </cell>
          <cell r="H2264">
            <v>428.54</v>
          </cell>
        </row>
        <row r="2265">
          <cell r="A2265" t="str">
            <v>00317937</v>
          </cell>
          <cell r="B2265" t="str">
            <v>S'FAST 205 LT SET RAL         9010262200</v>
          </cell>
          <cell r="C2265" t="str">
            <v>PMC</v>
          </cell>
          <cell r="D2265">
            <v>428.54</v>
          </cell>
          <cell r="E2265">
            <v>0</v>
          </cell>
          <cell r="F2265">
            <v>0</v>
          </cell>
          <cell r="G2265">
            <v>0</v>
          </cell>
          <cell r="H2265">
            <v>428.54</v>
          </cell>
        </row>
        <row r="2266">
          <cell r="A2266" t="str">
            <v>00276215</v>
          </cell>
          <cell r="B2266" t="str">
            <v>S'FAST 205 SET RAL            3009262200</v>
          </cell>
          <cell r="C2266" t="str">
            <v>PMC</v>
          </cell>
          <cell r="D2266">
            <v>180.02</v>
          </cell>
          <cell r="E2266">
            <v>0</v>
          </cell>
          <cell r="F2266">
            <v>0</v>
          </cell>
          <cell r="G2266">
            <v>0</v>
          </cell>
          <cell r="H2266">
            <v>180.02</v>
          </cell>
        </row>
        <row r="2267">
          <cell r="A2267" t="str">
            <v>00226810</v>
          </cell>
          <cell r="B2267" t="str">
            <v>S'FAST 205 SET RAL            7001262200</v>
          </cell>
          <cell r="C2267" t="str">
            <v>PMC</v>
          </cell>
          <cell r="D2267">
            <v>180.02</v>
          </cell>
          <cell r="E2267">
            <v>0</v>
          </cell>
          <cell r="F2267">
            <v>0</v>
          </cell>
          <cell r="G2267">
            <v>0</v>
          </cell>
          <cell r="H2267">
            <v>180.02</v>
          </cell>
        </row>
        <row r="2268">
          <cell r="A2268" t="str">
            <v>00226633</v>
          </cell>
          <cell r="B2268" t="str">
            <v>S'FAST 205 SET RAL            7016262200</v>
          </cell>
          <cell r="C2268" t="str">
            <v>PMC</v>
          </cell>
          <cell r="D2268">
            <v>180.02</v>
          </cell>
          <cell r="E2268">
            <v>0</v>
          </cell>
          <cell r="F2268">
            <v>0</v>
          </cell>
          <cell r="G2268">
            <v>0</v>
          </cell>
          <cell r="H2268">
            <v>180.02</v>
          </cell>
        </row>
        <row r="2269">
          <cell r="A2269" t="str">
            <v>00231235</v>
          </cell>
          <cell r="B2269" t="str">
            <v>S'FAST 205 SET RAL            7035262200</v>
          </cell>
          <cell r="C2269" t="str">
            <v>PMC</v>
          </cell>
          <cell r="D2269">
            <v>180.02</v>
          </cell>
          <cell r="E2269">
            <v>0</v>
          </cell>
          <cell r="F2269">
            <v>0</v>
          </cell>
          <cell r="G2269">
            <v>0</v>
          </cell>
          <cell r="H2269">
            <v>180.02</v>
          </cell>
        </row>
        <row r="2270">
          <cell r="A2270" t="str">
            <v>00242165</v>
          </cell>
          <cell r="B2270" t="str">
            <v>S'FAST 205 SET RAL            9002262200</v>
          </cell>
          <cell r="C2270" t="str">
            <v>PMC</v>
          </cell>
          <cell r="D2270">
            <v>180.02</v>
          </cell>
          <cell r="E2270">
            <v>0</v>
          </cell>
          <cell r="F2270">
            <v>0</v>
          </cell>
          <cell r="G2270">
            <v>0</v>
          </cell>
          <cell r="H2270">
            <v>180.02</v>
          </cell>
        </row>
        <row r="2271">
          <cell r="A2271" t="str">
            <v>00226812</v>
          </cell>
          <cell r="B2271" t="str">
            <v>S'FAST 205 SET RAL            9010262200</v>
          </cell>
          <cell r="C2271" t="str">
            <v>PMC</v>
          </cell>
          <cell r="D2271">
            <v>180.02</v>
          </cell>
          <cell r="E2271">
            <v>0</v>
          </cell>
          <cell r="F2271">
            <v>0</v>
          </cell>
          <cell r="G2271">
            <v>0</v>
          </cell>
          <cell r="H2271">
            <v>180.02</v>
          </cell>
        </row>
        <row r="2272">
          <cell r="A2272" t="str">
            <v>00386053</v>
          </cell>
          <cell r="B2272" t="str">
            <v>S'FAST 210 HS SET RAL         7035262200</v>
          </cell>
          <cell r="C2272" t="str">
            <v>PMC</v>
          </cell>
          <cell r="D2272">
            <v>748.06</v>
          </cell>
          <cell r="E2272">
            <v>0</v>
          </cell>
          <cell r="F2272">
            <v>0</v>
          </cell>
          <cell r="G2272">
            <v>0</v>
          </cell>
          <cell r="H2272">
            <v>748.06</v>
          </cell>
        </row>
        <row r="2273">
          <cell r="A2273" t="str">
            <v>00387470</v>
          </cell>
          <cell r="B2273" t="str">
            <v>S'FAST 210 HS SET RAL         7046262200</v>
          </cell>
          <cell r="C2273" t="str">
            <v>PMC</v>
          </cell>
          <cell r="D2273">
            <v>783.95</v>
          </cell>
          <cell r="E2273">
            <v>0</v>
          </cell>
          <cell r="F2273">
            <v>0</v>
          </cell>
          <cell r="G2273">
            <v>0</v>
          </cell>
          <cell r="H2273">
            <v>783.95</v>
          </cell>
        </row>
        <row r="2274">
          <cell r="A2274" t="str">
            <v>00373943</v>
          </cell>
          <cell r="B2274" t="str">
            <v>S'FAST 210 HS SET RAL         9005262200</v>
          </cell>
          <cell r="C2274" t="str">
            <v>PMC</v>
          </cell>
          <cell r="D2274">
            <v>783.95</v>
          </cell>
          <cell r="E2274">
            <v>0</v>
          </cell>
          <cell r="F2274">
            <v>0</v>
          </cell>
          <cell r="G2274">
            <v>0</v>
          </cell>
          <cell r="H2274">
            <v>783.95</v>
          </cell>
        </row>
        <row r="2275">
          <cell r="A2275" t="str">
            <v>00351817</v>
          </cell>
          <cell r="B2275" t="str">
            <v>S'FAST 210 HS SET RAL         9010262200</v>
          </cell>
          <cell r="C2275" t="str">
            <v>PMC</v>
          </cell>
          <cell r="D2275">
            <v>865.14</v>
          </cell>
          <cell r="E2275">
            <v>0</v>
          </cell>
          <cell r="F2275">
            <v>0</v>
          </cell>
          <cell r="G2275">
            <v>0</v>
          </cell>
          <cell r="H2275">
            <v>865.14</v>
          </cell>
        </row>
        <row r="2276">
          <cell r="A2276" t="str">
            <v>00436031</v>
          </cell>
          <cell r="B2276" t="str">
            <v>S'FAST 278 SET CREAM         N3012002200</v>
          </cell>
          <cell r="C2276" t="str">
            <v>PMC</v>
          </cell>
          <cell r="D2276">
            <v>453.22</v>
          </cell>
          <cell r="E2276">
            <v>0</v>
          </cell>
          <cell r="F2276">
            <v>0</v>
          </cell>
          <cell r="G2276">
            <v>0</v>
          </cell>
          <cell r="H2276">
            <v>453.22</v>
          </cell>
        </row>
        <row r="2277">
          <cell r="A2277" t="str">
            <v>00437802</v>
          </cell>
          <cell r="B2277" t="str">
            <v>S'FAST 278 SET MIO DARK GREY N9120002200</v>
          </cell>
          <cell r="C2277" t="str">
            <v>PMC</v>
          </cell>
          <cell r="D2277">
            <v>525.29</v>
          </cell>
          <cell r="E2277">
            <v>0</v>
          </cell>
          <cell r="F2277">
            <v>0</v>
          </cell>
          <cell r="G2277">
            <v>0</v>
          </cell>
          <cell r="H2277">
            <v>525.29</v>
          </cell>
        </row>
        <row r="2278">
          <cell r="A2278" t="str">
            <v>00437803</v>
          </cell>
          <cell r="B2278" t="str">
            <v>S'FAST 278 SET OFFWHITE      N7001002200</v>
          </cell>
          <cell r="C2278" t="str">
            <v>PMC</v>
          </cell>
          <cell r="D2278">
            <v>453.22</v>
          </cell>
          <cell r="E2278">
            <v>0</v>
          </cell>
          <cell r="F2278">
            <v>0</v>
          </cell>
          <cell r="G2278">
            <v>0</v>
          </cell>
          <cell r="H2278">
            <v>453.22</v>
          </cell>
        </row>
        <row r="2279">
          <cell r="A2279" t="str">
            <v>00437572</v>
          </cell>
          <cell r="B2279" t="str">
            <v>S'FAST 278 SET RAL           N7035262200</v>
          </cell>
          <cell r="C2279" t="str">
            <v>PMC</v>
          </cell>
          <cell r="D2279">
            <v>453.22</v>
          </cell>
          <cell r="E2279">
            <v>0</v>
          </cell>
          <cell r="F2279">
            <v>0</v>
          </cell>
          <cell r="G2279">
            <v>0</v>
          </cell>
          <cell r="H2279">
            <v>453.22</v>
          </cell>
        </row>
        <row r="2280">
          <cell r="A2280" t="str">
            <v>00437805</v>
          </cell>
          <cell r="B2280" t="str">
            <v>S'FAST 278 SET RAL           N7046262200</v>
          </cell>
          <cell r="C2280" t="str">
            <v>PMC</v>
          </cell>
          <cell r="D2280">
            <v>578.28</v>
          </cell>
          <cell r="E2280">
            <v>0</v>
          </cell>
          <cell r="F2280">
            <v>0</v>
          </cell>
          <cell r="G2280">
            <v>0</v>
          </cell>
          <cell r="H2280">
            <v>578.28</v>
          </cell>
        </row>
        <row r="2281">
          <cell r="A2281" t="str">
            <v>00437806</v>
          </cell>
          <cell r="B2281" t="str">
            <v>S'FAST 278 SET REDBROWN      N2008002200</v>
          </cell>
          <cell r="C2281" t="str">
            <v>PMC</v>
          </cell>
          <cell r="D2281">
            <v>453.22</v>
          </cell>
          <cell r="E2281">
            <v>0</v>
          </cell>
          <cell r="F2281">
            <v>0</v>
          </cell>
          <cell r="G2281">
            <v>0</v>
          </cell>
          <cell r="H2281">
            <v>453.22</v>
          </cell>
        </row>
        <row r="2282">
          <cell r="A2282" t="str">
            <v>00283315</v>
          </cell>
          <cell r="B2282" t="str">
            <v>S'FAST 302 SET BLUEGREEN      1000002200</v>
          </cell>
          <cell r="C2282" t="str">
            <v>PMC</v>
          </cell>
          <cell r="D2282">
            <v>1370.76</v>
          </cell>
          <cell r="E2282">
            <v>0</v>
          </cell>
          <cell r="F2282">
            <v>0</v>
          </cell>
          <cell r="G2282">
            <v>0</v>
          </cell>
          <cell r="H2282">
            <v>1370.76</v>
          </cell>
        </row>
        <row r="2283">
          <cell r="A2283" t="str">
            <v>00737189</v>
          </cell>
          <cell r="B2283" t="str">
            <v>SFRES EDEN         18390 W/C</v>
          </cell>
          <cell r="C2283" t="str">
            <v>PMC</v>
          </cell>
          <cell r="D2283">
            <v>8.9700000000000006</v>
          </cell>
          <cell r="E2283">
            <v>0</v>
          </cell>
          <cell r="F2283">
            <v>0</v>
          </cell>
          <cell r="G2283">
            <v>0</v>
          </cell>
          <cell r="H2283">
            <v>8.9700000000000006</v>
          </cell>
        </row>
        <row r="2284">
          <cell r="A2284" t="str">
            <v>00737230</v>
          </cell>
          <cell r="B2284" t="str">
            <v>SFRES SUPERFRESCO  12015 W/C  WATERFALL</v>
          </cell>
          <cell r="C2284" t="str">
            <v>Wallcovering</v>
          </cell>
          <cell r="D2284">
            <v>8.9700000000000006</v>
          </cell>
          <cell r="E2284">
            <v>0</v>
          </cell>
          <cell r="F2284">
            <v>0</v>
          </cell>
          <cell r="G2284">
            <v>0</v>
          </cell>
          <cell r="H2284">
            <v>8.9700000000000006</v>
          </cell>
        </row>
        <row r="2285">
          <cell r="A2285" t="str">
            <v>00737185</v>
          </cell>
          <cell r="B2285" t="str">
            <v>SFRES SUPERFRESCO  19018 W/C  FLOATING S</v>
          </cell>
          <cell r="C2285" t="str">
            <v>Wallcovering</v>
          </cell>
          <cell r="D2285">
            <v>8.9700000000000006</v>
          </cell>
          <cell r="E2285">
            <v>0</v>
          </cell>
          <cell r="F2285">
            <v>0</v>
          </cell>
          <cell r="G2285">
            <v>0</v>
          </cell>
          <cell r="H2285">
            <v>8.9700000000000006</v>
          </cell>
        </row>
        <row r="2286">
          <cell r="A2286" t="str">
            <v>00737190</v>
          </cell>
          <cell r="B2286" t="str">
            <v>SFRES SUPERFRESCO  268 W/C    GEOMETRIC</v>
          </cell>
          <cell r="C2286" t="str">
            <v>Wallcovering</v>
          </cell>
          <cell r="D2286">
            <v>8.9700000000000006</v>
          </cell>
          <cell r="E2286">
            <v>0</v>
          </cell>
          <cell r="F2286">
            <v>0</v>
          </cell>
          <cell r="G2286">
            <v>0</v>
          </cell>
          <cell r="H2286">
            <v>8.9700000000000006</v>
          </cell>
        </row>
        <row r="2287">
          <cell r="A2287" t="str">
            <v>00181151</v>
          </cell>
          <cell r="B2287" t="str">
            <v>S'GUARD 720 SET GREEN         4000001400</v>
          </cell>
          <cell r="C2287" t="str">
            <v>PMC</v>
          </cell>
          <cell r="D2287">
            <v>130.97</v>
          </cell>
          <cell r="E2287">
            <v>0</v>
          </cell>
          <cell r="F2287">
            <v>0</v>
          </cell>
          <cell r="G2287">
            <v>0</v>
          </cell>
          <cell r="H2287">
            <v>130.97</v>
          </cell>
        </row>
        <row r="2288">
          <cell r="A2288" t="str">
            <v>00180730</v>
          </cell>
          <cell r="B2288" t="str">
            <v>S'GUARD 720 SET GREEN         4000002200</v>
          </cell>
          <cell r="C2288" t="str">
            <v>PMC</v>
          </cell>
          <cell r="D2288">
            <v>641.79</v>
          </cell>
          <cell r="E2288">
            <v>0</v>
          </cell>
          <cell r="F2288">
            <v>0</v>
          </cell>
          <cell r="G2288">
            <v>0</v>
          </cell>
          <cell r="H2288">
            <v>641.79</v>
          </cell>
        </row>
        <row r="2289">
          <cell r="A2289" t="str">
            <v>00179122</v>
          </cell>
          <cell r="B2289" t="str">
            <v>S'GUARD 720 SET GREY          5000002200</v>
          </cell>
          <cell r="C2289" t="str">
            <v>PMC</v>
          </cell>
          <cell r="D2289">
            <v>586.11</v>
          </cell>
          <cell r="E2289">
            <v>0</v>
          </cell>
          <cell r="F2289">
            <v>0</v>
          </cell>
          <cell r="G2289">
            <v>0</v>
          </cell>
          <cell r="H2289">
            <v>586.11</v>
          </cell>
        </row>
        <row r="2290">
          <cell r="A2290" t="str">
            <v>00191438</v>
          </cell>
          <cell r="B2290" t="str">
            <v>S'GUARD 720 SET WHITE         7000001400</v>
          </cell>
          <cell r="C2290" t="str">
            <v>PMC</v>
          </cell>
          <cell r="D2290">
            <v>143.41</v>
          </cell>
          <cell r="E2290">
            <v>0</v>
          </cell>
          <cell r="F2290">
            <v>0</v>
          </cell>
          <cell r="G2290">
            <v>0</v>
          </cell>
          <cell r="H2290">
            <v>143.41</v>
          </cell>
        </row>
        <row r="2291">
          <cell r="A2291" t="str">
            <v>00179125</v>
          </cell>
          <cell r="B2291" t="str">
            <v>S'GUARD 720 SET WHITE         7000002200</v>
          </cell>
          <cell r="C2291" t="str">
            <v>PMC</v>
          </cell>
          <cell r="D2291">
            <v>641.79</v>
          </cell>
          <cell r="E2291">
            <v>0</v>
          </cell>
          <cell r="F2291">
            <v>0</v>
          </cell>
          <cell r="G2291">
            <v>0</v>
          </cell>
          <cell r="H2291">
            <v>641.79</v>
          </cell>
        </row>
        <row r="2292">
          <cell r="A2292" t="str">
            <v>00247817</v>
          </cell>
          <cell r="B2292" t="str">
            <v>S'GUARD 730 SET CREAM         3005002200</v>
          </cell>
          <cell r="C2292" t="str">
            <v>PMC</v>
          </cell>
          <cell r="D2292">
            <v>625.28</v>
          </cell>
          <cell r="E2292">
            <v>0</v>
          </cell>
          <cell r="F2292">
            <v>0</v>
          </cell>
          <cell r="G2292">
            <v>0</v>
          </cell>
          <cell r="H2292">
            <v>625.28</v>
          </cell>
        </row>
        <row r="2293">
          <cell r="A2293" t="str">
            <v>00247818</v>
          </cell>
          <cell r="B2293" t="str">
            <v>S'GUARD 730 SET OFFWHITE      7001002200</v>
          </cell>
          <cell r="C2293" t="str">
            <v>PMC</v>
          </cell>
          <cell r="D2293">
            <v>625.28</v>
          </cell>
          <cell r="E2293">
            <v>0</v>
          </cell>
          <cell r="F2293">
            <v>0</v>
          </cell>
          <cell r="G2293">
            <v>0</v>
          </cell>
          <cell r="H2293">
            <v>625.28</v>
          </cell>
        </row>
        <row r="2294">
          <cell r="A2294" t="str">
            <v>00295032</v>
          </cell>
          <cell r="B2294" t="str">
            <v>S'GUARD 750 SET GREY          5000002135</v>
          </cell>
          <cell r="C2294" t="str">
            <v>PMC</v>
          </cell>
          <cell r="D2294">
            <v>637.41999999999996</v>
          </cell>
          <cell r="E2294">
            <v>0</v>
          </cell>
          <cell r="F2294">
            <v>0</v>
          </cell>
          <cell r="G2294">
            <v>0</v>
          </cell>
          <cell r="H2294">
            <v>637.41999999999996</v>
          </cell>
        </row>
        <row r="2295">
          <cell r="A2295" t="str">
            <v>00219195</v>
          </cell>
          <cell r="B2295" t="str">
            <v>S'GUARD CSF 585 SET BLUE      1000001400</v>
          </cell>
          <cell r="C2295" t="str">
            <v>PMC</v>
          </cell>
          <cell r="D2295">
            <v>192.28</v>
          </cell>
          <cell r="E2295">
            <v>0</v>
          </cell>
          <cell r="F2295">
            <v>0</v>
          </cell>
          <cell r="G2295">
            <v>0</v>
          </cell>
          <cell r="H2295">
            <v>192.28</v>
          </cell>
        </row>
        <row r="2296">
          <cell r="A2296" t="str">
            <v>00219191</v>
          </cell>
          <cell r="B2296" t="str">
            <v>S'GUARD CSF 585 SET BLUE      1000002200</v>
          </cell>
          <cell r="C2296" t="str">
            <v>PMC</v>
          </cell>
          <cell r="D2296">
            <v>860.86</v>
          </cell>
          <cell r="E2296">
            <v>0</v>
          </cell>
          <cell r="F2296">
            <v>0</v>
          </cell>
          <cell r="G2296">
            <v>0</v>
          </cell>
          <cell r="H2296">
            <v>860.86</v>
          </cell>
        </row>
        <row r="2297">
          <cell r="A2297" t="str">
            <v>00219190</v>
          </cell>
          <cell r="B2297" t="str">
            <v>S'GUARD CSF 585 SET WHITE     7000002200</v>
          </cell>
          <cell r="C2297" t="str">
            <v>PMC</v>
          </cell>
          <cell r="D2297">
            <v>860.86</v>
          </cell>
          <cell r="E2297">
            <v>0</v>
          </cell>
          <cell r="F2297">
            <v>0</v>
          </cell>
          <cell r="G2297">
            <v>0</v>
          </cell>
          <cell r="H2297">
            <v>860.86</v>
          </cell>
        </row>
        <row r="2298">
          <cell r="A2298" t="str">
            <v>00179130</v>
          </cell>
          <cell r="B2298" t="str">
            <v>S'GUARD CSF 650 SET GREEN     4000001400</v>
          </cell>
          <cell r="C2298" t="str">
            <v>PMC</v>
          </cell>
          <cell r="D2298">
            <v>194.68</v>
          </cell>
          <cell r="E2298">
            <v>0</v>
          </cell>
          <cell r="F2298">
            <v>0</v>
          </cell>
          <cell r="G2298">
            <v>0</v>
          </cell>
          <cell r="H2298">
            <v>194.68</v>
          </cell>
        </row>
        <row r="2299">
          <cell r="A2299" t="str">
            <v>00179131</v>
          </cell>
          <cell r="B2299" t="str">
            <v>S'GUARD CSF 650 SET GREEN     4000002200</v>
          </cell>
          <cell r="C2299" t="str">
            <v>PMC</v>
          </cell>
          <cell r="D2299">
            <v>871.69</v>
          </cell>
          <cell r="E2299">
            <v>0</v>
          </cell>
          <cell r="F2299">
            <v>0</v>
          </cell>
          <cell r="G2299">
            <v>0</v>
          </cell>
          <cell r="H2299">
            <v>871.69</v>
          </cell>
        </row>
        <row r="2300">
          <cell r="A2300" t="str">
            <v>00149000</v>
          </cell>
          <cell r="B2300" t="str">
            <v>S'GUARD CSF 650 SET OFFWHITE  7001002200</v>
          </cell>
          <cell r="C2300" t="str">
            <v>PMC</v>
          </cell>
          <cell r="D2300">
            <v>860.86</v>
          </cell>
          <cell r="E2300">
            <v>0</v>
          </cell>
          <cell r="F2300">
            <v>0</v>
          </cell>
          <cell r="G2300">
            <v>0</v>
          </cell>
          <cell r="H2300">
            <v>860.86</v>
          </cell>
        </row>
        <row r="2301">
          <cell r="A2301" t="str">
            <v>00250297</v>
          </cell>
          <cell r="B2301" t="str">
            <v>S'LINE 2000 SET REDBROWN      2008002200</v>
          </cell>
          <cell r="C2301" t="str">
            <v>PMC</v>
          </cell>
          <cell r="D2301">
            <v>1011.85</v>
          </cell>
          <cell r="E2301">
            <v>0</v>
          </cell>
          <cell r="F2301">
            <v>0</v>
          </cell>
          <cell r="G2301">
            <v>0</v>
          </cell>
          <cell r="H2301">
            <v>1011.85</v>
          </cell>
        </row>
        <row r="2302">
          <cell r="A2302" t="str">
            <v>00211291</v>
          </cell>
          <cell r="B2302" t="str">
            <v>S'PRIME 200 SET GREY          9515052200</v>
          </cell>
          <cell r="C2302" t="str">
            <v>PMC</v>
          </cell>
          <cell r="D2302">
            <v>492.25</v>
          </cell>
          <cell r="E2302">
            <v>0</v>
          </cell>
          <cell r="F2302">
            <v>0</v>
          </cell>
          <cell r="G2302">
            <v>0</v>
          </cell>
          <cell r="H2302">
            <v>492.25</v>
          </cell>
        </row>
        <row r="2303">
          <cell r="A2303" t="str">
            <v>00202391</v>
          </cell>
          <cell r="B2303" t="str">
            <v>S'PRIME 200 SET YEL/GREEN     4009002200</v>
          </cell>
          <cell r="C2303" t="str">
            <v>PMC</v>
          </cell>
          <cell r="D2303">
            <v>492.25</v>
          </cell>
          <cell r="E2303">
            <v>0</v>
          </cell>
          <cell r="F2303">
            <v>0</v>
          </cell>
          <cell r="G2303">
            <v>0</v>
          </cell>
          <cell r="H2303">
            <v>492.25</v>
          </cell>
        </row>
        <row r="2304">
          <cell r="A2304" t="str">
            <v>00317127</v>
          </cell>
          <cell r="B2304" t="str">
            <v>S'PRIME 700 SET GREY          5000002200</v>
          </cell>
          <cell r="C2304" t="str">
            <v>PMC</v>
          </cell>
          <cell r="D2304">
            <v>515.61</v>
          </cell>
          <cell r="E2304">
            <v>0</v>
          </cell>
          <cell r="F2304">
            <v>0</v>
          </cell>
          <cell r="G2304">
            <v>0</v>
          </cell>
          <cell r="H2304">
            <v>515.61</v>
          </cell>
        </row>
        <row r="2305">
          <cell r="A2305" t="str">
            <v>00317126</v>
          </cell>
          <cell r="B2305" t="str">
            <v>S'PRIME 700 SET REDBROWN      2008002200</v>
          </cell>
          <cell r="C2305" t="str">
            <v>PMC</v>
          </cell>
          <cell r="D2305">
            <v>515.61</v>
          </cell>
          <cell r="E2305">
            <v>0</v>
          </cell>
          <cell r="F2305">
            <v>0</v>
          </cell>
          <cell r="G2305">
            <v>0</v>
          </cell>
          <cell r="H2305">
            <v>515.61</v>
          </cell>
        </row>
        <row r="2306">
          <cell r="A2306" t="str">
            <v>00104943</v>
          </cell>
          <cell r="B2306" t="str">
            <v>S'RINE 35                     9553052200</v>
          </cell>
          <cell r="C2306" t="str">
            <v>PMC</v>
          </cell>
          <cell r="D2306">
            <v>309.20999999999998</v>
          </cell>
          <cell r="E2306">
            <v>0</v>
          </cell>
          <cell r="F2306">
            <v>0</v>
          </cell>
          <cell r="G2306">
            <v>0</v>
          </cell>
          <cell r="H2306">
            <v>309.20999999999998</v>
          </cell>
        </row>
        <row r="2307">
          <cell r="A2307" t="str">
            <v>00101545</v>
          </cell>
          <cell r="B2307" t="str">
            <v>S'RINE 35                   955305EU1400</v>
          </cell>
          <cell r="C2307" t="str">
            <v>PMC</v>
          </cell>
          <cell r="D2307">
            <v>69.47</v>
          </cell>
          <cell r="E2307">
            <v>0</v>
          </cell>
          <cell r="F2307">
            <v>0</v>
          </cell>
          <cell r="G2307">
            <v>0</v>
          </cell>
          <cell r="H2307">
            <v>69.47</v>
          </cell>
        </row>
        <row r="2308">
          <cell r="A2308" t="str">
            <v>00117055</v>
          </cell>
          <cell r="B2308" t="str">
            <v>S'RINE 35                   955805EU1400</v>
          </cell>
          <cell r="C2308" t="str">
            <v>PMC</v>
          </cell>
          <cell r="D2308">
            <v>69.47</v>
          </cell>
          <cell r="E2308">
            <v>0</v>
          </cell>
          <cell r="F2308">
            <v>0</v>
          </cell>
          <cell r="G2308">
            <v>0</v>
          </cell>
          <cell r="H2308">
            <v>69.47</v>
          </cell>
        </row>
        <row r="2309">
          <cell r="A2309" t="str">
            <v>00102834</v>
          </cell>
          <cell r="B2309" t="str">
            <v>S'RINE 35                   955805EU2200</v>
          </cell>
          <cell r="C2309" t="str">
            <v>PMC</v>
          </cell>
          <cell r="D2309">
            <v>340.13</v>
          </cell>
          <cell r="E2309">
            <v>0</v>
          </cell>
          <cell r="F2309">
            <v>0</v>
          </cell>
          <cell r="G2309">
            <v>0</v>
          </cell>
          <cell r="H2309">
            <v>340.13</v>
          </cell>
        </row>
        <row r="2310">
          <cell r="A2310" t="str">
            <v>00111637</v>
          </cell>
          <cell r="B2310" t="str">
            <v>S'RINE 35                   959005EU1400</v>
          </cell>
          <cell r="C2310" t="str">
            <v>PMC</v>
          </cell>
          <cell r="D2310">
            <v>105.97</v>
          </cell>
          <cell r="E2310">
            <v>0</v>
          </cell>
          <cell r="F2310">
            <v>0</v>
          </cell>
          <cell r="G2310">
            <v>0</v>
          </cell>
          <cell r="H2310">
            <v>105.97</v>
          </cell>
        </row>
        <row r="2311">
          <cell r="A2311" t="str">
            <v>00224094</v>
          </cell>
          <cell r="B2311" t="str">
            <v>S'RINE 48 WHITE             700000EU1500</v>
          </cell>
          <cell r="C2311" t="str">
            <v>PMC</v>
          </cell>
          <cell r="D2311">
            <v>95.08</v>
          </cell>
          <cell r="E2311">
            <v>0</v>
          </cell>
          <cell r="F2311">
            <v>0</v>
          </cell>
          <cell r="G2311">
            <v>0</v>
          </cell>
          <cell r="H2311">
            <v>95.08</v>
          </cell>
        </row>
        <row r="2312">
          <cell r="A2312" t="str">
            <v>00250792</v>
          </cell>
          <cell r="B2312" t="str">
            <v>S'RINE 48 WHITE             700000EU2200</v>
          </cell>
          <cell r="C2312" t="str">
            <v>PMC</v>
          </cell>
          <cell r="D2312">
            <v>310.62</v>
          </cell>
          <cell r="E2312">
            <v>0</v>
          </cell>
          <cell r="F2312">
            <v>0</v>
          </cell>
          <cell r="G2312">
            <v>0</v>
          </cell>
          <cell r="H2312">
            <v>310.62</v>
          </cell>
        </row>
        <row r="2313">
          <cell r="A2313" t="str">
            <v>00195840</v>
          </cell>
          <cell r="B2313" t="str">
            <v>S'SHIELD 1200 SET BLACK       8000002200</v>
          </cell>
          <cell r="C2313" t="str">
            <v>PMC</v>
          </cell>
          <cell r="D2313">
            <v>1113.82</v>
          </cell>
          <cell r="E2313">
            <v>0</v>
          </cell>
          <cell r="F2313">
            <v>0</v>
          </cell>
          <cell r="G2313">
            <v>0</v>
          </cell>
          <cell r="H2313">
            <v>1113.82</v>
          </cell>
        </row>
        <row r="2314">
          <cell r="A2314" t="str">
            <v>00195822</v>
          </cell>
          <cell r="B2314" t="str">
            <v>S'SHIELD 1200 SET GREY        5177052200</v>
          </cell>
          <cell r="C2314" t="str">
            <v>PMC</v>
          </cell>
          <cell r="D2314">
            <v>1113.82</v>
          </cell>
          <cell r="E2314">
            <v>0</v>
          </cell>
          <cell r="F2314">
            <v>0</v>
          </cell>
          <cell r="G2314">
            <v>0</v>
          </cell>
          <cell r="H2314">
            <v>1113.82</v>
          </cell>
        </row>
        <row r="2315">
          <cell r="A2315" t="str">
            <v>00331804</v>
          </cell>
          <cell r="B2315" t="str">
            <v>S'SHIELD 400 SET BLACK        8000002200</v>
          </cell>
          <cell r="C2315" t="str">
            <v>PMC</v>
          </cell>
          <cell r="D2315">
            <v>685.1</v>
          </cell>
          <cell r="E2315">
            <v>0</v>
          </cell>
          <cell r="F2315">
            <v>0</v>
          </cell>
          <cell r="G2315">
            <v>0</v>
          </cell>
          <cell r="H2315">
            <v>685.1</v>
          </cell>
        </row>
        <row r="2316">
          <cell r="A2316" t="str">
            <v>00331803</v>
          </cell>
          <cell r="B2316" t="str">
            <v>S'SHIELD 400 SET RAL          7035262200</v>
          </cell>
          <cell r="C2316" t="str">
            <v>PMC</v>
          </cell>
          <cell r="D2316">
            <v>685.1</v>
          </cell>
          <cell r="E2316">
            <v>0</v>
          </cell>
          <cell r="F2316">
            <v>0</v>
          </cell>
          <cell r="G2316">
            <v>0</v>
          </cell>
          <cell r="H2316">
            <v>685.1</v>
          </cell>
        </row>
        <row r="2317">
          <cell r="A2317" t="str">
            <v>00204818</v>
          </cell>
          <cell r="B2317" t="str">
            <v>S'SHIELD 460 BAS RAL        703526EU2150</v>
          </cell>
          <cell r="C2317" t="str">
            <v>PMC</v>
          </cell>
          <cell r="D2317">
            <v>428.28</v>
          </cell>
          <cell r="E2317">
            <v>0</v>
          </cell>
          <cell r="F2317">
            <v>0</v>
          </cell>
          <cell r="G2317">
            <v>0</v>
          </cell>
          <cell r="H2317">
            <v>428.28</v>
          </cell>
        </row>
        <row r="2318">
          <cell r="A2318" t="str">
            <v>00179366</v>
          </cell>
          <cell r="B2318" t="str">
            <v>S'SHIELD 460 SET BLACK        8000001400</v>
          </cell>
          <cell r="C2318" t="str">
            <v>PMC</v>
          </cell>
          <cell r="D2318">
            <v>125.63</v>
          </cell>
          <cell r="E2318">
            <v>0</v>
          </cell>
          <cell r="F2318">
            <v>0</v>
          </cell>
          <cell r="G2318">
            <v>0</v>
          </cell>
          <cell r="H2318">
            <v>125.63</v>
          </cell>
        </row>
        <row r="2319">
          <cell r="A2319" t="str">
            <v>00191640</v>
          </cell>
          <cell r="B2319" t="str">
            <v>S'SHIELD 460 SET BLACK        8000002200</v>
          </cell>
          <cell r="C2319" t="str">
            <v>PMC</v>
          </cell>
          <cell r="D2319">
            <v>628.12</v>
          </cell>
          <cell r="E2319">
            <v>0</v>
          </cell>
          <cell r="F2319">
            <v>0</v>
          </cell>
          <cell r="G2319">
            <v>0</v>
          </cell>
          <cell r="H2319">
            <v>628.12</v>
          </cell>
        </row>
        <row r="2320">
          <cell r="A2320" t="str">
            <v>00257093</v>
          </cell>
          <cell r="B2320" t="str">
            <v>S'SHIELD 460 SET OFFWHITE     7001002200</v>
          </cell>
          <cell r="C2320" t="str">
            <v>PMC</v>
          </cell>
          <cell r="D2320">
            <v>628.12</v>
          </cell>
          <cell r="E2320">
            <v>0</v>
          </cell>
          <cell r="F2320">
            <v>0</v>
          </cell>
          <cell r="G2320">
            <v>0</v>
          </cell>
          <cell r="H2320">
            <v>628.12</v>
          </cell>
        </row>
        <row r="2321">
          <cell r="A2321" t="str">
            <v>00328341</v>
          </cell>
          <cell r="B2321" t="str">
            <v>S'SHIELD 880 GF SET BLACK     8000002200</v>
          </cell>
          <cell r="C2321" t="str">
            <v>PMC</v>
          </cell>
          <cell r="D2321">
            <v>647.63</v>
          </cell>
          <cell r="E2321">
            <v>0</v>
          </cell>
          <cell r="F2321">
            <v>0</v>
          </cell>
          <cell r="G2321">
            <v>0</v>
          </cell>
          <cell r="H2321">
            <v>647.63</v>
          </cell>
        </row>
        <row r="2322">
          <cell r="A2322" t="str">
            <v>00344559</v>
          </cell>
          <cell r="B2322" t="str">
            <v>S'SHIELD 880 GF SET GREY      5177052200</v>
          </cell>
          <cell r="C2322" t="str">
            <v>PMC</v>
          </cell>
          <cell r="D2322">
            <v>647.63</v>
          </cell>
          <cell r="E2322">
            <v>0</v>
          </cell>
          <cell r="F2322">
            <v>0</v>
          </cell>
          <cell r="G2322">
            <v>0</v>
          </cell>
          <cell r="H2322">
            <v>647.63</v>
          </cell>
        </row>
        <row r="2323">
          <cell r="A2323" t="str">
            <v>00388003</v>
          </cell>
          <cell r="B2323" t="str">
            <v>S'SHIELD 880 SET BLACK        8000001400</v>
          </cell>
          <cell r="C2323" t="str">
            <v>PMC</v>
          </cell>
          <cell r="D2323">
            <v>94.55</v>
          </cell>
          <cell r="E2323">
            <v>0</v>
          </cell>
          <cell r="F2323">
            <v>0</v>
          </cell>
          <cell r="G2323">
            <v>0</v>
          </cell>
          <cell r="H2323">
            <v>94.55</v>
          </cell>
        </row>
        <row r="2324">
          <cell r="A2324" t="str">
            <v>00318047</v>
          </cell>
          <cell r="B2324" t="str">
            <v>S'SHIELD 880 SET BLACK        8000002200</v>
          </cell>
          <cell r="C2324" t="str">
            <v>PMC</v>
          </cell>
          <cell r="D2324">
            <v>472.82</v>
          </cell>
          <cell r="E2324">
            <v>0</v>
          </cell>
          <cell r="F2324">
            <v>0</v>
          </cell>
          <cell r="G2324">
            <v>0</v>
          </cell>
          <cell r="H2324">
            <v>472.82</v>
          </cell>
        </row>
        <row r="2325">
          <cell r="A2325" t="str">
            <v>00323079</v>
          </cell>
          <cell r="B2325" t="str">
            <v>S'SHIELD 880 SET GREY         5177052200</v>
          </cell>
          <cell r="C2325" t="str">
            <v>PMC</v>
          </cell>
          <cell r="D2325">
            <v>472.82</v>
          </cell>
          <cell r="E2325">
            <v>0</v>
          </cell>
          <cell r="F2325">
            <v>0</v>
          </cell>
          <cell r="G2325">
            <v>0</v>
          </cell>
          <cell r="H2325">
            <v>472.82</v>
          </cell>
        </row>
        <row r="2326">
          <cell r="A2326" t="str">
            <v>00327019</v>
          </cell>
          <cell r="B2326" t="str">
            <v>S'SHIELD 880 SET RAL          5015262200</v>
          </cell>
          <cell r="C2326" t="str">
            <v>PMC</v>
          </cell>
          <cell r="D2326">
            <v>431.8</v>
          </cell>
          <cell r="E2326">
            <v>0</v>
          </cell>
          <cell r="F2326">
            <v>0</v>
          </cell>
          <cell r="G2326">
            <v>0</v>
          </cell>
          <cell r="H2326">
            <v>431.8</v>
          </cell>
        </row>
        <row r="2327">
          <cell r="A2327" t="str">
            <v>00296948</v>
          </cell>
          <cell r="B2327" t="str">
            <v>STEELGUARD 564 WHITE          3000AM3200</v>
          </cell>
          <cell r="C2327" t="str">
            <v>PMC</v>
          </cell>
          <cell r="D2327">
            <v>7156.73</v>
          </cell>
          <cell r="E2327">
            <v>0</v>
          </cell>
          <cell r="F2327">
            <v>0</v>
          </cell>
          <cell r="G2327">
            <v>0</v>
          </cell>
          <cell r="H2327">
            <v>7156.73</v>
          </cell>
        </row>
        <row r="2328">
          <cell r="A2328" t="str">
            <v>00296947</v>
          </cell>
          <cell r="B2328" t="str">
            <v>STEELGUARD 564 WHITE        3000AMEU2200</v>
          </cell>
          <cell r="C2328" t="str">
            <v>PMC</v>
          </cell>
          <cell r="D2328">
            <v>798.92</v>
          </cell>
          <cell r="E2328">
            <v>0</v>
          </cell>
          <cell r="F2328">
            <v>0</v>
          </cell>
          <cell r="G2328">
            <v>0</v>
          </cell>
          <cell r="H2328">
            <v>798.92</v>
          </cell>
        </row>
        <row r="2329">
          <cell r="A2329" t="str">
            <v>00291802</v>
          </cell>
          <cell r="B2329" t="str">
            <v>STEELGUARD 581 WHITE          3000AM2200</v>
          </cell>
          <cell r="C2329" t="str">
            <v>PMC</v>
          </cell>
          <cell r="D2329">
            <v>444.86</v>
          </cell>
          <cell r="E2329">
            <v>0</v>
          </cell>
          <cell r="F2329">
            <v>0</v>
          </cell>
          <cell r="G2329">
            <v>0</v>
          </cell>
          <cell r="H2329">
            <v>444.86</v>
          </cell>
        </row>
        <row r="2330">
          <cell r="A2330" t="str">
            <v>00359402</v>
          </cell>
          <cell r="B2330" t="str">
            <v>STEELGUARD 651 WHITE        3000AMEU2200</v>
          </cell>
          <cell r="C2330" t="str">
            <v>PMC</v>
          </cell>
          <cell r="D2330">
            <v>487.12</v>
          </cell>
          <cell r="E2330">
            <v>0</v>
          </cell>
          <cell r="F2330">
            <v>0</v>
          </cell>
          <cell r="G2330">
            <v>0</v>
          </cell>
          <cell r="H2330">
            <v>487.12</v>
          </cell>
        </row>
        <row r="2331">
          <cell r="A2331" t="str">
            <v>00346410</v>
          </cell>
          <cell r="B2331" t="str">
            <v>STEELGUARD 701 WHITE        3000AMEU2200</v>
          </cell>
          <cell r="C2331" t="str">
            <v>PMC</v>
          </cell>
          <cell r="D2331">
            <v>701.62</v>
          </cell>
          <cell r="E2331">
            <v>0</v>
          </cell>
          <cell r="F2331">
            <v>0</v>
          </cell>
          <cell r="G2331">
            <v>0</v>
          </cell>
          <cell r="H2331">
            <v>701.62</v>
          </cell>
        </row>
        <row r="2332">
          <cell r="A2332" t="str">
            <v>00346411</v>
          </cell>
          <cell r="B2332" t="str">
            <v>STEELGUARD 801 WHITE        3000AMEU2200</v>
          </cell>
          <cell r="C2332" t="str">
            <v>PMC</v>
          </cell>
          <cell r="D2332">
            <v>628.12</v>
          </cell>
          <cell r="E2332">
            <v>0</v>
          </cell>
          <cell r="F2332">
            <v>0</v>
          </cell>
          <cell r="G2332">
            <v>0</v>
          </cell>
          <cell r="H2332">
            <v>628.12</v>
          </cell>
        </row>
        <row r="2333">
          <cell r="A2333" t="str">
            <v>00371796</v>
          </cell>
          <cell r="B2333" t="str">
            <v>STEELGUARD 851 WHITE        3000AMEU2200</v>
          </cell>
          <cell r="C2333" t="str">
            <v>PMC</v>
          </cell>
          <cell r="D2333">
            <v>659.74</v>
          </cell>
          <cell r="E2333">
            <v>0</v>
          </cell>
          <cell r="F2333">
            <v>0</v>
          </cell>
          <cell r="G2333">
            <v>0</v>
          </cell>
          <cell r="H2333">
            <v>659.74</v>
          </cell>
        </row>
        <row r="2334">
          <cell r="A2334" t="str">
            <v>00136664</v>
          </cell>
          <cell r="B2334" t="str">
            <v>S'THERM 175                 900000EU1500</v>
          </cell>
          <cell r="C2334" t="str">
            <v>PMC</v>
          </cell>
          <cell r="D2334">
            <v>115.3</v>
          </cell>
          <cell r="E2334">
            <v>0</v>
          </cell>
          <cell r="F2334">
            <v>0</v>
          </cell>
          <cell r="G2334">
            <v>0</v>
          </cell>
          <cell r="H2334">
            <v>115.3</v>
          </cell>
        </row>
        <row r="2335">
          <cell r="A2335" t="str">
            <v>00273023</v>
          </cell>
          <cell r="B2335" t="str">
            <v>S'THERM 230 SET GREY          5000002200</v>
          </cell>
          <cell r="C2335" t="str">
            <v>PMC</v>
          </cell>
          <cell r="D2335">
            <v>683.39</v>
          </cell>
          <cell r="E2335">
            <v>0</v>
          </cell>
          <cell r="F2335">
            <v>0</v>
          </cell>
          <cell r="G2335">
            <v>0</v>
          </cell>
          <cell r="H2335">
            <v>683.39</v>
          </cell>
        </row>
        <row r="2336">
          <cell r="A2336" t="str">
            <v>00273021</v>
          </cell>
          <cell r="B2336" t="str">
            <v>S'THERM 230 SET PINK          6007002200</v>
          </cell>
          <cell r="C2336" t="str">
            <v>PMC</v>
          </cell>
          <cell r="D2336">
            <v>683.39</v>
          </cell>
          <cell r="E2336">
            <v>0</v>
          </cell>
          <cell r="F2336">
            <v>0</v>
          </cell>
          <cell r="G2336">
            <v>0</v>
          </cell>
          <cell r="H2336">
            <v>683.39</v>
          </cell>
        </row>
        <row r="2337">
          <cell r="A2337" t="str">
            <v>00168790</v>
          </cell>
          <cell r="B2337" t="str">
            <v>S'THERM 350 ALU             900000CN2200</v>
          </cell>
          <cell r="C2337" t="str">
            <v>PMC</v>
          </cell>
          <cell r="D2337">
            <v>592.78</v>
          </cell>
          <cell r="E2337">
            <v>0</v>
          </cell>
          <cell r="F2337">
            <v>0</v>
          </cell>
          <cell r="G2337">
            <v>0</v>
          </cell>
          <cell r="H2337">
            <v>592.78</v>
          </cell>
        </row>
        <row r="2338">
          <cell r="A2338" t="str">
            <v>00218772</v>
          </cell>
          <cell r="B2338" t="str">
            <v>S'THERM 540                 900000EU1500</v>
          </cell>
          <cell r="C2338" t="str">
            <v>PMC</v>
          </cell>
          <cell r="D2338">
            <v>204.04</v>
          </cell>
          <cell r="E2338">
            <v>0</v>
          </cell>
          <cell r="F2338">
            <v>0</v>
          </cell>
          <cell r="G2338">
            <v>0</v>
          </cell>
          <cell r="H2338">
            <v>204.04</v>
          </cell>
        </row>
        <row r="2339">
          <cell r="A2339" t="str">
            <v>00218773</v>
          </cell>
          <cell r="B2339" t="str">
            <v>S'THERM 540                 900000EU2200</v>
          </cell>
          <cell r="C2339" t="str">
            <v>PMC</v>
          </cell>
          <cell r="D2339">
            <v>730.97</v>
          </cell>
          <cell r="E2339">
            <v>0</v>
          </cell>
          <cell r="F2339">
            <v>0</v>
          </cell>
          <cell r="G2339">
            <v>0</v>
          </cell>
          <cell r="H2339">
            <v>730.97</v>
          </cell>
        </row>
        <row r="2340">
          <cell r="A2340" t="str">
            <v>00312805</v>
          </cell>
          <cell r="B2340" t="str">
            <v>S'WELD 120 SET GREY           5000002200</v>
          </cell>
          <cell r="C2340" t="str">
            <v>PMC</v>
          </cell>
          <cell r="D2340">
            <v>257.55</v>
          </cell>
          <cell r="E2340">
            <v>0</v>
          </cell>
          <cell r="F2340">
            <v>0</v>
          </cell>
          <cell r="G2340">
            <v>0</v>
          </cell>
          <cell r="H2340">
            <v>257.55</v>
          </cell>
        </row>
        <row r="2341">
          <cell r="A2341" t="str">
            <v>00179591</v>
          </cell>
          <cell r="B2341" t="str">
            <v>S'WELD 120 SET RED OXIDE      2008002200</v>
          </cell>
          <cell r="C2341" t="str">
            <v>PMC</v>
          </cell>
          <cell r="D2341">
            <v>282.02</v>
          </cell>
          <cell r="E2341">
            <v>0</v>
          </cell>
          <cell r="F2341">
            <v>0</v>
          </cell>
          <cell r="G2341">
            <v>0</v>
          </cell>
          <cell r="H2341">
            <v>282.02</v>
          </cell>
        </row>
        <row r="2342">
          <cell r="A2342" t="str">
            <v>00179171</v>
          </cell>
          <cell r="B2342" t="str">
            <v>S'WELD 190 (MC MK3) SET R/B   2008002180</v>
          </cell>
          <cell r="C2342" t="str">
            <v>PMC</v>
          </cell>
          <cell r="D2342">
            <v>340.23</v>
          </cell>
          <cell r="E2342">
            <v>0</v>
          </cell>
          <cell r="F2342">
            <v>0</v>
          </cell>
          <cell r="G2342">
            <v>0</v>
          </cell>
          <cell r="H2342">
            <v>340.23</v>
          </cell>
        </row>
        <row r="2343">
          <cell r="A2343" t="str">
            <v>00179166</v>
          </cell>
          <cell r="B2343" t="str">
            <v>S'WELD 199 SET GREEN          4000002180</v>
          </cell>
          <cell r="C2343" t="str">
            <v>PMC</v>
          </cell>
          <cell r="D2343">
            <v>343.55</v>
          </cell>
          <cell r="E2343">
            <v>0</v>
          </cell>
          <cell r="F2343">
            <v>0</v>
          </cell>
          <cell r="G2343">
            <v>0</v>
          </cell>
          <cell r="H2343">
            <v>343.55</v>
          </cell>
        </row>
        <row r="2344">
          <cell r="A2344" t="str">
            <v>00179167</v>
          </cell>
          <cell r="B2344" t="str">
            <v>S'WELD 199 SET GREY           5000002180</v>
          </cell>
          <cell r="C2344" t="str">
            <v>PMC</v>
          </cell>
          <cell r="D2344">
            <v>340.23</v>
          </cell>
          <cell r="E2344">
            <v>0</v>
          </cell>
          <cell r="F2344">
            <v>0</v>
          </cell>
          <cell r="G2344">
            <v>0</v>
          </cell>
          <cell r="H2344">
            <v>340.23</v>
          </cell>
        </row>
        <row r="2345">
          <cell r="A2345" t="str">
            <v>00179165</v>
          </cell>
          <cell r="B2345" t="str">
            <v>S'WELD 199 SET REDBROWN       2008002180</v>
          </cell>
          <cell r="C2345" t="str">
            <v>PMC</v>
          </cell>
          <cell r="D2345">
            <v>343.55</v>
          </cell>
          <cell r="E2345">
            <v>0</v>
          </cell>
          <cell r="F2345">
            <v>0</v>
          </cell>
          <cell r="G2345">
            <v>0</v>
          </cell>
          <cell r="H2345">
            <v>343.55</v>
          </cell>
        </row>
        <row r="2346">
          <cell r="A2346" t="str">
            <v>00332384</v>
          </cell>
          <cell r="B2346" t="str">
            <v>S'ZINC 105 SET GREY           5000002200</v>
          </cell>
          <cell r="C2346" t="str">
            <v>PMC</v>
          </cell>
          <cell r="D2346">
            <v>838.07</v>
          </cell>
          <cell r="E2346">
            <v>0</v>
          </cell>
          <cell r="F2346">
            <v>0</v>
          </cell>
          <cell r="G2346">
            <v>0</v>
          </cell>
          <cell r="H2346">
            <v>838.07</v>
          </cell>
        </row>
        <row r="2347">
          <cell r="A2347" t="str">
            <v>00218766</v>
          </cell>
          <cell r="B2347" t="str">
            <v>S'ZINC 109 HS SET REDGREY     5010001800</v>
          </cell>
          <cell r="C2347" t="str">
            <v>PMC</v>
          </cell>
          <cell r="D2347">
            <v>509.46</v>
          </cell>
          <cell r="E2347">
            <v>0</v>
          </cell>
          <cell r="F2347">
            <v>0</v>
          </cell>
          <cell r="G2347">
            <v>0</v>
          </cell>
          <cell r="H2347">
            <v>509.46</v>
          </cell>
        </row>
        <row r="2348">
          <cell r="A2348" t="str">
            <v>00179568</v>
          </cell>
          <cell r="B2348" t="str">
            <v>S'ZINC 158 SET                5009002185</v>
          </cell>
          <cell r="C2348" t="str">
            <v>PMC</v>
          </cell>
          <cell r="D2348">
            <v>931.47</v>
          </cell>
          <cell r="E2348">
            <v>0</v>
          </cell>
          <cell r="F2348">
            <v>0</v>
          </cell>
          <cell r="G2348">
            <v>0</v>
          </cell>
          <cell r="H2348">
            <v>931.47</v>
          </cell>
        </row>
        <row r="2349">
          <cell r="A2349" t="str">
            <v>00136783</v>
          </cell>
          <cell r="B2349" t="str">
            <v>S'ZINC 19                   500000EU1200</v>
          </cell>
          <cell r="C2349" t="str">
            <v>PMC</v>
          </cell>
          <cell r="D2349">
            <v>132.52000000000001</v>
          </cell>
          <cell r="E2349">
            <v>0</v>
          </cell>
          <cell r="F2349">
            <v>0</v>
          </cell>
          <cell r="G2349">
            <v>0</v>
          </cell>
          <cell r="H2349">
            <v>132.52000000000001</v>
          </cell>
        </row>
        <row r="2350">
          <cell r="A2350" t="str">
            <v>00680140</v>
          </cell>
          <cell r="B2350" t="str">
            <v>TESA  4368 ECOVER  550MMX33M</v>
          </cell>
          <cell r="C2350" t="str">
            <v>Tape</v>
          </cell>
          <cell r="D2350">
            <v>3.4510000000000005</v>
          </cell>
          <cell r="E2350">
            <v>0</v>
          </cell>
          <cell r="F2350">
            <v>0</v>
          </cell>
          <cell r="G2350">
            <v>0</v>
          </cell>
          <cell r="H2350">
            <v>3.4510000000000005</v>
          </cell>
        </row>
        <row r="2351">
          <cell r="A2351" t="str">
            <v>00680388</v>
          </cell>
          <cell r="B2351" t="str">
            <v>TESA  BDPLAST TAPE 33M X 50MM 67001</v>
          </cell>
          <cell r="C2351" t="str">
            <v>Tape</v>
          </cell>
          <cell r="D2351">
            <v>5.9</v>
          </cell>
          <cell r="E2351">
            <v>0</v>
          </cell>
          <cell r="F2351">
            <v>0</v>
          </cell>
          <cell r="G2351">
            <v>0</v>
          </cell>
          <cell r="H2351">
            <v>5.9</v>
          </cell>
        </row>
        <row r="2352">
          <cell r="A2352" t="str">
            <v>00611397</v>
          </cell>
          <cell r="B2352" t="str">
            <v>TESA  BLDPROT TAPE 33M X 50MM 4843</v>
          </cell>
          <cell r="C2352" t="str">
            <v>Tape</v>
          </cell>
          <cell r="D2352">
            <v>5.9</v>
          </cell>
          <cell r="E2352">
            <v>0</v>
          </cell>
          <cell r="F2352">
            <v>0</v>
          </cell>
          <cell r="G2352">
            <v>0</v>
          </cell>
          <cell r="H2352">
            <v>5.9</v>
          </cell>
        </row>
        <row r="2353">
          <cell r="A2353" t="str">
            <v>00611396</v>
          </cell>
          <cell r="B2353" t="str">
            <v>TESA  CRV MASKTAPE 25M X 19MM 4319</v>
          </cell>
          <cell r="C2353" t="str">
            <v>Tape</v>
          </cell>
          <cell r="D2353">
            <v>3.5</v>
          </cell>
          <cell r="E2353">
            <v>0</v>
          </cell>
          <cell r="F2353">
            <v>0</v>
          </cell>
          <cell r="G2353">
            <v>0</v>
          </cell>
          <cell r="H2353">
            <v>3.5</v>
          </cell>
        </row>
        <row r="2354">
          <cell r="A2354" t="str">
            <v>00611381</v>
          </cell>
          <cell r="B2354" t="str">
            <v>TESA  MASK TAPE    50M X 25MM 4348</v>
          </cell>
          <cell r="C2354" t="str">
            <v>Tape</v>
          </cell>
          <cell r="D2354">
            <v>2.52</v>
          </cell>
          <cell r="E2354">
            <v>0</v>
          </cell>
          <cell r="F2354">
            <v>0</v>
          </cell>
          <cell r="G2354">
            <v>0</v>
          </cell>
          <cell r="H2354">
            <v>2.52</v>
          </cell>
        </row>
        <row r="2355">
          <cell r="A2355" t="str">
            <v>00611385</v>
          </cell>
          <cell r="B2355" t="str">
            <v>TESA  PR MASK TAPE 50M X 38MM 4334</v>
          </cell>
          <cell r="C2355" t="str">
            <v>Tape</v>
          </cell>
          <cell r="D2355">
            <v>6.21</v>
          </cell>
          <cell r="E2355">
            <v>0</v>
          </cell>
          <cell r="F2355">
            <v>0</v>
          </cell>
          <cell r="G2355">
            <v>0</v>
          </cell>
          <cell r="H2355">
            <v>6.21</v>
          </cell>
        </row>
        <row r="2356">
          <cell r="A2356" t="str">
            <v>00853023</v>
          </cell>
          <cell r="B2356" t="str">
            <v>TESA  PRECISION    PROMO PACK</v>
          </cell>
          <cell r="C2356" t="str">
            <v>Tape</v>
          </cell>
          <cell r="D2356">
            <v>28.82</v>
          </cell>
          <cell r="E2356">
            <v>0</v>
          </cell>
          <cell r="F2356">
            <v>0</v>
          </cell>
          <cell r="G2356">
            <v>0</v>
          </cell>
          <cell r="H2356">
            <v>28.82</v>
          </cell>
        </row>
        <row r="2357">
          <cell r="A2357" t="str">
            <v>00102400</v>
          </cell>
          <cell r="B2357" t="str">
            <v>THINNER 20-05               0000TREU2200</v>
          </cell>
          <cell r="C2357" t="str">
            <v>PMC</v>
          </cell>
          <cell r="D2357">
            <v>216.04</v>
          </cell>
          <cell r="E2357">
            <v>0</v>
          </cell>
          <cell r="F2357">
            <v>0</v>
          </cell>
          <cell r="G2357">
            <v>0</v>
          </cell>
          <cell r="H2357">
            <v>216.04</v>
          </cell>
        </row>
        <row r="2358">
          <cell r="A2358" t="str">
            <v>00113191</v>
          </cell>
          <cell r="B2358" t="str">
            <v>THINNER 21-06               0000TREU2200</v>
          </cell>
          <cell r="C2358" t="str">
            <v>PMC</v>
          </cell>
          <cell r="D2358">
            <v>236.64</v>
          </cell>
          <cell r="E2358">
            <v>0</v>
          </cell>
          <cell r="F2358">
            <v>0</v>
          </cell>
          <cell r="G2358">
            <v>0</v>
          </cell>
          <cell r="H2358">
            <v>236.64</v>
          </cell>
        </row>
        <row r="2359">
          <cell r="A2359" t="str">
            <v>00284799</v>
          </cell>
          <cell r="B2359" t="str">
            <v>THINNER 21-25               0000TREU1500</v>
          </cell>
          <cell r="C2359" t="str">
            <v>PMC</v>
          </cell>
          <cell r="D2359">
            <v>91.16</v>
          </cell>
          <cell r="E2359">
            <v>0</v>
          </cell>
          <cell r="F2359">
            <v>0</v>
          </cell>
          <cell r="G2359">
            <v>0</v>
          </cell>
          <cell r="H2359">
            <v>91.16</v>
          </cell>
        </row>
        <row r="2360">
          <cell r="A2360" t="str">
            <v>00288909</v>
          </cell>
          <cell r="B2360" t="str">
            <v>THINNER 60-12               0000TRCN2200</v>
          </cell>
          <cell r="C2360" t="str">
            <v>PMC</v>
          </cell>
          <cell r="D2360">
            <v>296.58</v>
          </cell>
          <cell r="E2360">
            <v>0</v>
          </cell>
          <cell r="F2360">
            <v>0</v>
          </cell>
          <cell r="G2360">
            <v>0</v>
          </cell>
          <cell r="H2360">
            <v>296.58</v>
          </cell>
        </row>
        <row r="2361">
          <cell r="A2361" t="str">
            <v>00284667</v>
          </cell>
          <cell r="B2361" t="str">
            <v>THINNER 60-12               0000TREU1500</v>
          </cell>
          <cell r="C2361" t="str">
            <v>PMC</v>
          </cell>
          <cell r="D2361">
            <v>82.66</v>
          </cell>
          <cell r="E2361">
            <v>0</v>
          </cell>
          <cell r="F2361">
            <v>0</v>
          </cell>
          <cell r="G2361">
            <v>0</v>
          </cell>
          <cell r="H2361">
            <v>82.66</v>
          </cell>
        </row>
        <row r="2362">
          <cell r="A2362" t="str">
            <v>00284670</v>
          </cell>
          <cell r="B2362" t="str">
            <v>THINNER 60-15               0000TREU1500</v>
          </cell>
          <cell r="C2362" t="str">
            <v>PMC</v>
          </cell>
          <cell r="D2362">
            <v>70.72</v>
          </cell>
          <cell r="E2362">
            <v>0</v>
          </cell>
          <cell r="F2362">
            <v>0</v>
          </cell>
          <cell r="G2362">
            <v>0</v>
          </cell>
          <cell r="H2362">
            <v>70.72</v>
          </cell>
        </row>
        <row r="2363">
          <cell r="A2363" t="str">
            <v>00281529</v>
          </cell>
          <cell r="B2363" t="str">
            <v>THINNER 60-15               0000TREU2200</v>
          </cell>
          <cell r="C2363" t="str">
            <v>PMC</v>
          </cell>
          <cell r="D2363">
            <v>253.49</v>
          </cell>
          <cell r="E2363">
            <v>0</v>
          </cell>
          <cell r="F2363">
            <v>0</v>
          </cell>
          <cell r="G2363">
            <v>0</v>
          </cell>
          <cell r="H2363">
            <v>253.49</v>
          </cell>
        </row>
        <row r="2364">
          <cell r="A2364" t="str">
            <v>00119495</v>
          </cell>
          <cell r="B2364" t="str">
            <v>THINNER 90-53               0000TREU2200</v>
          </cell>
          <cell r="C2364" t="str">
            <v>PMC</v>
          </cell>
          <cell r="D2364">
            <v>236.64</v>
          </cell>
          <cell r="E2364">
            <v>0</v>
          </cell>
          <cell r="F2364">
            <v>0</v>
          </cell>
          <cell r="G2364">
            <v>0</v>
          </cell>
          <cell r="H2364">
            <v>236.64</v>
          </cell>
        </row>
        <row r="2365">
          <cell r="A2365" t="str">
            <v>00288374</v>
          </cell>
          <cell r="B2365" t="str">
            <v>THINNER 90-58               0000TRCN2200</v>
          </cell>
          <cell r="C2365" t="str">
            <v>PMC</v>
          </cell>
          <cell r="D2365">
            <v>209.47</v>
          </cell>
          <cell r="E2365">
            <v>0</v>
          </cell>
          <cell r="F2365">
            <v>0</v>
          </cell>
          <cell r="G2365">
            <v>0</v>
          </cell>
          <cell r="H2365">
            <v>209.47</v>
          </cell>
        </row>
        <row r="2366">
          <cell r="A2366" t="str">
            <v>00284529</v>
          </cell>
          <cell r="B2366" t="str">
            <v>THINNER 90-58               0000TREU1500</v>
          </cell>
          <cell r="C2366" t="str">
            <v>PMC</v>
          </cell>
          <cell r="D2366">
            <v>58.46</v>
          </cell>
          <cell r="E2366">
            <v>0</v>
          </cell>
          <cell r="F2366">
            <v>0</v>
          </cell>
          <cell r="G2366">
            <v>0</v>
          </cell>
          <cell r="H2366">
            <v>58.46</v>
          </cell>
        </row>
        <row r="2367">
          <cell r="A2367" t="str">
            <v>00202664</v>
          </cell>
          <cell r="B2367" t="str">
            <v>THINNER 90-83               0000TREU2200</v>
          </cell>
          <cell r="C2367" t="str">
            <v>PMC</v>
          </cell>
          <cell r="D2367">
            <v>222.9</v>
          </cell>
          <cell r="E2367">
            <v>0</v>
          </cell>
          <cell r="F2367">
            <v>0</v>
          </cell>
          <cell r="G2367">
            <v>0</v>
          </cell>
          <cell r="H2367">
            <v>222.9</v>
          </cell>
        </row>
        <row r="2368">
          <cell r="A2368" t="str">
            <v>00104135</v>
          </cell>
          <cell r="B2368" t="str">
            <v>THINNER 91-79               0000TREU1500</v>
          </cell>
          <cell r="C2368" t="str">
            <v>PMC</v>
          </cell>
          <cell r="D2368">
            <v>72.28</v>
          </cell>
          <cell r="E2368">
            <v>0</v>
          </cell>
          <cell r="F2368">
            <v>0</v>
          </cell>
          <cell r="G2368">
            <v>0</v>
          </cell>
          <cell r="H2368">
            <v>72.28</v>
          </cell>
        </row>
        <row r="2369">
          <cell r="A2369" t="str">
            <v>00118356</v>
          </cell>
          <cell r="B2369" t="str">
            <v>THINNER 91-79               0000TREU2200</v>
          </cell>
          <cell r="C2369" t="str">
            <v>PMC</v>
          </cell>
          <cell r="D2369">
            <v>259.42</v>
          </cell>
          <cell r="E2369">
            <v>0</v>
          </cell>
          <cell r="F2369">
            <v>0</v>
          </cell>
          <cell r="G2369">
            <v>0</v>
          </cell>
          <cell r="H2369">
            <v>259.42</v>
          </cell>
        </row>
        <row r="2370">
          <cell r="A2370" t="str">
            <v>00121186</v>
          </cell>
          <cell r="B2370" t="str">
            <v>THINNER 91-92               0000TREU1500</v>
          </cell>
          <cell r="C2370" t="str">
            <v>PMC</v>
          </cell>
          <cell r="D2370">
            <v>32.619999999999997</v>
          </cell>
          <cell r="E2370">
            <v>0</v>
          </cell>
          <cell r="F2370">
            <v>0</v>
          </cell>
          <cell r="G2370">
            <v>0</v>
          </cell>
          <cell r="H2370">
            <v>32.619999999999997</v>
          </cell>
        </row>
        <row r="2371">
          <cell r="A2371" t="str">
            <v>00108309</v>
          </cell>
          <cell r="B2371" t="str">
            <v>THINNER 91-92               0000TREU2200</v>
          </cell>
          <cell r="C2371" t="str">
            <v>PMC</v>
          </cell>
          <cell r="D2371">
            <v>222.9</v>
          </cell>
          <cell r="E2371">
            <v>0</v>
          </cell>
          <cell r="F2371">
            <v>0</v>
          </cell>
          <cell r="G2371">
            <v>0</v>
          </cell>
          <cell r="H2371">
            <v>222.9</v>
          </cell>
        </row>
        <row r="2372">
          <cell r="A2372" t="str">
            <v>00729847</v>
          </cell>
          <cell r="B2372" t="str">
            <v>UB    ESSENTIALS   9"VALUEKIT</v>
          </cell>
          <cell r="C2372" t="str">
            <v>Roller</v>
          </cell>
          <cell r="D2372">
            <v>4.26</v>
          </cell>
          <cell r="E2372">
            <v>0</v>
          </cell>
          <cell r="F2372">
            <v>0</v>
          </cell>
          <cell r="G2372">
            <v>0</v>
          </cell>
          <cell r="H2372">
            <v>4.26</v>
          </cell>
        </row>
        <row r="2373">
          <cell r="A2373" t="str">
            <v>00633403</v>
          </cell>
          <cell r="B2373" t="str">
            <v>WATCO 4 HOUR EPOXY PRIMER     0000001500</v>
          </cell>
          <cell r="C2373" t="str">
            <v>Watco</v>
          </cell>
          <cell r="D2373">
            <v>109.46</v>
          </cell>
          <cell r="E2373">
            <v>0</v>
          </cell>
          <cell r="F2373">
            <v>0</v>
          </cell>
          <cell r="G2373">
            <v>0</v>
          </cell>
          <cell r="H2373">
            <v>109.46</v>
          </cell>
        </row>
        <row r="2374">
          <cell r="A2374" t="str">
            <v>00610674</v>
          </cell>
          <cell r="B2374" t="str">
            <v>WATCO A/SLIP CONC  FLR PT     0000001500</v>
          </cell>
          <cell r="C2374" t="str">
            <v>Watco</v>
          </cell>
          <cell r="D2374">
            <v>112.37</v>
          </cell>
          <cell r="E2374">
            <v>0</v>
          </cell>
          <cell r="F2374">
            <v>0</v>
          </cell>
          <cell r="G2374">
            <v>0</v>
          </cell>
          <cell r="H2374">
            <v>112.37</v>
          </cell>
        </row>
        <row r="2375">
          <cell r="A2375" t="str">
            <v>00611065</v>
          </cell>
          <cell r="B2375" t="str">
            <v>WATCO ASPHALT PT              0000001500</v>
          </cell>
          <cell r="C2375" t="str">
            <v>Watco</v>
          </cell>
          <cell r="D2375">
            <v>128.71</v>
          </cell>
          <cell r="E2375">
            <v>0</v>
          </cell>
          <cell r="F2375">
            <v>0</v>
          </cell>
          <cell r="G2375">
            <v>0</v>
          </cell>
          <cell r="H2375">
            <v>128.71</v>
          </cell>
        </row>
        <row r="2376">
          <cell r="A2376" t="str">
            <v>00852387</v>
          </cell>
          <cell r="B2376" t="str">
            <v>WATCO BALCONY COAT STD COLOUR 0000002250</v>
          </cell>
          <cell r="C2376" t="str">
            <v>Watco</v>
          </cell>
          <cell r="D2376">
            <v>174.81</v>
          </cell>
          <cell r="E2376">
            <v>0</v>
          </cell>
          <cell r="F2376">
            <v>0</v>
          </cell>
          <cell r="G2376">
            <v>0</v>
          </cell>
          <cell r="H2376">
            <v>174.81</v>
          </cell>
        </row>
        <row r="2377">
          <cell r="A2377" t="str">
            <v>00611864</v>
          </cell>
          <cell r="B2377" t="str">
            <v>WATCO BIO-D        DEGREASER  0000001500</v>
          </cell>
          <cell r="C2377" t="str">
            <v>Watco</v>
          </cell>
          <cell r="D2377">
            <v>42.72</v>
          </cell>
          <cell r="E2377">
            <v>0</v>
          </cell>
          <cell r="F2377">
            <v>0</v>
          </cell>
          <cell r="G2377">
            <v>0</v>
          </cell>
          <cell r="H2377">
            <v>42.72</v>
          </cell>
        </row>
        <row r="2378">
          <cell r="A2378" t="str">
            <v>00611869</v>
          </cell>
          <cell r="B2378" t="str">
            <v>WATCO BUND SEALER  2PK        0000001400</v>
          </cell>
          <cell r="C2378" t="str">
            <v>Watco</v>
          </cell>
          <cell r="D2378">
            <v>230.81</v>
          </cell>
          <cell r="E2378">
            <v>0</v>
          </cell>
          <cell r="F2378">
            <v>0</v>
          </cell>
          <cell r="G2378">
            <v>0</v>
          </cell>
          <cell r="H2378">
            <v>230.81</v>
          </cell>
        </row>
        <row r="2379">
          <cell r="A2379" t="str">
            <v>00852436</v>
          </cell>
          <cell r="B2379" t="str">
            <v>WATCO CHEMI-COAT   STD COLS   0000001400</v>
          </cell>
          <cell r="C2379" t="str">
            <v>Watco</v>
          </cell>
          <cell r="D2379">
            <v>216.95</v>
          </cell>
          <cell r="E2379">
            <v>0</v>
          </cell>
          <cell r="F2379">
            <v>0</v>
          </cell>
          <cell r="G2379">
            <v>0</v>
          </cell>
          <cell r="H2379">
            <v>216.95</v>
          </cell>
        </row>
        <row r="2380">
          <cell r="A2380" t="str">
            <v>00636684</v>
          </cell>
          <cell r="B2380" t="str">
            <v>WATCO COLD SET     ALL COLS   0000001250</v>
          </cell>
          <cell r="C2380" t="str">
            <v>Watco</v>
          </cell>
          <cell r="D2380">
            <v>253.78</v>
          </cell>
          <cell r="E2380">
            <v>0</v>
          </cell>
          <cell r="F2380">
            <v>0</v>
          </cell>
          <cell r="G2380">
            <v>0</v>
          </cell>
          <cell r="H2380">
            <v>253.78</v>
          </cell>
        </row>
        <row r="2381">
          <cell r="A2381" t="str">
            <v>00611068</v>
          </cell>
          <cell r="B2381" t="str">
            <v>WATCO CONCRETE F/P STD COL    0000001500</v>
          </cell>
          <cell r="C2381" t="str">
            <v>Watco</v>
          </cell>
          <cell r="D2381">
            <v>104.28</v>
          </cell>
          <cell r="E2381">
            <v>0</v>
          </cell>
          <cell r="F2381">
            <v>0</v>
          </cell>
          <cell r="G2381">
            <v>0</v>
          </cell>
          <cell r="H2381">
            <v>104.28</v>
          </cell>
        </row>
        <row r="2382">
          <cell r="A2382" t="str">
            <v>00649685</v>
          </cell>
          <cell r="B2382" t="str">
            <v>WATCO CONCRETE WB  SEAL MATT  0000001500</v>
          </cell>
          <cell r="C2382" t="str">
            <v>Watco</v>
          </cell>
          <cell r="D2382">
            <v>91.73</v>
          </cell>
          <cell r="E2382">
            <v>0</v>
          </cell>
          <cell r="F2382">
            <v>0</v>
          </cell>
          <cell r="G2382">
            <v>0</v>
          </cell>
          <cell r="H2382">
            <v>91.73</v>
          </cell>
        </row>
        <row r="2383">
          <cell r="A2383" t="str">
            <v>00611807</v>
          </cell>
          <cell r="B2383" t="str">
            <v>WATCO CONCREX FINE FILLER 2PK 0000001150</v>
          </cell>
          <cell r="C2383" t="str">
            <v>Watco</v>
          </cell>
          <cell r="D2383">
            <v>59.27</v>
          </cell>
          <cell r="E2383">
            <v>0</v>
          </cell>
          <cell r="F2383">
            <v>0</v>
          </cell>
          <cell r="G2383">
            <v>0</v>
          </cell>
          <cell r="H2383">
            <v>59.27</v>
          </cell>
        </row>
        <row r="2384">
          <cell r="A2384" t="str">
            <v>00618244</v>
          </cell>
          <cell r="B2384" t="str">
            <v>WATCO EPOXICOTE AD ANTI SLIP  0000001400</v>
          </cell>
          <cell r="C2384" t="str">
            <v>Watco</v>
          </cell>
          <cell r="D2384">
            <v>282</v>
          </cell>
          <cell r="E2384">
            <v>0</v>
          </cell>
          <cell r="F2384">
            <v>0</v>
          </cell>
          <cell r="G2384">
            <v>0</v>
          </cell>
          <cell r="H2384">
            <v>282</v>
          </cell>
        </row>
        <row r="2385">
          <cell r="A2385" t="str">
            <v>00649884</v>
          </cell>
          <cell r="B2385" t="str">
            <v>WATCO EPOXY GLOSS  COAT WB    0000001500</v>
          </cell>
          <cell r="C2385" t="str">
            <v>Watco</v>
          </cell>
          <cell r="D2385">
            <v>199.07</v>
          </cell>
          <cell r="E2385">
            <v>0</v>
          </cell>
          <cell r="F2385">
            <v>0</v>
          </cell>
          <cell r="G2385">
            <v>0</v>
          </cell>
          <cell r="H2385">
            <v>199.07</v>
          </cell>
        </row>
        <row r="2386">
          <cell r="A2386" t="str">
            <v>00633316</v>
          </cell>
          <cell r="B2386" t="str">
            <v>WATCO EPOXY GLS M/GRY SP ONLY 0000001500</v>
          </cell>
          <cell r="C2386" t="str">
            <v>Watco</v>
          </cell>
          <cell r="D2386">
            <v>199.07</v>
          </cell>
          <cell r="E2386">
            <v>0</v>
          </cell>
          <cell r="F2386">
            <v>0</v>
          </cell>
          <cell r="G2386">
            <v>0</v>
          </cell>
          <cell r="H2386">
            <v>199.07</v>
          </cell>
        </row>
        <row r="2387">
          <cell r="A2387" t="str">
            <v>00610711</v>
          </cell>
          <cell r="B2387" t="str">
            <v>WATCO EPOXYLINE               0000001100</v>
          </cell>
          <cell r="C2387" t="str">
            <v>Watco</v>
          </cell>
          <cell r="D2387">
            <v>61.63</v>
          </cell>
          <cell r="E2387">
            <v>0</v>
          </cell>
          <cell r="F2387">
            <v>0</v>
          </cell>
          <cell r="G2387">
            <v>0</v>
          </cell>
          <cell r="H2387">
            <v>61.63</v>
          </cell>
        </row>
        <row r="2388">
          <cell r="A2388" t="str">
            <v>00649808</v>
          </cell>
          <cell r="B2388" t="str">
            <v>WATCO FIBREGLASS   REINF TAPE       1100</v>
          </cell>
          <cell r="C2388" t="str">
            <v>Watco</v>
          </cell>
          <cell r="D2388">
            <v>46.34</v>
          </cell>
          <cell r="E2388">
            <v>0</v>
          </cell>
          <cell r="F2388">
            <v>0</v>
          </cell>
          <cell r="G2388">
            <v>0</v>
          </cell>
          <cell r="H2388">
            <v>46.34</v>
          </cell>
        </row>
        <row r="2389">
          <cell r="A2389" t="str">
            <v>00852547</v>
          </cell>
          <cell r="B2389" t="str">
            <v>WATCO FLOOR JOINT  SEALANT    0000001200</v>
          </cell>
          <cell r="C2389" t="str">
            <v>Watco</v>
          </cell>
          <cell r="D2389">
            <v>86.27</v>
          </cell>
          <cell r="E2389">
            <v>0</v>
          </cell>
          <cell r="F2389">
            <v>0</v>
          </cell>
          <cell r="G2389">
            <v>0</v>
          </cell>
          <cell r="H2389">
            <v>86.27</v>
          </cell>
        </row>
        <row r="2390">
          <cell r="A2390" t="str">
            <v>00852548</v>
          </cell>
          <cell r="B2390" t="str">
            <v>WATCO FLOOR JOINT  SLR PRIMER 0000000250</v>
          </cell>
          <cell r="C2390" t="str">
            <v>Watco</v>
          </cell>
          <cell r="D2390">
            <v>16.260000000000002</v>
          </cell>
          <cell r="E2390">
            <v>0</v>
          </cell>
          <cell r="F2390">
            <v>0</v>
          </cell>
          <cell r="G2390">
            <v>0</v>
          </cell>
          <cell r="H2390">
            <v>16.260000000000002</v>
          </cell>
        </row>
        <row r="2391">
          <cell r="A2391" t="str">
            <v>00633319</v>
          </cell>
          <cell r="B2391" t="str">
            <v>WATCO FLOWTOP      GREY       0000002250</v>
          </cell>
          <cell r="C2391" t="str">
            <v>Watco</v>
          </cell>
          <cell r="D2391">
            <v>116.45</v>
          </cell>
          <cell r="E2391">
            <v>0</v>
          </cell>
          <cell r="F2391">
            <v>0</v>
          </cell>
          <cell r="G2391">
            <v>0</v>
          </cell>
          <cell r="H2391">
            <v>116.45</v>
          </cell>
        </row>
        <row r="2392">
          <cell r="A2392" t="str">
            <v>00610630</v>
          </cell>
          <cell r="B2392" t="str">
            <v>WATCO GALVAPRIME              0000001100</v>
          </cell>
          <cell r="C2392" t="str">
            <v>Watco</v>
          </cell>
          <cell r="D2392">
            <v>37.08</v>
          </cell>
          <cell r="E2392">
            <v>0</v>
          </cell>
          <cell r="F2392">
            <v>0</v>
          </cell>
          <cell r="G2392">
            <v>0</v>
          </cell>
          <cell r="H2392">
            <v>37.08</v>
          </cell>
        </row>
        <row r="2393">
          <cell r="A2393" t="str">
            <v>00852469</v>
          </cell>
          <cell r="B2393" t="str">
            <v>WATCO HI VISIBILIT FLUOR YELL 0000001250</v>
          </cell>
          <cell r="C2393" t="str">
            <v>Watco</v>
          </cell>
          <cell r="D2393">
            <v>88.82</v>
          </cell>
          <cell r="E2393">
            <v>0</v>
          </cell>
          <cell r="F2393">
            <v>0</v>
          </cell>
          <cell r="G2393">
            <v>0</v>
          </cell>
          <cell r="H2393">
            <v>88.82</v>
          </cell>
        </row>
        <row r="2394">
          <cell r="A2394" t="str">
            <v>00611840</v>
          </cell>
          <cell r="B2394" t="str">
            <v>WATCO IND WALLCOAT WHITE      0000002100</v>
          </cell>
          <cell r="C2394" t="str">
            <v>Watco</v>
          </cell>
          <cell r="D2394">
            <v>76.38</v>
          </cell>
          <cell r="E2394">
            <v>0</v>
          </cell>
          <cell r="F2394">
            <v>0</v>
          </cell>
          <cell r="G2394">
            <v>0</v>
          </cell>
          <cell r="H2394">
            <v>76.38</v>
          </cell>
        </row>
        <row r="2395">
          <cell r="A2395" t="str">
            <v>00852371</v>
          </cell>
          <cell r="B2395" t="str">
            <v>WATCO LIQUID ROOF  MEMBRANE   0000001500</v>
          </cell>
          <cell r="C2395" t="str">
            <v>Watco</v>
          </cell>
          <cell r="D2395">
            <v>133.52000000000001</v>
          </cell>
          <cell r="E2395">
            <v>0</v>
          </cell>
          <cell r="F2395">
            <v>0</v>
          </cell>
          <cell r="G2395">
            <v>0</v>
          </cell>
          <cell r="H2395">
            <v>133.52000000000001</v>
          </cell>
        </row>
        <row r="2396">
          <cell r="A2396" t="str">
            <v>00852455</v>
          </cell>
          <cell r="B2396" t="str">
            <v>WATCO NEW CONCRETE PRIMER     0000001800</v>
          </cell>
          <cell r="C2396" t="str">
            <v>Watco</v>
          </cell>
          <cell r="D2396">
            <v>181.03</v>
          </cell>
          <cell r="E2396">
            <v>0</v>
          </cell>
          <cell r="F2396">
            <v>0</v>
          </cell>
          <cell r="G2396">
            <v>0</v>
          </cell>
          <cell r="H2396">
            <v>181.03</v>
          </cell>
        </row>
        <row r="2397">
          <cell r="A2397" t="str">
            <v>00852336</v>
          </cell>
          <cell r="B2397" t="str">
            <v>WATCO OIL BLOCK    PRIMER     0000001400</v>
          </cell>
          <cell r="C2397" t="str">
            <v>Watco</v>
          </cell>
          <cell r="D2397">
            <v>88.82</v>
          </cell>
          <cell r="E2397">
            <v>0</v>
          </cell>
          <cell r="F2397">
            <v>0</v>
          </cell>
          <cell r="G2397">
            <v>0</v>
          </cell>
          <cell r="H2397">
            <v>88.82</v>
          </cell>
        </row>
        <row r="2398">
          <cell r="A2398" t="str">
            <v>00636589</v>
          </cell>
          <cell r="B2398" t="str">
            <v>WATCO PLANT ROOM   CT ALL COL 0000002250</v>
          </cell>
          <cell r="C2398" t="str">
            <v>Watco</v>
          </cell>
          <cell r="D2398">
            <v>217.85</v>
          </cell>
          <cell r="E2398">
            <v>0</v>
          </cell>
          <cell r="F2398">
            <v>0</v>
          </cell>
          <cell r="G2398">
            <v>0</v>
          </cell>
          <cell r="H2398">
            <v>217.85</v>
          </cell>
        </row>
        <row r="2399">
          <cell r="A2399" t="str">
            <v>00647342</v>
          </cell>
          <cell r="B2399" t="str">
            <v>WATCO POWERFLOAT   ANTI SLIP  0000001500</v>
          </cell>
          <cell r="C2399" t="str">
            <v>Watco</v>
          </cell>
          <cell r="D2399">
            <v>115.84</v>
          </cell>
          <cell r="E2399">
            <v>0</v>
          </cell>
          <cell r="F2399">
            <v>0</v>
          </cell>
          <cell r="G2399">
            <v>0</v>
          </cell>
          <cell r="H2399">
            <v>115.84</v>
          </cell>
        </row>
        <row r="2400">
          <cell r="A2400" t="str">
            <v>00636683</v>
          </cell>
          <cell r="B2400" t="str">
            <v>WATCO POWERFLOAT   FLR PRIMER 0000001500</v>
          </cell>
          <cell r="C2400" t="str">
            <v>Watco</v>
          </cell>
          <cell r="D2400">
            <v>177.88</v>
          </cell>
          <cell r="E2400">
            <v>0</v>
          </cell>
          <cell r="F2400">
            <v>0</v>
          </cell>
          <cell r="G2400">
            <v>0</v>
          </cell>
          <cell r="H2400">
            <v>177.88</v>
          </cell>
        </row>
        <row r="2401">
          <cell r="A2401" t="str">
            <v>00611176</v>
          </cell>
          <cell r="B2401" t="str">
            <v>WATCO POWERFLOATP  PRIMER     0000001500</v>
          </cell>
          <cell r="C2401" t="str">
            <v>Watco</v>
          </cell>
          <cell r="D2401">
            <v>119.59</v>
          </cell>
          <cell r="E2401">
            <v>0</v>
          </cell>
          <cell r="F2401">
            <v>0</v>
          </cell>
          <cell r="G2401">
            <v>0</v>
          </cell>
          <cell r="H2401">
            <v>119.59</v>
          </cell>
        </row>
        <row r="2402">
          <cell r="A2402" t="str">
            <v>00610611</v>
          </cell>
          <cell r="B2402" t="str">
            <v>WATCO PROTECTA CT  ANTI SLIP  0000001250</v>
          </cell>
          <cell r="C2402" t="str">
            <v>Watco</v>
          </cell>
          <cell r="D2402">
            <v>153.82</v>
          </cell>
          <cell r="E2402">
            <v>0</v>
          </cell>
          <cell r="F2402">
            <v>0</v>
          </cell>
          <cell r="G2402">
            <v>0</v>
          </cell>
          <cell r="H2402">
            <v>153.82</v>
          </cell>
        </row>
        <row r="2403">
          <cell r="A2403" t="str">
            <v>00610610</v>
          </cell>
          <cell r="B2403" t="str">
            <v>WATCO PROTECTA CT  STANDARD   0000001250</v>
          </cell>
          <cell r="C2403" t="str">
            <v>Watco</v>
          </cell>
          <cell r="D2403">
            <v>144.87</v>
          </cell>
          <cell r="E2403">
            <v>0</v>
          </cell>
          <cell r="F2403">
            <v>0</v>
          </cell>
          <cell r="G2403">
            <v>0</v>
          </cell>
          <cell r="H2403">
            <v>144.87</v>
          </cell>
        </row>
        <row r="2404">
          <cell r="A2404" t="str">
            <v>00649684</v>
          </cell>
          <cell r="B2404" t="str">
            <v>WATCO RESIFLOW     FLEX GLOSS 0000002130</v>
          </cell>
          <cell r="C2404" t="str">
            <v>Watco</v>
          </cell>
          <cell r="D2404">
            <v>220.55</v>
          </cell>
          <cell r="E2404">
            <v>0</v>
          </cell>
          <cell r="F2404">
            <v>0</v>
          </cell>
          <cell r="G2404">
            <v>0</v>
          </cell>
          <cell r="H2404">
            <v>220.55</v>
          </cell>
        </row>
        <row r="2405">
          <cell r="A2405" t="str">
            <v>00611274</v>
          </cell>
          <cell r="B2405" t="str">
            <v>WATCO ROAD PT RAP  STD COLS   0000001500</v>
          </cell>
          <cell r="C2405" t="str">
            <v>Watco</v>
          </cell>
          <cell r="D2405">
            <v>112.53</v>
          </cell>
          <cell r="E2405">
            <v>0</v>
          </cell>
          <cell r="F2405">
            <v>0</v>
          </cell>
          <cell r="G2405">
            <v>0</v>
          </cell>
          <cell r="H2405">
            <v>112.53</v>
          </cell>
        </row>
        <row r="2406">
          <cell r="A2406" t="str">
            <v>00611890</v>
          </cell>
          <cell r="B2406" t="str">
            <v>WATCO ROOFITE                 0000001500</v>
          </cell>
          <cell r="C2406" t="str">
            <v>Watco</v>
          </cell>
          <cell r="D2406">
            <v>56.57</v>
          </cell>
          <cell r="E2406">
            <v>0</v>
          </cell>
          <cell r="F2406">
            <v>0</v>
          </cell>
          <cell r="G2406">
            <v>0</v>
          </cell>
          <cell r="H2406">
            <v>56.57</v>
          </cell>
        </row>
        <row r="2407">
          <cell r="A2407" t="str">
            <v>00852431</v>
          </cell>
          <cell r="B2407" t="str">
            <v>WATCO ROOFITE                 0000002250</v>
          </cell>
          <cell r="C2407" t="str">
            <v>Watco</v>
          </cell>
          <cell r="D2407">
            <v>228.7</v>
          </cell>
          <cell r="E2407">
            <v>0</v>
          </cell>
          <cell r="F2407">
            <v>0</v>
          </cell>
          <cell r="G2407">
            <v>0</v>
          </cell>
          <cell r="H2407">
            <v>228.7</v>
          </cell>
        </row>
        <row r="2408">
          <cell r="A2408" t="str">
            <v>00649878</v>
          </cell>
          <cell r="B2408" t="str">
            <v>WATCO SAFETY COAT  COARSE     0000001500</v>
          </cell>
          <cell r="C2408" t="str">
            <v>Watco</v>
          </cell>
          <cell r="D2408">
            <v>226.57</v>
          </cell>
          <cell r="E2408">
            <v>0</v>
          </cell>
          <cell r="F2408">
            <v>0</v>
          </cell>
          <cell r="G2408">
            <v>0</v>
          </cell>
          <cell r="H2408">
            <v>226.57</v>
          </cell>
        </row>
        <row r="2409">
          <cell r="A2409" t="str">
            <v>00649873</v>
          </cell>
          <cell r="B2409" t="str">
            <v>WATCO SAFETY COAT  COLD CURE  0000001250</v>
          </cell>
          <cell r="C2409" t="str">
            <v>Watco</v>
          </cell>
          <cell r="D2409">
            <v>179.14</v>
          </cell>
          <cell r="E2409">
            <v>0</v>
          </cell>
          <cell r="F2409">
            <v>0</v>
          </cell>
          <cell r="G2409">
            <v>0</v>
          </cell>
          <cell r="H2409">
            <v>179.14</v>
          </cell>
        </row>
        <row r="2410">
          <cell r="A2410" t="str">
            <v>00649874</v>
          </cell>
          <cell r="B2410" t="str">
            <v>WATCO SAFETY COAT  FLOOR COAT 0000001500</v>
          </cell>
          <cell r="C2410" t="str">
            <v>Watco</v>
          </cell>
          <cell r="D2410">
            <v>226.57</v>
          </cell>
          <cell r="E2410">
            <v>0</v>
          </cell>
          <cell r="F2410">
            <v>0</v>
          </cell>
          <cell r="G2410">
            <v>0</v>
          </cell>
          <cell r="H2410">
            <v>226.57</v>
          </cell>
        </row>
        <row r="2411">
          <cell r="A2411" t="str">
            <v>00636685</v>
          </cell>
          <cell r="B2411" t="str">
            <v>WATCO SAFETY COAT  FOOD SAFE  0000001250</v>
          </cell>
          <cell r="C2411" t="str">
            <v>Watco</v>
          </cell>
          <cell r="D2411">
            <v>256.64999999999998</v>
          </cell>
          <cell r="E2411">
            <v>0</v>
          </cell>
          <cell r="F2411">
            <v>0</v>
          </cell>
          <cell r="G2411">
            <v>0</v>
          </cell>
          <cell r="H2411">
            <v>256.64999999999998</v>
          </cell>
        </row>
        <row r="2412">
          <cell r="A2412" t="str">
            <v>00647328</v>
          </cell>
          <cell r="B2412" t="str">
            <v>WATCO SAFETY COAT  LI GREY SP 0000001500</v>
          </cell>
          <cell r="C2412" t="str">
            <v>Watco</v>
          </cell>
          <cell r="D2412">
            <v>167.57</v>
          </cell>
          <cell r="E2412">
            <v>0</v>
          </cell>
          <cell r="F2412">
            <v>0</v>
          </cell>
          <cell r="G2412">
            <v>0</v>
          </cell>
          <cell r="H2412">
            <v>167.57</v>
          </cell>
        </row>
        <row r="2413">
          <cell r="A2413" t="str">
            <v>00633565</v>
          </cell>
          <cell r="B2413" t="str">
            <v>WATCO SAFETY COAT  MID GREEN  0000001500</v>
          </cell>
          <cell r="C2413" t="str">
            <v>Watco</v>
          </cell>
          <cell r="D2413">
            <v>225.41</v>
          </cell>
          <cell r="E2413">
            <v>0</v>
          </cell>
          <cell r="F2413">
            <v>0</v>
          </cell>
          <cell r="G2413">
            <v>0</v>
          </cell>
          <cell r="H2413">
            <v>225.41</v>
          </cell>
        </row>
        <row r="2414">
          <cell r="A2414" t="str">
            <v>00633317</v>
          </cell>
          <cell r="B2414" t="str">
            <v>WATCO SAFETY COAT  MID GREY   0000001500</v>
          </cell>
          <cell r="C2414" t="str">
            <v>Watco</v>
          </cell>
          <cell r="D2414">
            <v>241.55</v>
          </cell>
          <cell r="E2414">
            <v>0</v>
          </cell>
          <cell r="F2414">
            <v>0</v>
          </cell>
          <cell r="G2414">
            <v>0</v>
          </cell>
          <cell r="H2414">
            <v>241.55</v>
          </cell>
        </row>
        <row r="2415">
          <cell r="A2415" t="str">
            <v>00649492</v>
          </cell>
          <cell r="B2415" t="str">
            <v>WATCO SAFETY GRIP  COLD CURE  0000001500</v>
          </cell>
          <cell r="C2415" t="str">
            <v>Watco</v>
          </cell>
          <cell r="D2415">
            <v>177.46</v>
          </cell>
          <cell r="E2415">
            <v>0</v>
          </cell>
          <cell r="F2415">
            <v>0</v>
          </cell>
          <cell r="G2415">
            <v>0</v>
          </cell>
          <cell r="H2415">
            <v>177.46</v>
          </cell>
        </row>
        <row r="2416">
          <cell r="A2416" t="str">
            <v>00636588</v>
          </cell>
          <cell r="B2416" t="str">
            <v>WATCO SAFETY GRIP  FLEX 5M2</v>
          </cell>
          <cell r="C2416" t="str">
            <v>Watco</v>
          </cell>
          <cell r="D2416">
            <v>222.59</v>
          </cell>
          <cell r="E2416">
            <v>0</v>
          </cell>
          <cell r="F2416">
            <v>0</v>
          </cell>
          <cell r="G2416">
            <v>0</v>
          </cell>
          <cell r="H2416">
            <v>222.59</v>
          </cell>
        </row>
        <row r="2417">
          <cell r="A2417" t="str">
            <v>00611174</v>
          </cell>
          <cell r="B2417" t="str">
            <v>WATCO SP HD A/SLIP GREEN      0000001500</v>
          </cell>
          <cell r="C2417" t="str">
            <v>Watco</v>
          </cell>
          <cell r="D2417">
            <v>116.8</v>
          </cell>
          <cell r="E2417">
            <v>0</v>
          </cell>
          <cell r="F2417">
            <v>0</v>
          </cell>
          <cell r="G2417">
            <v>0</v>
          </cell>
          <cell r="H2417">
            <v>116.8</v>
          </cell>
        </row>
        <row r="2418">
          <cell r="A2418" t="str">
            <v>00649701</v>
          </cell>
          <cell r="B2418" t="str">
            <v>WATCO SP HD A/SLIP TRAF BLACK 0000001500</v>
          </cell>
          <cell r="C2418" t="str">
            <v>Watco</v>
          </cell>
          <cell r="D2418">
            <v>179.45</v>
          </cell>
          <cell r="E2418">
            <v>0</v>
          </cell>
          <cell r="F2418">
            <v>0</v>
          </cell>
          <cell r="G2418">
            <v>0</v>
          </cell>
          <cell r="H2418">
            <v>179.45</v>
          </cell>
        </row>
        <row r="2419">
          <cell r="A2419" t="str">
            <v>00852461</v>
          </cell>
          <cell r="B2419" t="str">
            <v>WATCO STELLAR      FLAKE SYST</v>
          </cell>
          <cell r="C2419" t="str">
            <v>Watco</v>
          </cell>
          <cell r="D2419">
            <v>335.9</v>
          </cell>
          <cell r="E2419">
            <v>0</v>
          </cell>
          <cell r="F2419">
            <v>0</v>
          </cell>
          <cell r="G2419">
            <v>0</v>
          </cell>
          <cell r="H2419">
            <v>335.9</v>
          </cell>
        </row>
        <row r="2420">
          <cell r="A2420" t="str">
            <v>00852273</v>
          </cell>
          <cell r="B2420" t="str">
            <v>WATCO STEPMAKER</v>
          </cell>
          <cell r="C2420" t="str">
            <v>Watco</v>
          </cell>
          <cell r="D2420">
            <v>62.1</v>
          </cell>
          <cell r="E2420">
            <v>0</v>
          </cell>
          <cell r="F2420">
            <v>0</v>
          </cell>
          <cell r="G2420">
            <v>0</v>
          </cell>
          <cell r="H2420">
            <v>62.1</v>
          </cell>
        </row>
        <row r="2421">
          <cell r="A2421" t="str">
            <v>00610710</v>
          </cell>
          <cell r="B2421" t="str">
            <v>WATCO TILE PRIMER             0000001500</v>
          </cell>
          <cell r="C2421" t="str">
            <v>Watco</v>
          </cell>
          <cell r="D2421">
            <v>104.14</v>
          </cell>
          <cell r="E2421">
            <v>0</v>
          </cell>
          <cell r="F2421">
            <v>0</v>
          </cell>
          <cell r="G2421">
            <v>0</v>
          </cell>
          <cell r="H2421">
            <v>104.14</v>
          </cell>
        </row>
        <row r="2422">
          <cell r="A2422" t="str">
            <v>00611259</v>
          </cell>
          <cell r="B2422" t="str">
            <v>WATCO TRAFFICLINE  RD MARKING 0000001500</v>
          </cell>
          <cell r="C2422" t="str">
            <v>Watco</v>
          </cell>
          <cell r="D2422">
            <v>109.41</v>
          </cell>
          <cell r="E2422">
            <v>0</v>
          </cell>
          <cell r="F2422">
            <v>0</v>
          </cell>
          <cell r="G2422">
            <v>0</v>
          </cell>
          <cell r="H2422">
            <v>109.41</v>
          </cell>
        </row>
        <row r="2423">
          <cell r="A2423" t="str">
            <v>00636590</v>
          </cell>
          <cell r="B2423" t="str">
            <v>WATCO UNI SEALER   DUSTPROOF  0000001100</v>
          </cell>
          <cell r="C2423" t="str">
            <v>Watco</v>
          </cell>
          <cell r="D2423">
            <v>112.22</v>
          </cell>
          <cell r="E2423">
            <v>0</v>
          </cell>
          <cell r="F2423">
            <v>0</v>
          </cell>
          <cell r="G2423">
            <v>0</v>
          </cell>
          <cell r="H2423">
            <v>112.22</v>
          </cell>
        </row>
        <row r="2424">
          <cell r="A2424" t="str">
            <v>00611319</v>
          </cell>
          <cell r="B2424" t="str">
            <v>WATCO UNIV SEALER  DUSTPROOF  0000002250</v>
          </cell>
          <cell r="C2424" t="str">
            <v>Watco</v>
          </cell>
          <cell r="D2424">
            <v>331.67</v>
          </cell>
          <cell r="E2424">
            <v>0</v>
          </cell>
          <cell r="F2424">
            <v>0</v>
          </cell>
          <cell r="G2424">
            <v>0</v>
          </cell>
          <cell r="H2424">
            <v>331.67</v>
          </cell>
        </row>
        <row r="2425">
          <cell r="A2425" t="str">
            <v>00647351</v>
          </cell>
          <cell r="B2425" t="str">
            <v>WATCO WALLGUARD    WHITE      0000001500</v>
          </cell>
          <cell r="C2425" t="str">
            <v>Watco</v>
          </cell>
          <cell r="D2425">
            <v>147.16999999999999</v>
          </cell>
          <cell r="E2425">
            <v>0</v>
          </cell>
          <cell r="F2425">
            <v>0</v>
          </cell>
          <cell r="G2425">
            <v>0</v>
          </cell>
          <cell r="H2425">
            <v>147.16999999999999</v>
          </cell>
        </row>
        <row r="2426">
          <cell r="A2426" t="str">
            <v>00647353</v>
          </cell>
          <cell r="B2426" t="str">
            <v>WATCO WALLSEAL                0000001500</v>
          </cell>
          <cell r="C2426" t="str">
            <v>Watco</v>
          </cell>
          <cell r="D2426">
            <v>99.93</v>
          </cell>
          <cell r="E2426">
            <v>0</v>
          </cell>
          <cell r="F2426">
            <v>0</v>
          </cell>
          <cell r="G2426">
            <v>0</v>
          </cell>
          <cell r="H2426">
            <v>99.93</v>
          </cell>
        </row>
        <row r="2427">
          <cell r="A2427" t="str">
            <v>00618138</v>
          </cell>
          <cell r="B2427" t="str">
            <v>ZINSR ALLCOAT EX   GLOSS DEEP 0000001250</v>
          </cell>
          <cell r="C2427" t="str">
            <v>Zinsser</v>
          </cell>
          <cell r="D2427">
            <v>65.709999999999994</v>
          </cell>
          <cell r="E2427">
            <v>0</v>
          </cell>
          <cell r="F2427">
            <v>0</v>
          </cell>
          <cell r="G2427">
            <v>0</v>
          </cell>
          <cell r="H2427">
            <v>65.709999999999994</v>
          </cell>
        </row>
        <row r="2428">
          <cell r="A2428" t="str">
            <v>00618136</v>
          </cell>
          <cell r="B2428" t="str">
            <v>ZINSR ALLCOAT EX   GLOSS PAST 0000001250</v>
          </cell>
          <cell r="C2428" t="str">
            <v>Zinsser</v>
          </cell>
          <cell r="D2428">
            <v>60.65</v>
          </cell>
          <cell r="E2428">
            <v>0</v>
          </cell>
          <cell r="F2428">
            <v>0</v>
          </cell>
          <cell r="G2428">
            <v>0</v>
          </cell>
          <cell r="H2428">
            <v>60.65</v>
          </cell>
        </row>
        <row r="2429">
          <cell r="A2429" t="str">
            <v>00618137</v>
          </cell>
          <cell r="B2429" t="str">
            <v>ZINSR ALLCOAT EX   GLOSS TRAN 0000001250</v>
          </cell>
          <cell r="C2429" t="str">
            <v>Zinsser</v>
          </cell>
          <cell r="D2429">
            <v>67.599999999999994</v>
          </cell>
          <cell r="E2429">
            <v>0</v>
          </cell>
          <cell r="F2429">
            <v>0</v>
          </cell>
          <cell r="G2429">
            <v>0</v>
          </cell>
          <cell r="H2429">
            <v>67.599999999999994</v>
          </cell>
        </row>
        <row r="2430">
          <cell r="A2430" t="str">
            <v>00618135</v>
          </cell>
          <cell r="B2430" t="str">
            <v>ZINSR ALLCOAT EX   SATIN DEEP 0000001250</v>
          </cell>
          <cell r="C2430" t="str">
            <v>Zinsser</v>
          </cell>
          <cell r="D2430">
            <v>60.65</v>
          </cell>
          <cell r="E2430">
            <v>0</v>
          </cell>
          <cell r="F2430">
            <v>0</v>
          </cell>
          <cell r="G2430">
            <v>0</v>
          </cell>
          <cell r="H2430">
            <v>60.65</v>
          </cell>
        </row>
        <row r="2431">
          <cell r="A2431" t="str">
            <v>00737883</v>
          </cell>
          <cell r="B2431" t="str">
            <v>ZINSR ALLCOAT EXT  DEEP BASE  0000001500</v>
          </cell>
          <cell r="C2431" t="str">
            <v>Zinsser</v>
          </cell>
          <cell r="D2431">
            <v>124.94</v>
          </cell>
          <cell r="E2431">
            <v>0</v>
          </cell>
          <cell r="F2431">
            <v>0</v>
          </cell>
          <cell r="G2431">
            <v>0</v>
          </cell>
          <cell r="H2431">
            <v>124.94</v>
          </cell>
        </row>
        <row r="2432">
          <cell r="A2432" t="str">
            <v>00618248</v>
          </cell>
          <cell r="B2432" t="str">
            <v>ZINSR ALLCOAT EXT  GLS B/WHIT 0000001250</v>
          </cell>
          <cell r="C2432" t="str">
            <v>Zinsser</v>
          </cell>
          <cell r="D2432">
            <v>63.15</v>
          </cell>
          <cell r="E2432">
            <v>0</v>
          </cell>
          <cell r="F2432">
            <v>0</v>
          </cell>
          <cell r="G2432">
            <v>0</v>
          </cell>
          <cell r="H2432">
            <v>63.15</v>
          </cell>
        </row>
        <row r="2433">
          <cell r="A2433" t="str">
            <v>00618249</v>
          </cell>
          <cell r="B2433" t="str">
            <v>ZINSR ALLCOAT EXT  GLS BLACK  0000001250</v>
          </cell>
          <cell r="C2433" t="str">
            <v>Zinsser</v>
          </cell>
          <cell r="D2433">
            <v>53.07</v>
          </cell>
          <cell r="E2433">
            <v>0</v>
          </cell>
          <cell r="F2433">
            <v>0</v>
          </cell>
          <cell r="G2433">
            <v>0</v>
          </cell>
          <cell r="H2433">
            <v>53.07</v>
          </cell>
        </row>
        <row r="2434">
          <cell r="A2434" t="str">
            <v>00737884</v>
          </cell>
          <cell r="B2434" t="str">
            <v>ZINSR ALLCOAT EXT  MID BASE   0000001500</v>
          </cell>
          <cell r="C2434" t="str">
            <v>Zinsser</v>
          </cell>
          <cell r="D2434">
            <v>124.94</v>
          </cell>
          <cell r="E2434">
            <v>0</v>
          </cell>
          <cell r="F2434">
            <v>0</v>
          </cell>
          <cell r="G2434">
            <v>0</v>
          </cell>
          <cell r="H2434">
            <v>124.94</v>
          </cell>
        </row>
        <row r="2435">
          <cell r="A2435" t="str">
            <v>00737886</v>
          </cell>
          <cell r="B2435" t="str">
            <v>ZINSR ALLCOAT EXT PASTEL BASE 0000001500</v>
          </cell>
          <cell r="C2435" t="str">
            <v>Zinsser</v>
          </cell>
          <cell r="D2435">
            <v>118.69</v>
          </cell>
          <cell r="E2435">
            <v>0</v>
          </cell>
          <cell r="F2435">
            <v>0</v>
          </cell>
          <cell r="G2435">
            <v>0</v>
          </cell>
          <cell r="H2435">
            <v>118.69</v>
          </cell>
        </row>
        <row r="2436">
          <cell r="A2436" t="str">
            <v>00617904</v>
          </cell>
          <cell r="B2436" t="str">
            <v>ZINSR ALLCOAT EXT SAT PASTEL  0000001250</v>
          </cell>
          <cell r="C2436" t="str">
            <v>Zinsser</v>
          </cell>
          <cell r="D2436">
            <v>59.41</v>
          </cell>
          <cell r="E2436">
            <v>0</v>
          </cell>
          <cell r="F2436">
            <v>0</v>
          </cell>
          <cell r="G2436">
            <v>0</v>
          </cell>
          <cell r="H2436">
            <v>59.41</v>
          </cell>
        </row>
        <row r="2437">
          <cell r="A2437" t="str">
            <v>00631644</v>
          </cell>
          <cell r="B2437" t="str">
            <v>ZINSR BIN PRIMER   WHITE      0000000500</v>
          </cell>
          <cell r="C2437" t="str">
            <v>Zinsser</v>
          </cell>
          <cell r="D2437">
            <v>18.45</v>
          </cell>
          <cell r="E2437">
            <v>0</v>
          </cell>
          <cell r="F2437">
            <v>0</v>
          </cell>
          <cell r="G2437">
            <v>0</v>
          </cell>
          <cell r="H2437">
            <v>18.45</v>
          </cell>
        </row>
        <row r="2438">
          <cell r="A2438" t="str">
            <v>00631369</v>
          </cell>
          <cell r="B2438" t="str">
            <v>ZINSR EXT SATIN    TRANS BASE 0000001500</v>
          </cell>
          <cell r="C2438" t="str">
            <v>Zinsser</v>
          </cell>
          <cell r="D2438">
            <v>128.88</v>
          </cell>
          <cell r="E2438">
            <v>0</v>
          </cell>
          <cell r="F2438">
            <v>0</v>
          </cell>
          <cell r="G2438">
            <v>0</v>
          </cell>
          <cell r="H2438">
            <v>128.88</v>
          </cell>
        </row>
        <row r="2439">
          <cell r="A2439" t="str">
            <v>00618247</v>
          </cell>
          <cell r="B2439" t="str">
            <v>ZINSR EXT WB SATIN BLACK      0000001250</v>
          </cell>
          <cell r="C2439" t="str">
            <v>Zinsser</v>
          </cell>
          <cell r="D2439">
            <v>47.45</v>
          </cell>
          <cell r="E2439">
            <v>0</v>
          </cell>
          <cell r="F2439">
            <v>0</v>
          </cell>
          <cell r="G2439">
            <v>0</v>
          </cell>
          <cell r="H2439">
            <v>47.45</v>
          </cell>
        </row>
        <row r="2440">
          <cell r="A2440" t="str">
            <v>00737882</v>
          </cell>
          <cell r="B2440" t="str">
            <v>ZINSR EXT WB SATIN BLACK      0000001500</v>
          </cell>
          <cell r="C2440" t="str">
            <v>Zinsser</v>
          </cell>
          <cell r="D2440">
            <v>89.78</v>
          </cell>
          <cell r="E2440">
            <v>0</v>
          </cell>
          <cell r="F2440">
            <v>0</v>
          </cell>
          <cell r="G2440">
            <v>0</v>
          </cell>
          <cell r="H2440">
            <v>89.78</v>
          </cell>
        </row>
        <row r="2441">
          <cell r="A2441" t="str">
            <v>00617905</v>
          </cell>
          <cell r="B2441" t="str">
            <v>ZINSR EXT WB SATIN TRANSPAREN 0000001250</v>
          </cell>
          <cell r="C2441" t="str">
            <v>Zinsser</v>
          </cell>
          <cell r="D2441">
            <v>60.65</v>
          </cell>
          <cell r="E2441">
            <v>0</v>
          </cell>
          <cell r="F2441">
            <v>0</v>
          </cell>
          <cell r="G2441">
            <v>0</v>
          </cell>
          <cell r="H2441">
            <v>60.65</v>
          </cell>
        </row>
        <row r="2442">
          <cell r="A2442" t="str">
            <v>00618246</v>
          </cell>
          <cell r="B2442" t="str">
            <v>ZINSR EXT WB SATIN WHITE      0000001250</v>
          </cell>
          <cell r="C2442" t="str">
            <v>Zinsser</v>
          </cell>
          <cell r="D2442">
            <v>47.45</v>
          </cell>
          <cell r="E2442">
            <v>0</v>
          </cell>
          <cell r="F2442">
            <v>0</v>
          </cell>
          <cell r="G2442">
            <v>0</v>
          </cell>
          <cell r="H2442">
            <v>47.45</v>
          </cell>
        </row>
        <row r="2443">
          <cell r="A2443" t="str">
            <v>00737881</v>
          </cell>
          <cell r="B2443" t="str">
            <v>ZINSR EXT WB SATIN WHITE      0000001500</v>
          </cell>
          <cell r="C2443" t="str">
            <v>Zinsser</v>
          </cell>
          <cell r="D2443">
            <v>89.78</v>
          </cell>
          <cell r="E2443">
            <v>0</v>
          </cell>
          <cell r="F2443">
            <v>0</v>
          </cell>
          <cell r="G2443">
            <v>0</v>
          </cell>
          <cell r="H2443">
            <v>89.78</v>
          </cell>
        </row>
        <row r="2444">
          <cell r="A2444" t="str">
            <v>00631683</v>
          </cell>
          <cell r="B2444" t="str">
            <v>ZINSR GARDZ                   0000001250</v>
          </cell>
          <cell r="C2444" t="str">
            <v>Zinsser</v>
          </cell>
          <cell r="D2444">
            <v>20.38</v>
          </cell>
          <cell r="E2444">
            <v>0</v>
          </cell>
          <cell r="F2444">
            <v>0</v>
          </cell>
          <cell r="G2444">
            <v>0</v>
          </cell>
          <cell r="H2444">
            <v>20.38</v>
          </cell>
        </row>
        <row r="2445">
          <cell r="A2445" t="str">
            <v>00733042</v>
          </cell>
          <cell r="B2445" t="str">
            <v>ZINSR GARDZ                   0000001500</v>
          </cell>
          <cell r="C2445" t="str">
            <v>Zinsser</v>
          </cell>
          <cell r="D2445">
            <v>36.79</v>
          </cell>
          <cell r="E2445">
            <v>0</v>
          </cell>
          <cell r="F2445">
            <v>0</v>
          </cell>
          <cell r="G2445">
            <v>0</v>
          </cell>
          <cell r="H2445">
            <v>36.79</v>
          </cell>
        </row>
        <row r="2446">
          <cell r="A2446" t="str">
            <v>00732555</v>
          </cell>
          <cell r="B2446" t="str">
            <v>ZINSR PEEL STOP                     1100</v>
          </cell>
          <cell r="C2446" t="str">
            <v>Zinsser</v>
          </cell>
          <cell r="D2446">
            <v>10.1</v>
          </cell>
          <cell r="E2446">
            <v>0</v>
          </cell>
          <cell r="F2446">
            <v>0</v>
          </cell>
          <cell r="G2446">
            <v>0</v>
          </cell>
          <cell r="H2446">
            <v>10.1</v>
          </cell>
        </row>
        <row r="2447">
          <cell r="A2447" t="str">
            <v>00728114</v>
          </cell>
          <cell r="B2447" t="str">
            <v>ZINSR PERMA WHITE  INT MATT         1100</v>
          </cell>
          <cell r="C2447" t="str">
            <v>Zinsser</v>
          </cell>
          <cell r="D2447">
            <v>19.68</v>
          </cell>
          <cell r="E2447">
            <v>0</v>
          </cell>
          <cell r="F2447">
            <v>0</v>
          </cell>
          <cell r="G2447">
            <v>0</v>
          </cell>
          <cell r="H2447">
            <v>19.68</v>
          </cell>
        </row>
        <row r="2448">
          <cell r="A2448" t="str">
            <v>00736407</v>
          </cell>
          <cell r="B2448" t="str">
            <v>ZINSR PERMA WHITE  INT MATT         1250</v>
          </cell>
          <cell r="C2448" t="str">
            <v>Zinsser</v>
          </cell>
          <cell r="D2448">
            <v>37.86</v>
          </cell>
          <cell r="E2448">
            <v>0</v>
          </cell>
          <cell r="F2448">
            <v>0</v>
          </cell>
          <cell r="G2448">
            <v>0</v>
          </cell>
          <cell r="H2448">
            <v>37.86</v>
          </cell>
        </row>
        <row r="2449">
          <cell r="A2449" t="str">
            <v>00728115</v>
          </cell>
          <cell r="B2449" t="str">
            <v>ZINSR PERMA WHITE  INT MATT         1500</v>
          </cell>
          <cell r="C2449" t="str">
            <v>Zinsser</v>
          </cell>
          <cell r="D2449">
            <v>72.87</v>
          </cell>
          <cell r="E2449">
            <v>0</v>
          </cell>
          <cell r="F2449">
            <v>0</v>
          </cell>
          <cell r="G2449">
            <v>0</v>
          </cell>
          <cell r="H2449">
            <v>72.87</v>
          </cell>
        </row>
        <row r="2450">
          <cell r="A2450" t="str">
            <v>00728117</v>
          </cell>
          <cell r="B2450" t="str">
            <v>ZINSR PERMA WHITE  INT SATIN        1100</v>
          </cell>
          <cell r="C2450" t="str">
            <v>Zinsser</v>
          </cell>
          <cell r="D2450">
            <v>19.68</v>
          </cell>
          <cell r="E2450">
            <v>0</v>
          </cell>
          <cell r="F2450">
            <v>0</v>
          </cell>
          <cell r="G2450">
            <v>0</v>
          </cell>
          <cell r="H2450">
            <v>19.68</v>
          </cell>
        </row>
        <row r="2451">
          <cell r="A2451" t="str">
            <v>00730297</v>
          </cell>
          <cell r="B2451" t="str">
            <v>ZINSR PERMA WHITE  INT SATIN        1250</v>
          </cell>
          <cell r="C2451" t="str">
            <v>Zinsser</v>
          </cell>
          <cell r="D2451">
            <v>44.88</v>
          </cell>
          <cell r="E2451">
            <v>0</v>
          </cell>
          <cell r="F2451">
            <v>0</v>
          </cell>
          <cell r="G2451">
            <v>0</v>
          </cell>
          <cell r="H2451">
            <v>44.88</v>
          </cell>
        </row>
        <row r="2452">
          <cell r="A2452" t="str">
            <v>00717055</v>
          </cell>
          <cell r="B2452" t="str">
            <v>ZINSR PERMA WHITE 5L          0000001500</v>
          </cell>
          <cell r="C2452" t="str">
            <v>Zinsser</v>
          </cell>
          <cell r="D2452">
            <v>63.96</v>
          </cell>
          <cell r="E2452">
            <v>0</v>
          </cell>
          <cell r="F2452">
            <v>0</v>
          </cell>
          <cell r="G2452">
            <v>0</v>
          </cell>
          <cell r="H2452">
            <v>63.96</v>
          </cell>
        </row>
        <row r="2453">
          <cell r="A2453" t="str">
            <v>00728169</v>
          </cell>
          <cell r="B2453" t="str">
            <v>ZINSR WATERTITE    WHITE      0000001500</v>
          </cell>
          <cell r="C2453" t="str">
            <v>Zinsser</v>
          </cell>
          <cell r="D2453">
            <v>93.19</v>
          </cell>
          <cell r="E2453">
            <v>0</v>
          </cell>
          <cell r="F2453">
            <v>0</v>
          </cell>
          <cell r="G2453">
            <v>0</v>
          </cell>
          <cell r="H2453">
            <v>93.19</v>
          </cell>
        </row>
        <row r="2454">
          <cell r="A2454" t="str">
            <v>00737920</v>
          </cell>
          <cell r="B2454" t="str">
            <v>ZINSR ZINSSER      WHITE      0000001500</v>
          </cell>
          <cell r="C2454" t="str">
            <v>Zinsser</v>
          </cell>
          <cell r="D2454">
            <v>144.4</v>
          </cell>
          <cell r="E2454">
            <v>0</v>
          </cell>
          <cell r="F2454">
            <v>0</v>
          </cell>
          <cell r="G2454">
            <v>0</v>
          </cell>
          <cell r="H2454">
            <v>144.4</v>
          </cell>
        </row>
        <row r="2455">
          <cell r="A2455"/>
          <cell r="B2455"/>
          <cell r="C2455"/>
          <cell r="D2455"/>
          <cell r="E2455">
            <v>1764414.9399999995</v>
          </cell>
          <cell r="F2455"/>
          <cell r="G2455"/>
          <cell r="H2455" t="str">
            <v>Average product discount</v>
          </cell>
        </row>
        <row r="2456">
          <cell r="D2456"/>
        </row>
        <row r="2457">
          <cell r="D2457"/>
        </row>
        <row r="2458">
          <cell r="D2458"/>
        </row>
        <row r="2459">
          <cell r="D2459"/>
        </row>
        <row r="2460">
          <cell r="D2460"/>
        </row>
        <row r="2461">
          <cell r="D2461"/>
        </row>
        <row r="2462">
          <cell r="D2462"/>
        </row>
        <row r="2463">
          <cell r="D2463"/>
        </row>
        <row r="2464">
          <cell r="D2464"/>
        </row>
        <row r="2465">
          <cell r="D2465"/>
        </row>
        <row r="2466">
          <cell r="D2466"/>
        </row>
        <row r="2467">
          <cell r="D2467"/>
        </row>
        <row r="2468">
          <cell r="D2468"/>
        </row>
        <row r="2469">
          <cell r="D2469"/>
        </row>
        <row r="2470">
          <cell r="D2470"/>
        </row>
        <row r="2471">
          <cell r="D2471"/>
        </row>
        <row r="2472">
          <cell r="D2472"/>
        </row>
        <row r="2473">
          <cell r="D2473"/>
        </row>
        <row r="2474">
          <cell r="D2474"/>
        </row>
        <row r="2475">
          <cell r="D2475"/>
        </row>
        <row r="2476">
          <cell r="D2476"/>
        </row>
        <row r="2477">
          <cell r="D2477"/>
        </row>
        <row r="2478">
          <cell r="D2478"/>
        </row>
        <row r="2479">
          <cell r="D2479"/>
        </row>
        <row r="2480">
          <cell r="D2480"/>
        </row>
        <row r="2481">
          <cell r="D2481"/>
        </row>
        <row r="2482">
          <cell r="D2482"/>
        </row>
        <row r="2483">
          <cell r="D2483"/>
        </row>
        <row r="2484">
          <cell r="D2484"/>
        </row>
        <row r="2485">
          <cell r="D2485"/>
        </row>
        <row r="2486">
          <cell r="D2486"/>
        </row>
        <row r="2487">
          <cell r="D2487"/>
        </row>
        <row r="2488">
          <cell r="D2488"/>
        </row>
        <row r="2489">
          <cell r="D2489"/>
        </row>
        <row r="2490">
          <cell r="D2490"/>
        </row>
        <row r="2491">
          <cell r="D2491"/>
        </row>
        <row r="2492">
          <cell r="D2492"/>
        </row>
        <row r="2493">
          <cell r="D2493"/>
        </row>
        <row r="2494">
          <cell r="D2494"/>
        </row>
        <row r="2495">
          <cell r="D2495"/>
        </row>
        <row r="2496">
          <cell r="D2496"/>
        </row>
        <row r="2497">
          <cell r="D2497"/>
        </row>
        <row r="2498">
          <cell r="D2498"/>
        </row>
        <row r="2499">
          <cell r="D2499"/>
        </row>
        <row r="2500">
          <cell r="D2500"/>
        </row>
        <row r="2501">
          <cell r="D2501"/>
        </row>
        <row r="2502">
          <cell r="D2502"/>
        </row>
        <row r="2503">
          <cell r="D2503"/>
        </row>
        <row r="2504">
          <cell r="D2504"/>
        </row>
        <row r="2505">
          <cell r="D2505"/>
        </row>
        <row r="2506">
          <cell r="D2506"/>
        </row>
        <row r="2507">
          <cell r="D2507"/>
        </row>
        <row r="2508">
          <cell r="D2508"/>
        </row>
        <row r="2509">
          <cell r="D2509"/>
        </row>
        <row r="2510">
          <cell r="D2510"/>
        </row>
        <row r="2511">
          <cell r="D2511"/>
        </row>
        <row r="2512">
          <cell r="D2512"/>
        </row>
        <row r="2513">
          <cell r="D2513"/>
        </row>
        <row r="2514">
          <cell r="D2514"/>
        </row>
        <row r="2515">
          <cell r="D2515"/>
        </row>
        <row r="2516">
          <cell r="D2516"/>
        </row>
        <row r="2517">
          <cell r="D2517"/>
        </row>
        <row r="2518">
          <cell r="D2518"/>
        </row>
        <row r="2519">
          <cell r="D2519"/>
        </row>
        <row r="2520">
          <cell r="D2520"/>
        </row>
        <row r="2521">
          <cell r="D2521"/>
        </row>
        <row r="2522">
          <cell r="D2522"/>
        </row>
        <row r="2523">
          <cell r="D2523"/>
        </row>
        <row r="2524">
          <cell r="D2524"/>
        </row>
        <row r="2525">
          <cell r="D2525"/>
        </row>
        <row r="2526">
          <cell r="D2526"/>
        </row>
        <row r="2527">
          <cell r="D2527"/>
        </row>
        <row r="2528">
          <cell r="D2528"/>
        </row>
        <row r="2529">
          <cell r="D2529"/>
        </row>
        <row r="2530">
          <cell r="D2530"/>
        </row>
        <row r="2531">
          <cell r="D2531"/>
        </row>
        <row r="2532">
          <cell r="D2532"/>
        </row>
        <row r="2533">
          <cell r="D2533"/>
        </row>
        <row r="2534">
          <cell r="D2534"/>
        </row>
        <row r="2535">
          <cell r="D2535"/>
        </row>
        <row r="2536">
          <cell r="D2536"/>
        </row>
        <row r="2537">
          <cell r="D2537"/>
        </row>
        <row r="2538">
          <cell r="D2538"/>
        </row>
        <row r="2539">
          <cell r="D2539"/>
        </row>
        <row r="2540">
          <cell r="D2540"/>
        </row>
        <row r="2541">
          <cell r="D2541"/>
        </row>
        <row r="2542">
          <cell r="D2542"/>
        </row>
        <row r="2543">
          <cell r="D2543"/>
        </row>
        <row r="2544">
          <cell r="D2544"/>
        </row>
        <row r="2545">
          <cell r="D2545"/>
        </row>
        <row r="2546">
          <cell r="D2546"/>
        </row>
        <row r="2547">
          <cell r="D2547"/>
        </row>
        <row r="2548">
          <cell r="D2548"/>
        </row>
        <row r="2549">
          <cell r="D2549"/>
        </row>
        <row r="2550">
          <cell r="D2550"/>
        </row>
        <row r="2551">
          <cell r="D2551"/>
        </row>
        <row r="2552">
          <cell r="D2552"/>
        </row>
        <row r="2553">
          <cell r="D2553"/>
        </row>
        <row r="2554">
          <cell r="D2554"/>
        </row>
        <row r="2555">
          <cell r="D2555"/>
        </row>
        <row r="2556">
          <cell r="D2556"/>
        </row>
        <row r="2557">
          <cell r="D2557"/>
        </row>
        <row r="2558">
          <cell r="D2558"/>
        </row>
        <row r="2559">
          <cell r="D2559"/>
        </row>
        <row r="2560">
          <cell r="D2560"/>
        </row>
        <row r="2561">
          <cell r="D2561"/>
        </row>
        <row r="2562">
          <cell r="D2562"/>
        </row>
        <row r="2563">
          <cell r="D2563"/>
        </row>
        <row r="2564">
          <cell r="D2564"/>
        </row>
        <row r="2565">
          <cell r="D2565"/>
        </row>
        <row r="2566">
          <cell r="D2566"/>
        </row>
        <row r="2567">
          <cell r="D2567"/>
        </row>
        <row r="2568">
          <cell r="D2568"/>
        </row>
        <row r="2569">
          <cell r="D2569"/>
        </row>
        <row r="2570">
          <cell r="D2570"/>
        </row>
        <row r="2571">
          <cell r="D2571"/>
        </row>
        <row r="2572">
          <cell r="D2572"/>
        </row>
        <row r="2573">
          <cell r="D2573"/>
        </row>
        <row r="2574">
          <cell r="D2574"/>
        </row>
        <row r="2575">
          <cell r="D2575"/>
        </row>
        <row r="2576">
          <cell r="D2576"/>
        </row>
        <row r="2577">
          <cell r="D2577"/>
        </row>
        <row r="2578">
          <cell r="D2578"/>
        </row>
        <row r="2579">
          <cell r="D2579"/>
        </row>
        <row r="2580">
          <cell r="D2580"/>
        </row>
        <row r="2581">
          <cell r="D2581"/>
        </row>
        <row r="2582">
          <cell r="D2582"/>
        </row>
        <row r="2583">
          <cell r="D2583"/>
        </row>
        <row r="2584">
          <cell r="D2584"/>
        </row>
        <row r="2585">
          <cell r="D2585"/>
        </row>
        <row r="2586">
          <cell r="D2586"/>
        </row>
        <row r="2587">
          <cell r="D2587"/>
        </row>
        <row r="2588">
          <cell r="D2588"/>
        </row>
        <row r="2589">
          <cell r="D2589"/>
        </row>
        <row r="2590">
          <cell r="D2590"/>
        </row>
        <row r="2591">
          <cell r="D2591"/>
        </row>
        <row r="2592">
          <cell r="D2592"/>
        </row>
        <row r="2593">
          <cell r="D2593"/>
        </row>
        <row r="2594">
          <cell r="D2594"/>
        </row>
        <row r="2595">
          <cell r="D2595"/>
        </row>
        <row r="2596">
          <cell r="D2596"/>
        </row>
        <row r="2597">
          <cell r="D2597"/>
        </row>
        <row r="2598">
          <cell r="D2598"/>
        </row>
        <row r="2599">
          <cell r="D2599"/>
        </row>
        <row r="2600">
          <cell r="D2600"/>
        </row>
        <row r="2601">
          <cell r="D2601"/>
        </row>
        <row r="2602">
          <cell r="D2602"/>
        </row>
        <row r="2603">
          <cell r="D2603"/>
        </row>
        <row r="2604">
          <cell r="D2604"/>
        </row>
        <row r="2605">
          <cell r="D2605"/>
        </row>
        <row r="2606">
          <cell r="D2606"/>
        </row>
        <row r="2607">
          <cell r="D2607"/>
        </row>
        <row r="2608">
          <cell r="D2608"/>
        </row>
        <row r="2609">
          <cell r="D2609"/>
        </row>
        <row r="2610">
          <cell r="D2610"/>
        </row>
        <row r="2611">
          <cell r="D2611"/>
        </row>
        <row r="2612">
          <cell r="D2612"/>
        </row>
        <row r="2613">
          <cell r="D2613"/>
        </row>
        <row r="2614">
          <cell r="D2614"/>
        </row>
        <row r="2615">
          <cell r="D2615"/>
        </row>
        <row r="2616">
          <cell r="D2616"/>
        </row>
        <row r="2617">
          <cell r="D2617"/>
        </row>
        <row r="2618">
          <cell r="D2618"/>
        </row>
        <row r="2619">
          <cell r="D2619"/>
        </row>
        <row r="2620">
          <cell r="D2620"/>
        </row>
        <row r="2621">
          <cell r="D2621"/>
        </row>
        <row r="2622">
          <cell r="D2622"/>
        </row>
        <row r="2623">
          <cell r="D2623"/>
        </row>
        <row r="2624">
          <cell r="D2624"/>
        </row>
        <row r="2625">
          <cell r="D2625"/>
        </row>
        <row r="2626">
          <cell r="D2626"/>
        </row>
        <row r="2627">
          <cell r="D2627"/>
        </row>
        <row r="2628">
          <cell r="D2628"/>
        </row>
        <row r="2629">
          <cell r="D2629"/>
        </row>
        <row r="2630">
          <cell r="D2630"/>
        </row>
        <row r="2631">
          <cell r="D2631"/>
        </row>
        <row r="2632">
          <cell r="D2632"/>
        </row>
        <row r="2633">
          <cell r="D2633"/>
        </row>
        <row r="2634">
          <cell r="D2634"/>
        </row>
        <row r="2635">
          <cell r="D2635"/>
        </row>
        <row r="2636">
          <cell r="D2636"/>
        </row>
        <row r="2637">
          <cell r="D2637"/>
        </row>
        <row r="2638">
          <cell r="D2638"/>
        </row>
        <row r="2639">
          <cell r="D2639"/>
        </row>
        <row r="2640">
          <cell r="D2640"/>
        </row>
        <row r="2641">
          <cell r="D2641"/>
        </row>
        <row r="2642">
          <cell r="D2642"/>
        </row>
        <row r="2643">
          <cell r="D2643"/>
        </row>
        <row r="2644">
          <cell r="D2644"/>
        </row>
        <row r="2645">
          <cell r="D2645"/>
        </row>
        <row r="2646">
          <cell r="D2646"/>
        </row>
        <row r="2647">
          <cell r="D2647"/>
        </row>
        <row r="2648">
          <cell r="D2648"/>
        </row>
        <row r="2649">
          <cell r="D2649"/>
        </row>
        <row r="2650">
          <cell r="D2650"/>
        </row>
        <row r="2651">
          <cell r="D2651"/>
        </row>
        <row r="2652">
          <cell r="D2652"/>
        </row>
        <row r="2653">
          <cell r="D2653"/>
        </row>
        <row r="2654">
          <cell r="D2654"/>
        </row>
        <row r="2655">
          <cell r="D2655"/>
        </row>
        <row r="2656">
          <cell r="D2656"/>
        </row>
        <row r="2657">
          <cell r="D2657"/>
        </row>
        <row r="2658">
          <cell r="D2658"/>
        </row>
        <row r="2659">
          <cell r="D2659"/>
        </row>
        <row r="2660">
          <cell r="D2660"/>
        </row>
        <row r="2661">
          <cell r="D2661"/>
        </row>
        <row r="2662">
          <cell r="D2662"/>
        </row>
        <row r="2663">
          <cell r="D2663"/>
        </row>
        <row r="2664">
          <cell r="D2664"/>
        </row>
        <row r="2665">
          <cell r="D2665"/>
        </row>
        <row r="2666">
          <cell r="D2666"/>
        </row>
        <row r="2667">
          <cell r="D2667"/>
        </row>
        <row r="2668">
          <cell r="D2668"/>
        </row>
        <row r="2669">
          <cell r="D2669"/>
        </row>
        <row r="2670">
          <cell r="D2670"/>
        </row>
        <row r="2671">
          <cell r="D2671"/>
        </row>
        <row r="2672">
          <cell r="D2672"/>
        </row>
        <row r="2673">
          <cell r="D2673"/>
        </row>
        <row r="2674">
          <cell r="D2674"/>
        </row>
        <row r="2675">
          <cell r="D2675"/>
        </row>
        <row r="2676">
          <cell r="D2676"/>
        </row>
        <row r="2677">
          <cell r="D2677"/>
        </row>
        <row r="2678">
          <cell r="D2678"/>
        </row>
        <row r="2679">
          <cell r="D2679"/>
        </row>
        <row r="2680">
          <cell r="D2680"/>
        </row>
        <row r="2681">
          <cell r="D2681"/>
        </row>
        <row r="2682">
          <cell r="D2682"/>
        </row>
        <row r="2683">
          <cell r="D2683"/>
        </row>
        <row r="2684">
          <cell r="D2684"/>
        </row>
        <row r="2685">
          <cell r="D2685"/>
        </row>
        <row r="2686">
          <cell r="D2686"/>
        </row>
        <row r="2687">
          <cell r="D2687"/>
        </row>
        <row r="2688">
          <cell r="D2688"/>
        </row>
        <row r="2689">
          <cell r="D2689"/>
        </row>
        <row r="2690">
          <cell r="D2690"/>
        </row>
        <row r="2691">
          <cell r="D2691"/>
        </row>
        <row r="2692">
          <cell r="D2692"/>
        </row>
        <row r="2693">
          <cell r="D2693"/>
        </row>
        <row r="2694">
          <cell r="D2694"/>
        </row>
        <row r="2695">
          <cell r="D2695"/>
        </row>
        <row r="2696">
          <cell r="D2696"/>
        </row>
        <row r="2697">
          <cell r="D2697"/>
        </row>
        <row r="2698">
          <cell r="D2698"/>
        </row>
        <row r="2699">
          <cell r="D2699"/>
        </row>
        <row r="2700">
          <cell r="D2700"/>
        </row>
        <row r="2701">
          <cell r="D2701"/>
        </row>
        <row r="2702">
          <cell r="D2702"/>
        </row>
        <row r="2703">
          <cell r="D2703"/>
        </row>
        <row r="2704">
          <cell r="D2704"/>
        </row>
        <row r="2705">
          <cell r="D2705"/>
        </row>
        <row r="2706">
          <cell r="D2706"/>
        </row>
        <row r="2707">
          <cell r="D2707"/>
        </row>
        <row r="2708">
          <cell r="D2708"/>
        </row>
        <row r="2709">
          <cell r="D2709"/>
        </row>
        <row r="2710">
          <cell r="D2710"/>
        </row>
        <row r="2711">
          <cell r="D2711"/>
        </row>
        <row r="2712">
          <cell r="D2712"/>
        </row>
        <row r="2713">
          <cell r="D2713"/>
        </row>
        <row r="2714">
          <cell r="D2714"/>
        </row>
        <row r="2715">
          <cell r="D2715"/>
        </row>
        <row r="2716">
          <cell r="D2716"/>
        </row>
        <row r="2717">
          <cell r="D2717"/>
        </row>
        <row r="2718">
          <cell r="D2718"/>
        </row>
        <row r="2719">
          <cell r="D2719"/>
        </row>
        <row r="2720">
          <cell r="D2720"/>
        </row>
        <row r="2721">
          <cell r="D2721"/>
        </row>
        <row r="2722">
          <cell r="D2722"/>
        </row>
        <row r="2723">
          <cell r="D2723"/>
        </row>
        <row r="2724">
          <cell r="D2724"/>
        </row>
        <row r="2725">
          <cell r="D2725"/>
        </row>
        <row r="2726">
          <cell r="D2726"/>
        </row>
        <row r="2727">
          <cell r="D2727"/>
        </row>
        <row r="2728">
          <cell r="D2728"/>
        </row>
        <row r="2729">
          <cell r="D2729"/>
        </row>
        <row r="2730">
          <cell r="D2730"/>
        </row>
        <row r="2731">
          <cell r="D2731"/>
        </row>
        <row r="2732">
          <cell r="D2732"/>
        </row>
        <row r="2733">
          <cell r="D2733"/>
        </row>
        <row r="2734">
          <cell r="D2734"/>
        </row>
        <row r="2735">
          <cell r="D2735"/>
        </row>
        <row r="2736">
          <cell r="D2736"/>
        </row>
        <row r="2737">
          <cell r="D2737"/>
        </row>
        <row r="2738">
          <cell r="D2738"/>
        </row>
        <row r="2739">
          <cell r="D2739"/>
        </row>
        <row r="2740">
          <cell r="D2740"/>
        </row>
        <row r="2741">
          <cell r="D2741"/>
        </row>
        <row r="2742">
          <cell r="D2742"/>
        </row>
        <row r="2743">
          <cell r="D2743"/>
        </row>
        <row r="2744">
          <cell r="D2744"/>
        </row>
        <row r="2745">
          <cell r="D2745"/>
        </row>
        <row r="2746">
          <cell r="D2746"/>
        </row>
        <row r="2747">
          <cell r="D2747"/>
        </row>
        <row r="2748">
          <cell r="D2748"/>
        </row>
        <row r="2749">
          <cell r="D2749"/>
        </row>
        <row r="2750">
          <cell r="D2750"/>
        </row>
        <row r="2751">
          <cell r="D2751"/>
        </row>
        <row r="2752">
          <cell r="D2752"/>
        </row>
        <row r="2753">
          <cell r="D2753"/>
        </row>
        <row r="2754">
          <cell r="D2754"/>
        </row>
        <row r="2755">
          <cell r="D2755"/>
        </row>
        <row r="2756">
          <cell r="D2756"/>
        </row>
        <row r="2757">
          <cell r="D2757"/>
        </row>
        <row r="2758">
          <cell r="D2758"/>
        </row>
        <row r="2759">
          <cell r="D2759"/>
        </row>
        <row r="2760">
          <cell r="D2760"/>
        </row>
        <row r="2761">
          <cell r="D2761"/>
        </row>
        <row r="2762">
          <cell r="D2762"/>
        </row>
        <row r="2763">
          <cell r="D2763"/>
        </row>
        <row r="2764">
          <cell r="D2764"/>
        </row>
        <row r="2765">
          <cell r="D2765"/>
        </row>
        <row r="2766">
          <cell r="D2766"/>
        </row>
        <row r="2767">
          <cell r="D2767"/>
        </row>
        <row r="2768">
          <cell r="D2768"/>
        </row>
        <row r="2769">
          <cell r="D2769"/>
        </row>
        <row r="2770">
          <cell r="D2770"/>
        </row>
        <row r="2771">
          <cell r="D2771"/>
        </row>
        <row r="2772">
          <cell r="D2772"/>
        </row>
        <row r="2773">
          <cell r="D2773"/>
        </row>
        <row r="2774">
          <cell r="D2774"/>
        </row>
        <row r="2775">
          <cell r="D2775"/>
        </row>
        <row r="2776">
          <cell r="D2776"/>
        </row>
        <row r="2777">
          <cell r="D2777"/>
        </row>
        <row r="2778">
          <cell r="D2778"/>
        </row>
        <row r="2779">
          <cell r="D2779"/>
        </row>
        <row r="2780">
          <cell r="D2780"/>
        </row>
        <row r="2781">
          <cell r="D2781"/>
        </row>
        <row r="2782">
          <cell r="D2782"/>
        </row>
        <row r="2783">
          <cell r="D2783"/>
        </row>
        <row r="2784">
          <cell r="D2784"/>
        </row>
        <row r="2785">
          <cell r="D2785"/>
        </row>
        <row r="2786">
          <cell r="D2786"/>
        </row>
        <row r="2787">
          <cell r="D2787"/>
        </row>
        <row r="2788">
          <cell r="D2788"/>
        </row>
        <row r="2789">
          <cell r="D2789"/>
        </row>
        <row r="2790">
          <cell r="D2790"/>
        </row>
        <row r="2791">
          <cell r="D2791"/>
        </row>
        <row r="2792">
          <cell r="D2792"/>
        </row>
        <row r="2793">
          <cell r="D2793"/>
        </row>
        <row r="2794">
          <cell r="D2794"/>
        </row>
        <row r="2795">
          <cell r="D2795"/>
        </row>
        <row r="2796">
          <cell r="D2796"/>
        </row>
        <row r="2797">
          <cell r="D2797"/>
        </row>
        <row r="2798">
          <cell r="D2798"/>
        </row>
        <row r="2799">
          <cell r="D2799"/>
        </row>
        <row r="2800">
          <cell r="D2800"/>
        </row>
        <row r="2801">
          <cell r="D2801"/>
        </row>
        <row r="2802">
          <cell r="D2802"/>
        </row>
        <row r="2803">
          <cell r="D2803"/>
        </row>
        <row r="2804">
          <cell r="D2804"/>
        </row>
        <row r="2805">
          <cell r="D2805"/>
        </row>
        <row r="2806">
          <cell r="D2806"/>
        </row>
        <row r="2807">
          <cell r="D2807"/>
        </row>
        <row r="2808">
          <cell r="D2808"/>
        </row>
        <row r="2809">
          <cell r="D2809"/>
        </row>
        <row r="2810">
          <cell r="D2810"/>
        </row>
        <row r="2811">
          <cell r="D2811"/>
        </row>
        <row r="2812">
          <cell r="D2812"/>
        </row>
        <row r="2813">
          <cell r="D2813"/>
        </row>
        <row r="2814">
          <cell r="D2814"/>
        </row>
        <row r="2815">
          <cell r="D2815"/>
        </row>
        <row r="2816">
          <cell r="D2816"/>
        </row>
        <row r="2817">
          <cell r="D2817"/>
        </row>
        <row r="2818">
          <cell r="D2818"/>
        </row>
        <row r="2819">
          <cell r="D2819"/>
        </row>
        <row r="2820">
          <cell r="D2820"/>
        </row>
        <row r="2821">
          <cell r="D2821"/>
        </row>
        <row r="2822">
          <cell r="D2822"/>
        </row>
        <row r="2823">
          <cell r="D2823"/>
        </row>
        <row r="2824">
          <cell r="D2824"/>
        </row>
        <row r="2825">
          <cell r="D2825"/>
        </row>
        <row r="2826">
          <cell r="D2826"/>
        </row>
        <row r="2827">
          <cell r="D2827"/>
        </row>
        <row r="2828">
          <cell r="D2828"/>
        </row>
        <row r="2829">
          <cell r="D2829"/>
        </row>
        <row r="2830">
          <cell r="D2830"/>
        </row>
        <row r="2831">
          <cell r="D2831"/>
        </row>
        <row r="2832">
          <cell r="D2832"/>
        </row>
        <row r="2833">
          <cell r="D2833"/>
        </row>
        <row r="2834">
          <cell r="D2834"/>
        </row>
        <row r="2835">
          <cell r="D2835"/>
        </row>
        <row r="2836">
          <cell r="D2836"/>
        </row>
        <row r="2837">
          <cell r="D2837"/>
        </row>
        <row r="2838">
          <cell r="D2838"/>
        </row>
        <row r="2839">
          <cell r="D2839"/>
        </row>
        <row r="2840">
          <cell r="D2840"/>
        </row>
        <row r="2841">
          <cell r="D2841"/>
        </row>
        <row r="2842">
          <cell r="D2842"/>
        </row>
        <row r="2843">
          <cell r="D2843"/>
        </row>
        <row r="2844">
          <cell r="D2844"/>
        </row>
        <row r="2845">
          <cell r="D2845"/>
        </row>
        <row r="2846">
          <cell r="D2846"/>
        </row>
        <row r="2847">
          <cell r="D2847"/>
        </row>
        <row r="2848">
          <cell r="D2848"/>
        </row>
        <row r="2849">
          <cell r="D2849"/>
        </row>
        <row r="2850">
          <cell r="D2850"/>
        </row>
        <row r="2851">
          <cell r="D2851"/>
        </row>
        <row r="2852">
          <cell r="D2852"/>
        </row>
        <row r="2853">
          <cell r="D2853"/>
        </row>
        <row r="2854">
          <cell r="D2854"/>
        </row>
        <row r="2855">
          <cell r="D2855"/>
        </row>
        <row r="2856">
          <cell r="D2856"/>
        </row>
        <row r="2857">
          <cell r="D2857"/>
        </row>
        <row r="2858">
          <cell r="D2858"/>
        </row>
        <row r="2859">
          <cell r="D2859"/>
        </row>
        <row r="2860">
          <cell r="D2860"/>
        </row>
        <row r="2861">
          <cell r="D2861"/>
        </row>
        <row r="2862">
          <cell r="D2862"/>
        </row>
        <row r="2863">
          <cell r="D2863"/>
        </row>
        <row r="2864">
          <cell r="D2864"/>
        </row>
        <row r="2865">
          <cell r="D2865"/>
        </row>
        <row r="2866">
          <cell r="D2866"/>
        </row>
        <row r="2867">
          <cell r="D2867"/>
        </row>
        <row r="2868">
          <cell r="D2868"/>
        </row>
        <row r="2869">
          <cell r="D2869"/>
        </row>
        <row r="2870">
          <cell r="D2870"/>
        </row>
        <row r="2871">
          <cell r="D2871"/>
        </row>
        <row r="2872">
          <cell r="D2872"/>
        </row>
        <row r="2873">
          <cell r="D2873"/>
        </row>
        <row r="2874">
          <cell r="D2874"/>
        </row>
        <row r="2875">
          <cell r="D2875"/>
        </row>
        <row r="2876">
          <cell r="D2876"/>
        </row>
        <row r="2877">
          <cell r="D2877"/>
        </row>
        <row r="2878">
          <cell r="D2878"/>
        </row>
        <row r="2879">
          <cell r="D2879"/>
        </row>
        <row r="2880">
          <cell r="D2880"/>
        </row>
        <row r="2881">
          <cell r="D2881"/>
        </row>
        <row r="2882">
          <cell r="D2882"/>
        </row>
        <row r="2883">
          <cell r="D2883"/>
        </row>
        <row r="2884">
          <cell r="D2884"/>
        </row>
        <row r="2885">
          <cell r="D2885"/>
        </row>
        <row r="2886">
          <cell r="D2886"/>
        </row>
        <row r="2887">
          <cell r="D2887"/>
        </row>
        <row r="2888">
          <cell r="D2888"/>
        </row>
        <row r="2889">
          <cell r="D2889"/>
        </row>
        <row r="2890">
          <cell r="D2890"/>
        </row>
        <row r="2891">
          <cell r="D2891"/>
        </row>
        <row r="2892">
          <cell r="D2892"/>
        </row>
        <row r="2893">
          <cell r="D2893"/>
        </row>
        <row r="2894">
          <cell r="D2894"/>
        </row>
        <row r="2895">
          <cell r="D2895"/>
        </row>
        <row r="2896">
          <cell r="D2896"/>
        </row>
        <row r="2897">
          <cell r="D2897"/>
        </row>
        <row r="2898">
          <cell r="D2898"/>
        </row>
        <row r="2899">
          <cell r="D2899"/>
        </row>
        <row r="2900">
          <cell r="D2900"/>
        </row>
        <row r="2901">
          <cell r="D2901"/>
        </row>
        <row r="2902">
          <cell r="D2902"/>
        </row>
        <row r="2903">
          <cell r="D2903"/>
        </row>
        <row r="2904">
          <cell r="D2904"/>
        </row>
        <row r="2905">
          <cell r="D2905"/>
        </row>
        <row r="2906">
          <cell r="D2906"/>
        </row>
        <row r="2907">
          <cell r="D2907"/>
        </row>
        <row r="2908">
          <cell r="D2908"/>
        </row>
        <row r="2909">
          <cell r="D2909"/>
        </row>
        <row r="2910">
          <cell r="D2910"/>
        </row>
        <row r="2911">
          <cell r="D2911"/>
        </row>
        <row r="2912">
          <cell r="D2912"/>
        </row>
        <row r="2913">
          <cell r="D2913"/>
        </row>
        <row r="2914">
          <cell r="D2914"/>
        </row>
        <row r="2915">
          <cell r="D2915"/>
        </row>
        <row r="2916">
          <cell r="D2916"/>
        </row>
        <row r="2917">
          <cell r="D2917"/>
        </row>
        <row r="2918">
          <cell r="D2918"/>
        </row>
        <row r="2919">
          <cell r="D2919"/>
        </row>
        <row r="2920">
          <cell r="D2920"/>
        </row>
        <row r="2921">
          <cell r="D2921"/>
        </row>
        <row r="2922">
          <cell r="D2922"/>
        </row>
        <row r="2923">
          <cell r="D2923"/>
        </row>
        <row r="2924">
          <cell r="D2924"/>
        </row>
        <row r="2925">
          <cell r="D2925"/>
        </row>
        <row r="2926">
          <cell r="D2926"/>
        </row>
        <row r="2927">
          <cell r="D2927"/>
        </row>
        <row r="2928">
          <cell r="D2928"/>
        </row>
        <row r="2929">
          <cell r="D2929"/>
        </row>
        <row r="2930">
          <cell r="D2930"/>
        </row>
        <row r="2931">
          <cell r="D2931"/>
        </row>
        <row r="2932">
          <cell r="D2932"/>
        </row>
        <row r="2933">
          <cell r="D2933"/>
        </row>
        <row r="2934">
          <cell r="D2934"/>
        </row>
        <row r="2935">
          <cell r="D2935"/>
        </row>
        <row r="2936">
          <cell r="D2936"/>
        </row>
        <row r="2937">
          <cell r="D2937"/>
        </row>
        <row r="2938">
          <cell r="D2938"/>
        </row>
        <row r="2939">
          <cell r="D2939"/>
        </row>
        <row r="2940">
          <cell r="D2940"/>
        </row>
        <row r="2941">
          <cell r="D2941"/>
        </row>
        <row r="2942">
          <cell r="D2942"/>
        </row>
        <row r="2943">
          <cell r="D2943"/>
        </row>
        <row r="2944">
          <cell r="D2944"/>
        </row>
        <row r="2945">
          <cell r="D2945"/>
        </row>
        <row r="2946">
          <cell r="D2946"/>
        </row>
        <row r="2947">
          <cell r="D2947"/>
        </row>
        <row r="2948">
          <cell r="D2948"/>
        </row>
        <row r="2949">
          <cell r="D2949"/>
        </row>
        <row r="2950">
          <cell r="D2950"/>
        </row>
        <row r="2951">
          <cell r="D2951"/>
        </row>
        <row r="2952">
          <cell r="D2952"/>
        </row>
        <row r="2953">
          <cell r="D2953"/>
        </row>
        <row r="2954">
          <cell r="D2954"/>
        </row>
        <row r="2955">
          <cell r="D2955"/>
        </row>
        <row r="2956">
          <cell r="D2956"/>
        </row>
        <row r="2957">
          <cell r="D2957"/>
        </row>
        <row r="2958">
          <cell r="D2958"/>
        </row>
        <row r="2959">
          <cell r="D2959"/>
        </row>
        <row r="2960">
          <cell r="D2960"/>
        </row>
        <row r="2961">
          <cell r="D2961"/>
        </row>
        <row r="2962">
          <cell r="D2962"/>
        </row>
        <row r="2963">
          <cell r="D2963"/>
        </row>
        <row r="2964">
          <cell r="D2964"/>
        </row>
        <row r="2965">
          <cell r="D2965"/>
        </row>
        <row r="2966">
          <cell r="D2966"/>
        </row>
        <row r="2967">
          <cell r="D2967"/>
        </row>
        <row r="2968">
          <cell r="D2968"/>
        </row>
        <row r="2969">
          <cell r="D2969"/>
        </row>
        <row r="2970">
          <cell r="D2970"/>
        </row>
        <row r="2971">
          <cell r="D2971"/>
        </row>
        <row r="2972">
          <cell r="D2972"/>
        </row>
        <row r="2973">
          <cell r="D2973"/>
        </row>
        <row r="2974">
          <cell r="D2974"/>
        </row>
        <row r="2975">
          <cell r="D2975"/>
        </row>
        <row r="2976">
          <cell r="D2976"/>
        </row>
        <row r="2977">
          <cell r="D2977"/>
        </row>
        <row r="2978">
          <cell r="D2978"/>
        </row>
        <row r="2979">
          <cell r="D2979"/>
        </row>
        <row r="2980">
          <cell r="D2980"/>
        </row>
        <row r="2981">
          <cell r="D2981"/>
        </row>
        <row r="2982">
          <cell r="D2982"/>
        </row>
        <row r="2983">
          <cell r="D2983"/>
        </row>
        <row r="2984">
          <cell r="D2984"/>
        </row>
        <row r="2985">
          <cell r="D2985"/>
        </row>
        <row r="2986">
          <cell r="D2986"/>
        </row>
        <row r="2987">
          <cell r="D2987"/>
        </row>
        <row r="2988">
          <cell r="D2988"/>
        </row>
        <row r="2989">
          <cell r="D2989"/>
        </row>
        <row r="2990">
          <cell r="D2990"/>
        </row>
        <row r="2991">
          <cell r="D2991"/>
        </row>
        <row r="2992">
          <cell r="D2992"/>
        </row>
        <row r="2993">
          <cell r="D2993"/>
        </row>
        <row r="2994">
          <cell r="D2994"/>
        </row>
        <row r="2995">
          <cell r="D2995"/>
        </row>
        <row r="2996">
          <cell r="D2996"/>
        </row>
        <row r="2997">
          <cell r="D2997"/>
        </row>
        <row r="2998">
          <cell r="D2998"/>
        </row>
        <row r="2999">
          <cell r="D2999"/>
        </row>
        <row r="3000">
          <cell r="D3000"/>
        </row>
        <row r="3001">
          <cell r="D3001"/>
        </row>
        <row r="3002">
          <cell r="D3002"/>
        </row>
        <row r="3003">
          <cell r="D3003"/>
        </row>
        <row r="3004">
          <cell r="D3004"/>
        </row>
        <row r="3005">
          <cell r="D3005"/>
        </row>
        <row r="3006">
          <cell r="D3006"/>
        </row>
        <row r="3007">
          <cell r="D3007"/>
        </row>
        <row r="3008">
          <cell r="D3008"/>
        </row>
        <row r="3009">
          <cell r="D3009"/>
        </row>
        <row r="3010">
          <cell r="D3010"/>
        </row>
        <row r="3011">
          <cell r="D3011"/>
        </row>
        <row r="3012">
          <cell r="D3012"/>
        </row>
        <row r="3013">
          <cell r="D3013"/>
        </row>
        <row r="3014">
          <cell r="D3014"/>
        </row>
        <row r="3015">
          <cell r="D3015"/>
        </row>
        <row r="3016">
          <cell r="D3016"/>
        </row>
        <row r="3017">
          <cell r="D3017"/>
        </row>
        <row r="3018">
          <cell r="D3018"/>
        </row>
        <row r="3019">
          <cell r="D3019"/>
        </row>
        <row r="3020">
          <cell r="D3020"/>
        </row>
        <row r="3021">
          <cell r="D3021"/>
        </row>
        <row r="3022">
          <cell r="D3022"/>
        </row>
        <row r="3023">
          <cell r="D3023"/>
        </row>
        <row r="3024">
          <cell r="D3024"/>
        </row>
        <row r="3025">
          <cell r="D3025"/>
        </row>
        <row r="3026">
          <cell r="D3026"/>
        </row>
        <row r="3027">
          <cell r="D3027"/>
        </row>
        <row r="3028">
          <cell r="D3028"/>
        </row>
        <row r="3029">
          <cell r="D3029"/>
        </row>
        <row r="3030">
          <cell r="D3030"/>
        </row>
        <row r="3031">
          <cell r="D3031"/>
        </row>
        <row r="3032">
          <cell r="D3032"/>
        </row>
        <row r="3033">
          <cell r="D3033"/>
        </row>
        <row r="3034">
          <cell r="D3034"/>
        </row>
        <row r="3035">
          <cell r="D3035"/>
        </row>
        <row r="3036">
          <cell r="D3036"/>
        </row>
        <row r="3037">
          <cell r="D3037"/>
        </row>
        <row r="3038">
          <cell r="D3038"/>
        </row>
        <row r="3039">
          <cell r="D3039"/>
        </row>
        <row r="3040">
          <cell r="D3040"/>
        </row>
        <row r="3041">
          <cell r="D3041"/>
        </row>
        <row r="3042">
          <cell r="D3042"/>
        </row>
        <row r="3043">
          <cell r="D3043"/>
        </row>
        <row r="3044">
          <cell r="D3044"/>
        </row>
        <row r="3045">
          <cell r="D3045"/>
        </row>
        <row r="3046">
          <cell r="D3046"/>
        </row>
        <row r="3047">
          <cell r="D3047"/>
        </row>
        <row r="3048">
          <cell r="D3048"/>
        </row>
        <row r="3049">
          <cell r="D3049"/>
        </row>
        <row r="3050">
          <cell r="D3050"/>
        </row>
        <row r="3051">
          <cell r="D3051"/>
        </row>
        <row r="3052">
          <cell r="D3052"/>
        </row>
        <row r="3053">
          <cell r="D3053"/>
        </row>
        <row r="3054">
          <cell r="D3054"/>
        </row>
        <row r="3055">
          <cell r="D3055"/>
        </row>
        <row r="3056">
          <cell r="D3056"/>
        </row>
        <row r="3057">
          <cell r="D3057"/>
        </row>
        <row r="3058">
          <cell r="D3058"/>
        </row>
        <row r="3059">
          <cell r="D3059"/>
        </row>
        <row r="3060">
          <cell r="D3060"/>
        </row>
        <row r="3061">
          <cell r="D3061"/>
        </row>
        <row r="3062">
          <cell r="D3062"/>
        </row>
        <row r="3063">
          <cell r="D3063"/>
        </row>
        <row r="3064">
          <cell r="D3064"/>
        </row>
        <row r="3065">
          <cell r="D3065"/>
        </row>
        <row r="3066">
          <cell r="D3066"/>
        </row>
        <row r="3067">
          <cell r="D3067"/>
        </row>
        <row r="3068">
          <cell r="D3068"/>
        </row>
        <row r="3069">
          <cell r="D3069"/>
        </row>
        <row r="3070">
          <cell r="D3070"/>
        </row>
        <row r="3071">
          <cell r="D3071"/>
        </row>
        <row r="3072">
          <cell r="D3072"/>
        </row>
        <row r="3073">
          <cell r="D3073"/>
        </row>
        <row r="3074">
          <cell r="D3074"/>
        </row>
        <row r="3075">
          <cell r="D3075"/>
        </row>
        <row r="3076">
          <cell r="D3076"/>
        </row>
        <row r="3077">
          <cell r="D3077"/>
        </row>
        <row r="3078">
          <cell r="D3078"/>
        </row>
        <row r="3079">
          <cell r="D3079"/>
        </row>
        <row r="3080">
          <cell r="D3080"/>
        </row>
        <row r="3081">
          <cell r="D3081"/>
        </row>
        <row r="3082">
          <cell r="D3082"/>
        </row>
        <row r="3083">
          <cell r="D3083"/>
        </row>
        <row r="3084">
          <cell r="D3084"/>
        </row>
        <row r="3085">
          <cell r="D3085"/>
        </row>
        <row r="3086">
          <cell r="D3086"/>
        </row>
        <row r="3087">
          <cell r="D3087"/>
        </row>
        <row r="3088">
          <cell r="D3088"/>
        </row>
        <row r="3089">
          <cell r="D3089"/>
        </row>
        <row r="3090">
          <cell r="D3090"/>
        </row>
        <row r="3091">
          <cell r="D3091"/>
        </row>
        <row r="3092">
          <cell r="D3092"/>
        </row>
        <row r="3093">
          <cell r="D3093"/>
        </row>
        <row r="3094">
          <cell r="D3094"/>
        </row>
        <row r="3095">
          <cell r="D3095"/>
        </row>
        <row r="3096">
          <cell r="D3096"/>
        </row>
        <row r="3097">
          <cell r="D3097"/>
        </row>
        <row r="3098">
          <cell r="D3098"/>
        </row>
        <row r="3099">
          <cell r="D3099"/>
        </row>
        <row r="3100">
          <cell r="D3100"/>
        </row>
        <row r="3101">
          <cell r="D3101"/>
        </row>
        <row r="3102">
          <cell r="D3102"/>
        </row>
        <row r="3103">
          <cell r="D3103"/>
        </row>
        <row r="3104">
          <cell r="D3104"/>
        </row>
        <row r="3105">
          <cell r="D3105"/>
        </row>
        <row r="3106">
          <cell r="D3106"/>
        </row>
        <row r="3107">
          <cell r="D3107"/>
        </row>
        <row r="3108">
          <cell r="D3108"/>
        </row>
        <row r="3109">
          <cell r="D3109"/>
        </row>
        <row r="3110">
          <cell r="D3110"/>
        </row>
        <row r="3111">
          <cell r="D3111"/>
        </row>
        <row r="3112">
          <cell r="D3112"/>
        </row>
        <row r="3113">
          <cell r="D3113"/>
        </row>
        <row r="3114">
          <cell r="D3114"/>
        </row>
        <row r="3115">
          <cell r="D3115"/>
        </row>
        <row r="3116">
          <cell r="D3116"/>
        </row>
        <row r="3117">
          <cell r="D3117"/>
        </row>
        <row r="3118">
          <cell r="D3118"/>
        </row>
        <row r="3119">
          <cell r="D3119"/>
        </row>
        <row r="3120">
          <cell r="D3120"/>
        </row>
        <row r="3121">
          <cell r="D3121"/>
        </row>
        <row r="3122">
          <cell r="D3122"/>
        </row>
        <row r="3123">
          <cell r="D3123"/>
        </row>
        <row r="3124">
          <cell r="D3124"/>
        </row>
        <row r="3125">
          <cell r="D3125"/>
        </row>
        <row r="3126">
          <cell r="D3126"/>
        </row>
        <row r="3127">
          <cell r="D3127"/>
        </row>
        <row r="3128">
          <cell r="D3128"/>
        </row>
        <row r="3129">
          <cell r="D3129"/>
        </row>
        <row r="3130">
          <cell r="D3130"/>
        </row>
        <row r="3131">
          <cell r="D3131"/>
        </row>
        <row r="3132">
          <cell r="D3132"/>
        </row>
        <row r="3133">
          <cell r="D3133"/>
        </row>
        <row r="3134">
          <cell r="D3134"/>
        </row>
        <row r="3135">
          <cell r="D3135"/>
        </row>
        <row r="3136">
          <cell r="D3136"/>
        </row>
        <row r="3137">
          <cell r="D3137"/>
        </row>
        <row r="3138">
          <cell r="D3138"/>
        </row>
        <row r="3139">
          <cell r="D3139"/>
        </row>
        <row r="3140">
          <cell r="D3140"/>
        </row>
        <row r="3141">
          <cell r="D3141"/>
        </row>
        <row r="3142">
          <cell r="D3142"/>
        </row>
        <row r="3143">
          <cell r="D3143"/>
        </row>
        <row r="3144">
          <cell r="D3144"/>
        </row>
        <row r="3145">
          <cell r="D3145"/>
        </row>
        <row r="3146">
          <cell r="D3146"/>
        </row>
        <row r="3147">
          <cell r="D3147"/>
        </row>
        <row r="3148">
          <cell r="D3148"/>
        </row>
        <row r="3149">
          <cell r="D3149"/>
        </row>
        <row r="3150">
          <cell r="D3150"/>
        </row>
        <row r="3151">
          <cell r="D3151"/>
        </row>
        <row r="3152">
          <cell r="D3152"/>
        </row>
        <row r="3153">
          <cell r="D3153"/>
        </row>
        <row r="3154">
          <cell r="D3154"/>
        </row>
        <row r="3155">
          <cell r="D3155"/>
        </row>
        <row r="3156">
          <cell r="D3156"/>
        </row>
        <row r="3157">
          <cell r="D3157"/>
        </row>
        <row r="3158">
          <cell r="D3158"/>
        </row>
        <row r="3159">
          <cell r="D3159"/>
        </row>
        <row r="3160">
          <cell r="D3160"/>
        </row>
        <row r="3161">
          <cell r="D3161"/>
        </row>
        <row r="3162">
          <cell r="D3162"/>
        </row>
        <row r="3163">
          <cell r="D3163"/>
        </row>
        <row r="3164">
          <cell r="D3164"/>
        </row>
        <row r="3165">
          <cell r="D3165"/>
        </row>
        <row r="3166">
          <cell r="D3166"/>
        </row>
        <row r="3167">
          <cell r="D3167"/>
        </row>
        <row r="3168">
          <cell r="D3168"/>
        </row>
        <row r="3169">
          <cell r="D3169"/>
        </row>
        <row r="3170">
          <cell r="D3170"/>
        </row>
        <row r="3171">
          <cell r="D3171"/>
        </row>
        <row r="3172">
          <cell r="D3172"/>
        </row>
        <row r="3173">
          <cell r="D3173"/>
        </row>
        <row r="3174">
          <cell r="D3174"/>
        </row>
        <row r="3175">
          <cell r="D3175"/>
        </row>
        <row r="3176">
          <cell r="D3176"/>
        </row>
        <row r="3177">
          <cell r="D3177"/>
        </row>
        <row r="3178">
          <cell r="D3178"/>
        </row>
        <row r="3179">
          <cell r="D3179"/>
        </row>
        <row r="3180">
          <cell r="D3180"/>
        </row>
        <row r="3181">
          <cell r="D3181"/>
        </row>
        <row r="3182">
          <cell r="D3182"/>
        </row>
        <row r="3183">
          <cell r="D3183"/>
        </row>
        <row r="3184">
          <cell r="D3184"/>
        </row>
        <row r="3185">
          <cell r="D3185"/>
        </row>
        <row r="3186">
          <cell r="D3186"/>
        </row>
        <row r="3187">
          <cell r="D3187"/>
        </row>
        <row r="3188">
          <cell r="D3188"/>
        </row>
        <row r="3189">
          <cell r="D3189"/>
        </row>
        <row r="3190">
          <cell r="D3190"/>
        </row>
        <row r="3191">
          <cell r="D3191"/>
        </row>
        <row r="3192">
          <cell r="D3192"/>
        </row>
        <row r="3193">
          <cell r="D3193"/>
        </row>
        <row r="3194">
          <cell r="D3194"/>
        </row>
        <row r="3195">
          <cell r="D3195"/>
        </row>
        <row r="3196">
          <cell r="D3196"/>
        </row>
        <row r="3197">
          <cell r="D3197"/>
        </row>
        <row r="3198">
          <cell r="D3198"/>
        </row>
        <row r="3199">
          <cell r="D3199"/>
        </row>
        <row r="3200">
          <cell r="D3200"/>
        </row>
        <row r="3201">
          <cell r="D3201"/>
        </row>
        <row r="3202">
          <cell r="D3202"/>
        </row>
        <row r="3203">
          <cell r="D3203"/>
        </row>
        <row r="3204">
          <cell r="D3204"/>
        </row>
        <row r="3205">
          <cell r="D3205"/>
        </row>
        <row r="3206">
          <cell r="D3206"/>
        </row>
        <row r="3207">
          <cell r="D3207"/>
        </row>
        <row r="3208">
          <cell r="D3208"/>
        </row>
        <row r="3209">
          <cell r="D3209"/>
        </row>
        <row r="3210">
          <cell r="D3210"/>
        </row>
        <row r="3211">
          <cell r="D3211"/>
        </row>
        <row r="3212">
          <cell r="D3212"/>
        </row>
        <row r="3213">
          <cell r="D3213"/>
        </row>
        <row r="3214">
          <cell r="D3214"/>
        </row>
        <row r="3215">
          <cell r="D3215"/>
        </row>
        <row r="3216">
          <cell r="D3216"/>
        </row>
        <row r="3217">
          <cell r="D3217"/>
        </row>
        <row r="3218">
          <cell r="D3218"/>
        </row>
        <row r="3219">
          <cell r="D3219"/>
        </row>
        <row r="3220">
          <cell r="D3220"/>
        </row>
        <row r="3221">
          <cell r="D3221"/>
        </row>
        <row r="3222">
          <cell r="D3222"/>
        </row>
        <row r="3223">
          <cell r="D3223"/>
        </row>
        <row r="3224">
          <cell r="D3224"/>
        </row>
        <row r="3225">
          <cell r="D3225"/>
        </row>
        <row r="3226">
          <cell r="D3226"/>
        </row>
        <row r="3227">
          <cell r="D3227"/>
        </row>
        <row r="3228">
          <cell r="D3228"/>
        </row>
        <row r="3229">
          <cell r="D3229"/>
        </row>
        <row r="3230">
          <cell r="D3230"/>
        </row>
        <row r="3231">
          <cell r="D3231"/>
        </row>
        <row r="3232">
          <cell r="D3232"/>
        </row>
        <row r="3233">
          <cell r="D3233"/>
        </row>
        <row r="3234">
          <cell r="D3234"/>
        </row>
        <row r="3235">
          <cell r="D3235"/>
        </row>
        <row r="3236">
          <cell r="D3236"/>
        </row>
        <row r="3237">
          <cell r="D3237"/>
        </row>
        <row r="3238">
          <cell r="D3238"/>
        </row>
        <row r="3239">
          <cell r="D3239"/>
        </row>
        <row r="3240">
          <cell r="D3240"/>
        </row>
        <row r="3241">
          <cell r="D3241"/>
        </row>
        <row r="3242">
          <cell r="D3242"/>
        </row>
        <row r="3243">
          <cell r="D3243"/>
        </row>
        <row r="3244">
          <cell r="D3244"/>
        </row>
        <row r="3245">
          <cell r="D3245"/>
        </row>
        <row r="3246">
          <cell r="D3246"/>
        </row>
        <row r="3247">
          <cell r="D3247"/>
        </row>
        <row r="3248">
          <cell r="D3248"/>
        </row>
        <row r="3249">
          <cell r="D3249"/>
        </row>
        <row r="3250">
          <cell r="D3250"/>
        </row>
        <row r="3251">
          <cell r="D3251"/>
        </row>
        <row r="3252">
          <cell r="D3252"/>
        </row>
        <row r="3253">
          <cell r="D3253"/>
        </row>
        <row r="3254">
          <cell r="D3254"/>
        </row>
        <row r="3255">
          <cell r="D3255"/>
        </row>
        <row r="3256">
          <cell r="D3256"/>
        </row>
        <row r="3257">
          <cell r="D3257"/>
        </row>
        <row r="3258">
          <cell r="D3258"/>
        </row>
        <row r="3259">
          <cell r="D3259"/>
        </row>
        <row r="3260">
          <cell r="D3260"/>
        </row>
        <row r="3261">
          <cell r="D3261"/>
        </row>
        <row r="3262">
          <cell r="D3262"/>
        </row>
        <row r="3263">
          <cell r="D3263"/>
        </row>
        <row r="3264">
          <cell r="D3264"/>
        </row>
        <row r="3265">
          <cell r="D3265"/>
        </row>
        <row r="3266">
          <cell r="D3266"/>
        </row>
        <row r="3267">
          <cell r="D3267"/>
        </row>
        <row r="3268">
          <cell r="D3268"/>
        </row>
        <row r="3269">
          <cell r="D3269"/>
        </row>
        <row r="3270">
          <cell r="D3270"/>
        </row>
        <row r="3271">
          <cell r="D3271"/>
        </row>
        <row r="3272">
          <cell r="D3272"/>
        </row>
        <row r="3273">
          <cell r="D3273"/>
        </row>
        <row r="3274">
          <cell r="D3274"/>
        </row>
        <row r="3275">
          <cell r="D3275"/>
        </row>
        <row r="3276">
          <cell r="D3276"/>
        </row>
        <row r="3277">
          <cell r="D3277"/>
        </row>
        <row r="3278">
          <cell r="D3278"/>
        </row>
        <row r="3279">
          <cell r="D3279"/>
        </row>
        <row r="3280">
          <cell r="D3280"/>
        </row>
        <row r="3281">
          <cell r="D3281"/>
        </row>
        <row r="3282">
          <cell r="D3282"/>
        </row>
        <row r="3283">
          <cell r="D3283"/>
        </row>
        <row r="3284">
          <cell r="D3284"/>
        </row>
        <row r="3285">
          <cell r="D3285"/>
        </row>
        <row r="3286">
          <cell r="D3286"/>
        </row>
        <row r="3287">
          <cell r="D3287"/>
        </row>
        <row r="3288">
          <cell r="D3288"/>
        </row>
        <row r="3289">
          <cell r="D3289"/>
        </row>
        <row r="3290">
          <cell r="D3290"/>
        </row>
        <row r="3291">
          <cell r="D3291"/>
        </row>
        <row r="3292">
          <cell r="D3292"/>
        </row>
        <row r="3293">
          <cell r="D3293"/>
        </row>
        <row r="3294">
          <cell r="D3294"/>
        </row>
        <row r="3295">
          <cell r="D3295"/>
        </row>
        <row r="3296">
          <cell r="D3296"/>
        </row>
        <row r="3297">
          <cell r="D3297"/>
        </row>
        <row r="3298">
          <cell r="D3298"/>
        </row>
        <row r="3299">
          <cell r="D3299"/>
        </row>
        <row r="3300">
          <cell r="D3300"/>
        </row>
        <row r="3301">
          <cell r="D3301"/>
        </row>
        <row r="3302">
          <cell r="D3302"/>
        </row>
        <row r="3303">
          <cell r="D3303"/>
        </row>
        <row r="3304">
          <cell r="D3304"/>
        </row>
        <row r="3305">
          <cell r="D3305"/>
        </row>
        <row r="3306">
          <cell r="D3306"/>
        </row>
        <row r="3307">
          <cell r="D3307"/>
        </row>
        <row r="3308">
          <cell r="D3308"/>
        </row>
        <row r="3309">
          <cell r="D3309"/>
        </row>
        <row r="3310">
          <cell r="D3310"/>
        </row>
        <row r="3311">
          <cell r="D3311"/>
        </row>
        <row r="3312">
          <cell r="D3312"/>
        </row>
        <row r="3313">
          <cell r="D3313"/>
        </row>
        <row r="3314">
          <cell r="D3314"/>
        </row>
        <row r="3315">
          <cell r="D3315"/>
        </row>
        <row r="3316">
          <cell r="D3316"/>
        </row>
        <row r="3317">
          <cell r="D3317"/>
        </row>
        <row r="3318">
          <cell r="D3318"/>
        </row>
        <row r="3319">
          <cell r="D3319"/>
        </row>
        <row r="3320">
          <cell r="D3320"/>
        </row>
        <row r="3321">
          <cell r="D3321"/>
        </row>
        <row r="3322">
          <cell r="D3322"/>
        </row>
        <row r="3323">
          <cell r="D3323"/>
        </row>
        <row r="3324">
          <cell r="D3324"/>
        </row>
        <row r="3325">
          <cell r="D3325"/>
        </row>
        <row r="3326">
          <cell r="D3326"/>
        </row>
        <row r="3327">
          <cell r="D3327"/>
        </row>
        <row r="3328">
          <cell r="D3328"/>
        </row>
        <row r="3329">
          <cell r="D3329"/>
        </row>
        <row r="3330">
          <cell r="D3330"/>
        </row>
        <row r="3331">
          <cell r="D3331"/>
        </row>
        <row r="3332">
          <cell r="D3332"/>
        </row>
        <row r="3333">
          <cell r="D3333"/>
        </row>
        <row r="3334">
          <cell r="D3334"/>
        </row>
        <row r="3335">
          <cell r="D3335"/>
        </row>
        <row r="3336">
          <cell r="D3336"/>
        </row>
        <row r="3337">
          <cell r="D3337"/>
        </row>
        <row r="3338">
          <cell r="D3338"/>
        </row>
        <row r="3339">
          <cell r="D3339"/>
        </row>
        <row r="3340">
          <cell r="D3340"/>
        </row>
        <row r="3341">
          <cell r="D3341"/>
        </row>
        <row r="3342">
          <cell r="D3342"/>
        </row>
        <row r="3343">
          <cell r="D3343"/>
        </row>
        <row r="3344">
          <cell r="D3344"/>
        </row>
        <row r="3345">
          <cell r="D3345"/>
        </row>
        <row r="3346">
          <cell r="D3346"/>
        </row>
        <row r="3347">
          <cell r="D3347"/>
        </row>
        <row r="3348">
          <cell r="D3348"/>
        </row>
        <row r="3349">
          <cell r="D3349"/>
        </row>
        <row r="3350">
          <cell r="D3350"/>
        </row>
        <row r="3351">
          <cell r="D3351"/>
        </row>
        <row r="3352">
          <cell r="D3352"/>
        </row>
        <row r="3353">
          <cell r="D3353"/>
        </row>
        <row r="3354">
          <cell r="D3354"/>
        </row>
        <row r="3355">
          <cell r="D3355"/>
        </row>
        <row r="3356">
          <cell r="D3356"/>
        </row>
        <row r="3357">
          <cell r="D3357"/>
        </row>
        <row r="3358">
          <cell r="D3358"/>
        </row>
        <row r="3359">
          <cell r="D3359"/>
        </row>
        <row r="3360">
          <cell r="D3360"/>
        </row>
        <row r="3361">
          <cell r="D3361"/>
        </row>
        <row r="3362">
          <cell r="D3362"/>
        </row>
        <row r="3363">
          <cell r="D3363"/>
        </row>
        <row r="3364">
          <cell r="D3364"/>
        </row>
        <row r="3365">
          <cell r="D3365"/>
        </row>
        <row r="3366">
          <cell r="D3366"/>
        </row>
        <row r="3367">
          <cell r="D3367"/>
        </row>
        <row r="3368">
          <cell r="D3368"/>
        </row>
        <row r="3369">
          <cell r="D3369"/>
        </row>
        <row r="3370">
          <cell r="D3370"/>
        </row>
        <row r="3371">
          <cell r="D3371"/>
        </row>
        <row r="3372">
          <cell r="D3372"/>
        </row>
        <row r="3373">
          <cell r="D3373"/>
        </row>
        <row r="3374">
          <cell r="D3374"/>
        </row>
        <row r="3375">
          <cell r="D3375"/>
        </row>
        <row r="3376">
          <cell r="D3376"/>
        </row>
        <row r="3377">
          <cell r="D3377"/>
        </row>
        <row r="3378">
          <cell r="D3378"/>
        </row>
        <row r="3379">
          <cell r="D3379"/>
        </row>
        <row r="3380">
          <cell r="D3380"/>
        </row>
        <row r="3381">
          <cell r="D3381"/>
        </row>
        <row r="3382">
          <cell r="D3382"/>
        </row>
        <row r="3383">
          <cell r="D3383"/>
        </row>
        <row r="3384">
          <cell r="D3384"/>
        </row>
        <row r="3385">
          <cell r="D3385"/>
        </row>
        <row r="3386">
          <cell r="D3386"/>
        </row>
        <row r="3387">
          <cell r="D3387"/>
        </row>
        <row r="3388">
          <cell r="D3388"/>
        </row>
        <row r="3389">
          <cell r="D3389"/>
        </row>
        <row r="3390">
          <cell r="D3390"/>
        </row>
        <row r="3391">
          <cell r="D3391"/>
        </row>
        <row r="3392">
          <cell r="D3392"/>
        </row>
        <row r="3393">
          <cell r="D3393"/>
        </row>
        <row r="3394">
          <cell r="D3394"/>
        </row>
        <row r="3395">
          <cell r="D3395"/>
        </row>
        <row r="3396">
          <cell r="D3396"/>
        </row>
        <row r="3397">
          <cell r="D3397"/>
        </row>
        <row r="3398">
          <cell r="D3398"/>
        </row>
        <row r="3399">
          <cell r="D3399"/>
        </row>
        <row r="3400">
          <cell r="D3400"/>
        </row>
        <row r="3401">
          <cell r="D3401"/>
        </row>
        <row r="3402">
          <cell r="D3402"/>
        </row>
        <row r="3403">
          <cell r="D3403"/>
        </row>
        <row r="3404">
          <cell r="D3404"/>
        </row>
        <row r="3405">
          <cell r="D3405"/>
        </row>
        <row r="3406">
          <cell r="D3406"/>
        </row>
        <row r="3407">
          <cell r="D3407"/>
        </row>
        <row r="3408">
          <cell r="D3408"/>
        </row>
        <row r="3409">
          <cell r="D3409"/>
        </row>
        <row r="3410">
          <cell r="D3410"/>
        </row>
        <row r="3411">
          <cell r="D3411"/>
        </row>
        <row r="3412">
          <cell r="D3412"/>
        </row>
        <row r="3413">
          <cell r="D3413"/>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Piece"/>
      <sheetName val="Volume"/>
    </sheetNames>
    <sheetDataSet>
      <sheetData sheetId="0">
        <row r="1">
          <cell r="F1" t="str">
            <v>[Invoice_Sales_YTD]</v>
          </cell>
          <cell r="G1" t="str">
            <v>[Invoice_Sales_PY]</v>
          </cell>
        </row>
        <row r="2">
          <cell r="E2" t="str">
            <v>00424019</v>
          </cell>
          <cell r="F2">
            <v>34947</v>
          </cell>
          <cell r="G2">
            <v>22565.61</v>
          </cell>
        </row>
        <row r="3">
          <cell r="E3" t="str">
            <v>00307051</v>
          </cell>
          <cell r="F3">
            <v>30726.630000000034</v>
          </cell>
          <cell r="G3">
            <v>56497.98</v>
          </cell>
        </row>
        <row r="4">
          <cell r="E4" t="str">
            <v>00307047</v>
          </cell>
          <cell r="F4">
            <v>18143.730000000021</v>
          </cell>
          <cell r="G4">
            <v>30216.400000000056</v>
          </cell>
        </row>
        <row r="5">
          <cell r="E5" t="str">
            <v>00301460</v>
          </cell>
          <cell r="F5">
            <v>15689.279999999981</v>
          </cell>
          <cell r="G5">
            <v>48764.539999999812</v>
          </cell>
        </row>
        <row r="6">
          <cell r="E6" t="str">
            <v>00305051</v>
          </cell>
          <cell r="F6">
            <v>13726.649999999994</v>
          </cell>
          <cell r="G6">
            <v>35730.229999999996</v>
          </cell>
        </row>
        <row r="7">
          <cell r="E7" t="str">
            <v>00305040</v>
          </cell>
          <cell r="F7">
            <v>11131.379999999997</v>
          </cell>
          <cell r="G7">
            <v>48108.579999999958</v>
          </cell>
        </row>
        <row r="8">
          <cell r="E8" t="str">
            <v>00305042</v>
          </cell>
          <cell r="F8">
            <v>11097.680000000033</v>
          </cell>
          <cell r="G8">
            <v>80194.130000000063</v>
          </cell>
        </row>
        <row r="9">
          <cell r="E9" t="str">
            <v>00302797</v>
          </cell>
          <cell r="F9">
            <v>9168.0000000000036</v>
          </cell>
          <cell r="G9">
            <v>13417.909999999996</v>
          </cell>
        </row>
        <row r="10">
          <cell r="E10" t="str">
            <v>00301857</v>
          </cell>
          <cell r="F10">
            <v>9094.4999999999982</v>
          </cell>
          <cell r="G10">
            <v>24204.66999999998</v>
          </cell>
        </row>
        <row r="11">
          <cell r="E11" t="str">
            <v>00375147</v>
          </cell>
          <cell r="F11">
            <v>7935.2399999999961</v>
          </cell>
          <cell r="G11">
            <v>20507.889999999948</v>
          </cell>
        </row>
        <row r="12">
          <cell r="E12" t="str">
            <v>00306896</v>
          </cell>
          <cell r="F12">
            <v>7767.8500000000085</v>
          </cell>
          <cell r="G12">
            <v>17452.359999999997</v>
          </cell>
        </row>
        <row r="13">
          <cell r="E13" t="str">
            <v>00423219</v>
          </cell>
          <cell r="F13">
            <v>7045.49</v>
          </cell>
          <cell r="G13">
            <v>16894.329999999998</v>
          </cell>
        </row>
        <row r="14">
          <cell r="E14" t="str">
            <v>00423493</v>
          </cell>
          <cell r="F14">
            <v>6822.800000000022</v>
          </cell>
          <cell r="G14">
            <v>17897.87</v>
          </cell>
        </row>
        <row r="15">
          <cell r="E15" t="str">
            <v>00301546</v>
          </cell>
          <cell r="F15">
            <v>6305.3099999999922</v>
          </cell>
          <cell r="G15">
            <v>22709.129999999986</v>
          </cell>
        </row>
        <row r="16">
          <cell r="E16" t="str">
            <v>00303395</v>
          </cell>
          <cell r="F16">
            <v>6238.6699999999973</v>
          </cell>
          <cell r="G16">
            <v>73913.140000000014</v>
          </cell>
        </row>
        <row r="17">
          <cell r="E17" t="str">
            <v>00301863</v>
          </cell>
          <cell r="F17">
            <v>6091.2000000000016</v>
          </cell>
          <cell r="G17">
            <v>8828.6299999999974</v>
          </cell>
        </row>
        <row r="18">
          <cell r="E18" t="str">
            <v>00309019</v>
          </cell>
          <cell r="F18">
            <v>5839.8899999999994</v>
          </cell>
          <cell r="G18">
            <v>20816.019999999997</v>
          </cell>
        </row>
        <row r="19">
          <cell r="E19" t="str">
            <v>00301452</v>
          </cell>
          <cell r="F19">
            <v>5019.239999999987</v>
          </cell>
          <cell r="G19">
            <v>18839.100000000035</v>
          </cell>
        </row>
        <row r="20">
          <cell r="E20" t="str">
            <v>00423465</v>
          </cell>
          <cell r="F20">
            <v>4926.6599999999989</v>
          </cell>
          <cell r="G20">
            <v>16112.399999999921</v>
          </cell>
        </row>
        <row r="21">
          <cell r="E21" t="str">
            <v>00305034</v>
          </cell>
          <cell r="F21">
            <v>4874.0100000000057</v>
          </cell>
          <cell r="G21">
            <v>20352.089999999953</v>
          </cell>
        </row>
        <row r="22">
          <cell r="E22" t="str">
            <v>00307045</v>
          </cell>
          <cell r="F22">
            <v>4749.0300000000007</v>
          </cell>
          <cell r="G22">
            <v>3003.66</v>
          </cell>
        </row>
        <row r="23">
          <cell r="E23" t="str">
            <v>00301463</v>
          </cell>
          <cell r="F23">
            <v>4476.5299999999988</v>
          </cell>
          <cell r="G23">
            <v>7347.16</v>
          </cell>
        </row>
        <row r="24">
          <cell r="E24" t="str">
            <v>00423218</v>
          </cell>
          <cell r="F24">
            <v>4417.5300000000025</v>
          </cell>
          <cell r="G24">
            <v>37541.180000000109</v>
          </cell>
        </row>
        <row r="25">
          <cell r="E25" t="str">
            <v>00301751</v>
          </cell>
          <cell r="F25">
            <v>4331.5199999999986</v>
          </cell>
          <cell r="G25">
            <v>7955.3399999999956</v>
          </cell>
        </row>
        <row r="26">
          <cell r="E26" t="str">
            <v>00423213</v>
          </cell>
          <cell r="F26">
            <v>4229.4699999999984</v>
          </cell>
          <cell r="G26">
            <v>26132.85000000002</v>
          </cell>
        </row>
        <row r="27">
          <cell r="E27" t="str">
            <v>00423529</v>
          </cell>
          <cell r="F27">
            <v>4206.8399999999956</v>
          </cell>
          <cell r="G27">
            <v>6481.9799999999786</v>
          </cell>
        </row>
        <row r="28">
          <cell r="E28" t="str">
            <v>00386447</v>
          </cell>
          <cell r="F28">
            <v>4172</v>
          </cell>
          <cell r="G28">
            <v>5608.2300000000005</v>
          </cell>
        </row>
        <row r="29">
          <cell r="E29" t="str">
            <v>00305958</v>
          </cell>
          <cell r="F29">
            <v>4039.6500000000015</v>
          </cell>
          <cell r="G29">
            <v>8481.98</v>
          </cell>
        </row>
        <row r="30">
          <cell r="E30" t="str">
            <v>00306361</v>
          </cell>
          <cell r="F30">
            <v>4012.8</v>
          </cell>
          <cell r="G30">
            <v>5704.49</v>
          </cell>
        </row>
        <row r="31">
          <cell r="E31" t="str">
            <v>00305956</v>
          </cell>
          <cell r="F31">
            <v>3925.5699999999997</v>
          </cell>
          <cell r="G31">
            <v>19360.169999999987</v>
          </cell>
        </row>
        <row r="32">
          <cell r="E32" t="str">
            <v>00852809</v>
          </cell>
          <cell r="F32">
            <v>3845.3999999999969</v>
          </cell>
          <cell r="G32">
            <v>17217.559999999899</v>
          </cell>
        </row>
        <row r="33">
          <cell r="E33" t="str">
            <v>00423490</v>
          </cell>
          <cell r="F33">
            <v>3754.4000000000019</v>
          </cell>
          <cell r="G33">
            <v>11473.890000000014</v>
          </cell>
        </row>
        <row r="34">
          <cell r="E34" t="str">
            <v>00681831</v>
          </cell>
          <cell r="F34">
            <v>3670.6</v>
          </cell>
          <cell r="G34">
            <v>1651.77</v>
          </cell>
        </row>
        <row r="35">
          <cell r="E35" t="str">
            <v>00423615</v>
          </cell>
          <cell r="F35">
            <v>3172</v>
          </cell>
          <cell r="G35">
            <v>1819</v>
          </cell>
        </row>
        <row r="36">
          <cell r="E36" t="str">
            <v>00681830</v>
          </cell>
          <cell r="F36">
            <v>3074.8</v>
          </cell>
          <cell r="G36">
            <v>1383.66</v>
          </cell>
        </row>
        <row r="37">
          <cell r="E37" t="str">
            <v>00734902</v>
          </cell>
          <cell r="F37">
            <v>2999.9</v>
          </cell>
          <cell r="G37">
            <v>9681.9699999999993</v>
          </cell>
        </row>
        <row r="38">
          <cell r="E38" t="str">
            <v>00681829</v>
          </cell>
          <cell r="F38">
            <v>2913.7799999999997</v>
          </cell>
          <cell r="G38">
            <v>768.13</v>
          </cell>
        </row>
        <row r="39">
          <cell r="E39" t="str">
            <v>00421703</v>
          </cell>
          <cell r="F39">
            <v>2816.8799999999997</v>
          </cell>
          <cell r="G39">
            <v>9378.1100000000042</v>
          </cell>
        </row>
        <row r="40">
          <cell r="E40" t="str">
            <v>00307046</v>
          </cell>
          <cell r="F40">
            <v>2719.5300000000007</v>
          </cell>
          <cell r="G40">
            <v>11862.880000000006</v>
          </cell>
        </row>
        <row r="41">
          <cell r="E41" t="str">
            <v>00305033</v>
          </cell>
          <cell r="F41">
            <v>2656.5600000000004</v>
          </cell>
          <cell r="G41">
            <v>7254.2100000000028</v>
          </cell>
        </row>
        <row r="42">
          <cell r="E42" t="str">
            <v>00306471</v>
          </cell>
          <cell r="F42">
            <v>2538.2099999999996</v>
          </cell>
          <cell r="G42">
            <v>11946.149999999996</v>
          </cell>
        </row>
        <row r="43">
          <cell r="E43" t="str">
            <v>00611476</v>
          </cell>
          <cell r="F43">
            <v>2416.4799999999968</v>
          </cell>
          <cell r="G43">
            <v>10249.929999999995</v>
          </cell>
        </row>
        <row r="44">
          <cell r="E44" t="str">
            <v>00301755</v>
          </cell>
          <cell r="F44">
            <v>2393.5600000000004</v>
          </cell>
          <cell r="G44">
            <v>1179.1999999999998</v>
          </cell>
        </row>
        <row r="45">
          <cell r="E45" t="str">
            <v>00307667</v>
          </cell>
          <cell r="F45">
            <v>2351.099999999999</v>
          </cell>
          <cell r="G45">
            <v>5493.4399999999951</v>
          </cell>
        </row>
        <row r="46">
          <cell r="E46" t="str">
            <v>00615013</v>
          </cell>
          <cell r="F46">
            <v>2240.3100000000018</v>
          </cell>
          <cell r="G46">
            <v>5270.0699999999933</v>
          </cell>
        </row>
        <row r="47">
          <cell r="E47" t="str">
            <v>00301542</v>
          </cell>
          <cell r="F47">
            <v>2223.36</v>
          </cell>
          <cell r="G47">
            <v>15221.089999999967</v>
          </cell>
        </row>
        <row r="48">
          <cell r="E48" t="str">
            <v>00301634</v>
          </cell>
          <cell r="F48">
            <v>2176.1600000000003</v>
          </cell>
          <cell r="G48">
            <v>2600.6200000000035</v>
          </cell>
        </row>
        <row r="49">
          <cell r="E49" t="str">
            <v>00423492</v>
          </cell>
          <cell r="F49">
            <v>2120.9400000000005</v>
          </cell>
          <cell r="G49">
            <v>4028.5200000000041</v>
          </cell>
        </row>
        <row r="50">
          <cell r="E50" t="str">
            <v>00301665</v>
          </cell>
          <cell r="F50">
            <v>2106.0300000000025</v>
          </cell>
          <cell r="G50">
            <v>8261.5600000000086</v>
          </cell>
        </row>
        <row r="51">
          <cell r="E51" t="str">
            <v>00301856</v>
          </cell>
          <cell r="F51">
            <v>1945.8</v>
          </cell>
          <cell r="G51">
            <v>6323.9500000000007</v>
          </cell>
        </row>
        <row r="52">
          <cell r="E52" t="str">
            <v>00306894</v>
          </cell>
          <cell r="F52">
            <v>1927.5600000000002</v>
          </cell>
          <cell r="G52">
            <v>4074.5799999999981</v>
          </cell>
        </row>
        <row r="53">
          <cell r="E53" t="str">
            <v>00728168</v>
          </cell>
          <cell r="F53">
            <v>1681.5999999999997</v>
          </cell>
          <cell r="G53">
            <v>7945.7399999999971</v>
          </cell>
        </row>
        <row r="54">
          <cell r="E54" t="str">
            <v>00303392</v>
          </cell>
          <cell r="F54">
            <v>1681.2000000000003</v>
          </cell>
          <cell r="G54">
            <v>4728.3099999999995</v>
          </cell>
        </row>
        <row r="55">
          <cell r="E55" t="str">
            <v>00306744</v>
          </cell>
          <cell r="F55">
            <v>1647.32</v>
          </cell>
          <cell r="G55">
            <v>9555.4399999999987</v>
          </cell>
        </row>
        <row r="56">
          <cell r="E56" t="str">
            <v>00423745</v>
          </cell>
          <cell r="F56">
            <v>1538.11</v>
          </cell>
          <cell r="G56">
            <v>3233.0700000000006</v>
          </cell>
        </row>
        <row r="57">
          <cell r="E57" t="str">
            <v>00423212</v>
          </cell>
          <cell r="F57">
            <v>1508</v>
          </cell>
          <cell r="G57">
            <v>21035.68</v>
          </cell>
        </row>
        <row r="58">
          <cell r="E58" t="str">
            <v>00306922</v>
          </cell>
          <cell r="F58">
            <v>1430.6000000000001</v>
          </cell>
          <cell r="G58">
            <v>8131.1399999999949</v>
          </cell>
        </row>
        <row r="59">
          <cell r="E59" t="str">
            <v>00423204</v>
          </cell>
          <cell r="F59">
            <v>1428.4599999999998</v>
          </cell>
          <cell r="G59">
            <v>7462.1999999999944</v>
          </cell>
        </row>
        <row r="60">
          <cell r="E60" t="str">
            <v>00301680</v>
          </cell>
          <cell r="F60">
            <v>1420.7999999999997</v>
          </cell>
          <cell r="G60">
            <v>1125.32</v>
          </cell>
        </row>
        <row r="61">
          <cell r="E61" t="str">
            <v>00639924</v>
          </cell>
          <cell r="F61">
            <v>1414.27</v>
          </cell>
        </row>
        <row r="62">
          <cell r="E62" t="str">
            <v>00423476</v>
          </cell>
          <cell r="F62">
            <v>1383.2000000000005</v>
          </cell>
          <cell r="G62">
            <v>7405.9</v>
          </cell>
        </row>
        <row r="63">
          <cell r="E63" t="str">
            <v>00301722</v>
          </cell>
          <cell r="F63">
            <v>1368.57</v>
          </cell>
          <cell r="G63">
            <v>433.77000000000004</v>
          </cell>
        </row>
        <row r="64">
          <cell r="E64" t="str">
            <v>00423505</v>
          </cell>
          <cell r="F64">
            <v>1366.0000000000005</v>
          </cell>
          <cell r="G64">
            <v>7292.7699999999968</v>
          </cell>
        </row>
        <row r="65">
          <cell r="E65" t="str">
            <v>00732199</v>
          </cell>
          <cell r="F65">
            <v>1285.6500000000001</v>
          </cell>
          <cell r="G65">
            <v>11485.270000000004</v>
          </cell>
        </row>
        <row r="66">
          <cell r="E66" t="str">
            <v>00852828</v>
          </cell>
          <cell r="F66">
            <v>1262.7699999999998</v>
          </cell>
          <cell r="G66">
            <v>4328.700000000008</v>
          </cell>
        </row>
        <row r="67">
          <cell r="E67" t="str">
            <v>00305066</v>
          </cell>
          <cell r="F67">
            <v>1258.8100000000006</v>
          </cell>
          <cell r="G67">
            <v>4149.5400000000018</v>
          </cell>
        </row>
        <row r="68">
          <cell r="E68" t="str">
            <v>00305043</v>
          </cell>
          <cell r="F68">
            <v>1251.72</v>
          </cell>
          <cell r="G68">
            <v>2633.7599999999993</v>
          </cell>
        </row>
        <row r="69">
          <cell r="E69" t="str">
            <v>00718464</v>
          </cell>
          <cell r="F69">
            <v>1204.7000000000005</v>
          </cell>
          <cell r="G69">
            <v>7803.6000000000131</v>
          </cell>
        </row>
        <row r="70">
          <cell r="E70" t="str">
            <v>00301487</v>
          </cell>
          <cell r="F70">
            <v>1188.02</v>
          </cell>
          <cell r="G70">
            <v>259.58</v>
          </cell>
        </row>
        <row r="71">
          <cell r="E71" t="str">
            <v>00852919</v>
          </cell>
          <cell r="F71">
            <v>1173.4499999999969</v>
          </cell>
          <cell r="G71">
            <v>5115.5099999999866</v>
          </cell>
        </row>
        <row r="72">
          <cell r="E72" t="str">
            <v>00423464</v>
          </cell>
          <cell r="F72">
            <v>1159.6599999999999</v>
          </cell>
          <cell r="G72">
            <v>2928.0400000000004</v>
          </cell>
        </row>
        <row r="73">
          <cell r="E73" t="str">
            <v>00681120</v>
          </cell>
          <cell r="F73">
            <v>1153.75</v>
          </cell>
          <cell r="G73">
            <v>873.34</v>
          </cell>
        </row>
        <row r="74">
          <cell r="E74" t="str">
            <v>00304323</v>
          </cell>
          <cell r="F74">
            <v>1135.8799999999999</v>
          </cell>
          <cell r="G74">
            <v>983.12000000000012</v>
          </cell>
        </row>
        <row r="75">
          <cell r="E75" t="str">
            <v>00324704</v>
          </cell>
          <cell r="F75">
            <v>1082.9400000000003</v>
          </cell>
          <cell r="G75">
            <v>8445.56</v>
          </cell>
        </row>
        <row r="76">
          <cell r="E76" t="str">
            <v>00853079</v>
          </cell>
          <cell r="F76">
            <v>1062.2700000000013</v>
          </cell>
          <cell r="G76">
            <v>4670.3700000000108</v>
          </cell>
        </row>
        <row r="77">
          <cell r="E77" t="str">
            <v>00852426</v>
          </cell>
          <cell r="F77">
            <v>1009.0499999999995</v>
          </cell>
          <cell r="G77">
            <v>1807.1199999999983</v>
          </cell>
        </row>
        <row r="78">
          <cell r="E78" t="str">
            <v>00307896</v>
          </cell>
          <cell r="F78">
            <v>995.20000000000039</v>
          </cell>
          <cell r="G78">
            <v>5542.199999999998</v>
          </cell>
        </row>
        <row r="79">
          <cell r="E79" t="str">
            <v>00423504</v>
          </cell>
          <cell r="F79">
            <v>970.8400000000006</v>
          </cell>
          <cell r="G79">
            <v>3188.1000000000013</v>
          </cell>
        </row>
        <row r="80">
          <cell r="E80" t="str">
            <v>00728147</v>
          </cell>
          <cell r="F80">
            <v>924.98</v>
          </cell>
          <cell r="G80">
            <v>3963.0800000000008</v>
          </cell>
        </row>
        <row r="81">
          <cell r="E81" t="str">
            <v>00307666</v>
          </cell>
          <cell r="F81">
            <v>924.6</v>
          </cell>
          <cell r="G81">
            <v>1801.0799999999997</v>
          </cell>
        </row>
        <row r="82">
          <cell r="E82" t="str">
            <v>00421701</v>
          </cell>
          <cell r="F82">
            <v>902.46</v>
          </cell>
          <cell r="G82">
            <v>5601.3600000000006</v>
          </cell>
        </row>
        <row r="83">
          <cell r="E83" t="str">
            <v>00306003</v>
          </cell>
          <cell r="F83">
            <v>853.98000000000013</v>
          </cell>
          <cell r="G83">
            <v>1846.7099999999998</v>
          </cell>
        </row>
        <row r="84">
          <cell r="E84" t="str">
            <v>00389449</v>
          </cell>
          <cell r="F84">
            <v>846.67000000000007</v>
          </cell>
          <cell r="G84">
            <v>3628.6800000000003</v>
          </cell>
        </row>
        <row r="85">
          <cell r="E85" t="str">
            <v>00301843</v>
          </cell>
          <cell r="F85">
            <v>831.88</v>
          </cell>
          <cell r="G85">
            <v>255.3</v>
          </cell>
        </row>
        <row r="86">
          <cell r="E86" t="str">
            <v>00852923</v>
          </cell>
          <cell r="F86">
            <v>816.50000000000011</v>
          </cell>
          <cell r="G86">
            <v>1865.5199999999982</v>
          </cell>
        </row>
        <row r="87">
          <cell r="E87" t="str">
            <v>00852424</v>
          </cell>
          <cell r="F87">
            <v>813.2799999999994</v>
          </cell>
          <cell r="G87">
            <v>1840.599999999999</v>
          </cell>
        </row>
        <row r="88">
          <cell r="E88" t="str">
            <v>00301472</v>
          </cell>
          <cell r="F88">
            <v>792</v>
          </cell>
          <cell r="G88">
            <v>3497.3200000000006</v>
          </cell>
        </row>
        <row r="89">
          <cell r="E89" t="str">
            <v>00720462</v>
          </cell>
          <cell r="F89">
            <v>786.8</v>
          </cell>
        </row>
        <row r="90">
          <cell r="E90" t="str">
            <v>00852474</v>
          </cell>
          <cell r="F90">
            <v>760.95000000000073</v>
          </cell>
          <cell r="G90">
            <v>2347.549999999997</v>
          </cell>
        </row>
        <row r="91">
          <cell r="E91" t="str">
            <v>00852916</v>
          </cell>
          <cell r="F91">
            <v>741.09999999999991</v>
          </cell>
          <cell r="G91">
            <v>3078.9699999999934</v>
          </cell>
        </row>
        <row r="92">
          <cell r="E92" t="str">
            <v>00307059</v>
          </cell>
          <cell r="F92">
            <v>730.62</v>
          </cell>
          <cell r="G92">
            <v>7403.17</v>
          </cell>
        </row>
        <row r="93">
          <cell r="E93" t="str">
            <v>00305070</v>
          </cell>
          <cell r="F93">
            <v>728</v>
          </cell>
          <cell r="G93">
            <v>6991.119999999999</v>
          </cell>
        </row>
        <row r="94">
          <cell r="E94" t="str">
            <v>00731831</v>
          </cell>
          <cell r="F94">
            <v>721.28</v>
          </cell>
          <cell r="G94">
            <v>4241.4000000000015</v>
          </cell>
        </row>
        <row r="95">
          <cell r="E95" t="str">
            <v>00423747</v>
          </cell>
          <cell r="F95">
            <v>716.37999999999988</v>
          </cell>
          <cell r="G95">
            <v>1158.83</v>
          </cell>
        </row>
        <row r="96">
          <cell r="E96" t="str">
            <v>00306920</v>
          </cell>
          <cell r="F96">
            <v>703.1700000000003</v>
          </cell>
          <cell r="G96">
            <v>2129.670000000001</v>
          </cell>
        </row>
        <row r="97">
          <cell r="E97" t="str">
            <v>00723493</v>
          </cell>
          <cell r="F97">
            <v>697.50000000000125</v>
          </cell>
          <cell r="G97">
            <v>3122.4599999999928</v>
          </cell>
        </row>
        <row r="98">
          <cell r="E98" t="str">
            <v>00301664</v>
          </cell>
          <cell r="F98">
            <v>694.2600000000001</v>
          </cell>
          <cell r="G98">
            <v>1386.0599999999995</v>
          </cell>
        </row>
        <row r="99">
          <cell r="E99" t="str">
            <v>00301725</v>
          </cell>
          <cell r="F99">
            <v>690.12</v>
          </cell>
          <cell r="G99">
            <v>388.70000000000005</v>
          </cell>
        </row>
        <row r="100">
          <cell r="E100" t="str">
            <v>00301679</v>
          </cell>
          <cell r="F100">
            <v>670.68</v>
          </cell>
          <cell r="G100">
            <v>489.06999999999994</v>
          </cell>
        </row>
        <row r="101">
          <cell r="E101" t="str">
            <v>00423489</v>
          </cell>
          <cell r="F101">
            <v>654.54999999999995</v>
          </cell>
          <cell r="G101">
            <v>2577.6600000000017</v>
          </cell>
        </row>
        <row r="102">
          <cell r="E102" t="str">
            <v>00303394</v>
          </cell>
          <cell r="F102">
            <v>653.80000000000007</v>
          </cell>
          <cell r="G102">
            <v>3229.0399999999954</v>
          </cell>
        </row>
        <row r="103">
          <cell r="E103" t="str">
            <v>00301633</v>
          </cell>
          <cell r="F103">
            <v>646.04999999999995</v>
          </cell>
          <cell r="G103">
            <v>1108.9199999999996</v>
          </cell>
        </row>
        <row r="104">
          <cell r="E104" t="str">
            <v>00423202</v>
          </cell>
          <cell r="F104">
            <v>645.52999999999975</v>
          </cell>
          <cell r="G104">
            <v>4029.0199999999995</v>
          </cell>
        </row>
        <row r="105">
          <cell r="E105" t="str">
            <v>00324717</v>
          </cell>
          <cell r="F105">
            <v>632.1</v>
          </cell>
          <cell r="G105">
            <v>3632.8000000000006</v>
          </cell>
        </row>
        <row r="106">
          <cell r="E106" t="str">
            <v>00728209</v>
          </cell>
          <cell r="F106">
            <v>611.2800000000002</v>
          </cell>
          <cell r="G106">
            <v>1265.29</v>
          </cell>
        </row>
        <row r="107">
          <cell r="E107" t="str">
            <v>00736947</v>
          </cell>
          <cell r="F107">
            <v>587.67999999999972</v>
          </cell>
          <cell r="G107">
            <v>2804.5200000000013</v>
          </cell>
        </row>
        <row r="108">
          <cell r="E108" t="str">
            <v>00301545</v>
          </cell>
          <cell r="F108">
            <v>562.67999999999995</v>
          </cell>
          <cell r="G108">
            <v>375.74</v>
          </cell>
        </row>
        <row r="109">
          <cell r="E109" t="str">
            <v>00726024</v>
          </cell>
          <cell r="F109">
            <v>530.70000000000005</v>
          </cell>
          <cell r="G109">
            <v>1408.2100000000023</v>
          </cell>
        </row>
        <row r="110">
          <cell r="E110" t="str">
            <v>00718417</v>
          </cell>
          <cell r="F110">
            <v>517.91999999999996</v>
          </cell>
          <cell r="G110">
            <v>3580.95</v>
          </cell>
        </row>
        <row r="111">
          <cell r="E111" t="str">
            <v>00852478</v>
          </cell>
          <cell r="F111">
            <v>506.89999999999986</v>
          </cell>
          <cell r="G111">
            <v>1965.1599999999999</v>
          </cell>
        </row>
        <row r="112">
          <cell r="E112" t="str">
            <v>00430610</v>
          </cell>
          <cell r="F112">
            <v>503.15999999999997</v>
          </cell>
          <cell r="G112">
            <v>690.3</v>
          </cell>
        </row>
        <row r="113">
          <cell r="E113" t="str">
            <v>00423491</v>
          </cell>
          <cell r="F113">
            <v>501.6</v>
          </cell>
          <cell r="G113">
            <v>325.60000000000002</v>
          </cell>
        </row>
        <row r="114">
          <cell r="E114" t="str">
            <v>00852409</v>
          </cell>
          <cell r="F114">
            <v>497.30999999999983</v>
          </cell>
          <cell r="G114">
            <v>877.65999999999963</v>
          </cell>
        </row>
        <row r="115">
          <cell r="E115" t="str">
            <v>00681121</v>
          </cell>
          <cell r="F115">
            <v>485.94</v>
          </cell>
          <cell r="G115">
            <v>723.18999999999994</v>
          </cell>
        </row>
        <row r="116">
          <cell r="E116" t="str">
            <v>00681122</v>
          </cell>
          <cell r="F116">
            <v>484.8399999999998</v>
          </cell>
          <cell r="G116">
            <v>497.25999999999993</v>
          </cell>
        </row>
        <row r="117">
          <cell r="E117" t="str">
            <v>00306892</v>
          </cell>
          <cell r="F117">
            <v>475.2</v>
          </cell>
          <cell r="G117">
            <v>246.39999999999992</v>
          </cell>
        </row>
        <row r="118">
          <cell r="E118" t="str">
            <v>00307665</v>
          </cell>
          <cell r="F118">
            <v>466.4</v>
          </cell>
          <cell r="G118">
            <v>114.39999999999999</v>
          </cell>
        </row>
        <row r="119">
          <cell r="E119" t="str">
            <v>00301750</v>
          </cell>
          <cell r="F119">
            <v>460.02</v>
          </cell>
          <cell r="G119">
            <v>394.21</v>
          </cell>
        </row>
        <row r="120">
          <cell r="E120" t="str">
            <v>00852428</v>
          </cell>
          <cell r="F120">
            <v>455.70000000000005</v>
          </cell>
          <cell r="G120">
            <v>3260.0899999999974</v>
          </cell>
        </row>
        <row r="121">
          <cell r="E121" t="str">
            <v>00731361</v>
          </cell>
          <cell r="F121">
            <v>453.88</v>
          </cell>
          <cell r="G121">
            <v>2990.26</v>
          </cell>
        </row>
        <row r="122">
          <cell r="E122" t="str">
            <v>00734926</v>
          </cell>
          <cell r="F122">
            <v>448.8</v>
          </cell>
          <cell r="G122">
            <v>2451.6900000000023</v>
          </cell>
        </row>
        <row r="123">
          <cell r="E123" t="str">
            <v>00301866</v>
          </cell>
          <cell r="F123">
            <v>444.15000000000009</v>
          </cell>
          <cell r="G123">
            <v>5922.0999999999985</v>
          </cell>
        </row>
        <row r="124">
          <cell r="E124" t="str">
            <v>00614857</v>
          </cell>
          <cell r="F124">
            <v>442.17</v>
          </cell>
          <cell r="G124">
            <v>1901.6200000000001</v>
          </cell>
        </row>
        <row r="125">
          <cell r="E125" t="str">
            <v>00301455</v>
          </cell>
          <cell r="F125">
            <v>432.04000000000008</v>
          </cell>
          <cell r="G125">
            <v>1519.5</v>
          </cell>
        </row>
        <row r="126">
          <cell r="E126" t="str">
            <v>00680876</v>
          </cell>
          <cell r="F126">
            <v>425.6600000000002</v>
          </cell>
          <cell r="G126">
            <v>1200.6600000000003</v>
          </cell>
        </row>
        <row r="127">
          <cell r="E127" t="str">
            <v>00852816</v>
          </cell>
          <cell r="F127">
            <v>419.5199999999997</v>
          </cell>
          <cell r="G127">
            <v>2184.9499999999994</v>
          </cell>
        </row>
        <row r="128">
          <cell r="E128" t="str">
            <v>00305069</v>
          </cell>
          <cell r="F128">
            <v>414</v>
          </cell>
          <cell r="G128">
            <v>4308.46</v>
          </cell>
        </row>
        <row r="129">
          <cell r="E129" t="str">
            <v>00306360</v>
          </cell>
          <cell r="F129">
            <v>407.54999999999995</v>
          </cell>
          <cell r="G129">
            <v>831</v>
          </cell>
        </row>
        <row r="130">
          <cell r="E130" t="str">
            <v>00470314</v>
          </cell>
          <cell r="F130">
            <v>401.22</v>
          </cell>
        </row>
        <row r="131">
          <cell r="E131" t="str">
            <v>00852476</v>
          </cell>
          <cell r="F131">
            <v>395.30000000000024</v>
          </cell>
          <cell r="G131">
            <v>1881.5199999999995</v>
          </cell>
        </row>
        <row r="132">
          <cell r="E132" t="str">
            <v>00681187</v>
          </cell>
          <cell r="F132">
            <v>374.40000000000003</v>
          </cell>
        </row>
        <row r="133">
          <cell r="E133" t="str">
            <v>00301678</v>
          </cell>
          <cell r="F133">
            <v>372</v>
          </cell>
          <cell r="G133">
            <v>68.06</v>
          </cell>
        </row>
        <row r="134">
          <cell r="E134" t="str">
            <v>00737313</v>
          </cell>
          <cell r="F134">
            <v>370.30000000000013</v>
          </cell>
          <cell r="G134">
            <v>1262.0299999999997</v>
          </cell>
        </row>
        <row r="135">
          <cell r="E135" t="str">
            <v>00435198</v>
          </cell>
          <cell r="F135">
            <v>368.82</v>
          </cell>
          <cell r="G135">
            <v>734.44999999999993</v>
          </cell>
        </row>
        <row r="136">
          <cell r="E136" t="str">
            <v>00423463</v>
          </cell>
          <cell r="F136">
            <v>366.8</v>
          </cell>
          <cell r="G136">
            <v>233.34999999999997</v>
          </cell>
        </row>
        <row r="137">
          <cell r="E137" t="str">
            <v>00423746</v>
          </cell>
          <cell r="F137">
            <v>358.19</v>
          </cell>
          <cell r="G137">
            <v>820.93999999999983</v>
          </cell>
        </row>
        <row r="138">
          <cell r="E138" t="str">
            <v>00301639</v>
          </cell>
          <cell r="F138">
            <v>355.94</v>
          </cell>
          <cell r="G138">
            <v>39.120000000000005</v>
          </cell>
        </row>
        <row r="139">
          <cell r="E139" t="str">
            <v>00305035</v>
          </cell>
          <cell r="F139">
            <v>350.96</v>
          </cell>
          <cell r="G139">
            <v>1714.9799999999998</v>
          </cell>
        </row>
        <row r="140">
          <cell r="E140" t="str">
            <v>00852920</v>
          </cell>
          <cell r="F140">
            <v>350.90000000000009</v>
          </cell>
          <cell r="G140">
            <v>1166.5699999999988</v>
          </cell>
        </row>
        <row r="141">
          <cell r="E141" t="str">
            <v>00737312</v>
          </cell>
          <cell r="F141">
            <v>343.67999999999995</v>
          </cell>
          <cell r="G141">
            <v>396.24000000000007</v>
          </cell>
        </row>
        <row r="142">
          <cell r="E142" t="str">
            <v>00611475</v>
          </cell>
          <cell r="F142">
            <v>341.04000000000008</v>
          </cell>
          <cell r="G142">
            <v>1692.3400000000015</v>
          </cell>
        </row>
        <row r="143">
          <cell r="E143" t="str">
            <v>00301462</v>
          </cell>
          <cell r="F143">
            <v>338.85999999999996</v>
          </cell>
          <cell r="G143">
            <v>354.33000000000004</v>
          </cell>
        </row>
        <row r="144">
          <cell r="E144" t="str">
            <v>00723095</v>
          </cell>
          <cell r="F144">
            <v>336.04999999999984</v>
          </cell>
          <cell r="G144">
            <v>1119.1000000000001</v>
          </cell>
        </row>
        <row r="145">
          <cell r="E145" t="str">
            <v>00737310</v>
          </cell>
          <cell r="F145">
            <v>331.99999999999989</v>
          </cell>
          <cell r="G145">
            <v>785.24</v>
          </cell>
        </row>
        <row r="146">
          <cell r="E146" t="str">
            <v>00737919</v>
          </cell>
          <cell r="F146">
            <v>331.86</v>
          </cell>
          <cell r="G146">
            <v>1217.3399999999995</v>
          </cell>
        </row>
        <row r="147">
          <cell r="E147" t="str">
            <v>00305067</v>
          </cell>
          <cell r="F147">
            <v>323.47999999999996</v>
          </cell>
          <cell r="G147">
            <v>829.7999999999995</v>
          </cell>
        </row>
        <row r="148">
          <cell r="E148" t="str">
            <v>00423692</v>
          </cell>
          <cell r="F148">
            <v>322.68</v>
          </cell>
          <cell r="G148">
            <v>1078.46</v>
          </cell>
        </row>
        <row r="149">
          <cell r="E149" t="str">
            <v>00852553</v>
          </cell>
          <cell r="F149">
            <v>314.10000000000014</v>
          </cell>
          <cell r="G149">
            <v>1822.5999999999983</v>
          </cell>
        </row>
        <row r="150">
          <cell r="E150" t="str">
            <v>00611461</v>
          </cell>
          <cell r="F150">
            <v>312.08999999999997</v>
          </cell>
          <cell r="G150">
            <v>543.57000000000005</v>
          </cell>
        </row>
        <row r="151">
          <cell r="E151" t="str">
            <v>00386169</v>
          </cell>
          <cell r="F151">
            <v>311.39999999999998</v>
          </cell>
        </row>
        <row r="152">
          <cell r="E152" t="str">
            <v>00681822</v>
          </cell>
          <cell r="F152">
            <v>310.36</v>
          </cell>
        </row>
        <row r="153">
          <cell r="E153" t="str">
            <v>00301695</v>
          </cell>
          <cell r="F153">
            <v>306.32</v>
          </cell>
          <cell r="G153">
            <v>7372.3600000000042</v>
          </cell>
        </row>
        <row r="154">
          <cell r="E154" t="str">
            <v>00305830</v>
          </cell>
          <cell r="F154">
            <v>299.15999999999997</v>
          </cell>
          <cell r="G154">
            <v>1047</v>
          </cell>
        </row>
        <row r="155">
          <cell r="E155" t="str">
            <v>00325104</v>
          </cell>
          <cell r="F155">
            <v>295.56</v>
          </cell>
          <cell r="G155">
            <v>2594.66</v>
          </cell>
        </row>
        <row r="156">
          <cell r="E156" t="str">
            <v>00852812</v>
          </cell>
          <cell r="F156">
            <v>295.03999999999996</v>
          </cell>
          <cell r="G156">
            <v>2367.9100000000003</v>
          </cell>
        </row>
        <row r="157">
          <cell r="E157" t="str">
            <v>00423208</v>
          </cell>
          <cell r="F157">
            <v>294.35000000000002</v>
          </cell>
          <cell r="G157">
            <v>1539.5799999999997</v>
          </cell>
        </row>
        <row r="158">
          <cell r="E158" t="str">
            <v>00301667</v>
          </cell>
          <cell r="F158">
            <v>285.57</v>
          </cell>
          <cell r="G158">
            <v>416.59</v>
          </cell>
        </row>
        <row r="159">
          <cell r="E159" t="str">
            <v>00236117</v>
          </cell>
          <cell r="F159">
            <v>285</v>
          </cell>
        </row>
        <row r="160">
          <cell r="E160" t="str">
            <v>00735642</v>
          </cell>
          <cell r="F160">
            <v>279.3</v>
          </cell>
          <cell r="G160">
            <v>406.28000000000003</v>
          </cell>
        </row>
        <row r="161">
          <cell r="E161" t="str">
            <v>00680646</v>
          </cell>
          <cell r="F161">
            <v>278.56</v>
          </cell>
        </row>
        <row r="162">
          <cell r="E162" t="str">
            <v>00852806</v>
          </cell>
          <cell r="F162">
            <v>277.44</v>
          </cell>
          <cell r="G162">
            <v>411.92</v>
          </cell>
        </row>
        <row r="163">
          <cell r="E163" t="str">
            <v>00305828</v>
          </cell>
          <cell r="F163">
            <v>277.27999999999997</v>
          </cell>
          <cell r="G163">
            <v>3489.0499999999984</v>
          </cell>
        </row>
        <row r="164">
          <cell r="E164" t="str">
            <v>00305041</v>
          </cell>
          <cell r="F164">
            <v>274.50000000000006</v>
          </cell>
          <cell r="G164">
            <v>1746.7700000000013</v>
          </cell>
        </row>
        <row r="165">
          <cell r="E165" t="str">
            <v>00724428</v>
          </cell>
          <cell r="F165">
            <v>273.42</v>
          </cell>
        </row>
        <row r="166">
          <cell r="E166" t="str">
            <v>00447301</v>
          </cell>
          <cell r="F166">
            <v>271.2</v>
          </cell>
          <cell r="G166">
            <v>3513.12</v>
          </cell>
        </row>
        <row r="167">
          <cell r="E167" t="str">
            <v>00852475</v>
          </cell>
          <cell r="F167">
            <v>269.62</v>
          </cell>
          <cell r="G167">
            <v>639.85000000000025</v>
          </cell>
        </row>
        <row r="168">
          <cell r="E168" t="str">
            <v>00473539</v>
          </cell>
          <cell r="F168">
            <v>268.26</v>
          </cell>
        </row>
        <row r="169">
          <cell r="E169" t="str">
            <v>00302180</v>
          </cell>
          <cell r="F169">
            <v>267.14999999999998</v>
          </cell>
          <cell r="G169">
            <v>664.92000000000007</v>
          </cell>
        </row>
        <row r="170">
          <cell r="E170" t="str">
            <v>00306952</v>
          </cell>
          <cell r="F170">
            <v>260.94</v>
          </cell>
          <cell r="G170">
            <v>507.36999999999995</v>
          </cell>
        </row>
        <row r="171">
          <cell r="E171" t="str">
            <v>00423503</v>
          </cell>
          <cell r="F171">
            <v>250.31999999999994</v>
          </cell>
          <cell r="G171">
            <v>678.70999999999992</v>
          </cell>
        </row>
        <row r="172">
          <cell r="E172" t="str">
            <v>00302178</v>
          </cell>
          <cell r="F172">
            <v>249.34</v>
          </cell>
          <cell r="G172">
            <v>931.71999999999991</v>
          </cell>
        </row>
        <row r="173">
          <cell r="E173" t="str">
            <v>00301958</v>
          </cell>
          <cell r="F173">
            <v>248.39999999999998</v>
          </cell>
          <cell r="G173">
            <v>383.4</v>
          </cell>
        </row>
        <row r="174">
          <cell r="E174" t="str">
            <v>00301468</v>
          </cell>
          <cell r="F174">
            <v>247.5</v>
          </cell>
          <cell r="G174">
            <v>429.04</v>
          </cell>
        </row>
        <row r="175">
          <cell r="E175" t="str">
            <v>00305967</v>
          </cell>
          <cell r="F175">
            <v>246</v>
          </cell>
          <cell r="G175">
            <v>143.37</v>
          </cell>
        </row>
        <row r="176">
          <cell r="E176" t="str">
            <v>00611464</v>
          </cell>
          <cell r="F176">
            <v>239.3600000000001</v>
          </cell>
          <cell r="G176">
            <v>2209.709999999995</v>
          </cell>
        </row>
        <row r="177">
          <cell r="E177" t="str">
            <v>00852818</v>
          </cell>
          <cell r="F177">
            <v>238.70999999999992</v>
          </cell>
          <cell r="G177">
            <v>929.33999999999901</v>
          </cell>
        </row>
        <row r="178">
          <cell r="E178" t="str">
            <v>00611477</v>
          </cell>
          <cell r="F178">
            <v>237.79999999999998</v>
          </cell>
          <cell r="G178">
            <v>1835.7800000000009</v>
          </cell>
        </row>
        <row r="179">
          <cell r="E179" t="str">
            <v>00724427</v>
          </cell>
          <cell r="F179">
            <v>235.8</v>
          </cell>
          <cell r="G179">
            <v>455.88</v>
          </cell>
        </row>
        <row r="180">
          <cell r="E180" t="str">
            <v>00732196</v>
          </cell>
          <cell r="F180">
            <v>234.77999999999997</v>
          </cell>
          <cell r="G180">
            <v>538.5</v>
          </cell>
        </row>
        <row r="181">
          <cell r="E181" t="str">
            <v>00728163</v>
          </cell>
          <cell r="F181">
            <v>233.52000000000007</v>
          </cell>
          <cell r="G181">
            <v>898.68000000000086</v>
          </cell>
        </row>
        <row r="182">
          <cell r="E182" t="str">
            <v>00734825</v>
          </cell>
          <cell r="F182">
            <v>227.54999999999998</v>
          </cell>
          <cell r="G182">
            <v>934.82</v>
          </cell>
        </row>
        <row r="183">
          <cell r="E183" t="str">
            <v>00423496</v>
          </cell>
          <cell r="F183">
            <v>218.56</v>
          </cell>
          <cell r="G183">
            <v>461.09999999999997</v>
          </cell>
        </row>
        <row r="184">
          <cell r="E184" t="str">
            <v>00306918</v>
          </cell>
          <cell r="F184">
            <v>214.55999999999997</v>
          </cell>
          <cell r="G184">
            <v>655.60000000000025</v>
          </cell>
        </row>
        <row r="185">
          <cell r="E185" t="str">
            <v>00720463</v>
          </cell>
          <cell r="F185">
            <v>213</v>
          </cell>
        </row>
        <row r="186">
          <cell r="E186" t="str">
            <v>00682319</v>
          </cell>
          <cell r="F186">
            <v>212.75999999999996</v>
          </cell>
          <cell r="G186">
            <v>1111.0299999999993</v>
          </cell>
        </row>
        <row r="187">
          <cell r="E187" t="str">
            <v>00470313</v>
          </cell>
          <cell r="F187">
            <v>211.02</v>
          </cell>
          <cell r="G187">
            <v>0</v>
          </cell>
        </row>
        <row r="188">
          <cell r="E188" t="str">
            <v>00305447</v>
          </cell>
          <cell r="F188">
            <v>210</v>
          </cell>
          <cell r="G188">
            <v>87.96</v>
          </cell>
        </row>
        <row r="189">
          <cell r="E189" t="str">
            <v>00615244</v>
          </cell>
          <cell r="F189">
            <v>204.3</v>
          </cell>
          <cell r="G189">
            <v>518.51999999999964</v>
          </cell>
        </row>
        <row r="190">
          <cell r="E190" t="str">
            <v>00301483</v>
          </cell>
          <cell r="F190">
            <v>202.3</v>
          </cell>
          <cell r="G190">
            <v>226.10000000000002</v>
          </cell>
        </row>
        <row r="191">
          <cell r="E191" t="str">
            <v>00737935</v>
          </cell>
          <cell r="F191">
            <v>201.96</v>
          </cell>
          <cell r="G191">
            <v>591.29</v>
          </cell>
        </row>
        <row r="192">
          <cell r="E192" t="str">
            <v>00611174</v>
          </cell>
          <cell r="F192">
            <v>198.56</v>
          </cell>
        </row>
        <row r="193">
          <cell r="E193" t="str">
            <v>00325105</v>
          </cell>
          <cell r="F193">
            <v>197.04</v>
          </cell>
          <cell r="G193">
            <v>2165.92</v>
          </cell>
        </row>
        <row r="194">
          <cell r="E194" t="str">
            <v>00718458</v>
          </cell>
          <cell r="F194">
            <v>195.25</v>
          </cell>
          <cell r="G194">
            <v>1373.6</v>
          </cell>
        </row>
        <row r="195">
          <cell r="E195" t="str">
            <v>00301998</v>
          </cell>
          <cell r="F195">
            <v>192.96</v>
          </cell>
          <cell r="G195">
            <v>277.95</v>
          </cell>
        </row>
        <row r="196">
          <cell r="E196" t="str">
            <v>00723486</v>
          </cell>
          <cell r="F196">
            <v>191.88999999999996</v>
          </cell>
          <cell r="G196">
            <v>1088.4900000000007</v>
          </cell>
        </row>
        <row r="197">
          <cell r="E197" t="str">
            <v>00423621</v>
          </cell>
          <cell r="F197">
            <v>188.1</v>
          </cell>
          <cell r="G197">
            <v>96</v>
          </cell>
        </row>
        <row r="198">
          <cell r="E198" t="str">
            <v>00730997</v>
          </cell>
          <cell r="F198">
            <v>186.8</v>
          </cell>
          <cell r="G198">
            <v>164.96</v>
          </cell>
        </row>
        <row r="199">
          <cell r="E199" t="str">
            <v>00728115</v>
          </cell>
          <cell r="F199">
            <v>186.43</v>
          </cell>
          <cell r="G199">
            <v>134.42000000000002</v>
          </cell>
        </row>
        <row r="200">
          <cell r="E200" t="str">
            <v>00722129</v>
          </cell>
          <cell r="F200">
            <v>182.58000000000004</v>
          </cell>
          <cell r="G200">
            <v>661.66</v>
          </cell>
        </row>
        <row r="201">
          <cell r="E201" t="str">
            <v>00681821</v>
          </cell>
          <cell r="F201">
            <v>179.57</v>
          </cell>
        </row>
        <row r="202">
          <cell r="E202" t="str">
            <v>00649579</v>
          </cell>
          <cell r="F202">
            <v>178.5</v>
          </cell>
          <cell r="G202">
            <v>1487.5</v>
          </cell>
        </row>
        <row r="203">
          <cell r="E203" t="str">
            <v>00615365</v>
          </cell>
          <cell r="F203">
            <v>176.66</v>
          </cell>
          <cell r="G203">
            <v>212.35</v>
          </cell>
        </row>
        <row r="204">
          <cell r="E204" t="str">
            <v>00611460</v>
          </cell>
          <cell r="F204">
            <v>176.20999999999995</v>
          </cell>
          <cell r="G204">
            <v>378.42999999999984</v>
          </cell>
        </row>
        <row r="205">
          <cell r="E205" t="str">
            <v>00307976</v>
          </cell>
          <cell r="F205">
            <v>175.01</v>
          </cell>
          <cell r="G205">
            <v>1420.4400000000005</v>
          </cell>
        </row>
        <row r="206">
          <cell r="E206" t="str">
            <v>00852427</v>
          </cell>
          <cell r="F206">
            <v>172.32000000000002</v>
          </cell>
          <cell r="G206">
            <v>117.07000000000001</v>
          </cell>
        </row>
        <row r="207">
          <cell r="E207" t="str">
            <v>00301688</v>
          </cell>
          <cell r="F207">
            <v>170.45000000000002</v>
          </cell>
          <cell r="G207">
            <v>1973.5499999999997</v>
          </cell>
        </row>
        <row r="208">
          <cell r="E208" t="str">
            <v>00307895</v>
          </cell>
          <cell r="F208">
            <v>168.03</v>
          </cell>
          <cell r="G208">
            <v>1264.5699999999997</v>
          </cell>
        </row>
        <row r="209">
          <cell r="E209" t="str">
            <v>00852471</v>
          </cell>
          <cell r="F209">
            <v>166.31999999999996</v>
          </cell>
          <cell r="G209">
            <v>1397.649999999999</v>
          </cell>
        </row>
        <row r="210">
          <cell r="E210" t="str">
            <v>00305063</v>
          </cell>
          <cell r="F210">
            <v>165.76</v>
          </cell>
          <cell r="G210">
            <v>1790.2299999999996</v>
          </cell>
        </row>
        <row r="211">
          <cell r="E211" t="str">
            <v>00734925</v>
          </cell>
          <cell r="F211">
            <v>165.25</v>
          </cell>
          <cell r="G211">
            <v>860.66000000000054</v>
          </cell>
        </row>
        <row r="212">
          <cell r="E212" t="str">
            <v>00301865</v>
          </cell>
          <cell r="F212">
            <v>159.49</v>
          </cell>
          <cell r="G212">
            <v>153.88999999999999</v>
          </cell>
        </row>
        <row r="213">
          <cell r="E213" t="str">
            <v>00852429</v>
          </cell>
          <cell r="F213">
            <v>156.10000000000002</v>
          </cell>
          <cell r="G213">
            <v>990.91000000000008</v>
          </cell>
        </row>
        <row r="214">
          <cell r="E214" t="str">
            <v>00303709</v>
          </cell>
          <cell r="F214">
            <v>156</v>
          </cell>
          <cell r="G214">
            <v>410.06</v>
          </cell>
        </row>
        <row r="215">
          <cell r="E215" t="str">
            <v>00301668</v>
          </cell>
          <cell r="F215">
            <v>154.14000000000001</v>
          </cell>
          <cell r="G215">
            <v>1306.52</v>
          </cell>
        </row>
        <row r="216">
          <cell r="E216" t="str">
            <v>00301691</v>
          </cell>
          <cell r="F216">
            <v>153.16</v>
          </cell>
          <cell r="G216">
            <v>2164.7800000000007</v>
          </cell>
        </row>
        <row r="217">
          <cell r="E217" t="str">
            <v>00852653</v>
          </cell>
          <cell r="F217">
            <v>152.6</v>
          </cell>
          <cell r="G217">
            <v>1318.5099999999998</v>
          </cell>
        </row>
        <row r="218">
          <cell r="E218" t="str">
            <v>00728161</v>
          </cell>
          <cell r="F218">
            <v>151.78</v>
          </cell>
          <cell r="G218">
            <v>726.67</v>
          </cell>
        </row>
        <row r="219">
          <cell r="E219" t="str">
            <v>00680177</v>
          </cell>
          <cell r="F219">
            <v>151.35000000000002</v>
          </cell>
          <cell r="G219">
            <v>353.24</v>
          </cell>
        </row>
        <row r="220">
          <cell r="E220" t="str">
            <v>00423259</v>
          </cell>
          <cell r="F220">
            <v>150.24</v>
          </cell>
          <cell r="G220">
            <v>1341.3899999999999</v>
          </cell>
        </row>
        <row r="221">
          <cell r="E221" t="str">
            <v>00219208</v>
          </cell>
          <cell r="F221">
            <v>150</v>
          </cell>
        </row>
        <row r="222">
          <cell r="E222" t="str">
            <v>00305831</v>
          </cell>
          <cell r="F222">
            <v>149.1</v>
          </cell>
          <cell r="G222">
            <v>2369.1099999999997</v>
          </cell>
        </row>
        <row r="223">
          <cell r="E223" t="str">
            <v>00435197</v>
          </cell>
          <cell r="F223">
            <v>147.35999999999999</v>
          </cell>
          <cell r="G223">
            <v>349.98</v>
          </cell>
        </row>
        <row r="224">
          <cell r="E224" t="str">
            <v>00308459</v>
          </cell>
          <cell r="F224">
            <v>145.41999999999999</v>
          </cell>
          <cell r="G224">
            <v>2633.73</v>
          </cell>
        </row>
        <row r="225">
          <cell r="E225" t="str">
            <v>00447548</v>
          </cell>
          <cell r="F225">
            <v>144</v>
          </cell>
          <cell r="G225">
            <v>267.60000000000002</v>
          </cell>
        </row>
        <row r="226">
          <cell r="E226" t="str">
            <v>00305030</v>
          </cell>
          <cell r="F226">
            <v>139.9</v>
          </cell>
          <cell r="G226">
            <v>850.84</v>
          </cell>
        </row>
        <row r="227">
          <cell r="E227" t="str">
            <v>00721524</v>
          </cell>
          <cell r="F227">
            <v>137.94</v>
          </cell>
        </row>
        <row r="228">
          <cell r="E228" t="str">
            <v>00302007</v>
          </cell>
          <cell r="F228">
            <v>137.52000000000001</v>
          </cell>
          <cell r="G228">
            <v>1248.81</v>
          </cell>
        </row>
        <row r="229">
          <cell r="E229" t="str">
            <v>00301717</v>
          </cell>
          <cell r="F229">
            <v>136</v>
          </cell>
          <cell r="G229">
            <v>565.05999999999995</v>
          </cell>
        </row>
        <row r="230">
          <cell r="E230" t="str">
            <v>00728160</v>
          </cell>
          <cell r="F230">
            <v>135.66000000000003</v>
          </cell>
          <cell r="G230">
            <v>595.06999999999982</v>
          </cell>
        </row>
        <row r="231">
          <cell r="E231" t="str">
            <v>00473519</v>
          </cell>
          <cell r="F231">
            <v>134.13</v>
          </cell>
          <cell r="G231">
            <v>52.17</v>
          </cell>
        </row>
        <row r="232">
          <cell r="E232" t="str">
            <v>00423469</v>
          </cell>
          <cell r="F232">
            <v>133.38</v>
          </cell>
          <cell r="G232">
            <v>949.74000000000046</v>
          </cell>
        </row>
        <row r="233">
          <cell r="E233" t="str">
            <v>00852422</v>
          </cell>
          <cell r="F233">
            <v>132.20000000000002</v>
          </cell>
          <cell r="G233">
            <v>754.52000000000066</v>
          </cell>
        </row>
        <row r="234">
          <cell r="E234" t="str">
            <v>00852822</v>
          </cell>
          <cell r="F234">
            <v>131.12</v>
          </cell>
          <cell r="G234">
            <v>1142.1300000000001</v>
          </cell>
        </row>
        <row r="235">
          <cell r="E235" t="str">
            <v>00737318</v>
          </cell>
          <cell r="F235">
            <v>130.56</v>
          </cell>
          <cell r="G235">
            <v>156.56</v>
          </cell>
        </row>
        <row r="236">
          <cell r="E236" t="str">
            <v>00423614</v>
          </cell>
          <cell r="F236">
            <v>129.5</v>
          </cell>
          <cell r="G236">
            <v>674.6</v>
          </cell>
        </row>
        <row r="237">
          <cell r="E237" t="str">
            <v>00736407</v>
          </cell>
          <cell r="F237">
            <v>128.72</v>
          </cell>
          <cell r="G237">
            <v>113.58</v>
          </cell>
        </row>
        <row r="238">
          <cell r="E238" t="str">
            <v>00264565</v>
          </cell>
          <cell r="F238">
            <v>127.6</v>
          </cell>
          <cell r="G238">
            <v>2045.3800000000006</v>
          </cell>
        </row>
        <row r="239">
          <cell r="E239" t="str">
            <v>00738112</v>
          </cell>
          <cell r="F239">
            <v>127.29999999999995</v>
          </cell>
          <cell r="G239">
            <v>225.98000000000002</v>
          </cell>
        </row>
        <row r="240">
          <cell r="E240" t="str">
            <v>00307975</v>
          </cell>
          <cell r="F240">
            <v>126.89999999999999</v>
          </cell>
          <cell r="G240">
            <v>281.70999999999998</v>
          </cell>
        </row>
        <row r="241">
          <cell r="E241" t="str">
            <v>00423748</v>
          </cell>
          <cell r="F241">
            <v>126.42</v>
          </cell>
          <cell r="G241">
            <v>569</v>
          </cell>
        </row>
        <row r="242">
          <cell r="E242" t="str">
            <v>00852821</v>
          </cell>
          <cell r="F242">
            <v>123.35999999999999</v>
          </cell>
          <cell r="G242">
            <v>1571.3399999999997</v>
          </cell>
        </row>
        <row r="243">
          <cell r="E243" t="str">
            <v>00738714</v>
          </cell>
          <cell r="F243">
            <v>122.15</v>
          </cell>
        </row>
        <row r="244">
          <cell r="E244" t="str">
            <v>00728210</v>
          </cell>
          <cell r="F244">
            <v>122.03</v>
          </cell>
          <cell r="G244">
            <v>513.59999999999991</v>
          </cell>
        </row>
        <row r="245">
          <cell r="E245" t="str">
            <v>00308406</v>
          </cell>
          <cell r="F245">
            <v>119.56</v>
          </cell>
          <cell r="G245">
            <v>2921.79</v>
          </cell>
        </row>
        <row r="246">
          <cell r="E246" t="str">
            <v>00301848</v>
          </cell>
          <cell r="F246">
            <v>118.80000000000001</v>
          </cell>
          <cell r="G246">
            <v>1317.82</v>
          </cell>
        </row>
        <row r="247">
          <cell r="E247" t="str">
            <v>00423528</v>
          </cell>
          <cell r="F247">
            <v>116.27999999999999</v>
          </cell>
          <cell r="G247">
            <v>62.109999999999992</v>
          </cell>
        </row>
        <row r="248">
          <cell r="E248" t="str">
            <v>00264621</v>
          </cell>
          <cell r="F248">
            <v>115.85999999999999</v>
          </cell>
          <cell r="G248">
            <v>1112.82</v>
          </cell>
        </row>
        <row r="249">
          <cell r="E249" t="str">
            <v>00611395</v>
          </cell>
          <cell r="F249">
            <v>112.84</v>
          </cell>
          <cell r="G249">
            <v>8.06</v>
          </cell>
        </row>
        <row r="250">
          <cell r="E250" t="str">
            <v>00423495</v>
          </cell>
          <cell r="F250">
            <v>112.02000000000001</v>
          </cell>
          <cell r="G250">
            <v>224.04000000000005</v>
          </cell>
        </row>
        <row r="251">
          <cell r="E251" t="str">
            <v>00389448</v>
          </cell>
          <cell r="F251">
            <v>111.46000000000001</v>
          </cell>
          <cell r="G251">
            <v>762.61999999999989</v>
          </cell>
        </row>
        <row r="252">
          <cell r="E252" t="str">
            <v>00853475</v>
          </cell>
          <cell r="F252">
            <v>110.18</v>
          </cell>
          <cell r="G252">
            <v>131.46</v>
          </cell>
        </row>
        <row r="253">
          <cell r="E253" t="str">
            <v>00301838</v>
          </cell>
          <cell r="F253">
            <v>107.41</v>
          </cell>
          <cell r="G253">
            <v>464.87999999999994</v>
          </cell>
        </row>
        <row r="254">
          <cell r="E254" t="str">
            <v>00424076</v>
          </cell>
          <cell r="F254">
            <v>107.08999999999999</v>
          </cell>
          <cell r="G254">
            <v>506.66999999999996</v>
          </cell>
        </row>
        <row r="255">
          <cell r="E255" t="str">
            <v>00718704</v>
          </cell>
          <cell r="F255">
            <v>106.46999999999998</v>
          </cell>
          <cell r="G255">
            <v>314.62000000000012</v>
          </cell>
        </row>
        <row r="256">
          <cell r="E256" t="str">
            <v>00727842</v>
          </cell>
          <cell r="F256">
            <v>106.08</v>
          </cell>
          <cell r="G256">
            <v>487.36</v>
          </cell>
        </row>
        <row r="257">
          <cell r="E257" t="str">
            <v>00615328</v>
          </cell>
          <cell r="F257">
            <v>105.75</v>
          </cell>
          <cell r="G257">
            <v>85.320000000000007</v>
          </cell>
        </row>
        <row r="258">
          <cell r="E258" t="str">
            <v>00718565</v>
          </cell>
          <cell r="F258">
            <v>105.18999999999998</v>
          </cell>
          <cell r="G258">
            <v>636.98000000000025</v>
          </cell>
        </row>
        <row r="259">
          <cell r="E259" t="str">
            <v>00852404</v>
          </cell>
          <cell r="F259">
            <v>105</v>
          </cell>
          <cell r="G259">
            <v>389.98</v>
          </cell>
        </row>
        <row r="260">
          <cell r="E260" t="str">
            <v>00852829</v>
          </cell>
          <cell r="F260">
            <v>103.91999999999997</v>
          </cell>
          <cell r="G260">
            <v>464.8700000000004</v>
          </cell>
        </row>
        <row r="261">
          <cell r="E261" t="str">
            <v>00852805</v>
          </cell>
          <cell r="F261">
            <v>103.32000000000002</v>
          </cell>
          <cell r="G261">
            <v>547.10000000000025</v>
          </cell>
        </row>
        <row r="262">
          <cell r="E262" t="str">
            <v>00608175</v>
          </cell>
          <cell r="F262">
            <v>103.27000000000002</v>
          </cell>
          <cell r="G262">
            <v>540.05000000000052</v>
          </cell>
        </row>
        <row r="263">
          <cell r="E263" t="str">
            <v>00852801</v>
          </cell>
          <cell r="F263">
            <v>101.84000000000003</v>
          </cell>
          <cell r="G263">
            <v>483.02000000000004</v>
          </cell>
        </row>
        <row r="264">
          <cell r="E264" t="str">
            <v>00680182</v>
          </cell>
          <cell r="F264">
            <v>100.24000000000001</v>
          </cell>
          <cell r="G264">
            <v>7.16</v>
          </cell>
        </row>
        <row r="265">
          <cell r="E265" t="str">
            <v>00400003</v>
          </cell>
          <cell r="F265">
            <v>100</v>
          </cell>
        </row>
        <row r="266">
          <cell r="E266" t="str">
            <v>00734786</v>
          </cell>
          <cell r="F266">
            <v>99.77</v>
          </cell>
          <cell r="G266">
            <v>231.51999999999998</v>
          </cell>
        </row>
        <row r="267">
          <cell r="E267" t="str">
            <v>00308408</v>
          </cell>
          <cell r="F267">
            <v>98.2</v>
          </cell>
          <cell r="G267">
            <v>858.24000000000024</v>
          </cell>
        </row>
        <row r="268">
          <cell r="E268" t="str">
            <v>00852798</v>
          </cell>
          <cell r="F268">
            <v>97.840000000000032</v>
          </cell>
          <cell r="G268">
            <v>574.38000000000022</v>
          </cell>
        </row>
        <row r="269">
          <cell r="E269" t="str">
            <v>00614869</v>
          </cell>
          <cell r="F269">
            <v>97.699999999999989</v>
          </cell>
          <cell r="G269">
            <v>280.81</v>
          </cell>
        </row>
        <row r="270">
          <cell r="E270" t="str">
            <v>00301803</v>
          </cell>
          <cell r="F270">
            <v>96.56</v>
          </cell>
        </row>
        <row r="271">
          <cell r="E271" t="str">
            <v>00611473</v>
          </cell>
          <cell r="F271">
            <v>96.06</v>
          </cell>
          <cell r="G271">
            <v>579.28999999999985</v>
          </cell>
        </row>
        <row r="272">
          <cell r="E272" t="str">
            <v>00447549</v>
          </cell>
          <cell r="F272">
            <v>96</v>
          </cell>
          <cell r="G272">
            <v>72</v>
          </cell>
        </row>
        <row r="273">
          <cell r="E273" t="str">
            <v>00852922</v>
          </cell>
          <cell r="F273">
            <v>95.710000000000008</v>
          </cell>
          <cell r="G273">
            <v>396.28999999999996</v>
          </cell>
        </row>
        <row r="274">
          <cell r="E274" t="str">
            <v>00611478</v>
          </cell>
          <cell r="F274">
            <v>94.88</v>
          </cell>
          <cell r="G274">
            <v>1607.5300000000011</v>
          </cell>
        </row>
        <row r="275">
          <cell r="E275" t="str">
            <v>00307553</v>
          </cell>
          <cell r="F275">
            <v>94.679999999999993</v>
          </cell>
          <cell r="G275">
            <v>340.47999999999996</v>
          </cell>
        </row>
        <row r="276">
          <cell r="E276" t="str">
            <v>00306897</v>
          </cell>
          <cell r="F276">
            <v>93.300000000000011</v>
          </cell>
          <cell r="G276">
            <v>1108.2000000000003</v>
          </cell>
        </row>
        <row r="277">
          <cell r="E277" t="str">
            <v>00852405</v>
          </cell>
          <cell r="F277">
            <v>91.680000000000035</v>
          </cell>
          <cell r="G277">
            <v>514.67000000000041</v>
          </cell>
        </row>
        <row r="278">
          <cell r="E278" t="str">
            <v>00633369</v>
          </cell>
          <cell r="F278">
            <v>90.88000000000001</v>
          </cell>
          <cell r="G278">
            <v>667.61000000000024</v>
          </cell>
        </row>
        <row r="279">
          <cell r="E279" t="str">
            <v>00301734</v>
          </cell>
          <cell r="F279">
            <v>90</v>
          </cell>
          <cell r="G279">
            <v>2659.6399999999994</v>
          </cell>
        </row>
        <row r="280">
          <cell r="E280" t="str">
            <v>00301745</v>
          </cell>
          <cell r="F280">
            <v>90</v>
          </cell>
          <cell r="G280">
            <v>1592.1599999999999</v>
          </cell>
        </row>
        <row r="281">
          <cell r="E281" t="str">
            <v>00720265</v>
          </cell>
          <cell r="F281">
            <v>89.550000000000011</v>
          </cell>
          <cell r="G281">
            <v>1297.8199999999995</v>
          </cell>
        </row>
        <row r="282">
          <cell r="E282" t="str">
            <v>00611474</v>
          </cell>
          <cell r="F282">
            <v>88.500000000000014</v>
          </cell>
          <cell r="G282">
            <v>557.48000000000013</v>
          </cell>
        </row>
        <row r="283">
          <cell r="E283" t="str">
            <v>00611385</v>
          </cell>
          <cell r="F283">
            <v>87.66</v>
          </cell>
          <cell r="G283">
            <v>99.359999999999985</v>
          </cell>
        </row>
        <row r="284">
          <cell r="E284" t="str">
            <v>00734980</v>
          </cell>
          <cell r="F284">
            <v>87.6</v>
          </cell>
          <cell r="G284">
            <v>358.81999999999994</v>
          </cell>
        </row>
        <row r="285">
          <cell r="E285" t="str">
            <v>00852555</v>
          </cell>
          <cell r="F285">
            <v>86.28</v>
          </cell>
          <cell r="G285">
            <v>381.06999999999994</v>
          </cell>
        </row>
        <row r="286">
          <cell r="E286" t="str">
            <v>00727681</v>
          </cell>
          <cell r="F286">
            <v>85.26</v>
          </cell>
          <cell r="G286">
            <v>14.21</v>
          </cell>
        </row>
        <row r="287">
          <cell r="E287" t="str">
            <v>00633577</v>
          </cell>
          <cell r="F287">
            <v>84</v>
          </cell>
          <cell r="G287">
            <v>56</v>
          </cell>
        </row>
        <row r="288">
          <cell r="E288" t="str">
            <v>00307894</v>
          </cell>
          <cell r="F288">
            <v>83.44</v>
          </cell>
          <cell r="G288">
            <v>690.63</v>
          </cell>
        </row>
        <row r="289">
          <cell r="E289" t="str">
            <v>00852915</v>
          </cell>
          <cell r="F289">
            <v>83.399999999999991</v>
          </cell>
          <cell r="G289">
            <v>207.16</v>
          </cell>
        </row>
        <row r="290">
          <cell r="E290" t="str">
            <v>00680921</v>
          </cell>
          <cell r="F290">
            <v>83.13</v>
          </cell>
          <cell r="G290">
            <v>560.52</v>
          </cell>
        </row>
        <row r="291">
          <cell r="E291" t="str">
            <v>00301943</v>
          </cell>
          <cell r="F291">
            <v>82.800000000000011</v>
          </cell>
          <cell r="G291">
            <v>375.20000000000005</v>
          </cell>
        </row>
        <row r="292">
          <cell r="E292" t="str">
            <v>00852819</v>
          </cell>
          <cell r="F292">
            <v>82.679999999999993</v>
          </cell>
          <cell r="G292">
            <v>488.5</v>
          </cell>
        </row>
        <row r="293">
          <cell r="E293" t="str">
            <v>00423683</v>
          </cell>
          <cell r="F293">
            <v>82.220000000000013</v>
          </cell>
          <cell r="G293">
            <v>729.54</v>
          </cell>
        </row>
        <row r="294">
          <cell r="E294" t="str">
            <v>00954103</v>
          </cell>
          <cell r="F294">
            <v>80.460000000000008</v>
          </cell>
          <cell r="G294">
            <v>263.13999999999982</v>
          </cell>
        </row>
        <row r="295">
          <cell r="E295" t="str">
            <v>00300630</v>
          </cell>
          <cell r="F295">
            <v>80.42</v>
          </cell>
          <cell r="G295">
            <v>80.42</v>
          </cell>
        </row>
        <row r="296">
          <cell r="E296" t="str">
            <v>00680303</v>
          </cell>
          <cell r="F296">
            <v>80</v>
          </cell>
        </row>
        <row r="297">
          <cell r="E297" t="str">
            <v>00722130</v>
          </cell>
          <cell r="F297">
            <v>79.589999999999932</v>
          </cell>
          <cell r="G297">
            <v>153.63999999999999</v>
          </cell>
        </row>
        <row r="298">
          <cell r="E298" t="str">
            <v>00852817</v>
          </cell>
          <cell r="F298">
            <v>77.999999999999986</v>
          </cell>
          <cell r="G298">
            <v>498.43999999999994</v>
          </cell>
        </row>
        <row r="299">
          <cell r="E299" t="str">
            <v>00611386</v>
          </cell>
          <cell r="F299">
            <v>77.8</v>
          </cell>
          <cell r="G299">
            <v>142.36000000000001</v>
          </cell>
        </row>
        <row r="300">
          <cell r="E300" t="str">
            <v>00611825</v>
          </cell>
          <cell r="F300">
            <v>77.13</v>
          </cell>
        </row>
        <row r="301">
          <cell r="E301" t="str">
            <v>00618226</v>
          </cell>
          <cell r="F301">
            <v>76.680000000000007</v>
          </cell>
          <cell r="G301">
            <v>207.31</v>
          </cell>
        </row>
        <row r="302">
          <cell r="E302" t="str">
            <v>00301845</v>
          </cell>
          <cell r="F302">
            <v>76.59</v>
          </cell>
          <cell r="G302">
            <v>153.18</v>
          </cell>
        </row>
        <row r="303">
          <cell r="E303" t="str">
            <v>00680387</v>
          </cell>
          <cell r="F303">
            <v>76.16</v>
          </cell>
          <cell r="G303">
            <v>23.36</v>
          </cell>
        </row>
        <row r="304">
          <cell r="E304" t="str">
            <v>00853077</v>
          </cell>
          <cell r="F304">
            <v>73.999999999999986</v>
          </cell>
          <cell r="G304">
            <v>32.200000000000003</v>
          </cell>
        </row>
        <row r="305">
          <cell r="E305" t="str">
            <v>00305036</v>
          </cell>
          <cell r="F305">
            <v>73.95</v>
          </cell>
          <cell r="G305">
            <v>128.41</v>
          </cell>
        </row>
        <row r="306">
          <cell r="E306" t="str">
            <v>00300400</v>
          </cell>
          <cell r="F306">
            <v>72.63</v>
          </cell>
          <cell r="G306">
            <v>479.68000000000006</v>
          </cell>
        </row>
        <row r="307">
          <cell r="E307" t="str">
            <v>00423380</v>
          </cell>
          <cell r="F307">
            <v>72.319999999999993</v>
          </cell>
          <cell r="G307">
            <v>778.26999999999975</v>
          </cell>
        </row>
        <row r="308">
          <cell r="E308" t="str">
            <v>00631525</v>
          </cell>
          <cell r="F308">
            <v>71.7</v>
          </cell>
          <cell r="G308">
            <v>71.7</v>
          </cell>
        </row>
        <row r="309">
          <cell r="E309" t="str">
            <v>00305037</v>
          </cell>
          <cell r="F309">
            <v>71.650000000000006</v>
          </cell>
          <cell r="G309">
            <v>272.27000000000004</v>
          </cell>
        </row>
        <row r="310">
          <cell r="E310" t="str">
            <v>00423488</v>
          </cell>
          <cell r="F310">
            <v>71.12</v>
          </cell>
          <cell r="G310">
            <v>723.07999999999913</v>
          </cell>
        </row>
        <row r="311">
          <cell r="E311" t="str">
            <v>00723476</v>
          </cell>
          <cell r="F311">
            <v>69.84</v>
          </cell>
          <cell r="G311">
            <v>154.76</v>
          </cell>
        </row>
        <row r="312">
          <cell r="E312" t="str">
            <v>00424017</v>
          </cell>
          <cell r="F312">
            <v>69.599999999999994</v>
          </cell>
          <cell r="G312">
            <v>238.17000000000007</v>
          </cell>
        </row>
        <row r="313">
          <cell r="E313" t="str">
            <v>00305823</v>
          </cell>
          <cell r="F313">
            <v>69.02</v>
          </cell>
          <cell r="G313">
            <v>1196.5099999999998</v>
          </cell>
        </row>
        <row r="314">
          <cell r="E314" t="str">
            <v>00302008</v>
          </cell>
          <cell r="F314">
            <v>66.95</v>
          </cell>
          <cell r="G314">
            <v>550.45000000000005</v>
          </cell>
        </row>
        <row r="315">
          <cell r="E315" t="str">
            <v>00739805</v>
          </cell>
          <cell r="F315">
            <v>66.12</v>
          </cell>
          <cell r="G315">
            <v>318.68</v>
          </cell>
        </row>
        <row r="316">
          <cell r="E316" t="str">
            <v>00301992</v>
          </cell>
          <cell r="F316">
            <v>64.320000000000007</v>
          </cell>
          <cell r="G316">
            <v>156.44</v>
          </cell>
        </row>
        <row r="317">
          <cell r="E317" t="str">
            <v>00728164</v>
          </cell>
          <cell r="F317">
            <v>63.72</v>
          </cell>
          <cell r="G317">
            <v>280.85000000000002</v>
          </cell>
        </row>
        <row r="318">
          <cell r="E318" t="str">
            <v>00301851</v>
          </cell>
          <cell r="F318">
            <v>63.64</v>
          </cell>
          <cell r="G318">
            <v>205.98999999999998</v>
          </cell>
        </row>
        <row r="319">
          <cell r="E319" t="str">
            <v>00423754</v>
          </cell>
          <cell r="F319">
            <v>63.21</v>
          </cell>
          <cell r="G319">
            <v>151.51</v>
          </cell>
        </row>
        <row r="320">
          <cell r="E320" t="str">
            <v>00301942</v>
          </cell>
          <cell r="F320">
            <v>62.88</v>
          </cell>
          <cell r="G320">
            <v>231.67999999999998</v>
          </cell>
        </row>
        <row r="321">
          <cell r="E321" t="str">
            <v>00264369</v>
          </cell>
          <cell r="F321">
            <v>62.56</v>
          </cell>
          <cell r="G321">
            <v>533.80000000000007</v>
          </cell>
        </row>
        <row r="322">
          <cell r="E322" t="str">
            <v>00852804</v>
          </cell>
          <cell r="F322">
            <v>62.4</v>
          </cell>
          <cell r="G322">
            <v>377.62000000000006</v>
          </cell>
        </row>
        <row r="323">
          <cell r="E323" t="str">
            <v>00723463</v>
          </cell>
          <cell r="F323">
            <v>62.320000000000007</v>
          </cell>
          <cell r="G323">
            <v>146.20000000000002</v>
          </cell>
        </row>
        <row r="324">
          <cell r="E324" t="str">
            <v>00300845</v>
          </cell>
          <cell r="F324">
            <v>61.71</v>
          </cell>
          <cell r="G324">
            <v>131.63</v>
          </cell>
        </row>
        <row r="325">
          <cell r="E325" t="str">
            <v>00680176</v>
          </cell>
          <cell r="F325">
            <v>60.349999999999994</v>
          </cell>
          <cell r="G325">
            <v>143.15</v>
          </cell>
        </row>
        <row r="326">
          <cell r="E326" t="str">
            <v>00423381</v>
          </cell>
          <cell r="F326">
            <v>60.28</v>
          </cell>
          <cell r="G326">
            <v>4461.99</v>
          </cell>
        </row>
        <row r="327">
          <cell r="E327" t="str">
            <v>00615158</v>
          </cell>
          <cell r="F327">
            <v>60.06</v>
          </cell>
          <cell r="G327">
            <v>529.12</v>
          </cell>
        </row>
        <row r="328">
          <cell r="E328" t="str">
            <v>00680149</v>
          </cell>
          <cell r="F328">
            <v>59.92</v>
          </cell>
          <cell r="G328">
            <v>836.12000000000057</v>
          </cell>
        </row>
        <row r="329">
          <cell r="E329" t="str">
            <v>00430612</v>
          </cell>
          <cell r="F329">
            <v>59.9</v>
          </cell>
          <cell r="G329">
            <v>1001.17</v>
          </cell>
        </row>
        <row r="330">
          <cell r="E330" t="str">
            <v>00738111</v>
          </cell>
          <cell r="F330">
            <v>59.519999999999996</v>
          </cell>
          <cell r="G330">
            <v>33.559999999999995</v>
          </cell>
        </row>
        <row r="331">
          <cell r="E331" t="str">
            <v>00852802</v>
          </cell>
          <cell r="F331">
            <v>59.040000000000013</v>
          </cell>
          <cell r="G331">
            <v>577.18000000000086</v>
          </cell>
        </row>
        <row r="332">
          <cell r="E332" t="str">
            <v>00264366</v>
          </cell>
          <cell r="F332">
            <v>58.48</v>
          </cell>
          <cell r="G332">
            <v>333.76</v>
          </cell>
        </row>
        <row r="333">
          <cell r="E333" t="str">
            <v>00717220</v>
          </cell>
          <cell r="F333">
            <v>58.44</v>
          </cell>
          <cell r="G333">
            <v>403.28000000000026</v>
          </cell>
        </row>
        <row r="334">
          <cell r="E334" t="str">
            <v>00617975</v>
          </cell>
          <cell r="F334">
            <v>58.2</v>
          </cell>
          <cell r="G334">
            <v>196.70999999999998</v>
          </cell>
        </row>
        <row r="335">
          <cell r="E335" t="str">
            <v>00681362</v>
          </cell>
          <cell r="F335">
            <v>57.85</v>
          </cell>
          <cell r="G335">
            <v>19.100000000000001</v>
          </cell>
        </row>
        <row r="336">
          <cell r="E336" t="str">
            <v>00618050</v>
          </cell>
          <cell r="F336">
            <v>57.76</v>
          </cell>
        </row>
        <row r="337">
          <cell r="E337" t="str">
            <v>00302873</v>
          </cell>
          <cell r="F337">
            <v>57.699999999999996</v>
          </cell>
          <cell r="G337">
            <v>160.03999999999996</v>
          </cell>
        </row>
        <row r="338">
          <cell r="E338" t="str">
            <v>00852680</v>
          </cell>
          <cell r="F338">
            <v>56.95000000000001</v>
          </cell>
          <cell r="G338">
            <v>49.15</v>
          </cell>
        </row>
        <row r="339">
          <cell r="E339" t="str">
            <v>00306895</v>
          </cell>
          <cell r="F339">
            <v>56.010000000000005</v>
          </cell>
          <cell r="G339">
            <v>438.92000000000019</v>
          </cell>
        </row>
        <row r="340">
          <cell r="E340" t="str">
            <v>00853338</v>
          </cell>
          <cell r="F340">
            <v>56</v>
          </cell>
          <cell r="G340">
            <v>181.15</v>
          </cell>
        </row>
        <row r="341">
          <cell r="E341" t="str">
            <v>00264863</v>
          </cell>
          <cell r="F341">
            <v>55.76</v>
          </cell>
          <cell r="G341">
            <v>10.91</v>
          </cell>
        </row>
        <row r="342">
          <cell r="E342" t="str">
            <v>00264786</v>
          </cell>
          <cell r="F342">
            <v>55.38</v>
          </cell>
          <cell r="G342">
            <v>219.8</v>
          </cell>
        </row>
        <row r="343">
          <cell r="E343" t="str">
            <v>00611469</v>
          </cell>
          <cell r="F343">
            <v>55.23</v>
          </cell>
          <cell r="G343">
            <v>211.54999999999998</v>
          </cell>
        </row>
        <row r="344">
          <cell r="E344" t="str">
            <v>00301967</v>
          </cell>
          <cell r="F344">
            <v>55.2</v>
          </cell>
          <cell r="G344">
            <v>981.93000000000006</v>
          </cell>
        </row>
        <row r="345">
          <cell r="E345" t="str">
            <v>00852417</v>
          </cell>
          <cell r="F345">
            <v>55.160000000000004</v>
          </cell>
          <cell r="G345">
            <v>122.32000000000004</v>
          </cell>
        </row>
        <row r="346">
          <cell r="E346" t="str">
            <v>00728114</v>
          </cell>
          <cell r="F346">
            <v>54.37</v>
          </cell>
        </row>
        <row r="347">
          <cell r="E347" t="str">
            <v>00301732</v>
          </cell>
          <cell r="F347">
            <v>54</v>
          </cell>
          <cell r="G347">
            <v>698.16</v>
          </cell>
        </row>
        <row r="348">
          <cell r="E348" t="str">
            <v>00722934</v>
          </cell>
          <cell r="F348">
            <v>53.64</v>
          </cell>
        </row>
        <row r="349">
          <cell r="E349" t="str">
            <v>00852918</v>
          </cell>
          <cell r="F349">
            <v>53.43</v>
          </cell>
          <cell r="G349">
            <v>862.71</v>
          </cell>
        </row>
        <row r="350">
          <cell r="E350" t="str">
            <v>00633142</v>
          </cell>
          <cell r="F350">
            <v>52.94</v>
          </cell>
          <cell r="G350">
            <v>446.21999999999997</v>
          </cell>
        </row>
        <row r="351">
          <cell r="E351" t="str">
            <v>00306743</v>
          </cell>
          <cell r="F351">
            <v>52.650000000000006</v>
          </cell>
          <cell r="G351">
            <v>304.85000000000002</v>
          </cell>
        </row>
        <row r="352">
          <cell r="E352" t="str">
            <v>00324709</v>
          </cell>
          <cell r="F352">
            <v>52.650000000000006</v>
          </cell>
          <cell r="G352">
            <v>164.45000000000005</v>
          </cell>
        </row>
        <row r="353">
          <cell r="E353" t="str">
            <v>00726726</v>
          </cell>
          <cell r="F353">
            <v>52.019999999999996</v>
          </cell>
          <cell r="G353">
            <v>351.93</v>
          </cell>
        </row>
        <row r="354">
          <cell r="E354" t="str">
            <v>00303707</v>
          </cell>
          <cell r="F354">
            <v>52</v>
          </cell>
          <cell r="G354">
            <v>578.64</v>
          </cell>
        </row>
        <row r="355">
          <cell r="E355" t="str">
            <v>00301661</v>
          </cell>
          <cell r="F355">
            <v>51.38</v>
          </cell>
          <cell r="G355">
            <v>322.96000000000004</v>
          </cell>
        </row>
        <row r="356">
          <cell r="E356" t="str">
            <v>00723492</v>
          </cell>
          <cell r="F356">
            <v>51.28</v>
          </cell>
          <cell r="G356">
            <v>477.5499999999999</v>
          </cell>
        </row>
        <row r="357">
          <cell r="E357" t="str">
            <v>00728166</v>
          </cell>
          <cell r="F357">
            <v>50.09</v>
          </cell>
          <cell r="G357">
            <v>594.96</v>
          </cell>
        </row>
        <row r="358">
          <cell r="E358" t="str">
            <v>00681820</v>
          </cell>
          <cell r="F358">
            <v>49.5</v>
          </cell>
          <cell r="G358">
            <v>30.05</v>
          </cell>
        </row>
        <row r="359">
          <cell r="E359" t="str">
            <v>00723496</v>
          </cell>
          <cell r="F359">
            <v>49.22000000000002</v>
          </cell>
          <cell r="G359">
            <v>164.51000000000013</v>
          </cell>
        </row>
        <row r="360">
          <cell r="E360" t="str">
            <v>00473517</v>
          </cell>
          <cell r="F360">
            <v>49.12</v>
          </cell>
        </row>
        <row r="361">
          <cell r="E361" t="str">
            <v>00307678</v>
          </cell>
          <cell r="F361">
            <v>48.4</v>
          </cell>
          <cell r="G361">
            <v>153.34</v>
          </cell>
        </row>
        <row r="362">
          <cell r="E362" t="str">
            <v>00301687</v>
          </cell>
          <cell r="F362">
            <v>48.150000000000006</v>
          </cell>
          <cell r="G362">
            <v>151.72999999999999</v>
          </cell>
        </row>
        <row r="363">
          <cell r="E363" t="str">
            <v>00723485</v>
          </cell>
          <cell r="F363">
            <v>47.830000000000005</v>
          </cell>
          <cell r="G363">
            <v>244.63999999999996</v>
          </cell>
        </row>
        <row r="364">
          <cell r="E364" t="str">
            <v>00305064</v>
          </cell>
          <cell r="F364">
            <v>47.01</v>
          </cell>
          <cell r="G364">
            <v>570.18999999999983</v>
          </cell>
        </row>
        <row r="365">
          <cell r="E365" t="str">
            <v>00301852</v>
          </cell>
          <cell r="F365">
            <v>46.7</v>
          </cell>
          <cell r="G365">
            <v>152.97999999999999</v>
          </cell>
        </row>
        <row r="366">
          <cell r="E366" t="str">
            <v>00853261</v>
          </cell>
          <cell r="F366">
            <v>46.349999999999994</v>
          </cell>
          <cell r="G366">
            <v>181.44000000000008</v>
          </cell>
        </row>
        <row r="367">
          <cell r="E367" t="str">
            <v>00264638</v>
          </cell>
          <cell r="F367">
            <v>45.86</v>
          </cell>
          <cell r="G367">
            <v>221.13</v>
          </cell>
        </row>
        <row r="368">
          <cell r="E368" t="str">
            <v>00614921</v>
          </cell>
          <cell r="F368">
            <v>45.84</v>
          </cell>
          <cell r="G368">
            <v>45.84</v>
          </cell>
        </row>
        <row r="369">
          <cell r="E369" t="str">
            <v>00264314</v>
          </cell>
          <cell r="F369">
            <v>45.33</v>
          </cell>
          <cell r="G369">
            <v>45.33</v>
          </cell>
        </row>
        <row r="370">
          <cell r="E370" t="str">
            <v>00324713</v>
          </cell>
          <cell r="F370">
            <v>45.2</v>
          </cell>
          <cell r="G370">
            <v>318.08000000000004</v>
          </cell>
        </row>
        <row r="371">
          <cell r="E371" t="str">
            <v>00852407</v>
          </cell>
          <cell r="F371">
            <v>45</v>
          </cell>
          <cell r="G371">
            <v>325.86000000000013</v>
          </cell>
        </row>
        <row r="372">
          <cell r="E372" t="str">
            <v>00734720</v>
          </cell>
          <cell r="F372">
            <v>44.96</v>
          </cell>
          <cell r="G372">
            <v>399.68</v>
          </cell>
        </row>
        <row r="373">
          <cell r="E373" t="str">
            <v>00852479</v>
          </cell>
          <cell r="F373">
            <v>44.8</v>
          </cell>
          <cell r="G373">
            <v>325.2</v>
          </cell>
        </row>
        <row r="374">
          <cell r="E374" t="str">
            <v>00852707</v>
          </cell>
          <cell r="F374">
            <v>44.8</v>
          </cell>
        </row>
        <row r="375">
          <cell r="E375" t="str">
            <v>00852708</v>
          </cell>
          <cell r="F375">
            <v>44.8</v>
          </cell>
        </row>
        <row r="376">
          <cell r="E376" t="str">
            <v>00442392</v>
          </cell>
          <cell r="F376">
            <v>43.47</v>
          </cell>
          <cell r="G376">
            <v>2086.56</v>
          </cell>
        </row>
        <row r="377">
          <cell r="E377" t="str">
            <v>00264695</v>
          </cell>
          <cell r="F377">
            <v>43.22</v>
          </cell>
          <cell r="G377">
            <v>2161.7799999999997</v>
          </cell>
        </row>
        <row r="378">
          <cell r="E378" t="str">
            <v>00611391</v>
          </cell>
          <cell r="F378">
            <v>43.14</v>
          </cell>
          <cell r="G378">
            <v>87.87</v>
          </cell>
        </row>
        <row r="379">
          <cell r="E379" t="str">
            <v>00424018</v>
          </cell>
          <cell r="F379">
            <v>42.900000000000006</v>
          </cell>
          <cell r="G379">
            <v>72.56</v>
          </cell>
        </row>
        <row r="380">
          <cell r="E380" t="str">
            <v>00301984</v>
          </cell>
          <cell r="F380">
            <v>42.88</v>
          </cell>
          <cell r="G380">
            <v>112.15</v>
          </cell>
        </row>
        <row r="381">
          <cell r="E381" t="str">
            <v>00304854</v>
          </cell>
          <cell r="F381">
            <v>42.87</v>
          </cell>
          <cell r="G381">
            <v>149.26</v>
          </cell>
        </row>
        <row r="382">
          <cell r="E382" t="str">
            <v>00718439</v>
          </cell>
          <cell r="F382">
            <v>42.5</v>
          </cell>
          <cell r="G382">
            <v>759.71</v>
          </cell>
        </row>
        <row r="383">
          <cell r="E383" t="str">
            <v>00423749</v>
          </cell>
          <cell r="F383">
            <v>42.14</v>
          </cell>
          <cell r="G383">
            <v>304.33999999999997</v>
          </cell>
        </row>
        <row r="384">
          <cell r="E384" t="str">
            <v>00736949</v>
          </cell>
          <cell r="F384">
            <v>42.14</v>
          </cell>
          <cell r="G384">
            <v>79.8</v>
          </cell>
        </row>
        <row r="385">
          <cell r="E385" t="str">
            <v>00447601</v>
          </cell>
          <cell r="F385">
            <v>42</v>
          </cell>
        </row>
        <row r="386">
          <cell r="E386" t="str">
            <v>00681446</v>
          </cell>
          <cell r="F386">
            <v>42</v>
          </cell>
        </row>
        <row r="387">
          <cell r="E387" t="str">
            <v>00737113</v>
          </cell>
          <cell r="F387">
            <v>41.64</v>
          </cell>
          <cell r="G387">
            <v>33.269999999999996</v>
          </cell>
        </row>
        <row r="388">
          <cell r="E388" t="str">
            <v>00852477</v>
          </cell>
          <cell r="F388">
            <v>41.4</v>
          </cell>
          <cell r="G388">
            <v>234.03999999999994</v>
          </cell>
        </row>
        <row r="389">
          <cell r="E389" t="str">
            <v>00305055</v>
          </cell>
          <cell r="F389">
            <v>40.769999999999996</v>
          </cell>
          <cell r="G389">
            <v>41.78</v>
          </cell>
        </row>
        <row r="390">
          <cell r="E390" t="str">
            <v>00728208</v>
          </cell>
          <cell r="F390">
            <v>40.64</v>
          </cell>
          <cell r="G390">
            <v>204.7</v>
          </cell>
        </row>
        <row r="391">
          <cell r="E391" t="str">
            <v>00852688</v>
          </cell>
          <cell r="F391">
            <v>40.25</v>
          </cell>
          <cell r="G391">
            <v>306.12</v>
          </cell>
        </row>
        <row r="392">
          <cell r="E392" t="str">
            <v>00300664</v>
          </cell>
          <cell r="F392">
            <v>40.17</v>
          </cell>
          <cell r="G392">
            <v>181</v>
          </cell>
        </row>
        <row r="393">
          <cell r="E393" t="str">
            <v>00852800</v>
          </cell>
          <cell r="F393">
            <v>39.94</v>
          </cell>
          <cell r="G393">
            <v>328.86999999999989</v>
          </cell>
        </row>
        <row r="394">
          <cell r="E394" t="str">
            <v>00728159</v>
          </cell>
          <cell r="F394">
            <v>39.47</v>
          </cell>
          <cell r="G394">
            <v>106.88999999999999</v>
          </cell>
        </row>
        <row r="395">
          <cell r="E395" t="str">
            <v>00738064</v>
          </cell>
          <cell r="F395">
            <v>39.46</v>
          </cell>
          <cell r="G395">
            <v>81.84</v>
          </cell>
        </row>
        <row r="396">
          <cell r="E396" t="str">
            <v>00301663</v>
          </cell>
          <cell r="F396">
            <v>39.299999999999997</v>
          </cell>
          <cell r="G396">
            <v>180.27</v>
          </cell>
        </row>
        <row r="397">
          <cell r="E397" t="str">
            <v>00852705</v>
          </cell>
          <cell r="F397">
            <v>39.06</v>
          </cell>
          <cell r="G397">
            <v>158.94999999999999</v>
          </cell>
        </row>
        <row r="398">
          <cell r="E398" t="str">
            <v>00264617</v>
          </cell>
          <cell r="F398">
            <v>38.619999999999997</v>
          </cell>
        </row>
        <row r="399">
          <cell r="E399" t="str">
            <v>00611462</v>
          </cell>
          <cell r="F399">
            <v>38.5</v>
          </cell>
          <cell r="G399">
            <v>72.2</v>
          </cell>
        </row>
        <row r="400">
          <cell r="E400" t="str">
            <v>00301976</v>
          </cell>
          <cell r="F400">
            <v>37.47</v>
          </cell>
          <cell r="G400">
            <v>196.01</v>
          </cell>
        </row>
        <row r="401">
          <cell r="E401" t="str">
            <v>00738715</v>
          </cell>
          <cell r="F401">
            <v>37.29</v>
          </cell>
          <cell r="G401">
            <v>49.72</v>
          </cell>
        </row>
        <row r="402">
          <cell r="E402" t="str">
            <v>00618230</v>
          </cell>
          <cell r="F402">
            <v>37.04</v>
          </cell>
          <cell r="G402">
            <v>74.08</v>
          </cell>
        </row>
        <row r="403">
          <cell r="E403" t="str">
            <v>00853382</v>
          </cell>
          <cell r="F403">
            <v>37.020000000000003</v>
          </cell>
          <cell r="G403">
            <v>530.54000000000053</v>
          </cell>
        </row>
        <row r="404">
          <cell r="E404" t="str">
            <v>00852935</v>
          </cell>
          <cell r="F404">
            <v>36.900000000000006</v>
          </cell>
          <cell r="G404">
            <v>164.30999999999997</v>
          </cell>
        </row>
        <row r="405">
          <cell r="E405" t="str">
            <v>00736948</v>
          </cell>
          <cell r="F405">
            <v>36.6</v>
          </cell>
          <cell r="G405">
            <v>97.25</v>
          </cell>
        </row>
        <row r="406">
          <cell r="E406" t="str">
            <v>00731259</v>
          </cell>
          <cell r="F406">
            <v>36.56</v>
          </cell>
          <cell r="G406">
            <v>130.85999999999999</v>
          </cell>
        </row>
        <row r="407">
          <cell r="E407" t="str">
            <v>00852473</v>
          </cell>
          <cell r="F407">
            <v>36.200000000000003</v>
          </cell>
          <cell r="G407">
            <v>730.26999999999941</v>
          </cell>
        </row>
        <row r="408">
          <cell r="E408" t="str">
            <v>00305071</v>
          </cell>
          <cell r="F408">
            <v>36</v>
          </cell>
          <cell r="G408">
            <v>2213.94</v>
          </cell>
        </row>
        <row r="409">
          <cell r="E409" t="str">
            <v>00681461</v>
          </cell>
          <cell r="F409">
            <v>35.86</v>
          </cell>
        </row>
        <row r="410">
          <cell r="E410" t="str">
            <v>00423379</v>
          </cell>
          <cell r="F410">
            <v>35.659999999999997</v>
          </cell>
          <cell r="G410">
            <v>251.98999999999998</v>
          </cell>
        </row>
        <row r="411">
          <cell r="E411" t="str">
            <v>00681438</v>
          </cell>
          <cell r="F411">
            <v>35.64</v>
          </cell>
        </row>
        <row r="412">
          <cell r="E412" t="str">
            <v>00681440</v>
          </cell>
          <cell r="F412">
            <v>35.64</v>
          </cell>
          <cell r="G412">
            <v>28</v>
          </cell>
        </row>
        <row r="413">
          <cell r="E413" t="str">
            <v>00302434</v>
          </cell>
          <cell r="F413">
            <v>35.549999999999997</v>
          </cell>
          <cell r="G413">
            <v>437.08</v>
          </cell>
        </row>
        <row r="414">
          <cell r="E414" t="str">
            <v>00852472</v>
          </cell>
          <cell r="F414">
            <v>35.519999999999996</v>
          </cell>
          <cell r="G414">
            <v>229.36000000000004</v>
          </cell>
        </row>
        <row r="415">
          <cell r="E415" t="str">
            <v>00656000</v>
          </cell>
          <cell r="F415">
            <v>35.32</v>
          </cell>
          <cell r="G415">
            <v>381.66999999999996</v>
          </cell>
        </row>
        <row r="416">
          <cell r="E416" t="str">
            <v>00724429</v>
          </cell>
          <cell r="F416">
            <v>35.299999999999997</v>
          </cell>
        </row>
        <row r="417">
          <cell r="E417" t="str">
            <v>00718651</v>
          </cell>
          <cell r="F417">
            <v>35.04</v>
          </cell>
          <cell r="G417">
            <v>131.4</v>
          </cell>
        </row>
        <row r="418">
          <cell r="E418" t="str">
            <v>00723465</v>
          </cell>
          <cell r="F418">
            <v>34.799999999999997</v>
          </cell>
          <cell r="G418">
            <v>209.51000000000002</v>
          </cell>
        </row>
        <row r="419">
          <cell r="E419" t="str">
            <v>00852807</v>
          </cell>
          <cell r="F419">
            <v>34.68</v>
          </cell>
          <cell r="G419">
            <v>444.14000000000004</v>
          </cell>
        </row>
        <row r="420">
          <cell r="E420" t="str">
            <v>00681439</v>
          </cell>
          <cell r="F420">
            <v>34.64</v>
          </cell>
        </row>
        <row r="421">
          <cell r="E421" t="str">
            <v>00852411</v>
          </cell>
          <cell r="F421">
            <v>34.300000000000004</v>
          </cell>
          <cell r="G421">
            <v>56.919999999999995</v>
          </cell>
        </row>
        <row r="422">
          <cell r="E422" t="str">
            <v>00301862</v>
          </cell>
          <cell r="F422">
            <v>33.83</v>
          </cell>
          <cell r="G422">
            <v>219.43</v>
          </cell>
        </row>
        <row r="423">
          <cell r="E423" t="str">
            <v>00852406</v>
          </cell>
          <cell r="F423">
            <v>33.56</v>
          </cell>
          <cell r="G423">
            <v>164.99</v>
          </cell>
        </row>
        <row r="424">
          <cell r="E424" t="str">
            <v>00681462</v>
          </cell>
          <cell r="F424">
            <v>33.450000000000003</v>
          </cell>
          <cell r="G424">
            <v>16</v>
          </cell>
        </row>
        <row r="425">
          <cell r="E425" t="str">
            <v>00611471</v>
          </cell>
          <cell r="F425">
            <v>33.4</v>
          </cell>
          <cell r="G425">
            <v>52.08</v>
          </cell>
        </row>
        <row r="426">
          <cell r="E426" t="str">
            <v>00680179</v>
          </cell>
          <cell r="F426">
            <v>32.76</v>
          </cell>
          <cell r="G426">
            <v>221.27999999999994</v>
          </cell>
        </row>
        <row r="427">
          <cell r="E427" t="str">
            <v>00681373</v>
          </cell>
          <cell r="F427">
            <v>32.71</v>
          </cell>
        </row>
        <row r="428">
          <cell r="E428" t="str">
            <v>00723475</v>
          </cell>
          <cell r="F428">
            <v>32.64</v>
          </cell>
          <cell r="G428">
            <v>33.049999999999997</v>
          </cell>
        </row>
        <row r="429">
          <cell r="E429" t="str">
            <v>00718436</v>
          </cell>
          <cell r="F429">
            <v>32.520000000000003</v>
          </cell>
          <cell r="G429">
            <v>14.88</v>
          </cell>
        </row>
        <row r="430">
          <cell r="E430" t="str">
            <v>00682327</v>
          </cell>
          <cell r="F430">
            <v>32.49</v>
          </cell>
          <cell r="G430">
            <v>93.73</v>
          </cell>
        </row>
        <row r="431">
          <cell r="E431" t="str">
            <v>00680087</v>
          </cell>
          <cell r="F431">
            <v>32.129999999999995</v>
          </cell>
          <cell r="G431">
            <v>255.58999999999992</v>
          </cell>
        </row>
        <row r="432">
          <cell r="E432" t="str">
            <v>00680174</v>
          </cell>
          <cell r="F432">
            <v>31.619999999999997</v>
          </cell>
          <cell r="G432">
            <v>83.68</v>
          </cell>
        </row>
        <row r="433">
          <cell r="E433" t="str">
            <v>00301969</v>
          </cell>
          <cell r="F433">
            <v>31.44</v>
          </cell>
        </row>
        <row r="434">
          <cell r="E434" t="str">
            <v>00305829</v>
          </cell>
          <cell r="F434">
            <v>31.200000000000003</v>
          </cell>
          <cell r="G434">
            <v>75.11</v>
          </cell>
        </row>
        <row r="435">
          <cell r="E435" t="str">
            <v>00301997</v>
          </cell>
          <cell r="F435">
            <v>31.2</v>
          </cell>
          <cell r="G435">
            <v>106.04</v>
          </cell>
        </row>
        <row r="436">
          <cell r="E436" t="str">
            <v>00852799</v>
          </cell>
          <cell r="F436">
            <v>31.02</v>
          </cell>
          <cell r="G436">
            <v>339.38</v>
          </cell>
        </row>
        <row r="437">
          <cell r="E437" t="str">
            <v>00681444</v>
          </cell>
          <cell r="F437">
            <v>30.45</v>
          </cell>
        </row>
        <row r="438">
          <cell r="E438" t="str">
            <v>00615641</v>
          </cell>
          <cell r="F438">
            <v>30.44</v>
          </cell>
          <cell r="G438">
            <v>880.77000000000066</v>
          </cell>
        </row>
        <row r="439">
          <cell r="E439" t="str">
            <v>00681452</v>
          </cell>
          <cell r="F439">
            <v>30</v>
          </cell>
        </row>
        <row r="440">
          <cell r="E440" t="str">
            <v>00728204</v>
          </cell>
          <cell r="F440">
            <v>29.96</v>
          </cell>
          <cell r="G440">
            <v>252.95000000000002</v>
          </cell>
        </row>
        <row r="441">
          <cell r="E441" t="str">
            <v>00853448</v>
          </cell>
          <cell r="F441">
            <v>29.9</v>
          </cell>
          <cell r="G441">
            <v>257.53000000000003</v>
          </cell>
        </row>
        <row r="442">
          <cell r="E442" t="str">
            <v>00305824</v>
          </cell>
          <cell r="F442">
            <v>29.55</v>
          </cell>
          <cell r="G442">
            <v>53.250000000000007</v>
          </cell>
        </row>
        <row r="443">
          <cell r="E443" t="str">
            <v>00647151</v>
          </cell>
          <cell r="F443">
            <v>29.29</v>
          </cell>
          <cell r="G443">
            <v>30.41</v>
          </cell>
        </row>
        <row r="444">
          <cell r="E444" t="str">
            <v>00300399</v>
          </cell>
          <cell r="F444">
            <v>29</v>
          </cell>
          <cell r="G444">
            <v>165.48000000000002</v>
          </cell>
        </row>
        <row r="445">
          <cell r="E445" t="str">
            <v>00301719</v>
          </cell>
          <cell r="F445">
            <v>28.66</v>
          </cell>
          <cell r="G445">
            <v>253.29</v>
          </cell>
        </row>
        <row r="446">
          <cell r="E446" t="str">
            <v>00734722</v>
          </cell>
          <cell r="F446">
            <v>28.1</v>
          </cell>
          <cell r="G446">
            <v>411.71000000000004</v>
          </cell>
        </row>
        <row r="447">
          <cell r="E447" t="str">
            <v>00301837</v>
          </cell>
          <cell r="F447">
            <v>27.75</v>
          </cell>
          <cell r="G447">
            <v>373.11</v>
          </cell>
        </row>
        <row r="448">
          <cell r="E448" t="str">
            <v>00301952</v>
          </cell>
          <cell r="F448">
            <v>27.6</v>
          </cell>
          <cell r="G448">
            <v>627.70000000000005</v>
          </cell>
        </row>
        <row r="449">
          <cell r="E449" t="str">
            <v>00264700</v>
          </cell>
          <cell r="F449">
            <v>27.58</v>
          </cell>
        </row>
        <row r="450">
          <cell r="E450" t="str">
            <v>00611465</v>
          </cell>
          <cell r="F450">
            <v>26.86</v>
          </cell>
          <cell r="G450">
            <v>347.87</v>
          </cell>
        </row>
        <row r="451">
          <cell r="E451" t="str">
            <v>00606229</v>
          </cell>
          <cell r="F451">
            <v>26.7</v>
          </cell>
          <cell r="G451">
            <v>8.9</v>
          </cell>
        </row>
        <row r="452">
          <cell r="E452" t="str">
            <v>00647158</v>
          </cell>
          <cell r="F452">
            <v>26.69</v>
          </cell>
        </row>
        <row r="453">
          <cell r="E453" t="str">
            <v>00680173</v>
          </cell>
          <cell r="F453">
            <v>26.66</v>
          </cell>
        </row>
        <row r="454">
          <cell r="E454" t="str">
            <v>00724312</v>
          </cell>
          <cell r="F454">
            <v>26.55</v>
          </cell>
        </row>
        <row r="455">
          <cell r="E455" t="str">
            <v>00304853</v>
          </cell>
          <cell r="F455">
            <v>26.21</v>
          </cell>
          <cell r="G455">
            <v>442.86</v>
          </cell>
        </row>
        <row r="456">
          <cell r="E456" t="str">
            <v>00681345</v>
          </cell>
          <cell r="F456">
            <v>25.13</v>
          </cell>
          <cell r="G456">
            <v>55.84</v>
          </cell>
        </row>
        <row r="457">
          <cell r="E457" t="str">
            <v>00305842</v>
          </cell>
          <cell r="F457">
            <v>25.07</v>
          </cell>
          <cell r="G457">
            <v>233.98000000000002</v>
          </cell>
        </row>
        <row r="458">
          <cell r="E458" t="str">
            <v>00326780</v>
          </cell>
          <cell r="F458">
            <v>25</v>
          </cell>
          <cell r="G458">
            <v>115.92999999999999</v>
          </cell>
        </row>
        <row r="459">
          <cell r="E459" t="str">
            <v>00302861</v>
          </cell>
          <cell r="F459">
            <v>24.8</v>
          </cell>
        </row>
        <row r="460">
          <cell r="E460" t="str">
            <v>00613236</v>
          </cell>
          <cell r="F460">
            <v>24.78</v>
          </cell>
        </row>
        <row r="461">
          <cell r="E461" t="str">
            <v>00615210</v>
          </cell>
          <cell r="F461">
            <v>24.700000000000003</v>
          </cell>
          <cell r="G461">
            <v>34.840000000000003</v>
          </cell>
        </row>
        <row r="462">
          <cell r="E462" t="str">
            <v>00305059</v>
          </cell>
          <cell r="F462">
            <v>24.7</v>
          </cell>
          <cell r="G462">
            <v>24.7</v>
          </cell>
        </row>
        <row r="463">
          <cell r="E463" t="str">
            <v>00680168</v>
          </cell>
          <cell r="F463">
            <v>24.57</v>
          </cell>
          <cell r="G463">
            <v>65.02</v>
          </cell>
        </row>
        <row r="464">
          <cell r="E464" t="str">
            <v>00473538</v>
          </cell>
          <cell r="F464">
            <v>24.56</v>
          </cell>
        </row>
        <row r="465">
          <cell r="E465" t="str">
            <v>00301941</v>
          </cell>
          <cell r="F465">
            <v>24.52</v>
          </cell>
          <cell r="G465">
            <v>50.84</v>
          </cell>
        </row>
        <row r="466">
          <cell r="E466" t="str">
            <v>00614870</v>
          </cell>
          <cell r="F466">
            <v>24.28</v>
          </cell>
          <cell r="G466">
            <v>175.36</v>
          </cell>
        </row>
        <row r="467">
          <cell r="E467" t="str">
            <v>00728205</v>
          </cell>
          <cell r="F467">
            <v>24.25</v>
          </cell>
          <cell r="G467">
            <v>103.24000000000001</v>
          </cell>
        </row>
        <row r="468">
          <cell r="E468" t="str">
            <v>00473516</v>
          </cell>
          <cell r="F468">
            <v>24.24</v>
          </cell>
        </row>
        <row r="469">
          <cell r="E469" t="str">
            <v>00301481</v>
          </cell>
          <cell r="F469">
            <v>24.01</v>
          </cell>
          <cell r="G469">
            <v>72.03</v>
          </cell>
        </row>
        <row r="470">
          <cell r="E470" t="str">
            <v>00611472</v>
          </cell>
          <cell r="F470">
            <v>24</v>
          </cell>
          <cell r="G470">
            <v>177.68</v>
          </cell>
        </row>
        <row r="471">
          <cell r="E471" t="str">
            <v>00853476</v>
          </cell>
          <cell r="F471">
            <v>23.84</v>
          </cell>
          <cell r="G471">
            <v>166.88</v>
          </cell>
        </row>
        <row r="472">
          <cell r="E472" t="str">
            <v>00633370</v>
          </cell>
          <cell r="F472">
            <v>23.82</v>
          </cell>
          <cell r="G472">
            <v>398.01</v>
          </cell>
        </row>
        <row r="473">
          <cell r="E473" t="str">
            <v>00308409</v>
          </cell>
          <cell r="F473">
            <v>23.78</v>
          </cell>
          <cell r="G473">
            <v>120.66</v>
          </cell>
        </row>
        <row r="474">
          <cell r="E474" t="str">
            <v>00717187</v>
          </cell>
          <cell r="F474">
            <v>23.52</v>
          </cell>
          <cell r="G474">
            <v>86.67</v>
          </cell>
        </row>
        <row r="475">
          <cell r="E475" t="str">
            <v>00304285</v>
          </cell>
          <cell r="F475">
            <v>23.48</v>
          </cell>
          <cell r="G475">
            <v>394.82</v>
          </cell>
        </row>
        <row r="476">
          <cell r="E476" t="str">
            <v>00423201</v>
          </cell>
          <cell r="F476">
            <v>22.84</v>
          </cell>
          <cell r="G476">
            <v>36.81</v>
          </cell>
        </row>
        <row r="477">
          <cell r="E477" t="str">
            <v>00264382</v>
          </cell>
          <cell r="F477">
            <v>22.71</v>
          </cell>
          <cell r="G477">
            <v>404.55000000000007</v>
          </cell>
        </row>
        <row r="478">
          <cell r="E478" t="str">
            <v>00680829</v>
          </cell>
          <cell r="F478">
            <v>22.2</v>
          </cell>
          <cell r="G478">
            <v>214.14999999999998</v>
          </cell>
        </row>
        <row r="479">
          <cell r="E479" t="str">
            <v>00301512</v>
          </cell>
          <cell r="F479">
            <v>21.92</v>
          </cell>
          <cell r="G479">
            <v>485.43</v>
          </cell>
        </row>
        <row r="480">
          <cell r="E480" t="str">
            <v>00305833</v>
          </cell>
          <cell r="F480">
            <v>21.61</v>
          </cell>
          <cell r="G480">
            <v>414.21</v>
          </cell>
        </row>
        <row r="481">
          <cell r="E481" t="str">
            <v>00421699</v>
          </cell>
          <cell r="F481">
            <v>21.59</v>
          </cell>
          <cell r="G481">
            <v>131.13999999999999</v>
          </cell>
        </row>
        <row r="482">
          <cell r="E482" t="str">
            <v>00301982</v>
          </cell>
          <cell r="F482">
            <v>21.44</v>
          </cell>
          <cell r="G482">
            <v>458.55</v>
          </cell>
        </row>
        <row r="483">
          <cell r="E483" t="str">
            <v>00301994</v>
          </cell>
          <cell r="F483">
            <v>21.44</v>
          </cell>
          <cell r="G483">
            <v>23.03</v>
          </cell>
        </row>
        <row r="484">
          <cell r="E484" t="str">
            <v>00681455</v>
          </cell>
          <cell r="F484">
            <v>21.44</v>
          </cell>
          <cell r="G484">
            <v>18</v>
          </cell>
        </row>
        <row r="485">
          <cell r="E485" t="str">
            <v>00301485</v>
          </cell>
          <cell r="F485">
            <v>21.42</v>
          </cell>
          <cell r="G485">
            <v>922.87</v>
          </cell>
        </row>
        <row r="486">
          <cell r="E486" t="str">
            <v>00611083</v>
          </cell>
          <cell r="F486">
            <v>21.38</v>
          </cell>
          <cell r="G486">
            <v>5.76</v>
          </cell>
        </row>
        <row r="487">
          <cell r="E487" t="str">
            <v>00301854</v>
          </cell>
          <cell r="F487">
            <v>21.15</v>
          </cell>
          <cell r="G487">
            <v>634.54999999999995</v>
          </cell>
        </row>
        <row r="488">
          <cell r="E488" t="str">
            <v>00680180</v>
          </cell>
          <cell r="F488">
            <v>21.09</v>
          </cell>
          <cell r="G488">
            <v>116.54</v>
          </cell>
        </row>
        <row r="489">
          <cell r="E489" t="str">
            <v>00325192</v>
          </cell>
          <cell r="F489">
            <v>20.98</v>
          </cell>
        </row>
        <row r="490">
          <cell r="E490" t="str">
            <v>00853256</v>
          </cell>
          <cell r="F490">
            <v>20.88</v>
          </cell>
          <cell r="G490">
            <v>52.2</v>
          </cell>
        </row>
        <row r="491">
          <cell r="E491" t="str">
            <v>00718761</v>
          </cell>
          <cell r="F491">
            <v>20.86</v>
          </cell>
          <cell r="G491">
            <v>287.75000000000006</v>
          </cell>
        </row>
        <row r="492">
          <cell r="E492" t="str">
            <v>00852421</v>
          </cell>
          <cell r="F492">
            <v>20.759999999999998</v>
          </cell>
          <cell r="G492">
            <v>145.20999999999998</v>
          </cell>
        </row>
        <row r="493">
          <cell r="E493" t="str">
            <v>00852679</v>
          </cell>
          <cell r="F493">
            <v>20.399999999999999</v>
          </cell>
          <cell r="G493">
            <v>83.12</v>
          </cell>
        </row>
        <row r="494">
          <cell r="E494" t="str">
            <v>00680187</v>
          </cell>
          <cell r="F494">
            <v>20.22</v>
          </cell>
          <cell r="G494">
            <v>468.22</v>
          </cell>
        </row>
        <row r="495">
          <cell r="E495" t="str">
            <v>00305065</v>
          </cell>
          <cell r="F495">
            <v>20.100000000000001</v>
          </cell>
          <cell r="G495">
            <v>157.41</v>
          </cell>
        </row>
        <row r="496">
          <cell r="E496" t="str">
            <v>00681349</v>
          </cell>
          <cell r="F496">
            <v>20</v>
          </cell>
          <cell r="G496">
            <v>31.75</v>
          </cell>
        </row>
        <row r="497">
          <cell r="E497" t="str">
            <v>00853337</v>
          </cell>
          <cell r="F497">
            <v>19.8</v>
          </cell>
          <cell r="G497">
            <v>86.639999999999986</v>
          </cell>
        </row>
        <row r="498">
          <cell r="E498" t="str">
            <v>00852866</v>
          </cell>
          <cell r="F498">
            <v>19.62</v>
          </cell>
          <cell r="G498">
            <v>42.15</v>
          </cell>
        </row>
        <row r="499">
          <cell r="E499" t="str">
            <v>00680885</v>
          </cell>
          <cell r="F499">
            <v>19.350000000000001</v>
          </cell>
          <cell r="G499">
            <v>22.78</v>
          </cell>
        </row>
        <row r="500">
          <cell r="E500" t="str">
            <v>00723495</v>
          </cell>
          <cell r="F500">
            <v>19.240000000000002</v>
          </cell>
          <cell r="G500">
            <v>296.74999999999983</v>
          </cell>
        </row>
        <row r="501">
          <cell r="E501" t="str">
            <v>00853078</v>
          </cell>
          <cell r="F501">
            <v>19.2</v>
          </cell>
          <cell r="G501">
            <v>197.81</v>
          </cell>
        </row>
        <row r="502">
          <cell r="E502" t="str">
            <v>00852425</v>
          </cell>
          <cell r="F502">
            <v>19.16</v>
          </cell>
          <cell r="G502">
            <v>28.740000000000002</v>
          </cell>
        </row>
        <row r="503">
          <cell r="E503" t="str">
            <v>00611900</v>
          </cell>
          <cell r="F503">
            <v>19.16</v>
          </cell>
          <cell r="G503">
            <v>41.7</v>
          </cell>
        </row>
        <row r="504">
          <cell r="E504" t="str">
            <v>00681363</v>
          </cell>
          <cell r="F504">
            <v>19.100000000000001</v>
          </cell>
          <cell r="G504">
            <v>19.100000000000001</v>
          </cell>
        </row>
        <row r="505">
          <cell r="E505" t="str">
            <v>00680883</v>
          </cell>
          <cell r="F505">
            <v>19.09</v>
          </cell>
        </row>
        <row r="506">
          <cell r="E506" t="str">
            <v>00647203</v>
          </cell>
          <cell r="F506">
            <v>18.89</v>
          </cell>
          <cell r="G506">
            <v>24.3</v>
          </cell>
        </row>
        <row r="507">
          <cell r="E507" t="str">
            <v>00306001</v>
          </cell>
          <cell r="F507">
            <v>18.82</v>
          </cell>
          <cell r="G507">
            <v>218.14000000000004</v>
          </cell>
        </row>
        <row r="508">
          <cell r="E508" t="str">
            <v>00639829</v>
          </cell>
          <cell r="F508">
            <v>18.7</v>
          </cell>
          <cell r="G508">
            <v>76.22</v>
          </cell>
        </row>
        <row r="509">
          <cell r="E509" t="str">
            <v>00852827</v>
          </cell>
          <cell r="F509">
            <v>18.399999999999999</v>
          </cell>
          <cell r="G509">
            <v>18.059999999999999</v>
          </cell>
        </row>
        <row r="510">
          <cell r="E510" t="str">
            <v>00737914</v>
          </cell>
          <cell r="F510">
            <v>17.97</v>
          </cell>
          <cell r="G510">
            <v>67.470000000000013</v>
          </cell>
        </row>
        <row r="511">
          <cell r="E511" t="str">
            <v>00681460</v>
          </cell>
          <cell r="F511">
            <v>17.93</v>
          </cell>
        </row>
        <row r="512">
          <cell r="E512" t="str">
            <v>00680884</v>
          </cell>
          <cell r="F512">
            <v>17.899999999999999</v>
          </cell>
          <cell r="G512">
            <v>17.899999999999999</v>
          </cell>
        </row>
        <row r="513">
          <cell r="E513" t="str">
            <v>00306718</v>
          </cell>
          <cell r="F513">
            <v>17.739999999999998</v>
          </cell>
          <cell r="G513">
            <v>92.389999999999986</v>
          </cell>
        </row>
        <row r="514">
          <cell r="E514" t="str">
            <v>00852415</v>
          </cell>
          <cell r="F514">
            <v>17.52</v>
          </cell>
          <cell r="G514">
            <v>29.2</v>
          </cell>
        </row>
        <row r="515">
          <cell r="E515" t="str">
            <v>00718799</v>
          </cell>
          <cell r="F515">
            <v>17.380000000000003</v>
          </cell>
          <cell r="G515">
            <v>75.44</v>
          </cell>
        </row>
        <row r="516">
          <cell r="E516" t="str">
            <v>00717188</v>
          </cell>
          <cell r="F516">
            <v>17.329999999999998</v>
          </cell>
          <cell r="G516">
            <v>55.83</v>
          </cell>
        </row>
        <row r="517">
          <cell r="E517" t="str">
            <v>00738678</v>
          </cell>
          <cell r="F517">
            <v>17.3</v>
          </cell>
          <cell r="G517">
            <v>33.22</v>
          </cell>
        </row>
        <row r="518">
          <cell r="E518" t="str">
            <v>00424016</v>
          </cell>
          <cell r="F518">
            <v>17.27</v>
          </cell>
          <cell r="G518">
            <v>107.10999999999999</v>
          </cell>
        </row>
        <row r="519">
          <cell r="E519" t="str">
            <v>00301509</v>
          </cell>
          <cell r="F519">
            <v>17.14</v>
          </cell>
          <cell r="G519">
            <v>98.750000000000014</v>
          </cell>
        </row>
        <row r="520">
          <cell r="E520" t="str">
            <v>00614848</v>
          </cell>
          <cell r="F520">
            <v>16.440000000000001</v>
          </cell>
          <cell r="G520">
            <v>57.86</v>
          </cell>
        </row>
        <row r="521">
          <cell r="E521" t="str">
            <v>00852936</v>
          </cell>
          <cell r="F521">
            <v>16.440000000000001</v>
          </cell>
          <cell r="G521">
            <v>203.98999999999998</v>
          </cell>
        </row>
        <row r="522">
          <cell r="E522" t="str">
            <v>00681357</v>
          </cell>
          <cell r="F522">
            <v>16.43</v>
          </cell>
        </row>
        <row r="523">
          <cell r="E523" t="str">
            <v>00301636</v>
          </cell>
          <cell r="F523">
            <v>16.05</v>
          </cell>
        </row>
        <row r="524">
          <cell r="E524" t="str">
            <v>00852934</v>
          </cell>
          <cell r="F524">
            <v>15.99</v>
          </cell>
          <cell r="G524">
            <v>81.650000000000006</v>
          </cell>
        </row>
        <row r="525">
          <cell r="E525" t="str">
            <v>00727887</v>
          </cell>
          <cell r="F525">
            <v>15.959999999999999</v>
          </cell>
          <cell r="G525">
            <v>216.60000000000008</v>
          </cell>
        </row>
        <row r="526">
          <cell r="E526" t="str">
            <v>00301951</v>
          </cell>
          <cell r="F526">
            <v>15.72</v>
          </cell>
        </row>
        <row r="527">
          <cell r="E527" t="str">
            <v>00301957</v>
          </cell>
          <cell r="F527">
            <v>15.72</v>
          </cell>
          <cell r="G527">
            <v>109.42</v>
          </cell>
        </row>
        <row r="528">
          <cell r="E528" t="str">
            <v>00301954</v>
          </cell>
          <cell r="F528">
            <v>15.72</v>
          </cell>
          <cell r="G528">
            <v>236.51999999999998</v>
          </cell>
        </row>
        <row r="529">
          <cell r="E529" t="str">
            <v>00423206</v>
          </cell>
          <cell r="F529">
            <v>15.51</v>
          </cell>
          <cell r="G529">
            <v>66.44</v>
          </cell>
        </row>
        <row r="530">
          <cell r="E530" t="str">
            <v>00264703</v>
          </cell>
          <cell r="F530">
            <v>15.49</v>
          </cell>
          <cell r="G530">
            <v>78.599999999999994</v>
          </cell>
        </row>
        <row r="531">
          <cell r="E531" t="str">
            <v>00302010</v>
          </cell>
          <cell r="F531">
            <v>15.28</v>
          </cell>
          <cell r="G531">
            <v>49.260000000000005</v>
          </cell>
        </row>
        <row r="532">
          <cell r="E532" t="str">
            <v>00302009</v>
          </cell>
          <cell r="F532">
            <v>15.28</v>
          </cell>
          <cell r="G532">
            <v>215</v>
          </cell>
        </row>
        <row r="533">
          <cell r="E533" t="str">
            <v>00302004</v>
          </cell>
          <cell r="F533">
            <v>15.28</v>
          </cell>
          <cell r="G533">
            <v>386.1</v>
          </cell>
        </row>
        <row r="534">
          <cell r="E534" t="str">
            <v>00680784</v>
          </cell>
          <cell r="F534">
            <v>15.26</v>
          </cell>
        </row>
        <row r="535">
          <cell r="E535" t="str">
            <v>00730916</v>
          </cell>
          <cell r="F535">
            <v>15.21</v>
          </cell>
          <cell r="G535">
            <v>75.61</v>
          </cell>
        </row>
        <row r="536">
          <cell r="E536" t="str">
            <v>00720204</v>
          </cell>
          <cell r="F536">
            <v>15</v>
          </cell>
          <cell r="G536">
            <v>177.9</v>
          </cell>
        </row>
        <row r="537">
          <cell r="E537" t="str">
            <v>00264723</v>
          </cell>
          <cell r="F537">
            <v>14.91</v>
          </cell>
          <cell r="G537">
            <v>187.72</v>
          </cell>
        </row>
        <row r="538">
          <cell r="E538" t="str">
            <v>00852928</v>
          </cell>
          <cell r="F538">
            <v>14.78</v>
          </cell>
          <cell r="G538">
            <v>7.39</v>
          </cell>
        </row>
        <row r="539">
          <cell r="E539" t="str">
            <v>00308407</v>
          </cell>
          <cell r="F539">
            <v>14.66</v>
          </cell>
          <cell r="G539">
            <v>46.16</v>
          </cell>
        </row>
        <row r="540">
          <cell r="E540" t="str">
            <v>00301833</v>
          </cell>
          <cell r="F540">
            <v>14.64</v>
          </cell>
          <cell r="G540">
            <v>14.64</v>
          </cell>
        </row>
        <row r="541">
          <cell r="E541" t="str">
            <v>00611388</v>
          </cell>
          <cell r="F541">
            <v>14.38</v>
          </cell>
          <cell r="G541">
            <v>0</v>
          </cell>
        </row>
        <row r="542">
          <cell r="E542" t="str">
            <v>00304863</v>
          </cell>
          <cell r="F542">
            <v>14.29</v>
          </cell>
          <cell r="G542">
            <v>44.99</v>
          </cell>
        </row>
        <row r="543">
          <cell r="E543" t="str">
            <v>00681182</v>
          </cell>
          <cell r="F543">
            <v>14.14</v>
          </cell>
        </row>
        <row r="544">
          <cell r="E544" t="str">
            <v>00738114</v>
          </cell>
          <cell r="F544">
            <v>14.04</v>
          </cell>
          <cell r="G544">
            <v>65.489999999999995</v>
          </cell>
        </row>
        <row r="545">
          <cell r="E545" t="str">
            <v>00727888</v>
          </cell>
          <cell r="F545">
            <v>13.830000000000002</v>
          </cell>
          <cell r="G545">
            <v>190.19000000000005</v>
          </cell>
        </row>
        <row r="546">
          <cell r="E546" t="str">
            <v>00305836</v>
          </cell>
          <cell r="F546">
            <v>13.76</v>
          </cell>
          <cell r="G546">
            <v>96.57</v>
          </cell>
        </row>
        <row r="547">
          <cell r="E547" t="str">
            <v>00301660</v>
          </cell>
          <cell r="F547">
            <v>13.69</v>
          </cell>
          <cell r="G547">
            <v>115.39</v>
          </cell>
        </row>
        <row r="548">
          <cell r="E548" t="str">
            <v>00852929</v>
          </cell>
          <cell r="F548">
            <v>13.440000000000001</v>
          </cell>
          <cell r="G548">
            <v>240.52</v>
          </cell>
        </row>
        <row r="549">
          <cell r="E549" t="str">
            <v>00306951</v>
          </cell>
          <cell r="F549">
            <v>13.34</v>
          </cell>
          <cell r="G549">
            <v>96.35</v>
          </cell>
        </row>
        <row r="550">
          <cell r="E550" t="str">
            <v>00730765</v>
          </cell>
          <cell r="F550">
            <v>13.16</v>
          </cell>
          <cell r="G550">
            <v>25.12</v>
          </cell>
        </row>
        <row r="551">
          <cell r="E551" t="str">
            <v>00680171</v>
          </cell>
          <cell r="F551">
            <v>13.08</v>
          </cell>
          <cell r="G551">
            <v>19.62</v>
          </cell>
        </row>
        <row r="552">
          <cell r="E552" t="str">
            <v>00681740</v>
          </cell>
          <cell r="F552">
            <v>12.99</v>
          </cell>
        </row>
        <row r="553">
          <cell r="E553" t="str">
            <v>00680172</v>
          </cell>
          <cell r="F553">
            <v>12.9</v>
          </cell>
          <cell r="G553">
            <v>62.92</v>
          </cell>
        </row>
        <row r="554">
          <cell r="E554" t="str">
            <v>00611384</v>
          </cell>
          <cell r="F554">
            <v>12.78</v>
          </cell>
        </row>
        <row r="555">
          <cell r="E555" t="str">
            <v>00423739</v>
          </cell>
          <cell r="F555">
            <v>12.67</v>
          </cell>
        </row>
        <row r="556">
          <cell r="E556" t="str">
            <v>00681741</v>
          </cell>
          <cell r="F556">
            <v>12.600000000000001</v>
          </cell>
        </row>
        <row r="557">
          <cell r="E557" t="str">
            <v>00611467</v>
          </cell>
          <cell r="F557">
            <v>12.54</v>
          </cell>
          <cell r="G557">
            <v>27.81</v>
          </cell>
        </row>
        <row r="558">
          <cell r="E558" t="str">
            <v>00423485</v>
          </cell>
          <cell r="F558">
            <v>12.419999999999998</v>
          </cell>
          <cell r="G558">
            <v>27.5</v>
          </cell>
        </row>
        <row r="559">
          <cell r="E559" t="str">
            <v>00301968</v>
          </cell>
          <cell r="F559">
            <v>12.26</v>
          </cell>
          <cell r="G559">
            <v>6.13</v>
          </cell>
        </row>
        <row r="560">
          <cell r="E560" t="str">
            <v>00853154</v>
          </cell>
          <cell r="F560">
            <v>11.89</v>
          </cell>
          <cell r="G560">
            <v>25.55</v>
          </cell>
        </row>
        <row r="561">
          <cell r="E561" t="str">
            <v>00304284</v>
          </cell>
          <cell r="F561">
            <v>11.75</v>
          </cell>
          <cell r="G561">
            <v>24.369999999999997</v>
          </cell>
        </row>
        <row r="562">
          <cell r="E562" t="str">
            <v>00852815</v>
          </cell>
          <cell r="F562">
            <v>11.55</v>
          </cell>
          <cell r="G562">
            <v>514.20000000000005</v>
          </cell>
        </row>
        <row r="563">
          <cell r="E563" t="str">
            <v>00852678</v>
          </cell>
          <cell r="F563">
            <v>11.55</v>
          </cell>
          <cell r="G563">
            <v>19.990000000000002</v>
          </cell>
        </row>
        <row r="564">
          <cell r="E564" t="str">
            <v>00302177</v>
          </cell>
          <cell r="F564">
            <v>11.54</v>
          </cell>
          <cell r="G564">
            <v>23.509999999999998</v>
          </cell>
        </row>
        <row r="565">
          <cell r="E565" t="str">
            <v>00608263</v>
          </cell>
          <cell r="F565">
            <v>11.44</v>
          </cell>
          <cell r="G565">
            <v>11.12</v>
          </cell>
        </row>
        <row r="566">
          <cell r="E566" t="str">
            <v>00852418</v>
          </cell>
          <cell r="F566">
            <v>11.2</v>
          </cell>
          <cell r="G566">
            <v>8.3999999999999986</v>
          </cell>
        </row>
        <row r="567">
          <cell r="E567" t="str">
            <v>00611159</v>
          </cell>
          <cell r="F567">
            <v>10.98</v>
          </cell>
          <cell r="G567">
            <v>16.47</v>
          </cell>
        </row>
        <row r="568">
          <cell r="E568" t="str">
            <v>00738113</v>
          </cell>
          <cell r="F568">
            <v>10.54</v>
          </cell>
          <cell r="G568">
            <v>10.54</v>
          </cell>
        </row>
        <row r="569">
          <cell r="E569" t="str">
            <v>00730927</v>
          </cell>
          <cell r="F569">
            <v>10.35</v>
          </cell>
        </row>
        <row r="570">
          <cell r="E570" t="str">
            <v>00718774</v>
          </cell>
          <cell r="F570">
            <v>10.220000000000001</v>
          </cell>
          <cell r="G570">
            <v>55.080000000000005</v>
          </cell>
        </row>
        <row r="571">
          <cell r="E571" t="str">
            <v>00610844</v>
          </cell>
          <cell r="F571">
            <v>10.18</v>
          </cell>
          <cell r="G571">
            <v>182.62000000000006</v>
          </cell>
        </row>
        <row r="572">
          <cell r="E572" t="str">
            <v>00300398</v>
          </cell>
          <cell r="F572">
            <v>10.050000000000001</v>
          </cell>
          <cell r="G572">
            <v>20.84</v>
          </cell>
        </row>
        <row r="573">
          <cell r="E573" t="str">
            <v>00614871</v>
          </cell>
          <cell r="F573">
            <v>10.029999999999999</v>
          </cell>
          <cell r="G573">
            <v>204.85000000000002</v>
          </cell>
        </row>
        <row r="574">
          <cell r="E574" t="str">
            <v>00736979</v>
          </cell>
          <cell r="F574">
            <v>9.98</v>
          </cell>
        </row>
        <row r="575">
          <cell r="E575" t="str">
            <v>00738159</v>
          </cell>
          <cell r="F575">
            <v>9.91</v>
          </cell>
          <cell r="G575">
            <v>79.28</v>
          </cell>
        </row>
        <row r="576">
          <cell r="E576" t="str">
            <v>00735548</v>
          </cell>
          <cell r="F576">
            <v>9.84</v>
          </cell>
          <cell r="G576">
            <v>0</v>
          </cell>
        </row>
        <row r="577">
          <cell r="E577" t="str">
            <v>00264785</v>
          </cell>
          <cell r="F577">
            <v>9.76</v>
          </cell>
          <cell r="G577">
            <v>51.680000000000007</v>
          </cell>
        </row>
        <row r="578">
          <cell r="E578" t="str">
            <v>00720242</v>
          </cell>
          <cell r="F578">
            <v>9.76</v>
          </cell>
        </row>
        <row r="579">
          <cell r="E579" t="str">
            <v>00611459</v>
          </cell>
          <cell r="F579">
            <v>9.75</v>
          </cell>
          <cell r="G579">
            <v>112.18</v>
          </cell>
        </row>
        <row r="580">
          <cell r="E580" t="str">
            <v>00729828</v>
          </cell>
          <cell r="F580">
            <v>9.64</v>
          </cell>
          <cell r="G580">
            <v>300.38000000000005</v>
          </cell>
        </row>
        <row r="581">
          <cell r="E581" t="str">
            <v>00611387</v>
          </cell>
          <cell r="F581">
            <v>9.5</v>
          </cell>
          <cell r="G581">
            <v>33.25</v>
          </cell>
        </row>
        <row r="582">
          <cell r="E582" t="str">
            <v>00852419</v>
          </cell>
          <cell r="F582">
            <v>9.34</v>
          </cell>
          <cell r="G582">
            <v>9.34</v>
          </cell>
        </row>
        <row r="583">
          <cell r="E583" t="str">
            <v>00852927</v>
          </cell>
          <cell r="F583">
            <v>9.2799999999999994</v>
          </cell>
          <cell r="G583">
            <v>236.34999999999997</v>
          </cell>
        </row>
        <row r="584">
          <cell r="E584" t="str">
            <v>00732555</v>
          </cell>
          <cell r="F584">
            <v>9.1</v>
          </cell>
          <cell r="G584">
            <v>20.2</v>
          </cell>
        </row>
        <row r="585">
          <cell r="E585" t="str">
            <v>00305068</v>
          </cell>
          <cell r="F585">
            <v>8.86</v>
          </cell>
          <cell r="G585">
            <v>203.49999999999994</v>
          </cell>
        </row>
        <row r="586">
          <cell r="E586" t="str">
            <v>00301666</v>
          </cell>
          <cell r="F586">
            <v>8.86</v>
          </cell>
          <cell r="G586">
            <v>53.819999999999993</v>
          </cell>
        </row>
        <row r="587">
          <cell r="E587" t="str">
            <v>00852414</v>
          </cell>
          <cell r="F587">
            <v>8.73</v>
          </cell>
          <cell r="G587">
            <v>32.67</v>
          </cell>
        </row>
        <row r="588">
          <cell r="E588" t="str">
            <v>00301504</v>
          </cell>
          <cell r="F588">
            <v>8.57</v>
          </cell>
          <cell r="G588">
            <v>46</v>
          </cell>
        </row>
        <row r="589">
          <cell r="E589" t="str">
            <v>00305031</v>
          </cell>
          <cell r="F589">
            <v>8.39</v>
          </cell>
          <cell r="G589">
            <v>190.19</v>
          </cell>
        </row>
        <row r="590">
          <cell r="E590" t="str">
            <v>00722409</v>
          </cell>
          <cell r="F590">
            <v>8.3000000000000007</v>
          </cell>
          <cell r="G590">
            <v>16.600000000000001</v>
          </cell>
        </row>
        <row r="591">
          <cell r="E591" t="str">
            <v>00643495</v>
          </cell>
          <cell r="F591">
            <v>8.25</v>
          </cell>
          <cell r="G591">
            <v>8.25</v>
          </cell>
        </row>
        <row r="592">
          <cell r="E592" t="str">
            <v>00730914</v>
          </cell>
          <cell r="F592">
            <v>7.96</v>
          </cell>
          <cell r="G592">
            <v>31.38</v>
          </cell>
        </row>
        <row r="593">
          <cell r="E593" t="str">
            <v>00852825</v>
          </cell>
          <cell r="F593">
            <v>7.96</v>
          </cell>
          <cell r="G593">
            <v>29.660000000000004</v>
          </cell>
        </row>
        <row r="594">
          <cell r="E594" t="str">
            <v>00301999</v>
          </cell>
          <cell r="F594">
            <v>7.8</v>
          </cell>
        </row>
        <row r="595">
          <cell r="E595" t="str">
            <v>00301989</v>
          </cell>
          <cell r="F595">
            <v>7.8</v>
          </cell>
          <cell r="G595">
            <v>24.560000000000002</v>
          </cell>
        </row>
        <row r="596">
          <cell r="E596" t="str">
            <v>00301724</v>
          </cell>
          <cell r="F596">
            <v>7.67</v>
          </cell>
          <cell r="G596">
            <v>0</v>
          </cell>
        </row>
        <row r="597">
          <cell r="E597" t="str">
            <v>00853257</v>
          </cell>
          <cell r="F597">
            <v>7.67</v>
          </cell>
          <cell r="G597">
            <v>346.96</v>
          </cell>
        </row>
        <row r="598">
          <cell r="E598" t="str">
            <v>00736960</v>
          </cell>
          <cell r="F598">
            <v>7.58</v>
          </cell>
          <cell r="G598">
            <v>31.44</v>
          </cell>
        </row>
        <row r="599">
          <cell r="E599" t="str">
            <v>00853255</v>
          </cell>
          <cell r="F599">
            <v>7.49</v>
          </cell>
          <cell r="G599">
            <v>85.210000000000008</v>
          </cell>
        </row>
        <row r="600">
          <cell r="E600" t="str">
            <v>00852676</v>
          </cell>
          <cell r="F600">
            <v>7.45</v>
          </cell>
          <cell r="G600">
            <v>31.12</v>
          </cell>
        </row>
        <row r="601">
          <cell r="E601" t="str">
            <v>00853253</v>
          </cell>
          <cell r="F601">
            <v>7.36</v>
          </cell>
          <cell r="G601">
            <v>58.040000000000006</v>
          </cell>
        </row>
        <row r="602">
          <cell r="E602" t="str">
            <v>00852926</v>
          </cell>
          <cell r="F602">
            <v>7.3500000000000005</v>
          </cell>
          <cell r="G602">
            <v>17.190000000000001</v>
          </cell>
        </row>
        <row r="603">
          <cell r="E603" t="str">
            <v>00681158</v>
          </cell>
          <cell r="F603">
            <v>7.19</v>
          </cell>
          <cell r="G603">
            <v>13.98</v>
          </cell>
        </row>
        <row r="604">
          <cell r="E604" t="str">
            <v>00852430</v>
          </cell>
          <cell r="F604">
            <v>7.0499999999999989</v>
          </cell>
          <cell r="G604">
            <v>18.41</v>
          </cell>
        </row>
        <row r="605">
          <cell r="E605" t="str">
            <v>00633548</v>
          </cell>
          <cell r="F605">
            <v>7.01</v>
          </cell>
        </row>
        <row r="606">
          <cell r="E606" t="str">
            <v>00615327</v>
          </cell>
          <cell r="F606">
            <v>6.9</v>
          </cell>
          <cell r="G606">
            <v>321.68</v>
          </cell>
        </row>
        <row r="607">
          <cell r="E607" t="str">
            <v>00730433</v>
          </cell>
          <cell r="F607">
            <v>6.82</v>
          </cell>
          <cell r="G607">
            <v>89.68</v>
          </cell>
        </row>
        <row r="608">
          <cell r="E608" t="str">
            <v>00737913</v>
          </cell>
          <cell r="F608">
            <v>6.82</v>
          </cell>
          <cell r="G608">
            <v>17.05</v>
          </cell>
        </row>
        <row r="609">
          <cell r="E609" t="str">
            <v>00611515</v>
          </cell>
          <cell r="F609">
            <v>6.69</v>
          </cell>
          <cell r="G609">
            <v>29.28</v>
          </cell>
        </row>
        <row r="610">
          <cell r="E610" t="str">
            <v>00852921</v>
          </cell>
          <cell r="F610">
            <v>6.64</v>
          </cell>
          <cell r="G610">
            <v>63.730000000000004</v>
          </cell>
        </row>
        <row r="611">
          <cell r="E611" t="str">
            <v>00852292</v>
          </cell>
          <cell r="F611">
            <v>6.58</v>
          </cell>
          <cell r="G611">
            <v>6.39</v>
          </cell>
        </row>
        <row r="612">
          <cell r="E612" t="str">
            <v>00423531</v>
          </cell>
          <cell r="F612">
            <v>6.56</v>
          </cell>
          <cell r="G612">
            <v>43.3</v>
          </cell>
        </row>
        <row r="613">
          <cell r="E613" t="str">
            <v>00608176</v>
          </cell>
          <cell r="F613">
            <v>6.39</v>
          </cell>
          <cell r="G613">
            <v>26.13</v>
          </cell>
        </row>
        <row r="614">
          <cell r="E614" t="str">
            <v>00852416</v>
          </cell>
          <cell r="F614">
            <v>6.36</v>
          </cell>
          <cell r="G614">
            <v>71.160000000000011</v>
          </cell>
        </row>
        <row r="615">
          <cell r="E615" t="str">
            <v>00304283</v>
          </cell>
          <cell r="F615">
            <v>6.32</v>
          </cell>
          <cell r="G615">
            <v>12.64</v>
          </cell>
        </row>
        <row r="616">
          <cell r="E616" t="str">
            <v>00618207</v>
          </cell>
          <cell r="F616">
            <v>6.29</v>
          </cell>
        </row>
        <row r="617">
          <cell r="E617" t="str">
            <v>00680181</v>
          </cell>
          <cell r="F617">
            <v>6.26</v>
          </cell>
          <cell r="G617">
            <v>43.82</v>
          </cell>
        </row>
        <row r="618">
          <cell r="E618" t="str">
            <v>00301956</v>
          </cell>
          <cell r="F618">
            <v>6.13</v>
          </cell>
          <cell r="G618">
            <v>31.549999999999997</v>
          </cell>
        </row>
        <row r="619">
          <cell r="E619" t="str">
            <v>00615640</v>
          </cell>
          <cell r="F619">
            <v>6.06</v>
          </cell>
        </row>
        <row r="620">
          <cell r="E620" t="str">
            <v>00301511</v>
          </cell>
          <cell r="F620">
            <v>5.91</v>
          </cell>
          <cell r="G620">
            <v>25.449999999999996</v>
          </cell>
        </row>
        <row r="621">
          <cell r="E621" t="str">
            <v>00852470</v>
          </cell>
          <cell r="F621">
            <v>5.88</v>
          </cell>
          <cell r="G621">
            <v>59.959999999999994</v>
          </cell>
        </row>
        <row r="622">
          <cell r="E622" t="str">
            <v>00424060</v>
          </cell>
          <cell r="F622">
            <v>5.79</v>
          </cell>
          <cell r="G622">
            <v>5.79</v>
          </cell>
        </row>
        <row r="623">
          <cell r="E623" t="str">
            <v>00302179</v>
          </cell>
          <cell r="F623">
            <v>5.77</v>
          </cell>
          <cell r="G623">
            <v>35.909999999999997</v>
          </cell>
        </row>
        <row r="624">
          <cell r="E624" t="str">
            <v>00727886</v>
          </cell>
          <cell r="F624">
            <v>5.36</v>
          </cell>
          <cell r="G624">
            <v>49.600000000000016</v>
          </cell>
        </row>
        <row r="625">
          <cell r="E625" t="str">
            <v>00423487</v>
          </cell>
          <cell r="F625">
            <v>5.33</v>
          </cell>
          <cell r="G625">
            <v>40.11</v>
          </cell>
        </row>
        <row r="626">
          <cell r="E626" t="str">
            <v>00423459</v>
          </cell>
          <cell r="F626">
            <v>5.33</v>
          </cell>
        </row>
        <row r="627">
          <cell r="E627" t="str">
            <v>00852423</v>
          </cell>
          <cell r="F627">
            <v>5.2</v>
          </cell>
          <cell r="G627">
            <v>7.4700000000000006</v>
          </cell>
        </row>
        <row r="628">
          <cell r="E628" t="str">
            <v>00304864</v>
          </cell>
          <cell r="F628">
            <v>4.9800000000000004</v>
          </cell>
          <cell r="G628">
            <v>9.9600000000000009</v>
          </cell>
        </row>
        <row r="629">
          <cell r="E629" t="str">
            <v>00736958</v>
          </cell>
          <cell r="F629">
            <v>4.92</v>
          </cell>
          <cell r="G629">
            <v>22.32</v>
          </cell>
        </row>
        <row r="630">
          <cell r="E630" t="str">
            <v>00643496</v>
          </cell>
          <cell r="F630">
            <v>4.92</v>
          </cell>
          <cell r="G630">
            <v>9.5399999999999991</v>
          </cell>
        </row>
        <row r="631">
          <cell r="E631" t="str">
            <v>00852730</v>
          </cell>
          <cell r="F631">
            <v>4.91</v>
          </cell>
          <cell r="G631">
            <v>152.21</v>
          </cell>
        </row>
        <row r="632">
          <cell r="E632" t="str">
            <v>00680167</v>
          </cell>
          <cell r="F632">
            <v>4.66</v>
          </cell>
          <cell r="G632">
            <v>13.98</v>
          </cell>
        </row>
        <row r="633">
          <cell r="E633" t="str">
            <v>00264797</v>
          </cell>
          <cell r="F633">
            <v>4.4400000000000004</v>
          </cell>
        </row>
        <row r="634">
          <cell r="E634" t="str">
            <v>00680581</v>
          </cell>
          <cell r="F634">
            <v>4.28</v>
          </cell>
          <cell r="G634">
            <v>5.04</v>
          </cell>
        </row>
        <row r="635">
          <cell r="E635" t="str">
            <v>00614849</v>
          </cell>
          <cell r="F635">
            <v>4.0999999999999996</v>
          </cell>
          <cell r="G635">
            <v>22.759999999999998</v>
          </cell>
        </row>
        <row r="636">
          <cell r="E636" t="str">
            <v>00852480</v>
          </cell>
          <cell r="F636">
            <v>4</v>
          </cell>
          <cell r="G636">
            <v>70.92</v>
          </cell>
        </row>
        <row r="637">
          <cell r="E637" t="str">
            <v>00611466</v>
          </cell>
          <cell r="F637">
            <v>3.92</v>
          </cell>
          <cell r="G637">
            <v>7.84</v>
          </cell>
        </row>
        <row r="638">
          <cell r="E638" t="str">
            <v>00722752</v>
          </cell>
          <cell r="F638">
            <v>3.1</v>
          </cell>
        </row>
        <row r="639">
          <cell r="E639" t="str">
            <v>00611049</v>
          </cell>
          <cell r="F639">
            <v>2.88</v>
          </cell>
        </row>
        <row r="640">
          <cell r="E640" t="str">
            <v>00735641</v>
          </cell>
          <cell r="F640">
            <v>2.68</v>
          </cell>
          <cell r="G640">
            <v>105.66</v>
          </cell>
        </row>
        <row r="641">
          <cell r="E641" t="str">
            <v>00722953</v>
          </cell>
          <cell r="F641">
            <v>2.64</v>
          </cell>
          <cell r="G641">
            <v>10.440000000000001</v>
          </cell>
        </row>
        <row r="642">
          <cell r="E642" t="str">
            <v>00732099</v>
          </cell>
          <cell r="F642">
            <v>2.5</v>
          </cell>
          <cell r="G642">
            <v>25.11</v>
          </cell>
        </row>
        <row r="643">
          <cell r="E643" t="str">
            <v>00611468</v>
          </cell>
          <cell r="F643">
            <v>2.41</v>
          </cell>
          <cell r="G643">
            <v>71.289999999999992</v>
          </cell>
        </row>
        <row r="644">
          <cell r="E644" t="str">
            <v>00852410</v>
          </cell>
          <cell r="F644">
            <v>2.38</v>
          </cell>
          <cell r="G644">
            <v>12.280000000000001</v>
          </cell>
        </row>
        <row r="645">
          <cell r="E645" t="str">
            <v>00718701</v>
          </cell>
          <cell r="F645">
            <v>2.0099999999999998</v>
          </cell>
          <cell r="G645">
            <v>1.83</v>
          </cell>
        </row>
        <row r="646">
          <cell r="E646" t="str">
            <v>00736962</v>
          </cell>
          <cell r="F646">
            <v>1.93</v>
          </cell>
          <cell r="G646">
            <v>74.19</v>
          </cell>
        </row>
        <row r="647">
          <cell r="E647" t="str">
            <v>00718925</v>
          </cell>
          <cell r="F647">
            <v>1.73</v>
          </cell>
          <cell r="G647">
            <v>0</v>
          </cell>
        </row>
        <row r="648">
          <cell r="E648" t="str">
            <v>00718698</v>
          </cell>
          <cell r="F648">
            <v>1.37</v>
          </cell>
          <cell r="G648">
            <v>14.7</v>
          </cell>
        </row>
        <row r="649">
          <cell r="E649" t="str">
            <v>00739010</v>
          </cell>
          <cell r="F649">
            <v>1.32</v>
          </cell>
          <cell r="G649">
            <v>111.40000000000003</v>
          </cell>
        </row>
        <row r="650">
          <cell r="E650" t="str">
            <v>00727885</v>
          </cell>
          <cell r="F650">
            <v>0.97</v>
          </cell>
          <cell r="G650">
            <v>9.98</v>
          </cell>
        </row>
        <row r="651">
          <cell r="E651" t="str">
            <v>00611048</v>
          </cell>
          <cell r="F651">
            <v>1.7763568394002505E-15</v>
          </cell>
          <cell r="G651">
            <v>250.49</v>
          </cell>
        </row>
        <row r="652">
          <cell r="E652" t="str">
            <v>00680915</v>
          </cell>
          <cell r="F652">
            <v>0</v>
          </cell>
          <cell r="G652">
            <v>19.059999999999999</v>
          </cell>
        </row>
        <row r="653">
          <cell r="E653" t="str">
            <v>00852932</v>
          </cell>
          <cell r="F653">
            <v>0</v>
          </cell>
          <cell r="G653">
            <v>57.769999999999996</v>
          </cell>
        </row>
        <row r="654">
          <cell r="E654" t="str">
            <v>00852933</v>
          </cell>
          <cell r="F654">
            <v>0</v>
          </cell>
          <cell r="G654">
            <v>121.91</v>
          </cell>
        </row>
        <row r="655">
          <cell r="E655" t="str">
            <v>00301839</v>
          </cell>
          <cell r="F655">
            <v>0</v>
          </cell>
          <cell r="G655">
            <v>0</v>
          </cell>
        </row>
        <row r="656">
          <cell r="E656" t="str">
            <v>00423740</v>
          </cell>
          <cell r="F656">
            <v>0</v>
          </cell>
          <cell r="G656">
            <v>104.97</v>
          </cell>
        </row>
        <row r="657">
          <cell r="E657" t="str">
            <v>00423744</v>
          </cell>
          <cell r="F657">
            <v>0</v>
          </cell>
          <cell r="G657">
            <v>38.01</v>
          </cell>
        </row>
        <row r="658">
          <cell r="E658" t="str">
            <v>00302798</v>
          </cell>
          <cell r="F658">
            <v>0</v>
          </cell>
          <cell r="G658">
            <v>0</v>
          </cell>
        </row>
        <row r="659">
          <cell r="E659" t="str">
            <v>00473528</v>
          </cell>
          <cell r="F659">
            <v>0</v>
          </cell>
        </row>
        <row r="660">
          <cell r="E660" t="str">
            <v>00473523</v>
          </cell>
          <cell r="F660">
            <v>0</v>
          </cell>
        </row>
        <row r="661">
          <cell r="E661" t="str">
            <v>00307557</v>
          </cell>
          <cell r="F661">
            <v>0</v>
          </cell>
          <cell r="G661">
            <v>-6</v>
          </cell>
        </row>
        <row r="662">
          <cell r="E662" t="str">
            <v>00307611</v>
          </cell>
          <cell r="F662">
            <v>0</v>
          </cell>
        </row>
        <row r="663">
          <cell r="E663" t="str">
            <v>00386446</v>
          </cell>
          <cell r="F663">
            <v>0</v>
          </cell>
          <cell r="G663">
            <v>1042.5899999999999</v>
          </cell>
        </row>
        <row r="664">
          <cell r="E664" t="str">
            <v>00470317</v>
          </cell>
          <cell r="F664">
            <v>0</v>
          </cell>
        </row>
        <row r="665">
          <cell r="E665" t="str">
            <v>00301936</v>
          </cell>
          <cell r="F665">
            <v>0</v>
          </cell>
          <cell r="G665">
            <v>160.06</v>
          </cell>
        </row>
        <row r="666">
          <cell r="E666" t="str">
            <v>00611383</v>
          </cell>
          <cell r="F666">
            <v>0</v>
          </cell>
          <cell r="G666">
            <v>202.35</v>
          </cell>
        </row>
        <row r="667">
          <cell r="E667" t="str">
            <v>00852811</v>
          </cell>
          <cell r="F667">
            <v>0</v>
          </cell>
          <cell r="G667">
            <v>103.46</v>
          </cell>
        </row>
        <row r="668">
          <cell r="E668" t="str">
            <v>00852677</v>
          </cell>
          <cell r="F668">
            <v>0</v>
          </cell>
          <cell r="G668">
            <v>99.03</v>
          </cell>
        </row>
        <row r="669">
          <cell r="E669" t="str">
            <v>00852886</v>
          </cell>
          <cell r="F669">
            <v>0</v>
          </cell>
          <cell r="G669">
            <v>0</v>
          </cell>
        </row>
        <row r="670">
          <cell r="E670" t="str">
            <v>00737916</v>
          </cell>
          <cell r="F670">
            <v>0</v>
          </cell>
          <cell r="G670">
            <v>84.320000000000007</v>
          </cell>
        </row>
        <row r="671">
          <cell r="E671" t="str">
            <v>00680175</v>
          </cell>
          <cell r="F671">
            <v>0</v>
          </cell>
          <cell r="G671">
            <v>68.88</v>
          </cell>
        </row>
        <row r="672">
          <cell r="E672" t="str">
            <v>00680186</v>
          </cell>
          <cell r="F672">
            <v>0</v>
          </cell>
          <cell r="G672">
            <v>205.14</v>
          </cell>
        </row>
        <row r="673">
          <cell r="E673" t="str">
            <v>00962807</v>
          </cell>
          <cell r="G673">
            <v>0</v>
          </cell>
        </row>
        <row r="674">
          <cell r="E674" t="str">
            <v>00983977</v>
          </cell>
          <cell r="G674">
            <v>0</v>
          </cell>
        </row>
        <row r="675">
          <cell r="E675" t="str">
            <v>00718440</v>
          </cell>
          <cell r="G675">
            <v>1385.5</v>
          </cell>
        </row>
        <row r="676">
          <cell r="E676" t="str">
            <v>00718437</v>
          </cell>
          <cell r="G676">
            <v>35.700000000000003</v>
          </cell>
        </row>
        <row r="677">
          <cell r="E677" t="str">
            <v>00718569</v>
          </cell>
          <cell r="G677">
            <v>520.3499999999998</v>
          </cell>
        </row>
        <row r="678">
          <cell r="E678" t="str">
            <v>00732315</v>
          </cell>
          <cell r="G678">
            <v>535.61999999999989</v>
          </cell>
        </row>
        <row r="679">
          <cell r="E679" t="str">
            <v>00725177</v>
          </cell>
          <cell r="G679">
            <v>45.84</v>
          </cell>
        </row>
        <row r="680">
          <cell r="E680" t="str">
            <v>00611873</v>
          </cell>
          <cell r="G680">
            <v>21.97</v>
          </cell>
        </row>
        <row r="681">
          <cell r="E681" t="str">
            <v>00734824</v>
          </cell>
          <cell r="G681">
            <v>23.2</v>
          </cell>
        </row>
        <row r="682">
          <cell r="E682" t="str">
            <v>00611871</v>
          </cell>
          <cell r="G682">
            <v>26.549999999999997</v>
          </cell>
        </row>
        <row r="683">
          <cell r="E683" t="str">
            <v>00608178</v>
          </cell>
          <cell r="G683">
            <v>6.6</v>
          </cell>
        </row>
        <row r="684">
          <cell r="E684" t="str">
            <v>00738116</v>
          </cell>
          <cell r="G684">
            <v>123.47</v>
          </cell>
        </row>
        <row r="685">
          <cell r="E685" t="str">
            <v>00734924</v>
          </cell>
          <cell r="G685">
            <v>66.84</v>
          </cell>
        </row>
        <row r="686">
          <cell r="E686" t="str">
            <v>00735596</v>
          </cell>
          <cell r="G686">
            <v>83.16</v>
          </cell>
        </row>
        <row r="687">
          <cell r="E687" t="str">
            <v>00718335</v>
          </cell>
          <cell r="G687">
            <v>10.15</v>
          </cell>
        </row>
        <row r="688">
          <cell r="E688" t="str">
            <v>00730915</v>
          </cell>
          <cell r="G688">
            <v>0</v>
          </cell>
        </row>
        <row r="689">
          <cell r="E689" t="str">
            <v>00735006</v>
          </cell>
          <cell r="G689">
            <v>87.169999999999987</v>
          </cell>
        </row>
        <row r="690">
          <cell r="E690" t="str">
            <v>00631680</v>
          </cell>
          <cell r="G690">
            <v>10.9</v>
          </cell>
        </row>
        <row r="691">
          <cell r="E691" t="str">
            <v>00730912</v>
          </cell>
          <cell r="G691">
            <v>23.16</v>
          </cell>
        </row>
        <row r="692">
          <cell r="E692" t="str">
            <v>00719188</v>
          </cell>
          <cell r="G692">
            <v>3</v>
          </cell>
        </row>
        <row r="693">
          <cell r="E693" t="str">
            <v>00719190</v>
          </cell>
          <cell r="G693">
            <v>20.239999999999998</v>
          </cell>
        </row>
        <row r="694">
          <cell r="E694" t="str">
            <v>00680828</v>
          </cell>
          <cell r="G694">
            <v>171.60000000000002</v>
          </cell>
        </row>
        <row r="695">
          <cell r="E695" t="str">
            <v>00680826</v>
          </cell>
          <cell r="G695">
            <v>7.5399999999999991</v>
          </cell>
        </row>
        <row r="696">
          <cell r="E696" t="str">
            <v>00722397</v>
          </cell>
          <cell r="G696">
            <v>0</v>
          </cell>
        </row>
        <row r="697">
          <cell r="E697" t="str">
            <v>00722398</v>
          </cell>
          <cell r="G697">
            <v>0</v>
          </cell>
        </row>
        <row r="698">
          <cell r="E698" t="str">
            <v>00722399</v>
          </cell>
          <cell r="G698">
            <v>0</v>
          </cell>
        </row>
        <row r="699">
          <cell r="E699" t="str">
            <v>00306266</v>
          </cell>
          <cell r="G699">
            <v>0</v>
          </cell>
        </row>
        <row r="700">
          <cell r="E700" t="str">
            <v>00722400</v>
          </cell>
          <cell r="G700">
            <v>0</v>
          </cell>
        </row>
        <row r="701">
          <cell r="E701" t="str">
            <v>00722401</v>
          </cell>
          <cell r="G701">
            <v>28.72</v>
          </cell>
        </row>
        <row r="702">
          <cell r="E702" t="str">
            <v>00722402</v>
          </cell>
          <cell r="G702">
            <v>85.92</v>
          </cell>
        </row>
        <row r="703">
          <cell r="E703" t="str">
            <v>00722403</v>
          </cell>
          <cell r="G703">
            <v>28.600000000000005</v>
          </cell>
        </row>
        <row r="704">
          <cell r="E704" t="str">
            <v>00680744</v>
          </cell>
          <cell r="G704">
            <v>0</v>
          </cell>
        </row>
        <row r="705">
          <cell r="E705" t="str">
            <v>00611348</v>
          </cell>
          <cell r="G705">
            <v>95.84</v>
          </cell>
        </row>
        <row r="706">
          <cell r="E706" t="str">
            <v>00646903</v>
          </cell>
          <cell r="G706">
            <v>17</v>
          </cell>
        </row>
        <row r="707">
          <cell r="E707" t="str">
            <v>00610641</v>
          </cell>
          <cell r="G707">
            <v>19.82</v>
          </cell>
        </row>
        <row r="708">
          <cell r="E708" t="str">
            <v>00610639</v>
          </cell>
          <cell r="G708">
            <v>67.77</v>
          </cell>
        </row>
        <row r="709">
          <cell r="E709" t="str">
            <v>00615188</v>
          </cell>
          <cell r="G709">
            <v>61.85</v>
          </cell>
        </row>
        <row r="710">
          <cell r="E710" t="str">
            <v>00615642</v>
          </cell>
          <cell r="G710">
            <v>419.02</v>
          </cell>
        </row>
        <row r="711">
          <cell r="E711" t="str">
            <v>00631293</v>
          </cell>
          <cell r="G711">
            <v>59.990000000000009</v>
          </cell>
        </row>
        <row r="712">
          <cell r="E712" t="str">
            <v>00615643</v>
          </cell>
          <cell r="G712">
            <v>71.080000000000013</v>
          </cell>
        </row>
        <row r="713">
          <cell r="E713" t="str">
            <v>00639885</v>
          </cell>
          <cell r="G713">
            <v>510</v>
          </cell>
        </row>
        <row r="714">
          <cell r="E714" t="str">
            <v>00683286</v>
          </cell>
          <cell r="G714">
            <v>73.62</v>
          </cell>
        </row>
        <row r="715">
          <cell r="E715" t="str">
            <v>00737309</v>
          </cell>
          <cell r="G715">
            <v>5.35</v>
          </cell>
        </row>
        <row r="716">
          <cell r="E716" t="str">
            <v>00737315</v>
          </cell>
          <cell r="G716">
            <v>8.1</v>
          </cell>
        </row>
        <row r="717">
          <cell r="E717" t="str">
            <v>00729827</v>
          </cell>
          <cell r="G717">
            <v>72.300000000000011</v>
          </cell>
        </row>
        <row r="718">
          <cell r="E718" t="str">
            <v>00729844</v>
          </cell>
          <cell r="G718">
            <v>5.18</v>
          </cell>
        </row>
        <row r="719">
          <cell r="E719" t="str">
            <v>00730821</v>
          </cell>
          <cell r="G719">
            <v>61.58</v>
          </cell>
        </row>
        <row r="720">
          <cell r="E720" t="str">
            <v>00730820</v>
          </cell>
          <cell r="G720">
            <v>45.15</v>
          </cell>
        </row>
        <row r="721">
          <cell r="E721" t="str">
            <v>00852728</v>
          </cell>
          <cell r="G721">
            <v>0</v>
          </cell>
        </row>
        <row r="722">
          <cell r="E722" t="str">
            <v>00852731</v>
          </cell>
          <cell r="G722">
            <v>39.700000000000003</v>
          </cell>
        </row>
        <row r="723">
          <cell r="E723" t="str">
            <v>00307676</v>
          </cell>
          <cell r="G723">
            <v>0</v>
          </cell>
        </row>
        <row r="724">
          <cell r="E724" t="str">
            <v>00730471</v>
          </cell>
          <cell r="G724">
            <v>4.38</v>
          </cell>
        </row>
        <row r="725">
          <cell r="E725" t="str">
            <v>00727114</v>
          </cell>
          <cell r="G725">
            <v>20.16</v>
          </cell>
        </row>
        <row r="726">
          <cell r="E726" t="str">
            <v>00728001</v>
          </cell>
          <cell r="G726">
            <v>4.3</v>
          </cell>
        </row>
        <row r="727">
          <cell r="E727" t="str">
            <v>00727999</v>
          </cell>
          <cell r="G727">
            <v>3.23</v>
          </cell>
        </row>
        <row r="728">
          <cell r="E728" t="str">
            <v>00730504</v>
          </cell>
          <cell r="G728">
            <v>12.33</v>
          </cell>
        </row>
        <row r="729">
          <cell r="E729" t="str">
            <v>00730752</v>
          </cell>
          <cell r="G729">
            <v>56.58</v>
          </cell>
        </row>
        <row r="730">
          <cell r="E730" t="str">
            <v>00730753</v>
          </cell>
          <cell r="G730">
            <v>70.239999999999995</v>
          </cell>
        </row>
        <row r="731">
          <cell r="E731" t="str">
            <v>00730754</v>
          </cell>
          <cell r="G731">
            <v>24</v>
          </cell>
        </row>
        <row r="732">
          <cell r="E732" t="str">
            <v>00730756</v>
          </cell>
          <cell r="G732">
            <v>32.36</v>
          </cell>
        </row>
        <row r="733">
          <cell r="E733" t="str">
            <v>00730744</v>
          </cell>
          <cell r="G733">
            <v>54.86</v>
          </cell>
        </row>
        <row r="734">
          <cell r="E734" t="str">
            <v>00730746</v>
          </cell>
          <cell r="G734">
            <v>27.43</v>
          </cell>
        </row>
        <row r="735">
          <cell r="E735" t="str">
            <v>00730747</v>
          </cell>
          <cell r="G735">
            <v>51.08</v>
          </cell>
        </row>
        <row r="736">
          <cell r="E736" t="str">
            <v>00730748</v>
          </cell>
          <cell r="G736">
            <v>15.93</v>
          </cell>
        </row>
        <row r="737">
          <cell r="E737" t="str">
            <v>00732927</v>
          </cell>
          <cell r="G737">
            <v>53.36</v>
          </cell>
        </row>
        <row r="738">
          <cell r="E738" t="str">
            <v>00732925</v>
          </cell>
          <cell r="G738">
            <v>20.580000000000002</v>
          </cell>
        </row>
        <row r="739">
          <cell r="E739" t="str">
            <v>00730769</v>
          </cell>
          <cell r="G739">
            <v>32.36</v>
          </cell>
        </row>
        <row r="740">
          <cell r="E740" t="str">
            <v>00730773</v>
          </cell>
          <cell r="G740">
            <v>92.65</v>
          </cell>
        </row>
        <row r="741">
          <cell r="E741" t="str">
            <v>00730770</v>
          </cell>
          <cell r="G741">
            <v>55.480000000000004</v>
          </cell>
        </row>
        <row r="742">
          <cell r="E742" t="str">
            <v>00730771</v>
          </cell>
          <cell r="G742">
            <v>80.92</v>
          </cell>
        </row>
        <row r="743">
          <cell r="E743" t="str">
            <v>00730772</v>
          </cell>
          <cell r="G743">
            <v>151.16</v>
          </cell>
        </row>
        <row r="744">
          <cell r="E744" t="str">
            <v>00730774</v>
          </cell>
          <cell r="G744">
            <v>22.42</v>
          </cell>
        </row>
        <row r="745">
          <cell r="E745" t="str">
            <v>00730762</v>
          </cell>
          <cell r="G745">
            <v>98.81</v>
          </cell>
        </row>
        <row r="746">
          <cell r="E746" t="str">
            <v>00730766</v>
          </cell>
          <cell r="G746">
            <v>40.72</v>
          </cell>
        </row>
        <row r="747">
          <cell r="E747" t="str">
            <v>00730767</v>
          </cell>
          <cell r="G747">
            <v>10.96</v>
          </cell>
        </row>
        <row r="748">
          <cell r="E748" t="str">
            <v>00730768</v>
          </cell>
          <cell r="G748">
            <v>20.36</v>
          </cell>
        </row>
        <row r="749">
          <cell r="E749" t="str">
            <v>00730760</v>
          </cell>
          <cell r="G749">
            <v>18.96</v>
          </cell>
        </row>
        <row r="750">
          <cell r="E750" t="str">
            <v>00730761</v>
          </cell>
          <cell r="G750">
            <v>50.24</v>
          </cell>
        </row>
        <row r="751">
          <cell r="E751" t="str">
            <v>00730763</v>
          </cell>
          <cell r="G751">
            <v>72.960000000000008</v>
          </cell>
        </row>
        <row r="752">
          <cell r="E752" t="str">
            <v>00730764</v>
          </cell>
          <cell r="G752">
            <v>49.04</v>
          </cell>
        </row>
        <row r="753">
          <cell r="E753" t="str">
            <v>00727116</v>
          </cell>
          <cell r="G753">
            <v>87.48</v>
          </cell>
        </row>
        <row r="754">
          <cell r="E754" t="str">
            <v>00737112</v>
          </cell>
          <cell r="G754">
            <v>12.76</v>
          </cell>
        </row>
        <row r="755">
          <cell r="E755" t="str">
            <v>00720203</v>
          </cell>
          <cell r="G755">
            <v>0</v>
          </cell>
        </row>
        <row r="756">
          <cell r="E756" t="str">
            <v>00718696</v>
          </cell>
          <cell r="G756">
            <v>34.56</v>
          </cell>
        </row>
        <row r="757">
          <cell r="E757" t="str">
            <v>00441658</v>
          </cell>
          <cell r="G757">
            <v>-558.84</v>
          </cell>
        </row>
        <row r="758">
          <cell r="E758" t="str">
            <v>00423617</v>
          </cell>
          <cell r="G758">
            <v>31.2</v>
          </cell>
        </row>
        <row r="759">
          <cell r="E759" t="str">
            <v>00423619</v>
          </cell>
          <cell r="G759">
            <v>15.67</v>
          </cell>
        </row>
        <row r="760">
          <cell r="E760" t="str">
            <v>00423620</v>
          </cell>
          <cell r="G760">
            <v>691.81000000000006</v>
          </cell>
        </row>
        <row r="761">
          <cell r="E761" t="str">
            <v>00441639</v>
          </cell>
          <cell r="G761">
            <v>71.260000000000005</v>
          </cell>
        </row>
        <row r="762">
          <cell r="E762" t="str">
            <v>00441637</v>
          </cell>
          <cell r="G762">
            <v>0</v>
          </cell>
        </row>
        <row r="763">
          <cell r="E763" t="str">
            <v>00441647</v>
          </cell>
          <cell r="G763">
            <v>0</v>
          </cell>
        </row>
        <row r="764">
          <cell r="E764" t="str">
            <v>00441648</v>
          </cell>
          <cell r="G764">
            <v>0</v>
          </cell>
        </row>
        <row r="765">
          <cell r="E765" t="str">
            <v>00441656</v>
          </cell>
          <cell r="G765">
            <v>0</v>
          </cell>
        </row>
        <row r="766">
          <cell r="E766" t="str">
            <v>00643664</v>
          </cell>
          <cell r="G766">
            <v>1390</v>
          </cell>
        </row>
        <row r="767">
          <cell r="E767" t="str">
            <v>00611041</v>
          </cell>
          <cell r="G767">
            <v>520.49999999999989</v>
          </cell>
        </row>
        <row r="768">
          <cell r="E768" t="str">
            <v>00680991</v>
          </cell>
          <cell r="G768">
            <v>10.65</v>
          </cell>
        </row>
        <row r="769">
          <cell r="E769" t="str">
            <v>00853258</v>
          </cell>
          <cell r="G769">
            <v>182.12</v>
          </cell>
        </row>
        <row r="770">
          <cell r="E770" t="str">
            <v>00680316</v>
          </cell>
          <cell r="G770">
            <v>102.14</v>
          </cell>
        </row>
        <row r="771">
          <cell r="E771" t="str">
            <v>00611042</v>
          </cell>
          <cell r="G771">
            <v>146.43</v>
          </cell>
        </row>
        <row r="772">
          <cell r="E772" t="str">
            <v>00633160</v>
          </cell>
          <cell r="G772">
            <v>23.97</v>
          </cell>
        </row>
        <row r="773">
          <cell r="E773" t="str">
            <v>00611512</v>
          </cell>
          <cell r="G773">
            <v>9</v>
          </cell>
        </row>
        <row r="774">
          <cell r="E774" t="str">
            <v>00611513</v>
          </cell>
          <cell r="G774">
            <v>23.04</v>
          </cell>
        </row>
        <row r="775">
          <cell r="E775" t="str">
            <v>00611514</v>
          </cell>
          <cell r="G775">
            <v>21.55</v>
          </cell>
        </row>
        <row r="776">
          <cell r="E776" t="str">
            <v>00423205</v>
          </cell>
          <cell r="G776">
            <v>43.33</v>
          </cell>
        </row>
        <row r="777">
          <cell r="E777" t="str">
            <v>00423209</v>
          </cell>
          <cell r="G777">
            <v>17.84</v>
          </cell>
        </row>
        <row r="778">
          <cell r="E778" t="str">
            <v>00305048</v>
          </cell>
          <cell r="G778">
            <v>297.5</v>
          </cell>
        </row>
        <row r="779">
          <cell r="E779" t="str">
            <v>00305050</v>
          </cell>
          <cell r="G779">
            <v>218.25</v>
          </cell>
        </row>
        <row r="780">
          <cell r="E780" t="str">
            <v>00272495</v>
          </cell>
          <cell r="G780">
            <v>46.8</v>
          </cell>
        </row>
        <row r="781">
          <cell r="E781" t="str">
            <v>00423217</v>
          </cell>
          <cell r="G781">
            <v>-766.22</v>
          </cell>
        </row>
        <row r="782">
          <cell r="E782" t="str">
            <v>00452931</v>
          </cell>
          <cell r="G782">
            <v>-1120.8599999999999</v>
          </cell>
        </row>
        <row r="783">
          <cell r="E783" t="str">
            <v>00452930</v>
          </cell>
          <cell r="G783">
            <v>2612.1299999999997</v>
          </cell>
        </row>
        <row r="784">
          <cell r="E784" t="str">
            <v>00301842</v>
          </cell>
          <cell r="G784">
            <v>510.6</v>
          </cell>
        </row>
        <row r="785">
          <cell r="E785" t="str">
            <v>00302432</v>
          </cell>
          <cell r="G785">
            <v>0</v>
          </cell>
        </row>
        <row r="786">
          <cell r="E786" t="str">
            <v>00302435</v>
          </cell>
          <cell r="G786">
            <v>99.86</v>
          </cell>
        </row>
        <row r="787">
          <cell r="E787" t="str">
            <v>00306525</v>
          </cell>
          <cell r="G787">
            <v>-115.42</v>
          </cell>
        </row>
        <row r="788">
          <cell r="E788" t="str">
            <v>00306524</v>
          </cell>
          <cell r="G788">
            <v>58.89</v>
          </cell>
        </row>
        <row r="789">
          <cell r="E789" t="str">
            <v>00423693</v>
          </cell>
          <cell r="G789">
            <v>22.63</v>
          </cell>
        </row>
        <row r="790">
          <cell r="E790" t="str">
            <v>00423743</v>
          </cell>
          <cell r="G790">
            <v>50.68</v>
          </cell>
        </row>
        <row r="791">
          <cell r="E791" t="str">
            <v>00423753</v>
          </cell>
          <cell r="G791">
            <v>22.63</v>
          </cell>
        </row>
        <row r="792">
          <cell r="E792" t="str">
            <v>00423741</v>
          </cell>
          <cell r="G792">
            <v>12.67</v>
          </cell>
        </row>
        <row r="793">
          <cell r="E793" t="str">
            <v>00423694</v>
          </cell>
          <cell r="G793">
            <v>59.1</v>
          </cell>
        </row>
        <row r="794">
          <cell r="E794" t="str">
            <v>00301587</v>
          </cell>
          <cell r="G794">
            <v>24.7</v>
          </cell>
        </row>
        <row r="795">
          <cell r="E795" t="str">
            <v>00304957</v>
          </cell>
          <cell r="G795">
            <v>9.52</v>
          </cell>
        </row>
        <row r="796">
          <cell r="E796" t="str">
            <v>00305054</v>
          </cell>
          <cell r="G796">
            <v>575.30999999999995</v>
          </cell>
        </row>
        <row r="797">
          <cell r="E797" t="str">
            <v>00305053</v>
          </cell>
          <cell r="G797">
            <v>1265.8399999999999</v>
          </cell>
        </row>
        <row r="798">
          <cell r="E798" t="str">
            <v>00305061</v>
          </cell>
          <cell r="G798">
            <v>9.52</v>
          </cell>
        </row>
        <row r="799">
          <cell r="E799" t="str">
            <v>00307668</v>
          </cell>
          <cell r="G799">
            <v>5707.8899999999994</v>
          </cell>
        </row>
        <row r="800">
          <cell r="E800" t="str">
            <v>00309454</v>
          </cell>
          <cell r="G800">
            <v>38.090000000000003</v>
          </cell>
        </row>
        <row r="801">
          <cell r="E801" t="str">
            <v>00306950</v>
          </cell>
          <cell r="G801">
            <v>414</v>
          </cell>
        </row>
        <row r="802">
          <cell r="E802" t="str">
            <v>00301805</v>
          </cell>
          <cell r="G802">
            <v>138.18</v>
          </cell>
        </row>
        <row r="803">
          <cell r="E803" t="str">
            <v>00423494</v>
          </cell>
          <cell r="G803">
            <v>23.839999999999996</v>
          </cell>
        </row>
        <row r="804">
          <cell r="E804" t="str">
            <v>00423498</v>
          </cell>
          <cell r="G804">
            <v>-11.92</v>
          </cell>
        </row>
        <row r="805">
          <cell r="E805" t="str">
            <v>00423502</v>
          </cell>
          <cell r="G805">
            <v>-147.04999999999998</v>
          </cell>
        </row>
        <row r="806">
          <cell r="E806" t="str">
            <v>00307900</v>
          </cell>
          <cell r="G806">
            <v>-56.010000000000005</v>
          </cell>
        </row>
        <row r="807">
          <cell r="E807" t="str">
            <v>00307899</v>
          </cell>
          <cell r="G807">
            <v>-11.92</v>
          </cell>
        </row>
        <row r="808">
          <cell r="E808" t="str">
            <v>00306893</v>
          </cell>
          <cell r="G808">
            <v>59.599999999999994</v>
          </cell>
        </row>
        <row r="809">
          <cell r="E809" t="str">
            <v>00301675</v>
          </cell>
          <cell r="G809">
            <v>31.34</v>
          </cell>
        </row>
        <row r="810">
          <cell r="E810" t="str">
            <v>00304962</v>
          </cell>
          <cell r="G810">
            <v>-202.2</v>
          </cell>
        </row>
        <row r="811">
          <cell r="E811" t="str">
            <v>00301674</v>
          </cell>
          <cell r="G811">
            <v>-160.12</v>
          </cell>
        </row>
        <row r="812">
          <cell r="E812" t="str">
            <v>00304969</v>
          </cell>
          <cell r="G812">
            <v>0</v>
          </cell>
        </row>
        <row r="813">
          <cell r="E813" t="str">
            <v>00301632</v>
          </cell>
          <cell r="G813">
            <v>42.24</v>
          </cell>
        </row>
        <row r="814">
          <cell r="E814" t="str">
            <v>00301830</v>
          </cell>
          <cell r="G814">
            <v>17.79</v>
          </cell>
        </row>
        <row r="815">
          <cell r="E815" t="str">
            <v>00423466</v>
          </cell>
          <cell r="G815">
            <v>198.78000000000003</v>
          </cell>
        </row>
        <row r="816">
          <cell r="E816" t="str">
            <v>00423470</v>
          </cell>
          <cell r="G816">
            <v>16.899999999999999</v>
          </cell>
        </row>
        <row r="817">
          <cell r="E817" t="str">
            <v>00305998</v>
          </cell>
          <cell r="G817">
            <v>-18.82</v>
          </cell>
        </row>
        <row r="818">
          <cell r="E818" t="str">
            <v>00306000</v>
          </cell>
          <cell r="G818">
            <v>-19.86</v>
          </cell>
        </row>
        <row r="819">
          <cell r="E819" t="str">
            <v>00301651</v>
          </cell>
          <cell r="G819">
            <v>17.88</v>
          </cell>
        </row>
        <row r="820">
          <cell r="E820" t="str">
            <v>00301638</v>
          </cell>
          <cell r="G820">
            <v>8.86</v>
          </cell>
        </row>
        <row r="821">
          <cell r="E821" t="str">
            <v>00301640</v>
          </cell>
          <cell r="G821">
            <v>-8.77</v>
          </cell>
        </row>
        <row r="822">
          <cell r="E822" t="str">
            <v>00304977</v>
          </cell>
          <cell r="G822">
            <v>-308.28000000000003</v>
          </cell>
        </row>
        <row r="823">
          <cell r="E823" t="str">
            <v>00301818</v>
          </cell>
          <cell r="G823">
            <v>52.269999999999996</v>
          </cell>
        </row>
        <row r="824">
          <cell r="E824" t="str">
            <v>00301817</v>
          </cell>
          <cell r="G824">
            <v>26.37</v>
          </cell>
        </row>
        <row r="825">
          <cell r="E825" t="str">
            <v>00301819</v>
          </cell>
          <cell r="G825">
            <v>351.18999999999994</v>
          </cell>
        </row>
        <row r="826">
          <cell r="E826" t="str">
            <v>00358302</v>
          </cell>
          <cell r="G826">
            <v>99.98</v>
          </cell>
        </row>
        <row r="827">
          <cell r="E827" t="str">
            <v>00304988</v>
          </cell>
          <cell r="G827">
            <v>-52</v>
          </cell>
        </row>
        <row r="828">
          <cell r="E828" t="str">
            <v>00304991</v>
          </cell>
          <cell r="G828">
            <v>-66.11</v>
          </cell>
        </row>
        <row r="829">
          <cell r="E829" t="str">
            <v>00309599</v>
          </cell>
          <cell r="G829">
            <v>22.49</v>
          </cell>
        </row>
        <row r="830">
          <cell r="E830" t="str">
            <v>00305025</v>
          </cell>
          <cell r="G830">
            <v>-18</v>
          </cell>
        </row>
        <row r="831">
          <cell r="E831" t="str">
            <v>00306948</v>
          </cell>
          <cell r="G831">
            <v>88.5</v>
          </cell>
        </row>
        <row r="832">
          <cell r="E832" t="str">
            <v>00301743</v>
          </cell>
          <cell r="G832">
            <v>319.48</v>
          </cell>
        </row>
        <row r="833">
          <cell r="E833" t="str">
            <v>00301696</v>
          </cell>
          <cell r="G833">
            <v>0</v>
          </cell>
        </row>
        <row r="834">
          <cell r="E834" t="str">
            <v>00353757</v>
          </cell>
          <cell r="G834">
            <v>0</v>
          </cell>
        </row>
        <row r="835">
          <cell r="E835" t="str">
            <v>00301697</v>
          </cell>
          <cell r="G835">
            <v>1548.14</v>
          </cell>
        </row>
        <row r="836">
          <cell r="E836" t="str">
            <v>00307552</v>
          </cell>
          <cell r="G836">
            <v>69.25</v>
          </cell>
        </row>
        <row r="837">
          <cell r="E837" t="str">
            <v>00305857</v>
          </cell>
          <cell r="G837">
            <v>143.96</v>
          </cell>
        </row>
        <row r="838">
          <cell r="E838" t="str">
            <v>00301637</v>
          </cell>
          <cell r="G838">
            <v>33.99</v>
          </cell>
        </row>
        <row r="839">
          <cell r="E839" t="str">
            <v>00435196</v>
          </cell>
          <cell r="G839">
            <v>39.39</v>
          </cell>
        </row>
        <row r="840">
          <cell r="E840" t="str">
            <v>00435201</v>
          </cell>
          <cell r="G840">
            <v>-17.829999999999998</v>
          </cell>
        </row>
        <row r="841">
          <cell r="E841" t="str">
            <v>00435203</v>
          </cell>
          <cell r="G841">
            <v>-120.56</v>
          </cell>
        </row>
        <row r="842">
          <cell r="E842" t="str">
            <v>00435204</v>
          </cell>
          <cell r="G842">
            <v>-17.829999999999998</v>
          </cell>
        </row>
        <row r="843">
          <cell r="E843" t="str">
            <v>00435208</v>
          </cell>
          <cell r="G843">
            <v>-60.28</v>
          </cell>
        </row>
        <row r="844">
          <cell r="E844" t="str">
            <v>00306911</v>
          </cell>
          <cell r="G844">
            <v>-11.92</v>
          </cell>
        </row>
        <row r="845">
          <cell r="E845" t="str">
            <v>00306913</v>
          </cell>
          <cell r="G845">
            <v>-35.06</v>
          </cell>
        </row>
        <row r="846">
          <cell r="E846" t="str">
            <v>00326781</v>
          </cell>
          <cell r="G846">
            <v>2.5</v>
          </cell>
        </row>
        <row r="847">
          <cell r="E847" t="str">
            <v>00736046</v>
          </cell>
          <cell r="G847">
            <v>55.34</v>
          </cell>
        </row>
        <row r="848">
          <cell r="E848" t="str">
            <v>00324702</v>
          </cell>
          <cell r="G848">
            <v>91.65</v>
          </cell>
        </row>
        <row r="849">
          <cell r="E849" t="str">
            <v>00324714</v>
          </cell>
          <cell r="G849">
            <v>128.05000000000001</v>
          </cell>
        </row>
        <row r="850">
          <cell r="E850" t="str">
            <v>00302874</v>
          </cell>
          <cell r="G850">
            <v>49.47</v>
          </cell>
        </row>
        <row r="851">
          <cell r="E851" t="str">
            <v>00389407</v>
          </cell>
          <cell r="G851">
            <v>50</v>
          </cell>
        </row>
        <row r="852">
          <cell r="E852" t="str">
            <v>00301765</v>
          </cell>
          <cell r="G852">
            <v>25</v>
          </cell>
        </row>
        <row r="853">
          <cell r="E853" t="str">
            <v>00386176</v>
          </cell>
          <cell r="G853">
            <v>51.67</v>
          </cell>
        </row>
        <row r="854">
          <cell r="E854" t="str">
            <v>00306537</v>
          </cell>
          <cell r="G854">
            <v>92.56</v>
          </cell>
        </row>
        <row r="855">
          <cell r="E855" t="str">
            <v>00301763</v>
          </cell>
          <cell r="G855">
            <v>25</v>
          </cell>
        </row>
        <row r="856">
          <cell r="E856" t="str">
            <v>00305044</v>
          </cell>
          <cell r="G856">
            <v>76.28</v>
          </cell>
        </row>
        <row r="857">
          <cell r="E857" t="str">
            <v>00305045</v>
          </cell>
          <cell r="G857">
            <v>1195.6299999999999</v>
          </cell>
        </row>
        <row r="858">
          <cell r="E858" t="str">
            <v>00423862</v>
          </cell>
          <cell r="G858">
            <v>742.56999999999994</v>
          </cell>
        </row>
        <row r="859">
          <cell r="E859" t="str">
            <v>00423863</v>
          </cell>
          <cell r="G859">
            <v>9392.1000000000022</v>
          </cell>
        </row>
        <row r="860">
          <cell r="E860" t="str">
            <v>00423864</v>
          </cell>
          <cell r="G860">
            <v>4334.53</v>
          </cell>
        </row>
        <row r="861">
          <cell r="E861" t="str">
            <v>00305331</v>
          </cell>
          <cell r="G861">
            <v>176.70000000000002</v>
          </cell>
        </row>
        <row r="862">
          <cell r="E862" t="str">
            <v>00423257</v>
          </cell>
          <cell r="G862">
            <v>37.86</v>
          </cell>
        </row>
        <row r="863">
          <cell r="E863" t="str">
            <v>00423258</v>
          </cell>
          <cell r="G863">
            <v>698.68000000000006</v>
          </cell>
        </row>
        <row r="864">
          <cell r="E864" t="str">
            <v>00447551</v>
          </cell>
          <cell r="G864">
            <v>213.96</v>
          </cell>
        </row>
        <row r="865">
          <cell r="E865" t="str">
            <v>00305029</v>
          </cell>
          <cell r="G865">
            <v>106.98</v>
          </cell>
        </row>
        <row r="866">
          <cell r="E866" t="str">
            <v>00305039</v>
          </cell>
          <cell r="G866">
            <v>13.69</v>
          </cell>
        </row>
        <row r="867">
          <cell r="E867" t="str">
            <v>00305038</v>
          </cell>
          <cell r="G867">
            <v>93.45</v>
          </cell>
        </row>
        <row r="868">
          <cell r="E868" t="str">
            <v>00389447</v>
          </cell>
          <cell r="G868">
            <v>116.19999999999999</v>
          </cell>
        </row>
        <row r="869">
          <cell r="E869" t="str">
            <v>00301753</v>
          </cell>
          <cell r="G869">
            <v>736.48</v>
          </cell>
        </row>
        <row r="870">
          <cell r="E870" t="str">
            <v>00304930</v>
          </cell>
          <cell r="G870">
            <v>-125.49999999999999</v>
          </cell>
        </row>
        <row r="871">
          <cell r="E871" t="str">
            <v>00301471</v>
          </cell>
          <cell r="G871">
            <v>19.8</v>
          </cell>
        </row>
        <row r="872">
          <cell r="E872" t="str">
            <v>00447296</v>
          </cell>
          <cell r="G872">
            <v>33.299999999999997</v>
          </cell>
        </row>
        <row r="873">
          <cell r="E873" t="str">
            <v>00301461</v>
          </cell>
          <cell r="G873">
            <v>8.68</v>
          </cell>
        </row>
        <row r="874">
          <cell r="E874" t="str">
            <v>00304905</v>
          </cell>
          <cell r="G874">
            <v>0</v>
          </cell>
        </row>
        <row r="875">
          <cell r="E875" t="str">
            <v>00301454</v>
          </cell>
          <cell r="G875">
            <v>36.799999999999997</v>
          </cell>
        </row>
        <row r="876">
          <cell r="E876" t="str">
            <v>00307053</v>
          </cell>
          <cell r="G876">
            <v>162.36000000000001</v>
          </cell>
        </row>
        <row r="877">
          <cell r="E877" t="str">
            <v>00447600</v>
          </cell>
          <cell r="G877">
            <v>66</v>
          </cell>
        </row>
        <row r="878">
          <cell r="E878" t="str">
            <v>00301508</v>
          </cell>
          <cell r="G878">
            <v>22.5</v>
          </cell>
        </row>
        <row r="879">
          <cell r="E879" t="str">
            <v>00305330</v>
          </cell>
          <cell r="G879">
            <v>-70.680000000000007</v>
          </cell>
        </row>
        <row r="880">
          <cell r="E880" t="str">
            <v>00305446</v>
          </cell>
          <cell r="G880">
            <v>-43.98</v>
          </cell>
        </row>
        <row r="881">
          <cell r="E881" t="str">
            <v>00301832</v>
          </cell>
          <cell r="G881">
            <v>6.08</v>
          </cell>
        </row>
        <row r="882">
          <cell r="E882" t="str">
            <v>00301486</v>
          </cell>
          <cell r="G882">
            <v>19.919999999999998</v>
          </cell>
        </row>
        <row r="883">
          <cell r="E883" t="str">
            <v>00304913</v>
          </cell>
          <cell r="G883">
            <v>-10.67</v>
          </cell>
        </row>
        <row r="884">
          <cell r="E884" t="str">
            <v>00430609</v>
          </cell>
          <cell r="G884">
            <v>53</v>
          </cell>
        </row>
        <row r="885">
          <cell r="E885" t="str">
            <v>00447298</v>
          </cell>
          <cell r="G885">
            <v>-2037.84</v>
          </cell>
        </row>
        <row r="886">
          <cell r="E886" t="str">
            <v>00447294</v>
          </cell>
          <cell r="G886">
            <v>-57.58</v>
          </cell>
        </row>
        <row r="887">
          <cell r="E887" t="str">
            <v>00447299</v>
          </cell>
          <cell r="G887">
            <v>610.12</v>
          </cell>
        </row>
        <row r="888">
          <cell r="E888" t="str">
            <v>00301877</v>
          </cell>
          <cell r="G888">
            <v>69.03</v>
          </cell>
        </row>
        <row r="889">
          <cell r="E889" t="str">
            <v>00305950</v>
          </cell>
          <cell r="G889">
            <v>42.88</v>
          </cell>
        </row>
        <row r="890">
          <cell r="E890" t="str">
            <v>00307970</v>
          </cell>
          <cell r="G890">
            <v>33.76</v>
          </cell>
        </row>
        <row r="891">
          <cell r="E891" t="str">
            <v>00305953</v>
          </cell>
          <cell r="G891">
            <v>57.25</v>
          </cell>
        </row>
        <row r="892">
          <cell r="E892" t="str">
            <v>00303158</v>
          </cell>
          <cell r="G892">
            <v>91.75</v>
          </cell>
        </row>
        <row r="893">
          <cell r="E893" t="str">
            <v>00303160</v>
          </cell>
          <cell r="G893">
            <v>128.44999999999999</v>
          </cell>
        </row>
        <row r="894">
          <cell r="E894" t="str">
            <v>00303159</v>
          </cell>
          <cell r="G894">
            <v>55.05</v>
          </cell>
        </row>
        <row r="895">
          <cell r="E895" t="str">
            <v>00304851</v>
          </cell>
          <cell r="G895">
            <v>249.52</v>
          </cell>
        </row>
        <row r="896">
          <cell r="E896" t="str">
            <v>00307972</v>
          </cell>
          <cell r="G896">
            <v>157.68</v>
          </cell>
        </row>
        <row r="897">
          <cell r="E897" t="str">
            <v>00308192</v>
          </cell>
          <cell r="G897">
            <v>56.480000000000004</v>
          </cell>
        </row>
        <row r="898">
          <cell r="E898" t="str">
            <v>00301859</v>
          </cell>
          <cell r="G898">
            <v>296.10000000000002</v>
          </cell>
        </row>
        <row r="899">
          <cell r="E899" t="str">
            <v>00301861</v>
          </cell>
          <cell r="G899">
            <v>1903.5</v>
          </cell>
        </row>
        <row r="900">
          <cell r="E900" t="str">
            <v>00304855</v>
          </cell>
          <cell r="G900">
            <v>10.7</v>
          </cell>
        </row>
        <row r="901">
          <cell r="E901" t="str">
            <v>00304862</v>
          </cell>
          <cell r="G901">
            <v>132.99</v>
          </cell>
        </row>
        <row r="902">
          <cell r="E902" t="str">
            <v>00303391</v>
          </cell>
          <cell r="G902">
            <v>300.50999999999993</v>
          </cell>
        </row>
        <row r="903">
          <cell r="E903" t="str">
            <v>00303393</v>
          </cell>
          <cell r="G903">
            <v>550.89</v>
          </cell>
        </row>
        <row r="904">
          <cell r="E904" t="str">
            <v>00308138</v>
          </cell>
          <cell r="G904">
            <v>42.52</v>
          </cell>
        </row>
        <row r="905">
          <cell r="E905" t="str">
            <v>00423687</v>
          </cell>
          <cell r="G905">
            <v>13.25</v>
          </cell>
        </row>
        <row r="906">
          <cell r="E906" t="str">
            <v>00301981</v>
          </cell>
          <cell r="G906">
            <v>22.76</v>
          </cell>
        </row>
        <row r="907">
          <cell r="E907" t="str">
            <v>00302000</v>
          </cell>
          <cell r="G907">
            <v>133.41</v>
          </cell>
        </row>
        <row r="908">
          <cell r="E908" t="str">
            <v>00301987</v>
          </cell>
          <cell r="G908">
            <v>8.3800000000000008</v>
          </cell>
        </row>
        <row r="909">
          <cell r="E909" t="str">
            <v>00301979</v>
          </cell>
          <cell r="G909">
            <v>6.18</v>
          </cell>
        </row>
        <row r="910">
          <cell r="E910" t="str">
            <v>00301980</v>
          </cell>
          <cell r="G910">
            <v>128.64000000000001</v>
          </cell>
        </row>
        <row r="911">
          <cell r="E911" t="str">
            <v>00301991</v>
          </cell>
          <cell r="G911">
            <v>8.3800000000000008</v>
          </cell>
        </row>
        <row r="912">
          <cell r="E912" t="str">
            <v>00301985</v>
          </cell>
          <cell r="G912">
            <v>7.8</v>
          </cell>
        </row>
        <row r="913">
          <cell r="E913" t="str">
            <v>00301986</v>
          </cell>
          <cell r="G913">
            <v>23.03</v>
          </cell>
        </row>
        <row r="914">
          <cell r="E914" t="str">
            <v>00301993</v>
          </cell>
          <cell r="G914">
            <v>24.560000000000002</v>
          </cell>
        </row>
        <row r="915">
          <cell r="E915" t="str">
            <v>00301990</v>
          </cell>
          <cell r="G915">
            <v>242.20000000000002</v>
          </cell>
        </row>
        <row r="916">
          <cell r="E916" t="str">
            <v>00305948</v>
          </cell>
          <cell r="G916">
            <v>21.44</v>
          </cell>
        </row>
        <row r="917">
          <cell r="E917" t="str">
            <v>00301983</v>
          </cell>
          <cell r="G917">
            <v>7.8</v>
          </cell>
        </row>
        <row r="918">
          <cell r="E918" t="str">
            <v>00301937</v>
          </cell>
          <cell r="G918">
            <v>57.25</v>
          </cell>
        </row>
        <row r="919">
          <cell r="E919" t="str">
            <v>00301939</v>
          </cell>
          <cell r="G919">
            <v>31.440000000000005</v>
          </cell>
        </row>
        <row r="920">
          <cell r="E920" t="str">
            <v>00301965</v>
          </cell>
          <cell r="G920">
            <v>18.39</v>
          </cell>
        </row>
        <row r="921">
          <cell r="E921" t="str">
            <v>00301966</v>
          </cell>
          <cell r="G921">
            <v>159.52000000000001</v>
          </cell>
        </row>
        <row r="922">
          <cell r="E922" t="str">
            <v>00301959</v>
          </cell>
          <cell r="G922">
            <v>6.13</v>
          </cell>
        </row>
        <row r="923">
          <cell r="E923" t="str">
            <v>00301953</v>
          </cell>
          <cell r="G923">
            <v>25.659999999999997</v>
          </cell>
        </row>
        <row r="924">
          <cell r="E924" t="str">
            <v>00301955</v>
          </cell>
          <cell r="G924">
            <v>431.54</v>
          </cell>
        </row>
        <row r="925">
          <cell r="E925" t="str">
            <v>00301944</v>
          </cell>
          <cell r="G925">
            <v>12.71</v>
          </cell>
        </row>
        <row r="926">
          <cell r="E926" t="str">
            <v>00301945</v>
          </cell>
          <cell r="G926">
            <v>15.72</v>
          </cell>
        </row>
        <row r="927">
          <cell r="E927" t="str">
            <v>00301946</v>
          </cell>
          <cell r="G927">
            <v>82.800000000000011</v>
          </cell>
        </row>
        <row r="928">
          <cell r="E928" t="str">
            <v>00302003</v>
          </cell>
          <cell r="G928">
            <v>147.77999999999997</v>
          </cell>
        </row>
        <row r="929">
          <cell r="E929" t="str">
            <v>00423535</v>
          </cell>
          <cell r="G929">
            <v>207.62</v>
          </cell>
        </row>
        <row r="930">
          <cell r="E930" t="str">
            <v>00302005</v>
          </cell>
          <cell r="G930">
            <v>1219.8699999999999</v>
          </cell>
        </row>
        <row r="931">
          <cell r="E931" t="str">
            <v>00301975</v>
          </cell>
          <cell r="G931">
            <v>89.88</v>
          </cell>
        </row>
        <row r="932">
          <cell r="E932" t="str">
            <v>00301977</v>
          </cell>
          <cell r="G932">
            <v>128.32999999999998</v>
          </cell>
        </row>
        <row r="933">
          <cell r="E933" t="str">
            <v>00301978</v>
          </cell>
          <cell r="G933">
            <v>115.50999999999999</v>
          </cell>
        </row>
        <row r="934">
          <cell r="E934" t="str">
            <v>00301931</v>
          </cell>
          <cell r="G934">
            <v>15.469999999999999</v>
          </cell>
        </row>
        <row r="935">
          <cell r="E935" t="str">
            <v>00301932</v>
          </cell>
          <cell r="G935">
            <v>68.55</v>
          </cell>
        </row>
        <row r="936">
          <cell r="E936" t="str">
            <v>00264696</v>
          </cell>
          <cell r="G936">
            <v>612.17999999999995</v>
          </cell>
        </row>
        <row r="937">
          <cell r="E937" t="str">
            <v>00264698</v>
          </cell>
          <cell r="G937">
            <v>17.100000000000001</v>
          </cell>
        </row>
        <row r="938">
          <cell r="E938" t="str">
            <v>00264725</v>
          </cell>
          <cell r="G938">
            <v>706.5</v>
          </cell>
        </row>
        <row r="939">
          <cell r="E939" t="str">
            <v>00264726</v>
          </cell>
          <cell r="G939">
            <v>1468.0500000000002</v>
          </cell>
        </row>
        <row r="940">
          <cell r="E940" t="str">
            <v>00264731</v>
          </cell>
          <cell r="G940">
            <v>129.19</v>
          </cell>
        </row>
        <row r="941">
          <cell r="E941" t="str">
            <v>00264732</v>
          </cell>
          <cell r="G941">
            <v>1098.1100000000001</v>
          </cell>
        </row>
        <row r="942">
          <cell r="E942" t="str">
            <v>00305778</v>
          </cell>
          <cell r="G942">
            <v>-48.03</v>
          </cell>
        </row>
        <row r="943">
          <cell r="E943" t="str">
            <v>00264736</v>
          </cell>
          <cell r="G943">
            <v>640.4</v>
          </cell>
        </row>
        <row r="944">
          <cell r="E944" t="str">
            <v>00264738</v>
          </cell>
          <cell r="G944">
            <v>107.67</v>
          </cell>
        </row>
        <row r="945">
          <cell r="E945" t="str">
            <v>00305780</v>
          </cell>
          <cell r="G945">
            <v>192.7</v>
          </cell>
        </row>
        <row r="946">
          <cell r="E946" t="str">
            <v>00264619</v>
          </cell>
          <cell r="G946">
            <v>41.48</v>
          </cell>
        </row>
        <row r="947">
          <cell r="E947" t="str">
            <v>00264620</v>
          </cell>
          <cell r="G947">
            <v>45.12</v>
          </cell>
        </row>
        <row r="948">
          <cell r="E948" t="str">
            <v>00305839</v>
          </cell>
          <cell r="G948">
            <v>59.35</v>
          </cell>
        </row>
        <row r="949">
          <cell r="E949" t="str">
            <v>00306728</v>
          </cell>
          <cell r="G949">
            <v>35.480000000000004</v>
          </cell>
        </row>
        <row r="950">
          <cell r="E950" t="str">
            <v>00306723</v>
          </cell>
          <cell r="G950">
            <v>18.670000000000002</v>
          </cell>
        </row>
        <row r="951">
          <cell r="E951" t="str">
            <v>00305837</v>
          </cell>
          <cell r="G951">
            <v>7.93</v>
          </cell>
        </row>
        <row r="952">
          <cell r="E952" t="str">
            <v>00305835</v>
          </cell>
          <cell r="G952">
            <v>859.2700000000001</v>
          </cell>
        </row>
        <row r="953">
          <cell r="E953" t="str">
            <v>00305844</v>
          </cell>
          <cell r="G953">
            <v>27.38</v>
          </cell>
        </row>
        <row r="954">
          <cell r="E954" t="str">
            <v>00305843</v>
          </cell>
          <cell r="G954">
            <v>42.57</v>
          </cell>
        </row>
        <row r="955">
          <cell r="E955" t="str">
            <v>00264365</v>
          </cell>
          <cell r="G955">
            <v>50.24</v>
          </cell>
        </row>
        <row r="956">
          <cell r="E956" t="str">
            <v>00306715</v>
          </cell>
          <cell r="G956">
            <v>17.739999999999998</v>
          </cell>
        </row>
        <row r="957">
          <cell r="E957" t="str">
            <v>00306720</v>
          </cell>
          <cell r="G957">
            <v>66.959999999999994</v>
          </cell>
        </row>
        <row r="958">
          <cell r="E958" t="str">
            <v>00264637</v>
          </cell>
          <cell r="G958">
            <v>6.32</v>
          </cell>
        </row>
        <row r="959">
          <cell r="E959" t="str">
            <v>00264639</v>
          </cell>
          <cell r="G959">
            <v>56.33</v>
          </cell>
        </row>
        <row r="960">
          <cell r="E960" t="str">
            <v>00264605</v>
          </cell>
          <cell r="G960">
            <v>6.32</v>
          </cell>
        </row>
        <row r="961">
          <cell r="E961" t="str">
            <v>00264604</v>
          </cell>
          <cell r="G961">
            <v>42.8</v>
          </cell>
        </row>
        <row r="962">
          <cell r="E962" t="str">
            <v>00264606</v>
          </cell>
          <cell r="G962">
            <v>221.10999999999999</v>
          </cell>
        </row>
        <row r="963">
          <cell r="E963" t="str">
            <v>00305788</v>
          </cell>
          <cell r="G963">
            <v>-45.86</v>
          </cell>
        </row>
        <row r="964">
          <cell r="E964" t="str">
            <v>00264702</v>
          </cell>
          <cell r="G964">
            <v>10.99</v>
          </cell>
        </row>
        <row r="965">
          <cell r="E965" t="str">
            <v>00304325</v>
          </cell>
          <cell r="G965">
            <v>22.33</v>
          </cell>
        </row>
        <row r="966">
          <cell r="E966" t="str">
            <v>00264752</v>
          </cell>
          <cell r="G966">
            <v>83.56</v>
          </cell>
        </row>
        <row r="967">
          <cell r="E967" t="str">
            <v>00305816</v>
          </cell>
          <cell r="G967">
            <v>23.2</v>
          </cell>
        </row>
        <row r="968">
          <cell r="E968" t="str">
            <v>00305814</v>
          </cell>
          <cell r="G968">
            <v>-25.07</v>
          </cell>
        </row>
        <row r="969">
          <cell r="E969" t="str">
            <v>00305821</v>
          </cell>
          <cell r="G969">
            <v>12.3</v>
          </cell>
        </row>
        <row r="970">
          <cell r="E970" t="str">
            <v>00305825</v>
          </cell>
          <cell r="G970">
            <v>17.760000000000002</v>
          </cell>
        </row>
        <row r="971">
          <cell r="E971" t="str">
            <v>00305822</v>
          </cell>
          <cell r="G971">
            <v>38.489999999999995</v>
          </cell>
        </row>
        <row r="972">
          <cell r="E972" t="str">
            <v>00305826</v>
          </cell>
          <cell r="G972">
            <v>72.040000000000006</v>
          </cell>
        </row>
        <row r="973">
          <cell r="E973" t="str">
            <v>00264368</v>
          </cell>
          <cell r="G973">
            <v>31.23</v>
          </cell>
        </row>
        <row r="974">
          <cell r="E974" t="str">
            <v>00264370</v>
          </cell>
          <cell r="G974">
            <v>9.39</v>
          </cell>
        </row>
        <row r="975">
          <cell r="E975" t="str">
            <v>00264371</v>
          </cell>
          <cell r="G975">
            <v>955.97</v>
          </cell>
        </row>
        <row r="976">
          <cell r="E976" t="str">
            <v>00305769</v>
          </cell>
          <cell r="G976">
            <v>0</v>
          </cell>
        </row>
        <row r="977">
          <cell r="E977" t="str">
            <v>00264563</v>
          </cell>
          <cell r="G977">
            <v>74.64</v>
          </cell>
        </row>
        <row r="978">
          <cell r="E978" t="str">
            <v>00264566</v>
          </cell>
          <cell r="G978">
            <v>337.04</v>
          </cell>
        </row>
        <row r="979">
          <cell r="E979" t="str">
            <v>00264707</v>
          </cell>
          <cell r="G979">
            <v>105.84</v>
          </cell>
        </row>
        <row r="980">
          <cell r="E980" t="str">
            <v>00308366</v>
          </cell>
          <cell r="G980">
            <v>8.43</v>
          </cell>
        </row>
        <row r="981">
          <cell r="E981" t="str">
            <v>00264801</v>
          </cell>
          <cell r="G981">
            <v>7.35</v>
          </cell>
        </row>
        <row r="982">
          <cell r="E982" t="str">
            <v>00264803</v>
          </cell>
          <cell r="G982">
            <v>71.400000000000006</v>
          </cell>
        </row>
        <row r="983">
          <cell r="E983" t="str">
            <v>00264625</v>
          </cell>
          <cell r="G983">
            <v>186.74</v>
          </cell>
        </row>
        <row r="984">
          <cell r="E984" t="str">
            <v>00264820</v>
          </cell>
          <cell r="G984">
            <v>32.979999999999997</v>
          </cell>
        </row>
        <row r="985">
          <cell r="E985" t="str">
            <v>00305743</v>
          </cell>
          <cell r="G985">
            <v>-9.86</v>
          </cell>
        </row>
        <row r="986">
          <cell r="E986" t="str">
            <v>00723498</v>
          </cell>
          <cell r="G986">
            <v>47.120000000000005</v>
          </cell>
        </row>
        <row r="987">
          <cell r="E987" t="str">
            <v>00267882</v>
          </cell>
          <cell r="G987">
            <v>16.75</v>
          </cell>
        </row>
        <row r="988">
          <cell r="E988" t="str">
            <v>00736969</v>
          </cell>
          <cell r="G988">
            <v>12.78</v>
          </cell>
        </row>
        <row r="989">
          <cell r="E989" t="str">
            <v>00736971</v>
          </cell>
          <cell r="G989">
            <v>30.52</v>
          </cell>
        </row>
        <row r="990">
          <cell r="E990" t="str">
            <v>00423696</v>
          </cell>
          <cell r="G990">
            <v>11.4</v>
          </cell>
        </row>
        <row r="991">
          <cell r="E991" t="str">
            <v>00736950</v>
          </cell>
          <cell r="G991">
            <v>11.5</v>
          </cell>
        </row>
        <row r="992">
          <cell r="E992" t="str">
            <v>00736956</v>
          </cell>
          <cell r="G992">
            <v>12.01</v>
          </cell>
        </row>
        <row r="993">
          <cell r="E993" t="str">
            <v>00736968</v>
          </cell>
          <cell r="G993">
            <v>2.96</v>
          </cell>
        </row>
        <row r="994">
          <cell r="E994" t="str">
            <v>00736963</v>
          </cell>
          <cell r="G994">
            <v>6.24</v>
          </cell>
        </row>
        <row r="995">
          <cell r="E995" t="str">
            <v>00736967</v>
          </cell>
          <cell r="G995">
            <v>2.96</v>
          </cell>
        </row>
        <row r="996">
          <cell r="E996" t="str">
            <v>00853474</v>
          </cell>
          <cell r="G996">
            <v>203.98000000000002</v>
          </cell>
        </row>
        <row r="997">
          <cell r="E997" t="str">
            <v>00732882</v>
          </cell>
          <cell r="G997">
            <v>2800.7</v>
          </cell>
        </row>
        <row r="998">
          <cell r="E998" t="str">
            <v>00723290</v>
          </cell>
          <cell r="G998">
            <v>6.92</v>
          </cell>
        </row>
        <row r="999">
          <cell r="E999" t="str">
            <v>00649888</v>
          </cell>
          <cell r="G999">
            <v>89.81</v>
          </cell>
        </row>
        <row r="1000">
          <cell r="E1000" t="str">
            <v>00611853</v>
          </cell>
          <cell r="G1000">
            <v>0</v>
          </cell>
        </row>
        <row r="1001">
          <cell r="E1001" t="str">
            <v>00731067</v>
          </cell>
          <cell r="G1001">
            <v>16.27</v>
          </cell>
        </row>
        <row r="1002">
          <cell r="E1002" t="str">
            <v>00611849</v>
          </cell>
          <cell r="G1002">
            <v>24.3</v>
          </cell>
        </row>
        <row r="1003">
          <cell r="E1003" t="str">
            <v>00614898</v>
          </cell>
          <cell r="G1003">
            <v>185.39</v>
          </cell>
        </row>
        <row r="1004">
          <cell r="E1004" t="str">
            <v>00614922</v>
          </cell>
          <cell r="G1004">
            <v>34.6</v>
          </cell>
        </row>
        <row r="1005">
          <cell r="E1005" t="str">
            <v>00615350</v>
          </cell>
          <cell r="G1005">
            <v>25.83</v>
          </cell>
        </row>
        <row r="1006">
          <cell r="E1006" t="str">
            <v>00636279</v>
          </cell>
          <cell r="G1006">
            <v>99.16</v>
          </cell>
        </row>
        <row r="1007">
          <cell r="E1007" t="str">
            <v>00649891</v>
          </cell>
          <cell r="G1007">
            <v>26.01</v>
          </cell>
        </row>
        <row r="1008">
          <cell r="E1008" t="str">
            <v>00608488</v>
          </cell>
          <cell r="G1008">
            <v>14.68</v>
          </cell>
        </row>
        <row r="1009">
          <cell r="E1009" t="str">
            <v>00643848</v>
          </cell>
          <cell r="G1009">
            <v>58.03</v>
          </cell>
        </row>
        <row r="1010">
          <cell r="E1010" t="str">
            <v>00727894</v>
          </cell>
          <cell r="G1010">
            <v>103.36</v>
          </cell>
        </row>
        <row r="1011">
          <cell r="E1011" t="str">
            <v>00731057</v>
          </cell>
          <cell r="G1011">
            <v>21.74</v>
          </cell>
        </row>
        <row r="1012">
          <cell r="E1012" t="str">
            <v>00852482</v>
          </cell>
          <cell r="G1012">
            <v>47.73</v>
          </cell>
        </row>
        <row r="1013">
          <cell r="E1013" t="str">
            <v>00647273</v>
          </cell>
          <cell r="G1013">
            <v>180.9</v>
          </cell>
        </row>
        <row r="1014">
          <cell r="E1014" t="str">
            <v>00730469</v>
          </cell>
          <cell r="G1014">
            <v>110.89</v>
          </cell>
        </row>
        <row r="1015">
          <cell r="E1015" t="str">
            <v>00852901</v>
          </cell>
          <cell r="G1015">
            <v>25</v>
          </cell>
        </row>
        <row r="1016">
          <cell r="E1016" t="str">
            <v>00852852</v>
          </cell>
          <cell r="G1016">
            <v>25</v>
          </cell>
        </row>
        <row r="1017">
          <cell r="E1017" t="str">
            <v>00735643</v>
          </cell>
          <cell r="G1017">
            <v>33.840000000000003</v>
          </cell>
        </row>
        <row r="1018">
          <cell r="E1018" t="str">
            <v>00611851</v>
          </cell>
          <cell r="G1018">
            <v>19.600000000000001</v>
          </cell>
        </row>
        <row r="1019">
          <cell r="E1019" t="str">
            <v>00640077</v>
          </cell>
          <cell r="G1019">
            <v>350</v>
          </cell>
        </row>
        <row r="1020">
          <cell r="E1020" t="str">
            <v>00614855</v>
          </cell>
          <cell r="G1020">
            <v>450</v>
          </cell>
        </row>
        <row r="1021">
          <cell r="E1021" t="str">
            <v>00732000</v>
          </cell>
          <cell r="G1021">
            <v>244.51</v>
          </cell>
        </row>
        <row r="1022">
          <cell r="E1022" t="str">
            <v>00735646</v>
          </cell>
          <cell r="G1022">
            <v>91.84</v>
          </cell>
        </row>
        <row r="1023">
          <cell r="E1023" t="str">
            <v>00680313</v>
          </cell>
          <cell r="G1023">
            <v>15.11</v>
          </cell>
        </row>
        <row r="1024">
          <cell r="E1024" t="str">
            <v>00102689</v>
          </cell>
          <cell r="G1024">
            <v>57.300000000000011</v>
          </cell>
        </row>
        <row r="1025">
          <cell r="E1025" t="str">
            <v>00611059</v>
          </cell>
          <cell r="G1025">
            <v>105.6</v>
          </cell>
        </row>
        <row r="1026">
          <cell r="E1026" t="str">
            <v>00618273</v>
          </cell>
          <cell r="G1026">
            <v>6.68</v>
          </cell>
        </row>
        <row r="1027">
          <cell r="E1027" t="str">
            <v>00611060</v>
          </cell>
          <cell r="G1027">
            <v>5.46</v>
          </cell>
        </row>
        <row r="1028">
          <cell r="E1028" t="str">
            <v>00681026</v>
          </cell>
          <cell r="G1028">
            <v>38.4</v>
          </cell>
        </row>
        <row r="1029">
          <cell r="E1029" t="str">
            <v>00631545</v>
          </cell>
          <cell r="G1029">
            <v>283.95000000000005</v>
          </cell>
        </row>
        <row r="1030">
          <cell r="E1030" t="str">
            <v>00732670</v>
          </cell>
          <cell r="G1030">
            <v>81.819999999999993</v>
          </cell>
        </row>
        <row r="1031">
          <cell r="E1031" t="str">
            <v>00733832</v>
          </cell>
          <cell r="G1031">
            <v>34.32</v>
          </cell>
        </row>
        <row r="1032">
          <cell r="E1032" t="str">
            <v>00735894</v>
          </cell>
          <cell r="G1032">
            <v>19.989999999999998</v>
          </cell>
        </row>
        <row r="1033">
          <cell r="E1033" t="str">
            <v>00735142</v>
          </cell>
          <cell r="G1033">
            <v>64.09</v>
          </cell>
        </row>
        <row r="1034">
          <cell r="E1034" t="str">
            <v>00853189</v>
          </cell>
          <cell r="G1034">
            <v>0</v>
          </cell>
        </row>
        <row r="1035">
          <cell r="E1035" t="str">
            <v>00852962</v>
          </cell>
          <cell r="G1035">
            <v>89.91</v>
          </cell>
        </row>
        <row r="1036">
          <cell r="E1036" t="str">
            <v>00680636</v>
          </cell>
          <cell r="G1036">
            <v>125.37</v>
          </cell>
        </row>
        <row r="1037">
          <cell r="E1037" t="str">
            <v>00738865</v>
          </cell>
          <cell r="G1037">
            <v>6.28</v>
          </cell>
        </row>
        <row r="1038">
          <cell r="E1038" t="str">
            <v>00650012</v>
          </cell>
          <cell r="G1038">
            <v>2044.22</v>
          </cell>
        </row>
        <row r="1039">
          <cell r="E1039" t="str">
            <v>00722938</v>
          </cell>
          <cell r="G1039">
            <v>14.52</v>
          </cell>
        </row>
        <row r="1040">
          <cell r="E1040" t="str">
            <v>00680648</v>
          </cell>
          <cell r="G1040">
            <v>203.04</v>
          </cell>
        </row>
        <row r="1041">
          <cell r="E1041" t="str">
            <v>00680357</v>
          </cell>
          <cell r="G1041">
            <v>93.6</v>
          </cell>
        </row>
        <row r="1042">
          <cell r="E1042" t="str">
            <v>00680350</v>
          </cell>
          <cell r="G1042">
            <v>111.12</v>
          </cell>
        </row>
        <row r="1043">
          <cell r="E1043" t="str">
            <v>00611915</v>
          </cell>
          <cell r="G1043">
            <v>0</v>
          </cell>
        </row>
        <row r="1044">
          <cell r="E1044" t="str">
            <v>00737322</v>
          </cell>
          <cell r="G1044">
            <v>22.48</v>
          </cell>
        </row>
        <row r="1045">
          <cell r="E1045" t="str">
            <v>00610674</v>
          </cell>
          <cell r="G1045">
            <v>175.2</v>
          </cell>
        </row>
        <row r="1046">
          <cell r="E1046" t="str">
            <v>00681110</v>
          </cell>
          <cell r="G1046">
            <v>30</v>
          </cell>
        </row>
        <row r="1047">
          <cell r="E1047" t="str">
            <v>00681569</v>
          </cell>
          <cell r="G1047">
            <v>120.3</v>
          </cell>
        </row>
        <row r="1048">
          <cell r="E1048" t="str">
            <v>00724306</v>
          </cell>
          <cell r="G1048">
            <v>123.18</v>
          </cell>
        </row>
        <row r="1049">
          <cell r="E1049" t="str">
            <v>00611392</v>
          </cell>
          <cell r="G1049">
            <v>182.68</v>
          </cell>
        </row>
        <row r="1050">
          <cell r="E1050" t="str">
            <v>00735703</v>
          </cell>
          <cell r="G1050">
            <v>327.58000000000004</v>
          </cell>
        </row>
        <row r="1051">
          <cell r="E1051" t="str">
            <v>00734721</v>
          </cell>
          <cell r="G1051">
            <v>74.750000000000014</v>
          </cell>
        </row>
        <row r="1052">
          <cell r="E1052" t="str">
            <v>00734723</v>
          </cell>
          <cell r="G1052">
            <v>58.690000000000005</v>
          </cell>
        </row>
        <row r="1053">
          <cell r="E1053" t="str">
            <v>00852444</v>
          </cell>
          <cell r="G1053">
            <v>11.68</v>
          </cell>
        </row>
        <row r="1054">
          <cell r="E1054" t="str">
            <v>00852445</v>
          </cell>
          <cell r="G1054">
            <v>54.42</v>
          </cell>
        </row>
        <row r="1055">
          <cell r="E1055" t="str">
            <v>00649726</v>
          </cell>
          <cell r="G1055">
            <v>0</v>
          </cell>
        </row>
        <row r="1056">
          <cell r="E1056" t="str">
            <v>00681748</v>
          </cell>
          <cell r="G1056">
            <v>0</v>
          </cell>
        </row>
        <row r="1057">
          <cell r="E1057" t="str">
            <v>00723494</v>
          </cell>
          <cell r="G1057">
            <v>76.759999999999991</v>
          </cell>
        </row>
        <row r="1058">
          <cell r="E1058" t="str">
            <v>00610498</v>
          </cell>
          <cell r="G1058">
            <v>40.950000000000003</v>
          </cell>
        </row>
        <row r="1059">
          <cell r="E1059" t="str">
            <v>00615318</v>
          </cell>
          <cell r="G1059">
            <v>44.68</v>
          </cell>
        </row>
        <row r="1060">
          <cell r="E1060" t="str">
            <v>00734370</v>
          </cell>
          <cell r="G1060">
            <v>0</v>
          </cell>
        </row>
        <row r="1061">
          <cell r="E1061" t="str">
            <v>00734369</v>
          </cell>
          <cell r="G1061">
            <v>0</v>
          </cell>
        </row>
        <row r="1062">
          <cell r="E1062" t="str">
            <v>00680204</v>
          </cell>
          <cell r="G1062">
            <v>236.65</v>
          </cell>
        </row>
        <row r="1063">
          <cell r="E1063" t="str">
            <v>00680909</v>
          </cell>
          <cell r="G1063">
            <v>86.300000000000011</v>
          </cell>
        </row>
        <row r="1064">
          <cell r="E1064" t="str">
            <v>00680388</v>
          </cell>
          <cell r="G1064">
            <v>5.9</v>
          </cell>
        </row>
        <row r="1065">
          <cell r="E1065" t="str">
            <v>00611394</v>
          </cell>
          <cell r="G1065">
            <v>18.419999999999998</v>
          </cell>
        </row>
        <row r="1066">
          <cell r="E1066" t="str">
            <v>00611393</v>
          </cell>
          <cell r="G1066">
            <v>13.47</v>
          </cell>
        </row>
        <row r="1067">
          <cell r="E1067" t="str">
            <v>00611381</v>
          </cell>
          <cell r="G1067">
            <v>10.08</v>
          </cell>
        </row>
        <row r="1068">
          <cell r="E1068" t="str">
            <v>00611382</v>
          </cell>
          <cell r="G1068">
            <v>23.72</v>
          </cell>
        </row>
        <row r="1069">
          <cell r="E1069" t="str">
            <v>00611390</v>
          </cell>
          <cell r="G1069">
            <v>35.909999999999997</v>
          </cell>
        </row>
        <row r="1070">
          <cell r="E1070" t="str">
            <v>00611389</v>
          </cell>
          <cell r="G1070">
            <v>17.320000000000004</v>
          </cell>
        </row>
        <row r="1071">
          <cell r="E1071" t="str">
            <v>00657764</v>
          </cell>
          <cell r="G1071">
            <v>0</v>
          </cell>
        </row>
        <row r="1072">
          <cell r="E1072" t="str">
            <v>00680812</v>
          </cell>
          <cell r="G1072">
            <v>14.47</v>
          </cell>
        </row>
        <row r="1073">
          <cell r="E1073" t="str">
            <v>00681157</v>
          </cell>
          <cell r="G1073">
            <v>73.959999999999994</v>
          </cell>
        </row>
        <row r="1074">
          <cell r="E1074" t="str">
            <v>00681343</v>
          </cell>
          <cell r="G1074">
            <v>55.84</v>
          </cell>
        </row>
        <row r="1075">
          <cell r="E1075" t="str">
            <v>00681348</v>
          </cell>
          <cell r="G1075">
            <v>31.75</v>
          </cell>
        </row>
        <row r="1076">
          <cell r="E1076" t="str">
            <v>00681360</v>
          </cell>
          <cell r="G1076">
            <v>48.72</v>
          </cell>
        </row>
        <row r="1077">
          <cell r="E1077" t="str">
            <v>00681359</v>
          </cell>
          <cell r="G1077">
            <v>30.660000000000004</v>
          </cell>
        </row>
        <row r="1078">
          <cell r="E1078" t="str">
            <v>00681358</v>
          </cell>
          <cell r="G1078">
            <v>57.300000000000004</v>
          </cell>
        </row>
        <row r="1079">
          <cell r="E1079" t="str">
            <v>00681361</v>
          </cell>
          <cell r="G1079">
            <v>120.32000000000001</v>
          </cell>
        </row>
        <row r="1080">
          <cell r="E1080" t="str">
            <v>00681354</v>
          </cell>
          <cell r="G1080">
            <v>16.43</v>
          </cell>
        </row>
        <row r="1081">
          <cell r="E1081" t="str">
            <v>00681355</v>
          </cell>
          <cell r="G1081">
            <v>32.86</v>
          </cell>
        </row>
        <row r="1082">
          <cell r="E1082" t="str">
            <v>00681356</v>
          </cell>
          <cell r="G1082">
            <v>65.72</v>
          </cell>
        </row>
        <row r="1083">
          <cell r="E1083" t="str">
            <v>00680752</v>
          </cell>
          <cell r="G1083">
            <v>11.98</v>
          </cell>
        </row>
        <row r="1084">
          <cell r="E1084" t="str">
            <v>00680753</v>
          </cell>
          <cell r="G1084">
            <v>18.600000000000001</v>
          </cell>
        </row>
        <row r="1085">
          <cell r="E1085" t="str">
            <v>00680736</v>
          </cell>
          <cell r="G1085">
            <v>365.43000000000006</v>
          </cell>
        </row>
        <row r="1086">
          <cell r="E1086" t="str">
            <v>00852823</v>
          </cell>
          <cell r="G1086">
            <v>13.41</v>
          </cell>
        </row>
        <row r="1087">
          <cell r="E1087" t="str">
            <v>00852808</v>
          </cell>
          <cell r="G1087">
            <v>424.23</v>
          </cell>
        </row>
        <row r="1088">
          <cell r="E1088" t="str">
            <v>00852813</v>
          </cell>
          <cell r="G1088">
            <v>0</v>
          </cell>
        </row>
        <row r="1089">
          <cell r="E1089" t="str">
            <v>00852820</v>
          </cell>
          <cell r="G1089">
            <v>44.55</v>
          </cell>
        </row>
        <row r="1090">
          <cell r="E1090" t="str">
            <v>00852824</v>
          </cell>
          <cell r="G1090">
            <v>45.540000000000006</v>
          </cell>
        </row>
        <row r="1091">
          <cell r="E1091" t="str">
            <v>00852826</v>
          </cell>
          <cell r="G1091">
            <v>41.349999999999994</v>
          </cell>
        </row>
        <row r="1092">
          <cell r="E1092" t="str">
            <v>00853383</v>
          </cell>
          <cell r="G1092">
            <v>0</v>
          </cell>
        </row>
        <row r="1093">
          <cell r="E1093" t="str">
            <v>00852810</v>
          </cell>
          <cell r="G1093">
            <v>37.22</v>
          </cell>
        </row>
        <row r="1094">
          <cell r="E1094" t="str">
            <v>00680978</v>
          </cell>
          <cell r="G1094">
            <v>4.78</v>
          </cell>
        </row>
        <row r="1095">
          <cell r="E1095" t="str">
            <v>00852687</v>
          </cell>
          <cell r="G1095">
            <v>12.4</v>
          </cell>
        </row>
        <row r="1096">
          <cell r="E1096" t="str">
            <v>00852685</v>
          </cell>
          <cell r="G1096">
            <v>31.08</v>
          </cell>
        </row>
        <row r="1097">
          <cell r="E1097" t="str">
            <v>00852683</v>
          </cell>
          <cell r="G1097">
            <v>20.799999999999997</v>
          </cell>
        </row>
        <row r="1098">
          <cell r="E1098" t="str">
            <v>00852681</v>
          </cell>
          <cell r="G1098">
            <v>13.46</v>
          </cell>
        </row>
        <row r="1099">
          <cell r="E1099" t="str">
            <v>00853281</v>
          </cell>
          <cell r="G1099">
            <v>21.5</v>
          </cell>
        </row>
        <row r="1100">
          <cell r="E1100" t="str">
            <v>00852413</v>
          </cell>
          <cell r="G1100">
            <v>5.21</v>
          </cell>
        </row>
        <row r="1101">
          <cell r="E1101" t="str">
            <v>00611470</v>
          </cell>
          <cell r="G1101">
            <v>91.66</v>
          </cell>
        </row>
        <row r="1102">
          <cell r="E1102" t="str">
            <v>00611463</v>
          </cell>
          <cell r="G1102">
            <v>10</v>
          </cell>
        </row>
        <row r="1103">
          <cell r="E1103" t="str">
            <v>00680878</v>
          </cell>
          <cell r="G1103">
            <v>47.800000000000004</v>
          </cell>
        </row>
        <row r="1104">
          <cell r="E1104" t="str">
            <v>00424078</v>
          </cell>
          <cell r="G1104">
            <v>19.630000000000003</v>
          </cell>
        </row>
        <row r="1105">
          <cell r="E1105" t="str">
            <v>00424079</v>
          </cell>
          <cell r="G1105">
            <v>63.92</v>
          </cell>
        </row>
        <row r="1106">
          <cell r="E1106" t="str">
            <v>00423530</v>
          </cell>
          <cell r="G1106">
            <v>21.06</v>
          </cell>
        </row>
        <row r="1107">
          <cell r="E1107" t="str">
            <v>00852554</v>
          </cell>
          <cell r="G1107">
            <v>90.26</v>
          </cell>
        </row>
        <row r="1108">
          <cell r="E1108" t="str">
            <v>00611899</v>
          </cell>
          <cell r="G1108">
            <v>0</v>
          </cell>
        </row>
        <row r="1109">
          <cell r="E1109" t="str">
            <v>00853155</v>
          </cell>
          <cell r="G1109">
            <v>62.91</v>
          </cell>
        </row>
        <row r="1110">
          <cell r="E1110" t="str">
            <v>00852706</v>
          </cell>
          <cell r="G1110">
            <v>10.530000000000001</v>
          </cell>
        </row>
        <row r="1111">
          <cell r="E1111" t="str">
            <v>00852930</v>
          </cell>
          <cell r="G1111">
            <v>4.59</v>
          </cell>
        </row>
        <row r="1112">
          <cell r="E1112" t="str">
            <v>00852924</v>
          </cell>
          <cell r="G1112">
            <v>13</v>
          </cell>
        </row>
        <row r="1113">
          <cell r="E1113" t="str">
            <v>00680879</v>
          </cell>
          <cell r="G1113">
            <v>0</v>
          </cell>
        </row>
        <row r="1114">
          <cell r="E1114" t="str">
            <v>00611483</v>
          </cell>
          <cell r="G1114">
            <v>8.82</v>
          </cell>
        </row>
        <row r="1115">
          <cell r="E1115" t="str">
            <v>00611484</v>
          </cell>
          <cell r="G1115">
            <v>118.74000000000001</v>
          </cell>
        </row>
        <row r="1116">
          <cell r="E1116" t="str">
            <v>00611485</v>
          </cell>
          <cell r="G1116">
            <v>201.98000000000002</v>
          </cell>
        </row>
        <row r="1117">
          <cell r="E1117" t="str">
            <v>00611486</v>
          </cell>
          <cell r="G1117">
            <v>84.91</v>
          </cell>
        </row>
        <row r="1118">
          <cell r="E1118" t="str">
            <v>00611458</v>
          </cell>
          <cell r="G1118">
            <v>318.95999999999998</v>
          </cell>
        </row>
        <row r="1119">
          <cell r="E1119" t="str">
            <v>00681447</v>
          </cell>
          <cell r="G1119">
            <v>26</v>
          </cell>
        </row>
        <row r="1120">
          <cell r="E1120" t="str">
            <v>00852420</v>
          </cell>
          <cell r="G1120">
            <v>63.679999999999993</v>
          </cell>
        </row>
        <row r="1121">
          <cell r="E1121" t="str">
            <v>00852709</v>
          </cell>
          <cell r="G1121">
            <v>42.5</v>
          </cell>
        </row>
        <row r="1122">
          <cell r="E1122" t="str">
            <v>00853254</v>
          </cell>
          <cell r="G1122">
            <v>20.020000000000003</v>
          </cell>
        </row>
        <row r="1123">
          <cell r="E1123" t="str">
            <v>00424081</v>
          </cell>
          <cell r="G1123">
            <v>15.98</v>
          </cell>
        </row>
        <row r="1124">
          <cell r="E1124" t="str">
            <v>00424080</v>
          </cell>
          <cell r="G1124">
            <v>49.57</v>
          </cell>
        </row>
        <row r="1125">
          <cell r="E1125" t="str">
            <v>00680977</v>
          </cell>
          <cell r="G1125">
            <v>199.56</v>
          </cell>
        </row>
        <row r="1126">
          <cell r="E1126" t="str">
            <v>00424077</v>
          </cell>
          <cell r="G1126">
            <v>553.76000000000022</v>
          </cell>
        </row>
        <row r="1127">
          <cell r="E1127" t="str">
            <v>00680877</v>
          </cell>
          <cell r="G1127">
            <v>716.45999999999981</v>
          </cell>
        </row>
        <row r="1128">
          <cell r="E1128" t="str">
            <v>00424056</v>
          </cell>
          <cell r="G1128">
            <v>252.32999999999998</v>
          </cell>
        </row>
        <row r="1129">
          <cell r="E1129" t="str">
            <v>00853115</v>
          </cell>
          <cell r="G1129">
            <v>22.18</v>
          </cell>
        </row>
        <row r="1130">
          <cell r="E1130" t="str">
            <v>00614872</v>
          </cell>
          <cell r="G1130">
            <v>67</v>
          </cell>
        </row>
        <row r="1131">
          <cell r="E1131" t="str">
            <v>00723311</v>
          </cell>
          <cell r="G1131">
            <v>64.319999999999993</v>
          </cell>
        </row>
        <row r="1132">
          <cell r="E1132" t="str">
            <v>00733019</v>
          </cell>
          <cell r="G1132">
            <v>165.73</v>
          </cell>
        </row>
        <row r="1133">
          <cell r="E1133" t="str">
            <v>00717218</v>
          </cell>
          <cell r="G1133">
            <v>25.6</v>
          </cell>
        </row>
        <row r="1134">
          <cell r="E1134" t="str">
            <v>00680097</v>
          </cell>
          <cell r="G1134">
            <v>108.57</v>
          </cell>
        </row>
        <row r="1135">
          <cell r="E1135" t="str">
            <v>00647157</v>
          </cell>
          <cell r="G1135">
            <v>30.41</v>
          </cell>
        </row>
        <row r="1136">
          <cell r="E1136" t="str">
            <v>00647194</v>
          </cell>
          <cell r="G1136">
            <v>17.899999999999999</v>
          </cell>
        </row>
        <row r="1137">
          <cell r="E1137" t="str">
            <v>00647208</v>
          </cell>
          <cell r="G1137">
            <v>38.880000000000003</v>
          </cell>
        </row>
        <row r="1138">
          <cell r="E1138" t="str">
            <v>00647211</v>
          </cell>
          <cell r="G1138">
            <v>46.36</v>
          </cell>
        </row>
        <row r="1139">
          <cell r="E1139" t="str">
            <v>00647184</v>
          </cell>
          <cell r="G1139">
            <v>132.01999999999998</v>
          </cell>
        </row>
        <row r="1140">
          <cell r="E1140" t="str">
            <v>00647162</v>
          </cell>
          <cell r="G1140">
            <v>41.97</v>
          </cell>
        </row>
        <row r="1141">
          <cell r="E1141" t="str">
            <v>00647164</v>
          </cell>
          <cell r="G1141">
            <v>41.97</v>
          </cell>
        </row>
        <row r="1142">
          <cell r="E1142" t="str">
            <v>00647165</v>
          </cell>
          <cell r="G1142">
            <v>41.97</v>
          </cell>
        </row>
        <row r="1143">
          <cell r="E1143" t="str">
            <v>00610502</v>
          </cell>
          <cell r="G1143">
            <v>78.8</v>
          </cell>
        </row>
        <row r="1144">
          <cell r="E1144" t="str">
            <v>00853017</v>
          </cell>
          <cell r="G1144">
            <v>48.96</v>
          </cell>
        </row>
        <row r="1145">
          <cell r="E1145" t="str">
            <v>00608340</v>
          </cell>
          <cell r="G1145">
            <v>6.7</v>
          </cell>
        </row>
        <row r="1146">
          <cell r="E1146" t="str">
            <v>00718824</v>
          </cell>
          <cell r="G1146">
            <v>1.96</v>
          </cell>
        </row>
        <row r="1147">
          <cell r="E1147" t="str">
            <v>00718751</v>
          </cell>
          <cell r="G1147">
            <v>0</v>
          </cell>
        </row>
        <row r="1148">
          <cell r="E1148" t="str">
            <v>00718885</v>
          </cell>
          <cell r="G1148">
            <v>110.56</v>
          </cell>
        </row>
        <row r="1149">
          <cell r="E1149" t="str">
            <v>00608353</v>
          </cell>
          <cell r="G1149">
            <v>40.120000000000005</v>
          </cell>
        </row>
        <row r="1150">
          <cell r="E1150" t="str">
            <v>00732131</v>
          </cell>
          <cell r="G1150">
            <v>8.34</v>
          </cell>
        </row>
        <row r="1151">
          <cell r="E1151" t="str">
            <v>00639830</v>
          </cell>
          <cell r="G1151">
            <v>21.08</v>
          </cell>
        </row>
        <row r="1152">
          <cell r="E1152" t="str">
            <v>00633322</v>
          </cell>
          <cell r="G1152">
            <v>105.98</v>
          </cell>
        </row>
        <row r="1153">
          <cell r="E1153" t="str">
            <v>00853151</v>
          </cell>
          <cell r="G1153">
            <v>121.08</v>
          </cell>
        </row>
        <row r="1154">
          <cell r="E1154" t="str">
            <v>00739390</v>
          </cell>
          <cell r="G1154">
            <v>35.15</v>
          </cell>
        </row>
        <row r="1155">
          <cell r="E1155" t="str">
            <v>00739391</v>
          </cell>
          <cell r="G1155">
            <v>22.29</v>
          </cell>
        </row>
        <row r="1156">
          <cell r="E1156" t="str">
            <v>00718914</v>
          </cell>
          <cell r="G1156">
            <v>26.32</v>
          </cell>
        </row>
        <row r="1157">
          <cell r="E1157" t="str">
            <v>00724421</v>
          </cell>
          <cell r="G1157">
            <v>7.55</v>
          </cell>
        </row>
        <row r="1158">
          <cell r="E1158" t="str">
            <v>00852400</v>
          </cell>
          <cell r="G1158">
            <v>39.480000000000004</v>
          </cell>
        </row>
        <row r="1159">
          <cell r="E1159" t="str">
            <v>00852401</v>
          </cell>
          <cell r="G1159">
            <v>37.68</v>
          </cell>
        </row>
        <row r="1160">
          <cell r="E1160" t="str">
            <v>00852402</v>
          </cell>
          <cell r="G1160">
            <v>48.79</v>
          </cell>
        </row>
        <row r="1161">
          <cell r="E1161" t="str">
            <v>00727241</v>
          </cell>
          <cell r="G1161">
            <v>22.88</v>
          </cell>
        </row>
        <row r="1162">
          <cell r="E1162" t="str">
            <v>00718900</v>
          </cell>
          <cell r="G1162">
            <v>21.24</v>
          </cell>
        </row>
        <row r="1163">
          <cell r="E1163" t="str">
            <v>00718776</v>
          </cell>
          <cell r="G1163">
            <v>15.45</v>
          </cell>
        </row>
        <row r="1164">
          <cell r="E1164" t="str">
            <v>00718685</v>
          </cell>
          <cell r="G1164">
            <v>35.200000000000003</v>
          </cell>
        </row>
        <row r="1165">
          <cell r="E1165" t="str">
            <v>00738677</v>
          </cell>
          <cell r="G1165">
            <v>40.11</v>
          </cell>
        </row>
        <row r="1166">
          <cell r="E1166" t="str">
            <v>00718739</v>
          </cell>
          <cell r="G1166">
            <v>12.84</v>
          </cell>
        </row>
        <row r="1167">
          <cell r="E1167" t="str">
            <v>00680366</v>
          </cell>
          <cell r="G1167">
            <v>6.99</v>
          </cell>
        </row>
        <row r="1168">
          <cell r="E1168" t="str">
            <v>00647278</v>
          </cell>
          <cell r="G1168">
            <v>27.3</v>
          </cell>
        </row>
        <row r="1169">
          <cell r="E1169" t="str">
            <v>00611067</v>
          </cell>
          <cell r="G1169">
            <v>387.71</v>
          </cell>
        </row>
        <row r="1170">
          <cell r="E1170" t="str">
            <v>00680869</v>
          </cell>
          <cell r="G1170">
            <v>0</v>
          </cell>
        </row>
        <row r="1171">
          <cell r="E1171" t="str">
            <v>00140801</v>
          </cell>
          <cell r="G1171">
            <v>0.09</v>
          </cell>
        </row>
        <row r="1172">
          <cell r="E1172" t="str">
            <v>00144495</v>
          </cell>
          <cell r="G1172">
            <v>89.59</v>
          </cell>
        </row>
        <row r="1173">
          <cell r="E1173" t="str">
            <v>00142013</v>
          </cell>
          <cell r="G1173">
            <v>0.01</v>
          </cell>
        </row>
        <row r="1174">
          <cell r="E1174" t="str">
            <v>00149923</v>
          </cell>
          <cell r="G1174">
            <v>1285.74</v>
          </cell>
        </row>
        <row r="1175">
          <cell r="E1175" t="str">
            <v>00137271</v>
          </cell>
          <cell r="G1175">
            <v>368.02</v>
          </cell>
        </row>
        <row r="1176">
          <cell r="E1176" t="str">
            <v>00238758</v>
          </cell>
          <cell r="G1176">
            <v>0</v>
          </cell>
        </row>
        <row r="1177">
          <cell r="E1177" t="str">
            <v>00218768</v>
          </cell>
          <cell r="G1177">
            <v>0</v>
          </cell>
        </row>
        <row r="1178">
          <cell r="E1178" t="str">
            <v>00723462</v>
          </cell>
          <cell r="G1178">
            <v>105.12</v>
          </cell>
        </row>
        <row r="1179">
          <cell r="E1179" t="str">
            <v>00723461</v>
          </cell>
          <cell r="G1179">
            <v>206.36999999999998</v>
          </cell>
        </row>
        <row r="1180">
          <cell r="E1180" t="str">
            <v>00727843</v>
          </cell>
          <cell r="G1180">
            <v>440.75000000000006</v>
          </cell>
        </row>
        <row r="1181">
          <cell r="E1181" t="str">
            <v>00723477</v>
          </cell>
          <cell r="G1181">
            <v>78.22</v>
          </cell>
        </row>
        <row r="1182">
          <cell r="E1182" t="str">
            <v>00732918</v>
          </cell>
          <cell r="G1182">
            <v>38.79</v>
          </cell>
        </row>
        <row r="1183">
          <cell r="E1183" t="str">
            <v>00121186</v>
          </cell>
          <cell r="G1183">
            <v>32.619999999999997</v>
          </cell>
        </row>
        <row r="1184">
          <cell r="E1184" t="str">
            <v>00615700</v>
          </cell>
          <cell r="G1184">
            <v>0</v>
          </cell>
        </row>
        <row r="1185">
          <cell r="E1185" t="str">
            <v>00618091</v>
          </cell>
          <cell r="G1185">
            <v>170.66</v>
          </cell>
        </row>
        <row r="1186">
          <cell r="E1186" t="str">
            <v>00738131</v>
          </cell>
          <cell r="G1186">
            <v>51.98</v>
          </cell>
        </row>
        <row r="1187">
          <cell r="E1187" t="str">
            <v>00681088</v>
          </cell>
          <cell r="G1187">
            <v>523.70000000000005</v>
          </cell>
        </row>
        <row r="1188">
          <cell r="E1188" t="str">
            <v>00680178</v>
          </cell>
          <cell r="G1188">
            <v>44.01</v>
          </cell>
        </row>
        <row r="1189">
          <cell r="E1189" t="str">
            <v>00680185</v>
          </cell>
          <cell r="G1189">
            <v>66.58</v>
          </cell>
        </row>
        <row r="1190">
          <cell r="E1190" t="str">
            <v>00736490</v>
          </cell>
          <cell r="G1190">
            <v>9.68</v>
          </cell>
        </row>
        <row r="1191">
          <cell r="E1191" t="str">
            <v>00954101</v>
          </cell>
          <cell r="G1191">
            <v>36.83</v>
          </cell>
        </row>
        <row r="1192">
          <cell r="E1192" t="str">
            <v>00737281</v>
          </cell>
          <cell r="G1192">
            <v>37.980000000000004</v>
          </cell>
        </row>
        <row r="1193">
          <cell r="E1193" t="str">
            <v>00736489</v>
          </cell>
          <cell r="G1193">
            <v>7.5</v>
          </cell>
        </row>
        <row r="1194">
          <cell r="E1194" t="str">
            <v>00681207</v>
          </cell>
          <cell r="G1194">
            <v>174</v>
          </cell>
        </row>
        <row r="1195">
          <cell r="E1195" t="str">
            <v>00618235</v>
          </cell>
          <cell r="G1195">
            <v>21.200000000000003</v>
          </cell>
        </row>
        <row r="1196">
          <cell r="E1196" t="str">
            <v>00611157</v>
          </cell>
          <cell r="G1196">
            <v>5.45</v>
          </cell>
        </row>
        <row r="1197">
          <cell r="E1197" t="str">
            <v>00618216</v>
          </cell>
          <cell r="G1197">
            <v>21.54</v>
          </cell>
        </row>
        <row r="1198">
          <cell r="E1198" t="str">
            <v>00618242</v>
          </cell>
          <cell r="G1198">
            <v>69.269999999999982</v>
          </cell>
        </row>
        <row r="1199">
          <cell r="E1199" t="str">
            <v>00618236</v>
          </cell>
          <cell r="G1199">
            <v>7.6</v>
          </cell>
        </row>
        <row r="1200">
          <cell r="E1200" t="str">
            <v>00618237</v>
          </cell>
          <cell r="G1200">
            <v>10.76</v>
          </cell>
        </row>
        <row r="1201">
          <cell r="E1201" t="str">
            <v>00618238</v>
          </cell>
          <cell r="G1201">
            <v>15.01</v>
          </cell>
        </row>
        <row r="1202">
          <cell r="E1202" t="str">
            <v>00618208</v>
          </cell>
          <cell r="G1202">
            <v>31.090000000000003</v>
          </cell>
        </row>
        <row r="1203">
          <cell r="E1203" t="str">
            <v>00731237</v>
          </cell>
          <cell r="G1203">
            <v>15</v>
          </cell>
        </row>
        <row r="1204">
          <cell r="E1204" t="str">
            <v>00725855</v>
          </cell>
          <cell r="G1204">
            <v>50</v>
          </cell>
        </row>
        <row r="1205">
          <cell r="E1205" t="str">
            <v>00728222</v>
          </cell>
          <cell r="G1205">
            <v>30.74</v>
          </cell>
        </row>
        <row r="1206">
          <cell r="E1206" t="str">
            <v>00728226</v>
          </cell>
          <cell r="G1206">
            <v>66.990000000000023</v>
          </cell>
        </row>
        <row r="1207">
          <cell r="E1207" t="str">
            <v>00731279</v>
          </cell>
          <cell r="G1207">
            <v>1811.4</v>
          </cell>
        </row>
        <row r="1208">
          <cell r="E1208" t="str">
            <v>00734787</v>
          </cell>
          <cell r="G1208">
            <v>215.51999999999998</v>
          </cell>
        </row>
        <row r="1209">
          <cell r="E1209" t="str">
            <v>00734785</v>
          </cell>
          <cell r="G1209">
            <v>186.42000000000002</v>
          </cell>
        </row>
        <row r="1210">
          <cell r="E1210" t="str">
            <v>00728165</v>
          </cell>
          <cell r="G1210">
            <v>134.55000000000004</v>
          </cell>
        </row>
        <row r="1211">
          <cell r="E1211" t="str">
            <v>00610769</v>
          </cell>
          <cell r="G1211">
            <v>40.629999999999995</v>
          </cell>
        </row>
        <row r="1212">
          <cell r="E1212" t="str">
            <v>00618247</v>
          </cell>
          <cell r="G1212">
            <v>86.210000000000008</v>
          </cell>
        </row>
        <row r="1213">
          <cell r="E1213" t="str">
            <v>00852865</v>
          </cell>
          <cell r="G1213">
            <v>45.64</v>
          </cell>
        </row>
        <row r="1214">
          <cell r="E1214" t="str">
            <v>00852864</v>
          </cell>
          <cell r="G1214">
            <v>86.56</v>
          </cell>
        </row>
        <row r="1215">
          <cell r="E1215" t="str">
            <v>00618246</v>
          </cell>
          <cell r="G1215">
            <v>96.77</v>
          </cell>
        </row>
        <row r="1216">
          <cell r="E1216" t="str">
            <v>00737881</v>
          </cell>
          <cell r="G1216">
            <v>174.78</v>
          </cell>
        </row>
        <row r="1217">
          <cell r="E1217" t="str">
            <v>00738727</v>
          </cell>
          <cell r="G1217">
            <v>89.830000000000013</v>
          </cell>
        </row>
        <row r="1218">
          <cell r="E1218" t="str">
            <v>00739277</v>
          </cell>
          <cell r="G1218">
            <v>15.35</v>
          </cell>
        </row>
        <row r="1219">
          <cell r="E1219" t="str">
            <v>00647073</v>
          </cell>
          <cell r="G1219">
            <v>33.71</v>
          </cell>
        </row>
        <row r="1220">
          <cell r="E1220" t="str">
            <v>00730815</v>
          </cell>
          <cell r="G1220">
            <v>109.71</v>
          </cell>
        </row>
        <row r="1221">
          <cell r="E1221" t="str">
            <v>00631683</v>
          </cell>
          <cell r="G1221">
            <v>54.14</v>
          </cell>
        </row>
        <row r="1222">
          <cell r="E1222" t="str">
            <v>00733042</v>
          </cell>
          <cell r="G1222">
            <v>67.52</v>
          </cell>
        </row>
        <row r="1223">
          <cell r="E1223" t="str">
            <v>00304900</v>
          </cell>
          <cell r="F1223">
            <v>-6.57</v>
          </cell>
          <cell r="G1223">
            <v>-41.46</v>
          </cell>
        </row>
        <row r="1224">
          <cell r="E1224" t="str">
            <v>00304903</v>
          </cell>
          <cell r="F1224">
            <v>-6.57</v>
          </cell>
          <cell r="G1224">
            <v>-39.42</v>
          </cell>
        </row>
        <row r="1225">
          <cell r="E1225" t="str">
            <v>00681027</v>
          </cell>
          <cell r="F1225">
            <v>-8.26</v>
          </cell>
          <cell r="G1225">
            <v>8.26</v>
          </cell>
        </row>
        <row r="1226">
          <cell r="E1226" t="str">
            <v>00611487</v>
          </cell>
          <cell r="F1226">
            <v>-8.56</v>
          </cell>
          <cell r="G1226">
            <v>37.32</v>
          </cell>
        </row>
        <row r="1227">
          <cell r="E1227" t="str">
            <v>00304926</v>
          </cell>
          <cell r="F1227">
            <v>-10.98</v>
          </cell>
          <cell r="G1227">
            <v>-75.3</v>
          </cell>
        </row>
        <row r="1228">
          <cell r="E1228" t="str">
            <v>00423497</v>
          </cell>
          <cell r="F1228">
            <v>-11.92</v>
          </cell>
          <cell r="G1228">
            <v>-18.34</v>
          </cell>
        </row>
        <row r="1229">
          <cell r="E1229" t="str">
            <v>00306912</v>
          </cell>
          <cell r="F1229">
            <v>-11.92</v>
          </cell>
          <cell r="G1229">
            <v>-23.84</v>
          </cell>
        </row>
        <row r="1230">
          <cell r="E1230" t="str">
            <v>00308137</v>
          </cell>
          <cell r="F1230">
            <v>-12.69</v>
          </cell>
          <cell r="G1230">
            <v>92.929999999999993</v>
          </cell>
        </row>
        <row r="1231">
          <cell r="E1231" t="str">
            <v>00304908</v>
          </cell>
          <cell r="F1231">
            <v>-14.33</v>
          </cell>
          <cell r="G1231">
            <v>0</v>
          </cell>
        </row>
        <row r="1232">
          <cell r="E1232" t="str">
            <v>00325193</v>
          </cell>
          <cell r="F1232">
            <v>-22.6</v>
          </cell>
          <cell r="G1232">
            <v>-46.88</v>
          </cell>
        </row>
        <row r="1233">
          <cell r="E1233" t="str">
            <v>00304874</v>
          </cell>
          <cell r="F1233">
            <v>-23.07</v>
          </cell>
          <cell r="G1233">
            <v>-232.98000000000008</v>
          </cell>
        </row>
        <row r="1234">
          <cell r="E1234" t="str">
            <v>00305955</v>
          </cell>
          <cell r="F1234">
            <v>-23.35</v>
          </cell>
          <cell r="G1234">
            <v>187.02000000000007</v>
          </cell>
        </row>
        <row r="1235">
          <cell r="E1235" t="str">
            <v>00304978</v>
          </cell>
          <cell r="F1235">
            <v>-25.7</v>
          </cell>
        </row>
        <row r="1236">
          <cell r="E1236" t="str">
            <v>00633576</v>
          </cell>
          <cell r="F1236">
            <v>-30.1</v>
          </cell>
          <cell r="G1236">
            <v>62</v>
          </cell>
        </row>
        <row r="1237">
          <cell r="E1237" t="str">
            <v>00306915</v>
          </cell>
          <cell r="F1237">
            <v>-31.1</v>
          </cell>
          <cell r="G1237">
            <v>-91.4</v>
          </cell>
        </row>
        <row r="1238">
          <cell r="E1238" t="str">
            <v>00423215</v>
          </cell>
          <cell r="F1238">
            <v>-33.22</v>
          </cell>
          <cell r="G1238">
            <v>-73.600000000000009</v>
          </cell>
        </row>
        <row r="1239">
          <cell r="E1239" t="str">
            <v>00423481</v>
          </cell>
          <cell r="F1239">
            <v>-39.519999999999996</v>
          </cell>
        </row>
        <row r="1240">
          <cell r="E1240" t="str">
            <v>00307049</v>
          </cell>
          <cell r="F1240">
            <v>-40.590000000000003</v>
          </cell>
          <cell r="G1240">
            <v>38.11</v>
          </cell>
        </row>
        <row r="1241">
          <cell r="E1241" t="str">
            <v>00375150</v>
          </cell>
          <cell r="F1241">
            <v>-44.58</v>
          </cell>
          <cell r="G1241">
            <v>252.03000000000006</v>
          </cell>
        </row>
        <row r="1242">
          <cell r="E1242" t="str">
            <v>00305965</v>
          </cell>
          <cell r="F1242">
            <v>-46.7</v>
          </cell>
          <cell r="G1242">
            <v>-71.78</v>
          </cell>
        </row>
        <row r="1243">
          <cell r="E1243" t="str">
            <v>00423486</v>
          </cell>
          <cell r="F1243">
            <v>-49.4</v>
          </cell>
          <cell r="G1243">
            <v>-392.8599999999999</v>
          </cell>
        </row>
        <row r="1244">
          <cell r="E1244" t="str">
            <v>00423501</v>
          </cell>
          <cell r="F1244">
            <v>-54.64</v>
          </cell>
          <cell r="G1244">
            <v>-235.38</v>
          </cell>
        </row>
        <row r="1245">
          <cell r="E1245" t="str">
            <v>00304898</v>
          </cell>
          <cell r="F1245">
            <v>-54.8</v>
          </cell>
          <cell r="G1245">
            <v>-76.72</v>
          </cell>
        </row>
        <row r="1246">
          <cell r="E1246" t="str">
            <v>00304892</v>
          </cell>
          <cell r="F1246">
            <v>-54.800000000000004</v>
          </cell>
          <cell r="G1246">
            <v>-303.21000000000004</v>
          </cell>
        </row>
        <row r="1247">
          <cell r="E1247" t="str">
            <v>00304937</v>
          </cell>
          <cell r="F1247">
            <v>-57.78</v>
          </cell>
          <cell r="G1247">
            <v>-110.84</v>
          </cell>
        </row>
        <row r="1248">
          <cell r="E1248" t="str">
            <v>00307903</v>
          </cell>
          <cell r="F1248">
            <v>-62.2</v>
          </cell>
          <cell r="G1248">
            <v>-93.3</v>
          </cell>
        </row>
        <row r="1249">
          <cell r="E1249" t="str">
            <v>00304995</v>
          </cell>
          <cell r="F1249">
            <v>-69.540000000000006</v>
          </cell>
          <cell r="G1249">
            <v>-74.34</v>
          </cell>
        </row>
        <row r="1250">
          <cell r="E1250" t="str">
            <v>00423482</v>
          </cell>
          <cell r="F1250">
            <v>-74.099999999999994</v>
          </cell>
          <cell r="G1250">
            <v>14.600000000000001</v>
          </cell>
        </row>
        <row r="1251">
          <cell r="E1251" t="str">
            <v>00423499</v>
          </cell>
          <cell r="F1251">
            <v>-74.680000000000007</v>
          </cell>
        </row>
        <row r="1252">
          <cell r="E1252" t="str">
            <v>00306914</v>
          </cell>
          <cell r="F1252">
            <v>-74.680000000000007</v>
          </cell>
          <cell r="G1252">
            <v>-56.010000000000005</v>
          </cell>
        </row>
        <row r="1253">
          <cell r="E1253" t="str">
            <v>00304974</v>
          </cell>
          <cell r="F1253">
            <v>-77.070000000000007</v>
          </cell>
          <cell r="G1253">
            <v>-18.350000000000001</v>
          </cell>
        </row>
        <row r="1254">
          <cell r="E1254" t="str">
            <v>00304998</v>
          </cell>
          <cell r="F1254">
            <v>-81.13</v>
          </cell>
          <cell r="G1254">
            <v>-11.59</v>
          </cell>
        </row>
        <row r="1255">
          <cell r="E1255" t="str">
            <v>00353758</v>
          </cell>
          <cell r="F1255">
            <v>-90.4</v>
          </cell>
          <cell r="G1255">
            <v>104.88</v>
          </cell>
        </row>
        <row r="1256">
          <cell r="E1256" t="str">
            <v>00306472</v>
          </cell>
          <cell r="F1256">
            <v>-92.28</v>
          </cell>
          <cell r="G1256">
            <v>238.88</v>
          </cell>
        </row>
        <row r="1257">
          <cell r="E1257" t="str">
            <v>00307902</v>
          </cell>
          <cell r="F1257">
            <v>-93.3</v>
          </cell>
          <cell r="G1257">
            <v>-151.69999999999999</v>
          </cell>
        </row>
        <row r="1258">
          <cell r="E1258" t="str">
            <v>00306916</v>
          </cell>
          <cell r="F1258">
            <v>-93.300000000000011</v>
          </cell>
          <cell r="G1258">
            <v>-62.2</v>
          </cell>
        </row>
        <row r="1259">
          <cell r="E1259" t="str">
            <v>00304923</v>
          </cell>
          <cell r="F1259">
            <v>-109.8</v>
          </cell>
          <cell r="G1259">
            <v>-598.35</v>
          </cell>
        </row>
        <row r="1260">
          <cell r="E1260" t="str">
            <v>00423216</v>
          </cell>
          <cell r="F1260">
            <v>-149.49</v>
          </cell>
          <cell r="G1260">
            <v>-5225.3499999999985</v>
          </cell>
        </row>
        <row r="1261">
          <cell r="E1261" t="str">
            <v>00305968</v>
          </cell>
          <cell r="F1261">
            <v>-190.35</v>
          </cell>
          <cell r="G1261">
            <v>997.3900000000001</v>
          </cell>
        </row>
        <row r="1262">
          <cell r="E1262" t="str">
            <v>00304890</v>
          </cell>
          <cell r="F1262">
            <v>-229.01999999999998</v>
          </cell>
          <cell r="G1262">
            <v>-284.98</v>
          </cell>
        </row>
        <row r="1263">
          <cell r="E1263" t="str">
            <v>00307050</v>
          </cell>
          <cell r="F1263">
            <v>-324.72000000000008</v>
          </cell>
          <cell r="G1263">
            <v>1218.8799999999999</v>
          </cell>
        </row>
        <row r="1264">
          <cell r="E1264" t="str">
            <v>00304933</v>
          </cell>
          <cell r="F1264">
            <v>-635.58000000000004</v>
          </cell>
          <cell r="G1264">
            <v>-1341.4999999999998</v>
          </cell>
        </row>
        <row r="1265">
          <cell r="E1265" t="str">
            <v>00306470</v>
          </cell>
          <cell r="F1265">
            <v>-660.63</v>
          </cell>
          <cell r="G1265">
            <v>-408.2999999999999</v>
          </cell>
        </row>
        <row r="1266">
          <cell r="E1266" t="str">
            <v>00304919</v>
          </cell>
          <cell r="F1266">
            <v>-695.4</v>
          </cell>
          <cell r="G1266">
            <v>-1199.19</v>
          </cell>
        </row>
        <row r="1267">
          <cell r="E1267" t="str">
            <v>00441650</v>
          </cell>
          <cell r="F1267">
            <v>-1100</v>
          </cell>
          <cell r="G1267">
            <v>-519.75</v>
          </cell>
        </row>
      </sheetData>
      <sheetData sheetId="1">
        <row r="1">
          <cell r="F1" t="str">
            <v>[Quantity_in_Pieces_YTD]</v>
          </cell>
          <cell r="G1" t="str">
            <v>[Quantity_in_Pieces_PY]</v>
          </cell>
        </row>
        <row r="2">
          <cell r="E2" t="str">
            <v>00423529</v>
          </cell>
          <cell r="F2">
            <v>4668</v>
          </cell>
          <cell r="G2">
            <v>7070</v>
          </cell>
        </row>
        <row r="3">
          <cell r="E3" t="str">
            <v>00852919</v>
          </cell>
          <cell r="F3">
            <v>3935</v>
          </cell>
          <cell r="G3">
            <v>15143</v>
          </cell>
        </row>
        <row r="4">
          <cell r="E4" t="str">
            <v>00852916</v>
          </cell>
          <cell r="F4">
            <v>2358</v>
          </cell>
          <cell r="G4">
            <v>9000</v>
          </cell>
        </row>
        <row r="5">
          <cell r="E5" t="str">
            <v>00611476</v>
          </cell>
          <cell r="F5">
            <v>1453</v>
          </cell>
          <cell r="G5">
            <v>5644</v>
          </cell>
        </row>
        <row r="6">
          <cell r="E6" t="str">
            <v>00853079</v>
          </cell>
          <cell r="F6">
            <v>992</v>
          </cell>
          <cell r="G6">
            <v>3401</v>
          </cell>
        </row>
        <row r="7">
          <cell r="E7" t="str">
            <v>00301460</v>
          </cell>
          <cell r="F7">
            <v>952</v>
          </cell>
          <cell r="G7">
            <v>2945</v>
          </cell>
        </row>
        <row r="8">
          <cell r="E8" t="str">
            <v>00852478</v>
          </cell>
          <cell r="F8">
            <v>865</v>
          </cell>
          <cell r="G8">
            <v>3203</v>
          </cell>
        </row>
        <row r="9">
          <cell r="E9" t="str">
            <v>00307051</v>
          </cell>
          <cell r="F9">
            <v>760</v>
          </cell>
          <cell r="G9">
            <v>1402</v>
          </cell>
        </row>
        <row r="10">
          <cell r="E10" t="str">
            <v>00852923</v>
          </cell>
          <cell r="F10">
            <v>721</v>
          </cell>
          <cell r="G10">
            <v>1289</v>
          </cell>
        </row>
        <row r="11">
          <cell r="E11" t="str">
            <v>00424019</v>
          </cell>
          <cell r="F11">
            <v>660</v>
          </cell>
          <cell r="G11">
            <v>423</v>
          </cell>
        </row>
        <row r="12">
          <cell r="E12" t="str">
            <v>00305051</v>
          </cell>
          <cell r="F12">
            <v>615</v>
          </cell>
          <cell r="G12">
            <v>1580</v>
          </cell>
        </row>
        <row r="13">
          <cell r="E13" t="str">
            <v>00305040</v>
          </cell>
          <cell r="F13">
            <v>611</v>
          </cell>
          <cell r="G13">
            <v>2350</v>
          </cell>
        </row>
        <row r="14">
          <cell r="E14" t="str">
            <v>00305042</v>
          </cell>
          <cell r="F14">
            <v>594</v>
          </cell>
          <cell r="G14">
            <v>4175</v>
          </cell>
        </row>
        <row r="15">
          <cell r="E15" t="str">
            <v>00301463</v>
          </cell>
          <cell r="F15">
            <v>449</v>
          </cell>
          <cell r="G15">
            <v>732</v>
          </cell>
        </row>
        <row r="16">
          <cell r="E16" t="str">
            <v>00305034</v>
          </cell>
          <cell r="F16">
            <v>447</v>
          </cell>
          <cell r="G16">
            <v>1800</v>
          </cell>
        </row>
        <row r="17">
          <cell r="E17" t="str">
            <v>00307047</v>
          </cell>
          <cell r="F17">
            <v>447</v>
          </cell>
          <cell r="G17">
            <v>748</v>
          </cell>
        </row>
        <row r="18">
          <cell r="E18" t="str">
            <v>00301857</v>
          </cell>
          <cell r="F18">
            <v>437</v>
          </cell>
          <cell r="G18">
            <v>1117</v>
          </cell>
        </row>
        <row r="19">
          <cell r="E19" t="str">
            <v>00301546</v>
          </cell>
          <cell r="F19">
            <v>363</v>
          </cell>
          <cell r="G19">
            <v>1275</v>
          </cell>
        </row>
        <row r="20">
          <cell r="E20" t="str">
            <v>00306896</v>
          </cell>
          <cell r="F20">
            <v>337</v>
          </cell>
          <cell r="G20">
            <v>761</v>
          </cell>
        </row>
        <row r="21">
          <cell r="E21" t="str">
            <v>00852476</v>
          </cell>
          <cell r="F21">
            <v>335</v>
          </cell>
          <cell r="G21">
            <v>1536</v>
          </cell>
        </row>
        <row r="22">
          <cell r="E22" t="str">
            <v>00611475</v>
          </cell>
          <cell r="F22">
            <v>332</v>
          </cell>
          <cell r="G22">
            <v>1122</v>
          </cell>
        </row>
        <row r="23">
          <cell r="E23" t="str">
            <v>00615013</v>
          </cell>
          <cell r="F23">
            <v>313</v>
          </cell>
          <cell r="G23">
            <v>739</v>
          </cell>
        </row>
        <row r="24">
          <cell r="E24" t="str">
            <v>00301452</v>
          </cell>
          <cell r="F24">
            <v>304</v>
          </cell>
          <cell r="G24">
            <v>1069</v>
          </cell>
        </row>
        <row r="25">
          <cell r="E25" t="str">
            <v>00423493</v>
          </cell>
          <cell r="F25">
            <v>302</v>
          </cell>
          <cell r="G25">
            <v>782</v>
          </cell>
        </row>
        <row r="26">
          <cell r="E26" t="str">
            <v>00302797</v>
          </cell>
          <cell r="F26">
            <v>300</v>
          </cell>
          <cell r="G26">
            <v>428</v>
          </cell>
        </row>
        <row r="27">
          <cell r="E27" t="str">
            <v>00302798</v>
          </cell>
          <cell r="F27">
            <v>300</v>
          </cell>
          <cell r="G27">
            <v>415</v>
          </cell>
        </row>
        <row r="28">
          <cell r="E28" t="str">
            <v>00386447</v>
          </cell>
          <cell r="F28">
            <v>298</v>
          </cell>
          <cell r="G28">
            <v>361</v>
          </cell>
        </row>
        <row r="29">
          <cell r="E29" t="str">
            <v>00852920</v>
          </cell>
          <cell r="F29">
            <v>290</v>
          </cell>
          <cell r="G29">
            <v>984</v>
          </cell>
        </row>
        <row r="30">
          <cell r="E30" t="str">
            <v>00301751</v>
          </cell>
          <cell r="F30">
            <v>288</v>
          </cell>
          <cell r="G30">
            <v>510</v>
          </cell>
        </row>
        <row r="31">
          <cell r="E31" t="str">
            <v>00301863</v>
          </cell>
          <cell r="F31">
            <v>288</v>
          </cell>
          <cell r="G31">
            <v>396</v>
          </cell>
        </row>
        <row r="32">
          <cell r="E32" t="str">
            <v>00737919</v>
          </cell>
          <cell r="F32">
            <v>281</v>
          </cell>
          <cell r="G32">
            <v>1005</v>
          </cell>
        </row>
        <row r="33">
          <cell r="E33" t="str">
            <v>00423218</v>
          </cell>
          <cell r="F33">
            <v>273</v>
          </cell>
          <cell r="G33">
            <v>2208</v>
          </cell>
        </row>
        <row r="34">
          <cell r="E34" t="str">
            <v>00303395</v>
          </cell>
          <cell r="F34">
            <v>272</v>
          </cell>
          <cell r="G34">
            <v>3086</v>
          </cell>
        </row>
        <row r="35">
          <cell r="E35" t="str">
            <v>00852474</v>
          </cell>
          <cell r="F35">
            <v>267</v>
          </cell>
          <cell r="G35">
            <v>804</v>
          </cell>
        </row>
        <row r="36">
          <cell r="E36" t="str">
            <v>00723493</v>
          </cell>
          <cell r="F36">
            <v>250</v>
          </cell>
          <cell r="G36">
            <v>1087</v>
          </cell>
        </row>
        <row r="37">
          <cell r="E37" t="str">
            <v>00423219</v>
          </cell>
          <cell r="F37">
            <v>238</v>
          </cell>
          <cell r="G37">
            <v>575</v>
          </cell>
        </row>
        <row r="38">
          <cell r="E38" t="str">
            <v>00736947</v>
          </cell>
          <cell r="F38">
            <v>217</v>
          </cell>
          <cell r="G38">
            <v>862</v>
          </cell>
        </row>
        <row r="39">
          <cell r="E39" t="str">
            <v>00423465</v>
          </cell>
          <cell r="F39">
            <v>210</v>
          </cell>
          <cell r="G39">
            <v>787</v>
          </cell>
        </row>
        <row r="40">
          <cell r="E40" t="str">
            <v>00852828</v>
          </cell>
          <cell r="F40">
            <v>200</v>
          </cell>
          <cell r="G40">
            <v>652</v>
          </cell>
        </row>
        <row r="41">
          <cell r="E41" t="str">
            <v>00305958</v>
          </cell>
          <cell r="F41">
            <v>191</v>
          </cell>
          <cell r="G41">
            <v>394</v>
          </cell>
        </row>
        <row r="42">
          <cell r="E42" t="str">
            <v>00375147</v>
          </cell>
          <cell r="F42">
            <v>186</v>
          </cell>
          <cell r="G42">
            <v>447</v>
          </cell>
        </row>
        <row r="43">
          <cell r="E43" t="str">
            <v>00852809</v>
          </cell>
          <cell r="F43">
            <v>174</v>
          </cell>
          <cell r="G43">
            <v>763</v>
          </cell>
        </row>
        <row r="44">
          <cell r="E44" t="str">
            <v>00305956</v>
          </cell>
          <cell r="F44">
            <v>169</v>
          </cell>
          <cell r="G44">
            <v>799</v>
          </cell>
        </row>
        <row r="45">
          <cell r="E45" t="str">
            <v>00423213</v>
          </cell>
          <cell r="F45">
            <v>161</v>
          </cell>
          <cell r="G45">
            <v>959</v>
          </cell>
        </row>
        <row r="46">
          <cell r="E46" t="str">
            <v>00852816</v>
          </cell>
          <cell r="F46">
            <v>160</v>
          </cell>
          <cell r="G46">
            <v>856</v>
          </cell>
        </row>
        <row r="47">
          <cell r="E47" t="str">
            <v>00852471</v>
          </cell>
          <cell r="F47">
            <v>157</v>
          </cell>
          <cell r="G47">
            <v>1301</v>
          </cell>
        </row>
        <row r="48">
          <cell r="E48" t="str">
            <v>00423492</v>
          </cell>
          <cell r="F48">
            <v>156</v>
          </cell>
          <cell r="G48">
            <v>294</v>
          </cell>
        </row>
        <row r="49">
          <cell r="E49" t="str">
            <v>00611477</v>
          </cell>
          <cell r="F49">
            <v>156</v>
          </cell>
          <cell r="G49">
            <v>869</v>
          </cell>
        </row>
        <row r="50">
          <cell r="E50" t="str">
            <v>00852426</v>
          </cell>
          <cell r="F50">
            <v>156</v>
          </cell>
          <cell r="G50">
            <v>289</v>
          </cell>
        </row>
        <row r="51">
          <cell r="E51" t="str">
            <v>00954103</v>
          </cell>
          <cell r="F51">
            <v>153</v>
          </cell>
          <cell r="G51">
            <v>449</v>
          </cell>
        </row>
        <row r="52">
          <cell r="E52" t="str">
            <v>00423490</v>
          </cell>
          <cell r="F52">
            <v>152</v>
          </cell>
          <cell r="G52">
            <v>520</v>
          </cell>
        </row>
        <row r="53">
          <cell r="E53" t="str">
            <v>00306894</v>
          </cell>
          <cell r="F53">
            <v>141</v>
          </cell>
          <cell r="G53">
            <v>301</v>
          </cell>
        </row>
        <row r="54">
          <cell r="E54" t="str">
            <v>00852409</v>
          </cell>
          <cell r="F54">
            <v>140</v>
          </cell>
          <cell r="G54">
            <v>235</v>
          </cell>
        </row>
        <row r="55">
          <cell r="E55" t="str">
            <v>00301634</v>
          </cell>
          <cell r="F55">
            <v>134</v>
          </cell>
          <cell r="G55">
            <v>156</v>
          </cell>
        </row>
        <row r="56">
          <cell r="E56" t="str">
            <v>00309019</v>
          </cell>
          <cell r="F56">
            <v>132</v>
          </cell>
          <cell r="G56">
            <v>453</v>
          </cell>
        </row>
        <row r="57">
          <cell r="E57" t="str">
            <v>00306361</v>
          </cell>
          <cell r="F57">
            <v>130</v>
          </cell>
          <cell r="G57">
            <v>176</v>
          </cell>
        </row>
        <row r="58">
          <cell r="E58" t="str">
            <v>00305033</v>
          </cell>
          <cell r="F58">
            <v>129</v>
          </cell>
          <cell r="G58">
            <v>339</v>
          </cell>
        </row>
        <row r="59">
          <cell r="E59" t="str">
            <v>00301542</v>
          </cell>
          <cell r="F59">
            <v>128</v>
          </cell>
          <cell r="G59">
            <v>840</v>
          </cell>
        </row>
        <row r="60">
          <cell r="E60" t="str">
            <v>00307045</v>
          </cell>
          <cell r="F60">
            <v>117</v>
          </cell>
          <cell r="G60">
            <v>74</v>
          </cell>
        </row>
        <row r="61">
          <cell r="E61" t="str">
            <v>00852553</v>
          </cell>
          <cell r="F61">
            <v>117</v>
          </cell>
          <cell r="G61">
            <v>602</v>
          </cell>
        </row>
        <row r="62">
          <cell r="E62" t="str">
            <v>00737313</v>
          </cell>
          <cell r="F62">
            <v>116</v>
          </cell>
          <cell r="G62">
            <v>377</v>
          </cell>
        </row>
        <row r="63">
          <cell r="E63" t="str">
            <v>00852818</v>
          </cell>
          <cell r="F63">
            <v>111</v>
          </cell>
          <cell r="G63">
            <v>473</v>
          </cell>
        </row>
        <row r="64">
          <cell r="E64" t="str">
            <v>00301665</v>
          </cell>
          <cell r="F64">
            <v>109</v>
          </cell>
          <cell r="G64">
            <v>463</v>
          </cell>
        </row>
        <row r="65">
          <cell r="E65" t="str">
            <v>00305043</v>
          </cell>
          <cell r="F65">
            <v>109</v>
          </cell>
          <cell r="G65">
            <v>235</v>
          </cell>
        </row>
        <row r="66">
          <cell r="E66" t="str">
            <v>00301487</v>
          </cell>
          <cell r="F66">
            <v>109</v>
          </cell>
          <cell r="G66">
            <v>21</v>
          </cell>
        </row>
        <row r="67">
          <cell r="E67" t="str">
            <v>00723496</v>
          </cell>
          <cell r="F67">
            <v>107</v>
          </cell>
          <cell r="G67">
            <v>347</v>
          </cell>
        </row>
        <row r="68">
          <cell r="E68" t="str">
            <v>00611461</v>
          </cell>
          <cell r="F68">
            <v>103</v>
          </cell>
          <cell r="G68">
            <v>177</v>
          </cell>
        </row>
        <row r="69">
          <cell r="E69" t="str">
            <v>00307667</v>
          </cell>
          <cell r="F69">
            <v>102</v>
          </cell>
          <cell r="G69">
            <v>239</v>
          </cell>
        </row>
        <row r="70">
          <cell r="E70" t="str">
            <v>00737310</v>
          </cell>
          <cell r="F70">
            <v>100</v>
          </cell>
          <cell r="G70">
            <v>237</v>
          </cell>
        </row>
        <row r="71">
          <cell r="E71" t="str">
            <v>00853077</v>
          </cell>
          <cell r="F71">
            <v>100</v>
          </cell>
          <cell r="G71">
            <v>41</v>
          </cell>
        </row>
        <row r="72">
          <cell r="E72" t="str">
            <v>00737312</v>
          </cell>
          <cell r="F72">
            <v>96</v>
          </cell>
          <cell r="G72">
            <v>108</v>
          </cell>
        </row>
        <row r="73">
          <cell r="E73" t="str">
            <v>00301856</v>
          </cell>
          <cell r="F73">
            <v>92</v>
          </cell>
          <cell r="G73">
            <v>293</v>
          </cell>
        </row>
        <row r="74">
          <cell r="E74" t="str">
            <v>00852424</v>
          </cell>
          <cell r="F74">
            <v>92</v>
          </cell>
          <cell r="G74">
            <v>202</v>
          </cell>
        </row>
        <row r="75">
          <cell r="E75" t="str">
            <v>00423204</v>
          </cell>
          <cell r="F75">
            <v>86</v>
          </cell>
          <cell r="G75">
            <v>433</v>
          </cell>
        </row>
        <row r="76">
          <cell r="E76" t="str">
            <v>00423464</v>
          </cell>
          <cell r="F76">
            <v>82</v>
          </cell>
          <cell r="G76">
            <v>230</v>
          </cell>
        </row>
        <row r="77">
          <cell r="E77" t="str">
            <v>00423615</v>
          </cell>
          <cell r="F77">
            <v>78</v>
          </cell>
          <cell r="G77">
            <v>43</v>
          </cell>
        </row>
        <row r="78">
          <cell r="E78" t="str">
            <v>00852915</v>
          </cell>
          <cell r="F78">
            <v>76</v>
          </cell>
          <cell r="G78">
            <v>184</v>
          </cell>
        </row>
        <row r="79">
          <cell r="E79" t="str">
            <v>00611474</v>
          </cell>
          <cell r="F79">
            <v>75</v>
          </cell>
          <cell r="G79">
            <v>455</v>
          </cell>
        </row>
        <row r="80">
          <cell r="E80" t="str">
            <v>00718464</v>
          </cell>
          <cell r="F80">
            <v>73</v>
          </cell>
          <cell r="G80">
            <v>455</v>
          </cell>
        </row>
        <row r="81">
          <cell r="E81" t="str">
            <v>00423745</v>
          </cell>
          <cell r="F81">
            <v>73</v>
          </cell>
          <cell r="G81">
            <v>153</v>
          </cell>
        </row>
        <row r="82">
          <cell r="E82" t="str">
            <v>00306744</v>
          </cell>
          <cell r="F82">
            <v>73</v>
          </cell>
          <cell r="G82">
            <v>413</v>
          </cell>
        </row>
        <row r="83">
          <cell r="E83" t="str">
            <v>00304323</v>
          </cell>
          <cell r="F83">
            <v>73</v>
          </cell>
          <cell r="G83">
            <v>62</v>
          </cell>
        </row>
        <row r="84">
          <cell r="E84" t="str">
            <v>00306471</v>
          </cell>
          <cell r="F84">
            <v>73</v>
          </cell>
          <cell r="G84">
            <v>315</v>
          </cell>
        </row>
        <row r="85">
          <cell r="E85" t="str">
            <v>00303392</v>
          </cell>
          <cell r="F85">
            <v>72</v>
          </cell>
          <cell r="G85">
            <v>196</v>
          </cell>
        </row>
        <row r="86">
          <cell r="E86" t="str">
            <v>00301664</v>
          </cell>
          <cell r="F86">
            <v>71</v>
          </cell>
          <cell r="G86">
            <v>139</v>
          </cell>
        </row>
        <row r="87">
          <cell r="E87" t="str">
            <v>00852428</v>
          </cell>
          <cell r="F87">
            <v>71</v>
          </cell>
          <cell r="G87">
            <v>525</v>
          </cell>
        </row>
        <row r="88">
          <cell r="E88" t="str">
            <v>00722130</v>
          </cell>
          <cell r="F88">
            <v>69</v>
          </cell>
          <cell r="G88">
            <v>130</v>
          </cell>
        </row>
        <row r="89">
          <cell r="E89" t="str">
            <v>00423528</v>
          </cell>
          <cell r="F89">
            <v>68</v>
          </cell>
          <cell r="G89">
            <v>41</v>
          </cell>
        </row>
        <row r="90">
          <cell r="E90" t="str">
            <v>00307666</v>
          </cell>
          <cell r="F90">
            <v>67</v>
          </cell>
          <cell r="G90">
            <v>131</v>
          </cell>
        </row>
        <row r="91">
          <cell r="E91" t="str">
            <v>00307046</v>
          </cell>
          <cell r="F91">
            <v>67</v>
          </cell>
          <cell r="G91">
            <v>292</v>
          </cell>
        </row>
        <row r="92">
          <cell r="E92" t="str">
            <v>00611460</v>
          </cell>
          <cell r="F92">
            <v>67</v>
          </cell>
          <cell r="G92">
            <v>141</v>
          </cell>
        </row>
        <row r="93">
          <cell r="E93" t="str">
            <v>00681120</v>
          </cell>
          <cell r="F93">
            <v>65</v>
          </cell>
          <cell r="G93">
            <v>46</v>
          </cell>
        </row>
        <row r="94">
          <cell r="E94" t="str">
            <v>00723095</v>
          </cell>
          <cell r="F94">
            <v>65</v>
          </cell>
          <cell r="G94">
            <v>217</v>
          </cell>
        </row>
        <row r="95">
          <cell r="E95" t="str">
            <v>00423212</v>
          </cell>
          <cell r="F95">
            <v>64</v>
          </cell>
          <cell r="G95">
            <v>812</v>
          </cell>
        </row>
        <row r="96">
          <cell r="E96" t="str">
            <v>00852479</v>
          </cell>
          <cell r="F96">
            <v>64</v>
          </cell>
          <cell r="G96">
            <v>449</v>
          </cell>
        </row>
        <row r="97">
          <cell r="E97" t="str">
            <v>00301680</v>
          </cell>
          <cell r="F97">
            <v>60</v>
          </cell>
          <cell r="G97">
            <v>56</v>
          </cell>
        </row>
        <row r="98">
          <cell r="E98" t="str">
            <v>00301633</v>
          </cell>
          <cell r="F98">
            <v>59</v>
          </cell>
          <cell r="G98">
            <v>98</v>
          </cell>
        </row>
        <row r="99">
          <cell r="E99" t="str">
            <v>00423491</v>
          </cell>
          <cell r="F99">
            <v>57</v>
          </cell>
          <cell r="G99">
            <v>37</v>
          </cell>
        </row>
        <row r="100">
          <cell r="E100" t="str">
            <v>00301462</v>
          </cell>
          <cell r="F100">
            <v>57</v>
          </cell>
          <cell r="G100">
            <v>44</v>
          </cell>
        </row>
        <row r="101">
          <cell r="E101" t="str">
            <v>00301722</v>
          </cell>
          <cell r="F101">
            <v>57</v>
          </cell>
          <cell r="G101">
            <v>20</v>
          </cell>
        </row>
        <row r="102">
          <cell r="E102" t="str">
            <v>00423476</v>
          </cell>
          <cell r="F102">
            <v>56</v>
          </cell>
          <cell r="G102">
            <v>347</v>
          </cell>
        </row>
        <row r="103">
          <cell r="E103" t="str">
            <v>00423463</v>
          </cell>
          <cell r="F103">
            <v>56</v>
          </cell>
          <cell r="G103">
            <v>35</v>
          </cell>
        </row>
        <row r="104">
          <cell r="E104" t="str">
            <v>00306892</v>
          </cell>
          <cell r="F104">
            <v>54</v>
          </cell>
          <cell r="G104">
            <v>29</v>
          </cell>
        </row>
        <row r="105">
          <cell r="E105" t="str">
            <v>00301679</v>
          </cell>
          <cell r="F105">
            <v>54</v>
          </cell>
          <cell r="G105">
            <v>38</v>
          </cell>
        </row>
        <row r="106">
          <cell r="E106" t="str">
            <v>00305035</v>
          </cell>
          <cell r="F106">
            <v>54</v>
          </cell>
          <cell r="G106">
            <v>219</v>
          </cell>
        </row>
        <row r="107">
          <cell r="E107" t="str">
            <v>00301545</v>
          </cell>
          <cell r="F107">
            <v>54</v>
          </cell>
          <cell r="G107">
            <v>36</v>
          </cell>
        </row>
        <row r="108">
          <cell r="E108" t="str">
            <v>00301725</v>
          </cell>
          <cell r="F108">
            <v>54</v>
          </cell>
          <cell r="G108">
            <v>33</v>
          </cell>
        </row>
        <row r="109">
          <cell r="E109" t="str">
            <v>00307665</v>
          </cell>
          <cell r="F109">
            <v>53</v>
          </cell>
          <cell r="G109">
            <v>13</v>
          </cell>
        </row>
        <row r="110">
          <cell r="E110" t="str">
            <v>00852429</v>
          </cell>
          <cell r="F110">
            <v>53</v>
          </cell>
          <cell r="G110">
            <v>331</v>
          </cell>
        </row>
        <row r="111">
          <cell r="E111" t="str">
            <v>00423504</v>
          </cell>
          <cell r="F111">
            <v>52</v>
          </cell>
          <cell r="G111">
            <v>174</v>
          </cell>
        </row>
        <row r="112">
          <cell r="E112" t="str">
            <v>00301755</v>
          </cell>
          <cell r="F112">
            <v>52</v>
          </cell>
          <cell r="G112">
            <v>25</v>
          </cell>
        </row>
        <row r="113">
          <cell r="E113" t="str">
            <v>00737318</v>
          </cell>
          <cell r="F113">
            <v>51</v>
          </cell>
          <cell r="G113">
            <v>62</v>
          </cell>
        </row>
        <row r="114">
          <cell r="E114" t="str">
            <v>00423505</v>
          </cell>
          <cell r="F114">
            <v>51</v>
          </cell>
          <cell r="G114">
            <v>268</v>
          </cell>
        </row>
        <row r="115">
          <cell r="E115" t="str">
            <v>00301750</v>
          </cell>
          <cell r="F115">
            <v>51</v>
          </cell>
          <cell r="G115">
            <v>43</v>
          </cell>
        </row>
        <row r="116">
          <cell r="E116" t="str">
            <v>00301678</v>
          </cell>
          <cell r="F116">
            <v>50</v>
          </cell>
          <cell r="G116">
            <v>9</v>
          </cell>
        </row>
        <row r="117">
          <cell r="E117" t="str">
            <v>00305066</v>
          </cell>
          <cell r="F117">
            <v>49</v>
          </cell>
          <cell r="G117">
            <v>185</v>
          </cell>
        </row>
        <row r="118">
          <cell r="E118" t="str">
            <v>00324704</v>
          </cell>
          <cell r="F118">
            <v>49</v>
          </cell>
          <cell r="G118">
            <v>357</v>
          </cell>
        </row>
        <row r="119">
          <cell r="E119" t="str">
            <v>00718417</v>
          </cell>
          <cell r="F119">
            <v>48</v>
          </cell>
          <cell r="G119">
            <v>331</v>
          </cell>
        </row>
        <row r="120">
          <cell r="E120" t="str">
            <v>00301472</v>
          </cell>
          <cell r="F120">
            <v>48</v>
          </cell>
          <cell r="G120">
            <v>191</v>
          </cell>
        </row>
        <row r="121">
          <cell r="E121" t="str">
            <v>00852427</v>
          </cell>
          <cell r="F121">
            <v>48</v>
          </cell>
          <cell r="G121">
            <v>34</v>
          </cell>
        </row>
        <row r="122">
          <cell r="E122" t="str">
            <v>00732199</v>
          </cell>
          <cell r="F122">
            <v>47</v>
          </cell>
          <cell r="G122">
            <v>348</v>
          </cell>
        </row>
        <row r="123">
          <cell r="E123" t="str">
            <v>00306922</v>
          </cell>
          <cell r="F123">
            <v>47</v>
          </cell>
          <cell r="G123">
            <v>262</v>
          </cell>
        </row>
        <row r="124">
          <cell r="E124" t="str">
            <v>00421703</v>
          </cell>
          <cell r="F124">
            <v>47</v>
          </cell>
          <cell r="G124">
            <v>143</v>
          </cell>
        </row>
        <row r="125">
          <cell r="E125" t="str">
            <v>00852827</v>
          </cell>
          <cell r="F125">
            <v>46</v>
          </cell>
          <cell r="G125">
            <v>42</v>
          </cell>
        </row>
        <row r="126">
          <cell r="E126" t="str">
            <v>00423489</v>
          </cell>
          <cell r="F126">
            <v>45</v>
          </cell>
          <cell r="G126">
            <v>189</v>
          </cell>
        </row>
        <row r="127">
          <cell r="E127" t="str">
            <v>00615244</v>
          </cell>
          <cell r="F127">
            <v>45</v>
          </cell>
          <cell r="G127">
            <v>172</v>
          </cell>
        </row>
        <row r="128">
          <cell r="E128" t="str">
            <v>00301455</v>
          </cell>
          <cell r="F128">
            <v>44</v>
          </cell>
          <cell r="G128">
            <v>151</v>
          </cell>
        </row>
        <row r="129">
          <cell r="E129" t="str">
            <v>00306003</v>
          </cell>
          <cell r="F129">
            <v>43</v>
          </cell>
          <cell r="G129">
            <v>90</v>
          </cell>
        </row>
        <row r="130">
          <cell r="E130" t="str">
            <v>00681121</v>
          </cell>
          <cell r="F130">
            <v>42</v>
          </cell>
          <cell r="G130">
            <v>48</v>
          </cell>
        </row>
        <row r="131">
          <cell r="E131" t="str">
            <v>00423202</v>
          </cell>
          <cell r="F131">
            <v>41</v>
          </cell>
          <cell r="G131">
            <v>248</v>
          </cell>
        </row>
        <row r="132">
          <cell r="E132" t="str">
            <v>00681829</v>
          </cell>
          <cell r="F132">
            <v>41</v>
          </cell>
          <cell r="G132">
            <v>11</v>
          </cell>
        </row>
        <row r="133">
          <cell r="E133" t="str">
            <v>00852798</v>
          </cell>
          <cell r="F133">
            <v>41</v>
          </cell>
          <cell r="G133">
            <v>207</v>
          </cell>
        </row>
        <row r="134">
          <cell r="E134" t="str">
            <v>00852801</v>
          </cell>
          <cell r="F134">
            <v>41</v>
          </cell>
          <cell r="G134">
            <v>175</v>
          </cell>
        </row>
        <row r="135">
          <cell r="E135" t="str">
            <v>00306920</v>
          </cell>
          <cell r="F135">
            <v>39</v>
          </cell>
          <cell r="G135">
            <v>117</v>
          </cell>
        </row>
        <row r="136">
          <cell r="E136" t="str">
            <v>00723463</v>
          </cell>
          <cell r="F136">
            <v>38</v>
          </cell>
          <cell r="G136">
            <v>86</v>
          </cell>
        </row>
        <row r="137">
          <cell r="E137" t="str">
            <v>00307553</v>
          </cell>
          <cell r="F137">
            <v>36</v>
          </cell>
          <cell r="G137">
            <v>141</v>
          </cell>
        </row>
        <row r="138">
          <cell r="E138" t="str">
            <v>00722129</v>
          </cell>
          <cell r="F138">
            <v>36</v>
          </cell>
          <cell r="G138">
            <v>128</v>
          </cell>
        </row>
        <row r="139">
          <cell r="E139" t="str">
            <v>00680876</v>
          </cell>
          <cell r="F139">
            <v>35</v>
          </cell>
          <cell r="G139">
            <v>92</v>
          </cell>
        </row>
        <row r="140">
          <cell r="E140" t="str">
            <v>00681122</v>
          </cell>
          <cell r="F140">
            <v>34</v>
          </cell>
          <cell r="G140">
            <v>33</v>
          </cell>
        </row>
        <row r="141">
          <cell r="E141" t="str">
            <v>00423747</v>
          </cell>
          <cell r="F141">
            <v>34</v>
          </cell>
          <cell r="G141">
            <v>53</v>
          </cell>
        </row>
        <row r="142">
          <cell r="E142" t="str">
            <v>00611464</v>
          </cell>
          <cell r="F142">
            <v>34</v>
          </cell>
          <cell r="G142">
            <v>315</v>
          </cell>
        </row>
        <row r="143">
          <cell r="E143" t="str">
            <v>00853338</v>
          </cell>
          <cell r="F143">
            <v>34</v>
          </cell>
          <cell r="G143">
            <v>88</v>
          </cell>
        </row>
        <row r="144">
          <cell r="E144" t="str">
            <v>00852475</v>
          </cell>
          <cell r="F144">
            <v>34</v>
          </cell>
          <cell r="G144">
            <v>79</v>
          </cell>
        </row>
        <row r="145">
          <cell r="E145" t="str">
            <v>00307896</v>
          </cell>
          <cell r="F145">
            <v>32</v>
          </cell>
          <cell r="G145">
            <v>179</v>
          </cell>
        </row>
        <row r="146">
          <cell r="E146" t="str">
            <v>00723486</v>
          </cell>
          <cell r="F146">
            <v>32</v>
          </cell>
          <cell r="G146">
            <v>171</v>
          </cell>
        </row>
        <row r="147">
          <cell r="E147" t="str">
            <v>00726024</v>
          </cell>
          <cell r="F147">
            <v>30</v>
          </cell>
          <cell r="G147">
            <v>80</v>
          </cell>
        </row>
        <row r="148">
          <cell r="E148" t="str">
            <v>00386169</v>
          </cell>
          <cell r="F148">
            <v>30</v>
          </cell>
        </row>
        <row r="149">
          <cell r="E149" t="str">
            <v>00723485</v>
          </cell>
          <cell r="F149">
            <v>29</v>
          </cell>
          <cell r="G149">
            <v>145</v>
          </cell>
        </row>
        <row r="150">
          <cell r="E150" t="str">
            <v>00731831</v>
          </cell>
          <cell r="F150">
            <v>28</v>
          </cell>
          <cell r="G150">
            <v>166</v>
          </cell>
        </row>
        <row r="151">
          <cell r="E151" t="str">
            <v>00301667</v>
          </cell>
          <cell r="F151">
            <v>28</v>
          </cell>
          <cell r="G151">
            <v>35</v>
          </cell>
        </row>
        <row r="152">
          <cell r="E152" t="str">
            <v>00324717</v>
          </cell>
          <cell r="F152">
            <v>28</v>
          </cell>
          <cell r="G152">
            <v>155</v>
          </cell>
        </row>
        <row r="153">
          <cell r="E153" t="str">
            <v>00303394</v>
          </cell>
          <cell r="F153">
            <v>28</v>
          </cell>
          <cell r="G153">
            <v>133</v>
          </cell>
        </row>
        <row r="154">
          <cell r="E154" t="str">
            <v>00423683</v>
          </cell>
          <cell r="F154">
            <v>28</v>
          </cell>
          <cell r="G154">
            <v>241</v>
          </cell>
        </row>
        <row r="155">
          <cell r="E155" t="str">
            <v>00682319</v>
          </cell>
          <cell r="F155">
            <v>27</v>
          </cell>
          <cell r="G155">
            <v>137</v>
          </cell>
        </row>
        <row r="156">
          <cell r="E156" t="str">
            <v>00737935</v>
          </cell>
          <cell r="F156">
            <v>27</v>
          </cell>
          <cell r="G156">
            <v>136</v>
          </cell>
        </row>
        <row r="157">
          <cell r="E157" t="str">
            <v>00301639</v>
          </cell>
          <cell r="F157">
            <v>26</v>
          </cell>
          <cell r="G157">
            <v>4</v>
          </cell>
        </row>
        <row r="158">
          <cell r="E158" t="str">
            <v>00421701</v>
          </cell>
          <cell r="F158">
            <v>26</v>
          </cell>
          <cell r="G158">
            <v>162</v>
          </cell>
        </row>
        <row r="159">
          <cell r="E159" t="str">
            <v>00681187</v>
          </cell>
          <cell r="F159">
            <v>26</v>
          </cell>
        </row>
        <row r="160">
          <cell r="E160" t="str">
            <v>00723495</v>
          </cell>
          <cell r="F160">
            <v>26</v>
          </cell>
          <cell r="G160">
            <v>429</v>
          </cell>
        </row>
        <row r="161">
          <cell r="E161" t="str">
            <v>00734925</v>
          </cell>
          <cell r="F161">
            <v>25</v>
          </cell>
          <cell r="G161">
            <v>126</v>
          </cell>
        </row>
        <row r="162">
          <cell r="E162" t="str">
            <v>00305041</v>
          </cell>
          <cell r="F162">
            <v>25</v>
          </cell>
          <cell r="G162">
            <v>146</v>
          </cell>
        </row>
        <row r="163">
          <cell r="E163" t="str">
            <v>00852829</v>
          </cell>
          <cell r="F163">
            <v>25</v>
          </cell>
          <cell r="G163">
            <v>103</v>
          </cell>
        </row>
        <row r="164">
          <cell r="E164" t="str">
            <v>00852817</v>
          </cell>
          <cell r="F164">
            <v>25</v>
          </cell>
          <cell r="G164">
            <v>161</v>
          </cell>
        </row>
        <row r="165">
          <cell r="E165" t="str">
            <v>00305067</v>
          </cell>
          <cell r="F165">
            <v>24</v>
          </cell>
          <cell r="G165">
            <v>72</v>
          </cell>
        </row>
        <row r="166">
          <cell r="E166" t="str">
            <v>00608175</v>
          </cell>
          <cell r="F166">
            <v>23</v>
          </cell>
          <cell r="G166">
            <v>117</v>
          </cell>
        </row>
        <row r="167">
          <cell r="E167" t="str">
            <v>00305069</v>
          </cell>
          <cell r="F167">
            <v>23</v>
          </cell>
          <cell r="G167">
            <v>194</v>
          </cell>
        </row>
        <row r="168">
          <cell r="E168" t="str">
            <v>00301838</v>
          </cell>
          <cell r="F168">
            <v>23</v>
          </cell>
          <cell r="G168">
            <v>94</v>
          </cell>
        </row>
        <row r="169">
          <cell r="E169" t="str">
            <v>00639924</v>
          </cell>
          <cell r="F169">
            <v>23</v>
          </cell>
        </row>
        <row r="170">
          <cell r="E170" t="str">
            <v>00728209</v>
          </cell>
          <cell r="F170">
            <v>23</v>
          </cell>
          <cell r="G170">
            <v>48</v>
          </cell>
        </row>
        <row r="171">
          <cell r="E171" t="str">
            <v>00301483</v>
          </cell>
          <cell r="F171">
            <v>22</v>
          </cell>
          <cell r="G171">
            <v>19</v>
          </cell>
        </row>
        <row r="172">
          <cell r="E172" t="str">
            <v>00301866</v>
          </cell>
          <cell r="F172">
            <v>22</v>
          </cell>
          <cell r="G172">
            <v>274</v>
          </cell>
        </row>
        <row r="173">
          <cell r="E173" t="str">
            <v>00423503</v>
          </cell>
          <cell r="F173">
            <v>21</v>
          </cell>
          <cell r="G173">
            <v>57</v>
          </cell>
        </row>
        <row r="174">
          <cell r="E174" t="str">
            <v>00852805</v>
          </cell>
          <cell r="F174">
            <v>21</v>
          </cell>
          <cell r="G174">
            <v>108</v>
          </cell>
        </row>
        <row r="175">
          <cell r="E175" t="str">
            <v>00611469</v>
          </cell>
          <cell r="F175">
            <v>21</v>
          </cell>
          <cell r="G175">
            <v>82</v>
          </cell>
        </row>
        <row r="176">
          <cell r="E176" t="str">
            <v>00852422</v>
          </cell>
          <cell r="F176">
            <v>21</v>
          </cell>
          <cell r="G176">
            <v>111</v>
          </cell>
        </row>
        <row r="177">
          <cell r="E177" t="str">
            <v>00852653</v>
          </cell>
          <cell r="F177">
            <v>20</v>
          </cell>
          <cell r="G177">
            <v>159</v>
          </cell>
        </row>
        <row r="178">
          <cell r="E178" t="str">
            <v>00734926</v>
          </cell>
          <cell r="F178">
            <v>20</v>
          </cell>
          <cell r="G178">
            <v>106</v>
          </cell>
        </row>
        <row r="179">
          <cell r="E179" t="str">
            <v>00681831</v>
          </cell>
          <cell r="F179">
            <v>20</v>
          </cell>
          <cell r="G179">
            <v>9</v>
          </cell>
        </row>
        <row r="180">
          <cell r="E180" t="str">
            <v>00681830</v>
          </cell>
          <cell r="F180">
            <v>20</v>
          </cell>
          <cell r="G180">
            <v>9</v>
          </cell>
        </row>
        <row r="181">
          <cell r="E181" t="str">
            <v>00852812</v>
          </cell>
          <cell r="F181">
            <v>20</v>
          </cell>
          <cell r="G181">
            <v>155</v>
          </cell>
        </row>
        <row r="182">
          <cell r="E182" t="str">
            <v>00852477</v>
          </cell>
          <cell r="F182">
            <v>20</v>
          </cell>
          <cell r="G182">
            <v>110</v>
          </cell>
        </row>
        <row r="183">
          <cell r="E183" t="str">
            <v>00728147</v>
          </cell>
          <cell r="F183">
            <v>20</v>
          </cell>
          <cell r="G183">
            <v>75</v>
          </cell>
        </row>
        <row r="184">
          <cell r="E184" t="str">
            <v>00728168</v>
          </cell>
          <cell r="F184">
            <v>20</v>
          </cell>
          <cell r="G184">
            <v>108</v>
          </cell>
        </row>
        <row r="185">
          <cell r="E185" t="str">
            <v>00423208</v>
          </cell>
          <cell r="F185">
            <v>19</v>
          </cell>
          <cell r="G185">
            <v>99</v>
          </cell>
        </row>
        <row r="186">
          <cell r="E186" t="str">
            <v>00305036</v>
          </cell>
          <cell r="F186">
            <v>19</v>
          </cell>
          <cell r="G186">
            <v>20</v>
          </cell>
        </row>
        <row r="187">
          <cell r="E187" t="str">
            <v>00738112</v>
          </cell>
          <cell r="F187">
            <v>19</v>
          </cell>
          <cell r="G187">
            <v>31</v>
          </cell>
        </row>
        <row r="188">
          <cell r="E188" t="str">
            <v>00721524</v>
          </cell>
          <cell r="F188">
            <v>19</v>
          </cell>
        </row>
        <row r="189">
          <cell r="E189" t="str">
            <v>00682327</v>
          </cell>
          <cell r="F189">
            <v>19</v>
          </cell>
          <cell r="G189">
            <v>52</v>
          </cell>
        </row>
        <row r="190">
          <cell r="E190" t="str">
            <v>00424017</v>
          </cell>
          <cell r="F190">
            <v>19</v>
          </cell>
          <cell r="G190">
            <v>70</v>
          </cell>
        </row>
        <row r="191">
          <cell r="E191" t="str">
            <v>00424076</v>
          </cell>
          <cell r="F191">
            <v>19</v>
          </cell>
          <cell r="G191">
            <v>55</v>
          </cell>
        </row>
        <row r="192">
          <cell r="E192" t="str">
            <v>00306918</v>
          </cell>
          <cell r="F192">
            <v>18</v>
          </cell>
          <cell r="G192">
            <v>55</v>
          </cell>
        </row>
        <row r="193">
          <cell r="E193" t="str">
            <v>00307059</v>
          </cell>
          <cell r="F193">
            <v>18</v>
          </cell>
          <cell r="G193">
            <v>183</v>
          </cell>
        </row>
        <row r="194">
          <cell r="E194" t="str">
            <v>00302007</v>
          </cell>
          <cell r="F194">
            <v>18</v>
          </cell>
          <cell r="G194">
            <v>154</v>
          </cell>
        </row>
        <row r="195">
          <cell r="E195" t="str">
            <v>00852806</v>
          </cell>
          <cell r="F195">
            <v>18</v>
          </cell>
          <cell r="G195">
            <v>24</v>
          </cell>
        </row>
        <row r="196">
          <cell r="E196" t="str">
            <v>00852821</v>
          </cell>
          <cell r="F196">
            <v>18</v>
          </cell>
          <cell r="G196">
            <v>207</v>
          </cell>
        </row>
        <row r="197">
          <cell r="E197" t="str">
            <v>00852705</v>
          </cell>
          <cell r="F197">
            <v>18</v>
          </cell>
          <cell r="G197">
            <v>58</v>
          </cell>
        </row>
        <row r="198">
          <cell r="E198" t="str">
            <v>00423746</v>
          </cell>
          <cell r="F198">
            <v>17</v>
          </cell>
          <cell r="G198">
            <v>38</v>
          </cell>
        </row>
        <row r="199">
          <cell r="E199" t="str">
            <v>00852680</v>
          </cell>
          <cell r="F199">
            <v>17</v>
          </cell>
          <cell r="G199">
            <v>14</v>
          </cell>
        </row>
        <row r="200">
          <cell r="E200" t="str">
            <v>00852922</v>
          </cell>
          <cell r="F200">
            <v>17</v>
          </cell>
          <cell r="G200">
            <v>69</v>
          </cell>
        </row>
        <row r="201">
          <cell r="E201" t="str">
            <v>00728160</v>
          </cell>
          <cell r="F201">
            <v>17</v>
          </cell>
          <cell r="G201">
            <v>73</v>
          </cell>
        </row>
        <row r="202">
          <cell r="E202" t="str">
            <v>00680921</v>
          </cell>
          <cell r="F202">
            <v>16</v>
          </cell>
          <cell r="G202">
            <v>110</v>
          </cell>
        </row>
        <row r="203">
          <cell r="E203" t="str">
            <v>00423692</v>
          </cell>
          <cell r="F203">
            <v>16</v>
          </cell>
          <cell r="G203">
            <v>50</v>
          </cell>
        </row>
        <row r="204">
          <cell r="E204" t="str">
            <v>00305828</v>
          </cell>
          <cell r="F204">
            <v>16</v>
          </cell>
          <cell r="G204">
            <v>192</v>
          </cell>
        </row>
        <row r="205">
          <cell r="E205" t="str">
            <v>00680646</v>
          </cell>
          <cell r="F205">
            <v>16</v>
          </cell>
        </row>
        <row r="206">
          <cell r="E206" t="str">
            <v>00734902</v>
          </cell>
          <cell r="F206">
            <v>16</v>
          </cell>
          <cell r="G206">
            <v>38</v>
          </cell>
        </row>
        <row r="207">
          <cell r="E207" t="str">
            <v>00852405</v>
          </cell>
          <cell r="F207">
            <v>16</v>
          </cell>
          <cell r="G207">
            <v>87</v>
          </cell>
        </row>
        <row r="208">
          <cell r="E208" t="str">
            <v>00723476</v>
          </cell>
          <cell r="F208">
            <v>16</v>
          </cell>
          <cell r="G208">
            <v>13</v>
          </cell>
        </row>
        <row r="209">
          <cell r="E209" t="str">
            <v>00734825</v>
          </cell>
          <cell r="F209">
            <v>15</v>
          </cell>
          <cell r="G209">
            <v>61</v>
          </cell>
        </row>
        <row r="210">
          <cell r="E210" t="str">
            <v>00305070</v>
          </cell>
          <cell r="F210">
            <v>15</v>
          </cell>
          <cell r="G210">
            <v>126</v>
          </cell>
        </row>
        <row r="211">
          <cell r="E211" t="str">
            <v>00301468</v>
          </cell>
          <cell r="F211">
            <v>15</v>
          </cell>
          <cell r="G211">
            <v>23</v>
          </cell>
        </row>
        <row r="212">
          <cell r="E212" t="str">
            <v>00302178</v>
          </cell>
          <cell r="F212">
            <v>15</v>
          </cell>
          <cell r="G212">
            <v>50</v>
          </cell>
        </row>
        <row r="213">
          <cell r="E213" t="str">
            <v>00302180</v>
          </cell>
          <cell r="F213">
            <v>15</v>
          </cell>
          <cell r="G213">
            <v>36</v>
          </cell>
        </row>
        <row r="214">
          <cell r="E214" t="str">
            <v>00724427</v>
          </cell>
          <cell r="F214">
            <v>15</v>
          </cell>
          <cell r="G214">
            <v>29</v>
          </cell>
        </row>
        <row r="215">
          <cell r="E215" t="str">
            <v>00853078</v>
          </cell>
          <cell r="F215">
            <v>15</v>
          </cell>
          <cell r="G215">
            <v>148</v>
          </cell>
        </row>
        <row r="216">
          <cell r="E216" t="str">
            <v>00723465</v>
          </cell>
          <cell r="F216">
            <v>15</v>
          </cell>
          <cell r="G216">
            <v>88</v>
          </cell>
        </row>
        <row r="217">
          <cell r="E217" t="str">
            <v>00615328</v>
          </cell>
          <cell r="F217">
            <v>15</v>
          </cell>
          <cell r="G217">
            <v>12</v>
          </cell>
        </row>
        <row r="218">
          <cell r="E218" t="str">
            <v>00301695</v>
          </cell>
          <cell r="F218">
            <v>14</v>
          </cell>
          <cell r="G218">
            <v>339</v>
          </cell>
        </row>
        <row r="219">
          <cell r="E219" t="str">
            <v>00430610</v>
          </cell>
          <cell r="F219">
            <v>14</v>
          </cell>
          <cell r="G219">
            <v>19</v>
          </cell>
        </row>
        <row r="220">
          <cell r="E220" t="str">
            <v>00680387</v>
          </cell>
          <cell r="F220">
            <v>14</v>
          </cell>
          <cell r="G220">
            <v>4</v>
          </cell>
        </row>
        <row r="221">
          <cell r="E221" t="str">
            <v>00611395</v>
          </cell>
          <cell r="F221">
            <v>14</v>
          </cell>
          <cell r="G221">
            <v>1</v>
          </cell>
        </row>
        <row r="222">
          <cell r="E222" t="str">
            <v>00611385</v>
          </cell>
          <cell r="F222">
            <v>14</v>
          </cell>
          <cell r="G222">
            <v>16</v>
          </cell>
        </row>
        <row r="223">
          <cell r="E223" t="str">
            <v>00724428</v>
          </cell>
          <cell r="F223">
            <v>14</v>
          </cell>
        </row>
        <row r="224">
          <cell r="E224" t="str">
            <v>00852473</v>
          </cell>
          <cell r="F224">
            <v>14</v>
          </cell>
          <cell r="G224">
            <v>283</v>
          </cell>
        </row>
        <row r="225">
          <cell r="E225" t="str">
            <v>00680182</v>
          </cell>
          <cell r="F225">
            <v>14</v>
          </cell>
          <cell r="G225">
            <v>1</v>
          </cell>
        </row>
        <row r="226">
          <cell r="E226" t="str">
            <v>00618226</v>
          </cell>
          <cell r="F226">
            <v>14</v>
          </cell>
          <cell r="G226">
            <v>30</v>
          </cell>
        </row>
        <row r="227">
          <cell r="E227" t="str">
            <v>00633369</v>
          </cell>
          <cell r="F227">
            <v>13</v>
          </cell>
          <cell r="G227">
            <v>71</v>
          </cell>
        </row>
        <row r="228">
          <cell r="E228" t="str">
            <v>00728210</v>
          </cell>
          <cell r="F228">
            <v>13</v>
          </cell>
          <cell r="G228">
            <v>52</v>
          </cell>
        </row>
        <row r="229">
          <cell r="E229" t="str">
            <v>00306360</v>
          </cell>
          <cell r="F229">
            <v>13</v>
          </cell>
          <cell r="G229">
            <v>25</v>
          </cell>
        </row>
        <row r="230">
          <cell r="E230" t="str">
            <v>00301865</v>
          </cell>
          <cell r="F230">
            <v>13</v>
          </cell>
          <cell r="G230">
            <v>11</v>
          </cell>
        </row>
        <row r="231">
          <cell r="E231" t="str">
            <v>00735642</v>
          </cell>
          <cell r="F231">
            <v>13</v>
          </cell>
          <cell r="G231">
            <v>9</v>
          </cell>
        </row>
        <row r="232">
          <cell r="E232" t="str">
            <v>00852819</v>
          </cell>
          <cell r="F232">
            <v>13</v>
          </cell>
          <cell r="G232">
            <v>80</v>
          </cell>
        </row>
        <row r="233">
          <cell r="E233" t="str">
            <v>00852802</v>
          </cell>
          <cell r="F233">
            <v>13</v>
          </cell>
          <cell r="G233">
            <v>113</v>
          </cell>
        </row>
        <row r="234">
          <cell r="E234" t="str">
            <v>00852918</v>
          </cell>
          <cell r="F234">
            <v>13</v>
          </cell>
          <cell r="G234">
            <v>201</v>
          </cell>
        </row>
        <row r="235">
          <cell r="E235" t="str">
            <v>00718704</v>
          </cell>
          <cell r="F235">
            <v>13</v>
          </cell>
          <cell r="G235">
            <v>37</v>
          </cell>
        </row>
        <row r="236">
          <cell r="E236" t="str">
            <v>00435198</v>
          </cell>
          <cell r="F236">
            <v>12</v>
          </cell>
          <cell r="G236">
            <v>15</v>
          </cell>
        </row>
        <row r="237">
          <cell r="E237" t="str">
            <v>00305447</v>
          </cell>
          <cell r="F237">
            <v>12</v>
          </cell>
          <cell r="G237">
            <v>4</v>
          </cell>
        </row>
        <row r="238">
          <cell r="E238" t="str">
            <v>00305830</v>
          </cell>
          <cell r="F238">
            <v>12</v>
          </cell>
          <cell r="G238">
            <v>36</v>
          </cell>
        </row>
        <row r="239">
          <cell r="E239" t="str">
            <v>00718651</v>
          </cell>
          <cell r="F239">
            <v>12</v>
          </cell>
          <cell r="G239">
            <v>45</v>
          </cell>
        </row>
        <row r="240">
          <cell r="E240" t="str">
            <v>00736948</v>
          </cell>
          <cell r="F240">
            <v>12</v>
          </cell>
          <cell r="G240">
            <v>30</v>
          </cell>
        </row>
        <row r="241">
          <cell r="E241" t="str">
            <v>00853475</v>
          </cell>
          <cell r="F241">
            <v>12</v>
          </cell>
          <cell r="G241">
            <v>14</v>
          </cell>
        </row>
        <row r="242">
          <cell r="E242" t="str">
            <v>00852929</v>
          </cell>
          <cell r="F242">
            <v>12</v>
          </cell>
          <cell r="G242">
            <v>207</v>
          </cell>
        </row>
        <row r="243">
          <cell r="E243" t="str">
            <v>00852555</v>
          </cell>
          <cell r="F243">
            <v>12</v>
          </cell>
          <cell r="G243">
            <v>53</v>
          </cell>
        </row>
        <row r="244">
          <cell r="E244" t="str">
            <v>00717220</v>
          </cell>
          <cell r="F244">
            <v>12</v>
          </cell>
          <cell r="G244">
            <v>82</v>
          </cell>
        </row>
        <row r="245">
          <cell r="E245" t="str">
            <v>00728163</v>
          </cell>
          <cell r="F245">
            <v>12</v>
          </cell>
          <cell r="G245">
            <v>48</v>
          </cell>
        </row>
        <row r="246">
          <cell r="E246" t="str">
            <v>00718458</v>
          </cell>
          <cell r="F246">
            <v>11</v>
          </cell>
          <cell r="G246">
            <v>78</v>
          </cell>
        </row>
        <row r="247">
          <cell r="E247" t="str">
            <v>00718565</v>
          </cell>
          <cell r="F247">
            <v>11</v>
          </cell>
          <cell r="G247">
            <v>66</v>
          </cell>
        </row>
        <row r="248">
          <cell r="E248" t="str">
            <v>00728205</v>
          </cell>
          <cell r="F248">
            <v>11</v>
          </cell>
          <cell r="G248">
            <v>40</v>
          </cell>
        </row>
        <row r="249">
          <cell r="E249" t="str">
            <v>00389449</v>
          </cell>
          <cell r="F249">
            <v>11</v>
          </cell>
          <cell r="G249">
            <v>36</v>
          </cell>
        </row>
        <row r="250">
          <cell r="E250" t="str">
            <v>00307976</v>
          </cell>
          <cell r="F250">
            <v>11</v>
          </cell>
          <cell r="G250">
            <v>89</v>
          </cell>
        </row>
        <row r="251">
          <cell r="E251" t="str">
            <v>00264565</v>
          </cell>
          <cell r="F251">
            <v>11</v>
          </cell>
          <cell r="G251">
            <v>181</v>
          </cell>
        </row>
        <row r="252">
          <cell r="E252" t="str">
            <v>00424018</v>
          </cell>
          <cell r="F252">
            <v>11</v>
          </cell>
          <cell r="G252">
            <v>22</v>
          </cell>
        </row>
        <row r="253">
          <cell r="E253" t="str">
            <v>00852822</v>
          </cell>
          <cell r="F253">
            <v>11</v>
          </cell>
          <cell r="G253">
            <v>97</v>
          </cell>
        </row>
        <row r="254">
          <cell r="E254" t="str">
            <v>00615365</v>
          </cell>
          <cell r="F254">
            <v>11</v>
          </cell>
          <cell r="G254">
            <v>13</v>
          </cell>
        </row>
        <row r="255">
          <cell r="E255" t="str">
            <v>00639829</v>
          </cell>
          <cell r="F255">
            <v>11</v>
          </cell>
          <cell r="G255">
            <v>43</v>
          </cell>
        </row>
        <row r="256">
          <cell r="E256" t="str">
            <v>00718799</v>
          </cell>
          <cell r="F256">
            <v>11</v>
          </cell>
          <cell r="G256">
            <v>46</v>
          </cell>
        </row>
        <row r="257">
          <cell r="E257" t="str">
            <v>00718439</v>
          </cell>
          <cell r="F257">
            <v>10</v>
          </cell>
          <cell r="G257">
            <v>179</v>
          </cell>
        </row>
        <row r="258">
          <cell r="E258" t="str">
            <v>00720462</v>
          </cell>
          <cell r="F258">
            <v>10</v>
          </cell>
        </row>
        <row r="259">
          <cell r="E259" t="str">
            <v>00730997</v>
          </cell>
          <cell r="F259">
            <v>10</v>
          </cell>
          <cell r="G259">
            <v>9</v>
          </cell>
        </row>
        <row r="260">
          <cell r="E260" t="str">
            <v>00302873</v>
          </cell>
          <cell r="F260">
            <v>10</v>
          </cell>
          <cell r="G260">
            <v>27</v>
          </cell>
        </row>
        <row r="261">
          <cell r="E261" t="str">
            <v>00305030</v>
          </cell>
          <cell r="F261">
            <v>10</v>
          </cell>
          <cell r="G261">
            <v>61</v>
          </cell>
        </row>
        <row r="262">
          <cell r="E262" t="str">
            <v>00307975</v>
          </cell>
          <cell r="F262">
            <v>10</v>
          </cell>
          <cell r="G262">
            <v>20</v>
          </cell>
        </row>
        <row r="263">
          <cell r="E263" t="str">
            <v>00305831</v>
          </cell>
          <cell r="F263">
            <v>10</v>
          </cell>
          <cell r="G263">
            <v>151</v>
          </cell>
        </row>
        <row r="264">
          <cell r="E264" t="str">
            <v>00736949</v>
          </cell>
          <cell r="F264">
            <v>10</v>
          </cell>
          <cell r="G264">
            <v>20</v>
          </cell>
        </row>
        <row r="265">
          <cell r="E265" t="str">
            <v>00611386</v>
          </cell>
          <cell r="F265">
            <v>10</v>
          </cell>
          <cell r="G265">
            <v>18</v>
          </cell>
        </row>
        <row r="266">
          <cell r="E266" t="str">
            <v>00852407</v>
          </cell>
          <cell r="F266">
            <v>10</v>
          </cell>
          <cell r="G266">
            <v>75</v>
          </cell>
        </row>
        <row r="267">
          <cell r="E267" t="str">
            <v>00611473</v>
          </cell>
          <cell r="F267">
            <v>10</v>
          </cell>
          <cell r="G267">
            <v>72</v>
          </cell>
        </row>
        <row r="268">
          <cell r="E268" t="str">
            <v>00611471</v>
          </cell>
          <cell r="F268">
            <v>10</v>
          </cell>
          <cell r="G268">
            <v>17</v>
          </cell>
        </row>
        <row r="269">
          <cell r="E269" t="str">
            <v>00611462</v>
          </cell>
          <cell r="F269">
            <v>10</v>
          </cell>
          <cell r="G269">
            <v>18</v>
          </cell>
        </row>
        <row r="270">
          <cell r="E270" t="str">
            <v>00852480</v>
          </cell>
          <cell r="F270">
            <v>10</v>
          </cell>
          <cell r="G270">
            <v>36</v>
          </cell>
        </row>
        <row r="271">
          <cell r="E271" t="str">
            <v>00734980</v>
          </cell>
          <cell r="F271">
            <v>10</v>
          </cell>
          <cell r="G271">
            <v>43</v>
          </cell>
        </row>
        <row r="272">
          <cell r="E272" t="str">
            <v>00732196</v>
          </cell>
          <cell r="F272">
            <v>10</v>
          </cell>
          <cell r="G272">
            <v>16</v>
          </cell>
        </row>
        <row r="273">
          <cell r="E273" t="str">
            <v>00720265</v>
          </cell>
          <cell r="F273">
            <v>9</v>
          </cell>
          <cell r="G273">
            <v>125</v>
          </cell>
        </row>
        <row r="274">
          <cell r="E274" t="str">
            <v>00853261</v>
          </cell>
          <cell r="F274">
            <v>9</v>
          </cell>
          <cell r="G274">
            <v>40</v>
          </cell>
        </row>
        <row r="275">
          <cell r="E275" t="str">
            <v>00614857</v>
          </cell>
          <cell r="F275">
            <v>9</v>
          </cell>
          <cell r="G275">
            <v>38</v>
          </cell>
        </row>
        <row r="276">
          <cell r="E276" t="str">
            <v>00307895</v>
          </cell>
          <cell r="F276">
            <v>9</v>
          </cell>
          <cell r="G276">
            <v>69</v>
          </cell>
        </row>
        <row r="277">
          <cell r="E277" t="str">
            <v>00423469</v>
          </cell>
          <cell r="F277">
            <v>9</v>
          </cell>
          <cell r="G277">
            <v>71</v>
          </cell>
        </row>
        <row r="278">
          <cell r="E278" t="str">
            <v>00470314</v>
          </cell>
          <cell r="F278">
            <v>9</v>
          </cell>
        </row>
        <row r="279">
          <cell r="E279" t="str">
            <v>00301998</v>
          </cell>
          <cell r="F279">
            <v>9</v>
          </cell>
          <cell r="G279">
            <v>13</v>
          </cell>
        </row>
        <row r="280">
          <cell r="E280" t="str">
            <v>00301958</v>
          </cell>
          <cell r="F280">
            <v>9</v>
          </cell>
          <cell r="G280">
            <v>13</v>
          </cell>
        </row>
        <row r="281">
          <cell r="E281" t="str">
            <v>00611825</v>
          </cell>
          <cell r="F281">
            <v>9</v>
          </cell>
        </row>
        <row r="282">
          <cell r="E282" t="str">
            <v>00631437</v>
          </cell>
          <cell r="F282">
            <v>9</v>
          </cell>
        </row>
        <row r="283">
          <cell r="E283" t="str">
            <v>00853337</v>
          </cell>
          <cell r="F283">
            <v>9</v>
          </cell>
          <cell r="G283">
            <v>101</v>
          </cell>
        </row>
        <row r="284">
          <cell r="E284" t="str">
            <v>00301839</v>
          </cell>
          <cell r="F284">
            <v>8</v>
          </cell>
          <cell r="G284">
            <v>10</v>
          </cell>
        </row>
        <row r="285">
          <cell r="E285" t="str">
            <v>00423488</v>
          </cell>
          <cell r="F285">
            <v>8</v>
          </cell>
          <cell r="G285">
            <v>78</v>
          </cell>
        </row>
        <row r="286">
          <cell r="E286" t="str">
            <v>00423496</v>
          </cell>
          <cell r="F286">
            <v>8</v>
          </cell>
          <cell r="G286">
            <v>17</v>
          </cell>
        </row>
        <row r="287">
          <cell r="E287" t="str">
            <v>00301848</v>
          </cell>
          <cell r="F287">
            <v>8</v>
          </cell>
          <cell r="G287">
            <v>100</v>
          </cell>
        </row>
        <row r="288">
          <cell r="E288" t="str">
            <v>00734720</v>
          </cell>
          <cell r="F288">
            <v>8</v>
          </cell>
          <cell r="G288">
            <v>68</v>
          </cell>
        </row>
        <row r="289">
          <cell r="E289" t="str">
            <v>00680149</v>
          </cell>
          <cell r="F289">
            <v>8</v>
          </cell>
          <cell r="G289">
            <v>113</v>
          </cell>
        </row>
        <row r="290">
          <cell r="E290" t="str">
            <v>00852804</v>
          </cell>
          <cell r="F290">
            <v>8</v>
          </cell>
          <cell r="G290">
            <v>47</v>
          </cell>
        </row>
        <row r="291">
          <cell r="E291" t="str">
            <v>00852679</v>
          </cell>
          <cell r="F291">
            <v>8</v>
          </cell>
          <cell r="G291">
            <v>32</v>
          </cell>
        </row>
        <row r="292">
          <cell r="E292" t="str">
            <v>00611478</v>
          </cell>
          <cell r="F292">
            <v>8</v>
          </cell>
          <cell r="G292">
            <v>141</v>
          </cell>
        </row>
        <row r="293">
          <cell r="E293" t="str">
            <v>00852927</v>
          </cell>
          <cell r="F293">
            <v>8</v>
          </cell>
          <cell r="G293">
            <v>217</v>
          </cell>
        </row>
        <row r="294">
          <cell r="E294" t="str">
            <v>00723492</v>
          </cell>
          <cell r="F294">
            <v>8</v>
          </cell>
          <cell r="G294">
            <v>72</v>
          </cell>
        </row>
        <row r="295">
          <cell r="E295" t="str">
            <v>00423614</v>
          </cell>
          <cell r="F295">
            <v>7</v>
          </cell>
          <cell r="G295">
            <v>37</v>
          </cell>
        </row>
        <row r="296">
          <cell r="E296" t="str">
            <v>00423621</v>
          </cell>
          <cell r="F296">
            <v>7</v>
          </cell>
          <cell r="G296">
            <v>2</v>
          </cell>
        </row>
        <row r="297">
          <cell r="E297" t="str">
            <v>00301691</v>
          </cell>
          <cell r="F297">
            <v>7</v>
          </cell>
          <cell r="G297">
            <v>99</v>
          </cell>
        </row>
        <row r="298">
          <cell r="E298" t="str">
            <v>00301843</v>
          </cell>
          <cell r="F298">
            <v>7</v>
          </cell>
          <cell r="G298">
            <v>4</v>
          </cell>
        </row>
        <row r="299">
          <cell r="E299" t="str">
            <v>00307894</v>
          </cell>
          <cell r="F299">
            <v>7</v>
          </cell>
          <cell r="G299">
            <v>58</v>
          </cell>
        </row>
        <row r="300">
          <cell r="E300" t="str">
            <v>00305063</v>
          </cell>
          <cell r="F300">
            <v>7</v>
          </cell>
          <cell r="G300">
            <v>82</v>
          </cell>
        </row>
        <row r="301">
          <cell r="E301" t="str">
            <v>00301688</v>
          </cell>
          <cell r="F301">
            <v>7</v>
          </cell>
          <cell r="G301">
            <v>80</v>
          </cell>
        </row>
        <row r="302">
          <cell r="E302" t="str">
            <v>00738714</v>
          </cell>
          <cell r="F302">
            <v>7</v>
          </cell>
        </row>
        <row r="303">
          <cell r="E303" t="str">
            <v>00435197</v>
          </cell>
          <cell r="F303">
            <v>7</v>
          </cell>
          <cell r="G303">
            <v>14</v>
          </cell>
        </row>
        <row r="304">
          <cell r="E304" t="str">
            <v>00447548</v>
          </cell>
          <cell r="F304">
            <v>7</v>
          </cell>
          <cell r="G304">
            <v>11</v>
          </cell>
        </row>
        <row r="305">
          <cell r="E305" t="str">
            <v>00305823</v>
          </cell>
          <cell r="F305">
            <v>7</v>
          </cell>
          <cell r="G305">
            <v>118</v>
          </cell>
        </row>
        <row r="306">
          <cell r="E306" t="str">
            <v>00727887</v>
          </cell>
          <cell r="F306">
            <v>7</v>
          </cell>
          <cell r="G306">
            <v>95</v>
          </cell>
        </row>
        <row r="307">
          <cell r="E307" t="str">
            <v>00852678</v>
          </cell>
          <cell r="F307">
            <v>7</v>
          </cell>
          <cell r="G307">
            <v>11</v>
          </cell>
        </row>
        <row r="308">
          <cell r="E308" t="str">
            <v>00852417</v>
          </cell>
          <cell r="F308">
            <v>7</v>
          </cell>
          <cell r="G308">
            <v>15</v>
          </cell>
        </row>
        <row r="309">
          <cell r="E309" t="str">
            <v>00852404</v>
          </cell>
          <cell r="F309">
            <v>7</v>
          </cell>
          <cell r="G309">
            <v>27</v>
          </cell>
        </row>
        <row r="310">
          <cell r="E310" t="str">
            <v>00718436</v>
          </cell>
          <cell r="F310">
            <v>6</v>
          </cell>
          <cell r="G310">
            <v>2</v>
          </cell>
        </row>
        <row r="311">
          <cell r="E311" t="str">
            <v>00649579</v>
          </cell>
          <cell r="F311">
            <v>6</v>
          </cell>
          <cell r="G311">
            <v>50</v>
          </cell>
        </row>
        <row r="312">
          <cell r="E312" t="str">
            <v>00853382</v>
          </cell>
          <cell r="F312">
            <v>6</v>
          </cell>
          <cell r="G312">
            <v>85</v>
          </cell>
        </row>
        <row r="313">
          <cell r="E313" t="str">
            <v>00633370</v>
          </cell>
          <cell r="F313">
            <v>6</v>
          </cell>
          <cell r="G313">
            <v>92</v>
          </cell>
        </row>
        <row r="314">
          <cell r="E314" t="str">
            <v>00680087</v>
          </cell>
          <cell r="F314">
            <v>6</v>
          </cell>
          <cell r="G314">
            <v>46</v>
          </cell>
        </row>
        <row r="315">
          <cell r="E315" t="str">
            <v>00852935</v>
          </cell>
          <cell r="F315">
            <v>6</v>
          </cell>
          <cell r="G315">
            <v>31</v>
          </cell>
        </row>
        <row r="316">
          <cell r="E316" t="str">
            <v>00423748</v>
          </cell>
          <cell r="F316">
            <v>6</v>
          </cell>
          <cell r="G316">
            <v>26</v>
          </cell>
        </row>
        <row r="317">
          <cell r="E317" t="str">
            <v>00325104</v>
          </cell>
          <cell r="F317">
            <v>6</v>
          </cell>
          <cell r="G317">
            <v>51</v>
          </cell>
        </row>
        <row r="318">
          <cell r="E318" t="str">
            <v>00727681</v>
          </cell>
          <cell r="F318">
            <v>6</v>
          </cell>
          <cell r="G318">
            <v>1</v>
          </cell>
        </row>
        <row r="319">
          <cell r="E319" t="str">
            <v>00423495</v>
          </cell>
          <cell r="F319">
            <v>6</v>
          </cell>
          <cell r="G319">
            <v>12</v>
          </cell>
        </row>
        <row r="320">
          <cell r="E320" t="str">
            <v>00301663</v>
          </cell>
          <cell r="F320">
            <v>6</v>
          </cell>
          <cell r="G320">
            <v>27</v>
          </cell>
        </row>
        <row r="321">
          <cell r="E321" t="str">
            <v>00301668</v>
          </cell>
          <cell r="F321">
            <v>6</v>
          </cell>
          <cell r="G321">
            <v>60</v>
          </cell>
        </row>
        <row r="322">
          <cell r="E322" t="str">
            <v>00301734</v>
          </cell>
          <cell r="F322">
            <v>6</v>
          </cell>
          <cell r="G322">
            <v>135</v>
          </cell>
        </row>
        <row r="323">
          <cell r="E323" t="str">
            <v>00301745</v>
          </cell>
          <cell r="F323">
            <v>6</v>
          </cell>
          <cell r="G323">
            <v>79</v>
          </cell>
        </row>
        <row r="324">
          <cell r="E324" t="str">
            <v>00306952</v>
          </cell>
          <cell r="F324">
            <v>6</v>
          </cell>
          <cell r="G324">
            <v>11</v>
          </cell>
        </row>
        <row r="325">
          <cell r="E325" t="str">
            <v>00473539</v>
          </cell>
          <cell r="F325">
            <v>6</v>
          </cell>
        </row>
        <row r="326">
          <cell r="E326" t="str">
            <v>00324713</v>
          </cell>
          <cell r="F326">
            <v>6</v>
          </cell>
          <cell r="G326">
            <v>14</v>
          </cell>
        </row>
        <row r="327">
          <cell r="E327" t="str">
            <v>00264621</v>
          </cell>
          <cell r="F327">
            <v>6</v>
          </cell>
          <cell r="G327">
            <v>56</v>
          </cell>
        </row>
        <row r="328">
          <cell r="E328" t="str">
            <v>00738111</v>
          </cell>
          <cell r="F328">
            <v>6</v>
          </cell>
          <cell r="G328">
            <v>3</v>
          </cell>
        </row>
        <row r="329">
          <cell r="E329" t="str">
            <v>00722934</v>
          </cell>
          <cell r="F329">
            <v>6</v>
          </cell>
        </row>
        <row r="330">
          <cell r="E330" t="str">
            <v>00611391</v>
          </cell>
          <cell r="F330">
            <v>6</v>
          </cell>
          <cell r="G330">
            <v>12</v>
          </cell>
        </row>
        <row r="331">
          <cell r="E331" t="str">
            <v>00611467</v>
          </cell>
          <cell r="F331">
            <v>6</v>
          </cell>
          <cell r="G331">
            <v>13</v>
          </cell>
        </row>
        <row r="332">
          <cell r="E332" t="str">
            <v>00852421</v>
          </cell>
          <cell r="F332">
            <v>6</v>
          </cell>
          <cell r="G332">
            <v>41</v>
          </cell>
        </row>
        <row r="333">
          <cell r="E333" t="str">
            <v>00852472</v>
          </cell>
          <cell r="F333">
            <v>6</v>
          </cell>
          <cell r="G333">
            <v>38</v>
          </cell>
        </row>
        <row r="334">
          <cell r="E334" t="str">
            <v>00726726</v>
          </cell>
          <cell r="F334">
            <v>6</v>
          </cell>
          <cell r="G334">
            <v>39</v>
          </cell>
        </row>
        <row r="335">
          <cell r="E335" t="str">
            <v>00727842</v>
          </cell>
          <cell r="F335">
            <v>6</v>
          </cell>
          <cell r="G335">
            <v>28</v>
          </cell>
        </row>
        <row r="336">
          <cell r="E336" t="str">
            <v>00723475</v>
          </cell>
          <cell r="F336">
            <v>6</v>
          </cell>
          <cell r="G336">
            <v>6</v>
          </cell>
        </row>
        <row r="337">
          <cell r="E337" t="str">
            <v>00728164</v>
          </cell>
          <cell r="F337">
            <v>6</v>
          </cell>
          <cell r="G337">
            <v>27</v>
          </cell>
        </row>
        <row r="338">
          <cell r="E338" t="str">
            <v>00308408</v>
          </cell>
          <cell r="F338">
            <v>5</v>
          </cell>
          <cell r="G338">
            <v>33</v>
          </cell>
        </row>
        <row r="339">
          <cell r="E339" t="str">
            <v>00305037</v>
          </cell>
          <cell r="F339">
            <v>5</v>
          </cell>
          <cell r="G339">
            <v>19</v>
          </cell>
        </row>
        <row r="340">
          <cell r="E340" t="str">
            <v>00447301</v>
          </cell>
          <cell r="F340">
            <v>5</v>
          </cell>
          <cell r="G340">
            <v>51</v>
          </cell>
        </row>
        <row r="341">
          <cell r="E341" t="str">
            <v>00302008</v>
          </cell>
          <cell r="F341">
            <v>5</v>
          </cell>
          <cell r="G341">
            <v>40</v>
          </cell>
        </row>
        <row r="342">
          <cell r="E342" t="str">
            <v>00305824</v>
          </cell>
          <cell r="F342">
            <v>5</v>
          </cell>
          <cell r="G342">
            <v>9</v>
          </cell>
        </row>
        <row r="343">
          <cell r="E343" t="str">
            <v>00734722</v>
          </cell>
          <cell r="F343">
            <v>5</v>
          </cell>
          <cell r="G343">
            <v>70</v>
          </cell>
        </row>
        <row r="344">
          <cell r="E344" t="str">
            <v>00424016</v>
          </cell>
          <cell r="F344">
            <v>5</v>
          </cell>
          <cell r="G344">
            <v>32</v>
          </cell>
        </row>
        <row r="345">
          <cell r="E345" t="str">
            <v>00852411</v>
          </cell>
          <cell r="F345">
            <v>5</v>
          </cell>
          <cell r="G345">
            <v>9</v>
          </cell>
        </row>
        <row r="346">
          <cell r="E346" t="str">
            <v>00852430</v>
          </cell>
          <cell r="F346">
            <v>5</v>
          </cell>
          <cell r="G346">
            <v>14</v>
          </cell>
        </row>
        <row r="347">
          <cell r="E347" t="str">
            <v>00614869</v>
          </cell>
          <cell r="F347">
            <v>5</v>
          </cell>
          <cell r="G347">
            <v>15</v>
          </cell>
        </row>
        <row r="348">
          <cell r="E348" t="str">
            <v>00722752</v>
          </cell>
          <cell r="F348">
            <v>5</v>
          </cell>
        </row>
        <row r="349">
          <cell r="E349" t="str">
            <v>00738678</v>
          </cell>
          <cell r="F349">
            <v>5</v>
          </cell>
          <cell r="G349">
            <v>9</v>
          </cell>
        </row>
        <row r="350">
          <cell r="E350" t="str">
            <v>00731259</v>
          </cell>
          <cell r="F350">
            <v>5</v>
          </cell>
          <cell r="G350">
            <v>18</v>
          </cell>
        </row>
        <row r="351">
          <cell r="E351" t="str">
            <v>00730914</v>
          </cell>
          <cell r="F351">
            <v>4</v>
          </cell>
          <cell r="G351">
            <v>15</v>
          </cell>
        </row>
        <row r="352">
          <cell r="E352" t="str">
            <v>00680303</v>
          </cell>
          <cell r="F352">
            <v>4</v>
          </cell>
        </row>
        <row r="353">
          <cell r="E353" t="str">
            <v>00680829</v>
          </cell>
          <cell r="F353">
            <v>4</v>
          </cell>
          <cell r="G353">
            <v>34</v>
          </cell>
        </row>
        <row r="354">
          <cell r="E354" t="str">
            <v>00615641</v>
          </cell>
          <cell r="F354">
            <v>4</v>
          </cell>
          <cell r="G354">
            <v>143</v>
          </cell>
        </row>
        <row r="355">
          <cell r="E355" t="str">
            <v>00728204</v>
          </cell>
          <cell r="F355">
            <v>4</v>
          </cell>
          <cell r="G355">
            <v>33</v>
          </cell>
        </row>
        <row r="356">
          <cell r="E356" t="str">
            <v>00728208</v>
          </cell>
          <cell r="F356">
            <v>4</v>
          </cell>
          <cell r="G356">
            <v>20</v>
          </cell>
        </row>
        <row r="357">
          <cell r="E357" t="str">
            <v>00325105</v>
          </cell>
          <cell r="F357">
            <v>4</v>
          </cell>
          <cell r="G357">
            <v>42</v>
          </cell>
        </row>
        <row r="358">
          <cell r="E358" t="str">
            <v>00308406</v>
          </cell>
          <cell r="F358">
            <v>4</v>
          </cell>
          <cell r="G358">
            <v>97</v>
          </cell>
        </row>
        <row r="359">
          <cell r="E359" t="str">
            <v>00389448</v>
          </cell>
          <cell r="F359">
            <v>4</v>
          </cell>
          <cell r="G359">
            <v>17</v>
          </cell>
        </row>
        <row r="360">
          <cell r="E360" t="str">
            <v>00307557</v>
          </cell>
          <cell r="F360">
            <v>4</v>
          </cell>
          <cell r="G360">
            <v>10</v>
          </cell>
        </row>
        <row r="361">
          <cell r="E361" t="str">
            <v>00447549</v>
          </cell>
          <cell r="F361">
            <v>4</v>
          </cell>
          <cell r="G361">
            <v>3</v>
          </cell>
        </row>
        <row r="362">
          <cell r="E362" t="str">
            <v>00301717</v>
          </cell>
          <cell r="F362">
            <v>4</v>
          </cell>
          <cell r="G362">
            <v>20</v>
          </cell>
        </row>
        <row r="363">
          <cell r="E363" t="str">
            <v>00301851</v>
          </cell>
          <cell r="F363">
            <v>4</v>
          </cell>
          <cell r="G363">
            <v>13</v>
          </cell>
        </row>
        <row r="364">
          <cell r="E364" t="str">
            <v>00301852</v>
          </cell>
          <cell r="F364">
            <v>4</v>
          </cell>
          <cell r="G364">
            <v>10</v>
          </cell>
        </row>
        <row r="365">
          <cell r="E365" t="str">
            <v>00301997</v>
          </cell>
          <cell r="F365">
            <v>4</v>
          </cell>
          <cell r="G365">
            <v>13</v>
          </cell>
        </row>
        <row r="366">
          <cell r="E366" t="str">
            <v>00301941</v>
          </cell>
          <cell r="F366">
            <v>4</v>
          </cell>
          <cell r="G366">
            <v>8</v>
          </cell>
        </row>
        <row r="367">
          <cell r="E367" t="str">
            <v>00301942</v>
          </cell>
          <cell r="F367">
            <v>4</v>
          </cell>
          <cell r="G367">
            <v>14</v>
          </cell>
        </row>
        <row r="368">
          <cell r="E368" t="str">
            <v>00264366</v>
          </cell>
          <cell r="F368">
            <v>4</v>
          </cell>
          <cell r="G368">
            <v>22</v>
          </cell>
        </row>
        <row r="369">
          <cell r="E369" t="str">
            <v>00264369</v>
          </cell>
          <cell r="F369">
            <v>4</v>
          </cell>
          <cell r="G369">
            <v>36</v>
          </cell>
        </row>
        <row r="370">
          <cell r="E370" t="str">
            <v>00264863</v>
          </cell>
          <cell r="F370">
            <v>4</v>
          </cell>
          <cell r="G370">
            <v>1</v>
          </cell>
        </row>
        <row r="371">
          <cell r="E371" t="str">
            <v>00720204</v>
          </cell>
          <cell r="F371">
            <v>4</v>
          </cell>
          <cell r="G371">
            <v>13</v>
          </cell>
        </row>
        <row r="372">
          <cell r="E372" t="str">
            <v>00727886</v>
          </cell>
          <cell r="F372">
            <v>4</v>
          </cell>
          <cell r="G372">
            <v>35</v>
          </cell>
        </row>
        <row r="373">
          <cell r="E373" t="str">
            <v>00656000</v>
          </cell>
          <cell r="F373">
            <v>4</v>
          </cell>
          <cell r="G373">
            <v>41</v>
          </cell>
        </row>
        <row r="374">
          <cell r="E374" t="str">
            <v>00852800</v>
          </cell>
          <cell r="F374">
            <v>4</v>
          </cell>
          <cell r="G374">
            <v>26</v>
          </cell>
        </row>
        <row r="375">
          <cell r="E375" t="str">
            <v>00852406</v>
          </cell>
          <cell r="F375">
            <v>4</v>
          </cell>
          <cell r="G375">
            <v>19</v>
          </cell>
        </row>
        <row r="376">
          <cell r="E376" t="str">
            <v>00852688</v>
          </cell>
          <cell r="F376">
            <v>4</v>
          </cell>
          <cell r="G376">
            <v>38</v>
          </cell>
        </row>
        <row r="377">
          <cell r="E377" t="str">
            <v>00611472</v>
          </cell>
          <cell r="F377">
            <v>4</v>
          </cell>
          <cell r="G377">
            <v>28</v>
          </cell>
        </row>
        <row r="378">
          <cell r="E378" t="str">
            <v>00852418</v>
          </cell>
          <cell r="F378">
            <v>4</v>
          </cell>
          <cell r="G378">
            <v>3</v>
          </cell>
        </row>
        <row r="379">
          <cell r="E379" t="str">
            <v>00853253</v>
          </cell>
          <cell r="F379">
            <v>4</v>
          </cell>
          <cell r="G379">
            <v>37</v>
          </cell>
        </row>
        <row r="380">
          <cell r="E380" t="str">
            <v>00852707</v>
          </cell>
          <cell r="F380">
            <v>4</v>
          </cell>
        </row>
        <row r="381">
          <cell r="E381" t="str">
            <v>00852708</v>
          </cell>
          <cell r="F381">
            <v>4</v>
          </cell>
        </row>
        <row r="382">
          <cell r="E382" t="str">
            <v>00852921</v>
          </cell>
          <cell r="F382">
            <v>4</v>
          </cell>
          <cell r="G382">
            <v>38</v>
          </cell>
        </row>
        <row r="383">
          <cell r="E383" t="str">
            <v>00617975</v>
          </cell>
          <cell r="F383">
            <v>4</v>
          </cell>
          <cell r="G383">
            <v>13</v>
          </cell>
        </row>
        <row r="384">
          <cell r="E384" t="str">
            <v>00219208</v>
          </cell>
          <cell r="F384">
            <v>4</v>
          </cell>
        </row>
        <row r="385">
          <cell r="E385" t="str">
            <v>00236117</v>
          </cell>
          <cell r="F385">
            <v>4</v>
          </cell>
        </row>
        <row r="386">
          <cell r="E386" t="str">
            <v>00680179</v>
          </cell>
          <cell r="F386">
            <v>4</v>
          </cell>
          <cell r="G386">
            <v>27</v>
          </cell>
        </row>
        <row r="387">
          <cell r="E387" t="str">
            <v>00736407</v>
          </cell>
          <cell r="F387">
            <v>4</v>
          </cell>
          <cell r="G387">
            <v>3</v>
          </cell>
        </row>
        <row r="388">
          <cell r="E388" t="str">
            <v>00730927</v>
          </cell>
          <cell r="F388">
            <v>3</v>
          </cell>
        </row>
        <row r="389">
          <cell r="E389" t="str">
            <v>00730916</v>
          </cell>
          <cell r="F389">
            <v>3</v>
          </cell>
          <cell r="G389">
            <v>15</v>
          </cell>
        </row>
        <row r="390">
          <cell r="E390" t="str">
            <v>00720463</v>
          </cell>
          <cell r="F390">
            <v>3</v>
          </cell>
        </row>
        <row r="391">
          <cell r="E391" t="str">
            <v>00739805</v>
          </cell>
          <cell r="F391">
            <v>3</v>
          </cell>
          <cell r="G391">
            <v>11</v>
          </cell>
        </row>
        <row r="392">
          <cell r="E392" t="str">
            <v>00614848</v>
          </cell>
          <cell r="F392">
            <v>3</v>
          </cell>
          <cell r="G392">
            <v>10</v>
          </cell>
        </row>
        <row r="393">
          <cell r="E393" t="str">
            <v>00606229</v>
          </cell>
          <cell r="F393">
            <v>3</v>
          </cell>
          <cell r="G393">
            <v>1</v>
          </cell>
        </row>
        <row r="394">
          <cell r="E394" t="str">
            <v>00737113</v>
          </cell>
          <cell r="F394">
            <v>3</v>
          </cell>
          <cell r="G394">
            <v>2</v>
          </cell>
        </row>
        <row r="395">
          <cell r="E395" t="str">
            <v>00852934</v>
          </cell>
          <cell r="F395">
            <v>3</v>
          </cell>
          <cell r="G395">
            <v>35</v>
          </cell>
        </row>
        <row r="396">
          <cell r="E396" t="str">
            <v>00423754</v>
          </cell>
          <cell r="F396">
            <v>3</v>
          </cell>
          <cell r="G396">
            <v>7</v>
          </cell>
        </row>
        <row r="397">
          <cell r="E397" t="str">
            <v>00305055</v>
          </cell>
          <cell r="F397">
            <v>3</v>
          </cell>
          <cell r="G397">
            <v>3</v>
          </cell>
        </row>
        <row r="398">
          <cell r="E398" t="str">
            <v>00305064</v>
          </cell>
          <cell r="F398">
            <v>3</v>
          </cell>
          <cell r="G398">
            <v>37</v>
          </cell>
        </row>
        <row r="399">
          <cell r="E399" t="str">
            <v>00306743</v>
          </cell>
          <cell r="F399">
            <v>3</v>
          </cell>
          <cell r="G399">
            <v>17</v>
          </cell>
        </row>
        <row r="400">
          <cell r="E400" t="str">
            <v>00300400</v>
          </cell>
          <cell r="F400">
            <v>3</v>
          </cell>
          <cell r="G400">
            <v>19</v>
          </cell>
        </row>
        <row r="401">
          <cell r="E401" t="str">
            <v>00301687</v>
          </cell>
          <cell r="F401">
            <v>3</v>
          </cell>
          <cell r="G401">
            <v>9</v>
          </cell>
        </row>
        <row r="402">
          <cell r="E402" t="str">
            <v>00306895</v>
          </cell>
          <cell r="F402">
            <v>3</v>
          </cell>
          <cell r="G402">
            <v>24</v>
          </cell>
        </row>
        <row r="403">
          <cell r="E403" t="str">
            <v>00306897</v>
          </cell>
          <cell r="F403">
            <v>3</v>
          </cell>
          <cell r="G403">
            <v>36</v>
          </cell>
        </row>
        <row r="404">
          <cell r="E404" t="str">
            <v>00738715</v>
          </cell>
          <cell r="F404">
            <v>3</v>
          </cell>
          <cell r="G404">
            <v>4</v>
          </cell>
        </row>
        <row r="405">
          <cell r="E405" t="str">
            <v>00303709</v>
          </cell>
          <cell r="F405">
            <v>3</v>
          </cell>
          <cell r="G405">
            <v>7</v>
          </cell>
        </row>
        <row r="406">
          <cell r="E406" t="str">
            <v>00301732</v>
          </cell>
          <cell r="F406">
            <v>3</v>
          </cell>
          <cell r="G406">
            <v>34</v>
          </cell>
        </row>
        <row r="407">
          <cell r="E407" t="str">
            <v>00473517</v>
          </cell>
          <cell r="F407">
            <v>3</v>
          </cell>
        </row>
        <row r="408">
          <cell r="E408" t="str">
            <v>00473519</v>
          </cell>
          <cell r="F408">
            <v>3</v>
          </cell>
          <cell r="G408">
            <v>1</v>
          </cell>
        </row>
        <row r="409">
          <cell r="E409" t="str">
            <v>00324709</v>
          </cell>
          <cell r="F409">
            <v>3</v>
          </cell>
          <cell r="G409">
            <v>9</v>
          </cell>
        </row>
        <row r="410">
          <cell r="E410" t="str">
            <v>00301512</v>
          </cell>
          <cell r="F410">
            <v>3</v>
          </cell>
          <cell r="G410">
            <v>42</v>
          </cell>
        </row>
        <row r="411">
          <cell r="E411" t="str">
            <v>00470313</v>
          </cell>
          <cell r="F411">
            <v>3</v>
          </cell>
          <cell r="G411">
            <v>2</v>
          </cell>
        </row>
        <row r="412">
          <cell r="E412" t="str">
            <v>00301862</v>
          </cell>
          <cell r="F412">
            <v>3</v>
          </cell>
          <cell r="G412">
            <v>17</v>
          </cell>
        </row>
        <row r="413">
          <cell r="E413" t="str">
            <v>00304854</v>
          </cell>
          <cell r="F413">
            <v>3</v>
          </cell>
          <cell r="G413">
            <v>10</v>
          </cell>
        </row>
        <row r="414">
          <cell r="E414" t="str">
            <v>00301992</v>
          </cell>
          <cell r="F414">
            <v>3</v>
          </cell>
          <cell r="G414">
            <v>7</v>
          </cell>
        </row>
        <row r="415">
          <cell r="E415" t="str">
            <v>00301943</v>
          </cell>
          <cell r="F415">
            <v>3</v>
          </cell>
          <cell r="G415">
            <v>13</v>
          </cell>
        </row>
        <row r="416">
          <cell r="E416" t="str">
            <v>00300664</v>
          </cell>
          <cell r="F416">
            <v>3</v>
          </cell>
          <cell r="G416">
            <v>13</v>
          </cell>
        </row>
        <row r="417">
          <cell r="E417" t="str">
            <v>00300845</v>
          </cell>
          <cell r="F417">
            <v>3</v>
          </cell>
          <cell r="G417">
            <v>7</v>
          </cell>
        </row>
        <row r="418">
          <cell r="E418" t="str">
            <v>00264786</v>
          </cell>
          <cell r="F418">
            <v>3</v>
          </cell>
          <cell r="G418">
            <v>14</v>
          </cell>
        </row>
        <row r="419">
          <cell r="E419" t="str">
            <v>00305829</v>
          </cell>
          <cell r="F419">
            <v>3</v>
          </cell>
          <cell r="G419">
            <v>7</v>
          </cell>
        </row>
        <row r="420">
          <cell r="E420" t="str">
            <v>00633577</v>
          </cell>
          <cell r="F420">
            <v>3</v>
          </cell>
          <cell r="G420">
            <v>2</v>
          </cell>
        </row>
        <row r="421">
          <cell r="E421" t="str">
            <v>00680883</v>
          </cell>
          <cell r="F421">
            <v>3</v>
          </cell>
        </row>
        <row r="422">
          <cell r="E422" t="str">
            <v>00680885</v>
          </cell>
          <cell r="F422">
            <v>3</v>
          </cell>
          <cell r="G422">
            <v>4</v>
          </cell>
        </row>
        <row r="423">
          <cell r="E423" t="str">
            <v>00611384</v>
          </cell>
          <cell r="F423">
            <v>3</v>
          </cell>
        </row>
        <row r="424">
          <cell r="E424" t="str">
            <v>00727888</v>
          </cell>
          <cell r="F424">
            <v>3</v>
          </cell>
          <cell r="G424">
            <v>42</v>
          </cell>
        </row>
        <row r="425">
          <cell r="E425" t="str">
            <v>00681362</v>
          </cell>
          <cell r="F425">
            <v>3</v>
          </cell>
          <cell r="G425">
            <v>1</v>
          </cell>
        </row>
        <row r="426">
          <cell r="E426" t="str">
            <v>00852815</v>
          </cell>
          <cell r="F426">
            <v>3</v>
          </cell>
          <cell r="G426">
            <v>144</v>
          </cell>
        </row>
        <row r="427">
          <cell r="E427" t="str">
            <v>00611459</v>
          </cell>
          <cell r="F427">
            <v>3</v>
          </cell>
          <cell r="G427">
            <v>34</v>
          </cell>
        </row>
        <row r="428">
          <cell r="E428" t="str">
            <v>00852414</v>
          </cell>
          <cell r="F428">
            <v>3</v>
          </cell>
          <cell r="G428">
            <v>11</v>
          </cell>
        </row>
        <row r="429">
          <cell r="E429" t="str">
            <v>00852415</v>
          </cell>
          <cell r="F429">
            <v>3</v>
          </cell>
          <cell r="G429">
            <v>5</v>
          </cell>
        </row>
        <row r="430">
          <cell r="E430" t="str">
            <v>00852926</v>
          </cell>
          <cell r="F430">
            <v>3</v>
          </cell>
          <cell r="G430">
            <v>7</v>
          </cell>
        </row>
        <row r="431">
          <cell r="E431" t="str">
            <v>00681741</v>
          </cell>
          <cell r="F431">
            <v>3</v>
          </cell>
        </row>
        <row r="432">
          <cell r="E432" t="str">
            <v>00852470</v>
          </cell>
          <cell r="F432">
            <v>3</v>
          </cell>
          <cell r="G432">
            <v>30</v>
          </cell>
        </row>
        <row r="433">
          <cell r="E433" t="str">
            <v>00737914</v>
          </cell>
          <cell r="F433">
            <v>3</v>
          </cell>
          <cell r="G433">
            <v>11</v>
          </cell>
        </row>
        <row r="434">
          <cell r="E434" t="str">
            <v>00615210</v>
          </cell>
          <cell r="F434">
            <v>3</v>
          </cell>
          <cell r="G434">
            <v>4</v>
          </cell>
        </row>
        <row r="435">
          <cell r="E435" t="str">
            <v>00680168</v>
          </cell>
          <cell r="F435">
            <v>3</v>
          </cell>
          <cell r="G435">
            <v>8</v>
          </cell>
        </row>
        <row r="436">
          <cell r="E436" t="str">
            <v>00680177</v>
          </cell>
          <cell r="F436">
            <v>3</v>
          </cell>
          <cell r="G436">
            <v>7</v>
          </cell>
        </row>
        <row r="437">
          <cell r="E437" t="str">
            <v>00680176</v>
          </cell>
          <cell r="F437">
            <v>3</v>
          </cell>
          <cell r="G437">
            <v>7</v>
          </cell>
        </row>
        <row r="438">
          <cell r="E438" t="str">
            <v>00680174</v>
          </cell>
          <cell r="F438">
            <v>3</v>
          </cell>
          <cell r="G438">
            <v>8</v>
          </cell>
        </row>
        <row r="439">
          <cell r="E439" t="str">
            <v>00680180</v>
          </cell>
          <cell r="F439">
            <v>3</v>
          </cell>
          <cell r="G439">
            <v>17</v>
          </cell>
        </row>
        <row r="440">
          <cell r="E440" t="str">
            <v>00681821</v>
          </cell>
          <cell r="F440">
            <v>3</v>
          </cell>
        </row>
        <row r="441">
          <cell r="E441" t="str">
            <v>00681822</v>
          </cell>
          <cell r="F441">
            <v>3</v>
          </cell>
        </row>
        <row r="442">
          <cell r="E442" t="str">
            <v>00728159</v>
          </cell>
          <cell r="F442">
            <v>3</v>
          </cell>
          <cell r="G442">
            <v>8</v>
          </cell>
        </row>
        <row r="443">
          <cell r="E443" t="str">
            <v>00728161</v>
          </cell>
          <cell r="F443">
            <v>3</v>
          </cell>
          <cell r="G443">
            <v>14</v>
          </cell>
        </row>
        <row r="444">
          <cell r="E444" t="str">
            <v>00728114</v>
          </cell>
          <cell r="F444">
            <v>3</v>
          </cell>
        </row>
        <row r="445">
          <cell r="E445" t="str">
            <v>00728115</v>
          </cell>
          <cell r="F445">
            <v>3</v>
          </cell>
          <cell r="G445">
            <v>2</v>
          </cell>
        </row>
        <row r="446">
          <cell r="E446" t="str">
            <v>00613236</v>
          </cell>
          <cell r="F446">
            <v>2</v>
          </cell>
        </row>
        <row r="447">
          <cell r="E447" t="str">
            <v>00618050</v>
          </cell>
          <cell r="F447">
            <v>2</v>
          </cell>
        </row>
        <row r="448">
          <cell r="E448" t="str">
            <v>00738064</v>
          </cell>
          <cell r="F448">
            <v>2</v>
          </cell>
          <cell r="G448">
            <v>4</v>
          </cell>
        </row>
        <row r="449">
          <cell r="E449" t="str">
            <v>00610844</v>
          </cell>
          <cell r="F449">
            <v>2</v>
          </cell>
          <cell r="G449">
            <v>36</v>
          </cell>
        </row>
        <row r="450">
          <cell r="E450" t="str">
            <v>00729828</v>
          </cell>
          <cell r="F450">
            <v>2</v>
          </cell>
          <cell r="G450">
            <v>60</v>
          </cell>
        </row>
        <row r="451">
          <cell r="E451" t="str">
            <v>00852936</v>
          </cell>
          <cell r="F451">
            <v>2</v>
          </cell>
          <cell r="G451">
            <v>87</v>
          </cell>
        </row>
        <row r="452">
          <cell r="E452" t="str">
            <v>00423201</v>
          </cell>
          <cell r="F452">
            <v>2</v>
          </cell>
          <cell r="G452">
            <v>3</v>
          </cell>
        </row>
        <row r="453">
          <cell r="E453" t="str">
            <v>00308459</v>
          </cell>
          <cell r="F453">
            <v>2</v>
          </cell>
          <cell r="G453">
            <v>36</v>
          </cell>
        </row>
        <row r="454">
          <cell r="E454" t="str">
            <v>00423749</v>
          </cell>
          <cell r="F454">
            <v>2</v>
          </cell>
          <cell r="G454">
            <v>14</v>
          </cell>
        </row>
        <row r="455">
          <cell r="E455" t="str">
            <v>00423379</v>
          </cell>
          <cell r="F455">
            <v>2</v>
          </cell>
          <cell r="G455">
            <v>14</v>
          </cell>
        </row>
        <row r="456">
          <cell r="E456" t="str">
            <v>00423380</v>
          </cell>
          <cell r="F456">
            <v>2</v>
          </cell>
          <cell r="G456">
            <v>22</v>
          </cell>
        </row>
        <row r="457">
          <cell r="E457" t="str">
            <v>00305065</v>
          </cell>
          <cell r="F457">
            <v>2</v>
          </cell>
          <cell r="G457">
            <v>15</v>
          </cell>
        </row>
        <row r="458">
          <cell r="E458" t="str">
            <v>00305071</v>
          </cell>
          <cell r="F458">
            <v>2</v>
          </cell>
          <cell r="G458">
            <v>89</v>
          </cell>
        </row>
        <row r="459">
          <cell r="E459" t="str">
            <v>00300399</v>
          </cell>
          <cell r="F459">
            <v>2</v>
          </cell>
          <cell r="G459">
            <v>12</v>
          </cell>
        </row>
        <row r="460">
          <cell r="E460" t="str">
            <v>00301803</v>
          </cell>
          <cell r="F460">
            <v>2</v>
          </cell>
        </row>
        <row r="461">
          <cell r="E461" t="str">
            <v>00301661</v>
          </cell>
          <cell r="F461">
            <v>2</v>
          </cell>
          <cell r="G461">
            <v>16</v>
          </cell>
        </row>
        <row r="462">
          <cell r="E462" t="str">
            <v>00473538</v>
          </cell>
          <cell r="F462">
            <v>2</v>
          </cell>
        </row>
        <row r="463">
          <cell r="E463" t="str">
            <v>00473516</v>
          </cell>
          <cell r="F463">
            <v>2</v>
          </cell>
        </row>
        <row r="464">
          <cell r="E464" t="str">
            <v>00473523</v>
          </cell>
          <cell r="F464">
            <v>2</v>
          </cell>
        </row>
        <row r="465">
          <cell r="E465" t="str">
            <v>00326780</v>
          </cell>
          <cell r="F465">
            <v>2</v>
          </cell>
          <cell r="G465">
            <v>7</v>
          </cell>
        </row>
        <row r="466">
          <cell r="E466" t="str">
            <v>00423259</v>
          </cell>
          <cell r="F466">
            <v>2</v>
          </cell>
          <cell r="G466">
            <v>14</v>
          </cell>
        </row>
        <row r="467">
          <cell r="E467" t="str">
            <v>00307611</v>
          </cell>
          <cell r="F467">
            <v>2</v>
          </cell>
        </row>
        <row r="468">
          <cell r="E468" t="str">
            <v>00301509</v>
          </cell>
          <cell r="F468">
            <v>2</v>
          </cell>
          <cell r="G468">
            <v>11</v>
          </cell>
        </row>
        <row r="469">
          <cell r="E469" t="str">
            <v>00301719</v>
          </cell>
          <cell r="F469">
            <v>2</v>
          </cell>
          <cell r="G469">
            <v>18</v>
          </cell>
        </row>
        <row r="470">
          <cell r="E470" t="str">
            <v>00421699</v>
          </cell>
          <cell r="F470">
            <v>2</v>
          </cell>
          <cell r="G470">
            <v>6</v>
          </cell>
        </row>
        <row r="471">
          <cell r="E471" t="str">
            <v>00305967</v>
          </cell>
          <cell r="F471">
            <v>2</v>
          </cell>
          <cell r="G471">
            <v>1</v>
          </cell>
        </row>
        <row r="472">
          <cell r="E472" t="str">
            <v>00302177</v>
          </cell>
          <cell r="F472">
            <v>2</v>
          </cell>
          <cell r="G472">
            <v>4</v>
          </cell>
        </row>
        <row r="473">
          <cell r="E473" t="str">
            <v>00301984</v>
          </cell>
          <cell r="F473">
            <v>2</v>
          </cell>
          <cell r="G473">
            <v>5</v>
          </cell>
        </row>
        <row r="474">
          <cell r="E474" t="str">
            <v>00301967</v>
          </cell>
          <cell r="F474">
            <v>2</v>
          </cell>
          <cell r="G474">
            <v>34</v>
          </cell>
        </row>
        <row r="475">
          <cell r="E475" t="str">
            <v>00301968</v>
          </cell>
          <cell r="F475">
            <v>2</v>
          </cell>
          <cell r="G475">
            <v>1</v>
          </cell>
        </row>
        <row r="476">
          <cell r="E476" t="str">
            <v>00301969</v>
          </cell>
          <cell r="F476">
            <v>2</v>
          </cell>
        </row>
        <row r="477">
          <cell r="E477" t="str">
            <v>00302010</v>
          </cell>
          <cell r="F477">
            <v>2</v>
          </cell>
          <cell r="G477">
            <v>6</v>
          </cell>
        </row>
        <row r="478">
          <cell r="E478" t="str">
            <v>00302009</v>
          </cell>
          <cell r="F478">
            <v>2</v>
          </cell>
          <cell r="G478">
            <v>28</v>
          </cell>
        </row>
        <row r="479">
          <cell r="E479" t="str">
            <v>00302004</v>
          </cell>
          <cell r="F479">
            <v>2</v>
          </cell>
          <cell r="G479">
            <v>48</v>
          </cell>
        </row>
        <row r="480">
          <cell r="E480" t="str">
            <v>00300630</v>
          </cell>
          <cell r="F480">
            <v>2</v>
          </cell>
          <cell r="G480">
            <v>2</v>
          </cell>
        </row>
        <row r="481">
          <cell r="E481" t="str">
            <v>00264695</v>
          </cell>
          <cell r="F481">
            <v>2</v>
          </cell>
          <cell r="G481">
            <v>118</v>
          </cell>
        </row>
        <row r="482">
          <cell r="E482" t="str">
            <v>00264617</v>
          </cell>
          <cell r="F482">
            <v>2</v>
          </cell>
        </row>
        <row r="483">
          <cell r="E483" t="str">
            <v>00264638</v>
          </cell>
          <cell r="F483">
            <v>2</v>
          </cell>
          <cell r="G483">
            <v>11</v>
          </cell>
        </row>
        <row r="484">
          <cell r="E484" t="str">
            <v>00264700</v>
          </cell>
          <cell r="F484">
            <v>2</v>
          </cell>
        </row>
        <row r="485">
          <cell r="E485" t="str">
            <v>00736979</v>
          </cell>
          <cell r="F485">
            <v>2</v>
          </cell>
        </row>
        <row r="486">
          <cell r="E486" t="str">
            <v>00736958</v>
          </cell>
          <cell r="F486">
            <v>2</v>
          </cell>
          <cell r="G486">
            <v>9</v>
          </cell>
        </row>
        <row r="487">
          <cell r="E487" t="str">
            <v>00853476</v>
          </cell>
          <cell r="F487">
            <v>2</v>
          </cell>
          <cell r="G487">
            <v>14</v>
          </cell>
        </row>
        <row r="488">
          <cell r="E488" t="str">
            <v>00738114</v>
          </cell>
          <cell r="F488">
            <v>2</v>
          </cell>
          <cell r="G488">
            <v>9</v>
          </cell>
        </row>
        <row r="489">
          <cell r="E489" t="str">
            <v>00611174</v>
          </cell>
          <cell r="F489">
            <v>2</v>
          </cell>
        </row>
        <row r="490">
          <cell r="E490" t="str">
            <v>00720242</v>
          </cell>
          <cell r="F490">
            <v>2</v>
          </cell>
        </row>
        <row r="491">
          <cell r="E491" t="str">
            <v>00680171</v>
          </cell>
          <cell r="F491">
            <v>2</v>
          </cell>
          <cell r="G491">
            <v>3</v>
          </cell>
        </row>
        <row r="492">
          <cell r="E492" t="str">
            <v>00680784</v>
          </cell>
          <cell r="F492">
            <v>2</v>
          </cell>
        </row>
        <row r="493">
          <cell r="E493" t="str">
            <v>00724429</v>
          </cell>
          <cell r="F493">
            <v>2</v>
          </cell>
        </row>
        <row r="494">
          <cell r="E494" t="str">
            <v>00680884</v>
          </cell>
          <cell r="F494">
            <v>2</v>
          </cell>
          <cell r="G494">
            <v>2</v>
          </cell>
        </row>
        <row r="495">
          <cell r="E495" t="str">
            <v>00611387</v>
          </cell>
          <cell r="F495">
            <v>2</v>
          </cell>
          <cell r="G495">
            <v>7</v>
          </cell>
        </row>
        <row r="496">
          <cell r="E496" t="str">
            <v>00611388</v>
          </cell>
          <cell r="F496">
            <v>2</v>
          </cell>
          <cell r="G496">
            <v>0</v>
          </cell>
        </row>
        <row r="497">
          <cell r="E497" t="str">
            <v>00722953</v>
          </cell>
          <cell r="F497">
            <v>2</v>
          </cell>
          <cell r="G497">
            <v>8</v>
          </cell>
        </row>
        <row r="498">
          <cell r="E498" t="str">
            <v>00852825</v>
          </cell>
          <cell r="F498">
            <v>2</v>
          </cell>
          <cell r="G498">
            <v>13</v>
          </cell>
        </row>
        <row r="499">
          <cell r="E499" t="str">
            <v>00852799</v>
          </cell>
          <cell r="F499">
            <v>2</v>
          </cell>
          <cell r="G499">
            <v>24</v>
          </cell>
        </row>
        <row r="500">
          <cell r="E500" t="str">
            <v>00852807</v>
          </cell>
          <cell r="F500">
            <v>2</v>
          </cell>
          <cell r="G500">
            <v>26</v>
          </cell>
        </row>
        <row r="501">
          <cell r="E501" t="str">
            <v>00681452</v>
          </cell>
          <cell r="F501">
            <v>2</v>
          </cell>
        </row>
        <row r="502">
          <cell r="E502" t="str">
            <v>00611466</v>
          </cell>
          <cell r="F502">
            <v>2</v>
          </cell>
          <cell r="G502">
            <v>4</v>
          </cell>
        </row>
        <row r="503">
          <cell r="E503" t="str">
            <v>00611465</v>
          </cell>
          <cell r="F503">
            <v>2</v>
          </cell>
          <cell r="G503">
            <v>25</v>
          </cell>
        </row>
        <row r="504">
          <cell r="E504" t="str">
            <v>00423531</v>
          </cell>
          <cell r="F504">
            <v>2</v>
          </cell>
          <cell r="G504">
            <v>16</v>
          </cell>
        </row>
        <row r="505">
          <cell r="E505" t="str">
            <v>00852416</v>
          </cell>
          <cell r="F505">
            <v>2</v>
          </cell>
          <cell r="G505">
            <v>22</v>
          </cell>
        </row>
        <row r="506">
          <cell r="E506" t="str">
            <v>00853448</v>
          </cell>
          <cell r="F506">
            <v>2</v>
          </cell>
          <cell r="G506">
            <v>9</v>
          </cell>
        </row>
        <row r="507">
          <cell r="E507" t="str">
            <v>00681446</v>
          </cell>
          <cell r="F507">
            <v>2</v>
          </cell>
        </row>
        <row r="508">
          <cell r="E508" t="str">
            <v>00852423</v>
          </cell>
          <cell r="F508">
            <v>2</v>
          </cell>
          <cell r="G508">
            <v>3</v>
          </cell>
        </row>
        <row r="509">
          <cell r="E509" t="str">
            <v>00852425</v>
          </cell>
          <cell r="F509">
            <v>2</v>
          </cell>
          <cell r="G509">
            <v>3</v>
          </cell>
        </row>
        <row r="510">
          <cell r="E510" t="str">
            <v>00852928</v>
          </cell>
          <cell r="F510">
            <v>2</v>
          </cell>
          <cell r="G510">
            <v>1</v>
          </cell>
        </row>
        <row r="511">
          <cell r="E511" t="str">
            <v>00681460</v>
          </cell>
          <cell r="F511">
            <v>2</v>
          </cell>
        </row>
        <row r="512">
          <cell r="E512" t="str">
            <v>00681461</v>
          </cell>
          <cell r="F512">
            <v>2</v>
          </cell>
        </row>
        <row r="513">
          <cell r="E513" t="str">
            <v>00681462</v>
          </cell>
          <cell r="F513">
            <v>2</v>
          </cell>
          <cell r="G513">
            <v>1</v>
          </cell>
        </row>
        <row r="514">
          <cell r="E514" t="str">
            <v>00611083</v>
          </cell>
          <cell r="F514">
            <v>2</v>
          </cell>
          <cell r="G514">
            <v>1</v>
          </cell>
        </row>
        <row r="515">
          <cell r="E515" t="str">
            <v>00717187</v>
          </cell>
          <cell r="F515">
            <v>2</v>
          </cell>
          <cell r="G515">
            <v>7</v>
          </cell>
        </row>
        <row r="516">
          <cell r="E516" t="str">
            <v>00737913</v>
          </cell>
          <cell r="F516">
            <v>2</v>
          </cell>
          <cell r="G516">
            <v>5</v>
          </cell>
        </row>
        <row r="517">
          <cell r="E517" t="str">
            <v>00722409</v>
          </cell>
          <cell r="F517">
            <v>2</v>
          </cell>
          <cell r="G517">
            <v>4</v>
          </cell>
        </row>
        <row r="518">
          <cell r="E518" t="str">
            <v>00718761</v>
          </cell>
          <cell r="F518">
            <v>2</v>
          </cell>
          <cell r="G518">
            <v>21</v>
          </cell>
        </row>
        <row r="519">
          <cell r="E519" t="str">
            <v>00735548</v>
          </cell>
          <cell r="F519">
            <v>2</v>
          </cell>
          <cell r="G519">
            <v>1</v>
          </cell>
        </row>
        <row r="520">
          <cell r="E520" t="str">
            <v>00731361</v>
          </cell>
          <cell r="F520">
            <v>2</v>
          </cell>
          <cell r="G520">
            <v>13</v>
          </cell>
        </row>
        <row r="521">
          <cell r="E521" t="str">
            <v>00680187</v>
          </cell>
          <cell r="F521">
            <v>2</v>
          </cell>
          <cell r="G521">
            <v>47</v>
          </cell>
        </row>
        <row r="522">
          <cell r="E522" t="str">
            <v>00853256</v>
          </cell>
          <cell r="F522">
            <v>2</v>
          </cell>
          <cell r="G522">
            <v>5</v>
          </cell>
        </row>
        <row r="523">
          <cell r="E523" t="str">
            <v>00611159</v>
          </cell>
          <cell r="F523">
            <v>2</v>
          </cell>
          <cell r="G523">
            <v>3</v>
          </cell>
        </row>
        <row r="524">
          <cell r="E524" t="str">
            <v>00681820</v>
          </cell>
          <cell r="F524">
            <v>2</v>
          </cell>
          <cell r="G524">
            <v>1</v>
          </cell>
        </row>
        <row r="525">
          <cell r="E525" t="str">
            <v>00734786</v>
          </cell>
          <cell r="F525">
            <v>2</v>
          </cell>
          <cell r="G525">
            <v>4</v>
          </cell>
        </row>
        <row r="526">
          <cell r="E526" t="str">
            <v>00633142</v>
          </cell>
          <cell r="F526">
            <v>2</v>
          </cell>
          <cell r="G526">
            <v>14</v>
          </cell>
        </row>
        <row r="527">
          <cell r="E527" t="str">
            <v>00608176</v>
          </cell>
          <cell r="F527">
            <v>1</v>
          </cell>
          <cell r="G527">
            <v>4</v>
          </cell>
        </row>
        <row r="528">
          <cell r="E528" t="str">
            <v>00633548</v>
          </cell>
          <cell r="F528">
            <v>1</v>
          </cell>
        </row>
        <row r="529">
          <cell r="E529" t="str">
            <v>00680581</v>
          </cell>
          <cell r="F529">
            <v>1</v>
          </cell>
          <cell r="G529">
            <v>1</v>
          </cell>
        </row>
        <row r="530">
          <cell r="E530" t="str">
            <v>00615640</v>
          </cell>
          <cell r="F530">
            <v>1</v>
          </cell>
        </row>
        <row r="531">
          <cell r="E531" t="str">
            <v>00614849</v>
          </cell>
          <cell r="F531">
            <v>1</v>
          </cell>
          <cell r="G531">
            <v>5</v>
          </cell>
        </row>
        <row r="532">
          <cell r="E532" t="str">
            <v>00852730</v>
          </cell>
          <cell r="F532">
            <v>1</v>
          </cell>
          <cell r="G532">
            <v>31</v>
          </cell>
        </row>
        <row r="533">
          <cell r="E533" t="str">
            <v>00307678</v>
          </cell>
          <cell r="F533">
            <v>1</v>
          </cell>
          <cell r="G533">
            <v>3</v>
          </cell>
        </row>
        <row r="534">
          <cell r="E534" t="str">
            <v>00730765</v>
          </cell>
          <cell r="F534">
            <v>1</v>
          </cell>
          <cell r="G534">
            <v>2</v>
          </cell>
        </row>
        <row r="535">
          <cell r="E535" t="str">
            <v>00611515</v>
          </cell>
          <cell r="F535">
            <v>1</v>
          </cell>
          <cell r="G535">
            <v>3</v>
          </cell>
        </row>
        <row r="536">
          <cell r="E536" t="str">
            <v>00264314</v>
          </cell>
          <cell r="F536">
            <v>1</v>
          </cell>
          <cell r="G536">
            <v>1</v>
          </cell>
        </row>
        <row r="537">
          <cell r="E537" t="str">
            <v>00423206</v>
          </cell>
          <cell r="F537">
            <v>1</v>
          </cell>
          <cell r="G537">
            <v>4</v>
          </cell>
        </row>
        <row r="538">
          <cell r="E538" t="str">
            <v>00442392</v>
          </cell>
          <cell r="F538">
            <v>1</v>
          </cell>
          <cell r="G538">
            <v>48</v>
          </cell>
        </row>
        <row r="539">
          <cell r="E539" t="str">
            <v>00301845</v>
          </cell>
          <cell r="F539">
            <v>1</v>
          </cell>
          <cell r="G539">
            <v>2</v>
          </cell>
        </row>
        <row r="540">
          <cell r="E540" t="str">
            <v>00423739</v>
          </cell>
          <cell r="F540">
            <v>1</v>
          </cell>
        </row>
        <row r="541">
          <cell r="E541" t="str">
            <v>00305054</v>
          </cell>
          <cell r="F541">
            <v>1</v>
          </cell>
          <cell r="G541">
            <v>30</v>
          </cell>
        </row>
        <row r="542">
          <cell r="E542" t="str">
            <v>00423381</v>
          </cell>
          <cell r="F542">
            <v>1</v>
          </cell>
          <cell r="G542">
            <v>66</v>
          </cell>
        </row>
        <row r="543">
          <cell r="E543" t="str">
            <v>00423487</v>
          </cell>
          <cell r="F543">
            <v>1</v>
          </cell>
          <cell r="G543">
            <v>8</v>
          </cell>
        </row>
        <row r="544">
          <cell r="E544" t="str">
            <v>00305059</v>
          </cell>
          <cell r="F544">
            <v>1</v>
          </cell>
          <cell r="G544">
            <v>1</v>
          </cell>
        </row>
        <row r="545">
          <cell r="E545" t="str">
            <v>00306001</v>
          </cell>
          <cell r="F545">
            <v>1</v>
          </cell>
          <cell r="G545">
            <v>11</v>
          </cell>
        </row>
        <row r="546">
          <cell r="E546" t="str">
            <v>00305068</v>
          </cell>
          <cell r="F546">
            <v>1</v>
          </cell>
          <cell r="G546">
            <v>22</v>
          </cell>
        </row>
        <row r="547">
          <cell r="E547" t="str">
            <v>00302861</v>
          </cell>
          <cell r="F547">
            <v>1</v>
          </cell>
        </row>
        <row r="548">
          <cell r="E548" t="str">
            <v>00300398</v>
          </cell>
          <cell r="F548">
            <v>1</v>
          </cell>
          <cell r="G548">
            <v>2</v>
          </cell>
        </row>
        <row r="549">
          <cell r="E549" t="str">
            <v>00308407</v>
          </cell>
          <cell r="F549">
            <v>1</v>
          </cell>
          <cell r="G549">
            <v>3</v>
          </cell>
        </row>
        <row r="550">
          <cell r="E550" t="str">
            <v>00302434</v>
          </cell>
          <cell r="F550">
            <v>1</v>
          </cell>
          <cell r="G550">
            <v>13</v>
          </cell>
        </row>
        <row r="551">
          <cell r="E551" t="str">
            <v>00631525</v>
          </cell>
          <cell r="F551">
            <v>1</v>
          </cell>
          <cell r="G551">
            <v>1</v>
          </cell>
        </row>
        <row r="552">
          <cell r="E552" t="str">
            <v>00423459</v>
          </cell>
          <cell r="F552">
            <v>1</v>
          </cell>
        </row>
        <row r="553">
          <cell r="E553" t="str">
            <v>00301660</v>
          </cell>
          <cell r="F553">
            <v>1</v>
          </cell>
          <cell r="G553">
            <v>9</v>
          </cell>
        </row>
        <row r="554">
          <cell r="E554" t="str">
            <v>00301666</v>
          </cell>
          <cell r="F554">
            <v>1</v>
          </cell>
          <cell r="G554">
            <v>6</v>
          </cell>
        </row>
        <row r="555">
          <cell r="E555" t="str">
            <v>00308409</v>
          </cell>
          <cell r="F555">
            <v>1</v>
          </cell>
          <cell r="G555">
            <v>5</v>
          </cell>
        </row>
        <row r="556">
          <cell r="E556" t="str">
            <v>00303707</v>
          </cell>
          <cell r="F556">
            <v>1</v>
          </cell>
          <cell r="G556">
            <v>10</v>
          </cell>
        </row>
        <row r="557">
          <cell r="E557" t="str">
            <v>00325192</v>
          </cell>
          <cell r="F557">
            <v>1</v>
          </cell>
        </row>
        <row r="558">
          <cell r="E558" t="str">
            <v>00306951</v>
          </cell>
          <cell r="F558">
            <v>1</v>
          </cell>
          <cell r="G558">
            <v>7</v>
          </cell>
        </row>
        <row r="559">
          <cell r="E559" t="str">
            <v>00304283</v>
          </cell>
          <cell r="F559">
            <v>1</v>
          </cell>
          <cell r="G559">
            <v>2</v>
          </cell>
        </row>
        <row r="560">
          <cell r="E560" t="str">
            <v>00304284</v>
          </cell>
          <cell r="F560">
            <v>1</v>
          </cell>
          <cell r="G560">
            <v>2</v>
          </cell>
        </row>
        <row r="561">
          <cell r="E561" t="str">
            <v>00304285</v>
          </cell>
          <cell r="F561">
            <v>1</v>
          </cell>
          <cell r="G561">
            <v>16</v>
          </cell>
        </row>
        <row r="562">
          <cell r="E562" t="str">
            <v>00301636</v>
          </cell>
          <cell r="F562">
            <v>1</v>
          </cell>
        </row>
        <row r="563">
          <cell r="E563" t="str">
            <v>00473528</v>
          </cell>
          <cell r="F563">
            <v>1</v>
          </cell>
        </row>
        <row r="564">
          <cell r="E564" t="str">
            <v>00730433</v>
          </cell>
          <cell r="F564">
            <v>1</v>
          </cell>
          <cell r="G564">
            <v>14</v>
          </cell>
        </row>
        <row r="565">
          <cell r="E565" t="str">
            <v>00305031</v>
          </cell>
          <cell r="F565">
            <v>1</v>
          </cell>
          <cell r="G565">
            <v>21</v>
          </cell>
        </row>
        <row r="566">
          <cell r="E566" t="str">
            <v>00447601</v>
          </cell>
          <cell r="F566">
            <v>1</v>
          </cell>
        </row>
        <row r="567">
          <cell r="E567" t="str">
            <v>00301511</v>
          </cell>
          <cell r="F567">
            <v>1</v>
          </cell>
          <cell r="G567">
            <v>3</v>
          </cell>
        </row>
        <row r="568">
          <cell r="E568" t="str">
            <v>00301837</v>
          </cell>
          <cell r="F568">
            <v>1</v>
          </cell>
          <cell r="G568">
            <v>13</v>
          </cell>
        </row>
        <row r="569">
          <cell r="E569" t="str">
            <v>00301504</v>
          </cell>
          <cell r="F569">
            <v>1</v>
          </cell>
          <cell r="G569">
            <v>5</v>
          </cell>
        </row>
        <row r="570">
          <cell r="E570" t="str">
            <v>00301833</v>
          </cell>
          <cell r="F570">
            <v>1</v>
          </cell>
          <cell r="G570">
            <v>1</v>
          </cell>
        </row>
        <row r="571">
          <cell r="E571" t="str">
            <v>00301485</v>
          </cell>
          <cell r="F571">
            <v>1</v>
          </cell>
          <cell r="G571">
            <v>38</v>
          </cell>
        </row>
        <row r="572">
          <cell r="E572" t="str">
            <v>00301481</v>
          </cell>
          <cell r="F572">
            <v>1</v>
          </cell>
          <cell r="G572">
            <v>3</v>
          </cell>
        </row>
        <row r="573">
          <cell r="E573" t="str">
            <v>00301724</v>
          </cell>
          <cell r="F573">
            <v>1</v>
          </cell>
          <cell r="G573">
            <v>0</v>
          </cell>
        </row>
        <row r="574">
          <cell r="E574" t="str">
            <v>00430612</v>
          </cell>
          <cell r="F574">
            <v>1</v>
          </cell>
          <cell r="G574">
            <v>12</v>
          </cell>
        </row>
        <row r="575">
          <cell r="E575" t="str">
            <v>00470317</v>
          </cell>
          <cell r="F575">
            <v>1</v>
          </cell>
        </row>
        <row r="576">
          <cell r="E576" t="str">
            <v>00301854</v>
          </cell>
          <cell r="F576">
            <v>1</v>
          </cell>
          <cell r="G576">
            <v>27</v>
          </cell>
        </row>
        <row r="577">
          <cell r="E577" t="str">
            <v>00304853</v>
          </cell>
          <cell r="F577">
            <v>1</v>
          </cell>
          <cell r="G577">
            <v>16</v>
          </cell>
        </row>
        <row r="578">
          <cell r="E578" t="str">
            <v>00304864</v>
          </cell>
          <cell r="F578">
            <v>1</v>
          </cell>
          <cell r="G578">
            <v>2</v>
          </cell>
        </row>
        <row r="579">
          <cell r="E579" t="str">
            <v>00304863</v>
          </cell>
          <cell r="F579">
            <v>1</v>
          </cell>
          <cell r="G579">
            <v>3</v>
          </cell>
        </row>
        <row r="580">
          <cell r="E580" t="str">
            <v>00302179</v>
          </cell>
          <cell r="F580">
            <v>1</v>
          </cell>
          <cell r="G580">
            <v>6</v>
          </cell>
        </row>
        <row r="581">
          <cell r="E581" t="str">
            <v>00301982</v>
          </cell>
          <cell r="F581">
            <v>1</v>
          </cell>
          <cell r="G581">
            <v>21</v>
          </cell>
        </row>
        <row r="582">
          <cell r="E582" t="str">
            <v>00301999</v>
          </cell>
          <cell r="F582">
            <v>1</v>
          </cell>
        </row>
        <row r="583">
          <cell r="E583" t="str">
            <v>00301994</v>
          </cell>
          <cell r="F583">
            <v>1</v>
          </cell>
          <cell r="G583">
            <v>1</v>
          </cell>
        </row>
        <row r="584">
          <cell r="E584" t="str">
            <v>00301989</v>
          </cell>
          <cell r="F584">
            <v>1</v>
          </cell>
          <cell r="G584">
            <v>3</v>
          </cell>
        </row>
        <row r="585">
          <cell r="E585" t="str">
            <v>00301951</v>
          </cell>
          <cell r="F585">
            <v>1</v>
          </cell>
        </row>
        <row r="586">
          <cell r="E586" t="str">
            <v>00301952</v>
          </cell>
          <cell r="F586">
            <v>1</v>
          </cell>
          <cell r="G586">
            <v>22</v>
          </cell>
        </row>
        <row r="587">
          <cell r="E587" t="str">
            <v>00301956</v>
          </cell>
          <cell r="F587">
            <v>1</v>
          </cell>
          <cell r="G587">
            <v>5</v>
          </cell>
        </row>
        <row r="588">
          <cell r="E588" t="str">
            <v>00301957</v>
          </cell>
          <cell r="F588">
            <v>1</v>
          </cell>
          <cell r="G588">
            <v>7</v>
          </cell>
        </row>
        <row r="589">
          <cell r="E589" t="str">
            <v>00301954</v>
          </cell>
          <cell r="F589">
            <v>1</v>
          </cell>
          <cell r="G589">
            <v>15</v>
          </cell>
        </row>
        <row r="590">
          <cell r="E590" t="str">
            <v>00301976</v>
          </cell>
          <cell r="F590">
            <v>1</v>
          </cell>
          <cell r="G590">
            <v>5</v>
          </cell>
        </row>
        <row r="591">
          <cell r="E591" t="str">
            <v>00305833</v>
          </cell>
          <cell r="F591">
            <v>1</v>
          </cell>
          <cell r="G591">
            <v>21</v>
          </cell>
        </row>
        <row r="592">
          <cell r="E592" t="str">
            <v>00264723</v>
          </cell>
          <cell r="F592">
            <v>1</v>
          </cell>
          <cell r="G592">
            <v>12</v>
          </cell>
        </row>
        <row r="593">
          <cell r="E593" t="str">
            <v>00305836</v>
          </cell>
          <cell r="F593">
            <v>1</v>
          </cell>
          <cell r="G593">
            <v>7</v>
          </cell>
        </row>
        <row r="594">
          <cell r="E594" t="str">
            <v>00305842</v>
          </cell>
          <cell r="F594">
            <v>1</v>
          </cell>
          <cell r="G594">
            <v>10</v>
          </cell>
        </row>
        <row r="595">
          <cell r="E595" t="str">
            <v>00306718</v>
          </cell>
          <cell r="F595">
            <v>1</v>
          </cell>
          <cell r="G595">
            <v>5</v>
          </cell>
        </row>
        <row r="596">
          <cell r="E596" t="str">
            <v>00264703</v>
          </cell>
          <cell r="F596">
            <v>1</v>
          </cell>
          <cell r="G596">
            <v>5</v>
          </cell>
        </row>
        <row r="597">
          <cell r="E597" t="str">
            <v>00264382</v>
          </cell>
          <cell r="F597">
            <v>1</v>
          </cell>
          <cell r="G597">
            <v>17</v>
          </cell>
        </row>
        <row r="598">
          <cell r="E598" t="str">
            <v>00264785</v>
          </cell>
          <cell r="F598">
            <v>1</v>
          </cell>
          <cell r="G598">
            <v>5</v>
          </cell>
        </row>
        <row r="599">
          <cell r="E599" t="str">
            <v>00264797</v>
          </cell>
          <cell r="F599">
            <v>1</v>
          </cell>
        </row>
        <row r="600">
          <cell r="E600" t="str">
            <v>00736960</v>
          </cell>
          <cell r="F600">
            <v>1</v>
          </cell>
          <cell r="G600">
            <v>4</v>
          </cell>
        </row>
        <row r="601">
          <cell r="E601" t="str">
            <v>00736962</v>
          </cell>
          <cell r="F601">
            <v>1</v>
          </cell>
          <cell r="G601">
            <v>34</v>
          </cell>
        </row>
        <row r="602">
          <cell r="E602" t="str">
            <v>00614921</v>
          </cell>
          <cell r="F602">
            <v>1</v>
          </cell>
          <cell r="G602">
            <v>1</v>
          </cell>
        </row>
        <row r="603">
          <cell r="E603" t="str">
            <v>00735641</v>
          </cell>
          <cell r="F603">
            <v>1</v>
          </cell>
          <cell r="G603">
            <v>6</v>
          </cell>
        </row>
        <row r="604">
          <cell r="E604" t="str">
            <v>00738113</v>
          </cell>
          <cell r="F604">
            <v>1</v>
          </cell>
          <cell r="G604">
            <v>4</v>
          </cell>
        </row>
        <row r="605">
          <cell r="E605" t="str">
            <v>00727885</v>
          </cell>
          <cell r="F605">
            <v>1</v>
          </cell>
          <cell r="G605">
            <v>10</v>
          </cell>
        </row>
        <row r="606">
          <cell r="E606" t="str">
            <v>00681740</v>
          </cell>
          <cell r="F606">
            <v>1</v>
          </cell>
        </row>
        <row r="607">
          <cell r="E607" t="str">
            <v>00681158</v>
          </cell>
          <cell r="F607">
            <v>1</v>
          </cell>
          <cell r="G607">
            <v>2</v>
          </cell>
        </row>
        <row r="608">
          <cell r="E608" t="str">
            <v>00681345</v>
          </cell>
          <cell r="F608">
            <v>1</v>
          </cell>
          <cell r="G608">
            <v>2</v>
          </cell>
        </row>
        <row r="609">
          <cell r="E609" t="str">
            <v>00681349</v>
          </cell>
          <cell r="F609">
            <v>1</v>
          </cell>
          <cell r="G609">
            <v>1</v>
          </cell>
        </row>
        <row r="610">
          <cell r="E610" t="str">
            <v>00681363</v>
          </cell>
          <cell r="F610">
            <v>1</v>
          </cell>
          <cell r="G610">
            <v>1</v>
          </cell>
        </row>
        <row r="611">
          <cell r="E611" t="str">
            <v>00681357</v>
          </cell>
          <cell r="F611">
            <v>1</v>
          </cell>
        </row>
        <row r="612">
          <cell r="E612" t="str">
            <v>00852676</v>
          </cell>
          <cell r="F612">
            <v>1</v>
          </cell>
          <cell r="G612">
            <v>4</v>
          </cell>
        </row>
        <row r="613">
          <cell r="E613" t="str">
            <v>00852410</v>
          </cell>
          <cell r="F613">
            <v>1</v>
          </cell>
          <cell r="G613">
            <v>5</v>
          </cell>
        </row>
        <row r="614">
          <cell r="E614" t="str">
            <v>00681455</v>
          </cell>
          <cell r="F614">
            <v>1</v>
          </cell>
          <cell r="G614">
            <v>1</v>
          </cell>
        </row>
        <row r="615">
          <cell r="E615" t="str">
            <v>00611468</v>
          </cell>
          <cell r="F615">
            <v>1</v>
          </cell>
          <cell r="G615">
            <v>31</v>
          </cell>
        </row>
        <row r="616">
          <cell r="E616" t="str">
            <v>00852292</v>
          </cell>
          <cell r="F616">
            <v>1</v>
          </cell>
          <cell r="G616">
            <v>2</v>
          </cell>
        </row>
        <row r="617">
          <cell r="E617" t="str">
            <v>00853154</v>
          </cell>
          <cell r="F617">
            <v>1</v>
          </cell>
          <cell r="G617">
            <v>3</v>
          </cell>
        </row>
        <row r="618">
          <cell r="E618" t="str">
            <v>00852886</v>
          </cell>
          <cell r="F618">
            <v>1</v>
          </cell>
          <cell r="G618">
            <v>8</v>
          </cell>
        </row>
        <row r="619">
          <cell r="E619" t="str">
            <v>00681438</v>
          </cell>
          <cell r="F619">
            <v>1</v>
          </cell>
        </row>
        <row r="620">
          <cell r="E620" t="str">
            <v>00681439</v>
          </cell>
          <cell r="F620">
            <v>1</v>
          </cell>
        </row>
        <row r="621">
          <cell r="E621" t="str">
            <v>00681440</v>
          </cell>
          <cell r="F621">
            <v>1</v>
          </cell>
          <cell r="G621">
            <v>1</v>
          </cell>
        </row>
        <row r="622">
          <cell r="E622" t="str">
            <v>00681444</v>
          </cell>
          <cell r="F622">
            <v>1</v>
          </cell>
        </row>
        <row r="623">
          <cell r="E623" t="str">
            <v>00852419</v>
          </cell>
          <cell r="F623">
            <v>1</v>
          </cell>
          <cell r="G623">
            <v>1</v>
          </cell>
        </row>
        <row r="624">
          <cell r="E624" t="str">
            <v>00424060</v>
          </cell>
          <cell r="F624">
            <v>1</v>
          </cell>
          <cell r="G624">
            <v>1</v>
          </cell>
        </row>
        <row r="625">
          <cell r="E625" t="str">
            <v>00643496</v>
          </cell>
          <cell r="F625">
            <v>1</v>
          </cell>
          <cell r="G625">
            <v>5</v>
          </cell>
        </row>
        <row r="626">
          <cell r="E626" t="str">
            <v>00614871</v>
          </cell>
          <cell r="F626">
            <v>1</v>
          </cell>
          <cell r="G626">
            <v>22</v>
          </cell>
        </row>
        <row r="627">
          <cell r="E627" t="str">
            <v>00643495</v>
          </cell>
          <cell r="F627">
            <v>1</v>
          </cell>
          <cell r="G627">
            <v>4</v>
          </cell>
        </row>
        <row r="628">
          <cell r="E628" t="str">
            <v>00614870</v>
          </cell>
          <cell r="F628">
            <v>1</v>
          </cell>
          <cell r="G628">
            <v>7</v>
          </cell>
        </row>
        <row r="629">
          <cell r="E629" t="str">
            <v>00717188</v>
          </cell>
          <cell r="F629">
            <v>1</v>
          </cell>
          <cell r="G629">
            <v>3</v>
          </cell>
        </row>
        <row r="630">
          <cell r="E630" t="str">
            <v>00647158</v>
          </cell>
          <cell r="F630">
            <v>1</v>
          </cell>
        </row>
        <row r="631">
          <cell r="E631" t="str">
            <v>00647151</v>
          </cell>
          <cell r="F631">
            <v>1</v>
          </cell>
          <cell r="G631">
            <v>1</v>
          </cell>
        </row>
        <row r="632">
          <cell r="E632" t="str">
            <v>00647203</v>
          </cell>
          <cell r="F632">
            <v>1</v>
          </cell>
          <cell r="G632">
            <v>1</v>
          </cell>
        </row>
        <row r="633">
          <cell r="E633" t="str">
            <v>00681373</v>
          </cell>
          <cell r="F633">
            <v>1</v>
          </cell>
        </row>
        <row r="634">
          <cell r="E634" t="str">
            <v>00718701</v>
          </cell>
          <cell r="F634">
            <v>1</v>
          </cell>
          <cell r="G634">
            <v>1</v>
          </cell>
        </row>
        <row r="635">
          <cell r="E635" t="str">
            <v>00718774</v>
          </cell>
          <cell r="F635">
            <v>1</v>
          </cell>
          <cell r="G635">
            <v>5</v>
          </cell>
        </row>
        <row r="636">
          <cell r="E636" t="str">
            <v>00718925</v>
          </cell>
          <cell r="F636">
            <v>1</v>
          </cell>
          <cell r="G636">
            <v>1</v>
          </cell>
        </row>
        <row r="637">
          <cell r="E637" t="str">
            <v>00732099</v>
          </cell>
          <cell r="F637">
            <v>1</v>
          </cell>
          <cell r="G637">
            <v>7</v>
          </cell>
        </row>
        <row r="638">
          <cell r="E638" t="str">
            <v>00739010</v>
          </cell>
          <cell r="F638">
            <v>1</v>
          </cell>
          <cell r="G638">
            <v>80</v>
          </cell>
        </row>
        <row r="639">
          <cell r="E639" t="str">
            <v>00738159</v>
          </cell>
          <cell r="F639">
            <v>1</v>
          </cell>
          <cell r="G639">
            <v>8</v>
          </cell>
        </row>
        <row r="640">
          <cell r="E640" t="str">
            <v>00615158</v>
          </cell>
          <cell r="F640">
            <v>1</v>
          </cell>
          <cell r="G640">
            <v>9</v>
          </cell>
        </row>
        <row r="641">
          <cell r="E641" t="str">
            <v>00611900</v>
          </cell>
          <cell r="F641">
            <v>1</v>
          </cell>
          <cell r="G641">
            <v>2</v>
          </cell>
        </row>
        <row r="642">
          <cell r="E642" t="str">
            <v>00611049</v>
          </cell>
          <cell r="F642">
            <v>1</v>
          </cell>
        </row>
        <row r="643">
          <cell r="E643" t="str">
            <v>00718698</v>
          </cell>
          <cell r="F643">
            <v>1</v>
          </cell>
          <cell r="G643">
            <v>10</v>
          </cell>
        </row>
        <row r="644">
          <cell r="E644" t="str">
            <v>00724312</v>
          </cell>
          <cell r="F644">
            <v>1</v>
          </cell>
        </row>
        <row r="645">
          <cell r="E645" t="str">
            <v>00680181</v>
          </cell>
          <cell r="F645">
            <v>1</v>
          </cell>
          <cell r="G645">
            <v>7</v>
          </cell>
        </row>
        <row r="646">
          <cell r="E646" t="str">
            <v>00680167</v>
          </cell>
          <cell r="F646">
            <v>1</v>
          </cell>
          <cell r="G646">
            <v>3</v>
          </cell>
        </row>
        <row r="647">
          <cell r="E647" t="str">
            <v>00680172</v>
          </cell>
          <cell r="F647">
            <v>1</v>
          </cell>
          <cell r="G647">
            <v>5</v>
          </cell>
        </row>
        <row r="648">
          <cell r="E648" t="str">
            <v>00680173</v>
          </cell>
          <cell r="F648">
            <v>1</v>
          </cell>
        </row>
        <row r="649">
          <cell r="E649" t="str">
            <v>00681182</v>
          </cell>
          <cell r="F649">
            <v>1</v>
          </cell>
        </row>
        <row r="650">
          <cell r="E650" t="str">
            <v>00400003</v>
          </cell>
          <cell r="F650">
            <v>1</v>
          </cell>
        </row>
        <row r="651">
          <cell r="E651" t="str">
            <v>00853255</v>
          </cell>
          <cell r="F651">
            <v>1</v>
          </cell>
          <cell r="G651">
            <v>10</v>
          </cell>
        </row>
        <row r="652">
          <cell r="E652" t="str">
            <v>00618230</v>
          </cell>
          <cell r="F652">
            <v>1</v>
          </cell>
          <cell r="G652">
            <v>2</v>
          </cell>
        </row>
        <row r="653">
          <cell r="E653" t="str">
            <v>00618207</v>
          </cell>
          <cell r="F653">
            <v>1</v>
          </cell>
        </row>
        <row r="654">
          <cell r="E654" t="str">
            <v>00853257</v>
          </cell>
          <cell r="F654">
            <v>1</v>
          </cell>
          <cell r="G654">
            <v>44</v>
          </cell>
        </row>
        <row r="655">
          <cell r="E655" t="str">
            <v>00728166</v>
          </cell>
          <cell r="F655">
            <v>1</v>
          </cell>
          <cell r="G655">
            <v>12</v>
          </cell>
        </row>
        <row r="656">
          <cell r="E656" t="str">
            <v>00852866</v>
          </cell>
          <cell r="F656">
            <v>1</v>
          </cell>
          <cell r="G656">
            <v>2</v>
          </cell>
        </row>
        <row r="657">
          <cell r="E657" t="str">
            <v>00732555</v>
          </cell>
          <cell r="F657">
            <v>1</v>
          </cell>
          <cell r="G657">
            <v>3</v>
          </cell>
        </row>
        <row r="658">
          <cell r="E658" t="str">
            <v>00608263</v>
          </cell>
          <cell r="F658">
            <v>1</v>
          </cell>
          <cell r="G658">
            <v>1</v>
          </cell>
        </row>
        <row r="659">
          <cell r="E659" t="str">
            <v>00615327</v>
          </cell>
          <cell r="F659">
            <v>1</v>
          </cell>
          <cell r="G659">
            <v>44</v>
          </cell>
        </row>
        <row r="660">
          <cell r="E660" t="str">
            <v>00680915</v>
          </cell>
          <cell r="F660">
            <v>0</v>
          </cell>
          <cell r="G660">
            <v>2</v>
          </cell>
        </row>
        <row r="661">
          <cell r="E661" t="str">
            <v>00852932</v>
          </cell>
          <cell r="F661">
            <v>0</v>
          </cell>
          <cell r="G661">
            <v>20</v>
          </cell>
        </row>
        <row r="662">
          <cell r="E662" t="str">
            <v>00852933</v>
          </cell>
          <cell r="F662">
            <v>0</v>
          </cell>
          <cell r="G662">
            <v>22</v>
          </cell>
        </row>
        <row r="663">
          <cell r="E663" t="str">
            <v>00423740</v>
          </cell>
          <cell r="F663">
            <v>0</v>
          </cell>
          <cell r="G663">
            <v>5</v>
          </cell>
        </row>
        <row r="664">
          <cell r="E664" t="str">
            <v>00423744</v>
          </cell>
          <cell r="F664">
            <v>0</v>
          </cell>
          <cell r="G664">
            <v>3</v>
          </cell>
        </row>
        <row r="665">
          <cell r="E665" t="str">
            <v>00423485</v>
          </cell>
          <cell r="F665">
            <v>0</v>
          </cell>
          <cell r="G665">
            <v>0</v>
          </cell>
        </row>
        <row r="666">
          <cell r="E666" t="str">
            <v>00386446</v>
          </cell>
          <cell r="F666">
            <v>0</v>
          </cell>
          <cell r="G666">
            <v>73</v>
          </cell>
        </row>
        <row r="667">
          <cell r="E667" t="str">
            <v>00301936</v>
          </cell>
          <cell r="F667">
            <v>0</v>
          </cell>
          <cell r="G667">
            <v>10</v>
          </cell>
        </row>
        <row r="668">
          <cell r="E668" t="str">
            <v>00611383</v>
          </cell>
          <cell r="F668">
            <v>0</v>
          </cell>
          <cell r="G668">
            <v>40</v>
          </cell>
        </row>
        <row r="669">
          <cell r="E669" t="str">
            <v>00611048</v>
          </cell>
          <cell r="F669">
            <v>0</v>
          </cell>
          <cell r="G669">
            <v>29</v>
          </cell>
        </row>
        <row r="670">
          <cell r="E670" t="str">
            <v>00852811</v>
          </cell>
          <cell r="F670">
            <v>0</v>
          </cell>
          <cell r="G670">
            <v>8</v>
          </cell>
        </row>
        <row r="671">
          <cell r="E671" t="str">
            <v>00852677</v>
          </cell>
          <cell r="F671">
            <v>0</v>
          </cell>
          <cell r="G671">
            <v>11</v>
          </cell>
        </row>
        <row r="672">
          <cell r="E672" t="str">
            <v>00737916</v>
          </cell>
          <cell r="F672">
            <v>0</v>
          </cell>
          <cell r="G672">
            <v>11</v>
          </cell>
        </row>
        <row r="673">
          <cell r="E673" t="str">
            <v>00680175</v>
          </cell>
          <cell r="F673">
            <v>0</v>
          </cell>
          <cell r="G673">
            <v>8</v>
          </cell>
        </row>
        <row r="674">
          <cell r="E674" t="str">
            <v>00680186</v>
          </cell>
          <cell r="F674">
            <v>0</v>
          </cell>
          <cell r="G674">
            <v>26</v>
          </cell>
        </row>
        <row r="675">
          <cell r="E675" t="str">
            <v>00962807</v>
          </cell>
          <cell r="G675">
            <v>-15</v>
          </cell>
        </row>
        <row r="676">
          <cell r="E676" t="str">
            <v>00983977</v>
          </cell>
          <cell r="G676">
            <v>2</v>
          </cell>
        </row>
        <row r="677">
          <cell r="E677" t="str">
            <v>00718440</v>
          </cell>
          <cell r="G677">
            <v>25</v>
          </cell>
        </row>
        <row r="678">
          <cell r="E678" t="str">
            <v>00718437</v>
          </cell>
          <cell r="G678">
            <v>7</v>
          </cell>
        </row>
        <row r="679">
          <cell r="E679" t="str">
            <v>00718569</v>
          </cell>
          <cell r="G679">
            <v>45</v>
          </cell>
        </row>
        <row r="680">
          <cell r="E680" t="str">
            <v>00732315</v>
          </cell>
          <cell r="G680">
            <v>36</v>
          </cell>
        </row>
        <row r="681">
          <cell r="E681" t="str">
            <v>00725177</v>
          </cell>
          <cell r="G681">
            <v>1</v>
          </cell>
        </row>
        <row r="682">
          <cell r="E682" t="str">
            <v>00611873</v>
          </cell>
          <cell r="G682">
            <v>1</v>
          </cell>
        </row>
        <row r="683">
          <cell r="E683" t="str">
            <v>00734824</v>
          </cell>
          <cell r="G683">
            <v>4</v>
          </cell>
        </row>
        <row r="684">
          <cell r="E684" t="str">
            <v>00611871</v>
          </cell>
          <cell r="G684">
            <v>3</v>
          </cell>
        </row>
        <row r="685">
          <cell r="E685" t="str">
            <v>00608178</v>
          </cell>
          <cell r="G685">
            <v>1</v>
          </cell>
        </row>
        <row r="686">
          <cell r="E686" t="str">
            <v>00738116</v>
          </cell>
          <cell r="G686">
            <v>5</v>
          </cell>
        </row>
        <row r="687">
          <cell r="E687" t="str">
            <v>00734924</v>
          </cell>
          <cell r="G687">
            <v>14</v>
          </cell>
        </row>
        <row r="688">
          <cell r="E688" t="str">
            <v>00735596</v>
          </cell>
          <cell r="G688">
            <v>2</v>
          </cell>
        </row>
        <row r="689">
          <cell r="E689" t="str">
            <v>00718335</v>
          </cell>
          <cell r="G689">
            <v>1</v>
          </cell>
        </row>
        <row r="690">
          <cell r="E690" t="str">
            <v>00730915</v>
          </cell>
          <cell r="G690">
            <v>0</v>
          </cell>
        </row>
        <row r="691">
          <cell r="E691" t="str">
            <v>00735006</v>
          </cell>
          <cell r="G691">
            <v>13</v>
          </cell>
        </row>
        <row r="692">
          <cell r="E692" t="str">
            <v>00631680</v>
          </cell>
          <cell r="G692">
            <v>6</v>
          </cell>
        </row>
        <row r="693">
          <cell r="E693" t="str">
            <v>00730912</v>
          </cell>
          <cell r="G693">
            <v>3</v>
          </cell>
        </row>
        <row r="694">
          <cell r="E694" t="str">
            <v>00719188</v>
          </cell>
          <cell r="G694">
            <v>1</v>
          </cell>
        </row>
        <row r="695">
          <cell r="E695" t="str">
            <v>00719190</v>
          </cell>
          <cell r="G695">
            <v>2</v>
          </cell>
        </row>
        <row r="696">
          <cell r="E696" t="str">
            <v>00680828</v>
          </cell>
          <cell r="G696">
            <v>3</v>
          </cell>
        </row>
        <row r="697">
          <cell r="E697" t="str">
            <v>00680826</v>
          </cell>
          <cell r="G697">
            <v>2</v>
          </cell>
        </row>
        <row r="698">
          <cell r="E698" t="str">
            <v>00722397</v>
          </cell>
          <cell r="G698">
            <v>1</v>
          </cell>
        </row>
        <row r="699">
          <cell r="E699" t="str">
            <v>00722398</v>
          </cell>
          <cell r="G699">
            <v>1</v>
          </cell>
        </row>
        <row r="700">
          <cell r="E700" t="str">
            <v>00722399</v>
          </cell>
          <cell r="G700">
            <v>22</v>
          </cell>
        </row>
        <row r="701">
          <cell r="E701" t="str">
            <v>00306266</v>
          </cell>
          <cell r="G701">
            <v>3</v>
          </cell>
        </row>
        <row r="702">
          <cell r="E702" t="str">
            <v>00722400</v>
          </cell>
          <cell r="G702">
            <v>4</v>
          </cell>
        </row>
        <row r="703">
          <cell r="E703" t="str">
            <v>00722401</v>
          </cell>
          <cell r="G703">
            <v>56</v>
          </cell>
        </row>
        <row r="704">
          <cell r="E704" t="str">
            <v>00722402</v>
          </cell>
          <cell r="G704">
            <v>67</v>
          </cell>
        </row>
        <row r="705">
          <cell r="E705" t="str">
            <v>00722403</v>
          </cell>
          <cell r="G705">
            <v>6</v>
          </cell>
        </row>
        <row r="706">
          <cell r="E706" t="str">
            <v>00680744</v>
          </cell>
          <cell r="G706">
            <v>1</v>
          </cell>
        </row>
        <row r="707">
          <cell r="E707" t="str">
            <v>00611348</v>
          </cell>
          <cell r="G707">
            <v>16</v>
          </cell>
        </row>
        <row r="708">
          <cell r="E708" t="str">
            <v>00646903</v>
          </cell>
          <cell r="G708">
            <v>1</v>
          </cell>
        </row>
        <row r="709">
          <cell r="E709" t="str">
            <v>00610641</v>
          </cell>
          <cell r="G709">
            <v>2</v>
          </cell>
        </row>
        <row r="710">
          <cell r="E710" t="str">
            <v>00610639</v>
          </cell>
          <cell r="G710">
            <v>6</v>
          </cell>
        </row>
        <row r="711">
          <cell r="E711" t="str">
            <v>00615188</v>
          </cell>
          <cell r="G711">
            <v>2</v>
          </cell>
        </row>
        <row r="712">
          <cell r="E712" t="str">
            <v>00615642</v>
          </cell>
          <cell r="G712">
            <v>73</v>
          </cell>
        </row>
        <row r="713">
          <cell r="E713" t="str">
            <v>00631293</v>
          </cell>
          <cell r="G713">
            <v>1</v>
          </cell>
        </row>
        <row r="714">
          <cell r="E714" t="str">
            <v>00615643</v>
          </cell>
          <cell r="G714">
            <v>19</v>
          </cell>
        </row>
        <row r="715">
          <cell r="E715" t="str">
            <v>00639885</v>
          </cell>
          <cell r="G715">
            <v>3</v>
          </cell>
        </row>
        <row r="716">
          <cell r="E716" t="str">
            <v>00683286</v>
          </cell>
          <cell r="G716">
            <v>10</v>
          </cell>
        </row>
        <row r="717">
          <cell r="E717" t="str">
            <v>00737309</v>
          </cell>
          <cell r="G717">
            <v>1</v>
          </cell>
        </row>
        <row r="718">
          <cell r="E718" t="str">
            <v>00737315</v>
          </cell>
          <cell r="G718">
            <v>5</v>
          </cell>
        </row>
        <row r="719">
          <cell r="E719" t="str">
            <v>00729827</v>
          </cell>
          <cell r="G719">
            <v>15</v>
          </cell>
        </row>
        <row r="720">
          <cell r="E720" t="str">
            <v>00729844</v>
          </cell>
          <cell r="G720">
            <v>1</v>
          </cell>
        </row>
        <row r="721">
          <cell r="E721" t="str">
            <v>00730821</v>
          </cell>
          <cell r="G721">
            <v>7</v>
          </cell>
        </row>
        <row r="722">
          <cell r="E722" t="str">
            <v>00730820</v>
          </cell>
          <cell r="G722">
            <v>5</v>
          </cell>
        </row>
        <row r="723">
          <cell r="E723" t="str">
            <v>00852728</v>
          </cell>
          <cell r="G723">
            <v>1</v>
          </cell>
        </row>
        <row r="724">
          <cell r="E724" t="str">
            <v>00852731</v>
          </cell>
          <cell r="G724">
            <v>5</v>
          </cell>
        </row>
        <row r="725">
          <cell r="E725" t="str">
            <v>00307676</v>
          </cell>
          <cell r="G725">
            <v>0</v>
          </cell>
        </row>
        <row r="726">
          <cell r="E726" t="str">
            <v>00730471</v>
          </cell>
          <cell r="G726">
            <v>2</v>
          </cell>
        </row>
        <row r="727">
          <cell r="E727" t="str">
            <v>00727114</v>
          </cell>
          <cell r="G727">
            <v>14</v>
          </cell>
        </row>
        <row r="728">
          <cell r="E728" t="str">
            <v>00728001</v>
          </cell>
          <cell r="G728">
            <v>1</v>
          </cell>
        </row>
        <row r="729">
          <cell r="E729" t="str">
            <v>00727999</v>
          </cell>
          <cell r="G729">
            <v>1</v>
          </cell>
        </row>
        <row r="730">
          <cell r="E730" t="str">
            <v>00730504</v>
          </cell>
          <cell r="G730">
            <v>1</v>
          </cell>
        </row>
        <row r="731">
          <cell r="E731" t="str">
            <v>00730752</v>
          </cell>
          <cell r="G731">
            <v>1</v>
          </cell>
        </row>
        <row r="732">
          <cell r="E732" t="str">
            <v>00730753</v>
          </cell>
          <cell r="G732">
            <v>2</v>
          </cell>
        </row>
        <row r="733">
          <cell r="E733" t="str">
            <v>00730754</v>
          </cell>
          <cell r="G733">
            <v>1</v>
          </cell>
        </row>
        <row r="734">
          <cell r="E734" t="str">
            <v>00730756</v>
          </cell>
          <cell r="G734">
            <v>2</v>
          </cell>
        </row>
        <row r="735">
          <cell r="E735" t="str">
            <v>00730744</v>
          </cell>
          <cell r="G735">
            <v>2</v>
          </cell>
        </row>
        <row r="736">
          <cell r="E736" t="str">
            <v>00730746</v>
          </cell>
          <cell r="G736">
            <v>1</v>
          </cell>
        </row>
        <row r="737">
          <cell r="E737" t="str">
            <v>00730747</v>
          </cell>
          <cell r="G737">
            <v>2</v>
          </cell>
        </row>
        <row r="738">
          <cell r="E738" t="str">
            <v>00730748</v>
          </cell>
          <cell r="G738">
            <v>1</v>
          </cell>
        </row>
        <row r="739">
          <cell r="E739" t="str">
            <v>00732927</v>
          </cell>
          <cell r="G739">
            <v>29</v>
          </cell>
        </row>
        <row r="740">
          <cell r="E740" t="str">
            <v>00732925</v>
          </cell>
          <cell r="G740">
            <v>24</v>
          </cell>
        </row>
        <row r="741">
          <cell r="E741" t="str">
            <v>00730769</v>
          </cell>
          <cell r="G741">
            <v>2</v>
          </cell>
        </row>
        <row r="742">
          <cell r="E742" t="str">
            <v>00730773</v>
          </cell>
          <cell r="G742">
            <v>7</v>
          </cell>
        </row>
        <row r="743">
          <cell r="E743" t="str">
            <v>00730770</v>
          </cell>
          <cell r="G743">
            <v>4</v>
          </cell>
        </row>
        <row r="744">
          <cell r="E744" t="str">
            <v>00730771</v>
          </cell>
          <cell r="G744">
            <v>7</v>
          </cell>
        </row>
        <row r="745">
          <cell r="E745" t="str">
            <v>00730772</v>
          </cell>
          <cell r="G745">
            <v>12</v>
          </cell>
        </row>
        <row r="746">
          <cell r="E746" t="str">
            <v>00730774</v>
          </cell>
          <cell r="G746">
            <v>1</v>
          </cell>
        </row>
        <row r="747">
          <cell r="E747" t="str">
            <v>00730762</v>
          </cell>
          <cell r="G747">
            <v>8</v>
          </cell>
        </row>
        <row r="748">
          <cell r="E748" t="str">
            <v>00730766</v>
          </cell>
          <cell r="G748">
            <v>2</v>
          </cell>
        </row>
        <row r="749">
          <cell r="E749" t="str">
            <v>00730767</v>
          </cell>
          <cell r="G749">
            <v>1</v>
          </cell>
        </row>
        <row r="750">
          <cell r="E750" t="str">
            <v>00730768</v>
          </cell>
          <cell r="G750">
            <v>1</v>
          </cell>
        </row>
        <row r="751">
          <cell r="E751" t="str">
            <v>00730760</v>
          </cell>
          <cell r="G751">
            <v>1</v>
          </cell>
        </row>
        <row r="752">
          <cell r="E752" t="str">
            <v>00730761</v>
          </cell>
          <cell r="G752">
            <v>4</v>
          </cell>
        </row>
        <row r="753">
          <cell r="E753" t="str">
            <v>00730763</v>
          </cell>
          <cell r="G753">
            <v>6</v>
          </cell>
        </row>
        <row r="754">
          <cell r="E754" t="str">
            <v>00730764</v>
          </cell>
          <cell r="G754">
            <v>4</v>
          </cell>
        </row>
        <row r="755">
          <cell r="E755" t="str">
            <v>00727116</v>
          </cell>
          <cell r="G755">
            <v>99</v>
          </cell>
        </row>
        <row r="756">
          <cell r="E756" t="str">
            <v>00737112</v>
          </cell>
          <cell r="G756">
            <v>3</v>
          </cell>
        </row>
        <row r="757">
          <cell r="E757" t="str">
            <v>00720203</v>
          </cell>
          <cell r="G757">
            <v>2</v>
          </cell>
        </row>
        <row r="758">
          <cell r="E758" t="str">
            <v>00718696</v>
          </cell>
          <cell r="G758">
            <v>1</v>
          </cell>
        </row>
        <row r="759">
          <cell r="E759" t="str">
            <v>00441658</v>
          </cell>
          <cell r="G759">
            <v>-12</v>
          </cell>
        </row>
        <row r="760">
          <cell r="E760" t="str">
            <v>00423617</v>
          </cell>
          <cell r="G760">
            <v>1</v>
          </cell>
        </row>
        <row r="761">
          <cell r="E761" t="str">
            <v>00423619</v>
          </cell>
          <cell r="G761">
            <v>1</v>
          </cell>
        </row>
        <row r="762">
          <cell r="E762" t="str">
            <v>00423620</v>
          </cell>
          <cell r="G762">
            <v>16</v>
          </cell>
        </row>
        <row r="763">
          <cell r="E763" t="str">
            <v>00441639</v>
          </cell>
          <cell r="G763">
            <v>2</v>
          </cell>
        </row>
        <row r="764">
          <cell r="E764" t="str">
            <v>00441637</v>
          </cell>
          <cell r="G764">
            <v>0</v>
          </cell>
        </row>
        <row r="765">
          <cell r="E765" t="str">
            <v>00441647</v>
          </cell>
          <cell r="G765">
            <v>1</v>
          </cell>
        </row>
        <row r="766">
          <cell r="E766" t="str">
            <v>00441648</v>
          </cell>
          <cell r="G766">
            <v>1</v>
          </cell>
        </row>
        <row r="767">
          <cell r="E767" t="str">
            <v>00441656</v>
          </cell>
          <cell r="G767">
            <v>1</v>
          </cell>
        </row>
        <row r="768">
          <cell r="E768" t="str">
            <v>00643664</v>
          </cell>
          <cell r="G768">
            <v>2</v>
          </cell>
        </row>
        <row r="769">
          <cell r="E769" t="str">
            <v>00611041</v>
          </cell>
          <cell r="G769">
            <v>40</v>
          </cell>
        </row>
        <row r="770">
          <cell r="E770" t="str">
            <v>00680991</v>
          </cell>
          <cell r="G770">
            <v>1</v>
          </cell>
        </row>
        <row r="771">
          <cell r="E771" t="str">
            <v>00853258</v>
          </cell>
          <cell r="G771">
            <v>6</v>
          </cell>
        </row>
        <row r="772">
          <cell r="E772" t="str">
            <v>00680316</v>
          </cell>
          <cell r="G772">
            <v>10</v>
          </cell>
        </row>
        <row r="773">
          <cell r="E773" t="str">
            <v>00611042</v>
          </cell>
          <cell r="G773">
            <v>8</v>
          </cell>
        </row>
        <row r="774">
          <cell r="E774" t="str">
            <v>00633160</v>
          </cell>
          <cell r="G774">
            <v>3</v>
          </cell>
        </row>
        <row r="775">
          <cell r="E775" t="str">
            <v>00611512</v>
          </cell>
          <cell r="G775">
            <v>4</v>
          </cell>
        </row>
        <row r="776">
          <cell r="E776" t="str">
            <v>00611513</v>
          </cell>
          <cell r="G776">
            <v>16</v>
          </cell>
        </row>
        <row r="777">
          <cell r="E777" t="str">
            <v>00611514</v>
          </cell>
          <cell r="G777">
            <v>5</v>
          </cell>
        </row>
        <row r="778">
          <cell r="E778" t="str">
            <v>00423205</v>
          </cell>
          <cell r="G778">
            <v>4</v>
          </cell>
        </row>
        <row r="779">
          <cell r="E779" t="str">
            <v>00423209</v>
          </cell>
          <cell r="G779">
            <v>1</v>
          </cell>
        </row>
        <row r="780">
          <cell r="E780" t="str">
            <v>00305048</v>
          </cell>
          <cell r="G780">
            <v>10</v>
          </cell>
        </row>
        <row r="781">
          <cell r="E781" t="str">
            <v>00305050</v>
          </cell>
          <cell r="G781">
            <v>5</v>
          </cell>
        </row>
        <row r="782">
          <cell r="E782" t="str">
            <v>00272495</v>
          </cell>
          <cell r="G782">
            <v>1</v>
          </cell>
        </row>
        <row r="783">
          <cell r="E783" t="str">
            <v>00423217</v>
          </cell>
          <cell r="G783">
            <v>-26</v>
          </cell>
        </row>
        <row r="784">
          <cell r="E784" t="str">
            <v>00452931</v>
          </cell>
          <cell r="G784">
            <v>-18</v>
          </cell>
        </row>
        <row r="785">
          <cell r="E785" t="str">
            <v>00452930</v>
          </cell>
          <cell r="G785">
            <v>47</v>
          </cell>
        </row>
        <row r="786">
          <cell r="E786" t="str">
            <v>00301842</v>
          </cell>
          <cell r="G786">
            <v>4</v>
          </cell>
        </row>
        <row r="787">
          <cell r="E787" t="str">
            <v>00302432</v>
          </cell>
          <cell r="G787">
            <v>2</v>
          </cell>
        </row>
        <row r="788">
          <cell r="E788" t="str">
            <v>00302435</v>
          </cell>
          <cell r="G788">
            <v>2</v>
          </cell>
        </row>
        <row r="789">
          <cell r="E789" t="str">
            <v>00306525</v>
          </cell>
          <cell r="G789">
            <v>-2</v>
          </cell>
        </row>
        <row r="790">
          <cell r="E790" t="str">
            <v>00306524</v>
          </cell>
          <cell r="G790">
            <v>1</v>
          </cell>
        </row>
        <row r="791">
          <cell r="E791" t="str">
            <v>00423693</v>
          </cell>
          <cell r="G791">
            <v>1</v>
          </cell>
        </row>
        <row r="792">
          <cell r="E792" t="str">
            <v>00423743</v>
          </cell>
          <cell r="G792">
            <v>4</v>
          </cell>
        </row>
        <row r="793">
          <cell r="E793" t="str">
            <v>00423753</v>
          </cell>
          <cell r="G793">
            <v>1</v>
          </cell>
        </row>
        <row r="794">
          <cell r="E794" t="str">
            <v>00423741</v>
          </cell>
          <cell r="G794">
            <v>1</v>
          </cell>
        </row>
        <row r="795">
          <cell r="E795" t="str">
            <v>00423694</v>
          </cell>
          <cell r="G795">
            <v>1</v>
          </cell>
        </row>
        <row r="796">
          <cell r="E796" t="str">
            <v>00301587</v>
          </cell>
          <cell r="G796">
            <v>1</v>
          </cell>
        </row>
        <row r="797">
          <cell r="E797" t="str">
            <v>00304957</v>
          </cell>
          <cell r="G797">
            <v>1</v>
          </cell>
        </row>
        <row r="798">
          <cell r="E798" t="str">
            <v>00305053</v>
          </cell>
          <cell r="G798">
            <v>38</v>
          </cell>
        </row>
        <row r="799">
          <cell r="E799" t="str">
            <v>00305061</v>
          </cell>
          <cell r="G799">
            <v>1</v>
          </cell>
        </row>
        <row r="800">
          <cell r="E800" t="str">
            <v>00307668</v>
          </cell>
          <cell r="G800">
            <v>115</v>
          </cell>
        </row>
        <row r="801">
          <cell r="E801" t="str">
            <v>00309454</v>
          </cell>
          <cell r="G801">
            <v>3</v>
          </cell>
        </row>
        <row r="802">
          <cell r="E802" t="str">
            <v>00306950</v>
          </cell>
          <cell r="G802">
            <v>12</v>
          </cell>
        </row>
        <row r="803">
          <cell r="E803" t="str">
            <v>00301805</v>
          </cell>
          <cell r="G803">
            <v>3</v>
          </cell>
        </row>
        <row r="804">
          <cell r="E804" t="str">
            <v>00423494</v>
          </cell>
          <cell r="G804">
            <v>2</v>
          </cell>
        </row>
        <row r="805">
          <cell r="E805" t="str">
            <v>00423498</v>
          </cell>
          <cell r="G805">
            <v>-1</v>
          </cell>
        </row>
        <row r="806">
          <cell r="E806" t="str">
            <v>00423502</v>
          </cell>
          <cell r="G806">
            <v>-7</v>
          </cell>
        </row>
        <row r="807">
          <cell r="E807" t="str">
            <v>00307900</v>
          </cell>
          <cell r="G807">
            <v>-3</v>
          </cell>
        </row>
        <row r="808">
          <cell r="E808" t="str">
            <v>00307899</v>
          </cell>
          <cell r="G808">
            <v>-1</v>
          </cell>
        </row>
        <row r="809">
          <cell r="E809" t="str">
            <v>00306893</v>
          </cell>
          <cell r="G809">
            <v>5</v>
          </cell>
        </row>
        <row r="810">
          <cell r="E810" t="str">
            <v>00301675</v>
          </cell>
          <cell r="G810">
            <v>2</v>
          </cell>
        </row>
        <row r="811">
          <cell r="E811" t="str">
            <v>00304962</v>
          </cell>
          <cell r="G811">
            <v>-10</v>
          </cell>
        </row>
        <row r="812">
          <cell r="E812" t="str">
            <v>00301674</v>
          </cell>
          <cell r="G812">
            <v>-9</v>
          </cell>
        </row>
        <row r="813">
          <cell r="E813" t="str">
            <v>00304969</v>
          </cell>
          <cell r="G813">
            <v>0</v>
          </cell>
        </row>
        <row r="814">
          <cell r="E814" t="str">
            <v>00301632</v>
          </cell>
          <cell r="G814">
            <v>6</v>
          </cell>
        </row>
        <row r="815">
          <cell r="E815" t="str">
            <v>00301830</v>
          </cell>
          <cell r="G815">
            <v>1</v>
          </cell>
        </row>
        <row r="816">
          <cell r="E816" t="str">
            <v>00423466</v>
          </cell>
          <cell r="G816">
            <v>22</v>
          </cell>
        </row>
        <row r="817">
          <cell r="E817" t="str">
            <v>00423470</v>
          </cell>
          <cell r="G817">
            <v>2</v>
          </cell>
        </row>
        <row r="818">
          <cell r="E818" t="str">
            <v>00305998</v>
          </cell>
          <cell r="G818">
            <v>0</v>
          </cell>
        </row>
        <row r="819">
          <cell r="E819" t="str">
            <v>00306000</v>
          </cell>
          <cell r="G819">
            <v>-1</v>
          </cell>
        </row>
        <row r="820">
          <cell r="E820" t="str">
            <v>00301651</v>
          </cell>
          <cell r="G820">
            <v>2</v>
          </cell>
        </row>
        <row r="821">
          <cell r="E821" t="str">
            <v>00301638</v>
          </cell>
          <cell r="G821">
            <v>1</v>
          </cell>
        </row>
        <row r="822">
          <cell r="E822" t="str">
            <v>00301640</v>
          </cell>
          <cell r="G822">
            <v>0</v>
          </cell>
        </row>
        <row r="823">
          <cell r="E823" t="str">
            <v>00304977</v>
          </cell>
          <cell r="G823">
            <v>-16</v>
          </cell>
        </row>
        <row r="824">
          <cell r="E824" t="str">
            <v>00301818</v>
          </cell>
          <cell r="G824">
            <v>2</v>
          </cell>
        </row>
        <row r="825">
          <cell r="E825" t="str">
            <v>00301817</v>
          </cell>
          <cell r="G825">
            <v>1</v>
          </cell>
        </row>
        <row r="826">
          <cell r="E826" t="str">
            <v>00301819</v>
          </cell>
          <cell r="G826">
            <v>14</v>
          </cell>
        </row>
        <row r="827">
          <cell r="E827" t="str">
            <v>00358302</v>
          </cell>
          <cell r="G827">
            <v>2</v>
          </cell>
        </row>
        <row r="828">
          <cell r="E828" t="str">
            <v>00304988</v>
          </cell>
          <cell r="G828">
            <v>0</v>
          </cell>
        </row>
        <row r="829">
          <cell r="E829" t="str">
            <v>00304991</v>
          </cell>
          <cell r="G829">
            <v>1</v>
          </cell>
        </row>
        <row r="830">
          <cell r="E830" t="str">
            <v>00309599</v>
          </cell>
          <cell r="G830">
            <v>1</v>
          </cell>
        </row>
        <row r="831">
          <cell r="E831" t="str">
            <v>00305025</v>
          </cell>
          <cell r="G831">
            <v>8</v>
          </cell>
        </row>
        <row r="832">
          <cell r="E832" t="str">
            <v>00306948</v>
          </cell>
          <cell r="G832">
            <v>4</v>
          </cell>
        </row>
        <row r="833">
          <cell r="E833" t="str">
            <v>00301743</v>
          </cell>
          <cell r="G833">
            <v>15</v>
          </cell>
        </row>
        <row r="834">
          <cell r="E834" t="str">
            <v>00301696</v>
          </cell>
          <cell r="G834">
            <v>0</v>
          </cell>
        </row>
        <row r="835">
          <cell r="E835" t="str">
            <v>00353757</v>
          </cell>
          <cell r="G835">
            <v>0</v>
          </cell>
        </row>
        <row r="836">
          <cell r="E836" t="str">
            <v>00301697</v>
          </cell>
          <cell r="G836">
            <v>93</v>
          </cell>
        </row>
        <row r="837">
          <cell r="E837" t="str">
            <v>00307552</v>
          </cell>
          <cell r="G837">
            <v>1</v>
          </cell>
        </row>
        <row r="838">
          <cell r="E838" t="str">
            <v>00305857</v>
          </cell>
          <cell r="G838">
            <v>6</v>
          </cell>
        </row>
        <row r="839">
          <cell r="E839" t="str">
            <v>00301637</v>
          </cell>
          <cell r="G839">
            <v>2</v>
          </cell>
        </row>
        <row r="840">
          <cell r="E840" t="str">
            <v>00435196</v>
          </cell>
          <cell r="G840">
            <v>7</v>
          </cell>
        </row>
        <row r="841">
          <cell r="E841" t="str">
            <v>00435201</v>
          </cell>
          <cell r="G841">
            <v>-1</v>
          </cell>
        </row>
        <row r="842">
          <cell r="E842" t="str">
            <v>00435203</v>
          </cell>
          <cell r="G842">
            <v>-2</v>
          </cell>
        </row>
        <row r="843">
          <cell r="E843" t="str">
            <v>00435204</v>
          </cell>
          <cell r="G843">
            <v>-1</v>
          </cell>
        </row>
        <row r="844">
          <cell r="E844" t="str">
            <v>00435208</v>
          </cell>
          <cell r="G844">
            <v>-1</v>
          </cell>
        </row>
        <row r="845">
          <cell r="E845" t="str">
            <v>00306911</v>
          </cell>
          <cell r="G845">
            <v>-1</v>
          </cell>
        </row>
        <row r="846">
          <cell r="E846" t="str">
            <v>00306913</v>
          </cell>
          <cell r="G846">
            <v>-2</v>
          </cell>
        </row>
        <row r="847">
          <cell r="E847" t="str">
            <v>00326781</v>
          </cell>
          <cell r="G847">
            <v>1</v>
          </cell>
        </row>
        <row r="848">
          <cell r="E848" t="str">
            <v>00736046</v>
          </cell>
          <cell r="G848">
            <v>2</v>
          </cell>
        </row>
        <row r="849">
          <cell r="E849" t="str">
            <v>00324702</v>
          </cell>
          <cell r="G849">
            <v>5</v>
          </cell>
        </row>
        <row r="850">
          <cell r="E850" t="str">
            <v>00324714</v>
          </cell>
          <cell r="G850">
            <v>7</v>
          </cell>
        </row>
        <row r="851">
          <cell r="E851" t="str">
            <v>00302874</v>
          </cell>
          <cell r="G851">
            <v>4</v>
          </cell>
        </row>
        <row r="852">
          <cell r="E852" t="str">
            <v>00389407</v>
          </cell>
          <cell r="G852">
            <v>5</v>
          </cell>
        </row>
        <row r="853">
          <cell r="E853" t="str">
            <v>00301765</v>
          </cell>
          <cell r="G853">
            <v>1</v>
          </cell>
        </row>
        <row r="854">
          <cell r="E854" t="str">
            <v>00386176</v>
          </cell>
          <cell r="G854">
            <v>1</v>
          </cell>
        </row>
        <row r="855">
          <cell r="E855" t="str">
            <v>00306537</v>
          </cell>
          <cell r="G855">
            <v>2</v>
          </cell>
        </row>
        <row r="856">
          <cell r="E856" t="str">
            <v>00301763</v>
          </cell>
          <cell r="G856">
            <v>2</v>
          </cell>
        </row>
        <row r="857">
          <cell r="E857" t="str">
            <v>00305044</v>
          </cell>
          <cell r="G857">
            <v>2</v>
          </cell>
        </row>
        <row r="858">
          <cell r="E858" t="str">
            <v>00305045</v>
          </cell>
          <cell r="G858">
            <v>25</v>
          </cell>
        </row>
        <row r="859">
          <cell r="E859" t="str">
            <v>00423862</v>
          </cell>
          <cell r="G859">
            <v>27</v>
          </cell>
        </row>
        <row r="860">
          <cell r="E860" t="str">
            <v>00423863</v>
          </cell>
          <cell r="G860">
            <v>200</v>
          </cell>
        </row>
        <row r="861">
          <cell r="E861" t="str">
            <v>00423864</v>
          </cell>
          <cell r="G861">
            <v>63</v>
          </cell>
        </row>
        <row r="862">
          <cell r="E862" t="str">
            <v>00305331</v>
          </cell>
          <cell r="G862">
            <v>15</v>
          </cell>
        </row>
        <row r="863">
          <cell r="E863" t="str">
            <v>00423257</v>
          </cell>
          <cell r="G863">
            <v>1</v>
          </cell>
        </row>
        <row r="864">
          <cell r="E864" t="str">
            <v>00423258</v>
          </cell>
          <cell r="G864">
            <v>14</v>
          </cell>
        </row>
        <row r="865">
          <cell r="E865" t="str">
            <v>00447551</v>
          </cell>
          <cell r="G865">
            <v>4</v>
          </cell>
        </row>
        <row r="866">
          <cell r="E866" t="str">
            <v>00305029</v>
          </cell>
          <cell r="G866">
            <v>4</v>
          </cell>
        </row>
        <row r="867">
          <cell r="E867" t="str">
            <v>00305039</v>
          </cell>
          <cell r="G867">
            <v>1</v>
          </cell>
        </row>
        <row r="868">
          <cell r="E868" t="str">
            <v>00305038</v>
          </cell>
          <cell r="G868">
            <v>10</v>
          </cell>
        </row>
        <row r="869">
          <cell r="E869" t="str">
            <v>00389447</v>
          </cell>
          <cell r="G869">
            <v>4</v>
          </cell>
        </row>
        <row r="870">
          <cell r="E870" t="str">
            <v>00301753</v>
          </cell>
          <cell r="G870">
            <v>16</v>
          </cell>
        </row>
        <row r="871">
          <cell r="E871" t="str">
            <v>00304930</v>
          </cell>
          <cell r="G871">
            <v>-10</v>
          </cell>
        </row>
        <row r="872">
          <cell r="E872" t="str">
            <v>00301471</v>
          </cell>
          <cell r="G872">
            <v>2</v>
          </cell>
        </row>
        <row r="873">
          <cell r="E873" t="str">
            <v>00447296</v>
          </cell>
          <cell r="G873">
            <v>2</v>
          </cell>
        </row>
        <row r="874">
          <cell r="E874" t="str">
            <v>00301461</v>
          </cell>
          <cell r="G874">
            <v>2</v>
          </cell>
        </row>
        <row r="875">
          <cell r="E875" t="str">
            <v>00304905</v>
          </cell>
          <cell r="G875">
            <v>3</v>
          </cell>
        </row>
        <row r="876">
          <cell r="E876" t="str">
            <v>00301454</v>
          </cell>
          <cell r="G876">
            <v>5</v>
          </cell>
        </row>
        <row r="877">
          <cell r="E877" t="str">
            <v>00307053</v>
          </cell>
          <cell r="G877">
            <v>4</v>
          </cell>
        </row>
        <row r="878">
          <cell r="E878" t="str">
            <v>00447600</v>
          </cell>
          <cell r="G878">
            <v>3</v>
          </cell>
        </row>
        <row r="879">
          <cell r="E879" t="str">
            <v>00301508</v>
          </cell>
          <cell r="G879">
            <v>1</v>
          </cell>
        </row>
        <row r="880">
          <cell r="E880" t="str">
            <v>00305330</v>
          </cell>
          <cell r="G880">
            <v>-6</v>
          </cell>
        </row>
        <row r="881">
          <cell r="E881" t="str">
            <v>00305446</v>
          </cell>
          <cell r="G881">
            <v>-2</v>
          </cell>
        </row>
        <row r="882">
          <cell r="E882" t="str">
            <v>00301832</v>
          </cell>
          <cell r="G882">
            <v>1</v>
          </cell>
        </row>
        <row r="883">
          <cell r="E883" t="str">
            <v>00301486</v>
          </cell>
          <cell r="G883">
            <v>3</v>
          </cell>
        </row>
        <row r="884">
          <cell r="E884" t="str">
            <v>00304913</v>
          </cell>
          <cell r="G884">
            <v>-1</v>
          </cell>
        </row>
        <row r="885">
          <cell r="E885" t="str">
            <v>00430609</v>
          </cell>
          <cell r="G885">
            <v>2</v>
          </cell>
        </row>
        <row r="886">
          <cell r="E886" t="str">
            <v>00447298</v>
          </cell>
          <cell r="G886">
            <v>-42</v>
          </cell>
        </row>
        <row r="887">
          <cell r="E887" t="str">
            <v>00447294</v>
          </cell>
          <cell r="G887">
            <v>-2</v>
          </cell>
        </row>
        <row r="888">
          <cell r="E888" t="str">
            <v>00447299</v>
          </cell>
          <cell r="G888">
            <v>16</v>
          </cell>
        </row>
        <row r="889">
          <cell r="E889" t="str">
            <v>00301877</v>
          </cell>
          <cell r="G889">
            <v>9</v>
          </cell>
        </row>
        <row r="890">
          <cell r="E890" t="str">
            <v>00305950</v>
          </cell>
          <cell r="G890">
            <v>2</v>
          </cell>
        </row>
        <row r="891">
          <cell r="E891" t="str">
            <v>00307970</v>
          </cell>
          <cell r="G891">
            <v>2</v>
          </cell>
        </row>
        <row r="892">
          <cell r="E892" t="str">
            <v>00305953</v>
          </cell>
          <cell r="G892">
            <v>2</v>
          </cell>
        </row>
        <row r="893">
          <cell r="E893" t="str">
            <v>00303158</v>
          </cell>
          <cell r="G893">
            <v>5</v>
          </cell>
        </row>
        <row r="894">
          <cell r="E894" t="str">
            <v>00303160</v>
          </cell>
          <cell r="G894">
            <v>8</v>
          </cell>
        </row>
        <row r="895">
          <cell r="E895" t="str">
            <v>00303159</v>
          </cell>
          <cell r="G895">
            <v>3</v>
          </cell>
        </row>
        <row r="896">
          <cell r="E896" t="str">
            <v>00304851</v>
          </cell>
          <cell r="G896">
            <v>4</v>
          </cell>
        </row>
        <row r="897">
          <cell r="E897" t="str">
            <v>00307972</v>
          </cell>
          <cell r="G897">
            <v>4</v>
          </cell>
        </row>
        <row r="898">
          <cell r="E898" t="str">
            <v>00308192</v>
          </cell>
          <cell r="G898">
            <v>4</v>
          </cell>
        </row>
        <row r="899">
          <cell r="E899" t="str">
            <v>00301859</v>
          </cell>
          <cell r="G899">
            <v>14</v>
          </cell>
        </row>
        <row r="900">
          <cell r="E900" t="str">
            <v>00301861</v>
          </cell>
          <cell r="G900">
            <v>90</v>
          </cell>
        </row>
        <row r="901">
          <cell r="E901" t="str">
            <v>00304855</v>
          </cell>
          <cell r="G901">
            <v>2</v>
          </cell>
        </row>
        <row r="902">
          <cell r="E902" t="str">
            <v>00304862</v>
          </cell>
          <cell r="G902">
            <v>5</v>
          </cell>
        </row>
        <row r="903">
          <cell r="E903" t="str">
            <v>00303391</v>
          </cell>
          <cell r="G903">
            <v>13</v>
          </cell>
        </row>
        <row r="904">
          <cell r="E904" t="str">
            <v>00303393</v>
          </cell>
          <cell r="G904">
            <v>33</v>
          </cell>
        </row>
        <row r="905">
          <cell r="E905" t="str">
            <v>00308138</v>
          </cell>
          <cell r="G905">
            <v>1</v>
          </cell>
        </row>
        <row r="906">
          <cell r="E906" t="str">
            <v>00423687</v>
          </cell>
          <cell r="G906">
            <v>1</v>
          </cell>
        </row>
        <row r="907">
          <cell r="E907" t="str">
            <v>00301981</v>
          </cell>
          <cell r="G907">
            <v>3</v>
          </cell>
        </row>
        <row r="908">
          <cell r="E908" t="str">
            <v>00302000</v>
          </cell>
          <cell r="G908">
            <v>6</v>
          </cell>
        </row>
        <row r="909">
          <cell r="E909" t="str">
            <v>00301987</v>
          </cell>
          <cell r="G909">
            <v>1</v>
          </cell>
        </row>
        <row r="910">
          <cell r="E910" t="str">
            <v>00301979</v>
          </cell>
          <cell r="G910">
            <v>1</v>
          </cell>
        </row>
        <row r="911">
          <cell r="E911" t="str">
            <v>00301980</v>
          </cell>
          <cell r="G911">
            <v>6</v>
          </cell>
        </row>
        <row r="912">
          <cell r="E912" t="str">
            <v>00301991</v>
          </cell>
          <cell r="G912">
            <v>1</v>
          </cell>
        </row>
        <row r="913">
          <cell r="E913" t="str">
            <v>00301985</v>
          </cell>
          <cell r="G913">
            <v>1</v>
          </cell>
        </row>
        <row r="914">
          <cell r="E914" t="str">
            <v>00301986</v>
          </cell>
          <cell r="G914">
            <v>1</v>
          </cell>
        </row>
        <row r="915">
          <cell r="E915" t="str">
            <v>00301993</v>
          </cell>
          <cell r="G915">
            <v>3</v>
          </cell>
        </row>
        <row r="916">
          <cell r="E916" t="str">
            <v>00301990</v>
          </cell>
          <cell r="G916">
            <v>11</v>
          </cell>
        </row>
        <row r="917">
          <cell r="E917" t="str">
            <v>00305948</v>
          </cell>
          <cell r="G917">
            <v>1</v>
          </cell>
        </row>
        <row r="918">
          <cell r="E918" t="str">
            <v>00301983</v>
          </cell>
          <cell r="G918">
            <v>1</v>
          </cell>
        </row>
        <row r="919">
          <cell r="E919" t="str">
            <v>00301937</v>
          </cell>
          <cell r="G919">
            <v>2</v>
          </cell>
        </row>
        <row r="920">
          <cell r="E920" t="str">
            <v>00301939</v>
          </cell>
          <cell r="G920">
            <v>2</v>
          </cell>
        </row>
        <row r="921">
          <cell r="E921" t="str">
            <v>00301965</v>
          </cell>
          <cell r="G921">
            <v>3</v>
          </cell>
        </row>
        <row r="922">
          <cell r="E922" t="str">
            <v>00301966</v>
          </cell>
          <cell r="G922">
            <v>10</v>
          </cell>
        </row>
        <row r="923">
          <cell r="E923" t="str">
            <v>00301959</v>
          </cell>
          <cell r="G923">
            <v>1</v>
          </cell>
        </row>
        <row r="924">
          <cell r="E924" t="str">
            <v>00301953</v>
          </cell>
          <cell r="G924">
            <v>4</v>
          </cell>
        </row>
        <row r="925">
          <cell r="E925" t="str">
            <v>00301955</v>
          </cell>
          <cell r="G925">
            <v>16</v>
          </cell>
        </row>
        <row r="926">
          <cell r="E926" t="str">
            <v>00301944</v>
          </cell>
          <cell r="G926">
            <v>2</v>
          </cell>
        </row>
        <row r="927">
          <cell r="E927" t="str">
            <v>00301945</v>
          </cell>
          <cell r="G927">
            <v>1</v>
          </cell>
        </row>
        <row r="928">
          <cell r="E928" t="str">
            <v>00301946</v>
          </cell>
          <cell r="G928">
            <v>3</v>
          </cell>
        </row>
        <row r="929">
          <cell r="E929" t="str">
            <v>00302003</v>
          </cell>
          <cell r="G929">
            <v>18</v>
          </cell>
        </row>
        <row r="930">
          <cell r="E930" t="str">
            <v>00423535</v>
          </cell>
          <cell r="G930">
            <v>26</v>
          </cell>
        </row>
        <row r="931">
          <cell r="E931" t="str">
            <v>00302005</v>
          </cell>
          <cell r="G931">
            <v>149</v>
          </cell>
        </row>
        <row r="932">
          <cell r="E932" t="str">
            <v>00301975</v>
          </cell>
          <cell r="G932">
            <v>4</v>
          </cell>
        </row>
        <row r="933">
          <cell r="E933" t="str">
            <v>00301977</v>
          </cell>
          <cell r="G933">
            <v>6</v>
          </cell>
        </row>
        <row r="934">
          <cell r="E934" t="str">
            <v>00301978</v>
          </cell>
          <cell r="G934">
            <v>3</v>
          </cell>
        </row>
        <row r="935">
          <cell r="E935" t="str">
            <v>00301931</v>
          </cell>
          <cell r="G935">
            <v>2</v>
          </cell>
        </row>
        <row r="936">
          <cell r="E936" t="str">
            <v>00301932</v>
          </cell>
          <cell r="G936">
            <v>3</v>
          </cell>
        </row>
        <row r="937">
          <cell r="E937" t="str">
            <v>00264696</v>
          </cell>
          <cell r="G937">
            <v>33</v>
          </cell>
        </row>
        <row r="938">
          <cell r="E938" t="str">
            <v>00264698</v>
          </cell>
          <cell r="G938">
            <v>1</v>
          </cell>
        </row>
        <row r="939">
          <cell r="E939" t="str">
            <v>00264725</v>
          </cell>
          <cell r="G939">
            <v>51</v>
          </cell>
        </row>
        <row r="940">
          <cell r="E940" t="str">
            <v>00264726</v>
          </cell>
          <cell r="G940">
            <v>63</v>
          </cell>
        </row>
        <row r="941">
          <cell r="E941" t="str">
            <v>00264731</v>
          </cell>
          <cell r="G941">
            <v>9</v>
          </cell>
        </row>
        <row r="942">
          <cell r="E942" t="str">
            <v>00264732</v>
          </cell>
          <cell r="G942">
            <v>43</v>
          </cell>
        </row>
        <row r="943">
          <cell r="E943" t="str">
            <v>00305778</v>
          </cell>
          <cell r="G943">
            <v>-3</v>
          </cell>
        </row>
        <row r="944">
          <cell r="E944" t="str">
            <v>00264736</v>
          </cell>
          <cell r="G944">
            <v>40</v>
          </cell>
        </row>
        <row r="945">
          <cell r="E945" t="str">
            <v>00264738</v>
          </cell>
          <cell r="G945">
            <v>7</v>
          </cell>
        </row>
        <row r="946">
          <cell r="E946" t="str">
            <v>00305780</v>
          </cell>
          <cell r="G946">
            <v>9</v>
          </cell>
        </row>
        <row r="947">
          <cell r="E947" t="str">
            <v>00264619</v>
          </cell>
          <cell r="G947">
            <v>2</v>
          </cell>
        </row>
        <row r="948">
          <cell r="E948" t="str">
            <v>00264620</v>
          </cell>
          <cell r="G948">
            <v>3</v>
          </cell>
        </row>
        <row r="949">
          <cell r="E949" t="str">
            <v>00305839</v>
          </cell>
          <cell r="G949">
            <v>3</v>
          </cell>
        </row>
        <row r="950">
          <cell r="E950" t="str">
            <v>00306728</v>
          </cell>
          <cell r="G950">
            <v>2</v>
          </cell>
        </row>
        <row r="951">
          <cell r="E951" t="str">
            <v>00306723</v>
          </cell>
          <cell r="G951">
            <v>1</v>
          </cell>
        </row>
        <row r="952">
          <cell r="E952" t="str">
            <v>00305837</v>
          </cell>
          <cell r="G952">
            <v>1</v>
          </cell>
        </row>
        <row r="953">
          <cell r="E953" t="str">
            <v>00305835</v>
          </cell>
          <cell r="G953">
            <v>41</v>
          </cell>
        </row>
        <row r="954">
          <cell r="E954" t="str">
            <v>00305844</v>
          </cell>
          <cell r="G954">
            <v>2</v>
          </cell>
        </row>
        <row r="955">
          <cell r="E955" t="str">
            <v>00305843</v>
          </cell>
          <cell r="G955">
            <v>3</v>
          </cell>
        </row>
        <row r="956">
          <cell r="E956" t="str">
            <v>00264365</v>
          </cell>
          <cell r="G956">
            <v>5</v>
          </cell>
        </row>
        <row r="957">
          <cell r="E957" t="str">
            <v>00306715</v>
          </cell>
          <cell r="G957">
            <v>1</v>
          </cell>
        </row>
        <row r="958">
          <cell r="E958" t="str">
            <v>00306720</v>
          </cell>
          <cell r="G958">
            <v>4</v>
          </cell>
        </row>
        <row r="959">
          <cell r="E959" t="str">
            <v>00264637</v>
          </cell>
          <cell r="G959">
            <v>1</v>
          </cell>
        </row>
        <row r="960">
          <cell r="E960" t="str">
            <v>00264639</v>
          </cell>
          <cell r="G960">
            <v>4</v>
          </cell>
        </row>
        <row r="961">
          <cell r="E961" t="str">
            <v>00264605</v>
          </cell>
          <cell r="G961">
            <v>1</v>
          </cell>
        </row>
        <row r="962">
          <cell r="E962" t="str">
            <v>00264604</v>
          </cell>
          <cell r="G962">
            <v>4</v>
          </cell>
        </row>
        <row r="963">
          <cell r="E963" t="str">
            <v>00264606</v>
          </cell>
          <cell r="G963">
            <v>14</v>
          </cell>
        </row>
        <row r="964">
          <cell r="E964" t="str">
            <v>00305788</v>
          </cell>
          <cell r="G964">
            <v>2</v>
          </cell>
        </row>
        <row r="965">
          <cell r="E965" t="str">
            <v>00264702</v>
          </cell>
          <cell r="G965">
            <v>1</v>
          </cell>
        </row>
        <row r="966">
          <cell r="E966" t="str">
            <v>00304325</v>
          </cell>
          <cell r="G966">
            <v>1</v>
          </cell>
        </row>
        <row r="967">
          <cell r="E967" t="str">
            <v>00264752</v>
          </cell>
          <cell r="G967">
            <v>4</v>
          </cell>
        </row>
        <row r="968">
          <cell r="E968" t="str">
            <v>00305816</v>
          </cell>
          <cell r="G968">
            <v>1</v>
          </cell>
        </row>
        <row r="969">
          <cell r="E969" t="str">
            <v>00305814</v>
          </cell>
          <cell r="G969">
            <v>-1</v>
          </cell>
        </row>
        <row r="970">
          <cell r="E970" t="str">
            <v>00305821</v>
          </cell>
          <cell r="G970">
            <v>1</v>
          </cell>
        </row>
        <row r="971">
          <cell r="E971" t="str">
            <v>00305825</v>
          </cell>
          <cell r="G971">
            <v>4</v>
          </cell>
        </row>
        <row r="972">
          <cell r="E972" t="str">
            <v>00305822</v>
          </cell>
          <cell r="G972">
            <v>2</v>
          </cell>
        </row>
        <row r="973">
          <cell r="E973" t="str">
            <v>00305826</v>
          </cell>
          <cell r="G973">
            <v>6</v>
          </cell>
        </row>
        <row r="974">
          <cell r="E974" t="str">
            <v>00264368</v>
          </cell>
          <cell r="G974">
            <v>2</v>
          </cell>
        </row>
        <row r="975">
          <cell r="E975" t="str">
            <v>00264370</v>
          </cell>
          <cell r="G975">
            <v>1</v>
          </cell>
        </row>
        <row r="976">
          <cell r="E976" t="str">
            <v>00264371</v>
          </cell>
          <cell r="G976">
            <v>54</v>
          </cell>
        </row>
        <row r="977">
          <cell r="E977" t="str">
            <v>00305769</v>
          </cell>
          <cell r="G977">
            <v>0</v>
          </cell>
        </row>
        <row r="978">
          <cell r="E978" t="str">
            <v>00264563</v>
          </cell>
          <cell r="G978">
            <v>3</v>
          </cell>
        </row>
        <row r="979">
          <cell r="E979" t="str">
            <v>00264566</v>
          </cell>
          <cell r="G979">
            <v>28</v>
          </cell>
        </row>
        <row r="980">
          <cell r="E980" t="str">
            <v>00264707</v>
          </cell>
          <cell r="G980">
            <v>6</v>
          </cell>
        </row>
        <row r="981">
          <cell r="E981" t="str">
            <v>00308366</v>
          </cell>
          <cell r="G981">
            <v>3</v>
          </cell>
        </row>
        <row r="982">
          <cell r="E982" t="str">
            <v>00264801</v>
          </cell>
          <cell r="G982">
            <v>1</v>
          </cell>
        </row>
        <row r="983">
          <cell r="E983" t="str">
            <v>00264803</v>
          </cell>
          <cell r="G983">
            <v>8</v>
          </cell>
        </row>
        <row r="984">
          <cell r="E984" t="str">
            <v>00264625</v>
          </cell>
          <cell r="G984">
            <v>12</v>
          </cell>
        </row>
        <row r="985">
          <cell r="E985" t="str">
            <v>00264820</v>
          </cell>
          <cell r="G985">
            <v>2</v>
          </cell>
        </row>
        <row r="986">
          <cell r="E986" t="str">
            <v>00305743</v>
          </cell>
          <cell r="G986">
            <v>-1</v>
          </cell>
        </row>
        <row r="987">
          <cell r="E987" t="str">
            <v>00723498</v>
          </cell>
          <cell r="G987">
            <v>10</v>
          </cell>
        </row>
        <row r="988">
          <cell r="E988" t="str">
            <v>00267882</v>
          </cell>
          <cell r="G988">
            <v>18</v>
          </cell>
        </row>
        <row r="989">
          <cell r="E989" t="str">
            <v>00736969</v>
          </cell>
          <cell r="G989">
            <v>2</v>
          </cell>
        </row>
        <row r="990">
          <cell r="E990" t="str">
            <v>00736971</v>
          </cell>
          <cell r="G990">
            <v>2</v>
          </cell>
        </row>
        <row r="991">
          <cell r="E991" t="str">
            <v>00423696</v>
          </cell>
          <cell r="G991">
            <v>12</v>
          </cell>
        </row>
        <row r="992">
          <cell r="E992" t="str">
            <v>00736950</v>
          </cell>
          <cell r="G992">
            <v>2</v>
          </cell>
        </row>
        <row r="993">
          <cell r="E993" t="str">
            <v>00736956</v>
          </cell>
          <cell r="G993">
            <v>9</v>
          </cell>
        </row>
        <row r="994">
          <cell r="E994" t="str">
            <v>00736968</v>
          </cell>
          <cell r="G994">
            <v>1</v>
          </cell>
        </row>
        <row r="995">
          <cell r="E995" t="str">
            <v>00736963</v>
          </cell>
          <cell r="G995">
            <v>1</v>
          </cell>
        </row>
        <row r="996">
          <cell r="E996" t="str">
            <v>00736967</v>
          </cell>
          <cell r="G996">
            <v>1</v>
          </cell>
        </row>
        <row r="997">
          <cell r="E997" t="str">
            <v>00853474</v>
          </cell>
          <cell r="G997">
            <v>7</v>
          </cell>
        </row>
        <row r="998">
          <cell r="E998" t="str">
            <v>00732882</v>
          </cell>
          <cell r="G998">
            <v>90</v>
          </cell>
        </row>
        <row r="999">
          <cell r="E999" t="str">
            <v>00723290</v>
          </cell>
          <cell r="G999">
            <v>1</v>
          </cell>
        </row>
        <row r="1000">
          <cell r="E1000" t="str">
            <v>00649888</v>
          </cell>
          <cell r="G1000">
            <v>1</v>
          </cell>
        </row>
        <row r="1001">
          <cell r="E1001" t="str">
            <v>00611853</v>
          </cell>
          <cell r="G1001">
            <v>0</v>
          </cell>
        </row>
        <row r="1002">
          <cell r="E1002" t="str">
            <v>00731067</v>
          </cell>
          <cell r="G1002">
            <v>1</v>
          </cell>
        </row>
        <row r="1003">
          <cell r="E1003" t="str">
            <v>00611849</v>
          </cell>
          <cell r="G1003">
            <v>1</v>
          </cell>
        </row>
        <row r="1004">
          <cell r="E1004" t="str">
            <v>00614898</v>
          </cell>
          <cell r="G1004">
            <v>3</v>
          </cell>
        </row>
        <row r="1005">
          <cell r="E1005" t="str">
            <v>00614922</v>
          </cell>
          <cell r="G1005">
            <v>1</v>
          </cell>
        </row>
        <row r="1006">
          <cell r="E1006" t="str">
            <v>00615350</v>
          </cell>
          <cell r="G1006">
            <v>1</v>
          </cell>
        </row>
        <row r="1007">
          <cell r="E1007" t="str">
            <v>00636279</v>
          </cell>
          <cell r="G1007">
            <v>2</v>
          </cell>
        </row>
        <row r="1008">
          <cell r="E1008" t="str">
            <v>00649891</v>
          </cell>
          <cell r="G1008">
            <v>1</v>
          </cell>
        </row>
        <row r="1009">
          <cell r="E1009" t="str">
            <v>00608488</v>
          </cell>
          <cell r="G1009">
            <v>1</v>
          </cell>
        </row>
        <row r="1010">
          <cell r="E1010" t="str">
            <v>00643848</v>
          </cell>
          <cell r="G1010">
            <v>1</v>
          </cell>
        </row>
        <row r="1011">
          <cell r="E1011" t="str">
            <v>00727894</v>
          </cell>
          <cell r="G1011">
            <v>2</v>
          </cell>
        </row>
        <row r="1012">
          <cell r="E1012" t="str">
            <v>00731057</v>
          </cell>
          <cell r="G1012">
            <v>1</v>
          </cell>
        </row>
        <row r="1013">
          <cell r="E1013" t="str">
            <v>00852482</v>
          </cell>
          <cell r="G1013">
            <v>1</v>
          </cell>
        </row>
        <row r="1014">
          <cell r="E1014" t="str">
            <v>00647273</v>
          </cell>
          <cell r="G1014">
            <v>5</v>
          </cell>
        </row>
        <row r="1015">
          <cell r="E1015" t="str">
            <v>00730469</v>
          </cell>
          <cell r="G1015">
            <v>9</v>
          </cell>
        </row>
        <row r="1016">
          <cell r="E1016" t="str">
            <v>00852901</v>
          </cell>
          <cell r="G1016">
            <v>1</v>
          </cell>
        </row>
        <row r="1017">
          <cell r="E1017" t="str">
            <v>00852852</v>
          </cell>
          <cell r="G1017">
            <v>1</v>
          </cell>
        </row>
        <row r="1018">
          <cell r="E1018" t="str">
            <v>00735643</v>
          </cell>
          <cell r="G1018">
            <v>3</v>
          </cell>
        </row>
        <row r="1019">
          <cell r="E1019" t="str">
            <v>00611851</v>
          </cell>
          <cell r="G1019">
            <v>1</v>
          </cell>
        </row>
        <row r="1020">
          <cell r="E1020" t="str">
            <v>00640077</v>
          </cell>
          <cell r="G1020">
            <v>1</v>
          </cell>
        </row>
        <row r="1021">
          <cell r="E1021" t="str">
            <v>00614855</v>
          </cell>
          <cell r="G1021">
            <v>1</v>
          </cell>
        </row>
        <row r="1022">
          <cell r="E1022" t="str">
            <v>00732000</v>
          </cell>
          <cell r="G1022">
            <v>6</v>
          </cell>
        </row>
        <row r="1023">
          <cell r="E1023" t="str">
            <v>00735646</v>
          </cell>
          <cell r="G1023">
            <v>2</v>
          </cell>
        </row>
        <row r="1024">
          <cell r="E1024" t="str">
            <v>00680313</v>
          </cell>
          <cell r="G1024">
            <v>1</v>
          </cell>
        </row>
        <row r="1025">
          <cell r="E1025" t="str">
            <v>00102689</v>
          </cell>
          <cell r="G1025">
            <v>1</v>
          </cell>
        </row>
        <row r="1026">
          <cell r="E1026" t="str">
            <v>00611059</v>
          </cell>
          <cell r="G1026">
            <v>8</v>
          </cell>
        </row>
        <row r="1027">
          <cell r="E1027" t="str">
            <v>00618273</v>
          </cell>
          <cell r="G1027">
            <v>1</v>
          </cell>
        </row>
        <row r="1028">
          <cell r="E1028" t="str">
            <v>00611060</v>
          </cell>
          <cell r="G1028">
            <v>1</v>
          </cell>
        </row>
        <row r="1029">
          <cell r="E1029" t="str">
            <v>00681026</v>
          </cell>
          <cell r="G1029">
            <v>2</v>
          </cell>
        </row>
        <row r="1030">
          <cell r="E1030" t="str">
            <v>00631545</v>
          </cell>
          <cell r="G1030">
            <v>3</v>
          </cell>
        </row>
        <row r="1031">
          <cell r="E1031" t="str">
            <v>00732670</v>
          </cell>
          <cell r="G1031">
            <v>1</v>
          </cell>
        </row>
        <row r="1032">
          <cell r="E1032" t="str">
            <v>00733832</v>
          </cell>
          <cell r="G1032">
            <v>1</v>
          </cell>
        </row>
        <row r="1033">
          <cell r="E1033" t="str">
            <v>00735894</v>
          </cell>
          <cell r="G1033">
            <v>1</v>
          </cell>
        </row>
        <row r="1034">
          <cell r="E1034" t="str">
            <v>00735142</v>
          </cell>
          <cell r="G1034">
            <v>2</v>
          </cell>
        </row>
        <row r="1035">
          <cell r="E1035" t="str">
            <v>00853189</v>
          </cell>
          <cell r="G1035">
            <v>53</v>
          </cell>
        </row>
        <row r="1036">
          <cell r="E1036" t="str">
            <v>00852962</v>
          </cell>
          <cell r="G1036">
            <v>9</v>
          </cell>
        </row>
        <row r="1037">
          <cell r="E1037" t="str">
            <v>00680636</v>
          </cell>
          <cell r="G1037">
            <v>9</v>
          </cell>
        </row>
        <row r="1038">
          <cell r="E1038" t="str">
            <v>00738865</v>
          </cell>
          <cell r="G1038">
            <v>1</v>
          </cell>
        </row>
        <row r="1039">
          <cell r="E1039" t="str">
            <v>00650012</v>
          </cell>
          <cell r="G1039">
            <v>43</v>
          </cell>
        </row>
        <row r="1040">
          <cell r="E1040" t="str">
            <v>00722938</v>
          </cell>
          <cell r="G1040">
            <v>2</v>
          </cell>
        </row>
        <row r="1041">
          <cell r="E1041" t="str">
            <v>00680648</v>
          </cell>
          <cell r="G1041">
            <v>12</v>
          </cell>
        </row>
        <row r="1042">
          <cell r="E1042" t="str">
            <v>00680357</v>
          </cell>
          <cell r="G1042">
            <v>3</v>
          </cell>
        </row>
        <row r="1043">
          <cell r="E1043" t="str">
            <v>00680350</v>
          </cell>
          <cell r="G1043">
            <v>3</v>
          </cell>
        </row>
        <row r="1044">
          <cell r="E1044" t="str">
            <v>00611915</v>
          </cell>
          <cell r="G1044">
            <v>11</v>
          </cell>
        </row>
        <row r="1045">
          <cell r="E1045" t="str">
            <v>00737322</v>
          </cell>
          <cell r="G1045">
            <v>2</v>
          </cell>
        </row>
        <row r="1046">
          <cell r="E1046" t="str">
            <v>00610674</v>
          </cell>
          <cell r="G1046">
            <v>2</v>
          </cell>
        </row>
        <row r="1047">
          <cell r="E1047" t="str">
            <v>00681110</v>
          </cell>
          <cell r="G1047">
            <v>2</v>
          </cell>
        </row>
        <row r="1048">
          <cell r="E1048" t="str">
            <v>00681569</v>
          </cell>
          <cell r="G1048">
            <v>2</v>
          </cell>
        </row>
        <row r="1049">
          <cell r="E1049" t="str">
            <v>00724306</v>
          </cell>
          <cell r="G1049">
            <v>2</v>
          </cell>
        </row>
        <row r="1050">
          <cell r="E1050" t="str">
            <v>00611392</v>
          </cell>
          <cell r="G1050">
            <v>23</v>
          </cell>
        </row>
        <row r="1051">
          <cell r="E1051" t="str">
            <v>00735703</v>
          </cell>
          <cell r="G1051">
            <v>46</v>
          </cell>
        </row>
        <row r="1052">
          <cell r="E1052" t="str">
            <v>00734721</v>
          </cell>
          <cell r="G1052">
            <v>15</v>
          </cell>
        </row>
        <row r="1053">
          <cell r="E1053" t="str">
            <v>00734723</v>
          </cell>
          <cell r="G1053">
            <v>12</v>
          </cell>
        </row>
        <row r="1054">
          <cell r="E1054" t="str">
            <v>00852444</v>
          </cell>
          <cell r="G1054">
            <v>2</v>
          </cell>
        </row>
        <row r="1055">
          <cell r="E1055" t="str">
            <v>00852445</v>
          </cell>
          <cell r="G1055">
            <v>8</v>
          </cell>
        </row>
        <row r="1056">
          <cell r="E1056" t="str">
            <v>00649726</v>
          </cell>
          <cell r="G1056">
            <v>1</v>
          </cell>
        </row>
        <row r="1057">
          <cell r="E1057" t="str">
            <v>00681748</v>
          </cell>
          <cell r="G1057">
            <v>6</v>
          </cell>
        </row>
        <row r="1058">
          <cell r="E1058" t="str">
            <v>00723494</v>
          </cell>
          <cell r="G1058">
            <v>15</v>
          </cell>
        </row>
        <row r="1059">
          <cell r="E1059" t="str">
            <v>00610498</v>
          </cell>
          <cell r="G1059">
            <v>3</v>
          </cell>
        </row>
        <row r="1060">
          <cell r="E1060" t="str">
            <v>00615318</v>
          </cell>
          <cell r="G1060">
            <v>2</v>
          </cell>
        </row>
        <row r="1061">
          <cell r="E1061" t="str">
            <v>00734370</v>
          </cell>
          <cell r="G1061">
            <v>41</v>
          </cell>
        </row>
        <row r="1062">
          <cell r="E1062" t="str">
            <v>00734369</v>
          </cell>
          <cell r="G1062">
            <v>71</v>
          </cell>
        </row>
        <row r="1063">
          <cell r="E1063" t="str">
            <v>00680204</v>
          </cell>
          <cell r="G1063">
            <v>143</v>
          </cell>
        </row>
        <row r="1064">
          <cell r="E1064" t="str">
            <v>00680909</v>
          </cell>
          <cell r="G1064">
            <v>10</v>
          </cell>
        </row>
        <row r="1065">
          <cell r="E1065" t="str">
            <v>00680388</v>
          </cell>
          <cell r="G1065">
            <v>1</v>
          </cell>
        </row>
        <row r="1066">
          <cell r="E1066" t="str">
            <v>00611394</v>
          </cell>
          <cell r="G1066">
            <v>3</v>
          </cell>
        </row>
        <row r="1067">
          <cell r="E1067" t="str">
            <v>00611393</v>
          </cell>
          <cell r="G1067">
            <v>3</v>
          </cell>
        </row>
        <row r="1068">
          <cell r="E1068" t="str">
            <v>00611381</v>
          </cell>
          <cell r="G1068">
            <v>4</v>
          </cell>
        </row>
        <row r="1069">
          <cell r="E1069" t="str">
            <v>00611382</v>
          </cell>
          <cell r="G1069">
            <v>6</v>
          </cell>
        </row>
        <row r="1070">
          <cell r="E1070" t="str">
            <v>00611390</v>
          </cell>
          <cell r="G1070">
            <v>3</v>
          </cell>
        </row>
        <row r="1071">
          <cell r="E1071" t="str">
            <v>00611389</v>
          </cell>
          <cell r="G1071">
            <v>3</v>
          </cell>
        </row>
        <row r="1072">
          <cell r="E1072" t="str">
            <v>00657764</v>
          </cell>
          <cell r="G1072">
            <v>1</v>
          </cell>
        </row>
        <row r="1073">
          <cell r="E1073" t="str">
            <v>00680812</v>
          </cell>
          <cell r="G1073">
            <v>1</v>
          </cell>
        </row>
        <row r="1074">
          <cell r="E1074" t="str">
            <v>00681157</v>
          </cell>
          <cell r="G1074">
            <v>4</v>
          </cell>
        </row>
        <row r="1075">
          <cell r="E1075" t="str">
            <v>00681343</v>
          </cell>
          <cell r="G1075">
            <v>2</v>
          </cell>
        </row>
        <row r="1076">
          <cell r="E1076" t="str">
            <v>00681348</v>
          </cell>
          <cell r="G1076">
            <v>1</v>
          </cell>
        </row>
        <row r="1077">
          <cell r="E1077" t="str">
            <v>00681360</v>
          </cell>
          <cell r="G1077">
            <v>3</v>
          </cell>
        </row>
        <row r="1078">
          <cell r="E1078" t="str">
            <v>00681359</v>
          </cell>
          <cell r="G1078">
            <v>2</v>
          </cell>
        </row>
        <row r="1079">
          <cell r="E1079" t="str">
            <v>00681358</v>
          </cell>
          <cell r="G1079">
            <v>3</v>
          </cell>
        </row>
        <row r="1080">
          <cell r="E1080" t="str">
            <v>00681361</v>
          </cell>
          <cell r="G1080">
            <v>7</v>
          </cell>
        </row>
        <row r="1081">
          <cell r="E1081" t="str">
            <v>00681354</v>
          </cell>
          <cell r="G1081">
            <v>1</v>
          </cell>
        </row>
        <row r="1082">
          <cell r="E1082" t="str">
            <v>00681355</v>
          </cell>
          <cell r="G1082">
            <v>2</v>
          </cell>
        </row>
        <row r="1083">
          <cell r="E1083" t="str">
            <v>00681356</v>
          </cell>
          <cell r="G1083">
            <v>5</v>
          </cell>
        </row>
        <row r="1084">
          <cell r="E1084" t="str">
            <v>00680752</v>
          </cell>
          <cell r="G1084">
            <v>2</v>
          </cell>
        </row>
        <row r="1085">
          <cell r="E1085" t="str">
            <v>00680753</v>
          </cell>
          <cell r="G1085">
            <v>2</v>
          </cell>
        </row>
        <row r="1086">
          <cell r="E1086" t="str">
            <v>00680736</v>
          </cell>
          <cell r="G1086">
            <v>13</v>
          </cell>
        </row>
        <row r="1087">
          <cell r="E1087" t="str">
            <v>00852823</v>
          </cell>
          <cell r="G1087">
            <v>1</v>
          </cell>
        </row>
        <row r="1088">
          <cell r="E1088" t="str">
            <v>00852808</v>
          </cell>
          <cell r="G1088">
            <v>55</v>
          </cell>
        </row>
        <row r="1089">
          <cell r="E1089" t="str">
            <v>00852813</v>
          </cell>
          <cell r="G1089">
            <v>0</v>
          </cell>
        </row>
        <row r="1090">
          <cell r="E1090" t="str">
            <v>00852820</v>
          </cell>
          <cell r="G1090">
            <v>3</v>
          </cell>
        </row>
        <row r="1091">
          <cell r="E1091" t="str">
            <v>00852824</v>
          </cell>
          <cell r="G1091">
            <v>10</v>
          </cell>
        </row>
        <row r="1092">
          <cell r="E1092" t="str">
            <v>00852826</v>
          </cell>
          <cell r="G1092">
            <v>5</v>
          </cell>
        </row>
        <row r="1093">
          <cell r="E1093" t="str">
            <v>00853383</v>
          </cell>
          <cell r="G1093">
            <v>2</v>
          </cell>
        </row>
        <row r="1094">
          <cell r="E1094" t="str">
            <v>00852810</v>
          </cell>
          <cell r="G1094">
            <v>8</v>
          </cell>
        </row>
        <row r="1095">
          <cell r="E1095" t="str">
            <v>00680978</v>
          </cell>
          <cell r="G1095">
            <v>1</v>
          </cell>
        </row>
        <row r="1096">
          <cell r="E1096" t="str">
            <v>00852687</v>
          </cell>
          <cell r="G1096">
            <v>2</v>
          </cell>
        </row>
        <row r="1097">
          <cell r="E1097" t="str">
            <v>00852685</v>
          </cell>
          <cell r="G1097">
            <v>6</v>
          </cell>
        </row>
        <row r="1098">
          <cell r="E1098" t="str">
            <v>00852683</v>
          </cell>
          <cell r="G1098">
            <v>4</v>
          </cell>
        </row>
        <row r="1099">
          <cell r="E1099" t="str">
            <v>00852681</v>
          </cell>
          <cell r="G1099">
            <v>2</v>
          </cell>
        </row>
        <row r="1100">
          <cell r="E1100" t="str">
            <v>00853281</v>
          </cell>
          <cell r="G1100">
            <v>63</v>
          </cell>
        </row>
        <row r="1101">
          <cell r="E1101" t="str">
            <v>00852413</v>
          </cell>
          <cell r="G1101">
            <v>1</v>
          </cell>
        </row>
        <row r="1102">
          <cell r="E1102" t="str">
            <v>00611470</v>
          </cell>
          <cell r="G1102">
            <v>10</v>
          </cell>
        </row>
        <row r="1103">
          <cell r="E1103" t="str">
            <v>00611463</v>
          </cell>
          <cell r="G1103">
            <v>1</v>
          </cell>
        </row>
        <row r="1104">
          <cell r="E1104" t="str">
            <v>00680878</v>
          </cell>
          <cell r="G1104">
            <v>11</v>
          </cell>
        </row>
        <row r="1105">
          <cell r="E1105" t="str">
            <v>00424078</v>
          </cell>
          <cell r="G1105">
            <v>42</v>
          </cell>
        </row>
        <row r="1106">
          <cell r="E1106" t="str">
            <v>00424079</v>
          </cell>
          <cell r="G1106">
            <v>8</v>
          </cell>
        </row>
        <row r="1107">
          <cell r="E1107" t="str">
            <v>00423530</v>
          </cell>
          <cell r="G1107">
            <v>9</v>
          </cell>
        </row>
        <row r="1108">
          <cell r="E1108" t="str">
            <v>00852554</v>
          </cell>
          <cell r="G1108">
            <v>26</v>
          </cell>
        </row>
        <row r="1109">
          <cell r="E1109" t="str">
            <v>00611899</v>
          </cell>
          <cell r="G1109">
            <v>1</v>
          </cell>
        </row>
        <row r="1110">
          <cell r="E1110" t="str">
            <v>00853155</v>
          </cell>
          <cell r="G1110">
            <v>6</v>
          </cell>
        </row>
        <row r="1111">
          <cell r="E1111" t="str">
            <v>00852706</v>
          </cell>
          <cell r="G1111">
            <v>13</v>
          </cell>
        </row>
        <row r="1112">
          <cell r="E1112" t="str">
            <v>00852930</v>
          </cell>
          <cell r="G1112">
            <v>1</v>
          </cell>
        </row>
        <row r="1113">
          <cell r="E1113" t="str">
            <v>00852924</v>
          </cell>
          <cell r="G1113">
            <v>9</v>
          </cell>
        </row>
        <row r="1114">
          <cell r="E1114" t="str">
            <v>00680879</v>
          </cell>
          <cell r="G1114">
            <v>6</v>
          </cell>
        </row>
        <row r="1115">
          <cell r="E1115" t="str">
            <v>00611483</v>
          </cell>
          <cell r="G1115">
            <v>2</v>
          </cell>
        </row>
        <row r="1116">
          <cell r="E1116" t="str">
            <v>00611484</v>
          </cell>
          <cell r="G1116">
            <v>14</v>
          </cell>
        </row>
        <row r="1117">
          <cell r="E1117" t="str">
            <v>00611485</v>
          </cell>
          <cell r="G1117">
            <v>31</v>
          </cell>
        </row>
        <row r="1118">
          <cell r="E1118" t="str">
            <v>00611486</v>
          </cell>
          <cell r="G1118">
            <v>7</v>
          </cell>
        </row>
        <row r="1119">
          <cell r="E1119" t="str">
            <v>00611458</v>
          </cell>
          <cell r="G1119">
            <v>17</v>
          </cell>
        </row>
        <row r="1120">
          <cell r="E1120" t="str">
            <v>00681447</v>
          </cell>
          <cell r="G1120">
            <v>1</v>
          </cell>
        </row>
        <row r="1121">
          <cell r="E1121" t="str">
            <v>00852420</v>
          </cell>
          <cell r="G1121">
            <v>4</v>
          </cell>
        </row>
        <row r="1122">
          <cell r="E1122" t="str">
            <v>00852709</v>
          </cell>
          <cell r="G1122">
            <v>9</v>
          </cell>
        </row>
        <row r="1123">
          <cell r="E1123" t="str">
            <v>00853254</v>
          </cell>
          <cell r="G1123">
            <v>5</v>
          </cell>
        </row>
        <row r="1124">
          <cell r="E1124" t="str">
            <v>00424081</v>
          </cell>
          <cell r="G1124">
            <v>2</v>
          </cell>
        </row>
        <row r="1125">
          <cell r="E1125" t="str">
            <v>00424080</v>
          </cell>
          <cell r="G1125">
            <v>38</v>
          </cell>
        </row>
        <row r="1126">
          <cell r="E1126" t="str">
            <v>00680977</v>
          </cell>
          <cell r="G1126">
            <v>24</v>
          </cell>
        </row>
        <row r="1127">
          <cell r="E1127" t="str">
            <v>00424077</v>
          </cell>
          <cell r="G1127">
            <v>55</v>
          </cell>
        </row>
        <row r="1128">
          <cell r="E1128" t="str">
            <v>00680877</v>
          </cell>
          <cell r="G1128">
            <v>73</v>
          </cell>
        </row>
        <row r="1129">
          <cell r="E1129" t="str">
            <v>00424056</v>
          </cell>
          <cell r="G1129">
            <v>23</v>
          </cell>
        </row>
        <row r="1130">
          <cell r="E1130" t="str">
            <v>00853115</v>
          </cell>
          <cell r="G1130">
            <v>8</v>
          </cell>
        </row>
        <row r="1131">
          <cell r="E1131" t="str">
            <v>00614872</v>
          </cell>
          <cell r="G1131">
            <v>12</v>
          </cell>
        </row>
        <row r="1132">
          <cell r="E1132" t="str">
            <v>00723311</v>
          </cell>
          <cell r="G1132">
            <v>3</v>
          </cell>
        </row>
        <row r="1133">
          <cell r="E1133" t="str">
            <v>00733019</v>
          </cell>
          <cell r="G1133">
            <v>20</v>
          </cell>
        </row>
        <row r="1134">
          <cell r="E1134" t="str">
            <v>00717218</v>
          </cell>
          <cell r="G1134">
            <v>4</v>
          </cell>
        </row>
        <row r="1135">
          <cell r="E1135" t="str">
            <v>00680097</v>
          </cell>
          <cell r="G1135">
            <v>2</v>
          </cell>
        </row>
        <row r="1136">
          <cell r="E1136" t="str">
            <v>00647157</v>
          </cell>
          <cell r="G1136">
            <v>1</v>
          </cell>
        </row>
        <row r="1137">
          <cell r="E1137" t="str">
            <v>00647194</v>
          </cell>
          <cell r="G1137">
            <v>2</v>
          </cell>
        </row>
        <row r="1138">
          <cell r="E1138" t="str">
            <v>00647208</v>
          </cell>
          <cell r="G1138">
            <v>2</v>
          </cell>
        </row>
        <row r="1139">
          <cell r="E1139" t="str">
            <v>00647211</v>
          </cell>
          <cell r="G1139">
            <v>1</v>
          </cell>
        </row>
        <row r="1140">
          <cell r="E1140" t="str">
            <v>00647184</v>
          </cell>
          <cell r="G1140">
            <v>2</v>
          </cell>
        </row>
        <row r="1141">
          <cell r="E1141" t="str">
            <v>00647162</v>
          </cell>
          <cell r="G1141">
            <v>1</v>
          </cell>
        </row>
        <row r="1142">
          <cell r="E1142" t="str">
            <v>00647164</v>
          </cell>
          <cell r="G1142">
            <v>1</v>
          </cell>
        </row>
        <row r="1143">
          <cell r="E1143" t="str">
            <v>00647165</v>
          </cell>
          <cell r="G1143">
            <v>1</v>
          </cell>
        </row>
        <row r="1144">
          <cell r="E1144" t="str">
            <v>00610502</v>
          </cell>
          <cell r="G1144">
            <v>20</v>
          </cell>
        </row>
        <row r="1145">
          <cell r="E1145" t="str">
            <v>00853017</v>
          </cell>
          <cell r="G1145">
            <v>2</v>
          </cell>
        </row>
        <row r="1146">
          <cell r="E1146" t="str">
            <v>00608340</v>
          </cell>
          <cell r="G1146">
            <v>10</v>
          </cell>
        </row>
        <row r="1147">
          <cell r="E1147" t="str">
            <v>00718824</v>
          </cell>
          <cell r="G1147">
            <v>3</v>
          </cell>
        </row>
        <row r="1148">
          <cell r="E1148" t="str">
            <v>00718751</v>
          </cell>
          <cell r="G1148">
            <v>0</v>
          </cell>
        </row>
        <row r="1149">
          <cell r="E1149" t="str">
            <v>00718885</v>
          </cell>
          <cell r="G1149">
            <v>32</v>
          </cell>
        </row>
        <row r="1150">
          <cell r="E1150" t="str">
            <v>00608353</v>
          </cell>
          <cell r="G1150">
            <v>17</v>
          </cell>
        </row>
        <row r="1151">
          <cell r="E1151" t="str">
            <v>00732131</v>
          </cell>
          <cell r="G1151">
            <v>2</v>
          </cell>
        </row>
        <row r="1152">
          <cell r="E1152" t="str">
            <v>00639830</v>
          </cell>
          <cell r="G1152">
            <v>12</v>
          </cell>
        </row>
        <row r="1153">
          <cell r="E1153" t="str">
            <v>00633322</v>
          </cell>
          <cell r="G1153">
            <v>7</v>
          </cell>
        </row>
        <row r="1154">
          <cell r="E1154" t="str">
            <v>00853151</v>
          </cell>
          <cell r="G1154">
            <v>4</v>
          </cell>
        </row>
        <row r="1155">
          <cell r="E1155" t="str">
            <v>00739390</v>
          </cell>
          <cell r="G1155">
            <v>5</v>
          </cell>
        </row>
        <row r="1156">
          <cell r="E1156" t="str">
            <v>00739391</v>
          </cell>
          <cell r="G1156">
            <v>3</v>
          </cell>
        </row>
        <row r="1157">
          <cell r="E1157" t="str">
            <v>00718914</v>
          </cell>
          <cell r="G1157">
            <v>3</v>
          </cell>
        </row>
        <row r="1158">
          <cell r="E1158" t="str">
            <v>00724421</v>
          </cell>
          <cell r="G1158">
            <v>1</v>
          </cell>
        </row>
        <row r="1159">
          <cell r="E1159" t="str">
            <v>00852400</v>
          </cell>
          <cell r="G1159">
            <v>7</v>
          </cell>
        </row>
        <row r="1160">
          <cell r="E1160" t="str">
            <v>00852401</v>
          </cell>
          <cell r="G1160">
            <v>6</v>
          </cell>
        </row>
        <row r="1161">
          <cell r="E1161" t="str">
            <v>00852402</v>
          </cell>
          <cell r="G1161">
            <v>7</v>
          </cell>
        </row>
        <row r="1162">
          <cell r="E1162" t="str">
            <v>00727241</v>
          </cell>
          <cell r="G1162">
            <v>4</v>
          </cell>
        </row>
        <row r="1163">
          <cell r="E1163" t="str">
            <v>00718900</v>
          </cell>
          <cell r="G1163">
            <v>6</v>
          </cell>
        </row>
        <row r="1164">
          <cell r="E1164" t="str">
            <v>00718776</v>
          </cell>
          <cell r="G1164">
            <v>5</v>
          </cell>
        </row>
        <row r="1165">
          <cell r="E1165" t="str">
            <v>00718685</v>
          </cell>
          <cell r="G1165">
            <v>14</v>
          </cell>
        </row>
        <row r="1166">
          <cell r="E1166" t="str">
            <v>00738677</v>
          </cell>
          <cell r="G1166">
            <v>14</v>
          </cell>
        </row>
        <row r="1167">
          <cell r="E1167" t="str">
            <v>00718739</v>
          </cell>
          <cell r="G1167">
            <v>2</v>
          </cell>
        </row>
        <row r="1168">
          <cell r="E1168" t="str">
            <v>00680366</v>
          </cell>
          <cell r="G1168">
            <v>3</v>
          </cell>
        </row>
        <row r="1169">
          <cell r="E1169" t="str">
            <v>00647278</v>
          </cell>
          <cell r="G1169">
            <v>6</v>
          </cell>
        </row>
        <row r="1170">
          <cell r="E1170" t="str">
            <v>00611067</v>
          </cell>
          <cell r="G1170">
            <v>3</v>
          </cell>
        </row>
        <row r="1171">
          <cell r="E1171" t="str">
            <v>00680869</v>
          </cell>
          <cell r="G1171">
            <v>4</v>
          </cell>
        </row>
        <row r="1172">
          <cell r="E1172" t="str">
            <v>00140801</v>
          </cell>
          <cell r="G1172">
            <v>9</v>
          </cell>
        </row>
        <row r="1173">
          <cell r="E1173" t="str">
            <v>00144495</v>
          </cell>
          <cell r="G1173">
            <v>1</v>
          </cell>
        </row>
        <row r="1174">
          <cell r="E1174" t="str">
            <v>00142013</v>
          </cell>
          <cell r="G1174">
            <v>1</v>
          </cell>
        </row>
        <row r="1175">
          <cell r="E1175" t="str">
            <v>00149923</v>
          </cell>
          <cell r="G1175">
            <v>9</v>
          </cell>
        </row>
        <row r="1176">
          <cell r="E1176" t="str">
            <v>00137271</v>
          </cell>
          <cell r="G1176">
            <v>2</v>
          </cell>
        </row>
        <row r="1177">
          <cell r="E1177" t="str">
            <v>00238758</v>
          </cell>
          <cell r="G1177">
            <v>2</v>
          </cell>
        </row>
        <row r="1178">
          <cell r="E1178" t="str">
            <v>00218768</v>
          </cell>
          <cell r="G1178">
            <v>4</v>
          </cell>
        </row>
        <row r="1179">
          <cell r="E1179" t="str">
            <v>00723462</v>
          </cell>
          <cell r="G1179">
            <v>13</v>
          </cell>
        </row>
        <row r="1180">
          <cell r="E1180" t="str">
            <v>00723461</v>
          </cell>
          <cell r="G1180">
            <v>31</v>
          </cell>
        </row>
        <row r="1181">
          <cell r="E1181" t="str">
            <v>00727843</v>
          </cell>
          <cell r="G1181">
            <v>17</v>
          </cell>
        </row>
        <row r="1182">
          <cell r="E1182" t="str">
            <v>00723477</v>
          </cell>
          <cell r="G1182">
            <v>4</v>
          </cell>
        </row>
        <row r="1183">
          <cell r="E1183" t="str">
            <v>00732918</v>
          </cell>
          <cell r="G1183">
            <v>9</v>
          </cell>
        </row>
        <row r="1184">
          <cell r="E1184" t="str">
            <v>00121186</v>
          </cell>
          <cell r="G1184">
            <v>1</v>
          </cell>
        </row>
        <row r="1185">
          <cell r="E1185" t="str">
            <v>00615700</v>
          </cell>
          <cell r="G1185">
            <v>0</v>
          </cell>
        </row>
        <row r="1186">
          <cell r="E1186" t="str">
            <v>00618091</v>
          </cell>
          <cell r="G1186">
            <v>1</v>
          </cell>
        </row>
        <row r="1187">
          <cell r="E1187" t="str">
            <v>00738131</v>
          </cell>
          <cell r="G1187">
            <v>1</v>
          </cell>
        </row>
        <row r="1188">
          <cell r="E1188" t="str">
            <v>00681088</v>
          </cell>
          <cell r="G1188">
            <v>5</v>
          </cell>
        </row>
        <row r="1189">
          <cell r="E1189" t="str">
            <v>00680178</v>
          </cell>
          <cell r="G1189">
            <v>3</v>
          </cell>
        </row>
        <row r="1190">
          <cell r="E1190" t="str">
            <v>00680185</v>
          </cell>
          <cell r="G1190">
            <v>2</v>
          </cell>
        </row>
        <row r="1191">
          <cell r="E1191" t="str">
            <v>00736490</v>
          </cell>
          <cell r="G1191">
            <v>20</v>
          </cell>
        </row>
        <row r="1192">
          <cell r="E1192" t="str">
            <v>00954101</v>
          </cell>
          <cell r="G1192">
            <v>17</v>
          </cell>
        </row>
        <row r="1193">
          <cell r="E1193" t="str">
            <v>00737281</v>
          </cell>
          <cell r="G1193">
            <v>13</v>
          </cell>
        </row>
        <row r="1194">
          <cell r="E1194" t="str">
            <v>00736489</v>
          </cell>
          <cell r="G1194">
            <v>10</v>
          </cell>
        </row>
        <row r="1195">
          <cell r="E1195" t="str">
            <v>00681207</v>
          </cell>
          <cell r="G1195">
            <v>6</v>
          </cell>
        </row>
        <row r="1196">
          <cell r="E1196" t="str">
            <v>00618235</v>
          </cell>
          <cell r="G1196">
            <v>5</v>
          </cell>
        </row>
        <row r="1197">
          <cell r="E1197" t="str">
            <v>00611157</v>
          </cell>
          <cell r="G1197">
            <v>1</v>
          </cell>
        </row>
        <row r="1198">
          <cell r="E1198" t="str">
            <v>00618216</v>
          </cell>
          <cell r="G1198">
            <v>3</v>
          </cell>
        </row>
        <row r="1199">
          <cell r="E1199" t="str">
            <v>00618242</v>
          </cell>
          <cell r="G1199">
            <v>4</v>
          </cell>
        </row>
        <row r="1200">
          <cell r="E1200" t="str">
            <v>00618236</v>
          </cell>
          <cell r="G1200">
            <v>1</v>
          </cell>
        </row>
        <row r="1201">
          <cell r="E1201" t="str">
            <v>00618237</v>
          </cell>
          <cell r="G1201">
            <v>2</v>
          </cell>
        </row>
        <row r="1202">
          <cell r="E1202" t="str">
            <v>00618238</v>
          </cell>
          <cell r="G1202">
            <v>2</v>
          </cell>
        </row>
        <row r="1203">
          <cell r="E1203" t="str">
            <v>00618208</v>
          </cell>
          <cell r="G1203">
            <v>4</v>
          </cell>
        </row>
        <row r="1204">
          <cell r="E1204" t="str">
            <v>00731237</v>
          </cell>
          <cell r="G1204">
            <v>1</v>
          </cell>
        </row>
        <row r="1205">
          <cell r="E1205" t="str">
            <v>00725855</v>
          </cell>
          <cell r="G1205">
            <v>1</v>
          </cell>
        </row>
        <row r="1206">
          <cell r="E1206" t="str">
            <v>00728222</v>
          </cell>
          <cell r="G1206">
            <v>1</v>
          </cell>
        </row>
        <row r="1207">
          <cell r="E1207" t="str">
            <v>00728226</v>
          </cell>
          <cell r="G1207">
            <v>2</v>
          </cell>
        </row>
        <row r="1208">
          <cell r="E1208" t="str">
            <v>00731279</v>
          </cell>
          <cell r="G1208">
            <v>15</v>
          </cell>
        </row>
        <row r="1209">
          <cell r="E1209" t="str">
            <v>00734787</v>
          </cell>
          <cell r="G1209">
            <v>8</v>
          </cell>
        </row>
        <row r="1210">
          <cell r="E1210" t="str">
            <v>00734785</v>
          </cell>
          <cell r="G1210">
            <v>2</v>
          </cell>
        </row>
        <row r="1211">
          <cell r="E1211" t="str">
            <v>00728165</v>
          </cell>
          <cell r="G1211">
            <v>8</v>
          </cell>
        </row>
        <row r="1212">
          <cell r="E1212" t="str">
            <v>00610769</v>
          </cell>
          <cell r="G1212">
            <v>2</v>
          </cell>
        </row>
        <row r="1213">
          <cell r="E1213" t="str">
            <v>00618247</v>
          </cell>
          <cell r="G1213">
            <v>2</v>
          </cell>
        </row>
        <row r="1214">
          <cell r="E1214" t="str">
            <v>00852865</v>
          </cell>
          <cell r="G1214">
            <v>1</v>
          </cell>
        </row>
        <row r="1215">
          <cell r="E1215" t="str">
            <v>00852864</v>
          </cell>
          <cell r="G1215">
            <v>1</v>
          </cell>
        </row>
        <row r="1216">
          <cell r="E1216" t="str">
            <v>00618246</v>
          </cell>
          <cell r="G1216">
            <v>2</v>
          </cell>
        </row>
        <row r="1217">
          <cell r="E1217" t="str">
            <v>00737881</v>
          </cell>
          <cell r="G1217">
            <v>2</v>
          </cell>
        </row>
        <row r="1218">
          <cell r="E1218" t="str">
            <v>00738727</v>
          </cell>
          <cell r="G1218">
            <v>2</v>
          </cell>
        </row>
        <row r="1219">
          <cell r="E1219" t="str">
            <v>00739277</v>
          </cell>
          <cell r="G1219">
            <v>1</v>
          </cell>
        </row>
        <row r="1220">
          <cell r="E1220" t="str">
            <v>00647073</v>
          </cell>
          <cell r="G1220">
            <v>1</v>
          </cell>
        </row>
        <row r="1221">
          <cell r="E1221" t="str">
            <v>00730815</v>
          </cell>
          <cell r="G1221">
            <v>3</v>
          </cell>
        </row>
        <row r="1222">
          <cell r="E1222" t="str">
            <v>00631683</v>
          </cell>
          <cell r="G1222">
            <v>3</v>
          </cell>
        </row>
        <row r="1223">
          <cell r="E1223" t="str">
            <v>00733042</v>
          </cell>
          <cell r="G1223">
            <v>2</v>
          </cell>
        </row>
        <row r="1224">
          <cell r="E1224" t="str">
            <v>00304874</v>
          </cell>
          <cell r="F1224">
            <v>-1</v>
          </cell>
          <cell r="G1224">
            <v>2</v>
          </cell>
        </row>
        <row r="1225">
          <cell r="E1225" t="str">
            <v>00423497</v>
          </cell>
          <cell r="F1225">
            <v>-1</v>
          </cell>
          <cell r="G1225">
            <v>-1</v>
          </cell>
        </row>
        <row r="1226">
          <cell r="E1226" t="str">
            <v>00306912</v>
          </cell>
          <cell r="F1226">
            <v>-1</v>
          </cell>
          <cell r="G1226">
            <v>-2</v>
          </cell>
        </row>
        <row r="1227">
          <cell r="E1227" t="str">
            <v>00325193</v>
          </cell>
          <cell r="F1227">
            <v>-1</v>
          </cell>
          <cell r="G1227">
            <v>-2</v>
          </cell>
        </row>
        <row r="1228">
          <cell r="E1228" t="str">
            <v>00375150</v>
          </cell>
          <cell r="F1228">
            <v>-1</v>
          </cell>
          <cell r="G1228">
            <v>1</v>
          </cell>
        </row>
        <row r="1229">
          <cell r="E1229" t="str">
            <v>00306915</v>
          </cell>
          <cell r="F1229">
            <v>-1</v>
          </cell>
          <cell r="G1229">
            <v>-3</v>
          </cell>
        </row>
        <row r="1230">
          <cell r="E1230" t="str">
            <v>00304926</v>
          </cell>
          <cell r="F1230">
            <v>-1</v>
          </cell>
          <cell r="G1230">
            <v>-5</v>
          </cell>
        </row>
        <row r="1231">
          <cell r="E1231" t="str">
            <v>00304900</v>
          </cell>
          <cell r="F1231">
            <v>-1</v>
          </cell>
          <cell r="G1231">
            <v>-4</v>
          </cell>
        </row>
        <row r="1232">
          <cell r="E1232" t="str">
            <v>00304903</v>
          </cell>
          <cell r="F1232">
            <v>-1</v>
          </cell>
          <cell r="G1232">
            <v>-5</v>
          </cell>
        </row>
        <row r="1233">
          <cell r="E1233" t="str">
            <v>00307049</v>
          </cell>
          <cell r="F1233">
            <v>-1</v>
          </cell>
          <cell r="G1233">
            <v>1</v>
          </cell>
        </row>
        <row r="1234">
          <cell r="E1234" t="str">
            <v>00304908</v>
          </cell>
          <cell r="F1234">
            <v>-1</v>
          </cell>
          <cell r="G1234">
            <v>6</v>
          </cell>
        </row>
        <row r="1235">
          <cell r="E1235" t="str">
            <v>00308137</v>
          </cell>
          <cell r="F1235">
            <v>-1</v>
          </cell>
          <cell r="G1235">
            <v>10</v>
          </cell>
        </row>
        <row r="1236">
          <cell r="E1236" t="str">
            <v>00305955</v>
          </cell>
          <cell r="F1236">
            <v>-1</v>
          </cell>
          <cell r="G1236">
            <v>4</v>
          </cell>
        </row>
        <row r="1237">
          <cell r="E1237" t="str">
            <v>00681027</v>
          </cell>
          <cell r="F1237">
            <v>-1</v>
          </cell>
          <cell r="G1237">
            <v>1</v>
          </cell>
        </row>
        <row r="1238">
          <cell r="E1238" t="str">
            <v>00633576</v>
          </cell>
          <cell r="F1238">
            <v>-1</v>
          </cell>
          <cell r="G1238">
            <v>2</v>
          </cell>
        </row>
        <row r="1239">
          <cell r="E1239" t="str">
            <v>00611487</v>
          </cell>
          <cell r="F1239">
            <v>-1</v>
          </cell>
          <cell r="G1239">
            <v>3</v>
          </cell>
        </row>
        <row r="1240">
          <cell r="E1240" t="str">
            <v>00423215</v>
          </cell>
          <cell r="F1240">
            <v>-2</v>
          </cell>
          <cell r="G1240">
            <v>10</v>
          </cell>
        </row>
        <row r="1241">
          <cell r="E1241" t="str">
            <v>00423501</v>
          </cell>
          <cell r="F1241">
            <v>-2</v>
          </cell>
          <cell r="G1241">
            <v>-5</v>
          </cell>
        </row>
        <row r="1242">
          <cell r="E1242" t="str">
            <v>00307903</v>
          </cell>
          <cell r="F1242">
            <v>-2</v>
          </cell>
          <cell r="G1242">
            <v>-3</v>
          </cell>
        </row>
        <row r="1243">
          <cell r="E1243" t="str">
            <v>00423486</v>
          </cell>
          <cell r="F1243">
            <v>-2</v>
          </cell>
          <cell r="G1243">
            <v>-18</v>
          </cell>
        </row>
        <row r="1244">
          <cell r="E1244" t="str">
            <v>00304978</v>
          </cell>
          <cell r="F1244">
            <v>-2</v>
          </cell>
        </row>
        <row r="1245">
          <cell r="E1245" t="str">
            <v>00305965</v>
          </cell>
          <cell r="F1245">
            <v>-2</v>
          </cell>
          <cell r="G1245">
            <v>-3</v>
          </cell>
        </row>
        <row r="1246">
          <cell r="E1246" t="str">
            <v>00307902</v>
          </cell>
          <cell r="F1246">
            <v>-3</v>
          </cell>
          <cell r="G1246">
            <v>-5</v>
          </cell>
        </row>
        <row r="1247">
          <cell r="E1247" t="str">
            <v>00423481</v>
          </cell>
          <cell r="F1247">
            <v>-3</v>
          </cell>
        </row>
        <row r="1248">
          <cell r="E1248" t="str">
            <v>00423482</v>
          </cell>
          <cell r="F1248">
            <v>-3</v>
          </cell>
          <cell r="G1248">
            <v>0</v>
          </cell>
        </row>
        <row r="1249">
          <cell r="E1249" t="str">
            <v>00304974</v>
          </cell>
          <cell r="F1249">
            <v>-3</v>
          </cell>
          <cell r="G1249">
            <v>-1</v>
          </cell>
        </row>
        <row r="1250">
          <cell r="E1250" t="str">
            <v>00306916</v>
          </cell>
          <cell r="F1250">
            <v>-3</v>
          </cell>
          <cell r="G1250">
            <v>-1</v>
          </cell>
        </row>
        <row r="1251">
          <cell r="E1251" t="str">
            <v>00304937</v>
          </cell>
          <cell r="F1251">
            <v>-3</v>
          </cell>
          <cell r="G1251">
            <v>-2</v>
          </cell>
        </row>
        <row r="1252">
          <cell r="E1252" t="str">
            <v>00306472</v>
          </cell>
          <cell r="F1252">
            <v>-4</v>
          </cell>
          <cell r="G1252">
            <v>4</v>
          </cell>
        </row>
        <row r="1253">
          <cell r="E1253" t="str">
            <v>00423499</v>
          </cell>
          <cell r="F1253">
            <v>-4</v>
          </cell>
        </row>
        <row r="1254">
          <cell r="E1254" t="str">
            <v>00306914</v>
          </cell>
          <cell r="F1254">
            <v>-4</v>
          </cell>
          <cell r="G1254">
            <v>-3</v>
          </cell>
        </row>
        <row r="1255">
          <cell r="E1255" t="str">
            <v>00353758</v>
          </cell>
          <cell r="F1255">
            <v>-4</v>
          </cell>
          <cell r="G1255">
            <v>2</v>
          </cell>
        </row>
        <row r="1256">
          <cell r="E1256" t="str">
            <v>00304892</v>
          </cell>
          <cell r="F1256">
            <v>-5</v>
          </cell>
          <cell r="G1256">
            <v>-25</v>
          </cell>
        </row>
        <row r="1257">
          <cell r="E1257" t="str">
            <v>00304898</v>
          </cell>
          <cell r="F1257">
            <v>-5</v>
          </cell>
          <cell r="G1257">
            <v>-6</v>
          </cell>
        </row>
        <row r="1258">
          <cell r="E1258" t="str">
            <v>00304923</v>
          </cell>
          <cell r="F1258">
            <v>-6</v>
          </cell>
          <cell r="G1258">
            <v>-27</v>
          </cell>
        </row>
        <row r="1259">
          <cell r="E1259" t="str">
            <v>00304995</v>
          </cell>
          <cell r="F1259">
            <v>-6</v>
          </cell>
          <cell r="G1259">
            <v>-9</v>
          </cell>
        </row>
        <row r="1260">
          <cell r="E1260" t="str">
            <v>00304998</v>
          </cell>
          <cell r="F1260">
            <v>-7</v>
          </cell>
          <cell r="G1260">
            <v>-1</v>
          </cell>
        </row>
        <row r="1261">
          <cell r="E1261" t="str">
            <v>00423216</v>
          </cell>
          <cell r="F1261">
            <v>-9</v>
          </cell>
          <cell r="G1261">
            <v>-309</v>
          </cell>
        </row>
        <row r="1262">
          <cell r="E1262" t="str">
            <v>00304890</v>
          </cell>
          <cell r="F1262">
            <v>-9</v>
          </cell>
          <cell r="G1262">
            <v>-8</v>
          </cell>
        </row>
        <row r="1263">
          <cell r="E1263" t="str">
            <v>00305968</v>
          </cell>
          <cell r="F1263">
            <v>-9</v>
          </cell>
          <cell r="G1263">
            <v>14</v>
          </cell>
        </row>
        <row r="1264">
          <cell r="E1264" t="str">
            <v>00307050</v>
          </cell>
          <cell r="F1264">
            <v>-11</v>
          </cell>
          <cell r="G1264">
            <v>2</v>
          </cell>
        </row>
        <row r="1265">
          <cell r="E1265" t="str">
            <v>00306470</v>
          </cell>
          <cell r="F1265">
            <v>-19</v>
          </cell>
          <cell r="G1265">
            <v>-10</v>
          </cell>
        </row>
        <row r="1266">
          <cell r="E1266" t="str">
            <v>00441650</v>
          </cell>
          <cell r="F1266">
            <v>-22</v>
          </cell>
          <cell r="G1266">
            <v>-7</v>
          </cell>
        </row>
        <row r="1267">
          <cell r="E1267" t="str">
            <v>00304933</v>
          </cell>
          <cell r="F1267">
            <v>-33</v>
          </cell>
          <cell r="G1267">
            <v>-53</v>
          </cell>
        </row>
        <row r="1268">
          <cell r="E1268" t="str">
            <v>00304919</v>
          </cell>
          <cell r="F1268">
            <v>-38</v>
          </cell>
          <cell r="G1268">
            <v>-57</v>
          </cell>
        </row>
      </sheetData>
      <sheetData sheetId="2">
        <row r="1">
          <cell r="F1" t="str">
            <v>[Volume_in_Liters_YTD]</v>
          </cell>
          <cell r="G1" t="str">
            <v>[Volume_in_Liters_PY]</v>
          </cell>
        </row>
        <row r="2">
          <cell r="E2" t="str">
            <v>00301460</v>
          </cell>
          <cell r="F2">
            <v>9540</v>
          </cell>
          <cell r="G2">
            <v>29450</v>
          </cell>
        </row>
        <row r="3">
          <cell r="E3" t="str">
            <v>00852919</v>
          </cell>
          <cell r="F3">
            <v>3935</v>
          </cell>
          <cell r="G3">
            <v>15143</v>
          </cell>
        </row>
        <row r="4">
          <cell r="E4" t="str">
            <v>00307051</v>
          </cell>
          <cell r="F4">
            <v>3800</v>
          </cell>
          <cell r="G4">
            <v>7010</v>
          </cell>
        </row>
        <row r="5">
          <cell r="E5" t="str">
            <v>00424019</v>
          </cell>
          <cell r="F5">
            <v>3300</v>
          </cell>
          <cell r="G5">
            <v>2115</v>
          </cell>
        </row>
        <row r="6">
          <cell r="E6" t="str">
            <v>00305051</v>
          </cell>
          <cell r="F6">
            <v>3075</v>
          </cell>
          <cell r="G6">
            <v>7900</v>
          </cell>
        </row>
        <row r="7">
          <cell r="E7" t="str">
            <v>00305040</v>
          </cell>
          <cell r="F7">
            <v>3055</v>
          </cell>
          <cell r="G7">
            <v>11750</v>
          </cell>
        </row>
        <row r="8">
          <cell r="E8" t="str">
            <v>00301452</v>
          </cell>
          <cell r="F8">
            <v>3040</v>
          </cell>
          <cell r="G8">
            <v>10690</v>
          </cell>
        </row>
        <row r="9">
          <cell r="E9" t="str">
            <v>00386447</v>
          </cell>
          <cell r="F9">
            <v>2980</v>
          </cell>
          <cell r="G9">
            <v>3610</v>
          </cell>
        </row>
        <row r="10">
          <cell r="E10" t="str">
            <v>00305042</v>
          </cell>
          <cell r="F10">
            <v>2970</v>
          </cell>
          <cell r="G10">
            <v>20875</v>
          </cell>
        </row>
        <row r="11">
          <cell r="E11" t="str">
            <v>00423219</v>
          </cell>
          <cell r="F11">
            <v>2380</v>
          </cell>
          <cell r="G11">
            <v>5750</v>
          </cell>
        </row>
        <row r="12">
          <cell r="E12" t="str">
            <v>00852916</v>
          </cell>
          <cell r="F12">
            <v>2358</v>
          </cell>
          <cell r="G12">
            <v>9000</v>
          </cell>
        </row>
        <row r="13">
          <cell r="E13" t="str">
            <v>00301463</v>
          </cell>
          <cell r="F13">
            <v>2245</v>
          </cell>
          <cell r="G13">
            <v>3660</v>
          </cell>
        </row>
        <row r="14">
          <cell r="E14" t="str">
            <v>00305034</v>
          </cell>
          <cell r="F14">
            <v>2235</v>
          </cell>
          <cell r="G14">
            <v>9000</v>
          </cell>
        </row>
        <row r="15">
          <cell r="E15" t="str">
            <v>00307047</v>
          </cell>
          <cell r="F15">
            <v>2235</v>
          </cell>
          <cell r="G15">
            <v>3740</v>
          </cell>
        </row>
        <row r="16">
          <cell r="E16" t="str">
            <v>00301857</v>
          </cell>
          <cell r="F16">
            <v>2185</v>
          </cell>
          <cell r="G16">
            <v>5585</v>
          </cell>
        </row>
        <row r="17">
          <cell r="E17" t="str">
            <v>00301546</v>
          </cell>
          <cell r="F17">
            <v>1815</v>
          </cell>
          <cell r="G17">
            <v>6375</v>
          </cell>
        </row>
        <row r="18">
          <cell r="E18" t="str">
            <v>00423529</v>
          </cell>
          <cell r="F18">
            <v>1773.8399999999983</v>
          </cell>
          <cell r="G18">
            <v>2686.6000000000276</v>
          </cell>
        </row>
        <row r="19">
          <cell r="E19" t="str">
            <v>00306896</v>
          </cell>
          <cell r="F19">
            <v>1690</v>
          </cell>
          <cell r="G19">
            <v>3805</v>
          </cell>
        </row>
        <row r="20">
          <cell r="E20" t="str">
            <v>00423213</v>
          </cell>
          <cell r="F20">
            <v>1610</v>
          </cell>
          <cell r="G20">
            <v>9590</v>
          </cell>
        </row>
        <row r="21">
          <cell r="E21" t="str">
            <v>00423493</v>
          </cell>
          <cell r="F21">
            <v>1510</v>
          </cell>
          <cell r="G21">
            <v>3910</v>
          </cell>
        </row>
        <row r="22">
          <cell r="E22" t="str">
            <v>00611476</v>
          </cell>
          <cell r="F22">
            <v>1453</v>
          </cell>
          <cell r="G22">
            <v>5644</v>
          </cell>
        </row>
        <row r="23">
          <cell r="E23" t="str">
            <v>00301863</v>
          </cell>
          <cell r="F23">
            <v>1440</v>
          </cell>
          <cell r="G23">
            <v>1980</v>
          </cell>
        </row>
        <row r="24">
          <cell r="E24" t="str">
            <v>00423218</v>
          </cell>
          <cell r="F24">
            <v>1365</v>
          </cell>
          <cell r="G24">
            <v>11040</v>
          </cell>
        </row>
        <row r="25">
          <cell r="E25" t="str">
            <v>00303395</v>
          </cell>
          <cell r="F25">
            <v>1360</v>
          </cell>
          <cell r="G25">
            <v>15430</v>
          </cell>
        </row>
        <row r="26">
          <cell r="E26" t="str">
            <v>00306361</v>
          </cell>
          <cell r="F26">
            <v>1300</v>
          </cell>
          <cell r="G26">
            <v>1760</v>
          </cell>
        </row>
        <row r="27">
          <cell r="E27" t="str">
            <v>00305033</v>
          </cell>
          <cell r="F27">
            <v>1290</v>
          </cell>
          <cell r="G27">
            <v>3390</v>
          </cell>
        </row>
        <row r="28">
          <cell r="E28" t="str">
            <v>00423465</v>
          </cell>
          <cell r="F28">
            <v>1050</v>
          </cell>
          <cell r="G28">
            <v>3935</v>
          </cell>
        </row>
        <row r="29">
          <cell r="E29" t="str">
            <v>00853079</v>
          </cell>
          <cell r="F29">
            <v>992</v>
          </cell>
          <cell r="G29">
            <v>3401</v>
          </cell>
        </row>
        <row r="30">
          <cell r="E30" t="str">
            <v>00305958</v>
          </cell>
          <cell r="F30">
            <v>955</v>
          </cell>
          <cell r="G30">
            <v>1970</v>
          </cell>
        </row>
        <row r="31">
          <cell r="E31" t="str">
            <v>00375147</v>
          </cell>
          <cell r="F31">
            <v>930</v>
          </cell>
          <cell r="G31">
            <v>2235</v>
          </cell>
        </row>
        <row r="32">
          <cell r="E32" t="str">
            <v>00852424</v>
          </cell>
          <cell r="F32">
            <v>920</v>
          </cell>
          <cell r="G32">
            <v>2020</v>
          </cell>
        </row>
        <row r="33">
          <cell r="E33" t="str">
            <v>00852478</v>
          </cell>
          <cell r="F33">
            <v>865</v>
          </cell>
          <cell r="G33">
            <v>3203</v>
          </cell>
        </row>
        <row r="34">
          <cell r="E34" t="str">
            <v>00305956</v>
          </cell>
          <cell r="F34">
            <v>845</v>
          </cell>
          <cell r="G34">
            <v>3995</v>
          </cell>
        </row>
        <row r="35">
          <cell r="E35" t="str">
            <v>00732199</v>
          </cell>
          <cell r="F35">
            <v>799</v>
          </cell>
          <cell r="G35">
            <v>5916</v>
          </cell>
        </row>
        <row r="36">
          <cell r="E36" t="str">
            <v>00423490</v>
          </cell>
          <cell r="F36">
            <v>760</v>
          </cell>
          <cell r="G36">
            <v>2600</v>
          </cell>
        </row>
        <row r="37">
          <cell r="E37" t="str">
            <v>00718464</v>
          </cell>
          <cell r="F37">
            <v>730</v>
          </cell>
          <cell r="G37">
            <v>4550</v>
          </cell>
        </row>
        <row r="38">
          <cell r="E38" t="str">
            <v>00306471</v>
          </cell>
          <cell r="F38">
            <v>730</v>
          </cell>
          <cell r="G38">
            <v>3150</v>
          </cell>
        </row>
        <row r="39">
          <cell r="E39" t="str">
            <v>00852923</v>
          </cell>
          <cell r="F39">
            <v>721</v>
          </cell>
          <cell r="G39">
            <v>1289</v>
          </cell>
        </row>
        <row r="40">
          <cell r="E40" t="str">
            <v>00301751</v>
          </cell>
          <cell r="F40">
            <v>720</v>
          </cell>
          <cell r="G40">
            <v>1275</v>
          </cell>
        </row>
        <row r="41">
          <cell r="E41" t="str">
            <v>00301634</v>
          </cell>
          <cell r="F41">
            <v>670</v>
          </cell>
          <cell r="G41">
            <v>780</v>
          </cell>
        </row>
        <row r="42">
          <cell r="E42" t="str">
            <v>00309019</v>
          </cell>
          <cell r="F42">
            <v>660</v>
          </cell>
          <cell r="G42">
            <v>2265</v>
          </cell>
        </row>
        <row r="43">
          <cell r="E43" t="str">
            <v>00681120</v>
          </cell>
          <cell r="F43">
            <v>650</v>
          </cell>
          <cell r="G43">
            <v>400</v>
          </cell>
        </row>
        <row r="44">
          <cell r="E44" t="str">
            <v>00423212</v>
          </cell>
          <cell r="F44">
            <v>640</v>
          </cell>
          <cell r="G44">
            <v>8120</v>
          </cell>
        </row>
        <row r="45">
          <cell r="E45" t="str">
            <v>00301542</v>
          </cell>
          <cell r="F45">
            <v>640</v>
          </cell>
          <cell r="G45">
            <v>4200</v>
          </cell>
        </row>
        <row r="46">
          <cell r="E46" t="str">
            <v>00852426</v>
          </cell>
          <cell r="F46">
            <v>624</v>
          </cell>
          <cell r="G46">
            <v>1156</v>
          </cell>
        </row>
        <row r="47">
          <cell r="E47" t="str">
            <v>00718417</v>
          </cell>
          <cell r="F47">
            <v>600</v>
          </cell>
          <cell r="G47">
            <v>4137.5</v>
          </cell>
        </row>
        <row r="48">
          <cell r="E48" t="str">
            <v>00302797</v>
          </cell>
          <cell r="F48">
            <v>600</v>
          </cell>
          <cell r="G48">
            <v>856</v>
          </cell>
        </row>
        <row r="49">
          <cell r="E49" t="str">
            <v>00307045</v>
          </cell>
          <cell r="F49">
            <v>585</v>
          </cell>
          <cell r="G49">
            <v>370</v>
          </cell>
        </row>
        <row r="50">
          <cell r="E50" t="str">
            <v>00301722</v>
          </cell>
          <cell r="F50">
            <v>570</v>
          </cell>
          <cell r="G50">
            <v>200</v>
          </cell>
        </row>
        <row r="51">
          <cell r="E51" t="str">
            <v>00301665</v>
          </cell>
          <cell r="F51">
            <v>545</v>
          </cell>
          <cell r="G51">
            <v>2315</v>
          </cell>
        </row>
        <row r="52">
          <cell r="E52" t="str">
            <v>00301487</v>
          </cell>
          <cell r="F52">
            <v>545</v>
          </cell>
          <cell r="G52">
            <v>105</v>
          </cell>
        </row>
        <row r="53">
          <cell r="E53" t="str">
            <v>00307667</v>
          </cell>
          <cell r="F53">
            <v>510</v>
          </cell>
          <cell r="G53">
            <v>1195</v>
          </cell>
        </row>
        <row r="54">
          <cell r="E54" t="str">
            <v>00421703</v>
          </cell>
          <cell r="F54">
            <v>470</v>
          </cell>
          <cell r="G54">
            <v>1430</v>
          </cell>
        </row>
        <row r="55">
          <cell r="E55" t="str">
            <v>00301856</v>
          </cell>
          <cell r="F55">
            <v>460</v>
          </cell>
          <cell r="G55">
            <v>1465</v>
          </cell>
        </row>
        <row r="56">
          <cell r="E56" t="str">
            <v>00728209</v>
          </cell>
          <cell r="F56">
            <v>460</v>
          </cell>
          <cell r="G56">
            <v>960</v>
          </cell>
        </row>
        <row r="57">
          <cell r="E57" t="str">
            <v>00423204</v>
          </cell>
          <cell r="F57">
            <v>430</v>
          </cell>
          <cell r="G57">
            <v>2165</v>
          </cell>
        </row>
        <row r="58">
          <cell r="E58" t="str">
            <v>00423615</v>
          </cell>
          <cell r="F58">
            <v>390</v>
          </cell>
          <cell r="G58">
            <v>215</v>
          </cell>
        </row>
        <row r="59">
          <cell r="E59" t="str">
            <v>00423492</v>
          </cell>
          <cell r="F59">
            <v>390</v>
          </cell>
          <cell r="G59">
            <v>735</v>
          </cell>
        </row>
        <row r="60">
          <cell r="E60" t="str">
            <v>00423745</v>
          </cell>
          <cell r="F60">
            <v>365</v>
          </cell>
          <cell r="G60">
            <v>765</v>
          </cell>
        </row>
        <row r="61">
          <cell r="E61" t="str">
            <v>00304323</v>
          </cell>
          <cell r="F61">
            <v>365</v>
          </cell>
          <cell r="G61">
            <v>310</v>
          </cell>
        </row>
        <row r="62">
          <cell r="E62" t="str">
            <v>00303392</v>
          </cell>
          <cell r="F62">
            <v>360</v>
          </cell>
          <cell r="G62">
            <v>980</v>
          </cell>
        </row>
        <row r="63">
          <cell r="E63" t="str">
            <v>00306894</v>
          </cell>
          <cell r="F63">
            <v>352.5</v>
          </cell>
          <cell r="G63">
            <v>752.5</v>
          </cell>
        </row>
        <row r="64">
          <cell r="E64" t="str">
            <v>00307046</v>
          </cell>
          <cell r="F64">
            <v>335</v>
          </cell>
          <cell r="G64">
            <v>1460</v>
          </cell>
        </row>
        <row r="65">
          <cell r="E65" t="str">
            <v>00852476</v>
          </cell>
          <cell r="F65">
            <v>335</v>
          </cell>
          <cell r="G65">
            <v>1536</v>
          </cell>
        </row>
        <row r="66">
          <cell r="E66" t="str">
            <v>00611475</v>
          </cell>
          <cell r="F66">
            <v>332</v>
          </cell>
          <cell r="G66">
            <v>1122</v>
          </cell>
        </row>
        <row r="67">
          <cell r="E67" t="str">
            <v>00615013</v>
          </cell>
          <cell r="F67">
            <v>313</v>
          </cell>
          <cell r="G67">
            <v>739</v>
          </cell>
        </row>
        <row r="68">
          <cell r="E68" t="str">
            <v>00726024</v>
          </cell>
          <cell r="F68">
            <v>300</v>
          </cell>
          <cell r="G68">
            <v>800</v>
          </cell>
        </row>
        <row r="69">
          <cell r="E69" t="str">
            <v>00301680</v>
          </cell>
          <cell r="F69">
            <v>300</v>
          </cell>
          <cell r="G69">
            <v>280</v>
          </cell>
        </row>
        <row r="70">
          <cell r="E70" t="str">
            <v>00852920</v>
          </cell>
          <cell r="F70">
            <v>290</v>
          </cell>
          <cell r="G70">
            <v>984</v>
          </cell>
        </row>
        <row r="71">
          <cell r="E71" t="str">
            <v>00852428</v>
          </cell>
          <cell r="F71">
            <v>284</v>
          </cell>
          <cell r="G71">
            <v>2100</v>
          </cell>
        </row>
        <row r="72">
          <cell r="E72" t="str">
            <v>00737919</v>
          </cell>
          <cell r="F72">
            <v>281</v>
          </cell>
          <cell r="G72">
            <v>1005</v>
          </cell>
        </row>
        <row r="73">
          <cell r="E73" t="str">
            <v>00423476</v>
          </cell>
          <cell r="F73">
            <v>280</v>
          </cell>
          <cell r="G73">
            <v>1735</v>
          </cell>
        </row>
        <row r="74">
          <cell r="E74" t="str">
            <v>00305043</v>
          </cell>
          <cell r="F74">
            <v>277.5</v>
          </cell>
          <cell r="G74">
            <v>587.5</v>
          </cell>
        </row>
        <row r="75">
          <cell r="E75" t="str">
            <v>00301725</v>
          </cell>
          <cell r="F75">
            <v>270</v>
          </cell>
          <cell r="G75">
            <v>165</v>
          </cell>
        </row>
        <row r="76">
          <cell r="E76" t="str">
            <v>00852474</v>
          </cell>
          <cell r="F76">
            <v>267</v>
          </cell>
          <cell r="G76">
            <v>804</v>
          </cell>
        </row>
        <row r="77">
          <cell r="E77" t="str">
            <v>00301755</v>
          </cell>
          <cell r="F77">
            <v>260</v>
          </cell>
          <cell r="G77">
            <v>125</v>
          </cell>
        </row>
        <row r="78">
          <cell r="E78" t="str">
            <v>00423505</v>
          </cell>
          <cell r="F78">
            <v>255</v>
          </cell>
          <cell r="G78">
            <v>1340</v>
          </cell>
        </row>
        <row r="79">
          <cell r="E79" t="str">
            <v>00723493</v>
          </cell>
          <cell r="F79">
            <v>250</v>
          </cell>
          <cell r="G79">
            <v>1087</v>
          </cell>
        </row>
        <row r="80">
          <cell r="E80" t="str">
            <v>00305066</v>
          </cell>
          <cell r="F80">
            <v>245</v>
          </cell>
          <cell r="G80">
            <v>925</v>
          </cell>
        </row>
        <row r="81">
          <cell r="E81" t="str">
            <v>00301472</v>
          </cell>
          <cell r="F81">
            <v>240</v>
          </cell>
          <cell r="G81">
            <v>955</v>
          </cell>
        </row>
        <row r="82">
          <cell r="E82" t="str">
            <v>00306922</v>
          </cell>
          <cell r="F82">
            <v>235</v>
          </cell>
          <cell r="G82">
            <v>1310</v>
          </cell>
        </row>
        <row r="83">
          <cell r="E83" t="str">
            <v>00301455</v>
          </cell>
          <cell r="F83">
            <v>220</v>
          </cell>
          <cell r="G83">
            <v>755</v>
          </cell>
        </row>
        <row r="84">
          <cell r="E84" t="str">
            <v>00736947</v>
          </cell>
          <cell r="F84">
            <v>217</v>
          </cell>
          <cell r="G84">
            <v>862</v>
          </cell>
        </row>
        <row r="85">
          <cell r="E85" t="str">
            <v>00681121</v>
          </cell>
          <cell r="F85">
            <v>210</v>
          </cell>
          <cell r="G85">
            <v>182.5</v>
          </cell>
        </row>
        <row r="86">
          <cell r="E86" t="str">
            <v>00423202</v>
          </cell>
          <cell r="F86">
            <v>205</v>
          </cell>
          <cell r="G86">
            <v>1240</v>
          </cell>
        </row>
        <row r="87">
          <cell r="E87" t="str">
            <v>00423464</v>
          </cell>
          <cell r="F87">
            <v>205</v>
          </cell>
          <cell r="G87">
            <v>575</v>
          </cell>
        </row>
        <row r="88">
          <cell r="E88" t="str">
            <v>00852828</v>
          </cell>
          <cell r="F88">
            <v>200</v>
          </cell>
          <cell r="G88">
            <v>652</v>
          </cell>
        </row>
        <row r="89">
          <cell r="E89" t="str">
            <v>00306744</v>
          </cell>
          <cell r="F89">
            <v>182.5</v>
          </cell>
          <cell r="G89">
            <v>1032.5</v>
          </cell>
        </row>
        <row r="90">
          <cell r="E90" t="str">
            <v>00301664</v>
          </cell>
          <cell r="F90">
            <v>177.5</v>
          </cell>
          <cell r="G90">
            <v>347.5</v>
          </cell>
        </row>
        <row r="91">
          <cell r="E91" t="str">
            <v>00852809</v>
          </cell>
          <cell r="F91">
            <v>174</v>
          </cell>
          <cell r="G91">
            <v>763</v>
          </cell>
        </row>
        <row r="92">
          <cell r="E92" t="str">
            <v>00681122</v>
          </cell>
          <cell r="F92">
            <v>170</v>
          </cell>
          <cell r="G92">
            <v>140</v>
          </cell>
        </row>
        <row r="93">
          <cell r="E93" t="str">
            <v>00423747</v>
          </cell>
          <cell r="F93">
            <v>170</v>
          </cell>
          <cell r="G93">
            <v>265</v>
          </cell>
        </row>
        <row r="94">
          <cell r="E94" t="str">
            <v>00307666</v>
          </cell>
          <cell r="F94">
            <v>167.5</v>
          </cell>
          <cell r="G94">
            <v>327.5</v>
          </cell>
        </row>
        <row r="95">
          <cell r="E95" t="str">
            <v>00307896</v>
          </cell>
          <cell r="F95">
            <v>160</v>
          </cell>
          <cell r="G95">
            <v>895</v>
          </cell>
        </row>
        <row r="96">
          <cell r="E96" t="str">
            <v>00852816</v>
          </cell>
          <cell r="F96">
            <v>160</v>
          </cell>
          <cell r="G96">
            <v>856</v>
          </cell>
        </row>
        <row r="97">
          <cell r="E97" t="str">
            <v>00852471</v>
          </cell>
          <cell r="F97">
            <v>157</v>
          </cell>
          <cell r="G97">
            <v>1301</v>
          </cell>
        </row>
        <row r="98">
          <cell r="E98" t="str">
            <v>00611477</v>
          </cell>
          <cell r="F98">
            <v>156</v>
          </cell>
          <cell r="G98">
            <v>869</v>
          </cell>
        </row>
        <row r="99">
          <cell r="E99" t="str">
            <v>00954103</v>
          </cell>
          <cell r="F99">
            <v>153</v>
          </cell>
          <cell r="G99">
            <v>449</v>
          </cell>
        </row>
        <row r="100">
          <cell r="E100" t="str">
            <v>00649579</v>
          </cell>
          <cell r="F100">
            <v>150</v>
          </cell>
          <cell r="G100">
            <v>1250</v>
          </cell>
        </row>
        <row r="101">
          <cell r="E101" t="str">
            <v>00302798</v>
          </cell>
          <cell r="F101">
            <v>150</v>
          </cell>
          <cell r="G101">
            <v>207.5</v>
          </cell>
        </row>
        <row r="102">
          <cell r="E102" t="str">
            <v>00386169</v>
          </cell>
          <cell r="F102">
            <v>150</v>
          </cell>
        </row>
        <row r="103">
          <cell r="E103" t="str">
            <v>00301633</v>
          </cell>
          <cell r="F103">
            <v>147.5</v>
          </cell>
          <cell r="G103">
            <v>245</v>
          </cell>
        </row>
        <row r="104">
          <cell r="E104" t="str">
            <v>00301462</v>
          </cell>
          <cell r="F104">
            <v>142.5</v>
          </cell>
          <cell r="G104">
            <v>110</v>
          </cell>
        </row>
        <row r="105">
          <cell r="E105" t="str">
            <v>00303394</v>
          </cell>
          <cell r="F105">
            <v>140</v>
          </cell>
          <cell r="G105">
            <v>665</v>
          </cell>
        </row>
        <row r="106">
          <cell r="E106" t="str">
            <v>00852409</v>
          </cell>
          <cell r="F106">
            <v>140</v>
          </cell>
          <cell r="G106">
            <v>235</v>
          </cell>
        </row>
        <row r="107">
          <cell r="E107" t="str">
            <v>00301679</v>
          </cell>
          <cell r="F107">
            <v>135</v>
          </cell>
          <cell r="G107">
            <v>95</v>
          </cell>
        </row>
        <row r="108">
          <cell r="E108" t="str">
            <v>00305035</v>
          </cell>
          <cell r="F108">
            <v>135</v>
          </cell>
          <cell r="G108">
            <v>547.5</v>
          </cell>
        </row>
        <row r="109">
          <cell r="E109" t="str">
            <v>00301545</v>
          </cell>
          <cell r="F109">
            <v>135</v>
          </cell>
          <cell r="G109">
            <v>90</v>
          </cell>
        </row>
        <row r="110">
          <cell r="E110" t="str">
            <v>00423504</v>
          </cell>
          <cell r="F110">
            <v>130</v>
          </cell>
          <cell r="G110">
            <v>435</v>
          </cell>
        </row>
        <row r="111">
          <cell r="E111" t="str">
            <v>00306360</v>
          </cell>
          <cell r="F111">
            <v>130</v>
          </cell>
          <cell r="G111">
            <v>250</v>
          </cell>
        </row>
        <row r="112">
          <cell r="E112" t="str">
            <v>00421701</v>
          </cell>
          <cell r="F112">
            <v>130</v>
          </cell>
          <cell r="G112">
            <v>810</v>
          </cell>
        </row>
        <row r="113">
          <cell r="E113" t="str">
            <v>00324704</v>
          </cell>
          <cell r="F113">
            <v>122.5</v>
          </cell>
          <cell r="G113">
            <v>892.5</v>
          </cell>
        </row>
        <row r="114">
          <cell r="E114" t="str">
            <v>00305447</v>
          </cell>
          <cell r="F114">
            <v>120</v>
          </cell>
          <cell r="G114">
            <v>40</v>
          </cell>
        </row>
        <row r="115">
          <cell r="E115" t="str">
            <v>00305830</v>
          </cell>
          <cell r="F115">
            <v>120</v>
          </cell>
          <cell r="G115">
            <v>360</v>
          </cell>
        </row>
        <row r="116">
          <cell r="E116" t="str">
            <v>00852553</v>
          </cell>
          <cell r="F116">
            <v>117</v>
          </cell>
          <cell r="G116">
            <v>602</v>
          </cell>
        </row>
        <row r="117">
          <cell r="E117" t="str">
            <v>00737313</v>
          </cell>
          <cell r="F117">
            <v>116</v>
          </cell>
          <cell r="G117">
            <v>377</v>
          </cell>
        </row>
        <row r="118">
          <cell r="E118" t="str">
            <v>00423489</v>
          </cell>
          <cell r="F118">
            <v>112.5</v>
          </cell>
          <cell r="G118">
            <v>472.5</v>
          </cell>
        </row>
        <row r="119">
          <cell r="E119" t="str">
            <v>00852818</v>
          </cell>
          <cell r="F119">
            <v>111</v>
          </cell>
          <cell r="G119">
            <v>473</v>
          </cell>
        </row>
        <row r="120">
          <cell r="E120" t="str">
            <v>00718458</v>
          </cell>
          <cell r="F120">
            <v>110</v>
          </cell>
          <cell r="G120">
            <v>780</v>
          </cell>
        </row>
        <row r="121">
          <cell r="E121" t="str">
            <v>00389449</v>
          </cell>
          <cell r="F121">
            <v>110</v>
          </cell>
          <cell r="G121">
            <v>360</v>
          </cell>
        </row>
        <row r="122">
          <cell r="E122" t="str">
            <v>00301483</v>
          </cell>
          <cell r="F122">
            <v>110</v>
          </cell>
          <cell r="G122">
            <v>95</v>
          </cell>
        </row>
        <row r="123">
          <cell r="E123" t="str">
            <v>00301866</v>
          </cell>
          <cell r="F123">
            <v>110</v>
          </cell>
          <cell r="G123">
            <v>1370</v>
          </cell>
        </row>
        <row r="124">
          <cell r="E124" t="str">
            <v>00264565</v>
          </cell>
          <cell r="F124">
            <v>110</v>
          </cell>
          <cell r="G124">
            <v>1810</v>
          </cell>
        </row>
        <row r="125">
          <cell r="E125" t="str">
            <v>00306003</v>
          </cell>
          <cell r="F125">
            <v>107.5</v>
          </cell>
          <cell r="G125">
            <v>225</v>
          </cell>
        </row>
        <row r="126">
          <cell r="E126" t="str">
            <v>00723496</v>
          </cell>
          <cell r="F126">
            <v>107</v>
          </cell>
          <cell r="G126">
            <v>347</v>
          </cell>
        </row>
        <row r="127">
          <cell r="E127" t="str">
            <v>00852429</v>
          </cell>
          <cell r="F127">
            <v>106</v>
          </cell>
          <cell r="G127">
            <v>662</v>
          </cell>
        </row>
        <row r="128">
          <cell r="E128" t="str">
            <v>00611461</v>
          </cell>
          <cell r="F128">
            <v>103</v>
          </cell>
          <cell r="G128">
            <v>177</v>
          </cell>
        </row>
        <row r="129">
          <cell r="E129" t="str">
            <v>00681829</v>
          </cell>
          <cell r="F129">
            <v>102.5</v>
          </cell>
          <cell r="G129">
            <v>27.5</v>
          </cell>
        </row>
        <row r="130">
          <cell r="E130" t="str">
            <v>00737310</v>
          </cell>
          <cell r="F130">
            <v>100</v>
          </cell>
          <cell r="G130">
            <v>237</v>
          </cell>
        </row>
        <row r="131">
          <cell r="E131" t="str">
            <v>00681831</v>
          </cell>
          <cell r="F131">
            <v>100</v>
          </cell>
          <cell r="G131">
            <v>45</v>
          </cell>
        </row>
        <row r="132">
          <cell r="E132" t="str">
            <v>00681830</v>
          </cell>
          <cell r="F132">
            <v>100</v>
          </cell>
          <cell r="G132">
            <v>45</v>
          </cell>
        </row>
        <row r="133">
          <cell r="E133" t="str">
            <v>00853077</v>
          </cell>
          <cell r="F133">
            <v>100</v>
          </cell>
          <cell r="G133">
            <v>41</v>
          </cell>
        </row>
        <row r="134">
          <cell r="E134" t="str">
            <v>00728168</v>
          </cell>
          <cell r="F134">
            <v>100</v>
          </cell>
          <cell r="G134">
            <v>540</v>
          </cell>
        </row>
        <row r="135">
          <cell r="E135" t="str">
            <v>00306920</v>
          </cell>
          <cell r="F135">
            <v>97.5</v>
          </cell>
          <cell r="G135">
            <v>292.5</v>
          </cell>
        </row>
        <row r="136">
          <cell r="E136" t="str">
            <v>00737312</v>
          </cell>
          <cell r="F136">
            <v>96</v>
          </cell>
          <cell r="G136">
            <v>108</v>
          </cell>
        </row>
        <row r="137">
          <cell r="E137" t="str">
            <v>00852427</v>
          </cell>
          <cell r="F137">
            <v>96</v>
          </cell>
          <cell r="G137">
            <v>68</v>
          </cell>
        </row>
        <row r="138">
          <cell r="E138" t="str">
            <v>00423208</v>
          </cell>
          <cell r="F138">
            <v>95</v>
          </cell>
          <cell r="G138">
            <v>495</v>
          </cell>
        </row>
        <row r="139">
          <cell r="E139" t="str">
            <v>00307059</v>
          </cell>
          <cell r="F139">
            <v>90</v>
          </cell>
          <cell r="G139">
            <v>915</v>
          </cell>
        </row>
        <row r="140">
          <cell r="E140" t="str">
            <v>00302007</v>
          </cell>
          <cell r="F140">
            <v>90</v>
          </cell>
          <cell r="G140">
            <v>770</v>
          </cell>
        </row>
        <row r="141">
          <cell r="E141" t="str">
            <v>00423746</v>
          </cell>
          <cell r="F141">
            <v>85</v>
          </cell>
          <cell r="G141">
            <v>190</v>
          </cell>
        </row>
        <row r="142">
          <cell r="E142" t="str">
            <v>00734926</v>
          </cell>
          <cell r="F142">
            <v>80</v>
          </cell>
          <cell r="G142">
            <v>424</v>
          </cell>
        </row>
        <row r="143">
          <cell r="E143" t="str">
            <v>00423692</v>
          </cell>
          <cell r="F143">
            <v>80</v>
          </cell>
          <cell r="G143">
            <v>250</v>
          </cell>
        </row>
        <row r="144">
          <cell r="E144" t="str">
            <v>00305828</v>
          </cell>
          <cell r="F144">
            <v>80</v>
          </cell>
          <cell r="G144">
            <v>960</v>
          </cell>
        </row>
        <row r="145">
          <cell r="E145" t="str">
            <v>00852405</v>
          </cell>
          <cell r="F145">
            <v>80</v>
          </cell>
          <cell r="G145">
            <v>435</v>
          </cell>
        </row>
        <row r="146">
          <cell r="E146" t="str">
            <v>00723476</v>
          </cell>
          <cell r="F146">
            <v>80</v>
          </cell>
          <cell r="G146">
            <v>65</v>
          </cell>
        </row>
        <row r="147">
          <cell r="E147" t="str">
            <v>00852915</v>
          </cell>
          <cell r="F147">
            <v>76</v>
          </cell>
          <cell r="G147">
            <v>184</v>
          </cell>
        </row>
        <row r="148">
          <cell r="E148" t="str">
            <v>00734825</v>
          </cell>
          <cell r="F148">
            <v>75</v>
          </cell>
          <cell r="G148">
            <v>305</v>
          </cell>
        </row>
        <row r="149">
          <cell r="E149" t="str">
            <v>00305070</v>
          </cell>
          <cell r="F149">
            <v>75</v>
          </cell>
          <cell r="G149">
            <v>630</v>
          </cell>
        </row>
        <row r="150">
          <cell r="E150" t="str">
            <v>00301468</v>
          </cell>
          <cell r="F150">
            <v>75</v>
          </cell>
          <cell r="G150">
            <v>115</v>
          </cell>
        </row>
        <row r="151">
          <cell r="E151" t="str">
            <v>00611474</v>
          </cell>
          <cell r="F151">
            <v>75</v>
          </cell>
          <cell r="G151">
            <v>455</v>
          </cell>
        </row>
        <row r="152">
          <cell r="E152" t="str">
            <v>00734902</v>
          </cell>
          <cell r="F152">
            <v>72</v>
          </cell>
          <cell r="G152">
            <v>171</v>
          </cell>
        </row>
        <row r="153">
          <cell r="E153" t="str">
            <v>00301695</v>
          </cell>
          <cell r="F153">
            <v>70</v>
          </cell>
          <cell r="G153">
            <v>1695</v>
          </cell>
        </row>
        <row r="154">
          <cell r="E154" t="str">
            <v>00301667</v>
          </cell>
          <cell r="F154">
            <v>70</v>
          </cell>
          <cell r="G154">
            <v>87.5</v>
          </cell>
        </row>
        <row r="155">
          <cell r="E155" t="str">
            <v>00324717</v>
          </cell>
          <cell r="F155">
            <v>70</v>
          </cell>
          <cell r="G155">
            <v>387.5</v>
          </cell>
        </row>
        <row r="156">
          <cell r="E156" t="str">
            <v>00430610</v>
          </cell>
          <cell r="F156">
            <v>70</v>
          </cell>
          <cell r="G156">
            <v>95</v>
          </cell>
        </row>
        <row r="157">
          <cell r="E157" t="str">
            <v>00722130</v>
          </cell>
          <cell r="F157">
            <v>69</v>
          </cell>
          <cell r="G157">
            <v>130</v>
          </cell>
        </row>
        <row r="158">
          <cell r="E158" t="str">
            <v>00611460</v>
          </cell>
          <cell r="F158">
            <v>67</v>
          </cell>
          <cell r="G158">
            <v>141</v>
          </cell>
        </row>
        <row r="159">
          <cell r="E159" t="str">
            <v>00301639</v>
          </cell>
          <cell r="F159">
            <v>65</v>
          </cell>
          <cell r="G159">
            <v>10</v>
          </cell>
        </row>
        <row r="160">
          <cell r="E160" t="str">
            <v>00723095</v>
          </cell>
          <cell r="F160">
            <v>65</v>
          </cell>
          <cell r="G160">
            <v>217</v>
          </cell>
        </row>
        <row r="161">
          <cell r="E161" t="str">
            <v>00852479</v>
          </cell>
          <cell r="F161">
            <v>64</v>
          </cell>
          <cell r="G161">
            <v>449</v>
          </cell>
        </row>
        <row r="162">
          <cell r="E162" t="str">
            <v>00305041</v>
          </cell>
          <cell r="F162">
            <v>62.5</v>
          </cell>
          <cell r="G162">
            <v>365</v>
          </cell>
        </row>
        <row r="163">
          <cell r="E163" t="str">
            <v>00305067</v>
          </cell>
          <cell r="F163">
            <v>60</v>
          </cell>
          <cell r="G163">
            <v>180</v>
          </cell>
        </row>
        <row r="164">
          <cell r="E164" t="str">
            <v>00435198</v>
          </cell>
          <cell r="F164">
            <v>60</v>
          </cell>
          <cell r="G164">
            <v>75</v>
          </cell>
        </row>
        <row r="165">
          <cell r="E165" t="str">
            <v>00305069</v>
          </cell>
          <cell r="F165">
            <v>57.5</v>
          </cell>
          <cell r="G165">
            <v>485</v>
          </cell>
        </row>
        <row r="166">
          <cell r="E166" t="str">
            <v>00301838</v>
          </cell>
          <cell r="F166">
            <v>57.5</v>
          </cell>
          <cell r="G166">
            <v>235</v>
          </cell>
        </row>
        <row r="167">
          <cell r="E167" t="str">
            <v>00423491</v>
          </cell>
          <cell r="F167">
            <v>57</v>
          </cell>
          <cell r="G167">
            <v>37</v>
          </cell>
        </row>
        <row r="168">
          <cell r="E168" t="str">
            <v>00423463</v>
          </cell>
          <cell r="F168">
            <v>56</v>
          </cell>
          <cell r="G168">
            <v>35</v>
          </cell>
        </row>
        <row r="169">
          <cell r="E169" t="str">
            <v>00306892</v>
          </cell>
          <cell r="F169">
            <v>54</v>
          </cell>
          <cell r="G169">
            <v>29</v>
          </cell>
        </row>
        <row r="170">
          <cell r="E170" t="str">
            <v>00307665</v>
          </cell>
          <cell r="F170">
            <v>53</v>
          </cell>
          <cell r="G170">
            <v>13</v>
          </cell>
        </row>
        <row r="171">
          <cell r="E171" t="str">
            <v>00737318</v>
          </cell>
          <cell r="F171">
            <v>51</v>
          </cell>
          <cell r="G171">
            <v>62</v>
          </cell>
        </row>
        <row r="172">
          <cell r="E172" t="str">
            <v>00301750</v>
          </cell>
          <cell r="F172">
            <v>51</v>
          </cell>
          <cell r="G172">
            <v>43</v>
          </cell>
        </row>
        <row r="173">
          <cell r="E173" t="str">
            <v>00720462</v>
          </cell>
          <cell r="F173">
            <v>50</v>
          </cell>
        </row>
        <row r="174">
          <cell r="E174" t="str">
            <v>00301678</v>
          </cell>
          <cell r="F174">
            <v>50</v>
          </cell>
          <cell r="G174">
            <v>9</v>
          </cell>
        </row>
        <row r="175">
          <cell r="E175" t="str">
            <v>00305030</v>
          </cell>
          <cell r="F175">
            <v>50</v>
          </cell>
          <cell r="G175">
            <v>305</v>
          </cell>
        </row>
        <row r="176">
          <cell r="E176" t="str">
            <v>00447301</v>
          </cell>
          <cell r="F176">
            <v>50</v>
          </cell>
          <cell r="G176">
            <v>510</v>
          </cell>
        </row>
        <row r="177">
          <cell r="E177" t="str">
            <v>00305831</v>
          </cell>
          <cell r="F177">
            <v>50</v>
          </cell>
          <cell r="G177">
            <v>755</v>
          </cell>
        </row>
        <row r="178">
          <cell r="E178" t="str">
            <v>00728147</v>
          </cell>
          <cell r="F178">
            <v>50</v>
          </cell>
          <cell r="G178">
            <v>187.5</v>
          </cell>
        </row>
        <row r="179">
          <cell r="E179" t="str">
            <v>00852827</v>
          </cell>
          <cell r="F179">
            <v>46</v>
          </cell>
          <cell r="G179">
            <v>42</v>
          </cell>
        </row>
        <row r="180">
          <cell r="E180" t="str">
            <v>00470314</v>
          </cell>
          <cell r="F180">
            <v>45</v>
          </cell>
        </row>
        <row r="181">
          <cell r="E181" t="str">
            <v>00301958</v>
          </cell>
          <cell r="F181">
            <v>45</v>
          </cell>
          <cell r="G181">
            <v>65</v>
          </cell>
        </row>
        <row r="182">
          <cell r="E182" t="str">
            <v>00302008</v>
          </cell>
          <cell r="F182">
            <v>45</v>
          </cell>
          <cell r="G182">
            <v>360</v>
          </cell>
        </row>
        <row r="183">
          <cell r="E183" t="str">
            <v>00615244</v>
          </cell>
          <cell r="F183">
            <v>45</v>
          </cell>
          <cell r="G183">
            <v>172</v>
          </cell>
        </row>
        <row r="184">
          <cell r="E184" t="str">
            <v>00680177</v>
          </cell>
          <cell r="F184">
            <v>45</v>
          </cell>
          <cell r="G184">
            <v>105</v>
          </cell>
        </row>
        <row r="185">
          <cell r="E185" t="str">
            <v>00852422</v>
          </cell>
          <cell r="F185">
            <v>42</v>
          </cell>
          <cell r="G185">
            <v>222</v>
          </cell>
        </row>
        <row r="186">
          <cell r="E186" t="str">
            <v>00852798</v>
          </cell>
          <cell r="F186">
            <v>41</v>
          </cell>
          <cell r="G186">
            <v>207</v>
          </cell>
        </row>
        <row r="187">
          <cell r="E187" t="str">
            <v>00852801</v>
          </cell>
          <cell r="F187">
            <v>41</v>
          </cell>
          <cell r="G187">
            <v>175</v>
          </cell>
        </row>
        <row r="188">
          <cell r="E188" t="str">
            <v>00423496</v>
          </cell>
          <cell r="F188">
            <v>40</v>
          </cell>
          <cell r="G188">
            <v>85</v>
          </cell>
        </row>
        <row r="189">
          <cell r="E189" t="str">
            <v>00301717</v>
          </cell>
          <cell r="F189">
            <v>40</v>
          </cell>
          <cell r="G189">
            <v>200</v>
          </cell>
        </row>
        <row r="190">
          <cell r="E190" t="str">
            <v>00852406</v>
          </cell>
          <cell r="F190">
            <v>40</v>
          </cell>
          <cell r="G190">
            <v>190</v>
          </cell>
        </row>
        <row r="191">
          <cell r="E191" t="str">
            <v>00723463</v>
          </cell>
          <cell r="F191">
            <v>38</v>
          </cell>
          <cell r="G191">
            <v>86</v>
          </cell>
        </row>
        <row r="192">
          <cell r="E192" t="str">
            <v>00302178</v>
          </cell>
          <cell r="F192">
            <v>37.5</v>
          </cell>
          <cell r="G192">
            <v>125</v>
          </cell>
        </row>
        <row r="193">
          <cell r="E193" t="str">
            <v>00302180</v>
          </cell>
          <cell r="F193">
            <v>37.5</v>
          </cell>
          <cell r="G193">
            <v>90</v>
          </cell>
        </row>
        <row r="194">
          <cell r="E194" t="str">
            <v>00722129</v>
          </cell>
          <cell r="F194">
            <v>36</v>
          </cell>
          <cell r="G194">
            <v>128</v>
          </cell>
        </row>
        <row r="195">
          <cell r="E195" t="str">
            <v>00423621</v>
          </cell>
          <cell r="F195">
            <v>35</v>
          </cell>
          <cell r="G195">
            <v>10</v>
          </cell>
        </row>
        <row r="196">
          <cell r="E196" t="str">
            <v>00301691</v>
          </cell>
          <cell r="F196">
            <v>35</v>
          </cell>
          <cell r="G196">
            <v>495</v>
          </cell>
        </row>
        <row r="197">
          <cell r="E197" t="str">
            <v>00305063</v>
          </cell>
          <cell r="F197">
            <v>35</v>
          </cell>
          <cell r="G197">
            <v>410</v>
          </cell>
        </row>
        <row r="198">
          <cell r="E198" t="str">
            <v>00301688</v>
          </cell>
          <cell r="F198">
            <v>35</v>
          </cell>
          <cell r="G198">
            <v>400</v>
          </cell>
        </row>
        <row r="199">
          <cell r="E199" t="str">
            <v>00738714</v>
          </cell>
          <cell r="F199">
            <v>35</v>
          </cell>
        </row>
        <row r="200">
          <cell r="E200" t="str">
            <v>00447548</v>
          </cell>
          <cell r="F200">
            <v>35</v>
          </cell>
          <cell r="G200">
            <v>55</v>
          </cell>
        </row>
        <row r="201">
          <cell r="E201" t="str">
            <v>00305823</v>
          </cell>
          <cell r="F201">
            <v>35</v>
          </cell>
          <cell r="G201">
            <v>590</v>
          </cell>
        </row>
        <row r="202">
          <cell r="E202" t="str">
            <v>00680876</v>
          </cell>
          <cell r="F202">
            <v>35</v>
          </cell>
          <cell r="G202">
            <v>92</v>
          </cell>
        </row>
        <row r="203">
          <cell r="E203" t="str">
            <v>00852417</v>
          </cell>
          <cell r="F203">
            <v>35</v>
          </cell>
          <cell r="G203">
            <v>75</v>
          </cell>
        </row>
        <row r="204">
          <cell r="E204" t="str">
            <v>00611464</v>
          </cell>
          <cell r="F204">
            <v>34</v>
          </cell>
          <cell r="G204">
            <v>315</v>
          </cell>
        </row>
        <row r="205">
          <cell r="E205" t="str">
            <v>00853338</v>
          </cell>
          <cell r="F205">
            <v>34</v>
          </cell>
          <cell r="G205">
            <v>88</v>
          </cell>
        </row>
        <row r="206">
          <cell r="E206" t="str">
            <v>00852475</v>
          </cell>
          <cell r="F206">
            <v>34</v>
          </cell>
          <cell r="G206">
            <v>79</v>
          </cell>
        </row>
        <row r="207">
          <cell r="E207" t="str">
            <v>00301865</v>
          </cell>
          <cell r="F207">
            <v>32.5</v>
          </cell>
          <cell r="G207">
            <v>27.5</v>
          </cell>
        </row>
        <row r="208">
          <cell r="E208" t="str">
            <v>00723486</v>
          </cell>
          <cell r="F208">
            <v>32</v>
          </cell>
          <cell r="G208">
            <v>171</v>
          </cell>
        </row>
        <row r="209">
          <cell r="E209" t="str">
            <v>00423748</v>
          </cell>
          <cell r="F209">
            <v>30</v>
          </cell>
          <cell r="G209">
            <v>130</v>
          </cell>
        </row>
        <row r="210">
          <cell r="E210" t="str">
            <v>00325104</v>
          </cell>
          <cell r="F210">
            <v>30</v>
          </cell>
          <cell r="G210">
            <v>255</v>
          </cell>
        </row>
        <row r="211">
          <cell r="E211" t="str">
            <v>00301668</v>
          </cell>
          <cell r="F211">
            <v>30</v>
          </cell>
          <cell r="G211">
            <v>300</v>
          </cell>
        </row>
        <row r="212">
          <cell r="E212" t="str">
            <v>00306952</v>
          </cell>
          <cell r="F212">
            <v>30</v>
          </cell>
          <cell r="G212">
            <v>55</v>
          </cell>
        </row>
        <row r="213">
          <cell r="E213" t="str">
            <v>00473539</v>
          </cell>
          <cell r="F213">
            <v>30</v>
          </cell>
        </row>
        <row r="214">
          <cell r="E214" t="str">
            <v>00470313</v>
          </cell>
          <cell r="F214">
            <v>30</v>
          </cell>
          <cell r="G214">
            <v>20</v>
          </cell>
        </row>
        <row r="215">
          <cell r="E215" t="str">
            <v>00264621</v>
          </cell>
          <cell r="F215">
            <v>30</v>
          </cell>
          <cell r="G215">
            <v>280</v>
          </cell>
        </row>
        <row r="216">
          <cell r="E216" t="str">
            <v>00723485</v>
          </cell>
          <cell r="F216">
            <v>29</v>
          </cell>
          <cell r="G216">
            <v>145</v>
          </cell>
        </row>
        <row r="217">
          <cell r="E217" t="str">
            <v>00731831</v>
          </cell>
          <cell r="F217">
            <v>28</v>
          </cell>
          <cell r="G217">
            <v>166</v>
          </cell>
        </row>
        <row r="218">
          <cell r="E218" t="str">
            <v>00301843</v>
          </cell>
          <cell r="F218">
            <v>28</v>
          </cell>
          <cell r="G218">
            <v>16</v>
          </cell>
        </row>
        <row r="219">
          <cell r="E219" t="str">
            <v>00307976</v>
          </cell>
          <cell r="F219">
            <v>27.5</v>
          </cell>
          <cell r="G219">
            <v>222.5</v>
          </cell>
        </row>
        <row r="220">
          <cell r="E220" t="str">
            <v>00300664</v>
          </cell>
          <cell r="F220">
            <v>27</v>
          </cell>
          <cell r="G220">
            <v>117</v>
          </cell>
        </row>
        <row r="221">
          <cell r="E221" t="str">
            <v>00737935</v>
          </cell>
          <cell r="F221">
            <v>27</v>
          </cell>
          <cell r="G221">
            <v>136</v>
          </cell>
        </row>
        <row r="222">
          <cell r="E222" t="str">
            <v>00681187</v>
          </cell>
          <cell r="F222">
            <v>26</v>
          </cell>
        </row>
        <row r="223">
          <cell r="E223" t="str">
            <v>00723495</v>
          </cell>
          <cell r="F223">
            <v>26</v>
          </cell>
          <cell r="G223">
            <v>429</v>
          </cell>
        </row>
        <row r="224">
          <cell r="E224" t="str">
            <v>00734925</v>
          </cell>
          <cell r="F224">
            <v>25</v>
          </cell>
          <cell r="G224">
            <v>126</v>
          </cell>
        </row>
        <row r="225">
          <cell r="E225" t="str">
            <v>00308408</v>
          </cell>
          <cell r="F225">
            <v>25</v>
          </cell>
          <cell r="G225">
            <v>165</v>
          </cell>
        </row>
        <row r="226">
          <cell r="E226" t="str">
            <v>00305037</v>
          </cell>
          <cell r="F226">
            <v>25</v>
          </cell>
          <cell r="G226">
            <v>95</v>
          </cell>
        </row>
        <row r="227">
          <cell r="E227" t="str">
            <v>00307975</v>
          </cell>
          <cell r="F227">
            <v>25</v>
          </cell>
          <cell r="G227">
            <v>50</v>
          </cell>
        </row>
        <row r="228">
          <cell r="E228" t="str">
            <v>00736949</v>
          </cell>
          <cell r="F228">
            <v>25</v>
          </cell>
          <cell r="G228">
            <v>50</v>
          </cell>
        </row>
        <row r="229">
          <cell r="E229" t="str">
            <v>00852829</v>
          </cell>
          <cell r="F229">
            <v>25</v>
          </cell>
          <cell r="G229">
            <v>103</v>
          </cell>
        </row>
        <row r="230">
          <cell r="E230" t="str">
            <v>00852817</v>
          </cell>
          <cell r="F230">
            <v>25</v>
          </cell>
          <cell r="G230">
            <v>161</v>
          </cell>
        </row>
        <row r="231">
          <cell r="E231" t="str">
            <v>00732196</v>
          </cell>
          <cell r="F231">
            <v>25</v>
          </cell>
          <cell r="G231">
            <v>40</v>
          </cell>
        </row>
        <row r="232">
          <cell r="E232" t="str">
            <v>00608175</v>
          </cell>
          <cell r="F232">
            <v>23</v>
          </cell>
          <cell r="G232">
            <v>117</v>
          </cell>
        </row>
        <row r="233">
          <cell r="E233" t="str">
            <v>00639924</v>
          </cell>
          <cell r="F233">
            <v>23</v>
          </cell>
        </row>
        <row r="234">
          <cell r="E234" t="str">
            <v>00307895</v>
          </cell>
          <cell r="F234">
            <v>22.5</v>
          </cell>
          <cell r="G234">
            <v>172.5</v>
          </cell>
        </row>
        <row r="235">
          <cell r="E235" t="str">
            <v>00423469</v>
          </cell>
          <cell r="F235">
            <v>22.5</v>
          </cell>
          <cell r="G235">
            <v>177.5</v>
          </cell>
        </row>
        <row r="236">
          <cell r="E236" t="str">
            <v>00301998</v>
          </cell>
          <cell r="F236">
            <v>22.5</v>
          </cell>
          <cell r="G236">
            <v>32.5</v>
          </cell>
        </row>
        <row r="237">
          <cell r="E237" t="str">
            <v>00423503</v>
          </cell>
          <cell r="F237">
            <v>21</v>
          </cell>
          <cell r="G237">
            <v>57</v>
          </cell>
        </row>
        <row r="238">
          <cell r="E238" t="str">
            <v>00852805</v>
          </cell>
          <cell r="F238">
            <v>21</v>
          </cell>
          <cell r="G238">
            <v>108</v>
          </cell>
        </row>
        <row r="239">
          <cell r="E239" t="str">
            <v>00611469</v>
          </cell>
          <cell r="F239">
            <v>21</v>
          </cell>
          <cell r="G239">
            <v>82</v>
          </cell>
        </row>
        <row r="240">
          <cell r="E240" t="str">
            <v>00423528</v>
          </cell>
          <cell r="F240">
            <v>20.400000000000002</v>
          </cell>
          <cell r="G240">
            <v>12.3</v>
          </cell>
        </row>
        <row r="241">
          <cell r="E241" t="str">
            <v>00852653</v>
          </cell>
          <cell r="F241">
            <v>20</v>
          </cell>
          <cell r="G241">
            <v>159</v>
          </cell>
        </row>
        <row r="242">
          <cell r="E242" t="str">
            <v>00325105</v>
          </cell>
          <cell r="F242">
            <v>20</v>
          </cell>
          <cell r="G242">
            <v>210</v>
          </cell>
        </row>
        <row r="243">
          <cell r="E243" t="str">
            <v>00308406</v>
          </cell>
          <cell r="F243">
            <v>20</v>
          </cell>
          <cell r="G243">
            <v>485</v>
          </cell>
        </row>
        <row r="244">
          <cell r="E244" t="str">
            <v>00423259</v>
          </cell>
          <cell r="F244">
            <v>20</v>
          </cell>
          <cell r="G244">
            <v>140</v>
          </cell>
        </row>
        <row r="245">
          <cell r="E245" t="str">
            <v>00389448</v>
          </cell>
          <cell r="F245">
            <v>20</v>
          </cell>
          <cell r="G245">
            <v>85</v>
          </cell>
        </row>
        <row r="246">
          <cell r="E246" t="str">
            <v>00447549</v>
          </cell>
          <cell r="F246">
            <v>20</v>
          </cell>
          <cell r="G246">
            <v>15</v>
          </cell>
        </row>
        <row r="247">
          <cell r="E247" t="str">
            <v>00301848</v>
          </cell>
          <cell r="F247">
            <v>20</v>
          </cell>
          <cell r="G247">
            <v>250</v>
          </cell>
        </row>
        <row r="248">
          <cell r="E248" t="str">
            <v>00264366</v>
          </cell>
          <cell r="F248">
            <v>20</v>
          </cell>
          <cell r="G248">
            <v>110</v>
          </cell>
        </row>
        <row r="249">
          <cell r="E249" t="str">
            <v>00264369</v>
          </cell>
          <cell r="F249">
            <v>20</v>
          </cell>
          <cell r="G249">
            <v>180</v>
          </cell>
        </row>
        <row r="250">
          <cell r="E250" t="str">
            <v>00264863</v>
          </cell>
          <cell r="F250">
            <v>20</v>
          </cell>
          <cell r="G250">
            <v>5</v>
          </cell>
        </row>
        <row r="251">
          <cell r="E251" t="str">
            <v>00852812</v>
          </cell>
          <cell r="F251">
            <v>20</v>
          </cell>
          <cell r="G251">
            <v>155</v>
          </cell>
        </row>
        <row r="252">
          <cell r="E252" t="str">
            <v>00852407</v>
          </cell>
          <cell r="F252">
            <v>20</v>
          </cell>
          <cell r="G252">
            <v>150</v>
          </cell>
        </row>
        <row r="253">
          <cell r="E253" t="str">
            <v>00852477</v>
          </cell>
          <cell r="F253">
            <v>20</v>
          </cell>
          <cell r="G253">
            <v>110</v>
          </cell>
        </row>
        <row r="254">
          <cell r="E254" t="str">
            <v>00219208</v>
          </cell>
          <cell r="F254">
            <v>20</v>
          </cell>
        </row>
        <row r="255">
          <cell r="E255" t="str">
            <v>00236117</v>
          </cell>
          <cell r="F255">
            <v>20</v>
          </cell>
        </row>
        <row r="256">
          <cell r="E256" t="str">
            <v>00305036</v>
          </cell>
          <cell r="F256">
            <v>19</v>
          </cell>
          <cell r="G256">
            <v>20</v>
          </cell>
        </row>
        <row r="257">
          <cell r="E257" t="str">
            <v>00738112</v>
          </cell>
          <cell r="F257">
            <v>19</v>
          </cell>
          <cell r="G257">
            <v>31</v>
          </cell>
        </row>
        <row r="258">
          <cell r="E258" t="str">
            <v>00721524</v>
          </cell>
          <cell r="F258">
            <v>19</v>
          </cell>
        </row>
        <row r="259">
          <cell r="E259" t="str">
            <v>00424017</v>
          </cell>
          <cell r="F259">
            <v>19</v>
          </cell>
          <cell r="G259">
            <v>70</v>
          </cell>
        </row>
        <row r="260">
          <cell r="E260" t="str">
            <v>00424076</v>
          </cell>
          <cell r="F260">
            <v>19</v>
          </cell>
          <cell r="G260">
            <v>55</v>
          </cell>
        </row>
        <row r="261">
          <cell r="E261" t="str">
            <v>00306918</v>
          </cell>
          <cell r="F261">
            <v>18</v>
          </cell>
          <cell r="G261">
            <v>55</v>
          </cell>
        </row>
        <row r="262">
          <cell r="E262" t="str">
            <v>00852806</v>
          </cell>
          <cell r="F262">
            <v>18</v>
          </cell>
          <cell r="G262">
            <v>24</v>
          </cell>
        </row>
        <row r="263">
          <cell r="E263" t="str">
            <v>00852821</v>
          </cell>
          <cell r="F263">
            <v>18</v>
          </cell>
          <cell r="G263">
            <v>207</v>
          </cell>
        </row>
        <row r="264">
          <cell r="E264" t="str">
            <v>00852705</v>
          </cell>
          <cell r="F264">
            <v>18</v>
          </cell>
          <cell r="G264">
            <v>58</v>
          </cell>
        </row>
        <row r="265">
          <cell r="E265" t="str">
            <v>00423614</v>
          </cell>
          <cell r="F265">
            <v>17.5</v>
          </cell>
          <cell r="G265">
            <v>92.5</v>
          </cell>
        </row>
        <row r="266">
          <cell r="E266" t="str">
            <v>00435197</v>
          </cell>
          <cell r="F266">
            <v>17.5</v>
          </cell>
          <cell r="G266">
            <v>35</v>
          </cell>
        </row>
        <row r="267">
          <cell r="E267" t="str">
            <v>00852680</v>
          </cell>
          <cell r="F267">
            <v>17</v>
          </cell>
          <cell r="G267">
            <v>14</v>
          </cell>
        </row>
        <row r="268">
          <cell r="E268" t="str">
            <v>00852922</v>
          </cell>
          <cell r="F268">
            <v>17</v>
          </cell>
          <cell r="G268">
            <v>69</v>
          </cell>
        </row>
        <row r="269">
          <cell r="E269" t="str">
            <v>00680921</v>
          </cell>
          <cell r="F269">
            <v>16</v>
          </cell>
          <cell r="G269">
            <v>110</v>
          </cell>
        </row>
        <row r="270">
          <cell r="E270" t="str">
            <v>00680646</v>
          </cell>
          <cell r="F270">
            <v>16</v>
          </cell>
        </row>
        <row r="271">
          <cell r="E271" t="str">
            <v>00720463</v>
          </cell>
          <cell r="F271">
            <v>15</v>
          </cell>
        </row>
        <row r="272">
          <cell r="E272" t="str">
            <v>00423754</v>
          </cell>
          <cell r="F272">
            <v>15</v>
          </cell>
          <cell r="G272">
            <v>35</v>
          </cell>
        </row>
        <row r="273">
          <cell r="E273" t="str">
            <v>00300400</v>
          </cell>
          <cell r="F273">
            <v>15</v>
          </cell>
          <cell r="G273">
            <v>95</v>
          </cell>
        </row>
        <row r="274">
          <cell r="E274" t="str">
            <v>00423495</v>
          </cell>
          <cell r="F274">
            <v>15</v>
          </cell>
          <cell r="G274">
            <v>30</v>
          </cell>
        </row>
        <row r="275">
          <cell r="E275" t="str">
            <v>00306897</v>
          </cell>
          <cell r="F275">
            <v>15</v>
          </cell>
          <cell r="G275">
            <v>180</v>
          </cell>
        </row>
        <row r="276">
          <cell r="E276" t="str">
            <v>00303709</v>
          </cell>
          <cell r="F276">
            <v>15</v>
          </cell>
          <cell r="G276">
            <v>35</v>
          </cell>
        </row>
        <row r="277">
          <cell r="E277" t="str">
            <v>00301734</v>
          </cell>
          <cell r="F277">
            <v>15</v>
          </cell>
          <cell r="G277">
            <v>337.5</v>
          </cell>
        </row>
        <row r="278">
          <cell r="E278" t="str">
            <v>00301745</v>
          </cell>
          <cell r="F278">
            <v>15</v>
          </cell>
          <cell r="G278">
            <v>197.5</v>
          </cell>
        </row>
        <row r="279">
          <cell r="E279" t="str">
            <v>00473519</v>
          </cell>
          <cell r="F279">
            <v>15</v>
          </cell>
          <cell r="G279">
            <v>5</v>
          </cell>
        </row>
        <row r="280">
          <cell r="E280" t="str">
            <v>00324713</v>
          </cell>
          <cell r="F280">
            <v>15</v>
          </cell>
          <cell r="G280">
            <v>35</v>
          </cell>
        </row>
        <row r="281">
          <cell r="E281" t="str">
            <v>00302873</v>
          </cell>
          <cell r="F281">
            <v>15</v>
          </cell>
          <cell r="G281">
            <v>40.5</v>
          </cell>
        </row>
        <row r="282">
          <cell r="E282" t="str">
            <v>00301512</v>
          </cell>
          <cell r="F282">
            <v>15</v>
          </cell>
          <cell r="G282">
            <v>210</v>
          </cell>
        </row>
        <row r="283">
          <cell r="E283" t="str">
            <v>00301943</v>
          </cell>
          <cell r="F283">
            <v>15</v>
          </cell>
          <cell r="G283">
            <v>65</v>
          </cell>
        </row>
        <row r="284">
          <cell r="E284" t="str">
            <v>00300845</v>
          </cell>
          <cell r="F284">
            <v>15</v>
          </cell>
          <cell r="G284">
            <v>35</v>
          </cell>
        </row>
        <row r="285">
          <cell r="E285" t="str">
            <v>00264786</v>
          </cell>
          <cell r="F285">
            <v>15</v>
          </cell>
          <cell r="G285">
            <v>70</v>
          </cell>
        </row>
        <row r="286">
          <cell r="E286" t="str">
            <v>00724427</v>
          </cell>
          <cell r="F286">
            <v>15</v>
          </cell>
          <cell r="G286">
            <v>29</v>
          </cell>
        </row>
        <row r="287">
          <cell r="E287" t="str">
            <v>00727888</v>
          </cell>
          <cell r="F287">
            <v>15</v>
          </cell>
          <cell r="G287">
            <v>210</v>
          </cell>
        </row>
        <row r="288">
          <cell r="E288" t="str">
            <v>00853078</v>
          </cell>
          <cell r="F288">
            <v>15</v>
          </cell>
          <cell r="G288">
            <v>148</v>
          </cell>
        </row>
        <row r="289">
          <cell r="E289" t="str">
            <v>00723465</v>
          </cell>
          <cell r="F289">
            <v>15</v>
          </cell>
          <cell r="G289">
            <v>88</v>
          </cell>
        </row>
        <row r="290">
          <cell r="E290" t="str">
            <v>00680176</v>
          </cell>
          <cell r="F290">
            <v>15</v>
          </cell>
          <cell r="G290">
            <v>35</v>
          </cell>
        </row>
        <row r="291">
          <cell r="E291" t="str">
            <v>00681822</v>
          </cell>
          <cell r="F291">
            <v>15</v>
          </cell>
        </row>
        <row r="292">
          <cell r="E292" t="str">
            <v>00728161</v>
          </cell>
          <cell r="F292">
            <v>15</v>
          </cell>
          <cell r="G292">
            <v>70</v>
          </cell>
        </row>
        <row r="293">
          <cell r="E293" t="str">
            <v>00728115</v>
          </cell>
          <cell r="F293">
            <v>15</v>
          </cell>
          <cell r="G293">
            <v>10</v>
          </cell>
        </row>
        <row r="294">
          <cell r="E294" t="str">
            <v>00307678</v>
          </cell>
          <cell r="F294">
            <v>14.276999999999999</v>
          </cell>
          <cell r="G294">
            <v>42.830999999999996</v>
          </cell>
        </row>
        <row r="295">
          <cell r="E295" t="str">
            <v>00680387</v>
          </cell>
          <cell r="F295">
            <v>14</v>
          </cell>
          <cell r="G295">
            <v>4</v>
          </cell>
        </row>
        <row r="296">
          <cell r="E296" t="str">
            <v>00611395</v>
          </cell>
          <cell r="F296">
            <v>14</v>
          </cell>
          <cell r="G296">
            <v>1</v>
          </cell>
        </row>
        <row r="297">
          <cell r="E297" t="str">
            <v>00611385</v>
          </cell>
          <cell r="F297">
            <v>14</v>
          </cell>
          <cell r="G297">
            <v>16</v>
          </cell>
        </row>
        <row r="298">
          <cell r="E298" t="str">
            <v>00724428</v>
          </cell>
          <cell r="F298">
            <v>14</v>
          </cell>
        </row>
        <row r="299">
          <cell r="E299" t="str">
            <v>00852473</v>
          </cell>
          <cell r="F299">
            <v>14</v>
          </cell>
          <cell r="G299">
            <v>283</v>
          </cell>
        </row>
        <row r="300">
          <cell r="E300" t="str">
            <v>00618226</v>
          </cell>
          <cell r="F300">
            <v>14</v>
          </cell>
          <cell r="G300">
            <v>30</v>
          </cell>
        </row>
        <row r="301">
          <cell r="E301" t="str">
            <v>00633369</v>
          </cell>
          <cell r="F301">
            <v>13</v>
          </cell>
          <cell r="G301">
            <v>71</v>
          </cell>
        </row>
        <row r="302">
          <cell r="E302" t="str">
            <v>00728210</v>
          </cell>
          <cell r="F302">
            <v>13</v>
          </cell>
          <cell r="G302">
            <v>52</v>
          </cell>
        </row>
        <row r="303">
          <cell r="E303" t="str">
            <v>00735642</v>
          </cell>
          <cell r="F303">
            <v>13</v>
          </cell>
          <cell r="G303">
            <v>9</v>
          </cell>
        </row>
        <row r="304">
          <cell r="E304" t="str">
            <v>00656000</v>
          </cell>
          <cell r="F304">
            <v>13</v>
          </cell>
          <cell r="G304">
            <v>170.804</v>
          </cell>
        </row>
        <row r="305">
          <cell r="E305" t="str">
            <v>00852819</v>
          </cell>
          <cell r="F305">
            <v>13</v>
          </cell>
          <cell r="G305">
            <v>80</v>
          </cell>
        </row>
        <row r="306">
          <cell r="E306" t="str">
            <v>00852802</v>
          </cell>
          <cell r="F306">
            <v>13</v>
          </cell>
          <cell r="G306">
            <v>113</v>
          </cell>
        </row>
        <row r="307">
          <cell r="E307" t="str">
            <v>00852918</v>
          </cell>
          <cell r="F307">
            <v>13</v>
          </cell>
          <cell r="G307">
            <v>201</v>
          </cell>
        </row>
        <row r="308">
          <cell r="E308" t="str">
            <v>00718704</v>
          </cell>
          <cell r="F308">
            <v>13</v>
          </cell>
          <cell r="G308">
            <v>37</v>
          </cell>
        </row>
        <row r="309">
          <cell r="E309" t="str">
            <v>00307553</v>
          </cell>
          <cell r="F309">
            <v>12.600000000000001</v>
          </cell>
          <cell r="G309">
            <v>49.349999999999994</v>
          </cell>
        </row>
        <row r="310">
          <cell r="E310" t="str">
            <v>00305824</v>
          </cell>
          <cell r="F310">
            <v>12.5</v>
          </cell>
          <cell r="G310">
            <v>22.5</v>
          </cell>
        </row>
        <row r="311">
          <cell r="E311" t="str">
            <v>00737113</v>
          </cell>
          <cell r="F311">
            <v>12</v>
          </cell>
          <cell r="G311">
            <v>8</v>
          </cell>
        </row>
        <row r="312">
          <cell r="E312" t="str">
            <v>00718651</v>
          </cell>
          <cell r="F312">
            <v>12</v>
          </cell>
          <cell r="G312">
            <v>45</v>
          </cell>
        </row>
        <row r="313">
          <cell r="E313" t="str">
            <v>00852929</v>
          </cell>
          <cell r="F313">
            <v>12</v>
          </cell>
          <cell r="G313">
            <v>207</v>
          </cell>
        </row>
        <row r="314">
          <cell r="E314" t="str">
            <v>00852555</v>
          </cell>
          <cell r="F314">
            <v>12</v>
          </cell>
          <cell r="G314">
            <v>53</v>
          </cell>
        </row>
        <row r="315">
          <cell r="E315" t="str">
            <v>00728163</v>
          </cell>
          <cell r="F315">
            <v>12</v>
          </cell>
          <cell r="G315">
            <v>48</v>
          </cell>
        </row>
        <row r="316">
          <cell r="E316" t="str">
            <v>00615328</v>
          </cell>
          <cell r="F316">
            <v>11.25</v>
          </cell>
          <cell r="G316">
            <v>9</v>
          </cell>
        </row>
        <row r="317">
          <cell r="E317" t="str">
            <v>00718565</v>
          </cell>
          <cell r="F317">
            <v>11</v>
          </cell>
          <cell r="G317">
            <v>66</v>
          </cell>
        </row>
        <row r="318">
          <cell r="E318" t="str">
            <v>00728205</v>
          </cell>
          <cell r="F318">
            <v>11</v>
          </cell>
          <cell r="G318">
            <v>40</v>
          </cell>
        </row>
        <row r="319">
          <cell r="E319" t="str">
            <v>00424018</v>
          </cell>
          <cell r="F319">
            <v>11</v>
          </cell>
          <cell r="G319">
            <v>22</v>
          </cell>
        </row>
        <row r="320">
          <cell r="E320" t="str">
            <v>00852822</v>
          </cell>
          <cell r="F320">
            <v>11</v>
          </cell>
          <cell r="G320">
            <v>97</v>
          </cell>
        </row>
        <row r="321">
          <cell r="E321" t="str">
            <v>00615365</v>
          </cell>
          <cell r="F321">
            <v>11</v>
          </cell>
          <cell r="G321">
            <v>13</v>
          </cell>
        </row>
        <row r="322">
          <cell r="E322" t="str">
            <v>00639829</v>
          </cell>
          <cell r="F322">
            <v>11</v>
          </cell>
          <cell r="G322">
            <v>43</v>
          </cell>
        </row>
        <row r="323">
          <cell r="E323" t="str">
            <v>00718799</v>
          </cell>
          <cell r="F323">
            <v>11</v>
          </cell>
          <cell r="G323">
            <v>46</v>
          </cell>
        </row>
        <row r="324">
          <cell r="E324" t="str">
            <v>00423683</v>
          </cell>
          <cell r="F324">
            <v>10.639999999999999</v>
          </cell>
          <cell r="G324">
            <v>91.580000000000013</v>
          </cell>
        </row>
        <row r="325">
          <cell r="E325" t="str">
            <v>00718439</v>
          </cell>
          <cell r="F325">
            <v>10</v>
          </cell>
          <cell r="G325">
            <v>179</v>
          </cell>
        </row>
        <row r="326">
          <cell r="E326" t="str">
            <v>00680303</v>
          </cell>
          <cell r="F326">
            <v>10</v>
          </cell>
        </row>
        <row r="327">
          <cell r="E327" t="str">
            <v>00730997</v>
          </cell>
          <cell r="F327">
            <v>10</v>
          </cell>
          <cell r="G327">
            <v>9</v>
          </cell>
        </row>
        <row r="328">
          <cell r="E328" t="str">
            <v>00264314</v>
          </cell>
          <cell r="F328">
            <v>10</v>
          </cell>
          <cell r="G328">
            <v>10</v>
          </cell>
        </row>
        <row r="329">
          <cell r="E329" t="str">
            <v>00308459</v>
          </cell>
          <cell r="F329">
            <v>10</v>
          </cell>
          <cell r="G329">
            <v>180</v>
          </cell>
        </row>
        <row r="330">
          <cell r="E330" t="str">
            <v>00423749</v>
          </cell>
          <cell r="F330">
            <v>10</v>
          </cell>
          <cell r="G330">
            <v>70</v>
          </cell>
        </row>
        <row r="331">
          <cell r="E331" t="str">
            <v>00301803</v>
          </cell>
          <cell r="F331">
            <v>10</v>
          </cell>
        </row>
        <row r="332">
          <cell r="E332" t="str">
            <v>00301661</v>
          </cell>
          <cell r="F332">
            <v>10</v>
          </cell>
          <cell r="G332">
            <v>80</v>
          </cell>
        </row>
        <row r="333">
          <cell r="E333" t="str">
            <v>00473523</v>
          </cell>
          <cell r="F333">
            <v>10</v>
          </cell>
        </row>
        <row r="334">
          <cell r="E334" t="str">
            <v>00301509</v>
          </cell>
          <cell r="F334">
            <v>10</v>
          </cell>
          <cell r="G334">
            <v>55</v>
          </cell>
        </row>
        <row r="335">
          <cell r="E335" t="str">
            <v>00301485</v>
          </cell>
          <cell r="F335">
            <v>10</v>
          </cell>
          <cell r="G335">
            <v>380</v>
          </cell>
        </row>
        <row r="336">
          <cell r="E336" t="str">
            <v>00301481</v>
          </cell>
          <cell r="F336">
            <v>10</v>
          </cell>
          <cell r="G336">
            <v>30</v>
          </cell>
        </row>
        <row r="337">
          <cell r="E337" t="str">
            <v>00301719</v>
          </cell>
          <cell r="F337">
            <v>10</v>
          </cell>
          <cell r="G337">
            <v>90</v>
          </cell>
        </row>
        <row r="338">
          <cell r="E338" t="str">
            <v>00430612</v>
          </cell>
          <cell r="F338">
            <v>10</v>
          </cell>
          <cell r="G338">
            <v>120</v>
          </cell>
        </row>
        <row r="339">
          <cell r="E339" t="str">
            <v>00305967</v>
          </cell>
          <cell r="F339">
            <v>10</v>
          </cell>
          <cell r="G339">
            <v>5</v>
          </cell>
        </row>
        <row r="340">
          <cell r="E340" t="str">
            <v>00301851</v>
          </cell>
          <cell r="F340">
            <v>10</v>
          </cell>
          <cell r="G340">
            <v>32.5</v>
          </cell>
        </row>
        <row r="341">
          <cell r="E341" t="str">
            <v>00301852</v>
          </cell>
          <cell r="F341">
            <v>10</v>
          </cell>
          <cell r="G341">
            <v>25</v>
          </cell>
        </row>
        <row r="342">
          <cell r="E342" t="str">
            <v>00301942</v>
          </cell>
          <cell r="F342">
            <v>10</v>
          </cell>
          <cell r="G342">
            <v>35</v>
          </cell>
        </row>
        <row r="343">
          <cell r="E343" t="str">
            <v>00301967</v>
          </cell>
          <cell r="F343">
            <v>10</v>
          </cell>
          <cell r="G343">
            <v>170</v>
          </cell>
        </row>
        <row r="344">
          <cell r="E344" t="str">
            <v>00302010</v>
          </cell>
          <cell r="F344">
            <v>10</v>
          </cell>
          <cell r="G344">
            <v>30</v>
          </cell>
        </row>
        <row r="345">
          <cell r="E345" t="str">
            <v>00302009</v>
          </cell>
          <cell r="F345">
            <v>10</v>
          </cell>
          <cell r="G345">
            <v>140</v>
          </cell>
        </row>
        <row r="346">
          <cell r="E346" t="str">
            <v>00302004</v>
          </cell>
          <cell r="F346">
            <v>10</v>
          </cell>
          <cell r="G346">
            <v>240</v>
          </cell>
        </row>
        <row r="347">
          <cell r="E347" t="str">
            <v>00300630</v>
          </cell>
          <cell r="F347">
            <v>10</v>
          </cell>
          <cell r="G347">
            <v>10</v>
          </cell>
        </row>
        <row r="348">
          <cell r="E348" t="str">
            <v>00264695</v>
          </cell>
          <cell r="F348">
            <v>10</v>
          </cell>
          <cell r="G348">
            <v>590</v>
          </cell>
        </row>
        <row r="349">
          <cell r="E349" t="str">
            <v>00264617</v>
          </cell>
          <cell r="F349">
            <v>10</v>
          </cell>
        </row>
        <row r="350">
          <cell r="E350" t="str">
            <v>00264638</v>
          </cell>
          <cell r="F350">
            <v>10</v>
          </cell>
          <cell r="G350">
            <v>55</v>
          </cell>
        </row>
        <row r="351">
          <cell r="E351" t="str">
            <v>00611174</v>
          </cell>
          <cell r="F351">
            <v>10</v>
          </cell>
        </row>
        <row r="352">
          <cell r="E352" t="str">
            <v>00611386</v>
          </cell>
          <cell r="F352">
            <v>10</v>
          </cell>
          <cell r="G352">
            <v>18</v>
          </cell>
        </row>
        <row r="353">
          <cell r="E353" t="str">
            <v>00611473</v>
          </cell>
          <cell r="F353">
            <v>10</v>
          </cell>
          <cell r="G353">
            <v>72</v>
          </cell>
        </row>
        <row r="354">
          <cell r="E354" t="str">
            <v>00611471</v>
          </cell>
          <cell r="F354">
            <v>10</v>
          </cell>
          <cell r="G354">
            <v>17</v>
          </cell>
        </row>
        <row r="355">
          <cell r="E355" t="str">
            <v>00611462</v>
          </cell>
          <cell r="F355">
            <v>10</v>
          </cell>
          <cell r="G355">
            <v>18</v>
          </cell>
        </row>
        <row r="356">
          <cell r="E356" t="str">
            <v>00852480</v>
          </cell>
          <cell r="F356">
            <v>10</v>
          </cell>
          <cell r="G356">
            <v>36</v>
          </cell>
        </row>
        <row r="357">
          <cell r="E357" t="str">
            <v>00734980</v>
          </cell>
          <cell r="F357">
            <v>10</v>
          </cell>
          <cell r="G357">
            <v>43</v>
          </cell>
        </row>
        <row r="358">
          <cell r="E358" t="str">
            <v>00731361</v>
          </cell>
          <cell r="F358">
            <v>10</v>
          </cell>
          <cell r="G358">
            <v>65</v>
          </cell>
        </row>
        <row r="359">
          <cell r="E359" t="str">
            <v>00680173</v>
          </cell>
          <cell r="F359">
            <v>10</v>
          </cell>
        </row>
        <row r="360">
          <cell r="E360" t="str">
            <v>00736407</v>
          </cell>
          <cell r="F360">
            <v>10</v>
          </cell>
          <cell r="G360">
            <v>7.5</v>
          </cell>
        </row>
        <row r="361">
          <cell r="E361" t="str">
            <v>00720265</v>
          </cell>
          <cell r="F361">
            <v>9</v>
          </cell>
          <cell r="G361">
            <v>125</v>
          </cell>
        </row>
        <row r="362">
          <cell r="E362" t="str">
            <v>00853261</v>
          </cell>
          <cell r="F362">
            <v>9</v>
          </cell>
          <cell r="G362">
            <v>40</v>
          </cell>
        </row>
        <row r="363">
          <cell r="E363" t="str">
            <v>00611825</v>
          </cell>
          <cell r="F363">
            <v>9</v>
          </cell>
        </row>
        <row r="364">
          <cell r="E364" t="str">
            <v>00631437</v>
          </cell>
          <cell r="F364">
            <v>9</v>
          </cell>
        </row>
        <row r="365">
          <cell r="E365" t="str">
            <v>00853337</v>
          </cell>
          <cell r="F365">
            <v>9</v>
          </cell>
          <cell r="G365">
            <v>101</v>
          </cell>
        </row>
        <row r="366">
          <cell r="E366" t="str">
            <v>00723475</v>
          </cell>
          <cell r="F366">
            <v>9</v>
          </cell>
          <cell r="G366">
            <v>9</v>
          </cell>
        </row>
        <row r="367">
          <cell r="E367" t="str">
            <v>00301839</v>
          </cell>
          <cell r="F367">
            <v>8</v>
          </cell>
          <cell r="G367">
            <v>10</v>
          </cell>
        </row>
        <row r="368">
          <cell r="E368" t="str">
            <v>00423488</v>
          </cell>
          <cell r="F368">
            <v>8</v>
          </cell>
          <cell r="G368">
            <v>78</v>
          </cell>
        </row>
        <row r="369">
          <cell r="E369" t="str">
            <v>00734720</v>
          </cell>
          <cell r="F369">
            <v>8</v>
          </cell>
          <cell r="G369">
            <v>68</v>
          </cell>
        </row>
        <row r="370">
          <cell r="E370" t="str">
            <v>00852804</v>
          </cell>
          <cell r="F370">
            <v>8</v>
          </cell>
          <cell r="G370">
            <v>47</v>
          </cell>
        </row>
        <row r="371">
          <cell r="E371" t="str">
            <v>00852679</v>
          </cell>
          <cell r="F371">
            <v>8</v>
          </cell>
          <cell r="G371">
            <v>32</v>
          </cell>
        </row>
        <row r="372">
          <cell r="E372" t="str">
            <v>00611478</v>
          </cell>
          <cell r="F372">
            <v>8</v>
          </cell>
          <cell r="G372">
            <v>141</v>
          </cell>
        </row>
        <row r="373">
          <cell r="E373" t="str">
            <v>00852927</v>
          </cell>
          <cell r="F373">
            <v>8</v>
          </cell>
          <cell r="G373">
            <v>217</v>
          </cell>
        </row>
        <row r="374">
          <cell r="E374" t="str">
            <v>00723492</v>
          </cell>
          <cell r="F374">
            <v>8</v>
          </cell>
          <cell r="G374">
            <v>72</v>
          </cell>
        </row>
        <row r="375">
          <cell r="E375" t="str">
            <v>00305064</v>
          </cell>
          <cell r="F375">
            <v>7.5</v>
          </cell>
          <cell r="G375">
            <v>92.5</v>
          </cell>
        </row>
        <row r="376">
          <cell r="E376" t="str">
            <v>00301687</v>
          </cell>
          <cell r="F376">
            <v>7.5</v>
          </cell>
          <cell r="G376">
            <v>22.5</v>
          </cell>
        </row>
        <row r="377">
          <cell r="E377" t="str">
            <v>00306895</v>
          </cell>
          <cell r="F377">
            <v>7.5</v>
          </cell>
          <cell r="G377">
            <v>60</v>
          </cell>
        </row>
        <row r="378">
          <cell r="E378" t="str">
            <v>00738715</v>
          </cell>
          <cell r="F378">
            <v>7.5</v>
          </cell>
          <cell r="G378">
            <v>10</v>
          </cell>
        </row>
        <row r="379">
          <cell r="E379" t="str">
            <v>00301732</v>
          </cell>
          <cell r="F379">
            <v>7.5</v>
          </cell>
          <cell r="G379">
            <v>85</v>
          </cell>
        </row>
        <row r="380">
          <cell r="E380" t="str">
            <v>00473517</v>
          </cell>
          <cell r="F380">
            <v>7.5</v>
          </cell>
        </row>
        <row r="381">
          <cell r="E381" t="str">
            <v>00447601</v>
          </cell>
          <cell r="F381">
            <v>7.5</v>
          </cell>
        </row>
        <row r="382">
          <cell r="E382" t="str">
            <v>00301862</v>
          </cell>
          <cell r="F382">
            <v>7.5</v>
          </cell>
          <cell r="G382">
            <v>42.5</v>
          </cell>
        </row>
        <row r="383">
          <cell r="E383" t="str">
            <v>00304854</v>
          </cell>
          <cell r="F383">
            <v>7.5</v>
          </cell>
          <cell r="G383">
            <v>25</v>
          </cell>
        </row>
        <row r="384">
          <cell r="E384" t="str">
            <v>00301992</v>
          </cell>
          <cell r="F384">
            <v>7.5</v>
          </cell>
          <cell r="G384">
            <v>17.5</v>
          </cell>
        </row>
        <row r="385">
          <cell r="E385" t="str">
            <v>00305829</v>
          </cell>
          <cell r="F385">
            <v>7.5</v>
          </cell>
          <cell r="G385">
            <v>17.5</v>
          </cell>
        </row>
        <row r="386">
          <cell r="E386" t="str">
            <v>00681821</v>
          </cell>
          <cell r="F386">
            <v>7.5</v>
          </cell>
        </row>
        <row r="387">
          <cell r="E387" t="str">
            <v>00307894</v>
          </cell>
          <cell r="F387">
            <v>7</v>
          </cell>
          <cell r="G387">
            <v>58</v>
          </cell>
        </row>
        <row r="388">
          <cell r="E388" t="str">
            <v>00852678</v>
          </cell>
          <cell r="F388">
            <v>7</v>
          </cell>
          <cell r="G388">
            <v>11</v>
          </cell>
        </row>
        <row r="389">
          <cell r="E389" t="str">
            <v>00852404</v>
          </cell>
          <cell r="F389">
            <v>7</v>
          </cell>
          <cell r="G389">
            <v>27</v>
          </cell>
        </row>
        <row r="390">
          <cell r="E390" t="str">
            <v>00728160</v>
          </cell>
          <cell r="F390">
            <v>6.7999999999999989</v>
          </cell>
          <cell r="G390">
            <v>29.200000000000014</v>
          </cell>
        </row>
        <row r="391">
          <cell r="E391" t="str">
            <v>00718436</v>
          </cell>
          <cell r="F391">
            <v>6</v>
          </cell>
          <cell r="G391">
            <v>2</v>
          </cell>
        </row>
        <row r="392">
          <cell r="E392" t="str">
            <v>00853382</v>
          </cell>
          <cell r="F392">
            <v>6</v>
          </cell>
          <cell r="G392">
            <v>85</v>
          </cell>
        </row>
        <row r="393">
          <cell r="E393" t="str">
            <v>00633370</v>
          </cell>
          <cell r="F393">
            <v>6</v>
          </cell>
          <cell r="G393">
            <v>92</v>
          </cell>
        </row>
        <row r="394">
          <cell r="E394" t="str">
            <v>00680087</v>
          </cell>
          <cell r="F394">
            <v>6</v>
          </cell>
          <cell r="G394">
            <v>46</v>
          </cell>
        </row>
        <row r="395">
          <cell r="E395" t="str">
            <v>00852935</v>
          </cell>
          <cell r="F395">
            <v>6</v>
          </cell>
          <cell r="G395">
            <v>31</v>
          </cell>
        </row>
        <row r="396">
          <cell r="E396" t="str">
            <v>00727681</v>
          </cell>
          <cell r="F396">
            <v>6</v>
          </cell>
          <cell r="G396">
            <v>1</v>
          </cell>
        </row>
        <row r="397">
          <cell r="E397" t="str">
            <v>00301663</v>
          </cell>
          <cell r="F397">
            <v>6</v>
          </cell>
          <cell r="G397">
            <v>27</v>
          </cell>
        </row>
        <row r="398">
          <cell r="E398" t="str">
            <v>00736948</v>
          </cell>
          <cell r="F398">
            <v>6</v>
          </cell>
          <cell r="G398">
            <v>15</v>
          </cell>
        </row>
        <row r="399">
          <cell r="E399" t="str">
            <v>00738111</v>
          </cell>
          <cell r="F399">
            <v>6</v>
          </cell>
          <cell r="G399">
            <v>3</v>
          </cell>
        </row>
        <row r="400">
          <cell r="E400" t="str">
            <v>00722934</v>
          </cell>
          <cell r="F400">
            <v>6</v>
          </cell>
        </row>
        <row r="401">
          <cell r="E401" t="str">
            <v>00611391</v>
          </cell>
          <cell r="F401">
            <v>6</v>
          </cell>
          <cell r="G401">
            <v>12</v>
          </cell>
        </row>
        <row r="402">
          <cell r="E402" t="str">
            <v>00611467</v>
          </cell>
          <cell r="F402">
            <v>6</v>
          </cell>
          <cell r="G402">
            <v>13</v>
          </cell>
        </row>
        <row r="403">
          <cell r="E403" t="str">
            <v>00852414</v>
          </cell>
          <cell r="F403">
            <v>6</v>
          </cell>
          <cell r="G403">
            <v>22</v>
          </cell>
        </row>
        <row r="404">
          <cell r="E404" t="str">
            <v>00852421</v>
          </cell>
          <cell r="F404">
            <v>6</v>
          </cell>
          <cell r="G404">
            <v>41</v>
          </cell>
        </row>
        <row r="405">
          <cell r="E405" t="str">
            <v>00852472</v>
          </cell>
          <cell r="F405">
            <v>6</v>
          </cell>
          <cell r="G405">
            <v>38</v>
          </cell>
        </row>
        <row r="406">
          <cell r="E406" t="str">
            <v>00726726</v>
          </cell>
          <cell r="F406">
            <v>6</v>
          </cell>
          <cell r="G406">
            <v>39</v>
          </cell>
        </row>
        <row r="407">
          <cell r="E407" t="str">
            <v>00680168</v>
          </cell>
          <cell r="F407">
            <v>6</v>
          </cell>
          <cell r="G407">
            <v>16</v>
          </cell>
        </row>
        <row r="408">
          <cell r="E408" t="str">
            <v>00680174</v>
          </cell>
          <cell r="F408">
            <v>6</v>
          </cell>
          <cell r="G408">
            <v>16</v>
          </cell>
        </row>
        <row r="409">
          <cell r="E409" t="str">
            <v>00680179</v>
          </cell>
          <cell r="F409">
            <v>6</v>
          </cell>
          <cell r="G409">
            <v>40.5</v>
          </cell>
        </row>
        <row r="410">
          <cell r="E410" t="str">
            <v>00618050</v>
          </cell>
          <cell r="F410">
            <v>5</v>
          </cell>
        </row>
        <row r="411">
          <cell r="E411" t="str">
            <v>00423201</v>
          </cell>
          <cell r="F411">
            <v>5</v>
          </cell>
          <cell r="G411">
            <v>7.5</v>
          </cell>
        </row>
        <row r="412">
          <cell r="E412" t="str">
            <v>00423206</v>
          </cell>
          <cell r="F412">
            <v>5</v>
          </cell>
          <cell r="G412">
            <v>20</v>
          </cell>
        </row>
        <row r="413">
          <cell r="E413" t="str">
            <v>00442392</v>
          </cell>
          <cell r="F413">
            <v>5</v>
          </cell>
          <cell r="G413">
            <v>240</v>
          </cell>
        </row>
        <row r="414">
          <cell r="E414" t="str">
            <v>00423380</v>
          </cell>
          <cell r="F414">
            <v>5</v>
          </cell>
          <cell r="G414">
            <v>55</v>
          </cell>
        </row>
        <row r="415">
          <cell r="E415" t="str">
            <v>00423381</v>
          </cell>
          <cell r="F415">
            <v>5</v>
          </cell>
          <cell r="G415">
            <v>330</v>
          </cell>
        </row>
        <row r="416">
          <cell r="E416" t="str">
            <v>00305059</v>
          </cell>
          <cell r="F416">
            <v>5</v>
          </cell>
          <cell r="G416">
            <v>5</v>
          </cell>
        </row>
        <row r="417">
          <cell r="E417" t="str">
            <v>00305071</v>
          </cell>
          <cell r="F417">
            <v>5</v>
          </cell>
          <cell r="G417">
            <v>222.5</v>
          </cell>
        </row>
        <row r="418">
          <cell r="E418" t="str">
            <v>00302861</v>
          </cell>
          <cell r="F418">
            <v>5</v>
          </cell>
        </row>
        <row r="419">
          <cell r="E419" t="str">
            <v>00300399</v>
          </cell>
          <cell r="F419">
            <v>5</v>
          </cell>
          <cell r="G419">
            <v>30</v>
          </cell>
        </row>
        <row r="420">
          <cell r="E420" t="str">
            <v>00631525</v>
          </cell>
          <cell r="F420">
            <v>5</v>
          </cell>
          <cell r="G420">
            <v>5</v>
          </cell>
        </row>
        <row r="421">
          <cell r="E421" t="str">
            <v>00303707</v>
          </cell>
          <cell r="F421">
            <v>5</v>
          </cell>
          <cell r="G421">
            <v>50</v>
          </cell>
        </row>
        <row r="422">
          <cell r="E422" t="str">
            <v>00304285</v>
          </cell>
          <cell r="F422">
            <v>5</v>
          </cell>
          <cell r="G422">
            <v>80</v>
          </cell>
        </row>
        <row r="423">
          <cell r="E423" t="str">
            <v>00473538</v>
          </cell>
          <cell r="F423">
            <v>5</v>
          </cell>
        </row>
        <row r="424">
          <cell r="E424" t="str">
            <v>00301837</v>
          </cell>
          <cell r="F424">
            <v>5</v>
          </cell>
          <cell r="G424">
            <v>65</v>
          </cell>
        </row>
        <row r="425">
          <cell r="E425" t="str">
            <v>00301504</v>
          </cell>
          <cell r="F425">
            <v>5</v>
          </cell>
          <cell r="G425">
            <v>25</v>
          </cell>
        </row>
        <row r="426">
          <cell r="E426" t="str">
            <v>00421699</v>
          </cell>
          <cell r="F426">
            <v>5</v>
          </cell>
          <cell r="G426">
            <v>15</v>
          </cell>
        </row>
        <row r="427">
          <cell r="E427" t="str">
            <v>00301854</v>
          </cell>
          <cell r="F427">
            <v>5</v>
          </cell>
          <cell r="G427">
            <v>135</v>
          </cell>
        </row>
        <row r="428">
          <cell r="E428" t="str">
            <v>00304853</v>
          </cell>
          <cell r="F428">
            <v>5</v>
          </cell>
          <cell r="G428">
            <v>80</v>
          </cell>
        </row>
        <row r="429">
          <cell r="E429" t="str">
            <v>00301984</v>
          </cell>
          <cell r="F429">
            <v>5</v>
          </cell>
          <cell r="G429">
            <v>12.5</v>
          </cell>
        </row>
        <row r="430">
          <cell r="E430" t="str">
            <v>00301952</v>
          </cell>
          <cell r="F430">
            <v>5</v>
          </cell>
          <cell r="G430">
            <v>110</v>
          </cell>
        </row>
        <row r="431">
          <cell r="E431" t="str">
            <v>00301969</v>
          </cell>
          <cell r="F431">
            <v>5</v>
          </cell>
        </row>
        <row r="432">
          <cell r="E432" t="str">
            <v>00301976</v>
          </cell>
          <cell r="F432">
            <v>5</v>
          </cell>
          <cell r="G432">
            <v>25</v>
          </cell>
        </row>
        <row r="433">
          <cell r="E433" t="str">
            <v>00305833</v>
          </cell>
          <cell r="F433">
            <v>5</v>
          </cell>
          <cell r="G433">
            <v>105</v>
          </cell>
        </row>
        <row r="434">
          <cell r="E434" t="str">
            <v>00264723</v>
          </cell>
          <cell r="F434">
            <v>5</v>
          </cell>
          <cell r="G434">
            <v>60</v>
          </cell>
        </row>
        <row r="435">
          <cell r="E435" t="str">
            <v>00305842</v>
          </cell>
          <cell r="F435">
            <v>5</v>
          </cell>
          <cell r="G435">
            <v>50</v>
          </cell>
        </row>
        <row r="436">
          <cell r="E436" t="str">
            <v>00264382</v>
          </cell>
          <cell r="F436">
            <v>5</v>
          </cell>
          <cell r="G436">
            <v>85</v>
          </cell>
        </row>
        <row r="437">
          <cell r="E437" t="str">
            <v>00264700</v>
          </cell>
          <cell r="F437">
            <v>5</v>
          </cell>
        </row>
        <row r="438">
          <cell r="E438" t="str">
            <v>00734722</v>
          </cell>
          <cell r="F438">
            <v>5</v>
          </cell>
          <cell r="G438">
            <v>70</v>
          </cell>
        </row>
        <row r="439">
          <cell r="E439" t="str">
            <v>00424016</v>
          </cell>
          <cell r="F439">
            <v>5</v>
          </cell>
          <cell r="G439">
            <v>32</v>
          </cell>
        </row>
        <row r="440">
          <cell r="E440" t="str">
            <v>00852411</v>
          </cell>
          <cell r="F440">
            <v>5</v>
          </cell>
          <cell r="G440">
            <v>9</v>
          </cell>
        </row>
        <row r="441">
          <cell r="E441" t="str">
            <v>00852425</v>
          </cell>
          <cell r="F441">
            <v>5</v>
          </cell>
          <cell r="G441">
            <v>7.5</v>
          </cell>
        </row>
        <row r="442">
          <cell r="E442" t="str">
            <v>00614869</v>
          </cell>
          <cell r="F442">
            <v>5</v>
          </cell>
          <cell r="G442">
            <v>15</v>
          </cell>
        </row>
        <row r="443">
          <cell r="E443" t="str">
            <v>00722752</v>
          </cell>
          <cell r="F443">
            <v>5</v>
          </cell>
        </row>
        <row r="444">
          <cell r="E444" t="str">
            <v>00738678</v>
          </cell>
          <cell r="F444">
            <v>5</v>
          </cell>
          <cell r="G444">
            <v>9</v>
          </cell>
        </row>
        <row r="445">
          <cell r="E445" t="str">
            <v>00724312</v>
          </cell>
          <cell r="F445">
            <v>5</v>
          </cell>
        </row>
        <row r="446">
          <cell r="E446" t="str">
            <v>00680172</v>
          </cell>
          <cell r="F446">
            <v>5</v>
          </cell>
          <cell r="G446">
            <v>25</v>
          </cell>
        </row>
        <row r="447">
          <cell r="E447" t="str">
            <v>00731259</v>
          </cell>
          <cell r="F447">
            <v>5</v>
          </cell>
          <cell r="G447">
            <v>18</v>
          </cell>
        </row>
        <row r="448">
          <cell r="E448" t="str">
            <v>00734786</v>
          </cell>
          <cell r="F448">
            <v>5</v>
          </cell>
          <cell r="G448">
            <v>10</v>
          </cell>
        </row>
        <row r="449">
          <cell r="E449" t="str">
            <v>00633142</v>
          </cell>
          <cell r="F449">
            <v>5</v>
          </cell>
          <cell r="G449">
            <v>35</v>
          </cell>
        </row>
        <row r="450">
          <cell r="E450" t="str">
            <v>00728166</v>
          </cell>
          <cell r="F450">
            <v>5</v>
          </cell>
          <cell r="G450">
            <v>60</v>
          </cell>
        </row>
        <row r="451">
          <cell r="E451" t="str">
            <v>00470317</v>
          </cell>
          <cell r="F451">
            <v>4.625</v>
          </cell>
        </row>
        <row r="452">
          <cell r="E452" t="str">
            <v>00614857</v>
          </cell>
          <cell r="F452">
            <v>4.5</v>
          </cell>
          <cell r="G452">
            <v>19</v>
          </cell>
        </row>
        <row r="453">
          <cell r="E453" t="str">
            <v>00680182</v>
          </cell>
          <cell r="F453">
            <v>4.34</v>
          </cell>
          <cell r="G453">
            <v>0.31</v>
          </cell>
        </row>
        <row r="454">
          <cell r="E454" t="str">
            <v>00730914</v>
          </cell>
          <cell r="F454">
            <v>4</v>
          </cell>
          <cell r="G454">
            <v>15</v>
          </cell>
        </row>
        <row r="455">
          <cell r="E455" t="str">
            <v>00615641</v>
          </cell>
          <cell r="F455">
            <v>4</v>
          </cell>
          <cell r="G455">
            <v>143</v>
          </cell>
        </row>
        <row r="456">
          <cell r="E456" t="str">
            <v>00728204</v>
          </cell>
          <cell r="F456">
            <v>4</v>
          </cell>
          <cell r="G456">
            <v>33</v>
          </cell>
        </row>
        <row r="457">
          <cell r="E457" t="str">
            <v>00728208</v>
          </cell>
          <cell r="F457">
            <v>4</v>
          </cell>
          <cell r="G457">
            <v>20</v>
          </cell>
        </row>
        <row r="458">
          <cell r="E458" t="str">
            <v>00301845</v>
          </cell>
          <cell r="F458">
            <v>4</v>
          </cell>
          <cell r="G458">
            <v>8</v>
          </cell>
        </row>
        <row r="459">
          <cell r="E459" t="str">
            <v>00852800</v>
          </cell>
          <cell r="F459">
            <v>4</v>
          </cell>
          <cell r="G459">
            <v>26</v>
          </cell>
        </row>
        <row r="460">
          <cell r="E460" t="str">
            <v>00852688</v>
          </cell>
          <cell r="F460">
            <v>4</v>
          </cell>
          <cell r="G460">
            <v>38</v>
          </cell>
        </row>
        <row r="461">
          <cell r="E461" t="str">
            <v>00611472</v>
          </cell>
          <cell r="F461">
            <v>4</v>
          </cell>
          <cell r="G461">
            <v>28</v>
          </cell>
        </row>
        <row r="462">
          <cell r="E462" t="str">
            <v>00853253</v>
          </cell>
          <cell r="F462">
            <v>4</v>
          </cell>
          <cell r="G462">
            <v>37</v>
          </cell>
        </row>
        <row r="463">
          <cell r="E463" t="str">
            <v>00852707</v>
          </cell>
          <cell r="F463">
            <v>4</v>
          </cell>
        </row>
        <row r="464">
          <cell r="E464" t="str">
            <v>00852708</v>
          </cell>
          <cell r="F464">
            <v>4</v>
          </cell>
        </row>
        <row r="465">
          <cell r="E465" t="str">
            <v>00852921</v>
          </cell>
          <cell r="F465">
            <v>4</v>
          </cell>
          <cell r="G465">
            <v>38</v>
          </cell>
        </row>
        <row r="466">
          <cell r="E466" t="str">
            <v>00617975</v>
          </cell>
          <cell r="F466">
            <v>4</v>
          </cell>
          <cell r="G466">
            <v>13</v>
          </cell>
        </row>
        <row r="467">
          <cell r="E467" t="str">
            <v>00852430</v>
          </cell>
          <cell r="F467">
            <v>3.75</v>
          </cell>
          <cell r="G467">
            <v>10.5</v>
          </cell>
        </row>
        <row r="468">
          <cell r="E468" t="str">
            <v>00853475</v>
          </cell>
          <cell r="F468">
            <v>3.3</v>
          </cell>
          <cell r="G468">
            <v>3.8499999999999996</v>
          </cell>
        </row>
        <row r="469">
          <cell r="E469" t="str">
            <v>00730927</v>
          </cell>
          <cell r="F469">
            <v>3</v>
          </cell>
        </row>
        <row r="470">
          <cell r="E470" t="str">
            <v>00730916</v>
          </cell>
          <cell r="F470">
            <v>3</v>
          </cell>
          <cell r="G470">
            <v>15</v>
          </cell>
        </row>
        <row r="471">
          <cell r="E471" t="str">
            <v>00739805</v>
          </cell>
          <cell r="F471">
            <v>3</v>
          </cell>
          <cell r="G471">
            <v>11</v>
          </cell>
        </row>
        <row r="472">
          <cell r="E472" t="str">
            <v>00614848</v>
          </cell>
          <cell r="F472">
            <v>3</v>
          </cell>
          <cell r="G472">
            <v>10</v>
          </cell>
        </row>
        <row r="473">
          <cell r="E473" t="str">
            <v>00852934</v>
          </cell>
          <cell r="F473">
            <v>3</v>
          </cell>
          <cell r="G473">
            <v>35</v>
          </cell>
        </row>
        <row r="474">
          <cell r="E474" t="str">
            <v>00305055</v>
          </cell>
          <cell r="F474">
            <v>3</v>
          </cell>
          <cell r="G474">
            <v>3</v>
          </cell>
        </row>
        <row r="475">
          <cell r="E475" t="str">
            <v>00301997</v>
          </cell>
          <cell r="F475">
            <v>3</v>
          </cell>
          <cell r="G475">
            <v>9.75</v>
          </cell>
        </row>
        <row r="476">
          <cell r="E476" t="str">
            <v>00301941</v>
          </cell>
          <cell r="F476">
            <v>3</v>
          </cell>
          <cell r="G476">
            <v>6</v>
          </cell>
        </row>
        <row r="477">
          <cell r="E477" t="str">
            <v>00633577</v>
          </cell>
          <cell r="F477">
            <v>3</v>
          </cell>
          <cell r="G477">
            <v>2</v>
          </cell>
        </row>
        <row r="478">
          <cell r="E478" t="str">
            <v>00680883</v>
          </cell>
          <cell r="F478">
            <v>3</v>
          </cell>
        </row>
        <row r="479">
          <cell r="E479" t="str">
            <v>00680885</v>
          </cell>
          <cell r="F479">
            <v>3</v>
          </cell>
          <cell r="G479">
            <v>4</v>
          </cell>
        </row>
        <row r="480">
          <cell r="E480" t="str">
            <v>00611384</v>
          </cell>
          <cell r="F480">
            <v>3</v>
          </cell>
        </row>
        <row r="481">
          <cell r="E481" t="str">
            <v>00681362</v>
          </cell>
          <cell r="F481">
            <v>3</v>
          </cell>
          <cell r="G481">
            <v>1</v>
          </cell>
        </row>
        <row r="482">
          <cell r="E482" t="str">
            <v>00852815</v>
          </cell>
          <cell r="F482">
            <v>3</v>
          </cell>
          <cell r="G482">
            <v>144</v>
          </cell>
        </row>
        <row r="483">
          <cell r="E483" t="str">
            <v>00611459</v>
          </cell>
          <cell r="F483">
            <v>3</v>
          </cell>
          <cell r="G483">
            <v>34</v>
          </cell>
        </row>
        <row r="484">
          <cell r="E484" t="str">
            <v>00852415</v>
          </cell>
          <cell r="F484">
            <v>3</v>
          </cell>
          <cell r="G484">
            <v>5</v>
          </cell>
        </row>
        <row r="485">
          <cell r="E485" t="str">
            <v>00852926</v>
          </cell>
          <cell r="F485">
            <v>3</v>
          </cell>
          <cell r="G485">
            <v>7</v>
          </cell>
        </row>
        <row r="486">
          <cell r="E486" t="str">
            <v>00681741</v>
          </cell>
          <cell r="F486">
            <v>3</v>
          </cell>
        </row>
        <row r="487">
          <cell r="E487" t="str">
            <v>00852470</v>
          </cell>
          <cell r="F487">
            <v>3</v>
          </cell>
          <cell r="G487">
            <v>30</v>
          </cell>
        </row>
        <row r="488">
          <cell r="E488" t="str">
            <v>00717187</v>
          </cell>
          <cell r="F488">
            <v>3</v>
          </cell>
          <cell r="G488">
            <v>7</v>
          </cell>
        </row>
        <row r="489">
          <cell r="E489" t="str">
            <v>00737914</v>
          </cell>
          <cell r="F489">
            <v>3</v>
          </cell>
          <cell r="G489">
            <v>11</v>
          </cell>
        </row>
        <row r="490">
          <cell r="E490" t="str">
            <v>00615210</v>
          </cell>
          <cell r="F490">
            <v>3</v>
          </cell>
          <cell r="G490">
            <v>4</v>
          </cell>
        </row>
        <row r="491">
          <cell r="E491" t="str">
            <v>00680180</v>
          </cell>
          <cell r="F491">
            <v>3</v>
          </cell>
          <cell r="G491">
            <v>17</v>
          </cell>
        </row>
        <row r="492">
          <cell r="E492" t="str">
            <v>00728159</v>
          </cell>
          <cell r="F492">
            <v>3</v>
          </cell>
          <cell r="G492">
            <v>8</v>
          </cell>
        </row>
        <row r="493">
          <cell r="E493" t="str">
            <v>00728114</v>
          </cell>
          <cell r="F493">
            <v>3</v>
          </cell>
        </row>
        <row r="494">
          <cell r="E494" t="str">
            <v>00423739</v>
          </cell>
          <cell r="F494">
            <v>2.5</v>
          </cell>
        </row>
        <row r="495">
          <cell r="E495" t="str">
            <v>00305054</v>
          </cell>
          <cell r="F495">
            <v>2.5</v>
          </cell>
          <cell r="G495">
            <v>75</v>
          </cell>
        </row>
        <row r="496">
          <cell r="E496" t="str">
            <v>00302434</v>
          </cell>
          <cell r="F496">
            <v>2.5</v>
          </cell>
          <cell r="G496">
            <v>32.5</v>
          </cell>
        </row>
        <row r="497">
          <cell r="E497" t="str">
            <v>00301660</v>
          </cell>
          <cell r="F497">
            <v>2.5</v>
          </cell>
          <cell r="G497">
            <v>22.5</v>
          </cell>
        </row>
        <row r="498">
          <cell r="E498" t="str">
            <v>00308409</v>
          </cell>
          <cell r="F498">
            <v>2.5</v>
          </cell>
          <cell r="G498">
            <v>12.5</v>
          </cell>
        </row>
        <row r="499">
          <cell r="E499" t="str">
            <v>00304284</v>
          </cell>
          <cell r="F499">
            <v>2.5</v>
          </cell>
          <cell r="G499">
            <v>5</v>
          </cell>
        </row>
        <row r="500">
          <cell r="E500" t="str">
            <v>00301636</v>
          </cell>
          <cell r="F500">
            <v>2.5</v>
          </cell>
        </row>
        <row r="501">
          <cell r="E501" t="str">
            <v>00473528</v>
          </cell>
          <cell r="F501">
            <v>2.5</v>
          </cell>
        </row>
        <row r="502">
          <cell r="E502" t="str">
            <v>00305031</v>
          </cell>
          <cell r="F502">
            <v>2.5</v>
          </cell>
          <cell r="G502">
            <v>52.5</v>
          </cell>
        </row>
        <row r="503">
          <cell r="E503" t="str">
            <v>00301511</v>
          </cell>
          <cell r="F503">
            <v>2.5</v>
          </cell>
          <cell r="G503">
            <v>7.5</v>
          </cell>
        </row>
        <row r="504">
          <cell r="E504" t="str">
            <v>00301833</v>
          </cell>
          <cell r="F504">
            <v>2.5</v>
          </cell>
          <cell r="G504">
            <v>2.5</v>
          </cell>
        </row>
        <row r="505">
          <cell r="E505" t="str">
            <v>00301724</v>
          </cell>
          <cell r="F505">
            <v>2.5</v>
          </cell>
          <cell r="G505">
            <v>0</v>
          </cell>
        </row>
        <row r="506">
          <cell r="E506" t="str">
            <v>00304863</v>
          </cell>
          <cell r="F506">
            <v>2.5</v>
          </cell>
          <cell r="G506">
            <v>7.5</v>
          </cell>
        </row>
        <row r="507">
          <cell r="E507" t="str">
            <v>00301982</v>
          </cell>
          <cell r="F507">
            <v>2.5</v>
          </cell>
          <cell r="G507">
            <v>52.5</v>
          </cell>
        </row>
        <row r="508">
          <cell r="E508" t="str">
            <v>00301994</v>
          </cell>
          <cell r="F508">
            <v>2.5</v>
          </cell>
          <cell r="G508">
            <v>2.5</v>
          </cell>
        </row>
        <row r="509">
          <cell r="E509" t="str">
            <v>00301951</v>
          </cell>
          <cell r="F509">
            <v>2.5</v>
          </cell>
        </row>
        <row r="510">
          <cell r="E510" t="str">
            <v>00301957</v>
          </cell>
          <cell r="F510">
            <v>2.5</v>
          </cell>
          <cell r="G510">
            <v>17.5</v>
          </cell>
        </row>
        <row r="511">
          <cell r="E511" t="str">
            <v>00301954</v>
          </cell>
          <cell r="F511">
            <v>2.5</v>
          </cell>
          <cell r="G511">
            <v>37.5</v>
          </cell>
        </row>
        <row r="512">
          <cell r="E512" t="str">
            <v>00305836</v>
          </cell>
          <cell r="F512">
            <v>2.5</v>
          </cell>
          <cell r="G512">
            <v>17.5</v>
          </cell>
        </row>
        <row r="513">
          <cell r="E513" t="str">
            <v>00306718</v>
          </cell>
          <cell r="F513">
            <v>2.5</v>
          </cell>
          <cell r="G513">
            <v>12.5</v>
          </cell>
        </row>
        <row r="514">
          <cell r="E514" t="str">
            <v>00264703</v>
          </cell>
          <cell r="F514">
            <v>2.5</v>
          </cell>
          <cell r="G514">
            <v>12.5</v>
          </cell>
        </row>
        <row r="515">
          <cell r="E515" t="str">
            <v>00264785</v>
          </cell>
          <cell r="F515">
            <v>2.5</v>
          </cell>
          <cell r="G515">
            <v>12.5</v>
          </cell>
        </row>
        <row r="516">
          <cell r="E516" t="str">
            <v>00264798</v>
          </cell>
          <cell r="F516">
            <v>2.5</v>
          </cell>
        </row>
        <row r="517">
          <cell r="E517" t="str">
            <v>00852419</v>
          </cell>
          <cell r="F517">
            <v>2.5</v>
          </cell>
          <cell r="G517">
            <v>2.5</v>
          </cell>
        </row>
        <row r="518">
          <cell r="E518" t="str">
            <v>00680187</v>
          </cell>
          <cell r="F518">
            <v>2.5</v>
          </cell>
          <cell r="G518">
            <v>58.75</v>
          </cell>
        </row>
        <row r="519">
          <cell r="E519" t="str">
            <v>00306743</v>
          </cell>
          <cell r="F519">
            <v>2.4000000000000004</v>
          </cell>
          <cell r="G519">
            <v>13.6</v>
          </cell>
        </row>
        <row r="520">
          <cell r="E520" t="str">
            <v>00324709</v>
          </cell>
          <cell r="F520">
            <v>2.4000000000000004</v>
          </cell>
          <cell r="G520">
            <v>7.1999999999999993</v>
          </cell>
        </row>
        <row r="521">
          <cell r="E521" t="str">
            <v>00728164</v>
          </cell>
          <cell r="F521">
            <v>2.4</v>
          </cell>
          <cell r="G521">
            <v>10.799999999999999</v>
          </cell>
        </row>
        <row r="522">
          <cell r="E522" t="str">
            <v>00738064</v>
          </cell>
          <cell r="F522">
            <v>2</v>
          </cell>
          <cell r="G522">
            <v>4</v>
          </cell>
        </row>
        <row r="523">
          <cell r="E523" t="str">
            <v>00610844</v>
          </cell>
          <cell r="F523">
            <v>2</v>
          </cell>
          <cell r="G523">
            <v>36</v>
          </cell>
        </row>
        <row r="524">
          <cell r="E524" t="str">
            <v>00729828</v>
          </cell>
          <cell r="F524">
            <v>2</v>
          </cell>
          <cell r="G524">
            <v>60</v>
          </cell>
        </row>
        <row r="525">
          <cell r="E525" t="str">
            <v>00852936</v>
          </cell>
          <cell r="F525">
            <v>2</v>
          </cell>
          <cell r="G525">
            <v>87</v>
          </cell>
        </row>
        <row r="526">
          <cell r="E526" t="str">
            <v>00423379</v>
          </cell>
          <cell r="F526">
            <v>2</v>
          </cell>
          <cell r="G526">
            <v>14</v>
          </cell>
        </row>
        <row r="527">
          <cell r="E527" t="str">
            <v>00305065</v>
          </cell>
          <cell r="F527">
            <v>2</v>
          </cell>
          <cell r="G527">
            <v>15</v>
          </cell>
        </row>
        <row r="528">
          <cell r="E528" t="str">
            <v>00473516</v>
          </cell>
          <cell r="F528">
            <v>2</v>
          </cell>
        </row>
        <row r="529">
          <cell r="E529" t="str">
            <v>00736958</v>
          </cell>
          <cell r="F529">
            <v>2</v>
          </cell>
          <cell r="G529">
            <v>9</v>
          </cell>
        </row>
        <row r="530">
          <cell r="E530" t="str">
            <v>00738114</v>
          </cell>
          <cell r="F530">
            <v>2</v>
          </cell>
          <cell r="G530">
            <v>9</v>
          </cell>
        </row>
        <row r="531">
          <cell r="E531" t="str">
            <v>00720242</v>
          </cell>
          <cell r="F531">
            <v>2</v>
          </cell>
        </row>
        <row r="532">
          <cell r="E532" t="str">
            <v>00680171</v>
          </cell>
          <cell r="F532">
            <v>2</v>
          </cell>
          <cell r="G532">
            <v>3</v>
          </cell>
        </row>
        <row r="533">
          <cell r="E533" t="str">
            <v>00680784</v>
          </cell>
          <cell r="F533">
            <v>2</v>
          </cell>
        </row>
        <row r="534">
          <cell r="E534" t="str">
            <v>00724429</v>
          </cell>
          <cell r="F534">
            <v>2</v>
          </cell>
        </row>
        <row r="535">
          <cell r="E535" t="str">
            <v>00680884</v>
          </cell>
          <cell r="F535">
            <v>2</v>
          </cell>
          <cell r="G535">
            <v>2</v>
          </cell>
        </row>
        <row r="536">
          <cell r="E536" t="str">
            <v>00611387</v>
          </cell>
          <cell r="F536">
            <v>2</v>
          </cell>
          <cell r="G536">
            <v>7</v>
          </cell>
        </row>
        <row r="537">
          <cell r="E537" t="str">
            <v>00611388</v>
          </cell>
          <cell r="F537">
            <v>2</v>
          </cell>
          <cell r="G537">
            <v>0</v>
          </cell>
        </row>
        <row r="538">
          <cell r="E538" t="str">
            <v>00722953</v>
          </cell>
          <cell r="F538">
            <v>2</v>
          </cell>
          <cell r="G538">
            <v>8</v>
          </cell>
        </row>
        <row r="539">
          <cell r="E539" t="str">
            <v>00852825</v>
          </cell>
          <cell r="F539">
            <v>2</v>
          </cell>
          <cell r="G539">
            <v>13</v>
          </cell>
        </row>
        <row r="540">
          <cell r="E540" t="str">
            <v>00852799</v>
          </cell>
          <cell r="F540">
            <v>2</v>
          </cell>
          <cell r="G540">
            <v>24</v>
          </cell>
        </row>
        <row r="541">
          <cell r="E541" t="str">
            <v>00852807</v>
          </cell>
          <cell r="F541">
            <v>2</v>
          </cell>
          <cell r="G541">
            <v>26</v>
          </cell>
        </row>
        <row r="542">
          <cell r="E542" t="str">
            <v>00681452</v>
          </cell>
          <cell r="F542">
            <v>2</v>
          </cell>
        </row>
        <row r="543">
          <cell r="E543" t="str">
            <v>00611466</v>
          </cell>
          <cell r="F543">
            <v>2</v>
          </cell>
          <cell r="G543">
            <v>4</v>
          </cell>
        </row>
        <row r="544">
          <cell r="E544" t="str">
            <v>00611465</v>
          </cell>
          <cell r="F544">
            <v>2</v>
          </cell>
          <cell r="G544">
            <v>25</v>
          </cell>
        </row>
        <row r="545">
          <cell r="E545" t="str">
            <v>00853448</v>
          </cell>
          <cell r="F545">
            <v>2</v>
          </cell>
          <cell r="G545">
            <v>9</v>
          </cell>
        </row>
        <row r="546">
          <cell r="E546" t="str">
            <v>00852418</v>
          </cell>
          <cell r="F546">
            <v>2</v>
          </cell>
          <cell r="G546">
            <v>1.5</v>
          </cell>
        </row>
        <row r="547">
          <cell r="E547" t="str">
            <v>00681446</v>
          </cell>
          <cell r="F547">
            <v>2</v>
          </cell>
        </row>
        <row r="548">
          <cell r="E548" t="str">
            <v>00852928</v>
          </cell>
          <cell r="F548">
            <v>2</v>
          </cell>
          <cell r="G548">
            <v>1</v>
          </cell>
        </row>
        <row r="549">
          <cell r="E549" t="str">
            <v>00681460</v>
          </cell>
          <cell r="F549">
            <v>2</v>
          </cell>
        </row>
        <row r="550">
          <cell r="E550" t="str">
            <v>00681461</v>
          </cell>
          <cell r="F550">
            <v>2</v>
          </cell>
        </row>
        <row r="551">
          <cell r="E551" t="str">
            <v>00681462</v>
          </cell>
          <cell r="F551">
            <v>2</v>
          </cell>
          <cell r="G551">
            <v>1</v>
          </cell>
        </row>
        <row r="552">
          <cell r="E552" t="str">
            <v>00611083</v>
          </cell>
          <cell r="F552">
            <v>2</v>
          </cell>
          <cell r="G552">
            <v>1</v>
          </cell>
        </row>
        <row r="553">
          <cell r="E553" t="str">
            <v>00737913</v>
          </cell>
          <cell r="F553">
            <v>2</v>
          </cell>
          <cell r="G553">
            <v>5</v>
          </cell>
        </row>
        <row r="554">
          <cell r="E554" t="str">
            <v>00722409</v>
          </cell>
          <cell r="F554">
            <v>2</v>
          </cell>
          <cell r="G554">
            <v>4</v>
          </cell>
        </row>
        <row r="555">
          <cell r="E555" t="str">
            <v>00718761</v>
          </cell>
          <cell r="F555">
            <v>2</v>
          </cell>
          <cell r="G555">
            <v>21</v>
          </cell>
        </row>
        <row r="556">
          <cell r="E556" t="str">
            <v>00735548</v>
          </cell>
          <cell r="F556">
            <v>2</v>
          </cell>
          <cell r="G556">
            <v>1</v>
          </cell>
        </row>
        <row r="557">
          <cell r="E557" t="str">
            <v>00853256</v>
          </cell>
          <cell r="F557">
            <v>2</v>
          </cell>
          <cell r="G557">
            <v>5</v>
          </cell>
        </row>
        <row r="558">
          <cell r="E558" t="str">
            <v>00611159</v>
          </cell>
          <cell r="F558">
            <v>2</v>
          </cell>
          <cell r="G558">
            <v>3</v>
          </cell>
        </row>
        <row r="559">
          <cell r="E559" t="str">
            <v>00681820</v>
          </cell>
          <cell r="F559">
            <v>2</v>
          </cell>
          <cell r="G559">
            <v>1</v>
          </cell>
        </row>
        <row r="560">
          <cell r="E560" t="str">
            <v>00326780</v>
          </cell>
          <cell r="F560">
            <v>1.6</v>
          </cell>
          <cell r="G560">
            <v>5.6</v>
          </cell>
        </row>
        <row r="561">
          <cell r="E561" t="str">
            <v>00302177</v>
          </cell>
          <cell r="F561">
            <v>1.5</v>
          </cell>
          <cell r="G561">
            <v>3</v>
          </cell>
        </row>
        <row r="562">
          <cell r="E562" t="str">
            <v>00301968</v>
          </cell>
          <cell r="F562">
            <v>1.5</v>
          </cell>
          <cell r="G562">
            <v>0.75</v>
          </cell>
        </row>
        <row r="563">
          <cell r="E563" t="str">
            <v>00680181</v>
          </cell>
          <cell r="F563">
            <v>1.5</v>
          </cell>
          <cell r="G563">
            <v>10.5</v>
          </cell>
        </row>
        <row r="564">
          <cell r="E564" t="str">
            <v>00727887</v>
          </cell>
          <cell r="F564">
            <v>1.4000000000000001</v>
          </cell>
          <cell r="G564">
            <v>19.000000000000007</v>
          </cell>
        </row>
        <row r="565">
          <cell r="E565" t="str">
            <v>00307557</v>
          </cell>
          <cell r="F565">
            <v>1.4</v>
          </cell>
          <cell r="G565">
            <v>3.5</v>
          </cell>
        </row>
        <row r="566">
          <cell r="E566" t="str">
            <v>00736979</v>
          </cell>
          <cell r="F566">
            <v>1.2</v>
          </cell>
        </row>
        <row r="567">
          <cell r="E567" t="str">
            <v>00852423</v>
          </cell>
          <cell r="F567">
            <v>1.2</v>
          </cell>
          <cell r="G567">
            <v>1.7999999999999998</v>
          </cell>
        </row>
        <row r="568">
          <cell r="E568" t="str">
            <v>00727842</v>
          </cell>
          <cell r="F568">
            <v>1.002</v>
          </cell>
          <cell r="G568">
            <v>4.676000000000001</v>
          </cell>
        </row>
        <row r="569">
          <cell r="E569" t="str">
            <v>00608176</v>
          </cell>
          <cell r="F569">
            <v>1</v>
          </cell>
          <cell r="G569">
            <v>4</v>
          </cell>
        </row>
        <row r="570">
          <cell r="E570" t="str">
            <v>00633548</v>
          </cell>
          <cell r="F570">
            <v>1</v>
          </cell>
        </row>
        <row r="571">
          <cell r="E571" t="str">
            <v>00680581</v>
          </cell>
          <cell r="F571">
            <v>1</v>
          </cell>
          <cell r="G571">
            <v>1</v>
          </cell>
        </row>
        <row r="572">
          <cell r="E572" t="str">
            <v>00680829</v>
          </cell>
          <cell r="F572">
            <v>1</v>
          </cell>
          <cell r="G572">
            <v>8.5</v>
          </cell>
        </row>
        <row r="573">
          <cell r="E573" t="str">
            <v>00615640</v>
          </cell>
          <cell r="F573">
            <v>1</v>
          </cell>
        </row>
        <row r="574">
          <cell r="E574" t="str">
            <v>00614849</v>
          </cell>
          <cell r="F574">
            <v>1</v>
          </cell>
          <cell r="G574">
            <v>5</v>
          </cell>
        </row>
        <row r="575">
          <cell r="E575" t="str">
            <v>00852730</v>
          </cell>
          <cell r="F575">
            <v>1</v>
          </cell>
          <cell r="G575">
            <v>31</v>
          </cell>
        </row>
        <row r="576">
          <cell r="E576" t="str">
            <v>00730765</v>
          </cell>
          <cell r="F576">
            <v>1</v>
          </cell>
          <cell r="G576">
            <v>2</v>
          </cell>
        </row>
        <row r="577">
          <cell r="E577" t="str">
            <v>00611515</v>
          </cell>
          <cell r="F577">
            <v>1</v>
          </cell>
          <cell r="G577">
            <v>3</v>
          </cell>
        </row>
        <row r="578">
          <cell r="E578" t="str">
            <v>00306001</v>
          </cell>
          <cell r="F578">
            <v>1</v>
          </cell>
          <cell r="G578">
            <v>11</v>
          </cell>
        </row>
        <row r="579">
          <cell r="E579" t="str">
            <v>00305068</v>
          </cell>
          <cell r="F579">
            <v>1</v>
          </cell>
          <cell r="G579">
            <v>22</v>
          </cell>
        </row>
        <row r="580">
          <cell r="E580" t="str">
            <v>00300398</v>
          </cell>
          <cell r="F580">
            <v>1</v>
          </cell>
          <cell r="G580">
            <v>2</v>
          </cell>
        </row>
        <row r="581">
          <cell r="E581" t="str">
            <v>00308407</v>
          </cell>
          <cell r="F581">
            <v>1</v>
          </cell>
          <cell r="G581">
            <v>3</v>
          </cell>
        </row>
        <row r="582">
          <cell r="E582" t="str">
            <v>00301666</v>
          </cell>
          <cell r="F582">
            <v>1</v>
          </cell>
          <cell r="G582">
            <v>6</v>
          </cell>
        </row>
        <row r="583">
          <cell r="E583" t="str">
            <v>00306951</v>
          </cell>
          <cell r="F583">
            <v>1</v>
          </cell>
          <cell r="G583">
            <v>7</v>
          </cell>
        </row>
        <row r="584">
          <cell r="E584" t="str">
            <v>00304283</v>
          </cell>
          <cell r="F584">
            <v>1</v>
          </cell>
          <cell r="G584">
            <v>2</v>
          </cell>
        </row>
        <row r="585">
          <cell r="E585" t="str">
            <v>00264797</v>
          </cell>
          <cell r="F585">
            <v>1</v>
          </cell>
        </row>
        <row r="586">
          <cell r="E586" t="str">
            <v>00736960</v>
          </cell>
          <cell r="F586">
            <v>1</v>
          </cell>
          <cell r="G586">
            <v>4</v>
          </cell>
        </row>
        <row r="587">
          <cell r="E587" t="str">
            <v>00614921</v>
          </cell>
          <cell r="F587">
            <v>1</v>
          </cell>
          <cell r="G587">
            <v>1</v>
          </cell>
        </row>
        <row r="588">
          <cell r="E588" t="str">
            <v>00735641</v>
          </cell>
          <cell r="F588">
            <v>1</v>
          </cell>
          <cell r="G588">
            <v>6</v>
          </cell>
        </row>
        <row r="589">
          <cell r="E589" t="str">
            <v>00738113</v>
          </cell>
          <cell r="F589">
            <v>1</v>
          </cell>
          <cell r="G589">
            <v>4</v>
          </cell>
        </row>
        <row r="590">
          <cell r="E590" t="str">
            <v>00681740</v>
          </cell>
          <cell r="F590">
            <v>1</v>
          </cell>
        </row>
        <row r="591">
          <cell r="E591" t="str">
            <v>00681158</v>
          </cell>
          <cell r="F591">
            <v>1</v>
          </cell>
          <cell r="G591">
            <v>2</v>
          </cell>
        </row>
        <row r="592">
          <cell r="E592" t="str">
            <v>00681345</v>
          </cell>
          <cell r="F592">
            <v>1</v>
          </cell>
          <cell r="G592">
            <v>2</v>
          </cell>
        </row>
        <row r="593">
          <cell r="E593" t="str">
            <v>00681349</v>
          </cell>
          <cell r="F593">
            <v>1</v>
          </cell>
          <cell r="G593">
            <v>1</v>
          </cell>
        </row>
        <row r="594">
          <cell r="E594" t="str">
            <v>00681363</v>
          </cell>
          <cell r="F594">
            <v>1</v>
          </cell>
          <cell r="G594">
            <v>1</v>
          </cell>
        </row>
        <row r="595">
          <cell r="E595" t="str">
            <v>00681357</v>
          </cell>
          <cell r="F595">
            <v>1</v>
          </cell>
        </row>
        <row r="596">
          <cell r="E596" t="str">
            <v>00852676</v>
          </cell>
          <cell r="F596">
            <v>1</v>
          </cell>
          <cell r="G596">
            <v>4</v>
          </cell>
        </row>
        <row r="597">
          <cell r="E597" t="str">
            <v>00852410</v>
          </cell>
          <cell r="F597">
            <v>1</v>
          </cell>
          <cell r="G597">
            <v>5</v>
          </cell>
        </row>
        <row r="598">
          <cell r="E598" t="str">
            <v>00681455</v>
          </cell>
          <cell r="F598">
            <v>1</v>
          </cell>
          <cell r="G598">
            <v>1</v>
          </cell>
        </row>
        <row r="599">
          <cell r="E599" t="str">
            <v>00611468</v>
          </cell>
          <cell r="F599">
            <v>1</v>
          </cell>
          <cell r="G599">
            <v>31</v>
          </cell>
        </row>
        <row r="600">
          <cell r="E600" t="str">
            <v>00852292</v>
          </cell>
          <cell r="F600">
            <v>1</v>
          </cell>
          <cell r="G600">
            <v>2</v>
          </cell>
        </row>
        <row r="601">
          <cell r="E601" t="str">
            <v>00853154</v>
          </cell>
          <cell r="F601">
            <v>1</v>
          </cell>
          <cell r="G601">
            <v>3</v>
          </cell>
        </row>
        <row r="602">
          <cell r="E602" t="str">
            <v>00852886</v>
          </cell>
          <cell r="F602">
            <v>1</v>
          </cell>
          <cell r="G602">
            <v>8</v>
          </cell>
        </row>
        <row r="603">
          <cell r="E603" t="str">
            <v>00681438</v>
          </cell>
          <cell r="F603">
            <v>1</v>
          </cell>
        </row>
        <row r="604">
          <cell r="E604" t="str">
            <v>00681439</v>
          </cell>
          <cell r="F604">
            <v>1</v>
          </cell>
        </row>
        <row r="605">
          <cell r="E605" t="str">
            <v>00681440</v>
          </cell>
          <cell r="F605">
            <v>1</v>
          </cell>
          <cell r="G605">
            <v>1</v>
          </cell>
        </row>
        <row r="606">
          <cell r="E606" t="str">
            <v>00681444</v>
          </cell>
          <cell r="F606">
            <v>1</v>
          </cell>
        </row>
        <row r="607">
          <cell r="E607" t="str">
            <v>00424060</v>
          </cell>
          <cell r="F607">
            <v>1</v>
          </cell>
          <cell r="G607">
            <v>1</v>
          </cell>
        </row>
        <row r="608">
          <cell r="E608" t="str">
            <v>00643496</v>
          </cell>
          <cell r="F608">
            <v>1</v>
          </cell>
          <cell r="G608">
            <v>5</v>
          </cell>
        </row>
        <row r="609">
          <cell r="E609" t="str">
            <v>00614871</v>
          </cell>
          <cell r="F609">
            <v>1</v>
          </cell>
          <cell r="G609">
            <v>22</v>
          </cell>
        </row>
        <row r="610">
          <cell r="E610" t="str">
            <v>00643495</v>
          </cell>
          <cell r="F610">
            <v>1</v>
          </cell>
          <cell r="G610">
            <v>4</v>
          </cell>
        </row>
        <row r="611">
          <cell r="E611" t="str">
            <v>00614870</v>
          </cell>
          <cell r="F611">
            <v>1</v>
          </cell>
          <cell r="G611">
            <v>7</v>
          </cell>
        </row>
        <row r="612">
          <cell r="E612" t="str">
            <v>00717188</v>
          </cell>
          <cell r="F612">
            <v>1</v>
          </cell>
          <cell r="G612">
            <v>3</v>
          </cell>
        </row>
        <row r="613">
          <cell r="E613" t="str">
            <v>00647158</v>
          </cell>
          <cell r="F613">
            <v>1</v>
          </cell>
        </row>
        <row r="614">
          <cell r="E614" t="str">
            <v>00647151</v>
          </cell>
          <cell r="F614">
            <v>1</v>
          </cell>
          <cell r="G614">
            <v>1</v>
          </cell>
        </row>
        <row r="615">
          <cell r="E615" t="str">
            <v>00681373</v>
          </cell>
          <cell r="F615">
            <v>1</v>
          </cell>
        </row>
        <row r="616">
          <cell r="E616" t="str">
            <v>00718701</v>
          </cell>
          <cell r="F616">
            <v>1</v>
          </cell>
          <cell r="G616">
            <v>1</v>
          </cell>
        </row>
        <row r="617">
          <cell r="E617" t="str">
            <v>00718774</v>
          </cell>
          <cell r="F617">
            <v>1</v>
          </cell>
          <cell r="G617">
            <v>5</v>
          </cell>
        </row>
        <row r="618">
          <cell r="E618" t="str">
            <v>00718925</v>
          </cell>
          <cell r="F618">
            <v>1</v>
          </cell>
          <cell r="G618">
            <v>1</v>
          </cell>
        </row>
        <row r="619">
          <cell r="E619" t="str">
            <v>00732099</v>
          </cell>
          <cell r="F619">
            <v>1</v>
          </cell>
          <cell r="G619">
            <v>7</v>
          </cell>
        </row>
        <row r="620">
          <cell r="E620" t="str">
            <v>00739010</v>
          </cell>
          <cell r="F620">
            <v>1</v>
          </cell>
          <cell r="G620">
            <v>80</v>
          </cell>
        </row>
        <row r="621">
          <cell r="E621" t="str">
            <v>00738159</v>
          </cell>
          <cell r="F621">
            <v>1</v>
          </cell>
          <cell r="G621">
            <v>8</v>
          </cell>
        </row>
        <row r="622">
          <cell r="E622" t="str">
            <v>00615158</v>
          </cell>
          <cell r="F622">
            <v>1</v>
          </cell>
          <cell r="G622">
            <v>9</v>
          </cell>
        </row>
        <row r="623">
          <cell r="E623" t="str">
            <v>00611900</v>
          </cell>
          <cell r="F623">
            <v>1</v>
          </cell>
          <cell r="G623">
            <v>2</v>
          </cell>
        </row>
        <row r="624">
          <cell r="E624" t="str">
            <v>00611049</v>
          </cell>
          <cell r="F624">
            <v>1</v>
          </cell>
        </row>
        <row r="625">
          <cell r="E625" t="str">
            <v>00718698</v>
          </cell>
          <cell r="F625">
            <v>1</v>
          </cell>
          <cell r="G625">
            <v>10</v>
          </cell>
        </row>
        <row r="626">
          <cell r="E626" t="str">
            <v>00680167</v>
          </cell>
          <cell r="F626">
            <v>1</v>
          </cell>
          <cell r="G626">
            <v>3</v>
          </cell>
        </row>
        <row r="627">
          <cell r="E627" t="str">
            <v>00681182</v>
          </cell>
          <cell r="F627">
            <v>1</v>
          </cell>
        </row>
        <row r="628">
          <cell r="E628" t="str">
            <v>00853255</v>
          </cell>
          <cell r="F628">
            <v>1</v>
          </cell>
          <cell r="G628">
            <v>10</v>
          </cell>
        </row>
        <row r="629">
          <cell r="E629" t="str">
            <v>00618230</v>
          </cell>
          <cell r="F629">
            <v>1</v>
          </cell>
          <cell r="G629">
            <v>2</v>
          </cell>
        </row>
        <row r="630">
          <cell r="E630" t="str">
            <v>00618207</v>
          </cell>
          <cell r="F630">
            <v>1</v>
          </cell>
        </row>
        <row r="631">
          <cell r="E631" t="str">
            <v>00853257</v>
          </cell>
          <cell r="F631">
            <v>1</v>
          </cell>
          <cell r="G631">
            <v>44</v>
          </cell>
        </row>
        <row r="632">
          <cell r="E632" t="str">
            <v>00852866</v>
          </cell>
          <cell r="F632">
            <v>1</v>
          </cell>
          <cell r="G632">
            <v>2</v>
          </cell>
        </row>
        <row r="633">
          <cell r="E633" t="str">
            <v>00732555</v>
          </cell>
          <cell r="F633">
            <v>1</v>
          </cell>
          <cell r="G633">
            <v>3</v>
          </cell>
        </row>
        <row r="634">
          <cell r="E634" t="str">
            <v>00608263</v>
          </cell>
          <cell r="F634">
            <v>1</v>
          </cell>
          <cell r="G634">
            <v>1</v>
          </cell>
        </row>
        <row r="635">
          <cell r="E635" t="str">
            <v>00615327</v>
          </cell>
          <cell r="F635">
            <v>1</v>
          </cell>
          <cell r="G635">
            <v>44</v>
          </cell>
        </row>
        <row r="636">
          <cell r="E636" t="str">
            <v>00304864</v>
          </cell>
          <cell r="F636">
            <v>0.75</v>
          </cell>
          <cell r="G636">
            <v>1.5</v>
          </cell>
        </row>
        <row r="637">
          <cell r="E637" t="str">
            <v>00302179</v>
          </cell>
          <cell r="F637">
            <v>0.75</v>
          </cell>
          <cell r="G637">
            <v>4.5</v>
          </cell>
        </row>
        <row r="638">
          <cell r="E638" t="str">
            <v>00301999</v>
          </cell>
          <cell r="F638">
            <v>0.75</v>
          </cell>
        </row>
        <row r="639">
          <cell r="E639" t="str">
            <v>00301989</v>
          </cell>
          <cell r="F639">
            <v>0.75</v>
          </cell>
          <cell r="G639">
            <v>2.25</v>
          </cell>
        </row>
        <row r="640">
          <cell r="E640" t="str">
            <v>00301956</v>
          </cell>
          <cell r="F640">
            <v>0.75</v>
          </cell>
          <cell r="G640">
            <v>3.75</v>
          </cell>
        </row>
        <row r="641">
          <cell r="E641" t="str">
            <v>00307611</v>
          </cell>
          <cell r="F641">
            <v>0.65</v>
          </cell>
        </row>
        <row r="642">
          <cell r="E642" t="str">
            <v>00325192</v>
          </cell>
          <cell r="F642">
            <v>0.63200000000000001</v>
          </cell>
        </row>
        <row r="643">
          <cell r="E643" t="str">
            <v>00423531</v>
          </cell>
          <cell r="F643">
            <v>0.6</v>
          </cell>
          <cell r="G643">
            <v>4.8000000000000007</v>
          </cell>
        </row>
        <row r="644">
          <cell r="E644" t="str">
            <v>00853476</v>
          </cell>
          <cell r="F644">
            <v>0.55000000000000004</v>
          </cell>
          <cell r="G644">
            <v>3.85</v>
          </cell>
        </row>
        <row r="645">
          <cell r="E645" t="str">
            <v>00423487</v>
          </cell>
          <cell r="F645">
            <v>0.5</v>
          </cell>
          <cell r="G645">
            <v>4</v>
          </cell>
        </row>
        <row r="646">
          <cell r="E646" t="str">
            <v>00423459</v>
          </cell>
          <cell r="F646">
            <v>0.5</v>
          </cell>
        </row>
        <row r="647">
          <cell r="E647" t="str">
            <v>00736962</v>
          </cell>
          <cell r="F647">
            <v>0.5</v>
          </cell>
          <cell r="G647">
            <v>17</v>
          </cell>
        </row>
        <row r="648">
          <cell r="E648" t="str">
            <v>00727886</v>
          </cell>
          <cell r="F648">
            <v>0.4</v>
          </cell>
          <cell r="G648">
            <v>3.5000000000000009</v>
          </cell>
        </row>
        <row r="649">
          <cell r="E649" t="str">
            <v>00852416</v>
          </cell>
          <cell r="F649">
            <v>0.4</v>
          </cell>
          <cell r="G649">
            <v>4.4000000000000004</v>
          </cell>
        </row>
        <row r="650">
          <cell r="E650" t="str">
            <v>00730433</v>
          </cell>
          <cell r="F650">
            <v>0.25</v>
          </cell>
          <cell r="G650">
            <v>3.5</v>
          </cell>
        </row>
        <row r="651">
          <cell r="E651" t="str">
            <v>00727885</v>
          </cell>
          <cell r="F651">
            <v>0.05</v>
          </cell>
          <cell r="G651">
            <v>0.5</v>
          </cell>
        </row>
        <row r="652">
          <cell r="E652" t="str">
            <v>00682319</v>
          </cell>
          <cell r="F652">
            <v>2.700000000000001E-2</v>
          </cell>
          <cell r="G652">
            <v>0.13700000000000007</v>
          </cell>
        </row>
        <row r="653">
          <cell r="E653" t="str">
            <v>00680149</v>
          </cell>
          <cell r="F653">
            <v>8.0000000000000002E-3</v>
          </cell>
          <cell r="G653">
            <v>0.11300000000000004</v>
          </cell>
        </row>
        <row r="654">
          <cell r="E654" t="str">
            <v>00647203</v>
          </cell>
          <cell r="F654">
            <v>1E-3</v>
          </cell>
          <cell r="G654">
            <v>1E-3</v>
          </cell>
        </row>
        <row r="655">
          <cell r="E655" t="str">
            <v>00613236</v>
          </cell>
          <cell r="F655">
            <v>0</v>
          </cell>
        </row>
        <row r="656">
          <cell r="E656" t="str">
            <v>00680915</v>
          </cell>
          <cell r="F656">
            <v>0</v>
          </cell>
          <cell r="G656">
            <v>2</v>
          </cell>
        </row>
        <row r="657">
          <cell r="E657" t="str">
            <v>00606229</v>
          </cell>
          <cell r="F657">
            <v>0</v>
          </cell>
          <cell r="G657">
            <v>0</v>
          </cell>
        </row>
        <row r="658">
          <cell r="E658" t="str">
            <v>00852932</v>
          </cell>
          <cell r="F658">
            <v>0</v>
          </cell>
          <cell r="G658">
            <v>20</v>
          </cell>
        </row>
        <row r="659">
          <cell r="E659" t="str">
            <v>00852933</v>
          </cell>
          <cell r="F659">
            <v>0</v>
          </cell>
          <cell r="G659">
            <v>22</v>
          </cell>
        </row>
        <row r="660">
          <cell r="E660" t="str">
            <v>00423740</v>
          </cell>
          <cell r="F660">
            <v>0</v>
          </cell>
          <cell r="G660">
            <v>12.5</v>
          </cell>
        </row>
        <row r="661">
          <cell r="E661" t="str">
            <v>00423744</v>
          </cell>
          <cell r="F661">
            <v>0</v>
          </cell>
          <cell r="G661">
            <v>7.5</v>
          </cell>
        </row>
        <row r="662">
          <cell r="E662" t="str">
            <v>00423485</v>
          </cell>
          <cell r="F662">
            <v>0</v>
          </cell>
          <cell r="G662">
            <v>0</v>
          </cell>
        </row>
        <row r="663">
          <cell r="E663" t="str">
            <v>00386446</v>
          </cell>
          <cell r="F663">
            <v>0</v>
          </cell>
          <cell r="G663">
            <v>730</v>
          </cell>
        </row>
        <row r="664">
          <cell r="E664" t="str">
            <v>00301936</v>
          </cell>
          <cell r="F664">
            <v>0</v>
          </cell>
          <cell r="G664">
            <v>25</v>
          </cell>
        </row>
        <row r="665">
          <cell r="E665" t="str">
            <v>00720204</v>
          </cell>
          <cell r="F665">
            <v>0</v>
          </cell>
          <cell r="G665">
            <v>-2</v>
          </cell>
        </row>
        <row r="666">
          <cell r="E666" t="str">
            <v>00611383</v>
          </cell>
          <cell r="F666">
            <v>0</v>
          </cell>
          <cell r="G666">
            <v>40</v>
          </cell>
        </row>
        <row r="667">
          <cell r="E667" t="str">
            <v>00611048</v>
          </cell>
          <cell r="F667">
            <v>0</v>
          </cell>
          <cell r="G667">
            <v>29</v>
          </cell>
        </row>
        <row r="668">
          <cell r="E668" t="str">
            <v>00682327</v>
          </cell>
          <cell r="F668">
            <v>0</v>
          </cell>
          <cell r="G668">
            <v>0</v>
          </cell>
        </row>
        <row r="669">
          <cell r="E669" t="str">
            <v>00852811</v>
          </cell>
          <cell r="F669">
            <v>0</v>
          </cell>
          <cell r="G669">
            <v>8</v>
          </cell>
        </row>
        <row r="670">
          <cell r="E670" t="str">
            <v>00852677</v>
          </cell>
          <cell r="F670">
            <v>0</v>
          </cell>
          <cell r="G670">
            <v>11</v>
          </cell>
        </row>
        <row r="671">
          <cell r="E671" t="str">
            <v>00717220</v>
          </cell>
          <cell r="F671">
            <v>0</v>
          </cell>
          <cell r="G671">
            <v>0</v>
          </cell>
        </row>
        <row r="672">
          <cell r="E672" t="str">
            <v>00737916</v>
          </cell>
          <cell r="F672">
            <v>0</v>
          </cell>
          <cell r="G672">
            <v>11</v>
          </cell>
        </row>
        <row r="673">
          <cell r="E673" t="str">
            <v>00680175</v>
          </cell>
          <cell r="F673">
            <v>0</v>
          </cell>
          <cell r="G673">
            <v>12</v>
          </cell>
        </row>
        <row r="674">
          <cell r="E674" t="str">
            <v>00680186</v>
          </cell>
          <cell r="F674">
            <v>0</v>
          </cell>
          <cell r="G674">
            <v>26</v>
          </cell>
        </row>
        <row r="675">
          <cell r="E675" t="str">
            <v>00400003</v>
          </cell>
          <cell r="F675">
            <v>0</v>
          </cell>
        </row>
        <row r="676">
          <cell r="E676" t="str">
            <v>00962807</v>
          </cell>
          <cell r="G676">
            <v>0</v>
          </cell>
        </row>
        <row r="677">
          <cell r="E677" t="str">
            <v>00983977</v>
          </cell>
          <cell r="G677">
            <v>0</v>
          </cell>
        </row>
        <row r="678">
          <cell r="E678" t="str">
            <v>00718440</v>
          </cell>
          <cell r="G678">
            <v>250</v>
          </cell>
        </row>
        <row r="679">
          <cell r="E679" t="str">
            <v>00718437</v>
          </cell>
          <cell r="G679">
            <v>7</v>
          </cell>
        </row>
        <row r="680">
          <cell r="E680" t="str">
            <v>00718569</v>
          </cell>
          <cell r="G680">
            <v>225</v>
          </cell>
        </row>
        <row r="681">
          <cell r="E681" t="str">
            <v>00732315</v>
          </cell>
          <cell r="G681">
            <v>180</v>
          </cell>
        </row>
        <row r="682">
          <cell r="E682" t="str">
            <v>00725177</v>
          </cell>
          <cell r="G682">
            <v>1</v>
          </cell>
        </row>
        <row r="683">
          <cell r="E683" t="str">
            <v>00611873</v>
          </cell>
          <cell r="G683">
            <v>2.5</v>
          </cell>
        </row>
        <row r="684">
          <cell r="E684" t="str">
            <v>00734824</v>
          </cell>
          <cell r="G684">
            <v>4</v>
          </cell>
        </row>
        <row r="685">
          <cell r="E685" t="str">
            <v>00611871</v>
          </cell>
          <cell r="G685">
            <v>3</v>
          </cell>
        </row>
        <row r="686">
          <cell r="E686" t="str">
            <v>00608178</v>
          </cell>
          <cell r="G686">
            <v>1</v>
          </cell>
        </row>
        <row r="687">
          <cell r="E687" t="str">
            <v>00738116</v>
          </cell>
          <cell r="G687">
            <v>5</v>
          </cell>
        </row>
        <row r="688">
          <cell r="E688" t="str">
            <v>00734924</v>
          </cell>
          <cell r="G688">
            <v>7</v>
          </cell>
        </row>
        <row r="689">
          <cell r="E689" t="str">
            <v>00735596</v>
          </cell>
          <cell r="G689">
            <v>1.8</v>
          </cell>
        </row>
        <row r="690">
          <cell r="E690" t="str">
            <v>00718335</v>
          </cell>
          <cell r="G690">
            <v>0.5</v>
          </cell>
        </row>
        <row r="691">
          <cell r="E691" t="str">
            <v>00730915</v>
          </cell>
          <cell r="G691">
            <v>0</v>
          </cell>
        </row>
        <row r="692">
          <cell r="E692" t="str">
            <v>00735006</v>
          </cell>
          <cell r="G692">
            <v>13</v>
          </cell>
        </row>
        <row r="693">
          <cell r="E693" t="str">
            <v>00631680</v>
          </cell>
          <cell r="G693">
            <v>6</v>
          </cell>
        </row>
        <row r="694">
          <cell r="E694" t="str">
            <v>00730912</v>
          </cell>
          <cell r="G694">
            <v>3</v>
          </cell>
        </row>
        <row r="695">
          <cell r="E695" t="str">
            <v>00719188</v>
          </cell>
          <cell r="G695">
            <v>1</v>
          </cell>
        </row>
        <row r="696">
          <cell r="E696" t="str">
            <v>00719190</v>
          </cell>
          <cell r="G696">
            <v>2</v>
          </cell>
        </row>
        <row r="697">
          <cell r="E697" t="str">
            <v>00680828</v>
          </cell>
          <cell r="G697">
            <v>3</v>
          </cell>
        </row>
        <row r="698">
          <cell r="E698" t="str">
            <v>00680826</v>
          </cell>
          <cell r="G698">
            <v>2</v>
          </cell>
        </row>
        <row r="699">
          <cell r="E699" t="str">
            <v>00722397</v>
          </cell>
          <cell r="G699">
            <v>1</v>
          </cell>
        </row>
        <row r="700">
          <cell r="E700" t="str">
            <v>00722398</v>
          </cell>
          <cell r="G700">
            <v>2.5</v>
          </cell>
        </row>
        <row r="701">
          <cell r="E701" t="str">
            <v>00722399</v>
          </cell>
          <cell r="G701">
            <v>110</v>
          </cell>
        </row>
        <row r="702">
          <cell r="E702" t="str">
            <v>00306266</v>
          </cell>
          <cell r="G702">
            <v>1.5</v>
          </cell>
        </row>
        <row r="703">
          <cell r="E703" t="str">
            <v>00722400</v>
          </cell>
          <cell r="G703">
            <v>4</v>
          </cell>
        </row>
        <row r="704">
          <cell r="E704" t="str">
            <v>00722401</v>
          </cell>
          <cell r="G704">
            <v>140</v>
          </cell>
        </row>
        <row r="705">
          <cell r="E705" t="str">
            <v>00722402</v>
          </cell>
          <cell r="G705">
            <v>335</v>
          </cell>
        </row>
        <row r="706">
          <cell r="E706" t="str">
            <v>00722403</v>
          </cell>
          <cell r="G706">
            <v>60</v>
          </cell>
        </row>
        <row r="707">
          <cell r="E707" t="str">
            <v>00680744</v>
          </cell>
          <cell r="G707">
            <v>1</v>
          </cell>
        </row>
        <row r="708">
          <cell r="E708" t="str">
            <v>00611348</v>
          </cell>
          <cell r="G708">
            <v>16</v>
          </cell>
        </row>
        <row r="709">
          <cell r="E709" t="str">
            <v>00646903</v>
          </cell>
          <cell r="G709">
            <v>1</v>
          </cell>
        </row>
        <row r="710">
          <cell r="E710" t="str">
            <v>00610641</v>
          </cell>
          <cell r="G710">
            <v>2</v>
          </cell>
        </row>
        <row r="711">
          <cell r="E711" t="str">
            <v>00610639</v>
          </cell>
          <cell r="G711">
            <v>6</v>
          </cell>
        </row>
        <row r="712">
          <cell r="E712" t="str">
            <v>00615188</v>
          </cell>
          <cell r="G712">
            <v>2</v>
          </cell>
        </row>
        <row r="713">
          <cell r="E713" t="str">
            <v>00615642</v>
          </cell>
          <cell r="G713">
            <v>73</v>
          </cell>
        </row>
        <row r="714">
          <cell r="E714" t="str">
            <v>00631293</v>
          </cell>
          <cell r="G714">
            <v>1</v>
          </cell>
        </row>
        <row r="715">
          <cell r="E715" t="str">
            <v>00615643</v>
          </cell>
          <cell r="G715">
            <v>19</v>
          </cell>
        </row>
        <row r="716">
          <cell r="E716" t="str">
            <v>00639885</v>
          </cell>
          <cell r="G716">
            <v>15</v>
          </cell>
        </row>
        <row r="717">
          <cell r="E717" t="str">
            <v>00683286</v>
          </cell>
          <cell r="G717">
            <v>9.9999999999999992E-2</v>
          </cell>
        </row>
        <row r="718">
          <cell r="E718" t="str">
            <v>00737309</v>
          </cell>
          <cell r="G718">
            <v>1</v>
          </cell>
        </row>
        <row r="719">
          <cell r="E719" t="str">
            <v>00737315</v>
          </cell>
          <cell r="G719">
            <v>5</v>
          </cell>
        </row>
        <row r="720">
          <cell r="E720" t="str">
            <v>00729827</v>
          </cell>
          <cell r="G720">
            <v>15</v>
          </cell>
        </row>
        <row r="721">
          <cell r="E721" t="str">
            <v>00729844</v>
          </cell>
          <cell r="G721">
            <v>1</v>
          </cell>
        </row>
        <row r="722">
          <cell r="E722" t="str">
            <v>00730821</v>
          </cell>
          <cell r="G722">
            <v>7</v>
          </cell>
        </row>
        <row r="723">
          <cell r="E723" t="str">
            <v>00730820</v>
          </cell>
          <cell r="G723">
            <v>5</v>
          </cell>
        </row>
        <row r="724">
          <cell r="E724" t="str">
            <v>00852728</v>
          </cell>
          <cell r="G724">
            <v>1</v>
          </cell>
        </row>
        <row r="725">
          <cell r="E725" t="str">
            <v>00852731</v>
          </cell>
          <cell r="G725">
            <v>5</v>
          </cell>
        </row>
        <row r="726">
          <cell r="E726" t="str">
            <v>00307676</v>
          </cell>
          <cell r="G726">
            <v>0</v>
          </cell>
        </row>
        <row r="727">
          <cell r="E727" t="str">
            <v>00730471</v>
          </cell>
          <cell r="G727">
            <v>0.76</v>
          </cell>
        </row>
        <row r="728">
          <cell r="E728" t="str">
            <v>00727114</v>
          </cell>
          <cell r="G728">
            <v>14</v>
          </cell>
        </row>
        <row r="729">
          <cell r="E729" t="str">
            <v>00728001</v>
          </cell>
          <cell r="G729">
            <v>1</v>
          </cell>
        </row>
        <row r="730">
          <cell r="E730" t="str">
            <v>00727999</v>
          </cell>
          <cell r="G730">
            <v>1</v>
          </cell>
        </row>
        <row r="731">
          <cell r="E731" t="str">
            <v>00730504</v>
          </cell>
          <cell r="G731">
            <v>4</v>
          </cell>
        </row>
        <row r="732">
          <cell r="E732" t="str">
            <v>00730752</v>
          </cell>
          <cell r="G732">
            <v>1</v>
          </cell>
        </row>
        <row r="733">
          <cell r="E733" t="str">
            <v>00730753</v>
          </cell>
          <cell r="G733">
            <v>2</v>
          </cell>
        </row>
        <row r="734">
          <cell r="E734" t="str">
            <v>00730754</v>
          </cell>
          <cell r="G734">
            <v>1</v>
          </cell>
        </row>
        <row r="735">
          <cell r="E735" t="str">
            <v>00730756</v>
          </cell>
          <cell r="G735">
            <v>2</v>
          </cell>
        </row>
        <row r="736">
          <cell r="E736" t="str">
            <v>00730744</v>
          </cell>
          <cell r="G736">
            <v>2</v>
          </cell>
        </row>
        <row r="737">
          <cell r="E737" t="str">
            <v>00730746</v>
          </cell>
          <cell r="G737">
            <v>1</v>
          </cell>
        </row>
        <row r="738">
          <cell r="E738" t="str">
            <v>00730747</v>
          </cell>
          <cell r="G738">
            <v>2</v>
          </cell>
        </row>
        <row r="739">
          <cell r="E739" t="str">
            <v>00730748</v>
          </cell>
          <cell r="G739">
            <v>1</v>
          </cell>
        </row>
        <row r="740">
          <cell r="E740" t="str">
            <v>00732927</v>
          </cell>
          <cell r="G740">
            <v>8.5549999999999997</v>
          </cell>
        </row>
        <row r="741">
          <cell r="E741" t="str">
            <v>00732925</v>
          </cell>
          <cell r="G741">
            <v>9.1199999999999992</v>
          </cell>
        </row>
        <row r="742">
          <cell r="E742" t="str">
            <v>00730769</v>
          </cell>
          <cell r="G742">
            <v>2</v>
          </cell>
        </row>
        <row r="743">
          <cell r="E743" t="str">
            <v>00730773</v>
          </cell>
          <cell r="G743">
            <v>7</v>
          </cell>
        </row>
        <row r="744">
          <cell r="E744" t="str">
            <v>00730770</v>
          </cell>
          <cell r="G744">
            <v>4</v>
          </cell>
        </row>
        <row r="745">
          <cell r="E745" t="str">
            <v>00730771</v>
          </cell>
          <cell r="G745">
            <v>7</v>
          </cell>
        </row>
        <row r="746">
          <cell r="E746" t="str">
            <v>00730772</v>
          </cell>
          <cell r="G746">
            <v>12</v>
          </cell>
        </row>
        <row r="747">
          <cell r="E747" t="str">
            <v>00730774</v>
          </cell>
          <cell r="G747">
            <v>1</v>
          </cell>
        </row>
        <row r="748">
          <cell r="E748" t="str">
            <v>00730762</v>
          </cell>
          <cell r="G748">
            <v>8</v>
          </cell>
        </row>
        <row r="749">
          <cell r="E749" t="str">
            <v>00730766</v>
          </cell>
          <cell r="G749">
            <v>2</v>
          </cell>
        </row>
        <row r="750">
          <cell r="E750" t="str">
            <v>00730767</v>
          </cell>
          <cell r="G750">
            <v>1</v>
          </cell>
        </row>
        <row r="751">
          <cell r="E751" t="str">
            <v>00730768</v>
          </cell>
          <cell r="G751">
            <v>1</v>
          </cell>
        </row>
        <row r="752">
          <cell r="E752" t="str">
            <v>00730760</v>
          </cell>
          <cell r="G752">
            <v>1</v>
          </cell>
        </row>
        <row r="753">
          <cell r="E753" t="str">
            <v>00730761</v>
          </cell>
          <cell r="G753">
            <v>4</v>
          </cell>
        </row>
        <row r="754">
          <cell r="E754" t="str">
            <v>00730763</v>
          </cell>
          <cell r="G754">
            <v>6</v>
          </cell>
        </row>
        <row r="755">
          <cell r="E755" t="str">
            <v>00730764</v>
          </cell>
          <cell r="G755">
            <v>4</v>
          </cell>
        </row>
        <row r="756">
          <cell r="E756" t="str">
            <v>00727116</v>
          </cell>
          <cell r="G756">
            <v>99</v>
          </cell>
        </row>
        <row r="757">
          <cell r="E757" t="str">
            <v>00737112</v>
          </cell>
          <cell r="G757">
            <v>3</v>
          </cell>
        </row>
        <row r="758">
          <cell r="E758" t="str">
            <v>00720203</v>
          </cell>
          <cell r="G758">
            <v>-2</v>
          </cell>
        </row>
        <row r="759">
          <cell r="E759" t="str">
            <v>00718696</v>
          </cell>
          <cell r="G759">
            <v>1</v>
          </cell>
        </row>
        <row r="760">
          <cell r="E760" t="str">
            <v>00441658</v>
          </cell>
          <cell r="G760">
            <v>-27.72</v>
          </cell>
        </row>
        <row r="761">
          <cell r="E761" t="str">
            <v>00423617</v>
          </cell>
          <cell r="G761">
            <v>2.5</v>
          </cell>
        </row>
        <row r="762">
          <cell r="E762" t="str">
            <v>00423619</v>
          </cell>
          <cell r="G762">
            <v>0.75</v>
          </cell>
        </row>
        <row r="763">
          <cell r="E763" t="str">
            <v>00423620</v>
          </cell>
          <cell r="G763">
            <v>40</v>
          </cell>
        </row>
        <row r="764">
          <cell r="E764" t="str">
            <v>00441639</v>
          </cell>
          <cell r="G764">
            <v>5</v>
          </cell>
        </row>
        <row r="765">
          <cell r="E765" t="str">
            <v>00441637</v>
          </cell>
          <cell r="G765">
            <v>0</v>
          </cell>
        </row>
        <row r="766">
          <cell r="E766" t="str">
            <v>00441647</v>
          </cell>
          <cell r="G766">
            <v>5</v>
          </cell>
        </row>
        <row r="767">
          <cell r="E767" t="str">
            <v>00441648</v>
          </cell>
          <cell r="G767">
            <v>0.66</v>
          </cell>
        </row>
        <row r="768">
          <cell r="E768" t="str">
            <v>00441656</v>
          </cell>
          <cell r="G768">
            <v>5</v>
          </cell>
        </row>
        <row r="769">
          <cell r="E769" t="str">
            <v>00643664</v>
          </cell>
          <cell r="G769">
            <v>2</v>
          </cell>
        </row>
        <row r="770">
          <cell r="E770" t="str">
            <v>00611041</v>
          </cell>
          <cell r="G770">
            <v>40</v>
          </cell>
        </row>
        <row r="771">
          <cell r="E771" t="str">
            <v>00680991</v>
          </cell>
          <cell r="G771">
            <v>1</v>
          </cell>
        </row>
        <row r="772">
          <cell r="E772" t="str">
            <v>00853258</v>
          </cell>
          <cell r="G772">
            <v>6</v>
          </cell>
        </row>
        <row r="773">
          <cell r="E773" t="str">
            <v>00680316</v>
          </cell>
          <cell r="G773">
            <v>10</v>
          </cell>
        </row>
        <row r="774">
          <cell r="E774" t="str">
            <v>00611042</v>
          </cell>
          <cell r="G774">
            <v>8</v>
          </cell>
        </row>
        <row r="775">
          <cell r="E775" t="str">
            <v>00633160</v>
          </cell>
          <cell r="G775">
            <v>3</v>
          </cell>
        </row>
        <row r="776">
          <cell r="E776" t="str">
            <v>00611512</v>
          </cell>
          <cell r="G776">
            <v>4</v>
          </cell>
        </row>
        <row r="777">
          <cell r="E777" t="str">
            <v>00611513</v>
          </cell>
          <cell r="G777">
            <v>16</v>
          </cell>
        </row>
        <row r="778">
          <cell r="E778" t="str">
            <v>00611514</v>
          </cell>
          <cell r="G778">
            <v>5</v>
          </cell>
        </row>
        <row r="779">
          <cell r="E779" t="str">
            <v>00423205</v>
          </cell>
          <cell r="G779">
            <v>20</v>
          </cell>
        </row>
        <row r="780">
          <cell r="E780" t="str">
            <v>00423209</v>
          </cell>
          <cell r="G780">
            <v>5</v>
          </cell>
        </row>
        <row r="781">
          <cell r="E781" t="str">
            <v>00305048</v>
          </cell>
          <cell r="G781">
            <v>100</v>
          </cell>
        </row>
        <row r="782">
          <cell r="E782" t="str">
            <v>00305050</v>
          </cell>
          <cell r="G782">
            <v>25</v>
          </cell>
        </row>
        <row r="783">
          <cell r="E783" t="str">
            <v>00272495</v>
          </cell>
          <cell r="G783">
            <v>5</v>
          </cell>
        </row>
        <row r="784">
          <cell r="E784" t="str">
            <v>00423217</v>
          </cell>
          <cell r="G784">
            <v>-260</v>
          </cell>
        </row>
        <row r="785">
          <cell r="E785" t="str">
            <v>00452931</v>
          </cell>
          <cell r="G785">
            <v>-90</v>
          </cell>
        </row>
        <row r="786">
          <cell r="E786" t="str">
            <v>00452930</v>
          </cell>
          <cell r="G786">
            <v>235</v>
          </cell>
        </row>
        <row r="787">
          <cell r="E787" t="str">
            <v>00301842</v>
          </cell>
          <cell r="G787">
            <v>16</v>
          </cell>
        </row>
        <row r="788">
          <cell r="E788" t="str">
            <v>00302432</v>
          </cell>
          <cell r="G788">
            <v>2</v>
          </cell>
        </row>
        <row r="789">
          <cell r="E789" t="str">
            <v>00302435</v>
          </cell>
          <cell r="G789">
            <v>6</v>
          </cell>
        </row>
        <row r="790">
          <cell r="E790" t="str">
            <v>00306525</v>
          </cell>
          <cell r="G790">
            <v>-10</v>
          </cell>
        </row>
        <row r="791">
          <cell r="E791" t="str">
            <v>00306524</v>
          </cell>
          <cell r="G791">
            <v>5</v>
          </cell>
        </row>
        <row r="792">
          <cell r="E792" t="str">
            <v>00423693</v>
          </cell>
          <cell r="G792">
            <v>5</v>
          </cell>
        </row>
        <row r="793">
          <cell r="E793" t="str">
            <v>00423743</v>
          </cell>
          <cell r="G793">
            <v>10</v>
          </cell>
        </row>
        <row r="794">
          <cell r="E794" t="str">
            <v>00423753</v>
          </cell>
          <cell r="G794">
            <v>5</v>
          </cell>
        </row>
        <row r="795">
          <cell r="E795" t="str">
            <v>00423741</v>
          </cell>
          <cell r="G795">
            <v>2.5</v>
          </cell>
        </row>
        <row r="796">
          <cell r="E796" t="str">
            <v>00423694</v>
          </cell>
          <cell r="G796">
            <v>3.95</v>
          </cell>
        </row>
        <row r="797">
          <cell r="E797" t="str">
            <v>00301587</v>
          </cell>
          <cell r="G797">
            <v>5</v>
          </cell>
        </row>
        <row r="798">
          <cell r="E798" t="str">
            <v>00304957</v>
          </cell>
          <cell r="G798">
            <v>0.79</v>
          </cell>
        </row>
        <row r="799">
          <cell r="E799" t="str">
            <v>00305053</v>
          </cell>
          <cell r="G799">
            <v>190</v>
          </cell>
        </row>
        <row r="800">
          <cell r="E800" t="str">
            <v>00305061</v>
          </cell>
          <cell r="G800">
            <v>1</v>
          </cell>
        </row>
        <row r="801">
          <cell r="E801" t="str">
            <v>00307668</v>
          </cell>
          <cell r="G801">
            <v>575</v>
          </cell>
        </row>
        <row r="802">
          <cell r="E802" t="str">
            <v>00309454</v>
          </cell>
          <cell r="G802">
            <v>3</v>
          </cell>
        </row>
        <row r="803">
          <cell r="E803" t="str">
            <v>00306950</v>
          </cell>
          <cell r="G803">
            <v>30</v>
          </cell>
        </row>
        <row r="804">
          <cell r="E804" t="str">
            <v>00301805</v>
          </cell>
          <cell r="G804">
            <v>15</v>
          </cell>
        </row>
        <row r="805">
          <cell r="E805" t="str">
            <v>00423494</v>
          </cell>
          <cell r="G805">
            <v>2</v>
          </cell>
        </row>
        <row r="806">
          <cell r="E806" t="str">
            <v>00423498</v>
          </cell>
          <cell r="G806">
            <v>-1</v>
          </cell>
        </row>
        <row r="807">
          <cell r="E807" t="str">
            <v>00423502</v>
          </cell>
          <cell r="G807">
            <v>-35</v>
          </cell>
        </row>
        <row r="808">
          <cell r="E808" t="str">
            <v>00307900</v>
          </cell>
          <cell r="G808">
            <v>-7.5</v>
          </cell>
        </row>
        <row r="809">
          <cell r="E809" t="str">
            <v>00307899</v>
          </cell>
          <cell r="G809">
            <v>-0.92</v>
          </cell>
        </row>
        <row r="810">
          <cell r="E810" t="str">
            <v>00306893</v>
          </cell>
          <cell r="G810">
            <v>5</v>
          </cell>
        </row>
        <row r="811">
          <cell r="E811" t="str">
            <v>00301675</v>
          </cell>
          <cell r="G811">
            <v>5</v>
          </cell>
        </row>
        <row r="812">
          <cell r="E812" t="str">
            <v>00304962</v>
          </cell>
          <cell r="G812">
            <v>-50</v>
          </cell>
        </row>
        <row r="813">
          <cell r="E813" t="str">
            <v>00301674</v>
          </cell>
          <cell r="G813">
            <v>-45</v>
          </cell>
        </row>
        <row r="814">
          <cell r="E814" t="str">
            <v>00304969</v>
          </cell>
          <cell r="G814">
            <v>0</v>
          </cell>
        </row>
        <row r="815">
          <cell r="E815" t="str">
            <v>00301632</v>
          </cell>
          <cell r="G815">
            <v>6</v>
          </cell>
        </row>
        <row r="816">
          <cell r="E816" t="str">
            <v>00301830</v>
          </cell>
          <cell r="G816">
            <v>2.5</v>
          </cell>
        </row>
        <row r="817">
          <cell r="E817" t="str">
            <v>00423466</v>
          </cell>
          <cell r="G817">
            <v>22</v>
          </cell>
        </row>
        <row r="818">
          <cell r="E818" t="str">
            <v>00423470</v>
          </cell>
          <cell r="G818">
            <v>5</v>
          </cell>
        </row>
        <row r="819">
          <cell r="E819" t="str">
            <v>00305998</v>
          </cell>
          <cell r="G819">
            <v>0</v>
          </cell>
        </row>
        <row r="820">
          <cell r="E820" t="str">
            <v>00306000</v>
          </cell>
          <cell r="G820">
            <v>-1.97</v>
          </cell>
        </row>
        <row r="821">
          <cell r="E821" t="str">
            <v>00301651</v>
          </cell>
          <cell r="G821">
            <v>2</v>
          </cell>
        </row>
        <row r="822">
          <cell r="E822" t="str">
            <v>00301638</v>
          </cell>
          <cell r="G822">
            <v>1</v>
          </cell>
        </row>
        <row r="823">
          <cell r="E823" t="str">
            <v>00301640</v>
          </cell>
          <cell r="G823">
            <v>0</v>
          </cell>
        </row>
        <row r="824">
          <cell r="E824" t="str">
            <v>00304977</v>
          </cell>
          <cell r="G824">
            <v>-70.400000000000006</v>
          </cell>
        </row>
        <row r="825">
          <cell r="E825" t="str">
            <v>00301818</v>
          </cell>
          <cell r="G825">
            <v>5</v>
          </cell>
        </row>
        <row r="826">
          <cell r="E826" t="str">
            <v>00301817</v>
          </cell>
          <cell r="G826">
            <v>5</v>
          </cell>
        </row>
        <row r="827">
          <cell r="E827" t="str">
            <v>00301819</v>
          </cell>
          <cell r="G827">
            <v>70</v>
          </cell>
        </row>
        <row r="828">
          <cell r="E828" t="str">
            <v>00358302</v>
          </cell>
          <cell r="G828">
            <v>10</v>
          </cell>
        </row>
        <row r="829">
          <cell r="E829" t="str">
            <v>00304988</v>
          </cell>
          <cell r="G829">
            <v>0</v>
          </cell>
        </row>
        <row r="830">
          <cell r="E830" t="str">
            <v>00304991</v>
          </cell>
          <cell r="G830">
            <v>3.95</v>
          </cell>
        </row>
        <row r="831">
          <cell r="E831" t="str">
            <v>00309599</v>
          </cell>
          <cell r="G831">
            <v>0.79</v>
          </cell>
        </row>
        <row r="832">
          <cell r="E832" t="str">
            <v>00305025</v>
          </cell>
          <cell r="G832">
            <v>15.76</v>
          </cell>
        </row>
        <row r="833">
          <cell r="E833" t="str">
            <v>00306948</v>
          </cell>
          <cell r="G833">
            <v>10</v>
          </cell>
        </row>
        <row r="834">
          <cell r="E834" t="str">
            <v>00301743</v>
          </cell>
          <cell r="G834">
            <v>37.5</v>
          </cell>
        </row>
        <row r="835">
          <cell r="E835" t="str">
            <v>00301696</v>
          </cell>
          <cell r="G835">
            <v>0</v>
          </cell>
        </row>
        <row r="836">
          <cell r="E836" t="str">
            <v>00353757</v>
          </cell>
          <cell r="G836">
            <v>0</v>
          </cell>
        </row>
        <row r="837">
          <cell r="E837" t="str">
            <v>00301697</v>
          </cell>
          <cell r="G837">
            <v>465</v>
          </cell>
        </row>
        <row r="838">
          <cell r="E838" t="str">
            <v>00307552</v>
          </cell>
          <cell r="G838">
            <v>10</v>
          </cell>
        </row>
        <row r="839">
          <cell r="E839" t="str">
            <v>00305857</v>
          </cell>
          <cell r="G839">
            <v>15</v>
          </cell>
        </row>
        <row r="840">
          <cell r="E840" t="str">
            <v>00301637</v>
          </cell>
          <cell r="G840">
            <v>10</v>
          </cell>
        </row>
        <row r="841">
          <cell r="E841" t="str">
            <v>00435196</v>
          </cell>
          <cell r="G841">
            <v>7</v>
          </cell>
        </row>
        <row r="842">
          <cell r="E842" t="str">
            <v>00435201</v>
          </cell>
          <cell r="G842">
            <v>-1</v>
          </cell>
        </row>
        <row r="843">
          <cell r="E843" t="str">
            <v>00435203</v>
          </cell>
          <cell r="G843">
            <v>-10</v>
          </cell>
        </row>
        <row r="844">
          <cell r="E844" t="str">
            <v>00435204</v>
          </cell>
          <cell r="G844">
            <v>-0.92</v>
          </cell>
        </row>
        <row r="845">
          <cell r="E845" t="str">
            <v>00435208</v>
          </cell>
          <cell r="G845">
            <v>-4.62</v>
          </cell>
        </row>
        <row r="846">
          <cell r="E846" t="str">
            <v>00306911</v>
          </cell>
          <cell r="G846">
            <v>-1</v>
          </cell>
        </row>
        <row r="847">
          <cell r="E847" t="str">
            <v>00306913</v>
          </cell>
          <cell r="G847">
            <v>-5</v>
          </cell>
        </row>
        <row r="848">
          <cell r="E848" t="str">
            <v>00326781</v>
          </cell>
          <cell r="G848">
            <v>2.5</v>
          </cell>
        </row>
        <row r="849">
          <cell r="E849" t="str">
            <v>00736046</v>
          </cell>
          <cell r="G849">
            <v>10</v>
          </cell>
        </row>
        <row r="850">
          <cell r="E850" t="str">
            <v>00324702</v>
          </cell>
          <cell r="G850">
            <v>4</v>
          </cell>
        </row>
        <row r="851">
          <cell r="E851" t="str">
            <v>00324714</v>
          </cell>
          <cell r="G851">
            <v>5.6</v>
          </cell>
        </row>
        <row r="852">
          <cell r="E852" t="str">
            <v>00302874</v>
          </cell>
          <cell r="G852">
            <v>20</v>
          </cell>
        </row>
        <row r="853">
          <cell r="E853" t="str">
            <v>00389407</v>
          </cell>
          <cell r="G853">
            <v>50</v>
          </cell>
        </row>
        <row r="854">
          <cell r="E854" t="str">
            <v>00301765</v>
          </cell>
          <cell r="G854">
            <v>5</v>
          </cell>
        </row>
        <row r="855">
          <cell r="E855" t="str">
            <v>00386176</v>
          </cell>
          <cell r="G855">
            <v>5</v>
          </cell>
        </row>
        <row r="856">
          <cell r="E856" t="str">
            <v>00306537</v>
          </cell>
          <cell r="G856">
            <v>10</v>
          </cell>
        </row>
        <row r="857">
          <cell r="E857" t="str">
            <v>00301763</v>
          </cell>
          <cell r="G857">
            <v>10</v>
          </cell>
        </row>
        <row r="858">
          <cell r="E858" t="str">
            <v>00305044</v>
          </cell>
          <cell r="G858">
            <v>10</v>
          </cell>
        </row>
        <row r="859">
          <cell r="E859" t="str">
            <v>00305045</v>
          </cell>
          <cell r="G859">
            <v>125</v>
          </cell>
        </row>
        <row r="860">
          <cell r="E860" t="str">
            <v>00423862</v>
          </cell>
          <cell r="G860">
            <v>67.5</v>
          </cell>
        </row>
        <row r="861">
          <cell r="E861" t="str">
            <v>00423863</v>
          </cell>
          <cell r="G861">
            <v>1000</v>
          </cell>
        </row>
        <row r="862">
          <cell r="E862" t="str">
            <v>00423864</v>
          </cell>
          <cell r="G862">
            <v>630</v>
          </cell>
        </row>
        <row r="863">
          <cell r="E863" t="str">
            <v>00305331</v>
          </cell>
          <cell r="G863">
            <v>75</v>
          </cell>
        </row>
        <row r="864">
          <cell r="E864" t="str">
            <v>00423257</v>
          </cell>
          <cell r="G864">
            <v>2.5</v>
          </cell>
        </row>
        <row r="865">
          <cell r="E865" t="str">
            <v>00423258</v>
          </cell>
          <cell r="G865">
            <v>70</v>
          </cell>
        </row>
        <row r="866">
          <cell r="E866" t="str">
            <v>00447551</v>
          </cell>
          <cell r="G866">
            <v>20</v>
          </cell>
        </row>
        <row r="867">
          <cell r="E867" t="str">
            <v>00305029</v>
          </cell>
          <cell r="G867">
            <v>40</v>
          </cell>
        </row>
        <row r="868">
          <cell r="E868" t="str">
            <v>00305039</v>
          </cell>
          <cell r="G868">
            <v>1</v>
          </cell>
        </row>
        <row r="869">
          <cell r="E869" t="str">
            <v>00305038</v>
          </cell>
          <cell r="G869">
            <v>25</v>
          </cell>
        </row>
        <row r="870">
          <cell r="E870" t="str">
            <v>00389447</v>
          </cell>
          <cell r="G870">
            <v>10</v>
          </cell>
        </row>
        <row r="871">
          <cell r="E871" t="str">
            <v>00301753</v>
          </cell>
          <cell r="G871">
            <v>80</v>
          </cell>
        </row>
        <row r="872">
          <cell r="E872" t="str">
            <v>00304930</v>
          </cell>
          <cell r="G872">
            <v>-23.099999999999998</v>
          </cell>
        </row>
        <row r="873">
          <cell r="E873" t="str">
            <v>00301471</v>
          </cell>
          <cell r="G873">
            <v>5</v>
          </cell>
        </row>
        <row r="874">
          <cell r="E874" t="str">
            <v>00447296</v>
          </cell>
          <cell r="G874">
            <v>5</v>
          </cell>
        </row>
        <row r="875">
          <cell r="E875" t="str">
            <v>00301461</v>
          </cell>
          <cell r="G875">
            <v>2</v>
          </cell>
        </row>
        <row r="876">
          <cell r="E876" t="str">
            <v>00304905</v>
          </cell>
          <cell r="G876">
            <v>3</v>
          </cell>
        </row>
        <row r="877">
          <cell r="E877" t="str">
            <v>00301454</v>
          </cell>
          <cell r="G877">
            <v>12.5</v>
          </cell>
        </row>
        <row r="878">
          <cell r="E878" t="str">
            <v>00307053</v>
          </cell>
          <cell r="G878">
            <v>20</v>
          </cell>
        </row>
        <row r="879">
          <cell r="E879" t="str">
            <v>00447600</v>
          </cell>
          <cell r="G879">
            <v>36</v>
          </cell>
        </row>
        <row r="880">
          <cell r="E880" t="str">
            <v>00301508</v>
          </cell>
          <cell r="G880">
            <v>15</v>
          </cell>
        </row>
        <row r="881">
          <cell r="E881" t="str">
            <v>00305330</v>
          </cell>
          <cell r="G881">
            <v>-30</v>
          </cell>
        </row>
        <row r="882">
          <cell r="E882" t="str">
            <v>00305446</v>
          </cell>
          <cell r="G882">
            <v>-20</v>
          </cell>
        </row>
        <row r="883">
          <cell r="E883" t="str">
            <v>00301832</v>
          </cell>
          <cell r="G883">
            <v>1</v>
          </cell>
        </row>
        <row r="884">
          <cell r="E884" t="str">
            <v>00301486</v>
          </cell>
          <cell r="G884">
            <v>7.5</v>
          </cell>
        </row>
        <row r="885">
          <cell r="E885" t="str">
            <v>00304913</v>
          </cell>
          <cell r="G885">
            <v>-2.5</v>
          </cell>
        </row>
        <row r="886">
          <cell r="E886" t="str">
            <v>00430609</v>
          </cell>
          <cell r="G886">
            <v>5</v>
          </cell>
        </row>
        <row r="887">
          <cell r="E887" t="str">
            <v>00447298</v>
          </cell>
          <cell r="G887">
            <v>-210</v>
          </cell>
        </row>
        <row r="888">
          <cell r="E888" t="str">
            <v>00447294</v>
          </cell>
          <cell r="G888">
            <v>-4.6239999999999997</v>
          </cell>
        </row>
        <row r="889">
          <cell r="E889" t="str">
            <v>00447299</v>
          </cell>
          <cell r="G889">
            <v>80</v>
          </cell>
        </row>
        <row r="890">
          <cell r="E890" t="str">
            <v>00301877</v>
          </cell>
          <cell r="G890">
            <v>6.75</v>
          </cell>
        </row>
        <row r="891">
          <cell r="E891" t="str">
            <v>00305950</v>
          </cell>
          <cell r="G891">
            <v>5</v>
          </cell>
        </row>
        <row r="892">
          <cell r="E892" t="str">
            <v>00307970</v>
          </cell>
          <cell r="G892">
            <v>5</v>
          </cell>
        </row>
        <row r="893">
          <cell r="E893" t="str">
            <v>00305953</v>
          </cell>
          <cell r="G893">
            <v>10</v>
          </cell>
        </row>
        <row r="894">
          <cell r="E894" t="str">
            <v>00303158</v>
          </cell>
          <cell r="G894">
            <v>12.5</v>
          </cell>
        </row>
        <row r="895">
          <cell r="E895" t="str">
            <v>00303160</v>
          </cell>
          <cell r="G895">
            <v>20</v>
          </cell>
        </row>
        <row r="896">
          <cell r="E896" t="str">
            <v>00303159</v>
          </cell>
          <cell r="G896">
            <v>7.5</v>
          </cell>
        </row>
        <row r="897">
          <cell r="E897" t="str">
            <v>00304851</v>
          </cell>
          <cell r="G897">
            <v>20</v>
          </cell>
        </row>
        <row r="898">
          <cell r="E898" t="str">
            <v>00307972</v>
          </cell>
          <cell r="G898">
            <v>10</v>
          </cell>
        </row>
        <row r="899">
          <cell r="E899" t="str">
            <v>00308192</v>
          </cell>
          <cell r="G899">
            <v>10</v>
          </cell>
        </row>
        <row r="900">
          <cell r="E900" t="str">
            <v>00301859</v>
          </cell>
          <cell r="G900">
            <v>70</v>
          </cell>
        </row>
        <row r="901">
          <cell r="E901" t="str">
            <v>00301861</v>
          </cell>
          <cell r="G901">
            <v>450</v>
          </cell>
        </row>
        <row r="902">
          <cell r="E902" t="str">
            <v>00304855</v>
          </cell>
          <cell r="G902">
            <v>1.5</v>
          </cell>
        </row>
        <row r="903">
          <cell r="E903" t="str">
            <v>00304862</v>
          </cell>
          <cell r="G903">
            <v>25</v>
          </cell>
        </row>
        <row r="904">
          <cell r="E904" t="str">
            <v>00303391</v>
          </cell>
          <cell r="G904">
            <v>65</v>
          </cell>
        </row>
        <row r="905">
          <cell r="E905" t="str">
            <v>00303393</v>
          </cell>
          <cell r="G905">
            <v>165</v>
          </cell>
        </row>
        <row r="906">
          <cell r="E906" t="str">
            <v>00308138</v>
          </cell>
          <cell r="G906">
            <v>2.31</v>
          </cell>
        </row>
        <row r="907">
          <cell r="E907" t="str">
            <v>00423687</v>
          </cell>
          <cell r="G907">
            <v>0.73799999999999999</v>
          </cell>
        </row>
        <row r="908">
          <cell r="E908" t="str">
            <v>00301981</v>
          </cell>
          <cell r="G908">
            <v>2.25</v>
          </cell>
        </row>
        <row r="909">
          <cell r="E909" t="str">
            <v>00302000</v>
          </cell>
          <cell r="G909">
            <v>15</v>
          </cell>
        </row>
        <row r="910">
          <cell r="E910" t="str">
            <v>00301987</v>
          </cell>
          <cell r="G910">
            <v>0.75</v>
          </cell>
        </row>
        <row r="911">
          <cell r="E911" t="str">
            <v>00301979</v>
          </cell>
          <cell r="G911">
            <v>0.75</v>
          </cell>
        </row>
        <row r="912">
          <cell r="E912" t="str">
            <v>00301980</v>
          </cell>
          <cell r="G912">
            <v>15</v>
          </cell>
        </row>
        <row r="913">
          <cell r="E913" t="str">
            <v>00301991</v>
          </cell>
          <cell r="G913">
            <v>0.75</v>
          </cell>
        </row>
        <row r="914">
          <cell r="E914" t="str">
            <v>00301985</v>
          </cell>
          <cell r="G914">
            <v>0.75</v>
          </cell>
        </row>
        <row r="915">
          <cell r="E915" t="str">
            <v>00301986</v>
          </cell>
          <cell r="G915">
            <v>2.5</v>
          </cell>
        </row>
        <row r="916">
          <cell r="E916" t="str">
            <v>00301993</v>
          </cell>
          <cell r="G916">
            <v>2.25</v>
          </cell>
        </row>
        <row r="917">
          <cell r="E917" t="str">
            <v>00301990</v>
          </cell>
          <cell r="G917">
            <v>27.5</v>
          </cell>
        </row>
        <row r="918">
          <cell r="E918" t="str">
            <v>00305948</v>
          </cell>
          <cell r="G918">
            <v>2.46</v>
          </cell>
        </row>
        <row r="919">
          <cell r="E919" t="str">
            <v>00301983</v>
          </cell>
          <cell r="G919">
            <v>0.75</v>
          </cell>
        </row>
        <row r="920">
          <cell r="E920" t="str">
            <v>00301937</v>
          </cell>
          <cell r="G920">
            <v>10</v>
          </cell>
        </row>
        <row r="921">
          <cell r="E921" t="str">
            <v>00301939</v>
          </cell>
          <cell r="G921">
            <v>5</v>
          </cell>
        </row>
        <row r="922">
          <cell r="E922" t="str">
            <v>00301965</v>
          </cell>
          <cell r="G922">
            <v>2.25</v>
          </cell>
        </row>
        <row r="923">
          <cell r="E923" t="str">
            <v>00301966</v>
          </cell>
          <cell r="G923">
            <v>25</v>
          </cell>
        </row>
        <row r="924">
          <cell r="E924" t="str">
            <v>00301959</v>
          </cell>
          <cell r="G924">
            <v>0.75</v>
          </cell>
        </row>
        <row r="925">
          <cell r="E925" t="str">
            <v>00301953</v>
          </cell>
          <cell r="G925">
            <v>3</v>
          </cell>
        </row>
        <row r="926">
          <cell r="E926" t="str">
            <v>00301955</v>
          </cell>
          <cell r="G926">
            <v>80</v>
          </cell>
        </row>
        <row r="927">
          <cell r="E927" t="str">
            <v>00301944</v>
          </cell>
          <cell r="G927">
            <v>1.5</v>
          </cell>
        </row>
        <row r="928">
          <cell r="E928" t="str">
            <v>00301945</v>
          </cell>
          <cell r="G928">
            <v>2.5</v>
          </cell>
        </row>
        <row r="929">
          <cell r="E929" t="str">
            <v>00301946</v>
          </cell>
          <cell r="G929">
            <v>15</v>
          </cell>
        </row>
        <row r="930">
          <cell r="E930" t="str">
            <v>00302003</v>
          </cell>
          <cell r="G930">
            <v>90</v>
          </cell>
        </row>
        <row r="931">
          <cell r="E931" t="str">
            <v>00423535</v>
          </cell>
          <cell r="G931">
            <v>130</v>
          </cell>
        </row>
        <row r="932">
          <cell r="E932" t="str">
            <v>00302005</v>
          </cell>
          <cell r="G932">
            <v>745</v>
          </cell>
        </row>
        <row r="933">
          <cell r="E933" t="str">
            <v>00301975</v>
          </cell>
          <cell r="G933">
            <v>10</v>
          </cell>
        </row>
        <row r="934">
          <cell r="E934" t="str">
            <v>00301977</v>
          </cell>
          <cell r="G934">
            <v>15</v>
          </cell>
        </row>
        <row r="935">
          <cell r="E935" t="str">
            <v>00301978</v>
          </cell>
          <cell r="G935">
            <v>15</v>
          </cell>
        </row>
        <row r="936">
          <cell r="E936" t="str">
            <v>00301931</v>
          </cell>
          <cell r="G936">
            <v>1.5</v>
          </cell>
        </row>
        <row r="937">
          <cell r="E937" t="str">
            <v>00301932</v>
          </cell>
          <cell r="G937">
            <v>7.5</v>
          </cell>
        </row>
        <row r="938">
          <cell r="E938" t="str">
            <v>00264696</v>
          </cell>
          <cell r="G938">
            <v>165</v>
          </cell>
        </row>
        <row r="939">
          <cell r="E939" t="str">
            <v>00264698</v>
          </cell>
          <cell r="G939">
            <v>5</v>
          </cell>
        </row>
        <row r="940">
          <cell r="E940" t="str">
            <v>00264725</v>
          </cell>
          <cell r="G940">
            <v>255</v>
          </cell>
        </row>
        <row r="941">
          <cell r="E941" t="str">
            <v>00264726</v>
          </cell>
          <cell r="G941">
            <v>630</v>
          </cell>
        </row>
        <row r="942">
          <cell r="E942" t="str">
            <v>00264731</v>
          </cell>
          <cell r="G942">
            <v>45</v>
          </cell>
        </row>
        <row r="943">
          <cell r="E943" t="str">
            <v>00264732</v>
          </cell>
          <cell r="G943">
            <v>430</v>
          </cell>
        </row>
        <row r="944">
          <cell r="E944" t="str">
            <v>00305778</v>
          </cell>
          <cell r="G944">
            <v>-15</v>
          </cell>
        </row>
        <row r="945">
          <cell r="E945" t="str">
            <v>00264736</v>
          </cell>
          <cell r="G945">
            <v>200</v>
          </cell>
        </row>
        <row r="946">
          <cell r="E946" t="str">
            <v>00264738</v>
          </cell>
          <cell r="G946">
            <v>35</v>
          </cell>
        </row>
        <row r="947">
          <cell r="E947" t="str">
            <v>00305780</v>
          </cell>
          <cell r="G947">
            <v>41.67</v>
          </cell>
        </row>
        <row r="948">
          <cell r="E948" t="str">
            <v>00264619</v>
          </cell>
          <cell r="G948">
            <v>10</v>
          </cell>
        </row>
        <row r="949">
          <cell r="E949" t="str">
            <v>00264620</v>
          </cell>
          <cell r="G949">
            <v>7.5</v>
          </cell>
        </row>
        <row r="950">
          <cell r="E950" t="str">
            <v>00305839</v>
          </cell>
          <cell r="G950">
            <v>15</v>
          </cell>
        </row>
        <row r="951">
          <cell r="E951" t="str">
            <v>00306728</v>
          </cell>
          <cell r="G951">
            <v>5</v>
          </cell>
        </row>
        <row r="952">
          <cell r="E952" t="str">
            <v>00306723</v>
          </cell>
          <cell r="G952">
            <v>2.5</v>
          </cell>
        </row>
        <row r="953">
          <cell r="E953" t="str">
            <v>00305837</v>
          </cell>
          <cell r="G953">
            <v>1</v>
          </cell>
        </row>
        <row r="954">
          <cell r="E954" t="str">
            <v>00305835</v>
          </cell>
          <cell r="G954">
            <v>205</v>
          </cell>
        </row>
        <row r="955">
          <cell r="E955" t="str">
            <v>00305844</v>
          </cell>
          <cell r="G955">
            <v>2</v>
          </cell>
        </row>
        <row r="956">
          <cell r="E956" t="str">
            <v>00305843</v>
          </cell>
          <cell r="G956">
            <v>7.5</v>
          </cell>
        </row>
        <row r="957">
          <cell r="E957" t="str">
            <v>00264365</v>
          </cell>
          <cell r="G957">
            <v>12.5</v>
          </cell>
        </row>
        <row r="958">
          <cell r="E958" t="str">
            <v>00306715</v>
          </cell>
          <cell r="G958">
            <v>2.5</v>
          </cell>
        </row>
        <row r="959">
          <cell r="E959" t="str">
            <v>00306720</v>
          </cell>
          <cell r="G959">
            <v>10</v>
          </cell>
        </row>
        <row r="960">
          <cell r="E960" t="str">
            <v>00264637</v>
          </cell>
          <cell r="G960">
            <v>0.75</v>
          </cell>
        </row>
        <row r="961">
          <cell r="E961" t="str">
            <v>00264639</v>
          </cell>
          <cell r="G961">
            <v>10</v>
          </cell>
        </row>
        <row r="962">
          <cell r="E962" t="str">
            <v>00264605</v>
          </cell>
          <cell r="G962">
            <v>0.75</v>
          </cell>
        </row>
        <row r="963">
          <cell r="E963" t="str">
            <v>00264604</v>
          </cell>
          <cell r="G963">
            <v>10</v>
          </cell>
        </row>
        <row r="964">
          <cell r="E964" t="str">
            <v>00264606</v>
          </cell>
          <cell r="G964">
            <v>70</v>
          </cell>
        </row>
        <row r="965">
          <cell r="E965" t="str">
            <v>00305788</v>
          </cell>
          <cell r="G965">
            <v>9.24</v>
          </cell>
        </row>
        <row r="966">
          <cell r="E966" t="str">
            <v>00264702</v>
          </cell>
          <cell r="G966">
            <v>0.75</v>
          </cell>
        </row>
        <row r="967">
          <cell r="E967" t="str">
            <v>00304325</v>
          </cell>
          <cell r="G967">
            <v>2.5</v>
          </cell>
        </row>
        <row r="968">
          <cell r="E968" t="str">
            <v>00264752</v>
          </cell>
          <cell r="G968">
            <v>20</v>
          </cell>
        </row>
        <row r="969">
          <cell r="E969" t="str">
            <v>00305816</v>
          </cell>
          <cell r="G969">
            <v>2.31</v>
          </cell>
        </row>
        <row r="970">
          <cell r="E970" t="str">
            <v>00305814</v>
          </cell>
          <cell r="G970">
            <v>-4.62</v>
          </cell>
        </row>
        <row r="971">
          <cell r="E971" t="str">
            <v>00305821</v>
          </cell>
          <cell r="G971">
            <v>2.5</v>
          </cell>
        </row>
        <row r="972">
          <cell r="E972" t="str">
            <v>00305825</v>
          </cell>
          <cell r="G972">
            <v>4</v>
          </cell>
        </row>
        <row r="973">
          <cell r="E973" t="str">
            <v>00305822</v>
          </cell>
          <cell r="G973">
            <v>20</v>
          </cell>
        </row>
        <row r="974">
          <cell r="E974" t="str">
            <v>00305826</v>
          </cell>
          <cell r="G974">
            <v>30</v>
          </cell>
        </row>
        <row r="975">
          <cell r="E975" t="str">
            <v>00264368</v>
          </cell>
          <cell r="G975">
            <v>5</v>
          </cell>
        </row>
        <row r="976">
          <cell r="E976" t="str">
            <v>00264370</v>
          </cell>
          <cell r="G976">
            <v>2.5</v>
          </cell>
        </row>
        <row r="977">
          <cell r="E977" t="str">
            <v>00264371</v>
          </cell>
          <cell r="G977">
            <v>270</v>
          </cell>
        </row>
        <row r="978">
          <cell r="E978" t="str">
            <v>00305769</v>
          </cell>
          <cell r="G978">
            <v>0</v>
          </cell>
        </row>
        <row r="979">
          <cell r="E979" t="str">
            <v>00264563</v>
          </cell>
          <cell r="G979">
            <v>45</v>
          </cell>
        </row>
        <row r="980">
          <cell r="E980" t="str">
            <v>00264566</v>
          </cell>
          <cell r="G980">
            <v>280</v>
          </cell>
        </row>
        <row r="981">
          <cell r="E981" t="str">
            <v>00264707</v>
          </cell>
          <cell r="G981">
            <v>90</v>
          </cell>
        </row>
        <row r="982">
          <cell r="E982" t="str">
            <v>00308366</v>
          </cell>
          <cell r="G982">
            <v>0.97499999999999998</v>
          </cell>
        </row>
        <row r="983">
          <cell r="E983" t="str">
            <v>00264801</v>
          </cell>
          <cell r="G983">
            <v>1</v>
          </cell>
        </row>
        <row r="984">
          <cell r="E984" t="str">
            <v>00264803</v>
          </cell>
          <cell r="G984">
            <v>40</v>
          </cell>
        </row>
        <row r="985">
          <cell r="E985" t="str">
            <v>00264625</v>
          </cell>
          <cell r="G985">
            <v>120</v>
          </cell>
        </row>
        <row r="986">
          <cell r="E986" t="str">
            <v>00264820</v>
          </cell>
          <cell r="G986">
            <v>20</v>
          </cell>
        </row>
        <row r="987">
          <cell r="E987" t="str">
            <v>00305743</v>
          </cell>
          <cell r="G987">
            <v>-5</v>
          </cell>
        </row>
        <row r="988">
          <cell r="E988" t="str">
            <v>00723498</v>
          </cell>
          <cell r="G988">
            <v>10</v>
          </cell>
        </row>
        <row r="989">
          <cell r="E989" t="str">
            <v>00267882</v>
          </cell>
          <cell r="G989">
            <v>18</v>
          </cell>
        </row>
        <row r="990">
          <cell r="E990" t="str">
            <v>00736969</v>
          </cell>
          <cell r="G990">
            <v>4</v>
          </cell>
        </row>
        <row r="991">
          <cell r="E991" t="str">
            <v>00736971</v>
          </cell>
          <cell r="G991">
            <v>10</v>
          </cell>
        </row>
        <row r="992">
          <cell r="E992" t="str">
            <v>00423696</v>
          </cell>
          <cell r="G992">
            <v>4.5599999999999996</v>
          </cell>
        </row>
        <row r="993">
          <cell r="E993" t="str">
            <v>00736950</v>
          </cell>
          <cell r="G993">
            <v>1</v>
          </cell>
        </row>
        <row r="994">
          <cell r="E994" t="str">
            <v>00736956</v>
          </cell>
          <cell r="G994">
            <v>4.5</v>
          </cell>
        </row>
        <row r="995">
          <cell r="E995" t="str">
            <v>00736968</v>
          </cell>
          <cell r="G995">
            <v>0.75</v>
          </cell>
        </row>
        <row r="996">
          <cell r="E996" t="str">
            <v>00736963</v>
          </cell>
          <cell r="G996">
            <v>4</v>
          </cell>
        </row>
        <row r="997">
          <cell r="E997" t="str">
            <v>00736967</v>
          </cell>
          <cell r="G997">
            <v>0.75</v>
          </cell>
        </row>
        <row r="998">
          <cell r="E998" t="str">
            <v>00853474</v>
          </cell>
          <cell r="G998">
            <v>5.3900000000000006</v>
          </cell>
        </row>
        <row r="999">
          <cell r="E999" t="str">
            <v>00732882</v>
          </cell>
          <cell r="G999">
            <v>36</v>
          </cell>
        </row>
        <row r="1000">
          <cell r="E1000" t="str">
            <v>00723290</v>
          </cell>
          <cell r="G1000">
            <v>0.25</v>
          </cell>
        </row>
        <row r="1001">
          <cell r="E1001" t="str">
            <v>00649888</v>
          </cell>
          <cell r="G1001">
            <v>1</v>
          </cell>
        </row>
        <row r="1002">
          <cell r="E1002" t="str">
            <v>00611853</v>
          </cell>
          <cell r="G1002">
            <v>0</v>
          </cell>
        </row>
        <row r="1003">
          <cell r="E1003" t="str">
            <v>00731067</v>
          </cell>
          <cell r="G1003">
            <v>1</v>
          </cell>
        </row>
        <row r="1004">
          <cell r="E1004" t="str">
            <v>00611849</v>
          </cell>
          <cell r="G1004">
            <v>1</v>
          </cell>
        </row>
        <row r="1005">
          <cell r="E1005" t="str">
            <v>00614898</v>
          </cell>
          <cell r="G1005">
            <v>3.0000000000000001E-3</v>
          </cell>
        </row>
        <row r="1006">
          <cell r="E1006" t="str">
            <v>00614922</v>
          </cell>
          <cell r="G1006">
            <v>1</v>
          </cell>
        </row>
        <row r="1007">
          <cell r="E1007" t="str">
            <v>00615350</v>
          </cell>
          <cell r="G1007">
            <v>1</v>
          </cell>
        </row>
        <row r="1008">
          <cell r="E1008" t="str">
            <v>00636279</v>
          </cell>
          <cell r="G1008">
            <v>0</v>
          </cell>
        </row>
        <row r="1009">
          <cell r="E1009" t="str">
            <v>00649891</v>
          </cell>
          <cell r="G1009">
            <v>1</v>
          </cell>
        </row>
        <row r="1010">
          <cell r="E1010" t="str">
            <v>00608488</v>
          </cell>
          <cell r="G1010">
            <v>1</v>
          </cell>
        </row>
        <row r="1011">
          <cell r="E1011" t="str">
            <v>00643848</v>
          </cell>
          <cell r="G1011">
            <v>1</v>
          </cell>
        </row>
        <row r="1012">
          <cell r="E1012" t="str">
            <v>00727894</v>
          </cell>
          <cell r="G1012">
            <v>2</v>
          </cell>
        </row>
        <row r="1013">
          <cell r="E1013" t="str">
            <v>00731057</v>
          </cell>
          <cell r="G1013">
            <v>1</v>
          </cell>
        </row>
        <row r="1014">
          <cell r="E1014" t="str">
            <v>00852482</v>
          </cell>
          <cell r="G1014">
            <v>1</v>
          </cell>
        </row>
        <row r="1015">
          <cell r="E1015" t="str">
            <v>00647273</v>
          </cell>
          <cell r="G1015">
            <v>5</v>
          </cell>
        </row>
        <row r="1016">
          <cell r="E1016" t="str">
            <v>00730469</v>
          </cell>
          <cell r="G1016">
            <v>9</v>
          </cell>
        </row>
        <row r="1017">
          <cell r="E1017" t="str">
            <v>00852901</v>
          </cell>
          <cell r="G1017">
            <v>1</v>
          </cell>
        </row>
        <row r="1018">
          <cell r="E1018" t="str">
            <v>00852852</v>
          </cell>
          <cell r="G1018">
            <v>1</v>
          </cell>
        </row>
        <row r="1019">
          <cell r="E1019" t="str">
            <v>00735643</v>
          </cell>
          <cell r="G1019">
            <v>3</v>
          </cell>
        </row>
        <row r="1020">
          <cell r="E1020" t="str">
            <v>00611851</v>
          </cell>
          <cell r="G1020">
            <v>1</v>
          </cell>
        </row>
        <row r="1021">
          <cell r="E1021" t="str">
            <v>00640077</v>
          </cell>
          <cell r="G1021">
            <v>1</v>
          </cell>
        </row>
        <row r="1022">
          <cell r="E1022" t="str">
            <v>00614855</v>
          </cell>
          <cell r="G1022">
            <v>1</v>
          </cell>
        </row>
        <row r="1023">
          <cell r="E1023" t="str">
            <v>00732000</v>
          </cell>
          <cell r="G1023">
            <v>6</v>
          </cell>
        </row>
        <row r="1024">
          <cell r="E1024" t="str">
            <v>00735646</v>
          </cell>
          <cell r="G1024">
            <v>2</v>
          </cell>
        </row>
        <row r="1025">
          <cell r="E1025" t="str">
            <v>00680313</v>
          </cell>
          <cell r="G1025">
            <v>1</v>
          </cell>
        </row>
        <row r="1026">
          <cell r="E1026" t="str">
            <v>00102689</v>
          </cell>
          <cell r="G1026">
            <v>5.5549999999999997</v>
          </cell>
        </row>
        <row r="1027">
          <cell r="E1027" t="str">
            <v>00611059</v>
          </cell>
          <cell r="G1027">
            <v>8</v>
          </cell>
        </row>
        <row r="1028">
          <cell r="E1028" t="str">
            <v>00618273</v>
          </cell>
          <cell r="G1028">
            <v>1</v>
          </cell>
        </row>
        <row r="1029">
          <cell r="E1029" t="str">
            <v>00611060</v>
          </cell>
          <cell r="G1029">
            <v>1</v>
          </cell>
        </row>
        <row r="1030">
          <cell r="E1030" t="str">
            <v>00681026</v>
          </cell>
          <cell r="G1030">
            <v>2</v>
          </cell>
        </row>
        <row r="1031">
          <cell r="E1031" t="str">
            <v>00631545</v>
          </cell>
          <cell r="G1031">
            <v>7.5</v>
          </cell>
        </row>
        <row r="1032">
          <cell r="E1032" t="str">
            <v>00732670</v>
          </cell>
          <cell r="G1032">
            <v>2.5</v>
          </cell>
        </row>
        <row r="1033">
          <cell r="E1033" t="str">
            <v>00733832</v>
          </cell>
          <cell r="G1033">
            <v>0.75</v>
          </cell>
        </row>
        <row r="1034">
          <cell r="E1034" t="str">
            <v>00735894</v>
          </cell>
          <cell r="G1034">
            <v>0.5</v>
          </cell>
        </row>
        <row r="1035">
          <cell r="E1035" t="str">
            <v>00735142</v>
          </cell>
          <cell r="G1035">
            <v>1.5</v>
          </cell>
        </row>
        <row r="1036">
          <cell r="E1036" t="str">
            <v>00853189</v>
          </cell>
          <cell r="G1036">
            <v>53</v>
          </cell>
        </row>
        <row r="1037">
          <cell r="E1037" t="str">
            <v>00852962</v>
          </cell>
          <cell r="G1037">
            <v>9</v>
          </cell>
        </row>
        <row r="1038">
          <cell r="E1038" t="str">
            <v>00680636</v>
          </cell>
          <cell r="G1038">
            <v>9</v>
          </cell>
        </row>
        <row r="1039">
          <cell r="E1039" t="str">
            <v>00738865</v>
          </cell>
          <cell r="G1039">
            <v>1</v>
          </cell>
        </row>
        <row r="1040">
          <cell r="E1040" t="str">
            <v>00650012</v>
          </cell>
          <cell r="G1040">
            <v>43</v>
          </cell>
        </row>
        <row r="1041">
          <cell r="E1041" t="str">
            <v>00722938</v>
          </cell>
          <cell r="G1041">
            <v>2</v>
          </cell>
        </row>
        <row r="1042">
          <cell r="E1042" t="str">
            <v>00680648</v>
          </cell>
          <cell r="G1042">
            <v>12</v>
          </cell>
        </row>
        <row r="1043">
          <cell r="E1043" t="str">
            <v>00680357</v>
          </cell>
          <cell r="G1043">
            <v>3</v>
          </cell>
        </row>
        <row r="1044">
          <cell r="E1044" t="str">
            <v>00680350</v>
          </cell>
          <cell r="G1044">
            <v>3</v>
          </cell>
        </row>
        <row r="1045">
          <cell r="E1045" t="str">
            <v>00611915</v>
          </cell>
          <cell r="G1045">
            <v>11</v>
          </cell>
        </row>
        <row r="1046">
          <cell r="E1046" t="str">
            <v>00737322</v>
          </cell>
          <cell r="G1046">
            <v>2</v>
          </cell>
        </row>
        <row r="1047">
          <cell r="E1047" t="str">
            <v>00610674</v>
          </cell>
          <cell r="G1047">
            <v>10</v>
          </cell>
        </row>
        <row r="1048">
          <cell r="E1048" t="str">
            <v>00681110</v>
          </cell>
          <cell r="G1048">
            <v>2</v>
          </cell>
        </row>
        <row r="1049">
          <cell r="E1049" t="str">
            <v>00681569</v>
          </cell>
          <cell r="G1049">
            <v>10</v>
          </cell>
        </row>
        <row r="1050">
          <cell r="E1050" t="str">
            <v>00724306</v>
          </cell>
          <cell r="G1050">
            <v>20</v>
          </cell>
        </row>
        <row r="1051">
          <cell r="E1051" t="str">
            <v>00611392</v>
          </cell>
          <cell r="G1051">
            <v>2.3000000000000003E-2</v>
          </cell>
        </row>
        <row r="1052">
          <cell r="E1052" t="str">
            <v>00735703</v>
          </cell>
          <cell r="G1052">
            <v>46</v>
          </cell>
        </row>
        <row r="1053">
          <cell r="E1053" t="str">
            <v>00734721</v>
          </cell>
          <cell r="G1053">
            <v>15</v>
          </cell>
        </row>
        <row r="1054">
          <cell r="E1054" t="str">
            <v>00734723</v>
          </cell>
          <cell r="G1054">
            <v>12</v>
          </cell>
        </row>
        <row r="1055">
          <cell r="E1055" t="str">
            <v>00852444</v>
          </cell>
          <cell r="G1055">
            <v>2</v>
          </cell>
        </row>
        <row r="1056">
          <cell r="E1056" t="str">
            <v>00852445</v>
          </cell>
          <cell r="G1056">
            <v>8</v>
          </cell>
        </row>
        <row r="1057">
          <cell r="E1057" t="str">
            <v>00649726</v>
          </cell>
          <cell r="G1057">
            <v>1</v>
          </cell>
        </row>
        <row r="1058">
          <cell r="E1058" t="str">
            <v>00681748</v>
          </cell>
          <cell r="G1058">
            <v>6</v>
          </cell>
        </row>
        <row r="1059">
          <cell r="E1059" t="str">
            <v>00723494</v>
          </cell>
          <cell r="G1059">
            <v>15</v>
          </cell>
        </row>
        <row r="1060">
          <cell r="E1060" t="str">
            <v>00610498</v>
          </cell>
          <cell r="G1060">
            <v>3</v>
          </cell>
        </row>
        <row r="1061">
          <cell r="E1061" t="str">
            <v>00615318</v>
          </cell>
          <cell r="G1061">
            <v>0.1</v>
          </cell>
        </row>
        <row r="1062">
          <cell r="E1062" t="str">
            <v>00734370</v>
          </cell>
          <cell r="G1062">
            <v>41</v>
          </cell>
        </row>
        <row r="1063">
          <cell r="E1063" t="str">
            <v>00734369</v>
          </cell>
          <cell r="G1063">
            <v>71</v>
          </cell>
        </row>
        <row r="1064">
          <cell r="E1064" t="str">
            <v>00680204</v>
          </cell>
          <cell r="G1064">
            <v>54.340000000000011</v>
          </cell>
        </row>
        <row r="1065">
          <cell r="E1065" t="str">
            <v>00680909</v>
          </cell>
          <cell r="G1065">
            <v>2.8999999999999995</v>
          </cell>
        </row>
        <row r="1066">
          <cell r="E1066" t="str">
            <v>00680388</v>
          </cell>
          <cell r="G1066">
            <v>1</v>
          </cell>
        </row>
        <row r="1067">
          <cell r="E1067" t="str">
            <v>00611394</v>
          </cell>
          <cell r="G1067">
            <v>3</v>
          </cell>
        </row>
        <row r="1068">
          <cell r="E1068" t="str">
            <v>00611393</v>
          </cell>
          <cell r="G1068">
            <v>3</v>
          </cell>
        </row>
        <row r="1069">
          <cell r="E1069" t="str">
            <v>00611381</v>
          </cell>
          <cell r="G1069">
            <v>4</v>
          </cell>
        </row>
        <row r="1070">
          <cell r="E1070" t="str">
            <v>00611382</v>
          </cell>
          <cell r="G1070">
            <v>6</v>
          </cell>
        </row>
        <row r="1071">
          <cell r="E1071" t="str">
            <v>00611390</v>
          </cell>
          <cell r="G1071">
            <v>3.0000000000000001E-3</v>
          </cell>
        </row>
        <row r="1072">
          <cell r="E1072" t="str">
            <v>00611389</v>
          </cell>
          <cell r="G1072">
            <v>3</v>
          </cell>
        </row>
        <row r="1073">
          <cell r="E1073" t="str">
            <v>00657764</v>
          </cell>
          <cell r="G1073">
            <v>0</v>
          </cell>
        </row>
        <row r="1074">
          <cell r="E1074" t="str">
            <v>00680812</v>
          </cell>
          <cell r="G1074">
            <v>1</v>
          </cell>
        </row>
        <row r="1075">
          <cell r="E1075" t="str">
            <v>00681157</v>
          </cell>
          <cell r="G1075">
            <v>4</v>
          </cell>
        </row>
        <row r="1076">
          <cell r="E1076" t="str">
            <v>00681343</v>
          </cell>
          <cell r="G1076">
            <v>2</v>
          </cell>
        </row>
        <row r="1077">
          <cell r="E1077" t="str">
            <v>00681348</v>
          </cell>
          <cell r="G1077">
            <v>1</v>
          </cell>
        </row>
        <row r="1078">
          <cell r="E1078" t="str">
            <v>00681360</v>
          </cell>
          <cell r="G1078">
            <v>3</v>
          </cell>
        </row>
        <row r="1079">
          <cell r="E1079" t="str">
            <v>00681359</v>
          </cell>
          <cell r="G1079">
            <v>2</v>
          </cell>
        </row>
        <row r="1080">
          <cell r="E1080" t="str">
            <v>00681358</v>
          </cell>
          <cell r="G1080">
            <v>3</v>
          </cell>
        </row>
        <row r="1081">
          <cell r="E1081" t="str">
            <v>00681361</v>
          </cell>
          <cell r="G1081">
            <v>7</v>
          </cell>
        </row>
        <row r="1082">
          <cell r="E1082" t="str">
            <v>00681354</v>
          </cell>
          <cell r="G1082">
            <v>1</v>
          </cell>
        </row>
        <row r="1083">
          <cell r="E1083" t="str">
            <v>00681355</v>
          </cell>
          <cell r="G1083">
            <v>2</v>
          </cell>
        </row>
        <row r="1084">
          <cell r="E1084" t="str">
            <v>00681356</v>
          </cell>
          <cell r="G1084">
            <v>5</v>
          </cell>
        </row>
        <row r="1085">
          <cell r="E1085" t="str">
            <v>00680752</v>
          </cell>
          <cell r="G1085">
            <v>2</v>
          </cell>
        </row>
        <row r="1086">
          <cell r="E1086" t="str">
            <v>00680753</v>
          </cell>
          <cell r="G1086">
            <v>2</v>
          </cell>
        </row>
        <row r="1087">
          <cell r="E1087" t="str">
            <v>00680736</v>
          </cell>
          <cell r="G1087">
            <v>13</v>
          </cell>
        </row>
        <row r="1088">
          <cell r="E1088" t="str">
            <v>00852823</v>
          </cell>
          <cell r="G1088">
            <v>1</v>
          </cell>
        </row>
        <row r="1089">
          <cell r="E1089" t="str">
            <v>00852808</v>
          </cell>
          <cell r="G1089">
            <v>55</v>
          </cell>
        </row>
        <row r="1090">
          <cell r="E1090" t="str">
            <v>00852813</v>
          </cell>
          <cell r="G1090">
            <v>0</v>
          </cell>
        </row>
        <row r="1091">
          <cell r="E1091" t="str">
            <v>00852820</v>
          </cell>
          <cell r="G1091">
            <v>3</v>
          </cell>
        </row>
        <row r="1092">
          <cell r="E1092" t="str">
            <v>00852824</v>
          </cell>
          <cell r="G1092">
            <v>10</v>
          </cell>
        </row>
        <row r="1093">
          <cell r="E1093" t="str">
            <v>00852826</v>
          </cell>
          <cell r="G1093">
            <v>5</v>
          </cell>
        </row>
        <row r="1094">
          <cell r="E1094" t="str">
            <v>00853383</v>
          </cell>
          <cell r="G1094">
            <v>2</v>
          </cell>
        </row>
        <row r="1095">
          <cell r="E1095" t="str">
            <v>00852810</v>
          </cell>
          <cell r="G1095">
            <v>8</v>
          </cell>
        </row>
        <row r="1096">
          <cell r="E1096" t="str">
            <v>00680978</v>
          </cell>
          <cell r="G1096">
            <v>1</v>
          </cell>
        </row>
        <row r="1097">
          <cell r="E1097" t="str">
            <v>00852687</v>
          </cell>
          <cell r="G1097">
            <v>2</v>
          </cell>
        </row>
        <row r="1098">
          <cell r="E1098" t="str">
            <v>00852685</v>
          </cell>
          <cell r="G1098">
            <v>6</v>
          </cell>
        </row>
        <row r="1099">
          <cell r="E1099" t="str">
            <v>00852683</v>
          </cell>
          <cell r="G1099">
            <v>4</v>
          </cell>
        </row>
        <row r="1100">
          <cell r="E1100" t="str">
            <v>00852681</v>
          </cell>
          <cell r="G1100">
            <v>2</v>
          </cell>
        </row>
        <row r="1101">
          <cell r="E1101" t="str">
            <v>00853281</v>
          </cell>
          <cell r="G1101">
            <v>63</v>
          </cell>
        </row>
        <row r="1102">
          <cell r="E1102" t="str">
            <v>00852413</v>
          </cell>
          <cell r="G1102">
            <v>2</v>
          </cell>
        </row>
        <row r="1103">
          <cell r="E1103" t="str">
            <v>00611470</v>
          </cell>
          <cell r="G1103">
            <v>10</v>
          </cell>
        </row>
        <row r="1104">
          <cell r="E1104" t="str">
            <v>00611463</v>
          </cell>
          <cell r="G1104">
            <v>1</v>
          </cell>
        </row>
        <row r="1105">
          <cell r="E1105" t="str">
            <v>00680878</v>
          </cell>
          <cell r="G1105">
            <v>11</v>
          </cell>
        </row>
        <row r="1106">
          <cell r="E1106" t="str">
            <v>00424078</v>
          </cell>
          <cell r="G1106">
            <v>42</v>
          </cell>
        </row>
        <row r="1107">
          <cell r="E1107" t="str">
            <v>00424079</v>
          </cell>
          <cell r="G1107">
            <v>8</v>
          </cell>
        </row>
        <row r="1108">
          <cell r="E1108" t="str">
            <v>00423530</v>
          </cell>
          <cell r="G1108">
            <v>2.7</v>
          </cell>
        </row>
        <row r="1109">
          <cell r="E1109" t="str">
            <v>00852554</v>
          </cell>
          <cell r="G1109">
            <v>26</v>
          </cell>
        </row>
        <row r="1110">
          <cell r="E1110" t="str">
            <v>00611899</v>
          </cell>
          <cell r="G1110">
            <v>1</v>
          </cell>
        </row>
        <row r="1111">
          <cell r="E1111" t="str">
            <v>00853155</v>
          </cell>
          <cell r="G1111">
            <v>6</v>
          </cell>
        </row>
        <row r="1112">
          <cell r="E1112" t="str">
            <v>00852706</v>
          </cell>
          <cell r="G1112">
            <v>13</v>
          </cell>
        </row>
        <row r="1113">
          <cell r="E1113" t="str">
            <v>00852930</v>
          </cell>
          <cell r="G1113">
            <v>1</v>
          </cell>
        </row>
        <row r="1114">
          <cell r="E1114" t="str">
            <v>00852924</v>
          </cell>
          <cell r="G1114">
            <v>9</v>
          </cell>
        </row>
        <row r="1115">
          <cell r="E1115" t="str">
            <v>00680879</v>
          </cell>
          <cell r="G1115">
            <v>6</v>
          </cell>
        </row>
        <row r="1116">
          <cell r="E1116" t="str">
            <v>00611483</v>
          </cell>
          <cell r="G1116">
            <v>2</v>
          </cell>
        </row>
        <row r="1117">
          <cell r="E1117" t="str">
            <v>00611484</v>
          </cell>
          <cell r="G1117">
            <v>14</v>
          </cell>
        </row>
        <row r="1118">
          <cell r="E1118" t="str">
            <v>00611485</v>
          </cell>
          <cell r="G1118">
            <v>31</v>
          </cell>
        </row>
        <row r="1119">
          <cell r="E1119" t="str">
            <v>00611486</v>
          </cell>
          <cell r="G1119">
            <v>7</v>
          </cell>
        </row>
        <row r="1120">
          <cell r="E1120" t="str">
            <v>00611458</v>
          </cell>
          <cell r="G1120">
            <v>17</v>
          </cell>
        </row>
        <row r="1121">
          <cell r="E1121" t="str">
            <v>00681447</v>
          </cell>
          <cell r="G1121">
            <v>1</v>
          </cell>
        </row>
        <row r="1122">
          <cell r="E1122" t="str">
            <v>00852420</v>
          </cell>
          <cell r="G1122">
            <v>20</v>
          </cell>
        </row>
        <row r="1123">
          <cell r="E1123" t="str">
            <v>00852709</v>
          </cell>
          <cell r="G1123">
            <v>9</v>
          </cell>
        </row>
        <row r="1124">
          <cell r="E1124" t="str">
            <v>00853254</v>
          </cell>
          <cell r="G1124">
            <v>5</v>
          </cell>
        </row>
        <row r="1125">
          <cell r="E1125" t="str">
            <v>00424081</v>
          </cell>
          <cell r="G1125">
            <v>2</v>
          </cell>
        </row>
        <row r="1126">
          <cell r="E1126" t="str">
            <v>00424080</v>
          </cell>
          <cell r="G1126">
            <v>38</v>
          </cell>
        </row>
        <row r="1127">
          <cell r="E1127" t="str">
            <v>00680977</v>
          </cell>
          <cell r="G1127">
            <v>24</v>
          </cell>
        </row>
        <row r="1128">
          <cell r="E1128" t="str">
            <v>00424077</v>
          </cell>
          <cell r="G1128">
            <v>55</v>
          </cell>
        </row>
        <row r="1129">
          <cell r="E1129" t="str">
            <v>00680877</v>
          </cell>
          <cell r="G1129">
            <v>73</v>
          </cell>
        </row>
        <row r="1130">
          <cell r="E1130" t="str">
            <v>00424056</v>
          </cell>
          <cell r="G1130">
            <v>23</v>
          </cell>
        </row>
        <row r="1131">
          <cell r="E1131" t="str">
            <v>00853115</v>
          </cell>
          <cell r="G1131">
            <v>8</v>
          </cell>
        </row>
        <row r="1132">
          <cell r="E1132" t="str">
            <v>00614872</v>
          </cell>
          <cell r="G1132">
            <v>12</v>
          </cell>
        </row>
        <row r="1133">
          <cell r="E1133" t="str">
            <v>00723311</v>
          </cell>
          <cell r="G1133">
            <v>3</v>
          </cell>
        </row>
        <row r="1134">
          <cell r="E1134" t="str">
            <v>00733019</v>
          </cell>
          <cell r="G1134">
            <v>20</v>
          </cell>
        </row>
        <row r="1135">
          <cell r="E1135" t="str">
            <v>00717218</v>
          </cell>
          <cell r="G1135">
            <v>4</v>
          </cell>
        </row>
        <row r="1136">
          <cell r="E1136" t="str">
            <v>00680097</v>
          </cell>
          <cell r="G1136">
            <v>2</v>
          </cell>
        </row>
        <row r="1137">
          <cell r="E1137" t="str">
            <v>00647157</v>
          </cell>
          <cell r="G1137">
            <v>1</v>
          </cell>
        </row>
        <row r="1138">
          <cell r="E1138" t="str">
            <v>00647194</v>
          </cell>
          <cell r="G1138">
            <v>2</v>
          </cell>
        </row>
        <row r="1139">
          <cell r="E1139" t="str">
            <v>00647208</v>
          </cell>
          <cell r="G1139">
            <v>2</v>
          </cell>
        </row>
        <row r="1140">
          <cell r="E1140" t="str">
            <v>00647211</v>
          </cell>
          <cell r="G1140">
            <v>1</v>
          </cell>
        </row>
        <row r="1141">
          <cell r="E1141" t="str">
            <v>00647184</v>
          </cell>
          <cell r="G1141">
            <v>2</v>
          </cell>
        </row>
        <row r="1142">
          <cell r="E1142" t="str">
            <v>00647162</v>
          </cell>
          <cell r="G1142">
            <v>1</v>
          </cell>
        </row>
        <row r="1143">
          <cell r="E1143" t="str">
            <v>00647164</v>
          </cell>
          <cell r="G1143">
            <v>1</v>
          </cell>
        </row>
        <row r="1144">
          <cell r="E1144" t="str">
            <v>00647165</v>
          </cell>
          <cell r="G1144">
            <v>1</v>
          </cell>
        </row>
        <row r="1145">
          <cell r="E1145" t="str">
            <v>00610502</v>
          </cell>
          <cell r="G1145">
            <v>20</v>
          </cell>
        </row>
        <row r="1146">
          <cell r="E1146" t="str">
            <v>00853017</v>
          </cell>
          <cell r="G1146">
            <v>2</v>
          </cell>
        </row>
        <row r="1147">
          <cell r="E1147" t="str">
            <v>00608340</v>
          </cell>
          <cell r="G1147">
            <v>10</v>
          </cell>
        </row>
        <row r="1148">
          <cell r="E1148" t="str">
            <v>00718824</v>
          </cell>
          <cell r="G1148">
            <v>3</v>
          </cell>
        </row>
        <row r="1149">
          <cell r="E1149" t="str">
            <v>00718751</v>
          </cell>
          <cell r="G1149">
            <v>0</v>
          </cell>
        </row>
        <row r="1150">
          <cell r="E1150" t="str">
            <v>00718885</v>
          </cell>
          <cell r="G1150">
            <v>32</v>
          </cell>
        </row>
        <row r="1151">
          <cell r="E1151" t="str">
            <v>00608353</v>
          </cell>
          <cell r="G1151">
            <v>17</v>
          </cell>
        </row>
        <row r="1152">
          <cell r="E1152" t="str">
            <v>00732131</v>
          </cell>
          <cell r="G1152">
            <v>2</v>
          </cell>
        </row>
        <row r="1153">
          <cell r="E1153" t="str">
            <v>00639830</v>
          </cell>
          <cell r="G1153">
            <v>12</v>
          </cell>
        </row>
        <row r="1154">
          <cell r="E1154" t="str">
            <v>00633322</v>
          </cell>
          <cell r="G1154">
            <v>7</v>
          </cell>
        </row>
        <row r="1155">
          <cell r="E1155" t="str">
            <v>00853151</v>
          </cell>
          <cell r="G1155">
            <v>4</v>
          </cell>
        </row>
        <row r="1156">
          <cell r="E1156" t="str">
            <v>00739390</v>
          </cell>
          <cell r="G1156">
            <v>5</v>
          </cell>
        </row>
        <row r="1157">
          <cell r="E1157" t="str">
            <v>00739391</v>
          </cell>
          <cell r="G1157">
            <v>3</v>
          </cell>
        </row>
        <row r="1158">
          <cell r="E1158" t="str">
            <v>00718914</v>
          </cell>
          <cell r="G1158">
            <v>3</v>
          </cell>
        </row>
        <row r="1159">
          <cell r="E1159" t="str">
            <v>00724421</v>
          </cell>
          <cell r="G1159">
            <v>1</v>
          </cell>
        </row>
        <row r="1160">
          <cell r="E1160" t="str">
            <v>00852400</v>
          </cell>
          <cell r="G1160">
            <v>7</v>
          </cell>
        </row>
        <row r="1161">
          <cell r="E1161" t="str">
            <v>00852401</v>
          </cell>
          <cell r="G1161">
            <v>6</v>
          </cell>
        </row>
        <row r="1162">
          <cell r="E1162" t="str">
            <v>00852402</v>
          </cell>
          <cell r="G1162">
            <v>7</v>
          </cell>
        </row>
        <row r="1163">
          <cell r="E1163" t="str">
            <v>00727241</v>
          </cell>
          <cell r="G1163">
            <v>4</v>
          </cell>
        </row>
        <row r="1164">
          <cell r="E1164" t="str">
            <v>00718900</v>
          </cell>
          <cell r="G1164">
            <v>6</v>
          </cell>
        </row>
        <row r="1165">
          <cell r="E1165" t="str">
            <v>00718776</v>
          </cell>
          <cell r="G1165">
            <v>5</v>
          </cell>
        </row>
        <row r="1166">
          <cell r="E1166" t="str">
            <v>00718685</v>
          </cell>
          <cell r="G1166">
            <v>14</v>
          </cell>
        </row>
        <row r="1167">
          <cell r="E1167" t="str">
            <v>00738677</v>
          </cell>
          <cell r="G1167">
            <v>14</v>
          </cell>
        </row>
        <row r="1168">
          <cell r="E1168" t="str">
            <v>00718739</v>
          </cell>
          <cell r="G1168">
            <v>2</v>
          </cell>
        </row>
        <row r="1169">
          <cell r="E1169" t="str">
            <v>00680366</v>
          </cell>
          <cell r="G1169">
            <v>3</v>
          </cell>
        </row>
        <row r="1170">
          <cell r="E1170" t="str">
            <v>00647278</v>
          </cell>
          <cell r="G1170">
            <v>6</v>
          </cell>
        </row>
        <row r="1171">
          <cell r="E1171" t="str">
            <v>00611067</v>
          </cell>
          <cell r="G1171">
            <v>15</v>
          </cell>
        </row>
        <row r="1172">
          <cell r="E1172" t="str">
            <v>00680869</v>
          </cell>
          <cell r="G1172">
            <v>8.4</v>
          </cell>
        </row>
        <row r="1173">
          <cell r="E1173" t="str">
            <v>00140801</v>
          </cell>
          <cell r="G1173">
            <v>6.48</v>
          </cell>
        </row>
        <row r="1174">
          <cell r="E1174" t="str">
            <v>00144495</v>
          </cell>
          <cell r="G1174">
            <v>3.2</v>
          </cell>
        </row>
        <row r="1175">
          <cell r="E1175" t="str">
            <v>00142013</v>
          </cell>
          <cell r="G1175">
            <v>0.8</v>
          </cell>
        </row>
        <row r="1176">
          <cell r="E1176" t="str">
            <v>00149923</v>
          </cell>
          <cell r="G1176">
            <v>25.74</v>
          </cell>
        </row>
        <row r="1177">
          <cell r="E1177" t="str">
            <v>00137271</v>
          </cell>
          <cell r="G1177">
            <v>6.2</v>
          </cell>
        </row>
        <row r="1178">
          <cell r="E1178" t="str">
            <v>00238758</v>
          </cell>
          <cell r="G1178">
            <v>0.96</v>
          </cell>
        </row>
        <row r="1179">
          <cell r="E1179" t="str">
            <v>00218768</v>
          </cell>
          <cell r="G1179">
            <v>6.4</v>
          </cell>
        </row>
        <row r="1180">
          <cell r="E1180" t="str">
            <v>00723462</v>
          </cell>
          <cell r="G1180">
            <v>13</v>
          </cell>
        </row>
        <row r="1181">
          <cell r="E1181" t="str">
            <v>00723461</v>
          </cell>
          <cell r="G1181">
            <v>31</v>
          </cell>
        </row>
        <row r="1182">
          <cell r="E1182" t="str">
            <v>00727843</v>
          </cell>
          <cell r="G1182">
            <v>17</v>
          </cell>
        </row>
        <row r="1183">
          <cell r="E1183" t="str">
            <v>00723477</v>
          </cell>
          <cell r="G1183">
            <v>40</v>
          </cell>
        </row>
        <row r="1184">
          <cell r="E1184" t="str">
            <v>00732918</v>
          </cell>
          <cell r="G1184">
            <v>3.6</v>
          </cell>
        </row>
        <row r="1185">
          <cell r="E1185" t="str">
            <v>00121186</v>
          </cell>
          <cell r="G1185">
            <v>5</v>
          </cell>
        </row>
        <row r="1186">
          <cell r="E1186" t="str">
            <v>00615700</v>
          </cell>
          <cell r="G1186">
            <v>0</v>
          </cell>
        </row>
        <row r="1187">
          <cell r="E1187" t="str">
            <v>00618091</v>
          </cell>
          <cell r="G1187">
            <v>2.5</v>
          </cell>
        </row>
        <row r="1188">
          <cell r="E1188" t="str">
            <v>00738131</v>
          </cell>
          <cell r="G1188">
            <v>2.5</v>
          </cell>
        </row>
        <row r="1189">
          <cell r="E1189" t="str">
            <v>00681088</v>
          </cell>
          <cell r="G1189">
            <v>25</v>
          </cell>
        </row>
        <row r="1190">
          <cell r="E1190" t="str">
            <v>00680178</v>
          </cell>
          <cell r="G1190">
            <v>6</v>
          </cell>
        </row>
        <row r="1191">
          <cell r="E1191" t="str">
            <v>00680185</v>
          </cell>
          <cell r="G1191">
            <v>10</v>
          </cell>
        </row>
        <row r="1192">
          <cell r="E1192" t="str">
            <v>00736490</v>
          </cell>
          <cell r="G1192">
            <v>20</v>
          </cell>
        </row>
        <row r="1193">
          <cell r="E1193" t="str">
            <v>00954101</v>
          </cell>
          <cell r="G1193">
            <v>17</v>
          </cell>
        </row>
        <row r="1194">
          <cell r="E1194" t="str">
            <v>00737281</v>
          </cell>
          <cell r="G1194">
            <v>13</v>
          </cell>
        </row>
        <row r="1195">
          <cell r="E1195" t="str">
            <v>00736489</v>
          </cell>
          <cell r="G1195">
            <v>10</v>
          </cell>
        </row>
        <row r="1196">
          <cell r="E1196" t="str">
            <v>00681207</v>
          </cell>
          <cell r="G1196">
            <v>6</v>
          </cell>
        </row>
        <row r="1197">
          <cell r="E1197" t="str">
            <v>00618235</v>
          </cell>
          <cell r="G1197">
            <v>5</v>
          </cell>
        </row>
        <row r="1198">
          <cell r="E1198" t="str">
            <v>00611157</v>
          </cell>
          <cell r="G1198">
            <v>1</v>
          </cell>
        </row>
        <row r="1199">
          <cell r="E1199" t="str">
            <v>00618216</v>
          </cell>
          <cell r="G1199">
            <v>3</v>
          </cell>
        </row>
        <row r="1200">
          <cell r="E1200" t="str">
            <v>00618242</v>
          </cell>
          <cell r="G1200">
            <v>4</v>
          </cell>
        </row>
        <row r="1201">
          <cell r="E1201" t="str">
            <v>00618236</v>
          </cell>
          <cell r="G1201">
            <v>1</v>
          </cell>
        </row>
        <row r="1202">
          <cell r="E1202" t="str">
            <v>00618237</v>
          </cell>
          <cell r="G1202">
            <v>2</v>
          </cell>
        </row>
        <row r="1203">
          <cell r="E1203" t="str">
            <v>00618238</v>
          </cell>
          <cell r="G1203">
            <v>2</v>
          </cell>
        </row>
        <row r="1204">
          <cell r="E1204" t="str">
            <v>00618208</v>
          </cell>
          <cell r="G1204">
            <v>4</v>
          </cell>
        </row>
        <row r="1205">
          <cell r="E1205" t="str">
            <v>00731237</v>
          </cell>
          <cell r="G1205">
            <v>1</v>
          </cell>
        </row>
        <row r="1206">
          <cell r="E1206" t="str">
            <v>00725855</v>
          </cell>
          <cell r="G1206">
            <v>1</v>
          </cell>
        </row>
        <row r="1207">
          <cell r="E1207" t="str">
            <v>00728222</v>
          </cell>
          <cell r="G1207">
            <v>1</v>
          </cell>
        </row>
        <row r="1208">
          <cell r="E1208" t="str">
            <v>00728226</v>
          </cell>
          <cell r="G1208">
            <v>2</v>
          </cell>
        </row>
        <row r="1209">
          <cell r="E1209" t="str">
            <v>00731279</v>
          </cell>
          <cell r="G1209">
            <v>150</v>
          </cell>
        </row>
        <row r="1210">
          <cell r="E1210" t="str">
            <v>00734787</v>
          </cell>
          <cell r="G1210">
            <v>8</v>
          </cell>
        </row>
        <row r="1211">
          <cell r="E1211" t="str">
            <v>00734785</v>
          </cell>
          <cell r="G1211">
            <v>10</v>
          </cell>
        </row>
        <row r="1212">
          <cell r="E1212" t="str">
            <v>00728165</v>
          </cell>
          <cell r="G1212">
            <v>8</v>
          </cell>
        </row>
        <row r="1213">
          <cell r="E1213" t="str">
            <v>00610769</v>
          </cell>
          <cell r="G1213">
            <v>2</v>
          </cell>
        </row>
        <row r="1214">
          <cell r="E1214" t="str">
            <v>00618247</v>
          </cell>
          <cell r="G1214">
            <v>5</v>
          </cell>
        </row>
        <row r="1215">
          <cell r="E1215" t="str">
            <v>00852865</v>
          </cell>
          <cell r="G1215">
            <v>2.5</v>
          </cell>
        </row>
        <row r="1216">
          <cell r="E1216" t="str">
            <v>00852864</v>
          </cell>
          <cell r="G1216">
            <v>5</v>
          </cell>
        </row>
        <row r="1217">
          <cell r="E1217" t="str">
            <v>00618246</v>
          </cell>
          <cell r="G1217">
            <v>5</v>
          </cell>
        </row>
        <row r="1218">
          <cell r="E1218" t="str">
            <v>00737881</v>
          </cell>
          <cell r="G1218">
            <v>10</v>
          </cell>
        </row>
        <row r="1219">
          <cell r="E1219" t="str">
            <v>00738727</v>
          </cell>
          <cell r="G1219">
            <v>10</v>
          </cell>
        </row>
        <row r="1220">
          <cell r="E1220" t="str">
            <v>00739277</v>
          </cell>
          <cell r="G1220">
            <v>1</v>
          </cell>
        </row>
        <row r="1221">
          <cell r="E1221" t="str">
            <v>00647073</v>
          </cell>
          <cell r="G1221">
            <v>2.5</v>
          </cell>
        </row>
        <row r="1222">
          <cell r="E1222" t="str">
            <v>00730815</v>
          </cell>
          <cell r="G1222">
            <v>15</v>
          </cell>
        </row>
        <row r="1223">
          <cell r="E1223" t="str">
            <v>00631683</v>
          </cell>
          <cell r="G1223">
            <v>7.5</v>
          </cell>
        </row>
        <row r="1224">
          <cell r="E1224" t="str">
            <v>00733042</v>
          </cell>
          <cell r="G1224">
            <v>10</v>
          </cell>
        </row>
        <row r="1225">
          <cell r="E1225" t="str">
            <v>00423497</v>
          </cell>
          <cell r="F1225">
            <v>-0.92</v>
          </cell>
          <cell r="G1225">
            <v>-0.92</v>
          </cell>
        </row>
        <row r="1226">
          <cell r="E1226" t="str">
            <v>00306912</v>
          </cell>
          <cell r="F1226">
            <v>-0.92</v>
          </cell>
          <cell r="G1226">
            <v>-1.84</v>
          </cell>
        </row>
        <row r="1227">
          <cell r="E1227" t="str">
            <v>00681027</v>
          </cell>
          <cell r="F1227">
            <v>-1</v>
          </cell>
          <cell r="G1227">
            <v>1</v>
          </cell>
        </row>
        <row r="1228">
          <cell r="E1228" t="str">
            <v>00633576</v>
          </cell>
          <cell r="F1228">
            <v>-1</v>
          </cell>
          <cell r="G1228">
            <v>2</v>
          </cell>
        </row>
        <row r="1229">
          <cell r="E1229" t="str">
            <v>00611487</v>
          </cell>
          <cell r="F1229">
            <v>-1</v>
          </cell>
          <cell r="G1229">
            <v>3</v>
          </cell>
        </row>
        <row r="1230">
          <cell r="E1230" t="str">
            <v>00308137</v>
          </cell>
          <cell r="F1230">
            <v>-1.97</v>
          </cell>
          <cell r="G1230">
            <v>19.7</v>
          </cell>
        </row>
        <row r="1231">
          <cell r="E1231" t="str">
            <v>00325193</v>
          </cell>
          <cell r="F1231">
            <v>-1.9750000000000001</v>
          </cell>
          <cell r="G1231">
            <v>-3.95</v>
          </cell>
        </row>
        <row r="1232">
          <cell r="E1232" t="str">
            <v>00304903</v>
          </cell>
          <cell r="F1232">
            <v>-2.31</v>
          </cell>
          <cell r="G1232">
            <v>-11.549999999999999</v>
          </cell>
        </row>
        <row r="1233">
          <cell r="E1233" t="str">
            <v>00304926</v>
          </cell>
          <cell r="F1233">
            <v>-2.5</v>
          </cell>
          <cell r="G1233">
            <v>-12.5</v>
          </cell>
        </row>
        <row r="1234">
          <cell r="E1234" t="str">
            <v>00304900</v>
          </cell>
          <cell r="F1234">
            <v>-2.5</v>
          </cell>
          <cell r="G1234">
            <v>-10</v>
          </cell>
        </row>
        <row r="1235">
          <cell r="E1235" t="str">
            <v>00375150</v>
          </cell>
          <cell r="F1235">
            <v>-3.95</v>
          </cell>
          <cell r="G1235">
            <v>3.9500000000000028</v>
          </cell>
        </row>
        <row r="1236">
          <cell r="E1236" t="str">
            <v>00307049</v>
          </cell>
          <cell r="F1236">
            <v>-4.62</v>
          </cell>
          <cell r="G1236">
            <v>4.62</v>
          </cell>
        </row>
        <row r="1237">
          <cell r="E1237" t="str">
            <v>00305955</v>
          </cell>
          <cell r="F1237">
            <v>-4.62</v>
          </cell>
          <cell r="G1237">
            <v>18.48</v>
          </cell>
        </row>
        <row r="1238">
          <cell r="E1238" t="str">
            <v>00304874</v>
          </cell>
          <cell r="F1238">
            <v>-5</v>
          </cell>
          <cell r="G1238">
            <v>10</v>
          </cell>
        </row>
        <row r="1239">
          <cell r="E1239" t="str">
            <v>00304978</v>
          </cell>
          <cell r="F1239">
            <v>-5</v>
          </cell>
        </row>
        <row r="1240">
          <cell r="E1240" t="str">
            <v>00306915</v>
          </cell>
          <cell r="F1240">
            <v>-5</v>
          </cell>
          <cell r="G1240">
            <v>-15</v>
          </cell>
        </row>
        <row r="1241">
          <cell r="E1241" t="str">
            <v>00304908</v>
          </cell>
          <cell r="F1241">
            <v>-5</v>
          </cell>
          <cell r="G1241">
            <v>30</v>
          </cell>
        </row>
        <row r="1242">
          <cell r="E1242" t="str">
            <v>00423481</v>
          </cell>
          <cell r="F1242">
            <v>-7.5</v>
          </cell>
        </row>
        <row r="1243">
          <cell r="E1243" t="str">
            <v>00423486</v>
          </cell>
          <cell r="F1243">
            <v>-7.9</v>
          </cell>
          <cell r="G1243">
            <v>-71.099999999999994</v>
          </cell>
        </row>
        <row r="1244">
          <cell r="E1244" t="str">
            <v>00423215</v>
          </cell>
          <cell r="F1244">
            <v>-9.24</v>
          </cell>
          <cell r="G1244">
            <v>46.2</v>
          </cell>
        </row>
        <row r="1245">
          <cell r="E1245" t="str">
            <v>00423499</v>
          </cell>
          <cell r="F1245">
            <v>-9.24</v>
          </cell>
        </row>
        <row r="1246">
          <cell r="E1246" t="str">
            <v>00423501</v>
          </cell>
          <cell r="F1246">
            <v>-9.24</v>
          </cell>
          <cell r="G1246">
            <v>-23.1</v>
          </cell>
        </row>
        <row r="1247">
          <cell r="E1247" t="str">
            <v>00307903</v>
          </cell>
          <cell r="F1247">
            <v>-9.24</v>
          </cell>
          <cell r="G1247">
            <v>-13.86</v>
          </cell>
        </row>
        <row r="1248">
          <cell r="E1248" t="str">
            <v>00306914</v>
          </cell>
          <cell r="F1248">
            <v>-9.24</v>
          </cell>
          <cell r="G1248">
            <v>-6.93</v>
          </cell>
        </row>
        <row r="1249">
          <cell r="E1249" t="str">
            <v>00353758</v>
          </cell>
          <cell r="F1249">
            <v>-10</v>
          </cell>
          <cell r="G1249">
            <v>5</v>
          </cell>
        </row>
        <row r="1250">
          <cell r="E1250" t="str">
            <v>00305965</v>
          </cell>
          <cell r="F1250">
            <v>-10</v>
          </cell>
          <cell r="G1250">
            <v>-15</v>
          </cell>
        </row>
        <row r="1251">
          <cell r="E1251" t="str">
            <v>00304937</v>
          </cell>
          <cell r="F1251">
            <v>-13.86</v>
          </cell>
          <cell r="G1251">
            <v>-9.240000000000002</v>
          </cell>
        </row>
        <row r="1252">
          <cell r="E1252" t="str">
            <v>00306916</v>
          </cell>
          <cell r="F1252">
            <v>-13.875</v>
          </cell>
          <cell r="G1252">
            <v>-4.625</v>
          </cell>
        </row>
        <row r="1253">
          <cell r="E1253" t="str">
            <v>00307902</v>
          </cell>
          <cell r="F1253">
            <v>-15</v>
          </cell>
          <cell r="G1253">
            <v>-25</v>
          </cell>
        </row>
        <row r="1254">
          <cell r="E1254" t="str">
            <v>00423482</v>
          </cell>
          <cell r="F1254">
            <v>-15</v>
          </cell>
          <cell r="G1254">
            <v>0</v>
          </cell>
        </row>
        <row r="1255">
          <cell r="E1255" t="str">
            <v>00304974</v>
          </cell>
          <cell r="F1255">
            <v>-15</v>
          </cell>
          <cell r="G1255">
            <v>-5</v>
          </cell>
        </row>
        <row r="1256">
          <cell r="E1256" t="str">
            <v>00304995</v>
          </cell>
          <cell r="F1256">
            <v>-15</v>
          </cell>
          <cell r="G1256">
            <v>-22.5</v>
          </cell>
        </row>
        <row r="1257">
          <cell r="E1257" t="str">
            <v>00304998</v>
          </cell>
          <cell r="F1257">
            <v>-16.170000000000002</v>
          </cell>
          <cell r="G1257">
            <v>-2.31</v>
          </cell>
        </row>
        <row r="1258">
          <cell r="E1258" t="str">
            <v>00306472</v>
          </cell>
          <cell r="F1258">
            <v>-18.48</v>
          </cell>
          <cell r="G1258">
            <v>18.48</v>
          </cell>
        </row>
        <row r="1259">
          <cell r="E1259" t="str">
            <v>00304898</v>
          </cell>
          <cell r="F1259">
            <v>-23.1</v>
          </cell>
          <cell r="G1259">
            <v>-27.72</v>
          </cell>
        </row>
        <row r="1260">
          <cell r="E1260" t="str">
            <v>00304892</v>
          </cell>
          <cell r="F1260">
            <v>-25</v>
          </cell>
          <cell r="G1260">
            <v>-125</v>
          </cell>
        </row>
        <row r="1261">
          <cell r="E1261" t="str">
            <v>00304923</v>
          </cell>
          <cell r="F1261">
            <v>-27.720000000000002</v>
          </cell>
          <cell r="G1261">
            <v>-124.74</v>
          </cell>
        </row>
        <row r="1262">
          <cell r="E1262" t="str">
            <v>00305968</v>
          </cell>
          <cell r="F1262">
            <v>-35.550000000000004</v>
          </cell>
          <cell r="G1262">
            <v>55.3</v>
          </cell>
        </row>
        <row r="1263">
          <cell r="E1263" t="str">
            <v>00423216</v>
          </cell>
          <cell r="F1263">
            <v>-45</v>
          </cell>
          <cell r="G1263">
            <v>-1545</v>
          </cell>
        </row>
        <row r="1264">
          <cell r="E1264" t="str">
            <v>00307050</v>
          </cell>
          <cell r="F1264">
            <v>-55</v>
          </cell>
          <cell r="G1264">
            <v>10</v>
          </cell>
        </row>
        <row r="1265">
          <cell r="E1265" t="str">
            <v>00304890</v>
          </cell>
          <cell r="F1265">
            <v>-90</v>
          </cell>
          <cell r="G1265">
            <v>-80</v>
          </cell>
        </row>
        <row r="1266">
          <cell r="E1266" t="str">
            <v>00441650</v>
          </cell>
          <cell r="F1266">
            <v>-96.800000000000011</v>
          </cell>
          <cell r="G1266">
            <v>-30.8</v>
          </cell>
        </row>
        <row r="1267">
          <cell r="E1267" t="str">
            <v>00304933</v>
          </cell>
          <cell r="F1267">
            <v>-165</v>
          </cell>
          <cell r="G1267">
            <v>-265</v>
          </cell>
        </row>
        <row r="1268">
          <cell r="E1268" t="str">
            <v>00304919</v>
          </cell>
          <cell r="F1268">
            <v>-190</v>
          </cell>
          <cell r="G1268">
            <v>-285</v>
          </cell>
        </row>
        <row r="1269">
          <cell r="E1269" t="str">
            <v>00306470</v>
          </cell>
          <cell r="F1269">
            <v>-190</v>
          </cell>
          <cell r="G1269">
            <v>-100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8B60-EFAD-4392-9590-286EAC559381}">
  <sheetPr filterMode="1">
    <tabColor rgb="FFFFFF00"/>
  </sheetPr>
  <dimension ref="A1:W14471"/>
  <sheetViews>
    <sheetView tabSelected="1" topLeftCell="B1" zoomScale="81" zoomScaleNormal="80" workbookViewId="0">
      <pane ySplit="12" topLeftCell="A290" activePane="bottomLeft" state="frozen"/>
      <selection pane="bottomLeft" activeCell="E290" sqref="E290"/>
    </sheetView>
  </sheetViews>
  <sheetFormatPr defaultColWidth="8.88671875" defaultRowHeight="14.4" x14ac:dyDescent="0.3"/>
  <cols>
    <col min="1" max="1" width="25.33203125" style="48" bestFit="1" customWidth="1"/>
    <col min="2" max="2" width="44.6640625" style="18" customWidth="1"/>
    <col min="3" max="3" width="20.6640625" style="48" customWidth="1"/>
    <col min="4" max="4" width="25.33203125" style="48" customWidth="1"/>
    <col min="5" max="5" width="61.88671875" style="18" customWidth="1"/>
    <col min="6" max="6" width="88.6640625" style="20" customWidth="1"/>
    <col min="7" max="7" width="51.6640625" style="20" customWidth="1"/>
    <col min="8" max="8" width="21.109375" style="18" customWidth="1"/>
    <col min="9" max="9" width="27.33203125" style="18" customWidth="1"/>
    <col min="10" max="10" width="27.44140625" style="18" customWidth="1"/>
    <col min="11" max="11" width="27" style="18" customWidth="1"/>
    <col min="12" max="12" width="27" style="90" hidden="1" customWidth="1"/>
    <col min="13" max="13" width="27.44140625" style="18" bestFit="1" customWidth="1"/>
    <col min="14" max="14" width="29.33203125" style="20" bestFit="1" customWidth="1"/>
    <col min="15" max="15" width="16.33203125" style="15" hidden="1" customWidth="1"/>
    <col min="16" max="16" width="12.33203125" style="16" bestFit="1" customWidth="1"/>
    <col min="17" max="17" width="0" style="17" hidden="1" customWidth="1"/>
    <col min="18" max="18" width="33" style="18" hidden="1" customWidth="1"/>
    <col min="19" max="19" width="11.33203125" style="16" hidden="1" customWidth="1"/>
    <col min="20" max="20" width="10.44140625" style="19" hidden="1" customWidth="1"/>
    <col min="21" max="21" width="0" style="20" hidden="1" customWidth="1"/>
    <col min="22" max="22" width="14.33203125" style="21" hidden="1" customWidth="1"/>
    <col min="23" max="23" width="10.33203125" style="20" hidden="1" customWidth="1"/>
    <col min="24" max="16384" width="8.88671875" style="20"/>
  </cols>
  <sheetData>
    <row r="1" spans="1:23" s="2" customFormat="1" ht="129.6" customHeight="1" x14ac:dyDescent="0.3">
      <c r="A1" s="1" t="s">
        <v>0</v>
      </c>
      <c r="B1" s="2" t="s">
        <v>1</v>
      </c>
      <c r="C1" s="1" t="s">
        <v>2</v>
      </c>
      <c r="D1" s="1" t="s">
        <v>3</v>
      </c>
      <c r="E1" s="2" t="s">
        <v>4</v>
      </c>
      <c r="F1" s="3" t="s">
        <v>5</v>
      </c>
      <c r="G1" s="3" t="s">
        <v>6</v>
      </c>
      <c r="H1" s="2" t="s">
        <v>7</v>
      </c>
      <c r="I1" s="2" t="s">
        <v>8</v>
      </c>
      <c r="J1" s="2" t="s">
        <v>9</v>
      </c>
      <c r="K1" s="2" t="s">
        <v>10</v>
      </c>
      <c r="L1" s="4" t="s">
        <v>11</v>
      </c>
      <c r="M1" s="2" t="s">
        <v>12</v>
      </c>
      <c r="N1" s="2" t="s">
        <v>13</v>
      </c>
      <c r="O1" s="5" t="s">
        <v>14</v>
      </c>
      <c r="P1" s="4" t="s">
        <v>8008</v>
      </c>
      <c r="Q1" s="6"/>
      <c r="S1" s="4" t="s">
        <v>7986</v>
      </c>
      <c r="T1" s="7" t="s">
        <v>7987</v>
      </c>
      <c r="U1" s="2" t="s">
        <v>7988</v>
      </c>
      <c r="V1" s="8" t="s">
        <v>7989</v>
      </c>
      <c r="W1" s="2" t="s">
        <v>7990</v>
      </c>
    </row>
    <row r="2" spans="1:23" x14ac:dyDescent="0.3">
      <c r="A2" s="9" t="s">
        <v>15</v>
      </c>
      <c r="B2" s="10" t="s">
        <v>16</v>
      </c>
      <c r="C2" s="9" t="s">
        <v>17</v>
      </c>
      <c r="D2" s="9" t="s">
        <v>18</v>
      </c>
      <c r="E2" s="10" t="s">
        <v>19</v>
      </c>
      <c r="F2" s="11" t="s">
        <v>20</v>
      </c>
      <c r="G2" s="11" t="s">
        <v>21</v>
      </c>
      <c r="H2" s="12" t="s">
        <v>22</v>
      </c>
      <c r="I2" s="12" t="s">
        <v>23</v>
      </c>
      <c r="J2" s="12" t="s">
        <v>24</v>
      </c>
      <c r="K2" s="13" t="s">
        <v>25</v>
      </c>
      <c r="L2" s="14" t="s">
        <v>26</v>
      </c>
      <c r="M2" s="12" t="s">
        <v>27</v>
      </c>
      <c r="N2" s="12" t="s">
        <v>28</v>
      </c>
      <c r="P2" s="16" t="s">
        <v>29</v>
      </c>
      <c r="Q2" s="17" t="s">
        <v>30</v>
      </c>
      <c r="R2" s="18" t="s">
        <v>31</v>
      </c>
    </row>
    <row r="3" spans="1:23" hidden="1" x14ac:dyDescent="0.3">
      <c r="A3" s="22" t="s">
        <v>32</v>
      </c>
      <c r="B3" s="22" t="s">
        <v>32</v>
      </c>
      <c r="C3" s="23" t="s">
        <v>33</v>
      </c>
      <c r="D3" s="20" t="s">
        <v>34</v>
      </c>
      <c r="E3" s="22" t="s">
        <v>35</v>
      </c>
      <c r="F3" s="24" t="str">
        <f t="shared" ref="F3:F66" si="0">D3&amp;" - "&amp;E3</f>
        <v>PPG - Leyland T/GUARD FLEX EXT UCOAT - DK Gry 2.5l</v>
      </c>
      <c r="G3" s="23" t="s">
        <v>4902</v>
      </c>
      <c r="H3" s="25" t="s">
        <v>36</v>
      </c>
      <c r="I3" s="18" t="s">
        <v>37</v>
      </c>
      <c r="J3" s="18" t="s">
        <v>38</v>
      </c>
      <c r="K3" t="s">
        <v>39</v>
      </c>
      <c r="L3" s="26" t="e">
        <f>VLOOKUP(A3,'[3]Price info'!A:D,4,FALSE)</f>
        <v>#N/A</v>
      </c>
      <c r="M3" s="18" t="s">
        <v>40</v>
      </c>
      <c r="N3" s="20">
        <v>3105</v>
      </c>
      <c r="P3" s="16" t="e">
        <f>VLOOKUP(A3,'[3]Price info'!A:H,8,FALSE)</f>
        <v>#N/A</v>
      </c>
      <c r="Q3" s="27" t="e">
        <f t="shared" ref="Q3:Q66" si="1">P3/L3</f>
        <v>#N/A</v>
      </c>
      <c r="R3" s="18" t="s">
        <v>41</v>
      </c>
      <c r="S3" s="16" t="e">
        <f>VLOOKUP(A3,[4]Sales!$E:$G,3,FALSE)</f>
        <v>#N/A</v>
      </c>
      <c r="T3" s="19" t="e">
        <f>VLOOKUP(A3,[4]Volume!$E:$G,3,FALSE)</f>
        <v>#N/A</v>
      </c>
      <c r="U3" s="19" t="e">
        <f>VLOOKUP(A3,[4]Piece!$E:$G,3,FALSE)</f>
        <v>#N/A</v>
      </c>
      <c r="V3" s="21" t="e">
        <f t="shared" ref="V3:V66" si="2">U3*P3</f>
        <v>#N/A</v>
      </c>
      <c r="W3" s="16" t="e">
        <f t="shared" ref="W3:W66" si="3">V3-S3</f>
        <v>#N/A</v>
      </c>
    </row>
    <row r="4" spans="1:23" hidden="1" x14ac:dyDescent="0.3">
      <c r="A4" s="22" t="s">
        <v>42</v>
      </c>
      <c r="B4" s="22" t="s">
        <v>42</v>
      </c>
      <c r="C4" s="23" t="s">
        <v>33</v>
      </c>
      <c r="D4" s="20" t="s">
        <v>34</v>
      </c>
      <c r="E4" s="22" t="s">
        <v>43</v>
      </c>
      <c r="F4" s="24" t="str">
        <f t="shared" si="0"/>
        <v>PPG - Johnstones DAMP PROOF PAINT - BW - 5ltr</v>
      </c>
      <c r="G4" s="23" t="s">
        <v>4903</v>
      </c>
      <c r="H4" s="25" t="s">
        <v>36</v>
      </c>
      <c r="I4" s="18" t="s">
        <v>37</v>
      </c>
      <c r="J4" s="18" t="s">
        <v>38</v>
      </c>
      <c r="K4" t="s">
        <v>39</v>
      </c>
      <c r="L4" s="26" t="e">
        <f>VLOOKUP(A4,'[3]Price info'!A:D,4,FALSE)</f>
        <v>#N/A</v>
      </c>
      <c r="M4" s="18" t="s">
        <v>40</v>
      </c>
      <c r="N4" s="20">
        <v>3105</v>
      </c>
      <c r="P4" s="16" t="e">
        <f>VLOOKUP(A4,'[3]Price info'!A:H,8,FALSE)</f>
        <v>#N/A</v>
      </c>
      <c r="Q4" s="27" t="e">
        <f t="shared" si="1"/>
        <v>#N/A</v>
      </c>
      <c r="R4" s="18" t="s">
        <v>41</v>
      </c>
      <c r="S4" s="16" t="e">
        <f>VLOOKUP(A4,[4]Sales!$E:$G,3,FALSE)</f>
        <v>#N/A</v>
      </c>
      <c r="T4" s="19" t="e">
        <f>VLOOKUP(A4,[4]Volume!$E:$G,3,FALSE)</f>
        <v>#N/A</v>
      </c>
      <c r="U4" s="19" t="e">
        <f>VLOOKUP(A4,[4]Piece!$E:$G,3,FALSE)</f>
        <v>#N/A</v>
      </c>
      <c r="V4" s="21" t="e">
        <f t="shared" si="2"/>
        <v>#N/A</v>
      </c>
      <c r="W4" s="16" t="e">
        <f t="shared" si="3"/>
        <v>#N/A</v>
      </c>
    </row>
    <row r="5" spans="1:23" hidden="1" x14ac:dyDescent="0.3">
      <c r="A5" s="22" t="s">
        <v>44</v>
      </c>
      <c r="B5" s="22" t="s">
        <v>44</v>
      </c>
      <c r="C5" s="23" t="s">
        <v>33</v>
      </c>
      <c r="D5" s="20" t="s">
        <v>34</v>
      </c>
      <c r="E5" s="22" t="s">
        <v>45</v>
      </c>
      <c r="F5" s="24" t="str">
        <f t="shared" si="0"/>
        <v>PPG - Leyland DAMP BLOCK - White - 2.5ltr</v>
      </c>
      <c r="G5" s="23" t="s">
        <v>4904</v>
      </c>
      <c r="H5" s="25" t="s">
        <v>36</v>
      </c>
      <c r="I5" s="18" t="s">
        <v>37</v>
      </c>
      <c r="J5" s="18" t="s">
        <v>38</v>
      </c>
      <c r="K5" t="s">
        <v>39</v>
      </c>
      <c r="L5" s="26" t="e">
        <f>VLOOKUP(A5,'[3]Price info'!A:D,4,FALSE)</f>
        <v>#N/A</v>
      </c>
      <c r="M5" s="18" t="s">
        <v>40</v>
      </c>
      <c r="N5" s="20">
        <v>3105</v>
      </c>
      <c r="P5" s="16" t="e">
        <f>VLOOKUP(A5,'[3]Price info'!A:H,8,FALSE)</f>
        <v>#N/A</v>
      </c>
      <c r="Q5" s="27" t="e">
        <f t="shared" si="1"/>
        <v>#N/A</v>
      </c>
      <c r="R5" s="18" t="s">
        <v>41</v>
      </c>
      <c r="S5" s="16" t="e">
        <f>VLOOKUP(A5,[4]Sales!$E:$G,3,FALSE)</f>
        <v>#N/A</v>
      </c>
      <c r="T5" s="19" t="e">
        <f>VLOOKUP(A5,[4]Volume!$E:$G,3,FALSE)</f>
        <v>#N/A</v>
      </c>
      <c r="U5" s="19" t="e">
        <f>VLOOKUP(A5,[4]Piece!$E:$G,3,FALSE)</f>
        <v>#N/A</v>
      </c>
      <c r="V5" s="21" t="e">
        <f t="shared" si="2"/>
        <v>#N/A</v>
      </c>
      <c r="W5" s="16" t="e">
        <f t="shared" si="3"/>
        <v>#N/A</v>
      </c>
    </row>
    <row r="6" spans="1:23" hidden="1" x14ac:dyDescent="0.3">
      <c r="A6" s="22" t="s">
        <v>46</v>
      </c>
      <c r="B6" s="22" t="s">
        <v>46</v>
      </c>
      <c r="C6" s="23" t="s">
        <v>33</v>
      </c>
      <c r="D6" s="20" t="s">
        <v>34</v>
      </c>
      <c r="E6" s="22" t="s">
        <v>47</v>
      </c>
      <c r="F6" s="24" t="str">
        <f t="shared" si="0"/>
        <v>PPG - Leyland ANTI-DAMP PAINT - Bril White 2.5ltr</v>
      </c>
      <c r="G6" s="23" t="s">
        <v>4905</v>
      </c>
      <c r="H6" s="25" t="s">
        <v>36</v>
      </c>
      <c r="I6" s="18" t="s">
        <v>37</v>
      </c>
      <c r="J6" s="18" t="s">
        <v>38</v>
      </c>
      <c r="K6" t="s">
        <v>39</v>
      </c>
      <c r="L6" s="26" t="e">
        <f>VLOOKUP(A6,'[3]Price info'!A:D,4,FALSE)</f>
        <v>#N/A</v>
      </c>
      <c r="M6" s="18" t="s">
        <v>40</v>
      </c>
      <c r="N6" s="20">
        <v>3105</v>
      </c>
      <c r="P6" s="16" t="e">
        <f>VLOOKUP(A6,'[3]Price info'!A:H,8,FALSE)</f>
        <v>#N/A</v>
      </c>
      <c r="Q6" s="27" t="e">
        <f t="shared" si="1"/>
        <v>#N/A</v>
      </c>
      <c r="R6" s="18" t="s">
        <v>41</v>
      </c>
      <c r="S6" s="16" t="e">
        <f>VLOOKUP(A6,[4]Sales!$E:$G,3,FALSE)</f>
        <v>#N/A</v>
      </c>
      <c r="T6" s="19" t="e">
        <f>VLOOKUP(A6,[4]Volume!$E:$G,3,FALSE)</f>
        <v>#N/A</v>
      </c>
      <c r="U6" s="19" t="e">
        <f>VLOOKUP(A6,[4]Piece!$E:$G,3,FALSE)</f>
        <v>#N/A</v>
      </c>
      <c r="V6" s="21" t="e">
        <f t="shared" si="2"/>
        <v>#N/A</v>
      </c>
      <c r="W6" s="16" t="e">
        <f t="shared" si="3"/>
        <v>#N/A</v>
      </c>
    </row>
    <row r="7" spans="1:23" hidden="1" x14ac:dyDescent="0.3">
      <c r="A7" s="22" t="s">
        <v>48</v>
      </c>
      <c r="B7" s="22" t="s">
        <v>48</v>
      </c>
      <c r="C7" s="23" t="s">
        <v>33</v>
      </c>
      <c r="D7" s="20" t="s">
        <v>34</v>
      </c>
      <c r="E7" s="22" t="s">
        <v>49</v>
      </c>
      <c r="F7" s="24" t="str">
        <f t="shared" si="0"/>
        <v>PPG - ProGold ZIPPED DOOR PROTECTOR - 2.2M X 1.2M</v>
      </c>
      <c r="G7" s="23" t="s">
        <v>4906</v>
      </c>
      <c r="H7" s="25" t="s">
        <v>36</v>
      </c>
      <c r="I7" s="18" t="s">
        <v>37</v>
      </c>
      <c r="J7" s="18" t="s">
        <v>38</v>
      </c>
      <c r="K7" t="s">
        <v>39</v>
      </c>
      <c r="L7" s="26" t="e">
        <f>VLOOKUP(A7,'[3]Price info'!A:D,4,FALSE)</f>
        <v>#N/A</v>
      </c>
      <c r="M7" s="18" t="s">
        <v>40</v>
      </c>
      <c r="N7" s="20">
        <v>3105</v>
      </c>
      <c r="P7" s="16" t="e">
        <f>VLOOKUP(A7,'[3]Price info'!A:H,8,FALSE)</f>
        <v>#N/A</v>
      </c>
      <c r="Q7" s="27" t="e">
        <f t="shared" si="1"/>
        <v>#N/A</v>
      </c>
      <c r="R7" s="18" t="s">
        <v>41</v>
      </c>
      <c r="S7" s="16" t="e">
        <f>VLOOKUP(A7,[4]Sales!$E:$G,3,FALSE)</f>
        <v>#N/A</v>
      </c>
      <c r="T7" s="19" t="e">
        <f>VLOOKUP(A7,[4]Volume!$E:$G,3,FALSE)</f>
        <v>#N/A</v>
      </c>
      <c r="U7" s="19" t="e">
        <f>VLOOKUP(A7,[4]Piece!$E:$G,3,FALSE)</f>
        <v>#N/A</v>
      </c>
      <c r="V7" s="21" t="e">
        <f t="shared" si="2"/>
        <v>#N/A</v>
      </c>
      <c r="W7" s="16" t="e">
        <f t="shared" si="3"/>
        <v>#N/A</v>
      </c>
    </row>
    <row r="8" spans="1:23" hidden="1" x14ac:dyDescent="0.3">
      <c r="A8" s="22" t="s">
        <v>50</v>
      </c>
      <c r="B8" s="22" t="s">
        <v>50</v>
      </c>
      <c r="C8" s="23" t="s">
        <v>33</v>
      </c>
      <c r="D8" s="20" t="s">
        <v>34</v>
      </c>
      <c r="E8" s="22" t="s">
        <v>51</v>
      </c>
      <c r="F8" s="24" t="str">
        <f t="shared" si="0"/>
        <v>PPG - Johnstones MORDANT SOLUTION - Blue - 5ltr</v>
      </c>
      <c r="G8" s="23" t="s">
        <v>4907</v>
      </c>
      <c r="H8" s="25" t="s">
        <v>36</v>
      </c>
      <c r="I8" s="18" t="s">
        <v>37</v>
      </c>
      <c r="J8" s="18" t="s">
        <v>38</v>
      </c>
      <c r="K8" t="s">
        <v>39</v>
      </c>
      <c r="L8" s="26" t="e">
        <f>VLOOKUP(A8,'[3]Price info'!A:D,4,FALSE)</f>
        <v>#N/A</v>
      </c>
      <c r="M8" s="18" t="s">
        <v>40</v>
      </c>
      <c r="N8" s="20">
        <v>3105</v>
      </c>
      <c r="P8" s="16" t="e">
        <f>VLOOKUP(A8,'[3]Price info'!A:H,8,FALSE)</f>
        <v>#N/A</v>
      </c>
      <c r="Q8" s="27" t="e">
        <f t="shared" si="1"/>
        <v>#N/A</v>
      </c>
      <c r="R8" s="18" t="s">
        <v>41</v>
      </c>
      <c r="S8" s="16">
        <f>VLOOKUP(A8,[4]Sales!$E:$G,3,FALSE)</f>
        <v>55.34</v>
      </c>
      <c r="T8" s="19">
        <f>VLOOKUP(A8,[4]Volume!$E:$G,3,FALSE)</f>
        <v>10</v>
      </c>
      <c r="U8" s="19">
        <f>VLOOKUP(A8,[4]Piece!$E:$G,3,FALSE)</f>
        <v>2</v>
      </c>
      <c r="V8" s="21" t="e">
        <f t="shared" si="2"/>
        <v>#N/A</v>
      </c>
      <c r="W8" s="16" t="e">
        <f t="shared" si="3"/>
        <v>#N/A</v>
      </c>
    </row>
    <row r="9" spans="1:23" hidden="1" x14ac:dyDescent="0.3">
      <c r="A9" s="22" t="s">
        <v>52</v>
      </c>
      <c r="B9" s="22" t="s">
        <v>52</v>
      </c>
      <c r="C9" s="23" t="s">
        <v>33</v>
      </c>
      <c r="D9" s="20" t="s">
        <v>34</v>
      </c>
      <c r="E9" s="23" t="s">
        <v>53</v>
      </c>
      <c r="F9" s="24" t="str">
        <f t="shared" si="0"/>
        <v>PPG - &amp;ULL  T/G SMTH 15Y PORTLAND S 0000001500</v>
      </c>
      <c r="G9" s="23" t="s">
        <v>4908</v>
      </c>
      <c r="H9" s="25" t="s">
        <v>36</v>
      </c>
      <c r="I9" s="18" t="s">
        <v>37</v>
      </c>
      <c r="J9" s="18" t="s">
        <v>38</v>
      </c>
      <c r="K9" t="s">
        <v>39</v>
      </c>
      <c r="L9" s="26" t="e">
        <f>VLOOKUP(A9,'[3]Price info'!A:D,4,FALSE)</f>
        <v>#N/A</v>
      </c>
      <c r="M9" s="18" t="s">
        <v>40</v>
      </c>
      <c r="N9" s="20">
        <v>3105</v>
      </c>
      <c r="P9" s="16" t="e">
        <f>VLOOKUP(A9,'[3]Price info'!A:H,8,FALSE)</f>
        <v>#N/A</v>
      </c>
      <c r="Q9" s="27" t="e">
        <f t="shared" si="1"/>
        <v>#N/A</v>
      </c>
      <c r="R9" s="18" t="s">
        <v>41</v>
      </c>
      <c r="S9" s="16" t="e">
        <f>VLOOKUP(A9,[4]Sales!$E:$G,3,FALSE)</f>
        <v>#N/A</v>
      </c>
      <c r="T9" s="19" t="e">
        <f>VLOOKUP(A9,[4]Volume!$E:$G,3,FALSE)</f>
        <v>#N/A</v>
      </c>
      <c r="U9" s="19" t="e">
        <f>VLOOKUP(A9,[4]Piece!$E:$G,3,FALSE)</f>
        <v>#N/A</v>
      </c>
      <c r="V9" s="21" t="e">
        <f t="shared" si="2"/>
        <v>#N/A</v>
      </c>
      <c r="W9" s="16" t="e">
        <f t="shared" si="3"/>
        <v>#N/A</v>
      </c>
    </row>
    <row r="10" spans="1:23" hidden="1" x14ac:dyDescent="0.3">
      <c r="A10" s="22" t="s">
        <v>54</v>
      </c>
      <c r="B10" s="22" t="s">
        <v>54</v>
      </c>
      <c r="C10" s="23" t="s">
        <v>33</v>
      </c>
      <c r="D10" s="20" t="s">
        <v>34</v>
      </c>
      <c r="E10" s="23" t="s">
        <v>55</v>
      </c>
      <c r="F10" s="24" t="str">
        <f t="shared" si="0"/>
        <v>PPG - &amp;U    S/CL MASONRY BRIL WHITE 0000002100</v>
      </c>
      <c r="G10" s="23" t="s">
        <v>4909</v>
      </c>
      <c r="H10" s="25" t="s">
        <v>36</v>
      </c>
      <c r="I10" s="18" t="s">
        <v>37</v>
      </c>
      <c r="J10" s="18" t="s">
        <v>38</v>
      </c>
      <c r="K10" t="s">
        <v>39</v>
      </c>
      <c r="L10" s="26" t="e">
        <f>VLOOKUP(A10,'[3]Price info'!A:D,4,FALSE)</f>
        <v>#N/A</v>
      </c>
      <c r="M10" s="18" t="s">
        <v>40</v>
      </c>
      <c r="N10" s="20">
        <v>3105</v>
      </c>
      <c r="P10" s="16" t="e">
        <f>VLOOKUP(A10,'[3]Price info'!A:H,8,FALSE)</f>
        <v>#N/A</v>
      </c>
      <c r="Q10" s="27" t="e">
        <f t="shared" si="1"/>
        <v>#N/A</v>
      </c>
      <c r="R10" s="18" t="s">
        <v>41</v>
      </c>
      <c r="S10" s="16" t="e">
        <f>VLOOKUP(A10,[4]Sales!$E:$G,3,FALSE)</f>
        <v>#N/A</v>
      </c>
      <c r="T10" s="19" t="e">
        <f>VLOOKUP(A10,[4]Volume!$E:$G,3,FALSE)</f>
        <v>#N/A</v>
      </c>
      <c r="U10" s="19" t="e">
        <f>VLOOKUP(A10,[4]Piece!$E:$G,3,FALSE)</f>
        <v>#N/A</v>
      </c>
      <c r="V10" s="21" t="e">
        <f t="shared" si="2"/>
        <v>#N/A</v>
      </c>
      <c r="W10" s="16" t="e">
        <f t="shared" si="3"/>
        <v>#N/A</v>
      </c>
    </row>
    <row r="11" spans="1:23" hidden="1" x14ac:dyDescent="0.3">
      <c r="A11" s="22" t="s">
        <v>56</v>
      </c>
      <c r="B11" s="22" t="s">
        <v>56</v>
      </c>
      <c r="C11" s="23" t="s">
        <v>33</v>
      </c>
      <c r="D11" s="20" t="s">
        <v>34</v>
      </c>
      <c r="E11" s="23" t="s">
        <v>57</v>
      </c>
      <c r="F11" s="24" t="str">
        <f t="shared" si="0"/>
        <v>PPG - &amp;U    S/CL MASONRY MAGNOLIA   0000001500</v>
      </c>
      <c r="G11" s="23" t="s">
        <v>4910</v>
      </c>
      <c r="H11" s="25" t="s">
        <v>36</v>
      </c>
      <c r="I11" s="18" t="s">
        <v>37</v>
      </c>
      <c r="J11" s="18" t="s">
        <v>38</v>
      </c>
      <c r="K11" t="s">
        <v>39</v>
      </c>
      <c r="L11" s="26" t="e">
        <f>VLOOKUP(A11,'[3]Price info'!A:D,4,FALSE)</f>
        <v>#N/A</v>
      </c>
      <c r="M11" s="18" t="s">
        <v>40</v>
      </c>
      <c r="N11" s="20">
        <v>3105</v>
      </c>
      <c r="P11" s="16" t="e">
        <f>VLOOKUP(A11,'[3]Price info'!A:H,8,FALSE)</f>
        <v>#N/A</v>
      </c>
      <c r="Q11" s="27" t="e">
        <f t="shared" si="1"/>
        <v>#N/A</v>
      </c>
      <c r="R11" s="18" t="s">
        <v>41</v>
      </c>
      <c r="S11" s="16" t="e">
        <f>VLOOKUP(A11,[4]Sales!$E:$G,3,FALSE)</f>
        <v>#N/A</v>
      </c>
      <c r="T11" s="19" t="e">
        <f>VLOOKUP(A11,[4]Volume!$E:$G,3,FALSE)</f>
        <v>#N/A</v>
      </c>
      <c r="U11" s="19" t="e">
        <f>VLOOKUP(A11,[4]Piece!$E:$G,3,FALSE)</f>
        <v>#N/A</v>
      </c>
      <c r="V11" s="21" t="e">
        <f t="shared" si="2"/>
        <v>#N/A</v>
      </c>
      <c r="W11" s="16" t="e">
        <f t="shared" si="3"/>
        <v>#N/A</v>
      </c>
    </row>
    <row r="12" spans="1:23" hidden="1" x14ac:dyDescent="0.3">
      <c r="A12" s="22" t="s">
        <v>58</v>
      </c>
      <c r="B12" s="22" t="s">
        <v>58</v>
      </c>
      <c r="C12" s="23" t="s">
        <v>33</v>
      </c>
      <c r="D12" s="20" t="s">
        <v>34</v>
      </c>
      <c r="E12" s="22" t="s">
        <v>59</v>
      </c>
      <c r="F12" s="24" t="str">
        <f t="shared" si="0"/>
        <v>PPG - Johnstones ANTI CONDENSATION PAINT - 5ltr</v>
      </c>
      <c r="G12" s="28" t="s">
        <v>4911</v>
      </c>
      <c r="H12" s="29" t="s">
        <v>36</v>
      </c>
      <c r="I12" s="30" t="s">
        <v>37</v>
      </c>
      <c r="J12" s="30" t="s">
        <v>38</v>
      </c>
      <c r="K12" s="31" t="s">
        <v>39</v>
      </c>
      <c r="L12" s="26" t="e">
        <f>VLOOKUP(A12,'[3]Price info'!A:D,4,FALSE)</f>
        <v>#N/A</v>
      </c>
      <c r="M12" s="30" t="s">
        <v>40</v>
      </c>
      <c r="N12" s="32">
        <v>3105</v>
      </c>
      <c r="P12" s="16" t="e">
        <f>VLOOKUP(A12,'[3]Price info'!A:H,8,FALSE)</f>
        <v>#N/A</v>
      </c>
      <c r="Q12" s="27" t="e">
        <f t="shared" si="1"/>
        <v>#N/A</v>
      </c>
      <c r="R12" s="30" t="s">
        <v>41</v>
      </c>
      <c r="S12" s="16" t="e">
        <f>VLOOKUP(A12,[4]Sales!$E:$G,3,FALSE)</f>
        <v>#N/A</v>
      </c>
      <c r="T12" s="19" t="e">
        <f>VLOOKUP(A12,[4]Volume!$E:$G,3,FALSE)</f>
        <v>#N/A</v>
      </c>
      <c r="U12" s="19" t="e">
        <f>VLOOKUP(A12,[4]Piece!$E:$G,3,FALSE)</f>
        <v>#N/A</v>
      </c>
      <c r="V12" s="21" t="e">
        <f t="shared" si="2"/>
        <v>#N/A</v>
      </c>
      <c r="W12" s="16" t="e">
        <f t="shared" si="3"/>
        <v>#N/A</v>
      </c>
    </row>
    <row r="13" spans="1:23" hidden="1" x14ac:dyDescent="0.3">
      <c r="A13" s="22" t="s">
        <v>60</v>
      </c>
      <c r="B13" s="22" t="s">
        <v>60</v>
      </c>
      <c r="C13" s="23" t="s">
        <v>33</v>
      </c>
      <c r="D13" s="20" t="s">
        <v>34</v>
      </c>
      <c r="E13" s="23" t="s">
        <v>61</v>
      </c>
      <c r="F13" s="24" t="str">
        <f t="shared" si="0"/>
        <v>PPG - &amp;U    2PK SB FLOOR TILE RED   0000001300</v>
      </c>
      <c r="G13" s="23" t="s">
        <v>4912</v>
      </c>
      <c r="H13" s="25" t="s">
        <v>36</v>
      </c>
      <c r="I13" s="18" t="s">
        <v>37</v>
      </c>
      <c r="J13" s="18" t="s">
        <v>38</v>
      </c>
      <c r="K13" t="s">
        <v>39</v>
      </c>
      <c r="L13" s="26" t="e">
        <f>VLOOKUP(A13,'[3]Price info'!A:D,4,FALSE)</f>
        <v>#N/A</v>
      </c>
      <c r="M13" s="18" t="s">
        <v>40</v>
      </c>
      <c r="N13" s="20">
        <v>3105</v>
      </c>
      <c r="P13" s="16" t="e">
        <f>VLOOKUP(A13,'[3]Price info'!A:H,8,FALSE)</f>
        <v>#N/A</v>
      </c>
      <c r="Q13" s="27" t="e">
        <f t="shared" si="1"/>
        <v>#N/A</v>
      </c>
      <c r="R13" s="18" t="s">
        <v>41</v>
      </c>
      <c r="S13" s="16" t="e">
        <f>VLOOKUP(A13,[4]Sales!$E:$G,3,FALSE)</f>
        <v>#N/A</v>
      </c>
      <c r="T13" s="19" t="e">
        <f>VLOOKUP(A13,[4]Volume!$E:$G,3,FALSE)</f>
        <v>#N/A</v>
      </c>
      <c r="U13" s="19" t="e">
        <f>VLOOKUP(A13,[4]Piece!$E:$G,3,FALSE)</f>
        <v>#N/A</v>
      </c>
      <c r="V13" s="21" t="e">
        <f t="shared" si="2"/>
        <v>#N/A</v>
      </c>
      <c r="W13" s="16" t="e">
        <f t="shared" si="3"/>
        <v>#N/A</v>
      </c>
    </row>
    <row r="14" spans="1:23" hidden="1" x14ac:dyDescent="0.3">
      <c r="A14" s="22" t="s">
        <v>62</v>
      </c>
      <c r="B14" s="22" t="s">
        <v>62</v>
      </c>
      <c r="C14" s="23" t="s">
        <v>33</v>
      </c>
      <c r="D14" s="20" t="s">
        <v>34</v>
      </c>
      <c r="E14" s="23" t="s">
        <v>63</v>
      </c>
      <c r="F14" s="24" t="str">
        <f t="shared" si="0"/>
        <v>PPG - &amp;U    2PK SB FLOOR MORN MIST  0000001300</v>
      </c>
      <c r="G14" s="23" t="s">
        <v>4913</v>
      </c>
      <c r="H14" s="25" t="s">
        <v>36</v>
      </c>
      <c r="I14" s="18" t="s">
        <v>37</v>
      </c>
      <c r="J14" s="18" t="s">
        <v>38</v>
      </c>
      <c r="K14" t="s">
        <v>39</v>
      </c>
      <c r="L14" s="26" t="e">
        <f>VLOOKUP(A14,'[3]Price info'!A:D,4,FALSE)</f>
        <v>#N/A</v>
      </c>
      <c r="M14" s="18" t="s">
        <v>40</v>
      </c>
      <c r="N14" s="20">
        <v>3105</v>
      </c>
      <c r="P14" s="16" t="e">
        <f>VLOOKUP(A14,'[3]Price info'!A:H,8,FALSE)</f>
        <v>#N/A</v>
      </c>
      <c r="Q14" s="27" t="e">
        <f t="shared" si="1"/>
        <v>#N/A</v>
      </c>
      <c r="R14" s="18" t="s">
        <v>41</v>
      </c>
      <c r="S14" s="16" t="e">
        <f>VLOOKUP(A14,[4]Sales!$E:$G,3,FALSE)</f>
        <v>#N/A</v>
      </c>
      <c r="T14" s="19" t="e">
        <f>VLOOKUP(A14,[4]Volume!$E:$G,3,FALSE)</f>
        <v>#N/A</v>
      </c>
      <c r="U14" s="19" t="e">
        <f>VLOOKUP(A14,[4]Piece!$E:$G,3,FALSE)</f>
        <v>#N/A</v>
      </c>
      <c r="V14" s="21" t="e">
        <f t="shared" si="2"/>
        <v>#N/A</v>
      </c>
      <c r="W14" s="16" t="e">
        <f t="shared" si="3"/>
        <v>#N/A</v>
      </c>
    </row>
    <row r="15" spans="1:23" hidden="1" x14ac:dyDescent="0.3">
      <c r="A15" s="22" t="s">
        <v>64</v>
      </c>
      <c r="B15" s="22" t="s">
        <v>64</v>
      </c>
      <c r="C15" s="23" t="s">
        <v>33</v>
      </c>
      <c r="D15" s="20" t="s">
        <v>34</v>
      </c>
      <c r="E15" s="23" t="s">
        <v>65</v>
      </c>
      <c r="F15" s="24" t="str">
        <f t="shared" si="0"/>
        <v>PPG - &amp;U    2PK SB FLOOR DARK GREEN 0000001300</v>
      </c>
      <c r="G15" s="23" t="s">
        <v>4914</v>
      </c>
      <c r="H15" s="25" t="s">
        <v>36</v>
      </c>
      <c r="I15" s="18" t="s">
        <v>37</v>
      </c>
      <c r="J15" s="18" t="s">
        <v>38</v>
      </c>
      <c r="K15" t="s">
        <v>39</v>
      </c>
      <c r="L15" s="26" t="e">
        <f>VLOOKUP(A15,'[3]Price info'!A:D,4,FALSE)</f>
        <v>#N/A</v>
      </c>
      <c r="M15" s="18" t="s">
        <v>40</v>
      </c>
      <c r="N15" s="20">
        <v>3105</v>
      </c>
      <c r="P15" s="16" t="e">
        <f>VLOOKUP(A15,'[3]Price info'!A:H,8,FALSE)</f>
        <v>#N/A</v>
      </c>
      <c r="Q15" s="27" t="e">
        <f t="shared" si="1"/>
        <v>#N/A</v>
      </c>
      <c r="R15" s="18" t="s">
        <v>41</v>
      </c>
      <c r="S15" s="16" t="e">
        <f>VLOOKUP(A15,[4]Sales!$E:$G,3,FALSE)</f>
        <v>#N/A</v>
      </c>
      <c r="T15" s="19" t="e">
        <f>VLOOKUP(A15,[4]Volume!$E:$G,3,FALSE)</f>
        <v>#N/A</v>
      </c>
      <c r="U15" s="19" t="e">
        <f>VLOOKUP(A15,[4]Piece!$E:$G,3,FALSE)</f>
        <v>#N/A</v>
      </c>
      <c r="V15" s="21" t="e">
        <f t="shared" si="2"/>
        <v>#N/A</v>
      </c>
      <c r="W15" s="16" t="e">
        <f t="shared" si="3"/>
        <v>#N/A</v>
      </c>
    </row>
    <row r="16" spans="1:23" hidden="1" x14ac:dyDescent="0.3">
      <c r="A16" s="22" t="s">
        <v>66</v>
      </c>
      <c r="B16" s="22" t="s">
        <v>66</v>
      </c>
      <c r="C16" s="23" t="s">
        <v>33</v>
      </c>
      <c r="D16" s="20" t="s">
        <v>34</v>
      </c>
      <c r="E16" s="23" t="s">
        <v>67</v>
      </c>
      <c r="F16" s="24" t="str">
        <f t="shared" si="0"/>
        <v>PPG - &amp;U    2PK W/B GRAF CLEAR      0000001500</v>
      </c>
      <c r="G16" s="23" t="s">
        <v>4915</v>
      </c>
      <c r="H16" s="25" t="s">
        <v>36</v>
      </c>
      <c r="I16" s="18" t="s">
        <v>37</v>
      </c>
      <c r="J16" s="18" t="s">
        <v>38</v>
      </c>
      <c r="K16" t="s">
        <v>39</v>
      </c>
      <c r="L16" s="26" t="e">
        <f>VLOOKUP(A16,'[3]Price info'!A:D,4,FALSE)</f>
        <v>#N/A</v>
      </c>
      <c r="M16" s="18" t="s">
        <v>40</v>
      </c>
      <c r="N16" s="20">
        <v>3105</v>
      </c>
      <c r="P16" s="16" t="e">
        <f>VLOOKUP(A16,'[3]Price info'!A:H,8,FALSE)</f>
        <v>#N/A</v>
      </c>
      <c r="Q16" s="27" t="e">
        <f t="shared" si="1"/>
        <v>#N/A</v>
      </c>
      <c r="R16" s="18" t="s">
        <v>41</v>
      </c>
      <c r="S16" s="16" t="e">
        <f>VLOOKUP(A16,[4]Sales!$E:$G,3,FALSE)</f>
        <v>#N/A</v>
      </c>
      <c r="T16" s="19" t="e">
        <f>VLOOKUP(A16,[4]Volume!$E:$G,3,FALSE)</f>
        <v>#N/A</v>
      </c>
      <c r="U16" s="19" t="e">
        <f>VLOOKUP(A16,[4]Piece!$E:$G,3,FALSE)</f>
        <v>#N/A</v>
      </c>
      <c r="V16" s="21" t="e">
        <f t="shared" si="2"/>
        <v>#N/A</v>
      </c>
      <c r="W16" s="16" t="e">
        <f t="shared" si="3"/>
        <v>#N/A</v>
      </c>
    </row>
    <row r="17" spans="1:23" hidden="1" x14ac:dyDescent="0.3">
      <c r="A17" s="22" t="s">
        <v>68</v>
      </c>
      <c r="B17" s="22" t="s">
        <v>68</v>
      </c>
      <c r="C17" s="23" t="s">
        <v>33</v>
      </c>
      <c r="D17" s="20" t="s">
        <v>34</v>
      </c>
      <c r="E17" s="23" t="s">
        <v>69</v>
      </c>
      <c r="F17" s="24" t="str">
        <f t="shared" si="0"/>
        <v>PPG - &amp;U    2PK W/B GRAF BASE       0000001500</v>
      </c>
      <c r="G17" s="23" t="s">
        <v>4916</v>
      </c>
      <c r="H17" s="25" t="s">
        <v>36</v>
      </c>
      <c r="I17" s="18" t="s">
        <v>37</v>
      </c>
      <c r="J17" s="18" t="s">
        <v>38</v>
      </c>
      <c r="K17" t="s">
        <v>39</v>
      </c>
      <c r="L17" s="26" t="e">
        <f>VLOOKUP(A17,'[3]Price info'!A:D,4,FALSE)</f>
        <v>#N/A</v>
      </c>
      <c r="M17" s="18" t="s">
        <v>40</v>
      </c>
      <c r="N17" s="20">
        <v>3105</v>
      </c>
      <c r="P17" s="16" t="e">
        <f>VLOOKUP(A17,'[3]Price info'!A:H,8,FALSE)</f>
        <v>#N/A</v>
      </c>
      <c r="Q17" s="27" t="e">
        <f t="shared" si="1"/>
        <v>#N/A</v>
      </c>
      <c r="R17" s="18" t="s">
        <v>41</v>
      </c>
      <c r="S17" s="16" t="e">
        <f>VLOOKUP(A17,[4]Sales!$E:$G,3,FALSE)</f>
        <v>#N/A</v>
      </c>
      <c r="T17" s="19" t="e">
        <f>VLOOKUP(A17,[4]Volume!$E:$G,3,FALSE)</f>
        <v>#N/A</v>
      </c>
      <c r="U17" s="19" t="e">
        <f>VLOOKUP(A17,[4]Piece!$E:$G,3,FALSE)</f>
        <v>#N/A</v>
      </c>
      <c r="V17" s="21" t="e">
        <f t="shared" si="2"/>
        <v>#N/A</v>
      </c>
      <c r="W17" s="16" t="e">
        <f t="shared" si="3"/>
        <v>#N/A</v>
      </c>
    </row>
    <row r="18" spans="1:23" hidden="1" x14ac:dyDescent="0.3">
      <c r="A18" s="22" t="s">
        <v>70</v>
      </c>
      <c r="B18" s="22" t="s">
        <v>70</v>
      </c>
      <c r="C18" s="23" t="s">
        <v>33</v>
      </c>
      <c r="D18" s="20" t="s">
        <v>34</v>
      </c>
      <c r="E18" s="23" t="s">
        <v>71</v>
      </c>
      <c r="F18" s="24" t="str">
        <f t="shared" si="0"/>
        <v>PPG - &amp;UJST SMOOTH METAL RED        0000001250</v>
      </c>
      <c r="G18" s="23" t="s">
        <v>4917</v>
      </c>
      <c r="H18" s="25" t="s">
        <v>36</v>
      </c>
      <c r="I18" s="18" t="s">
        <v>37</v>
      </c>
      <c r="J18" s="18" t="s">
        <v>38</v>
      </c>
      <c r="K18" t="s">
        <v>39</v>
      </c>
      <c r="L18" s="26" t="e">
        <f>VLOOKUP(A18,'[3]Price info'!A:D,4,FALSE)</f>
        <v>#N/A</v>
      </c>
      <c r="M18" s="18" t="s">
        <v>40</v>
      </c>
      <c r="N18" s="20">
        <v>3105</v>
      </c>
      <c r="P18" s="16" t="e">
        <f>VLOOKUP(A18,'[3]Price info'!A:H,8,FALSE)</f>
        <v>#N/A</v>
      </c>
      <c r="Q18" s="27" t="e">
        <f t="shared" si="1"/>
        <v>#N/A</v>
      </c>
      <c r="R18" s="18" t="s">
        <v>41</v>
      </c>
      <c r="S18" s="16" t="e">
        <f>VLOOKUP(A18,[4]Sales!$E:$G,3,FALSE)</f>
        <v>#N/A</v>
      </c>
      <c r="T18" s="19" t="e">
        <f>VLOOKUP(A18,[4]Volume!$E:$G,3,FALSE)</f>
        <v>#N/A</v>
      </c>
      <c r="U18" s="19" t="e">
        <f>VLOOKUP(A18,[4]Piece!$E:$G,3,FALSE)</f>
        <v>#N/A</v>
      </c>
      <c r="V18" s="21" t="e">
        <f t="shared" si="2"/>
        <v>#N/A</v>
      </c>
      <c r="W18" s="16" t="e">
        <f t="shared" si="3"/>
        <v>#N/A</v>
      </c>
    </row>
    <row r="19" spans="1:23" hidden="1" x14ac:dyDescent="0.3">
      <c r="A19" s="22" t="s">
        <v>72</v>
      </c>
      <c r="B19" s="22" t="s">
        <v>72</v>
      </c>
      <c r="C19" s="23" t="s">
        <v>33</v>
      </c>
      <c r="D19" s="20" t="s">
        <v>34</v>
      </c>
      <c r="E19" s="23" t="s">
        <v>73</v>
      </c>
      <c r="F19" s="24" t="str">
        <f t="shared" si="0"/>
        <v>PPG - &amp;UJST SMOOTH METAL GOLD       0000001250</v>
      </c>
      <c r="G19" s="23" t="s">
        <v>4918</v>
      </c>
      <c r="H19" s="25" t="s">
        <v>36</v>
      </c>
      <c r="I19" s="18" t="s">
        <v>37</v>
      </c>
      <c r="J19" s="18" t="s">
        <v>38</v>
      </c>
      <c r="K19" t="s">
        <v>39</v>
      </c>
      <c r="L19" s="26" t="e">
        <f>VLOOKUP(A19,'[3]Price info'!A:D,4,FALSE)</f>
        <v>#N/A</v>
      </c>
      <c r="M19" s="18" t="s">
        <v>40</v>
      </c>
      <c r="N19" s="20">
        <v>3105</v>
      </c>
      <c r="P19" s="16" t="e">
        <f>VLOOKUP(A19,'[3]Price info'!A:H,8,FALSE)</f>
        <v>#N/A</v>
      </c>
      <c r="Q19" s="27" t="e">
        <f t="shared" si="1"/>
        <v>#N/A</v>
      </c>
      <c r="R19" s="18" t="s">
        <v>41</v>
      </c>
      <c r="S19" s="16">
        <f>VLOOKUP(A19,[4]Sales!$E:$G,3,FALSE)</f>
        <v>2.5</v>
      </c>
      <c r="T19" s="19">
        <f>VLOOKUP(A19,[4]Volume!$E:$G,3,FALSE)</f>
        <v>2.5</v>
      </c>
      <c r="U19" s="19">
        <f>VLOOKUP(A19,[4]Piece!$E:$G,3,FALSE)</f>
        <v>1</v>
      </c>
      <c r="V19" s="21" t="e">
        <f t="shared" si="2"/>
        <v>#N/A</v>
      </c>
      <c r="W19" s="16" t="e">
        <f t="shared" si="3"/>
        <v>#N/A</v>
      </c>
    </row>
    <row r="20" spans="1:23" hidden="1" x14ac:dyDescent="0.3">
      <c r="A20" s="22" t="s">
        <v>74</v>
      </c>
      <c r="B20" s="22" t="s">
        <v>74</v>
      </c>
      <c r="C20" s="23" t="s">
        <v>33</v>
      </c>
      <c r="D20" s="20" t="s">
        <v>34</v>
      </c>
      <c r="E20" s="22" t="e">
        <v>#N/A</v>
      </c>
      <c r="F20" s="24" t="e">
        <f t="shared" si="0"/>
        <v>#N/A</v>
      </c>
      <c r="G20" s="23" t="e">
        <v>#N/A</v>
      </c>
      <c r="H20" s="25" t="s">
        <v>36</v>
      </c>
      <c r="I20" s="18" t="s">
        <v>37</v>
      </c>
      <c r="J20" s="18" t="s">
        <v>38</v>
      </c>
      <c r="K20" t="s">
        <v>39</v>
      </c>
      <c r="L20" s="26" t="e">
        <f>VLOOKUP(A20,'[3]Price info'!A:D,4,FALSE)</f>
        <v>#N/A</v>
      </c>
      <c r="M20" s="18" t="s">
        <v>40</v>
      </c>
      <c r="N20" s="20">
        <v>3105</v>
      </c>
      <c r="P20" s="16" t="e">
        <f>VLOOKUP(A20,'[3]Price info'!A:H,8,FALSE)</f>
        <v>#N/A</v>
      </c>
      <c r="Q20" s="27" t="e">
        <f t="shared" si="1"/>
        <v>#N/A</v>
      </c>
      <c r="R20" s="18" t="s">
        <v>41</v>
      </c>
      <c r="S20" s="16" t="e">
        <f>VLOOKUP(A20,[4]Sales!$E:$G,3,FALSE)</f>
        <v>#N/A</v>
      </c>
      <c r="T20" s="19" t="e">
        <f>VLOOKUP(A20,[4]Volume!$E:$G,3,FALSE)</f>
        <v>#N/A</v>
      </c>
      <c r="U20" s="19" t="e">
        <f>VLOOKUP(A20,[4]Piece!$E:$G,3,FALSE)</f>
        <v>#N/A</v>
      </c>
      <c r="V20" s="21" t="e">
        <f t="shared" si="2"/>
        <v>#N/A</v>
      </c>
      <c r="W20" s="16" t="e">
        <f t="shared" si="3"/>
        <v>#N/A</v>
      </c>
    </row>
    <row r="21" spans="1:23" hidden="1" x14ac:dyDescent="0.3">
      <c r="A21" s="22" t="s">
        <v>75</v>
      </c>
      <c r="B21" s="22" t="s">
        <v>75</v>
      </c>
      <c r="C21" s="23" t="s">
        <v>33</v>
      </c>
      <c r="D21" s="20" t="s">
        <v>34</v>
      </c>
      <c r="E21" s="22" t="e">
        <v>#N/A</v>
      </c>
      <c r="F21" s="24" t="e">
        <f t="shared" si="0"/>
        <v>#N/A</v>
      </c>
      <c r="G21" s="23" t="e">
        <v>#N/A</v>
      </c>
      <c r="H21" s="25" t="s">
        <v>36</v>
      </c>
      <c r="I21" s="18" t="s">
        <v>37</v>
      </c>
      <c r="J21" s="18" t="s">
        <v>38</v>
      </c>
      <c r="K21" t="s">
        <v>39</v>
      </c>
      <c r="L21" s="26" t="e">
        <f>VLOOKUP(A21,'[3]Price info'!A:D,4,FALSE)</f>
        <v>#N/A</v>
      </c>
      <c r="M21" s="18" t="s">
        <v>40</v>
      </c>
      <c r="N21" s="20">
        <v>3105</v>
      </c>
      <c r="P21" s="16" t="e">
        <f>VLOOKUP(A21,'[3]Price info'!A:H,8,FALSE)</f>
        <v>#N/A</v>
      </c>
      <c r="Q21" s="27" t="e">
        <f t="shared" si="1"/>
        <v>#N/A</v>
      </c>
      <c r="R21" s="18" t="s">
        <v>41</v>
      </c>
      <c r="S21" s="16" t="e">
        <f>VLOOKUP(A21,[4]Sales!$E:$G,3,FALSE)</f>
        <v>#N/A</v>
      </c>
      <c r="T21" s="19" t="e">
        <f>VLOOKUP(A21,[4]Volume!$E:$G,3,FALSE)</f>
        <v>#N/A</v>
      </c>
      <c r="U21" s="19" t="e">
        <f>VLOOKUP(A21,[4]Piece!$E:$G,3,FALSE)</f>
        <v>#N/A</v>
      </c>
      <c r="V21" s="21" t="e">
        <f t="shared" si="2"/>
        <v>#N/A</v>
      </c>
      <c r="W21" s="16" t="e">
        <f t="shared" si="3"/>
        <v>#N/A</v>
      </c>
    </row>
    <row r="22" spans="1:23" hidden="1" x14ac:dyDescent="0.3">
      <c r="A22" s="22" t="s">
        <v>76</v>
      </c>
      <c r="B22" s="22" t="s">
        <v>76</v>
      </c>
      <c r="C22" s="23" t="s">
        <v>33</v>
      </c>
      <c r="D22" s="20" t="s">
        <v>34</v>
      </c>
      <c r="E22" s="22" t="e">
        <v>#N/A</v>
      </c>
      <c r="F22" s="24" t="e">
        <f t="shared" si="0"/>
        <v>#N/A</v>
      </c>
      <c r="G22" s="23" t="e">
        <v>#N/A</v>
      </c>
      <c r="H22" s="25" t="s">
        <v>36</v>
      </c>
      <c r="I22" s="18" t="s">
        <v>37</v>
      </c>
      <c r="J22" s="18" t="s">
        <v>38</v>
      </c>
      <c r="K22" t="s">
        <v>39</v>
      </c>
      <c r="L22" s="26" t="e">
        <f>VLOOKUP(A22,'[3]Price info'!A:D,4,FALSE)</f>
        <v>#N/A</v>
      </c>
      <c r="M22" s="18" t="s">
        <v>40</v>
      </c>
      <c r="N22" s="20">
        <v>3105</v>
      </c>
      <c r="P22" s="16" t="e">
        <f>VLOOKUP(A22,'[3]Price info'!A:H,8,FALSE)</f>
        <v>#N/A</v>
      </c>
      <c r="Q22" s="27" t="e">
        <f t="shared" si="1"/>
        <v>#N/A</v>
      </c>
      <c r="R22" s="18" t="s">
        <v>41</v>
      </c>
      <c r="S22" s="16" t="e">
        <f>VLOOKUP(A22,[4]Sales!$E:$G,3,FALSE)</f>
        <v>#N/A</v>
      </c>
      <c r="T22" s="19" t="e">
        <f>VLOOKUP(A22,[4]Volume!$E:$G,3,FALSE)</f>
        <v>#N/A</v>
      </c>
      <c r="U22" s="19" t="e">
        <f>VLOOKUP(A22,[4]Piece!$E:$G,3,FALSE)</f>
        <v>#N/A</v>
      </c>
      <c r="V22" s="21" t="e">
        <f t="shared" si="2"/>
        <v>#N/A</v>
      </c>
      <c r="W22" s="16" t="e">
        <f t="shared" si="3"/>
        <v>#N/A</v>
      </c>
    </row>
    <row r="23" spans="1:23" hidden="1" x14ac:dyDescent="0.3">
      <c r="A23" s="22" t="s">
        <v>77</v>
      </c>
      <c r="B23" s="22" t="s">
        <v>77</v>
      </c>
      <c r="C23" s="23" t="s">
        <v>33</v>
      </c>
      <c r="D23" s="20" t="s">
        <v>34</v>
      </c>
      <c r="E23" s="22" t="e">
        <v>#N/A</v>
      </c>
      <c r="F23" s="24" t="e">
        <f t="shared" si="0"/>
        <v>#N/A</v>
      </c>
      <c r="G23" s="28" t="e">
        <v>#N/A</v>
      </c>
      <c r="H23" s="29" t="s">
        <v>36</v>
      </c>
      <c r="I23" s="30" t="s">
        <v>37</v>
      </c>
      <c r="J23" s="30" t="s">
        <v>38</v>
      </c>
      <c r="K23" s="31" t="s">
        <v>39</v>
      </c>
      <c r="L23" s="26" t="e">
        <f>VLOOKUP(A23,'[3]Price info'!A:D,4,FALSE)</f>
        <v>#N/A</v>
      </c>
      <c r="M23" s="30" t="s">
        <v>40</v>
      </c>
      <c r="N23" s="32">
        <v>3105</v>
      </c>
      <c r="P23" s="16" t="e">
        <f>VLOOKUP(A23,'[3]Price info'!A:H,8,FALSE)</f>
        <v>#N/A</v>
      </c>
      <c r="Q23" s="27" t="e">
        <f t="shared" si="1"/>
        <v>#N/A</v>
      </c>
      <c r="R23" s="30" t="s">
        <v>41</v>
      </c>
      <c r="S23" s="16" t="e">
        <f>VLOOKUP(A23,[4]Sales!$E:$G,3,FALSE)</f>
        <v>#N/A</v>
      </c>
      <c r="T23" s="19" t="e">
        <f>VLOOKUP(A23,[4]Volume!$E:$G,3,FALSE)</f>
        <v>#N/A</v>
      </c>
      <c r="U23" s="19" t="e">
        <f>VLOOKUP(A23,[4]Piece!$E:$G,3,FALSE)</f>
        <v>#N/A</v>
      </c>
      <c r="V23" s="21" t="e">
        <f t="shared" si="2"/>
        <v>#N/A</v>
      </c>
      <c r="W23" s="16" t="e">
        <f t="shared" si="3"/>
        <v>#N/A</v>
      </c>
    </row>
    <row r="24" spans="1:23" hidden="1" x14ac:dyDescent="0.3">
      <c r="A24" s="22" t="s">
        <v>78</v>
      </c>
      <c r="B24" s="22" t="s">
        <v>78</v>
      </c>
      <c r="C24" s="23" t="s">
        <v>33</v>
      </c>
      <c r="D24" s="20" t="s">
        <v>34</v>
      </c>
      <c r="E24" s="23" t="s">
        <v>79</v>
      </c>
      <c r="F24" s="24" t="str">
        <f t="shared" si="0"/>
        <v>PPG - &amp;U PG 2" FLEX FILL KNIFE</v>
      </c>
      <c r="G24" s="23" t="s">
        <v>4919</v>
      </c>
      <c r="H24" s="25" t="s">
        <v>36</v>
      </c>
      <c r="I24" s="18" t="s">
        <v>37</v>
      </c>
      <c r="J24" s="18" t="s">
        <v>38</v>
      </c>
      <c r="K24" t="s">
        <v>39</v>
      </c>
      <c r="L24" s="26" t="e">
        <f>VLOOKUP(A24,'[3]Price info'!A:D,4,FALSE)</f>
        <v>#N/A</v>
      </c>
      <c r="M24" s="18" t="s">
        <v>40</v>
      </c>
      <c r="N24" s="20">
        <v>3105</v>
      </c>
      <c r="P24" s="16" t="e">
        <f>VLOOKUP(A24,'[3]Price info'!A:H,8,FALSE)</f>
        <v>#N/A</v>
      </c>
      <c r="Q24" s="27" t="e">
        <f t="shared" si="1"/>
        <v>#N/A</v>
      </c>
      <c r="R24" s="18" t="s">
        <v>41</v>
      </c>
      <c r="S24" s="16">
        <f>VLOOKUP(A24,[4]Sales!$E:$G,3,FALSE)</f>
        <v>13.41</v>
      </c>
      <c r="T24" s="19">
        <f>VLOOKUP(A24,[4]Volume!$E:$G,3,FALSE)</f>
        <v>1</v>
      </c>
      <c r="U24" s="19">
        <f>VLOOKUP(A24,[4]Piece!$E:$G,3,FALSE)</f>
        <v>1</v>
      </c>
      <c r="V24" s="21" t="e">
        <f t="shared" si="2"/>
        <v>#N/A</v>
      </c>
      <c r="W24" s="16" t="e">
        <f t="shared" si="3"/>
        <v>#N/A</v>
      </c>
    </row>
    <row r="25" spans="1:23" hidden="1" x14ac:dyDescent="0.3">
      <c r="A25" s="22" t="s">
        <v>80</v>
      </c>
      <c r="B25" s="22" t="s">
        <v>80</v>
      </c>
      <c r="C25" s="23" t="s">
        <v>33</v>
      </c>
      <c r="D25" s="20" t="s">
        <v>34</v>
      </c>
      <c r="E25" s="22" t="s">
        <v>81</v>
      </c>
      <c r="F25" s="24" t="str">
        <f t="shared" si="0"/>
        <v>PPG - Johnstones QD METAL PRIMER - White - 2.5ltr</v>
      </c>
      <c r="G25" s="23" t="s">
        <v>4920</v>
      </c>
      <c r="H25" s="25" t="s">
        <v>36</v>
      </c>
      <c r="I25" s="18" t="s">
        <v>37</v>
      </c>
      <c r="J25" s="18" t="s">
        <v>38</v>
      </c>
      <c r="K25" t="s">
        <v>39</v>
      </c>
      <c r="L25" s="26">
        <f>VLOOKUP(A25,'[3]Price info'!A:D,4,FALSE)</f>
        <v>34.46</v>
      </c>
      <c r="M25" s="18" t="s">
        <v>40</v>
      </c>
      <c r="N25" s="20">
        <v>3105</v>
      </c>
      <c r="P25" s="16">
        <f>VLOOKUP(A25,'[3]Price info'!A:H,8,FALSE)</f>
        <v>32.082260000000005</v>
      </c>
      <c r="Q25" s="33">
        <f t="shared" si="1"/>
        <v>0.93100000000000016</v>
      </c>
      <c r="R25" s="18" t="s">
        <v>41</v>
      </c>
      <c r="S25" s="16" t="e">
        <f>VLOOKUP(A25,[4]Sales!$E:$G,3,FALSE)</f>
        <v>#N/A</v>
      </c>
      <c r="T25" s="19" t="e">
        <f>VLOOKUP(A25,[4]Volume!$E:$G,3,FALSE)</f>
        <v>#N/A</v>
      </c>
      <c r="U25" s="19" t="e">
        <f>VLOOKUP(A25,[4]Piece!$E:$G,3,FALSE)</f>
        <v>#N/A</v>
      </c>
      <c r="V25" s="21" t="e">
        <f t="shared" si="2"/>
        <v>#N/A</v>
      </c>
      <c r="W25" s="16" t="e">
        <f t="shared" si="3"/>
        <v>#N/A</v>
      </c>
    </row>
    <row r="26" spans="1:23" hidden="1" x14ac:dyDescent="0.3">
      <c r="A26" s="34" t="s">
        <v>82</v>
      </c>
      <c r="B26" s="22" t="s">
        <v>82</v>
      </c>
      <c r="C26" s="23" t="s">
        <v>33</v>
      </c>
      <c r="D26" s="20" t="s">
        <v>34</v>
      </c>
      <c r="E26" s="22" t="s">
        <v>83</v>
      </c>
      <c r="F26" s="24" t="str">
        <f t="shared" si="0"/>
        <v>PPG - FatHog FATEV S/SKIN ROLL  EVO 9 -  - 9"ltr</v>
      </c>
      <c r="G26" s="23" t="s">
        <v>4921</v>
      </c>
      <c r="H26" s="25" t="s">
        <v>36</v>
      </c>
      <c r="I26" s="18" t="s">
        <v>37</v>
      </c>
      <c r="J26" s="18" t="s">
        <v>38</v>
      </c>
      <c r="K26" t="s">
        <v>39</v>
      </c>
      <c r="L26" s="26">
        <f>VLOOKUP(A26,'[3]Price info'!A:D,4,FALSE)</f>
        <v>17.02</v>
      </c>
      <c r="M26" s="18" t="s">
        <v>40</v>
      </c>
      <c r="N26" s="20">
        <v>3105</v>
      </c>
      <c r="P26" s="16">
        <f>VLOOKUP(A26,'[3]Price info'!A:H,8,FALSE)</f>
        <v>15.84562</v>
      </c>
      <c r="Q26" s="33">
        <f t="shared" si="1"/>
        <v>0.93100000000000005</v>
      </c>
      <c r="R26" s="18" t="s">
        <v>41</v>
      </c>
      <c r="S26" s="16" t="e">
        <f>VLOOKUP(A26,[4]Sales!$E:$G,3,FALSE)</f>
        <v>#N/A</v>
      </c>
      <c r="T26" s="19" t="e">
        <f>VLOOKUP(A26,[4]Volume!$E:$G,3,FALSE)</f>
        <v>#N/A</v>
      </c>
      <c r="U26" s="19" t="e">
        <f>VLOOKUP(A26,[4]Piece!$E:$G,3,FALSE)</f>
        <v>#N/A</v>
      </c>
      <c r="V26" s="21" t="e">
        <f t="shared" si="2"/>
        <v>#N/A</v>
      </c>
      <c r="W26" s="16" t="e">
        <f t="shared" si="3"/>
        <v>#N/A</v>
      </c>
    </row>
    <row r="27" spans="1:23" hidden="1" x14ac:dyDescent="0.3">
      <c r="A27" s="22" t="s">
        <v>84</v>
      </c>
      <c r="B27" s="22" t="s">
        <v>84</v>
      </c>
      <c r="C27" s="23" t="s">
        <v>33</v>
      </c>
      <c r="D27" s="20" t="s">
        <v>34</v>
      </c>
      <c r="E27" s="22" t="s">
        <v>85</v>
      </c>
      <c r="F27" s="24" t="str">
        <f t="shared" si="0"/>
        <v>PPG - FatHog GEN PURP MINI ROLLER 4"</v>
      </c>
      <c r="G27" s="23" t="s">
        <v>4922</v>
      </c>
      <c r="H27" s="25" t="s">
        <v>36</v>
      </c>
      <c r="I27" s="18" t="s">
        <v>37</v>
      </c>
      <c r="J27" s="18" t="s">
        <v>38</v>
      </c>
      <c r="K27" t="s">
        <v>39</v>
      </c>
      <c r="L27" s="26">
        <f>VLOOKUP(A27,'[3]Price info'!A:D,4,FALSE)</f>
        <v>0.92</v>
      </c>
      <c r="M27" s="18" t="s">
        <v>40</v>
      </c>
      <c r="N27" s="20">
        <v>3105</v>
      </c>
      <c r="P27" s="16">
        <f>VLOOKUP(A27,'[3]Price info'!A:H,8,FALSE)</f>
        <v>0.92</v>
      </c>
      <c r="Q27" s="33">
        <f t="shared" si="1"/>
        <v>1</v>
      </c>
      <c r="R27" s="18" t="s">
        <v>41</v>
      </c>
      <c r="S27" s="16">
        <f>VLOOKUP(A27,[4]Sales!$E:$G,3,FALSE)</f>
        <v>87.48</v>
      </c>
      <c r="T27" s="19">
        <f>VLOOKUP(A27,[4]Volume!$E:$G,3,FALSE)</f>
        <v>99</v>
      </c>
      <c r="U27" s="19">
        <f>VLOOKUP(A27,[4]Piece!$E:$G,3,FALSE)</f>
        <v>99</v>
      </c>
      <c r="V27" s="21">
        <f t="shared" si="2"/>
        <v>91.08</v>
      </c>
      <c r="W27" s="16">
        <f t="shared" si="3"/>
        <v>3.5999999999999943</v>
      </c>
    </row>
    <row r="28" spans="1:23" hidden="1" x14ac:dyDescent="0.3">
      <c r="A28" s="34" t="s">
        <v>86</v>
      </c>
      <c r="B28" s="22" t="s">
        <v>86</v>
      </c>
      <c r="C28" s="23" t="s">
        <v>33</v>
      </c>
      <c r="D28" s="20" t="s">
        <v>34</v>
      </c>
      <c r="E28" s="22" t="e">
        <v>#N/A</v>
      </c>
      <c r="F28" s="24" t="e">
        <f t="shared" si="0"/>
        <v>#N/A</v>
      </c>
      <c r="G28" s="23" t="e">
        <v>#N/A</v>
      </c>
      <c r="H28" s="25" t="s">
        <v>36</v>
      </c>
      <c r="I28" s="18" t="s">
        <v>37</v>
      </c>
      <c r="J28" s="18" t="s">
        <v>38</v>
      </c>
      <c r="K28" t="s">
        <v>39</v>
      </c>
      <c r="L28" s="26">
        <f>VLOOKUP(A28,'[3]Price info'!A:D,4,FALSE)</f>
        <v>13.24</v>
      </c>
      <c r="M28" s="18" t="s">
        <v>40</v>
      </c>
      <c r="N28" s="20">
        <v>3105</v>
      </c>
      <c r="P28" s="16">
        <f>VLOOKUP(A28,'[3]Price info'!A:H,8,FALSE)</f>
        <v>12.326440000000002</v>
      </c>
      <c r="Q28" s="33">
        <f t="shared" si="1"/>
        <v>0.93100000000000016</v>
      </c>
      <c r="R28" s="18" t="s">
        <v>41</v>
      </c>
      <c r="S28" s="16">
        <f>VLOOKUP(A28,[4]Sales!$E:$G,3,FALSE)</f>
        <v>12.33</v>
      </c>
      <c r="T28" s="19">
        <f>VLOOKUP(A28,[4]Volume!$E:$G,3,FALSE)</f>
        <v>4</v>
      </c>
      <c r="U28" s="19">
        <f>VLOOKUP(A28,[4]Piece!$E:$G,3,FALSE)</f>
        <v>1</v>
      </c>
      <c r="V28" s="21">
        <f t="shared" si="2"/>
        <v>12.326440000000002</v>
      </c>
      <c r="W28" s="16">
        <f t="shared" si="3"/>
        <v>-3.5599999999984533E-3</v>
      </c>
    </row>
    <row r="29" spans="1:23" hidden="1" x14ac:dyDescent="0.3">
      <c r="A29" s="34" t="s">
        <v>87</v>
      </c>
      <c r="B29" s="22" t="s">
        <v>87</v>
      </c>
      <c r="C29" s="23" t="s">
        <v>33</v>
      </c>
      <c r="D29" s="20" t="s">
        <v>34</v>
      </c>
      <c r="E29" s="22" t="s">
        <v>88</v>
      </c>
      <c r="F29" s="24" t="str">
        <f t="shared" si="0"/>
        <v>PPG - FatHog FATEV S/SKIN ROLL  EVO 12 -  - 12"ltr</v>
      </c>
      <c r="G29" s="23" t="s">
        <v>4923</v>
      </c>
      <c r="H29" s="25" t="s">
        <v>36</v>
      </c>
      <c r="I29" s="18" t="s">
        <v>37</v>
      </c>
      <c r="J29" s="18" t="s">
        <v>38</v>
      </c>
      <c r="K29" t="s">
        <v>39</v>
      </c>
      <c r="L29" s="26">
        <f>VLOOKUP(A29,'[3]Price info'!A:D,4,FALSE)</f>
        <v>14.47</v>
      </c>
      <c r="M29" s="18" t="s">
        <v>40</v>
      </c>
      <c r="N29" s="20">
        <v>3105</v>
      </c>
      <c r="P29" s="16">
        <f>VLOOKUP(A29,'[3]Price info'!A:H,8,FALSE)</f>
        <v>15.917000000000002</v>
      </c>
      <c r="Q29" s="33">
        <f t="shared" si="1"/>
        <v>1.1000000000000001</v>
      </c>
      <c r="R29" s="18" t="s">
        <v>41</v>
      </c>
      <c r="S29" s="16" t="e">
        <f>VLOOKUP(A29,[4]Sales!$E:$G,3,FALSE)</f>
        <v>#N/A</v>
      </c>
      <c r="T29" s="19" t="e">
        <f>VLOOKUP(A29,[4]Volume!$E:$G,3,FALSE)</f>
        <v>#N/A</v>
      </c>
      <c r="U29" s="19" t="e">
        <f>VLOOKUP(A29,[4]Piece!$E:$G,3,FALSE)</f>
        <v>#N/A</v>
      </c>
      <c r="V29" s="21" t="e">
        <f t="shared" si="2"/>
        <v>#N/A</v>
      </c>
      <c r="W29" s="16" t="e">
        <f t="shared" si="3"/>
        <v>#N/A</v>
      </c>
    </row>
    <row r="30" spans="1:23" ht="27.6" hidden="1" x14ac:dyDescent="0.3">
      <c r="A30" s="34" t="s">
        <v>89</v>
      </c>
      <c r="B30" s="22" t="s">
        <v>89</v>
      </c>
      <c r="C30" s="23" t="s">
        <v>33</v>
      </c>
      <c r="D30" s="20" t="s">
        <v>34</v>
      </c>
      <c r="E30" s="22" t="s">
        <v>90</v>
      </c>
      <c r="F30" s="24" t="str">
        <f t="shared" si="0"/>
        <v>PPG - FatHog FATHG DEC CAULK    BROWN      0000000295 -  - 295mlltr</v>
      </c>
      <c r="G30" s="23" t="s">
        <v>4924</v>
      </c>
      <c r="H30" s="25" t="s">
        <v>36</v>
      </c>
      <c r="I30" s="18" t="s">
        <v>37</v>
      </c>
      <c r="J30" s="18" t="s">
        <v>38</v>
      </c>
      <c r="K30" t="s">
        <v>39</v>
      </c>
      <c r="L30" s="26">
        <f>VLOOKUP(A30,'[3]Price info'!A:D,4,FALSE)</f>
        <v>1.84</v>
      </c>
      <c r="M30" s="18" t="s">
        <v>40</v>
      </c>
      <c r="N30" s="20">
        <v>3105</v>
      </c>
      <c r="P30" s="16">
        <f>VLOOKUP(A30,'[3]Price info'!A:H,8,FALSE)</f>
        <v>1.7130400000000001</v>
      </c>
      <c r="Q30" s="33">
        <f t="shared" si="1"/>
        <v>0.93100000000000005</v>
      </c>
      <c r="R30" s="18" t="s">
        <v>41</v>
      </c>
      <c r="S30" s="16">
        <f>VLOOKUP(A30,[4]Sales!$E:$G,3,FALSE)</f>
        <v>53.36</v>
      </c>
      <c r="T30" s="19">
        <f>VLOOKUP(A30,[4]Volume!$E:$G,3,FALSE)</f>
        <v>8.5549999999999997</v>
      </c>
      <c r="U30" s="19">
        <f>VLOOKUP(A30,[4]Piece!$E:$G,3,FALSE)</f>
        <v>29</v>
      </c>
      <c r="V30" s="21">
        <f t="shared" si="2"/>
        <v>49.678160000000005</v>
      </c>
      <c r="W30" s="16">
        <f t="shared" si="3"/>
        <v>-3.681839999999994</v>
      </c>
    </row>
    <row r="31" spans="1:23" hidden="1" x14ac:dyDescent="0.3">
      <c r="A31" s="34" t="s">
        <v>91</v>
      </c>
      <c r="B31" s="22" t="s">
        <v>91</v>
      </c>
      <c r="C31" s="23" t="s">
        <v>33</v>
      </c>
      <c r="D31" s="20" t="s">
        <v>34</v>
      </c>
      <c r="E31" s="22" t="e">
        <v>#N/A</v>
      </c>
      <c r="F31" s="24" t="e">
        <f t="shared" si="0"/>
        <v>#N/A</v>
      </c>
      <c r="G31" s="23" t="e">
        <v>#N/A</v>
      </c>
      <c r="H31" s="25" t="s">
        <v>36</v>
      </c>
      <c r="I31" s="18" t="s">
        <v>37</v>
      </c>
      <c r="J31" s="18" t="s">
        <v>38</v>
      </c>
      <c r="K31" t="s">
        <v>39</v>
      </c>
      <c r="L31" s="26">
        <f>VLOOKUP(A31,'[3]Price info'!A:D,4,FALSE)</f>
        <v>1.84</v>
      </c>
      <c r="M31" s="18" t="s">
        <v>40</v>
      </c>
      <c r="N31" s="20">
        <v>3105</v>
      </c>
      <c r="P31" s="16">
        <f>VLOOKUP(A31,'[3]Price info'!A:H,8,FALSE)</f>
        <v>1.7130400000000001</v>
      </c>
      <c r="Q31" s="33">
        <f t="shared" si="1"/>
        <v>0.93100000000000005</v>
      </c>
      <c r="R31" s="18" t="s">
        <v>41</v>
      </c>
      <c r="S31" s="16" t="e">
        <f>VLOOKUP(A31,[4]Sales!$E:$G,3,FALSE)</f>
        <v>#N/A</v>
      </c>
      <c r="T31" s="19" t="e">
        <f>VLOOKUP(A31,[4]Volume!$E:$G,3,FALSE)</f>
        <v>#N/A</v>
      </c>
      <c r="U31" s="19" t="e">
        <f>VLOOKUP(A31,[4]Piece!$E:$G,3,FALSE)</f>
        <v>#N/A</v>
      </c>
      <c r="V31" s="21" t="e">
        <f t="shared" si="2"/>
        <v>#N/A</v>
      </c>
      <c r="W31" s="16" t="e">
        <f t="shared" si="3"/>
        <v>#N/A</v>
      </c>
    </row>
    <row r="32" spans="1:23" hidden="1" x14ac:dyDescent="0.3">
      <c r="A32" s="22" t="s">
        <v>92</v>
      </c>
      <c r="B32" s="22" t="s">
        <v>92</v>
      </c>
      <c r="C32" s="23" t="s">
        <v>33</v>
      </c>
      <c r="D32" s="20" t="s">
        <v>34</v>
      </c>
      <c r="E32" s="22" t="s">
        <v>93</v>
      </c>
      <c r="F32" s="24" t="str">
        <f t="shared" si="0"/>
        <v>PPG - Johnstones SATIN WOODSTAIN -Light Oak-750ml</v>
      </c>
      <c r="G32" s="23" t="s">
        <v>4925</v>
      </c>
      <c r="H32" s="25" t="s">
        <v>36</v>
      </c>
      <c r="I32" s="18" t="s">
        <v>37</v>
      </c>
      <c r="J32" s="18" t="s">
        <v>38</v>
      </c>
      <c r="K32" t="s">
        <v>39</v>
      </c>
      <c r="L32" s="26">
        <f>VLOOKUP(A32,'[3]Price info'!A:D,4,FALSE)</f>
        <v>6.58</v>
      </c>
      <c r="M32" s="18" t="s">
        <v>40</v>
      </c>
      <c r="N32" s="20">
        <v>3105</v>
      </c>
      <c r="P32" s="16">
        <f>VLOOKUP(A32,'[3]Price info'!A:H,8,FALSE)</f>
        <v>6.1259800000000002</v>
      </c>
      <c r="Q32" s="33">
        <f t="shared" si="1"/>
        <v>0.93100000000000005</v>
      </c>
      <c r="R32" s="18" t="s">
        <v>41</v>
      </c>
      <c r="S32" s="16" t="e">
        <f>VLOOKUP(A32,[4]Sales!$E:$G,3,FALSE)</f>
        <v>#N/A</v>
      </c>
      <c r="T32" s="19" t="e">
        <f>VLOOKUP(A32,[4]Volume!$E:$G,3,FALSE)</f>
        <v>#N/A</v>
      </c>
      <c r="U32" s="19" t="e">
        <f>VLOOKUP(A32,[4]Piece!$E:$G,3,FALSE)</f>
        <v>#N/A</v>
      </c>
      <c r="V32" s="21" t="e">
        <f t="shared" si="2"/>
        <v>#N/A</v>
      </c>
      <c r="W32" s="16" t="e">
        <f t="shared" si="3"/>
        <v>#N/A</v>
      </c>
    </row>
    <row r="33" spans="1:23" hidden="1" x14ac:dyDescent="0.3">
      <c r="A33" s="34" t="s">
        <v>94</v>
      </c>
      <c r="B33" s="22" t="s">
        <v>94</v>
      </c>
      <c r="C33" s="23" t="s">
        <v>33</v>
      </c>
      <c r="D33" s="20" t="s">
        <v>34</v>
      </c>
      <c r="E33" s="22" t="e">
        <v>#N/A</v>
      </c>
      <c r="F33" s="24" t="e">
        <f t="shared" si="0"/>
        <v>#N/A</v>
      </c>
      <c r="G33" s="23" t="e">
        <v>#N/A</v>
      </c>
      <c r="H33" s="25" t="s">
        <v>36</v>
      </c>
      <c r="I33" s="18" t="s">
        <v>37</v>
      </c>
      <c r="J33" s="18" t="s">
        <v>38</v>
      </c>
      <c r="K33" t="s">
        <v>39</v>
      </c>
      <c r="L33" s="26">
        <f>VLOOKUP(A33,'[3]Price info'!A:D,4,FALSE)</f>
        <v>5.33</v>
      </c>
      <c r="M33" s="18" t="s">
        <v>40</v>
      </c>
      <c r="N33" s="20">
        <v>3105</v>
      </c>
      <c r="P33" s="16">
        <f>VLOOKUP(A33,'[3]Price info'!A:H,8,FALSE)</f>
        <v>4.9622299999999999</v>
      </c>
      <c r="Q33" s="33">
        <f t="shared" si="1"/>
        <v>0.93099999999999994</v>
      </c>
      <c r="R33" s="18" t="s">
        <v>41</v>
      </c>
      <c r="S33" s="16" t="e">
        <f>VLOOKUP(A33,[4]Sales!$E:$G,3,FALSE)</f>
        <v>#N/A</v>
      </c>
      <c r="T33" s="19" t="e">
        <f>VLOOKUP(A33,[4]Volume!$E:$G,3,FALSE)</f>
        <v>#N/A</v>
      </c>
      <c r="U33" s="19" t="e">
        <f>VLOOKUP(A33,[4]Piece!$E:$G,3,FALSE)</f>
        <v>#N/A</v>
      </c>
      <c r="V33" s="21" t="e">
        <f t="shared" si="2"/>
        <v>#N/A</v>
      </c>
      <c r="W33" s="16" t="e">
        <f t="shared" si="3"/>
        <v>#N/A</v>
      </c>
    </row>
    <row r="34" spans="1:23" hidden="1" x14ac:dyDescent="0.3">
      <c r="A34" s="22" t="s">
        <v>95</v>
      </c>
      <c r="B34" s="22" t="s">
        <v>95</v>
      </c>
      <c r="C34" s="23" t="s">
        <v>33</v>
      </c>
      <c r="D34" s="20" t="s">
        <v>34</v>
      </c>
      <c r="E34" s="22" t="s">
        <v>96</v>
      </c>
      <c r="F34" s="24" t="str">
        <f t="shared" si="0"/>
        <v>PPG - Woodworks RAW LINSEED OIL -  - 500ltr</v>
      </c>
      <c r="G34" s="23" t="s">
        <v>4926</v>
      </c>
      <c r="H34" s="25" t="s">
        <v>36</v>
      </c>
      <c r="I34" s="18" t="s">
        <v>37</v>
      </c>
      <c r="J34" s="18" t="s">
        <v>38</v>
      </c>
      <c r="K34" t="s">
        <v>39</v>
      </c>
      <c r="L34" s="26">
        <f>VLOOKUP(A34,'[3]Price info'!A:D,4,FALSE)</f>
        <v>5.84</v>
      </c>
      <c r="M34" s="18" t="s">
        <v>40</v>
      </c>
      <c r="N34" s="20">
        <v>3105</v>
      </c>
      <c r="P34" s="16">
        <f>VLOOKUP(A34,'[3]Price info'!A:H,8,FALSE)</f>
        <v>5.4370400000000005</v>
      </c>
      <c r="Q34" s="33">
        <f t="shared" si="1"/>
        <v>0.93100000000000016</v>
      </c>
      <c r="R34" s="18" t="s">
        <v>41</v>
      </c>
      <c r="S34" s="16" t="e">
        <f>VLOOKUP(A34,[4]Sales!$E:$G,3,FALSE)</f>
        <v>#N/A</v>
      </c>
      <c r="T34" s="19" t="e">
        <f>VLOOKUP(A34,[4]Volume!$E:$G,3,FALSE)</f>
        <v>#N/A</v>
      </c>
      <c r="U34" s="19" t="e">
        <f>VLOOKUP(A34,[4]Piece!$E:$G,3,FALSE)</f>
        <v>#N/A</v>
      </c>
      <c r="V34" s="21" t="e">
        <f t="shared" si="2"/>
        <v>#N/A</v>
      </c>
      <c r="W34" s="16" t="e">
        <f t="shared" si="3"/>
        <v>#N/A</v>
      </c>
    </row>
    <row r="35" spans="1:23" hidden="1" x14ac:dyDescent="0.3">
      <c r="A35" s="22" t="s">
        <v>97</v>
      </c>
      <c r="B35" s="22" t="s">
        <v>97</v>
      </c>
      <c r="C35" s="23" t="s">
        <v>33</v>
      </c>
      <c r="D35" s="20" t="s">
        <v>34</v>
      </c>
      <c r="E35" s="22" t="s">
        <v>98</v>
      </c>
      <c r="F35" s="24" t="str">
        <f t="shared" si="0"/>
        <v>PPG - Leyland GLOSS - Empire Green - 5ltr</v>
      </c>
      <c r="G35" s="23" t="s">
        <v>4927</v>
      </c>
      <c r="H35" s="25" t="s">
        <v>36</v>
      </c>
      <c r="I35" s="18" t="s">
        <v>37</v>
      </c>
      <c r="J35" s="18" t="s">
        <v>38</v>
      </c>
      <c r="K35" t="s">
        <v>39</v>
      </c>
      <c r="L35" s="26">
        <f>VLOOKUP(A35,'[3]Price info'!A:D,4,FALSE)</f>
        <v>16.71</v>
      </c>
      <c r="M35" s="18" t="s">
        <v>40</v>
      </c>
      <c r="N35" s="20">
        <v>3105</v>
      </c>
      <c r="P35" s="16">
        <f>VLOOKUP(A35,'[3]Price info'!A:H,8,FALSE)</f>
        <v>22.93</v>
      </c>
      <c r="Q35" s="33">
        <f t="shared" si="1"/>
        <v>1.3722321962896469</v>
      </c>
      <c r="R35" s="18" t="s">
        <v>41</v>
      </c>
      <c r="S35" s="16" t="e">
        <f>VLOOKUP(A35,[4]Sales!$E:$G,3,FALSE)</f>
        <v>#N/A</v>
      </c>
      <c r="T35" s="19" t="e">
        <f>VLOOKUP(A35,[4]Volume!$E:$G,3,FALSE)</f>
        <v>#N/A</v>
      </c>
      <c r="U35" s="19" t="e">
        <f>VLOOKUP(A35,[4]Piece!$E:$G,3,FALSE)</f>
        <v>#N/A</v>
      </c>
      <c r="V35" s="21" t="e">
        <f t="shared" si="2"/>
        <v>#N/A</v>
      </c>
      <c r="W35" s="16" t="e">
        <f t="shared" si="3"/>
        <v>#N/A</v>
      </c>
    </row>
    <row r="36" spans="1:23" hidden="1" x14ac:dyDescent="0.3">
      <c r="A36" s="22" t="s">
        <v>99</v>
      </c>
      <c r="B36" s="22" t="s">
        <v>99</v>
      </c>
      <c r="C36" s="23" t="s">
        <v>33</v>
      </c>
      <c r="D36" s="20" t="s">
        <v>34</v>
      </c>
      <c r="E36" s="22" t="s">
        <v>100</v>
      </c>
      <c r="F36" s="24" t="str">
        <f t="shared" si="0"/>
        <v>PPG - Leyland GLOSS - Peat - 5ltr</v>
      </c>
      <c r="G36" s="23" t="s">
        <v>4928</v>
      </c>
      <c r="H36" s="25" t="s">
        <v>36</v>
      </c>
      <c r="I36" s="18" t="s">
        <v>37</v>
      </c>
      <c r="J36" s="18" t="s">
        <v>38</v>
      </c>
      <c r="K36" t="s">
        <v>39</v>
      </c>
      <c r="L36" s="26">
        <f>VLOOKUP(A36,'[3]Price info'!A:D,4,FALSE)</f>
        <v>16.71</v>
      </c>
      <c r="M36" s="18" t="s">
        <v>40</v>
      </c>
      <c r="N36" s="20">
        <v>3105</v>
      </c>
      <c r="P36" s="16">
        <f>VLOOKUP(A36,'[3]Price info'!A:H,8,FALSE)</f>
        <v>22.93</v>
      </c>
      <c r="Q36" s="33">
        <f t="shared" si="1"/>
        <v>1.3722321962896469</v>
      </c>
      <c r="R36" s="18" t="s">
        <v>41</v>
      </c>
      <c r="S36" s="16" t="e">
        <f>VLOOKUP(A36,[4]Sales!$E:$G,3,FALSE)</f>
        <v>#N/A</v>
      </c>
      <c r="T36" s="19" t="e">
        <f>VLOOKUP(A36,[4]Volume!$E:$G,3,FALSE)</f>
        <v>#N/A</v>
      </c>
      <c r="U36" s="19" t="e">
        <f>VLOOKUP(A36,[4]Piece!$E:$G,3,FALSE)</f>
        <v>#N/A</v>
      </c>
      <c r="V36" s="21" t="e">
        <f t="shared" si="2"/>
        <v>#N/A</v>
      </c>
      <c r="W36" s="16" t="e">
        <f t="shared" si="3"/>
        <v>#N/A</v>
      </c>
    </row>
    <row r="37" spans="1:23" hidden="1" x14ac:dyDescent="0.3">
      <c r="A37" s="22" t="s">
        <v>101</v>
      </c>
      <c r="B37" s="22" t="s">
        <v>101</v>
      </c>
      <c r="C37" s="23" t="s">
        <v>33</v>
      </c>
      <c r="D37" s="20" t="s">
        <v>34</v>
      </c>
      <c r="E37" s="22" t="s">
        <v>102</v>
      </c>
      <c r="F37" s="24" t="str">
        <f t="shared" si="0"/>
        <v>PPG - Leyland TRUGARD PLIOLITE - Gardenia - 5ltr</v>
      </c>
      <c r="G37" s="23" t="s">
        <v>4929</v>
      </c>
      <c r="H37" s="25" t="s">
        <v>36</v>
      </c>
      <c r="I37" s="18" t="s">
        <v>37</v>
      </c>
      <c r="J37" s="18" t="s">
        <v>38</v>
      </c>
      <c r="K37" t="s">
        <v>39</v>
      </c>
      <c r="L37" s="26">
        <f>VLOOKUP(A37,'[3]Price info'!A:D,4,FALSE)</f>
        <v>18.010000000000002</v>
      </c>
      <c r="M37" s="18" t="s">
        <v>40</v>
      </c>
      <c r="N37" s="20">
        <v>3105</v>
      </c>
      <c r="P37" s="16">
        <f>VLOOKUP(A37,'[3]Price info'!A:H,8,FALSE)</f>
        <v>18.010000000000002</v>
      </c>
      <c r="Q37" s="33">
        <f t="shared" si="1"/>
        <v>1</v>
      </c>
      <c r="R37" s="18" t="s">
        <v>41</v>
      </c>
      <c r="S37" s="16" t="e">
        <f>VLOOKUP(A37,[4]Sales!$E:$G,3,FALSE)</f>
        <v>#N/A</v>
      </c>
      <c r="T37" s="19" t="e">
        <f>VLOOKUP(A37,[4]Volume!$E:$G,3,FALSE)</f>
        <v>#N/A</v>
      </c>
      <c r="U37" s="19" t="e">
        <f>VLOOKUP(A37,[4]Piece!$E:$G,3,FALSE)</f>
        <v>#N/A</v>
      </c>
      <c r="V37" s="21" t="e">
        <f t="shared" si="2"/>
        <v>#N/A</v>
      </c>
      <c r="W37" s="16" t="e">
        <f t="shared" si="3"/>
        <v>#N/A</v>
      </c>
    </row>
    <row r="38" spans="1:23" hidden="1" x14ac:dyDescent="0.3">
      <c r="A38" s="22" t="s">
        <v>103</v>
      </c>
      <c r="B38" s="22" t="s">
        <v>103</v>
      </c>
      <c r="C38" s="23" t="s">
        <v>33</v>
      </c>
      <c r="D38" s="20" t="s">
        <v>34</v>
      </c>
      <c r="E38" s="22" t="s">
        <v>104</v>
      </c>
      <c r="F38" s="24" t="str">
        <f t="shared" si="0"/>
        <v>PPG - Leyland SUPERLEYTEX - Gardenia - 10ltr</v>
      </c>
      <c r="G38" s="23" t="s">
        <v>4930</v>
      </c>
      <c r="H38" s="25" t="s">
        <v>36</v>
      </c>
      <c r="I38" s="18" t="s">
        <v>37</v>
      </c>
      <c r="J38" s="18" t="s">
        <v>38</v>
      </c>
      <c r="K38" t="s">
        <v>39</v>
      </c>
      <c r="L38" s="26">
        <f>VLOOKUP(A38,'[3]Price info'!A:D,4,FALSE)</f>
        <v>45.9</v>
      </c>
      <c r="M38" s="18" t="s">
        <v>40</v>
      </c>
      <c r="N38" s="20">
        <v>3105</v>
      </c>
      <c r="P38" s="16">
        <f>VLOOKUP(A38,'[3]Price info'!A:H,8,FALSE)</f>
        <v>45.9</v>
      </c>
      <c r="Q38" s="33">
        <f t="shared" si="1"/>
        <v>1</v>
      </c>
      <c r="R38" s="18" t="s">
        <v>41</v>
      </c>
      <c r="S38" s="16" t="e">
        <f>VLOOKUP(A38,[4]Sales!$E:$G,3,FALSE)</f>
        <v>#N/A</v>
      </c>
      <c r="T38" s="19" t="e">
        <f>VLOOKUP(A38,[4]Volume!$E:$G,3,FALSE)</f>
        <v>#N/A</v>
      </c>
      <c r="U38" s="19" t="e">
        <f>VLOOKUP(A38,[4]Piece!$E:$G,3,FALSE)</f>
        <v>#N/A</v>
      </c>
      <c r="V38" s="21" t="e">
        <f t="shared" si="2"/>
        <v>#N/A</v>
      </c>
      <c r="W38" s="16" t="e">
        <f t="shared" si="3"/>
        <v>#N/A</v>
      </c>
    </row>
    <row r="39" spans="1:23" hidden="1" x14ac:dyDescent="0.3">
      <c r="A39" s="22" t="s">
        <v>105</v>
      </c>
      <c r="B39" s="22" t="s">
        <v>105</v>
      </c>
      <c r="C39" s="23" t="s">
        <v>33</v>
      </c>
      <c r="D39" s="20" t="s">
        <v>34</v>
      </c>
      <c r="E39" s="22" t="s">
        <v>106</v>
      </c>
      <c r="F39" s="24" t="str">
        <f t="shared" si="0"/>
        <v>PPG - Leyland TRUGUARD FINE TEXTURED - Mag - 5ltr</v>
      </c>
      <c r="G39" s="23" t="s">
        <v>4931</v>
      </c>
      <c r="H39" s="25" t="s">
        <v>36</v>
      </c>
      <c r="I39" s="18" t="s">
        <v>37</v>
      </c>
      <c r="J39" s="18" t="s">
        <v>38</v>
      </c>
      <c r="K39" t="s">
        <v>39</v>
      </c>
      <c r="L39" s="26">
        <f>VLOOKUP(A39,'[3]Price info'!A:D,4,FALSE)</f>
        <v>26.6</v>
      </c>
      <c r="M39" s="18" t="s">
        <v>40</v>
      </c>
      <c r="N39" s="20">
        <v>3105</v>
      </c>
      <c r="P39" s="16">
        <f>VLOOKUP(A39,'[3]Price info'!A:H,8,FALSE)</f>
        <v>26.6</v>
      </c>
      <c r="Q39" s="33">
        <f t="shared" si="1"/>
        <v>1</v>
      </c>
      <c r="R39" s="18" t="s">
        <v>41</v>
      </c>
      <c r="S39" s="16" t="e">
        <f>VLOOKUP(A39,[4]Sales!$E:$G,3,FALSE)</f>
        <v>#N/A</v>
      </c>
      <c r="T39" s="19" t="e">
        <f>VLOOKUP(A39,[4]Volume!$E:$G,3,FALSE)</f>
        <v>#N/A</v>
      </c>
      <c r="U39" s="19" t="e">
        <f>VLOOKUP(A39,[4]Piece!$E:$G,3,FALSE)</f>
        <v>#N/A</v>
      </c>
      <c r="V39" s="21" t="e">
        <f t="shared" si="2"/>
        <v>#N/A</v>
      </c>
      <c r="W39" s="16" t="e">
        <f t="shared" si="3"/>
        <v>#N/A</v>
      </c>
    </row>
    <row r="40" spans="1:23" hidden="1" x14ac:dyDescent="0.3">
      <c r="A40" s="22" t="s">
        <v>107</v>
      </c>
      <c r="B40" s="22" t="s">
        <v>107</v>
      </c>
      <c r="C40" s="23" t="s">
        <v>33</v>
      </c>
      <c r="D40" s="20" t="s">
        <v>34</v>
      </c>
      <c r="E40" s="22" t="s">
        <v>108</v>
      </c>
      <c r="F40" s="24" t="str">
        <f t="shared" si="0"/>
        <v>PPG - Leyland TRUGARD PLIOLITE - Pearl - 5ltr</v>
      </c>
      <c r="G40" s="23" t="s">
        <v>4932</v>
      </c>
      <c r="H40" s="25" t="s">
        <v>36</v>
      </c>
      <c r="I40" s="18" t="s">
        <v>37</v>
      </c>
      <c r="J40" s="18" t="s">
        <v>38</v>
      </c>
      <c r="K40" t="s">
        <v>39</v>
      </c>
      <c r="L40" s="26">
        <f>VLOOKUP(A40,'[3]Price info'!A:D,4,FALSE)</f>
        <v>18.010000000000002</v>
      </c>
      <c r="M40" s="18" t="s">
        <v>40</v>
      </c>
      <c r="N40" s="20">
        <v>3105</v>
      </c>
      <c r="P40" s="16">
        <f>VLOOKUP(A40,'[3]Price info'!A:H,8,FALSE)</f>
        <v>18.010000000000002</v>
      </c>
      <c r="Q40" s="33">
        <f t="shared" si="1"/>
        <v>1</v>
      </c>
      <c r="R40" s="18" t="s">
        <v>41</v>
      </c>
      <c r="S40" s="16" t="e">
        <f>VLOOKUP(A40,[4]Sales!$E:$G,3,FALSE)</f>
        <v>#N/A</v>
      </c>
      <c r="T40" s="19" t="e">
        <f>VLOOKUP(A40,[4]Volume!$E:$G,3,FALSE)</f>
        <v>#N/A</v>
      </c>
      <c r="U40" s="19" t="e">
        <f>VLOOKUP(A40,[4]Piece!$E:$G,3,FALSE)</f>
        <v>#N/A</v>
      </c>
      <c r="V40" s="21" t="e">
        <f t="shared" si="2"/>
        <v>#N/A</v>
      </c>
      <c r="W40" s="16" t="e">
        <f t="shared" si="3"/>
        <v>#N/A</v>
      </c>
    </row>
    <row r="41" spans="1:23" hidden="1" x14ac:dyDescent="0.3">
      <c r="A41" s="22" t="s">
        <v>109</v>
      </c>
      <c r="B41" s="22" t="s">
        <v>109</v>
      </c>
      <c r="C41" s="23" t="s">
        <v>33</v>
      </c>
      <c r="D41" s="20" t="s">
        <v>34</v>
      </c>
      <c r="E41" s="22" t="s">
        <v>110</v>
      </c>
      <c r="F41" s="24" t="str">
        <f t="shared" si="0"/>
        <v>PPG - Leyland TRUGARD PLIOLITE - Pale Beige - 5ltr</v>
      </c>
      <c r="G41" s="23" t="s">
        <v>4933</v>
      </c>
      <c r="H41" s="25" t="s">
        <v>36</v>
      </c>
      <c r="I41" s="18" t="s">
        <v>37</v>
      </c>
      <c r="J41" s="18" t="s">
        <v>38</v>
      </c>
      <c r="K41" t="s">
        <v>39</v>
      </c>
      <c r="L41" s="26">
        <f>VLOOKUP(A41,'[3]Price info'!A:D,4,FALSE)</f>
        <v>18.010000000000002</v>
      </c>
      <c r="M41" s="18" t="s">
        <v>40</v>
      </c>
      <c r="N41" s="20">
        <v>3105</v>
      </c>
      <c r="P41" s="16">
        <f>VLOOKUP(A41,'[3]Price info'!A:H,8,FALSE)</f>
        <v>18.010000000000002</v>
      </c>
      <c r="Q41" s="33">
        <f t="shared" si="1"/>
        <v>1</v>
      </c>
      <c r="R41" s="18" t="s">
        <v>41</v>
      </c>
      <c r="S41" s="16" t="e">
        <f>VLOOKUP(A41,[4]Sales!$E:$G,3,FALSE)</f>
        <v>#N/A</v>
      </c>
      <c r="T41" s="19" t="e">
        <f>VLOOKUP(A41,[4]Volume!$E:$G,3,FALSE)</f>
        <v>#N/A</v>
      </c>
      <c r="U41" s="19" t="e">
        <f>VLOOKUP(A41,[4]Piece!$E:$G,3,FALSE)</f>
        <v>#N/A</v>
      </c>
      <c r="V41" s="21" t="e">
        <f t="shared" si="2"/>
        <v>#N/A</v>
      </c>
      <c r="W41" s="16" t="e">
        <f t="shared" si="3"/>
        <v>#N/A</v>
      </c>
    </row>
    <row r="42" spans="1:23" hidden="1" x14ac:dyDescent="0.3">
      <c r="A42" s="22" t="s">
        <v>111</v>
      </c>
      <c r="B42" s="22" t="s">
        <v>111</v>
      </c>
      <c r="C42" s="23" t="s">
        <v>33</v>
      </c>
      <c r="D42" s="20" t="s">
        <v>34</v>
      </c>
      <c r="E42" s="22" t="s">
        <v>112</v>
      </c>
      <c r="F42" s="24" t="str">
        <f t="shared" si="0"/>
        <v>PPG - Leyland TRUGARD PLIOLITE - Peat - 5ltr</v>
      </c>
      <c r="G42" s="23" t="s">
        <v>4934</v>
      </c>
      <c r="H42" s="25" t="s">
        <v>36</v>
      </c>
      <c r="I42" s="18" t="s">
        <v>37</v>
      </c>
      <c r="J42" s="18" t="s">
        <v>38</v>
      </c>
      <c r="K42" t="s">
        <v>39</v>
      </c>
      <c r="L42" s="26">
        <f>VLOOKUP(A42,'[3]Price info'!A:D,4,FALSE)</f>
        <v>18.010000000000002</v>
      </c>
      <c r="M42" s="18" t="s">
        <v>40</v>
      </c>
      <c r="N42" s="20">
        <v>3105</v>
      </c>
      <c r="P42" s="16">
        <f>VLOOKUP(A42,'[3]Price info'!A:H,8,FALSE)</f>
        <v>18.010000000000002</v>
      </c>
      <c r="Q42" s="33">
        <f t="shared" si="1"/>
        <v>1</v>
      </c>
      <c r="R42" s="18" t="s">
        <v>41</v>
      </c>
      <c r="S42" s="16" t="e">
        <f>VLOOKUP(A42,[4]Sales!$E:$G,3,FALSE)</f>
        <v>#N/A</v>
      </c>
      <c r="T42" s="19" t="e">
        <f>VLOOKUP(A42,[4]Volume!$E:$G,3,FALSE)</f>
        <v>#N/A</v>
      </c>
      <c r="U42" s="19" t="e">
        <f>VLOOKUP(A42,[4]Piece!$E:$G,3,FALSE)</f>
        <v>#N/A</v>
      </c>
      <c r="V42" s="21" t="e">
        <f t="shared" si="2"/>
        <v>#N/A</v>
      </c>
      <c r="W42" s="16" t="e">
        <f t="shared" si="3"/>
        <v>#N/A</v>
      </c>
    </row>
    <row r="43" spans="1:23" hidden="1" x14ac:dyDescent="0.3">
      <c r="A43" s="34" t="s">
        <v>113</v>
      </c>
      <c r="B43" s="22" t="s">
        <v>113</v>
      </c>
      <c r="C43" s="23" t="s">
        <v>33</v>
      </c>
      <c r="D43" s="20" t="s">
        <v>34</v>
      </c>
      <c r="E43" s="22" t="s">
        <v>114</v>
      </c>
      <c r="F43" s="24" t="str">
        <f t="shared" si="0"/>
        <v>PPG - Stormshield SMOOTH MASONRY - C Cream - 5ltr</v>
      </c>
      <c r="G43" s="23" t="s">
        <v>4935</v>
      </c>
      <c r="H43" s="25" t="s">
        <v>36</v>
      </c>
      <c r="I43" s="18" t="s">
        <v>37</v>
      </c>
      <c r="J43" s="18" t="s">
        <v>38</v>
      </c>
      <c r="K43" t="s">
        <v>39</v>
      </c>
      <c r="L43" s="26">
        <f>VLOOKUP(A43,'[3]Price info'!A:D,4,FALSE)</f>
        <v>17.84</v>
      </c>
      <c r="M43" s="18" t="s">
        <v>40</v>
      </c>
      <c r="N43" s="20">
        <v>3105</v>
      </c>
      <c r="P43" s="16">
        <f>VLOOKUP(A43,'[3]Price info'!A:H,8,FALSE)</f>
        <v>17.84</v>
      </c>
      <c r="Q43" s="33">
        <f t="shared" si="1"/>
        <v>1</v>
      </c>
      <c r="R43" s="18" t="s">
        <v>41</v>
      </c>
      <c r="S43" s="16" t="e">
        <f>VLOOKUP(A43,[4]Sales!$E:$G,3,FALSE)</f>
        <v>#N/A</v>
      </c>
      <c r="T43" s="19" t="e">
        <f>VLOOKUP(A43,[4]Volume!$E:$G,3,FALSE)</f>
        <v>#N/A</v>
      </c>
      <c r="U43" s="19" t="e">
        <f>VLOOKUP(A43,[4]Piece!$E:$G,3,FALSE)</f>
        <v>#N/A</v>
      </c>
      <c r="V43" s="21" t="e">
        <f t="shared" si="2"/>
        <v>#N/A</v>
      </c>
      <c r="W43" s="16" t="e">
        <f t="shared" si="3"/>
        <v>#N/A</v>
      </c>
    </row>
    <row r="44" spans="1:23" hidden="1" x14ac:dyDescent="0.3">
      <c r="A44" s="34" t="s">
        <v>115</v>
      </c>
      <c r="B44" s="22" t="s">
        <v>115</v>
      </c>
      <c r="C44" s="23" t="s">
        <v>33</v>
      </c>
      <c r="D44" s="20" t="s">
        <v>34</v>
      </c>
      <c r="E44" s="22" t="s">
        <v>116</v>
      </c>
      <c r="F44" s="24" t="str">
        <f t="shared" si="0"/>
        <v>PPG - Stormshield SMOOTH MASONRY - Mushroom - 5ltr</v>
      </c>
      <c r="G44" s="23" t="s">
        <v>4936</v>
      </c>
      <c r="H44" s="25" t="s">
        <v>36</v>
      </c>
      <c r="I44" s="18" t="s">
        <v>37</v>
      </c>
      <c r="J44" s="18" t="s">
        <v>38</v>
      </c>
      <c r="K44" t="s">
        <v>39</v>
      </c>
      <c r="L44" s="26">
        <f>VLOOKUP(A44,'[3]Price info'!A:D,4,FALSE)</f>
        <v>17.84</v>
      </c>
      <c r="M44" s="18" t="s">
        <v>40</v>
      </c>
      <c r="N44" s="20">
        <v>3105</v>
      </c>
      <c r="P44" s="16">
        <f>VLOOKUP(A44,'[3]Price info'!A:H,8,FALSE)</f>
        <v>17.84</v>
      </c>
      <c r="Q44" s="33">
        <f t="shared" si="1"/>
        <v>1</v>
      </c>
      <c r="R44" s="18" t="s">
        <v>41</v>
      </c>
      <c r="S44" s="16" t="e">
        <f>VLOOKUP(A44,[4]Sales!$E:$G,3,FALSE)</f>
        <v>#N/A</v>
      </c>
      <c r="T44" s="19" t="e">
        <f>VLOOKUP(A44,[4]Volume!$E:$G,3,FALSE)</f>
        <v>#N/A</v>
      </c>
      <c r="U44" s="19" t="e">
        <f>VLOOKUP(A44,[4]Piece!$E:$G,3,FALSE)</f>
        <v>#N/A</v>
      </c>
      <c r="V44" s="21" t="e">
        <f t="shared" si="2"/>
        <v>#N/A</v>
      </c>
      <c r="W44" s="16" t="e">
        <f t="shared" si="3"/>
        <v>#N/A</v>
      </c>
    </row>
    <row r="45" spans="1:23" hidden="1" x14ac:dyDescent="0.3">
      <c r="A45" s="34" t="s">
        <v>117</v>
      </c>
      <c r="B45" s="22" t="s">
        <v>117</v>
      </c>
      <c r="C45" s="23" t="s">
        <v>33</v>
      </c>
      <c r="D45" s="20" t="s">
        <v>34</v>
      </c>
      <c r="E45" s="22" t="s">
        <v>118</v>
      </c>
      <c r="F45" s="24" t="str">
        <f t="shared" si="0"/>
        <v>PPG - Stormshield SMOOTH MASONRY - Antique - 5ltr</v>
      </c>
      <c r="G45" s="23" t="s">
        <v>4937</v>
      </c>
      <c r="H45" s="25" t="s">
        <v>36</v>
      </c>
      <c r="I45" s="18" t="s">
        <v>37</v>
      </c>
      <c r="J45" s="18" t="s">
        <v>38</v>
      </c>
      <c r="K45" t="s">
        <v>39</v>
      </c>
      <c r="L45" s="26">
        <f>VLOOKUP(A45,'[3]Price info'!A:D,4,FALSE)</f>
        <v>17.84</v>
      </c>
      <c r="M45" s="18" t="s">
        <v>40</v>
      </c>
      <c r="N45" s="20">
        <v>3105</v>
      </c>
      <c r="P45" s="16">
        <f>VLOOKUP(A45,'[3]Price info'!A:H,8,FALSE)</f>
        <v>17.84</v>
      </c>
      <c r="Q45" s="33">
        <f t="shared" si="1"/>
        <v>1</v>
      </c>
      <c r="R45" s="18" t="s">
        <v>41</v>
      </c>
      <c r="S45" s="16" t="e">
        <f>VLOOKUP(A45,[4]Sales!$E:$G,3,FALSE)</f>
        <v>#N/A</v>
      </c>
      <c r="T45" s="19" t="e">
        <f>VLOOKUP(A45,[4]Volume!$E:$G,3,FALSE)</f>
        <v>#N/A</v>
      </c>
      <c r="U45" s="19" t="e">
        <f>VLOOKUP(A45,[4]Piece!$E:$G,3,FALSE)</f>
        <v>#N/A</v>
      </c>
      <c r="V45" s="21" t="e">
        <f t="shared" si="2"/>
        <v>#N/A</v>
      </c>
      <c r="W45" s="16" t="e">
        <f t="shared" si="3"/>
        <v>#N/A</v>
      </c>
    </row>
    <row r="46" spans="1:23" hidden="1" x14ac:dyDescent="0.3">
      <c r="A46" s="34" t="s">
        <v>119</v>
      </c>
      <c r="B46" s="22" t="s">
        <v>119</v>
      </c>
      <c r="C46" s="23" t="s">
        <v>33</v>
      </c>
      <c r="D46" s="20" t="s">
        <v>34</v>
      </c>
      <c r="E46" s="22" t="s">
        <v>120</v>
      </c>
      <c r="F46" s="24" t="str">
        <f t="shared" si="0"/>
        <v>PPG - Stormshield SMOOTH MASONRY - Brick - 5ltr</v>
      </c>
      <c r="G46" s="23" t="s">
        <v>4938</v>
      </c>
      <c r="H46" s="25" t="s">
        <v>36</v>
      </c>
      <c r="I46" s="18" t="s">
        <v>37</v>
      </c>
      <c r="J46" s="18" t="s">
        <v>38</v>
      </c>
      <c r="K46" t="s">
        <v>39</v>
      </c>
      <c r="L46" s="26">
        <f>VLOOKUP(A46,'[3]Price info'!A:D,4,FALSE)</f>
        <v>17.84</v>
      </c>
      <c r="M46" s="18" t="s">
        <v>40</v>
      </c>
      <c r="N46" s="20">
        <v>3105</v>
      </c>
      <c r="P46" s="16">
        <f>VLOOKUP(A46,'[3]Price info'!A:H,8,FALSE)</f>
        <v>17.84</v>
      </c>
      <c r="Q46" s="33">
        <f t="shared" si="1"/>
        <v>1</v>
      </c>
      <c r="R46" s="18" t="s">
        <v>41</v>
      </c>
      <c r="S46" s="16" t="e">
        <f>VLOOKUP(A46,[4]Sales!$E:$G,3,FALSE)</f>
        <v>#N/A</v>
      </c>
      <c r="T46" s="19" t="e">
        <f>VLOOKUP(A46,[4]Volume!$E:$G,3,FALSE)</f>
        <v>#N/A</v>
      </c>
      <c r="U46" s="19" t="e">
        <f>VLOOKUP(A46,[4]Piece!$E:$G,3,FALSE)</f>
        <v>#N/A</v>
      </c>
      <c r="V46" s="21" t="e">
        <f t="shared" si="2"/>
        <v>#N/A</v>
      </c>
      <c r="W46" s="16" t="e">
        <f t="shared" si="3"/>
        <v>#N/A</v>
      </c>
    </row>
    <row r="47" spans="1:23" hidden="1" x14ac:dyDescent="0.3">
      <c r="A47" s="22" t="s">
        <v>121</v>
      </c>
      <c r="B47" s="22" t="s">
        <v>121</v>
      </c>
      <c r="C47" s="23" t="s">
        <v>33</v>
      </c>
      <c r="D47" s="20" t="s">
        <v>34</v>
      </c>
      <c r="E47" s="22" t="s">
        <v>122</v>
      </c>
      <c r="F47" s="24" t="str">
        <f t="shared" si="0"/>
        <v>PPG - Johnstones PRO GLOSS - Trafic Yellow - 5ltr</v>
      </c>
      <c r="G47" s="23" t="s">
        <v>4939</v>
      </c>
      <c r="H47" s="25" t="s">
        <v>36</v>
      </c>
      <c r="I47" s="18" t="s">
        <v>37</v>
      </c>
      <c r="J47" s="18" t="s">
        <v>38</v>
      </c>
      <c r="K47" t="s">
        <v>39</v>
      </c>
      <c r="L47" s="26">
        <f>VLOOKUP(A47,'[3]Price info'!A:D,4,FALSE)</f>
        <v>18.82</v>
      </c>
      <c r="M47" s="18" t="s">
        <v>40</v>
      </c>
      <c r="N47" s="20">
        <v>3105</v>
      </c>
      <c r="P47" s="16">
        <f>VLOOKUP(A47,'[3]Price info'!A:H,8,FALSE)</f>
        <v>24.7</v>
      </c>
      <c r="Q47" s="33">
        <f t="shared" si="1"/>
        <v>1.3124335812964931</v>
      </c>
      <c r="R47" s="18" t="s">
        <v>41</v>
      </c>
      <c r="S47" s="16" t="e">
        <f>VLOOKUP(A47,[4]Sales!$E:$G,3,FALSE)</f>
        <v>#N/A</v>
      </c>
      <c r="T47" s="19" t="e">
        <f>VLOOKUP(A47,[4]Volume!$E:$G,3,FALSE)</f>
        <v>#N/A</v>
      </c>
      <c r="U47" s="19" t="e">
        <f>VLOOKUP(A47,[4]Piece!$E:$G,3,FALSE)</f>
        <v>#N/A</v>
      </c>
      <c r="V47" s="21" t="e">
        <f t="shared" si="2"/>
        <v>#N/A</v>
      </c>
      <c r="W47" s="16" t="e">
        <f t="shared" si="3"/>
        <v>#N/A</v>
      </c>
    </row>
    <row r="48" spans="1:23" hidden="1" x14ac:dyDescent="0.3">
      <c r="A48" s="22" t="s">
        <v>123</v>
      </c>
      <c r="B48" s="22" t="s">
        <v>123</v>
      </c>
      <c r="C48" s="23" t="s">
        <v>33</v>
      </c>
      <c r="D48" s="20" t="s">
        <v>34</v>
      </c>
      <c r="E48" s="22" t="s">
        <v>124</v>
      </c>
      <c r="F48" s="24" t="str">
        <f t="shared" si="0"/>
        <v>PPG - Johnstones PRO GLOSS - Saffron Yellow - 5ltr</v>
      </c>
      <c r="G48" s="23" t="s">
        <v>4940</v>
      </c>
      <c r="H48" s="25" t="s">
        <v>36</v>
      </c>
      <c r="I48" s="18" t="s">
        <v>37</v>
      </c>
      <c r="J48" s="18" t="s">
        <v>38</v>
      </c>
      <c r="K48" t="s">
        <v>39</v>
      </c>
      <c r="L48" s="26">
        <f>VLOOKUP(A48,'[3]Price info'!A:D,4,FALSE)</f>
        <v>18.82</v>
      </c>
      <c r="M48" s="18" t="s">
        <v>40</v>
      </c>
      <c r="N48" s="20">
        <v>3105</v>
      </c>
      <c r="P48" s="16">
        <f>VLOOKUP(A48,'[3]Price info'!A:H,8,FALSE)</f>
        <v>24.7</v>
      </c>
      <c r="Q48" s="33">
        <f t="shared" si="1"/>
        <v>1.3124335812964931</v>
      </c>
      <c r="R48" s="18" t="s">
        <v>41</v>
      </c>
      <c r="S48" s="16" t="e">
        <f>VLOOKUP(A48,[4]Sales!$E:$G,3,FALSE)</f>
        <v>#N/A</v>
      </c>
      <c r="T48" s="19" t="e">
        <f>VLOOKUP(A48,[4]Volume!$E:$G,3,FALSE)</f>
        <v>#N/A</v>
      </c>
      <c r="U48" s="19" t="e">
        <f>VLOOKUP(A48,[4]Piece!$E:$G,3,FALSE)</f>
        <v>#N/A</v>
      </c>
      <c r="V48" s="21" t="e">
        <f t="shared" si="2"/>
        <v>#N/A</v>
      </c>
      <c r="W48" s="16" t="e">
        <f t="shared" si="3"/>
        <v>#N/A</v>
      </c>
    </row>
    <row r="49" spans="1:23" hidden="1" x14ac:dyDescent="0.3">
      <c r="A49" s="22" t="s">
        <v>125</v>
      </c>
      <c r="B49" s="22" t="s">
        <v>125</v>
      </c>
      <c r="C49" s="23" t="s">
        <v>33</v>
      </c>
      <c r="D49" s="20" t="s">
        <v>34</v>
      </c>
      <c r="E49" s="22" t="s">
        <v>126</v>
      </c>
      <c r="F49" s="24" t="str">
        <f t="shared" si="0"/>
        <v>PPG - Johnstones PRO GLOSS - Fiesta Red - 5ltr</v>
      </c>
      <c r="G49" s="23" t="s">
        <v>4941</v>
      </c>
      <c r="H49" s="25" t="s">
        <v>36</v>
      </c>
      <c r="I49" s="18" t="s">
        <v>37</v>
      </c>
      <c r="J49" s="18" t="s">
        <v>38</v>
      </c>
      <c r="K49" t="s">
        <v>39</v>
      </c>
      <c r="L49" s="26">
        <f>VLOOKUP(A49,'[3]Price info'!A:D,4,FALSE)</f>
        <v>18.82</v>
      </c>
      <c r="M49" s="18" t="s">
        <v>40</v>
      </c>
      <c r="N49" s="20">
        <v>3105</v>
      </c>
      <c r="P49" s="16">
        <f>VLOOKUP(A49,'[3]Price info'!A:H,8,FALSE)</f>
        <v>24.7</v>
      </c>
      <c r="Q49" s="33">
        <f t="shared" si="1"/>
        <v>1.3124335812964931</v>
      </c>
      <c r="R49" s="18" t="s">
        <v>41</v>
      </c>
      <c r="S49" s="16" t="e">
        <f>VLOOKUP(A49,[4]Sales!$E:$G,3,FALSE)</f>
        <v>#N/A</v>
      </c>
      <c r="T49" s="19" t="e">
        <f>VLOOKUP(A49,[4]Volume!$E:$G,3,FALSE)</f>
        <v>#N/A</v>
      </c>
      <c r="U49" s="19" t="e">
        <f>VLOOKUP(A49,[4]Piece!$E:$G,3,FALSE)</f>
        <v>#N/A</v>
      </c>
      <c r="V49" s="21" t="e">
        <f t="shared" si="2"/>
        <v>#N/A</v>
      </c>
      <c r="W49" s="16" t="e">
        <f t="shared" si="3"/>
        <v>#N/A</v>
      </c>
    </row>
    <row r="50" spans="1:23" hidden="1" x14ac:dyDescent="0.3">
      <c r="A50" s="22" t="s">
        <v>127</v>
      </c>
      <c r="B50" s="22" t="s">
        <v>127</v>
      </c>
      <c r="C50" s="23" t="s">
        <v>33</v>
      </c>
      <c r="D50" s="20" t="s">
        <v>34</v>
      </c>
      <c r="E50" s="22" t="s">
        <v>128</v>
      </c>
      <c r="F50" s="24" t="str">
        <f t="shared" si="0"/>
        <v>PPG - Johnstones PRO GLOSS - Post Off Red - 5ltr</v>
      </c>
      <c r="G50" s="23" t="s">
        <v>4942</v>
      </c>
      <c r="H50" s="25" t="s">
        <v>36</v>
      </c>
      <c r="I50" s="18" t="s">
        <v>37</v>
      </c>
      <c r="J50" s="18" t="s">
        <v>38</v>
      </c>
      <c r="K50" t="s">
        <v>39</v>
      </c>
      <c r="L50" s="26">
        <f>VLOOKUP(A50,'[3]Price info'!A:D,4,FALSE)</f>
        <v>12.72</v>
      </c>
      <c r="M50" s="18" t="s">
        <v>40</v>
      </c>
      <c r="N50" s="20">
        <v>3105</v>
      </c>
      <c r="P50" s="16">
        <f>VLOOKUP(A50,'[3]Price info'!A:H,8,FALSE)</f>
        <v>14.82</v>
      </c>
      <c r="Q50" s="33">
        <f t="shared" si="1"/>
        <v>1.1650943396226414</v>
      </c>
      <c r="R50" s="18" t="s">
        <v>41</v>
      </c>
      <c r="S50" s="16" t="e">
        <f>VLOOKUP(A50,[4]Sales!$E:$G,3,FALSE)</f>
        <v>#N/A</v>
      </c>
      <c r="T50" s="19" t="e">
        <f>VLOOKUP(A50,[4]Volume!$E:$G,3,FALSE)</f>
        <v>#N/A</v>
      </c>
      <c r="U50" s="19" t="e">
        <f>VLOOKUP(A50,[4]Piece!$E:$G,3,FALSE)</f>
        <v>#N/A</v>
      </c>
      <c r="V50" s="21" t="e">
        <f t="shared" si="2"/>
        <v>#N/A</v>
      </c>
      <c r="W50" s="16" t="e">
        <f t="shared" si="3"/>
        <v>#N/A</v>
      </c>
    </row>
    <row r="51" spans="1:23" hidden="1" x14ac:dyDescent="0.3">
      <c r="A51" s="22" t="s">
        <v>129</v>
      </c>
      <c r="B51" s="22" t="s">
        <v>129</v>
      </c>
      <c r="C51" s="23" t="s">
        <v>33</v>
      </c>
      <c r="D51" s="20" t="s">
        <v>34</v>
      </c>
      <c r="E51" s="22" t="s">
        <v>130</v>
      </c>
      <c r="F51" s="24" t="str">
        <f t="shared" si="0"/>
        <v>PPG - Johnstones ANTI MOULD ACRYLIC - MAG - 5LTR</v>
      </c>
      <c r="G51" s="28" t="s">
        <v>4943</v>
      </c>
      <c r="H51" s="29" t="s">
        <v>36</v>
      </c>
      <c r="I51" s="30" t="s">
        <v>37</v>
      </c>
      <c r="J51" s="30" t="s">
        <v>38</v>
      </c>
      <c r="K51" s="31" t="s">
        <v>39</v>
      </c>
      <c r="L51" s="26">
        <f>VLOOKUP(A51,'[3]Price info'!A:D,4,FALSE)</f>
        <v>51.63</v>
      </c>
      <c r="M51" s="30" t="s">
        <v>40</v>
      </c>
      <c r="N51" s="32">
        <v>3105</v>
      </c>
      <c r="P51" s="16">
        <f>VLOOKUP(A51,'[3]Price info'!A:H,8,FALSE)</f>
        <v>51.63</v>
      </c>
      <c r="Q51" s="35">
        <f t="shared" si="1"/>
        <v>1</v>
      </c>
      <c r="R51" s="30" t="s">
        <v>41</v>
      </c>
      <c r="S51" s="16" t="e">
        <f>VLOOKUP(A51,[4]Sales!$E:$G,3,FALSE)</f>
        <v>#N/A</v>
      </c>
      <c r="T51" s="19" t="e">
        <f>VLOOKUP(A51,[4]Volume!$E:$G,3,FALSE)</f>
        <v>#N/A</v>
      </c>
      <c r="U51" s="19" t="e">
        <f>VLOOKUP(A51,[4]Piece!$E:$G,3,FALSE)</f>
        <v>#N/A</v>
      </c>
      <c r="V51" s="21" t="e">
        <f t="shared" si="2"/>
        <v>#N/A</v>
      </c>
      <c r="W51" s="16" t="e">
        <f t="shared" si="3"/>
        <v>#N/A</v>
      </c>
    </row>
    <row r="52" spans="1:23" hidden="1" x14ac:dyDescent="0.3">
      <c r="A52" s="22" t="s">
        <v>131</v>
      </c>
      <c r="B52" s="22" t="s">
        <v>131</v>
      </c>
      <c r="C52" s="23" t="s">
        <v>33</v>
      </c>
      <c r="D52" s="20" t="s">
        <v>34</v>
      </c>
      <c r="E52" s="22" t="s">
        <v>132</v>
      </c>
      <c r="F52" s="24" t="str">
        <f t="shared" si="0"/>
        <v>PPG - Johnstones 2PK WB FLOOR - Green - 5l</v>
      </c>
      <c r="G52" s="28" t="s">
        <v>4944</v>
      </c>
      <c r="H52" s="29" t="s">
        <v>36</v>
      </c>
      <c r="I52" s="30" t="s">
        <v>37</v>
      </c>
      <c r="J52" s="30" t="s">
        <v>38</v>
      </c>
      <c r="K52" s="31" t="s">
        <v>39</v>
      </c>
      <c r="L52" s="26">
        <f>VLOOKUP(A52,'[3]Price info'!A:D,4,FALSE)</f>
        <v>130.01</v>
      </c>
      <c r="M52" s="30" t="s">
        <v>40</v>
      </c>
      <c r="N52" s="32">
        <v>3105</v>
      </c>
      <c r="P52" s="16">
        <f>VLOOKUP(A52,'[3]Price info'!A:H,8,FALSE)</f>
        <v>76.59</v>
      </c>
      <c r="Q52" s="35">
        <f t="shared" si="1"/>
        <v>0.5891085301130683</v>
      </c>
      <c r="R52" s="30" t="s">
        <v>41</v>
      </c>
      <c r="S52" s="16" t="e">
        <f>VLOOKUP(A52,[4]Sales!$E:$G,3,FALSE)</f>
        <v>#N/A</v>
      </c>
      <c r="T52" s="19" t="e">
        <f>VLOOKUP(A52,[4]Volume!$E:$G,3,FALSE)</f>
        <v>#N/A</v>
      </c>
      <c r="U52" s="19" t="e">
        <f>VLOOKUP(A52,[4]Piece!$E:$G,3,FALSE)</f>
        <v>#N/A</v>
      </c>
      <c r="V52" s="21" t="e">
        <f t="shared" si="2"/>
        <v>#N/A</v>
      </c>
      <c r="W52" s="16" t="e">
        <f t="shared" si="3"/>
        <v>#N/A</v>
      </c>
    </row>
    <row r="53" spans="1:23" hidden="1" x14ac:dyDescent="0.3">
      <c r="A53" s="22" t="s">
        <v>133</v>
      </c>
      <c r="B53" s="22" t="s">
        <v>133</v>
      </c>
      <c r="C53" s="23" t="s">
        <v>33</v>
      </c>
      <c r="D53" s="20" t="s">
        <v>34</v>
      </c>
      <c r="E53" s="22" t="e">
        <v>#N/A</v>
      </c>
      <c r="F53" s="24" t="e">
        <f t="shared" si="0"/>
        <v>#N/A</v>
      </c>
      <c r="G53" s="28" t="e">
        <v>#N/A</v>
      </c>
      <c r="H53" s="29" t="s">
        <v>36</v>
      </c>
      <c r="I53" s="30" t="s">
        <v>37</v>
      </c>
      <c r="J53" s="30" t="s">
        <v>38</v>
      </c>
      <c r="K53" s="31" t="s">
        <v>39</v>
      </c>
      <c r="L53" s="26">
        <f>VLOOKUP(A53,'[3]Price info'!A:D,4,FALSE)</f>
        <v>81.849999999999994</v>
      </c>
      <c r="M53" s="30" t="s">
        <v>40</v>
      </c>
      <c r="N53" s="32">
        <v>3105</v>
      </c>
      <c r="P53" s="16">
        <f>VLOOKUP(A53,'[3]Price info'!A:H,8,FALSE)</f>
        <v>81.849999999999994</v>
      </c>
      <c r="Q53" s="35">
        <f t="shared" si="1"/>
        <v>1</v>
      </c>
      <c r="R53" s="30" t="s">
        <v>41</v>
      </c>
      <c r="S53" s="16" t="e">
        <f>VLOOKUP(A53,[4]Sales!$E:$G,3,FALSE)</f>
        <v>#N/A</v>
      </c>
      <c r="T53" s="19" t="e">
        <f>VLOOKUP(A53,[4]Volume!$E:$G,3,FALSE)</f>
        <v>#N/A</v>
      </c>
      <c r="U53" s="19" t="e">
        <f>VLOOKUP(A53,[4]Piece!$E:$G,3,FALSE)</f>
        <v>#N/A</v>
      </c>
      <c r="V53" s="21" t="e">
        <f t="shared" si="2"/>
        <v>#N/A</v>
      </c>
      <c r="W53" s="16" t="e">
        <f t="shared" si="3"/>
        <v>#N/A</v>
      </c>
    </row>
    <row r="54" spans="1:23" hidden="1" x14ac:dyDescent="0.3">
      <c r="A54" s="22" t="s">
        <v>134</v>
      </c>
      <c r="B54" s="22" t="s">
        <v>134</v>
      </c>
      <c r="C54" s="23" t="s">
        <v>33</v>
      </c>
      <c r="D54" s="20" t="s">
        <v>34</v>
      </c>
      <c r="E54" s="22" t="e">
        <v>#N/A</v>
      </c>
      <c r="F54" s="24" t="e">
        <f t="shared" si="0"/>
        <v>#N/A</v>
      </c>
      <c r="G54" s="28" t="e">
        <v>#N/A</v>
      </c>
      <c r="H54" s="29" t="s">
        <v>36</v>
      </c>
      <c r="I54" s="30" t="s">
        <v>37</v>
      </c>
      <c r="J54" s="30" t="s">
        <v>38</v>
      </c>
      <c r="K54" s="31" t="s">
        <v>39</v>
      </c>
      <c r="L54" s="26">
        <f>VLOOKUP(A54,'[3]Price info'!A:D,4,FALSE)</f>
        <v>27.19</v>
      </c>
      <c r="M54" s="30" t="s">
        <v>40</v>
      </c>
      <c r="N54" s="32">
        <v>3105</v>
      </c>
      <c r="P54" s="16">
        <f>VLOOKUP(A54,'[3]Price info'!A:H,8,FALSE)</f>
        <v>27.19</v>
      </c>
      <c r="Q54" s="35">
        <f t="shared" si="1"/>
        <v>1</v>
      </c>
      <c r="R54" s="30" t="s">
        <v>41</v>
      </c>
      <c r="S54" s="16" t="e">
        <f>VLOOKUP(A54,[4]Sales!$E:$G,3,FALSE)</f>
        <v>#N/A</v>
      </c>
      <c r="T54" s="19" t="e">
        <f>VLOOKUP(A54,[4]Volume!$E:$G,3,FALSE)</f>
        <v>#N/A</v>
      </c>
      <c r="U54" s="19" t="e">
        <f>VLOOKUP(A54,[4]Piece!$E:$G,3,FALSE)</f>
        <v>#N/A</v>
      </c>
      <c r="V54" s="21" t="e">
        <f t="shared" si="2"/>
        <v>#N/A</v>
      </c>
      <c r="W54" s="16" t="e">
        <f t="shared" si="3"/>
        <v>#N/A</v>
      </c>
    </row>
    <row r="55" spans="1:23" hidden="1" x14ac:dyDescent="0.3">
      <c r="A55" s="22" t="s">
        <v>135</v>
      </c>
      <c r="B55" s="22" t="s">
        <v>135</v>
      </c>
      <c r="C55" s="23" t="s">
        <v>33</v>
      </c>
      <c r="D55" s="20" t="s">
        <v>34</v>
      </c>
      <c r="E55" s="22" t="s">
        <v>136</v>
      </c>
      <c r="F55" s="24" t="str">
        <f t="shared" si="0"/>
        <v>PPG - Johnstones  UNIVERSAL PRIMER - White - 5ltr</v>
      </c>
      <c r="G55" s="23" t="s">
        <v>4945</v>
      </c>
      <c r="H55" s="25" t="s">
        <v>36</v>
      </c>
      <c r="I55" s="18" t="s">
        <v>37</v>
      </c>
      <c r="J55" s="18" t="s">
        <v>38</v>
      </c>
      <c r="K55" t="s">
        <v>39</v>
      </c>
      <c r="L55" s="26">
        <f>VLOOKUP(A55,'[3]Price info'!A:D,4,FALSE)</f>
        <v>28.74</v>
      </c>
      <c r="M55" s="18" t="s">
        <v>40</v>
      </c>
      <c r="N55" s="20">
        <v>3105</v>
      </c>
      <c r="P55" s="16">
        <f>VLOOKUP(A55,'[3]Price info'!A:H,8,FALSE)</f>
        <v>28.74</v>
      </c>
      <c r="Q55" s="33">
        <f t="shared" si="1"/>
        <v>1</v>
      </c>
      <c r="R55" s="18" t="s">
        <v>41</v>
      </c>
      <c r="S55" s="16" t="e">
        <f>VLOOKUP(A55,[4]Sales!$E:$G,3,FALSE)</f>
        <v>#N/A</v>
      </c>
      <c r="T55" s="19" t="e">
        <f>VLOOKUP(A55,[4]Volume!$E:$G,3,FALSE)</f>
        <v>#N/A</v>
      </c>
      <c r="U55" s="19" t="e">
        <f>VLOOKUP(A55,[4]Piece!$E:$G,3,FALSE)</f>
        <v>#N/A</v>
      </c>
      <c r="V55" s="21" t="e">
        <f t="shared" si="2"/>
        <v>#N/A</v>
      </c>
      <c r="W55" s="16" t="e">
        <f t="shared" si="3"/>
        <v>#N/A</v>
      </c>
    </row>
    <row r="56" spans="1:23" hidden="1" x14ac:dyDescent="0.3">
      <c r="A56" s="22" t="s">
        <v>137</v>
      </c>
      <c r="B56" s="22" t="s">
        <v>137</v>
      </c>
      <c r="C56" s="23" t="s">
        <v>33</v>
      </c>
      <c r="D56" s="20" t="s">
        <v>34</v>
      </c>
      <c r="E56" s="22" t="e">
        <v>#N/A</v>
      </c>
      <c r="F56" s="24" t="e">
        <f t="shared" si="0"/>
        <v>#N/A</v>
      </c>
      <c r="G56" s="28" t="e">
        <v>#N/A</v>
      </c>
      <c r="H56" s="29" t="s">
        <v>36</v>
      </c>
      <c r="I56" s="30" t="s">
        <v>37</v>
      </c>
      <c r="J56" s="30" t="s">
        <v>38</v>
      </c>
      <c r="K56" s="31" t="s">
        <v>39</v>
      </c>
      <c r="L56" s="26">
        <f>VLOOKUP(A56,'[3]Price info'!A:D,4,FALSE)</f>
        <v>45.72</v>
      </c>
      <c r="M56" s="30" t="s">
        <v>40</v>
      </c>
      <c r="N56" s="32">
        <v>3105</v>
      </c>
      <c r="P56" s="16">
        <f>VLOOKUP(A56,'[3]Price info'!A:H,8,FALSE)</f>
        <v>45.72</v>
      </c>
      <c r="Q56" s="35">
        <f t="shared" si="1"/>
        <v>1</v>
      </c>
      <c r="R56" s="30" t="s">
        <v>41</v>
      </c>
      <c r="S56" s="16" t="e">
        <f>VLOOKUP(A56,[4]Sales!$E:$G,3,FALSE)</f>
        <v>#N/A</v>
      </c>
      <c r="T56" s="19" t="e">
        <f>VLOOKUP(A56,[4]Volume!$E:$G,3,FALSE)</f>
        <v>#N/A</v>
      </c>
      <c r="U56" s="19" t="e">
        <f>VLOOKUP(A56,[4]Piece!$E:$G,3,FALSE)</f>
        <v>#N/A</v>
      </c>
      <c r="V56" s="21" t="e">
        <f t="shared" si="2"/>
        <v>#N/A</v>
      </c>
      <c r="W56" s="16" t="e">
        <f t="shared" si="3"/>
        <v>#N/A</v>
      </c>
    </row>
    <row r="57" spans="1:23" hidden="1" x14ac:dyDescent="0.3">
      <c r="A57" s="36" t="s">
        <v>138</v>
      </c>
      <c r="B57" s="36" t="s">
        <v>138</v>
      </c>
      <c r="C57" s="23" t="s">
        <v>33</v>
      </c>
      <c r="D57" s="20" t="s">
        <v>34</v>
      </c>
      <c r="E57" s="22" t="e">
        <v>#N/A</v>
      </c>
      <c r="F57" s="24" t="e">
        <f t="shared" si="0"/>
        <v>#N/A</v>
      </c>
      <c r="G57" s="31" t="e">
        <v>#N/A</v>
      </c>
      <c r="H57" s="29" t="s">
        <v>36</v>
      </c>
      <c r="I57" s="30" t="s">
        <v>37</v>
      </c>
      <c r="J57" s="30" t="s">
        <v>38</v>
      </c>
      <c r="K57" s="31" t="s">
        <v>39</v>
      </c>
      <c r="L57" s="26">
        <f>VLOOKUP(A57,'[3]Price info'!A:D,4,FALSE)</f>
        <v>51.03</v>
      </c>
      <c r="M57" s="30" t="s">
        <v>40</v>
      </c>
      <c r="N57" s="32">
        <v>3105</v>
      </c>
      <c r="P57" s="16">
        <f>VLOOKUP(A57,'[3]Price info'!A:H,8,FALSE)</f>
        <v>51.03</v>
      </c>
      <c r="Q57" s="35">
        <f t="shared" si="1"/>
        <v>1</v>
      </c>
      <c r="R57" s="30" t="s">
        <v>41</v>
      </c>
      <c r="S57" s="16" t="e">
        <f>VLOOKUP(A57,[4]Sales!$E:$G,3,FALSE)</f>
        <v>#N/A</v>
      </c>
      <c r="T57" s="19" t="e">
        <f>VLOOKUP(A57,[4]Volume!$E:$G,3,FALSE)</f>
        <v>#N/A</v>
      </c>
      <c r="U57" s="19" t="e">
        <f>VLOOKUP(A57,[4]Piece!$E:$G,3,FALSE)</f>
        <v>#N/A</v>
      </c>
      <c r="V57" s="21" t="e">
        <f t="shared" si="2"/>
        <v>#N/A</v>
      </c>
      <c r="W57" s="16" t="e">
        <f t="shared" si="3"/>
        <v>#N/A</v>
      </c>
    </row>
    <row r="58" spans="1:23" hidden="1" x14ac:dyDescent="0.3">
      <c r="A58" s="36" t="s">
        <v>139</v>
      </c>
      <c r="B58" s="36" t="s">
        <v>139</v>
      </c>
      <c r="C58" s="23" t="s">
        <v>33</v>
      </c>
      <c r="D58" s="20" t="s">
        <v>34</v>
      </c>
      <c r="E58" s="22"/>
      <c r="F58" s="24" t="str">
        <f t="shared" si="0"/>
        <v xml:space="preserve">PPG - </v>
      </c>
      <c r="G58" s="31" t="s">
        <v>4946</v>
      </c>
      <c r="H58" s="29" t="s">
        <v>36</v>
      </c>
      <c r="I58" s="30" t="s">
        <v>37</v>
      </c>
      <c r="J58" s="30" t="s">
        <v>38</v>
      </c>
      <c r="K58" s="31" t="s">
        <v>39</v>
      </c>
      <c r="L58" s="26">
        <f>VLOOKUP(A58,'[3]Price info'!A:D,4,FALSE)</f>
        <v>39.799999999999997</v>
      </c>
      <c r="M58" s="30" t="s">
        <v>40</v>
      </c>
      <c r="N58" s="32">
        <v>3105</v>
      </c>
      <c r="P58" s="16">
        <f>VLOOKUP(A58,'[3]Price info'!A:H,8,FALSE)</f>
        <v>39.799999999999997</v>
      </c>
      <c r="Q58" s="35">
        <f t="shared" si="1"/>
        <v>1</v>
      </c>
      <c r="R58" s="30" t="s">
        <v>41</v>
      </c>
      <c r="S58" s="16" t="e">
        <f>VLOOKUP(A58,[4]Sales!$E:$G,3,FALSE)</f>
        <v>#N/A</v>
      </c>
      <c r="T58" s="19" t="e">
        <f>VLOOKUP(A58,[4]Volume!$E:$G,3,FALSE)</f>
        <v>#N/A</v>
      </c>
      <c r="U58" s="19" t="e">
        <f>VLOOKUP(A58,[4]Piece!$E:$G,3,FALSE)</f>
        <v>#N/A</v>
      </c>
      <c r="V58" s="21" t="e">
        <f t="shared" si="2"/>
        <v>#N/A</v>
      </c>
      <c r="W58" s="16" t="e">
        <f t="shared" si="3"/>
        <v>#N/A</v>
      </c>
    </row>
    <row r="59" spans="1:23" hidden="1" x14ac:dyDescent="0.3">
      <c r="A59" s="22" t="s">
        <v>140</v>
      </c>
      <c r="B59" s="22" t="s">
        <v>140</v>
      </c>
      <c r="C59" s="23" t="s">
        <v>33</v>
      </c>
      <c r="D59" s="20" t="s">
        <v>34</v>
      </c>
      <c r="E59" s="22" t="s">
        <v>141</v>
      </c>
      <c r="F59" s="24" t="str">
        <f t="shared" si="0"/>
        <v>PPG - FatHog FOAM ROLLER 7"</v>
      </c>
      <c r="G59" s="23" t="s">
        <v>4947</v>
      </c>
      <c r="H59" s="25" t="s">
        <v>36</v>
      </c>
      <c r="I59" s="18" t="s">
        <v>37</v>
      </c>
      <c r="J59" s="18" t="s">
        <v>38</v>
      </c>
      <c r="K59" t="s">
        <v>39</v>
      </c>
      <c r="L59" s="26">
        <f>VLOOKUP(A59,'[3]Price info'!A:D,4,FALSE)</f>
        <v>2.29</v>
      </c>
      <c r="M59" s="18" t="s">
        <v>40</v>
      </c>
      <c r="N59" s="20">
        <v>3105</v>
      </c>
      <c r="P59" s="16">
        <f>VLOOKUP(A59,'[3]Price info'!A:H,8,FALSE)</f>
        <v>2.29</v>
      </c>
      <c r="Q59" s="33">
        <f t="shared" si="1"/>
        <v>1</v>
      </c>
      <c r="R59" s="18" t="s">
        <v>41</v>
      </c>
      <c r="S59" s="16" t="e">
        <f>VLOOKUP(A59,[4]Sales!$E:$G,3,FALSE)</f>
        <v>#N/A</v>
      </c>
      <c r="T59" s="19" t="e">
        <f>VLOOKUP(A59,[4]Volume!$E:$G,3,FALSE)</f>
        <v>#N/A</v>
      </c>
      <c r="U59" s="19" t="e">
        <f>VLOOKUP(A59,[4]Piece!$E:$G,3,FALSE)</f>
        <v>#N/A</v>
      </c>
      <c r="V59" s="21" t="e">
        <f t="shared" si="2"/>
        <v>#N/A</v>
      </c>
      <c r="W59" s="16" t="e">
        <f t="shared" si="3"/>
        <v>#N/A</v>
      </c>
    </row>
    <row r="60" spans="1:23" hidden="1" x14ac:dyDescent="0.3">
      <c r="A60" s="37" t="s">
        <v>142</v>
      </c>
      <c r="B60" s="37" t="s">
        <v>142</v>
      </c>
      <c r="C60" s="28" t="s">
        <v>33</v>
      </c>
      <c r="D60" s="20" t="s">
        <v>34</v>
      </c>
      <c r="E60" s="22" t="e">
        <v>#N/A</v>
      </c>
      <c r="F60" s="24" t="e">
        <f t="shared" si="0"/>
        <v>#N/A</v>
      </c>
      <c r="G60" s="28" t="e">
        <v>#N/A</v>
      </c>
      <c r="H60" s="29" t="s">
        <v>36</v>
      </c>
      <c r="I60" s="30" t="s">
        <v>37</v>
      </c>
      <c r="J60" s="30" t="s">
        <v>38</v>
      </c>
      <c r="K60" s="31" t="s">
        <v>39</v>
      </c>
      <c r="L60" s="26">
        <f>VLOOKUP(A60,'[3]Price info'!A:D,4,FALSE)</f>
        <v>3.33</v>
      </c>
      <c r="M60" s="30" t="s">
        <v>40</v>
      </c>
      <c r="N60" s="32">
        <v>3105</v>
      </c>
      <c r="P60" s="16">
        <f>VLOOKUP(A60,'[3]Price info'!A:H,8,FALSE)</f>
        <v>3.33</v>
      </c>
      <c r="Q60" s="35">
        <f t="shared" si="1"/>
        <v>1</v>
      </c>
      <c r="R60" s="30" t="s">
        <v>41</v>
      </c>
      <c r="S60" s="16" t="e">
        <f>VLOOKUP(A60,[4]Sales!$E:$G,3,FALSE)</f>
        <v>#N/A</v>
      </c>
      <c r="T60" s="19" t="e">
        <f>VLOOKUP(A60,[4]Volume!$E:$G,3,FALSE)</f>
        <v>#N/A</v>
      </c>
      <c r="U60" s="19" t="e">
        <f>VLOOKUP(A60,[4]Piece!$E:$G,3,FALSE)</f>
        <v>#N/A</v>
      </c>
      <c r="V60" s="21" t="e">
        <f t="shared" si="2"/>
        <v>#N/A</v>
      </c>
      <c r="W60" s="16" t="e">
        <f t="shared" si="3"/>
        <v>#N/A</v>
      </c>
    </row>
    <row r="61" spans="1:23" hidden="1" x14ac:dyDescent="0.3">
      <c r="A61" s="22" t="s">
        <v>143</v>
      </c>
      <c r="B61" s="22" t="s">
        <v>143</v>
      </c>
      <c r="C61" s="23" t="s">
        <v>33</v>
      </c>
      <c r="D61" s="20" t="s">
        <v>34</v>
      </c>
      <c r="E61" s="22" t="e">
        <v>#N/A</v>
      </c>
      <c r="F61" s="24" t="e">
        <f t="shared" si="0"/>
        <v>#N/A</v>
      </c>
      <c r="G61" s="38" t="e">
        <v>#N/A</v>
      </c>
      <c r="H61" s="39" t="s">
        <v>36</v>
      </c>
      <c r="I61" s="40" t="s">
        <v>37</v>
      </c>
      <c r="J61" s="40" t="s">
        <v>38</v>
      </c>
      <c r="K61" s="41" t="s">
        <v>39</v>
      </c>
      <c r="L61" s="26">
        <f>VLOOKUP(A61,'[3]Price info'!A:D,4,FALSE)</f>
        <v>105.53</v>
      </c>
      <c r="M61" s="40" t="s">
        <v>40</v>
      </c>
      <c r="N61" s="42">
        <v>3105</v>
      </c>
      <c r="O61" s="43"/>
      <c r="P61" s="16">
        <f>VLOOKUP(A61,'[3]Price info'!A:H,8,FALSE)</f>
        <v>105.53</v>
      </c>
      <c r="Q61" s="44">
        <f t="shared" si="1"/>
        <v>1</v>
      </c>
      <c r="R61" s="40" t="s">
        <v>41</v>
      </c>
      <c r="S61" s="16" t="e">
        <f>VLOOKUP(A61,[4]Sales!$E:$G,3,FALSE)</f>
        <v>#N/A</v>
      </c>
      <c r="T61" s="19" t="e">
        <f>VLOOKUP(A61,[4]Volume!$E:$G,3,FALSE)</f>
        <v>#N/A</v>
      </c>
      <c r="U61" s="19" t="e">
        <f>VLOOKUP(A61,[4]Piece!$E:$G,3,FALSE)</f>
        <v>#N/A</v>
      </c>
      <c r="V61" s="21" t="e">
        <f t="shared" si="2"/>
        <v>#N/A</v>
      </c>
      <c r="W61" s="16" t="e">
        <f t="shared" si="3"/>
        <v>#N/A</v>
      </c>
    </row>
    <row r="62" spans="1:23" hidden="1" x14ac:dyDescent="0.3">
      <c r="A62" s="22" t="s">
        <v>144</v>
      </c>
      <c r="B62" s="22" t="s">
        <v>144</v>
      </c>
      <c r="C62" s="23" t="s">
        <v>33</v>
      </c>
      <c r="D62" s="20" t="s">
        <v>34</v>
      </c>
      <c r="E62" s="22" t="e">
        <v>#N/A</v>
      </c>
      <c r="F62" s="24" t="e">
        <f t="shared" si="0"/>
        <v>#N/A</v>
      </c>
      <c r="G62" s="28" t="e">
        <v>#N/A</v>
      </c>
      <c r="H62" s="29" t="s">
        <v>36</v>
      </c>
      <c r="I62" s="30" t="s">
        <v>37</v>
      </c>
      <c r="J62" s="30" t="s">
        <v>38</v>
      </c>
      <c r="K62" s="31" t="s">
        <v>39</v>
      </c>
      <c r="L62" s="26">
        <f>VLOOKUP(A62,'[3]Price info'!A:D,4,FALSE)</f>
        <v>29.85</v>
      </c>
      <c r="M62" s="30" t="s">
        <v>40</v>
      </c>
      <c r="N62" s="32">
        <v>3105</v>
      </c>
      <c r="P62" s="16">
        <f>VLOOKUP(A62,'[3]Price info'!A:H,8,FALSE)</f>
        <v>27.790350000000004</v>
      </c>
      <c r="Q62" s="35">
        <f t="shared" si="1"/>
        <v>0.93100000000000005</v>
      </c>
      <c r="R62" s="30" t="s">
        <v>41</v>
      </c>
      <c r="S62" s="16" t="e">
        <f>VLOOKUP(A62,[4]Sales!$E:$G,3,FALSE)</f>
        <v>#N/A</v>
      </c>
      <c r="T62" s="19" t="e">
        <f>VLOOKUP(A62,[4]Volume!$E:$G,3,FALSE)</f>
        <v>#N/A</v>
      </c>
      <c r="U62" s="19" t="e">
        <f>VLOOKUP(A62,[4]Piece!$E:$G,3,FALSE)</f>
        <v>#N/A</v>
      </c>
      <c r="V62" s="21" t="e">
        <f t="shared" si="2"/>
        <v>#N/A</v>
      </c>
      <c r="W62" s="16" t="e">
        <f t="shared" si="3"/>
        <v>#N/A</v>
      </c>
    </row>
    <row r="63" spans="1:23" hidden="1" x14ac:dyDescent="0.3">
      <c r="A63" s="22" t="s">
        <v>145</v>
      </c>
      <c r="B63" s="22" t="s">
        <v>145</v>
      </c>
      <c r="C63" s="23" t="s">
        <v>33</v>
      </c>
      <c r="D63" s="20" t="s">
        <v>34</v>
      </c>
      <c r="E63" s="22" t="e">
        <v>#N/A</v>
      </c>
      <c r="F63" s="24" t="e">
        <f t="shared" si="0"/>
        <v>#N/A</v>
      </c>
      <c r="G63" s="28" t="e">
        <v>#N/A</v>
      </c>
      <c r="H63" s="29" t="s">
        <v>36</v>
      </c>
      <c r="I63" s="30" t="s">
        <v>37</v>
      </c>
      <c r="J63" s="30" t="s">
        <v>38</v>
      </c>
      <c r="K63" s="31" t="s">
        <v>39</v>
      </c>
      <c r="L63" s="26">
        <f>VLOOKUP(A63,'[3]Price info'!A:D,4,FALSE)</f>
        <v>31.65</v>
      </c>
      <c r="M63" s="30" t="s">
        <v>40</v>
      </c>
      <c r="N63" s="32">
        <v>3105</v>
      </c>
      <c r="P63" s="16">
        <f>VLOOKUP(A63,'[3]Price info'!A:H,8,FALSE)</f>
        <v>31.65</v>
      </c>
      <c r="Q63" s="35">
        <f t="shared" si="1"/>
        <v>1</v>
      </c>
      <c r="R63" s="30" t="s">
        <v>41</v>
      </c>
      <c r="S63" s="16" t="e">
        <f>VLOOKUP(A63,[4]Sales!$E:$G,3,FALSE)</f>
        <v>#N/A</v>
      </c>
      <c r="T63" s="19" t="e">
        <f>VLOOKUP(A63,[4]Volume!$E:$G,3,FALSE)</f>
        <v>#N/A</v>
      </c>
      <c r="U63" s="19" t="e">
        <f>VLOOKUP(A63,[4]Piece!$E:$G,3,FALSE)</f>
        <v>#N/A</v>
      </c>
      <c r="V63" s="21" t="e">
        <f t="shared" si="2"/>
        <v>#N/A</v>
      </c>
      <c r="W63" s="16" t="e">
        <f t="shared" si="3"/>
        <v>#N/A</v>
      </c>
    </row>
    <row r="64" spans="1:23" hidden="1" x14ac:dyDescent="0.3">
      <c r="A64" s="22" t="s">
        <v>146</v>
      </c>
      <c r="B64" s="22" t="s">
        <v>146</v>
      </c>
      <c r="C64" s="23" t="s">
        <v>33</v>
      </c>
      <c r="D64" s="20" t="s">
        <v>34</v>
      </c>
      <c r="E64" s="22" t="s">
        <v>147</v>
      </c>
      <c r="F64" s="24" t="str">
        <f t="shared" si="0"/>
        <v>PPG - Fat Hog PURE PROF BRUSH 4"</v>
      </c>
      <c r="G64" s="28" t="s">
        <v>4948</v>
      </c>
      <c r="H64" s="29" t="s">
        <v>36</v>
      </c>
      <c r="I64" s="30" t="s">
        <v>37</v>
      </c>
      <c r="J64" s="30" t="s">
        <v>38</v>
      </c>
      <c r="K64" s="31" t="s">
        <v>39</v>
      </c>
      <c r="L64" s="26">
        <f>VLOOKUP(A64,'[3]Price info'!A:D,4,FALSE)</f>
        <v>38.83</v>
      </c>
      <c r="M64" s="30" t="s">
        <v>40</v>
      </c>
      <c r="N64" s="32">
        <v>3105</v>
      </c>
      <c r="P64" s="16">
        <f>VLOOKUP(A64,'[3]Price info'!A:H,8,FALSE)</f>
        <v>38.83</v>
      </c>
      <c r="Q64" s="35">
        <f t="shared" si="1"/>
        <v>1</v>
      </c>
      <c r="R64" s="30" t="s">
        <v>41</v>
      </c>
      <c r="S64" s="16" t="e">
        <f>VLOOKUP(A64,[4]Sales!$E:$G,3,FALSE)</f>
        <v>#N/A</v>
      </c>
      <c r="T64" s="19" t="e">
        <f>VLOOKUP(A64,[4]Volume!$E:$G,3,FALSE)</f>
        <v>#N/A</v>
      </c>
      <c r="U64" s="19" t="e">
        <f>VLOOKUP(A64,[4]Piece!$E:$G,3,FALSE)</f>
        <v>#N/A</v>
      </c>
      <c r="V64" s="21" t="e">
        <f t="shared" si="2"/>
        <v>#N/A</v>
      </c>
      <c r="W64" s="16" t="e">
        <f t="shared" si="3"/>
        <v>#N/A</v>
      </c>
    </row>
    <row r="65" spans="1:23" hidden="1" x14ac:dyDescent="0.3">
      <c r="A65" s="22" t="s">
        <v>148</v>
      </c>
      <c r="B65" s="22" t="s">
        <v>148</v>
      </c>
      <c r="C65" s="23" t="s">
        <v>33</v>
      </c>
      <c r="D65" s="20" t="s">
        <v>34</v>
      </c>
      <c r="E65" s="22" t="s">
        <v>149</v>
      </c>
      <c r="F65" s="24" t="str">
        <f t="shared" si="0"/>
        <v>PPG - Fat Hog PROF WALL BRUSH 4"</v>
      </c>
      <c r="G65" s="28" t="s">
        <v>4949</v>
      </c>
      <c r="H65" s="29" t="s">
        <v>36</v>
      </c>
      <c r="I65" s="30" t="s">
        <v>37</v>
      </c>
      <c r="J65" s="30" t="s">
        <v>38</v>
      </c>
      <c r="K65" s="31" t="s">
        <v>39</v>
      </c>
      <c r="L65" s="26">
        <f>VLOOKUP(A65,'[3]Price info'!A:D,4,FALSE)</f>
        <v>28.98</v>
      </c>
      <c r="M65" s="30" t="s">
        <v>40</v>
      </c>
      <c r="N65" s="32">
        <v>3105</v>
      </c>
      <c r="P65" s="16">
        <f>VLOOKUP(A65,'[3]Price info'!A:H,8,FALSE)</f>
        <v>28.98</v>
      </c>
      <c r="Q65" s="35">
        <f t="shared" si="1"/>
        <v>1</v>
      </c>
      <c r="R65" s="30" t="s">
        <v>41</v>
      </c>
      <c r="S65" s="16" t="e">
        <f>VLOOKUP(A65,[4]Sales!$E:$G,3,FALSE)</f>
        <v>#N/A</v>
      </c>
      <c r="T65" s="19" t="e">
        <f>VLOOKUP(A65,[4]Volume!$E:$G,3,FALSE)</f>
        <v>#N/A</v>
      </c>
      <c r="U65" s="19" t="e">
        <f>VLOOKUP(A65,[4]Piece!$E:$G,3,FALSE)</f>
        <v>#N/A</v>
      </c>
      <c r="V65" s="21" t="e">
        <f t="shared" si="2"/>
        <v>#N/A</v>
      </c>
      <c r="W65" s="16" t="e">
        <f t="shared" si="3"/>
        <v>#N/A</v>
      </c>
    </row>
    <row r="66" spans="1:23" hidden="1" x14ac:dyDescent="0.3">
      <c r="A66" s="22" t="s">
        <v>150</v>
      </c>
      <c r="B66" s="22" t="s">
        <v>150</v>
      </c>
      <c r="C66" s="23" t="s">
        <v>33</v>
      </c>
      <c r="D66" s="20" t="s">
        <v>34</v>
      </c>
      <c r="E66" s="22" t="s">
        <v>151</v>
      </c>
      <c r="F66" s="24" t="str">
        <f t="shared" si="0"/>
        <v>PPG - Fat Hog PROF WALL BRUSH 5"</v>
      </c>
      <c r="G66" s="28" t="s">
        <v>4950</v>
      </c>
      <c r="H66" s="29" t="s">
        <v>36</v>
      </c>
      <c r="I66" s="30" t="s">
        <v>37</v>
      </c>
      <c r="J66" s="30" t="s">
        <v>38</v>
      </c>
      <c r="K66" s="31" t="s">
        <v>39</v>
      </c>
      <c r="L66" s="26">
        <f>VLOOKUP(A66,'[3]Price info'!A:D,4,FALSE)</f>
        <v>35.89</v>
      </c>
      <c r="M66" s="30" t="s">
        <v>40</v>
      </c>
      <c r="N66" s="32">
        <v>3105</v>
      </c>
      <c r="P66" s="16">
        <f>VLOOKUP(A66,'[3]Price info'!A:H,8,FALSE)</f>
        <v>35.89</v>
      </c>
      <c r="Q66" s="35">
        <f t="shared" si="1"/>
        <v>1</v>
      </c>
      <c r="R66" s="30" t="s">
        <v>41</v>
      </c>
      <c r="S66" s="16" t="e">
        <f>VLOOKUP(A66,[4]Sales!$E:$G,3,FALSE)</f>
        <v>#N/A</v>
      </c>
      <c r="T66" s="19" t="e">
        <f>VLOOKUP(A66,[4]Volume!$E:$G,3,FALSE)</f>
        <v>#N/A</v>
      </c>
      <c r="U66" s="19" t="e">
        <f>VLOOKUP(A66,[4]Piece!$E:$G,3,FALSE)</f>
        <v>#N/A</v>
      </c>
      <c r="V66" s="21" t="e">
        <f t="shared" si="2"/>
        <v>#N/A</v>
      </c>
      <c r="W66" s="16" t="e">
        <f t="shared" si="3"/>
        <v>#N/A</v>
      </c>
    </row>
    <row r="67" spans="1:23" hidden="1" x14ac:dyDescent="0.3">
      <c r="A67" s="22" t="s">
        <v>152</v>
      </c>
      <c r="B67" s="22" t="s">
        <v>152</v>
      </c>
      <c r="C67" s="23" t="s">
        <v>33</v>
      </c>
      <c r="D67" s="20" t="s">
        <v>34</v>
      </c>
      <c r="E67" s="22" t="e">
        <v>#N/A</v>
      </c>
      <c r="F67" s="24" t="e">
        <f t="shared" ref="F67:F130" si="4">D67&amp;" - "&amp;E67</f>
        <v>#N/A</v>
      </c>
      <c r="G67" s="28" t="e">
        <v>#N/A</v>
      </c>
      <c r="H67" s="29" t="s">
        <v>36</v>
      </c>
      <c r="I67" s="30" t="s">
        <v>37</v>
      </c>
      <c r="J67" s="30" t="s">
        <v>38</v>
      </c>
      <c r="K67" s="31" t="s">
        <v>39</v>
      </c>
      <c r="L67" s="26">
        <f>VLOOKUP(A67,'[3]Price info'!A:D,4,FALSE)</f>
        <v>9.49</v>
      </c>
      <c r="M67" s="30" t="s">
        <v>40</v>
      </c>
      <c r="N67" s="32">
        <v>3105</v>
      </c>
      <c r="P67" s="16">
        <f>VLOOKUP(A67,'[3]Price info'!A:H,8,FALSE)</f>
        <v>9.49</v>
      </c>
      <c r="Q67" s="35">
        <f t="shared" ref="Q67:Q130" si="5">P67/L67</f>
        <v>1</v>
      </c>
      <c r="R67" s="30" t="s">
        <v>41</v>
      </c>
      <c r="S67" s="16" t="e">
        <f>VLOOKUP(A67,[4]Sales!$E:$G,3,FALSE)</f>
        <v>#N/A</v>
      </c>
      <c r="T67" s="19" t="e">
        <f>VLOOKUP(A67,[4]Volume!$E:$G,3,FALSE)</f>
        <v>#N/A</v>
      </c>
      <c r="U67" s="19" t="e">
        <f>VLOOKUP(A67,[4]Piece!$E:$G,3,FALSE)</f>
        <v>#N/A</v>
      </c>
      <c r="V67" s="21" t="e">
        <f t="shared" ref="V67:V130" si="6">U67*P67</f>
        <v>#N/A</v>
      </c>
      <c r="W67" s="16" t="e">
        <f t="shared" ref="W67:W130" si="7">V67-S67</f>
        <v>#N/A</v>
      </c>
    </row>
    <row r="68" spans="1:23" hidden="1" x14ac:dyDescent="0.3">
      <c r="A68" s="34" t="s">
        <v>153</v>
      </c>
      <c r="B68" s="22" t="s">
        <v>153</v>
      </c>
      <c r="C68" s="23" t="s">
        <v>33</v>
      </c>
      <c r="D68" s="20" t="s">
        <v>34</v>
      </c>
      <c r="E68" s="22" t="s">
        <v>154</v>
      </c>
      <c r="F68" s="24" t="str">
        <f t="shared" si="4"/>
        <v>PPG - FatHog FATHG SCALE TANG CHISEL KNIFE -  - ltr</v>
      </c>
      <c r="G68" s="23" t="s">
        <v>4951</v>
      </c>
      <c r="H68" s="25" t="s">
        <v>36</v>
      </c>
      <c r="I68" s="18" t="s">
        <v>37</v>
      </c>
      <c r="J68" s="18" t="s">
        <v>38</v>
      </c>
      <c r="K68" t="s">
        <v>39</v>
      </c>
      <c r="L68" s="26">
        <f>VLOOKUP(A68,'[3]Price info'!A:D,4,FALSE)</f>
        <v>6.49</v>
      </c>
      <c r="M68" s="18" t="s">
        <v>40</v>
      </c>
      <c r="N68" s="20">
        <v>3105</v>
      </c>
      <c r="P68" s="16">
        <f>VLOOKUP(A68,'[3]Price info'!A:H,8,FALSE)</f>
        <v>6.49</v>
      </c>
      <c r="Q68" s="33">
        <f t="shared" si="5"/>
        <v>1</v>
      </c>
      <c r="R68" s="18" t="s">
        <v>41</v>
      </c>
      <c r="S68" s="16" t="e">
        <f>VLOOKUP(A68,[4]Sales!$E:$G,3,FALSE)</f>
        <v>#N/A</v>
      </c>
      <c r="T68" s="19" t="e">
        <f>VLOOKUP(A68,[4]Volume!$E:$G,3,FALSE)</f>
        <v>#N/A</v>
      </c>
      <c r="U68" s="19" t="e">
        <f>VLOOKUP(A68,[4]Piece!$E:$G,3,FALSE)</f>
        <v>#N/A</v>
      </c>
      <c r="V68" s="21" t="e">
        <f t="shared" si="6"/>
        <v>#N/A</v>
      </c>
      <c r="W68" s="16" t="e">
        <f t="shared" si="7"/>
        <v>#N/A</v>
      </c>
    </row>
    <row r="69" spans="1:23" hidden="1" x14ac:dyDescent="0.3">
      <c r="A69" s="34" t="s">
        <v>155</v>
      </c>
      <c r="B69" s="22" t="s">
        <v>155</v>
      </c>
      <c r="C69" s="23" t="s">
        <v>33</v>
      </c>
      <c r="D69" s="20" t="s">
        <v>34</v>
      </c>
      <c r="E69" s="22" t="e">
        <v>#N/A</v>
      </c>
      <c r="F69" s="24" t="e">
        <f t="shared" si="4"/>
        <v>#N/A</v>
      </c>
      <c r="G69" s="23" t="e">
        <v>#N/A</v>
      </c>
      <c r="H69" s="25" t="s">
        <v>36</v>
      </c>
      <c r="I69" s="18" t="s">
        <v>37</v>
      </c>
      <c r="J69" s="18" t="s">
        <v>38</v>
      </c>
      <c r="K69" t="s">
        <v>39</v>
      </c>
      <c r="L69" s="26">
        <f>VLOOKUP(A69,'[3]Price info'!A:D,4,FALSE)</f>
        <v>13.59</v>
      </c>
      <c r="M69" s="18" t="s">
        <v>40</v>
      </c>
      <c r="N69" s="20">
        <v>3105</v>
      </c>
      <c r="P69" s="16">
        <f>VLOOKUP(A69,'[3]Price info'!A:H,8,FALSE)</f>
        <v>13.59</v>
      </c>
      <c r="Q69" s="33">
        <f t="shared" si="5"/>
        <v>1</v>
      </c>
      <c r="R69" s="18" t="s">
        <v>41</v>
      </c>
      <c r="S69" s="16" t="e">
        <f>VLOOKUP(A69,[4]Sales!$E:$G,3,FALSE)</f>
        <v>#N/A</v>
      </c>
      <c r="T69" s="19" t="e">
        <f>VLOOKUP(A69,[4]Volume!$E:$G,3,FALSE)</f>
        <v>#N/A</v>
      </c>
      <c r="U69" s="19" t="e">
        <f>VLOOKUP(A69,[4]Piece!$E:$G,3,FALSE)</f>
        <v>#N/A</v>
      </c>
      <c r="V69" s="21" t="e">
        <f t="shared" si="6"/>
        <v>#N/A</v>
      </c>
      <c r="W69" s="16" t="e">
        <f t="shared" si="7"/>
        <v>#N/A</v>
      </c>
    </row>
    <row r="70" spans="1:23" hidden="1" x14ac:dyDescent="0.3">
      <c r="A70" s="22" t="s">
        <v>156</v>
      </c>
      <c r="B70" s="22" t="s">
        <v>156</v>
      </c>
      <c r="C70" s="23" t="s">
        <v>33</v>
      </c>
      <c r="D70" s="20" t="s">
        <v>34</v>
      </c>
      <c r="E70" s="22" t="e">
        <v>#N/A</v>
      </c>
      <c r="F70" s="24" t="e">
        <f t="shared" si="4"/>
        <v>#N/A</v>
      </c>
      <c r="G70" s="28" t="e">
        <v>#N/A</v>
      </c>
      <c r="H70" s="29" t="s">
        <v>36</v>
      </c>
      <c r="I70" s="30" t="s">
        <v>37</v>
      </c>
      <c r="J70" s="30" t="s">
        <v>38</v>
      </c>
      <c r="K70" s="31" t="s">
        <v>39</v>
      </c>
      <c r="L70" s="26">
        <f>VLOOKUP(A70,'[3]Price info'!A:D,4,FALSE)</f>
        <v>2.54</v>
      </c>
      <c r="M70" s="30" t="s">
        <v>40</v>
      </c>
      <c r="N70" s="32">
        <v>3105</v>
      </c>
      <c r="P70" s="16">
        <f>VLOOKUP(A70,'[3]Price info'!A:H,8,FALSE)</f>
        <v>2.54</v>
      </c>
      <c r="Q70" s="35">
        <f t="shared" si="5"/>
        <v>1</v>
      </c>
      <c r="R70" s="30" t="s">
        <v>41</v>
      </c>
      <c r="S70" s="16" t="e">
        <f>VLOOKUP(A70,[4]Sales!$E:$G,3,FALSE)</f>
        <v>#N/A</v>
      </c>
      <c r="T70" s="19" t="e">
        <f>VLOOKUP(A70,[4]Volume!$E:$G,3,FALSE)</f>
        <v>#N/A</v>
      </c>
      <c r="U70" s="19" t="e">
        <f>VLOOKUP(A70,[4]Piece!$E:$G,3,FALSE)</f>
        <v>#N/A</v>
      </c>
      <c r="V70" s="21" t="e">
        <f t="shared" si="6"/>
        <v>#N/A</v>
      </c>
      <c r="W70" s="16" t="e">
        <f t="shared" si="7"/>
        <v>#N/A</v>
      </c>
    </row>
    <row r="71" spans="1:23" hidden="1" x14ac:dyDescent="0.3">
      <c r="A71" s="22" t="s">
        <v>157</v>
      </c>
      <c r="B71" s="22" t="s">
        <v>157</v>
      </c>
      <c r="C71" s="23" t="s">
        <v>33</v>
      </c>
      <c r="D71" s="20" t="s">
        <v>34</v>
      </c>
      <c r="E71" s="22" t="e">
        <v>#N/A</v>
      </c>
      <c r="F71" s="24" t="e">
        <f t="shared" si="4"/>
        <v>#N/A</v>
      </c>
      <c r="G71" s="28" t="e">
        <v>#N/A</v>
      </c>
      <c r="H71" s="29" t="s">
        <v>36</v>
      </c>
      <c r="I71" s="30" t="s">
        <v>37</v>
      </c>
      <c r="J71" s="30" t="s">
        <v>38</v>
      </c>
      <c r="K71" s="31" t="s">
        <v>39</v>
      </c>
      <c r="L71" s="26">
        <f>VLOOKUP(A71,'[3]Price info'!A:D,4,FALSE)</f>
        <v>33.43</v>
      </c>
      <c r="M71" s="30" t="s">
        <v>40</v>
      </c>
      <c r="N71" s="32">
        <v>3105</v>
      </c>
      <c r="P71" s="16">
        <f>VLOOKUP(A71,'[3]Price info'!A:H,8,FALSE)</f>
        <v>33.43</v>
      </c>
      <c r="Q71" s="35">
        <f t="shared" si="5"/>
        <v>1</v>
      </c>
      <c r="R71" s="30" t="s">
        <v>41</v>
      </c>
      <c r="S71" s="16" t="e">
        <f>VLOOKUP(A71,[4]Sales!$E:$G,3,FALSE)</f>
        <v>#N/A</v>
      </c>
      <c r="T71" s="19" t="e">
        <f>VLOOKUP(A71,[4]Volume!$E:$G,3,FALSE)</f>
        <v>#N/A</v>
      </c>
      <c r="U71" s="19" t="e">
        <f>VLOOKUP(A71,[4]Piece!$E:$G,3,FALSE)</f>
        <v>#N/A</v>
      </c>
      <c r="V71" s="21" t="e">
        <f t="shared" si="6"/>
        <v>#N/A</v>
      </c>
      <c r="W71" s="16" t="e">
        <f t="shared" si="7"/>
        <v>#N/A</v>
      </c>
    </row>
    <row r="72" spans="1:23" hidden="1" x14ac:dyDescent="0.3">
      <c r="A72" s="22" t="s">
        <v>158</v>
      </c>
      <c r="B72" s="22" t="s">
        <v>158</v>
      </c>
      <c r="C72" s="23" t="s">
        <v>33</v>
      </c>
      <c r="D72" s="20" t="s">
        <v>34</v>
      </c>
      <c r="E72" s="22" t="e">
        <v>#N/A</v>
      </c>
      <c r="F72" s="24" t="e">
        <f t="shared" si="4"/>
        <v>#N/A</v>
      </c>
      <c r="G72" s="28" t="e">
        <v>#N/A</v>
      </c>
      <c r="H72" s="29" t="s">
        <v>36</v>
      </c>
      <c r="I72" s="30" t="s">
        <v>37</v>
      </c>
      <c r="J72" s="30" t="s">
        <v>38</v>
      </c>
      <c r="K72" s="31" t="s">
        <v>39</v>
      </c>
      <c r="L72" s="45">
        <v>49.23</v>
      </c>
      <c r="M72" s="30" t="s">
        <v>40</v>
      </c>
      <c r="N72" s="32">
        <v>3105</v>
      </c>
      <c r="P72" s="16" t="e">
        <f>VLOOKUP(A72,'[3]Price info'!A:H,8,FALSE)</f>
        <v>#N/A</v>
      </c>
      <c r="Q72" s="35" t="e">
        <f t="shared" si="5"/>
        <v>#N/A</v>
      </c>
      <c r="R72" s="30" t="s">
        <v>41</v>
      </c>
      <c r="S72" s="16" t="e">
        <f>VLOOKUP(A72,[4]Sales!$E:$G,3,FALSE)</f>
        <v>#N/A</v>
      </c>
      <c r="T72" s="19" t="e">
        <f>VLOOKUP(A72,[4]Volume!$E:$G,3,FALSE)</f>
        <v>#N/A</v>
      </c>
      <c r="U72" s="19" t="e">
        <f>VLOOKUP(A72,[4]Piece!$E:$G,3,FALSE)</f>
        <v>#N/A</v>
      </c>
      <c r="V72" s="21" t="e">
        <f t="shared" si="6"/>
        <v>#N/A</v>
      </c>
      <c r="W72" s="16" t="e">
        <f t="shared" si="7"/>
        <v>#N/A</v>
      </c>
    </row>
    <row r="73" spans="1:23" hidden="1" x14ac:dyDescent="0.3">
      <c r="A73" s="22" t="s">
        <v>159</v>
      </c>
      <c r="B73" s="22" t="s">
        <v>159</v>
      </c>
      <c r="C73" s="23" t="s">
        <v>33</v>
      </c>
      <c r="D73" s="20" t="s">
        <v>34</v>
      </c>
      <c r="E73" s="22" t="s">
        <v>160</v>
      </c>
      <c r="F73" s="24" t="str">
        <f t="shared" si="4"/>
        <v>PPG - Johnstones ACRYLIC EGGSHELL - Mix - 5ltr</v>
      </c>
      <c r="G73" s="23" t="s">
        <v>4952</v>
      </c>
      <c r="H73" s="25" t="s">
        <v>36</v>
      </c>
      <c r="I73" s="18" t="s">
        <v>37</v>
      </c>
      <c r="J73" s="18" t="s">
        <v>38</v>
      </c>
      <c r="K73" t="s">
        <v>39</v>
      </c>
      <c r="L73" s="26">
        <f>VLOOKUP(A73,'[3]Price info'!A:D,4,FALSE)</f>
        <v>19.260000000000002</v>
      </c>
      <c r="M73" s="18" t="s">
        <v>40</v>
      </c>
      <c r="N73" s="20">
        <v>3105</v>
      </c>
      <c r="P73" s="16">
        <f>VLOOKUP(A73,'[3]Price info'!A:H,8,FALSE)</f>
        <v>19.260000000000002</v>
      </c>
      <c r="Q73" s="27">
        <f t="shared" si="5"/>
        <v>1</v>
      </c>
      <c r="S73" s="16">
        <f>VLOOKUP(A73,[4]Sales!$E:$G,3,FALSE)</f>
        <v>80194.130000000063</v>
      </c>
      <c r="T73" s="19">
        <f>VLOOKUP(A73,[4]Volume!$E:$G,3,FALSE)</f>
        <v>20875</v>
      </c>
      <c r="U73" s="19">
        <f>VLOOKUP(A73,[4]Piece!$E:$G,3,FALSE)</f>
        <v>4175</v>
      </c>
      <c r="V73" s="21">
        <f t="shared" si="6"/>
        <v>80410.5</v>
      </c>
      <c r="W73" s="16">
        <f t="shared" si="7"/>
        <v>216.36999999993714</v>
      </c>
    </row>
    <row r="74" spans="1:23" hidden="1" x14ac:dyDescent="0.3">
      <c r="A74" s="22" t="s">
        <v>161</v>
      </c>
      <c r="B74" s="22" t="s">
        <v>161</v>
      </c>
      <c r="C74" s="23" t="s">
        <v>33</v>
      </c>
      <c r="D74" s="20" t="s">
        <v>34</v>
      </c>
      <c r="E74" s="22" t="s">
        <v>162</v>
      </c>
      <c r="F74" s="24" t="str">
        <f t="shared" si="4"/>
        <v>PPG - Stormshield PLIOLITE - Mix - 5ltr</v>
      </c>
      <c r="G74" s="23" t="s">
        <v>4953</v>
      </c>
      <c r="H74" s="25" t="s">
        <v>36</v>
      </c>
      <c r="I74" s="18" t="s">
        <v>37</v>
      </c>
      <c r="J74" s="18" t="s">
        <v>38</v>
      </c>
      <c r="K74" t="s">
        <v>39</v>
      </c>
      <c r="L74" s="26">
        <f>VLOOKUP(A74,'[3]Price info'!A:D,4,FALSE)</f>
        <v>23.07</v>
      </c>
      <c r="M74" s="18" t="s">
        <v>40</v>
      </c>
      <c r="N74" s="20">
        <v>3105</v>
      </c>
      <c r="P74" s="16">
        <f>VLOOKUP(A74,'[3]Price info'!A:H,8,FALSE)</f>
        <v>23.07</v>
      </c>
      <c r="Q74" s="27">
        <f t="shared" si="5"/>
        <v>1</v>
      </c>
      <c r="S74" s="16">
        <f>VLOOKUP(A74,[4]Sales!$E:$G,3,FALSE)</f>
        <v>35730.229999999996</v>
      </c>
      <c r="T74" s="19">
        <f>VLOOKUP(A74,[4]Volume!$E:$G,3,FALSE)</f>
        <v>7900</v>
      </c>
      <c r="U74" s="19">
        <f>VLOOKUP(A74,[4]Piece!$E:$G,3,FALSE)</f>
        <v>1580</v>
      </c>
      <c r="V74" s="21">
        <f t="shared" si="6"/>
        <v>36450.6</v>
      </c>
      <c r="W74" s="16">
        <f t="shared" si="7"/>
        <v>720.37000000000262</v>
      </c>
    </row>
    <row r="75" spans="1:23" hidden="1" x14ac:dyDescent="0.3">
      <c r="A75" s="22" t="s">
        <v>163</v>
      </c>
      <c r="B75" s="22" t="s">
        <v>163</v>
      </c>
      <c r="C75" s="23" t="s">
        <v>33</v>
      </c>
      <c r="D75" s="20" t="s">
        <v>34</v>
      </c>
      <c r="E75" s="22" t="s">
        <v>164</v>
      </c>
      <c r="F75" s="24" t="str">
        <f t="shared" si="4"/>
        <v>PPG - Johnstones COVAPLUS - Brilliant White 10ltr</v>
      </c>
      <c r="G75" s="23" t="s">
        <v>4954</v>
      </c>
      <c r="H75" s="25" t="s">
        <v>36</v>
      </c>
      <c r="I75" s="18" t="s">
        <v>37</v>
      </c>
      <c r="J75" s="18" t="s">
        <v>38</v>
      </c>
      <c r="K75" t="s">
        <v>39</v>
      </c>
      <c r="L75" s="26">
        <f>VLOOKUP(A75,'[3]Price info'!A:D,4,FALSE)</f>
        <v>16.62</v>
      </c>
      <c r="M75" s="18" t="s">
        <v>40</v>
      </c>
      <c r="N75" s="20">
        <v>3105</v>
      </c>
      <c r="P75" s="16">
        <f>VLOOKUP(A75,'[3]Price info'!A:H,8,FALSE)</f>
        <v>16.62</v>
      </c>
      <c r="Q75" s="27">
        <f t="shared" si="5"/>
        <v>1</v>
      </c>
      <c r="S75" s="16">
        <f>VLOOKUP(A75,[4]Sales!$E:$G,3,FALSE)</f>
        <v>48764.539999999812</v>
      </c>
      <c r="T75" s="19">
        <f>VLOOKUP(A75,[4]Volume!$E:$G,3,FALSE)</f>
        <v>29450</v>
      </c>
      <c r="U75" s="19">
        <f>VLOOKUP(A75,[4]Piece!$E:$G,3,FALSE)</f>
        <v>2945</v>
      </c>
      <c r="V75" s="21">
        <f t="shared" si="6"/>
        <v>48945.9</v>
      </c>
      <c r="W75" s="16">
        <f t="shared" si="7"/>
        <v>181.36000000018976</v>
      </c>
    </row>
    <row r="76" spans="1:23" hidden="1" x14ac:dyDescent="0.3">
      <c r="A76" s="22" t="s">
        <v>165</v>
      </c>
      <c r="B76" s="22" t="s">
        <v>165</v>
      </c>
      <c r="C76" s="23" t="s">
        <v>33</v>
      </c>
      <c r="D76" s="20" t="s">
        <v>34</v>
      </c>
      <c r="E76" s="22" t="s">
        <v>166</v>
      </c>
      <c r="F76" s="24" t="str">
        <f t="shared" si="4"/>
        <v>PPG - Johnstones FLAME RET ACRYLIC EGGSHELL Mix 5l</v>
      </c>
      <c r="G76" s="23" t="s">
        <v>4955</v>
      </c>
      <c r="H76" s="25" t="s">
        <v>36</v>
      </c>
      <c r="I76" s="18" t="s">
        <v>37</v>
      </c>
      <c r="J76" s="18" t="s">
        <v>38</v>
      </c>
      <c r="K76" t="s">
        <v>39</v>
      </c>
      <c r="L76" s="26">
        <f>VLOOKUP(A76,'[3]Price info'!A:D,4,FALSE)</f>
        <v>40.590000000000003</v>
      </c>
      <c r="M76" s="18" t="s">
        <v>40</v>
      </c>
      <c r="N76" s="20">
        <v>3105</v>
      </c>
      <c r="P76" s="16">
        <f>VLOOKUP(A76,'[3]Price info'!A:H,8,FALSE)</f>
        <v>40.590000000000003</v>
      </c>
      <c r="Q76" s="27">
        <f t="shared" si="5"/>
        <v>1</v>
      </c>
      <c r="S76" s="16">
        <f>VLOOKUP(A76,[4]Sales!$E:$G,3,FALSE)</f>
        <v>56497.98</v>
      </c>
      <c r="T76" s="19">
        <f>VLOOKUP(A76,[4]Volume!$E:$G,3,FALSE)</f>
        <v>7010</v>
      </c>
      <c r="U76" s="19">
        <f>VLOOKUP(A76,[4]Piece!$E:$G,3,FALSE)</f>
        <v>1402</v>
      </c>
      <c r="V76" s="21">
        <f t="shared" si="6"/>
        <v>56907.180000000008</v>
      </c>
      <c r="W76" s="16">
        <f t="shared" si="7"/>
        <v>409.20000000000437</v>
      </c>
    </row>
    <row r="77" spans="1:23" hidden="1" x14ac:dyDescent="0.3">
      <c r="A77" s="22" t="s">
        <v>167</v>
      </c>
      <c r="B77" s="22" t="s">
        <v>167</v>
      </c>
      <c r="C77" s="23" t="s">
        <v>33</v>
      </c>
      <c r="D77" s="20" t="s">
        <v>34</v>
      </c>
      <c r="E77" s="22" t="s">
        <v>168</v>
      </c>
      <c r="F77" s="24" t="str">
        <f t="shared" si="4"/>
        <v>PPG - Johnstones SOLV OPAQUE - Russet - 5ltr</v>
      </c>
      <c r="G77" s="23" t="s">
        <v>4956</v>
      </c>
      <c r="H77" s="25" t="s">
        <v>36</v>
      </c>
      <c r="I77" s="18" t="s">
        <v>37</v>
      </c>
      <c r="J77" s="18" t="s">
        <v>38</v>
      </c>
      <c r="K77" t="s">
        <v>39</v>
      </c>
      <c r="L77" s="26">
        <f>VLOOKUP(A77,'[3]Price info'!A:D,4,FALSE)</f>
        <v>21.15</v>
      </c>
      <c r="M77" s="18" t="s">
        <v>40</v>
      </c>
      <c r="N77" s="20">
        <v>3105</v>
      </c>
      <c r="P77" s="16">
        <f>VLOOKUP(A77,'[3]Price info'!A:H,8,FALSE)</f>
        <v>21.15</v>
      </c>
      <c r="Q77" s="27">
        <f t="shared" si="5"/>
        <v>1</v>
      </c>
      <c r="S77" s="16">
        <f>VLOOKUP(A77,[4]Sales!$E:$G,3,FALSE)</f>
        <v>24204.66999999998</v>
      </c>
      <c r="T77" s="19">
        <f>VLOOKUP(A77,[4]Volume!$E:$G,3,FALSE)</f>
        <v>5585</v>
      </c>
      <c r="U77" s="19">
        <f>VLOOKUP(A77,[4]Piece!$E:$G,3,FALSE)</f>
        <v>1117</v>
      </c>
      <c r="V77" s="21">
        <f t="shared" si="6"/>
        <v>23624.55</v>
      </c>
      <c r="W77" s="16">
        <f t="shared" si="7"/>
        <v>-580.11999999998079</v>
      </c>
    </row>
    <row r="78" spans="1:23" hidden="1" x14ac:dyDescent="0.3">
      <c r="A78" s="22" t="s">
        <v>169</v>
      </c>
      <c r="B78" s="22" t="s">
        <v>169</v>
      </c>
      <c r="C78" s="23" t="s">
        <v>33</v>
      </c>
      <c r="D78" s="20" t="s">
        <v>34</v>
      </c>
      <c r="E78" s="22" t="s">
        <v>170</v>
      </c>
      <c r="F78" s="24" t="str">
        <f t="shared" si="4"/>
        <v>PPG - Johnstones STEEL &amp; CLADDING - Mix - 5ltr</v>
      </c>
      <c r="G78" s="23" t="s">
        <v>4957</v>
      </c>
      <c r="H78" s="25" t="s">
        <v>36</v>
      </c>
      <c r="I78" s="18" t="s">
        <v>37</v>
      </c>
      <c r="J78" s="18" t="s">
        <v>38</v>
      </c>
      <c r="K78" t="s">
        <v>39</v>
      </c>
      <c r="L78" s="26">
        <f>VLOOKUP(A78,'[3]Price info'!A:D,4,FALSE)</f>
        <v>58.58</v>
      </c>
      <c r="M78" s="18" t="s">
        <v>40</v>
      </c>
      <c r="N78" s="20">
        <v>3105</v>
      </c>
      <c r="P78" s="16">
        <f>VLOOKUP(A78,'[3]Price info'!A:H,8,FALSE)</f>
        <v>52</v>
      </c>
      <c r="Q78" s="27">
        <f t="shared" si="5"/>
        <v>0.88767497439399112</v>
      </c>
      <c r="S78" s="16">
        <f>VLOOKUP(A78,[4]Sales!$E:$G,3,FALSE)</f>
        <v>6991.119999999999</v>
      </c>
      <c r="T78" s="19">
        <f>VLOOKUP(A78,[4]Volume!$E:$G,3,FALSE)</f>
        <v>630</v>
      </c>
      <c r="U78" s="19">
        <f>VLOOKUP(A78,[4]Piece!$E:$G,3,FALSE)</f>
        <v>126</v>
      </c>
      <c r="V78" s="21">
        <f t="shared" si="6"/>
        <v>6552</v>
      </c>
      <c r="W78" s="16">
        <f t="shared" si="7"/>
        <v>-439.11999999999898</v>
      </c>
    </row>
    <row r="79" spans="1:23" hidden="1" x14ac:dyDescent="0.3">
      <c r="A79" s="22" t="s">
        <v>171</v>
      </c>
      <c r="B79" s="22" t="s">
        <v>171</v>
      </c>
      <c r="C79" s="23" t="s">
        <v>33</v>
      </c>
      <c r="D79" s="20" t="s">
        <v>34</v>
      </c>
      <c r="E79" s="22" t="s">
        <v>172</v>
      </c>
      <c r="F79" s="24" t="str">
        <f t="shared" si="4"/>
        <v>PPG - Johnstones STAINAWAY - Bril White - 5ltr</v>
      </c>
      <c r="G79" s="23" t="s">
        <v>4958</v>
      </c>
      <c r="H79" s="25" t="s">
        <v>36</v>
      </c>
      <c r="I79" s="18" t="s">
        <v>37</v>
      </c>
      <c r="J79" s="18" t="s">
        <v>38</v>
      </c>
      <c r="K79" t="s">
        <v>39</v>
      </c>
      <c r="L79" s="26">
        <f>VLOOKUP(A79,'[3]Price info'!A:D,4,FALSE)</f>
        <v>36.9</v>
      </c>
      <c r="M79" s="18" t="s">
        <v>40</v>
      </c>
      <c r="N79" s="20">
        <v>3105</v>
      </c>
      <c r="P79" s="16">
        <f>VLOOKUP(A79,'[3]Price info'!A:H,8,FALSE)</f>
        <v>34.353900000000003</v>
      </c>
      <c r="Q79" s="27">
        <f t="shared" si="5"/>
        <v>0.93100000000000016</v>
      </c>
      <c r="S79" s="16">
        <f>VLOOKUP(A79,[4]Sales!$E:$G,3,FALSE)</f>
        <v>5601.3600000000006</v>
      </c>
      <c r="T79" s="19">
        <f>VLOOKUP(A79,[4]Volume!$E:$G,3,FALSE)</f>
        <v>810</v>
      </c>
      <c r="U79" s="19">
        <f>VLOOKUP(A79,[4]Piece!$E:$G,3,FALSE)</f>
        <v>162</v>
      </c>
      <c r="V79" s="21">
        <f t="shared" si="6"/>
        <v>5565.3318000000008</v>
      </c>
      <c r="W79" s="16">
        <f t="shared" si="7"/>
        <v>-36.028199999999742</v>
      </c>
    </row>
    <row r="80" spans="1:23" hidden="1" x14ac:dyDescent="0.3">
      <c r="A80" s="22" t="s">
        <v>173</v>
      </c>
      <c r="B80" s="22" t="s">
        <v>173</v>
      </c>
      <c r="C80" s="23" t="s">
        <v>33</v>
      </c>
      <c r="D80" s="20" t="s">
        <v>34</v>
      </c>
      <c r="E80" s="22" t="s">
        <v>174</v>
      </c>
      <c r="F80" s="24" t="str">
        <f t="shared" si="4"/>
        <v>PPG - Johnstones QD OPAQUE - Mix - 5ltr</v>
      </c>
      <c r="G80" s="23" t="s">
        <v>4959</v>
      </c>
      <c r="H80" s="25" t="s">
        <v>36</v>
      </c>
      <c r="I80" s="18" t="s">
        <v>37</v>
      </c>
      <c r="J80" s="18" t="s">
        <v>38</v>
      </c>
      <c r="K80" t="s">
        <v>39</v>
      </c>
      <c r="L80" s="26">
        <f>VLOOKUP(A80,'[3]Price info'!A:D,4,FALSE)</f>
        <v>25.08</v>
      </c>
      <c r="M80" s="18" t="s">
        <v>40</v>
      </c>
      <c r="N80" s="20">
        <v>3105</v>
      </c>
      <c r="P80" s="16">
        <f>VLOOKUP(A80,'[3]Price info'!A:H,8,FALSE)</f>
        <v>23.34948</v>
      </c>
      <c r="Q80" s="27">
        <f t="shared" si="5"/>
        <v>0.93100000000000005</v>
      </c>
      <c r="S80" s="16">
        <f>VLOOKUP(A80,[4]Sales!$E:$G,3,FALSE)</f>
        <v>73913.140000000014</v>
      </c>
      <c r="T80" s="19">
        <f>VLOOKUP(A80,[4]Volume!$E:$G,3,FALSE)</f>
        <v>15430</v>
      </c>
      <c r="U80" s="19">
        <f>VLOOKUP(A80,[4]Piece!$E:$G,3,FALSE)</f>
        <v>3086</v>
      </c>
      <c r="V80" s="21">
        <f t="shared" si="6"/>
        <v>72056.495280000003</v>
      </c>
      <c r="W80" s="16">
        <f t="shared" si="7"/>
        <v>-1856.6447200000111</v>
      </c>
    </row>
    <row r="81" spans="1:23" hidden="1" x14ac:dyDescent="0.3">
      <c r="A81" s="22" t="s">
        <v>175</v>
      </c>
      <c r="B81" s="22" t="s">
        <v>175</v>
      </c>
      <c r="C81" s="23" t="s">
        <v>33</v>
      </c>
      <c r="D81" s="20" t="s">
        <v>34</v>
      </c>
      <c r="E81" s="22" t="s">
        <v>176</v>
      </c>
      <c r="F81" s="24" t="str">
        <f t="shared" si="4"/>
        <v>PPG - Johnstones Acrylic Durable Matt - Mix - 5ltr</v>
      </c>
      <c r="G81" s="23" t="s">
        <v>4960</v>
      </c>
      <c r="H81" s="25" t="s">
        <v>36</v>
      </c>
      <c r="I81" s="18" t="s">
        <v>37</v>
      </c>
      <c r="J81" s="18" t="s">
        <v>38</v>
      </c>
      <c r="K81" t="s">
        <v>39</v>
      </c>
      <c r="L81" s="26">
        <f>VLOOKUP(A81,'[3]Price info'!A:D,4,FALSE)</f>
        <v>22.47</v>
      </c>
      <c r="M81" s="18" t="s">
        <v>40</v>
      </c>
      <c r="N81" s="20">
        <v>3105</v>
      </c>
      <c r="P81" s="16">
        <f>VLOOKUP(A81,'[3]Price info'!A:H,8,FALSE)</f>
        <v>18.3</v>
      </c>
      <c r="Q81" s="27">
        <f t="shared" si="5"/>
        <v>0.81441922563417901</v>
      </c>
      <c r="S81" s="16">
        <f>VLOOKUP(A81,[4]Sales!$E:$G,3,FALSE)</f>
        <v>48108.579999999958</v>
      </c>
      <c r="T81" s="19">
        <f>VLOOKUP(A81,[4]Volume!$E:$G,3,FALSE)</f>
        <v>11750</v>
      </c>
      <c r="U81" s="19">
        <f>VLOOKUP(A81,[4]Piece!$E:$G,3,FALSE)</f>
        <v>2350</v>
      </c>
      <c r="V81" s="21">
        <f t="shared" si="6"/>
        <v>43005</v>
      </c>
      <c r="W81" s="16">
        <f t="shared" si="7"/>
        <v>-5103.5799999999581</v>
      </c>
    </row>
    <row r="82" spans="1:23" hidden="1" x14ac:dyDescent="0.3">
      <c r="A82" s="22" t="s">
        <v>177</v>
      </c>
      <c r="B82" s="22" t="s">
        <v>177</v>
      </c>
      <c r="C82" s="23" t="s">
        <v>33</v>
      </c>
      <c r="D82" s="20" t="s">
        <v>34</v>
      </c>
      <c r="E82" s="22" t="s">
        <v>178</v>
      </c>
      <c r="F82" s="24" t="str">
        <f t="shared" si="4"/>
        <v>PPG - Johnstones ACRYLIC EGGSHELL - BW - 5ltr</v>
      </c>
      <c r="G82" s="23" t="s">
        <v>4961</v>
      </c>
      <c r="H82" s="25" t="s">
        <v>36</v>
      </c>
      <c r="I82" s="18" t="s">
        <v>37</v>
      </c>
      <c r="J82" s="18" t="s">
        <v>38</v>
      </c>
      <c r="K82" t="s">
        <v>39</v>
      </c>
      <c r="L82" s="26">
        <f>VLOOKUP(A82,'[3]Price info'!A:D,4,FALSE)</f>
        <v>18.66</v>
      </c>
      <c r="M82" s="18" t="s">
        <v>40</v>
      </c>
      <c r="N82" s="20">
        <v>3105</v>
      </c>
      <c r="P82" s="16">
        <f>VLOOKUP(A82,'[3]Price info'!A:H,8,FALSE)</f>
        <v>17.37246</v>
      </c>
      <c r="Q82" s="27">
        <f t="shared" si="5"/>
        <v>0.93100000000000005</v>
      </c>
      <c r="S82" s="16">
        <f>VLOOKUP(A82,[4]Sales!$E:$G,3,FALSE)</f>
        <v>22709.129999999986</v>
      </c>
      <c r="T82" s="19">
        <f>VLOOKUP(A82,[4]Volume!$E:$G,3,FALSE)</f>
        <v>6375</v>
      </c>
      <c r="U82" s="19">
        <f>VLOOKUP(A82,[4]Piece!$E:$G,3,FALSE)</f>
        <v>1275</v>
      </c>
      <c r="V82" s="21">
        <f t="shared" si="6"/>
        <v>22149.886500000001</v>
      </c>
      <c r="W82" s="16">
        <f t="shared" si="7"/>
        <v>-559.24349999998594</v>
      </c>
    </row>
    <row r="83" spans="1:23" hidden="1" x14ac:dyDescent="0.3">
      <c r="A83" s="22" t="s">
        <v>179</v>
      </c>
      <c r="B83" s="22" t="s">
        <v>179</v>
      </c>
      <c r="C83" s="23" t="s">
        <v>33</v>
      </c>
      <c r="D83" s="20" t="s">
        <v>34</v>
      </c>
      <c r="E83" s="22" t="s">
        <v>180</v>
      </c>
      <c r="F83" s="24" t="str">
        <f t="shared" si="4"/>
        <v>PPG - Johnstones FLAME RET DURABLE MATT - BW - 5l</v>
      </c>
      <c r="G83" s="23" t="s">
        <v>4962</v>
      </c>
      <c r="H83" s="25" t="s">
        <v>36</v>
      </c>
      <c r="I83" s="18" t="s">
        <v>37</v>
      </c>
      <c r="J83" s="18" t="s">
        <v>38</v>
      </c>
      <c r="K83" t="s">
        <v>39</v>
      </c>
      <c r="L83" s="26">
        <f>VLOOKUP(A83,'[3]Price info'!A:D,4,FALSE)</f>
        <v>40.590000000000003</v>
      </c>
      <c r="M83" s="18" t="s">
        <v>40</v>
      </c>
      <c r="N83" s="20">
        <v>3105</v>
      </c>
      <c r="P83" s="16">
        <f>VLOOKUP(A83,'[3]Price info'!A:H,8,FALSE)</f>
        <v>40.590000000000003</v>
      </c>
      <c r="Q83" s="27">
        <f t="shared" si="5"/>
        <v>1</v>
      </c>
      <c r="S83" s="16">
        <f>VLOOKUP(A83,[4]Sales!$E:$G,3,FALSE)</f>
        <v>30216.400000000056</v>
      </c>
      <c r="T83" s="19">
        <f>VLOOKUP(A83,[4]Volume!$E:$G,3,FALSE)</f>
        <v>3740</v>
      </c>
      <c r="U83" s="19">
        <f>VLOOKUP(A83,[4]Piece!$E:$G,3,FALSE)</f>
        <v>748</v>
      </c>
      <c r="V83" s="21">
        <f t="shared" si="6"/>
        <v>30361.320000000003</v>
      </c>
      <c r="W83" s="16">
        <f t="shared" si="7"/>
        <v>144.91999999994732</v>
      </c>
    </row>
    <row r="84" spans="1:23" hidden="1" x14ac:dyDescent="0.3">
      <c r="A84" s="22" t="s">
        <v>181</v>
      </c>
      <c r="B84" s="22" t="s">
        <v>181</v>
      </c>
      <c r="C84" s="23" t="s">
        <v>33</v>
      </c>
      <c r="D84" s="20" t="s">
        <v>34</v>
      </c>
      <c r="E84" s="22" t="s">
        <v>182</v>
      </c>
      <c r="F84" s="24" t="str">
        <f t="shared" si="4"/>
        <v>PPG - Stormshield SMOOTH MASONRY - Mix - 5ltr</v>
      </c>
      <c r="G84" s="23" t="s">
        <v>4963</v>
      </c>
      <c r="H84" s="25" t="s">
        <v>36</v>
      </c>
      <c r="I84" s="18" t="s">
        <v>37</v>
      </c>
      <c r="J84" s="18" t="s">
        <v>38</v>
      </c>
      <c r="K84" t="s">
        <v>39</v>
      </c>
      <c r="L84" s="26">
        <f>VLOOKUP(A84,'[3]Price info'!A:D,4,FALSE)</f>
        <v>17.84</v>
      </c>
      <c r="M84" s="18" t="s">
        <v>40</v>
      </c>
      <c r="N84" s="20">
        <v>3105</v>
      </c>
      <c r="P84" s="16">
        <f>VLOOKUP(A84,'[3]Price info'!A:H,8,FALSE)</f>
        <v>16.61</v>
      </c>
      <c r="Q84" s="27">
        <f t="shared" si="5"/>
        <v>0.93105381165919276</v>
      </c>
      <c r="S84" s="16">
        <f>VLOOKUP(A84,[4]Sales!$E:$G,3,FALSE)</f>
        <v>37541.180000000109</v>
      </c>
      <c r="T84" s="19">
        <f>VLOOKUP(A84,[4]Volume!$E:$G,3,FALSE)</f>
        <v>11040</v>
      </c>
      <c r="U84" s="19">
        <f>VLOOKUP(A84,[4]Piece!$E:$G,3,FALSE)</f>
        <v>2208</v>
      </c>
      <c r="V84" s="21">
        <f t="shared" si="6"/>
        <v>36674.879999999997</v>
      </c>
      <c r="W84" s="16">
        <f t="shared" si="7"/>
        <v>-866.30000000011205</v>
      </c>
    </row>
    <row r="85" spans="1:23" hidden="1" x14ac:dyDescent="0.3">
      <c r="A85" s="22" t="s">
        <v>183</v>
      </c>
      <c r="B85" s="22" t="s">
        <v>183</v>
      </c>
      <c r="C85" s="23" t="s">
        <v>33</v>
      </c>
      <c r="D85" s="20" t="s">
        <v>34</v>
      </c>
      <c r="E85" s="22" t="s">
        <v>184</v>
      </c>
      <c r="F85" s="24" t="str">
        <f t="shared" si="4"/>
        <v>PPG - Johnstones COVAPLUS - Mix - 5ltr</v>
      </c>
      <c r="G85" s="23" t="s">
        <v>4964</v>
      </c>
      <c r="H85" s="25" t="s">
        <v>36</v>
      </c>
      <c r="I85" s="18" t="s">
        <v>37</v>
      </c>
      <c r="J85" s="18" t="s">
        <v>38</v>
      </c>
      <c r="K85" t="s">
        <v>39</v>
      </c>
      <c r="L85" s="26">
        <f>VLOOKUP(A85,'[3]Price info'!A:D,4,FALSE)</f>
        <v>11.77</v>
      </c>
      <c r="M85" s="18" t="s">
        <v>40</v>
      </c>
      <c r="N85" s="20">
        <v>3105</v>
      </c>
      <c r="P85" s="16">
        <f>VLOOKUP(A85,'[3]Price info'!A:H,8,FALSE)</f>
        <v>10.95787</v>
      </c>
      <c r="Q85" s="27">
        <f t="shared" si="5"/>
        <v>0.93100000000000005</v>
      </c>
      <c r="S85" s="16">
        <f>VLOOKUP(A85,[4]Sales!$E:$G,3,FALSE)</f>
        <v>20352.089999999953</v>
      </c>
      <c r="T85" s="19">
        <f>VLOOKUP(A85,[4]Volume!$E:$G,3,FALSE)</f>
        <v>9000</v>
      </c>
      <c r="U85" s="19">
        <f>VLOOKUP(A85,[4]Piece!$E:$G,3,FALSE)</f>
        <v>1800</v>
      </c>
      <c r="V85" s="21">
        <f t="shared" si="6"/>
        <v>19724.166000000001</v>
      </c>
      <c r="W85" s="16">
        <f t="shared" si="7"/>
        <v>-627.92399999995177</v>
      </c>
    </row>
    <row r="86" spans="1:23" hidden="1" x14ac:dyDescent="0.3">
      <c r="A86" s="22" t="s">
        <v>185</v>
      </c>
      <c r="B86" s="22" t="s">
        <v>185</v>
      </c>
      <c r="C86" s="23" t="s">
        <v>33</v>
      </c>
      <c r="D86" s="20" t="s">
        <v>34</v>
      </c>
      <c r="E86" s="22" t="s">
        <v>186</v>
      </c>
      <c r="F86" s="24" t="str">
        <f t="shared" si="4"/>
        <v>PPG - Johnstones AQUA GLOSS - Bril White - 5ltr</v>
      </c>
      <c r="G86" s="23" t="s">
        <v>4965</v>
      </c>
      <c r="H86" s="25" t="s">
        <v>36</v>
      </c>
      <c r="I86" s="18" t="s">
        <v>37</v>
      </c>
      <c r="J86" s="18" t="s">
        <v>38</v>
      </c>
      <c r="K86" t="s">
        <v>39</v>
      </c>
      <c r="L86" s="26">
        <f>VLOOKUP(A86,'[3]Price info'!A:D,4,FALSE)</f>
        <v>23.05</v>
      </c>
      <c r="M86" s="18" t="s">
        <v>40</v>
      </c>
      <c r="N86" s="20">
        <v>3105</v>
      </c>
      <c r="P86" s="16">
        <f>VLOOKUP(A86,'[3]Price info'!A:H,8,FALSE)</f>
        <v>23.05</v>
      </c>
      <c r="Q86" s="27">
        <f t="shared" si="5"/>
        <v>1</v>
      </c>
      <c r="S86" s="16">
        <f>VLOOKUP(A86,[4]Sales!$E:$G,3,FALSE)</f>
        <v>17897.87</v>
      </c>
      <c r="T86" s="19">
        <f>VLOOKUP(A86,[4]Volume!$E:$G,3,FALSE)</f>
        <v>3910</v>
      </c>
      <c r="U86" s="19">
        <f>VLOOKUP(A86,[4]Piece!$E:$G,3,FALSE)</f>
        <v>782</v>
      </c>
      <c r="V86" s="21">
        <f t="shared" si="6"/>
        <v>18025.100000000002</v>
      </c>
      <c r="W86" s="16">
        <f t="shared" si="7"/>
        <v>127.2300000000032</v>
      </c>
    </row>
    <row r="87" spans="1:23" hidden="1" x14ac:dyDescent="0.3">
      <c r="A87" s="22" t="s">
        <v>187</v>
      </c>
      <c r="B87" s="22" t="s">
        <v>187</v>
      </c>
      <c r="C87" s="23" t="s">
        <v>33</v>
      </c>
      <c r="D87" s="20" t="s">
        <v>34</v>
      </c>
      <c r="E87" s="22" t="s">
        <v>188</v>
      </c>
      <c r="F87" s="24" t="str">
        <f t="shared" si="4"/>
        <v>PPG - Johnstones SMOOTH METAL - Black - 5ltr</v>
      </c>
      <c r="G87" s="23" t="s">
        <v>4966</v>
      </c>
      <c r="H87" s="25" t="s">
        <v>36</v>
      </c>
      <c r="I87" s="18" t="s">
        <v>37</v>
      </c>
      <c r="J87" s="18" t="s">
        <v>38</v>
      </c>
      <c r="K87" t="s">
        <v>39</v>
      </c>
      <c r="L87" s="26">
        <f>VLOOKUP(A87,'[3]Price info'!A:D,4,FALSE)</f>
        <v>47.88</v>
      </c>
      <c r="M87" s="18" t="s">
        <v>40</v>
      </c>
      <c r="N87" s="20">
        <v>3105</v>
      </c>
      <c r="P87" s="16">
        <f>VLOOKUP(A87,'[3]Price info'!A:H,8,FALSE)</f>
        <v>44.576280000000004</v>
      </c>
      <c r="Q87" s="27">
        <f t="shared" si="5"/>
        <v>0.93100000000000005</v>
      </c>
      <c r="S87" s="16">
        <f>VLOOKUP(A87,[4]Sales!$E:$G,3,FALSE)</f>
        <v>20507.889999999948</v>
      </c>
      <c r="T87" s="19">
        <f>VLOOKUP(A87,[4]Volume!$E:$G,3,FALSE)</f>
        <v>2235</v>
      </c>
      <c r="U87" s="19">
        <f>VLOOKUP(A87,[4]Piece!$E:$G,3,FALSE)</f>
        <v>447</v>
      </c>
      <c r="V87" s="21">
        <f t="shared" si="6"/>
        <v>19925.597160000001</v>
      </c>
      <c r="W87" s="16">
        <f t="shared" si="7"/>
        <v>-582.29283999994732</v>
      </c>
    </row>
    <row r="88" spans="1:23" hidden="1" x14ac:dyDescent="0.3">
      <c r="A88" s="22" t="s">
        <v>189</v>
      </c>
      <c r="B88" s="22" t="s">
        <v>189</v>
      </c>
      <c r="C88" s="23" t="s">
        <v>33</v>
      </c>
      <c r="D88" s="20" t="s">
        <v>34</v>
      </c>
      <c r="E88" s="22" t="s">
        <v>190</v>
      </c>
      <c r="F88" s="24" t="str">
        <f t="shared" si="4"/>
        <v>PPG - Johnstones COVAPLUS - Magnolia - 10ltr</v>
      </c>
      <c r="G88" s="23" t="s">
        <v>4967</v>
      </c>
      <c r="H88" s="25" t="s">
        <v>36</v>
      </c>
      <c r="I88" s="18" t="s">
        <v>37</v>
      </c>
      <c r="J88" s="18" t="s">
        <v>38</v>
      </c>
      <c r="K88" t="s">
        <v>39</v>
      </c>
      <c r="L88" s="26">
        <f>VLOOKUP(A88,'[3]Price info'!A:D,4,FALSE)</f>
        <v>18.670000000000002</v>
      </c>
      <c r="M88" s="18" t="s">
        <v>40</v>
      </c>
      <c r="N88" s="20">
        <v>3105</v>
      </c>
      <c r="P88" s="16">
        <f>VLOOKUP(A88,'[3]Price info'!A:H,8,FALSE)</f>
        <v>16.62</v>
      </c>
      <c r="Q88" s="27">
        <f t="shared" si="5"/>
        <v>0.89019817889662556</v>
      </c>
      <c r="S88" s="16">
        <f>VLOOKUP(A88,[4]Sales!$E:$G,3,FALSE)</f>
        <v>18839.100000000035</v>
      </c>
      <c r="T88" s="19">
        <f>VLOOKUP(A88,[4]Volume!$E:$G,3,FALSE)</f>
        <v>10690</v>
      </c>
      <c r="U88" s="19">
        <f>VLOOKUP(A88,[4]Piece!$E:$G,3,FALSE)</f>
        <v>1069</v>
      </c>
      <c r="V88" s="21">
        <f t="shared" si="6"/>
        <v>17766.780000000002</v>
      </c>
      <c r="W88" s="16">
        <f t="shared" si="7"/>
        <v>-1072.3200000000325</v>
      </c>
    </row>
    <row r="89" spans="1:23" hidden="1" x14ac:dyDescent="0.3">
      <c r="A89" s="22" t="s">
        <v>191</v>
      </c>
      <c r="B89" s="22" t="s">
        <v>191</v>
      </c>
      <c r="C89" s="23" t="s">
        <v>33</v>
      </c>
      <c r="D89" s="20" t="s">
        <v>34</v>
      </c>
      <c r="E89" s="22" t="s">
        <v>192</v>
      </c>
      <c r="F89" s="24" t="str">
        <f t="shared" si="4"/>
        <v>PPG - Johnstones Acrylic Durable Matt - Mix - 10l</v>
      </c>
      <c r="G89" s="23" t="s">
        <v>4968</v>
      </c>
      <c r="H89" s="25" t="s">
        <v>36</v>
      </c>
      <c r="I89" s="18" t="s">
        <v>37</v>
      </c>
      <c r="J89" s="18" t="s">
        <v>38</v>
      </c>
      <c r="K89" t="s">
        <v>39</v>
      </c>
      <c r="L89" s="26">
        <f>VLOOKUP(A89,'[3]Price info'!A:D,4,FALSE)</f>
        <v>40.83</v>
      </c>
      <c r="M89" s="18" t="s">
        <v>40</v>
      </c>
      <c r="N89" s="20">
        <v>3105</v>
      </c>
      <c r="P89" s="16">
        <f>VLOOKUP(A89,'[3]Price info'!A:H,8,FALSE)</f>
        <v>34.770000000000003</v>
      </c>
      <c r="Q89" s="27">
        <f t="shared" si="5"/>
        <v>0.85157972079353428</v>
      </c>
      <c r="S89" s="16">
        <f>VLOOKUP(A89,[4]Sales!$E:$G,3,FALSE)</f>
        <v>11946.149999999996</v>
      </c>
      <c r="T89" s="19">
        <f>VLOOKUP(A89,[4]Volume!$E:$G,3,FALSE)</f>
        <v>3150</v>
      </c>
      <c r="U89" s="19">
        <f>VLOOKUP(A89,[4]Piece!$E:$G,3,FALSE)</f>
        <v>315</v>
      </c>
      <c r="V89" s="21">
        <f t="shared" si="6"/>
        <v>10952.550000000001</v>
      </c>
      <c r="W89" s="16">
        <f t="shared" si="7"/>
        <v>-993.59999999999491</v>
      </c>
    </row>
    <row r="90" spans="1:23" hidden="1" x14ac:dyDescent="0.3">
      <c r="A90" s="22" t="s">
        <v>193</v>
      </c>
      <c r="B90" s="22" t="s">
        <v>193</v>
      </c>
      <c r="C90" s="23" t="s">
        <v>33</v>
      </c>
      <c r="D90" s="20" t="s">
        <v>34</v>
      </c>
      <c r="E90" s="22" t="s">
        <v>194</v>
      </c>
      <c r="F90" s="24" t="str">
        <f t="shared" si="4"/>
        <v>PPG - Stormshield SMOOTH MASONRY - Mix - 10ltr</v>
      </c>
      <c r="G90" s="23" t="s">
        <v>4969</v>
      </c>
      <c r="H90" s="25" t="s">
        <v>36</v>
      </c>
      <c r="I90" s="18" t="s">
        <v>37</v>
      </c>
      <c r="J90" s="18" t="s">
        <v>38</v>
      </c>
      <c r="K90" t="s">
        <v>39</v>
      </c>
      <c r="L90" s="26">
        <f>VLOOKUP(A90,'[3]Price info'!A:D,4,FALSE)</f>
        <v>29.75</v>
      </c>
      <c r="M90" s="18" t="s">
        <v>40</v>
      </c>
      <c r="N90" s="20">
        <v>3105</v>
      </c>
      <c r="P90" s="16">
        <f>VLOOKUP(A90,'[3]Price info'!A:H,8,FALSE)</f>
        <v>29.75</v>
      </c>
      <c r="Q90" s="27">
        <f t="shared" si="5"/>
        <v>1</v>
      </c>
      <c r="S90" s="16">
        <f>VLOOKUP(A90,[4]Sales!$E:$G,3,FALSE)</f>
        <v>16894.329999999998</v>
      </c>
      <c r="T90" s="19">
        <f>VLOOKUP(A90,[4]Volume!$E:$G,3,FALSE)</f>
        <v>5750</v>
      </c>
      <c r="U90" s="19">
        <f>VLOOKUP(A90,[4]Piece!$E:$G,3,FALSE)</f>
        <v>575</v>
      </c>
      <c r="V90" s="21">
        <f t="shared" si="6"/>
        <v>17106.25</v>
      </c>
      <c r="W90" s="16">
        <f t="shared" si="7"/>
        <v>211.92000000000189</v>
      </c>
    </row>
    <row r="91" spans="1:23" hidden="1" x14ac:dyDescent="0.3">
      <c r="A91" s="22" t="s">
        <v>195</v>
      </c>
      <c r="B91" s="22" t="s">
        <v>195</v>
      </c>
      <c r="C91" s="23" t="s">
        <v>33</v>
      </c>
      <c r="D91" s="20" t="s">
        <v>34</v>
      </c>
      <c r="E91" s="22" t="s">
        <v>196</v>
      </c>
      <c r="F91" s="24" t="str">
        <f t="shared" si="4"/>
        <v>PPG - Johnstones STAINAWAY - Mix - 5ltr</v>
      </c>
      <c r="G91" s="23" t="s">
        <v>4970</v>
      </c>
      <c r="H91" s="25" t="s">
        <v>36</v>
      </c>
      <c r="I91" s="18" t="s">
        <v>37</v>
      </c>
      <c r="J91" s="18" t="s">
        <v>38</v>
      </c>
      <c r="K91" t="s">
        <v>39</v>
      </c>
      <c r="L91" s="26">
        <f>VLOOKUP(A91,'[3]Price info'!A:D,4,FALSE)</f>
        <v>60.61</v>
      </c>
      <c r="M91" s="18" t="s">
        <v>40</v>
      </c>
      <c r="N91" s="20">
        <v>3105</v>
      </c>
      <c r="P91" s="16">
        <f>VLOOKUP(A91,'[3]Price info'!A:H,8,FALSE)</f>
        <v>42.76</v>
      </c>
      <c r="Q91" s="27">
        <f t="shared" si="5"/>
        <v>0.70549414288071277</v>
      </c>
      <c r="S91" s="16">
        <f>VLOOKUP(A91,[4]Sales!$E:$G,3,FALSE)</f>
        <v>762.61999999999989</v>
      </c>
      <c r="T91" s="19">
        <f>VLOOKUP(A91,[4]Volume!$E:$G,3,FALSE)</f>
        <v>85</v>
      </c>
      <c r="U91" s="19">
        <f>VLOOKUP(A91,[4]Piece!$E:$G,3,FALSE)</f>
        <v>17</v>
      </c>
      <c r="V91" s="21">
        <f t="shared" si="6"/>
        <v>726.92</v>
      </c>
      <c r="W91" s="16">
        <f t="shared" si="7"/>
        <v>-35.699999999999932</v>
      </c>
    </row>
    <row r="92" spans="1:23" hidden="1" x14ac:dyDescent="0.3">
      <c r="A92" s="22" t="s">
        <v>197</v>
      </c>
      <c r="B92" s="22" t="s">
        <v>197</v>
      </c>
      <c r="C92" s="23" t="s">
        <v>33</v>
      </c>
      <c r="D92" s="20" t="s">
        <v>34</v>
      </c>
      <c r="E92" s="22" t="s">
        <v>198</v>
      </c>
      <c r="F92" s="24" t="str">
        <f t="shared" si="4"/>
        <v>PPG - ProGold COTTON DUST SHEET 3 PIECE 12' X 9'</v>
      </c>
      <c r="G92" s="23" t="s">
        <v>4971</v>
      </c>
      <c r="H92" s="25" t="s">
        <v>36</v>
      </c>
      <c r="I92" s="18" t="s">
        <v>37</v>
      </c>
      <c r="J92" s="18" t="s">
        <v>38</v>
      </c>
      <c r="K92" t="s">
        <v>39</v>
      </c>
      <c r="L92" s="26">
        <f>VLOOKUP(A92,'[3]Price info'!A:D,4,FALSE)</f>
        <v>23.74</v>
      </c>
      <c r="M92" s="18" t="s">
        <v>40</v>
      </c>
      <c r="N92" s="20">
        <v>3105</v>
      </c>
      <c r="P92" s="16">
        <f>VLOOKUP(A92,'[3]Price info'!A:H,8,FALSE)</f>
        <v>22.101939999999999</v>
      </c>
      <c r="Q92" s="27">
        <f t="shared" si="5"/>
        <v>0.93100000000000005</v>
      </c>
      <c r="S92" s="16">
        <f>VLOOKUP(A92,[4]Sales!$E:$G,3,FALSE)</f>
        <v>17217.559999999899</v>
      </c>
      <c r="T92" s="19">
        <f>VLOOKUP(A92,[4]Volume!$E:$G,3,FALSE)</f>
        <v>763</v>
      </c>
      <c r="U92" s="19">
        <f>VLOOKUP(A92,[4]Piece!$E:$G,3,FALSE)</f>
        <v>763</v>
      </c>
      <c r="V92" s="21">
        <f t="shared" si="6"/>
        <v>16863.780220000001</v>
      </c>
      <c r="W92" s="16">
        <f t="shared" si="7"/>
        <v>-353.77977999989889</v>
      </c>
    </row>
    <row r="93" spans="1:23" hidden="1" x14ac:dyDescent="0.3">
      <c r="A93" s="22" t="s">
        <v>199</v>
      </c>
      <c r="B93" s="22" t="s">
        <v>199</v>
      </c>
      <c r="C93" s="23" t="s">
        <v>33</v>
      </c>
      <c r="D93" s="20" t="s">
        <v>34</v>
      </c>
      <c r="E93" s="22" t="s">
        <v>200</v>
      </c>
      <c r="F93" s="24" t="str">
        <f t="shared" si="4"/>
        <v>PPG - Stormshield SMOOTH MASONRY - BW - 10ltr</v>
      </c>
      <c r="G93" s="23" t="s">
        <v>4972</v>
      </c>
      <c r="H93" s="25" t="s">
        <v>36</v>
      </c>
      <c r="I93" s="18" t="s">
        <v>37</v>
      </c>
      <c r="J93" s="18" t="s">
        <v>38</v>
      </c>
      <c r="K93" t="s">
        <v>39</v>
      </c>
      <c r="L93" s="26">
        <f>VLOOKUP(A93,'[3]Price info'!A:D,4,FALSE)</f>
        <v>26</v>
      </c>
      <c r="M93" s="18" t="s">
        <v>40</v>
      </c>
      <c r="N93" s="20">
        <v>3105</v>
      </c>
      <c r="P93" s="16">
        <f>VLOOKUP(A93,'[3]Price info'!A:H,8,FALSE)</f>
        <v>26</v>
      </c>
      <c r="Q93" s="27">
        <f t="shared" si="5"/>
        <v>1</v>
      </c>
      <c r="S93" s="16">
        <f>VLOOKUP(A93,[4]Sales!$E:$G,3,FALSE)</f>
        <v>21035.68</v>
      </c>
      <c r="T93" s="19">
        <f>VLOOKUP(A93,[4]Volume!$E:$G,3,FALSE)</f>
        <v>8120</v>
      </c>
      <c r="U93" s="19">
        <f>VLOOKUP(A93,[4]Piece!$E:$G,3,FALSE)</f>
        <v>812</v>
      </c>
      <c r="V93" s="21">
        <f t="shared" si="6"/>
        <v>21112</v>
      </c>
      <c r="W93" s="16">
        <f t="shared" si="7"/>
        <v>76.319999999999709</v>
      </c>
    </row>
    <row r="94" spans="1:23" hidden="1" x14ac:dyDescent="0.3">
      <c r="A94" s="22" t="s">
        <v>201</v>
      </c>
      <c r="B94" s="22" t="s">
        <v>201</v>
      </c>
      <c r="C94" s="23" t="s">
        <v>33</v>
      </c>
      <c r="D94" s="20" t="s">
        <v>34</v>
      </c>
      <c r="E94" s="22" t="s">
        <v>202</v>
      </c>
      <c r="F94" s="24" t="str">
        <f t="shared" si="4"/>
        <v>PPG - Johnstones FLAME RET ACRYLIC EGGSHELL MAG 5l</v>
      </c>
      <c r="G94" s="23" t="s">
        <v>4973</v>
      </c>
      <c r="H94" s="25" t="s">
        <v>36</v>
      </c>
      <c r="I94" s="18" t="s">
        <v>37</v>
      </c>
      <c r="J94" s="18" t="s">
        <v>38</v>
      </c>
      <c r="K94" t="s">
        <v>39</v>
      </c>
      <c r="L94" s="26">
        <f>VLOOKUP(A94,'[3]Price info'!A:D,4,FALSE)</f>
        <v>40.590000000000003</v>
      </c>
      <c r="M94" s="18" t="s">
        <v>40</v>
      </c>
      <c r="N94" s="20">
        <v>3105</v>
      </c>
      <c r="P94" s="16">
        <f>VLOOKUP(A94,'[3]Price info'!A:H,8,FALSE)</f>
        <v>40.590000000000003</v>
      </c>
      <c r="Q94" s="27">
        <f t="shared" si="5"/>
        <v>1</v>
      </c>
      <c r="S94" s="16">
        <f>VLOOKUP(A94,[4]Sales!$E:$G,3,FALSE)</f>
        <v>11862.880000000006</v>
      </c>
      <c r="T94" s="19">
        <f>VLOOKUP(A94,[4]Volume!$E:$G,3,FALSE)</f>
        <v>1460</v>
      </c>
      <c r="U94" s="19">
        <f>VLOOKUP(A94,[4]Piece!$E:$G,3,FALSE)</f>
        <v>292</v>
      </c>
      <c r="V94" s="21">
        <f t="shared" si="6"/>
        <v>11852.28</v>
      </c>
      <c r="W94" s="16">
        <f t="shared" si="7"/>
        <v>-10.600000000005821</v>
      </c>
    </row>
    <row r="95" spans="1:23" hidden="1" x14ac:dyDescent="0.3">
      <c r="A95" s="22" t="s">
        <v>203</v>
      </c>
      <c r="B95" s="22" t="s">
        <v>203</v>
      </c>
      <c r="C95" s="23" t="s">
        <v>33</v>
      </c>
      <c r="D95" s="20" t="s">
        <v>34</v>
      </c>
      <c r="E95" s="22" t="s">
        <v>204</v>
      </c>
      <c r="F95" s="24" t="str">
        <f t="shared" si="4"/>
        <v>PPG - Johnstones AQUA UNDERCOAT - BW - 5ltr</v>
      </c>
      <c r="G95" s="23" t="s">
        <v>4974</v>
      </c>
      <c r="H95" s="25" t="s">
        <v>36</v>
      </c>
      <c r="I95" s="18" t="s">
        <v>37</v>
      </c>
      <c r="J95" s="18" t="s">
        <v>38</v>
      </c>
      <c r="K95" t="s">
        <v>39</v>
      </c>
      <c r="L95" s="26">
        <f>VLOOKUP(A95,'[3]Price info'!A:D,4,FALSE)</f>
        <v>23.05</v>
      </c>
      <c r="M95" s="18" t="s">
        <v>40</v>
      </c>
      <c r="N95" s="20">
        <v>3105</v>
      </c>
      <c r="P95" s="16">
        <f>VLOOKUP(A95,'[3]Price info'!A:H,8,FALSE)</f>
        <v>23.05</v>
      </c>
      <c r="Q95" s="27">
        <f t="shared" si="5"/>
        <v>1</v>
      </c>
      <c r="S95" s="16">
        <f>VLOOKUP(A95,[4]Sales!$E:$G,3,FALSE)</f>
        <v>17452.359999999997</v>
      </c>
      <c r="T95" s="19">
        <f>VLOOKUP(A95,[4]Volume!$E:$G,3,FALSE)</f>
        <v>3805</v>
      </c>
      <c r="U95" s="19">
        <f>VLOOKUP(A95,[4]Piece!$E:$G,3,FALSE)</f>
        <v>761</v>
      </c>
      <c r="V95" s="21">
        <f t="shared" si="6"/>
        <v>17541.05</v>
      </c>
      <c r="W95" s="16">
        <f t="shared" si="7"/>
        <v>88.690000000002328</v>
      </c>
    </row>
    <row r="96" spans="1:23" hidden="1" x14ac:dyDescent="0.3">
      <c r="A96" s="22" t="s">
        <v>205</v>
      </c>
      <c r="B96" s="22" t="s">
        <v>205</v>
      </c>
      <c r="C96" s="23" t="s">
        <v>33</v>
      </c>
      <c r="D96" s="20" t="s">
        <v>34</v>
      </c>
      <c r="E96" s="22" t="s">
        <v>206</v>
      </c>
      <c r="F96" s="24" t="str">
        <f t="shared" si="4"/>
        <v>PPG - Johnstones PRO GLOSS - Brill White - 5ltr</v>
      </c>
      <c r="G96" s="23" t="s">
        <v>4975</v>
      </c>
      <c r="H96" s="25" t="s">
        <v>36</v>
      </c>
      <c r="I96" s="18" t="s">
        <v>37</v>
      </c>
      <c r="J96" s="18" t="s">
        <v>38</v>
      </c>
      <c r="K96" t="s">
        <v>39</v>
      </c>
      <c r="L96" s="26">
        <f>VLOOKUP(A96,'[3]Price info'!A:D,4,FALSE)</f>
        <v>16.899999999999999</v>
      </c>
      <c r="M96" s="18" t="s">
        <v>40</v>
      </c>
      <c r="N96" s="20">
        <v>3105</v>
      </c>
      <c r="P96" s="16">
        <f>VLOOKUP(A96,'[3]Price info'!A:H,8,FALSE)</f>
        <v>23.659999999999997</v>
      </c>
      <c r="Q96" s="27">
        <f t="shared" si="5"/>
        <v>1.4</v>
      </c>
      <c r="S96" s="16">
        <f>VLOOKUP(A96,[4]Sales!$E:$G,3,FALSE)</f>
        <v>16112.399999999921</v>
      </c>
      <c r="T96" s="19">
        <f>VLOOKUP(A96,[4]Volume!$E:$G,3,FALSE)</f>
        <v>3935</v>
      </c>
      <c r="U96" s="19">
        <f>VLOOKUP(A96,[4]Piece!$E:$G,3,FALSE)</f>
        <v>787</v>
      </c>
      <c r="V96" s="21">
        <f t="shared" si="6"/>
        <v>18620.419999999998</v>
      </c>
      <c r="W96" s="16">
        <f t="shared" si="7"/>
        <v>2508.0200000000768</v>
      </c>
    </row>
    <row r="97" spans="1:23" hidden="1" x14ac:dyDescent="0.3">
      <c r="A97" s="22" t="s">
        <v>207</v>
      </c>
      <c r="B97" s="22" t="s">
        <v>207</v>
      </c>
      <c r="C97" s="23" t="s">
        <v>33</v>
      </c>
      <c r="D97" s="20" t="s">
        <v>34</v>
      </c>
      <c r="E97" s="22" t="s">
        <v>208</v>
      </c>
      <c r="F97" s="24" t="str">
        <f t="shared" si="4"/>
        <v>PPG - Johnstones SMOOTH METAL - Mix - 5ltr</v>
      </c>
      <c r="G97" s="23" t="s">
        <v>4976</v>
      </c>
      <c r="H97" s="25" t="s">
        <v>36</v>
      </c>
      <c r="I97" s="18" t="s">
        <v>37</v>
      </c>
      <c r="J97" s="18" t="s">
        <v>38</v>
      </c>
      <c r="K97" t="s">
        <v>39</v>
      </c>
      <c r="L97" s="26">
        <f>VLOOKUP(A97,'[3]Price info'!A:D,4,FALSE)</f>
        <v>47.88</v>
      </c>
      <c r="M97" s="18" t="s">
        <v>40</v>
      </c>
      <c r="N97" s="20">
        <v>3105</v>
      </c>
      <c r="P97" s="16">
        <f>VLOOKUP(A97,'[3]Price info'!A:H,8,FALSE)</f>
        <v>44.576280000000004</v>
      </c>
      <c r="Q97" s="27">
        <f t="shared" si="5"/>
        <v>0.93100000000000005</v>
      </c>
      <c r="S97" s="16">
        <f>VLOOKUP(A97,[4]Sales!$E:$G,3,FALSE)</f>
        <v>20816.019999999997</v>
      </c>
      <c r="T97" s="19">
        <f>VLOOKUP(A97,[4]Volume!$E:$G,3,FALSE)</f>
        <v>2265</v>
      </c>
      <c r="U97" s="19">
        <f>VLOOKUP(A97,[4]Piece!$E:$G,3,FALSE)</f>
        <v>453</v>
      </c>
      <c r="V97" s="21">
        <f t="shared" si="6"/>
        <v>20193.054840000001</v>
      </c>
      <c r="W97" s="16">
        <f t="shared" si="7"/>
        <v>-622.9651599999961</v>
      </c>
    </row>
    <row r="98" spans="1:23" hidden="1" x14ac:dyDescent="0.3">
      <c r="A98" s="22" t="s">
        <v>209</v>
      </c>
      <c r="B98" s="22" t="s">
        <v>209</v>
      </c>
      <c r="C98" s="23" t="s">
        <v>33</v>
      </c>
      <c r="D98" s="20" t="s">
        <v>34</v>
      </c>
      <c r="E98" s="22" t="s">
        <v>210</v>
      </c>
      <c r="F98" s="24" t="str">
        <f t="shared" si="4"/>
        <v>PPG - Stormshield SMOOTH MASONRY - Mag - 10ltr</v>
      </c>
      <c r="G98" s="23" t="s">
        <v>4977</v>
      </c>
      <c r="H98" s="25" t="s">
        <v>36</v>
      </c>
      <c r="I98" s="18" t="s">
        <v>37</v>
      </c>
      <c r="J98" s="18" t="s">
        <v>38</v>
      </c>
      <c r="K98" t="s">
        <v>39</v>
      </c>
      <c r="L98" s="26">
        <f>VLOOKUP(A98,'[3]Price info'!A:D,4,FALSE)</f>
        <v>28.22</v>
      </c>
      <c r="M98" s="18" t="s">
        <v>40</v>
      </c>
      <c r="N98" s="20">
        <v>3105</v>
      </c>
      <c r="P98" s="16">
        <f>VLOOKUP(A98,'[3]Price info'!A:H,8,FALSE)</f>
        <v>26.272819999999999</v>
      </c>
      <c r="Q98" s="27">
        <f t="shared" si="5"/>
        <v>0.93100000000000005</v>
      </c>
      <c r="S98" s="16">
        <f>VLOOKUP(A98,[4]Sales!$E:$G,3,FALSE)</f>
        <v>26132.85000000002</v>
      </c>
      <c r="T98" s="19">
        <f>VLOOKUP(A98,[4]Volume!$E:$G,3,FALSE)</f>
        <v>9590</v>
      </c>
      <c r="U98" s="19">
        <f>VLOOKUP(A98,[4]Piece!$E:$G,3,FALSE)</f>
        <v>959</v>
      </c>
      <c r="V98" s="21">
        <f t="shared" si="6"/>
        <v>25195.63438</v>
      </c>
      <c r="W98" s="16">
        <f t="shared" si="7"/>
        <v>-937.21562000002086</v>
      </c>
    </row>
    <row r="99" spans="1:23" hidden="1" x14ac:dyDescent="0.3">
      <c r="A99" s="46" t="s">
        <v>211</v>
      </c>
      <c r="B99" s="46" t="s">
        <v>211</v>
      </c>
      <c r="C99" s="47" t="s">
        <v>33</v>
      </c>
      <c r="D99" s="48" t="s">
        <v>34</v>
      </c>
      <c r="E99" s="18" t="s">
        <v>212</v>
      </c>
      <c r="F99" s="24" t="str">
        <f t="shared" si="4"/>
        <v>PPG - EWI   STRU2G 155MM MAX 120MM INSULATION</v>
      </c>
      <c r="G99" s="20" t="s">
        <v>4978</v>
      </c>
      <c r="H99" s="49" t="s">
        <v>213</v>
      </c>
      <c r="I99" s="18" t="s">
        <v>37</v>
      </c>
      <c r="J99" s="18" t="s">
        <v>38</v>
      </c>
      <c r="K99" t="s">
        <v>39</v>
      </c>
      <c r="L99" s="50">
        <f>VLOOKUP(A99,'[3]Price info'!A:D,4,FALSE)</f>
        <v>45.91</v>
      </c>
      <c r="M99" s="18" t="s">
        <v>214</v>
      </c>
      <c r="N99" s="20">
        <v>3105</v>
      </c>
      <c r="P99" s="16">
        <f>VLOOKUP(A99,'[3]Price info'!A:H,8,FALSE)</f>
        <v>45.91</v>
      </c>
      <c r="Q99" s="17">
        <f t="shared" si="5"/>
        <v>1</v>
      </c>
      <c r="S99" s="16" t="e">
        <f>VLOOKUP(A99,[4]Sales!$E:$G,3,FALSE)</f>
        <v>#N/A</v>
      </c>
      <c r="T99" s="19" t="e">
        <f>VLOOKUP(A99,[4]Volume!$E:$G,3,FALSE)</f>
        <v>#N/A</v>
      </c>
      <c r="U99" s="19" t="e">
        <f>VLOOKUP(A99,[4]Piece!$E:$G,3,FALSE)</f>
        <v>#N/A</v>
      </c>
      <c r="V99" s="21" t="e">
        <f t="shared" si="6"/>
        <v>#N/A</v>
      </c>
      <c r="W99" s="16" t="e">
        <f t="shared" si="7"/>
        <v>#N/A</v>
      </c>
    </row>
    <row r="100" spans="1:23" hidden="1" x14ac:dyDescent="0.3">
      <c r="A100" s="46" t="s">
        <v>215</v>
      </c>
      <c r="B100" s="46" t="s">
        <v>215</v>
      </c>
      <c r="C100" s="47" t="s">
        <v>33</v>
      </c>
      <c r="D100" s="48" t="s">
        <v>34</v>
      </c>
      <c r="E100" s="18" t="s">
        <v>216</v>
      </c>
      <c r="F100" s="24" t="str">
        <f t="shared" si="4"/>
        <v>PPG - EWI   DASH RECEIVER SOFT CREAM 25KG</v>
      </c>
      <c r="G100" s="20" t="s">
        <v>4979</v>
      </c>
      <c r="H100" s="49" t="s">
        <v>213</v>
      </c>
      <c r="I100" s="18" t="s">
        <v>37</v>
      </c>
      <c r="J100" s="18" t="s">
        <v>38</v>
      </c>
      <c r="K100" t="s">
        <v>39</v>
      </c>
      <c r="L100" s="50">
        <f>VLOOKUP(A100,'[3]Price info'!A:D,4,FALSE)</f>
        <v>12.28</v>
      </c>
      <c r="M100" s="18" t="s">
        <v>214</v>
      </c>
      <c r="N100" s="20">
        <v>3105</v>
      </c>
      <c r="P100" s="16">
        <f>VLOOKUP(A100,'[3]Price info'!A:H,8,FALSE)</f>
        <v>12.28</v>
      </c>
      <c r="Q100" s="17">
        <f t="shared" si="5"/>
        <v>1</v>
      </c>
      <c r="S100" s="16" t="e">
        <f>VLOOKUP(A100,[4]Sales!$E:$G,3,FALSE)</f>
        <v>#N/A</v>
      </c>
      <c r="T100" s="19" t="e">
        <f>VLOOKUP(A100,[4]Volume!$E:$G,3,FALSE)</f>
        <v>#N/A</v>
      </c>
      <c r="U100" s="19" t="e">
        <f>VLOOKUP(A100,[4]Piece!$E:$G,3,FALSE)</f>
        <v>#N/A</v>
      </c>
      <c r="V100" s="21" t="e">
        <f t="shared" si="6"/>
        <v>#N/A</v>
      </c>
      <c r="W100" s="16" t="e">
        <f t="shared" si="7"/>
        <v>#N/A</v>
      </c>
    </row>
    <row r="101" spans="1:23" hidden="1" x14ac:dyDescent="0.3">
      <c r="A101" s="46" t="s">
        <v>217</v>
      </c>
      <c r="B101" s="46" t="s">
        <v>217</v>
      </c>
      <c r="C101" s="51" t="s">
        <v>33</v>
      </c>
      <c r="D101" s="48" t="s">
        <v>34</v>
      </c>
      <c r="E101" s="18" t="s">
        <v>218</v>
      </c>
      <c r="F101" s="24" t="str">
        <f t="shared" si="4"/>
        <v>PPG - EWI   HIGH PERF RENDER BASECOAT 25KG</v>
      </c>
      <c r="G101" s="20" t="s">
        <v>4980</v>
      </c>
      <c r="H101" s="49" t="s">
        <v>213</v>
      </c>
      <c r="I101" s="18" t="s">
        <v>37</v>
      </c>
      <c r="J101" s="18" t="s">
        <v>38</v>
      </c>
      <c r="K101" t="s">
        <v>39</v>
      </c>
      <c r="L101" s="50">
        <f>VLOOKUP(A101,'[3]Price info'!A:D,4,FALSE)</f>
        <v>14.1</v>
      </c>
      <c r="M101" s="18" t="s">
        <v>214</v>
      </c>
      <c r="N101" s="20">
        <v>3105</v>
      </c>
      <c r="P101" s="16">
        <f>VLOOKUP(A101,'[3]Price info'!A:H,8,FALSE)</f>
        <v>14.1</v>
      </c>
      <c r="Q101" s="17">
        <f t="shared" si="5"/>
        <v>1</v>
      </c>
      <c r="S101" s="16" t="e">
        <f>VLOOKUP(A101,[4]Sales!$E:$G,3,FALSE)</f>
        <v>#N/A</v>
      </c>
      <c r="T101" s="19" t="e">
        <f>VLOOKUP(A101,[4]Volume!$E:$G,3,FALSE)</f>
        <v>#N/A</v>
      </c>
      <c r="U101" s="19" t="e">
        <f>VLOOKUP(A101,[4]Piece!$E:$G,3,FALSE)</f>
        <v>#N/A</v>
      </c>
      <c r="V101" s="21" t="e">
        <f t="shared" si="6"/>
        <v>#N/A</v>
      </c>
      <c r="W101" s="16" t="e">
        <f t="shared" si="7"/>
        <v>#N/A</v>
      </c>
    </row>
    <row r="102" spans="1:23" hidden="1" x14ac:dyDescent="0.3">
      <c r="A102" s="22" t="s">
        <v>219</v>
      </c>
      <c r="B102" s="22" t="s">
        <v>219</v>
      </c>
      <c r="C102" s="23" t="s">
        <v>33</v>
      </c>
      <c r="D102" s="20" t="s">
        <v>34</v>
      </c>
      <c r="E102" s="22" t="s">
        <v>220</v>
      </c>
      <c r="F102" s="24" t="str">
        <f t="shared" si="4"/>
        <v>PPG - Johnstones ACRYLIC EGGSHELL - Mag - 5ltr</v>
      </c>
      <c r="G102" s="23" t="s">
        <v>4981</v>
      </c>
      <c r="H102" s="25" t="s">
        <v>36</v>
      </c>
      <c r="I102" s="18" t="s">
        <v>37</v>
      </c>
      <c r="J102" s="18" t="s">
        <v>38</v>
      </c>
      <c r="K102" t="s">
        <v>39</v>
      </c>
      <c r="L102" s="26">
        <f>VLOOKUP(A102,'[3]Price info'!A:D,4,FALSE)</f>
        <v>18.66</v>
      </c>
      <c r="M102" s="18" t="s">
        <v>40</v>
      </c>
      <c r="N102" s="20">
        <v>3105</v>
      </c>
      <c r="P102" s="16">
        <f>VLOOKUP(A102,'[3]Price info'!A:H,8,FALSE)</f>
        <v>17.37246</v>
      </c>
      <c r="Q102" s="27">
        <f t="shared" si="5"/>
        <v>0.93100000000000005</v>
      </c>
      <c r="S102" s="16">
        <f>VLOOKUP(A102,[4]Sales!$E:$G,3,FALSE)</f>
        <v>15221.089999999967</v>
      </c>
      <c r="T102" s="19">
        <f>VLOOKUP(A102,[4]Volume!$E:$G,3,FALSE)</f>
        <v>4200</v>
      </c>
      <c r="U102" s="19">
        <f>VLOOKUP(A102,[4]Piece!$E:$G,3,FALSE)</f>
        <v>840</v>
      </c>
      <c r="V102" s="21">
        <f t="shared" si="6"/>
        <v>14592.866400000001</v>
      </c>
      <c r="W102" s="16">
        <f t="shared" si="7"/>
        <v>-628.22359999996661</v>
      </c>
    </row>
    <row r="103" spans="1:23" hidden="1" x14ac:dyDescent="0.3">
      <c r="A103" t="s">
        <v>221</v>
      </c>
      <c r="B103" t="s">
        <v>221</v>
      </c>
      <c r="C103" s="23" t="s">
        <v>222</v>
      </c>
      <c r="D103" s="20" t="s">
        <v>34</v>
      </c>
      <c r="E103" s="22" t="s">
        <v>223</v>
      </c>
      <c r="F103" s="24" t="str">
        <f t="shared" si="4"/>
        <v>PPG - Artex PROMIX LITE NEW - 17ltr</v>
      </c>
      <c r="G103" s="38" t="s">
        <v>4982</v>
      </c>
      <c r="H103" s="39" t="s">
        <v>213</v>
      </c>
      <c r="I103" s="40" t="s">
        <v>37</v>
      </c>
      <c r="J103" s="40" t="s">
        <v>38</v>
      </c>
      <c r="K103" s="41" t="s">
        <v>39</v>
      </c>
      <c r="L103" s="26">
        <f>VLOOKUP(A103,'[3]Price info'!A:D,4,FALSE)</f>
        <v>35.770000000000003</v>
      </c>
      <c r="M103" s="40" t="s">
        <v>224</v>
      </c>
      <c r="N103" s="42">
        <v>3114</v>
      </c>
      <c r="O103" s="43"/>
      <c r="P103" s="16">
        <f>VLOOKUP(A103,'[3]Price info'!A:H,8,FALSE)</f>
        <v>28.57</v>
      </c>
      <c r="Q103" s="52">
        <f t="shared" si="5"/>
        <v>0.79871400615040533</v>
      </c>
      <c r="R103" s="40"/>
      <c r="S103" s="16">
        <f>VLOOKUP(A103,[4]Sales!$E:$G,3,FALSE)</f>
        <v>11485.270000000004</v>
      </c>
      <c r="T103" s="19">
        <f>VLOOKUP(A103,[4]Volume!$E:$G,3,FALSE)</f>
        <v>5916</v>
      </c>
      <c r="U103" s="19">
        <f>VLOOKUP(A103,[4]Piece!$E:$G,3,FALSE)</f>
        <v>348</v>
      </c>
      <c r="V103" s="21">
        <f t="shared" si="6"/>
        <v>9942.36</v>
      </c>
      <c r="W103" s="16">
        <f t="shared" si="7"/>
        <v>-1542.9100000000035</v>
      </c>
    </row>
    <row r="104" spans="1:23" hidden="1" x14ac:dyDescent="0.3">
      <c r="A104" s="22" t="s">
        <v>225</v>
      </c>
      <c r="B104" s="22" t="s">
        <v>225</v>
      </c>
      <c r="C104" s="23" t="s">
        <v>33</v>
      </c>
      <c r="D104" s="20" t="s">
        <v>34</v>
      </c>
      <c r="E104" s="22" t="s">
        <v>226</v>
      </c>
      <c r="F104" s="24" t="str">
        <f t="shared" si="4"/>
        <v>PPG - Johnstones SMOOTH METAL - Mix - 2.5ltr</v>
      </c>
      <c r="G104" s="23" t="s">
        <v>4983</v>
      </c>
      <c r="H104" s="25" t="s">
        <v>36</v>
      </c>
      <c r="I104" s="18" t="s">
        <v>37</v>
      </c>
      <c r="J104" s="18" t="s">
        <v>38</v>
      </c>
      <c r="K104" t="s">
        <v>39</v>
      </c>
      <c r="L104" s="26">
        <f>VLOOKUP(A104,'[3]Price info'!A:D,4,FALSE)</f>
        <v>24.28</v>
      </c>
      <c r="M104" s="18" t="s">
        <v>40</v>
      </c>
      <c r="N104" s="20">
        <v>3105</v>
      </c>
      <c r="P104" s="16">
        <f>VLOOKUP(A104,'[3]Price info'!A:H,8,FALSE)</f>
        <v>22.604680000000002</v>
      </c>
      <c r="Q104" s="27">
        <f t="shared" si="5"/>
        <v>0.93100000000000005</v>
      </c>
      <c r="S104" s="16">
        <f>VLOOKUP(A104,[4]Sales!$E:$G,3,FALSE)</f>
        <v>9555.4399999999987</v>
      </c>
      <c r="T104" s="19">
        <f>VLOOKUP(A104,[4]Volume!$E:$G,3,FALSE)</f>
        <v>1032.5</v>
      </c>
      <c r="U104" s="19">
        <f>VLOOKUP(A104,[4]Piece!$E:$G,3,FALSE)</f>
        <v>413</v>
      </c>
      <c r="V104" s="21">
        <f t="shared" si="6"/>
        <v>9335.7328400000006</v>
      </c>
      <c r="W104" s="16">
        <f t="shared" si="7"/>
        <v>-219.70715999999811</v>
      </c>
    </row>
    <row r="105" spans="1:23" hidden="1" x14ac:dyDescent="0.3">
      <c r="A105" s="22" t="s">
        <v>227</v>
      </c>
      <c r="B105" s="22" t="s">
        <v>227</v>
      </c>
      <c r="C105" s="23" t="s">
        <v>33</v>
      </c>
      <c r="D105" s="20" t="s">
        <v>34</v>
      </c>
      <c r="E105" s="22" t="s">
        <v>228</v>
      </c>
      <c r="F105" s="24" t="str">
        <f t="shared" si="4"/>
        <v>PPG - Leyland VINYL MATT - Brilliant White - 5ltr</v>
      </c>
      <c r="G105" s="23" t="s">
        <v>4984</v>
      </c>
      <c r="H105" s="25" t="s">
        <v>36</v>
      </c>
      <c r="I105" s="18" t="s">
        <v>37</v>
      </c>
      <c r="J105" s="18" t="s">
        <v>38</v>
      </c>
      <c r="K105" t="s">
        <v>39</v>
      </c>
      <c r="L105" s="26">
        <f>VLOOKUP(A105,'[3]Price info'!A:D,4,FALSE)</f>
        <v>9.4600000000000009</v>
      </c>
      <c r="M105" s="18" t="s">
        <v>40</v>
      </c>
      <c r="N105" s="20">
        <v>3105</v>
      </c>
      <c r="P105" s="16">
        <f>VLOOKUP(A105,'[3]Price info'!A:H,8,FALSE)</f>
        <v>8.68</v>
      </c>
      <c r="Q105" s="27">
        <f t="shared" si="5"/>
        <v>0.91754756871035925</v>
      </c>
      <c r="S105" s="16">
        <f>VLOOKUP(A105,[4]Sales!$E:$G,3,FALSE)</f>
        <v>71.400000000000006</v>
      </c>
      <c r="T105" s="19">
        <f>VLOOKUP(A105,[4]Volume!$E:$G,3,FALSE)</f>
        <v>40</v>
      </c>
      <c r="U105" s="19">
        <f>VLOOKUP(A105,[4]Piece!$E:$G,3,FALSE)</f>
        <v>8</v>
      </c>
      <c r="V105" s="21">
        <f t="shared" si="6"/>
        <v>69.44</v>
      </c>
      <c r="W105" s="16">
        <f t="shared" si="7"/>
        <v>-1.960000000000008</v>
      </c>
    </row>
    <row r="106" spans="1:23" hidden="1" x14ac:dyDescent="0.3">
      <c r="A106" s="22" t="s">
        <v>229</v>
      </c>
      <c r="B106" s="22" t="s">
        <v>229</v>
      </c>
      <c r="C106" s="23" t="s">
        <v>33</v>
      </c>
      <c r="D106" s="20" t="s">
        <v>34</v>
      </c>
      <c r="E106" s="22" t="s">
        <v>230</v>
      </c>
      <c r="F106" s="24" t="str">
        <f t="shared" si="4"/>
        <v>PPG - Johnstones SOLV OPAQUE - Mix - 5ltr</v>
      </c>
      <c r="G106" s="23" t="s">
        <v>4985</v>
      </c>
      <c r="H106" s="25" t="s">
        <v>36</v>
      </c>
      <c r="I106" s="18" t="s">
        <v>37</v>
      </c>
      <c r="J106" s="18" t="s">
        <v>38</v>
      </c>
      <c r="K106" t="s">
        <v>39</v>
      </c>
      <c r="L106" s="26">
        <f>VLOOKUP(A106,'[3]Price info'!A:D,4,FALSE)</f>
        <v>21.15</v>
      </c>
      <c r="M106" s="18" t="s">
        <v>40</v>
      </c>
      <c r="N106" s="20">
        <v>3105</v>
      </c>
      <c r="P106" s="16">
        <f>VLOOKUP(A106,'[3]Price info'!A:H,8,FALSE)</f>
        <v>21.15</v>
      </c>
      <c r="Q106" s="27">
        <f t="shared" si="5"/>
        <v>1</v>
      </c>
      <c r="S106" s="16">
        <f>VLOOKUP(A106,[4]Sales!$E:$G,3,FALSE)</f>
        <v>8481.98</v>
      </c>
      <c r="T106" s="19">
        <f>VLOOKUP(A106,[4]Volume!$E:$G,3,FALSE)</f>
        <v>1970</v>
      </c>
      <c r="U106" s="19">
        <f>VLOOKUP(A106,[4]Piece!$E:$G,3,FALSE)</f>
        <v>394</v>
      </c>
      <c r="V106" s="21">
        <f t="shared" si="6"/>
        <v>8333.0999999999985</v>
      </c>
      <c r="W106" s="16">
        <f t="shared" si="7"/>
        <v>-148.88000000000102</v>
      </c>
    </row>
    <row r="107" spans="1:23" hidden="1" x14ac:dyDescent="0.3">
      <c r="A107" s="36" t="s">
        <v>231</v>
      </c>
      <c r="B107" s="36" t="s">
        <v>231</v>
      </c>
      <c r="C107" s="23" t="s">
        <v>33</v>
      </c>
      <c r="D107" s="20" t="s">
        <v>34</v>
      </c>
      <c r="E107" s="22" t="s">
        <v>232</v>
      </c>
      <c r="F107" s="24" t="str">
        <f t="shared" si="4"/>
        <v>PPG - Artex CORNER TAPE  30M</v>
      </c>
      <c r="G107" s="41" t="s">
        <v>4986</v>
      </c>
      <c r="H107" s="39" t="s">
        <v>36</v>
      </c>
      <c r="I107" s="40" t="s">
        <v>37</v>
      </c>
      <c r="J107" s="40" t="s">
        <v>38</v>
      </c>
      <c r="K107" s="41" t="s">
        <v>39</v>
      </c>
      <c r="L107" s="26">
        <f>VLOOKUP(A107,'[3]Price info'!A:D,4,FALSE)</f>
        <v>25.76</v>
      </c>
      <c r="M107" s="40" t="s">
        <v>40</v>
      </c>
      <c r="N107" s="42">
        <v>3105</v>
      </c>
      <c r="O107" s="43">
        <v>22.6</v>
      </c>
      <c r="P107" s="16">
        <f>VLOOKUP(A107,'[3]Price info'!A:H,8,FALSE)</f>
        <v>25.76</v>
      </c>
      <c r="Q107" s="52">
        <f t="shared" si="5"/>
        <v>1</v>
      </c>
      <c r="R107" s="40"/>
      <c r="S107" s="16">
        <f>VLOOKUP(A107,[4]Sales!$E:$G,3,FALSE)</f>
        <v>4241.4000000000015</v>
      </c>
      <c r="T107" s="19">
        <f>VLOOKUP(A107,[4]Volume!$E:$G,3,FALSE)</f>
        <v>166</v>
      </c>
      <c r="U107" s="19">
        <f>VLOOKUP(A107,[4]Piece!$E:$G,3,FALSE)</f>
        <v>166</v>
      </c>
      <c r="V107" s="21">
        <f t="shared" si="6"/>
        <v>4276.16</v>
      </c>
      <c r="W107" s="16">
        <f t="shared" si="7"/>
        <v>34.759999999998399</v>
      </c>
    </row>
    <row r="108" spans="1:23" hidden="1" x14ac:dyDescent="0.3">
      <c r="A108" s="22" t="s">
        <v>233</v>
      </c>
      <c r="B108" s="22" t="s">
        <v>233</v>
      </c>
      <c r="C108" s="23" t="s">
        <v>33</v>
      </c>
      <c r="D108" s="20" t="s">
        <v>34</v>
      </c>
      <c r="E108" s="22" t="s">
        <v>234</v>
      </c>
      <c r="F108" s="24" t="str">
        <f t="shared" si="4"/>
        <v>PPG - Leyland TRUGARD PLIOLITE - Mix - 5ltr</v>
      </c>
      <c r="G108" s="23" t="s">
        <v>4987</v>
      </c>
      <c r="H108" s="25" t="s">
        <v>36</v>
      </c>
      <c r="I108" s="18" t="s">
        <v>37</v>
      </c>
      <c r="J108" s="18" t="s">
        <v>38</v>
      </c>
      <c r="K108" t="s">
        <v>39</v>
      </c>
      <c r="L108" s="26">
        <f>VLOOKUP(A108,'[3]Price info'!A:D,4,FALSE)</f>
        <v>18.010000000000002</v>
      </c>
      <c r="M108" s="18" t="s">
        <v>40</v>
      </c>
      <c r="N108" s="20">
        <v>3105</v>
      </c>
      <c r="P108" s="16">
        <f>VLOOKUP(A108,'[3]Price info'!A:H,8,FALSE)</f>
        <v>21.61</v>
      </c>
      <c r="Q108" s="27">
        <f t="shared" si="5"/>
        <v>1.1998889505830093</v>
      </c>
      <c r="S108" s="16">
        <f>VLOOKUP(A108,[4]Sales!$E:$G,3,FALSE)</f>
        <v>414.21</v>
      </c>
      <c r="T108" s="19">
        <f>VLOOKUP(A108,[4]Volume!$E:$G,3,FALSE)</f>
        <v>105</v>
      </c>
      <c r="U108" s="19">
        <f>VLOOKUP(A108,[4]Piece!$E:$G,3,FALSE)</f>
        <v>21</v>
      </c>
      <c r="V108" s="21">
        <f t="shared" si="6"/>
        <v>453.81</v>
      </c>
      <c r="W108" s="16">
        <f t="shared" si="7"/>
        <v>39.600000000000023</v>
      </c>
    </row>
    <row r="109" spans="1:23" hidden="1" x14ac:dyDescent="0.3">
      <c r="A109" s="53" t="s">
        <v>235</v>
      </c>
      <c r="B109" s="54" t="s">
        <v>235</v>
      </c>
      <c r="C109" s="47" t="s">
        <v>33</v>
      </c>
      <c r="D109" s="48" t="s">
        <v>34</v>
      </c>
      <c r="E109" s="22" t="s">
        <v>236</v>
      </c>
      <c r="F109" s="24" t="str">
        <f t="shared" si="4"/>
        <v>PPG - ProGold CONTRACTOR BRUSH 2''</v>
      </c>
      <c r="G109" s="20" t="s">
        <v>4988</v>
      </c>
      <c r="H109" s="25" t="s">
        <v>36</v>
      </c>
      <c r="I109" s="18" t="s">
        <v>37</v>
      </c>
      <c r="J109" s="18" t="s">
        <v>38</v>
      </c>
      <c r="K109" t="s">
        <v>39</v>
      </c>
      <c r="L109" s="26">
        <f>VLOOKUP(A109,'[3]Price info'!A:D,4,FALSE)</f>
        <v>1.89</v>
      </c>
      <c r="M109" s="18" t="s">
        <v>214</v>
      </c>
      <c r="N109" s="20">
        <v>3105</v>
      </c>
      <c r="P109" s="16">
        <f>VLOOKUP(A109,'[3]Price info'!A:H,8,FALSE)</f>
        <v>1.75959</v>
      </c>
      <c r="Q109" s="27">
        <f t="shared" si="5"/>
        <v>0.93100000000000005</v>
      </c>
      <c r="S109" s="16">
        <f>VLOOKUP(A109,[4]Sales!$E:$G,3,FALSE)</f>
        <v>10249.929999999995</v>
      </c>
      <c r="T109" s="19">
        <f>VLOOKUP(A109,[4]Volume!$E:$G,3,FALSE)</f>
        <v>5644</v>
      </c>
      <c r="U109" s="19">
        <f>VLOOKUP(A109,[4]Piece!$E:$G,3,FALSE)</f>
        <v>5644</v>
      </c>
      <c r="V109" s="21">
        <f t="shared" si="6"/>
        <v>9931.1259599999994</v>
      </c>
      <c r="W109" s="16">
        <f t="shared" si="7"/>
        <v>-318.80403999999544</v>
      </c>
    </row>
    <row r="110" spans="1:23" hidden="1" x14ac:dyDescent="0.3">
      <c r="A110" s="22" t="s">
        <v>237</v>
      </c>
      <c r="B110" s="22" t="s">
        <v>237</v>
      </c>
      <c r="C110" s="23" t="s">
        <v>33</v>
      </c>
      <c r="D110" s="20" t="s">
        <v>34</v>
      </c>
      <c r="E110" s="22" t="s">
        <v>238</v>
      </c>
      <c r="F110" s="24" t="str">
        <f t="shared" si="4"/>
        <v>PPG - Leyland VINYL MATT - Magnolia - 5ltr</v>
      </c>
      <c r="G110" s="23" t="s">
        <v>4989</v>
      </c>
      <c r="H110" s="25" t="s">
        <v>36</v>
      </c>
      <c r="I110" s="18" t="s">
        <v>37</v>
      </c>
      <c r="J110" s="18" t="s">
        <v>38</v>
      </c>
      <c r="K110" t="s">
        <v>39</v>
      </c>
      <c r="L110" s="26">
        <f>VLOOKUP(A110,'[3]Price info'!A:D,4,FALSE)</f>
        <v>9.4600000000000009</v>
      </c>
      <c r="M110" s="18" t="s">
        <v>40</v>
      </c>
      <c r="N110" s="20">
        <v>3105</v>
      </c>
      <c r="P110" s="16">
        <f>VLOOKUP(A110,'[3]Price info'!A:H,8,FALSE)</f>
        <v>8.68</v>
      </c>
      <c r="Q110" s="27">
        <f t="shared" si="5"/>
        <v>0.91754756871035925</v>
      </c>
      <c r="S110" s="16" t="e">
        <f>VLOOKUP(A110,[4]Sales!$E:$G,3,FALSE)</f>
        <v>#N/A</v>
      </c>
      <c r="T110" s="19" t="e">
        <f>VLOOKUP(A110,[4]Volume!$E:$G,3,FALSE)</f>
        <v>#N/A</v>
      </c>
      <c r="U110" s="19" t="e">
        <f>VLOOKUP(A110,[4]Piece!$E:$G,3,FALSE)</f>
        <v>#N/A</v>
      </c>
      <c r="V110" s="21" t="e">
        <f t="shared" si="6"/>
        <v>#N/A</v>
      </c>
      <c r="W110" s="16" t="e">
        <f t="shared" si="7"/>
        <v>#N/A</v>
      </c>
    </row>
    <row r="111" spans="1:23" hidden="1" x14ac:dyDescent="0.3">
      <c r="A111" s="22" t="s">
        <v>239</v>
      </c>
      <c r="B111" s="22" t="s">
        <v>239</v>
      </c>
      <c r="C111" s="23" t="s">
        <v>33</v>
      </c>
      <c r="D111" s="20" t="s">
        <v>34</v>
      </c>
      <c r="E111" s="22" t="s">
        <v>240</v>
      </c>
      <c r="F111" s="24" t="str">
        <f t="shared" si="4"/>
        <v>PPG - Johnstones PRO UNDERCOAT - BW - 5ltr</v>
      </c>
      <c r="G111" s="23" t="s">
        <v>4990</v>
      </c>
      <c r="H111" s="25" t="s">
        <v>36</v>
      </c>
      <c r="I111" s="18" t="s">
        <v>37</v>
      </c>
      <c r="J111" s="18" t="s">
        <v>38</v>
      </c>
      <c r="K111" t="s">
        <v>39</v>
      </c>
      <c r="L111" s="26">
        <f>VLOOKUP(A111,'[3]Price info'!A:D,4,FALSE)</f>
        <v>16.899999999999999</v>
      </c>
      <c r="M111" s="18" t="s">
        <v>40</v>
      </c>
      <c r="N111" s="20">
        <v>3105</v>
      </c>
      <c r="P111" s="16">
        <f>VLOOKUP(A111,'[3]Price info'!A:H,8,FALSE)</f>
        <v>19.434999999999995</v>
      </c>
      <c r="Q111" s="27">
        <f t="shared" si="5"/>
        <v>1.1499999999999999</v>
      </c>
      <c r="S111" s="16">
        <f>VLOOKUP(A111,[4]Sales!$E:$G,3,FALSE)</f>
        <v>8261.5600000000086</v>
      </c>
      <c r="T111" s="19">
        <f>VLOOKUP(A111,[4]Volume!$E:$G,3,FALSE)</f>
        <v>2315</v>
      </c>
      <c r="U111" s="19">
        <f>VLOOKUP(A111,[4]Piece!$E:$G,3,FALSE)</f>
        <v>463</v>
      </c>
      <c r="V111" s="21">
        <f t="shared" si="6"/>
        <v>8998.404999999997</v>
      </c>
      <c r="W111" s="16">
        <f t="shared" si="7"/>
        <v>736.84499999998843</v>
      </c>
    </row>
    <row r="112" spans="1:23" hidden="1" x14ac:dyDescent="0.3">
      <c r="A112" s="22" t="s">
        <v>241</v>
      </c>
      <c r="B112" s="22" t="s">
        <v>241</v>
      </c>
      <c r="C112" s="23" t="s">
        <v>33</v>
      </c>
      <c r="D112" s="20" t="s">
        <v>34</v>
      </c>
      <c r="E112" s="22" t="s">
        <v>242</v>
      </c>
      <c r="F112" s="24" t="str">
        <f t="shared" si="4"/>
        <v>PPG - Johnstones FLAME RET DURABLE MATT - Mix - 5l</v>
      </c>
      <c r="G112" s="23" t="s">
        <v>4991</v>
      </c>
      <c r="H112" s="25" t="s">
        <v>36</v>
      </c>
      <c r="I112" s="18" t="s">
        <v>37</v>
      </c>
      <c r="J112" s="18" t="s">
        <v>38</v>
      </c>
      <c r="K112" t="s">
        <v>39</v>
      </c>
      <c r="L112" s="26">
        <f>VLOOKUP(A112,'[3]Price info'!A:D,4,FALSE)</f>
        <v>40.590000000000003</v>
      </c>
      <c r="M112" s="18" t="s">
        <v>40</v>
      </c>
      <c r="N112" s="20">
        <v>3105</v>
      </c>
      <c r="P112" s="16">
        <f>VLOOKUP(A112,'[3]Price info'!A:H,8,FALSE)</f>
        <v>40.590000000000003</v>
      </c>
      <c r="Q112" s="27">
        <f t="shared" si="5"/>
        <v>1</v>
      </c>
      <c r="S112" s="16">
        <f>VLOOKUP(A112,[4]Sales!$E:$G,3,FALSE)</f>
        <v>7403.17</v>
      </c>
      <c r="T112" s="19">
        <f>VLOOKUP(A112,[4]Volume!$E:$G,3,FALSE)</f>
        <v>915</v>
      </c>
      <c r="U112" s="19">
        <f>VLOOKUP(A112,[4]Piece!$E:$G,3,FALSE)</f>
        <v>183</v>
      </c>
      <c r="V112" s="21">
        <f t="shared" si="6"/>
        <v>7427.97</v>
      </c>
      <c r="W112" s="16">
        <f t="shared" si="7"/>
        <v>24.800000000000182</v>
      </c>
    </row>
    <row r="113" spans="1:23" hidden="1" x14ac:dyDescent="0.3">
      <c r="A113" s="22" t="s">
        <v>243</v>
      </c>
      <c r="B113" s="22" t="s">
        <v>243</v>
      </c>
      <c r="C113" s="23" t="s">
        <v>33</v>
      </c>
      <c r="D113" s="20" t="s">
        <v>34</v>
      </c>
      <c r="E113" s="22" t="s">
        <v>174</v>
      </c>
      <c r="F113" s="24" t="str">
        <f t="shared" si="4"/>
        <v>PPG - Johnstones QD OPAQUE - Mix - 5ltr</v>
      </c>
      <c r="G113" s="23" t="s">
        <v>4959</v>
      </c>
      <c r="H113" s="25" t="s">
        <v>36</v>
      </c>
      <c r="I113" s="18" t="s">
        <v>37</v>
      </c>
      <c r="J113" s="18" t="s">
        <v>38</v>
      </c>
      <c r="K113" t="s">
        <v>39</v>
      </c>
      <c r="L113" s="26">
        <f>VLOOKUP(A113,'[3]Price info'!A:D,4,FALSE)</f>
        <v>25.08</v>
      </c>
      <c r="M113" s="18" t="s">
        <v>40</v>
      </c>
      <c r="N113" s="20">
        <v>3105</v>
      </c>
      <c r="P113" s="16">
        <f>VLOOKUP(A113,'[3]Price info'!A:H,8,FALSE)</f>
        <v>23.35</v>
      </c>
      <c r="Q113" s="27">
        <f t="shared" si="5"/>
        <v>0.93102073365231275</v>
      </c>
      <c r="S113" s="16">
        <f>VLOOKUP(A113,[4]Sales!$E:$G,3,FALSE)</f>
        <v>19360.169999999987</v>
      </c>
      <c r="T113" s="19">
        <f>VLOOKUP(A113,[4]Volume!$E:$G,3,FALSE)</f>
        <v>3995</v>
      </c>
      <c r="U113" s="19">
        <f>VLOOKUP(A113,[4]Piece!$E:$G,3,FALSE)</f>
        <v>799</v>
      </c>
      <c r="V113" s="21">
        <f t="shared" si="6"/>
        <v>18656.650000000001</v>
      </c>
      <c r="W113" s="16">
        <f t="shared" si="7"/>
        <v>-703.51999999998588</v>
      </c>
    </row>
    <row r="114" spans="1:23" hidden="1" x14ac:dyDescent="0.3">
      <c r="A114" s="22" t="s">
        <v>244</v>
      </c>
      <c r="B114" s="22" t="s">
        <v>244</v>
      </c>
      <c r="C114" s="23" t="s">
        <v>33</v>
      </c>
      <c r="D114" s="20" t="s">
        <v>34</v>
      </c>
      <c r="E114" s="22" t="s">
        <v>245</v>
      </c>
      <c r="F114" s="24" t="str">
        <f t="shared" si="4"/>
        <v>PPG - Johnstones COVAPLUS - Brilliant White - 5ltr</v>
      </c>
      <c r="G114" s="23" t="s">
        <v>4992</v>
      </c>
      <c r="H114" s="25" t="s">
        <v>36</v>
      </c>
      <c r="I114" s="18" t="s">
        <v>37</v>
      </c>
      <c r="J114" s="18" t="s">
        <v>38</v>
      </c>
      <c r="K114" t="s">
        <v>39</v>
      </c>
      <c r="L114" s="26">
        <f>VLOOKUP(A114,'[3]Price info'!A:D,4,FALSE)</f>
        <v>10.36</v>
      </c>
      <c r="M114" s="18" t="s">
        <v>40</v>
      </c>
      <c r="N114" s="20">
        <v>3105</v>
      </c>
      <c r="P114" s="16">
        <f>VLOOKUP(A114,'[3]Price info'!A:H,8,FALSE)</f>
        <v>9.9700000000000006</v>
      </c>
      <c r="Q114" s="27">
        <f t="shared" si="5"/>
        <v>0.96235521235521249</v>
      </c>
      <c r="S114" s="16">
        <f>VLOOKUP(A114,[4]Sales!$E:$G,3,FALSE)</f>
        <v>7347.16</v>
      </c>
      <c r="T114" s="19">
        <f>VLOOKUP(A114,[4]Volume!$E:$G,3,FALSE)</f>
        <v>3660</v>
      </c>
      <c r="U114" s="19">
        <f>VLOOKUP(A114,[4]Piece!$E:$G,3,FALSE)</f>
        <v>732</v>
      </c>
      <c r="V114" s="21">
        <f t="shared" si="6"/>
        <v>7298.0400000000009</v>
      </c>
      <c r="W114" s="16">
        <f t="shared" si="7"/>
        <v>-49.119999999998981</v>
      </c>
    </row>
    <row r="115" spans="1:23" hidden="1" x14ac:dyDescent="0.3">
      <c r="A115" s="22" t="s">
        <v>246</v>
      </c>
      <c r="B115" s="22" t="s">
        <v>246</v>
      </c>
      <c r="C115" s="23" t="s">
        <v>33</v>
      </c>
      <c r="D115" s="20" t="s">
        <v>34</v>
      </c>
      <c r="E115" s="22" t="s">
        <v>247</v>
      </c>
      <c r="F115" s="24" t="str">
        <f t="shared" si="4"/>
        <v>PPG - Johnstones AQUA GLOSS - Mix - 5ltr</v>
      </c>
      <c r="G115" s="23" t="s">
        <v>4993</v>
      </c>
      <c r="H115" s="25" t="s">
        <v>36</v>
      </c>
      <c r="I115" s="18" t="s">
        <v>37</v>
      </c>
      <c r="J115" s="18" t="s">
        <v>38</v>
      </c>
      <c r="K115" t="s">
        <v>39</v>
      </c>
      <c r="L115" s="26">
        <f>VLOOKUP(A115,'[3]Price info'!A:D,4,FALSE)</f>
        <v>27.32</v>
      </c>
      <c r="M115" s="18" t="s">
        <v>40</v>
      </c>
      <c r="N115" s="20">
        <v>3105</v>
      </c>
      <c r="P115" s="16">
        <f>VLOOKUP(A115,'[3]Price info'!A:H,8,FALSE)</f>
        <v>27.32</v>
      </c>
      <c r="Q115" s="27">
        <f t="shared" si="5"/>
        <v>1</v>
      </c>
      <c r="S115" s="16">
        <f>VLOOKUP(A115,[4]Sales!$E:$G,3,FALSE)</f>
        <v>7292.7699999999968</v>
      </c>
      <c r="T115" s="19">
        <f>VLOOKUP(A115,[4]Volume!$E:$G,3,FALSE)</f>
        <v>1340</v>
      </c>
      <c r="U115" s="19">
        <f>VLOOKUP(A115,[4]Piece!$E:$G,3,FALSE)</f>
        <v>268</v>
      </c>
      <c r="V115" s="21">
        <f t="shared" si="6"/>
        <v>7321.76</v>
      </c>
      <c r="W115" s="16">
        <f t="shared" si="7"/>
        <v>28.99000000000342</v>
      </c>
    </row>
    <row r="116" spans="1:23" hidden="1" x14ac:dyDescent="0.3">
      <c r="A116" s="22" t="s">
        <v>248</v>
      </c>
      <c r="B116" s="22" t="s">
        <v>248</v>
      </c>
      <c r="C116" s="23" t="s">
        <v>33</v>
      </c>
      <c r="D116" s="20" t="s">
        <v>34</v>
      </c>
      <c r="E116" s="22" t="s">
        <v>249</v>
      </c>
      <c r="F116" s="24" t="str">
        <f t="shared" si="4"/>
        <v>PPG - Johnstones  JONMAT - Brilliant White - 10ltr</v>
      </c>
      <c r="G116" s="23" t="s">
        <v>4994</v>
      </c>
      <c r="H116" s="25" t="s">
        <v>36</v>
      </c>
      <c r="I116" s="18" t="s">
        <v>37</v>
      </c>
      <c r="J116" s="18" t="s">
        <v>38</v>
      </c>
      <c r="K116" t="s">
        <v>39</v>
      </c>
      <c r="L116" s="26">
        <f>VLOOKUP(A116,'[3]Price info'!A:D,4,FALSE)</f>
        <v>17.809999999999999</v>
      </c>
      <c r="M116" s="18" t="s">
        <v>40</v>
      </c>
      <c r="N116" s="20">
        <v>3105</v>
      </c>
      <c r="P116" s="16">
        <f>VLOOKUP(A116,'[3]Price info'!A:H,8,FALSE)</f>
        <v>14</v>
      </c>
      <c r="Q116" s="27">
        <f t="shared" si="5"/>
        <v>0.78607523862998319</v>
      </c>
      <c r="S116" s="16">
        <f>VLOOKUP(A116,[4]Sales!$E:$G,3,FALSE)</f>
        <v>5608.2300000000005</v>
      </c>
      <c r="T116" s="19">
        <f>VLOOKUP(A116,[4]Volume!$E:$G,3,FALSE)</f>
        <v>3610</v>
      </c>
      <c r="U116" s="19">
        <f>VLOOKUP(A116,[4]Piece!$E:$G,3,FALSE)</f>
        <v>361</v>
      </c>
      <c r="V116" s="21">
        <f t="shared" si="6"/>
        <v>5054</v>
      </c>
      <c r="W116" s="16">
        <f t="shared" si="7"/>
        <v>-554.23000000000047</v>
      </c>
    </row>
    <row r="117" spans="1:23" hidden="1" x14ac:dyDescent="0.3">
      <c r="A117" s="53" t="s">
        <v>250</v>
      </c>
      <c r="B117" s="54" t="s">
        <v>250</v>
      </c>
      <c r="C117" s="47" t="s">
        <v>33</v>
      </c>
      <c r="D117" s="48" t="s">
        <v>34</v>
      </c>
      <c r="E117" s="22" t="s">
        <v>251</v>
      </c>
      <c r="F117" s="24" t="str">
        <f t="shared" si="4"/>
        <v>PPG - CONTRACTOR PRO SYN BRUSH SET+FREE PRODUCT</v>
      </c>
      <c r="G117" s="20" t="s">
        <v>4995</v>
      </c>
      <c r="H117" s="25" t="s">
        <v>36</v>
      </c>
      <c r="I117" s="18" t="s">
        <v>37</v>
      </c>
      <c r="J117" s="18" t="s">
        <v>38</v>
      </c>
      <c r="K117" t="s">
        <v>39</v>
      </c>
      <c r="L117" s="26">
        <f>VLOOKUP(A117,'[3]Price info'!A:D,4,FALSE)</f>
        <v>8.0399999999999991</v>
      </c>
      <c r="M117" s="18" t="s">
        <v>214</v>
      </c>
      <c r="N117" s="20">
        <v>3105</v>
      </c>
      <c r="P117" s="16">
        <f>VLOOKUP(A117,'[3]Price info'!A:H,8,FALSE)</f>
        <v>7.4852399999999992</v>
      </c>
      <c r="Q117" s="27">
        <f t="shared" si="5"/>
        <v>0.93100000000000005</v>
      </c>
      <c r="S117" s="16">
        <f>VLOOKUP(A117,[4]Sales!$E:$G,3,FALSE)</f>
        <v>5270.0699999999933</v>
      </c>
      <c r="T117" s="19">
        <f>VLOOKUP(A117,[4]Volume!$E:$G,3,FALSE)</f>
        <v>739</v>
      </c>
      <c r="U117" s="19">
        <f>VLOOKUP(A117,[4]Piece!$E:$G,3,FALSE)</f>
        <v>739</v>
      </c>
      <c r="V117" s="21">
        <f t="shared" si="6"/>
        <v>5531.5923599999996</v>
      </c>
      <c r="W117" s="16">
        <f t="shared" si="7"/>
        <v>261.5223600000063</v>
      </c>
    </row>
    <row r="118" spans="1:23" hidden="1" x14ac:dyDescent="0.3">
      <c r="A118" s="22" t="s">
        <v>252</v>
      </c>
      <c r="B118" s="22" t="s">
        <v>252</v>
      </c>
      <c r="C118" s="23" t="s">
        <v>33</v>
      </c>
      <c r="D118" s="20" t="s">
        <v>34</v>
      </c>
      <c r="E118" s="22" t="s">
        <v>253</v>
      </c>
      <c r="F118" s="24" t="str">
        <f t="shared" si="4"/>
        <v>PPG - Johnstones COVAPLUS - Mix - 10ltr</v>
      </c>
      <c r="G118" s="23" t="s">
        <v>4996</v>
      </c>
      <c r="H118" s="25" t="s">
        <v>36</v>
      </c>
      <c r="I118" s="18" t="s">
        <v>37</v>
      </c>
      <c r="J118" s="18" t="s">
        <v>38</v>
      </c>
      <c r="K118" t="s">
        <v>39</v>
      </c>
      <c r="L118" s="26">
        <f>VLOOKUP(A118,'[3]Price info'!A:D,4,FALSE)</f>
        <v>22.61</v>
      </c>
      <c r="M118" s="18" t="s">
        <v>40</v>
      </c>
      <c r="N118" s="20">
        <v>3105</v>
      </c>
      <c r="P118" s="16">
        <f>VLOOKUP(A118,'[3]Price info'!A:H,8,FALSE)</f>
        <v>20.82</v>
      </c>
      <c r="Q118" s="27">
        <f t="shared" si="5"/>
        <v>0.92083149049093327</v>
      </c>
      <c r="S118" s="16">
        <f>VLOOKUP(A118,[4]Sales!$E:$G,3,FALSE)</f>
        <v>7254.2100000000028</v>
      </c>
      <c r="T118" s="19">
        <f>VLOOKUP(A118,[4]Volume!$E:$G,3,FALSE)</f>
        <v>3390</v>
      </c>
      <c r="U118" s="19">
        <f>VLOOKUP(A118,[4]Piece!$E:$G,3,FALSE)</f>
        <v>339</v>
      </c>
      <c r="V118" s="21">
        <f t="shared" si="6"/>
        <v>7057.9800000000005</v>
      </c>
      <c r="W118" s="16">
        <f t="shared" si="7"/>
        <v>-196.23000000000229</v>
      </c>
    </row>
    <row r="119" spans="1:23" hidden="1" x14ac:dyDescent="0.3">
      <c r="A119" s="22" t="s">
        <v>254</v>
      </c>
      <c r="B119" s="22" t="s">
        <v>254</v>
      </c>
      <c r="C119" s="23" t="s">
        <v>33</v>
      </c>
      <c r="D119" s="20" t="s">
        <v>34</v>
      </c>
      <c r="E119" s="22" t="s">
        <v>255</v>
      </c>
      <c r="F119" s="24" t="str">
        <f t="shared" si="4"/>
        <v>PPG - Johnstones AQUA UNDERCOAT - Mix - 5ltr</v>
      </c>
      <c r="G119" s="23" t="s">
        <v>4997</v>
      </c>
      <c r="H119" s="25" t="s">
        <v>36</v>
      </c>
      <c r="I119" s="18" t="s">
        <v>37</v>
      </c>
      <c r="J119" s="18" t="s">
        <v>38</v>
      </c>
      <c r="K119" t="s">
        <v>39</v>
      </c>
      <c r="L119" s="26">
        <f>VLOOKUP(A119,'[3]Price info'!A:D,4,FALSE)</f>
        <v>31.1</v>
      </c>
      <c r="M119" s="18" t="s">
        <v>40</v>
      </c>
      <c r="N119" s="20">
        <v>3105</v>
      </c>
      <c r="P119" s="16">
        <f>VLOOKUP(A119,'[3]Price info'!A:H,8,FALSE)</f>
        <v>31.1</v>
      </c>
      <c r="Q119" s="27">
        <f t="shared" si="5"/>
        <v>1</v>
      </c>
      <c r="S119" s="16">
        <f>VLOOKUP(A119,[4]Sales!$E:$G,3,FALSE)</f>
        <v>8131.1399999999949</v>
      </c>
      <c r="T119" s="19">
        <f>VLOOKUP(A119,[4]Volume!$E:$G,3,FALSE)</f>
        <v>1310</v>
      </c>
      <c r="U119" s="19">
        <f>VLOOKUP(A119,[4]Piece!$E:$G,3,FALSE)</f>
        <v>262</v>
      </c>
      <c r="V119" s="21">
        <f t="shared" si="6"/>
        <v>8148.2000000000007</v>
      </c>
      <c r="W119" s="16">
        <f t="shared" si="7"/>
        <v>17.060000000005857</v>
      </c>
    </row>
    <row r="120" spans="1:23" hidden="1" x14ac:dyDescent="0.3">
      <c r="A120" s="46" t="s">
        <v>256</v>
      </c>
      <c r="B120" s="46" t="s">
        <v>256</v>
      </c>
      <c r="C120" s="47" t="s">
        <v>33</v>
      </c>
      <c r="D120" s="48" t="s">
        <v>34</v>
      </c>
      <c r="E120" s="18" t="s">
        <v>257</v>
      </c>
      <c r="F120" s="24" t="str">
        <f t="shared" si="4"/>
        <v>PPG - STEELGUARD 751              3000AMEU2200</v>
      </c>
      <c r="G120" s="20" t="s">
        <v>4998</v>
      </c>
      <c r="H120" s="49" t="s">
        <v>213</v>
      </c>
      <c r="I120" s="18" t="s">
        <v>37</v>
      </c>
      <c r="J120" s="18" t="s">
        <v>38</v>
      </c>
      <c r="K120" t="s">
        <v>39</v>
      </c>
      <c r="L120" s="50">
        <f>VLOOKUP(A120,'[3]Price info'!A:D,4,FALSE)</f>
        <v>736.66</v>
      </c>
      <c r="M120" s="18" t="s">
        <v>214</v>
      </c>
      <c r="N120" s="20">
        <v>3105</v>
      </c>
      <c r="P120" s="16">
        <f>VLOOKUP(A120,'[3]Price info'!A:H,8,FALSE)</f>
        <v>662.99</v>
      </c>
      <c r="Q120" s="17">
        <f t="shared" si="5"/>
        <v>0.89999457008660722</v>
      </c>
      <c r="S120" s="16" t="e">
        <f>VLOOKUP(A120,[4]Sales!$E:$G,3,FALSE)</f>
        <v>#N/A</v>
      </c>
      <c r="T120" s="19" t="e">
        <f>VLOOKUP(A120,[4]Volume!$E:$G,3,FALSE)</f>
        <v>#N/A</v>
      </c>
      <c r="U120" s="19" t="e">
        <f>VLOOKUP(A120,[4]Piece!$E:$G,3,FALSE)</f>
        <v>#N/A</v>
      </c>
      <c r="V120" s="21" t="e">
        <f t="shared" si="6"/>
        <v>#N/A</v>
      </c>
      <c r="W120" s="16" t="e">
        <f t="shared" si="7"/>
        <v>#N/A</v>
      </c>
    </row>
    <row r="121" spans="1:23" hidden="1" x14ac:dyDescent="0.3">
      <c r="A121" s="46" t="s">
        <v>258</v>
      </c>
      <c r="B121" s="46" t="s">
        <v>258</v>
      </c>
      <c r="C121" s="47" t="s">
        <v>33</v>
      </c>
      <c r="D121" s="48" t="s">
        <v>34</v>
      </c>
      <c r="E121" s="18" t="s">
        <v>259</v>
      </c>
      <c r="F121" s="24" t="str">
        <f t="shared" si="4"/>
        <v>PPG - EWI   RENDER REINFORCING MESH CLOTH</v>
      </c>
      <c r="G121" s="20" t="s">
        <v>4999</v>
      </c>
      <c r="H121" s="49" t="s">
        <v>213</v>
      </c>
      <c r="I121" s="18" t="s">
        <v>37</v>
      </c>
      <c r="J121" s="18" t="s">
        <v>38</v>
      </c>
      <c r="K121" t="s">
        <v>39</v>
      </c>
      <c r="L121" s="50">
        <f>VLOOKUP(A121,'[3]Price info'!A:D,4,FALSE)</f>
        <v>55.15</v>
      </c>
      <c r="M121" s="18" t="s">
        <v>214</v>
      </c>
      <c r="N121" s="20">
        <v>3105</v>
      </c>
      <c r="P121" s="16">
        <f>VLOOKUP(A121,'[3]Price info'!A:H,8,FALSE)</f>
        <v>55.15</v>
      </c>
      <c r="Q121" s="17">
        <f t="shared" si="5"/>
        <v>1</v>
      </c>
      <c r="S121" s="16" t="e">
        <f>VLOOKUP(A121,[4]Sales!$E:$G,3,FALSE)</f>
        <v>#N/A</v>
      </c>
      <c r="T121" s="19" t="e">
        <f>VLOOKUP(A121,[4]Volume!$E:$G,3,FALSE)</f>
        <v>#N/A</v>
      </c>
      <c r="U121" s="19" t="e">
        <f>VLOOKUP(A121,[4]Piece!$E:$G,3,FALSE)</f>
        <v>#N/A</v>
      </c>
      <c r="V121" s="21" t="e">
        <f t="shared" si="6"/>
        <v>#N/A</v>
      </c>
      <c r="W121" s="16" t="e">
        <f t="shared" si="7"/>
        <v>#N/A</v>
      </c>
    </row>
    <row r="122" spans="1:23" hidden="1" x14ac:dyDescent="0.3">
      <c r="A122" s="22" t="s">
        <v>260</v>
      </c>
      <c r="B122" s="22" t="s">
        <v>260</v>
      </c>
      <c r="C122" s="23" t="s">
        <v>33</v>
      </c>
      <c r="D122" s="20" t="s">
        <v>34</v>
      </c>
      <c r="E122" s="22" t="s">
        <v>261</v>
      </c>
      <c r="F122" s="24" t="str">
        <f t="shared" si="4"/>
        <v>PPG - Johnstones Acrylic Durable Matt - BW - 10l</v>
      </c>
      <c r="G122" s="23" t="s">
        <v>5000</v>
      </c>
      <c r="H122" s="25" t="s">
        <v>36</v>
      </c>
      <c r="I122" s="18" t="s">
        <v>37</v>
      </c>
      <c r="J122" s="18" t="s">
        <v>38</v>
      </c>
      <c r="K122" t="s">
        <v>39</v>
      </c>
      <c r="L122" s="26">
        <f>VLOOKUP(A122,'[3]Price info'!A:D,4,FALSE)</f>
        <v>34.5</v>
      </c>
      <c r="M122" s="18" t="s">
        <v>40</v>
      </c>
      <c r="N122" s="20">
        <v>3105</v>
      </c>
      <c r="P122" s="16">
        <f>VLOOKUP(A122,'[3]Price info'!A:H,8,FALSE)</f>
        <v>31.35</v>
      </c>
      <c r="Q122" s="27">
        <f t="shared" si="5"/>
        <v>0.90869565217391313</v>
      </c>
      <c r="S122" s="16">
        <f>VLOOKUP(A122,[4]Sales!$E:$G,3,FALSE)</f>
        <v>5704.49</v>
      </c>
      <c r="T122" s="19">
        <f>VLOOKUP(A122,[4]Volume!$E:$G,3,FALSE)</f>
        <v>1760</v>
      </c>
      <c r="U122" s="19">
        <f>VLOOKUP(A122,[4]Piece!$E:$G,3,FALSE)</f>
        <v>176</v>
      </c>
      <c r="V122" s="21">
        <f t="shared" si="6"/>
        <v>5517.6</v>
      </c>
      <c r="W122" s="16">
        <f t="shared" si="7"/>
        <v>-186.88999999999942</v>
      </c>
    </row>
    <row r="123" spans="1:23" hidden="1" x14ac:dyDescent="0.3">
      <c r="A123" s="22" t="s">
        <v>262</v>
      </c>
      <c r="B123" s="22" t="s">
        <v>262</v>
      </c>
      <c r="C123" s="23" t="s">
        <v>33</v>
      </c>
      <c r="D123" s="20" t="s">
        <v>34</v>
      </c>
      <c r="E123" s="22" t="s">
        <v>263</v>
      </c>
      <c r="F123" s="24" t="str">
        <f t="shared" si="4"/>
        <v>PPG - Johnstones PROF SATIN FINISH - BW - 2.5ltr</v>
      </c>
      <c r="G123" s="23" t="s">
        <v>5001</v>
      </c>
      <c r="H123" s="25" t="s">
        <v>36</v>
      </c>
      <c r="I123" s="18" t="s">
        <v>37</v>
      </c>
      <c r="J123" s="18" t="s">
        <v>38</v>
      </c>
      <c r="K123" t="s">
        <v>39</v>
      </c>
      <c r="L123" s="26">
        <f>VLOOKUP(A123,'[3]Price info'!A:D,4,FALSE)</f>
        <v>16.149999999999999</v>
      </c>
      <c r="M123" s="18" t="s">
        <v>40</v>
      </c>
      <c r="N123" s="20">
        <v>3105</v>
      </c>
      <c r="P123" s="16">
        <f>VLOOKUP(A123,'[3]Price info'!A:H,8,FALSE)</f>
        <v>15.035649999999999</v>
      </c>
      <c r="Q123" s="27">
        <f t="shared" si="5"/>
        <v>0.93100000000000005</v>
      </c>
      <c r="S123" s="16">
        <f>VLOOKUP(A123,[4]Sales!$E:$G,3,FALSE)</f>
        <v>7955.3399999999956</v>
      </c>
      <c r="T123" s="19">
        <f>VLOOKUP(A123,[4]Volume!$E:$G,3,FALSE)</f>
        <v>1275</v>
      </c>
      <c r="U123" s="19">
        <f>VLOOKUP(A123,[4]Piece!$E:$G,3,FALSE)</f>
        <v>510</v>
      </c>
      <c r="V123" s="21">
        <f t="shared" si="6"/>
        <v>7668.1814999999997</v>
      </c>
      <c r="W123" s="16">
        <f t="shared" si="7"/>
        <v>-287.15849999999591</v>
      </c>
    </row>
    <row r="124" spans="1:23" hidden="1" x14ac:dyDescent="0.3">
      <c r="A124" s="22" t="s">
        <v>264</v>
      </c>
      <c r="B124" s="22" t="s">
        <v>264</v>
      </c>
      <c r="C124" s="23" t="s">
        <v>33</v>
      </c>
      <c r="D124" s="20" t="s">
        <v>34</v>
      </c>
      <c r="E124" s="22" t="s">
        <v>265</v>
      </c>
      <c r="F124" s="24" t="str">
        <f t="shared" si="4"/>
        <v>PPG - Johnstones QD STEEL &amp; CLADDING - Mix - 5ltr</v>
      </c>
      <c r="G124" s="23" t="s">
        <v>5002</v>
      </c>
      <c r="H124" s="25" t="s">
        <v>36</v>
      </c>
      <c r="I124" s="18" t="s">
        <v>37</v>
      </c>
      <c r="J124" s="18" t="s">
        <v>38</v>
      </c>
      <c r="K124" t="s">
        <v>39</v>
      </c>
      <c r="L124" s="26">
        <f>VLOOKUP(A124,'[3]Price info'!A:D,4,FALSE)</f>
        <v>53.24</v>
      </c>
      <c r="M124" s="18" t="s">
        <v>40</v>
      </c>
      <c r="N124" s="20">
        <v>3105</v>
      </c>
      <c r="P124" s="16">
        <f>VLOOKUP(A124,'[3]Price info'!A:H,8,FALSE)</f>
        <v>49.566440000000007</v>
      </c>
      <c r="Q124" s="27">
        <f t="shared" si="5"/>
        <v>0.93100000000000005</v>
      </c>
      <c r="S124" s="16">
        <f>VLOOKUP(A124,[4]Sales!$E:$G,3,FALSE)</f>
        <v>5707.8899999999994</v>
      </c>
      <c r="T124" s="19">
        <f>VLOOKUP(A124,[4]Volume!$E:$G,3,FALSE)</f>
        <v>575</v>
      </c>
      <c r="U124" s="19">
        <f>VLOOKUP(A124,[4]Piece!$E:$G,3,FALSE)</f>
        <v>115</v>
      </c>
      <c r="V124" s="21">
        <f t="shared" si="6"/>
        <v>5700.1406000000006</v>
      </c>
      <c r="W124" s="16">
        <f t="shared" si="7"/>
        <v>-7.7493999999987864</v>
      </c>
    </row>
    <row r="125" spans="1:23" hidden="1" x14ac:dyDescent="0.3">
      <c r="A125" s="53" t="s">
        <v>266</v>
      </c>
      <c r="B125" s="53" t="s">
        <v>266</v>
      </c>
      <c r="C125" s="47" t="s">
        <v>33</v>
      </c>
      <c r="D125" s="48" t="s">
        <v>34</v>
      </c>
      <c r="E125" s="22" t="s">
        <v>267</v>
      </c>
      <c r="F125" s="24" t="str">
        <f t="shared" si="4"/>
        <v>PPG - Zinsser BIN PRIMER WHITE - 5ltr</v>
      </c>
      <c r="G125" s="20" t="s">
        <v>5003</v>
      </c>
      <c r="H125" s="25" t="s">
        <v>36</v>
      </c>
      <c r="I125" s="18" t="s">
        <v>37</v>
      </c>
      <c r="J125" s="18" t="s">
        <v>38</v>
      </c>
      <c r="K125" t="s">
        <v>39</v>
      </c>
      <c r="L125" s="26">
        <f>VLOOKUP(A125,'[3]Price info'!A:D,4,FALSE)</f>
        <v>64.680000000000007</v>
      </c>
      <c r="M125" s="18" t="s">
        <v>40</v>
      </c>
      <c r="N125" s="20">
        <v>3105</v>
      </c>
      <c r="O125" s="48"/>
      <c r="P125" s="16">
        <f>VLOOKUP(A125,'[3]Price info'!A:H,8,FALSE)</f>
        <v>84.084000000000017</v>
      </c>
      <c r="Q125" s="27">
        <f t="shared" si="5"/>
        <v>1.3</v>
      </c>
      <c r="S125" s="16">
        <f>VLOOKUP(A125,[4]Sales!$E:$G,3,FALSE)</f>
        <v>7945.7399999999971</v>
      </c>
      <c r="T125" s="19">
        <f>VLOOKUP(A125,[4]Volume!$E:$G,3,FALSE)</f>
        <v>540</v>
      </c>
      <c r="U125" s="19">
        <f>VLOOKUP(A125,[4]Piece!$E:$G,3,FALSE)</f>
        <v>108</v>
      </c>
      <c r="V125" s="21">
        <f t="shared" si="6"/>
        <v>9081.0720000000019</v>
      </c>
      <c r="W125" s="16">
        <f t="shared" si="7"/>
        <v>1135.3320000000049</v>
      </c>
    </row>
    <row r="126" spans="1:23" hidden="1" x14ac:dyDescent="0.3">
      <c r="A126" s="22" t="s">
        <v>268</v>
      </c>
      <c r="B126" s="22" t="s">
        <v>268</v>
      </c>
      <c r="C126" s="23" t="s">
        <v>33</v>
      </c>
      <c r="D126" s="20" t="s">
        <v>34</v>
      </c>
      <c r="E126" s="22" t="s">
        <v>269</v>
      </c>
      <c r="F126" s="24" t="str">
        <f t="shared" si="4"/>
        <v>PPG - Johnstones SOLV OPAQUE - Ebony - 5ltr</v>
      </c>
      <c r="G126" s="23" t="s">
        <v>5004</v>
      </c>
      <c r="H126" s="25" t="s">
        <v>36</v>
      </c>
      <c r="I126" s="18" t="s">
        <v>37</v>
      </c>
      <c r="J126" s="18" t="s">
        <v>38</v>
      </c>
      <c r="K126" t="s">
        <v>39</v>
      </c>
      <c r="L126" s="26">
        <f>VLOOKUP(A126,'[3]Price info'!A:D,4,FALSE)</f>
        <v>21.15</v>
      </c>
      <c r="M126" s="18" t="s">
        <v>40</v>
      </c>
      <c r="N126" s="20">
        <v>3105</v>
      </c>
      <c r="P126" s="16">
        <f>VLOOKUP(A126,'[3]Price info'!A:H,8,FALSE)</f>
        <v>21.15</v>
      </c>
      <c r="Q126" s="27">
        <f t="shared" si="5"/>
        <v>1</v>
      </c>
      <c r="S126" s="16">
        <f>VLOOKUP(A126,[4]Sales!$E:$G,3,FALSE)</f>
        <v>8828.6299999999974</v>
      </c>
      <c r="T126" s="19">
        <f>VLOOKUP(A126,[4]Volume!$E:$G,3,FALSE)</f>
        <v>1980</v>
      </c>
      <c r="U126" s="19">
        <f>VLOOKUP(A126,[4]Piece!$E:$G,3,FALSE)</f>
        <v>396</v>
      </c>
      <c r="V126" s="21">
        <f t="shared" si="6"/>
        <v>8375.4</v>
      </c>
      <c r="W126" s="16">
        <f t="shared" si="7"/>
        <v>-453.22999999999774</v>
      </c>
    </row>
    <row r="127" spans="1:23" hidden="1" x14ac:dyDescent="0.3">
      <c r="A127" s="102" t="s">
        <v>7991</v>
      </c>
      <c r="B127" s="102" t="s">
        <v>7991</v>
      </c>
      <c r="C127" s="23" t="s">
        <v>33</v>
      </c>
      <c r="D127" s="20" t="s">
        <v>34</v>
      </c>
      <c r="E127" s="22" t="s">
        <v>270</v>
      </c>
      <c r="F127" s="24" t="str">
        <f t="shared" si="4"/>
        <v>PPG - Artex EASY-FILL 45 - 10kg</v>
      </c>
      <c r="G127" s="38" t="s">
        <v>5005</v>
      </c>
      <c r="H127" s="39" t="s">
        <v>213</v>
      </c>
      <c r="I127" s="40" t="s">
        <v>37</v>
      </c>
      <c r="J127" s="40" t="s">
        <v>38</v>
      </c>
      <c r="K127" s="41" t="s">
        <v>39</v>
      </c>
      <c r="L127" s="26" t="e">
        <f>VLOOKUP(A127,'[3]Price info'!A:D,4,FALSE)</f>
        <v>#N/A</v>
      </c>
      <c r="M127" s="40" t="s">
        <v>40</v>
      </c>
      <c r="N127" s="42">
        <v>3105</v>
      </c>
      <c r="O127" s="43"/>
      <c r="P127" s="16">
        <v>17.21</v>
      </c>
      <c r="Q127" s="52" t="e">
        <f t="shared" si="5"/>
        <v>#N/A</v>
      </c>
      <c r="R127" s="40"/>
      <c r="S127" s="16" t="e">
        <f>VLOOKUP(A127,[4]Sales!$E:$G,3,FALSE)</f>
        <v>#N/A</v>
      </c>
      <c r="T127" s="19" t="e">
        <f>VLOOKUP(A127,[4]Volume!$E:$G,3,FALSE)</f>
        <v>#N/A</v>
      </c>
      <c r="U127" s="19" t="e">
        <f>VLOOKUP(A127,[4]Piece!$E:$G,3,FALSE)</f>
        <v>#N/A</v>
      </c>
      <c r="V127" s="21" t="e">
        <f t="shared" si="6"/>
        <v>#N/A</v>
      </c>
      <c r="W127" s="16" t="e">
        <f t="shared" si="7"/>
        <v>#N/A</v>
      </c>
    </row>
    <row r="128" spans="1:23" hidden="1" x14ac:dyDescent="0.3">
      <c r="A128" t="s">
        <v>271</v>
      </c>
      <c r="B128" t="s">
        <v>271</v>
      </c>
      <c r="C128" s="23" t="s">
        <v>272</v>
      </c>
      <c r="D128" s="20" t="s">
        <v>34</v>
      </c>
      <c r="E128" s="22" t="s">
        <v>273</v>
      </c>
      <c r="F128" s="24" t="str">
        <f t="shared" si="4"/>
        <v>PPG - Artex JOINT FILLER GYP - 12.5kg</v>
      </c>
      <c r="G128" s="38" t="s">
        <v>5006</v>
      </c>
      <c r="H128" s="39" t="s">
        <v>213</v>
      </c>
      <c r="I128" s="40" t="s">
        <v>37</v>
      </c>
      <c r="J128" s="40" t="s">
        <v>38</v>
      </c>
      <c r="K128" s="41" t="s">
        <v>39</v>
      </c>
      <c r="L128" s="26">
        <f>VLOOKUP(A128,'[3]Price info'!A:D,4,FALSE)</f>
        <v>10.93</v>
      </c>
      <c r="M128" s="40" t="s">
        <v>274</v>
      </c>
      <c r="N128" s="42">
        <v>3111</v>
      </c>
      <c r="O128" s="43"/>
      <c r="P128" s="16">
        <f>VLOOKUP(A128,'[3]Price info'!A:H,8,FALSE)</f>
        <v>10.79</v>
      </c>
      <c r="Q128" s="52">
        <f t="shared" si="5"/>
        <v>0.9871912168344007</v>
      </c>
      <c r="R128" s="40"/>
      <c r="S128" s="16">
        <f>VLOOKUP(A128,[4]Sales!$E:$G,3,FALSE)</f>
        <v>3580.95</v>
      </c>
      <c r="T128" s="19">
        <f>VLOOKUP(A128,[4]Volume!$E:$G,3,FALSE)</f>
        <v>4137.5</v>
      </c>
      <c r="U128" s="19">
        <f>VLOOKUP(A128,[4]Piece!$E:$G,3,FALSE)</f>
        <v>331</v>
      </c>
      <c r="V128" s="21">
        <f t="shared" si="6"/>
        <v>3571.49</v>
      </c>
      <c r="W128" s="16">
        <f t="shared" si="7"/>
        <v>-9.4600000000000364</v>
      </c>
    </row>
    <row r="129" spans="1:23" hidden="1" x14ac:dyDescent="0.3">
      <c r="A129" s="22" t="s">
        <v>275</v>
      </c>
      <c r="B129" s="22" t="s">
        <v>275</v>
      </c>
      <c r="C129" s="23" t="s">
        <v>33</v>
      </c>
      <c r="D129" s="20" t="s">
        <v>34</v>
      </c>
      <c r="E129" s="22" t="s">
        <v>276</v>
      </c>
      <c r="F129" s="24" t="str">
        <f t="shared" si="4"/>
        <v>PPG - Leyland ACRYLIC EGGSHELL - Mix - 5ltr</v>
      </c>
      <c r="G129" s="23" t="s">
        <v>5007</v>
      </c>
      <c r="H129" s="25" t="s">
        <v>36</v>
      </c>
      <c r="I129" s="18" t="s">
        <v>37</v>
      </c>
      <c r="J129" s="18" t="s">
        <v>38</v>
      </c>
      <c r="K129" t="s">
        <v>39</v>
      </c>
      <c r="L129" s="26">
        <f>VLOOKUP(A129,'[3]Price info'!A:D,4,FALSE)</f>
        <v>18.66</v>
      </c>
      <c r="M129" s="18" t="s">
        <v>40</v>
      </c>
      <c r="N129" s="20">
        <v>3105</v>
      </c>
      <c r="P129" s="16">
        <f>VLOOKUP(A129,'[3]Price info'!A:H,8,FALSE)</f>
        <v>17.329999999999998</v>
      </c>
      <c r="Q129" s="27">
        <f t="shared" si="5"/>
        <v>0.92872454448017139</v>
      </c>
      <c r="S129" s="16">
        <f>VLOOKUP(A129,[4]Sales!$E:$G,3,FALSE)</f>
        <v>3489.0499999999984</v>
      </c>
      <c r="T129" s="19">
        <f>VLOOKUP(A129,[4]Volume!$E:$G,3,FALSE)</f>
        <v>960</v>
      </c>
      <c r="U129" s="19">
        <f>VLOOKUP(A129,[4]Piece!$E:$G,3,FALSE)</f>
        <v>192</v>
      </c>
      <c r="V129" s="21">
        <f t="shared" si="6"/>
        <v>3327.3599999999997</v>
      </c>
      <c r="W129" s="16">
        <f t="shared" si="7"/>
        <v>-161.68999999999869</v>
      </c>
    </row>
    <row r="130" spans="1:23" hidden="1" x14ac:dyDescent="0.3">
      <c r="A130" s="22" t="s">
        <v>277</v>
      </c>
      <c r="B130" s="22" t="s">
        <v>277</v>
      </c>
      <c r="C130" s="23" t="s">
        <v>33</v>
      </c>
      <c r="D130" s="20" t="s">
        <v>34</v>
      </c>
      <c r="E130" s="22" t="s">
        <v>278</v>
      </c>
      <c r="F130" s="24" t="str">
        <f t="shared" si="4"/>
        <v>PPG - Stormshield PLIOLITE - Brilliant White - 5l</v>
      </c>
      <c r="G130" s="23" t="s">
        <v>5008</v>
      </c>
      <c r="H130" s="25" t="s">
        <v>36</v>
      </c>
      <c r="I130" s="18" t="s">
        <v>37</v>
      </c>
      <c r="J130" s="18" t="s">
        <v>38</v>
      </c>
      <c r="K130" t="s">
        <v>39</v>
      </c>
      <c r="L130" s="26">
        <f>VLOOKUP(A130,'[3]Price info'!A:D,4,FALSE)</f>
        <v>21.88</v>
      </c>
      <c r="M130" s="18" t="s">
        <v>40</v>
      </c>
      <c r="N130" s="20">
        <v>3105</v>
      </c>
      <c r="P130" s="16">
        <f>VLOOKUP(A130,'[3]Price info'!A:H,8,FALSE)</f>
        <v>21.88</v>
      </c>
      <c r="Q130" s="27">
        <f t="shared" si="5"/>
        <v>1</v>
      </c>
      <c r="S130" s="16">
        <f>VLOOKUP(A130,[4]Sales!$E:$G,3,FALSE)</f>
        <v>7372.3600000000042</v>
      </c>
      <c r="T130" s="19">
        <f>VLOOKUP(A130,[4]Volume!$E:$G,3,FALSE)</f>
        <v>1695</v>
      </c>
      <c r="U130" s="19">
        <f>VLOOKUP(A130,[4]Piece!$E:$G,3,FALSE)</f>
        <v>339</v>
      </c>
      <c r="V130" s="21">
        <f t="shared" si="6"/>
        <v>7417.32</v>
      </c>
      <c r="W130" s="16">
        <f t="shared" si="7"/>
        <v>44.959999999995489</v>
      </c>
    </row>
    <row r="131" spans="1:23" hidden="1" x14ac:dyDescent="0.3">
      <c r="A131" s="22" t="s">
        <v>279</v>
      </c>
      <c r="B131" s="22" t="s">
        <v>279</v>
      </c>
      <c r="C131" s="23" t="s">
        <v>33</v>
      </c>
      <c r="D131" s="20" t="s">
        <v>34</v>
      </c>
      <c r="E131" s="22" t="s">
        <v>280</v>
      </c>
      <c r="F131" s="24" t="str">
        <f t="shared" ref="F131:F194" si="8">D131&amp;" - "&amp;E131</f>
        <v>PPG - Johnstones SMOOTH METAL - Black - 2.5ltr</v>
      </c>
      <c r="G131" s="23" t="s">
        <v>5009</v>
      </c>
      <c r="H131" s="25" t="s">
        <v>36</v>
      </c>
      <c r="I131" s="18" t="s">
        <v>37</v>
      </c>
      <c r="J131" s="18" t="s">
        <v>38</v>
      </c>
      <c r="K131" t="s">
        <v>39</v>
      </c>
      <c r="L131" s="26">
        <f>VLOOKUP(A131,'[3]Price info'!A:D,4,FALSE)</f>
        <v>24.28</v>
      </c>
      <c r="M131" s="18" t="s">
        <v>40</v>
      </c>
      <c r="N131" s="20">
        <v>3105</v>
      </c>
      <c r="P131" s="16">
        <f>VLOOKUP(A131,'[3]Price info'!A:H,8,FALSE)</f>
        <v>22.604680000000002</v>
      </c>
      <c r="Q131" s="27">
        <f t="shared" ref="Q131:Q194" si="9">P131/L131</f>
        <v>0.93100000000000005</v>
      </c>
      <c r="S131" s="16">
        <f>VLOOKUP(A131,[4]Sales!$E:$G,3,FALSE)</f>
        <v>8445.56</v>
      </c>
      <c r="T131" s="19">
        <f>VLOOKUP(A131,[4]Volume!$E:$G,3,FALSE)</f>
        <v>892.5</v>
      </c>
      <c r="U131" s="19">
        <f>VLOOKUP(A131,[4]Piece!$E:$G,3,FALSE)</f>
        <v>357</v>
      </c>
      <c r="V131" s="21">
        <f t="shared" ref="V131:V194" si="10">U131*P131</f>
        <v>8069.8707600000007</v>
      </c>
      <c r="W131" s="16">
        <f t="shared" ref="W131:W194" si="11">V131-S131</f>
        <v>-375.68923999999879</v>
      </c>
    </row>
    <row r="132" spans="1:23" hidden="1" x14ac:dyDescent="0.3">
      <c r="A132" s="46" t="s">
        <v>281</v>
      </c>
      <c r="B132" s="46" t="s">
        <v>281</v>
      </c>
      <c r="C132" s="51" t="s">
        <v>33</v>
      </c>
      <c r="D132" s="48" t="s">
        <v>34</v>
      </c>
      <c r="E132" s="18" t="s">
        <v>282</v>
      </c>
      <c r="F132" s="24" t="str">
        <f t="shared" si="8"/>
        <v>PPG - OSMO  UV PROTECT   OIL EXTRA  0000001250</v>
      </c>
      <c r="G132" s="20" t="s">
        <v>5010</v>
      </c>
      <c r="H132" s="49" t="s">
        <v>213</v>
      </c>
      <c r="I132" s="18" t="s">
        <v>37</v>
      </c>
      <c r="J132" s="18" t="s">
        <v>38</v>
      </c>
      <c r="K132" t="s">
        <v>39</v>
      </c>
      <c r="L132" s="50">
        <f>VLOOKUP(A132,'[3]Price info'!A:D,4,FALSE)</f>
        <v>74.540000000000006</v>
      </c>
      <c r="M132" s="18" t="s">
        <v>214</v>
      </c>
      <c r="N132" s="20">
        <v>3105</v>
      </c>
      <c r="P132" s="16">
        <f>VLOOKUP(A132,'[3]Price info'!A:H,8,FALSE)</f>
        <v>69.396740000000008</v>
      </c>
      <c r="Q132" s="17">
        <f t="shared" si="9"/>
        <v>0.93100000000000005</v>
      </c>
      <c r="S132" s="16" t="e">
        <f>VLOOKUP(A132,[4]Sales!$E:$G,3,FALSE)</f>
        <v>#N/A</v>
      </c>
      <c r="T132" s="19" t="e">
        <f>VLOOKUP(A132,[4]Volume!$E:$G,3,FALSE)</f>
        <v>#N/A</v>
      </c>
      <c r="U132" s="19" t="e">
        <f>VLOOKUP(A132,[4]Piece!$E:$G,3,FALSE)</f>
        <v>#N/A</v>
      </c>
      <c r="V132" s="21" t="e">
        <f t="shared" si="10"/>
        <v>#N/A</v>
      </c>
      <c r="W132" s="16" t="e">
        <f t="shared" si="11"/>
        <v>#N/A</v>
      </c>
    </row>
    <row r="133" spans="1:23" hidden="1" x14ac:dyDescent="0.3">
      <c r="A133" s="22" t="s">
        <v>283</v>
      </c>
      <c r="B133" s="22" t="s">
        <v>283</v>
      </c>
      <c r="C133" s="23" t="s">
        <v>33</v>
      </c>
      <c r="D133" s="20" t="s">
        <v>34</v>
      </c>
      <c r="E133" s="22" t="s">
        <v>284</v>
      </c>
      <c r="F133" s="24" t="str">
        <f t="shared" si="8"/>
        <v>PPG - Johnstones PRO GLOSS - Black - 5ltr</v>
      </c>
      <c r="G133" s="23" t="s">
        <v>5011</v>
      </c>
      <c r="H133" s="25" t="s">
        <v>36</v>
      </c>
      <c r="I133" s="18" t="s">
        <v>37</v>
      </c>
      <c r="J133" s="18" t="s">
        <v>38</v>
      </c>
      <c r="K133" t="s">
        <v>39</v>
      </c>
      <c r="L133" s="26">
        <f>VLOOKUP(A133,'[3]Price info'!A:D,4,FALSE)</f>
        <v>18.82</v>
      </c>
      <c r="M133" s="18" t="s">
        <v>40</v>
      </c>
      <c r="N133" s="20">
        <v>3105</v>
      </c>
      <c r="P133" s="16">
        <f>VLOOKUP(A133,'[3]Price info'!A:H,8,FALSE)</f>
        <v>24.7</v>
      </c>
      <c r="Q133" s="27">
        <f t="shared" si="9"/>
        <v>1.3124335812964931</v>
      </c>
      <c r="S133" s="16">
        <f>VLOOKUP(A133,[4]Sales!$E:$G,3,FALSE)</f>
        <v>7405.9</v>
      </c>
      <c r="T133" s="19">
        <f>VLOOKUP(A133,[4]Volume!$E:$G,3,FALSE)</f>
        <v>1735</v>
      </c>
      <c r="U133" s="19">
        <f>VLOOKUP(A133,[4]Piece!$E:$G,3,FALSE)</f>
        <v>347</v>
      </c>
      <c r="V133" s="21">
        <f t="shared" si="10"/>
        <v>8570.9</v>
      </c>
      <c r="W133" s="16">
        <f t="shared" si="11"/>
        <v>1165</v>
      </c>
    </row>
    <row r="134" spans="1:23" hidden="1" x14ac:dyDescent="0.3">
      <c r="A134" s="46" t="s">
        <v>285</v>
      </c>
      <c r="B134" s="46" t="s">
        <v>285</v>
      </c>
      <c r="C134" s="47" t="s">
        <v>33</v>
      </c>
      <c r="D134" s="48" t="s">
        <v>34</v>
      </c>
      <c r="E134" s="18" t="s">
        <v>286</v>
      </c>
      <c r="F134" s="24" t="str">
        <f t="shared" si="8"/>
        <v>PPG - EASY  EASYTEX      10-036     BARK</v>
      </c>
      <c r="G134" s="20" t="s">
        <v>5012</v>
      </c>
      <c r="H134" s="49" t="s">
        <v>213</v>
      </c>
      <c r="I134" s="18" t="s">
        <v>37</v>
      </c>
      <c r="J134" s="18" t="s">
        <v>38</v>
      </c>
      <c r="K134" t="s">
        <v>39</v>
      </c>
      <c r="L134" s="50">
        <f>VLOOKUP(A134,'[3]Price info'!A:D,4,FALSE)</f>
        <v>5.18</v>
      </c>
      <c r="M134" s="18" t="s">
        <v>214</v>
      </c>
      <c r="N134" s="20">
        <v>3105</v>
      </c>
      <c r="P134" s="16">
        <f>VLOOKUP(A134,'[3]Price info'!A:H,8,FALSE)</f>
        <v>4.8225800000000003</v>
      </c>
      <c r="Q134" s="17">
        <f t="shared" si="9"/>
        <v>0.93100000000000016</v>
      </c>
      <c r="S134" s="16">
        <f>VLOOKUP(A134,[4]Sales!$E:$G,3,FALSE)</f>
        <v>300.38000000000005</v>
      </c>
      <c r="T134" s="19">
        <f>VLOOKUP(A134,[4]Volume!$E:$G,3,FALSE)</f>
        <v>60</v>
      </c>
      <c r="U134" s="19">
        <f>VLOOKUP(A134,[4]Piece!$E:$G,3,FALSE)</f>
        <v>60</v>
      </c>
      <c r="V134" s="21">
        <f t="shared" si="10"/>
        <v>289.35480000000001</v>
      </c>
      <c r="W134" s="16">
        <f t="shared" si="11"/>
        <v>-11.025200000000041</v>
      </c>
    </row>
    <row r="135" spans="1:23" hidden="1" x14ac:dyDescent="0.3">
      <c r="A135" s="53" t="s">
        <v>287</v>
      </c>
      <c r="B135" s="54" t="s">
        <v>287</v>
      </c>
      <c r="C135" s="47" t="s">
        <v>33</v>
      </c>
      <c r="D135" s="48" t="s">
        <v>34</v>
      </c>
      <c r="E135" s="22" t="s">
        <v>288</v>
      </c>
      <c r="F135" s="24" t="str">
        <f t="shared" si="8"/>
        <v>PPG - ProGold MASKING TAPE 2"</v>
      </c>
      <c r="G135" s="20" t="s">
        <v>5013</v>
      </c>
      <c r="H135" s="25" t="s">
        <v>36</v>
      </c>
      <c r="I135" s="18" t="s">
        <v>37</v>
      </c>
      <c r="J135" s="18" t="s">
        <v>38</v>
      </c>
      <c r="K135" t="s">
        <v>39</v>
      </c>
      <c r="L135" s="26">
        <f>VLOOKUP(A135,'[3]Price info'!A:D,4,FALSE)</f>
        <v>1.43</v>
      </c>
      <c r="M135" s="18" t="s">
        <v>214</v>
      </c>
      <c r="N135" s="20">
        <v>3105</v>
      </c>
      <c r="P135" s="16">
        <f>VLOOKUP(A135,'[3]Price info'!A:H,8,FALSE)</f>
        <v>1.3313299999999999</v>
      </c>
      <c r="Q135" s="27">
        <f t="shared" si="9"/>
        <v>0.93099999999999994</v>
      </c>
      <c r="S135" s="16">
        <f>VLOOKUP(A135,[4]Sales!$E:$G,3,FALSE)</f>
        <v>4670.3700000000108</v>
      </c>
      <c r="T135" s="19">
        <f>VLOOKUP(A135,[4]Volume!$E:$G,3,FALSE)</f>
        <v>3401</v>
      </c>
      <c r="U135" s="19">
        <f>VLOOKUP(A135,[4]Piece!$E:$G,3,FALSE)</f>
        <v>3401</v>
      </c>
      <c r="V135" s="21">
        <f t="shared" si="10"/>
        <v>4527.8533299999999</v>
      </c>
      <c r="W135" s="16">
        <f t="shared" si="11"/>
        <v>-142.51667000001089</v>
      </c>
    </row>
    <row r="136" spans="1:23" hidden="1" x14ac:dyDescent="0.3">
      <c r="A136" s="53" t="s">
        <v>289</v>
      </c>
      <c r="B136" s="54" t="s">
        <v>289</v>
      </c>
      <c r="C136" s="47" t="s">
        <v>33</v>
      </c>
      <c r="D136" s="48" t="s">
        <v>34</v>
      </c>
      <c r="E136" s="22" t="s">
        <v>290</v>
      </c>
      <c r="F136" s="24" t="str">
        <f t="shared" si="8"/>
        <v>PPG - Zinsser BIN PRIMER SEAL WHITE - 2.5ltr</v>
      </c>
      <c r="G136" s="20" t="s">
        <v>5014</v>
      </c>
      <c r="H136" s="25" t="s">
        <v>36</v>
      </c>
      <c r="I136" s="18" t="s">
        <v>37</v>
      </c>
      <c r="J136" s="18" t="s">
        <v>38</v>
      </c>
      <c r="K136" t="s">
        <v>39</v>
      </c>
      <c r="L136" s="26">
        <f>VLOOKUP(A136,'[3]Price info'!A:D,4,FALSE)</f>
        <v>57.71</v>
      </c>
      <c r="M136" s="18" t="s">
        <v>40</v>
      </c>
      <c r="N136" s="20">
        <v>3105</v>
      </c>
      <c r="O136" s="48"/>
      <c r="P136" s="16">
        <f>VLOOKUP(A136,'[3]Price info'!A:H,8,FALSE)</f>
        <v>53.728010000000005</v>
      </c>
      <c r="Q136" s="27">
        <f t="shared" si="9"/>
        <v>0.93100000000000005</v>
      </c>
      <c r="S136" s="16">
        <f>VLOOKUP(A136,[4]Sales!$E:$G,3,FALSE)</f>
        <v>3963.0800000000008</v>
      </c>
      <c r="T136" s="19">
        <f>VLOOKUP(A136,[4]Volume!$E:$G,3,FALSE)</f>
        <v>187.5</v>
      </c>
      <c r="U136" s="19">
        <f>VLOOKUP(A136,[4]Piece!$E:$G,3,FALSE)</f>
        <v>75</v>
      </c>
      <c r="V136" s="21">
        <f t="shared" si="10"/>
        <v>4029.6007500000005</v>
      </c>
      <c r="W136" s="16">
        <f t="shared" si="11"/>
        <v>66.52074999999968</v>
      </c>
    </row>
    <row r="137" spans="1:23" hidden="1" x14ac:dyDescent="0.3">
      <c r="A137" s="22" t="s">
        <v>291</v>
      </c>
      <c r="B137" s="22" t="s">
        <v>291</v>
      </c>
      <c r="C137" s="23" t="s">
        <v>33</v>
      </c>
      <c r="D137" s="20" t="s">
        <v>34</v>
      </c>
      <c r="E137" s="22" t="s">
        <v>292</v>
      </c>
      <c r="F137" s="24" t="str">
        <f t="shared" si="8"/>
        <v>PPG - ProGold PROTECTOR DUST SHEET 12' X 9'</v>
      </c>
      <c r="G137" s="23" t="s">
        <v>5015</v>
      </c>
      <c r="H137" s="25" t="s">
        <v>36</v>
      </c>
      <c r="I137" s="18" t="s">
        <v>37</v>
      </c>
      <c r="J137" s="18" t="s">
        <v>38</v>
      </c>
      <c r="K137" t="s">
        <v>39</v>
      </c>
      <c r="L137" s="26">
        <f>VLOOKUP(A137,'[3]Price info'!A:D,4,FALSE)</f>
        <v>16.850000000000001</v>
      </c>
      <c r="M137" s="18" t="s">
        <v>40</v>
      </c>
      <c r="N137" s="20">
        <v>3105</v>
      </c>
      <c r="P137" s="16">
        <f>VLOOKUP(A137,'[3]Price info'!A:H,8,FALSE)</f>
        <v>15.687350000000002</v>
      </c>
      <c r="Q137" s="27">
        <f t="shared" si="9"/>
        <v>0.93100000000000005</v>
      </c>
      <c r="S137" s="16">
        <f>VLOOKUP(A137,[4]Sales!$E:$G,3,FALSE)</f>
        <v>2367.9100000000003</v>
      </c>
      <c r="T137" s="19">
        <f>VLOOKUP(A137,[4]Volume!$E:$G,3,FALSE)</f>
        <v>155</v>
      </c>
      <c r="U137" s="19">
        <f>VLOOKUP(A137,[4]Piece!$E:$G,3,FALSE)</f>
        <v>155</v>
      </c>
      <c r="V137" s="21">
        <f t="shared" si="10"/>
        <v>2431.5392500000003</v>
      </c>
      <c r="W137" s="16">
        <f t="shared" si="11"/>
        <v>63.629249999999956</v>
      </c>
    </row>
    <row r="138" spans="1:23" hidden="1" x14ac:dyDescent="0.3">
      <c r="A138" s="22" t="s">
        <v>293</v>
      </c>
      <c r="B138" s="22" t="s">
        <v>293</v>
      </c>
      <c r="C138" s="23" t="s">
        <v>33</v>
      </c>
      <c r="D138" s="20" t="s">
        <v>34</v>
      </c>
      <c r="E138" s="22" t="s">
        <v>294</v>
      </c>
      <c r="F138" s="24" t="str">
        <f t="shared" si="8"/>
        <v>PPG - Johnstones SMOOTH METAL - White - 2.5ltr</v>
      </c>
      <c r="G138" s="23" t="s">
        <v>5016</v>
      </c>
      <c r="H138" s="25" t="s">
        <v>36</v>
      </c>
      <c r="I138" s="18" t="s">
        <v>37</v>
      </c>
      <c r="J138" s="18" t="s">
        <v>38</v>
      </c>
      <c r="K138" t="s">
        <v>39</v>
      </c>
      <c r="L138" s="26">
        <f>VLOOKUP(A138,'[3]Price info'!A:D,4,FALSE)</f>
        <v>24.28</v>
      </c>
      <c r="M138" s="18" t="s">
        <v>40</v>
      </c>
      <c r="N138" s="20">
        <v>3105</v>
      </c>
      <c r="P138" s="16">
        <f>VLOOKUP(A138,'[3]Price info'!A:H,8,FALSE)</f>
        <v>22.604680000000002</v>
      </c>
      <c r="Q138" s="27">
        <f t="shared" si="9"/>
        <v>0.93100000000000005</v>
      </c>
      <c r="S138" s="16">
        <f>VLOOKUP(A138,[4]Sales!$E:$G,3,FALSE)</f>
        <v>3632.8000000000006</v>
      </c>
      <c r="T138" s="19">
        <f>VLOOKUP(A138,[4]Volume!$E:$G,3,FALSE)</f>
        <v>387.5</v>
      </c>
      <c r="U138" s="19">
        <f>VLOOKUP(A138,[4]Piece!$E:$G,3,FALSE)</f>
        <v>155</v>
      </c>
      <c r="V138" s="21">
        <f t="shared" si="10"/>
        <v>3503.7254000000003</v>
      </c>
      <c r="W138" s="16">
        <f t="shared" si="11"/>
        <v>-129.07460000000037</v>
      </c>
    </row>
    <row r="139" spans="1:23" hidden="1" x14ac:dyDescent="0.3">
      <c r="A139" s="22" t="s">
        <v>295</v>
      </c>
      <c r="B139" s="22" t="s">
        <v>295</v>
      </c>
      <c r="C139" s="23" t="s">
        <v>33</v>
      </c>
      <c r="D139" s="20" t="s">
        <v>34</v>
      </c>
      <c r="E139" s="22" t="s">
        <v>296</v>
      </c>
      <c r="F139" s="24" t="str">
        <f>D139&amp;" - "&amp;E139</f>
        <v>PPG - Johnstones PRO UNDERCOAT - Mix - 5ltr</v>
      </c>
      <c r="G139" s="23" t="s">
        <v>5017</v>
      </c>
      <c r="H139" s="25" t="s">
        <v>36</v>
      </c>
      <c r="I139" s="18" t="s">
        <v>37</v>
      </c>
      <c r="J139" s="18" t="s">
        <v>38</v>
      </c>
      <c r="K139" t="s">
        <v>39</v>
      </c>
      <c r="L139" s="26">
        <f>VLOOKUP(A139,'[3]Price info'!A:D,4,FALSE)</f>
        <v>18.350000000000001</v>
      </c>
      <c r="M139" s="18" t="s">
        <v>40</v>
      </c>
      <c r="N139" s="20">
        <v>3105</v>
      </c>
      <c r="P139" s="16">
        <f>VLOOKUP(A139,'[3]Price info'!A:H,8,FALSE)</f>
        <v>25.69</v>
      </c>
      <c r="Q139" s="27">
        <f t="shared" si="9"/>
        <v>1.4</v>
      </c>
      <c r="S139" s="16">
        <f>VLOOKUP(A139,[4]Sales!$E:$G,3,FALSE)</f>
        <v>4149.5400000000018</v>
      </c>
      <c r="T139" s="19">
        <f>VLOOKUP(A139,[4]Volume!$E:$G,3,FALSE)</f>
        <v>925</v>
      </c>
      <c r="U139" s="19">
        <f>VLOOKUP(A139,[4]Piece!$E:$G,3,FALSE)</f>
        <v>185</v>
      </c>
      <c r="V139" s="21">
        <f t="shared" si="10"/>
        <v>4752.6500000000005</v>
      </c>
      <c r="W139" s="16">
        <f t="shared" si="11"/>
        <v>603.10999999999876</v>
      </c>
    </row>
    <row r="140" spans="1:23" hidden="1" x14ac:dyDescent="0.3">
      <c r="A140" s="22" t="s">
        <v>297</v>
      </c>
      <c r="B140" s="22" t="s">
        <v>297</v>
      </c>
      <c r="C140" s="23" t="s">
        <v>33</v>
      </c>
      <c r="D140" s="20" t="s">
        <v>34</v>
      </c>
      <c r="E140" s="22" t="s">
        <v>298</v>
      </c>
      <c r="F140" s="24" t="str">
        <f t="shared" si="8"/>
        <v>PPG - Stormshield PLIOLITE - Magnolia - 5ltr</v>
      </c>
      <c r="G140" s="23" t="s">
        <v>5018</v>
      </c>
      <c r="H140" s="25" t="s">
        <v>36</v>
      </c>
      <c r="I140" s="18" t="s">
        <v>37</v>
      </c>
      <c r="J140" s="18" t="s">
        <v>38</v>
      </c>
      <c r="K140" t="s">
        <v>39</v>
      </c>
      <c r="L140" s="26">
        <f>VLOOKUP(A140,'[3]Price info'!A:D,4,FALSE)</f>
        <v>21.88</v>
      </c>
      <c r="M140" s="18" t="s">
        <v>40</v>
      </c>
      <c r="N140" s="20">
        <v>3105</v>
      </c>
      <c r="P140" s="16">
        <f>VLOOKUP(A140,'[3]Price info'!A:H,8,FALSE)</f>
        <v>21.88</v>
      </c>
      <c r="Q140" s="27">
        <f t="shared" si="9"/>
        <v>1</v>
      </c>
      <c r="S140" s="16">
        <f>VLOOKUP(A140,[4]Sales!$E:$G,3,FALSE)</f>
        <v>2164.7800000000007</v>
      </c>
      <c r="T140" s="19">
        <f>VLOOKUP(A140,[4]Volume!$E:$G,3,FALSE)</f>
        <v>495</v>
      </c>
      <c r="U140" s="19">
        <f>VLOOKUP(A140,[4]Piece!$E:$G,3,FALSE)</f>
        <v>99</v>
      </c>
      <c r="V140" s="21">
        <f t="shared" si="10"/>
        <v>2166.12</v>
      </c>
      <c r="W140" s="16">
        <f t="shared" si="11"/>
        <v>1.339999999999236</v>
      </c>
    </row>
    <row r="141" spans="1:23" hidden="1" x14ac:dyDescent="0.3">
      <c r="A141" s="22" t="s">
        <v>299</v>
      </c>
      <c r="B141" s="22" t="s">
        <v>299</v>
      </c>
      <c r="C141" s="23" t="s">
        <v>33</v>
      </c>
      <c r="D141" s="20" t="s">
        <v>34</v>
      </c>
      <c r="E141" s="22" t="s">
        <v>300</v>
      </c>
      <c r="F141" s="24" t="str">
        <f t="shared" si="8"/>
        <v>PPG - Johnstones AQUA SATIN - Mix - 5ltr</v>
      </c>
      <c r="G141" s="23" t="s">
        <v>5019</v>
      </c>
      <c r="H141" s="25" t="s">
        <v>36</v>
      </c>
      <c r="I141" s="18" t="s">
        <v>37</v>
      </c>
      <c r="J141" s="18" t="s">
        <v>38</v>
      </c>
      <c r="K141" t="s">
        <v>39</v>
      </c>
      <c r="L141" s="26">
        <f>VLOOKUP(A141,'[3]Price info'!A:D,4,FALSE)</f>
        <v>31.1</v>
      </c>
      <c r="M141" s="18" t="s">
        <v>40</v>
      </c>
      <c r="N141" s="20">
        <v>3105</v>
      </c>
      <c r="P141" s="16">
        <f>VLOOKUP(A141,'[3]Price info'!A:H,8,FALSE)</f>
        <v>31.1</v>
      </c>
      <c r="Q141" s="27">
        <f t="shared" si="9"/>
        <v>1</v>
      </c>
      <c r="S141" s="16">
        <f>VLOOKUP(A141,[4]Sales!$E:$G,3,FALSE)</f>
        <v>5542.199999999998</v>
      </c>
      <c r="T141" s="19">
        <f>VLOOKUP(A141,[4]Volume!$E:$G,3,FALSE)</f>
        <v>895</v>
      </c>
      <c r="U141" s="19">
        <f>VLOOKUP(A141,[4]Piece!$E:$G,3,FALSE)</f>
        <v>179</v>
      </c>
      <c r="V141" s="21">
        <f t="shared" si="10"/>
        <v>5566.9000000000005</v>
      </c>
      <c r="W141" s="16">
        <f t="shared" si="11"/>
        <v>24.700000000002547</v>
      </c>
    </row>
    <row r="142" spans="1:23" hidden="1" x14ac:dyDescent="0.3">
      <c r="A142" s="22" t="s">
        <v>301</v>
      </c>
      <c r="B142" s="22" t="s">
        <v>301</v>
      </c>
      <c r="C142" s="23" t="s">
        <v>33</v>
      </c>
      <c r="D142" s="20" t="s">
        <v>34</v>
      </c>
      <c r="E142" s="22" t="s">
        <v>302</v>
      </c>
      <c r="F142" s="24" t="str">
        <f t="shared" si="8"/>
        <v>PPG - Johnstones QD POLY FLORTRED - Mix - 5ltr</v>
      </c>
      <c r="G142" s="23" t="s">
        <v>5020</v>
      </c>
      <c r="H142" s="25" t="s">
        <v>36</v>
      </c>
      <c r="I142" s="18" t="s">
        <v>37</v>
      </c>
      <c r="J142" s="18" t="s">
        <v>38</v>
      </c>
      <c r="K142" t="s">
        <v>39</v>
      </c>
      <c r="L142" s="26">
        <f>VLOOKUP(A142,'[3]Price info'!A:D,4,FALSE)</f>
        <v>78.099999999999994</v>
      </c>
      <c r="M142" s="18" t="s">
        <v>40</v>
      </c>
      <c r="N142" s="20">
        <v>3105</v>
      </c>
      <c r="P142" s="16">
        <f>VLOOKUP(A142,'[3]Price info'!A:H,8,FALSE)</f>
        <v>72.711100000000002</v>
      </c>
      <c r="Q142" s="27">
        <f t="shared" si="9"/>
        <v>0.93100000000000005</v>
      </c>
      <c r="S142" s="16">
        <f>VLOOKUP(A142,[4]Sales!$E:$G,3,FALSE)</f>
        <v>2633.73</v>
      </c>
      <c r="T142" s="19">
        <f>VLOOKUP(A142,[4]Volume!$E:$G,3,FALSE)</f>
        <v>180</v>
      </c>
      <c r="U142" s="19">
        <f>VLOOKUP(A142,[4]Piece!$E:$G,3,FALSE)</f>
        <v>36</v>
      </c>
      <c r="V142" s="21">
        <f t="shared" si="10"/>
        <v>2617.5996</v>
      </c>
      <c r="W142" s="16">
        <f t="shared" si="11"/>
        <v>-16.130400000000009</v>
      </c>
    </row>
    <row r="143" spans="1:23" hidden="1" x14ac:dyDescent="0.3">
      <c r="A143" s="22" t="s">
        <v>303</v>
      </c>
      <c r="B143" s="22" t="s">
        <v>303</v>
      </c>
      <c r="C143" s="23" t="s">
        <v>33</v>
      </c>
      <c r="D143" s="20" t="s">
        <v>34</v>
      </c>
      <c r="E143" s="22" t="s">
        <v>304</v>
      </c>
      <c r="F143" s="24" t="str">
        <f t="shared" si="8"/>
        <v>PPG - Leyland TG SMOOTH MASONRY- Mix - 10ltr</v>
      </c>
      <c r="G143" s="23" t="s">
        <v>5021</v>
      </c>
      <c r="H143" s="25" t="s">
        <v>36</v>
      </c>
      <c r="I143" s="18" t="s">
        <v>37</v>
      </c>
      <c r="J143" s="18" t="s">
        <v>38</v>
      </c>
      <c r="K143" t="s">
        <v>39</v>
      </c>
      <c r="L143" s="26">
        <f>VLOOKUP(A143,'[3]Price info'!A:D,4,FALSE)</f>
        <v>31.35</v>
      </c>
      <c r="M143" s="18" t="s">
        <v>40</v>
      </c>
      <c r="N143" s="20">
        <v>3105</v>
      </c>
      <c r="P143" s="16">
        <f>VLOOKUP(A143,'[3]Price info'!A:H,8,FALSE)</f>
        <v>24.93</v>
      </c>
      <c r="Q143" s="27">
        <f t="shared" si="9"/>
        <v>0.7952153110047846</v>
      </c>
      <c r="S143" s="16">
        <f>VLOOKUP(A143,[4]Sales!$E:$G,3,FALSE)</f>
        <v>1047</v>
      </c>
      <c r="T143" s="19">
        <f>VLOOKUP(A143,[4]Volume!$E:$G,3,FALSE)</f>
        <v>360</v>
      </c>
      <c r="U143" s="19">
        <f>VLOOKUP(A143,[4]Piece!$E:$G,3,FALSE)</f>
        <v>36</v>
      </c>
      <c r="V143" s="21">
        <f t="shared" si="10"/>
        <v>897.48</v>
      </c>
      <c r="W143" s="16">
        <f t="shared" si="11"/>
        <v>-149.51999999999998</v>
      </c>
    </row>
    <row r="144" spans="1:23" hidden="1" x14ac:dyDescent="0.3">
      <c r="A144" s="22" t="s">
        <v>305</v>
      </c>
      <c r="B144" s="22" t="s">
        <v>305</v>
      </c>
      <c r="C144" s="23" t="s">
        <v>33</v>
      </c>
      <c r="D144" s="20" t="s">
        <v>34</v>
      </c>
      <c r="E144" s="22" t="s">
        <v>306</v>
      </c>
      <c r="F144" s="24" t="str">
        <f t="shared" si="8"/>
        <v>PPG - Johnstones ACRYLIC EGGSHELL - Mix - 2.5ltr</v>
      </c>
      <c r="G144" s="23" t="s">
        <v>5022</v>
      </c>
      <c r="H144" s="25" t="s">
        <v>36</v>
      </c>
      <c r="I144" s="18" t="s">
        <v>37</v>
      </c>
      <c r="J144" s="18" t="s">
        <v>38</v>
      </c>
      <c r="K144" t="s">
        <v>39</v>
      </c>
      <c r="L144" s="26">
        <f>VLOOKUP(A144,'[3]Price info'!A:D,4,FALSE)</f>
        <v>11.59</v>
      </c>
      <c r="M144" s="18" t="s">
        <v>40</v>
      </c>
      <c r="N144" s="20">
        <v>3105</v>
      </c>
      <c r="P144" s="16">
        <f>VLOOKUP(A144,'[3]Price info'!A:H,8,FALSE)</f>
        <v>11.56</v>
      </c>
      <c r="Q144" s="27">
        <f t="shared" si="9"/>
        <v>0.99741156169111311</v>
      </c>
      <c r="S144" s="16">
        <f>VLOOKUP(A144,[4]Sales!$E:$G,3,FALSE)</f>
        <v>2633.7599999999993</v>
      </c>
      <c r="T144" s="19">
        <f>VLOOKUP(A144,[4]Volume!$E:$G,3,FALSE)</f>
        <v>587.5</v>
      </c>
      <c r="U144" s="19">
        <f>VLOOKUP(A144,[4]Piece!$E:$G,3,FALSE)</f>
        <v>235</v>
      </c>
      <c r="V144" s="21">
        <f t="shared" si="10"/>
        <v>2716.6</v>
      </c>
      <c r="W144" s="16">
        <f t="shared" si="11"/>
        <v>82.8400000000006</v>
      </c>
    </row>
    <row r="145" spans="1:23" hidden="1" x14ac:dyDescent="0.3">
      <c r="A145" s="22" t="s">
        <v>307</v>
      </c>
      <c r="B145" s="22" t="s">
        <v>307</v>
      </c>
      <c r="C145" s="23" t="s">
        <v>33</v>
      </c>
      <c r="D145" s="20" t="s">
        <v>34</v>
      </c>
      <c r="E145" s="22" t="s">
        <v>308</v>
      </c>
      <c r="F145" s="24" t="str">
        <f t="shared" si="8"/>
        <v>PPG - Johnstones 2PK ADHESION PRIMER - White -2.5l</v>
      </c>
      <c r="G145" s="23" t="s">
        <v>5023</v>
      </c>
      <c r="H145" s="25" t="s">
        <v>36</v>
      </c>
      <c r="I145" s="18" t="s">
        <v>37</v>
      </c>
      <c r="J145" s="18" t="s">
        <v>38</v>
      </c>
      <c r="K145" t="s">
        <v>39</v>
      </c>
      <c r="L145" s="26">
        <f>VLOOKUP(A145,'[3]Price info'!A:D,4,FALSE)</f>
        <v>32.83</v>
      </c>
      <c r="M145" s="18" t="s">
        <v>40</v>
      </c>
      <c r="N145" s="20">
        <v>3105</v>
      </c>
      <c r="P145" s="16">
        <f>VLOOKUP(A145,'[3]Price info'!A:H,8,FALSE)</f>
        <v>30.564730000000001</v>
      </c>
      <c r="Q145" s="27">
        <f t="shared" si="9"/>
        <v>0.93100000000000005</v>
      </c>
      <c r="S145" s="16">
        <f>VLOOKUP(A145,[4]Sales!$E:$G,3,FALSE)</f>
        <v>13417.909999999996</v>
      </c>
      <c r="T145" s="19">
        <f>VLOOKUP(A145,[4]Volume!$E:$G,3,FALSE)</f>
        <v>856</v>
      </c>
      <c r="U145" s="19">
        <f>VLOOKUP(A145,[4]Piece!$E:$G,3,FALSE)</f>
        <v>428</v>
      </c>
      <c r="V145" s="21">
        <f t="shared" si="10"/>
        <v>13081.70444</v>
      </c>
      <c r="W145" s="16">
        <f t="shared" si="11"/>
        <v>-336.20555999999669</v>
      </c>
    </row>
    <row r="146" spans="1:23" hidden="1" x14ac:dyDescent="0.3">
      <c r="A146" s="22" t="s">
        <v>309</v>
      </c>
      <c r="B146" s="22" t="s">
        <v>309</v>
      </c>
      <c r="C146" s="23" t="s">
        <v>33</v>
      </c>
      <c r="D146" s="20" t="s">
        <v>34</v>
      </c>
      <c r="E146" s="22" t="s">
        <v>310</v>
      </c>
      <c r="F146" s="24" t="str">
        <f t="shared" si="8"/>
        <v>PPG - Stormshield SMOOTH MASONRY - BW - 5ltr</v>
      </c>
      <c r="G146" s="23" t="s">
        <v>5024</v>
      </c>
      <c r="H146" s="25" t="s">
        <v>36</v>
      </c>
      <c r="I146" s="18" t="s">
        <v>37</v>
      </c>
      <c r="J146" s="18" t="s">
        <v>38</v>
      </c>
      <c r="K146" t="s">
        <v>39</v>
      </c>
      <c r="L146" s="26">
        <f>VLOOKUP(A146,'[3]Price info'!A:D,4,FALSE)</f>
        <v>16.940000000000001</v>
      </c>
      <c r="M146" s="18" t="s">
        <v>40</v>
      </c>
      <c r="N146" s="20">
        <v>3105</v>
      </c>
      <c r="P146" s="16">
        <f>VLOOKUP(A146,'[3]Price info'!A:H,8,FALSE)</f>
        <v>15.771140000000003</v>
      </c>
      <c r="Q146" s="27">
        <f t="shared" si="9"/>
        <v>0.93100000000000005</v>
      </c>
      <c r="S146" s="16">
        <f>VLOOKUP(A146,[4]Sales!$E:$G,3,FALSE)</f>
        <v>4029.0199999999995</v>
      </c>
      <c r="T146" s="19">
        <f>VLOOKUP(A146,[4]Volume!$E:$G,3,FALSE)</f>
        <v>1240</v>
      </c>
      <c r="U146" s="19">
        <f>VLOOKUP(A146,[4]Piece!$E:$G,3,FALSE)</f>
        <v>248</v>
      </c>
      <c r="V146" s="21">
        <f t="shared" si="10"/>
        <v>3911.2427200000006</v>
      </c>
      <c r="W146" s="16">
        <f t="shared" si="11"/>
        <v>-117.77727999999888</v>
      </c>
    </row>
    <row r="147" spans="1:23" hidden="1" x14ac:dyDescent="0.3">
      <c r="A147" s="22" t="s">
        <v>311</v>
      </c>
      <c r="B147" s="22" t="s">
        <v>311</v>
      </c>
      <c r="C147" s="23" t="s">
        <v>33</v>
      </c>
      <c r="D147" s="20" t="s">
        <v>34</v>
      </c>
      <c r="E147" s="22" t="s">
        <v>312</v>
      </c>
      <c r="F147" s="24" t="str">
        <f t="shared" si="8"/>
        <v>PPG - Johnstones Acrylic Durable Matt - BW - 5ltr</v>
      </c>
      <c r="G147" s="23" t="s">
        <v>5025</v>
      </c>
      <c r="H147" s="25" t="s">
        <v>36</v>
      </c>
      <c r="I147" s="18" t="s">
        <v>37</v>
      </c>
      <c r="J147" s="18" t="s">
        <v>38</v>
      </c>
      <c r="K147" t="s">
        <v>39</v>
      </c>
      <c r="L147" s="26">
        <f>VLOOKUP(A147,'[3]Price info'!A:D,4,FALSE)</f>
        <v>21.99</v>
      </c>
      <c r="M147" s="18" t="s">
        <v>40</v>
      </c>
      <c r="N147" s="20">
        <v>3105</v>
      </c>
      <c r="P147" s="16">
        <f>VLOOKUP(A147,'[3]Price info'!A:H,8,FALSE)</f>
        <v>16.5</v>
      </c>
      <c r="Q147" s="27">
        <f t="shared" si="9"/>
        <v>0.75034106412005463</v>
      </c>
      <c r="S147" s="16">
        <f>VLOOKUP(A147,[4]Sales!$E:$G,3,FALSE)</f>
        <v>3497.3200000000006</v>
      </c>
      <c r="T147" s="19">
        <f>VLOOKUP(A147,[4]Volume!$E:$G,3,FALSE)</f>
        <v>955</v>
      </c>
      <c r="U147" s="19">
        <f>VLOOKUP(A147,[4]Piece!$E:$G,3,FALSE)</f>
        <v>191</v>
      </c>
      <c r="V147" s="21">
        <f t="shared" si="10"/>
        <v>3151.5</v>
      </c>
      <c r="W147" s="16">
        <f t="shared" si="11"/>
        <v>-345.82000000000062</v>
      </c>
    </row>
    <row r="148" spans="1:23" hidden="1" x14ac:dyDescent="0.3">
      <c r="A148" s="22" t="s">
        <v>313</v>
      </c>
      <c r="B148" s="22" t="s">
        <v>313</v>
      </c>
      <c r="C148" s="23" t="s">
        <v>33</v>
      </c>
      <c r="D148" s="20" t="s">
        <v>34</v>
      </c>
      <c r="E148" s="22" t="s">
        <v>314</v>
      </c>
      <c r="F148" s="24" t="str">
        <f t="shared" si="8"/>
        <v>PPG - Johnstones JONCRYL QD PRIMER - BW -  5ltr</v>
      </c>
      <c r="G148" s="23" t="s">
        <v>5026</v>
      </c>
      <c r="H148" s="25" t="s">
        <v>36</v>
      </c>
      <c r="I148" s="18" t="s">
        <v>37</v>
      </c>
      <c r="J148" s="18" t="s">
        <v>38</v>
      </c>
      <c r="K148" t="s">
        <v>39</v>
      </c>
      <c r="L148" s="26">
        <f>VLOOKUP(A148,'[3]Price info'!A:D,4,FALSE)</f>
        <v>17.440000000000001</v>
      </c>
      <c r="M148" s="18" t="s">
        <v>40</v>
      </c>
      <c r="N148" s="20">
        <v>3105</v>
      </c>
      <c r="P148" s="16">
        <f>VLOOKUP(A148,'[3]Price info'!A:H,8,FALSE)</f>
        <v>16.236640000000001</v>
      </c>
      <c r="Q148" s="27">
        <f t="shared" si="9"/>
        <v>0.93100000000000005</v>
      </c>
      <c r="S148" s="16">
        <f>VLOOKUP(A148,[4]Sales!$E:$G,3,FALSE)</f>
        <v>2600.6200000000035</v>
      </c>
      <c r="T148" s="19">
        <f>VLOOKUP(A148,[4]Volume!$E:$G,3,FALSE)</f>
        <v>780</v>
      </c>
      <c r="U148" s="19">
        <f>VLOOKUP(A148,[4]Piece!$E:$G,3,FALSE)</f>
        <v>156</v>
      </c>
      <c r="V148" s="21">
        <f t="shared" si="10"/>
        <v>2532.9158400000001</v>
      </c>
      <c r="W148" s="16">
        <f t="shared" si="11"/>
        <v>-67.704160000003412</v>
      </c>
    </row>
    <row r="149" spans="1:23" hidden="1" x14ac:dyDescent="0.3">
      <c r="A149" s="22" t="s">
        <v>315</v>
      </c>
      <c r="B149" s="22" t="s">
        <v>315</v>
      </c>
      <c r="C149" s="23" t="s">
        <v>33</v>
      </c>
      <c r="D149" s="20" t="s">
        <v>34</v>
      </c>
      <c r="E149" s="22" t="s">
        <v>316</v>
      </c>
      <c r="F149" s="24" t="str">
        <f t="shared" si="8"/>
        <v>PPG - Johnstones STAINAWAY - Bril White - 10ltr</v>
      </c>
      <c r="G149" s="23" t="s">
        <v>5027</v>
      </c>
      <c r="H149" s="25" t="s">
        <v>36</v>
      </c>
      <c r="I149" s="18" t="s">
        <v>37</v>
      </c>
      <c r="J149" s="18" t="s">
        <v>38</v>
      </c>
      <c r="K149" t="s">
        <v>39</v>
      </c>
      <c r="L149" s="26">
        <f>VLOOKUP(A149,'[3]Price info'!A:D,4,FALSE)</f>
        <v>68.77</v>
      </c>
      <c r="M149" s="18" t="s">
        <v>40</v>
      </c>
      <c r="N149" s="20">
        <v>3105</v>
      </c>
      <c r="P149" s="16">
        <f>VLOOKUP(A149,'[3]Price info'!A:H,8,FALSE)</f>
        <v>64.024869999999993</v>
      </c>
      <c r="Q149" s="27">
        <f t="shared" si="9"/>
        <v>0.93099999999999994</v>
      </c>
      <c r="S149" s="16">
        <f>VLOOKUP(A149,[4]Sales!$E:$G,3,FALSE)</f>
        <v>9378.1100000000042</v>
      </c>
      <c r="T149" s="19">
        <f>VLOOKUP(A149,[4]Volume!$E:$G,3,FALSE)</f>
        <v>1430</v>
      </c>
      <c r="U149" s="19">
        <f>VLOOKUP(A149,[4]Piece!$E:$G,3,FALSE)</f>
        <v>143</v>
      </c>
      <c r="V149" s="21">
        <f t="shared" si="10"/>
        <v>9155.5564099999992</v>
      </c>
      <c r="W149" s="16">
        <f t="shared" si="11"/>
        <v>-222.55359000000499</v>
      </c>
    </row>
    <row r="150" spans="1:23" hidden="1" x14ac:dyDescent="0.3">
      <c r="A150" s="22" t="s">
        <v>317</v>
      </c>
      <c r="B150" s="22" t="s">
        <v>317</v>
      </c>
      <c r="C150" s="23" t="s">
        <v>33</v>
      </c>
      <c r="D150" s="20" t="s">
        <v>34</v>
      </c>
      <c r="E150" s="22" t="s">
        <v>318</v>
      </c>
      <c r="F150" s="24" t="str">
        <f t="shared" si="8"/>
        <v>PPG - Johnstones AQUA SATIN - Bril White - 5ltr</v>
      </c>
      <c r="G150" s="23" t="s">
        <v>5028</v>
      </c>
      <c r="H150" s="25" t="s">
        <v>36</v>
      </c>
      <c r="I150" s="18" t="s">
        <v>37</v>
      </c>
      <c r="J150" s="18" t="s">
        <v>38</v>
      </c>
      <c r="K150" t="s">
        <v>39</v>
      </c>
      <c r="L150" s="26">
        <f>VLOOKUP(A150,'[3]Price info'!A:D,4,FALSE)</f>
        <v>23.05</v>
      </c>
      <c r="M150" s="18" t="s">
        <v>40</v>
      </c>
      <c r="N150" s="20">
        <v>3105</v>
      </c>
      <c r="P150" s="16">
        <f>VLOOKUP(A150,'[3]Price info'!A:H,8,FALSE)</f>
        <v>23.05</v>
      </c>
      <c r="Q150" s="27">
        <f t="shared" si="9"/>
        <v>1</v>
      </c>
      <c r="S150" s="16">
        <f>VLOOKUP(A150,[4]Sales!$E:$G,3,FALSE)</f>
        <v>5493.4399999999951</v>
      </c>
      <c r="T150" s="19">
        <f>VLOOKUP(A150,[4]Volume!$E:$G,3,FALSE)</f>
        <v>1195</v>
      </c>
      <c r="U150" s="19">
        <f>VLOOKUP(A150,[4]Piece!$E:$G,3,FALSE)</f>
        <v>239</v>
      </c>
      <c r="V150" s="21">
        <f t="shared" si="10"/>
        <v>5508.95</v>
      </c>
      <c r="W150" s="16">
        <f t="shared" si="11"/>
        <v>15.510000000004766</v>
      </c>
    </row>
    <row r="151" spans="1:23" hidden="1" x14ac:dyDescent="0.3">
      <c r="A151" s="36" t="s">
        <v>319</v>
      </c>
      <c r="B151" s="36" t="s">
        <v>319</v>
      </c>
      <c r="C151" s="23" t="s">
        <v>33</v>
      </c>
      <c r="D151" s="20" t="s">
        <v>34</v>
      </c>
      <c r="E151" s="22" t="s">
        <v>320</v>
      </c>
      <c r="F151" s="24" t="str">
        <f t="shared" si="8"/>
        <v>PPG - Artex JOINT TAPE 150M 19646 (60020)</v>
      </c>
      <c r="G151" s="41" t="s">
        <v>5029</v>
      </c>
      <c r="H151" s="39" t="s">
        <v>36</v>
      </c>
      <c r="I151" s="40" t="s">
        <v>37</v>
      </c>
      <c r="J151" s="40" t="s">
        <v>38</v>
      </c>
      <c r="K151" s="41" t="s">
        <v>39</v>
      </c>
      <c r="L151" s="26">
        <f>VLOOKUP(A151,'[3]Price info'!A:D,4,FALSE)</f>
        <v>8.7899999999999991</v>
      </c>
      <c r="M151" s="40" t="s">
        <v>40</v>
      </c>
      <c r="N151" s="42">
        <v>3105</v>
      </c>
      <c r="O151" s="43">
        <v>7.71</v>
      </c>
      <c r="P151" s="16">
        <f>VLOOKUP(A151,'[3]Price info'!A:H,8,FALSE)</f>
        <v>7.63</v>
      </c>
      <c r="Q151" s="52">
        <f t="shared" si="9"/>
        <v>0.86803185437997732</v>
      </c>
      <c r="R151" s="40"/>
      <c r="S151" s="16">
        <f>VLOOKUP(A151,[4]Sales!$E:$G,3,FALSE)</f>
        <v>1318.5099999999998</v>
      </c>
      <c r="T151" s="19">
        <f>VLOOKUP(A151,[4]Volume!$E:$G,3,FALSE)</f>
        <v>159</v>
      </c>
      <c r="U151" s="19">
        <f>VLOOKUP(A151,[4]Piece!$E:$G,3,FALSE)</f>
        <v>159</v>
      </c>
      <c r="V151" s="21">
        <f t="shared" si="10"/>
        <v>1213.17</v>
      </c>
      <c r="W151" s="16">
        <f t="shared" si="11"/>
        <v>-105.33999999999969</v>
      </c>
    </row>
    <row r="152" spans="1:23" hidden="1" x14ac:dyDescent="0.3">
      <c r="A152" s="22" t="s">
        <v>321</v>
      </c>
      <c r="B152" s="22" t="s">
        <v>321</v>
      </c>
      <c r="C152" s="23" t="s">
        <v>33</v>
      </c>
      <c r="D152" s="20" t="s">
        <v>34</v>
      </c>
      <c r="E152" s="22" t="s">
        <v>322</v>
      </c>
      <c r="F152" s="24" t="str">
        <f t="shared" si="8"/>
        <v>PPG - Johnstones AQUA UNDERCOAT - BW - 2.5ltr</v>
      </c>
      <c r="G152" s="23" t="s">
        <v>5030</v>
      </c>
      <c r="H152" s="25" t="s">
        <v>36</v>
      </c>
      <c r="I152" s="18" t="s">
        <v>37</v>
      </c>
      <c r="J152" s="18" t="s">
        <v>38</v>
      </c>
      <c r="K152" t="s">
        <v>39</v>
      </c>
      <c r="L152" s="26">
        <f>VLOOKUP(A152,'[3]Price info'!A:D,4,FALSE)</f>
        <v>13.8</v>
      </c>
      <c r="M152" s="18" t="s">
        <v>40</v>
      </c>
      <c r="N152" s="20">
        <v>3105</v>
      </c>
      <c r="P152" s="16">
        <f>VLOOKUP(A152,'[3]Price info'!A:H,8,FALSE)</f>
        <v>13.8</v>
      </c>
      <c r="Q152" s="27">
        <f t="shared" si="9"/>
        <v>1</v>
      </c>
      <c r="S152" s="16">
        <f>VLOOKUP(A152,[4]Sales!$E:$G,3,FALSE)</f>
        <v>4074.5799999999981</v>
      </c>
      <c r="T152" s="19">
        <f>VLOOKUP(A152,[4]Volume!$E:$G,3,FALSE)</f>
        <v>752.5</v>
      </c>
      <c r="U152" s="19">
        <f>VLOOKUP(A152,[4]Piece!$E:$G,3,FALSE)</f>
        <v>301</v>
      </c>
      <c r="V152" s="21">
        <f t="shared" si="10"/>
        <v>4153.8</v>
      </c>
      <c r="W152" s="16">
        <f t="shared" si="11"/>
        <v>79.220000000002074</v>
      </c>
    </row>
    <row r="153" spans="1:23" hidden="1" x14ac:dyDescent="0.3">
      <c r="A153" s="22" t="s">
        <v>323</v>
      </c>
      <c r="B153" s="22" t="s">
        <v>323</v>
      </c>
      <c r="C153" s="23" t="s">
        <v>33</v>
      </c>
      <c r="D153" s="20" t="s">
        <v>34</v>
      </c>
      <c r="E153" s="22" t="s">
        <v>324</v>
      </c>
      <c r="F153" s="24" t="str">
        <f t="shared" si="8"/>
        <v>PPG - Johnstones QD ZINC PHOS PRIMER - Grey - 5ltr</v>
      </c>
      <c r="G153" s="23" t="s">
        <v>5031</v>
      </c>
      <c r="H153" s="25" t="s">
        <v>36</v>
      </c>
      <c r="I153" s="18" t="s">
        <v>37</v>
      </c>
      <c r="J153" s="18" t="s">
        <v>38</v>
      </c>
      <c r="K153" t="s">
        <v>39</v>
      </c>
      <c r="L153" s="26">
        <f>VLOOKUP(A153,'[3]Price info'!A:D,4,FALSE)</f>
        <v>26.37</v>
      </c>
      <c r="M153" s="18" t="s">
        <v>40</v>
      </c>
      <c r="N153" s="20">
        <v>3105</v>
      </c>
      <c r="P153" s="16">
        <f>VLOOKUP(A153,'[3]Price info'!A:H,8,FALSE)</f>
        <v>24.550470000000001</v>
      </c>
      <c r="Q153" s="27">
        <f t="shared" si="9"/>
        <v>0.93099999999999994</v>
      </c>
      <c r="S153" s="16">
        <f>VLOOKUP(A153,[4]Sales!$E:$G,3,FALSE)</f>
        <v>858.24000000000024</v>
      </c>
      <c r="T153" s="19">
        <f>VLOOKUP(A153,[4]Volume!$E:$G,3,FALSE)</f>
        <v>165</v>
      </c>
      <c r="U153" s="19">
        <f>VLOOKUP(A153,[4]Piece!$E:$G,3,FALSE)</f>
        <v>33</v>
      </c>
      <c r="V153" s="21">
        <f t="shared" si="10"/>
        <v>810.16551000000004</v>
      </c>
      <c r="W153" s="16">
        <f t="shared" si="11"/>
        <v>-48.074490000000196</v>
      </c>
    </row>
    <row r="154" spans="1:23" hidden="1" x14ac:dyDescent="0.3">
      <c r="A154" s="22" t="s">
        <v>325</v>
      </c>
      <c r="B154" s="22" t="s">
        <v>325</v>
      </c>
      <c r="C154" s="23" t="s">
        <v>33</v>
      </c>
      <c r="D154" s="20" t="s">
        <v>34</v>
      </c>
      <c r="E154" s="22" t="s">
        <v>326</v>
      </c>
      <c r="F154" s="24" t="str">
        <f t="shared" si="8"/>
        <v>PPG - Johnstones FLAME RET DURABLE MATT - MAG - 5l</v>
      </c>
      <c r="G154" s="23" t="s">
        <v>5032</v>
      </c>
      <c r="H154" s="25" t="s">
        <v>36</v>
      </c>
      <c r="I154" s="18" t="s">
        <v>37</v>
      </c>
      <c r="J154" s="18" t="s">
        <v>38</v>
      </c>
      <c r="K154" t="s">
        <v>39</v>
      </c>
      <c r="L154" s="26">
        <f>VLOOKUP(A154,'[3]Price info'!A:D,4,FALSE)</f>
        <v>40.590000000000003</v>
      </c>
      <c r="M154" s="18" t="s">
        <v>40</v>
      </c>
      <c r="N154" s="20">
        <v>3105</v>
      </c>
      <c r="P154" s="16">
        <f>VLOOKUP(A154,'[3]Price info'!A:H,8,FALSE)</f>
        <v>40.590000000000003</v>
      </c>
      <c r="Q154" s="27">
        <f t="shared" si="9"/>
        <v>1</v>
      </c>
      <c r="S154" s="16" t="e">
        <f>VLOOKUP(A154,[4]Sales!$E:$G,3,FALSE)</f>
        <v>#N/A</v>
      </c>
      <c r="T154" s="19" t="e">
        <f>VLOOKUP(A154,[4]Volume!$E:$G,3,FALSE)</f>
        <v>#N/A</v>
      </c>
      <c r="U154" s="19" t="e">
        <f>VLOOKUP(A154,[4]Piece!$E:$G,3,FALSE)</f>
        <v>#N/A</v>
      </c>
      <c r="V154" s="21" t="e">
        <f t="shared" si="10"/>
        <v>#N/A</v>
      </c>
      <c r="W154" s="16" t="e">
        <f t="shared" si="11"/>
        <v>#N/A</v>
      </c>
    </row>
    <row r="155" spans="1:23" hidden="1" x14ac:dyDescent="0.3">
      <c r="A155" s="22" t="s">
        <v>327</v>
      </c>
      <c r="B155" s="22" t="s">
        <v>327</v>
      </c>
      <c r="C155" s="23" t="s">
        <v>33</v>
      </c>
      <c r="D155" s="20" t="s">
        <v>34</v>
      </c>
      <c r="E155" s="22" t="s">
        <v>328</v>
      </c>
      <c r="F155" s="24" t="str">
        <f t="shared" si="8"/>
        <v>PPG - Johnstones AQUAGUARD - Mix - 5ltr</v>
      </c>
      <c r="G155" s="23" t="s">
        <v>5033</v>
      </c>
      <c r="H155" s="25" t="s">
        <v>36</v>
      </c>
      <c r="I155" s="18" t="s">
        <v>37</v>
      </c>
      <c r="J155" s="18" t="s">
        <v>38</v>
      </c>
      <c r="K155" t="s">
        <v>39</v>
      </c>
      <c r="L155" s="26">
        <f>VLOOKUP(A155,'[3]Price info'!A:D,4,FALSE)</f>
        <v>75.349999999999994</v>
      </c>
      <c r="M155" s="18" t="s">
        <v>40</v>
      </c>
      <c r="N155" s="20">
        <v>3105</v>
      </c>
      <c r="P155" s="16">
        <f>VLOOKUP(A155,'[3]Price info'!A:H,8,FALSE)</f>
        <v>60.28</v>
      </c>
      <c r="Q155" s="27">
        <f t="shared" si="9"/>
        <v>0.8</v>
      </c>
      <c r="S155" s="16">
        <f>VLOOKUP(A155,[4]Sales!$E:$G,3,FALSE)</f>
        <v>4461.99</v>
      </c>
      <c r="T155" s="19">
        <f>VLOOKUP(A155,[4]Volume!$E:$G,3,FALSE)</f>
        <v>330</v>
      </c>
      <c r="U155" s="19">
        <f>VLOOKUP(A155,[4]Piece!$E:$G,3,FALSE)</f>
        <v>66</v>
      </c>
      <c r="V155" s="21">
        <f t="shared" si="10"/>
        <v>3978.48</v>
      </c>
      <c r="W155" s="16">
        <f t="shared" si="11"/>
        <v>-483.50999999999976</v>
      </c>
    </row>
    <row r="156" spans="1:23" hidden="1" x14ac:dyDescent="0.3">
      <c r="A156" t="s">
        <v>329</v>
      </c>
      <c r="B156" t="s">
        <v>329</v>
      </c>
      <c r="C156" s="23" t="s">
        <v>330</v>
      </c>
      <c r="D156" s="20" t="s">
        <v>34</v>
      </c>
      <c r="E156" s="22" t="s">
        <v>331</v>
      </c>
      <c r="F156" s="24" t="str">
        <f t="shared" si="8"/>
        <v>PPG - Artex THISTLE FT50 PROTAPE</v>
      </c>
      <c r="G156" s="38" t="s">
        <v>5034</v>
      </c>
      <c r="H156" s="39" t="s">
        <v>213</v>
      </c>
      <c r="I156" s="40" t="s">
        <v>37</v>
      </c>
      <c r="J156" s="40" t="s">
        <v>38</v>
      </c>
      <c r="K156" s="41" t="s">
        <v>39</v>
      </c>
      <c r="L156" s="26">
        <f>VLOOKUP(A156,'[3]Price info'!A:D,4,FALSE)</f>
        <v>4.25</v>
      </c>
      <c r="M156" s="40" t="s">
        <v>332</v>
      </c>
      <c r="N156" s="42">
        <v>3113</v>
      </c>
      <c r="O156" s="43"/>
      <c r="P156" s="16">
        <f>VLOOKUP(A156,'[3]Price info'!A:H,8,FALSE)</f>
        <v>4.25</v>
      </c>
      <c r="Q156" s="52">
        <f t="shared" si="9"/>
        <v>1</v>
      </c>
      <c r="R156" s="40"/>
      <c r="S156" s="16">
        <f>VLOOKUP(A156,[4]Sales!$E:$G,3,FALSE)</f>
        <v>759.71</v>
      </c>
      <c r="T156" s="19">
        <f>VLOOKUP(A156,[4]Volume!$E:$G,3,FALSE)</f>
        <v>179</v>
      </c>
      <c r="U156" s="19">
        <f>VLOOKUP(A156,[4]Piece!$E:$G,3,FALSE)</f>
        <v>179</v>
      </c>
      <c r="V156" s="21">
        <f t="shared" si="10"/>
        <v>760.75</v>
      </c>
      <c r="W156" s="16">
        <f t="shared" si="11"/>
        <v>1.0399999999999636</v>
      </c>
    </row>
    <row r="157" spans="1:23" hidden="1" x14ac:dyDescent="0.3">
      <c r="A157" s="22" t="s">
        <v>333</v>
      </c>
      <c r="B157" s="22" t="s">
        <v>333</v>
      </c>
      <c r="C157" s="23" t="s">
        <v>33</v>
      </c>
      <c r="D157" s="20" t="s">
        <v>34</v>
      </c>
      <c r="E157" s="22" t="s">
        <v>334</v>
      </c>
      <c r="F157" s="24" t="str">
        <f t="shared" si="8"/>
        <v>PPG - ProGold LONG PILE POLYESTER ROLLER 4"</v>
      </c>
      <c r="G157" s="23" t="s">
        <v>5035</v>
      </c>
      <c r="H157" s="25" t="s">
        <v>36</v>
      </c>
      <c r="I157" s="18" t="s">
        <v>37</v>
      </c>
      <c r="J157" s="18" t="s">
        <v>38</v>
      </c>
      <c r="K157" t="s">
        <v>39</v>
      </c>
      <c r="L157" s="26">
        <f>VLOOKUP(A157,'[3]Price info'!A:D,4,FALSE)</f>
        <v>0.35</v>
      </c>
      <c r="M157" s="18" t="s">
        <v>40</v>
      </c>
      <c r="N157" s="20">
        <v>3105</v>
      </c>
      <c r="P157" s="16">
        <f>VLOOKUP(A157,'[3]Price info'!A:H,8,FALSE)</f>
        <v>0.32584999999999997</v>
      </c>
      <c r="Q157" s="27">
        <f t="shared" si="9"/>
        <v>0.93099999999999994</v>
      </c>
      <c r="S157" s="16">
        <f>VLOOKUP(A157,[4]Sales!$E:$G,3,FALSE)</f>
        <v>5115.5099999999866</v>
      </c>
      <c r="T157" s="19">
        <f>VLOOKUP(A157,[4]Volume!$E:$G,3,FALSE)</f>
        <v>15143</v>
      </c>
      <c r="U157" s="19">
        <f>VLOOKUP(A157,[4]Piece!$E:$G,3,FALSE)</f>
        <v>15143</v>
      </c>
      <c r="V157" s="21">
        <f t="shared" si="10"/>
        <v>4934.3465499999993</v>
      </c>
      <c r="W157" s="16">
        <f t="shared" si="11"/>
        <v>-181.16344999998728</v>
      </c>
    </row>
    <row r="158" spans="1:23" hidden="1" x14ac:dyDescent="0.3">
      <c r="A158" s="22" t="s">
        <v>335</v>
      </c>
      <c r="B158" s="22" t="s">
        <v>335</v>
      </c>
      <c r="C158" s="23" t="s">
        <v>33</v>
      </c>
      <c r="D158" s="20" t="s">
        <v>34</v>
      </c>
      <c r="E158" s="22" t="s">
        <v>336</v>
      </c>
      <c r="F158" s="24" t="str">
        <f t="shared" si="8"/>
        <v>PPG - Leyland GLOSS - Brilliant White - 2.5ltr</v>
      </c>
      <c r="G158" s="23" t="s">
        <v>5036</v>
      </c>
      <c r="H158" s="25" t="s">
        <v>36</v>
      </c>
      <c r="I158" s="18" t="s">
        <v>37</v>
      </c>
      <c r="J158" s="18" t="s">
        <v>38</v>
      </c>
      <c r="K158" t="s">
        <v>39</v>
      </c>
      <c r="L158" s="26">
        <f>VLOOKUP(A158,'[3]Price info'!A:D,4,FALSE)</f>
        <v>10.48</v>
      </c>
      <c r="M158" s="18" t="s">
        <v>40</v>
      </c>
      <c r="N158" s="20">
        <v>3105</v>
      </c>
      <c r="P158" s="16">
        <f>VLOOKUP(A158,'[3]Price info'!A:H,8,FALSE)</f>
        <v>11.36</v>
      </c>
      <c r="Q158" s="27">
        <f t="shared" si="9"/>
        <v>1.0839694656488548</v>
      </c>
      <c r="S158" s="16">
        <f>VLOOKUP(A158,[4]Sales!$E:$G,3,FALSE)</f>
        <v>42.8</v>
      </c>
      <c r="T158" s="19">
        <f>VLOOKUP(A158,[4]Volume!$E:$G,3,FALSE)</f>
        <v>10</v>
      </c>
      <c r="U158" s="19">
        <f>VLOOKUP(A158,[4]Piece!$E:$G,3,FALSE)</f>
        <v>4</v>
      </c>
      <c r="V158" s="21">
        <f t="shared" si="10"/>
        <v>45.44</v>
      </c>
      <c r="W158" s="16">
        <f t="shared" si="11"/>
        <v>2.6400000000000006</v>
      </c>
    </row>
    <row r="159" spans="1:23" hidden="1" x14ac:dyDescent="0.3">
      <c r="A159" s="22" t="s">
        <v>337</v>
      </c>
      <c r="B159" s="22" t="s">
        <v>337</v>
      </c>
      <c r="C159" s="23" t="s">
        <v>33</v>
      </c>
      <c r="D159" s="20" t="s">
        <v>34</v>
      </c>
      <c r="E159" s="22" t="s">
        <v>338</v>
      </c>
      <c r="F159" s="24" t="str">
        <f t="shared" si="8"/>
        <v>PPG - ProGold SYNTHETIC SASH BRUSH SET</v>
      </c>
      <c r="G159" s="23" t="s">
        <v>5037</v>
      </c>
      <c r="H159" s="25" t="s">
        <v>36</v>
      </c>
      <c r="I159" s="18" t="s">
        <v>37</v>
      </c>
      <c r="J159" s="18" t="s">
        <v>38</v>
      </c>
      <c r="K159" t="s">
        <v>39</v>
      </c>
      <c r="L159" s="26">
        <f>VLOOKUP(A159,'[3]Price info'!A:D,4,FALSE)</f>
        <v>6.89</v>
      </c>
      <c r="M159" s="18" t="s">
        <v>40</v>
      </c>
      <c r="N159" s="20">
        <v>3105</v>
      </c>
      <c r="P159" s="16">
        <f>VLOOKUP(A159,'[3]Price info'!A:H,8,FALSE)</f>
        <v>6.4145900000000005</v>
      </c>
      <c r="Q159" s="27">
        <f t="shared" si="9"/>
        <v>0.93100000000000016</v>
      </c>
      <c r="S159" s="16">
        <f>VLOOKUP(A159,[4]Sales!$E:$G,3,FALSE)</f>
        <v>4328.700000000008</v>
      </c>
      <c r="T159" s="19">
        <f>VLOOKUP(A159,[4]Volume!$E:$G,3,FALSE)</f>
        <v>652</v>
      </c>
      <c r="U159" s="19">
        <f>VLOOKUP(A159,[4]Piece!$E:$G,3,FALSE)</f>
        <v>652</v>
      </c>
      <c r="V159" s="21">
        <f t="shared" si="10"/>
        <v>4182.31268</v>
      </c>
      <c r="W159" s="16">
        <f t="shared" si="11"/>
        <v>-146.387320000008</v>
      </c>
    </row>
    <row r="160" spans="1:23" hidden="1" x14ac:dyDescent="0.3">
      <c r="A160" s="22" t="s">
        <v>339</v>
      </c>
      <c r="B160" s="22" t="s">
        <v>339</v>
      </c>
      <c r="C160" s="23" t="s">
        <v>33</v>
      </c>
      <c r="D160" s="20" t="s">
        <v>34</v>
      </c>
      <c r="E160" s="22" t="s">
        <v>340</v>
      </c>
      <c r="F160" s="24" t="str">
        <f t="shared" si="8"/>
        <v>PPG - Stormshield SMOOTH MASONRY - Black - 5ltr</v>
      </c>
      <c r="G160" s="23" t="s">
        <v>5038</v>
      </c>
      <c r="H160" s="25" t="s">
        <v>36</v>
      </c>
      <c r="I160" s="18" t="s">
        <v>37</v>
      </c>
      <c r="J160" s="18" t="s">
        <v>38</v>
      </c>
      <c r="K160" t="s">
        <v>39</v>
      </c>
      <c r="L160" s="26">
        <f>VLOOKUP(A160,'[3]Price info'!A:D,4,FALSE)</f>
        <v>17.84</v>
      </c>
      <c r="M160" s="18" t="s">
        <v>40</v>
      </c>
      <c r="N160" s="20">
        <v>3105</v>
      </c>
      <c r="P160" s="16">
        <f>VLOOKUP(A160,'[3]Price info'!A:H,8,FALSE)</f>
        <v>16.60904</v>
      </c>
      <c r="Q160" s="27">
        <f t="shared" si="9"/>
        <v>0.93100000000000005</v>
      </c>
      <c r="S160" s="16">
        <f>VLOOKUP(A160,[4]Sales!$E:$G,3,FALSE)</f>
        <v>7462.1999999999944</v>
      </c>
      <c r="T160" s="19">
        <f>VLOOKUP(A160,[4]Volume!$E:$G,3,FALSE)</f>
        <v>2165</v>
      </c>
      <c r="U160" s="19">
        <f>VLOOKUP(A160,[4]Piece!$E:$G,3,FALSE)</f>
        <v>433</v>
      </c>
      <c r="V160" s="21">
        <f t="shared" si="10"/>
        <v>7191.71432</v>
      </c>
      <c r="W160" s="16">
        <f t="shared" si="11"/>
        <v>-270.48567999999432</v>
      </c>
    </row>
    <row r="161" spans="1:23" hidden="1" x14ac:dyDescent="0.3">
      <c r="A161" s="22" t="s">
        <v>341</v>
      </c>
      <c r="B161" s="22" t="s">
        <v>341</v>
      </c>
      <c r="C161" s="23" t="s">
        <v>33</v>
      </c>
      <c r="D161" s="20" t="s">
        <v>34</v>
      </c>
      <c r="E161" s="22" t="s">
        <v>342</v>
      </c>
      <c r="F161" s="24" t="str">
        <f t="shared" si="8"/>
        <v>PPG - Johnstones 2PK WB FLOOR - Tile Red - 5ltr</v>
      </c>
      <c r="G161" s="23" t="s">
        <v>5039</v>
      </c>
      <c r="H161" s="25" t="s">
        <v>36</v>
      </c>
      <c r="I161" s="18" t="s">
        <v>37</v>
      </c>
      <c r="J161" s="18" t="s">
        <v>38</v>
      </c>
      <c r="K161" t="s">
        <v>39</v>
      </c>
      <c r="L161" s="26">
        <f>VLOOKUP(A161,'[3]Price info'!A:D,4,FALSE)</f>
        <v>127.65</v>
      </c>
      <c r="M161" s="18" t="s">
        <v>40</v>
      </c>
      <c r="N161" s="20">
        <v>3105</v>
      </c>
      <c r="P161" s="16">
        <f>VLOOKUP(A161,'[3]Price info'!A:H,8,FALSE)</f>
        <v>76.59</v>
      </c>
      <c r="Q161" s="27">
        <f t="shared" si="9"/>
        <v>0.6</v>
      </c>
      <c r="S161" s="16">
        <f>VLOOKUP(A161,[4]Sales!$E:$G,3,FALSE)</f>
        <v>510.6</v>
      </c>
      <c r="T161" s="19">
        <f>VLOOKUP(A161,[4]Volume!$E:$G,3,FALSE)</f>
        <v>16</v>
      </c>
      <c r="U161" s="19">
        <f>VLOOKUP(A161,[4]Piece!$E:$G,3,FALSE)</f>
        <v>4</v>
      </c>
      <c r="V161" s="21">
        <f t="shared" si="10"/>
        <v>306.36</v>
      </c>
      <c r="W161" s="16">
        <f t="shared" si="11"/>
        <v>-204.24</v>
      </c>
    </row>
    <row r="162" spans="1:23" hidden="1" x14ac:dyDescent="0.3">
      <c r="A162" s="46" t="s">
        <v>343</v>
      </c>
      <c r="B162" s="46" t="s">
        <v>343</v>
      </c>
      <c r="C162" s="47" t="s">
        <v>33</v>
      </c>
      <c r="D162" s="48" t="s">
        <v>34</v>
      </c>
      <c r="E162" s="18" t="s">
        <v>344</v>
      </c>
      <c r="F162" s="24" t="str">
        <f t="shared" si="8"/>
        <v>PPG - EWI   DASH RECEIVER NATURAL WHITE 25KG</v>
      </c>
      <c r="G162" s="20" t="s">
        <v>5040</v>
      </c>
      <c r="H162" s="49" t="s">
        <v>213</v>
      </c>
      <c r="I162" s="18" t="s">
        <v>37</v>
      </c>
      <c r="J162" s="18" t="s">
        <v>38</v>
      </c>
      <c r="K162" t="s">
        <v>39</v>
      </c>
      <c r="L162" s="50">
        <f>VLOOKUP(A162,'[3]Price info'!A:D,4,FALSE)</f>
        <v>12.28</v>
      </c>
      <c r="M162" s="18" t="s">
        <v>214</v>
      </c>
      <c r="N162" s="20">
        <v>3105</v>
      </c>
      <c r="P162" s="16">
        <f>VLOOKUP(A162,'[3]Price info'!A:H,8,FALSE)</f>
        <v>12.28</v>
      </c>
      <c r="Q162" s="17">
        <f t="shared" si="9"/>
        <v>1</v>
      </c>
      <c r="S162" s="16" t="e">
        <f>VLOOKUP(A162,[4]Sales!$E:$G,3,FALSE)</f>
        <v>#N/A</v>
      </c>
      <c r="T162" s="19" t="e">
        <f>VLOOKUP(A162,[4]Volume!$E:$G,3,FALSE)</f>
        <v>#N/A</v>
      </c>
      <c r="U162" s="19" t="e">
        <f>VLOOKUP(A162,[4]Piece!$E:$G,3,FALSE)</f>
        <v>#N/A</v>
      </c>
      <c r="V162" s="21" t="e">
        <f t="shared" si="10"/>
        <v>#N/A</v>
      </c>
      <c r="W162" s="16" t="e">
        <f t="shared" si="11"/>
        <v>#N/A</v>
      </c>
    </row>
    <row r="163" spans="1:23" hidden="1" x14ac:dyDescent="0.3">
      <c r="A163" s="22" t="s">
        <v>345</v>
      </c>
      <c r="B163" s="22" t="s">
        <v>345</v>
      </c>
      <c r="C163" s="23" t="s">
        <v>33</v>
      </c>
      <c r="D163" s="20" t="s">
        <v>34</v>
      </c>
      <c r="E163" s="22" t="s">
        <v>346</v>
      </c>
      <c r="F163" s="24" t="str">
        <f t="shared" si="8"/>
        <v>PPG - Johnstones AQUA GLOSS - Bril White - 2.5ltr</v>
      </c>
      <c r="G163" s="23" t="s">
        <v>5041</v>
      </c>
      <c r="H163" s="25" t="s">
        <v>36</v>
      </c>
      <c r="I163" s="18" t="s">
        <v>37</v>
      </c>
      <c r="J163" s="18" t="s">
        <v>38</v>
      </c>
      <c r="K163" t="s">
        <v>39</v>
      </c>
      <c r="L163" s="26">
        <f>VLOOKUP(A163,'[3]Price info'!A:D,4,FALSE)</f>
        <v>13.8</v>
      </c>
      <c r="M163" s="18" t="s">
        <v>40</v>
      </c>
      <c r="N163" s="20">
        <v>3105</v>
      </c>
      <c r="P163" s="16">
        <f>VLOOKUP(A163,'[3]Price info'!A:H,8,FALSE)</f>
        <v>13.8</v>
      </c>
      <c r="Q163" s="27">
        <f t="shared" si="9"/>
        <v>1</v>
      </c>
      <c r="S163" s="16">
        <f>VLOOKUP(A163,[4]Sales!$E:$G,3,FALSE)</f>
        <v>4028.5200000000041</v>
      </c>
      <c r="T163" s="19">
        <f>VLOOKUP(A163,[4]Volume!$E:$G,3,FALSE)</f>
        <v>735</v>
      </c>
      <c r="U163" s="19">
        <f>VLOOKUP(A163,[4]Piece!$E:$G,3,FALSE)</f>
        <v>294</v>
      </c>
      <c r="V163" s="21">
        <f t="shared" si="10"/>
        <v>4057.2000000000003</v>
      </c>
      <c r="W163" s="16">
        <f t="shared" si="11"/>
        <v>28.679999999996198</v>
      </c>
    </row>
    <row r="164" spans="1:23" hidden="1" x14ac:dyDescent="0.3">
      <c r="A164" s="53" t="s">
        <v>347</v>
      </c>
      <c r="B164" s="54" t="s">
        <v>347</v>
      </c>
      <c r="C164" s="47" t="s">
        <v>33</v>
      </c>
      <c r="D164" s="48" t="s">
        <v>34</v>
      </c>
      <c r="E164" s="22" t="s">
        <v>348</v>
      </c>
      <c r="F164" s="24" t="str">
        <f t="shared" si="8"/>
        <v>PPG - RODO 5L MINI BLCK SCUTTLE</v>
      </c>
      <c r="G164" s="20" t="s">
        <v>5042</v>
      </c>
      <c r="H164" s="25" t="s">
        <v>36</v>
      </c>
      <c r="I164" s="18" t="s">
        <v>37</v>
      </c>
      <c r="J164" s="18" t="s">
        <v>38</v>
      </c>
      <c r="K164" t="s">
        <v>39</v>
      </c>
      <c r="L164" s="26">
        <f>VLOOKUP(A164,'[3]Price info'!A:D,4,FALSE)</f>
        <v>3.18</v>
      </c>
      <c r="M164" s="18" t="s">
        <v>214</v>
      </c>
      <c r="N164" s="20">
        <v>3105</v>
      </c>
      <c r="P164" s="16">
        <f>VLOOKUP(A164,'[3]Price info'!A:H,8,FALSE)</f>
        <v>2.9605800000000002</v>
      </c>
      <c r="Q164" s="27">
        <f t="shared" si="9"/>
        <v>0.93100000000000005</v>
      </c>
      <c r="S164" s="16">
        <f>VLOOKUP(A164,[4]Sales!$E:$G,3,FALSE)</f>
        <v>2804.5200000000013</v>
      </c>
      <c r="T164" s="19">
        <f>VLOOKUP(A164,[4]Volume!$E:$G,3,FALSE)</f>
        <v>862</v>
      </c>
      <c r="U164" s="19">
        <f>VLOOKUP(A164,[4]Piece!$E:$G,3,FALSE)</f>
        <v>862</v>
      </c>
      <c r="V164" s="21">
        <f t="shared" si="10"/>
        <v>2552.0199600000001</v>
      </c>
      <c r="W164" s="16">
        <f t="shared" si="11"/>
        <v>-252.50004000000126</v>
      </c>
    </row>
    <row r="165" spans="1:23" hidden="1" x14ac:dyDescent="0.3">
      <c r="A165" s="46" t="s">
        <v>349</v>
      </c>
      <c r="B165" s="46" t="s">
        <v>349</v>
      </c>
      <c r="C165" s="51" t="s">
        <v>33</v>
      </c>
      <c r="D165" s="48" t="s">
        <v>34</v>
      </c>
      <c r="E165" s="18" t="s">
        <v>350</v>
      </c>
      <c r="F165" s="24" t="str">
        <f t="shared" si="8"/>
        <v>PPG - FD STEELGUARD 2458 BAS (X)  XXXXCCEU2200</v>
      </c>
      <c r="G165" s="20" t="s">
        <v>5043</v>
      </c>
      <c r="H165" s="49" t="s">
        <v>213</v>
      </c>
      <c r="I165" s="18" t="s">
        <v>37</v>
      </c>
      <c r="J165" s="18" t="s">
        <v>38</v>
      </c>
      <c r="K165" t="s">
        <v>39</v>
      </c>
      <c r="L165" s="50">
        <f>VLOOKUP(A165,'[3]Price info'!A:D,4,FALSE)</f>
        <v>664.02</v>
      </c>
      <c r="M165" s="18" t="s">
        <v>214</v>
      </c>
      <c r="N165" s="20">
        <v>3105</v>
      </c>
      <c r="P165" s="16">
        <f>VLOOKUP(A165,'[3]Price info'!A:H,8,FALSE)</f>
        <v>618.20262000000002</v>
      </c>
      <c r="Q165" s="17">
        <f t="shared" si="9"/>
        <v>0.93100000000000005</v>
      </c>
      <c r="S165" s="16" t="e">
        <f>VLOOKUP(A165,[4]Sales!$E:$G,3,FALSE)</f>
        <v>#N/A</v>
      </c>
      <c r="T165" s="19" t="e">
        <f>VLOOKUP(A165,[4]Volume!$E:$G,3,FALSE)</f>
        <v>#N/A</v>
      </c>
      <c r="U165" s="19" t="e">
        <f>VLOOKUP(A165,[4]Piece!$E:$G,3,FALSE)</f>
        <v>#N/A</v>
      </c>
      <c r="V165" s="21" t="e">
        <f t="shared" si="10"/>
        <v>#N/A</v>
      </c>
      <c r="W165" s="16" t="e">
        <f t="shared" si="11"/>
        <v>#N/A</v>
      </c>
    </row>
    <row r="166" spans="1:23" hidden="1" x14ac:dyDescent="0.3">
      <c r="A166" s="22" t="s">
        <v>351</v>
      </c>
      <c r="B166" s="22" t="s">
        <v>351</v>
      </c>
      <c r="C166" s="23" t="s">
        <v>33</v>
      </c>
      <c r="D166" s="20" t="s">
        <v>34</v>
      </c>
      <c r="E166" s="22" t="s">
        <v>352</v>
      </c>
      <c r="F166" s="24" t="str">
        <f t="shared" si="8"/>
        <v>PPG - Stormshield FLEXIBLE EX GLOSS - Mix - 2.5ltr</v>
      </c>
      <c r="G166" s="23" t="s">
        <v>5044</v>
      </c>
      <c r="H166" s="25" t="s">
        <v>36</v>
      </c>
      <c r="I166" s="18" t="s">
        <v>37</v>
      </c>
      <c r="J166" s="18" t="s">
        <v>38</v>
      </c>
      <c r="K166" t="s">
        <v>39</v>
      </c>
      <c r="L166" s="26">
        <f>VLOOKUP(A166,'[3]Price info'!A:D,4,FALSE)</f>
        <v>25.18</v>
      </c>
      <c r="M166" s="18" t="s">
        <v>40</v>
      </c>
      <c r="N166" s="20">
        <v>3105</v>
      </c>
      <c r="P166" s="16">
        <f>VLOOKUP(A166,'[3]Price info'!A:H,8,FALSE)</f>
        <v>18</v>
      </c>
      <c r="Q166" s="27">
        <f t="shared" si="9"/>
        <v>0.71485305798252585</v>
      </c>
      <c r="S166" s="16">
        <f>VLOOKUP(A166,[4]Sales!$E:$G,3,FALSE)</f>
        <v>4308.46</v>
      </c>
      <c r="T166" s="19">
        <f>VLOOKUP(A166,[4]Volume!$E:$G,3,FALSE)</f>
        <v>485</v>
      </c>
      <c r="U166" s="19">
        <f>VLOOKUP(A166,[4]Piece!$E:$G,3,FALSE)</f>
        <v>194</v>
      </c>
      <c r="V166" s="21">
        <f t="shared" si="10"/>
        <v>3492</v>
      </c>
      <c r="W166" s="16">
        <f t="shared" si="11"/>
        <v>-816.46</v>
      </c>
    </row>
    <row r="167" spans="1:23" hidden="1" x14ac:dyDescent="0.3">
      <c r="A167" s="22" t="s">
        <v>353</v>
      </c>
      <c r="B167" s="22" t="s">
        <v>353</v>
      </c>
      <c r="C167" s="23" t="s">
        <v>33</v>
      </c>
      <c r="D167" s="20" t="s">
        <v>34</v>
      </c>
      <c r="E167" s="22" t="s">
        <v>354</v>
      </c>
      <c r="F167" s="24" t="str">
        <f t="shared" si="8"/>
        <v>PPG - Johnstones QD OPAQUE - Jacobean - 5ltr</v>
      </c>
      <c r="G167" s="23" t="s">
        <v>5045</v>
      </c>
      <c r="H167" s="25" t="s">
        <v>36</v>
      </c>
      <c r="I167" s="18" t="s">
        <v>37</v>
      </c>
      <c r="J167" s="18" t="s">
        <v>38</v>
      </c>
      <c r="K167" t="s">
        <v>39</v>
      </c>
      <c r="L167" s="26">
        <f>VLOOKUP(A167,'[3]Price info'!A:D,4,FALSE)</f>
        <v>25.08</v>
      </c>
      <c r="M167" s="18" t="s">
        <v>40</v>
      </c>
      <c r="N167" s="20">
        <v>3105</v>
      </c>
      <c r="P167" s="16">
        <f>VLOOKUP(A167,'[3]Price info'!A:H,8,FALSE)</f>
        <v>23.34948</v>
      </c>
      <c r="Q167" s="27">
        <f t="shared" si="9"/>
        <v>0.93100000000000005</v>
      </c>
      <c r="S167" s="16">
        <f>VLOOKUP(A167,[4]Sales!$E:$G,3,FALSE)</f>
        <v>300.50999999999993</v>
      </c>
      <c r="T167" s="19">
        <f>VLOOKUP(A167,[4]Volume!$E:$G,3,FALSE)</f>
        <v>65</v>
      </c>
      <c r="U167" s="19">
        <f>VLOOKUP(A167,[4]Piece!$E:$G,3,FALSE)</f>
        <v>13</v>
      </c>
      <c r="V167" s="21">
        <f t="shared" si="10"/>
        <v>303.54323999999997</v>
      </c>
      <c r="W167" s="16">
        <f t="shared" si="11"/>
        <v>3.0332400000000348</v>
      </c>
    </row>
    <row r="168" spans="1:23" hidden="1" x14ac:dyDescent="0.3">
      <c r="A168" s="53" t="s">
        <v>355</v>
      </c>
      <c r="B168" s="54" t="s">
        <v>355</v>
      </c>
      <c r="C168" s="47" t="s">
        <v>33</v>
      </c>
      <c r="D168" s="48" t="s">
        <v>34</v>
      </c>
      <c r="E168" s="22" t="s">
        <v>356</v>
      </c>
      <c r="F168" s="24" t="str">
        <f t="shared" si="8"/>
        <v>PPG - ProGold WHITE SPIRIT 4ltr</v>
      </c>
      <c r="G168" s="20" t="s">
        <v>5046</v>
      </c>
      <c r="H168" s="25" t="s">
        <v>36</v>
      </c>
      <c r="I168" s="18" t="s">
        <v>37</v>
      </c>
      <c r="J168" s="18" t="s">
        <v>38</v>
      </c>
      <c r="K168" t="s">
        <v>39</v>
      </c>
      <c r="L168" s="26">
        <f>VLOOKUP(A168,'[3]Price info'!A:D,4,FALSE)</f>
        <v>5.92</v>
      </c>
      <c r="M168" s="18" t="s">
        <v>214</v>
      </c>
      <c r="N168" s="20">
        <v>3105</v>
      </c>
      <c r="P168" s="16">
        <f>VLOOKUP(A168,'[3]Price info'!A:H,8,FALSE)</f>
        <v>6.5120000000000005</v>
      </c>
      <c r="Q168" s="27">
        <f t="shared" si="9"/>
        <v>1.1000000000000001</v>
      </c>
      <c r="S168" s="16">
        <f>VLOOKUP(A168,[4]Sales!$E:$G,3,FALSE)</f>
        <v>3260.0899999999974</v>
      </c>
      <c r="T168" s="19">
        <f>VLOOKUP(A168,[4]Volume!$E:$G,3,FALSE)</f>
        <v>2100</v>
      </c>
      <c r="U168" s="19">
        <f>VLOOKUP(A168,[4]Piece!$E:$G,3,FALSE)</f>
        <v>525</v>
      </c>
      <c r="V168" s="21">
        <f t="shared" si="10"/>
        <v>3418.8</v>
      </c>
      <c r="W168" s="16">
        <f t="shared" si="11"/>
        <v>158.71000000000276</v>
      </c>
    </row>
    <row r="169" spans="1:23" hidden="1" x14ac:dyDescent="0.3">
      <c r="A169" s="22" t="s">
        <v>357</v>
      </c>
      <c r="B169" s="22" t="s">
        <v>357</v>
      </c>
      <c r="C169" s="23" t="s">
        <v>33</v>
      </c>
      <c r="D169" s="20" t="s">
        <v>34</v>
      </c>
      <c r="E169" s="22" t="s">
        <v>358</v>
      </c>
      <c r="F169" s="24" t="str">
        <f t="shared" si="8"/>
        <v>PPG - Johnstones PRO GLOSS - Brill White - 2.5ltr</v>
      </c>
      <c r="G169" s="23" t="s">
        <v>5047</v>
      </c>
      <c r="H169" s="25" t="s">
        <v>36</v>
      </c>
      <c r="I169" s="18" t="s">
        <v>37</v>
      </c>
      <c r="J169" s="18" t="s">
        <v>38</v>
      </c>
      <c r="K169" t="s">
        <v>39</v>
      </c>
      <c r="L169" s="26">
        <f>VLOOKUP(A169,'[3]Price info'!A:D,4,FALSE)</f>
        <v>11.76</v>
      </c>
      <c r="M169" s="18" t="s">
        <v>40</v>
      </c>
      <c r="N169" s="20">
        <v>3105</v>
      </c>
      <c r="P169" s="16">
        <f>VLOOKUP(A169,'[3]Price info'!A:H,8,FALSE)</f>
        <v>14.2</v>
      </c>
      <c r="Q169" s="27">
        <f t="shared" si="9"/>
        <v>1.2074829931972788</v>
      </c>
      <c r="S169" s="16">
        <f>VLOOKUP(A169,[4]Sales!$E:$G,3,FALSE)</f>
        <v>2928.0400000000004</v>
      </c>
      <c r="T169" s="19">
        <f>VLOOKUP(A169,[4]Volume!$E:$G,3,FALSE)</f>
        <v>575</v>
      </c>
      <c r="U169" s="19">
        <f>VLOOKUP(A169,[4]Piece!$E:$G,3,FALSE)</f>
        <v>230</v>
      </c>
      <c r="V169" s="21">
        <f t="shared" si="10"/>
        <v>3266</v>
      </c>
      <c r="W169" s="16">
        <f t="shared" si="11"/>
        <v>337.95999999999958</v>
      </c>
    </row>
    <row r="170" spans="1:23" hidden="1" x14ac:dyDescent="0.3">
      <c r="A170" s="22" t="s">
        <v>359</v>
      </c>
      <c r="B170" s="22" t="s">
        <v>359</v>
      </c>
      <c r="C170" s="23" t="s">
        <v>33</v>
      </c>
      <c r="D170" s="20" t="s">
        <v>34</v>
      </c>
      <c r="E170" s="22" t="s">
        <v>360</v>
      </c>
      <c r="F170" s="24" t="str">
        <f t="shared" si="8"/>
        <v>PPG - Johnstones FLORTRED Tile Red - 5ltr</v>
      </c>
      <c r="G170" s="23" t="s">
        <v>5048</v>
      </c>
      <c r="H170" s="25" t="s">
        <v>36</v>
      </c>
      <c r="I170" s="18" t="s">
        <v>37</v>
      </c>
      <c r="J170" s="18" t="s">
        <v>38</v>
      </c>
      <c r="K170" t="s">
        <v>39</v>
      </c>
      <c r="L170" s="26">
        <f>VLOOKUP(A170,'[3]Price info'!A:D,4,FALSE)</f>
        <v>22.63</v>
      </c>
      <c r="M170" s="18" t="s">
        <v>40</v>
      </c>
      <c r="N170" s="20">
        <v>3105</v>
      </c>
      <c r="P170" s="16">
        <f>VLOOKUP(A170,'[3]Price info'!A:H,8,FALSE)</f>
        <v>21.068529999999999</v>
      </c>
      <c r="Q170" s="27">
        <f t="shared" si="9"/>
        <v>0.93100000000000005</v>
      </c>
      <c r="S170" s="16">
        <f>VLOOKUP(A170,[4]Sales!$E:$G,3,FALSE)</f>
        <v>820.93999999999983</v>
      </c>
      <c r="T170" s="19">
        <f>VLOOKUP(A170,[4]Volume!$E:$G,3,FALSE)</f>
        <v>190</v>
      </c>
      <c r="U170" s="19">
        <f>VLOOKUP(A170,[4]Piece!$E:$G,3,FALSE)</f>
        <v>38</v>
      </c>
      <c r="V170" s="21">
        <f t="shared" si="10"/>
        <v>800.60413999999992</v>
      </c>
      <c r="W170" s="16">
        <f t="shared" si="11"/>
        <v>-20.335859999999911</v>
      </c>
    </row>
    <row r="171" spans="1:23" hidden="1" x14ac:dyDescent="0.3">
      <c r="A171" s="53" t="s">
        <v>361</v>
      </c>
      <c r="B171" s="54" t="s">
        <v>361</v>
      </c>
      <c r="C171" s="47" t="s">
        <v>33</v>
      </c>
      <c r="D171" s="48" t="s">
        <v>34</v>
      </c>
      <c r="E171" s="22" t="s">
        <v>362</v>
      </c>
      <c r="F171" s="24" t="str">
        <f t="shared" si="8"/>
        <v>PPG - PLASTIC 12"  SKUTTLE</v>
      </c>
      <c r="G171" s="20" t="s">
        <v>5049</v>
      </c>
      <c r="H171" s="25" t="s">
        <v>36</v>
      </c>
      <c r="I171" s="18" t="s">
        <v>37</v>
      </c>
      <c r="J171" s="18" t="s">
        <v>38</v>
      </c>
      <c r="K171" t="s">
        <v>39</v>
      </c>
      <c r="L171" s="26">
        <f>VLOOKUP(A171,'[3]Price info'!A:D,4,FALSE)</f>
        <v>3</v>
      </c>
      <c r="M171" s="18" t="s">
        <v>214</v>
      </c>
      <c r="N171" s="20">
        <v>3105</v>
      </c>
      <c r="P171" s="16">
        <f>VLOOKUP(A171,'[3]Price info'!A:H,8,FALSE)</f>
        <v>2.7930000000000001</v>
      </c>
      <c r="Q171" s="27">
        <f t="shared" si="9"/>
        <v>0.93100000000000005</v>
      </c>
      <c r="S171" s="16">
        <f>VLOOKUP(A171,[4]Sales!$E:$G,3,FALSE)</f>
        <v>3122.4599999999928</v>
      </c>
      <c r="T171" s="19">
        <f>VLOOKUP(A171,[4]Volume!$E:$G,3,FALSE)</f>
        <v>1087</v>
      </c>
      <c r="U171" s="19">
        <f>VLOOKUP(A171,[4]Piece!$E:$G,3,FALSE)</f>
        <v>1087</v>
      </c>
      <c r="V171" s="21">
        <f t="shared" si="10"/>
        <v>3035.991</v>
      </c>
      <c r="W171" s="16">
        <f t="shared" si="11"/>
        <v>-86.468999999992775</v>
      </c>
    </row>
    <row r="172" spans="1:23" hidden="1" x14ac:dyDescent="0.3">
      <c r="A172" s="22" t="s">
        <v>363</v>
      </c>
      <c r="B172" s="22" t="s">
        <v>363</v>
      </c>
      <c r="C172" s="23" t="s">
        <v>33</v>
      </c>
      <c r="D172" s="20" t="s">
        <v>34</v>
      </c>
      <c r="E172" s="22" t="s">
        <v>364</v>
      </c>
      <c r="F172" s="24" t="str">
        <f t="shared" si="8"/>
        <v>PPG - Stormshield FLEXIBLE EX GLOSS - BW - 2.5ltr</v>
      </c>
      <c r="G172" s="23" t="s">
        <v>5050</v>
      </c>
      <c r="H172" s="25" t="s">
        <v>36</v>
      </c>
      <c r="I172" s="18" t="s">
        <v>37</v>
      </c>
      <c r="J172" s="18" t="s">
        <v>38</v>
      </c>
      <c r="K172" t="s">
        <v>39</v>
      </c>
      <c r="L172" s="26">
        <f>VLOOKUP(A172,'[3]Price info'!A:D,4,FALSE)</f>
        <v>22.54</v>
      </c>
      <c r="M172" s="18" t="s">
        <v>40</v>
      </c>
      <c r="N172" s="20">
        <v>3105</v>
      </c>
      <c r="P172" s="16">
        <f>VLOOKUP(A172,'[3]Price info'!A:H,8,FALSE)</f>
        <v>15</v>
      </c>
      <c r="Q172" s="27">
        <f t="shared" si="9"/>
        <v>0.66548358473824309</v>
      </c>
      <c r="S172" s="16">
        <f>VLOOKUP(A172,[4]Sales!$E:$G,3,FALSE)</f>
        <v>2659.6399999999994</v>
      </c>
      <c r="T172" s="19">
        <f>VLOOKUP(A172,[4]Volume!$E:$G,3,FALSE)</f>
        <v>337.5</v>
      </c>
      <c r="U172" s="19">
        <f>VLOOKUP(A172,[4]Piece!$E:$G,3,FALSE)</f>
        <v>135</v>
      </c>
      <c r="V172" s="21">
        <f t="shared" si="10"/>
        <v>2025</v>
      </c>
      <c r="W172" s="16">
        <f t="shared" si="11"/>
        <v>-634.63999999999942</v>
      </c>
    </row>
    <row r="173" spans="1:23" hidden="1" x14ac:dyDescent="0.3">
      <c r="A173" s="22" t="s">
        <v>365</v>
      </c>
      <c r="B173" s="22" t="s">
        <v>365</v>
      </c>
      <c r="C173" s="23" t="s">
        <v>33</v>
      </c>
      <c r="D173" s="20" t="s">
        <v>34</v>
      </c>
      <c r="E173" s="22" t="s">
        <v>366</v>
      </c>
      <c r="F173" s="24" t="str">
        <f t="shared" si="8"/>
        <v>PPG - Johnstones SOLV OPAQUE - Jacobean - 5ltr</v>
      </c>
      <c r="G173" s="23" t="s">
        <v>5051</v>
      </c>
      <c r="H173" s="25" t="s">
        <v>36</v>
      </c>
      <c r="I173" s="18" t="s">
        <v>37</v>
      </c>
      <c r="J173" s="18" t="s">
        <v>38</v>
      </c>
      <c r="K173" t="s">
        <v>39</v>
      </c>
      <c r="L173" s="26">
        <f>VLOOKUP(A173,'[3]Price info'!A:D,4,FALSE)</f>
        <v>21.15</v>
      </c>
      <c r="M173" s="18" t="s">
        <v>40</v>
      </c>
      <c r="N173" s="20">
        <v>3105</v>
      </c>
      <c r="P173" s="16">
        <f>VLOOKUP(A173,'[3]Price info'!A:H,8,FALSE)</f>
        <v>21.15</v>
      </c>
      <c r="Q173" s="27">
        <f t="shared" si="9"/>
        <v>1</v>
      </c>
      <c r="S173" s="16">
        <f>VLOOKUP(A173,[4]Sales!$E:$G,3,FALSE)</f>
        <v>6323.9500000000007</v>
      </c>
      <c r="T173" s="19">
        <f>VLOOKUP(A173,[4]Volume!$E:$G,3,FALSE)</f>
        <v>1465</v>
      </c>
      <c r="U173" s="19">
        <f>VLOOKUP(A173,[4]Piece!$E:$G,3,FALSE)</f>
        <v>293</v>
      </c>
      <c r="V173" s="21">
        <f t="shared" si="10"/>
        <v>6196.95</v>
      </c>
      <c r="W173" s="16">
        <f t="shared" si="11"/>
        <v>-127.00000000000091</v>
      </c>
    </row>
    <row r="174" spans="1:23" hidden="1" x14ac:dyDescent="0.3">
      <c r="A174" s="53" t="s">
        <v>367</v>
      </c>
      <c r="B174" s="54" t="s">
        <v>367</v>
      </c>
      <c r="C174" s="47" t="s">
        <v>33</v>
      </c>
      <c r="D174" s="48" t="s">
        <v>34</v>
      </c>
      <c r="E174" s="22" t="s">
        <v>368</v>
      </c>
      <c r="F174" s="24" t="str">
        <f t="shared" si="8"/>
        <v>PPG - ProGold WOVEN MEDIUM PILE ROLLER 4"</v>
      </c>
      <c r="G174" s="20" t="s">
        <v>5052</v>
      </c>
      <c r="H174" s="25" t="s">
        <v>36</v>
      </c>
      <c r="I174" s="18" t="s">
        <v>37</v>
      </c>
      <c r="J174" s="18" t="s">
        <v>38</v>
      </c>
      <c r="K174" t="s">
        <v>39</v>
      </c>
      <c r="L174" s="26">
        <f>VLOOKUP(A174,'[3]Price info'!A:D,4,FALSE)</f>
        <v>0.38</v>
      </c>
      <c r="M174" s="18" t="s">
        <v>214</v>
      </c>
      <c r="N174" s="20">
        <v>3105</v>
      </c>
      <c r="P174" s="16">
        <f>VLOOKUP(A174,'[3]Price info'!A:H,8,FALSE)</f>
        <v>0.35378000000000004</v>
      </c>
      <c r="Q174" s="27">
        <f t="shared" si="9"/>
        <v>0.93100000000000005</v>
      </c>
      <c r="S174" s="16">
        <f>VLOOKUP(A174,[4]Sales!$E:$G,3,FALSE)</f>
        <v>3078.9699999999934</v>
      </c>
      <c r="T174" s="19">
        <f>VLOOKUP(A174,[4]Volume!$E:$G,3,FALSE)</f>
        <v>9000</v>
      </c>
      <c r="U174" s="19">
        <f>VLOOKUP(A174,[4]Piece!$E:$G,3,FALSE)</f>
        <v>9000</v>
      </c>
      <c r="V174" s="21">
        <f t="shared" si="10"/>
        <v>3184.0200000000004</v>
      </c>
      <c r="W174" s="16">
        <f t="shared" si="11"/>
        <v>105.050000000007</v>
      </c>
    </row>
    <row r="175" spans="1:23" hidden="1" x14ac:dyDescent="0.3">
      <c r="A175" s="46" t="s">
        <v>369</v>
      </c>
      <c r="B175" s="46" t="s">
        <v>369</v>
      </c>
      <c r="C175" s="47" t="s">
        <v>33</v>
      </c>
      <c r="D175" s="48" t="s">
        <v>34</v>
      </c>
      <c r="E175" s="18" t="s">
        <v>370</v>
      </c>
      <c r="F175" s="24" t="str">
        <f t="shared" si="8"/>
        <v>PPG - ZINSR BULLSEYE 123 WHITE      0000001500</v>
      </c>
      <c r="G175" s="20" t="s">
        <v>5053</v>
      </c>
      <c r="H175" s="49" t="s">
        <v>213</v>
      </c>
      <c r="I175" s="18" t="s">
        <v>37</v>
      </c>
      <c r="J175" s="18" t="s">
        <v>38</v>
      </c>
      <c r="K175" t="s">
        <v>39</v>
      </c>
      <c r="L175" s="50">
        <f>VLOOKUP(A175,'[3]Price info'!A:D,4,FALSE)</f>
        <v>50.09</v>
      </c>
      <c r="M175" s="18" t="s">
        <v>214</v>
      </c>
      <c r="N175" s="20">
        <v>3105</v>
      </c>
      <c r="P175" s="16">
        <f>VLOOKUP(A175,'[3]Price info'!A:H,8,FALSE)</f>
        <v>50.09</v>
      </c>
      <c r="Q175" s="17">
        <f t="shared" si="9"/>
        <v>1</v>
      </c>
      <c r="S175" s="16">
        <f>VLOOKUP(A175,[4]Sales!$E:$G,3,FALSE)</f>
        <v>594.96</v>
      </c>
      <c r="T175" s="19">
        <f>VLOOKUP(A175,[4]Volume!$E:$G,3,FALSE)</f>
        <v>60</v>
      </c>
      <c r="U175" s="19">
        <f>VLOOKUP(A175,[4]Piece!$E:$G,3,FALSE)</f>
        <v>12</v>
      </c>
      <c r="V175" s="21">
        <f t="shared" si="10"/>
        <v>601.08000000000004</v>
      </c>
      <c r="W175" s="16">
        <f t="shared" si="11"/>
        <v>6.1200000000000045</v>
      </c>
    </row>
    <row r="176" spans="1:23" hidden="1" x14ac:dyDescent="0.3">
      <c r="A176" s="22" t="s">
        <v>371</v>
      </c>
      <c r="B176" s="22" t="s">
        <v>371</v>
      </c>
      <c r="C176" s="23" t="s">
        <v>33</v>
      </c>
      <c r="D176" s="20" t="s">
        <v>34</v>
      </c>
      <c r="E176" s="22" t="s">
        <v>372</v>
      </c>
      <c r="F176" s="24" t="str">
        <f t="shared" si="8"/>
        <v>PPG - ProGold ROUGH ROLLER 9"</v>
      </c>
      <c r="G176" s="23" t="s">
        <v>5054</v>
      </c>
      <c r="H176" s="25" t="s">
        <v>36</v>
      </c>
      <c r="I176" s="18" t="s">
        <v>37</v>
      </c>
      <c r="J176" s="18" t="s">
        <v>38</v>
      </c>
      <c r="K176" t="s">
        <v>39</v>
      </c>
      <c r="L176" s="26">
        <f>VLOOKUP(A176,'[3]Price info'!A:D,4,FALSE)</f>
        <v>3.06</v>
      </c>
      <c r="M176" s="18" t="s">
        <v>40</v>
      </c>
      <c r="N176" s="20">
        <v>3105</v>
      </c>
      <c r="P176" s="16">
        <f>VLOOKUP(A176,'[3]Price info'!A:H,8,FALSE)</f>
        <v>2.8488600000000002</v>
      </c>
      <c r="Q176" s="27">
        <f t="shared" si="9"/>
        <v>0.93100000000000005</v>
      </c>
      <c r="S176" s="16">
        <f>VLOOKUP(A176,[4]Sales!$E:$G,3,FALSE)</f>
        <v>2347.549999999997</v>
      </c>
      <c r="T176" s="19">
        <f>VLOOKUP(A176,[4]Volume!$E:$G,3,FALSE)</f>
        <v>804</v>
      </c>
      <c r="U176" s="19">
        <f>VLOOKUP(A176,[4]Piece!$E:$G,3,FALSE)</f>
        <v>804</v>
      </c>
      <c r="V176" s="21">
        <f t="shared" si="10"/>
        <v>2290.48344</v>
      </c>
      <c r="W176" s="16">
        <f t="shared" si="11"/>
        <v>-57.066559999997025</v>
      </c>
    </row>
    <row r="177" spans="1:23" hidden="1" x14ac:dyDescent="0.3">
      <c r="A177" s="22" t="s">
        <v>373</v>
      </c>
      <c r="B177" s="22" t="s">
        <v>373</v>
      </c>
      <c r="C177" s="23" t="s">
        <v>33</v>
      </c>
      <c r="D177" s="20" t="s">
        <v>34</v>
      </c>
      <c r="E177" s="22" t="s">
        <v>374</v>
      </c>
      <c r="F177" s="24" t="str">
        <f t="shared" si="8"/>
        <v>PPG - Johnstones FLORTRED Princess Grey - 5ltr</v>
      </c>
      <c r="G177" s="23" t="s">
        <v>5055</v>
      </c>
      <c r="H177" s="25" t="s">
        <v>36</v>
      </c>
      <c r="I177" s="18" t="s">
        <v>37</v>
      </c>
      <c r="J177" s="18" t="s">
        <v>38</v>
      </c>
      <c r="K177" t="s">
        <v>39</v>
      </c>
      <c r="L177" s="26">
        <f>VLOOKUP(A177,'[3]Price info'!A:D,4,FALSE)</f>
        <v>22.63</v>
      </c>
      <c r="M177" s="18" t="s">
        <v>40</v>
      </c>
      <c r="N177" s="20">
        <v>3105</v>
      </c>
      <c r="P177" s="16">
        <f>VLOOKUP(A177,'[3]Price info'!A:H,8,FALSE)</f>
        <v>21.068529999999999</v>
      </c>
      <c r="Q177" s="27">
        <f t="shared" si="9"/>
        <v>0.93100000000000005</v>
      </c>
      <c r="S177" s="16">
        <f>VLOOKUP(A177,[4]Sales!$E:$G,3,FALSE)</f>
        <v>3233.0700000000006</v>
      </c>
      <c r="T177" s="19">
        <f>VLOOKUP(A177,[4]Volume!$E:$G,3,FALSE)</f>
        <v>765</v>
      </c>
      <c r="U177" s="19">
        <f>VLOOKUP(A177,[4]Piece!$E:$G,3,FALSE)</f>
        <v>153</v>
      </c>
      <c r="V177" s="21">
        <f t="shared" si="10"/>
        <v>3223.4850899999997</v>
      </c>
      <c r="W177" s="16">
        <f t="shared" si="11"/>
        <v>-9.5849100000009457</v>
      </c>
    </row>
    <row r="178" spans="1:23" hidden="1" x14ac:dyDescent="0.3">
      <c r="A178" s="22" t="s">
        <v>375</v>
      </c>
      <c r="B178" s="22" t="s">
        <v>375</v>
      </c>
      <c r="C178" s="23" t="s">
        <v>33</v>
      </c>
      <c r="D178" s="20" t="s">
        <v>34</v>
      </c>
      <c r="E178" s="22" t="s">
        <v>376</v>
      </c>
      <c r="F178" s="24" t="str">
        <f t="shared" si="8"/>
        <v>PPG - Johnstones QD OPAQUE - Ebony - 5ltr</v>
      </c>
      <c r="G178" s="23" t="s">
        <v>5056</v>
      </c>
      <c r="H178" s="25" t="s">
        <v>36</v>
      </c>
      <c r="I178" s="18" t="s">
        <v>37</v>
      </c>
      <c r="J178" s="18" t="s">
        <v>38</v>
      </c>
      <c r="K178" t="s">
        <v>39</v>
      </c>
      <c r="L178" s="26">
        <f>VLOOKUP(A178,'[3]Price info'!A:D,4,FALSE)</f>
        <v>25.08</v>
      </c>
      <c r="M178" s="18" t="s">
        <v>40</v>
      </c>
      <c r="N178" s="20">
        <v>3105</v>
      </c>
      <c r="P178" s="16">
        <f>VLOOKUP(A178,'[3]Price info'!A:H,8,FALSE)</f>
        <v>23.34948</v>
      </c>
      <c r="Q178" s="27">
        <f t="shared" si="9"/>
        <v>0.93100000000000005</v>
      </c>
      <c r="S178" s="16">
        <f>VLOOKUP(A178,[4]Sales!$E:$G,3,FALSE)</f>
        <v>4728.3099999999995</v>
      </c>
      <c r="T178" s="19">
        <f>VLOOKUP(A178,[4]Volume!$E:$G,3,FALSE)</f>
        <v>980</v>
      </c>
      <c r="U178" s="19">
        <f>VLOOKUP(A178,[4]Piece!$E:$G,3,FALSE)</f>
        <v>196</v>
      </c>
      <c r="V178" s="21">
        <f t="shared" si="10"/>
        <v>4576.4980800000003</v>
      </c>
      <c r="W178" s="16">
        <f t="shared" si="11"/>
        <v>-151.81191999999919</v>
      </c>
    </row>
    <row r="179" spans="1:23" hidden="1" x14ac:dyDescent="0.3">
      <c r="A179" t="s">
        <v>377</v>
      </c>
      <c r="B179" t="s">
        <v>377</v>
      </c>
      <c r="C179" s="23" t="s">
        <v>33</v>
      </c>
      <c r="D179" s="20" t="s">
        <v>34</v>
      </c>
      <c r="E179" s="22" t="s">
        <v>378</v>
      </c>
      <c r="F179" s="24" t="str">
        <f t="shared" si="8"/>
        <v>PPG - Artex QUICKSAND 25kg</v>
      </c>
      <c r="G179" s="38" t="s">
        <v>5057</v>
      </c>
      <c r="H179" s="39" t="s">
        <v>213</v>
      </c>
      <c r="I179" s="40" t="s">
        <v>37</v>
      </c>
      <c r="J179" s="40" t="s">
        <v>38</v>
      </c>
      <c r="K179" s="41" t="s">
        <v>39</v>
      </c>
      <c r="L179" s="26">
        <f>VLOOKUP(A179,'[3]Price info'!A:D,4,FALSE)</f>
        <v>29.75</v>
      </c>
      <c r="M179" s="40" t="s">
        <v>40</v>
      </c>
      <c r="N179" s="42">
        <v>3105</v>
      </c>
      <c r="O179" s="43"/>
      <c r="P179" s="16">
        <f>VLOOKUP(A179,'[3]Price info'!A:H,8,FALSE)</f>
        <v>29.75</v>
      </c>
      <c r="Q179" s="52">
        <f t="shared" si="9"/>
        <v>1</v>
      </c>
      <c r="R179" s="40"/>
      <c r="S179" s="16">
        <f>VLOOKUP(A179,[4]Sales!$E:$G,3,FALSE)</f>
        <v>1487.5</v>
      </c>
      <c r="T179" s="19">
        <f>VLOOKUP(A179,[4]Volume!$E:$G,3,FALSE)</f>
        <v>1250</v>
      </c>
      <c r="U179" s="19">
        <f>VLOOKUP(A179,[4]Piece!$E:$G,3,FALSE)</f>
        <v>50</v>
      </c>
      <c r="V179" s="21">
        <f t="shared" si="10"/>
        <v>1487.5</v>
      </c>
      <c r="W179" s="16">
        <f t="shared" si="11"/>
        <v>0</v>
      </c>
    </row>
    <row r="180" spans="1:23" hidden="1" x14ac:dyDescent="0.3">
      <c r="A180" s="22" t="s">
        <v>379</v>
      </c>
      <c r="B180" s="22" t="s">
        <v>379</v>
      </c>
      <c r="C180" s="23" t="s">
        <v>33</v>
      </c>
      <c r="D180" s="20" t="s">
        <v>34</v>
      </c>
      <c r="E180" s="22" t="s">
        <v>380</v>
      </c>
      <c r="F180" s="24" t="str">
        <f t="shared" si="8"/>
        <v>PPG - Johnstones ALKALI RESIST PRIMER - BW - 5ltr</v>
      </c>
      <c r="G180" s="23" t="s">
        <v>5058</v>
      </c>
      <c r="H180" s="25" t="s">
        <v>36</v>
      </c>
      <c r="I180" s="18" t="s">
        <v>37</v>
      </c>
      <c r="J180" s="18" t="s">
        <v>38</v>
      </c>
      <c r="K180" t="s">
        <v>39</v>
      </c>
      <c r="L180" s="26">
        <f>VLOOKUP(A180,'[3]Price info'!A:D,4,FALSE)</f>
        <v>26.16</v>
      </c>
      <c r="M180" s="18" t="s">
        <v>40</v>
      </c>
      <c r="N180" s="20">
        <v>3105</v>
      </c>
      <c r="P180" s="16">
        <f>VLOOKUP(A180,'[3]Price info'!A:H,8,FALSE)</f>
        <v>24.354960000000002</v>
      </c>
      <c r="Q180" s="27">
        <f t="shared" si="9"/>
        <v>0.93100000000000005</v>
      </c>
      <c r="S180" s="16">
        <f>VLOOKUP(A180,[4]Sales!$E:$G,3,FALSE)</f>
        <v>1973.5499999999997</v>
      </c>
      <c r="T180" s="19">
        <f>VLOOKUP(A180,[4]Volume!$E:$G,3,FALSE)</f>
        <v>400</v>
      </c>
      <c r="U180" s="19">
        <f>VLOOKUP(A180,[4]Piece!$E:$G,3,FALSE)</f>
        <v>80</v>
      </c>
      <c r="V180" s="21">
        <f t="shared" si="10"/>
        <v>1948.3968000000002</v>
      </c>
      <c r="W180" s="16">
        <f t="shared" si="11"/>
        <v>-25.153199999999515</v>
      </c>
    </row>
    <row r="181" spans="1:23" hidden="1" x14ac:dyDescent="0.3">
      <c r="A181" s="22" t="s">
        <v>381</v>
      </c>
      <c r="B181" s="22" t="s">
        <v>381</v>
      </c>
      <c r="C181" s="23" t="s">
        <v>33</v>
      </c>
      <c r="D181" s="20" t="s">
        <v>34</v>
      </c>
      <c r="E181" s="22" t="s">
        <v>382</v>
      </c>
      <c r="F181" s="24" t="str">
        <f t="shared" si="8"/>
        <v>PPG - Johnstones 2PK WB FLOOR - Princs Grey - 5ltr</v>
      </c>
      <c r="G181" s="23" t="s">
        <v>5059</v>
      </c>
      <c r="H181" s="25" t="s">
        <v>36</v>
      </c>
      <c r="I181" s="18" t="s">
        <v>37</v>
      </c>
      <c r="J181" s="18" t="s">
        <v>38</v>
      </c>
      <c r="K181" t="s">
        <v>39</v>
      </c>
      <c r="L181" s="26">
        <f>VLOOKUP(A181,'[3]Price info'!A:D,4,FALSE)</f>
        <v>127.65</v>
      </c>
      <c r="M181" s="18" t="s">
        <v>40</v>
      </c>
      <c r="N181" s="20">
        <v>3105</v>
      </c>
      <c r="P181" s="16">
        <f>VLOOKUP(A181,'[3]Price info'!A:H,8,FALSE)</f>
        <v>118.84215000000002</v>
      </c>
      <c r="Q181" s="27">
        <f t="shared" si="9"/>
        <v>0.93100000000000005</v>
      </c>
      <c r="S181" s="16">
        <f>VLOOKUP(A181,[4]Sales!$E:$G,3,FALSE)</f>
        <v>255.3</v>
      </c>
      <c r="T181" s="19">
        <f>VLOOKUP(A181,[4]Volume!$E:$G,3,FALSE)</f>
        <v>16</v>
      </c>
      <c r="U181" s="19">
        <f>VLOOKUP(A181,[4]Piece!$E:$G,3,FALSE)</f>
        <v>4</v>
      </c>
      <c r="V181" s="21">
        <f t="shared" si="10"/>
        <v>475.36860000000007</v>
      </c>
      <c r="W181" s="16">
        <f t="shared" si="11"/>
        <v>220.06860000000006</v>
      </c>
    </row>
    <row r="182" spans="1:23" hidden="1" x14ac:dyDescent="0.3">
      <c r="A182" s="22" t="s">
        <v>383</v>
      </c>
      <c r="B182" s="22" t="s">
        <v>383</v>
      </c>
      <c r="C182" s="23" t="s">
        <v>33</v>
      </c>
      <c r="D182" s="20" t="s">
        <v>34</v>
      </c>
      <c r="E182" s="22" t="s">
        <v>384</v>
      </c>
      <c r="F182" s="24" t="str">
        <f t="shared" si="8"/>
        <v>PPG - Johnstones SOLV OPAQUE - White - 5ltr</v>
      </c>
      <c r="G182" s="23" t="s">
        <v>5060</v>
      </c>
      <c r="H182" s="25" t="s">
        <v>36</v>
      </c>
      <c r="I182" s="18" t="s">
        <v>37</v>
      </c>
      <c r="J182" s="18" t="s">
        <v>38</v>
      </c>
      <c r="K182" t="s">
        <v>39</v>
      </c>
      <c r="L182" s="26">
        <f>VLOOKUP(A182,'[3]Price info'!A:D,4,FALSE)</f>
        <v>21.15</v>
      </c>
      <c r="M182" s="18" t="s">
        <v>40</v>
      </c>
      <c r="N182" s="20">
        <v>3105</v>
      </c>
      <c r="P182" s="16">
        <f>VLOOKUP(A182,'[3]Price info'!A:H,8,FALSE)</f>
        <v>21.15</v>
      </c>
      <c r="Q182" s="27">
        <f t="shared" si="9"/>
        <v>1</v>
      </c>
      <c r="S182" s="16">
        <f>VLOOKUP(A182,[4]Sales!$E:$G,3,FALSE)</f>
        <v>5922.0999999999985</v>
      </c>
      <c r="T182" s="19">
        <f>VLOOKUP(A182,[4]Volume!$E:$G,3,FALSE)</f>
        <v>1370</v>
      </c>
      <c r="U182" s="19">
        <f>VLOOKUP(A182,[4]Piece!$E:$G,3,FALSE)</f>
        <v>274</v>
      </c>
      <c r="V182" s="21">
        <f t="shared" si="10"/>
        <v>5795.0999999999995</v>
      </c>
      <c r="W182" s="16">
        <f t="shared" si="11"/>
        <v>-126.99999999999909</v>
      </c>
    </row>
    <row r="183" spans="1:23" hidden="1" x14ac:dyDescent="0.3">
      <c r="A183" s="22" t="s">
        <v>385</v>
      </c>
      <c r="B183" s="22" t="s">
        <v>385</v>
      </c>
      <c r="C183" s="23" t="s">
        <v>33</v>
      </c>
      <c r="D183" s="20" t="s">
        <v>34</v>
      </c>
      <c r="E183" s="22" t="s">
        <v>386</v>
      </c>
      <c r="F183" s="24" t="str">
        <f t="shared" si="8"/>
        <v>PPG - ProGold TURPS SUBSTITUTE 4ltr</v>
      </c>
      <c r="G183" s="23" t="s">
        <v>5061</v>
      </c>
      <c r="H183" s="25" t="s">
        <v>36</v>
      </c>
      <c r="I183" s="18" t="s">
        <v>37</v>
      </c>
      <c r="J183" s="18" t="s">
        <v>38</v>
      </c>
      <c r="K183" t="s">
        <v>39</v>
      </c>
      <c r="L183" s="26">
        <f>VLOOKUP(A183,'[3]Price info'!A:D,4,FALSE)</f>
        <v>5.92</v>
      </c>
      <c r="M183" s="18" t="s">
        <v>40</v>
      </c>
      <c r="N183" s="20">
        <v>3105</v>
      </c>
      <c r="P183" s="16">
        <f>VLOOKUP(A183,'[3]Price info'!A:H,8,FALSE)</f>
        <v>6.5120000000000005</v>
      </c>
      <c r="Q183" s="27">
        <f t="shared" si="9"/>
        <v>1.1000000000000001</v>
      </c>
      <c r="S183" s="16">
        <f>VLOOKUP(A183,[4]Sales!$E:$G,3,FALSE)</f>
        <v>1807.1199999999983</v>
      </c>
      <c r="T183" s="19">
        <f>VLOOKUP(A183,[4]Volume!$E:$G,3,FALSE)</f>
        <v>1156</v>
      </c>
      <c r="U183" s="19">
        <f>VLOOKUP(A183,[4]Piece!$E:$G,3,FALSE)</f>
        <v>289</v>
      </c>
      <c r="V183" s="21">
        <f t="shared" si="10"/>
        <v>1881.9680000000001</v>
      </c>
      <c r="W183" s="16">
        <f t="shared" si="11"/>
        <v>74.848000000001775</v>
      </c>
    </row>
    <row r="184" spans="1:23" hidden="1" x14ac:dyDescent="0.3">
      <c r="A184" s="22" t="s">
        <v>387</v>
      </c>
      <c r="B184" s="22" t="s">
        <v>387</v>
      </c>
      <c r="C184" s="23" t="s">
        <v>33</v>
      </c>
      <c r="D184" s="20" t="s">
        <v>34</v>
      </c>
      <c r="E184" s="22" t="s">
        <v>388</v>
      </c>
      <c r="F184" s="24" t="str">
        <f t="shared" si="8"/>
        <v>PPG - Johnstones PERFECT MATT - Mix- 10ltr</v>
      </c>
      <c r="G184" s="23" t="s">
        <v>5062</v>
      </c>
      <c r="H184" s="25" t="s">
        <v>36</v>
      </c>
      <c r="I184" s="18" t="s">
        <v>37</v>
      </c>
      <c r="J184" s="18" t="s">
        <v>38</v>
      </c>
      <c r="K184" t="s">
        <v>39</v>
      </c>
      <c r="L184" s="26">
        <f>VLOOKUP(A184,'[3]Price info'!A:D,4,FALSE)</f>
        <v>107.31</v>
      </c>
      <c r="M184" s="18" t="s">
        <v>40</v>
      </c>
      <c r="N184" s="20">
        <v>3105</v>
      </c>
      <c r="P184" s="16">
        <f>VLOOKUP(A184,'[3]Price info'!A:H,8,FALSE)</f>
        <v>75.12</v>
      </c>
      <c r="Q184" s="27">
        <f t="shared" si="9"/>
        <v>0.70002795638803472</v>
      </c>
      <c r="S184" s="16">
        <f>VLOOKUP(A184,[4]Sales!$E:$G,3,FALSE)</f>
        <v>1341.3899999999999</v>
      </c>
      <c r="T184" s="19">
        <f>VLOOKUP(A184,[4]Volume!$E:$G,3,FALSE)</f>
        <v>140</v>
      </c>
      <c r="U184" s="19">
        <f>VLOOKUP(A184,[4]Piece!$E:$G,3,FALSE)</f>
        <v>14</v>
      </c>
      <c r="V184" s="21">
        <f t="shared" si="10"/>
        <v>1051.68</v>
      </c>
      <c r="W184" s="16">
        <f t="shared" si="11"/>
        <v>-289.70999999999981</v>
      </c>
    </row>
    <row r="185" spans="1:23" hidden="1" x14ac:dyDescent="0.3">
      <c r="A185" s="22" t="s">
        <v>389</v>
      </c>
      <c r="B185" s="22" t="s">
        <v>389</v>
      </c>
      <c r="C185" s="23" t="s">
        <v>33</v>
      </c>
      <c r="D185" s="20" t="s">
        <v>34</v>
      </c>
      <c r="E185" s="22" t="s">
        <v>390</v>
      </c>
      <c r="F185" s="24" t="str">
        <f t="shared" si="8"/>
        <v>PPG - ProGold CONTRACTOR BRUSH 3"</v>
      </c>
      <c r="G185" s="23" t="s">
        <v>5063</v>
      </c>
      <c r="H185" s="25" t="s">
        <v>36</v>
      </c>
      <c r="I185" s="18" t="s">
        <v>37</v>
      </c>
      <c r="J185" s="18" t="s">
        <v>38</v>
      </c>
      <c r="K185" t="s">
        <v>39</v>
      </c>
      <c r="L185" s="26">
        <f>VLOOKUP(A185,'[3]Price info'!A:D,4,FALSE)</f>
        <v>2.2000000000000002</v>
      </c>
      <c r="M185" s="18" t="s">
        <v>40</v>
      </c>
      <c r="N185" s="20">
        <v>3105</v>
      </c>
      <c r="P185" s="16">
        <f>VLOOKUP(A185,'[3]Price info'!A:H,8,FALSE)</f>
        <v>2.0482000000000005</v>
      </c>
      <c r="Q185" s="27">
        <f t="shared" si="9"/>
        <v>0.93100000000000016</v>
      </c>
      <c r="S185" s="16">
        <f>VLOOKUP(A185,[4]Sales!$E:$G,3,FALSE)</f>
        <v>1835.7800000000009</v>
      </c>
      <c r="T185" s="19">
        <f>VLOOKUP(A185,[4]Volume!$E:$G,3,FALSE)</f>
        <v>869</v>
      </c>
      <c r="U185" s="19">
        <f>VLOOKUP(A185,[4]Piece!$E:$G,3,FALSE)</f>
        <v>869</v>
      </c>
      <c r="V185" s="21">
        <f t="shared" si="10"/>
        <v>1779.8858000000005</v>
      </c>
      <c r="W185" s="16">
        <f t="shared" si="11"/>
        <v>-55.89420000000041</v>
      </c>
    </row>
    <row r="186" spans="1:23" hidden="1" x14ac:dyDescent="0.3">
      <c r="A186" s="22" t="s">
        <v>391</v>
      </c>
      <c r="B186" s="22" t="s">
        <v>391</v>
      </c>
      <c r="C186" s="23" t="s">
        <v>33</v>
      </c>
      <c r="D186" s="20" t="s">
        <v>34</v>
      </c>
      <c r="E186" s="22" t="s">
        <v>392</v>
      </c>
      <c r="F186" s="24" t="str">
        <f t="shared" si="8"/>
        <v>PPG - Johnstones AQUA GLOSS - Mix - 2.5ltr</v>
      </c>
      <c r="G186" s="23" t="s">
        <v>5064</v>
      </c>
      <c r="H186" s="25" t="s">
        <v>36</v>
      </c>
      <c r="I186" s="18" t="s">
        <v>37</v>
      </c>
      <c r="J186" s="18" t="s">
        <v>38</v>
      </c>
      <c r="K186" t="s">
        <v>39</v>
      </c>
      <c r="L186" s="26">
        <f>VLOOKUP(A186,'[3]Price info'!A:D,4,FALSE)</f>
        <v>18.670000000000002</v>
      </c>
      <c r="M186" s="18" t="s">
        <v>40</v>
      </c>
      <c r="N186" s="20">
        <v>3105</v>
      </c>
      <c r="P186" s="16">
        <f>VLOOKUP(A186,'[3]Price info'!A:H,8,FALSE)</f>
        <v>18.670000000000002</v>
      </c>
      <c r="Q186" s="27">
        <f t="shared" si="9"/>
        <v>1</v>
      </c>
      <c r="S186" s="16">
        <f>VLOOKUP(A186,[4]Sales!$E:$G,3,FALSE)</f>
        <v>3188.1000000000013</v>
      </c>
      <c r="T186" s="19">
        <f>VLOOKUP(A186,[4]Volume!$E:$G,3,FALSE)</f>
        <v>435</v>
      </c>
      <c r="U186" s="19">
        <f>VLOOKUP(A186,[4]Piece!$E:$G,3,FALSE)</f>
        <v>174</v>
      </c>
      <c r="V186" s="21">
        <f t="shared" si="10"/>
        <v>3248.5800000000004</v>
      </c>
      <c r="W186" s="16">
        <f t="shared" si="11"/>
        <v>60.479999999999109</v>
      </c>
    </row>
    <row r="187" spans="1:23" hidden="1" x14ac:dyDescent="0.3">
      <c r="A187" s="22" t="s">
        <v>393</v>
      </c>
      <c r="B187" s="22" t="s">
        <v>393</v>
      </c>
      <c r="C187" s="23" t="s">
        <v>33</v>
      </c>
      <c r="D187" s="20" t="s">
        <v>34</v>
      </c>
      <c r="E187" s="22" t="s">
        <v>394</v>
      </c>
      <c r="F187" s="24" t="str">
        <f t="shared" si="8"/>
        <v>PPG - Johnstones PROF SATIN FINISH - Mix - 2.5ltr</v>
      </c>
      <c r="G187" s="23" t="s">
        <v>5065</v>
      </c>
      <c r="H187" s="25" t="s">
        <v>36</v>
      </c>
      <c r="I187" s="18" t="s">
        <v>37</v>
      </c>
      <c r="J187" s="18" t="s">
        <v>38</v>
      </c>
      <c r="K187" t="s">
        <v>39</v>
      </c>
      <c r="L187" s="26">
        <f>VLOOKUP(A187,'[3]Price info'!A:D,4,FALSE)</f>
        <v>21.33</v>
      </c>
      <c r="M187" s="18" t="s">
        <v>40</v>
      </c>
      <c r="N187" s="20">
        <v>3105</v>
      </c>
      <c r="P187" s="16">
        <f>VLOOKUP(A187,'[3]Price info'!A:H,8,FALSE)</f>
        <v>19.858229999999999</v>
      </c>
      <c r="Q187" s="27">
        <f t="shared" si="9"/>
        <v>0.93100000000000005</v>
      </c>
      <c r="S187" s="16">
        <f>VLOOKUP(A187,[4]Sales!$E:$G,3,FALSE)</f>
        <v>1846.7099999999998</v>
      </c>
      <c r="T187" s="19">
        <f>VLOOKUP(A187,[4]Volume!$E:$G,3,FALSE)</f>
        <v>225</v>
      </c>
      <c r="U187" s="19">
        <f>VLOOKUP(A187,[4]Piece!$E:$G,3,FALSE)</f>
        <v>90</v>
      </c>
      <c r="V187" s="21">
        <f t="shared" si="10"/>
        <v>1787.2406999999998</v>
      </c>
      <c r="W187" s="16">
        <f t="shared" si="11"/>
        <v>-59.469299999999976</v>
      </c>
    </row>
    <row r="188" spans="1:23" hidden="1" x14ac:dyDescent="0.3">
      <c r="A188" s="46" t="s">
        <v>395</v>
      </c>
      <c r="B188" s="46" t="s">
        <v>395</v>
      </c>
      <c r="C188" s="47" t="s">
        <v>33</v>
      </c>
      <c r="D188" s="48" t="s">
        <v>34</v>
      </c>
      <c r="E188" s="18" t="s">
        <v>396</v>
      </c>
      <c r="F188" s="24" t="str">
        <f t="shared" si="8"/>
        <v>PPG - ARTEX DRYWALL PRIM 10L        PROTAP2100</v>
      </c>
      <c r="G188" s="20" t="s">
        <v>5066</v>
      </c>
      <c r="H188" s="49" t="s">
        <v>213</v>
      </c>
      <c r="I188" s="18" t="s">
        <v>37</v>
      </c>
      <c r="J188" s="18" t="s">
        <v>38</v>
      </c>
      <c r="K188" t="s">
        <v>39</v>
      </c>
      <c r="L188" s="50">
        <f>VLOOKUP(A188,'[3]Price info'!A:D,4,FALSE)</f>
        <v>55.42</v>
      </c>
      <c r="M188" s="18" t="s">
        <v>214</v>
      </c>
      <c r="N188" s="20">
        <v>3105</v>
      </c>
      <c r="P188" s="16">
        <f>VLOOKUP(A188,'[3]Price info'!A:H,8,FALSE)</f>
        <v>44.88</v>
      </c>
      <c r="Q188" s="17">
        <f t="shared" si="9"/>
        <v>0.80981595092024539</v>
      </c>
      <c r="S188" s="16">
        <f>VLOOKUP(A188,[4]Sales!$E:$G,3,FALSE)</f>
        <v>1385.5</v>
      </c>
      <c r="T188" s="19">
        <f>VLOOKUP(A188,[4]Volume!$E:$G,3,FALSE)</f>
        <v>250</v>
      </c>
      <c r="U188" s="19">
        <f>VLOOKUP(A188,[4]Piece!$E:$G,3,FALSE)</f>
        <v>25</v>
      </c>
      <c r="V188" s="21">
        <f t="shared" si="10"/>
        <v>1122</v>
      </c>
      <c r="W188" s="16">
        <f t="shared" si="11"/>
        <v>-263.5</v>
      </c>
    </row>
    <row r="189" spans="1:23" hidden="1" x14ac:dyDescent="0.3">
      <c r="A189" s="22" t="s">
        <v>397</v>
      </c>
      <c r="B189" s="22" t="s">
        <v>397</v>
      </c>
      <c r="C189" s="23" t="s">
        <v>33</v>
      </c>
      <c r="D189" s="20" t="s">
        <v>34</v>
      </c>
      <c r="E189" s="22" t="s">
        <v>398</v>
      </c>
      <c r="F189" s="24" t="str">
        <f t="shared" si="8"/>
        <v>PPG - Stormshield FLEXIBLE EX U/C - Mix - 2.5ltr</v>
      </c>
      <c r="G189" s="23" t="s">
        <v>5067</v>
      </c>
      <c r="H189" s="25" t="s">
        <v>36</v>
      </c>
      <c r="I189" s="18" t="s">
        <v>37</v>
      </c>
      <c r="J189" s="18" t="s">
        <v>38</v>
      </c>
      <c r="K189" t="s">
        <v>39</v>
      </c>
      <c r="L189" s="26">
        <f>VLOOKUP(A189,'[3]Price info'!A:D,4,FALSE)</f>
        <v>30.37</v>
      </c>
      <c r="M189" s="18" t="s">
        <v>40</v>
      </c>
      <c r="N189" s="20">
        <v>3105</v>
      </c>
      <c r="P189" s="16">
        <f>VLOOKUP(A189,'[3]Price info'!A:H,8,FALSE)</f>
        <v>18</v>
      </c>
      <c r="Q189" s="27">
        <f t="shared" si="9"/>
        <v>0.59269015475798481</v>
      </c>
      <c r="S189" s="16">
        <f>VLOOKUP(A189,[4]Sales!$E:$G,3,FALSE)</f>
        <v>2213.94</v>
      </c>
      <c r="T189" s="19">
        <f>VLOOKUP(A189,[4]Volume!$E:$G,3,FALSE)</f>
        <v>222.5</v>
      </c>
      <c r="U189" s="19">
        <f>VLOOKUP(A189,[4]Piece!$E:$G,3,FALSE)</f>
        <v>89</v>
      </c>
      <c r="V189" s="21">
        <f t="shared" si="10"/>
        <v>1602</v>
      </c>
      <c r="W189" s="16">
        <f t="shared" si="11"/>
        <v>-611.94000000000005</v>
      </c>
    </row>
    <row r="190" spans="1:23" hidden="1" x14ac:dyDescent="0.3">
      <c r="A190" s="22" t="s">
        <v>399</v>
      </c>
      <c r="B190" s="22" t="s">
        <v>399</v>
      </c>
      <c r="C190" s="23" t="s">
        <v>33</v>
      </c>
      <c r="D190" s="20" t="s">
        <v>34</v>
      </c>
      <c r="E190" s="22" t="s">
        <v>400</v>
      </c>
      <c r="F190" s="24" t="str">
        <f t="shared" si="8"/>
        <v>PPG - Johnstones MICROBAR-ACRY EGGSHELL - BW - 5l</v>
      </c>
      <c r="G190" s="23" t="s">
        <v>5068</v>
      </c>
      <c r="H190" s="25" t="s">
        <v>36</v>
      </c>
      <c r="I190" s="18" t="s">
        <v>37</v>
      </c>
      <c r="J190" s="18" t="s">
        <v>38</v>
      </c>
      <c r="K190" t="s">
        <v>39</v>
      </c>
      <c r="L190" s="26">
        <f>VLOOKUP(A190,'[3]Price info'!A:D,4,FALSE)</f>
        <v>49.44</v>
      </c>
      <c r="M190" s="18" t="s">
        <v>40</v>
      </c>
      <c r="N190" s="20">
        <v>3105</v>
      </c>
      <c r="P190" s="16">
        <f>VLOOKUP(A190,'[3]Price info'!A:H,8,FALSE)</f>
        <v>46.028640000000003</v>
      </c>
      <c r="Q190" s="27">
        <f t="shared" si="9"/>
        <v>0.93100000000000005</v>
      </c>
      <c r="S190" s="16">
        <f>VLOOKUP(A190,[4]Sales!$E:$G,3,FALSE)</f>
        <v>736.48</v>
      </c>
      <c r="T190" s="19">
        <f>VLOOKUP(A190,[4]Volume!$E:$G,3,FALSE)</f>
        <v>80</v>
      </c>
      <c r="U190" s="19">
        <f>VLOOKUP(A190,[4]Piece!$E:$G,3,FALSE)</f>
        <v>16</v>
      </c>
      <c r="V190" s="21">
        <f t="shared" si="10"/>
        <v>736.45824000000005</v>
      </c>
      <c r="W190" s="16">
        <f t="shared" si="11"/>
        <v>-2.1759999999972024E-2</v>
      </c>
    </row>
    <row r="191" spans="1:23" hidden="1" x14ac:dyDescent="0.3">
      <c r="A191" s="46" t="s">
        <v>401</v>
      </c>
      <c r="B191" s="46" t="s">
        <v>401</v>
      </c>
      <c r="C191" s="51" t="s">
        <v>33</v>
      </c>
      <c r="D191" s="48" t="s">
        <v>34</v>
      </c>
      <c r="E191" s="18" t="s">
        <v>402</v>
      </c>
      <c r="F191" s="24" t="str">
        <f t="shared" si="8"/>
        <v>PPG - EWI   DASHING SPAR FRANSPAR 25KG</v>
      </c>
      <c r="G191" s="20" t="s">
        <v>5069</v>
      </c>
      <c r="H191" s="49" t="s">
        <v>213</v>
      </c>
      <c r="I191" s="18" t="s">
        <v>37</v>
      </c>
      <c r="J191" s="18" t="s">
        <v>38</v>
      </c>
      <c r="K191" t="s">
        <v>39</v>
      </c>
      <c r="L191" s="50">
        <f>VLOOKUP(A191,'[3]Price info'!A:D,4,FALSE)</f>
        <v>6.3</v>
      </c>
      <c r="M191" s="18" t="s">
        <v>214</v>
      </c>
      <c r="N191" s="20">
        <v>3105</v>
      </c>
      <c r="P191" s="16">
        <f>VLOOKUP(A191,'[3]Price info'!A:H,8,FALSE)</f>
        <v>6.3</v>
      </c>
      <c r="Q191" s="17">
        <f t="shared" si="9"/>
        <v>1</v>
      </c>
      <c r="S191" s="16" t="e">
        <f>VLOOKUP(A191,[4]Sales!$E:$G,3,FALSE)</f>
        <v>#N/A</v>
      </c>
      <c r="T191" s="19" t="e">
        <f>VLOOKUP(A191,[4]Volume!$E:$G,3,FALSE)</f>
        <v>#N/A</v>
      </c>
      <c r="U191" s="19" t="e">
        <f>VLOOKUP(A191,[4]Piece!$E:$G,3,FALSE)</f>
        <v>#N/A</v>
      </c>
      <c r="V191" s="21" t="e">
        <f t="shared" si="10"/>
        <v>#N/A</v>
      </c>
      <c r="W191" s="16" t="e">
        <f t="shared" si="11"/>
        <v>#N/A</v>
      </c>
    </row>
    <row r="192" spans="1:23" hidden="1" x14ac:dyDescent="0.3">
      <c r="A192" s="22" t="s">
        <v>403</v>
      </c>
      <c r="B192" s="22" t="s">
        <v>403</v>
      </c>
      <c r="C192" s="23" t="s">
        <v>33</v>
      </c>
      <c r="D192" s="20" t="s">
        <v>34</v>
      </c>
      <c r="E192" s="22" t="s">
        <v>404</v>
      </c>
      <c r="F192" s="24" t="str">
        <f t="shared" si="8"/>
        <v>PPG - Johnstones AQUA SATIN - Bril White - 2.5ltr</v>
      </c>
      <c r="G192" s="23" t="s">
        <v>5070</v>
      </c>
      <c r="H192" s="25" t="s">
        <v>36</v>
      </c>
      <c r="I192" s="18" t="s">
        <v>37</v>
      </c>
      <c r="J192" s="18" t="s">
        <v>38</v>
      </c>
      <c r="K192" t="s">
        <v>39</v>
      </c>
      <c r="L192" s="26">
        <f>VLOOKUP(A192,'[3]Price info'!A:D,4,FALSE)</f>
        <v>13.8</v>
      </c>
      <c r="M192" s="18" t="s">
        <v>40</v>
      </c>
      <c r="N192" s="20">
        <v>3105</v>
      </c>
      <c r="P192" s="16">
        <f>VLOOKUP(A192,'[3]Price info'!A:H,8,FALSE)</f>
        <v>13.8</v>
      </c>
      <c r="Q192" s="27">
        <f t="shared" si="9"/>
        <v>1</v>
      </c>
      <c r="S192" s="16">
        <f>VLOOKUP(A192,[4]Sales!$E:$G,3,FALSE)</f>
        <v>1801.0799999999997</v>
      </c>
      <c r="T192" s="19">
        <f>VLOOKUP(A192,[4]Volume!$E:$G,3,FALSE)</f>
        <v>327.5</v>
      </c>
      <c r="U192" s="19">
        <f>VLOOKUP(A192,[4]Piece!$E:$G,3,FALSE)</f>
        <v>131</v>
      </c>
      <c r="V192" s="21">
        <f t="shared" si="10"/>
        <v>1807.8000000000002</v>
      </c>
      <c r="W192" s="16">
        <f t="shared" si="11"/>
        <v>6.720000000000482</v>
      </c>
    </row>
    <row r="193" spans="1:23" hidden="1" x14ac:dyDescent="0.3">
      <c r="A193" s="22" t="s">
        <v>405</v>
      </c>
      <c r="B193" s="22" t="s">
        <v>405</v>
      </c>
      <c r="C193" s="23" t="s">
        <v>33</v>
      </c>
      <c r="D193" s="20" t="s">
        <v>34</v>
      </c>
      <c r="E193" s="22" t="s">
        <v>406</v>
      </c>
      <c r="F193" s="24" t="str">
        <f t="shared" si="8"/>
        <v>PPG - Johnstones STAINAWAY - Mix - 10ltr</v>
      </c>
      <c r="G193" s="23" t="s">
        <v>5071</v>
      </c>
      <c r="H193" s="25" t="s">
        <v>36</v>
      </c>
      <c r="I193" s="18" t="s">
        <v>37</v>
      </c>
      <c r="J193" s="18" t="s">
        <v>38</v>
      </c>
      <c r="K193" t="s">
        <v>39</v>
      </c>
      <c r="L193" s="26">
        <f>VLOOKUP(A193,'[3]Price info'!A:D,4,FALSE)</f>
        <v>112.71</v>
      </c>
      <c r="M193" s="18" t="s">
        <v>40</v>
      </c>
      <c r="N193" s="20">
        <v>3105</v>
      </c>
      <c r="P193" s="16">
        <f>VLOOKUP(A193,'[3]Price info'!A:H,8,FALSE)</f>
        <v>76.97</v>
      </c>
      <c r="Q193" s="27">
        <f t="shared" si="9"/>
        <v>0.68290302546357917</v>
      </c>
      <c r="S193" s="16">
        <f>VLOOKUP(A193,[4]Sales!$E:$G,3,FALSE)</f>
        <v>3628.6800000000003</v>
      </c>
      <c r="T193" s="19">
        <f>VLOOKUP(A193,[4]Volume!$E:$G,3,FALSE)</f>
        <v>360</v>
      </c>
      <c r="U193" s="19">
        <f>VLOOKUP(A193,[4]Piece!$E:$G,3,FALSE)</f>
        <v>36</v>
      </c>
      <c r="V193" s="21">
        <f t="shared" si="10"/>
        <v>2770.92</v>
      </c>
      <c r="W193" s="16">
        <f t="shared" si="11"/>
        <v>-857.76000000000022</v>
      </c>
    </row>
    <row r="194" spans="1:23" hidden="1" x14ac:dyDescent="0.3">
      <c r="A194" s="46" t="s">
        <v>407</v>
      </c>
      <c r="B194" s="46" t="s">
        <v>407</v>
      </c>
      <c r="C194" s="47" t="s">
        <v>33</v>
      </c>
      <c r="D194" s="48" t="s">
        <v>34</v>
      </c>
      <c r="E194" s="18" t="s">
        <v>408</v>
      </c>
      <c r="F194" s="24" t="str">
        <f t="shared" si="8"/>
        <v>PPG - EWI   BOXBS CLIPON NOSE W/MESH 2.5M 10MM</v>
      </c>
      <c r="G194" s="20" t="s">
        <v>5072</v>
      </c>
      <c r="H194" s="49" t="s">
        <v>213</v>
      </c>
      <c r="I194" s="18" t="s">
        <v>37</v>
      </c>
      <c r="J194" s="18" t="s">
        <v>38</v>
      </c>
      <c r="K194" t="s">
        <v>39</v>
      </c>
      <c r="L194" s="50">
        <f>VLOOKUP(A194,'[3]Price info'!A:D,4,FALSE)</f>
        <v>5.34</v>
      </c>
      <c r="M194" s="18" t="s">
        <v>214</v>
      </c>
      <c r="N194" s="20">
        <v>3105</v>
      </c>
      <c r="P194" s="16">
        <f>VLOOKUP(A194,'[3]Price info'!A:H,8,FALSE)</f>
        <v>5.34</v>
      </c>
      <c r="Q194" s="17">
        <f t="shared" si="9"/>
        <v>1</v>
      </c>
      <c r="S194" s="16" t="e">
        <f>VLOOKUP(A194,[4]Sales!$E:$G,3,FALSE)</f>
        <v>#N/A</v>
      </c>
      <c r="T194" s="19" t="e">
        <f>VLOOKUP(A194,[4]Volume!$E:$G,3,FALSE)</f>
        <v>#N/A</v>
      </c>
      <c r="U194" s="19" t="e">
        <f>VLOOKUP(A194,[4]Piece!$E:$G,3,FALSE)</f>
        <v>#N/A</v>
      </c>
      <c r="V194" s="21" t="e">
        <f t="shared" si="10"/>
        <v>#N/A</v>
      </c>
      <c r="W194" s="16" t="e">
        <f t="shared" si="11"/>
        <v>#N/A</v>
      </c>
    </row>
    <row r="195" spans="1:23" hidden="1" x14ac:dyDescent="0.3">
      <c r="A195" s="22" t="s">
        <v>409</v>
      </c>
      <c r="B195" s="22" t="s">
        <v>409</v>
      </c>
      <c r="C195" s="23" t="s">
        <v>33</v>
      </c>
      <c r="D195" s="20" t="s">
        <v>34</v>
      </c>
      <c r="E195" s="22" t="s">
        <v>410</v>
      </c>
      <c r="F195" s="24" t="str">
        <f t="shared" ref="F195:F258" si="12">D195&amp;" - "&amp;E195</f>
        <v>PPG - Johnstones SOLV OPAQUE - Rustic Oak - 5ltr</v>
      </c>
      <c r="G195" s="23" t="s">
        <v>5073</v>
      </c>
      <c r="H195" s="25" t="s">
        <v>36</v>
      </c>
      <c r="I195" s="18" t="s">
        <v>37</v>
      </c>
      <c r="J195" s="18" t="s">
        <v>38</v>
      </c>
      <c r="K195" t="s">
        <v>39</v>
      </c>
      <c r="L195" s="26">
        <f>VLOOKUP(A195,'[3]Price info'!A:D,4,FALSE)</f>
        <v>21.15</v>
      </c>
      <c r="M195" s="18" t="s">
        <v>40</v>
      </c>
      <c r="N195" s="20">
        <v>3105</v>
      </c>
      <c r="P195" s="16">
        <f>VLOOKUP(A195,'[3]Price info'!A:H,8,FALSE)</f>
        <v>27.5</v>
      </c>
      <c r="Q195" s="27">
        <f t="shared" ref="Q195:Q258" si="13">P195/L195</f>
        <v>1.3002364066193854</v>
      </c>
      <c r="S195" s="16">
        <f>VLOOKUP(A195,[4]Sales!$E:$G,3,FALSE)</f>
        <v>634.54999999999995</v>
      </c>
      <c r="T195" s="19">
        <f>VLOOKUP(A195,[4]Volume!$E:$G,3,FALSE)</f>
        <v>135</v>
      </c>
      <c r="U195" s="19">
        <f>VLOOKUP(A195,[4]Piece!$E:$G,3,FALSE)</f>
        <v>27</v>
      </c>
      <c r="V195" s="21">
        <f t="shared" ref="V195:V258" si="14">U195*P195</f>
        <v>742.5</v>
      </c>
      <c r="W195" s="16">
        <f t="shared" ref="W195:W258" si="15">V195-S195</f>
        <v>107.95000000000005</v>
      </c>
    </row>
    <row r="196" spans="1:23" hidden="1" x14ac:dyDescent="0.3">
      <c r="A196" s="22" t="s">
        <v>411</v>
      </c>
      <c r="B196" s="22" t="s">
        <v>411</v>
      </c>
      <c r="C196" s="23" t="s">
        <v>33</v>
      </c>
      <c r="D196" s="20" t="s">
        <v>34</v>
      </c>
      <c r="E196" s="22" t="s">
        <v>412</v>
      </c>
      <c r="F196" s="24" t="str">
        <f t="shared" si="12"/>
        <v>PPG - Stormshield SMOOTH MASONRY - Magnolia - 5ltr</v>
      </c>
      <c r="G196" s="23" t="s">
        <v>5074</v>
      </c>
      <c r="H196" s="25" t="s">
        <v>36</v>
      </c>
      <c r="I196" s="18" t="s">
        <v>37</v>
      </c>
      <c r="J196" s="18" t="s">
        <v>38</v>
      </c>
      <c r="K196" t="s">
        <v>39</v>
      </c>
      <c r="L196" s="26">
        <f>VLOOKUP(A196,'[3]Price info'!A:D,4,FALSE)</f>
        <v>16.940000000000001</v>
      </c>
      <c r="M196" s="18" t="s">
        <v>40</v>
      </c>
      <c r="N196" s="20">
        <v>3105</v>
      </c>
      <c r="P196" s="16">
        <f>VLOOKUP(A196,'[3]Price info'!A:H,8,FALSE)</f>
        <v>15.771140000000003</v>
      </c>
      <c r="Q196" s="27">
        <f t="shared" si="13"/>
        <v>0.93100000000000005</v>
      </c>
      <c r="S196" s="16">
        <f>VLOOKUP(A196,[4]Sales!$E:$G,3,FALSE)</f>
        <v>1539.5799999999997</v>
      </c>
      <c r="T196" s="19">
        <f>VLOOKUP(A196,[4]Volume!$E:$G,3,FALSE)</f>
        <v>495</v>
      </c>
      <c r="U196" s="19">
        <f>VLOOKUP(A196,[4]Piece!$E:$G,3,FALSE)</f>
        <v>99</v>
      </c>
      <c r="V196" s="21">
        <f t="shared" si="14"/>
        <v>1561.3428600000002</v>
      </c>
      <c r="W196" s="16">
        <f t="shared" si="15"/>
        <v>21.762860000000501</v>
      </c>
    </row>
    <row r="197" spans="1:23" hidden="1" x14ac:dyDescent="0.3">
      <c r="A197" s="46" t="s">
        <v>413</v>
      </c>
      <c r="B197" s="46" t="s">
        <v>413</v>
      </c>
      <c r="C197" s="47" t="s">
        <v>33</v>
      </c>
      <c r="D197" s="48" t="s">
        <v>34</v>
      </c>
      <c r="E197" s="18" t="s">
        <v>414</v>
      </c>
      <c r="F197" s="24" t="str">
        <f t="shared" si="12"/>
        <v>PPG - BLINE ONE TIME     FILLER 4L  TOEBOA1400</v>
      </c>
      <c r="G197" s="20" t="s">
        <v>5075</v>
      </c>
      <c r="H197" s="49" t="s">
        <v>213</v>
      </c>
      <c r="I197" s="18" t="s">
        <v>37</v>
      </c>
      <c r="J197" s="18" t="s">
        <v>38</v>
      </c>
      <c r="K197" t="s">
        <v>39</v>
      </c>
      <c r="L197" s="50">
        <f>VLOOKUP(A197,'[3]Price info'!A:D,4,FALSE)</f>
        <v>24.1</v>
      </c>
      <c r="M197" s="18" t="s">
        <v>214</v>
      </c>
      <c r="N197" s="20">
        <v>3105</v>
      </c>
      <c r="P197" s="16">
        <f>VLOOKUP(A197,'[3]Price info'!A:H,8,FALSE)</f>
        <v>22.437100000000001</v>
      </c>
      <c r="Q197" s="17">
        <f t="shared" si="13"/>
        <v>0.93099999999999994</v>
      </c>
      <c r="S197" s="16">
        <f>VLOOKUP(A197,[4]Sales!$E:$G,3,FALSE)</f>
        <v>2451.6900000000023</v>
      </c>
      <c r="T197" s="19">
        <f>VLOOKUP(A197,[4]Volume!$E:$G,3,FALSE)</f>
        <v>424</v>
      </c>
      <c r="U197" s="19">
        <f>VLOOKUP(A197,[4]Piece!$E:$G,3,FALSE)</f>
        <v>106</v>
      </c>
      <c r="V197" s="21">
        <f t="shared" si="14"/>
        <v>2378.3326000000002</v>
      </c>
      <c r="W197" s="16">
        <f t="shared" si="15"/>
        <v>-73.357400000002144</v>
      </c>
    </row>
    <row r="198" spans="1:23" hidden="1" x14ac:dyDescent="0.3">
      <c r="A198" s="22" t="s">
        <v>415</v>
      </c>
      <c r="B198" s="22" t="s">
        <v>415</v>
      </c>
      <c r="C198" s="23" t="s">
        <v>33</v>
      </c>
      <c r="D198" s="20" t="s">
        <v>34</v>
      </c>
      <c r="E198" s="22" t="s">
        <v>416</v>
      </c>
      <c r="F198" s="24" t="str">
        <f t="shared" si="12"/>
        <v>PPG - Johnstones AQUA UNDERCOAT - Mix - 2.5ltr</v>
      </c>
      <c r="G198" s="23" t="s">
        <v>5076</v>
      </c>
      <c r="H198" s="25" t="s">
        <v>36</v>
      </c>
      <c r="I198" s="18" t="s">
        <v>37</v>
      </c>
      <c r="J198" s="18" t="s">
        <v>38</v>
      </c>
      <c r="K198" t="s">
        <v>39</v>
      </c>
      <c r="L198" s="26">
        <f>VLOOKUP(A198,'[3]Price info'!A:D,4,FALSE)</f>
        <v>18.670000000000002</v>
      </c>
      <c r="M198" s="18" t="s">
        <v>40</v>
      </c>
      <c r="N198" s="20">
        <v>3105</v>
      </c>
      <c r="P198" s="16">
        <f>VLOOKUP(A198,'[3]Price info'!A:H,8,FALSE)</f>
        <v>18.670000000000002</v>
      </c>
      <c r="Q198" s="27">
        <f t="shared" si="13"/>
        <v>1</v>
      </c>
      <c r="S198" s="16">
        <f>VLOOKUP(A198,[4]Sales!$E:$G,3,FALSE)</f>
        <v>2129.670000000001</v>
      </c>
      <c r="T198" s="19">
        <f>VLOOKUP(A198,[4]Volume!$E:$G,3,FALSE)</f>
        <v>292.5</v>
      </c>
      <c r="U198" s="19">
        <f>VLOOKUP(A198,[4]Piece!$E:$G,3,FALSE)</f>
        <v>117</v>
      </c>
      <c r="V198" s="21">
        <f t="shared" si="14"/>
        <v>2184.3900000000003</v>
      </c>
      <c r="W198" s="16">
        <f t="shared" si="15"/>
        <v>54.719999999999345</v>
      </c>
    </row>
    <row r="199" spans="1:23" hidden="1" x14ac:dyDescent="0.3">
      <c r="A199" s="53" t="s">
        <v>417</v>
      </c>
      <c r="B199" s="54" t="s">
        <v>417</v>
      </c>
      <c r="C199" s="47" t="s">
        <v>33</v>
      </c>
      <c r="D199" s="48" t="s">
        <v>34</v>
      </c>
      <c r="E199" s="22" t="s">
        <v>418</v>
      </c>
      <c r="F199" s="24" t="str">
        <f t="shared" si="12"/>
        <v>PPG - ProGold ROUGH ROLLER 4"</v>
      </c>
      <c r="G199" s="20" t="s">
        <v>5077</v>
      </c>
      <c r="H199" s="25" t="s">
        <v>36</v>
      </c>
      <c r="I199" s="18" t="s">
        <v>37</v>
      </c>
      <c r="J199" s="18" t="s">
        <v>38</v>
      </c>
      <c r="K199" t="s">
        <v>39</v>
      </c>
      <c r="L199" s="26">
        <f>VLOOKUP(A199,'[3]Price info'!A:D,4,FALSE)</f>
        <v>1.27</v>
      </c>
      <c r="M199" s="18" t="s">
        <v>214</v>
      </c>
      <c r="N199" s="20">
        <v>3105</v>
      </c>
      <c r="P199" s="16">
        <f>VLOOKUP(A199,'[3]Price info'!A:H,8,FALSE)</f>
        <v>1.1823700000000001</v>
      </c>
      <c r="Q199" s="27">
        <f t="shared" si="13"/>
        <v>0.93100000000000005</v>
      </c>
      <c r="S199" s="16">
        <f>VLOOKUP(A199,[4]Sales!$E:$G,3,FALSE)</f>
        <v>1881.5199999999995</v>
      </c>
      <c r="T199" s="19">
        <f>VLOOKUP(A199,[4]Volume!$E:$G,3,FALSE)</f>
        <v>1536</v>
      </c>
      <c r="U199" s="19">
        <f>VLOOKUP(A199,[4]Piece!$E:$G,3,FALSE)</f>
        <v>1536</v>
      </c>
      <c r="V199" s="21">
        <f t="shared" si="14"/>
        <v>1816.1203200000002</v>
      </c>
      <c r="W199" s="16">
        <f t="shared" si="15"/>
        <v>-65.399679999999307</v>
      </c>
    </row>
    <row r="200" spans="1:23" hidden="1" x14ac:dyDescent="0.3">
      <c r="A200" s="22" t="s">
        <v>419</v>
      </c>
      <c r="B200" s="22" t="s">
        <v>419</v>
      </c>
      <c r="C200" s="23" t="s">
        <v>33</v>
      </c>
      <c r="D200" s="20" t="s">
        <v>34</v>
      </c>
      <c r="E200" s="22" t="s">
        <v>420</v>
      </c>
      <c r="F200" s="24" t="str">
        <f t="shared" si="12"/>
        <v>PPG - ProGold CLASSIC SYNTHETIC BRUSH 5 PIECE PACK</v>
      </c>
      <c r="G200" s="23" t="s">
        <v>5078</v>
      </c>
      <c r="H200" s="25" t="s">
        <v>36</v>
      </c>
      <c r="I200" s="18" t="s">
        <v>37</v>
      </c>
      <c r="J200" s="18" t="s">
        <v>38</v>
      </c>
      <c r="K200" t="s">
        <v>39</v>
      </c>
      <c r="L200" s="26">
        <f>VLOOKUP(A200,'[3]Price info'!A:D,4,FALSE)</f>
        <v>14.43</v>
      </c>
      <c r="M200" s="18" t="s">
        <v>40</v>
      </c>
      <c r="N200" s="20">
        <v>3105</v>
      </c>
      <c r="P200" s="16">
        <f>VLOOKUP(A200,'[3]Price info'!A:H,8,FALSE)</f>
        <v>13.434330000000001</v>
      </c>
      <c r="Q200" s="27">
        <f t="shared" si="13"/>
        <v>0.93100000000000005</v>
      </c>
      <c r="S200" s="16">
        <f>VLOOKUP(A200,[4]Sales!$E:$G,3,FALSE)</f>
        <v>347.87</v>
      </c>
      <c r="T200" s="19">
        <f>VLOOKUP(A200,[4]Volume!$E:$G,3,FALSE)</f>
        <v>25</v>
      </c>
      <c r="U200" s="19">
        <f>VLOOKUP(A200,[4]Piece!$E:$G,3,FALSE)</f>
        <v>25</v>
      </c>
      <c r="V200" s="21">
        <f t="shared" si="14"/>
        <v>335.85825</v>
      </c>
      <c r="W200" s="16">
        <f t="shared" si="15"/>
        <v>-12.011750000000006</v>
      </c>
    </row>
    <row r="201" spans="1:23" hidden="1" x14ac:dyDescent="0.3">
      <c r="A201" s="22" t="s">
        <v>421</v>
      </c>
      <c r="B201" s="22" t="s">
        <v>421</v>
      </c>
      <c r="C201" s="23" t="s">
        <v>33</v>
      </c>
      <c r="D201" s="20" t="s">
        <v>34</v>
      </c>
      <c r="E201" s="22" t="s">
        <v>422</v>
      </c>
      <c r="F201" s="24" t="str">
        <f t="shared" si="12"/>
        <v>PPG - Johnstones FLORTRED Dark Grey - 5ltr</v>
      </c>
      <c r="G201" s="23" t="s">
        <v>5079</v>
      </c>
      <c r="H201" s="25" t="s">
        <v>36</v>
      </c>
      <c r="I201" s="18" t="s">
        <v>37</v>
      </c>
      <c r="J201" s="18" t="s">
        <v>38</v>
      </c>
      <c r="K201" t="s">
        <v>39</v>
      </c>
      <c r="L201" s="26">
        <f>VLOOKUP(A201,'[3]Price info'!A:D,4,FALSE)</f>
        <v>22.63</v>
      </c>
      <c r="M201" s="18" t="s">
        <v>40</v>
      </c>
      <c r="N201" s="20">
        <v>3105</v>
      </c>
      <c r="P201" s="16">
        <f>VLOOKUP(A201,'[3]Price info'!A:H,8,FALSE)</f>
        <v>21.068529999999999</v>
      </c>
      <c r="Q201" s="27">
        <f t="shared" si="13"/>
        <v>0.93100000000000005</v>
      </c>
      <c r="S201" s="16">
        <f>VLOOKUP(A201,[4]Sales!$E:$G,3,FALSE)</f>
        <v>1158.83</v>
      </c>
      <c r="T201" s="19">
        <f>VLOOKUP(A201,[4]Volume!$E:$G,3,FALSE)</f>
        <v>265</v>
      </c>
      <c r="U201" s="19">
        <f>VLOOKUP(A201,[4]Piece!$E:$G,3,FALSE)</f>
        <v>53</v>
      </c>
      <c r="V201" s="21">
        <f t="shared" si="14"/>
        <v>1116.6320900000001</v>
      </c>
      <c r="W201" s="16">
        <f t="shared" si="15"/>
        <v>-42.197909999999865</v>
      </c>
    </row>
    <row r="202" spans="1:23" hidden="1" x14ac:dyDescent="0.3">
      <c r="A202" s="22" t="s">
        <v>423</v>
      </c>
      <c r="B202" s="22" t="s">
        <v>423</v>
      </c>
      <c r="C202" s="23" t="s">
        <v>33</v>
      </c>
      <c r="D202" s="20" t="s">
        <v>34</v>
      </c>
      <c r="E202" s="22" t="s">
        <v>424</v>
      </c>
      <c r="F202" s="24" t="str">
        <f t="shared" si="12"/>
        <v>PPG - Johnstones VINYL SOFT SHEEN - Mix - 5ltr</v>
      </c>
      <c r="G202" s="23" t="s">
        <v>5080</v>
      </c>
      <c r="H202" s="25" t="s">
        <v>36</v>
      </c>
      <c r="I202" s="18" t="s">
        <v>37</v>
      </c>
      <c r="J202" s="18" t="s">
        <v>38</v>
      </c>
      <c r="K202" t="s">
        <v>39</v>
      </c>
      <c r="L202" s="26">
        <f>VLOOKUP(A202,'[3]Price info'!A:D,4,FALSE)</f>
        <v>13.99</v>
      </c>
      <c r="M202" s="18" t="s">
        <v>40</v>
      </c>
      <c r="N202" s="20">
        <v>3105</v>
      </c>
      <c r="P202" s="16">
        <f>VLOOKUP(A202,'[3]Price info'!A:H,8,FALSE)</f>
        <v>13.99</v>
      </c>
      <c r="Q202" s="27">
        <f t="shared" si="13"/>
        <v>1</v>
      </c>
      <c r="S202" s="16">
        <f>VLOOKUP(A202,[4]Sales!$E:$G,3,FALSE)</f>
        <v>850.84</v>
      </c>
      <c r="T202" s="19">
        <f>VLOOKUP(A202,[4]Volume!$E:$G,3,FALSE)</f>
        <v>305</v>
      </c>
      <c r="U202" s="19">
        <f>VLOOKUP(A202,[4]Piece!$E:$G,3,FALSE)</f>
        <v>61</v>
      </c>
      <c r="V202" s="21">
        <f t="shared" si="14"/>
        <v>853.39</v>
      </c>
      <c r="W202" s="16">
        <f t="shared" si="15"/>
        <v>2.5499999999999545</v>
      </c>
    </row>
    <row r="203" spans="1:23" hidden="1" x14ac:dyDescent="0.3">
      <c r="A203" s="22" t="s">
        <v>425</v>
      </c>
      <c r="B203" s="22" t="s">
        <v>425</v>
      </c>
      <c r="C203" s="23" t="s">
        <v>33</v>
      </c>
      <c r="D203" s="20" t="s">
        <v>34</v>
      </c>
      <c r="E203" s="22" t="s">
        <v>426</v>
      </c>
      <c r="F203" s="24" t="str">
        <f t="shared" si="12"/>
        <v>PPG - ProGold READY MIX ALL PUR WALLCOV ADH 10kg</v>
      </c>
      <c r="G203" s="23" t="s">
        <v>5081</v>
      </c>
      <c r="H203" s="25" t="s">
        <v>36</v>
      </c>
      <c r="I203" s="18" t="s">
        <v>37</v>
      </c>
      <c r="J203" s="18" t="s">
        <v>38</v>
      </c>
      <c r="K203" t="s">
        <v>39</v>
      </c>
      <c r="L203" s="26">
        <f>VLOOKUP(A203,'[3]Price info'!A:D,4,FALSE)</f>
        <v>9.5</v>
      </c>
      <c r="M203" s="18" t="s">
        <v>40</v>
      </c>
      <c r="N203" s="20">
        <v>3105</v>
      </c>
      <c r="P203" s="16">
        <f>VLOOKUP(A203,'[3]Price info'!A:H,8,FALSE)</f>
        <v>8.8445</v>
      </c>
      <c r="Q203" s="27">
        <f t="shared" si="13"/>
        <v>0.93100000000000005</v>
      </c>
      <c r="S203" s="16">
        <f>VLOOKUP(A203,[4]Sales!$E:$G,3,FALSE)</f>
        <v>1840.599999999999</v>
      </c>
      <c r="T203" s="19">
        <f>VLOOKUP(A203,[4]Volume!$E:$G,3,FALSE)</f>
        <v>2020</v>
      </c>
      <c r="U203" s="19">
        <f>VLOOKUP(A203,[4]Piece!$E:$G,3,FALSE)</f>
        <v>202</v>
      </c>
      <c r="V203" s="21">
        <f t="shared" si="14"/>
        <v>1786.5889999999999</v>
      </c>
      <c r="W203" s="16">
        <f t="shared" si="15"/>
        <v>-54.010999999999058</v>
      </c>
    </row>
    <row r="204" spans="1:23" hidden="1" x14ac:dyDescent="0.3">
      <c r="A204" s="22" t="s">
        <v>427</v>
      </c>
      <c r="B204" s="22" t="s">
        <v>427</v>
      </c>
      <c r="C204" s="23" t="s">
        <v>33</v>
      </c>
      <c r="D204" s="20" t="s">
        <v>34</v>
      </c>
      <c r="E204" s="22" t="s">
        <v>428</v>
      </c>
      <c r="F204" s="24" t="str">
        <f t="shared" si="12"/>
        <v>PPG - Johnstones ROAD MARKING - White - 5ltr</v>
      </c>
      <c r="G204" s="23" t="s">
        <v>5082</v>
      </c>
      <c r="H204" s="25" t="s">
        <v>36</v>
      </c>
      <c r="I204" s="18" t="s">
        <v>37</v>
      </c>
      <c r="J204" s="18" t="s">
        <v>38</v>
      </c>
      <c r="K204" t="s">
        <v>39</v>
      </c>
      <c r="L204" s="26">
        <f>VLOOKUP(A204,'[3]Price info'!A:D,4,FALSE)</f>
        <v>52.91</v>
      </c>
      <c r="M204" s="18" t="s">
        <v>40</v>
      </c>
      <c r="N204" s="20">
        <v>3105</v>
      </c>
      <c r="P204" s="16">
        <f>VLOOKUP(A204,'[3]Price info'!A:H,8,FALSE)</f>
        <v>49.259209999999996</v>
      </c>
      <c r="Q204" s="27">
        <f t="shared" si="13"/>
        <v>0.93099999999999994</v>
      </c>
      <c r="S204" s="16">
        <f>VLOOKUP(A204,[4]Sales!$E:$G,3,FALSE)</f>
        <v>2594.66</v>
      </c>
      <c r="T204" s="19">
        <f>VLOOKUP(A204,[4]Volume!$E:$G,3,FALSE)</f>
        <v>255</v>
      </c>
      <c r="U204" s="19">
        <f>VLOOKUP(A204,[4]Piece!$E:$G,3,FALSE)</f>
        <v>51</v>
      </c>
      <c r="V204" s="21">
        <f t="shared" si="14"/>
        <v>2512.2197099999998</v>
      </c>
      <c r="W204" s="16">
        <f t="shared" si="15"/>
        <v>-82.440290000000005</v>
      </c>
    </row>
    <row r="205" spans="1:23" hidden="1" x14ac:dyDescent="0.3">
      <c r="A205" s="22" t="s">
        <v>429</v>
      </c>
      <c r="B205" s="22" t="s">
        <v>429</v>
      </c>
      <c r="C205" s="23" t="s">
        <v>33</v>
      </c>
      <c r="D205" s="20" t="s">
        <v>34</v>
      </c>
      <c r="E205" s="22" t="s">
        <v>430</v>
      </c>
      <c r="F205" s="24" t="str">
        <f t="shared" si="12"/>
        <v>PPG - Johstones STEEL &amp; CLADDING - BW - 5ltr</v>
      </c>
      <c r="G205" s="23" t="s">
        <v>5083</v>
      </c>
      <c r="H205" s="25" t="s">
        <v>36</v>
      </c>
      <c r="I205" s="18" t="s">
        <v>37</v>
      </c>
      <c r="J205" s="18" t="s">
        <v>38</v>
      </c>
      <c r="K205" t="s">
        <v>39</v>
      </c>
      <c r="L205" s="26">
        <f>VLOOKUP(A205,'[3]Price info'!A:D,4,FALSE)</f>
        <v>58.58</v>
      </c>
      <c r="M205" s="18" t="s">
        <v>40</v>
      </c>
      <c r="N205" s="20">
        <v>3105</v>
      </c>
      <c r="P205" s="16">
        <f>VLOOKUP(A205,'[3]Price info'!A:H,8,FALSE)</f>
        <v>54.537980000000005</v>
      </c>
      <c r="Q205" s="27">
        <f t="shared" si="13"/>
        <v>0.93100000000000005</v>
      </c>
      <c r="S205" s="16">
        <f>VLOOKUP(A205,[4]Sales!$E:$G,3,FALSE)</f>
        <v>578.64</v>
      </c>
      <c r="T205" s="19">
        <f>VLOOKUP(A205,[4]Volume!$E:$G,3,FALSE)</f>
        <v>50</v>
      </c>
      <c r="U205" s="19">
        <f>VLOOKUP(A205,[4]Piece!$E:$G,3,FALSE)</f>
        <v>10</v>
      </c>
      <c r="V205" s="21">
        <f t="shared" si="14"/>
        <v>545.37980000000005</v>
      </c>
      <c r="W205" s="16">
        <f t="shared" si="15"/>
        <v>-33.260199999999941</v>
      </c>
    </row>
    <row r="206" spans="1:23" hidden="1" x14ac:dyDescent="0.3">
      <c r="A206" s="22" t="s">
        <v>431</v>
      </c>
      <c r="B206" s="22" t="s">
        <v>431</v>
      </c>
      <c r="C206" s="23" t="s">
        <v>33</v>
      </c>
      <c r="D206" s="20" t="s">
        <v>34</v>
      </c>
      <c r="E206" s="22" t="s">
        <v>432</v>
      </c>
      <c r="F206" s="24" t="str">
        <f t="shared" si="12"/>
        <v>PPG - ProGold WOVEN LONG PILE ROLLER 9"</v>
      </c>
      <c r="G206" s="23" t="s">
        <v>5084</v>
      </c>
      <c r="H206" s="25" t="s">
        <v>36</v>
      </c>
      <c r="I206" s="18" t="s">
        <v>37</v>
      </c>
      <c r="J206" s="18" t="s">
        <v>38</v>
      </c>
      <c r="K206" t="s">
        <v>39</v>
      </c>
      <c r="L206" s="26">
        <f>VLOOKUP(A206,'[3]Price info'!A:D,4,FALSE)</f>
        <v>1.52</v>
      </c>
      <c r="M206" s="18" t="s">
        <v>40</v>
      </c>
      <c r="N206" s="20">
        <v>3105</v>
      </c>
      <c r="P206" s="16">
        <f>VLOOKUP(A206,'[3]Price info'!A:H,8,FALSE)</f>
        <v>1.4151200000000002</v>
      </c>
      <c r="Q206" s="27">
        <f t="shared" si="13"/>
        <v>0.93100000000000005</v>
      </c>
      <c r="S206" s="16">
        <f>VLOOKUP(A206,[4]Sales!$E:$G,3,FALSE)</f>
        <v>1865.5199999999982</v>
      </c>
      <c r="T206" s="19">
        <f>VLOOKUP(A206,[4]Volume!$E:$G,3,FALSE)</f>
        <v>1289</v>
      </c>
      <c r="U206" s="19">
        <f>VLOOKUP(A206,[4]Piece!$E:$G,3,FALSE)</f>
        <v>1289</v>
      </c>
      <c r="V206" s="21">
        <f t="shared" si="14"/>
        <v>1824.0896800000003</v>
      </c>
      <c r="W206" s="16">
        <f t="shared" si="15"/>
        <v>-41.430319999997892</v>
      </c>
    </row>
    <row r="207" spans="1:23" hidden="1" x14ac:dyDescent="0.3">
      <c r="A207" s="22" t="s">
        <v>433</v>
      </c>
      <c r="B207" s="22" t="s">
        <v>433</v>
      </c>
      <c r="C207" s="23" t="s">
        <v>33</v>
      </c>
      <c r="D207" s="20" t="s">
        <v>34</v>
      </c>
      <c r="E207" s="22" t="s">
        <v>434</v>
      </c>
      <c r="F207" s="24" t="str">
        <f t="shared" si="12"/>
        <v>PPG - Johnstones QD FLOOR VARN - Clr Gloss - 2.5l</v>
      </c>
      <c r="G207" s="23" t="s">
        <v>5085</v>
      </c>
      <c r="H207" s="25" t="s">
        <v>36</v>
      </c>
      <c r="I207" s="18" t="s">
        <v>37</v>
      </c>
      <c r="J207" s="18" t="s">
        <v>38</v>
      </c>
      <c r="K207" t="s">
        <v>39</v>
      </c>
      <c r="L207" s="26">
        <f>VLOOKUP(A207,'[3]Price info'!A:D,4,FALSE)</f>
        <v>19.13</v>
      </c>
      <c r="M207" s="18" t="s">
        <v>40</v>
      </c>
      <c r="N207" s="20">
        <v>3105</v>
      </c>
      <c r="P207" s="16">
        <f>VLOOKUP(A207,'[3]Price info'!A:H,8,FALSE)</f>
        <v>17.810030000000001</v>
      </c>
      <c r="Q207" s="27">
        <f t="shared" si="13"/>
        <v>0.93100000000000016</v>
      </c>
      <c r="S207" s="16">
        <f>VLOOKUP(A207,[4]Sales!$E:$G,3,FALSE)</f>
        <v>931.71999999999991</v>
      </c>
      <c r="T207" s="19">
        <f>VLOOKUP(A207,[4]Volume!$E:$G,3,FALSE)</f>
        <v>125</v>
      </c>
      <c r="U207" s="19">
        <f>VLOOKUP(A207,[4]Piece!$E:$G,3,FALSE)</f>
        <v>50</v>
      </c>
      <c r="V207" s="21">
        <f t="shared" si="14"/>
        <v>890.50150000000008</v>
      </c>
      <c r="W207" s="16">
        <f t="shared" si="15"/>
        <v>-41.218499999999835</v>
      </c>
    </row>
    <row r="208" spans="1:23" hidden="1" x14ac:dyDescent="0.3">
      <c r="A208" s="36" t="s">
        <v>435</v>
      </c>
      <c r="B208" s="36" t="s">
        <v>435</v>
      </c>
      <c r="C208" s="23" t="s">
        <v>33</v>
      </c>
      <c r="D208" s="20" t="s">
        <v>34</v>
      </c>
      <c r="E208" s="22" t="s">
        <v>436</v>
      </c>
      <c r="F208" s="24" t="str">
        <f t="shared" si="12"/>
        <v>PPG - Artex EASI FILLER 5X 1KG BAGS</v>
      </c>
      <c r="G208" s="41" t="s">
        <v>5086</v>
      </c>
      <c r="H208" s="39" t="s">
        <v>36</v>
      </c>
      <c r="I208" s="40" t="s">
        <v>37</v>
      </c>
      <c r="J208" s="40" t="s">
        <v>38</v>
      </c>
      <c r="K208" s="41" t="s">
        <v>39</v>
      </c>
      <c r="L208" s="26">
        <f>VLOOKUP(A208,'[3]Price info'!A:D,4,FALSE)</f>
        <v>19.690000000000001</v>
      </c>
      <c r="M208" s="40" t="s">
        <v>40</v>
      </c>
      <c r="N208" s="42">
        <v>3105</v>
      </c>
      <c r="O208" s="43">
        <v>17.27</v>
      </c>
      <c r="P208" s="16">
        <f>VLOOKUP(A208,'[3]Price info'!A:H,8,FALSE)</f>
        <v>18.331390000000003</v>
      </c>
      <c r="Q208" s="52">
        <f t="shared" si="13"/>
        <v>0.93100000000000005</v>
      </c>
      <c r="R208" s="40"/>
      <c r="S208" s="16">
        <f>VLOOKUP(A208,[4]Sales!$E:$G,3,FALSE)</f>
        <v>934.82</v>
      </c>
      <c r="T208" s="19">
        <f>VLOOKUP(A208,[4]Volume!$E:$G,3,FALSE)</f>
        <v>305</v>
      </c>
      <c r="U208" s="19">
        <f>VLOOKUP(A208,[4]Piece!$E:$G,3,FALSE)</f>
        <v>61</v>
      </c>
      <c r="V208" s="21">
        <f t="shared" si="14"/>
        <v>1118.2147900000002</v>
      </c>
      <c r="W208" s="16">
        <f t="shared" si="15"/>
        <v>183.39479000000017</v>
      </c>
    </row>
    <row r="209" spans="1:23" hidden="1" x14ac:dyDescent="0.3">
      <c r="A209" s="22" t="s">
        <v>437</v>
      </c>
      <c r="B209" s="22" t="s">
        <v>437</v>
      </c>
      <c r="C209" s="23" t="s">
        <v>33</v>
      </c>
      <c r="D209" s="20" t="s">
        <v>34</v>
      </c>
      <c r="E209" s="22" t="s">
        <v>438</v>
      </c>
      <c r="F209" s="24" t="str">
        <f t="shared" si="12"/>
        <v>PPG - Leyland VINYL MATT - Mix - 5ltr</v>
      </c>
      <c r="G209" s="23" t="s">
        <v>5087</v>
      </c>
      <c r="H209" s="25" t="s">
        <v>36</v>
      </c>
      <c r="I209" s="18" t="s">
        <v>37</v>
      </c>
      <c r="J209" s="18" t="s">
        <v>38</v>
      </c>
      <c r="K209" t="s">
        <v>39</v>
      </c>
      <c r="L209" s="26">
        <f>VLOOKUP(A209,'[3]Price info'!A:D,4,FALSE)</f>
        <v>10.38</v>
      </c>
      <c r="M209" s="18" t="s">
        <v>40</v>
      </c>
      <c r="N209" s="20">
        <v>3105</v>
      </c>
      <c r="P209" s="16">
        <f>VLOOKUP(A209,'[3]Price info'!A:H,8,FALSE)</f>
        <v>9.86</v>
      </c>
      <c r="Q209" s="27">
        <f t="shared" si="13"/>
        <v>0.94990366088631972</v>
      </c>
      <c r="S209" s="16">
        <f>VLOOKUP(A209,[4]Sales!$E:$G,3,FALSE)</f>
        <v>1196.5099999999998</v>
      </c>
      <c r="T209" s="19">
        <f>VLOOKUP(A209,[4]Volume!$E:$G,3,FALSE)</f>
        <v>590</v>
      </c>
      <c r="U209" s="19">
        <f>VLOOKUP(A209,[4]Piece!$E:$G,3,FALSE)</f>
        <v>118</v>
      </c>
      <c r="V209" s="21">
        <f t="shared" si="14"/>
        <v>1163.48</v>
      </c>
      <c r="W209" s="16">
        <f t="shared" si="15"/>
        <v>-33.029999999999745</v>
      </c>
    </row>
    <row r="210" spans="1:23" hidden="1" x14ac:dyDescent="0.3">
      <c r="A210" s="22" t="s">
        <v>439</v>
      </c>
      <c r="B210" s="22" t="s">
        <v>439</v>
      </c>
      <c r="C210" s="23" t="s">
        <v>33</v>
      </c>
      <c r="D210" s="20" t="s">
        <v>34</v>
      </c>
      <c r="E210" s="22" t="s">
        <v>440</v>
      </c>
      <c r="F210" s="24" t="str">
        <f t="shared" si="12"/>
        <v>PPG - Leyland ACRYLIC EGGSHELL   - Magnolia - 5ltr</v>
      </c>
      <c r="G210" s="23" t="s">
        <v>5088</v>
      </c>
      <c r="H210" s="25" t="s">
        <v>36</v>
      </c>
      <c r="I210" s="18" t="s">
        <v>37</v>
      </c>
      <c r="J210" s="18" t="s">
        <v>38</v>
      </c>
      <c r="K210" t="s">
        <v>39</v>
      </c>
      <c r="L210" s="26">
        <f>VLOOKUP(A210,'[3]Price info'!A:D,4,FALSE)</f>
        <v>18.02</v>
      </c>
      <c r="M210" s="18" t="s">
        <v>40</v>
      </c>
      <c r="N210" s="20">
        <v>3105</v>
      </c>
      <c r="P210" s="16">
        <f>VLOOKUP(A210,'[3]Price info'!A:H,8,FALSE)</f>
        <v>16.7348</v>
      </c>
      <c r="Q210" s="27">
        <f t="shared" si="13"/>
        <v>0.92867924528301893</v>
      </c>
      <c r="S210" s="16">
        <f>VLOOKUP(A210,[4]Sales!$E:$G,3,FALSE)</f>
        <v>955.97</v>
      </c>
      <c r="T210" s="19">
        <f>VLOOKUP(A210,[4]Volume!$E:$G,3,FALSE)</f>
        <v>270</v>
      </c>
      <c r="U210" s="19">
        <f>VLOOKUP(A210,[4]Piece!$E:$G,3,FALSE)</f>
        <v>54</v>
      </c>
      <c r="V210" s="21">
        <f t="shared" si="14"/>
        <v>903.67920000000004</v>
      </c>
      <c r="W210" s="16">
        <f t="shared" si="15"/>
        <v>-52.29079999999999</v>
      </c>
    </row>
    <row r="211" spans="1:23" hidden="1" x14ac:dyDescent="0.3">
      <c r="A211" s="22" t="s">
        <v>441</v>
      </c>
      <c r="B211" s="22" t="s">
        <v>441</v>
      </c>
      <c r="C211" s="23" t="s">
        <v>33</v>
      </c>
      <c r="D211" s="20" t="s">
        <v>34</v>
      </c>
      <c r="E211" s="22" t="s">
        <v>442</v>
      </c>
      <c r="F211" s="24" t="str">
        <f t="shared" si="12"/>
        <v>PPG - Johnstones AQUA UNDERCOAT - DK GRY - 5ltr</v>
      </c>
      <c r="G211" s="23" t="s">
        <v>5089</v>
      </c>
      <c r="H211" s="25" t="s">
        <v>36</v>
      </c>
      <c r="I211" s="18" t="s">
        <v>37</v>
      </c>
      <c r="J211" s="18" t="s">
        <v>38</v>
      </c>
      <c r="K211" t="s">
        <v>39</v>
      </c>
      <c r="L211" s="26">
        <f>VLOOKUP(A211,'[3]Price info'!A:D,4,FALSE)</f>
        <v>31.1</v>
      </c>
      <c r="M211" s="18" t="s">
        <v>40</v>
      </c>
      <c r="N211" s="20">
        <v>3105</v>
      </c>
      <c r="P211" s="16">
        <f>VLOOKUP(A211,'[3]Price info'!A:H,8,FALSE)</f>
        <v>31.1</v>
      </c>
      <c r="Q211" s="27">
        <f t="shared" si="13"/>
        <v>1</v>
      </c>
      <c r="S211" s="16">
        <f>VLOOKUP(A211,[4]Sales!$E:$G,3,FALSE)</f>
        <v>1108.2000000000003</v>
      </c>
      <c r="T211" s="19">
        <f>VLOOKUP(A211,[4]Volume!$E:$G,3,FALSE)</f>
        <v>180</v>
      </c>
      <c r="U211" s="19">
        <f>VLOOKUP(A211,[4]Piece!$E:$G,3,FALSE)</f>
        <v>36</v>
      </c>
      <c r="V211" s="21">
        <f t="shared" si="14"/>
        <v>1119.6000000000001</v>
      </c>
      <c r="W211" s="16">
        <f t="shared" si="15"/>
        <v>11.399999999999864</v>
      </c>
    </row>
    <row r="212" spans="1:23" hidden="1" x14ac:dyDescent="0.3">
      <c r="A212" s="22" t="s">
        <v>443</v>
      </c>
      <c r="B212" s="22" t="s">
        <v>443</v>
      </c>
      <c r="C212" s="23" t="s">
        <v>33</v>
      </c>
      <c r="D212" s="20" t="s">
        <v>34</v>
      </c>
      <c r="E212" s="22" t="s">
        <v>444</v>
      </c>
      <c r="F212" s="24" t="str">
        <f t="shared" si="12"/>
        <v>PPG - Johnstones COVAPLUS - Mix - 2.5ltr</v>
      </c>
      <c r="G212" s="23" t="s">
        <v>5090</v>
      </c>
      <c r="H212" s="25" t="s">
        <v>36</v>
      </c>
      <c r="I212" s="18" t="s">
        <v>37</v>
      </c>
      <c r="J212" s="18" t="s">
        <v>38</v>
      </c>
      <c r="K212" t="s">
        <v>39</v>
      </c>
      <c r="L212" s="26">
        <f>VLOOKUP(A212,'[3]Price info'!A:D,4,FALSE)</f>
        <v>9.44</v>
      </c>
      <c r="M212" s="18" t="s">
        <v>40</v>
      </c>
      <c r="N212" s="20">
        <v>3105</v>
      </c>
      <c r="P212" s="16">
        <f>VLOOKUP(A212,'[3]Price info'!A:H,8,FALSE)</f>
        <v>6.57</v>
      </c>
      <c r="Q212" s="27">
        <f t="shared" si="13"/>
        <v>0.69597457627118653</v>
      </c>
      <c r="S212" s="16">
        <f>VLOOKUP(A212,[4]Sales!$E:$G,3,FALSE)</f>
        <v>1714.9799999999998</v>
      </c>
      <c r="T212" s="19">
        <f>VLOOKUP(A212,[4]Volume!$E:$G,3,FALSE)</f>
        <v>547.5</v>
      </c>
      <c r="U212" s="19">
        <f>VLOOKUP(A212,[4]Piece!$E:$G,3,FALSE)</f>
        <v>219</v>
      </c>
      <c r="V212" s="21">
        <f t="shared" si="14"/>
        <v>1438.8300000000002</v>
      </c>
      <c r="W212" s="16">
        <f t="shared" si="15"/>
        <v>-276.14999999999964</v>
      </c>
    </row>
    <row r="213" spans="1:23" hidden="1" x14ac:dyDescent="0.3">
      <c r="A213" s="22" t="s">
        <v>445</v>
      </c>
      <c r="B213" s="22" t="s">
        <v>445</v>
      </c>
      <c r="C213" s="23" t="s">
        <v>33</v>
      </c>
      <c r="D213" s="20" t="s">
        <v>34</v>
      </c>
      <c r="E213" s="22" t="s">
        <v>446</v>
      </c>
      <c r="F213" s="24" t="str">
        <f t="shared" si="12"/>
        <v>PPG - Johnstones FLAME RET ACRYLIC EGGSHELL BW 5l</v>
      </c>
      <c r="G213" s="23" t="s">
        <v>5091</v>
      </c>
      <c r="H213" s="25" t="s">
        <v>36</v>
      </c>
      <c r="I213" s="18" t="s">
        <v>37</v>
      </c>
      <c r="J213" s="18" t="s">
        <v>38</v>
      </c>
      <c r="K213" t="s">
        <v>39</v>
      </c>
      <c r="L213" s="26">
        <f>VLOOKUP(A213,'[3]Price info'!A:D,4,FALSE)</f>
        <v>40.590000000000003</v>
      </c>
      <c r="M213" s="18" t="s">
        <v>40</v>
      </c>
      <c r="N213" s="20">
        <v>3105</v>
      </c>
      <c r="P213" s="16">
        <f>VLOOKUP(A213,'[3]Price info'!A:H,8,FALSE)</f>
        <v>40.590000000000003</v>
      </c>
      <c r="Q213" s="27">
        <f t="shared" si="13"/>
        <v>1</v>
      </c>
      <c r="S213" s="16">
        <f>VLOOKUP(A213,[4]Sales!$E:$G,3,FALSE)</f>
        <v>3003.66</v>
      </c>
      <c r="T213" s="19">
        <f>VLOOKUP(A213,[4]Volume!$E:$G,3,FALSE)</f>
        <v>370</v>
      </c>
      <c r="U213" s="19">
        <f>VLOOKUP(A213,[4]Piece!$E:$G,3,FALSE)</f>
        <v>74</v>
      </c>
      <c r="V213" s="21">
        <f t="shared" si="14"/>
        <v>3003.6600000000003</v>
      </c>
      <c r="W213" s="16">
        <f t="shared" si="15"/>
        <v>0</v>
      </c>
    </row>
    <row r="214" spans="1:23" hidden="1" x14ac:dyDescent="0.3">
      <c r="A214" s="53" t="s">
        <v>447</v>
      </c>
      <c r="B214" s="54" t="s">
        <v>447</v>
      </c>
      <c r="C214" s="47" t="s">
        <v>33</v>
      </c>
      <c r="D214" s="48" t="s">
        <v>34</v>
      </c>
      <c r="E214" s="22" t="s">
        <v>448</v>
      </c>
      <c r="F214" s="24" t="str">
        <f t="shared" si="12"/>
        <v>PPG - ProGold MICROFIBRE ROLLER 4"</v>
      </c>
      <c r="G214" s="20" t="s">
        <v>5092</v>
      </c>
      <c r="H214" s="25" t="s">
        <v>36</v>
      </c>
      <c r="I214" s="18" t="s">
        <v>37</v>
      </c>
      <c r="J214" s="18" t="s">
        <v>38</v>
      </c>
      <c r="K214" t="s">
        <v>39</v>
      </c>
      <c r="L214" s="26">
        <f>VLOOKUP(A214,'[3]Price info'!A:D,4,FALSE)</f>
        <v>0.64</v>
      </c>
      <c r="M214" s="18" t="s">
        <v>214</v>
      </c>
      <c r="N214" s="20">
        <v>3105</v>
      </c>
      <c r="P214" s="16">
        <f>VLOOKUP(A214,'[3]Price info'!A:H,8,FALSE)</f>
        <v>0.59584000000000004</v>
      </c>
      <c r="Q214" s="27">
        <f t="shared" si="13"/>
        <v>0.93100000000000005</v>
      </c>
      <c r="S214" s="16">
        <f>VLOOKUP(A214,[4]Sales!$E:$G,3,FALSE)</f>
        <v>1965.1599999999999</v>
      </c>
      <c r="T214" s="19">
        <f>VLOOKUP(A214,[4]Volume!$E:$G,3,FALSE)</f>
        <v>3203</v>
      </c>
      <c r="U214" s="19">
        <f>VLOOKUP(A214,[4]Piece!$E:$G,3,FALSE)</f>
        <v>3203</v>
      </c>
      <c r="V214" s="21">
        <f t="shared" si="14"/>
        <v>1908.4755200000002</v>
      </c>
      <c r="W214" s="16">
        <f t="shared" si="15"/>
        <v>-56.684479999999667</v>
      </c>
    </row>
    <row r="215" spans="1:23" hidden="1" x14ac:dyDescent="0.3">
      <c r="A215" s="22" t="s">
        <v>449</v>
      </c>
      <c r="B215" s="22" t="s">
        <v>449</v>
      </c>
      <c r="C215" s="23" t="s">
        <v>33</v>
      </c>
      <c r="D215" s="20" t="s">
        <v>34</v>
      </c>
      <c r="E215" s="22" t="s">
        <v>450</v>
      </c>
      <c r="F215" s="24" t="str">
        <f t="shared" si="12"/>
        <v>PPG - Leyland ACRYLIC PRIMER U/COAT - White - 5ltr</v>
      </c>
      <c r="G215" s="23" t="s">
        <v>5093</v>
      </c>
      <c r="H215" s="25" t="s">
        <v>36</v>
      </c>
      <c r="I215" s="18" t="s">
        <v>37</v>
      </c>
      <c r="J215" s="18" t="s">
        <v>38</v>
      </c>
      <c r="K215" t="s">
        <v>39</v>
      </c>
      <c r="L215" s="26">
        <f>VLOOKUP(A215,'[3]Price info'!A:D,4,FALSE)</f>
        <v>15.7</v>
      </c>
      <c r="M215" s="18" t="s">
        <v>40</v>
      </c>
      <c r="N215" s="20">
        <v>3105</v>
      </c>
      <c r="P215" s="16">
        <f>VLOOKUP(A215,'[3]Price info'!A:H,8,FALSE)</f>
        <v>14.6167</v>
      </c>
      <c r="Q215" s="27">
        <f t="shared" si="13"/>
        <v>0.93100000000000005</v>
      </c>
      <c r="S215" s="16">
        <f>VLOOKUP(A215,[4]Sales!$E:$G,3,FALSE)</f>
        <v>333.76</v>
      </c>
      <c r="T215" s="19">
        <f>VLOOKUP(A215,[4]Volume!$E:$G,3,FALSE)</f>
        <v>110</v>
      </c>
      <c r="U215" s="19">
        <f>VLOOKUP(A215,[4]Piece!$E:$G,3,FALSE)</f>
        <v>22</v>
      </c>
      <c r="V215" s="21">
        <f t="shared" si="14"/>
        <v>321.56740000000002</v>
      </c>
      <c r="W215" s="16">
        <f t="shared" si="15"/>
        <v>-12.19259999999997</v>
      </c>
    </row>
    <row r="216" spans="1:23" hidden="1" x14ac:dyDescent="0.3">
      <c r="A216" s="22" t="s">
        <v>451</v>
      </c>
      <c r="B216" s="22" t="s">
        <v>451</v>
      </c>
      <c r="C216" s="23" t="s">
        <v>33</v>
      </c>
      <c r="D216" s="20" t="s">
        <v>34</v>
      </c>
      <c r="E216" s="22" t="s">
        <v>452</v>
      </c>
      <c r="F216" s="24" t="str">
        <f t="shared" si="12"/>
        <v>PPG - Leyland UNDERCOAT - Brilliant White - 5ltr</v>
      </c>
      <c r="G216" s="23" t="s">
        <v>5094</v>
      </c>
      <c r="H216" s="25" t="s">
        <v>36</v>
      </c>
      <c r="I216" s="18" t="s">
        <v>37</v>
      </c>
      <c r="J216" s="18" t="s">
        <v>38</v>
      </c>
      <c r="K216" t="s">
        <v>39</v>
      </c>
      <c r="L216" s="26">
        <f>VLOOKUP(A216,'[3]Price info'!A:D,4,FALSE)</f>
        <v>15.7</v>
      </c>
      <c r="M216" s="18" t="s">
        <v>40</v>
      </c>
      <c r="N216" s="20">
        <v>3105</v>
      </c>
      <c r="P216" s="16">
        <f>VLOOKUP(A216,'[3]Price info'!A:H,8,FALSE)</f>
        <v>18.463249999999995</v>
      </c>
      <c r="Q216" s="27">
        <f t="shared" si="13"/>
        <v>1.1760031847133756</v>
      </c>
      <c r="S216" s="16">
        <f>VLOOKUP(A216,[4]Sales!$E:$G,3,FALSE)</f>
        <v>219.8</v>
      </c>
      <c r="T216" s="19">
        <f>VLOOKUP(A216,[4]Volume!$E:$G,3,FALSE)</f>
        <v>70</v>
      </c>
      <c r="U216" s="19">
        <f>VLOOKUP(A216,[4]Piece!$E:$G,3,FALSE)</f>
        <v>14</v>
      </c>
      <c r="V216" s="21">
        <f t="shared" si="14"/>
        <v>258.48549999999994</v>
      </c>
      <c r="W216" s="16">
        <f t="shared" si="15"/>
        <v>38.685499999999934</v>
      </c>
    </row>
    <row r="217" spans="1:23" hidden="1" x14ac:dyDescent="0.3">
      <c r="A217" s="22" t="s">
        <v>453</v>
      </c>
      <c r="B217" s="22" t="s">
        <v>453</v>
      </c>
      <c r="C217" s="23" t="s">
        <v>33</v>
      </c>
      <c r="D217" s="20" t="s">
        <v>34</v>
      </c>
      <c r="E217" s="22" t="s">
        <v>454</v>
      </c>
      <c r="F217" s="24" t="str">
        <f t="shared" si="12"/>
        <v>PPG - ProGold HEAVY DUTY Multi Wipes - Pack 75</v>
      </c>
      <c r="G217" s="23" t="s">
        <v>5095</v>
      </c>
      <c r="H217" s="25" t="s">
        <v>36</v>
      </c>
      <c r="I217" s="18" t="s">
        <v>37</v>
      </c>
      <c r="J217" s="18" t="s">
        <v>38</v>
      </c>
      <c r="K217" t="s">
        <v>39</v>
      </c>
      <c r="L217" s="26">
        <f>VLOOKUP(A217,'[3]Price info'!A:D,4,FALSE)</f>
        <v>3.78</v>
      </c>
      <c r="M217" s="18" t="s">
        <v>40</v>
      </c>
      <c r="N217" s="20">
        <v>3105</v>
      </c>
      <c r="P217" s="16">
        <f>VLOOKUP(A217,'[3]Price info'!A:H,8,FALSE)</f>
        <v>3.51918</v>
      </c>
      <c r="Q217" s="27">
        <f t="shared" si="13"/>
        <v>0.93100000000000005</v>
      </c>
      <c r="S217" s="16">
        <f>VLOOKUP(A217,[4]Sales!$E:$G,3,FALSE)</f>
        <v>90.26</v>
      </c>
      <c r="T217" s="19">
        <f>VLOOKUP(A217,[4]Volume!$E:$G,3,FALSE)</f>
        <v>26</v>
      </c>
      <c r="U217" s="19">
        <f>VLOOKUP(A217,[4]Piece!$E:$G,3,FALSE)</f>
        <v>26</v>
      </c>
      <c r="V217" s="21">
        <f t="shared" si="14"/>
        <v>91.498679999999993</v>
      </c>
      <c r="W217" s="16">
        <f t="shared" si="15"/>
        <v>1.238679999999988</v>
      </c>
    </row>
    <row r="218" spans="1:23" hidden="1" x14ac:dyDescent="0.3">
      <c r="A218" s="22" t="s">
        <v>455</v>
      </c>
      <c r="B218" s="22" t="s">
        <v>455</v>
      </c>
      <c r="C218" s="23" t="s">
        <v>33</v>
      </c>
      <c r="D218" s="20" t="s">
        <v>34</v>
      </c>
      <c r="E218" s="22" t="s">
        <v>456</v>
      </c>
      <c r="F218" s="24" t="str">
        <f t="shared" si="12"/>
        <v>PPG - Johnstones SATIN WOODSTAIN - Med Oak - 5ltr</v>
      </c>
      <c r="G218" s="23" t="s">
        <v>5096</v>
      </c>
      <c r="H218" s="25" t="s">
        <v>36</v>
      </c>
      <c r="I218" s="18" t="s">
        <v>37</v>
      </c>
      <c r="J218" s="18" t="s">
        <v>38</v>
      </c>
      <c r="K218" t="s">
        <v>39</v>
      </c>
      <c r="L218" s="26">
        <f>VLOOKUP(A218,'[3]Price info'!A:D,4,FALSE)</f>
        <v>29.65</v>
      </c>
      <c r="M218" s="18" t="s">
        <v>40</v>
      </c>
      <c r="N218" s="20">
        <v>3105</v>
      </c>
      <c r="P218" s="16">
        <f>VLOOKUP(A218,'[3]Price info'!A:H,8,FALSE)</f>
        <v>27.604150000000001</v>
      </c>
      <c r="Q218" s="27">
        <f t="shared" si="13"/>
        <v>0.93100000000000005</v>
      </c>
      <c r="S218" s="16">
        <f>VLOOKUP(A218,[4]Sales!$E:$G,3,FALSE)</f>
        <v>383.4</v>
      </c>
      <c r="T218" s="19">
        <f>VLOOKUP(A218,[4]Volume!$E:$G,3,FALSE)</f>
        <v>65</v>
      </c>
      <c r="U218" s="19">
        <f>VLOOKUP(A218,[4]Piece!$E:$G,3,FALSE)</f>
        <v>13</v>
      </c>
      <c r="V218" s="21">
        <f t="shared" si="14"/>
        <v>358.85395</v>
      </c>
      <c r="W218" s="16">
        <f t="shared" si="15"/>
        <v>-24.54604999999998</v>
      </c>
    </row>
    <row r="219" spans="1:23" hidden="1" x14ac:dyDescent="0.3">
      <c r="A219" s="22" t="s">
        <v>457</v>
      </c>
      <c r="B219" s="22" t="s">
        <v>457</v>
      </c>
      <c r="C219" s="23" t="s">
        <v>33</v>
      </c>
      <c r="D219" s="20" t="s">
        <v>34</v>
      </c>
      <c r="E219" s="22" t="s">
        <v>458</v>
      </c>
      <c r="F219" s="24" t="str">
        <f t="shared" si="12"/>
        <v>PPG - Johnstones VINYL SILK - Magnolia - 10ltr</v>
      </c>
      <c r="G219" s="23" t="s">
        <v>5097</v>
      </c>
      <c r="H219" s="25" t="s">
        <v>36</v>
      </c>
      <c r="I219" s="18" t="s">
        <v>37</v>
      </c>
      <c r="J219" s="18" t="s">
        <v>38</v>
      </c>
      <c r="K219" t="s">
        <v>39</v>
      </c>
      <c r="L219" s="26">
        <f>VLOOKUP(A219,'[3]Price info'!A:D,4,FALSE)</f>
        <v>25.79</v>
      </c>
      <c r="M219" s="18" t="s">
        <v>40</v>
      </c>
      <c r="N219" s="20">
        <v>3105</v>
      </c>
      <c r="P219" s="16">
        <f>VLOOKUP(A219,'[3]Price info'!A:H,8,FALSE)</f>
        <v>34</v>
      </c>
      <c r="Q219" s="27">
        <f t="shared" si="13"/>
        <v>1.3183404420317952</v>
      </c>
      <c r="S219" s="16">
        <f>VLOOKUP(A219,[4]Sales!$E:$G,3,FALSE)</f>
        <v>565.05999999999995</v>
      </c>
      <c r="T219" s="19">
        <f>VLOOKUP(A219,[4]Volume!$E:$G,3,FALSE)</f>
        <v>200</v>
      </c>
      <c r="U219" s="19">
        <f>VLOOKUP(A219,[4]Piece!$E:$G,3,FALSE)</f>
        <v>20</v>
      </c>
      <c r="V219" s="21">
        <f t="shared" si="14"/>
        <v>680</v>
      </c>
      <c r="W219" s="16">
        <f t="shared" si="15"/>
        <v>114.94000000000005</v>
      </c>
    </row>
    <row r="220" spans="1:23" hidden="1" x14ac:dyDescent="0.3">
      <c r="A220" s="22" t="s">
        <v>459</v>
      </c>
      <c r="B220" s="22" t="s">
        <v>459</v>
      </c>
      <c r="C220" s="23" t="s">
        <v>33</v>
      </c>
      <c r="D220" s="20" t="s">
        <v>34</v>
      </c>
      <c r="E220" s="22" t="s">
        <v>460</v>
      </c>
      <c r="F220" s="24" t="str">
        <f t="shared" si="12"/>
        <v>PPG - Leyland ACRYLIC EGGSHELL - BW - 5ltr</v>
      </c>
      <c r="G220" s="23" t="s">
        <v>5098</v>
      </c>
      <c r="H220" s="25" t="s">
        <v>36</v>
      </c>
      <c r="I220" s="18" t="s">
        <v>37</v>
      </c>
      <c r="J220" s="18" t="s">
        <v>38</v>
      </c>
      <c r="K220" t="s">
        <v>39</v>
      </c>
      <c r="L220" s="26">
        <f>VLOOKUP(A220,'[3]Price info'!A:D,4,FALSE)</f>
        <v>18.02</v>
      </c>
      <c r="M220" s="18" t="s">
        <v>40</v>
      </c>
      <c r="N220" s="20">
        <v>3105</v>
      </c>
      <c r="P220" s="16">
        <f>VLOOKUP(A220,'[3]Price info'!A:H,8,FALSE)</f>
        <v>15.64</v>
      </c>
      <c r="Q220" s="27">
        <f t="shared" si="13"/>
        <v>0.86792452830188682</v>
      </c>
      <c r="S220" s="16">
        <f>VLOOKUP(A220,[4]Sales!$E:$G,3,FALSE)</f>
        <v>533.80000000000007</v>
      </c>
      <c r="T220" s="19">
        <f>VLOOKUP(A220,[4]Volume!$E:$G,3,FALSE)</f>
        <v>180</v>
      </c>
      <c r="U220" s="19">
        <f>VLOOKUP(A220,[4]Piece!$E:$G,3,FALSE)</f>
        <v>36</v>
      </c>
      <c r="V220" s="21">
        <f t="shared" si="14"/>
        <v>563.04</v>
      </c>
      <c r="W220" s="16">
        <f t="shared" si="15"/>
        <v>29.239999999999895</v>
      </c>
    </row>
    <row r="221" spans="1:23" hidden="1" x14ac:dyDescent="0.3">
      <c r="A221" s="46" t="s">
        <v>461</v>
      </c>
      <c r="B221" s="46" t="s">
        <v>461</v>
      </c>
      <c r="C221" s="51" t="s">
        <v>33</v>
      </c>
      <c r="D221" s="48" t="s">
        <v>34</v>
      </c>
      <c r="E221" s="18" t="s">
        <v>462</v>
      </c>
      <c r="F221" s="24" t="str">
        <f t="shared" si="12"/>
        <v>PPG - EWI   GALV ANGLE PLASTIC NOSE 3.0M 60MM</v>
      </c>
      <c r="G221" s="20" t="s">
        <v>5099</v>
      </c>
      <c r="H221" s="49" t="s">
        <v>213</v>
      </c>
      <c r="I221" s="18" t="s">
        <v>37</v>
      </c>
      <c r="J221" s="18" t="s">
        <v>38</v>
      </c>
      <c r="K221" t="s">
        <v>39</v>
      </c>
      <c r="L221" s="50">
        <f>VLOOKUP(A221,'[3]Price info'!A:D,4,FALSE)</f>
        <v>4.8</v>
      </c>
      <c r="M221" s="18" t="s">
        <v>214</v>
      </c>
      <c r="N221" s="20">
        <v>3105</v>
      </c>
      <c r="P221" s="16">
        <f>VLOOKUP(A221,'[3]Price info'!A:H,8,FALSE)</f>
        <v>4.8</v>
      </c>
      <c r="Q221" s="17">
        <f t="shared" si="13"/>
        <v>1</v>
      </c>
      <c r="S221" s="16" t="e">
        <f>VLOOKUP(A221,[4]Sales!$E:$G,3,FALSE)</f>
        <v>#N/A</v>
      </c>
      <c r="T221" s="19" t="e">
        <f>VLOOKUP(A221,[4]Volume!$E:$G,3,FALSE)</f>
        <v>#N/A</v>
      </c>
      <c r="U221" s="19" t="e">
        <f>VLOOKUP(A221,[4]Piece!$E:$G,3,FALSE)</f>
        <v>#N/A</v>
      </c>
      <c r="V221" s="21" t="e">
        <f t="shared" si="14"/>
        <v>#N/A</v>
      </c>
      <c r="W221" s="16" t="e">
        <f t="shared" si="15"/>
        <v>#N/A</v>
      </c>
    </row>
    <row r="222" spans="1:23" hidden="1" x14ac:dyDescent="0.3">
      <c r="A222" s="53" t="s">
        <v>463</v>
      </c>
      <c r="B222" s="54" t="s">
        <v>463</v>
      </c>
      <c r="C222" s="47" t="s">
        <v>33</v>
      </c>
      <c r="D222" s="48" t="s">
        <v>34</v>
      </c>
      <c r="E222" s="22" t="s">
        <v>464</v>
      </c>
      <c r="F222" s="24" t="str">
        <f t="shared" si="12"/>
        <v>PPG - ProGold WOVEN MEDIUM PILE ROLLER 9"</v>
      </c>
      <c r="G222" s="20" t="s">
        <v>5100</v>
      </c>
      <c r="H222" s="25" t="s">
        <v>36</v>
      </c>
      <c r="I222" s="18" t="s">
        <v>37</v>
      </c>
      <c r="J222" s="18" t="s">
        <v>38</v>
      </c>
      <c r="K222" t="s">
        <v>39</v>
      </c>
      <c r="L222" s="26">
        <f>VLOOKUP(A222,'[3]Price info'!A:D,4,FALSE)</f>
        <v>1.3</v>
      </c>
      <c r="M222" s="18" t="s">
        <v>214</v>
      </c>
      <c r="N222" s="20">
        <v>3105</v>
      </c>
      <c r="P222" s="16">
        <f>VLOOKUP(A222,'[3]Price info'!A:H,8,FALSE)</f>
        <v>1.2103000000000002</v>
      </c>
      <c r="Q222" s="27">
        <f t="shared" si="13"/>
        <v>0.93100000000000005</v>
      </c>
      <c r="S222" s="16">
        <f>VLOOKUP(A222,[4]Sales!$E:$G,3,FALSE)</f>
        <v>1166.5699999999988</v>
      </c>
      <c r="T222" s="19">
        <f>VLOOKUP(A222,[4]Volume!$E:$G,3,FALSE)</f>
        <v>984</v>
      </c>
      <c r="U222" s="19">
        <f>VLOOKUP(A222,[4]Piece!$E:$G,3,FALSE)</f>
        <v>984</v>
      </c>
      <c r="V222" s="21">
        <f t="shared" si="14"/>
        <v>1190.9352000000001</v>
      </c>
      <c r="W222" s="16">
        <f t="shared" si="15"/>
        <v>24.365200000001323</v>
      </c>
    </row>
    <row r="223" spans="1:23" hidden="1" x14ac:dyDescent="0.3">
      <c r="A223" s="22" t="s">
        <v>465</v>
      </c>
      <c r="B223" s="22" t="s">
        <v>465</v>
      </c>
      <c r="C223" s="23" t="s">
        <v>33</v>
      </c>
      <c r="D223" s="20" t="s">
        <v>34</v>
      </c>
      <c r="E223" s="22" t="s">
        <v>466</v>
      </c>
      <c r="F223" s="24" t="str">
        <f t="shared" si="12"/>
        <v>PPG - ProGold HEAVY DUTY ROLLER FRAME - 9"</v>
      </c>
      <c r="G223" s="23" t="s">
        <v>5101</v>
      </c>
      <c r="H223" s="25" t="s">
        <v>36</v>
      </c>
      <c r="I223" s="18" t="s">
        <v>37</v>
      </c>
      <c r="J223" s="18" t="s">
        <v>38</v>
      </c>
      <c r="K223" t="s">
        <v>39</v>
      </c>
      <c r="L223" s="26">
        <f>VLOOKUP(A223,'[3]Price info'!A:D,4,FALSE)</f>
        <v>2.4300000000000002</v>
      </c>
      <c r="M223" s="18" t="s">
        <v>40</v>
      </c>
      <c r="N223" s="20">
        <v>3105</v>
      </c>
      <c r="P223" s="16">
        <f>VLOOKUP(A223,'[3]Price info'!A:H,8,FALSE)</f>
        <v>3.0375000000000001</v>
      </c>
      <c r="Q223" s="27">
        <f t="shared" si="13"/>
        <v>1.25</v>
      </c>
      <c r="S223" s="16">
        <f>VLOOKUP(A223,[4]Sales!$E:$G,3,FALSE)</f>
        <v>2184.9499999999994</v>
      </c>
      <c r="T223" s="19">
        <f>VLOOKUP(A223,[4]Volume!$E:$G,3,FALSE)</f>
        <v>856</v>
      </c>
      <c r="U223" s="19">
        <f>VLOOKUP(A223,[4]Piece!$E:$G,3,FALSE)</f>
        <v>856</v>
      </c>
      <c r="V223" s="21">
        <f t="shared" si="14"/>
        <v>2600.1</v>
      </c>
      <c r="W223" s="16">
        <f t="shared" si="15"/>
        <v>415.15000000000055</v>
      </c>
    </row>
    <row r="224" spans="1:23" hidden="1" x14ac:dyDescent="0.3">
      <c r="A224" s="22" t="s">
        <v>467</v>
      </c>
      <c r="B224" s="22" t="s">
        <v>467</v>
      </c>
      <c r="C224" s="23" t="s">
        <v>33</v>
      </c>
      <c r="D224" s="20" t="s">
        <v>34</v>
      </c>
      <c r="E224" s="22" t="s">
        <v>468</v>
      </c>
      <c r="F224" s="24" t="str">
        <f t="shared" si="12"/>
        <v>PPG - Johnstones COVAPLUS - Magnolia - 5ltr</v>
      </c>
      <c r="G224" s="23" t="s">
        <v>5102</v>
      </c>
      <c r="H224" s="25" t="s">
        <v>36</v>
      </c>
      <c r="I224" s="18" t="s">
        <v>37</v>
      </c>
      <c r="J224" s="18" t="s">
        <v>38</v>
      </c>
      <c r="K224" t="s">
        <v>39</v>
      </c>
      <c r="L224" s="26">
        <f>VLOOKUP(A224,'[3]Price info'!A:D,4,FALSE)</f>
        <v>10.36</v>
      </c>
      <c r="M224" s="18" t="s">
        <v>40</v>
      </c>
      <c r="N224" s="20">
        <v>3105</v>
      </c>
      <c r="P224" s="16">
        <f>VLOOKUP(A224,'[3]Price info'!A:H,8,FALSE)</f>
        <v>9.9700000000000006</v>
      </c>
      <c r="Q224" s="27">
        <f t="shared" si="13"/>
        <v>0.96235521235521249</v>
      </c>
      <c r="S224" s="16">
        <f>VLOOKUP(A224,[4]Sales!$E:$G,3,FALSE)</f>
        <v>1519.5</v>
      </c>
      <c r="T224" s="19">
        <f>VLOOKUP(A224,[4]Volume!$E:$G,3,FALSE)</f>
        <v>755</v>
      </c>
      <c r="U224" s="19">
        <f>VLOOKUP(A224,[4]Piece!$E:$G,3,FALSE)</f>
        <v>151</v>
      </c>
      <c r="V224" s="21">
        <f t="shared" si="14"/>
        <v>1505.47</v>
      </c>
      <c r="W224" s="16">
        <f t="shared" si="15"/>
        <v>-14.029999999999973</v>
      </c>
    </row>
    <row r="225" spans="1:23" hidden="1" x14ac:dyDescent="0.3">
      <c r="A225" s="22" t="s">
        <v>469</v>
      </c>
      <c r="B225" s="22" t="s">
        <v>469</v>
      </c>
      <c r="C225" s="23" t="s">
        <v>33</v>
      </c>
      <c r="D225" s="20" t="s">
        <v>34</v>
      </c>
      <c r="E225" s="22" t="s">
        <v>470</v>
      </c>
      <c r="F225" s="24" t="str">
        <f t="shared" si="12"/>
        <v>PPG - Leyland TRUGARD PLIOLITE - Black - 5ltr</v>
      </c>
      <c r="G225" s="23" t="s">
        <v>5103</v>
      </c>
      <c r="H225" s="25" t="s">
        <v>36</v>
      </c>
      <c r="I225" s="18" t="s">
        <v>37</v>
      </c>
      <c r="J225" s="18" t="s">
        <v>38</v>
      </c>
      <c r="K225" t="s">
        <v>39</v>
      </c>
      <c r="L225" s="26">
        <f>VLOOKUP(A225,'[3]Price info'!A:D,4,FALSE)</f>
        <v>18.010000000000002</v>
      </c>
      <c r="M225" s="18" t="s">
        <v>40</v>
      </c>
      <c r="N225" s="20">
        <v>3105</v>
      </c>
      <c r="P225" s="16">
        <f>VLOOKUP(A225,'[3]Price info'!A:H,8,FALSE)</f>
        <v>21.612000000000002</v>
      </c>
      <c r="Q225" s="27">
        <f t="shared" si="13"/>
        <v>1.2</v>
      </c>
      <c r="S225" s="16">
        <f>VLOOKUP(A225,[4]Sales!$E:$G,3,FALSE)</f>
        <v>2161.7799999999997</v>
      </c>
      <c r="T225" s="19">
        <f>VLOOKUP(A225,[4]Volume!$E:$G,3,FALSE)</f>
        <v>590</v>
      </c>
      <c r="U225" s="19">
        <f>VLOOKUP(A225,[4]Piece!$E:$G,3,FALSE)</f>
        <v>118</v>
      </c>
      <c r="V225" s="21">
        <f t="shared" si="14"/>
        <v>2550.2160000000003</v>
      </c>
      <c r="W225" s="16">
        <f t="shared" si="15"/>
        <v>388.4360000000006</v>
      </c>
    </row>
    <row r="226" spans="1:23" hidden="1" x14ac:dyDescent="0.3">
      <c r="A226" s="55" t="s">
        <v>471</v>
      </c>
      <c r="B226" s="55" t="s">
        <v>471</v>
      </c>
      <c r="C226" s="47" t="s">
        <v>33</v>
      </c>
      <c r="D226" s="48" t="s">
        <v>34</v>
      </c>
      <c r="E226" s="22" t="s">
        <v>472</v>
      </c>
      <c r="F226" s="24" t="str">
        <f t="shared" si="12"/>
        <v>PPG - BLACKROCK PT LW GRIP GLOVE L/XL</v>
      </c>
      <c r="G226" s="20" t="s">
        <v>5104</v>
      </c>
      <c r="H226" s="49" t="s">
        <v>213</v>
      </c>
      <c r="I226" s="18" t="s">
        <v>37</v>
      </c>
      <c r="J226" s="18" t="s">
        <v>38</v>
      </c>
      <c r="K226" t="s">
        <v>39</v>
      </c>
      <c r="L226" s="26">
        <f>VLOOKUP(A226,'[3]Price info'!A:D,4,FALSE)</f>
        <v>6.6</v>
      </c>
      <c r="M226" s="18" t="s">
        <v>214</v>
      </c>
      <c r="N226" s="20">
        <v>3105</v>
      </c>
      <c r="P226" s="16">
        <f>VLOOKUP(A226,'[3]Price info'!A:H,8,FALSE)</f>
        <v>6.11</v>
      </c>
      <c r="Q226" s="17">
        <f t="shared" si="13"/>
        <v>0.92575757575757589</v>
      </c>
      <c r="S226" s="16">
        <f>VLOOKUP(A226,[4]Sales!$E:$G,3,FALSE)</f>
        <v>530.54000000000053</v>
      </c>
      <c r="T226" s="19">
        <f>VLOOKUP(A226,[4]Volume!$E:$G,3,FALSE)</f>
        <v>85</v>
      </c>
      <c r="U226" s="19">
        <f>VLOOKUP(A226,[4]Piece!$E:$G,3,FALSE)</f>
        <v>85</v>
      </c>
      <c r="V226" s="21">
        <f t="shared" si="14"/>
        <v>519.35</v>
      </c>
      <c r="W226" s="16">
        <f t="shared" si="15"/>
        <v>-11.190000000000509</v>
      </c>
    </row>
    <row r="227" spans="1:23" hidden="1" x14ac:dyDescent="0.3">
      <c r="A227" s="22" t="s">
        <v>473</v>
      </c>
      <c r="B227" s="22" t="s">
        <v>473</v>
      </c>
      <c r="C227" s="23" t="s">
        <v>33</v>
      </c>
      <c r="D227" s="20" t="s">
        <v>34</v>
      </c>
      <c r="E227" s="22" t="s">
        <v>474</v>
      </c>
      <c r="F227" s="24" t="str">
        <f t="shared" si="12"/>
        <v>PPG - Stormshield FLEXIBLE EX U/C - BW - 2.5ltr</v>
      </c>
      <c r="G227" s="23" t="s">
        <v>5105</v>
      </c>
      <c r="H227" s="25" t="s">
        <v>36</v>
      </c>
      <c r="I227" s="18" t="s">
        <v>37</v>
      </c>
      <c r="J227" s="18" t="s">
        <v>38</v>
      </c>
      <c r="K227" t="s">
        <v>39</v>
      </c>
      <c r="L227" s="26">
        <f>VLOOKUP(A227,'[3]Price info'!A:D,4,FALSE)</f>
        <v>22.54</v>
      </c>
      <c r="M227" s="18" t="s">
        <v>40</v>
      </c>
      <c r="N227" s="20">
        <v>3105</v>
      </c>
      <c r="P227" s="16">
        <f>VLOOKUP(A227,'[3]Price info'!A:H,8,FALSE)</f>
        <v>15</v>
      </c>
      <c r="Q227" s="27">
        <f t="shared" si="13"/>
        <v>0.66548358473824309</v>
      </c>
      <c r="S227" s="16">
        <f>VLOOKUP(A227,[4]Sales!$E:$G,3,FALSE)</f>
        <v>1592.1599999999999</v>
      </c>
      <c r="T227" s="19">
        <f>VLOOKUP(A227,[4]Volume!$E:$G,3,FALSE)</f>
        <v>197.5</v>
      </c>
      <c r="U227" s="19">
        <f>VLOOKUP(A227,[4]Piece!$E:$G,3,FALSE)</f>
        <v>79</v>
      </c>
      <c r="V227" s="21">
        <f t="shared" si="14"/>
        <v>1185</v>
      </c>
      <c r="W227" s="16">
        <f t="shared" si="15"/>
        <v>-407.15999999999985</v>
      </c>
    </row>
    <row r="228" spans="1:23" hidden="1" x14ac:dyDescent="0.3">
      <c r="A228" s="22" t="s">
        <v>475</v>
      </c>
      <c r="B228" s="22" t="s">
        <v>475</v>
      </c>
      <c r="C228" s="23" t="s">
        <v>33</v>
      </c>
      <c r="D228" s="20" t="s">
        <v>34</v>
      </c>
      <c r="E228" s="22" t="s">
        <v>476</v>
      </c>
      <c r="F228" s="24" t="str">
        <f t="shared" si="12"/>
        <v>PPG - Leyland CONTRACT MATT - Brill White - 10ltr</v>
      </c>
      <c r="G228" s="23" t="s">
        <v>5106</v>
      </c>
      <c r="H228" s="25" t="s">
        <v>36</v>
      </c>
      <c r="I228" s="18" t="s">
        <v>37</v>
      </c>
      <c r="J228" s="18" t="s">
        <v>38</v>
      </c>
      <c r="K228" t="s">
        <v>39</v>
      </c>
      <c r="L228" s="26">
        <f>VLOOKUP(A228,'[3]Price info'!A:D,4,FALSE)</f>
        <v>12.46</v>
      </c>
      <c r="M228" s="18" t="s">
        <v>40</v>
      </c>
      <c r="N228" s="20">
        <v>3105</v>
      </c>
      <c r="P228" s="16">
        <f>VLOOKUP(A228,'[3]Price info'!A:H,8,FALSE)</f>
        <v>11.600260000000002</v>
      </c>
      <c r="Q228" s="27">
        <f t="shared" si="13"/>
        <v>0.93100000000000016</v>
      </c>
      <c r="S228" s="16">
        <f>VLOOKUP(A228,[4]Sales!$E:$G,3,FALSE)</f>
        <v>2045.3800000000006</v>
      </c>
      <c r="T228" s="19">
        <f>VLOOKUP(A228,[4]Volume!$E:$G,3,FALSE)</f>
        <v>1810</v>
      </c>
      <c r="U228" s="19">
        <f>VLOOKUP(A228,[4]Piece!$E:$G,3,FALSE)</f>
        <v>181</v>
      </c>
      <c r="V228" s="21">
        <f t="shared" si="14"/>
        <v>2099.6470600000002</v>
      </c>
      <c r="W228" s="16">
        <f t="shared" si="15"/>
        <v>54.267059999999674</v>
      </c>
    </row>
    <row r="229" spans="1:23" hidden="1" x14ac:dyDescent="0.3">
      <c r="A229" s="46" t="s">
        <v>477</v>
      </c>
      <c r="B229" s="46" t="s">
        <v>477</v>
      </c>
      <c r="C229" s="47" t="s">
        <v>33</v>
      </c>
      <c r="D229" s="48" t="s">
        <v>34</v>
      </c>
      <c r="E229" s="18" t="s">
        <v>478</v>
      </c>
      <c r="F229" s="24" t="str">
        <f t="shared" si="12"/>
        <v>PPG - EWI   SDK U 45MM 100 PACK</v>
      </c>
      <c r="G229" s="20" t="s">
        <v>5107</v>
      </c>
      <c r="H229" s="49" t="s">
        <v>213</v>
      </c>
      <c r="I229" s="18" t="s">
        <v>37</v>
      </c>
      <c r="J229" s="18" t="s">
        <v>38</v>
      </c>
      <c r="K229" t="s">
        <v>39</v>
      </c>
      <c r="L229" s="50">
        <f>VLOOKUP(A229,'[3]Price info'!A:D,4,FALSE)</f>
        <v>18.98</v>
      </c>
      <c r="M229" s="18" t="s">
        <v>214</v>
      </c>
      <c r="N229" s="20">
        <v>3105</v>
      </c>
      <c r="P229" s="16">
        <f>VLOOKUP(A229,'[3]Price info'!A:H,8,FALSE)</f>
        <v>18.98</v>
      </c>
      <c r="Q229" s="17">
        <f t="shared" si="13"/>
        <v>1</v>
      </c>
      <c r="S229" s="16" t="e">
        <f>VLOOKUP(A229,[4]Sales!$E:$G,3,FALSE)</f>
        <v>#N/A</v>
      </c>
      <c r="T229" s="19" t="e">
        <f>VLOOKUP(A229,[4]Volume!$E:$G,3,FALSE)</f>
        <v>#N/A</v>
      </c>
      <c r="U229" s="19" t="e">
        <f>VLOOKUP(A229,[4]Piece!$E:$G,3,FALSE)</f>
        <v>#N/A</v>
      </c>
      <c r="V229" s="21" t="e">
        <f t="shared" si="14"/>
        <v>#N/A</v>
      </c>
      <c r="W229" s="16" t="e">
        <f t="shared" si="15"/>
        <v>#N/A</v>
      </c>
    </row>
    <row r="230" spans="1:23" hidden="1" x14ac:dyDescent="0.3">
      <c r="A230" s="22" t="s">
        <v>479</v>
      </c>
      <c r="B230" s="22" t="s">
        <v>479</v>
      </c>
      <c r="C230" s="23" t="s">
        <v>33</v>
      </c>
      <c r="D230" s="20" t="s">
        <v>34</v>
      </c>
      <c r="E230" s="22" t="s">
        <v>480</v>
      </c>
      <c r="F230" s="24" t="str">
        <f t="shared" si="12"/>
        <v>PPG - Johnstones QD OPAQUE - White - 5ltr</v>
      </c>
      <c r="G230" s="23" t="s">
        <v>5108</v>
      </c>
      <c r="H230" s="25" t="s">
        <v>36</v>
      </c>
      <c r="I230" s="18" t="s">
        <v>37</v>
      </c>
      <c r="J230" s="18" t="s">
        <v>38</v>
      </c>
      <c r="K230" t="s">
        <v>39</v>
      </c>
      <c r="L230" s="26">
        <f>VLOOKUP(A230,'[3]Price info'!A:D,4,FALSE)</f>
        <v>25.08</v>
      </c>
      <c r="M230" s="18" t="s">
        <v>40</v>
      </c>
      <c r="N230" s="20">
        <v>3105</v>
      </c>
      <c r="P230" s="16">
        <f>VLOOKUP(A230,'[3]Price info'!A:H,8,FALSE)</f>
        <v>23.34948</v>
      </c>
      <c r="Q230" s="27">
        <f t="shared" si="13"/>
        <v>0.93100000000000005</v>
      </c>
      <c r="S230" s="16">
        <f>VLOOKUP(A230,[4]Sales!$E:$G,3,FALSE)</f>
        <v>3229.0399999999954</v>
      </c>
      <c r="T230" s="19">
        <f>VLOOKUP(A230,[4]Volume!$E:$G,3,FALSE)</f>
        <v>665</v>
      </c>
      <c r="U230" s="19">
        <f>VLOOKUP(A230,[4]Piece!$E:$G,3,FALSE)</f>
        <v>133</v>
      </c>
      <c r="V230" s="21">
        <f t="shared" si="14"/>
        <v>3105.4808400000002</v>
      </c>
      <c r="W230" s="16">
        <f t="shared" si="15"/>
        <v>-123.55915999999525</v>
      </c>
    </row>
    <row r="231" spans="1:23" hidden="1" x14ac:dyDescent="0.3">
      <c r="A231" s="22" t="s">
        <v>481</v>
      </c>
      <c r="B231" s="22" t="s">
        <v>481</v>
      </c>
      <c r="C231" s="23" t="s">
        <v>33</v>
      </c>
      <c r="D231" s="20" t="s">
        <v>34</v>
      </c>
      <c r="E231" s="22" t="s">
        <v>482</v>
      </c>
      <c r="F231" s="24" t="str">
        <f t="shared" si="12"/>
        <v>PPG - Johnstones EGGSHELL - Mix - 5ltr</v>
      </c>
      <c r="G231" s="23" t="s">
        <v>5109</v>
      </c>
      <c r="H231" s="25" t="s">
        <v>36</v>
      </c>
      <c r="I231" s="18" t="s">
        <v>37</v>
      </c>
      <c r="J231" s="18" t="s">
        <v>38</v>
      </c>
      <c r="K231" t="s">
        <v>39</v>
      </c>
      <c r="L231" s="26">
        <f>VLOOKUP(A231,'[3]Price info'!A:D,4,FALSE)</f>
        <v>21.53</v>
      </c>
      <c r="M231" s="18" t="s">
        <v>40</v>
      </c>
      <c r="N231" s="20">
        <v>3105</v>
      </c>
      <c r="P231" s="16">
        <f>VLOOKUP(A231,'[3]Price info'!A:H,8,FALSE)</f>
        <v>23.683000000000003</v>
      </c>
      <c r="Q231" s="27">
        <f t="shared" si="13"/>
        <v>1.1000000000000001</v>
      </c>
      <c r="S231" s="16">
        <f>VLOOKUP(A231,[4]Sales!$E:$G,3,FALSE)</f>
        <v>1790.2299999999996</v>
      </c>
      <c r="T231" s="19">
        <f>VLOOKUP(A231,[4]Volume!$E:$G,3,FALSE)</f>
        <v>410</v>
      </c>
      <c r="U231" s="19">
        <f>VLOOKUP(A231,[4]Piece!$E:$G,3,FALSE)</f>
        <v>82</v>
      </c>
      <c r="V231" s="21">
        <f t="shared" si="14"/>
        <v>1942.0060000000003</v>
      </c>
      <c r="W231" s="16">
        <f t="shared" si="15"/>
        <v>151.77600000000075</v>
      </c>
    </row>
    <row r="232" spans="1:23" hidden="1" x14ac:dyDescent="0.3">
      <c r="A232" s="22" t="s">
        <v>483</v>
      </c>
      <c r="B232" s="22" t="s">
        <v>483</v>
      </c>
      <c r="C232" s="23" t="s">
        <v>33</v>
      </c>
      <c r="D232" s="20" t="s">
        <v>34</v>
      </c>
      <c r="E232" s="22" t="s">
        <v>484</v>
      </c>
      <c r="F232" s="24" t="str">
        <f t="shared" si="12"/>
        <v>PPG - ProGold EXTENSION POLE 4'-8'</v>
      </c>
      <c r="G232" s="23" t="s">
        <v>5110</v>
      </c>
      <c r="H232" s="25" t="s">
        <v>36</v>
      </c>
      <c r="I232" s="18" t="s">
        <v>37</v>
      </c>
      <c r="J232" s="18" t="s">
        <v>38</v>
      </c>
      <c r="K232" t="s">
        <v>39</v>
      </c>
      <c r="L232" s="26">
        <f>VLOOKUP(A232,'[3]Price info'!A:D,4,FALSE)</f>
        <v>11.92</v>
      </c>
      <c r="M232" s="18" t="s">
        <v>40</v>
      </c>
      <c r="N232" s="20">
        <v>3105</v>
      </c>
      <c r="P232" s="16">
        <f>VLOOKUP(A232,'[3]Price info'!A:H,8,FALSE)</f>
        <v>11.92</v>
      </c>
      <c r="Q232" s="27">
        <f t="shared" si="13"/>
        <v>1</v>
      </c>
      <c r="S232" s="16">
        <f>VLOOKUP(A232,[4]Sales!$E:$G,3,FALSE)</f>
        <v>1142.1300000000001</v>
      </c>
      <c r="T232" s="19">
        <f>VLOOKUP(A232,[4]Volume!$E:$G,3,FALSE)</f>
        <v>97</v>
      </c>
      <c r="U232" s="19">
        <f>VLOOKUP(A232,[4]Piece!$E:$G,3,FALSE)</f>
        <v>97</v>
      </c>
      <c r="V232" s="21">
        <f t="shared" si="14"/>
        <v>1156.24</v>
      </c>
      <c r="W232" s="16">
        <f t="shared" si="15"/>
        <v>14.1099999999999</v>
      </c>
    </row>
    <row r="233" spans="1:23" hidden="1" x14ac:dyDescent="0.3">
      <c r="A233" s="22" t="s">
        <v>485</v>
      </c>
      <c r="B233" s="22" t="s">
        <v>485</v>
      </c>
      <c r="C233" s="23" t="s">
        <v>33</v>
      </c>
      <c r="D233" s="20" t="s">
        <v>34</v>
      </c>
      <c r="E233" s="22" t="s">
        <v>486</v>
      </c>
      <c r="F233" s="24" t="str">
        <f t="shared" si="12"/>
        <v>PPG - Johnstones PRO UNDERCOAT - Dark Grey - 5ltr</v>
      </c>
      <c r="G233" s="23" t="s">
        <v>5111</v>
      </c>
      <c r="H233" s="25" t="s">
        <v>36</v>
      </c>
      <c r="I233" s="18" t="s">
        <v>37</v>
      </c>
      <c r="J233" s="18" t="s">
        <v>38</v>
      </c>
      <c r="K233" t="s">
        <v>39</v>
      </c>
      <c r="L233" s="26">
        <f>VLOOKUP(A233,'[3]Price info'!A:D,4,FALSE)</f>
        <v>18.350000000000001</v>
      </c>
      <c r="M233" s="18" t="s">
        <v>40</v>
      </c>
      <c r="N233" s="20">
        <v>3105</v>
      </c>
      <c r="P233" s="16">
        <f>VLOOKUP(A233,'[3]Price info'!A:H,8,FALSE)</f>
        <v>25.69</v>
      </c>
      <c r="Q233" s="27">
        <f t="shared" si="13"/>
        <v>1.4</v>
      </c>
      <c r="S233" s="16">
        <f>VLOOKUP(A233,[4]Sales!$E:$G,3,FALSE)</f>
        <v>1306.52</v>
      </c>
      <c r="T233" s="19">
        <f>VLOOKUP(A233,[4]Volume!$E:$G,3,FALSE)</f>
        <v>300</v>
      </c>
      <c r="U233" s="19">
        <f>VLOOKUP(A233,[4]Piece!$E:$G,3,FALSE)</f>
        <v>60</v>
      </c>
      <c r="V233" s="21">
        <f t="shared" si="14"/>
        <v>1541.4</v>
      </c>
      <c r="W233" s="16">
        <f t="shared" si="15"/>
        <v>234.88000000000011</v>
      </c>
    </row>
    <row r="234" spans="1:23" hidden="1" x14ac:dyDescent="0.3">
      <c r="A234" s="22" t="s">
        <v>487</v>
      </c>
      <c r="B234" s="22" t="s">
        <v>487</v>
      </c>
      <c r="C234" s="23" t="s">
        <v>33</v>
      </c>
      <c r="D234" s="20" t="s">
        <v>34</v>
      </c>
      <c r="E234" s="22" t="s">
        <v>488</v>
      </c>
      <c r="F234" s="24" t="str">
        <f t="shared" si="12"/>
        <v>PPG - Johstones STEEL &amp; CLADDING - Black - 5ltr</v>
      </c>
      <c r="G234" s="23" t="s">
        <v>5112</v>
      </c>
      <c r="H234" s="25" t="s">
        <v>36</v>
      </c>
      <c r="I234" s="18" t="s">
        <v>37</v>
      </c>
      <c r="J234" s="18" t="s">
        <v>38</v>
      </c>
      <c r="K234" t="s">
        <v>39</v>
      </c>
      <c r="L234" s="26">
        <f>VLOOKUP(A234,'[3]Price info'!A:D,4,FALSE)</f>
        <v>58.58</v>
      </c>
      <c r="M234" s="18" t="s">
        <v>40</v>
      </c>
      <c r="N234" s="20">
        <v>3105</v>
      </c>
      <c r="P234" s="16">
        <f>VLOOKUP(A234,'[3]Price info'!A:H,8,FALSE)</f>
        <v>52</v>
      </c>
      <c r="Q234" s="27">
        <f t="shared" si="13"/>
        <v>0.88767497439399112</v>
      </c>
      <c r="S234" s="16">
        <f>VLOOKUP(A234,[4]Sales!$E:$G,3,FALSE)</f>
        <v>410.06</v>
      </c>
      <c r="T234" s="19">
        <f>VLOOKUP(A234,[4]Volume!$E:$G,3,FALSE)</f>
        <v>35</v>
      </c>
      <c r="U234" s="19">
        <f>VLOOKUP(A234,[4]Piece!$E:$G,3,FALSE)</f>
        <v>7</v>
      </c>
      <c r="V234" s="21">
        <f t="shared" si="14"/>
        <v>364</v>
      </c>
      <c r="W234" s="16">
        <f t="shared" si="15"/>
        <v>-46.06</v>
      </c>
    </row>
    <row r="235" spans="1:23" hidden="1" x14ac:dyDescent="0.3">
      <c r="A235" s="53" t="s">
        <v>489</v>
      </c>
      <c r="B235" s="54" t="s">
        <v>489</v>
      </c>
      <c r="C235" s="47" t="s">
        <v>33</v>
      </c>
      <c r="D235" s="48" t="s">
        <v>34</v>
      </c>
      <c r="E235" s="22" t="s">
        <v>490</v>
      </c>
      <c r="F235" s="24" t="str">
        <f t="shared" si="12"/>
        <v>PPG - ProGold SMOOTH ROLLER 4"</v>
      </c>
      <c r="G235" s="20" t="s">
        <v>5113</v>
      </c>
      <c r="H235" s="25" t="s">
        <v>36</v>
      </c>
      <c r="I235" s="18" t="s">
        <v>37</v>
      </c>
      <c r="J235" s="18" t="s">
        <v>38</v>
      </c>
      <c r="K235" t="s">
        <v>39</v>
      </c>
      <c r="L235" s="26">
        <f>VLOOKUP(A235,'[3]Price info'!A:D,4,FALSE)</f>
        <v>1.1399999999999999</v>
      </c>
      <c r="M235" s="18" t="s">
        <v>214</v>
      </c>
      <c r="N235" s="20">
        <v>3105</v>
      </c>
      <c r="P235" s="16">
        <f>VLOOKUP(A235,'[3]Price info'!A:H,8,FALSE)</f>
        <v>1.06134</v>
      </c>
      <c r="Q235" s="27">
        <f t="shared" si="13"/>
        <v>0.93100000000000005</v>
      </c>
      <c r="S235" s="16">
        <f>VLOOKUP(A235,[4]Sales!$E:$G,3,FALSE)</f>
        <v>1397.649999999999</v>
      </c>
      <c r="T235" s="19">
        <f>VLOOKUP(A235,[4]Volume!$E:$G,3,FALSE)</f>
        <v>1301</v>
      </c>
      <c r="U235" s="19">
        <f>VLOOKUP(A235,[4]Piece!$E:$G,3,FALSE)</f>
        <v>1301</v>
      </c>
      <c r="V235" s="21">
        <f t="shared" si="14"/>
        <v>1380.8033399999999</v>
      </c>
      <c r="W235" s="16">
        <f t="shared" si="15"/>
        <v>-16.846659999999019</v>
      </c>
    </row>
    <row r="236" spans="1:23" hidden="1" x14ac:dyDescent="0.3">
      <c r="A236" s="53" t="s">
        <v>491</v>
      </c>
      <c r="B236" s="54" t="s">
        <v>491</v>
      </c>
      <c r="C236" s="47" t="s">
        <v>33</v>
      </c>
      <c r="D236" s="48" t="s">
        <v>34</v>
      </c>
      <c r="E236" s="22" t="s">
        <v>492</v>
      </c>
      <c r="F236" s="24" t="str">
        <f t="shared" si="12"/>
        <v>PPG - ProGold DEC CAULK WHITE 380ml</v>
      </c>
      <c r="G236" s="20" t="s">
        <v>5114</v>
      </c>
      <c r="H236" s="25" t="s">
        <v>36</v>
      </c>
      <c r="I236" s="18" t="s">
        <v>37</v>
      </c>
      <c r="J236" s="18" t="s">
        <v>38</v>
      </c>
      <c r="K236" t="s">
        <v>39</v>
      </c>
      <c r="L236" s="26">
        <f>VLOOKUP(A236,'[3]Price info'!A:D,4,FALSE)</f>
        <v>0.93</v>
      </c>
      <c r="M236" s="18" t="s">
        <v>214</v>
      </c>
      <c r="N236" s="20">
        <v>3105</v>
      </c>
      <c r="P236" s="16">
        <f>VLOOKUP(A236,'[3]Price info'!A:H,8,FALSE)</f>
        <v>0.93</v>
      </c>
      <c r="Q236" s="27">
        <f t="shared" si="13"/>
        <v>1</v>
      </c>
      <c r="S236" s="16">
        <f>VLOOKUP(A236,[4]Sales!$E:$G,3,FALSE)</f>
        <v>6481.9799999999786</v>
      </c>
      <c r="T236" s="19">
        <f>VLOOKUP(A236,[4]Volume!$E:$G,3,FALSE)</f>
        <v>2686.6000000000276</v>
      </c>
      <c r="U236" s="19">
        <f>VLOOKUP(A236,[4]Piece!$E:$G,3,FALSE)</f>
        <v>7070</v>
      </c>
      <c r="V236" s="21">
        <f t="shared" si="14"/>
        <v>6575.1</v>
      </c>
      <c r="W236" s="16">
        <f t="shared" si="15"/>
        <v>93.120000000021719</v>
      </c>
    </row>
    <row r="237" spans="1:23" hidden="1" x14ac:dyDescent="0.3">
      <c r="A237" s="102" t="s">
        <v>7992</v>
      </c>
      <c r="B237" s="102" t="s">
        <v>7992</v>
      </c>
      <c r="C237" s="23" t="s">
        <v>493</v>
      </c>
      <c r="D237" s="20" t="s">
        <v>34</v>
      </c>
      <c r="E237" s="22" t="s">
        <v>494</v>
      </c>
      <c r="F237" s="24" t="str">
        <f t="shared" si="12"/>
        <v>PPG - Artex GYPROC EASYFILL 5KG</v>
      </c>
      <c r="G237" s="38" t="s">
        <v>5115</v>
      </c>
      <c r="H237" s="39" t="s">
        <v>213</v>
      </c>
      <c r="I237" s="40" t="s">
        <v>37</v>
      </c>
      <c r="J237" s="40" t="s">
        <v>38</v>
      </c>
      <c r="K237" s="41" t="s">
        <v>39</v>
      </c>
      <c r="L237" s="26" t="e">
        <f>VLOOKUP(A237,'[3]Price info'!A:D,4,FALSE)</f>
        <v>#N/A</v>
      </c>
      <c r="M237" s="40" t="s">
        <v>495</v>
      </c>
      <c r="N237" s="42">
        <v>3110</v>
      </c>
      <c r="O237" s="43"/>
      <c r="P237" s="16">
        <v>11.57</v>
      </c>
      <c r="Q237" s="52" t="e">
        <f t="shared" si="13"/>
        <v>#N/A</v>
      </c>
      <c r="R237" s="40"/>
      <c r="S237" s="16">
        <f>VLOOKUP(A237,[4]Sales!$E:$G,3,FALSE)</f>
        <v>723.18999999999994</v>
      </c>
      <c r="T237" s="19">
        <f>VLOOKUP(A237,[4]Volume!$E:$G,3,FALSE)</f>
        <v>182.5</v>
      </c>
      <c r="U237" s="19">
        <f>VLOOKUP(A237,[4]Piece!$E:$G,3,FALSE)</f>
        <v>48</v>
      </c>
      <c r="V237" s="21">
        <f t="shared" si="14"/>
        <v>555.36</v>
      </c>
      <c r="W237" s="16">
        <f t="shared" si="15"/>
        <v>-167.82999999999993</v>
      </c>
    </row>
    <row r="238" spans="1:23" hidden="1" x14ac:dyDescent="0.3">
      <c r="A238" s="46" t="s">
        <v>496</v>
      </c>
      <c r="B238" s="46" t="s">
        <v>496</v>
      </c>
      <c r="C238" s="47" t="s">
        <v>33</v>
      </c>
      <c r="D238" s="48" t="s">
        <v>34</v>
      </c>
      <c r="E238" s="18" t="s">
        <v>497</v>
      </c>
      <c r="F238" s="24" t="str">
        <f t="shared" si="12"/>
        <v>PPG - EWI   ROCKWOOL 90MM 1200 X 600 MM</v>
      </c>
      <c r="G238" s="20" t="s">
        <v>5116</v>
      </c>
      <c r="H238" s="49" t="s">
        <v>213</v>
      </c>
      <c r="I238" s="18" t="s">
        <v>37</v>
      </c>
      <c r="J238" s="18" t="s">
        <v>38</v>
      </c>
      <c r="K238" t="s">
        <v>39</v>
      </c>
      <c r="L238" s="50">
        <f>VLOOKUP(A238,'[3]Price info'!A:D,4,FALSE)</f>
        <v>12.42</v>
      </c>
      <c r="M238" s="18" t="s">
        <v>214</v>
      </c>
      <c r="N238" s="20">
        <v>3105</v>
      </c>
      <c r="P238" s="16">
        <f>VLOOKUP(A238,'[3]Price info'!A:H,8,FALSE)</f>
        <v>12.42</v>
      </c>
      <c r="Q238" s="17">
        <f t="shared" si="13"/>
        <v>1</v>
      </c>
      <c r="S238" s="16" t="e">
        <f>VLOOKUP(A238,[4]Sales!$E:$G,3,FALSE)</f>
        <v>#N/A</v>
      </c>
      <c r="T238" s="19" t="e">
        <f>VLOOKUP(A238,[4]Volume!$E:$G,3,FALSE)</f>
        <v>#N/A</v>
      </c>
      <c r="U238" s="19" t="e">
        <f>VLOOKUP(A238,[4]Piece!$E:$G,3,FALSE)</f>
        <v>#N/A</v>
      </c>
      <c r="V238" s="21" t="e">
        <f t="shared" si="14"/>
        <v>#N/A</v>
      </c>
      <c r="W238" s="16" t="e">
        <f t="shared" si="15"/>
        <v>#N/A</v>
      </c>
    </row>
    <row r="239" spans="1:23" hidden="1" x14ac:dyDescent="0.3">
      <c r="A239" s="22" t="s">
        <v>498</v>
      </c>
      <c r="B239" s="22" t="s">
        <v>498</v>
      </c>
      <c r="C239" s="23" t="s">
        <v>33</v>
      </c>
      <c r="D239" s="20" t="s">
        <v>34</v>
      </c>
      <c r="E239" s="22" t="s">
        <v>499</v>
      </c>
      <c r="F239" s="24" t="str">
        <f t="shared" si="12"/>
        <v>PPG - ProGold CLASSIC SYNTHETIC BRUSH 3 PIECE PACK</v>
      </c>
      <c r="G239" s="23" t="s">
        <v>5117</v>
      </c>
      <c r="H239" s="25" t="s">
        <v>36</v>
      </c>
      <c r="I239" s="18" t="s">
        <v>37</v>
      </c>
      <c r="J239" s="18" t="s">
        <v>38</v>
      </c>
      <c r="K239" t="s">
        <v>39</v>
      </c>
      <c r="L239" s="26">
        <f>VLOOKUP(A239,'[3]Price info'!A:D,4,FALSE)</f>
        <v>7.56</v>
      </c>
      <c r="M239" s="18" t="s">
        <v>40</v>
      </c>
      <c r="N239" s="20">
        <v>3105</v>
      </c>
      <c r="P239" s="16">
        <f>VLOOKUP(A239,'[3]Price info'!A:H,8,FALSE)</f>
        <v>7.0383599999999999</v>
      </c>
      <c r="Q239" s="27">
        <f t="shared" si="13"/>
        <v>0.93100000000000005</v>
      </c>
      <c r="S239" s="16">
        <f>VLOOKUP(A239,[4]Sales!$E:$G,3,FALSE)</f>
        <v>2209.709999999995</v>
      </c>
      <c r="T239" s="19">
        <f>VLOOKUP(A239,[4]Volume!$E:$G,3,FALSE)</f>
        <v>315</v>
      </c>
      <c r="U239" s="19">
        <f>VLOOKUP(A239,[4]Piece!$E:$G,3,FALSE)</f>
        <v>315</v>
      </c>
      <c r="V239" s="21">
        <f t="shared" si="14"/>
        <v>2217.0834</v>
      </c>
      <c r="W239" s="16">
        <f t="shared" si="15"/>
        <v>7.3734000000049491</v>
      </c>
    </row>
    <row r="240" spans="1:23" hidden="1" x14ac:dyDescent="0.3">
      <c r="A240" s="22" t="s">
        <v>500</v>
      </c>
      <c r="B240" s="22" t="s">
        <v>500</v>
      </c>
      <c r="C240" s="23" t="s">
        <v>33</v>
      </c>
      <c r="D240" s="20" t="s">
        <v>34</v>
      </c>
      <c r="E240" s="22" t="s">
        <v>501</v>
      </c>
      <c r="F240" s="24" t="str">
        <f t="shared" si="12"/>
        <v>PPG - Leyland TG SMOOTH MASONRY- Mix - 5ltr</v>
      </c>
      <c r="G240" s="23" t="s">
        <v>5118</v>
      </c>
      <c r="H240" s="25" t="s">
        <v>36</v>
      </c>
      <c r="I240" s="18" t="s">
        <v>37</v>
      </c>
      <c r="J240" s="18" t="s">
        <v>38</v>
      </c>
      <c r="K240" t="s">
        <v>39</v>
      </c>
      <c r="L240" s="26">
        <f>VLOOKUP(A240,'[3]Price info'!A:D,4,FALSE)</f>
        <v>16.010000000000002</v>
      </c>
      <c r="M240" s="18" t="s">
        <v>40</v>
      </c>
      <c r="N240" s="20">
        <v>3105</v>
      </c>
      <c r="P240" s="16">
        <f>VLOOKUP(A240,'[3]Price info'!A:H,8,FALSE)</f>
        <v>14.905310000000002</v>
      </c>
      <c r="Q240" s="27">
        <f t="shared" si="13"/>
        <v>0.93100000000000005</v>
      </c>
      <c r="S240" s="16">
        <f>VLOOKUP(A240,[4]Sales!$E:$G,3,FALSE)</f>
        <v>2369.1099999999997</v>
      </c>
      <c r="T240" s="19">
        <f>VLOOKUP(A240,[4]Volume!$E:$G,3,FALSE)</f>
        <v>755</v>
      </c>
      <c r="U240" s="19">
        <f>VLOOKUP(A240,[4]Piece!$E:$G,3,FALSE)</f>
        <v>151</v>
      </c>
      <c r="V240" s="21">
        <f t="shared" si="14"/>
        <v>2250.7018100000005</v>
      </c>
      <c r="W240" s="16">
        <f t="shared" si="15"/>
        <v>-118.40818999999919</v>
      </c>
    </row>
    <row r="241" spans="1:23" hidden="1" x14ac:dyDescent="0.3">
      <c r="A241" s="53" t="s">
        <v>502</v>
      </c>
      <c r="B241" s="54" t="s">
        <v>502</v>
      </c>
      <c r="C241" s="47" t="s">
        <v>33</v>
      </c>
      <c r="D241" s="48" t="s">
        <v>34</v>
      </c>
      <c r="E241" s="22" t="s">
        <v>503</v>
      </c>
      <c r="F241" s="24" t="str">
        <f t="shared" si="12"/>
        <v>PPG - ProGold PREMIUM FLEXI CAULK - White - 380ml</v>
      </c>
      <c r="G241" s="20" t="s">
        <v>5119</v>
      </c>
      <c r="H241" s="25" t="s">
        <v>36</v>
      </c>
      <c r="I241" s="18" t="s">
        <v>37</v>
      </c>
      <c r="J241" s="18" t="s">
        <v>38</v>
      </c>
      <c r="K241" t="s">
        <v>39</v>
      </c>
      <c r="L241" s="26">
        <f>VLOOKUP(A241,'[3]Price info'!A:D,4,FALSE)</f>
        <v>3.18</v>
      </c>
      <c r="M241" s="18" t="s">
        <v>214</v>
      </c>
      <c r="N241" s="20">
        <v>3105</v>
      </c>
      <c r="P241" s="16">
        <f>VLOOKUP(A241,'[3]Price info'!A:H,8,FALSE)</f>
        <v>2.9605800000000002</v>
      </c>
      <c r="Q241" s="27">
        <f t="shared" si="13"/>
        <v>0.93100000000000005</v>
      </c>
      <c r="S241" s="16">
        <f>VLOOKUP(A241,[4]Sales!$E:$G,3,FALSE)</f>
        <v>729.54</v>
      </c>
      <c r="T241" s="19">
        <f>VLOOKUP(A241,[4]Volume!$E:$G,3,FALSE)</f>
        <v>91.580000000000013</v>
      </c>
      <c r="U241" s="19">
        <f>VLOOKUP(A241,[4]Piece!$E:$G,3,FALSE)</f>
        <v>241</v>
      </c>
      <c r="V241" s="21">
        <f t="shared" si="14"/>
        <v>713.4997800000001</v>
      </c>
      <c r="W241" s="16">
        <f t="shared" si="15"/>
        <v>-16.040219999999863</v>
      </c>
    </row>
    <row r="242" spans="1:23" hidden="1" x14ac:dyDescent="0.3">
      <c r="A242" s="22" t="s">
        <v>504</v>
      </c>
      <c r="B242" s="22" t="s">
        <v>504</v>
      </c>
      <c r="C242" s="23" t="s">
        <v>33</v>
      </c>
      <c r="D242" s="20" t="s">
        <v>34</v>
      </c>
      <c r="E242" s="22" t="s">
        <v>505</v>
      </c>
      <c r="F242" s="24" t="str">
        <f t="shared" si="12"/>
        <v>PPG - Johnstones VINYL SILK - Magnolia - 5ltr</v>
      </c>
      <c r="G242" s="23" t="s">
        <v>5120</v>
      </c>
      <c r="H242" s="25" t="s">
        <v>36</v>
      </c>
      <c r="I242" s="18" t="s">
        <v>37</v>
      </c>
      <c r="J242" s="18" t="s">
        <v>38</v>
      </c>
      <c r="K242" t="s">
        <v>39</v>
      </c>
      <c r="L242" s="26">
        <f>VLOOKUP(A242,'[3]Price info'!A:D,4,FALSE)</f>
        <v>12.78</v>
      </c>
      <c r="M242" s="18" t="s">
        <v>40</v>
      </c>
      <c r="N242" s="20">
        <v>3105</v>
      </c>
      <c r="P242" s="16">
        <f>VLOOKUP(A242,'[3]Price info'!A:H,8,FALSE)</f>
        <v>17</v>
      </c>
      <c r="Q242" s="27">
        <f t="shared" si="13"/>
        <v>1.3302034428794993</v>
      </c>
      <c r="S242" s="16">
        <f>VLOOKUP(A242,[4]Sales!$E:$G,3,FALSE)</f>
        <v>253.29</v>
      </c>
      <c r="T242" s="19">
        <f>VLOOKUP(A242,[4]Volume!$E:$G,3,FALSE)</f>
        <v>90</v>
      </c>
      <c r="U242" s="19">
        <f>VLOOKUP(A242,[4]Piece!$E:$G,3,FALSE)</f>
        <v>18</v>
      </c>
      <c r="V242" s="21">
        <f t="shared" si="14"/>
        <v>306</v>
      </c>
      <c r="W242" s="16">
        <f t="shared" si="15"/>
        <v>52.710000000000008</v>
      </c>
    </row>
    <row r="243" spans="1:23" hidden="1" x14ac:dyDescent="0.3">
      <c r="A243" s="53" t="s">
        <v>506</v>
      </c>
      <c r="B243" s="54" t="s">
        <v>506</v>
      </c>
      <c r="C243" s="47" t="s">
        <v>33</v>
      </c>
      <c r="D243" s="48" t="s">
        <v>34</v>
      </c>
      <c r="E243" s="22" t="s">
        <v>507</v>
      </c>
      <c r="F243" s="24" t="str">
        <f t="shared" si="12"/>
        <v>PPG - BLACKROCK PAINTERS GLOVES L WEIGHT</v>
      </c>
      <c r="G243" s="20" t="s">
        <v>5121</v>
      </c>
      <c r="H243" s="25" t="s">
        <v>36</v>
      </c>
      <c r="I243" s="18" t="s">
        <v>37</v>
      </c>
      <c r="J243" s="18" t="s">
        <v>38</v>
      </c>
      <c r="K243" t="s">
        <v>39</v>
      </c>
      <c r="L243" s="26">
        <f>VLOOKUP(A243,'[3]Price info'!A:D,4,FALSE)</f>
        <v>1.27</v>
      </c>
      <c r="M243" s="18" t="s">
        <v>214</v>
      </c>
      <c r="N243" s="20">
        <v>3105</v>
      </c>
      <c r="P243" s="16">
        <f>VLOOKUP(A243,'[3]Price info'!A:H,8,FALSE)</f>
        <v>1.1823700000000001</v>
      </c>
      <c r="Q243" s="27">
        <f t="shared" si="13"/>
        <v>0.93100000000000005</v>
      </c>
      <c r="S243" s="16">
        <f>VLOOKUP(A243,[4]Sales!$E:$G,3,FALSE)</f>
        <v>1217.3399999999995</v>
      </c>
      <c r="T243" s="19">
        <f>VLOOKUP(A243,[4]Volume!$E:$G,3,FALSE)</f>
        <v>1005</v>
      </c>
      <c r="U243" s="19">
        <f>VLOOKUP(A243,[4]Piece!$E:$G,3,FALSE)</f>
        <v>1005</v>
      </c>
      <c r="V243" s="21">
        <f t="shared" si="14"/>
        <v>1188.2818500000001</v>
      </c>
      <c r="W243" s="16">
        <f t="shared" si="15"/>
        <v>-29.058149999999387</v>
      </c>
    </row>
    <row r="244" spans="1:23" hidden="1" x14ac:dyDescent="0.3">
      <c r="A244" s="55" t="s">
        <v>506</v>
      </c>
      <c r="B244" s="55" t="s">
        <v>506</v>
      </c>
      <c r="C244" s="47" t="s">
        <v>33</v>
      </c>
      <c r="D244" s="48" t="s">
        <v>34</v>
      </c>
      <c r="E244" s="22" t="s">
        <v>507</v>
      </c>
      <c r="F244" s="24" t="str">
        <f t="shared" si="12"/>
        <v>PPG - BLACKROCK PAINTERS GLOVES L WEIGHT</v>
      </c>
      <c r="G244" s="20" t="s">
        <v>5121</v>
      </c>
      <c r="H244" s="49" t="s">
        <v>213</v>
      </c>
      <c r="I244" s="18" t="s">
        <v>37</v>
      </c>
      <c r="J244" s="18" t="s">
        <v>38</v>
      </c>
      <c r="K244" t="s">
        <v>39</v>
      </c>
      <c r="L244" s="26">
        <f>VLOOKUP(A244,'[3]Price info'!A:D,4,FALSE)</f>
        <v>1.27</v>
      </c>
      <c r="M244" s="18" t="s">
        <v>214</v>
      </c>
      <c r="N244" s="20">
        <v>3105</v>
      </c>
      <c r="P244" s="16">
        <f>VLOOKUP(A244,'[3]Price info'!A:H,8,FALSE)</f>
        <v>1.1823700000000001</v>
      </c>
      <c r="Q244" s="17">
        <f t="shared" si="13"/>
        <v>0.93100000000000005</v>
      </c>
      <c r="S244" s="16">
        <f>VLOOKUP(A244,[4]Sales!$E:$G,3,FALSE)</f>
        <v>1217.3399999999995</v>
      </c>
      <c r="T244" s="19">
        <f>VLOOKUP(A244,[4]Volume!$E:$G,3,FALSE)</f>
        <v>1005</v>
      </c>
      <c r="U244" s="19">
        <f>VLOOKUP(A244,[4]Piece!$E:$G,3,FALSE)</f>
        <v>1005</v>
      </c>
      <c r="V244" s="21">
        <f t="shared" si="14"/>
        <v>1188.2818500000001</v>
      </c>
      <c r="W244" s="16">
        <f t="shared" si="15"/>
        <v>-29.058149999999387</v>
      </c>
    </row>
    <row r="245" spans="1:23" hidden="1" x14ac:dyDescent="0.3">
      <c r="A245" s="22" t="s">
        <v>508</v>
      </c>
      <c r="B245" s="22" t="s">
        <v>508</v>
      </c>
      <c r="C245" s="23" t="s">
        <v>33</v>
      </c>
      <c r="D245" s="20" t="s">
        <v>34</v>
      </c>
      <c r="E245" s="22" t="s">
        <v>509</v>
      </c>
      <c r="F245" s="24" t="str">
        <f t="shared" si="12"/>
        <v>PPG - ProGold CONTRACTOR BRUSH SET 5 PIECE PACK</v>
      </c>
      <c r="G245" s="23" t="s">
        <v>5122</v>
      </c>
      <c r="H245" s="25" t="s">
        <v>36</v>
      </c>
      <c r="I245" s="18" t="s">
        <v>37</v>
      </c>
      <c r="J245" s="18" t="s">
        <v>38</v>
      </c>
      <c r="K245" t="s">
        <v>39</v>
      </c>
      <c r="L245" s="26">
        <f>VLOOKUP(A245,'[3]Price info'!A:D,4,FALSE)</f>
        <v>12.74</v>
      </c>
      <c r="M245" s="18" t="s">
        <v>40</v>
      </c>
      <c r="N245" s="20">
        <v>3105</v>
      </c>
      <c r="P245" s="16">
        <f>VLOOKUP(A245,'[3]Price info'!A:H,8,FALSE)</f>
        <v>11.860940000000001</v>
      </c>
      <c r="Q245" s="27">
        <f t="shared" si="13"/>
        <v>0.93100000000000005</v>
      </c>
      <c r="S245" s="16">
        <f>VLOOKUP(A245,[4]Sales!$E:$G,3,FALSE)</f>
        <v>1607.5300000000011</v>
      </c>
      <c r="T245" s="19">
        <f>VLOOKUP(A245,[4]Volume!$E:$G,3,FALSE)</f>
        <v>141</v>
      </c>
      <c r="U245" s="19">
        <f>VLOOKUP(A245,[4]Piece!$E:$G,3,FALSE)</f>
        <v>141</v>
      </c>
      <c r="V245" s="21">
        <f t="shared" si="14"/>
        <v>1672.3925400000001</v>
      </c>
      <c r="W245" s="16">
        <f t="shared" si="15"/>
        <v>64.862539999998944</v>
      </c>
    </row>
    <row r="246" spans="1:23" hidden="1" x14ac:dyDescent="0.3">
      <c r="A246" s="22" t="s">
        <v>510</v>
      </c>
      <c r="B246" s="22" t="s">
        <v>510</v>
      </c>
      <c r="C246" s="23" t="s">
        <v>33</v>
      </c>
      <c r="D246" s="20" t="s">
        <v>34</v>
      </c>
      <c r="E246" s="22" t="s">
        <v>511</v>
      </c>
      <c r="F246" s="24" t="str">
        <f t="shared" si="12"/>
        <v>PPG - Johnstones ROAD MARKING - Yellow - 5ltr</v>
      </c>
      <c r="G246" s="23" t="s">
        <v>5123</v>
      </c>
      <c r="H246" s="25" t="s">
        <v>36</v>
      </c>
      <c r="I246" s="18" t="s">
        <v>37</v>
      </c>
      <c r="J246" s="18" t="s">
        <v>38</v>
      </c>
      <c r="K246" t="s">
        <v>39</v>
      </c>
      <c r="L246" s="26">
        <f>VLOOKUP(A246,'[3]Price info'!A:D,4,FALSE)</f>
        <v>52.91</v>
      </c>
      <c r="M246" s="18" t="s">
        <v>40</v>
      </c>
      <c r="N246" s="20">
        <v>3105</v>
      </c>
      <c r="P246" s="16">
        <f>VLOOKUP(A246,'[3]Price info'!A:H,8,FALSE)</f>
        <v>49.259209999999996</v>
      </c>
      <c r="Q246" s="27">
        <f t="shared" si="13"/>
        <v>0.93099999999999994</v>
      </c>
      <c r="S246" s="16">
        <f>VLOOKUP(A246,[4]Sales!$E:$G,3,FALSE)</f>
        <v>2165.92</v>
      </c>
      <c r="T246" s="19">
        <f>VLOOKUP(A246,[4]Volume!$E:$G,3,FALSE)</f>
        <v>210</v>
      </c>
      <c r="U246" s="19">
        <f>VLOOKUP(A246,[4]Piece!$E:$G,3,FALSE)</f>
        <v>42</v>
      </c>
      <c r="V246" s="21">
        <f t="shared" si="14"/>
        <v>2068.8868199999997</v>
      </c>
      <c r="W246" s="16">
        <f t="shared" si="15"/>
        <v>-97.033180000000357</v>
      </c>
    </row>
    <row r="247" spans="1:23" hidden="1" x14ac:dyDescent="0.3">
      <c r="A247" s="22" t="s">
        <v>512</v>
      </c>
      <c r="B247" s="22" t="s">
        <v>512</v>
      </c>
      <c r="C247" s="23" t="s">
        <v>33</v>
      </c>
      <c r="D247" s="20" t="s">
        <v>34</v>
      </c>
      <c r="E247" s="22" t="s">
        <v>513</v>
      </c>
      <c r="F247" s="24" t="str">
        <f t="shared" si="12"/>
        <v>PPG - ProGold POLYTHENE ROLL DUST SHEET - 2M X 50M</v>
      </c>
      <c r="G247" s="23" t="s">
        <v>5124</v>
      </c>
      <c r="H247" s="25" t="s">
        <v>36</v>
      </c>
      <c r="I247" s="18" t="s">
        <v>37</v>
      </c>
      <c r="J247" s="18" t="s">
        <v>38</v>
      </c>
      <c r="K247" t="s">
        <v>39</v>
      </c>
      <c r="L247" s="26">
        <f>VLOOKUP(A247,'[3]Price info'!A:D,4,FALSE)</f>
        <v>8.4600000000000009</v>
      </c>
      <c r="M247" s="18" t="s">
        <v>40</v>
      </c>
      <c r="N247" s="20">
        <v>3105</v>
      </c>
      <c r="P247" s="16">
        <f>VLOOKUP(A247,'[3]Price info'!A:H,8,FALSE)</f>
        <v>7.8762600000000011</v>
      </c>
      <c r="Q247" s="27">
        <f t="shared" si="13"/>
        <v>0.93100000000000005</v>
      </c>
      <c r="S247" s="16">
        <f>VLOOKUP(A247,[4]Sales!$E:$G,3,FALSE)</f>
        <v>1111.0299999999993</v>
      </c>
      <c r="T247" s="19">
        <f>VLOOKUP(A247,[4]Volume!$E:$G,3,FALSE)</f>
        <v>0.13700000000000007</v>
      </c>
      <c r="U247" s="19">
        <f>VLOOKUP(A247,[4]Piece!$E:$G,3,FALSE)</f>
        <v>137</v>
      </c>
      <c r="V247" s="21">
        <f t="shared" si="14"/>
        <v>1079.0476200000001</v>
      </c>
      <c r="W247" s="16">
        <f t="shared" si="15"/>
        <v>-31.982379999999239</v>
      </c>
    </row>
    <row r="248" spans="1:23" hidden="1" x14ac:dyDescent="0.3">
      <c r="A248" s="53" t="s">
        <v>514</v>
      </c>
      <c r="B248" s="54" t="s">
        <v>514</v>
      </c>
      <c r="C248" s="47" t="s">
        <v>33</v>
      </c>
      <c r="D248" s="48" t="s">
        <v>34</v>
      </c>
      <c r="E248" s="22" t="s">
        <v>515</v>
      </c>
      <c r="F248" s="24" t="str">
        <f t="shared" si="12"/>
        <v>PPG - Stormshield SILICONE MASONRY - Mix - 5ltr</v>
      </c>
      <c r="G248" s="20" t="s">
        <v>5125</v>
      </c>
      <c r="H248" s="25" t="s">
        <v>36</v>
      </c>
      <c r="I248" s="18" t="s">
        <v>37</v>
      </c>
      <c r="J248" s="18" t="s">
        <v>38</v>
      </c>
      <c r="K248" t="s">
        <v>39</v>
      </c>
      <c r="L248" s="26">
        <f>VLOOKUP(A248,'[3]Price info'!A:D,4,FALSE)</f>
        <v>52.95</v>
      </c>
      <c r="M248" s="18" t="s">
        <v>214</v>
      </c>
      <c r="N248" s="20">
        <v>3105</v>
      </c>
      <c r="P248" s="16">
        <f>VLOOKUP(A248,'[3]Price info'!A:H,8,FALSE)</f>
        <v>52.95</v>
      </c>
      <c r="Q248" s="27">
        <f t="shared" si="13"/>
        <v>1</v>
      </c>
      <c r="S248" s="16">
        <f>VLOOKUP(A248,[4]Sales!$E:$G,3,FALSE)</f>
        <v>22565.61</v>
      </c>
      <c r="T248" s="19">
        <f>VLOOKUP(A248,[4]Volume!$E:$G,3,FALSE)</f>
        <v>2115</v>
      </c>
      <c r="U248" s="19">
        <f>VLOOKUP(A248,[4]Piece!$E:$G,3,FALSE)</f>
        <v>423</v>
      </c>
      <c r="V248" s="21">
        <f t="shared" si="14"/>
        <v>22397.850000000002</v>
      </c>
      <c r="W248" s="16">
        <f t="shared" si="15"/>
        <v>-167.7599999999984</v>
      </c>
    </row>
    <row r="249" spans="1:23" hidden="1" x14ac:dyDescent="0.3">
      <c r="A249" s="22" t="s">
        <v>516</v>
      </c>
      <c r="B249" s="22" t="s">
        <v>516</v>
      </c>
      <c r="C249" s="23" t="s">
        <v>33</v>
      </c>
      <c r="D249" s="20" t="s">
        <v>34</v>
      </c>
      <c r="E249" s="22" t="s">
        <v>168</v>
      </c>
      <c r="F249" s="24" t="str">
        <f t="shared" si="12"/>
        <v>PPG - Johnstones SOLV OPAQUE - Russet - 5ltr</v>
      </c>
      <c r="G249" s="23" t="s">
        <v>4956</v>
      </c>
      <c r="H249" s="25" t="s">
        <v>36</v>
      </c>
      <c r="I249" s="18" t="s">
        <v>37</v>
      </c>
      <c r="J249" s="18" t="s">
        <v>38</v>
      </c>
      <c r="K249" t="s">
        <v>39</v>
      </c>
      <c r="L249" s="26">
        <f>VLOOKUP(A249,'[3]Price info'!A:D,4,FALSE)</f>
        <v>15.55</v>
      </c>
      <c r="M249" s="18" t="s">
        <v>40</v>
      </c>
      <c r="N249" s="20">
        <v>3105</v>
      </c>
      <c r="P249" s="16">
        <f>VLOOKUP(A249,'[3]Price info'!A:H,8,FALSE)</f>
        <v>12.69</v>
      </c>
      <c r="Q249" s="27">
        <f t="shared" si="13"/>
        <v>0.81607717041800631</v>
      </c>
      <c r="S249" s="16">
        <f>VLOOKUP(A249,[4]Sales!$E:$G,3,FALSE)</f>
        <v>56.480000000000004</v>
      </c>
      <c r="T249" s="19">
        <f>VLOOKUP(A249,[4]Volume!$E:$G,3,FALSE)</f>
        <v>10</v>
      </c>
      <c r="U249" s="19">
        <f>VLOOKUP(A249,[4]Piece!$E:$G,3,FALSE)</f>
        <v>4</v>
      </c>
      <c r="V249" s="21">
        <f t="shared" si="14"/>
        <v>50.76</v>
      </c>
      <c r="W249" s="16">
        <f t="shared" si="15"/>
        <v>-5.720000000000006</v>
      </c>
    </row>
    <row r="250" spans="1:23" hidden="1" x14ac:dyDescent="0.3">
      <c r="A250" s="22" t="s">
        <v>517</v>
      </c>
      <c r="B250" s="22" t="s">
        <v>517</v>
      </c>
      <c r="C250" s="23" t="s">
        <v>33</v>
      </c>
      <c r="D250" s="20" t="s">
        <v>34</v>
      </c>
      <c r="E250" s="22" t="s">
        <v>518</v>
      </c>
      <c r="F250" s="24" t="str">
        <f t="shared" si="12"/>
        <v>PPG - Johnstones SATIN WOODSTAIN - Mahogany - 5ltr</v>
      </c>
      <c r="G250" s="23" t="s">
        <v>5126</v>
      </c>
      <c r="H250" s="25" t="s">
        <v>36</v>
      </c>
      <c r="I250" s="18" t="s">
        <v>37</v>
      </c>
      <c r="J250" s="18" t="s">
        <v>38</v>
      </c>
      <c r="K250" t="s">
        <v>39</v>
      </c>
      <c r="L250" s="26">
        <f>VLOOKUP(A250,'[3]Price info'!A:D,4,FALSE)</f>
        <v>29.65</v>
      </c>
      <c r="M250" s="18" t="s">
        <v>40</v>
      </c>
      <c r="N250" s="20">
        <v>3105</v>
      </c>
      <c r="P250" s="16">
        <f>VLOOKUP(A250,'[3]Price info'!A:H,8,FALSE)</f>
        <v>27.604150000000001</v>
      </c>
      <c r="Q250" s="27">
        <f t="shared" si="13"/>
        <v>0.93100000000000005</v>
      </c>
      <c r="S250" s="16">
        <f>VLOOKUP(A250,[4]Sales!$E:$G,3,FALSE)</f>
        <v>981.93000000000006</v>
      </c>
      <c r="T250" s="19">
        <f>VLOOKUP(A250,[4]Volume!$E:$G,3,FALSE)</f>
        <v>170</v>
      </c>
      <c r="U250" s="19">
        <f>VLOOKUP(A250,[4]Piece!$E:$G,3,FALSE)</f>
        <v>34</v>
      </c>
      <c r="V250" s="21">
        <f t="shared" si="14"/>
        <v>938.54110000000003</v>
      </c>
      <c r="W250" s="16">
        <f t="shared" si="15"/>
        <v>-43.388900000000035</v>
      </c>
    </row>
    <row r="251" spans="1:23" hidden="1" x14ac:dyDescent="0.3">
      <c r="A251" s="22" t="s">
        <v>519</v>
      </c>
      <c r="B251" s="22" t="s">
        <v>519</v>
      </c>
      <c r="C251" s="23" t="s">
        <v>33</v>
      </c>
      <c r="D251" s="20" t="s">
        <v>34</v>
      </c>
      <c r="E251" s="22" t="s">
        <v>520</v>
      </c>
      <c r="F251" s="24" t="str">
        <f t="shared" si="12"/>
        <v>PPG - Johnstones STABILISING SOLU - Clear - 5ltr</v>
      </c>
      <c r="G251" s="23" t="s">
        <v>5127</v>
      </c>
      <c r="H251" s="25" t="s">
        <v>36</v>
      </c>
      <c r="I251" s="18" t="s">
        <v>37</v>
      </c>
      <c r="J251" s="18" t="s">
        <v>38</v>
      </c>
      <c r="K251" t="s">
        <v>39</v>
      </c>
      <c r="L251" s="26">
        <f>VLOOKUP(A251,'[3]Price info'!A:D,4,FALSE)</f>
        <v>16.71</v>
      </c>
      <c r="M251" s="18" t="s">
        <v>40</v>
      </c>
      <c r="N251" s="20">
        <v>3105</v>
      </c>
      <c r="P251" s="16">
        <f>VLOOKUP(A251,'[3]Price info'!A:H,8,FALSE)</f>
        <v>15.557010000000002</v>
      </c>
      <c r="Q251" s="27">
        <f t="shared" si="13"/>
        <v>0.93100000000000005</v>
      </c>
      <c r="S251" s="16">
        <f>VLOOKUP(A251,[4]Sales!$E:$G,3,FALSE)</f>
        <v>983.12000000000012</v>
      </c>
      <c r="T251" s="19">
        <f>VLOOKUP(A251,[4]Volume!$E:$G,3,FALSE)</f>
        <v>310</v>
      </c>
      <c r="U251" s="19">
        <f>VLOOKUP(A251,[4]Piece!$E:$G,3,FALSE)</f>
        <v>62</v>
      </c>
      <c r="V251" s="21">
        <f t="shared" si="14"/>
        <v>964.53462000000013</v>
      </c>
      <c r="W251" s="16">
        <f t="shared" si="15"/>
        <v>-18.585379999999986</v>
      </c>
    </row>
    <row r="252" spans="1:23" hidden="1" x14ac:dyDescent="0.3">
      <c r="A252" s="22" t="s">
        <v>521</v>
      </c>
      <c r="B252" s="22" t="s">
        <v>521</v>
      </c>
      <c r="C252" s="23" t="s">
        <v>33</v>
      </c>
      <c r="D252" s="20" t="s">
        <v>34</v>
      </c>
      <c r="E252" s="22" t="s">
        <v>522</v>
      </c>
      <c r="F252" s="24" t="str">
        <f t="shared" si="12"/>
        <v>PPG - ProGold CONTRACTOR BRUSH 1.5"</v>
      </c>
      <c r="G252" s="23" t="s">
        <v>5128</v>
      </c>
      <c r="H252" s="25" t="s">
        <v>36</v>
      </c>
      <c r="I252" s="18" t="s">
        <v>37</v>
      </c>
      <c r="J252" s="18" t="s">
        <v>38</v>
      </c>
      <c r="K252" t="s">
        <v>39</v>
      </c>
      <c r="L252" s="26">
        <f>VLOOKUP(A252,'[3]Price info'!A:D,4,FALSE)</f>
        <v>1.58</v>
      </c>
      <c r="M252" s="18" t="s">
        <v>40</v>
      </c>
      <c r="N252" s="20">
        <v>3105</v>
      </c>
      <c r="P252" s="16">
        <f>VLOOKUP(A252,'[3]Price info'!A:H,8,FALSE)</f>
        <v>1.4709800000000002</v>
      </c>
      <c r="Q252" s="27">
        <f t="shared" si="13"/>
        <v>0.93100000000000005</v>
      </c>
      <c r="S252" s="16">
        <f>VLOOKUP(A252,[4]Sales!$E:$G,3,FALSE)</f>
        <v>1692.3400000000015</v>
      </c>
      <c r="T252" s="19">
        <f>VLOOKUP(A252,[4]Volume!$E:$G,3,FALSE)</f>
        <v>1122</v>
      </c>
      <c r="U252" s="19">
        <f>VLOOKUP(A252,[4]Piece!$E:$G,3,FALSE)</f>
        <v>1122</v>
      </c>
      <c r="V252" s="21">
        <f t="shared" si="14"/>
        <v>1650.4395600000003</v>
      </c>
      <c r="W252" s="16">
        <f t="shared" si="15"/>
        <v>-41.900440000001254</v>
      </c>
    </row>
    <row r="253" spans="1:23" hidden="1" x14ac:dyDescent="0.3">
      <c r="A253" s="22" t="s">
        <v>523</v>
      </c>
      <c r="B253" s="22" t="s">
        <v>523</v>
      </c>
      <c r="C253" s="23" t="s">
        <v>33</v>
      </c>
      <c r="D253" s="20" t="s">
        <v>34</v>
      </c>
      <c r="E253" s="22" t="s">
        <v>524</v>
      </c>
      <c r="F253" s="24" t="str">
        <f t="shared" si="12"/>
        <v>PPG - Johnstones JONCRYL QD PRIMER - BW - 2.5ltr</v>
      </c>
      <c r="G253" s="23" t="s">
        <v>5129</v>
      </c>
      <c r="H253" s="25" t="s">
        <v>36</v>
      </c>
      <c r="I253" s="18" t="s">
        <v>37</v>
      </c>
      <c r="J253" s="18" t="s">
        <v>38</v>
      </c>
      <c r="K253" t="s">
        <v>39</v>
      </c>
      <c r="L253" s="26">
        <f>VLOOKUP(A253,'[3]Price info'!A:D,4,FALSE)</f>
        <v>11.76</v>
      </c>
      <c r="M253" s="18" t="s">
        <v>40</v>
      </c>
      <c r="N253" s="20">
        <v>3105</v>
      </c>
      <c r="P253" s="16">
        <f>VLOOKUP(A253,'[3]Price info'!A:H,8,FALSE)</f>
        <v>10.948560000000001</v>
      </c>
      <c r="Q253" s="27">
        <f t="shared" si="13"/>
        <v>0.93100000000000005</v>
      </c>
      <c r="S253" s="16">
        <f>VLOOKUP(A253,[4]Sales!$E:$G,3,FALSE)</f>
        <v>1108.9199999999996</v>
      </c>
      <c r="T253" s="19">
        <f>VLOOKUP(A253,[4]Volume!$E:$G,3,FALSE)</f>
        <v>245</v>
      </c>
      <c r="U253" s="19">
        <f>VLOOKUP(A253,[4]Piece!$E:$G,3,FALSE)</f>
        <v>98</v>
      </c>
      <c r="V253" s="21">
        <f t="shared" si="14"/>
        <v>1072.9588800000001</v>
      </c>
      <c r="W253" s="16">
        <f t="shared" si="15"/>
        <v>-35.961119999999482</v>
      </c>
    </row>
    <row r="254" spans="1:23" hidden="1" x14ac:dyDescent="0.3">
      <c r="A254" s="46" t="s">
        <v>525</v>
      </c>
      <c r="B254" s="46" t="s">
        <v>525</v>
      </c>
      <c r="C254" s="51" t="s">
        <v>33</v>
      </c>
      <c r="D254" s="48" t="s">
        <v>34</v>
      </c>
      <c r="E254" s="18" t="s">
        <v>526</v>
      </c>
      <c r="F254" s="24" t="str">
        <f t="shared" si="12"/>
        <v>PPG - EWI   WHITE PLASTIC STOP BEAD 2.5M 10MM</v>
      </c>
      <c r="G254" s="20" t="s">
        <v>5130</v>
      </c>
      <c r="H254" s="49" t="s">
        <v>213</v>
      </c>
      <c r="I254" s="18" t="s">
        <v>37</v>
      </c>
      <c r="J254" s="18" t="s">
        <v>38</v>
      </c>
      <c r="K254" t="s">
        <v>39</v>
      </c>
      <c r="L254" s="50">
        <f>VLOOKUP(A254,'[3]Price info'!A:D,4,FALSE)</f>
        <v>2.42</v>
      </c>
      <c r="M254" s="18" t="s">
        <v>214</v>
      </c>
      <c r="N254" s="20">
        <v>3105</v>
      </c>
      <c r="P254" s="16">
        <f>VLOOKUP(A254,'[3]Price info'!A:H,8,FALSE)</f>
        <v>2.42</v>
      </c>
      <c r="Q254" s="17">
        <f t="shared" si="13"/>
        <v>1</v>
      </c>
      <c r="S254" s="16" t="e">
        <f>VLOOKUP(A254,[4]Sales!$E:$G,3,FALSE)</f>
        <v>#N/A</v>
      </c>
      <c r="T254" s="19" t="e">
        <f>VLOOKUP(A254,[4]Volume!$E:$G,3,FALSE)</f>
        <v>#N/A</v>
      </c>
      <c r="U254" s="19" t="e">
        <f>VLOOKUP(A254,[4]Piece!$E:$G,3,FALSE)</f>
        <v>#N/A</v>
      </c>
      <c r="V254" s="21" t="e">
        <f t="shared" si="14"/>
        <v>#N/A</v>
      </c>
      <c r="W254" s="16" t="e">
        <f t="shared" si="15"/>
        <v>#N/A</v>
      </c>
    </row>
    <row r="255" spans="1:23" hidden="1" x14ac:dyDescent="0.3">
      <c r="A255" s="102" t="s">
        <v>7375</v>
      </c>
      <c r="B255" s="102" t="s">
        <v>7375</v>
      </c>
      <c r="C255" s="23" t="s">
        <v>527</v>
      </c>
      <c r="D255" s="20" t="s">
        <v>34</v>
      </c>
      <c r="E255" s="22" t="s">
        <v>528</v>
      </c>
      <c r="F255" s="24" t="str">
        <f t="shared" si="12"/>
        <v>PPG - Artex EASI-FILL- 10kg</v>
      </c>
      <c r="G255" s="38" t="s">
        <v>5131</v>
      </c>
      <c r="H255" s="39" t="s">
        <v>213</v>
      </c>
      <c r="I255" s="40" t="s">
        <v>37</v>
      </c>
      <c r="J255" s="40" t="s">
        <v>38</v>
      </c>
      <c r="K255" s="41" t="s">
        <v>39</v>
      </c>
      <c r="L255" s="26" t="e">
        <f>VLOOKUP(A255,'[3]Price info'!A:D,4,FALSE)</f>
        <v>#N/A</v>
      </c>
      <c r="M255" s="40" t="s">
        <v>529</v>
      </c>
      <c r="N255" s="42">
        <v>3109</v>
      </c>
      <c r="O255" s="43"/>
      <c r="P255" s="16">
        <v>17.75</v>
      </c>
      <c r="Q255" s="52" t="e">
        <f t="shared" si="13"/>
        <v>#N/A</v>
      </c>
      <c r="R255" s="40"/>
      <c r="S255" s="16">
        <f>VLOOKUP(A255,[4]Sales!$E:$G,3,FALSE)</f>
        <v>873.34</v>
      </c>
      <c r="T255" s="19">
        <f>VLOOKUP(A255,[4]Volume!$E:$G,3,FALSE)</f>
        <v>400</v>
      </c>
      <c r="U255" s="19">
        <f>VLOOKUP(A255,[4]Piece!$E:$G,3,FALSE)</f>
        <v>46</v>
      </c>
      <c r="V255" s="21">
        <f t="shared" si="14"/>
        <v>816.5</v>
      </c>
      <c r="W255" s="16">
        <f t="shared" si="15"/>
        <v>-56.840000000000032</v>
      </c>
    </row>
    <row r="256" spans="1:23" hidden="1" x14ac:dyDescent="0.3">
      <c r="A256" s="22" t="s">
        <v>530</v>
      </c>
      <c r="B256" s="22" t="s">
        <v>530</v>
      </c>
      <c r="C256" s="23" t="s">
        <v>33</v>
      </c>
      <c r="D256" s="20" t="s">
        <v>34</v>
      </c>
      <c r="E256" s="22" t="s">
        <v>531</v>
      </c>
      <c r="F256" s="24" t="str">
        <f t="shared" si="12"/>
        <v>PPG - Johnstones QD FLOOR VARN - Clr Satin - 2.5l</v>
      </c>
      <c r="G256" s="23" t="s">
        <v>5132</v>
      </c>
      <c r="H256" s="25" t="s">
        <v>36</v>
      </c>
      <c r="I256" s="18" t="s">
        <v>37</v>
      </c>
      <c r="J256" s="18" t="s">
        <v>38</v>
      </c>
      <c r="K256" t="s">
        <v>39</v>
      </c>
      <c r="L256" s="26">
        <f>VLOOKUP(A256,'[3]Price info'!A:D,4,FALSE)</f>
        <v>19.13</v>
      </c>
      <c r="M256" s="18" t="s">
        <v>40</v>
      </c>
      <c r="N256" s="20">
        <v>3105</v>
      </c>
      <c r="P256" s="16">
        <f>VLOOKUP(A256,'[3]Price info'!A:H,8,FALSE)</f>
        <v>17.810030000000001</v>
      </c>
      <c r="Q256" s="27">
        <f t="shared" si="13"/>
        <v>0.93100000000000016</v>
      </c>
      <c r="S256" s="16">
        <f>VLOOKUP(A256,[4]Sales!$E:$G,3,FALSE)</f>
        <v>664.92000000000007</v>
      </c>
      <c r="T256" s="19">
        <f>VLOOKUP(A256,[4]Volume!$E:$G,3,FALSE)</f>
        <v>90</v>
      </c>
      <c r="U256" s="19">
        <f>VLOOKUP(A256,[4]Piece!$E:$G,3,FALSE)</f>
        <v>36</v>
      </c>
      <c r="V256" s="21">
        <f t="shared" si="14"/>
        <v>641.16108000000008</v>
      </c>
      <c r="W256" s="16">
        <f t="shared" si="15"/>
        <v>-23.758919999999989</v>
      </c>
    </row>
    <row r="257" spans="1:23" hidden="1" x14ac:dyDescent="0.3">
      <c r="A257" s="22" t="s">
        <v>532</v>
      </c>
      <c r="B257" s="22" t="s">
        <v>532</v>
      </c>
      <c r="C257" s="23" t="s">
        <v>33</v>
      </c>
      <c r="D257" s="20" t="s">
        <v>34</v>
      </c>
      <c r="E257" s="22" t="s">
        <v>533</v>
      </c>
      <c r="F257" s="24" t="str">
        <f t="shared" si="12"/>
        <v>PPG - Johnstones ACRYLIC SATIN - Bril White - 5ltr</v>
      </c>
      <c r="G257" s="23" t="s">
        <v>5133</v>
      </c>
      <c r="H257" s="25" t="s">
        <v>36</v>
      </c>
      <c r="I257" s="18" t="s">
        <v>37</v>
      </c>
      <c r="J257" s="18" t="s">
        <v>38</v>
      </c>
      <c r="K257" t="s">
        <v>39</v>
      </c>
      <c r="L257" s="26">
        <f>VLOOKUP(A257,'[3]Price info'!A:D,4,FALSE)</f>
        <v>26</v>
      </c>
      <c r="M257" s="18" t="s">
        <v>40</v>
      </c>
      <c r="N257" s="20">
        <v>3105</v>
      </c>
      <c r="P257" s="16">
        <f>VLOOKUP(A257,'[3]Price info'!A:H,8,FALSE)</f>
        <v>24.206000000000003</v>
      </c>
      <c r="Q257" s="27">
        <f t="shared" si="13"/>
        <v>0.93100000000000016</v>
      </c>
      <c r="S257" s="16">
        <f>VLOOKUP(A257,[4]Sales!$E:$G,3,FALSE)</f>
        <v>479.68000000000006</v>
      </c>
      <c r="T257" s="19">
        <f>VLOOKUP(A257,[4]Volume!$E:$G,3,FALSE)</f>
        <v>95</v>
      </c>
      <c r="U257" s="19">
        <f>VLOOKUP(A257,[4]Piece!$E:$G,3,FALSE)</f>
        <v>19</v>
      </c>
      <c r="V257" s="21">
        <f t="shared" si="14"/>
        <v>459.91400000000004</v>
      </c>
      <c r="W257" s="16">
        <f t="shared" si="15"/>
        <v>-19.76600000000002</v>
      </c>
    </row>
    <row r="258" spans="1:23" hidden="1" x14ac:dyDescent="0.3">
      <c r="A258" s="22" t="s">
        <v>534</v>
      </c>
      <c r="B258" s="22" t="s">
        <v>534</v>
      </c>
      <c r="C258" s="23" t="s">
        <v>33</v>
      </c>
      <c r="D258" s="20" t="s">
        <v>34</v>
      </c>
      <c r="E258" s="22" t="s">
        <v>535</v>
      </c>
      <c r="F258" s="24" t="str">
        <f t="shared" si="12"/>
        <v>PPG - ProGold COTTON DUST SHEET 12' X 9'</v>
      </c>
      <c r="G258" s="23" t="s">
        <v>5134</v>
      </c>
      <c r="H258" s="25" t="s">
        <v>36</v>
      </c>
      <c r="I258" s="18" t="s">
        <v>37</v>
      </c>
      <c r="J258" s="18" t="s">
        <v>38</v>
      </c>
      <c r="K258" t="s">
        <v>39</v>
      </c>
      <c r="L258" s="26">
        <f>VLOOKUP(A258,'[3]Price info'!A:D,4,FALSE)</f>
        <v>8.0399999999999991</v>
      </c>
      <c r="M258" s="18" t="s">
        <v>40</v>
      </c>
      <c r="N258" s="20">
        <v>3105</v>
      </c>
      <c r="P258" s="16">
        <f>VLOOKUP(A258,'[3]Price info'!A:H,8,FALSE)</f>
        <v>7.4852399999999992</v>
      </c>
      <c r="Q258" s="27">
        <f t="shared" si="13"/>
        <v>0.93100000000000005</v>
      </c>
      <c r="S258" s="16">
        <f>VLOOKUP(A258,[4]Sales!$E:$G,3,FALSE)</f>
        <v>424.23</v>
      </c>
      <c r="T258" s="19">
        <f>VLOOKUP(A258,[4]Volume!$E:$G,3,FALSE)</f>
        <v>55</v>
      </c>
      <c r="U258" s="19">
        <f>VLOOKUP(A258,[4]Piece!$E:$G,3,FALSE)</f>
        <v>55</v>
      </c>
      <c r="V258" s="21">
        <f t="shared" si="14"/>
        <v>411.68819999999994</v>
      </c>
      <c r="W258" s="16">
        <f t="shared" si="15"/>
        <v>-12.54180000000008</v>
      </c>
    </row>
    <row r="259" spans="1:23" hidden="1" x14ac:dyDescent="0.3">
      <c r="A259" s="22" t="s">
        <v>536</v>
      </c>
      <c r="B259" s="22" t="s">
        <v>536</v>
      </c>
      <c r="C259" s="23" t="s">
        <v>33</v>
      </c>
      <c r="D259" s="20" t="s">
        <v>34</v>
      </c>
      <c r="E259" s="22" t="s">
        <v>537</v>
      </c>
      <c r="F259" s="24" t="str">
        <f t="shared" ref="F259:F322" si="16">D259&amp;" - "&amp;E259</f>
        <v>PPG - ProGold EXTENSION POLE 2'-4'</v>
      </c>
      <c r="G259" s="23" t="s">
        <v>5135</v>
      </c>
      <c r="H259" s="25" t="s">
        <v>36</v>
      </c>
      <c r="I259" s="18" t="s">
        <v>37</v>
      </c>
      <c r="J259" s="18" t="s">
        <v>38</v>
      </c>
      <c r="K259" t="s">
        <v>39</v>
      </c>
      <c r="L259" s="26">
        <f>VLOOKUP(A259,'[3]Price info'!A:D,4,FALSE)</f>
        <v>7.71</v>
      </c>
      <c r="M259" s="18" t="s">
        <v>40</v>
      </c>
      <c r="N259" s="20">
        <v>3105</v>
      </c>
      <c r="P259" s="16">
        <f>VLOOKUP(A259,'[3]Price info'!A:H,8,FALSE)</f>
        <v>7.71</v>
      </c>
      <c r="Q259" s="27">
        <f t="shared" ref="Q259:Q322" si="17">P259/L259</f>
        <v>1</v>
      </c>
      <c r="S259" s="16">
        <f>VLOOKUP(A259,[4]Sales!$E:$G,3,FALSE)</f>
        <v>1571.3399999999997</v>
      </c>
      <c r="T259" s="19">
        <f>VLOOKUP(A259,[4]Volume!$E:$G,3,FALSE)</f>
        <v>207</v>
      </c>
      <c r="U259" s="19">
        <f>VLOOKUP(A259,[4]Piece!$E:$G,3,FALSE)</f>
        <v>207</v>
      </c>
      <c r="V259" s="21">
        <f t="shared" ref="V259:V322" si="18">U259*P259</f>
        <v>1595.97</v>
      </c>
      <c r="W259" s="16">
        <f t="shared" ref="W259:W322" si="19">V259-S259</f>
        <v>24.630000000000337</v>
      </c>
    </row>
    <row r="260" spans="1:23" hidden="1" x14ac:dyDescent="0.3">
      <c r="A260" s="46" t="s">
        <v>538</v>
      </c>
      <c r="B260" s="46" t="s">
        <v>538</v>
      </c>
      <c r="C260" s="47" t="s">
        <v>33</v>
      </c>
      <c r="D260" s="48" t="s">
        <v>34</v>
      </c>
      <c r="E260" s="18" t="s">
        <v>539</v>
      </c>
      <c r="F260" s="24" t="str">
        <f t="shared" si="16"/>
        <v>PPG - K     REFUSE SACKS (50) POLY  BLACK (RS2</v>
      </c>
      <c r="G260" s="20" t="s">
        <v>5136</v>
      </c>
      <c r="H260" s="49" t="s">
        <v>213</v>
      </c>
      <c r="I260" s="18" t="s">
        <v>37</v>
      </c>
      <c r="J260" s="18" t="s">
        <v>38</v>
      </c>
      <c r="K260" t="s">
        <v>39</v>
      </c>
      <c r="L260" s="50">
        <f>VLOOKUP(A260,'[3]Price info'!A:D,4,FALSE)</f>
        <v>4.88</v>
      </c>
      <c r="M260" s="18" t="s">
        <v>214</v>
      </c>
      <c r="N260" s="20">
        <v>3105</v>
      </c>
      <c r="P260" s="16">
        <f>VLOOKUP(A260,'[3]Price info'!A:H,8,FALSE)</f>
        <v>5.3680000000000003</v>
      </c>
      <c r="Q260" s="17">
        <f t="shared" si="17"/>
        <v>1.1000000000000001</v>
      </c>
      <c r="S260" s="16">
        <f>VLOOKUP(A260,[4]Sales!$E:$G,3,FALSE)</f>
        <v>661.66</v>
      </c>
      <c r="T260" s="19">
        <f>VLOOKUP(A260,[4]Volume!$E:$G,3,FALSE)</f>
        <v>128</v>
      </c>
      <c r="U260" s="19">
        <f>VLOOKUP(A260,[4]Piece!$E:$G,3,FALSE)</f>
        <v>128</v>
      </c>
      <c r="V260" s="21">
        <f t="shared" si="18"/>
        <v>687.10400000000004</v>
      </c>
      <c r="W260" s="16">
        <f t="shared" si="19"/>
        <v>25.444000000000074</v>
      </c>
    </row>
    <row r="261" spans="1:23" hidden="1" x14ac:dyDescent="0.3">
      <c r="A261" s="22" t="s">
        <v>540</v>
      </c>
      <c r="B261" s="22" t="s">
        <v>540</v>
      </c>
      <c r="C261" s="23" t="s">
        <v>33</v>
      </c>
      <c r="D261" s="20" t="s">
        <v>34</v>
      </c>
      <c r="E261" s="22" t="s">
        <v>541</v>
      </c>
      <c r="F261" s="24" t="str">
        <f t="shared" si="16"/>
        <v>PPG - Johnstones SATIN WOODSTAIN-Antiq Pine- 5ltr</v>
      </c>
      <c r="G261" s="23" t="s">
        <v>5137</v>
      </c>
      <c r="H261" s="25" t="s">
        <v>36</v>
      </c>
      <c r="I261" s="18" t="s">
        <v>37</v>
      </c>
      <c r="J261" s="18" t="s">
        <v>38</v>
      </c>
      <c r="K261" t="s">
        <v>39</v>
      </c>
      <c r="L261" s="26">
        <f>VLOOKUP(A261,'[3]Price info'!A:D,4,FALSE)</f>
        <v>29.65</v>
      </c>
      <c r="M261" s="18" t="s">
        <v>40</v>
      </c>
      <c r="N261" s="20">
        <v>3105</v>
      </c>
      <c r="P261" s="16">
        <f>VLOOKUP(A261,'[3]Price info'!A:H,8,FALSE)</f>
        <v>27.604150000000001</v>
      </c>
      <c r="Q261" s="27">
        <f t="shared" si="17"/>
        <v>0.93100000000000005</v>
      </c>
      <c r="S261" s="16">
        <f>VLOOKUP(A261,[4]Sales!$E:$G,3,FALSE)</f>
        <v>375.20000000000005</v>
      </c>
      <c r="T261" s="19">
        <f>VLOOKUP(A261,[4]Volume!$E:$G,3,FALSE)</f>
        <v>65</v>
      </c>
      <c r="U261" s="19">
        <f>VLOOKUP(A261,[4]Piece!$E:$G,3,FALSE)</f>
        <v>13</v>
      </c>
      <c r="V261" s="21">
        <f t="shared" si="18"/>
        <v>358.85395</v>
      </c>
      <c r="W261" s="16">
        <f t="shared" si="19"/>
        <v>-16.346050000000048</v>
      </c>
    </row>
    <row r="262" spans="1:23" hidden="1" x14ac:dyDescent="0.3">
      <c r="A262" s="22" t="s">
        <v>542</v>
      </c>
      <c r="B262" s="22" t="s">
        <v>542</v>
      </c>
      <c r="C262" s="23" t="s">
        <v>33</v>
      </c>
      <c r="D262" s="20" t="s">
        <v>34</v>
      </c>
      <c r="E262" s="22" t="s">
        <v>543</v>
      </c>
      <c r="F262" s="24" t="str">
        <f t="shared" si="16"/>
        <v>PPG - ProGold SOFT GRIP MINI ROLLER FRAME - 4"</v>
      </c>
      <c r="G262" s="23" t="s">
        <v>5138</v>
      </c>
      <c r="H262" s="25" t="s">
        <v>36</v>
      </c>
      <c r="I262" s="18" t="s">
        <v>37</v>
      </c>
      <c r="J262" s="18" t="s">
        <v>38</v>
      </c>
      <c r="K262" t="s">
        <v>39</v>
      </c>
      <c r="L262" s="26">
        <f>VLOOKUP(A262,'[3]Price info'!A:D,4,FALSE)</f>
        <v>2.35</v>
      </c>
      <c r="M262" s="18" t="s">
        <v>40</v>
      </c>
      <c r="N262" s="20">
        <v>3105</v>
      </c>
      <c r="P262" s="16">
        <f>VLOOKUP(A262,'[3]Price info'!A:H,8,FALSE)</f>
        <v>2.1878500000000001</v>
      </c>
      <c r="Q262" s="27">
        <f t="shared" si="17"/>
        <v>0.93100000000000005</v>
      </c>
      <c r="S262" s="16">
        <f>VLOOKUP(A262,[4]Sales!$E:$G,3,FALSE)</f>
        <v>929.33999999999901</v>
      </c>
      <c r="T262" s="19">
        <f>VLOOKUP(A262,[4]Volume!$E:$G,3,FALSE)</f>
        <v>473</v>
      </c>
      <c r="U262" s="19">
        <f>VLOOKUP(A262,[4]Piece!$E:$G,3,FALSE)</f>
        <v>473</v>
      </c>
      <c r="V262" s="21">
        <f t="shared" si="18"/>
        <v>1034.8530499999999</v>
      </c>
      <c r="W262" s="16">
        <f t="shared" si="19"/>
        <v>105.51305000000093</v>
      </c>
    </row>
    <row r="263" spans="1:23" hidden="1" x14ac:dyDescent="0.3">
      <c r="A263" s="22" t="s">
        <v>544</v>
      </c>
      <c r="B263" s="22" t="s">
        <v>544</v>
      </c>
      <c r="C263" s="23" t="s">
        <v>33</v>
      </c>
      <c r="D263" s="20" t="s">
        <v>34</v>
      </c>
      <c r="E263" s="22" t="s">
        <v>545</v>
      </c>
      <c r="F263" s="24" t="str">
        <f t="shared" si="16"/>
        <v>PPG - Johnstones ENDURA - Mix - 5ltr</v>
      </c>
      <c r="G263" s="23" t="s">
        <v>5139</v>
      </c>
      <c r="H263" s="25" t="s">
        <v>36</v>
      </c>
      <c r="I263" s="18" t="s">
        <v>37</v>
      </c>
      <c r="J263" s="18" t="s">
        <v>38</v>
      </c>
      <c r="K263" t="s">
        <v>39</v>
      </c>
      <c r="L263" s="26">
        <f>VLOOKUP(A263,'[3]Price info'!A:D,4,FALSE)</f>
        <v>47.74</v>
      </c>
      <c r="M263" s="18" t="s">
        <v>40</v>
      </c>
      <c r="N263" s="20">
        <v>3105</v>
      </c>
      <c r="P263" s="16">
        <f>VLOOKUP(A263,'[3]Price info'!A:H,8,FALSE)</f>
        <v>44.445940000000007</v>
      </c>
      <c r="Q263" s="27">
        <f t="shared" si="17"/>
        <v>0.93100000000000016</v>
      </c>
      <c r="S263" s="16" t="e">
        <f>VLOOKUP(A263,[4]Sales!$E:$G,3,FALSE)</f>
        <v>#N/A</v>
      </c>
      <c r="T263" s="19" t="e">
        <f>VLOOKUP(A263,[4]Volume!$E:$G,3,FALSE)</f>
        <v>#N/A</v>
      </c>
      <c r="U263" s="19" t="e">
        <f>VLOOKUP(A263,[4]Piece!$E:$G,3,FALSE)</f>
        <v>#N/A</v>
      </c>
      <c r="V263" s="21" t="e">
        <f t="shared" si="18"/>
        <v>#N/A</v>
      </c>
      <c r="W263" s="16" t="e">
        <f t="shared" si="19"/>
        <v>#N/A</v>
      </c>
    </row>
    <row r="264" spans="1:23" hidden="1" x14ac:dyDescent="0.3">
      <c r="A264" s="22" t="s">
        <v>546</v>
      </c>
      <c r="B264" s="22" t="s">
        <v>546</v>
      </c>
      <c r="C264" s="23" t="s">
        <v>33</v>
      </c>
      <c r="D264" s="20" t="s">
        <v>34</v>
      </c>
      <c r="E264" s="22" t="s">
        <v>547</v>
      </c>
      <c r="F264" s="24" t="str">
        <f t="shared" si="16"/>
        <v>PPG - ProGold ALUMINIUM OXIDE GRD120 5M</v>
      </c>
      <c r="G264" s="23" t="s">
        <v>5140</v>
      </c>
      <c r="H264" s="25" t="s">
        <v>36</v>
      </c>
      <c r="I264" s="18" t="s">
        <v>37</v>
      </c>
      <c r="J264" s="18" t="s">
        <v>38</v>
      </c>
      <c r="K264" t="s">
        <v>39</v>
      </c>
      <c r="L264" s="26">
        <f>VLOOKUP(A264,'[3]Price info'!A:D,4,FALSE)</f>
        <v>2.88</v>
      </c>
      <c r="M264" s="18" t="s">
        <v>40</v>
      </c>
      <c r="N264" s="20">
        <v>3105</v>
      </c>
      <c r="P264" s="16">
        <f>VLOOKUP(A264,'[3]Price info'!A:H,8,FALSE)</f>
        <v>2.6812800000000001</v>
      </c>
      <c r="Q264" s="27">
        <f t="shared" si="17"/>
        <v>0.93100000000000005</v>
      </c>
      <c r="S264" s="16">
        <f>VLOOKUP(A264,[4]Sales!$E:$G,3,FALSE)</f>
        <v>574.38000000000022</v>
      </c>
      <c r="T264" s="19">
        <f>VLOOKUP(A264,[4]Volume!$E:$G,3,FALSE)</f>
        <v>207</v>
      </c>
      <c r="U264" s="19">
        <f>VLOOKUP(A264,[4]Piece!$E:$G,3,FALSE)</f>
        <v>207</v>
      </c>
      <c r="V264" s="21">
        <f t="shared" si="18"/>
        <v>555.02496000000008</v>
      </c>
      <c r="W264" s="16">
        <f t="shared" si="19"/>
        <v>-19.355040000000145</v>
      </c>
    </row>
    <row r="265" spans="1:23" hidden="1" x14ac:dyDescent="0.3">
      <c r="A265" s="46" t="s">
        <v>548</v>
      </c>
      <c r="B265" s="46" t="s">
        <v>548</v>
      </c>
      <c r="C265" s="47" t="s">
        <v>33</v>
      </c>
      <c r="D265" s="48" t="s">
        <v>34</v>
      </c>
      <c r="E265" s="18" t="s">
        <v>549</v>
      </c>
      <c r="F265" s="24" t="str">
        <f t="shared" si="16"/>
        <v>PPG - WATCO SPEC CONF FL RAL COLS   0000001500</v>
      </c>
      <c r="G265" s="20" t="s">
        <v>5141</v>
      </c>
      <c r="H265" s="49" t="s">
        <v>213</v>
      </c>
      <c r="I265" s="18" t="s">
        <v>37</v>
      </c>
      <c r="J265" s="18" t="s">
        <v>38</v>
      </c>
      <c r="K265" t="s">
        <v>39</v>
      </c>
      <c r="L265" s="50">
        <f>VLOOKUP(A265,'[3]Price info'!A:D,4,FALSE)</f>
        <v>106.08</v>
      </c>
      <c r="M265" s="18" t="s">
        <v>214</v>
      </c>
      <c r="N265" s="20">
        <v>3105</v>
      </c>
      <c r="P265" s="16">
        <f>VLOOKUP(A265,'[3]Price info'!A:H,8,FALSE)</f>
        <v>90.17</v>
      </c>
      <c r="Q265" s="17">
        <f t="shared" si="17"/>
        <v>0.85001885369532426</v>
      </c>
      <c r="S265" s="16" t="e">
        <f>VLOOKUP(A265,[4]Sales!$E:$G,3,FALSE)</f>
        <v>#N/A</v>
      </c>
      <c r="T265" s="19" t="e">
        <f>VLOOKUP(A265,[4]Volume!$E:$G,3,FALSE)</f>
        <v>#N/A</v>
      </c>
      <c r="U265" s="19" t="e">
        <f>VLOOKUP(A265,[4]Piece!$E:$G,3,FALSE)</f>
        <v>#N/A</v>
      </c>
      <c r="V265" s="21" t="e">
        <f t="shared" si="18"/>
        <v>#N/A</v>
      </c>
      <c r="W265" s="16" t="e">
        <f t="shared" si="19"/>
        <v>#N/A</v>
      </c>
    </row>
    <row r="266" spans="1:23" hidden="1" x14ac:dyDescent="0.3">
      <c r="A266" s="22" t="s">
        <v>550</v>
      </c>
      <c r="B266" s="22" t="s">
        <v>550</v>
      </c>
      <c r="C266" s="23" t="s">
        <v>33</v>
      </c>
      <c r="D266" s="20" t="s">
        <v>34</v>
      </c>
      <c r="E266" s="22" t="s">
        <v>551</v>
      </c>
      <c r="F266" s="24" t="str">
        <f t="shared" si="16"/>
        <v>PPG - Leyland VINYL MATT - Brilliant White - 10ltr</v>
      </c>
      <c r="G266" s="23" t="s">
        <v>5142</v>
      </c>
      <c r="H266" s="25" t="s">
        <v>36</v>
      </c>
      <c r="I266" s="18" t="s">
        <v>37</v>
      </c>
      <c r="J266" s="18" t="s">
        <v>38</v>
      </c>
      <c r="K266" t="s">
        <v>39</v>
      </c>
      <c r="L266" s="26">
        <f>VLOOKUP(A266,'[3]Price info'!A:D,4,FALSE)</f>
        <v>18.93</v>
      </c>
      <c r="M266" s="18" t="s">
        <v>40</v>
      </c>
      <c r="N266" s="20">
        <v>3105</v>
      </c>
      <c r="P266" s="16">
        <f>VLOOKUP(A266,'[3]Price info'!A:H,8,FALSE)</f>
        <v>16.489999999999998</v>
      </c>
      <c r="Q266" s="27">
        <f t="shared" si="17"/>
        <v>0.87110406761753822</v>
      </c>
      <c r="S266" s="16">
        <f>VLOOKUP(A266,[4]Sales!$E:$G,3,FALSE)</f>
        <v>186.74</v>
      </c>
      <c r="T266" s="19">
        <f>VLOOKUP(A266,[4]Volume!$E:$G,3,FALSE)</f>
        <v>120</v>
      </c>
      <c r="U266" s="19">
        <f>VLOOKUP(A266,[4]Piece!$E:$G,3,FALSE)</f>
        <v>12</v>
      </c>
      <c r="V266" s="21">
        <f t="shared" si="18"/>
        <v>197.88</v>
      </c>
      <c r="W266" s="16">
        <f t="shared" si="19"/>
        <v>11.139999999999986</v>
      </c>
    </row>
    <row r="267" spans="1:23" hidden="1" x14ac:dyDescent="0.3">
      <c r="A267" s="22" t="s">
        <v>552</v>
      </c>
      <c r="B267" s="22" t="s">
        <v>552</v>
      </c>
      <c r="C267" s="23" t="s">
        <v>33</v>
      </c>
      <c r="D267" s="20" t="s">
        <v>34</v>
      </c>
      <c r="E267" s="22" t="s">
        <v>553</v>
      </c>
      <c r="F267" s="24" t="str">
        <f t="shared" si="16"/>
        <v>PPG - Johnstones SATIN WOODSTAIN - Med Oak -2.5ltr</v>
      </c>
      <c r="G267" s="23" t="s">
        <v>5143</v>
      </c>
      <c r="H267" s="25" t="s">
        <v>36</v>
      </c>
      <c r="I267" s="18" t="s">
        <v>37</v>
      </c>
      <c r="J267" s="18" t="s">
        <v>38</v>
      </c>
      <c r="K267" t="s">
        <v>39</v>
      </c>
      <c r="L267" s="26">
        <f>VLOOKUP(A267,'[3]Price info'!A:D,4,FALSE)</f>
        <v>16.88</v>
      </c>
      <c r="M267" s="18" t="s">
        <v>40</v>
      </c>
      <c r="N267" s="20">
        <v>3105</v>
      </c>
      <c r="P267" s="16">
        <f>VLOOKUP(A267,'[3]Price info'!A:H,8,FALSE)</f>
        <v>15.71528</v>
      </c>
      <c r="Q267" s="27">
        <f t="shared" si="17"/>
        <v>0.93100000000000005</v>
      </c>
      <c r="S267" s="16">
        <f>VLOOKUP(A267,[4]Sales!$E:$G,3,FALSE)</f>
        <v>109.42</v>
      </c>
      <c r="T267" s="19">
        <f>VLOOKUP(A267,[4]Volume!$E:$G,3,FALSE)</f>
        <v>17.5</v>
      </c>
      <c r="U267" s="19">
        <f>VLOOKUP(A267,[4]Piece!$E:$G,3,FALSE)</f>
        <v>7</v>
      </c>
      <c r="V267" s="21">
        <f t="shared" si="18"/>
        <v>110.00695999999999</v>
      </c>
      <c r="W267" s="16">
        <f t="shared" si="19"/>
        <v>0.5869599999999906</v>
      </c>
    </row>
    <row r="268" spans="1:23" hidden="1" x14ac:dyDescent="0.3">
      <c r="A268" s="22" t="s">
        <v>554</v>
      </c>
      <c r="B268" s="22" t="s">
        <v>554</v>
      </c>
      <c r="C268" s="23" t="s">
        <v>33</v>
      </c>
      <c r="D268" s="20" t="s">
        <v>34</v>
      </c>
      <c r="E268" s="22" t="s">
        <v>555</v>
      </c>
      <c r="F268" s="24" t="str">
        <f t="shared" si="16"/>
        <v>PPG - Stormshield FLEXIBLE EX GLOSS - Black- 2.5l</v>
      </c>
      <c r="G268" s="23" t="s">
        <v>5144</v>
      </c>
      <c r="H268" s="25" t="s">
        <v>36</v>
      </c>
      <c r="I268" s="18" t="s">
        <v>37</v>
      </c>
      <c r="J268" s="18" t="s">
        <v>38</v>
      </c>
      <c r="K268" t="s">
        <v>39</v>
      </c>
      <c r="L268" s="26">
        <f>VLOOKUP(A268,'[3]Price info'!A:D,4,FALSE)</f>
        <v>25.18</v>
      </c>
      <c r="M268" s="18" t="s">
        <v>40</v>
      </c>
      <c r="N268" s="20">
        <v>3105</v>
      </c>
      <c r="P268" s="16">
        <f>VLOOKUP(A268,'[3]Price info'!A:H,8,FALSE)</f>
        <v>18</v>
      </c>
      <c r="Q268" s="27">
        <f t="shared" si="17"/>
        <v>0.71485305798252585</v>
      </c>
      <c r="S268" s="16">
        <f>VLOOKUP(A268,[4]Sales!$E:$G,3,FALSE)</f>
        <v>698.16</v>
      </c>
      <c r="T268" s="19">
        <f>VLOOKUP(A268,[4]Volume!$E:$G,3,FALSE)</f>
        <v>85</v>
      </c>
      <c r="U268" s="19">
        <f>VLOOKUP(A268,[4]Piece!$E:$G,3,FALSE)</f>
        <v>34</v>
      </c>
      <c r="V268" s="21">
        <f t="shared" si="18"/>
        <v>612</v>
      </c>
      <c r="W268" s="16">
        <f t="shared" si="19"/>
        <v>-86.159999999999968</v>
      </c>
    </row>
    <row r="269" spans="1:23" hidden="1" x14ac:dyDescent="0.3">
      <c r="A269" s="22" t="s">
        <v>556</v>
      </c>
      <c r="B269" s="22" t="s">
        <v>556</v>
      </c>
      <c r="C269" s="23" t="s">
        <v>33</v>
      </c>
      <c r="D269" s="20" t="s">
        <v>34</v>
      </c>
      <c r="E269" s="22" t="s">
        <v>557</v>
      </c>
      <c r="F269" s="24" t="str">
        <f t="shared" si="16"/>
        <v>PPG - ProGold ALUMINIUM OXIDE GRD120 10M</v>
      </c>
      <c r="G269" s="23" t="s">
        <v>5145</v>
      </c>
      <c r="H269" s="25" t="s">
        <v>36</v>
      </c>
      <c r="I269" s="18" t="s">
        <v>37</v>
      </c>
      <c r="J269" s="18" t="s">
        <v>38</v>
      </c>
      <c r="K269" t="s">
        <v>39</v>
      </c>
      <c r="L269" s="26">
        <f>VLOOKUP(A269,'[3]Price info'!A:D,4,FALSE)</f>
        <v>5.29</v>
      </c>
      <c r="M269" s="18" t="s">
        <v>40</v>
      </c>
      <c r="N269" s="20">
        <v>3105</v>
      </c>
      <c r="P269" s="16">
        <f>VLOOKUP(A269,'[3]Price info'!A:H,8,FALSE)</f>
        <v>4.9249900000000002</v>
      </c>
      <c r="Q269" s="27">
        <f t="shared" si="17"/>
        <v>0.93100000000000005</v>
      </c>
      <c r="S269" s="16">
        <f>VLOOKUP(A269,[4]Sales!$E:$G,3,FALSE)</f>
        <v>577.18000000000086</v>
      </c>
      <c r="T269" s="19">
        <f>VLOOKUP(A269,[4]Volume!$E:$G,3,FALSE)</f>
        <v>113</v>
      </c>
      <c r="U269" s="19">
        <f>VLOOKUP(A269,[4]Piece!$E:$G,3,FALSE)</f>
        <v>113</v>
      </c>
      <c r="V269" s="21">
        <f t="shared" si="18"/>
        <v>556.52386999999999</v>
      </c>
      <c r="W269" s="16">
        <f t="shared" si="19"/>
        <v>-20.656130000000871</v>
      </c>
    </row>
    <row r="270" spans="1:23" hidden="1" x14ac:dyDescent="0.3">
      <c r="A270" s="53" t="s">
        <v>558</v>
      </c>
      <c r="B270" s="54" t="s">
        <v>558</v>
      </c>
      <c r="C270" s="47" t="s">
        <v>33</v>
      </c>
      <c r="D270" s="48" t="s">
        <v>34</v>
      </c>
      <c r="E270" s="22" t="s">
        <v>559</v>
      </c>
      <c r="F270" s="24" t="str">
        <f t="shared" si="16"/>
        <v>PPG - ProGold WHITE SPIRIT 2ltr</v>
      </c>
      <c r="G270" s="20" t="s">
        <v>5146</v>
      </c>
      <c r="H270" s="25" t="s">
        <v>36</v>
      </c>
      <c r="I270" s="18" t="s">
        <v>37</v>
      </c>
      <c r="J270" s="18" t="s">
        <v>38</v>
      </c>
      <c r="K270" t="s">
        <v>39</v>
      </c>
      <c r="L270" s="26">
        <f>VLOOKUP(A270,'[3]Price info'!A:D,4,FALSE)</f>
        <v>2.83</v>
      </c>
      <c r="M270" s="18" t="s">
        <v>214</v>
      </c>
      <c r="N270" s="20">
        <v>3105</v>
      </c>
      <c r="P270" s="16">
        <f>VLOOKUP(A270,'[3]Price info'!A:H,8,FALSE)</f>
        <v>3.3959999999999999</v>
      </c>
      <c r="Q270" s="27">
        <f t="shared" si="17"/>
        <v>1.2</v>
      </c>
      <c r="S270" s="16">
        <f>VLOOKUP(A270,[4]Sales!$E:$G,3,FALSE)</f>
        <v>990.91000000000008</v>
      </c>
      <c r="T270" s="19">
        <f>VLOOKUP(A270,[4]Volume!$E:$G,3,FALSE)</f>
        <v>662</v>
      </c>
      <c r="U270" s="19">
        <f>VLOOKUP(A270,[4]Piece!$E:$G,3,FALSE)</f>
        <v>331</v>
      </c>
      <c r="V270" s="21">
        <f t="shared" si="18"/>
        <v>1124.076</v>
      </c>
      <c r="W270" s="16">
        <f t="shared" si="19"/>
        <v>133.16599999999994</v>
      </c>
    </row>
    <row r="271" spans="1:23" hidden="1" x14ac:dyDescent="0.3">
      <c r="A271" s="46" t="s">
        <v>560</v>
      </c>
      <c r="B271" s="46" t="s">
        <v>560</v>
      </c>
      <c r="C271" s="51" t="s">
        <v>33</v>
      </c>
      <c r="D271" s="48" t="s">
        <v>34</v>
      </c>
      <c r="E271" s="18" t="s">
        <v>561</v>
      </c>
      <c r="F271" s="24" t="str">
        <f t="shared" si="16"/>
        <v>PPG - EASYL LINING PAPER 1200 DOUBL</v>
      </c>
      <c r="G271" s="20" t="s">
        <v>5147</v>
      </c>
      <c r="H271" s="49" t="s">
        <v>213</v>
      </c>
      <c r="I271" s="18" t="s">
        <v>37</v>
      </c>
      <c r="J271" s="18" t="s">
        <v>38</v>
      </c>
      <c r="K271" t="s">
        <v>39</v>
      </c>
      <c r="L271" s="50">
        <f>VLOOKUP(A271,'[3]Price info'!A:D,4,FALSE)</f>
        <v>3.32</v>
      </c>
      <c r="M271" s="18" t="s">
        <v>214</v>
      </c>
      <c r="N271" s="20">
        <v>3105</v>
      </c>
      <c r="P271" s="16">
        <f>VLOOKUP(A271,'[3]Price info'!A:H,8,FALSE)</f>
        <v>3.32</v>
      </c>
      <c r="Q271" s="17">
        <f t="shared" si="17"/>
        <v>1</v>
      </c>
      <c r="S271" s="16">
        <f>VLOOKUP(A271,[4]Sales!$E:$G,3,FALSE)</f>
        <v>785.24</v>
      </c>
      <c r="T271" s="19">
        <f>VLOOKUP(A271,[4]Volume!$E:$G,3,FALSE)</f>
        <v>237</v>
      </c>
      <c r="U271" s="19">
        <f>VLOOKUP(A271,[4]Piece!$E:$G,3,FALSE)</f>
        <v>237</v>
      </c>
      <c r="V271" s="21">
        <f t="shared" si="18"/>
        <v>786.83999999999992</v>
      </c>
      <c r="W271" s="16">
        <f t="shared" si="19"/>
        <v>1.5999999999999091</v>
      </c>
    </row>
    <row r="272" spans="1:23" hidden="1" x14ac:dyDescent="0.3">
      <c r="A272" s="56" t="s">
        <v>562</v>
      </c>
      <c r="B272" s="56" t="s">
        <v>562</v>
      </c>
      <c r="C272" s="47" t="s">
        <v>33</v>
      </c>
      <c r="D272" s="48" t="s">
        <v>34</v>
      </c>
      <c r="E272" s="22" t="s">
        <v>563</v>
      </c>
      <c r="F272" s="24" t="str">
        <f t="shared" si="16"/>
        <v>PPG - TESA PR MASK TAPE 50M X 50MM 4440</v>
      </c>
      <c r="G272" s="20" t="s">
        <v>5148</v>
      </c>
      <c r="H272" s="25" t="s">
        <v>36</v>
      </c>
      <c r="I272" s="18" t="s">
        <v>37</v>
      </c>
      <c r="J272" s="18" t="s">
        <v>38</v>
      </c>
      <c r="K272" t="s">
        <v>39</v>
      </c>
      <c r="L272" s="50">
        <v>9.19</v>
      </c>
      <c r="M272" s="18" t="s">
        <v>214</v>
      </c>
      <c r="N272" s="20">
        <v>3105</v>
      </c>
      <c r="P272" s="16">
        <f>VLOOKUP(A272,'[3]Price info'!A:H,8,FALSE)</f>
        <v>8.5558899999999998</v>
      </c>
      <c r="Q272" s="27">
        <f t="shared" si="17"/>
        <v>0.93100000000000005</v>
      </c>
      <c r="S272" s="16">
        <f>VLOOKUP(A272,[4]Sales!$E:$G,3,FALSE)</f>
        <v>182.68</v>
      </c>
      <c r="T272" s="19">
        <f>VLOOKUP(A272,[4]Volume!$E:$G,3,FALSE)</f>
        <v>2.3000000000000003E-2</v>
      </c>
      <c r="U272" s="19">
        <f>VLOOKUP(A272,[4]Piece!$E:$G,3,FALSE)</f>
        <v>23</v>
      </c>
      <c r="V272" s="21">
        <f t="shared" si="18"/>
        <v>196.78547</v>
      </c>
      <c r="W272" s="16">
        <f t="shared" si="19"/>
        <v>14.105469999999997</v>
      </c>
    </row>
    <row r="273" spans="1:23" hidden="1" x14ac:dyDescent="0.3">
      <c r="A273" s="22" t="s">
        <v>564</v>
      </c>
      <c r="B273" s="22" t="s">
        <v>564</v>
      </c>
      <c r="C273" s="23" t="s">
        <v>33</v>
      </c>
      <c r="D273" s="20" t="s">
        <v>34</v>
      </c>
      <c r="E273" s="22" t="s">
        <v>565</v>
      </c>
      <c r="F273" s="24" t="str">
        <f t="shared" si="16"/>
        <v>PPG - Johnstones PRO UNDERCOAT - BW - 2.5ltr</v>
      </c>
      <c r="G273" s="23" t="s">
        <v>5149</v>
      </c>
      <c r="H273" s="25" t="s">
        <v>36</v>
      </c>
      <c r="I273" s="18" t="s">
        <v>37</v>
      </c>
      <c r="J273" s="18" t="s">
        <v>38</v>
      </c>
      <c r="K273" t="s">
        <v>39</v>
      </c>
      <c r="L273" s="26">
        <f>VLOOKUP(A273,'[3]Price info'!A:D,4,FALSE)</f>
        <v>9.7799999999999994</v>
      </c>
      <c r="M273" s="18" t="s">
        <v>40</v>
      </c>
      <c r="N273" s="20">
        <v>3105</v>
      </c>
      <c r="P273" s="16">
        <f>VLOOKUP(A273,'[3]Price info'!A:H,8,FALSE)</f>
        <v>9.7799999999999994</v>
      </c>
      <c r="Q273" s="27">
        <f t="shared" si="17"/>
        <v>1</v>
      </c>
      <c r="S273" s="16">
        <f>VLOOKUP(A273,[4]Sales!$E:$G,3,FALSE)</f>
        <v>1386.0599999999995</v>
      </c>
      <c r="T273" s="19">
        <f>VLOOKUP(A273,[4]Volume!$E:$G,3,FALSE)</f>
        <v>347.5</v>
      </c>
      <c r="U273" s="19">
        <f>VLOOKUP(A273,[4]Piece!$E:$G,3,FALSE)</f>
        <v>139</v>
      </c>
      <c r="V273" s="21">
        <f t="shared" si="18"/>
        <v>1359.4199999999998</v>
      </c>
      <c r="W273" s="16">
        <f t="shared" si="19"/>
        <v>-26.639999999999645</v>
      </c>
    </row>
    <row r="274" spans="1:23" hidden="1" x14ac:dyDescent="0.3">
      <c r="A274" s="53" t="s">
        <v>566</v>
      </c>
      <c r="B274" s="54" t="s">
        <v>566</v>
      </c>
      <c r="C274" s="47" t="s">
        <v>33</v>
      </c>
      <c r="D274" s="48" t="s">
        <v>34</v>
      </c>
      <c r="E274" s="22" t="s">
        <v>567</v>
      </c>
      <c r="F274" s="24" t="str">
        <f t="shared" si="16"/>
        <v>PPG - PLASTIC 15"  SCUTTLE</v>
      </c>
      <c r="G274" s="20" t="s">
        <v>5150</v>
      </c>
      <c r="H274" s="25" t="s">
        <v>36</v>
      </c>
      <c r="I274" s="18" t="s">
        <v>37</v>
      </c>
      <c r="J274" s="18" t="s">
        <v>38</v>
      </c>
      <c r="K274" t="s">
        <v>39</v>
      </c>
      <c r="L274" s="26">
        <f>VLOOKUP(A274,'[3]Price info'!A:D,4,FALSE)</f>
        <v>6.65</v>
      </c>
      <c r="M274" s="18" t="s">
        <v>214</v>
      </c>
      <c r="N274" s="20">
        <v>3105</v>
      </c>
      <c r="P274" s="16">
        <f>VLOOKUP(A274,'[3]Price info'!A:H,8,FALSE)</f>
        <v>6.1911500000000004</v>
      </c>
      <c r="Q274" s="27">
        <f t="shared" si="17"/>
        <v>0.93100000000000005</v>
      </c>
      <c r="S274" s="16">
        <f>VLOOKUP(A274,[4]Sales!$E:$G,3,FALSE)</f>
        <v>1088.4900000000007</v>
      </c>
      <c r="T274" s="19">
        <f>VLOOKUP(A274,[4]Volume!$E:$G,3,FALSE)</f>
        <v>171</v>
      </c>
      <c r="U274" s="19">
        <f>VLOOKUP(A274,[4]Piece!$E:$G,3,FALSE)</f>
        <v>171</v>
      </c>
      <c r="V274" s="21">
        <f t="shared" si="18"/>
        <v>1058.6866500000001</v>
      </c>
      <c r="W274" s="16">
        <f t="shared" si="19"/>
        <v>-29.803350000000592</v>
      </c>
    </row>
    <row r="275" spans="1:23" hidden="1" x14ac:dyDescent="0.3">
      <c r="A275" s="22" t="s">
        <v>568</v>
      </c>
      <c r="B275" s="22" t="s">
        <v>568</v>
      </c>
      <c r="C275" s="23" t="s">
        <v>33</v>
      </c>
      <c r="D275" s="20" t="s">
        <v>34</v>
      </c>
      <c r="E275" s="22" t="s">
        <v>569</v>
      </c>
      <c r="F275" s="24" t="str">
        <f t="shared" si="16"/>
        <v>PPG - Johnstones Acrylic Durable Matt - Mag - 10l</v>
      </c>
      <c r="G275" s="23" t="s">
        <v>5151</v>
      </c>
      <c r="H275" s="25" t="s">
        <v>36</v>
      </c>
      <c r="I275" s="18" t="s">
        <v>37</v>
      </c>
      <c r="J275" s="18" t="s">
        <v>38</v>
      </c>
      <c r="K275" t="s">
        <v>39</v>
      </c>
      <c r="L275" s="26">
        <f>VLOOKUP(A275,'[3]Price info'!A:D,4,FALSE)</f>
        <v>34.5</v>
      </c>
      <c r="M275" s="18" t="s">
        <v>40</v>
      </c>
      <c r="N275" s="20">
        <v>3105</v>
      </c>
      <c r="P275" s="16">
        <f>VLOOKUP(A275,'[3]Price info'!A:H,8,FALSE)</f>
        <v>31.35</v>
      </c>
      <c r="Q275" s="27">
        <f t="shared" si="17"/>
        <v>0.90869565217391313</v>
      </c>
      <c r="S275" s="16">
        <f>VLOOKUP(A275,[4]Sales!$E:$G,3,FALSE)</f>
        <v>831</v>
      </c>
      <c r="T275" s="19">
        <f>VLOOKUP(A275,[4]Volume!$E:$G,3,FALSE)</f>
        <v>250</v>
      </c>
      <c r="U275" s="19">
        <f>VLOOKUP(A275,[4]Piece!$E:$G,3,FALSE)</f>
        <v>25</v>
      </c>
      <c r="V275" s="21">
        <f t="shared" si="18"/>
        <v>783.75</v>
      </c>
      <c r="W275" s="16">
        <f t="shared" si="19"/>
        <v>-47.25</v>
      </c>
    </row>
    <row r="276" spans="1:23" hidden="1" x14ac:dyDescent="0.3">
      <c r="A276" s="22" t="s">
        <v>570</v>
      </c>
      <c r="B276" s="22" t="s">
        <v>570</v>
      </c>
      <c r="C276" s="23" t="s">
        <v>33</v>
      </c>
      <c r="D276" s="20" t="s">
        <v>34</v>
      </c>
      <c r="E276" s="22" t="s">
        <v>571</v>
      </c>
      <c r="F276" s="24" t="str">
        <f t="shared" si="16"/>
        <v>PPG - Johnstones ULTRA PRIMER SEALER - BW - 5ltr</v>
      </c>
      <c r="G276" s="23" t="s">
        <v>5152</v>
      </c>
      <c r="H276" s="25" t="s">
        <v>36</v>
      </c>
      <c r="I276" s="18" t="s">
        <v>37</v>
      </c>
      <c r="J276" s="18" t="s">
        <v>38</v>
      </c>
      <c r="K276" t="s">
        <v>39</v>
      </c>
      <c r="L276" s="26">
        <f>VLOOKUP(A276,'[3]Price info'!A:D,4,FALSE)</f>
        <v>25.22</v>
      </c>
      <c r="M276" s="18" t="s">
        <v>40</v>
      </c>
      <c r="N276" s="20">
        <v>3105</v>
      </c>
      <c r="P276" s="16">
        <f>VLOOKUP(A276,'[3]Price info'!A:H,8,FALSE)</f>
        <v>23.47982</v>
      </c>
      <c r="Q276" s="27">
        <f t="shared" si="17"/>
        <v>0.93100000000000005</v>
      </c>
      <c r="S276" s="16">
        <f>VLOOKUP(A276,[4]Sales!$E:$G,3,FALSE)</f>
        <v>394.82</v>
      </c>
      <c r="T276" s="19">
        <f>VLOOKUP(A276,[4]Volume!$E:$G,3,FALSE)</f>
        <v>80</v>
      </c>
      <c r="U276" s="19">
        <f>VLOOKUP(A276,[4]Piece!$E:$G,3,FALSE)</f>
        <v>16</v>
      </c>
      <c r="V276" s="21">
        <f t="shared" si="18"/>
        <v>375.67712</v>
      </c>
      <c r="W276" s="16">
        <f t="shared" si="19"/>
        <v>-19.142879999999991</v>
      </c>
    </row>
    <row r="277" spans="1:23" hidden="1" x14ac:dyDescent="0.3">
      <c r="A277" s="102" t="s">
        <v>7993</v>
      </c>
      <c r="B277" s="102" t="s">
        <v>7993</v>
      </c>
      <c r="C277" s="23" t="s">
        <v>33</v>
      </c>
      <c r="D277" s="20" t="s">
        <v>34</v>
      </c>
      <c r="E277" s="22" t="s">
        <v>572</v>
      </c>
      <c r="F277" s="24" t="str">
        <f t="shared" si="16"/>
        <v>PPG - Artex EASI FILL 20 10KG</v>
      </c>
      <c r="G277" s="38" t="s">
        <v>5153</v>
      </c>
      <c r="H277" s="39" t="s">
        <v>213</v>
      </c>
      <c r="I277" s="40" t="s">
        <v>37</v>
      </c>
      <c r="J277" s="40" t="s">
        <v>38</v>
      </c>
      <c r="K277" s="41" t="s">
        <v>39</v>
      </c>
      <c r="L277" s="26" t="e">
        <f>VLOOKUP(A277,'[3]Price info'!A:D,4,FALSE)</f>
        <v>#N/A</v>
      </c>
      <c r="M277" s="40" t="s">
        <v>40</v>
      </c>
      <c r="N277" s="42">
        <v>3105</v>
      </c>
      <c r="O277" s="43"/>
      <c r="P277" s="16">
        <v>17.690000000000001</v>
      </c>
      <c r="Q277" s="52" t="e">
        <f t="shared" si="17"/>
        <v>#N/A</v>
      </c>
      <c r="R277" s="40"/>
      <c r="S277" s="16" t="e">
        <f>VLOOKUP(A277,[4]Sales!$E:$G,3,FALSE)</f>
        <v>#N/A</v>
      </c>
      <c r="T277" s="19" t="e">
        <f>VLOOKUP(A277,[4]Volume!$E:$G,3,FALSE)</f>
        <v>#N/A</v>
      </c>
      <c r="U277" s="19" t="e">
        <f>VLOOKUP(A277,[4]Piece!$E:$G,3,FALSE)</f>
        <v>#N/A</v>
      </c>
      <c r="V277" s="21" t="e">
        <f t="shared" si="18"/>
        <v>#N/A</v>
      </c>
      <c r="W277" s="16" t="e">
        <f t="shared" si="19"/>
        <v>#N/A</v>
      </c>
    </row>
    <row r="278" spans="1:23" hidden="1" x14ac:dyDescent="0.3">
      <c r="A278" s="22" t="s">
        <v>573</v>
      </c>
      <c r="B278" s="22" t="s">
        <v>573</v>
      </c>
      <c r="C278" s="23" t="s">
        <v>33</v>
      </c>
      <c r="D278" s="20" t="s">
        <v>34</v>
      </c>
      <c r="E278" s="22" t="s">
        <v>574</v>
      </c>
      <c r="F278" s="24" t="str">
        <f t="shared" si="16"/>
        <v>PPG - Johnstones STAIN BLOCK PRIMER - White - 5ltr</v>
      </c>
      <c r="G278" s="23" t="s">
        <v>5154</v>
      </c>
      <c r="H278" s="25" t="s">
        <v>36</v>
      </c>
      <c r="I278" s="18" t="s">
        <v>37</v>
      </c>
      <c r="J278" s="18" t="s">
        <v>38</v>
      </c>
      <c r="K278" t="s">
        <v>39</v>
      </c>
      <c r="L278" s="26">
        <f>VLOOKUP(A278,'[3]Price info'!A:D,4,FALSE)</f>
        <v>46.71</v>
      </c>
      <c r="M278" s="18" t="s">
        <v>40</v>
      </c>
      <c r="N278" s="20">
        <v>3105</v>
      </c>
      <c r="P278" s="16">
        <f>VLOOKUP(A278,'[3]Price info'!A:H,8,FALSE)</f>
        <v>43.487010000000005</v>
      </c>
      <c r="Q278" s="27">
        <f t="shared" si="17"/>
        <v>0.93100000000000005</v>
      </c>
      <c r="S278" s="16">
        <f>VLOOKUP(A278,[4]Sales!$E:$G,3,FALSE)</f>
        <v>507.36999999999995</v>
      </c>
      <c r="T278" s="19">
        <f>VLOOKUP(A278,[4]Volume!$E:$G,3,FALSE)</f>
        <v>55</v>
      </c>
      <c r="U278" s="19">
        <f>VLOOKUP(A278,[4]Piece!$E:$G,3,FALSE)</f>
        <v>11</v>
      </c>
      <c r="V278" s="21">
        <f t="shared" si="18"/>
        <v>478.35711000000003</v>
      </c>
      <c r="W278" s="16">
        <f t="shared" si="19"/>
        <v>-29.012889999999913</v>
      </c>
    </row>
    <row r="279" spans="1:23" hidden="1" x14ac:dyDescent="0.3">
      <c r="A279" s="22" t="s">
        <v>575</v>
      </c>
      <c r="B279" s="22" t="s">
        <v>575</v>
      </c>
      <c r="C279" s="23" t="s">
        <v>33</v>
      </c>
      <c r="D279" s="20" t="s">
        <v>34</v>
      </c>
      <c r="E279" s="22" t="s">
        <v>576</v>
      </c>
      <c r="F279" s="24" t="str">
        <f t="shared" si="16"/>
        <v>PPG - Johnstones 2PK WB FLOOR - Morn Mist - 5ltr</v>
      </c>
      <c r="G279" s="23" t="s">
        <v>5155</v>
      </c>
      <c r="H279" s="25" t="s">
        <v>36</v>
      </c>
      <c r="I279" s="18" t="s">
        <v>37</v>
      </c>
      <c r="J279" s="18" t="s">
        <v>38</v>
      </c>
      <c r="K279" t="s">
        <v>39</v>
      </c>
      <c r="L279" s="26">
        <f>VLOOKUP(A279,'[3]Price info'!A:D,4,FALSE)</f>
        <v>127.65</v>
      </c>
      <c r="M279" s="18" t="s">
        <v>40</v>
      </c>
      <c r="N279" s="20">
        <v>3105</v>
      </c>
      <c r="P279" s="16">
        <f>VLOOKUP(A279,'[3]Price info'!A:H,8,FALSE)</f>
        <v>76.59</v>
      </c>
      <c r="Q279" s="27">
        <f t="shared" si="17"/>
        <v>0.6</v>
      </c>
      <c r="S279" s="16" t="e">
        <f>VLOOKUP(A279,[4]Sales!$E:$G,3,FALSE)</f>
        <v>#N/A</v>
      </c>
      <c r="T279" s="19" t="e">
        <f>VLOOKUP(A279,[4]Volume!$E:$G,3,FALSE)</f>
        <v>#N/A</v>
      </c>
      <c r="U279" s="19" t="e">
        <f>VLOOKUP(A279,[4]Piece!$E:$G,3,FALSE)</f>
        <v>#N/A</v>
      </c>
      <c r="V279" s="21" t="e">
        <f t="shared" si="18"/>
        <v>#N/A</v>
      </c>
      <c r="W279" s="16" t="e">
        <f t="shared" si="19"/>
        <v>#N/A</v>
      </c>
    </row>
    <row r="280" spans="1:23" hidden="1" x14ac:dyDescent="0.3">
      <c r="A280" s="22" t="s">
        <v>577</v>
      </c>
      <c r="B280" s="22" t="s">
        <v>577</v>
      </c>
      <c r="C280" s="23" t="s">
        <v>33</v>
      </c>
      <c r="D280" s="20" t="s">
        <v>34</v>
      </c>
      <c r="E280" s="22" t="s">
        <v>578</v>
      </c>
      <c r="F280" s="24" t="str">
        <f t="shared" si="16"/>
        <v>PPG - ProGold Multi Wipes - Pack 100</v>
      </c>
      <c r="G280" s="23" t="s">
        <v>5156</v>
      </c>
      <c r="H280" s="25" t="s">
        <v>36</v>
      </c>
      <c r="I280" s="18" t="s">
        <v>37</v>
      </c>
      <c r="J280" s="18" t="s">
        <v>38</v>
      </c>
      <c r="K280" t="s">
        <v>39</v>
      </c>
      <c r="L280" s="26">
        <f>VLOOKUP(A280,'[3]Price info'!A:D,4,FALSE)</f>
        <v>3.15</v>
      </c>
      <c r="M280" s="18" t="s">
        <v>40</v>
      </c>
      <c r="N280" s="20">
        <v>3105</v>
      </c>
      <c r="P280" s="16">
        <f>VLOOKUP(A280,'[3]Price info'!A:H,8,FALSE)</f>
        <v>2.9326500000000002</v>
      </c>
      <c r="Q280" s="27">
        <f t="shared" si="17"/>
        <v>0.93100000000000005</v>
      </c>
      <c r="S280" s="16">
        <f>VLOOKUP(A280,[4]Sales!$E:$G,3,FALSE)</f>
        <v>1822.5999999999983</v>
      </c>
      <c r="T280" s="19">
        <f>VLOOKUP(A280,[4]Volume!$E:$G,3,FALSE)</f>
        <v>602</v>
      </c>
      <c r="U280" s="19">
        <f>VLOOKUP(A280,[4]Piece!$E:$G,3,FALSE)</f>
        <v>602</v>
      </c>
      <c r="V280" s="21">
        <f t="shared" si="18"/>
        <v>1765.4553000000001</v>
      </c>
      <c r="W280" s="16">
        <f t="shared" si="19"/>
        <v>-57.144699999998238</v>
      </c>
    </row>
    <row r="281" spans="1:23" hidden="1" x14ac:dyDescent="0.3">
      <c r="A281" s="22" t="s">
        <v>579</v>
      </c>
      <c r="B281" s="22" t="s">
        <v>579</v>
      </c>
      <c r="C281" s="23" t="s">
        <v>33</v>
      </c>
      <c r="D281" s="20" t="s">
        <v>34</v>
      </c>
      <c r="E281" s="22" t="s">
        <v>580</v>
      </c>
      <c r="F281" s="24" t="str">
        <f t="shared" si="16"/>
        <v>PPG - Johnstones PRO GLOSS - Black - 2.5ltr</v>
      </c>
      <c r="G281" s="23" t="s">
        <v>5157</v>
      </c>
      <c r="H281" s="25" t="s">
        <v>36</v>
      </c>
      <c r="I281" s="18" t="s">
        <v>37</v>
      </c>
      <c r="J281" s="18" t="s">
        <v>38</v>
      </c>
      <c r="K281" t="s">
        <v>39</v>
      </c>
      <c r="L281" s="26">
        <f>VLOOKUP(A281,'[3]Price info'!A:D,4,FALSE)</f>
        <v>12.72</v>
      </c>
      <c r="M281" s="18" t="s">
        <v>40</v>
      </c>
      <c r="N281" s="20">
        <v>3105</v>
      </c>
      <c r="P281" s="16">
        <f>VLOOKUP(A281,'[3]Price info'!A:H,8,FALSE)</f>
        <v>14.82</v>
      </c>
      <c r="Q281" s="27">
        <f t="shared" si="17"/>
        <v>1.1650943396226414</v>
      </c>
      <c r="S281" s="16">
        <f>VLOOKUP(A281,[4]Sales!$E:$G,3,FALSE)</f>
        <v>949.74000000000046</v>
      </c>
      <c r="T281" s="19">
        <f>VLOOKUP(A281,[4]Volume!$E:$G,3,FALSE)</f>
        <v>177.5</v>
      </c>
      <c r="U281" s="19">
        <f>VLOOKUP(A281,[4]Piece!$E:$G,3,FALSE)</f>
        <v>71</v>
      </c>
      <c r="V281" s="21">
        <f t="shared" si="18"/>
        <v>1052.22</v>
      </c>
      <c r="W281" s="16">
        <f t="shared" si="19"/>
        <v>102.47999999999956</v>
      </c>
    </row>
    <row r="282" spans="1:23" hidden="1" x14ac:dyDescent="0.3">
      <c r="A282" s="22" t="s">
        <v>581</v>
      </c>
      <c r="B282" s="22" t="s">
        <v>581</v>
      </c>
      <c r="C282" s="23" t="s">
        <v>33</v>
      </c>
      <c r="D282" s="20" t="s">
        <v>34</v>
      </c>
      <c r="E282" s="22" t="s">
        <v>582</v>
      </c>
      <c r="F282" s="24" t="str">
        <f t="shared" si="16"/>
        <v>PPG - Johnstones EGGSHELL - Brilliant White - 5ltr</v>
      </c>
      <c r="G282" s="23" t="s">
        <v>5158</v>
      </c>
      <c r="H282" s="25" t="s">
        <v>36</v>
      </c>
      <c r="I282" s="18" t="s">
        <v>37</v>
      </c>
      <c r="J282" s="18" t="s">
        <v>38</v>
      </c>
      <c r="K282" t="s">
        <v>39</v>
      </c>
      <c r="L282" s="26">
        <f>VLOOKUP(A282,'[3]Price info'!A:D,4,FALSE)</f>
        <v>19.079999999999998</v>
      </c>
      <c r="M282" s="18" t="s">
        <v>40</v>
      </c>
      <c r="N282" s="20">
        <v>3105</v>
      </c>
      <c r="P282" s="16">
        <f>VLOOKUP(A282,'[3]Price info'!A:H,8,FALSE)</f>
        <v>23.68</v>
      </c>
      <c r="Q282" s="27">
        <f t="shared" si="17"/>
        <v>1.2410901467505242</v>
      </c>
      <c r="S282" s="16">
        <f>VLOOKUP(A282,[4]Sales!$E:$G,3,FALSE)</f>
        <v>1125.32</v>
      </c>
      <c r="T282" s="19">
        <f>VLOOKUP(A282,[4]Volume!$E:$G,3,FALSE)</f>
        <v>280</v>
      </c>
      <c r="U282" s="19">
        <f>VLOOKUP(A282,[4]Piece!$E:$G,3,FALSE)</f>
        <v>56</v>
      </c>
      <c r="V282" s="21">
        <f t="shared" si="18"/>
        <v>1326.08</v>
      </c>
      <c r="W282" s="16">
        <f t="shared" si="19"/>
        <v>200.76</v>
      </c>
    </row>
    <row r="283" spans="1:23" hidden="1" x14ac:dyDescent="0.3">
      <c r="A283" s="22" t="s">
        <v>583</v>
      </c>
      <c r="B283" s="22" t="s">
        <v>583</v>
      </c>
      <c r="C283" s="23" t="s">
        <v>33</v>
      </c>
      <c r="D283" s="20" t="s">
        <v>34</v>
      </c>
      <c r="E283" s="22" t="s">
        <v>584</v>
      </c>
      <c r="F283" s="24" t="str">
        <f t="shared" si="16"/>
        <v>PPG - Leyland VINYL MATT - Magnolia - 10ltr</v>
      </c>
      <c r="G283" s="23" t="s">
        <v>5159</v>
      </c>
      <c r="H283" s="25" t="s">
        <v>36</v>
      </c>
      <c r="I283" s="18" t="s">
        <v>37</v>
      </c>
      <c r="J283" s="18" t="s">
        <v>38</v>
      </c>
      <c r="K283" t="s">
        <v>39</v>
      </c>
      <c r="L283" s="26">
        <f>VLOOKUP(A283,'[3]Price info'!A:D,4,FALSE)</f>
        <v>18.93</v>
      </c>
      <c r="M283" s="18" t="s">
        <v>40</v>
      </c>
      <c r="N283" s="20">
        <v>3105</v>
      </c>
      <c r="P283" s="16">
        <f>VLOOKUP(A283,'[3]Price info'!A:H,8,FALSE)</f>
        <v>16.489999999999998</v>
      </c>
      <c r="Q283" s="27">
        <f t="shared" si="17"/>
        <v>0.87110406761753822</v>
      </c>
      <c r="S283" s="16">
        <f>VLOOKUP(A283,[4]Sales!$E:$G,3,FALSE)</f>
        <v>32.979999999999997</v>
      </c>
      <c r="T283" s="19">
        <f>VLOOKUP(A283,[4]Volume!$E:$G,3,FALSE)</f>
        <v>20</v>
      </c>
      <c r="U283" s="19">
        <f>VLOOKUP(A283,[4]Piece!$E:$G,3,FALSE)</f>
        <v>2</v>
      </c>
      <c r="V283" s="21">
        <f t="shared" si="18"/>
        <v>32.979999999999997</v>
      </c>
      <c r="W283" s="16">
        <f t="shared" si="19"/>
        <v>0</v>
      </c>
    </row>
    <row r="284" spans="1:23" hidden="1" x14ac:dyDescent="0.3">
      <c r="A284" s="22" t="s">
        <v>585</v>
      </c>
      <c r="B284" s="22" t="s">
        <v>585</v>
      </c>
      <c r="C284" s="23" t="s">
        <v>33</v>
      </c>
      <c r="D284" s="20" t="s">
        <v>34</v>
      </c>
      <c r="E284" s="22" t="s">
        <v>586</v>
      </c>
      <c r="F284" s="24" t="str">
        <f t="shared" si="16"/>
        <v>PPG - Johnstones PRO UNDERCOAT - Mix - 2.5ltr</v>
      </c>
      <c r="G284" s="23" t="s">
        <v>5160</v>
      </c>
      <c r="H284" s="25" t="s">
        <v>36</v>
      </c>
      <c r="I284" s="18" t="s">
        <v>37</v>
      </c>
      <c r="J284" s="18" t="s">
        <v>38</v>
      </c>
      <c r="K284" t="s">
        <v>39</v>
      </c>
      <c r="L284" s="26">
        <f>VLOOKUP(A284,'[3]Price info'!A:D,4,FALSE)</f>
        <v>9.7799999999999994</v>
      </c>
      <c r="M284" s="18" t="s">
        <v>40</v>
      </c>
      <c r="N284" s="20">
        <v>3105</v>
      </c>
      <c r="P284" s="16">
        <f>VLOOKUP(A284,'[3]Price info'!A:H,8,FALSE)</f>
        <v>13.69</v>
      </c>
      <c r="Q284" s="27">
        <f t="shared" si="17"/>
        <v>1.3997955010224949</v>
      </c>
      <c r="S284" s="16">
        <f>VLOOKUP(A284,[4]Sales!$E:$G,3,FALSE)</f>
        <v>829.7999999999995</v>
      </c>
      <c r="T284" s="19">
        <f>VLOOKUP(A284,[4]Volume!$E:$G,3,FALSE)</f>
        <v>180</v>
      </c>
      <c r="U284" s="19">
        <f>VLOOKUP(A284,[4]Piece!$E:$G,3,FALSE)</f>
        <v>72</v>
      </c>
      <c r="V284" s="21">
        <f t="shared" si="18"/>
        <v>985.68</v>
      </c>
      <c r="W284" s="16">
        <f t="shared" si="19"/>
        <v>155.88000000000045</v>
      </c>
    </row>
    <row r="285" spans="1:23" hidden="1" x14ac:dyDescent="0.3">
      <c r="A285" s="22" t="s">
        <v>587</v>
      </c>
      <c r="B285" s="22" t="s">
        <v>587</v>
      </c>
      <c r="C285" s="23" t="s">
        <v>33</v>
      </c>
      <c r="D285" s="20" t="s">
        <v>34</v>
      </c>
      <c r="E285" s="22" t="s">
        <v>588</v>
      </c>
      <c r="F285" s="24" t="str">
        <f t="shared" si="16"/>
        <v>PPG - ProGold ALUMINIUM OXIDE GRD80 10M</v>
      </c>
      <c r="G285" s="23" t="s">
        <v>5161</v>
      </c>
      <c r="H285" s="25" t="s">
        <v>36</v>
      </c>
      <c r="I285" s="18" t="s">
        <v>37</v>
      </c>
      <c r="J285" s="18" t="s">
        <v>38</v>
      </c>
      <c r="K285" t="s">
        <v>39</v>
      </c>
      <c r="L285" s="26">
        <f>VLOOKUP(A285,'[3]Price info'!A:D,4,FALSE)</f>
        <v>5.29</v>
      </c>
      <c r="M285" s="18" t="s">
        <v>40</v>
      </c>
      <c r="N285" s="20">
        <v>3105</v>
      </c>
      <c r="P285" s="16">
        <f>VLOOKUP(A285,'[3]Price info'!A:H,8,FALSE)</f>
        <v>4.9249900000000002</v>
      </c>
      <c r="Q285" s="27">
        <f t="shared" si="17"/>
        <v>0.93100000000000005</v>
      </c>
      <c r="S285" s="16">
        <f>VLOOKUP(A285,[4]Sales!$E:$G,3,FALSE)</f>
        <v>547.10000000000025</v>
      </c>
      <c r="T285" s="19">
        <f>VLOOKUP(A285,[4]Volume!$E:$G,3,FALSE)</f>
        <v>108</v>
      </c>
      <c r="U285" s="19">
        <f>VLOOKUP(A285,[4]Piece!$E:$G,3,FALSE)</f>
        <v>108</v>
      </c>
      <c r="V285" s="21">
        <f t="shared" si="18"/>
        <v>531.89891999999998</v>
      </c>
      <c r="W285" s="16">
        <f t="shared" si="19"/>
        <v>-15.201080000000275</v>
      </c>
    </row>
    <row r="286" spans="1:23" hidden="1" x14ac:dyDescent="0.3">
      <c r="A286" s="46" t="s">
        <v>589</v>
      </c>
      <c r="B286" s="46" t="s">
        <v>589</v>
      </c>
      <c r="C286" s="47" t="s">
        <v>33</v>
      </c>
      <c r="D286" s="48" t="s">
        <v>34</v>
      </c>
      <c r="E286" s="18" t="s">
        <v>590</v>
      </c>
      <c r="F286" s="24" t="str">
        <f t="shared" si="16"/>
        <v>PPG - ZINSR BULLSEYE 123 WHITE      0000001250</v>
      </c>
      <c r="G286" s="20" t="s">
        <v>5162</v>
      </c>
      <c r="H286" s="49" t="s">
        <v>213</v>
      </c>
      <c r="I286" s="18" t="s">
        <v>37</v>
      </c>
      <c r="J286" s="18" t="s">
        <v>38</v>
      </c>
      <c r="K286" t="s">
        <v>39</v>
      </c>
      <c r="L286" s="50">
        <f>VLOOKUP(A286,'[3]Price info'!A:D,4,FALSE)</f>
        <v>33.96</v>
      </c>
      <c r="M286" s="18" t="s">
        <v>214</v>
      </c>
      <c r="N286" s="20">
        <v>3105</v>
      </c>
      <c r="P286" s="16">
        <f>VLOOKUP(A286,'[3]Price info'!A:H,8,FALSE)</f>
        <v>31.616760000000003</v>
      </c>
      <c r="Q286" s="17">
        <f t="shared" si="17"/>
        <v>0.93100000000000005</v>
      </c>
      <c r="S286" s="16">
        <f>VLOOKUP(A286,[4]Sales!$E:$G,3,FALSE)</f>
        <v>446.21999999999997</v>
      </c>
      <c r="T286" s="19">
        <f>VLOOKUP(A286,[4]Volume!$E:$G,3,FALSE)</f>
        <v>35</v>
      </c>
      <c r="U286" s="19">
        <f>VLOOKUP(A286,[4]Piece!$E:$G,3,FALSE)</f>
        <v>14</v>
      </c>
      <c r="V286" s="21">
        <f t="shared" si="18"/>
        <v>442.63464000000005</v>
      </c>
      <c r="W286" s="16">
        <f t="shared" si="19"/>
        <v>-3.5853599999999233</v>
      </c>
    </row>
    <row r="287" spans="1:23" hidden="1" x14ac:dyDescent="0.3">
      <c r="A287" s="22" t="s">
        <v>591</v>
      </c>
      <c r="B287" s="22" t="s">
        <v>591</v>
      </c>
      <c r="C287" s="23" t="s">
        <v>33</v>
      </c>
      <c r="D287" s="20" t="s">
        <v>34</v>
      </c>
      <c r="E287" s="22" t="s">
        <v>592</v>
      </c>
      <c r="F287" s="24" t="str">
        <f t="shared" si="16"/>
        <v>PPG - Leyland TRUGARD PLIOLITE - Magnolia - 5ltr</v>
      </c>
      <c r="G287" s="23" t="s">
        <v>5163</v>
      </c>
      <c r="H287" s="25" t="s">
        <v>36</v>
      </c>
      <c r="I287" s="18" t="s">
        <v>37</v>
      </c>
      <c r="J287" s="18" t="s">
        <v>38</v>
      </c>
      <c r="K287" t="s">
        <v>39</v>
      </c>
      <c r="L287" s="26">
        <f>VLOOKUP(A287,'[3]Price info'!A:D,4,FALSE)</f>
        <v>17.100000000000001</v>
      </c>
      <c r="M287" s="18" t="s">
        <v>40</v>
      </c>
      <c r="N287" s="20">
        <v>3105</v>
      </c>
      <c r="P287" s="16">
        <f>VLOOKUP(A287,'[3]Price info'!A:H,8,FALSE)</f>
        <v>20.52</v>
      </c>
      <c r="Q287" s="27">
        <f t="shared" si="17"/>
        <v>1.2</v>
      </c>
      <c r="S287" s="16">
        <f>VLOOKUP(A287,[4]Sales!$E:$G,3,FALSE)</f>
        <v>17.100000000000001</v>
      </c>
      <c r="T287" s="19">
        <f>VLOOKUP(A287,[4]Volume!$E:$G,3,FALSE)</f>
        <v>5</v>
      </c>
      <c r="U287" s="19">
        <f>VLOOKUP(A287,[4]Piece!$E:$G,3,FALSE)</f>
        <v>1</v>
      </c>
      <c r="V287" s="21">
        <f t="shared" si="18"/>
        <v>20.52</v>
      </c>
      <c r="W287" s="16">
        <f t="shared" si="19"/>
        <v>3.4199999999999982</v>
      </c>
    </row>
    <row r="288" spans="1:23" hidden="1" x14ac:dyDescent="0.3">
      <c r="A288" s="46" t="s">
        <v>593</v>
      </c>
      <c r="B288" s="46" t="s">
        <v>593</v>
      </c>
      <c r="C288" s="47" t="s">
        <v>33</v>
      </c>
      <c r="D288" s="48" t="s">
        <v>34</v>
      </c>
      <c r="E288" s="18" t="s">
        <v>594</v>
      </c>
      <c r="F288" s="24" t="str">
        <f t="shared" si="16"/>
        <v>PPG - EWI   WHIPLASTIC EXPANSION BEAD 2.5M10MM</v>
      </c>
      <c r="G288" s="20" t="s">
        <v>5164</v>
      </c>
      <c r="H288" s="49" t="s">
        <v>213</v>
      </c>
      <c r="I288" s="18" t="s">
        <v>37</v>
      </c>
      <c r="J288" s="18" t="s">
        <v>38</v>
      </c>
      <c r="K288" t="s">
        <v>39</v>
      </c>
      <c r="L288" s="50">
        <f>VLOOKUP(A288,'[3]Price info'!A:D,4,FALSE)</f>
        <v>5.87</v>
      </c>
      <c r="M288" s="18" t="s">
        <v>214</v>
      </c>
      <c r="N288" s="20">
        <v>3105</v>
      </c>
      <c r="P288" s="16">
        <f>VLOOKUP(A288,'[3]Price info'!A:H,8,FALSE)</f>
        <v>5.87</v>
      </c>
      <c r="Q288" s="17">
        <f t="shared" si="17"/>
        <v>1</v>
      </c>
      <c r="S288" s="16" t="e">
        <f>VLOOKUP(A288,[4]Sales!$E:$G,3,FALSE)</f>
        <v>#N/A</v>
      </c>
      <c r="T288" s="19" t="e">
        <f>VLOOKUP(A288,[4]Volume!$E:$G,3,FALSE)</f>
        <v>#N/A</v>
      </c>
      <c r="U288" s="19" t="e">
        <f>VLOOKUP(A288,[4]Piece!$E:$G,3,FALSE)</f>
        <v>#N/A</v>
      </c>
      <c r="V288" s="21" t="e">
        <f t="shared" si="18"/>
        <v>#N/A</v>
      </c>
      <c r="W288" s="16" t="e">
        <f t="shared" si="19"/>
        <v>#N/A</v>
      </c>
    </row>
    <row r="289" spans="1:23" hidden="1" x14ac:dyDescent="0.3">
      <c r="A289" s="53" t="s">
        <v>595</v>
      </c>
      <c r="B289" s="54" t="s">
        <v>595</v>
      </c>
      <c r="C289" s="47" t="s">
        <v>33</v>
      </c>
      <c r="D289" s="48" t="s">
        <v>34</v>
      </c>
      <c r="E289" s="22" t="s">
        <v>596</v>
      </c>
      <c r="F289" s="24" t="str">
        <f t="shared" si="16"/>
        <v>PPG - Zinsser BIN PRIMER WHITE 1ltr</v>
      </c>
      <c r="G289" s="20" t="s">
        <v>5165</v>
      </c>
      <c r="H289" s="25" t="s">
        <v>36</v>
      </c>
      <c r="I289" s="18" t="s">
        <v>37</v>
      </c>
      <c r="J289" s="18" t="s">
        <v>38</v>
      </c>
      <c r="K289" t="s">
        <v>39</v>
      </c>
      <c r="L289" s="26">
        <f>VLOOKUP(A289,'[3]Price info'!A:D,4,FALSE)</f>
        <v>17.690000000000001</v>
      </c>
      <c r="M289" s="18" t="s">
        <v>214</v>
      </c>
      <c r="N289" s="20">
        <v>3105</v>
      </c>
      <c r="P289" s="16">
        <f>VLOOKUP(A289,'[3]Price info'!A:H,8,FALSE)</f>
        <v>19.459000000000003</v>
      </c>
      <c r="Q289" s="27">
        <f t="shared" si="17"/>
        <v>1.1000000000000001</v>
      </c>
      <c r="S289" s="16">
        <f>VLOOKUP(A289,[4]Sales!$E:$G,3,FALSE)</f>
        <v>898.68000000000086</v>
      </c>
      <c r="T289" s="19">
        <f>VLOOKUP(A289,[4]Volume!$E:$G,3,FALSE)</f>
        <v>48</v>
      </c>
      <c r="U289" s="19">
        <f>VLOOKUP(A289,[4]Piece!$E:$G,3,FALSE)</f>
        <v>48</v>
      </c>
      <c r="V289" s="21">
        <f t="shared" si="18"/>
        <v>934.03200000000015</v>
      </c>
      <c r="W289" s="16">
        <f t="shared" si="19"/>
        <v>35.351999999999293</v>
      </c>
    </row>
    <row r="290" spans="1:23" x14ac:dyDescent="0.3">
      <c r="A290" s="102" t="s">
        <v>7994</v>
      </c>
      <c r="B290" s="102" t="s">
        <v>7994</v>
      </c>
      <c r="C290" s="23" t="s">
        <v>33</v>
      </c>
      <c r="D290" s="20" t="s">
        <v>34</v>
      </c>
      <c r="E290" s="22" t="s">
        <v>597</v>
      </c>
      <c r="F290" s="24" t="str">
        <f t="shared" si="16"/>
        <v>PPG - Artex EASIFILL 20 5KG</v>
      </c>
      <c r="G290" s="41" t="s">
        <v>5166</v>
      </c>
      <c r="H290" s="39" t="s">
        <v>36</v>
      </c>
      <c r="I290" s="40" t="s">
        <v>37</v>
      </c>
      <c r="J290" s="40" t="s">
        <v>38</v>
      </c>
      <c r="K290" s="41" t="s">
        <v>39</v>
      </c>
      <c r="L290" s="26" t="e">
        <f>VLOOKUP(A290,'[3]Price info'!A:D,4,FALSE)</f>
        <v>#N/A</v>
      </c>
      <c r="M290" s="40" t="s">
        <v>40</v>
      </c>
      <c r="N290" s="42">
        <v>3105</v>
      </c>
      <c r="O290" s="43">
        <v>13.44</v>
      </c>
      <c r="P290" s="16">
        <v>14.26</v>
      </c>
      <c r="Q290" s="52" t="e">
        <f t="shared" si="17"/>
        <v>#N/A</v>
      </c>
      <c r="R290" s="40"/>
      <c r="S290" s="16">
        <f>VLOOKUP(A290,[4]Sales!$E:$G,3,FALSE)</f>
        <v>497.25999999999993</v>
      </c>
      <c r="T290" s="19">
        <f>VLOOKUP(A290,[4]Volume!$E:$G,3,FALSE)</f>
        <v>140</v>
      </c>
      <c r="U290" s="19">
        <f>VLOOKUP(A290,[4]Piece!$E:$G,3,FALSE)</f>
        <v>33</v>
      </c>
      <c r="V290" s="21">
        <f t="shared" si="18"/>
        <v>470.58</v>
      </c>
      <c r="W290" s="16">
        <f t="shared" si="19"/>
        <v>-26.67999999999995</v>
      </c>
    </row>
    <row r="291" spans="1:23" hidden="1" x14ac:dyDescent="0.3">
      <c r="A291" s="22" t="s">
        <v>598</v>
      </c>
      <c r="B291" s="22" t="s">
        <v>598</v>
      </c>
      <c r="C291" s="23" t="s">
        <v>33</v>
      </c>
      <c r="D291" s="20" t="s">
        <v>34</v>
      </c>
      <c r="E291" s="22" t="s">
        <v>599</v>
      </c>
      <c r="F291" s="24" t="str">
        <f t="shared" si="16"/>
        <v>PPG - Johnstones VINYL SOFT SHEEN - BW - 10ltr</v>
      </c>
      <c r="G291" s="23" t="s">
        <v>5167</v>
      </c>
      <c r="H291" s="25" t="s">
        <v>36</v>
      </c>
      <c r="I291" s="18" t="s">
        <v>37</v>
      </c>
      <c r="J291" s="18" t="s">
        <v>38</v>
      </c>
      <c r="K291" t="s">
        <v>39</v>
      </c>
      <c r="L291" s="26">
        <f>VLOOKUP(A291,'[3]Price info'!A:D,4,FALSE)</f>
        <v>25.79</v>
      </c>
      <c r="M291" s="18" t="s">
        <v>40</v>
      </c>
      <c r="N291" s="20">
        <v>3105</v>
      </c>
      <c r="P291" s="16">
        <f>VLOOKUP(A291,'[3]Price info'!A:H,8,FALSE)</f>
        <v>21.42</v>
      </c>
      <c r="Q291" s="27">
        <f t="shared" si="17"/>
        <v>0.83055447848003117</v>
      </c>
      <c r="S291" s="16">
        <f>VLOOKUP(A291,[4]Sales!$E:$G,3,FALSE)</f>
        <v>922.87</v>
      </c>
      <c r="T291" s="19">
        <f>VLOOKUP(A291,[4]Volume!$E:$G,3,FALSE)</f>
        <v>380</v>
      </c>
      <c r="U291" s="19">
        <f>VLOOKUP(A291,[4]Piece!$E:$G,3,FALSE)</f>
        <v>38</v>
      </c>
      <c r="V291" s="21">
        <f t="shared" si="18"/>
        <v>813.96</v>
      </c>
      <c r="W291" s="16">
        <f t="shared" si="19"/>
        <v>-108.90999999999997</v>
      </c>
    </row>
    <row r="292" spans="1:23" hidden="1" x14ac:dyDescent="0.3">
      <c r="A292" s="22" t="s">
        <v>600</v>
      </c>
      <c r="B292" s="22" t="s">
        <v>600</v>
      </c>
      <c r="C292" s="23" t="s">
        <v>33</v>
      </c>
      <c r="D292" s="20" t="s">
        <v>34</v>
      </c>
      <c r="E292" s="22" t="s">
        <v>601</v>
      </c>
      <c r="F292" s="24" t="str">
        <f t="shared" si="16"/>
        <v>PPG - Johnstones Acrylic Durable Matt - Mag -5ltr</v>
      </c>
      <c r="G292" s="23" t="s">
        <v>5168</v>
      </c>
      <c r="H292" s="25" t="s">
        <v>36</v>
      </c>
      <c r="I292" s="18" t="s">
        <v>37</v>
      </c>
      <c r="J292" s="18" t="s">
        <v>38</v>
      </c>
      <c r="K292" t="s">
        <v>39</v>
      </c>
      <c r="L292" s="26">
        <f>VLOOKUP(A292,'[3]Price info'!A:D,4,FALSE)</f>
        <v>21.99</v>
      </c>
      <c r="M292" s="18" t="s">
        <v>40</v>
      </c>
      <c r="N292" s="20">
        <v>3105</v>
      </c>
      <c r="P292" s="16">
        <f>VLOOKUP(A292,'[3]Price info'!A:H,8,FALSE)</f>
        <v>16.5</v>
      </c>
      <c r="Q292" s="27">
        <f t="shared" si="17"/>
        <v>0.75034106412005463</v>
      </c>
      <c r="S292" s="16">
        <f>VLOOKUP(A292,[4]Sales!$E:$G,3,FALSE)</f>
        <v>429.04</v>
      </c>
      <c r="T292" s="19">
        <f>VLOOKUP(A292,[4]Volume!$E:$G,3,FALSE)</f>
        <v>115</v>
      </c>
      <c r="U292" s="19">
        <f>VLOOKUP(A292,[4]Piece!$E:$G,3,FALSE)</f>
        <v>23</v>
      </c>
      <c r="V292" s="21">
        <f t="shared" si="18"/>
        <v>379.5</v>
      </c>
      <c r="W292" s="16">
        <f t="shared" si="19"/>
        <v>-49.54000000000002</v>
      </c>
    </row>
    <row r="293" spans="1:23" hidden="1" x14ac:dyDescent="0.3">
      <c r="A293" s="22" t="s">
        <v>602</v>
      </c>
      <c r="B293" s="22" t="s">
        <v>602</v>
      </c>
      <c r="C293" s="23" t="s">
        <v>33</v>
      </c>
      <c r="D293" s="20" t="s">
        <v>34</v>
      </c>
      <c r="E293" s="22" t="s">
        <v>603</v>
      </c>
      <c r="F293" s="24" t="str">
        <f t="shared" si="16"/>
        <v>PPG - ProGold ALL PURPOSE WALL ADHESIVE 36 roll</v>
      </c>
      <c r="G293" s="23" t="s">
        <v>5169</v>
      </c>
      <c r="H293" s="25" t="s">
        <v>36</v>
      </c>
      <c r="I293" s="18" t="s">
        <v>37</v>
      </c>
      <c r="J293" s="18" t="s">
        <v>38</v>
      </c>
      <c r="K293" t="s">
        <v>39</v>
      </c>
      <c r="L293" s="26">
        <f>VLOOKUP(A293,'[3]Price info'!A:D,4,FALSE)</f>
        <v>3.9</v>
      </c>
      <c r="M293" s="18" t="s">
        <v>40</v>
      </c>
      <c r="N293" s="20">
        <v>3105</v>
      </c>
      <c r="P293" s="16">
        <f>VLOOKUP(A293,'[3]Price info'!A:H,8,FALSE)</f>
        <v>3.6309</v>
      </c>
      <c r="Q293" s="27">
        <f t="shared" si="17"/>
        <v>0.93100000000000005</v>
      </c>
      <c r="S293" s="16">
        <f>VLOOKUP(A293,[4]Sales!$E:$G,3,FALSE)</f>
        <v>877.65999999999963</v>
      </c>
      <c r="T293" s="19">
        <f>VLOOKUP(A293,[4]Volume!$E:$G,3,FALSE)</f>
        <v>235</v>
      </c>
      <c r="U293" s="19">
        <f>VLOOKUP(A293,[4]Piece!$E:$G,3,FALSE)</f>
        <v>235</v>
      </c>
      <c r="V293" s="21">
        <f t="shared" si="18"/>
        <v>853.26149999999996</v>
      </c>
      <c r="W293" s="16">
        <f t="shared" si="19"/>
        <v>-24.398499999999672</v>
      </c>
    </row>
    <row r="294" spans="1:23" hidden="1" x14ac:dyDescent="0.3">
      <c r="A294" s="22" t="s">
        <v>604</v>
      </c>
      <c r="B294" s="22" t="s">
        <v>604</v>
      </c>
      <c r="C294" s="23" t="s">
        <v>33</v>
      </c>
      <c r="D294" s="20" t="s">
        <v>34</v>
      </c>
      <c r="E294" s="22" t="s">
        <v>605</v>
      </c>
      <c r="F294" s="24" t="str">
        <f t="shared" si="16"/>
        <v>PPG - ProGold Multi Wipes - Pack 300</v>
      </c>
      <c r="G294" s="23" t="s">
        <v>5170</v>
      </c>
      <c r="H294" s="25" t="s">
        <v>36</v>
      </c>
      <c r="I294" s="18" t="s">
        <v>37</v>
      </c>
      <c r="J294" s="18" t="s">
        <v>38</v>
      </c>
      <c r="K294" t="s">
        <v>39</v>
      </c>
      <c r="L294" s="26">
        <f>VLOOKUP(A294,'[3]Price info'!A:D,4,FALSE)</f>
        <v>7.19</v>
      </c>
      <c r="M294" s="18" t="s">
        <v>40</v>
      </c>
      <c r="N294" s="20">
        <v>3105</v>
      </c>
      <c r="P294" s="16">
        <f>VLOOKUP(A294,'[3]Price info'!A:H,8,FALSE)</f>
        <v>7.19</v>
      </c>
      <c r="Q294" s="27">
        <f t="shared" si="17"/>
        <v>1</v>
      </c>
      <c r="S294" s="16">
        <f>VLOOKUP(A294,[4]Sales!$E:$G,3,FALSE)</f>
        <v>381.06999999999994</v>
      </c>
      <c r="T294" s="19">
        <f>VLOOKUP(A294,[4]Volume!$E:$G,3,FALSE)</f>
        <v>53</v>
      </c>
      <c r="U294" s="19">
        <f>VLOOKUP(A294,[4]Piece!$E:$G,3,FALSE)</f>
        <v>53</v>
      </c>
      <c r="V294" s="21">
        <f t="shared" si="18"/>
        <v>381.07</v>
      </c>
      <c r="W294" s="16">
        <f t="shared" si="19"/>
        <v>0</v>
      </c>
    </row>
    <row r="295" spans="1:23" hidden="1" x14ac:dyDescent="0.3">
      <c r="A295" s="22" t="s">
        <v>606</v>
      </c>
      <c r="B295" s="22" t="s">
        <v>606</v>
      </c>
      <c r="C295" s="23" t="s">
        <v>33</v>
      </c>
      <c r="D295" s="20" t="s">
        <v>34</v>
      </c>
      <c r="E295" s="22" t="s">
        <v>607</v>
      </c>
      <c r="F295" s="24" t="str">
        <f t="shared" si="16"/>
        <v>PPG - Johnstones Acrylic Durable Matt - Mix - 2.5l</v>
      </c>
      <c r="G295" s="23" t="s">
        <v>5171</v>
      </c>
      <c r="H295" s="25" t="s">
        <v>36</v>
      </c>
      <c r="I295" s="18" t="s">
        <v>37</v>
      </c>
      <c r="J295" s="18" t="s">
        <v>38</v>
      </c>
      <c r="K295" t="s">
        <v>39</v>
      </c>
      <c r="L295" s="26">
        <f>VLOOKUP(A295,'[3]Price info'!A:D,4,FALSE)</f>
        <v>12.55</v>
      </c>
      <c r="M295" s="18" t="s">
        <v>40</v>
      </c>
      <c r="N295" s="20">
        <v>3105</v>
      </c>
      <c r="P295" s="16">
        <f>VLOOKUP(A295,'[3]Price info'!A:H,8,FALSE)</f>
        <v>10.98</v>
      </c>
      <c r="Q295" s="27">
        <f t="shared" si="17"/>
        <v>0.87490039840637446</v>
      </c>
      <c r="S295" s="16">
        <f>VLOOKUP(A295,[4]Sales!$E:$G,3,FALSE)</f>
        <v>1746.7700000000013</v>
      </c>
      <c r="T295" s="19">
        <f>VLOOKUP(A295,[4]Volume!$E:$G,3,FALSE)</f>
        <v>365</v>
      </c>
      <c r="U295" s="19">
        <f>VLOOKUP(A295,[4]Piece!$E:$G,3,FALSE)</f>
        <v>146</v>
      </c>
      <c r="V295" s="21">
        <f t="shared" si="18"/>
        <v>1603.0800000000002</v>
      </c>
      <c r="W295" s="16">
        <f t="shared" si="19"/>
        <v>-143.69000000000119</v>
      </c>
    </row>
    <row r="296" spans="1:23" hidden="1" x14ac:dyDescent="0.3">
      <c r="A296" s="22" t="s">
        <v>608</v>
      </c>
      <c r="B296" s="22" t="s">
        <v>608</v>
      </c>
      <c r="C296" s="23" t="s">
        <v>33</v>
      </c>
      <c r="D296" s="20" t="s">
        <v>34</v>
      </c>
      <c r="E296" s="22" t="s">
        <v>609</v>
      </c>
      <c r="F296" s="24" t="str">
        <f t="shared" si="16"/>
        <v>PPG - Johnstones VINYL SILK - BW - 10ltr</v>
      </c>
      <c r="G296" s="23" t="s">
        <v>5172</v>
      </c>
      <c r="H296" s="25" t="s">
        <v>36</v>
      </c>
      <c r="I296" s="18" t="s">
        <v>37</v>
      </c>
      <c r="J296" s="18" t="s">
        <v>38</v>
      </c>
      <c r="K296" t="s">
        <v>39</v>
      </c>
      <c r="L296" s="26">
        <f>VLOOKUP(A296,'[3]Price info'!A:D,4,FALSE)</f>
        <v>25.79</v>
      </c>
      <c r="M296" s="18" t="s">
        <v>40</v>
      </c>
      <c r="N296" s="20">
        <v>3105</v>
      </c>
      <c r="P296" s="16">
        <f>VLOOKUP(A296,'[3]Price info'!A:H,8,FALSE)</f>
        <v>24.010490000000001</v>
      </c>
      <c r="Q296" s="27">
        <f t="shared" si="17"/>
        <v>0.93100000000000005</v>
      </c>
      <c r="S296" s="16">
        <f>VLOOKUP(A296,[4]Sales!$E:$G,3,FALSE)</f>
        <v>433.77000000000004</v>
      </c>
      <c r="T296" s="19">
        <f>VLOOKUP(A296,[4]Volume!$E:$G,3,FALSE)</f>
        <v>200</v>
      </c>
      <c r="U296" s="19">
        <f>VLOOKUP(A296,[4]Piece!$E:$G,3,FALSE)</f>
        <v>20</v>
      </c>
      <c r="V296" s="21">
        <f t="shared" si="18"/>
        <v>480.20980000000003</v>
      </c>
      <c r="W296" s="16">
        <f t="shared" si="19"/>
        <v>46.439799999999991</v>
      </c>
    </row>
    <row r="297" spans="1:23" hidden="1" x14ac:dyDescent="0.3">
      <c r="A297" s="22" t="s">
        <v>610</v>
      </c>
      <c r="B297" s="22" t="s">
        <v>610</v>
      </c>
      <c r="C297" s="23" t="s">
        <v>33</v>
      </c>
      <c r="D297" s="20" t="s">
        <v>34</v>
      </c>
      <c r="E297" s="22" t="s">
        <v>611</v>
      </c>
      <c r="F297" s="24" t="str">
        <f t="shared" si="16"/>
        <v>PPG - Johnstones AQUA SATIN - Mix - 2.5ltr</v>
      </c>
      <c r="G297" s="23" t="s">
        <v>5173</v>
      </c>
      <c r="H297" s="25" t="s">
        <v>36</v>
      </c>
      <c r="I297" s="18" t="s">
        <v>37</v>
      </c>
      <c r="J297" s="18" t="s">
        <v>38</v>
      </c>
      <c r="K297" t="s">
        <v>39</v>
      </c>
      <c r="L297" s="26">
        <f>VLOOKUP(A297,'[3]Price info'!A:D,4,FALSE)</f>
        <v>18.670000000000002</v>
      </c>
      <c r="M297" s="18" t="s">
        <v>40</v>
      </c>
      <c r="N297" s="20">
        <v>3105</v>
      </c>
      <c r="P297" s="16">
        <f>VLOOKUP(A297,'[3]Price info'!A:H,8,FALSE)</f>
        <v>18.670000000000002</v>
      </c>
      <c r="Q297" s="27">
        <f t="shared" si="17"/>
        <v>1</v>
      </c>
      <c r="S297" s="16">
        <f>VLOOKUP(A297,[4]Sales!$E:$G,3,FALSE)</f>
        <v>1264.5699999999997</v>
      </c>
      <c r="T297" s="19">
        <f>VLOOKUP(A297,[4]Volume!$E:$G,3,FALSE)</f>
        <v>172.5</v>
      </c>
      <c r="U297" s="19">
        <f>VLOOKUP(A297,[4]Piece!$E:$G,3,FALSE)</f>
        <v>69</v>
      </c>
      <c r="V297" s="21">
        <f t="shared" si="18"/>
        <v>1288.23</v>
      </c>
      <c r="W297" s="16">
        <f t="shared" si="19"/>
        <v>23.660000000000309</v>
      </c>
    </row>
    <row r="298" spans="1:23" hidden="1" x14ac:dyDescent="0.3">
      <c r="A298" s="22" t="s">
        <v>612</v>
      </c>
      <c r="B298" s="22" t="s">
        <v>612</v>
      </c>
      <c r="C298" s="23" t="s">
        <v>33</v>
      </c>
      <c r="D298" s="20" t="s">
        <v>34</v>
      </c>
      <c r="E298" s="22" t="s">
        <v>613</v>
      </c>
      <c r="F298" s="24" t="str">
        <f t="shared" si="16"/>
        <v>PPG - Johnstones AQUA GLOSS - Mix - 1ltr</v>
      </c>
      <c r="G298" s="23" t="s">
        <v>5174</v>
      </c>
      <c r="H298" s="25" t="s">
        <v>36</v>
      </c>
      <c r="I298" s="18" t="s">
        <v>37</v>
      </c>
      <c r="J298" s="18" t="s">
        <v>38</v>
      </c>
      <c r="K298" t="s">
        <v>39</v>
      </c>
      <c r="L298" s="26">
        <f>VLOOKUP(A298,'[3]Price info'!A:D,4,FALSE)</f>
        <v>11.92</v>
      </c>
      <c r="M298" s="18" t="s">
        <v>40</v>
      </c>
      <c r="N298" s="20">
        <v>3105</v>
      </c>
      <c r="P298" s="16">
        <f>VLOOKUP(A298,'[3]Price info'!A:H,8,FALSE)</f>
        <v>11.92</v>
      </c>
      <c r="Q298" s="27">
        <f t="shared" si="17"/>
        <v>1</v>
      </c>
      <c r="S298" s="16">
        <f>VLOOKUP(A298,[4]Sales!$E:$G,3,FALSE)</f>
        <v>678.70999999999992</v>
      </c>
      <c r="T298" s="19">
        <f>VLOOKUP(A298,[4]Volume!$E:$G,3,FALSE)</f>
        <v>57</v>
      </c>
      <c r="U298" s="19">
        <f>VLOOKUP(A298,[4]Piece!$E:$G,3,FALSE)</f>
        <v>57</v>
      </c>
      <c r="V298" s="21">
        <f t="shared" si="18"/>
        <v>679.43999999999994</v>
      </c>
      <c r="W298" s="16">
        <f t="shared" si="19"/>
        <v>0.73000000000001819</v>
      </c>
    </row>
    <row r="299" spans="1:23" hidden="1" x14ac:dyDescent="0.3">
      <c r="A299" s="22" t="s">
        <v>614</v>
      </c>
      <c r="B299" s="22" t="s">
        <v>614</v>
      </c>
      <c r="C299" s="23" t="s">
        <v>33</v>
      </c>
      <c r="D299" s="20" t="s">
        <v>34</v>
      </c>
      <c r="E299" s="22" t="s">
        <v>615</v>
      </c>
      <c r="F299" s="24" t="str">
        <f t="shared" si="16"/>
        <v>PPG - Johnstones UNI PRIMER - Red Oxide - 5ltr</v>
      </c>
      <c r="G299" s="23" t="s">
        <v>5175</v>
      </c>
      <c r="H299" s="25" t="s">
        <v>36</v>
      </c>
      <c r="I299" s="18" t="s">
        <v>37</v>
      </c>
      <c r="J299" s="18" t="s">
        <v>38</v>
      </c>
      <c r="K299" t="s">
        <v>39</v>
      </c>
      <c r="L299" s="26">
        <f>VLOOKUP(A299,'[3]Price info'!A:D,4,FALSE)</f>
        <v>44.53</v>
      </c>
      <c r="M299" s="18" t="s">
        <v>40</v>
      </c>
      <c r="N299" s="20">
        <v>3105</v>
      </c>
      <c r="P299" s="16">
        <f>VLOOKUP(A299,'[3]Price info'!A:H,8,FALSE)</f>
        <v>41.457430000000002</v>
      </c>
      <c r="Q299" s="27">
        <f t="shared" si="17"/>
        <v>0.93100000000000005</v>
      </c>
      <c r="S299" s="16" t="e">
        <f>VLOOKUP(A299,[4]Sales!$E:$G,3,FALSE)</f>
        <v>#N/A</v>
      </c>
      <c r="T299" s="19" t="e">
        <f>VLOOKUP(A299,[4]Volume!$E:$G,3,FALSE)</f>
        <v>#N/A</v>
      </c>
      <c r="U299" s="19" t="e">
        <f>VLOOKUP(A299,[4]Piece!$E:$G,3,FALSE)</f>
        <v>#N/A</v>
      </c>
      <c r="V299" s="21" t="e">
        <f t="shared" si="18"/>
        <v>#N/A</v>
      </c>
      <c r="W299" s="16" t="e">
        <f t="shared" si="19"/>
        <v>#N/A</v>
      </c>
    </row>
    <row r="300" spans="1:23" hidden="1" x14ac:dyDescent="0.3">
      <c r="A300" s="22" t="s">
        <v>616</v>
      </c>
      <c r="B300" s="22" t="s">
        <v>616</v>
      </c>
      <c r="C300" s="23" t="s">
        <v>33</v>
      </c>
      <c r="D300" s="20" t="s">
        <v>34</v>
      </c>
      <c r="E300" s="22" t="s">
        <v>617</v>
      </c>
      <c r="F300" s="24" t="str">
        <f t="shared" si="16"/>
        <v>PPG - Johnstones QD OPAQUE - Mix - 2.5ltr</v>
      </c>
      <c r="G300" s="23" t="s">
        <v>5176</v>
      </c>
      <c r="H300" s="25" t="s">
        <v>36</v>
      </c>
      <c r="I300" s="18" t="s">
        <v>37</v>
      </c>
      <c r="J300" s="18" t="s">
        <v>38</v>
      </c>
      <c r="K300" t="s">
        <v>39</v>
      </c>
      <c r="L300" s="26">
        <f>VLOOKUP(A300,'[3]Price info'!A:D,4,FALSE)</f>
        <v>17.09</v>
      </c>
      <c r="M300" s="18" t="s">
        <v>40</v>
      </c>
      <c r="N300" s="20">
        <v>3105</v>
      </c>
      <c r="P300" s="16">
        <f>VLOOKUP(A300,'[3]Price info'!A:H,8,FALSE)</f>
        <v>15.91079</v>
      </c>
      <c r="Q300" s="27">
        <f t="shared" si="17"/>
        <v>0.93100000000000005</v>
      </c>
      <c r="S300" s="16">
        <f>VLOOKUP(A300,[4]Sales!$E:$G,3,FALSE)</f>
        <v>1420.4400000000005</v>
      </c>
      <c r="T300" s="19">
        <f>VLOOKUP(A300,[4]Volume!$E:$G,3,FALSE)</f>
        <v>222.5</v>
      </c>
      <c r="U300" s="19">
        <f>VLOOKUP(A300,[4]Piece!$E:$G,3,FALSE)</f>
        <v>89</v>
      </c>
      <c r="V300" s="21">
        <f t="shared" si="18"/>
        <v>1416.0603100000001</v>
      </c>
      <c r="W300" s="16">
        <f t="shared" si="19"/>
        <v>-4.3796900000004371</v>
      </c>
    </row>
    <row r="301" spans="1:23" hidden="1" x14ac:dyDescent="0.3">
      <c r="A301" s="22" t="s">
        <v>618</v>
      </c>
      <c r="B301" s="22" t="s">
        <v>618</v>
      </c>
      <c r="C301" s="23" t="s">
        <v>33</v>
      </c>
      <c r="D301" s="20" t="s">
        <v>34</v>
      </c>
      <c r="E301" s="22" t="s">
        <v>619</v>
      </c>
      <c r="F301" s="24" t="str">
        <f t="shared" si="16"/>
        <v>PPG - Johnstones QD STEEL &amp; CLADDING - BW - 5ltr</v>
      </c>
      <c r="G301" s="23" t="s">
        <v>5177</v>
      </c>
      <c r="H301" s="25" t="s">
        <v>36</v>
      </c>
      <c r="I301" s="18" t="s">
        <v>37</v>
      </c>
      <c r="J301" s="18" t="s">
        <v>38</v>
      </c>
      <c r="K301" t="s">
        <v>39</v>
      </c>
      <c r="L301" s="26">
        <f>VLOOKUP(A301,'[3]Price info'!A:D,4,FALSE)</f>
        <v>53.24</v>
      </c>
      <c r="M301" s="18" t="s">
        <v>40</v>
      </c>
      <c r="N301" s="20">
        <v>3105</v>
      </c>
      <c r="P301" s="16">
        <f>VLOOKUP(A301,'[3]Price info'!A:H,8,FALSE)</f>
        <v>49.566440000000007</v>
      </c>
      <c r="Q301" s="27">
        <f t="shared" si="17"/>
        <v>0.93100000000000005</v>
      </c>
      <c r="S301" s="16">
        <f>VLOOKUP(A301,[4]Sales!$E:$G,3,FALSE)</f>
        <v>99.98</v>
      </c>
      <c r="T301" s="19">
        <f>VLOOKUP(A301,[4]Volume!$E:$G,3,FALSE)</f>
        <v>10</v>
      </c>
      <c r="U301" s="19">
        <f>VLOOKUP(A301,[4]Piece!$E:$G,3,FALSE)</f>
        <v>2</v>
      </c>
      <c r="V301" s="21">
        <f t="shared" si="18"/>
        <v>99.132880000000014</v>
      </c>
      <c r="W301" s="16">
        <f t="shared" si="19"/>
        <v>-0.84711999999998966</v>
      </c>
    </row>
    <row r="302" spans="1:23" hidden="1" x14ac:dyDescent="0.3">
      <c r="A302" s="46" t="s">
        <v>620</v>
      </c>
      <c r="B302" s="46" t="s">
        <v>620</v>
      </c>
      <c r="C302" s="51" t="s">
        <v>33</v>
      </c>
      <c r="D302" s="48" t="s">
        <v>34</v>
      </c>
      <c r="E302" s="18" t="s">
        <v>621</v>
      </c>
      <c r="F302" s="24" t="str">
        <f t="shared" si="16"/>
        <v>PPG - ZINSR COVERSTAIN   WHITE      0000001500</v>
      </c>
      <c r="G302" s="20" t="s">
        <v>5178</v>
      </c>
      <c r="H302" s="49" t="s">
        <v>213</v>
      </c>
      <c r="I302" s="18" t="s">
        <v>37</v>
      </c>
      <c r="J302" s="18" t="s">
        <v>38</v>
      </c>
      <c r="K302" t="s">
        <v>39</v>
      </c>
      <c r="L302" s="50">
        <f>VLOOKUP(A302,'[3]Price info'!A:D,4,FALSE)</f>
        <v>54.78</v>
      </c>
      <c r="M302" s="18" t="s">
        <v>214</v>
      </c>
      <c r="N302" s="20">
        <v>3105</v>
      </c>
      <c r="P302" s="16">
        <f>VLOOKUP(A302,'[3]Price info'!A:H,8,FALSE)</f>
        <v>51.00018</v>
      </c>
      <c r="Q302" s="17">
        <f t="shared" si="17"/>
        <v>0.93099999999999994</v>
      </c>
      <c r="S302" s="16">
        <f>VLOOKUP(A302,[4]Sales!$E:$G,3,FALSE)</f>
        <v>726.67</v>
      </c>
      <c r="T302" s="19">
        <f>VLOOKUP(A302,[4]Volume!$E:$G,3,FALSE)</f>
        <v>70</v>
      </c>
      <c r="U302" s="19">
        <f>VLOOKUP(A302,[4]Piece!$E:$G,3,FALSE)</f>
        <v>14</v>
      </c>
      <c r="V302" s="21">
        <f t="shared" si="18"/>
        <v>714.00252</v>
      </c>
      <c r="W302" s="16">
        <f t="shared" si="19"/>
        <v>-12.667479999999955</v>
      </c>
    </row>
    <row r="303" spans="1:23" hidden="1" x14ac:dyDescent="0.3">
      <c r="A303" s="22" t="s">
        <v>622</v>
      </c>
      <c r="B303" s="22" t="s">
        <v>622</v>
      </c>
      <c r="C303" s="23" t="s">
        <v>33</v>
      </c>
      <c r="D303" s="20" t="s">
        <v>34</v>
      </c>
      <c r="E303" s="22" t="s">
        <v>623</v>
      </c>
      <c r="F303" s="24" t="str">
        <f t="shared" si="16"/>
        <v>PPG - Leyland TRUGARD PLIOLITE - Bril White - 5ltr</v>
      </c>
      <c r="G303" s="23" t="s">
        <v>5179</v>
      </c>
      <c r="H303" s="25" t="s">
        <v>36</v>
      </c>
      <c r="I303" s="18" t="s">
        <v>37</v>
      </c>
      <c r="J303" s="18" t="s">
        <v>38</v>
      </c>
      <c r="K303" t="s">
        <v>39</v>
      </c>
      <c r="L303" s="26">
        <f>VLOOKUP(A303,'[3]Price info'!A:D,4,FALSE)</f>
        <v>17.100000000000001</v>
      </c>
      <c r="M303" s="18" t="s">
        <v>40</v>
      </c>
      <c r="N303" s="20">
        <v>3105</v>
      </c>
      <c r="P303" s="16">
        <f>VLOOKUP(A303,'[3]Price info'!A:H,8,FALSE)</f>
        <v>20.52</v>
      </c>
      <c r="Q303" s="27">
        <f t="shared" si="17"/>
        <v>1.2</v>
      </c>
      <c r="S303" s="16">
        <f>VLOOKUP(A303,[4]Sales!$E:$G,3,FALSE)</f>
        <v>612.17999999999995</v>
      </c>
      <c r="T303" s="19">
        <f>VLOOKUP(A303,[4]Volume!$E:$G,3,FALSE)</f>
        <v>165</v>
      </c>
      <c r="U303" s="19">
        <f>VLOOKUP(A303,[4]Piece!$E:$G,3,FALSE)</f>
        <v>33</v>
      </c>
      <c r="V303" s="21">
        <f t="shared" si="18"/>
        <v>677.16</v>
      </c>
      <c r="W303" s="16">
        <f t="shared" si="19"/>
        <v>64.980000000000018</v>
      </c>
    </row>
    <row r="304" spans="1:23" hidden="1" x14ac:dyDescent="0.3">
      <c r="A304" s="22" t="s">
        <v>624</v>
      </c>
      <c r="B304" s="22" t="s">
        <v>624</v>
      </c>
      <c r="C304" s="23" t="s">
        <v>33</v>
      </c>
      <c r="D304" s="20" t="s">
        <v>34</v>
      </c>
      <c r="E304" s="22" t="s">
        <v>625</v>
      </c>
      <c r="F304" s="24" t="str">
        <f t="shared" si="16"/>
        <v>PPG - Leyland FLOOR PAINT - Tile Red - 5ltr</v>
      </c>
      <c r="G304" s="23" t="s">
        <v>5180</v>
      </c>
      <c r="H304" s="25" t="s">
        <v>36</v>
      </c>
      <c r="I304" s="18" t="s">
        <v>37</v>
      </c>
      <c r="J304" s="18" t="s">
        <v>38</v>
      </c>
      <c r="K304" t="s">
        <v>39</v>
      </c>
      <c r="L304" s="26">
        <f>VLOOKUP(A304,'[3]Price info'!A:D,4,FALSE)</f>
        <v>20.74</v>
      </c>
      <c r="M304" s="18" t="s">
        <v>40</v>
      </c>
      <c r="N304" s="20">
        <v>3105</v>
      </c>
      <c r="P304" s="16">
        <f>VLOOKUP(A304,'[3]Price info'!A:H,8,FALSE)</f>
        <v>19.30894</v>
      </c>
      <c r="Q304" s="27">
        <f t="shared" si="17"/>
        <v>0.93100000000000005</v>
      </c>
      <c r="S304" s="16">
        <f>VLOOKUP(A304,[4]Sales!$E:$G,3,FALSE)</f>
        <v>1112.82</v>
      </c>
      <c r="T304" s="19">
        <f>VLOOKUP(A304,[4]Volume!$E:$G,3,FALSE)</f>
        <v>280</v>
      </c>
      <c r="U304" s="19">
        <f>VLOOKUP(A304,[4]Piece!$E:$G,3,FALSE)</f>
        <v>56</v>
      </c>
      <c r="V304" s="21">
        <f t="shared" si="18"/>
        <v>1081.3006399999999</v>
      </c>
      <c r="W304" s="16">
        <f t="shared" si="19"/>
        <v>-31.519360000000006</v>
      </c>
    </row>
    <row r="305" spans="1:23" hidden="1" x14ac:dyDescent="0.3">
      <c r="A305" s="53" t="s">
        <v>626</v>
      </c>
      <c r="B305" s="54" t="s">
        <v>626</v>
      </c>
      <c r="C305" s="47" t="s">
        <v>33</v>
      </c>
      <c r="D305" s="48" t="s">
        <v>34</v>
      </c>
      <c r="E305" s="22" t="s">
        <v>627</v>
      </c>
      <c r="F305" s="24" t="str">
        <f t="shared" si="16"/>
        <v>PPG - BEELINE ONE TIME FILLER 1L</v>
      </c>
      <c r="G305" s="20" t="s">
        <v>5181</v>
      </c>
      <c r="H305" s="25" t="s">
        <v>36</v>
      </c>
      <c r="I305" s="18" t="s">
        <v>37</v>
      </c>
      <c r="J305" s="18" t="s">
        <v>38</v>
      </c>
      <c r="K305" t="s">
        <v>39</v>
      </c>
      <c r="L305" s="26">
        <f>VLOOKUP(A305,'[3]Price info'!A:D,4,FALSE)</f>
        <v>7.1</v>
      </c>
      <c r="M305" s="18" t="s">
        <v>214</v>
      </c>
      <c r="N305" s="20">
        <v>3105</v>
      </c>
      <c r="P305" s="16">
        <f>VLOOKUP(A305,'[3]Price info'!A:H,8,FALSE)</f>
        <v>6.6101000000000001</v>
      </c>
      <c r="Q305" s="27">
        <f t="shared" si="17"/>
        <v>0.93100000000000005</v>
      </c>
      <c r="S305" s="16">
        <f>VLOOKUP(A305,[4]Sales!$E:$G,3,FALSE)</f>
        <v>860.66000000000054</v>
      </c>
      <c r="T305" s="19">
        <f>VLOOKUP(A305,[4]Volume!$E:$G,3,FALSE)</f>
        <v>126</v>
      </c>
      <c r="U305" s="19">
        <f>VLOOKUP(A305,[4]Piece!$E:$G,3,FALSE)</f>
        <v>126</v>
      </c>
      <c r="V305" s="21">
        <f t="shared" si="18"/>
        <v>832.87260000000003</v>
      </c>
      <c r="W305" s="16">
        <f t="shared" si="19"/>
        <v>-27.787400000000503</v>
      </c>
    </row>
    <row r="306" spans="1:23" hidden="1" x14ac:dyDescent="0.3">
      <c r="A306" s="22" t="s">
        <v>628</v>
      </c>
      <c r="B306" s="22" t="s">
        <v>628</v>
      </c>
      <c r="C306" s="23" t="s">
        <v>33</v>
      </c>
      <c r="D306" s="20" t="s">
        <v>34</v>
      </c>
      <c r="E306" s="22" t="s">
        <v>629</v>
      </c>
      <c r="F306" s="24" t="str">
        <f t="shared" si="16"/>
        <v>PPG - ProGold EXTRA LONG PILE POLYESTER ROLLER 9"</v>
      </c>
      <c r="G306" s="23" t="s">
        <v>5182</v>
      </c>
      <c r="H306" s="25" t="s">
        <v>36</v>
      </c>
      <c r="I306" s="18" t="s">
        <v>37</v>
      </c>
      <c r="J306" s="18" t="s">
        <v>38</v>
      </c>
      <c r="K306" t="s">
        <v>39</v>
      </c>
      <c r="L306" s="26">
        <f>VLOOKUP(A306,'[3]Price info'!A:D,4,FALSE)</f>
        <v>4.41</v>
      </c>
      <c r="M306" s="18" t="s">
        <v>40</v>
      </c>
      <c r="N306" s="20">
        <v>3105</v>
      </c>
      <c r="P306" s="16">
        <f>VLOOKUP(A306,'[3]Price info'!A:H,8,FALSE)</f>
        <v>4.1057100000000002</v>
      </c>
      <c r="Q306" s="27">
        <f t="shared" si="17"/>
        <v>0.93100000000000005</v>
      </c>
      <c r="S306" s="16">
        <f>VLOOKUP(A306,[4]Sales!$E:$G,3,FALSE)</f>
        <v>862.71</v>
      </c>
      <c r="T306" s="19">
        <f>VLOOKUP(A306,[4]Volume!$E:$G,3,FALSE)</f>
        <v>201</v>
      </c>
      <c r="U306" s="19">
        <f>VLOOKUP(A306,[4]Piece!$E:$G,3,FALSE)</f>
        <v>201</v>
      </c>
      <c r="V306" s="21">
        <f t="shared" si="18"/>
        <v>825.24770999999998</v>
      </c>
      <c r="W306" s="16">
        <f t="shared" si="19"/>
        <v>-37.462290000000053</v>
      </c>
    </row>
    <row r="307" spans="1:23" hidden="1" x14ac:dyDescent="0.3">
      <c r="A307" s="22" t="s">
        <v>630</v>
      </c>
      <c r="B307" s="22" t="s">
        <v>630</v>
      </c>
      <c r="C307" s="23" t="s">
        <v>33</v>
      </c>
      <c r="D307" s="20" t="s">
        <v>34</v>
      </c>
      <c r="E307" s="22" t="s">
        <v>631</v>
      </c>
      <c r="F307" s="24" t="str">
        <f t="shared" si="16"/>
        <v>PPG - Johnstones QD ZINC PHOS - White - 5ltr</v>
      </c>
      <c r="G307" s="23" t="s">
        <v>5183</v>
      </c>
      <c r="H307" s="25" t="s">
        <v>36</v>
      </c>
      <c r="I307" s="18" t="s">
        <v>37</v>
      </c>
      <c r="J307" s="18" t="s">
        <v>38</v>
      </c>
      <c r="K307" t="s">
        <v>39</v>
      </c>
      <c r="L307" s="26">
        <f>VLOOKUP(A307,'[3]Price info'!A:D,4,FALSE)</f>
        <v>26.37</v>
      </c>
      <c r="M307" s="18" t="s">
        <v>40</v>
      </c>
      <c r="N307" s="20">
        <v>3105</v>
      </c>
      <c r="P307" s="16">
        <f>VLOOKUP(A307,'[3]Price info'!A:H,8,FALSE)</f>
        <v>24.550470000000001</v>
      </c>
      <c r="Q307" s="27">
        <f t="shared" si="17"/>
        <v>0.93099999999999994</v>
      </c>
      <c r="S307" s="16">
        <f>VLOOKUP(A307,[4]Sales!$E:$G,3,FALSE)</f>
        <v>351.18999999999994</v>
      </c>
      <c r="T307" s="19">
        <f>VLOOKUP(A307,[4]Volume!$E:$G,3,FALSE)</f>
        <v>70</v>
      </c>
      <c r="U307" s="19">
        <f>VLOOKUP(A307,[4]Piece!$E:$G,3,FALSE)</f>
        <v>14</v>
      </c>
      <c r="V307" s="21">
        <f t="shared" si="18"/>
        <v>343.70658000000003</v>
      </c>
      <c r="W307" s="16">
        <f t="shared" si="19"/>
        <v>-7.48341999999991</v>
      </c>
    </row>
    <row r="308" spans="1:23" hidden="1" x14ac:dyDescent="0.3">
      <c r="A308" s="46" t="s">
        <v>632</v>
      </c>
      <c r="B308" s="46" t="s">
        <v>632</v>
      </c>
      <c r="C308" s="47" t="s">
        <v>33</v>
      </c>
      <c r="D308" s="48" t="s">
        <v>34</v>
      </c>
      <c r="E308" s="18" t="s">
        <v>633</v>
      </c>
      <c r="F308" s="24" t="str">
        <f t="shared" si="16"/>
        <v>PPG - PGOLD SIM MOHAIR   4" ROLLER</v>
      </c>
      <c r="G308" s="20" t="s">
        <v>5184</v>
      </c>
      <c r="H308" s="49" t="s">
        <v>213</v>
      </c>
      <c r="I308" s="18" t="s">
        <v>37</v>
      </c>
      <c r="J308" s="18" t="s">
        <v>38</v>
      </c>
      <c r="K308" t="s">
        <v>39</v>
      </c>
      <c r="L308" s="50">
        <f>VLOOKUP(A308,'[3]Price info'!A:D,4,FALSE)</f>
        <v>1.19</v>
      </c>
      <c r="M308" s="18" t="s">
        <v>214</v>
      </c>
      <c r="N308" s="20">
        <v>3105</v>
      </c>
      <c r="P308" s="16">
        <f>VLOOKUP(A308,'[3]Price info'!A:H,8,FALSE)</f>
        <v>1.10789</v>
      </c>
      <c r="Q308" s="17">
        <f t="shared" si="17"/>
        <v>0.93100000000000005</v>
      </c>
      <c r="S308" s="16">
        <f>VLOOKUP(A308,[4]Sales!$E:$G,3,FALSE)</f>
        <v>207.16</v>
      </c>
      <c r="T308" s="19">
        <f>VLOOKUP(A308,[4]Volume!$E:$G,3,FALSE)</f>
        <v>184</v>
      </c>
      <c r="U308" s="19">
        <f>VLOOKUP(A308,[4]Piece!$E:$G,3,FALSE)</f>
        <v>184</v>
      </c>
      <c r="V308" s="21">
        <f t="shared" si="18"/>
        <v>203.85176000000001</v>
      </c>
      <c r="W308" s="16">
        <f t="shared" si="19"/>
        <v>-3.3082399999999836</v>
      </c>
    </row>
    <row r="309" spans="1:23" hidden="1" x14ac:dyDescent="0.3">
      <c r="A309" s="22" t="s">
        <v>634</v>
      </c>
      <c r="B309" s="22" t="s">
        <v>634</v>
      </c>
      <c r="C309" s="23" t="s">
        <v>33</v>
      </c>
      <c r="D309" s="20" t="s">
        <v>34</v>
      </c>
      <c r="E309" s="22" t="s">
        <v>635</v>
      </c>
      <c r="F309" s="24" t="str">
        <f t="shared" si="16"/>
        <v>PPG - Johnstones HEAVY DUTY GLAZE - Clear - 5ltr</v>
      </c>
      <c r="G309" s="23" t="s">
        <v>5185</v>
      </c>
      <c r="H309" s="25" t="s">
        <v>36</v>
      </c>
      <c r="I309" s="18" t="s">
        <v>37</v>
      </c>
      <c r="J309" s="18" t="s">
        <v>38</v>
      </c>
      <c r="K309" t="s">
        <v>39</v>
      </c>
      <c r="L309" s="26">
        <f>VLOOKUP(A309,'[3]Price info'!A:D,4,FALSE)</f>
        <v>29.81</v>
      </c>
      <c r="M309" s="18" t="s">
        <v>40</v>
      </c>
      <c r="N309" s="20">
        <v>3105</v>
      </c>
      <c r="P309" s="16">
        <f>VLOOKUP(A309,'[3]Price info'!A:H,8,FALSE)</f>
        <v>27.75311</v>
      </c>
      <c r="Q309" s="27">
        <f t="shared" si="17"/>
        <v>0.93100000000000005</v>
      </c>
      <c r="S309" s="16">
        <f>VLOOKUP(A309,[4]Sales!$E:$G,3,FALSE)</f>
        <v>373.11</v>
      </c>
      <c r="T309" s="19">
        <f>VLOOKUP(A309,[4]Volume!$E:$G,3,FALSE)</f>
        <v>65</v>
      </c>
      <c r="U309" s="19">
        <f>VLOOKUP(A309,[4]Piece!$E:$G,3,FALSE)</f>
        <v>13</v>
      </c>
      <c r="V309" s="21">
        <f t="shared" si="18"/>
        <v>360.79043000000001</v>
      </c>
      <c r="W309" s="16">
        <f t="shared" si="19"/>
        <v>-12.319569999999999</v>
      </c>
    </row>
    <row r="310" spans="1:23" hidden="1" x14ac:dyDescent="0.3">
      <c r="A310" s="22" t="s">
        <v>636</v>
      </c>
      <c r="B310" s="22" t="s">
        <v>636</v>
      </c>
      <c r="C310" s="23" t="s">
        <v>33</v>
      </c>
      <c r="D310" s="20" t="s">
        <v>34</v>
      </c>
      <c r="E310" s="22" t="s">
        <v>637</v>
      </c>
      <c r="F310" s="24" t="str">
        <f t="shared" si="16"/>
        <v>PPG - ProGold ALUMINIUM OXIDE GRD80 5M</v>
      </c>
      <c r="G310" s="23" t="s">
        <v>5186</v>
      </c>
      <c r="H310" s="25" t="s">
        <v>36</v>
      </c>
      <c r="I310" s="18" t="s">
        <v>37</v>
      </c>
      <c r="J310" s="18" t="s">
        <v>38</v>
      </c>
      <c r="K310" t="s">
        <v>39</v>
      </c>
      <c r="L310" s="26">
        <f>VLOOKUP(A310,'[3]Price info'!A:D,4,FALSE)</f>
        <v>2.88</v>
      </c>
      <c r="M310" s="18" t="s">
        <v>40</v>
      </c>
      <c r="N310" s="20">
        <v>3105</v>
      </c>
      <c r="P310" s="16">
        <f>VLOOKUP(A310,'[3]Price info'!A:H,8,FALSE)</f>
        <v>2.6812800000000001</v>
      </c>
      <c r="Q310" s="27">
        <f t="shared" si="17"/>
        <v>0.93100000000000005</v>
      </c>
      <c r="S310" s="16">
        <f>VLOOKUP(A310,[4]Sales!$E:$G,3,FALSE)</f>
        <v>483.02000000000004</v>
      </c>
      <c r="T310" s="19">
        <f>VLOOKUP(A310,[4]Volume!$E:$G,3,FALSE)</f>
        <v>175</v>
      </c>
      <c r="U310" s="19">
        <f>VLOOKUP(A310,[4]Piece!$E:$G,3,FALSE)</f>
        <v>175</v>
      </c>
      <c r="V310" s="21">
        <f t="shared" si="18"/>
        <v>469.22400000000005</v>
      </c>
      <c r="W310" s="16">
        <f t="shared" si="19"/>
        <v>-13.795999999999992</v>
      </c>
    </row>
    <row r="311" spans="1:23" hidden="1" x14ac:dyDescent="0.3">
      <c r="A311" s="22" t="s">
        <v>638</v>
      </c>
      <c r="B311" s="22" t="s">
        <v>638</v>
      </c>
      <c r="C311" s="23" t="s">
        <v>33</v>
      </c>
      <c r="D311" s="20" t="s">
        <v>34</v>
      </c>
      <c r="E311" s="22" t="s">
        <v>639</v>
      </c>
      <c r="F311" s="24" t="str">
        <f t="shared" si="16"/>
        <v>PPG - Johnstones ADV MULTI SURF PRIMER - BW - 5ltr</v>
      </c>
      <c r="G311" s="23" t="s">
        <v>5187</v>
      </c>
      <c r="H311" s="25" t="s">
        <v>36</v>
      </c>
      <c r="I311" s="18" t="s">
        <v>37</v>
      </c>
      <c r="J311" s="18" t="s">
        <v>38</v>
      </c>
      <c r="K311" t="s">
        <v>39</v>
      </c>
      <c r="L311" s="26">
        <f>VLOOKUP(A311,'[3]Price info'!A:D,4,FALSE)</f>
        <v>32.11</v>
      </c>
      <c r="M311" s="18" t="s">
        <v>40</v>
      </c>
      <c r="N311" s="20">
        <v>3105</v>
      </c>
      <c r="P311" s="16">
        <f>VLOOKUP(A311,'[3]Price info'!A:H,8,FALSE)</f>
        <v>29.894410000000001</v>
      </c>
      <c r="Q311" s="27">
        <f t="shared" si="17"/>
        <v>0.93100000000000005</v>
      </c>
      <c r="S311" s="16">
        <f>VLOOKUP(A311,[4]Sales!$E:$G,3,FALSE)</f>
        <v>2921.79</v>
      </c>
      <c r="T311" s="19">
        <f>VLOOKUP(A311,[4]Volume!$E:$G,3,FALSE)</f>
        <v>485</v>
      </c>
      <c r="U311" s="19">
        <f>VLOOKUP(A311,[4]Piece!$E:$G,3,FALSE)</f>
        <v>97</v>
      </c>
      <c r="V311" s="21">
        <f t="shared" si="18"/>
        <v>2899.7577700000002</v>
      </c>
      <c r="W311" s="16">
        <f t="shared" si="19"/>
        <v>-22.032229999999799</v>
      </c>
    </row>
    <row r="312" spans="1:23" hidden="1" x14ac:dyDescent="0.3">
      <c r="A312" s="22" t="s">
        <v>640</v>
      </c>
      <c r="B312" s="22" t="s">
        <v>640</v>
      </c>
      <c r="C312" s="23" t="s">
        <v>33</v>
      </c>
      <c r="D312" s="20" t="s">
        <v>34</v>
      </c>
      <c r="E312" s="22" t="s">
        <v>641</v>
      </c>
      <c r="F312" s="24" t="str">
        <f t="shared" si="16"/>
        <v>PPG - Leyland CONTRACT MATT - Magnolia - 10ltr</v>
      </c>
      <c r="G312" s="23" t="s">
        <v>5188</v>
      </c>
      <c r="H312" s="25" t="s">
        <v>36</v>
      </c>
      <c r="I312" s="18" t="s">
        <v>37</v>
      </c>
      <c r="J312" s="18" t="s">
        <v>38</v>
      </c>
      <c r="K312" t="s">
        <v>39</v>
      </c>
      <c r="L312" s="26">
        <f>VLOOKUP(A312,'[3]Price info'!A:D,4,FALSE)</f>
        <v>12.46</v>
      </c>
      <c r="M312" s="18" t="s">
        <v>40</v>
      </c>
      <c r="N312" s="20">
        <v>3105</v>
      </c>
      <c r="P312" s="16">
        <f>VLOOKUP(A312,'[3]Price info'!A:H,8,FALSE)</f>
        <v>11.600260000000002</v>
      </c>
      <c r="Q312" s="27">
        <f t="shared" si="17"/>
        <v>0.93100000000000016</v>
      </c>
      <c r="S312" s="16">
        <f>VLOOKUP(A312,[4]Sales!$E:$G,3,FALSE)</f>
        <v>337.04</v>
      </c>
      <c r="T312" s="19">
        <f>VLOOKUP(A312,[4]Volume!$E:$G,3,FALSE)</f>
        <v>280</v>
      </c>
      <c r="U312" s="19">
        <f>VLOOKUP(A312,[4]Piece!$E:$G,3,FALSE)</f>
        <v>28</v>
      </c>
      <c r="V312" s="21">
        <f t="shared" si="18"/>
        <v>324.80728000000005</v>
      </c>
      <c r="W312" s="16">
        <f t="shared" si="19"/>
        <v>-12.232719999999972</v>
      </c>
    </row>
    <row r="313" spans="1:23" hidden="1" x14ac:dyDescent="0.3">
      <c r="A313" s="22" t="s">
        <v>642</v>
      </c>
      <c r="B313" s="22" t="s">
        <v>642</v>
      </c>
      <c r="C313" s="23" t="s">
        <v>33</v>
      </c>
      <c r="D313" s="20" t="s">
        <v>34</v>
      </c>
      <c r="E313" s="22" t="s">
        <v>643</v>
      </c>
      <c r="F313" s="24" t="str">
        <f t="shared" si="16"/>
        <v>PPG - Johnstones MICROBAR-ACRY EGGSHELL - Mix - 5l</v>
      </c>
      <c r="G313" s="23" t="s">
        <v>5189</v>
      </c>
      <c r="H313" s="25" t="s">
        <v>36</v>
      </c>
      <c r="I313" s="18" t="s">
        <v>37</v>
      </c>
      <c r="J313" s="18" t="s">
        <v>38</v>
      </c>
      <c r="K313" t="s">
        <v>39</v>
      </c>
      <c r="L313" s="26">
        <f>VLOOKUP(A313,'[3]Price info'!A:D,4,FALSE)</f>
        <v>49.27</v>
      </c>
      <c r="M313" s="18" t="s">
        <v>40</v>
      </c>
      <c r="N313" s="20">
        <v>3105</v>
      </c>
      <c r="P313" s="16">
        <f>VLOOKUP(A313,'[3]Price info'!A:H,8,FALSE)</f>
        <v>45.870370000000008</v>
      </c>
      <c r="Q313" s="27">
        <f t="shared" si="17"/>
        <v>0.93100000000000016</v>
      </c>
      <c r="S313" s="16">
        <f>VLOOKUP(A313,[4]Sales!$E:$G,3,FALSE)</f>
        <v>1195.6299999999999</v>
      </c>
      <c r="T313" s="19">
        <f>VLOOKUP(A313,[4]Volume!$E:$G,3,FALSE)</f>
        <v>125</v>
      </c>
      <c r="U313" s="19">
        <f>VLOOKUP(A313,[4]Piece!$E:$G,3,FALSE)</f>
        <v>25</v>
      </c>
      <c r="V313" s="21">
        <f t="shared" si="18"/>
        <v>1146.7592500000003</v>
      </c>
      <c r="W313" s="16">
        <f t="shared" si="19"/>
        <v>-48.870749999999589</v>
      </c>
    </row>
    <row r="314" spans="1:23" hidden="1" x14ac:dyDescent="0.3">
      <c r="A314" s="22" t="s">
        <v>644</v>
      </c>
      <c r="B314" s="22" t="s">
        <v>644</v>
      </c>
      <c r="C314" s="23" t="s">
        <v>33</v>
      </c>
      <c r="D314" s="20" t="s">
        <v>34</v>
      </c>
      <c r="E314" s="22" t="s">
        <v>645</v>
      </c>
      <c r="F314" s="24" t="str">
        <f t="shared" si="16"/>
        <v>PPG - Johnstones SHED &amp; FENCE - Dark Oak - 9ltr</v>
      </c>
      <c r="G314" s="23" t="s">
        <v>5190</v>
      </c>
      <c r="H314" s="25" t="s">
        <v>36</v>
      </c>
      <c r="I314" s="18" t="s">
        <v>37</v>
      </c>
      <c r="J314" s="18" t="s">
        <v>38</v>
      </c>
      <c r="K314" t="s">
        <v>39</v>
      </c>
      <c r="L314" s="26">
        <f>VLOOKUP(A314,'[3]Price info'!A:D,4,FALSE)</f>
        <v>14.38</v>
      </c>
      <c r="M314" s="18" t="s">
        <v>40</v>
      </c>
      <c r="N314" s="20">
        <v>3105</v>
      </c>
      <c r="P314" s="16">
        <f>VLOOKUP(A314,'[3]Price info'!A:H,8,FALSE)</f>
        <v>13.387780000000001</v>
      </c>
      <c r="Q314" s="27">
        <f t="shared" si="17"/>
        <v>0.93100000000000005</v>
      </c>
      <c r="S314" s="16">
        <f>VLOOKUP(A314,[4]Sales!$E:$G,3,FALSE)</f>
        <v>550.45000000000005</v>
      </c>
      <c r="T314" s="19">
        <f>VLOOKUP(A314,[4]Volume!$E:$G,3,FALSE)</f>
        <v>360</v>
      </c>
      <c r="U314" s="19">
        <f>VLOOKUP(A314,[4]Piece!$E:$G,3,FALSE)</f>
        <v>40</v>
      </c>
      <c r="V314" s="21">
        <f t="shared" si="18"/>
        <v>535.51120000000003</v>
      </c>
      <c r="W314" s="16">
        <f t="shared" si="19"/>
        <v>-14.938800000000015</v>
      </c>
    </row>
    <row r="315" spans="1:23" hidden="1" x14ac:dyDescent="0.3">
      <c r="A315" s="22" t="s">
        <v>646</v>
      </c>
      <c r="B315" s="22" t="s">
        <v>646</v>
      </c>
      <c r="C315" s="23" t="s">
        <v>33</v>
      </c>
      <c r="D315" s="20" t="s">
        <v>34</v>
      </c>
      <c r="E315" s="22" t="s">
        <v>647</v>
      </c>
      <c r="F315" s="24" t="str">
        <f t="shared" si="16"/>
        <v>PPG - Johnstones SATIN WOODSTAIN - Ebony - 5ltr</v>
      </c>
      <c r="G315" s="23" t="s">
        <v>5191</v>
      </c>
      <c r="H315" s="25" t="s">
        <v>36</v>
      </c>
      <c r="I315" s="18" t="s">
        <v>37</v>
      </c>
      <c r="J315" s="18" t="s">
        <v>38</v>
      </c>
      <c r="K315" t="s">
        <v>39</v>
      </c>
      <c r="L315" s="26">
        <f>VLOOKUP(A315,'[3]Price info'!A:D,4,FALSE)</f>
        <v>29.65</v>
      </c>
      <c r="M315" s="18" t="s">
        <v>40</v>
      </c>
      <c r="N315" s="20">
        <v>3105</v>
      </c>
      <c r="P315" s="16">
        <f>VLOOKUP(A315,'[3]Price info'!A:H,8,FALSE)</f>
        <v>27.604150000000001</v>
      </c>
      <c r="Q315" s="27">
        <f t="shared" si="17"/>
        <v>0.93100000000000005</v>
      </c>
      <c r="S315" s="16">
        <f>VLOOKUP(A315,[4]Sales!$E:$G,3,FALSE)</f>
        <v>627.70000000000005</v>
      </c>
      <c r="T315" s="19">
        <f>VLOOKUP(A315,[4]Volume!$E:$G,3,FALSE)</f>
        <v>110</v>
      </c>
      <c r="U315" s="19">
        <f>VLOOKUP(A315,[4]Piece!$E:$G,3,FALSE)</f>
        <v>22</v>
      </c>
      <c r="V315" s="21">
        <f t="shared" si="18"/>
        <v>607.29129999999998</v>
      </c>
      <c r="W315" s="16">
        <f t="shared" si="19"/>
        <v>-20.408700000000067</v>
      </c>
    </row>
    <row r="316" spans="1:23" hidden="1" x14ac:dyDescent="0.3">
      <c r="A316" s="22" t="s">
        <v>648</v>
      </c>
      <c r="B316" s="22" t="s">
        <v>648</v>
      </c>
      <c r="C316" s="23" t="s">
        <v>33</v>
      </c>
      <c r="D316" s="20" t="s">
        <v>34</v>
      </c>
      <c r="E316" s="22" t="s">
        <v>649</v>
      </c>
      <c r="F316" s="24" t="str">
        <f t="shared" si="16"/>
        <v>PPG - ProGold SEMI ROUGH ROLLER 9"</v>
      </c>
      <c r="G316" s="23" t="s">
        <v>5192</v>
      </c>
      <c r="H316" s="25" t="s">
        <v>36</v>
      </c>
      <c r="I316" s="18" t="s">
        <v>37</v>
      </c>
      <c r="J316" s="18" t="s">
        <v>38</v>
      </c>
      <c r="K316" t="s">
        <v>39</v>
      </c>
      <c r="L316" s="26">
        <f>VLOOKUP(A316,'[3]Price info'!A:D,4,FALSE)</f>
        <v>2.78</v>
      </c>
      <c r="M316" s="18" t="s">
        <v>40</v>
      </c>
      <c r="N316" s="20">
        <v>3105</v>
      </c>
      <c r="P316" s="16">
        <f>VLOOKUP(A316,'[3]Price info'!A:H,8,FALSE)</f>
        <v>2.5881799999999999</v>
      </c>
      <c r="Q316" s="27">
        <f t="shared" si="17"/>
        <v>0.93100000000000005</v>
      </c>
      <c r="S316" s="16">
        <f>VLOOKUP(A316,[4]Sales!$E:$G,3,FALSE)</f>
        <v>730.26999999999941</v>
      </c>
      <c r="T316" s="19">
        <f>VLOOKUP(A316,[4]Volume!$E:$G,3,FALSE)</f>
        <v>283</v>
      </c>
      <c r="U316" s="19">
        <f>VLOOKUP(A316,[4]Piece!$E:$G,3,FALSE)</f>
        <v>283</v>
      </c>
      <c r="V316" s="21">
        <f t="shared" si="18"/>
        <v>732.45493999999997</v>
      </c>
      <c r="W316" s="16">
        <f t="shared" si="19"/>
        <v>2.1849400000005517</v>
      </c>
    </row>
    <row r="317" spans="1:23" hidden="1" x14ac:dyDescent="0.3">
      <c r="A317" s="46" t="s">
        <v>650</v>
      </c>
      <c r="B317" s="46" t="s">
        <v>650</v>
      </c>
      <c r="C317" s="47" t="s">
        <v>33</v>
      </c>
      <c r="D317" s="48" t="s">
        <v>34</v>
      </c>
      <c r="E317" s="18" t="s">
        <v>651</v>
      </c>
      <c r="F317" s="24" t="str">
        <f t="shared" si="16"/>
        <v>PPG - RODO  MULTI PURPSE PASTE TBLE</v>
      </c>
      <c r="G317" s="20" t="s">
        <v>5193</v>
      </c>
      <c r="H317" s="49" t="s">
        <v>213</v>
      </c>
      <c r="I317" s="18" t="s">
        <v>37</v>
      </c>
      <c r="J317" s="18" t="s">
        <v>38</v>
      </c>
      <c r="K317" t="s">
        <v>39</v>
      </c>
      <c r="L317" s="50">
        <f>VLOOKUP(A317,'[3]Price info'!A:D,4,FALSE)</f>
        <v>60.06</v>
      </c>
      <c r="M317" s="18" t="s">
        <v>214</v>
      </c>
      <c r="N317" s="20">
        <v>3105</v>
      </c>
      <c r="P317" s="16">
        <f>VLOOKUP(A317,'[3]Price info'!A:H,8,FALSE)</f>
        <v>60.06</v>
      </c>
      <c r="Q317" s="17">
        <f t="shared" si="17"/>
        <v>1</v>
      </c>
      <c r="S317" s="16">
        <f>VLOOKUP(A317,[4]Sales!$E:$G,3,FALSE)</f>
        <v>529.12</v>
      </c>
      <c r="T317" s="19">
        <f>VLOOKUP(A317,[4]Volume!$E:$G,3,FALSE)</f>
        <v>9</v>
      </c>
      <c r="U317" s="19">
        <f>VLOOKUP(A317,[4]Piece!$E:$G,3,FALSE)</f>
        <v>9</v>
      </c>
      <c r="V317" s="21">
        <f t="shared" si="18"/>
        <v>540.54</v>
      </c>
      <c r="W317" s="16">
        <f t="shared" si="19"/>
        <v>11.419999999999959</v>
      </c>
    </row>
    <row r="318" spans="1:23" hidden="1" x14ac:dyDescent="0.3">
      <c r="A318" s="22" t="s">
        <v>652</v>
      </c>
      <c r="B318" s="22" t="s">
        <v>652</v>
      </c>
      <c r="C318" s="23" t="s">
        <v>33</v>
      </c>
      <c r="D318" s="20" t="s">
        <v>34</v>
      </c>
      <c r="E318" s="22" t="s">
        <v>653</v>
      </c>
      <c r="F318" s="24" t="str">
        <f t="shared" si="16"/>
        <v>PPG - Woodworks YACHT VARNISH - Clear Gloss - 5ltr</v>
      </c>
      <c r="G318" s="23" t="s">
        <v>5194</v>
      </c>
      <c r="H318" s="25" t="s">
        <v>36</v>
      </c>
      <c r="I318" s="18" t="s">
        <v>37</v>
      </c>
      <c r="J318" s="18" t="s">
        <v>38</v>
      </c>
      <c r="K318" t="s">
        <v>39</v>
      </c>
      <c r="L318" s="26">
        <f>VLOOKUP(A318,'[3]Price info'!A:D,4,FALSE)</f>
        <v>43.19</v>
      </c>
      <c r="M318" s="18" t="s">
        <v>40</v>
      </c>
      <c r="N318" s="20">
        <v>3105</v>
      </c>
      <c r="P318" s="16">
        <f>VLOOKUP(A318,'[3]Price info'!A:H,8,FALSE)</f>
        <v>40.209890000000001</v>
      </c>
      <c r="Q318" s="27">
        <f t="shared" si="17"/>
        <v>0.93100000000000005</v>
      </c>
      <c r="S318" s="16">
        <f>VLOOKUP(A318,[4]Sales!$E:$G,3,FALSE)</f>
        <v>80.42</v>
      </c>
      <c r="T318" s="19">
        <f>VLOOKUP(A318,[4]Volume!$E:$G,3,FALSE)</f>
        <v>10</v>
      </c>
      <c r="U318" s="19">
        <f>VLOOKUP(A318,[4]Piece!$E:$G,3,FALSE)</f>
        <v>2</v>
      </c>
      <c r="V318" s="21">
        <f t="shared" si="18"/>
        <v>80.419780000000003</v>
      </c>
      <c r="W318" s="16">
        <f t="shared" si="19"/>
        <v>-2.1999999999877673E-4</v>
      </c>
    </row>
    <row r="319" spans="1:23" hidden="1" x14ac:dyDescent="0.3">
      <c r="A319" s="36" t="s">
        <v>654</v>
      </c>
      <c r="B319" s="36" t="s">
        <v>654</v>
      </c>
      <c r="C319" s="23" t="s">
        <v>33</v>
      </c>
      <c r="D319" s="20" t="s">
        <v>34</v>
      </c>
      <c r="E319" s="22" t="s">
        <v>655</v>
      </c>
      <c r="F319" s="24" t="str">
        <f t="shared" si="16"/>
        <v>PPG - Artex SANDER PAPER A4X25 120GM</v>
      </c>
      <c r="G319" s="41" t="s">
        <v>5195</v>
      </c>
      <c r="H319" s="39" t="s">
        <v>36</v>
      </c>
      <c r="I319" s="40" t="s">
        <v>37</v>
      </c>
      <c r="J319" s="40" t="s">
        <v>38</v>
      </c>
      <c r="K319" s="41" t="s">
        <v>39</v>
      </c>
      <c r="L319" s="26">
        <f>VLOOKUP(A319,'[3]Price info'!A:D,4,FALSE)</f>
        <v>10.83</v>
      </c>
      <c r="M319" s="40" t="s">
        <v>40</v>
      </c>
      <c r="N319" s="42">
        <v>3105</v>
      </c>
      <c r="O319" s="43">
        <v>9.5</v>
      </c>
      <c r="P319" s="16">
        <f>VLOOKUP(A319,'[3]Price info'!A:H,8,FALSE)</f>
        <v>9.9499999999999993</v>
      </c>
      <c r="Q319" s="52">
        <f t="shared" si="17"/>
        <v>0.91874422899353636</v>
      </c>
      <c r="R319" s="40"/>
      <c r="S319" s="16">
        <f>VLOOKUP(A319,[4]Sales!$E:$G,3,FALSE)</f>
        <v>1297.8199999999995</v>
      </c>
      <c r="T319" s="19">
        <f>VLOOKUP(A319,[4]Volume!$E:$G,3,FALSE)</f>
        <v>125</v>
      </c>
      <c r="U319" s="19">
        <f>VLOOKUP(A319,[4]Piece!$E:$G,3,FALSE)</f>
        <v>125</v>
      </c>
      <c r="V319" s="21">
        <f t="shared" si="18"/>
        <v>1243.75</v>
      </c>
      <c r="W319" s="16">
        <f t="shared" si="19"/>
        <v>-54.069999999999482</v>
      </c>
    </row>
    <row r="320" spans="1:23" hidden="1" x14ac:dyDescent="0.3">
      <c r="A320" s="46" t="s">
        <v>656</v>
      </c>
      <c r="B320" s="46" t="s">
        <v>656</v>
      </c>
      <c r="C320" s="51" t="s">
        <v>33</v>
      </c>
      <c r="D320" s="48" t="s">
        <v>34</v>
      </c>
      <c r="E320" s="18" t="s">
        <v>657</v>
      </c>
      <c r="F320" s="24" t="str">
        <f t="shared" si="16"/>
        <v>PPG - JST   1.5 S/CONE EN RENDER WH 0000002250</v>
      </c>
      <c r="G320" s="20" t="s">
        <v>5196</v>
      </c>
      <c r="H320" s="49" t="s">
        <v>213</v>
      </c>
      <c r="I320" s="18" t="s">
        <v>37</v>
      </c>
      <c r="J320" s="18" t="s">
        <v>38</v>
      </c>
      <c r="K320" t="s">
        <v>39</v>
      </c>
      <c r="L320" s="50">
        <f>VLOOKUP(A320,'[3]Price info'!A:D,4,FALSE)</f>
        <v>51.99</v>
      </c>
      <c r="M320" s="18" t="s">
        <v>214</v>
      </c>
      <c r="N320" s="20">
        <v>3105</v>
      </c>
      <c r="P320" s="16">
        <f>VLOOKUP(A320,'[3]Price info'!A:H,8,FALSE)</f>
        <v>48.402690000000007</v>
      </c>
      <c r="Q320" s="17">
        <f t="shared" si="17"/>
        <v>0.93100000000000005</v>
      </c>
      <c r="S320" s="16">
        <f>VLOOKUP(A320,[4]Sales!$E:$G,3,FALSE)</f>
        <v>153.34</v>
      </c>
      <c r="T320" s="19">
        <f>VLOOKUP(A320,[4]Volume!$E:$G,3,FALSE)</f>
        <v>42.830999999999996</v>
      </c>
      <c r="U320" s="19">
        <f>VLOOKUP(A320,[4]Piece!$E:$G,3,FALSE)</f>
        <v>3</v>
      </c>
      <c r="V320" s="21">
        <f t="shared" si="18"/>
        <v>145.20807000000002</v>
      </c>
      <c r="W320" s="16">
        <f t="shared" si="19"/>
        <v>-8.1319299999999828</v>
      </c>
    </row>
    <row r="321" spans="1:23" hidden="1" x14ac:dyDescent="0.3">
      <c r="A321" s="22" t="s">
        <v>658</v>
      </c>
      <c r="B321" s="22" t="s">
        <v>658</v>
      </c>
      <c r="C321" s="23" t="s">
        <v>33</v>
      </c>
      <c r="D321" s="20" t="s">
        <v>34</v>
      </c>
      <c r="E321" s="22" t="s">
        <v>659</v>
      </c>
      <c r="F321" s="24" t="str">
        <f t="shared" si="16"/>
        <v>PPG - Johnstones AQUAGUARD - Mix - 2.5ltr</v>
      </c>
      <c r="G321" s="23" t="s">
        <v>5197</v>
      </c>
      <c r="H321" s="25" t="s">
        <v>36</v>
      </c>
      <c r="I321" s="18" t="s">
        <v>37</v>
      </c>
      <c r="J321" s="18" t="s">
        <v>38</v>
      </c>
      <c r="K321" t="s">
        <v>39</v>
      </c>
      <c r="L321" s="26">
        <f>VLOOKUP(A321,'[3]Price info'!A:D,4,FALSE)</f>
        <v>45.2</v>
      </c>
      <c r="M321" s="18" t="s">
        <v>40</v>
      </c>
      <c r="N321" s="20">
        <v>3105</v>
      </c>
      <c r="P321" s="16">
        <f>VLOOKUP(A321,'[3]Price info'!A:H,8,FALSE)</f>
        <v>36.159999999999997</v>
      </c>
      <c r="Q321" s="27">
        <f t="shared" si="17"/>
        <v>0.79999999999999982</v>
      </c>
      <c r="S321" s="16">
        <f>VLOOKUP(A321,[4]Sales!$E:$G,3,FALSE)</f>
        <v>778.26999999999975</v>
      </c>
      <c r="T321" s="19">
        <f>VLOOKUP(A321,[4]Volume!$E:$G,3,FALSE)</f>
        <v>55</v>
      </c>
      <c r="U321" s="19">
        <f>VLOOKUP(A321,[4]Piece!$E:$G,3,FALSE)</f>
        <v>22</v>
      </c>
      <c r="V321" s="21">
        <f t="shared" si="18"/>
        <v>795.52</v>
      </c>
      <c r="W321" s="16">
        <f t="shared" si="19"/>
        <v>17.250000000000227</v>
      </c>
    </row>
    <row r="322" spans="1:23" hidden="1" x14ac:dyDescent="0.3">
      <c r="A322" s="46" t="s">
        <v>660</v>
      </c>
      <c r="B322" s="46" t="s">
        <v>660</v>
      </c>
      <c r="C322" s="47" t="s">
        <v>33</v>
      </c>
      <c r="D322" s="48" t="s">
        <v>34</v>
      </c>
      <c r="E322" s="18" t="s">
        <v>661</v>
      </c>
      <c r="F322" s="24" t="str">
        <f t="shared" si="16"/>
        <v>PPG - S'FAST 20 GREY              500000EU1500</v>
      </c>
      <c r="G322" s="20" t="s">
        <v>5198</v>
      </c>
      <c r="H322" s="49" t="s">
        <v>213</v>
      </c>
      <c r="I322" s="18" t="s">
        <v>37</v>
      </c>
      <c r="J322" s="18" t="s">
        <v>38</v>
      </c>
      <c r="K322" t="s">
        <v>39</v>
      </c>
      <c r="L322" s="50">
        <f>VLOOKUP(A322,'[3]Price info'!A:D,4,FALSE)</f>
        <v>62.52</v>
      </c>
      <c r="M322" s="18" t="s">
        <v>214</v>
      </c>
      <c r="N322" s="20">
        <v>3105</v>
      </c>
      <c r="P322" s="16">
        <f>VLOOKUP(A322,'[3]Price info'!A:H,8,FALSE)</f>
        <v>56.27</v>
      </c>
      <c r="Q322" s="17">
        <f t="shared" si="17"/>
        <v>0.90003198976327581</v>
      </c>
      <c r="S322" s="16" t="e">
        <f>VLOOKUP(A322,[4]Sales!$E:$G,3,FALSE)</f>
        <v>#N/A</v>
      </c>
      <c r="T322" s="19" t="e">
        <f>VLOOKUP(A322,[4]Volume!$E:$G,3,FALSE)</f>
        <v>#N/A</v>
      </c>
      <c r="U322" s="19" t="e">
        <f>VLOOKUP(A322,[4]Piece!$E:$G,3,FALSE)</f>
        <v>#N/A</v>
      </c>
      <c r="V322" s="21" t="e">
        <f t="shared" si="18"/>
        <v>#N/A</v>
      </c>
      <c r="W322" s="16" t="e">
        <f t="shared" si="19"/>
        <v>#N/A</v>
      </c>
    </row>
    <row r="323" spans="1:23" hidden="1" x14ac:dyDescent="0.3">
      <c r="A323" s="46" t="s">
        <v>662</v>
      </c>
      <c r="B323" s="46" t="s">
        <v>662</v>
      </c>
      <c r="C323" s="47" t="s">
        <v>33</v>
      </c>
      <c r="D323" s="48" t="s">
        <v>34</v>
      </c>
      <c r="E323" s="18" t="s">
        <v>663</v>
      </c>
      <c r="F323" s="24" t="str">
        <f t="shared" ref="F323:F386" si="20">D323&amp;" - "&amp;E323</f>
        <v>PPG - ZINSR COVERSTAIN   WHITE      0000001250</v>
      </c>
      <c r="G323" s="20" t="s">
        <v>5199</v>
      </c>
      <c r="H323" s="49" t="s">
        <v>213</v>
      </c>
      <c r="I323" s="18" t="s">
        <v>37</v>
      </c>
      <c r="J323" s="18" t="s">
        <v>38</v>
      </c>
      <c r="K323" t="s">
        <v>39</v>
      </c>
      <c r="L323" s="50">
        <f>VLOOKUP(A323,'[3]Price info'!A:D,4,FALSE)</f>
        <v>35.909999999999997</v>
      </c>
      <c r="M323" s="18" t="s">
        <v>214</v>
      </c>
      <c r="N323" s="20">
        <v>3105</v>
      </c>
      <c r="P323" s="16">
        <f>VLOOKUP(A323,'[3]Price info'!A:H,8,FALSE)</f>
        <v>33.432209999999998</v>
      </c>
      <c r="Q323" s="17">
        <f t="shared" ref="Q323:Q386" si="21">P323/L323</f>
        <v>0.93100000000000005</v>
      </c>
      <c r="S323" s="16">
        <f>VLOOKUP(A323,[4]Sales!$E:$G,3,FALSE)</f>
        <v>538.5</v>
      </c>
      <c r="T323" s="19">
        <f>VLOOKUP(A323,[4]Volume!$E:$G,3,FALSE)</f>
        <v>40</v>
      </c>
      <c r="U323" s="19">
        <f>VLOOKUP(A323,[4]Piece!$E:$G,3,FALSE)</f>
        <v>16</v>
      </c>
      <c r="V323" s="21">
        <f t="shared" ref="V323:V386" si="22">U323*P323</f>
        <v>534.91535999999996</v>
      </c>
      <c r="W323" s="16">
        <f t="shared" ref="W323:W386" si="23">V323-S323</f>
        <v>-3.5846400000000358</v>
      </c>
    </row>
    <row r="324" spans="1:23" hidden="1" x14ac:dyDescent="0.3">
      <c r="A324" s="22" t="s">
        <v>664</v>
      </c>
      <c r="B324" s="22" t="s">
        <v>664</v>
      </c>
      <c r="C324" s="23" t="s">
        <v>33</v>
      </c>
      <c r="D324" s="20" t="s">
        <v>34</v>
      </c>
      <c r="E324" s="22" t="s">
        <v>665</v>
      </c>
      <c r="F324" s="24" t="str">
        <f t="shared" si="20"/>
        <v>PPG - Johnstones VINYL SILK - BW - 5ltr</v>
      </c>
      <c r="G324" s="23" t="s">
        <v>5200</v>
      </c>
      <c r="H324" s="25" t="s">
        <v>36</v>
      </c>
      <c r="I324" s="18" t="s">
        <v>37</v>
      </c>
      <c r="J324" s="18" t="s">
        <v>38</v>
      </c>
      <c r="K324" t="s">
        <v>39</v>
      </c>
      <c r="L324" s="26">
        <f>VLOOKUP(A324,'[3]Price info'!A:D,4,FALSE)</f>
        <v>12.78</v>
      </c>
      <c r="M324" s="18" t="s">
        <v>40</v>
      </c>
      <c r="N324" s="20">
        <v>3105</v>
      </c>
      <c r="P324" s="16">
        <f>VLOOKUP(A324,'[3]Price info'!A:H,8,FALSE)</f>
        <v>12.78</v>
      </c>
      <c r="Q324" s="27">
        <f t="shared" si="21"/>
        <v>1</v>
      </c>
      <c r="S324" s="16">
        <f>VLOOKUP(A324,[4]Sales!$E:$G,3,FALSE)</f>
        <v>388.70000000000005</v>
      </c>
      <c r="T324" s="19">
        <f>VLOOKUP(A324,[4]Volume!$E:$G,3,FALSE)</f>
        <v>165</v>
      </c>
      <c r="U324" s="19">
        <f>VLOOKUP(A324,[4]Piece!$E:$G,3,FALSE)</f>
        <v>33</v>
      </c>
      <c r="V324" s="21">
        <f t="shared" si="22"/>
        <v>421.73999999999995</v>
      </c>
      <c r="W324" s="16">
        <f t="shared" si="23"/>
        <v>33.039999999999907</v>
      </c>
    </row>
    <row r="325" spans="1:23" hidden="1" x14ac:dyDescent="0.3">
      <c r="A325" s="22" t="s">
        <v>666</v>
      </c>
      <c r="B325" s="22" t="s">
        <v>666</v>
      </c>
      <c r="C325" s="23" t="s">
        <v>33</v>
      </c>
      <c r="D325" s="20" t="s">
        <v>34</v>
      </c>
      <c r="E325" s="22" t="s">
        <v>667</v>
      </c>
      <c r="F325" s="24" t="str">
        <f t="shared" si="20"/>
        <v>PPG - ProGold READY MIXED ALL PURPOSE FILLER 2kg</v>
      </c>
      <c r="G325" s="23" t="s">
        <v>5201</v>
      </c>
      <c r="H325" s="25" t="s">
        <v>36</v>
      </c>
      <c r="I325" s="18" t="s">
        <v>37</v>
      </c>
      <c r="J325" s="18" t="s">
        <v>38</v>
      </c>
      <c r="K325" t="s">
        <v>39</v>
      </c>
      <c r="L325" s="26">
        <f>VLOOKUP(A325,'[3]Price info'!A:D,4,FALSE)</f>
        <v>7.1</v>
      </c>
      <c r="M325" s="18" t="s">
        <v>40</v>
      </c>
      <c r="N325" s="20">
        <v>3105</v>
      </c>
      <c r="P325" s="16">
        <f>VLOOKUP(A325,'[3]Price info'!A:H,8,FALSE)</f>
        <v>6.6101000000000001</v>
      </c>
      <c r="Q325" s="27">
        <f t="shared" si="21"/>
        <v>0.93100000000000005</v>
      </c>
      <c r="S325" s="16">
        <f>VLOOKUP(A325,[4]Sales!$E:$G,3,FALSE)</f>
        <v>754.52000000000066</v>
      </c>
      <c r="T325" s="19">
        <f>VLOOKUP(A325,[4]Volume!$E:$G,3,FALSE)</f>
        <v>222</v>
      </c>
      <c r="U325" s="19">
        <f>VLOOKUP(A325,[4]Piece!$E:$G,3,FALSE)</f>
        <v>111</v>
      </c>
      <c r="V325" s="21">
        <f t="shared" si="22"/>
        <v>733.72109999999998</v>
      </c>
      <c r="W325" s="16">
        <f t="shared" si="23"/>
        <v>-20.798900000000685</v>
      </c>
    </row>
    <row r="326" spans="1:23" hidden="1" x14ac:dyDescent="0.3">
      <c r="A326" s="22" t="s">
        <v>668</v>
      </c>
      <c r="B326" s="22" t="s">
        <v>668</v>
      </c>
      <c r="C326" s="23" t="s">
        <v>33</v>
      </c>
      <c r="D326" s="20" t="s">
        <v>34</v>
      </c>
      <c r="E326" s="22" t="s">
        <v>669</v>
      </c>
      <c r="F326" s="24" t="str">
        <f t="shared" si="20"/>
        <v>PPG - Leyland TG SMOOTH MASONRY - BW - 10ltr</v>
      </c>
      <c r="G326" s="23" t="s">
        <v>5202</v>
      </c>
      <c r="H326" s="25" t="s">
        <v>36</v>
      </c>
      <c r="I326" s="18" t="s">
        <v>37</v>
      </c>
      <c r="J326" s="18" t="s">
        <v>38</v>
      </c>
      <c r="K326" t="s">
        <v>39</v>
      </c>
      <c r="L326" s="26">
        <f>VLOOKUP(A326,'[3]Price info'!A:D,4,FALSE)</f>
        <v>25.3</v>
      </c>
      <c r="M326" s="18" t="s">
        <v>40</v>
      </c>
      <c r="N326" s="20">
        <v>3105</v>
      </c>
      <c r="P326" s="16">
        <f>VLOOKUP(A326,'[3]Price info'!A:H,8,FALSE)</f>
        <v>23.554300000000001</v>
      </c>
      <c r="Q326" s="27">
        <f t="shared" si="21"/>
        <v>0.93100000000000005</v>
      </c>
      <c r="S326" s="16">
        <f>VLOOKUP(A326,[4]Sales!$E:$G,3,FALSE)</f>
        <v>1468.0500000000002</v>
      </c>
      <c r="T326" s="19">
        <f>VLOOKUP(A326,[4]Volume!$E:$G,3,FALSE)</f>
        <v>630</v>
      </c>
      <c r="U326" s="19">
        <f>VLOOKUP(A326,[4]Piece!$E:$G,3,FALSE)</f>
        <v>63</v>
      </c>
      <c r="V326" s="21">
        <f t="shared" si="22"/>
        <v>1483.9209000000001</v>
      </c>
      <c r="W326" s="16">
        <f t="shared" si="23"/>
        <v>15.870899999999892</v>
      </c>
    </row>
    <row r="327" spans="1:23" hidden="1" x14ac:dyDescent="0.3">
      <c r="A327" s="22" t="s">
        <v>670</v>
      </c>
      <c r="B327" s="22" t="s">
        <v>670</v>
      </c>
      <c r="C327" s="23" t="s">
        <v>33</v>
      </c>
      <c r="D327" s="20" t="s">
        <v>34</v>
      </c>
      <c r="E327" s="22" t="s">
        <v>671</v>
      </c>
      <c r="F327" s="24" t="str">
        <f t="shared" si="20"/>
        <v>PPG - Johnstones VINYL SILK - Mix - 5ltr</v>
      </c>
      <c r="G327" s="23" t="s">
        <v>5203</v>
      </c>
      <c r="H327" s="25" t="s">
        <v>36</v>
      </c>
      <c r="I327" s="18" t="s">
        <v>37</v>
      </c>
      <c r="J327" s="18" t="s">
        <v>38</v>
      </c>
      <c r="K327" t="s">
        <v>39</v>
      </c>
      <c r="L327" s="26">
        <f>VLOOKUP(A327,'[3]Price info'!A:D,4,FALSE)</f>
        <v>14.33</v>
      </c>
      <c r="M327" s="18" t="s">
        <v>40</v>
      </c>
      <c r="N327" s="20">
        <v>3105</v>
      </c>
      <c r="P327" s="16">
        <f>VLOOKUP(A327,'[3]Price info'!A:H,8,FALSE)</f>
        <v>14.33</v>
      </c>
      <c r="Q327" s="27">
        <f t="shared" si="21"/>
        <v>1</v>
      </c>
      <c r="S327" s="16">
        <f>VLOOKUP(A327,[4]Sales!$E:$G,3,FALSE)</f>
        <v>272.27000000000004</v>
      </c>
      <c r="T327" s="19">
        <f>VLOOKUP(A327,[4]Volume!$E:$G,3,FALSE)</f>
        <v>95</v>
      </c>
      <c r="U327" s="19">
        <f>VLOOKUP(A327,[4]Piece!$E:$G,3,FALSE)</f>
        <v>19</v>
      </c>
      <c r="V327" s="21">
        <f t="shared" si="22"/>
        <v>272.27</v>
      </c>
      <c r="W327" s="16">
        <f t="shared" si="23"/>
        <v>0</v>
      </c>
    </row>
    <row r="328" spans="1:23" hidden="1" x14ac:dyDescent="0.3">
      <c r="A328" s="53" t="s">
        <v>672</v>
      </c>
      <c r="B328" s="54" t="s">
        <v>672</v>
      </c>
      <c r="C328" s="47" t="s">
        <v>33</v>
      </c>
      <c r="D328" s="48" t="s">
        <v>34</v>
      </c>
      <c r="E328" s="22" t="s">
        <v>673</v>
      </c>
      <c r="F328" s="24" t="str">
        <f t="shared" si="20"/>
        <v>PPG - STRIKER &amp; POLE 2 X 2"</v>
      </c>
      <c r="G328" s="20" t="s">
        <v>5204</v>
      </c>
      <c r="H328" s="25" t="s">
        <v>36</v>
      </c>
      <c r="I328" s="18" t="s">
        <v>37</v>
      </c>
      <c r="J328" s="18" t="s">
        <v>38</v>
      </c>
      <c r="K328" t="s">
        <v>39</v>
      </c>
      <c r="L328" s="26">
        <f>VLOOKUP(A328,'[3]Price info'!A:D,4,FALSE)</f>
        <v>6.88</v>
      </c>
      <c r="M328" s="18" t="s">
        <v>214</v>
      </c>
      <c r="N328" s="20">
        <v>3105</v>
      </c>
      <c r="P328" s="16">
        <f>VLOOKUP(A328,'[3]Price info'!A:H,8,FALSE)</f>
        <v>6.4052800000000003</v>
      </c>
      <c r="Q328" s="27">
        <f t="shared" si="21"/>
        <v>0.93100000000000005</v>
      </c>
      <c r="S328" s="16">
        <f>VLOOKUP(A328,[4]Sales!$E:$G,3,FALSE)</f>
        <v>477.5499999999999</v>
      </c>
      <c r="T328" s="19">
        <f>VLOOKUP(A328,[4]Volume!$E:$G,3,FALSE)</f>
        <v>72</v>
      </c>
      <c r="U328" s="19">
        <f>VLOOKUP(A328,[4]Piece!$E:$G,3,FALSE)</f>
        <v>72</v>
      </c>
      <c r="V328" s="21">
        <f t="shared" si="22"/>
        <v>461.18016</v>
      </c>
      <c r="W328" s="16">
        <f t="shared" si="23"/>
        <v>-16.369839999999897</v>
      </c>
    </row>
    <row r="329" spans="1:23" hidden="1" x14ac:dyDescent="0.3">
      <c r="A329" s="22" t="s">
        <v>674</v>
      </c>
      <c r="B329" s="22" t="s">
        <v>674</v>
      </c>
      <c r="C329" s="23" t="s">
        <v>33</v>
      </c>
      <c r="D329" s="20" t="s">
        <v>34</v>
      </c>
      <c r="E329" s="22" t="s">
        <v>675</v>
      </c>
      <c r="F329" s="24" t="str">
        <f t="shared" si="20"/>
        <v>PPG - Johnstones SMOOTH METAL - Silver - 2.5ltr</v>
      </c>
      <c r="G329" s="23" t="s">
        <v>5205</v>
      </c>
      <c r="H329" s="25" t="s">
        <v>36</v>
      </c>
      <c r="I329" s="18" t="s">
        <v>37</v>
      </c>
      <c r="J329" s="18" t="s">
        <v>38</v>
      </c>
      <c r="K329" t="s">
        <v>39</v>
      </c>
      <c r="L329" s="26">
        <f>VLOOKUP(A329,'[3]Price info'!A:D,4,FALSE)</f>
        <v>24.28</v>
      </c>
      <c r="M329" s="18" t="s">
        <v>40</v>
      </c>
      <c r="N329" s="20">
        <v>3105</v>
      </c>
      <c r="P329" s="16">
        <f>VLOOKUP(A329,'[3]Price info'!A:H,8,FALSE)</f>
        <v>22.604680000000002</v>
      </c>
      <c r="Q329" s="27">
        <f t="shared" si="21"/>
        <v>0.93100000000000005</v>
      </c>
      <c r="S329" s="16">
        <f>VLOOKUP(A329,[4]Sales!$E:$G,3,FALSE)</f>
        <v>318.08000000000004</v>
      </c>
      <c r="T329" s="19">
        <f>VLOOKUP(A329,[4]Volume!$E:$G,3,FALSE)</f>
        <v>35</v>
      </c>
      <c r="U329" s="19">
        <f>VLOOKUP(A329,[4]Piece!$E:$G,3,FALSE)</f>
        <v>14</v>
      </c>
      <c r="V329" s="21">
        <f t="shared" si="22"/>
        <v>316.46552000000003</v>
      </c>
      <c r="W329" s="16">
        <f t="shared" si="23"/>
        <v>-1.6144800000000146</v>
      </c>
    </row>
    <row r="330" spans="1:23" hidden="1" x14ac:dyDescent="0.3">
      <c r="A330" s="46" t="s">
        <v>676</v>
      </c>
      <c r="B330" s="46" t="s">
        <v>676</v>
      </c>
      <c r="C330" s="51" t="s">
        <v>33</v>
      </c>
      <c r="D330" s="48" t="s">
        <v>34</v>
      </c>
      <c r="E330" s="18" t="s">
        <v>677</v>
      </c>
      <c r="F330" s="24" t="str">
        <f t="shared" si="20"/>
        <v>PPG - RODO  DUSTING BRSH 4"</v>
      </c>
      <c r="G330" s="20" t="s">
        <v>5206</v>
      </c>
      <c r="H330" s="49" t="s">
        <v>213</v>
      </c>
      <c r="I330" s="18" t="s">
        <v>37</v>
      </c>
      <c r="J330" s="18" t="s">
        <v>38</v>
      </c>
      <c r="K330" t="s">
        <v>39</v>
      </c>
      <c r="L330" s="50">
        <f>VLOOKUP(A330,'[3]Price info'!A:D,4,FALSE)</f>
        <v>8.0299999999999994</v>
      </c>
      <c r="M330" s="18" t="s">
        <v>214</v>
      </c>
      <c r="N330" s="20">
        <v>3105</v>
      </c>
      <c r="P330" s="16">
        <f>VLOOKUP(A330,'[3]Price info'!A:H,8,FALSE)</f>
        <v>7.47593</v>
      </c>
      <c r="Q330" s="17">
        <f t="shared" si="21"/>
        <v>0.93100000000000005</v>
      </c>
      <c r="S330" s="16">
        <f>VLOOKUP(A330,[4]Sales!$E:$G,3,FALSE)</f>
        <v>591.29</v>
      </c>
      <c r="T330" s="19">
        <f>VLOOKUP(A330,[4]Volume!$E:$G,3,FALSE)</f>
        <v>136</v>
      </c>
      <c r="U330" s="19">
        <f>VLOOKUP(A330,[4]Piece!$E:$G,3,FALSE)</f>
        <v>136</v>
      </c>
      <c r="V330" s="21">
        <f t="shared" si="22"/>
        <v>1016.72648</v>
      </c>
      <c r="W330" s="16">
        <f t="shared" si="23"/>
        <v>425.43648000000007</v>
      </c>
    </row>
    <row r="331" spans="1:23" hidden="1" x14ac:dyDescent="0.3">
      <c r="A331" s="22" t="s">
        <v>678</v>
      </c>
      <c r="B331" s="22" t="s">
        <v>678</v>
      </c>
      <c r="C331" s="23" t="s">
        <v>33</v>
      </c>
      <c r="D331" s="20" t="s">
        <v>34</v>
      </c>
      <c r="E331" s="22" t="s">
        <v>679</v>
      </c>
      <c r="F331" s="24" t="str">
        <f t="shared" si="20"/>
        <v>PPG - Johnstones ACRYLIC SATIN - Mix - 5ltr</v>
      </c>
      <c r="G331" s="23" t="s">
        <v>5207</v>
      </c>
      <c r="H331" s="25" t="s">
        <v>36</v>
      </c>
      <c r="I331" s="18" t="s">
        <v>37</v>
      </c>
      <c r="J331" s="18" t="s">
        <v>38</v>
      </c>
      <c r="K331" t="s">
        <v>39</v>
      </c>
      <c r="L331" s="26">
        <f>VLOOKUP(A331,'[3]Price info'!A:D,4,FALSE)</f>
        <v>34.69</v>
      </c>
      <c r="M331" s="18" t="s">
        <v>40</v>
      </c>
      <c r="N331" s="20">
        <v>3105</v>
      </c>
      <c r="P331" s="16">
        <f>VLOOKUP(A331,'[3]Price info'!A:H,8,FALSE)</f>
        <v>32.296390000000002</v>
      </c>
      <c r="Q331" s="27">
        <f t="shared" si="21"/>
        <v>0.93100000000000016</v>
      </c>
      <c r="S331" s="16">
        <f>VLOOKUP(A331,[4]Sales!$E:$G,3,FALSE)</f>
        <v>1265.8399999999999</v>
      </c>
      <c r="T331" s="19">
        <f>VLOOKUP(A331,[4]Volume!$E:$G,3,FALSE)</f>
        <v>190</v>
      </c>
      <c r="U331" s="19">
        <f>VLOOKUP(A331,[4]Piece!$E:$G,3,FALSE)</f>
        <v>38</v>
      </c>
      <c r="V331" s="21">
        <f t="shared" si="22"/>
        <v>1227.2628200000001</v>
      </c>
      <c r="W331" s="16">
        <f t="shared" si="23"/>
        <v>-38.577179999999771</v>
      </c>
    </row>
    <row r="332" spans="1:23" hidden="1" x14ac:dyDescent="0.3">
      <c r="A332" s="22" t="s">
        <v>680</v>
      </c>
      <c r="B332" s="22" t="s">
        <v>680</v>
      </c>
      <c r="C332" s="23" t="s">
        <v>33</v>
      </c>
      <c r="D332" s="20" t="s">
        <v>34</v>
      </c>
      <c r="E332" s="22" t="s">
        <v>681</v>
      </c>
      <c r="F332" s="24" t="str">
        <f t="shared" si="20"/>
        <v>PPG - Johnstones  JONMAT - Magnolia - 10ltr</v>
      </c>
      <c r="G332" s="23" t="s">
        <v>5208</v>
      </c>
      <c r="H332" s="25" t="s">
        <v>36</v>
      </c>
      <c r="I332" s="18" t="s">
        <v>37</v>
      </c>
      <c r="J332" s="18" t="s">
        <v>38</v>
      </c>
      <c r="K332" t="s">
        <v>39</v>
      </c>
      <c r="L332" s="26">
        <f>VLOOKUP(A332,'[3]Price info'!A:D,4,FALSE)</f>
        <v>17.809999999999999</v>
      </c>
      <c r="M332" s="18" t="s">
        <v>40</v>
      </c>
      <c r="N332" s="20">
        <v>3105</v>
      </c>
      <c r="P332" s="16">
        <f>VLOOKUP(A332,'[3]Price info'!A:H,8,FALSE)</f>
        <v>14</v>
      </c>
      <c r="Q332" s="27">
        <f t="shared" si="21"/>
        <v>0.78607523862998319</v>
      </c>
      <c r="S332" s="16">
        <f>VLOOKUP(A332,[4]Sales!$E:$G,3,FALSE)</f>
        <v>1042.5899999999999</v>
      </c>
      <c r="T332" s="19">
        <f>VLOOKUP(A332,[4]Volume!$E:$G,3,FALSE)</f>
        <v>730</v>
      </c>
      <c r="U332" s="19">
        <f>VLOOKUP(A332,[4]Piece!$E:$G,3,FALSE)</f>
        <v>73</v>
      </c>
      <c r="V332" s="21">
        <f t="shared" si="22"/>
        <v>1022</v>
      </c>
      <c r="W332" s="16">
        <f t="shared" si="23"/>
        <v>-20.589999999999918</v>
      </c>
    </row>
    <row r="333" spans="1:23" hidden="1" x14ac:dyDescent="0.3">
      <c r="A333" s="22" t="s">
        <v>682</v>
      </c>
      <c r="B333" s="22" t="s">
        <v>682</v>
      </c>
      <c r="C333" s="23" t="s">
        <v>33</v>
      </c>
      <c r="D333" s="20" t="s">
        <v>34</v>
      </c>
      <c r="E333" s="22" t="s">
        <v>683</v>
      </c>
      <c r="F333" s="24" t="str">
        <f t="shared" si="20"/>
        <v>PPG - ProGold ROUGH ROLLER 12"</v>
      </c>
      <c r="G333" s="23" t="s">
        <v>5209</v>
      </c>
      <c r="H333" s="25" t="s">
        <v>36</v>
      </c>
      <c r="I333" s="18" t="s">
        <v>37</v>
      </c>
      <c r="J333" s="18" t="s">
        <v>38</v>
      </c>
      <c r="K333" t="s">
        <v>39</v>
      </c>
      <c r="L333" s="26">
        <f>VLOOKUP(A333,'[3]Price info'!A:D,4,FALSE)</f>
        <v>8.52</v>
      </c>
      <c r="M333" s="18" t="s">
        <v>40</v>
      </c>
      <c r="N333" s="20">
        <v>3105</v>
      </c>
      <c r="P333" s="16">
        <f>VLOOKUP(A333,'[3]Price info'!A:H,8,FALSE)</f>
        <v>7.9321200000000003</v>
      </c>
      <c r="Q333" s="27">
        <f t="shared" si="21"/>
        <v>0.93100000000000005</v>
      </c>
      <c r="S333" s="16">
        <f>VLOOKUP(A333,[4]Sales!$E:$G,3,FALSE)</f>
        <v>639.85000000000025</v>
      </c>
      <c r="T333" s="19">
        <f>VLOOKUP(A333,[4]Volume!$E:$G,3,FALSE)</f>
        <v>79</v>
      </c>
      <c r="U333" s="19">
        <f>VLOOKUP(A333,[4]Piece!$E:$G,3,FALSE)</f>
        <v>79</v>
      </c>
      <c r="V333" s="21">
        <f t="shared" si="22"/>
        <v>626.63747999999998</v>
      </c>
      <c r="W333" s="16">
        <f t="shared" si="23"/>
        <v>-13.212520000000268</v>
      </c>
    </row>
    <row r="334" spans="1:23" hidden="1" x14ac:dyDescent="0.3">
      <c r="A334" s="22" t="s">
        <v>684</v>
      </c>
      <c r="B334" s="22" t="s">
        <v>684</v>
      </c>
      <c r="C334" s="23" t="s">
        <v>33</v>
      </c>
      <c r="D334" s="20" t="s">
        <v>34</v>
      </c>
      <c r="E334" s="22" t="s">
        <v>685</v>
      </c>
      <c r="F334" s="24" t="str">
        <f t="shared" si="20"/>
        <v>PPG - Johnstones PERFECT MATT - Mix- 5ltr</v>
      </c>
      <c r="G334" s="23" t="s">
        <v>5210</v>
      </c>
      <c r="H334" s="25" t="s">
        <v>36</v>
      </c>
      <c r="I334" s="18" t="s">
        <v>37</v>
      </c>
      <c r="J334" s="18" t="s">
        <v>38</v>
      </c>
      <c r="K334" t="s">
        <v>39</v>
      </c>
      <c r="L334" s="26">
        <f>VLOOKUP(A334,'[3]Price info'!A:D,4,FALSE)</f>
        <v>53.67</v>
      </c>
      <c r="M334" s="18" t="s">
        <v>40</v>
      </c>
      <c r="N334" s="20">
        <v>3105</v>
      </c>
      <c r="P334" s="16">
        <f>VLOOKUP(A334,'[3]Price info'!A:H,8,FALSE)</f>
        <v>45.07</v>
      </c>
      <c r="Q334" s="27">
        <f t="shared" si="21"/>
        <v>0.83976150549655304</v>
      </c>
      <c r="S334" s="16">
        <f>VLOOKUP(A334,[4]Sales!$E:$G,3,FALSE)</f>
        <v>698.68000000000006</v>
      </c>
      <c r="T334" s="19">
        <f>VLOOKUP(A334,[4]Volume!$E:$G,3,FALSE)</f>
        <v>70</v>
      </c>
      <c r="U334" s="19">
        <f>VLOOKUP(A334,[4]Piece!$E:$G,3,FALSE)</f>
        <v>14</v>
      </c>
      <c r="V334" s="21">
        <f t="shared" si="22"/>
        <v>630.98</v>
      </c>
      <c r="W334" s="16">
        <f t="shared" si="23"/>
        <v>-67.700000000000045</v>
      </c>
    </row>
    <row r="335" spans="1:23" hidden="1" x14ac:dyDescent="0.3">
      <c r="A335" s="22" t="s">
        <v>686</v>
      </c>
      <c r="B335" s="22" t="s">
        <v>686</v>
      </c>
      <c r="C335" s="23" t="s">
        <v>33</v>
      </c>
      <c r="D335" s="20" t="s">
        <v>34</v>
      </c>
      <c r="E335" s="22" t="s">
        <v>687</v>
      </c>
      <c r="F335" s="24" t="str">
        <f t="shared" si="20"/>
        <v>PPG - Woodworks POLY VARNISH - Satin Clear - 5l</v>
      </c>
      <c r="G335" s="23" t="s">
        <v>5211</v>
      </c>
      <c r="H335" s="25" t="s">
        <v>36</v>
      </c>
      <c r="I335" s="18" t="s">
        <v>37</v>
      </c>
      <c r="J335" s="18" t="s">
        <v>38</v>
      </c>
      <c r="K335" t="s">
        <v>39</v>
      </c>
      <c r="L335" s="26">
        <f>VLOOKUP(A335,'[3]Price info'!A:D,4,FALSE)</f>
        <v>28.15</v>
      </c>
      <c r="M335" s="18" t="s">
        <v>40</v>
      </c>
      <c r="N335" s="20">
        <v>3105</v>
      </c>
      <c r="P335" s="16">
        <f>VLOOKUP(A335,'[3]Price info'!A:H,8,FALSE)</f>
        <v>26.207650000000001</v>
      </c>
      <c r="Q335" s="27">
        <f t="shared" si="21"/>
        <v>0.93100000000000005</v>
      </c>
      <c r="S335" s="16">
        <f>VLOOKUP(A335,[4]Sales!$E:$G,3,FALSE)</f>
        <v>132.99</v>
      </c>
      <c r="T335" s="19">
        <f>VLOOKUP(A335,[4]Volume!$E:$G,3,FALSE)</f>
        <v>25</v>
      </c>
      <c r="U335" s="19">
        <f>VLOOKUP(A335,[4]Piece!$E:$G,3,FALSE)</f>
        <v>5</v>
      </c>
      <c r="V335" s="21">
        <f t="shared" si="22"/>
        <v>131.03825000000001</v>
      </c>
      <c r="W335" s="16">
        <f t="shared" si="23"/>
        <v>-1.9517500000000041</v>
      </c>
    </row>
    <row r="336" spans="1:23" hidden="1" x14ac:dyDescent="0.3">
      <c r="A336" s="22" t="s">
        <v>688</v>
      </c>
      <c r="B336" s="22" t="s">
        <v>688</v>
      </c>
      <c r="C336" s="23" t="s">
        <v>33</v>
      </c>
      <c r="D336" s="20" t="s">
        <v>34</v>
      </c>
      <c r="E336" s="22" t="s">
        <v>689</v>
      </c>
      <c r="F336" s="24" t="str">
        <f t="shared" si="20"/>
        <v>PPG - GORI 88 Trans - Mix - 5ltr</v>
      </c>
      <c r="G336" s="23" t="s">
        <v>5212</v>
      </c>
      <c r="H336" s="25" t="s">
        <v>36</v>
      </c>
      <c r="I336" s="18" t="s">
        <v>37</v>
      </c>
      <c r="J336" s="18" t="s">
        <v>38</v>
      </c>
      <c r="K336" t="s">
        <v>39</v>
      </c>
      <c r="L336" s="26">
        <f>VLOOKUP(A336,'[3]Price info'!A:D,4,FALSE)</f>
        <v>71.78</v>
      </c>
      <c r="M336" s="18" t="s">
        <v>40</v>
      </c>
      <c r="N336" s="20">
        <v>3105</v>
      </c>
      <c r="P336" s="16">
        <f>VLOOKUP(A336,'[3]Price info'!A:H,8,FALSE)</f>
        <v>52</v>
      </c>
      <c r="Q336" s="27">
        <f t="shared" si="21"/>
        <v>0.72443577598216768</v>
      </c>
      <c r="S336" s="16" t="e">
        <f>VLOOKUP(A336,[4]Sales!$E:$G,3,FALSE)</f>
        <v>#N/A</v>
      </c>
      <c r="T336" s="19" t="e">
        <f>VLOOKUP(A336,[4]Volume!$E:$G,3,FALSE)</f>
        <v>#N/A</v>
      </c>
      <c r="U336" s="19" t="e">
        <f>VLOOKUP(A336,[4]Piece!$E:$G,3,FALSE)</f>
        <v>#N/A</v>
      </c>
      <c r="V336" s="21" t="e">
        <f t="shared" si="22"/>
        <v>#N/A</v>
      </c>
      <c r="W336" s="16" t="e">
        <f t="shared" si="23"/>
        <v>#N/A</v>
      </c>
    </row>
    <row r="337" spans="1:23" hidden="1" x14ac:dyDescent="0.3">
      <c r="A337" s="46" t="s">
        <v>690</v>
      </c>
      <c r="B337" s="46" t="s">
        <v>690</v>
      </c>
      <c r="C337" s="47" t="s">
        <v>33</v>
      </c>
      <c r="D337" s="48" t="s">
        <v>34</v>
      </c>
      <c r="E337" s="18" t="s">
        <v>691</v>
      </c>
      <c r="F337" s="24" t="str">
        <f t="shared" si="20"/>
        <v>PPG - EWI   STR PLUG *BOX 500*</v>
      </c>
      <c r="G337" s="20" t="s">
        <v>5213</v>
      </c>
      <c r="H337" s="49" t="s">
        <v>213</v>
      </c>
      <c r="I337" s="18" t="s">
        <v>37</v>
      </c>
      <c r="J337" s="18" t="s">
        <v>38</v>
      </c>
      <c r="K337" t="s">
        <v>39</v>
      </c>
      <c r="L337" s="50">
        <f>VLOOKUP(A337,'[3]Price info'!A:D,4,FALSE)</f>
        <v>8.6199999999999992</v>
      </c>
      <c r="M337" s="18" t="s">
        <v>214</v>
      </c>
      <c r="N337" s="20">
        <v>3105</v>
      </c>
      <c r="P337" s="16">
        <f>VLOOKUP(A337,'[3]Price info'!A:H,8,FALSE)</f>
        <v>8.6199999999999992</v>
      </c>
      <c r="Q337" s="17">
        <f t="shared" si="21"/>
        <v>1</v>
      </c>
      <c r="S337" s="16" t="e">
        <f>VLOOKUP(A337,[4]Sales!$E:$G,3,FALSE)</f>
        <v>#N/A</v>
      </c>
      <c r="T337" s="19" t="e">
        <f>VLOOKUP(A337,[4]Volume!$E:$G,3,FALSE)</f>
        <v>#N/A</v>
      </c>
      <c r="U337" s="19" t="e">
        <f>VLOOKUP(A337,[4]Piece!$E:$G,3,FALSE)</f>
        <v>#N/A</v>
      </c>
      <c r="V337" s="21" t="e">
        <f t="shared" si="22"/>
        <v>#N/A</v>
      </c>
      <c r="W337" s="16" t="e">
        <f t="shared" si="23"/>
        <v>#N/A</v>
      </c>
    </row>
    <row r="338" spans="1:23" hidden="1" x14ac:dyDescent="0.3">
      <c r="A338" s="22" t="s">
        <v>692</v>
      </c>
      <c r="B338" s="22" t="s">
        <v>692</v>
      </c>
      <c r="C338" s="23" t="s">
        <v>33</v>
      </c>
      <c r="D338" s="20" t="s">
        <v>34</v>
      </c>
      <c r="E338" s="22" t="s">
        <v>693</v>
      </c>
      <c r="F338" s="24" t="str">
        <f t="shared" si="20"/>
        <v>PPG - Stormshield FLEXIBLE EX SATIN - Mix - 2.5ltr</v>
      </c>
      <c r="G338" s="23" t="s">
        <v>5214</v>
      </c>
      <c r="H338" s="25" t="s">
        <v>36</v>
      </c>
      <c r="I338" s="18" t="s">
        <v>37</v>
      </c>
      <c r="J338" s="18" t="s">
        <v>38</v>
      </c>
      <c r="K338" t="s">
        <v>39</v>
      </c>
      <c r="L338" s="26">
        <f>VLOOKUP(A338,'[3]Price info'!A:D,4,FALSE)</f>
        <v>34.5</v>
      </c>
      <c r="M338" s="18" t="s">
        <v>40</v>
      </c>
      <c r="N338" s="20">
        <v>3105</v>
      </c>
      <c r="P338" s="16">
        <f>VLOOKUP(A338,'[3]Price info'!A:H,8,FALSE)</f>
        <v>18</v>
      </c>
      <c r="Q338" s="27">
        <f t="shared" si="21"/>
        <v>0.52173913043478259</v>
      </c>
      <c r="S338" s="16">
        <f>VLOOKUP(A338,[4]Sales!$E:$G,3,FALSE)</f>
        <v>414</v>
      </c>
      <c r="T338" s="19">
        <f>VLOOKUP(A338,[4]Volume!$E:$G,3,FALSE)</f>
        <v>30</v>
      </c>
      <c r="U338" s="19">
        <f>VLOOKUP(A338,[4]Piece!$E:$G,3,FALSE)</f>
        <v>12</v>
      </c>
      <c r="V338" s="21">
        <f t="shared" si="22"/>
        <v>216</v>
      </c>
      <c r="W338" s="16">
        <f t="shared" si="23"/>
        <v>-198</v>
      </c>
    </row>
    <row r="339" spans="1:23" hidden="1" x14ac:dyDescent="0.3">
      <c r="A339" s="22" t="s">
        <v>694</v>
      </c>
      <c r="B339" s="22" t="s">
        <v>694</v>
      </c>
      <c r="C339" s="23" t="s">
        <v>33</v>
      </c>
      <c r="D339" s="20" t="s">
        <v>34</v>
      </c>
      <c r="E339" s="22" t="s">
        <v>695</v>
      </c>
      <c r="F339" s="24" t="str">
        <f t="shared" si="20"/>
        <v>PPG - Johnstones SOLV OPAQUE - Burnt Wal - 5ltr</v>
      </c>
      <c r="G339" s="23" t="s">
        <v>5215</v>
      </c>
      <c r="H339" s="25" t="s">
        <v>36</v>
      </c>
      <c r="I339" s="18" t="s">
        <v>37</v>
      </c>
      <c r="J339" s="18" t="s">
        <v>38</v>
      </c>
      <c r="K339" t="s">
        <v>39</v>
      </c>
      <c r="L339" s="26">
        <f>VLOOKUP(A339,'[3]Price info'!A:D,4,FALSE)</f>
        <v>21.15</v>
      </c>
      <c r="M339" s="18" t="s">
        <v>40</v>
      </c>
      <c r="N339" s="20">
        <v>3105</v>
      </c>
      <c r="P339" s="16">
        <f>VLOOKUP(A339,'[3]Price info'!A:H,8,FALSE)</f>
        <v>27.494999999999997</v>
      </c>
      <c r="Q339" s="27">
        <f t="shared" si="21"/>
        <v>1.3</v>
      </c>
      <c r="S339" s="16">
        <f>VLOOKUP(A339,[4]Sales!$E:$G,3,FALSE)</f>
        <v>296.10000000000002</v>
      </c>
      <c r="T339" s="19">
        <f>VLOOKUP(A339,[4]Volume!$E:$G,3,FALSE)</f>
        <v>70</v>
      </c>
      <c r="U339" s="19">
        <f>VLOOKUP(A339,[4]Piece!$E:$G,3,FALSE)</f>
        <v>14</v>
      </c>
      <c r="V339" s="21">
        <f t="shared" si="22"/>
        <v>384.92999999999995</v>
      </c>
      <c r="W339" s="16">
        <f t="shared" si="23"/>
        <v>88.829999999999927</v>
      </c>
    </row>
    <row r="340" spans="1:23" hidden="1" x14ac:dyDescent="0.3">
      <c r="A340" s="22" t="s">
        <v>696</v>
      </c>
      <c r="B340" s="22" t="s">
        <v>696</v>
      </c>
      <c r="C340" s="23" t="s">
        <v>33</v>
      </c>
      <c r="D340" s="20" t="s">
        <v>34</v>
      </c>
      <c r="E340" s="22" t="s">
        <v>697</v>
      </c>
      <c r="F340" s="24" t="str">
        <f t="shared" si="20"/>
        <v>PPG - Johnstones EGGSHELL - Mix - 2.5ltr</v>
      </c>
      <c r="G340" s="23" t="s">
        <v>5216</v>
      </c>
      <c r="H340" s="25" t="s">
        <v>36</v>
      </c>
      <c r="I340" s="18" t="s">
        <v>37</v>
      </c>
      <c r="J340" s="18" t="s">
        <v>38</v>
      </c>
      <c r="K340" t="s">
        <v>39</v>
      </c>
      <c r="L340" s="26">
        <f>VLOOKUP(A340,'[3]Price info'!A:D,4,FALSE)</f>
        <v>16.829999999999998</v>
      </c>
      <c r="M340" s="18" t="s">
        <v>40</v>
      </c>
      <c r="N340" s="20">
        <v>3105</v>
      </c>
      <c r="P340" s="16">
        <f>VLOOKUP(A340,'[3]Price info'!A:H,8,FALSE)</f>
        <v>15.66873</v>
      </c>
      <c r="Q340" s="27">
        <f t="shared" si="21"/>
        <v>0.93100000000000005</v>
      </c>
      <c r="S340" s="16">
        <f>VLOOKUP(A340,[4]Sales!$E:$G,3,FALSE)</f>
        <v>570.18999999999983</v>
      </c>
      <c r="T340" s="19">
        <f>VLOOKUP(A340,[4]Volume!$E:$G,3,FALSE)</f>
        <v>92.5</v>
      </c>
      <c r="U340" s="19">
        <f>VLOOKUP(A340,[4]Piece!$E:$G,3,FALSE)</f>
        <v>37</v>
      </c>
      <c r="V340" s="21">
        <f t="shared" si="22"/>
        <v>579.74301000000003</v>
      </c>
      <c r="W340" s="16">
        <f t="shared" si="23"/>
        <v>9.5530100000001994</v>
      </c>
    </row>
    <row r="341" spans="1:23" hidden="1" x14ac:dyDescent="0.3">
      <c r="A341" s="22" t="s">
        <v>698</v>
      </c>
      <c r="B341" s="22" t="s">
        <v>698</v>
      </c>
      <c r="C341" s="23" t="s">
        <v>33</v>
      </c>
      <c r="D341" s="20" t="s">
        <v>34</v>
      </c>
      <c r="E341" s="22" t="s">
        <v>699</v>
      </c>
      <c r="F341" s="24" t="str">
        <f t="shared" si="20"/>
        <v>PPG - Johnstones SHED &amp; FENCE - Dark Oak - 5ltr</v>
      </c>
      <c r="G341" s="23" t="s">
        <v>5217</v>
      </c>
      <c r="H341" s="25" t="s">
        <v>36</v>
      </c>
      <c r="I341" s="18" t="s">
        <v>37</v>
      </c>
      <c r="J341" s="18" t="s">
        <v>38</v>
      </c>
      <c r="K341" t="s">
        <v>39</v>
      </c>
      <c r="L341" s="26">
        <f>VLOOKUP(A341,'[3]Price info'!A:D,4,FALSE)</f>
        <v>8.2100000000000009</v>
      </c>
      <c r="M341" s="18" t="s">
        <v>40</v>
      </c>
      <c r="N341" s="20">
        <v>3105</v>
      </c>
      <c r="P341" s="16">
        <f>VLOOKUP(A341,'[3]Price info'!A:H,8,FALSE)</f>
        <v>7.6435100000000009</v>
      </c>
      <c r="Q341" s="27">
        <f t="shared" si="21"/>
        <v>0.93100000000000005</v>
      </c>
      <c r="S341" s="16">
        <f>VLOOKUP(A341,[4]Sales!$E:$G,3,FALSE)</f>
        <v>1248.81</v>
      </c>
      <c r="T341" s="19">
        <f>VLOOKUP(A341,[4]Volume!$E:$G,3,FALSE)</f>
        <v>770</v>
      </c>
      <c r="U341" s="19">
        <f>VLOOKUP(A341,[4]Piece!$E:$G,3,FALSE)</f>
        <v>154</v>
      </c>
      <c r="V341" s="21">
        <f t="shared" si="22"/>
        <v>1177.1005400000001</v>
      </c>
      <c r="W341" s="16">
        <f t="shared" si="23"/>
        <v>-71.709459999999808</v>
      </c>
    </row>
    <row r="342" spans="1:23" hidden="1" x14ac:dyDescent="0.3">
      <c r="A342" s="46" t="s">
        <v>700</v>
      </c>
      <c r="B342" s="46" t="s">
        <v>700</v>
      </c>
      <c r="C342" s="47" t="s">
        <v>33</v>
      </c>
      <c r="D342" s="48" t="s">
        <v>34</v>
      </c>
      <c r="E342" s="18" t="s">
        <v>701</v>
      </c>
      <c r="F342" s="24" t="str">
        <f t="shared" si="20"/>
        <v>PPG - EASYL LINING PAPER 1400 DOUBL</v>
      </c>
      <c r="G342" s="20" t="s">
        <v>5218</v>
      </c>
      <c r="H342" s="49" t="s">
        <v>213</v>
      </c>
      <c r="I342" s="18" t="s">
        <v>37</v>
      </c>
      <c r="J342" s="18" t="s">
        <v>38</v>
      </c>
      <c r="K342" t="s">
        <v>39</v>
      </c>
      <c r="L342" s="50">
        <f>VLOOKUP(A342,'[3]Price info'!A:D,4,FALSE)</f>
        <v>3.46</v>
      </c>
      <c r="M342" s="18" t="s">
        <v>214</v>
      </c>
      <c r="N342" s="20">
        <v>3105</v>
      </c>
      <c r="P342" s="16">
        <f>VLOOKUP(A342,'[3]Price info'!A:H,8,FALSE)</f>
        <v>3.22126</v>
      </c>
      <c r="Q342" s="17">
        <f t="shared" si="21"/>
        <v>0.93100000000000005</v>
      </c>
      <c r="S342" s="16">
        <f>VLOOKUP(A342,[4]Sales!$E:$G,3,FALSE)</f>
        <v>1262.0299999999997</v>
      </c>
      <c r="T342" s="19">
        <f>VLOOKUP(A342,[4]Volume!$E:$G,3,FALSE)</f>
        <v>377</v>
      </c>
      <c r="U342" s="19">
        <f>VLOOKUP(A342,[4]Piece!$E:$G,3,FALSE)</f>
        <v>377</v>
      </c>
      <c r="V342" s="21">
        <f t="shared" si="22"/>
        <v>1214.4150199999999</v>
      </c>
      <c r="W342" s="16">
        <f t="shared" si="23"/>
        <v>-47.614979999999832</v>
      </c>
    </row>
    <row r="343" spans="1:23" hidden="1" x14ac:dyDescent="0.3">
      <c r="A343" s="22" t="s">
        <v>702</v>
      </c>
      <c r="B343" s="22" t="s">
        <v>702</v>
      </c>
      <c r="C343" s="23" t="s">
        <v>33</v>
      </c>
      <c r="D343" s="20" t="s">
        <v>34</v>
      </c>
      <c r="E343" s="22" t="s">
        <v>703</v>
      </c>
      <c r="F343" s="24" t="str">
        <f t="shared" si="20"/>
        <v>PPG - ProGold CLASSIC SYNTHETIC BRUSH 2"</v>
      </c>
      <c r="G343" s="23" t="s">
        <v>5219</v>
      </c>
      <c r="H343" s="25" t="s">
        <v>36</v>
      </c>
      <c r="I343" s="18" t="s">
        <v>37</v>
      </c>
      <c r="J343" s="18" t="s">
        <v>38</v>
      </c>
      <c r="K343" t="s">
        <v>39</v>
      </c>
      <c r="L343" s="26">
        <f>VLOOKUP(A343,'[3]Price info'!A:D,4,FALSE)</f>
        <v>3.25</v>
      </c>
      <c r="M343" s="18" t="s">
        <v>40</v>
      </c>
      <c r="N343" s="20">
        <v>3105</v>
      </c>
      <c r="P343" s="16">
        <f>VLOOKUP(A343,'[3]Price info'!A:H,8,FALSE)</f>
        <v>3.0257500000000004</v>
      </c>
      <c r="Q343" s="27">
        <f t="shared" si="21"/>
        <v>0.93100000000000016</v>
      </c>
      <c r="S343" s="16">
        <f>VLOOKUP(A343,[4]Sales!$E:$G,3,FALSE)</f>
        <v>543.57000000000005</v>
      </c>
      <c r="T343" s="19">
        <f>VLOOKUP(A343,[4]Volume!$E:$G,3,FALSE)</f>
        <v>177</v>
      </c>
      <c r="U343" s="19">
        <f>VLOOKUP(A343,[4]Piece!$E:$G,3,FALSE)</f>
        <v>177</v>
      </c>
      <c r="V343" s="21">
        <f t="shared" si="22"/>
        <v>535.55775000000006</v>
      </c>
      <c r="W343" s="16">
        <f t="shared" si="23"/>
        <v>-8.0122499999999945</v>
      </c>
    </row>
    <row r="344" spans="1:23" hidden="1" x14ac:dyDescent="0.3">
      <c r="A344" s="36" t="s">
        <v>704</v>
      </c>
      <c r="B344" s="36" t="s">
        <v>704</v>
      </c>
      <c r="C344" s="23" t="s">
        <v>33</v>
      </c>
      <c r="D344" s="20" t="s">
        <v>34</v>
      </c>
      <c r="E344" s="22" t="s">
        <v>705</v>
      </c>
      <c r="F344" s="24" t="str">
        <f t="shared" si="20"/>
        <v>PPG - Artex Artex SAND PAPER 100GM 600211 -  - ltr</v>
      </c>
      <c r="G344" s="41" t="s">
        <v>5220</v>
      </c>
      <c r="H344" s="39" t="s">
        <v>36</v>
      </c>
      <c r="I344" s="40" t="s">
        <v>37</v>
      </c>
      <c r="J344" s="40" t="s">
        <v>38</v>
      </c>
      <c r="K344" s="41" t="s">
        <v>39</v>
      </c>
      <c r="L344" s="26">
        <f>VLOOKUP(A344,'[3]Price info'!A:D,4,FALSE)</f>
        <v>10.24</v>
      </c>
      <c r="M344" s="40" t="s">
        <v>40</v>
      </c>
      <c r="N344" s="42">
        <v>3105</v>
      </c>
      <c r="O344" s="43">
        <v>8.98</v>
      </c>
      <c r="P344" s="16">
        <f>VLOOKUP(A344,'[3]Price info'!A:H,8,FALSE)</f>
        <v>9.5334400000000006</v>
      </c>
      <c r="Q344" s="52">
        <f t="shared" si="21"/>
        <v>0.93100000000000005</v>
      </c>
      <c r="R344" s="40"/>
      <c r="S344" s="16">
        <f>VLOOKUP(A344,[4]Sales!$E:$G,3,FALSE)</f>
        <v>636.98000000000025</v>
      </c>
      <c r="T344" s="19">
        <f>VLOOKUP(A344,[4]Volume!$E:$G,3,FALSE)</f>
        <v>66</v>
      </c>
      <c r="U344" s="19">
        <f>VLOOKUP(A344,[4]Piece!$E:$G,3,FALSE)</f>
        <v>66</v>
      </c>
      <c r="V344" s="21">
        <f t="shared" si="22"/>
        <v>629.20704000000001</v>
      </c>
      <c r="W344" s="16">
        <f t="shared" si="23"/>
        <v>-7.7729600000002392</v>
      </c>
    </row>
    <row r="345" spans="1:23" hidden="1" x14ac:dyDescent="0.3">
      <c r="A345" s="22" t="s">
        <v>706</v>
      </c>
      <c r="B345" s="22" t="s">
        <v>706</v>
      </c>
      <c r="C345" s="23" t="s">
        <v>33</v>
      </c>
      <c r="D345" s="20" t="s">
        <v>34</v>
      </c>
      <c r="E345" s="22" t="s">
        <v>707</v>
      </c>
      <c r="F345" s="24" t="str">
        <f t="shared" si="20"/>
        <v>PPG - Johnstones FLORTRED ANTI SLiP - P Grey - 5l</v>
      </c>
      <c r="G345" s="23" t="s">
        <v>5221</v>
      </c>
      <c r="H345" s="25" t="s">
        <v>36</v>
      </c>
      <c r="I345" s="18" t="s">
        <v>37</v>
      </c>
      <c r="J345" s="18" t="s">
        <v>38</v>
      </c>
      <c r="K345" t="s">
        <v>39</v>
      </c>
      <c r="L345" s="26">
        <f>VLOOKUP(A345,'[3]Price info'!A:D,4,FALSE)</f>
        <v>63.25</v>
      </c>
      <c r="M345" s="18" t="s">
        <v>40</v>
      </c>
      <c r="N345" s="20">
        <v>3105</v>
      </c>
      <c r="P345" s="16">
        <f>VLOOKUP(A345,'[3]Price info'!A:H,8,FALSE)</f>
        <v>58.885750000000002</v>
      </c>
      <c r="Q345" s="27">
        <f t="shared" si="21"/>
        <v>0.93100000000000005</v>
      </c>
      <c r="S345" s="16">
        <f>VLOOKUP(A345,[4]Sales!$E:$G,3,FALSE)</f>
        <v>58.89</v>
      </c>
      <c r="T345" s="19">
        <f>VLOOKUP(A345,[4]Volume!$E:$G,3,FALSE)</f>
        <v>5</v>
      </c>
      <c r="U345" s="19">
        <f>VLOOKUP(A345,[4]Piece!$E:$G,3,FALSE)</f>
        <v>1</v>
      </c>
      <c r="V345" s="21">
        <f t="shared" si="22"/>
        <v>58.885750000000002</v>
      </c>
      <c r="W345" s="16">
        <f t="shared" si="23"/>
        <v>-4.2499999999989768E-3</v>
      </c>
    </row>
    <row r="346" spans="1:23" hidden="1" x14ac:dyDescent="0.3">
      <c r="A346" s="22" t="s">
        <v>708</v>
      </c>
      <c r="B346" s="22" t="s">
        <v>708</v>
      </c>
      <c r="C346" s="23" t="s">
        <v>33</v>
      </c>
      <c r="D346" s="20" t="s">
        <v>34</v>
      </c>
      <c r="E346" s="22" t="s">
        <v>709</v>
      </c>
      <c r="F346" s="24" t="str">
        <f t="shared" si="20"/>
        <v>PPG - ProGold CONTRACTOR BRUSH 1"</v>
      </c>
      <c r="G346" s="23" t="s">
        <v>5222</v>
      </c>
      <c r="H346" s="25" t="s">
        <v>36</v>
      </c>
      <c r="I346" s="18" t="s">
        <v>37</v>
      </c>
      <c r="J346" s="18" t="s">
        <v>38</v>
      </c>
      <c r="K346" t="s">
        <v>39</v>
      </c>
      <c r="L346" s="26">
        <f>VLOOKUP(A346,'[3]Price info'!A:D,4,FALSE)</f>
        <v>1.27</v>
      </c>
      <c r="M346" s="18" t="s">
        <v>40</v>
      </c>
      <c r="N346" s="20">
        <v>3105</v>
      </c>
      <c r="P346" s="16">
        <f>VLOOKUP(A346,'[3]Price info'!A:H,8,FALSE)</f>
        <v>1.1823700000000001</v>
      </c>
      <c r="Q346" s="27">
        <f t="shared" si="21"/>
        <v>0.93100000000000005</v>
      </c>
      <c r="S346" s="16">
        <f>VLOOKUP(A346,[4]Sales!$E:$G,3,FALSE)</f>
        <v>557.48000000000013</v>
      </c>
      <c r="T346" s="19">
        <f>VLOOKUP(A346,[4]Volume!$E:$G,3,FALSE)</f>
        <v>455</v>
      </c>
      <c r="U346" s="19">
        <f>VLOOKUP(A346,[4]Piece!$E:$G,3,FALSE)</f>
        <v>455</v>
      </c>
      <c r="V346" s="21">
        <f t="shared" si="22"/>
        <v>537.97835000000009</v>
      </c>
      <c r="W346" s="16">
        <f t="shared" si="23"/>
        <v>-19.501650000000041</v>
      </c>
    </row>
    <row r="347" spans="1:23" hidden="1" x14ac:dyDescent="0.3">
      <c r="A347" s="22" t="s">
        <v>710</v>
      </c>
      <c r="B347" s="22" t="s">
        <v>710</v>
      </c>
      <c r="C347" s="23" t="s">
        <v>33</v>
      </c>
      <c r="D347" s="20" t="s">
        <v>34</v>
      </c>
      <c r="E347" s="22" t="s">
        <v>711</v>
      </c>
      <c r="F347" s="24" t="str">
        <f t="shared" si="20"/>
        <v>PPG - Johnstones EGGSHELL - Brill White - 2.5ltr</v>
      </c>
      <c r="G347" s="23" t="s">
        <v>5223</v>
      </c>
      <c r="H347" s="25" t="s">
        <v>36</v>
      </c>
      <c r="I347" s="18" t="s">
        <v>37</v>
      </c>
      <c r="J347" s="18" t="s">
        <v>38</v>
      </c>
      <c r="K347" t="s">
        <v>39</v>
      </c>
      <c r="L347" s="26">
        <f>VLOOKUP(A347,'[3]Price info'!A:D,4,FALSE)</f>
        <v>13.34</v>
      </c>
      <c r="M347" s="18" t="s">
        <v>40</v>
      </c>
      <c r="N347" s="20">
        <v>3105</v>
      </c>
      <c r="P347" s="16">
        <f>VLOOKUP(A347,'[3]Price info'!A:H,8,FALSE)</f>
        <v>12.419540000000001</v>
      </c>
      <c r="Q347" s="27">
        <f t="shared" si="21"/>
        <v>0.93100000000000016</v>
      </c>
      <c r="S347" s="16">
        <f>VLOOKUP(A347,[4]Sales!$E:$G,3,FALSE)</f>
        <v>489.06999999999994</v>
      </c>
      <c r="T347" s="19">
        <f>VLOOKUP(A347,[4]Volume!$E:$G,3,FALSE)</f>
        <v>95</v>
      </c>
      <c r="U347" s="19">
        <f>VLOOKUP(A347,[4]Piece!$E:$G,3,FALSE)</f>
        <v>38</v>
      </c>
      <c r="V347" s="21">
        <f t="shared" si="22"/>
        <v>471.94252000000006</v>
      </c>
      <c r="W347" s="16">
        <f t="shared" si="23"/>
        <v>-17.127479999999878</v>
      </c>
    </row>
    <row r="348" spans="1:23" hidden="1" x14ac:dyDescent="0.3">
      <c r="A348" s="22" t="s">
        <v>712</v>
      </c>
      <c r="B348" s="22" t="s">
        <v>712</v>
      </c>
      <c r="C348" s="23" t="s">
        <v>33</v>
      </c>
      <c r="D348" s="20" t="s">
        <v>34</v>
      </c>
      <c r="E348" s="22" t="s">
        <v>713</v>
      </c>
      <c r="F348" s="24" t="str">
        <f t="shared" si="20"/>
        <v>PPG - Johnstones FLORTRED Safety Blue - 5ltr</v>
      </c>
      <c r="G348" s="23" t="s">
        <v>5224</v>
      </c>
      <c r="H348" s="25" t="s">
        <v>36</v>
      </c>
      <c r="I348" s="18" t="s">
        <v>37</v>
      </c>
      <c r="J348" s="18" t="s">
        <v>38</v>
      </c>
      <c r="K348" t="s">
        <v>39</v>
      </c>
      <c r="L348" s="26">
        <f>VLOOKUP(A348,'[3]Price info'!A:D,4,FALSE)</f>
        <v>58.03</v>
      </c>
      <c r="M348" s="18" t="s">
        <v>40</v>
      </c>
      <c r="N348" s="20">
        <v>3105</v>
      </c>
      <c r="P348" s="16">
        <f>VLOOKUP(A348,'[3]Price info'!A:H,8,FALSE)</f>
        <v>21.07</v>
      </c>
      <c r="Q348" s="27">
        <f t="shared" si="21"/>
        <v>0.36308805790108567</v>
      </c>
      <c r="S348" s="16" t="e">
        <f>VLOOKUP(A348,[4]Sales!$E:$G,3,FALSE)</f>
        <v>#N/A</v>
      </c>
      <c r="T348" s="19" t="e">
        <f>VLOOKUP(A348,[4]Volume!$E:$G,3,FALSE)</f>
        <v>#N/A</v>
      </c>
      <c r="U348" s="19" t="e">
        <f>VLOOKUP(A348,[4]Piece!$E:$G,3,FALSE)</f>
        <v>#N/A</v>
      </c>
      <c r="V348" s="21" t="e">
        <f t="shared" si="22"/>
        <v>#N/A</v>
      </c>
      <c r="W348" s="16" t="e">
        <f t="shared" si="23"/>
        <v>#N/A</v>
      </c>
    </row>
    <row r="349" spans="1:23" hidden="1" x14ac:dyDescent="0.3">
      <c r="A349" s="46" t="s">
        <v>714</v>
      </c>
      <c r="B349" s="46" t="s">
        <v>714</v>
      </c>
      <c r="C349" s="51" t="s">
        <v>33</v>
      </c>
      <c r="D349" s="48" t="s">
        <v>34</v>
      </c>
      <c r="E349" s="18" t="s">
        <v>715</v>
      </c>
      <c r="F349" s="24" t="str">
        <f t="shared" si="20"/>
        <v>PPG - EWI   INSULATION PANEL ADHESIVE 25KG</v>
      </c>
      <c r="G349" s="20" t="s">
        <v>5225</v>
      </c>
      <c r="H349" s="49" t="s">
        <v>213</v>
      </c>
      <c r="I349" s="18" t="s">
        <v>37</v>
      </c>
      <c r="J349" s="18" t="s">
        <v>38</v>
      </c>
      <c r="K349" t="s">
        <v>39</v>
      </c>
      <c r="L349" s="50">
        <f>VLOOKUP(A349,'[3]Price info'!A:D,4,FALSE)</f>
        <v>12.28</v>
      </c>
      <c r="M349" s="18" t="s">
        <v>214</v>
      </c>
      <c r="N349" s="20">
        <v>3105</v>
      </c>
      <c r="P349" s="16">
        <f>VLOOKUP(A349,'[3]Price info'!A:H,8,FALSE)</f>
        <v>12.28</v>
      </c>
      <c r="Q349" s="17">
        <f t="shared" si="21"/>
        <v>1</v>
      </c>
      <c r="S349" s="16" t="e">
        <f>VLOOKUP(A349,[4]Sales!$E:$G,3,FALSE)</f>
        <v>#N/A</v>
      </c>
      <c r="T349" s="19" t="e">
        <f>VLOOKUP(A349,[4]Volume!$E:$G,3,FALSE)</f>
        <v>#N/A</v>
      </c>
      <c r="U349" s="19" t="e">
        <f>VLOOKUP(A349,[4]Piece!$E:$G,3,FALSE)</f>
        <v>#N/A</v>
      </c>
      <c r="V349" s="21" t="e">
        <f t="shared" si="22"/>
        <v>#N/A</v>
      </c>
      <c r="W349" s="16" t="e">
        <f t="shared" si="23"/>
        <v>#N/A</v>
      </c>
    </row>
    <row r="350" spans="1:23" hidden="1" x14ac:dyDescent="0.3">
      <c r="A350" s="22" t="s">
        <v>716</v>
      </c>
      <c r="B350" s="22" t="s">
        <v>716</v>
      </c>
      <c r="C350" s="23" t="s">
        <v>33</v>
      </c>
      <c r="D350" s="20" t="s">
        <v>34</v>
      </c>
      <c r="E350" s="22" t="s">
        <v>717</v>
      </c>
      <c r="F350" s="24" t="str">
        <f t="shared" si="20"/>
        <v>PPG - Johnstones QD Woodstain - Mahogany - 2.5l</v>
      </c>
      <c r="G350" s="23" t="s">
        <v>5226</v>
      </c>
      <c r="H350" s="25" t="s">
        <v>36</v>
      </c>
      <c r="I350" s="18" t="s">
        <v>37</v>
      </c>
      <c r="J350" s="18" t="s">
        <v>38</v>
      </c>
      <c r="K350" t="s">
        <v>39</v>
      </c>
      <c r="L350" s="26">
        <f>VLOOKUP(A350,'[3]Price info'!A:D,4,FALSE)</f>
        <v>23.03</v>
      </c>
      <c r="M350" s="18" t="s">
        <v>40</v>
      </c>
      <c r="N350" s="20">
        <v>3105</v>
      </c>
      <c r="P350" s="16">
        <f>VLOOKUP(A350,'[3]Price info'!A:H,8,FALSE)</f>
        <v>21.440930000000002</v>
      </c>
      <c r="Q350" s="27">
        <f t="shared" si="21"/>
        <v>0.93100000000000005</v>
      </c>
      <c r="S350" s="16">
        <f>VLOOKUP(A350,[4]Sales!$E:$G,3,FALSE)</f>
        <v>277.95</v>
      </c>
      <c r="T350" s="19">
        <f>VLOOKUP(A350,[4]Volume!$E:$G,3,FALSE)</f>
        <v>32.5</v>
      </c>
      <c r="U350" s="19">
        <f>VLOOKUP(A350,[4]Piece!$E:$G,3,FALSE)</f>
        <v>13</v>
      </c>
      <c r="V350" s="21">
        <f t="shared" si="22"/>
        <v>278.73209000000003</v>
      </c>
      <c r="W350" s="16">
        <f t="shared" si="23"/>
        <v>0.78209000000003925</v>
      </c>
    </row>
    <row r="351" spans="1:23" hidden="1" x14ac:dyDescent="0.3">
      <c r="A351" s="22" t="s">
        <v>718</v>
      </c>
      <c r="B351" s="22" t="s">
        <v>718</v>
      </c>
      <c r="C351" s="23" t="s">
        <v>33</v>
      </c>
      <c r="D351" s="20" t="s">
        <v>34</v>
      </c>
      <c r="E351" s="22" t="s">
        <v>719</v>
      </c>
      <c r="F351" s="24" t="str">
        <f t="shared" si="20"/>
        <v>PPG - Leyland ACRYLIC PRIME U/COAT - White -2.5ltr</v>
      </c>
      <c r="G351" s="23" t="s">
        <v>5227</v>
      </c>
      <c r="H351" s="25" t="s">
        <v>36</v>
      </c>
      <c r="I351" s="18" t="s">
        <v>37</v>
      </c>
      <c r="J351" s="18" t="s">
        <v>38</v>
      </c>
      <c r="K351" t="s">
        <v>39</v>
      </c>
      <c r="L351" s="26">
        <f>VLOOKUP(A351,'[3]Price info'!A:D,4,FALSE)</f>
        <v>10.48</v>
      </c>
      <c r="M351" s="18" t="s">
        <v>40</v>
      </c>
      <c r="N351" s="20">
        <v>3105</v>
      </c>
      <c r="P351" s="16">
        <f>VLOOKUP(A351,'[3]Price info'!A:H,8,FALSE)</f>
        <v>9.7568800000000007</v>
      </c>
      <c r="Q351" s="27">
        <f t="shared" si="21"/>
        <v>0.93100000000000005</v>
      </c>
      <c r="S351" s="16">
        <f>VLOOKUP(A351,[4]Sales!$E:$G,3,FALSE)</f>
        <v>50.24</v>
      </c>
      <c r="T351" s="19">
        <f>VLOOKUP(A351,[4]Volume!$E:$G,3,FALSE)</f>
        <v>12.5</v>
      </c>
      <c r="U351" s="19">
        <f>VLOOKUP(A351,[4]Piece!$E:$G,3,FALSE)</f>
        <v>5</v>
      </c>
      <c r="V351" s="21">
        <f t="shared" si="22"/>
        <v>48.784400000000005</v>
      </c>
      <c r="W351" s="16">
        <f t="shared" si="23"/>
        <v>-1.4555999999999969</v>
      </c>
    </row>
    <row r="352" spans="1:23" hidden="1" x14ac:dyDescent="0.3">
      <c r="A352" s="46" t="s">
        <v>720</v>
      </c>
      <c r="B352" s="46" t="s">
        <v>720</v>
      </c>
      <c r="C352" s="47" t="s">
        <v>33</v>
      </c>
      <c r="D352" s="48" t="s">
        <v>34</v>
      </c>
      <c r="E352" s="18" t="s">
        <v>721</v>
      </c>
      <c r="F352" s="24" t="str">
        <f t="shared" si="20"/>
        <v>PPG - EWI   BASETRACK JOINT CLIPS</v>
      </c>
      <c r="G352" s="20" t="s">
        <v>5228</v>
      </c>
      <c r="H352" s="49" t="s">
        <v>213</v>
      </c>
      <c r="I352" s="18" t="s">
        <v>37</v>
      </c>
      <c r="J352" s="18" t="s">
        <v>38</v>
      </c>
      <c r="K352" t="s">
        <v>39</v>
      </c>
      <c r="L352" s="50">
        <f>VLOOKUP(A352,'[3]Price info'!A:D,4,FALSE)</f>
        <v>23.11</v>
      </c>
      <c r="M352" s="18" t="s">
        <v>214</v>
      </c>
      <c r="N352" s="20">
        <v>3105</v>
      </c>
      <c r="P352" s="16">
        <f>VLOOKUP(A352,'[3]Price info'!A:H,8,FALSE)</f>
        <v>23.11</v>
      </c>
      <c r="Q352" s="17">
        <f t="shared" si="21"/>
        <v>1</v>
      </c>
      <c r="S352" s="16" t="e">
        <f>VLOOKUP(A352,[4]Sales!$E:$G,3,FALSE)</f>
        <v>#N/A</v>
      </c>
      <c r="T352" s="19" t="e">
        <f>VLOOKUP(A352,[4]Volume!$E:$G,3,FALSE)</f>
        <v>#N/A</v>
      </c>
      <c r="U352" s="19" t="e">
        <f>VLOOKUP(A352,[4]Piece!$E:$G,3,FALSE)</f>
        <v>#N/A</v>
      </c>
      <c r="V352" s="21" t="e">
        <f t="shared" si="22"/>
        <v>#N/A</v>
      </c>
      <c r="W352" s="16" t="e">
        <f t="shared" si="23"/>
        <v>#N/A</v>
      </c>
    </row>
    <row r="353" spans="1:23" hidden="1" x14ac:dyDescent="0.3">
      <c r="A353" s="22" t="s">
        <v>722</v>
      </c>
      <c r="B353" s="22" t="s">
        <v>722</v>
      </c>
      <c r="C353" s="23" t="s">
        <v>33</v>
      </c>
      <c r="D353" s="20" t="s">
        <v>34</v>
      </c>
      <c r="E353" s="22" t="s">
        <v>723</v>
      </c>
      <c r="F353" s="24" t="str">
        <f t="shared" si="20"/>
        <v>PPG - ProGold CLASSIC HYBRID BRUSH 5 PIECE PACK</v>
      </c>
      <c r="G353" s="23" t="s">
        <v>5229</v>
      </c>
      <c r="H353" s="25" t="s">
        <v>36</v>
      </c>
      <c r="I353" s="18" t="s">
        <v>37</v>
      </c>
      <c r="J353" s="18" t="s">
        <v>38</v>
      </c>
      <c r="K353" t="s">
        <v>39</v>
      </c>
      <c r="L353" s="26">
        <f>VLOOKUP(A353,'[3]Price info'!A:D,4,FALSE)</f>
        <v>11.79</v>
      </c>
      <c r="M353" s="18" t="s">
        <v>40</v>
      </c>
      <c r="N353" s="20">
        <v>3105</v>
      </c>
      <c r="P353" s="16">
        <f>VLOOKUP(A353,'[3]Price info'!A:H,8,FALSE)</f>
        <v>10.97649</v>
      </c>
      <c r="Q353" s="27">
        <f t="shared" si="21"/>
        <v>0.93100000000000005</v>
      </c>
      <c r="S353" s="16">
        <f>VLOOKUP(A353,[4]Sales!$E:$G,3,FALSE)</f>
        <v>579.28999999999985</v>
      </c>
      <c r="T353" s="19">
        <f>VLOOKUP(A353,[4]Volume!$E:$G,3,FALSE)</f>
        <v>72</v>
      </c>
      <c r="U353" s="19">
        <f>VLOOKUP(A353,[4]Piece!$E:$G,3,FALSE)</f>
        <v>72</v>
      </c>
      <c r="V353" s="21">
        <f t="shared" si="22"/>
        <v>790.30727999999999</v>
      </c>
      <c r="W353" s="16">
        <f t="shared" si="23"/>
        <v>211.01728000000014</v>
      </c>
    </row>
    <row r="354" spans="1:23" hidden="1" x14ac:dyDescent="0.3">
      <c r="A354" s="22" t="s">
        <v>724</v>
      </c>
      <c r="B354" s="22" t="s">
        <v>724</v>
      </c>
      <c r="C354" s="23" t="s">
        <v>33</v>
      </c>
      <c r="D354" s="20" t="s">
        <v>34</v>
      </c>
      <c r="E354" s="22" t="s">
        <v>725</v>
      </c>
      <c r="F354" s="24" t="str">
        <f t="shared" si="20"/>
        <v>PPG - Stormshield FLEXIBLE EX SATIN - BW - 2.5ltr</v>
      </c>
      <c r="G354" s="23" t="s">
        <v>5230</v>
      </c>
      <c r="H354" s="25" t="s">
        <v>36</v>
      </c>
      <c r="I354" s="18" t="s">
        <v>37</v>
      </c>
      <c r="J354" s="18" t="s">
        <v>38</v>
      </c>
      <c r="K354" t="s">
        <v>39</v>
      </c>
      <c r="L354" s="26">
        <f>VLOOKUP(A354,'[3]Price info'!A:D,4,FALSE)</f>
        <v>31.92</v>
      </c>
      <c r="M354" s="18" t="s">
        <v>40</v>
      </c>
      <c r="N354" s="20">
        <v>3105</v>
      </c>
      <c r="P354" s="16">
        <f>VLOOKUP(A354,'[3]Price info'!A:H,8,FALSE)</f>
        <v>15</v>
      </c>
      <c r="Q354" s="27">
        <f t="shared" si="21"/>
        <v>0.46992481203007519</v>
      </c>
      <c r="S354" s="16" t="e">
        <f>VLOOKUP(A354,[4]Sales!$E:$G,3,FALSE)</f>
        <v>#N/A</v>
      </c>
      <c r="T354" s="19" t="e">
        <f>VLOOKUP(A354,[4]Volume!$E:$G,3,FALSE)</f>
        <v>#N/A</v>
      </c>
      <c r="U354" s="19" t="e">
        <f>VLOOKUP(A354,[4]Piece!$E:$G,3,FALSE)</f>
        <v>#N/A</v>
      </c>
      <c r="V354" s="21" t="e">
        <f t="shared" si="22"/>
        <v>#N/A</v>
      </c>
      <c r="W354" s="16" t="e">
        <f t="shared" si="23"/>
        <v>#N/A</v>
      </c>
    </row>
    <row r="355" spans="1:23" hidden="1" x14ac:dyDescent="0.3">
      <c r="A355" s="36" t="s">
        <v>726</v>
      </c>
      <c r="B355" s="36" t="s">
        <v>726</v>
      </c>
      <c r="C355" s="23" t="s">
        <v>33</v>
      </c>
      <c r="D355" s="20" t="s">
        <v>34</v>
      </c>
      <c r="E355" s="22" t="s">
        <v>727</v>
      </c>
      <c r="F355" s="24" t="str">
        <f t="shared" si="20"/>
        <v>PPG - Zinsser BIN PRIMER SEALER WHITE - 400ml</v>
      </c>
      <c r="G355" s="36" t="s">
        <v>5231</v>
      </c>
      <c r="H355" s="25" t="s">
        <v>36</v>
      </c>
      <c r="I355" s="18" t="s">
        <v>37</v>
      </c>
      <c r="J355" s="18" t="s">
        <v>38</v>
      </c>
      <c r="K355" t="s">
        <v>39</v>
      </c>
      <c r="L355" s="26">
        <f>VLOOKUP(A355,'[3]Price info'!A:D,4,FALSE)</f>
        <v>10.62</v>
      </c>
      <c r="M355" s="18" t="s">
        <v>40</v>
      </c>
      <c r="N355" s="20">
        <v>3105</v>
      </c>
      <c r="P355" s="16">
        <f>VLOOKUP(A355,'[3]Price info'!A:H,8,FALSE)</f>
        <v>10.62</v>
      </c>
      <c r="Q355" s="27">
        <f t="shared" si="21"/>
        <v>1</v>
      </c>
      <c r="S355" s="16">
        <f>VLOOKUP(A355,[4]Sales!$E:$G,3,FALSE)</f>
        <v>280.85000000000002</v>
      </c>
      <c r="T355" s="19">
        <f>VLOOKUP(A355,[4]Volume!$E:$G,3,FALSE)</f>
        <v>10.799999999999999</v>
      </c>
      <c r="U355" s="19">
        <f>VLOOKUP(A355,[4]Piece!$E:$G,3,FALSE)</f>
        <v>27</v>
      </c>
      <c r="V355" s="21">
        <f t="shared" si="22"/>
        <v>286.73999999999995</v>
      </c>
      <c r="W355" s="16">
        <f t="shared" si="23"/>
        <v>5.8899999999999295</v>
      </c>
    </row>
    <row r="356" spans="1:23" hidden="1" x14ac:dyDescent="0.3">
      <c r="A356" s="22" t="s">
        <v>728</v>
      </c>
      <c r="B356" s="22" t="s">
        <v>728</v>
      </c>
      <c r="C356" s="23" t="s">
        <v>33</v>
      </c>
      <c r="D356" s="20" t="s">
        <v>34</v>
      </c>
      <c r="E356" s="22" t="s">
        <v>729</v>
      </c>
      <c r="F356" s="24" t="str">
        <f t="shared" si="20"/>
        <v>PPG - Johnstones 2PK SOLV FLOOR - Prin Grey - 4ltr</v>
      </c>
      <c r="G356" s="23" t="s">
        <v>5232</v>
      </c>
      <c r="H356" s="25" t="s">
        <v>36</v>
      </c>
      <c r="I356" s="18" t="s">
        <v>37</v>
      </c>
      <c r="J356" s="18" t="s">
        <v>38</v>
      </c>
      <c r="K356" t="s">
        <v>39</v>
      </c>
      <c r="L356" s="26">
        <f>VLOOKUP(A356,'[3]Price info'!A:D,4,FALSE)</f>
        <v>53.63</v>
      </c>
      <c r="M356" s="18" t="s">
        <v>40</v>
      </c>
      <c r="N356" s="20">
        <v>3105</v>
      </c>
      <c r="P356" s="16">
        <f>VLOOKUP(A356,'[3]Price info'!A:H,8,FALSE)</f>
        <v>49.929530000000007</v>
      </c>
      <c r="Q356" s="27">
        <f t="shared" si="21"/>
        <v>0.93100000000000005</v>
      </c>
      <c r="S356" s="16" t="e">
        <f>VLOOKUP(A356,[4]Sales!$E:$G,3,FALSE)</f>
        <v>#N/A</v>
      </c>
      <c r="T356" s="19" t="e">
        <f>VLOOKUP(A356,[4]Volume!$E:$G,3,FALSE)</f>
        <v>#N/A</v>
      </c>
      <c r="U356" s="19" t="e">
        <f>VLOOKUP(A356,[4]Piece!$E:$G,3,FALSE)</f>
        <v>#N/A</v>
      </c>
      <c r="V356" s="21" t="e">
        <f t="shared" si="22"/>
        <v>#N/A</v>
      </c>
      <c r="W356" s="16" t="e">
        <f t="shared" si="23"/>
        <v>#N/A</v>
      </c>
    </row>
    <row r="357" spans="1:23" hidden="1" x14ac:dyDescent="0.3">
      <c r="A357" s="22" t="s">
        <v>730</v>
      </c>
      <c r="B357" s="22" t="s">
        <v>730</v>
      </c>
      <c r="C357" s="23" t="s">
        <v>33</v>
      </c>
      <c r="D357" s="20" t="s">
        <v>34</v>
      </c>
      <c r="E357" s="22" t="s">
        <v>731</v>
      </c>
      <c r="F357" s="24" t="str">
        <f t="shared" si="20"/>
        <v>PPG - GORI 88 Opaque - Mix - 5ltr</v>
      </c>
      <c r="G357" s="23" t="s">
        <v>5233</v>
      </c>
      <c r="H357" s="25" t="s">
        <v>36</v>
      </c>
      <c r="I357" s="18" t="s">
        <v>37</v>
      </c>
      <c r="J357" s="18" t="s">
        <v>38</v>
      </c>
      <c r="K357" t="s">
        <v>39</v>
      </c>
      <c r="L357" s="26">
        <f>VLOOKUP(A357,'[3]Price info'!A:D,4,FALSE)</f>
        <v>74.25</v>
      </c>
      <c r="M357" s="18" t="s">
        <v>40</v>
      </c>
      <c r="N357" s="20">
        <v>3105</v>
      </c>
      <c r="P357" s="16">
        <f>VLOOKUP(A357,'[3]Price info'!A:H,8,FALSE)</f>
        <v>50</v>
      </c>
      <c r="Q357" s="27">
        <f t="shared" si="21"/>
        <v>0.67340067340067344</v>
      </c>
      <c r="S357" s="16">
        <f>VLOOKUP(A357,[4]Sales!$E:$G,3,FALSE)</f>
        <v>1819</v>
      </c>
      <c r="T357" s="19">
        <f>VLOOKUP(A357,[4]Volume!$E:$G,3,FALSE)</f>
        <v>215</v>
      </c>
      <c r="U357" s="19">
        <f>VLOOKUP(A357,[4]Piece!$E:$G,3,FALSE)</f>
        <v>43</v>
      </c>
      <c r="V357" s="21">
        <f t="shared" si="22"/>
        <v>2150</v>
      </c>
      <c r="W357" s="16">
        <f t="shared" si="23"/>
        <v>331</v>
      </c>
    </row>
    <row r="358" spans="1:23" hidden="1" x14ac:dyDescent="0.3">
      <c r="A358" s="22" t="s">
        <v>732</v>
      </c>
      <c r="B358" s="22" t="s">
        <v>732</v>
      </c>
      <c r="C358" s="23" t="s">
        <v>33</v>
      </c>
      <c r="D358" s="20" t="s">
        <v>34</v>
      </c>
      <c r="E358" s="22" t="s">
        <v>733</v>
      </c>
      <c r="F358" s="24" t="str">
        <f t="shared" si="20"/>
        <v>PPG - ProGold ALUMINIUM OXIDE GRD60 10M</v>
      </c>
      <c r="G358" s="23" t="s">
        <v>5234</v>
      </c>
      <c r="H358" s="25" t="s">
        <v>36</v>
      </c>
      <c r="I358" s="18" t="s">
        <v>37</v>
      </c>
      <c r="J358" s="18" t="s">
        <v>38</v>
      </c>
      <c r="K358" t="s">
        <v>39</v>
      </c>
      <c r="L358" s="26">
        <f>VLOOKUP(A358,'[3]Price info'!A:D,4,FALSE)</f>
        <v>8.3800000000000008</v>
      </c>
      <c r="M358" s="18" t="s">
        <v>40</v>
      </c>
      <c r="N358" s="20">
        <v>3105</v>
      </c>
      <c r="P358" s="16">
        <f>VLOOKUP(A358,'[3]Price info'!A:H,8,FALSE)</f>
        <v>7.8017800000000008</v>
      </c>
      <c r="Q358" s="27">
        <f t="shared" si="21"/>
        <v>0.93100000000000005</v>
      </c>
      <c r="S358" s="16">
        <f>VLOOKUP(A358,[4]Sales!$E:$G,3,FALSE)</f>
        <v>377.62000000000006</v>
      </c>
      <c r="T358" s="19">
        <f>VLOOKUP(A358,[4]Volume!$E:$G,3,FALSE)</f>
        <v>47</v>
      </c>
      <c r="U358" s="19">
        <f>VLOOKUP(A358,[4]Piece!$E:$G,3,FALSE)</f>
        <v>47</v>
      </c>
      <c r="V358" s="21">
        <f t="shared" si="22"/>
        <v>366.68366000000003</v>
      </c>
      <c r="W358" s="16">
        <f t="shared" si="23"/>
        <v>-10.93634000000003</v>
      </c>
    </row>
    <row r="359" spans="1:23" hidden="1" x14ac:dyDescent="0.3">
      <c r="A359" s="53" t="s">
        <v>734</v>
      </c>
      <c r="B359" s="54" t="s">
        <v>734</v>
      </c>
      <c r="C359" s="47" t="s">
        <v>33</v>
      </c>
      <c r="D359" s="48" t="s">
        <v>34</v>
      </c>
      <c r="E359" s="22" t="s">
        <v>735</v>
      </c>
      <c r="F359" s="24" t="str">
        <f t="shared" si="20"/>
        <v>PPG - RODO CARPET PROTECTOR 20MX600MM</v>
      </c>
      <c r="G359" s="20" t="s">
        <v>5235</v>
      </c>
      <c r="H359" s="25" t="s">
        <v>36</v>
      </c>
      <c r="I359" s="18" t="s">
        <v>37</v>
      </c>
      <c r="J359" s="18" t="s">
        <v>38</v>
      </c>
      <c r="K359" t="s">
        <v>39</v>
      </c>
      <c r="L359" s="26">
        <f>VLOOKUP(A359,'[3]Price info'!A:D,4,FALSE)</f>
        <v>14.88</v>
      </c>
      <c r="M359" s="18" t="s">
        <v>214</v>
      </c>
      <c r="N359" s="20">
        <v>3105</v>
      </c>
      <c r="P359" s="16">
        <f>VLOOKUP(A359,'[3]Price info'!A:H,8,FALSE)</f>
        <v>13.853280000000002</v>
      </c>
      <c r="Q359" s="27">
        <f t="shared" si="21"/>
        <v>0.93100000000000005</v>
      </c>
      <c r="S359" s="16">
        <f>VLOOKUP(A359,[4]Sales!$E:$G,3,FALSE)</f>
        <v>105.98</v>
      </c>
      <c r="T359" s="19">
        <f>VLOOKUP(A359,[4]Volume!$E:$G,3,FALSE)</f>
        <v>7</v>
      </c>
      <c r="U359" s="19">
        <f>VLOOKUP(A359,[4]Piece!$E:$G,3,FALSE)</f>
        <v>7</v>
      </c>
      <c r="V359" s="21">
        <f t="shared" si="22"/>
        <v>96.972960000000015</v>
      </c>
      <c r="W359" s="16">
        <f t="shared" si="23"/>
        <v>-9.0070399999999893</v>
      </c>
    </row>
    <row r="360" spans="1:23" hidden="1" x14ac:dyDescent="0.3">
      <c r="A360" s="53" t="s">
        <v>736</v>
      </c>
      <c r="B360" s="54" t="s">
        <v>736</v>
      </c>
      <c r="C360" s="47" t="s">
        <v>33</v>
      </c>
      <c r="D360" s="48" t="s">
        <v>34</v>
      </c>
      <c r="E360" s="22" t="s">
        <v>737</v>
      </c>
      <c r="F360" s="24" t="str">
        <f t="shared" si="20"/>
        <v>PPG - RODO 400ML SKELETON CAULKINGGUN XSTRONG</v>
      </c>
      <c r="G360" s="20" t="s">
        <v>5236</v>
      </c>
      <c r="H360" s="25" t="s">
        <v>36</v>
      </c>
      <c r="I360" s="18" t="s">
        <v>37</v>
      </c>
      <c r="J360" s="18" t="s">
        <v>38</v>
      </c>
      <c r="K360" t="s">
        <v>39</v>
      </c>
      <c r="L360" s="26">
        <f>VLOOKUP(A360,'[3]Price info'!A:D,4,FALSE)</f>
        <v>4.88</v>
      </c>
      <c r="M360" s="18" t="s">
        <v>214</v>
      </c>
      <c r="N360" s="20">
        <v>3105</v>
      </c>
      <c r="P360" s="16">
        <f>VLOOKUP(A360,'[3]Price info'!A:H,8,FALSE)</f>
        <v>4.5432800000000002</v>
      </c>
      <c r="Q360" s="27">
        <f t="shared" si="21"/>
        <v>0.93100000000000005</v>
      </c>
      <c r="S360" s="16">
        <f>VLOOKUP(A360,[4]Sales!$E:$G,3,FALSE)</f>
        <v>518.51999999999964</v>
      </c>
      <c r="T360" s="19">
        <f>VLOOKUP(A360,[4]Volume!$E:$G,3,FALSE)</f>
        <v>172</v>
      </c>
      <c r="U360" s="19">
        <f>VLOOKUP(A360,[4]Piece!$E:$G,3,FALSE)</f>
        <v>172</v>
      </c>
      <c r="V360" s="21">
        <f t="shared" si="22"/>
        <v>781.44416000000001</v>
      </c>
      <c r="W360" s="16">
        <f t="shared" si="23"/>
        <v>262.92416000000037</v>
      </c>
    </row>
    <row r="361" spans="1:23" hidden="1" x14ac:dyDescent="0.3">
      <c r="A361" s="22" t="s">
        <v>738</v>
      </c>
      <c r="B361" s="22" t="s">
        <v>738</v>
      </c>
      <c r="C361" s="23" t="s">
        <v>33</v>
      </c>
      <c r="D361" s="20" t="s">
        <v>34</v>
      </c>
      <c r="E361" s="22" t="s">
        <v>739</v>
      </c>
      <c r="F361" s="24" t="str">
        <f t="shared" si="20"/>
        <v>PPG - ProGold WOVEN LONG PILE ROLLER 12"</v>
      </c>
      <c r="G361" s="23" t="s">
        <v>5237</v>
      </c>
      <c r="H361" s="25" t="s">
        <v>36</v>
      </c>
      <c r="I361" s="18" t="s">
        <v>37</v>
      </c>
      <c r="J361" s="18" t="s">
        <v>38</v>
      </c>
      <c r="K361" t="s">
        <v>39</v>
      </c>
      <c r="L361" s="26">
        <f>VLOOKUP(A361,'[3]Price info'!A:D,4,FALSE)</f>
        <v>6.05</v>
      </c>
      <c r="M361" s="18" t="s">
        <v>40</v>
      </c>
      <c r="N361" s="20">
        <v>3105</v>
      </c>
      <c r="P361" s="16">
        <f>VLOOKUP(A361,'[3]Price info'!A:H,8,FALSE)</f>
        <v>5.6325500000000002</v>
      </c>
      <c r="Q361" s="27">
        <f t="shared" si="21"/>
        <v>0.93100000000000005</v>
      </c>
      <c r="S361" s="16">
        <f>VLOOKUP(A361,[4]Sales!$E:$G,3,FALSE)</f>
        <v>396.28999999999996</v>
      </c>
      <c r="T361" s="19">
        <f>VLOOKUP(A361,[4]Volume!$E:$G,3,FALSE)</f>
        <v>69</v>
      </c>
      <c r="U361" s="19">
        <f>VLOOKUP(A361,[4]Piece!$E:$G,3,FALSE)</f>
        <v>69</v>
      </c>
      <c r="V361" s="21">
        <f t="shared" si="22"/>
        <v>388.64595000000003</v>
      </c>
      <c r="W361" s="16">
        <f t="shared" si="23"/>
        <v>-7.6440499999999361</v>
      </c>
    </row>
    <row r="362" spans="1:23" hidden="1" x14ac:dyDescent="0.3">
      <c r="A362" s="46" t="s">
        <v>740</v>
      </c>
      <c r="B362" s="46" t="s">
        <v>740</v>
      </c>
      <c r="C362" s="47" t="s">
        <v>33</v>
      </c>
      <c r="D362" s="48" t="s">
        <v>34</v>
      </c>
      <c r="E362" s="18" t="s">
        <v>741</v>
      </c>
      <c r="F362" s="24" t="str">
        <f t="shared" si="20"/>
        <v>PPG - SD S'DUR 550 SET (X)        XXXXCCEU2200</v>
      </c>
      <c r="G362" s="20" t="s">
        <v>5238</v>
      </c>
      <c r="H362" s="49" t="s">
        <v>213</v>
      </c>
      <c r="I362" s="18" t="s">
        <v>37</v>
      </c>
      <c r="J362" s="18" t="s">
        <v>38</v>
      </c>
      <c r="K362" t="s">
        <v>39</v>
      </c>
      <c r="L362" s="50">
        <f>VLOOKUP(A362,'[3]Price info'!A:D,4,FALSE)</f>
        <v>208.49</v>
      </c>
      <c r="M362" s="18" t="s">
        <v>214</v>
      </c>
      <c r="N362" s="20">
        <v>3105</v>
      </c>
      <c r="P362" s="16">
        <f>VLOOKUP(A362,'[3]Price info'!A:H,8,FALSE)</f>
        <v>194.10419000000002</v>
      </c>
      <c r="Q362" s="17">
        <f t="shared" si="21"/>
        <v>0.93100000000000005</v>
      </c>
      <c r="S362" s="16" t="e">
        <f>VLOOKUP(A362,[4]Sales!$E:$G,3,FALSE)</f>
        <v>#N/A</v>
      </c>
      <c r="T362" s="19" t="e">
        <f>VLOOKUP(A362,[4]Volume!$E:$G,3,FALSE)</f>
        <v>#N/A</v>
      </c>
      <c r="U362" s="19" t="e">
        <f>VLOOKUP(A362,[4]Piece!$E:$G,3,FALSE)</f>
        <v>#N/A</v>
      </c>
      <c r="V362" s="21" t="e">
        <f t="shared" si="22"/>
        <v>#N/A</v>
      </c>
      <c r="W362" s="16" t="e">
        <f t="shared" si="23"/>
        <v>#N/A</v>
      </c>
    </row>
    <row r="363" spans="1:23" hidden="1" x14ac:dyDescent="0.3">
      <c r="A363" s="22" t="s">
        <v>742</v>
      </c>
      <c r="B363" s="22" t="s">
        <v>742</v>
      </c>
      <c r="C363" s="23" t="s">
        <v>33</v>
      </c>
      <c r="D363" s="20" t="s">
        <v>34</v>
      </c>
      <c r="E363" s="22" t="s">
        <v>743</v>
      </c>
      <c r="F363" s="24" t="str">
        <f t="shared" si="20"/>
        <v>PPG - Johnstones FLORTRED ANTI SLIP - Dk Grey - 5l</v>
      </c>
      <c r="G363" s="23" t="s">
        <v>5239</v>
      </c>
      <c r="H363" s="25" t="s">
        <v>36</v>
      </c>
      <c r="I363" s="18" t="s">
        <v>37</v>
      </c>
      <c r="J363" s="18" t="s">
        <v>38</v>
      </c>
      <c r="K363" t="s">
        <v>39</v>
      </c>
      <c r="L363" s="26">
        <f>VLOOKUP(A363,'[3]Price info'!A:D,4,FALSE)</f>
        <v>63.25</v>
      </c>
      <c r="M363" s="18" t="s">
        <v>40</v>
      </c>
      <c r="N363" s="20">
        <v>3105</v>
      </c>
      <c r="P363" s="16">
        <f>VLOOKUP(A363,'[3]Price info'!A:H,8,FALSE)</f>
        <v>58.885750000000002</v>
      </c>
      <c r="Q363" s="27">
        <f t="shared" si="21"/>
        <v>0.93100000000000005</v>
      </c>
      <c r="S363" s="16">
        <f>VLOOKUP(A363,[4]Sales!$E:$G,3,FALSE)</f>
        <v>-115.42</v>
      </c>
      <c r="T363" s="19">
        <f>VLOOKUP(A363,[4]Volume!$E:$G,3,FALSE)</f>
        <v>-10</v>
      </c>
      <c r="U363" s="19">
        <f>VLOOKUP(A363,[4]Piece!$E:$G,3,FALSE)</f>
        <v>-2</v>
      </c>
      <c r="V363" s="21">
        <f t="shared" si="22"/>
        <v>-117.7715</v>
      </c>
      <c r="W363" s="16">
        <f t="shared" si="23"/>
        <v>-2.3515000000000015</v>
      </c>
    </row>
    <row r="364" spans="1:23" hidden="1" x14ac:dyDescent="0.3">
      <c r="A364" s="22" t="s">
        <v>744</v>
      </c>
      <c r="B364" s="22" t="s">
        <v>744</v>
      </c>
      <c r="C364" s="23" t="s">
        <v>33</v>
      </c>
      <c r="D364" s="20" t="s">
        <v>34</v>
      </c>
      <c r="E364" s="22" t="s">
        <v>745</v>
      </c>
      <c r="F364" s="24" t="str">
        <f t="shared" si="20"/>
        <v>PPG - ProGold ALL PURPOSE POWDER FILLER 10kg</v>
      </c>
      <c r="G364" s="23" t="s">
        <v>5240</v>
      </c>
      <c r="H364" s="25" t="s">
        <v>36</v>
      </c>
      <c r="I364" s="18" t="s">
        <v>37</v>
      </c>
      <c r="J364" s="18" t="s">
        <v>38</v>
      </c>
      <c r="K364" t="s">
        <v>39</v>
      </c>
      <c r="L364" s="26">
        <f>VLOOKUP(A364,'[3]Price info'!A:D,4,FALSE)</f>
        <v>9.01</v>
      </c>
      <c r="M364" s="18" t="s">
        <v>40</v>
      </c>
      <c r="N364" s="20">
        <v>3105</v>
      </c>
      <c r="P364" s="16">
        <f>VLOOKUP(A364,'[3]Price info'!A:H,8,FALSE)</f>
        <v>8.3883100000000006</v>
      </c>
      <c r="Q364" s="27">
        <f t="shared" si="21"/>
        <v>0.93100000000000005</v>
      </c>
      <c r="S364" s="16">
        <f>VLOOKUP(A364,[4]Sales!$E:$G,3,FALSE)</f>
        <v>164.99</v>
      </c>
      <c r="T364" s="19">
        <f>VLOOKUP(A364,[4]Volume!$E:$G,3,FALSE)</f>
        <v>190</v>
      </c>
      <c r="U364" s="19">
        <f>VLOOKUP(A364,[4]Piece!$E:$G,3,FALSE)</f>
        <v>19</v>
      </c>
      <c r="V364" s="21">
        <f t="shared" si="22"/>
        <v>159.37789000000001</v>
      </c>
      <c r="W364" s="16">
        <f t="shared" si="23"/>
        <v>-5.6121100000000013</v>
      </c>
    </row>
    <row r="365" spans="1:23" hidden="1" x14ac:dyDescent="0.3">
      <c r="A365" s="22" t="s">
        <v>746</v>
      </c>
      <c r="B365" s="22" t="s">
        <v>746</v>
      </c>
      <c r="C365" s="23" t="s">
        <v>33</v>
      </c>
      <c r="D365" s="20" t="s">
        <v>34</v>
      </c>
      <c r="E365" s="22" t="s">
        <v>747</v>
      </c>
      <c r="F365" s="24" t="str">
        <f t="shared" si="20"/>
        <v>PPG - Stormshield FLEXIBLE EX U/C - Grey - 2.5ltr</v>
      </c>
      <c r="G365" s="23" t="s">
        <v>5241</v>
      </c>
      <c r="H365" s="25" t="s">
        <v>36</v>
      </c>
      <c r="I365" s="18" t="s">
        <v>37</v>
      </c>
      <c r="J365" s="18" t="s">
        <v>38</v>
      </c>
      <c r="K365" t="s">
        <v>39</v>
      </c>
      <c r="L365" s="26">
        <f>VLOOKUP(A365,'[3]Price info'!A:D,4,FALSE)</f>
        <v>30.37</v>
      </c>
      <c r="M365" s="18" t="s">
        <v>40</v>
      </c>
      <c r="N365" s="20">
        <v>3105</v>
      </c>
      <c r="P365" s="16">
        <f>VLOOKUP(A365,'[3]Price info'!A:H,8,FALSE)</f>
        <v>18</v>
      </c>
      <c r="Q365" s="27">
        <f t="shared" si="21"/>
        <v>0.59269015475798481</v>
      </c>
      <c r="S365" s="16">
        <f>VLOOKUP(A365,[4]Sales!$E:$G,3,FALSE)</f>
        <v>319.48</v>
      </c>
      <c r="T365" s="19">
        <f>VLOOKUP(A365,[4]Volume!$E:$G,3,FALSE)</f>
        <v>37.5</v>
      </c>
      <c r="U365" s="19">
        <f>VLOOKUP(A365,[4]Piece!$E:$G,3,FALSE)</f>
        <v>15</v>
      </c>
      <c r="V365" s="21">
        <f t="shared" si="22"/>
        <v>270</v>
      </c>
      <c r="W365" s="16">
        <f t="shared" si="23"/>
        <v>-49.480000000000018</v>
      </c>
    </row>
    <row r="366" spans="1:23" hidden="1" x14ac:dyDescent="0.3">
      <c r="A366" s="22" t="s">
        <v>748</v>
      </c>
      <c r="B366" s="22" t="s">
        <v>748</v>
      </c>
      <c r="C366" s="23" t="s">
        <v>33</v>
      </c>
      <c r="D366" s="20" t="s">
        <v>34</v>
      </c>
      <c r="E366" s="22" t="s">
        <v>749</v>
      </c>
      <c r="F366" s="24" t="str">
        <f t="shared" si="20"/>
        <v>PPG - ProGold TURPS SUBSTITUTE 2ltr</v>
      </c>
      <c r="G366" s="23" t="s">
        <v>5242</v>
      </c>
      <c r="H366" s="25" t="s">
        <v>36</v>
      </c>
      <c r="I366" s="18" t="s">
        <v>37</v>
      </c>
      <c r="J366" s="18" t="s">
        <v>38</v>
      </c>
      <c r="K366" t="s">
        <v>39</v>
      </c>
      <c r="L366" s="26">
        <f>VLOOKUP(A366,'[3]Price info'!A:D,4,FALSE)</f>
        <v>3.34</v>
      </c>
      <c r="M366" s="18" t="s">
        <v>40</v>
      </c>
      <c r="N366" s="20">
        <v>3105</v>
      </c>
      <c r="P366" s="16">
        <f>VLOOKUP(A366,'[3]Price info'!A:H,8,FALSE)</f>
        <v>3.5904999999999996</v>
      </c>
      <c r="Q366" s="27">
        <f t="shared" si="21"/>
        <v>1.075</v>
      </c>
      <c r="S366" s="16">
        <f>VLOOKUP(A366,[4]Sales!$E:$G,3,FALSE)</f>
        <v>117.07000000000001</v>
      </c>
      <c r="T366" s="19">
        <f>VLOOKUP(A366,[4]Volume!$E:$G,3,FALSE)</f>
        <v>68</v>
      </c>
      <c r="U366" s="19">
        <f>VLOOKUP(A366,[4]Piece!$E:$G,3,FALSE)</f>
        <v>34</v>
      </c>
      <c r="V366" s="21">
        <f t="shared" si="22"/>
        <v>122.07699999999998</v>
      </c>
      <c r="W366" s="16">
        <f t="shared" si="23"/>
        <v>5.0069999999999766</v>
      </c>
    </row>
    <row r="367" spans="1:23" hidden="1" x14ac:dyDescent="0.3">
      <c r="A367" s="22" t="s">
        <v>750</v>
      </c>
      <c r="B367" s="22" t="s">
        <v>750</v>
      </c>
      <c r="C367" s="23" t="s">
        <v>33</v>
      </c>
      <c r="D367" s="20" t="s">
        <v>34</v>
      </c>
      <c r="E367" s="22" t="s">
        <v>751</v>
      </c>
      <c r="F367" s="24" t="str">
        <f t="shared" si="20"/>
        <v>PPG - ProGold SOFT HANDLE ROLLER FRAME - 9"</v>
      </c>
      <c r="G367" s="23" t="s">
        <v>5243</v>
      </c>
      <c r="H367" s="25" t="s">
        <v>36</v>
      </c>
      <c r="I367" s="18" t="s">
        <v>37</v>
      </c>
      <c r="J367" s="18" t="s">
        <v>38</v>
      </c>
      <c r="K367" t="s">
        <v>39</v>
      </c>
      <c r="L367" s="26">
        <f>VLOOKUP(A367,'[3]Price info'!A:D,4,FALSE)</f>
        <v>3.35</v>
      </c>
      <c r="M367" s="18" t="s">
        <v>40</v>
      </c>
      <c r="N367" s="20">
        <v>3105</v>
      </c>
      <c r="P367" s="16">
        <f>VLOOKUP(A367,'[3]Price info'!A:H,8,FALSE)</f>
        <v>3.1188500000000001</v>
      </c>
      <c r="Q367" s="27">
        <f t="shared" si="21"/>
        <v>0.93100000000000005</v>
      </c>
      <c r="S367" s="16">
        <f>VLOOKUP(A367,[4]Sales!$E:$G,3,FALSE)</f>
        <v>498.43999999999994</v>
      </c>
      <c r="T367" s="19">
        <f>VLOOKUP(A367,[4]Volume!$E:$G,3,FALSE)</f>
        <v>161</v>
      </c>
      <c r="U367" s="19">
        <f>VLOOKUP(A367,[4]Piece!$E:$G,3,FALSE)</f>
        <v>161</v>
      </c>
      <c r="V367" s="21">
        <f t="shared" si="22"/>
        <v>502.13485000000003</v>
      </c>
      <c r="W367" s="16">
        <f t="shared" si="23"/>
        <v>3.6948500000000877</v>
      </c>
    </row>
    <row r="368" spans="1:23" hidden="1" x14ac:dyDescent="0.3">
      <c r="A368" s="22" t="s">
        <v>752</v>
      </c>
      <c r="B368" s="22" t="s">
        <v>752</v>
      </c>
      <c r="C368" s="23" t="s">
        <v>33</v>
      </c>
      <c r="D368" s="20" t="s">
        <v>34</v>
      </c>
      <c r="E368" s="22" t="s">
        <v>753</v>
      </c>
      <c r="F368" s="24" t="str">
        <f t="shared" si="20"/>
        <v>PPG - ProGold WOODEN HANDLE ROLLER FRAME - 9"</v>
      </c>
      <c r="G368" s="23" t="s">
        <v>5244</v>
      </c>
      <c r="H368" s="25" t="s">
        <v>36</v>
      </c>
      <c r="I368" s="18" t="s">
        <v>37</v>
      </c>
      <c r="J368" s="18" t="s">
        <v>38</v>
      </c>
      <c r="K368" t="s">
        <v>39</v>
      </c>
      <c r="L368" s="26">
        <f>VLOOKUP(A368,'[3]Price info'!A:D,4,FALSE)</f>
        <v>3.35</v>
      </c>
      <c r="M368" s="18" t="s">
        <v>40</v>
      </c>
      <c r="N368" s="20">
        <v>3105</v>
      </c>
      <c r="P368" s="16">
        <f>VLOOKUP(A368,'[3]Price info'!A:H,8,FALSE)</f>
        <v>3.8524999999999996</v>
      </c>
      <c r="Q368" s="27">
        <f t="shared" si="21"/>
        <v>1.1499999999999999</v>
      </c>
      <c r="S368" s="16">
        <f>VLOOKUP(A368,[4]Sales!$E:$G,3,FALSE)</f>
        <v>514.20000000000005</v>
      </c>
      <c r="T368" s="19">
        <f>VLOOKUP(A368,[4]Volume!$E:$G,3,FALSE)</f>
        <v>144</v>
      </c>
      <c r="U368" s="19">
        <f>VLOOKUP(A368,[4]Piece!$E:$G,3,FALSE)</f>
        <v>144</v>
      </c>
      <c r="V368" s="21">
        <f t="shared" si="22"/>
        <v>554.76</v>
      </c>
      <c r="W368" s="16">
        <f t="shared" si="23"/>
        <v>40.559999999999945</v>
      </c>
    </row>
    <row r="369" spans="1:23" hidden="1" x14ac:dyDescent="0.3">
      <c r="A369" s="22" t="s">
        <v>754</v>
      </c>
      <c r="B369" s="22" t="s">
        <v>754</v>
      </c>
      <c r="C369" s="23" t="s">
        <v>33</v>
      </c>
      <c r="D369" s="20" t="s">
        <v>34</v>
      </c>
      <c r="E369" s="22" t="s">
        <v>755</v>
      </c>
      <c r="F369" s="24" t="str">
        <f t="shared" si="20"/>
        <v>PPG - Johnstones AQUA UNDERCOAT - Mix - 1ltr</v>
      </c>
      <c r="G369" s="23" t="s">
        <v>5245</v>
      </c>
      <c r="H369" s="25" t="s">
        <v>36</v>
      </c>
      <c r="I369" s="18" t="s">
        <v>37</v>
      </c>
      <c r="J369" s="18" t="s">
        <v>38</v>
      </c>
      <c r="K369" t="s">
        <v>39</v>
      </c>
      <c r="L369" s="26">
        <f>VLOOKUP(A369,'[3]Price info'!A:D,4,FALSE)</f>
        <v>11.92</v>
      </c>
      <c r="M369" s="18" t="s">
        <v>40</v>
      </c>
      <c r="N369" s="20">
        <v>3105</v>
      </c>
      <c r="P369" s="16">
        <f>VLOOKUP(A369,'[3]Price info'!A:H,8,FALSE)</f>
        <v>11.92</v>
      </c>
      <c r="Q369" s="27">
        <f t="shared" si="21"/>
        <v>1</v>
      </c>
      <c r="S369" s="16">
        <f>VLOOKUP(A369,[4]Sales!$E:$G,3,FALSE)</f>
        <v>655.60000000000025</v>
      </c>
      <c r="T369" s="19">
        <f>VLOOKUP(A369,[4]Volume!$E:$G,3,FALSE)</f>
        <v>55</v>
      </c>
      <c r="U369" s="19">
        <f>VLOOKUP(A369,[4]Piece!$E:$G,3,FALSE)</f>
        <v>55</v>
      </c>
      <c r="V369" s="21">
        <f t="shared" si="22"/>
        <v>655.6</v>
      </c>
      <c r="W369" s="16">
        <f t="shared" si="23"/>
        <v>0</v>
      </c>
    </row>
    <row r="370" spans="1:23" hidden="1" x14ac:dyDescent="0.3">
      <c r="A370" s="22" t="s">
        <v>756</v>
      </c>
      <c r="B370" s="22" t="s">
        <v>756</v>
      </c>
      <c r="C370" s="23" t="s">
        <v>33</v>
      </c>
      <c r="D370" s="20" t="s">
        <v>34</v>
      </c>
      <c r="E370" s="22" t="s">
        <v>757</v>
      </c>
      <c r="F370" s="24" t="str">
        <f t="shared" si="20"/>
        <v>PPG - ProGold CLASSIC SYNTHETIC BRUSH 4"</v>
      </c>
      <c r="G370" s="23" t="s">
        <v>5246</v>
      </c>
      <c r="H370" s="25" t="s">
        <v>36</v>
      </c>
      <c r="I370" s="18" t="s">
        <v>37</v>
      </c>
      <c r="J370" s="18" t="s">
        <v>38</v>
      </c>
      <c r="K370" t="s">
        <v>39</v>
      </c>
      <c r="L370" s="26">
        <f>VLOOKUP(A370,'[3]Price info'!A:D,4,FALSE)</f>
        <v>10.74</v>
      </c>
      <c r="M370" s="18" t="s">
        <v>40</v>
      </c>
      <c r="N370" s="20">
        <v>3105</v>
      </c>
      <c r="P370" s="16">
        <f>VLOOKUP(A370,'[3]Price info'!A:H,8,FALSE)</f>
        <v>9.998940000000001</v>
      </c>
      <c r="Q370" s="27">
        <f t="shared" si="21"/>
        <v>0.93100000000000005</v>
      </c>
      <c r="S370" s="16">
        <f>VLOOKUP(A370,[4]Sales!$E:$G,3,FALSE)</f>
        <v>10</v>
      </c>
      <c r="T370" s="19">
        <f>VLOOKUP(A370,[4]Volume!$E:$G,3,FALSE)</f>
        <v>1</v>
      </c>
      <c r="U370" s="19">
        <f>VLOOKUP(A370,[4]Piece!$E:$G,3,FALSE)</f>
        <v>1</v>
      </c>
      <c r="V370" s="21">
        <f t="shared" si="22"/>
        <v>9.998940000000001</v>
      </c>
      <c r="W370" s="16">
        <f t="shared" si="23"/>
        <v>-1.0599999999989507E-3</v>
      </c>
    </row>
    <row r="371" spans="1:23" hidden="1" x14ac:dyDescent="0.3">
      <c r="A371" s="46" t="s">
        <v>758</v>
      </c>
      <c r="B371" s="46" t="s">
        <v>758</v>
      </c>
      <c r="C371" s="51" t="s">
        <v>33</v>
      </c>
      <c r="D371" s="48" t="s">
        <v>34</v>
      </c>
      <c r="E371" s="18" t="s">
        <v>759</v>
      </c>
      <c r="F371" s="24" t="str">
        <f t="shared" si="20"/>
        <v>PPG - OLFA  18MM BLADES  PK10</v>
      </c>
      <c r="G371" s="20" t="s">
        <v>5247</v>
      </c>
      <c r="H371" s="49" t="s">
        <v>213</v>
      </c>
      <c r="I371" s="18" t="s">
        <v>37</v>
      </c>
      <c r="J371" s="18" t="s">
        <v>38</v>
      </c>
      <c r="K371" t="s">
        <v>39</v>
      </c>
      <c r="L371" s="50">
        <f>VLOOKUP(A371,'[3]Price info'!A:D,4,FALSE)</f>
        <v>7.54</v>
      </c>
      <c r="M371" s="18" t="s">
        <v>214</v>
      </c>
      <c r="N371" s="20">
        <v>3105</v>
      </c>
      <c r="P371" s="16">
        <f>VLOOKUP(A371,'[3]Price info'!A:H,8,FALSE)</f>
        <v>7.0197400000000005</v>
      </c>
      <c r="Q371" s="17">
        <f t="shared" si="21"/>
        <v>0.93100000000000005</v>
      </c>
      <c r="S371" s="16">
        <f>VLOOKUP(A371,[4]Sales!$E:$G,3,FALSE)</f>
        <v>225.98000000000002</v>
      </c>
      <c r="T371" s="19">
        <f>VLOOKUP(A371,[4]Volume!$E:$G,3,FALSE)</f>
        <v>31</v>
      </c>
      <c r="U371" s="19">
        <f>VLOOKUP(A371,[4]Piece!$E:$G,3,FALSE)</f>
        <v>31</v>
      </c>
      <c r="V371" s="21">
        <f t="shared" si="22"/>
        <v>217.61194</v>
      </c>
      <c r="W371" s="16">
        <f t="shared" si="23"/>
        <v>-8.368060000000014</v>
      </c>
    </row>
    <row r="372" spans="1:23" hidden="1" x14ac:dyDescent="0.3">
      <c r="A372" s="22" t="s">
        <v>760</v>
      </c>
      <c r="B372" s="22" t="s">
        <v>760</v>
      </c>
      <c r="C372" s="23" t="s">
        <v>33</v>
      </c>
      <c r="D372" s="20" t="s">
        <v>34</v>
      </c>
      <c r="E372" s="22" t="s">
        <v>761</v>
      </c>
      <c r="F372" s="24" t="str">
        <f t="shared" si="20"/>
        <v>PPG - ProGold ALUMINIUM OXIDE GRD60 5M</v>
      </c>
      <c r="G372" s="23" t="s">
        <v>5248</v>
      </c>
      <c r="H372" s="25" t="s">
        <v>36</v>
      </c>
      <c r="I372" s="18" t="s">
        <v>37</v>
      </c>
      <c r="J372" s="18" t="s">
        <v>38</v>
      </c>
      <c r="K372" t="s">
        <v>39</v>
      </c>
      <c r="L372" s="26">
        <f>VLOOKUP(A372,'[3]Price info'!A:D,4,FALSE)</f>
        <v>13.34</v>
      </c>
      <c r="M372" s="18" t="s">
        <v>40</v>
      </c>
      <c r="N372" s="20">
        <v>3105</v>
      </c>
      <c r="P372" s="16">
        <f>VLOOKUP(A372,'[3]Price info'!A:H,8,FALSE)</f>
        <v>12.419540000000001</v>
      </c>
      <c r="Q372" s="27">
        <f t="shared" si="21"/>
        <v>0.93100000000000016</v>
      </c>
      <c r="S372" s="16">
        <f>VLOOKUP(A372,[4]Sales!$E:$G,3,FALSE)</f>
        <v>328.86999999999989</v>
      </c>
      <c r="T372" s="19">
        <f>VLOOKUP(A372,[4]Volume!$E:$G,3,FALSE)</f>
        <v>26</v>
      </c>
      <c r="U372" s="19">
        <f>VLOOKUP(A372,[4]Piece!$E:$G,3,FALSE)</f>
        <v>26</v>
      </c>
      <c r="V372" s="21">
        <f t="shared" si="22"/>
        <v>322.90804000000003</v>
      </c>
      <c r="W372" s="16">
        <f t="shared" si="23"/>
        <v>-5.9619599999998627</v>
      </c>
    </row>
    <row r="373" spans="1:23" hidden="1" x14ac:dyDescent="0.3">
      <c r="A373" s="22" t="s">
        <v>762</v>
      </c>
      <c r="B373" s="22" t="s">
        <v>762</v>
      </c>
      <c r="C373" s="23" t="s">
        <v>33</v>
      </c>
      <c r="D373" s="20" t="s">
        <v>34</v>
      </c>
      <c r="E373" s="22" t="s">
        <v>763</v>
      </c>
      <c r="F373" s="24" t="str">
        <f t="shared" si="20"/>
        <v>PPG - Leyland SATINWOOD - Brilliant White - 5ltr</v>
      </c>
      <c r="G373" s="23" t="s">
        <v>5249</v>
      </c>
      <c r="H373" s="25" t="s">
        <v>36</v>
      </c>
      <c r="I373" s="18" t="s">
        <v>37</v>
      </c>
      <c r="J373" s="18" t="s">
        <v>38</v>
      </c>
      <c r="K373" t="s">
        <v>39</v>
      </c>
      <c r="L373" s="26">
        <f>VLOOKUP(A373,'[3]Price info'!A:D,4,FALSE)</f>
        <v>18.7</v>
      </c>
      <c r="M373" s="18" t="s">
        <v>40</v>
      </c>
      <c r="N373" s="20">
        <v>3105</v>
      </c>
      <c r="P373" s="16">
        <f>VLOOKUP(A373,'[3]Price info'!A:H,8,FALSE)</f>
        <v>20.57</v>
      </c>
      <c r="Q373" s="27">
        <f t="shared" si="21"/>
        <v>1.1000000000000001</v>
      </c>
      <c r="S373" s="16">
        <f>VLOOKUP(A373,[4]Sales!$E:$G,3,FALSE)</f>
        <v>131.63</v>
      </c>
      <c r="T373" s="19">
        <f>VLOOKUP(A373,[4]Volume!$E:$G,3,FALSE)</f>
        <v>35</v>
      </c>
      <c r="U373" s="19">
        <f>VLOOKUP(A373,[4]Piece!$E:$G,3,FALSE)</f>
        <v>7</v>
      </c>
      <c r="V373" s="21">
        <f t="shared" si="22"/>
        <v>143.99</v>
      </c>
      <c r="W373" s="16">
        <f t="shared" si="23"/>
        <v>12.360000000000014</v>
      </c>
    </row>
    <row r="374" spans="1:23" hidden="1" x14ac:dyDescent="0.3">
      <c r="A374" s="22" t="s">
        <v>764</v>
      </c>
      <c r="B374" s="22" t="s">
        <v>764</v>
      </c>
      <c r="C374" s="23" t="s">
        <v>33</v>
      </c>
      <c r="D374" s="20" t="s">
        <v>34</v>
      </c>
      <c r="E374" s="22" t="s">
        <v>765</v>
      </c>
      <c r="F374" s="24" t="str">
        <f t="shared" si="20"/>
        <v>PPG - ProGold ALL PURPOSE POWDER FILLER 5kg</v>
      </c>
      <c r="G374" s="23" t="s">
        <v>5250</v>
      </c>
      <c r="H374" s="25" t="s">
        <v>36</v>
      </c>
      <c r="I374" s="18" t="s">
        <v>37</v>
      </c>
      <c r="J374" s="18" t="s">
        <v>38</v>
      </c>
      <c r="K374" t="s">
        <v>39</v>
      </c>
      <c r="L374" s="26">
        <f>VLOOKUP(A374,'[3]Price info'!A:D,4,FALSE)</f>
        <v>6.16</v>
      </c>
      <c r="M374" s="18" t="s">
        <v>40</v>
      </c>
      <c r="N374" s="20">
        <v>3105</v>
      </c>
      <c r="P374" s="16">
        <f>VLOOKUP(A374,'[3]Price info'!A:H,8,FALSE)</f>
        <v>5.7349600000000001</v>
      </c>
      <c r="Q374" s="27">
        <f t="shared" si="21"/>
        <v>0.93099999999999994</v>
      </c>
      <c r="S374" s="16">
        <f>VLOOKUP(A374,[4]Sales!$E:$G,3,FALSE)</f>
        <v>514.67000000000041</v>
      </c>
      <c r="T374" s="19">
        <f>VLOOKUP(A374,[4]Volume!$E:$G,3,FALSE)</f>
        <v>435</v>
      </c>
      <c r="U374" s="19">
        <f>VLOOKUP(A374,[4]Piece!$E:$G,3,FALSE)</f>
        <v>87</v>
      </c>
      <c r="V374" s="21">
        <f t="shared" si="22"/>
        <v>498.94152000000003</v>
      </c>
      <c r="W374" s="16">
        <f t="shared" si="23"/>
        <v>-15.728480000000388</v>
      </c>
    </row>
    <row r="375" spans="1:23" hidden="1" x14ac:dyDescent="0.3">
      <c r="A375" s="22" t="s">
        <v>766</v>
      </c>
      <c r="B375" s="22" t="s">
        <v>766</v>
      </c>
      <c r="C375" s="23" t="s">
        <v>33</v>
      </c>
      <c r="D375" s="20" t="s">
        <v>34</v>
      </c>
      <c r="E375" s="22" t="s">
        <v>767</v>
      </c>
      <c r="F375" s="24" t="str">
        <f t="shared" si="20"/>
        <v>PPG - ProGold ALUMINIUM OXIDE GRD120 50M</v>
      </c>
      <c r="G375" s="23" t="s">
        <v>5251</v>
      </c>
      <c r="H375" s="25" t="s">
        <v>36</v>
      </c>
      <c r="I375" s="18" t="s">
        <v>37</v>
      </c>
      <c r="J375" s="18" t="s">
        <v>38</v>
      </c>
      <c r="K375" t="s">
        <v>39</v>
      </c>
      <c r="L375" s="26">
        <f>VLOOKUP(A375,'[3]Price info'!A:D,4,FALSE)</f>
        <v>17.34</v>
      </c>
      <c r="M375" s="18" t="s">
        <v>40</v>
      </c>
      <c r="N375" s="20">
        <v>3105</v>
      </c>
      <c r="P375" s="16">
        <f>VLOOKUP(A375,'[3]Price info'!A:H,8,FALSE)</f>
        <v>17.34</v>
      </c>
      <c r="Q375" s="27">
        <f t="shared" si="21"/>
        <v>1</v>
      </c>
      <c r="S375" s="16">
        <f>VLOOKUP(A375,[4]Sales!$E:$G,3,FALSE)</f>
        <v>411.92</v>
      </c>
      <c r="T375" s="19">
        <f>VLOOKUP(A375,[4]Volume!$E:$G,3,FALSE)</f>
        <v>24</v>
      </c>
      <c r="U375" s="19">
        <f>VLOOKUP(A375,[4]Piece!$E:$G,3,FALSE)</f>
        <v>24</v>
      </c>
      <c r="V375" s="21">
        <f t="shared" si="22"/>
        <v>416.15999999999997</v>
      </c>
      <c r="W375" s="16">
        <f t="shared" si="23"/>
        <v>4.2399999999999523</v>
      </c>
    </row>
    <row r="376" spans="1:23" hidden="1" x14ac:dyDescent="0.3">
      <c r="A376" s="22" t="s">
        <v>768</v>
      </c>
      <c r="B376" s="22" t="s">
        <v>768</v>
      </c>
      <c r="C376" s="23" t="s">
        <v>33</v>
      </c>
      <c r="D376" s="20" t="s">
        <v>34</v>
      </c>
      <c r="E376" s="22" t="s">
        <v>769</v>
      </c>
      <c r="F376" s="24" t="str">
        <f t="shared" si="20"/>
        <v>PPG - Johnstones SOLV OPAQUE - Mix - 2.5ltr</v>
      </c>
      <c r="G376" s="23" t="s">
        <v>5252</v>
      </c>
      <c r="H376" s="25" t="s">
        <v>36</v>
      </c>
      <c r="I376" s="18" t="s">
        <v>37</v>
      </c>
      <c r="J376" s="18" t="s">
        <v>38</v>
      </c>
      <c r="K376" t="s">
        <v>39</v>
      </c>
      <c r="L376" s="26">
        <f>VLOOKUP(A376,'[3]Price info'!A:D,4,FALSE)</f>
        <v>15.55</v>
      </c>
      <c r="M376" s="18" t="s">
        <v>40</v>
      </c>
      <c r="N376" s="20">
        <v>3105</v>
      </c>
      <c r="P376" s="16">
        <f>VLOOKUP(A376,'[3]Price info'!A:H,8,FALSE)</f>
        <v>12.69</v>
      </c>
      <c r="Q376" s="27">
        <f t="shared" si="21"/>
        <v>0.81607717041800631</v>
      </c>
      <c r="S376" s="16">
        <f>VLOOKUP(A376,[4]Sales!$E:$G,3,FALSE)</f>
        <v>281.70999999999998</v>
      </c>
      <c r="T376" s="19">
        <f>VLOOKUP(A376,[4]Volume!$E:$G,3,FALSE)</f>
        <v>50</v>
      </c>
      <c r="U376" s="19">
        <f>VLOOKUP(A376,[4]Piece!$E:$G,3,FALSE)</f>
        <v>20</v>
      </c>
      <c r="V376" s="21">
        <f t="shared" si="22"/>
        <v>253.79999999999998</v>
      </c>
      <c r="W376" s="16">
        <f t="shared" si="23"/>
        <v>-27.909999999999997</v>
      </c>
    </row>
    <row r="377" spans="1:23" hidden="1" x14ac:dyDescent="0.3">
      <c r="A377" s="46" t="s">
        <v>770</v>
      </c>
      <c r="B377" s="46" t="s">
        <v>770</v>
      </c>
      <c r="C377" s="47" t="s">
        <v>33</v>
      </c>
      <c r="D377" s="48" t="s">
        <v>34</v>
      </c>
      <c r="E377" s="99" t="s">
        <v>7380</v>
      </c>
      <c r="F377" s="24" t="str">
        <f t="shared" si="20"/>
        <v>PPG - Mirka 1230M Dust Extractor 240v Auto Clean</v>
      </c>
      <c r="G377" s="20" t="s">
        <v>5253</v>
      </c>
      <c r="H377" s="49" t="s">
        <v>213</v>
      </c>
      <c r="I377" s="18" t="s">
        <v>37</v>
      </c>
      <c r="J377" s="18" t="s">
        <v>38</v>
      </c>
      <c r="K377" t="s">
        <v>39</v>
      </c>
      <c r="L377" s="50">
        <f>VLOOKUP(A377,'[3]Price info'!A:D,4,FALSE)</f>
        <v>1107.96</v>
      </c>
      <c r="M377" s="18" t="s">
        <v>214</v>
      </c>
      <c r="N377" s="20">
        <v>3105</v>
      </c>
      <c r="P377" s="16">
        <v>776.25</v>
      </c>
      <c r="Q377" s="98">
        <f t="shared" si="21"/>
        <v>0.70061193544893319</v>
      </c>
      <c r="S377" s="16" t="e">
        <f>VLOOKUP(A377,[4]Sales!$E:$G,3,FALSE)</f>
        <v>#N/A</v>
      </c>
      <c r="T377" s="19" t="e">
        <f>VLOOKUP(A377,[4]Volume!$E:$G,3,FALSE)</f>
        <v>#N/A</v>
      </c>
      <c r="U377" s="19" t="e">
        <f>VLOOKUP(A377,[4]Piece!$E:$G,3,FALSE)</f>
        <v>#N/A</v>
      </c>
      <c r="V377" s="21" t="e">
        <f t="shared" si="22"/>
        <v>#N/A</v>
      </c>
      <c r="W377" s="16" t="e">
        <f t="shared" si="23"/>
        <v>#N/A</v>
      </c>
    </row>
    <row r="378" spans="1:23" hidden="1" x14ac:dyDescent="0.3">
      <c r="A378" s="46" t="s">
        <v>771</v>
      </c>
      <c r="B378" s="46" t="s">
        <v>771</v>
      </c>
      <c r="C378" s="47" t="s">
        <v>33</v>
      </c>
      <c r="D378" s="48" t="s">
        <v>34</v>
      </c>
      <c r="E378" s="18" t="s">
        <v>772</v>
      </c>
      <c r="F378" s="24" t="str">
        <f t="shared" si="20"/>
        <v>PPG - RODO  H/D CAULK    GUN PRCG11 REVOLVING</v>
      </c>
      <c r="G378" s="20" t="s">
        <v>5254</v>
      </c>
      <c r="H378" s="49" t="s">
        <v>213</v>
      </c>
      <c r="I378" s="18" t="s">
        <v>37</v>
      </c>
      <c r="J378" s="18" t="s">
        <v>38</v>
      </c>
      <c r="K378" t="s">
        <v>39</v>
      </c>
      <c r="L378" s="50">
        <f>VLOOKUP(A378,'[3]Price info'!A:D,4,FALSE)</f>
        <v>8.8000000000000007</v>
      </c>
      <c r="M378" s="18" t="s">
        <v>214</v>
      </c>
      <c r="N378" s="20">
        <v>3105</v>
      </c>
      <c r="P378" s="16">
        <f>VLOOKUP(A378,'[3]Price info'!A:H,8,FALSE)</f>
        <v>8.1928000000000019</v>
      </c>
      <c r="Q378" s="17">
        <f t="shared" si="21"/>
        <v>0.93100000000000016</v>
      </c>
      <c r="S378" s="16">
        <f>VLOOKUP(A378,[4]Sales!$E:$G,3,FALSE)</f>
        <v>314.62000000000012</v>
      </c>
      <c r="T378" s="19">
        <f>VLOOKUP(A378,[4]Volume!$E:$G,3,FALSE)</f>
        <v>37</v>
      </c>
      <c r="U378" s="19">
        <f>VLOOKUP(A378,[4]Piece!$E:$G,3,FALSE)</f>
        <v>37</v>
      </c>
      <c r="V378" s="21">
        <f t="shared" si="22"/>
        <v>303.13360000000006</v>
      </c>
      <c r="W378" s="16">
        <f t="shared" si="23"/>
        <v>-11.48640000000006</v>
      </c>
    </row>
    <row r="379" spans="1:23" hidden="1" x14ac:dyDescent="0.3">
      <c r="A379" s="22" t="s">
        <v>773</v>
      </c>
      <c r="B379" s="22" t="s">
        <v>773</v>
      </c>
      <c r="C379" s="23" t="s">
        <v>33</v>
      </c>
      <c r="D379" s="20" t="s">
        <v>34</v>
      </c>
      <c r="E379" s="22" t="s">
        <v>774</v>
      </c>
      <c r="F379" s="24" t="str">
        <f t="shared" si="20"/>
        <v>PPG - Johnstones ENDURA - Brilliant White - 5ltr</v>
      </c>
      <c r="G379" s="23" t="s">
        <v>5255</v>
      </c>
      <c r="H379" s="25" t="s">
        <v>36</v>
      </c>
      <c r="I379" s="18" t="s">
        <v>37</v>
      </c>
      <c r="J379" s="18" t="s">
        <v>38</v>
      </c>
      <c r="K379" t="s">
        <v>39</v>
      </c>
      <c r="L379" s="26">
        <f>VLOOKUP(A379,'[3]Price info'!A:D,4,FALSE)</f>
        <v>46.28</v>
      </c>
      <c r="M379" s="18" t="s">
        <v>40</v>
      </c>
      <c r="N379" s="20">
        <v>3105</v>
      </c>
      <c r="P379" s="16">
        <f>VLOOKUP(A379,'[3]Price info'!A:H,8,FALSE)</f>
        <v>43.086680000000001</v>
      </c>
      <c r="Q379" s="27">
        <f t="shared" si="21"/>
        <v>0.93100000000000005</v>
      </c>
      <c r="S379" s="16">
        <f>VLOOKUP(A379,[4]Sales!$E:$G,3,FALSE)</f>
        <v>92.56</v>
      </c>
      <c r="T379" s="19">
        <f>VLOOKUP(A379,[4]Volume!$E:$G,3,FALSE)</f>
        <v>10</v>
      </c>
      <c r="U379" s="19">
        <f>VLOOKUP(A379,[4]Piece!$E:$G,3,FALSE)</f>
        <v>2</v>
      </c>
      <c r="V379" s="21">
        <f t="shared" si="22"/>
        <v>86.173360000000002</v>
      </c>
      <c r="W379" s="16">
        <f t="shared" si="23"/>
        <v>-6.3866399999999999</v>
      </c>
    </row>
    <row r="380" spans="1:23" hidden="1" x14ac:dyDescent="0.3">
      <c r="A380" s="46" t="s">
        <v>775</v>
      </c>
      <c r="B380" s="46" t="s">
        <v>775</v>
      </c>
      <c r="C380" s="51" t="s">
        <v>33</v>
      </c>
      <c r="D380" s="48" t="s">
        <v>34</v>
      </c>
      <c r="E380" s="18" t="s">
        <v>776</v>
      </c>
      <c r="F380" s="24" t="str">
        <f t="shared" si="20"/>
        <v>PPG - JST   Q/DRY OPAQUE RUSSET     0000001250</v>
      </c>
      <c r="G380" s="20" t="s">
        <v>5256</v>
      </c>
      <c r="H380" s="49" t="s">
        <v>213</v>
      </c>
      <c r="I380" s="18" t="s">
        <v>37</v>
      </c>
      <c r="J380" s="18" t="s">
        <v>38</v>
      </c>
      <c r="K380" t="s">
        <v>39</v>
      </c>
      <c r="L380" s="50">
        <f>VLOOKUP(A380,'[3]Price info'!A:D,4,FALSE)</f>
        <v>17.09</v>
      </c>
      <c r="M380" s="18" t="s">
        <v>214</v>
      </c>
      <c r="N380" s="20">
        <v>3105</v>
      </c>
      <c r="P380" s="16">
        <f>VLOOKUP(A380,'[3]Price info'!A:H,8,FALSE)</f>
        <v>15.91079</v>
      </c>
      <c r="Q380" s="17">
        <f t="shared" si="21"/>
        <v>0.93100000000000005</v>
      </c>
      <c r="S380" s="16">
        <f>VLOOKUP(A380,[4]Sales!$E:$G,3,FALSE)</f>
        <v>1317.82</v>
      </c>
      <c r="T380" s="19">
        <f>VLOOKUP(A380,[4]Volume!$E:$G,3,FALSE)</f>
        <v>250</v>
      </c>
      <c r="U380" s="19">
        <f>VLOOKUP(A380,[4]Piece!$E:$G,3,FALSE)</f>
        <v>100</v>
      </c>
      <c r="V380" s="21">
        <f t="shared" si="22"/>
        <v>1591.079</v>
      </c>
      <c r="W380" s="16">
        <f t="shared" si="23"/>
        <v>273.25900000000001</v>
      </c>
    </row>
    <row r="381" spans="1:23" hidden="1" x14ac:dyDescent="0.3">
      <c r="A381" s="22" t="s">
        <v>777</v>
      </c>
      <c r="B381" s="22" t="s">
        <v>777</v>
      </c>
      <c r="C381" s="23" t="s">
        <v>33</v>
      </c>
      <c r="D381" s="20" t="s">
        <v>34</v>
      </c>
      <c r="E381" s="22" t="s">
        <v>778</v>
      </c>
      <c r="F381" s="24" t="str">
        <f t="shared" si="20"/>
        <v>PPG - Johnstones COVAPLUS - Brilliant White 2.5ltr</v>
      </c>
      <c r="G381" s="23" t="s">
        <v>5257</v>
      </c>
      <c r="H381" s="25" t="s">
        <v>36</v>
      </c>
      <c r="I381" s="18" t="s">
        <v>37</v>
      </c>
      <c r="J381" s="18" t="s">
        <v>38</v>
      </c>
      <c r="K381" t="s">
        <v>39</v>
      </c>
      <c r="L381" s="26">
        <f>VLOOKUP(A381,'[3]Price info'!A:D,4,FALSE)</f>
        <v>9.43</v>
      </c>
      <c r="M381" s="18" t="s">
        <v>40</v>
      </c>
      <c r="N381" s="20">
        <v>3105</v>
      </c>
      <c r="P381" s="16">
        <f>VLOOKUP(A381,'[3]Price info'!A:H,8,FALSE)</f>
        <v>5.98</v>
      </c>
      <c r="Q381" s="27">
        <f t="shared" si="21"/>
        <v>0.63414634146341475</v>
      </c>
      <c r="S381" s="16">
        <f>VLOOKUP(A381,[4]Sales!$E:$G,3,FALSE)</f>
        <v>354.33000000000004</v>
      </c>
      <c r="T381" s="19">
        <f>VLOOKUP(A381,[4]Volume!$E:$G,3,FALSE)</f>
        <v>110</v>
      </c>
      <c r="U381" s="19">
        <f>VLOOKUP(A381,[4]Piece!$E:$G,3,FALSE)</f>
        <v>44</v>
      </c>
      <c r="V381" s="21">
        <f t="shared" si="22"/>
        <v>263.12</v>
      </c>
      <c r="W381" s="16">
        <f t="shared" si="23"/>
        <v>-91.210000000000036</v>
      </c>
    </row>
    <row r="382" spans="1:23" hidden="1" x14ac:dyDescent="0.3">
      <c r="A382" s="22" t="s">
        <v>779</v>
      </c>
      <c r="B382" s="22" t="s">
        <v>779</v>
      </c>
      <c r="C382" s="23" t="s">
        <v>33</v>
      </c>
      <c r="D382" s="20" t="s">
        <v>34</v>
      </c>
      <c r="E382" s="22" t="s">
        <v>780</v>
      </c>
      <c r="F382" s="24" t="str">
        <f t="shared" si="20"/>
        <v>PPG - Leyland GLOSS - Mix - 5ltr</v>
      </c>
      <c r="G382" s="23" t="s">
        <v>5258</v>
      </c>
      <c r="H382" s="25" t="s">
        <v>36</v>
      </c>
      <c r="I382" s="18" t="s">
        <v>37</v>
      </c>
      <c r="J382" s="18" t="s">
        <v>38</v>
      </c>
      <c r="K382" t="s">
        <v>39</v>
      </c>
      <c r="L382" s="26">
        <f>VLOOKUP(A382,'[3]Price info'!A:D,4,FALSE)</f>
        <v>16.71</v>
      </c>
      <c r="M382" s="18" t="s">
        <v>40</v>
      </c>
      <c r="N382" s="20">
        <v>3105</v>
      </c>
      <c r="P382" s="16">
        <f>VLOOKUP(A382,'[3]Price info'!A:H,8,FALSE)</f>
        <v>22.93</v>
      </c>
      <c r="Q382" s="27">
        <f t="shared" si="21"/>
        <v>1.3722321962896469</v>
      </c>
      <c r="S382" s="16">
        <f>VLOOKUP(A382,[4]Sales!$E:$G,3,FALSE)</f>
        <v>859.2700000000001</v>
      </c>
      <c r="T382" s="19">
        <f>VLOOKUP(A382,[4]Volume!$E:$G,3,FALSE)</f>
        <v>205</v>
      </c>
      <c r="U382" s="19">
        <f>VLOOKUP(A382,[4]Piece!$E:$G,3,FALSE)</f>
        <v>41</v>
      </c>
      <c r="V382" s="21">
        <f t="shared" si="22"/>
        <v>940.13</v>
      </c>
      <c r="W382" s="16">
        <f t="shared" si="23"/>
        <v>80.8599999999999</v>
      </c>
    </row>
    <row r="383" spans="1:23" hidden="1" x14ac:dyDescent="0.3">
      <c r="A383" s="22" t="s">
        <v>781</v>
      </c>
      <c r="B383" s="22" t="s">
        <v>781</v>
      </c>
      <c r="C383" s="23" t="s">
        <v>33</v>
      </c>
      <c r="D383" s="20" t="s">
        <v>34</v>
      </c>
      <c r="E383" s="22" t="s">
        <v>782</v>
      </c>
      <c r="F383" s="24" t="str">
        <f t="shared" si="20"/>
        <v>PPG - Johnstones JONMAT - Mix - 10ltr</v>
      </c>
      <c r="G383" s="23" t="s">
        <v>5259</v>
      </c>
      <c r="H383" s="25" t="s">
        <v>36</v>
      </c>
      <c r="I383" s="18" t="s">
        <v>37</v>
      </c>
      <c r="J383" s="18" t="s">
        <v>38</v>
      </c>
      <c r="K383" t="s">
        <v>39</v>
      </c>
      <c r="L383" s="26">
        <f>VLOOKUP(A383,'[3]Price info'!A:D,4,FALSE)</f>
        <v>21.99</v>
      </c>
      <c r="M383" s="18" t="s">
        <v>40</v>
      </c>
      <c r="N383" s="20">
        <v>3105</v>
      </c>
      <c r="P383" s="16">
        <f>VLOOKUP(A383,'[3]Price info'!A:H,8,FALSE)</f>
        <v>17.5</v>
      </c>
      <c r="Q383" s="27">
        <f t="shared" si="21"/>
        <v>0.79581628012733063</v>
      </c>
      <c r="S383" s="16">
        <f>VLOOKUP(A383,[4]Sales!$E:$G,3,FALSE)</f>
        <v>87.96</v>
      </c>
      <c r="T383" s="19">
        <f>VLOOKUP(A383,[4]Volume!$E:$G,3,FALSE)</f>
        <v>40</v>
      </c>
      <c r="U383" s="19">
        <f>VLOOKUP(A383,[4]Piece!$E:$G,3,FALSE)</f>
        <v>4</v>
      </c>
      <c r="V383" s="21">
        <f t="shared" si="22"/>
        <v>70</v>
      </c>
      <c r="W383" s="16">
        <f t="shared" si="23"/>
        <v>-17.959999999999994</v>
      </c>
    </row>
    <row r="384" spans="1:23" hidden="1" x14ac:dyDescent="0.3">
      <c r="A384" s="46" t="s">
        <v>783</v>
      </c>
      <c r="B384" s="46" t="s">
        <v>783</v>
      </c>
      <c r="C384" s="47" t="s">
        <v>33</v>
      </c>
      <c r="D384" s="48" t="s">
        <v>34</v>
      </c>
      <c r="E384" s="18" t="s">
        <v>784</v>
      </c>
      <c r="F384" s="24" t="str">
        <f t="shared" si="20"/>
        <v>PPG - HAMIL HD STRIPPER  4"</v>
      </c>
      <c r="G384" s="20" t="s">
        <v>5260</v>
      </c>
      <c r="H384" s="49" t="s">
        <v>213</v>
      </c>
      <c r="I384" s="18" t="s">
        <v>37</v>
      </c>
      <c r="J384" s="18" t="s">
        <v>38</v>
      </c>
      <c r="K384" t="s">
        <v>39</v>
      </c>
      <c r="L384" s="50">
        <f>VLOOKUP(A384,'[3]Price info'!A:D,4,FALSE)</f>
        <v>10.199999999999999</v>
      </c>
      <c r="M384" s="18" t="s">
        <v>214</v>
      </c>
      <c r="N384" s="20">
        <v>3105</v>
      </c>
      <c r="P384" s="16">
        <f>VLOOKUP(A384,'[3]Price info'!A:H,8,FALSE)</f>
        <v>9.4962</v>
      </c>
      <c r="Q384" s="17">
        <f t="shared" si="21"/>
        <v>0.93100000000000005</v>
      </c>
      <c r="S384" s="16">
        <f>VLOOKUP(A384,[4]Sales!$E:$G,3,FALSE)</f>
        <v>513.59999999999991</v>
      </c>
      <c r="T384" s="19">
        <f>VLOOKUP(A384,[4]Volume!$E:$G,3,FALSE)</f>
        <v>52</v>
      </c>
      <c r="U384" s="19">
        <f>VLOOKUP(A384,[4]Piece!$E:$G,3,FALSE)</f>
        <v>52</v>
      </c>
      <c r="V384" s="21">
        <f t="shared" si="22"/>
        <v>493.80239999999998</v>
      </c>
      <c r="W384" s="16">
        <f t="shared" si="23"/>
        <v>-19.797599999999932</v>
      </c>
    </row>
    <row r="385" spans="1:23" hidden="1" x14ac:dyDescent="0.3">
      <c r="A385" s="22" t="s">
        <v>785</v>
      </c>
      <c r="B385" s="22" t="s">
        <v>785</v>
      </c>
      <c r="C385" s="23" t="s">
        <v>33</v>
      </c>
      <c r="D385" s="20" t="s">
        <v>34</v>
      </c>
      <c r="E385" s="22" t="s">
        <v>786</v>
      </c>
      <c r="F385" s="24" t="str">
        <f t="shared" si="20"/>
        <v>PPG - Johnstones SHED &amp; FENCE - Dark C'Nut - 5ltr</v>
      </c>
      <c r="G385" s="23" t="s">
        <v>5261</v>
      </c>
      <c r="H385" s="25" t="s">
        <v>36</v>
      </c>
      <c r="I385" s="18" t="s">
        <v>37</v>
      </c>
      <c r="J385" s="18" t="s">
        <v>38</v>
      </c>
      <c r="K385" t="s">
        <v>39</v>
      </c>
      <c r="L385" s="26">
        <f>VLOOKUP(A385,'[3]Price info'!A:D,4,FALSE)</f>
        <v>8.2100000000000009</v>
      </c>
      <c r="M385" s="18" t="s">
        <v>40</v>
      </c>
      <c r="N385" s="20">
        <v>3105</v>
      </c>
      <c r="P385" s="16">
        <f>VLOOKUP(A385,'[3]Price info'!A:H,8,FALSE)</f>
        <v>7.6435100000000009</v>
      </c>
      <c r="Q385" s="27">
        <f t="shared" si="21"/>
        <v>0.93100000000000005</v>
      </c>
      <c r="S385" s="16">
        <f>VLOOKUP(A385,[4]Sales!$E:$G,3,FALSE)</f>
        <v>215</v>
      </c>
      <c r="T385" s="19">
        <f>VLOOKUP(A385,[4]Volume!$E:$G,3,FALSE)</f>
        <v>140</v>
      </c>
      <c r="U385" s="19">
        <f>VLOOKUP(A385,[4]Piece!$E:$G,3,FALSE)</f>
        <v>28</v>
      </c>
      <c r="V385" s="21">
        <f t="shared" si="22"/>
        <v>214.01828000000003</v>
      </c>
      <c r="W385" s="16">
        <f t="shared" si="23"/>
        <v>-0.98171999999996729</v>
      </c>
    </row>
    <row r="386" spans="1:23" hidden="1" x14ac:dyDescent="0.3">
      <c r="A386" s="46" t="s">
        <v>787</v>
      </c>
      <c r="B386" s="46" t="s">
        <v>787</v>
      </c>
      <c r="C386" s="47" t="s">
        <v>33</v>
      </c>
      <c r="D386" s="48" t="s">
        <v>34</v>
      </c>
      <c r="E386" s="18" t="s">
        <v>788</v>
      </c>
      <c r="F386" s="24" t="str">
        <f t="shared" si="20"/>
        <v>PPG - PGOLD GLOSSER      ROLLER 4"</v>
      </c>
      <c r="G386" s="20" t="s">
        <v>5262</v>
      </c>
      <c r="H386" s="49" t="s">
        <v>213</v>
      </c>
      <c r="I386" s="18" t="s">
        <v>37</v>
      </c>
      <c r="J386" s="18" t="s">
        <v>38</v>
      </c>
      <c r="K386" t="s">
        <v>39</v>
      </c>
      <c r="L386" s="50">
        <f>VLOOKUP(A386,'[3]Price info'!A:D,4,FALSE)</f>
        <v>0.75</v>
      </c>
      <c r="M386" s="18" t="s">
        <v>214</v>
      </c>
      <c r="N386" s="20">
        <v>3105</v>
      </c>
      <c r="P386" s="16">
        <f>VLOOKUP(A386,'[3]Price info'!A:H,8,FALSE)</f>
        <v>0.69825000000000004</v>
      </c>
      <c r="Q386" s="17">
        <f t="shared" si="21"/>
        <v>0.93100000000000005</v>
      </c>
      <c r="S386" s="16">
        <f>VLOOKUP(A386,[4]Sales!$E:$G,3,FALSE)</f>
        <v>325.2</v>
      </c>
      <c r="T386" s="19">
        <f>VLOOKUP(A386,[4]Volume!$E:$G,3,FALSE)</f>
        <v>449</v>
      </c>
      <c r="U386" s="19">
        <f>VLOOKUP(A386,[4]Piece!$E:$G,3,FALSE)</f>
        <v>449</v>
      </c>
      <c r="V386" s="21">
        <f t="shared" si="22"/>
        <v>313.51425</v>
      </c>
      <c r="W386" s="16">
        <f t="shared" si="23"/>
        <v>-11.685749999999985</v>
      </c>
    </row>
    <row r="387" spans="1:23" hidden="1" x14ac:dyDescent="0.3">
      <c r="A387" s="46" t="s">
        <v>789</v>
      </c>
      <c r="B387" s="46" t="s">
        <v>789</v>
      </c>
      <c r="C387" s="51" t="s">
        <v>33</v>
      </c>
      <c r="D387" s="48" t="s">
        <v>34</v>
      </c>
      <c r="E387" s="18" t="s">
        <v>790</v>
      </c>
      <c r="F387" s="24" t="str">
        <f t="shared" ref="F387:F450" si="24">D387&amp;" - "&amp;E387</f>
        <v>PPG - EASY  EASYTEX      10-041     LIGHT STIP</v>
      </c>
      <c r="G387" s="20" t="s">
        <v>5263</v>
      </c>
      <c r="H387" s="49" t="s">
        <v>213</v>
      </c>
      <c r="I387" s="18" t="s">
        <v>37</v>
      </c>
      <c r="J387" s="18" t="s">
        <v>38</v>
      </c>
      <c r="K387" t="s">
        <v>39</v>
      </c>
      <c r="L387" s="50">
        <f>VLOOKUP(A387,'[3]Price info'!A:D,4,FALSE)</f>
        <v>4.1100000000000003</v>
      </c>
      <c r="M387" s="18" t="s">
        <v>214</v>
      </c>
      <c r="N387" s="20">
        <v>3105</v>
      </c>
      <c r="P387" s="16">
        <f>VLOOKUP(A387,'[3]Price info'!A:H,8,FALSE)</f>
        <v>4.9320000000000004</v>
      </c>
      <c r="Q387" s="17">
        <f t="shared" ref="Q387:Q450" si="25">P387/L387</f>
        <v>1.2</v>
      </c>
      <c r="S387" s="16" t="e">
        <f>VLOOKUP(A387,[4]Sales!$E:$G,3,FALSE)</f>
        <v>#N/A</v>
      </c>
      <c r="T387" s="19" t="e">
        <f>VLOOKUP(A387,[4]Volume!$E:$G,3,FALSE)</f>
        <v>#N/A</v>
      </c>
      <c r="U387" s="19" t="e">
        <f>VLOOKUP(A387,[4]Piece!$E:$G,3,FALSE)</f>
        <v>#N/A</v>
      </c>
      <c r="V387" s="21" t="e">
        <f t="shared" ref="V387:V450" si="26">U387*P387</f>
        <v>#N/A</v>
      </c>
      <c r="W387" s="16" t="e">
        <f t="shared" ref="W387:W450" si="27">V387-S387</f>
        <v>#N/A</v>
      </c>
    </row>
    <row r="388" spans="1:23" hidden="1" x14ac:dyDescent="0.3">
      <c r="A388" s="22" t="s">
        <v>791</v>
      </c>
      <c r="B388" s="22" t="s">
        <v>791</v>
      </c>
      <c r="C388" s="23" t="s">
        <v>33</v>
      </c>
      <c r="D388" s="20" t="s">
        <v>34</v>
      </c>
      <c r="E388" s="22" t="s">
        <v>792</v>
      </c>
      <c r="F388" s="24" t="str">
        <f t="shared" si="24"/>
        <v>PPG - Johnstones FLORTRED Safety Yellow - 5ltr</v>
      </c>
      <c r="G388" s="23" t="s">
        <v>5264</v>
      </c>
      <c r="H388" s="25" t="s">
        <v>36</v>
      </c>
      <c r="I388" s="18" t="s">
        <v>37</v>
      </c>
      <c r="J388" s="18" t="s">
        <v>38</v>
      </c>
      <c r="K388" t="s">
        <v>39</v>
      </c>
      <c r="L388" s="26">
        <f>VLOOKUP(A388,'[3]Price info'!A:D,4,FALSE)</f>
        <v>22.63</v>
      </c>
      <c r="M388" s="18" t="s">
        <v>40</v>
      </c>
      <c r="N388" s="20">
        <v>3105</v>
      </c>
      <c r="P388" s="16">
        <f>VLOOKUP(A388,'[3]Price info'!A:H,8,FALSE)</f>
        <v>22.63</v>
      </c>
      <c r="Q388" s="27">
        <f t="shared" si="25"/>
        <v>1</v>
      </c>
      <c r="S388" s="16">
        <f>VLOOKUP(A388,[4]Sales!$E:$G,3,FALSE)</f>
        <v>304.33999999999997</v>
      </c>
      <c r="T388" s="19">
        <f>VLOOKUP(A388,[4]Volume!$E:$G,3,FALSE)</f>
        <v>70</v>
      </c>
      <c r="U388" s="19">
        <f>VLOOKUP(A388,[4]Piece!$E:$G,3,FALSE)</f>
        <v>14</v>
      </c>
      <c r="V388" s="21">
        <f t="shared" si="26"/>
        <v>316.82</v>
      </c>
      <c r="W388" s="16">
        <f t="shared" si="27"/>
        <v>12.480000000000018</v>
      </c>
    </row>
    <row r="389" spans="1:23" hidden="1" x14ac:dyDescent="0.3">
      <c r="A389" s="46" t="s">
        <v>793</v>
      </c>
      <c r="B389" s="46" t="s">
        <v>793</v>
      </c>
      <c r="C389" s="47" t="s">
        <v>33</v>
      </c>
      <c r="D389" s="48" t="s">
        <v>34</v>
      </c>
      <c r="E389" s="18" t="s">
        <v>794</v>
      </c>
      <c r="F389" s="24" t="str">
        <f t="shared" si="24"/>
        <v>PPG - MIRKA DEOS PROMO   KIT 110V   KIT1827INM</v>
      </c>
      <c r="G389" s="20" t="s">
        <v>5265</v>
      </c>
      <c r="H389" s="49" t="s">
        <v>213</v>
      </c>
      <c r="I389" s="18" t="s">
        <v>37</v>
      </c>
      <c r="J389" s="18" t="s">
        <v>38</v>
      </c>
      <c r="K389" t="s">
        <v>39</v>
      </c>
      <c r="L389" s="50">
        <f>VLOOKUP(A389,'[3]Price info'!A:D,4,FALSE)</f>
        <v>723.38</v>
      </c>
      <c r="M389" s="18" t="s">
        <v>214</v>
      </c>
      <c r="N389" s="20">
        <v>3105</v>
      </c>
      <c r="P389" s="16">
        <f>VLOOKUP(A389,'[3]Price info'!A:H,8,FALSE)</f>
        <v>651.04999999999995</v>
      </c>
      <c r="Q389" s="17">
        <f t="shared" si="25"/>
        <v>0.90001105919433766</v>
      </c>
      <c r="S389" s="16" t="e">
        <f>VLOOKUP(A389,[4]Sales!$E:$G,3,FALSE)</f>
        <v>#N/A</v>
      </c>
      <c r="T389" s="19" t="e">
        <f>VLOOKUP(A389,[4]Volume!$E:$G,3,FALSE)</f>
        <v>#N/A</v>
      </c>
      <c r="U389" s="19" t="e">
        <f>VLOOKUP(A389,[4]Piece!$E:$G,3,FALSE)</f>
        <v>#N/A</v>
      </c>
      <c r="V389" s="21" t="e">
        <f t="shared" si="26"/>
        <v>#N/A</v>
      </c>
      <c r="W389" s="16" t="e">
        <f t="shared" si="27"/>
        <v>#N/A</v>
      </c>
    </row>
    <row r="390" spans="1:23" hidden="1" x14ac:dyDescent="0.3">
      <c r="A390" s="22" t="s">
        <v>795</v>
      </c>
      <c r="B390" s="22" t="s">
        <v>795</v>
      </c>
      <c r="C390" s="23" t="s">
        <v>33</v>
      </c>
      <c r="D390" s="20" t="s">
        <v>34</v>
      </c>
      <c r="E390" s="22" t="s">
        <v>796</v>
      </c>
      <c r="F390" s="24" t="str">
        <f t="shared" si="24"/>
        <v>PPG - Johnstones AQUA UNDERCOAT - DK GRY - 2.5ltr</v>
      </c>
      <c r="G390" s="23" t="s">
        <v>5266</v>
      </c>
      <c r="H390" s="25" t="s">
        <v>36</v>
      </c>
      <c r="I390" s="18" t="s">
        <v>37</v>
      </c>
      <c r="J390" s="18" t="s">
        <v>38</v>
      </c>
      <c r="K390" t="s">
        <v>39</v>
      </c>
      <c r="L390" s="26">
        <f>VLOOKUP(A390,'[3]Price info'!A:D,4,FALSE)</f>
        <v>18.670000000000002</v>
      </c>
      <c r="M390" s="18" t="s">
        <v>40</v>
      </c>
      <c r="N390" s="20">
        <v>3105</v>
      </c>
      <c r="P390" s="16">
        <f>VLOOKUP(A390,'[3]Price info'!A:H,8,FALSE)</f>
        <v>18.670000000000002</v>
      </c>
      <c r="Q390" s="27">
        <f t="shared" si="25"/>
        <v>1</v>
      </c>
      <c r="S390" s="16">
        <f>VLOOKUP(A390,[4]Sales!$E:$G,3,FALSE)</f>
        <v>438.92000000000019</v>
      </c>
      <c r="T390" s="19">
        <f>VLOOKUP(A390,[4]Volume!$E:$G,3,FALSE)</f>
        <v>60</v>
      </c>
      <c r="U390" s="19">
        <f>VLOOKUP(A390,[4]Piece!$E:$G,3,FALSE)</f>
        <v>24</v>
      </c>
      <c r="V390" s="21">
        <f t="shared" si="26"/>
        <v>448.08000000000004</v>
      </c>
      <c r="W390" s="16">
        <f t="shared" si="27"/>
        <v>9.1599999999998545</v>
      </c>
    </row>
    <row r="391" spans="1:23" hidden="1" x14ac:dyDescent="0.3">
      <c r="A391" s="22" t="s">
        <v>797</v>
      </c>
      <c r="B391" s="22" t="s">
        <v>797</v>
      </c>
      <c r="C391" s="23" t="s">
        <v>33</v>
      </c>
      <c r="D391" s="20" t="s">
        <v>34</v>
      </c>
      <c r="E391" s="22" t="s">
        <v>798</v>
      </c>
      <c r="F391" s="24" t="str">
        <f t="shared" si="24"/>
        <v>PPG - ProGold FITCH PACK - 5 PACK</v>
      </c>
      <c r="G391" s="23" t="s">
        <v>5267</v>
      </c>
      <c r="H391" s="25" t="s">
        <v>36</v>
      </c>
      <c r="I391" s="18" t="s">
        <v>37</v>
      </c>
      <c r="J391" s="18" t="s">
        <v>38</v>
      </c>
      <c r="K391" t="s">
        <v>39</v>
      </c>
      <c r="L391" s="26">
        <f>VLOOKUP(A391,'[3]Price info'!A:D,4,FALSE)</f>
        <v>4.6500000000000004</v>
      </c>
      <c r="M391" s="18" t="s">
        <v>40</v>
      </c>
      <c r="N391" s="20">
        <v>3105</v>
      </c>
      <c r="P391" s="16">
        <f>VLOOKUP(A391,'[3]Price info'!A:H,8,FALSE)</f>
        <v>4.3291500000000003</v>
      </c>
      <c r="Q391" s="27">
        <f t="shared" si="25"/>
        <v>0.93099999999999994</v>
      </c>
      <c r="S391" s="16">
        <f>VLOOKUP(A391,[4]Sales!$E:$G,3,FALSE)</f>
        <v>464.8700000000004</v>
      </c>
      <c r="T391" s="19">
        <f>VLOOKUP(A391,[4]Volume!$E:$G,3,FALSE)</f>
        <v>103</v>
      </c>
      <c r="U391" s="19">
        <f>VLOOKUP(A391,[4]Piece!$E:$G,3,FALSE)</f>
        <v>103</v>
      </c>
      <c r="V391" s="21">
        <f t="shared" si="26"/>
        <v>445.90245000000004</v>
      </c>
      <c r="W391" s="16">
        <f t="shared" si="27"/>
        <v>-18.967550000000358</v>
      </c>
    </row>
    <row r="392" spans="1:23" hidden="1" x14ac:dyDescent="0.3">
      <c r="A392" s="22" t="s">
        <v>799</v>
      </c>
      <c r="B392" s="22" t="s">
        <v>799</v>
      </c>
      <c r="C392" s="23" t="s">
        <v>33</v>
      </c>
      <c r="D392" s="20" t="s">
        <v>34</v>
      </c>
      <c r="E392" s="22" t="s">
        <v>800</v>
      </c>
      <c r="F392" s="24" t="str">
        <f t="shared" si="24"/>
        <v>PPG - ProGold ALUMINIUM OXIDE GRD80 50M</v>
      </c>
      <c r="G392" s="23" t="s">
        <v>5268</v>
      </c>
      <c r="H392" s="25" t="s">
        <v>36</v>
      </c>
      <c r="I392" s="18" t="s">
        <v>37</v>
      </c>
      <c r="J392" s="18" t="s">
        <v>38</v>
      </c>
      <c r="K392" t="s">
        <v>39</v>
      </c>
      <c r="L392" s="26">
        <f>VLOOKUP(A392,'[3]Price info'!A:D,4,FALSE)</f>
        <v>17.34</v>
      </c>
      <c r="M392" s="18" t="s">
        <v>40</v>
      </c>
      <c r="N392" s="20">
        <v>3105</v>
      </c>
      <c r="P392" s="16">
        <f>VLOOKUP(A392,'[3]Price info'!A:H,8,FALSE)</f>
        <v>17.34</v>
      </c>
      <c r="Q392" s="27">
        <f t="shared" si="25"/>
        <v>1</v>
      </c>
      <c r="S392" s="16">
        <f>VLOOKUP(A392,[4]Sales!$E:$G,3,FALSE)</f>
        <v>444.14000000000004</v>
      </c>
      <c r="T392" s="19">
        <f>VLOOKUP(A392,[4]Volume!$E:$G,3,FALSE)</f>
        <v>26</v>
      </c>
      <c r="U392" s="19">
        <f>VLOOKUP(A392,[4]Piece!$E:$G,3,FALSE)</f>
        <v>26</v>
      </c>
      <c r="V392" s="21">
        <f t="shared" si="26"/>
        <v>450.84</v>
      </c>
      <c r="W392" s="16">
        <f t="shared" si="27"/>
        <v>6.6999999999999318</v>
      </c>
    </row>
    <row r="393" spans="1:23" hidden="1" x14ac:dyDescent="0.3">
      <c r="A393" s="22" t="s">
        <v>801</v>
      </c>
      <c r="B393" s="22" t="s">
        <v>801</v>
      </c>
      <c r="C393" s="23" t="s">
        <v>33</v>
      </c>
      <c r="D393" s="20" t="s">
        <v>34</v>
      </c>
      <c r="E393" s="22" t="s">
        <v>802</v>
      </c>
      <c r="F393" s="24" t="str">
        <f t="shared" si="24"/>
        <v>PPG - Johnstones FLORTRED Mix - 5ltr</v>
      </c>
      <c r="G393" s="23" t="s">
        <v>5269</v>
      </c>
      <c r="H393" s="25" t="s">
        <v>36</v>
      </c>
      <c r="I393" s="18" t="s">
        <v>37</v>
      </c>
      <c r="J393" s="18" t="s">
        <v>38</v>
      </c>
      <c r="K393" t="s">
        <v>39</v>
      </c>
      <c r="L393" s="26">
        <f>VLOOKUP(A393,'[3]Price info'!A:D,4,FALSE)</f>
        <v>22.63</v>
      </c>
      <c r="M393" s="18" t="s">
        <v>40</v>
      </c>
      <c r="N393" s="20">
        <v>3105</v>
      </c>
      <c r="P393" s="16">
        <f>VLOOKUP(A393,'[3]Price info'!A:H,8,FALSE)</f>
        <v>21.068529999999999</v>
      </c>
      <c r="Q393" s="27">
        <f t="shared" si="25"/>
        <v>0.93100000000000005</v>
      </c>
      <c r="S393" s="16">
        <f>VLOOKUP(A393,[4]Sales!$E:$G,3,FALSE)</f>
        <v>1078.46</v>
      </c>
      <c r="T393" s="19">
        <f>VLOOKUP(A393,[4]Volume!$E:$G,3,FALSE)</f>
        <v>250</v>
      </c>
      <c r="U393" s="19">
        <f>VLOOKUP(A393,[4]Piece!$E:$G,3,FALSE)</f>
        <v>50</v>
      </c>
      <c r="V393" s="21">
        <f t="shared" si="26"/>
        <v>1053.4265</v>
      </c>
      <c r="W393" s="16">
        <f t="shared" si="27"/>
        <v>-25.033500000000004</v>
      </c>
    </row>
    <row r="394" spans="1:23" hidden="1" x14ac:dyDescent="0.3">
      <c r="A394" s="22" t="s">
        <v>803</v>
      </c>
      <c r="B394" s="22" t="s">
        <v>803</v>
      </c>
      <c r="C394" s="23" t="s">
        <v>33</v>
      </c>
      <c r="D394" s="20" t="s">
        <v>34</v>
      </c>
      <c r="E394" s="22" t="s">
        <v>804</v>
      </c>
      <c r="F394" s="24" t="str">
        <f t="shared" si="24"/>
        <v>PPG - Johnstones QD ZINC PHOS PRIMER - Grey - 2.5l</v>
      </c>
      <c r="G394" s="23" t="s">
        <v>5270</v>
      </c>
      <c r="H394" s="25" t="s">
        <v>36</v>
      </c>
      <c r="I394" s="18" t="s">
        <v>37</v>
      </c>
      <c r="J394" s="18" t="s">
        <v>38</v>
      </c>
      <c r="K394" t="s">
        <v>39</v>
      </c>
      <c r="L394" s="26">
        <f>VLOOKUP(A394,'[3]Price info'!A:D,4,FALSE)</f>
        <v>25.54</v>
      </c>
      <c r="M394" s="18" t="s">
        <v>40</v>
      </c>
      <c r="N394" s="20">
        <v>3105</v>
      </c>
      <c r="P394" s="16">
        <f>VLOOKUP(A394,'[3]Price info'!A:H,8,FALSE)</f>
        <v>23.777740000000001</v>
      </c>
      <c r="Q394" s="27">
        <f t="shared" si="25"/>
        <v>0.93100000000000005</v>
      </c>
      <c r="S394" s="16">
        <f>VLOOKUP(A394,[4]Sales!$E:$G,3,FALSE)</f>
        <v>120.66</v>
      </c>
      <c r="T394" s="19">
        <f>VLOOKUP(A394,[4]Volume!$E:$G,3,FALSE)</f>
        <v>12.5</v>
      </c>
      <c r="U394" s="19">
        <f>VLOOKUP(A394,[4]Piece!$E:$G,3,FALSE)</f>
        <v>5</v>
      </c>
      <c r="V394" s="21">
        <f t="shared" si="26"/>
        <v>118.8887</v>
      </c>
      <c r="W394" s="16">
        <f t="shared" si="27"/>
        <v>-1.7712999999999965</v>
      </c>
    </row>
    <row r="395" spans="1:23" hidden="1" x14ac:dyDescent="0.3">
      <c r="A395" s="46" t="s">
        <v>805</v>
      </c>
      <c r="B395" s="46" t="s">
        <v>805</v>
      </c>
      <c r="C395" s="47" t="s">
        <v>33</v>
      </c>
      <c r="D395" s="48" t="s">
        <v>34</v>
      </c>
      <c r="E395" s="18" t="s">
        <v>806</v>
      </c>
      <c r="F395" s="24" t="str">
        <f t="shared" si="24"/>
        <v>PPG - JST   SS Q/D STAB  CLEAR      0000001500</v>
      </c>
      <c r="G395" s="20" t="s">
        <v>5271</v>
      </c>
      <c r="H395" s="49" t="s">
        <v>213</v>
      </c>
      <c r="I395" s="18" t="s">
        <v>37</v>
      </c>
      <c r="J395" s="18" t="s">
        <v>38</v>
      </c>
      <c r="K395" t="s">
        <v>39</v>
      </c>
      <c r="L395" s="50">
        <f>VLOOKUP(A395,'[3]Price info'!A:D,4,FALSE)</f>
        <v>17.11</v>
      </c>
      <c r="M395" s="18" t="s">
        <v>214</v>
      </c>
      <c r="N395" s="20">
        <v>3105</v>
      </c>
      <c r="P395" s="16">
        <f>VLOOKUP(A395,'[3]Price info'!A:H,8,FALSE)</f>
        <v>15.929410000000001</v>
      </c>
      <c r="Q395" s="17">
        <f t="shared" si="25"/>
        <v>0.93100000000000005</v>
      </c>
      <c r="S395" s="16">
        <f>VLOOKUP(A395,[4]Sales!$E:$G,3,FALSE)</f>
        <v>1548.14</v>
      </c>
      <c r="T395" s="19">
        <f>VLOOKUP(A395,[4]Volume!$E:$G,3,FALSE)</f>
        <v>465</v>
      </c>
      <c r="U395" s="19">
        <f>VLOOKUP(A395,[4]Piece!$E:$G,3,FALSE)</f>
        <v>93</v>
      </c>
      <c r="V395" s="21">
        <f t="shared" si="26"/>
        <v>1481.4351300000001</v>
      </c>
      <c r="W395" s="16">
        <f t="shared" si="27"/>
        <v>-66.704870000000028</v>
      </c>
    </row>
    <row r="396" spans="1:23" hidden="1" x14ac:dyDescent="0.3">
      <c r="A396" s="46" t="s">
        <v>807</v>
      </c>
      <c r="B396" s="46" t="s">
        <v>807</v>
      </c>
      <c r="C396" s="51" t="s">
        <v>33</v>
      </c>
      <c r="D396" s="48" t="s">
        <v>34</v>
      </c>
      <c r="E396" s="18" t="s">
        <v>808</v>
      </c>
      <c r="F396" s="24" t="str">
        <f t="shared" si="24"/>
        <v>PPG - RODO  DUCT TAPE    50M X 50MM PTDT50</v>
      </c>
      <c r="G396" s="20" t="s">
        <v>5272</v>
      </c>
      <c r="H396" s="49" t="s">
        <v>213</v>
      </c>
      <c r="I396" s="18" t="s">
        <v>37</v>
      </c>
      <c r="J396" s="18" t="s">
        <v>38</v>
      </c>
      <c r="K396" t="s">
        <v>39</v>
      </c>
      <c r="L396" s="50">
        <f>VLOOKUP(A396,'[3]Price info'!A:D,4,FALSE)</f>
        <v>8.8699999999999992</v>
      </c>
      <c r="M396" s="18" t="s">
        <v>214</v>
      </c>
      <c r="N396" s="20">
        <v>3105</v>
      </c>
      <c r="P396" s="16">
        <f>VLOOKUP(A396,'[3]Price info'!A:H,8,FALSE)</f>
        <v>8.2579700000000003</v>
      </c>
      <c r="Q396" s="17">
        <f t="shared" si="25"/>
        <v>0.93100000000000016</v>
      </c>
      <c r="S396" s="16">
        <f>VLOOKUP(A396,[4]Sales!$E:$G,3,FALSE)</f>
        <v>26.32</v>
      </c>
      <c r="T396" s="19">
        <f>VLOOKUP(A396,[4]Volume!$E:$G,3,FALSE)</f>
        <v>3</v>
      </c>
      <c r="U396" s="19">
        <f>VLOOKUP(A396,[4]Piece!$E:$G,3,FALSE)</f>
        <v>3</v>
      </c>
      <c r="V396" s="21">
        <f t="shared" si="26"/>
        <v>24.773910000000001</v>
      </c>
      <c r="W396" s="16">
        <f t="shared" si="27"/>
        <v>-1.5460899999999995</v>
      </c>
    </row>
    <row r="397" spans="1:23" hidden="1" x14ac:dyDescent="0.3">
      <c r="A397" s="22" t="s">
        <v>809</v>
      </c>
      <c r="B397" s="22" t="s">
        <v>809</v>
      </c>
      <c r="C397" s="23" t="s">
        <v>33</v>
      </c>
      <c r="D397" s="20" t="s">
        <v>34</v>
      </c>
      <c r="E397" s="22" t="s">
        <v>810</v>
      </c>
      <c r="F397" s="24" t="str">
        <f t="shared" si="24"/>
        <v>PPG - Johnstones VINYL SOFT SHEEN - BW - 5ltr</v>
      </c>
      <c r="G397" s="23" t="s">
        <v>5273</v>
      </c>
      <c r="H397" s="25" t="s">
        <v>36</v>
      </c>
      <c r="I397" s="18" t="s">
        <v>37</v>
      </c>
      <c r="J397" s="18" t="s">
        <v>38</v>
      </c>
      <c r="K397" t="s">
        <v>39</v>
      </c>
      <c r="L397" s="26">
        <f>VLOOKUP(A397,'[3]Price info'!A:D,4,FALSE)</f>
        <v>12.78</v>
      </c>
      <c r="M397" s="18" t="s">
        <v>40</v>
      </c>
      <c r="N397" s="20">
        <v>3105</v>
      </c>
      <c r="P397" s="16">
        <f>VLOOKUP(A397,'[3]Price info'!A:H,8,FALSE)</f>
        <v>11.89818</v>
      </c>
      <c r="Q397" s="27">
        <f t="shared" si="25"/>
        <v>0.93100000000000005</v>
      </c>
      <c r="S397" s="16">
        <f>VLOOKUP(A397,[4]Sales!$E:$G,3,FALSE)</f>
        <v>259.58</v>
      </c>
      <c r="T397" s="19">
        <f>VLOOKUP(A397,[4]Volume!$E:$G,3,FALSE)</f>
        <v>105</v>
      </c>
      <c r="U397" s="19">
        <f>VLOOKUP(A397,[4]Piece!$E:$G,3,FALSE)</f>
        <v>21</v>
      </c>
      <c r="V397" s="21">
        <f t="shared" si="26"/>
        <v>249.86178000000001</v>
      </c>
      <c r="W397" s="16">
        <f t="shared" si="27"/>
        <v>-9.7182199999999739</v>
      </c>
    </row>
    <row r="398" spans="1:23" hidden="1" x14ac:dyDescent="0.3">
      <c r="A398" s="22" t="s">
        <v>811</v>
      </c>
      <c r="B398" s="22" t="s">
        <v>811</v>
      </c>
      <c r="C398" s="23" t="s">
        <v>33</v>
      </c>
      <c r="D398" s="20" t="s">
        <v>34</v>
      </c>
      <c r="E398" s="22" t="s">
        <v>812</v>
      </c>
      <c r="F398" s="24" t="str">
        <f t="shared" si="24"/>
        <v>PPG - ProGold STRIPPING KNIFE - 3"</v>
      </c>
      <c r="G398" s="23" t="s">
        <v>5274</v>
      </c>
      <c r="H398" s="25" t="s">
        <v>36</v>
      </c>
      <c r="I398" s="18" t="s">
        <v>37</v>
      </c>
      <c r="J398" s="18" t="s">
        <v>38</v>
      </c>
      <c r="K398" t="s">
        <v>39</v>
      </c>
      <c r="L398" s="26">
        <f>VLOOKUP(A398,'[3]Price info'!A:D,4,FALSE)</f>
        <v>8.6300000000000008</v>
      </c>
      <c r="M398" s="18" t="s">
        <v>40</v>
      </c>
      <c r="N398" s="20">
        <v>3105</v>
      </c>
      <c r="P398" s="16">
        <f>VLOOKUP(A398,'[3]Price info'!A:H,8,FALSE)</f>
        <v>8.0345300000000019</v>
      </c>
      <c r="Q398" s="27">
        <f t="shared" si="25"/>
        <v>0.93100000000000016</v>
      </c>
      <c r="S398" s="16">
        <f>VLOOKUP(A398,[4]Sales!$E:$G,3,FALSE)</f>
        <v>41.349999999999994</v>
      </c>
      <c r="T398" s="19">
        <f>VLOOKUP(A398,[4]Volume!$E:$G,3,FALSE)</f>
        <v>5</v>
      </c>
      <c r="U398" s="19">
        <f>VLOOKUP(A398,[4]Piece!$E:$G,3,FALSE)</f>
        <v>5</v>
      </c>
      <c r="V398" s="21">
        <f t="shared" si="26"/>
        <v>40.172650000000012</v>
      </c>
      <c r="W398" s="16">
        <f t="shared" si="27"/>
        <v>-1.1773499999999828</v>
      </c>
    </row>
    <row r="399" spans="1:23" hidden="1" x14ac:dyDescent="0.3">
      <c r="A399" s="22" t="s">
        <v>813</v>
      </c>
      <c r="B399" s="22" t="s">
        <v>813</v>
      </c>
      <c r="C399" s="23" t="s">
        <v>33</v>
      </c>
      <c r="D399" s="20" t="s">
        <v>34</v>
      </c>
      <c r="E399" s="22" t="s">
        <v>814</v>
      </c>
      <c r="F399" s="24" t="str">
        <f t="shared" si="24"/>
        <v>PPG - ProGold CLASSIC HYBRID BRUSH 2.5"</v>
      </c>
      <c r="G399" s="23" t="s">
        <v>5275</v>
      </c>
      <c r="H399" s="25" t="s">
        <v>36</v>
      </c>
      <c r="I399" s="18" t="s">
        <v>37</v>
      </c>
      <c r="J399" s="18" t="s">
        <v>38</v>
      </c>
      <c r="K399" t="s">
        <v>39</v>
      </c>
      <c r="L399" s="26">
        <f>VLOOKUP(A399,'[3]Price info'!A:D,4,FALSE)</f>
        <v>9.23</v>
      </c>
      <c r="M399" s="18" t="s">
        <v>40</v>
      </c>
      <c r="N399" s="20">
        <v>3105</v>
      </c>
      <c r="P399" s="16">
        <f>VLOOKUP(A399,'[3]Price info'!A:H,8,FALSE)</f>
        <v>8.5931300000000004</v>
      </c>
      <c r="Q399" s="27">
        <f t="shared" si="25"/>
        <v>0.93100000000000005</v>
      </c>
      <c r="S399" s="16">
        <f>VLOOKUP(A399,[4]Sales!$E:$G,3,FALSE)</f>
        <v>91.66</v>
      </c>
      <c r="T399" s="19">
        <f>VLOOKUP(A399,[4]Volume!$E:$G,3,FALSE)</f>
        <v>10</v>
      </c>
      <c r="U399" s="19">
        <f>VLOOKUP(A399,[4]Piece!$E:$G,3,FALSE)</f>
        <v>10</v>
      </c>
      <c r="V399" s="21">
        <f t="shared" si="26"/>
        <v>85.931300000000007</v>
      </c>
      <c r="W399" s="16">
        <f t="shared" si="27"/>
        <v>-5.7286999999999892</v>
      </c>
    </row>
    <row r="400" spans="1:23" hidden="1" x14ac:dyDescent="0.3">
      <c r="A400" s="46" t="s">
        <v>815</v>
      </c>
      <c r="B400" s="46" t="s">
        <v>815</v>
      </c>
      <c r="C400" s="47" t="s">
        <v>33</v>
      </c>
      <c r="D400" s="48" t="s">
        <v>34</v>
      </c>
      <c r="E400" s="93" t="s">
        <v>7381</v>
      </c>
      <c r="F400" s="24" t="str">
        <f t="shared" si="24"/>
        <v>PPG - Mirka 1230L Dust Extractor 240v Push &amp; Clean</v>
      </c>
      <c r="G400" s="20" t="s">
        <v>5276</v>
      </c>
      <c r="H400" s="49" t="s">
        <v>213</v>
      </c>
      <c r="I400" s="18" t="s">
        <v>37</v>
      </c>
      <c r="J400" s="18" t="s">
        <v>38</v>
      </c>
      <c r="K400" t="s">
        <v>39</v>
      </c>
      <c r="L400" s="50">
        <f>VLOOKUP(A400,'[3]Price info'!A:D,4,FALSE)</f>
        <v>692.47</v>
      </c>
      <c r="M400" s="18" t="s">
        <v>214</v>
      </c>
      <c r="N400" s="20">
        <v>3105</v>
      </c>
      <c r="P400" s="16">
        <v>485.15</v>
      </c>
      <c r="Q400" s="17">
        <f t="shared" si="25"/>
        <v>0.70060796857625596</v>
      </c>
      <c r="S400" s="16" t="e">
        <f>VLOOKUP(A400,[4]Sales!$E:$G,3,FALSE)</f>
        <v>#N/A</v>
      </c>
      <c r="T400" s="19" t="e">
        <f>VLOOKUP(A400,[4]Volume!$E:$G,3,FALSE)</f>
        <v>#N/A</v>
      </c>
      <c r="U400" s="19" t="e">
        <f>VLOOKUP(A400,[4]Piece!$E:$G,3,FALSE)</f>
        <v>#N/A</v>
      </c>
      <c r="V400" s="21" t="e">
        <f t="shared" si="26"/>
        <v>#N/A</v>
      </c>
      <c r="W400" s="16" t="e">
        <f t="shared" si="27"/>
        <v>#N/A</v>
      </c>
    </row>
    <row r="401" spans="1:23" hidden="1" x14ac:dyDescent="0.3">
      <c r="A401" s="46" t="s">
        <v>816</v>
      </c>
      <c r="B401" s="46" t="s">
        <v>816</v>
      </c>
      <c r="C401" s="47" t="s">
        <v>33</v>
      </c>
      <c r="D401" s="48" t="s">
        <v>34</v>
      </c>
      <c r="E401" s="18" t="s">
        <v>817</v>
      </c>
      <c r="F401" s="24" t="str">
        <f t="shared" si="24"/>
        <v>PPG - PGOLD WHITE SPIRIT 750ML            0750</v>
      </c>
      <c r="G401" s="20" t="s">
        <v>5277</v>
      </c>
      <c r="H401" s="49" t="s">
        <v>213</v>
      </c>
      <c r="I401" s="18" t="s">
        <v>37</v>
      </c>
      <c r="J401" s="18" t="s">
        <v>38</v>
      </c>
      <c r="K401" t="s">
        <v>39</v>
      </c>
      <c r="L401" s="50">
        <f>VLOOKUP(A401,'[3]Price info'!A:D,4,FALSE)</f>
        <v>1.28</v>
      </c>
      <c r="M401" s="18" t="s">
        <v>214</v>
      </c>
      <c r="N401" s="20">
        <v>3105</v>
      </c>
      <c r="P401" s="16">
        <f>VLOOKUP(A401,'[3]Price info'!A:H,8,FALSE)</f>
        <v>1.4080000000000001</v>
      </c>
      <c r="Q401" s="17">
        <f t="shared" si="25"/>
        <v>1.1000000000000001</v>
      </c>
      <c r="S401" s="16">
        <f>VLOOKUP(A401,[4]Sales!$E:$G,3,FALSE)</f>
        <v>18.41</v>
      </c>
      <c r="T401" s="19">
        <f>VLOOKUP(A401,[4]Volume!$E:$G,3,FALSE)</f>
        <v>10.5</v>
      </c>
      <c r="U401" s="19">
        <f>VLOOKUP(A401,[4]Piece!$E:$G,3,FALSE)</f>
        <v>14</v>
      </c>
      <c r="V401" s="21">
        <f t="shared" si="26"/>
        <v>19.712000000000003</v>
      </c>
      <c r="W401" s="16">
        <f t="shared" si="27"/>
        <v>1.3020000000000032</v>
      </c>
    </row>
    <row r="402" spans="1:23" hidden="1" x14ac:dyDescent="0.3">
      <c r="A402" s="46" t="s">
        <v>818</v>
      </c>
      <c r="B402" s="46" t="s">
        <v>818</v>
      </c>
      <c r="C402" s="51" t="s">
        <v>33</v>
      </c>
      <c r="D402" s="48" t="s">
        <v>34</v>
      </c>
      <c r="E402" s="18" t="s">
        <v>819</v>
      </c>
      <c r="F402" s="24" t="str">
        <f t="shared" si="24"/>
        <v>PPG - MIRKA DEOS DELTA   110V L/KIT</v>
      </c>
      <c r="G402" s="20" t="s">
        <v>5278</v>
      </c>
      <c r="H402" s="49" t="s">
        <v>213</v>
      </c>
      <c r="I402" s="18" t="s">
        <v>37</v>
      </c>
      <c r="J402" s="18" t="s">
        <v>38</v>
      </c>
      <c r="K402" t="s">
        <v>39</v>
      </c>
      <c r="L402" s="50">
        <f>VLOOKUP(A402,'[3]Price info'!A:D,4,FALSE)</f>
        <v>695.55</v>
      </c>
      <c r="M402" s="18" t="s">
        <v>214</v>
      </c>
      <c r="N402" s="20">
        <v>3105</v>
      </c>
      <c r="P402" s="16">
        <f>VLOOKUP(A402,'[3]Price info'!A:H,8,FALSE)</f>
        <v>626</v>
      </c>
      <c r="Q402" s="17">
        <f t="shared" si="25"/>
        <v>0.90000718855581918</v>
      </c>
      <c r="S402" s="16" t="e">
        <f>VLOOKUP(A402,[4]Sales!$E:$G,3,FALSE)</f>
        <v>#N/A</v>
      </c>
      <c r="T402" s="19" t="e">
        <f>VLOOKUP(A402,[4]Volume!$E:$G,3,FALSE)</f>
        <v>#N/A</v>
      </c>
      <c r="U402" s="19" t="e">
        <f>VLOOKUP(A402,[4]Piece!$E:$G,3,FALSE)</f>
        <v>#N/A</v>
      </c>
      <c r="V402" s="21" t="e">
        <f t="shared" si="26"/>
        <v>#N/A</v>
      </c>
      <c r="W402" s="16" t="e">
        <f t="shared" si="27"/>
        <v>#N/A</v>
      </c>
    </row>
    <row r="403" spans="1:23" hidden="1" x14ac:dyDescent="0.3">
      <c r="A403" s="46" t="s">
        <v>820</v>
      </c>
      <c r="B403" s="46" t="s">
        <v>820</v>
      </c>
      <c r="C403" s="47" t="s">
        <v>33</v>
      </c>
      <c r="D403" s="48" t="s">
        <v>34</v>
      </c>
      <c r="E403" s="18" t="s">
        <v>821</v>
      </c>
      <c r="F403" s="24" t="str">
        <f t="shared" si="24"/>
        <v>PPG - SD S'DUR 520 SET (X)        XXXXCCEU1400</v>
      </c>
      <c r="G403" s="20" t="s">
        <v>5279</v>
      </c>
      <c r="H403" s="49" t="s">
        <v>213</v>
      </c>
      <c r="I403" s="18" t="s">
        <v>37</v>
      </c>
      <c r="J403" s="18" t="s">
        <v>38</v>
      </c>
      <c r="K403" t="s">
        <v>39</v>
      </c>
      <c r="L403" s="50">
        <f>VLOOKUP(A403,'[3]Price info'!A:D,4,FALSE)</f>
        <v>209.25</v>
      </c>
      <c r="M403" s="18" t="s">
        <v>214</v>
      </c>
      <c r="N403" s="20">
        <v>3105</v>
      </c>
      <c r="P403" s="16">
        <f>VLOOKUP(A403,'[3]Price info'!A:H,8,FALSE)</f>
        <v>194.81175000000002</v>
      </c>
      <c r="Q403" s="17">
        <f t="shared" si="25"/>
        <v>0.93100000000000005</v>
      </c>
      <c r="S403" s="16" t="e">
        <f>VLOOKUP(A403,[4]Sales!$E:$G,3,FALSE)</f>
        <v>#N/A</v>
      </c>
      <c r="T403" s="19" t="e">
        <f>VLOOKUP(A403,[4]Volume!$E:$G,3,FALSE)</f>
        <v>#N/A</v>
      </c>
      <c r="U403" s="19" t="e">
        <f>VLOOKUP(A403,[4]Piece!$E:$G,3,FALSE)</f>
        <v>#N/A</v>
      </c>
      <c r="V403" s="21" t="e">
        <f t="shared" si="26"/>
        <v>#N/A</v>
      </c>
      <c r="W403" s="16" t="e">
        <f t="shared" si="27"/>
        <v>#N/A</v>
      </c>
    </row>
    <row r="404" spans="1:23" hidden="1" x14ac:dyDescent="0.3">
      <c r="A404" s="22" t="s">
        <v>822</v>
      </c>
      <c r="B404" s="22" t="s">
        <v>822</v>
      </c>
      <c r="C404" s="23" t="s">
        <v>33</v>
      </c>
      <c r="D404" s="20" t="s">
        <v>34</v>
      </c>
      <c r="E404" s="22" t="s">
        <v>823</v>
      </c>
      <c r="F404" s="24" t="str">
        <f t="shared" si="24"/>
        <v>PPG - Johnstones QD Woodstain - Antiq Pine - 2.5l</v>
      </c>
      <c r="G404" s="23" t="s">
        <v>5280</v>
      </c>
      <c r="H404" s="25" t="s">
        <v>36</v>
      </c>
      <c r="I404" s="18" t="s">
        <v>37</v>
      </c>
      <c r="J404" s="18" t="s">
        <v>38</v>
      </c>
      <c r="K404" t="s">
        <v>39</v>
      </c>
      <c r="L404" s="26">
        <f>VLOOKUP(A404,'[3]Price info'!A:D,4,FALSE)</f>
        <v>23.03</v>
      </c>
      <c r="M404" s="18" t="s">
        <v>40</v>
      </c>
      <c r="N404" s="20">
        <v>3105</v>
      </c>
      <c r="P404" s="16">
        <f>VLOOKUP(A404,'[3]Price info'!A:H,8,FALSE)</f>
        <v>21.440930000000002</v>
      </c>
      <c r="Q404" s="27">
        <f t="shared" si="25"/>
        <v>0.93100000000000005</v>
      </c>
      <c r="S404" s="16">
        <f>VLOOKUP(A404,[4]Sales!$E:$G,3,FALSE)</f>
        <v>458.55</v>
      </c>
      <c r="T404" s="19">
        <f>VLOOKUP(A404,[4]Volume!$E:$G,3,FALSE)</f>
        <v>52.5</v>
      </c>
      <c r="U404" s="19">
        <f>VLOOKUP(A404,[4]Piece!$E:$G,3,FALSE)</f>
        <v>21</v>
      </c>
      <c r="V404" s="21">
        <f t="shared" si="26"/>
        <v>450.25953000000004</v>
      </c>
      <c r="W404" s="16">
        <f t="shared" si="27"/>
        <v>-8.2904699999999707</v>
      </c>
    </row>
    <row r="405" spans="1:23" hidden="1" x14ac:dyDescent="0.3">
      <c r="A405" s="36" t="s">
        <v>824</v>
      </c>
      <c r="B405" s="36" t="s">
        <v>824</v>
      </c>
      <c r="C405" s="23" t="s">
        <v>33</v>
      </c>
      <c r="D405" s="20" t="s">
        <v>34</v>
      </c>
      <c r="E405" s="22" t="s">
        <v>825</v>
      </c>
      <c r="F405" s="24" t="str">
        <f t="shared" si="24"/>
        <v>PPG - Zinsser COVERSTAIN AEROSOL - 400ml</v>
      </c>
      <c r="G405" s="36" t="s">
        <v>5281</v>
      </c>
      <c r="H405" s="25" t="s">
        <v>36</v>
      </c>
      <c r="I405" s="18" t="s">
        <v>37</v>
      </c>
      <c r="J405" s="18" t="s">
        <v>38</v>
      </c>
      <c r="K405" t="s">
        <v>39</v>
      </c>
      <c r="L405" s="26">
        <f>VLOOKUP(A405,'[3]Price info'!A:D,4,FALSE)</f>
        <v>8.57</v>
      </c>
      <c r="M405" s="18" t="s">
        <v>40</v>
      </c>
      <c r="N405" s="20">
        <v>3105</v>
      </c>
      <c r="P405" s="16">
        <f>VLOOKUP(A405,'[3]Price info'!A:H,8,FALSE)</f>
        <v>7.978670000000001</v>
      </c>
      <c r="Q405" s="27">
        <f t="shared" si="25"/>
        <v>0.93100000000000005</v>
      </c>
      <c r="S405" s="16">
        <f>VLOOKUP(A405,[4]Sales!$E:$G,3,FALSE)</f>
        <v>595.06999999999982</v>
      </c>
      <c r="T405" s="19">
        <f>VLOOKUP(A405,[4]Volume!$E:$G,3,FALSE)</f>
        <v>29.200000000000014</v>
      </c>
      <c r="U405" s="19">
        <f>VLOOKUP(A405,[4]Piece!$E:$G,3,FALSE)</f>
        <v>73</v>
      </c>
      <c r="V405" s="21">
        <f t="shared" si="26"/>
        <v>582.4429100000001</v>
      </c>
      <c r="W405" s="16">
        <f t="shared" si="27"/>
        <v>-12.627089999999725</v>
      </c>
    </row>
    <row r="406" spans="1:23" hidden="1" x14ac:dyDescent="0.3">
      <c r="A406" s="22" t="s">
        <v>826</v>
      </c>
      <c r="B406" s="22" t="s">
        <v>826</v>
      </c>
      <c r="C406" s="23" t="s">
        <v>33</v>
      </c>
      <c r="D406" s="20" t="s">
        <v>34</v>
      </c>
      <c r="E406" s="22" t="s">
        <v>827</v>
      </c>
      <c r="F406" s="24" t="str">
        <f t="shared" si="24"/>
        <v>PPG - Johnstones AQUAGUARD - Bril White - 5ltr</v>
      </c>
      <c r="G406" s="23" t="s">
        <v>5282</v>
      </c>
      <c r="H406" s="25" t="s">
        <v>36</v>
      </c>
      <c r="I406" s="18" t="s">
        <v>37</v>
      </c>
      <c r="J406" s="18" t="s">
        <v>38</v>
      </c>
      <c r="K406" t="s">
        <v>39</v>
      </c>
      <c r="L406" s="26">
        <f>VLOOKUP(A406,'[3]Price info'!A:D,4,FALSE)</f>
        <v>51.22</v>
      </c>
      <c r="M406" s="18" t="s">
        <v>40</v>
      </c>
      <c r="N406" s="20">
        <v>3105</v>
      </c>
      <c r="P406" s="16">
        <f>VLOOKUP(A406,'[3]Price info'!A:H,8,FALSE)</f>
        <v>40.98</v>
      </c>
      <c r="Q406" s="27">
        <f t="shared" si="25"/>
        <v>0.80007809449433809</v>
      </c>
      <c r="S406" s="16">
        <f>VLOOKUP(A406,[4]Sales!$E:$G,3,FALSE)</f>
        <v>734.44999999999993</v>
      </c>
      <c r="T406" s="19">
        <f>VLOOKUP(A406,[4]Volume!$E:$G,3,FALSE)</f>
        <v>75</v>
      </c>
      <c r="U406" s="19">
        <f>VLOOKUP(A406,[4]Piece!$E:$G,3,FALSE)</f>
        <v>15</v>
      </c>
      <c r="V406" s="21">
        <f t="shared" si="26"/>
        <v>614.69999999999993</v>
      </c>
      <c r="W406" s="16">
        <f t="shared" si="27"/>
        <v>-119.75</v>
      </c>
    </row>
    <row r="407" spans="1:23" hidden="1" x14ac:dyDescent="0.3">
      <c r="A407" s="22" t="s">
        <v>828</v>
      </c>
      <c r="B407" s="22" t="s">
        <v>828</v>
      </c>
      <c r="C407" s="23" t="s">
        <v>33</v>
      </c>
      <c r="D407" s="20" t="s">
        <v>34</v>
      </c>
      <c r="E407" s="22" t="s">
        <v>829</v>
      </c>
      <c r="F407" s="24" t="str">
        <f t="shared" si="24"/>
        <v>PPG - Leyland TG SMOOTH MASONRY - Peat - 5ltr</v>
      </c>
      <c r="G407" s="23" t="s">
        <v>5283</v>
      </c>
      <c r="H407" s="25" t="s">
        <v>36</v>
      </c>
      <c r="I407" s="18" t="s">
        <v>37</v>
      </c>
      <c r="J407" s="18" t="s">
        <v>38</v>
      </c>
      <c r="K407" t="s">
        <v>39</v>
      </c>
      <c r="L407" s="26">
        <f>VLOOKUP(A407,'[3]Price info'!A:D,4,FALSE)</f>
        <v>16.010000000000002</v>
      </c>
      <c r="M407" s="18" t="s">
        <v>40</v>
      </c>
      <c r="N407" s="20">
        <v>3105</v>
      </c>
      <c r="P407" s="16">
        <f>VLOOKUP(A407,'[3]Price info'!A:H,8,FALSE)</f>
        <v>14.905310000000002</v>
      </c>
      <c r="Q407" s="27">
        <f t="shared" si="25"/>
        <v>0.93100000000000005</v>
      </c>
      <c r="S407" s="16">
        <f>VLOOKUP(A407,[4]Sales!$E:$G,3,FALSE)</f>
        <v>640.4</v>
      </c>
      <c r="T407" s="19">
        <f>VLOOKUP(A407,[4]Volume!$E:$G,3,FALSE)</f>
        <v>200</v>
      </c>
      <c r="U407" s="19">
        <f>VLOOKUP(A407,[4]Piece!$E:$G,3,FALSE)</f>
        <v>40</v>
      </c>
      <c r="V407" s="21">
        <f t="shared" si="26"/>
        <v>596.21240000000012</v>
      </c>
      <c r="W407" s="16">
        <f t="shared" si="27"/>
        <v>-44.187599999999861</v>
      </c>
    </row>
    <row r="408" spans="1:23" hidden="1" x14ac:dyDescent="0.3">
      <c r="A408" s="22" t="s">
        <v>830</v>
      </c>
      <c r="B408" s="22" t="s">
        <v>830</v>
      </c>
      <c r="C408" s="23" t="s">
        <v>33</v>
      </c>
      <c r="D408" s="20" t="s">
        <v>34</v>
      </c>
      <c r="E408" s="22" t="s">
        <v>831</v>
      </c>
      <c r="F408" s="24" t="str">
        <f t="shared" si="24"/>
        <v>PPG - Johnstones AQUA SATIN - Mix - 1ltr</v>
      </c>
      <c r="G408" s="23" t="s">
        <v>5284</v>
      </c>
      <c r="H408" s="25" t="s">
        <v>36</v>
      </c>
      <c r="I408" s="18" t="s">
        <v>37</v>
      </c>
      <c r="J408" s="18" t="s">
        <v>38</v>
      </c>
      <c r="K408" t="s">
        <v>39</v>
      </c>
      <c r="L408" s="26">
        <f>VLOOKUP(A408,'[3]Price info'!A:D,4,FALSE)</f>
        <v>11.92</v>
      </c>
      <c r="M408" s="18" t="s">
        <v>40</v>
      </c>
      <c r="N408" s="20">
        <v>3105</v>
      </c>
      <c r="P408" s="16">
        <f>VLOOKUP(A408,'[3]Price info'!A:H,8,FALSE)</f>
        <v>11.92</v>
      </c>
      <c r="Q408" s="27">
        <f t="shared" si="25"/>
        <v>1</v>
      </c>
      <c r="S408" s="16">
        <f>VLOOKUP(A408,[4]Sales!$E:$G,3,FALSE)</f>
        <v>690.63</v>
      </c>
      <c r="T408" s="19">
        <f>VLOOKUP(A408,[4]Volume!$E:$G,3,FALSE)</f>
        <v>58</v>
      </c>
      <c r="U408" s="19">
        <f>VLOOKUP(A408,[4]Piece!$E:$G,3,FALSE)</f>
        <v>58</v>
      </c>
      <c r="V408" s="21">
        <f t="shared" si="26"/>
        <v>691.36</v>
      </c>
      <c r="W408" s="16">
        <f t="shared" si="27"/>
        <v>0.73000000000001819</v>
      </c>
    </row>
    <row r="409" spans="1:23" hidden="1" x14ac:dyDescent="0.3">
      <c r="A409" s="22" t="s">
        <v>832</v>
      </c>
      <c r="B409" s="22" t="s">
        <v>832</v>
      </c>
      <c r="C409" s="23" t="s">
        <v>33</v>
      </c>
      <c r="D409" s="20" t="s">
        <v>34</v>
      </c>
      <c r="E409" s="22" t="s">
        <v>833</v>
      </c>
      <c r="F409" s="24" t="str">
        <f t="shared" si="24"/>
        <v>PPG - Leyland VINYL SILK - Brilliant White - 5ltr</v>
      </c>
      <c r="G409" s="23" t="s">
        <v>5285</v>
      </c>
      <c r="H409" s="25" t="s">
        <v>36</v>
      </c>
      <c r="I409" s="18" t="s">
        <v>37</v>
      </c>
      <c r="J409" s="18" t="s">
        <v>38</v>
      </c>
      <c r="K409" t="s">
        <v>39</v>
      </c>
      <c r="L409" s="26">
        <f>VLOOKUP(A409,'[3]Price info'!A:D,4,FALSE)</f>
        <v>10.91</v>
      </c>
      <c r="M409" s="18" t="s">
        <v>40</v>
      </c>
      <c r="N409" s="20">
        <v>3105</v>
      </c>
      <c r="P409" s="16">
        <f>VLOOKUP(A409,'[3]Price info'!A:H,8,FALSE)</f>
        <v>13.09</v>
      </c>
      <c r="Q409" s="27">
        <f t="shared" si="25"/>
        <v>1.1998166819431715</v>
      </c>
      <c r="S409" s="16" t="e">
        <f>VLOOKUP(A409,[4]Sales!$E:$G,3,FALSE)</f>
        <v>#N/A</v>
      </c>
      <c r="T409" s="19" t="e">
        <f>VLOOKUP(A409,[4]Volume!$E:$G,3,FALSE)</f>
        <v>#N/A</v>
      </c>
      <c r="U409" s="19" t="e">
        <f>VLOOKUP(A409,[4]Piece!$E:$G,3,FALSE)</f>
        <v>#N/A</v>
      </c>
      <c r="V409" s="21" t="e">
        <f t="shared" si="26"/>
        <v>#N/A</v>
      </c>
      <c r="W409" s="16" t="e">
        <f t="shared" si="27"/>
        <v>#N/A</v>
      </c>
    </row>
    <row r="410" spans="1:23" hidden="1" x14ac:dyDescent="0.3">
      <c r="A410" s="22" t="s">
        <v>834</v>
      </c>
      <c r="B410" s="22" t="s">
        <v>834</v>
      </c>
      <c r="C410" s="23" t="s">
        <v>33</v>
      </c>
      <c r="D410" s="20" t="s">
        <v>34</v>
      </c>
      <c r="E410" s="22" t="s">
        <v>835</v>
      </c>
      <c r="F410" s="24" t="str">
        <f t="shared" si="24"/>
        <v>PPG - Johnstones VINYL SOFT SHEEN - Mix - 10ltr</v>
      </c>
      <c r="G410" s="23" t="s">
        <v>5286</v>
      </c>
      <c r="H410" s="25" t="s">
        <v>36</v>
      </c>
      <c r="I410" s="18" t="s">
        <v>37</v>
      </c>
      <c r="J410" s="18" t="s">
        <v>38</v>
      </c>
      <c r="K410" t="s">
        <v>39</v>
      </c>
      <c r="L410" s="26">
        <f>VLOOKUP(A410,'[3]Price info'!A:D,4,FALSE)</f>
        <v>27.7</v>
      </c>
      <c r="M410" s="18" t="s">
        <v>40</v>
      </c>
      <c r="N410" s="20">
        <v>3105</v>
      </c>
      <c r="P410" s="16">
        <f>VLOOKUP(A410,'[3]Price info'!A:H,8,FALSE)</f>
        <v>25.788700000000002</v>
      </c>
      <c r="Q410" s="27">
        <f t="shared" si="25"/>
        <v>0.93100000000000005</v>
      </c>
      <c r="S410" s="16">
        <f>VLOOKUP(A410,[4]Sales!$E:$G,3,FALSE)</f>
        <v>106.98</v>
      </c>
      <c r="T410" s="19">
        <f>VLOOKUP(A410,[4]Volume!$E:$G,3,FALSE)</f>
        <v>40</v>
      </c>
      <c r="U410" s="19">
        <f>VLOOKUP(A410,[4]Piece!$E:$G,3,FALSE)</f>
        <v>4</v>
      </c>
      <c r="V410" s="21">
        <f t="shared" si="26"/>
        <v>103.15480000000001</v>
      </c>
      <c r="W410" s="16">
        <f t="shared" si="27"/>
        <v>-3.8251999999999953</v>
      </c>
    </row>
    <row r="411" spans="1:23" hidden="1" x14ac:dyDescent="0.3">
      <c r="A411" s="22" t="s">
        <v>836</v>
      </c>
      <c r="B411" s="22" t="s">
        <v>836</v>
      </c>
      <c r="C411" s="23" t="s">
        <v>33</v>
      </c>
      <c r="D411" s="20" t="s">
        <v>34</v>
      </c>
      <c r="E411" s="22" t="s">
        <v>837</v>
      </c>
      <c r="F411" s="24" t="str">
        <f t="shared" si="24"/>
        <v>PPG - ProGold ALUMINIUM OXIDE GRD40 5M</v>
      </c>
      <c r="G411" s="23" t="s">
        <v>5287</v>
      </c>
      <c r="H411" s="25" t="s">
        <v>36</v>
      </c>
      <c r="I411" s="18" t="s">
        <v>37</v>
      </c>
      <c r="J411" s="18" t="s">
        <v>38</v>
      </c>
      <c r="K411" t="s">
        <v>39</v>
      </c>
      <c r="L411" s="26">
        <f>VLOOKUP(A411,'[3]Price info'!A:D,4,FALSE)</f>
        <v>16.66</v>
      </c>
      <c r="M411" s="18" t="s">
        <v>40</v>
      </c>
      <c r="N411" s="20">
        <v>3105</v>
      </c>
      <c r="P411" s="16">
        <f>VLOOKUP(A411,'[3]Price info'!A:H,8,FALSE)</f>
        <v>15.51046</v>
      </c>
      <c r="Q411" s="27">
        <f t="shared" si="25"/>
        <v>0.93100000000000005</v>
      </c>
      <c r="S411" s="16">
        <f>VLOOKUP(A411,[4]Sales!$E:$G,3,FALSE)</f>
        <v>339.38</v>
      </c>
      <c r="T411" s="19">
        <f>VLOOKUP(A411,[4]Volume!$E:$G,3,FALSE)</f>
        <v>24</v>
      </c>
      <c r="U411" s="19">
        <f>VLOOKUP(A411,[4]Piece!$E:$G,3,FALSE)</f>
        <v>24</v>
      </c>
      <c r="V411" s="21">
        <f t="shared" si="26"/>
        <v>372.25103999999999</v>
      </c>
      <c r="W411" s="16">
        <f t="shared" si="27"/>
        <v>32.871039999999994</v>
      </c>
    </row>
    <row r="412" spans="1:23" hidden="1" x14ac:dyDescent="0.3">
      <c r="A412" s="22" t="s">
        <v>838</v>
      </c>
      <c r="B412" s="22" t="s">
        <v>838</v>
      </c>
      <c r="C412" s="23" t="s">
        <v>33</v>
      </c>
      <c r="D412" s="20" t="s">
        <v>34</v>
      </c>
      <c r="E412" s="22" t="s">
        <v>839</v>
      </c>
      <c r="F412" s="24" t="str">
        <f t="shared" si="24"/>
        <v>PPG - Leyland ACRYLIC EGGSHELL - BW - 10ltr</v>
      </c>
      <c r="G412" s="23" t="s">
        <v>5288</v>
      </c>
      <c r="H412" s="25" t="s">
        <v>36</v>
      </c>
      <c r="I412" s="18" t="s">
        <v>37</v>
      </c>
      <c r="J412" s="18" t="s">
        <v>38</v>
      </c>
      <c r="K412" t="s">
        <v>39</v>
      </c>
      <c r="L412" s="26">
        <f>VLOOKUP(A412,'[3]Price info'!A:D,4,FALSE)</f>
        <v>58.4</v>
      </c>
      <c r="M412" s="18" t="s">
        <v>40</v>
      </c>
      <c r="N412" s="20">
        <v>3105</v>
      </c>
      <c r="P412" s="16">
        <f>VLOOKUP(A412,'[3]Price info'!A:H,8,FALSE)</f>
        <v>31.28</v>
      </c>
      <c r="Q412" s="27">
        <f t="shared" si="25"/>
        <v>0.53561643835616446</v>
      </c>
      <c r="S412" s="16" t="e">
        <f>VLOOKUP(A412,[4]Sales!$E:$G,3,FALSE)</f>
        <v>#N/A</v>
      </c>
      <c r="T412" s="19" t="e">
        <f>VLOOKUP(A412,[4]Volume!$E:$G,3,FALSE)</f>
        <v>#N/A</v>
      </c>
      <c r="U412" s="19" t="e">
        <f>VLOOKUP(A412,[4]Piece!$E:$G,3,FALSE)</f>
        <v>#N/A</v>
      </c>
      <c r="V412" s="21" t="e">
        <f t="shared" si="26"/>
        <v>#N/A</v>
      </c>
      <c r="W412" s="16" t="e">
        <f t="shared" si="27"/>
        <v>#N/A</v>
      </c>
    </row>
    <row r="413" spans="1:23" hidden="1" x14ac:dyDescent="0.3">
      <c r="A413" s="22" t="s">
        <v>840</v>
      </c>
      <c r="B413" s="22" t="s">
        <v>840</v>
      </c>
      <c r="C413" s="23" t="s">
        <v>33</v>
      </c>
      <c r="D413" s="20" t="s">
        <v>34</v>
      </c>
      <c r="E413" s="22" t="s">
        <v>841</v>
      </c>
      <c r="F413" s="24" t="str">
        <f t="shared" si="24"/>
        <v>PPG - Misc Sundries IND SPONTEX  SPONGE</v>
      </c>
      <c r="G413" s="23" t="s">
        <v>5289</v>
      </c>
      <c r="H413" s="25" t="s">
        <v>36</v>
      </c>
      <c r="I413" s="18" t="s">
        <v>37</v>
      </c>
      <c r="J413" s="18" t="s">
        <v>38</v>
      </c>
      <c r="K413" t="s">
        <v>39</v>
      </c>
      <c r="L413" s="26">
        <f>VLOOKUP(A413,'[3]Price info'!A:D,4,FALSE)</f>
        <v>2.4900000000000002</v>
      </c>
      <c r="M413" s="18" t="s">
        <v>40</v>
      </c>
      <c r="N413" s="20">
        <v>3105</v>
      </c>
      <c r="P413" s="16">
        <f>VLOOKUP(A413,'[3]Price info'!A:H,8,FALSE)</f>
        <v>2.3181900000000004</v>
      </c>
      <c r="Q413" s="27">
        <f t="shared" si="25"/>
        <v>0.93100000000000005</v>
      </c>
      <c r="S413" s="16">
        <f>VLOOKUP(A413,[4]Sales!$E:$G,3,FALSE)</f>
        <v>209.51000000000002</v>
      </c>
      <c r="T413" s="19">
        <f>VLOOKUP(A413,[4]Volume!$E:$G,3,FALSE)</f>
        <v>88</v>
      </c>
      <c r="U413" s="19">
        <f>VLOOKUP(A413,[4]Piece!$E:$G,3,FALSE)</f>
        <v>88</v>
      </c>
      <c r="V413" s="21">
        <f t="shared" si="26"/>
        <v>204.00072000000003</v>
      </c>
      <c r="W413" s="16">
        <f t="shared" si="27"/>
        <v>-5.5092799999999897</v>
      </c>
    </row>
    <row r="414" spans="1:23" hidden="1" x14ac:dyDescent="0.3">
      <c r="A414" s="22" t="s">
        <v>842</v>
      </c>
      <c r="B414" s="22" t="s">
        <v>842</v>
      </c>
      <c r="C414" s="23" t="s">
        <v>33</v>
      </c>
      <c r="D414" s="20" t="s">
        <v>34</v>
      </c>
      <c r="E414" s="22" t="s">
        <v>843</v>
      </c>
      <c r="F414" s="24" t="str">
        <f t="shared" si="24"/>
        <v>PPG - Johnstones ADV STAIN BLOCK PRIME - BW - 2.5l</v>
      </c>
      <c r="G414" s="23" t="s">
        <v>5290</v>
      </c>
      <c r="H414" s="25" t="s">
        <v>36</v>
      </c>
      <c r="I414" s="18" t="s">
        <v>37</v>
      </c>
      <c r="J414" s="18" t="s">
        <v>38</v>
      </c>
      <c r="K414" t="s">
        <v>39</v>
      </c>
      <c r="L414" s="26">
        <f>VLOOKUP(A414,'[3]Price info'!A:D,4,FALSE)</f>
        <v>32.32</v>
      </c>
      <c r="M414" s="18" t="s">
        <v>40</v>
      </c>
      <c r="N414" s="20">
        <v>3105</v>
      </c>
      <c r="P414" s="16">
        <f>VLOOKUP(A414,'[3]Price info'!A:H,8,FALSE)</f>
        <v>35.552000000000007</v>
      </c>
      <c r="Q414" s="27">
        <f t="shared" si="25"/>
        <v>1.1000000000000001</v>
      </c>
      <c r="S414" s="16">
        <f>VLOOKUP(A414,[4]Sales!$E:$G,3,FALSE)</f>
        <v>437.08</v>
      </c>
      <c r="T414" s="19">
        <f>VLOOKUP(A414,[4]Volume!$E:$G,3,FALSE)</f>
        <v>32.5</v>
      </c>
      <c r="U414" s="19">
        <f>VLOOKUP(A414,[4]Piece!$E:$G,3,FALSE)</f>
        <v>13</v>
      </c>
      <c r="V414" s="21">
        <f t="shared" si="26"/>
        <v>462.1760000000001</v>
      </c>
      <c r="W414" s="16">
        <f t="shared" si="27"/>
        <v>25.096000000000117</v>
      </c>
    </row>
    <row r="415" spans="1:23" hidden="1" x14ac:dyDescent="0.3">
      <c r="A415" s="46" t="s">
        <v>844</v>
      </c>
      <c r="B415" s="46" t="s">
        <v>844</v>
      </c>
      <c r="C415" s="47" t="s">
        <v>33</v>
      </c>
      <c r="D415" s="48" t="s">
        <v>34</v>
      </c>
      <c r="E415" s="18" t="s">
        <v>845</v>
      </c>
      <c r="F415" s="24" t="str">
        <f t="shared" si="24"/>
        <v>PPG - MIRKA DEROS 6560CV 240V DECO  SOL KIT</v>
      </c>
      <c r="G415" s="20" t="s">
        <v>5291</v>
      </c>
      <c r="H415" s="49" t="s">
        <v>213</v>
      </c>
      <c r="I415" s="18" t="s">
        <v>37</v>
      </c>
      <c r="J415" s="18" t="s">
        <v>38</v>
      </c>
      <c r="K415" t="s">
        <v>39</v>
      </c>
      <c r="L415" s="50">
        <f>VLOOKUP(A415,'[3]Price info'!A:D,4,FALSE)</f>
        <v>629.79</v>
      </c>
      <c r="M415" s="18" t="s">
        <v>214</v>
      </c>
      <c r="N415" s="20">
        <v>3105</v>
      </c>
      <c r="P415" s="16">
        <f>VLOOKUP(A415,'[3]Price info'!A:H,8,FALSE)</f>
        <v>511.18799999999999</v>
      </c>
      <c r="Q415" s="17">
        <f t="shared" si="25"/>
        <v>0.8116800838374697</v>
      </c>
      <c r="S415" s="16" t="e">
        <f>VLOOKUP(A415,[4]Sales!$E:$G,3,FALSE)</f>
        <v>#N/A</v>
      </c>
      <c r="T415" s="19" t="e">
        <f>VLOOKUP(A415,[4]Volume!$E:$G,3,FALSE)</f>
        <v>#N/A</v>
      </c>
      <c r="U415" s="19" t="e">
        <f>VLOOKUP(A415,[4]Piece!$E:$G,3,FALSE)</f>
        <v>#N/A</v>
      </c>
      <c r="V415" s="21" t="e">
        <f t="shared" si="26"/>
        <v>#N/A</v>
      </c>
      <c r="W415" s="16" t="e">
        <f t="shared" si="27"/>
        <v>#N/A</v>
      </c>
    </row>
    <row r="416" spans="1:23" hidden="1" x14ac:dyDescent="0.3">
      <c r="A416" s="46" t="s">
        <v>846</v>
      </c>
      <c r="B416" s="46" t="s">
        <v>846</v>
      </c>
      <c r="C416" s="51" t="s">
        <v>33</v>
      </c>
      <c r="D416" s="48" t="s">
        <v>34</v>
      </c>
      <c r="E416" s="18" t="s">
        <v>847</v>
      </c>
      <c r="F416" s="24" t="str">
        <f t="shared" si="24"/>
        <v>PPG - SD S'COVER 350 SET (X)      XXXXCCEU1400</v>
      </c>
      <c r="G416" s="20" t="s">
        <v>5292</v>
      </c>
      <c r="H416" s="49" t="s">
        <v>213</v>
      </c>
      <c r="I416" s="18" t="s">
        <v>37</v>
      </c>
      <c r="J416" s="18" t="s">
        <v>38</v>
      </c>
      <c r="K416" t="s">
        <v>39</v>
      </c>
      <c r="L416" s="50">
        <f>VLOOKUP(A416,'[3]Price info'!A:D,4,FALSE)</f>
        <v>165.95</v>
      </c>
      <c r="M416" s="18" t="s">
        <v>214</v>
      </c>
      <c r="N416" s="20">
        <v>3105</v>
      </c>
      <c r="P416" s="16">
        <f>VLOOKUP(A416,'[3]Price info'!A:H,8,FALSE)</f>
        <v>154.49945</v>
      </c>
      <c r="Q416" s="17">
        <f t="shared" si="25"/>
        <v>0.93100000000000005</v>
      </c>
      <c r="S416" s="16" t="e">
        <f>VLOOKUP(A416,[4]Sales!$E:$G,3,FALSE)</f>
        <v>#N/A</v>
      </c>
      <c r="T416" s="19" t="e">
        <f>VLOOKUP(A416,[4]Volume!$E:$G,3,FALSE)</f>
        <v>#N/A</v>
      </c>
      <c r="U416" s="19" t="e">
        <f>VLOOKUP(A416,[4]Piece!$E:$G,3,FALSE)</f>
        <v>#N/A</v>
      </c>
      <c r="V416" s="21" t="e">
        <f t="shared" si="26"/>
        <v>#N/A</v>
      </c>
      <c r="W416" s="16" t="e">
        <f t="shared" si="27"/>
        <v>#N/A</v>
      </c>
    </row>
    <row r="417" spans="1:23" hidden="1" x14ac:dyDescent="0.3">
      <c r="A417" s="46" t="s">
        <v>848</v>
      </c>
      <c r="B417" s="46" t="s">
        <v>848</v>
      </c>
      <c r="C417" s="47" t="s">
        <v>33</v>
      </c>
      <c r="D417" s="48" t="s">
        <v>34</v>
      </c>
      <c r="E417" s="18" t="s">
        <v>849</v>
      </c>
      <c r="F417" s="24" t="str">
        <f t="shared" si="24"/>
        <v>PPG - MIRKA DECO KIT     240V DEOS  DELTA</v>
      </c>
      <c r="G417" s="20" t="s">
        <v>5293</v>
      </c>
      <c r="H417" s="49" t="s">
        <v>213</v>
      </c>
      <c r="I417" s="18" t="s">
        <v>37</v>
      </c>
      <c r="J417" s="18" t="s">
        <v>38</v>
      </c>
      <c r="K417" t="s">
        <v>39</v>
      </c>
      <c r="L417" s="50">
        <f>VLOOKUP(A417,'[3]Price info'!A:D,4,FALSE)</f>
        <v>695.55</v>
      </c>
      <c r="M417" s="18" t="s">
        <v>214</v>
      </c>
      <c r="N417" s="20">
        <v>3105</v>
      </c>
      <c r="P417" s="16">
        <f>VLOOKUP(A417,'[3]Price info'!A:H,8,FALSE)</f>
        <v>626</v>
      </c>
      <c r="Q417" s="17">
        <f t="shared" si="25"/>
        <v>0.90000718855581918</v>
      </c>
      <c r="S417" s="16" t="e">
        <f>VLOOKUP(A417,[4]Sales!$E:$G,3,FALSE)</f>
        <v>#N/A</v>
      </c>
      <c r="T417" s="19" t="e">
        <f>VLOOKUP(A417,[4]Volume!$E:$G,3,FALSE)</f>
        <v>#N/A</v>
      </c>
      <c r="U417" s="19" t="e">
        <f>VLOOKUP(A417,[4]Piece!$E:$G,3,FALSE)</f>
        <v>#N/A</v>
      </c>
      <c r="V417" s="21" t="e">
        <f t="shared" si="26"/>
        <v>#N/A</v>
      </c>
      <c r="W417" s="16" t="e">
        <f t="shared" si="27"/>
        <v>#N/A</v>
      </c>
    </row>
    <row r="418" spans="1:23" hidden="1" x14ac:dyDescent="0.3">
      <c r="A418" s="46" t="s">
        <v>850</v>
      </c>
      <c r="B418" s="46" t="s">
        <v>850</v>
      </c>
      <c r="C418" s="47" t="s">
        <v>33</v>
      </c>
      <c r="D418" s="48" t="s">
        <v>34</v>
      </c>
      <c r="E418" s="18" t="s">
        <v>851</v>
      </c>
      <c r="F418" s="24" t="str">
        <f t="shared" si="24"/>
        <v>PPG - EASYL LINING PAPER 1700 DOUBL</v>
      </c>
      <c r="G418" s="20" t="s">
        <v>5294</v>
      </c>
      <c r="H418" s="49" t="s">
        <v>213</v>
      </c>
      <c r="I418" s="18" t="s">
        <v>37</v>
      </c>
      <c r="J418" s="18" t="s">
        <v>38</v>
      </c>
      <c r="K418" t="s">
        <v>39</v>
      </c>
      <c r="L418" s="50">
        <f>VLOOKUP(A418,'[3]Price info'!A:D,4,FALSE)</f>
        <v>3.84</v>
      </c>
      <c r="M418" s="18" t="s">
        <v>214</v>
      </c>
      <c r="N418" s="20">
        <v>3105</v>
      </c>
      <c r="P418" s="16">
        <f>VLOOKUP(A418,'[3]Price info'!A:H,8,FALSE)</f>
        <v>3.57504</v>
      </c>
      <c r="Q418" s="17">
        <f t="shared" si="25"/>
        <v>0.93100000000000005</v>
      </c>
      <c r="S418" s="16">
        <f>VLOOKUP(A418,[4]Sales!$E:$G,3,FALSE)</f>
        <v>396.24000000000007</v>
      </c>
      <c r="T418" s="19">
        <f>VLOOKUP(A418,[4]Volume!$E:$G,3,FALSE)</f>
        <v>108</v>
      </c>
      <c r="U418" s="19">
        <f>VLOOKUP(A418,[4]Piece!$E:$G,3,FALSE)</f>
        <v>108</v>
      </c>
      <c r="V418" s="21">
        <f t="shared" si="26"/>
        <v>386.10431999999997</v>
      </c>
      <c r="W418" s="16">
        <f t="shared" si="27"/>
        <v>-10.135680000000093</v>
      </c>
    </row>
    <row r="419" spans="1:23" hidden="1" x14ac:dyDescent="0.3">
      <c r="A419" s="46" t="s">
        <v>852</v>
      </c>
      <c r="B419" s="46" t="s">
        <v>852</v>
      </c>
      <c r="C419" s="51" t="s">
        <v>33</v>
      </c>
      <c r="D419" s="48" t="s">
        <v>34</v>
      </c>
      <c r="E419" s="18" t="s">
        <v>853</v>
      </c>
      <c r="F419" s="24" t="str">
        <f t="shared" si="24"/>
        <v>PPG - TETR  A/P POWDER   FILLER 10K 0000002100</v>
      </c>
      <c r="G419" s="20" t="s">
        <v>5295</v>
      </c>
      <c r="H419" s="49" t="s">
        <v>213</v>
      </c>
      <c r="I419" s="18" t="s">
        <v>37</v>
      </c>
      <c r="J419" s="18" t="s">
        <v>38</v>
      </c>
      <c r="K419" t="s">
        <v>39</v>
      </c>
      <c r="L419" s="50">
        <f>VLOOKUP(A419,'[3]Price info'!A:D,4,FALSE)</f>
        <v>20.58</v>
      </c>
      <c r="M419" s="18" t="s">
        <v>214</v>
      </c>
      <c r="N419" s="20">
        <v>3105</v>
      </c>
      <c r="P419" s="16">
        <f>VLOOKUP(A419,'[3]Price info'!A:H,8,FALSE)</f>
        <v>19.159980000000001</v>
      </c>
      <c r="Q419" s="17">
        <f t="shared" si="25"/>
        <v>0.93100000000000016</v>
      </c>
      <c r="S419" s="16">
        <f>VLOOKUP(A419,[4]Sales!$E:$G,3,FALSE)</f>
        <v>78.22</v>
      </c>
      <c r="T419" s="19">
        <f>VLOOKUP(A419,[4]Volume!$E:$G,3,FALSE)</f>
        <v>40</v>
      </c>
      <c r="U419" s="19">
        <f>VLOOKUP(A419,[4]Piece!$E:$G,3,FALSE)</f>
        <v>4</v>
      </c>
      <c r="V419" s="21">
        <f t="shared" si="26"/>
        <v>76.639920000000004</v>
      </c>
      <c r="W419" s="16">
        <f t="shared" si="27"/>
        <v>-1.5800799999999953</v>
      </c>
    </row>
    <row r="420" spans="1:23" hidden="1" x14ac:dyDescent="0.3">
      <c r="A420" s="22" t="s">
        <v>854</v>
      </c>
      <c r="B420" s="22" t="s">
        <v>854</v>
      </c>
      <c r="C420" s="23" t="s">
        <v>33</v>
      </c>
      <c r="D420" s="20" t="s">
        <v>34</v>
      </c>
      <c r="E420" s="22" t="s">
        <v>855</v>
      </c>
      <c r="F420" s="24" t="str">
        <f t="shared" si="24"/>
        <v>PPG - Johnstones PRO UNDERCOAT - Mix - 1ltr</v>
      </c>
      <c r="G420" s="23" t="s">
        <v>5296</v>
      </c>
      <c r="H420" s="25" t="s">
        <v>36</v>
      </c>
      <c r="I420" s="18" t="s">
        <v>37</v>
      </c>
      <c r="J420" s="18" t="s">
        <v>38</v>
      </c>
      <c r="K420" t="s">
        <v>39</v>
      </c>
      <c r="L420" s="26">
        <f>VLOOKUP(A420,'[3]Price info'!A:D,4,FALSE)</f>
        <v>9.52</v>
      </c>
      <c r="M420" s="18" t="s">
        <v>40</v>
      </c>
      <c r="N420" s="20">
        <v>3105</v>
      </c>
      <c r="P420" s="16">
        <f>VLOOKUP(A420,'[3]Price info'!A:H,8,FALSE)</f>
        <v>8.8631200000000003</v>
      </c>
      <c r="Q420" s="27">
        <f t="shared" si="25"/>
        <v>0.93100000000000005</v>
      </c>
      <c r="S420" s="16">
        <f>VLOOKUP(A420,[4]Sales!$E:$G,3,FALSE)</f>
        <v>203.49999999999994</v>
      </c>
      <c r="T420" s="19">
        <f>VLOOKUP(A420,[4]Volume!$E:$G,3,FALSE)</f>
        <v>22</v>
      </c>
      <c r="U420" s="19">
        <f>VLOOKUP(A420,[4]Piece!$E:$G,3,FALSE)</f>
        <v>22</v>
      </c>
      <c r="V420" s="21">
        <f t="shared" si="26"/>
        <v>194.98864</v>
      </c>
      <c r="W420" s="16">
        <f t="shared" si="27"/>
        <v>-8.5113599999999394</v>
      </c>
    </row>
    <row r="421" spans="1:23" hidden="1" x14ac:dyDescent="0.3">
      <c r="A421" s="46" t="s">
        <v>856</v>
      </c>
      <c r="B421" s="46" t="s">
        <v>856</v>
      </c>
      <c r="C421" s="47" t="s">
        <v>33</v>
      </c>
      <c r="D421" s="48" t="s">
        <v>34</v>
      </c>
      <c r="E421" s="18" t="s">
        <v>857</v>
      </c>
      <c r="F421" s="24" t="str">
        <f t="shared" si="24"/>
        <v>PPG - RODO  MASONRY BRSH 4 INCH</v>
      </c>
      <c r="G421" s="20" t="s">
        <v>5297</v>
      </c>
      <c r="H421" s="49" t="s">
        <v>213</v>
      </c>
      <c r="I421" s="18" t="s">
        <v>37</v>
      </c>
      <c r="J421" s="18" t="s">
        <v>38</v>
      </c>
      <c r="K421" t="s">
        <v>39</v>
      </c>
      <c r="L421" s="50">
        <f>VLOOKUP(A421,'[3]Price info'!A:D,4,FALSE)</f>
        <v>10.64</v>
      </c>
      <c r="M421" s="18" t="s">
        <v>214</v>
      </c>
      <c r="N421" s="20">
        <v>3105</v>
      </c>
      <c r="P421" s="16">
        <f>VLOOKUP(A421,'[3]Price info'!A:H,8,FALSE)</f>
        <v>9.9058400000000013</v>
      </c>
      <c r="Q421" s="17">
        <f t="shared" si="25"/>
        <v>0.93100000000000005</v>
      </c>
      <c r="S421" s="16">
        <f>VLOOKUP(A421,[4]Sales!$E:$G,3,FALSE)</f>
        <v>79.28</v>
      </c>
      <c r="T421" s="19">
        <f>VLOOKUP(A421,[4]Volume!$E:$G,3,FALSE)</f>
        <v>8</v>
      </c>
      <c r="U421" s="19">
        <f>VLOOKUP(A421,[4]Piece!$E:$G,3,FALSE)</f>
        <v>8</v>
      </c>
      <c r="V421" s="21">
        <f t="shared" si="26"/>
        <v>79.24672000000001</v>
      </c>
      <c r="W421" s="16">
        <f t="shared" si="27"/>
        <v>-3.327999999999065E-2</v>
      </c>
    </row>
    <row r="422" spans="1:23" hidden="1" x14ac:dyDescent="0.3">
      <c r="A422" s="46" t="s">
        <v>858</v>
      </c>
      <c r="B422" s="46" t="s">
        <v>858</v>
      </c>
      <c r="C422" s="47" t="s">
        <v>33</v>
      </c>
      <c r="D422" s="48" t="s">
        <v>34</v>
      </c>
      <c r="E422" s="18" t="s">
        <v>859</v>
      </c>
      <c r="F422" s="24" t="str">
        <f t="shared" si="24"/>
        <v>PPG - ZINSR BULLSEYE 123 PLUS       0000001250</v>
      </c>
      <c r="G422" s="20" t="s">
        <v>5298</v>
      </c>
      <c r="H422" s="49" t="s">
        <v>213</v>
      </c>
      <c r="I422" s="18" t="s">
        <v>37</v>
      </c>
      <c r="J422" s="18" t="s">
        <v>38</v>
      </c>
      <c r="K422" t="s">
        <v>39</v>
      </c>
      <c r="L422" s="50">
        <f>VLOOKUP(A422,'[3]Price info'!A:D,4,FALSE)</f>
        <v>63.68</v>
      </c>
      <c r="M422" s="18" t="s">
        <v>214</v>
      </c>
      <c r="N422" s="20">
        <v>3105</v>
      </c>
      <c r="P422" s="16">
        <f>VLOOKUP(A422,'[3]Price info'!A:H,8,FALSE)</f>
        <v>59.286080000000005</v>
      </c>
      <c r="Q422" s="17">
        <f t="shared" si="25"/>
        <v>0.93100000000000005</v>
      </c>
      <c r="S422" s="16">
        <f>VLOOKUP(A422,[4]Sales!$E:$G,3,FALSE)</f>
        <v>231.51999999999998</v>
      </c>
      <c r="T422" s="19">
        <f>VLOOKUP(A422,[4]Volume!$E:$G,3,FALSE)</f>
        <v>10</v>
      </c>
      <c r="U422" s="19">
        <f>VLOOKUP(A422,[4]Piece!$E:$G,3,FALSE)</f>
        <v>4</v>
      </c>
      <c r="V422" s="21">
        <f t="shared" si="26"/>
        <v>237.14432000000002</v>
      </c>
      <c r="W422" s="16">
        <f t="shared" si="27"/>
        <v>5.62432000000004</v>
      </c>
    </row>
    <row r="423" spans="1:23" hidden="1" x14ac:dyDescent="0.3">
      <c r="A423" t="s">
        <v>860</v>
      </c>
      <c r="B423" s="22" t="s">
        <v>860</v>
      </c>
      <c r="C423" s="47" t="s">
        <v>33</v>
      </c>
      <c r="D423" s="48" t="s">
        <v>34</v>
      </c>
      <c r="E423" s="100" t="s">
        <v>7382</v>
      </c>
      <c r="F423" s="24" t="str">
        <f t="shared" si="24"/>
        <v>PPG - Mirka Hiomant 115mm x 50m P80</v>
      </c>
      <c r="G423" s="20" t="s">
        <v>5299</v>
      </c>
      <c r="H423" s="25" t="s">
        <v>36</v>
      </c>
      <c r="I423" s="18" t="s">
        <v>37</v>
      </c>
      <c r="J423" s="18" t="s">
        <v>38</v>
      </c>
      <c r="K423" t="s">
        <v>39</v>
      </c>
      <c r="L423" s="26">
        <f>VLOOKUP(A423,'[3]Price info'!A:D,4,FALSE)</f>
        <v>47.56</v>
      </c>
      <c r="M423" s="18" t="s">
        <v>214</v>
      </c>
      <c r="N423" s="20">
        <v>3105</v>
      </c>
      <c r="P423" s="16">
        <v>21.89</v>
      </c>
      <c r="Q423" s="27">
        <f t="shared" si="25"/>
        <v>0.46026072329688811</v>
      </c>
      <c r="S423" s="16">
        <f>VLOOKUP(A423,[4]Sales!$E:$G,3,FALSE)</f>
        <v>406.28000000000003</v>
      </c>
      <c r="T423" s="19">
        <f>VLOOKUP(A423,[4]Volume!$E:$G,3,FALSE)</f>
        <v>9</v>
      </c>
      <c r="U423" s="19">
        <f>VLOOKUP(A423,[4]Piece!$E:$G,3,FALSE)</f>
        <v>9</v>
      </c>
      <c r="V423" s="21">
        <f t="shared" si="26"/>
        <v>197.01</v>
      </c>
      <c r="W423" s="16">
        <f t="shared" si="27"/>
        <v>-209.27000000000004</v>
      </c>
    </row>
    <row r="424" spans="1:23" hidden="1" x14ac:dyDescent="0.3">
      <c r="A424" s="22" t="s">
        <v>861</v>
      </c>
      <c r="B424" s="22" t="s">
        <v>861</v>
      </c>
      <c r="C424" s="23" t="s">
        <v>33</v>
      </c>
      <c r="D424" s="20" t="s">
        <v>34</v>
      </c>
      <c r="E424" s="22" t="s">
        <v>862</v>
      </c>
      <c r="F424" s="24" t="str">
        <f t="shared" si="24"/>
        <v>PPG - Johnstones ACRYLIC EGGSHELL - BW - 2.5ltr</v>
      </c>
      <c r="G424" s="23" t="s">
        <v>5300</v>
      </c>
      <c r="H424" s="25" t="s">
        <v>36</v>
      </c>
      <c r="I424" s="18" t="s">
        <v>37</v>
      </c>
      <c r="J424" s="18" t="s">
        <v>38</v>
      </c>
      <c r="K424" t="s">
        <v>39</v>
      </c>
      <c r="L424" s="26">
        <f>VLOOKUP(A424,'[3]Price info'!A:D,4,FALSE)</f>
        <v>11.17</v>
      </c>
      <c r="M424" s="18" t="s">
        <v>40</v>
      </c>
      <c r="N424" s="20">
        <v>3105</v>
      </c>
      <c r="P424" s="16">
        <f>VLOOKUP(A424,'[3]Price info'!A:H,8,FALSE)</f>
        <v>10.42</v>
      </c>
      <c r="Q424" s="27">
        <f t="shared" si="25"/>
        <v>0.93285586392121755</v>
      </c>
      <c r="S424" s="16">
        <f>VLOOKUP(A424,[4]Sales!$E:$G,3,FALSE)</f>
        <v>375.74</v>
      </c>
      <c r="T424" s="19">
        <f>VLOOKUP(A424,[4]Volume!$E:$G,3,FALSE)</f>
        <v>90</v>
      </c>
      <c r="U424" s="19">
        <f>VLOOKUP(A424,[4]Piece!$E:$G,3,FALSE)</f>
        <v>36</v>
      </c>
      <c r="V424" s="21">
        <f t="shared" si="26"/>
        <v>375.12</v>
      </c>
      <c r="W424" s="16">
        <f t="shared" si="27"/>
        <v>-0.62000000000000455</v>
      </c>
    </row>
    <row r="425" spans="1:23" hidden="1" x14ac:dyDescent="0.3">
      <c r="A425" s="55" t="s">
        <v>863</v>
      </c>
      <c r="B425" s="55" t="s">
        <v>863</v>
      </c>
      <c r="C425" s="47" t="s">
        <v>33</v>
      </c>
      <c r="D425" s="48" t="s">
        <v>34</v>
      </c>
      <c r="E425" s="22" t="s">
        <v>864</v>
      </c>
      <c r="F425" s="24" t="str">
        <f t="shared" si="24"/>
        <v>PPG - ESKI  BAG OF RAGS</v>
      </c>
      <c r="G425" s="20" t="s">
        <v>5301</v>
      </c>
      <c r="H425" s="49" t="s">
        <v>213</v>
      </c>
      <c r="I425" s="18" t="s">
        <v>37</v>
      </c>
      <c r="J425" s="18" t="s">
        <v>38</v>
      </c>
      <c r="K425" t="s">
        <v>39</v>
      </c>
      <c r="L425" s="26">
        <f>VLOOKUP(A425,'[3]Price info'!A:D,4,FALSE)</f>
        <v>20.059999999999999</v>
      </c>
      <c r="M425" s="18" t="s">
        <v>214</v>
      </c>
      <c r="N425" s="20">
        <v>3105</v>
      </c>
      <c r="P425" s="16">
        <f>VLOOKUP(A425,'[3]Price info'!A:H,8,FALSE)</f>
        <v>18.67586</v>
      </c>
      <c r="Q425" s="17">
        <f t="shared" si="25"/>
        <v>0.93100000000000005</v>
      </c>
      <c r="S425" s="16">
        <f>VLOOKUP(A425,[4]Sales!$E:$G,3,FALSE)</f>
        <v>164.96</v>
      </c>
      <c r="T425" s="19">
        <f>VLOOKUP(A425,[4]Volume!$E:$G,3,FALSE)</f>
        <v>9</v>
      </c>
      <c r="U425" s="19">
        <f>VLOOKUP(A425,[4]Piece!$E:$G,3,FALSE)</f>
        <v>9</v>
      </c>
      <c r="V425" s="21">
        <f t="shared" si="26"/>
        <v>168.08274</v>
      </c>
      <c r="W425" s="16">
        <f t="shared" si="27"/>
        <v>3.1227399999999932</v>
      </c>
    </row>
    <row r="426" spans="1:23" hidden="1" x14ac:dyDescent="0.3">
      <c r="A426" s="46" t="s">
        <v>865</v>
      </c>
      <c r="B426" s="46" t="s">
        <v>865</v>
      </c>
      <c r="C426" s="51" t="s">
        <v>33</v>
      </c>
      <c r="D426" s="48" t="s">
        <v>34</v>
      </c>
      <c r="E426" s="18" t="s">
        <v>866</v>
      </c>
      <c r="F426" s="24" t="str">
        <f t="shared" si="24"/>
        <v>PPG - PURDY SHORT HANDLE WIRE BRUSH</v>
      </c>
      <c r="G426" s="20" t="s">
        <v>5302</v>
      </c>
      <c r="H426" s="49" t="s">
        <v>213</v>
      </c>
      <c r="I426" s="18" t="s">
        <v>37</v>
      </c>
      <c r="J426" s="18" t="s">
        <v>38</v>
      </c>
      <c r="K426" t="s">
        <v>39</v>
      </c>
      <c r="L426" s="50">
        <f>VLOOKUP(A426,'[3]Price info'!A:D,4,FALSE)</f>
        <v>8.8000000000000007</v>
      </c>
      <c r="M426" s="18" t="s">
        <v>214</v>
      </c>
      <c r="N426" s="20">
        <v>3105</v>
      </c>
      <c r="P426" s="16">
        <f>VLOOKUP(A426,'[3]Price info'!A:H,8,FALSE)</f>
        <v>8.1928000000000019</v>
      </c>
      <c r="Q426" s="17">
        <f t="shared" si="25"/>
        <v>0.93100000000000016</v>
      </c>
      <c r="S426" s="16">
        <f>VLOOKUP(A426,[4]Sales!$E:$G,3,FALSE)</f>
        <v>165.73</v>
      </c>
      <c r="T426" s="19">
        <f>VLOOKUP(A426,[4]Volume!$E:$G,3,FALSE)</f>
        <v>20</v>
      </c>
      <c r="U426" s="19">
        <f>VLOOKUP(A426,[4]Piece!$E:$G,3,FALSE)</f>
        <v>20</v>
      </c>
      <c r="V426" s="21">
        <f t="shared" si="26"/>
        <v>163.85600000000005</v>
      </c>
      <c r="W426" s="16">
        <f t="shared" si="27"/>
        <v>-1.8739999999999384</v>
      </c>
    </row>
    <row r="427" spans="1:23" hidden="1" x14ac:dyDescent="0.3">
      <c r="A427" s="22" t="s">
        <v>867</v>
      </c>
      <c r="B427" s="22" t="s">
        <v>867</v>
      </c>
      <c r="C427" s="23" t="s">
        <v>33</v>
      </c>
      <c r="D427" s="20" t="s">
        <v>34</v>
      </c>
      <c r="E427" s="22" t="s">
        <v>868</v>
      </c>
      <c r="F427" s="24" t="str">
        <f t="shared" si="24"/>
        <v>PPG - Johnstones PERFECT MATT - BW- 5ltr</v>
      </c>
      <c r="G427" s="23" t="s">
        <v>5303</v>
      </c>
      <c r="H427" s="25" t="s">
        <v>36</v>
      </c>
      <c r="I427" s="18" t="s">
        <v>37</v>
      </c>
      <c r="J427" s="18" t="s">
        <v>38</v>
      </c>
      <c r="K427" t="s">
        <v>39</v>
      </c>
      <c r="L427" s="26">
        <f>VLOOKUP(A427,'[3]Price info'!A:D,4,FALSE)</f>
        <v>43.93</v>
      </c>
      <c r="M427" s="18" t="s">
        <v>40</v>
      </c>
      <c r="N427" s="20">
        <v>3105</v>
      </c>
      <c r="P427" s="16">
        <f>VLOOKUP(A427,'[3]Price info'!A:H,8,FALSE)</f>
        <v>35.94</v>
      </c>
      <c r="Q427" s="27">
        <f t="shared" si="25"/>
        <v>0.81811973594354648</v>
      </c>
      <c r="S427" s="16">
        <f>VLOOKUP(A427,[4]Sales!$E:$G,3,FALSE)</f>
        <v>690.3</v>
      </c>
      <c r="T427" s="19">
        <f>VLOOKUP(A427,[4]Volume!$E:$G,3,FALSE)</f>
        <v>95</v>
      </c>
      <c r="U427" s="19">
        <f>VLOOKUP(A427,[4]Piece!$E:$G,3,FALSE)</f>
        <v>19</v>
      </c>
      <c r="V427" s="21">
        <f t="shared" si="26"/>
        <v>682.8599999999999</v>
      </c>
      <c r="W427" s="16">
        <f t="shared" si="27"/>
        <v>-7.4400000000000546</v>
      </c>
    </row>
    <row r="428" spans="1:23" hidden="1" x14ac:dyDescent="0.3">
      <c r="A428" s="22" t="s">
        <v>869</v>
      </c>
      <c r="B428" s="22" t="s">
        <v>869</v>
      </c>
      <c r="C428" s="23" t="s">
        <v>33</v>
      </c>
      <c r="D428" s="20" t="s">
        <v>34</v>
      </c>
      <c r="E428" s="22" t="s">
        <v>870</v>
      </c>
      <c r="F428" s="24" t="str">
        <f t="shared" si="24"/>
        <v>PPG - ProGold CLASSIC SYNTHETIC BRUSH 1.5"</v>
      </c>
      <c r="G428" s="23" t="s">
        <v>5304</v>
      </c>
      <c r="H428" s="25" t="s">
        <v>36</v>
      </c>
      <c r="I428" s="18" t="s">
        <v>37</v>
      </c>
      <c r="J428" s="18" t="s">
        <v>38</v>
      </c>
      <c r="K428" t="s">
        <v>39</v>
      </c>
      <c r="L428" s="26">
        <f>VLOOKUP(A428,'[3]Price info'!A:D,4,FALSE)</f>
        <v>2.82</v>
      </c>
      <c r="M428" s="18" t="s">
        <v>40</v>
      </c>
      <c r="N428" s="20">
        <v>3105</v>
      </c>
      <c r="P428" s="16">
        <f>VLOOKUP(A428,'[3]Price info'!A:H,8,FALSE)</f>
        <v>2.6254200000000001</v>
      </c>
      <c r="Q428" s="27">
        <f t="shared" si="25"/>
        <v>0.93100000000000005</v>
      </c>
      <c r="S428" s="16">
        <f>VLOOKUP(A428,[4]Sales!$E:$G,3,FALSE)</f>
        <v>378.42999999999984</v>
      </c>
      <c r="T428" s="19">
        <f>VLOOKUP(A428,[4]Volume!$E:$G,3,FALSE)</f>
        <v>141</v>
      </c>
      <c r="U428" s="19">
        <f>VLOOKUP(A428,[4]Piece!$E:$G,3,FALSE)</f>
        <v>141</v>
      </c>
      <c r="V428" s="21">
        <f t="shared" si="26"/>
        <v>370.18422000000004</v>
      </c>
      <c r="W428" s="16">
        <f t="shared" si="27"/>
        <v>-8.2457799999997974</v>
      </c>
    </row>
    <row r="429" spans="1:23" hidden="1" x14ac:dyDescent="0.3">
      <c r="A429" s="22" t="s">
        <v>871</v>
      </c>
      <c r="B429" s="22" t="s">
        <v>871</v>
      </c>
      <c r="C429" s="23" t="s">
        <v>33</v>
      </c>
      <c r="D429" s="20" t="s">
        <v>34</v>
      </c>
      <c r="E429" s="22" t="s">
        <v>872</v>
      </c>
      <c r="F429" s="24" t="str">
        <f t="shared" si="24"/>
        <v>PPG - Johnstones SATIN WOODSTAIN -Mahogany-2.5ltr</v>
      </c>
      <c r="G429" s="23" t="s">
        <v>5305</v>
      </c>
      <c r="H429" s="25" t="s">
        <v>36</v>
      </c>
      <c r="I429" s="18" t="s">
        <v>37</v>
      </c>
      <c r="J429" s="18" t="s">
        <v>38</v>
      </c>
      <c r="K429" t="s">
        <v>39</v>
      </c>
      <c r="L429" s="26">
        <f>VLOOKUP(A429,'[3]Price info'!A:D,4,FALSE)</f>
        <v>16.88</v>
      </c>
      <c r="M429" s="18" t="s">
        <v>40</v>
      </c>
      <c r="N429" s="20">
        <v>3105</v>
      </c>
      <c r="P429" s="16">
        <f>VLOOKUP(A429,'[3]Price info'!A:H,8,FALSE)</f>
        <v>15.71528</v>
      </c>
      <c r="Q429" s="27">
        <f t="shared" si="25"/>
        <v>0.93100000000000005</v>
      </c>
      <c r="S429" s="16">
        <f>VLOOKUP(A429,[4]Sales!$E:$G,3,FALSE)</f>
        <v>159.52000000000001</v>
      </c>
      <c r="T429" s="19">
        <f>VLOOKUP(A429,[4]Volume!$E:$G,3,FALSE)</f>
        <v>25</v>
      </c>
      <c r="U429" s="19">
        <f>VLOOKUP(A429,[4]Piece!$E:$G,3,FALSE)</f>
        <v>10</v>
      </c>
      <c r="V429" s="21">
        <f t="shared" si="26"/>
        <v>157.15280000000001</v>
      </c>
      <c r="W429" s="16">
        <f t="shared" si="27"/>
        <v>-2.3671999999999969</v>
      </c>
    </row>
    <row r="430" spans="1:23" hidden="1" x14ac:dyDescent="0.3">
      <c r="A430" s="56" t="s">
        <v>873</v>
      </c>
      <c r="B430" s="56" t="s">
        <v>873</v>
      </c>
      <c r="C430" s="47" t="s">
        <v>33</v>
      </c>
      <c r="D430" s="48" t="s">
        <v>34</v>
      </c>
      <c r="E430" s="22" t="s">
        <v>874</v>
      </c>
      <c r="F430" s="24" t="str">
        <f t="shared" si="24"/>
        <v>PPG - TESA PR MASK TAPE 50M X 38MM 4440</v>
      </c>
      <c r="G430" s="20" t="s">
        <v>5306</v>
      </c>
      <c r="H430" s="25" t="s">
        <v>36</v>
      </c>
      <c r="I430" s="18" t="s">
        <v>37</v>
      </c>
      <c r="J430" s="18" t="s">
        <v>38</v>
      </c>
      <c r="K430" t="s">
        <v>39</v>
      </c>
      <c r="L430" s="50">
        <v>7.72</v>
      </c>
      <c r="M430" s="18" t="s">
        <v>214</v>
      </c>
      <c r="N430" s="20">
        <v>3105</v>
      </c>
      <c r="P430" s="16">
        <f>VLOOKUP(A430,'[3]Price info'!A:H,8,FALSE)</f>
        <v>7.1873199999999997</v>
      </c>
      <c r="Q430" s="27">
        <f t="shared" si="25"/>
        <v>0.93099999999999994</v>
      </c>
      <c r="S430" s="16">
        <f>VLOOKUP(A430,[4]Sales!$E:$G,3,FALSE)</f>
        <v>87.87</v>
      </c>
      <c r="T430" s="19">
        <f>VLOOKUP(A430,[4]Volume!$E:$G,3,FALSE)</f>
        <v>12</v>
      </c>
      <c r="U430" s="19">
        <f>VLOOKUP(A430,[4]Piece!$E:$G,3,FALSE)</f>
        <v>12</v>
      </c>
      <c r="V430" s="21">
        <f t="shared" si="26"/>
        <v>86.247839999999997</v>
      </c>
      <c r="W430" s="16">
        <f t="shared" si="27"/>
        <v>-1.622160000000008</v>
      </c>
    </row>
    <row r="431" spans="1:23" hidden="1" x14ac:dyDescent="0.3">
      <c r="A431" s="36" t="s">
        <v>875</v>
      </c>
      <c r="B431" s="36" t="s">
        <v>875</v>
      </c>
      <c r="C431" s="23" t="s">
        <v>33</v>
      </c>
      <c r="D431" s="20" t="s">
        <v>34</v>
      </c>
      <c r="E431" s="22" t="s">
        <v>876</v>
      </c>
      <c r="F431" s="24" t="str">
        <f t="shared" si="24"/>
        <v>PPG - PURDY ADJUST FRAME 12IN-18IN</v>
      </c>
      <c r="G431" s="36" t="s">
        <v>5307</v>
      </c>
      <c r="H431" s="25" t="s">
        <v>36</v>
      </c>
      <c r="I431" s="18" t="s">
        <v>37</v>
      </c>
      <c r="J431" s="18" t="s">
        <v>38</v>
      </c>
      <c r="K431" t="s">
        <v>39</v>
      </c>
      <c r="L431" s="26">
        <f>VLOOKUP(A431,'[3]Price info'!A:D,4,FALSE)</f>
        <v>17.25</v>
      </c>
      <c r="M431" s="18" t="s">
        <v>40</v>
      </c>
      <c r="N431" s="20">
        <v>3105</v>
      </c>
      <c r="P431" s="16">
        <f>VLOOKUP(A431,'[3]Price info'!A:H,8,FALSE)</f>
        <v>16.059750000000001</v>
      </c>
      <c r="Q431" s="27">
        <f t="shared" si="25"/>
        <v>0.93100000000000005</v>
      </c>
      <c r="S431" s="16">
        <f>VLOOKUP(A431,[4]Sales!$E:$G,3,FALSE)</f>
        <v>212.35</v>
      </c>
      <c r="T431" s="19">
        <f>VLOOKUP(A431,[4]Volume!$E:$G,3,FALSE)</f>
        <v>13</v>
      </c>
      <c r="U431" s="19">
        <f>VLOOKUP(A431,[4]Piece!$E:$G,3,FALSE)</f>
        <v>13</v>
      </c>
      <c r="V431" s="21">
        <f t="shared" si="26"/>
        <v>208.77675000000002</v>
      </c>
      <c r="W431" s="16">
        <f t="shared" si="27"/>
        <v>-3.5732499999999732</v>
      </c>
    </row>
    <row r="432" spans="1:23" hidden="1" x14ac:dyDescent="0.3">
      <c r="A432" s="22" t="s">
        <v>877</v>
      </c>
      <c r="B432" s="22" t="s">
        <v>877</v>
      </c>
      <c r="C432" s="23" t="s">
        <v>33</v>
      </c>
      <c r="D432" s="20" t="s">
        <v>34</v>
      </c>
      <c r="E432" s="22" t="s">
        <v>878</v>
      </c>
      <c r="F432" s="24" t="str">
        <f t="shared" si="24"/>
        <v>PPG - Johnstones AQUA GLOSS - Black - 5ltr</v>
      </c>
      <c r="G432" s="23" t="s">
        <v>5308</v>
      </c>
      <c r="H432" s="25" t="s">
        <v>36</v>
      </c>
      <c r="I432" s="18" t="s">
        <v>37</v>
      </c>
      <c r="J432" s="18" t="s">
        <v>38</v>
      </c>
      <c r="K432" t="s">
        <v>39</v>
      </c>
      <c r="L432" s="26">
        <f>VLOOKUP(A432,'[3]Price info'!A:D,4,FALSE)</f>
        <v>27.32</v>
      </c>
      <c r="M432" s="18" t="s">
        <v>40</v>
      </c>
      <c r="N432" s="20">
        <v>3105</v>
      </c>
      <c r="P432" s="16">
        <f>VLOOKUP(A432,'[3]Price info'!A:H,8,FALSE)</f>
        <v>27.32</v>
      </c>
      <c r="Q432" s="27">
        <f t="shared" si="25"/>
        <v>1</v>
      </c>
      <c r="S432" s="16">
        <f>VLOOKUP(A432,[4]Sales!$E:$G,3,FALSE)</f>
        <v>461.09999999999997</v>
      </c>
      <c r="T432" s="19">
        <f>VLOOKUP(A432,[4]Volume!$E:$G,3,FALSE)</f>
        <v>85</v>
      </c>
      <c r="U432" s="19">
        <f>VLOOKUP(A432,[4]Piece!$E:$G,3,FALSE)</f>
        <v>17</v>
      </c>
      <c r="V432" s="21">
        <f t="shared" si="26"/>
        <v>464.44</v>
      </c>
      <c r="W432" s="16">
        <f t="shared" si="27"/>
        <v>3.3400000000000318</v>
      </c>
    </row>
    <row r="433" spans="1:23" hidden="1" x14ac:dyDescent="0.3">
      <c r="A433" s="22" t="s">
        <v>879</v>
      </c>
      <c r="B433" s="22" t="s">
        <v>879</v>
      </c>
      <c r="C433" s="23" t="s">
        <v>33</v>
      </c>
      <c r="D433" s="20" t="s">
        <v>34</v>
      </c>
      <c r="E433" s="22" t="s">
        <v>880</v>
      </c>
      <c r="F433" s="24" t="str">
        <f t="shared" si="24"/>
        <v>PPG - Johnstones QD OPAQUE - White - 2.5ltr</v>
      </c>
      <c r="G433" s="23" t="s">
        <v>5309</v>
      </c>
      <c r="H433" s="25" t="s">
        <v>36</v>
      </c>
      <c r="I433" s="18" t="s">
        <v>37</v>
      </c>
      <c r="J433" s="18" t="s">
        <v>38</v>
      </c>
      <c r="K433" t="s">
        <v>39</v>
      </c>
      <c r="L433" s="26">
        <f>VLOOKUP(A433,'[3]Price info'!A:D,4,FALSE)</f>
        <v>17.09</v>
      </c>
      <c r="M433" s="18" t="s">
        <v>40</v>
      </c>
      <c r="N433" s="20">
        <v>3105</v>
      </c>
      <c r="P433" s="16">
        <f>VLOOKUP(A433,'[3]Price info'!A:H,8,FALSE)</f>
        <v>15.91079</v>
      </c>
      <c r="Q433" s="27">
        <f t="shared" si="25"/>
        <v>0.93100000000000005</v>
      </c>
      <c r="S433" s="16">
        <f>VLOOKUP(A433,[4]Sales!$E:$G,3,FALSE)</f>
        <v>152.97999999999999</v>
      </c>
      <c r="T433" s="19">
        <f>VLOOKUP(A433,[4]Volume!$E:$G,3,FALSE)</f>
        <v>25</v>
      </c>
      <c r="U433" s="19">
        <f>VLOOKUP(A433,[4]Piece!$E:$G,3,FALSE)</f>
        <v>10</v>
      </c>
      <c r="V433" s="21">
        <f t="shared" si="26"/>
        <v>159.1079</v>
      </c>
      <c r="W433" s="16">
        <f t="shared" si="27"/>
        <v>6.127900000000011</v>
      </c>
    </row>
    <row r="434" spans="1:23" hidden="1" x14ac:dyDescent="0.3">
      <c r="A434" s="22" t="s">
        <v>881</v>
      </c>
      <c r="B434" s="22" t="s">
        <v>881</v>
      </c>
      <c r="C434" s="23" t="s">
        <v>33</v>
      </c>
      <c r="D434" s="20" t="s">
        <v>34</v>
      </c>
      <c r="E434" s="22" t="s">
        <v>882</v>
      </c>
      <c r="F434" s="24" t="str">
        <f t="shared" si="24"/>
        <v>PPG - Johnstones PERFECT MATT - BW - 10ltr</v>
      </c>
      <c r="G434" s="23" t="s">
        <v>5310</v>
      </c>
      <c r="H434" s="25" t="s">
        <v>36</v>
      </c>
      <c r="I434" s="18" t="s">
        <v>37</v>
      </c>
      <c r="J434" s="18" t="s">
        <v>38</v>
      </c>
      <c r="K434" t="s">
        <v>39</v>
      </c>
      <c r="L434" s="26">
        <f>VLOOKUP(A434,'[3]Price info'!A:D,4,FALSE)</f>
        <v>85.57</v>
      </c>
      <c r="M434" s="18" t="s">
        <v>40</v>
      </c>
      <c r="N434" s="20">
        <v>3105</v>
      </c>
      <c r="P434" s="16">
        <f>VLOOKUP(A434,'[3]Price info'!A:H,8,FALSE)</f>
        <v>59.9</v>
      </c>
      <c r="Q434" s="27">
        <f t="shared" si="25"/>
        <v>0.70001168633867017</v>
      </c>
      <c r="S434" s="16">
        <f>VLOOKUP(A434,[4]Sales!$E:$G,3,FALSE)</f>
        <v>1001.17</v>
      </c>
      <c r="T434" s="19">
        <f>VLOOKUP(A434,[4]Volume!$E:$G,3,FALSE)</f>
        <v>120</v>
      </c>
      <c r="U434" s="19">
        <f>VLOOKUP(A434,[4]Piece!$E:$G,3,FALSE)</f>
        <v>12</v>
      </c>
      <c r="V434" s="21">
        <f t="shared" si="26"/>
        <v>718.8</v>
      </c>
      <c r="W434" s="16">
        <f t="shared" si="27"/>
        <v>-282.37</v>
      </c>
    </row>
    <row r="435" spans="1:23" hidden="1" x14ac:dyDescent="0.3">
      <c r="A435" s="22" t="s">
        <v>883</v>
      </c>
      <c r="B435" s="22" t="s">
        <v>883</v>
      </c>
      <c r="C435" s="23" t="s">
        <v>33</v>
      </c>
      <c r="D435" s="20" t="s">
        <v>34</v>
      </c>
      <c r="E435" s="22" t="s">
        <v>884</v>
      </c>
      <c r="F435" s="24" t="str">
        <f t="shared" si="24"/>
        <v>PPG - Johnstones SHED &amp; FENCE - Green - 5ltr</v>
      </c>
      <c r="G435" s="23" t="s">
        <v>5311</v>
      </c>
      <c r="H435" s="25" t="s">
        <v>36</v>
      </c>
      <c r="I435" s="18" t="s">
        <v>37</v>
      </c>
      <c r="J435" s="18" t="s">
        <v>38</v>
      </c>
      <c r="K435" t="s">
        <v>39</v>
      </c>
      <c r="L435" s="26">
        <f>VLOOKUP(A435,'[3]Price info'!A:D,4,FALSE)</f>
        <v>8.2100000000000009</v>
      </c>
      <c r="M435" s="18" t="s">
        <v>40</v>
      </c>
      <c r="N435" s="20">
        <v>3105</v>
      </c>
      <c r="P435" s="16">
        <f>VLOOKUP(A435,'[3]Price info'!A:H,8,FALSE)</f>
        <v>7.6435100000000009</v>
      </c>
      <c r="Q435" s="27">
        <f t="shared" si="25"/>
        <v>0.93100000000000005</v>
      </c>
      <c r="S435" s="16" t="e">
        <f>VLOOKUP(A435,[4]Sales!$E:$G,3,FALSE)</f>
        <v>#N/A</v>
      </c>
      <c r="T435" s="19" t="e">
        <f>VLOOKUP(A435,[4]Volume!$E:$G,3,FALSE)</f>
        <v>#N/A</v>
      </c>
      <c r="U435" s="19" t="e">
        <f>VLOOKUP(A435,[4]Piece!$E:$G,3,FALSE)</f>
        <v>#N/A</v>
      </c>
      <c r="V435" s="21" t="e">
        <f t="shared" si="26"/>
        <v>#N/A</v>
      </c>
      <c r="W435" s="16" t="e">
        <f t="shared" si="27"/>
        <v>#N/A</v>
      </c>
    </row>
    <row r="436" spans="1:23" hidden="1" x14ac:dyDescent="0.3">
      <c r="A436" s="46" t="s">
        <v>885</v>
      </c>
      <c r="B436" s="46" t="s">
        <v>885</v>
      </c>
      <c r="C436" s="47" t="s">
        <v>33</v>
      </c>
      <c r="D436" s="48" t="s">
        <v>34</v>
      </c>
      <c r="E436" s="18" t="s">
        <v>886</v>
      </c>
      <c r="F436" s="24" t="str">
        <f t="shared" si="24"/>
        <v>PPG - EWI   RECYCLING    BAGS ROLL 50</v>
      </c>
      <c r="G436" s="20" t="s">
        <v>5312</v>
      </c>
      <c r="H436" s="49" t="s">
        <v>213</v>
      </c>
      <c r="I436" s="18" t="s">
        <v>37</v>
      </c>
      <c r="J436" s="18" t="s">
        <v>38</v>
      </c>
      <c r="K436" t="s">
        <v>39</v>
      </c>
      <c r="L436" s="50">
        <f>VLOOKUP(A436,'[3]Price info'!A:D,4,FALSE)</f>
        <v>57.17</v>
      </c>
      <c r="M436" s="18" t="s">
        <v>214</v>
      </c>
      <c r="N436" s="20">
        <v>3105</v>
      </c>
      <c r="P436" s="16">
        <f>VLOOKUP(A436,'[3]Price info'!A:H,8,FALSE)</f>
        <v>57.17</v>
      </c>
      <c r="Q436" s="17">
        <f t="shared" si="25"/>
        <v>1</v>
      </c>
      <c r="S436" s="16" t="e">
        <f>VLOOKUP(A436,[4]Sales!$E:$G,3,FALSE)</f>
        <v>#N/A</v>
      </c>
      <c r="T436" s="19" t="e">
        <f>VLOOKUP(A436,[4]Volume!$E:$G,3,FALSE)</f>
        <v>#N/A</v>
      </c>
      <c r="U436" s="19" t="e">
        <f>VLOOKUP(A436,[4]Piece!$E:$G,3,FALSE)</f>
        <v>#N/A</v>
      </c>
      <c r="V436" s="21" t="e">
        <f t="shared" si="26"/>
        <v>#N/A</v>
      </c>
      <c r="W436" s="16" t="e">
        <f t="shared" si="27"/>
        <v>#N/A</v>
      </c>
    </row>
    <row r="437" spans="1:23" hidden="1" x14ac:dyDescent="0.3">
      <c r="A437" s="22" t="s">
        <v>887</v>
      </c>
      <c r="B437" s="22" t="s">
        <v>887</v>
      </c>
      <c r="C437" s="23" t="s">
        <v>33</v>
      </c>
      <c r="D437" s="20" t="s">
        <v>34</v>
      </c>
      <c r="E437" s="22" t="s">
        <v>888</v>
      </c>
      <c r="F437" s="24" t="str">
        <f t="shared" si="24"/>
        <v>PPG - ProGold INTERIOR POWDER FILLER 5kg</v>
      </c>
      <c r="G437" s="23" t="s">
        <v>5313</v>
      </c>
      <c r="H437" s="25" t="s">
        <v>36</v>
      </c>
      <c r="I437" s="18" t="s">
        <v>37</v>
      </c>
      <c r="J437" s="18" t="s">
        <v>38</v>
      </c>
      <c r="K437" t="s">
        <v>39</v>
      </c>
      <c r="L437" s="26">
        <f>VLOOKUP(A437,'[3]Price info'!A:D,4,FALSE)</f>
        <v>8.4600000000000009</v>
      </c>
      <c r="M437" s="18" t="s">
        <v>40</v>
      </c>
      <c r="N437" s="20">
        <v>3105</v>
      </c>
      <c r="P437" s="16">
        <f>VLOOKUP(A437,'[3]Price info'!A:H,8,FALSE)</f>
        <v>7.8762600000000011</v>
      </c>
      <c r="Q437" s="27">
        <f t="shared" si="25"/>
        <v>0.93100000000000005</v>
      </c>
      <c r="S437" s="16">
        <f>VLOOKUP(A437,[4]Sales!$E:$G,3,FALSE)</f>
        <v>122.32000000000004</v>
      </c>
      <c r="T437" s="19">
        <f>VLOOKUP(A437,[4]Volume!$E:$G,3,FALSE)</f>
        <v>75</v>
      </c>
      <c r="U437" s="19">
        <f>VLOOKUP(A437,[4]Piece!$E:$G,3,FALSE)</f>
        <v>15</v>
      </c>
      <c r="V437" s="21">
        <f t="shared" si="26"/>
        <v>118.14390000000002</v>
      </c>
      <c r="W437" s="16">
        <f t="shared" si="27"/>
        <v>-4.1761000000000195</v>
      </c>
    </row>
    <row r="438" spans="1:23" hidden="1" x14ac:dyDescent="0.3">
      <c r="A438" s="46" t="s">
        <v>889</v>
      </c>
      <c r="B438" s="46" t="s">
        <v>889</v>
      </c>
      <c r="C438" s="47" t="s">
        <v>33</v>
      </c>
      <c r="D438" s="48" t="s">
        <v>34</v>
      </c>
      <c r="E438" s="93" t="s">
        <v>7383</v>
      </c>
      <c r="F438" s="24" t="str">
        <f t="shared" si="24"/>
        <v>PPG - Mirka Hiomant 115mm x 10m P120</v>
      </c>
      <c r="G438" s="20" t="s">
        <v>5314</v>
      </c>
      <c r="H438" s="49" t="s">
        <v>213</v>
      </c>
      <c r="I438" s="18" t="s">
        <v>37</v>
      </c>
      <c r="J438" s="18" t="s">
        <v>38</v>
      </c>
      <c r="K438" t="s">
        <v>39</v>
      </c>
      <c r="L438" s="50">
        <f>VLOOKUP(A438,'[3]Price info'!A:D,4,FALSE)</f>
        <v>17.04</v>
      </c>
      <c r="M438" s="18" t="s">
        <v>214</v>
      </c>
      <c r="N438" s="20">
        <v>3105</v>
      </c>
      <c r="P438" s="16">
        <v>6.38</v>
      </c>
      <c r="Q438" s="17">
        <f t="shared" si="25"/>
        <v>0.37441314553990612</v>
      </c>
      <c r="S438" s="16">
        <f>VLOOKUP(A438,[4]Sales!$E:$G,3,FALSE)</f>
        <v>105.66</v>
      </c>
      <c r="T438" s="19">
        <f>VLOOKUP(A438,[4]Volume!$E:$G,3,FALSE)</f>
        <v>6</v>
      </c>
      <c r="U438" s="19">
        <f>VLOOKUP(A438,[4]Piece!$E:$G,3,FALSE)</f>
        <v>6</v>
      </c>
      <c r="V438" s="21">
        <f t="shared" si="26"/>
        <v>38.28</v>
      </c>
      <c r="W438" s="16">
        <f t="shared" si="27"/>
        <v>-67.38</v>
      </c>
    </row>
    <row r="439" spans="1:23" hidden="1" x14ac:dyDescent="0.3">
      <c r="A439" s="22" t="s">
        <v>890</v>
      </c>
      <c r="B439" s="22" t="s">
        <v>890</v>
      </c>
      <c r="C439" s="23" t="s">
        <v>33</v>
      </c>
      <c r="D439" s="20" t="s">
        <v>34</v>
      </c>
      <c r="E439" s="22" t="s">
        <v>891</v>
      </c>
      <c r="F439" s="24" t="str">
        <f t="shared" si="24"/>
        <v>PPG - Johnstones PROF SATIN FINISH - Mix - 1ltr</v>
      </c>
      <c r="G439" s="23" t="s">
        <v>5315</v>
      </c>
      <c r="H439" s="25" t="s">
        <v>36</v>
      </c>
      <c r="I439" s="18" t="s">
        <v>37</v>
      </c>
      <c r="J439" s="18" t="s">
        <v>38</v>
      </c>
      <c r="K439" t="s">
        <v>39</v>
      </c>
      <c r="L439" s="26">
        <f>VLOOKUP(A439,'[3]Price info'!A:D,4,FALSE)</f>
        <v>20.21</v>
      </c>
      <c r="M439" s="18" t="s">
        <v>40</v>
      </c>
      <c r="N439" s="20">
        <v>3105</v>
      </c>
      <c r="P439" s="16">
        <f>VLOOKUP(A439,'[3]Price info'!A:H,8,FALSE)</f>
        <v>18.815510000000003</v>
      </c>
      <c r="Q439" s="27">
        <f t="shared" si="25"/>
        <v>0.93100000000000016</v>
      </c>
      <c r="S439" s="16">
        <f>VLOOKUP(A439,[4]Sales!$E:$G,3,FALSE)</f>
        <v>218.14000000000004</v>
      </c>
      <c r="T439" s="19">
        <f>VLOOKUP(A439,[4]Volume!$E:$G,3,FALSE)</f>
        <v>11</v>
      </c>
      <c r="U439" s="19">
        <f>VLOOKUP(A439,[4]Piece!$E:$G,3,FALSE)</f>
        <v>11</v>
      </c>
      <c r="V439" s="21">
        <f t="shared" si="26"/>
        <v>206.97061000000002</v>
      </c>
      <c r="W439" s="16">
        <f t="shared" si="27"/>
        <v>-11.169390000000021</v>
      </c>
    </row>
    <row r="440" spans="1:23" hidden="1" x14ac:dyDescent="0.3">
      <c r="A440" s="22" t="s">
        <v>892</v>
      </c>
      <c r="B440" s="22" t="s">
        <v>892</v>
      </c>
      <c r="C440" s="23" t="s">
        <v>33</v>
      </c>
      <c r="D440" s="20" t="s">
        <v>34</v>
      </c>
      <c r="E440" s="22" t="s">
        <v>893</v>
      </c>
      <c r="F440" s="24" t="str">
        <f t="shared" si="24"/>
        <v>PPG - Johnstones EGGSHELL - Magnolia - 5ltr</v>
      </c>
      <c r="G440" s="23" t="s">
        <v>5316</v>
      </c>
      <c r="H440" s="25" t="s">
        <v>36</v>
      </c>
      <c r="I440" s="18" t="s">
        <v>37</v>
      </c>
      <c r="J440" s="18" t="s">
        <v>38</v>
      </c>
      <c r="K440" t="s">
        <v>39</v>
      </c>
      <c r="L440" s="26">
        <f>VLOOKUP(A440,'[3]Price info'!A:D,4,FALSE)</f>
        <v>19.079999999999998</v>
      </c>
      <c r="M440" s="18" t="s">
        <v>40</v>
      </c>
      <c r="N440" s="20">
        <v>3105</v>
      </c>
      <c r="P440" s="16">
        <f>VLOOKUP(A440,'[3]Price info'!A:H,8,FALSE)</f>
        <v>22.895999999999997</v>
      </c>
      <c r="Q440" s="27">
        <f t="shared" si="25"/>
        <v>1.2</v>
      </c>
      <c r="S440" s="16">
        <f>VLOOKUP(A440,[4]Sales!$E:$G,3,FALSE)</f>
        <v>-160.12</v>
      </c>
      <c r="T440" s="19">
        <f>VLOOKUP(A440,[4]Volume!$E:$G,3,FALSE)</f>
        <v>-45</v>
      </c>
      <c r="U440" s="19">
        <f>VLOOKUP(A440,[4]Piece!$E:$G,3,FALSE)</f>
        <v>-9</v>
      </c>
      <c r="V440" s="21">
        <f t="shared" si="26"/>
        <v>-206.06399999999996</v>
      </c>
      <c r="W440" s="16">
        <f t="shared" si="27"/>
        <v>-45.94399999999996</v>
      </c>
    </row>
    <row r="441" spans="1:23" hidden="1" x14ac:dyDescent="0.3">
      <c r="A441" s="22" t="s">
        <v>894</v>
      </c>
      <c r="B441" s="22" t="s">
        <v>894</v>
      </c>
      <c r="C441" s="23" t="s">
        <v>33</v>
      </c>
      <c r="D441" s="20" t="s">
        <v>34</v>
      </c>
      <c r="E441" s="22" t="s">
        <v>895</v>
      </c>
      <c r="F441" s="24" t="str">
        <f t="shared" si="24"/>
        <v>PPG - Johnstones SMOOTH METAL - Gold - 800ml</v>
      </c>
      <c r="G441" s="23" t="s">
        <v>5317</v>
      </c>
      <c r="H441" s="25" t="s">
        <v>36</v>
      </c>
      <c r="I441" s="18" t="s">
        <v>37</v>
      </c>
      <c r="J441" s="18" t="s">
        <v>38</v>
      </c>
      <c r="K441" t="s">
        <v>39</v>
      </c>
      <c r="L441" s="26">
        <f>VLOOKUP(A441,'[3]Price info'!A:D,4,FALSE)</f>
        <v>18.850000000000001</v>
      </c>
      <c r="M441" s="18" t="s">
        <v>40</v>
      </c>
      <c r="N441" s="20">
        <v>3105</v>
      </c>
      <c r="P441" s="16">
        <f>VLOOKUP(A441,'[3]Price info'!A:H,8,FALSE)</f>
        <v>17.549350000000004</v>
      </c>
      <c r="Q441" s="27">
        <f t="shared" si="25"/>
        <v>0.93100000000000016</v>
      </c>
      <c r="S441" s="16">
        <f>VLOOKUP(A441,[4]Sales!$E:$G,3,FALSE)</f>
        <v>115.92999999999999</v>
      </c>
      <c r="T441" s="19">
        <f>VLOOKUP(A441,[4]Volume!$E:$G,3,FALSE)</f>
        <v>5.6</v>
      </c>
      <c r="U441" s="19">
        <f>VLOOKUP(A441,[4]Piece!$E:$G,3,FALSE)</f>
        <v>7</v>
      </c>
      <c r="V441" s="21">
        <f t="shared" si="26"/>
        <v>122.84545000000003</v>
      </c>
      <c r="W441" s="16">
        <f t="shared" si="27"/>
        <v>6.9154500000000354</v>
      </c>
    </row>
    <row r="442" spans="1:23" hidden="1" x14ac:dyDescent="0.3">
      <c r="A442" s="22" t="s">
        <v>896</v>
      </c>
      <c r="B442" s="22" t="s">
        <v>896</v>
      </c>
      <c r="C442" s="23" t="s">
        <v>33</v>
      </c>
      <c r="D442" s="20" t="s">
        <v>34</v>
      </c>
      <c r="E442" s="22" t="s">
        <v>897</v>
      </c>
      <c r="F442" s="24" t="str">
        <f t="shared" si="24"/>
        <v>PPG - Leyland GLOSS - Black - 5ltr</v>
      </c>
      <c r="G442" s="23" t="s">
        <v>5318</v>
      </c>
      <c r="H442" s="25" t="s">
        <v>36</v>
      </c>
      <c r="I442" s="18" t="s">
        <v>37</v>
      </c>
      <c r="J442" s="18" t="s">
        <v>38</v>
      </c>
      <c r="K442" t="s">
        <v>39</v>
      </c>
      <c r="L442" s="26">
        <f>VLOOKUP(A442,'[3]Price info'!A:D,4,FALSE)</f>
        <v>16.71</v>
      </c>
      <c r="M442" s="18" t="s">
        <v>40</v>
      </c>
      <c r="N442" s="20">
        <v>3105</v>
      </c>
      <c r="P442" s="16">
        <f>VLOOKUP(A442,'[3]Price info'!A:H,8,FALSE)</f>
        <v>22.93</v>
      </c>
      <c r="Q442" s="27">
        <f t="shared" si="25"/>
        <v>1.3722321962896469</v>
      </c>
      <c r="S442" s="16">
        <f>VLOOKUP(A442,[4]Sales!$E:$G,3,FALSE)</f>
        <v>221.13</v>
      </c>
      <c r="T442" s="19">
        <f>VLOOKUP(A442,[4]Volume!$E:$G,3,FALSE)</f>
        <v>55</v>
      </c>
      <c r="U442" s="19">
        <f>VLOOKUP(A442,[4]Piece!$E:$G,3,FALSE)</f>
        <v>11</v>
      </c>
      <c r="V442" s="21">
        <f t="shared" si="26"/>
        <v>252.23</v>
      </c>
      <c r="W442" s="16">
        <f t="shared" si="27"/>
        <v>31.099999999999994</v>
      </c>
    </row>
    <row r="443" spans="1:23" hidden="1" x14ac:dyDescent="0.3">
      <c r="A443" s="46" t="s">
        <v>898</v>
      </c>
      <c r="B443" s="46" t="s">
        <v>898</v>
      </c>
      <c r="C443" s="51" t="s">
        <v>33</v>
      </c>
      <c r="D443" s="48" t="s">
        <v>34</v>
      </c>
      <c r="E443" s="18" t="s">
        <v>899</v>
      </c>
      <c r="F443" s="24" t="str">
        <f t="shared" si="24"/>
        <v>PPG - JST   OPAQUE W/FIN Z2         0000001197</v>
      </c>
      <c r="G443" s="20" t="s">
        <v>5319</v>
      </c>
      <c r="H443" s="49" t="s">
        <v>213</v>
      </c>
      <c r="I443" s="18" t="s">
        <v>37</v>
      </c>
      <c r="J443" s="18" t="s">
        <v>38</v>
      </c>
      <c r="K443" t="s">
        <v>39</v>
      </c>
      <c r="L443" s="50">
        <f>VLOOKUP(A443,'[3]Price info'!A:D,4,FALSE)</f>
        <v>38.69</v>
      </c>
      <c r="M443" s="18" t="s">
        <v>214</v>
      </c>
      <c r="N443" s="20">
        <v>3105</v>
      </c>
      <c r="P443" s="16">
        <f>VLOOKUP(A443,'[3]Price info'!A:H,8,FALSE)</f>
        <v>36.020389999999999</v>
      </c>
      <c r="Q443" s="17">
        <f t="shared" si="25"/>
        <v>0.93100000000000005</v>
      </c>
      <c r="S443" s="16">
        <f>VLOOKUP(A443,[4]Sales!$E:$G,3,FALSE)</f>
        <v>92.929999999999993</v>
      </c>
      <c r="T443" s="19">
        <f>VLOOKUP(A443,[4]Volume!$E:$G,3,FALSE)</f>
        <v>19.7</v>
      </c>
      <c r="U443" s="19">
        <f>VLOOKUP(A443,[4]Piece!$E:$G,3,FALSE)</f>
        <v>10</v>
      </c>
      <c r="V443" s="21">
        <f t="shared" si="26"/>
        <v>360.20389999999998</v>
      </c>
      <c r="W443" s="16">
        <f t="shared" si="27"/>
        <v>267.27389999999997</v>
      </c>
    </row>
    <row r="444" spans="1:23" hidden="1" x14ac:dyDescent="0.3">
      <c r="A444" s="46" t="s">
        <v>900</v>
      </c>
      <c r="B444" s="46" t="s">
        <v>900</v>
      </c>
      <c r="C444" s="47" t="s">
        <v>33</v>
      </c>
      <c r="D444" s="48" t="s">
        <v>34</v>
      </c>
      <c r="E444" s="18" t="s">
        <v>901</v>
      </c>
      <c r="F444" s="24" t="str">
        <f t="shared" si="24"/>
        <v>PPG - EASY  EASYTEX      10-038     SWIRL</v>
      </c>
      <c r="G444" s="20" t="s">
        <v>5320</v>
      </c>
      <c r="H444" s="49" t="s">
        <v>213</v>
      </c>
      <c r="I444" s="18" t="s">
        <v>37</v>
      </c>
      <c r="J444" s="18" t="s">
        <v>38</v>
      </c>
      <c r="K444" t="s">
        <v>39</v>
      </c>
      <c r="L444" s="50">
        <f>VLOOKUP(A444,'[3]Price info'!A:D,4,FALSE)</f>
        <v>5.18</v>
      </c>
      <c r="M444" s="18" t="s">
        <v>214</v>
      </c>
      <c r="N444" s="20">
        <v>3105</v>
      </c>
      <c r="P444" s="16">
        <f>VLOOKUP(A444,'[3]Price info'!A:H,8,FALSE)</f>
        <v>4.8225800000000003</v>
      </c>
      <c r="Q444" s="17">
        <f t="shared" si="25"/>
        <v>0.93100000000000016</v>
      </c>
      <c r="S444" s="16" t="e">
        <f>VLOOKUP(A444,[4]Sales!$E:$G,3,FALSE)</f>
        <v>#N/A</v>
      </c>
      <c r="T444" s="19" t="e">
        <f>VLOOKUP(A444,[4]Volume!$E:$G,3,FALSE)</f>
        <v>#N/A</v>
      </c>
      <c r="U444" s="19" t="e">
        <f>VLOOKUP(A444,[4]Piece!$E:$G,3,FALSE)</f>
        <v>#N/A</v>
      </c>
      <c r="V444" s="21" t="e">
        <f t="shared" si="26"/>
        <v>#N/A</v>
      </c>
      <c r="W444" s="16" t="e">
        <f t="shared" si="27"/>
        <v>#N/A</v>
      </c>
    </row>
    <row r="445" spans="1:23" hidden="1" x14ac:dyDescent="0.3">
      <c r="A445" s="46" t="s">
        <v>902</v>
      </c>
      <c r="B445" s="46" t="s">
        <v>902</v>
      </c>
      <c r="C445" s="47" t="s">
        <v>33</v>
      </c>
      <c r="D445" s="48" t="s">
        <v>34</v>
      </c>
      <c r="E445" s="18" t="s">
        <v>903</v>
      </c>
      <c r="F445" s="24" t="str">
        <f t="shared" si="24"/>
        <v>PPG - G&amp;B   FRESCO 19782 CARRERA    PG.HS</v>
      </c>
      <c r="G445" s="20" t="s">
        <v>5321</v>
      </c>
      <c r="H445" s="49" t="s">
        <v>213</v>
      </c>
      <c r="I445" s="18" t="s">
        <v>37</v>
      </c>
      <c r="J445" s="18" t="s">
        <v>38</v>
      </c>
      <c r="K445" t="s">
        <v>39</v>
      </c>
      <c r="L445" s="50">
        <f>VLOOKUP(A445,'[3]Price info'!A:D,4,FALSE)</f>
        <v>8.9700000000000006</v>
      </c>
      <c r="M445" s="18" t="s">
        <v>214</v>
      </c>
      <c r="N445" s="20">
        <v>3105</v>
      </c>
      <c r="P445" s="16">
        <f>VLOOKUP(A445,'[3]Price info'!A:H,8,FALSE)</f>
        <v>8.3930000000000007</v>
      </c>
      <c r="Q445" s="17">
        <f t="shared" si="25"/>
        <v>0.93567447045707919</v>
      </c>
      <c r="S445" s="16" t="e">
        <f>VLOOKUP(A445,[4]Sales!$E:$G,3,FALSE)</f>
        <v>#N/A</v>
      </c>
      <c r="T445" s="19" t="e">
        <f>VLOOKUP(A445,[4]Volume!$E:$G,3,FALSE)</f>
        <v>#N/A</v>
      </c>
      <c r="U445" s="19" t="e">
        <f>VLOOKUP(A445,[4]Piece!$E:$G,3,FALSE)</f>
        <v>#N/A</v>
      </c>
      <c r="V445" s="21" t="e">
        <f t="shared" si="26"/>
        <v>#N/A</v>
      </c>
      <c r="W445" s="16" t="e">
        <f t="shared" si="27"/>
        <v>#N/A</v>
      </c>
    </row>
    <row r="446" spans="1:23" hidden="1" x14ac:dyDescent="0.3">
      <c r="A446" s="22" t="s">
        <v>904</v>
      </c>
      <c r="B446" s="22" t="s">
        <v>904</v>
      </c>
      <c r="C446" s="23" t="s">
        <v>33</v>
      </c>
      <c r="D446" s="20" t="s">
        <v>34</v>
      </c>
      <c r="E446" s="22" t="s">
        <v>905</v>
      </c>
      <c r="F446" s="24" t="str">
        <f t="shared" si="24"/>
        <v>PPG - Leyland TG SMOOTH MASONRY- BW - 5ltr</v>
      </c>
      <c r="G446" s="23" t="s">
        <v>5322</v>
      </c>
      <c r="H446" s="25" t="s">
        <v>36</v>
      </c>
      <c r="I446" s="18" t="s">
        <v>37</v>
      </c>
      <c r="J446" s="18" t="s">
        <v>38</v>
      </c>
      <c r="K446" t="s">
        <v>39</v>
      </c>
      <c r="L446" s="26">
        <f>VLOOKUP(A446,'[3]Price info'!A:D,4,FALSE)</f>
        <v>15.18</v>
      </c>
      <c r="M446" s="18" t="s">
        <v>40</v>
      </c>
      <c r="N446" s="20">
        <v>3105</v>
      </c>
      <c r="P446" s="16">
        <f>VLOOKUP(A446,'[3]Price info'!A:H,8,FALSE)</f>
        <v>14.132580000000001</v>
      </c>
      <c r="Q446" s="27">
        <f t="shared" si="25"/>
        <v>0.93100000000000005</v>
      </c>
      <c r="S446" s="16">
        <f>VLOOKUP(A446,[4]Sales!$E:$G,3,FALSE)</f>
        <v>706.5</v>
      </c>
      <c r="T446" s="19">
        <f>VLOOKUP(A446,[4]Volume!$E:$G,3,FALSE)</f>
        <v>255</v>
      </c>
      <c r="U446" s="19">
        <f>VLOOKUP(A446,[4]Piece!$E:$G,3,FALSE)</f>
        <v>51</v>
      </c>
      <c r="V446" s="21">
        <f t="shared" si="26"/>
        <v>720.76158000000009</v>
      </c>
      <c r="W446" s="16">
        <f t="shared" si="27"/>
        <v>14.261580000000095</v>
      </c>
    </row>
    <row r="447" spans="1:23" hidden="1" x14ac:dyDescent="0.3">
      <c r="A447" s="22" t="s">
        <v>906</v>
      </c>
      <c r="B447" s="22" t="s">
        <v>906</v>
      </c>
      <c r="C447" s="23" t="s">
        <v>33</v>
      </c>
      <c r="D447" s="20" t="s">
        <v>34</v>
      </c>
      <c r="E447" s="22" t="s">
        <v>907</v>
      </c>
      <c r="F447" s="24" t="str">
        <f t="shared" si="24"/>
        <v>PPG - ProGold REPLACE SNAP KNIFE BLADE 18MM</v>
      </c>
      <c r="G447" s="23" t="s">
        <v>5323</v>
      </c>
      <c r="H447" s="25" t="s">
        <v>36</v>
      </c>
      <c r="I447" s="18" t="s">
        <v>37</v>
      </c>
      <c r="J447" s="18" t="s">
        <v>38</v>
      </c>
      <c r="K447" t="s">
        <v>39</v>
      </c>
      <c r="L447" s="26">
        <f>VLOOKUP(A447,'[3]Price info'!A:D,4,FALSE)</f>
        <v>2.15</v>
      </c>
      <c r="M447" s="18" t="s">
        <v>40</v>
      </c>
      <c r="N447" s="20">
        <v>3105</v>
      </c>
      <c r="P447" s="16">
        <f>VLOOKUP(A447,'[3]Price info'!A:H,8,FALSE)</f>
        <v>2.0016500000000002</v>
      </c>
      <c r="Q447" s="27">
        <f t="shared" si="25"/>
        <v>0.93100000000000016</v>
      </c>
      <c r="S447" s="16">
        <f>VLOOKUP(A447,[4]Sales!$E:$G,3,FALSE)</f>
        <v>181.15</v>
      </c>
      <c r="T447" s="19">
        <f>VLOOKUP(A447,[4]Volume!$E:$G,3,FALSE)</f>
        <v>88</v>
      </c>
      <c r="U447" s="19">
        <f>VLOOKUP(A447,[4]Piece!$E:$G,3,FALSE)</f>
        <v>88</v>
      </c>
      <c r="V447" s="21">
        <f t="shared" si="26"/>
        <v>176.14520000000002</v>
      </c>
      <c r="W447" s="16">
        <f t="shared" si="27"/>
        <v>-5.0047999999999888</v>
      </c>
    </row>
    <row r="448" spans="1:23" hidden="1" x14ac:dyDescent="0.3">
      <c r="A448" s="22" t="s">
        <v>908</v>
      </c>
      <c r="B448" s="22" t="s">
        <v>908</v>
      </c>
      <c r="C448" s="23" t="s">
        <v>33</v>
      </c>
      <c r="D448" s="20" t="s">
        <v>34</v>
      </c>
      <c r="E448" s="22" t="s">
        <v>909</v>
      </c>
      <c r="F448" s="24" t="str">
        <f t="shared" si="24"/>
        <v>PPG - Leyland VINYL SILK - Mix - 5ltr</v>
      </c>
      <c r="G448" s="23" t="s">
        <v>5324</v>
      </c>
      <c r="H448" s="25" t="s">
        <v>36</v>
      </c>
      <c r="I448" s="18" t="s">
        <v>37</v>
      </c>
      <c r="J448" s="18" t="s">
        <v>38</v>
      </c>
      <c r="K448" t="s">
        <v>39</v>
      </c>
      <c r="L448" s="26">
        <f>VLOOKUP(A448,'[3]Price info'!A:D,4,FALSE)</f>
        <v>11.62</v>
      </c>
      <c r="M448" s="18" t="s">
        <v>40</v>
      </c>
      <c r="N448" s="20">
        <v>3105</v>
      </c>
      <c r="P448" s="16">
        <f>VLOOKUP(A448,'[3]Price info'!A:H,8,FALSE)</f>
        <v>13.94</v>
      </c>
      <c r="Q448" s="27">
        <f t="shared" si="25"/>
        <v>1.1996557659208262</v>
      </c>
      <c r="S448" s="16">
        <f>VLOOKUP(A448,[4]Sales!$E:$G,3,FALSE)</f>
        <v>72.040000000000006</v>
      </c>
      <c r="T448" s="19">
        <f>VLOOKUP(A448,[4]Volume!$E:$G,3,FALSE)</f>
        <v>30</v>
      </c>
      <c r="U448" s="19">
        <f>VLOOKUP(A448,[4]Piece!$E:$G,3,FALSE)</f>
        <v>6</v>
      </c>
      <c r="V448" s="21">
        <f t="shared" si="26"/>
        <v>83.64</v>
      </c>
      <c r="W448" s="16">
        <f t="shared" si="27"/>
        <v>11.599999999999994</v>
      </c>
    </row>
    <row r="449" spans="1:23" hidden="1" x14ac:dyDescent="0.3">
      <c r="A449" s="46" t="s">
        <v>910</v>
      </c>
      <c r="B449" s="46" t="s">
        <v>910</v>
      </c>
      <c r="C449" s="51" t="s">
        <v>33</v>
      </c>
      <c r="D449" s="48" t="s">
        <v>34</v>
      </c>
      <c r="E449" s="93" t="s">
        <v>7384</v>
      </c>
      <c r="F449" s="24" t="str">
        <f t="shared" si="24"/>
        <v>PPG - Mirka Hiomant 115mm x 10m P80</v>
      </c>
      <c r="G449" s="20" t="s">
        <v>5325</v>
      </c>
      <c r="H449" s="49" t="s">
        <v>213</v>
      </c>
      <c r="I449" s="18" t="s">
        <v>37</v>
      </c>
      <c r="J449" s="18" t="s">
        <v>38</v>
      </c>
      <c r="K449" t="s">
        <v>39</v>
      </c>
      <c r="L449" s="50">
        <f>VLOOKUP(A449,'[3]Price info'!A:D,4,FALSE)</f>
        <v>12.6</v>
      </c>
      <c r="M449" s="18" t="s">
        <v>214</v>
      </c>
      <c r="N449" s="20">
        <v>3105</v>
      </c>
      <c r="P449" s="16">
        <v>6.78</v>
      </c>
      <c r="Q449" s="17">
        <f t="shared" si="25"/>
        <v>0.53809523809523818</v>
      </c>
      <c r="S449" s="16">
        <f>VLOOKUP(A449,[4]Sales!$E:$G,3,FALSE)</f>
        <v>110.89</v>
      </c>
      <c r="T449" s="19">
        <f>VLOOKUP(A449,[4]Volume!$E:$G,3,FALSE)</f>
        <v>9</v>
      </c>
      <c r="U449" s="19">
        <f>VLOOKUP(A449,[4]Piece!$E:$G,3,FALSE)</f>
        <v>9</v>
      </c>
      <c r="V449" s="21">
        <f t="shared" si="26"/>
        <v>61.02</v>
      </c>
      <c r="W449" s="16">
        <f t="shared" si="27"/>
        <v>-49.87</v>
      </c>
    </row>
    <row r="450" spans="1:23" hidden="1" x14ac:dyDescent="0.3">
      <c r="A450" s="22" t="s">
        <v>911</v>
      </c>
      <c r="B450" s="22" t="s">
        <v>911</v>
      </c>
      <c r="C450" s="23" t="s">
        <v>33</v>
      </c>
      <c r="D450" s="20" t="s">
        <v>34</v>
      </c>
      <c r="E450" s="22" t="s">
        <v>116</v>
      </c>
      <c r="F450" s="24" t="str">
        <f t="shared" si="24"/>
        <v>PPG - Stormshield SMOOTH MASONRY - Mushroom - 5ltr</v>
      </c>
      <c r="G450" s="23" t="s">
        <v>4936</v>
      </c>
      <c r="H450" s="25" t="s">
        <v>36</v>
      </c>
      <c r="I450" s="18" t="s">
        <v>37</v>
      </c>
      <c r="J450" s="18" t="s">
        <v>38</v>
      </c>
      <c r="K450" t="s">
        <v>39</v>
      </c>
      <c r="L450" s="26">
        <f>VLOOKUP(A450,'[3]Price info'!A:D,4,FALSE)</f>
        <v>17.84</v>
      </c>
      <c r="M450" s="18" t="s">
        <v>40</v>
      </c>
      <c r="N450" s="20">
        <v>3105</v>
      </c>
      <c r="P450" s="16">
        <f>VLOOKUP(A450,'[3]Price info'!A:H,8,FALSE)</f>
        <v>16.60904</v>
      </c>
      <c r="Q450" s="27">
        <f t="shared" si="25"/>
        <v>0.93100000000000005</v>
      </c>
      <c r="S450" s="16">
        <f>VLOOKUP(A450,[4]Sales!$E:$G,3,FALSE)</f>
        <v>17.84</v>
      </c>
      <c r="T450" s="19">
        <f>VLOOKUP(A450,[4]Volume!$E:$G,3,FALSE)</f>
        <v>5</v>
      </c>
      <c r="U450" s="19">
        <f>VLOOKUP(A450,[4]Piece!$E:$G,3,FALSE)</f>
        <v>1</v>
      </c>
      <c r="V450" s="21">
        <f t="shared" si="26"/>
        <v>16.60904</v>
      </c>
      <c r="W450" s="16">
        <f t="shared" si="27"/>
        <v>-1.2309599999999996</v>
      </c>
    </row>
    <row r="451" spans="1:23" hidden="1" x14ac:dyDescent="0.3">
      <c r="A451" s="22" t="s">
        <v>912</v>
      </c>
      <c r="B451" s="22" t="s">
        <v>912</v>
      </c>
      <c r="C451" s="23" t="s">
        <v>33</v>
      </c>
      <c r="D451" s="20" t="s">
        <v>34</v>
      </c>
      <c r="E451" s="22" t="s">
        <v>913</v>
      </c>
      <c r="F451" s="24" t="str">
        <f t="shared" ref="F451:F514" si="28">D451&amp;" - "&amp;E451</f>
        <v>PPG - Johnstones SHED &amp; FENCE - Dark C'Nut - 9ltr</v>
      </c>
      <c r="G451" s="23" t="s">
        <v>5326</v>
      </c>
      <c r="H451" s="25" t="s">
        <v>36</v>
      </c>
      <c r="I451" s="18" t="s">
        <v>37</v>
      </c>
      <c r="J451" s="18" t="s">
        <v>38</v>
      </c>
      <c r="K451" t="s">
        <v>39</v>
      </c>
      <c r="L451" s="26">
        <f>VLOOKUP(A451,'[3]Price info'!A:D,4,FALSE)</f>
        <v>14.38</v>
      </c>
      <c r="M451" s="18" t="s">
        <v>40</v>
      </c>
      <c r="N451" s="20">
        <v>3105</v>
      </c>
      <c r="P451" s="16">
        <f>VLOOKUP(A451,'[3]Price info'!A:H,8,FALSE)</f>
        <v>13.387780000000001</v>
      </c>
      <c r="Q451" s="27">
        <f t="shared" ref="Q451:Q514" si="29">P451/L451</f>
        <v>0.93100000000000005</v>
      </c>
      <c r="S451" s="16">
        <f>VLOOKUP(A451,[4]Sales!$E:$G,3,FALSE)</f>
        <v>181</v>
      </c>
      <c r="T451" s="19">
        <f>VLOOKUP(A451,[4]Volume!$E:$G,3,FALSE)</f>
        <v>117</v>
      </c>
      <c r="U451" s="19">
        <f>VLOOKUP(A451,[4]Piece!$E:$G,3,FALSE)</f>
        <v>13</v>
      </c>
      <c r="V451" s="21">
        <f t="shared" ref="V451:V514" si="30">U451*P451</f>
        <v>174.04114000000001</v>
      </c>
      <c r="W451" s="16">
        <f t="shared" ref="W451:W514" si="31">V451-S451</f>
        <v>-6.9588599999999872</v>
      </c>
    </row>
    <row r="452" spans="1:23" hidden="1" x14ac:dyDescent="0.3">
      <c r="A452" s="22" t="s">
        <v>914</v>
      </c>
      <c r="B452" s="22" t="s">
        <v>914</v>
      </c>
      <c r="C452" s="23" t="s">
        <v>33</v>
      </c>
      <c r="D452" s="20" t="s">
        <v>34</v>
      </c>
      <c r="E452" s="22" t="s">
        <v>915</v>
      </c>
      <c r="F452" s="24" t="str">
        <f t="shared" si="28"/>
        <v>PPG - Johnstones CLEANER &amp; DEGREASER - Clear - 5l</v>
      </c>
      <c r="G452" s="23" t="s">
        <v>5327</v>
      </c>
      <c r="H452" s="25" t="s">
        <v>36</v>
      </c>
      <c r="I452" s="18" t="s">
        <v>37</v>
      </c>
      <c r="J452" s="18" t="s">
        <v>38</v>
      </c>
      <c r="K452" t="s">
        <v>39</v>
      </c>
      <c r="L452" s="26">
        <f>VLOOKUP(A452,'[3]Price info'!A:D,4,FALSE)</f>
        <v>16.16</v>
      </c>
      <c r="M452" s="18" t="s">
        <v>40</v>
      </c>
      <c r="N452" s="20">
        <v>3105</v>
      </c>
      <c r="P452" s="16">
        <f>VLOOKUP(A452,'[3]Price info'!A:H,8,FALSE)</f>
        <v>15.044960000000001</v>
      </c>
      <c r="Q452" s="27">
        <f t="shared" si="29"/>
        <v>0.93100000000000005</v>
      </c>
      <c r="S452" s="16">
        <f>VLOOKUP(A452,[4]Sales!$E:$G,3,FALSE)</f>
        <v>49.47</v>
      </c>
      <c r="T452" s="19">
        <f>VLOOKUP(A452,[4]Volume!$E:$G,3,FALSE)</f>
        <v>20</v>
      </c>
      <c r="U452" s="19">
        <f>VLOOKUP(A452,[4]Piece!$E:$G,3,FALSE)</f>
        <v>4</v>
      </c>
      <c r="V452" s="21">
        <f t="shared" si="30"/>
        <v>60.179840000000006</v>
      </c>
      <c r="W452" s="16">
        <f t="shared" si="31"/>
        <v>10.709840000000007</v>
      </c>
    </row>
    <row r="453" spans="1:23" hidden="1" x14ac:dyDescent="0.3">
      <c r="A453" s="22" t="s">
        <v>916</v>
      </c>
      <c r="B453" s="22" t="s">
        <v>916</v>
      </c>
      <c r="C453" s="23" t="s">
        <v>33</v>
      </c>
      <c r="D453" s="20" t="s">
        <v>34</v>
      </c>
      <c r="E453" s="22" t="s">
        <v>917</v>
      </c>
      <c r="F453" s="24" t="str">
        <f t="shared" si="28"/>
        <v>PPG - Woodworks POLY VARNISH - GLOSS Clear - 5l</v>
      </c>
      <c r="G453" s="23" t="s">
        <v>5328</v>
      </c>
      <c r="H453" s="25" t="s">
        <v>36</v>
      </c>
      <c r="I453" s="18" t="s">
        <v>37</v>
      </c>
      <c r="J453" s="18" t="s">
        <v>38</v>
      </c>
      <c r="K453" t="s">
        <v>39</v>
      </c>
      <c r="L453" s="26">
        <f>VLOOKUP(A453,'[3]Price info'!A:D,4,FALSE)</f>
        <v>28.15</v>
      </c>
      <c r="M453" s="18" t="s">
        <v>40</v>
      </c>
      <c r="N453" s="20">
        <v>3105</v>
      </c>
      <c r="P453" s="16">
        <f>VLOOKUP(A453,'[3]Price info'!A:H,8,FALSE)</f>
        <v>26.207650000000001</v>
      </c>
      <c r="Q453" s="27">
        <f t="shared" si="29"/>
        <v>0.93100000000000005</v>
      </c>
      <c r="S453" s="16">
        <f>VLOOKUP(A453,[4]Sales!$E:$G,3,FALSE)</f>
        <v>442.86</v>
      </c>
      <c r="T453" s="19">
        <f>VLOOKUP(A453,[4]Volume!$E:$G,3,FALSE)</f>
        <v>80</v>
      </c>
      <c r="U453" s="19">
        <f>VLOOKUP(A453,[4]Piece!$E:$G,3,FALSE)</f>
        <v>16</v>
      </c>
      <c r="V453" s="21">
        <f t="shared" si="30"/>
        <v>419.32240000000002</v>
      </c>
      <c r="W453" s="16">
        <f t="shared" si="31"/>
        <v>-23.537599999999998</v>
      </c>
    </row>
    <row r="454" spans="1:23" hidden="1" x14ac:dyDescent="0.3">
      <c r="A454" s="22" t="s">
        <v>918</v>
      </c>
      <c r="B454" s="22" t="s">
        <v>918</v>
      </c>
      <c r="C454" s="23" t="s">
        <v>33</v>
      </c>
      <c r="D454" s="20" t="s">
        <v>34</v>
      </c>
      <c r="E454" s="22" t="s">
        <v>919</v>
      </c>
      <c r="F454" s="24" t="str">
        <f t="shared" si="28"/>
        <v>PPG - Johnstones QD Woodstain - Teak - 2.5l</v>
      </c>
      <c r="G454" s="23" t="s">
        <v>5329</v>
      </c>
      <c r="H454" s="25" t="s">
        <v>36</v>
      </c>
      <c r="I454" s="18" t="s">
        <v>37</v>
      </c>
      <c r="J454" s="18" t="s">
        <v>38</v>
      </c>
      <c r="K454" t="s">
        <v>39</v>
      </c>
      <c r="L454" s="26">
        <f>VLOOKUP(A454,'[3]Price info'!A:D,4,FALSE)</f>
        <v>23.03</v>
      </c>
      <c r="M454" s="18" t="s">
        <v>40</v>
      </c>
      <c r="N454" s="20">
        <v>3105</v>
      </c>
      <c r="P454" s="16">
        <f>VLOOKUP(A454,'[3]Price info'!A:H,8,FALSE)</f>
        <v>21.440930000000002</v>
      </c>
      <c r="Q454" s="27">
        <f t="shared" si="29"/>
        <v>0.93100000000000005</v>
      </c>
      <c r="S454" s="16">
        <f>VLOOKUP(A454,[4]Sales!$E:$G,3,FALSE)</f>
        <v>242.20000000000002</v>
      </c>
      <c r="T454" s="19">
        <f>VLOOKUP(A454,[4]Volume!$E:$G,3,FALSE)</f>
        <v>27.5</v>
      </c>
      <c r="U454" s="19">
        <f>VLOOKUP(A454,[4]Piece!$E:$G,3,FALSE)</f>
        <v>11</v>
      </c>
      <c r="V454" s="21">
        <f t="shared" si="30"/>
        <v>235.85023000000001</v>
      </c>
      <c r="W454" s="16">
        <f t="shared" si="31"/>
        <v>-6.3497700000000066</v>
      </c>
    </row>
    <row r="455" spans="1:23" hidden="1" x14ac:dyDescent="0.3">
      <c r="A455" s="22" t="s">
        <v>920</v>
      </c>
      <c r="B455" s="22" t="s">
        <v>920</v>
      </c>
      <c r="C455" s="23" t="s">
        <v>33</v>
      </c>
      <c r="D455" s="20" t="s">
        <v>34</v>
      </c>
      <c r="E455" s="22" t="s">
        <v>921</v>
      </c>
      <c r="F455" s="24" t="str">
        <f t="shared" si="28"/>
        <v>PPG - Johnstones AQUA GLOSS - Bril White - 1ltr</v>
      </c>
      <c r="G455" s="23" t="s">
        <v>5330</v>
      </c>
      <c r="H455" s="25" t="s">
        <v>36</v>
      </c>
      <c r="I455" s="18" t="s">
        <v>37</v>
      </c>
      <c r="J455" s="18" t="s">
        <v>38</v>
      </c>
      <c r="K455" t="s">
        <v>39</v>
      </c>
      <c r="L455" s="26">
        <f>VLOOKUP(A455,'[3]Price info'!A:D,4,FALSE)</f>
        <v>8.8000000000000007</v>
      </c>
      <c r="M455" s="18" t="s">
        <v>40</v>
      </c>
      <c r="N455" s="20">
        <v>3105</v>
      </c>
      <c r="P455" s="16">
        <f>VLOOKUP(A455,'[3]Price info'!A:H,8,FALSE)</f>
        <v>8.8000000000000007</v>
      </c>
      <c r="Q455" s="27">
        <f t="shared" si="29"/>
        <v>1</v>
      </c>
      <c r="S455" s="16">
        <f>VLOOKUP(A455,[4]Sales!$E:$G,3,FALSE)</f>
        <v>325.60000000000002</v>
      </c>
      <c r="T455" s="19">
        <f>VLOOKUP(A455,[4]Volume!$E:$G,3,FALSE)</f>
        <v>37</v>
      </c>
      <c r="U455" s="19">
        <f>VLOOKUP(A455,[4]Piece!$E:$G,3,FALSE)</f>
        <v>37</v>
      </c>
      <c r="V455" s="21">
        <f t="shared" si="30"/>
        <v>325.60000000000002</v>
      </c>
      <c r="W455" s="16">
        <f t="shared" si="31"/>
        <v>0</v>
      </c>
    </row>
    <row r="456" spans="1:23" hidden="1" x14ac:dyDescent="0.3">
      <c r="A456" s="22" t="s">
        <v>922</v>
      </c>
      <c r="B456" s="22" t="s">
        <v>922</v>
      </c>
      <c r="C456" s="23" t="s">
        <v>33</v>
      </c>
      <c r="D456" s="20" t="s">
        <v>34</v>
      </c>
      <c r="E456" s="22" t="s">
        <v>923</v>
      </c>
      <c r="F456" s="24" t="str">
        <f t="shared" si="28"/>
        <v>PPG - ProGold CLASSIC HYBRID BRUSH 4"</v>
      </c>
      <c r="G456" s="23" t="s">
        <v>5331</v>
      </c>
      <c r="H456" s="25" t="s">
        <v>36</v>
      </c>
      <c r="I456" s="18" t="s">
        <v>37</v>
      </c>
      <c r="J456" s="18" t="s">
        <v>38</v>
      </c>
      <c r="K456" t="s">
        <v>39</v>
      </c>
      <c r="L456" s="26">
        <f>VLOOKUP(A456,'[3]Price info'!A:D,4,FALSE)</f>
        <v>6.44</v>
      </c>
      <c r="M456" s="18" t="s">
        <v>40</v>
      </c>
      <c r="N456" s="20">
        <v>3105</v>
      </c>
      <c r="P456" s="16">
        <f>VLOOKUP(A456,'[3]Price info'!A:H,8,FALSE)</f>
        <v>5.9956400000000007</v>
      </c>
      <c r="Q456" s="27">
        <f t="shared" si="29"/>
        <v>0.93100000000000005</v>
      </c>
      <c r="S456" s="16">
        <f>VLOOKUP(A456,[4]Sales!$E:$G,3,FALSE)</f>
        <v>177.68</v>
      </c>
      <c r="T456" s="19">
        <f>VLOOKUP(A456,[4]Volume!$E:$G,3,FALSE)</f>
        <v>28</v>
      </c>
      <c r="U456" s="19">
        <f>VLOOKUP(A456,[4]Piece!$E:$G,3,FALSE)</f>
        <v>28</v>
      </c>
      <c r="V456" s="21">
        <f t="shared" si="30"/>
        <v>167.87792000000002</v>
      </c>
      <c r="W456" s="16">
        <f t="shared" si="31"/>
        <v>-9.8020799999999895</v>
      </c>
    </row>
    <row r="457" spans="1:23" hidden="1" x14ac:dyDescent="0.3">
      <c r="A457" s="22" t="s">
        <v>924</v>
      </c>
      <c r="B457" s="22" t="s">
        <v>924</v>
      </c>
      <c r="C457" s="23" t="s">
        <v>33</v>
      </c>
      <c r="D457" s="20" t="s">
        <v>34</v>
      </c>
      <c r="E457" s="22" t="s">
        <v>925</v>
      </c>
      <c r="F457" s="24" t="str">
        <f t="shared" si="28"/>
        <v>PPG - Stormshield SELF CLEAN MASONRY - BW - 5ltr</v>
      </c>
      <c r="G457" s="23" t="s">
        <v>5332</v>
      </c>
      <c r="H457" s="25" t="s">
        <v>36</v>
      </c>
      <c r="I457" s="18" t="s">
        <v>37</v>
      </c>
      <c r="J457" s="18" t="s">
        <v>38</v>
      </c>
      <c r="K457" t="s">
        <v>39</v>
      </c>
      <c r="L457" s="26">
        <f>VLOOKUP(A457,'[3]Price info'!A:D,4,FALSE)</f>
        <v>49.84</v>
      </c>
      <c r="M457" s="18" t="s">
        <v>40</v>
      </c>
      <c r="N457" s="20">
        <v>3105</v>
      </c>
      <c r="P457" s="16">
        <f>VLOOKUP(A457,'[3]Price info'!A:H,8,FALSE)</f>
        <v>46.401040000000009</v>
      </c>
      <c r="Q457" s="27">
        <f t="shared" si="29"/>
        <v>0.93100000000000016</v>
      </c>
      <c r="S457" s="16">
        <f>VLOOKUP(A457,[4]Sales!$E:$G,3,FALSE)</f>
        <v>46.8</v>
      </c>
      <c r="T457" s="19">
        <f>VLOOKUP(A457,[4]Volume!$E:$G,3,FALSE)</f>
        <v>5</v>
      </c>
      <c r="U457" s="19">
        <f>VLOOKUP(A457,[4]Piece!$E:$G,3,FALSE)</f>
        <v>1</v>
      </c>
      <c r="V457" s="21">
        <f t="shared" si="30"/>
        <v>46.401040000000009</v>
      </c>
      <c r="W457" s="16">
        <f t="shared" si="31"/>
        <v>-0.39895999999998821</v>
      </c>
    </row>
    <row r="458" spans="1:23" hidden="1" x14ac:dyDescent="0.3">
      <c r="A458" s="22" t="s">
        <v>926</v>
      </c>
      <c r="B458" s="22" t="s">
        <v>926</v>
      </c>
      <c r="C458" s="23" t="s">
        <v>33</v>
      </c>
      <c r="D458" s="20" t="s">
        <v>34</v>
      </c>
      <c r="E458" s="22" t="s">
        <v>927</v>
      </c>
      <c r="F458" s="24" t="str">
        <f t="shared" si="28"/>
        <v>PPG - Johnstones ACRYLIC SATIN - Bril White 2.5ltr</v>
      </c>
      <c r="G458" s="23" t="s">
        <v>5333</v>
      </c>
      <c r="H458" s="25" t="s">
        <v>36</v>
      </c>
      <c r="I458" s="18" t="s">
        <v>37</v>
      </c>
      <c r="J458" s="18" t="s">
        <v>38</v>
      </c>
      <c r="K458" t="s">
        <v>39</v>
      </c>
      <c r="L458" s="26">
        <f>VLOOKUP(A458,'[3]Price info'!A:D,4,FALSE)</f>
        <v>15.58</v>
      </c>
      <c r="M458" s="18" t="s">
        <v>40</v>
      </c>
      <c r="N458" s="20">
        <v>3105</v>
      </c>
      <c r="P458" s="16">
        <f>VLOOKUP(A458,'[3]Price info'!A:H,8,FALSE)</f>
        <v>14.504980000000002</v>
      </c>
      <c r="Q458" s="27">
        <f t="shared" si="29"/>
        <v>0.93100000000000005</v>
      </c>
      <c r="S458" s="16">
        <f>VLOOKUP(A458,[4]Sales!$E:$G,3,FALSE)</f>
        <v>165.48000000000002</v>
      </c>
      <c r="T458" s="19">
        <f>VLOOKUP(A458,[4]Volume!$E:$G,3,FALSE)</f>
        <v>30</v>
      </c>
      <c r="U458" s="19">
        <f>VLOOKUP(A458,[4]Piece!$E:$G,3,FALSE)</f>
        <v>12</v>
      </c>
      <c r="V458" s="21">
        <f t="shared" si="30"/>
        <v>174.05976000000001</v>
      </c>
      <c r="W458" s="16">
        <f t="shared" si="31"/>
        <v>8.5797599999999932</v>
      </c>
    </row>
    <row r="459" spans="1:23" hidden="1" x14ac:dyDescent="0.3">
      <c r="A459" s="36" t="s">
        <v>928</v>
      </c>
      <c r="B459" s="36" t="s">
        <v>928</v>
      </c>
      <c r="C459" s="23" t="s">
        <v>33</v>
      </c>
      <c r="D459" s="20" t="s">
        <v>34</v>
      </c>
      <c r="E459" s="22" t="s">
        <v>929</v>
      </c>
      <c r="F459" s="24" t="str">
        <f t="shared" si="28"/>
        <v>PPG - PURDY MON 01C      BRUSH SET  CONTENTS 1</v>
      </c>
      <c r="G459" s="36" t="s">
        <v>5334</v>
      </c>
      <c r="H459" s="25" t="s">
        <v>36</v>
      </c>
      <c r="I459" s="18" t="s">
        <v>37</v>
      </c>
      <c r="J459" s="18" t="s">
        <v>38</v>
      </c>
      <c r="K459" t="s">
        <v>39</v>
      </c>
      <c r="L459" s="26">
        <f>VLOOKUP(A459,'[3]Price info'!A:D,4,FALSE)</f>
        <v>22.9</v>
      </c>
      <c r="M459" s="18" t="s">
        <v>40</v>
      </c>
      <c r="N459" s="20">
        <v>3105</v>
      </c>
      <c r="P459" s="16">
        <f>VLOOKUP(A459,'[3]Price info'!A:H,8,FALSE)</f>
        <v>21.319900000000001</v>
      </c>
      <c r="Q459" s="27">
        <f t="shared" si="29"/>
        <v>0.93100000000000005</v>
      </c>
      <c r="S459" s="16">
        <f>VLOOKUP(A459,[4]Sales!$E:$G,3,FALSE)</f>
        <v>64.319999999999993</v>
      </c>
      <c r="T459" s="19">
        <f>VLOOKUP(A459,[4]Volume!$E:$G,3,FALSE)</f>
        <v>3</v>
      </c>
      <c r="U459" s="19">
        <f>VLOOKUP(A459,[4]Piece!$E:$G,3,FALSE)</f>
        <v>3</v>
      </c>
      <c r="V459" s="21">
        <f t="shared" si="30"/>
        <v>63.959699999999998</v>
      </c>
      <c r="W459" s="16">
        <f t="shared" si="31"/>
        <v>-0.36029999999999518</v>
      </c>
    </row>
    <row r="460" spans="1:23" hidden="1" x14ac:dyDescent="0.3">
      <c r="A460" s="22" t="s">
        <v>930</v>
      </c>
      <c r="B460" s="22" t="s">
        <v>930</v>
      </c>
      <c r="C460" s="23" t="s">
        <v>33</v>
      </c>
      <c r="D460" s="20" t="s">
        <v>34</v>
      </c>
      <c r="E460" s="22" t="s">
        <v>931</v>
      </c>
      <c r="F460" s="24" t="str">
        <f t="shared" si="28"/>
        <v>PPG - Johnstones  AGRICULTURAL OXIDE - Grey - 5ltr</v>
      </c>
      <c r="G460" s="23" t="s">
        <v>5335</v>
      </c>
      <c r="H460" s="25" t="s">
        <v>36</v>
      </c>
      <c r="I460" s="18" t="s">
        <v>37</v>
      </c>
      <c r="J460" s="18" t="s">
        <v>38</v>
      </c>
      <c r="K460" t="s">
        <v>39</v>
      </c>
      <c r="L460" s="26">
        <f>VLOOKUP(A460,'[3]Price info'!A:D,4,FALSE)</f>
        <v>48.28</v>
      </c>
      <c r="M460" s="18" t="s">
        <v>40</v>
      </c>
      <c r="N460" s="20">
        <v>3105</v>
      </c>
      <c r="P460" s="16">
        <f>VLOOKUP(A460,'[3]Price info'!A:H,8,FALSE)</f>
        <v>44.948680000000003</v>
      </c>
      <c r="Q460" s="27">
        <f t="shared" si="29"/>
        <v>0.93100000000000005</v>
      </c>
      <c r="S460" s="16">
        <f>VLOOKUP(A460,[4]Sales!$E:$G,3,FALSE)</f>
        <v>138.18</v>
      </c>
      <c r="T460" s="19">
        <f>VLOOKUP(A460,[4]Volume!$E:$G,3,FALSE)</f>
        <v>15</v>
      </c>
      <c r="U460" s="19">
        <f>VLOOKUP(A460,[4]Piece!$E:$G,3,FALSE)</f>
        <v>3</v>
      </c>
      <c r="V460" s="21">
        <f t="shared" si="30"/>
        <v>134.84604000000002</v>
      </c>
      <c r="W460" s="16">
        <f t="shared" si="31"/>
        <v>-3.3339599999999905</v>
      </c>
    </row>
    <row r="461" spans="1:23" hidden="1" x14ac:dyDescent="0.3">
      <c r="A461" s="22" t="s">
        <v>932</v>
      </c>
      <c r="B461" s="22" t="s">
        <v>932</v>
      </c>
      <c r="C461" s="23" t="s">
        <v>33</v>
      </c>
      <c r="D461" s="20" t="s">
        <v>34</v>
      </c>
      <c r="E461" s="22" t="s">
        <v>933</v>
      </c>
      <c r="F461" s="24" t="str">
        <f t="shared" si="28"/>
        <v>PPG - Johnstones MICROBAR-ACRYLIC MATT - BW - 5l</v>
      </c>
      <c r="G461" s="23" t="s">
        <v>5336</v>
      </c>
      <c r="H461" s="25" t="s">
        <v>36</v>
      </c>
      <c r="I461" s="18" t="s">
        <v>37</v>
      </c>
      <c r="J461" s="18" t="s">
        <v>38</v>
      </c>
      <c r="K461" t="s">
        <v>39</v>
      </c>
      <c r="L461" s="26">
        <f>VLOOKUP(A461,'[3]Price info'!A:D,4,FALSE)</f>
        <v>49.44</v>
      </c>
      <c r="M461" s="18" t="s">
        <v>40</v>
      </c>
      <c r="N461" s="20">
        <v>3105</v>
      </c>
      <c r="P461" s="16">
        <f>VLOOKUP(A461,'[3]Price info'!A:H,8,FALSE)</f>
        <v>46.028640000000003</v>
      </c>
      <c r="Q461" s="27">
        <f t="shared" si="29"/>
        <v>0.93100000000000005</v>
      </c>
      <c r="S461" s="16">
        <f>VLOOKUP(A461,[4]Sales!$E:$G,3,FALSE)</f>
        <v>1179.1999999999998</v>
      </c>
      <c r="T461" s="19">
        <f>VLOOKUP(A461,[4]Volume!$E:$G,3,FALSE)</f>
        <v>125</v>
      </c>
      <c r="U461" s="19">
        <f>VLOOKUP(A461,[4]Piece!$E:$G,3,FALSE)</f>
        <v>25</v>
      </c>
      <c r="V461" s="21">
        <f t="shared" si="30"/>
        <v>1150.7160000000001</v>
      </c>
      <c r="W461" s="16">
        <f t="shared" si="31"/>
        <v>-28.483999999999696</v>
      </c>
    </row>
    <row r="462" spans="1:23" hidden="1" x14ac:dyDescent="0.3">
      <c r="A462" s="46" t="s">
        <v>934</v>
      </c>
      <c r="B462" s="46" t="s">
        <v>934</v>
      </c>
      <c r="C462" s="47" t="s">
        <v>33</v>
      </c>
      <c r="D462" s="48" t="s">
        <v>34</v>
      </c>
      <c r="E462" s="18" t="s">
        <v>935</v>
      </c>
      <c r="F462" s="24" t="str">
        <f t="shared" si="28"/>
        <v>PPG - HAMIL HD TUNGSTEN CARBIDE SCRAPER 2"</v>
      </c>
      <c r="G462" s="20" t="s">
        <v>5337</v>
      </c>
      <c r="H462" s="49" t="s">
        <v>213</v>
      </c>
      <c r="I462" s="18" t="s">
        <v>37</v>
      </c>
      <c r="J462" s="18" t="s">
        <v>38</v>
      </c>
      <c r="K462" t="s">
        <v>39</v>
      </c>
      <c r="L462" s="50">
        <f>VLOOKUP(A462,'[3]Price info'!A:D,4,FALSE)</f>
        <v>10.91</v>
      </c>
      <c r="M462" s="18" t="s">
        <v>214</v>
      </c>
      <c r="N462" s="20">
        <v>3105</v>
      </c>
      <c r="P462" s="16">
        <f>VLOOKUP(A462,'[3]Price info'!A:H,8,FALSE)</f>
        <v>10.157210000000001</v>
      </c>
      <c r="Q462" s="17">
        <f t="shared" si="29"/>
        <v>0.93100000000000005</v>
      </c>
      <c r="S462" s="16">
        <f>VLOOKUP(A462,[4]Sales!$E:$G,3,FALSE)</f>
        <v>204.7</v>
      </c>
      <c r="T462" s="19">
        <f>VLOOKUP(A462,[4]Volume!$E:$G,3,FALSE)</f>
        <v>20</v>
      </c>
      <c r="U462" s="19">
        <f>VLOOKUP(A462,[4]Piece!$E:$G,3,FALSE)</f>
        <v>20</v>
      </c>
      <c r="V462" s="21">
        <f t="shared" si="30"/>
        <v>203.14420000000001</v>
      </c>
      <c r="W462" s="16">
        <f t="shared" si="31"/>
        <v>-1.5557999999999765</v>
      </c>
    </row>
    <row r="463" spans="1:23" hidden="1" x14ac:dyDescent="0.3">
      <c r="A463" s="22" t="s">
        <v>936</v>
      </c>
      <c r="B463" s="22" t="s">
        <v>936</v>
      </c>
      <c r="C463" s="23" t="s">
        <v>33</v>
      </c>
      <c r="D463" s="20" t="s">
        <v>34</v>
      </c>
      <c r="E463" s="22" t="s">
        <v>937</v>
      </c>
      <c r="F463" s="24" t="str">
        <f t="shared" si="28"/>
        <v>PPG - ProGold READY MIXED ALL PURPOSE FILLER 1kg</v>
      </c>
      <c r="G463" s="23" t="s">
        <v>5338</v>
      </c>
      <c r="H463" s="25" t="s">
        <v>36</v>
      </c>
      <c r="I463" s="18" t="s">
        <v>37</v>
      </c>
      <c r="J463" s="18" t="s">
        <v>38</v>
      </c>
      <c r="K463" t="s">
        <v>39</v>
      </c>
      <c r="L463" s="26">
        <f>VLOOKUP(A463,'[3]Price info'!A:D,4,FALSE)</f>
        <v>3.72</v>
      </c>
      <c r="M463" s="18" t="s">
        <v>40</v>
      </c>
      <c r="N463" s="20">
        <v>3105</v>
      </c>
      <c r="P463" s="16">
        <f>VLOOKUP(A463,'[3]Price info'!A:H,8,FALSE)</f>
        <v>3.4633200000000004</v>
      </c>
      <c r="Q463" s="27">
        <f t="shared" si="29"/>
        <v>0.93100000000000005</v>
      </c>
      <c r="S463" s="16">
        <f>VLOOKUP(A463,[4]Sales!$E:$G,3,FALSE)</f>
        <v>145.20999999999998</v>
      </c>
      <c r="T463" s="19">
        <f>VLOOKUP(A463,[4]Volume!$E:$G,3,FALSE)</f>
        <v>41</v>
      </c>
      <c r="U463" s="19">
        <f>VLOOKUP(A463,[4]Piece!$E:$G,3,FALSE)</f>
        <v>41</v>
      </c>
      <c r="V463" s="21">
        <f t="shared" si="30"/>
        <v>141.99612000000002</v>
      </c>
      <c r="W463" s="16">
        <f t="shared" si="31"/>
        <v>-3.2138799999999605</v>
      </c>
    </row>
    <row r="464" spans="1:23" hidden="1" x14ac:dyDescent="0.3">
      <c r="A464" s="22" t="s">
        <v>938</v>
      </c>
      <c r="B464" s="22" t="s">
        <v>938</v>
      </c>
      <c r="C464" s="23" t="s">
        <v>33</v>
      </c>
      <c r="D464" s="20" t="s">
        <v>34</v>
      </c>
      <c r="E464" s="22" t="s">
        <v>939</v>
      </c>
      <c r="F464" s="24" t="str">
        <f t="shared" si="28"/>
        <v>PPG - Leyland UNDERCOAT - Mix - 5ltr</v>
      </c>
      <c r="G464" s="23" t="s">
        <v>5339</v>
      </c>
      <c r="H464" s="25" t="s">
        <v>36</v>
      </c>
      <c r="I464" s="18" t="s">
        <v>37</v>
      </c>
      <c r="J464" s="18" t="s">
        <v>38</v>
      </c>
      <c r="K464" t="s">
        <v>39</v>
      </c>
      <c r="L464" s="26">
        <f>VLOOKUP(A464,'[3]Price info'!A:D,4,FALSE)</f>
        <v>16.71</v>
      </c>
      <c r="M464" s="18" t="s">
        <v>40</v>
      </c>
      <c r="N464" s="20">
        <v>3105</v>
      </c>
      <c r="P464" s="16">
        <f>VLOOKUP(A464,'[3]Price info'!A:H,8,FALSE)</f>
        <v>25.065000000000001</v>
      </c>
      <c r="Q464" s="27">
        <f t="shared" si="29"/>
        <v>1.5</v>
      </c>
      <c r="S464" s="16">
        <f>VLOOKUP(A464,[4]Sales!$E:$G,3,FALSE)</f>
        <v>233.98000000000002</v>
      </c>
      <c r="T464" s="19">
        <f>VLOOKUP(A464,[4]Volume!$E:$G,3,FALSE)</f>
        <v>50</v>
      </c>
      <c r="U464" s="19">
        <f>VLOOKUP(A464,[4]Piece!$E:$G,3,FALSE)</f>
        <v>10</v>
      </c>
      <c r="V464" s="21">
        <f t="shared" si="30"/>
        <v>250.65</v>
      </c>
      <c r="W464" s="16">
        <f t="shared" si="31"/>
        <v>16.669999999999987</v>
      </c>
    </row>
    <row r="465" spans="1:23" hidden="1" x14ac:dyDescent="0.3">
      <c r="A465" s="22" t="s">
        <v>940</v>
      </c>
      <c r="B465" s="22" t="s">
        <v>940</v>
      </c>
      <c r="C465" s="23" t="s">
        <v>33</v>
      </c>
      <c r="D465" s="20" t="s">
        <v>34</v>
      </c>
      <c r="E465" s="22" t="s">
        <v>941</v>
      </c>
      <c r="F465" s="24" t="str">
        <f t="shared" si="28"/>
        <v>PPG - ProGold DOUBLE ARM FRAME 12"</v>
      </c>
      <c r="G465" s="23" t="s">
        <v>5340</v>
      </c>
      <c r="H465" s="25" t="s">
        <v>36</v>
      </c>
      <c r="I465" s="18" t="s">
        <v>37</v>
      </c>
      <c r="J465" s="18" t="s">
        <v>38</v>
      </c>
      <c r="K465" t="s">
        <v>39</v>
      </c>
      <c r="L465" s="26">
        <f>VLOOKUP(A465,'[3]Price info'!A:D,4,FALSE)</f>
        <v>5.78</v>
      </c>
      <c r="M465" s="18" t="s">
        <v>40</v>
      </c>
      <c r="N465" s="20">
        <v>3105</v>
      </c>
      <c r="P465" s="16">
        <f>VLOOKUP(A465,'[3]Price info'!A:H,8,FALSE)</f>
        <v>6.3580000000000005</v>
      </c>
      <c r="Q465" s="27">
        <f t="shared" si="29"/>
        <v>1.1000000000000001</v>
      </c>
      <c r="S465" s="16">
        <f>VLOOKUP(A465,[4]Sales!$E:$G,3,FALSE)</f>
        <v>488.5</v>
      </c>
      <c r="T465" s="19">
        <f>VLOOKUP(A465,[4]Volume!$E:$G,3,FALSE)</f>
        <v>80</v>
      </c>
      <c r="U465" s="19">
        <f>VLOOKUP(A465,[4]Piece!$E:$G,3,FALSE)</f>
        <v>80</v>
      </c>
      <c r="V465" s="21">
        <f t="shared" si="30"/>
        <v>508.64000000000004</v>
      </c>
      <c r="W465" s="16">
        <f t="shared" si="31"/>
        <v>20.140000000000043</v>
      </c>
    </row>
    <row r="466" spans="1:23" hidden="1" x14ac:dyDescent="0.3">
      <c r="A466" s="46" t="s">
        <v>942</v>
      </c>
      <c r="B466" s="46" t="s">
        <v>942</v>
      </c>
      <c r="C466" s="47" t="s">
        <v>33</v>
      </c>
      <c r="D466" s="48" t="s">
        <v>34</v>
      </c>
      <c r="E466" s="18" t="s">
        <v>943</v>
      </c>
      <c r="F466" s="24" t="str">
        <f t="shared" si="28"/>
        <v>PPG - MGRR  FUNGICIDAL   WASH       0000001250</v>
      </c>
      <c r="G466" s="20" t="s">
        <v>5341</v>
      </c>
      <c r="H466" s="49" t="s">
        <v>213</v>
      </c>
      <c r="I466" s="18" t="s">
        <v>37</v>
      </c>
      <c r="J466" s="18" t="s">
        <v>38</v>
      </c>
      <c r="K466" t="s">
        <v>39</v>
      </c>
      <c r="L466" s="50">
        <f>VLOOKUP(A466,'[3]Price info'!A:D,4,FALSE)</f>
        <v>4.2</v>
      </c>
      <c r="M466" s="18" t="s">
        <v>214</v>
      </c>
      <c r="N466" s="20">
        <v>3105</v>
      </c>
      <c r="P466" s="16">
        <f>VLOOKUP(A466,'[3]Price info'!A:H,8,FALSE)</f>
        <v>3.9102000000000006</v>
      </c>
      <c r="Q466" s="17">
        <f t="shared" si="29"/>
        <v>0.93100000000000005</v>
      </c>
      <c r="S466" s="16">
        <f>VLOOKUP(A466,[4]Sales!$E:$G,3,FALSE)</f>
        <v>79.8</v>
      </c>
      <c r="T466" s="19">
        <f>VLOOKUP(A466,[4]Volume!$E:$G,3,FALSE)</f>
        <v>50</v>
      </c>
      <c r="U466" s="19">
        <f>VLOOKUP(A466,[4]Piece!$E:$G,3,FALSE)</f>
        <v>20</v>
      </c>
      <c r="V466" s="21">
        <f t="shared" si="30"/>
        <v>78.204000000000008</v>
      </c>
      <c r="W466" s="16">
        <f t="shared" si="31"/>
        <v>-1.5959999999999894</v>
      </c>
    </row>
    <row r="467" spans="1:23" hidden="1" x14ac:dyDescent="0.3">
      <c r="A467" s="53" t="s">
        <v>944</v>
      </c>
      <c r="B467" s="54" t="s">
        <v>944</v>
      </c>
      <c r="C467" s="47" t="s">
        <v>33</v>
      </c>
      <c r="D467" s="48" t="s">
        <v>34</v>
      </c>
      <c r="E467" s="22" t="s">
        <v>945</v>
      </c>
      <c r="F467" s="24" t="str">
        <f t="shared" si="28"/>
        <v>PPG - RODO WIRE BRUSH 4 ROW</v>
      </c>
      <c r="G467" s="20" t="s">
        <v>5342</v>
      </c>
      <c r="H467" s="25" t="s">
        <v>36</v>
      </c>
      <c r="I467" s="18" t="s">
        <v>37</v>
      </c>
      <c r="J467" s="18" t="s">
        <v>38</v>
      </c>
      <c r="K467" t="s">
        <v>39</v>
      </c>
      <c r="L467" s="26">
        <f>VLOOKUP(A467,'[3]Price info'!A:D,4,FALSE)</f>
        <v>1.74</v>
      </c>
      <c r="M467" s="18" t="s">
        <v>214</v>
      </c>
      <c r="N467" s="20">
        <v>3105</v>
      </c>
      <c r="P467" s="16">
        <f>VLOOKUP(A467,'[3]Price info'!A:H,8,FALSE)</f>
        <v>1.6199400000000002</v>
      </c>
      <c r="Q467" s="27">
        <f t="shared" si="29"/>
        <v>0.93100000000000005</v>
      </c>
      <c r="S467" s="16">
        <f>VLOOKUP(A467,[4]Sales!$E:$G,3,FALSE)</f>
        <v>244.63999999999996</v>
      </c>
      <c r="T467" s="19">
        <f>VLOOKUP(A467,[4]Volume!$E:$G,3,FALSE)</f>
        <v>145</v>
      </c>
      <c r="U467" s="19">
        <f>VLOOKUP(A467,[4]Piece!$E:$G,3,FALSE)</f>
        <v>145</v>
      </c>
      <c r="V467" s="21">
        <f t="shared" si="30"/>
        <v>234.89130000000003</v>
      </c>
      <c r="W467" s="16">
        <f t="shared" si="31"/>
        <v>-9.7486999999999284</v>
      </c>
    </row>
    <row r="468" spans="1:23" hidden="1" x14ac:dyDescent="0.3">
      <c r="A468" s="22" t="s">
        <v>946</v>
      </c>
      <c r="B468" s="22" t="s">
        <v>946</v>
      </c>
      <c r="C468" s="23" t="s">
        <v>33</v>
      </c>
      <c r="D468" s="20" t="s">
        <v>34</v>
      </c>
      <c r="E468" s="22" t="s">
        <v>947</v>
      </c>
      <c r="F468" s="24" t="str">
        <f t="shared" si="28"/>
        <v>PPG - ProGold LONG PILE POLYESTER ROLLER 9"</v>
      </c>
      <c r="G468" s="23" t="s">
        <v>5343</v>
      </c>
      <c r="H468" s="25" t="s">
        <v>36</v>
      </c>
      <c r="I468" s="18" t="s">
        <v>37</v>
      </c>
      <c r="J468" s="18" t="s">
        <v>38</v>
      </c>
      <c r="K468" t="s">
        <v>39</v>
      </c>
      <c r="L468" s="26">
        <f>VLOOKUP(A468,'[3]Price info'!A:D,4,FALSE)</f>
        <v>1.2</v>
      </c>
      <c r="M468" s="18" t="s">
        <v>40</v>
      </c>
      <c r="N468" s="20">
        <v>3105</v>
      </c>
      <c r="P468" s="16">
        <f>VLOOKUP(A468,'[3]Price info'!A:H,8,FALSE)</f>
        <v>1.1172</v>
      </c>
      <c r="Q468" s="27">
        <f t="shared" si="29"/>
        <v>0.93100000000000005</v>
      </c>
      <c r="S468" s="16">
        <f>VLOOKUP(A468,[4]Sales!$E:$G,3,FALSE)</f>
        <v>240.52</v>
      </c>
      <c r="T468" s="19">
        <f>VLOOKUP(A468,[4]Volume!$E:$G,3,FALSE)</f>
        <v>207</v>
      </c>
      <c r="U468" s="19">
        <f>VLOOKUP(A468,[4]Piece!$E:$G,3,FALSE)</f>
        <v>207</v>
      </c>
      <c r="V468" s="21">
        <f t="shared" si="30"/>
        <v>231.2604</v>
      </c>
      <c r="W468" s="16">
        <f t="shared" si="31"/>
        <v>-9.259600000000006</v>
      </c>
    </row>
    <row r="469" spans="1:23" hidden="1" x14ac:dyDescent="0.3">
      <c r="A469" s="22" t="s">
        <v>948</v>
      </c>
      <c r="B469" s="22" t="s">
        <v>948</v>
      </c>
      <c r="C469" s="23" t="s">
        <v>33</v>
      </c>
      <c r="D469" s="20" t="s">
        <v>34</v>
      </c>
      <c r="E469" s="22" t="s">
        <v>949</v>
      </c>
      <c r="F469" s="24" t="str">
        <f t="shared" si="28"/>
        <v>PPG - ProGold ALL PURPOSE POWDER FILLER 2kg</v>
      </c>
      <c r="G469" s="23" t="s">
        <v>5344</v>
      </c>
      <c r="H469" s="25" t="s">
        <v>36</v>
      </c>
      <c r="I469" s="18" t="s">
        <v>37</v>
      </c>
      <c r="J469" s="18" t="s">
        <v>38</v>
      </c>
      <c r="K469" t="s">
        <v>39</v>
      </c>
      <c r="L469" s="26">
        <f>VLOOKUP(A469,'[3]Price info'!A:D,4,FALSE)</f>
        <v>4.6100000000000003</v>
      </c>
      <c r="M469" s="18" t="s">
        <v>40</v>
      </c>
      <c r="N469" s="20">
        <v>3105</v>
      </c>
      <c r="P469" s="16">
        <f>VLOOKUP(A469,'[3]Price info'!A:H,8,FALSE)</f>
        <v>4.2919100000000006</v>
      </c>
      <c r="Q469" s="27">
        <f t="shared" si="29"/>
        <v>0.93100000000000005</v>
      </c>
      <c r="S469" s="16">
        <f>VLOOKUP(A469,[4]Sales!$E:$G,3,FALSE)</f>
        <v>325.86000000000013</v>
      </c>
      <c r="T469" s="19">
        <f>VLOOKUP(A469,[4]Volume!$E:$G,3,FALSE)</f>
        <v>150</v>
      </c>
      <c r="U469" s="19">
        <f>VLOOKUP(A469,[4]Piece!$E:$G,3,FALSE)</f>
        <v>75</v>
      </c>
      <c r="V469" s="21">
        <f t="shared" si="30"/>
        <v>321.89325000000002</v>
      </c>
      <c r="W469" s="16">
        <f t="shared" si="31"/>
        <v>-3.9667500000001041</v>
      </c>
    </row>
    <row r="470" spans="1:23" hidden="1" x14ac:dyDescent="0.3">
      <c r="A470" s="22" t="s">
        <v>950</v>
      </c>
      <c r="B470" s="22" t="s">
        <v>950</v>
      </c>
      <c r="C470" s="23" t="s">
        <v>33</v>
      </c>
      <c r="D470" s="20" t="s">
        <v>34</v>
      </c>
      <c r="E470" s="22" t="s">
        <v>951</v>
      </c>
      <c r="F470" s="24" t="str">
        <f t="shared" si="28"/>
        <v>PPG - Johnstones WB FLOOR VARN - Clear Gloss - 5l</v>
      </c>
      <c r="G470" s="23" t="s">
        <v>5345</v>
      </c>
      <c r="H470" s="25" t="s">
        <v>36</v>
      </c>
      <c r="I470" s="18" t="s">
        <v>37</v>
      </c>
      <c r="J470" s="18" t="s">
        <v>38</v>
      </c>
      <c r="K470" t="s">
        <v>39</v>
      </c>
      <c r="L470" s="26">
        <f>VLOOKUP(A470,'[3]Price info'!A:D,4,FALSE)</f>
        <v>40.25</v>
      </c>
      <c r="M470" s="18" t="s">
        <v>40</v>
      </c>
      <c r="N470" s="20">
        <v>3105</v>
      </c>
      <c r="P470" s="16">
        <f>VLOOKUP(A470,'[3]Price info'!A:H,8,FALSE)</f>
        <v>37.472750000000005</v>
      </c>
      <c r="Q470" s="27">
        <f t="shared" si="29"/>
        <v>0.93100000000000016</v>
      </c>
      <c r="S470" s="16">
        <f>VLOOKUP(A470,[4]Sales!$E:$G,3,FALSE)</f>
        <v>196.01</v>
      </c>
      <c r="T470" s="19">
        <f>VLOOKUP(A470,[4]Volume!$E:$G,3,FALSE)</f>
        <v>25</v>
      </c>
      <c r="U470" s="19">
        <f>VLOOKUP(A470,[4]Piece!$E:$G,3,FALSE)</f>
        <v>5</v>
      </c>
      <c r="V470" s="21">
        <f t="shared" si="30"/>
        <v>187.36375000000004</v>
      </c>
      <c r="W470" s="16">
        <f t="shared" si="31"/>
        <v>-8.6462499999999523</v>
      </c>
    </row>
    <row r="471" spans="1:23" hidden="1" x14ac:dyDescent="0.3">
      <c r="A471" s="46" t="s">
        <v>952</v>
      </c>
      <c r="B471" s="46" t="s">
        <v>952</v>
      </c>
      <c r="C471" s="51" t="s">
        <v>33</v>
      </c>
      <c r="D471" s="48" t="s">
        <v>34</v>
      </c>
      <c r="E471" s="18" t="s">
        <v>953</v>
      </c>
      <c r="F471" s="24" t="str">
        <f t="shared" si="28"/>
        <v>PPG - K     BIRDCAGE     9" FRAME   PLASTICHAN</v>
      </c>
      <c r="G471" s="20" t="s">
        <v>5346</v>
      </c>
      <c r="H471" s="49" t="s">
        <v>213</v>
      </c>
      <c r="I471" s="18" t="s">
        <v>37</v>
      </c>
      <c r="J471" s="18" t="s">
        <v>38</v>
      </c>
      <c r="K471" t="s">
        <v>39</v>
      </c>
      <c r="L471" s="50">
        <f>VLOOKUP(A471,'[3]Price info'!A:D,4,FALSE)</f>
        <v>4.95</v>
      </c>
      <c r="M471" s="18" t="s">
        <v>214</v>
      </c>
      <c r="N471" s="20">
        <v>3105</v>
      </c>
      <c r="P471" s="16">
        <f>VLOOKUP(A471,'[3]Price info'!A:H,8,FALSE)</f>
        <v>4.6084500000000004</v>
      </c>
      <c r="Q471" s="17">
        <f t="shared" si="29"/>
        <v>0.93100000000000005</v>
      </c>
      <c r="S471" s="16">
        <f>VLOOKUP(A471,[4]Sales!$E:$G,3,FALSE)</f>
        <v>47.120000000000005</v>
      </c>
      <c r="T471" s="19">
        <f>VLOOKUP(A471,[4]Volume!$E:$G,3,FALSE)</f>
        <v>10</v>
      </c>
      <c r="U471" s="19">
        <f>VLOOKUP(A471,[4]Piece!$E:$G,3,FALSE)</f>
        <v>10</v>
      </c>
      <c r="V471" s="21">
        <f t="shared" si="30"/>
        <v>46.084500000000006</v>
      </c>
      <c r="W471" s="16">
        <f t="shared" si="31"/>
        <v>-1.035499999999999</v>
      </c>
    </row>
    <row r="472" spans="1:23" hidden="1" x14ac:dyDescent="0.3">
      <c r="A472" s="46" t="s">
        <v>954</v>
      </c>
      <c r="B472" s="46" t="s">
        <v>954</v>
      </c>
      <c r="C472" s="47" t="s">
        <v>33</v>
      </c>
      <c r="D472" s="48" t="s">
        <v>34</v>
      </c>
      <c r="E472" s="18" t="s">
        <v>955</v>
      </c>
      <c r="F472" s="24" t="str">
        <f t="shared" si="28"/>
        <v>PPG - RODO  SUPER CLING  DUST SHEET PRODEC</v>
      </c>
      <c r="G472" s="20" t="s">
        <v>5347</v>
      </c>
      <c r="H472" s="49" t="s">
        <v>213</v>
      </c>
      <c r="I472" s="18" t="s">
        <v>37</v>
      </c>
      <c r="J472" s="18" t="s">
        <v>38</v>
      </c>
      <c r="K472" t="s">
        <v>39</v>
      </c>
      <c r="L472" s="50">
        <f>VLOOKUP(A472,'[3]Price info'!A:D,4,FALSE)</f>
        <v>15.63</v>
      </c>
      <c r="M472" s="18" t="s">
        <v>214</v>
      </c>
      <c r="N472" s="20">
        <v>3105</v>
      </c>
      <c r="P472" s="16">
        <f>VLOOKUP(A472,'[3]Price info'!A:H,8,FALSE)</f>
        <v>14.551530000000001</v>
      </c>
      <c r="Q472" s="17">
        <f t="shared" si="29"/>
        <v>0.93100000000000005</v>
      </c>
      <c r="S472" s="16">
        <f>VLOOKUP(A472,[4]Sales!$E:$G,3,FALSE)</f>
        <v>196.70999999999998</v>
      </c>
      <c r="T472" s="19">
        <f>VLOOKUP(A472,[4]Volume!$E:$G,3,FALSE)</f>
        <v>13</v>
      </c>
      <c r="U472" s="19">
        <f>VLOOKUP(A472,[4]Piece!$E:$G,3,FALSE)</f>
        <v>13</v>
      </c>
      <c r="V472" s="21">
        <f t="shared" si="30"/>
        <v>189.16989000000001</v>
      </c>
      <c r="W472" s="16">
        <f t="shared" si="31"/>
        <v>-7.5401099999999701</v>
      </c>
    </row>
    <row r="473" spans="1:23" hidden="1" x14ac:dyDescent="0.3">
      <c r="A473" s="46" t="s">
        <v>956</v>
      </c>
      <c r="B473" s="46" t="s">
        <v>956</v>
      </c>
      <c r="C473" s="47" t="s">
        <v>33</v>
      </c>
      <c r="D473" s="48" t="s">
        <v>34</v>
      </c>
      <c r="E473" s="18" t="s">
        <v>957</v>
      </c>
      <c r="F473" s="24" t="str">
        <f t="shared" si="28"/>
        <v>PPG - PPG COLOUR SCANNER                 CR100</v>
      </c>
      <c r="G473" s="20" t="s">
        <v>5348</v>
      </c>
      <c r="H473" s="49" t="s">
        <v>213</v>
      </c>
      <c r="I473" s="18" t="s">
        <v>37</v>
      </c>
      <c r="J473" s="18" t="s">
        <v>38</v>
      </c>
      <c r="K473" t="s">
        <v>39</v>
      </c>
      <c r="L473" s="50">
        <f>VLOOKUP(A473,'[3]Price info'!A:D,4,FALSE)</f>
        <v>117.15</v>
      </c>
      <c r="M473" s="18" t="s">
        <v>214</v>
      </c>
      <c r="N473" s="20">
        <v>3105</v>
      </c>
      <c r="P473" s="16">
        <f>VLOOKUP(A473,'[3]Price info'!A:H,8,FALSE)</f>
        <v>83.52</v>
      </c>
      <c r="Q473" s="17">
        <f t="shared" si="29"/>
        <v>0.71293213828425084</v>
      </c>
      <c r="S473" s="16">
        <f>VLOOKUP(A473,[4]Sales!$E:$G,3,FALSE)</f>
        <v>0</v>
      </c>
      <c r="T473" s="19">
        <f>VLOOKUP(A473,[4]Volume!$E:$G,3,FALSE)</f>
        <v>0</v>
      </c>
      <c r="U473" s="19">
        <f>VLOOKUP(A473,[4]Piece!$E:$G,3,FALSE)</f>
        <v>1</v>
      </c>
      <c r="V473" s="21">
        <f t="shared" si="30"/>
        <v>83.52</v>
      </c>
      <c r="W473" s="16">
        <f t="shared" si="31"/>
        <v>83.52</v>
      </c>
    </row>
    <row r="474" spans="1:23" hidden="1" x14ac:dyDescent="0.3">
      <c r="A474" s="46" t="s">
        <v>958</v>
      </c>
      <c r="B474" s="46" t="s">
        <v>958</v>
      </c>
      <c r="C474" s="51" t="s">
        <v>33</v>
      </c>
      <c r="D474" s="48" t="s">
        <v>34</v>
      </c>
      <c r="E474" s="18" t="s">
        <v>959</v>
      </c>
      <c r="F474" s="24" t="str">
        <f t="shared" si="28"/>
        <v>PPG - EASYM EASYTEX MAX  LAGOON W/C 10-069</v>
      </c>
      <c r="G474" s="20" t="s">
        <v>5349</v>
      </c>
      <c r="H474" s="49" t="s">
        <v>213</v>
      </c>
      <c r="I474" s="18" t="s">
        <v>37</v>
      </c>
      <c r="J474" s="18" t="s">
        <v>38</v>
      </c>
      <c r="K474" t="s">
        <v>39</v>
      </c>
      <c r="L474" s="50">
        <f>VLOOKUP(A474,'[3]Price info'!A:D,4,FALSE)</f>
        <v>8.18</v>
      </c>
      <c r="M474" s="18" t="s">
        <v>214</v>
      </c>
      <c r="N474" s="20">
        <v>3105</v>
      </c>
      <c r="P474" s="16">
        <f>VLOOKUP(A474,'[3]Price info'!A:H,8,FALSE)</f>
        <v>7.6155800000000005</v>
      </c>
      <c r="Q474" s="17">
        <f t="shared" si="29"/>
        <v>0.93100000000000005</v>
      </c>
      <c r="S474" s="16" t="e">
        <f>VLOOKUP(A474,[4]Sales!$E:$G,3,FALSE)</f>
        <v>#N/A</v>
      </c>
      <c r="T474" s="19" t="e">
        <f>VLOOKUP(A474,[4]Volume!$E:$G,3,FALSE)</f>
        <v>#N/A</v>
      </c>
      <c r="U474" s="19" t="e">
        <f>VLOOKUP(A474,[4]Piece!$E:$G,3,FALSE)</f>
        <v>#N/A</v>
      </c>
      <c r="V474" s="21" t="e">
        <f t="shared" si="30"/>
        <v>#N/A</v>
      </c>
      <c r="W474" s="16" t="e">
        <f t="shared" si="31"/>
        <v>#N/A</v>
      </c>
    </row>
    <row r="475" spans="1:23" hidden="1" x14ac:dyDescent="0.3">
      <c r="A475" s="46" t="s">
        <v>960</v>
      </c>
      <c r="B475" s="46" t="s">
        <v>960</v>
      </c>
      <c r="C475" s="47" t="s">
        <v>33</v>
      </c>
      <c r="D475" s="48" t="s">
        <v>34</v>
      </c>
      <c r="E475" s="18" t="s">
        <v>961</v>
      </c>
      <c r="F475" s="24" t="str">
        <f t="shared" si="28"/>
        <v>PPG - MANGR PAINT KETTLE 2.5L       WITH HANDL</v>
      </c>
      <c r="G475" s="20" t="s">
        <v>5350</v>
      </c>
      <c r="H475" s="49" t="s">
        <v>213</v>
      </c>
      <c r="I475" s="18" t="s">
        <v>37</v>
      </c>
      <c r="J475" s="18" t="s">
        <v>38</v>
      </c>
      <c r="K475" t="s">
        <v>39</v>
      </c>
      <c r="L475" s="50">
        <f>VLOOKUP(A475,'[3]Price info'!A:D,4,FALSE)</f>
        <v>0.57999999999999996</v>
      </c>
      <c r="M475" s="18" t="s">
        <v>214</v>
      </c>
      <c r="N475" s="20">
        <v>3105</v>
      </c>
      <c r="P475" s="16">
        <f>VLOOKUP(A475,'[3]Price info'!A:H,8,FALSE)</f>
        <v>0.53998000000000002</v>
      </c>
      <c r="Q475" s="17">
        <f t="shared" si="29"/>
        <v>0.93100000000000005</v>
      </c>
      <c r="S475" s="16">
        <f>VLOOKUP(A475,[4]Sales!$E:$G,3,FALSE)</f>
        <v>263.13999999999982</v>
      </c>
      <c r="T475" s="19">
        <f>VLOOKUP(A475,[4]Volume!$E:$G,3,FALSE)</f>
        <v>449</v>
      </c>
      <c r="U475" s="19">
        <f>VLOOKUP(A475,[4]Piece!$E:$G,3,FALSE)</f>
        <v>449</v>
      </c>
      <c r="V475" s="21">
        <f t="shared" si="30"/>
        <v>242.45102</v>
      </c>
      <c r="W475" s="16">
        <f t="shared" si="31"/>
        <v>-20.688979999999816</v>
      </c>
    </row>
    <row r="476" spans="1:23" hidden="1" x14ac:dyDescent="0.3">
      <c r="A476" s="22" t="s">
        <v>962</v>
      </c>
      <c r="B476" s="22" t="s">
        <v>962</v>
      </c>
      <c r="C476" s="23" t="s">
        <v>33</v>
      </c>
      <c r="D476" s="20" t="s">
        <v>34</v>
      </c>
      <c r="E476" s="22" t="s">
        <v>963</v>
      </c>
      <c r="F476" s="24" t="str">
        <f t="shared" si="28"/>
        <v>PPG - Leyland GLOSS - Brilliant White - 5ltr</v>
      </c>
      <c r="G476" s="23" t="s">
        <v>5351</v>
      </c>
      <c r="H476" s="25" t="s">
        <v>36</v>
      </c>
      <c r="I476" s="18" t="s">
        <v>37</v>
      </c>
      <c r="J476" s="18" t="s">
        <v>38</v>
      </c>
      <c r="K476" t="s">
        <v>39</v>
      </c>
      <c r="L476" s="26">
        <f>VLOOKUP(A476,'[3]Price info'!A:D,4,FALSE)</f>
        <v>15.7</v>
      </c>
      <c r="M476" s="18" t="s">
        <v>40</v>
      </c>
      <c r="N476" s="20">
        <v>3105</v>
      </c>
      <c r="P476" s="16">
        <f>VLOOKUP(A476,'[3]Price info'!A:H,8,FALSE)</f>
        <v>18.93</v>
      </c>
      <c r="Q476" s="27">
        <f t="shared" si="29"/>
        <v>1.2057324840764332</v>
      </c>
      <c r="S476" s="16">
        <f>VLOOKUP(A476,[4]Sales!$E:$G,3,FALSE)</f>
        <v>221.10999999999999</v>
      </c>
      <c r="T476" s="19">
        <f>VLOOKUP(A476,[4]Volume!$E:$G,3,FALSE)</f>
        <v>70</v>
      </c>
      <c r="U476" s="19">
        <f>VLOOKUP(A476,[4]Piece!$E:$G,3,FALSE)</f>
        <v>14</v>
      </c>
      <c r="V476" s="21">
        <f t="shared" si="30"/>
        <v>265.02</v>
      </c>
      <c r="W476" s="16">
        <f t="shared" si="31"/>
        <v>43.91</v>
      </c>
    </row>
    <row r="477" spans="1:23" hidden="1" x14ac:dyDescent="0.3">
      <c r="A477" s="22" t="s">
        <v>964</v>
      </c>
      <c r="B477" s="22" t="s">
        <v>964</v>
      </c>
      <c r="C477" s="23" t="s">
        <v>33</v>
      </c>
      <c r="D477" s="20" t="s">
        <v>34</v>
      </c>
      <c r="E477" s="22" t="s">
        <v>965</v>
      </c>
      <c r="F477" s="24" t="str">
        <f t="shared" si="28"/>
        <v>PPG - Leyland SUPERLEYTEX - Brill White - 15ltr</v>
      </c>
      <c r="G477" s="23" t="s">
        <v>5352</v>
      </c>
      <c r="H477" s="25" t="s">
        <v>36</v>
      </c>
      <c r="I477" s="18" t="s">
        <v>37</v>
      </c>
      <c r="J477" s="18" t="s">
        <v>38</v>
      </c>
      <c r="K477" t="s">
        <v>39</v>
      </c>
      <c r="L477" s="26">
        <f>VLOOKUP(A477,'[3]Price info'!A:D,4,FALSE)</f>
        <v>22.95</v>
      </c>
      <c r="M477" s="18" t="s">
        <v>40</v>
      </c>
      <c r="N477" s="20">
        <v>3105</v>
      </c>
      <c r="P477" s="16">
        <f>VLOOKUP(A477,'[3]Price info'!A:H,8,FALSE)</f>
        <v>17.64</v>
      </c>
      <c r="Q477" s="27">
        <f t="shared" si="29"/>
        <v>0.7686274509803922</v>
      </c>
      <c r="S477" s="16">
        <f>VLOOKUP(A477,[4]Sales!$E:$G,3,FALSE)</f>
        <v>105.84</v>
      </c>
      <c r="T477" s="19">
        <f>VLOOKUP(A477,[4]Volume!$E:$G,3,FALSE)</f>
        <v>90</v>
      </c>
      <c r="U477" s="19">
        <f>VLOOKUP(A477,[4]Piece!$E:$G,3,FALSE)</f>
        <v>6</v>
      </c>
      <c r="V477" s="21">
        <f t="shared" si="30"/>
        <v>105.84</v>
      </c>
      <c r="W477" s="16">
        <f t="shared" si="31"/>
        <v>0</v>
      </c>
    </row>
    <row r="478" spans="1:23" hidden="1" x14ac:dyDescent="0.3">
      <c r="A478" s="22" t="s">
        <v>966</v>
      </c>
      <c r="B478" s="22" t="s">
        <v>966</v>
      </c>
      <c r="C478" s="23" t="s">
        <v>33</v>
      </c>
      <c r="D478" s="20" t="s">
        <v>34</v>
      </c>
      <c r="E478" s="22" t="s">
        <v>967</v>
      </c>
      <c r="F478" s="24" t="str">
        <f t="shared" si="28"/>
        <v>PPG - Johnstones PRO UNDERCOAT - Dark Grey 2.5ltr</v>
      </c>
      <c r="G478" s="23" t="s">
        <v>5353</v>
      </c>
      <c r="H478" s="25" t="s">
        <v>36</v>
      </c>
      <c r="I478" s="18" t="s">
        <v>37</v>
      </c>
      <c r="J478" s="18" t="s">
        <v>38</v>
      </c>
      <c r="K478" t="s">
        <v>39</v>
      </c>
      <c r="L478" s="26">
        <f>VLOOKUP(A478,'[3]Price info'!A:D,4,FALSE)</f>
        <v>9.7799999999999994</v>
      </c>
      <c r="M478" s="18" t="s">
        <v>40</v>
      </c>
      <c r="N478" s="20">
        <v>3105</v>
      </c>
      <c r="P478" s="16">
        <f>VLOOKUP(A478,'[3]Price info'!A:H,8,FALSE)</f>
        <v>9.7799999999999994</v>
      </c>
      <c r="Q478" s="27">
        <f t="shared" si="29"/>
        <v>1</v>
      </c>
      <c r="S478" s="16">
        <f>VLOOKUP(A478,[4]Sales!$E:$G,3,FALSE)</f>
        <v>416.59</v>
      </c>
      <c r="T478" s="19">
        <f>VLOOKUP(A478,[4]Volume!$E:$G,3,FALSE)</f>
        <v>87.5</v>
      </c>
      <c r="U478" s="19">
        <f>VLOOKUP(A478,[4]Piece!$E:$G,3,FALSE)</f>
        <v>35</v>
      </c>
      <c r="V478" s="21">
        <f t="shared" si="30"/>
        <v>342.29999999999995</v>
      </c>
      <c r="W478" s="16">
        <f t="shared" si="31"/>
        <v>-74.29000000000002</v>
      </c>
    </row>
    <row r="479" spans="1:23" hidden="1" x14ac:dyDescent="0.3">
      <c r="A479" s="46" t="s">
        <v>968</v>
      </c>
      <c r="B479" s="46" t="s">
        <v>968</v>
      </c>
      <c r="C479" s="47" t="s">
        <v>33</v>
      </c>
      <c r="D479" s="48" t="s">
        <v>34</v>
      </c>
      <c r="E479" s="18" t="s">
        <v>969</v>
      </c>
      <c r="F479" s="24" t="str">
        <f t="shared" si="28"/>
        <v>PPG - EASY  EASYTEX      10-035     CASCADE</v>
      </c>
      <c r="G479" s="20" t="s">
        <v>5354</v>
      </c>
      <c r="H479" s="49" t="s">
        <v>213</v>
      </c>
      <c r="I479" s="18" t="s">
        <v>37</v>
      </c>
      <c r="J479" s="18" t="s">
        <v>38</v>
      </c>
      <c r="K479" t="s">
        <v>39</v>
      </c>
      <c r="L479" s="50">
        <f>VLOOKUP(A479,'[3]Price info'!A:D,4,FALSE)</f>
        <v>5.18</v>
      </c>
      <c r="M479" s="18" t="s">
        <v>214</v>
      </c>
      <c r="N479" s="20">
        <v>3105</v>
      </c>
      <c r="P479" s="16">
        <f>VLOOKUP(A479,'[3]Price info'!A:H,8,FALSE)</f>
        <v>4.8225800000000003</v>
      </c>
      <c r="Q479" s="17">
        <f t="shared" si="29"/>
        <v>0.93100000000000016</v>
      </c>
      <c r="S479" s="16">
        <f>VLOOKUP(A479,[4]Sales!$E:$G,3,FALSE)</f>
        <v>72.300000000000011</v>
      </c>
      <c r="T479" s="19">
        <f>VLOOKUP(A479,[4]Volume!$E:$G,3,FALSE)</f>
        <v>15</v>
      </c>
      <c r="U479" s="19">
        <f>VLOOKUP(A479,[4]Piece!$E:$G,3,FALSE)</f>
        <v>15</v>
      </c>
      <c r="V479" s="21">
        <f t="shared" si="30"/>
        <v>72.338700000000003</v>
      </c>
      <c r="W479" s="16">
        <f t="shared" si="31"/>
        <v>3.8699999999991519E-2</v>
      </c>
    </row>
    <row r="480" spans="1:23" hidden="1" x14ac:dyDescent="0.3">
      <c r="A480" s="22" t="s">
        <v>970</v>
      </c>
      <c r="B480" s="22" t="s">
        <v>970</v>
      </c>
      <c r="C480" s="23" t="s">
        <v>33</v>
      </c>
      <c r="D480" s="20" t="s">
        <v>34</v>
      </c>
      <c r="E480" s="22" t="s">
        <v>971</v>
      </c>
      <c r="F480" s="24" t="str">
        <f t="shared" si="28"/>
        <v>PPG - Johnstones ACRYLIC SATIN - Mix - 2.5ltr</v>
      </c>
      <c r="G480" s="23" t="s">
        <v>5355</v>
      </c>
      <c r="H480" s="25" t="s">
        <v>36</v>
      </c>
      <c r="I480" s="18" t="s">
        <v>37</v>
      </c>
      <c r="J480" s="18" t="s">
        <v>38</v>
      </c>
      <c r="K480" t="s">
        <v>39</v>
      </c>
      <c r="L480" s="26">
        <f>VLOOKUP(A480,'[3]Price info'!A:D,4,FALSE)</f>
        <v>20.76</v>
      </c>
      <c r="M480" s="18" t="s">
        <v>40</v>
      </c>
      <c r="N480" s="20">
        <v>3105</v>
      </c>
      <c r="P480" s="16">
        <f>VLOOKUP(A480,'[3]Price info'!A:H,8,FALSE)</f>
        <v>19.327560000000002</v>
      </c>
      <c r="Q480" s="27">
        <f t="shared" si="29"/>
        <v>0.93100000000000005</v>
      </c>
      <c r="S480" s="16">
        <f>VLOOKUP(A480,[4]Sales!$E:$G,3,FALSE)</f>
        <v>575.30999999999995</v>
      </c>
      <c r="T480" s="19">
        <f>VLOOKUP(A480,[4]Volume!$E:$G,3,FALSE)</f>
        <v>75</v>
      </c>
      <c r="U480" s="19">
        <f>VLOOKUP(A480,[4]Piece!$E:$G,3,FALSE)</f>
        <v>30</v>
      </c>
      <c r="V480" s="21">
        <f t="shared" si="30"/>
        <v>579.82680000000005</v>
      </c>
      <c r="W480" s="16">
        <f t="shared" si="31"/>
        <v>4.516800000000103</v>
      </c>
    </row>
    <row r="481" spans="1:23" hidden="1" x14ac:dyDescent="0.3">
      <c r="A481" s="22" t="s">
        <v>972</v>
      </c>
      <c r="B481" s="22" t="s">
        <v>972</v>
      </c>
      <c r="C481" s="23" t="s">
        <v>33</v>
      </c>
      <c r="D481" s="20" t="s">
        <v>34</v>
      </c>
      <c r="E481" s="22" t="s">
        <v>973</v>
      </c>
      <c r="F481" s="24" t="str">
        <f t="shared" si="28"/>
        <v>PPG - Johnstones SATIN WOODSTAIN-Antiq Pine-2.5ltr</v>
      </c>
      <c r="G481" s="23" t="s">
        <v>5356</v>
      </c>
      <c r="H481" s="25" t="s">
        <v>36</v>
      </c>
      <c r="I481" s="18" t="s">
        <v>37</v>
      </c>
      <c r="J481" s="18" t="s">
        <v>38</v>
      </c>
      <c r="K481" t="s">
        <v>39</v>
      </c>
      <c r="L481" s="26">
        <f>VLOOKUP(A481,'[3]Price info'!A:D,4,FALSE)</f>
        <v>16.88</v>
      </c>
      <c r="M481" s="18" t="s">
        <v>40</v>
      </c>
      <c r="N481" s="20">
        <v>3105</v>
      </c>
      <c r="P481" s="16">
        <f>VLOOKUP(A481,'[3]Price info'!A:H,8,FALSE)</f>
        <v>15.71528</v>
      </c>
      <c r="Q481" s="27">
        <f t="shared" si="29"/>
        <v>0.93100000000000005</v>
      </c>
      <c r="S481" s="16">
        <f>VLOOKUP(A481,[4]Sales!$E:$G,3,FALSE)</f>
        <v>231.67999999999998</v>
      </c>
      <c r="T481" s="19">
        <f>VLOOKUP(A481,[4]Volume!$E:$G,3,FALSE)</f>
        <v>35</v>
      </c>
      <c r="U481" s="19">
        <f>VLOOKUP(A481,[4]Piece!$E:$G,3,FALSE)</f>
        <v>14</v>
      </c>
      <c r="V481" s="21">
        <f t="shared" si="30"/>
        <v>220.01391999999998</v>
      </c>
      <c r="W481" s="16">
        <f t="shared" si="31"/>
        <v>-11.666079999999994</v>
      </c>
    </row>
    <row r="482" spans="1:23" hidden="1" x14ac:dyDescent="0.3">
      <c r="A482" s="22" t="s">
        <v>974</v>
      </c>
      <c r="B482" s="22" t="s">
        <v>974</v>
      </c>
      <c r="C482" s="23" t="s">
        <v>33</v>
      </c>
      <c r="D482" s="20" t="s">
        <v>34</v>
      </c>
      <c r="E482" s="22" t="s">
        <v>975</v>
      </c>
      <c r="F482" s="24" t="str">
        <f t="shared" si="28"/>
        <v>PPG - Johnstones COVAPLUS - Black - 5ltr</v>
      </c>
      <c r="G482" s="23" t="s">
        <v>5357</v>
      </c>
      <c r="H482" s="25" t="s">
        <v>36</v>
      </c>
      <c r="I482" s="18" t="s">
        <v>37</v>
      </c>
      <c r="J482" s="18" t="s">
        <v>38</v>
      </c>
      <c r="K482" t="s">
        <v>39</v>
      </c>
      <c r="L482" s="26">
        <f>VLOOKUP(A482,'[3]Price info'!A:D,4,FALSE)</f>
        <v>11.77</v>
      </c>
      <c r="M482" s="18" t="s">
        <v>40</v>
      </c>
      <c r="N482" s="20">
        <v>3105</v>
      </c>
      <c r="P482" s="16">
        <f>VLOOKUP(A482,'[3]Price info'!A:H,8,FALSE)</f>
        <v>10.96</v>
      </c>
      <c r="Q482" s="27">
        <f t="shared" si="29"/>
        <v>0.93118096856414623</v>
      </c>
      <c r="S482" s="16">
        <f>VLOOKUP(A482,[4]Sales!$E:$G,3,FALSE)</f>
        <v>485.43</v>
      </c>
      <c r="T482" s="19">
        <f>VLOOKUP(A482,[4]Volume!$E:$G,3,FALSE)</f>
        <v>210</v>
      </c>
      <c r="U482" s="19">
        <f>VLOOKUP(A482,[4]Piece!$E:$G,3,FALSE)</f>
        <v>42</v>
      </c>
      <c r="V482" s="21">
        <f t="shared" si="30"/>
        <v>460.32000000000005</v>
      </c>
      <c r="W482" s="16">
        <f t="shared" si="31"/>
        <v>-25.109999999999957</v>
      </c>
    </row>
    <row r="483" spans="1:23" hidden="1" x14ac:dyDescent="0.3">
      <c r="A483" s="46" t="s">
        <v>976</v>
      </c>
      <c r="B483" s="46" t="s">
        <v>976</v>
      </c>
      <c r="C483" s="51" t="s">
        <v>33</v>
      </c>
      <c r="D483" s="48" t="s">
        <v>34</v>
      </c>
      <c r="E483" s="18" t="s">
        <v>977</v>
      </c>
      <c r="F483" s="24" t="str">
        <f t="shared" si="28"/>
        <v>PPG - HAMIL HD TUNGSTEN CARBIDE BLADE 2"</v>
      </c>
      <c r="G483" s="20" t="s">
        <v>5358</v>
      </c>
      <c r="H483" s="49" t="s">
        <v>213</v>
      </c>
      <c r="I483" s="18" t="s">
        <v>37</v>
      </c>
      <c r="J483" s="18" t="s">
        <v>38</v>
      </c>
      <c r="K483" t="s">
        <v>39</v>
      </c>
      <c r="L483" s="50">
        <f>VLOOKUP(A483,'[3]Price info'!A:D,4,FALSE)</f>
        <v>8.0399999999999991</v>
      </c>
      <c r="M483" s="18" t="s">
        <v>214</v>
      </c>
      <c r="N483" s="20">
        <v>3105</v>
      </c>
      <c r="P483" s="16">
        <f>VLOOKUP(A483,'[3]Price info'!A:H,8,FALSE)</f>
        <v>7.4852399999999992</v>
      </c>
      <c r="Q483" s="17">
        <f t="shared" si="29"/>
        <v>0.93100000000000005</v>
      </c>
      <c r="S483" s="16">
        <f>VLOOKUP(A483,[4]Sales!$E:$G,3,FALSE)</f>
        <v>252.95000000000002</v>
      </c>
      <c r="T483" s="19">
        <f>VLOOKUP(A483,[4]Volume!$E:$G,3,FALSE)</f>
        <v>33</v>
      </c>
      <c r="U483" s="19">
        <f>VLOOKUP(A483,[4]Piece!$E:$G,3,FALSE)</f>
        <v>33</v>
      </c>
      <c r="V483" s="21">
        <f t="shared" si="30"/>
        <v>247.01291999999998</v>
      </c>
      <c r="W483" s="16">
        <f t="shared" si="31"/>
        <v>-5.9370800000000372</v>
      </c>
    </row>
    <row r="484" spans="1:23" hidden="1" x14ac:dyDescent="0.3">
      <c r="A484" s="22" t="s">
        <v>978</v>
      </c>
      <c r="B484" s="22" t="s">
        <v>978</v>
      </c>
      <c r="C484" s="23" t="s">
        <v>33</v>
      </c>
      <c r="D484" s="20" t="s">
        <v>34</v>
      </c>
      <c r="E484" s="22" t="s">
        <v>979</v>
      </c>
      <c r="F484" s="24" t="str">
        <f t="shared" si="28"/>
        <v>PPG - ProGold AQUA SYNTH BRUSH SET</v>
      </c>
      <c r="G484" s="23" t="s">
        <v>5359</v>
      </c>
      <c r="H484" s="25" t="s">
        <v>36</v>
      </c>
      <c r="I484" s="18" t="s">
        <v>37</v>
      </c>
      <c r="J484" s="18" t="s">
        <v>38</v>
      </c>
      <c r="K484" t="s">
        <v>39</v>
      </c>
      <c r="L484" s="26">
        <f>VLOOKUP(A484,'[3]Price info'!A:D,4,FALSE)</f>
        <v>7.87</v>
      </c>
      <c r="M484" s="18" t="s">
        <v>40</v>
      </c>
      <c r="N484" s="20">
        <v>3105</v>
      </c>
      <c r="P484" s="16">
        <f>VLOOKUP(A484,'[3]Price info'!A:H,8,FALSE)</f>
        <v>7.3269700000000002</v>
      </c>
      <c r="Q484" s="27">
        <f t="shared" si="29"/>
        <v>0.93100000000000005</v>
      </c>
      <c r="S484" s="16">
        <f>VLOOKUP(A484,[4]Sales!$E:$G,3,FALSE)</f>
        <v>306.12</v>
      </c>
      <c r="T484" s="19">
        <f>VLOOKUP(A484,[4]Volume!$E:$G,3,FALSE)</f>
        <v>38</v>
      </c>
      <c r="U484" s="19">
        <f>VLOOKUP(A484,[4]Piece!$E:$G,3,FALSE)</f>
        <v>38</v>
      </c>
      <c r="V484" s="21">
        <f t="shared" si="30"/>
        <v>278.42486000000002</v>
      </c>
      <c r="W484" s="16">
        <f t="shared" si="31"/>
        <v>-27.695139999999981</v>
      </c>
    </row>
    <row r="485" spans="1:23" hidden="1" x14ac:dyDescent="0.3">
      <c r="A485" s="22" t="s">
        <v>980</v>
      </c>
      <c r="B485" s="22" t="s">
        <v>980</v>
      </c>
      <c r="C485" s="23" t="s">
        <v>33</v>
      </c>
      <c r="D485" s="20" t="s">
        <v>34</v>
      </c>
      <c r="E485" s="22" t="s">
        <v>981</v>
      </c>
      <c r="F485" s="24" t="str">
        <f t="shared" si="28"/>
        <v>PPG - Johnstones VINYL SOFT SHEEN - Mix - 2.5ltr</v>
      </c>
      <c r="G485" s="23" t="s">
        <v>5360</v>
      </c>
      <c r="H485" s="25" t="s">
        <v>36</v>
      </c>
      <c r="I485" s="18" t="s">
        <v>37</v>
      </c>
      <c r="J485" s="18" t="s">
        <v>38</v>
      </c>
      <c r="K485" t="s">
        <v>39</v>
      </c>
      <c r="L485" s="26">
        <f>VLOOKUP(A485,'[3]Price info'!A:D,4,FALSE)</f>
        <v>11.19</v>
      </c>
      <c r="M485" s="18" t="s">
        <v>40</v>
      </c>
      <c r="N485" s="20">
        <v>3105</v>
      </c>
      <c r="P485" s="16">
        <f>VLOOKUP(A485,'[3]Price info'!A:H,8,FALSE)</f>
        <v>8.3940000000000001</v>
      </c>
      <c r="Q485" s="27">
        <f t="shared" si="29"/>
        <v>0.75013404825737273</v>
      </c>
      <c r="S485" s="16">
        <f>VLOOKUP(A485,[4]Sales!$E:$G,3,FALSE)</f>
        <v>190.19</v>
      </c>
      <c r="T485" s="19">
        <f>VLOOKUP(A485,[4]Volume!$E:$G,3,FALSE)</f>
        <v>52.5</v>
      </c>
      <c r="U485" s="19">
        <f>VLOOKUP(A485,[4]Piece!$E:$G,3,FALSE)</f>
        <v>21</v>
      </c>
      <c r="V485" s="21">
        <f t="shared" si="30"/>
        <v>176.274</v>
      </c>
      <c r="W485" s="16">
        <f t="shared" si="31"/>
        <v>-13.915999999999997</v>
      </c>
    </row>
    <row r="486" spans="1:23" hidden="1" x14ac:dyDescent="0.3">
      <c r="A486" s="22" t="s">
        <v>982</v>
      </c>
      <c r="B486" s="22" t="s">
        <v>982</v>
      </c>
      <c r="C486" s="23" t="s">
        <v>33</v>
      </c>
      <c r="D486" s="20" t="s">
        <v>34</v>
      </c>
      <c r="E486" s="22" t="s">
        <v>983</v>
      </c>
      <c r="F486" s="24" t="str">
        <f t="shared" si="28"/>
        <v>PPG - ProGold CLASSIC HYBRID BRUSH 2"</v>
      </c>
      <c r="G486" s="23" t="s">
        <v>5361</v>
      </c>
      <c r="H486" s="25" t="s">
        <v>36</v>
      </c>
      <c r="I486" s="18" t="s">
        <v>37</v>
      </c>
      <c r="J486" s="18" t="s">
        <v>38</v>
      </c>
      <c r="K486" t="s">
        <v>39</v>
      </c>
      <c r="L486" s="26">
        <f>VLOOKUP(A486,'[3]Price info'!A:D,4,FALSE)</f>
        <v>2.82</v>
      </c>
      <c r="M486" s="18" t="s">
        <v>40</v>
      </c>
      <c r="N486" s="20">
        <v>3105</v>
      </c>
      <c r="P486" s="16">
        <f>VLOOKUP(A486,'[3]Price info'!A:H,8,FALSE)</f>
        <v>2.6254200000000001</v>
      </c>
      <c r="Q486" s="27">
        <f t="shared" si="29"/>
        <v>0.93100000000000005</v>
      </c>
      <c r="S486" s="16">
        <f>VLOOKUP(A486,[4]Sales!$E:$G,3,FALSE)</f>
        <v>211.54999999999998</v>
      </c>
      <c r="T486" s="19">
        <f>VLOOKUP(A486,[4]Volume!$E:$G,3,FALSE)</f>
        <v>82</v>
      </c>
      <c r="U486" s="19">
        <f>VLOOKUP(A486,[4]Piece!$E:$G,3,FALSE)</f>
        <v>82</v>
      </c>
      <c r="V486" s="21">
        <f t="shared" si="30"/>
        <v>215.28444000000002</v>
      </c>
      <c r="W486" s="16">
        <f t="shared" si="31"/>
        <v>3.7344400000000348</v>
      </c>
    </row>
    <row r="487" spans="1:23" hidden="1" x14ac:dyDescent="0.3">
      <c r="A487" s="22" t="s">
        <v>984</v>
      </c>
      <c r="B487" s="22" t="s">
        <v>984</v>
      </c>
      <c r="C487" s="23" t="s">
        <v>33</v>
      </c>
      <c r="D487" s="20" t="s">
        <v>34</v>
      </c>
      <c r="E487" s="22" t="s">
        <v>985</v>
      </c>
      <c r="F487" s="24" t="str">
        <f t="shared" si="28"/>
        <v>PPG - Johnstones STAIN BLOCK PRIMER - White - 1ltr</v>
      </c>
      <c r="G487" s="23" t="s">
        <v>5362</v>
      </c>
      <c r="H487" s="25" t="s">
        <v>36</v>
      </c>
      <c r="I487" s="18" t="s">
        <v>37</v>
      </c>
      <c r="J487" s="18" t="s">
        <v>38</v>
      </c>
      <c r="K487" t="s">
        <v>39</v>
      </c>
      <c r="L487" s="26">
        <f>VLOOKUP(A487,'[3]Price info'!A:D,4,FALSE)</f>
        <v>14.33</v>
      </c>
      <c r="M487" s="18" t="s">
        <v>40</v>
      </c>
      <c r="N487" s="20">
        <v>3105</v>
      </c>
      <c r="P487" s="16">
        <f>VLOOKUP(A487,'[3]Price info'!A:H,8,FALSE)</f>
        <v>13.341230000000001</v>
      </c>
      <c r="Q487" s="27">
        <f t="shared" si="29"/>
        <v>0.93100000000000005</v>
      </c>
      <c r="S487" s="16">
        <f>VLOOKUP(A487,[4]Sales!$E:$G,3,FALSE)</f>
        <v>96.35</v>
      </c>
      <c r="T487" s="19">
        <f>VLOOKUP(A487,[4]Volume!$E:$G,3,FALSE)</f>
        <v>7</v>
      </c>
      <c r="U487" s="19">
        <f>VLOOKUP(A487,[4]Piece!$E:$G,3,FALSE)</f>
        <v>7</v>
      </c>
      <c r="V487" s="21">
        <f t="shared" si="30"/>
        <v>93.388610000000014</v>
      </c>
      <c r="W487" s="16">
        <f t="shared" si="31"/>
        <v>-2.9613899999999802</v>
      </c>
    </row>
    <row r="488" spans="1:23" hidden="1" x14ac:dyDescent="0.3">
      <c r="A488" s="22" t="s">
        <v>986</v>
      </c>
      <c r="B488" s="22" t="s">
        <v>986</v>
      </c>
      <c r="C488" s="23" t="s">
        <v>33</v>
      </c>
      <c r="D488" s="20" t="s">
        <v>34</v>
      </c>
      <c r="E488" s="22" t="s">
        <v>987</v>
      </c>
      <c r="F488" s="24" t="str">
        <f t="shared" si="28"/>
        <v>PPG - Johnstones AQUA UNDERCOAT - BW - 1ltr</v>
      </c>
      <c r="G488" s="23" t="s">
        <v>5363</v>
      </c>
      <c r="H488" s="25" t="s">
        <v>36</v>
      </c>
      <c r="I488" s="18" t="s">
        <v>37</v>
      </c>
      <c r="J488" s="18" t="s">
        <v>38</v>
      </c>
      <c r="K488" t="s">
        <v>39</v>
      </c>
      <c r="L488" s="26">
        <f>VLOOKUP(A488,'[3]Price info'!A:D,4,FALSE)</f>
        <v>8.8000000000000007</v>
      </c>
      <c r="M488" s="18" t="s">
        <v>40</v>
      </c>
      <c r="N488" s="20">
        <v>3105</v>
      </c>
      <c r="P488" s="16">
        <f>VLOOKUP(A488,'[3]Price info'!A:H,8,FALSE)</f>
        <v>8.8000000000000007</v>
      </c>
      <c r="Q488" s="27">
        <f t="shared" si="29"/>
        <v>1</v>
      </c>
      <c r="S488" s="16">
        <f>VLOOKUP(A488,[4]Sales!$E:$G,3,FALSE)</f>
        <v>246.39999999999992</v>
      </c>
      <c r="T488" s="19">
        <f>VLOOKUP(A488,[4]Volume!$E:$G,3,FALSE)</f>
        <v>29</v>
      </c>
      <c r="U488" s="19">
        <f>VLOOKUP(A488,[4]Piece!$E:$G,3,FALSE)</f>
        <v>29</v>
      </c>
      <c r="V488" s="21">
        <f t="shared" si="30"/>
        <v>255.20000000000002</v>
      </c>
      <c r="W488" s="16">
        <f t="shared" si="31"/>
        <v>8.8000000000000966</v>
      </c>
    </row>
    <row r="489" spans="1:23" hidden="1" x14ac:dyDescent="0.3">
      <c r="A489" s="22" t="s">
        <v>988</v>
      </c>
      <c r="B489" s="22" t="s">
        <v>988</v>
      </c>
      <c r="C489" s="23" t="s">
        <v>33</v>
      </c>
      <c r="D489" s="20" t="s">
        <v>34</v>
      </c>
      <c r="E489" s="22" t="s">
        <v>989</v>
      </c>
      <c r="F489" s="24" t="str">
        <f t="shared" si="28"/>
        <v>PPG - Johnstones COVAPLUS - Testerpot</v>
      </c>
      <c r="G489" s="23" t="s">
        <v>5364</v>
      </c>
      <c r="H489" s="25" t="s">
        <v>36</v>
      </c>
      <c r="I489" s="18" t="s">
        <v>37</v>
      </c>
      <c r="J489" s="18" t="s">
        <v>38</v>
      </c>
      <c r="K489" t="s">
        <v>39</v>
      </c>
      <c r="L489" s="26">
        <f>VLOOKUP(A489,'[3]Price info'!A:D,4,FALSE)</f>
        <v>2.83</v>
      </c>
      <c r="M489" s="18" t="s">
        <v>40</v>
      </c>
      <c r="N489" s="20">
        <v>3105</v>
      </c>
      <c r="P489" s="16">
        <f>VLOOKUP(A489,'[3]Price info'!A:H,8,FALSE)</f>
        <v>2.6347300000000002</v>
      </c>
      <c r="Q489" s="27">
        <f t="shared" si="29"/>
        <v>0.93100000000000005</v>
      </c>
      <c r="S489" s="16">
        <f>VLOOKUP(A489,[4]Sales!$E:$G,3,FALSE)</f>
        <v>340.47999999999996</v>
      </c>
      <c r="T489" s="19">
        <f>VLOOKUP(A489,[4]Volume!$E:$G,3,FALSE)</f>
        <v>49.349999999999994</v>
      </c>
      <c r="U489" s="19">
        <f>VLOOKUP(A489,[4]Piece!$E:$G,3,FALSE)</f>
        <v>141</v>
      </c>
      <c r="V489" s="21">
        <f t="shared" si="30"/>
        <v>371.49693000000002</v>
      </c>
      <c r="W489" s="16">
        <f t="shared" si="31"/>
        <v>31.016930000000059</v>
      </c>
    </row>
    <row r="490" spans="1:23" hidden="1" x14ac:dyDescent="0.3">
      <c r="A490" s="22" t="s">
        <v>990</v>
      </c>
      <c r="B490" s="22" t="s">
        <v>990</v>
      </c>
      <c r="C490" s="23" t="s">
        <v>33</v>
      </c>
      <c r="D490" s="20" t="s">
        <v>34</v>
      </c>
      <c r="E490" s="22" t="s">
        <v>991</v>
      </c>
      <c r="F490" s="24" t="str">
        <f t="shared" si="28"/>
        <v>PPG - ProGold PREMIUM BRISTLE BRUSH 2"</v>
      </c>
      <c r="G490" s="23" t="s">
        <v>5365</v>
      </c>
      <c r="H490" s="25" t="s">
        <v>36</v>
      </c>
      <c r="I490" s="18" t="s">
        <v>37</v>
      </c>
      <c r="J490" s="18" t="s">
        <v>38</v>
      </c>
      <c r="K490" t="s">
        <v>39</v>
      </c>
      <c r="L490" s="26">
        <f>VLOOKUP(A490,'[3]Price info'!A:D,4,FALSE)</f>
        <v>6.92</v>
      </c>
      <c r="M490" s="18" t="s">
        <v>40</v>
      </c>
      <c r="N490" s="20">
        <v>3105</v>
      </c>
      <c r="P490" s="16">
        <f>VLOOKUP(A490,'[3]Price info'!A:H,8,FALSE)</f>
        <v>6.44252</v>
      </c>
      <c r="Q490" s="27">
        <f t="shared" si="29"/>
        <v>0.93100000000000005</v>
      </c>
      <c r="S490" s="16">
        <f>VLOOKUP(A490,[4]Sales!$E:$G,3,FALSE)</f>
        <v>201.98000000000002</v>
      </c>
      <c r="T490" s="19">
        <f>VLOOKUP(A490,[4]Volume!$E:$G,3,FALSE)</f>
        <v>31</v>
      </c>
      <c r="U490" s="19">
        <f>VLOOKUP(A490,[4]Piece!$E:$G,3,FALSE)</f>
        <v>31</v>
      </c>
      <c r="V490" s="21">
        <f t="shared" si="30"/>
        <v>199.71812</v>
      </c>
      <c r="W490" s="16">
        <f t="shared" si="31"/>
        <v>-2.2618800000000192</v>
      </c>
    </row>
    <row r="491" spans="1:23" hidden="1" x14ac:dyDescent="0.3">
      <c r="A491" s="46" t="s">
        <v>992</v>
      </c>
      <c r="B491" s="46" t="s">
        <v>992</v>
      </c>
      <c r="C491" s="47" t="s">
        <v>33</v>
      </c>
      <c r="D491" s="48" t="s">
        <v>34</v>
      </c>
      <c r="E491" s="18" t="s">
        <v>993</v>
      </c>
      <c r="F491" s="24" t="str">
        <f t="shared" si="28"/>
        <v>PPG - FD    44+QUICK DRY MIXED      0000001500</v>
      </c>
      <c r="G491" s="20" t="s">
        <v>5366</v>
      </c>
      <c r="H491" s="49" t="s">
        <v>213</v>
      </c>
      <c r="I491" s="18" t="s">
        <v>37</v>
      </c>
      <c r="J491" s="18" t="s">
        <v>38</v>
      </c>
      <c r="K491" t="s">
        <v>39</v>
      </c>
      <c r="L491" s="50">
        <f>VLOOKUP(A491,'[3]Price info'!A:D,4,FALSE)</f>
        <v>68.03</v>
      </c>
      <c r="M491" s="18" t="s">
        <v>214</v>
      </c>
      <c r="N491" s="20">
        <v>3105</v>
      </c>
      <c r="P491" s="16">
        <f>VLOOKUP(A491,'[3]Price info'!A:H,8,FALSE)</f>
        <v>63.335930000000005</v>
      </c>
      <c r="Q491" s="17">
        <f t="shared" si="29"/>
        <v>0.93100000000000005</v>
      </c>
      <c r="S491" s="16" t="e">
        <f>VLOOKUP(A491,[4]Sales!$E:$G,3,FALSE)</f>
        <v>#N/A</v>
      </c>
      <c r="T491" s="19" t="e">
        <f>VLOOKUP(A491,[4]Volume!$E:$G,3,FALSE)</f>
        <v>#N/A</v>
      </c>
      <c r="U491" s="19" t="e">
        <f>VLOOKUP(A491,[4]Piece!$E:$G,3,FALSE)</f>
        <v>#N/A</v>
      </c>
      <c r="V491" s="21" t="e">
        <f t="shared" si="30"/>
        <v>#N/A</v>
      </c>
      <c r="W491" s="16" t="e">
        <f t="shared" si="31"/>
        <v>#N/A</v>
      </c>
    </row>
    <row r="492" spans="1:23" hidden="1" x14ac:dyDescent="0.3">
      <c r="A492" s="22" t="s">
        <v>994</v>
      </c>
      <c r="B492" s="22" t="s">
        <v>994</v>
      </c>
      <c r="C492" s="23" t="s">
        <v>33</v>
      </c>
      <c r="D492" s="20" t="s">
        <v>34</v>
      </c>
      <c r="E492" s="22" t="s">
        <v>995</v>
      </c>
      <c r="F492" s="24" t="str">
        <f t="shared" si="28"/>
        <v>PPG - ProGold MICROFIBRE ROLLER 9"</v>
      </c>
      <c r="G492" s="23" t="s">
        <v>5367</v>
      </c>
      <c r="H492" s="25" t="s">
        <v>36</v>
      </c>
      <c r="I492" s="18" t="s">
        <v>37</v>
      </c>
      <c r="J492" s="18" t="s">
        <v>38</v>
      </c>
      <c r="K492" t="s">
        <v>39</v>
      </c>
      <c r="L492" s="26">
        <f>VLOOKUP(A492,'[3]Price info'!A:D,4,FALSE)</f>
        <v>2.2200000000000002</v>
      </c>
      <c r="M492" s="18" t="s">
        <v>40</v>
      </c>
      <c r="N492" s="20">
        <v>3105</v>
      </c>
      <c r="P492" s="16">
        <f>VLOOKUP(A492,'[3]Price info'!A:H,8,FALSE)</f>
        <v>2.0668200000000003</v>
      </c>
      <c r="Q492" s="27">
        <f t="shared" si="29"/>
        <v>0.93100000000000005</v>
      </c>
      <c r="S492" s="16">
        <f>VLOOKUP(A492,[4]Sales!$E:$G,3,FALSE)</f>
        <v>234.03999999999994</v>
      </c>
      <c r="T492" s="19">
        <f>VLOOKUP(A492,[4]Volume!$E:$G,3,FALSE)</f>
        <v>110</v>
      </c>
      <c r="U492" s="19">
        <f>VLOOKUP(A492,[4]Piece!$E:$G,3,FALSE)</f>
        <v>110</v>
      </c>
      <c r="V492" s="21">
        <f t="shared" si="30"/>
        <v>227.35020000000003</v>
      </c>
      <c r="W492" s="16">
        <f t="shared" si="31"/>
        <v>-6.6897999999999058</v>
      </c>
    </row>
    <row r="493" spans="1:23" hidden="1" x14ac:dyDescent="0.3">
      <c r="A493" s="22" t="s">
        <v>996</v>
      </c>
      <c r="B493" s="22" t="s">
        <v>996</v>
      </c>
      <c r="C493" s="23" t="s">
        <v>33</v>
      </c>
      <c r="D493" s="20" t="s">
        <v>34</v>
      </c>
      <c r="E493" s="22" t="s">
        <v>997</v>
      </c>
      <c r="F493" s="24" t="str">
        <f t="shared" si="28"/>
        <v>PPG - Leyland TG SMOOTH MASONRY - Black - 5ltr</v>
      </c>
      <c r="G493" s="23" t="s">
        <v>5368</v>
      </c>
      <c r="H493" s="25" t="s">
        <v>36</v>
      </c>
      <c r="I493" s="18" t="s">
        <v>37</v>
      </c>
      <c r="J493" s="18" t="s">
        <v>38</v>
      </c>
      <c r="K493" t="s">
        <v>39</v>
      </c>
      <c r="L493" s="26">
        <f>VLOOKUP(A493,'[3]Price info'!A:D,4,FALSE)</f>
        <v>16.010000000000002</v>
      </c>
      <c r="M493" s="18" t="s">
        <v>40</v>
      </c>
      <c r="N493" s="20">
        <v>3105</v>
      </c>
      <c r="P493" s="16">
        <f>VLOOKUP(A493,'[3]Price info'!A:H,8,FALSE)</f>
        <v>14.905310000000002</v>
      </c>
      <c r="Q493" s="27">
        <f t="shared" si="29"/>
        <v>0.93100000000000005</v>
      </c>
      <c r="S493" s="16">
        <f>VLOOKUP(A493,[4]Sales!$E:$G,3,FALSE)</f>
        <v>187.72</v>
      </c>
      <c r="T493" s="19">
        <f>VLOOKUP(A493,[4]Volume!$E:$G,3,FALSE)</f>
        <v>60</v>
      </c>
      <c r="U493" s="19">
        <f>VLOOKUP(A493,[4]Piece!$E:$G,3,FALSE)</f>
        <v>12</v>
      </c>
      <c r="V493" s="21">
        <f t="shared" si="30"/>
        <v>178.86372000000003</v>
      </c>
      <c r="W493" s="16">
        <f t="shared" si="31"/>
        <v>-8.8562799999999697</v>
      </c>
    </row>
    <row r="494" spans="1:23" hidden="1" x14ac:dyDescent="0.3">
      <c r="A494" s="46" t="s">
        <v>998</v>
      </c>
      <c r="B494" s="46" t="s">
        <v>998</v>
      </c>
      <c r="C494" s="47" t="s">
        <v>33</v>
      </c>
      <c r="D494" s="48" t="s">
        <v>34</v>
      </c>
      <c r="E494" s="18" t="s">
        <v>999</v>
      </c>
      <c r="F494" s="24" t="str">
        <f t="shared" si="28"/>
        <v>PPG - EWI   EPS 70E      50MM</v>
      </c>
      <c r="G494" s="20" t="s">
        <v>5369</v>
      </c>
      <c r="H494" s="49" t="s">
        <v>213</v>
      </c>
      <c r="I494" s="18" t="s">
        <v>37</v>
      </c>
      <c r="J494" s="18" t="s">
        <v>38</v>
      </c>
      <c r="K494" t="s">
        <v>39</v>
      </c>
      <c r="L494" s="50">
        <f>VLOOKUP(A494,'[3]Price info'!A:D,4,FALSE)</f>
        <v>4.0199999999999996</v>
      </c>
      <c r="M494" s="18" t="s">
        <v>214</v>
      </c>
      <c r="N494" s="20">
        <v>3105</v>
      </c>
      <c r="P494" s="16">
        <f>VLOOKUP(A494,'[3]Price info'!A:H,8,FALSE)</f>
        <v>4.0199999999999996</v>
      </c>
      <c r="Q494" s="17">
        <f t="shared" si="29"/>
        <v>1</v>
      </c>
      <c r="S494" s="16" t="e">
        <f>VLOOKUP(A494,[4]Sales!$E:$G,3,FALSE)</f>
        <v>#N/A</v>
      </c>
      <c r="T494" s="19" t="e">
        <f>VLOOKUP(A494,[4]Volume!$E:$G,3,FALSE)</f>
        <v>#N/A</v>
      </c>
      <c r="U494" s="19" t="e">
        <f>VLOOKUP(A494,[4]Piece!$E:$G,3,FALSE)</f>
        <v>#N/A</v>
      </c>
      <c r="V494" s="21" t="e">
        <f t="shared" si="30"/>
        <v>#N/A</v>
      </c>
      <c r="W494" s="16" t="e">
        <f t="shared" si="31"/>
        <v>#N/A</v>
      </c>
    </row>
    <row r="495" spans="1:23" hidden="1" x14ac:dyDescent="0.3">
      <c r="A495" t="s">
        <v>1000</v>
      </c>
      <c r="B495" t="s">
        <v>1000</v>
      </c>
      <c r="C495" s="23" t="s">
        <v>1001</v>
      </c>
      <c r="D495" s="20" t="s">
        <v>34</v>
      </c>
      <c r="E495" s="22" t="s">
        <v>1002</v>
      </c>
      <c r="F495" s="24" t="str">
        <f t="shared" si="28"/>
        <v>PPG - Artex GYPROC COVE  3M X 100MM</v>
      </c>
      <c r="G495" s="38" t="s">
        <v>5370</v>
      </c>
      <c r="H495" s="39" t="s">
        <v>213</v>
      </c>
      <c r="I495" s="40" t="s">
        <v>37</v>
      </c>
      <c r="J495" s="40" t="s">
        <v>38</v>
      </c>
      <c r="K495" s="41" t="s">
        <v>39</v>
      </c>
      <c r="L495" s="26">
        <f>VLOOKUP(A495,'[3]Price info'!A:D,4,FALSE)</f>
        <v>7.44</v>
      </c>
      <c r="M495" s="40" t="s">
        <v>1003</v>
      </c>
      <c r="N495" s="42">
        <v>3106</v>
      </c>
      <c r="O495" s="43"/>
      <c r="P495" s="16">
        <f>VLOOKUP(A495,'[3]Price info'!A:H,8,FALSE)</f>
        <v>5.42</v>
      </c>
      <c r="Q495" s="52">
        <f t="shared" si="29"/>
        <v>0.72849462365591389</v>
      </c>
      <c r="R495" s="40"/>
      <c r="S495" s="16">
        <f>VLOOKUP(A495,[4]Sales!$E:$G,3,FALSE)</f>
        <v>14.88</v>
      </c>
      <c r="T495" s="19">
        <f>VLOOKUP(A495,[4]Volume!$E:$G,3,FALSE)</f>
        <v>2</v>
      </c>
      <c r="U495" s="19">
        <f>VLOOKUP(A495,[4]Piece!$E:$G,3,FALSE)</f>
        <v>2</v>
      </c>
      <c r="V495" s="21">
        <f t="shared" si="30"/>
        <v>10.84</v>
      </c>
      <c r="W495" s="16">
        <f t="shared" si="31"/>
        <v>-4.0400000000000009</v>
      </c>
    </row>
    <row r="496" spans="1:23" hidden="1" x14ac:dyDescent="0.3">
      <c r="A496" s="22" t="s">
        <v>1004</v>
      </c>
      <c r="B496" s="22" t="s">
        <v>1004</v>
      </c>
      <c r="C496" s="23" t="s">
        <v>33</v>
      </c>
      <c r="D496" s="20" t="s">
        <v>34</v>
      </c>
      <c r="E496" s="22" t="s">
        <v>1005</v>
      </c>
      <c r="F496" s="24" t="str">
        <f t="shared" si="28"/>
        <v>PPG - Johnstones S/SHIELD STAB SOLU - White - 5ltr</v>
      </c>
      <c r="G496" s="23" t="s">
        <v>5371</v>
      </c>
      <c r="H496" s="25" t="s">
        <v>36</v>
      </c>
      <c r="I496" s="18" t="s">
        <v>37</v>
      </c>
      <c r="J496" s="18" t="s">
        <v>38</v>
      </c>
      <c r="K496" t="s">
        <v>39</v>
      </c>
      <c r="L496" s="26">
        <f>VLOOKUP(A496,'[3]Price info'!A:D,4,FALSE)</f>
        <v>46.69</v>
      </c>
      <c r="M496" s="18" t="s">
        <v>40</v>
      </c>
      <c r="N496" s="20">
        <v>3105</v>
      </c>
      <c r="P496" s="16">
        <f>VLOOKUP(A496,'[3]Price info'!A:H,8,FALSE)</f>
        <v>43.468389999999999</v>
      </c>
      <c r="Q496" s="27">
        <f t="shared" si="29"/>
        <v>0.93100000000000005</v>
      </c>
      <c r="S496" s="16">
        <f>VLOOKUP(A496,[4]Sales!$E:$G,3,FALSE)</f>
        <v>2086.56</v>
      </c>
      <c r="T496" s="19">
        <f>VLOOKUP(A496,[4]Volume!$E:$G,3,FALSE)</f>
        <v>240</v>
      </c>
      <c r="U496" s="19">
        <f>VLOOKUP(A496,[4]Piece!$E:$G,3,FALSE)</f>
        <v>48</v>
      </c>
      <c r="V496" s="21">
        <f t="shared" si="30"/>
        <v>2086.48272</v>
      </c>
      <c r="W496" s="16">
        <f t="shared" si="31"/>
        <v>-7.727999999997337E-2</v>
      </c>
    </row>
    <row r="497" spans="1:23" hidden="1" x14ac:dyDescent="0.3">
      <c r="A497" s="22" t="s">
        <v>1006</v>
      </c>
      <c r="B497" s="22" t="s">
        <v>1006</v>
      </c>
      <c r="C497" s="23" t="s">
        <v>33</v>
      </c>
      <c r="D497" s="20" t="s">
        <v>34</v>
      </c>
      <c r="E497" s="22" t="s">
        <v>1007</v>
      </c>
      <c r="F497" s="24" t="str">
        <f t="shared" si="28"/>
        <v>PPG - Johnstones SOLV OPAQUE - Forest Grn- 5ltr</v>
      </c>
      <c r="G497" s="23" t="s">
        <v>5372</v>
      </c>
      <c r="H497" s="25" t="s">
        <v>36</v>
      </c>
      <c r="I497" s="18" t="s">
        <v>37</v>
      </c>
      <c r="J497" s="18" t="s">
        <v>38</v>
      </c>
      <c r="K497" t="s">
        <v>39</v>
      </c>
      <c r="L497" s="26">
        <f>VLOOKUP(A497,'[3]Price info'!A:D,4,FALSE)</f>
        <v>21.15</v>
      </c>
      <c r="M497" s="18" t="s">
        <v>40</v>
      </c>
      <c r="N497" s="20">
        <v>3105</v>
      </c>
      <c r="P497" s="16">
        <f>VLOOKUP(A497,'[3]Price info'!A:H,8,FALSE)</f>
        <v>27.5</v>
      </c>
      <c r="Q497" s="27">
        <f t="shared" si="29"/>
        <v>1.3002364066193854</v>
      </c>
      <c r="S497" s="16">
        <f>VLOOKUP(A497,[4]Sales!$E:$G,3,FALSE)</f>
        <v>1903.5</v>
      </c>
      <c r="T497" s="19">
        <f>VLOOKUP(A497,[4]Volume!$E:$G,3,FALSE)</f>
        <v>450</v>
      </c>
      <c r="U497" s="19">
        <f>VLOOKUP(A497,[4]Piece!$E:$G,3,FALSE)</f>
        <v>90</v>
      </c>
      <c r="V497" s="21">
        <f t="shared" si="30"/>
        <v>2475</v>
      </c>
      <c r="W497" s="16">
        <f t="shared" si="31"/>
        <v>571.5</v>
      </c>
    </row>
    <row r="498" spans="1:23" hidden="1" x14ac:dyDescent="0.3">
      <c r="A498" s="46" t="s">
        <v>1008</v>
      </c>
      <c r="B498" s="46" t="s">
        <v>1008</v>
      </c>
      <c r="C498" s="51" t="s">
        <v>33</v>
      </c>
      <c r="D498" s="48" t="s">
        <v>34</v>
      </c>
      <c r="E498" s="18" t="s">
        <v>1009</v>
      </c>
      <c r="F498" s="24" t="str">
        <f t="shared" si="28"/>
        <v>PPG - JST  QD POLY FLORTRED Z1 2010      1500</v>
      </c>
      <c r="G498" s="20" t="s">
        <v>5373</v>
      </c>
      <c r="H498" s="49" t="s">
        <v>213</v>
      </c>
      <c r="I498" s="18" t="s">
        <v>37</v>
      </c>
      <c r="J498" s="18" t="s">
        <v>38</v>
      </c>
      <c r="K498" t="s">
        <v>39</v>
      </c>
      <c r="L498" s="50">
        <f>VLOOKUP(A498,'[3]Price info'!A:D,4,FALSE)</f>
        <v>82.81</v>
      </c>
      <c r="M498" s="18" t="s">
        <v>214</v>
      </c>
      <c r="N498" s="20">
        <v>3105</v>
      </c>
      <c r="P498" s="16">
        <f>VLOOKUP(A498,'[3]Price info'!A:H,8,FALSE)</f>
        <v>77.09611000000001</v>
      </c>
      <c r="Q498" s="17">
        <f t="shared" si="29"/>
        <v>0.93100000000000005</v>
      </c>
      <c r="S498" s="16" t="e">
        <f>VLOOKUP(A498,[4]Sales!$E:$G,3,FALSE)</f>
        <v>#N/A</v>
      </c>
      <c r="T498" s="19" t="e">
        <f>VLOOKUP(A498,[4]Volume!$E:$G,3,FALSE)</f>
        <v>#N/A</v>
      </c>
      <c r="U498" s="19" t="e">
        <f>VLOOKUP(A498,[4]Piece!$E:$G,3,FALSE)</f>
        <v>#N/A</v>
      </c>
      <c r="V498" s="21" t="e">
        <f t="shared" si="30"/>
        <v>#N/A</v>
      </c>
      <c r="W498" s="16" t="e">
        <f t="shared" si="31"/>
        <v>#N/A</v>
      </c>
    </row>
    <row r="499" spans="1:23" hidden="1" x14ac:dyDescent="0.3">
      <c r="A499" s="46" t="s">
        <v>1010</v>
      </c>
      <c r="B499" s="46" t="s">
        <v>1010</v>
      </c>
      <c r="C499" s="47" t="s">
        <v>33</v>
      </c>
      <c r="D499" s="48" t="s">
        <v>34</v>
      </c>
      <c r="E499" s="18" t="s">
        <v>1011</v>
      </c>
      <c r="F499" s="24" t="str">
        <f t="shared" si="28"/>
        <v>PPG - QTECH QTECTOR PUMP COND 3.8LT Q400-011</v>
      </c>
      <c r="G499" s="20" t="s">
        <v>5374</v>
      </c>
      <c r="H499" s="49" t="s">
        <v>213</v>
      </c>
      <c r="I499" s="18" t="s">
        <v>37</v>
      </c>
      <c r="J499" s="18" t="s">
        <v>38</v>
      </c>
      <c r="K499" t="s">
        <v>39</v>
      </c>
      <c r="L499" s="50">
        <f>VLOOKUP(A499,'[3]Price info'!A:D,4,FALSE)</f>
        <v>46.01</v>
      </c>
      <c r="M499" s="18" t="s">
        <v>214</v>
      </c>
      <c r="N499" s="20">
        <v>3105</v>
      </c>
      <c r="P499" s="16">
        <f>VLOOKUP(A499,'[3]Price info'!A:H,8,FALSE)</f>
        <v>42.83531</v>
      </c>
      <c r="Q499" s="17">
        <f t="shared" si="29"/>
        <v>0.93100000000000005</v>
      </c>
      <c r="S499" s="16">
        <f>VLOOKUP(A499,[4]Sales!$E:$G,3,FALSE)</f>
        <v>46.36</v>
      </c>
      <c r="T499" s="19">
        <f>VLOOKUP(A499,[4]Volume!$E:$G,3,FALSE)</f>
        <v>1</v>
      </c>
      <c r="U499" s="19">
        <f>VLOOKUP(A499,[4]Piece!$E:$G,3,FALSE)</f>
        <v>1</v>
      </c>
      <c r="V499" s="21">
        <f t="shared" si="30"/>
        <v>42.83531</v>
      </c>
      <c r="W499" s="16">
        <f t="shared" si="31"/>
        <v>-3.5246899999999997</v>
      </c>
    </row>
    <row r="500" spans="1:23" hidden="1" x14ac:dyDescent="0.3">
      <c r="A500" s="46" t="s">
        <v>1012</v>
      </c>
      <c r="B500" s="46" t="s">
        <v>1012</v>
      </c>
      <c r="C500" s="47" t="s">
        <v>33</v>
      </c>
      <c r="D500" s="48" t="s">
        <v>34</v>
      </c>
      <c r="E500" s="18" t="s">
        <v>1013</v>
      </c>
      <c r="F500" s="24" t="str">
        <f t="shared" si="28"/>
        <v>PPG - EWI   DT-PRO PLAST TAPE 50MT  OUTSIDE GR</v>
      </c>
      <c r="G500" s="20" t="s">
        <v>5375</v>
      </c>
      <c r="H500" s="49" t="s">
        <v>213</v>
      </c>
      <c r="I500" s="18" t="s">
        <v>37</v>
      </c>
      <c r="J500" s="18" t="s">
        <v>38</v>
      </c>
      <c r="K500" t="s">
        <v>39</v>
      </c>
      <c r="L500" s="50">
        <f>VLOOKUP(A500,'[3]Price info'!A:D,4,FALSE)</f>
        <v>5.51</v>
      </c>
      <c r="M500" s="18" t="s">
        <v>214</v>
      </c>
      <c r="N500" s="20">
        <v>3105</v>
      </c>
      <c r="P500" s="16">
        <f>VLOOKUP(A500,'[3]Price info'!A:H,8,FALSE)</f>
        <v>4.7699999999999996</v>
      </c>
      <c r="Q500" s="17">
        <f t="shared" si="29"/>
        <v>0.8656987295825771</v>
      </c>
      <c r="S500" s="16">
        <f>VLOOKUP(A500,[4]Sales!$E:$G,3,FALSE)</f>
        <v>0</v>
      </c>
      <c r="T500" s="19">
        <f>VLOOKUP(A500,[4]Volume!$E:$G,3,FALSE)</f>
        <v>1</v>
      </c>
      <c r="U500" s="19">
        <f>VLOOKUP(A500,[4]Piece!$E:$G,3,FALSE)</f>
        <v>1</v>
      </c>
      <c r="V500" s="21">
        <f t="shared" si="30"/>
        <v>4.7699999999999996</v>
      </c>
      <c r="W500" s="16">
        <f t="shared" si="31"/>
        <v>4.7699999999999996</v>
      </c>
    </row>
    <row r="501" spans="1:23" hidden="1" x14ac:dyDescent="0.3">
      <c r="A501" s="22" t="s">
        <v>1014</v>
      </c>
      <c r="B501" s="22" t="s">
        <v>1014</v>
      </c>
      <c r="C501" s="23" t="s">
        <v>33</v>
      </c>
      <c r="D501" s="20" t="s">
        <v>34</v>
      </c>
      <c r="E501" s="22" t="s">
        <v>1015</v>
      </c>
      <c r="F501" s="24" t="str">
        <f t="shared" si="28"/>
        <v>PPG - Woodworks YACHT VARN - Clear Gloss - 2.5ltr</v>
      </c>
      <c r="G501" s="23" t="s">
        <v>5376</v>
      </c>
      <c r="H501" s="25" t="s">
        <v>36</v>
      </c>
      <c r="I501" s="18" t="s">
        <v>37</v>
      </c>
      <c r="J501" s="18" t="s">
        <v>38</v>
      </c>
      <c r="K501" t="s">
        <v>39</v>
      </c>
      <c r="L501" s="26">
        <f>VLOOKUP(A501,'[3]Price info'!A:D,4,FALSE)</f>
        <v>23.95</v>
      </c>
      <c r="M501" s="18" t="s">
        <v>40</v>
      </c>
      <c r="N501" s="20">
        <v>3105</v>
      </c>
      <c r="P501" s="16">
        <f>VLOOKUP(A501,'[3]Price info'!A:H,8,FALSE)</f>
        <v>22.297450000000001</v>
      </c>
      <c r="Q501" s="27">
        <f t="shared" si="29"/>
        <v>0.93100000000000005</v>
      </c>
      <c r="S501" s="16">
        <f>VLOOKUP(A501,[4]Sales!$E:$G,3,FALSE)</f>
        <v>68.55</v>
      </c>
      <c r="T501" s="19">
        <f>VLOOKUP(A501,[4]Volume!$E:$G,3,FALSE)</f>
        <v>7.5</v>
      </c>
      <c r="U501" s="19">
        <f>VLOOKUP(A501,[4]Piece!$E:$G,3,FALSE)</f>
        <v>3</v>
      </c>
      <c r="V501" s="21">
        <f t="shared" si="30"/>
        <v>66.892350000000008</v>
      </c>
      <c r="W501" s="16">
        <f t="shared" si="31"/>
        <v>-1.6576499999999896</v>
      </c>
    </row>
    <row r="502" spans="1:23" hidden="1" x14ac:dyDescent="0.3">
      <c r="A502" s="22" t="s">
        <v>1016</v>
      </c>
      <c r="B502" s="22" t="s">
        <v>1016</v>
      </c>
      <c r="C502" s="23" t="s">
        <v>33</v>
      </c>
      <c r="D502" s="20" t="s">
        <v>34</v>
      </c>
      <c r="E502" s="22" t="s">
        <v>1017</v>
      </c>
      <c r="F502" s="24" t="str">
        <f t="shared" si="28"/>
        <v>PPG - Johnstones PROF SATIN FINISH - BW - 1ltr</v>
      </c>
      <c r="G502" s="23" t="s">
        <v>5377</v>
      </c>
      <c r="H502" s="25" t="s">
        <v>36</v>
      </c>
      <c r="I502" s="18" t="s">
        <v>37</v>
      </c>
      <c r="J502" s="18" t="s">
        <v>38</v>
      </c>
      <c r="K502" t="s">
        <v>39</v>
      </c>
      <c r="L502" s="26">
        <f>VLOOKUP(A502,'[3]Price info'!A:D,4,FALSE)</f>
        <v>9.69</v>
      </c>
      <c r="M502" s="18" t="s">
        <v>40</v>
      </c>
      <c r="N502" s="20">
        <v>3105</v>
      </c>
      <c r="P502" s="16">
        <f>VLOOKUP(A502,'[3]Price info'!A:H,8,FALSE)</f>
        <v>9.0213900000000002</v>
      </c>
      <c r="Q502" s="27">
        <f t="shared" si="29"/>
        <v>0.93100000000000005</v>
      </c>
      <c r="S502" s="16">
        <f>VLOOKUP(A502,[4]Sales!$E:$G,3,FALSE)</f>
        <v>394.21</v>
      </c>
      <c r="T502" s="19">
        <f>VLOOKUP(A502,[4]Volume!$E:$G,3,FALSE)</f>
        <v>43</v>
      </c>
      <c r="U502" s="19">
        <f>VLOOKUP(A502,[4]Piece!$E:$G,3,FALSE)</f>
        <v>43</v>
      </c>
      <c r="V502" s="21">
        <f t="shared" si="30"/>
        <v>387.91977000000003</v>
      </c>
      <c r="W502" s="16">
        <f t="shared" si="31"/>
        <v>-6.2902299999999514</v>
      </c>
    </row>
    <row r="503" spans="1:23" hidden="1" x14ac:dyDescent="0.3">
      <c r="A503" s="46" t="s">
        <v>1018</v>
      </c>
      <c r="B503" s="46" t="s">
        <v>1018</v>
      </c>
      <c r="C503" s="51" t="s">
        <v>33</v>
      </c>
      <c r="D503" s="48" t="s">
        <v>34</v>
      </c>
      <c r="E503" s="18" t="s">
        <v>1019</v>
      </c>
      <c r="F503" s="24" t="str">
        <f t="shared" si="28"/>
        <v>PPG - K     HANDLE FRAME 4" LONG</v>
      </c>
      <c r="G503" s="20" t="s">
        <v>5378</v>
      </c>
      <c r="H503" s="49" t="s">
        <v>213</v>
      </c>
      <c r="I503" s="18" t="s">
        <v>37</v>
      </c>
      <c r="J503" s="18" t="s">
        <v>38</v>
      </c>
      <c r="K503" t="s">
        <v>39</v>
      </c>
      <c r="L503" s="50">
        <f>VLOOKUP(A503,'[3]Price info'!A:D,4,FALSE)</f>
        <v>0.67</v>
      </c>
      <c r="M503" s="18" t="s">
        <v>214</v>
      </c>
      <c r="N503" s="20">
        <v>3105</v>
      </c>
      <c r="P503" s="16">
        <f>VLOOKUP(A503,'[3]Price info'!A:H,8,FALSE)</f>
        <v>0.7370000000000001</v>
      </c>
      <c r="Q503" s="17">
        <f t="shared" si="29"/>
        <v>1.1000000000000001</v>
      </c>
      <c r="S503" s="16">
        <f>VLOOKUP(A503,[4]Sales!$E:$G,3,FALSE)</f>
        <v>296.74999999999983</v>
      </c>
      <c r="T503" s="19">
        <f>VLOOKUP(A503,[4]Volume!$E:$G,3,FALSE)</f>
        <v>429</v>
      </c>
      <c r="U503" s="19">
        <f>VLOOKUP(A503,[4]Piece!$E:$G,3,FALSE)</f>
        <v>429</v>
      </c>
      <c r="V503" s="21">
        <f t="shared" si="30"/>
        <v>316.17300000000006</v>
      </c>
      <c r="W503" s="16">
        <f t="shared" si="31"/>
        <v>19.423000000000229</v>
      </c>
    </row>
    <row r="504" spans="1:23" hidden="1" x14ac:dyDescent="0.3">
      <c r="A504" s="22" t="s">
        <v>1020</v>
      </c>
      <c r="B504" s="22" t="s">
        <v>1020</v>
      </c>
      <c r="C504" s="23" t="s">
        <v>33</v>
      </c>
      <c r="D504" s="20" t="s">
        <v>34</v>
      </c>
      <c r="E504" s="22" t="s">
        <v>1021</v>
      </c>
      <c r="F504" s="24" t="str">
        <f t="shared" si="28"/>
        <v>PPG - Johnstones COVAPLUS - Mix - 1ltr</v>
      </c>
      <c r="G504" s="23" t="s">
        <v>5379</v>
      </c>
      <c r="H504" s="25" t="s">
        <v>36</v>
      </c>
      <c r="I504" s="18" t="s">
        <v>37</v>
      </c>
      <c r="J504" s="18" t="s">
        <v>38</v>
      </c>
      <c r="K504" t="s">
        <v>39</v>
      </c>
      <c r="L504" s="26">
        <f>VLOOKUP(A504,'[3]Price info'!A:D,4,FALSE)</f>
        <v>7.64</v>
      </c>
      <c r="M504" s="18" t="s">
        <v>40</v>
      </c>
      <c r="N504" s="20">
        <v>3105</v>
      </c>
      <c r="P504" s="16">
        <f>VLOOKUP(A504,'[3]Price info'!A:H,8,FALSE)</f>
        <v>4.93</v>
      </c>
      <c r="Q504" s="27">
        <f t="shared" si="29"/>
        <v>0.64528795811518325</v>
      </c>
      <c r="S504" s="16">
        <f>VLOOKUP(A504,[4]Sales!$E:$G,3,FALSE)</f>
        <v>128.41</v>
      </c>
      <c r="T504" s="19">
        <f>VLOOKUP(A504,[4]Volume!$E:$G,3,FALSE)</f>
        <v>20</v>
      </c>
      <c r="U504" s="19">
        <f>VLOOKUP(A504,[4]Piece!$E:$G,3,FALSE)</f>
        <v>20</v>
      </c>
      <c r="V504" s="21">
        <f t="shared" si="30"/>
        <v>98.6</v>
      </c>
      <c r="W504" s="16">
        <f t="shared" si="31"/>
        <v>-29.810000000000002</v>
      </c>
    </row>
    <row r="505" spans="1:23" hidden="1" x14ac:dyDescent="0.3">
      <c r="A505" s="46" t="s">
        <v>1022</v>
      </c>
      <c r="B505" s="46" t="s">
        <v>1022</v>
      </c>
      <c r="C505" s="47" t="s">
        <v>33</v>
      </c>
      <c r="D505" s="48" t="s">
        <v>34</v>
      </c>
      <c r="E505" s="18" t="s">
        <v>1023</v>
      </c>
      <c r="F505" s="24" t="str">
        <f t="shared" si="28"/>
        <v>PPG - FROGT FROG TAPE    36MM       DELICATE</v>
      </c>
      <c r="G505" s="20" t="s">
        <v>5380</v>
      </c>
      <c r="H505" s="49" t="s">
        <v>213</v>
      </c>
      <c r="I505" s="18" t="s">
        <v>37</v>
      </c>
      <c r="J505" s="18" t="s">
        <v>38</v>
      </c>
      <c r="K505" t="s">
        <v>39</v>
      </c>
      <c r="L505" s="50">
        <f>VLOOKUP(A505,'[3]Price info'!A:D,4,FALSE)</f>
        <v>6.04</v>
      </c>
      <c r="M505" s="18" t="s">
        <v>214</v>
      </c>
      <c r="N505" s="20">
        <v>3105</v>
      </c>
      <c r="P505" s="16">
        <f>VLOOKUP(A505,'[3]Price info'!A:H,8,FALSE)</f>
        <v>5.62324</v>
      </c>
      <c r="Q505" s="17">
        <f t="shared" si="29"/>
        <v>0.93100000000000005</v>
      </c>
      <c r="S505" s="16">
        <f>VLOOKUP(A505,[4]Sales!$E:$G,3,FALSE)</f>
        <v>399.68</v>
      </c>
      <c r="T505" s="19">
        <f>VLOOKUP(A505,[4]Volume!$E:$G,3,FALSE)</f>
        <v>68</v>
      </c>
      <c r="U505" s="19">
        <f>VLOOKUP(A505,[4]Piece!$E:$G,3,FALSE)</f>
        <v>68</v>
      </c>
      <c r="V505" s="21">
        <f t="shared" si="30"/>
        <v>382.38031999999998</v>
      </c>
      <c r="W505" s="16">
        <f t="shared" si="31"/>
        <v>-17.299680000000023</v>
      </c>
    </row>
    <row r="506" spans="1:23" hidden="1" x14ac:dyDescent="0.3">
      <c r="A506" s="22" t="s">
        <v>1024</v>
      </c>
      <c r="B506" s="22" t="s">
        <v>1024</v>
      </c>
      <c r="C506" s="23" t="s">
        <v>33</v>
      </c>
      <c r="D506" s="20" t="s">
        <v>34</v>
      </c>
      <c r="E506" s="22" t="s">
        <v>1025</v>
      </c>
      <c r="F506" s="24" t="str">
        <f t="shared" si="28"/>
        <v>PPG - Leyland ACRYLIC EGGSHELL - Magnolia - 10ltr</v>
      </c>
      <c r="G506" s="23" t="s">
        <v>5381</v>
      </c>
      <c r="H506" s="25" t="s">
        <v>36</v>
      </c>
      <c r="I506" s="18" t="s">
        <v>37</v>
      </c>
      <c r="J506" s="18" t="s">
        <v>38</v>
      </c>
      <c r="K506" t="s">
        <v>39</v>
      </c>
      <c r="L506" s="26">
        <f>VLOOKUP(A506,'[3]Price info'!A:D,4,FALSE)</f>
        <v>55.07</v>
      </c>
      <c r="M506" s="18" t="s">
        <v>40</v>
      </c>
      <c r="N506" s="20">
        <v>3105</v>
      </c>
      <c r="P506" s="16">
        <f>VLOOKUP(A506,'[3]Price info'!A:H,8,FALSE)</f>
        <v>31.28</v>
      </c>
      <c r="Q506" s="27">
        <f t="shared" si="29"/>
        <v>0.56800435808970406</v>
      </c>
      <c r="S506" s="16" t="e">
        <f>VLOOKUP(A506,[4]Sales!$E:$G,3,FALSE)</f>
        <v>#N/A</v>
      </c>
      <c r="T506" s="19" t="e">
        <f>VLOOKUP(A506,[4]Volume!$E:$G,3,FALSE)</f>
        <v>#N/A</v>
      </c>
      <c r="U506" s="19" t="e">
        <f>VLOOKUP(A506,[4]Piece!$E:$G,3,FALSE)</f>
        <v>#N/A</v>
      </c>
      <c r="V506" s="21" t="e">
        <f t="shared" si="30"/>
        <v>#N/A</v>
      </c>
      <c r="W506" s="16" t="e">
        <f t="shared" si="31"/>
        <v>#N/A</v>
      </c>
    </row>
    <row r="507" spans="1:23" hidden="1" x14ac:dyDescent="0.3">
      <c r="A507" s="22" t="s">
        <v>1026</v>
      </c>
      <c r="B507" s="22" t="s">
        <v>1026</v>
      </c>
      <c r="C507" s="23" t="s">
        <v>33</v>
      </c>
      <c r="D507" s="20" t="s">
        <v>34</v>
      </c>
      <c r="E507" s="22" t="s">
        <v>1027</v>
      </c>
      <c r="F507" s="24" t="str">
        <f t="shared" si="28"/>
        <v>PPG - HARRIS &amp; HAMILTON SCISSORS</v>
      </c>
      <c r="G507" s="23" t="s">
        <v>5382</v>
      </c>
      <c r="H507" s="25" t="s">
        <v>36</v>
      </c>
      <c r="I507" s="18" t="s">
        <v>37</v>
      </c>
      <c r="J507" s="18" t="s">
        <v>38</v>
      </c>
      <c r="K507" t="s">
        <v>39</v>
      </c>
      <c r="L507" s="26">
        <f>VLOOKUP(A507,'[3]Price info'!A:D,4,FALSE)</f>
        <v>8.83</v>
      </c>
      <c r="M507" s="18" t="s">
        <v>40</v>
      </c>
      <c r="N507" s="20">
        <v>3105</v>
      </c>
      <c r="P507" s="16">
        <f>VLOOKUP(A507,'[3]Price info'!A:H,8,FALSE)</f>
        <v>8.2207299999999996</v>
      </c>
      <c r="Q507" s="27">
        <f t="shared" si="29"/>
        <v>0.93099999999999994</v>
      </c>
      <c r="S507" s="16">
        <f>VLOOKUP(A507,[4]Sales!$E:$G,3,FALSE)</f>
        <v>203.98999999999998</v>
      </c>
      <c r="T507" s="19">
        <f>VLOOKUP(A507,[4]Volume!$E:$G,3,FALSE)</f>
        <v>87</v>
      </c>
      <c r="U507" s="19">
        <f>VLOOKUP(A507,[4]Piece!$E:$G,3,FALSE)</f>
        <v>87</v>
      </c>
      <c r="V507" s="21">
        <f t="shared" si="30"/>
        <v>715.20350999999994</v>
      </c>
      <c r="W507" s="16">
        <f t="shared" si="31"/>
        <v>511.21350999999993</v>
      </c>
    </row>
    <row r="508" spans="1:23" hidden="1" x14ac:dyDescent="0.3">
      <c r="A508" s="53" t="s">
        <v>1028</v>
      </c>
      <c r="B508" s="54" t="s">
        <v>1028</v>
      </c>
      <c r="C508" s="47" t="s">
        <v>33</v>
      </c>
      <c r="D508" s="48" t="s">
        <v>34</v>
      </c>
      <c r="E508" s="22" t="s">
        <v>1029</v>
      </c>
      <c r="F508" s="24" t="str">
        <f t="shared" si="28"/>
        <v>PPG - REFUSE SACKS (10) POLY  BLACK RS10</v>
      </c>
      <c r="G508" s="20" t="s">
        <v>5383</v>
      </c>
      <c r="H508" s="25" t="s">
        <v>36</v>
      </c>
      <c r="I508" s="18" t="s">
        <v>37</v>
      </c>
      <c r="J508" s="18" t="s">
        <v>38</v>
      </c>
      <c r="K508" t="s">
        <v>39</v>
      </c>
      <c r="L508" s="26">
        <f>VLOOKUP(A508,'[3]Price info'!A:D,4,FALSE)</f>
        <v>1.25</v>
      </c>
      <c r="M508" s="18" t="s">
        <v>214</v>
      </c>
      <c r="N508" s="20">
        <v>3105</v>
      </c>
      <c r="P508" s="16">
        <f>VLOOKUP(A508,'[3]Price info'!A:H,8,FALSE)</f>
        <v>1.1637500000000001</v>
      </c>
      <c r="Q508" s="27">
        <f t="shared" si="29"/>
        <v>0.93100000000000005</v>
      </c>
      <c r="S508" s="16">
        <f>VLOOKUP(A508,[4]Sales!$E:$G,3,FALSE)</f>
        <v>153.63999999999999</v>
      </c>
      <c r="T508" s="19">
        <f>VLOOKUP(A508,[4]Volume!$E:$G,3,FALSE)</f>
        <v>130</v>
      </c>
      <c r="U508" s="19">
        <f>VLOOKUP(A508,[4]Piece!$E:$G,3,FALSE)</f>
        <v>130</v>
      </c>
      <c r="V508" s="21">
        <f t="shared" si="30"/>
        <v>151.28749999999999</v>
      </c>
      <c r="W508" s="16">
        <f t="shared" si="31"/>
        <v>-2.352499999999992</v>
      </c>
    </row>
    <row r="509" spans="1:23" hidden="1" x14ac:dyDescent="0.3">
      <c r="A509" s="22" t="s">
        <v>1030</v>
      </c>
      <c r="B509" s="22" t="s">
        <v>1030</v>
      </c>
      <c r="C509" s="23" t="s">
        <v>33</v>
      </c>
      <c r="D509" s="20" t="s">
        <v>34</v>
      </c>
      <c r="E509" s="22" t="s">
        <v>1031</v>
      </c>
      <c r="F509" s="24" t="str">
        <f t="shared" si="28"/>
        <v>PPG - Johnstones SATIN WOODSTAIN - Teak - 5ltr</v>
      </c>
      <c r="G509" s="23" t="s">
        <v>5384</v>
      </c>
      <c r="H509" s="25" t="s">
        <v>36</v>
      </c>
      <c r="I509" s="18" t="s">
        <v>37</v>
      </c>
      <c r="J509" s="18" t="s">
        <v>38</v>
      </c>
      <c r="K509" t="s">
        <v>39</v>
      </c>
      <c r="L509" s="26">
        <f>VLOOKUP(A509,'[3]Price info'!A:D,4,FALSE)</f>
        <v>29.65</v>
      </c>
      <c r="M509" s="18" t="s">
        <v>40</v>
      </c>
      <c r="N509" s="20">
        <v>3105</v>
      </c>
      <c r="P509" s="16">
        <f>VLOOKUP(A509,'[3]Price info'!A:H,8,FALSE)</f>
        <v>27.604150000000001</v>
      </c>
      <c r="Q509" s="27">
        <f t="shared" si="29"/>
        <v>0.93100000000000005</v>
      </c>
      <c r="S509" s="16">
        <f>VLOOKUP(A509,[4]Sales!$E:$G,3,FALSE)</f>
        <v>431.54</v>
      </c>
      <c r="T509" s="19">
        <f>VLOOKUP(A509,[4]Volume!$E:$G,3,FALSE)</f>
        <v>80</v>
      </c>
      <c r="U509" s="19">
        <f>VLOOKUP(A509,[4]Piece!$E:$G,3,FALSE)</f>
        <v>16</v>
      </c>
      <c r="V509" s="21">
        <f t="shared" si="30"/>
        <v>441.66640000000001</v>
      </c>
      <c r="W509" s="16">
        <f t="shared" si="31"/>
        <v>10.12639999999999</v>
      </c>
    </row>
    <row r="510" spans="1:23" hidden="1" x14ac:dyDescent="0.3">
      <c r="A510" s="46" t="s">
        <v>1032</v>
      </c>
      <c r="B510" s="46" t="s">
        <v>1032</v>
      </c>
      <c r="C510" s="47" t="s">
        <v>33</v>
      </c>
      <c r="D510" s="48" t="s">
        <v>34</v>
      </c>
      <c r="E510" s="18" t="s">
        <v>1033</v>
      </c>
      <c r="F510" s="24" t="str">
        <f t="shared" si="28"/>
        <v>PPG - PURDY 9"SLEEVE     13/4C 3/4N MARATHON</v>
      </c>
      <c r="G510" s="20" t="s">
        <v>5385</v>
      </c>
      <c r="H510" s="49" t="s">
        <v>213</v>
      </c>
      <c r="I510" s="18" t="s">
        <v>37</v>
      </c>
      <c r="J510" s="18" t="s">
        <v>38</v>
      </c>
      <c r="K510" t="s">
        <v>39</v>
      </c>
      <c r="L510" s="50">
        <f>VLOOKUP(A510,'[3]Price info'!A:D,4,FALSE)</f>
        <v>5.85</v>
      </c>
      <c r="M510" s="18" t="s">
        <v>214</v>
      </c>
      <c r="N510" s="20">
        <v>3105</v>
      </c>
      <c r="P510" s="16">
        <f>VLOOKUP(A510,'[3]Price info'!A:H,8,FALSE)</f>
        <v>5.4463499999999998</v>
      </c>
      <c r="Q510" s="17">
        <f t="shared" si="29"/>
        <v>0.93100000000000005</v>
      </c>
      <c r="S510" s="16">
        <f>VLOOKUP(A510,[4]Sales!$E:$G,3,FALSE)</f>
        <v>67</v>
      </c>
      <c r="T510" s="19">
        <f>VLOOKUP(A510,[4]Volume!$E:$G,3,FALSE)</f>
        <v>12</v>
      </c>
      <c r="U510" s="19">
        <f>VLOOKUP(A510,[4]Piece!$E:$G,3,FALSE)</f>
        <v>12</v>
      </c>
      <c r="V510" s="21">
        <f t="shared" si="30"/>
        <v>65.356200000000001</v>
      </c>
      <c r="W510" s="16">
        <f t="shared" si="31"/>
        <v>-1.6437999999999988</v>
      </c>
    </row>
    <row r="511" spans="1:23" hidden="1" x14ac:dyDescent="0.3">
      <c r="A511" s="22" t="s">
        <v>1034</v>
      </c>
      <c r="B511" s="22" t="s">
        <v>1034</v>
      </c>
      <c r="C511" s="23" t="s">
        <v>33</v>
      </c>
      <c r="D511" s="20" t="s">
        <v>34</v>
      </c>
      <c r="E511" s="22" t="s">
        <v>1035</v>
      </c>
      <c r="F511" s="24" t="str">
        <f t="shared" si="28"/>
        <v>PPG - Johnstones ADV STAIN BLOCK PRIMER - BW - 5l</v>
      </c>
      <c r="G511" s="23" t="s">
        <v>5386</v>
      </c>
      <c r="H511" s="25" t="s">
        <v>36</v>
      </c>
      <c r="I511" s="18" t="s">
        <v>37</v>
      </c>
      <c r="J511" s="18" t="s">
        <v>38</v>
      </c>
      <c r="K511" t="s">
        <v>39</v>
      </c>
      <c r="L511" s="26">
        <f>VLOOKUP(A511,'[3]Price info'!A:D,4,FALSE)</f>
        <v>71.7</v>
      </c>
      <c r="M511" s="18" t="s">
        <v>40</v>
      </c>
      <c r="N511" s="20">
        <v>3105</v>
      </c>
      <c r="P511" s="16">
        <f>VLOOKUP(A511,'[3]Price info'!A:H,8,FALSE)</f>
        <v>71.7</v>
      </c>
      <c r="Q511" s="27">
        <f t="shared" si="29"/>
        <v>1</v>
      </c>
      <c r="S511" s="16">
        <f>VLOOKUP(A511,[4]Sales!$E:$G,3,FALSE)</f>
        <v>71.7</v>
      </c>
      <c r="T511" s="19">
        <f>VLOOKUP(A511,[4]Volume!$E:$G,3,FALSE)</f>
        <v>5</v>
      </c>
      <c r="U511" s="19">
        <f>VLOOKUP(A511,[4]Piece!$E:$G,3,FALSE)</f>
        <v>1</v>
      </c>
      <c r="V511" s="21">
        <f t="shared" si="30"/>
        <v>71.7</v>
      </c>
      <c r="W511" s="16">
        <f t="shared" si="31"/>
        <v>0</v>
      </c>
    </row>
    <row r="512" spans="1:23" hidden="1" x14ac:dyDescent="0.3">
      <c r="A512" s="22" t="s">
        <v>1036</v>
      </c>
      <c r="B512" s="22" t="s">
        <v>1036</v>
      </c>
      <c r="C512" s="23" t="s">
        <v>33</v>
      </c>
      <c r="D512" s="20" t="s">
        <v>34</v>
      </c>
      <c r="E512" s="22" t="s">
        <v>1037</v>
      </c>
      <c r="F512" s="24" t="str">
        <f t="shared" si="28"/>
        <v>PPG - Johnstones AQUAGUARD - Bril White - 2.5ltr</v>
      </c>
      <c r="G512" s="23" t="s">
        <v>5387</v>
      </c>
      <c r="H512" s="25" t="s">
        <v>36</v>
      </c>
      <c r="I512" s="18" t="s">
        <v>37</v>
      </c>
      <c r="J512" s="18" t="s">
        <v>38</v>
      </c>
      <c r="K512" t="s">
        <v>39</v>
      </c>
      <c r="L512" s="26">
        <f>VLOOKUP(A512,'[3]Price info'!A:D,4,FALSE)</f>
        <v>30.7</v>
      </c>
      <c r="M512" s="18" t="s">
        <v>40</v>
      </c>
      <c r="N512" s="20">
        <v>3105</v>
      </c>
      <c r="P512" s="16">
        <f>VLOOKUP(A512,'[3]Price info'!A:H,8,FALSE)</f>
        <v>24.56</v>
      </c>
      <c r="Q512" s="27">
        <f t="shared" si="29"/>
        <v>0.79999999999999993</v>
      </c>
      <c r="S512" s="16">
        <f>VLOOKUP(A512,[4]Sales!$E:$G,3,FALSE)</f>
        <v>349.98</v>
      </c>
      <c r="T512" s="19">
        <f>VLOOKUP(A512,[4]Volume!$E:$G,3,FALSE)</f>
        <v>35</v>
      </c>
      <c r="U512" s="19">
        <f>VLOOKUP(A512,[4]Piece!$E:$G,3,FALSE)</f>
        <v>14</v>
      </c>
      <c r="V512" s="21">
        <f t="shared" si="30"/>
        <v>343.84</v>
      </c>
      <c r="W512" s="16">
        <f t="shared" si="31"/>
        <v>-6.1400000000000432</v>
      </c>
    </row>
    <row r="513" spans="1:23" hidden="1" x14ac:dyDescent="0.3">
      <c r="A513" s="22" t="s">
        <v>1038</v>
      </c>
      <c r="B513" s="22" t="s">
        <v>1038</v>
      </c>
      <c r="C513" s="23" t="s">
        <v>33</v>
      </c>
      <c r="D513" s="20" t="s">
        <v>34</v>
      </c>
      <c r="E513" s="22" t="s">
        <v>1039</v>
      </c>
      <c r="F513" s="24" t="str">
        <f t="shared" si="28"/>
        <v>PPG - Woodworks POLY VARNISH - GLOSS Clear -2.5l</v>
      </c>
      <c r="G513" s="23" t="s">
        <v>5388</v>
      </c>
      <c r="H513" s="25" t="s">
        <v>36</v>
      </c>
      <c r="I513" s="18" t="s">
        <v>37</v>
      </c>
      <c r="J513" s="18" t="s">
        <v>38</v>
      </c>
      <c r="K513" t="s">
        <v>39</v>
      </c>
      <c r="L513" s="26">
        <f>VLOOKUP(A513,'[3]Price info'!A:D,4,FALSE)</f>
        <v>15.35</v>
      </c>
      <c r="M513" s="18" t="s">
        <v>40</v>
      </c>
      <c r="N513" s="20">
        <v>3105</v>
      </c>
      <c r="P513" s="16">
        <f>VLOOKUP(A513,'[3]Price info'!A:H,8,FALSE)</f>
        <v>14.290850000000001</v>
      </c>
      <c r="Q513" s="27">
        <f t="shared" si="29"/>
        <v>0.93100000000000005</v>
      </c>
      <c r="S513" s="16">
        <f>VLOOKUP(A513,[4]Sales!$E:$G,3,FALSE)</f>
        <v>149.26</v>
      </c>
      <c r="T513" s="19">
        <f>VLOOKUP(A513,[4]Volume!$E:$G,3,FALSE)</f>
        <v>25</v>
      </c>
      <c r="U513" s="19">
        <f>VLOOKUP(A513,[4]Piece!$E:$G,3,FALSE)</f>
        <v>10</v>
      </c>
      <c r="V513" s="21">
        <f t="shared" si="30"/>
        <v>142.9085</v>
      </c>
      <c r="W513" s="16">
        <f t="shared" si="31"/>
        <v>-6.3514999999999873</v>
      </c>
    </row>
    <row r="514" spans="1:23" hidden="1" x14ac:dyDescent="0.3">
      <c r="A514" s="22" t="s">
        <v>1040</v>
      </c>
      <c r="B514" s="22" t="s">
        <v>1040</v>
      </c>
      <c r="C514" s="23" t="s">
        <v>33</v>
      </c>
      <c r="D514" s="20" t="s">
        <v>34</v>
      </c>
      <c r="E514" s="22" t="s">
        <v>1041</v>
      </c>
      <c r="F514" s="24" t="str">
        <f t="shared" si="28"/>
        <v>PPG - Leyland EGGSHELL - Mix - 2.5ltr</v>
      </c>
      <c r="G514" s="23" t="s">
        <v>5389</v>
      </c>
      <c r="H514" s="25" t="s">
        <v>36</v>
      </c>
      <c r="I514" s="18" t="s">
        <v>37</v>
      </c>
      <c r="J514" s="18" t="s">
        <v>38</v>
      </c>
      <c r="K514" t="s">
        <v>39</v>
      </c>
      <c r="L514" s="26">
        <f>VLOOKUP(A514,'[3]Price info'!A:D,4,FALSE)</f>
        <v>15.93</v>
      </c>
      <c r="M514" s="18" t="s">
        <v>40</v>
      </c>
      <c r="N514" s="20">
        <v>3105</v>
      </c>
      <c r="P514" s="16">
        <f>VLOOKUP(A514,'[3]Price info'!A:H,8,FALSE)</f>
        <v>14.830830000000001</v>
      </c>
      <c r="Q514" s="27">
        <f t="shared" si="29"/>
        <v>0.93100000000000005</v>
      </c>
      <c r="S514" s="16" t="e">
        <f>VLOOKUP(A514,[4]Sales!$E:$G,3,FALSE)</f>
        <v>#N/A</v>
      </c>
      <c r="T514" s="19" t="e">
        <f>VLOOKUP(A514,[4]Volume!$E:$G,3,FALSE)</f>
        <v>#N/A</v>
      </c>
      <c r="U514" s="19" t="e">
        <f>VLOOKUP(A514,[4]Piece!$E:$G,3,FALSE)</f>
        <v>#N/A</v>
      </c>
      <c r="V514" s="21" t="e">
        <f t="shared" si="30"/>
        <v>#N/A</v>
      </c>
      <c r="W514" s="16" t="e">
        <f t="shared" si="31"/>
        <v>#N/A</v>
      </c>
    </row>
    <row r="515" spans="1:23" hidden="1" x14ac:dyDescent="0.3">
      <c r="A515" s="56" t="s">
        <v>1042</v>
      </c>
      <c r="B515" s="56" t="s">
        <v>1042</v>
      </c>
      <c r="C515" s="47" t="s">
        <v>33</v>
      </c>
      <c r="D515" s="48" t="s">
        <v>34</v>
      </c>
      <c r="E515" s="22" t="s">
        <v>1043</v>
      </c>
      <c r="F515" s="24" t="str">
        <f t="shared" ref="F515:F578" si="32">D515&amp;" - "&amp;E515</f>
        <v>PPG - TESA DUCT TAPE SI 50M X 48MM 74613</v>
      </c>
      <c r="G515" s="20" t="s">
        <v>5390</v>
      </c>
      <c r="H515" s="25" t="s">
        <v>36</v>
      </c>
      <c r="I515" s="18" t="s">
        <v>37</v>
      </c>
      <c r="J515" s="18" t="s">
        <v>38</v>
      </c>
      <c r="K515" t="s">
        <v>39</v>
      </c>
      <c r="L515" s="50">
        <v>5.84</v>
      </c>
      <c r="M515" s="18" t="s">
        <v>214</v>
      </c>
      <c r="N515" s="20">
        <v>3105</v>
      </c>
      <c r="P515" s="16">
        <f>VLOOKUP(A515,'[3]Price info'!A:H,8,FALSE)</f>
        <v>5.4370400000000005</v>
      </c>
      <c r="Q515" s="27">
        <f t="shared" ref="Q515:Q578" si="33">P515/L515</f>
        <v>0.93100000000000016</v>
      </c>
      <c r="S515" s="16">
        <f>VLOOKUP(A515,[4]Sales!$E:$G,3,FALSE)</f>
        <v>23.36</v>
      </c>
      <c r="T515" s="19">
        <f>VLOOKUP(A515,[4]Volume!$E:$G,3,FALSE)</f>
        <v>4</v>
      </c>
      <c r="U515" s="19">
        <f>VLOOKUP(A515,[4]Piece!$E:$G,3,FALSE)</f>
        <v>4</v>
      </c>
      <c r="V515" s="21">
        <f t="shared" ref="V515:V578" si="34">U515*P515</f>
        <v>21.748160000000002</v>
      </c>
      <c r="W515" s="16">
        <f t="shared" ref="W515:W578" si="35">V515-S515</f>
        <v>-1.6118399999999973</v>
      </c>
    </row>
    <row r="516" spans="1:23" hidden="1" x14ac:dyDescent="0.3">
      <c r="A516" s="22" t="s">
        <v>1044</v>
      </c>
      <c r="B516" s="22" t="s">
        <v>1044</v>
      </c>
      <c r="C516" s="23" t="s">
        <v>33</v>
      </c>
      <c r="D516" s="20" t="s">
        <v>34</v>
      </c>
      <c r="E516" s="22" t="s">
        <v>1045</v>
      </c>
      <c r="F516" s="24" t="str">
        <f t="shared" si="32"/>
        <v>PPG - Johnstones PRO GLOSS - Brill White - 1ltr</v>
      </c>
      <c r="G516" s="23" t="s">
        <v>5391</v>
      </c>
      <c r="H516" s="25" t="s">
        <v>36</v>
      </c>
      <c r="I516" s="18" t="s">
        <v>37</v>
      </c>
      <c r="J516" s="18" t="s">
        <v>38</v>
      </c>
      <c r="K516" t="s">
        <v>39</v>
      </c>
      <c r="L516" s="26">
        <f>VLOOKUP(A516,'[3]Price info'!A:D,4,FALSE)</f>
        <v>7.04</v>
      </c>
      <c r="M516" s="18" t="s">
        <v>40</v>
      </c>
      <c r="N516" s="20">
        <v>3105</v>
      </c>
      <c r="P516" s="16">
        <f>VLOOKUP(A516,'[3]Price info'!A:H,8,FALSE)</f>
        <v>6.5542400000000001</v>
      </c>
      <c r="Q516" s="27">
        <f t="shared" si="33"/>
        <v>0.93100000000000005</v>
      </c>
      <c r="S516" s="16">
        <f>VLOOKUP(A516,[4]Sales!$E:$G,3,FALSE)</f>
        <v>233.34999999999997</v>
      </c>
      <c r="T516" s="19">
        <f>VLOOKUP(A516,[4]Volume!$E:$G,3,FALSE)</f>
        <v>35</v>
      </c>
      <c r="U516" s="19">
        <f>VLOOKUP(A516,[4]Piece!$E:$G,3,FALSE)</f>
        <v>35</v>
      </c>
      <c r="V516" s="21">
        <f t="shared" si="34"/>
        <v>229.39840000000001</v>
      </c>
      <c r="W516" s="16">
        <f t="shared" si="35"/>
        <v>-3.9515999999999565</v>
      </c>
    </row>
    <row r="517" spans="1:23" hidden="1" x14ac:dyDescent="0.3">
      <c r="A517" s="22" t="s">
        <v>1046</v>
      </c>
      <c r="B517" s="22" t="s">
        <v>1046</v>
      </c>
      <c r="C517" s="23" t="s">
        <v>33</v>
      </c>
      <c r="D517" s="20" t="s">
        <v>34</v>
      </c>
      <c r="E517" s="22" t="s">
        <v>1047</v>
      </c>
      <c r="F517" s="24" t="str">
        <f t="shared" si="32"/>
        <v>PPG - ProGold CLASSIC SYNTHETIC BRUSH 3"</v>
      </c>
      <c r="G517" s="23" t="s">
        <v>5392</v>
      </c>
      <c r="H517" s="25" t="s">
        <v>36</v>
      </c>
      <c r="I517" s="18" t="s">
        <v>37</v>
      </c>
      <c r="J517" s="18" t="s">
        <v>38</v>
      </c>
      <c r="K517" t="s">
        <v>39</v>
      </c>
      <c r="L517" s="26">
        <f>VLOOKUP(A517,'[3]Price info'!A:D,4,FALSE)</f>
        <v>4.1399999999999997</v>
      </c>
      <c r="M517" s="18" t="s">
        <v>40</v>
      </c>
      <c r="N517" s="20">
        <v>3105</v>
      </c>
      <c r="P517" s="16">
        <f>VLOOKUP(A517,'[3]Price info'!A:H,8,FALSE)</f>
        <v>3.8543400000000001</v>
      </c>
      <c r="Q517" s="27">
        <f t="shared" si="33"/>
        <v>0.93100000000000005</v>
      </c>
      <c r="S517" s="16">
        <f>VLOOKUP(A517,[4]Sales!$E:$G,3,FALSE)</f>
        <v>72.2</v>
      </c>
      <c r="T517" s="19">
        <f>VLOOKUP(A517,[4]Volume!$E:$G,3,FALSE)</f>
        <v>18</v>
      </c>
      <c r="U517" s="19">
        <f>VLOOKUP(A517,[4]Piece!$E:$G,3,FALSE)</f>
        <v>18</v>
      </c>
      <c r="V517" s="21">
        <f t="shared" si="34"/>
        <v>69.378119999999996</v>
      </c>
      <c r="W517" s="16">
        <f t="shared" si="35"/>
        <v>-2.8218800000000073</v>
      </c>
    </row>
    <row r="518" spans="1:23" hidden="1" x14ac:dyDescent="0.3">
      <c r="A518" s="46" t="s">
        <v>1048</v>
      </c>
      <c r="B518" s="46" t="s">
        <v>1048</v>
      </c>
      <c r="C518" s="51" t="s">
        <v>33</v>
      </c>
      <c r="D518" s="48" t="s">
        <v>34</v>
      </c>
      <c r="E518" s="18" t="s">
        <v>1049</v>
      </c>
      <c r="F518" s="24" t="str">
        <f t="shared" si="32"/>
        <v>PPG - EASY  EASYTEX      10-046     STITCH</v>
      </c>
      <c r="G518" s="20" t="s">
        <v>5393</v>
      </c>
      <c r="H518" s="49" t="s">
        <v>213</v>
      </c>
      <c r="I518" s="18" t="s">
        <v>37</v>
      </c>
      <c r="J518" s="18" t="s">
        <v>38</v>
      </c>
      <c r="K518" t="s">
        <v>39</v>
      </c>
      <c r="L518" s="50">
        <f>VLOOKUP(A518,'[3]Price info'!A:D,4,FALSE)</f>
        <v>5.18</v>
      </c>
      <c r="M518" s="18" t="s">
        <v>214</v>
      </c>
      <c r="N518" s="20">
        <v>3105</v>
      </c>
      <c r="P518" s="16">
        <f>VLOOKUP(A518,'[3]Price info'!A:H,8,FALSE)</f>
        <v>4.8225800000000003</v>
      </c>
      <c r="Q518" s="17">
        <f t="shared" si="33"/>
        <v>0.93100000000000016</v>
      </c>
      <c r="S518" s="16" t="e">
        <f>VLOOKUP(A518,[4]Sales!$E:$G,3,FALSE)</f>
        <v>#N/A</v>
      </c>
      <c r="T518" s="19" t="e">
        <f>VLOOKUP(A518,[4]Volume!$E:$G,3,FALSE)</f>
        <v>#N/A</v>
      </c>
      <c r="U518" s="19" t="e">
        <f>VLOOKUP(A518,[4]Piece!$E:$G,3,FALSE)</f>
        <v>#N/A</v>
      </c>
      <c r="V518" s="21" t="e">
        <f t="shared" si="34"/>
        <v>#N/A</v>
      </c>
      <c r="W518" s="16" t="e">
        <f t="shared" si="35"/>
        <v>#N/A</v>
      </c>
    </row>
    <row r="519" spans="1:23" hidden="1" x14ac:dyDescent="0.3">
      <c r="A519" s="22" t="s">
        <v>1050</v>
      </c>
      <c r="B519" s="22" t="s">
        <v>1050</v>
      </c>
      <c r="C519" s="23" t="s">
        <v>33</v>
      </c>
      <c r="D519" s="20" t="s">
        <v>34</v>
      </c>
      <c r="E519" s="22" t="s">
        <v>1051</v>
      </c>
      <c r="F519" s="24" t="str">
        <f t="shared" si="32"/>
        <v>PPG - FatHog BIB&amp;BRACE WHITE 44"-46"</v>
      </c>
      <c r="G519" s="23" t="s">
        <v>5394</v>
      </c>
      <c r="H519" s="25" t="s">
        <v>36</v>
      </c>
      <c r="I519" s="18" t="s">
        <v>37</v>
      </c>
      <c r="J519" s="18" t="s">
        <v>38</v>
      </c>
      <c r="K519" t="s">
        <v>39</v>
      </c>
      <c r="L519" s="26">
        <f>VLOOKUP(A519,'[3]Price info'!A:D,4,FALSE)</f>
        <v>11.56</v>
      </c>
      <c r="M519" s="18" t="s">
        <v>40</v>
      </c>
      <c r="N519" s="20">
        <v>3105</v>
      </c>
      <c r="P519" s="16">
        <f>VLOOKUP(A519,'[3]Price info'!A:H,8,FALSE)</f>
        <v>16.184000000000001</v>
      </c>
      <c r="Q519" s="27">
        <f t="shared" si="33"/>
        <v>1.4000000000000001</v>
      </c>
      <c r="S519" s="16">
        <f>VLOOKUP(A519,[4]Sales!$E:$G,3,FALSE)</f>
        <v>151.16</v>
      </c>
      <c r="T519" s="19">
        <f>VLOOKUP(A519,[4]Volume!$E:$G,3,FALSE)</f>
        <v>12</v>
      </c>
      <c r="U519" s="19">
        <f>VLOOKUP(A519,[4]Piece!$E:$G,3,FALSE)</f>
        <v>12</v>
      </c>
      <c r="V519" s="21">
        <f t="shared" si="34"/>
        <v>194.20800000000003</v>
      </c>
      <c r="W519" s="16">
        <f t="shared" si="35"/>
        <v>43.04800000000003</v>
      </c>
    </row>
    <row r="520" spans="1:23" hidden="1" x14ac:dyDescent="0.3">
      <c r="A520" s="53" t="s">
        <v>1052</v>
      </c>
      <c r="B520" s="54" t="s">
        <v>1052</v>
      </c>
      <c r="C520" s="47" t="s">
        <v>33</v>
      </c>
      <c r="D520" s="48" t="s">
        <v>34</v>
      </c>
      <c r="E520" s="22" t="s">
        <v>1053</v>
      </c>
      <c r="F520" s="24" t="str">
        <f t="shared" si="32"/>
        <v>PPG - RODO POLE SANDER HEAD</v>
      </c>
      <c r="G520" s="20" t="s">
        <v>5395</v>
      </c>
      <c r="H520" s="25" t="s">
        <v>36</v>
      </c>
      <c r="I520" s="18" t="s">
        <v>37</v>
      </c>
      <c r="J520" s="18" t="s">
        <v>38</v>
      </c>
      <c r="K520" t="s">
        <v>39</v>
      </c>
      <c r="L520" s="26">
        <f>VLOOKUP(A520,'[3]Price info'!A:D,4,FALSE)</f>
        <v>15.8</v>
      </c>
      <c r="M520" s="18" t="s">
        <v>214</v>
      </c>
      <c r="N520" s="20">
        <v>3105</v>
      </c>
      <c r="P520" s="16">
        <f>VLOOKUP(A520,'[3]Price info'!A:H,8,FALSE)</f>
        <v>14.709800000000001</v>
      </c>
      <c r="Q520" s="27">
        <f t="shared" si="33"/>
        <v>0.93100000000000005</v>
      </c>
      <c r="S520" s="16">
        <f>VLOOKUP(A520,[4]Sales!$E:$G,3,FALSE)</f>
        <v>287.75000000000006</v>
      </c>
      <c r="T520" s="19">
        <f>VLOOKUP(A520,[4]Volume!$E:$G,3,FALSE)</f>
        <v>21</v>
      </c>
      <c r="U520" s="19">
        <f>VLOOKUP(A520,[4]Piece!$E:$G,3,FALSE)</f>
        <v>21</v>
      </c>
      <c r="V520" s="21">
        <f t="shared" si="34"/>
        <v>308.9058</v>
      </c>
      <c r="W520" s="16">
        <f t="shared" si="35"/>
        <v>21.155799999999942</v>
      </c>
    </row>
    <row r="521" spans="1:23" hidden="1" x14ac:dyDescent="0.3">
      <c r="A521" s="22" t="s">
        <v>1054</v>
      </c>
      <c r="B521" s="22" t="s">
        <v>1054</v>
      </c>
      <c r="C521" s="23" t="s">
        <v>33</v>
      </c>
      <c r="D521" s="20" t="s">
        <v>34</v>
      </c>
      <c r="E521" s="22" t="s">
        <v>120</v>
      </c>
      <c r="F521" s="24" t="str">
        <f t="shared" si="32"/>
        <v>PPG - Stormshield SMOOTH MASONRY - Brick - 5ltr</v>
      </c>
      <c r="G521" s="23" t="s">
        <v>4938</v>
      </c>
      <c r="H521" s="25" t="s">
        <v>36</v>
      </c>
      <c r="I521" s="18" t="s">
        <v>37</v>
      </c>
      <c r="J521" s="18" t="s">
        <v>38</v>
      </c>
      <c r="K521" t="s">
        <v>39</v>
      </c>
      <c r="L521" s="26">
        <f>VLOOKUP(A521,'[3]Price info'!A:D,4,FALSE)</f>
        <v>17.84</v>
      </c>
      <c r="M521" s="18" t="s">
        <v>40</v>
      </c>
      <c r="N521" s="20">
        <v>3105</v>
      </c>
      <c r="P521" s="16">
        <f>VLOOKUP(A521,'[3]Price info'!A:H,8,FALSE)</f>
        <v>16.60904</v>
      </c>
      <c r="Q521" s="27">
        <f t="shared" si="33"/>
        <v>0.93100000000000005</v>
      </c>
      <c r="S521" s="16">
        <f>VLOOKUP(A521,[4]Sales!$E:$G,3,FALSE)</f>
        <v>43.33</v>
      </c>
      <c r="T521" s="19">
        <f>VLOOKUP(A521,[4]Volume!$E:$G,3,FALSE)</f>
        <v>20</v>
      </c>
      <c r="U521" s="19">
        <f>VLOOKUP(A521,[4]Piece!$E:$G,3,FALSE)</f>
        <v>4</v>
      </c>
      <c r="V521" s="21">
        <f t="shared" si="34"/>
        <v>66.436160000000001</v>
      </c>
      <c r="W521" s="16">
        <f t="shared" si="35"/>
        <v>23.106160000000003</v>
      </c>
    </row>
    <row r="522" spans="1:23" hidden="1" x14ac:dyDescent="0.3">
      <c r="A522" s="22" t="s">
        <v>1055</v>
      </c>
      <c r="B522" s="22" t="s">
        <v>1055</v>
      </c>
      <c r="C522" s="23" t="s">
        <v>33</v>
      </c>
      <c r="D522" s="20" t="s">
        <v>34</v>
      </c>
      <c r="E522" s="22" t="s">
        <v>1056</v>
      </c>
      <c r="F522" s="24" t="str">
        <f t="shared" si="32"/>
        <v>PPG - ProGold FINE SURFACE FILLER 1kg</v>
      </c>
      <c r="G522" s="23" t="s">
        <v>5396</v>
      </c>
      <c r="H522" s="25" t="s">
        <v>36</v>
      </c>
      <c r="I522" s="18" t="s">
        <v>37</v>
      </c>
      <c r="J522" s="18" t="s">
        <v>38</v>
      </c>
      <c r="K522" t="s">
        <v>39</v>
      </c>
      <c r="L522" s="26">
        <f>VLOOKUP(A522,'[3]Price info'!A:D,4,FALSE)</f>
        <v>6.27</v>
      </c>
      <c r="M522" s="18" t="s">
        <v>40</v>
      </c>
      <c r="N522" s="20">
        <v>3105</v>
      </c>
      <c r="P522" s="16">
        <f>VLOOKUP(A522,'[3]Price info'!A:H,8,FALSE)</f>
        <v>5.8373699999999999</v>
      </c>
      <c r="Q522" s="27">
        <f t="shared" si="33"/>
        <v>0.93100000000000005</v>
      </c>
      <c r="S522" s="16">
        <f>VLOOKUP(A522,[4]Sales!$E:$G,3,FALSE)</f>
        <v>29.2</v>
      </c>
      <c r="T522" s="19">
        <f>VLOOKUP(A522,[4]Volume!$E:$G,3,FALSE)</f>
        <v>5</v>
      </c>
      <c r="U522" s="19">
        <f>VLOOKUP(A522,[4]Piece!$E:$G,3,FALSE)</f>
        <v>5</v>
      </c>
      <c r="V522" s="21">
        <f t="shared" si="34"/>
        <v>29.18685</v>
      </c>
      <c r="W522" s="16">
        <f t="shared" si="35"/>
        <v>-1.3149999999999551E-2</v>
      </c>
    </row>
    <row r="523" spans="1:23" hidden="1" x14ac:dyDescent="0.3">
      <c r="A523" s="22" t="s">
        <v>1057</v>
      </c>
      <c r="B523" s="22" t="s">
        <v>1057</v>
      </c>
      <c r="C523" s="23" t="s">
        <v>33</v>
      </c>
      <c r="D523" s="20" t="s">
        <v>34</v>
      </c>
      <c r="E523" s="22" t="s">
        <v>1058</v>
      </c>
      <c r="F523" s="24" t="str">
        <f t="shared" si="32"/>
        <v>PPG - Leyland VINYL MATT - Mix - 10ltr</v>
      </c>
      <c r="G523" s="23" t="s">
        <v>5397</v>
      </c>
      <c r="H523" s="25" t="s">
        <v>36</v>
      </c>
      <c r="I523" s="18" t="s">
        <v>37</v>
      </c>
      <c r="J523" s="18" t="s">
        <v>38</v>
      </c>
      <c r="K523" t="s">
        <v>39</v>
      </c>
      <c r="L523" s="26">
        <f>VLOOKUP(A523,'[3]Price info'!A:D,4,FALSE)</f>
        <v>20.74</v>
      </c>
      <c r="M523" s="18" t="s">
        <v>40</v>
      </c>
      <c r="N523" s="20">
        <v>3105</v>
      </c>
      <c r="P523" s="16">
        <f>VLOOKUP(A523,'[3]Price info'!A:H,8,FALSE)</f>
        <v>17.75</v>
      </c>
      <c r="Q523" s="27">
        <f t="shared" si="33"/>
        <v>0.855834136933462</v>
      </c>
      <c r="S523" s="16">
        <f>VLOOKUP(A523,[4]Sales!$E:$G,3,FALSE)</f>
        <v>38.489999999999995</v>
      </c>
      <c r="T523" s="19">
        <f>VLOOKUP(A523,[4]Volume!$E:$G,3,FALSE)</f>
        <v>20</v>
      </c>
      <c r="U523" s="19">
        <f>VLOOKUP(A523,[4]Piece!$E:$G,3,FALSE)</f>
        <v>2</v>
      </c>
      <c r="V523" s="21">
        <f t="shared" si="34"/>
        <v>35.5</v>
      </c>
      <c r="W523" s="16">
        <f t="shared" si="35"/>
        <v>-2.9899999999999949</v>
      </c>
    </row>
    <row r="524" spans="1:23" hidden="1" x14ac:dyDescent="0.3">
      <c r="A524" s="22" t="s">
        <v>1059</v>
      </c>
      <c r="B524" s="22" t="s">
        <v>1059</v>
      </c>
      <c r="C524" s="23" t="s">
        <v>33</v>
      </c>
      <c r="D524" s="20" t="s">
        <v>34</v>
      </c>
      <c r="E524" s="22" t="s">
        <v>1060</v>
      </c>
      <c r="F524" s="24" t="str">
        <f t="shared" si="32"/>
        <v>PPG - Johnstones ANTI SLIP ADDITIVE - 1.5kg</v>
      </c>
      <c r="G524" s="23" t="s">
        <v>5398</v>
      </c>
      <c r="H524" s="25" t="s">
        <v>36</v>
      </c>
      <c r="I524" s="18" t="s">
        <v>37</v>
      </c>
      <c r="J524" s="18" t="s">
        <v>38</v>
      </c>
      <c r="K524" t="s">
        <v>39</v>
      </c>
      <c r="L524" s="26">
        <f>VLOOKUP(A524,'[3]Price info'!A:D,4,FALSE)</f>
        <v>6.2</v>
      </c>
      <c r="M524" s="18" t="s">
        <v>40</v>
      </c>
      <c r="N524" s="20">
        <v>3105</v>
      </c>
      <c r="P524" s="16">
        <f>VLOOKUP(A524,'[3]Price info'!A:H,8,FALSE)</f>
        <v>5.7722000000000007</v>
      </c>
      <c r="Q524" s="27">
        <f t="shared" si="33"/>
        <v>0.93100000000000005</v>
      </c>
      <c r="S524" s="16">
        <f>VLOOKUP(A524,[4]Sales!$E:$G,3,FALSE)</f>
        <v>160.03999999999996</v>
      </c>
      <c r="T524" s="19">
        <f>VLOOKUP(A524,[4]Volume!$E:$G,3,FALSE)</f>
        <v>40.5</v>
      </c>
      <c r="U524" s="19">
        <f>VLOOKUP(A524,[4]Piece!$E:$G,3,FALSE)</f>
        <v>27</v>
      </c>
      <c r="V524" s="21">
        <f t="shared" si="34"/>
        <v>155.84940000000003</v>
      </c>
      <c r="W524" s="16">
        <f t="shared" si="35"/>
        <v>-4.1905999999999324</v>
      </c>
    </row>
    <row r="525" spans="1:23" hidden="1" x14ac:dyDescent="0.3">
      <c r="A525" s="46" t="s">
        <v>1061</v>
      </c>
      <c r="B525" s="46" t="s">
        <v>1061</v>
      </c>
      <c r="C525" s="47" t="s">
        <v>33</v>
      </c>
      <c r="D525" s="48" t="s">
        <v>34</v>
      </c>
      <c r="E525" s="18" t="s">
        <v>1062</v>
      </c>
      <c r="F525" s="24" t="str">
        <f t="shared" si="32"/>
        <v>PPG - FROGT FROG TAPE    36MM       MULTISURFA</v>
      </c>
      <c r="G525" s="20" t="s">
        <v>5399</v>
      </c>
      <c r="H525" s="49" t="s">
        <v>213</v>
      </c>
      <c r="I525" s="18" t="s">
        <v>37</v>
      </c>
      <c r="J525" s="18" t="s">
        <v>38</v>
      </c>
      <c r="K525" t="s">
        <v>39</v>
      </c>
      <c r="L525" s="50">
        <f>VLOOKUP(A525,'[3]Price info'!A:D,4,FALSE)</f>
        <v>6.04</v>
      </c>
      <c r="M525" s="18" t="s">
        <v>214</v>
      </c>
      <c r="N525" s="20">
        <v>3105</v>
      </c>
      <c r="P525" s="16">
        <f>VLOOKUP(A525,'[3]Price info'!A:H,8,FALSE)</f>
        <v>5.62324</v>
      </c>
      <c r="Q525" s="17">
        <f t="shared" si="33"/>
        <v>0.93100000000000005</v>
      </c>
      <c r="S525" s="16">
        <f>VLOOKUP(A525,[4]Sales!$E:$G,3,FALSE)</f>
        <v>411.71000000000004</v>
      </c>
      <c r="T525" s="19">
        <f>VLOOKUP(A525,[4]Volume!$E:$G,3,FALSE)</f>
        <v>70</v>
      </c>
      <c r="U525" s="19">
        <f>VLOOKUP(A525,[4]Piece!$E:$G,3,FALSE)</f>
        <v>70</v>
      </c>
      <c r="V525" s="21">
        <f t="shared" si="34"/>
        <v>393.6268</v>
      </c>
      <c r="W525" s="16">
        <f t="shared" si="35"/>
        <v>-18.083200000000033</v>
      </c>
    </row>
    <row r="526" spans="1:23" hidden="1" x14ac:dyDescent="0.3">
      <c r="A526" s="22" t="s">
        <v>1063</v>
      </c>
      <c r="B526" s="22" t="s">
        <v>1063</v>
      </c>
      <c r="C526" s="23" t="s">
        <v>33</v>
      </c>
      <c r="D526" s="20" t="s">
        <v>34</v>
      </c>
      <c r="E526" s="22" t="s">
        <v>1064</v>
      </c>
      <c r="F526" s="24" t="str">
        <f t="shared" si="32"/>
        <v>PPG - Johnstones QD Woodstain - Walnut - 2.5l</v>
      </c>
      <c r="G526" s="23" t="s">
        <v>5400</v>
      </c>
      <c r="H526" s="25" t="s">
        <v>36</v>
      </c>
      <c r="I526" s="18" t="s">
        <v>37</v>
      </c>
      <c r="J526" s="18" t="s">
        <v>38</v>
      </c>
      <c r="K526" t="s">
        <v>39</v>
      </c>
      <c r="L526" s="26">
        <f>VLOOKUP(A526,'[3]Price info'!A:D,4,FALSE)</f>
        <v>23.03</v>
      </c>
      <c r="M526" s="18" t="s">
        <v>40</v>
      </c>
      <c r="N526" s="20">
        <v>3105</v>
      </c>
      <c r="P526" s="16">
        <f>VLOOKUP(A526,'[3]Price info'!A:H,8,FALSE)</f>
        <v>21.440930000000002</v>
      </c>
      <c r="Q526" s="27">
        <f t="shared" si="33"/>
        <v>0.93100000000000005</v>
      </c>
      <c r="S526" s="16">
        <f>VLOOKUP(A526,[4]Sales!$E:$G,3,FALSE)</f>
        <v>112.15</v>
      </c>
      <c r="T526" s="19">
        <f>VLOOKUP(A526,[4]Volume!$E:$G,3,FALSE)</f>
        <v>12.5</v>
      </c>
      <c r="U526" s="19">
        <f>VLOOKUP(A526,[4]Piece!$E:$G,3,FALSE)</f>
        <v>5</v>
      </c>
      <c r="V526" s="21">
        <f t="shared" si="34"/>
        <v>107.20465000000002</v>
      </c>
      <c r="W526" s="16">
        <f t="shared" si="35"/>
        <v>-4.9453499999999906</v>
      </c>
    </row>
    <row r="527" spans="1:23" hidden="1" x14ac:dyDescent="0.3">
      <c r="A527" s="22" t="s">
        <v>1065</v>
      </c>
      <c r="B527" s="22" t="s">
        <v>1065</v>
      </c>
      <c r="C527" s="23" t="s">
        <v>33</v>
      </c>
      <c r="D527" s="20" t="s">
        <v>34</v>
      </c>
      <c r="E527" s="22" t="s">
        <v>1066</v>
      </c>
      <c r="F527" s="24" t="str">
        <f t="shared" si="32"/>
        <v>PPG - FatHog DEC CAULK MAGNOLIA - 380ml</v>
      </c>
      <c r="G527" s="23" t="s">
        <v>5401</v>
      </c>
      <c r="H527" s="25" t="s">
        <v>36</v>
      </c>
      <c r="I527" s="18" t="s">
        <v>37</v>
      </c>
      <c r="J527" s="18" t="s">
        <v>38</v>
      </c>
      <c r="K527" t="s">
        <v>39</v>
      </c>
      <c r="L527" s="26">
        <f>VLOOKUP(A527,'[3]Price info'!A:D,4,FALSE)</f>
        <v>2.19</v>
      </c>
      <c r="M527" s="18" t="s">
        <v>40</v>
      </c>
      <c r="N527" s="20">
        <v>3105</v>
      </c>
      <c r="P527" s="16">
        <f>VLOOKUP(A527,'[3]Price info'!A:H,8,FALSE)</f>
        <v>2.0388899999999999</v>
      </c>
      <c r="Q527" s="27">
        <f t="shared" si="33"/>
        <v>0.93099999999999994</v>
      </c>
      <c r="S527" s="16">
        <f>VLOOKUP(A527,[4]Sales!$E:$G,3,FALSE)</f>
        <v>4.38</v>
      </c>
      <c r="T527" s="19">
        <f>VLOOKUP(A527,[4]Volume!$E:$G,3,FALSE)</f>
        <v>0.76</v>
      </c>
      <c r="U527" s="19">
        <f>VLOOKUP(A527,[4]Piece!$E:$G,3,FALSE)</f>
        <v>2</v>
      </c>
      <c r="V527" s="21">
        <f t="shared" si="34"/>
        <v>4.0777799999999997</v>
      </c>
      <c r="W527" s="16">
        <f t="shared" si="35"/>
        <v>-0.30222000000000016</v>
      </c>
    </row>
    <row r="528" spans="1:23" hidden="1" x14ac:dyDescent="0.3">
      <c r="A528" s="56" t="s">
        <v>1067</v>
      </c>
      <c r="B528" s="56" t="s">
        <v>1067</v>
      </c>
      <c r="C528" s="47" t="s">
        <v>33</v>
      </c>
      <c r="D528" s="48" t="s">
        <v>34</v>
      </c>
      <c r="E528" s="22" t="s">
        <v>1068</v>
      </c>
      <c r="F528" s="24" t="str">
        <f t="shared" si="32"/>
        <v>PPG - TESA SEN MASKTAPE 50M X 38MM 4333</v>
      </c>
      <c r="G528" s="20" t="s">
        <v>5402</v>
      </c>
      <c r="H528" s="25" t="s">
        <v>36</v>
      </c>
      <c r="I528" s="18" t="s">
        <v>37</v>
      </c>
      <c r="J528" s="18" t="s">
        <v>38</v>
      </c>
      <c r="K528" t="s">
        <v>39</v>
      </c>
      <c r="L528" s="50">
        <v>7.72</v>
      </c>
      <c r="M528" s="18" t="s">
        <v>214</v>
      </c>
      <c r="N528" s="20">
        <v>3105</v>
      </c>
      <c r="P528" s="16">
        <f>VLOOKUP(A528,'[3]Price info'!A:H,8,FALSE)</f>
        <v>7.1873199999999997</v>
      </c>
      <c r="Q528" s="27">
        <f t="shared" si="33"/>
        <v>0.93099999999999994</v>
      </c>
      <c r="S528" s="16">
        <f>VLOOKUP(A528,[4]Sales!$E:$G,3,FALSE)</f>
        <v>0</v>
      </c>
      <c r="T528" s="19">
        <f>VLOOKUP(A528,[4]Volume!$E:$G,3,FALSE)</f>
        <v>0</v>
      </c>
      <c r="U528" s="19">
        <f>VLOOKUP(A528,[4]Piece!$E:$G,3,FALSE)</f>
        <v>0</v>
      </c>
      <c r="V528" s="21">
        <f t="shared" si="34"/>
        <v>0</v>
      </c>
      <c r="W528" s="16">
        <f t="shared" si="35"/>
        <v>0</v>
      </c>
    </row>
    <row r="529" spans="1:23" hidden="1" x14ac:dyDescent="0.3">
      <c r="A529" s="46" t="s">
        <v>1069</v>
      </c>
      <c r="B529" s="46" t="s">
        <v>1069</v>
      </c>
      <c r="C529" s="47" t="s">
        <v>33</v>
      </c>
      <c r="D529" s="48" t="s">
        <v>34</v>
      </c>
      <c r="E529" s="18" t="s">
        <v>1070</v>
      </c>
      <c r="F529" s="24" t="str">
        <f t="shared" si="32"/>
        <v>PPG - HODGS LINSEED OIL  PUTTY 2KG  0000000200</v>
      </c>
      <c r="G529" s="20" t="s">
        <v>5403</v>
      </c>
      <c r="H529" s="49" t="s">
        <v>213</v>
      </c>
      <c r="I529" s="18" t="s">
        <v>37</v>
      </c>
      <c r="J529" s="18" t="s">
        <v>38</v>
      </c>
      <c r="K529" t="s">
        <v>39</v>
      </c>
      <c r="L529" s="50">
        <f>VLOOKUP(A529,'[3]Price info'!A:D,4,FALSE)</f>
        <v>2.2799999999999998</v>
      </c>
      <c r="M529" s="18" t="s">
        <v>214</v>
      </c>
      <c r="N529" s="20">
        <v>3105</v>
      </c>
      <c r="P529" s="16">
        <f>VLOOKUP(A529,'[3]Price info'!A:H,8,FALSE)</f>
        <v>2.2799999999999998</v>
      </c>
      <c r="Q529" s="17">
        <f t="shared" si="33"/>
        <v>1</v>
      </c>
      <c r="S529" s="16">
        <f>VLOOKUP(A529,[4]Sales!$E:$G,3,FALSE)</f>
        <v>216.60000000000008</v>
      </c>
      <c r="T529" s="19">
        <f>VLOOKUP(A529,[4]Volume!$E:$G,3,FALSE)</f>
        <v>19.000000000000007</v>
      </c>
      <c r="U529" s="19">
        <f>VLOOKUP(A529,[4]Piece!$E:$G,3,FALSE)</f>
        <v>95</v>
      </c>
      <c r="V529" s="21">
        <f t="shared" si="34"/>
        <v>216.6</v>
      </c>
      <c r="W529" s="16">
        <f t="shared" si="35"/>
        <v>0</v>
      </c>
    </row>
    <row r="530" spans="1:23" hidden="1" x14ac:dyDescent="0.3">
      <c r="A530" s="22" t="s">
        <v>1071</v>
      </c>
      <c r="B530" s="22" t="s">
        <v>1071</v>
      </c>
      <c r="C530" s="23" t="s">
        <v>33</v>
      </c>
      <c r="D530" s="20" t="s">
        <v>34</v>
      </c>
      <c r="E530" s="22" t="s">
        <v>1072</v>
      </c>
      <c r="F530" s="24" t="str">
        <f t="shared" si="32"/>
        <v>PPG - Johnstones QD FLOOR VARN - Clr Satin - 750ml</v>
      </c>
      <c r="G530" s="23" t="s">
        <v>5404</v>
      </c>
      <c r="H530" s="25" t="s">
        <v>36</v>
      </c>
      <c r="I530" s="18" t="s">
        <v>37</v>
      </c>
      <c r="J530" s="18" t="s">
        <v>38</v>
      </c>
      <c r="K530" t="s">
        <v>39</v>
      </c>
      <c r="L530" s="26">
        <f>VLOOKUP(A530,'[3]Price info'!A:D,4,FALSE)</f>
        <v>6.2</v>
      </c>
      <c r="M530" s="18" t="s">
        <v>40</v>
      </c>
      <c r="N530" s="20">
        <v>3105</v>
      </c>
      <c r="P530" s="16">
        <f>VLOOKUP(A530,'[3]Price info'!A:H,8,FALSE)</f>
        <v>5.7722000000000007</v>
      </c>
      <c r="Q530" s="27">
        <f t="shared" si="33"/>
        <v>0.93100000000000005</v>
      </c>
      <c r="S530" s="16">
        <f>VLOOKUP(A530,[4]Sales!$E:$G,3,FALSE)</f>
        <v>35.909999999999997</v>
      </c>
      <c r="T530" s="19">
        <f>VLOOKUP(A530,[4]Volume!$E:$G,3,FALSE)</f>
        <v>4.5</v>
      </c>
      <c r="U530" s="19">
        <f>VLOOKUP(A530,[4]Piece!$E:$G,3,FALSE)</f>
        <v>6</v>
      </c>
      <c r="V530" s="21">
        <f t="shared" si="34"/>
        <v>34.633200000000002</v>
      </c>
      <c r="W530" s="16">
        <f t="shared" si="35"/>
        <v>-1.2767999999999944</v>
      </c>
    </row>
    <row r="531" spans="1:23" hidden="1" x14ac:dyDescent="0.3">
      <c r="A531" s="36" t="s">
        <v>1073</v>
      </c>
      <c r="B531" s="36" t="s">
        <v>1073</v>
      </c>
      <c r="C531" s="23" t="s">
        <v>33</v>
      </c>
      <c r="D531" s="20" t="s">
        <v>34</v>
      </c>
      <c r="E531" s="22" t="s">
        <v>1074</v>
      </c>
      <c r="F531" s="24" t="str">
        <f t="shared" si="32"/>
        <v>PPG - PURDY POWERLOCK    2-4 FT     EXT POLE</v>
      </c>
      <c r="G531" s="36" t="s">
        <v>5405</v>
      </c>
      <c r="H531" s="25" t="s">
        <v>36</v>
      </c>
      <c r="I531" s="18" t="s">
        <v>37</v>
      </c>
      <c r="J531" s="18" t="s">
        <v>38</v>
      </c>
      <c r="K531" t="s">
        <v>39</v>
      </c>
      <c r="L531" s="26">
        <f>VLOOKUP(A531,'[3]Price info'!A:D,4,FALSE)</f>
        <v>20.99</v>
      </c>
      <c r="M531" s="18" t="s">
        <v>40</v>
      </c>
      <c r="N531" s="20">
        <v>3105</v>
      </c>
      <c r="P531" s="16">
        <f>VLOOKUP(A531,'[3]Price info'!A:H,8,FALSE)</f>
        <v>19.541689999999999</v>
      </c>
      <c r="Q531" s="27">
        <f t="shared" si="33"/>
        <v>0.93100000000000005</v>
      </c>
      <c r="S531" s="16">
        <f>VLOOKUP(A531,[4]Sales!$E:$G,3,FALSE)</f>
        <v>280.81</v>
      </c>
      <c r="T531" s="19">
        <f>VLOOKUP(A531,[4]Volume!$E:$G,3,FALSE)</f>
        <v>15</v>
      </c>
      <c r="U531" s="19">
        <f>VLOOKUP(A531,[4]Piece!$E:$G,3,FALSE)</f>
        <v>15</v>
      </c>
      <c r="V531" s="21">
        <f t="shared" si="34"/>
        <v>293.12534999999997</v>
      </c>
      <c r="W531" s="16">
        <f t="shared" si="35"/>
        <v>12.315349999999967</v>
      </c>
    </row>
    <row r="532" spans="1:23" hidden="1" x14ac:dyDescent="0.3">
      <c r="A532" s="22" t="s">
        <v>1075</v>
      </c>
      <c r="B532" s="22" t="s">
        <v>1075</v>
      </c>
      <c r="C532" s="23" t="s">
        <v>33</v>
      </c>
      <c r="D532" s="20" t="s">
        <v>34</v>
      </c>
      <c r="E532" s="22" t="s">
        <v>1076</v>
      </c>
      <c r="F532" s="24" t="str">
        <f t="shared" si="32"/>
        <v>PPG - Woodworks INT FLOOR VARN - Clear Satin - 5l</v>
      </c>
      <c r="G532" s="23" t="s">
        <v>5406</v>
      </c>
      <c r="H532" s="25" t="s">
        <v>36</v>
      </c>
      <c r="I532" s="18" t="s">
        <v>37</v>
      </c>
      <c r="J532" s="18" t="s">
        <v>38</v>
      </c>
      <c r="K532" t="s">
        <v>39</v>
      </c>
      <c r="L532" s="26">
        <f>VLOOKUP(A532,'[3]Price info'!A:D,4,FALSE)</f>
        <v>62.38</v>
      </c>
      <c r="M532" s="18" t="s">
        <v>40</v>
      </c>
      <c r="N532" s="20">
        <v>3105</v>
      </c>
      <c r="P532" s="16">
        <f>VLOOKUP(A532,'[3]Price info'!A:H,8,FALSE)</f>
        <v>58.075780000000009</v>
      </c>
      <c r="Q532" s="27">
        <f t="shared" si="33"/>
        <v>0.93100000000000005</v>
      </c>
      <c r="S532" s="16">
        <f>VLOOKUP(A532,[4]Sales!$E:$G,3,FALSE)</f>
        <v>249.52</v>
      </c>
      <c r="T532" s="19">
        <f>VLOOKUP(A532,[4]Volume!$E:$G,3,FALSE)</f>
        <v>20</v>
      </c>
      <c r="U532" s="19">
        <f>VLOOKUP(A532,[4]Piece!$E:$G,3,FALSE)</f>
        <v>4</v>
      </c>
      <c r="V532" s="21">
        <f t="shared" si="34"/>
        <v>232.30312000000004</v>
      </c>
      <c r="W532" s="16">
        <f t="shared" si="35"/>
        <v>-17.216879999999975</v>
      </c>
    </row>
    <row r="533" spans="1:23" hidden="1" x14ac:dyDescent="0.3">
      <c r="A533" s="22" t="s">
        <v>1077</v>
      </c>
      <c r="B533" s="22" t="s">
        <v>1077</v>
      </c>
      <c r="C533" s="23" t="s">
        <v>33</v>
      </c>
      <c r="D533" s="20" t="s">
        <v>34</v>
      </c>
      <c r="E533" s="22" t="s">
        <v>1078</v>
      </c>
      <c r="F533" s="24" t="str">
        <f t="shared" si="32"/>
        <v>PPG - ProGold COTTON TWIL DUST SHEET MINI 24' X 3'</v>
      </c>
      <c r="G533" s="23" t="s">
        <v>5407</v>
      </c>
      <c r="H533" s="25" t="s">
        <v>36</v>
      </c>
      <c r="I533" s="18" t="s">
        <v>37</v>
      </c>
      <c r="J533" s="18" t="s">
        <v>38</v>
      </c>
      <c r="K533" t="s">
        <v>39</v>
      </c>
      <c r="L533" s="26">
        <f>VLOOKUP(A533,'[3]Price info'!A:D,4,FALSE)</f>
        <v>13.16</v>
      </c>
      <c r="M533" s="18" t="s">
        <v>40</v>
      </c>
      <c r="N533" s="20">
        <v>3105</v>
      </c>
      <c r="P533" s="16">
        <f>VLOOKUP(A533,'[3]Price info'!A:H,8,FALSE)</f>
        <v>12.25196</v>
      </c>
      <c r="Q533" s="27">
        <f t="shared" si="33"/>
        <v>0.93100000000000005</v>
      </c>
      <c r="S533" s="16">
        <f>VLOOKUP(A533,[4]Sales!$E:$G,3,FALSE)</f>
        <v>103.46</v>
      </c>
      <c r="T533" s="19">
        <f>VLOOKUP(A533,[4]Volume!$E:$G,3,FALSE)</f>
        <v>8</v>
      </c>
      <c r="U533" s="19">
        <f>VLOOKUP(A533,[4]Piece!$E:$G,3,FALSE)</f>
        <v>8</v>
      </c>
      <c r="V533" s="21">
        <f t="shared" si="34"/>
        <v>98.015680000000003</v>
      </c>
      <c r="W533" s="16">
        <f t="shared" si="35"/>
        <v>-5.4443199999999905</v>
      </c>
    </row>
    <row r="534" spans="1:23" hidden="1" x14ac:dyDescent="0.3">
      <c r="A534" s="22" t="s">
        <v>1079</v>
      </c>
      <c r="B534" s="22" t="s">
        <v>1079</v>
      </c>
      <c r="C534" s="23" t="s">
        <v>33</v>
      </c>
      <c r="D534" s="20" t="s">
        <v>34</v>
      </c>
      <c r="E534" s="22" t="s">
        <v>1080</v>
      </c>
      <c r="F534" s="24" t="str">
        <f t="shared" si="32"/>
        <v>PPG - Johnstones STAINAWAY - Bril White - 2.5ltr</v>
      </c>
      <c r="G534" s="23" t="s">
        <v>5408</v>
      </c>
      <c r="H534" s="25" t="s">
        <v>36</v>
      </c>
      <c r="I534" s="18" t="s">
        <v>37</v>
      </c>
      <c r="J534" s="18" t="s">
        <v>38</v>
      </c>
      <c r="K534" t="s">
        <v>39</v>
      </c>
      <c r="L534" s="26">
        <f>VLOOKUP(A534,'[3]Price info'!A:D,4,FALSE)</f>
        <v>23.19</v>
      </c>
      <c r="M534" s="18" t="s">
        <v>40</v>
      </c>
      <c r="N534" s="20">
        <v>3105</v>
      </c>
      <c r="P534" s="16">
        <f>VLOOKUP(A534,'[3]Price info'!A:H,8,FALSE)</f>
        <v>21.589890000000004</v>
      </c>
      <c r="Q534" s="27">
        <f t="shared" si="33"/>
        <v>0.93100000000000016</v>
      </c>
      <c r="S534" s="16">
        <f>VLOOKUP(A534,[4]Sales!$E:$G,3,FALSE)</f>
        <v>131.13999999999999</v>
      </c>
      <c r="T534" s="19">
        <f>VLOOKUP(A534,[4]Volume!$E:$G,3,FALSE)</f>
        <v>15</v>
      </c>
      <c r="U534" s="19">
        <f>VLOOKUP(A534,[4]Piece!$E:$G,3,FALSE)</f>
        <v>6</v>
      </c>
      <c r="V534" s="21">
        <f t="shared" si="34"/>
        <v>129.53934000000004</v>
      </c>
      <c r="W534" s="16">
        <f t="shared" si="35"/>
        <v>-1.600659999999948</v>
      </c>
    </row>
    <row r="535" spans="1:23" hidden="1" x14ac:dyDescent="0.3">
      <c r="A535" s="36" t="s">
        <v>1081</v>
      </c>
      <c r="B535" s="36" t="s">
        <v>1081</v>
      </c>
      <c r="C535" s="23" t="s">
        <v>33</v>
      </c>
      <c r="D535" s="20" t="s">
        <v>34</v>
      </c>
      <c r="E535" s="22" t="s">
        <v>1082</v>
      </c>
      <c r="F535" s="24" t="str">
        <f t="shared" si="32"/>
        <v>PPG - PURDY POWERLOCK    4-8 FT     EXT POLE</v>
      </c>
      <c r="G535" s="36" t="s">
        <v>5409</v>
      </c>
      <c r="H535" s="25" t="s">
        <v>36</v>
      </c>
      <c r="I535" s="18" t="s">
        <v>37</v>
      </c>
      <c r="J535" s="18" t="s">
        <v>38</v>
      </c>
      <c r="K535" t="s">
        <v>39</v>
      </c>
      <c r="L535" s="26">
        <f>VLOOKUP(A535,'[3]Price info'!A:D,4,FALSE)</f>
        <v>26.08</v>
      </c>
      <c r="M535" s="18" t="s">
        <v>40</v>
      </c>
      <c r="N535" s="20">
        <v>3105</v>
      </c>
      <c r="P535" s="16">
        <f>VLOOKUP(A535,'[3]Price info'!A:H,8,FALSE)</f>
        <v>24.280480000000001</v>
      </c>
      <c r="Q535" s="27">
        <f t="shared" si="33"/>
        <v>0.93100000000000005</v>
      </c>
      <c r="S535" s="16">
        <f>VLOOKUP(A535,[4]Sales!$E:$G,3,FALSE)</f>
        <v>175.36</v>
      </c>
      <c r="T535" s="19">
        <f>VLOOKUP(A535,[4]Volume!$E:$G,3,FALSE)</f>
        <v>7</v>
      </c>
      <c r="U535" s="19">
        <f>VLOOKUP(A535,[4]Piece!$E:$G,3,FALSE)</f>
        <v>7</v>
      </c>
      <c r="V535" s="21">
        <f t="shared" si="34"/>
        <v>169.96335999999999</v>
      </c>
      <c r="W535" s="16">
        <f t="shared" si="35"/>
        <v>-5.3966400000000192</v>
      </c>
    </row>
    <row r="536" spans="1:23" hidden="1" x14ac:dyDescent="0.3">
      <c r="A536" s="22" t="s">
        <v>1083</v>
      </c>
      <c r="B536" s="22" t="s">
        <v>1083</v>
      </c>
      <c r="C536" s="23" t="s">
        <v>33</v>
      </c>
      <c r="D536" s="20" t="s">
        <v>34</v>
      </c>
      <c r="E536" s="22" t="s">
        <v>1084</v>
      </c>
      <c r="F536" s="24" t="str">
        <f t="shared" si="32"/>
        <v>PPG - Johnstones PRO GLOSS - Black - 1ltr</v>
      </c>
      <c r="G536" s="23" t="s">
        <v>5410</v>
      </c>
      <c r="H536" s="25" t="s">
        <v>36</v>
      </c>
      <c r="I536" s="18" t="s">
        <v>37</v>
      </c>
      <c r="J536" s="18" t="s">
        <v>38</v>
      </c>
      <c r="K536" t="s">
        <v>39</v>
      </c>
      <c r="L536" s="26">
        <f>VLOOKUP(A536,'[3]Price info'!A:D,4,FALSE)</f>
        <v>9.52</v>
      </c>
      <c r="M536" s="18" t="s">
        <v>40</v>
      </c>
      <c r="N536" s="20">
        <v>3105</v>
      </c>
      <c r="P536" s="16">
        <f>VLOOKUP(A536,'[3]Price info'!A:H,8,FALSE)</f>
        <v>8.89</v>
      </c>
      <c r="Q536" s="27">
        <f t="shared" si="33"/>
        <v>0.93382352941176483</v>
      </c>
      <c r="S536" s="16">
        <f>VLOOKUP(A536,[4]Sales!$E:$G,3,FALSE)</f>
        <v>198.78000000000003</v>
      </c>
      <c r="T536" s="19">
        <f>VLOOKUP(A536,[4]Volume!$E:$G,3,FALSE)</f>
        <v>22</v>
      </c>
      <c r="U536" s="19">
        <f>VLOOKUP(A536,[4]Piece!$E:$G,3,FALSE)</f>
        <v>22</v>
      </c>
      <c r="V536" s="21">
        <f t="shared" si="34"/>
        <v>195.58</v>
      </c>
      <c r="W536" s="16">
        <f t="shared" si="35"/>
        <v>-3.2000000000000171</v>
      </c>
    </row>
    <row r="537" spans="1:23" hidden="1" x14ac:dyDescent="0.3">
      <c r="A537" s="22" t="s">
        <v>1085</v>
      </c>
      <c r="B537" s="22" t="s">
        <v>1085</v>
      </c>
      <c r="C537" s="23" t="s">
        <v>33</v>
      </c>
      <c r="D537" s="20" t="s">
        <v>34</v>
      </c>
      <c r="E537" s="22" t="s">
        <v>1086</v>
      </c>
      <c r="F537" s="24" t="str">
        <f t="shared" si="32"/>
        <v>PPG - Johnstones VINYL SILK - Mix - 2.5ltr</v>
      </c>
      <c r="G537" s="23" t="s">
        <v>5411</v>
      </c>
      <c r="H537" s="25" t="s">
        <v>36</v>
      </c>
      <c r="I537" s="18" t="s">
        <v>37</v>
      </c>
      <c r="J537" s="18" t="s">
        <v>38</v>
      </c>
      <c r="K537" t="s">
        <v>39</v>
      </c>
      <c r="L537" s="26">
        <f>VLOOKUP(A537,'[3]Price info'!A:D,4,FALSE)</f>
        <v>11.46</v>
      </c>
      <c r="M537" s="18" t="s">
        <v>40</v>
      </c>
      <c r="N537" s="20">
        <v>3105</v>
      </c>
      <c r="P537" s="16">
        <f>VLOOKUP(A537,'[3]Price info'!A:H,8,FALSE)</f>
        <v>10.669260000000001</v>
      </c>
      <c r="Q537" s="27">
        <f t="shared" si="33"/>
        <v>0.93100000000000005</v>
      </c>
      <c r="S537" s="16">
        <f>VLOOKUP(A537,[4]Sales!$E:$G,3,FALSE)</f>
        <v>93.45</v>
      </c>
      <c r="T537" s="19">
        <f>VLOOKUP(A537,[4]Volume!$E:$G,3,FALSE)</f>
        <v>25</v>
      </c>
      <c r="U537" s="19">
        <f>VLOOKUP(A537,[4]Piece!$E:$G,3,FALSE)</f>
        <v>10</v>
      </c>
      <c r="V537" s="21">
        <f t="shared" si="34"/>
        <v>106.69260000000001</v>
      </c>
      <c r="W537" s="16">
        <f t="shared" si="35"/>
        <v>13.24260000000001</v>
      </c>
    </row>
    <row r="538" spans="1:23" hidden="1" x14ac:dyDescent="0.3">
      <c r="A538" s="46" t="s">
        <v>1087</v>
      </c>
      <c r="B538" s="46" t="s">
        <v>1087</v>
      </c>
      <c r="C538" s="51" t="s">
        <v>33</v>
      </c>
      <c r="D538" s="48" t="s">
        <v>34</v>
      </c>
      <c r="E538" s="18" t="s">
        <v>1088</v>
      </c>
      <c r="F538" s="24" t="str">
        <f t="shared" si="32"/>
        <v>PPG - HAMIL PRESTIGE SYN 5BS + COMB 5 BRUSH SE</v>
      </c>
      <c r="G538" s="20" t="s">
        <v>5412</v>
      </c>
      <c r="H538" s="49" t="s">
        <v>213</v>
      </c>
      <c r="I538" s="18" t="s">
        <v>37</v>
      </c>
      <c r="J538" s="18" t="s">
        <v>38</v>
      </c>
      <c r="K538" t="s">
        <v>39</v>
      </c>
      <c r="L538" s="50">
        <f>VLOOKUP(A538,'[3]Price info'!A:D,4,FALSE)</f>
        <v>39.229999999999997</v>
      </c>
      <c r="M538" s="18" t="s">
        <v>214</v>
      </c>
      <c r="N538" s="20">
        <v>3105</v>
      </c>
      <c r="P538" s="16">
        <f>VLOOKUP(A538,'[3]Price info'!A:H,8,FALSE)</f>
        <v>26.61</v>
      </c>
      <c r="Q538" s="17">
        <f t="shared" si="33"/>
        <v>0.67830741779250581</v>
      </c>
      <c r="S538" s="16">
        <f>VLOOKUP(A538,[4]Sales!$E:$G,3,FALSE)</f>
        <v>520.49999999999989</v>
      </c>
      <c r="T538" s="19">
        <f>VLOOKUP(A538,[4]Volume!$E:$G,3,FALSE)</f>
        <v>40</v>
      </c>
      <c r="U538" s="19">
        <f>VLOOKUP(A538,[4]Piece!$E:$G,3,FALSE)</f>
        <v>40</v>
      </c>
      <c r="V538" s="21">
        <f t="shared" si="34"/>
        <v>1064.4000000000001</v>
      </c>
      <c r="W538" s="16">
        <f t="shared" si="35"/>
        <v>543.9000000000002</v>
      </c>
    </row>
    <row r="539" spans="1:23" hidden="1" x14ac:dyDescent="0.3">
      <c r="A539" s="22" t="s">
        <v>1089</v>
      </c>
      <c r="B539" s="22" t="s">
        <v>1089</v>
      </c>
      <c r="C539" s="23" t="s">
        <v>33</v>
      </c>
      <c r="D539" s="20" t="s">
        <v>34</v>
      </c>
      <c r="E539" s="22" t="s">
        <v>1090</v>
      </c>
      <c r="F539" s="24" t="str">
        <f t="shared" si="32"/>
        <v>PPG - Johnstones PRO GLOSS - Mix - 5ltr</v>
      </c>
      <c r="G539" s="23" t="s">
        <v>5413</v>
      </c>
      <c r="H539" s="25" t="s">
        <v>36</v>
      </c>
      <c r="I539" s="18" t="s">
        <v>37</v>
      </c>
      <c r="J539" s="18" t="s">
        <v>38</v>
      </c>
      <c r="K539" t="s">
        <v>39</v>
      </c>
      <c r="L539" s="26">
        <f>VLOOKUP(A539,'[3]Price info'!A:D,4,FALSE)</f>
        <v>18.82</v>
      </c>
      <c r="M539" s="18" t="s">
        <v>40</v>
      </c>
      <c r="N539" s="20">
        <v>3105</v>
      </c>
      <c r="P539" s="16">
        <f>VLOOKUP(A539,'[3]Price info'!A:H,8,FALSE)</f>
        <v>24.7</v>
      </c>
      <c r="Q539" s="27">
        <f t="shared" si="33"/>
        <v>1.3124335812964931</v>
      </c>
      <c r="S539" s="16">
        <f>VLOOKUP(A539,[4]Sales!$E:$G,3,FALSE)</f>
        <v>24.7</v>
      </c>
      <c r="T539" s="19">
        <f>VLOOKUP(A539,[4]Volume!$E:$G,3,FALSE)</f>
        <v>5</v>
      </c>
      <c r="U539" s="19">
        <f>VLOOKUP(A539,[4]Piece!$E:$G,3,FALSE)</f>
        <v>1</v>
      </c>
      <c r="V539" s="21">
        <f t="shared" si="34"/>
        <v>24.7</v>
      </c>
      <c r="W539" s="16">
        <f t="shared" si="35"/>
        <v>0</v>
      </c>
    </row>
    <row r="540" spans="1:23" hidden="1" x14ac:dyDescent="0.3">
      <c r="A540" s="46" t="s">
        <v>1091</v>
      </c>
      <c r="B540" s="46" t="s">
        <v>1091</v>
      </c>
      <c r="C540" s="47" t="s">
        <v>33</v>
      </c>
      <c r="D540" s="48" t="s">
        <v>34</v>
      </c>
      <c r="E540" s="18" t="s">
        <v>1092</v>
      </c>
      <c r="F540" s="24" t="str">
        <f t="shared" si="32"/>
        <v>PPG - AXUS  WALLPAPER    SCISSORS</v>
      </c>
      <c r="G540" s="20" t="s">
        <v>5414</v>
      </c>
      <c r="H540" s="49" t="s">
        <v>213</v>
      </c>
      <c r="I540" s="18" t="s">
        <v>37</v>
      </c>
      <c r="J540" s="18" t="s">
        <v>38</v>
      </c>
      <c r="K540" t="s">
        <v>39</v>
      </c>
      <c r="L540" s="50">
        <f>VLOOKUP(A540,'[3]Price info'!A:D,4,FALSE)</f>
        <v>29.43</v>
      </c>
      <c r="M540" s="18" t="s">
        <v>214</v>
      </c>
      <c r="N540" s="20">
        <v>3105</v>
      </c>
      <c r="P540" s="16">
        <f>VLOOKUP(A540,'[3]Price info'!A:H,8,FALSE)</f>
        <v>27.399330000000003</v>
      </c>
      <c r="Q540" s="17">
        <f t="shared" si="33"/>
        <v>0.93100000000000005</v>
      </c>
      <c r="S540" s="16">
        <f>VLOOKUP(A540,[4]Sales!$E:$G,3,FALSE)</f>
        <v>123.47</v>
      </c>
      <c r="T540" s="19">
        <f>VLOOKUP(A540,[4]Volume!$E:$G,3,FALSE)</f>
        <v>5</v>
      </c>
      <c r="U540" s="19">
        <f>VLOOKUP(A540,[4]Piece!$E:$G,3,FALSE)</f>
        <v>5</v>
      </c>
      <c r="V540" s="21">
        <f t="shared" si="34"/>
        <v>136.99665000000002</v>
      </c>
      <c r="W540" s="16">
        <f t="shared" si="35"/>
        <v>13.526650000000018</v>
      </c>
    </row>
    <row r="541" spans="1:23" hidden="1" x14ac:dyDescent="0.3">
      <c r="A541" s="46" t="s">
        <v>1093</v>
      </c>
      <c r="B541" s="46" t="s">
        <v>1093</v>
      </c>
      <c r="C541" s="47" t="s">
        <v>33</v>
      </c>
      <c r="D541" s="48" t="s">
        <v>34</v>
      </c>
      <c r="E541" s="93" t="s">
        <v>7385</v>
      </c>
      <c r="F541" s="24" t="str">
        <f t="shared" si="32"/>
        <v>PPG - Mirka 150mm Backing Pad for DEROS/CEROS</v>
      </c>
      <c r="G541" s="20" t="s">
        <v>5415</v>
      </c>
      <c r="H541" s="49" t="s">
        <v>213</v>
      </c>
      <c r="I541" s="18" t="s">
        <v>37</v>
      </c>
      <c r="J541" s="18" t="s">
        <v>38</v>
      </c>
      <c r="K541" t="s">
        <v>39</v>
      </c>
      <c r="L541" s="50">
        <f>VLOOKUP(A541,'[3]Price info'!A:D,4,FALSE)</f>
        <v>49.48</v>
      </c>
      <c r="M541" s="18" t="s">
        <v>214</v>
      </c>
      <c r="N541" s="20">
        <v>3105</v>
      </c>
      <c r="P541" s="16">
        <v>33.630000000000003</v>
      </c>
      <c r="Q541" s="17">
        <f t="shared" si="33"/>
        <v>0.67966855295068729</v>
      </c>
      <c r="S541" s="16">
        <f>VLOOKUP(A541,[4]Sales!$E:$G,3,FALSE)</f>
        <v>45.84</v>
      </c>
      <c r="T541" s="19">
        <f>VLOOKUP(A541,[4]Volume!$E:$G,3,FALSE)</f>
        <v>1</v>
      </c>
      <c r="U541" s="19">
        <f>VLOOKUP(A541,[4]Piece!$E:$G,3,FALSE)</f>
        <v>1</v>
      </c>
      <c r="V541" s="21">
        <f t="shared" si="34"/>
        <v>33.630000000000003</v>
      </c>
      <c r="W541" s="16">
        <f t="shared" si="35"/>
        <v>-12.21</v>
      </c>
    </row>
    <row r="542" spans="1:23" hidden="1" x14ac:dyDescent="0.3">
      <c r="A542" s="46" t="s">
        <v>1094</v>
      </c>
      <c r="B542" s="46" t="s">
        <v>1094</v>
      </c>
      <c r="C542" s="51" t="s">
        <v>33</v>
      </c>
      <c r="D542" s="48" t="s">
        <v>34</v>
      </c>
      <c r="E542" s="18" t="s">
        <v>1095</v>
      </c>
      <c r="F542" s="24" t="str">
        <f t="shared" si="32"/>
        <v>PPG - S'COVER 350 SET ALUMINIUM     9000001400</v>
      </c>
      <c r="G542" s="20" t="s">
        <v>5416</v>
      </c>
      <c r="H542" s="49" t="s">
        <v>213</v>
      </c>
      <c r="I542" s="18" t="s">
        <v>37</v>
      </c>
      <c r="J542" s="18" t="s">
        <v>38</v>
      </c>
      <c r="K542" t="s">
        <v>39</v>
      </c>
      <c r="L542" s="50">
        <f>VLOOKUP(A542,'[3]Price info'!A:D,4,FALSE)</f>
        <v>35.950000000000003</v>
      </c>
      <c r="M542" s="18" t="s">
        <v>214</v>
      </c>
      <c r="N542" s="20">
        <v>3105</v>
      </c>
      <c r="P542" s="16">
        <f>VLOOKUP(A542,'[3]Price info'!A:H,8,FALSE)</f>
        <v>33.469450000000002</v>
      </c>
      <c r="Q542" s="17">
        <f t="shared" si="33"/>
        <v>0.93099999999999994</v>
      </c>
      <c r="S542" s="16" t="e">
        <f>VLOOKUP(A542,[4]Sales!$E:$G,3,FALSE)</f>
        <v>#N/A</v>
      </c>
      <c r="T542" s="19" t="e">
        <f>VLOOKUP(A542,[4]Volume!$E:$G,3,FALSE)</f>
        <v>#N/A</v>
      </c>
      <c r="U542" s="19" t="e">
        <f>VLOOKUP(A542,[4]Piece!$E:$G,3,FALSE)</f>
        <v>#N/A</v>
      </c>
      <c r="V542" s="21" t="e">
        <f t="shared" si="34"/>
        <v>#N/A</v>
      </c>
      <c r="W542" s="16" t="e">
        <f t="shared" si="35"/>
        <v>#N/A</v>
      </c>
    </row>
    <row r="543" spans="1:23" hidden="1" x14ac:dyDescent="0.3">
      <c r="A543" s="46" t="s">
        <v>1096</v>
      </c>
      <c r="B543" s="46" t="s">
        <v>1096</v>
      </c>
      <c r="C543" s="47" t="s">
        <v>33</v>
      </c>
      <c r="D543" s="48" t="s">
        <v>34</v>
      </c>
      <c r="E543" s="18" t="s">
        <v>1097</v>
      </c>
      <c r="F543" s="24" t="str">
        <f t="shared" si="32"/>
        <v>PPG - OLFA  12.5MM W/PAP SNAP KNIFE</v>
      </c>
      <c r="G543" s="20" t="s">
        <v>5417</v>
      </c>
      <c r="H543" s="49" t="s">
        <v>213</v>
      </c>
      <c r="I543" s="18" t="s">
        <v>37</v>
      </c>
      <c r="J543" s="18" t="s">
        <v>38</v>
      </c>
      <c r="K543" t="s">
        <v>39</v>
      </c>
      <c r="L543" s="50">
        <f>VLOOKUP(A543,'[3]Price info'!A:D,4,FALSE)</f>
        <v>11.32</v>
      </c>
      <c r="M543" s="18" t="s">
        <v>214</v>
      </c>
      <c r="N543" s="20">
        <v>3105</v>
      </c>
      <c r="P543" s="16">
        <f>VLOOKUP(A543,'[3]Price info'!A:H,8,FALSE)</f>
        <v>10.538920000000001</v>
      </c>
      <c r="Q543" s="17">
        <f t="shared" si="33"/>
        <v>0.93100000000000005</v>
      </c>
      <c r="S543" s="16">
        <f>VLOOKUP(A543,[4]Sales!$E:$G,3,FALSE)</f>
        <v>10.54</v>
      </c>
      <c r="T543" s="19">
        <f>VLOOKUP(A543,[4]Volume!$E:$G,3,FALSE)</f>
        <v>4</v>
      </c>
      <c r="U543" s="19">
        <f>VLOOKUP(A543,[4]Piece!$E:$G,3,FALSE)</f>
        <v>4</v>
      </c>
      <c r="V543" s="21">
        <f t="shared" si="34"/>
        <v>42.155680000000004</v>
      </c>
      <c r="W543" s="16">
        <f t="shared" si="35"/>
        <v>31.615680000000005</v>
      </c>
    </row>
    <row r="544" spans="1:23" hidden="1" x14ac:dyDescent="0.3">
      <c r="A544" s="46" t="s">
        <v>1098</v>
      </c>
      <c r="B544" s="46" t="s">
        <v>1098</v>
      </c>
      <c r="C544" s="47" t="s">
        <v>33</v>
      </c>
      <c r="D544" s="48" t="s">
        <v>34</v>
      </c>
      <c r="E544" s="18" t="s">
        <v>1099</v>
      </c>
      <c r="F544" s="24" t="str">
        <f t="shared" si="32"/>
        <v>PPG - THINNER 90-53               0000TREU1500</v>
      </c>
      <c r="G544" s="20" t="s">
        <v>5418</v>
      </c>
      <c r="H544" s="49" t="s">
        <v>213</v>
      </c>
      <c r="I544" s="18" t="s">
        <v>37</v>
      </c>
      <c r="J544" s="18" t="s">
        <v>38</v>
      </c>
      <c r="K544" t="s">
        <v>39</v>
      </c>
      <c r="L544" s="50">
        <f>VLOOKUP(A544,'[3]Price info'!A:D,4,FALSE)</f>
        <v>66.11</v>
      </c>
      <c r="M544" s="18" t="s">
        <v>214</v>
      </c>
      <c r="N544" s="20">
        <v>3105</v>
      </c>
      <c r="P544" s="16">
        <f>VLOOKUP(A544,'[3]Price info'!A:H,8,FALSE)</f>
        <v>59.5</v>
      </c>
      <c r="Q544" s="17">
        <f t="shared" si="33"/>
        <v>0.90001512630464375</v>
      </c>
      <c r="S544" s="16" t="e">
        <f>VLOOKUP(A544,[4]Sales!$E:$G,3,FALSE)</f>
        <v>#N/A</v>
      </c>
      <c r="T544" s="19" t="e">
        <f>VLOOKUP(A544,[4]Volume!$E:$G,3,FALSE)</f>
        <v>#N/A</v>
      </c>
      <c r="U544" s="19" t="e">
        <f>VLOOKUP(A544,[4]Piece!$E:$G,3,FALSE)</f>
        <v>#N/A</v>
      </c>
      <c r="V544" s="21" t="e">
        <f t="shared" si="34"/>
        <v>#N/A</v>
      </c>
      <c r="W544" s="16" t="e">
        <f t="shared" si="35"/>
        <v>#N/A</v>
      </c>
    </row>
    <row r="545" spans="1:23" hidden="1" x14ac:dyDescent="0.3">
      <c r="A545" s="22" t="s">
        <v>1100</v>
      </c>
      <c r="B545" s="22" t="s">
        <v>1100</v>
      </c>
      <c r="C545" s="23" t="s">
        <v>33</v>
      </c>
      <c r="D545" s="20" t="s">
        <v>34</v>
      </c>
      <c r="E545" s="22" t="s">
        <v>1101</v>
      </c>
      <c r="F545" s="24" t="str">
        <f t="shared" si="32"/>
        <v>PPG - Leyland UNDERCOAT - Dark Grey - 5ltr</v>
      </c>
      <c r="G545" s="23" t="s">
        <v>5419</v>
      </c>
      <c r="H545" s="25" t="s">
        <v>36</v>
      </c>
      <c r="I545" s="18" t="s">
        <v>37</v>
      </c>
      <c r="J545" s="18" t="s">
        <v>38</v>
      </c>
      <c r="K545" t="s">
        <v>39</v>
      </c>
      <c r="L545" s="26">
        <f>VLOOKUP(A545,'[3]Price info'!A:D,4,FALSE)</f>
        <v>16.71</v>
      </c>
      <c r="M545" s="18" t="s">
        <v>40</v>
      </c>
      <c r="N545" s="20">
        <v>3105</v>
      </c>
      <c r="P545" s="16">
        <f>VLOOKUP(A545,'[3]Price info'!A:H,8,FALSE)</f>
        <v>25.07</v>
      </c>
      <c r="Q545" s="27">
        <f t="shared" si="33"/>
        <v>1.5002992220227409</v>
      </c>
      <c r="S545" s="16">
        <f>VLOOKUP(A545,[4]Sales!$E:$G,3,FALSE)</f>
        <v>83.56</v>
      </c>
      <c r="T545" s="19">
        <f>VLOOKUP(A545,[4]Volume!$E:$G,3,FALSE)</f>
        <v>20</v>
      </c>
      <c r="U545" s="19">
        <f>VLOOKUP(A545,[4]Piece!$E:$G,3,FALSE)</f>
        <v>4</v>
      </c>
      <c r="V545" s="21">
        <f t="shared" si="34"/>
        <v>100.28</v>
      </c>
      <c r="W545" s="16">
        <f t="shared" si="35"/>
        <v>16.72</v>
      </c>
    </row>
    <row r="546" spans="1:23" hidden="1" x14ac:dyDescent="0.3">
      <c r="A546" s="46" t="s">
        <v>1102</v>
      </c>
      <c r="B546" s="46" t="s">
        <v>1102</v>
      </c>
      <c r="C546" s="51" t="s">
        <v>33</v>
      </c>
      <c r="D546" s="48" t="s">
        <v>34</v>
      </c>
      <c r="E546" s="18" t="s">
        <v>1103</v>
      </c>
      <c r="F546" s="24" t="str">
        <f t="shared" si="32"/>
        <v>PPG - FROGT GLOSS &amp;SATIN 36MM(1.5") 104189</v>
      </c>
      <c r="G546" s="20" t="s">
        <v>5420</v>
      </c>
      <c r="H546" s="49" t="s">
        <v>213</v>
      </c>
      <c r="I546" s="18" t="s">
        <v>37</v>
      </c>
      <c r="J546" s="18" t="s">
        <v>38</v>
      </c>
      <c r="K546" t="s">
        <v>39</v>
      </c>
      <c r="L546" s="50">
        <f>VLOOKUP(A546,'[3]Price info'!A:D,4,FALSE)</f>
        <v>7.51</v>
      </c>
      <c r="M546" s="18" t="s">
        <v>214</v>
      </c>
      <c r="N546" s="20">
        <v>3105</v>
      </c>
      <c r="P546" s="16">
        <f>VLOOKUP(A546,'[3]Price info'!A:H,8,FALSE)</f>
        <v>6.9918100000000001</v>
      </c>
      <c r="Q546" s="17">
        <f t="shared" si="33"/>
        <v>0.93100000000000005</v>
      </c>
      <c r="S546" s="16">
        <f>VLOOKUP(A546,[4]Sales!$E:$G,3,FALSE)</f>
        <v>54.42</v>
      </c>
      <c r="T546" s="19">
        <f>VLOOKUP(A546,[4]Volume!$E:$G,3,FALSE)</f>
        <v>8</v>
      </c>
      <c r="U546" s="19">
        <f>VLOOKUP(A546,[4]Piece!$E:$G,3,FALSE)</f>
        <v>8</v>
      </c>
      <c r="V546" s="21">
        <f t="shared" si="34"/>
        <v>55.934480000000001</v>
      </c>
      <c r="W546" s="16">
        <f t="shared" si="35"/>
        <v>1.5144799999999989</v>
      </c>
    </row>
    <row r="547" spans="1:23" hidden="1" x14ac:dyDescent="0.3">
      <c r="A547" s="46" t="s">
        <v>1104</v>
      </c>
      <c r="B547" s="46" t="s">
        <v>1104</v>
      </c>
      <c r="C547" s="47" t="s">
        <v>33</v>
      </c>
      <c r="D547" s="48" t="s">
        <v>34</v>
      </c>
      <c r="E547" s="18" t="s">
        <v>1105</v>
      </c>
      <c r="F547" s="24" t="str">
        <f t="shared" si="32"/>
        <v>PPG - JST  QD POLY FLORTRED L 2010       1500</v>
      </c>
      <c r="G547" s="20" t="s">
        <v>5421</v>
      </c>
      <c r="H547" s="49" t="s">
        <v>213</v>
      </c>
      <c r="I547" s="18" t="s">
        <v>37</v>
      </c>
      <c r="J547" s="18" t="s">
        <v>38</v>
      </c>
      <c r="K547" t="s">
        <v>39</v>
      </c>
      <c r="L547" s="50">
        <f>VLOOKUP(A547,'[3]Price info'!A:D,4,FALSE)</f>
        <v>84.35</v>
      </c>
      <c r="M547" s="18" t="s">
        <v>214</v>
      </c>
      <c r="N547" s="20">
        <v>3105</v>
      </c>
      <c r="P547" s="16">
        <f>VLOOKUP(A547,'[3]Price info'!A:H,8,FALSE)</f>
        <v>78.529849999999996</v>
      </c>
      <c r="Q547" s="17">
        <f t="shared" si="33"/>
        <v>0.93100000000000005</v>
      </c>
      <c r="S547" s="16" t="e">
        <f>VLOOKUP(A547,[4]Sales!$E:$G,3,FALSE)</f>
        <v>#N/A</v>
      </c>
      <c r="T547" s="19" t="e">
        <f>VLOOKUP(A547,[4]Volume!$E:$G,3,FALSE)</f>
        <v>#N/A</v>
      </c>
      <c r="U547" s="19" t="e">
        <f>VLOOKUP(A547,[4]Piece!$E:$G,3,FALSE)</f>
        <v>#N/A</v>
      </c>
      <c r="V547" s="21" t="e">
        <f t="shared" si="34"/>
        <v>#N/A</v>
      </c>
      <c r="W547" s="16" t="e">
        <f t="shared" si="35"/>
        <v>#N/A</v>
      </c>
    </row>
    <row r="548" spans="1:23" hidden="1" x14ac:dyDescent="0.3">
      <c r="A548" s="22" t="s">
        <v>1106</v>
      </c>
      <c r="B548" s="22" t="s">
        <v>1106</v>
      </c>
      <c r="C548" s="23" t="s">
        <v>33</v>
      </c>
      <c r="D548" s="20" t="s">
        <v>34</v>
      </c>
      <c r="E548" s="22" t="s">
        <v>1107</v>
      </c>
      <c r="F548" s="24" t="str">
        <f t="shared" si="32"/>
        <v>PPG - Johnstones JONMAT - Brilliant White - 5ltr</v>
      </c>
      <c r="G548" s="23" t="s">
        <v>5422</v>
      </c>
      <c r="H548" s="25" t="s">
        <v>36</v>
      </c>
      <c r="I548" s="18" t="s">
        <v>37</v>
      </c>
      <c r="J548" s="18" t="s">
        <v>38</v>
      </c>
      <c r="K548" t="s">
        <v>39</v>
      </c>
      <c r="L548" s="26">
        <f>VLOOKUP(A548,'[3]Price info'!A:D,4,FALSE)</f>
        <v>9.1999999999999993</v>
      </c>
      <c r="M548" s="18" t="s">
        <v>40</v>
      </c>
      <c r="N548" s="20">
        <v>3105</v>
      </c>
      <c r="P548" s="16">
        <f>VLOOKUP(A548,'[3]Price info'!A:H,8,FALSE)</f>
        <v>8.565199999999999</v>
      </c>
      <c r="Q548" s="27">
        <f t="shared" si="33"/>
        <v>0.93099999999999994</v>
      </c>
      <c r="S548" s="16">
        <f>VLOOKUP(A548,[4]Sales!$E:$G,3,FALSE)</f>
        <v>98.750000000000014</v>
      </c>
      <c r="T548" s="19">
        <f>VLOOKUP(A548,[4]Volume!$E:$G,3,FALSE)</f>
        <v>55</v>
      </c>
      <c r="U548" s="19">
        <f>VLOOKUP(A548,[4]Piece!$E:$G,3,FALSE)</f>
        <v>11</v>
      </c>
      <c r="V548" s="21">
        <f t="shared" si="34"/>
        <v>94.217199999999991</v>
      </c>
      <c r="W548" s="16">
        <f t="shared" si="35"/>
        <v>-4.532800000000023</v>
      </c>
    </row>
    <row r="549" spans="1:23" hidden="1" x14ac:dyDescent="0.3">
      <c r="A549" s="22" t="s">
        <v>1108</v>
      </c>
      <c r="B549" s="22" t="s">
        <v>1108</v>
      </c>
      <c r="C549" s="23" t="s">
        <v>33</v>
      </c>
      <c r="D549" s="20" t="s">
        <v>34</v>
      </c>
      <c r="E549" s="22" t="s">
        <v>1109</v>
      </c>
      <c r="F549" s="24" t="str">
        <f t="shared" si="32"/>
        <v>PPG - ProGold SEMI ROUGH ROLLER 12"</v>
      </c>
      <c r="G549" s="23" t="s">
        <v>5423</v>
      </c>
      <c r="H549" s="25" t="s">
        <v>36</v>
      </c>
      <c r="I549" s="18" t="s">
        <v>37</v>
      </c>
      <c r="J549" s="18" t="s">
        <v>38</v>
      </c>
      <c r="K549" t="s">
        <v>39</v>
      </c>
      <c r="L549" s="26">
        <f>VLOOKUP(A549,'[3]Price info'!A:D,4,FALSE)</f>
        <v>6.36</v>
      </c>
      <c r="M549" s="18" t="s">
        <v>40</v>
      </c>
      <c r="N549" s="20">
        <v>3105</v>
      </c>
      <c r="P549" s="16">
        <f>VLOOKUP(A549,'[3]Price info'!A:H,8,FALSE)</f>
        <v>5.9211600000000004</v>
      </c>
      <c r="Q549" s="27">
        <f t="shared" si="33"/>
        <v>0.93100000000000005</v>
      </c>
      <c r="S549" s="16">
        <f>VLOOKUP(A549,[4]Sales!$E:$G,3,FALSE)</f>
        <v>229.36000000000004</v>
      </c>
      <c r="T549" s="19">
        <f>VLOOKUP(A549,[4]Volume!$E:$G,3,FALSE)</f>
        <v>38</v>
      </c>
      <c r="U549" s="19">
        <f>VLOOKUP(A549,[4]Piece!$E:$G,3,FALSE)</f>
        <v>38</v>
      </c>
      <c r="V549" s="21">
        <f t="shared" si="34"/>
        <v>225.00408000000002</v>
      </c>
      <c r="W549" s="16">
        <f t="shared" si="35"/>
        <v>-4.355920000000026</v>
      </c>
    </row>
    <row r="550" spans="1:23" hidden="1" x14ac:dyDescent="0.3">
      <c r="A550" s="46" t="s">
        <v>1110</v>
      </c>
      <c r="B550" s="46" t="s">
        <v>1110</v>
      </c>
      <c r="C550" s="47" t="s">
        <v>33</v>
      </c>
      <c r="D550" s="48" t="s">
        <v>34</v>
      </c>
      <c r="E550" s="18" t="s">
        <v>1111</v>
      </c>
      <c r="F550" s="24" t="str">
        <f t="shared" si="32"/>
        <v>PPG - BLINE READY MIXED  PASTE      0000000900</v>
      </c>
      <c r="G550" s="20" t="s">
        <v>5424</v>
      </c>
      <c r="H550" s="49" t="s">
        <v>213</v>
      </c>
      <c r="I550" s="18" t="s">
        <v>37</v>
      </c>
      <c r="J550" s="18" t="s">
        <v>38</v>
      </c>
      <c r="K550" t="s">
        <v>39</v>
      </c>
      <c r="L550" s="50">
        <f>VLOOKUP(A550,'[3]Price info'!A:D,4,FALSE)</f>
        <v>38.520000000000003</v>
      </c>
      <c r="M550" s="18" t="s">
        <v>214</v>
      </c>
      <c r="N550" s="20">
        <v>3105</v>
      </c>
      <c r="P550" s="16">
        <f>VLOOKUP(A550,'[3]Price info'!A:H,8,FALSE)</f>
        <v>35.862120000000004</v>
      </c>
      <c r="Q550" s="17">
        <f t="shared" si="33"/>
        <v>0.93100000000000005</v>
      </c>
      <c r="S550" s="16">
        <f>VLOOKUP(A550,[4]Sales!$E:$G,3,FALSE)</f>
        <v>83.16</v>
      </c>
      <c r="T550" s="19">
        <f>VLOOKUP(A550,[4]Volume!$E:$G,3,FALSE)</f>
        <v>1.8</v>
      </c>
      <c r="U550" s="19">
        <f>VLOOKUP(A550,[4]Piece!$E:$G,3,FALSE)</f>
        <v>2</v>
      </c>
      <c r="V550" s="21">
        <f t="shared" si="34"/>
        <v>71.724240000000009</v>
      </c>
      <c r="W550" s="16">
        <f t="shared" si="35"/>
        <v>-11.435759999999988</v>
      </c>
    </row>
    <row r="551" spans="1:23" hidden="1" x14ac:dyDescent="0.3">
      <c r="A551" s="22" t="s">
        <v>1112</v>
      </c>
      <c r="B551" s="22" t="s">
        <v>1112</v>
      </c>
      <c r="C551" s="23" t="s">
        <v>33</v>
      </c>
      <c r="D551" s="20" t="s">
        <v>34</v>
      </c>
      <c r="E551" s="22" t="s">
        <v>1113</v>
      </c>
      <c r="F551" s="24" t="str">
        <f t="shared" si="32"/>
        <v>PPG - Leyland VINYL SILK - Magnolia - 10ltr</v>
      </c>
      <c r="G551" s="23" t="s">
        <v>5425</v>
      </c>
      <c r="H551" s="25" t="s">
        <v>36</v>
      </c>
      <c r="I551" s="18" t="s">
        <v>37</v>
      </c>
      <c r="J551" s="18" t="s">
        <v>38</v>
      </c>
      <c r="K551" t="s">
        <v>39</v>
      </c>
      <c r="L551" s="26">
        <f>VLOOKUP(A551,'[3]Price info'!A:D,4,FALSE)</f>
        <v>40.729999999999997</v>
      </c>
      <c r="M551" s="18" t="s">
        <v>40</v>
      </c>
      <c r="N551" s="20">
        <v>3105</v>
      </c>
      <c r="P551" s="16">
        <f>VLOOKUP(A551,'[3]Price info'!A:H,8,FALSE)</f>
        <v>26</v>
      </c>
      <c r="Q551" s="27">
        <f t="shared" si="33"/>
        <v>0.63835011048367307</v>
      </c>
      <c r="S551" s="16" t="e">
        <f>VLOOKUP(A551,[4]Sales!$E:$G,3,FALSE)</f>
        <v>#N/A</v>
      </c>
      <c r="T551" s="19" t="e">
        <f>VLOOKUP(A551,[4]Volume!$E:$G,3,FALSE)</f>
        <v>#N/A</v>
      </c>
      <c r="U551" s="19" t="e">
        <f>VLOOKUP(A551,[4]Piece!$E:$G,3,FALSE)</f>
        <v>#N/A</v>
      </c>
      <c r="V551" s="21" t="e">
        <f t="shared" si="34"/>
        <v>#N/A</v>
      </c>
      <c r="W551" s="16" t="e">
        <f t="shared" si="35"/>
        <v>#N/A</v>
      </c>
    </row>
    <row r="552" spans="1:23" hidden="1" x14ac:dyDescent="0.3">
      <c r="A552" s="46" t="s">
        <v>1114</v>
      </c>
      <c r="B552" s="46" t="s">
        <v>1114</v>
      </c>
      <c r="C552" s="51" t="s">
        <v>33</v>
      </c>
      <c r="D552" s="48" t="s">
        <v>34</v>
      </c>
      <c r="E552" s="18" t="s">
        <v>1115</v>
      </c>
      <c r="F552" s="24" t="str">
        <f t="shared" si="32"/>
        <v>PPG - S'COVER 350 SET OFFWHITE      7001002200</v>
      </c>
      <c r="G552" s="20" t="s">
        <v>5426</v>
      </c>
      <c r="H552" s="49" t="s">
        <v>213</v>
      </c>
      <c r="I552" s="18" t="s">
        <v>37</v>
      </c>
      <c r="J552" s="18" t="s">
        <v>38</v>
      </c>
      <c r="K552" t="s">
        <v>39</v>
      </c>
      <c r="L552" s="50">
        <f>VLOOKUP(A552,'[3]Price info'!A:D,4,FALSE)</f>
        <v>174.76</v>
      </c>
      <c r="M552" s="18" t="s">
        <v>214</v>
      </c>
      <c r="N552" s="20">
        <v>3105</v>
      </c>
      <c r="P552" s="16">
        <f>VLOOKUP(A552,'[3]Price info'!A:H,8,FALSE)</f>
        <v>162.70156</v>
      </c>
      <c r="Q552" s="17">
        <f t="shared" si="33"/>
        <v>0.93100000000000005</v>
      </c>
      <c r="S552" s="16" t="e">
        <f>VLOOKUP(A552,[4]Sales!$E:$G,3,FALSE)</f>
        <v>#N/A</v>
      </c>
      <c r="T552" s="19" t="e">
        <f>VLOOKUP(A552,[4]Volume!$E:$G,3,FALSE)</f>
        <v>#N/A</v>
      </c>
      <c r="U552" s="19" t="e">
        <f>VLOOKUP(A552,[4]Piece!$E:$G,3,FALSE)</f>
        <v>#N/A</v>
      </c>
      <c r="V552" s="21" t="e">
        <f t="shared" si="34"/>
        <v>#N/A</v>
      </c>
      <c r="W552" s="16" t="e">
        <f t="shared" si="35"/>
        <v>#N/A</v>
      </c>
    </row>
    <row r="553" spans="1:23" hidden="1" x14ac:dyDescent="0.3">
      <c r="A553" s="22" t="s">
        <v>1116</v>
      </c>
      <c r="B553" s="22" t="s">
        <v>1116</v>
      </c>
      <c r="C553" s="23" t="s">
        <v>33</v>
      </c>
      <c r="D553" s="20" t="s">
        <v>34</v>
      </c>
      <c r="E553" s="22" t="s">
        <v>1117</v>
      </c>
      <c r="F553" s="24" t="str">
        <f t="shared" si="32"/>
        <v>PPG - Leyland VINYL SILK - Magnolia - 5ltr</v>
      </c>
      <c r="G553" s="23" t="s">
        <v>5427</v>
      </c>
      <c r="H553" s="25" t="s">
        <v>36</v>
      </c>
      <c r="I553" s="18" t="s">
        <v>37</v>
      </c>
      <c r="J553" s="18" t="s">
        <v>38</v>
      </c>
      <c r="K553" t="s">
        <v>39</v>
      </c>
      <c r="L553" s="26">
        <f>VLOOKUP(A553,'[3]Price info'!A:D,4,FALSE)</f>
        <v>10.91</v>
      </c>
      <c r="M553" s="18" t="s">
        <v>40</v>
      </c>
      <c r="N553" s="20">
        <v>3105</v>
      </c>
      <c r="P553" s="16">
        <f>VLOOKUP(A553,'[3]Price info'!A:H,8,FALSE)</f>
        <v>13.09</v>
      </c>
      <c r="Q553" s="27">
        <f t="shared" si="33"/>
        <v>1.1998166819431715</v>
      </c>
      <c r="S553" s="16">
        <f>VLOOKUP(A553,[4]Sales!$E:$G,3,FALSE)</f>
        <v>10.91</v>
      </c>
      <c r="T553" s="19">
        <f>VLOOKUP(A553,[4]Volume!$E:$G,3,FALSE)</f>
        <v>5</v>
      </c>
      <c r="U553" s="19">
        <f>VLOOKUP(A553,[4]Piece!$E:$G,3,FALSE)</f>
        <v>1</v>
      </c>
      <c r="V553" s="21">
        <f t="shared" si="34"/>
        <v>13.09</v>
      </c>
      <c r="W553" s="16">
        <f t="shared" si="35"/>
        <v>2.1799999999999997</v>
      </c>
    </row>
    <row r="554" spans="1:23" hidden="1" x14ac:dyDescent="0.3">
      <c r="A554" s="46" t="s">
        <v>1118</v>
      </c>
      <c r="B554" s="46" t="s">
        <v>1118</v>
      </c>
      <c r="C554" s="47" t="s">
        <v>33</v>
      </c>
      <c r="D554" s="48" t="s">
        <v>34</v>
      </c>
      <c r="E554" s="18" t="s">
        <v>1119</v>
      </c>
      <c r="F554" s="24" t="str">
        <f t="shared" si="32"/>
        <v>PPG - EWI   ADH BACKED MESH WING RB 2.5M 6MM</v>
      </c>
      <c r="G554" s="20" t="s">
        <v>5428</v>
      </c>
      <c r="H554" s="49" t="s">
        <v>213</v>
      </c>
      <c r="I554" s="18" t="s">
        <v>37</v>
      </c>
      <c r="J554" s="18" t="s">
        <v>38</v>
      </c>
      <c r="K554" t="s">
        <v>39</v>
      </c>
      <c r="L554" s="50">
        <f>VLOOKUP(A554,'[3]Price info'!A:D,4,FALSE)</f>
        <v>4.0199999999999996</v>
      </c>
      <c r="M554" s="18" t="s">
        <v>214</v>
      </c>
      <c r="N554" s="20">
        <v>3105</v>
      </c>
      <c r="P554" s="16">
        <f>VLOOKUP(A554,'[3]Price info'!A:H,8,FALSE)</f>
        <v>4.0199999999999996</v>
      </c>
      <c r="Q554" s="17">
        <f t="shared" si="33"/>
        <v>1</v>
      </c>
      <c r="S554" s="16" t="e">
        <f>VLOOKUP(A554,[4]Sales!$E:$G,3,FALSE)</f>
        <v>#N/A</v>
      </c>
      <c r="T554" s="19" t="e">
        <f>VLOOKUP(A554,[4]Volume!$E:$G,3,FALSE)</f>
        <v>#N/A</v>
      </c>
      <c r="U554" s="19" t="e">
        <f>VLOOKUP(A554,[4]Piece!$E:$G,3,FALSE)</f>
        <v>#N/A</v>
      </c>
      <c r="V554" s="21" t="e">
        <f t="shared" si="34"/>
        <v>#N/A</v>
      </c>
      <c r="W554" s="16" t="e">
        <f t="shared" si="35"/>
        <v>#N/A</v>
      </c>
    </row>
    <row r="555" spans="1:23" hidden="1" x14ac:dyDescent="0.3">
      <c r="A555" s="22" t="s">
        <v>1120</v>
      </c>
      <c r="B555" s="22" t="s">
        <v>1120</v>
      </c>
      <c r="C555" s="23" t="s">
        <v>33</v>
      </c>
      <c r="D555" s="20" t="s">
        <v>34</v>
      </c>
      <c r="E555" s="22" t="s">
        <v>1121</v>
      </c>
      <c r="F555" s="24" t="str">
        <f t="shared" si="32"/>
        <v>PPG - Leyland ACRYLIC EGGSHELL - Mix - 2.5ltr</v>
      </c>
      <c r="G555" s="23" t="s">
        <v>5429</v>
      </c>
      <c r="H555" s="25" t="s">
        <v>36</v>
      </c>
      <c r="I555" s="18" t="s">
        <v>37</v>
      </c>
      <c r="J555" s="18" t="s">
        <v>38</v>
      </c>
      <c r="K555" t="s">
        <v>39</v>
      </c>
      <c r="L555" s="26">
        <f>VLOOKUP(A555,'[3]Price info'!A:D,4,FALSE)</f>
        <v>11.17</v>
      </c>
      <c r="M555" s="18" t="s">
        <v>40</v>
      </c>
      <c r="N555" s="20">
        <v>3105</v>
      </c>
      <c r="P555" s="16">
        <f>VLOOKUP(A555,'[3]Price info'!A:H,8,FALSE)</f>
        <v>10.4</v>
      </c>
      <c r="Q555" s="27">
        <f t="shared" si="33"/>
        <v>0.93106535362578335</v>
      </c>
      <c r="S555" s="16">
        <f>VLOOKUP(A555,[4]Sales!$E:$G,3,FALSE)</f>
        <v>75.11</v>
      </c>
      <c r="T555" s="19">
        <f>VLOOKUP(A555,[4]Volume!$E:$G,3,FALSE)</f>
        <v>17.5</v>
      </c>
      <c r="U555" s="19">
        <f>VLOOKUP(A555,[4]Piece!$E:$G,3,FALSE)</f>
        <v>7</v>
      </c>
      <c r="V555" s="21">
        <f t="shared" si="34"/>
        <v>72.8</v>
      </c>
      <c r="W555" s="16">
        <f t="shared" si="35"/>
        <v>-2.3100000000000023</v>
      </c>
    </row>
    <row r="556" spans="1:23" hidden="1" x14ac:dyDescent="0.3">
      <c r="A556" s="22" t="s">
        <v>1122</v>
      </c>
      <c r="B556" s="22" t="s">
        <v>1122</v>
      </c>
      <c r="C556" s="38" t="s">
        <v>33</v>
      </c>
      <c r="D556" s="42" t="s">
        <v>34</v>
      </c>
      <c r="E556" s="22" t="s">
        <v>1123</v>
      </c>
      <c r="F556" s="24" t="str">
        <f t="shared" si="32"/>
        <v>PPG - ProGold POLYTHENE ROLL DUST SHEET - 3M X 25M</v>
      </c>
      <c r="G556" s="38" t="s">
        <v>5430</v>
      </c>
      <c r="H556" s="39" t="s">
        <v>36</v>
      </c>
      <c r="I556" s="40" t="s">
        <v>37</v>
      </c>
      <c r="J556" s="40" t="s">
        <v>38</v>
      </c>
      <c r="K556" s="41" t="s">
        <v>39</v>
      </c>
      <c r="L556" s="26">
        <f>VLOOKUP(A556,'[3]Price info'!A:D,4,FALSE)</f>
        <v>9.48</v>
      </c>
      <c r="M556" s="40" t="s">
        <v>40</v>
      </c>
      <c r="N556" s="42">
        <v>3105</v>
      </c>
      <c r="O556" s="43"/>
      <c r="P556" s="16">
        <f>VLOOKUP(A556,'[3]Price info'!A:H,8,FALSE)</f>
        <v>8.8258800000000015</v>
      </c>
      <c r="Q556" s="52">
        <f t="shared" si="33"/>
        <v>0.93100000000000016</v>
      </c>
      <c r="R556" s="40"/>
      <c r="S556" s="16">
        <f>VLOOKUP(A556,[4]Sales!$E:$G,3,FALSE)</f>
        <v>381.66999999999996</v>
      </c>
      <c r="T556" s="19">
        <f>VLOOKUP(A556,[4]Volume!$E:$G,3,FALSE)</f>
        <v>170.804</v>
      </c>
      <c r="U556" s="19">
        <f>VLOOKUP(A556,[4]Piece!$E:$G,3,FALSE)</f>
        <v>41</v>
      </c>
      <c r="V556" s="21">
        <f t="shared" si="34"/>
        <v>361.86108000000007</v>
      </c>
      <c r="W556" s="16">
        <f t="shared" si="35"/>
        <v>-19.808919999999887</v>
      </c>
    </row>
    <row r="557" spans="1:23" hidden="1" x14ac:dyDescent="0.3">
      <c r="A557" s="22" t="s">
        <v>1124</v>
      </c>
      <c r="B557" s="22" t="s">
        <v>1124</v>
      </c>
      <c r="C557" s="23" t="s">
        <v>33</v>
      </c>
      <c r="D557" s="20" t="s">
        <v>34</v>
      </c>
      <c r="E557" s="22" t="s">
        <v>1125</v>
      </c>
      <c r="F557" s="24" t="str">
        <f t="shared" si="32"/>
        <v>PPG - Leyland FAST DRYING WB GLOSS - BW - 2.5ltr</v>
      </c>
      <c r="G557" s="23" t="s">
        <v>5431</v>
      </c>
      <c r="H557" s="25" t="s">
        <v>36</v>
      </c>
      <c r="I557" s="18" t="s">
        <v>37</v>
      </c>
      <c r="J557" s="18" t="s">
        <v>38</v>
      </c>
      <c r="K557" t="s">
        <v>39</v>
      </c>
      <c r="L557" s="26">
        <f>VLOOKUP(A557,'[3]Price info'!A:D,4,FALSE)</f>
        <v>21.43</v>
      </c>
      <c r="M557" s="18" t="s">
        <v>40</v>
      </c>
      <c r="N557" s="20">
        <v>3105</v>
      </c>
      <c r="P557" s="16">
        <f>VLOOKUP(A557,'[3]Price info'!A:H,8,FALSE)</f>
        <v>19.951330000000002</v>
      </c>
      <c r="Q557" s="27">
        <f t="shared" si="33"/>
        <v>0.93100000000000016</v>
      </c>
      <c r="S557" s="16">
        <f>VLOOKUP(A557,[4]Sales!$E:$G,3,FALSE)</f>
        <v>92.389999999999986</v>
      </c>
      <c r="T557" s="19">
        <f>VLOOKUP(A557,[4]Volume!$E:$G,3,FALSE)</f>
        <v>12.5</v>
      </c>
      <c r="U557" s="19">
        <f>VLOOKUP(A557,[4]Piece!$E:$G,3,FALSE)</f>
        <v>5</v>
      </c>
      <c r="V557" s="21">
        <f t="shared" si="34"/>
        <v>99.756650000000008</v>
      </c>
      <c r="W557" s="16">
        <f t="shared" si="35"/>
        <v>7.3666500000000212</v>
      </c>
    </row>
    <row r="558" spans="1:23" hidden="1" x14ac:dyDescent="0.3">
      <c r="A558" s="22" t="s">
        <v>1126</v>
      </c>
      <c r="B558" s="22" t="s">
        <v>1126</v>
      </c>
      <c r="C558" s="23" t="s">
        <v>33</v>
      </c>
      <c r="D558" s="20" t="s">
        <v>34</v>
      </c>
      <c r="E558" s="22" t="s">
        <v>1127</v>
      </c>
      <c r="F558" s="24" t="str">
        <f t="shared" si="32"/>
        <v>PPG - Leyland ALKALI RESISTING PRIMER -  - 5ltr</v>
      </c>
      <c r="G558" s="23" t="s">
        <v>5432</v>
      </c>
      <c r="H558" s="25" t="s">
        <v>36</v>
      </c>
      <c r="I558" s="18" t="s">
        <v>37</v>
      </c>
      <c r="J558" s="18" t="s">
        <v>38</v>
      </c>
      <c r="K558" t="s">
        <v>39</v>
      </c>
      <c r="L558" s="26">
        <f>VLOOKUP(A558,'[3]Price info'!A:D,4,FALSE)</f>
        <v>24.39</v>
      </c>
      <c r="M558" s="18" t="s">
        <v>40</v>
      </c>
      <c r="N558" s="20">
        <v>3105</v>
      </c>
      <c r="P558" s="16">
        <f>VLOOKUP(A558,'[3]Price info'!A:H,8,FALSE)</f>
        <v>22.707090000000001</v>
      </c>
      <c r="Q558" s="27">
        <f t="shared" si="33"/>
        <v>0.93100000000000005</v>
      </c>
      <c r="S558" s="16">
        <f>VLOOKUP(A558,[4]Sales!$E:$G,3,FALSE)</f>
        <v>404.55000000000007</v>
      </c>
      <c r="T558" s="19">
        <f>VLOOKUP(A558,[4]Volume!$E:$G,3,FALSE)</f>
        <v>85</v>
      </c>
      <c r="U558" s="19">
        <f>VLOOKUP(A558,[4]Piece!$E:$G,3,FALSE)</f>
        <v>17</v>
      </c>
      <c r="V558" s="21">
        <f t="shared" si="34"/>
        <v>386.02053000000001</v>
      </c>
      <c r="W558" s="16">
        <f t="shared" si="35"/>
        <v>-18.52947000000006</v>
      </c>
    </row>
    <row r="559" spans="1:23" hidden="1" x14ac:dyDescent="0.3">
      <c r="A559" s="22" t="s">
        <v>1128</v>
      </c>
      <c r="B559" s="22" t="s">
        <v>1128</v>
      </c>
      <c r="C559" s="23" t="s">
        <v>33</v>
      </c>
      <c r="D559" s="20" t="s">
        <v>34</v>
      </c>
      <c r="E559" s="22" t="s">
        <v>1129</v>
      </c>
      <c r="F559" s="24" t="str">
        <f t="shared" si="32"/>
        <v>PPG - ProGold POLY PROTECTING DUST SHEET - 4M X 5M</v>
      </c>
      <c r="G559" s="23" t="s">
        <v>5433</v>
      </c>
      <c r="H559" s="25" t="s">
        <v>36</v>
      </c>
      <c r="I559" s="18" t="s">
        <v>37</v>
      </c>
      <c r="J559" s="18" t="s">
        <v>38</v>
      </c>
      <c r="K559" t="s">
        <v>39</v>
      </c>
      <c r="L559" s="26">
        <f>VLOOKUP(A559,'[3]Price info'!A:D,4,FALSE)</f>
        <v>1.84</v>
      </c>
      <c r="M559" s="18" t="s">
        <v>40</v>
      </c>
      <c r="N559" s="20">
        <v>3105</v>
      </c>
      <c r="P559" s="16">
        <f>VLOOKUP(A559,'[3]Price info'!A:H,8,FALSE)</f>
        <v>1.7130400000000001</v>
      </c>
      <c r="Q559" s="27">
        <f t="shared" si="33"/>
        <v>0.93100000000000005</v>
      </c>
      <c r="S559" s="16">
        <f>VLOOKUP(A559,[4]Sales!$E:$G,3,FALSE)</f>
        <v>93.73</v>
      </c>
      <c r="T559" s="19">
        <f>VLOOKUP(A559,[4]Volume!$E:$G,3,FALSE)</f>
        <v>0</v>
      </c>
      <c r="U559" s="19">
        <f>VLOOKUP(A559,[4]Piece!$E:$G,3,FALSE)</f>
        <v>52</v>
      </c>
      <c r="V559" s="21">
        <f t="shared" si="34"/>
        <v>89.07808</v>
      </c>
      <c r="W559" s="16">
        <f t="shared" si="35"/>
        <v>-4.6519200000000041</v>
      </c>
    </row>
    <row r="560" spans="1:23" hidden="1" x14ac:dyDescent="0.3">
      <c r="A560" s="22" t="s">
        <v>1130</v>
      </c>
      <c r="B560" s="22" t="s">
        <v>1130</v>
      </c>
      <c r="C560" s="23" t="s">
        <v>33</v>
      </c>
      <c r="D560" s="20" t="s">
        <v>34</v>
      </c>
      <c r="E560" s="22" t="s">
        <v>1131</v>
      </c>
      <c r="F560" s="24" t="str">
        <f t="shared" si="32"/>
        <v>PPG - Johnstones SHED &amp; FENCE - Ebony - 5ltr</v>
      </c>
      <c r="G560" s="23" t="s">
        <v>5434</v>
      </c>
      <c r="H560" s="25" t="s">
        <v>36</v>
      </c>
      <c r="I560" s="18" t="s">
        <v>37</v>
      </c>
      <c r="J560" s="18" t="s">
        <v>38</v>
      </c>
      <c r="K560" t="s">
        <v>39</v>
      </c>
      <c r="L560" s="26">
        <f>VLOOKUP(A560,'[3]Price info'!A:D,4,FALSE)</f>
        <v>8.2100000000000009</v>
      </c>
      <c r="M560" s="18" t="s">
        <v>40</v>
      </c>
      <c r="N560" s="20">
        <v>3105</v>
      </c>
      <c r="P560" s="16">
        <f>VLOOKUP(A560,'[3]Price info'!A:H,8,FALSE)</f>
        <v>7.6435100000000009</v>
      </c>
      <c r="Q560" s="27">
        <f t="shared" si="33"/>
        <v>0.93100000000000005</v>
      </c>
      <c r="S560" s="16">
        <f>VLOOKUP(A560,[4]Sales!$E:$G,3,FALSE)</f>
        <v>147.77999999999997</v>
      </c>
      <c r="T560" s="19">
        <f>VLOOKUP(A560,[4]Volume!$E:$G,3,FALSE)</f>
        <v>90</v>
      </c>
      <c r="U560" s="19">
        <f>VLOOKUP(A560,[4]Piece!$E:$G,3,FALSE)</f>
        <v>18</v>
      </c>
      <c r="V560" s="21">
        <f t="shared" si="34"/>
        <v>137.58318000000003</v>
      </c>
      <c r="W560" s="16">
        <f t="shared" si="35"/>
        <v>-10.196819999999946</v>
      </c>
    </row>
    <row r="561" spans="1:23" hidden="1" x14ac:dyDescent="0.3">
      <c r="A561" s="46" t="s">
        <v>1132</v>
      </c>
      <c r="B561" s="46" t="s">
        <v>1132</v>
      </c>
      <c r="C561" s="47" t="s">
        <v>33</v>
      </c>
      <c r="D561" s="48" t="s">
        <v>34</v>
      </c>
      <c r="E561" s="18" t="s">
        <v>1133</v>
      </c>
      <c r="F561" s="24" t="str">
        <f t="shared" si="32"/>
        <v>PPG - UB    SANDING PAD  MEDIUM</v>
      </c>
      <c r="G561" s="20" t="s">
        <v>5435</v>
      </c>
      <c r="H561" s="49" t="s">
        <v>213</v>
      </c>
      <c r="I561" s="18" t="s">
        <v>37</v>
      </c>
      <c r="J561" s="18" t="s">
        <v>38</v>
      </c>
      <c r="K561" t="s">
        <v>39</v>
      </c>
      <c r="L561" s="50">
        <f>VLOOKUP(A561,'[3]Price info'!A:D,4,FALSE)</f>
        <v>0.37</v>
      </c>
      <c r="M561" s="18" t="s">
        <v>214</v>
      </c>
      <c r="N561" s="20">
        <v>3105</v>
      </c>
      <c r="P561" s="16">
        <f>VLOOKUP(A561,'[3]Price info'!A:H,8,FALSE)</f>
        <v>0.34447</v>
      </c>
      <c r="Q561" s="17">
        <f t="shared" si="33"/>
        <v>0.93100000000000005</v>
      </c>
      <c r="S561" s="16">
        <f>VLOOKUP(A561,[4]Sales!$E:$G,3,FALSE)</f>
        <v>9.68</v>
      </c>
      <c r="T561" s="19">
        <f>VLOOKUP(A561,[4]Volume!$E:$G,3,FALSE)</f>
        <v>20</v>
      </c>
      <c r="U561" s="19">
        <f>VLOOKUP(A561,[4]Piece!$E:$G,3,FALSE)</f>
        <v>20</v>
      </c>
      <c r="V561" s="21">
        <f t="shared" si="34"/>
        <v>6.8894000000000002</v>
      </c>
      <c r="W561" s="16">
        <f t="shared" si="35"/>
        <v>-2.7905999999999995</v>
      </c>
    </row>
    <row r="562" spans="1:23" hidden="1" x14ac:dyDescent="0.3">
      <c r="A562" s="46" t="s">
        <v>1134</v>
      </c>
      <c r="B562" s="46" t="s">
        <v>1134</v>
      </c>
      <c r="C562" s="51" t="s">
        <v>33</v>
      </c>
      <c r="D562" s="48" t="s">
        <v>34</v>
      </c>
      <c r="E562" s="18" t="s">
        <v>1135</v>
      </c>
      <c r="F562" s="24" t="str">
        <f t="shared" si="32"/>
        <v>PPG - JST   ENH RENDER PRIMER WHITE 0000002150</v>
      </c>
      <c r="G562" s="20" t="s">
        <v>5436</v>
      </c>
      <c r="H562" s="49" t="s">
        <v>213</v>
      </c>
      <c r="I562" s="18" t="s">
        <v>37</v>
      </c>
      <c r="J562" s="18" t="s">
        <v>38</v>
      </c>
      <c r="K562" t="s">
        <v>39</v>
      </c>
      <c r="L562" s="50">
        <f>VLOOKUP(A562,'[3]Price info'!A:D,4,FALSE)</f>
        <v>52.95</v>
      </c>
      <c r="M562" s="18" t="s">
        <v>214</v>
      </c>
      <c r="N562" s="20">
        <v>3105</v>
      </c>
      <c r="P562" s="16">
        <f>VLOOKUP(A562,'[3]Price info'!A:H,8,FALSE)</f>
        <v>49.296450000000007</v>
      </c>
      <c r="Q562" s="17">
        <f t="shared" si="33"/>
        <v>0.93100000000000005</v>
      </c>
      <c r="S562" s="16">
        <f>VLOOKUP(A562,[4]Sales!$E:$G,3,FALSE)</f>
        <v>0</v>
      </c>
      <c r="T562" s="19">
        <f>VLOOKUP(A562,[4]Volume!$E:$G,3,FALSE)</f>
        <v>0</v>
      </c>
      <c r="U562" s="19">
        <f>VLOOKUP(A562,[4]Piece!$E:$G,3,FALSE)</f>
        <v>0</v>
      </c>
      <c r="V562" s="21">
        <f t="shared" si="34"/>
        <v>0</v>
      </c>
      <c r="W562" s="16">
        <f t="shared" si="35"/>
        <v>0</v>
      </c>
    </row>
    <row r="563" spans="1:23" hidden="1" x14ac:dyDescent="0.3">
      <c r="A563" s="22" t="s">
        <v>1136</v>
      </c>
      <c r="B563" s="22" t="s">
        <v>1136</v>
      </c>
      <c r="C563" s="23" t="s">
        <v>33</v>
      </c>
      <c r="D563" s="20" t="s">
        <v>34</v>
      </c>
      <c r="E563" s="22" t="s">
        <v>1137</v>
      </c>
      <c r="F563" s="24" t="str">
        <f t="shared" si="32"/>
        <v>PPG - Johnstones PRO GLOSS - Magnolia - 5ltr</v>
      </c>
      <c r="G563" s="23" t="s">
        <v>5437</v>
      </c>
      <c r="H563" s="25" t="s">
        <v>36</v>
      </c>
      <c r="I563" s="18" t="s">
        <v>37</v>
      </c>
      <c r="J563" s="18" t="s">
        <v>38</v>
      </c>
      <c r="K563" t="s">
        <v>39</v>
      </c>
      <c r="L563" s="26">
        <f>VLOOKUP(A563,'[3]Price info'!A:D,4,FALSE)</f>
        <v>18.82</v>
      </c>
      <c r="M563" s="18" t="s">
        <v>40</v>
      </c>
      <c r="N563" s="20">
        <v>3105</v>
      </c>
      <c r="P563" s="16">
        <f>VLOOKUP(A563,'[3]Price info'!A:H,8,FALSE)</f>
        <v>23.66</v>
      </c>
      <c r="Q563" s="27">
        <f t="shared" si="33"/>
        <v>1.257173219978746</v>
      </c>
      <c r="S563" s="16" t="e">
        <f>VLOOKUP(A563,[4]Sales!$E:$G,3,FALSE)</f>
        <v>#N/A</v>
      </c>
      <c r="T563" s="19" t="e">
        <f>VLOOKUP(A563,[4]Volume!$E:$G,3,FALSE)</f>
        <v>#N/A</v>
      </c>
      <c r="U563" s="19" t="e">
        <f>VLOOKUP(A563,[4]Piece!$E:$G,3,FALSE)</f>
        <v>#N/A</v>
      </c>
      <c r="V563" s="21" t="e">
        <f t="shared" si="34"/>
        <v>#N/A</v>
      </c>
      <c r="W563" s="16" t="e">
        <f t="shared" si="35"/>
        <v>#N/A</v>
      </c>
    </row>
    <row r="564" spans="1:23" hidden="1" x14ac:dyDescent="0.3">
      <c r="A564" s="46" t="s">
        <v>1138</v>
      </c>
      <c r="B564" s="46" t="s">
        <v>1138</v>
      </c>
      <c r="C564" s="47" t="s">
        <v>33</v>
      </c>
      <c r="D564" s="48" t="s">
        <v>34</v>
      </c>
      <c r="E564" s="18" t="s">
        <v>1139</v>
      </c>
      <c r="F564" s="24" t="str">
        <f t="shared" si="32"/>
        <v>PPG - EASYL LINING PAPER 1000 DOUBL</v>
      </c>
      <c r="G564" s="20" t="s">
        <v>5438</v>
      </c>
      <c r="H564" s="49" t="s">
        <v>213</v>
      </c>
      <c r="I564" s="18" t="s">
        <v>37</v>
      </c>
      <c r="J564" s="18" t="s">
        <v>38</v>
      </c>
      <c r="K564" t="s">
        <v>39</v>
      </c>
      <c r="L564" s="50">
        <f>VLOOKUP(A564,'[3]Price info'!A:D,4,FALSE)</f>
        <v>2.5</v>
      </c>
      <c r="M564" s="18" t="s">
        <v>214</v>
      </c>
      <c r="N564" s="20">
        <v>3105</v>
      </c>
      <c r="P564" s="16">
        <f>VLOOKUP(A564,'[3]Price info'!A:H,8,FALSE)</f>
        <v>2.75</v>
      </c>
      <c r="Q564" s="17">
        <f t="shared" si="33"/>
        <v>1.1000000000000001</v>
      </c>
      <c r="S564" s="16">
        <f>VLOOKUP(A564,[4]Sales!$E:$G,3,FALSE)</f>
        <v>156.56</v>
      </c>
      <c r="T564" s="19">
        <f>VLOOKUP(A564,[4]Volume!$E:$G,3,FALSE)</f>
        <v>62</v>
      </c>
      <c r="U564" s="19">
        <f>VLOOKUP(A564,[4]Piece!$E:$G,3,FALSE)</f>
        <v>62</v>
      </c>
      <c r="V564" s="21">
        <f t="shared" si="34"/>
        <v>170.5</v>
      </c>
      <c r="W564" s="16">
        <f t="shared" si="35"/>
        <v>13.939999999999998</v>
      </c>
    </row>
    <row r="565" spans="1:23" hidden="1" x14ac:dyDescent="0.3">
      <c r="A565" s="46" t="s">
        <v>1140</v>
      </c>
      <c r="B565" s="46" t="s">
        <v>1140</v>
      </c>
      <c r="C565" s="47" t="s">
        <v>33</v>
      </c>
      <c r="D565" s="48" t="s">
        <v>34</v>
      </c>
      <c r="E565" s="18" t="s">
        <v>1141</v>
      </c>
      <c r="F565" s="24" t="str">
        <f t="shared" si="32"/>
        <v>PPG - PGOLD CONCAVE FOAM ROLLER 4"</v>
      </c>
      <c r="G565" s="20" t="s">
        <v>5439</v>
      </c>
      <c r="H565" s="49" t="s">
        <v>213</v>
      </c>
      <c r="I565" s="18" t="s">
        <v>37</v>
      </c>
      <c r="J565" s="18" t="s">
        <v>38</v>
      </c>
      <c r="K565" t="s">
        <v>39</v>
      </c>
      <c r="L565" s="50">
        <f>VLOOKUP(A565,'[3]Price info'!A:D,4,FALSE)</f>
        <v>2.12</v>
      </c>
      <c r="M565" s="18" t="s">
        <v>214</v>
      </c>
      <c r="N565" s="20">
        <v>3105</v>
      </c>
      <c r="P565" s="16">
        <f>VLOOKUP(A565,'[3]Price info'!A:H,8,FALSE)</f>
        <v>1.9737200000000001</v>
      </c>
      <c r="Q565" s="17">
        <f t="shared" si="33"/>
        <v>0.93100000000000005</v>
      </c>
      <c r="S565" s="16">
        <f>VLOOKUP(A565,[4]Sales!$E:$G,3,FALSE)</f>
        <v>70.92</v>
      </c>
      <c r="T565" s="19">
        <f>VLOOKUP(A565,[4]Volume!$E:$G,3,FALSE)</f>
        <v>36</v>
      </c>
      <c r="U565" s="19">
        <f>VLOOKUP(A565,[4]Piece!$E:$G,3,FALSE)</f>
        <v>36</v>
      </c>
      <c r="V565" s="21">
        <f t="shared" si="34"/>
        <v>71.053920000000005</v>
      </c>
      <c r="W565" s="16">
        <f t="shared" si="35"/>
        <v>0.13392000000000337</v>
      </c>
    </row>
    <row r="566" spans="1:23" hidden="1" x14ac:dyDescent="0.3">
      <c r="A566" s="46" t="s">
        <v>1142</v>
      </c>
      <c r="B566" s="46" t="s">
        <v>1142</v>
      </c>
      <c r="C566" s="51" t="s">
        <v>33</v>
      </c>
      <c r="D566" s="48" t="s">
        <v>34</v>
      </c>
      <c r="E566" s="18" t="s">
        <v>1143</v>
      </c>
      <c r="F566" s="24" t="str">
        <f t="shared" si="32"/>
        <v>PPG - S'DUR 550 SET WHITE           7000002200</v>
      </c>
      <c r="G566" s="20" t="s">
        <v>5440</v>
      </c>
      <c r="H566" s="49" t="s">
        <v>213</v>
      </c>
      <c r="I566" s="18" t="s">
        <v>37</v>
      </c>
      <c r="J566" s="18" t="s">
        <v>38</v>
      </c>
      <c r="K566" t="s">
        <v>39</v>
      </c>
      <c r="L566" s="50">
        <f>VLOOKUP(A566,'[3]Price info'!A:D,4,FALSE)</f>
        <v>799.9</v>
      </c>
      <c r="M566" s="18" t="s">
        <v>214</v>
      </c>
      <c r="N566" s="20">
        <v>3105</v>
      </c>
      <c r="P566" s="16">
        <f>VLOOKUP(A566,'[3]Price info'!A:H,8,FALSE)</f>
        <v>744.70690000000002</v>
      </c>
      <c r="Q566" s="17">
        <f t="shared" si="33"/>
        <v>0.93100000000000005</v>
      </c>
      <c r="S566" s="16" t="e">
        <f>VLOOKUP(A566,[4]Sales!$E:$G,3,FALSE)</f>
        <v>#N/A</v>
      </c>
      <c r="T566" s="19" t="e">
        <f>VLOOKUP(A566,[4]Volume!$E:$G,3,FALSE)</f>
        <v>#N/A</v>
      </c>
      <c r="U566" s="19" t="e">
        <f>VLOOKUP(A566,[4]Piece!$E:$G,3,FALSE)</f>
        <v>#N/A</v>
      </c>
      <c r="V566" s="21" t="e">
        <f t="shared" si="34"/>
        <v>#N/A</v>
      </c>
      <c r="W566" s="16" t="e">
        <f t="shared" si="35"/>
        <v>#N/A</v>
      </c>
    </row>
    <row r="567" spans="1:23" hidden="1" x14ac:dyDescent="0.3">
      <c r="A567" s="22" t="s">
        <v>1144</v>
      </c>
      <c r="B567" s="22" t="s">
        <v>1144</v>
      </c>
      <c r="C567" s="23" t="s">
        <v>33</v>
      </c>
      <c r="D567" s="20" t="s">
        <v>34</v>
      </c>
      <c r="E567" s="22" t="s">
        <v>1145</v>
      </c>
      <c r="F567" s="24" t="str">
        <f t="shared" si="32"/>
        <v>PPG - Johnstones JONMAT - Brilliant White - 15ltr</v>
      </c>
      <c r="G567" s="23" t="s">
        <v>5441</v>
      </c>
      <c r="H567" s="25" t="s">
        <v>36</v>
      </c>
      <c r="I567" s="18" t="s">
        <v>37</v>
      </c>
      <c r="J567" s="18" t="s">
        <v>38</v>
      </c>
      <c r="K567" t="s">
        <v>39</v>
      </c>
      <c r="L567" s="26">
        <f>VLOOKUP(A567,'[3]Price info'!A:D,4,FALSE)</f>
        <v>23.28</v>
      </c>
      <c r="M567" s="18" t="s">
        <v>40</v>
      </c>
      <c r="N567" s="20">
        <v>3105</v>
      </c>
      <c r="P567" s="16">
        <f>VLOOKUP(A567,'[3]Price info'!A:H,8,FALSE)</f>
        <v>22.5</v>
      </c>
      <c r="Q567" s="27">
        <f t="shared" si="33"/>
        <v>0.96649484536082475</v>
      </c>
      <c r="S567" s="16">
        <f>VLOOKUP(A567,[4]Sales!$E:$G,3,FALSE)</f>
        <v>22.5</v>
      </c>
      <c r="T567" s="19">
        <f>VLOOKUP(A567,[4]Volume!$E:$G,3,FALSE)</f>
        <v>15</v>
      </c>
      <c r="U567" s="19">
        <f>VLOOKUP(A567,[4]Piece!$E:$G,3,FALSE)</f>
        <v>1</v>
      </c>
      <c r="V567" s="21">
        <f t="shared" si="34"/>
        <v>22.5</v>
      </c>
      <c r="W567" s="16">
        <f t="shared" si="35"/>
        <v>0</v>
      </c>
    </row>
    <row r="568" spans="1:23" hidden="1" x14ac:dyDescent="0.3">
      <c r="A568" s="46" t="s">
        <v>1146</v>
      </c>
      <c r="B568" s="46" t="s">
        <v>1146</v>
      </c>
      <c r="C568" s="47" t="s">
        <v>33</v>
      </c>
      <c r="D568" s="48" t="s">
        <v>34</v>
      </c>
      <c r="E568" s="18" t="s">
        <v>1147</v>
      </c>
      <c r="F568" s="24" t="str">
        <f t="shared" si="32"/>
        <v>PPG - OLFA  18MM AUTO    LOCK KNIFE</v>
      </c>
      <c r="G568" s="20" t="s">
        <v>5442</v>
      </c>
      <c r="H568" s="49" t="s">
        <v>213</v>
      </c>
      <c r="I568" s="18" t="s">
        <v>37</v>
      </c>
      <c r="J568" s="18" t="s">
        <v>38</v>
      </c>
      <c r="K568" t="s">
        <v>39</v>
      </c>
      <c r="L568" s="50">
        <f>VLOOKUP(A568,'[3]Price info'!A:D,4,FALSE)</f>
        <v>11.32</v>
      </c>
      <c r="M568" s="18" t="s">
        <v>214</v>
      </c>
      <c r="N568" s="20">
        <v>3105</v>
      </c>
      <c r="P568" s="16">
        <f>VLOOKUP(A568,'[3]Price info'!A:H,8,FALSE)</f>
        <v>10.538920000000001</v>
      </c>
      <c r="Q568" s="17">
        <f t="shared" si="33"/>
        <v>0.93100000000000005</v>
      </c>
      <c r="S568" s="16">
        <f>VLOOKUP(A568,[4]Sales!$E:$G,3,FALSE)</f>
        <v>33.559999999999995</v>
      </c>
      <c r="T568" s="19">
        <f>VLOOKUP(A568,[4]Volume!$E:$G,3,FALSE)</f>
        <v>3</v>
      </c>
      <c r="U568" s="19">
        <f>VLOOKUP(A568,[4]Piece!$E:$G,3,FALSE)</f>
        <v>3</v>
      </c>
      <c r="V568" s="21">
        <f t="shared" si="34"/>
        <v>31.616760000000003</v>
      </c>
      <c r="W568" s="16">
        <f t="shared" si="35"/>
        <v>-1.9432399999999923</v>
      </c>
    </row>
    <row r="569" spans="1:23" hidden="1" x14ac:dyDescent="0.3">
      <c r="A569" s="46" t="s">
        <v>1148</v>
      </c>
      <c r="B569" s="46" t="s">
        <v>1148</v>
      </c>
      <c r="C569" s="47" t="s">
        <v>33</v>
      </c>
      <c r="D569" s="48" t="s">
        <v>34</v>
      </c>
      <c r="E569" s="18" t="s">
        <v>1149</v>
      </c>
      <c r="F569" s="24" t="str">
        <f t="shared" si="32"/>
        <v>PPG - PGOLD MASKING TAPE 1.5" 50M</v>
      </c>
      <c r="G569" s="20" t="s">
        <v>5443</v>
      </c>
      <c r="H569" s="49" t="s">
        <v>213</v>
      </c>
      <c r="I569" s="18" t="s">
        <v>37</v>
      </c>
      <c r="J569" s="18" t="s">
        <v>38</v>
      </c>
      <c r="K569" t="s">
        <v>39</v>
      </c>
      <c r="L569" s="50">
        <f>VLOOKUP(A569,'[3]Price info'!A:D,4,FALSE)</f>
        <v>1.37</v>
      </c>
      <c r="M569" s="18" t="s">
        <v>214</v>
      </c>
      <c r="N569" s="20">
        <v>3105</v>
      </c>
      <c r="P569" s="16">
        <f>VLOOKUP(A569,'[3]Price info'!A:H,8,FALSE)</f>
        <v>1.2754700000000001</v>
      </c>
      <c r="Q569" s="17">
        <f t="shared" si="33"/>
        <v>0.93100000000000005</v>
      </c>
      <c r="S569" s="16">
        <f>VLOOKUP(A569,[4]Sales!$E:$G,3,FALSE)</f>
        <v>197.81</v>
      </c>
      <c r="T569" s="19">
        <f>VLOOKUP(A569,[4]Volume!$E:$G,3,FALSE)</f>
        <v>148</v>
      </c>
      <c r="U569" s="19">
        <f>VLOOKUP(A569,[4]Piece!$E:$G,3,FALSE)</f>
        <v>148</v>
      </c>
      <c r="V569" s="21">
        <f t="shared" si="34"/>
        <v>188.76956000000001</v>
      </c>
      <c r="W569" s="16">
        <f t="shared" si="35"/>
        <v>-9.0404399999999896</v>
      </c>
    </row>
    <row r="570" spans="1:23" hidden="1" x14ac:dyDescent="0.3">
      <c r="A570" s="36" t="s">
        <v>1150</v>
      </c>
      <c r="B570" s="36" t="s">
        <v>1150</v>
      </c>
      <c r="C570" s="23" t="s">
        <v>33</v>
      </c>
      <c r="D570" s="20" t="s">
        <v>34</v>
      </c>
      <c r="E570" s="22" t="s">
        <v>1151</v>
      </c>
      <c r="F570" s="24" t="str">
        <f t="shared" si="32"/>
        <v>PPG - Artex Artex FIBATAPE 90M CLASSIC -  - ltr</v>
      </c>
      <c r="G570" s="41" t="s">
        <v>5444</v>
      </c>
      <c r="H570" s="39" t="s">
        <v>36</v>
      </c>
      <c r="I570" s="40" t="s">
        <v>37</v>
      </c>
      <c r="J570" s="40" t="s">
        <v>38</v>
      </c>
      <c r="K570" s="41" t="s">
        <v>39</v>
      </c>
      <c r="L570" s="26">
        <f>VLOOKUP(A570,'[3]Price info'!A:D,4,FALSE)</f>
        <v>4.9000000000000004</v>
      </c>
      <c r="M570" s="40" t="s">
        <v>40</v>
      </c>
      <c r="N570" s="42">
        <v>3105</v>
      </c>
      <c r="O570" s="43">
        <v>4.3</v>
      </c>
      <c r="P570" s="16">
        <f>VLOOKUP(A570,'[3]Price info'!A:H,8,FALSE)</f>
        <v>4.49</v>
      </c>
      <c r="Q570" s="52">
        <f t="shared" si="33"/>
        <v>0.91632653061224489</v>
      </c>
      <c r="R570" s="40"/>
      <c r="S570" s="16">
        <f>VLOOKUP(A570,[4]Sales!$E:$G,3,FALSE)</f>
        <v>540.05000000000052</v>
      </c>
      <c r="T570" s="19">
        <f>VLOOKUP(A570,[4]Volume!$E:$G,3,FALSE)</f>
        <v>117</v>
      </c>
      <c r="U570" s="19">
        <f>VLOOKUP(A570,[4]Piece!$E:$G,3,FALSE)</f>
        <v>117</v>
      </c>
      <c r="V570" s="21">
        <f t="shared" si="34"/>
        <v>525.33000000000004</v>
      </c>
      <c r="W570" s="16">
        <f t="shared" si="35"/>
        <v>-14.720000000000482</v>
      </c>
    </row>
    <row r="571" spans="1:23" hidden="1" x14ac:dyDescent="0.3">
      <c r="A571" s="22" t="s">
        <v>1152</v>
      </c>
      <c r="B571" s="22" t="s">
        <v>1152</v>
      </c>
      <c r="C571" s="23" t="s">
        <v>33</v>
      </c>
      <c r="D571" s="20" t="s">
        <v>34</v>
      </c>
      <c r="E571" s="22" t="s">
        <v>1153</v>
      </c>
      <c r="F571" s="24" t="str">
        <f t="shared" si="32"/>
        <v>PPG - Johnstones QD Woodstain - Clear - 2.5l</v>
      </c>
      <c r="G571" s="23" t="s">
        <v>5445</v>
      </c>
      <c r="H571" s="25" t="s">
        <v>36</v>
      </c>
      <c r="I571" s="18" t="s">
        <v>37</v>
      </c>
      <c r="J571" s="18" t="s">
        <v>38</v>
      </c>
      <c r="K571" t="s">
        <v>39</v>
      </c>
      <c r="L571" s="26">
        <f>VLOOKUP(A571,'[3]Price info'!A:D,4,FALSE)</f>
        <v>23.03</v>
      </c>
      <c r="M571" s="18" t="s">
        <v>40</v>
      </c>
      <c r="N571" s="20">
        <v>3105</v>
      </c>
      <c r="P571" s="16">
        <f>VLOOKUP(A571,'[3]Price info'!A:H,8,FALSE)</f>
        <v>21.440930000000002</v>
      </c>
      <c r="Q571" s="27">
        <f t="shared" si="33"/>
        <v>0.93100000000000005</v>
      </c>
      <c r="S571" s="16">
        <f>VLOOKUP(A571,[4]Sales!$E:$G,3,FALSE)</f>
        <v>133.41</v>
      </c>
      <c r="T571" s="19">
        <f>VLOOKUP(A571,[4]Volume!$E:$G,3,FALSE)</f>
        <v>15</v>
      </c>
      <c r="U571" s="19">
        <f>VLOOKUP(A571,[4]Piece!$E:$G,3,FALSE)</f>
        <v>6</v>
      </c>
      <c r="V571" s="21">
        <f t="shared" si="34"/>
        <v>128.64558</v>
      </c>
      <c r="W571" s="16">
        <f t="shared" si="35"/>
        <v>-4.7644200000000012</v>
      </c>
    </row>
    <row r="572" spans="1:23" hidden="1" x14ac:dyDescent="0.3">
      <c r="A572" s="22" t="s">
        <v>1154</v>
      </c>
      <c r="B572" s="22" t="s">
        <v>1154</v>
      </c>
      <c r="C572" s="23" t="s">
        <v>33</v>
      </c>
      <c r="D572" s="20" t="s">
        <v>34</v>
      </c>
      <c r="E572" s="22" t="s">
        <v>1155</v>
      </c>
      <c r="F572" s="24" t="str">
        <f t="shared" si="32"/>
        <v>PPG - ProGold MINI ROLLER KIT 22 PIECE</v>
      </c>
      <c r="G572" s="23" t="s">
        <v>5446</v>
      </c>
      <c r="H572" s="25" t="s">
        <v>36</v>
      </c>
      <c r="I572" s="18" t="s">
        <v>37</v>
      </c>
      <c r="J572" s="18" t="s">
        <v>38</v>
      </c>
      <c r="K572" t="s">
        <v>39</v>
      </c>
      <c r="L572" s="26">
        <f>VLOOKUP(A572,'[3]Price info'!A:D,4,FALSE)</f>
        <v>12.77</v>
      </c>
      <c r="M572" s="18" t="s">
        <v>40</v>
      </c>
      <c r="N572" s="20">
        <v>3105</v>
      </c>
      <c r="P572" s="16">
        <f>VLOOKUP(A572,'[3]Price info'!A:H,8,FALSE)</f>
        <v>11.888870000000001</v>
      </c>
      <c r="Q572" s="27">
        <f t="shared" si="33"/>
        <v>0.93100000000000005</v>
      </c>
      <c r="S572" s="16">
        <f>VLOOKUP(A572,[4]Sales!$E:$G,3,FALSE)</f>
        <v>25.55</v>
      </c>
      <c r="T572" s="19">
        <f>VLOOKUP(A572,[4]Volume!$E:$G,3,FALSE)</f>
        <v>3</v>
      </c>
      <c r="U572" s="19">
        <f>VLOOKUP(A572,[4]Piece!$E:$G,3,FALSE)</f>
        <v>3</v>
      </c>
      <c r="V572" s="21">
        <f t="shared" si="34"/>
        <v>35.666610000000006</v>
      </c>
      <c r="W572" s="16">
        <f t="shared" si="35"/>
        <v>10.116610000000005</v>
      </c>
    </row>
    <row r="573" spans="1:23" hidden="1" x14ac:dyDescent="0.3">
      <c r="A573" s="22" t="s">
        <v>1156</v>
      </c>
      <c r="B573" s="22" t="s">
        <v>1156</v>
      </c>
      <c r="C573" s="23" t="s">
        <v>33</v>
      </c>
      <c r="D573" s="20" t="s">
        <v>34</v>
      </c>
      <c r="E573" s="22" t="s">
        <v>1157</v>
      </c>
      <c r="F573" s="24" t="str">
        <f t="shared" si="32"/>
        <v>PPG - Leyland VINYL MATT - Black - 5ltr</v>
      </c>
      <c r="G573" s="23" t="s">
        <v>5447</v>
      </c>
      <c r="H573" s="25" t="s">
        <v>36</v>
      </c>
      <c r="I573" s="18" t="s">
        <v>37</v>
      </c>
      <c r="J573" s="18" t="s">
        <v>38</v>
      </c>
      <c r="K573" t="s">
        <v>39</v>
      </c>
      <c r="L573" s="26">
        <f>VLOOKUP(A573,'[3]Price info'!A:D,4,FALSE)</f>
        <v>10.38</v>
      </c>
      <c r="M573" s="18" t="s">
        <v>40</v>
      </c>
      <c r="N573" s="20">
        <v>3105</v>
      </c>
      <c r="P573" s="16">
        <f>VLOOKUP(A573,'[3]Price info'!A:H,8,FALSE)</f>
        <v>9.86</v>
      </c>
      <c r="Q573" s="27">
        <f t="shared" si="33"/>
        <v>0.94990366088631972</v>
      </c>
      <c r="S573" s="16" t="e">
        <f>VLOOKUP(A573,[4]Sales!$E:$G,3,FALSE)</f>
        <v>#N/A</v>
      </c>
      <c r="T573" s="19" t="e">
        <f>VLOOKUP(A573,[4]Volume!$E:$G,3,FALSE)</f>
        <v>#N/A</v>
      </c>
      <c r="U573" s="19" t="e">
        <f>VLOOKUP(A573,[4]Piece!$E:$G,3,FALSE)</f>
        <v>#N/A</v>
      </c>
      <c r="V573" s="21" t="e">
        <f t="shared" si="34"/>
        <v>#N/A</v>
      </c>
      <c r="W573" s="16" t="e">
        <f t="shared" si="35"/>
        <v>#N/A</v>
      </c>
    </row>
    <row r="574" spans="1:23" hidden="1" x14ac:dyDescent="0.3">
      <c r="A574" s="22" t="s">
        <v>1158</v>
      </c>
      <c r="B574" s="22" t="s">
        <v>1158</v>
      </c>
      <c r="C574" s="23" t="s">
        <v>33</v>
      </c>
      <c r="D574" s="20" t="s">
        <v>34</v>
      </c>
      <c r="E574" s="22" t="s">
        <v>1159</v>
      </c>
      <c r="F574" s="24" t="str">
        <f t="shared" si="32"/>
        <v>PPG - Johnstones WB FLOOR VARN - Clear Satin -2.5l</v>
      </c>
      <c r="G574" s="23" t="s">
        <v>5448</v>
      </c>
      <c r="H574" s="25" t="s">
        <v>36</v>
      </c>
      <c r="I574" s="18" t="s">
        <v>37</v>
      </c>
      <c r="J574" s="18" t="s">
        <v>38</v>
      </c>
      <c r="K574" t="s">
        <v>39</v>
      </c>
      <c r="L574" s="26">
        <f>VLOOKUP(A574,'[3]Price info'!A:D,4,FALSE)</f>
        <v>24.13</v>
      </c>
      <c r="M574" s="18" t="s">
        <v>40</v>
      </c>
      <c r="N574" s="20">
        <v>3105</v>
      </c>
      <c r="P574" s="16">
        <f>VLOOKUP(A574,'[3]Price info'!A:H,8,FALSE)</f>
        <v>22.465029999999999</v>
      </c>
      <c r="Q574" s="27">
        <f t="shared" si="33"/>
        <v>0.93099999999999994</v>
      </c>
      <c r="S574" s="16">
        <f>VLOOKUP(A574,[4]Sales!$E:$G,3,FALSE)</f>
        <v>128.32999999999998</v>
      </c>
      <c r="T574" s="19">
        <f>VLOOKUP(A574,[4]Volume!$E:$G,3,FALSE)</f>
        <v>15</v>
      </c>
      <c r="U574" s="19">
        <f>VLOOKUP(A574,[4]Piece!$E:$G,3,FALSE)</f>
        <v>6</v>
      </c>
      <c r="V574" s="21">
        <f t="shared" si="34"/>
        <v>134.79017999999999</v>
      </c>
      <c r="W574" s="16">
        <f t="shared" si="35"/>
        <v>6.4601800000000082</v>
      </c>
    </row>
    <row r="575" spans="1:23" hidden="1" x14ac:dyDescent="0.3">
      <c r="A575" s="22" t="s">
        <v>1160</v>
      </c>
      <c r="B575" s="22" t="s">
        <v>1160</v>
      </c>
      <c r="C575" s="23" t="s">
        <v>33</v>
      </c>
      <c r="D575" s="20" t="s">
        <v>34</v>
      </c>
      <c r="E575" s="22" t="s">
        <v>1161</v>
      </c>
      <c r="F575" s="24" t="str">
        <f t="shared" si="32"/>
        <v>PPG - ProGold READY MIX ALL PUR WALLCOV ADH 2.5kg</v>
      </c>
      <c r="G575" s="23" t="s">
        <v>5449</v>
      </c>
      <c r="H575" s="25" t="s">
        <v>36</v>
      </c>
      <c r="I575" s="18" t="s">
        <v>37</v>
      </c>
      <c r="J575" s="18" t="s">
        <v>38</v>
      </c>
      <c r="K575" t="s">
        <v>39</v>
      </c>
      <c r="L575" s="26">
        <f>VLOOKUP(A575,'[3]Price info'!A:D,4,FALSE)</f>
        <v>10.29</v>
      </c>
      <c r="M575" s="18" t="s">
        <v>40</v>
      </c>
      <c r="N575" s="20">
        <v>3105</v>
      </c>
      <c r="P575" s="16">
        <f>VLOOKUP(A575,'[3]Price info'!A:H,8,FALSE)</f>
        <v>9.5799900000000004</v>
      </c>
      <c r="Q575" s="27">
        <f t="shared" si="33"/>
        <v>0.93100000000000016</v>
      </c>
      <c r="S575" s="16">
        <f>VLOOKUP(A575,[4]Sales!$E:$G,3,FALSE)</f>
        <v>28.740000000000002</v>
      </c>
      <c r="T575" s="19">
        <f>VLOOKUP(A575,[4]Volume!$E:$G,3,FALSE)</f>
        <v>7.5</v>
      </c>
      <c r="U575" s="19">
        <f>VLOOKUP(A575,[4]Piece!$E:$G,3,FALSE)</f>
        <v>3</v>
      </c>
      <c r="V575" s="21">
        <f t="shared" si="34"/>
        <v>28.73997</v>
      </c>
      <c r="W575" s="16">
        <f t="shared" si="35"/>
        <v>-3.0000000002416982E-5</v>
      </c>
    </row>
    <row r="576" spans="1:23" hidden="1" x14ac:dyDescent="0.3">
      <c r="A576" s="46" t="s">
        <v>1162</v>
      </c>
      <c r="B576" s="46" t="s">
        <v>1162</v>
      </c>
      <c r="C576" s="51" t="s">
        <v>33</v>
      </c>
      <c r="D576" s="48" t="s">
        <v>34</v>
      </c>
      <c r="E576" s="18" t="s">
        <v>1163</v>
      </c>
      <c r="F576" s="24" t="str">
        <f t="shared" si="32"/>
        <v>PPG - HAMIL HEAVY DUTY   BLADES 4"</v>
      </c>
      <c r="G576" s="20" t="s">
        <v>5450</v>
      </c>
      <c r="H576" s="49" t="s">
        <v>213</v>
      </c>
      <c r="I576" s="18" t="s">
        <v>37</v>
      </c>
      <c r="J576" s="18" t="s">
        <v>38</v>
      </c>
      <c r="K576" t="s">
        <v>39</v>
      </c>
      <c r="L576" s="50">
        <f>VLOOKUP(A576,'[3]Price info'!A:D,4,FALSE)</f>
        <v>2.74</v>
      </c>
      <c r="M576" s="18" t="s">
        <v>214</v>
      </c>
      <c r="N576" s="20">
        <v>3105</v>
      </c>
      <c r="P576" s="16">
        <f>VLOOKUP(A576,'[3]Price info'!A:H,8,FALSE)</f>
        <v>2.5509400000000002</v>
      </c>
      <c r="Q576" s="17">
        <f t="shared" si="33"/>
        <v>0.93100000000000005</v>
      </c>
      <c r="S576" s="16">
        <f>VLOOKUP(A576,[4]Sales!$E:$G,3,FALSE)</f>
        <v>103.24000000000001</v>
      </c>
      <c r="T576" s="19">
        <f>VLOOKUP(A576,[4]Volume!$E:$G,3,FALSE)</f>
        <v>40</v>
      </c>
      <c r="U576" s="19">
        <f>VLOOKUP(A576,[4]Piece!$E:$G,3,FALSE)</f>
        <v>40</v>
      </c>
      <c r="V576" s="21">
        <f t="shared" si="34"/>
        <v>102.03760000000001</v>
      </c>
      <c r="W576" s="16">
        <f t="shared" si="35"/>
        <v>-1.2023999999999972</v>
      </c>
    </row>
    <row r="577" spans="1:23" hidden="1" x14ac:dyDescent="0.3">
      <c r="A577" s="46" t="s">
        <v>1164</v>
      </c>
      <c r="B577" s="46" t="s">
        <v>1164</v>
      </c>
      <c r="C577" s="47" t="s">
        <v>33</v>
      </c>
      <c r="D577" s="48" t="s">
        <v>34</v>
      </c>
      <c r="E577" s="18" t="s">
        <v>1165</v>
      </c>
      <c r="F577" s="24" t="str">
        <f t="shared" si="32"/>
        <v>PPG - ARTEX LEVELLINE    GYPROC 30M</v>
      </c>
      <c r="G577" s="20" t="s">
        <v>5451</v>
      </c>
      <c r="H577" s="49" t="s">
        <v>213</v>
      </c>
      <c r="I577" s="18" t="s">
        <v>37</v>
      </c>
      <c r="J577" s="18" t="s">
        <v>38</v>
      </c>
      <c r="K577" t="s">
        <v>39</v>
      </c>
      <c r="L577" s="50">
        <f>VLOOKUP(A577,'[3]Price info'!A:D,4,FALSE)</f>
        <v>36.64</v>
      </c>
      <c r="M577" s="18" t="s">
        <v>214</v>
      </c>
      <c r="N577" s="20">
        <v>3105</v>
      </c>
      <c r="P577" s="16">
        <f>VLOOKUP(A577,'[3]Price info'!A:H,8,FALSE)</f>
        <v>26.7</v>
      </c>
      <c r="Q577" s="17">
        <f t="shared" si="33"/>
        <v>0.72871179039301304</v>
      </c>
      <c r="S577" s="16" t="e">
        <f>VLOOKUP(A577,[4]Sales!$E:$G,3,FALSE)</f>
        <v>#N/A</v>
      </c>
      <c r="T577" s="19" t="e">
        <f>VLOOKUP(A577,[4]Volume!$E:$G,3,FALSE)</f>
        <v>#N/A</v>
      </c>
      <c r="U577" s="19" t="e">
        <f>VLOOKUP(A577,[4]Piece!$E:$G,3,FALSE)</f>
        <v>#N/A</v>
      </c>
      <c r="V577" s="21" t="e">
        <f t="shared" si="34"/>
        <v>#N/A</v>
      </c>
      <c r="W577" s="16" t="e">
        <f t="shared" si="35"/>
        <v>#N/A</v>
      </c>
    </row>
    <row r="578" spans="1:23" hidden="1" x14ac:dyDescent="0.3">
      <c r="A578" s="22" t="s">
        <v>1166</v>
      </c>
      <c r="B578" s="22" t="s">
        <v>1166</v>
      </c>
      <c r="C578" s="23" t="s">
        <v>33</v>
      </c>
      <c r="D578" s="20" t="s">
        <v>34</v>
      </c>
      <c r="E578" s="22" t="s">
        <v>1167</v>
      </c>
      <c r="F578" s="24" t="str">
        <f t="shared" si="32"/>
        <v>PPG - ProGold SNAP KNIFE 18mm</v>
      </c>
      <c r="G578" s="23" t="s">
        <v>5452</v>
      </c>
      <c r="H578" s="25" t="s">
        <v>36</v>
      </c>
      <c r="I578" s="18" t="s">
        <v>37</v>
      </c>
      <c r="J578" s="18" t="s">
        <v>38</v>
      </c>
      <c r="K578" t="s">
        <v>39</v>
      </c>
      <c r="L578" s="26">
        <f>VLOOKUP(A578,'[3]Price info'!A:D,4,FALSE)</f>
        <v>2.36</v>
      </c>
      <c r="M578" s="18" t="s">
        <v>40</v>
      </c>
      <c r="N578" s="20">
        <v>3105</v>
      </c>
      <c r="P578" s="16">
        <f>VLOOKUP(A578,'[3]Price info'!A:H,8,FALSE)</f>
        <v>2.1971599999999998</v>
      </c>
      <c r="Q578" s="27">
        <f t="shared" si="33"/>
        <v>0.93099999999999994</v>
      </c>
      <c r="S578" s="16">
        <f>VLOOKUP(A578,[4]Sales!$E:$G,3,FALSE)</f>
        <v>86.639999999999986</v>
      </c>
      <c r="T578" s="19">
        <f>VLOOKUP(A578,[4]Volume!$E:$G,3,FALSE)</f>
        <v>101</v>
      </c>
      <c r="U578" s="19">
        <f>VLOOKUP(A578,[4]Piece!$E:$G,3,FALSE)</f>
        <v>101</v>
      </c>
      <c r="V578" s="21">
        <f t="shared" si="34"/>
        <v>221.91315999999998</v>
      </c>
      <c r="W578" s="16">
        <f t="shared" si="35"/>
        <v>135.27315999999999</v>
      </c>
    </row>
    <row r="579" spans="1:23" hidden="1" x14ac:dyDescent="0.3">
      <c r="A579" s="22" t="s">
        <v>1168</v>
      </c>
      <c r="B579" s="22" t="s">
        <v>1168</v>
      </c>
      <c r="C579" s="23" t="s">
        <v>33</v>
      </c>
      <c r="D579" s="20" t="s">
        <v>34</v>
      </c>
      <c r="E579" s="22" t="s">
        <v>1169</v>
      </c>
      <c r="F579" s="24" t="str">
        <f t="shared" ref="F579:F642" si="36">D579&amp;" - "&amp;E579</f>
        <v>PPG - Leyland CONTRACT MATT - Brill White - 15ltr</v>
      </c>
      <c r="G579" s="23" t="s">
        <v>5453</v>
      </c>
      <c r="H579" s="25" t="s">
        <v>36</v>
      </c>
      <c r="I579" s="18" t="s">
        <v>37</v>
      </c>
      <c r="J579" s="18" t="s">
        <v>38</v>
      </c>
      <c r="K579" t="s">
        <v>39</v>
      </c>
      <c r="L579" s="26">
        <f>VLOOKUP(A579,'[3]Price info'!A:D,4,FALSE)</f>
        <v>35.25</v>
      </c>
      <c r="M579" s="18" t="s">
        <v>40</v>
      </c>
      <c r="N579" s="20">
        <v>3105</v>
      </c>
      <c r="P579" s="16">
        <f>VLOOKUP(A579,'[3]Price info'!A:H,8,FALSE)</f>
        <v>17.64</v>
      </c>
      <c r="Q579" s="27">
        <f t="shared" ref="Q579:Q642" si="37">P579/L579</f>
        <v>0.50042553191489358</v>
      </c>
      <c r="S579" s="16">
        <f>VLOOKUP(A579,[4]Sales!$E:$G,3,FALSE)</f>
        <v>74.64</v>
      </c>
      <c r="T579" s="19">
        <f>VLOOKUP(A579,[4]Volume!$E:$G,3,FALSE)</f>
        <v>45</v>
      </c>
      <c r="U579" s="19">
        <f>VLOOKUP(A579,[4]Piece!$E:$G,3,FALSE)</f>
        <v>3</v>
      </c>
      <c r="V579" s="21">
        <f t="shared" ref="V579:V642" si="38">U579*P579</f>
        <v>52.92</v>
      </c>
      <c r="W579" s="16">
        <f t="shared" ref="W579:W642" si="39">V579-S579</f>
        <v>-21.72</v>
      </c>
    </row>
    <row r="580" spans="1:23" hidden="1" x14ac:dyDescent="0.3">
      <c r="A580" s="53" t="s">
        <v>1170</v>
      </c>
      <c r="B580" s="54" t="s">
        <v>1170</v>
      </c>
      <c r="C580" s="47" t="s">
        <v>33</v>
      </c>
      <c r="D580" s="48" t="s">
        <v>34</v>
      </c>
      <c r="E580" s="22" t="s">
        <v>1171</v>
      </c>
      <c r="F580" s="24" t="str">
        <f t="shared" si="36"/>
        <v>PPG - UNBRANDED SHORT HANDLE FRAME 4"</v>
      </c>
      <c r="G580" s="20" t="s">
        <v>5454</v>
      </c>
      <c r="H580" s="25" t="s">
        <v>36</v>
      </c>
      <c r="I580" s="18" t="s">
        <v>37</v>
      </c>
      <c r="J580" s="18" t="s">
        <v>38</v>
      </c>
      <c r="K580" t="s">
        <v>39</v>
      </c>
      <c r="L580" s="26">
        <f>VLOOKUP(A580,'[3]Price info'!A:D,4,FALSE)</f>
        <v>0.49</v>
      </c>
      <c r="M580" s="18" t="s">
        <v>214</v>
      </c>
      <c r="N580" s="20">
        <v>3105</v>
      </c>
      <c r="P580" s="16">
        <f>VLOOKUP(A580,'[3]Price info'!A:H,8,FALSE)</f>
        <v>0.45619000000000004</v>
      </c>
      <c r="Q580" s="27">
        <f t="shared" si="37"/>
        <v>0.93100000000000005</v>
      </c>
      <c r="S580" s="16">
        <f>VLOOKUP(A580,[4]Sales!$E:$G,3,FALSE)</f>
        <v>164.51000000000013</v>
      </c>
      <c r="T580" s="19">
        <f>VLOOKUP(A580,[4]Volume!$E:$G,3,FALSE)</f>
        <v>347</v>
      </c>
      <c r="U580" s="19">
        <f>VLOOKUP(A580,[4]Piece!$E:$G,3,FALSE)</f>
        <v>347</v>
      </c>
      <c r="V580" s="21">
        <f t="shared" si="38"/>
        <v>158.29793000000001</v>
      </c>
      <c r="W580" s="16">
        <f t="shared" si="39"/>
        <v>-6.212070000000125</v>
      </c>
    </row>
    <row r="581" spans="1:23" hidden="1" x14ac:dyDescent="0.3">
      <c r="A581" s="46" t="s">
        <v>1172</v>
      </c>
      <c r="B581" s="46" t="s">
        <v>1172</v>
      </c>
      <c r="C581" s="47" t="s">
        <v>33</v>
      </c>
      <c r="D581" s="48" t="s">
        <v>34</v>
      </c>
      <c r="E581" s="18" t="s">
        <v>1173</v>
      </c>
      <c r="F581" s="24" t="str">
        <f t="shared" si="36"/>
        <v>PPG - TETR  A/P POWDER   FILLER 5KG 0000001500</v>
      </c>
      <c r="G581" s="20" t="s">
        <v>5455</v>
      </c>
      <c r="H581" s="49" t="s">
        <v>213</v>
      </c>
      <c r="I581" s="18" t="s">
        <v>37</v>
      </c>
      <c r="J581" s="18" t="s">
        <v>38</v>
      </c>
      <c r="K581" t="s">
        <v>39</v>
      </c>
      <c r="L581" s="50">
        <f>VLOOKUP(A581,'[3]Price info'!A:D,4,FALSE)</f>
        <v>12.5</v>
      </c>
      <c r="M581" s="18" t="s">
        <v>214</v>
      </c>
      <c r="N581" s="20">
        <v>3105</v>
      </c>
      <c r="P581" s="16">
        <f>VLOOKUP(A581,'[3]Price info'!A:H,8,FALSE)</f>
        <v>11.637500000000001</v>
      </c>
      <c r="Q581" s="17">
        <f t="shared" si="37"/>
        <v>0.93100000000000005</v>
      </c>
      <c r="S581" s="16">
        <f>VLOOKUP(A581,[4]Sales!$E:$G,3,FALSE)</f>
        <v>154.76</v>
      </c>
      <c r="T581" s="19">
        <f>VLOOKUP(A581,[4]Volume!$E:$G,3,FALSE)</f>
        <v>65</v>
      </c>
      <c r="U581" s="19">
        <f>VLOOKUP(A581,[4]Piece!$E:$G,3,FALSE)</f>
        <v>13</v>
      </c>
      <c r="V581" s="21">
        <f t="shared" si="38"/>
        <v>151.28750000000002</v>
      </c>
      <c r="W581" s="16">
        <f t="shared" si="39"/>
        <v>-3.4724999999999682</v>
      </c>
    </row>
    <row r="582" spans="1:23" hidden="1" x14ac:dyDescent="0.3">
      <c r="A582" s="22" t="s">
        <v>1174</v>
      </c>
      <c r="B582" s="22" t="s">
        <v>1174</v>
      </c>
      <c r="C582" s="23" t="s">
        <v>33</v>
      </c>
      <c r="D582" s="20" t="s">
        <v>34</v>
      </c>
      <c r="E582" s="22" t="s">
        <v>1175</v>
      </c>
      <c r="F582" s="24" t="str">
        <f t="shared" si="36"/>
        <v>PPG - Johnstones PRO UNDERCOAT - Charcoal - 5ltr</v>
      </c>
      <c r="G582" s="23" t="s">
        <v>5456</v>
      </c>
      <c r="H582" s="25" t="s">
        <v>36</v>
      </c>
      <c r="I582" s="18" t="s">
        <v>37</v>
      </c>
      <c r="J582" s="18" t="s">
        <v>38</v>
      </c>
      <c r="K582" t="s">
        <v>39</v>
      </c>
      <c r="L582" s="26">
        <f>VLOOKUP(A582,'[3]Price info'!A:D,4,FALSE)</f>
        <v>18.350000000000001</v>
      </c>
      <c r="M582" s="18" t="s">
        <v>40</v>
      </c>
      <c r="N582" s="20">
        <v>3105</v>
      </c>
      <c r="P582" s="16">
        <f>VLOOKUP(A582,'[3]Price info'!A:H,8,FALSE)</f>
        <v>25.69</v>
      </c>
      <c r="Q582" s="27">
        <f t="shared" si="37"/>
        <v>1.4</v>
      </c>
      <c r="S582" s="16">
        <f>VLOOKUP(A582,[4]Sales!$E:$G,3,FALSE)</f>
        <v>322.96000000000004</v>
      </c>
      <c r="T582" s="19">
        <f>VLOOKUP(A582,[4]Volume!$E:$G,3,FALSE)</f>
        <v>80</v>
      </c>
      <c r="U582" s="19">
        <f>VLOOKUP(A582,[4]Piece!$E:$G,3,FALSE)</f>
        <v>16</v>
      </c>
      <c r="V582" s="21">
        <f t="shared" si="38"/>
        <v>411.04</v>
      </c>
      <c r="W582" s="16">
        <f t="shared" si="39"/>
        <v>88.079999999999984</v>
      </c>
    </row>
    <row r="583" spans="1:23" hidden="1" x14ac:dyDescent="0.3">
      <c r="A583" s="22" t="s">
        <v>1176</v>
      </c>
      <c r="B583" s="22" t="s">
        <v>1176</v>
      </c>
      <c r="C583" s="23" t="s">
        <v>33</v>
      </c>
      <c r="D583" s="20" t="s">
        <v>34</v>
      </c>
      <c r="E583" s="22" t="s">
        <v>1177</v>
      </c>
      <c r="F583" s="24" t="str">
        <f t="shared" si="36"/>
        <v>PPG - Leyland SATINWOOD - Brilliant White - 2.5ltr</v>
      </c>
      <c r="G583" s="23" t="s">
        <v>5457</v>
      </c>
      <c r="H583" s="25" t="s">
        <v>36</v>
      </c>
      <c r="I583" s="18" t="s">
        <v>37</v>
      </c>
      <c r="J583" s="18" t="s">
        <v>38</v>
      </c>
      <c r="K583" t="s">
        <v>39</v>
      </c>
      <c r="L583" s="26">
        <f>VLOOKUP(A583,'[3]Price info'!A:D,4,FALSE)</f>
        <v>14.81</v>
      </c>
      <c r="M583" s="18" t="s">
        <v>40</v>
      </c>
      <c r="N583" s="20">
        <v>3105</v>
      </c>
      <c r="P583" s="16">
        <f>VLOOKUP(A583,'[3]Price info'!A:H,8,FALSE)</f>
        <v>13.788110000000001</v>
      </c>
      <c r="Q583" s="27">
        <f t="shared" si="37"/>
        <v>0.93100000000000005</v>
      </c>
      <c r="S583" s="16">
        <f>VLOOKUP(A583,[4]Sales!$E:$G,3,FALSE)</f>
        <v>0</v>
      </c>
      <c r="T583" s="19">
        <f>VLOOKUP(A583,[4]Volume!$E:$G,3,FALSE)</f>
        <v>0</v>
      </c>
      <c r="U583" s="19">
        <f>VLOOKUP(A583,[4]Piece!$E:$G,3,FALSE)</f>
        <v>0</v>
      </c>
      <c r="V583" s="21">
        <f t="shared" si="38"/>
        <v>0</v>
      </c>
      <c r="W583" s="16">
        <f t="shared" si="39"/>
        <v>0</v>
      </c>
    </row>
    <row r="584" spans="1:23" hidden="1" x14ac:dyDescent="0.3">
      <c r="A584" s="22" t="s">
        <v>1178</v>
      </c>
      <c r="B584" s="22" t="s">
        <v>1178</v>
      </c>
      <c r="C584" s="23" t="s">
        <v>33</v>
      </c>
      <c r="D584" s="20" t="s">
        <v>34</v>
      </c>
      <c r="E584" s="22" t="s">
        <v>1179</v>
      </c>
      <c r="F584" s="24" t="str">
        <f t="shared" si="36"/>
        <v>PPG - Johnstones AQUA GLOSS - Black - 2.5ltr</v>
      </c>
      <c r="G584" s="23" t="s">
        <v>5458</v>
      </c>
      <c r="H584" s="25" t="s">
        <v>36</v>
      </c>
      <c r="I584" s="18" t="s">
        <v>37</v>
      </c>
      <c r="J584" s="18" t="s">
        <v>38</v>
      </c>
      <c r="K584" t="s">
        <v>39</v>
      </c>
      <c r="L584" s="26">
        <f>VLOOKUP(A584,'[3]Price info'!A:D,4,FALSE)</f>
        <v>18.670000000000002</v>
      </c>
      <c r="M584" s="18" t="s">
        <v>40</v>
      </c>
      <c r="N584" s="20">
        <v>3105</v>
      </c>
      <c r="P584" s="16">
        <f>VLOOKUP(A584,'[3]Price info'!A:H,8,FALSE)</f>
        <v>18.670000000000002</v>
      </c>
      <c r="Q584" s="27">
        <f t="shared" si="37"/>
        <v>1</v>
      </c>
      <c r="S584" s="16">
        <f>VLOOKUP(A584,[4]Sales!$E:$G,3,FALSE)</f>
        <v>224.04000000000005</v>
      </c>
      <c r="T584" s="19">
        <f>VLOOKUP(A584,[4]Volume!$E:$G,3,FALSE)</f>
        <v>30</v>
      </c>
      <c r="U584" s="19">
        <f>VLOOKUP(A584,[4]Piece!$E:$G,3,FALSE)</f>
        <v>12</v>
      </c>
      <c r="V584" s="21">
        <f t="shared" si="38"/>
        <v>224.04000000000002</v>
      </c>
      <c r="W584" s="16">
        <f t="shared" si="39"/>
        <v>0</v>
      </c>
    </row>
    <row r="585" spans="1:23" hidden="1" x14ac:dyDescent="0.3">
      <c r="A585" s="22" t="s">
        <v>1180</v>
      </c>
      <c r="B585" s="22" t="s">
        <v>1180</v>
      </c>
      <c r="C585" s="23" t="s">
        <v>33</v>
      </c>
      <c r="D585" s="20" t="s">
        <v>34</v>
      </c>
      <c r="E585" s="22" t="s">
        <v>1181</v>
      </c>
      <c r="F585" s="24" t="str">
        <f t="shared" si="36"/>
        <v>PPG - Johnstones VINYL SOFT SHEEN - BW - 2.5ltr</v>
      </c>
      <c r="G585" s="23" t="s">
        <v>5459</v>
      </c>
      <c r="H585" s="25" t="s">
        <v>36</v>
      </c>
      <c r="I585" s="18" t="s">
        <v>37</v>
      </c>
      <c r="J585" s="18" t="s">
        <v>38</v>
      </c>
      <c r="K585" t="s">
        <v>39</v>
      </c>
      <c r="L585" s="26">
        <f>VLOOKUP(A585,'[3]Price info'!A:D,4,FALSE)</f>
        <v>10.32</v>
      </c>
      <c r="M585" s="18" t="s">
        <v>40</v>
      </c>
      <c r="N585" s="20">
        <v>3105</v>
      </c>
      <c r="P585" s="16">
        <f>VLOOKUP(A585,'[3]Price info'!A:H,8,FALSE)</f>
        <v>7.14</v>
      </c>
      <c r="Q585" s="27">
        <f t="shared" si="37"/>
        <v>0.69186046511627897</v>
      </c>
      <c r="S585" s="16">
        <f>VLOOKUP(A585,[4]Sales!$E:$G,3,FALSE)</f>
        <v>19.919999999999998</v>
      </c>
      <c r="T585" s="19">
        <f>VLOOKUP(A585,[4]Volume!$E:$G,3,FALSE)</f>
        <v>7.5</v>
      </c>
      <c r="U585" s="19">
        <f>VLOOKUP(A585,[4]Piece!$E:$G,3,FALSE)</f>
        <v>3</v>
      </c>
      <c r="V585" s="21">
        <f t="shared" si="38"/>
        <v>21.419999999999998</v>
      </c>
      <c r="W585" s="16">
        <f t="shared" si="39"/>
        <v>1.5</v>
      </c>
    </row>
    <row r="586" spans="1:23" hidden="1" x14ac:dyDescent="0.3">
      <c r="A586" s="46" t="s">
        <v>1182</v>
      </c>
      <c r="B586" s="46" t="s">
        <v>1182</v>
      </c>
      <c r="C586" s="51" t="s">
        <v>33</v>
      </c>
      <c r="D586" s="48" t="s">
        <v>34</v>
      </c>
      <c r="E586" s="18" t="s">
        <v>1183</v>
      </c>
      <c r="F586" s="24" t="str">
        <f t="shared" si="36"/>
        <v>PPG - K     SPONTEX      STD SPONGE</v>
      </c>
      <c r="G586" s="20" t="s">
        <v>5460</v>
      </c>
      <c r="H586" s="49" t="s">
        <v>213</v>
      </c>
      <c r="I586" s="18" t="s">
        <v>37</v>
      </c>
      <c r="J586" s="18" t="s">
        <v>38</v>
      </c>
      <c r="K586" t="s">
        <v>39</v>
      </c>
      <c r="L586" s="50">
        <f>VLOOKUP(A586,'[3]Price info'!A:D,4,FALSE)</f>
        <v>1.76</v>
      </c>
      <c r="M586" s="18" t="s">
        <v>214</v>
      </c>
      <c r="N586" s="20">
        <v>3105</v>
      </c>
      <c r="P586" s="16">
        <f>VLOOKUP(A586,'[3]Price info'!A:H,8,FALSE)</f>
        <v>1.63856</v>
      </c>
      <c r="Q586" s="17">
        <f t="shared" si="37"/>
        <v>0.93100000000000005</v>
      </c>
      <c r="S586" s="16">
        <f>VLOOKUP(A586,[4]Sales!$E:$G,3,FALSE)</f>
        <v>146.20000000000002</v>
      </c>
      <c r="T586" s="19">
        <f>VLOOKUP(A586,[4]Volume!$E:$G,3,FALSE)</f>
        <v>86</v>
      </c>
      <c r="U586" s="19">
        <f>VLOOKUP(A586,[4]Piece!$E:$G,3,FALSE)</f>
        <v>86</v>
      </c>
      <c r="V586" s="21">
        <f t="shared" si="38"/>
        <v>140.91615999999999</v>
      </c>
      <c r="W586" s="16">
        <f t="shared" si="39"/>
        <v>-5.2838400000000263</v>
      </c>
    </row>
    <row r="587" spans="1:23" hidden="1" x14ac:dyDescent="0.3">
      <c r="A587" s="22" t="s">
        <v>1184</v>
      </c>
      <c r="B587" s="22" t="s">
        <v>1184</v>
      </c>
      <c r="C587" s="23" t="s">
        <v>33</v>
      </c>
      <c r="D587" s="20" t="s">
        <v>34</v>
      </c>
      <c r="E587" s="22" t="s">
        <v>1185</v>
      </c>
      <c r="F587" s="24" t="str">
        <f t="shared" si="36"/>
        <v>PPG - Johnstones QD Woodstain - Medium Oak - 2.5l</v>
      </c>
      <c r="G587" s="23" t="s">
        <v>5461</v>
      </c>
      <c r="H587" s="25" t="s">
        <v>36</v>
      </c>
      <c r="I587" s="18" t="s">
        <v>37</v>
      </c>
      <c r="J587" s="18" t="s">
        <v>38</v>
      </c>
      <c r="K587" t="s">
        <v>39</v>
      </c>
      <c r="L587" s="26">
        <f>VLOOKUP(A587,'[3]Price info'!A:D,4,FALSE)</f>
        <v>23.03</v>
      </c>
      <c r="M587" s="18" t="s">
        <v>40</v>
      </c>
      <c r="N587" s="20">
        <v>3105</v>
      </c>
      <c r="P587" s="16">
        <f>VLOOKUP(A587,'[3]Price info'!A:H,8,FALSE)</f>
        <v>21.440930000000002</v>
      </c>
      <c r="Q587" s="27">
        <f t="shared" si="37"/>
        <v>0.93100000000000005</v>
      </c>
      <c r="S587" s="16">
        <f>VLOOKUP(A587,[4]Sales!$E:$G,3,FALSE)</f>
        <v>156.44</v>
      </c>
      <c r="T587" s="19">
        <f>VLOOKUP(A587,[4]Volume!$E:$G,3,FALSE)</f>
        <v>17.5</v>
      </c>
      <c r="U587" s="19">
        <f>VLOOKUP(A587,[4]Piece!$E:$G,3,FALSE)</f>
        <v>7</v>
      </c>
      <c r="V587" s="21">
        <f t="shared" si="38"/>
        <v>150.08651</v>
      </c>
      <c r="W587" s="16">
        <f t="shared" si="39"/>
        <v>-6.3534899999999936</v>
      </c>
    </row>
    <row r="588" spans="1:23" hidden="1" x14ac:dyDescent="0.3">
      <c r="A588" s="22" t="s">
        <v>1186</v>
      </c>
      <c r="B588" s="22" t="s">
        <v>1186</v>
      </c>
      <c r="C588" s="23" t="s">
        <v>33</v>
      </c>
      <c r="D588" s="20" t="s">
        <v>34</v>
      </c>
      <c r="E588" s="22" t="s">
        <v>1187</v>
      </c>
      <c r="F588" s="24" t="str">
        <f t="shared" si="36"/>
        <v>PPG - FatHog TROUSERS WHITE 34"</v>
      </c>
      <c r="G588" s="23" t="s">
        <v>5462</v>
      </c>
      <c r="H588" s="25" t="s">
        <v>36</v>
      </c>
      <c r="I588" s="18" t="s">
        <v>37</v>
      </c>
      <c r="J588" s="18" t="s">
        <v>38</v>
      </c>
      <c r="K588" t="s">
        <v>39</v>
      </c>
      <c r="L588" s="26">
        <f>VLOOKUP(A588,'[3]Price info'!A:D,4,FALSE)</f>
        <v>11.96</v>
      </c>
      <c r="M588" s="18" t="s">
        <v>40</v>
      </c>
      <c r="N588" s="20">
        <v>3105</v>
      </c>
      <c r="P588" s="16">
        <f>VLOOKUP(A588,'[3]Price info'!A:H,8,FALSE)</f>
        <v>13.156000000000002</v>
      </c>
      <c r="Q588" s="27">
        <f t="shared" si="37"/>
        <v>1.1000000000000001</v>
      </c>
      <c r="S588" s="16">
        <f>VLOOKUP(A588,[4]Sales!$E:$G,3,FALSE)</f>
        <v>98.81</v>
      </c>
      <c r="T588" s="19">
        <f>VLOOKUP(A588,[4]Volume!$E:$G,3,FALSE)</f>
        <v>8</v>
      </c>
      <c r="U588" s="19">
        <f>VLOOKUP(A588,[4]Piece!$E:$G,3,FALSE)</f>
        <v>8</v>
      </c>
      <c r="V588" s="21">
        <f t="shared" si="38"/>
        <v>105.24800000000002</v>
      </c>
      <c r="W588" s="16">
        <f t="shared" si="39"/>
        <v>6.4380000000000166</v>
      </c>
    </row>
    <row r="589" spans="1:23" hidden="1" x14ac:dyDescent="0.3">
      <c r="A589" s="22" t="s">
        <v>1188</v>
      </c>
      <c r="B589" s="22" t="s">
        <v>1188</v>
      </c>
      <c r="C589" s="23" t="s">
        <v>33</v>
      </c>
      <c r="D589" s="20" t="s">
        <v>34</v>
      </c>
      <c r="E589" s="22" t="s">
        <v>1189</v>
      </c>
      <c r="F589" s="24" t="str">
        <f t="shared" si="36"/>
        <v>PPG - ProGold WALL BRUSH - 6"</v>
      </c>
      <c r="G589" s="23" t="s">
        <v>5463</v>
      </c>
      <c r="H589" s="25" t="s">
        <v>36</v>
      </c>
      <c r="I589" s="18" t="s">
        <v>37</v>
      </c>
      <c r="J589" s="18" t="s">
        <v>38</v>
      </c>
      <c r="K589" t="s">
        <v>39</v>
      </c>
      <c r="L589" s="26">
        <f>VLOOKUP(A589,'[3]Price info'!A:D,4,FALSE)</f>
        <v>34.76</v>
      </c>
      <c r="M589" s="18" t="s">
        <v>40</v>
      </c>
      <c r="N589" s="20">
        <v>3105</v>
      </c>
      <c r="P589" s="16">
        <f>VLOOKUP(A589,'[3]Price info'!A:H,8,FALSE)</f>
        <v>32.361559999999997</v>
      </c>
      <c r="Q589" s="27">
        <f t="shared" si="37"/>
        <v>0.93099999999999994</v>
      </c>
      <c r="S589" s="16" t="e">
        <f>VLOOKUP(A589,[4]Sales!$E:$G,3,FALSE)</f>
        <v>#N/A</v>
      </c>
      <c r="T589" s="19" t="e">
        <f>VLOOKUP(A589,[4]Volume!$E:$G,3,FALSE)</f>
        <v>#N/A</v>
      </c>
      <c r="U589" s="19" t="e">
        <f>VLOOKUP(A589,[4]Piece!$E:$G,3,FALSE)</f>
        <v>#N/A</v>
      </c>
      <c r="V589" s="21" t="e">
        <f t="shared" si="38"/>
        <v>#N/A</v>
      </c>
      <c r="W589" s="16" t="e">
        <f t="shared" si="39"/>
        <v>#N/A</v>
      </c>
    </row>
    <row r="590" spans="1:23" hidden="1" x14ac:dyDescent="0.3">
      <c r="A590" s="22" t="s">
        <v>1190</v>
      </c>
      <c r="B590" s="22" t="s">
        <v>1190</v>
      </c>
      <c r="C590" s="23" t="s">
        <v>33</v>
      </c>
      <c r="D590" s="20" t="s">
        <v>34</v>
      </c>
      <c r="E590" s="22" t="s">
        <v>1191</v>
      </c>
      <c r="F590" s="24" t="str">
        <f t="shared" si="36"/>
        <v>PPG - FatHog BIB&amp;BRACE WHITE 36"-38"</v>
      </c>
      <c r="G590" s="23" t="s">
        <v>5464</v>
      </c>
      <c r="H590" s="25" t="s">
        <v>36</v>
      </c>
      <c r="I590" s="18" t="s">
        <v>37</v>
      </c>
      <c r="J590" s="18" t="s">
        <v>38</v>
      </c>
      <c r="K590" t="s">
        <v>39</v>
      </c>
      <c r="L590" s="26">
        <f>VLOOKUP(A590,'[3]Price info'!A:D,4,FALSE)</f>
        <v>11.56</v>
      </c>
      <c r="M590" s="18" t="s">
        <v>40</v>
      </c>
      <c r="N590" s="20">
        <v>3105</v>
      </c>
      <c r="P590" s="16">
        <f>VLOOKUP(A590,'[3]Price info'!A:H,8,FALSE)</f>
        <v>16.184000000000001</v>
      </c>
      <c r="Q590" s="27">
        <f t="shared" si="37"/>
        <v>1.4000000000000001</v>
      </c>
      <c r="S590" s="16">
        <f>VLOOKUP(A590,[4]Sales!$E:$G,3,FALSE)</f>
        <v>55.480000000000004</v>
      </c>
      <c r="T590" s="19">
        <f>VLOOKUP(A590,[4]Volume!$E:$G,3,FALSE)</f>
        <v>4</v>
      </c>
      <c r="U590" s="19">
        <f>VLOOKUP(A590,[4]Piece!$E:$G,3,FALSE)</f>
        <v>4</v>
      </c>
      <c r="V590" s="21">
        <f t="shared" si="38"/>
        <v>64.736000000000004</v>
      </c>
      <c r="W590" s="16">
        <f t="shared" si="39"/>
        <v>9.2560000000000002</v>
      </c>
    </row>
    <row r="591" spans="1:23" hidden="1" x14ac:dyDescent="0.3">
      <c r="A591" s="22" t="s">
        <v>1192</v>
      </c>
      <c r="B591" s="22" t="s">
        <v>1192</v>
      </c>
      <c r="C591" s="23" t="s">
        <v>33</v>
      </c>
      <c r="D591" s="20" t="s">
        <v>34</v>
      </c>
      <c r="E591" s="22" t="s">
        <v>1193</v>
      </c>
      <c r="F591" s="24" t="str">
        <f t="shared" si="36"/>
        <v>PPG - Johnstones STERILISATION WASH - Clear - 2.5l</v>
      </c>
      <c r="G591" s="23" t="s">
        <v>5465</v>
      </c>
      <c r="H591" s="25" t="s">
        <v>36</v>
      </c>
      <c r="I591" s="18" t="s">
        <v>37</v>
      </c>
      <c r="J591" s="18" t="s">
        <v>38</v>
      </c>
      <c r="K591" t="s">
        <v>39</v>
      </c>
      <c r="L591" s="26">
        <f>VLOOKUP(A591,'[3]Price info'!A:D,4,FALSE)</f>
        <v>5.0199999999999996</v>
      </c>
      <c r="M591" s="18" t="s">
        <v>40</v>
      </c>
      <c r="N591" s="20">
        <v>3105</v>
      </c>
      <c r="P591" s="16">
        <f>VLOOKUP(A591,'[3]Price info'!A:H,8,FALSE)</f>
        <v>4.6736199999999997</v>
      </c>
      <c r="Q591" s="27">
        <f t="shared" si="37"/>
        <v>0.93100000000000005</v>
      </c>
      <c r="S591" s="16">
        <f>VLOOKUP(A591,[4]Sales!$E:$G,3,FALSE)</f>
        <v>464.87999999999994</v>
      </c>
      <c r="T591" s="19">
        <f>VLOOKUP(A591,[4]Volume!$E:$G,3,FALSE)</f>
        <v>235</v>
      </c>
      <c r="U591" s="19">
        <f>VLOOKUP(A591,[4]Piece!$E:$G,3,FALSE)</f>
        <v>94</v>
      </c>
      <c r="V591" s="21">
        <f t="shared" si="38"/>
        <v>439.32027999999997</v>
      </c>
      <c r="W591" s="16">
        <f t="shared" si="39"/>
        <v>-25.55971999999997</v>
      </c>
    </row>
    <row r="592" spans="1:23" hidden="1" x14ac:dyDescent="0.3">
      <c r="A592" s="46" t="s">
        <v>1194</v>
      </c>
      <c r="B592" s="46" t="s">
        <v>1194</v>
      </c>
      <c r="C592" s="47" t="s">
        <v>33</v>
      </c>
      <c r="D592" s="48" t="s">
        <v>34</v>
      </c>
      <c r="E592" s="18" t="s">
        <v>1195</v>
      </c>
      <c r="F592" s="24" t="str">
        <f t="shared" si="36"/>
        <v>PPG - ZINSR BULLSEYE 123 WHITE      0000001100</v>
      </c>
      <c r="G592" s="20" t="s">
        <v>5466</v>
      </c>
      <c r="H592" s="49" t="s">
        <v>213</v>
      </c>
      <c r="I592" s="18" t="s">
        <v>37</v>
      </c>
      <c r="J592" s="18" t="s">
        <v>38</v>
      </c>
      <c r="K592" t="s">
        <v>39</v>
      </c>
      <c r="L592" s="50">
        <f>VLOOKUP(A592,'[3]Price info'!A:D,4,FALSE)</f>
        <v>17.46</v>
      </c>
      <c r="M592" s="18" t="s">
        <v>214</v>
      </c>
      <c r="N592" s="20">
        <v>3105</v>
      </c>
      <c r="P592" s="16">
        <f>VLOOKUP(A592,'[3]Price info'!A:H,8,FALSE)</f>
        <v>16.255260000000003</v>
      </c>
      <c r="Q592" s="17">
        <f t="shared" si="37"/>
        <v>0.93100000000000016</v>
      </c>
      <c r="S592" s="16">
        <f>VLOOKUP(A592,[4]Sales!$E:$G,3,FALSE)</f>
        <v>134.55000000000004</v>
      </c>
      <c r="T592" s="19">
        <f>VLOOKUP(A592,[4]Volume!$E:$G,3,FALSE)</f>
        <v>8</v>
      </c>
      <c r="U592" s="19">
        <f>VLOOKUP(A592,[4]Piece!$E:$G,3,FALSE)</f>
        <v>8</v>
      </c>
      <c r="V592" s="21">
        <f t="shared" si="38"/>
        <v>130.04208000000003</v>
      </c>
      <c r="W592" s="16">
        <f t="shared" si="39"/>
        <v>-4.5079200000000128</v>
      </c>
    </row>
    <row r="593" spans="1:23" hidden="1" x14ac:dyDescent="0.3">
      <c r="A593" s="22" t="s">
        <v>1196</v>
      </c>
      <c r="B593" s="22" t="s">
        <v>1196</v>
      </c>
      <c r="C593" s="23" t="s">
        <v>33</v>
      </c>
      <c r="D593" s="20" t="s">
        <v>34</v>
      </c>
      <c r="E593" s="22" t="s">
        <v>1197</v>
      </c>
      <c r="F593" s="24" t="str">
        <f t="shared" si="36"/>
        <v>PPG - ProGold FLEXIBLE FILLING KNIFE - 3"</v>
      </c>
      <c r="G593" s="23" t="s">
        <v>5467</v>
      </c>
      <c r="H593" s="25" t="s">
        <v>36</v>
      </c>
      <c r="I593" s="18" t="s">
        <v>37</v>
      </c>
      <c r="J593" s="18" t="s">
        <v>38</v>
      </c>
      <c r="K593" t="s">
        <v>39</v>
      </c>
      <c r="L593" s="26">
        <f>VLOOKUP(A593,'[3]Price info'!A:D,4,FALSE)</f>
        <v>4.6500000000000004</v>
      </c>
      <c r="M593" s="18" t="s">
        <v>40</v>
      </c>
      <c r="N593" s="20">
        <v>3105</v>
      </c>
      <c r="P593" s="16">
        <f>VLOOKUP(A593,'[3]Price info'!A:H,8,FALSE)</f>
        <v>4.3291500000000003</v>
      </c>
      <c r="Q593" s="27">
        <f t="shared" si="37"/>
        <v>0.93099999999999994</v>
      </c>
      <c r="S593" s="16">
        <f>VLOOKUP(A593,[4]Sales!$E:$G,3,FALSE)</f>
        <v>45.540000000000006</v>
      </c>
      <c r="T593" s="19">
        <f>VLOOKUP(A593,[4]Volume!$E:$G,3,FALSE)</f>
        <v>10</v>
      </c>
      <c r="U593" s="19">
        <f>VLOOKUP(A593,[4]Piece!$E:$G,3,FALSE)</f>
        <v>10</v>
      </c>
      <c r="V593" s="21">
        <f t="shared" si="38"/>
        <v>43.291499999999999</v>
      </c>
      <c r="W593" s="16">
        <f t="shared" si="39"/>
        <v>-2.248500000000007</v>
      </c>
    </row>
    <row r="594" spans="1:23" hidden="1" x14ac:dyDescent="0.3">
      <c r="A594" s="22" t="s">
        <v>1198</v>
      </c>
      <c r="B594" s="22" t="s">
        <v>1198</v>
      </c>
      <c r="C594" s="23" t="s">
        <v>33</v>
      </c>
      <c r="D594" s="20" t="s">
        <v>34</v>
      </c>
      <c r="E594" s="22" t="s">
        <v>1199</v>
      </c>
      <c r="F594" s="24" t="str">
        <f t="shared" si="36"/>
        <v>PPG - Johnstones FLORTRED Black - 5ltr</v>
      </c>
      <c r="G594" s="23" t="s">
        <v>5468</v>
      </c>
      <c r="H594" s="25" t="s">
        <v>36</v>
      </c>
      <c r="I594" s="18" t="s">
        <v>37</v>
      </c>
      <c r="J594" s="18" t="s">
        <v>38</v>
      </c>
      <c r="K594" t="s">
        <v>39</v>
      </c>
      <c r="L594" s="26">
        <f>VLOOKUP(A594,'[3]Price info'!A:D,4,FALSE)</f>
        <v>22.63</v>
      </c>
      <c r="M594" s="18" t="s">
        <v>40</v>
      </c>
      <c r="N594" s="20">
        <v>3105</v>
      </c>
      <c r="P594" s="16">
        <f>VLOOKUP(A594,'[3]Price info'!A:H,8,FALSE)</f>
        <v>21.068529999999999</v>
      </c>
      <c r="Q594" s="27">
        <f t="shared" si="37"/>
        <v>0.93100000000000005</v>
      </c>
      <c r="S594" s="16">
        <f>VLOOKUP(A594,[4]Sales!$E:$G,3,FALSE)</f>
        <v>569</v>
      </c>
      <c r="T594" s="19">
        <f>VLOOKUP(A594,[4]Volume!$E:$G,3,FALSE)</f>
        <v>130</v>
      </c>
      <c r="U594" s="19">
        <f>VLOOKUP(A594,[4]Piece!$E:$G,3,FALSE)</f>
        <v>26</v>
      </c>
      <c r="V594" s="21">
        <f t="shared" si="38"/>
        <v>547.78178000000003</v>
      </c>
      <c r="W594" s="16">
        <f t="shared" si="39"/>
        <v>-21.218219999999974</v>
      </c>
    </row>
    <row r="595" spans="1:23" hidden="1" x14ac:dyDescent="0.3">
      <c r="A595" s="22" t="s">
        <v>1200</v>
      </c>
      <c r="B595" s="22" t="s">
        <v>1200</v>
      </c>
      <c r="C595" s="23" t="s">
        <v>33</v>
      </c>
      <c r="D595" s="20" t="s">
        <v>34</v>
      </c>
      <c r="E595" s="22" t="s">
        <v>1201</v>
      </c>
      <c r="F595" s="24" t="str">
        <f t="shared" si="36"/>
        <v>PPG - Johnstones AQUAGUARD - Mix - 1ltr</v>
      </c>
      <c r="G595" s="23" t="s">
        <v>5469</v>
      </c>
      <c r="H595" s="25" t="s">
        <v>36</v>
      </c>
      <c r="I595" s="18" t="s">
        <v>37</v>
      </c>
      <c r="J595" s="18" t="s">
        <v>38</v>
      </c>
      <c r="K595" t="s">
        <v>39</v>
      </c>
      <c r="L595" s="26">
        <f>VLOOKUP(A595,'[3]Price info'!A:D,4,FALSE)</f>
        <v>22.29</v>
      </c>
      <c r="M595" s="18" t="s">
        <v>40</v>
      </c>
      <c r="N595" s="20">
        <v>3105</v>
      </c>
      <c r="P595" s="16">
        <f>VLOOKUP(A595,'[3]Price info'!A:H,8,FALSE)</f>
        <v>17.829999999999998</v>
      </c>
      <c r="Q595" s="27">
        <f t="shared" si="37"/>
        <v>0.79991027366532075</v>
      </c>
      <c r="S595" s="16">
        <f>VLOOKUP(A595,[4]Sales!$E:$G,3,FALSE)</f>
        <v>251.98999999999998</v>
      </c>
      <c r="T595" s="19">
        <f>VLOOKUP(A595,[4]Volume!$E:$G,3,FALSE)</f>
        <v>14</v>
      </c>
      <c r="U595" s="19">
        <f>VLOOKUP(A595,[4]Piece!$E:$G,3,FALSE)</f>
        <v>14</v>
      </c>
      <c r="V595" s="21">
        <f t="shared" si="38"/>
        <v>249.61999999999998</v>
      </c>
      <c r="W595" s="16">
        <f t="shared" si="39"/>
        <v>-2.3700000000000045</v>
      </c>
    </row>
    <row r="596" spans="1:23" hidden="1" x14ac:dyDescent="0.3">
      <c r="A596" s="22" t="s">
        <v>1202</v>
      </c>
      <c r="B596" s="22" t="s">
        <v>1202</v>
      </c>
      <c r="C596" s="23" t="s">
        <v>33</v>
      </c>
      <c r="D596" s="20" t="s">
        <v>34</v>
      </c>
      <c r="E596" s="22" t="s">
        <v>1203</v>
      </c>
      <c r="F596" s="24" t="str">
        <f t="shared" si="36"/>
        <v>PPG - Johnstones  ACID ETCH - Clear - 5ltr</v>
      </c>
      <c r="G596" s="23" t="s">
        <v>5470</v>
      </c>
      <c r="H596" s="25" t="s">
        <v>36</v>
      </c>
      <c r="I596" s="18" t="s">
        <v>37</v>
      </c>
      <c r="J596" s="18" t="s">
        <v>38</v>
      </c>
      <c r="K596" t="s">
        <v>39</v>
      </c>
      <c r="L596" s="26">
        <f>VLOOKUP(A596,'[3]Price info'!A:D,4,FALSE)</f>
        <v>26.64</v>
      </c>
      <c r="M596" s="18" t="s">
        <v>40</v>
      </c>
      <c r="N596" s="20">
        <v>3105</v>
      </c>
      <c r="P596" s="16">
        <f>VLOOKUP(A596,'[3]Price info'!A:H,8,FALSE)</f>
        <v>24.801840000000002</v>
      </c>
      <c r="Q596" s="27">
        <f t="shared" si="37"/>
        <v>0.93100000000000005</v>
      </c>
      <c r="S596" s="16">
        <f>VLOOKUP(A596,[4]Sales!$E:$G,3,FALSE)</f>
        <v>0</v>
      </c>
      <c r="T596" s="19">
        <f>VLOOKUP(A596,[4]Volume!$E:$G,3,FALSE)</f>
        <v>0</v>
      </c>
      <c r="U596" s="19">
        <f>VLOOKUP(A596,[4]Piece!$E:$G,3,FALSE)</f>
        <v>0</v>
      </c>
      <c r="V596" s="21">
        <f t="shared" si="38"/>
        <v>0</v>
      </c>
      <c r="W596" s="16">
        <f t="shared" si="39"/>
        <v>0</v>
      </c>
    </row>
    <row r="597" spans="1:23" hidden="1" x14ac:dyDescent="0.3">
      <c r="A597" s="22" t="s">
        <v>1204</v>
      </c>
      <c r="B597" s="22" t="s">
        <v>1204</v>
      </c>
      <c r="C597" s="23" t="s">
        <v>33</v>
      </c>
      <c r="D597" s="20" t="s">
        <v>34</v>
      </c>
      <c r="E597" s="22" t="s">
        <v>1205</v>
      </c>
      <c r="F597" s="24" t="str">
        <f t="shared" si="36"/>
        <v>PPG - FatHog LIGHTWEIGHT FILLER 1L</v>
      </c>
      <c r="G597" s="23" t="s">
        <v>5471</v>
      </c>
      <c r="H597" s="25" t="s">
        <v>36</v>
      </c>
      <c r="I597" s="18" t="s">
        <v>37</v>
      </c>
      <c r="J597" s="18" t="s">
        <v>38</v>
      </c>
      <c r="K597" t="s">
        <v>39</v>
      </c>
      <c r="L597" s="26">
        <f>VLOOKUP(A597,'[3]Price info'!A:D,4,FALSE)</f>
        <v>5.24</v>
      </c>
      <c r="M597" s="18" t="s">
        <v>40</v>
      </c>
      <c r="N597" s="20">
        <v>3105</v>
      </c>
      <c r="P597" s="16">
        <f>VLOOKUP(A597,'[3]Price info'!A:H,8,FALSE)</f>
        <v>4.8784400000000003</v>
      </c>
      <c r="Q597" s="27">
        <f t="shared" si="37"/>
        <v>0.93100000000000005</v>
      </c>
      <c r="S597" s="16">
        <f>VLOOKUP(A597,[4]Sales!$E:$G,3,FALSE)</f>
        <v>12.76</v>
      </c>
      <c r="T597" s="19">
        <f>VLOOKUP(A597,[4]Volume!$E:$G,3,FALSE)</f>
        <v>3</v>
      </c>
      <c r="U597" s="19">
        <f>VLOOKUP(A597,[4]Piece!$E:$G,3,FALSE)</f>
        <v>3</v>
      </c>
      <c r="V597" s="21">
        <f t="shared" si="38"/>
        <v>14.63532</v>
      </c>
      <c r="W597" s="16">
        <f t="shared" si="39"/>
        <v>1.8753200000000003</v>
      </c>
    </row>
    <row r="598" spans="1:23" hidden="1" x14ac:dyDescent="0.3">
      <c r="A598" s="56" t="s">
        <v>1206</v>
      </c>
      <c r="B598" s="57" t="s">
        <v>1206</v>
      </c>
      <c r="C598" s="47" t="s">
        <v>33</v>
      </c>
      <c r="D598" s="48" t="s">
        <v>34</v>
      </c>
      <c r="E598" s="22" t="s">
        <v>1207</v>
      </c>
      <c r="F598" s="24" t="str">
        <f t="shared" si="36"/>
        <v>PPG - TESA MASK TAPE 50M X 38MM 4348</v>
      </c>
      <c r="G598" s="20" t="s">
        <v>5472</v>
      </c>
      <c r="H598" s="25" t="s">
        <v>36</v>
      </c>
      <c r="I598" s="18" t="s">
        <v>37</v>
      </c>
      <c r="J598" s="18" t="s">
        <v>38</v>
      </c>
      <c r="K598" t="s">
        <v>39</v>
      </c>
      <c r="L598" s="50">
        <v>3.65</v>
      </c>
      <c r="M598" s="18" t="s">
        <v>214</v>
      </c>
      <c r="N598" s="20">
        <v>3105</v>
      </c>
      <c r="P598" s="16">
        <f>VLOOKUP(A598,'[3]Price info'!A:H,8,FALSE)</f>
        <v>3.3981500000000002</v>
      </c>
      <c r="Q598" s="27">
        <f t="shared" si="37"/>
        <v>0.93100000000000005</v>
      </c>
      <c r="S598" s="16">
        <f>VLOOKUP(A598,[4]Sales!$E:$G,3,FALSE)</f>
        <v>23.72</v>
      </c>
      <c r="T598" s="19">
        <f>VLOOKUP(A598,[4]Volume!$E:$G,3,FALSE)</f>
        <v>6</v>
      </c>
      <c r="U598" s="19">
        <f>VLOOKUP(A598,[4]Piece!$E:$G,3,FALSE)</f>
        <v>6</v>
      </c>
      <c r="V598" s="21">
        <f t="shared" si="38"/>
        <v>20.3889</v>
      </c>
      <c r="W598" s="16">
        <f t="shared" si="39"/>
        <v>-3.3310999999999993</v>
      </c>
    </row>
    <row r="599" spans="1:23" hidden="1" x14ac:dyDescent="0.3">
      <c r="A599" s="22" t="s">
        <v>1208</v>
      </c>
      <c r="B599" s="22" t="s">
        <v>1208</v>
      </c>
      <c r="C599" s="23" t="s">
        <v>33</v>
      </c>
      <c r="D599" s="20" t="s">
        <v>34</v>
      </c>
      <c r="E599" s="22" t="s">
        <v>1209</v>
      </c>
      <c r="F599" s="24" t="str">
        <f t="shared" si="36"/>
        <v>PPG - Woodworks KNOTTING SOLUTION - 250ml</v>
      </c>
      <c r="G599" s="23" t="s">
        <v>5473</v>
      </c>
      <c r="H599" s="25" t="s">
        <v>36</v>
      </c>
      <c r="I599" s="18" t="s">
        <v>37</v>
      </c>
      <c r="J599" s="18" t="s">
        <v>38</v>
      </c>
      <c r="K599" t="s">
        <v>39</v>
      </c>
      <c r="L599" s="26">
        <f>VLOOKUP(A599,'[3]Price info'!A:D,4,FALSE)</f>
        <v>7.33</v>
      </c>
      <c r="M599" s="18" t="s">
        <v>40</v>
      </c>
      <c r="N599" s="20">
        <v>3105</v>
      </c>
      <c r="P599" s="16">
        <f>VLOOKUP(A599,'[3]Price info'!A:H,8,FALSE)</f>
        <v>6.82423</v>
      </c>
      <c r="Q599" s="27">
        <f t="shared" si="37"/>
        <v>0.93099999999999994</v>
      </c>
      <c r="S599" s="16">
        <f>VLOOKUP(A599,[4]Sales!$E:$G,3,FALSE)</f>
        <v>89.68</v>
      </c>
      <c r="T599" s="19">
        <f>VLOOKUP(A599,[4]Volume!$E:$G,3,FALSE)</f>
        <v>3.5</v>
      </c>
      <c r="U599" s="19">
        <f>VLOOKUP(A599,[4]Piece!$E:$G,3,FALSE)</f>
        <v>14</v>
      </c>
      <c r="V599" s="21">
        <f t="shared" si="38"/>
        <v>95.53922</v>
      </c>
      <c r="W599" s="16">
        <f t="shared" si="39"/>
        <v>5.8592199999999934</v>
      </c>
    </row>
    <row r="600" spans="1:23" hidden="1" x14ac:dyDescent="0.3">
      <c r="A600" s="22" t="s">
        <v>1210</v>
      </c>
      <c r="B600" s="22" t="s">
        <v>1210</v>
      </c>
      <c r="C600" s="23" t="s">
        <v>33</v>
      </c>
      <c r="D600" s="20" t="s">
        <v>34</v>
      </c>
      <c r="E600" s="22" t="s">
        <v>1211</v>
      </c>
      <c r="F600" s="24" t="str">
        <f t="shared" si="36"/>
        <v>PPG - ProGold MEDIUM PILE POLYESTER ROLLER 9"</v>
      </c>
      <c r="G600" s="23" t="s">
        <v>5474</v>
      </c>
      <c r="H600" s="25" t="s">
        <v>36</v>
      </c>
      <c r="I600" s="18" t="s">
        <v>37</v>
      </c>
      <c r="J600" s="18" t="s">
        <v>38</v>
      </c>
      <c r="K600" t="s">
        <v>39</v>
      </c>
      <c r="L600" s="26">
        <f>VLOOKUP(A600,'[3]Price info'!A:D,4,FALSE)</f>
        <v>1.25</v>
      </c>
      <c r="M600" s="18" t="s">
        <v>40</v>
      </c>
      <c r="N600" s="20">
        <v>3105</v>
      </c>
      <c r="P600" s="16">
        <f>VLOOKUP(A600,'[3]Price info'!A:H,8,FALSE)</f>
        <v>1.1637500000000001</v>
      </c>
      <c r="Q600" s="27">
        <f t="shared" si="37"/>
        <v>0.93100000000000005</v>
      </c>
      <c r="S600" s="16">
        <f>VLOOKUP(A600,[4]Sales!$E:$G,3,FALSE)</f>
        <v>236.34999999999997</v>
      </c>
      <c r="T600" s="19">
        <f>VLOOKUP(A600,[4]Volume!$E:$G,3,FALSE)</f>
        <v>217</v>
      </c>
      <c r="U600" s="19">
        <f>VLOOKUP(A600,[4]Piece!$E:$G,3,FALSE)</f>
        <v>217</v>
      </c>
      <c r="V600" s="21">
        <f t="shared" si="38"/>
        <v>252.53375000000003</v>
      </c>
      <c r="W600" s="16">
        <f t="shared" si="39"/>
        <v>16.18375000000006</v>
      </c>
    </row>
    <row r="601" spans="1:23" hidden="1" x14ac:dyDescent="0.3">
      <c r="A601" s="22" t="s">
        <v>1212</v>
      </c>
      <c r="B601" s="22" t="s">
        <v>1212</v>
      </c>
      <c r="C601" s="23" t="s">
        <v>33</v>
      </c>
      <c r="D601" s="20" t="s">
        <v>34</v>
      </c>
      <c r="E601" s="22" t="s">
        <v>1213</v>
      </c>
      <c r="F601" s="24" t="str">
        <f t="shared" si="36"/>
        <v>PPG - Leyland VINYL MATT - Mix - 2.5ltr</v>
      </c>
      <c r="G601" s="23" t="s">
        <v>5475</v>
      </c>
      <c r="H601" s="25" t="s">
        <v>36</v>
      </c>
      <c r="I601" s="18" t="s">
        <v>37</v>
      </c>
      <c r="J601" s="18" t="s">
        <v>38</v>
      </c>
      <c r="K601" t="s">
        <v>39</v>
      </c>
      <c r="L601" s="26">
        <f>VLOOKUP(A601,'[3]Price info'!A:D,4,FALSE)</f>
        <v>7.41</v>
      </c>
      <c r="M601" s="18" t="s">
        <v>40</v>
      </c>
      <c r="N601" s="20">
        <v>3105</v>
      </c>
      <c r="P601" s="16">
        <f>VLOOKUP(A601,'[3]Price info'!A:H,8,FALSE)</f>
        <v>5.91</v>
      </c>
      <c r="Q601" s="27">
        <f t="shared" si="37"/>
        <v>0.79757085020242913</v>
      </c>
      <c r="S601" s="16">
        <f>VLOOKUP(A601,[4]Sales!$E:$G,3,FALSE)</f>
        <v>53.250000000000007</v>
      </c>
      <c r="T601" s="19">
        <f>VLOOKUP(A601,[4]Volume!$E:$G,3,FALSE)</f>
        <v>22.5</v>
      </c>
      <c r="U601" s="19">
        <f>VLOOKUP(A601,[4]Piece!$E:$G,3,FALSE)</f>
        <v>9</v>
      </c>
      <c r="V601" s="21">
        <f t="shared" si="38"/>
        <v>53.19</v>
      </c>
      <c r="W601" s="16">
        <f t="shared" si="39"/>
        <v>-6.0000000000009379E-2</v>
      </c>
    </row>
    <row r="602" spans="1:23" hidden="1" x14ac:dyDescent="0.3">
      <c r="A602" s="46" t="s">
        <v>1214</v>
      </c>
      <c r="B602" s="46" t="s">
        <v>1214</v>
      </c>
      <c r="C602" s="47" t="s">
        <v>33</v>
      </c>
      <c r="D602" s="48" t="s">
        <v>34</v>
      </c>
      <c r="E602" s="18" t="s">
        <v>1215</v>
      </c>
      <c r="F602" s="24" t="str">
        <f t="shared" si="36"/>
        <v>PPG - CORAL PAPERWIZ</v>
      </c>
      <c r="G602" s="20" t="s">
        <v>5476</v>
      </c>
      <c r="H602" s="49" t="s">
        <v>213</v>
      </c>
      <c r="I602" s="18" t="s">
        <v>37</v>
      </c>
      <c r="J602" s="18" t="s">
        <v>38</v>
      </c>
      <c r="K602" t="s">
        <v>39</v>
      </c>
      <c r="L602" s="50">
        <f>VLOOKUP(A602,'[3]Price info'!A:D,4,FALSE)</f>
        <v>5.89</v>
      </c>
      <c r="M602" s="18" t="s">
        <v>214</v>
      </c>
      <c r="N602" s="20">
        <v>3105</v>
      </c>
      <c r="P602" s="16">
        <f>VLOOKUP(A602,'[3]Price info'!A:H,8,FALSE)</f>
        <v>5.4835900000000004</v>
      </c>
      <c r="Q602" s="17">
        <f t="shared" si="37"/>
        <v>0.93100000000000016</v>
      </c>
      <c r="S602" s="16">
        <f>VLOOKUP(A602,[4]Sales!$E:$G,3,FALSE)</f>
        <v>57.86</v>
      </c>
      <c r="T602" s="19">
        <f>VLOOKUP(A602,[4]Volume!$E:$G,3,FALSE)</f>
        <v>10</v>
      </c>
      <c r="U602" s="19">
        <f>VLOOKUP(A602,[4]Piece!$E:$G,3,FALSE)</f>
        <v>10</v>
      </c>
      <c r="V602" s="21">
        <f t="shared" si="38"/>
        <v>54.835900000000002</v>
      </c>
      <c r="W602" s="16">
        <f t="shared" si="39"/>
        <v>-3.0240999999999971</v>
      </c>
    </row>
    <row r="603" spans="1:23" hidden="1" x14ac:dyDescent="0.3">
      <c r="A603" s="46" t="s">
        <v>1216</v>
      </c>
      <c r="B603" s="46" t="s">
        <v>1216</v>
      </c>
      <c r="C603" s="51" t="s">
        <v>33</v>
      </c>
      <c r="D603" s="48" t="s">
        <v>34</v>
      </c>
      <c r="E603" s="18" t="s">
        <v>1217</v>
      </c>
      <c r="F603" s="24" t="str">
        <f t="shared" si="36"/>
        <v>PPG - PURDY COLOSSUS     12" ROLLER</v>
      </c>
      <c r="G603" s="20" t="s">
        <v>5477</v>
      </c>
      <c r="H603" s="49" t="s">
        <v>213</v>
      </c>
      <c r="I603" s="18" t="s">
        <v>37</v>
      </c>
      <c r="J603" s="18" t="s">
        <v>38</v>
      </c>
      <c r="K603" t="s">
        <v>39</v>
      </c>
      <c r="L603" s="50">
        <f>VLOOKUP(A603,'[3]Price info'!A:D,4,FALSE)</f>
        <v>9.31</v>
      </c>
      <c r="M603" s="18" t="s">
        <v>214</v>
      </c>
      <c r="N603" s="20">
        <v>3105</v>
      </c>
      <c r="P603" s="16">
        <f>VLOOKUP(A603,'[3]Price info'!A:H,8,FALSE)</f>
        <v>8.6676100000000016</v>
      </c>
      <c r="Q603" s="17">
        <f t="shared" si="37"/>
        <v>0.93100000000000016</v>
      </c>
      <c r="S603" s="16">
        <f>VLOOKUP(A603,[4]Sales!$E:$G,3,FALSE)</f>
        <v>351.93</v>
      </c>
      <c r="T603" s="19">
        <f>VLOOKUP(A603,[4]Volume!$E:$G,3,FALSE)</f>
        <v>39</v>
      </c>
      <c r="U603" s="19">
        <f>VLOOKUP(A603,[4]Piece!$E:$G,3,FALSE)</f>
        <v>39</v>
      </c>
      <c r="V603" s="21">
        <f t="shared" si="38"/>
        <v>338.03679000000005</v>
      </c>
      <c r="W603" s="16">
        <f t="shared" si="39"/>
        <v>-13.893209999999954</v>
      </c>
    </row>
    <row r="604" spans="1:23" hidden="1" x14ac:dyDescent="0.3">
      <c r="A604" s="22" t="s">
        <v>1218</v>
      </c>
      <c r="B604" s="22" t="s">
        <v>1218</v>
      </c>
      <c r="C604" s="23" t="s">
        <v>33</v>
      </c>
      <c r="D604" s="20" t="s">
        <v>34</v>
      </c>
      <c r="E604" s="22" t="s">
        <v>1219</v>
      </c>
      <c r="F604" s="24" t="str">
        <f t="shared" si="36"/>
        <v>PPG - Johnstones SMOOTH METAL - Mix - 800ml</v>
      </c>
      <c r="G604" s="23" t="s">
        <v>5478</v>
      </c>
      <c r="H604" s="25" t="s">
        <v>36</v>
      </c>
      <c r="I604" s="18" t="s">
        <v>37</v>
      </c>
      <c r="J604" s="18" t="s">
        <v>38</v>
      </c>
      <c r="K604" t="s">
        <v>39</v>
      </c>
      <c r="L604" s="26">
        <f>VLOOKUP(A604,'[3]Price info'!A:D,4,FALSE)</f>
        <v>18.850000000000001</v>
      </c>
      <c r="M604" s="18" t="s">
        <v>40</v>
      </c>
      <c r="N604" s="20">
        <v>3105</v>
      </c>
      <c r="P604" s="16">
        <f>VLOOKUP(A604,'[3]Price info'!A:H,8,FALSE)</f>
        <v>17.549350000000004</v>
      </c>
      <c r="Q604" s="27">
        <f t="shared" si="37"/>
        <v>0.93100000000000016</v>
      </c>
      <c r="S604" s="16">
        <f>VLOOKUP(A604,[4]Sales!$E:$G,3,FALSE)</f>
        <v>304.85000000000002</v>
      </c>
      <c r="T604" s="19">
        <f>VLOOKUP(A604,[4]Volume!$E:$G,3,FALSE)</f>
        <v>13.6</v>
      </c>
      <c r="U604" s="19">
        <f>VLOOKUP(A604,[4]Piece!$E:$G,3,FALSE)</f>
        <v>17</v>
      </c>
      <c r="V604" s="21">
        <f t="shared" si="38"/>
        <v>298.33895000000007</v>
      </c>
      <c r="W604" s="16">
        <f t="shared" si="39"/>
        <v>-6.5110499999999547</v>
      </c>
    </row>
    <row r="605" spans="1:23" hidden="1" x14ac:dyDescent="0.3">
      <c r="A605" s="22" t="s">
        <v>1220</v>
      </c>
      <c r="B605" s="22" t="s">
        <v>1220</v>
      </c>
      <c r="C605" s="23" t="s">
        <v>33</v>
      </c>
      <c r="D605" s="20" t="s">
        <v>34</v>
      </c>
      <c r="E605" s="22" t="s">
        <v>1221</v>
      </c>
      <c r="F605" s="24" t="str">
        <f t="shared" si="36"/>
        <v>PPG - Johnstones SMOOTH METAL - Black - 800ml</v>
      </c>
      <c r="G605" s="23" t="s">
        <v>5479</v>
      </c>
      <c r="H605" s="25" t="s">
        <v>36</v>
      </c>
      <c r="I605" s="18" t="s">
        <v>37</v>
      </c>
      <c r="J605" s="18" t="s">
        <v>38</v>
      </c>
      <c r="K605" t="s">
        <v>39</v>
      </c>
      <c r="L605" s="26">
        <f>VLOOKUP(A605,'[3]Price info'!A:D,4,FALSE)</f>
        <v>18.850000000000001</v>
      </c>
      <c r="M605" s="18" t="s">
        <v>40</v>
      </c>
      <c r="N605" s="20">
        <v>3105</v>
      </c>
      <c r="P605" s="16">
        <f>VLOOKUP(A605,'[3]Price info'!A:H,8,FALSE)</f>
        <v>17.549350000000004</v>
      </c>
      <c r="Q605" s="27">
        <f t="shared" si="37"/>
        <v>0.93100000000000016</v>
      </c>
      <c r="S605" s="16">
        <f>VLOOKUP(A605,[4]Sales!$E:$G,3,FALSE)</f>
        <v>91.65</v>
      </c>
      <c r="T605" s="19">
        <f>VLOOKUP(A605,[4]Volume!$E:$G,3,FALSE)</f>
        <v>4</v>
      </c>
      <c r="U605" s="19">
        <f>VLOOKUP(A605,[4]Piece!$E:$G,3,FALSE)</f>
        <v>5</v>
      </c>
      <c r="V605" s="21">
        <f t="shared" si="38"/>
        <v>87.74675000000002</v>
      </c>
      <c r="W605" s="16">
        <f t="shared" si="39"/>
        <v>-3.9032499999999857</v>
      </c>
    </row>
    <row r="606" spans="1:23" hidden="1" x14ac:dyDescent="0.3">
      <c r="A606" s="22" t="s">
        <v>1222</v>
      </c>
      <c r="B606" s="22" t="s">
        <v>1222</v>
      </c>
      <c r="C606" s="23" t="s">
        <v>33</v>
      </c>
      <c r="D606" s="20" t="s">
        <v>34</v>
      </c>
      <c r="E606" s="22" t="s">
        <v>1223</v>
      </c>
      <c r="F606" s="24" t="str">
        <f t="shared" si="36"/>
        <v>PPG - Johnstones SMOOTH METAL - White - 800ml</v>
      </c>
      <c r="G606" s="23" t="s">
        <v>5480</v>
      </c>
      <c r="H606" s="25" t="s">
        <v>36</v>
      </c>
      <c r="I606" s="18" t="s">
        <v>37</v>
      </c>
      <c r="J606" s="18" t="s">
        <v>38</v>
      </c>
      <c r="K606" t="s">
        <v>39</v>
      </c>
      <c r="L606" s="26">
        <f>VLOOKUP(A606,'[3]Price info'!A:D,4,FALSE)</f>
        <v>18.850000000000001</v>
      </c>
      <c r="M606" s="18" t="s">
        <v>40</v>
      </c>
      <c r="N606" s="20">
        <v>3105</v>
      </c>
      <c r="P606" s="16">
        <f>VLOOKUP(A606,'[3]Price info'!A:H,8,FALSE)</f>
        <v>17.549350000000004</v>
      </c>
      <c r="Q606" s="27">
        <f t="shared" si="37"/>
        <v>0.93100000000000016</v>
      </c>
      <c r="S606" s="16">
        <f>VLOOKUP(A606,[4]Sales!$E:$G,3,FALSE)</f>
        <v>128.05000000000001</v>
      </c>
      <c r="T606" s="19">
        <f>VLOOKUP(A606,[4]Volume!$E:$G,3,FALSE)</f>
        <v>5.6</v>
      </c>
      <c r="U606" s="19">
        <f>VLOOKUP(A606,[4]Piece!$E:$G,3,FALSE)</f>
        <v>7</v>
      </c>
      <c r="V606" s="21">
        <f t="shared" si="38"/>
        <v>122.84545000000003</v>
      </c>
      <c r="W606" s="16">
        <f t="shared" si="39"/>
        <v>-5.2045499999999834</v>
      </c>
    </row>
    <row r="607" spans="1:23" hidden="1" x14ac:dyDescent="0.3">
      <c r="A607" s="22" t="s">
        <v>1224</v>
      </c>
      <c r="B607" s="22" t="s">
        <v>1224</v>
      </c>
      <c r="C607" s="23" t="s">
        <v>33</v>
      </c>
      <c r="D607" s="20" t="s">
        <v>34</v>
      </c>
      <c r="E607" s="22" t="s">
        <v>1225</v>
      </c>
      <c r="F607" s="24" t="str">
        <f t="shared" si="36"/>
        <v>PPG - GORI 99 Opaque - Mix - 5ltr</v>
      </c>
      <c r="G607" s="23" t="s">
        <v>5481</v>
      </c>
      <c r="H607" s="25" t="s">
        <v>36</v>
      </c>
      <c r="I607" s="18" t="s">
        <v>37</v>
      </c>
      <c r="J607" s="18" t="s">
        <v>38</v>
      </c>
      <c r="K607" t="s">
        <v>39</v>
      </c>
      <c r="L607" s="26">
        <f>VLOOKUP(A607,'[3]Price info'!A:D,4,FALSE)</f>
        <v>75.81</v>
      </c>
      <c r="M607" s="18" t="s">
        <v>40</v>
      </c>
      <c r="N607" s="20">
        <v>3105</v>
      </c>
      <c r="P607" s="16">
        <f>VLOOKUP(A607,'[3]Price info'!A:H,8,FALSE)</f>
        <v>48</v>
      </c>
      <c r="Q607" s="27">
        <f t="shared" si="37"/>
        <v>0.63316185199841712</v>
      </c>
      <c r="S607" s="16">
        <f>VLOOKUP(A607,[4]Sales!$E:$G,3,FALSE)</f>
        <v>96</v>
      </c>
      <c r="T607" s="19">
        <f>VLOOKUP(A607,[4]Volume!$E:$G,3,FALSE)</f>
        <v>10</v>
      </c>
      <c r="U607" s="19">
        <f>VLOOKUP(A607,[4]Piece!$E:$G,3,FALSE)</f>
        <v>2</v>
      </c>
      <c r="V607" s="21">
        <f t="shared" si="38"/>
        <v>96</v>
      </c>
      <c r="W607" s="16">
        <f t="shared" si="39"/>
        <v>0</v>
      </c>
    </row>
    <row r="608" spans="1:23" hidden="1" x14ac:dyDescent="0.3">
      <c r="A608" s="22" t="s">
        <v>1226</v>
      </c>
      <c r="B608" s="22" t="s">
        <v>1226</v>
      </c>
      <c r="C608" s="23" t="s">
        <v>33</v>
      </c>
      <c r="D608" s="20" t="s">
        <v>34</v>
      </c>
      <c r="E608" s="22" t="s">
        <v>1227</v>
      </c>
      <c r="F608" s="24" t="str">
        <f t="shared" si="36"/>
        <v>PPG - FatHog BIB&amp;BRACE WHITE 40"-42"</v>
      </c>
      <c r="G608" s="23" t="s">
        <v>5482</v>
      </c>
      <c r="H608" s="25" t="s">
        <v>36</v>
      </c>
      <c r="I608" s="18" t="s">
        <v>37</v>
      </c>
      <c r="J608" s="18" t="s">
        <v>38</v>
      </c>
      <c r="K608" t="s">
        <v>39</v>
      </c>
      <c r="L608" s="26">
        <f>VLOOKUP(A608,'[3]Price info'!A:D,4,FALSE)</f>
        <v>11.56</v>
      </c>
      <c r="M608" s="18" t="s">
        <v>40</v>
      </c>
      <c r="N608" s="20">
        <v>3105</v>
      </c>
      <c r="P608" s="16">
        <f>VLOOKUP(A608,'[3]Price info'!A:H,8,FALSE)</f>
        <v>16.184000000000001</v>
      </c>
      <c r="Q608" s="27">
        <f t="shared" si="37"/>
        <v>1.4000000000000001</v>
      </c>
      <c r="S608" s="16">
        <f>VLOOKUP(A608,[4]Sales!$E:$G,3,FALSE)</f>
        <v>80.92</v>
      </c>
      <c r="T608" s="19">
        <f>VLOOKUP(A608,[4]Volume!$E:$G,3,FALSE)</f>
        <v>7</v>
      </c>
      <c r="U608" s="19">
        <f>VLOOKUP(A608,[4]Piece!$E:$G,3,FALSE)</f>
        <v>7</v>
      </c>
      <c r="V608" s="21">
        <f t="shared" si="38"/>
        <v>113.28800000000001</v>
      </c>
      <c r="W608" s="16">
        <f t="shared" si="39"/>
        <v>32.368000000000009</v>
      </c>
    </row>
    <row r="609" spans="1:23" hidden="1" x14ac:dyDescent="0.3">
      <c r="A609" s="22" t="s">
        <v>1228</v>
      </c>
      <c r="B609" s="22" t="s">
        <v>1228</v>
      </c>
      <c r="C609" s="23" t="s">
        <v>33</v>
      </c>
      <c r="D609" s="20" t="s">
        <v>34</v>
      </c>
      <c r="E609" s="22" t="s">
        <v>1229</v>
      </c>
      <c r="F609" s="24" t="str">
        <f t="shared" si="36"/>
        <v>PPG - Leyland VINYL SILK - Brill White - 10ltr</v>
      </c>
      <c r="G609" s="23" t="s">
        <v>5483</v>
      </c>
      <c r="H609" s="25" t="s">
        <v>36</v>
      </c>
      <c r="I609" s="18" t="s">
        <v>37</v>
      </c>
      <c r="J609" s="18" t="s">
        <v>38</v>
      </c>
      <c r="K609" t="s">
        <v>39</v>
      </c>
      <c r="L609" s="26">
        <f>VLOOKUP(A609,'[3]Price info'!A:D,4,FALSE)</f>
        <v>40.729999999999997</v>
      </c>
      <c r="M609" s="18" t="s">
        <v>40</v>
      </c>
      <c r="N609" s="20">
        <v>3105</v>
      </c>
      <c r="P609" s="16">
        <f>VLOOKUP(A609,'[3]Price info'!A:H,8,FALSE)</f>
        <v>26</v>
      </c>
      <c r="Q609" s="27">
        <f t="shared" si="37"/>
        <v>0.63835011048367307</v>
      </c>
      <c r="S609" s="16" t="e">
        <f>VLOOKUP(A609,[4]Sales!$E:$G,3,FALSE)</f>
        <v>#N/A</v>
      </c>
      <c r="T609" s="19" t="e">
        <f>VLOOKUP(A609,[4]Volume!$E:$G,3,FALSE)</f>
        <v>#N/A</v>
      </c>
      <c r="U609" s="19" t="e">
        <f>VLOOKUP(A609,[4]Piece!$E:$G,3,FALSE)</f>
        <v>#N/A</v>
      </c>
      <c r="V609" s="21" t="e">
        <f t="shared" si="38"/>
        <v>#N/A</v>
      </c>
      <c r="W609" s="16" t="e">
        <f t="shared" si="39"/>
        <v>#N/A</v>
      </c>
    </row>
    <row r="610" spans="1:23" hidden="1" x14ac:dyDescent="0.3">
      <c r="A610" s="46" t="s">
        <v>1230</v>
      </c>
      <c r="B610" s="46" t="s">
        <v>1230</v>
      </c>
      <c r="C610" s="47" t="s">
        <v>33</v>
      </c>
      <c r="D610" s="48" t="s">
        <v>34</v>
      </c>
      <c r="E610" s="93" t="s">
        <v>7386</v>
      </c>
      <c r="F610" s="24" t="str">
        <f t="shared" si="36"/>
        <v>PPG - Mirka Caratflex 115mm x 5m P320</v>
      </c>
      <c r="G610" s="20" t="s">
        <v>5484</v>
      </c>
      <c r="H610" s="49" t="s">
        <v>213</v>
      </c>
      <c r="I610" s="18" t="s">
        <v>37</v>
      </c>
      <c r="J610" s="18" t="s">
        <v>38</v>
      </c>
      <c r="K610" t="s">
        <v>39</v>
      </c>
      <c r="L610" s="50">
        <f>VLOOKUP(A610,'[3]Price info'!A:D,4,FALSE)</f>
        <v>11.07</v>
      </c>
      <c r="M610" s="18" t="s">
        <v>214</v>
      </c>
      <c r="N610" s="20">
        <v>3105</v>
      </c>
      <c r="P610" s="16">
        <v>3.26</v>
      </c>
      <c r="Q610" s="17">
        <f t="shared" si="37"/>
        <v>0.29448961156278225</v>
      </c>
      <c r="S610" s="16" t="e">
        <f>VLOOKUP(A610,[4]Sales!$E:$G,3,FALSE)</f>
        <v>#N/A</v>
      </c>
      <c r="T610" s="19" t="e">
        <f>VLOOKUP(A610,[4]Volume!$E:$G,3,FALSE)</f>
        <v>#N/A</v>
      </c>
      <c r="U610" s="19" t="e">
        <f>VLOOKUP(A610,[4]Piece!$E:$G,3,FALSE)</f>
        <v>#N/A</v>
      </c>
      <c r="V610" s="21" t="e">
        <f t="shared" si="38"/>
        <v>#N/A</v>
      </c>
      <c r="W610" s="16" t="e">
        <f t="shared" si="39"/>
        <v>#N/A</v>
      </c>
    </row>
    <row r="611" spans="1:23" hidden="1" x14ac:dyDescent="0.3">
      <c r="A611" s="46" t="s">
        <v>1231</v>
      </c>
      <c r="B611" s="46" t="s">
        <v>1231</v>
      </c>
      <c r="C611" s="47" t="s">
        <v>33</v>
      </c>
      <c r="D611" s="48" t="s">
        <v>34</v>
      </c>
      <c r="E611" s="18" t="s">
        <v>1232</v>
      </c>
      <c r="F611" s="24" t="str">
        <f t="shared" si="36"/>
        <v>PPG - PURDY XL MON ELITE 2" BRUSH</v>
      </c>
      <c r="G611" s="20" t="s">
        <v>5485</v>
      </c>
      <c r="H611" s="49" t="s">
        <v>213</v>
      </c>
      <c r="I611" s="18" t="s">
        <v>37</v>
      </c>
      <c r="J611" s="18" t="s">
        <v>38</v>
      </c>
      <c r="K611" t="s">
        <v>39</v>
      </c>
      <c r="L611" s="50">
        <f>VLOOKUP(A611,'[3]Price info'!A:D,4,FALSE)</f>
        <v>12.63</v>
      </c>
      <c r="M611" s="18" t="s">
        <v>214</v>
      </c>
      <c r="N611" s="20">
        <v>3105</v>
      </c>
      <c r="P611" s="16">
        <f>VLOOKUP(A611,'[3]Price info'!A:H,8,FALSE)</f>
        <v>11.758530000000002</v>
      </c>
      <c r="Q611" s="17">
        <f t="shared" si="37"/>
        <v>0.93100000000000016</v>
      </c>
      <c r="S611" s="16">
        <f>VLOOKUP(A611,[4]Sales!$E:$G,3,FALSE)</f>
        <v>86.67</v>
      </c>
      <c r="T611" s="19">
        <f>VLOOKUP(A611,[4]Volume!$E:$G,3,FALSE)</f>
        <v>7</v>
      </c>
      <c r="U611" s="19">
        <f>VLOOKUP(A611,[4]Piece!$E:$G,3,FALSE)</f>
        <v>7</v>
      </c>
      <c r="V611" s="21">
        <f t="shared" si="38"/>
        <v>82.30971000000001</v>
      </c>
      <c r="W611" s="16">
        <f t="shared" si="39"/>
        <v>-4.360289999999992</v>
      </c>
    </row>
    <row r="612" spans="1:23" hidden="1" x14ac:dyDescent="0.3">
      <c r="A612" s="46" t="s">
        <v>1233</v>
      </c>
      <c r="B612" s="46" t="s">
        <v>1233</v>
      </c>
      <c r="C612" s="51" t="s">
        <v>33</v>
      </c>
      <c r="D612" s="48" t="s">
        <v>34</v>
      </c>
      <c r="E612" s="18" t="s">
        <v>1234</v>
      </c>
      <c r="F612" s="24" t="str">
        <f t="shared" si="36"/>
        <v>PPG - ZINSR BULLSEYE 123 PLUS       0000001500</v>
      </c>
      <c r="G612" s="20" t="s">
        <v>5486</v>
      </c>
      <c r="H612" s="49" t="s">
        <v>213</v>
      </c>
      <c r="I612" s="18" t="s">
        <v>37</v>
      </c>
      <c r="J612" s="18" t="s">
        <v>38</v>
      </c>
      <c r="K612" t="s">
        <v>39</v>
      </c>
      <c r="L612" s="50">
        <f>VLOOKUP(A612,'[3]Price info'!A:D,4,FALSE)</f>
        <v>111.59</v>
      </c>
      <c r="M612" s="18" t="s">
        <v>214</v>
      </c>
      <c r="N612" s="20">
        <v>3105</v>
      </c>
      <c r="P612" s="16">
        <f>VLOOKUP(A612,'[3]Price info'!A:H,8,FALSE)</f>
        <v>103.89029000000001</v>
      </c>
      <c r="Q612" s="17">
        <f t="shared" si="37"/>
        <v>0.93100000000000005</v>
      </c>
      <c r="S612" s="16">
        <f>VLOOKUP(A612,[4]Sales!$E:$G,3,FALSE)</f>
        <v>186.42000000000002</v>
      </c>
      <c r="T612" s="19">
        <f>VLOOKUP(A612,[4]Volume!$E:$G,3,FALSE)</f>
        <v>10</v>
      </c>
      <c r="U612" s="19">
        <f>VLOOKUP(A612,[4]Piece!$E:$G,3,FALSE)</f>
        <v>2</v>
      </c>
      <c r="V612" s="21">
        <f t="shared" si="38"/>
        <v>207.78058000000001</v>
      </c>
      <c r="W612" s="16">
        <f t="shared" si="39"/>
        <v>21.360579999999999</v>
      </c>
    </row>
    <row r="613" spans="1:23" hidden="1" x14ac:dyDescent="0.3">
      <c r="A613" s="22" t="s">
        <v>1235</v>
      </c>
      <c r="B613" s="22" t="s">
        <v>1235</v>
      </c>
      <c r="C613" s="23" t="s">
        <v>33</v>
      </c>
      <c r="D613" s="20" t="s">
        <v>34</v>
      </c>
      <c r="E613" s="22" t="s">
        <v>1236</v>
      </c>
      <c r="F613" s="24" t="str">
        <f t="shared" si="36"/>
        <v>PPG - ProGold CLASSIC HYBRID BRUSH 3"</v>
      </c>
      <c r="G613" s="23" t="s">
        <v>5487</v>
      </c>
      <c r="H613" s="25" t="s">
        <v>36</v>
      </c>
      <c r="I613" s="18" t="s">
        <v>37</v>
      </c>
      <c r="J613" s="18" t="s">
        <v>38</v>
      </c>
      <c r="K613" t="s">
        <v>39</v>
      </c>
      <c r="L613" s="26">
        <f>VLOOKUP(A613,'[3]Price info'!A:D,4,FALSE)</f>
        <v>3.59</v>
      </c>
      <c r="M613" s="18" t="s">
        <v>40</v>
      </c>
      <c r="N613" s="20">
        <v>3105</v>
      </c>
      <c r="P613" s="16">
        <f>VLOOKUP(A613,'[3]Price info'!A:H,8,FALSE)</f>
        <v>3.3422900000000002</v>
      </c>
      <c r="Q613" s="27">
        <f t="shared" si="37"/>
        <v>0.93100000000000005</v>
      </c>
      <c r="S613" s="16">
        <f>VLOOKUP(A613,[4]Sales!$E:$G,3,FALSE)</f>
        <v>52.08</v>
      </c>
      <c r="T613" s="19">
        <f>VLOOKUP(A613,[4]Volume!$E:$G,3,FALSE)</f>
        <v>17</v>
      </c>
      <c r="U613" s="19">
        <f>VLOOKUP(A613,[4]Piece!$E:$G,3,FALSE)</f>
        <v>17</v>
      </c>
      <c r="V613" s="21">
        <f t="shared" si="38"/>
        <v>56.818930000000002</v>
      </c>
      <c r="W613" s="16">
        <f t="shared" si="39"/>
        <v>4.7389300000000034</v>
      </c>
    </row>
    <row r="614" spans="1:23" hidden="1" x14ac:dyDescent="0.3">
      <c r="A614" s="22" t="s">
        <v>1237</v>
      </c>
      <c r="B614" s="22" t="s">
        <v>1237</v>
      </c>
      <c r="C614" s="23" t="s">
        <v>33</v>
      </c>
      <c r="D614" s="20" t="s">
        <v>34</v>
      </c>
      <c r="E614" s="22" t="s">
        <v>1238</v>
      </c>
      <c r="F614" s="24" t="str">
        <f t="shared" si="36"/>
        <v>PPG - Leyland TRUGARD PLIOLITE - Mushroom - 5ltr</v>
      </c>
      <c r="G614" s="23" t="s">
        <v>5488</v>
      </c>
      <c r="H614" s="25" t="s">
        <v>36</v>
      </c>
      <c r="I614" s="18" t="s">
        <v>37</v>
      </c>
      <c r="J614" s="18" t="s">
        <v>38</v>
      </c>
      <c r="K614" t="s">
        <v>39</v>
      </c>
      <c r="L614" s="26">
        <f>VLOOKUP(A614,'[3]Price info'!A:D,4,FALSE)</f>
        <v>18.010000000000002</v>
      </c>
      <c r="M614" s="18" t="s">
        <v>40</v>
      </c>
      <c r="N614" s="20">
        <v>3105</v>
      </c>
      <c r="P614" s="16">
        <f>VLOOKUP(A614,'[3]Price info'!A:H,8,FALSE)</f>
        <v>21.61</v>
      </c>
      <c r="Q614" s="27">
        <f t="shared" si="37"/>
        <v>1.1998889505830093</v>
      </c>
      <c r="S614" s="16" t="e">
        <f>VLOOKUP(A614,[4]Sales!$E:$G,3,FALSE)</f>
        <v>#N/A</v>
      </c>
      <c r="T614" s="19" t="e">
        <f>VLOOKUP(A614,[4]Volume!$E:$G,3,FALSE)</f>
        <v>#N/A</v>
      </c>
      <c r="U614" s="19" t="e">
        <f>VLOOKUP(A614,[4]Piece!$E:$G,3,FALSE)</f>
        <v>#N/A</v>
      </c>
      <c r="V614" s="21" t="e">
        <f t="shared" si="38"/>
        <v>#N/A</v>
      </c>
      <c r="W614" s="16" t="e">
        <f t="shared" si="39"/>
        <v>#N/A</v>
      </c>
    </row>
    <row r="615" spans="1:23" hidden="1" x14ac:dyDescent="0.3">
      <c r="A615" s="22" t="s">
        <v>1239</v>
      </c>
      <c r="B615" s="22" t="s">
        <v>1239</v>
      </c>
      <c r="C615" s="23" t="s">
        <v>33</v>
      </c>
      <c r="D615" s="20" t="s">
        <v>34</v>
      </c>
      <c r="E615" s="22" t="s">
        <v>1240</v>
      </c>
      <c r="F615" s="24" t="str">
        <f t="shared" si="36"/>
        <v>PPG - Johnstones COVAPLUS - Magnolia - 2.5ltr</v>
      </c>
      <c r="G615" s="23" t="s">
        <v>5489</v>
      </c>
      <c r="H615" s="25" t="s">
        <v>36</v>
      </c>
      <c r="I615" s="18" t="s">
        <v>37</v>
      </c>
      <c r="J615" s="18" t="s">
        <v>38</v>
      </c>
      <c r="K615" t="s">
        <v>39</v>
      </c>
      <c r="L615" s="26">
        <f>VLOOKUP(A615,'[3]Price info'!A:D,4,FALSE)</f>
        <v>9.43</v>
      </c>
      <c r="M615" s="18" t="s">
        <v>40</v>
      </c>
      <c r="N615" s="20">
        <v>3105</v>
      </c>
      <c r="P615" s="16">
        <f>VLOOKUP(A615,'[3]Price info'!A:H,8,FALSE)</f>
        <v>5.98</v>
      </c>
      <c r="Q615" s="27">
        <f t="shared" si="37"/>
        <v>0.63414634146341475</v>
      </c>
      <c r="S615" s="16">
        <f>VLOOKUP(A615,[4]Sales!$E:$G,3,FALSE)</f>
        <v>36.799999999999997</v>
      </c>
      <c r="T615" s="19">
        <f>VLOOKUP(A615,[4]Volume!$E:$G,3,FALSE)</f>
        <v>12.5</v>
      </c>
      <c r="U615" s="19">
        <f>VLOOKUP(A615,[4]Piece!$E:$G,3,FALSE)</f>
        <v>5</v>
      </c>
      <c r="V615" s="21">
        <f t="shared" si="38"/>
        <v>29.900000000000002</v>
      </c>
      <c r="W615" s="16">
        <f t="shared" si="39"/>
        <v>-6.899999999999995</v>
      </c>
    </row>
    <row r="616" spans="1:23" hidden="1" x14ac:dyDescent="0.3">
      <c r="A616" s="46" t="s">
        <v>1241</v>
      </c>
      <c r="B616" s="46" t="s">
        <v>1241</v>
      </c>
      <c r="C616" s="47" t="s">
        <v>33</v>
      </c>
      <c r="D616" s="48" t="s">
        <v>34</v>
      </c>
      <c r="E616" s="18" t="s">
        <v>1242</v>
      </c>
      <c r="F616" s="24" t="str">
        <f t="shared" si="36"/>
        <v>PPG - PURDY COLOSSUS     9" ROLLER</v>
      </c>
      <c r="G616" s="20" t="s">
        <v>5490</v>
      </c>
      <c r="H616" s="49" t="s">
        <v>213</v>
      </c>
      <c r="I616" s="18" t="s">
        <v>37</v>
      </c>
      <c r="J616" s="18" t="s">
        <v>38</v>
      </c>
      <c r="K616" t="s">
        <v>39</v>
      </c>
      <c r="L616" s="50">
        <f>VLOOKUP(A616,'[3]Price info'!A:D,4,FALSE)</f>
        <v>5.23</v>
      </c>
      <c r="M616" s="18" t="s">
        <v>214</v>
      </c>
      <c r="N616" s="20">
        <v>3105</v>
      </c>
      <c r="P616" s="16">
        <f>VLOOKUP(A616,'[3]Price info'!A:H,8,FALSE)</f>
        <v>4.8691300000000011</v>
      </c>
      <c r="Q616" s="17">
        <f t="shared" si="37"/>
        <v>0.93100000000000016</v>
      </c>
      <c r="S616" s="16">
        <f>VLOOKUP(A616,[4]Sales!$E:$G,3,FALSE)</f>
        <v>403.28000000000026</v>
      </c>
      <c r="T616" s="19">
        <f>VLOOKUP(A616,[4]Volume!$E:$G,3,FALSE)</f>
        <v>0</v>
      </c>
      <c r="U616" s="19">
        <f>VLOOKUP(A616,[4]Piece!$E:$G,3,FALSE)</f>
        <v>82</v>
      </c>
      <c r="V616" s="21">
        <f t="shared" si="38"/>
        <v>399.26866000000007</v>
      </c>
      <c r="W616" s="16">
        <f t="shared" si="39"/>
        <v>-4.0113400000001889</v>
      </c>
    </row>
    <row r="617" spans="1:23" hidden="1" x14ac:dyDescent="0.3">
      <c r="A617" s="22" t="s">
        <v>1243</v>
      </c>
      <c r="B617" s="22" t="s">
        <v>1243</v>
      </c>
      <c r="C617" s="23" t="s">
        <v>33</v>
      </c>
      <c r="D617" s="20" t="s">
        <v>34</v>
      </c>
      <c r="E617" s="22" t="s">
        <v>1244</v>
      </c>
      <c r="F617" s="24" t="str">
        <f t="shared" si="36"/>
        <v>PPG - HARRIS &amp; HAMILTON STRIPPING KNIFE - 3''</v>
      </c>
      <c r="G617" s="23" t="s">
        <v>5491</v>
      </c>
      <c r="H617" s="25" t="s">
        <v>36</v>
      </c>
      <c r="I617" s="18" t="s">
        <v>37</v>
      </c>
      <c r="J617" s="18" t="s">
        <v>38</v>
      </c>
      <c r="K617" t="s">
        <v>39</v>
      </c>
      <c r="L617" s="26">
        <f>VLOOKUP(A617,'[3]Price info'!A:D,4,FALSE)</f>
        <v>6.61</v>
      </c>
      <c r="M617" s="18" t="s">
        <v>40</v>
      </c>
      <c r="N617" s="20">
        <v>3105</v>
      </c>
      <c r="P617" s="16">
        <f>VLOOKUP(A617,'[3]Price info'!A:H,8,FALSE)</f>
        <v>6.1539100000000007</v>
      </c>
      <c r="Q617" s="27">
        <f t="shared" si="37"/>
        <v>0.93100000000000005</v>
      </c>
      <c r="S617" s="16">
        <f>VLOOKUP(A617,[4]Sales!$E:$G,3,FALSE)</f>
        <v>164.30999999999997</v>
      </c>
      <c r="T617" s="19">
        <f>VLOOKUP(A617,[4]Volume!$E:$G,3,FALSE)</f>
        <v>31</v>
      </c>
      <c r="U617" s="19">
        <f>VLOOKUP(A617,[4]Piece!$E:$G,3,FALSE)</f>
        <v>31</v>
      </c>
      <c r="V617" s="21">
        <f t="shared" si="38"/>
        <v>190.77121000000002</v>
      </c>
      <c r="W617" s="16">
        <f t="shared" si="39"/>
        <v>26.461210000000051</v>
      </c>
    </row>
    <row r="618" spans="1:23" hidden="1" x14ac:dyDescent="0.3">
      <c r="A618" s="22" t="s">
        <v>1245</v>
      </c>
      <c r="B618" s="22" t="s">
        <v>1245</v>
      </c>
      <c r="C618" s="23" t="s">
        <v>33</v>
      </c>
      <c r="D618" s="20" t="s">
        <v>34</v>
      </c>
      <c r="E618" s="22" t="s">
        <v>1246</v>
      </c>
      <c r="F618" s="24" t="str">
        <f t="shared" si="36"/>
        <v>PPG - FatHog TROUSERS WHITE 36"</v>
      </c>
      <c r="G618" s="23" t="s">
        <v>5492</v>
      </c>
      <c r="H618" s="25" t="s">
        <v>36</v>
      </c>
      <c r="I618" s="18" t="s">
        <v>37</v>
      </c>
      <c r="J618" s="18" t="s">
        <v>38</v>
      </c>
      <c r="K618" t="s">
        <v>39</v>
      </c>
      <c r="L618" s="26">
        <f>VLOOKUP(A618,'[3]Price info'!A:D,4,FALSE)</f>
        <v>11.96</v>
      </c>
      <c r="M618" s="18" t="s">
        <v>40</v>
      </c>
      <c r="N618" s="20">
        <v>3105</v>
      </c>
      <c r="P618" s="16">
        <f>VLOOKUP(A618,'[3]Price info'!A:H,8,FALSE)</f>
        <v>13.156000000000002</v>
      </c>
      <c r="Q618" s="27">
        <f t="shared" si="37"/>
        <v>1.1000000000000001</v>
      </c>
      <c r="S618" s="16">
        <f>VLOOKUP(A618,[4]Sales!$E:$G,3,FALSE)</f>
        <v>72.960000000000008</v>
      </c>
      <c r="T618" s="19">
        <f>VLOOKUP(A618,[4]Volume!$E:$G,3,FALSE)</f>
        <v>6</v>
      </c>
      <c r="U618" s="19">
        <f>VLOOKUP(A618,[4]Piece!$E:$G,3,FALSE)</f>
        <v>6</v>
      </c>
      <c r="V618" s="21">
        <f t="shared" si="38"/>
        <v>78.936000000000007</v>
      </c>
      <c r="W618" s="16">
        <f t="shared" si="39"/>
        <v>5.9759999999999991</v>
      </c>
    </row>
    <row r="619" spans="1:23" hidden="1" x14ac:dyDescent="0.3">
      <c r="A619" s="22" t="s">
        <v>1247</v>
      </c>
      <c r="B619" s="22" t="s">
        <v>1247</v>
      </c>
      <c r="C619" s="23" t="s">
        <v>33</v>
      </c>
      <c r="D619" s="20" t="s">
        <v>34</v>
      </c>
      <c r="E619" s="22" t="s">
        <v>1248</v>
      </c>
      <c r="F619" s="24" t="str">
        <f t="shared" si="36"/>
        <v>PPG - ProGold PREMIUM BRISTLE BRUSH 1.5"</v>
      </c>
      <c r="G619" s="23" t="s">
        <v>5493</v>
      </c>
      <c r="H619" s="25" t="s">
        <v>36</v>
      </c>
      <c r="I619" s="18" t="s">
        <v>37</v>
      </c>
      <c r="J619" s="18" t="s">
        <v>38</v>
      </c>
      <c r="K619" t="s">
        <v>39</v>
      </c>
      <c r="L619" s="26">
        <f>VLOOKUP(A619,'[3]Price info'!A:D,4,FALSE)</f>
        <v>8.83</v>
      </c>
      <c r="M619" s="18" t="s">
        <v>40</v>
      </c>
      <c r="N619" s="20">
        <v>3105</v>
      </c>
      <c r="P619" s="16">
        <f>VLOOKUP(A619,'[3]Price info'!A:H,8,FALSE)</f>
        <v>8.2207299999999996</v>
      </c>
      <c r="Q619" s="27">
        <f t="shared" si="37"/>
        <v>0.93099999999999994</v>
      </c>
      <c r="S619" s="16">
        <f>VLOOKUP(A619,[4]Sales!$E:$G,3,FALSE)</f>
        <v>118.74000000000001</v>
      </c>
      <c r="T619" s="19">
        <f>VLOOKUP(A619,[4]Volume!$E:$G,3,FALSE)</f>
        <v>14</v>
      </c>
      <c r="U619" s="19">
        <f>VLOOKUP(A619,[4]Piece!$E:$G,3,FALSE)</f>
        <v>14</v>
      </c>
      <c r="V619" s="21">
        <f t="shared" si="38"/>
        <v>115.09021999999999</v>
      </c>
      <c r="W619" s="16">
        <f t="shared" si="39"/>
        <v>-3.6497800000000211</v>
      </c>
    </row>
    <row r="620" spans="1:23" hidden="1" x14ac:dyDescent="0.3">
      <c r="A620" s="22" t="s">
        <v>1249</v>
      </c>
      <c r="B620" s="22" t="s">
        <v>1249</v>
      </c>
      <c r="C620" s="23" t="s">
        <v>33</v>
      </c>
      <c r="D620" s="20" t="s">
        <v>34</v>
      </c>
      <c r="E620" s="22" t="s">
        <v>1250</v>
      </c>
      <c r="F620" s="24" t="str">
        <f t="shared" si="36"/>
        <v>PPG - HARRIS &amp; HAMILTON FILLING KNIFE -  - 3''ltr</v>
      </c>
      <c r="G620" s="23" t="s">
        <v>5494</v>
      </c>
      <c r="H620" s="25" t="s">
        <v>36</v>
      </c>
      <c r="I620" s="18" t="s">
        <v>37</v>
      </c>
      <c r="J620" s="18" t="s">
        <v>38</v>
      </c>
      <c r="K620" t="s">
        <v>39</v>
      </c>
      <c r="L620" s="26">
        <f>VLOOKUP(A620,'[3]Price info'!A:D,4,FALSE)</f>
        <v>6.61</v>
      </c>
      <c r="M620" s="18" t="s">
        <v>40</v>
      </c>
      <c r="N620" s="20">
        <v>3105</v>
      </c>
      <c r="P620" s="16">
        <f>VLOOKUP(A620,'[3]Price info'!A:H,8,FALSE)</f>
        <v>6.1539100000000007</v>
      </c>
      <c r="Q620" s="27">
        <f t="shared" si="37"/>
        <v>0.93100000000000005</v>
      </c>
      <c r="S620" s="16">
        <f>VLOOKUP(A620,[4]Sales!$E:$G,3,FALSE)</f>
        <v>121.91</v>
      </c>
      <c r="T620" s="19">
        <f>VLOOKUP(A620,[4]Volume!$E:$G,3,FALSE)</f>
        <v>22</v>
      </c>
      <c r="U620" s="19">
        <f>VLOOKUP(A620,[4]Piece!$E:$G,3,FALSE)</f>
        <v>22</v>
      </c>
      <c r="V620" s="21">
        <f t="shared" si="38"/>
        <v>135.38602</v>
      </c>
      <c r="W620" s="16">
        <f t="shared" si="39"/>
        <v>13.476020000000005</v>
      </c>
    </row>
    <row r="621" spans="1:23" hidden="1" x14ac:dyDescent="0.3">
      <c r="A621" s="22" t="s">
        <v>1251</v>
      </c>
      <c r="B621" s="22" t="s">
        <v>1251</v>
      </c>
      <c r="C621" s="23" t="s">
        <v>33</v>
      </c>
      <c r="D621" s="20" t="s">
        <v>34</v>
      </c>
      <c r="E621" s="22" t="s">
        <v>1252</v>
      </c>
      <c r="F621" s="24" t="str">
        <f t="shared" si="36"/>
        <v>PPG - Johnstones AQUA GLOSS - Black - 1ltr</v>
      </c>
      <c r="G621" s="23" t="s">
        <v>5495</v>
      </c>
      <c r="H621" s="25" t="s">
        <v>36</v>
      </c>
      <c r="I621" s="18" t="s">
        <v>37</v>
      </c>
      <c r="J621" s="18" t="s">
        <v>38</v>
      </c>
      <c r="K621" t="s">
        <v>39</v>
      </c>
      <c r="L621" s="26">
        <f>VLOOKUP(A621,'[3]Price info'!A:D,4,FALSE)</f>
        <v>11.92</v>
      </c>
      <c r="M621" s="18" t="s">
        <v>40</v>
      </c>
      <c r="N621" s="20">
        <v>3105</v>
      </c>
      <c r="P621" s="16">
        <f>VLOOKUP(A621,'[3]Price info'!A:H,8,FALSE)</f>
        <v>11.92</v>
      </c>
      <c r="Q621" s="27">
        <f t="shared" si="37"/>
        <v>1</v>
      </c>
      <c r="S621" s="16">
        <f>VLOOKUP(A621,[4]Sales!$E:$G,3,FALSE)</f>
        <v>23.839999999999996</v>
      </c>
      <c r="T621" s="19">
        <f>VLOOKUP(A621,[4]Volume!$E:$G,3,FALSE)</f>
        <v>2</v>
      </c>
      <c r="U621" s="19">
        <f>VLOOKUP(A621,[4]Piece!$E:$G,3,FALSE)</f>
        <v>2</v>
      </c>
      <c r="V621" s="21">
        <f t="shared" si="38"/>
        <v>23.84</v>
      </c>
      <c r="W621" s="16">
        <f t="shared" si="39"/>
        <v>0</v>
      </c>
    </row>
    <row r="622" spans="1:23" hidden="1" x14ac:dyDescent="0.3">
      <c r="A622" s="58" t="s">
        <v>1253</v>
      </c>
      <c r="B622" s="58" t="s">
        <v>1253</v>
      </c>
      <c r="C622" s="51" t="s">
        <v>33</v>
      </c>
      <c r="D622" s="48" t="s">
        <v>34</v>
      </c>
      <c r="E622" s="22" t="s">
        <v>1254</v>
      </c>
      <c r="F622" s="24" t="str">
        <f t="shared" si="36"/>
        <v>PPG - Stormshield SILICONE MASONRY - BW - 5ltr</v>
      </c>
      <c r="G622" s="20" t="s">
        <v>5496</v>
      </c>
      <c r="H622" s="49" t="s">
        <v>213</v>
      </c>
      <c r="I622" s="18" t="s">
        <v>37</v>
      </c>
      <c r="J622" s="18" t="s">
        <v>38</v>
      </c>
      <c r="K622" t="s">
        <v>39</v>
      </c>
      <c r="L622" s="50">
        <v>52.95</v>
      </c>
      <c r="M622" s="18" t="s">
        <v>214</v>
      </c>
      <c r="N622" s="20">
        <v>3105</v>
      </c>
      <c r="P622" s="16">
        <f>VLOOKUP(A622,'[3]Price info'!A:H,8,FALSE)</f>
        <v>52.95</v>
      </c>
      <c r="Q622" s="17">
        <f t="shared" si="37"/>
        <v>1</v>
      </c>
      <c r="S622" s="16">
        <f>VLOOKUP(A622,[4]Sales!$E:$G,3,FALSE)</f>
        <v>2612.1299999999997</v>
      </c>
      <c r="T622" s="19">
        <f>VLOOKUP(A622,[4]Volume!$E:$G,3,FALSE)</f>
        <v>235</v>
      </c>
      <c r="U622" s="19">
        <f>VLOOKUP(A622,[4]Piece!$E:$G,3,FALSE)</f>
        <v>47</v>
      </c>
      <c r="V622" s="21">
        <f t="shared" si="38"/>
        <v>2488.65</v>
      </c>
      <c r="W622" s="16">
        <f t="shared" si="39"/>
        <v>-123.47999999999956</v>
      </c>
    </row>
    <row r="623" spans="1:23" hidden="1" x14ac:dyDescent="0.3">
      <c r="A623" s="22" t="s">
        <v>1255</v>
      </c>
      <c r="B623" s="22" t="s">
        <v>1255</v>
      </c>
      <c r="C623" s="23" t="s">
        <v>33</v>
      </c>
      <c r="D623" s="20" t="s">
        <v>34</v>
      </c>
      <c r="E623" s="22" t="s">
        <v>1256</v>
      </c>
      <c r="F623" s="24" t="str">
        <f t="shared" si="36"/>
        <v>PPG - FatHog TROUSERS WHITE 32"</v>
      </c>
      <c r="G623" s="23" t="s">
        <v>5497</v>
      </c>
      <c r="H623" s="25" t="s">
        <v>36</v>
      </c>
      <c r="I623" s="18" t="s">
        <v>37</v>
      </c>
      <c r="J623" s="18" t="s">
        <v>38</v>
      </c>
      <c r="K623" t="s">
        <v>39</v>
      </c>
      <c r="L623" s="26">
        <f>VLOOKUP(A623,'[3]Price info'!A:D,4,FALSE)</f>
        <v>11.96</v>
      </c>
      <c r="M623" s="18" t="s">
        <v>40</v>
      </c>
      <c r="N623" s="20">
        <v>3105</v>
      </c>
      <c r="P623" s="16">
        <f>VLOOKUP(A623,'[3]Price info'!A:H,8,FALSE)</f>
        <v>13.156000000000002</v>
      </c>
      <c r="Q623" s="27">
        <f t="shared" si="37"/>
        <v>1.1000000000000001</v>
      </c>
      <c r="S623" s="16">
        <f>VLOOKUP(A623,[4]Sales!$E:$G,3,FALSE)</f>
        <v>50.24</v>
      </c>
      <c r="T623" s="19">
        <f>VLOOKUP(A623,[4]Volume!$E:$G,3,FALSE)</f>
        <v>4</v>
      </c>
      <c r="U623" s="19">
        <f>VLOOKUP(A623,[4]Piece!$E:$G,3,FALSE)</f>
        <v>4</v>
      </c>
      <c r="V623" s="21">
        <f t="shared" si="38"/>
        <v>52.624000000000009</v>
      </c>
      <c r="W623" s="16">
        <f t="shared" si="39"/>
        <v>2.3840000000000074</v>
      </c>
    </row>
    <row r="624" spans="1:23" hidden="1" x14ac:dyDescent="0.3">
      <c r="A624" s="22" t="s">
        <v>1257</v>
      </c>
      <c r="B624" s="22" t="s">
        <v>1257</v>
      </c>
      <c r="C624" s="23" t="s">
        <v>33</v>
      </c>
      <c r="D624" s="20" t="s">
        <v>34</v>
      </c>
      <c r="E624" s="22" t="s">
        <v>1258</v>
      </c>
      <c r="F624" s="24" t="str">
        <f t="shared" si="36"/>
        <v>PPG - Leyland ONE COAT GLOSS - BW - 2.5ltr</v>
      </c>
      <c r="G624" s="23" t="s">
        <v>5498</v>
      </c>
      <c r="H624" s="25" t="s">
        <v>36</v>
      </c>
      <c r="I624" s="18" t="s">
        <v>37</v>
      </c>
      <c r="J624" s="18" t="s">
        <v>38</v>
      </c>
      <c r="K624" t="s">
        <v>39</v>
      </c>
      <c r="L624" s="26">
        <f>VLOOKUP(A624,'[3]Price info'!A:D,4,FALSE)</f>
        <v>16.64</v>
      </c>
      <c r="M624" s="18" t="s">
        <v>40</v>
      </c>
      <c r="N624" s="20">
        <v>3105</v>
      </c>
      <c r="P624" s="16">
        <f>VLOOKUP(A624,'[3]Price info'!A:H,8,FALSE)</f>
        <v>15.491840000000002</v>
      </c>
      <c r="Q624" s="27">
        <f t="shared" si="37"/>
        <v>0.93100000000000005</v>
      </c>
      <c r="S624" s="16">
        <f>VLOOKUP(A624,[4]Sales!$E:$G,3,FALSE)</f>
        <v>78.599999999999994</v>
      </c>
      <c r="T624" s="19">
        <f>VLOOKUP(A624,[4]Volume!$E:$G,3,FALSE)</f>
        <v>12.5</v>
      </c>
      <c r="U624" s="19">
        <f>VLOOKUP(A624,[4]Piece!$E:$G,3,FALSE)</f>
        <v>5</v>
      </c>
      <c r="V624" s="21">
        <f t="shared" si="38"/>
        <v>77.45920000000001</v>
      </c>
      <c r="W624" s="16">
        <f t="shared" si="39"/>
        <v>-1.1407999999999845</v>
      </c>
    </row>
    <row r="625" spans="1:23" hidden="1" x14ac:dyDescent="0.3">
      <c r="A625" s="22" t="s">
        <v>1259</v>
      </c>
      <c r="B625" s="22" t="s">
        <v>1259</v>
      </c>
      <c r="C625" s="23" t="s">
        <v>33</v>
      </c>
      <c r="D625" s="20" t="s">
        <v>34</v>
      </c>
      <c r="E625" s="22" t="s">
        <v>1260</v>
      </c>
      <c r="F625" s="24" t="str">
        <f t="shared" si="36"/>
        <v>PPG - FatHog EVOLUTION TROUSER 42" WHITE</v>
      </c>
      <c r="G625" s="23" t="s">
        <v>5499</v>
      </c>
      <c r="H625" s="25" t="s">
        <v>36</v>
      </c>
      <c r="I625" s="18" t="s">
        <v>37</v>
      </c>
      <c r="J625" s="18" t="s">
        <v>38</v>
      </c>
      <c r="K625" t="s">
        <v>39</v>
      </c>
      <c r="L625" s="26">
        <f>VLOOKUP(A625,'[3]Price info'!A:D,4,FALSE)</f>
        <v>54.07</v>
      </c>
      <c r="M625" s="18" t="s">
        <v>40</v>
      </c>
      <c r="N625" s="20">
        <v>3105</v>
      </c>
      <c r="P625" s="16">
        <f>VLOOKUP(A625,'[3]Price info'!A:H,8,FALSE)</f>
        <v>46.81</v>
      </c>
      <c r="Q625" s="27">
        <f t="shared" si="37"/>
        <v>0.86572960976511937</v>
      </c>
      <c r="S625" s="16" t="e">
        <f>VLOOKUP(A625,[4]Sales!$E:$G,3,FALSE)</f>
        <v>#N/A</v>
      </c>
      <c r="T625" s="19" t="e">
        <f>VLOOKUP(A625,[4]Volume!$E:$G,3,FALSE)</f>
        <v>#N/A</v>
      </c>
      <c r="U625" s="19" t="e">
        <f>VLOOKUP(A625,[4]Piece!$E:$G,3,FALSE)</f>
        <v>#N/A</v>
      </c>
      <c r="V625" s="21" t="e">
        <f t="shared" si="38"/>
        <v>#N/A</v>
      </c>
      <c r="W625" s="16" t="e">
        <f t="shared" si="39"/>
        <v>#N/A</v>
      </c>
    </row>
    <row r="626" spans="1:23" hidden="1" x14ac:dyDescent="0.3">
      <c r="A626" s="22" t="s">
        <v>1261</v>
      </c>
      <c r="B626" s="22" t="s">
        <v>1261</v>
      </c>
      <c r="C626" s="23" t="s">
        <v>33</v>
      </c>
      <c r="D626" s="20" t="s">
        <v>34</v>
      </c>
      <c r="E626" s="22" t="s">
        <v>1262</v>
      </c>
      <c r="F626" s="24" t="str">
        <f t="shared" si="36"/>
        <v>PPG - FatHog EVO BIB &amp; BRACE  48-50" XXL WHITE</v>
      </c>
      <c r="G626" s="23" t="s">
        <v>5500</v>
      </c>
      <c r="H626" s="25" t="s">
        <v>36</v>
      </c>
      <c r="I626" s="18" t="s">
        <v>37</v>
      </c>
      <c r="J626" s="18" t="s">
        <v>38</v>
      </c>
      <c r="K626" t="s">
        <v>39</v>
      </c>
      <c r="L626" s="26">
        <f>VLOOKUP(A626,'[3]Price info'!A:D,4,FALSE)</f>
        <v>56.58</v>
      </c>
      <c r="M626" s="18" t="s">
        <v>40</v>
      </c>
      <c r="N626" s="20">
        <v>3105</v>
      </c>
      <c r="P626" s="16">
        <f>VLOOKUP(A626,'[3]Price info'!A:H,8,FALSE)</f>
        <v>52.41</v>
      </c>
      <c r="Q626" s="27">
        <f t="shared" si="37"/>
        <v>0.92629904559915166</v>
      </c>
      <c r="S626" s="16">
        <f>VLOOKUP(A626,[4]Sales!$E:$G,3,FALSE)</f>
        <v>32.36</v>
      </c>
      <c r="T626" s="19">
        <f>VLOOKUP(A626,[4]Volume!$E:$G,3,FALSE)</f>
        <v>2</v>
      </c>
      <c r="U626" s="19">
        <f>VLOOKUP(A626,[4]Piece!$E:$G,3,FALSE)</f>
        <v>2</v>
      </c>
      <c r="V626" s="21">
        <f t="shared" si="38"/>
        <v>104.82</v>
      </c>
      <c r="W626" s="16">
        <f t="shared" si="39"/>
        <v>72.459999999999994</v>
      </c>
    </row>
    <row r="627" spans="1:23" hidden="1" x14ac:dyDescent="0.3">
      <c r="A627" s="22" t="s">
        <v>1263</v>
      </c>
      <c r="B627" s="22" t="s">
        <v>1263</v>
      </c>
      <c r="C627" s="23" t="s">
        <v>33</v>
      </c>
      <c r="D627" s="20" t="s">
        <v>34</v>
      </c>
      <c r="E627" s="22" t="s">
        <v>1264</v>
      </c>
      <c r="F627" s="24" t="str">
        <f t="shared" si="36"/>
        <v>PPG - Johnstones FLORTRED White - 5ltr</v>
      </c>
      <c r="G627" s="23" t="s">
        <v>5501</v>
      </c>
      <c r="H627" s="25" t="s">
        <v>36</v>
      </c>
      <c r="I627" s="18" t="s">
        <v>37</v>
      </c>
      <c r="J627" s="18" t="s">
        <v>38</v>
      </c>
      <c r="K627" t="s">
        <v>39</v>
      </c>
      <c r="L627" s="26">
        <f>VLOOKUP(A627,'[3]Price info'!A:D,4,FALSE)</f>
        <v>22.63</v>
      </c>
      <c r="M627" s="18" t="s">
        <v>40</v>
      </c>
      <c r="N627" s="20">
        <v>3105</v>
      </c>
      <c r="P627" s="16">
        <f>VLOOKUP(A627,'[3]Price info'!A:H,8,FALSE)</f>
        <v>21.068529999999999</v>
      </c>
      <c r="Q627" s="27">
        <f t="shared" si="37"/>
        <v>0.93100000000000005</v>
      </c>
      <c r="S627" s="16" t="e">
        <f>VLOOKUP(A627,[4]Sales!$E:$G,3,FALSE)</f>
        <v>#N/A</v>
      </c>
      <c r="T627" s="19" t="e">
        <f>VLOOKUP(A627,[4]Volume!$E:$G,3,FALSE)</f>
        <v>#N/A</v>
      </c>
      <c r="U627" s="19" t="e">
        <f>VLOOKUP(A627,[4]Piece!$E:$G,3,FALSE)</f>
        <v>#N/A</v>
      </c>
      <c r="V627" s="21" t="e">
        <f t="shared" si="38"/>
        <v>#N/A</v>
      </c>
      <c r="W627" s="16" t="e">
        <f t="shared" si="39"/>
        <v>#N/A</v>
      </c>
    </row>
    <row r="628" spans="1:23" hidden="1" x14ac:dyDescent="0.3">
      <c r="A628" s="46" t="s">
        <v>1265</v>
      </c>
      <c r="B628" s="46" t="s">
        <v>1265</v>
      </c>
      <c r="C628" s="47" t="s">
        <v>33</v>
      </c>
      <c r="D628" s="48" t="s">
        <v>34</v>
      </c>
      <c r="E628" s="18" t="s">
        <v>1266</v>
      </c>
      <c r="F628" s="24" t="str">
        <f t="shared" si="36"/>
        <v>PPG - PGOLD MASKING TAPE 1" 50M</v>
      </c>
      <c r="G628" s="20" t="s">
        <v>5502</v>
      </c>
      <c r="H628" s="49" t="s">
        <v>213</v>
      </c>
      <c r="I628" s="18" t="s">
        <v>37</v>
      </c>
      <c r="J628" s="18" t="s">
        <v>38</v>
      </c>
      <c r="K628" t="s">
        <v>39</v>
      </c>
      <c r="L628" s="50">
        <f>VLOOKUP(A628,'[3]Price info'!A:D,4,FALSE)</f>
        <v>0.8</v>
      </c>
      <c r="M628" s="18" t="s">
        <v>214</v>
      </c>
      <c r="N628" s="20">
        <v>3105</v>
      </c>
      <c r="P628" s="16">
        <f>VLOOKUP(A628,'[3]Price info'!A:H,8,FALSE)</f>
        <v>0.74480000000000013</v>
      </c>
      <c r="Q628" s="17">
        <f t="shared" si="37"/>
        <v>0.93100000000000016</v>
      </c>
      <c r="S628" s="16">
        <f>VLOOKUP(A628,[4]Sales!$E:$G,3,FALSE)</f>
        <v>32.200000000000003</v>
      </c>
      <c r="T628" s="19">
        <f>VLOOKUP(A628,[4]Volume!$E:$G,3,FALSE)</f>
        <v>41</v>
      </c>
      <c r="U628" s="19">
        <f>VLOOKUP(A628,[4]Piece!$E:$G,3,FALSE)</f>
        <v>41</v>
      </c>
      <c r="V628" s="21">
        <f t="shared" si="38"/>
        <v>30.536800000000007</v>
      </c>
      <c r="W628" s="16">
        <f t="shared" si="39"/>
        <v>-1.6631999999999962</v>
      </c>
    </row>
    <row r="629" spans="1:23" hidden="1" x14ac:dyDescent="0.3">
      <c r="A629" s="22" t="s">
        <v>1267</v>
      </c>
      <c r="B629" s="22" t="s">
        <v>1267</v>
      </c>
      <c r="C629" s="23" t="s">
        <v>33</v>
      </c>
      <c r="D629" s="20" t="s">
        <v>34</v>
      </c>
      <c r="E629" s="22" t="s">
        <v>1268</v>
      </c>
      <c r="F629" s="24" t="str">
        <f t="shared" si="36"/>
        <v>PPG - FatHog LIGHTWEIGHT FILLER 4L</v>
      </c>
      <c r="G629" s="23" t="s">
        <v>5503</v>
      </c>
      <c r="H629" s="25" t="s">
        <v>36</v>
      </c>
      <c r="I629" s="18" t="s">
        <v>37</v>
      </c>
      <c r="J629" s="18" t="s">
        <v>38</v>
      </c>
      <c r="K629" t="s">
        <v>39</v>
      </c>
      <c r="L629" s="26">
        <f>VLOOKUP(A629,'[3]Price info'!A:D,4,FALSE)</f>
        <v>17.23</v>
      </c>
      <c r="M629" s="18" t="s">
        <v>40</v>
      </c>
      <c r="N629" s="20">
        <v>3105</v>
      </c>
      <c r="P629" s="16">
        <f>VLOOKUP(A629,'[3]Price info'!A:H,8,FALSE)</f>
        <v>16.041130000000003</v>
      </c>
      <c r="Q629" s="27">
        <f t="shared" si="37"/>
        <v>0.93100000000000016</v>
      </c>
      <c r="S629" s="16">
        <f>VLOOKUP(A629,[4]Sales!$E:$G,3,FALSE)</f>
        <v>33.269999999999996</v>
      </c>
      <c r="T629" s="19">
        <f>VLOOKUP(A629,[4]Volume!$E:$G,3,FALSE)</f>
        <v>8</v>
      </c>
      <c r="U629" s="19">
        <f>VLOOKUP(A629,[4]Piece!$E:$G,3,FALSE)</f>
        <v>2</v>
      </c>
      <c r="V629" s="21">
        <f t="shared" si="38"/>
        <v>32.082260000000005</v>
      </c>
      <c r="W629" s="16">
        <f t="shared" si="39"/>
        <v>-1.1877399999999909</v>
      </c>
    </row>
    <row r="630" spans="1:23" hidden="1" x14ac:dyDescent="0.3">
      <c r="A630" s="22" t="s">
        <v>1269</v>
      </c>
      <c r="B630" s="22" t="s">
        <v>1269</v>
      </c>
      <c r="C630" s="23" t="s">
        <v>33</v>
      </c>
      <c r="D630" s="20" t="s">
        <v>34</v>
      </c>
      <c r="E630" s="22" t="s">
        <v>1270</v>
      </c>
      <c r="F630" s="24" t="str">
        <f t="shared" si="36"/>
        <v>PPG - FatHog TROUSERS WHITE 30"</v>
      </c>
      <c r="G630" s="23" t="s">
        <v>5504</v>
      </c>
      <c r="H630" s="25" t="s">
        <v>36</v>
      </c>
      <c r="I630" s="18" t="s">
        <v>37</v>
      </c>
      <c r="J630" s="18" t="s">
        <v>38</v>
      </c>
      <c r="K630" t="s">
        <v>39</v>
      </c>
      <c r="L630" s="26">
        <f>VLOOKUP(A630,'[3]Price info'!A:D,4,FALSE)</f>
        <v>20.36</v>
      </c>
      <c r="M630" s="18" t="s">
        <v>40</v>
      </c>
      <c r="N630" s="20">
        <v>3105</v>
      </c>
      <c r="P630" s="16">
        <f>VLOOKUP(A630,'[3]Price info'!A:H,8,FALSE)</f>
        <v>18.955159999999999</v>
      </c>
      <c r="Q630" s="27">
        <f t="shared" si="37"/>
        <v>0.93099999999999994</v>
      </c>
      <c r="S630" s="16">
        <f>VLOOKUP(A630,[4]Sales!$E:$G,3,FALSE)</f>
        <v>18.96</v>
      </c>
      <c r="T630" s="19">
        <f>VLOOKUP(A630,[4]Volume!$E:$G,3,FALSE)</f>
        <v>1</v>
      </c>
      <c r="U630" s="19">
        <f>VLOOKUP(A630,[4]Piece!$E:$G,3,FALSE)</f>
        <v>1</v>
      </c>
      <c r="V630" s="21">
        <f t="shared" si="38"/>
        <v>18.955159999999999</v>
      </c>
      <c r="W630" s="16">
        <f t="shared" si="39"/>
        <v>-4.8400000000015098E-3</v>
      </c>
    </row>
    <row r="631" spans="1:23" hidden="1" x14ac:dyDescent="0.3">
      <c r="A631" s="56" t="s">
        <v>1271</v>
      </c>
      <c r="B631" s="56" t="s">
        <v>1271</v>
      </c>
      <c r="C631" s="47" t="s">
        <v>33</v>
      </c>
      <c r="D631" s="48" t="s">
        <v>34</v>
      </c>
      <c r="E631" s="22" t="s">
        <v>1272</v>
      </c>
      <c r="F631" s="24" t="str">
        <f t="shared" si="36"/>
        <v>PPG - TESA EASYCOVER 1800MMX33M 4368</v>
      </c>
      <c r="G631" s="20" t="s">
        <v>5505</v>
      </c>
      <c r="H631" s="25" t="s">
        <v>36</v>
      </c>
      <c r="I631" s="18" t="s">
        <v>37</v>
      </c>
      <c r="J631" s="18" t="s">
        <v>38</v>
      </c>
      <c r="K631" t="s">
        <v>39</v>
      </c>
      <c r="L631" s="50">
        <v>6.59</v>
      </c>
      <c r="M631" s="18" t="s">
        <v>214</v>
      </c>
      <c r="N631" s="20">
        <v>3105</v>
      </c>
      <c r="P631" s="16">
        <f>VLOOKUP(A631,'[3]Price info'!A:H,8,FALSE)</f>
        <v>6.1352900000000004</v>
      </c>
      <c r="Q631" s="27">
        <f t="shared" si="37"/>
        <v>0.93100000000000005</v>
      </c>
      <c r="S631" s="16">
        <f>VLOOKUP(A631,[4]Sales!$E:$G,3,FALSE)</f>
        <v>18.419999999999998</v>
      </c>
      <c r="T631" s="19">
        <f>VLOOKUP(A631,[4]Volume!$E:$G,3,FALSE)</f>
        <v>3</v>
      </c>
      <c r="U631" s="19">
        <f>VLOOKUP(A631,[4]Piece!$E:$G,3,FALSE)</f>
        <v>3</v>
      </c>
      <c r="V631" s="21">
        <f t="shared" si="38"/>
        <v>18.40587</v>
      </c>
      <c r="W631" s="16">
        <f t="shared" si="39"/>
        <v>-1.4129999999997978E-2</v>
      </c>
    </row>
    <row r="632" spans="1:23" hidden="1" x14ac:dyDescent="0.3">
      <c r="A632" s="46" t="s">
        <v>1273</v>
      </c>
      <c r="B632" s="46" t="s">
        <v>1273</v>
      </c>
      <c r="C632" s="51" t="s">
        <v>33</v>
      </c>
      <c r="D632" s="48" t="s">
        <v>34</v>
      </c>
      <c r="E632" s="18" t="s">
        <v>1274</v>
      </c>
      <c r="F632" s="24" t="str">
        <f t="shared" si="36"/>
        <v>PPG - BLKRO DISPOSABLE   GLOVES XL  BRPDG100XL</v>
      </c>
      <c r="G632" s="20" t="s">
        <v>5506</v>
      </c>
      <c r="H632" s="49" t="s">
        <v>213</v>
      </c>
      <c r="I632" s="18" t="s">
        <v>37</v>
      </c>
      <c r="J632" s="18" t="s">
        <v>38</v>
      </c>
      <c r="K632" t="s">
        <v>39</v>
      </c>
      <c r="L632" s="50">
        <f>VLOOKUP(A632,'[3]Price info'!A:D,4,FALSE)</f>
        <v>12.02</v>
      </c>
      <c r="M632" s="18" t="s">
        <v>214</v>
      </c>
      <c r="N632" s="20">
        <v>3105</v>
      </c>
      <c r="P632" s="16">
        <f>VLOOKUP(A632,'[3]Price info'!A:H,8,FALSE)</f>
        <v>10.220000000000001</v>
      </c>
      <c r="Q632" s="17">
        <f t="shared" si="37"/>
        <v>0.85024958402662243</v>
      </c>
      <c r="S632" s="16">
        <f>VLOOKUP(A632,[4]Sales!$E:$G,3,FALSE)</f>
        <v>87.169999999999987</v>
      </c>
      <c r="T632" s="19">
        <f>VLOOKUP(A632,[4]Volume!$E:$G,3,FALSE)</f>
        <v>13</v>
      </c>
      <c r="U632" s="19">
        <f>VLOOKUP(A632,[4]Piece!$E:$G,3,FALSE)</f>
        <v>13</v>
      </c>
      <c r="V632" s="21">
        <f t="shared" si="38"/>
        <v>132.86000000000001</v>
      </c>
      <c r="W632" s="16">
        <f t="shared" si="39"/>
        <v>45.690000000000026</v>
      </c>
    </row>
    <row r="633" spans="1:23" hidden="1" x14ac:dyDescent="0.3">
      <c r="A633" s="46" t="s">
        <v>1275</v>
      </c>
      <c r="B633" s="46" t="s">
        <v>1275</v>
      </c>
      <c r="C633" s="47" t="s">
        <v>33</v>
      </c>
      <c r="D633" s="48" t="s">
        <v>34</v>
      </c>
      <c r="E633" s="18" t="s">
        <v>1276</v>
      </c>
      <c r="F633" s="24" t="str">
        <f t="shared" si="36"/>
        <v>PPG - OLFA  12.5MM BLADE PK10</v>
      </c>
      <c r="G633" s="20" t="s">
        <v>5507</v>
      </c>
      <c r="H633" s="49" t="s">
        <v>213</v>
      </c>
      <c r="I633" s="18" t="s">
        <v>37</v>
      </c>
      <c r="J633" s="18" t="s">
        <v>38</v>
      </c>
      <c r="K633" t="s">
        <v>39</v>
      </c>
      <c r="L633" s="50">
        <f>VLOOKUP(A633,'[3]Price info'!A:D,4,FALSE)</f>
        <v>7.54</v>
      </c>
      <c r="M633" s="18" t="s">
        <v>214</v>
      </c>
      <c r="N633" s="20">
        <v>3105</v>
      </c>
      <c r="P633" s="16">
        <f>VLOOKUP(A633,'[3]Price info'!A:H,8,FALSE)</f>
        <v>7.0197400000000005</v>
      </c>
      <c r="Q633" s="17">
        <f t="shared" si="37"/>
        <v>0.93100000000000005</v>
      </c>
      <c r="S633" s="16">
        <f>VLOOKUP(A633,[4]Sales!$E:$G,3,FALSE)</f>
        <v>65.489999999999995</v>
      </c>
      <c r="T633" s="19">
        <f>VLOOKUP(A633,[4]Volume!$E:$G,3,FALSE)</f>
        <v>9</v>
      </c>
      <c r="U633" s="19">
        <f>VLOOKUP(A633,[4]Piece!$E:$G,3,FALSE)</f>
        <v>9</v>
      </c>
      <c r="V633" s="21">
        <f t="shared" si="38"/>
        <v>63.177660000000003</v>
      </c>
      <c r="W633" s="16">
        <f t="shared" si="39"/>
        <v>-2.3123399999999918</v>
      </c>
    </row>
    <row r="634" spans="1:23" hidden="1" x14ac:dyDescent="0.3">
      <c r="A634" s="22" t="s">
        <v>1277</v>
      </c>
      <c r="B634" s="22" t="s">
        <v>1277</v>
      </c>
      <c r="C634" s="23" t="s">
        <v>33</v>
      </c>
      <c r="D634" s="20" t="s">
        <v>34</v>
      </c>
      <c r="E634" s="22" t="s">
        <v>1278</v>
      </c>
      <c r="F634" s="24" t="str">
        <f t="shared" si="36"/>
        <v>PPG - Mangers SUGAR SOAP SPRAY 500ML</v>
      </c>
      <c r="G634" s="23" t="s">
        <v>5508</v>
      </c>
      <c r="H634" s="25" t="s">
        <v>36</v>
      </c>
      <c r="I634" s="18" t="s">
        <v>37</v>
      </c>
      <c r="J634" s="18" t="s">
        <v>38</v>
      </c>
      <c r="K634" t="s">
        <v>39</v>
      </c>
      <c r="L634" s="26">
        <f>VLOOKUP(A634,'[3]Price info'!A:D,4,FALSE)</f>
        <v>2.0699999999999998</v>
      </c>
      <c r="M634" s="18" t="s">
        <v>40</v>
      </c>
      <c r="N634" s="20">
        <v>3105</v>
      </c>
      <c r="P634" s="16">
        <f>VLOOKUP(A634,'[3]Price info'!A:H,8,FALSE)</f>
        <v>1.92717</v>
      </c>
      <c r="Q634" s="27">
        <f t="shared" si="37"/>
        <v>0.93100000000000005</v>
      </c>
      <c r="S634" s="16">
        <f>VLOOKUP(A634,[4]Sales!$E:$G,3,FALSE)</f>
        <v>74.19</v>
      </c>
      <c r="T634" s="19">
        <f>VLOOKUP(A634,[4]Volume!$E:$G,3,FALSE)</f>
        <v>17</v>
      </c>
      <c r="U634" s="19">
        <f>VLOOKUP(A634,[4]Piece!$E:$G,3,FALSE)</f>
        <v>34</v>
      </c>
      <c r="V634" s="21">
        <f t="shared" si="38"/>
        <v>65.523780000000002</v>
      </c>
      <c r="W634" s="16">
        <f t="shared" si="39"/>
        <v>-8.6662199999999956</v>
      </c>
    </row>
    <row r="635" spans="1:23" hidden="1" x14ac:dyDescent="0.3">
      <c r="A635" s="22" t="s">
        <v>1279</v>
      </c>
      <c r="B635" s="22" t="s">
        <v>1279</v>
      </c>
      <c r="C635" s="23" t="s">
        <v>33</v>
      </c>
      <c r="D635" s="20" t="s">
        <v>34</v>
      </c>
      <c r="E635" s="22" t="s">
        <v>1280</v>
      </c>
      <c r="F635" s="24" t="str">
        <f t="shared" si="36"/>
        <v>PPG - Johnstones PRO UNDERCOAT - Mid Grey - 5ltr</v>
      </c>
      <c r="G635" s="23" t="s">
        <v>5509</v>
      </c>
      <c r="H635" s="25" t="s">
        <v>36</v>
      </c>
      <c r="I635" s="18" t="s">
        <v>37</v>
      </c>
      <c r="J635" s="18" t="s">
        <v>38</v>
      </c>
      <c r="K635" t="s">
        <v>39</v>
      </c>
      <c r="L635" s="26">
        <f>VLOOKUP(A635,'[3]Price info'!A:D,4,FALSE)</f>
        <v>18.350000000000001</v>
      </c>
      <c r="M635" s="18" t="s">
        <v>40</v>
      </c>
      <c r="N635" s="20">
        <v>3105</v>
      </c>
      <c r="P635" s="16">
        <f>VLOOKUP(A635,'[3]Price info'!A:H,8,FALSE)</f>
        <v>25.69</v>
      </c>
      <c r="Q635" s="27">
        <f t="shared" si="37"/>
        <v>1.4</v>
      </c>
      <c r="S635" s="16">
        <f>VLOOKUP(A635,[4]Sales!$E:$G,3,FALSE)</f>
        <v>-8.77</v>
      </c>
      <c r="T635" s="19">
        <f>VLOOKUP(A635,[4]Volume!$E:$G,3,FALSE)</f>
        <v>0</v>
      </c>
      <c r="U635" s="19">
        <f>VLOOKUP(A635,[4]Piece!$E:$G,3,FALSE)</f>
        <v>0</v>
      </c>
      <c r="V635" s="21">
        <f t="shared" si="38"/>
        <v>0</v>
      </c>
      <c r="W635" s="16">
        <f t="shared" si="39"/>
        <v>8.77</v>
      </c>
    </row>
    <row r="636" spans="1:23" hidden="1" x14ac:dyDescent="0.3">
      <c r="A636" s="22" t="s">
        <v>1281</v>
      </c>
      <c r="B636" s="22" t="s">
        <v>1281</v>
      </c>
      <c r="C636" s="23" t="s">
        <v>33</v>
      </c>
      <c r="D636" s="20" t="s">
        <v>34</v>
      </c>
      <c r="E636" s="22" t="s">
        <v>1282</v>
      </c>
      <c r="F636" s="24" t="str">
        <f t="shared" si="36"/>
        <v>PPG - Johnstones PERFECT MATT - BW - 2.5ltr</v>
      </c>
      <c r="G636" s="23" t="s">
        <v>5510</v>
      </c>
      <c r="H636" s="25" t="s">
        <v>36</v>
      </c>
      <c r="I636" s="18" t="s">
        <v>37</v>
      </c>
      <c r="J636" s="18" t="s">
        <v>38</v>
      </c>
      <c r="K636" t="s">
        <v>39</v>
      </c>
      <c r="L636" s="26">
        <f>VLOOKUP(A636,'[3]Price info'!A:D,4,FALSE)</f>
        <v>26.5</v>
      </c>
      <c r="M636" s="18" t="s">
        <v>40</v>
      </c>
      <c r="N636" s="20">
        <v>3105</v>
      </c>
      <c r="P636" s="16">
        <f>VLOOKUP(A636,'[3]Price info'!A:H,8,FALSE)</f>
        <v>21.56</v>
      </c>
      <c r="Q636" s="27">
        <f t="shared" si="37"/>
        <v>0.81358490566037733</v>
      </c>
      <c r="S636" s="16">
        <f>VLOOKUP(A636,[4]Sales!$E:$G,3,FALSE)</f>
        <v>53</v>
      </c>
      <c r="T636" s="19">
        <f>VLOOKUP(A636,[4]Volume!$E:$G,3,FALSE)</f>
        <v>5</v>
      </c>
      <c r="U636" s="19">
        <f>VLOOKUP(A636,[4]Piece!$E:$G,3,FALSE)</f>
        <v>2</v>
      </c>
      <c r="V636" s="21">
        <f t="shared" si="38"/>
        <v>43.12</v>
      </c>
      <c r="W636" s="16">
        <f t="shared" si="39"/>
        <v>-9.8800000000000026</v>
      </c>
    </row>
    <row r="637" spans="1:23" hidden="1" x14ac:dyDescent="0.3">
      <c r="A637" s="46" t="s">
        <v>1283</v>
      </c>
      <c r="B637" s="46" t="s">
        <v>1283</v>
      </c>
      <c r="C637" s="47" t="s">
        <v>33</v>
      </c>
      <c r="D637" s="48" t="s">
        <v>34</v>
      </c>
      <c r="E637" s="18" t="s">
        <v>1284</v>
      </c>
      <c r="F637" s="24" t="str">
        <f t="shared" si="36"/>
        <v>PPG - FROGT FROG TAPE    24MM       MULTISURFA</v>
      </c>
      <c r="G637" s="20" t="s">
        <v>5511</v>
      </c>
      <c r="H637" s="49" t="s">
        <v>213</v>
      </c>
      <c r="I637" s="18" t="s">
        <v>37</v>
      </c>
      <c r="J637" s="18" t="s">
        <v>38</v>
      </c>
      <c r="K637" t="s">
        <v>39</v>
      </c>
      <c r="L637" s="50">
        <f>VLOOKUP(A637,'[3]Price info'!A:D,4,FALSE)</f>
        <v>5.03</v>
      </c>
      <c r="M637" s="18" t="s">
        <v>214</v>
      </c>
      <c r="N637" s="20">
        <v>3105</v>
      </c>
      <c r="P637" s="16">
        <f>VLOOKUP(A637,'[3]Price info'!A:H,8,FALSE)</f>
        <v>4.6829300000000007</v>
      </c>
      <c r="Q637" s="17">
        <f t="shared" si="37"/>
        <v>0.93100000000000005</v>
      </c>
      <c r="S637" s="16">
        <f>VLOOKUP(A637,[4]Sales!$E:$G,3,FALSE)</f>
        <v>58.690000000000005</v>
      </c>
      <c r="T637" s="19">
        <f>VLOOKUP(A637,[4]Volume!$E:$G,3,FALSE)</f>
        <v>12</v>
      </c>
      <c r="U637" s="19">
        <f>VLOOKUP(A637,[4]Piece!$E:$G,3,FALSE)</f>
        <v>12</v>
      </c>
      <c r="V637" s="21">
        <f t="shared" si="38"/>
        <v>56.195160000000008</v>
      </c>
      <c r="W637" s="16">
        <f t="shared" si="39"/>
        <v>-2.4948399999999964</v>
      </c>
    </row>
    <row r="638" spans="1:23" hidden="1" x14ac:dyDescent="0.3">
      <c r="A638" s="22" t="s">
        <v>1285</v>
      </c>
      <c r="B638" s="22" t="s">
        <v>1285</v>
      </c>
      <c r="C638" s="23" t="s">
        <v>33</v>
      </c>
      <c r="D638" s="20" t="s">
        <v>34</v>
      </c>
      <c r="E638" s="22" t="s">
        <v>1286</v>
      </c>
      <c r="F638" s="24" t="str">
        <f t="shared" si="36"/>
        <v>PPG - Leyland TG SMOOTH MASONRY - Quary Red - 5ltr</v>
      </c>
      <c r="G638" s="23" t="s">
        <v>5512</v>
      </c>
      <c r="H638" s="25" t="s">
        <v>36</v>
      </c>
      <c r="I638" s="18" t="s">
        <v>37</v>
      </c>
      <c r="J638" s="18" t="s">
        <v>38</v>
      </c>
      <c r="K638" t="s">
        <v>39</v>
      </c>
      <c r="L638" s="26">
        <f>VLOOKUP(A638,'[3]Price info'!A:D,4,FALSE)</f>
        <v>16.010000000000002</v>
      </c>
      <c r="M638" s="18" t="s">
        <v>40</v>
      </c>
      <c r="N638" s="20">
        <v>3105</v>
      </c>
      <c r="P638" s="16">
        <f>VLOOKUP(A638,'[3]Price info'!A:H,8,FALSE)</f>
        <v>14.905310000000002</v>
      </c>
      <c r="Q638" s="27">
        <f t="shared" si="37"/>
        <v>0.93100000000000005</v>
      </c>
      <c r="S638" s="16">
        <f>VLOOKUP(A638,[4]Sales!$E:$G,3,FALSE)</f>
        <v>107.67</v>
      </c>
      <c r="T638" s="19">
        <f>VLOOKUP(A638,[4]Volume!$E:$G,3,FALSE)</f>
        <v>35</v>
      </c>
      <c r="U638" s="19">
        <f>VLOOKUP(A638,[4]Piece!$E:$G,3,FALSE)</f>
        <v>7</v>
      </c>
      <c r="V638" s="21">
        <f t="shared" si="38"/>
        <v>104.33717000000001</v>
      </c>
      <c r="W638" s="16">
        <f t="shared" si="39"/>
        <v>-3.3328299999999871</v>
      </c>
    </row>
    <row r="639" spans="1:23" hidden="1" x14ac:dyDescent="0.3">
      <c r="A639" s="46" t="s">
        <v>1287</v>
      </c>
      <c r="B639" s="46" t="s">
        <v>1287</v>
      </c>
      <c r="C639" s="51" t="s">
        <v>33</v>
      </c>
      <c r="D639" s="48" t="s">
        <v>34</v>
      </c>
      <c r="E639" s="18" t="s">
        <v>1288</v>
      </c>
      <c r="F639" s="24" t="str">
        <f t="shared" si="36"/>
        <v>PPG - EWI   COMPRESSIBLE SEAL - 10M TEP-EPDM-2</v>
      </c>
      <c r="G639" s="20" t="s">
        <v>5513</v>
      </c>
      <c r="H639" s="49" t="s">
        <v>213</v>
      </c>
      <c r="I639" s="18" t="s">
        <v>37</v>
      </c>
      <c r="J639" s="18" t="s">
        <v>38</v>
      </c>
      <c r="K639" t="s">
        <v>39</v>
      </c>
      <c r="L639" s="50">
        <f>VLOOKUP(A639,'[3]Price info'!A:D,4,FALSE)</f>
        <v>8</v>
      </c>
      <c r="M639" s="18" t="s">
        <v>214</v>
      </c>
      <c r="N639" s="20">
        <v>3105</v>
      </c>
      <c r="P639" s="16">
        <f>VLOOKUP(A639,'[3]Price info'!A:H,8,FALSE)</f>
        <v>6.92</v>
      </c>
      <c r="Q639" s="17">
        <f t="shared" si="37"/>
        <v>0.86499999999999999</v>
      </c>
      <c r="S639" s="16" t="e">
        <f>VLOOKUP(A639,[4]Sales!$E:$G,3,FALSE)</f>
        <v>#N/A</v>
      </c>
      <c r="T639" s="19" t="e">
        <f>VLOOKUP(A639,[4]Volume!$E:$G,3,FALSE)</f>
        <v>#N/A</v>
      </c>
      <c r="U639" s="19" t="e">
        <f>VLOOKUP(A639,[4]Piece!$E:$G,3,FALSE)</f>
        <v>#N/A</v>
      </c>
      <c r="V639" s="21" t="e">
        <f t="shared" si="38"/>
        <v>#N/A</v>
      </c>
      <c r="W639" s="16" t="e">
        <f t="shared" si="39"/>
        <v>#N/A</v>
      </c>
    </row>
    <row r="640" spans="1:23" hidden="1" x14ac:dyDescent="0.3">
      <c r="A640" s="46" t="s">
        <v>1289</v>
      </c>
      <c r="B640" s="46" t="s">
        <v>1289</v>
      </c>
      <c r="C640" s="47" t="s">
        <v>33</v>
      </c>
      <c r="D640" s="48" t="s">
        <v>34</v>
      </c>
      <c r="E640" s="18" t="s">
        <v>1290</v>
      </c>
      <c r="F640" s="24" t="str">
        <f t="shared" si="36"/>
        <v>PPG - ZINSR SB STAIN KIL MATT WHITE 0000001500</v>
      </c>
      <c r="G640" s="20" t="s">
        <v>5514</v>
      </c>
      <c r="H640" s="49" t="s">
        <v>213</v>
      </c>
      <c r="I640" s="18" t="s">
        <v>37</v>
      </c>
      <c r="J640" s="18" t="s">
        <v>38</v>
      </c>
      <c r="K640" t="s">
        <v>39</v>
      </c>
      <c r="L640" s="50">
        <f>VLOOKUP(A640,'[3]Price info'!A:D,4,FALSE)</f>
        <v>87.06</v>
      </c>
      <c r="M640" s="18" t="s">
        <v>214</v>
      </c>
      <c r="N640" s="20">
        <v>3105</v>
      </c>
      <c r="P640" s="16">
        <f>VLOOKUP(A640,'[3]Price info'!A:H,8,FALSE)</f>
        <v>81.05286000000001</v>
      </c>
      <c r="Q640" s="17">
        <f t="shared" si="37"/>
        <v>0.93100000000000005</v>
      </c>
      <c r="S640" s="16">
        <f>VLOOKUP(A640,[4]Sales!$E:$G,3,FALSE)</f>
        <v>109.71</v>
      </c>
      <c r="T640" s="19">
        <f>VLOOKUP(A640,[4]Volume!$E:$G,3,FALSE)</f>
        <v>15</v>
      </c>
      <c r="U640" s="19">
        <f>VLOOKUP(A640,[4]Piece!$E:$G,3,FALSE)</f>
        <v>3</v>
      </c>
      <c r="V640" s="21">
        <f t="shared" si="38"/>
        <v>243.15858000000003</v>
      </c>
      <c r="W640" s="16">
        <f t="shared" si="39"/>
        <v>133.44858000000005</v>
      </c>
    </row>
    <row r="641" spans="1:23" hidden="1" x14ac:dyDescent="0.3">
      <c r="A641" s="46" t="s">
        <v>1291</v>
      </c>
      <c r="B641" s="46" t="s">
        <v>1291</v>
      </c>
      <c r="C641" s="47" t="s">
        <v>33</v>
      </c>
      <c r="D641" s="48" t="s">
        <v>34</v>
      </c>
      <c r="E641" s="18" t="s">
        <v>1292</v>
      </c>
      <c r="F641" s="24" t="str">
        <f t="shared" si="36"/>
        <v>PPG - FROGT FROG TAPE    24MM       DELICATE</v>
      </c>
      <c r="G641" s="20" t="s">
        <v>5515</v>
      </c>
      <c r="H641" s="49" t="s">
        <v>213</v>
      </c>
      <c r="I641" s="18" t="s">
        <v>37</v>
      </c>
      <c r="J641" s="18" t="s">
        <v>38</v>
      </c>
      <c r="K641" t="s">
        <v>39</v>
      </c>
      <c r="L641" s="50">
        <f>VLOOKUP(A641,'[3]Price info'!A:D,4,FALSE)</f>
        <v>5.03</v>
      </c>
      <c r="M641" s="18" t="s">
        <v>214</v>
      </c>
      <c r="N641" s="20">
        <v>3105</v>
      </c>
      <c r="P641" s="16">
        <f>VLOOKUP(A641,'[3]Price info'!A:H,8,FALSE)</f>
        <v>4.6829300000000007</v>
      </c>
      <c r="Q641" s="17">
        <f t="shared" si="37"/>
        <v>0.93100000000000005</v>
      </c>
      <c r="S641" s="16">
        <f>VLOOKUP(A641,[4]Sales!$E:$G,3,FALSE)</f>
        <v>74.750000000000014</v>
      </c>
      <c r="T641" s="19">
        <f>VLOOKUP(A641,[4]Volume!$E:$G,3,FALSE)</f>
        <v>15</v>
      </c>
      <c r="U641" s="19">
        <f>VLOOKUP(A641,[4]Piece!$E:$G,3,FALSE)</f>
        <v>15</v>
      </c>
      <c r="V641" s="21">
        <f t="shared" si="38"/>
        <v>70.243950000000012</v>
      </c>
      <c r="W641" s="16">
        <f t="shared" si="39"/>
        <v>-4.5060500000000019</v>
      </c>
    </row>
    <row r="642" spans="1:23" hidden="1" x14ac:dyDescent="0.3">
      <c r="A642" s="22" t="s">
        <v>1293</v>
      </c>
      <c r="B642" s="22" t="s">
        <v>1293</v>
      </c>
      <c r="C642" s="23" t="s">
        <v>33</v>
      </c>
      <c r="D642" s="20" t="s">
        <v>34</v>
      </c>
      <c r="E642" s="22" t="s">
        <v>1294</v>
      </c>
      <c r="F642" s="24" t="str">
        <f t="shared" si="36"/>
        <v>PPG - ProGold STRIPPING KNIFE - 2"</v>
      </c>
      <c r="G642" s="23" t="s">
        <v>5516</v>
      </c>
      <c r="H642" s="25" t="s">
        <v>36</v>
      </c>
      <c r="I642" s="18" t="s">
        <v>37</v>
      </c>
      <c r="J642" s="18" t="s">
        <v>38</v>
      </c>
      <c r="K642" t="s">
        <v>39</v>
      </c>
      <c r="L642" s="26">
        <f>VLOOKUP(A642,'[3]Price info'!A:D,4,FALSE)</f>
        <v>4.28</v>
      </c>
      <c r="M642" s="18" t="s">
        <v>40</v>
      </c>
      <c r="N642" s="20">
        <v>3105</v>
      </c>
      <c r="P642" s="16">
        <f>VLOOKUP(A642,'[3]Price info'!A:H,8,FALSE)</f>
        <v>3.9846800000000004</v>
      </c>
      <c r="Q642" s="27">
        <f t="shared" si="37"/>
        <v>0.93100000000000005</v>
      </c>
      <c r="S642" s="16">
        <f>VLOOKUP(A642,[4]Sales!$E:$G,3,FALSE)</f>
        <v>29.660000000000004</v>
      </c>
      <c r="T642" s="19">
        <f>VLOOKUP(A642,[4]Volume!$E:$G,3,FALSE)</f>
        <v>13</v>
      </c>
      <c r="U642" s="19">
        <f>VLOOKUP(A642,[4]Piece!$E:$G,3,FALSE)</f>
        <v>13</v>
      </c>
      <c r="V642" s="21">
        <f t="shared" si="38"/>
        <v>51.800840000000008</v>
      </c>
      <c r="W642" s="16">
        <f t="shared" si="39"/>
        <v>22.140840000000004</v>
      </c>
    </row>
    <row r="643" spans="1:23" hidden="1" x14ac:dyDescent="0.3">
      <c r="A643" s="22" t="s">
        <v>1295</v>
      </c>
      <c r="B643" s="22" t="s">
        <v>1295</v>
      </c>
      <c r="C643" s="23" t="s">
        <v>33</v>
      </c>
      <c r="D643" s="20" t="s">
        <v>34</v>
      </c>
      <c r="E643" s="22" t="s">
        <v>1296</v>
      </c>
      <c r="F643" s="24" t="str">
        <f t="shared" ref="F643:F706" si="40">D643&amp;" - "&amp;E643</f>
        <v>PPG - Johnstones JONMAT - Magnolia - 15ltr</v>
      </c>
      <c r="G643" s="23" t="s">
        <v>5517</v>
      </c>
      <c r="H643" s="25" t="s">
        <v>36</v>
      </c>
      <c r="I643" s="18" t="s">
        <v>37</v>
      </c>
      <c r="J643" s="18" t="s">
        <v>38</v>
      </c>
      <c r="K643" t="s">
        <v>39</v>
      </c>
      <c r="L643" s="26">
        <f>VLOOKUP(A643,'[3]Price info'!A:D,4,FALSE)</f>
        <v>49.77</v>
      </c>
      <c r="M643" s="18" t="s">
        <v>40</v>
      </c>
      <c r="N643" s="20">
        <v>3105</v>
      </c>
      <c r="P643" s="16">
        <f>VLOOKUP(A643,'[3]Price info'!A:H,8,FALSE)</f>
        <v>22.5</v>
      </c>
      <c r="Q643" s="27">
        <f t="shared" ref="Q643:Q706" si="41">P643/L643</f>
        <v>0.4520795660036166</v>
      </c>
      <c r="S643" s="16" t="e">
        <f>VLOOKUP(A643,[4]Sales!$E:$G,3,FALSE)</f>
        <v>#N/A</v>
      </c>
      <c r="T643" s="19" t="e">
        <f>VLOOKUP(A643,[4]Volume!$E:$G,3,FALSE)</f>
        <v>#N/A</v>
      </c>
      <c r="U643" s="19" t="e">
        <f>VLOOKUP(A643,[4]Piece!$E:$G,3,FALSE)</f>
        <v>#N/A</v>
      </c>
      <c r="V643" s="21" t="e">
        <f t="shared" ref="V643:V706" si="42">U643*P643</f>
        <v>#N/A</v>
      </c>
      <c r="W643" s="16" t="e">
        <f t="shared" ref="W643:W706" si="43">V643-S643</f>
        <v>#N/A</v>
      </c>
    </row>
    <row r="644" spans="1:23" hidden="1" x14ac:dyDescent="0.3">
      <c r="A644" s="22" t="s">
        <v>1297</v>
      </c>
      <c r="B644" s="22" t="s">
        <v>1297</v>
      </c>
      <c r="C644" s="23" t="s">
        <v>33</v>
      </c>
      <c r="D644" s="20" t="s">
        <v>34</v>
      </c>
      <c r="E644" s="22" t="s">
        <v>1298</v>
      </c>
      <c r="F644" s="24" t="str">
        <f t="shared" si="40"/>
        <v>PPG - Woodworks POLY VARNISH - Satin Clear - 2.5l</v>
      </c>
      <c r="G644" s="23" t="s">
        <v>5518</v>
      </c>
      <c r="H644" s="25" t="s">
        <v>36</v>
      </c>
      <c r="I644" s="18" t="s">
        <v>37</v>
      </c>
      <c r="J644" s="18" t="s">
        <v>38</v>
      </c>
      <c r="K644" t="s">
        <v>39</v>
      </c>
      <c r="L644" s="26">
        <f>VLOOKUP(A644,'[3]Price info'!A:D,4,FALSE)</f>
        <v>15.35</v>
      </c>
      <c r="M644" s="18" t="s">
        <v>40</v>
      </c>
      <c r="N644" s="20">
        <v>3105</v>
      </c>
      <c r="P644" s="16">
        <f>VLOOKUP(A644,'[3]Price info'!A:H,8,FALSE)</f>
        <v>14.290850000000001</v>
      </c>
      <c r="Q644" s="27">
        <f t="shared" si="41"/>
        <v>0.93100000000000005</v>
      </c>
      <c r="S644" s="16">
        <f>VLOOKUP(A644,[4]Sales!$E:$G,3,FALSE)</f>
        <v>44.99</v>
      </c>
      <c r="T644" s="19">
        <f>VLOOKUP(A644,[4]Volume!$E:$G,3,FALSE)</f>
        <v>7.5</v>
      </c>
      <c r="U644" s="19">
        <f>VLOOKUP(A644,[4]Piece!$E:$G,3,FALSE)</f>
        <v>3</v>
      </c>
      <c r="V644" s="21">
        <f t="shared" si="42"/>
        <v>42.872550000000004</v>
      </c>
      <c r="W644" s="16">
        <f t="shared" si="43"/>
        <v>-2.1174499999999981</v>
      </c>
    </row>
    <row r="645" spans="1:23" hidden="1" x14ac:dyDescent="0.3">
      <c r="A645" s="22" t="s">
        <v>1299</v>
      </c>
      <c r="B645" s="22" t="s">
        <v>1299</v>
      </c>
      <c r="C645" s="23" t="s">
        <v>33</v>
      </c>
      <c r="D645" s="20" t="s">
        <v>34</v>
      </c>
      <c r="E645" s="22" t="s">
        <v>114</v>
      </c>
      <c r="F645" s="24" t="str">
        <f t="shared" si="40"/>
        <v>PPG - Stormshield SMOOTH MASONRY - C Cream - 5ltr</v>
      </c>
      <c r="G645" s="23" t="s">
        <v>4935</v>
      </c>
      <c r="H645" s="25" t="s">
        <v>36</v>
      </c>
      <c r="I645" s="18" t="s">
        <v>37</v>
      </c>
      <c r="J645" s="18" t="s">
        <v>38</v>
      </c>
      <c r="K645" t="s">
        <v>39</v>
      </c>
      <c r="L645" s="26">
        <f>VLOOKUP(A645,'[3]Price info'!A:D,4,FALSE)</f>
        <v>17.84</v>
      </c>
      <c r="M645" s="18" t="s">
        <v>40</v>
      </c>
      <c r="N645" s="20">
        <v>3105</v>
      </c>
      <c r="P645" s="16">
        <f>VLOOKUP(A645,'[3]Price info'!A:H,8,FALSE)</f>
        <v>16.60904</v>
      </c>
      <c r="Q645" s="27">
        <f t="shared" si="41"/>
        <v>0.93100000000000005</v>
      </c>
      <c r="S645" s="16">
        <f>VLOOKUP(A645,[4]Sales!$E:$G,3,FALSE)</f>
        <v>66.44</v>
      </c>
      <c r="T645" s="19">
        <f>VLOOKUP(A645,[4]Volume!$E:$G,3,FALSE)</f>
        <v>20</v>
      </c>
      <c r="U645" s="19">
        <f>VLOOKUP(A645,[4]Piece!$E:$G,3,FALSE)</f>
        <v>4</v>
      </c>
      <c r="V645" s="21">
        <f t="shared" si="42"/>
        <v>66.436160000000001</v>
      </c>
      <c r="W645" s="16">
        <f t="shared" si="43"/>
        <v>-3.8399999999967349E-3</v>
      </c>
    </row>
    <row r="646" spans="1:23" hidden="1" x14ac:dyDescent="0.3">
      <c r="A646" s="22" t="s">
        <v>1300</v>
      </c>
      <c r="B646" s="22" t="s">
        <v>1300</v>
      </c>
      <c r="C646" s="23" t="s">
        <v>33</v>
      </c>
      <c r="D646" s="20" t="s">
        <v>34</v>
      </c>
      <c r="E646" s="22" t="s">
        <v>1301</v>
      </c>
      <c r="F646" s="24" t="str">
        <f t="shared" si="40"/>
        <v>PPG - ProGold CLASSIC HYBRID BRUSH 1.5"</v>
      </c>
      <c r="G646" s="23" t="s">
        <v>5519</v>
      </c>
      <c r="H646" s="25" t="s">
        <v>36</v>
      </c>
      <c r="I646" s="18" t="s">
        <v>37</v>
      </c>
      <c r="J646" s="18" t="s">
        <v>38</v>
      </c>
      <c r="K646" t="s">
        <v>39</v>
      </c>
      <c r="L646" s="26">
        <f>VLOOKUP(A646,'[3]Price info'!A:D,4,FALSE)</f>
        <v>2.59</v>
      </c>
      <c r="M646" s="18" t="s">
        <v>40</v>
      </c>
      <c r="N646" s="20">
        <v>3105</v>
      </c>
      <c r="P646" s="16">
        <f>VLOOKUP(A646,'[3]Price info'!A:H,8,FALSE)</f>
        <v>2.4112900000000002</v>
      </c>
      <c r="Q646" s="27">
        <f t="shared" si="41"/>
        <v>0.93100000000000016</v>
      </c>
      <c r="S646" s="16">
        <f>VLOOKUP(A646,[4]Sales!$E:$G,3,FALSE)</f>
        <v>71.289999999999992</v>
      </c>
      <c r="T646" s="19">
        <f>VLOOKUP(A646,[4]Volume!$E:$G,3,FALSE)</f>
        <v>31</v>
      </c>
      <c r="U646" s="19">
        <f>VLOOKUP(A646,[4]Piece!$E:$G,3,FALSE)</f>
        <v>31</v>
      </c>
      <c r="V646" s="21">
        <f t="shared" si="42"/>
        <v>74.749990000000011</v>
      </c>
      <c r="W646" s="16">
        <f t="shared" si="43"/>
        <v>3.459990000000019</v>
      </c>
    </row>
    <row r="647" spans="1:23" hidden="1" x14ac:dyDescent="0.3">
      <c r="A647" s="22" t="s">
        <v>1302</v>
      </c>
      <c r="B647" s="22" t="s">
        <v>1302</v>
      </c>
      <c r="C647" s="23" t="s">
        <v>33</v>
      </c>
      <c r="D647" s="20" t="s">
        <v>34</v>
      </c>
      <c r="E647" s="22" t="s">
        <v>1303</v>
      </c>
      <c r="F647" s="24" t="str">
        <f t="shared" si="40"/>
        <v>PPG - Stormshield FLEXIBLE EX SATIN - Black- 2.5l</v>
      </c>
      <c r="G647" s="23" t="s">
        <v>5520</v>
      </c>
      <c r="H647" s="25" t="s">
        <v>36</v>
      </c>
      <c r="I647" s="18" t="s">
        <v>37</v>
      </c>
      <c r="J647" s="18" t="s">
        <v>38</v>
      </c>
      <c r="K647" t="s">
        <v>39</v>
      </c>
      <c r="L647" s="26">
        <f>VLOOKUP(A647,'[3]Price info'!A:D,4,FALSE)</f>
        <v>34.5</v>
      </c>
      <c r="M647" s="18" t="s">
        <v>40</v>
      </c>
      <c r="N647" s="20">
        <v>3105</v>
      </c>
      <c r="P647" s="16">
        <f>VLOOKUP(A647,'[3]Price info'!A:H,8,FALSE)</f>
        <v>18</v>
      </c>
      <c r="Q647" s="27">
        <f t="shared" si="41"/>
        <v>0.52173913043478259</v>
      </c>
      <c r="S647" s="16">
        <f>VLOOKUP(A647,[4]Sales!$E:$G,3,FALSE)</f>
        <v>88.5</v>
      </c>
      <c r="T647" s="19">
        <f>VLOOKUP(A647,[4]Volume!$E:$G,3,FALSE)</f>
        <v>10</v>
      </c>
      <c r="U647" s="19">
        <f>VLOOKUP(A647,[4]Piece!$E:$G,3,FALSE)</f>
        <v>4</v>
      </c>
      <c r="V647" s="21">
        <f t="shared" si="42"/>
        <v>72</v>
      </c>
      <c r="W647" s="16">
        <f t="shared" si="43"/>
        <v>-16.5</v>
      </c>
    </row>
    <row r="648" spans="1:23" hidden="1" x14ac:dyDescent="0.3">
      <c r="A648" s="22" t="s">
        <v>1304</v>
      </c>
      <c r="B648" s="22" t="s">
        <v>1304</v>
      </c>
      <c r="C648" s="23" t="s">
        <v>33</v>
      </c>
      <c r="D648" s="20" t="s">
        <v>34</v>
      </c>
      <c r="E648" s="22" t="s">
        <v>1305</v>
      </c>
      <c r="F648" s="24" t="str">
        <f t="shared" si="40"/>
        <v>PPG - ProGold AQUA ANGLE OVAL BRUSH 2"</v>
      </c>
      <c r="G648" s="23" t="s">
        <v>5521</v>
      </c>
      <c r="H648" s="25" t="s">
        <v>36</v>
      </c>
      <c r="I648" s="18" t="s">
        <v>37</v>
      </c>
      <c r="J648" s="18" t="s">
        <v>38</v>
      </c>
      <c r="K648" t="s">
        <v>39</v>
      </c>
      <c r="L648" s="26">
        <f>VLOOKUP(A648,'[3]Price info'!A:D,4,FALSE)</f>
        <v>6.2</v>
      </c>
      <c r="M648" s="18" t="s">
        <v>40</v>
      </c>
      <c r="N648" s="20">
        <v>3105</v>
      </c>
      <c r="P648" s="16">
        <f>VLOOKUP(A648,'[3]Price info'!A:H,8,FALSE)</f>
        <v>5.7722000000000007</v>
      </c>
      <c r="Q648" s="27">
        <f t="shared" si="41"/>
        <v>0.93100000000000005</v>
      </c>
      <c r="S648" s="16">
        <f>VLOOKUP(A648,[4]Sales!$E:$G,3,FALSE)</f>
        <v>12.4</v>
      </c>
      <c r="T648" s="19">
        <f>VLOOKUP(A648,[4]Volume!$E:$G,3,FALSE)</f>
        <v>2</v>
      </c>
      <c r="U648" s="19">
        <f>VLOOKUP(A648,[4]Piece!$E:$G,3,FALSE)</f>
        <v>2</v>
      </c>
      <c r="V648" s="21">
        <f t="shared" si="42"/>
        <v>11.544400000000001</v>
      </c>
      <c r="W648" s="16">
        <f t="shared" si="43"/>
        <v>-0.85559999999999903</v>
      </c>
    </row>
    <row r="649" spans="1:23" hidden="1" x14ac:dyDescent="0.3">
      <c r="A649" s="22" t="s">
        <v>1306</v>
      </c>
      <c r="B649" s="22" t="s">
        <v>1306</v>
      </c>
      <c r="C649" s="23" t="s">
        <v>33</v>
      </c>
      <c r="D649" s="20" t="s">
        <v>34</v>
      </c>
      <c r="E649" s="22" t="s">
        <v>1307</v>
      </c>
      <c r="F649" s="24" t="str">
        <f t="shared" si="40"/>
        <v>PPG - Johnstones WB FLOOR VARN - Clear Satin - 5l</v>
      </c>
      <c r="G649" s="23" t="s">
        <v>5522</v>
      </c>
      <c r="H649" s="25" t="s">
        <v>36</v>
      </c>
      <c r="I649" s="18" t="s">
        <v>37</v>
      </c>
      <c r="J649" s="18" t="s">
        <v>38</v>
      </c>
      <c r="K649" t="s">
        <v>39</v>
      </c>
      <c r="L649" s="26">
        <f>VLOOKUP(A649,'[3]Price info'!A:D,4,FALSE)</f>
        <v>40.25</v>
      </c>
      <c r="M649" s="18" t="s">
        <v>40</v>
      </c>
      <c r="N649" s="20">
        <v>3105</v>
      </c>
      <c r="P649" s="16">
        <f>VLOOKUP(A649,'[3]Price info'!A:H,8,FALSE)</f>
        <v>37.472750000000005</v>
      </c>
      <c r="Q649" s="27">
        <f t="shared" si="41"/>
        <v>0.93100000000000016</v>
      </c>
      <c r="S649" s="16">
        <f>VLOOKUP(A649,[4]Sales!$E:$G,3,FALSE)</f>
        <v>115.50999999999999</v>
      </c>
      <c r="T649" s="19">
        <f>VLOOKUP(A649,[4]Volume!$E:$G,3,FALSE)</f>
        <v>15</v>
      </c>
      <c r="U649" s="19">
        <f>VLOOKUP(A649,[4]Piece!$E:$G,3,FALSE)</f>
        <v>3</v>
      </c>
      <c r="V649" s="21">
        <f t="shared" si="42"/>
        <v>112.41825000000001</v>
      </c>
      <c r="W649" s="16">
        <f t="shared" si="43"/>
        <v>-3.0917499999999762</v>
      </c>
    </row>
    <row r="650" spans="1:23" hidden="1" x14ac:dyDescent="0.3">
      <c r="A650" s="22" t="s">
        <v>1308</v>
      </c>
      <c r="B650" s="22" t="s">
        <v>1308</v>
      </c>
      <c r="C650" s="23" t="s">
        <v>33</v>
      </c>
      <c r="D650" s="20" t="s">
        <v>34</v>
      </c>
      <c r="E650" s="22" t="s">
        <v>1309</v>
      </c>
      <c r="F650" s="24" t="str">
        <f t="shared" si="40"/>
        <v>PPG - Leyland UNDERCOAT - Mid Grey 5ltr</v>
      </c>
      <c r="G650" s="23" t="s">
        <v>5523</v>
      </c>
      <c r="H650" s="25" t="s">
        <v>36</v>
      </c>
      <c r="I650" s="18" t="s">
        <v>37</v>
      </c>
      <c r="J650" s="18" t="s">
        <v>38</v>
      </c>
      <c r="K650" t="s">
        <v>39</v>
      </c>
      <c r="L650" s="26">
        <f>VLOOKUP(A650,'[3]Price info'!A:D,4,FALSE)</f>
        <v>16.71</v>
      </c>
      <c r="M650" s="18" t="s">
        <v>40</v>
      </c>
      <c r="N650" s="20">
        <v>3105</v>
      </c>
      <c r="P650" s="16">
        <f>VLOOKUP(A650,'[3]Price info'!A:H,8,FALSE)</f>
        <v>23.393999999999998</v>
      </c>
      <c r="Q650" s="27">
        <f t="shared" si="41"/>
        <v>1.4</v>
      </c>
      <c r="S650" s="16" t="e">
        <f>VLOOKUP(A650,[4]Sales!$E:$G,3,FALSE)</f>
        <v>#N/A</v>
      </c>
      <c r="T650" s="19" t="e">
        <f>VLOOKUP(A650,[4]Volume!$E:$G,3,FALSE)</f>
        <v>#N/A</v>
      </c>
      <c r="U650" s="19" t="e">
        <f>VLOOKUP(A650,[4]Piece!$E:$G,3,FALSE)</f>
        <v>#N/A</v>
      </c>
      <c r="V650" s="21" t="e">
        <f t="shared" si="42"/>
        <v>#N/A</v>
      </c>
      <c r="W650" s="16" t="e">
        <f t="shared" si="43"/>
        <v>#N/A</v>
      </c>
    </row>
    <row r="651" spans="1:23" hidden="1" x14ac:dyDescent="0.3">
      <c r="A651" s="22" t="s">
        <v>1310</v>
      </c>
      <c r="B651" s="22" t="s">
        <v>1310</v>
      </c>
      <c r="C651" s="23" t="s">
        <v>33</v>
      </c>
      <c r="D651" s="20" t="s">
        <v>34</v>
      </c>
      <c r="E651" s="22" t="s">
        <v>1311</v>
      </c>
      <c r="F651" s="24" t="str">
        <f t="shared" si="40"/>
        <v>PPG - ProGold AQUA SYNTHETIC BRUSH 2"</v>
      </c>
      <c r="G651" s="23" t="s">
        <v>5524</v>
      </c>
      <c r="H651" s="25" t="s">
        <v>36</v>
      </c>
      <c r="I651" s="18" t="s">
        <v>37</v>
      </c>
      <c r="J651" s="18" t="s">
        <v>38</v>
      </c>
      <c r="K651" t="s">
        <v>39</v>
      </c>
      <c r="L651" s="26">
        <f>VLOOKUP(A651,'[3]Price info'!A:D,4,FALSE)</f>
        <v>3.6</v>
      </c>
      <c r="M651" s="18" t="s">
        <v>40</v>
      </c>
      <c r="N651" s="20">
        <v>3105</v>
      </c>
      <c r="P651" s="16">
        <f>VLOOKUP(A651,'[3]Price info'!A:H,8,FALSE)</f>
        <v>3.3516000000000004</v>
      </c>
      <c r="Q651" s="27">
        <f t="shared" si="41"/>
        <v>0.93100000000000005</v>
      </c>
      <c r="S651" s="16">
        <f>VLOOKUP(A651,[4]Sales!$E:$G,3,FALSE)</f>
        <v>49.15</v>
      </c>
      <c r="T651" s="19">
        <f>VLOOKUP(A651,[4]Volume!$E:$G,3,FALSE)</f>
        <v>14</v>
      </c>
      <c r="U651" s="19">
        <f>VLOOKUP(A651,[4]Piece!$E:$G,3,FALSE)</f>
        <v>14</v>
      </c>
      <c r="V651" s="21">
        <f t="shared" si="42"/>
        <v>46.922400000000003</v>
      </c>
      <c r="W651" s="16">
        <f t="shared" si="43"/>
        <v>-2.2275999999999954</v>
      </c>
    </row>
    <row r="652" spans="1:23" hidden="1" x14ac:dyDescent="0.3">
      <c r="A652" s="53" t="s">
        <v>1312</v>
      </c>
      <c r="B652" s="54" t="s">
        <v>1312</v>
      </c>
      <c r="C652" s="47" t="s">
        <v>33</v>
      </c>
      <c r="D652" s="48" t="s">
        <v>34</v>
      </c>
      <c r="E652" s="22" t="s">
        <v>1313</v>
      </c>
      <c r="F652" s="24" t="str">
        <f t="shared" si="40"/>
        <v>PPG - RODO PRODEC PREM BRUSH SET6 PBPT049</v>
      </c>
      <c r="G652" s="20" t="s">
        <v>5525</v>
      </c>
      <c r="H652" s="25" t="s">
        <v>36</v>
      </c>
      <c r="I652" s="18" t="s">
        <v>37</v>
      </c>
      <c r="J652" s="18" t="s">
        <v>38</v>
      </c>
      <c r="K652" t="s">
        <v>39</v>
      </c>
      <c r="L652" s="26">
        <f>VLOOKUP(A652,'[3]Price info'!A:D,4,FALSE)</f>
        <v>19.47</v>
      </c>
      <c r="M652" s="18" t="s">
        <v>214</v>
      </c>
      <c r="N652" s="20">
        <v>3105</v>
      </c>
      <c r="P652" s="16">
        <f>VLOOKUP(A652,'[3]Price info'!A:H,8,FALSE)</f>
        <v>15.96</v>
      </c>
      <c r="Q652" s="27">
        <f t="shared" si="41"/>
        <v>0.81972265023112489</v>
      </c>
      <c r="S652" s="16">
        <f>VLOOKUP(A652,[4]Sales!$E:$G,3,FALSE)</f>
        <v>250.49</v>
      </c>
      <c r="T652" s="19">
        <f>VLOOKUP(A652,[4]Volume!$E:$G,3,FALSE)</f>
        <v>29</v>
      </c>
      <c r="U652" s="19">
        <f>VLOOKUP(A652,[4]Piece!$E:$G,3,FALSE)</f>
        <v>29</v>
      </c>
      <c r="V652" s="21">
        <f t="shared" si="42"/>
        <v>462.84000000000003</v>
      </c>
      <c r="W652" s="16">
        <f t="shared" si="43"/>
        <v>212.35000000000002</v>
      </c>
    </row>
    <row r="653" spans="1:23" hidden="1" x14ac:dyDescent="0.3">
      <c r="A653" s="22" t="s">
        <v>1314</v>
      </c>
      <c r="B653" s="22" t="s">
        <v>1314</v>
      </c>
      <c r="C653" s="23" t="s">
        <v>33</v>
      </c>
      <c r="D653" s="20" t="s">
        <v>34</v>
      </c>
      <c r="E653" s="22" t="s">
        <v>1315</v>
      </c>
      <c r="F653" s="24" t="str">
        <f t="shared" si="40"/>
        <v>PPG - ProGold AQUA SYNTHETIC ANGLE BRUSH 1.5"</v>
      </c>
      <c r="G653" s="23" t="s">
        <v>5526</v>
      </c>
      <c r="H653" s="25" t="s">
        <v>36</v>
      </c>
      <c r="I653" s="18" t="s">
        <v>37</v>
      </c>
      <c r="J653" s="18" t="s">
        <v>38</v>
      </c>
      <c r="K653" t="s">
        <v>39</v>
      </c>
      <c r="L653" s="26">
        <f>VLOOKUP(A653,'[3]Price info'!A:D,4,FALSE)</f>
        <v>5.18</v>
      </c>
      <c r="M653" s="18" t="s">
        <v>40</v>
      </c>
      <c r="N653" s="20">
        <v>3105</v>
      </c>
      <c r="P653" s="16">
        <f>VLOOKUP(A653,'[3]Price info'!A:H,8,FALSE)</f>
        <v>4.8225800000000003</v>
      </c>
      <c r="Q653" s="27">
        <f t="shared" si="41"/>
        <v>0.93100000000000016</v>
      </c>
      <c r="S653" s="16">
        <f>VLOOKUP(A653,[4]Sales!$E:$G,3,FALSE)</f>
        <v>31.08</v>
      </c>
      <c r="T653" s="19">
        <f>VLOOKUP(A653,[4]Volume!$E:$G,3,FALSE)</f>
        <v>6</v>
      </c>
      <c r="U653" s="19">
        <f>VLOOKUP(A653,[4]Piece!$E:$G,3,FALSE)</f>
        <v>6</v>
      </c>
      <c r="V653" s="21">
        <f t="shared" si="42"/>
        <v>28.935480000000002</v>
      </c>
      <c r="W653" s="16">
        <f t="shared" si="43"/>
        <v>-2.1445199999999964</v>
      </c>
    </row>
    <row r="654" spans="1:23" hidden="1" x14ac:dyDescent="0.3">
      <c r="A654" s="22" t="s">
        <v>1316</v>
      </c>
      <c r="B654" s="22" t="s">
        <v>1316</v>
      </c>
      <c r="C654" s="23" t="s">
        <v>33</v>
      </c>
      <c r="D654" s="20" t="s">
        <v>34</v>
      </c>
      <c r="E654" s="22" t="s">
        <v>1317</v>
      </c>
      <c r="F654" s="24" t="str">
        <f t="shared" si="40"/>
        <v>PPG - Mangers SUGAR SOAP 10L MIX</v>
      </c>
      <c r="G654" s="23" t="s">
        <v>5527</v>
      </c>
      <c r="H654" s="25" t="s">
        <v>36</v>
      </c>
      <c r="I654" s="18" t="s">
        <v>37</v>
      </c>
      <c r="J654" s="18" t="s">
        <v>38</v>
      </c>
      <c r="K654" t="s">
        <v>39</v>
      </c>
      <c r="L654" s="26">
        <f>VLOOKUP(A654,'[3]Price info'!A:D,4,FALSE)</f>
        <v>2.64</v>
      </c>
      <c r="M654" s="18" t="s">
        <v>40</v>
      </c>
      <c r="N654" s="20">
        <v>3105</v>
      </c>
      <c r="P654" s="16">
        <f>VLOOKUP(A654,'[3]Price info'!A:H,8,FALSE)</f>
        <v>2.4578400000000005</v>
      </c>
      <c r="Q654" s="27">
        <f t="shared" si="41"/>
        <v>0.93100000000000016</v>
      </c>
      <c r="S654" s="16">
        <f>VLOOKUP(A654,[4]Sales!$E:$G,3,FALSE)</f>
        <v>22.32</v>
      </c>
      <c r="T654" s="19">
        <f>VLOOKUP(A654,[4]Volume!$E:$G,3,FALSE)</f>
        <v>9</v>
      </c>
      <c r="U654" s="19">
        <f>VLOOKUP(A654,[4]Piece!$E:$G,3,FALSE)</f>
        <v>9</v>
      </c>
      <c r="V654" s="21">
        <f t="shared" si="42"/>
        <v>22.120560000000005</v>
      </c>
      <c r="W654" s="16">
        <f t="shared" si="43"/>
        <v>-0.19943999999999562</v>
      </c>
    </row>
    <row r="655" spans="1:23" hidden="1" x14ac:dyDescent="0.3">
      <c r="A655" s="22" t="s">
        <v>1318</v>
      </c>
      <c r="B655" s="22" t="s">
        <v>1318</v>
      </c>
      <c r="C655" s="23" t="s">
        <v>33</v>
      </c>
      <c r="D655" s="20" t="s">
        <v>34</v>
      </c>
      <c r="E655" s="22" t="s">
        <v>1319</v>
      </c>
      <c r="F655" s="24" t="str">
        <f t="shared" si="40"/>
        <v>PPG - Leyland STAIN BLOCKING PRIMER - White - 2.5l</v>
      </c>
      <c r="G655" s="23" t="s">
        <v>5528</v>
      </c>
      <c r="H655" s="25" t="s">
        <v>36</v>
      </c>
      <c r="I655" s="18" t="s">
        <v>37</v>
      </c>
      <c r="J655" s="18" t="s">
        <v>38</v>
      </c>
      <c r="K655" t="s">
        <v>39</v>
      </c>
      <c r="L655" s="26">
        <f>VLOOKUP(A655,'[3]Price info'!A:D,4,FALSE)</f>
        <v>23.81</v>
      </c>
      <c r="M655" s="18" t="s">
        <v>40</v>
      </c>
      <c r="N655" s="20">
        <v>3105</v>
      </c>
      <c r="P655" s="16">
        <f>VLOOKUP(A655,'[3]Price info'!A:H,8,FALSE)</f>
        <v>22.167110000000001</v>
      </c>
      <c r="Q655" s="27">
        <f t="shared" si="41"/>
        <v>0.93100000000000005</v>
      </c>
      <c r="S655" s="16" t="e">
        <f>VLOOKUP(A655,[4]Sales!$E:$G,3,FALSE)</f>
        <v>#N/A</v>
      </c>
      <c r="T655" s="19" t="e">
        <f>VLOOKUP(A655,[4]Volume!$E:$G,3,FALSE)</f>
        <v>#N/A</v>
      </c>
      <c r="U655" s="19" t="e">
        <f>VLOOKUP(A655,[4]Piece!$E:$G,3,FALSE)</f>
        <v>#N/A</v>
      </c>
      <c r="V655" s="21" t="e">
        <f t="shared" si="42"/>
        <v>#N/A</v>
      </c>
      <c r="W655" s="16" t="e">
        <f t="shared" si="43"/>
        <v>#N/A</v>
      </c>
    </row>
    <row r="656" spans="1:23" hidden="1" x14ac:dyDescent="0.3">
      <c r="A656" s="46" t="s">
        <v>1320</v>
      </c>
      <c r="B656" s="46" t="s">
        <v>1320</v>
      </c>
      <c r="C656" s="51" t="s">
        <v>33</v>
      </c>
      <c r="D656" s="48" t="s">
        <v>34</v>
      </c>
      <c r="E656" s="18" t="s">
        <v>1321</v>
      </c>
      <c r="F656" s="24" t="str">
        <f t="shared" si="40"/>
        <v>PPG - RODO  12" CAULKER  PLDT004</v>
      </c>
      <c r="G656" s="20" t="s">
        <v>5529</v>
      </c>
      <c r="H656" s="49" t="s">
        <v>213</v>
      </c>
      <c r="I656" s="18" t="s">
        <v>37</v>
      </c>
      <c r="J656" s="18" t="s">
        <v>38</v>
      </c>
      <c r="K656" t="s">
        <v>39</v>
      </c>
      <c r="L656" s="50">
        <f>VLOOKUP(A656,'[3]Price info'!A:D,4,FALSE)</f>
        <v>8.0399999999999991</v>
      </c>
      <c r="M656" s="18" t="s">
        <v>214</v>
      </c>
      <c r="N656" s="20">
        <v>3105</v>
      </c>
      <c r="P656" s="16">
        <f>VLOOKUP(A656,'[3]Price info'!A:H,8,FALSE)</f>
        <v>7.4852399999999992</v>
      </c>
      <c r="Q656" s="17">
        <f t="shared" si="41"/>
        <v>0.93100000000000005</v>
      </c>
      <c r="S656" s="16">
        <f>VLOOKUP(A656,[4]Sales!$E:$G,3,FALSE)</f>
        <v>84.320000000000007</v>
      </c>
      <c r="T656" s="19">
        <f>VLOOKUP(A656,[4]Volume!$E:$G,3,FALSE)</f>
        <v>11</v>
      </c>
      <c r="U656" s="19">
        <f>VLOOKUP(A656,[4]Piece!$E:$G,3,FALSE)</f>
        <v>11</v>
      </c>
      <c r="V656" s="21">
        <f t="shared" si="42"/>
        <v>82.337639999999993</v>
      </c>
      <c r="W656" s="16">
        <f t="shared" si="43"/>
        <v>-1.9823600000000141</v>
      </c>
    </row>
    <row r="657" spans="1:23" hidden="1" x14ac:dyDescent="0.3">
      <c r="A657" s="46" t="s">
        <v>1322</v>
      </c>
      <c r="B657" s="46" t="s">
        <v>1322</v>
      </c>
      <c r="C657" s="47" t="s">
        <v>33</v>
      </c>
      <c r="D657" s="48" t="s">
        <v>34</v>
      </c>
      <c r="E657" s="18" t="s">
        <v>1323</v>
      </c>
      <c r="F657" s="24" t="str">
        <f t="shared" si="40"/>
        <v>PPG - RODO  PAINT DOZEN  12P BRUSH  SET</v>
      </c>
      <c r="G657" s="20" t="s">
        <v>5530</v>
      </c>
      <c r="H657" s="49" t="s">
        <v>213</v>
      </c>
      <c r="I657" s="18" t="s">
        <v>37</v>
      </c>
      <c r="J657" s="18" t="s">
        <v>38</v>
      </c>
      <c r="K657" t="s">
        <v>39</v>
      </c>
      <c r="L657" s="50">
        <f>VLOOKUP(A657,'[3]Price info'!A:D,4,FALSE)</f>
        <v>16.09</v>
      </c>
      <c r="M657" s="18" t="s">
        <v>214</v>
      </c>
      <c r="N657" s="20">
        <v>3105</v>
      </c>
      <c r="P657" s="16">
        <f>VLOOKUP(A657,'[3]Price info'!A:H,8,FALSE)</f>
        <v>14.979790000000001</v>
      </c>
      <c r="Q657" s="17">
        <f t="shared" si="41"/>
        <v>0.93100000000000005</v>
      </c>
      <c r="S657" s="16" t="e">
        <f>VLOOKUP(A657,[4]Sales!$E:$G,3,FALSE)</f>
        <v>#N/A</v>
      </c>
      <c r="T657" s="19" t="e">
        <f>VLOOKUP(A657,[4]Volume!$E:$G,3,FALSE)</f>
        <v>#N/A</v>
      </c>
      <c r="U657" s="19" t="e">
        <f>VLOOKUP(A657,[4]Piece!$E:$G,3,FALSE)</f>
        <v>#N/A</v>
      </c>
      <c r="V657" s="21" t="e">
        <f t="shared" si="42"/>
        <v>#N/A</v>
      </c>
      <c r="W657" s="16" t="e">
        <f t="shared" si="43"/>
        <v>#N/A</v>
      </c>
    </row>
    <row r="658" spans="1:23" hidden="1" x14ac:dyDescent="0.3">
      <c r="A658" s="46" t="s">
        <v>1324</v>
      </c>
      <c r="B658" s="46" t="s">
        <v>1324</v>
      </c>
      <c r="C658" s="47" t="s">
        <v>33</v>
      </c>
      <c r="D658" s="48" t="s">
        <v>34</v>
      </c>
      <c r="E658" s="18" t="s">
        <v>1325</v>
      </c>
      <c r="F658" s="24" t="str">
        <f t="shared" si="40"/>
        <v>PPG - ZINSR PEEL STOP                     1500</v>
      </c>
      <c r="G658" s="20" t="s">
        <v>5531</v>
      </c>
      <c r="H658" s="49" t="s">
        <v>213</v>
      </c>
      <c r="I658" s="18" t="s">
        <v>37</v>
      </c>
      <c r="J658" s="18" t="s">
        <v>38</v>
      </c>
      <c r="K658" t="s">
        <v>39</v>
      </c>
      <c r="L658" s="50">
        <f>VLOOKUP(A658,'[3]Price info'!A:D,4,FALSE)</f>
        <v>43.06</v>
      </c>
      <c r="M658" s="18" t="s">
        <v>214</v>
      </c>
      <c r="N658" s="20">
        <v>3105</v>
      </c>
      <c r="P658" s="16">
        <f>VLOOKUP(A658,'[3]Price info'!A:H,8,FALSE)</f>
        <v>40.088860000000004</v>
      </c>
      <c r="Q658" s="17">
        <f t="shared" si="41"/>
        <v>0.93100000000000005</v>
      </c>
      <c r="S658" s="16">
        <f>VLOOKUP(A658,[4]Sales!$E:$G,3,FALSE)</f>
        <v>89.830000000000013</v>
      </c>
      <c r="T658" s="19">
        <f>VLOOKUP(A658,[4]Volume!$E:$G,3,FALSE)</f>
        <v>10</v>
      </c>
      <c r="U658" s="19">
        <f>VLOOKUP(A658,[4]Piece!$E:$G,3,FALSE)</f>
        <v>2</v>
      </c>
      <c r="V658" s="21">
        <f t="shared" si="42"/>
        <v>80.177720000000008</v>
      </c>
      <c r="W658" s="16">
        <f t="shared" si="43"/>
        <v>-9.6522800000000046</v>
      </c>
    </row>
    <row r="659" spans="1:23" hidden="1" x14ac:dyDescent="0.3">
      <c r="A659" s="22" t="s">
        <v>1326</v>
      </c>
      <c r="B659" s="22" t="s">
        <v>1326</v>
      </c>
      <c r="C659" s="23" t="s">
        <v>33</v>
      </c>
      <c r="D659" s="20" t="s">
        <v>34</v>
      </c>
      <c r="E659" s="22" t="s">
        <v>1327</v>
      </c>
      <c r="F659" s="24" t="str">
        <f t="shared" si="40"/>
        <v>PPG - ProGold BORDER &amp; OVERLAP ADH 1kg</v>
      </c>
      <c r="G659" s="23" t="s">
        <v>5532</v>
      </c>
      <c r="H659" s="25" t="s">
        <v>36</v>
      </c>
      <c r="I659" s="18" t="s">
        <v>37</v>
      </c>
      <c r="J659" s="18" t="s">
        <v>38</v>
      </c>
      <c r="K659" t="s">
        <v>39</v>
      </c>
      <c r="L659" s="26">
        <f>VLOOKUP(A659,'[3]Price info'!A:D,4,FALSE)</f>
        <v>7.37</v>
      </c>
      <c r="M659" s="18" t="s">
        <v>40</v>
      </c>
      <c r="N659" s="20">
        <v>3105</v>
      </c>
      <c r="P659" s="16">
        <f>VLOOKUP(A659,'[3]Price info'!A:H,8,FALSE)</f>
        <v>6.8614700000000006</v>
      </c>
      <c r="Q659" s="27">
        <f t="shared" si="41"/>
        <v>0.93100000000000005</v>
      </c>
      <c r="S659" s="16">
        <f>VLOOKUP(A659,[4]Sales!$E:$G,3,FALSE)</f>
        <v>56.919999999999995</v>
      </c>
      <c r="T659" s="19">
        <f>VLOOKUP(A659,[4]Volume!$E:$G,3,FALSE)</f>
        <v>9</v>
      </c>
      <c r="U659" s="19">
        <f>VLOOKUP(A659,[4]Piece!$E:$G,3,FALSE)</f>
        <v>9</v>
      </c>
      <c r="V659" s="21">
        <f t="shared" si="42"/>
        <v>61.753230000000002</v>
      </c>
      <c r="W659" s="16">
        <f t="shared" si="43"/>
        <v>4.8332300000000075</v>
      </c>
    </row>
    <row r="660" spans="1:23" hidden="1" x14ac:dyDescent="0.3">
      <c r="A660" s="22" t="s">
        <v>1328</v>
      </c>
      <c r="B660" s="22" t="s">
        <v>1328</v>
      </c>
      <c r="C660" s="23" t="s">
        <v>33</v>
      </c>
      <c r="D660" s="20" t="s">
        <v>34</v>
      </c>
      <c r="E660" s="22" t="s">
        <v>1329</v>
      </c>
      <c r="F660" s="24" t="str">
        <f t="shared" si="40"/>
        <v>PPG - Johnstones ADV STAIN BLOCK PRIMER - BW - 1l</v>
      </c>
      <c r="G660" s="23" t="s">
        <v>5533</v>
      </c>
      <c r="H660" s="25" t="s">
        <v>36</v>
      </c>
      <c r="I660" s="18" t="s">
        <v>37</v>
      </c>
      <c r="J660" s="18" t="s">
        <v>38</v>
      </c>
      <c r="K660" t="s">
        <v>39</v>
      </c>
      <c r="L660" s="26">
        <f>VLOOKUP(A660,'[3]Price info'!A:D,4,FALSE)</f>
        <v>15.26</v>
      </c>
      <c r="M660" s="18" t="s">
        <v>40</v>
      </c>
      <c r="N660" s="20">
        <v>3105</v>
      </c>
      <c r="P660" s="16">
        <f>VLOOKUP(A660,'[3]Price info'!A:H,8,FALSE)</f>
        <v>14.20706</v>
      </c>
      <c r="Q660" s="27">
        <f t="shared" si="41"/>
        <v>0.93100000000000005</v>
      </c>
      <c r="S660" s="16">
        <f>VLOOKUP(A660,[4]Sales!$E:$G,3,FALSE)</f>
        <v>14.21</v>
      </c>
      <c r="T660" s="19">
        <f>VLOOKUP(A660,[4]Volume!$E:$G,3,FALSE)</f>
        <v>1</v>
      </c>
      <c r="U660" s="19">
        <f>VLOOKUP(A660,[4]Piece!$E:$G,3,FALSE)</f>
        <v>1</v>
      </c>
      <c r="V660" s="21">
        <f t="shared" si="42"/>
        <v>14.20706</v>
      </c>
      <c r="W660" s="16">
        <f t="shared" si="43"/>
        <v>-2.9400000000006088E-3</v>
      </c>
    </row>
    <row r="661" spans="1:23" hidden="1" x14ac:dyDescent="0.3">
      <c r="A661" s="56" t="s">
        <v>1330</v>
      </c>
      <c r="B661" s="57" t="s">
        <v>1330</v>
      </c>
      <c r="C661" s="47" t="s">
        <v>33</v>
      </c>
      <c r="D661" s="48" t="s">
        <v>34</v>
      </c>
      <c r="E661" s="22" t="s">
        <v>1331</v>
      </c>
      <c r="F661" s="24" t="str">
        <f t="shared" si="40"/>
        <v>PPG - TESA MASK TAPE 50M X 50MM 4348</v>
      </c>
      <c r="G661" s="20" t="s">
        <v>5534</v>
      </c>
      <c r="H661" s="25" t="s">
        <v>36</v>
      </c>
      <c r="I661" s="18" t="s">
        <v>37</v>
      </c>
      <c r="J661" s="18" t="s">
        <v>38</v>
      </c>
      <c r="K661" t="s">
        <v>39</v>
      </c>
      <c r="L661" s="50">
        <v>4.49</v>
      </c>
      <c r="M661" s="18" t="s">
        <v>214</v>
      </c>
      <c r="N661" s="20">
        <v>3105</v>
      </c>
      <c r="P661" s="16">
        <f>VLOOKUP(A661,'[3]Price info'!A:H,8,FALSE)</f>
        <v>4.1801900000000005</v>
      </c>
      <c r="Q661" s="27">
        <f t="shared" si="41"/>
        <v>0.93100000000000005</v>
      </c>
      <c r="S661" s="16">
        <f>VLOOKUP(A661,[4]Sales!$E:$G,3,FALSE)</f>
        <v>202.35</v>
      </c>
      <c r="T661" s="19">
        <f>VLOOKUP(A661,[4]Volume!$E:$G,3,FALSE)</f>
        <v>40</v>
      </c>
      <c r="U661" s="19">
        <f>VLOOKUP(A661,[4]Piece!$E:$G,3,FALSE)</f>
        <v>40</v>
      </c>
      <c r="V661" s="21">
        <f t="shared" si="42"/>
        <v>167.20760000000001</v>
      </c>
      <c r="W661" s="16">
        <f t="shared" si="43"/>
        <v>-35.142399999999981</v>
      </c>
    </row>
    <row r="662" spans="1:23" hidden="1" x14ac:dyDescent="0.3">
      <c r="A662" s="46" t="s">
        <v>1332</v>
      </c>
      <c r="B662" s="46" t="s">
        <v>1332</v>
      </c>
      <c r="C662" s="51" t="s">
        <v>33</v>
      </c>
      <c r="D662" s="48" t="s">
        <v>34</v>
      </c>
      <c r="E662" s="18" t="s">
        <v>1333</v>
      </c>
      <c r="F662" s="24" t="str">
        <f t="shared" si="40"/>
        <v>PPG - RODO  PROTECTOR LI DUST SHEET NON WOVEN</v>
      </c>
      <c r="G662" s="20" t="s">
        <v>5535</v>
      </c>
      <c r="H662" s="49" t="s">
        <v>213</v>
      </c>
      <c r="I662" s="18" t="s">
        <v>37</v>
      </c>
      <c r="J662" s="18" t="s">
        <v>38</v>
      </c>
      <c r="K662" t="s">
        <v>39</v>
      </c>
      <c r="L662" s="50">
        <f>VLOOKUP(A662,'[3]Price info'!A:D,4,FALSE)</f>
        <v>5.29</v>
      </c>
      <c r="M662" s="18" t="s">
        <v>214</v>
      </c>
      <c r="N662" s="20">
        <v>3105</v>
      </c>
      <c r="P662" s="16">
        <f>VLOOKUP(A662,'[3]Price info'!A:H,8,FALSE)</f>
        <v>4.9249900000000002</v>
      </c>
      <c r="Q662" s="17">
        <f t="shared" si="41"/>
        <v>0.93100000000000005</v>
      </c>
      <c r="S662" s="16">
        <f>VLOOKUP(A662,[4]Sales!$E:$G,3,FALSE)</f>
        <v>0</v>
      </c>
      <c r="T662" s="19">
        <f>VLOOKUP(A662,[4]Volume!$E:$G,3,FALSE)</f>
        <v>1</v>
      </c>
      <c r="U662" s="19">
        <f>VLOOKUP(A662,[4]Piece!$E:$G,3,FALSE)</f>
        <v>1</v>
      </c>
      <c r="V662" s="21">
        <f t="shared" si="42"/>
        <v>4.9249900000000002</v>
      </c>
      <c r="W662" s="16">
        <f t="shared" si="43"/>
        <v>4.9249900000000002</v>
      </c>
    </row>
    <row r="663" spans="1:23" hidden="1" x14ac:dyDescent="0.3">
      <c r="A663" s="22" t="s">
        <v>1334</v>
      </c>
      <c r="B663" s="22" t="s">
        <v>1334</v>
      </c>
      <c r="C663" s="23" t="s">
        <v>33</v>
      </c>
      <c r="D663" s="20" t="s">
        <v>34</v>
      </c>
      <c r="E663" s="22" t="s">
        <v>1335</v>
      </c>
      <c r="F663" s="24" t="str">
        <f t="shared" si="40"/>
        <v>PPG - Stormshield FLEXIBLE EX GLOSS - Mix - 1ltr</v>
      </c>
      <c r="G663" s="23" t="s">
        <v>5536</v>
      </c>
      <c r="H663" s="25" t="s">
        <v>36</v>
      </c>
      <c r="I663" s="18" t="s">
        <v>37</v>
      </c>
      <c r="J663" s="18" t="s">
        <v>38</v>
      </c>
      <c r="K663" t="s">
        <v>39</v>
      </c>
      <c r="L663" s="26">
        <f>VLOOKUP(A663,'[3]Price info'!A:D,4,FALSE)</f>
        <v>22.09</v>
      </c>
      <c r="M663" s="18" t="s">
        <v>40</v>
      </c>
      <c r="N663" s="20">
        <v>3105</v>
      </c>
      <c r="P663" s="16">
        <f>VLOOKUP(A663,'[3]Price info'!A:H,8,FALSE)</f>
        <v>8</v>
      </c>
      <c r="Q663" s="27">
        <f t="shared" si="41"/>
        <v>0.36215482118605702</v>
      </c>
      <c r="S663" s="16" t="e">
        <f>VLOOKUP(A663,[4]Sales!$E:$G,3,FALSE)</f>
        <v>#N/A</v>
      </c>
      <c r="T663" s="19" t="e">
        <f>VLOOKUP(A663,[4]Volume!$E:$G,3,FALSE)</f>
        <v>#N/A</v>
      </c>
      <c r="U663" s="19" t="e">
        <f>VLOOKUP(A663,[4]Piece!$E:$G,3,FALSE)</f>
        <v>#N/A</v>
      </c>
      <c r="V663" s="21" t="e">
        <f t="shared" si="42"/>
        <v>#N/A</v>
      </c>
      <c r="W663" s="16" t="e">
        <f t="shared" si="43"/>
        <v>#N/A</v>
      </c>
    </row>
    <row r="664" spans="1:23" hidden="1" x14ac:dyDescent="0.3">
      <c r="A664" s="46" t="s">
        <v>1336</v>
      </c>
      <c r="B664" s="46" t="s">
        <v>1336</v>
      </c>
      <c r="C664" s="47" t="s">
        <v>33</v>
      </c>
      <c r="D664" s="48" t="s">
        <v>34</v>
      </c>
      <c r="E664" s="18" t="s">
        <v>1337</v>
      </c>
      <c r="F664" s="24" t="str">
        <f t="shared" si="40"/>
        <v>PPG - UB    COMP SYNTHET BRUSH 2"</v>
      </c>
      <c r="G664" s="20" t="s">
        <v>5537</v>
      </c>
      <c r="H664" s="49" t="s">
        <v>213</v>
      </c>
      <c r="I664" s="18" t="s">
        <v>37</v>
      </c>
      <c r="J664" s="18" t="s">
        <v>38</v>
      </c>
      <c r="K664" t="s">
        <v>39</v>
      </c>
      <c r="L664" s="50">
        <f>VLOOKUP(A664,'[3]Price info'!A:D,4,FALSE)</f>
        <v>4.26</v>
      </c>
      <c r="M664" s="18" t="s">
        <v>214</v>
      </c>
      <c r="N664" s="20">
        <v>3105</v>
      </c>
      <c r="P664" s="16">
        <f>VLOOKUP(A664,'[3]Price info'!A:H,8,FALSE)</f>
        <v>3.9660600000000001</v>
      </c>
      <c r="Q664" s="17">
        <f t="shared" si="41"/>
        <v>0.93100000000000005</v>
      </c>
      <c r="S664" s="16">
        <f>VLOOKUP(A664,[4]Sales!$E:$G,3,FALSE)</f>
        <v>398.01</v>
      </c>
      <c r="T664" s="19">
        <f>VLOOKUP(A664,[4]Volume!$E:$G,3,FALSE)</f>
        <v>92</v>
      </c>
      <c r="U664" s="19">
        <f>VLOOKUP(A664,[4]Piece!$E:$G,3,FALSE)</f>
        <v>92</v>
      </c>
      <c r="V664" s="21">
        <f t="shared" si="42"/>
        <v>364.87752</v>
      </c>
      <c r="W664" s="16">
        <f t="shared" si="43"/>
        <v>-33.132479999999987</v>
      </c>
    </row>
    <row r="665" spans="1:23" hidden="1" x14ac:dyDescent="0.3">
      <c r="A665" s="55" t="s">
        <v>1338</v>
      </c>
      <c r="B665" s="55" t="s">
        <v>1338</v>
      </c>
      <c r="C665" s="47" t="s">
        <v>33</v>
      </c>
      <c r="D665" s="48" t="s">
        <v>34</v>
      </c>
      <c r="E665" s="20" t="s">
        <v>1339</v>
      </c>
      <c r="F665" s="24" t="str">
        <f t="shared" si="40"/>
        <v>PPG - PROGOLD ABRASIVE PAD COURSE(10</v>
      </c>
      <c r="G665" s="20" t="s">
        <v>5538</v>
      </c>
      <c r="H665" s="49" t="s">
        <v>213</v>
      </c>
      <c r="I665" s="18" t="s">
        <v>37</v>
      </c>
      <c r="J665" s="18" t="s">
        <v>38</v>
      </c>
      <c r="K665" t="s">
        <v>39</v>
      </c>
      <c r="L665" s="50">
        <v>4.38</v>
      </c>
      <c r="M665" s="18" t="s">
        <v>214</v>
      </c>
      <c r="N665" s="20">
        <v>3105</v>
      </c>
      <c r="P665" s="16">
        <f>VLOOKUP(A665,'[3]Price info'!A:H,8,FALSE)</f>
        <v>4.0777799999999997</v>
      </c>
      <c r="Q665" s="17">
        <f t="shared" si="41"/>
        <v>0.93099999999999994</v>
      </c>
      <c r="S665" s="16">
        <f>VLOOKUP(A665,[4]Sales!$E:$G,3,FALSE)</f>
        <v>72.56</v>
      </c>
      <c r="T665" s="19">
        <f>VLOOKUP(A665,[4]Volume!$E:$G,3,FALSE)</f>
        <v>22</v>
      </c>
      <c r="U665" s="19">
        <f>VLOOKUP(A665,[4]Piece!$E:$G,3,FALSE)</f>
        <v>22</v>
      </c>
      <c r="V665" s="21">
        <f t="shared" si="42"/>
        <v>89.711159999999992</v>
      </c>
      <c r="W665" s="16">
        <f t="shared" si="43"/>
        <v>17.15115999999999</v>
      </c>
    </row>
    <row r="666" spans="1:23" hidden="1" x14ac:dyDescent="0.3">
      <c r="A666" s="46" t="s">
        <v>1340</v>
      </c>
      <c r="B666" s="46" t="s">
        <v>1340</v>
      </c>
      <c r="C666" s="47" t="s">
        <v>33</v>
      </c>
      <c r="D666" s="48" t="s">
        <v>34</v>
      </c>
      <c r="E666" s="18" t="s">
        <v>1341</v>
      </c>
      <c r="F666" s="24" t="str">
        <f t="shared" si="40"/>
        <v>PPG - UB    3G BUILDERS  BUCKET</v>
      </c>
      <c r="G666" s="20" t="s">
        <v>5539</v>
      </c>
      <c r="H666" s="49" t="s">
        <v>213</v>
      </c>
      <c r="I666" s="18" t="s">
        <v>37</v>
      </c>
      <c r="J666" s="18" t="s">
        <v>38</v>
      </c>
      <c r="K666" t="s">
        <v>39</v>
      </c>
      <c r="L666" s="50">
        <f>VLOOKUP(A666,'[3]Price info'!A:D,4,FALSE)</f>
        <v>3.37</v>
      </c>
      <c r="M666" s="18" t="s">
        <v>214</v>
      </c>
      <c r="N666" s="20">
        <v>3105</v>
      </c>
      <c r="P666" s="16">
        <f>VLOOKUP(A666,'[3]Price info'!A:H,8,FALSE)</f>
        <v>3.1374700000000004</v>
      </c>
      <c r="Q666" s="17">
        <f t="shared" si="41"/>
        <v>0.93100000000000005</v>
      </c>
      <c r="S666" s="16">
        <f>VLOOKUP(A666,[4]Sales!$E:$G,3,FALSE)</f>
        <v>37.980000000000004</v>
      </c>
      <c r="T666" s="19">
        <f>VLOOKUP(A666,[4]Volume!$E:$G,3,FALSE)</f>
        <v>13</v>
      </c>
      <c r="U666" s="19">
        <f>VLOOKUP(A666,[4]Piece!$E:$G,3,FALSE)</f>
        <v>13</v>
      </c>
      <c r="V666" s="21">
        <f t="shared" si="42"/>
        <v>40.787110000000006</v>
      </c>
      <c r="W666" s="16">
        <f t="shared" si="43"/>
        <v>2.8071100000000015</v>
      </c>
    </row>
    <row r="667" spans="1:23" hidden="1" x14ac:dyDescent="0.3">
      <c r="A667" s="22" t="s">
        <v>1342</v>
      </c>
      <c r="B667" s="22" t="s">
        <v>1342</v>
      </c>
      <c r="C667" s="23" t="s">
        <v>33</v>
      </c>
      <c r="D667" s="20" t="s">
        <v>34</v>
      </c>
      <c r="E667" s="22" t="s">
        <v>1343</v>
      </c>
      <c r="F667" s="24" t="str">
        <f t="shared" si="40"/>
        <v>PPG - Johnstones PRO UNDERCOAT - Charcoal - 2.5ltr</v>
      </c>
      <c r="G667" s="23" t="s">
        <v>5540</v>
      </c>
      <c r="H667" s="25" t="s">
        <v>36</v>
      </c>
      <c r="I667" s="18" t="s">
        <v>37</v>
      </c>
      <c r="J667" s="18" t="s">
        <v>38</v>
      </c>
      <c r="K667" t="s">
        <v>39</v>
      </c>
      <c r="L667" s="26">
        <f>VLOOKUP(A667,'[3]Price info'!A:D,4,FALSE)</f>
        <v>9.7799999999999994</v>
      </c>
      <c r="M667" s="18" t="s">
        <v>40</v>
      </c>
      <c r="N667" s="20">
        <v>3105</v>
      </c>
      <c r="P667" s="16">
        <f>VLOOKUP(A667,'[3]Price info'!A:H,8,FALSE)</f>
        <v>13.69</v>
      </c>
      <c r="Q667" s="27">
        <f t="shared" si="41"/>
        <v>1.3997955010224949</v>
      </c>
      <c r="S667" s="16">
        <f>VLOOKUP(A667,[4]Sales!$E:$G,3,FALSE)</f>
        <v>115.39</v>
      </c>
      <c r="T667" s="19">
        <f>VLOOKUP(A667,[4]Volume!$E:$G,3,FALSE)</f>
        <v>22.5</v>
      </c>
      <c r="U667" s="19">
        <f>VLOOKUP(A667,[4]Piece!$E:$G,3,FALSE)</f>
        <v>9</v>
      </c>
      <c r="V667" s="21">
        <f t="shared" si="42"/>
        <v>123.21</v>
      </c>
      <c r="W667" s="16">
        <f t="shared" si="43"/>
        <v>7.8199999999999932</v>
      </c>
    </row>
    <row r="668" spans="1:23" hidden="1" x14ac:dyDescent="0.3">
      <c r="A668" s="22" t="s">
        <v>1344</v>
      </c>
      <c r="B668" s="22" t="s">
        <v>1344</v>
      </c>
      <c r="C668" s="23" t="s">
        <v>33</v>
      </c>
      <c r="D668" s="20" t="s">
        <v>34</v>
      </c>
      <c r="E668" s="22" t="s">
        <v>1345</v>
      </c>
      <c r="F668" s="24" t="str">
        <f t="shared" si="40"/>
        <v>PPG - Johnstones MDF PRIMER - Bril White - 5ltr</v>
      </c>
      <c r="G668" s="23" t="s">
        <v>5541</v>
      </c>
      <c r="H668" s="25" t="s">
        <v>36</v>
      </c>
      <c r="I668" s="18" t="s">
        <v>37</v>
      </c>
      <c r="J668" s="18" t="s">
        <v>38</v>
      </c>
      <c r="K668" t="s">
        <v>39</v>
      </c>
      <c r="L668" s="26">
        <f>VLOOKUP(A668,'[3]Price info'!A:D,4,FALSE)</f>
        <v>29.68</v>
      </c>
      <c r="M668" s="18" t="s">
        <v>40</v>
      </c>
      <c r="N668" s="20">
        <v>3105</v>
      </c>
      <c r="P668" s="16">
        <f>VLOOKUP(A668,'[3]Price info'!A:H,8,FALSE)</f>
        <v>27.632080000000002</v>
      </c>
      <c r="Q668" s="27">
        <f t="shared" si="41"/>
        <v>0.93100000000000005</v>
      </c>
      <c r="S668" s="16" t="e">
        <f>VLOOKUP(A668,[4]Sales!$E:$G,3,FALSE)</f>
        <v>#N/A</v>
      </c>
      <c r="T668" s="19" t="e">
        <f>VLOOKUP(A668,[4]Volume!$E:$G,3,FALSE)</f>
        <v>#N/A</v>
      </c>
      <c r="U668" s="19" t="e">
        <f>VLOOKUP(A668,[4]Piece!$E:$G,3,FALSE)</f>
        <v>#N/A</v>
      </c>
      <c r="V668" s="21" t="e">
        <f t="shared" si="42"/>
        <v>#N/A</v>
      </c>
      <c r="W668" s="16" t="e">
        <f t="shared" si="43"/>
        <v>#N/A</v>
      </c>
    </row>
    <row r="669" spans="1:23" hidden="1" x14ac:dyDescent="0.3">
      <c r="A669" s="53" t="s">
        <v>1346</v>
      </c>
      <c r="B669" s="54" t="s">
        <v>1346</v>
      </c>
      <c r="C669" s="47" t="s">
        <v>33</v>
      </c>
      <c r="D669" s="48" t="s">
        <v>34</v>
      </c>
      <c r="E669" s="22" t="s">
        <v>1347</v>
      </c>
      <c r="F669" s="24" t="str">
        <f t="shared" si="40"/>
        <v>PPG - RODO PRECISION EDGE MASKING TAPE 1.5"</v>
      </c>
      <c r="G669" s="20" t="s">
        <v>5542</v>
      </c>
      <c r="H669" s="25" t="s">
        <v>36</v>
      </c>
      <c r="I669" s="18" t="s">
        <v>37</v>
      </c>
      <c r="J669" s="18" t="s">
        <v>38</v>
      </c>
      <c r="K669" t="s">
        <v>39</v>
      </c>
      <c r="L669" s="26">
        <f>VLOOKUP(A669,'[3]Price info'!A:D,4,FALSE)</f>
        <v>3.72</v>
      </c>
      <c r="M669" s="18" t="s">
        <v>214</v>
      </c>
      <c r="N669" s="20">
        <v>3105</v>
      </c>
      <c r="P669" s="16">
        <f>VLOOKUP(A669,'[3]Price info'!A:H,8,FALSE)</f>
        <v>3.4633200000000004</v>
      </c>
      <c r="Q669" s="27">
        <f t="shared" si="41"/>
        <v>0.93100000000000005</v>
      </c>
      <c r="S669" s="16">
        <f>VLOOKUP(A669,[4]Sales!$E:$G,3,FALSE)</f>
        <v>33.22</v>
      </c>
      <c r="T669" s="19">
        <f>VLOOKUP(A669,[4]Volume!$E:$G,3,FALSE)</f>
        <v>9</v>
      </c>
      <c r="U669" s="19">
        <f>VLOOKUP(A669,[4]Piece!$E:$G,3,FALSE)</f>
        <v>9</v>
      </c>
      <c r="V669" s="21">
        <f t="shared" si="42"/>
        <v>31.169880000000003</v>
      </c>
      <c r="W669" s="16">
        <f t="shared" si="43"/>
        <v>-2.0501199999999962</v>
      </c>
    </row>
    <row r="670" spans="1:23" hidden="1" x14ac:dyDescent="0.3">
      <c r="A670" s="46" t="s">
        <v>1348</v>
      </c>
      <c r="B670" s="46" t="s">
        <v>1348</v>
      </c>
      <c r="C670" s="51" t="s">
        <v>33</v>
      </c>
      <c r="D670" s="48" t="s">
        <v>34</v>
      </c>
      <c r="E670" s="18" t="s">
        <v>1349</v>
      </c>
      <c r="F670" s="24" t="str">
        <f t="shared" si="40"/>
        <v>PPG - BLKRO LATEX GRIP   GLOVE</v>
      </c>
      <c r="G670" s="20" t="s">
        <v>5543</v>
      </c>
      <c r="H670" s="49" t="s">
        <v>213</v>
      </c>
      <c r="I670" s="18" t="s">
        <v>37</v>
      </c>
      <c r="J670" s="18" t="s">
        <v>38</v>
      </c>
      <c r="K670" t="s">
        <v>39</v>
      </c>
      <c r="L670" s="50">
        <f>VLOOKUP(A670,'[3]Price info'!A:D,4,FALSE)</f>
        <v>1.95</v>
      </c>
      <c r="M670" s="18" t="s">
        <v>214</v>
      </c>
      <c r="N670" s="20">
        <v>3105</v>
      </c>
      <c r="P670" s="16">
        <f>VLOOKUP(A670,'[3]Price info'!A:H,8,FALSE)</f>
        <v>1.81545</v>
      </c>
      <c r="Q670" s="17">
        <f t="shared" si="41"/>
        <v>0.93100000000000005</v>
      </c>
      <c r="S670" s="16">
        <f>VLOOKUP(A670,[4]Sales!$E:$G,3,FALSE)</f>
        <v>10.9</v>
      </c>
      <c r="T670" s="19">
        <f>VLOOKUP(A670,[4]Volume!$E:$G,3,FALSE)</f>
        <v>6</v>
      </c>
      <c r="U670" s="19">
        <f>VLOOKUP(A670,[4]Piece!$E:$G,3,FALSE)</f>
        <v>6</v>
      </c>
      <c r="V670" s="21">
        <f t="shared" si="42"/>
        <v>10.8927</v>
      </c>
      <c r="W670" s="16">
        <f t="shared" si="43"/>
        <v>-7.3000000000007503E-3</v>
      </c>
    </row>
    <row r="671" spans="1:23" hidden="1" x14ac:dyDescent="0.3">
      <c r="A671" s="22" t="s">
        <v>1350</v>
      </c>
      <c r="B671" s="22" t="s">
        <v>1350</v>
      </c>
      <c r="C671" s="23" t="s">
        <v>33</v>
      </c>
      <c r="D671" s="20" t="s">
        <v>34</v>
      </c>
      <c r="E671" s="22" t="s">
        <v>1351</v>
      </c>
      <c r="F671" s="24" t="str">
        <f t="shared" si="40"/>
        <v>PPG - ProGold INTERIOR POWDER FILLER 2kg</v>
      </c>
      <c r="G671" s="23" t="s">
        <v>5544</v>
      </c>
      <c r="H671" s="25" t="s">
        <v>36</v>
      </c>
      <c r="I671" s="18" t="s">
        <v>37</v>
      </c>
      <c r="J671" s="18" t="s">
        <v>38</v>
      </c>
      <c r="K671" t="s">
        <v>39</v>
      </c>
      <c r="L671" s="26">
        <f>VLOOKUP(A671,'[3]Price info'!A:D,4,FALSE)</f>
        <v>3.42</v>
      </c>
      <c r="M671" s="18" t="s">
        <v>40</v>
      </c>
      <c r="N671" s="20">
        <v>3105</v>
      </c>
      <c r="P671" s="16">
        <f>VLOOKUP(A671,'[3]Price info'!A:H,8,FALSE)</f>
        <v>3.1840200000000003</v>
      </c>
      <c r="Q671" s="27">
        <f t="shared" si="41"/>
        <v>0.93100000000000016</v>
      </c>
      <c r="S671" s="16">
        <f>VLOOKUP(A671,[4]Sales!$E:$G,3,FALSE)</f>
        <v>71.160000000000011</v>
      </c>
      <c r="T671" s="19">
        <f>VLOOKUP(A671,[4]Volume!$E:$G,3,FALSE)</f>
        <v>4.4000000000000004</v>
      </c>
      <c r="U671" s="19">
        <f>VLOOKUP(A671,[4]Piece!$E:$G,3,FALSE)</f>
        <v>22</v>
      </c>
      <c r="V671" s="21">
        <f t="shared" si="42"/>
        <v>70.048439999999999</v>
      </c>
      <c r="W671" s="16">
        <f t="shared" si="43"/>
        <v>-1.1115600000000114</v>
      </c>
    </row>
    <row r="672" spans="1:23" hidden="1" x14ac:dyDescent="0.3">
      <c r="A672" s="46" t="s">
        <v>1352</v>
      </c>
      <c r="B672" s="46" t="s">
        <v>1352</v>
      </c>
      <c r="C672" s="47" t="s">
        <v>33</v>
      </c>
      <c r="D672" s="48" t="s">
        <v>34</v>
      </c>
      <c r="E672" s="18" t="s">
        <v>1353</v>
      </c>
      <c r="F672" s="24" t="str">
        <f t="shared" si="40"/>
        <v>PPG - MIRKA ABRANET 81X133 P180  10 STK</v>
      </c>
      <c r="G672" s="20" t="s">
        <v>5545</v>
      </c>
      <c r="H672" s="49" t="s">
        <v>213</v>
      </c>
      <c r="I672" s="18" t="s">
        <v>37</v>
      </c>
      <c r="J672" s="18" t="s">
        <v>38</v>
      </c>
      <c r="K672" t="s">
        <v>39</v>
      </c>
      <c r="L672" s="50">
        <f>VLOOKUP(A672,'[3]Price info'!A:D,4,FALSE)</f>
        <v>4.3099999999999996</v>
      </c>
      <c r="M672" s="18" t="s">
        <v>214</v>
      </c>
      <c r="N672" s="20">
        <v>3105</v>
      </c>
      <c r="P672" s="16">
        <f>VLOOKUP(A672,'[3]Price info'!A:H,8,FALSE)</f>
        <v>4.0126099999999996</v>
      </c>
      <c r="Q672" s="17">
        <f t="shared" si="41"/>
        <v>0.93099999999999994</v>
      </c>
      <c r="S672" s="16">
        <f>VLOOKUP(A672,[4]Sales!$E:$G,3,FALSE)</f>
        <v>21.55</v>
      </c>
      <c r="T672" s="19">
        <f>VLOOKUP(A672,[4]Volume!$E:$G,3,FALSE)</f>
        <v>5</v>
      </c>
      <c r="U672" s="19">
        <f>VLOOKUP(A672,[4]Piece!$E:$G,3,FALSE)</f>
        <v>5</v>
      </c>
      <c r="V672" s="21">
        <f t="shared" si="42"/>
        <v>20.063049999999997</v>
      </c>
      <c r="W672" s="16">
        <f t="shared" si="43"/>
        <v>-1.4869500000000038</v>
      </c>
    </row>
    <row r="673" spans="1:23" hidden="1" x14ac:dyDescent="0.3">
      <c r="A673" s="22" t="s">
        <v>1354</v>
      </c>
      <c r="B673" s="22" t="s">
        <v>1354</v>
      </c>
      <c r="C673" s="23" t="s">
        <v>33</v>
      </c>
      <c r="D673" s="20" t="s">
        <v>34</v>
      </c>
      <c r="E673" s="22" t="s">
        <v>1355</v>
      </c>
      <c r="F673" s="24" t="str">
        <f t="shared" si="40"/>
        <v>PPG - Johnstones SATIN WOODSTAIN - Walnut - 2.5ltr</v>
      </c>
      <c r="G673" s="23" t="s">
        <v>5546</v>
      </c>
      <c r="H673" s="25" t="s">
        <v>36</v>
      </c>
      <c r="I673" s="18" t="s">
        <v>37</v>
      </c>
      <c r="J673" s="18" t="s">
        <v>38</v>
      </c>
      <c r="K673" t="s">
        <v>39</v>
      </c>
      <c r="L673" s="26">
        <f>VLOOKUP(A673,'[3]Price info'!A:D,4,FALSE)</f>
        <v>16.88</v>
      </c>
      <c r="M673" s="18" t="s">
        <v>40</v>
      </c>
      <c r="N673" s="20">
        <v>3105</v>
      </c>
      <c r="P673" s="16">
        <f>VLOOKUP(A673,'[3]Price info'!A:H,8,FALSE)</f>
        <v>15.71528</v>
      </c>
      <c r="Q673" s="27">
        <f t="shared" si="41"/>
        <v>0.93100000000000005</v>
      </c>
      <c r="S673" s="16">
        <f>VLOOKUP(A673,[4]Sales!$E:$G,3,FALSE)</f>
        <v>15.72</v>
      </c>
      <c r="T673" s="19">
        <f>VLOOKUP(A673,[4]Volume!$E:$G,3,FALSE)</f>
        <v>2.5</v>
      </c>
      <c r="U673" s="19">
        <f>VLOOKUP(A673,[4]Piece!$E:$G,3,FALSE)</f>
        <v>1</v>
      </c>
      <c r="V673" s="21">
        <f t="shared" si="42"/>
        <v>15.71528</v>
      </c>
      <c r="W673" s="16">
        <f t="shared" si="43"/>
        <v>-4.7200000000007236E-3</v>
      </c>
    </row>
    <row r="674" spans="1:23" hidden="1" x14ac:dyDescent="0.3">
      <c r="A674" s="46" t="s">
        <v>1356</v>
      </c>
      <c r="B674" s="46" t="s">
        <v>1356</v>
      </c>
      <c r="C674" s="47" t="s">
        <v>33</v>
      </c>
      <c r="D674" s="48" t="s">
        <v>34</v>
      </c>
      <c r="E674" s="18" t="s">
        <v>1357</v>
      </c>
      <c r="F674" s="24" t="str">
        <f t="shared" si="40"/>
        <v>PPG - RODO  10" CAULKER  PLDT003</v>
      </c>
      <c r="G674" s="20" t="s">
        <v>5547</v>
      </c>
      <c r="H674" s="49" t="s">
        <v>213</v>
      </c>
      <c r="I674" s="18" t="s">
        <v>37</v>
      </c>
      <c r="J674" s="18" t="s">
        <v>38</v>
      </c>
      <c r="K674" t="s">
        <v>39</v>
      </c>
      <c r="L674" s="50">
        <f>VLOOKUP(A674,'[3]Price info'!A:D,4,FALSE)</f>
        <v>6.43</v>
      </c>
      <c r="M674" s="18" t="s">
        <v>214</v>
      </c>
      <c r="N674" s="20">
        <v>3105</v>
      </c>
      <c r="P674" s="16">
        <f>VLOOKUP(A674,'[3]Price info'!A:H,8,FALSE)</f>
        <v>5.9863299999999997</v>
      </c>
      <c r="Q674" s="17">
        <f t="shared" si="41"/>
        <v>0.93100000000000005</v>
      </c>
      <c r="S674" s="16">
        <f>VLOOKUP(A674,[4]Sales!$E:$G,3,FALSE)</f>
        <v>67.470000000000013</v>
      </c>
      <c r="T674" s="19">
        <f>VLOOKUP(A674,[4]Volume!$E:$G,3,FALSE)</f>
        <v>11</v>
      </c>
      <c r="U674" s="19">
        <f>VLOOKUP(A674,[4]Piece!$E:$G,3,FALSE)</f>
        <v>11</v>
      </c>
      <c r="V674" s="21">
        <f t="shared" si="42"/>
        <v>65.849629999999991</v>
      </c>
      <c r="W674" s="16">
        <f t="shared" si="43"/>
        <v>-1.6203700000000225</v>
      </c>
    </row>
    <row r="675" spans="1:23" hidden="1" x14ac:dyDescent="0.3">
      <c r="A675" s="22" t="s">
        <v>1358</v>
      </c>
      <c r="B675" s="22" t="s">
        <v>1358</v>
      </c>
      <c r="C675" s="23" t="s">
        <v>33</v>
      </c>
      <c r="D675" s="20" t="s">
        <v>34</v>
      </c>
      <c r="E675" s="22" t="s">
        <v>1359</v>
      </c>
      <c r="F675" s="24" t="str">
        <f t="shared" si="40"/>
        <v>PPG - Johnstones QD ZINC PHOS - Red Ox - 2.5ltr</v>
      </c>
      <c r="G675" s="23" t="s">
        <v>5548</v>
      </c>
      <c r="H675" s="25" t="s">
        <v>36</v>
      </c>
      <c r="I675" s="18" t="s">
        <v>37</v>
      </c>
      <c r="J675" s="18" t="s">
        <v>38</v>
      </c>
      <c r="K675" t="s">
        <v>39</v>
      </c>
      <c r="L675" s="26">
        <f>VLOOKUP(A675,'[3]Price info'!A:D,4,FALSE)</f>
        <v>27.07</v>
      </c>
      <c r="M675" s="18" t="s">
        <v>40</v>
      </c>
      <c r="N675" s="20">
        <v>3105</v>
      </c>
      <c r="P675" s="16">
        <f>VLOOKUP(A675,'[3]Price info'!A:H,8,FALSE)</f>
        <v>25.202170000000002</v>
      </c>
      <c r="Q675" s="27">
        <f t="shared" si="41"/>
        <v>0.93100000000000005</v>
      </c>
      <c r="S675" s="16">
        <f>VLOOKUP(A675,[4]Sales!$E:$G,3,FALSE)</f>
        <v>52.269999999999996</v>
      </c>
      <c r="T675" s="19">
        <f>VLOOKUP(A675,[4]Volume!$E:$G,3,FALSE)</f>
        <v>5</v>
      </c>
      <c r="U675" s="19">
        <f>VLOOKUP(A675,[4]Piece!$E:$G,3,FALSE)</f>
        <v>2</v>
      </c>
      <c r="V675" s="21">
        <f t="shared" si="42"/>
        <v>50.404340000000005</v>
      </c>
      <c r="W675" s="16">
        <f t="shared" si="43"/>
        <v>-1.8656599999999912</v>
      </c>
    </row>
    <row r="676" spans="1:23" hidden="1" x14ac:dyDescent="0.3">
      <c r="A676" s="22" t="s">
        <v>1360</v>
      </c>
      <c r="B676" s="22" t="s">
        <v>1360</v>
      </c>
      <c r="C676" s="23" t="s">
        <v>33</v>
      </c>
      <c r="D676" s="20" t="s">
        <v>34</v>
      </c>
      <c r="E676" s="22" t="s">
        <v>1361</v>
      </c>
      <c r="F676" s="24" t="str">
        <f t="shared" si="40"/>
        <v>PPG - ProGold SCUTTLE KIT</v>
      </c>
      <c r="G676" s="23" t="s">
        <v>5549</v>
      </c>
      <c r="H676" s="25" t="s">
        <v>36</v>
      </c>
      <c r="I676" s="18" t="s">
        <v>37</v>
      </c>
      <c r="J676" s="18" t="s">
        <v>38</v>
      </c>
      <c r="K676" t="s">
        <v>39</v>
      </c>
      <c r="L676" s="26">
        <f>VLOOKUP(A676,'[3]Price info'!A:D,4,FALSE)</f>
        <v>13.83</v>
      </c>
      <c r="M676" s="18" t="s">
        <v>40</v>
      </c>
      <c r="N676" s="20">
        <v>3105</v>
      </c>
      <c r="P676" s="16">
        <f>VLOOKUP(A676,'[3]Price info'!A:H,8,FALSE)</f>
        <v>12.875730000000001</v>
      </c>
      <c r="Q676" s="27">
        <f t="shared" si="41"/>
        <v>0.93100000000000005</v>
      </c>
      <c r="S676" s="16">
        <f>VLOOKUP(A676,[4]Sales!$E:$G,3,FALSE)</f>
        <v>62.91</v>
      </c>
      <c r="T676" s="19">
        <f>VLOOKUP(A676,[4]Volume!$E:$G,3,FALSE)</f>
        <v>6</v>
      </c>
      <c r="U676" s="19">
        <f>VLOOKUP(A676,[4]Piece!$E:$G,3,FALSE)</f>
        <v>6</v>
      </c>
      <c r="V676" s="21">
        <f t="shared" si="42"/>
        <v>77.254379999999998</v>
      </c>
      <c r="W676" s="16">
        <f t="shared" si="43"/>
        <v>14.344380000000001</v>
      </c>
    </row>
    <row r="677" spans="1:23" hidden="1" x14ac:dyDescent="0.3">
      <c r="A677" s="56" t="s">
        <v>1362</v>
      </c>
      <c r="B677" s="56" t="s">
        <v>1362</v>
      </c>
      <c r="C677" s="47" t="s">
        <v>33</v>
      </c>
      <c r="D677" s="48" t="s">
        <v>34</v>
      </c>
      <c r="E677" s="22" t="s">
        <v>1363</v>
      </c>
      <c r="F677" s="24" t="str">
        <f t="shared" si="40"/>
        <v>PPG - TESA PR MASK TAPE 50M X 25MM 4440</v>
      </c>
      <c r="G677" s="20" t="s">
        <v>5550</v>
      </c>
      <c r="H677" s="25" t="s">
        <v>36</v>
      </c>
      <c r="I677" s="18" t="s">
        <v>37</v>
      </c>
      <c r="J677" s="18" t="s">
        <v>38</v>
      </c>
      <c r="K677" t="s">
        <v>39</v>
      </c>
      <c r="L677" s="50">
        <v>5.71</v>
      </c>
      <c r="M677" s="18" t="s">
        <v>214</v>
      </c>
      <c r="N677" s="20">
        <v>3105</v>
      </c>
      <c r="P677" s="16">
        <f>VLOOKUP(A677,'[3]Price info'!A:H,8,FALSE)</f>
        <v>5.3160100000000003</v>
      </c>
      <c r="Q677" s="27">
        <f t="shared" si="41"/>
        <v>0.93100000000000005</v>
      </c>
      <c r="S677" s="16">
        <f>VLOOKUP(A677,[4]Sales!$E:$G,3,FALSE)</f>
        <v>35.909999999999997</v>
      </c>
      <c r="T677" s="19">
        <f>VLOOKUP(A677,[4]Volume!$E:$G,3,FALSE)</f>
        <v>3.0000000000000001E-3</v>
      </c>
      <c r="U677" s="19">
        <f>VLOOKUP(A677,[4]Piece!$E:$G,3,FALSE)</f>
        <v>3</v>
      </c>
      <c r="V677" s="21">
        <f t="shared" si="42"/>
        <v>15.948030000000001</v>
      </c>
      <c r="W677" s="16">
        <f t="shared" si="43"/>
        <v>-19.961969999999994</v>
      </c>
    </row>
    <row r="678" spans="1:23" hidden="1" x14ac:dyDescent="0.3">
      <c r="A678" s="22" t="s">
        <v>1364</v>
      </c>
      <c r="B678" s="22" t="s">
        <v>1364</v>
      </c>
      <c r="C678" s="23" t="s">
        <v>33</v>
      </c>
      <c r="D678" s="20" t="s">
        <v>34</v>
      </c>
      <c r="E678" s="22" t="s">
        <v>1365</v>
      </c>
      <c r="F678" s="24" t="str">
        <f t="shared" si="40"/>
        <v>PPG - Leyland GLOSS - Mix - 2.5ltr</v>
      </c>
      <c r="G678" s="23" t="s">
        <v>5551</v>
      </c>
      <c r="H678" s="25" t="s">
        <v>36</v>
      </c>
      <c r="I678" s="18" t="s">
        <v>37</v>
      </c>
      <c r="J678" s="18" t="s">
        <v>38</v>
      </c>
      <c r="K678" t="s">
        <v>39</v>
      </c>
      <c r="L678" s="26">
        <f>VLOOKUP(A678,'[3]Price info'!A:D,4,FALSE)</f>
        <v>14.19</v>
      </c>
      <c r="M678" s="18" t="s">
        <v>40</v>
      </c>
      <c r="N678" s="20">
        <v>3105</v>
      </c>
      <c r="P678" s="16">
        <f>VLOOKUP(A678,'[3]Price info'!A:H,8,FALSE)</f>
        <v>13.76</v>
      </c>
      <c r="Q678" s="27">
        <f t="shared" si="41"/>
        <v>0.96969696969696972</v>
      </c>
      <c r="S678" s="16">
        <f>VLOOKUP(A678,[4]Sales!$E:$G,3,FALSE)</f>
        <v>96.57</v>
      </c>
      <c r="T678" s="19">
        <f>VLOOKUP(A678,[4]Volume!$E:$G,3,FALSE)</f>
        <v>17.5</v>
      </c>
      <c r="U678" s="19">
        <f>VLOOKUP(A678,[4]Piece!$E:$G,3,FALSE)</f>
        <v>7</v>
      </c>
      <c r="V678" s="21">
        <f t="shared" si="42"/>
        <v>96.32</v>
      </c>
      <c r="W678" s="16">
        <f t="shared" si="43"/>
        <v>-0.25</v>
      </c>
    </row>
    <row r="679" spans="1:23" hidden="1" x14ac:dyDescent="0.3">
      <c r="A679" s="22" t="s">
        <v>1366</v>
      </c>
      <c r="B679" s="22" t="s">
        <v>1366</v>
      </c>
      <c r="C679" s="23" t="s">
        <v>33</v>
      </c>
      <c r="D679" s="20" t="s">
        <v>34</v>
      </c>
      <c r="E679" s="22" t="s">
        <v>1367</v>
      </c>
      <c r="F679" s="24" t="str">
        <f t="shared" si="40"/>
        <v>PPG - Johnstones CLEANABLE MATT - Mix - 10ltr</v>
      </c>
      <c r="G679" s="23" t="s">
        <v>5552</v>
      </c>
      <c r="H679" s="25" t="s">
        <v>36</v>
      </c>
      <c r="I679" s="18" t="s">
        <v>37</v>
      </c>
      <c r="J679" s="18" t="s">
        <v>38</v>
      </c>
      <c r="K679" t="s">
        <v>39</v>
      </c>
      <c r="L679" s="26">
        <f>VLOOKUP(A679,'[3]Price info'!A:D,4,FALSE)</f>
        <v>80.290000000000006</v>
      </c>
      <c r="M679" s="18" t="s">
        <v>40</v>
      </c>
      <c r="N679" s="20">
        <v>3105</v>
      </c>
      <c r="P679" s="16">
        <f>VLOOKUP(A679,'[3]Price info'!A:H,8,FALSE)</f>
        <v>56.2</v>
      </c>
      <c r="Q679" s="27">
        <f t="shared" si="41"/>
        <v>0.69996263544650639</v>
      </c>
      <c r="S679" s="16">
        <f>VLOOKUP(A679,[4]Sales!$E:$G,3,FALSE)</f>
        <v>4334.53</v>
      </c>
      <c r="T679" s="19">
        <f>VLOOKUP(A679,[4]Volume!$E:$G,3,FALSE)</f>
        <v>630</v>
      </c>
      <c r="U679" s="19">
        <f>VLOOKUP(A679,[4]Piece!$E:$G,3,FALSE)</f>
        <v>63</v>
      </c>
      <c r="V679" s="21">
        <f t="shared" si="42"/>
        <v>3540.6000000000004</v>
      </c>
      <c r="W679" s="16">
        <f t="shared" si="43"/>
        <v>-793.92999999999938</v>
      </c>
    </row>
    <row r="680" spans="1:23" hidden="1" x14ac:dyDescent="0.3">
      <c r="A680" s="22" t="s">
        <v>1368</v>
      </c>
      <c r="B680" s="22" t="s">
        <v>1368</v>
      </c>
      <c r="C680" s="23" t="s">
        <v>33</v>
      </c>
      <c r="D680" s="20" t="s">
        <v>34</v>
      </c>
      <c r="E680" s="22" t="s">
        <v>1369</v>
      </c>
      <c r="F680" s="24" t="str">
        <f t="shared" si="40"/>
        <v>PPG - Mangers SUGAR SOAP 30L MIX</v>
      </c>
      <c r="G680" s="23" t="s">
        <v>5553</v>
      </c>
      <c r="H680" s="25" t="s">
        <v>36</v>
      </c>
      <c r="I680" s="18" t="s">
        <v>37</v>
      </c>
      <c r="J680" s="18" t="s">
        <v>38</v>
      </c>
      <c r="K680" t="s">
        <v>39</v>
      </c>
      <c r="L680" s="26">
        <f>VLOOKUP(A680,'[3]Price info'!A:D,4,FALSE)</f>
        <v>8.14</v>
      </c>
      <c r="M680" s="18" t="s">
        <v>40</v>
      </c>
      <c r="N680" s="20">
        <v>3105</v>
      </c>
      <c r="P680" s="16">
        <f>VLOOKUP(A680,'[3]Price info'!A:H,8,FALSE)</f>
        <v>7.5783400000000007</v>
      </c>
      <c r="Q680" s="27">
        <f t="shared" si="41"/>
        <v>0.93100000000000005</v>
      </c>
      <c r="S680" s="16">
        <f>VLOOKUP(A680,[4]Sales!$E:$G,3,FALSE)</f>
        <v>31.44</v>
      </c>
      <c r="T680" s="19">
        <f>VLOOKUP(A680,[4]Volume!$E:$G,3,FALSE)</f>
        <v>4</v>
      </c>
      <c r="U680" s="19">
        <f>VLOOKUP(A680,[4]Piece!$E:$G,3,FALSE)</f>
        <v>4</v>
      </c>
      <c r="V680" s="21">
        <f t="shared" si="42"/>
        <v>30.313360000000003</v>
      </c>
      <c r="W680" s="16">
        <f t="shared" si="43"/>
        <v>-1.1266399999999983</v>
      </c>
    </row>
    <row r="681" spans="1:23" hidden="1" x14ac:dyDescent="0.3">
      <c r="A681" s="22" t="s">
        <v>1370</v>
      </c>
      <c r="B681" s="22" t="s">
        <v>1370</v>
      </c>
      <c r="C681" s="23" t="s">
        <v>33</v>
      </c>
      <c r="D681" s="20" t="s">
        <v>34</v>
      </c>
      <c r="E681" s="22" t="s">
        <v>1371</v>
      </c>
      <c r="F681" s="24" t="str">
        <f t="shared" si="40"/>
        <v>PPG - Leyland UNDERCOAT - Mix - 2.5ltr</v>
      </c>
      <c r="G681" s="23" t="s">
        <v>5554</v>
      </c>
      <c r="H681" s="25" t="s">
        <v>36</v>
      </c>
      <c r="I681" s="18" t="s">
        <v>37</v>
      </c>
      <c r="J681" s="18" t="s">
        <v>38</v>
      </c>
      <c r="K681" t="s">
        <v>39</v>
      </c>
      <c r="L681" s="26">
        <f>VLOOKUP(A681,'[3]Price info'!A:D,4,FALSE)</f>
        <v>14.19</v>
      </c>
      <c r="M681" s="18" t="s">
        <v>40</v>
      </c>
      <c r="N681" s="20">
        <v>3105</v>
      </c>
      <c r="P681" s="16">
        <f>VLOOKUP(A681,'[3]Price info'!A:H,8,FALSE)</f>
        <v>14.19</v>
      </c>
      <c r="Q681" s="27">
        <f t="shared" si="41"/>
        <v>1</v>
      </c>
      <c r="S681" s="16">
        <f>VLOOKUP(A681,[4]Sales!$E:$G,3,FALSE)</f>
        <v>42.57</v>
      </c>
      <c r="T681" s="19">
        <f>VLOOKUP(A681,[4]Volume!$E:$G,3,FALSE)</f>
        <v>7.5</v>
      </c>
      <c r="U681" s="19">
        <f>VLOOKUP(A681,[4]Piece!$E:$G,3,FALSE)</f>
        <v>3</v>
      </c>
      <c r="V681" s="21">
        <f t="shared" si="42"/>
        <v>42.57</v>
      </c>
      <c r="W681" s="16">
        <f t="shared" si="43"/>
        <v>0</v>
      </c>
    </row>
    <row r="682" spans="1:23" hidden="1" x14ac:dyDescent="0.3">
      <c r="A682" s="22" t="s">
        <v>1372</v>
      </c>
      <c r="B682" s="22" t="s">
        <v>1372</v>
      </c>
      <c r="C682" s="23" t="s">
        <v>33</v>
      </c>
      <c r="D682" s="20" t="s">
        <v>34</v>
      </c>
      <c r="E682" s="22" t="s">
        <v>1373</v>
      </c>
      <c r="F682" s="24" t="str">
        <f t="shared" si="40"/>
        <v>PPG - Mangers FUNGICIDAL  SPRAY 500ML</v>
      </c>
      <c r="G682" s="23" t="s">
        <v>5555</v>
      </c>
      <c r="H682" s="25" t="s">
        <v>36</v>
      </c>
      <c r="I682" s="18" t="s">
        <v>37</v>
      </c>
      <c r="J682" s="18" t="s">
        <v>38</v>
      </c>
      <c r="K682" t="s">
        <v>39</v>
      </c>
      <c r="L682" s="26">
        <f>VLOOKUP(A682,'[3]Price info'!A:D,4,FALSE)</f>
        <v>3.28</v>
      </c>
      <c r="M682" s="18" t="s">
        <v>40</v>
      </c>
      <c r="N682" s="20">
        <v>3105</v>
      </c>
      <c r="P682" s="16">
        <f>VLOOKUP(A682,'[3]Price info'!A:H,8,FALSE)</f>
        <v>3.0536799999999999</v>
      </c>
      <c r="Q682" s="27">
        <f t="shared" si="41"/>
        <v>0.93100000000000005</v>
      </c>
      <c r="S682" s="16">
        <f>VLOOKUP(A682,[4]Sales!$E:$G,3,FALSE)</f>
        <v>97.25</v>
      </c>
      <c r="T682" s="19">
        <f>VLOOKUP(A682,[4]Volume!$E:$G,3,FALSE)</f>
        <v>15</v>
      </c>
      <c r="U682" s="19">
        <f>VLOOKUP(A682,[4]Piece!$E:$G,3,FALSE)</f>
        <v>30</v>
      </c>
      <c r="V682" s="21">
        <f t="shared" si="42"/>
        <v>91.610399999999998</v>
      </c>
      <c r="W682" s="16">
        <f t="shared" si="43"/>
        <v>-5.6396000000000015</v>
      </c>
    </row>
    <row r="683" spans="1:23" hidden="1" x14ac:dyDescent="0.3">
      <c r="A683" s="22" t="s">
        <v>1374</v>
      </c>
      <c r="B683" s="22" t="s">
        <v>1374</v>
      </c>
      <c r="C683" s="23" t="s">
        <v>33</v>
      </c>
      <c r="D683" s="20" t="s">
        <v>34</v>
      </c>
      <c r="E683" s="22" t="s">
        <v>1375</v>
      </c>
      <c r="F683" s="24" t="str">
        <f t="shared" si="40"/>
        <v>PPG - ProGold LONG PILE POLYESTER ROLLER 12"</v>
      </c>
      <c r="G683" s="23" t="s">
        <v>5556</v>
      </c>
      <c r="H683" s="25" t="s">
        <v>36</v>
      </c>
      <c r="I683" s="18" t="s">
        <v>37</v>
      </c>
      <c r="J683" s="18" t="s">
        <v>38</v>
      </c>
      <c r="K683" t="s">
        <v>39</v>
      </c>
      <c r="L683" s="26">
        <f>VLOOKUP(A683,'[3]Price info'!A:D,4,FALSE)</f>
        <v>4.93</v>
      </c>
      <c r="M683" s="18" t="s">
        <v>40</v>
      </c>
      <c r="N683" s="20">
        <v>3105</v>
      </c>
      <c r="P683" s="16">
        <f>VLOOKUP(A683,'[3]Price info'!A:H,8,FALSE)</f>
        <v>4.5898300000000001</v>
      </c>
      <c r="Q683" s="27">
        <f t="shared" si="41"/>
        <v>0.93100000000000005</v>
      </c>
      <c r="S683" s="16">
        <f>VLOOKUP(A683,[4]Sales!$E:$G,3,FALSE)</f>
        <v>4.59</v>
      </c>
      <c r="T683" s="19">
        <f>VLOOKUP(A683,[4]Volume!$E:$G,3,FALSE)</f>
        <v>1</v>
      </c>
      <c r="U683" s="19">
        <f>VLOOKUP(A683,[4]Piece!$E:$G,3,FALSE)</f>
        <v>1</v>
      </c>
      <c r="V683" s="21">
        <f t="shared" si="42"/>
        <v>4.5898300000000001</v>
      </c>
      <c r="W683" s="16">
        <f t="shared" si="43"/>
        <v>-1.6999999999978144E-4</v>
      </c>
    </row>
    <row r="684" spans="1:23" hidden="1" x14ac:dyDescent="0.3">
      <c r="A684" s="22" t="s">
        <v>1376</v>
      </c>
      <c r="B684" s="22" t="s">
        <v>1376</v>
      </c>
      <c r="C684" s="23" t="s">
        <v>33</v>
      </c>
      <c r="D684" s="20" t="s">
        <v>34</v>
      </c>
      <c r="E684" s="22" t="s">
        <v>1377</v>
      </c>
      <c r="F684" s="24" t="str">
        <f t="shared" si="40"/>
        <v>PPG - Johnstones SHED &amp; FENCE - Acorn Gold - 5ltr</v>
      </c>
      <c r="G684" s="23" t="s">
        <v>5557</v>
      </c>
      <c r="H684" s="25" t="s">
        <v>36</v>
      </c>
      <c r="I684" s="18" t="s">
        <v>37</v>
      </c>
      <c r="J684" s="18" t="s">
        <v>38</v>
      </c>
      <c r="K684" t="s">
        <v>39</v>
      </c>
      <c r="L684" s="26">
        <f>VLOOKUP(A684,'[3]Price info'!A:D,4,FALSE)</f>
        <v>8.2100000000000009</v>
      </c>
      <c r="M684" s="18" t="s">
        <v>40</v>
      </c>
      <c r="N684" s="20">
        <v>3105</v>
      </c>
      <c r="P684" s="16">
        <f>VLOOKUP(A684,'[3]Price info'!A:H,8,FALSE)</f>
        <v>7.6435100000000009</v>
      </c>
      <c r="Q684" s="27">
        <f t="shared" si="41"/>
        <v>0.93100000000000005</v>
      </c>
      <c r="S684" s="16">
        <f>VLOOKUP(A684,[4]Sales!$E:$G,3,FALSE)</f>
        <v>49.260000000000005</v>
      </c>
      <c r="T684" s="19">
        <f>VLOOKUP(A684,[4]Volume!$E:$G,3,FALSE)</f>
        <v>30</v>
      </c>
      <c r="U684" s="19">
        <f>VLOOKUP(A684,[4]Piece!$E:$G,3,FALSE)</f>
        <v>6</v>
      </c>
      <c r="V684" s="21">
        <f t="shared" si="42"/>
        <v>45.861060000000009</v>
      </c>
      <c r="W684" s="16">
        <f t="shared" si="43"/>
        <v>-3.3989399999999961</v>
      </c>
    </row>
    <row r="685" spans="1:23" hidden="1" x14ac:dyDescent="0.3">
      <c r="A685" s="22" t="s">
        <v>1378</v>
      </c>
      <c r="B685" s="22" t="s">
        <v>1378</v>
      </c>
      <c r="C685" s="23" t="s">
        <v>33</v>
      </c>
      <c r="D685" s="20" t="s">
        <v>34</v>
      </c>
      <c r="E685" s="22" t="s">
        <v>1379</v>
      </c>
      <c r="F685" s="24" t="str">
        <f t="shared" si="40"/>
        <v>PPG - ProGold PVA ADHESIVE SEAL 5ltr</v>
      </c>
      <c r="G685" s="23" t="s">
        <v>5558</v>
      </c>
      <c r="H685" s="25" t="s">
        <v>36</v>
      </c>
      <c r="I685" s="18" t="s">
        <v>37</v>
      </c>
      <c r="J685" s="18" t="s">
        <v>38</v>
      </c>
      <c r="K685" t="s">
        <v>39</v>
      </c>
      <c r="L685" s="26">
        <f>VLOOKUP(A685,'[3]Price info'!A:D,4,FALSE)</f>
        <v>16.489999999999998</v>
      </c>
      <c r="M685" s="18" t="s">
        <v>40</v>
      </c>
      <c r="N685" s="20">
        <v>3105</v>
      </c>
      <c r="P685" s="16">
        <f>VLOOKUP(A685,'[3]Price info'!A:H,8,FALSE)</f>
        <v>15.35219</v>
      </c>
      <c r="Q685" s="27">
        <f t="shared" si="41"/>
        <v>0.93100000000000005</v>
      </c>
      <c r="S685" s="16">
        <f>VLOOKUP(A685,[4]Sales!$E:$G,3,FALSE)</f>
        <v>63.679999999999993</v>
      </c>
      <c r="T685" s="19">
        <f>VLOOKUP(A685,[4]Volume!$E:$G,3,FALSE)</f>
        <v>20</v>
      </c>
      <c r="U685" s="19">
        <f>VLOOKUP(A685,[4]Piece!$E:$G,3,FALSE)</f>
        <v>4</v>
      </c>
      <c r="V685" s="21">
        <f t="shared" si="42"/>
        <v>61.408760000000001</v>
      </c>
      <c r="W685" s="16">
        <f t="shared" si="43"/>
        <v>-2.2712399999999917</v>
      </c>
    </row>
    <row r="686" spans="1:23" hidden="1" x14ac:dyDescent="0.3">
      <c r="A686" s="22" t="s">
        <v>1380</v>
      </c>
      <c r="B686" s="22" t="s">
        <v>1380</v>
      </c>
      <c r="C686" s="23" t="s">
        <v>33</v>
      </c>
      <c r="D686" s="20" t="s">
        <v>34</v>
      </c>
      <c r="E686" s="22" t="s">
        <v>1381</v>
      </c>
      <c r="F686" s="24" t="str">
        <f t="shared" si="40"/>
        <v>PPG - ProGold READY MIXED ALL PURPOSE FILLER 600g</v>
      </c>
      <c r="G686" s="23" t="s">
        <v>5559</v>
      </c>
      <c r="H686" s="25" t="s">
        <v>36</v>
      </c>
      <c r="I686" s="18" t="s">
        <v>37</v>
      </c>
      <c r="J686" s="18" t="s">
        <v>38</v>
      </c>
      <c r="K686" t="s">
        <v>39</v>
      </c>
      <c r="L686" s="26">
        <f>VLOOKUP(A686,'[3]Price info'!A:D,4,FALSE)</f>
        <v>2.79</v>
      </c>
      <c r="M686" s="18" t="s">
        <v>40</v>
      </c>
      <c r="N686" s="20">
        <v>3105</v>
      </c>
      <c r="P686" s="16">
        <f>VLOOKUP(A686,'[3]Price info'!A:H,8,FALSE)</f>
        <v>2.5974900000000001</v>
      </c>
      <c r="Q686" s="27">
        <f t="shared" si="41"/>
        <v>0.93100000000000005</v>
      </c>
      <c r="S686" s="16">
        <f>VLOOKUP(A686,[4]Sales!$E:$G,3,FALSE)</f>
        <v>7.4700000000000006</v>
      </c>
      <c r="T686" s="19">
        <f>VLOOKUP(A686,[4]Volume!$E:$G,3,FALSE)</f>
        <v>1.7999999999999998</v>
      </c>
      <c r="U686" s="19">
        <f>VLOOKUP(A686,[4]Piece!$E:$G,3,FALSE)</f>
        <v>3</v>
      </c>
      <c r="V686" s="21">
        <f t="shared" si="42"/>
        <v>7.7924699999999998</v>
      </c>
      <c r="W686" s="16">
        <f t="shared" si="43"/>
        <v>0.32246999999999915</v>
      </c>
    </row>
    <row r="687" spans="1:23" hidden="1" x14ac:dyDescent="0.3">
      <c r="A687" s="22" t="s">
        <v>1382</v>
      </c>
      <c r="B687" s="22" t="s">
        <v>1382</v>
      </c>
      <c r="C687" s="23" t="s">
        <v>33</v>
      </c>
      <c r="D687" s="20" t="s">
        <v>34</v>
      </c>
      <c r="E687" s="22" t="s">
        <v>1383</v>
      </c>
      <c r="F687" s="24" t="str">
        <f t="shared" si="40"/>
        <v>PPG - FatHog BIB&amp;BRACE WHITE 32"-34"</v>
      </c>
      <c r="G687" s="23" t="s">
        <v>5560</v>
      </c>
      <c r="H687" s="25" t="s">
        <v>36</v>
      </c>
      <c r="I687" s="18" t="s">
        <v>37</v>
      </c>
      <c r="J687" s="18" t="s">
        <v>38</v>
      </c>
      <c r="K687" t="s">
        <v>39</v>
      </c>
      <c r="L687" s="26">
        <f>VLOOKUP(A687,'[3]Price info'!A:D,4,FALSE)</f>
        <v>11.56</v>
      </c>
      <c r="M687" s="18" t="s">
        <v>40</v>
      </c>
      <c r="N687" s="20">
        <v>3105</v>
      </c>
      <c r="P687" s="16">
        <f>VLOOKUP(A687,'[3]Price info'!A:H,8,FALSE)</f>
        <v>16.184000000000001</v>
      </c>
      <c r="Q687" s="27">
        <f t="shared" si="41"/>
        <v>1.4000000000000001</v>
      </c>
      <c r="S687" s="16">
        <f>VLOOKUP(A687,[4]Sales!$E:$G,3,FALSE)</f>
        <v>32.36</v>
      </c>
      <c r="T687" s="19">
        <f>VLOOKUP(A687,[4]Volume!$E:$G,3,FALSE)</f>
        <v>2</v>
      </c>
      <c r="U687" s="19">
        <f>VLOOKUP(A687,[4]Piece!$E:$G,3,FALSE)</f>
        <v>2</v>
      </c>
      <c r="V687" s="21">
        <f t="shared" si="42"/>
        <v>32.368000000000002</v>
      </c>
      <c r="W687" s="16">
        <f t="shared" si="43"/>
        <v>8.0000000000026716E-3</v>
      </c>
    </row>
    <row r="688" spans="1:23" hidden="1" x14ac:dyDescent="0.3">
      <c r="A688" s="22" t="s">
        <v>1384</v>
      </c>
      <c r="B688" s="22" t="s">
        <v>1384</v>
      </c>
      <c r="C688" s="23" t="s">
        <v>33</v>
      </c>
      <c r="D688" s="20" t="s">
        <v>34</v>
      </c>
      <c r="E688" s="22" t="s">
        <v>1385</v>
      </c>
      <c r="F688" s="24" t="str">
        <f t="shared" si="40"/>
        <v>PPG - ProGold CLASSIC SYNTHETIC BRUSH 1"</v>
      </c>
      <c r="G688" s="23" t="s">
        <v>5561</v>
      </c>
      <c r="H688" s="25" t="s">
        <v>36</v>
      </c>
      <c r="I688" s="18" t="s">
        <v>37</v>
      </c>
      <c r="J688" s="18" t="s">
        <v>38</v>
      </c>
      <c r="K688" t="s">
        <v>39</v>
      </c>
      <c r="L688" s="26">
        <f>VLOOKUP(A688,'[3]Price info'!A:D,4,FALSE)</f>
        <v>3.49</v>
      </c>
      <c r="M688" s="18" t="s">
        <v>40</v>
      </c>
      <c r="N688" s="20">
        <v>3105</v>
      </c>
      <c r="P688" s="16">
        <f>VLOOKUP(A688,'[3]Price info'!A:H,8,FALSE)</f>
        <v>3.2491900000000005</v>
      </c>
      <c r="Q688" s="27">
        <f t="shared" si="41"/>
        <v>0.93100000000000005</v>
      </c>
      <c r="S688" s="16">
        <f>VLOOKUP(A688,[4]Sales!$E:$G,3,FALSE)</f>
        <v>112.18</v>
      </c>
      <c r="T688" s="19">
        <f>VLOOKUP(A688,[4]Volume!$E:$G,3,FALSE)</f>
        <v>34</v>
      </c>
      <c r="U688" s="19">
        <f>VLOOKUP(A688,[4]Piece!$E:$G,3,FALSE)</f>
        <v>34</v>
      </c>
      <c r="V688" s="21">
        <f t="shared" si="42"/>
        <v>110.47246000000001</v>
      </c>
      <c r="W688" s="16">
        <f t="shared" si="43"/>
        <v>-1.7075399999999945</v>
      </c>
    </row>
    <row r="689" spans="1:23" hidden="1" x14ac:dyDescent="0.3">
      <c r="A689" s="22" t="s">
        <v>1386</v>
      </c>
      <c r="B689" s="22" t="s">
        <v>1386</v>
      </c>
      <c r="C689" s="23" t="s">
        <v>33</v>
      </c>
      <c r="D689" s="20" t="s">
        <v>34</v>
      </c>
      <c r="E689" s="22" t="s">
        <v>1387</v>
      </c>
      <c r="F689" s="24" t="str">
        <f t="shared" si="40"/>
        <v>PPG - Woodworks INT FLOOR VARN - Clr Satin - 2.5l</v>
      </c>
      <c r="G689" s="23" t="s">
        <v>5562</v>
      </c>
      <c r="H689" s="25" t="s">
        <v>36</v>
      </c>
      <c r="I689" s="18" t="s">
        <v>37</v>
      </c>
      <c r="J689" s="18" t="s">
        <v>38</v>
      </c>
      <c r="K689" t="s">
        <v>39</v>
      </c>
      <c r="L689" s="26">
        <f>VLOOKUP(A689,'[3]Price info'!A:D,4,FALSE)</f>
        <v>37.39</v>
      </c>
      <c r="M689" s="18" t="s">
        <v>40</v>
      </c>
      <c r="N689" s="20">
        <v>3105</v>
      </c>
      <c r="P689" s="16">
        <f>VLOOKUP(A689,'[3]Price info'!A:H,8,FALSE)</f>
        <v>34.810090000000002</v>
      </c>
      <c r="Q689" s="27">
        <f t="shared" si="41"/>
        <v>0.93100000000000005</v>
      </c>
      <c r="S689" s="16" t="e">
        <f>VLOOKUP(A689,[4]Sales!$E:$G,3,FALSE)</f>
        <v>#N/A</v>
      </c>
      <c r="T689" s="19" t="e">
        <f>VLOOKUP(A689,[4]Volume!$E:$G,3,FALSE)</f>
        <v>#N/A</v>
      </c>
      <c r="U689" s="19" t="e">
        <f>VLOOKUP(A689,[4]Piece!$E:$G,3,FALSE)</f>
        <v>#N/A</v>
      </c>
      <c r="V689" s="21" t="e">
        <f t="shared" si="42"/>
        <v>#N/A</v>
      </c>
      <c r="W689" s="16" t="e">
        <f t="shared" si="43"/>
        <v>#N/A</v>
      </c>
    </row>
    <row r="690" spans="1:23" hidden="1" x14ac:dyDescent="0.3">
      <c r="A690" s="22" t="s">
        <v>1388</v>
      </c>
      <c r="B690" s="22" t="s">
        <v>1388</v>
      </c>
      <c r="C690" s="23" t="s">
        <v>33</v>
      </c>
      <c r="D690" s="20" t="s">
        <v>34</v>
      </c>
      <c r="E690" s="22" t="s">
        <v>1389</v>
      </c>
      <c r="F690" s="24" t="str">
        <f t="shared" si="40"/>
        <v>PPG - ProGold CLEAN SPIRIT 2ltr</v>
      </c>
      <c r="G690" s="23" t="s">
        <v>5563</v>
      </c>
      <c r="H690" s="25" t="s">
        <v>36</v>
      </c>
      <c r="I690" s="18" t="s">
        <v>37</v>
      </c>
      <c r="J690" s="18" t="s">
        <v>38</v>
      </c>
      <c r="K690" t="s">
        <v>39</v>
      </c>
      <c r="L690" s="26">
        <f>VLOOKUP(A690,'[3]Price info'!A:D,4,FALSE)</f>
        <v>3.13</v>
      </c>
      <c r="M690" s="18" t="s">
        <v>40</v>
      </c>
      <c r="N690" s="20">
        <v>3105</v>
      </c>
      <c r="P690" s="16">
        <f>VLOOKUP(A690,'[3]Price info'!A:H,8,FALSE)</f>
        <v>2.9140299999999999</v>
      </c>
      <c r="Q690" s="27">
        <f t="shared" si="41"/>
        <v>0.93100000000000005</v>
      </c>
      <c r="S690" s="16">
        <f>VLOOKUP(A690,[4]Sales!$E:$G,3,FALSE)</f>
        <v>32.67</v>
      </c>
      <c r="T690" s="19">
        <f>VLOOKUP(A690,[4]Volume!$E:$G,3,FALSE)</f>
        <v>22</v>
      </c>
      <c r="U690" s="19">
        <f>VLOOKUP(A690,[4]Piece!$E:$G,3,FALSE)</f>
        <v>11</v>
      </c>
      <c r="V690" s="21">
        <f t="shared" si="42"/>
        <v>32.05433</v>
      </c>
      <c r="W690" s="16">
        <f t="shared" si="43"/>
        <v>-0.61567000000000149</v>
      </c>
    </row>
    <row r="691" spans="1:23" hidden="1" x14ac:dyDescent="0.3">
      <c r="A691" s="22" t="s">
        <v>1390</v>
      </c>
      <c r="B691" s="22" t="s">
        <v>1390</v>
      </c>
      <c r="C691" s="23" t="s">
        <v>33</v>
      </c>
      <c r="D691" s="20" t="s">
        <v>34</v>
      </c>
      <c r="E691" s="22" t="s">
        <v>1391</v>
      </c>
      <c r="F691" s="24" t="str">
        <f t="shared" si="40"/>
        <v>PPG - Johnstones QD MATT BLACKBOARD - Black - 2.5l</v>
      </c>
      <c r="G691" s="23" t="s">
        <v>5564</v>
      </c>
      <c r="H691" s="25" t="s">
        <v>36</v>
      </c>
      <c r="I691" s="18" t="s">
        <v>37</v>
      </c>
      <c r="J691" s="18" t="s">
        <v>38</v>
      </c>
      <c r="K691" t="s">
        <v>39</v>
      </c>
      <c r="L691" s="26">
        <f>VLOOKUP(A691,'[3]Price info'!A:D,4,FALSE)</f>
        <v>15.72</v>
      </c>
      <c r="M691" s="18" t="s">
        <v>40</v>
      </c>
      <c r="N691" s="20">
        <v>3105</v>
      </c>
      <c r="P691" s="16">
        <f>VLOOKUP(A691,'[3]Price info'!A:H,8,FALSE)</f>
        <v>14.635320000000002</v>
      </c>
      <c r="Q691" s="27">
        <f t="shared" si="41"/>
        <v>0.93100000000000005</v>
      </c>
      <c r="S691" s="16">
        <f>VLOOKUP(A691,[4]Sales!$E:$G,3,FALSE)</f>
        <v>14.64</v>
      </c>
      <c r="T691" s="19">
        <f>VLOOKUP(A691,[4]Volume!$E:$G,3,FALSE)</f>
        <v>2.5</v>
      </c>
      <c r="U691" s="19">
        <f>VLOOKUP(A691,[4]Piece!$E:$G,3,FALSE)</f>
        <v>1</v>
      </c>
      <c r="V691" s="21">
        <f t="shared" si="42"/>
        <v>14.635320000000002</v>
      </c>
      <c r="W691" s="16">
        <f t="shared" si="43"/>
        <v>-4.6799999999986852E-3</v>
      </c>
    </row>
    <row r="692" spans="1:23" hidden="1" x14ac:dyDescent="0.3">
      <c r="A692" s="22" t="s">
        <v>1392</v>
      </c>
      <c r="B692" s="22" t="s">
        <v>1392</v>
      </c>
      <c r="C692" s="23" t="s">
        <v>33</v>
      </c>
      <c r="D692" s="20" t="s">
        <v>34</v>
      </c>
      <c r="E692" s="22" t="s">
        <v>1393</v>
      </c>
      <c r="F692" s="24" t="str">
        <f t="shared" si="40"/>
        <v>PPG - Johnstones EGGSHELL - Mix - 1ltr</v>
      </c>
      <c r="G692" s="23" t="s">
        <v>5565</v>
      </c>
      <c r="H692" s="25" t="s">
        <v>36</v>
      </c>
      <c r="I692" s="18" t="s">
        <v>37</v>
      </c>
      <c r="J692" s="18" t="s">
        <v>38</v>
      </c>
      <c r="K692" t="s">
        <v>39</v>
      </c>
      <c r="L692" s="26">
        <f>VLOOKUP(A692,'[3]Price info'!A:D,4,FALSE)</f>
        <v>10.79</v>
      </c>
      <c r="M692" s="18" t="s">
        <v>40</v>
      </c>
      <c r="N692" s="20">
        <v>3105</v>
      </c>
      <c r="P692" s="16">
        <f>VLOOKUP(A692,'[3]Price info'!A:H,8,FALSE)</f>
        <v>10.045489999999999</v>
      </c>
      <c r="Q692" s="27">
        <f t="shared" si="41"/>
        <v>0.93099999999999994</v>
      </c>
      <c r="S692" s="16">
        <f>VLOOKUP(A692,[4]Sales!$E:$G,3,FALSE)</f>
        <v>157.41</v>
      </c>
      <c r="T692" s="19">
        <f>VLOOKUP(A692,[4]Volume!$E:$G,3,FALSE)</f>
        <v>15</v>
      </c>
      <c r="U692" s="19">
        <f>VLOOKUP(A692,[4]Piece!$E:$G,3,FALSE)</f>
        <v>15</v>
      </c>
      <c r="V692" s="21">
        <f t="shared" si="42"/>
        <v>150.68234999999999</v>
      </c>
      <c r="W692" s="16">
        <f t="shared" si="43"/>
        <v>-6.7276500000000112</v>
      </c>
    </row>
    <row r="693" spans="1:23" hidden="1" x14ac:dyDescent="0.3">
      <c r="A693" s="22" t="s">
        <v>1394</v>
      </c>
      <c r="B693" s="22" t="s">
        <v>1394</v>
      </c>
      <c r="C693" s="23" t="s">
        <v>33</v>
      </c>
      <c r="D693" s="20" t="s">
        <v>34</v>
      </c>
      <c r="E693" s="22" t="s">
        <v>1395</v>
      </c>
      <c r="F693" s="24" t="str">
        <f t="shared" si="40"/>
        <v>PPG - HARRIS &amp; HAMILTON STRIPPING KNIFE - 2''</v>
      </c>
      <c r="G693" s="23" t="s">
        <v>5566</v>
      </c>
      <c r="H693" s="25" t="s">
        <v>36</v>
      </c>
      <c r="I693" s="18" t="s">
        <v>37</v>
      </c>
      <c r="J693" s="18" t="s">
        <v>38</v>
      </c>
      <c r="K693" t="s">
        <v>39</v>
      </c>
      <c r="L693" s="26">
        <f>VLOOKUP(A693,'[3]Price info'!A:D,4,FALSE)</f>
        <v>5.73</v>
      </c>
      <c r="M693" s="18" t="s">
        <v>40</v>
      </c>
      <c r="N693" s="20">
        <v>3105</v>
      </c>
      <c r="P693" s="16">
        <f>VLOOKUP(A693,'[3]Price info'!A:H,8,FALSE)</f>
        <v>5.3346300000000006</v>
      </c>
      <c r="Q693" s="27">
        <f t="shared" si="41"/>
        <v>0.93100000000000005</v>
      </c>
      <c r="S693" s="16">
        <f>VLOOKUP(A693,[4]Sales!$E:$G,3,FALSE)</f>
        <v>81.650000000000006</v>
      </c>
      <c r="T693" s="19">
        <f>VLOOKUP(A693,[4]Volume!$E:$G,3,FALSE)</f>
        <v>35</v>
      </c>
      <c r="U693" s="19">
        <f>VLOOKUP(A693,[4]Piece!$E:$G,3,FALSE)</f>
        <v>35</v>
      </c>
      <c r="V693" s="21">
        <f t="shared" si="42"/>
        <v>186.71205000000003</v>
      </c>
      <c r="W693" s="16">
        <f t="shared" si="43"/>
        <v>105.06205000000003</v>
      </c>
    </row>
    <row r="694" spans="1:23" hidden="1" x14ac:dyDescent="0.3">
      <c r="A694" s="46" t="s">
        <v>1396</v>
      </c>
      <c r="B694" s="46" t="s">
        <v>1396</v>
      </c>
      <c r="C694" s="51" t="s">
        <v>33</v>
      </c>
      <c r="D694" s="48" t="s">
        <v>34</v>
      </c>
      <c r="E694" s="93" t="s">
        <v>7387</v>
      </c>
      <c r="F694" s="24" t="str">
        <f t="shared" si="40"/>
        <v>PPG - Mirka Abranet 150mm PK50 P80</v>
      </c>
      <c r="G694" s="20" t="s">
        <v>5567</v>
      </c>
      <c r="H694" s="49" t="s">
        <v>213</v>
      </c>
      <c r="I694" s="18" t="s">
        <v>37</v>
      </c>
      <c r="J694" s="18" t="s">
        <v>38</v>
      </c>
      <c r="K694" t="s">
        <v>39</v>
      </c>
      <c r="L694" s="50">
        <f>VLOOKUP(A694,'[3]Price info'!A:D,4,FALSE)</f>
        <v>66.84</v>
      </c>
      <c r="M694" s="18" t="s">
        <v>214</v>
      </c>
      <c r="N694" s="20">
        <v>3105</v>
      </c>
      <c r="P694" s="16">
        <v>34.950000000000003</v>
      </c>
      <c r="Q694" s="17">
        <f t="shared" si="41"/>
        <v>0.52289048473967681</v>
      </c>
      <c r="S694" s="16">
        <f>VLOOKUP(A694,[4]Sales!$E:$G,3,FALSE)</f>
        <v>103.36</v>
      </c>
      <c r="T694" s="19">
        <f>VLOOKUP(A694,[4]Volume!$E:$G,3,FALSE)</f>
        <v>2</v>
      </c>
      <c r="U694" s="19">
        <f>VLOOKUP(A694,[4]Piece!$E:$G,3,FALSE)</f>
        <v>2</v>
      </c>
      <c r="V694" s="21">
        <f t="shared" si="42"/>
        <v>69.900000000000006</v>
      </c>
      <c r="W694" s="16">
        <f t="shared" si="43"/>
        <v>-33.459999999999994</v>
      </c>
    </row>
    <row r="695" spans="1:23" hidden="1" x14ac:dyDescent="0.3">
      <c r="A695" s="22" t="s">
        <v>1397</v>
      </c>
      <c r="B695" s="22" t="s">
        <v>1397</v>
      </c>
      <c r="C695" s="23" t="s">
        <v>33</v>
      </c>
      <c r="D695" s="20" t="s">
        <v>34</v>
      </c>
      <c r="E695" s="22" t="s">
        <v>1398</v>
      </c>
      <c r="F695" s="24" t="str">
        <f t="shared" si="40"/>
        <v>PPG - Johnstones SHED &amp; FENCE - Grey - 5ltr</v>
      </c>
      <c r="G695" s="23" t="s">
        <v>5568</v>
      </c>
      <c r="H695" s="25" t="s">
        <v>36</v>
      </c>
      <c r="I695" s="18" t="s">
        <v>37</v>
      </c>
      <c r="J695" s="18" t="s">
        <v>38</v>
      </c>
      <c r="K695" t="s">
        <v>39</v>
      </c>
      <c r="L695" s="26">
        <f>VLOOKUP(A695,'[3]Price info'!A:D,4,FALSE)</f>
        <v>8.2100000000000009</v>
      </c>
      <c r="M695" s="18" t="s">
        <v>40</v>
      </c>
      <c r="N695" s="20">
        <v>3105</v>
      </c>
      <c r="P695" s="16">
        <f>VLOOKUP(A695,'[3]Price info'!A:H,8,FALSE)</f>
        <v>7.6435100000000009</v>
      </c>
      <c r="Q695" s="27">
        <f t="shared" si="41"/>
        <v>0.93100000000000005</v>
      </c>
      <c r="S695" s="16">
        <f>VLOOKUP(A695,[4]Sales!$E:$G,3,FALSE)</f>
        <v>207.62</v>
      </c>
      <c r="T695" s="19">
        <f>VLOOKUP(A695,[4]Volume!$E:$G,3,FALSE)</f>
        <v>130</v>
      </c>
      <c r="U695" s="19">
        <f>VLOOKUP(A695,[4]Piece!$E:$G,3,FALSE)</f>
        <v>26</v>
      </c>
      <c r="V695" s="21">
        <f t="shared" si="42"/>
        <v>198.73126000000002</v>
      </c>
      <c r="W695" s="16">
        <f t="shared" si="43"/>
        <v>-8.8887399999999843</v>
      </c>
    </row>
    <row r="696" spans="1:23" hidden="1" x14ac:dyDescent="0.3">
      <c r="A696" s="22" t="s">
        <v>1399</v>
      </c>
      <c r="B696" s="22" t="s">
        <v>1399</v>
      </c>
      <c r="C696" s="23" t="s">
        <v>33</v>
      </c>
      <c r="D696" s="20" t="s">
        <v>34</v>
      </c>
      <c r="E696" s="22" t="s">
        <v>1400</v>
      </c>
      <c r="F696" s="24" t="str">
        <f t="shared" si="40"/>
        <v>PPG - ProGold AQUA SYNTHETIC BRUSH 2.5"</v>
      </c>
      <c r="G696" s="23" t="s">
        <v>5569</v>
      </c>
      <c r="H696" s="25" t="s">
        <v>36</v>
      </c>
      <c r="I696" s="18" t="s">
        <v>37</v>
      </c>
      <c r="J696" s="18" t="s">
        <v>38</v>
      </c>
      <c r="K696" t="s">
        <v>39</v>
      </c>
      <c r="L696" s="26">
        <f>VLOOKUP(A696,'[3]Price info'!A:D,4,FALSE)</f>
        <v>7.23</v>
      </c>
      <c r="M696" s="18" t="s">
        <v>40</v>
      </c>
      <c r="N696" s="20">
        <v>3105</v>
      </c>
      <c r="P696" s="16">
        <f>VLOOKUP(A696,'[3]Price info'!A:H,8,FALSE)</f>
        <v>6.7311300000000012</v>
      </c>
      <c r="Q696" s="27">
        <f t="shared" si="41"/>
        <v>0.93100000000000016</v>
      </c>
      <c r="S696" s="16">
        <f>VLOOKUP(A696,[4]Sales!$E:$G,3,FALSE)</f>
        <v>13.46</v>
      </c>
      <c r="T696" s="19">
        <f>VLOOKUP(A696,[4]Volume!$E:$G,3,FALSE)</f>
        <v>2</v>
      </c>
      <c r="U696" s="19">
        <f>VLOOKUP(A696,[4]Piece!$E:$G,3,FALSE)</f>
        <v>2</v>
      </c>
      <c r="V696" s="21">
        <f t="shared" si="42"/>
        <v>13.462260000000002</v>
      </c>
      <c r="W696" s="16">
        <f t="shared" si="43"/>
        <v>2.260000000001483E-3</v>
      </c>
    </row>
    <row r="697" spans="1:23" hidden="1" x14ac:dyDescent="0.3">
      <c r="A697" s="22" t="s">
        <v>1401</v>
      </c>
      <c r="B697" s="22" t="s">
        <v>1401</v>
      </c>
      <c r="C697" s="23" t="s">
        <v>33</v>
      </c>
      <c r="D697" s="20" t="s">
        <v>34</v>
      </c>
      <c r="E697" s="22" t="s">
        <v>1402</v>
      </c>
      <c r="F697" s="24" t="str">
        <f t="shared" si="40"/>
        <v>PPG - Johnstones SMOOTH METAL - Silver - 800ml</v>
      </c>
      <c r="G697" s="23" t="s">
        <v>5570</v>
      </c>
      <c r="H697" s="25" t="s">
        <v>36</v>
      </c>
      <c r="I697" s="18" t="s">
        <v>37</v>
      </c>
      <c r="J697" s="18" t="s">
        <v>38</v>
      </c>
      <c r="K697" t="s">
        <v>39</v>
      </c>
      <c r="L697" s="26">
        <f>VLOOKUP(A697,'[3]Price info'!A:D,4,FALSE)</f>
        <v>18.850000000000001</v>
      </c>
      <c r="M697" s="18" t="s">
        <v>40</v>
      </c>
      <c r="N697" s="20">
        <v>3105</v>
      </c>
      <c r="P697" s="16">
        <f>VLOOKUP(A697,'[3]Price info'!A:H,8,FALSE)</f>
        <v>17.549350000000004</v>
      </c>
      <c r="Q697" s="27">
        <f t="shared" si="41"/>
        <v>0.93100000000000016</v>
      </c>
      <c r="S697" s="16">
        <f>VLOOKUP(A697,[4]Sales!$E:$G,3,FALSE)</f>
        <v>164.45000000000005</v>
      </c>
      <c r="T697" s="19">
        <f>VLOOKUP(A697,[4]Volume!$E:$G,3,FALSE)</f>
        <v>7.1999999999999993</v>
      </c>
      <c r="U697" s="19">
        <f>VLOOKUP(A697,[4]Piece!$E:$G,3,FALSE)</f>
        <v>9</v>
      </c>
      <c r="V697" s="21">
        <f t="shared" si="42"/>
        <v>157.94415000000004</v>
      </c>
      <c r="W697" s="16">
        <f t="shared" si="43"/>
        <v>-6.5058500000000095</v>
      </c>
    </row>
    <row r="698" spans="1:23" hidden="1" x14ac:dyDescent="0.3">
      <c r="A698" s="22" t="s">
        <v>1403</v>
      </c>
      <c r="B698" s="22" t="s">
        <v>1403</v>
      </c>
      <c r="C698" s="23" t="s">
        <v>33</v>
      </c>
      <c r="D698" s="20" t="s">
        <v>34</v>
      </c>
      <c r="E698" s="22" t="s">
        <v>1404</v>
      </c>
      <c r="F698" s="24" t="str">
        <f t="shared" si="40"/>
        <v>PPG - ProGold PREMIUM BRISTLE BRUSH 2.5"</v>
      </c>
      <c r="G698" s="23" t="s">
        <v>5571</v>
      </c>
      <c r="H698" s="25" t="s">
        <v>36</v>
      </c>
      <c r="I698" s="18" t="s">
        <v>37</v>
      </c>
      <c r="J698" s="18" t="s">
        <v>38</v>
      </c>
      <c r="K698" t="s">
        <v>39</v>
      </c>
      <c r="L698" s="26">
        <f>VLOOKUP(A698,'[3]Price info'!A:D,4,FALSE)</f>
        <v>18.38</v>
      </c>
      <c r="M698" s="18" t="s">
        <v>40</v>
      </c>
      <c r="N698" s="20">
        <v>3105</v>
      </c>
      <c r="P698" s="16">
        <f>VLOOKUP(A698,'[3]Price info'!A:H,8,FALSE)</f>
        <v>17.11178</v>
      </c>
      <c r="Q698" s="27">
        <f t="shared" si="41"/>
        <v>0.93100000000000005</v>
      </c>
      <c r="S698" s="16">
        <f>VLOOKUP(A698,[4]Sales!$E:$G,3,FALSE)</f>
        <v>84.91</v>
      </c>
      <c r="T698" s="19">
        <f>VLOOKUP(A698,[4]Volume!$E:$G,3,FALSE)</f>
        <v>7</v>
      </c>
      <c r="U698" s="19">
        <f>VLOOKUP(A698,[4]Piece!$E:$G,3,FALSE)</f>
        <v>7</v>
      </c>
      <c r="V698" s="21">
        <f t="shared" si="42"/>
        <v>119.78246</v>
      </c>
      <c r="W698" s="16">
        <f t="shared" si="43"/>
        <v>34.872460000000004</v>
      </c>
    </row>
    <row r="699" spans="1:23" hidden="1" x14ac:dyDescent="0.3">
      <c r="A699" s="22" t="s">
        <v>1405</v>
      </c>
      <c r="B699" s="22" t="s">
        <v>1405</v>
      </c>
      <c r="C699" s="23" t="s">
        <v>33</v>
      </c>
      <c r="D699" s="20" t="s">
        <v>34</v>
      </c>
      <c r="E699" s="22" t="s">
        <v>1406</v>
      </c>
      <c r="F699" s="24" t="str">
        <f t="shared" si="40"/>
        <v>PPG - Johnstones WB FLOOR VARN - Clear Gloss -2.5l</v>
      </c>
      <c r="G699" s="23" t="s">
        <v>5572</v>
      </c>
      <c r="H699" s="25" t="s">
        <v>36</v>
      </c>
      <c r="I699" s="18" t="s">
        <v>37</v>
      </c>
      <c r="J699" s="18" t="s">
        <v>38</v>
      </c>
      <c r="K699" t="s">
        <v>39</v>
      </c>
      <c r="L699" s="26">
        <f>VLOOKUP(A699,'[3]Price info'!A:D,4,FALSE)</f>
        <v>24.13</v>
      </c>
      <c r="M699" s="18" t="s">
        <v>40</v>
      </c>
      <c r="N699" s="20">
        <v>3105</v>
      </c>
      <c r="P699" s="16">
        <f>VLOOKUP(A699,'[3]Price info'!A:H,8,FALSE)</f>
        <v>22.465029999999999</v>
      </c>
      <c r="Q699" s="27">
        <f t="shared" si="41"/>
        <v>0.93099999999999994</v>
      </c>
      <c r="S699" s="16">
        <f>VLOOKUP(A699,[4]Sales!$E:$G,3,FALSE)</f>
        <v>89.88</v>
      </c>
      <c r="T699" s="19">
        <f>VLOOKUP(A699,[4]Volume!$E:$G,3,FALSE)</f>
        <v>10</v>
      </c>
      <c r="U699" s="19">
        <f>VLOOKUP(A699,[4]Piece!$E:$G,3,FALSE)</f>
        <v>4</v>
      </c>
      <c r="V699" s="21">
        <f t="shared" si="42"/>
        <v>89.860119999999995</v>
      </c>
      <c r="W699" s="16">
        <f t="shared" si="43"/>
        <v>-1.9880000000000564E-2</v>
      </c>
    </row>
    <row r="700" spans="1:23" hidden="1" x14ac:dyDescent="0.3">
      <c r="A700" s="46" t="s">
        <v>1407</v>
      </c>
      <c r="B700" s="46" t="s">
        <v>1407</v>
      </c>
      <c r="C700" s="47" t="s">
        <v>33</v>
      </c>
      <c r="D700" s="48" t="s">
        <v>34</v>
      </c>
      <c r="E700" s="18" t="s">
        <v>1408</v>
      </c>
      <c r="F700" s="24" t="str">
        <f t="shared" si="40"/>
        <v>PPG - S'DUR 550 SET BLACK           8000001400</v>
      </c>
      <c r="G700" s="20" t="s">
        <v>5573</v>
      </c>
      <c r="H700" s="49" t="s">
        <v>213</v>
      </c>
      <c r="I700" s="18" t="s">
        <v>37</v>
      </c>
      <c r="J700" s="18" t="s">
        <v>38</v>
      </c>
      <c r="K700" t="s">
        <v>39</v>
      </c>
      <c r="L700" s="50">
        <f>VLOOKUP(A700,'[3]Price info'!A:D,4,FALSE)</f>
        <v>178.66</v>
      </c>
      <c r="M700" s="18" t="s">
        <v>214</v>
      </c>
      <c r="N700" s="20">
        <v>3105</v>
      </c>
      <c r="P700" s="16">
        <f>VLOOKUP(A700,'[3]Price info'!A:H,8,FALSE)</f>
        <v>166.33246</v>
      </c>
      <c r="Q700" s="17">
        <f t="shared" si="41"/>
        <v>0.93100000000000005</v>
      </c>
      <c r="S700" s="16" t="e">
        <f>VLOOKUP(A700,[4]Sales!$E:$G,3,FALSE)</f>
        <v>#N/A</v>
      </c>
      <c r="T700" s="19" t="e">
        <f>VLOOKUP(A700,[4]Volume!$E:$G,3,FALSE)</f>
        <v>#N/A</v>
      </c>
      <c r="U700" s="19" t="e">
        <f>VLOOKUP(A700,[4]Piece!$E:$G,3,FALSE)</f>
        <v>#N/A</v>
      </c>
      <c r="V700" s="21" t="e">
        <f t="shared" si="42"/>
        <v>#N/A</v>
      </c>
      <c r="W700" s="16" t="e">
        <f t="shared" si="43"/>
        <v>#N/A</v>
      </c>
    </row>
    <row r="701" spans="1:23" hidden="1" x14ac:dyDescent="0.3">
      <c r="A701" s="22" t="s">
        <v>1409</v>
      </c>
      <c r="B701" s="22" t="s">
        <v>1409</v>
      </c>
      <c r="C701" s="23" t="s">
        <v>33</v>
      </c>
      <c r="D701" s="20" t="s">
        <v>34</v>
      </c>
      <c r="E701" s="22" t="s">
        <v>1410</v>
      </c>
      <c r="F701" s="24" t="str">
        <f t="shared" si="40"/>
        <v>PPG - Johnstones FLORTRED Dark Grey - 2.5ltr</v>
      </c>
      <c r="G701" s="23" t="s">
        <v>5574</v>
      </c>
      <c r="H701" s="25" t="s">
        <v>36</v>
      </c>
      <c r="I701" s="18" t="s">
        <v>37</v>
      </c>
      <c r="J701" s="18" t="s">
        <v>38</v>
      </c>
      <c r="K701" t="s">
        <v>39</v>
      </c>
      <c r="L701" s="26">
        <f>VLOOKUP(A701,'[3]Price info'!A:D,4,FALSE)</f>
        <v>34.83</v>
      </c>
      <c r="M701" s="18" t="s">
        <v>40</v>
      </c>
      <c r="N701" s="20">
        <v>3105</v>
      </c>
      <c r="P701" s="16">
        <f>VLOOKUP(A701,'[3]Price info'!A:H,8,FALSE)</f>
        <v>12.67</v>
      </c>
      <c r="Q701" s="27">
        <f t="shared" si="41"/>
        <v>0.36376686764283667</v>
      </c>
      <c r="S701" s="16">
        <f>VLOOKUP(A701,[4]Sales!$E:$G,3,FALSE)</f>
        <v>104.97</v>
      </c>
      <c r="T701" s="19">
        <f>VLOOKUP(A701,[4]Volume!$E:$G,3,FALSE)</f>
        <v>12.5</v>
      </c>
      <c r="U701" s="19">
        <f>VLOOKUP(A701,[4]Piece!$E:$G,3,FALSE)</f>
        <v>5</v>
      </c>
      <c r="V701" s="21">
        <f t="shared" si="42"/>
        <v>63.35</v>
      </c>
      <c r="W701" s="16">
        <f t="shared" si="43"/>
        <v>-41.62</v>
      </c>
    </row>
    <row r="702" spans="1:23" hidden="1" x14ac:dyDescent="0.3">
      <c r="A702" s="22" t="s">
        <v>1411</v>
      </c>
      <c r="B702" s="22" t="s">
        <v>1411</v>
      </c>
      <c r="C702" s="23" t="s">
        <v>33</v>
      </c>
      <c r="D702" s="20" t="s">
        <v>34</v>
      </c>
      <c r="E702" s="22" t="s">
        <v>1412</v>
      </c>
      <c r="F702" s="24" t="str">
        <f t="shared" si="40"/>
        <v>PPG - Johnstones BLACK BITUMEN - Black  - 5ltr</v>
      </c>
      <c r="G702" s="23" t="s">
        <v>5575</v>
      </c>
      <c r="H702" s="25" t="s">
        <v>36</v>
      </c>
      <c r="I702" s="18" t="s">
        <v>37</v>
      </c>
      <c r="J702" s="18" t="s">
        <v>38</v>
      </c>
      <c r="K702" t="s">
        <v>39</v>
      </c>
      <c r="L702" s="26">
        <f>VLOOKUP(A702,'[3]Price info'!A:D,4,FALSE)</f>
        <v>18.739999999999998</v>
      </c>
      <c r="M702" s="18" t="s">
        <v>40</v>
      </c>
      <c r="N702" s="20">
        <v>3105</v>
      </c>
      <c r="P702" s="16">
        <f>VLOOKUP(A702,'[3]Price info'!A:H,8,FALSE)</f>
        <v>17.446939999999998</v>
      </c>
      <c r="Q702" s="27">
        <f t="shared" si="41"/>
        <v>0.93099999999999994</v>
      </c>
      <c r="S702" s="16">
        <f>VLOOKUP(A702,[4]Sales!$E:$G,3,FALSE)</f>
        <v>0</v>
      </c>
      <c r="T702" s="19">
        <f>VLOOKUP(A702,[4]Volume!$E:$G,3,FALSE)</f>
        <v>0</v>
      </c>
      <c r="U702" s="19">
        <f>VLOOKUP(A702,[4]Piece!$E:$G,3,FALSE)</f>
        <v>0</v>
      </c>
      <c r="V702" s="21">
        <f t="shared" si="42"/>
        <v>0</v>
      </c>
      <c r="W702" s="16">
        <f t="shared" si="43"/>
        <v>0</v>
      </c>
    </row>
    <row r="703" spans="1:23" hidden="1" x14ac:dyDescent="0.3">
      <c r="A703" s="22" t="s">
        <v>1413</v>
      </c>
      <c r="B703" s="22" t="s">
        <v>1413</v>
      </c>
      <c r="C703" s="23" t="s">
        <v>33</v>
      </c>
      <c r="D703" s="20" t="s">
        <v>34</v>
      </c>
      <c r="E703" s="22" t="s">
        <v>1414</v>
      </c>
      <c r="F703" s="24" t="str">
        <f t="shared" si="40"/>
        <v>PPG - Leyland ACRYLIC EGGSHELL - BW - 2.5lt</v>
      </c>
      <c r="G703" s="23" t="s">
        <v>5576</v>
      </c>
      <c r="H703" s="25" t="s">
        <v>36</v>
      </c>
      <c r="I703" s="18" t="s">
        <v>37</v>
      </c>
      <c r="J703" s="18" t="s">
        <v>38</v>
      </c>
      <c r="K703" t="s">
        <v>39</v>
      </c>
      <c r="L703" s="26">
        <f>VLOOKUP(A703,'[3]Price info'!A:D,4,FALSE)</f>
        <v>21.84</v>
      </c>
      <c r="M703" s="18" t="s">
        <v>40</v>
      </c>
      <c r="N703" s="20">
        <v>3105</v>
      </c>
      <c r="P703" s="16">
        <f>VLOOKUP(A703,'[3]Price info'!A:H,8,FALSE)</f>
        <v>9.39</v>
      </c>
      <c r="Q703" s="27">
        <f t="shared" si="41"/>
        <v>0.42994505494505497</v>
      </c>
      <c r="S703" s="16">
        <f>VLOOKUP(A703,[4]Sales!$E:$G,3,FALSE)</f>
        <v>31.23</v>
      </c>
      <c r="T703" s="19">
        <f>VLOOKUP(A703,[4]Volume!$E:$G,3,FALSE)</f>
        <v>5</v>
      </c>
      <c r="U703" s="19">
        <f>VLOOKUP(A703,[4]Piece!$E:$G,3,FALSE)</f>
        <v>2</v>
      </c>
      <c r="V703" s="21">
        <f t="shared" si="42"/>
        <v>18.78</v>
      </c>
      <c r="W703" s="16">
        <f t="shared" si="43"/>
        <v>-12.45</v>
      </c>
    </row>
    <row r="704" spans="1:23" hidden="1" x14ac:dyDescent="0.3">
      <c r="A704" s="46" t="s">
        <v>1415</v>
      </c>
      <c r="B704" s="46" t="s">
        <v>1415</v>
      </c>
      <c r="C704" s="47" t="s">
        <v>33</v>
      </c>
      <c r="D704" s="48" t="s">
        <v>34</v>
      </c>
      <c r="E704" s="18" t="s">
        <v>1416</v>
      </c>
      <c r="F704" s="24" t="str">
        <f t="shared" si="40"/>
        <v>PPG - OSMO  UV PROT OIL  CLEAR      0000000750</v>
      </c>
      <c r="G704" s="20" t="s">
        <v>5577</v>
      </c>
      <c r="H704" s="49" t="s">
        <v>213</v>
      </c>
      <c r="I704" s="18" t="s">
        <v>37</v>
      </c>
      <c r="J704" s="18" t="s">
        <v>38</v>
      </c>
      <c r="K704" t="s">
        <v>39</v>
      </c>
      <c r="L704" s="50">
        <f>VLOOKUP(A704,'[3]Price info'!A:D,4,FALSE)</f>
        <v>29.81</v>
      </c>
      <c r="M704" s="18" t="s">
        <v>214</v>
      </c>
      <c r="N704" s="20">
        <v>3105</v>
      </c>
      <c r="P704" s="16">
        <f>VLOOKUP(A704,'[3]Price info'!A:H,8,FALSE)</f>
        <v>27.75311</v>
      </c>
      <c r="Q704" s="17">
        <f t="shared" si="41"/>
        <v>0.93100000000000005</v>
      </c>
      <c r="S704" s="16">
        <f>VLOOKUP(A704,[4]Sales!$E:$G,3,FALSE)</f>
        <v>64.09</v>
      </c>
      <c r="T704" s="19">
        <f>VLOOKUP(A704,[4]Volume!$E:$G,3,FALSE)</f>
        <v>1.5</v>
      </c>
      <c r="U704" s="19">
        <f>VLOOKUP(A704,[4]Piece!$E:$G,3,FALSE)</f>
        <v>2</v>
      </c>
      <c r="V704" s="21">
        <f t="shared" si="42"/>
        <v>55.506219999999999</v>
      </c>
      <c r="W704" s="16">
        <f t="shared" si="43"/>
        <v>-8.5837800000000044</v>
      </c>
    </row>
    <row r="705" spans="1:23" hidden="1" x14ac:dyDescent="0.3">
      <c r="A705" s="46" t="s">
        <v>1417</v>
      </c>
      <c r="B705" s="46" t="s">
        <v>1417</v>
      </c>
      <c r="C705" s="51" t="s">
        <v>33</v>
      </c>
      <c r="D705" s="48" t="s">
        <v>34</v>
      </c>
      <c r="E705" s="18" t="s">
        <v>1418</v>
      </c>
      <c r="F705" s="24" t="str">
        <f t="shared" si="40"/>
        <v>PPG - RODO  CONT PLASTIC M/ SCRAPER PACK 8</v>
      </c>
      <c r="G705" s="20" t="s">
        <v>5578</v>
      </c>
      <c r="H705" s="49" t="s">
        <v>213</v>
      </c>
      <c r="I705" s="18" t="s">
        <v>37</v>
      </c>
      <c r="J705" s="18" t="s">
        <v>38</v>
      </c>
      <c r="K705" t="s">
        <v>39</v>
      </c>
      <c r="L705" s="50">
        <f>VLOOKUP(A705,'[3]Price info'!A:D,4,FALSE)</f>
        <v>1.83</v>
      </c>
      <c r="M705" s="18" t="s">
        <v>214</v>
      </c>
      <c r="N705" s="20">
        <v>3105</v>
      </c>
      <c r="P705" s="16">
        <f>VLOOKUP(A705,'[3]Price info'!A:H,8,FALSE)</f>
        <v>1.7037300000000002</v>
      </c>
      <c r="Q705" s="17">
        <f t="shared" si="41"/>
        <v>0.93100000000000005</v>
      </c>
      <c r="S705" s="16">
        <f>VLOOKUP(A705,[4]Sales!$E:$G,3,FALSE)</f>
        <v>76.22</v>
      </c>
      <c r="T705" s="19">
        <f>VLOOKUP(A705,[4]Volume!$E:$G,3,FALSE)</f>
        <v>43</v>
      </c>
      <c r="U705" s="19">
        <f>VLOOKUP(A705,[4]Piece!$E:$G,3,FALSE)</f>
        <v>43</v>
      </c>
      <c r="V705" s="21">
        <f t="shared" si="42"/>
        <v>73.260390000000001</v>
      </c>
      <c r="W705" s="16">
        <f t="shared" si="43"/>
        <v>-2.9596099999999979</v>
      </c>
    </row>
    <row r="706" spans="1:23" hidden="1" x14ac:dyDescent="0.3">
      <c r="A706" s="22" t="s">
        <v>1419</v>
      </c>
      <c r="B706" s="22" t="s">
        <v>1419</v>
      </c>
      <c r="C706" s="23" t="s">
        <v>33</v>
      </c>
      <c r="D706" s="20" t="s">
        <v>34</v>
      </c>
      <c r="E706" s="22" t="s">
        <v>1420</v>
      </c>
      <c r="F706" s="24" t="str">
        <f t="shared" si="40"/>
        <v>PPG - JST MATT WOODSTAIN - Medium Oak - 2.5ltr</v>
      </c>
      <c r="G706" s="23" t="s">
        <v>5579</v>
      </c>
      <c r="H706" s="25" t="s">
        <v>36</v>
      </c>
      <c r="I706" s="18" t="s">
        <v>37</v>
      </c>
      <c r="J706" s="18" t="s">
        <v>38</v>
      </c>
      <c r="K706" t="s">
        <v>39</v>
      </c>
      <c r="L706" s="26">
        <f>VLOOKUP(A706,'[3]Price info'!A:D,4,FALSE)</f>
        <v>16.88</v>
      </c>
      <c r="M706" s="18" t="s">
        <v>40</v>
      </c>
      <c r="N706" s="20">
        <v>3105</v>
      </c>
      <c r="P706" s="16">
        <f>VLOOKUP(A706,'[3]Price info'!A:H,8,FALSE)</f>
        <v>15.71528</v>
      </c>
      <c r="Q706" s="27">
        <f t="shared" si="41"/>
        <v>0.93100000000000005</v>
      </c>
      <c r="S706" s="16" t="e">
        <f>VLOOKUP(A706,[4]Sales!$E:$G,3,FALSE)</f>
        <v>#N/A</v>
      </c>
      <c r="T706" s="19" t="e">
        <f>VLOOKUP(A706,[4]Volume!$E:$G,3,FALSE)</f>
        <v>#N/A</v>
      </c>
      <c r="U706" s="19" t="e">
        <f>VLOOKUP(A706,[4]Piece!$E:$G,3,FALSE)</f>
        <v>#N/A</v>
      </c>
      <c r="V706" s="21" t="e">
        <f t="shared" si="42"/>
        <v>#N/A</v>
      </c>
      <c r="W706" s="16" t="e">
        <f t="shared" si="43"/>
        <v>#N/A</v>
      </c>
    </row>
    <row r="707" spans="1:23" hidden="1" x14ac:dyDescent="0.3">
      <c r="A707" s="46" t="s">
        <v>1421</v>
      </c>
      <c r="B707" s="46" t="s">
        <v>1421</v>
      </c>
      <c r="C707" s="47" t="s">
        <v>33</v>
      </c>
      <c r="D707" s="48" t="s">
        <v>34</v>
      </c>
      <c r="E707" s="18" t="s">
        <v>1422</v>
      </c>
      <c r="F707" s="24" t="str">
        <f t="shared" ref="F707:F770" si="44">D707&amp;" - "&amp;E707</f>
        <v>PPG - ZINSR COVERSTAIN   WHITE      0000001100</v>
      </c>
      <c r="G707" s="20" t="s">
        <v>5580</v>
      </c>
      <c r="H707" s="49" t="s">
        <v>213</v>
      </c>
      <c r="I707" s="18" t="s">
        <v>37</v>
      </c>
      <c r="J707" s="18" t="s">
        <v>38</v>
      </c>
      <c r="K707" t="s">
        <v>39</v>
      </c>
      <c r="L707" s="50">
        <f>VLOOKUP(A707,'[3]Price info'!A:D,4,FALSE)</f>
        <v>14.1</v>
      </c>
      <c r="M707" s="18" t="s">
        <v>214</v>
      </c>
      <c r="N707" s="20">
        <v>3105</v>
      </c>
      <c r="P707" s="16">
        <f>VLOOKUP(A707,'[3]Price info'!A:H,8,FALSE)</f>
        <v>13.1271</v>
      </c>
      <c r="Q707" s="17">
        <f t="shared" ref="Q707:Q770" si="45">P707/L707</f>
        <v>0.93100000000000005</v>
      </c>
      <c r="S707" s="16">
        <f>VLOOKUP(A707,[4]Sales!$E:$G,3,FALSE)</f>
        <v>106.88999999999999</v>
      </c>
      <c r="T707" s="19">
        <f>VLOOKUP(A707,[4]Volume!$E:$G,3,FALSE)</f>
        <v>8</v>
      </c>
      <c r="U707" s="19">
        <f>VLOOKUP(A707,[4]Piece!$E:$G,3,FALSE)</f>
        <v>8</v>
      </c>
      <c r="V707" s="21">
        <f t="shared" ref="V707:V770" si="46">U707*P707</f>
        <v>105.0168</v>
      </c>
      <c r="W707" s="16">
        <f t="shared" ref="W707:W770" si="47">V707-S707</f>
        <v>-1.8731999999999829</v>
      </c>
    </row>
    <row r="708" spans="1:23" hidden="1" x14ac:dyDescent="0.3">
      <c r="A708" s="22" t="s">
        <v>1423</v>
      </c>
      <c r="B708" s="22" t="s">
        <v>1423</v>
      </c>
      <c r="C708" s="23" t="s">
        <v>33</v>
      </c>
      <c r="D708" s="20" t="s">
        <v>34</v>
      </c>
      <c r="E708" s="22" t="s">
        <v>1424</v>
      </c>
      <c r="F708" s="24" t="str">
        <f t="shared" si="44"/>
        <v>PPG - Johnstones AQUA UNDERCOAT - DK GRY - 1ltr</v>
      </c>
      <c r="G708" s="23" t="s">
        <v>5581</v>
      </c>
      <c r="H708" s="25" t="s">
        <v>36</v>
      </c>
      <c r="I708" s="18" t="s">
        <v>37</v>
      </c>
      <c r="J708" s="18" t="s">
        <v>38</v>
      </c>
      <c r="K708" t="s">
        <v>39</v>
      </c>
      <c r="L708" s="26">
        <f>VLOOKUP(A708,'[3]Price info'!A:D,4,FALSE)</f>
        <v>11.92</v>
      </c>
      <c r="M708" s="18" t="s">
        <v>40</v>
      </c>
      <c r="N708" s="20">
        <v>3105</v>
      </c>
      <c r="P708" s="16">
        <f>VLOOKUP(A708,'[3]Price info'!A:H,8,FALSE)</f>
        <v>11.92</v>
      </c>
      <c r="Q708" s="27">
        <f t="shared" si="45"/>
        <v>1</v>
      </c>
      <c r="S708" s="16">
        <f>VLOOKUP(A708,[4]Sales!$E:$G,3,FALSE)</f>
        <v>59.599999999999994</v>
      </c>
      <c r="T708" s="19">
        <f>VLOOKUP(A708,[4]Volume!$E:$G,3,FALSE)</f>
        <v>5</v>
      </c>
      <c r="U708" s="19">
        <f>VLOOKUP(A708,[4]Piece!$E:$G,3,FALSE)</f>
        <v>5</v>
      </c>
      <c r="V708" s="21">
        <f t="shared" si="46"/>
        <v>59.6</v>
      </c>
      <c r="W708" s="16">
        <f t="shared" si="47"/>
        <v>0</v>
      </c>
    </row>
    <row r="709" spans="1:23" hidden="1" x14ac:dyDescent="0.3">
      <c r="A709" s="22" t="s">
        <v>1425</v>
      </c>
      <c r="B709" s="22" t="s">
        <v>1425</v>
      </c>
      <c r="C709" s="23" t="s">
        <v>33</v>
      </c>
      <c r="D709" s="20" t="s">
        <v>34</v>
      </c>
      <c r="E709" s="22" t="s">
        <v>1426</v>
      </c>
      <c r="F709" s="24" t="str">
        <f t="shared" si="44"/>
        <v>PPG - Johnstones FLORTRED Safety Yellow - 2.5ltr</v>
      </c>
      <c r="G709" s="23" t="s">
        <v>5582</v>
      </c>
      <c r="H709" s="25" t="s">
        <v>36</v>
      </c>
      <c r="I709" s="18" t="s">
        <v>37</v>
      </c>
      <c r="J709" s="18" t="s">
        <v>38</v>
      </c>
      <c r="K709" t="s">
        <v>39</v>
      </c>
      <c r="L709" s="26">
        <f>VLOOKUP(A709,'[3]Price info'!A:D,4,FALSE)</f>
        <v>34.83</v>
      </c>
      <c r="M709" s="18" t="s">
        <v>40</v>
      </c>
      <c r="N709" s="20">
        <v>3105</v>
      </c>
      <c r="P709" s="16">
        <f>VLOOKUP(A709,'[3]Price info'!A:H,8,FALSE)</f>
        <v>12.67</v>
      </c>
      <c r="Q709" s="27">
        <f t="shared" si="45"/>
        <v>0.36376686764283667</v>
      </c>
      <c r="S709" s="16">
        <f>VLOOKUP(A709,[4]Sales!$E:$G,3,FALSE)</f>
        <v>50.68</v>
      </c>
      <c r="T709" s="19">
        <f>VLOOKUP(A709,[4]Volume!$E:$G,3,FALSE)</f>
        <v>10</v>
      </c>
      <c r="U709" s="19">
        <f>VLOOKUP(A709,[4]Piece!$E:$G,3,FALSE)</f>
        <v>4</v>
      </c>
      <c r="V709" s="21">
        <f t="shared" si="46"/>
        <v>50.68</v>
      </c>
      <c r="W709" s="16">
        <f t="shared" si="47"/>
        <v>0</v>
      </c>
    </row>
    <row r="710" spans="1:23" hidden="1" x14ac:dyDescent="0.3">
      <c r="A710" s="22" t="s">
        <v>1427</v>
      </c>
      <c r="B710" s="22" t="s">
        <v>1427</v>
      </c>
      <c r="C710" s="23" t="s">
        <v>33</v>
      </c>
      <c r="D710" s="20" t="s">
        <v>34</v>
      </c>
      <c r="E710" s="22" t="s">
        <v>1428</v>
      </c>
      <c r="F710" s="24" t="str">
        <f t="shared" si="44"/>
        <v>PPG - HARRIS &amp; HAMILTON FILLING KNIFE - 2''ltr</v>
      </c>
      <c r="G710" s="23" t="s">
        <v>5583</v>
      </c>
      <c r="H710" s="25" t="s">
        <v>36</v>
      </c>
      <c r="I710" s="18" t="s">
        <v>37</v>
      </c>
      <c r="J710" s="18" t="s">
        <v>38</v>
      </c>
      <c r="K710" t="s">
        <v>39</v>
      </c>
      <c r="L710" s="26">
        <f>VLOOKUP(A710,'[3]Price info'!A:D,4,FALSE)</f>
        <v>5.33</v>
      </c>
      <c r="M710" s="18" t="s">
        <v>40</v>
      </c>
      <c r="N710" s="20">
        <v>3105</v>
      </c>
      <c r="P710" s="16">
        <f>VLOOKUP(A710,'[3]Price info'!A:H,8,FALSE)</f>
        <v>4.9622299999999999</v>
      </c>
      <c r="Q710" s="27">
        <f t="shared" si="45"/>
        <v>0.93099999999999994</v>
      </c>
      <c r="S710" s="16">
        <f>VLOOKUP(A710,[4]Sales!$E:$G,3,FALSE)</f>
        <v>57.769999999999996</v>
      </c>
      <c r="T710" s="19">
        <f>VLOOKUP(A710,[4]Volume!$E:$G,3,FALSE)</f>
        <v>20</v>
      </c>
      <c r="U710" s="19">
        <f>VLOOKUP(A710,[4]Piece!$E:$G,3,FALSE)</f>
        <v>20</v>
      </c>
      <c r="V710" s="21">
        <f t="shared" si="46"/>
        <v>99.244599999999991</v>
      </c>
      <c r="W710" s="16">
        <f t="shared" si="47"/>
        <v>41.474599999999995</v>
      </c>
    </row>
    <row r="711" spans="1:23" hidden="1" x14ac:dyDescent="0.3">
      <c r="A711" s="22" t="s">
        <v>1429</v>
      </c>
      <c r="B711" s="22" t="s">
        <v>1429</v>
      </c>
      <c r="C711" s="23" t="s">
        <v>33</v>
      </c>
      <c r="D711" s="20" t="s">
        <v>34</v>
      </c>
      <c r="E711" s="22" t="s">
        <v>1430</v>
      </c>
      <c r="F711" s="24" t="str">
        <f t="shared" si="44"/>
        <v>PPG - Johnstones SATIN WOODSTAIN - Clear - 2.5ltr</v>
      </c>
      <c r="G711" s="23" t="s">
        <v>5584</v>
      </c>
      <c r="H711" s="25" t="s">
        <v>36</v>
      </c>
      <c r="I711" s="18" t="s">
        <v>37</v>
      </c>
      <c r="J711" s="18" t="s">
        <v>38</v>
      </c>
      <c r="K711" t="s">
        <v>39</v>
      </c>
      <c r="L711" s="26">
        <f>VLOOKUP(A711,'[3]Price info'!A:D,4,FALSE)</f>
        <v>16.88</v>
      </c>
      <c r="M711" s="18" t="s">
        <v>40</v>
      </c>
      <c r="N711" s="20">
        <v>3105</v>
      </c>
      <c r="P711" s="16">
        <f>VLOOKUP(A711,'[3]Price info'!A:H,8,FALSE)</f>
        <v>15.71528</v>
      </c>
      <c r="Q711" s="27">
        <f t="shared" si="45"/>
        <v>0.93100000000000005</v>
      </c>
      <c r="S711" s="16">
        <f>VLOOKUP(A711,[4]Sales!$E:$G,3,FALSE)</f>
        <v>160.06</v>
      </c>
      <c r="T711" s="19">
        <f>VLOOKUP(A711,[4]Volume!$E:$G,3,FALSE)</f>
        <v>25</v>
      </c>
      <c r="U711" s="19">
        <f>VLOOKUP(A711,[4]Piece!$E:$G,3,FALSE)</f>
        <v>10</v>
      </c>
      <c r="V711" s="21">
        <f t="shared" si="46"/>
        <v>157.15280000000001</v>
      </c>
      <c r="W711" s="16">
        <f t="shared" si="47"/>
        <v>-2.9071999999999889</v>
      </c>
    </row>
    <row r="712" spans="1:23" x14ac:dyDescent="0.3">
      <c r="A712" s="36" t="s">
        <v>1431</v>
      </c>
      <c r="B712" s="36" t="s">
        <v>1431</v>
      </c>
      <c r="C712" s="23" t="s">
        <v>33</v>
      </c>
      <c r="D712" s="20" t="s">
        <v>34</v>
      </c>
      <c r="E712" s="22" t="s">
        <v>1432</v>
      </c>
      <c r="F712" s="24" t="str">
        <f t="shared" si="44"/>
        <v>PPG - Artex EASIFILLER LIGHT 2.5KG</v>
      </c>
      <c r="G712" s="41" t="s">
        <v>5585</v>
      </c>
      <c r="H712" s="39" t="s">
        <v>36</v>
      </c>
      <c r="I712" s="40" t="s">
        <v>37</v>
      </c>
      <c r="J712" s="40" t="s">
        <v>38</v>
      </c>
      <c r="K712" s="41" t="s">
        <v>39</v>
      </c>
      <c r="L712" s="26">
        <f>VLOOKUP(A712,'[3]Price info'!A:D,4,FALSE)</f>
        <v>21.97</v>
      </c>
      <c r="M712" s="40" t="s">
        <v>40</v>
      </c>
      <c r="N712" s="42">
        <v>3105</v>
      </c>
      <c r="O712" s="43">
        <v>19.27</v>
      </c>
      <c r="P712" s="16">
        <f>VLOOKUP(A712,'[3]Price info'!A:H,8,FALSE)</f>
        <v>20.454070000000002</v>
      </c>
      <c r="Q712" s="52">
        <f t="shared" si="45"/>
        <v>0.93100000000000016</v>
      </c>
      <c r="R712" s="40"/>
      <c r="S712" s="16">
        <f>VLOOKUP(A712,[4]Sales!$E:$G,3,FALSE)</f>
        <v>21.97</v>
      </c>
      <c r="T712" s="19">
        <f>VLOOKUP(A712,[4]Volume!$E:$G,3,FALSE)</f>
        <v>2.5</v>
      </c>
      <c r="U712" s="19">
        <f>VLOOKUP(A712,[4]Piece!$E:$G,3,FALSE)</f>
        <v>1</v>
      </c>
      <c r="V712" s="21">
        <f t="shared" si="46"/>
        <v>20.454070000000002</v>
      </c>
      <c r="W712" s="16">
        <f t="shared" si="47"/>
        <v>-1.5159299999999973</v>
      </c>
    </row>
    <row r="713" spans="1:23" hidden="1" x14ac:dyDescent="0.3">
      <c r="A713" s="56" t="s">
        <v>1433</v>
      </c>
      <c r="B713" s="56" t="s">
        <v>1433</v>
      </c>
      <c r="C713" s="47" t="s">
        <v>33</v>
      </c>
      <c r="D713" s="48" t="s">
        <v>34</v>
      </c>
      <c r="E713" s="22" t="s">
        <v>1434</v>
      </c>
      <c r="F713" s="24" t="str">
        <f t="shared" si="44"/>
        <v>PPG - TESA ECOVER PAPER 25M X 0.3M 4364</v>
      </c>
      <c r="G713" s="20" t="s">
        <v>5586</v>
      </c>
      <c r="H713" s="25" t="s">
        <v>36</v>
      </c>
      <c r="I713" s="18" t="s">
        <v>37</v>
      </c>
      <c r="J713" s="18" t="s">
        <v>38</v>
      </c>
      <c r="K713" t="s">
        <v>39</v>
      </c>
      <c r="L713" s="50">
        <v>8.66</v>
      </c>
      <c r="M713" s="18" t="s">
        <v>214</v>
      </c>
      <c r="N713" s="20">
        <v>3105</v>
      </c>
      <c r="P713" s="16">
        <f>VLOOKUP(A713,'[3]Price info'!A:H,8,FALSE)</f>
        <v>8.0624599999999997</v>
      </c>
      <c r="Q713" s="27">
        <f t="shared" si="45"/>
        <v>0.93099999999999994</v>
      </c>
      <c r="S713" s="16">
        <f>VLOOKUP(A713,[4]Sales!$E:$G,3,FALSE)</f>
        <v>8.06</v>
      </c>
      <c r="T713" s="19">
        <f>VLOOKUP(A713,[4]Volume!$E:$G,3,FALSE)</f>
        <v>1</v>
      </c>
      <c r="U713" s="19">
        <f>VLOOKUP(A713,[4]Piece!$E:$G,3,FALSE)</f>
        <v>1</v>
      </c>
      <c r="V713" s="21">
        <f t="shared" si="46"/>
        <v>8.0624599999999997</v>
      </c>
      <c r="W713" s="16">
        <f t="shared" si="47"/>
        <v>2.4599999999992406E-3</v>
      </c>
    </row>
    <row r="714" spans="1:23" hidden="1" x14ac:dyDescent="0.3">
      <c r="A714" t="s">
        <v>1435</v>
      </c>
      <c r="B714" t="s">
        <v>1435</v>
      </c>
      <c r="C714" s="23" t="s">
        <v>33</v>
      </c>
      <c r="D714" s="20" t="s">
        <v>34</v>
      </c>
      <c r="E714" s="22" t="s">
        <v>1436</v>
      </c>
      <c r="F714" s="24" t="str">
        <f t="shared" si="44"/>
        <v>PPG - Artex R/MIX JOINT CEMEMT 12ltr</v>
      </c>
      <c r="G714" s="38" t="s">
        <v>5587</v>
      </c>
      <c r="H714" s="39" t="s">
        <v>213</v>
      </c>
      <c r="I714" s="40" t="s">
        <v>37</v>
      </c>
      <c r="J714" s="40" t="s">
        <v>38</v>
      </c>
      <c r="K714" s="41" t="s">
        <v>39</v>
      </c>
      <c r="L714" s="26">
        <f>VLOOKUP(A714,'[3]Price info'!A:D,4,FALSE)</f>
        <v>18.059999999999999</v>
      </c>
      <c r="M714" s="40" t="s">
        <v>40</v>
      </c>
      <c r="N714" s="42">
        <v>3105</v>
      </c>
      <c r="O714" s="43"/>
      <c r="P714" s="16">
        <f>VLOOKUP(A714,'[3]Price info'!A:H,8,FALSE)</f>
        <v>18.059999999999999</v>
      </c>
      <c r="Q714" s="52">
        <f t="shared" si="45"/>
        <v>1</v>
      </c>
      <c r="R714" s="40"/>
      <c r="S714" s="16" t="e">
        <f>VLOOKUP(A714,[4]Sales!$E:$G,3,FALSE)</f>
        <v>#N/A</v>
      </c>
      <c r="T714" s="19" t="e">
        <f>VLOOKUP(A714,[4]Volume!$E:$G,3,FALSE)</f>
        <v>#N/A</v>
      </c>
      <c r="U714" s="19" t="e">
        <f>VLOOKUP(A714,[4]Piece!$E:$G,3,FALSE)</f>
        <v>#N/A</v>
      </c>
      <c r="V714" s="21" t="e">
        <f t="shared" si="46"/>
        <v>#N/A</v>
      </c>
      <c r="W714" s="16" t="e">
        <f t="shared" si="47"/>
        <v>#N/A</v>
      </c>
    </row>
    <row r="715" spans="1:23" hidden="1" x14ac:dyDescent="0.3">
      <c r="A715" s="46" t="s">
        <v>1437</v>
      </c>
      <c r="B715" s="46" t="s">
        <v>1437</v>
      </c>
      <c r="C715" s="47" t="s">
        <v>33</v>
      </c>
      <c r="D715" s="48" t="s">
        <v>34</v>
      </c>
      <c r="E715" s="18" t="s">
        <v>1438</v>
      </c>
      <c r="F715" s="24" t="str">
        <f t="shared" si="44"/>
        <v>PPG - EASY  EASYTEX      10-044     FIBROUS</v>
      </c>
      <c r="G715" s="20" t="s">
        <v>5588</v>
      </c>
      <c r="H715" s="49" t="s">
        <v>213</v>
      </c>
      <c r="I715" s="18" t="s">
        <v>37</v>
      </c>
      <c r="J715" s="18" t="s">
        <v>38</v>
      </c>
      <c r="K715" t="s">
        <v>39</v>
      </c>
      <c r="L715" s="50">
        <f>VLOOKUP(A715,'[3]Price info'!A:D,4,FALSE)</f>
        <v>5.18</v>
      </c>
      <c r="M715" s="18" t="s">
        <v>214</v>
      </c>
      <c r="N715" s="20">
        <v>3105</v>
      </c>
      <c r="P715" s="16">
        <f>VLOOKUP(A715,'[3]Price info'!A:H,8,FALSE)</f>
        <v>5.18</v>
      </c>
      <c r="Q715" s="17">
        <f t="shared" si="45"/>
        <v>1</v>
      </c>
      <c r="S715" s="16" t="e">
        <f>VLOOKUP(A715,[4]Sales!$E:$G,3,FALSE)</f>
        <v>#N/A</v>
      </c>
      <c r="T715" s="19" t="e">
        <f>VLOOKUP(A715,[4]Volume!$E:$G,3,FALSE)</f>
        <v>#N/A</v>
      </c>
      <c r="U715" s="19" t="e">
        <f>VLOOKUP(A715,[4]Piece!$E:$G,3,FALSE)</f>
        <v>#N/A</v>
      </c>
      <c r="V715" s="21" t="e">
        <f t="shared" si="46"/>
        <v>#N/A</v>
      </c>
      <c r="W715" s="16" t="e">
        <f t="shared" si="47"/>
        <v>#N/A</v>
      </c>
    </row>
    <row r="716" spans="1:23" hidden="1" x14ac:dyDescent="0.3">
      <c r="A716" s="22" t="s">
        <v>1439</v>
      </c>
      <c r="B716" s="22" t="s">
        <v>1439</v>
      </c>
      <c r="C716" s="23" t="s">
        <v>33</v>
      </c>
      <c r="D716" s="20" t="s">
        <v>34</v>
      </c>
      <c r="E716" s="22" t="s">
        <v>1440</v>
      </c>
      <c r="F716" s="24" t="str">
        <f t="shared" si="44"/>
        <v>PPG - Johnstones TC3 THINNER - 5ltr</v>
      </c>
      <c r="G716" s="23" t="s">
        <v>5589</v>
      </c>
      <c r="H716" s="29" t="s">
        <v>36</v>
      </c>
      <c r="I716" s="30" t="s">
        <v>37</v>
      </c>
      <c r="J716" s="30" t="s">
        <v>38</v>
      </c>
      <c r="K716" s="31" t="s">
        <v>39</v>
      </c>
      <c r="L716" s="26">
        <f>VLOOKUP(A716,'[3]Price info'!A:D,4,FALSE)</f>
        <v>24.71</v>
      </c>
      <c r="M716" s="30" t="s">
        <v>40</v>
      </c>
      <c r="N716" s="32">
        <v>3105</v>
      </c>
      <c r="P716" s="16">
        <f>VLOOKUP(A716,'[3]Price info'!A:H,8,FALSE)</f>
        <v>27.181000000000004</v>
      </c>
      <c r="Q716" s="59">
        <f t="shared" si="45"/>
        <v>1.1000000000000001</v>
      </c>
      <c r="R716" s="30"/>
      <c r="S716" s="16" t="e">
        <f>VLOOKUP(A716,[4]Sales!$E:$G,3,FALSE)</f>
        <v>#N/A</v>
      </c>
      <c r="T716" s="19" t="e">
        <f>VLOOKUP(A716,[4]Volume!$E:$G,3,FALSE)</f>
        <v>#N/A</v>
      </c>
      <c r="U716" s="19" t="e">
        <f>VLOOKUP(A716,[4]Piece!$E:$G,3,FALSE)</f>
        <v>#N/A</v>
      </c>
      <c r="V716" s="21" t="e">
        <f t="shared" si="46"/>
        <v>#N/A</v>
      </c>
      <c r="W716" s="16" t="e">
        <f t="shared" si="47"/>
        <v>#N/A</v>
      </c>
    </row>
    <row r="717" spans="1:23" hidden="1" x14ac:dyDescent="0.3">
      <c r="A717" s="46" t="s">
        <v>1441</v>
      </c>
      <c r="B717" s="46" t="s">
        <v>1441</v>
      </c>
      <c r="C717" s="51" t="s">
        <v>33</v>
      </c>
      <c r="D717" s="48" t="s">
        <v>34</v>
      </c>
      <c r="E717" s="18" t="s">
        <v>1442</v>
      </c>
      <c r="F717" s="24" t="str">
        <f t="shared" si="44"/>
        <v>PPG - RODO  6" L/HANDLE  SCRAPER    (LHWS6)</v>
      </c>
      <c r="G717" s="20" t="s">
        <v>5590</v>
      </c>
      <c r="H717" s="49" t="s">
        <v>213</v>
      </c>
      <c r="I717" s="18" t="s">
        <v>37</v>
      </c>
      <c r="J717" s="18" t="s">
        <v>38</v>
      </c>
      <c r="K717" t="s">
        <v>39</v>
      </c>
      <c r="L717" s="50">
        <f>VLOOKUP(A717,'[3]Price info'!A:D,4,FALSE)</f>
        <v>10.98</v>
      </c>
      <c r="M717" s="18" t="s">
        <v>214</v>
      </c>
      <c r="N717" s="20">
        <v>3105</v>
      </c>
      <c r="P717" s="16">
        <f>VLOOKUP(A717,'[3]Price info'!A:H,8,FALSE)</f>
        <v>10.222380000000001</v>
      </c>
      <c r="Q717" s="17">
        <f t="shared" si="45"/>
        <v>0.93100000000000005</v>
      </c>
      <c r="S717" s="16">
        <f>VLOOKUP(A717,[4]Sales!$E:$G,3,FALSE)</f>
        <v>55.080000000000005</v>
      </c>
      <c r="T717" s="19">
        <f>VLOOKUP(A717,[4]Volume!$E:$G,3,FALSE)</f>
        <v>5</v>
      </c>
      <c r="U717" s="19">
        <f>VLOOKUP(A717,[4]Piece!$E:$G,3,FALSE)</f>
        <v>5</v>
      </c>
      <c r="V717" s="21">
        <f t="shared" si="46"/>
        <v>51.111900000000006</v>
      </c>
      <c r="W717" s="16">
        <f t="shared" si="47"/>
        <v>-3.9680999999999997</v>
      </c>
    </row>
    <row r="718" spans="1:23" hidden="1" x14ac:dyDescent="0.3">
      <c r="A718" s="46" t="s">
        <v>1443</v>
      </c>
      <c r="B718" s="46" t="s">
        <v>1443</v>
      </c>
      <c r="C718" s="47" t="s">
        <v>33</v>
      </c>
      <c r="D718" s="48" t="s">
        <v>34</v>
      </c>
      <c r="E718" s="18" t="s">
        <v>1444</v>
      </c>
      <c r="F718" s="24" t="str">
        <f t="shared" si="44"/>
        <v>PPG - JST   SATIN W/STN  LIGHT OAK  0000001250</v>
      </c>
      <c r="G718" s="20" t="s">
        <v>5591</v>
      </c>
      <c r="H718" s="49" t="s">
        <v>213</v>
      </c>
      <c r="I718" s="18" t="s">
        <v>37</v>
      </c>
      <c r="J718" s="18" t="s">
        <v>38</v>
      </c>
      <c r="K718" t="s">
        <v>39</v>
      </c>
      <c r="L718" s="50">
        <f>VLOOKUP(A718,'[3]Price info'!A:D,4,FALSE)</f>
        <v>16.88</v>
      </c>
      <c r="M718" s="18" t="s">
        <v>214</v>
      </c>
      <c r="N718" s="20">
        <v>3105</v>
      </c>
      <c r="P718" s="16">
        <f>VLOOKUP(A718,'[3]Price info'!A:H,8,FALSE)</f>
        <v>15.71528</v>
      </c>
      <c r="Q718" s="17">
        <f t="shared" si="45"/>
        <v>0.93100000000000005</v>
      </c>
      <c r="S718" s="16">
        <f>VLOOKUP(A718,[4]Sales!$E:$G,3,FALSE)</f>
        <v>31.440000000000005</v>
      </c>
      <c r="T718" s="19">
        <f>VLOOKUP(A718,[4]Volume!$E:$G,3,FALSE)</f>
        <v>5</v>
      </c>
      <c r="U718" s="19">
        <f>VLOOKUP(A718,[4]Piece!$E:$G,3,FALSE)</f>
        <v>2</v>
      </c>
      <c r="V718" s="21">
        <f t="shared" si="46"/>
        <v>31.43056</v>
      </c>
      <c r="W718" s="16">
        <f t="shared" si="47"/>
        <v>-9.4400000000049999E-3</v>
      </c>
    </row>
    <row r="719" spans="1:23" hidden="1" x14ac:dyDescent="0.3">
      <c r="A719" s="22" t="s">
        <v>1445</v>
      </c>
      <c r="B719" s="22" t="s">
        <v>1445</v>
      </c>
      <c r="C719" s="23" t="s">
        <v>33</v>
      </c>
      <c r="D719" s="20" t="s">
        <v>34</v>
      </c>
      <c r="E719" s="22" t="s">
        <v>1446</v>
      </c>
      <c r="F719" s="24" t="str">
        <f t="shared" si="44"/>
        <v>PPG - ProGold WOVEN SHORT PILE ROLLER 12"</v>
      </c>
      <c r="G719" s="23" t="s">
        <v>5592</v>
      </c>
      <c r="H719" s="25" t="s">
        <v>36</v>
      </c>
      <c r="I719" s="18" t="s">
        <v>37</v>
      </c>
      <c r="J719" s="18" t="s">
        <v>38</v>
      </c>
      <c r="K719" t="s">
        <v>39</v>
      </c>
      <c r="L719" s="26">
        <f>VLOOKUP(A719,'[3]Price info'!A:D,4,FALSE)</f>
        <v>7.94</v>
      </c>
      <c r="M719" s="18" t="s">
        <v>40</v>
      </c>
      <c r="N719" s="20">
        <v>3105</v>
      </c>
      <c r="P719" s="16">
        <f>VLOOKUP(A719,'[3]Price info'!A:H,8,FALSE)</f>
        <v>7.3921400000000004</v>
      </c>
      <c r="Q719" s="27">
        <f t="shared" si="45"/>
        <v>0.93100000000000005</v>
      </c>
      <c r="S719" s="16">
        <f>VLOOKUP(A719,[4]Sales!$E:$G,3,FALSE)</f>
        <v>7.39</v>
      </c>
      <c r="T719" s="19">
        <f>VLOOKUP(A719,[4]Volume!$E:$G,3,FALSE)</f>
        <v>1</v>
      </c>
      <c r="U719" s="19">
        <f>VLOOKUP(A719,[4]Piece!$E:$G,3,FALSE)</f>
        <v>1</v>
      </c>
      <c r="V719" s="21">
        <f t="shared" si="46"/>
        <v>7.3921400000000004</v>
      </c>
      <c r="W719" s="16">
        <f t="shared" si="47"/>
        <v>2.1400000000006969E-3</v>
      </c>
    </row>
    <row r="720" spans="1:23" hidden="1" x14ac:dyDescent="0.3">
      <c r="A720" s="56" t="s">
        <v>1447</v>
      </c>
      <c r="B720" s="56" t="s">
        <v>1447</v>
      </c>
      <c r="C720" s="47" t="s">
        <v>33</v>
      </c>
      <c r="D720" s="48" t="s">
        <v>34</v>
      </c>
      <c r="E720" s="22" t="s">
        <v>1448</v>
      </c>
      <c r="F720" s="24" t="str">
        <f t="shared" si="44"/>
        <v>PPG - TESA SEN MASKTAPE 50M X 50MM 4333</v>
      </c>
      <c r="G720" s="20" t="s">
        <v>5593</v>
      </c>
      <c r="H720" s="25" t="s">
        <v>36</v>
      </c>
      <c r="I720" s="18" t="s">
        <v>37</v>
      </c>
      <c r="J720" s="18" t="s">
        <v>38</v>
      </c>
      <c r="K720" t="s">
        <v>39</v>
      </c>
      <c r="L720" s="50">
        <v>10.16</v>
      </c>
      <c r="M720" s="18" t="s">
        <v>214</v>
      </c>
      <c r="N720" s="20">
        <v>3105</v>
      </c>
      <c r="P720" s="16">
        <f>VLOOKUP(A720,'[3]Price info'!A:H,8,FALSE)</f>
        <v>9.4589600000000011</v>
      </c>
      <c r="Q720" s="27">
        <f t="shared" si="45"/>
        <v>0.93100000000000005</v>
      </c>
      <c r="S720" s="16">
        <f>VLOOKUP(A720,[4]Sales!$E:$G,3,FALSE)</f>
        <v>17.320000000000004</v>
      </c>
      <c r="T720" s="19">
        <f>VLOOKUP(A720,[4]Volume!$E:$G,3,FALSE)</f>
        <v>3</v>
      </c>
      <c r="U720" s="19">
        <f>VLOOKUP(A720,[4]Piece!$E:$G,3,FALSE)</f>
        <v>3</v>
      </c>
      <c r="V720" s="21">
        <f t="shared" si="46"/>
        <v>28.376880000000003</v>
      </c>
      <c r="W720" s="16">
        <f t="shared" si="47"/>
        <v>11.05688</v>
      </c>
    </row>
    <row r="721" spans="1:23" hidden="1" x14ac:dyDescent="0.3">
      <c r="A721" s="22" t="s">
        <v>1449</v>
      </c>
      <c r="B721" s="22" t="s">
        <v>1449</v>
      </c>
      <c r="C721" s="23" t="s">
        <v>33</v>
      </c>
      <c r="D721" s="20" t="s">
        <v>34</v>
      </c>
      <c r="E721" s="22" t="s">
        <v>1450</v>
      </c>
      <c r="F721" s="24" t="str">
        <f t="shared" si="44"/>
        <v>PPG - ProGold METHALATED SPIRIT 500ML</v>
      </c>
      <c r="G721" s="23" t="s">
        <v>5594</v>
      </c>
      <c r="H721" s="25" t="s">
        <v>36</v>
      </c>
      <c r="I721" s="18" t="s">
        <v>37</v>
      </c>
      <c r="J721" s="18" t="s">
        <v>38</v>
      </c>
      <c r="K721" t="s">
        <v>39</v>
      </c>
      <c r="L721" s="26">
        <f>VLOOKUP(A721,'[3]Price info'!A:D,4,FALSE)</f>
        <v>3.01</v>
      </c>
      <c r="M721" s="18" t="s">
        <v>40</v>
      </c>
      <c r="N721" s="20">
        <v>3105</v>
      </c>
      <c r="P721" s="16">
        <f>VLOOKUP(A721,'[3]Price info'!A:H,8,FALSE)</f>
        <v>2.8023099999999999</v>
      </c>
      <c r="Q721" s="27">
        <f t="shared" si="45"/>
        <v>0.93100000000000005</v>
      </c>
      <c r="S721" s="16">
        <f>VLOOKUP(A721,[4]Sales!$E:$G,3,FALSE)</f>
        <v>8.3999999999999986</v>
      </c>
      <c r="T721" s="19">
        <f>VLOOKUP(A721,[4]Volume!$E:$G,3,FALSE)</f>
        <v>1.5</v>
      </c>
      <c r="U721" s="19">
        <f>VLOOKUP(A721,[4]Piece!$E:$G,3,FALSE)</f>
        <v>3</v>
      </c>
      <c r="V721" s="21">
        <f t="shared" si="46"/>
        <v>8.4069299999999991</v>
      </c>
      <c r="W721" s="16">
        <f t="shared" si="47"/>
        <v>6.9300000000005468E-3</v>
      </c>
    </row>
    <row r="722" spans="1:23" hidden="1" x14ac:dyDescent="0.3">
      <c r="A722" s="22" t="s">
        <v>1451</v>
      </c>
      <c r="B722" s="22" t="s">
        <v>1451</v>
      </c>
      <c r="C722" s="23" t="s">
        <v>33</v>
      </c>
      <c r="D722" s="20" t="s">
        <v>34</v>
      </c>
      <c r="E722" s="22" t="s">
        <v>1452</v>
      </c>
      <c r="F722" s="24" t="str">
        <f t="shared" si="44"/>
        <v>PPG - ProGold MEDIUM PILE POLYESTER ROLLER 12"</v>
      </c>
      <c r="G722" s="23" t="s">
        <v>5595</v>
      </c>
      <c r="H722" s="25" t="s">
        <v>36</v>
      </c>
      <c r="I722" s="18" t="s">
        <v>37</v>
      </c>
      <c r="J722" s="18" t="s">
        <v>38</v>
      </c>
      <c r="K722" t="s">
        <v>39</v>
      </c>
      <c r="L722" s="26">
        <f>VLOOKUP(A722,'[3]Price info'!A:D,4,FALSE)</f>
        <v>1.53</v>
      </c>
      <c r="M722" s="18" t="s">
        <v>40</v>
      </c>
      <c r="N722" s="20">
        <v>3105</v>
      </c>
      <c r="P722" s="16">
        <f>VLOOKUP(A722,'[3]Price info'!A:H,8,FALSE)</f>
        <v>1.4244300000000001</v>
      </c>
      <c r="Q722" s="27">
        <f t="shared" si="45"/>
        <v>0.93100000000000005</v>
      </c>
      <c r="S722" s="16">
        <f>VLOOKUP(A722,[4]Sales!$E:$G,3,FALSE)</f>
        <v>13</v>
      </c>
      <c r="T722" s="19">
        <f>VLOOKUP(A722,[4]Volume!$E:$G,3,FALSE)</f>
        <v>9</v>
      </c>
      <c r="U722" s="19">
        <f>VLOOKUP(A722,[4]Piece!$E:$G,3,FALSE)</f>
        <v>9</v>
      </c>
      <c r="V722" s="21">
        <f t="shared" si="46"/>
        <v>12.819870000000002</v>
      </c>
      <c r="W722" s="16">
        <f t="shared" si="47"/>
        <v>-0.18012999999999835</v>
      </c>
    </row>
    <row r="723" spans="1:23" hidden="1" x14ac:dyDescent="0.3">
      <c r="A723" s="22" t="s">
        <v>1453</v>
      </c>
      <c r="B723" s="22" t="s">
        <v>1453</v>
      </c>
      <c r="C723" s="23" t="s">
        <v>33</v>
      </c>
      <c r="D723" s="20" t="s">
        <v>34</v>
      </c>
      <c r="E723" s="22" t="s">
        <v>1454</v>
      </c>
      <c r="F723" s="24" t="str">
        <f t="shared" si="44"/>
        <v>PPG - ProGold AQUA SYNTHETIC BRUSH 1.5"</v>
      </c>
      <c r="G723" s="23" t="s">
        <v>5596</v>
      </c>
      <c r="H723" s="25" t="s">
        <v>36</v>
      </c>
      <c r="I723" s="18" t="s">
        <v>37</v>
      </c>
      <c r="J723" s="18" t="s">
        <v>38</v>
      </c>
      <c r="K723" t="s">
        <v>39</v>
      </c>
      <c r="L723" s="26">
        <f>VLOOKUP(A723,'[3]Price info'!A:D,4,FALSE)</f>
        <v>2.74</v>
      </c>
      <c r="M723" s="18" t="s">
        <v>40</v>
      </c>
      <c r="N723" s="20">
        <v>3105</v>
      </c>
      <c r="P723" s="16">
        <f>VLOOKUP(A723,'[3]Price info'!A:H,8,FALSE)</f>
        <v>2.5509400000000002</v>
      </c>
      <c r="Q723" s="27">
        <f t="shared" si="45"/>
        <v>0.93100000000000005</v>
      </c>
      <c r="S723" s="16">
        <f>VLOOKUP(A723,[4]Sales!$E:$G,3,FALSE)</f>
        <v>83.12</v>
      </c>
      <c r="T723" s="19">
        <f>VLOOKUP(A723,[4]Volume!$E:$G,3,FALSE)</f>
        <v>32</v>
      </c>
      <c r="U723" s="19">
        <f>VLOOKUP(A723,[4]Piece!$E:$G,3,FALSE)</f>
        <v>32</v>
      </c>
      <c r="V723" s="21">
        <f t="shared" si="46"/>
        <v>81.630080000000007</v>
      </c>
      <c r="W723" s="16">
        <f t="shared" si="47"/>
        <v>-1.4899199999999979</v>
      </c>
    </row>
    <row r="724" spans="1:23" hidden="1" x14ac:dyDescent="0.3">
      <c r="A724" s="22" t="s">
        <v>1455</v>
      </c>
      <c r="B724" s="22" t="s">
        <v>1455</v>
      </c>
      <c r="C724" s="23" t="s">
        <v>33</v>
      </c>
      <c r="D724" s="20" t="s">
        <v>34</v>
      </c>
      <c r="E724" s="22" t="s">
        <v>1456</v>
      </c>
      <c r="F724" s="24" t="str">
        <f t="shared" si="44"/>
        <v>PPG - FatHog EVO BIB &amp; BRACE  40-42" LRG WHITE</v>
      </c>
      <c r="G724" s="23" t="s">
        <v>5597</v>
      </c>
      <c r="H724" s="25" t="s">
        <v>36</v>
      </c>
      <c r="I724" s="18" t="s">
        <v>37</v>
      </c>
      <c r="J724" s="18" t="s">
        <v>38</v>
      </c>
      <c r="K724" t="s">
        <v>39</v>
      </c>
      <c r="L724" s="26">
        <f>VLOOKUP(A724,'[3]Price info'!A:D,4,FALSE)</f>
        <v>52.41</v>
      </c>
      <c r="M724" s="18" t="s">
        <v>40</v>
      </c>
      <c r="N724" s="20">
        <v>3105</v>
      </c>
      <c r="P724" s="16">
        <f>VLOOKUP(A724,'[3]Price info'!A:H,8,FALSE)</f>
        <v>48.793709999999997</v>
      </c>
      <c r="Q724" s="27">
        <f t="shared" si="45"/>
        <v>0.93100000000000005</v>
      </c>
      <c r="S724" s="16">
        <f>VLOOKUP(A724,[4]Sales!$E:$G,3,FALSE)</f>
        <v>24</v>
      </c>
      <c r="T724" s="19">
        <f>VLOOKUP(A724,[4]Volume!$E:$G,3,FALSE)</f>
        <v>1</v>
      </c>
      <c r="U724" s="19">
        <f>VLOOKUP(A724,[4]Piece!$E:$G,3,FALSE)</f>
        <v>1</v>
      </c>
      <c r="V724" s="21">
        <f t="shared" si="46"/>
        <v>48.793709999999997</v>
      </c>
      <c r="W724" s="16">
        <f t="shared" si="47"/>
        <v>24.793709999999997</v>
      </c>
    </row>
    <row r="725" spans="1:23" hidden="1" x14ac:dyDescent="0.3">
      <c r="A725" s="46" t="s">
        <v>1457</v>
      </c>
      <c r="B725" s="46" t="s">
        <v>1457</v>
      </c>
      <c r="C725" s="47" t="s">
        <v>33</v>
      </c>
      <c r="D725" s="48" t="s">
        <v>34</v>
      </c>
      <c r="E725" s="18" t="s">
        <v>1458</v>
      </c>
      <c r="F725" s="24" t="str">
        <f t="shared" si="44"/>
        <v>PPG - TETR  A/P POWDER(8 FILLER 1.5 0000001150</v>
      </c>
      <c r="G725" s="20" t="s">
        <v>5598</v>
      </c>
      <c r="H725" s="49" t="s">
        <v>213</v>
      </c>
      <c r="I725" s="18" t="s">
        <v>37</v>
      </c>
      <c r="J725" s="18" t="s">
        <v>38</v>
      </c>
      <c r="K725" t="s">
        <v>39</v>
      </c>
      <c r="L725" s="50">
        <f>VLOOKUP(A725,'[3]Price info'!A:D,4,FALSE)</f>
        <v>5.84</v>
      </c>
      <c r="M725" s="18" t="s">
        <v>214</v>
      </c>
      <c r="N725" s="20">
        <v>3105</v>
      </c>
      <c r="P725" s="16">
        <f>VLOOKUP(A725,'[3]Price info'!A:H,8,FALSE)</f>
        <v>5.4370400000000005</v>
      </c>
      <c r="Q725" s="17">
        <f t="shared" si="45"/>
        <v>0.93100000000000016</v>
      </c>
      <c r="S725" s="16">
        <f>VLOOKUP(A725,[4]Sales!$E:$G,3,FALSE)</f>
        <v>33.049999999999997</v>
      </c>
      <c r="T725" s="19">
        <f>VLOOKUP(A725,[4]Volume!$E:$G,3,FALSE)</f>
        <v>9</v>
      </c>
      <c r="U725" s="19">
        <f>VLOOKUP(A725,[4]Piece!$E:$G,3,FALSE)</f>
        <v>6</v>
      </c>
      <c r="V725" s="21">
        <f t="shared" si="46"/>
        <v>32.622240000000005</v>
      </c>
      <c r="W725" s="16">
        <f t="shared" si="47"/>
        <v>-0.42775999999999215</v>
      </c>
    </row>
    <row r="726" spans="1:23" hidden="1" x14ac:dyDescent="0.3">
      <c r="A726" s="46" t="s">
        <v>1459</v>
      </c>
      <c r="B726" s="46" t="s">
        <v>1459</v>
      </c>
      <c r="C726" s="51" t="s">
        <v>33</v>
      </c>
      <c r="D726" s="48" t="s">
        <v>34</v>
      </c>
      <c r="E726" s="18" t="s">
        <v>1460</v>
      </c>
      <c r="F726" s="24" t="str">
        <f t="shared" si="44"/>
        <v>PPG - RODO  RUBBLE SACKS PACK OF 5  (RB5)</v>
      </c>
      <c r="G726" s="20" t="s">
        <v>5599</v>
      </c>
      <c r="H726" s="49" t="s">
        <v>213</v>
      </c>
      <c r="I726" s="18" t="s">
        <v>37</v>
      </c>
      <c r="J726" s="18" t="s">
        <v>38</v>
      </c>
      <c r="K726" t="s">
        <v>39</v>
      </c>
      <c r="L726" s="50">
        <f>VLOOKUP(A726,'[3]Price info'!A:D,4,FALSE)</f>
        <v>1.7</v>
      </c>
      <c r="M726" s="18" t="s">
        <v>214</v>
      </c>
      <c r="N726" s="20">
        <v>3105</v>
      </c>
      <c r="P726" s="16">
        <f>VLOOKUP(A726,'[3]Price info'!A:H,8,FALSE)</f>
        <v>1.5827</v>
      </c>
      <c r="Q726" s="17">
        <f t="shared" si="45"/>
        <v>0.93100000000000005</v>
      </c>
      <c r="S726" s="16">
        <f>VLOOKUP(A726,[4]Sales!$E:$G,3,FALSE)</f>
        <v>75.44</v>
      </c>
      <c r="T726" s="19">
        <f>VLOOKUP(A726,[4]Volume!$E:$G,3,FALSE)</f>
        <v>46</v>
      </c>
      <c r="U726" s="19">
        <f>VLOOKUP(A726,[4]Piece!$E:$G,3,FALSE)</f>
        <v>46</v>
      </c>
      <c r="V726" s="21">
        <f t="shared" si="46"/>
        <v>72.804199999999994</v>
      </c>
      <c r="W726" s="16">
        <f t="shared" si="47"/>
        <v>-2.6358000000000033</v>
      </c>
    </row>
    <row r="727" spans="1:23" hidden="1" x14ac:dyDescent="0.3">
      <c r="A727" s="46" t="s">
        <v>1461</v>
      </c>
      <c r="B727" s="46" t="s">
        <v>1461</v>
      </c>
      <c r="C727" s="47" t="s">
        <v>33</v>
      </c>
      <c r="D727" s="48" t="s">
        <v>34</v>
      </c>
      <c r="E727" s="18" t="s">
        <v>1462</v>
      </c>
      <c r="F727" s="24" t="str">
        <f t="shared" si="44"/>
        <v>PPG - CORAL PASTE TABLE  HARDBOARD  TOP</v>
      </c>
      <c r="G727" s="20" t="s">
        <v>5600</v>
      </c>
      <c r="H727" s="49" t="s">
        <v>213</v>
      </c>
      <c r="I727" s="18" t="s">
        <v>37</v>
      </c>
      <c r="J727" s="18" t="s">
        <v>38</v>
      </c>
      <c r="K727" t="s">
        <v>39</v>
      </c>
      <c r="L727" s="50">
        <f>VLOOKUP(A727,'[3]Price info'!A:D,4,FALSE)</f>
        <v>21.19</v>
      </c>
      <c r="M727" s="18" t="s">
        <v>214</v>
      </c>
      <c r="N727" s="20">
        <v>3105</v>
      </c>
      <c r="P727" s="16">
        <f>VLOOKUP(A727,'[3]Price info'!A:H,8,FALSE)</f>
        <v>19.727890000000002</v>
      </c>
      <c r="Q727" s="17">
        <f t="shared" si="45"/>
        <v>0.93100000000000005</v>
      </c>
      <c r="S727" s="16">
        <f>VLOOKUP(A727,[4]Sales!$E:$G,3,FALSE)</f>
        <v>81.84</v>
      </c>
      <c r="T727" s="19">
        <f>VLOOKUP(A727,[4]Volume!$E:$G,3,FALSE)</f>
        <v>4</v>
      </c>
      <c r="U727" s="19">
        <f>VLOOKUP(A727,[4]Piece!$E:$G,3,FALSE)</f>
        <v>4</v>
      </c>
      <c r="V727" s="21">
        <f t="shared" si="46"/>
        <v>78.911560000000009</v>
      </c>
      <c r="W727" s="16">
        <f t="shared" si="47"/>
        <v>-2.9284399999999948</v>
      </c>
    </row>
    <row r="728" spans="1:23" hidden="1" x14ac:dyDescent="0.3">
      <c r="A728" s="22" t="s">
        <v>1463</v>
      </c>
      <c r="B728" s="22" t="s">
        <v>1463</v>
      </c>
      <c r="C728" s="23" t="s">
        <v>33</v>
      </c>
      <c r="D728" s="20" t="s">
        <v>34</v>
      </c>
      <c r="E728" s="22" t="s">
        <v>1464</v>
      </c>
      <c r="F728" s="24" t="str">
        <f t="shared" si="44"/>
        <v>PPG - Johnstones SATIN WOODSTAIN - Walnut - 5ltr</v>
      </c>
      <c r="G728" s="23" t="s">
        <v>5601</v>
      </c>
      <c r="H728" s="25" t="s">
        <v>36</v>
      </c>
      <c r="I728" s="18" t="s">
        <v>37</v>
      </c>
      <c r="J728" s="18" t="s">
        <v>38</v>
      </c>
      <c r="K728" t="s">
        <v>39</v>
      </c>
      <c r="L728" s="26">
        <f>VLOOKUP(A728,'[3]Price info'!A:D,4,FALSE)</f>
        <v>29.65</v>
      </c>
      <c r="M728" s="18" t="s">
        <v>40</v>
      </c>
      <c r="N728" s="20">
        <v>3105</v>
      </c>
      <c r="P728" s="16">
        <f>VLOOKUP(A728,'[3]Price info'!A:H,8,FALSE)</f>
        <v>27.604150000000001</v>
      </c>
      <c r="Q728" s="27">
        <f t="shared" si="45"/>
        <v>0.93100000000000005</v>
      </c>
      <c r="S728" s="16">
        <f>VLOOKUP(A728,[4]Sales!$E:$G,3,FALSE)</f>
        <v>82.800000000000011</v>
      </c>
      <c r="T728" s="19">
        <f>VLOOKUP(A728,[4]Volume!$E:$G,3,FALSE)</f>
        <v>15</v>
      </c>
      <c r="U728" s="19">
        <f>VLOOKUP(A728,[4]Piece!$E:$G,3,FALSE)</f>
        <v>3</v>
      </c>
      <c r="V728" s="21">
        <f t="shared" si="46"/>
        <v>82.812449999999998</v>
      </c>
      <c r="W728" s="16">
        <f t="shared" si="47"/>
        <v>1.2449999999986971E-2</v>
      </c>
    </row>
    <row r="729" spans="1:23" hidden="1" x14ac:dyDescent="0.3">
      <c r="A729" s="22" t="s">
        <v>1465</v>
      </c>
      <c r="B729" s="22" t="s">
        <v>1465</v>
      </c>
      <c r="C729" s="23" t="s">
        <v>33</v>
      </c>
      <c r="D729" s="20" t="s">
        <v>34</v>
      </c>
      <c r="E729" s="22" t="s">
        <v>1466</v>
      </c>
      <c r="F729" s="24" t="str">
        <f t="shared" si="44"/>
        <v>PPG - Johnstones SATIN WOODSTAIN - Mix - 5ltr</v>
      </c>
      <c r="G729" s="23" t="s">
        <v>5602</v>
      </c>
      <c r="H729" s="25" t="s">
        <v>36</v>
      </c>
      <c r="I729" s="18" t="s">
        <v>37</v>
      </c>
      <c r="J729" s="18" t="s">
        <v>38</v>
      </c>
      <c r="K729" t="s">
        <v>39</v>
      </c>
      <c r="L729" s="26">
        <f>VLOOKUP(A729,'[3]Price info'!A:D,4,FALSE)</f>
        <v>29.65</v>
      </c>
      <c r="M729" s="18" t="s">
        <v>40</v>
      </c>
      <c r="N729" s="20">
        <v>3105</v>
      </c>
      <c r="P729" s="16">
        <f>VLOOKUP(A729,'[3]Price info'!A:H,8,FALSE)</f>
        <v>27.604150000000001</v>
      </c>
      <c r="Q729" s="27">
        <f t="shared" si="45"/>
        <v>0.93100000000000005</v>
      </c>
      <c r="S729" s="16">
        <f>VLOOKUP(A729,[4]Sales!$E:$G,3,FALSE)</f>
        <v>57.25</v>
      </c>
      <c r="T729" s="19">
        <f>VLOOKUP(A729,[4]Volume!$E:$G,3,FALSE)</f>
        <v>10</v>
      </c>
      <c r="U729" s="19">
        <f>VLOOKUP(A729,[4]Piece!$E:$G,3,FALSE)</f>
        <v>2</v>
      </c>
      <c r="V729" s="21">
        <f t="shared" si="46"/>
        <v>55.208300000000001</v>
      </c>
      <c r="W729" s="16">
        <f t="shared" si="47"/>
        <v>-2.0416999999999987</v>
      </c>
    </row>
    <row r="730" spans="1:23" hidden="1" x14ac:dyDescent="0.3">
      <c r="A730" s="22" t="s">
        <v>1467</v>
      </c>
      <c r="B730" s="22" t="s">
        <v>1467</v>
      </c>
      <c r="C730" s="23" t="s">
        <v>33</v>
      </c>
      <c r="D730" s="20" t="s">
        <v>34</v>
      </c>
      <c r="E730" s="22" t="s">
        <v>1468</v>
      </c>
      <c r="F730" s="24" t="str">
        <f t="shared" si="44"/>
        <v>PPG - Johnstones SATIN WOODSTAIN - Med Oak - 750ml</v>
      </c>
      <c r="G730" s="23" t="s">
        <v>5603</v>
      </c>
      <c r="H730" s="25" t="s">
        <v>36</v>
      </c>
      <c r="I730" s="18" t="s">
        <v>37</v>
      </c>
      <c r="J730" s="18" t="s">
        <v>38</v>
      </c>
      <c r="K730" t="s">
        <v>39</v>
      </c>
      <c r="L730" s="26">
        <f>VLOOKUP(A730,'[3]Price info'!A:D,4,FALSE)</f>
        <v>6.58</v>
      </c>
      <c r="M730" s="18" t="s">
        <v>40</v>
      </c>
      <c r="N730" s="20">
        <v>3105</v>
      </c>
      <c r="P730" s="16">
        <f>VLOOKUP(A730,'[3]Price info'!A:H,8,FALSE)</f>
        <v>6.1259800000000002</v>
      </c>
      <c r="Q730" s="27">
        <f t="shared" si="45"/>
        <v>0.93100000000000005</v>
      </c>
      <c r="S730" s="16">
        <f>VLOOKUP(A730,[4]Sales!$E:$G,3,FALSE)</f>
        <v>31.549999999999997</v>
      </c>
      <c r="T730" s="19">
        <f>VLOOKUP(A730,[4]Volume!$E:$G,3,FALSE)</f>
        <v>3.75</v>
      </c>
      <c r="U730" s="19">
        <f>VLOOKUP(A730,[4]Piece!$E:$G,3,FALSE)</f>
        <v>5</v>
      </c>
      <c r="V730" s="21">
        <f t="shared" si="46"/>
        <v>30.629899999999999</v>
      </c>
      <c r="W730" s="16">
        <f t="shared" si="47"/>
        <v>-0.92009999999999792</v>
      </c>
    </row>
    <row r="731" spans="1:23" hidden="1" x14ac:dyDescent="0.3">
      <c r="A731" s="22" t="s">
        <v>1469</v>
      </c>
      <c r="B731" s="22" t="s">
        <v>1469</v>
      </c>
      <c r="C731" s="23" t="s">
        <v>33</v>
      </c>
      <c r="D731" s="20" t="s">
        <v>34</v>
      </c>
      <c r="E731" s="22" t="s">
        <v>1470</v>
      </c>
      <c r="F731" s="24" t="str">
        <f t="shared" si="44"/>
        <v>PPG - Johnstones SHED &amp; FENCE - Rustic Red - 5ltr</v>
      </c>
      <c r="G731" s="23" t="s">
        <v>5604</v>
      </c>
      <c r="H731" s="25" t="s">
        <v>36</v>
      </c>
      <c r="I731" s="18" t="s">
        <v>37</v>
      </c>
      <c r="J731" s="18" t="s">
        <v>38</v>
      </c>
      <c r="K731" t="s">
        <v>39</v>
      </c>
      <c r="L731" s="26">
        <f>VLOOKUP(A731,'[3]Price info'!A:D,4,FALSE)</f>
        <v>8.2100000000000009</v>
      </c>
      <c r="M731" s="18" t="s">
        <v>40</v>
      </c>
      <c r="N731" s="20">
        <v>3105</v>
      </c>
      <c r="P731" s="16">
        <f>VLOOKUP(A731,'[3]Price info'!A:H,8,FALSE)</f>
        <v>7.6435100000000009</v>
      </c>
      <c r="Q731" s="27">
        <f t="shared" si="45"/>
        <v>0.93100000000000005</v>
      </c>
      <c r="S731" s="16">
        <f>VLOOKUP(A731,[4]Sales!$E:$G,3,FALSE)</f>
        <v>1219.8699999999999</v>
      </c>
      <c r="T731" s="19">
        <f>VLOOKUP(A731,[4]Volume!$E:$G,3,FALSE)</f>
        <v>745</v>
      </c>
      <c r="U731" s="19">
        <f>VLOOKUP(A731,[4]Piece!$E:$G,3,FALSE)</f>
        <v>149</v>
      </c>
      <c r="V731" s="21">
        <f t="shared" si="46"/>
        <v>1138.8829900000001</v>
      </c>
      <c r="W731" s="16">
        <f t="shared" si="47"/>
        <v>-80.987009999999827</v>
      </c>
    </row>
    <row r="732" spans="1:23" hidden="1" x14ac:dyDescent="0.3">
      <c r="A732" s="22" t="s">
        <v>1471</v>
      </c>
      <c r="B732" s="22" t="s">
        <v>1471</v>
      </c>
      <c r="C732" s="23" t="s">
        <v>33</v>
      </c>
      <c r="D732" s="20" t="s">
        <v>34</v>
      </c>
      <c r="E732" s="22" t="s">
        <v>1472</v>
      </c>
      <c r="F732" s="24" t="str">
        <f t="shared" si="44"/>
        <v>PPG - Johnstones PRO UNDERCOAT - Mid Grey - 2.5ltr</v>
      </c>
      <c r="G732" s="23" t="s">
        <v>5605</v>
      </c>
      <c r="H732" s="25" t="s">
        <v>36</v>
      </c>
      <c r="I732" s="18" t="s">
        <v>37</v>
      </c>
      <c r="J732" s="18" t="s">
        <v>38</v>
      </c>
      <c r="K732" t="s">
        <v>39</v>
      </c>
      <c r="L732" s="26">
        <f>VLOOKUP(A732,'[3]Price info'!A:D,4,FALSE)</f>
        <v>9.7799999999999994</v>
      </c>
      <c r="M732" s="18" t="s">
        <v>40</v>
      </c>
      <c r="N732" s="20">
        <v>3105</v>
      </c>
      <c r="P732" s="16">
        <f>VLOOKUP(A732,'[3]Price info'!A:H,8,FALSE)</f>
        <v>13.691999999999998</v>
      </c>
      <c r="Q732" s="27">
        <f t="shared" si="45"/>
        <v>1.4</v>
      </c>
      <c r="S732" s="16">
        <f>VLOOKUP(A732,[4]Sales!$E:$G,3,FALSE)</f>
        <v>39.120000000000005</v>
      </c>
      <c r="T732" s="19">
        <f>VLOOKUP(A732,[4]Volume!$E:$G,3,FALSE)</f>
        <v>10</v>
      </c>
      <c r="U732" s="19">
        <f>VLOOKUP(A732,[4]Piece!$E:$G,3,FALSE)</f>
        <v>4</v>
      </c>
      <c r="V732" s="21">
        <f t="shared" si="46"/>
        <v>54.767999999999994</v>
      </c>
      <c r="W732" s="16">
        <f t="shared" si="47"/>
        <v>15.647999999999989</v>
      </c>
    </row>
    <row r="733" spans="1:23" hidden="1" x14ac:dyDescent="0.3">
      <c r="A733" s="22" t="s">
        <v>1473</v>
      </c>
      <c r="B733" s="22" t="s">
        <v>1473</v>
      </c>
      <c r="C733" s="23" t="s">
        <v>33</v>
      </c>
      <c r="D733" s="20" t="s">
        <v>34</v>
      </c>
      <c r="E733" s="22" t="s">
        <v>1474</v>
      </c>
      <c r="F733" s="24" t="str">
        <f t="shared" si="44"/>
        <v>PPG - FatHog TROUSERS WHITE 46"</v>
      </c>
      <c r="G733" s="23" t="s">
        <v>5606</v>
      </c>
      <c r="H733" s="25" t="s">
        <v>36</v>
      </c>
      <c r="I733" s="18" t="s">
        <v>37</v>
      </c>
      <c r="J733" s="18" t="s">
        <v>38</v>
      </c>
      <c r="K733" t="s">
        <v>39</v>
      </c>
      <c r="L733" s="26">
        <f>VLOOKUP(A733,'[3]Price info'!A:D,4,FALSE)</f>
        <v>20.36</v>
      </c>
      <c r="M733" s="18" t="s">
        <v>40</v>
      </c>
      <c r="N733" s="20">
        <v>3105</v>
      </c>
      <c r="P733" s="16">
        <f>VLOOKUP(A733,'[3]Price info'!A:H,8,FALSE)</f>
        <v>18.955159999999999</v>
      </c>
      <c r="Q733" s="27">
        <f t="shared" si="45"/>
        <v>0.93099999999999994</v>
      </c>
      <c r="S733" s="16">
        <f>VLOOKUP(A733,[4]Sales!$E:$G,3,FALSE)</f>
        <v>20.36</v>
      </c>
      <c r="T733" s="19">
        <f>VLOOKUP(A733,[4]Volume!$E:$G,3,FALSE)</f>
        <v>1</v>
      </c>
      <c r="U733" s="19">
        <f>VLOOKUP(A733,[4]Piece!$E:$G,3,FALSE)</f>
        <v>1</v>
      </c>
      <c r="V733" s="21">
        <f t="shared" si="46"/>
        <v>18.955159999999999</v>
      </c>
      <c r="W733" s="16">
        <f t="shared" si="47"/>
        <v>-1.4048400000000001</v>
      </c>
    </row>
    <row r="734" spans="1:23" hidden="1" x14ac:dyDescent="0.3">
      <c r="A734" s="22" t="s">
        <v>1475</v>
      </c>
      <c r="B734" s="22" t="s">
        <v>1475</v>
      </c>
      <c r="C734" s="23" t="s">
        <v>33</v>
      </c>
      <c r="D734" s="20" t="s">
        <v>34</v>
      </c>
      <c r="E734" s="22" t="s">
        <v>1476</v>
      </c>
      <c r="F734" s="24" t="str">
        <f t="shared" si="44"/>
        <v>PPG - FatHog TROUSERS WHITE 38"</v>
      </c>
      <c r="G734" s="23" t="s">
        <v>5607</v>
      </c>
      <c r="H734" s="25" t="s">
        <v>36</v>
      </c>
      <c r="I734" s="18" t="s">
        <v>37</v>
      </c>
      <c r="J734" s="18" t="s">
        <v>38</v>
      </c>
      <c r="K734" t="s">
        <v>39</v>
      </c>
      <c r="L734" s="26">
        <f>VLOOKUP(A734,'[3]Price info'!A:D,4,FALSE)</f>
        <v>11.96</v>
      </c>
      <c r="M734" s="18" t="s">
        <v>40</v>
      </c>
      <c r="N734" s="20">
        <v>3105</v>
      </c>
      <c r="P734" s="16">
        <f>VLOOKUP(A734,'[3]Price info'!A:H,8,FALSE)</f>
        <v>13.156000000000002</v>
      </c>
      <c r="Q734" s="27">
        <f t="shared" si="45"/>
        <v>1.1000000000000001</v>
      </c>
      <c r="S734" s="16">
        <f>VLOOKUP(A734,[4]Sales!$E:$G,3,FALSE)</f>
        <v>49.04</v>
      </c>
      <c r="T734" s="19">
        <f>VLOOKUP(A734,[4]Volume!$E:$G,3,FALSE)</f>
        <v>4</v>
      </c>
      <c r="U734" s="19">
        <f>VLOOKUP(A734,[4]Piece!$E:$G,3,FALSE)</f>
        <v>4</v>
      </c>
      <c r="V734" s="21">
        <f t="shared" si="46"/>
        <v>52.624000000000009</v>
      </c>
      <c r="W734" s="16">
        <f t="shared" si="47"/>
        <v>3.5840000000000103</v>
      </c>
    </row>
    <row r="735" spans="1:23" hidden="1" x14ac:dyDescent="0.3">
      <c r="A735" s="22" t="s">
        <v>1477</v>
      </c>
      <c r="B735" s="22" t="s">
        <v>1477</v>
      </c>
      <c r="C735" s="23" t="s">
        <v>33</v>
      </c>
      <c r="D735" s="20" t="s">
        <v>34</v>
      </c>
      <c r="E735" s="22" t="s">
        <v>1478</v>
      </c>
      <c r="F735" s="24" t="str">
        <f t="shared" si="44"/>
        <v>PPG - ProGold ALL PURPOSE WALL ADHESIVE 10 roll</v>
      </c>
      <c r="G735" s="23" t="s">
        <v>5608</v>
      </c>
      <c r="H735" s="25" t="s">
        <v>36</v>
      </c>
      <c r="I735" s="18" t="s">
        <v>37</v>
      </c>
      <c r="J735" s="18" t="s">
        <v>38</v>
      </c>
      <c r="K735" t="s">
        <v>39</v>
      </c>
      <c r="L735" s="26">
        <f>VLOOKUP(A735,'[3]Price info'!A:D,4,FALSE)</f>
        <v>2.56</v>
      </c>
      <c r="M735" s="18" t="s">
        <v>40</v>
      </c>
      <c r="N735" s="20">
        <v>3105</v>
      </c>
      <c r="P735" s="16">
        <f>VLOOKUP(A735,'[3]Price info'!A:H,8,FALSE)</f>
        <v>2.3833600000000001</v>
      </c>
      <c r="Q735" s="27">
        <f t="shared" si="45"/>
        <v>0.93100000000000005</v>
      </c>
      <c r="S735" s="16">
        <f>VLOOKUP(A735,[4]Sales!$E:$G,3,FALSE)</f>
        <v>12.280000000000001</v>
      </c>
      <c r="T735" s="19">
        <f>VLOOKUP(A735,[4]Volume!$E:$G,3,FALSE)</f>
        <v>5</v>
      </c>
      <c r="U735" s="19">
        <f>VLOOKUP(A735,[4]Piece!$E:$G,3,FALSE)</f>
        <v>5</v>
      </c>
      <c r="V735" s="21">
        <f t="shared" si="46"/>
        <v>11.9168</v>
      </c>
      <c r="W735" s="16">
        <f t="shared" si="47"/>
        <v>-0.36320000000000086</v>
      </c>
    </row>
    <row r="736" spans="1:23" hidden="1" x14ac:dyDescent="0.3">
      <c r="A736" s="22" t="s">
        <v>1479</v>
      </c>
      <c r="B736" s="22" t="s">
        <v>1479</v>
      </c>
      <c r="C736" s="23" t="s">
        <v>33</v>
      </c>
      <c r="D736" s="20" t="s">
        <v>34</v>
      </c>
      <c r="E736" s="22" t="s">
        <v>1480</v>
      </c>
      <c r="F736" s="24" t="str">
        <f t="shared" si="44"/>
        <v>PPG - Johnstones AQUAGUARD - Bril White - 1ltr</v>
      </c>
      <c r="G736" s="23" t="s">
        <v>5609</v>
      </c>
      <c r="H736" s="25" t="s">
        <v>36</v>
      </c>
      <c r="I736" s="18" t="s">
        <v>37</v>
      </c>
      <c r="J736" s="18" t="s">
        <v>38</v>
      </c>
      <c r="K736" t="s">
        <v>39</v>
      </c>
      <c r="L736" s="26">
        <f>VLOOKUP(A736,'[3]Price info'!A:D,4,FALSE)</f>
        <v>15.15</v>
      </c>
      <c r="M736" s="18" t="s">
        <v>40</v>
      </c>
      <c r="N736" s="20">
        <v>3105</v>
      </c>
      <c r="P736" s="16">
        <f>VLOOKUP(A736,'[3]Price info'!A:H,8,FALSE)</f>
        <v>12.12</v>
      </c>
      <c r="Q736" s="27">
        <f t="shared" si="45"/>
        <v>0.79999999999999993</v>
      </c>
      <c r="S736" s="16">
        <f>VLOOKUP(A736,[4]Sales!$E:$G,3,FALSE)</f>
        <v>39.39</v>
      </c>
      <c r="T736" s="19">
        <f>VLOOKUP(A736,[4]Volume!$E:$G,3,FALSE)</f>
        <v>7</v>
      </c>
      <c r="U736" s="19">
        <f>VLOOKUP(A736,[4]Piece!$E:$G,3,FALSE)</f>
        <v>7</v>
      </c>
      <c r="V736" s="21">
        <f t="shared" si="46"/>
        <v>84.839999999999989</v>
      </c>
      <c r="W736" s="16">
        <f t="shared" si="47"/>
        <v>45.449999999999989</v>
      </c>
    </row>
    <row r="737" spans="1:23" hidden="1" x14ac:dyDescent="0.3">
      <c r="A737" s="22" t="s">
        <v>1481</v>
      </c>
      <c r="B737" s="22" t="s">
        <v>1481</v>
      </c>
      <c r="C737" s="23" t="s">
        <v>33</v>
      </c>
      <c r="D737" s="20" t="s">
        <v>34</v>
      </c>
      <c r="E737" s="22" t="s">
        <v>1482</v>
      </c>
      <c r="F737" s="24" t="str">
        <f t="shared" si="44"/>
        <v>PPG - Johnstones PRO UNDERCOAT - Light Grey 2.5ltr</v>
      </c>
      <c r="G737" s="23" t="s">
        <v>5610</v>
      </c>
      <c r="H737" s="25" t="s">
        <v>36</v>
      </c>
      <c r="I737" s="18" t="s">
        <v>37</v>
      </c>
      <c r="J737" s="18" t="s">
        <v>38</v>
      </c>
      <c r="K737" t="s">
        <v>39</v>
      </c>
      <c r="L737" s="26">
        <f>VLOOKUP(A737,'[3]Price info'!A:D,4,FALSE)</f>
        <v>9.7799999999999994</v>
      </c>
      <c r="M737" s="18" t="s">
        <v>40</v>
      </c>
      <c r="N737" s="20">
        <v>3105</v>
      </c>
      <c r="P737" s="16">
        <f>VLOOKUP(A737,'[3]Price info'!A:H,8,FALSE)</f>
        <v>13.69</v>
      </c>
      <c r="Q737" s="27">
        <f t="shared" si="45"/>
        <v>1.3997955010224949</v>
      </c>
      <c r="S737" s="16" t="e">
        <f>VLOOKUP(A737,[4]Sales!$E:$G,3,FALSE)</f>
        <v>#N/A</v>
      </c>
      <c r="T737" s="19" t="e">
        <f>VLOOKUP(A737,[4]Volume!$E:$G,3,FALSE)</f>
        <v>#N/A</v>
      </c>
      <c r="U737" s="19" t="e">
        <f>VLOOKUP(A737,[4]Piece!$E:$G,3,FALSE)</f>
        <v>#N/A</v>
      </c>
      <c r="V737" s="21" t="e">
        <f t="shared" si="46"/>
        <v>#N/A</v>
      </c>
      <c r="W737" s="16" t="e">
        <f t="shared" si="47"/>
        <v>#N/A</v>
      </c>
    </row>
    <row r="738" spans="1:23" hidden="1" x14ac:dyDescent="0.3">
      <c r="A738" s="22" t="s">
        <v>1483</v>
      </c>
      <c r="B738" s="22" t="s">
        <v>1483</v>
      </c>
      <c r="C738" s="23" t="s">
        <v>33</v>
      </c>
      <c r="D738" s="20" t="s">
        <v>34</v>
      </c>
      <c r="E738" s="22" t="s">
        <v>1484</v>
      </c>
      <c r="F738" s="24" t="str">
        <f t="shared" si="44"/>
        <v>PPG - Johnstones STAINAWAY - Mix - 2.5ltr</v>
      </c>
      <c r="G738" s="23" t="s">
        <v>5611</v>
      </c>
      <c r="H738" s="25" t="s">
        <v>36</v>
      </c>
      <c r="I738" s="18" t="s">
        <v>37</v>
      </c>
      <c r="J738" s="18" t="s">
        <v>38</v>
      </c>
      <c r="K738" t="s">
        <v>39</v>
      </c>
      <c r="L738" s="26">
        <f>VLOOKUP(A738,'[3]Price info'!A:D,4,FALSE)</f>
        <v>32.44</v>
      </c>
      <c r="M738" s="18" t="s">
        <v>40</v>
      </c>
      <c r="N738" s="20">
        <v>3105</v>
      </c>
      <c r="P738" s="16">
        <f>VLOOKUP(A738,'[3]Price info'!A:H,8,FALSE)</f>
        <v>25.66</v>
      </c>
      <c r="Q738" s="27">
        <f t="shared" si="45"/>
        <v>0.79099876695437732</v>
      </c>
      <c r="S738" s="16">
        <f>VLOOKUP(A738,[4]Sales!$E:$G,3,FALSE)</f>
        <v>116.19999999999999</v>
      </c>
      <c r="T738" s="19">
        <f>VLOOKUP(A738,[4]Volume!$E:$G,3,FALSE)</f>
        <v>10</v>
      </c>
      <c r="U738" s="19">
        <f>VLOOKUP(A738,[4]Piece!$E:$G,3,FALSE)</f>
        <v>4</v>
      </c>
      <c r="V738" s="21">
        <f t="shared" si="46"/>
        <v>102.64</v>
      </c>
      <c r="W738" s="16">
        <f t="shared" si="47"/>
        <v>-13.559999999999988</v>
      </c>
    </row>
    <row r="739" spans="1:23" hidden="1" x14ac:dyDescent="0.3">
      <c r="A739" s="22" t="s">
        <v>1485</v>
      </c>
      <c r="B739" s="22" t="s">
        <v>1485</v>
      </c>
      <c r="C739" s="23" t="s">
        <v>33</v>
      </c>
      <c r="D739" s="20" t="s">
        <v>34</v>
      </c>
      <c r="E739" s="22" t="s">
        <v>1486</v>
      </c>
      <c r="F739" s="24" t="str">
        <f t="shared" si="44"/>
        <v>PPG - Leyland UNDERCOAT - Brilliant White - 2.5ltr</v>
      </c>
      <c r="G739" s="23" t="s">
        <v>5612</v>
      </c>
      <c r="H739" s="25" t="s">
        <v>36</v>
      </c>
      <c r="I739" s="18" t="s">
        <v>37</v>
      </c>
      <c r="J739" s="18" t="s">
        <v>38</v>
      </c>
      <c r="K739" t="s">
        <v>39</v>
      </c>
      <c r="L739" s="26">
        <f>VLOOKUP(A739,'[3]Price info'!A:D,4,FALSE)</f>
        <v>10.48</v>
      </c>
      <c r="M739" s="18" t="s">
        <v>40</v>
      </c>
      <c r="N739" s="20">
        <v>3105</v>
      </c>
      <c r="P739" s="16">
        <f>VLOOKUP(A739,'[3]Price info'!A:H,8,FALSE)</f>
        <v>9.7568800000000007</v>
      </c>
      <c r="Q739" s="27">
        <f t="shared" si="45"/>
        <v>0.93100000000000005</v>
      </c>
      <c r="S739" s="16">
        <f>VLOOKUP(A739,[4]Sales!$E:$G,3,FALSE)</f>
        <v>51.680000000000007</v>
      </c>
      <c r="T739" s="19">
        <f>VLOOKUP(A739,[4]Volume!$E:$G,3,FALSE)</f>
        <v>12.5</v>
      </c>
      <c r="U739" s="19">
        <f>VLOOKUP(A739,[4]Piece!$E:$G,3,FALSE)</f>
        <v>5</v>
      </c>
      <c r="V739" s="21">
        <f t="shared" si="46"/>
        <v>48.784400000000005</v>
      </c>
      <c r="W739" s="16">
        <f t="shared" si="47"/>
        <v>-2.8956000000000017</v>
      </c>
    </row>
    <row r="740" spans="1:23" hidden="1" x14ac:dyDescent="0.3">
      <c r="A740" s="46" t="s">
        <v>1487</v>
      </c>
      <c r="B740" s="46" t="s">
        <v>1487</v>
      </c>
      <c r="C740" s="47" t="s">
        <v>33</v>
      </c>
      <c r="D740" s="48" t="s">
        <v>34</v>
      </c>
      <c r="E740" s="18" t="s">
        <v>1488</v>
      </c>
      <c r="F740" s="24" t="str">
        <f t="shared" si="44"/>
        <v>PPG - HODGS LINSEED OIL PUTTY 5KG  00000001500</v>
      </c>
      <c r="G740" s="20" t="s">
        <v>5613</v>
      </c>
      <c r="H740" s="49" t="s">
        <v>213</v>
      </c>
      <c r="I740" s="18" t="s">
        <v>37</v>
      </c>
      <c r="J740" s="18" t="s">
        <v>38</v>
      </c>
      <c r="K740" t="s">
        <v>39</v>
      </c>
      <c r="L740" s="50">
        <f>VLOOKUP(A740,'[3]Price info'!A:D,4,FALSE)</f>
        <v>4.43</v>
      </c>
      <c r="M740" s="18" t="s">
        <v>214</v>
      </c>
      <c r="N740" s="20">
        <v>3105</v>
      </c>
      <c r="P740" s="16">
        <f>VLOOKUP(A740,'[3]Price info'!A:H,8,FALSE)</f>
        <v>4.8730000000000002</v>
      </c>
      <c r="Q740" s="17">
        <f t="shared" si="45"/>
        <v>1.1000000000000001</v>
      </c>
      <c r="S740" s="16">
        <f>VLOOKUP(A740,[4]Sales!$E:$G,3,FALSE)</f>
        <v>190.19000000000005</v>
      </c>
      <c r="T740" s="19">
        <f>VLOOKUP(A740,[4]Volume!$E:$G,3,FALSE)</f>
        <v>210</v>
      </c>
      <c r="U740" s="19">
        <f>VLOOKUP(A740,[4]Piece!$E:$G,3,FALSE)</f>
        <v>42</v>
      </c>
      <c r="V740" s="21">
        <f t="shared" si="46"/>
        <v>204.666</v>
      </c>
      <c r="W740" s="16">
        <f t="shared" si="47"/>
        <v>14.475999999999942</v>
      </c>
    </row>
    <row r="741" spans="1:23" hidden="1" x14ac:dyDescent="0.3">
      <c r="A741" s="46" t="s">
        <v>1489</v>
      </c>
      <c r="B741" s="46" t="s">
        <v>1489</v>
      </c>
      <c r="C741" s="51" t="s">
        <v>33</v>
      </c>
      <c r="D741" s="48" t="s">
        <v>34</v>
      </c>
      <c r="E741" s="18" t="s">
        <v>1490</v>
      </c>
      <c r="F741" s="24" t="str">
        <f t="shared" si="44"/>
        <v>PPG - PREP 88                     0000AMEU2100</v>
      </c>
      <c r="G741" s="20" t="s">
        <v>5614</v>
      </c>
      <c r="H741" s="49" t="s">
        <v>213</v>
      </c>
      <c r="I741" s="18" t="s">
        <v>37</v>
      </c>
      <c r="J741" s="18" t="s">
        <v>38</v>
      </c>
      <c r="K741" t="s">
        <v>39</v>
      </c>
      <c r="L741" s="50">
        <f>VLOOKUP(A741,'[3]Price info'!A:D,4,FALSE)</f>
        <v>122.06</v>
      </c>
      <c r="M741" s="18" t="s">
        <v>214</v>
      </c>
      <c r="N741" s="20">
        <v>3105</v>
      </c>
      <c r="P741" s="16">
        <f>VLOOKUP(A741,'[3]Price info'!A:H,8,FALSE)</f>
        <v>109.85</v>
      </c>
      <c r="Q741" s="17">
        <f t="shared" si="45"/>
        <v>0.89996722923152539</v>
      </c>
      <c r="S741" s="16" t="e">
        <f>VLOOKUP(A741,[4]Sales!$E:$G,3,FALSE)</f>
        <v>#N/A</v>
      </c>
      <c r="T741" s="19" t="e">
        <f>VLOOKUP(A741,[4]Volume!$E:$G,3,FALSE)</f>
        <v>#N/A</v>
      </c>
      <c r="U741" s="19" t="e">
        <f>VLOOKUP(A741,[4]Piece!$E:$G,3,FALSE)</f>
        <v>#N/A</v>
      </c>
      <c r="V741" s="21" t="e">
        <f t="shared" si="46"/>
        <v>#N/A</v>
      </c>
      <c r="W741" s="16" t="e">
        <f t="shared" si="47"/>
        <v>#N/A</v>
      </c>
    </row>
    <row r="742" spans="1:23" hidden="1" x14ac:dyDescent="0.3">
      <c r="A742" s="36" t="s">
        <v>1491</v>
      </c>
      <c r="B742" s="36" t="s">
        <v>1491</v>
      </c>
      <c r="C742" s="23" t="s">
        <v>33</v>
      </c>
      <c r="D742" s="20" t="s">
        <v>34</v>
      </c>
      <c r="E742" s="22" t="s">
        <v>1492</v>
      </c>
      <c r="F742" s="24" t="str">
        <f t="shared" si="44"/>
        <v>PPG - Artex FIBATAPE 90M PERFECT    FINISH</v>
      </c>
      <c r="G742" s="41" t="s">
        <v>5615</v>
      </c>
      <c r="H742" s="39" t="s">
        <v>36</v>
      </c>
      <c r="I742" s="40" t="s">
        <v>37</v>
      </c>
      <c r="J742" s="40" t="s">
        <v>38</v>
      </c>
      <c r="K742" s="41" t="s">
        <v>39</v>
      </c>
      <c r="L742" s="26">
        <f>VLOOKUP(A742,'[3]Price info'!A:D,4,FALSE)</f>
        <v>6.86</v>
      </c>
      <c r="M742" s="40" t="s">
        <v>40</v>
      </c>
      <c r="N742" s="42">
        <v>3105</v>
      </c>
      <c r="O742" s="43">
        <v>6.02</v>
      </c>
      <c r="P742" s="16">
        <f>VLOOKUP(A742,'[3]Price info'!A:H,8,FALSE)</f>
        <v>6.3866600000000009</v>
      </c>
      <c r="Q742" s="52">
        <f t="shared" si="45"/>
        <v>0.93100000000000005</v>
      </c>
      <c r="R742" s="40"/>
      <c r="S742" s="16">
        <f>VLOOKUP(A742,[4]Sales!$E:$G,3,FALSE)</f>
        <v>26.13</v>
      </c>
      <c r="T742" s="19">
        <f>VLOOKUP(A742,[4]Volume!$E:$G,3,FALSE)</f>
        <v>4</v>
      </c>
      <c r="U742" s="19">
        <f>VLOOKUP(A742,[4]Piece!$E:$G,3,FALSE)</f>
        <v>4</v>
      </c>
      <c r="V742" s="21">
        <f t="shared" si="46"/>
        <v>25.546640000000004</v>
      </c>
      <c r="W742" s="16">
        <f t="shared" si="47"/>
        <v>-0.58335999999999544</v>
      </c>
    </row>
    <row r="743" spans="1:23" hidden="1" x14ac:dyDescent="0.3">
      <c r="A743" s="46" t="s">
        <v>1493</v>
      </c>
      <c r="B743" s="46" t="s">
        <v>1493</v>
      </c>
      <c r="C743" s="47" t="s">
        <v>33</v>
      </c>
      <c r="D743" s="48" t="s">
        <v>34</v>
      </c>
      <c r="E743" s="18" t="s">
        <v>1494</v>
      </c>
      <c r="F743" s="24" t="str">
        <f t="shared" si="44"/>
        <v>PPG - RODO  DISPOSABLE   X LARGE    COVERALL</v>
      </c>
      <c r="G743" s="20" t="s">
        <v>5616</v>
      </c>
      <c r="H743" s="49" t="s">
        <v>213</v>
      </c>
      <c r="I743" s="18" t="s">
        <v>37</v>
      </c>
      <c r="J743" s="18" t="s">
        <v>38</v>
      </c>
      <c r="K743" t="s">
        <v>39</v>
      </c>
      <c r="L743" s="50">
        <f>VLOOKUP(A743,'[3]Price info'!A:D,4,FALSE)</f>
        <v>7.43</v>
      </c>
      <c r="M743" s="18" t="s">
        <v>214</v>
      </c>
      <c r="N743" s="20">
        <v>3105</v>
      </c>
      <c r="P743" s="16">
        <f>VLOOKUP(A743,'[3]Price info'!A:H,8,FALSE)</f>
        <v>6.43</v>
      </c>
      <c r="Q743" s="17">
        <f t="shared" si="45"/>
        <v>0.86541049798115743</v>
      </c>
      <c r="S743" s="16">
        <f>VLOOKUP(A743,[4]Sales!$E:$G,3,FALSE)</f>
        <v>22.29</v>
      </c>
      <c r="T743" s="19">
        <f>VLOOKUP(A743,[4]Volume!$E:$G,3,FALSE)</f>
        <v>3</v>
      </c>
      <c r="U743" s="19">
        <f>VLOOKUP(A743,[4]Piece!$E:$G,3,FALSE)</f>
        <v>3</v>
      </c>
      <c r="V743" s="21">
        <f t="shared" si="46"/>
        <v>19.29</v>
      </c>
      <c r="W743" s="16">
        <f t="shared" si="47"/>
        <v>-3</v>
      </c>
    </row>
    <row r="744" spans="1:23" hidden="1" x14ac:dyDescent="0.3">
      <c r="A744" s="22" t="s">
        <v>1495</v>
      </c>
      <c r="B744" s="22" t="s">
        <v>1495</v>
      </c>
      <c r="C744" s="23" t="s">
        <v>33</v>
      </c>
      <c r="D744" s="20" t="s">
        <v>34</v>
      </c>
      <c r="E744" s="22" t="s">
        <v>1496</v>
      </c>
      <c r="F744" s="24" t="str">
        <f t="shared" si="44"/>
        <v>PPG - JST MATT WOODSTAIN - Clear - 5ltr</v>
      </c>
      <c r="G744" s="23" t="s">
        <v>5617</v>
      </c>
      <c r="H744" s="25" t="s">
        <v>36</v>
      </c>
      <c r="I744" s="18" t="s">
        <v>37</v>
      </c>
      <c r="J744" s="18" t="s">
        <v>38</v>
      </c>
      <c r="K744" t="s">
        <v>39</v>
      </c>
      <c r="L744" s="26">
        <f>VLOOKUP(A744,'[3]Price info'!A:D,4,FALSE)</f>
        <v>29.65</v>
      </c>
      <c r="M744" s="18" t="s">
        <v>40</v>
      </c>
      <c r="N744" s="20">
        <v>3105</v>
      </c>
      <c r="P744" s="16">
        <f>VLOOKUP(A744,'[3]Price info'!A:H,8,FALSE)</f>
        <v>27.604150000000001</v>
      </c>
      <c r="Q744" s="27">
        <f t="shared" si="45"/>
        <v>0.93100000000000005</v>
      </c>
      <c r="S744" s="16" t="e">
        <f>VLOOKUP(A744,[4]Sales!$E:$G,3,FALSE)</f>
        <v>#N/A</v>
      </c>
      <c r="T744" s="19" t="e">
        <f>VLOOKUP(A744,[4]Volume!$E:$G,3,FALSE)</f>
        <v>#N/A</v>
      </c>
      <c r="U744" s="19" t="e">
        <f>VLOOKUP(A744,[4]Piece!$E:$G,3,FALSE)</f>
        <v>#N/A</v>
      </c>
      <c r="V744" s="21" t="e">
        <f t="shared" si="46"/>
        <v>#N/A</v>
      </c>
      <c r="W744" s="16" t="e">
        <f t="shared" si="47"/>
        <v>#N/A</v>
      </c>
    </row>
    <row r="745" spans="1:23" hidden="1" x14ac:dyDescent="0.3">
      <c r="A745" s="46" t="s">
        <v>1497</v>
      </c>
      <c r="B745" s="46" t="s">
        <v>1497</v>
      </c>
      <c r="C745" s="47" t="s">
        <v>33</v>
      </c>
      <c r="D745" s="48" t="s">
        <v>34</v>
      </c>
      <c r="E745" s="18" t="s">
        <v>1498</v>
      </c>
      <c r="F745" s="24" t="str">
        <f t="shared" si="44"/>
        <v>PPG - EWI   H1 ECO 115MM MAX 80MM INSULATION</v>
      </c>
      <c r="G745" s="20" t="s">
        <v>5618</v>
      </c>
      <c r="H745" s="49" t="s">
        <v>213</v>
      </c>
      <c r="I745" s="18" t="s">
        <v>37</v>
      </c>
      <c r="J745" s="18" t="s">
        <v>38</v>
      </c>
      <c r="K745" t="s">
        <v>39</v>
      </c>
      <c r="L745" s="50">
        <f>VLOOKUP(A745,'[3]Price info'!A:D,4,FALSE)</f>
        <v>19.73</v>
      </c>
      <c r="M745" s="18" t="s">
        <v>214</v>
      </c>
      <c r="N745" s="20">
        <v>3105</v>
      </c>
      <c r="P745" s="16">
        <f>VLOOKUP(A745,'[3]Price info'!A:H,8,FALSE)</f>
        <v>19.73</v>
      </c>
      <c r="Q745" s="17">
        <f t="shared" si="45"/>
        <v>1</v>
      </c>
      <c r="S745" s="16" t="e">
        <f>VLOOKUP(A745,[4]Sales!$E:$G,3,FALSE)</f>
        <v>#N/A</v>
      </c>
      <c r="T745" s="19" t="e">
        <f>VLOOKUP(A745,[4]Volume!$E:$G,3,FALSE)</f>
        <v>#N/A</v>
      </c>
      <c r="U745" s="19" t="e">
        <f>VLOOKUP(A745,[4]Piece!$E:$G,3,FALSE)</f>
        <v>#N/A</v>
      </c>
      <c r="V745" s="21" t="e">
        <f t="shared" si="46"/>
        <v>#N/A</v>
      </c>
      <c r="W745" s="16" t="e">
        <f t="shared" si="47"/>
        <v>#N/A</v>
      </c>
    </row>
    <row r="746" spans="1:23" x14ac:dyDescent="0.3">
      <c r="A746" s="60" t="s">
        <v>1499</v>
      </c>
      <c r="B746" s="60" t="s">
        <v>1499</v>
      </c>
      <c r="C746" s="23" t="s">
        <v>33</v>
      </c>
      <c r="D746" s="20" t="s">
        <v>34</v>
      </c>
      <c r="E746" s="22" t="s">
        <v>1500</v>
      </c>
      <c r="F746" s="24" t="str">
        <f t="shared" si="44"/>
        <v>PPG - Artex EASIFILLER READYMIXED 1KG</v>
      </c>
      <c r="G746" s="41" t="s">
        <v>5619</v>
      </c>
      <c r="H746" s="39" t="s">
        <v>36</v>
      </c>
      <c r="I746" s="40" t="s">
        <v>37</v>
      </c>
      <c r="J746" s="40" t="s">
        <v>38</v>
      </c>
      <c r="K746" s="41" t="s">
        <v>39</v>
      </c>
      <c r="L746" s="26">
        <f>VLOOKUP(A746,'[3]Price info'!A:D,4,FALSE)</f>
        <v>9.51</v>
      </c>
      <c r="M746" s="40" t="s">
        <v>40</v>
      </c>
      <c r="N746" s="42">
        <v>3105</v>
      </c>
      <c r="O746" s="43">
        <v>8.34</v>
      </c>
      <c r="P746" s="16">
        <f>VLOOKUP(A746,'[3]Price info'!A:H,8,FALSE)</f>
        <v>8.8538100000000011</v>
      </c>
      <c r="Q746" s="52">
        <f t="shared" si="45"/>
        <v>0.93100000000000016</v>
      </c>
      <c r="R746" s="40"/>
      <c r="S746" s="16">
        <f>VLOOKUP(A746,[4]Sales!$E:$G,3,FALSE)</f>
        <v>26.549999999999997</v>
      </c>
      <c r="T746" s="19">
        <f>VLOOKUP(A746,[4]Volume!$E:$G,3,FALSE)</f>
        <v>3</v>
      </c>
      <c r="U746" s="19">
        <f>VLOOKUP(A746,[4]Piece!$E:$G,3,FALSE)</f>
        <v>3</v>
      </c>
      <c r="V746" s="21">
        <f t="shared" si="46"/>
        <v>26.561430000000001</v>
      </c>
      <c r="W746" s="16">
        <f t="shared" si="47"/>
        <v>1.143000000000427E-2</v>
      </c>
    </row>
    <row r="747" spans="1:23" hidden="1" x14ac:dyDescent="0.3">
      <c r="A747" s="22" t="s">
        <v>1501</v>
      </c>
      <c r="B747" s="22" t="s">
        <v>1501</v>
      </c>
      <c r="C747" s="23" t="s">
        <v>33</v>
      </c>
      <c r="D747" s="20" t="s">
        <v>34</v>
      </c>
      <c r="E747" s="22" t="s">
        <v>1502</v>
      </c>
      <c r="F747" s="24" t="str">
        <f t="shared" si="44"/>
        <v>PPG - Johnstones JONMAT - Mix - 5ltr</v>
      </c>
      <c r="G747" s="23" t="s">
        <v>5620</v>
      </c>
      <c r="H747" s="25" t="s">
        <v>36</v>
      </c>
      <c r="I747" s="18" t="s">
        <v>37</v>
      </c>
      <c r="J747" s="18" t="s">
        <v>38</v>
      </c>
      <c r="K747" t="s">
        <v>39</v>
      </c>
      <c r="L747" s="26">
        <f>VLOOKUP(A747,'[3]Price info'!A:D,4,FALSE)</f>
        <v>11.78</v>
      </c>
      <c r="M747" s="18" t="s">
        <v>40</v>
      </c>
      <c r="N747" s="20">
        <v>3105</v>
      </c>
      <c r="P747" s="16">
        <f>VLOOKUP(A747,'[3]Price info'!A:H,8,FALSE)</f>
        <v>10.967180000000001</v>
      </c>
      <c r="Q747" s="27">
        <f t="shared" si="45"/>
        <v>0.93100000000000016</v>
      </c>
      <c r="S747" s="16">
        <f>VLOOKUP(A747,[4]Sales!$E:$G,3,FALSE)</f>
        <v>176.70000000000002</v>
      </c>
      <c r="T747" s="19">
        <f>VLOOKUP(A747,[4]Volume!$E:$G,3,FALSE)</f>
        <v>75</v>
      </c>
      <c r="U747" s="19">
        <f>VLOOKUP(A747,[4]Piece!$E:$G,3,FALSE)</f>
        <v>15</v>
      </c>
      <c r="V747" s="21">
        <f t="shared" si="46"/>
        <v>164.5077</v>
      </c>
      <c r="W747" s="16">
        <f t="shared" si="47"/>
        <v>-12.192300000000017</v>
      </c>
    </row>
    <row r="748" spans="1:23" hidden="1" x14ac:dyDescent="0.3">
      <c r="A748" s="22" t="s">
        <v>1503</v>
      </c>
      <c r="B748" s="22" t="s">
        <v>1503</v>
      </c>
      <c r="C748" s="23" t="s">
        <v>33</v>
      </c>
      <c r="D748" s="20" t="s">
        <v>34</v>
      </c>
      <c r="E748" s="22" t="s">
        <v>1504</v>
      </c>
      <c r="F748" s="24" t="str">
        <f t="shared" si="44"/>
        <v>PPG - Johnstones COVAPLUS - Black - 2.5ltr</v>
      </c>
      <c r="G748" s="23" t="s">
        <v>5621</v>
      </c>
      <c r="H748" s="25" t="s">
        <v>36</v>
      </c>
      <c r="I748" s="18" t="s">
        <v>37</v>
      </c>
      <c r="J748" s="18" t="s">
        <v>38</v>
      </c>
      <c r="K748" t="s">
        <v>39</v>
      </c>
      <c r="L748" s="26">
        <f>VLOOKUP(A748,'[3]Price info'!A:D,4,FALSE)</f>
        <v>9.44</v>
      </c>
      <c r="M748" s="18" t="s">
        <v>40</v>
      </c>
      <c r="N748" s="20">
        <v>3105</v>
      </c>
      <c r="P748" s="16">
        <f>VLOOKUP(A748,'[3]Price info'!A:H,8,FALSE)</f>
        <v>6.57</v>
      </c>
      <c r="Q748" s="27">
        <f t="shared" si="45"/>
        <v>0.69597457627118653</v>
      </c>
      <c r="S748" s="16">
        <f>VLOOKUP(A748,[4]Sales!$E:$G,3,FALSE)</f>
        <v>25.449999999999996</v>
      </c>
      <c r="T748" s="19">
        <f>VLOOKUP(A748,[4]Volume!$E:$G,3,FALSE)</f>
        <v>7.5</v>
      </c>
      <c r="U748" s="19">
        <f>VLOOKUP(A748,[4]Piece!$E:$G,3,FALSE)</f>
        <v>3</v>
      </c>
      <c r="V748" s="21">
        <f t="shared" si="46"/>
        <v>19.71</v>
      </c>
      <c r="W748" s="16">
        <f t="shared" si="47"/>
        <v>-5.7399999999999949</v>
      </c>
    </row>
    <row r="749" spans="1:23" hidden="1" x14ac:dyDescent="0.3">
      <c r="A749" s="22" t="s">
        <v>1505</v>
      </c>
      <c r="B749" s="22" t="s">
        <v>1505</v>
      </c>
      <c r="C749" s="23" t="s">
        <v>33</v>
      </c>
      <c r="D749" s="20" t="s">
        <v>34</v>
      </c>
      <c r="E749" s="22" t="s">
        <v>1506</v>
      </c>
      <c r="F749" s="24" t="str">
        <f t="shared" si="44"/>
        <v>PPG - Johnstones ACRYLIC SATIN - Mix - 1ltr</v>
      </c>
      <c r="G749" s="23" t="s">
        <v>5622</v>
      </c>
      <c r="H749" s="25" t="s">
        <v>36</v>
      </c>
      <c r="I749" s="18" t="s">
        <v>37</v>
      </c>
      <c r="J749" s="18" t="s">
        <v>38</v>
      </c>
      <c r="K749" t="s">
        <v>39</v>
      </c>
      <c r="L749" s="26">
        <f>VLOOKUP(A749,'[3]Price info'!A:D,4,FALSE)</f>
        <v>14.6</v>
      </c>
      <c r="M749" s="18" t="s">
        <v>40</v>
      </c>
      <c r="N749" s="20">
        <v>3105</v>
      </c>
      <c r="P749" s="16">
        <f>VLOOKUP(A749,'[3]Price info'!A:H,8,FALSE)</f>
        <v>13.592600000000001</v>
      </c>
      <c r="Q749" s="27">
        <f t="shared" si="45"/>
        <v>0.93100000000000005</v>
      </c>
      <c r="S749" s="16">
        <f>VLOOKUP(A749,[4]Sales!$E:$G,3,FALSE)</f>
        <v>41.78</v>
      </c>
      <c r="T749" s="19">
        <f>VLOOKUP(A749,[4]Volume!$E:$G,3,FALSE)</f>
        <v>3</v>
      </c>
      <c r="U749" s="19">
        <f>VLOOKUP(A749,[4]Piece!$E:$G,3,FALSE)</f>
        <v>3</v>
      </c>
      <c r="V749" s="21">
        <f t="shared" si="46"/>
        <v>40.777799999999999</v>
      </c>
      <c r="W749" s="16">
        <f t="shared" si="47"/>
        <v>-1.002200000000002</v>
      </c>
    </row>
    <row r="750" spans="1:23" hidden="1" x14ac:dyDescent="0.3">
      <c r="A750" s="22" t="s">
        <v>1507</v>
      </c>
      <c r="B750" s="22" t="s">
        <v>1507</v>
      </c>
      <c r="C750" s="23" t="s">
        <v>33</v>
      </c>
      <c r="D750" s="20" t="s">
        <v>34</v>
      </c>
      <c r="E750" s="22" t="s">
        <v>1508</v>
      </c>
      <c r="F750" s="24" t="str">
        <f t="shared" si="44"/>
        <v>PPG - Leyland VINYL SOFT SHEEN - Mix - 5ltr</v>
      </c>
      <c r="G750" s="23" t="s">
        <v>5623</v>
      </c>
      <c r="H750" s="25" t="s">
        <v>36</v>
      </c>
      <c r="I750" s="18" t="s">
        <v>37</v>
      </c>
      <c r="J750" s="18" t="s">
        <v>38</v>
      </c>
      <c r="K750" t="s">
        <v>39</v>
      </c>
      <c r="L750" s="26">
        <f>VLOOKUP(A750,'[3]Price info'!A:D,4,FALSE)</f>
        <v>11.62</v>
      </c>
      <c r="M750" s="18" t="s">
        <v>40</v>
      </c>
      <c r="N750" s="20">
        <v>3105</v>
      </c>
      <c r="P750" s="16">
        <f>VLOOKUP(A750,'[3]Price info'!A:H,8,FALSE)</f>
        <v>13.943999999999999</v>
      </c>
      <c r="Q750" s="27">
        <f t="shared" si="45"/>
        <v>1.2</v>
      </c>
      <c r="S750" s="16" t="e">
        <f>VLOOKUP(A750,[4]Sales!$E:$G,3,FALSE)</f>
        <v>#N/A</v>
      </c>
      <c r="T750" s="19" t="e">
        <f>VLOOKUP(A750,[4]Volume!$E:$G,3,FALSE)</f>
        <v>#N/A</v>
      </c>
      <c r="U750" s="19" t="e">
        <f>VLOOKUP(A750,[4]Piece!$E:$G,3,FALSE)</f>
        <v>#N/A</v>
      </c>
      <c r="V750" s="21" t="e">
        <f t="shared" si="46"/>
        <v>#N/A</v>
      </c>
      <c r="W750" s="16" t="e">
        <f t="shared" si="47"/>
        <v>#N/A</v>
      </c>
    </row>
    <row r="751" spans="1:23" hidden="1" x14ac:dyDescent="0.3">
      <c r="A751" s="22" t="s">
        <v>1509</v>
      </c>
      <c r="B751" s="22" t="s">
        <v>1509</v>
      </c>
      <c r="C751" s="23" t="s">
        <v>33</v>
      </c>
      <c r="D751" s="20" t="s">
        <v>34</v>
      </c>
      <c r="E751" s="22" t="s">
        <v>1510</v>
      </c>
      <c r="F751" s="24" t="str">
        <f t="shared" si="44"/>
        <v>PPG - Leyland VINYL SILK - Magnolia - 2.5ltr</v>
      </c>
      <c r="G751" s="23" t="s">
        <v>5624</v>
      </c>
      <c r="H751" s="25" t="s">
        <v>36</v>
      </c>
      <c r="I751" s="18" t="s">
        <v>37</v>
      </c>
      <c r="J751" s="18" t="s">
        <v>38</v>
      </c>
      <c r="K751" t="s">
        <v>39</v>
      </c>
      <c r="L751" s="26">
        <f>VLOOKUP(A751,'[3]Price info'!A:D,4,FALSE)</f>
        <v>13.42</v>
      </c>
      <c r="M751" s="18" t="s">
        <v>40</v>
      </c>
      <c r="N751" s="20">
        <v>3105</v>
      </c>
      <c r="P751" s="16">
        <f>VLOOKUP(A751,'[3]Price info'!A:H,8,FALSE)</f>
        <v>7.85</v>
      </c>
      <c r="Q751" s="27">
        <f t="shared" si="45"/>
        <v>0.58494783904619962</v>
      </c>
      <c r="S751" s="16" t="e">
        <f>VLOOKUP(A751,[4]Sales!$E:$G,3,FALSE)</f>
        <v>#N/A</v>
      </c>
      <c r="T751" s="19" t="e">
        <f>VLOOKUP(A751,[4]Volume!$E:$G,3,FALSE)</f>
        <v>#N/A</v>
      </c>
      <c r="U751" s="19" t="e">
        <f>VLOOKUP(A751,[4]Piece!$E:$G,3,FALSE)</f>
        <v>#N/A</v>
      </c>
      <c r="V751" s="21" t="e">
        <f t="shared" si="46"/>
        <v>#N/A</v>
      </c>
      <c r="W751" s="16" t="e">
        <f t="shared" si="47"/>
        <v>#N/A</v>
      </c>
    </row>
    <row r="752" spans="1:23" hidden="1" x14ac:dyDescent="0.3">
      <c r="A752" s="22" t="s">
        <v>1511</v>
      </c>
      <c r="B752" s="22" t="s">
        <v>1511</v>
      </c>
      <c r="C752" s="23" t="s">
        <v>33</v>
      </c>
      <c r="D752" s="20" t="s">
        <v>34</v>
      </c>
      <c r="E752" s="22" t="s">
        <v>1512</v>
      </c>
      <c r="F752" s="24" t="str">
        <f t="shared" si="44"/>
        <v>PPG - Leyland GLOSS - Black - 2.5ltr</v>
      </c>
      <c r="G752" s="23" t="s">
        <v>5625</v>
      </c>
      <c r="H752" s="25" t="s">
        <v>36</v>
      </c>
      <c r="I752" s="18" t="s">
        <v>37</v>
      </c>
      <c r="J752" s="18" t="s">
        <v>38</v>
      </c>
      <c r="K752" t="s">
        <v>39</v>
      </c>
      <c r="L752" s="26">
        <f>VLOOKUP(A752,'[3]Price info'!A:D,4,FALSE)</f>
        <v>14.19</v>
      </c>
      <c r="M752" s="18" t="s">
        <v>40</v>
      </c>
      <c r="N752" s="20">
        <v>3105</v>
      </c>
      <c r="P752" s="16">
        <f>VLOOKUP(A752,'[3]Price info'!A:H,8,FALSE)</f>
        <v>13.76</v>
      </c>
      <c r="Q752" s="27">
        <f t="shared" si="45"/>
        <v>0.96969696969696972</v>
      </c>
      <c r="S752" s="16">
        <f>VLOOKUP(A752,[4]Sales!$E:$G,3,FALSE)</f>
        <v>56.33</v>
      </c>
      <c r="T752" s="19">
        <f>VLOOKUP(A752,[4]Volume!$E:$G,3,FALSE)</f>
        <v>10</v>
      </c>
      <c r="U752" s="19">
        <f>VLOOKUP(A752,[4]Piece!$E:$G,3,FALSE)</f>
        <v>4</v>
      </c>
      <c r="V752" s="21">
        <f t="shared" si="46"/>
        <v>55.04</v>
      </c>
      <c r="W752" s="16">
        <f t="shared" si="47"/>
        <v>-1.2899999999999991</v>
      </c>
    </row>
    <row r="753" spans="1:23" hidden="1" x14ac:dyDescent="0.3">
      <c r="A753" s="46" t="s">
        <v>1513</v>
      </c>
      <c r="B753" s="46" t="s">
        <v>1513</v>
      </c>
      <c r="C753" s="51" t="s">
        <v>33</v>
      </c>
      <c r="D753" s="48" t="s">
        <v>34</v>
      </c>
      <c r="E753" s="18" t="s">
        <v>1514</v>
      </c>
      <c r="F753" s="24" t="str">
        <f t="shared" si="44"/>
        <v>PPG - PURDY XL MON ELITE 3" BRUSH</v>
      </c>
      <c r="G753" s="20" t="s">
        <v>5626</v>
      </c>
      <c r="H753" s="49" t="s">
        <v>213</v>
      </c>
      <c r="I753" s="18" t="s">
        <v>37</v>
      </c>
      <c r="J753" s="18" t="s">
        <v>38</v>
      </c>
      <c r="K753" t="s">
        <v>39</v>
      </c>
      <c r="L753" s="50">
        <f>VLOOKUP(A753,'[3]Price info'!A:D,4,FALSE)</f>
        <v>18.61</v>
      </c>
      <c r="M753" s="18" t="s">
        <v>214</v>
      </c>
      <c r="N753" s="20">
        <v>3105</v>
      </c>
      <c r="P753" s="16">
        <f>VLOOKUP(A753,'[3]Price info'!A:H,8,FALSE)</f>
        <v>17.32591</v>
      </c>
      <c r="Q753" s="17">
        <f t="shared" si="45"/>
        <v>0.93100000000000005</v>
      </c>
      <c r="S753" s="16">
        <f>VLOOKUP(A753,[4]Sales!$E:$G,3,FALSE)</f>
        <v>55.83</v>
      </c>
      <c r="T753" s="19">
        <f>VLOOKUP(A753,[4]Volume!$E:$G,3,FALSE)</f>
        <v>3</v>
      </c>
      <c r="U753" s="19">
        <f>VLOOKUP(A753,[4]Piece!$E:$G,3,FALSE)</f>
        <v>3</v>
      </c>
      <c r="V753" s="21">
        <f t="shared" si="46"/>
        <v>51.977730000000001</v>
      </c>
      <c r="W753" s="16">
        <f t="shared" si="47"/>
        <v>-3.8522699999999972</v>
      </c>
    </row>
    <row r="754" spans="1:23" hidden="1" x14ac:dyDescent="0.3">
      <c r="A754" s="22" t="s">
        <v>1515</v>
      </c>
      <c r="B754" s="22" t="s">
        <v>1515</v>
      </c>
      <c r="C754" s="23" t="s">
        <v>33</v>
      </c>
      <c r="D754" s="20" t="s">
        <v>34</v>
      </c>
      <c r="E754" s="22" t="s">
        <v>1516</v>
      </c>
      <c r="F754" s="24" t="str">
        <f t="shared" si="44"/>
        <v>PPG - Leyland TG SMOOTH MASONRY - Magnolia - 10ltr</v>
      </c>
      <c r="G754" s="23" t="s">
        <v>5627</v>
      </c>
      <c r="H754" s="25" t="s">
        <v>36</v>
      </c>
      <c r="I754" s="18" t="s">
        <v>37</v>
      </c>
      <c r="J754" s="18" t="s">
        <v>38</v>
      </c>
      <c r="K754" t="s">
        <v>39</v>
      </c>
      <c r="L754" s="26">
        <f>VLOOKUP(A754,'[3]Price info'!A:D,4,FALSE)</f>
        <v>26.65</v>
      </c>
      <c r="M754" s="18" t="s">
        <v>40</v>
      </c>
      <c r="N754" s="20">
        <v>3105</v>
      </c>
      <c r="P754" s="16">
        <f>VLOOKUP(A754,'[3]Price info'!A:H,8,FALSE)</f>
        <v>24.811150000000001</v>
      </c>
      <c r="Q754" s="27">
        <f t="shared" si="45"/>
        <v>0.93100000000000005</v>
      </c>
      <c r="S754" s="16">
        <f>VLOOKUP(A754,[4]Sales!$E:$G,3,FALSE)</f>
        <v>1098.1100000000001</v>
      </c>
      <c r="T754" s="19">
        <f>VLOOKUP(A754,[4]Volume!$E:$G,3,FALSE)</f>
        <v>430</v>
      </c>
      <c r="U754" s="19">
        <f>VLOOKUP(A754,[4]Piece!$E:$G,3,FALSE)</f>
        <v>43</v>
      </c>
      <c r="V754" s="21">
        <f t="shared" si="46"/>
        <v>1066.8794500000001</v>
      </c>
      <c r="W754" s="16">
        <f t="shared" si="47"/>
        <v>-31.230549999999994</v>
      </c>
    </row>
    <row r="755" spans="1:23" hidden="1" x14ac:dyDescent="0.3">
      <c r="A755" s="22" t="s">
        <v>1517</v>
      </c>
      <c r="B755" s="22" t="s">
        <v>1517</v>
      </c>
      <c r="C755" s="23" t="s">
        <v>33</v>
      </c>
      <c r="D755" s="20" t="s">
        <v>34</v>
      </c>
      <c r="E755" s="22" t="s">
        <v>1518</v>
      </c>
      <c r="F755" s="24" t="str">
        <f t="shared" si="44"/>
        <v>PPG - FatHog EVOLUTION TROUSER 32" WHITE</v>
      </c>
      <c r="G755" s="23" t="s">
        <v>5628</v>
      </c>
      <c r="H755" s="25" t="s">
        <v>36</v>
      </c>
      <c r="I755" s="18" t="s">
        <v>37</v>
      </c>
      <c r="J755" s="18" t="s">
        <v>38</v>
      </c>
      <c r="K755" t="s">
        <v>39</v>
      </c>
      <c r="L755" s="26">
        <f>VLOOKUP(A755,'[3]Price info'!A:D,4,FALSE)</f>
        <v>27.43</v>
      </c>
      <c r="M755" s="18" t="s">
        <v>40</v>
      </c>
      <c r="N755" s="20">
        <v>3105</v>
      </c>
      <c r="P755" s="16">
        <f>VLOOKUP(A755,'[3]Price info'!A:H,8,FALSE)</f>
        <v>25.537330000000001</v>
      </c>
      <c r="Q755" s="27">
        <f t="shared" si="45"/>
        <v>0.93100000000000005</v>
      </c>
      <c r="S755" s="16">
        <f>VLOOKUP(A755,[4]Sales!$E:$G,3,FALSE)</f>
        <v>54.86</v>
      </c>
      <c r="T755" s="19">
        <f>VLOOKUP(A755,[4]Volume!$E:$G,3,FALSE)</f>
        <v>2</v>
      </c>
      <c r="U755" s="19">
        <f>VLOOKUP(A755,[4]Piece!$E:$G,3,FALSE)</f>
        <v>2</v>
      </c>
      <c r="V755" s="21">
        <f t="shared" si="46"/>
        <v>51.074660000000002</v>
      </c>
      <c r="W755" s="16">
        <f t="shared" si="47"/>
        <v>-3.7853399999999979</v>
      </c>
    </row>
    <row r="756" spans="1:23" hidden="1" x14ac:dyDescent="0.3">
      <c r="A756" s="22" t="s">
        <v>1519</v>
      </c>
      <c r="B756" s="22" t="s">
        <v>1519</v>
      </c>
      <c r="C756" s="23" t="s">
        <v>33</v>
      </c>
      <c r="D756" s="20" t="s">
        <v>34</v>
      </c>
      <c r="E756" s="22" t="s">
        <v>1520</v>
      </c>
      <c r="F756" s="24" t="str">
        <f t="shared" si="44"/>
        <v>PPG - Johnstones QD ZINC PHOS - Red Oxide - 5ltr</v>
      </c>
      <c r="G756" s="23" t="s">
        <v>5629</v>
      </c>
      <c r="H756" s="25" t="s">
        <v>36</v>
      </c>
      <c r="I756" s="18" t="s">
        <v>37</v>
      </c>
      <c r="J756" s="18" t="s">
        <v>38</v>
      </c>
      <c r="K756" t="s">
        <v>39</v>
      </c>
      <c r="L756" s="26">
        <f>VLOOKUP(A756,'[3]Price info'!A:D,4,FALSE)</f>
        <v>26.37</v>
      </c>
      <c r="M756" s="18" t="s">
        <v>40</v>
      </c>
      <c r="N756" s="20">
        <v>3105</v>
      </c>
      <c r="P756" s="16">
        <f>VLOOKUP(A756,'[3]Price info'!A:H,8,FALSE)</f>
        <v>24.550470000000001</v>
      </c>
      <c r="Q756" s="27">
        <f t="shared" si="45"/>
        <v>0.93099999999999994</v>
      </c>
      <c r="S756" s="16">
        <f>VLOOKUP(A756,[4]Sales!$E:$G,3,FALSE)</f>
        <v>26.37</v>
      </c>
      <c r="T756" s="19">
        <f>VLOOKUP(A756,[4]Volume!$E:$G,3,FALSE)</f>
        <v>5</v>
      </c>
      <c r="U756" s="19">
        <f>VLOOKUP(A756,[4]Piece!$E:$G,3,FALSE)</f>
        <v>1</v>
      </c>
      <c r="V756" s="21">
        <f t="shared" si="46"/>
        <v>24.550470000000001</v>
      </c>
      <c r="W756" s="16">
        <f t="shared" si="47"/>
        <v>-1.8195300000000003</v>
      </c>
    </row>
    <row r="757" spans="1:23" hidden="1" x14ac:dyDescent="0.3">
      <c r="A757" s="22" t="s">
        <v>1521</v>
      </c>
      <c r="B757" s="22" t="s">
        <v>1521</v>
      </c>
      <c r="C757" s="23" t="s">
        <v>33</v>
      </c>
      <c r="D757" s="20" t="s">
        <v>34</v>
      </c>
      <c r="E757" s="22" t="s">
        <v>1522</v>
      </c>
      <c r="F757" s="24" t="str">
        <f t="shared" si="44"/>
        <v>PPG - FatHog EVO BIB &amp; BRACE  36-38" MED WHITE</v>
      </c>
      <c r="G757" s="23" t="s">
        <v>5630</v>
      </c>
      <c r="H757" s="25" t="s">
        <v>36</v>
      </c>
      <c r="I757" s="18" t="s">
        <v>37</v>
      </c>
      <c r="J757" s="18" t="s">
        <v>38</v>
      </c>
      <c r="K757" t="s">
        <v>39</v>
      </c>
      <c r="L757" s="26">
        <f>VLOOKUP(A757,'[3]Price info'!A:D,4,FALSE)</f>
        <v>52.41</v>
      </c>
      <c r="M757" s="18" t="s">
        <v>40</v>
      </c>
      <c r="N757" s="20">
        <v>3105</v>
      </c>
      <c r="P757" s="16">
        <f>VLOOKUP(A757,'[3]Price info'!A:H,8,FALSE)</f>
        <v>48.793709999999997</v>
      </c>
      <c r="Q757" s="27">
        <f t="shared" si="45"/>
        <v>0.93100000000000005</v>
      </c>
      <c r="S757" s="16">
        <f>VLOOKUP(A757,[4]Sales!$E:$G,3,FALSE)</f>
        <v>70.239999999999995</v>
      </c>
      <c r="T757" s="19">
        <f>VLOOKUP(A757,[4]Volume!$E:$G,3,FALSE)</f>
        <v>2</v>
      </c>
      <c r="U757" s="19">
        <f>VLOOKUP(A757,[4]Piece!$E:$G,3,FALSE)</f>
        <v>2</v>
      </c>
      <c r="V757" s="21">
        <f t="shared" si="46"/>
        <v>97.587419999999995</v>
      </c>
      <c r="W757" s="16">
        <f t="shared" si="47"/>
        <v>27.34742</v>
      </c>
    </row>
    <row r="758" spans="1:23" hidden="1" x14ac:dyDescent="0.3">
      <c r="A758" s="22" t="s">
        <v>1523</v>
      </c>
      <c r="B758" s="22" t="s">
        <v>1523</v>
      </c>
      <c r="C758" s="23" t="s">
        <v>33</v>
      </c>
      <c r="D758" s="20" t="s">
        <v>34</v>
      </c>
      <c r="E758" s="22" t="s">
        <v>1524</v>
      </c>
      <c r="F758" s="24" t="str">
        <f t="shared" si="44"/>
        <v>PPG - FatHog EVO BIB &amp; BRACE  44-46" XL  WHITE</v>
      </c>
      <c r="G758" s="23" t="s">
        <v>5631</v>
      </c>
      <c r="H758" s="25" t="s">
        <v>36</v>
      </c>
      <c r="I758" s="18" t="s">
        <v>37</v>
      </c>
      <c r="J758" s="18" t="s">
        <v>38</v>
      </c>
      <c r="K758" t="s">
        <v>39</v>
      </c>
      <c r="L758" s="26">
        <f>VLOOKUP(A758,'[3]Price info'!A:D,4,FALSE)</f>
        <v>52.41</v>
      </c>
      <c r="M758" s="18" t="s">
        <v>40</v>
      </c>
      <c r="N758" s="20">
        <v>3105</v>
      </c>
      <c r="P758" s="16">
        <f>VLOOKUP(A758,'[3]Price info'!A:H,8,FALSE)</f>
        <v>48.793709999999997</v>
      </c>
      <c r="Q758" s="27">
        <f t="shared" si="45"/>
        <v>0.93100000000000005</v>
      </c>
      <c r="S758" s="16" t="e">
        <f>VLOOKUP(A758,[4]Sales!$E:$G,3,FALSE)</f>
        <v>#N/A</v>
      </c>
      <c r="T758" s="19" t="e">
        <f>VLOOKUP(A758,[4]Volume!$E:$G,3,FALSE)</f>
        <v>#N/A</v>
      </c>
      <c r="U758" s="19" t="e">
        <f>VLOOKUP(A758,[4]Piece!$E:$G,3,FALSE)</f>
        <v>#N/A</v>
      </c>
      <c r="V758" s="21" t="e">
        <f t="shared" si="46"/>
        <v>#N/A</v>
      </c>
      <c r="W758" s="16" t="e">
        <f t="shared" si="47"/>
        <v>#N/A</v>
      </c>
    </row>
    <row r="759" spans="1:23" hidden="1" x14ac:dyDescent="0.3">
      <c r="A759" s="22" t="s">
        <v>1525</v>
      </c>
      <c r="B759" s="22" t="s">
        <v>1525</v>
      </c>
      <c r="C759" s="23" t="s">
        <v>33</v>
      </c>
      <c r="D759" s="20" t="s">
        <v>34</v>
      </c>
      <c r="E759" s="22" t="s">
        <v>1526</v>
      </c>
      <c r="F759" s="24" t="str">
        <f t="shared" si="44"/>
        <v>PPG - FatHog EVO BIB &amp; BRACE  52-54"XXXL WHITE</v>
      </c>
      <c r="G759" s="23" t="s">
        <v>5632</v>
      </c>
      <c r="H759" s="25" t="s">
        <v>36</v>
      </c>
      <c r="I759" s="18" t="s">
        <v>37</v>
      </c>
      <c r="J759" s="18" t="s">
        <v>38</v>
      </c>
      <c r="K759" t="s">
        <v>39</v>
      </c>
      <c r="L759" s="26">
        <f>VLOOKUP(A759,'[3]Price info'!A:D,4,FALSE)</f>
        <v>56.58</v>
      </c>
      <c r="M759" s="18" t="s">
        <v>40</v>
      </c>
      <c r="N759" s="20">
        <v>3105</v>
      </c>
      <c r="P759" s="16">
        <f>VLOOKUP(A759,'[3]Price info'!A:H,8,FALSE)</f>
        <v>52.41</v>
      </c>
      <c r="Q759" s="27">
        <f t="shared" si="45"/>
        <v>0.92629904559915166</v>
      </c>
      <c r="S759" s="16" t="e">
        <f>VLOOKUP(A759,[4]Sales!$E:$G,3,FALSE)</f>
        <v>#N/A</v>
      </c>
      <c r="T759" s="19" t="e">
        <f>VLOOKUP(A759,[4]Volume!$E:$G,3,FALSE)</f>
        <v>#N/A</v>
      </c>
      <c r="U759" s="19" t="e">
        <f>VLOOKUP(A759,[4]Piece!$E:$G,3,FALSE)</f>
        <v>#N/A</v>
      </c>
      <c r="V759" s="21" t="e">
        <f t="shared" si="46"/>
        <v>#N/A</v>
      </c>
      <c r="W759" s="16" t="e">
        <f t="shared" si="47"/>
        <v>#N/A</v>
      </c>
    </row>
    <row r="760" spans="1:23" hidden="1" x14ac:dyDescent="0.3">
      <c r="A760" s="22" t="s">
        <v>1527</v>
      </c>
      <c r="B760" s="22" t="s">
        <v>1527</v>
      </c>
      <c r="C760" s="23" t="s">
        <v>33</v>
      </c>
      <c r="D760" s="20" t="s">
        <v>34</v>
      </c>
      <c r="E760" s="22" t="s">
        <v>1528</v>
      </c>
      <c r="F760" s="24" t="str">
        <f t="shared" si="44"/>
        <v>PPG - Johnstones CLEANABLE MATT - Mix - 5ltr</v>
      </c>
      <c r="G760" s="23" t="s">
        <v>5633</v>
      </c>
      <c r="H760" s="25" t="s">
        <v>36</v>
      </c>
      <c r="I760" s="18" t="s">
        <v>37</v>
      </c>
      <c r="J760" s="18" t="s">
        <v>38</v>
      </c>
      <c r="K760" t="s">
        <v>39</v>
      </c>
      <c r="L760" s="26">
        <f>VLOOKUP(A760,'[3]Price info'!A:D,4,FALSE)</f>
        <v>51.67</v>
      </c>
      <c r="M760" s="18" t="s">
        <v>40</v>
      </c>
      <c r="N760" s="20">
        <v>3105</v>
      </c>
      <c r="P760" s="16">
        <f>VLOOKUP(A760,'[3]Price info'!A:H,8,FALSE)</f>
        <v>33.72</v>
      </c>
      <c r="Q760" s="27">
        <f t="shared" si="45"/>
        <v>0.65260305786723438</v>
      </c>
      <c r="S760" s="16">
        <f>VLOOKUP(A760,[4]Sales!$E:$G,3,FALSE)</f>
        <v>9392.1000000000022</v>
      </c>
      <c r="T760" s="19">
        <f>VLOOKUP(A760,[4]Volume!$E:$G,3,FALSE)</f>
        <v>1000</v>
      </c>
      <c r="U760" s="19">
        <f>VLOOKUP(A760,[4]Piece!$E:$G,3,FALSE)</f>
        <v>200</v>
      </c>
      <c r="V760" s="21">
        <f t="shared" si="46"/>
        <v>6744</v>
      </c>
      <c r="W760" s="16">
        <f t="shared" si="47"/>
        <v>-2648.1000000000022</v>
      </c>
    </row>
    <row r="761" spans="1:23" hidden="1" x14ac:dyDescent="0.3">
      <c r="A761" s="22" t="s">
        <v>1529</v>
      </c>
      <c r="B761" s="22" t="s">
        <v>1529</v>
      </c>
      <c r="C761" s="23" t="s">
        <v>33</v>
      </c>
      <c r="D761" s="20" t="s">
        <v>34</v>
      </c>
      <c r="E761" s="22" t="s">
        <v>1530</v>
      </c>
      <c r="F761" s="24" t="str">
        <f t="shared" si="44"/>
        <v>PPG - FatHog EVOLUTION TROUSER 36" WHITE</v>
      </c>
      <c r="G761" s="23" t="s">
        <v>5634</v>
      </c>
      <c r="H761" s="25" t="s">
        <v>36</v>
      </c>
      <c r="I761" s="18" t="s">
        <v>37</v>
      </c>
      <c r="J761" s="18" t="s">
        <v>38</v>
      </c>
      <c r="K761" t="s">
        <v>39</v>
      </c>
      <c r="L761" s="26">
        <f>VLOOKUP(A761,'[3]Price info'!A:D,4,FALSE)</f>
        <v>27.43</v>
      </c>
      <c r="M761" s="18" t="s">
        <v>40</v>
      </c>
      <c r="N761" s="20">
        <v>3105</v>
      </c>
      <c r="P761" s="16">
        <f>VLOOKUP(A761,'[3]Price info'!A:H,8,FALSE)</f>
        <v>25.537330000000001</v>
      </c>
      <c r="Q761" s="27">
        <f t="shared" si="45"/>
        <v>0.93100000000000005</v>
      </c>
      <c r="S761" s="16">
        <f>VLOOKUP(A761,[4]Sales!$E:$G,3,FALSE)</f>
        <v>27.43</v>
      </c>
      <c r="T761" s="19">
        <f>VLOOKUP(A761,[4]Volume!$E:$G,3,FALSE)</f>
        <v>1</v>
      </c>
      <c r="U761" s="19">
        <f>VLOOKUP(A761,[4]Piece!$E:$G,3,FALSE)</f>
        <v>1</v>
      </c>
      <c r="V761" s="21">
        <f t="shared" si="46"/>
        <v>25.537330000000001</v>
      </c>
      <c r="W761" s="16">
        <f t="shared" si="47"/>
        <v>-1.892669999999999</v>
      </c>
    </row>
    <row r="762" spans="1:23" hidden="1" x14ac:dyDescent="0.3">
      <c r="A762" s="22" t="s">
        <v>1531</v>
      </c>
      <c r="B762" s="22" t="s">
        <v>1531</v>
      </c>
      <c r="C762" s="23" t="s">
        <v>33</v>
      </c>
      <c r="D762" s="20" t="s">
        <v>34</v>
      </c>
      <c r="E762" s="22" t="s">
        <v>1532</v>
      </c>
      <c r="F762" s="24" t="str">
        <f t="shared" si="44"/>
        <v>PPG - Stormshield SELF CLEAN MASONRY - Mix - 5ltr</v>
      </c>
      <c r="G762" s="23" t="s">
        <v>5635</v>
      </c>
      <c r="H762" s="25" t="s">
        <v>36</v>
      </c>
      <c r="I762" s="18" t="s">
        <v>37</v>
      </c>
      <c r="J762" s="18" t="s">
        <v>38</v>
      </c>
      <c r="K762" t="s">
        <v>39</v>
      </c>
      <c r="L762" s="26">
        <f>VLOOKUP(A762,'[3]Price info'!A:D,4,FALSE)</f>
        <v>49.84</v>
      </c>
      <c r="M762" s="18" t="s">
        <v>40</v>
      </c>
      <c r="N762" s="20">
        <v>3105</v>
      </c>
      <c r="P762" s="16">
        <f>VLOOKUP(A762,'[3]Price info'!A:H,8,FALSE)</f>
        <v>46.401040000000009</v>
      </c>
      <c r="Q762" s="27">
        <f t="shared" si="45"/>
        <v>0.93100000000000016</v>
      </c>
      <c r="S762" s="16" t="e">
        <f>VLOOKUP(A762,[4]Sales!$E:$G,3,FALSE)</f>
        <v>#N/A</v>
      </c>
      <c r="T762" s="19" t="e">
        <f>VLOOKUP(A762,[4]Volume!$E:$G,3,FALSE)</f>
        <v>#N/A</v>
      </c>
      <c r="U762" s="19" t="e">
        <f>VLOOKUP(A762,[4]Piece!$E:$G,3,FALSE)</f>
        <v>#N/A</v>
      </c>
      <c r="V762" s="21" t="e">
        <f t="shared" si="46"/>
        <v>#N/A</v>
      </c>
      <c r="W762" s="16" t="e">
        <f t="shared" si="47"/>
        <v>#N/A</v>
      </c>
    </row>
    <row r="763" spans="1:23" hidden="1" x14ac:dyDescent="0.3">
      <c r="A763" s="22" t="s">
        <v>1533</v>
      </c>
      <c r="B763" s="22" t="s">
        <v>1533</v>
      </c>
      <c r="C763" s="23" t="s">
        <v>33</v>
      </c>
      <c r="D763" s="20" t="s">
        <v>34</v>
      </c>
      <c r="E763" s="22" t="s">
        <v>1534</v>
      </c>
      <c r="F763" s="24" t="str">
        <f t="shared" si="44"/>
        <v>PPG - Johnstones PERFECT MATT - Mix- 2.5ltr</v>
      </c>
      <c r="G763" s="23" t="s">
        <v>5636</v>
      </c>
      <c r="H763" s="25" t="s">
        <v>36</v>
      </c>
      <c r="I763" s="18" t="s">
        <v>37</v>
      </c>
      <c r="J763" s="18" t="s">
        <v>38</v>
      </c>
      <c r="K763" t="s">
        <v>39</v>
      </c>
      <c r="L763" s="26">
        <f>VLOOKUP(A763,'[3]Price info'!A:D,4,FALSE)</f>
        <v>37.86</v>
      </c>
      <c r="M763" s="18" t="s">
        <v>40</v>
      </c>
      <c r="N763" s="20">
        <v>3105</v>
      </c>
      <c r="P763" s="16">
        <f>VLOOKUP(A763,'[3]Price info'!A:H,8,FALSE)</f>
        <v>27.04</v>
      </c>
      <c r="Q763" s="27">
        <f t="shared" si="45"/>
        <v>0.71421024828314839</v>
      </c>
      <c r="S763" s="16">
        <f>VLOOKUP(A763,[4]Sales!$E:$G,3,FALSE)</f>
        <v>37.86</v>
      </c>
      <c r="T763" s="19">
        <f>VLOOKUP(A763,[4]Volume!$E:$G,3,FALSE)</f>
        <v>2.5</v>
      </c>
      <c r="U763" s="19">
        <f>VLOOKUP(A763,[4]Piece!$E:$G,3,FALSE)</f>
        <v>1</v>
      </c>
      <c r="V763" s="21">
        <f t="shared" si="46"/>
        <v>27.04</v>
      </c>
      <c r="W763" s="16">
        <f t="shared" si="47"/>
        <v>-10.82</v>
      </c>
    </row>
    <row r="764" spans="1:23" hidden="1" x14ac:dyDescent="0.3">
      <c r="A764" s="22" t="s">
        <v>1535</v>
      </c>
      <c r="B764" s="22" t="s">
        <v>1535</v>
      </c>
      <c r="C764" s="23" t="s">
        <v>33</v>
      </c>
      <c r="D764" s="20" t="s">
        <v>34</v>
      </c>
      <c r="E764" s="22" t="s">
        <v>1536</v>
      </c>
      <c r="F764" s="24" t="str">
        <f t="shared" si="44"/>
        <v>PPG - Johnstones ULTRA PRIMER SEALER - BW - 2.5ltr</v>
      </c>
      <c r="G764" s="23" t="s">
        <v>5637</v>
      </c>
      <c r="H764" s="25" t="s">
        <v>36</v>
      </c>
      <c r="I764" s="18" t="s">
        <v>37</v>
      </c>
      <c r="J764" s="18" t="s">
        <v>38</v>
      </c>
      <c r="K764" t="s">
        <v>39</v>
      </c>
      <c r="L764" s="26">
        <f>VLOOKUP(A764,'[3]Price info'!A:D,4,FALSE)</f>
        <v>12.62</v>
      </c>
      <c r="M764" s="18" t="s">
        <v>40</v>
      </c>
      <c r="N764" s="20">
        <v>3105</v>
      </c>
      <c r="P764" s="16">
        <f>VLOOKUP(A764,'[3]Price info'!A:H,8,FALSE)</f>
        <v>11.749219999999999</v>
      </c>
      <c r="Q764" s="27">
        <f t="shared" si="45"/>
        <v>0.93100000000000005</v>
      </c>
      <c r="S764" s="16">
        <f>VLOOKUP(A764,[4]Sales!$E:$G,3,FALSE)</f>
        <v>24.369999999999997</v>
      </c>
      <c r="T764" s="19">
        <f>VLOOKUP(A764,[4]Volume!$E:$G,3,FALSE)</f>
        <v>5</v>
      </c>
      <c r="U764" s="19">
        <f>VLOOKUP(A764,[4]Piece!$E:$G,3,FALSE)</f>
        <v>2</v>
      </c>
      <c r="V764" s="21">
        <f t="shared" si="46"/>
        <v>23.498439999999999</v>
      </c>
      <c r="W764" s="16">
        <f t="shared" si="47"/>
        <v>-0.87155999999999878</v>
      </c>
    </row>
    <row r="765" spans="1:23" hidden="1" x14ac:dyDescent="0.3">
      <c r="A765" s="22" t="s">
        <v>1537</v>
      </c>
      <c r="B765" s="22" t="s">
        <v>1537</v>
      </c>
      <c r="C765" s="23" t="s">
        <v>33</v>
      </c>
      <c r="D765" s="20" t="s">
        <v>34</v>
      </c>
      <c r="E765" s="22" t="s">
        <v>1538</v>
      </c>
      <c r="F765" s="24" t="str">
        <f t="shared" si="44"/>
        <v>PPG - JST MATT WOODSTAIN - Mahogany - 2.5ltr</v>
      </c>
      <c r="G765" s="23" t="s">
        <v>5638</v>
      </c>
      <c r="H765" s="25" t="s">
        <v>36</v>
      </c>
      <c r="I765" s="18" t="s">
        <v>37</v>
      </c>
      <c r="J765" s="18" t="s">
        <v>38</v>
      </c>
      <c r="K765" t="s">
        <v>39</v>
      </c>
      <c r="L765" s="26">
        <f>VLOOKUP(A765,'[3]Price info'!A:D,4,FALSE)</f>
        <v>16.88</v>
      </c>
      <c r="M765" s="18" t="s">
        <v>40</v>
      </c>
      <c r="N765" s="20">
        <v>3105</v>
      </c>
      <c r="P765" s="16">
        <f>VLOOKUP(A765,'[3]Price info'!A:H,8,FALSE)</f>
        <v>15.71528</v>
      </c>
      <c r="Q765" s="27">
        <f t="shared" si="45"/>
        <v>0.93100000000000005</v>
      </c>
      <c r="S765" s="16" t="e">
        <f>VLOOKUP(A765,[4]Sales!$E:$G,3,FALSE)</f>
        <v>#N/A</v>
      </c>
      <c r="T765" s="19" t="e">
        <f>VLOOKUP(A765,[4]Volume!$E:$G,3,FALSE)</f>
        <v>#N/A</v>
      </c>
      <c r="U765" s="19" t="e">
        <f>VLOOKUP(A765,[4]Piece!$E:$G,3,FALSE)</f>
        <v>#N/A</v>
      </c>
      <c r="V765" s="21" t="e">
        <f t="shared" si="46"/>
        <v>#N/A</v>
      </c>
      <c r="W765" s="16" t="e">
        <f t="shared" si="47"/>
        <v>#N/A</v>
      </c>
    </row>
    <row r="766" spans="1:23" hidden="1" x14ac:dyDescent="0.3">
      <c r="A766" s="22" t="s">
        <v>1539</v>
      </c>
      <c r="B766" s="22" t="s">
        <v>1539</v>
      </c>
      <c r="C766" s="23" t="s">
        <v>33</v>
      </c>
      <c r="D766" s="20" t="s">
        <v>34</v>
      </c>
      <c r="E766" s="22" t="s">
        <v>1540</v>
      </c>
      <c r="F766" s="24" t="str">
        <f t="shared" si="44"/>
        <v>PPG - Johnstones SATIN WOODSTAIN - Ebony - 2.5ltr</v>
      </c>
      <c r="G766" s="23" t="s">
        <v>5639</v>
      </c>
      <c r="H766" s="25" t="s">
        <v>36</v>
      </c>
      <c r="I766" s="18" t="s">
        <v>37</v>
      </c>
      <c r="J766" s="18" t="s">
        <v>38</v>
      </c>
      <c r="K766" t="s">
        <v>39</v>
      </c>
      <c r="L766" s="26">
        <f>VLOOKUP(A766,'[3]Price info'!A:D,4,FALSE)</f>
        <v>16.88</v>
      </c>
      <c r="M766" s="18" t="s">
        <v>40</v>
      </c>
      <c r="N766" s="20">
        <v>3105</v>
      </c>
      <c r="P766" s="16">
        <f>VLOOKUP(A766,'[3]Price info'!A:H,8,FALSE)</f>
        <v>15.71528</v>
      </c>
      <c r="Q766" s="27">
        <f t="shared" si="45"/>
        <v>0.93100000000000005</v>
      </c>
      <c r="S766" s="16">
        <f>VLOOKUP(A766,[4]Sales!$E:$G,3,FALSE)</f>
        <v>0</v>
      </c>
      <c r="T766" s="19">
        <f>VLOOKUP(A766,[4]Volume!$E:$G,3,FALSE)</f>
        <v>0</v>
      </c>
      <c r="U766" s="19">
        <f>VLOOKUP(A766,[4]Piece!$E:$G,3,FALSE)</f>
        <v>0</v>
      </c>
      <c r="V766" s="21">
        <f t="shared" si="46"/>
        <v>0</v>
      </c>
      <c r="W766" s="16">
        <f t="shared" si="47"/>
        <v>0</v>
      </c>
    </row>
    <row r="767" spans="1:23" hidden="1" x14ac:dyDescent="0.3">
      <c r="A767" s="22" t="s">
        <v>1541</v>
      </c>
      <c r="B767" s="22" t="s">
        <v>1541</v>
      </c>
      <c r="C767" s="23" t="s">
        <v>33</v>
      </c>
      <c r="D767" s="20" t="s">
        <v>34</v>
      </c>
      <c r="E767" s="22" t="s">
        <v>1542</v>
      </c>
      <c r="F767" s="24" t="str">
        <f t="shared" si="44"/>
        <v>PPG - Johnstones PRO GLOSS - Mix - 2.5ltr</v>
      </c>
      <c r="G767" s="23" t="s">
        <v>5640</v>
      </c>
      <c r="H767" s="25" t="s">
        <v>36</v>
      </c>
      <c r="I767" s="18" t="s">
        <v>37</v>
      </c>
      <c r="J767" s="18" t="s">
        <v>38</v>
      </c>
      <c r="K767" t="s">
        <v>39</v>
      </c>
      <c r="L767" s="26">
        <f>VLOOKUP(A767,'[3]Price info'!A:D,4,FALSE)</f>
        <v>12.72</v>
      </c>
      <c r="M767" s="18" t="s">
        <v>40</v>
      </c>
      <c r="N767" s="20">
        <v>3105</v>
      </c>
      <c r="P767" s="16">
        <f>VLOOKUP(A767,'[3]Price info'!A:H,8,FALSE)</f>
        <v>14.82</v>
      </c>
      <c r="Q767" s="27">
        <f t="shared" si="45"/>
        <v>1.1650943396226414</v>
      </c>
      <c r="S767" s="16" t="e">
        <f>VLOOKUP(A767,[4]Sales!$E:$G,3,FALSE)</f>
        <v>#N/A</v>
      </c>
      <c r="T767" s="19" t="e">
        <f>VLOOKUP(A767,[4]Volume!$E:$G,3,FALSE)</f>
        <v>#N/A</v>
      </c>
      <c r="U767" s="19" t="e">
        <f>VLOOKUP(A767,[4]Piece!$E:$G,3,FALSE)</f>
        <v>#N/A</v>
      </c>
      <c r="V767" s="21" t="e">
        <f t="shared" si="46"/>
        <v>#N/A</v>
      </c>
      <c r="W767" s="16" t="e">
        <f t="shared" si="47"/>
        <v>#N/A</v>
      </c>
    </row>
    <row r="768" spans="1:23" hidden="1" x14ac:dyDescent="0.3">
      <c r="A768" s="22" t="s">
        <v>1543</v>
      </c>
      <c r="B768" s="22" t="s">
        <v>1543</v>
      </c>
      <c r="C768" s="23" t="s">
        <v>33</v>
      </c>
      <c r="D768" s="20" t="s">
        <v>34</v>
      </c>
      <c r="E768" s="22" t="s">
        <v>1544</v>
      </c>
      <c r="F768" s="24" t="str">
        <f t="shared" si="44"/>
        <v>PPG - Leyland GLOSS - Mix - 1ltr</v>
      </c>
      <c r="G768" s="23" t="s">
        <v>5641</v>
      </c>
      <c r="H768" s="25" t="s">
        <v>36</v>
      </c>
      <c r="I768" s="18" t="s">
        <v>37</v>
      </c>
      <c r="J768" s="18" t="s">
        <v>38</v>
      </c>
      <c r="K768" t="s">
        <v>39</v>
      </c>
      <c r="L768" s="26">
        <f>VLOOKUP(A768,'[3]Price info'!A:D,4,FALSE)</f>
        <v>8.52</v>
      </c>
      <c r="M768" s="18" t="s">
        <v>40</v>
      </c>
      <c r="N768" s="20">
        <v>3105</v>
      </c>
      <c r="P768" s="16">
        <f>VLOOKUP(A768,'[3]Price info'!A:H,8,FALSE)</f>
        <v>7.9321200000000003</v>
      </c>
      <c r="Q768" s="27">
        <f t="shared" si="45"/>
        <v>0.93100000000000005</v>
      </c>
      <c r="S768" s="16">
        <f>VLOOKUP(A768,[4]Sales!$E:$G,3,FALSE)</f>
        <v>7.93</v>
      </c>
      <c r="T768" s="19">
        <f>VLOOKUP(A768,[4]Volume!$E:$G,3,FALSE)</f>
        <v>1</v>
      </c>
      <c r="U768" s="19">
        <f>VLOOKUP(A768,[4]Piece!$E:$G,3,FALSE)</f>
        <v>1</v>
      </c>
      <c r="V768" s="21">
        <f t="shared" si="46"/>
        <v>7.9321200000000003</v>
      </c>
      <c r="W768" s="16">
        <f t="shared" si="47"/>
        <v>2.1200000000005659E-3</v>
      </c>
    </row>
    <row r="769" spans="1:23" hidden="1" x14ac:dyDescent="0.3">
      <c r="A769" s="46" t="s">
        <v>1545</v>
      </c>
      <c r="B769" s="46" t="s">
        <v>1545</v>
      </c>
      <c r="C769" s="47" t="s">
        <v>33</v>
      </c>
      <c r="D769" s="48" t="s">
        <v>34</v>
      </c>
      <c r="E769" s="18" t="s">
        <v>1546</v>
      </c>
      <c r="F769" s="24" t="str">
        <f t="shared" si="44"/>
        <v>PPG - HODGS LINSEED OIL  PUTTY 1KG  0000000100</v>
      </c>
      <c r="G769" s="20" t="s">
        <v>5642</v>
      </c>
      <c r="H769" s="49" t="s">
        <v>213</v>
      </c>
      <c r="I769" s="18" t="s">
        <v>37</v>
      </c>
      <c r="J769" s="18" t="s">
        <v>38</v>
      </c>
      <c r="K769" t="s">
        <v>39</v>
      </c>
      <c r="L769" s="50">
        <f>VLOOKUP(A769,'[3]Price info'!A:D,4,FALSE)</f>
        <v>1.44</v>
      </c>
      <c r="M769" s="18" t="s">
        <v>214</v>
      </c>
      <c r="N769" s="20">
        <v>3105</v>
      </c>
      <c r="P769" s="16">
        <f>VLOOKUP(A769,'[3]Price info'!A:H,8,FALSE)</f>
        <v>1.3406400000000001</v>
      </c>
      <c r="Q769" s="17">
        <f t="shared" si="45"/>
        <v>0.93100000000000005</v>
      </c>
      <c r="S769" s="16">
        <f>VLOOKUP(A769,[4]Sales!$E:$G,3,FALSE)</f>
        <v>49.600000000000016</v>
      </c>
      <c r="T769" s="19">
        <f>VLOOKUP(A769,[4]Volume!$E:$G,3,FALSE)</f>
        <v>3.5000000000000009</v>
      </c>
      <c r="U769" s="19">
        <f>VLOOKUP(A769,[4]Piece!$E:$G,3,FALSE)</f>
        <v>35</v>
      </c>
      <c r="V769" s="21">
        <f t="shared" si="46"/>
        <v>46.922400000000003</v>
      </c>
      <c r="W769" s="16">
        <f t="shared" si="47"/>
        <v>-2.6776000000000124</v>
      </c>
    </row>
    <row r="770" spans="1:23" hidden="1" x14ac:dyDescent="0.3">
      <c r="A770" s="22" t="s">
        <v>1547</v>
      </c>
      <c r="B770" s="22" t="s">
        <v>1547</v>
      </c>
      <c r="C770" s="23" t="s">
        <v>33</v>
      </c>
      <c r="D770" s="20" t="s">
        <v>34</v>
      </c>
      <c r="E770" s="22" t="s">
        <v>1548</v>
      </c>
      <c r="F770" s="24" t="str">
        <f t="shared" si="44"/>
        <v>PPG - Johnstones EGGSHELL - Brilliant White - 1ltr</v>
      </c>
      <c r="G770" s="23" t="s">
        <v>5643</v>
      </c>
      <c r="H770" s="25" t="s">
        <v>36</v>
      </c>
      <c r="I770" s="18" t="s">
        <v>37</v>
      </c>
      <c r="J770" s="18" t="s">
        <v>38</v>
      </c>
      <c r="K770" t="s">
        <v>39</v>
      </c>
      <c r="L770" s="26">
        <f>VLOOKUP(A770,'[3]Price info'!A:D,4,FALSE)</f>
        <v>7.99</v>
      </c>
      <c r="M770" s="18" t="s">
        <v>40</v>
      </c>
      <c r="N770" s="20">
        <v>3105</v>
      </c>
      <c r="P770" s="16">
        <f>VLOOKUP(A770,'[3]Price info'!A:H,8,FALSE)</f>
        <v>7.4386900000000002</v>
      </c>
      <c r="Q770" s="27">
        <f t="shared" si="45"/>
        <v>0.93100000000000005</v>
      </c>
      <c r="S770" s="16">
        <f>VLOOKUP(A770,[4]Sales!$E:$G,3,FALSE)</f>
        <v>68.06</v>
      </c>
      <c r="T770" s="19">
        <f>VLOOKUP(A770,[4]Volume!$E:$G,3,FALSE)</f>
        <v>9</v>
      </c>
      <c r="U770" s="19">
        <f>VLOOKUP(A770,[4]Piece!$E:$G,3,FALSE)</f>
        <v>9</v>
      </c>
      <c r="V770" s="21">
        <f t="shared" si="46"/>
        <v>66.948210000000003</v>
      </c>
      <c r="W770" s="16">
        <f t="shared" si="47"/>
        <v>-1.1117899999999992</v>
      </c>
    </row>
    <row r="771" spans="1:23" hidden="1" x14ac:dyDescent="0.3">
      <c r="A771" s="22" t="s">
        <v>1549</v>
      </c>
      <c r="B771" s="22" t="s">
        <v>1549</v>
      </c>
      <c r="C771" s="23" t="s">
        <v>33</v>
      </c>
      <c r="D771" s="20" t="s">
        <v>34</v>
      </c>
      <c r="E771" s="22" t="s">
        <v>1550</v>
      </c>
      <c r="F771" s="24" t="str">
        <f t="shared" ref="F771:F834" si="48">D771&amp;" - "&amp;E771</f>
        <v>PPG - Johnstones VINYL SOFT SHEEN - Mag - 10ltr</v>
      </c>
      <c r="G771" s="23" t="s">
        <v>5644</v>
      </c>
      <c r="H771" s="25" t="s">
        <v>36</v>
      </c>
      <c r="I771" s="18" t="s">
        <v>37</v>
      </c>
      <c r="J771" s="18" t="s">
        <v>38</v>
      </c>
      <c r="K771" t="s">
        <v>39</v>
      </c>
      <c r="L771" s="26">
        <f>VLOOKUP(A771,'[3]Price info'!A:D,4,FALSE)</f>
        <v>25.79</v>
      </c>
      <c r="M771" s="18" t="s">
        <v>40</v>
      </c>
      <c r="N771" s="20">
        <v>3105</v>
      </c>
      <c r="P771" s="16">
        <f>VLOOKUP(A771,'[3]Price info'!A:H,8,FALSE)</f>
        <v>24.010490000000001</v>
      </c>
      <c r="Q771" s="27">
        <f t="shared" ref="Q771:Q834" si="49">P771/L771</f>
        <v>0.93100000000000005</v>
      </c>
      <c r="S771" s="16">
        <f>VLOOKUP(A771,[4]Sales!$E:$G,3,FALSE)</f>
        <v>72.03</v>
      </c>
      <c r="T771" s="19">
        <f>VLOOKUP(A771,[4]Volume!$E:$G,3,FALSE)</f>
        <v>30</v>
      </c>
      <c r="U771" s="19">
        <f>VLOOKUP(A771,[4]Piece!$E:$G,3,FALSE)</f>
        <v>3</v>
      </c>
      <c r="V771" s="21">
        <f t="shared" ref="V771:V834" si="50">U771*P771</f>
        <v>72.031469999999999</v>
      </c>
      <c r="W771" s="16">
        <f t="shared" ref="W771:W834" si="51">V771-S771</f>
        <v>1.4699999999976399E-3</v>
      </c>
    </row>
    <row r="772" spans="1:23" hidden="1" x14ac:dyDescent="0.3">
      <c r="A772" s="46" t="s">
        <v>1551</v>
      </c>
      <c r="B772" s="46" t="s">
        <v>1551</v>
      </c>
      <c r="C772" s="47" t="s">
        <v>33</v>
      </c>
      <c r="D772" s="48" t="s">
        <v>34</v>
      </c>
      <c r="E772" s="18" t="s">
        <v>1552</v>
      </c>
      <c r="F772" s="24" t="str">
        <f t="shared" si="48"/>
        <v>PPG - JDONE JOB DONE     BRUSH 2"</v>
      </c>
      <c r="G772" s="20" t="s">
        <v>5645</v>
      </c>
      <c r="H772" s="49" t="s">
        <v>213</v>
      </c>
      <c r="I772" s="18" t="s">
        <v>37</v>
      </c>
      <c r="J772" s="18" t="s">
        <v>38</v>
      </c>
      <c r="K772" t="s">
        <v>39</v>
      </c>
      <c r="L772" s="50">
        <f>VLOOKUP(A772,'[3]Price info'!A:D,4,FALSE)</f>
        <v>1.55</v>
      </c>
      <c r="M772" s="18" t="s">
        <v>214</v>
      </c>
      <c r="N772" s="20">
        <v>3105</v>
      </c>
      <c r="P772" s="16">
        <f>VLOOKUP(A772,'[3]Price info'!A:H,8,FALSE)</f>
        <v>1.4430500000000002</v>
      </c>
      <c r="Q772" s="17">
        <f t="shared" si="49"/>
        <v>0.93100000000000005</v>
      </c>
      <c r="S772" s="16">
        <f>VLOOKUP(A772,[4]Sales!$E:$G,3,FALSE)</f>
        <v>23.04</v>
      </c>
      <c r="T772" s="19">
        <f>VLOOKUP(A772,[4]Volume!$E:$G,3,FALSE)</f>
        <v>16</v>
      </c>
      <c r="U772" s="19">
        <f>VLOOKUP(A772,[4]Piece!$E:$G,3,FALSE)</f>
        <v>16</v>
      </c>
      <c r="V772" s="21">
        <f t="shared" si="50"/>
        <v>23.088800000000003</v>
      </c>
      <c r="W772" s="16">
        <f t="shared" si="51"/>
        <v>4.8800000000003507E-2</v>
      </c>
    </row>
    <row r="773" spans="1:23" hidden="1" x14ac:dyDescent="0.3">
      <c r="A773" s="22" t="s">
        <v>1553</v>
      </c>
      <c r="B773" s="22" t="s">
        <v>1553</v>
      </c>
      <c r="C773" s="23" t="s">
        <v>33</v>
      </c>
      <c r="D773" s="20" t="s">
        <v>34</v>
      </c>
      <c r="E773" s="22" t="s">
        <v>1554</v>
      </c>
      <c r="F773" s="24" t="str">
        <f t="shared" si="48"/>
        <v>PPG - Johnstones Acrylic Durable Matt - BW -2.5ltr</v>
      </c>
      <c r="G773" s="23" t="s">
        <v>5646</v>
      </c>
      <c r="H773" s="25" t="s">
        <v>36</v>
      </c>
      <c r="I773" s="18" t="s">
        <v>37</v>
      </c>
      <c r="J773" s="18" t="s">
        <v>38</v>
      </c>
      <c r="K773" t="s">
        <v>39</v>
      </c>
      <c r="L773" s="26">
        <f>VLOOKUP(A773,'[3]Price info'!A:D,4,FALSE)</f>
        <v>12.55</v>
      </c>
      <c r="M773" s="18" t="s">
        <v>40</v>
      </c>
      <c r="N773" s="20">
        <v>3105</v>
      </c>
      <c r="P773" s="16">
        <f>VLOOKUP(A773,'[3]Price info'!A:H,8,FALSE)</f>
        <v>9.9</v>
      </c>
      <c r="Q773" s="27">
        <f t="shared" si="49"/>
        <v>0.78884462151394419</v>
      </c>
      <c r="S773" s="16">
        <f>VLOOKUP(A773,[4]Sales!$E:$G,3,FALSE)</f>
        <v>19.8</v>
      </c>
      <c r="T773" s="19">
        <f>VLOOKUP(A773,[4]Volume!$E:$G,3,FALSE)</f>
        <v>5</v>
      </c>
      <c r="U773" s="19">
        <f>VLOOKUP(A773,[4]Piece!$E:$G,3,FALSE)</f>
        <v>2</v>
      </c>
      <c r="V773" s="21">
        <f t="shared" si="50"/>
        <v>19.8</v>
      </c>
      <c r="W773" s="16">
        <f t="shared" si="51"/>
        <v>0</v>
      </c>
    </row>
    <row r="774" spans="1:23" hidden="1" x14ac:dyDescent="0.3">
      <c r="A774" s="22" t="s">
        <v>1555</v>
      </c>
      <c r="B774" s="22" t="s">
        <v>1555</v>
      </c>
      <c r="C774" s="23" t="s">
        <v>33</v>
      </c>
      <c r="D774" s="20" t="s">
        <v>34</v>
      </c>
      <c r="E774" s="22" t="s">
        <v>1556</v>
      </c>
      <c r="F774" s="24" t="str">
        <f t="shared" si="48"/>
        <v>PPG - ProGold PVA ADHESIVE SEAL 2.5ltr</v>
      </c>
      <c r="G774" s="23" t="s">
        <v>5647</v>
      </c>
      <c r="H774" s="25" t="s">
        <v>36</v>
      </c>
      <c r="I774" s="18" t="s">
        <v>37</v>
      </c>
      <c r="J774" s="18" t="s">
        <v>38</v>
      </c>
      <c r="K774" t="s">
        <v>39</v>
      </c>
      <c r="L774" s="26">
        <f>VLOOKUP(A774,'[3]Price info'!A:D,4,FALSE)</f>
        <v>10.029999999999999</v>
      </c>
      <c r="M774" s="18" t="s">
        <v>40</v>
      </c>
      <c r="N774" s="20">
        <v>3105</v>
      </c>
      <c r="P774" s="16">
        <f>VLOOKUP(A774,'[3]Price info'!A:H,8,FALSE)</f>
        <v>9.3379300000000001</v>
      </c>
      <c r="Q774" s="27">
        <f t="shared" si="49"/>
        <v>0.93100000000000005</v>
      </c>
      <c r="S774" s="16">
        <f>VLOOKUP(A774,[4]Sales!$E:$G,3,FALSE)</f>
        <v>9.34</v>
      </c>
      <c r="T774" s="19">
        <f>VLOOKUP(A774,[4]Volume!$E:$G,3,FALSE)</f>
        <v>2.5</v>
      </c>
      <c r="U774" s="19">
        <f>VLOOKUP(A774,[4]Piece!$E:$G,3,FALSE)</f>
        <v>1</v>
      </c>
      <c r="V774" s="21">
        <f t="shared" si="50"/>
        <v>9.3379300000000001</v>
      </c>
      <c r="W774" s="16">
        <f t="shared" si="51"/>
        <v>-2.0699999999997942E-3</v>
      </c>
    </row>
    <row r="775" spans="1:23" hidden="1" x14ac:dyDescent="0.3">
      <c r="A775" s="22" t="s">
        <v>1557</v>
      </c>
      <c r="B775" s="22" t="s">
        <v>1557</v>
      </c>
      <c r="C775" s="23" t="s">
        <v>33</v>
      </c>
      <c r="D775" s="20" t="s">
        <v>34</v>
      </c>
      <c r="E775" s="22" t="s">
        <v>1558</v>
      </c>
      <c r="F775" s="24" t="str">
        <f t="shared" si="48"/>
        <v>PPG - Johnstones SATIN WOODSTAIN - Teak - 2.5ltr</v>
      </c>
      <c r="G775" s="23" t="s">
        <v>5648</v>
      </c>
      <c r="H775" s="25" t="s">
        <v>36</v>
      </c>
      <c r="I775" s="18" t="s">
        <v>37</v>
      </c>
      <c r="J775" s="18" t="s">
        <v>38</v>
      </c>
      <c r="K775" t="s">
        <v>39</v>
      </c>
      <c r="L775" s="26">
        <f>VLOOKUP(A775,'[3]Price info'!A:D,4,FALSE)</f>
        <v>16.88</v>
      </c>
      <c r="M775" s="18" t="s">
        <v>40</v>
      </c>
      <c r="N775" s="20">
        <v>3105</v>
      </c>
      <c r="P775" s="16">
        <f>VLOOKUP(A775,'[3]Price info'!A:H,8,FALSE)</f>
        <v>15.71528</v>
      </c>
      <c r="Q775" s="27">
        <f t="shared" si="49"/>
        <v>0.93100000000000005</v>
      </c>
      <c r="S775" s="16">
        <f>VLOOKUP(A775,[4]Sales!$E:$G,3,FALSE)</f>
        <v>236.51999999999998</v>
      </c>
      <c r="T775" s="19">
        <f>VLOOKUP(A775,[4]Volume!$E:$G,3,FALSE)</f>
        <v>37.5</v>
      </c>
      <c r="U775" s="19">
        <f>VLOOKUP(A775,[4]Piece!$E:$G,3,FALSE)</f>
        <v>15</v>
      </c>
      <c r="V775" s="21">
        <f t="shared" si="50"/>
        <v>235.72919999999999</v>
      </c>
      <c r="W775" s="16">
        <f t="shared" si="51"/>
        <v>-0.79079999999999018</v>
      </c>
    </row>
    <row r="776" spans="1:23" hidden="1" x14ac:dyDescent="0.3">
      <c r="A776" s="22" t="s">
        <v>1559</v>
      </c>
      <c r="B776" s="22" t="s">
        <v>1559</v>
      </c>
      <c r="C776" s="23" t="s">
        <v>33</v>
      </c>
      <c r="D776" s="20" t="s">
        <v>34</v>
      </c>
      <c r="E776" s="22" t="s">
        <v>1560</v>
      </c>
      <c r="F776" s="24" t="str">
        <f t="shared" si="48"/>
        <v>PPG - Johnstones EGGSHELL - Black - 2.5ltr</v>
      </c>
      <c r="G776" s="23" t="s">
        <v>5649</v>
      </c>
      <c r="H776" s="25" t="s">
        <v>36</v>
      </c>
      <c r="I776" s="18" t="s">
        <v>37</v>
      </c>
      <c r="J776" s="18" t="s">
        <v>38</v>
      </c>
      <c r="K776" t="s">
        <v>39</v>
      </c>
      <c r="L776" s="26">
        <f>VLOOKUP(A776,'[3]Price info'!A:D,4,FALSE)</f>
        <v>16.829999999999998</v>
      </c>
      <c r="M776" s="18" t="s">
        <v>40</v>
      </c>
      <c r="N776" s="20">
        <v>3105</v>
      </c>
      <c r="P776" s="16">
        <f>VLOOKUP(A776,'[3]Price info'!A:H,8,FALSE)</f>
        <v>15.66873</v>
      </c>
      <c r="Q776" s="27">
        <f t="shared" si="49"/>
        <v>0.93100000000000005</v>
      </c>
      <c r="S776" s="16">
        <f>VLOOKUP(A776,[4]Sales!$E:$G,3,FALSE)</f>
        <v>31.34</v>
      </c>
      <c r="T776" s="19">
        <f>VLOOKUP(A776,[4]Volume!$E:$G,3,FALSE)</f>
        <v>5</v>
      </c>
      <c r="U776" s="19">
        <f>VLOOKUP(A776,[4]Piece!$E:$G,3,FALSE)</f>
        <v>2</v>
      </c>
      <c r="V776" s="21">
        <f t="shared" si="50"/>
        <v>31.33746</v>
      </c>
      <c r="W776" s="16">
        <f t="shared" si="51"/>
        <v>-2.5399999999997647E-3</v>
      </c>
    </row>
    <row r="777" spans="1:23" hidden="1" x14ac:dyDescent="0.3">
      <c r="A777" s="46" t="s">
        <v>1561</v>
      </c>
      <c r="B777" s="46" t="s">
        <v>1561</v>
      </c>
      <c r="C777" s="51" t="s">
        <v>33</v>
      </c>
      <c r="D777" s="48" t="s">
        <v>34</v>
      </c>
      <c r="E777" s="18" t="s">
        <v>1562</v>
      </c>
      <c r="F777" s="24" t="str">
        <f t="shared" si="48"/>
        <v>PPG - PURDY WHITE DOVE   3/8" 9"</v>
      </c>
      <c r="G777" s="20" t="s">
        <v>5650</v>
      </c>
      <c r="H777" s="49" t="s">
        <v>213</v>
      </c>
      <c r="I777" s="18" t="s">
        <v>37</v>
      </c>
      <c r="J777" s="18" t="s">
        <v>38</v>
      </c>
      <c r="K777" t="s">
        <v>39</v>
      </c>
      <c r="L777" s="50">
        <f>VLOOKUP(A777,'[3]Price info'!A:D,4,FALSE)</f>
        <v>6.63</v>
      </c>
      <c r="M777" s="18" t="s">
        <v>214</v>
      </c>
      <c r="N777" s="20">
        <v>3105</v>
      </c>
      <c r="P777" s="16">
        <f>VLOOKUP(A777,'[3]Price info'!A:H,8,FALSE)</f>
        <v>6.1725300000000001</v>
      </c>
      <c r="Q777" s="17">
        <f t="shared" si="49"/>
        <v>0.93100000000000005</v>
      </c>
      <c r="S777" s="16">
        <f>VLOOKUP(A777,[4]Sales!$E:$G,3,FALSE)</f>
        <v>25.6</v>
      </c>
      <c r="T777" s="19">
        <f>VLOOKUP(A777,[4]Volume!$E:$G,3,FALSE)</f>
        <v>4</v>
      </c>
      <c r="U777" s="19">
        <f>VLOOKUP(A777,[4]Piece!$E:$G,3,FALSE)</f>
        <v>4</v>
      </c>
      <c r="V777" s="21">
        <f t="shared" si="50"/>
        <v>24.69012</v>
      </c>
      <c r="W777" s="16">
        <f t="shared" si="51"/>
        <v>-0.90988000000000113</v>
      </c>
    </row>
    <row r="778" spans="1:23" hidden="1" x14ac:dyDescent="0.3">
      <c r="A778" s="46" t="s">
        <v>1563</v>
      </c>
      <c r="B778" s="46" t="s">
        <v>1563</v>
      </c>
      <c r="C778" s="47" t="s">
        <v>33</v>
      </c>
      <c r="D778" s="48" t="s">
        <v>34</v>
      </c>
      <c r="E778" s="18" t="s">
        <v>1564</v>
      </c>
      <c r="F778" s="24" t="str">
        <f t="shared" si="48"/>
        <v>PPG - PGOLD 4" FOAM MINI ROLLER</v>
      </c>
      <c r="G778" s="20" t="s">
        <v>5651</v>
      </c>
      <c r="H778" s="49" t="s">
        <v>213</v>
      </c>
      <c r="I778" s="18" t="s">
        <v>37</v>
      </c>
      <c r="J778" s="18" t="s">
        <v>38</v>
      </c>
      <c r="K778" t="s">
        <v>39</v>
      </c>
      <c r="L778" s="50">
        <f>VLOOKUP(A778,'[3]Price info'!A:D,4,FALSE)</f>
        <v>0.43</v>
      </c>
      <c r="M778" s="18" t="s">
        <v>214</v>
      </c>
      <c r="N778" s="20">
        <v>3105</v>
      </c>
      <c r="P778" s="16">
        <f>VLOOKUP(A778,'[3]Price info'!A:H,8,FALSE)</f>
        <v>0.40033000000000002</v>
      </c>
      <c r="Q778" s="17">
        <f t="shared" si="49"/>
        <v>0.93100000000000005</v>
      </c>
      <c r="S778" s="16">
        <f>VLOOKUP(A778,[4]Sales!$E:$G,3,FALSE)</f>
        <v>18.059999999999999</v>
      </c>
      <c r="T778" s="19">
        <f>VLOOKUP(A778,[4]Volume!$E:$G,3,FALSE)</f>
        <v>42</v>
      </c>
      <c r="U778" s="19">
        <f>VLOOKUP(A778,[4]Piece!$E:$G,3,FALSE)</f>
        <v>42</v>
      </c>
      <c r="V778" s="21">
        <f t="shared" si="50"/>
        <v>16.813860000000002</v>
      </c>
      <c r="W778" s="16">
        <f t="shared" si="51"/>
        <v>-1.2461399999999969</v>
      </c>
    </row>
    <row r="779" spans="1:23" hidden="1" x14ac:dyDescent="0.3">
      <c r="A779" s="22" t="s">
        <v>1565</v>
      </c>
      <c r="B779" s="22" t="s">
        <v>1565</v>
      </c>
      <c r="C779" s="23" t="s">
        <v>33</v>
      </c>
      <c r="D779" s="20" t="s">
        <v>34</v>
      </c>
      <c r="E779" s="22" t="s">
        <v>1566</v>
      </c>
      <c r="F779" s="24" t="str">
        <f t="shared" si="48"/>
        <v>PPG - Stormshield JONTEX HI BUILD - Mag- 10ltr</v>
      </c>
      <c r="G779" s="23" t="s">
        <v>5652</v>
      </c>
      <c r="H779" s="25" t="s">
        <v>36</v>
      </c>
      <c r="I779" s="18" t="s">
        <v>37</v>
      </c>
      <c r="J779" s="18" t="s">
        <v>38</v>
      </c>
      <c r="K779" t="s">
        <v>39</v>
      </c>
      <c r="L779" s="26">
        <f>VLOOKUP(A779,'[3]Price info'!A:D,4,FALSE)</f>
        <v>45.33</v>
      </c>
      <c r="M779" s="18" t="s">
        <v>40</v>
      </c>
      <c r="N779" s="20">
        <v>3105</v>
      </c>
      <c r="P779" s="16">
        <f>VLOOKUP(A779,'[3]Price info'!A:H,8,FALSE)</f>
        <v>42.20223</v>
      </c>
      <c r="Q779" s="27">
        <f t="shared" si="49"/>
        <v>0.93100000000000005</v>
      </c>
      <c r="S779" s="16" t="e">
        <f>VLOOKUP(A779,[4]Sales!$E:$G,3,FALSE)</f>
        <v>#N/A</v>
      </c>
      <c r="T779" s="19" t="e">
        <f>VLOOKUP(A779,[4]Volume!$E:$G,3,FALSE)</f>
        <v>#N/A</v>
      </c>
      <c r="U779" s="19" t="e">
        <f>VLOOKUP(A779,[4]Piece!$E:$G,3,FALSE)</f>
        <v>#N/A</v>
      </c>
      <c r="V779" s="21" t="e">
        <f t="shared" si="50"/>
        <v>#N/A</v>
      </c>
      <c r="W779" s="16" t="e">
        <f t="shared" si="51"/>
        <v>#N/A</v>
      </c>
    </row>
    <row r="780" spans="1:23" hidden="1" x14ac:dyDescent="0.3">
      <c r="A780" s="22" t="s">
        <v>1567</v>
      </c>
      <c r="B780" s="22" t="s">
        <v>1567</v>
      </c>
      <c r="C780" s="23" t="s">
        <v>33</v>
      </c>
      <c r="D780" s="20" t="s">
        <v>34</v>
      </c>
      <c r="E780" s="22" t="s">
        <v>1568</v>
      </c>
      <c r="F780" s="24" t="str">
        <f t="shared" si="48"/>
        <v>PPG - Johnstones ADV MULTI SURF PRIMER - BW - 1ltr</v>
      </c>
      <c r="G780" s="23" t="s">
        <v>5653</v>
      </c>
      <c r="H780" s="25" t="s">
        <v>36</v>
      </c>
      <c r="I780" s="18" t="s">
        <v>37</v>
      </c>
      <c r="J780" s="18" t="s">
        <v>38</v>
      </c>
      <c r="K780" t="s">
        <v>39</v>
      </c>
      <c r="L780" s="26">
        <f>VLOOKUP(A780,'[3]Price info'!A:D,4,FALSE)</f>
        <v>15.75</v>
      </c>
      <c r="M780" s="18" t="s">
        <v>40</v>
      </c>
      <c r="N780" s="20">
        <v>3105</v>
      </c>
      <c r="P780" s="16">
        <f>VLOOKUP(A780,'[3]Price info'!A:H,8,FALSE)</f>
        <v>14.663250000000001</v>
      </c>
      <c r="Q780" s="27">
        <f t="shared" si="49"/>
        <v>0.93100000000000005</v>
      </c>
      <c r="S780" s="16">
        <f>VLOOKUP(A780,[4]Sales!$E:$G,3,FALSE)</f>
        <v>46.16</v>
      </c>
      <c r="T780" s="19">
        <f>VLOOKUP(A780,[4]Volume!$E:$G,3,FALSE)</f>
        <v>3</v>
      </c>
      <c r="U780" s="19">
        <f>VLOOKUP(A780,[4]Piece!$E:$G,3,FALSE)</f>
        <v>3</v>
      </c>
      <c r="V780" s="21">
        <f t="shared" si="50"/>
        <v>43.989750000000001</v>
      </c>
      <c r="W780" s="16">
        <f t="shared" si="51"/>
        <v>-2.1702499999999958</v>
      </c>
    </row>
    <row r="781" spans="1:23" hidden="1" x14ac:dyDescent="0.3">
      <c r="A781" s="46" t="s">
        <v>1569</v>
      </c>
      <c r="B781" s="46" t="s">
        <v>1569</v>
      </c>
      <c r="C781" s="47" t="s">
        <v>33</v>
      </c>
      <c r="D781" s="48" t="s">
        <v>34</v>
      </c>
      <c r="E781" s="18" t="s">
        <v>1570</v>
      </c>
      <c r="F781" s="24" t="str">
        <f t="shared" si="48"/>
        <v>PPG - RODO  TAC CLOTHS              (PTR10P)</v>
      </c>
      <c r="G781" s="20" t="s">
        <v>5654</v>
      </c>
      <c r="H781" s="49" t="s">
        <v>213</v>
      </c>
      <c r="I781" s="18" t="s">
        <v>37</v>
      </c>
      <c r="J781" s="18" t="s">
        <v>38</v>
      </c>
      <c r="K781" t="s">
        <v>39</v>
      </c>
      <c r="L781" s="50">
        <f>VLOOKUP(A781,'[3]Price info'!A:D,4,FALSE)</f>
        <v>1.47</v>
      </c>
      <c r="M781" s="18" t="s">
        <v>214</v>
      </c>
      <c r="N781" s="20">
        <v>3105</v>
      </c>
      <c r="P781" s="16">
        <f>VLOOKUP(A781,'[3]Price info'!A:H,8,FALSE)</f>
        <v>1.3685700000000001</v>
      </c>
      <c r="Q781" s="17">
        <f t="shared" si="49"/>
        <v>0.93100000000000005</v>
      </c>
      <c r="S781" s="16">
        <f>VLOOKUP(A781,[4]Sales!$E:$G,3,FALSE)</f>
        <v>14.7</v>
      </c>
      <c r="T781" s="19">
        <f>VLOOKUP(A781,[4]Volume!$E:$G,3,FALSE)</f>
        <v>10</v>
      </c>
      <c r="U781" s="19">
        <f>VLOOKUP(A781,[4]Piece!$E:$G,3,FALSE)</f>
        <v>10</v>
      </c>
      <c r="V781" s="21">
        <f t="shared" si="50"/>
        <v>13.685700000000001</v>
      </c>
      <c r="W781" s="16">
        <f t="shared" si="51"/>
        <v>-1.0142999999999986</v>
      </c>
    </row>
    <row r="782" spans="1:23" hidden="1" x14ac:dyDescent="0.3">
      <c r="A782" s="46" t="s">
        <v>1571</v>
      </c>
      <c r="B782" s="46" t="s">
        <v>1571</v>
      </c>
      <c r="C782" s="51" t="s">
        <v>33</v>
      </c>
      <c r="D782" s="48" t="s">
        <v>34</v>
      </c>
      <c r="E782" s="93" t="s">
        <v>7388</v>
      </c>
      <c r="F782" s="24" t="str">
        <f t="shared" si="48"/>
        <v>PPG - Mirka Hiomant 115mm x 50m P120</v>
      </c>
      <c r="G782" s="20" t="s">
        <v>5655</v>
      </c>
      <c r="H782" s="49" t="s">
        <v>213</v>
      </c>
      <c r="I782" s="18" t="s">
        <v>37</v>
      </c>
      <c r="J782" s="18" t="s">
        <v>38</v>
      </c>
      <c r="K782" t="s">
        <v>39</v>
      </c>
      <c r="L782" s="50">
        <f>VLOOKUP(A782,'[3]Price info'!A:D,4,FALSE)</f>
        <v>47.56</v>
      </c>
      <c r="M782" s="18" t="s">
        <v>214</v>
      </c>
      <c r="N782" s="20">
        <v>3105</v>
      </c>
      <c r="P782" s="16">
        <v>22.58</v>
      </c>
      <c r="Q782" s="17">
        <f t="shared" si="49"/>
        <v>0.47476871320437336</v>
      </c>
      <c r="S782" s="16">
        <f>VLOOKUP(A782,[4]Sales!$E:$G,3,FALSE)</f>
        <v>91.84</v>
      </c>
      <c r="T782" s="19">
        <f>VLOOKUP(A782,[4]Volume!$E:$G,3,FALSE)</f>
        <v>2</v>
      </c>
      <c r="U782" s="19">
        <f>VLOOKUP(A782,[4]Piece!$E:$G,3,FALSE)</f>
        <v>2</v>
      </c>
      <c r="V782" s="21">
        <f t="shared" si="50"/>
        <v>45.16</v>
      </c>
      <c r="W782" s="16">
        <f t="shared" si="51"/>
        <v>-46.680000000000007</v>
      </c>
    </row>
    <row r="783" spans="1:23" hidden="1" x14ac:dyDescent="0.3">
      <c r="A783" s="46" t="s">
        <v>1572</v>
      </c>
      <c r="B783" s="46" t="s">
        <v>1572</v>
      </c>
      <c r="C783" s="47" t="s">
        <v>33</v>
      </c>
      <c r="D783" s="48" t="s">
        <v>34</v>
      </c>
      <c r="E783" s="93" t="s">
        <v>7389</v>
      </c>
      <c r="F783" s="24" t="str">
        <f t="shared" si="48"/>
        <v>PPG - Mirka Abranet 150mm PK10 P120</v>
      </c>
      <c r="G783" s="20" t="s">
        <v>5656</v>
      </c>
      <c r="H783" s="49" t="s">
        <v>213</v>
      </c>
      <c r="I783" s="18" t="s">
        <v>37</v>
      </c>
      <c r="J783" s="18" t="s">
        <v>38</v>
      </c>
      <c r="K783" t="s">
        <v>39</v>
      </c>
      <c r="L783" s="50">
        <f>VLOOKUP(A783,'[3]Price info'!A:D,4,FALSE)</f>
        <v>22.71</v>
      </c>
      <c r="M783" s="18" t="s">
        <v>214</v>
      </c>
      <c r="N783" s="20">
        <v>3105</v>
      </c>
      <c r="P783" s="16">
        <v>13.82</v>
      </c>
      <c r="Q783" s="17">
        <f t="shared" si="49"/>
        <v>0.60854249229414359</v>
      </c>
      <c r="S783" s="16" t="e">
        <f>VLOOKUP(A783,[4]Sales!$E:$G,3,FALSE)</f>
        <v>#N/A</v>
      </c>
      <c r="T783" s="19" t="e">
        <f>VLOOKUP(A783,[4]Volume!$E:$G,3,FALSE)</f>
        <v>#N/A</v>
      </c>
      <c r="U783" s="19" t="e">
        <f>VLOOKUP(A783,[4]Piece!$E:$G,3,FALSE)</f>
        <v>#N/A</v>
      </c>
      <c r="V783" s="21" t="e">
        <f t="shared" si="50"/>
        <v>#N/A</v>
      </c>
      <c r="W783" s="16" t="e">
        <f t="shared" si="51"/>
        <v>#N/A</v>
      </c>
    </row>
    <row r="784" spans="1:23" hidden="1" x14ac:dyDescent="0.3">
      <c r="A784" s="22" t="s">
        <v>1573</v>
      </c>
      <c r="B784" s="22" t="s">
        <v>1573</v>
      </c>
      <c r="C784" s="23" t="s">
        <v>33</v>
      </c>
      <c r="D784" s="20" t="s">
        <v>34</v>
      </c>
      <c r="E784" s="22" t="s">
        <v>1574</v>
      </c>
      <c r="F784" s="24" t="str">
        <f t="shared" si="48"/>
        <v>PPG - Stormshield FLEXIBLE EX U/C - Mix - 1ltr</v>
      </c>
      <c r="G784" s="23" t="s">
        <v>5657</v>
      </c>
      <c r="H784" s="25" t="s">
        <v>36</v>
      </c>
      <c r="I784" s="18" t="s">
        <v>37</v>
      </c>
      <c r="J784" s="18" t="s">
        <v>38</v>
      </c>
      <c r="K784" t="s">
        <v>39</v>
      </c>
      <c r="L784" s="26">
        <f>VLOOKUP(A784,'[3]Price info'!A:D,4,FALSE)</f>
        <v>22.09</v>
      </c>
      <c r="M784" s="18" t="s">
        <v>40</v>
      </c>
      <c r="N784" s="20">
        <v>3105</v>
      </c>
      <c r="P784" s="16">
        <f>VLOOKUP(A784,'[3]Price info'!A:H,8,FALSE)</f>
        <v>8</v>
      </c>
      <c r="Q784" s="27">
        <f t="shared" si="49"/>
        <v>0.36215482118605702</v>
      </c>
      <c r="S784" s="16" t="e">
        <f>VLOOKUP(A784,[4]Sales!$E:$G,3,FALSE)</f>
        <v>#N/A</v>
      </c>
      <c r="T784" s="19" t="e">
        <f>VLOOKUP(A784,[4]Volume!$E:$G,3,FALSE)</f>
        <v>#N/A</v>
      </c>
      <c r="U784" s="19" t="e">
        <f>VLOOKUP(A784,[4]Piece!$E:$G,3,FALSE)</f>
        <v>#N/A</v>
      </c>
      <c r="V784" s="21" t="e">
        <f t="shared" si="50"/>
        <v>#N/A</v>
      </c>
      <c r="W784" s="16" t="e">
        <f t="shared" si="51"/>
        <v>#N/A</v>
      </c>
    </row>
    <row r="785" spans="1:23" hidden="1" x14ac:dyDescent="0.3">
      <c r="A785" s="22" t="s">
        <v>1575</v>
      </c>
      <c r="B785" s="22" t="s">
        <v>1575</v>
      </c>
      <c r="C785" s="23" t="s">
        <v>33</v>
      </c>
      <c r="D785" s="20" t="s">
        <v>34</v>
      </c>
      <c r="E785" s="22" t="s">
        <v>1576</v>
      </c>
      <c r="F785" s="24" t="str">
        <f t="shared" si="48"/>
        <v>PPG - Leyland SMART MULTI-SURFACE - Black - 2.5ltr</v>
      </c>
      <c r="G785" s="23" t="s">
        <v>5658</v>
      </c>
      <c r="H785" s="25" t="s">
        <v>36</v>
      </c>
      <c r="I785" s="18" t="s">
        <v>37</v>
      </c>
      <c r="J785" s="18" t="s">
        <v>38</v>
      </c>
      <c r="K785" t="s">
        <v>39</v>
      </c>
      <c r="L785" s="26">
        <f>VLOOKUP(A785,'[3]Price info'!A:D,4,FALSE)</f>
        <v>24.07</v>
      </c>
      <c r="M785" s="18" t="s">
        <v>40</v>
      </c>
      <c r="N785" s="20">
        <v>3105</v>
      </c>
      <c r="P785" s="16">
        <f>VLOOKUP(A785,'[3]Price info'!A:H,8,FALSE)</f>
        <v>22.409170000000003</v>
      </c>
      <c r="Q785" s="27">
        <f t="shared" si="49"/>
        <v>0.93100000000000016</v>
      </c>
      <c r="S785" s="16" t="e">
        <f>VLOOKUP(A785,[4]Sales!$E:$G,3,FALSE)</f>
        <v>#N/A</v>
      </c>
      <c r="T785" s="19" t="e">
        <f>VLOOKUP(A785,[4]Volume!$E:$G,3,FALSE)</f>
        <v>#N/A</v>
      </c>
      <c r="U785" s="19" t="e">
        <f>VLOOKUP(A785,[4]Piece!$E:$G,3,FALSE)</f>
        <v>#N/A</v>
      </c>
      <c r="V785" s="21" t="e">
        <f t="shared" si="50"/>
        <v>#N/A</v>
      </c>
      <c r="W785" s="16" t="e">
        <f t="shared" si="51"/>
        <v>#N/A</v>
      </c>
    </row>
    <row r="786" spans="1:23" hidden="1" x14ac:dyDescent="0.3">
      <c r="A786" s="22" t="s">
        <v>1577</v>
      </c>
      <c r="B786" s="22" t="s">
        <v>1577</v>
      </c>
      <c r="C786" s="23" t="s">
        <v>33</v>
      </c>
      <c r="D786" s="20" t="s">
        <v>34</v>
      </c>
      <c r="E786" s="22" t="s">
        <v>1578</v>
      </c>
      <c r="F786" s="24" t="str">
        <f t="shared" si="48"/>
        <v>PPG - FatHog BIB&amp;BRACE WHITE 48"-50"</v>
      </c>
      <c r="G786" s="23" t="s">
        <v>5659</v>
      </c>
      <c r="H786" s="25" t="s">
        <v>36</v>
      </c>
      <c r="I786" s="18" t="s">
        <v>37</v>
      </c>
      <c r="J786" s="18" t="s">
        <v>38</v>
      </c>
      <c r="K786" t="s">
        <v>39</v>
      </c>
      <c r="L786" s="26">
        <f>VLOOKUP(A786,'[3]Price info'!A:D,4,FALSE)</f>
        <v>11.56</v>
      </c>
      <c r="M786" s="18" t="s">
        <v>40</v>
      </c>
      <c r="N786" s="20">
        <v>3105</v>
      </c>
      <c r="P786" s="16">
        <f>VLOOKUP(A786,'[3]Price info'!A:H,8,FALSE)</f>
        <v>16.184000000000001</v>
      </c>
      <c r="Q786" s="27">
        <f t="shared" si="49"/>
        <v>1.4000000000000001</v>
      </c>
      <c r="S786" s="16">
        <f>VLOOKUP(A786,[4]Sales!$E:$G,3,FALSE)</f>
        <v>92.65</v>
      </c>
      <c r="T786" s="19">
        <f>VLOOKUP(A786,[4]Volume!$E:$G,3,FALSE)</f>
        <v>7</v>
      </c>
      <c r="U786" s="19">
        <f>VLOOKUP(A786,[4]Piece!$E:$G,3,FALSE)</f>
        <v>7</v>
      </c>
      <c r="V786" s="21">
        <f t="shared" si="50"/>
        <v>113.28800000000001</v>
      </c>
      <c r="W786" s="16">
        <f t="shared" si="51"/>
        <v>20.638000000000005</v>
      </c>
    </row>
    <row r="787" spans="1:23" hidden="1" x14ac:dyDescent="0.3">
      <c r="A787" s="46" t="s">
        <v>1579</v>
      </c>
      <c r="B787" s="46" t="s">
        <v>1579</v>
      </c>
      <c r="C787" s="47" t="s">
        <v>33</v>
      </c>
      <c r="D787" s="48" t="s">
        <v>34</v>
      </c>
      <c r="E787" s="18" t="s">
        <v>1580</v>
      </c>
      <c r="F787" s="24" t="str">
        <f t="shared" si="48"/>
        <v>PPG - JST   MATT W/STAIN TRANS      0000001242</v>
      </c>
      <c r="G787" s="20" t="s">
        <v>5660</v>
      </c>
      <c r="H787" s="49" t="s">
        <v>213</v>
      </c>
      <c r="I787" s="18" t="s">
        <v>37</v>
      </c>
      <c r="J787" s="18" t="s">
        <v>38</v>
      </c>
      <c r="K787" t="s">
        <v>39</v>
      </c>
      <c r="L787" s="50">
        <f>VLOOKUP(A787,'[3]Price info'!A:D,4,FALSE)</f>
        <v>44.47</v>
      </c>
      <c r="M787" s="18" t="s">
        <v>214</v>
      </c>
      <c r="N787" s="20">
        <v>3105</v>
      </c>
      <c r="P787" s="16">
        <f>VLOOKUP(A787,'[3]Price info'!A:H,8,FALSE)</f>
        <v>41.40157</v>
      </c>
      <c r="Q787" s="17">
        <f t="shared" si="49"/>
        <v>0.93100000000000005</v>
      </c>
      <c r="S787" s="16" t="e">
        <f>VLOOKUP(A787,[4]Sales!$E:$G,3,FALSE)</f>
        <v>#N/A</v>
      </c>
      <c r="T787" s="19" t="e">
        <f>VLOOKUP(A787,[4]Volume!$E:$G,3,FALSE)</f>
        <v>#N/A</v>
      </c>
      <c r="U787" s="19" t="e">
        <f>VLOOKUP(A787,[4]Piece!$E:$G,3,FALSE)</f>
        <v>#N/A</v>
      </c>
      <c r="V787" s="21" t="e">
        <f t="shared" si="50"/>
        <v>#N/A</v>
      </c>
      <c r="W787" s="16" t="e">
        <f t="shared" si="51"/>
        <v>#N/A</v>
      </c>
    </row>
    <row r="788" spans="1:23" hidden="1" x14ac:dyDescent="0.3">
      <c r="A788" s="22" t="s">
        <v>1581</v>
      </c>
      <c r="B788" s="22" t="s">
        <v>1581</v>
      </c>
      <c r="C788" s="23" t="s">
        <v>33</v>
      </c>
      <c r="D788" s="20" t="s">
        <v>34</v>
      </c>
      <c r="E788" s="22" t="s">
        <v>1582</v>
      </c>
      <c r="F788" s="24" t="str">
        <f t="shared" si="48"/>
        <v>PPG - Leyland EGGSHELL - Black - 2.5ltr</v>
      </c>
      <c r="G788" s="23" t="s">
        <v>5661</v>
      </c>
      <c r="H788" s="25" t="s">
        <v>36</v>
      </c>
      <c r="I788" s="18" t="s">
        <v>37</v>
      </c>
      <c r="J788" s="18" t="s">
        <v>38</v>
      </c>
      <c r="K788" t="s">
        <v>39</v>
      </c>
      <c r="L788" s="26">
        <f>VLOOKUP(A788,'[3]Price info'!A:D,4,FALSE)</f>
        <v>25.57</v>
      </c>
      <c r="M788" s="18" t="s">
        <v>40</v>
      </c>
      <c r="N788" s="20">
        <v>3105</v>
      </c>
      <c r="P788" s="16">
        <f>VLOOKUP(A788,'[3]Price info'!A:H,8,FALSE)</f>
        <v>14.83</v>
      </c>
      <c r="Q788" s="27">
        <f t="shared" si="49"/>
        <v>0.57997653500195545</v>
      </c>
      <c r="S788" s="16" t="e">
        <f>VLOOKUP(A788,[4]Sales!$E:$G,3,FALSE)</f>
        <v>#N/A</v>
      </c>
      <c r="T788" s="19" t="e">
        <f>VLOOKUP(A788,[4]Volume!$E:$G,3,FALSE)</f>
        <v>#N/A</v>
      </c>
      <c r="U788" s="19" t="e">
        <f>VLOOKUP(A788,[4]Piece!$E:$G,3,FALSE)</f>
        <v>#N/A</v>
      </c>
      <c r="V788" s="21" t="e">
        <f t="shared" si="50"/>
        <v>#N/A</v>
      </c>
      <c r="W788" s="16" t="e">
        <f t="shared" si="51"/>
        <v>#N/A</v>
      </c>
    </row>
    <row r="789" spans="1:23" hidden="1" x14ac:dyDescent="0.3">
      <c r="A789" s="46" t="s">
        <v>1583</v>
      </c>
      <c r="B789" s="46" t="s">
        <v>1583</v>
      </c>
      <c r="C789" s="51" t="s">
        <v>33</v>
      </c>
      <c r="D789" s="48" t="s">
        <v>34</v>
      </c>
      <c r="E789" s="18" t="s">
        <v>1584</v>
      </c>
      <c r="F789" s="24" t="str">
        <f t="shared" si="48"/>
        <v>PPG - BLKRO GRIPPER      GLOVES</v>
      </c>
      <c r="G789" s="20" t="s">
        <v>5662</v>
      </c>
      <c r="H789" s="49" t="s">
        <v>213</v>
      </c>
      <c r="I789" s="18" t="s">
        <v>37</v>
      </c>
      <c r="J789" s="18" t="s">
        <v>38</v>
      </c>
      <c r="K789" t="s">
        <v>39</v>
      </c>
      <c r="L789" s="50">
        <f>VLOOKUP(A789,'[3]Price info'!A:D,4,FALSE)</f>
        <v>2.14</v>
      </c>
      <c r="M789" s="18" t="s">
        <v>214</v>
      </c>
      <c r="N789" s="20">
        <v>3105</v>
      </c>
      <c r="P789" s="16">
        <f>VLOOKUP(A789,'[3]Price info'!A:H,8,FALSE)</f>
        <v>1.9923400000000002</v>
      </c>
      <c r="Q789" s="17">
        <f t="shared" si="49"/>
        <v>0.93100000000000005</v>
      </c>
      <c r="S789" s="16">
        <f>VLOOKUP(A789,[4]Sales!$E:$G,3,FALSE)</f>
        <v>31.38</v>
      </c>
      <c r="T789" s="19">
        <f>VLOOKUP(A789,[4]Volume!$E:$G,3,FALSE)</f>
        <v>15</v>
      </c>
      <c r="U789" s="19">
        <f>VLOOKUP(A789,[4]Piece!$E:$G,3,FALSE)</f>
        <v>15</v>
      </c>
      <c r="V789" s="21">
        <f t="shared" si="50"/>
        <v>29.885100000000005</v>
      </c>
      <c r="W789" s="16">
        <f t="shared" si="51"/>
        <v>-1.4948999999999941</v>
      </c>
    </row>
    <row r="790" spans="1:23" hidden="1" x14ac:dyDescent="0.3">
      <c r="A790" s="22" t="s">
        <v>1585</v>
      </c>
      <c r="B790" s="22" t="s">
        <v>1585</v>
      </c>
      <c r="C790" s="23" t="s">
        <v>33</v>
      </c>
      <c r="D790" s="20" t="s">
        <v>34</v>
      </c>
      <c r="E790" s="22" t="s">
        <v>1586</v>
      </c>
      <c r="F790" s="24" t="str">
        <f t="shared" si="48"/>
        <v>PPG - Mangers WHITE SPIRIT 4LTR</v>
      </c>
      <c r="G790" s="23" t="s">
        <v>5663</v>
      </c>
      <c r="H790" s="25" t="s">
        <v>36</v>
      </c>
      <c r="I790" s="18" t="s">
        <v>37</v>
      </c>
      <c r="J790" s="18" t="s">
        <v>38</v>
      </c>
      <c r="K790" t="s">
        <v>39</v>
      </c>
      <c r="L790" s="26">
        <f>VLOOKUP(A790,'[3]Price info'!A:D,4,FALSE)</f>
        <v>5.67</v>
      </c>
      <c r="M790" s="18" t="s">
        <v>40</v>
      </c>
      <c r="N790" s="20">
        <v>3105</v>
      </c>
      <c r="P790" s="16">
        <f>VLOOKUP(A790,'[3]Price info'!A:H,8,FALSE)</f>
        <v>6.2370000000000001</v>
      </c>
      <c r="Q790" s="27">
        <f t="shared" si="49"/>
        <v>1.1000000000000001</v>
      </c>
      <c r="S790" s="16">
        <f>VLOOKUP(A790,[4]Sales!$E:$G,3,FALSE)</f>
        <v>6.24</v>
      </c>
      <c r="T790" s="19">
        <f>VLOOKUP(A790,[4]Volume!$E:$G,3,FALSE)</f>
        <v>4</v>
      </c>
      <c r="U790" s="19">
        <f>VLOOKUP(A790,[4]Piece!$E:$G,3,FALSE)</f>
        <v>1</v>
      </c>
      <c r="V790" s="21">
        <f t="shared" si="50"/>
        <v>6.2370000000000001</v>
      </c>
      <c r="W790" s="16">
        <f t="shared" si="51"/>
        <v>-3.0000000000001137E-3</v>
      </c>
    </row>
    <row r="791" spans="1:23" hidden="1" x14ac:dyDescent="0.3">
      <c r="A791" s="22" t="s">
        <v>1587</v>
      </c>
      <c r="B791" s="22" t="s">
        <v>1587</v>
      </c>
      <c r="C791" s="23" t="s">
        <v>33</v>
      </c>
      <c r="D791" s="20" t="s">
        <v>34</v>
      </c>
      <c r="E791" s="22" t="s">
        <v>1588</v>
      </c>
      <c r="F791" s="24" t="str">
        <f t="shared" si="48"/>
        <v>PPG - Leyland VINYL MATT - Mix - 1ltr</v>
      </c>
      <c r="G791" s="23" t="s">
        <v>5664</v>
      </c>
      <c r="H791" s="25" t="s">
        <v>36</v>
      </c>
      <c r="I791" s="18" t="s">
        <v>37</v>
      </c>
      <c r="J791" s="18" t="s">
        <v>38</v>
      </c>
      <c r="K791" t="s">
        <v>39</v>
      </c>
      <c r="L791" s="26">
        <f>VLOOKUP(A791,'[3]Price info'!A:D,4,FALSE)</f>
        <v>6.71</v>
      </c>
      <c r="M791" s="18" t="s">
        <v>40</v>
      </c>
      <c r="N791" s="20">
        <v>3105</v>
      </c>
      <c r="P791" s="16">
        <f>VLOOKUP(A791,'[3]Price info'!A:H,8,FALSE)</f>
        <v>4.4400000000000004</v>
      </c>
      <c r="Q791" s="27">
        <f t="shared" si="49"/>
        <v>0.66169895678092405</v>
      </c>
      <c r="S791" s="16">
        <f>VLOOKUP(A791,[4]Sales!$E:$G,3,FALSE)</f>
        <v>17.760000000000002</v>
      </c>
      <c r="T791" s="19">
        <f>VLOOKUP(A791,[4]Volume!$E:$G,3,FALSE)</f>
        <v>4</v>
      </c>
      <c r="U791" s="19">
        <f>VLOOKUP(A791,[4]Piece!$E:$G,3,FALSE)</f>
        <v>4</v>
      </c>
      <c r="V791" s="21">
        <f t="shared" si="50"/>
        <v>17.760000000000002</v>
      </c>
      <c r="W791" s="16">
        <f t="shared" si="51"/>
        <v>0</v>
      </c>
    </row>
    <row r="792" spans="1:23" hidden="1" x14ac:dyDescent="0.3">
      <c r="A792" s="22" t="s">
        <v>1589</v>
      </c>
      <c r="B792" s="22" t="s">
        <v>1589</v>
      </c>
      <c r="C792" s="23" t="s">
        <v>33</v>
      </c>
      <c r="D792" s="20" t="s">
        <v>34</v>
      </c>
      <c r="E792" s="22" t="s">
        <v>1590</v>
      </c>
      <c r="F792" s="24" t="str">
        <f t="shared" si="48"/>
        <v>PPG - Leyland FAST DRYING WB SATIN - BW- 2.5ltr</v>
      </c>
      <c r="G792" s="23" t="s">
        <v>5665</v>
      </c>
      <c r="H792" s="25" t="s">
        <v>36</v>
      </c>
      <c r="I792" s="18" t="s">
        <v>37</v>
      </c>
      <c r="J792" s="18" t="s">
        <v>38</v>
      </c>
      <c r="K792" t="s">
        <v>39</v>
      </c>
      <c r="L792" s="26">
        <f>VLOOKUP(A792,'[3]Price info'!A:D,4,FALSE)</f>
        <v>23.55</v>
      </c>
      <c r="M792" s="18" t="s">
        <v>40</v>
      </c>
      <c r="N792" s="20">
        <v>3105</v>
      </c>
      <c r="P792" s="16">
        <f>VLOOKUP(A792,'[3]Price info'!A:H,8,FALSE)</f>
        <v>21.925050000000002</v>
      </c>
      <c r="Q792" s="27">
        <f t="shared" si="49"/>
        <v>0.93100000000000005</v>
      </c>
      <c r="S792" s="16">
        <f>VLOOKUP(A792,[4]Sales!$E:$G,3,FALSE)</f>
        <v>17.739999999999998</v>
      </c>
      <c r="T792" s="19">
        <f>VLOOKUP(A792,[4]Volume!$E:$G,3,FALSE)</f>
        <v>2.5</v>
      </c>
      <c r="U792" s="19">
        <f>VLOOKUP(A792,[4]Piece!$E:$G,3,FALSE)</f>
        <v>1</v>
      </c>
      <c r="V792" s="21">
        <f t="shared" si="50"/>
        <v>21.925050000000002</v>
      </c>
      <c r="W792" s="16">
        <f t="shared" si="51"/>
        <v>4.1850500000000039</v>
      </c>
    </row>
    <row r="793" spans="1:23" hidden="1" x14ac:dyDescent="0.3">
      <c r="A793" s="46" t="s">
        <v>1591</v>
      </c>
      <c r="B793" s="46" t="s">
        <v>1591</v>
      </c>
      <c r="C793" s="47" t="s">
        <v>33</v>
      </c>
      <c r="D793" s="48" t="s">
        <v>34</v>
      </c>
      <c r="E793" s="93" t="s">
        <v>7390</v>
      </c>
      <c r="F793" s="24" t="str">
        <f t="shared" si="48"/>
        <v>PPG - Mirka Fleece Dustbags for 1230 Extractor PK5</v>
      </c>
      <c r="G793" s="20" t="s">
        <v>5666</v>
      </c>
      <c r="H793" s="49" t="s">
        <v>213</v>
      </c>
      <c r="I793" s="18" t="s">
        <v>37</v>
      </c>
      <c r="J793" s="18" t="s">
        <v>38</v>
      </c>
      <c r="K793" t="s">
        <v>39</v>
      </c>
      <c r="L793" s="50">
        <f>VLOOKUP(A793,'[3]Price info'!A:D,4,FALSE)</f>
        <v>50.54</v>
      </c>
      <c r="M793" s="18" t="s">
        <v>214</v>
      </c>
      <c r="N793" s="20">
        <v>3105</v>
      </c>
      <c r="P793" s="16">
        <v>41.23</v>
      </c>
      <c r="Q793" s="17">
        <f t="shared" si="49"/>
        <v>0.81578947368421051</v>
      </c>
      <c r="S793" s="16">
        <f>VLOOKUP(A793,[4]Sales!$E:$G,3,FALSE)</f>
        <v>99.16</v>
      </c>
      <c r="T793" s="19">
        <f>VLOOKUP(A793,[4]Volume!$E:$G,3,FALSE)</f>
        <v>0</v>
      </c>
      <c r="U793" s="19">
        <f>VLOOKUP(A793,[4]Piece!$E:$G,3,FALSE)</f>
        <v>2</v>
      </c>
      <c r="V793" s="21">
        <f t="shared" si="50"/>
        <v>82.46</v>
      </c>
      <c r="W793" s="16">
        <f t="shared" si="51"/>
        <v>-16.700000000000003</v>
      </c>
    </row>
    <row r="794" spans="1:23" hidden="1" x14ac:dyDescent="0.3">
      <c r="A794" s="22" t="s">
        <v>1592</v>
      </c>
      <c r="B794" s="22" t="s">
        <v>1592</v>
      </c>
      <c r="C794" s="23" t="s">
        <v>33</v>
      </c>
      <c r="D794" s="20" t="s">
        <v>34</v>
      </c>
      <c r="E794" s="22" t="s">
        <v>1593</v>
      </c>
      <c r="F794" s="24" t="str">
        <f t="shared" si="48"/>
        <v>PPG - Johnstones QD Woodstain - Ebony - 2.5l</v>
      </c>
      <c r="G794" s="23" t="s">
        <v>5667</v>
      </c>
      <c r="H794" s="25" t="s">
        <v>36</v>
      </c>
      <c r="I794" s="18" t="s">
        <v>37</v>
      </c>
      <c r="J794" s="18" t="s">
        <v>38</v>
      </c>
      <c r="K794" t="s">
        <v>39</v>
      </c>
      <c r="L794" s="26">
        <f>VLOOKUP(A794,'[3]Price info'!A:D,4,FALSE)</f>
        <v>23.03</v>
      </c>
      <c r="M794" s="18" t="s">
        <v>40</v>
      </c>
      <c r="N794" s="20">
        <v>3105</v>
      </c>
      <c r="P794" s="16">
        <f>VLOOKUP(A794,'[3]Price info'!A:H,8,FALSE)</f>
        <v>21.440930000000002</v>
      </c>
      <c r="Q794" s="27">
        <f t="shared" si="49"/>
        <v>0.93100000000000005</v>
      </c>
      <c r="S794" s="16" t="e">
        <f>VLOOKUP(A794,[4]Sales!$E:$G,3,FALSE)</f>
        <v>#N/A</v>
      </c>
      <c r="T794" s="19" t="e">
        <f>VLOOKUP(A794,[4]Volume!$E:$G,3,FALSE)</f>
        <v>#N/A</v>
      </c>
      <c r="U794" s="19" t="e">
        <f>VLOOKUP(A794,[4]Piece!$E:$G,3,FALSE)</f>
        <v>#N/A</v>
      </c>
      <c r="V794" s="21" t="e">
        <f t="shared" si="50"/>
        <v>#N/A</v>
      </c>
      <c r="W794" s="16" t="e">
        <f t="shared" si="51"/>
        <v>#N/A</v>
      </c>
    </row>
    <row r="795" spans="1:23" hidden="1" x14ac:dyDescent="0.3">
      <c r="A795" s="46" t="s">
        <v>1594</v>
      </c>
      <c r="B795" s="46" t="s">
        <v>1594</v>
      </c>
      <c r="C795" s="47" t="s">
        <v>33</v>
      </c>
      <c r="D795" s="48" t="s">
        <v>34</v>
      </c>
      <c r="E795" s="93" t="s">
        <v>7391</v>
      </c>
      <c r="F795" s="24" t="str">
        <f t="shared" si="48"/>
        <v>PPG - Mirka Abranet 225mm PK25 P80</v>
      </c>
      <c r="G795" s="20" t="s">
        <v>5668</v>
      </c>
      <c r="H795" s="49" t="s">
        <v>213</v>
      </c>
      <c r="I795" s="18" t="s">
        <v>37</v>
      </c>
      <c r="J795" s="18" t="s">
        <v>38</v>
      </c>
      <c r="K795" t="s">
        <v>39</v>
      </c>
      <c r="L795" s="50">
        <f>VLOOKUP(A795,'[3]Price info'!A:D,4,FALSE)</f>
        <v>60.2</v>
      </c>
      <c r="M795" s="18" t="s">
        <v>214</v>
      </c>
      <c r="N795" s="20">
        <v>3105</v>
      </c>
      <c r="P795" s="16">
        <v>40.049999999999997</v>
      </c>
      <c r="Q795" s="17">
        <f t="shared" si="49"/>
        <v>0.66528239202657802</v>
      </c>
      <c r="S795" s="16" t="e">
        <f>VLOOKUP(A795,[4]Sales!$E:$G,3,FALSE)</f>
        <v>#N/A</v>
      </c>
      <c r="T795" s="19" t="e">
        <f>VLOOKUP(A795,[4]Volume!$E:$G,3,FALSE)</f>
        <v>#N/A</v>
      </c>
      <c r="U795" s="19" t="e">
        <f>VLOOKUP(A795,[4]Piece!$E:$G,3,FALSE)</f>
        <v>#N/A</v>
      </c>
      <c r="V795" s="21" t="e">
        <f t="shared" si="50"/>
        <v>#N/A</v>
      </c>
      <c r="W795" s="16" t="e">
        <f t="shared" si="51"/>
        <v>#N/A</v>
      </c>
    </row>
    <row r="796" spans="1:23" hidden="1" x14ac:dyDescent="0.3">
      <c r="A796" s="46" t="s">
        <v>1595</v>
      </c>
      <c r="B796" s="46" t="s">
        <v>1595</v>
      </c>
      <c r="C796" s="51" t="s">
        <v>33</v>
      </c>
      <c r="D796" s="48" t="s">
        <v>34</v>
      </c>
      <c r="E796" s="18" t="s">
        <v>1596</v>
      </c>
      <c r="F796" s="24" t="str">
        <f t="shared" si="48"/>
        <v>PPG - JST   Q/DRY OPAQUE Z          0000001231</v>
      </c>
      <c r="G796" s="20" t="s">
        <v>5669</v>
      </c>
      <c r="H796" s="49" t="s">
        <v>213</v>
      </c>
      <c r="I796" s="18" t="s">
        <v>37</v>
      </c>
      <c r="J796" s="18" t="s">
        <v>38</v>
      </c>
      <c r="K796" t="s">
        <v>39</v>
      </c>
      <c r="L796" s="50">
        <f>VLOOKUP(A796,'[3]Price info'!A:D,4,FALSE)</f>
        <v>42.52</v>
      </c>
      <c r="M796" s="18" t="s">
        <v>214</v>
      </c>
      <c r="N796" s="20">
        <v>3105</v>
      </c>
      <c r="P796" s="16">
        <f>VLOOKUP(A796,'[3]Price info'!A:H,8,FALSE)</f>
        <v>39.586120000000008</v>
      </c>
      <c r="Q796" s="17">
        <f t="shared" si="49"/>
        <v>0.93100000000000016</v>
      </c>
      <c r="S796" s="16">
        <f>VLOOKUP(A796,[4]Sales!$E:$G,3,FALSE)</f>
        <v>42.52</v>
      </c>
      <c r="T796" s="19">
        <f>VLOOKUP(A796,[4]Volume!$E:$G,3,FALSE)</f>
        <v>2.31</v>
      </c>
      <c r="U796" s="19">
        <f>VLOOKUP(A796,[4]Piece!$E:$G,3,FALSE)</f>
        <v>1</v>
      </c>
      <c r="V796" s="21">
        <f t="shared" si="50"/>
        <v>39.586120000000008</v>
      </c>
      <c r="W796" s="16">
        <f t="shared" si="51"/>
        <v>-2.9338799999999949</v>
      </c>
    </row>
    <row r="797" spans="1:23" hidden="1" x14ac:dyDescent="0.3">
      <c r="A797" s="22" t="s">
        <v>1597</v>
      </c>
      <c r="B797" s="22" t="s">
        <v>1597</v>
      </c>
      <c r="C797" s="23" t="s">
        <v>33</v>
      </c>
      <c r="D797" s="20" t="s">
        <v>34</v>
      </c>
      <c r="E797" s="22" t="s">
        <v>1598</v>
      </c>
      <c r="F797" s="24" t="str">
        <f t="shared" si="48"/>
        <v>PPG - Leyland ACRYLIC EGGSHELL   - Mag - 2.5ltr</v>
      </c>
      <c r="G797" s="23" t="s">
        <v>5670</v>
      </c>
      <c r="H797" s="25" t="s">
        <v>36</v>
      </c>
      <c r="I797" s="18" t="s">
        <v>37</v>
      </c>
      <c r="J797" s="18" t="s">
        <v>38</v>
      </c>
      <c r="K797" t="s">
        <v>39</v>
      </c>
      <c r="L797" s="26">
        <f>VLOOKUP(A797,'[3]Price info'!A:D,4,FALSE)</f>
        <v>21.84</v>
      </c>
      <c r="M797" s="18" t="s">
        <v>40</v>
      </c>
      <c r="N797" s="20">
        <v>3105</v>
      </c>
      <c r="P797" s="16">
        <f>VLOOKUP(A797,'[3]Price info'!A:H,8,FALSE)</f>
        <v>9.39</v>
      </c>
      <c r="Q797" s="27">
        <f t="shared" si="49"/>
        <v>0.42994505494505497</v>
      </c>
      <c r="S797" s="16">
        <f>VLOOKUP(A797,[4]Sales!$E:$G,3,FALSE)</f>
        <v>9.39</v>
      </c>
      <c r="T797" s="19">
        <f>VLOOKUP(A797,[4]Volume!$E:$G,3,FALSE)</f>
        <v>2.5</v>
      </c>
      <c r="U797" s="19">
        <f>VLOOKUP(A797,[4]Piece!$E:$G,3,FALSE)</f>
        <v>1</v>
      </c>
      <c r="V797" s="21">
        <f t="shared" si="50"/>
        <v>9.39</v>
      </c>
      <c r="W797" s="16">
        <f t="shared" si="51"/>
        <v>0</v>
      </c>
    </row>
    <row r="798" spans="1:23" hidden="1" x14ac:dyDescent="0.3">
      <c r="A798" s="46" t="s">
        <v>1599</v>
      </c>
      <c r="B798" s="46" t="s">
        <v>1599</v>
      </c>
      <c r="C798" s="47" t="s">
        <v>33</v>
      </c>
      <c r="D798" s="48" t="s">
        <v>34</v>
      </c>
      <c r="E798" s="18" t="s">
        <v>1600</v>
      </c>
      <c r="F798" s="24" t="str">
        <f t="shared" si="48"/>
        <v>PPG - UB    SAINDING PAD FINE       PACK 250</v>
      </c>
      <c r="G798" s="20" t="s">
        <v>5671</v>
      </c>
      <c r="H798" s="49" t="s">
        <v>213</v>
      </c>
      <c r="I798" s="18" t="s">
        <v>37</v>
      </c>
      <c r="J798" s="18" t="s">
        <v>38</v>
      </c>
      <c r="K798" t="s">
        <v>39</v>
      </c>
      <c r="L798" s="50">
        <f>VLOOKUP(A798,'[3]Price info'!A:D,4,FALSE)</f>
        <v>0.75</v>
      </c>
      <c r="M798" s="18" t="s">
        <v>214</v>
      </c>
      <c r="N798" s="20">
        <v>3105</v>
      </c>
      <c r="P798" s="16">
        <f>VLOOKUP(A798,'[3]Price info'!A:H,8,FALSE)</f>
        <v>0.53</v>
      </c>
      <c r="Q798" s="17">
        <f t="shared" si="49"/>
        <v>0.70666666666666667</v>
      </c>
      <c r="S798" s="16">
        <f>VLOOKUP(A798,[4]Sales!$E:$G,3,FALSE)</f>
        <v>7.5</v>
      </c>
      <c r="T798" s="19">
        <f>VLOOKUP(A798,[4]Volume!$E:$G,3,FALSE)</f>
        <v>10</v>
      </c>
      <c r="U798" s="19">
        <f>VLOOKUP(A798,[4]Piece!$E:$G,3,FALSE)</f>
        <v>10</v>
      </c>
      <c r="V798" s="21">
        <f t="shared" si="50"/>
        <v>5.3000000000000007</v>
      </c>
      <c r="W798" s="16">
        <f t="shared" si="51"/>
        <v>-2.1999999999999993</v>
      </c>
    </row>
    <row r="799" spans="1:23" hidden="1" x14ac:dyDescent="0.3">
      <c r="A799" s="46" t="s">
        <v>1601</v>
      </c>
      <c r="B799" s="46" t="s">
        <v>1601</v>
      </c>
      <c r="C799" s="47" t="s">
        <v>33</v>
      </c>
      <c r="D799" s="48" t="s">
        <v>34</v>
      </c>
      <c r="E799" s="93" t="s">
        <v>7392</v>
      </c>
      <c r="F799" s="24" t="str">
        <f t="shared" si="48"/>
        <v>PPG - Mirka Caratflex 115mm x 5m P180</v>
      </c>
      <c r="G799" s="20" t="s">
        <v>5672</v>
      </c>
      <c r="H799" s="49" t="s">
        <v>213</v>
      </c>
      <c r="I799" s="18" t="s">
        <v>37</v>
      </c>
      <c r="J799" s="18" t="s">
        <v>38</v>
      </c>
      <c r="K799" t="s">
        <v>39</v>
      </c>
      <c r="L799" s="50">
        <f>VLOOKUP(A799,'[3]Price info'!A:D,4,FALSE)</f>
        <v>11.07</v>
      </c>
      <c r="M799" s="18" t="s">
        <v>214</v>
      </c>
      <c r="N799" s="20">
        <v>3105</v>
      </c>
      <c r="P799" s="16">
        <v>3.4</v>
      </c>
      <c r="Q799" s="17">
        <f t="shared" si="49"/>
        <v>0.30713640469738029</v>
      </c>
      <c r="S799" s="16">
        <f>VLOOKUP(A799,[4]Sales!$E:$G,3,FALSE)</f>
        <v>33.840000000000003</v>
      </c>
      <c r="T799" s="19">
        <f>VLOOKUP(A799,[4]Volume!$E:$G,3,FALSE)</f>
        <v>3</v>
      </c>
      <c r="U799" s="19">
        <f>VLOOKUP(A799,[4]Piece!$E:$G,3,FALSE)</f>
        <v>3</v>
      </c>
      <c r="V799" s="21">
        <f t="shared" si="50"/>
        <v>10.199999999999999</v>
      </c>
      <c r="W799" s="16">
        <f t="shared" si="51"/>
        <v>-23.640000000000004</v>
      </c>
    </row>
    <row r="800" spans="1:23" hidden="1" x14ac:dyDescent="0.3">
      <c r="A800" s="46" t="s">
        <v>1602</v>
      </c>
      <c r="B800" s="46" t="s">
        <v>1602</v>
      </c>
      <c r="C800" s="51" t="s">
        <v>33</v>
      </c>
      <c r="D800" s="48" t="s">
        <v>34</v>
      </c>
      <c r="E800" s="18" t="s">
        <v>1603</v>
      </c>
      <c r="F800" s="24" t="str">
        <f t="shared" si="48"/>
        <v>PPG - EASYL LINING PAPER 1400 SINGL</v>
      </c>
      <c r="G800" s="20" t="s">
        <v>5673</v>
      </c>
      <c r="H800" s="49" t="s">
        <v>213</v>
      </c>
      <c r="I800" s="18" t="s">
        <v>37</v>
      </c>
      <c r="J800" s="18" t="s">
        <v>38</v>
      </c>
      <c r="K800" t="s">
        <v>39</v>
      </c>
      <c r="L800" s="50">
        <f>VLOOKUP(A800,'[3]Price info'!A:D,4,FALSE)</f>
        <v>2.02</v>
      </c>
      <c r="M800" s="18" t="s">
        <v>214</v>
      </c>
      <c r="N800" s="20">
        <v>3105</v>
      </c>
      <c r="P800" s="16">
        <f>VLOOKUP(A800,'[3]Price info'!A:H,8,FALSE)</f>
        <v>2.02</v>
      </c>
      <c r="Q800" s="17">
        <f t="shared" si="49"/>
        <v>1</v>
      </c>
      <c r="S800" s="16" t="e">
        <f>VLOOKUP(A800,[4]Sales!$E:$G,3,FALSE)</f>
        <v>#N/A</v>
      </c>
      <c r="T800" s="19" t="e">
        <f>VLOOKUP(A800,[4]Volume!$E:$G,3,FALSE)</f>
        <v>#N/A</v>
      </c>
      <c r="U800" s="19" t="e">
        <f>VLOOKUP(A800,[4]Piece!$E:$G,3,FALSE)</f>
        <v>#N/A</v>
      </c>
      <c r="V800" s="21" t="e">
        <f t="shared" si="50"/>
        <v>#N/A</v>
      </c>
      <c r="W800" s="16" t="e">
        <f t="shared" si="51"/>
        <v>#N/A</v>
      </c>
    </row>
    <row r="801" spans="1:23" hidden="1" x14ac:dyDescent="0.3">
      <c r="A801" s="22" t="s">
        <v>1604</v>
      </c>
      <c r="B801" s="22" t="s">
        <v>1604</v>
      </c>
      <c r="C801" s="23" t="s">
        <v>33</v>
      </c>
      <c r="D801" s="20" t="s">
        <v>34</v>
      </c>
      <c r="E801" s="22" t="s">
        <v>1605</v>
      </c>
      <c r="F801" s="24" t="str">
        <f t="shared" si="48"/>
        <v>PPG - Leyland FLOOR PAINT - Nimbus Grey - 5ltr</v>
      </c>
      <c r="G801" s="23" t="s">
        <v>5674</v>
      </c>
      <c r="H801" s="25" t="s">
        <v>36</v>
      </c>
      <c r="I801" s="18" t="s">
        <v>37</v>
      </c>
      <c r="J801" s="18" t="s">
        <v>38</v>
      </c>
      <c r="K801" t="s">
        <v>39</v>
      </c>
      <c r="L801" s="26">
        <f>VLOOKUP(A801,'[3]Price info'!A:D,4,FALSE)</f>
        <v>20.74</v>
      </c>
      <c r="M801" s="18" t="s">
        <v>40</v>
      </c>
      <c r="N801" s="20">
        <v>3105</v>
      </c>
      <c r="P801" s="16">
        <f>VLOOKUP(A801,'[3]Price info'!A:H,8,FALSE)</f>
        <v>19.30894</v>
      </c>
      <c r="Q801" s="27">
        <f t="shared" si="49"/>
        <v>0.93100000000000005</v>
      </c>
      <c r="S801" s="16">
        <f>VLOOKUP(A801,[4]Sales!$E:$G,3,FALSE)</f>
        <v>0</v>
      </c>
      <c r="T801" s="19">
        <f>VLOOKUP(A801,[4]Volume!$E:$G,3,FALSE)</f>
        <v>0</v>
      </c>
      <c r="U801" s="19">
        <f>VLOOKUP(A801,[4]Piece!$E:$G,3,FALSE)</f>
        <v>0</v>
      </c>
      <c r="V801" s="21">
        <f t="shared" si="50"/>
        <v>0</v>
      </c>
      <c r="W801" s="16">
        <f t="shared" si="51"/>
        <v>0</v>
      </c>
    </row>
    <row r="802" spans="1:23" hidden="1" x14ac:dyDescent="0.3">
      <c r="A802" s="22" t="s">
        <v>1606</v>
      </c>
      <c r="B802" s="22" t="s">
        <v>1606</v>
      </c>
      <c r="C802" s="23" t="s">
        <v>33</v>
      </c>
      <c r="D802" s="20" t="s">
        <v>34</v>
      </c>
      <c r="E802" s="22" t="s">
        <v>1607</v>
      </c>
      <c r="F802" s="24" t="str">
        <f t="shared" si="48"/>
        <v>PPG - Johnstones PRO UNDERCOAT - BW - 1ltr</v>
      </c>
      <c r="G802" s="23" t="s">
        <v>5675</v>
      </c>
      <c r="H802" s="25" t="s">
        <v>36</v>
      </c>
      <c r="I802" s="18" t="s">
        <v>37</v>
      </c>
      <c r="J802" s="18" t="s">
        <v>38</v>
      </c>
      <c r="K802" t="s">
        <v>39</v>
      </c>
      <c r="L802" s="26">
        <f>VLOOKUP(A802,'[3]Price info'!A:D,4,FALSE)</f>
        <v>7.04</v>
      </c>
      <c r="M802" s="18" t="s">
        <v>40</v>
      </c>
      <c r="N802" s="20">
        <v>3105</v>
      </c>
      <c r="P802" s="16">
        <f>VLOOKUP(A802,'[3]Price info'!A:H,8,FALSE)</f>
        <v>6.5542400000000001</v>
      </c>
      <c r="Q802" s="27">
        <f t="shared" si="49"/>
        <v>0.93100000000000005</v>
      </c>
      <c r="S802" s="16">
        <f>VLOOKUP(A802,[4]Sales!$E:$G,3,FALSE)</f>
        <v>180.27</v>
      </c>
      <c r="T802" s="19">
        <f>VLOOKUP(A802,[4]Volume!$E:$G,3,FALSE)</f>
        <v>27</v>
      </c>
      <c r="U802" s="19">
        <f>VLOOKUP(A802,[4]Piece!$E:$G,3,FALSE)</f>
        <v>27</v>
      </c>
      <c r="V802" s="21">
        <f t="shared" si="50"/>
        <v>176.96448000000001</v>
      </c>
      <c r="W802" s="16">
        <f t="shared" si="51"/>
        <v>-3.3055200000000013</v>
      </c>
    </row>
    <row r="803" spans="1:23" hidden="1" x14ac:dyDescent="0.3">
      <c r="A803" s="22" t="s">
        <v>1608</v>
      </c>
      <c r="B803" s="22" t="s">
        <v>1608</v>
      </c>
      <c r="C803" s="23" t="s">
        <v>33</v>
      </c>
      <c r="D803" s="20" t="s">
        <v>34</v>
      </c>
      <c r="E803" s="22" t="s">
        <v>1609</v>
      </c>
      <c r="F803" s="24" t="str">
        <f t="shared" si="48"/>
        <v>PPG - Johnstones QD FLOOR VARN - Clr Gloss - 750ml</v>
      </c>
      <c r="G803" s="23" t="s">
        <v>5676</v>
      </c>
      <c r="H803" s="25" t="s">
        <v>36</v>
      </c>
      <c r="I803" s="18" t="s">
        <v>37</v>
      </c>
      <c r="J803" s="18" t="s">
        <v>38</v>
      </c>
      <c r="K803" t="s">
        <v>39</v>
      </c>
      <c r="L803" s="26">
        <f>VLOOKUP(A803,'[3]Price info'!A:D,4,FALSE)</f>
        <v>6.2</v>
      </c>
      <c r="M803" s="18" t="s">
        <v>40</v>
      </c>
      <c r="N803" s="20">
        <v>3105</v>
      </c>
      <c r="P803" s="16">
        <f>VLOOKUP(A803,'[3]Price info'!A:H,8,FALSE)</f>
        <v>5.7722000000000007</v>
      </c>
      <c r="Q803" s="27">
        <f t="shared" si="49"/>
        <v>0.93100000000000005</v>
      </c>
      <c r="S803" s="16">
        <f>VLOOKUP(A803,[4]Sales!$E:$G,3,FALSE)</f>
        <v>23.509999999999998</v>
      </c>
      <c r="T803" s="19">
        <f>VLOOKUP(A803,[4]Volume!$E:$G,3,FALSE)</f>
        <v>3</v>
      </c>
      <c r="U803" s="19">
        <f>VLOOKUP(A803,[4]Piece!$E:$G,3,FALSE)</f>
        <v>4</v>
      </c>
      <c r="V803" s="21">
        <f t="shared" si="50"/>
        <v>23.088800000000003</v>
      </c>
      <c r="W803" s="16">
        <f t="shared" si="51"/>
        <v>-0.42119999999999536</v>
      </c>
    </row>
    <row r="804" spans="1:23" hidden="1" x14ac:dyDescent="0.3">
      <c r="A804" s="46" t="s">
        <v>1610</v>
      </c>
      <c r="B804" s="46" t="s">
        <v>1610</v>
      </c>
      <c r="C804" s="47" t="s">
        <v>33</v>
      </c>
      <c r="D804" s="48" t="s">
        <v>34</v>
      </c>
      <c r="E804" s="18" t="s">
        <v>1611</v>
      </c>
      <c r="F804" s="24" t="str">
        <f t="shared" si="48"/>
        <v>PPG - RODO  6" H/D SCRAP BLADES (5) FOR LHWS6</v>
      </c>
      <c r="G804" s="20" t="s">
        <v>5677</v>
      </c>
      <c r="H804" s="49" t="s">
        <v>213</v>
      </c>
      <c r="I804" s="18" t="s">
        <v>37</v>
      </c>
      <c r="J804" s="18" t="s">
        <v>38</v>
      </c>
      <c r="K804" t="s">
        <v>39</v>
      </c>
      <c r="L804" s="50">
        <f>VLOOKUP(A804,'[3]Price info'!A:D,4,FALSE)</f>
        <v>3.63</v>
      </c>
      <c r="M804" s="18" t="s">
        <v>214</v>
      </c>
      <c r="N804" s="20">
        <v>3105</v>
      </c>
      <c r="P804" s="16">
        <f>VLOOKUP(A804,'[3]Price info'!A:H,8,FALSE)</f>
        <v>3.3795299999999999</v>
      </c>
      <c r="Q804" s="17">
        <f t="shared" si="49"/>
        <v>0.93100000000000005</v>
      </c>
      <c r="S804" s="16" t="e">
        <f>VLOOKUP(A804,[4]Sales!$E:$G,3,FALSE)</f>
        <v>#N/A</v>
      </c>
      <c r="T804" s="19" t="e">
        <f>VLOOKUP(A804,[4]Volume!$E:$G,3,FALSE)</f>
        <v>#N/A</v>
      </c>
      <c r="U804" s="19" t="e">
        <f>VLOOKUP(A804,[4]Piece!$E:$G,3,FALSE)</f>
        <v>#N/A</v>
      </c>
      <c r="V804" s="21" t="e">
        <f t="shared" si="50"/>
        <v>#N/A</v>
      </c>
      <c r="W804" s="16" t="e">
        <f t="shared" si="51"/>
        <v>#N/A</v>
      </c>
    </row>
    <row r="805" spans="1:23" hidden="1" x14ac:dyDescent="0.3">
      <c r="A805" s="22" t="s">
        <v>1612</v>
      </c>
      <c r="B805" s="22" t="s">
        <v>1612</v>
      </c>
      <c r="C805" s="23" t="s">
        <v>33</v>
      </c>
      <c r="D805" s="20" t="s">
        <v>34</v>
      </c>
      <c r="E805" s="22" t="s">
        <v>1613</v>
      </c>
      <c r="F805" s="24" t="str">
        <f t="shared" si="48"/>
        <v>PPG - Leyland SUPERLEYTEX - Magnolia - 15ltr</v>
      </c>
      <c r="G805" s="23" t="s">
        <v>5678</v>
      </c>
      <c r="H805" s="25" t="s">
        <v>36</v>
      </c>
      <c r="I805" s="18" t="s">
        <v>37</v>
      </c>
      <c r="J805" s="18" t="s">
        <v>38</v>
      </c>
      <c r="K805" t="s">
        <v>39</v>
      </c>
      <c r="L805" s="26">
        <f>VLOOKUP(A805,'[3]Price info'!A:D,4,FALSE)</f>
        <v>36.22</v>
      </c>
      <c r="M805" s="18" t="s">
        <v>40</v>
      </c>
      <c r="N805" s="20">
        <v>3105</v>
      </c>
      <c r="P805" s="16">
        <f>VLOOKUP(A805,'[3]Price info'!A:H,8,FALSE)</f>
        <v>17.64</v>
      </c>
      <c r="Q805" s="27">
        <f t="shared" si="49"/>
        <v>0.48702374378796248</v>
      </c>
      <c r="S805" s="16" t="e">
        <f>VLOOKUP(A805,[4]Sales!$E:$G,3,FALSE)</f>
        <v>#N/A</v>
      </c>
      <c r="T805" s="19" t="e">
        <f>VLOOKUP(A805,[4]Volume!$E:$G,3,FALSE)</f>
        <v>#N/A</v>
      </c>
      <c r="U805" s="19" t="e">
        <f>VLOOKUP(A805,[4]Piece!$E:$G,3,FALSE)</f>
        <v>#N/A</v>
      </c>
      <c r="V805" s="21" t="e">
        <f t="shared" si="50"/>
        <v>#N/A</v>
      </c>
      <c r="W805" s="16" t="e">
        <f t="shared" si="51"/>
        <v>#N/A</v>
      </c>
    </row>
    <row r="806" spans="1:23" hidden="1" x14ac:dyDescent="0.3">
      <c r="A806" s="22" t="s">
        <v>1614</v>
      </c>
      <c r="B806" s="22" t="s">
        <v>1614</v>
      </c>
      <c r="C806" s="23" t="s">
        <v>33</v>
      </c>
      <c r="D806" s="20" t="s">
        <v>34</v>
      </c>
      <c r="E806" s="22" t="s">
        <v>1615</v>
      </c>
      <c r="F806" s="24" t="str">
        <f t="shared" si="48"/>
        <v>PPG - Mangers SUGAR SOAP CONCENTRATE 500ML</v>
      </c>
      <c r="G806" s="23" t="s">
        <v>5679</v>
      </c>
      <c r="H806" s="25" t="s">
        <v>36</v>
      </c>
      <c r="I806" s="18" t="s">
        <v>37</v>
      </c>
      <c r="J806" s="18" t="s">
        <v>38</v>
      </c>
      <c r="K806" t="s">
        <v>39</v>
      </c>
      <c r="L806" s="26">
        <f>VLOOKUP(A806,'[3]Price info'!A:D,4,FALSE)</f>
        <v>1.41</v>
      </c>
      <c r="M806" s="18" t="s">
        <v>40</v>
      </c>
      <c r="N806" s="20">
        <v>3105</v>
      </c>
      <c r="P806" s="16">
        <f>VLOOKUP(A806,'[3]Price info'!A:H,8,FALSE)</f>
        <v>1.31271</v>
      </c>
      <c r="Q806" s="27">
        <f t="shared" si="49"/>
        <v>0.93100000000000005</v>
      </c>
      <c r="S806" s="16">
        <f>VLOOKUP(A806,[4]Sales!$E:$G,3,FALSE)</f>
        <v>12.01</v>
      </c>
      <c r="T806" s="19">
        <f>VLOOKUP(A806,[4]Volume!$E:$G,3,FALSE)</f>
        <v>4.5</v>
      </c>
      <c r="U806" s="19">
        <f>VLOOKUP(A806,[4]Piece!$E:$G,3,FALSE)</f>
        <v>9</v>
      </c>
      <c r="V806" s="21">
        <f t="shared" si="50"/>
        <v>11.81439</v>
      </c>
      <c r="W806" s="16">
        <f t="shared" si="51"/>
        <v>-0.19561000000000028</v>
      </c>
    </row>
    <row r="807" spans="1:23" hidden="1" x14ac:dyDescent="0.3">
      <c r="A807" s="46" t="s">
        <v>1616</v>
      </c>
      <c r="B807" s="46" t="s">
        <v>1616</v>
      </c>
      <c r="C807" s="47" t="s">
        <v>33</v>
      </c>
      <c r="D807" s="48" t="s">
        <v>34</v>
      </c>
      <c r="E807" s="18" t="s">
        <v>1617</v>
      </c>
      <c r="F807" s="24" t="str">
        <f t="shared" si="48"/>
        <v>PPG - BLINE ONE TIME     FILL 500ML TOEBOA0500</v>
      </c>
      <c r="G807" s="20" t="s">
        <v>5680</v>
      </c>
      <c r="H807" s="49" t="s">
        <v>213</v>
      </c>
      <c r="I807" s="18" t="s">
        <v>37</v>
      </c>
      <c r="J807" s="18" t="s">
        <v>38</v>
      </c>
      <c r="K807" t="s">
        <v>39</v>
      </c>
      <c r="L807" s="50">
        <f>VLOOKUP(A807,'[3]Price info'!A:D,4,FALSE)</f>
        <v>4.99</v>
      </c>
      <c r="M807" s="18" t="s">
        <v>214</v>
      </c>
      <c r="N807" s="20">
        <v>3105</v>
      </c>
      <c r="P807" s="16">
        <f>VLOOKUP(A807,'[3]Price info'!A:H,8,FALSE)</f>
        <v>4.6456900000000001</v>
      </c>
      <c r="Q807" s="17">
        <f t="shared" si="49"/>
        <v>0.93099999999999994</v>
      </c>
      <c r="S807" s="16">
        <f>VLOOKUP(A807,[4]Sales!$E:$G,3,FALSE)</f>
        <v>66.84</v>
      </c>
      <c r="T807" s="19">
        <f>VLOOKUP(A807,[4]Volume!$E:$G,3,FALSE)</f>
        <v>7</v>
      </c>
      <c r="U807" s="19">
        <f>VLOOKUP(A807,[4]Piece!$E:$G,3,FALSE)</f>
        <v>14</v>
      </c>
      <c r="V807" s="21">
        <f t="shared" si="50"/>
        <v>65.039659999999998</v>
      </c>
      <c r="W807" s="16">
        <f t="shared" si="51"/>
        <v>-1.8003400000000056</v>
      </c>
    </row>
    <row r="808" spans="1:23" hidden="1" x14ac:dyDescent="0.3">
      <c r="A808" s="46" t="s">
        <v>1618</v>
      </c>
      <c r="B808" s="46" t="s">
        <v>1618</v>
      </c>
      <c r="C808" s="51" t="s">
        <v>33</v>
      </c>
      <c r="D808" s="48" t="s">
        <v>34</v>
      </c>
      <c r="E808" s="18" t="s">
        <v>1619</v>
      </c>
      <c r="F808" s="24" t="str">
        <f t="shared" si="48"/>
        <v>PPG - EASYL LINING PAPER 1000 QUAD</v>
      </c>
      <c r="G808" s="20" t="s">
        <v>5681</v>
      </c>
      <c r="H808" s="49" t="s">
        <v>213</v>
      </c>
      <c r="I808" s="18" t="s">
        <v>37</v>
      </c>
      <c r="J808" s="18" t="s">
        <v>38</v>
      </c>
      <c r="K808" t="s">
        <v>39</v>
      </c>
      <c r="L808" s="50">
        <f>VLOOKUP(A808,'[3]Price info'!A:D,4,FALSE)</f>
        <v>5.35</v>
      </c>
      <c r="M808" s="18" t="s">
        <v>214</v>
      </c>
      <c r="N808" s="20">
        <v>3105</v>
      </c>
      <c r="P808" s="16">
        <f>VLOOKUP(A808,'[3]Price info'!A:H,8,FALSE)</f>
        <v>5.35</v>
      </c>
      <c r="Q808" s="17">
        <f t="shared" si="49"/>
        <v>1</v>
      </c>
      <c r="S808" s="16">
        <f>VLOOKUP(A808,[4]Sales!$E:$G,3,FALSE)</f>
        <v>5.35</v>
      </c>
      <c r="T808" s="19">
        <f>VLOOKUP(A808,[4]Volume!$E:$G,3,FALSE)</f>
        <v>1</v>
      </c>
      <c r="U808" s="19">
        <f>VLOOKUP(A808,[4]Piece!$E:$G,3,FALSE)</f>
        <v>1</v>
      </c>
      <c r="V808" s="21">
        <f t="shared" si="50"/>
        <v>5.35</v>
      </c>
      <c r="W808" s="16">
        <f t="shared" si="51"/>
        <v>0</v>
      </c>
    </row>
    <row r="809" spans="1:23" hidden="1" x14ac:dyDescent="0.3">
      <c r="A809" s="36" t="s">
        <v>1620</v>
      </c>
      <c r="B809" s="36" t="s">
        <v>1620</v>
      </c>
      <c r="C809" s="23" t="s">
        <v>33</v>
      </c>
      <c r="D809" s="20" t="s">
        <v>34</v>
      </c>
      <c r="E809" s="22" t="s">
        <v>1621</v>
      </c>
      <c r="F809" s="24" t="str">
        <f t="shared" si="48"/>
        <v>PPG - Brushmate FLUID 250ml</v>
      </c>
      <c r="G809" s="36" t="s">
        <v>5682</v>
      </c>
      <c r="H809" s="25" t="s">
        <v>36</v>
      </c>
      <c r="I809" s="18" t="s">
        <v>37</v>
      </c>
      <c r="J809" s="18" t="s">
        <v>38</v>
      </c>
      <c r="K809" t="s">
        <v>39</v>
      </c>
      <c r="L809" s="26">
        <f>VLOOKUP(A809,'[3]Price info'!A:D,4,FALSE)</f>
        <v>7.1</v>
      </c>
      <c r="M809" s="18" t="s">
        <v>40</v>
      </c>
      <c r="N809" s="20">
        <v>3105</v>
      </c>
      <c r="P809" s="16">
        <f>VLOOKUP(A809,'[3]Price info'!A:H,8,FALSE)</f>
        <v>6.6101000000000001</v>
      </c>
      <c r="Q809" s="27">
        <f t="shared" si="49"/>
        <v>0.93100000000000005</v>
      </c>
      <c r="S809" s="16" t="e">
        <f>VLOOKUP(A809,[4]Sales!$E:$G,3,FALSE)</f>
        <v>#N/A</v>
      </c>
      <c r="T809" s="19" t="e">
        <f>VLOOKUP(A809,[4]Volume!$E:$G,3,FALSE)</f>
        <v>#N/A</v>
      </c>
      <c r="U809" s="19" t="e">
        <f>VLOOKUP(A809,[4]Piece!$E:$G,3,FALSE)</f>
        <v>#N/A</v>
      </c>
      <c r="V809" s="21" t="e">
        <f t="shared" si="50"/>
        <v>#N/A</v>
      </c>
      <c r="W809" s="16" t="e">
        <f t="shared" si="51"/>
        <v>#N/A</v>
      </c>
    </row>
    <row r="810" spans="1:23" hidden="1" x14ac:dyDescent="0.3">
      <c r="A810" s="22" t="s">
        <v>1622</v>
      </c>
      <c r="B810" s="22" t="s">
        <v>1622</v>
      </c>
      <c r="C810" s="23" t="s">
        <v>33</v>
      </c>
      <c r="D810" s="20" t="s">
        <v>34</v>
      </c>
      <c r="E810" s="22" t="s">
        <v>1623</v>
      </c>
      <c r="F810" s="24" t="str">
        <f t="shared" si="48"/>
        <v>PPG - Johnstones TC1 THINNER - 5ltr</v>
      </c>
      <c r="G810" s="23" t="s">
        <v>5683</v>
      </c>
      <c r="H810" s="29" t="s">
        <v>36</v>
      </c>
      <c r="I810" s="30" t="s">
        <v>37</v>
      </c>
      <c r="J810" s="30" t="s">
        <v>38</v>
      </c>
      <c r="K810" s="31" t="s">
        <v>39</v>
      </c>
      <c r="L810" s="26">
        <f>VLOOKUP(A810,'[3]Price info'!A:D,4,FALSE)</f>
        <v>23.17</v>
      </c>
      <c r="M810" s="30" t="s">
        <v>40</v>
      </c>
      <c r="N810" s="32">
        <v>3105</v>
      </c>
      <c r="P810" s="16">
        <f>VLOOKUP(A810,'[3]Price info'!A:H,8,FALSE)</f>
        <v>23.17</v>
      </c>
      <c r="Q810" s="59">
        <f t="shared" si="49"/>
        <v>1</v>
      </c>
      <c r="R810" s="30"/>
      <c r="S810" s="16" t="e">
        <f>VLOOKUP(A810,[4]Sales!$E:$G,3,FALSE)</f>
        <v>#N/A</v>
      </c>
      <c r="T810" s="19" t="e">
        <f>VLOOKUP(A810,[4]Volume!$E:$G,3,FALSE)</f>
        <v>#N/A</v>
      </c>
      <c r="U810" s="19" t="e">
        <f>VLOOKUP(A810,[4]Piece!$E:$G,3,FALSE)</f>
        <v>#N/A</v>
      </c>
      <c r="V810" s="21" t="e">
        <f t="shared" si="50"/>
        <v>#N/A</v>
      </c>
      <c r="W810" s="16" t="e">
        <f t="shared" si="51"/>
        <v>#N/A</v>
      </c>
    </row>
    <row r="811" spans="1:23" hidden="1" x14ac:dyDescent="0.3">
      <c r="A811" s="46" t="s">
        <v>1624</v>
      </c>
      <c r="B811" s="46" t="s">
        <v>1624</v>
      </c>
      <c r="C811" s="47" t="s">
        <v>33</v>
      </c>
      <c r="D811" s="48" t="s">
        <v>34</v>
      </c>
      <c r="E811" s="93" t="s">
        <v>7393</v>
      </c>
      <c r="F811" s="24" t="str">
        <f t="shared" si="48"/>
        <v>PPG - Mirka Abranet 225mm PK25 P120</v>
      </c>
      <c r="G811" s="20" t="s">
        <v>5684</v>
      </c>
      <c r="H811" s="49" t="s">
        <v>213</v>
      </c>
      <c r="I811" s="18" t="s">
        <v>37</v>
      </c>
      <c r="J811" s="18" t="s">
        <v>38</v>
      </c>
      <c r="K811" t="s">
        <v>39</v>
      </c>
      <c r="L811" s="50">
        <f>VLOOKUP(A811,'[3]Price info'!A:D,4,FALSE)</f>
        <v>60.2</v>
      </c>
      <c r="M811" s="18" t="s">
        <v>214</v>
      </c>
      <c r="N811" s="20">
        <v>3105</v>
      </c>
      <c r="P811" s="16">
        <v>36.049999999999997</v>
      </c>
      <c r="Q811" s="17">
        <f t="shared" si="49"/>
        <v>0.59883720930232553</v>
      </c>
      <c r="S811" s="16">
        <f>VLOOKUP(A811,[4]Sales!$E:$G,3,FALSE)</f>
        <v>185.39</v>
      </c>
      <c r="T811" s="19">
        <f>VLOOKUP(A811,[4]Volume!$E:$G,3,FALSE)</f>
        <v>3.0000000000000001E-3</v>
      </c>
      <c r="U811" s="19">
        <f>VLOOKUP(A811,[4]Piece!$E:$G,3,FALSE)</f>
        <v>3</v>
      </c>
      <c r="V811" s="21">
        <f t="shared" si="50"/>
        <v>108.14999999999999</v>
      </c>
      <c r="W811" s="16">
        <f t="shared" si="51"/>
        <v>-77.239999999999995</v>
      </c>
    </row>
    <row r="812" spans="1:23" hidden="1" x14ac:dyDescent="0.3">
      <c r="A812" s="46" t="s">
        <v>1625</v>
      </c>
      <c r="B812" s="46" t="s">
        <v>1625</v>
      </c>
      <c r="C812" s="47" t="s">
        <v>33</v>
      </c>
      <c r="D812" s="48" t="s">
        <v>34</v>
      </c>
      <c r="E812" s="18" t="s">
        <v>1626</v>
      </c>
      <c r="F812" s="24" t="str">
        <f t="shared" si="48"/>
        <v>PPG - PGOLD ROLLER KIT   9 INCH</v>
      </c>
      <c r="G812" s="20" t="s">
        <v>5685</v>
      </c>
      <c r="H812" s="49" t="s">
        <v>213</v>
      </c>
      <c r="I812" s="18" t="s">
        <v>37</v>
      </c>
      <c r="J812" s="18" t="s">
        <v>38</v>
      </c>
      <c r="K812" t="s">
        <v>39</v>
      </c>
      <c r="L812" s="50">
        <f>VLOOKUP(A812,'[3]Price info'!A:D,4,FALSE)</f>
        <v>4.1100000000000003</v>
      </c>
      <c r="M812" s="18" t="s">
        <v>214</v>
      </c>
      <c r="N812" s="20">
        <v>3105</v>
      </c>
      <c r="P812" s="16">
        <f>VLOOKUP(A812,'[3]Price info'!A:H,8,FALSE)</f>
        <v>3.8264100000000005</v>
      </c>
      <c r="Q812" s="17">
        <f t="shared" si="49"/>
        <v>0.93100000000000005</v>
      </c>
      <c r="S812" s="16">
        <f>VLOOKUP(A812,[4]Sales!$E:$G,3,FALSE)</f>
        <v>20.020000000000003</v>
      </c>
      <c r="T812" s="19">
        <f>VLOOKUP(A812,[4]Volume!$E:$G,3,FALSE)</f>
        <v>5</v>
      </c>
      <c r="U812" s="19">
        <f>VLOOKUP(A812,[4]Piece!$E:$G,3,FALSE)</f>
        <v>5</v>
      </c>
      <c r="V812" s="21">
        <f t="shared" si="50"/>
        <v>19.132050000000003</v>
      </c>
      <c r="W812" s="16">
        <f t="shared" si="51"/>
        <v>-0.88795000000000002</v>
      </c>
    </row>
    <row r="813" spans="1:23" hidden="1" x14ac:dyDescent="0.3">
      <c r="A813" s="55" t="s">
        <v>1627</v>
      </c>
      <c r="B813" s="55" t="s">
        <v>1627</v>
      </c>
      <c r="C813" s="47" t="s">
        <v>33</v>
      </c>
      <c r="D813" s="48" t="s">
        <v>34</v>
      </c>
      <c r="E813" s="20" t="s">
        <v>1628</v>
      </c>
      <c r="F813" s="24" t="str">
        <f t="shared" si="48"/>
        <v>PPG - PROGOLD ABRASIVE PAD FINE (10)</v>
      </c>
      <c r="G813" s="20" t="s">
        <v>5686</v>
      </c>
      <c r="H813" s="49" t="s">
        <v>213</v>
      </c>
      <c r="I813" s="18" t="s">
        <v>37</v>
      </c>
      <c r="J813" s="18" t="s">
        <v>38</v>
      </c>
      <c r="K813" t="s">
        <v>39</v>
      </c>
      <c r="L813" s="50">
        <v>4.3</v>
      </c>
      <c r="M813" s="18" t="s">
        <v>214</v>
      </c>
      <c r="N813" s="20">
        <v>3105</v>
      </c>
      <c r="P813" s="16">
        <f>VLOOKUP(A813,'[3]Price info'!A:H,8,FALSE)</f>
        <v>4.0033000000000003</v>
      </c>
      <c r="Q813" s="17">
        <f t="shared" si="49"/>
        <v>0.93100000000000016</v>
      </c>
      <c r="S813" s="16">
        <f>VLOOKUP(A813,[4]Sales!$E:$G,3,FALSE)</f>
        <v>107.10999999999999</v>
      </c>
      <c r="T813" s="19">
        <f>VLOOKUP(A813,[4]Volume!$E:$G,3,FALSE)</f>
        <v>32</v>
      </c>
      <c r="U813" s="19">
        <f>VLOOKUP(A813,[4]Piece!$E:$G,3,FALSE)</f>
        <v>32</v>
      </c>
      <c r="V813" s="21">
        <f t="shared" si="50"/>
        <v>128.10560000000001</v>
      </c>
      <c r="W813" s="16">
        <f t="shared" si="51"/>
        <v>20.995600000000024</v>
      </c>
    </row>
    <row r="814" spans="1:23" hidden="1" x14ac:dyDescent="0.3">
      <c r="A814" s="22" t="s">
        <v>1629</v>
      </c>
      <c r="B814" s="22" t="s">
        <v>1629</v>
      </c>
      <c r="C814" s="23" t="s">
        <v>33</v>
      </c>
      <c r="D814" s="20" t="s">
        <v>34</v>
      </c>
      <c r="E814" s="22" t="s">
        <v>1630</v>
      </c>
      <c r="F814" s="24" t="str">
        <f t="shared" si="48"/>
        <v>PPG - Johnstones SATIN WOODSTAIN-Antiq Pine-750ml</v>
      </c>
      <c r="G814" s="23" t="s">
        <v>5687</v>
      </c>
      <c r="H814" s="25" t="s">
        <v>36</v>
      </c>
      <c r="I814" s="18" t="s">
        <v>37</v>
      </c>
      <c r="J814" s="18" t="s">
        <v>38</v>
      </c>
      <c r="K814" t="s">
        <v>39</v>
      </c>
      <c r="L814" s="26">
        <f>VLOOKUP(A814,'[3]Price info'!A:D,4,FALSE)</f>
        <v>6.58</v>
      </c>
      <c r="M814" s="18" t="s">
        <v>40</v>
      </c>
      <c r="N814" s="20">
        <v>3105</v>
      </c>
      <c r="P814" s="16">
        <f>VLOOKUP(A814,'[3]Price info'!A:H,8,FALSE)</f>
        <v>6.1259800000000002</v>
      </c>
      <c r="Q814" s="27">
        <f t="shared" si="49"/>
        <v>0.93100000000000005</v>
      </c>
      <c r="S814" s="16">
        <f>VLOOKUP(A814,[4]Sales!$E:$G,3,FALSE)</f>
        <v>50.84</v>
      </c>
      <c r="T814" s="19">
        <f>VLOOKUP(A814,[4]Volume!$E:$G,3,FALSE)</f>
        <v>6</v>
      </c>
      <c r="U814" s="19">
        <f>VLOOKUP(A814,[4]Piece!$E:$G,3,FALSE)</f>
        <v>8</v>
      </c>
      <c r="V814" s="21">
        <f t="shared" si="50"/>
        <v>49.007840000000002</v>
      </c>
      <c r="W814" s="16">
        <f t="shared" si="51"/>
        <v>-1.8321600000000018</v>
      </c>
    </row>
    <row r="815" spans="1:23" hidden="1" x14ac:dyDescent="0.3">
      <c r="A815" s="55" t="s">
        <v>1631</v>
      </c>
      <c r="B815" s="55" t="s">
        <v>1631</v>
      </c>
      <c r="C815" s="47" t="s">
        <v>33</v>
      </c>
      <c r="D815" s="48" t="s">
        <v>34</v>
      </c>
      <c r="E815" s="20" t="s">
        <v>1632</v>
      </c>
      <c r="F815" s="24" t="str">
        <f t="shared" si="48"/>
        <v>PPG - PROGOLD ABRASIVE PAD MED (10)</v>
      </c>
      <c r="G815" s="20" t="s">
        <v>5688</v>
      </c>
      <c r="H815" s="49" t="s">
        <v>213</v>
      </c>
      <c r="I815" s="18" t="s">
        <v>37</v>
      </c>
      <c r="J815" s="18" t="s">
        <v>38</v>
      </c>
      <c r="K815" t="s">
        <v>39</v>
      </c>
      <c r="L815" s="50">
        <v>4.38</v>
      </c>
      <c r="M815" s="18" t="s">
        <v>214</v>
      </c>
      <c r="N815" s="20">
        <v>3105</v>
      </c>
      <c r="P815" s="16">
        <f>VLOOKUP(A815,'[3]Price info'!A:H,8,FALSE)</f>
        <v>4.0777799999999997</v>
      </c>
      <c r="Q815" s="17">
        <f t="shared" si="49"/>
        <v>0.93099999999999994</v>
      </c>
      <c r="S815" s="16">
        <f>VLOOKUP(A815,[4]Sales!$E:$G,3,FALSE)</f>
        <v>238.17000000000007</v>
      </c>
      <c r="T815" s="19">
        <f>VLOOKUP(A815,[4]Volume!$E:$G,3,FALSE)</f>
        <v>70</v>
      </c>
      <c r="U815" s="19">
        <f>VLOOKUP(A815,[4]Piece!$E:$G,3,FALSE)</f>
        <v>70</v>
      </c>
      <c r="V815" s="21">
        <f t="shared" si="50"/>
        <v>285.44459999999998</v>
      </c>
      <c r="W815" s="16">
        <f t="shared" si="51"/>
        <v>47.274599999999907</v>
      </c>
    </row>
    <row r="816" spans="1:23" hidden="1" x14ac:dyDescent="0.3">
      <c r="A816" s="22" t="s">
        <v>1633</v>
      </c>
      <c r="B816" s="22" t="s">
        <v>1633</v>
      </c>
      <c r="C816" s="23" t="s">
        <v>33</v>
      </c>
      <c r="D816" s="20" t="s">
        <v>34</v>
      </c>
      <c r="E816" s="22" t="s">
        <v>1634</v>
      </c>
      <c r="F816" s="24" t="str">
        <f t="shared" si="48"/>
        <v>PPG - Leyland FLOOR PAINT - Slate - 5ltr</v>
      </c>
      <c r="G816" s="23" t="s">
        <v>5689</v>
      </c>
      <c r="H816" s="25" t="s">
        <v>36</v>
      </c>
      <c r="I816" s="18" t="s">
        <v>37</v>
      </c>
      <c r="J816" s="18" t="s">
        <v>38</v>
      </c>
      <c r="K816" t="s">
        <v>39</v>
      </c>
      <c r="L816" s="26">
        <f>VLOOKUP(A816,'[3]Price info'!A:D,4,FALSE)</f>
        <v>20.74</v>
      </c>
      <c r="M816" s="18" t="s">
        <v>40</v>
      </c>
      <c r="N816" s="20">
        <v>3105</v>
      </c>
      <c r="P816" s="16">
        <f>VLOOKUP(A816,'[3]Price info'!A:H,8,FALSE)</f>
        <v>19.30894</v>
      </c>
      <c r="Q816" s="27">
        <f t="shared" si="49"/>
        <v>0.93100000000000005</v>
      </c>
      <c r="S816" s="16">
        <f>VLOOKUP(A816,[4]Sales!$E:$G,3,FALSE)</f>
        <v>41.48</v>
      </c>
      <c r="T816" s="19">
        <f>VLOOKUP(A816,[4]Volume!$E:$G,3,FALSE)</f>
        <v>10</v>
      </c>
      <c r="U816" s="19">
        <f>VLOOKUP(A816,[4]Piece!$E:$G,3,FALSE)</f>
        <v>2</v>
      </c>
      <c r="V816" s="21">
        <f t="shared" si="50"/>
        <v>38.61788</v>
      </c>
      <c r="W816" s="16">
        <f t="shared" si="51"/>
        <v>-2.8621199999999973</v>
      </c>
    </row>
    <row r="817" spans="1:23" hidden="1" x14ac:dyDescent="0.3">
      <c r="A817" s="46" t="s">
        <v>1635</v>
      </c>
      <c r="B817" s="46" t="s">
        <v>1635</v>
      </c>
      <c r="C817" s="51" t="s">
        <v>33</v>
      </c>
      <c r="D817" s="48" t="s">
        <v>34</v>
      </c>
      <c r="E817" s="18" t="s">
        <v>1636</v>
      </c>
      <c r="F817" s="24" t="str">
        <f t="shared" si="48"/>
        <v>PPG - JDONE JOB DONE     B/SET 3PC</v>
      </c>
      <c r="G817" s="20" t="s">
        <v>5690</v>
      </c>
      <c r="H817" s="49" t="s">
        <v>213</v>
      </c>
      <c r="I817" s="18" t="s">
        <v>37</v>
      </c>
      <c r="J817" s="18" t="s">
        <v>38</v>
      </c>
      <c r="K817" t="s">
        <v>39</v>
      </c>
      <c r="L817" s="50">
        <f>VLOOKUP(A817,'[3]Price info'!A:D,4,FALSE)</f>
        <v>7.19</v>
      </c>
      <c r="M817" s="18" t="s">
        <v>214</v>
      </c>
      <c r="N817" s="20">
        <v>3105</v>
      </c>
      <c r="P817" s="16">
        <f>VLOOKUP(A817,'[3]Price info'!A:H,8,FALSE)</f>
        <v>6.6938900000000006</v>
      </c>
      <c r="Q817" s="17">
        <f t="shared" si="49"/>
        <v>0.93100000000000005</v>
      </c>
      <c r="S817" s="16">
        <f>VLOOKUP(A817,[4]Sales!$E:$G,3,FALSE)</f>
        <v>29.28</v>
      </c>
      <c r="T817" s="19">
        <f>VLOOKUP(A817,[4]Volume!$E:$G,3,FALSE)</f>
        <v>3</v>
      </c>
      <c r="U817" s="19">
        <f>VLOOKUP(A817,[4]Piece!$E:$G,3,FALSE)</f>
        <v>3</v>
      </c>
      <c r="V817" s="21">
        <f t="shared" si="50"/>
        <v>20.081670000000003</v>
      </c>
      <c r="W817" s="16">
        <f t="shared" si="51"/>
        <v>-9.1983299999999986</v>
      </c>
    </row>
    <row r="818" spans="1:23" hidden="1" x14ac:dyDescent="0.3">
      <c r="A818" s="22" t="s">
        <v>1637</v>
      </c>
      <c r="B818" s="22" t="s">
        <v>1637</v>
      </c>
      <c r="C818" s="23" t="s">
        <v>33</v>
      </c>
      <c r="D818" s="20" t="s">
        <v>34</v>
      </c>
      <c r="E818" s="22" t="s">
        <v>1638</v>
      </c>
      <c r="F818" s="24" t="str">
        <f t="shared" si="48"/>
        <v>PPG - Johnstones FLORTRED Tile Red - 2.5ltr</v>
      </c>
      <c r="G818" s="23" t="s">
        <v>5691</v>
      </c>
      <c r="H818" s="25" t="s">
        <v>36</v>
      </c>
      <c r="I818" s="18" t="s">
        <v>37</v>
      </c>
      <c r="J818" s="18" t="s">
        <v>38</v>
      </c>
      <c r="K818" t="s">
        <v>39</v>
      </c>
      <c r="L818" s="26">
        <f>VLOOKUP(A818,'[3]Price info'!A:D,4,FALSE)</f>
        <v>13.61</v>
      </c>
      <c r="M818" s="18" t="s">
        <v>40</v>
      </c>
      <c r="N818" s="20">
        <v>3105</v>
      </c>
      <c r="P818" s="16">
        <f>VLOOKUP(A818,'[3]Price info'!A:H,8,FALSE)</f>
        <v>12.670910000000001</v>
      </c>
      <c r="Q818" s="27">
        <f t="shared" si="49"/>
        <v>0.93100000000000016</v>
      </c>
      <c r="S818" s="16">
        <f>VLOOKUP(A818,[4]Sales!$E:$G,3,FALSE)</f>
        <v>12.67</v>
      </c>
      <c r="T818" s="19">
        <f>VLOOKUP(A818,[4]Volume!$E:$G,3,FALSE)</f>
        <v>2.5</v>
      </c>
      <c r="U818" s="19">
        <f>VLOOKUP(A818,[4]Piece!$E:$G,3,FALSE)</f>
        <v>1</v>
      </c>
      <c r="V818" s="21">
        <f t="shared" si="50"/>
        <v>12.670910000000001</v>
      </c>
      <c r="W818" s="16">
        <f t="shared" si="51"/>
        <v>9.1000000000107661E-4</v>
      </c>
    </row>
    <row r="819" spans="1:23" hidden="1" x14ac:dyDescent="0.3">
      <c r="A819" s="46" t="s">
        <v>1639</v>
      </c>
      <c r="B819" s="46" t="s">
        <v>1639</v>
      </c>
      <c r="C819" s="47" t="s">
        <v>33</v>
      </c>
      <c r="D819" s="48" t="s">
        <v>34</v>
      </c>
      <c r="E819" s="18" t="s">
        <v>1640</v>
      </c>
      <c r="F819" s="24" t="str">
        <f t="shared" si="48"/>
        <v>PPG - RODO  PAINT KETTLE            (1EC) 1 LI</v>
      </c>
      <c r="G819" s="20" t="s">
        <v>5692</v>
      </c>
      <c r="H819" s="49" t="s">
        <v>213</v>
      </c>
      <c r="I819" s="18" t="s">
        <v>37</v>
      </c>
      <c r="J819" s="18" t="s">
        <v>38</v>
      </c>
      <c r="K819" t="s">
        <v>39</v>
      </c>
      <c r="L819" s="50">
        <f>VLOOKUP(A819,'[3]Price info'!A:D,4,FALSE)</f>
        <v>2.88</v>
      </c>
      <c r="M819" s="18" t="s">
        <v>214</v>
      </c>
      <c r="N819" s="20">
        <v>3105</v>
      </c>
      <c r="P819" s="16">
        <f>VLOOKUP(A819,'[3]Price info'!A:H,8,FALSE)</f>
        <v>1.6</v>
      </c>
      <c r="Q819" s="17">
        <f t="shared" si="49"/>
        <v>0.55555555555555558</v>
      </c>
      <c r="S819" s="16">
        <f>VLOOKUP(A819,[4]Sales!$E:$G,3,FALSE)</f>
        <v>35.200000000000003</v>
      </c>
      <c r="T819" s="19">
        <f>VLOOKUP(A819,[4]Volume!$E:$G,3,FALSE)</f>
        <v>14</v>
      </c>
      <c r="U819" s="19">
        <f>VLOOKUP(A819,[4]Piece!$E:$G,3,FALSE)</f>
        <v>14</v>
      </c>
      <c r="V819" s="21">
        <f t="shared" si="50"/>
        <v>22.400000000000002</v>
      </c>
      <c r="W819" s="16">
        <f t="shared" si="51"/>
        <v>-12.8</v>
      </c>
    </row>
    <row r="820" spans="1:23" hidden="1" x14ac:dyDescent="0.3">
      <c r="A820" s="22" t="s">
        <v>1641</v>
      </c>
      <c r="B820" s="22" t="s">
        <v>1641</v>
      </c>
      <c r="C820" s="23" t="s">
        <v>33</v>
      </c>
      <c r="D820" s="20" t="s">
        <v>34</v>
      </c>
      <c r="E820" s="22" t="s">
        <v>1642</v>
      </c>
      <c r="F820" s="24" t="str">
        <f t="shared" si="48"/>
        <v>PPG - Leyland EGGSHELL - Mix - 5ltr</v>
      </c>
      <c r="G820" s="23" t="s">
        <v>5693</v>
      </c>
      <c r="H820" s="25" t="s">
        <v>36</v>
      </c>
      <c r="I820" s="18" t="s">
        <v>37</v>
      </c>
      <c r="J820" s="18" t="s">
        <v>38</v>
      </c>
      <c r="K820" t="s">
        <v>39</v>
      </c>
      <c r="L820" s="26">
        <f>VLOOKUP(A820,'[3]Price info'!A:D,4,FALSE)</f>
        <v>18.84</v>
      </c>
      <c r="M820" s="18" t="s">
        <v>40</v>
      </c>
      <c r="N820" s="20">
        <v>3105</v>
      </c>
      <c r="P820" s="16">
        <f>VLOOKUP(A820,'[3]Price info'!A:H,8,FALSE)</f>
        <v>21.665999999999997</v>
      </c>
      <c r="Q820" s="27">
        <f t="shared" si="49"/>
        <v>1.1499999999999999</v>
      </c>
      <c r="S820" s="16">
        <f>VLOOKUP(A820,[4]Sales!$E:$G,3,FALSE)</f>
        <v>59.35</v>
      </c>
      <c r="T820" s="19">
        <f>VLOOKUP(A820,[4]Volume!$E:$G,3,FALSE)</f>
        <v>15</v>
      </c>
      <c r="U820" s="19">
        <f>VLOOKUP(A820,[4]Piece!$E:$G,3,FALSE)</f>
        <v>3</v>
      </c>
      <c r="V820" s="21">
        <f t="shared" si="50"/>
        <v>64.99799999999999</v>
      </c>
      <c r="W820" s="16">
        <f t="shared" si="51"/>
        <v>5.647999999999989</v>
      </c>
    </row>
    <row r="821" spans="1:23" hidden="1" x14ac:dyDescent="0.3">
      <c r="A821" s="46" t="s">
        <v>1643</v>
      </c>
      <c r="B821" s="46" t="s">
        <v>1643</v>
      </c>
      <c r="C821" s="47" t="s">
        <v>33</v>
      </c>
      <c r="D821" s="48" t="s">
        <v>34</v>
      </c>
      <c r="E821" s="18" t="s">
        <v>1644</v>
      </c>
      <c r="F821" s="24" t="str">
        <f t="shared" si="48"/>
        <v>PPG - GORI 05 EXP DECK WALNU (UK)  78080001250</v>
      </c>
      <c r="G821" s="20" t="s">
        <v>5694</v>
      </c>
      <c r="H821" s="49" t="s">
        <v>213</v>
      </c>
      <c r="I821" s="18" t="s">
        <v>37</v>
      </c>
      <c r="J821" s="18" t="s">
        <v>38</v>
      </c>
      <c r="K821" t="s">
        <v>39</v>
      </c>
      <c r="L821" s="50">
        <f>VLOOKUP(A821,'[3]Price info'!A:D,4,FALSE)</f>
        <v>37.61</v>
      </c>
      <c r="M821" s="18" t="s">
        <v>214</v>
      </c>
      <c r="N821" s="20">
        <v>3105</v>
      </c>
      <c r="P821" s="16">
        <f>VLOOKUP(A821,'[3]Price info'!A:H,8,FALSE)</f>
        <v>35.01491</v>
      </c>
      <c r="Q821" s="17">
        <f t="shared" si="49"/>
        <v>0.93100000000000005</v>
      </c>
      <c r="S821" s="16" t="e">
        <f>VLOOKUP(A821,[4]Sales!$E:$G,3,FALSE)</f>
        <v>#N/A</v>
      </c>
      <c r="T821" s="19" t="e">
        <f>VLOOKUP(A821,[4]Volume!$E:$G,3,FALSE)</f>
        <v>#N/A</v>
      </c>
      <c r="U821" s="19" t="e">
        <f>VLOOKUP(A821,[4]Piece!$E:$G,3,FALSE)</f>
        <v>#N/A</v>
      </c>
      <c r="V821" s="21" t="e">
        <f t="shared" si="50"/>
        <v>#N/A</v>
      </c>
      <c r="W821" s="16" t="e">
        <f t="shared" si="51"/>
        <v>#N/A</v>
      </c>
    </row>
    <row r="822" spans="1:23" hidden="1" x14ac:dyDescent="0.3">
      <c r="A822" s="22" t="s">
        <v>1645</v>
      </c>
      <c r="B822" s="22" t="s">
        <v>1645</v>
      </c>
      <c r="C822" s="23" t="s">
        <v>33</v>
      </c>
      <c r="D822" s="20" t="s">
        <v>34</v>
      </c>
      <c r="E822" s="22" t="s">
        <v>1646</v>
      </c>
      <c r="F822" s="24" t="str">
        <f t="shared" si="48"/>
        <v>PPG - Johnstones PRO UNDERCOAT - Dark Grey - 1ltr</v>
      </c>
      <c r="G822" s="23" t="s">
        <v>5695</v>
      </c>
      <c r="H822" s="25" t="s">
        <v>36</v>
      </c>
      <c r="I822" s="18" t="s">
        <v>37</v>
      </c>
      <c r="J822" s="18" t="s">
        <v>38</v>
      </c>
      <c r="K822" t="s">
        <v>39</v>
      </c>
      <c r="L822" s="26">
        <f>VLOOKUP(A822,'[3]Price info'!A:D,4,FALSE)</f>
        <v>9.52</v>
      </c>
      <c r="M822" s="18" t="s">
        <v>40</v>
      </c>
      <c r="N822" s="20">
        <v>3105</v>
      </c>
      <c r="P822" s="16">
        <f>VLOOKUP(A822,'[3]Price info'!A:H,8,FALSE)</f>
        <v>8.8631200000000003</v>
      </c>
      <c r="Q822" s="27">
        <f t="shared" si="49"/>
        <v>0.93100000000000005</v>
      </c>
      <c r="S822" s="16">
        <f>VLOOKUP(A822,[4]Sales!$E:$G,3,FALSE)</f>
        <v>53.819999999999993</v>
      </c>
      <c r="T822" s="19">
        <f>VLOOKUP(A822,[4]Volume!$E:$G,3,FALSE)</f>
        <v>6</v>
      </c>
      <c r="U822" s="19">
        <f>VLOOKUP(A822,[4]Piece!$E:$G,3,FALSE)</f>
        <v>6</v>
      </c>
      <c r="V822" s="21">
        <f t="shared" si="50"/>
        <v>53.178719999999998</v>
      </c>
      <c r="W822" s="16">
        <f t="shared" si="51"/>
        <v>-0.64127999999999474</v>
      </c>
    </row>
    <row r="823" spans="1:23" hidden="1" x14ac:dyDescent="0.3">
      <c r="A823" s="46" t="s">
        <v>1647</v>
      </c>
      <c r="B823" s="46" t="s">
        <v>1647</v>
      </c>
      <c r="C823" s="51" t="s">
        <v>33</v>
      </c>
      <c r="D823" s="48" t="s">
        <v>34</v>
      </c>
      <c r="E823" s="18" t="s">
        <v>1648</v>
      </c>
      <c r="F823" s="24" t="str">
        <f t="shared" si="48"/>
        <v>PPG - BLKRO TW/HALF MASK RESPIRATOR A1P2</v>
      </c>
      <c r="G823" s="20" t="s">
        <v>5696</v>
      </c>
      <c r="H823" s="49" t="s">
        <v>213</v>
      </c>
      <c r="I823" s="18" t="s">
        <v>37</v>
      </c>
      <c r="J823" s="18" t="s">
        <v>38</v>
      </c>
      <c r="K823" t="s">
        <v>39</v>
      </c>
      <c r="L823" s="50">
        <f>VLOOKUP(A823,'[3]Price info'!A:D,4,FALSE)</f>
        <v>34.229999999999997</v>
      </c>
      <c r="M823" s="18" t="s">
        <v>214</v>
      </c>
      <c r="N823" s="20">
        <v>3105</v>
      </c>
      <c r="P823" s="16">
        <f>VLOOKUP(A823,'[3]Price info'!A:H,8,FALSE)</f>
        <v>31.868129999999997</v>
      </c>
      <c r="Q823" s="17">
        <f t="shared" si="49"/>
        <v>0.93100000000000005</v>
      </c>
      <c r="S823" s="16" t="e">
        <f>VLOOKUP(A823,[4]Sales!$E:$G,3,FALSE)</f>
        <v>#N/A</v>
      </c>
      <c r="T823" s="19" t="e">
        <f>VLOOKUP(A823,[4]Volume!$E:$G,3,FALSE)</f>
        <v>#N/A</v>
      </c>
      <c r="U823" s="19" t="e">
        <f>VLOOKUP(A823,[4]Piece!$E:$G,3,FALSE)</f>
        <v>#N/A</v>
      </c>
      <c r="V823" s="21" t="e">
        <f t="shared" si="50"/>
        <v>#N/A</v>
      </c>
      <c r="W823" s="16" t="e">
        <f t="shared" si="51"/>
        <v>#N/A</v>
      </c>
    </row>
    <row r="824" spans="1:23" hidden="1" x14ac:dyDescent="0.3">
      <c r="A824" s="46" t="s">
        <v>1649</v>
      </c>
      <c r="B824" s="46" t="s">
        <v>1649</v>
      </c>
      <c r="C824" s="47" t="s">
        <v>33</v>
      </c>
      <c r="D824" s="48" t="s">
        <v>34</v>
      </c>
      <c r="E824" s="18" t="s">
        <v>1650</v>
      </c>
      <c r="F824" s="24" t="str">
        <f t="shared" si="48"/>
        <v>PPG - THINNER 21-06               0000TREU1500</v>
      </c>
      <c r="G824" s="20" t="s">
        <v>5697</v>
      </c>
      <c r="H824" s="49" t="s">
        <v>213</v>
      </c>
      <c r="I824" s="18" t="s">
        <v>37</v>
      </c>
      <c r="J824" s="18" t="s">
        <v>38</v>
      </c>
      <c r="K824" t="s">
        <v>39</v>
      </c>
      <c r="L824" s="50">
        <f>VLOOKUP(A824,'[3]Price info'!A:D,4,FALSE)</f>
        <v>34.67</v>
      </c>
      <c r="M824" s="18" t="s">
        <v>214</v>
      </c>
      <c r="N824" s="20">
        <v>3105</v>
      </c>
      <c r="P824" s="16">
        <f>VLOOKUP(A824,'[3]Price info'!A:H,8,FALSE)</f>
        <v>32.277770000000004</v>
      </c>
      <c r="Q824" s="17">
        <f t="shared" si="49"/>
        <v>0.93100000000000005</v>
      </c>
      <c r="S824" s="16" t="e">
        <f>VLOOKUP(A824,[4]Sales!$E:$G,3,FALSE)</f>
        <v>#N/A</v>
      </c>
      <c r="T824" s="19" t="e">
        <f>VLOOKUP(A824,[4]Volume!$E:$G,3,FALSE)</f>
        <v>#N/A</v>
      </c>
      <c r="U824" s="19" t="e">
        <f>VLOOKUP(A824,[4]Piece!$E:$G,3,FALSE)</f>
        <v>#N/A</v>
      </c>
      <c r="V824" s="21" t="e">
        <f t="shared" si="50"/>
        <v>#N/A</v>
      </c>
      <c r="W824" s="16" t="e">
        <f t="shared" si="51"/>
        <v>#N/A</v>
      </c>
    </row>
    <row r="825" spans="1:23" hidden="1" x14ac:dyDescent="0.3">
      <c r="A825" s="46" t="s">
        <v>1651</v>
      </c>
      <c r="B825" s="46" t="s">
        <v>1651</v>
      </c>
      <c r="C825" s="47" t="s">
        <v>33</v>
      </c>
      <c r="D825" s="48" t="s">
        <v>34</v>
      </c>
      <c r="E825" s="18" t="s">
        <v>1652</v>
      </c>
      <c r="F825" s="24" t="str">
        <f t="shared" si="48"/>
        <v>PPG - RODO  PRECISION    TAPE 2"    ATMT003</v>
      </c>
      <c r="G825" s="20" t="s">
        <v>5698</v>
      </c>
      <c r="H825" s="49" t="s">
        <v>213</v>
      </c>
      <c r="I825" s="18" t="s">
        <v>37</v>
      </c>
      <c r="J825" s="18" t="s">
        <v>38</v>
      </c>
      <c r="K825" t="s">
        <v>39</v>
      </c>
      <c r="L825" s="50">
        <f>VLOOKUP(A825,'[3]Price info'!A:D,4,FALSE)</f>
        <v>7.94</v>
      </c>
      <c r="M825" s="18" t="s">
        <v>214</v>
      </c>
      <c r="N825" s="20">
        <v>3105</v>
      </c>
      <c r="P825" s="16">
        <f>VLOOKUP(A825,'[3]Price info'!A:H,8,FALSE)</f>
        <v>7.36</v>
      </c>
      <c r="Q825" s="17">
        <f t="shared" si="49"/>
        <v>0.92695214105793455</v>
      </c>
      <c r="S825" s="16" t="e">
        <f>VLOOKUP(A825,[4]Sales!$E:$G,3,FALSE)</f>
        <v>#N/A</v>
      </c>
      <c r="T825" s="19" t="e">
        <f>VLOOKUP(A825,[4]Volume!$E:$G,3,FALSE)</f>
        <v>#N/A</v>
      </c>
      <c r="U825" s="19" t="e">
        <f>VLOOKUP(A825,[4]Piece!$E:$G,3,FALSE)</f>
        <v>#N/A</v>
      </c>
      <c r="V825" s="21" t="e">
        <f t="shared" si="50"/>
        <v>#N/A</v>
      </c>
      <c r="W825" s="16" t="e">
        <f t="shared" si="51"/>
        <v>#N/A</v>
      </c>
    </row>
    <row r="826" spans="1:23" hidden="1" x14ac:dyDescent="0.3">
      <c r="A826" s="46" t="s">
        <v>1653</v>
      </c>
      <c r="B826" s="46" t="s">
        <v>1653</v>
      </c>
      <c r="C826" s="51" t="s">
        <v>33</v>
      </c>
      <c r="D826" s="48" t="s">
        <v>34</v>
      </c>
      <c r="E826" s="18" t="s">
        <v>1654</v>
      </c>
      <c r="F826" s="24" t="str">
        <f t="shared" si="48"/>
        <v>PPG - RODO  8" CAULKER   PLDT002</v>
      </c>
      <c r="G826" s="20" t="s">
        <v>5699</v>
      </c>
      <c r="H826" s="49" t="s">
        <v>213</v>
      </c>
      <c r="I826" s="18" t="s">
        <v>37</v>
      </c>
      <c r="J826" s="18" t="s">
        <v>38</v>
      </c>
      <c r="K826" t="s">
        <v>39</v>
      </c>
      <c r="L826" s="50">
        <f>VLOOKUP(A826,'[3]Price info'!A:D,4,FALSE)</f>
        <v>3.41</v>
      </c>
      <c r="M826" s="18" t="s">
        <v>214</v>
      </c>
      <c r="N826" s="20">
        <v>3105</v>
      </c>
      <c r="P826" s="16">
        <f>VLOOKUP(A826,'[3]Price info'!A:H,8,FALSE)</f>
        <v>3.41</v>
      </c>
      <c r="Q826" s="17">
        <f t="shared" si="49"/>
        <v>1</v>
      </c>
      <c r="S826" s="16">
        <f>VLOOKUP(A826,[4]Sales!$E:$G,3,FALSE)</f>
        <v>17.05</v>
      </c>
      <c r="T826" s="19">
        <f>VLOOKUP(A826,[4]Volume!$E:$G,3,FALSE)</f>
        <v>5</v>
      </c>
      <c r="U826" s="19">
        <f>VLOOKUP(A826,[4]Piece!$E:$G,3,FALSE)</f>
        <v>5</v>
      </c>
      <c r="V826" s="21">
        <f t="shared" si="50"/>
        <v>17.05</v>
      </c>
      <c r="W826" s="16">
        <f t="shared" si="51"/>
        <v>0</v>
      </c>
    </row>
    <row r="827" spans="1:23" hidden="1" x14ac:dyDescent="0.3">
      <c r="A827" s="22" t="s">
        <v>1655</v>
      </c>
      <c r="B827" s="22" t="s">
        <v>1655</v>
      </c>
      <c r="C827" s="23" t="s">
        <v>33</v>
      </c>
      <c r="D827" s="20" t="s">
        <v>34</v>
      </c>
      <c r="E827" s="22" t="s">
        <v>1656</v>
      </c>
      <c r="F827" s="24" t="str">
        <f t="shared" si="48"/>
        <v>PPG - Leyland SMART MULTI-SURFACE - BW - 5ltr</v>
      </c>
      <c r="G827" s="23" t="s">
        <v>5700</v>
      </c>
      <c r="H827" s="25" t="s">
        <v>36</v>
      </c>
      <c r="I827" s="18" t="s">
        <v>37</v>
      </c>
      <c r="J827" s="18" t="s">
        <v>38</v>
      </c>
      <c r="K827" t="s">
        <v>39</v>
      </c>
      <c r="L827" s="26">
        <f>VLOOKUP(A827,'[3]Price info'!A:D,4,FALSE)</f>
        <v>36.43</v>
      </c>
      <c r="M827" s="18" t="s">
        <v>40</v>
      </c>
      <c r="N827" s="20">
        <v>3105</v>
      </c>
      <c r="P827" s="16">
        <f>VLOOKUP(A827,'[3]Price info'!A:H,8,FALSE)</f>
        <v>33.916330000000002</v>
      </c>
      <c r="Q827" s="27">
        <f t="shared" si="49"/>
        <v>0.93100000000000005</v>
      </c>
      <c r="S827" s="16" t="e">
        <f>VLOOKUP(A827,[4]Sales!$E:$G,3,FALSE)</f>
        <v>#N/A</v>
      </c>
      <c r="T827" s="19" t="e">
        <f>VLOOKUP(A827,[4]Volume!$E:$G,3,FALSE)</f>
        <v>#N/A</v>
      </c>
      <c r="U827" s="19" t="e">
        <f>VLOOKUP(A827,[4]Piece!$E:$G,3,FALSE)</f>
        <v>#N/A</v>
      </c>
      <c r="V827" s="21" t="e">
        <f t="shared" si="50"/>
        <v>#N/A</v>
      </c>
      <c r="W827" s="16" t="e">
        <f t="shared" si="51"/>
        <v>#N/A</v>
      </c>
    </row>
    <row r="828" spans="1:23" hidden="1" x14ac:dyDescent="0.3">
      <c r="A828" s="46" t="s">
        <v>1657</v>
      </c>
      <c r="B828" s="46" t="s">
        <v>1657</v>
      </c>
      <c r="C828" s="47" t="s">
        <v>33</v>
      </c>
      <c r="D828" s="48" t="s">
        <v>34</v>
      </c>
      <c r="E828" s="18" t="s">
        <v>1658</v>
      </c>
      <c r="F828" s="24" t="str">
        <f t="shared" si="48"/>
        <v>PPG - RODO  PRECISION    TAPE 1"    ATM001</v>
      </c>
      <c r="G828" s="20" t="s">
        <v>5701</v>
      </c>
      <c r="H828" s="49" t="s">
        <v>213</v>
      </c>
      <c r="I828" s="18" t="s">
        <v>37</v>
      </c>
      <c r="J828" s="18" t="s">
        <v>38</v>
      </c>
      <c r="K828" t="s">
        <v>39</v>
      </c>
      <c r="L828" s="50">
        <f>VLOOKUP(A828,'[3]Price info'!A:D,4,FALSE)</f>
        <v>3</v>
      </c>
      <c r="M828" s="18" t="s">
        <v>214</v>
      </c>
      <c r="N828" s="20">
        <v>3105</v>
      </c>
      <c r="P828" s="16">
        <f>VLOOKUP(A828,'[3]Price info'!A:H,8,FALSE)</f>
        <v>2.7930000000000001</v>
      </c>
      <c r="Q828" s="17">
        <f t="shared" si="49"/>
        <v>0.93100000000000005</v>
      </c>
      <c r="S828" s="16">
        <f>VLOOKUP(A828,[4]Sales!$E:$G,3,FALSE)</f>
        <v>40.11</v>
      </c>
      <c r="T828" s="19">
        <f>VLOOKUP(A828,[4]Volume!$E:$G,3,FALSE)</f>
        <v>14</v>
      </c>
      <c r="U828" s="19">
        <f>VLOOKUP(A828,[4]Piece!$E:$G,3,FALSE)</f>
        <v>14</v>
      </c>
      <c r="V828" s="21">
        <f t="shared" si="50"/>
        <v>39.102000000000004</v>
      </c>
      <c r="W828" s="16">
        <f t="shared" si="51"/>
        <v>-1.0079999999999956</v>
      </c>
    </row>
    <row r="829" spans="1:23" hidden="1" x14ac:dyDescent="0.3">
      <c r="A829" s="22" t="s">
        <v>1659</v>
      </c>
      <c r="B829" s="22" t="s">
        <v>1659</v>
      </c>
      <c r="C829" s="23" t="s">
        <v>33</v>
      </c>
      <c r="D829" s="20" t="s">
        <v>34</v>
      </c>
      <c r="E829" s="22" t="s">
        <v>1660</v>
      </c>
      <c r="F829" s="24" t="str">
        <f t="shared" si="48"/>
        <v>PPG - FatHog GENERAL PURPOSE SILICONE CLEAR -295ml</v>
      </c>
      <c r="G829" s="23" t="s">
        <v>5702</v>
      </c>
      <c r="H829" s="25" t="s">
        <v>36</v>
      </c>
      <c r="I829" s="18" t="s">
        <v>37</v>
      </c>
      <c r="J829" s="18" t="s">
        <v>38</v>
      </c>
      <c r="K829" t="s">
        <v>39</v>
      </c>
      <c r="L829" s="26">
        <f>VLOOKUP(A829,'[3]Price info'!A:D,4,FALSE)</f>
        <v>2.34</v>
      </c>
      <c r="M829" s="18" t="s">
        <v>40</v>
      </c>
      <c r="N829" s="20">
        <v>3105</v>
      </c>
      <c r="P829" s="16">
        <f>VLOOKUP(A829,'[3]Price info'!A:H,8,FALSE)</f>
        <v>2.1785399999999999</v>
      </c>
      <c r="Q829" s="27">
        <f t="shared" si="49"/>
        <v>0.93100000000000005</v>
      </c>
      <c r="S829" s="16" t="e">
        <f>VLOOKUP(A829,[4]Sales!$E:$G,3,FALSE)</f>
        <v>#N/A</v>
      </c>
      <c r="T829" s="19" t="e">
        <f>VLOOKUP(A829,[4]Volume!$E:$G,3,FALSE)</f>
        <v>#N/A</v>
      </c>
      <c r="U829" s="19" t="e">
        <f>VLOOKUP(A829,[4]Piece!$E:$G,3,FALSE)</f>
        <v>#N/A</v>
      </c>
      <c r="V829" s="21" t="e">
        <f t="shared" si="50"/>
        <v>#N/A</v>
      </c>
      <c r="W829" s="16" t="e">
        <f t="shared" si="51"/>
        <v>#N/A</v>
      </c>
    </row>
    <row r="830" spans="1:23" hidden="1" x14ac:dyDescent="0.3">
      <c r="A830" s="46" t="s">
        <v>1661</v>
      </c>
      <c r="B830" s="46" t="s">
        <v>1661</v>
      </c>
      <c r="C830" s="47" t="s">
        <v>33</v>
      </c>
      <c r="D830" s="48" t="s">
        <v>34</v>
      </c>
      <c r="E830" s="18" t="s">
        <v>1662</v>
      </c>
      <c r="F830" s="24" t="str">
        <f t="shared" si="48"/>
        <v>PPG - K     ROLLER TRAY  9" 330H</v>
      </c>
      <c r="G830" s="20" t="s">
        <v>5703</v>
      </c>
      <c r="H830" s="49" t="s">
        <v>213</v>
      </c>
      <c r="I830" s="18" t="s">
        <v>37</v>
      </c>
      <c r="J830" s="18" t="s">
        <v>38</v>
      </c>
      <c r="K830" t="s">
        <v>39</v>
      </c>
      <c r="L830" s="50">
        <f>VLOOKUP(A830,'[3]Price info'!A:D,4,FALSE)</f>
        <v>2.74</v>
      </c>
      <c r="M830" s="18" t="s">
        <v>214</v>
      </c>
      <c r="N830" s="20">
        <v>3105</v>
      </c>
      <c r="P830" s="16">
        <f>VLOOKUP(A830,'[3]Price info'!A:H,8,FALSE)</f>
        <v>2.13</v>
      </c>
      <c r="Q830" s="17">
        <f t="shared" si="49"/>
        <v>0.77737226277372251</v>
      </c>
      <c r="S830" s="16">
        <f>VLOOKUP(A830,[4]Sales!$E:$G,3,FALSE)</f>
        <v>36.83</v>
      </c>
      <c r="T830" s="19">
        <f>VLOOKUP(A830,[4]Volume!$E:$G,3,FALSE)</f>
        <v>17</v>
      </c>
      <c r="U830" s="19">
        <f>VLOOKUP(A830,[4]Piece!$E:$G,3,FALSE)</f>
        <v>17</v>
      </c>
      <c r="V830" s="21">
        <f t="shared" si="50"/>
        <v>36.21</v>
      </c>
      <c r="W830" s="16">
        <f t="shared" si="51"/>
        <v>-0.61999999999999744</v>
      </c>
    </row>
    <row r="831" spans="1:23" hidden="1" x14ac:dyDescent="0.3">
      <c r="A831" s="46" t="s">
        <v>1663</v>
      </c>
      <c r="B831" s="46" t="s">
        <v>1663</v>
      </c>
      <c r="C831" s="51" t="s">
        <v>33</v>
      </c>
      <c r="D831" s="48" t="s">
        <v>34</v>
      </c>
      <c r="E831" s="18" t="s">
        <v>1664</v>
      </c>
      <c r="F831" s="24" t="str">
        <f t="shared" si="48"/>
        <v>PPG - THINNER 20-05               0000TREU1500</v>
      </c>
      <c r="G831" s="20" t="s">
        <v>5704</v>
      </c>
      <c r="H831" s="49" t="s">
        <v>213</v>
      </c>
      <c r="I831" s="18" t="s">
        <v>37</v>
      </c>
      <c r="J831" s="18" t="s">
        <v>38</v>
      </c>
      <c r="K831" t="s">
        <v>39</v>
      </c>
      <c r="L831" s="50">
        <f>VLOOKUP(A831,'[3]Price info'!A:D,4,FALSE)</f>
        <v>60.24</v>
      </c>
      <c r="M831" s="18" t="s">
        <v>214</v>
      </c>
      <c r="N831" s="20">
        <v>3105</v>
      </c>
      <c r="P831" s="16">
        <f>VLOOKUP(A831,'[3]Price info'!A:H,8,FALSE)</f>
        <v>54.22</v>
      </c>
      <c r="Q831" s="17">
        <f t="shared" si="49"/>
        <v>0.90006640106241698</v>
      </c>
      <c r="S831" s="16" t="e">
        <f>VLOOKUP(A831,[4]Sales!$E:$G,3,FALSE)</f>
        <v>#N/A</v>
      </c>
      <c r="T831" s="19" t="e">
        <f>VLOOKUP(A831,[4]Volume!$E:$G,3,FALSE)</f>
        <v>#N/A</v>
      </c>
      <c r="U831" s="19" t="e">
        <f>VLOOKUP(A831,[4]Piece!$E:$G,3,FALSE)</f>
        <v>#N/A</v>
      </c>
      <c r="V831" s="21" t="e">
        <f t="shared" si="50"/>
        <v>#N/A</v>
      </c>
      <c r="W831" s="16" t="e">
        <f t="shared" si="51"/>
        <v>#N/A</v>
      </c>
    </row>
    <row r="832" spans="1:23" hidden="1" x14ac:dyDescent="0.3">
      <c r="A832" s="46" t="s">
        <v>1665</v>
      </c>
      <c r="B832" s="46" t="s">
        <v>1665</v>
      </c>
      <c r="C832" s="47" t="s">
        <v>33</v>
      </c>
      <c r="D832" s="48" t="s">
        <v>34</v>
      </c>
      <c r="E832" s="18" t="s">
        <v>1666</v>
      </c>
      <c r="F832" s="24" t="str">
        <f t="shared" si="48"/>
        <v>PPG - K     EXT POLE     4-7'</v>
      </c>
      <c r="G832" s="20" t="s">
        <v>5705</v>
      </c>
      <c r="H832" s="49" t="s">
        <v>213</v>
      </c>
      <c r="I832" s="18" t="s">
        <v>37</v>
      </c>
      <c r="J832" s="18" t="s">
        <v>38</v>
      </c>
      <c r="K832" t="s">
        <v>39</v>
      </c>
      <c r="L832" s="50">
        <f>VLOOKUP(A832,'[3]Price info'!A:D,4,FALSE)</f>
        <v>5.29</v>
      </c>
      <c r="M832" s="18" t="s">
        <v>214</v>
      </c>
      <c r="N832" s="20">
        <v>3105</v>
      </c>
      <c r="P832" s="16">
        <f>VLOOKUP(A832,'[3]Price info'!A:H,8,FALSE)</f>
        <v>4.9249900000000002</v>
      </c>
      <c r="Q832" s="17">
        <f t="shared" si="49"/>
        <v>0.93100000000000005</v>
      </c>
      <c r="S832" s="16">
        <f>VLOOKUP(A832,[4]Sales!$E:$G,3,FALSE)</f>
        <v>76.759999999999991</v>
      </c>
      <c r="T832" s="19">
        <f>VLOOKUP(A832,[4]Volume!$E:$G,3,FALSE)</f>
        <v>15</v>
      </c>
      <c r="U832" s="19">
        <f>VLOOKUP(A832,[4]Piece!$E:$G,3,FALSE)</f>
        <v>15</v>
      </c>
      <c r="V832" s="21">
        <f t="shared" si="50"/>
        <v>73.874850000000009</v>
      </c>
      <c r="W832" s="16">
        <f t="shared" si="51"/>
        <v>-2.8851499999999817</v>
      </c>
    </row>
    <row r="833" spans="1:23" hidden="1" x14ac:dyDescent="0.3">
      <c r="A833" s="46" t="s">
        <v>1667</v>
      </c>
      <c r="B833" s="46" t="s">
        <v>1667</v>
      </c>
      <c r="C833" s="47" t="s">
        <v>33</v>
      </c>
      <c r="D833" s="48" t="s">
        <v>34</v>
      </c>
      <c r="E833" s="18" t="s">
        <v>1668</v>
      </c>
      <c r="F833" s="24" t="str">
        <f t="shared" si="48"/>
        <v>PPG - SD S'DUR 550 SET (X)        XXXXCCEU1400</v>
      </c>
      <c r="G833" s="20" t="s">
        <v>5706</v>
      </c>
      <c r="H833" s="49" t="s">
        <v>213</v>
      </c>
      <c r="I833" s="18" t="s">
        <v>37</v>
      </c>
      <c r="J833" s="18" t="s">
        <v>38</v>
      </c>
      <c r="K833" t="s">
        <v>39</v>
      </c>
      <c r="L833" s="50">
        <f>VLOOKUP(A833,'[3]Price info'!A:D,4,FALSE)</f>
        <v>220.49</v>
      </c>
      <c r="M833" s="18" t="s">
        <v>214</v>
      </c>
      <c r="N833" s="20">
        <v>3105</v>
      </c>
      <c r="P833" s="16">
        <f>VLOOKUP(A833,'[3]Price info'!A:H,8,FALSE)</f>
        <v>205.27619000000001</v>
      </c>
      <c r="Q833" s="17">
        <f t="shared" si="49"/>
        <v>0.93100000000000005</v>
      </c>
      <c r="S833" s="16" t="e">
        <f>VLOOKUP(A833,[4]Sales!$E:$G,3,FALSE)</f>
        <v>#N/A</v>
      </c>
      <c r="T833" s="19" t="e">
        <f>VLOOKUP(A833,[4]Volume!$E:$G,3,FALSE)</f>
        <v>#N/A</v>
      </c>
      <c r="U833" s="19" t="e">
        <f>VLOOKUP(A833,[4]Piece!$E:$G,3,FALSE)</f>
        <v>#N/A</v>
      </c>
      <c r="V833" s="21" t="e">
        <f t="shared" si="50"/>
        <v>#N/A</v>
      </c>
      <c r="W833" s="16" t="e">
        <f t="shared" si="51"/>
        <v>#N/A</v>
      </c>
    </row>
    <row r="834" spans="1:23" hidden="1" x14ac:dyDescent="0.3">
      <c r="A834" s="22" t="s">
        <v>1669</v>
      </c>
      <c r="B834" s="22" t="s">
        <v>1669</v>
      </c>
      <c r="C834" s="23" t="s">
        <v>33</v>
      </c>
      <c r="D834" s="20" t="s">
        <v>34</v>
      </c>
      <c r="E834" s="22" t="s">
        <v>1670</v>
      </c>
      <c r="F834" s="24" t="str">
        <f t="shared" si="48"/>
        <v>PPG - Johnstones FLORTRED White - 2.5ltr</v>
      </c>
      <c r="G834" s="23" t="s">
        <v>5707</v>
      </c>
      <c r="H834" s="25" t="s">
        <v>36</v>
      </c>
      <c r="I834" s="18" t="s">
        <v>37</v>
      </c>
      <c r="J834" s="18" t="s">
        <v>38</v>
      </c>
      <c r="K834" t="s">
        <v>39</v>
      </c>
      <c r="L834" s="26">
        <f>VLOOKUP(A834,'[3]Price info'!A:D,4,FALSE)</f>
        <v>34.83</v>
      </c>
      <c r="M834" s="18" t="s">
        <v>40</v>
      </c>
      <c r="N834" s="20">
        <v>3105</v>
      </c>
      <c r="P834" s="16">
        <f>VLOOKUP(A834,'[3]Price info'!A:H,8,FALSE)</f>
        <v>12.67</v>
      </c>
      <c r="Q834" s="27">
        <f t="shared" si="49"/>
        <v>0.36376686764283667</v>
      </c>
      <c r="S834" s="16">
        <f>VLOOKUP(A834,[4]Sales!$E:$G,3,FALSE)</f>
        <v>38.01</v>
      </c>
      <c r="T834" s="19">
        <f>VLOOKUP(A834,[4]Volume!$E:$G,3,FALSE)</f>
        <v>7.5</v>
      </c>
      <c r="U834" s="19">
        <f>VLOOKUP(A834,[4]Piece!$E:$G,3,FALSE)</f>
        <v>3</v>
      </c>
      <c r="V834" s="21">
        <f t="shared" si="50"/>
        <v>38.01</v>
      </c>
      <c r="W834" s="16">
        <f t="shared" si="51"/>
        <v>0</v>
      </c>
    </row>
    <row r="835" spans="1:23" hidden="1" x14ac:dyDescent="0.3">
      <c r="A835" s="22" t="s">
        <v>1671</v>
      </c>
      <c r="B835" s="22" t="s">
        <v>1671</v>
      </c>
      <c r="C835" s="23" t="s">
        <v>33</v>
      </c>
      <c r="D835" s="20" t="s">
        <v>34</v>
      </c>
      <c r="E835" s="22" t="s">
        <v>1672</v>
      </c>
      <c r="F835" s="24" t="str">
        <f t="shared" ref="F835:F898" si="52">D835&amp;" - "&amp;E835</f>
        <v>PPG - ProGold SMOOTH ROLLER 9"</v>
      </c>
      <c r="G835" s="23" t="s">
        <v>5708</v>
      </c>
      <c r="H835" s="25" t="s">
        <v>36</v>
      </c>
      <c r="I835" s="18" t="s">
        <v>37</v>
      </c>
      <c r="J835" s="18" t="s">
        <v>38</v>
      </c>
      <c r="K835" t="s">
        <v>39</v>
      </c>
      <c r="L835" s="26">
        <f>VLOOKUP(A835,'[3]Price info'!A:D,4,FALSE)</f>
        <v>2.11</v>
      </c>
      <c r="M835" s="18" t="s">
        <v>40</v>
      </c>
      <c r="N835" s="20">
        <v>3105</v>
      </c>
      <c r="P835" s="16">
        <f>VLOOKUP(A835,'[3]Price info'!A:H,8,FALSE)</f>
        <v>1.96441</v>
      </c>
      <c r="Q835" s="27">
        <f t="shared" ref="Q835:Q898" si="53">P835/L835</f>
        <v>0.93100000000000005</v>
      </c>
      <c r="S835" s="16">
        <f>VLOOKUP(A835,[4]Sales!$E:$G,3,FALSE)</f>
        <v>59.959999999999994</v>
      </c>
      <c r="T835" s="19">
        <f>VLOOKUP(A835,[4]Volume!$E:$G,3,FALSE)</f>
        <v>30</v>
      </c>
      <c r="U835" s="19">
        <f>VLOOKUP(A835,[4]Piece!$E:$G,3,FALSE)</f>
        <v>30</v>
      </c>
      <c r="V835" s="21">
        <f t="shared" ref="V835:V898" si="54">U835*P835</f>
        <v>58.932299999999998</v>
      </c>
      <c r="W835" s="16">
        <f t="shared" ref="W835:W898" si="55">V835-S835</f>
        <v>-1.0276999999999958</v>
      </c>
    </row>
    <row r="836" spans="1:23" hidden="1" x14ac:dyDescent="0.3">
      <c r="A836" s="22" t="s">
        <v>1673</v>
      </c>
      <c r="B836" s="22" t="s">
        <v>1673</v>
      </c>
      <c r="C836" s="23" t="s">
        <v>33</v>
      </c>
      <c r="D836" s="20" t="s">
        <v>34</v>
      </c>
      <c r="E836" s="22" t="s">
        <v>1674</v>
      </c>
      <c r="F836" s="24" t="str">
        <f t="shared" si="52"/>
        <v>PPG - Leyland FAST DRYING WB U/COAT - Mix - 2.5ltr</v>
      </c>
      <c r="G836" s="23" t="s">
        <v>5709</v>
      </c>
      <c r="H836" s="25" t="s">
        <v>36</v>
      </c>
      <c r="I836" s="18" t="s">
        <v>37</v>
      </c>
      <c r="J836" s="18" t="s">
        <v>38</v>
      </c>
      <c r="K836" t="s">
        <v>39</v>
      </c>
      <c r="L836" s="26">
        <f>VLOOKUP(A836,'[3]Price info'!A:D,4,FALSE)</f>
        <v>34.409999999999997</v>
      </c>
      <c r="M836" s="18" t="s">
        <v>40</v>
      </c>
      <c r="N836" s="20">
        <v>3105</v>
      </c>
      <c r="P836" s="16">
        <f>VLOOKUP(A836,'[3]Price info'!A:H,8,FALSE)</f>
        <v>17.736499999999999</v>
      </c>
      <c r="Q836" s="27">
        <f t="shared" si="53"/>
        <v>0.51544609125254293</v>
      </c>
      <c r="S836" s="16">
        <f>VLOOKUP(A836,[4]Sales!$E:$G,3,FALSE)</f>
        <v>18.670000000000002</v>
      </c>
      <c r="T836" s="19">
        <f>VLOOKUP(A836,[4]Volume!$E:$G,3,FALSE)</f>
        <v>2.5</v>
      </c>
      <c r="U836" s="19">
        <f>VLOOKUP(A836,[4]Piece!$E:$G,3,FALSE)</f>
        <v>1</v>
      </c>
      <c r="V836" s="21">
        <f t="shared" si="54"/>
        <v>17.736499999999999</v>
      </c>
      <c r="W836" s="16">
        <f t="shared" si="55"/>
        <v>-0.93350000000000222</v>
      </c>
    </row>
    <row r="837" spans="1:23" hidden="1" x14ac:dyDescent="0.3">
      <c r="A837" s="46" t="s">
        <v>1675</v>
      </c>
      <c r="B837" s="46" t="s">
        <v>1675</v>
      </c>
      <c r="C837" s="51" t="s">
        <v>33</v>
      </c>
      <c r="D837" s="48" t="s">
        <v>34</v>
      </c>
      <c r="E837" s="18" t="s">
        <v>1676</v>
      </c>
      <c r="F837" s="24" t="str">
        <f t="shared" si="52"/>
        <v>PPG - G&amp;B   FRESCO 12011 BUCKINGHAM PG.HR</v>
      </c>
      <c r="G837" s="20" t="s">
        <v>5710</v>
      </c>
      <c r="H837" s="49" t="s">
        <v>213</v>
      </c>
      <c r="I837" s="18" t="s">
        <v>37</v>
      </c>
      <c r="J837" s="18" t="s">
        <v>38</v>
      </c>
      <c r="K837" t="s">
        <v>39</v>
      </c>
      <c r="L837" s="50">
        <f>VLOOKUP(A837,'[3]Price info'!A:D,4,FALSE)</f>
        <v>8.5399999999999991</v>
      </c>
      <c r="M837" s="18" t="s">
        <v>214</v>
      </c>
      <c r="N837" s="20">
        <v>3105</v>
      </c>
      <c r="P837" s="16">
        <f>VLOOKUP(A837,'[3]Price info'!A:H,8,FALSE)</f>
        <v>7.9860000000000007</v>
      </c>
      <c r="Q837" s="17">
        <f t="shared" si="53"/>
        <v>0.93512880562060907</v>
      </c>
      <c r="S837" s="16">
        <f>VLOOKUP(A837,[4]Sales!$E:$G,3,FALSE)</f>
        <v>14.52</v>
      </c>
      <c r="T837" s="19">
        <f>VLOOKUP(A837,[4]Volume!$E:$G,3,FALSE)</f>
        <v>2</v>
      </c>
      <c r="U837" s="19">
        <f>VLOOKUP(A837,[4]Piece!$E:$G,3,FALSE)</f>
        <v>2</v>
      </c>
      <c r="V837" s="21">
        <f t="shared" si="54"/>
        <v>15.972000000000001</v>
      </c>
      <c r="W837" s="16">
        <f t="shared" si="55"/>
        <v>1.4520000000000017</v>
      </c>
    </row>
    <row r="838" spans="1:23" hidden="1" x14ac:dyDescent="0.3">
      <c r="A838" s="22" t="s">
        <v>1677</v>
      </c>
      <c r="B838" s="22" t="s">
        <v>1677</v>
      </c>
      <c r="C838" s="23" t="s">
        <v>33</v>
      </c>
      <c r="D838" s="20" t="s">
        <v>34</v>
      </c>
      <c r="E838" s="22" t="s">
        <v>1678</v>
      </c>
      <c r="F838" s="24" t="str">
        <f t="shared" si="52"/>
        <v>PPG - ProGold CLASSIC HYBRID BRUSH 0.5"</v>
      </c>
      <c r="G838" s="23" t="s">
        <v>5711</v>
      </c>
      <c r="H838" s="25" t="s">
        <v>36</v>
      </c>
      <c r="I838" s="18" t="s">
        <v>37</v>
      </c>
      <c r="J838" s="18" t="s">
        <v>38</v>
      </c>
      <c r="K838" t="s">
        <v>39</v>
      </c>
      <c r="L838" s="26">
        <f>VLOOKUP(A838,'[3]Price info'!A:D,4,FALSE)</f>
        <v>2.11</v>
      </c>
      <c r="M838" s="18" t="s">
        <v>40</v>
      </c>
      <c r="N838" s="20">
        <v>3105</v>
      </c>
      <c r="P838" s="16">
        <f>VLOOKUP(A838,'[3]Price info'!A:H,8,FALSE)</f>
        <v>1.96441</v>
      </c>
      <c r="Q838" s="27">
        <f t="shared" si="53"/>
        <v>0.93100000000000005</v>
      </c>
      <c r="S838" s="16">
        <f>VLOOKUP(A838,[4]Sales!$E:$G,3,FALSE)</f>
        <v>7.84</v>
      </c>
      <c r="T838" s="19">
        <f>VLOOKUP(A838,[4]Volume!$E:$G,3,FALSE)</f>
        <v>4</v>
      </c>
      <c r="U838" s="19">
        <f>VLOOKUP(A838,[4]Piece!$E:$G,3,FALSE)</f>
        <v>4</v>
      </c>
      <c r="V838" s="21">
        <f t="shared" si="54"/>
        <v>7.85764</v>
      </c>
      <c r="W838" s="16">
        <f t="shared" si="55"/>
        <v>1.76400000000001E-2</v>
      </c>
    </row>
    <row r="839" spans="1:23" hidden="1" x14ac:dyDescent="0.3">
      <c r="A839" s="22" t="s">
        <v>1679</v>
      </c>
      <c r="B839" s="22" t="s">
        <v>1679</v>
      </c>
      <c r="C839" s="23" t="s">
        <v>33</v>
      </c>
      <c r="D839" s="20" t="s">
        <v>34</v>
      </c>
      <c r="E839" s="22" t="s">
        <v>1680</v>
      </c>
      <c r="F839" s="24" t="str">
        <f t="shared" si="52"/>
        <v>PPG - Johnstones PRO GLOSS - Magnolia - 2.5ltr</v>
      </c>
      <c r="G839" s="23" t="s">
        <v>5712</v>
      </c>
      <c r="H839" s="25" t="s">
        <v>36</v>
      </c>
      <c r="I839" s="18" t="s">
        <v>37</v>
      </c>
      <c r="J839" s="18" t="s">
        <v>38</v>
      </c>
      <c r="K839" t="s">
        <v>39</v>
      </c>
      <c r="L839" s="26">
        <f>VLOOKUP(A839,'[3]Price info'!A:D,4,FALSE)</f>
        <v>11.76</v>
      </c>
      <c r="M839" s="18" t="s">
        <v>40</v>
      </c>
      <c r="N839" s="20">
        <v>3105</v>
      </c>
      <c r="P839" s="16">
        <f>VLOOKUP(A839,'[3]Price info'!A:H,8,FALSE)</f>
        <v>14.2</v>
      </c>
      <c r="Q839" s="27">
        <f t="shared" si="53"/>
        <v>1.2074829931972788</v>
      </c>
      <c r="S839" s="16">
        <f>VLOOKUP(A839,[4]Sales!$E:$G,3,FALSE)</f>
        <v>16.899999999999999</v>
      </c>
      <c r="T839" s="19">
        <f>VLOOKUP(A839,[4]Volume!$E:$G,3,FALSE)</f>
        <v>5</v>
      </c>
      <c r="U839" s="19">
        <f>VLOOKUP(A839,[4]Piece!$E:$G,3,FALSE)</f>
        <v>2</v>
      </c>
      <c r="V839" s="21">
        <f t="shared" si="54"/>
        <v>28.4</v>
      </c>
      <c r="W839" s="16">
        <f t="shared" si="55"/>
        <v>11.5</v>
      </c>
    </row>
    <row r="840" spans="1:23" hidden="1" x14ac:dyDescent="0.3">
      <c r="A840" s="22" t="s">
        <v>1681</v>
      </c>
      <c r="B840" s="22" t="s">
        <v>1681</v>
      </c>
      <c r="C840" s="23" t="s">
        <v>33</v>
      </c>
      <c r="D840" s="20" t="s">
        <v>34</v>
      </c>
      <c r="E840" s="22" t="s">
        <v>1682</v>
      </c>
      <c r="F840" s="24" t="str">
        <f t="shared" si="52"/>
        <v>PPG - Johnstones WOOD PRIMER - White - 2.5ltr</v>
      </c>
      <c r="G840" s="23" t="s">
        <v>5713</v>
      </c>
      <c r="H840" s="25" t="s">
        <v>36</v>
      </c>
      <c r="I840" s="18" t="s">
        <v>37</v>
      </c>
      <c r="J840" s="18" t="s">
        <v>38</v>
      </c>
      <c r="K840" t="s">
        <v>39</v>
      </c>
      <c r="L840" s="26">
        <f>VLOOKUP(A840,'[3]Price info'!A:D,4,FALSE)</f>
        <v>17.239999999999998</v>
      </c>
      <c r="M840" s="18" t="s">
        <v>40</v>
      </c>
      <c r="N840" s="20">
        <v>3105</v>
      </c>
      <c r="P840" s="16">
        <f>VLOOKUP(A840,'[3]Price info'!A:H,8,FALSE)</f>
        <v>16.050439999999998</v>
      </c>
      <c r="Q840" s="27">
        <f t="shared" si="53"/>
        <v>0.93099999999999994</v>
      </c>
      <c r="S840" s="16">
        <f>VLOOKUP(A840,[4]Sales!$E:$G,3,FALSE)</f>
        <v>0</v>
      </c>
      <c r="T840" s="19">
        <f>VLOOKUP(A840,[4]Volume!$E:$G,3,FALSE)</f>
        <v>0</v>
      </c>
      <c r="U840" s="19">
        <f>VLOOKUP(A840,[4]Piece!$E:$G,3,FALSE)</f>
        <v>0</v>
      </c>
      <c r="V840" s="21">
        <f t="shared" si="54"/>
        <v>0</v>
      </c>
      <c r="W840" s="16">
        <f t="shared" si="55"/>
        <v>0</v>
      </c>
    </row>
    <row r="841" spans="1:23" hidden="1" x14ac:dyDescent="0.3">
      <c r="A841" s="46" t="s">
        <v>1683</v>
      </c>
      <c r="B841" s="46" t="s">
        <v>1683</v>
      </c>
      <c r="C841" s="47" t="s">
        <v>33</v>
      </c>
      <c r="D841" s="48" t="s">
        <v>34</v>
      </c>
      <c r="E841" s="18" t="s">
        <v>1684</v>
      </c>
      <c r="F841" s="24" t="str">
        <f t="shared" si="52"/>
        <v>PPG - RODO  4PCK FILLING BLADES     1X50,80,10</v>
      </c>
      <c r="G841" s="20" t="s">
        <v>5714</v>
      </c>
      <c r="H841" s="49" t="s">
        <v>213</v>
      </c>
      <c r="I841" s="18" t="s">
        <v>37</v>
      </c>
      <c r="J841" s="18" t="s">
        <v>38</v>
      </c>
      <c r="K841" t="s">
        <v>39</v>
      </c>
      <c r="L841" s="50">
        <f>VLOOKUP(A841,'[3]Price info'!A:D,4,FALSE)</f>
        <v>3.47</v>
      </c>
      <c r="M841" s="18" t="s">
        <v>214</v>
      </c>
      <c r="N841" s="20">
        <v>3105</v>
      </c>
      <c r="P841" s="16">
        <f>VLOOKUP(A841,'[3]Price info'!A:H,8,FALSE)</f>
        <v>3.2305700000000002</v>
      </c>
      <c r="Q841" s="17">
        <f t="shared" si="53"/>
        <v>0.93100000000000005</v>
      </c>
      <c r="S841" s="16">
        <f>VLOOKUP(A841,[4]Sales!$E:$G,3,FALSE)</f>
        <v>110.56</v>
      </c>
      <c r="T841" s="19">
        <f>VLOOKUP(A841,[4]Volume!$E:$G,3,FALSE)</f>
        <v>32</v>
      </c>
      <c r="U841" s="19">
        <f>VLOOKUP(A841,[4]Piece!$E:$G,3,FALSE)</f>
        <v>32</v>
      </c>
      <c r="V841" s="21">
        <f t="shared" si="54"/>
        <v>103.37824000000001</v>
      </c>
      <c r="W841" s="16">
        <f t="shared" si="55"/>
        <v>-7.181759999999997</v>
      </c>
    </row>
    <row r="842" spans="1:23" hidden="1" x14ac:dyDescent="0.3">
      <c r="A842" s="22" t="s">
        <v>1685</v>
      </c>
      <c r="B842" s="22" t="s">
        <v>1685</v>
      </c>
      <c r="C842" s="23" t="s">
        <v>33</v>
      </c>
      <c r="D842" s="20" t="s">
        <v>34</v>
      </c>
      <c r="E842" s="22" t="s">
        <v>1686</v>
      </c>
      <c r="F842" s="24" t="str">
        <f t="shared" si="52"/>
        <v>PPG - FatHog GENERAL PURPOSE SILICONE WHITE -295ml</v>
      </c>
      <c r="G842" s="23" t="s">
        <v>5715</v>
      </c>
      <c r="H842" s="25" t="s">
        <v>36</v>
      </c>
      <c r="I842" s="18" t="s">
        <v>37</v>
      </c>
      <c r="J842" s="18" t="s">
        <v>38</v>
      </c>
      <c r="K842" t="s">
        <v>39</v>
      </c>
      <c r="L842" s="26">
        <f>VLOOKUP(A842,'[3]Price info'!A:D,4,FALSE)</f>
        <v>2.34</v>
      </c>
      <c r="M842" s="18" t="s">
        <v>40</v>
      </c>
      <c r="N842" s="20">
        <v>3105</v>
      </c>
      <c r="P842" s="16">
        <f>VLOOKUP(A842,'[3]Price info'!A:H,8,FALSE)</f>
        <v>2.1785399999999999</v>
      </c>
      <c r="Q842" s="27">
        <f t="shared" si="53"/>
        <v>0.93100000000000005</v>
      </c>
      <c r="S842" s="16" t="e">
        <f>VLOOKUP(A842,[4]Sales!$E:$G,3,FALSE)</f>
        <v>#N/A</v>
      </c>
      <c r="T842" s="19" t="e">
        <f>VLOOKUP(A842,[4]Volume!$E:$G,3,FALSE)</f>
        <v>#N/A</v>
      </c>
      <c r="U842" s="19" t="e">
        <f>VLOOKUP(A842,[4]Piece!$E:$G,3,FALSE)</f>
        <v>#N/A</v>
      </c>
      <c r="V842" s="21" t="e">
        <f t="shared" si="54"/>
        <v>#N/A</v>
      </c>
      <c r="W842" s="16" t="e">
        <f t="shared" si="55"/>
        <v>#N/A</v>
      </c>
    </row>
    <row r="843" spans="1:23" hidden="1" x14ac:dyDescent="0.3">
      <c r="A843" s="22" t="s">
        <v>1687</v>
      </c>
      <c r="B843" s="22" t="s">
        <v>1687</v>
      </c>
      <c r="C843" s="23" t="s">
        <v>33</v>
      </c>
      <c r="D843" s="20" t="s">
        <v>34</v>
      </c>
      <c r="E843" s="22" t="s">
        <v>1688</v>
      </c>
      <c r="F843" s="24" t="str">
        <f t="shared" si="52"/>
        <v>PPG - Leyland VINYL MATT - Black - 1ltr</v>
      </c>
      <c r="G843" s="23" t="s">
        <v>5716</v>
      </c>
      <c r="H843" s="25" t="s">
        <v>36</v>
      </c>
      <c r="I843" s="18" t="s">
        <v>37</v>
      </c>
      <c r="J843" s="18" t="s">
        <v>38</v>
      </c>
      <c r="K843" t="s">
        <v>39</v>
      </c>
      <c r="L843" s="26">
        <f>VLOOKUP(A843,'[3]Price info'!A:D,4,FALSE)</f>
        <v>10.81</v>
      </c>
      <c r="M843" s="18" t="s">
        <v>40</v>
      </c>
      <c r="N843" s="20">
        <v>3105</v>
      </c>
      <c r="P843" s="16">
        <f>VLOOKUP(A843,'[3]Price info'!A:H,8,FALSE)</f>
        <v>4.4400000000000004</v>
      </c>
      <c r="Q843" s="27">
        <f t="shared" si="53"/>
        <v>0.41073080481036078</v>
      </c>
      <c r="S843" s="16">
        <f>VLOOKUP(A843,[4]Sales!$E:$G,3,FALSE)</f>
        <v>0</v>
      </c>
      <c r="T843" s="19">
        <f>VLOOKUP(A843,[4]Volume!$E:$G,3,FALSE)</f>
        <v>0</v>
      </c>
      <c r="U843" s="19">
        <f>VLOOKUP(A843,[4]Piece!$E:$G,3,FALSE)</f>
        <v>0</v>
      </c>
      <c r="V843" s="21">
        <f t="shared" si="54"/>
        <v>0</v>
      </c>
      <c r="W843" s="16">
        <f t="shared" si="55"/>
        <v>0</v>
      </c>
    </row>
    <row r="844" spans="1:23" hidden="1" x14ac:dyDescent="0.3">
      <c r="A844" s="46" t="s">
        <v>1689</v>
      </c>
      <c r="B844" s="46" t="s">
        <v>1689</v>
      </c>
      <c r="C844" s="47" t="s">
        <v>33</v>
      </c>
      <c r="D844" s="48" t="s">
        <v>34</v>
      </c>
      <c r="E844" s="18" t="s">
        <v>1690</v>
      </c>
      <c r="F844" s="24" t="str">
        <f t="shared" si="52"/>
        <v>PPG - RODO  5L MINI      SCUTTLE    BPSM</v>
      </c>
      <c r="G844" s="20" t="s">
        <v>5717</v>
      </c>
      <c r="H844" s="49" t="s">
        <v>213</v>
      </c>
      <c r="I844" s="18" t="s">
        <v>37</v>
      </c>
      <c r="J844" s="18" t="s">
        <v>38</v>
      </c>
      <c r="K844" t="s">
        <v>39</v>
      </c>
      <c r="L844" s="50">
        <f>VLOOKUP(A844,'[3]Price info'!A:D,4,FALSE)</f>
        <v>2.5</v>
      </c>
      <c r="M844" s="18" t="s">
        <v>214</v>
      </c>
      <c r="N844" s="20">
        <v>3105</v>
      </c>
      <c r="P844" s="16">
        <f>VLOOKUP(A844,'[3]Price info'!A:H,8,FALSE)</f>
        <v>2.3275000000000001</v>
      </c>
      <c r="Q844" s="17">
        <f t="shared" si="53"/>
        <v>0.93100000000000005</v>
      </c>
      <c r="S844" s="16">
        <f>VLOOKUP(A844,[4]Sales!$E:$G,3,FALSE)</f>
        <v>40.120000000000005</v>
      </c>
      <c r="T844" s="19">
        <f>VLOOKUP(A844,[4]Volume!$E:$G,3,FALSE)</f>
        <v>17</v>
      </c>
      <c r="U844" s="19">
        <f>VLOOKUP(A844,[4]Piece!$E:$G,3,FALSE)</f>
        <v>17</v>
      </c>
      <c r="V844" s="21">
        <f t="shared" si="54"/>
        <v>39.567500000000003</v>
      </c>
      <c r="W844" s="16">
        <f t="shared" si="55"/>
        <v>-0.55250000000000199</v>
      </c>
    </row>
    <row r="845" spans="1:23" hidden="1" x14ac:dyDescent="0.3">
      <c r="A845" s="22" t="s">
        <v>1691</v>
      </c>
      <c r="B845" s="22" t="s">
        <v>1691</v>
      </c>
      <c r="C845" s="23" t="s">
        <v>33</v>
      </c>
      <c r="D845" s="20" t="s">
        <v>34</v>
      </c>
      <c r="E845" s="22" t="s">
        <v>1692</v>
      </c>
      <c r="F845" s="24" t="str">
        <f t="shared" si="52"/>
        <v>PPG - ProGold COTTON TWILL DUST SHEET MINI 6' X 3'</v>
      </c>
      <c r="G845" s="23" t="s">
        <v>5718</v>
      </c>
      <c r="H845" s="25" t="s">
        <v>36</v>
      </c>
      <c r="I845" s="18" t="s">
        <v>37</v>
      </c>
      <c r="J845" s="18" t="s">
        <v>38</v>
      </c>
      <c r="K845" t="s">
        <v>39</v>
      </c>
      <c r="L845" s="26">
        <f>VLOOKUP(A845,'[3]Price info'!A:D,4,FALSE)</f>
        <v>4.95</v>
      </c>
      <c r="M845" s="18" t="s">
        <v>40</v>
      </c>
      <c r="N845" s="20">
        <v>3105</v>
      </c>
      <c r="P845" s="16">
        <f>VLOOKUP(A845,'[3]Price info'!A:H,8,FALSE)</f>
        <v>4.6084500000000004</v>
      </c>
      <c r="Q845" s="27">
        <f t="shared" si="53"/>
        <v>0.93100000000000005</v>
      </c>
      <c r="S845" s="16">
        <f>VLOOKUP(A845,[4]Sales!$E:$G,3,FALSE)</f>
        <v>37.22</v>
      </c>
      <c r="T845" s="19">
        <f>VLOOKUP(A845,[4]Volume!$E:$G,3,FALSE)</f>
        <v>8</v>
      </c>
      <c r="U845" s="19">
        <f>VLOOKUP(A845,[4]Piece!$E:$G,3,FALSE)</f>
        <v>8</v>
      </c>
      <c r="V845" s="21">
        <f t="shared" si="54"/>
        <v>36.867600000000003</v>
      </c>
      <c r="W845" s="16">
        <f t="shared" si="55"/>
        <v>-0.35239999999999583</v>
      </c>
    </row>
    <row r="846" spans="1:23" hidden="1" x14ac:dyDescent="0.3">
      <c r="A846" s="22" t="s">
        <v>1693</v>
      </c>
      <c r="B846" s="22" t="s">
        <v>1693</v>
      </c>
      <c r="C846" s="23" t="s">
        <v>33</v>
      </c>
      <c r="D846" s="20" t="s">
        <v>34</v>
      </c>
      <c r="E846" s="22" t="s">
        <v>1694</v>
      </c>
      <c r="F846" s="24" t="str">
        <f t="shared" si="52"/>
        <v>PPG - Leyland TG SMOOTH MASONRY - Mushroom - 5ltr</v>
      </c>
      <c r="G846" s="23" t="s">
        <v>5719</v>
      </c>
      <c r="H846" s="25" t="s">
        <v>36</v>
      </c>
      <c r="I846" s="18" t="s">
        <v>37</v>
      </c>
      <c r="J846" s="18" t="s">
        <v>38</v>
      </c>
      <c r="K846" t="s">
        <v>39</v>
      </c>
      <c r="L846" s="26">
        <f>VLOOKUP(A846,'[3]Price info'!A:D,4,FALSE)</f>
        <v>16.010000000000002</v>
      </c>
      <c r="M846" s="18" t="s">
        <v>40</v>
      </c>
      <c r="N846" s="20">
        <v>3105</v>
      </c>
      <c r="P846" s="16">
        <f>VLOOKUP(A846,'[3]Price info'!A:H,8,FALSE)</f>
        <v>14.905310000000002</v>
      </c>
      <c r="Q846" s="27">
        <f t="shared" si="53"/>
        <v>0.93100000000000005</v>
      </c>
      <c r="S846" s="16" t="e">
        <f>VLOOKUP(A846,[4]Sales!$E:$G,3,FALSE)</f>
        <v>#N/A</v>
      </c>
      <c r="T846" s="19" t="e">
        <f>VLOOKUP(A846,[4]Volume!$E:$G,3,FALSE)</f>
        <v>#N/A</v>
      </c>
      <c r="U846" s="19" t="e">
        <f>VLOOKUP(A846,[4]Piece!$E:$G,3,FALSE)</f>
        <v>#N/A</v>
      </c>
      <c r="V846" s="21" t="e">
        <f t="shared" si="54"/>
        <v>#N/A</v>
      </c>
      <c r="W846" s="16" t="e">
        <f t="shared" si="55"/>
        <v>#N/A</v>
      </c>
    </row>
    <row r="847" spans="1:23" hidden="1" x14ac:dyDescent="0.3">
      <c r="A847" s="46" t="s">
        <v>1695</v>
      </c>
      <c r="B847" s="46" t="s">
        <v>1695</v>
      </c>
      <c r="C847" s="51" t="s">
        <v>33</v>
      </c>
      <c r="D847" s="48" t="s">
        <v>34</v>
      </c>
      <c r="E847" s="93" t="s">
        <v>7394</v>
      </c>
      <c r="F847" s="24" t="str">
        <f t="shared" si="52"/>
        <v>PPG - Mirka Abranet 81x133mm PK50 P80</v>
      </c>
      <c r="G847" s="20" t="s">
        <v>5720</v>
      </c>
      <c r="H847" s="49" t="s">
        <v>213</v>
      </c>
      <c r="I847" s="18" t="s">
        <v>37</v>
      </c>
      <c r="J847" s="18" t="s">
        <v>38</v>
      </c>
      <c r="K847" t="s">
        <v>39</v>
      </c>
      <c r="L847" s="50">
        <f>VLOOKUP(A847,'[3]Price info'!A:D,4,FALSE)</f>
        <v>44.84</v>
      </c>
      <c r="M847" s="18" t="s">
        <v>214</v>
      </c>
      <c r="N847" s="20">
        <v>3105</v>
      </c>
      <c r="P847" s="16">
        <v>22.29</v>
      </c>
      <c r="Q847" s="17">
        <f t="shared" si="53"/>
        <v>0.49710080285459407</v>
      </c>
      <c r="S847" s="16" t="e">
        <f>VLOOKUP(A847,[4]Sales!$E:$G,3,FALSE)</f>
        <v>#N/A</v>
      </c>
      <c r="T847" s="19" t="e">
        <f>VLOOKUP(A847,[4]Volume!$E:$G,3,FALSE)</f>
        <v>#N/A</v>
      </c>
      <c r="U847" s="19" t="e">
        <f>VLOOKUP(A847,[4]Piece!$E:$G,3,FALSE)</f>
        <v>#N/A</v>
      </c>
      <c r="V847" s="21" t="e">
        <f t="shared" si="54"/>
        <v>#N/A</v>
      </c>
      <c r="W847" s="16" t="e">
        <f t="shared" si="55"/>
        <v>#N/A</v>
      </c>
    </row>
    <row r="848" spans="1:23" hidden="1" x14ac:dyDescent="0.3">
      <c r="A848" s="46" t="s">
        <v>1696</v>
      </c>
      <c r="B848" s="46" t="s">
        <v>1696</v>
      </c>
      <c r="C848" s="47" t="s">
        <v>33</v>
      </c>
      <c r="D848" s="48" t="s">
        <v>34</v>
      </c>
      <c r="E848" s="18" t="s">
        <v>1697</v>
      </c>
      <c r="F848" s="24" t="str">
        <f t="shared" si="52"/>
        <v>PPG - EWI   WINDOW PROT  FILM 15MT  FODO07476</v>
      </c>
      <c r="G848" s="20" t="s">
        <v>5721</v>
      </c>
      <c r="H848" s="49" t="s">
        <v>213</v>
      </c>
      <c r="I848" s="18" t="s">
        <v>37</v>
      </c>
      <c r="J848" s="18" t="s">
        <v>38</v>
      </c>
      <c r="K848" t="s">
        <v>39</v>
      </c>
      <c r="L848" s="50">
        <f>VLOOKUP(A848,'[3]Price info'!A:D,4,FALSE)</f>
        <v>7.94</v>
      </c>
      <c r="M848" s="18" t="s">
        <v>214</v>
      </c>
      <c r="N848" s="20">
        <v>3105</v>
      </c>
      <c r="P848" s="16">
        <f>VLOOKUP(A848,'[3]Price info'!A:H,8,FALSE)</f>
        <v>6.75</v>
      </c>
      <c r="Q848" s="17">
        <f t="shared" si="53"/>
        <v>0.85012594458438284</v>
      </c>
      <c r="S848" s="16">
        <f>VLOOKUP(A848,[4]Sales!$E:$G,3,FALSE)</f>
        <v>39.700000000000003</v>
      </c>
      <c r="T848" s="19">
        <f>VLOOKUP(A848,[4]Volume!$E:$G,3,FALSE)</f>
        <v>5</v>
      </c>
      <c r="U848" s="19">
        <f>VLOOKUP(A848,[4]Piece!$E:$G,3,FALSE)</f>
        <v>5</v>
      </c>
      <c r="V848" s="21">
        <f t="shared" si="54"/>
        <v>33.75</v>
      </c>
      <c r="W848" s="16">
        <f t="shared" si="55"/>
        <v>-5.9500000000000028</v>
      </c>
    </row>
    <row r="849" spans="1:23" hidden="1" x14ac:dyDescent="0.3">
      <c r="A849" s="46" t="s">
        <v>1698</v>
      </c>
      <c r="B849" s="46" t="s">
        <v>1698</v>
      </c>
      <c r="C849" s="47" t="s">
        <v>33</v>
      </c>
      <c r="D849" s="48" t="s">
        <v>34</v>
      </c>
      <c r="E849" s="18" t="s">
        <v>1699</v>
      </c>
      <c r="F849" s="24" t="str">
        <f t="shared" si="52"/>
        <v>PPG - S'DUR 550 SET WHITE           7000001400</v>
      </c>
      <c r="G849" s="20" t="s">
        <v>5722</v>
      </c>
      <c r="H849" s="49" t="s">
        <v>213</v>
      </c>
      <c r="I849" s="18" t="s">
        <v>37</v>
      </c>
      <c r="J849" s="18" t="s">
        <v>38</v>
      </c>
      <c r="K849" t="s">
        <v>39</v>
      </c>
      <c r="L849" s="50">
        <f>VLOOKUP(A849,'[3]Price info'!A:D,4,FALSE)</f>
        <v>32.619999999999997</v>
      </c>
      <c r="M849" s="18" t="s">
        <v>214</v>
      </c>
      <c r="N849" s="20">
        <v>3105</v>
      </c>
      <c r="P849" s="16">
        <f>VLOOKUP(A849,'[3]Price info'!A:H,8,FALSE)</f>
        <v>30.369219999999999</v>
      </c>
      <c r="Q849" s="17">
        <f t="shared" si="53"/>
        <v>0.93100000000000005</v>
      </c>
      <c r="S849" s="16" t="e">
        <f>VLOOKUP(A849,[4]Sales!$E:$G,3,FALSE)</f>
        <v>#N/A</v>
      </c>
      <c r="T849" s="19" t="e">
        <f>VLOOKUP(A849,[4]Volume!$E:$G,3,FALSE)</f>
        <v>#N/A</v>
      </c>
      <c r="U849" s="19" t="e">
        <f>VLOOKUP(A849,[4]Piece!$E:$G,3,FALSE)</f>
        <v>#N/A</v>
      </c>
      <c r="V849" s="21" t="e">
        <f t="shared" si="54"/>
        <v>#N/A</v>
      </c>
      <c r="W849" s="16" t="e">
        <f t="shared" si="55"/>
        <v>#N/A</v>
      </c>
    </row>
    <row r="850" spans="1:23" hidden="1" x14ac:dyDescent="0.3">
      <c r="A850" s="22" t="s">
        <v>1700</v>
      </c>
      <c r="B850" s="22" t="s">
        <v>1700</v>
      </c>
      <c r="C850" s="23" t="s">
        <v>33</v>
      </c>
      <c r="D850" s="20" t="s">
        <v>34</v>
      </c>
      <c r="E850" s="22" t="s">
        <v>1701</v>
      </c>
      <c r="F850" s="24" t="str">
        <f t="shared" si="52"/>
        <v>PPG - Johnstones QD Woodstain - Antiq Pine - 750ml</v>
      </c>
      <c r="G850" s="23" t="s">
        <v>5723</v>
      </c>
      <c r="H850" s="25" t="s">
        <v>36</v>
      </c>
      <c r="I850" s="18" t="s">
        <v>37</v>
      </c>
      <c r="J850" s="18" t="s">
        <v>38</v>
      </c>
      <c r="K850" t="s">
        <v>39</v>
      </c>
      <c r="L850" s="26">
        <f>VLOOKUP(A850,'[3]Price info'!A:D,4,FALSE)</f>
        <v>8.3800000000000008</v>
      </c>
      <c r="M850" s="18" t="s">
        <v>40</v>
      </c>
      <c r="N850" s="20">
        <v>3105</v>
      </c>
      <c r="P850" s="16">
        <f>VLOOKUP(A850,'[3]Price info'!A:H,8,FALSE)</f>
        <v>7.8017800000000008</v>
      </c>
      <c r="Q850" s="27">
        <f t="shared" si="53"/>
        <v>0.93100000000000005</v>
      </c>
      <c r="S850" s="16">
        <f>VLOOKUP(A850,[4]Sales!$E:$G,3,FALSE)</f>
        <v>22.76</v>
      </c>
      <c r="T850" s="19">
        <f>VLOOKUP(A850,[4]Volume!$E:$G,3,FALSE)</f>
        <v>2.25</v>
      </c>
      <c r="U850" s="19">
        <f>VLOOKUP(A850,[4]Piece!$E:$G,3,FALSE)</f>
        <v>3</v>
      </c>
      <c r="V850" s="21">
        <f t="shared" si="54"/>
        <v>23.405340000000002</v>
      </c>
      <c r="W850" s="16">
        <f t="shared" si="55"/>
        <v>0.64534000000000091</v>
      </c>
    </row>
    <row r="851" spans="1:23" hidden="1" x14ac:dyDescent="0.3">
      <c r="A851" s="22" t="s">
        <v>1702</v>
      </c>
      <c r="B851" s="22" t="s">
        <v>1702</v>
      </c>
      <c r="C851" s="23" t="s">
        <v>33</v>
      </c>
      <c r="D851" s="20" t="s">
        <v>34</v>
      </c>
      <c r="E851" s="22" t="s">
        <v>1703</v>
      </c>
      <c r="F851" s="24" t="str">
        <f t="shared" si="52"/>
        <v>PPG - GORI 99 Opaque - Mix - 2.5ltr</v>
      </c>
      <c r="G851" s="23" t="s">
        <v>5724</v>
      </c>
      <c r="H851" s="25" t="s">
        <v>36</v>
      </c>
      <c r="I851" s="18" t="s">
        <v>37</v>
      </c>
      <c r="J851" s="18" t="s">
        <v>38</v>
      </c>
      <c r="K851" t="s">
        <v>39</v>
      </c>
      <c r="L851" s="26">
        <f>VLOOKUP(A851,'[3]Price info'!A:D,4,FALSE)</f>
        <v>46.57</v>
      </c>
      <c r="M851" s="18" t="s">
        <v>40</v>
      </c>
      <c r="N851" s="20">
        <v>3105</v>
      </c>
      <c r="P851" s="16">
        <f>VLOOKUP(A851,'[3]Price info'!A:H,8,FALSE)</f>
        <v>28.8</v>
      </c>
      <c r="Q851" s="27">
        <f t="shared" si="53"/>
        <v>0.61842387803306853</v>
      </c>
      <c r="S851" s="16">
        <f>VLOOKUP(A851,[4]Sales!$E:$G,3,FALSE)</f>
        <v>691.81000000000006</v>
      </c>
      <c r="T851" s="19">
        <f>VLOOKUP(A851,[4]Volume!$E:$G,3,FALSE)</f>
        <v>40</v>
      </c>
      <c r="U851" s="19">
        <f>VLOOKUP(A851,[4]Piece!$E:$G,3,FALSE)</f>
        <v>16</v>
      </c>
      <c r="V851" s="21">
        <f t="shared" si="54"/>
        <v>460.8</v>
      </c>
      <c r="W851" s="16">
        <f t="shared" si="55"/>
        <v>-231.01000000000005</v>
      </c>
    </row>
    <row r="852" spans="1:23" hidden="1" x14ac:dyDescent="0.3">
      <c r="A852" s="22" t="s">
        <v>1704</v>
      </c>
      <c r="B852" s="22" t="s">
        <v>1704</v>
      </c>
      <c r="C852" s="23" t="s">
        <v>33</v>
      </c>
      <c r="D852" s="20" t="s">
        <v>34</v>
      </c>
      <c r="E852" s="22" t="s">
        <v>1705</v>
      </c>
      <c r="F852" s="24" t="str">
        <f t="shared" si="52"/>
        <v>PPG - Leyland TG SMOOTH MASONRY - Magnolia - 5ltr</v>
      </c>
      <c r="G852" s="23" t="s">
        <v>5725</v>
      </c>
      <c r="H852" s="25" t="s">
        <v>36</v>
      </c>
      <c r="I852" s="18" t="s">
        <v>37</v>
      </c>
      <c r="J852" s="18" t="s">
        <v>38</v>
      </c>
      <c r="K852" t="s">
        <v>39</v>
      </c>
      <c r="L852" s="26">
        <f>VLOOKUP(A852,'[3]Price info'!A:D,4,FALSE)</f>
        <v>16.010000000000002</v>
      </c>
      <c r="M852" s="18" t="s">
        <v>40</v>
      </c>
      <c r="N852" s="20">
        <v>3105</v>
      </c>
      <c r="P852" s="16">
        <f>VLOOKUP(A852,'[3]Price info'!A:H,8,FALSE)</f>
        <v>14.905310000000002</v>
      </c>
      <c r="Q852" s="27">
        <f t="shared" si="53"/>
        <v>0.93100000000000005</v>
      </c>
      <c r="S852" s="16">
        <f>VLOOKUP(A852,[4]Sales!$E:$G,3,FALSE)</f>
        <v>129.19</v>
      </c>
      <c r="T852" s="19">
        <f>VLOOKUP(A852,[4]Volume!$E:$G,3,FALSE)</f>
        <v>45</v>
      </c>
      <c r="U852" s="19">
        <f>VLOOKUP(A852,[4]Piece!$E:$G,3,FALSE)</f>
        <v>9</v>
      </c>
      <c r="V852" s="21">
        <f t="shared" si="54"/>
        <v>134.14779000000001</v>
      </c>
      <c r="W852" s="16">
        <f t="shared" si="55"/>
        <v>4.957790000000017</v>
      </c>
    </row>
    <row r="853" spans="1:23" hidden="1" x14ac:dyDescent="0.3">
      <c r="A853" s="22" t="s">
        <v>1706</v>
      </c>
      <c r="B853" s="22" t="s">
        <v>1706</v>
      </c>
      <c r="C853" s="23" t="s">
        <v>33</v>
      </c>
      <c r="D853" s="20" t="s">
        <v>34</v>
      </c>
      <c r="E853" s="22" t="s">
        <v>1707</v>
      </c>
      <c r="F853" s="24" t="str">
        <f t="shared" si="52"/>
        <v>PPG - Johnstones SATIN WOODSTAIN - Teak - 750ml</v>
      </c>
      <c r="G853" s="23" t="s">
        <v>5726</v>
      </c>
      <c r="H853" s="25" t="s">
        <v>36</v>
      </c>
      <c r="I853" s="18" t="s">
        <v>37</v>
      </c>
      <c r="J853" s="18" t="s">
        <v>38</v>
      </c>
      <c r="K853" t="s">
        <v>39</v>
      </c>
      <c r="L853" s="26">
        <f>VLOOKUP(A853,'[3]Price info'!A:D,4,FALSE)</f>
        <v>6.58</v>
      </c>
      <c r="M853" s="18" t="s">
        <v>40</v>
      </c>
      <c r="N853" s="20">
        <v>3105</v>
      </c>
      <c r="P853" s="16">
        <f>VLOOKUP(A853,'[3]Price info'!A:H,8,FALSE)</f>
        <v>6.1259800000000002</v>
      </c>
      <c r="Q853" s="27">
        <f t="shared" si="53"/>
        <v>0.93100000000000005</v>
      </c>
      <c r="S853" s="16">
        <f>VLOOKUP(A853,[4]Sales!$E:$G,3,FALSE)</f>
        <v>25.659999999999997</v>
      </c>
      <c r="T853" s="19">
        <f>VLOOKUP(A853,[4]Volume!$E:$G,3,FALSE)</f>
        <v>3</v>
      </c>
      <c r="U853" s="19">
        <f>VLOOKUP(A853,[4]Piece!$E:$G,3,FALSE)</f>
        <v>4</v>
      </c>
      <c r="V853" s="21">
        <f t="shared" si="54"/>
        <v>24.503920000000001</v>
      </c>
      <c r="W853" s="16">
        <f t="shared" si="55"/>
        <v>-1.1560799999999958</v>
      </c>
    </row>
    <row r="854" spans="1:23" hidden="1" x14ac:dyDescent="0.3">
      <c r="A854" s="22" t="s">
        <v>1708</v>
      </c>
      <c r="B854" s="22" t="s">
        <v>1708</v>
      </c>
      <c r="C854" s="23" t="s">
        <v>33</v>
      </c>
      <c r="D854" s="20" t="s">
        <v>34</v>
      </c>
      <c r="E854" s="22" t="s">
        <v>1709</v>
      </c>
      <c r="F854" s="24" t="str">
        <f t="shared" si="52"/>
        <v>PPG - Woodworks YACHT VARN - Clear Gloss - 750ltr</v>
      </c>
      <c r="G854" s="23" t="s">
        <v>5727</v>
      </c>
      <c r="H854" s="25" t="s">
        <v>36</v>
      </c>
      <c r="I854" s="18" t="s">
        <v>37</v>
      </c>
      <c r="J854" s="18" t="s">
        <v>38</v>
      </c>
      <c r="K854" t="s">
        <v>39</v>
      </c>
      <c r="L854" s="26">
        <f>VLOOKUP(A854,'[3]Price info'!A:D,4,FALSE)</f>
        <v>8.01</v>
      </c>
      <c r="M854" s="18" t="s">
        <v>40</v>
      </c>
      <c r="N854" s="20">
        <v>3105</v>
      </c>
      <c r="P854" s="16">
        <f>VLOOKUP(A854,'[3]Price info'!A:H,8,FALSE)</f>
        <v>7.4573100000000005</v>
      </c>
      <c r="Q854" s="27">
        <f t="shared" si="53"/>
        <v>0.93100000000000005</v>
      </c>
      <c r="S854" s="16">
        <f>VLOOKUP(A854,[4]Sales!$E:$G,3,FALSE)</f>
        <v>15.469999999999999</v>
      </c>
      <c r="T854" s="19">
        <f>VLOOKUP(A854,[4]Volume!$E:$G,3,FALSE)</f>
        <v>1.5</v>
      </c>
      <c r="U854" s="19">
        <f>VLOOKUP(A854,[4]Piece!$E:$G,3,FALSE)</f>
        <v>2</v>
      </c>
      <c r="V854" s="21">
        <f t="shared" si="54"/>
        <v>14.914620000000001</v>
      </c>
      <c r="W854" s="16">
        <f t="shared" si="55"/>
        <v>-0.55537999999999776</v>
      </c>
    </row>
    <row r="855" spans="1:23" hidden="1" x14ac:dyDescent="0.3">
      <c r="A855" s="22" t="s">
        <v>1710</v>
      </c>
      <c r="B855" s="22" t="s">
        <v>1710</v>
      </c>
      <c r="C855" s="23" t="s">
        <v>33</v>
      </c>
      <c r="D855" s="20" t="s">
        <v>34</v>
      </c>
      <c r="E855" s="22" t="s">
        <v>1711</v>
      </c>
      <c r="F855" s="24" t="str">
        <f t="shared" si="52"/>
        <v>PPG - GORI 99 Opaque - Mix - 750ml</v>
      </c>
      <c r="G855" s="23" t="s">
        <v>5728</v>
      </c>
      <c r="H855" s="25" t="s">
        <v>36</v>
      </c>
      <c r="I855" s="18" t="s">
        <v>37</v>
      </c>
      <c r="J855" s="18" t="s">
        <v>38</v>
      </c>
      <c r="K855" t="s">
        <v>39</v>
      </c>
      <c r="L855" s="26">
        <f>VLOOKUP(A855,'[3]Price info'!A:D,4,FALSE)</f>
        <v>15.67</v>
      </c>
      <c r="M855" s="18" t="s">
        <v>40</v>
      </c>
      <c r="N855" s="20">
        <v>3105</v>
      </c>
      <c r="P855" s="16">
        <f>VLOOKUP(A855,'[3]Price info'!A:H,8,FALSE)</f>
        <v>14.58877</v>
      </c>
      <c r="Q855" s="27">
        <f t="shared" si="53"/>
        <v>0.93100000000000005</v>
      </c>
      <c r="S855" s="16">
        <f>VLOOKUP(A855,[4]Sales!$E:$G,3,FALSE)</f>
        <v>15.67</v>
      </c>
      <c r="T855" s="19">
        <f>VLOOKUP(A855,[4]Volume!$E:$G,3,FALSE)</f>
        <v>0.75</v>
      </c>
      <c r="U855" s="19">
        <f>VLOOKUP(A855,[4]Piece!$E:$G,3,FALSE)</f>
        <v>1</v>
      </c>
      <c r="V855" s="21">
        <f t="shared" si="54"/>
        <v>14.58877</v>
      </c>
      <c r="W855" s="16">
        <f t="shared" si="55"/>
        <v>-1.0812299999999997</v>
      </c>
    </row>
    <row r="856" spans="1:23" hidden="1" x14ac:dyDescent="0.3">
      <c r="A856" s="46" t="s">
        <v>1712</v>
      </c>
      <c r="B856" s="46" t="s">
        <v>1712</v>
      </c>
      <c r="C856" s="51" t="s">
        <v>33</v>
      </c>
      <c r="D856" s="48" t="s">
        <v>34</v>
      </c>
      <c r="E856" s="18" t="s">
        <v>1713</v>
      </c>
      <c r="F856" s="24" t="str">
        <f t="shared" si="52"/>
        <v>PPG - RODO  FIBREGLASS   POLE HANDL PFGP (REPL</v>
      </c>
      <c r="G856" s="20" t="s">
        <v>5729</v>
      </c>
      <c r="H856" s="49" t="s">
        <v>213</v>
      </c>
      <c r="I856" s="18" t="s">
        <v>37</v>
      </c>
      <c r="J856" s="18" t="s">
        <v>38</v>
      </c>
      <c r="K856" t="s">
        <v>39</v>
      </c>
      <c r="L856" s="50">
        <f>VLOOKUP(A856,'[3]Price info'!A:D,4,FALSE)</f>
        <v>8.0399999999999991</v>
      </c>
      <c r="M856" s="18" t="s">
        <v>214</v>
      </c>
      <c r="N856" s="20">
        <v>3105</v>
      </c>
      <c r="P856" s="16">
        <f>VLOOKUP(A856,'[3]Price info'!A:H,8,FALSE)</f>
        <v>7.46</v>
      </c>
      <c r="Q856" s="17">
        <f t="shared" si="53"/>
        <v>0.92786069651741299</v>
      </c>
      <c r="S856" s="16">
        <f>VLOOKUP(A856,[4]Sales!$E:$G,3,FALSE)</f>
        <v>7.55</v>
      </c>
      <c r="T856" s="19">
        <f>VLOOKUP(A856,[4]Volume!$E:$G,3,FALSE)</f>
        <v>1</v>
      </c>
      <c r="U856" s="19">
        <f>VLOOKUP(A856,[4]Piece!$E:$G,3,FALSE)</f>
        <v>1</v>
      </c>
      <c r="V856" s="21">
        <f t="shared" si="54"/>
        <v>7.46</v>
      </c>
      <c r="W856" s="16">
        <f t="shared" si="55"/>
        <v>-8.9999999999999858E-2</v>
      </c>
    </row>
    <row r="857" spans="1:23" hidden="1" x14ac:dyDescent="0.3">
      <c r="A857" s="46" t="s">
        <v>1714</v>
      </c>
      <c r="B857" s="46" t="s">
        <v>1714</v>
      </c>
      <c r="C857" s="47" t="s">
        <v>33</v>
      </c>
      <c r="D857" s="48" t="s">
        <v>34</v>
      </c>
      <c r="E857" s="18" t="s">
        <v>1715</v>
      </c>
      <c r="F857" s="24" t="str">
        <f t="shared" si="52"/>
        <v>PPG - CORAL PAPERWIZ     FLEX</v>
      </c>
      <c r="G857" s="20" t="s">
        <v>5730</v>
      </c>
      <c r="H857" s="49" t="s">
        <v>213</v>
      </c>
      <c r="I857" s="18" t="s">
        <v>37</v>
      </c>
      <c r="J857" s="18" t="s">
        <v>38</v>
      </c>
      <c r="K857" t="s">
        <v>39</v>
      </c>
      <c r="L857" s="50">
        <f>VLOOKUP(A857,'[3]Price info'!A:D,4,FALSE)</f>
        <v>4.4000000000000004</v>
      </c>
      <c r="M857" s="18" t="s">
        <v>214</v>
      </c>
      <c r="N857" s="20">
        <v>3105</v>
      </c>
      <c r="P857" s="16">
        <f>VLOOKUP(A857,'[3]Price info'!A:H,8,FALSE)</f>
        <v>4.0964000000000009</v>
      </c>
      <c r="Q857" s="17">
        <f t="shared" si="53"/>
        <v>0.93100000000000016</v>
      </c>
      <c r="S857" s="16">
        <f>VLOOKUP(A857,[4]Sales!$E:$G,3,FALSE)</f>
        <v>22.759999999999998</v>
      </c>
      <c r="T857" s="19">
        <f>VLOOKUP(A857,[4]Volume!$E:$G,3,FALSE)</f>
        <v>5</v>
      </c>
      <c r="U857" s="19">
        <f>VLOOKUP(A857,[4]Piece!$E:$G,3,FALSE)</f>
        <v>5</v>
      </c>
      <c r="V857" s="21">
        <f t="shared" si="54"/>
        <v>20.482000000000006</v>
      </c>
      <c r="W857" s="16">
        <f t="shared" si="55"/>
        <v>-2.2779999999999916</v>
      </c>
    </row>
    <row r="858" spans="1:23" hidden="1" x14ac:dyDescent="0.3">
      <c r="A858" s="22" t="s">
        <v>1716</v>
      </c>
      <c r="B858" s="22" t="s">
        <v>1716</v>
      </c>
      <c r="C858" s="23" t="s">
        <v>33</v>
      </c>
      <c r="D858" s="20" t="s">
        <v>34</v>
      </c>
      <c r="E858" s="22" t="s">
        <v>1717</v>
      </c>
      <c r="F858" s="24" t="str">
        <f t="shared" si="52"/>
        <v>PPG - JST MATT WOODSTAIN - Ebony - 5ltr</v>
      </c>
      <c r="G858" s="23" t="s">
        <v>5731</v>
      </c>
      <c r="H858" s="25" t="s">
        <v>36</v>
      </c>
      <c r="I858" s="18" t="s">
        <v>37</v>
      </c>
      <c r="J858" s="18" t="s">
        <v>38</v>
      </c>
      <c r="K858" t="s">
        <v>39</v>
      </c>
      <c r="L858" s="26">
        <f>VLOOKUP(A858,'[3]Price info'!A:D,4,FALSE)</f>
        <v>29.65</v>
      </c>
      <c r="M858" s="18" t="s">
        <v>40</v>
      </c>
      <c r="N858" s="20">
        <v>3105</v>
      </c>
      <c r="P858" s="16">
        <f>VLOOKUP(A858,'[3]Price info'!A:H,8,FALSE)</f>
        <v>27.604150000000001</v>
      </c>
      <c r="Q858" s="27">
        <f t="shared" si="53"/>
        <v>0.93100000000000005</v>
      </c>
      <c r="S858" s="16" t="e">
        <f>VLOOKUP(A858,[4]Sales!$E:$G,3,FALSE)</f>
        <v>#N/A</v>
      </c>
      <c r="T858" s="19" t="e">
        <f>VLOOKUP(A858,[4]Volume!$E:$G,3,FALSE)</f>
        <v>#N/A</v>
      </c>
      <c r="U858" s="19" t="e">
        <f>VLOOKUP(A858,[4]Piece!$E:$G,3,FALSE)</f>
        <v>#N/A</v>
      </c>
      <c r="V858" s="21" t="e">
        <f t="shared" si="54"/>
        <v>#N/A</v>
      </c>
      <c r="W858" s="16" t="e">
        <f t="shared" si="55"/>
        <v>#N/A</v>
      </c>
    </row>
    <row r="859" spans="1:23" hidden="1" x14ac:dyDescent="0.3">
      <c r="A859" s="46" t="s">
        <v>1718</v>
      </c>
      <c r="B859" s="46" t="s">
        <v>1718</v>
      </c>
      <c r="C859" s="47" t="s">
        <v>33</v>
      </c>
      <c r="D859" s="48" t="s">
        <v>34</v>
      </c>
      <c r="E859" s="18" t="s">
        <v>1719</v>
      </c>
      <c r="F859" s="24" t="str">
        <f t="shared" si="52"/>
        <v>PPG - LEYTS DEC CAULK    WHI 380ML  (12)</v>
      </c>
      <c r="G859" s="20" t="s">
        <v>5732</v>
      </c>
      <c r="H859" s="49" t="s">
        <v>213</v>
      </c>
      <c r="I859" s="18" t="s">
        <v>37</v>
      </c>
      <c r="J859" s="18" t="s">
        <v>38</v>
      </c>
      <c r="K859" t="s">
        <v>39</v>
      </c>
      <c r="L859" s="50">
        <f>VLOOKUP(A859,'[3]Price info'!A:D,4,FALSE)</f>
        <v>16.010000000000002</v>
      </c>
      <c r="M859" s="18" t="s">
        <v>214</v>
      </c>
      <c r="N859" s="20">
        <v>3105</v>
      </c>
      <c r="P859" s="16">
        <f>VLOOKUP(A859,'[3]Price info'!A:H,8,FALSE)</f>
        <v>14.82</v>
      </c>
      <c r="Q859" s="17">
        <f t="shared" si="53"/>
        <v>0.92567145534041217</v>
      </c>
      <c r="S859" s="16" t="e">
        <f>VLOOKUP(A859,[4]Sales!$E:$G,3,FALSE)</f>
        <v>#N/A</v>
      </c>
      <c r="T859" s="19" t="e">
        <f>VLOOKUP(A859,[4]Volume!$E:$G,3,FALSE)</f>
        <v>#N/A</v>
      </c>
      <c r="U859" s="19" t="e">
        <f>VLOOKUP(A859,[4]Piece!$E:$G,3,FALSE)</f>
        <v>#N/A</v>
      </c>
      <c r="V859" s="21" t="e">
        <f t="shared" si="54"/>
        <v>#N/A</v>
      </c>
      <c r="W859" s="16" t="e">
        <f t="shared" si="55"/>
        <v>#N/A</v>
      </c>
    </row>
    <row r="860" spans="1:23" hidden="1" x14ac:dyDescent="0.3">
      <c r="A860" s="46" t="s">
        <v>1720</v>
      </c>
      <c r="B860" s="46" t="s">
        <v>1720</v>
      </c>
      <c r="C860" s="51" t="s">
        <v>33</v>
      </c>
      <c r="D860" s="48" t="s">
        <v>34</v>
      </c>
      <c r="E860" s="18" t="s">
        <v>1721</v>
      </c>
      <c r="F860" s="24" t="str">
        <f t="shared" si="52"/>
        <v>PPG - PGOLD DEC CAULK    WHITE 300M 0000000300</v>
      </c>
      <c r="G860" s="20" t="s">
        <v>5733</v>
      </c>
      <c r="H860" s="49" t="s">
        <v>213</v>
      </c>
      <c r="I860" s="18" t="s">
        <v>37</v>
      </c>
      <c r="J860" s="18" t="s">
        <v>38</v>
      </c>
      <c r="K860" t="s">
        <v>39</v>
      </c>
      <c r="L860" s="50">
        <f>VLOOKUP(A860,'[3]Price info'!A:D,4,FALSE)</f>
        <v>1.84</v>
      </c>
      <c r="M860" s="18" t="s">
        <v>214</v>
      </c>
      <c r="N860" s="20">
        <v>3105</v>
      </c>
      <c r="P860" s="16">
        <f>VLOOKUP(A860,'[3]Price info'!A:H,8,FALSE)</f>
        <v>1.7130400000000001</v>
      </c>
      <c r="Q860" s="17">
        <f t="shared" si="53"/>
        <v>0.93100000000000005</v>
      </c>
      <c r="S860" s="16">
        <f>VLOOKUP(A860,[4]Sales!$E:$G,3,FALSE)</f>
        <v>62.109999999999992</v>
      </c>
      <c r="T860" s="19">
        <f>VLOOKUP(A860,[4]Volume!$E:$G,3,FALSE)</f>
        <v>12.3</v>
      </c>
      <c r="U860" s="19">
        <f>VLOOKUP(A860,[4]Piece!$E:$G,3,FALSE)</f>
        <v>41</v>
      </c>
      <c r="V860" s="21">
        <f t="shared" si="54"/>
        <v>70.234639999999999</v>
      </c>
      <c r="W860" s="16">
        <f t="shared" si="55"/>
        <v>8.1246400000000065</v>
      </c>
    </row>
    <row r="861" spans="1:23" hidden="1" x14ac:dyDescent="0.3">
      <c r="A861" s="46" t="s">
        <v>1722</v>
      </c>
      <c r="B861" s="46" t="s">
        <v>1722</v>
      </c>
      <c r="C861" s="47" t="s">
        <v>33</v>
      </c>
      <c r="D861" s="48" t="s">
        <v>34</v>
      </c>
      <c r="E861" s="18" t="s">
        <v>1723</v>
      </c>
      <c r="F861" s="24" t="str">
        <f t="shared" si="52"/>
        <v>PPG - PGOLD SO/FREE GRAB ADHESIVE   0000000300</v>
      </c>
      <c r="G861" s="20" t="s">
        <v>5734</v>
      </c>
      <c r="H861" s="49" t="s">
        <v>213</v>
      </c>
      <c r="I861" s="18" t="s">
        <v>37</v>
      </c>
      <c r="J861" s="18" t="s">
        <v>38</v>
      </c>
      <c r="K861" t="s">
        <v>39</v>
      </c>
      <c r="L861" s="50">
        <f>VLOOKUP(A861,'[3]Price info'!A:D,4,FALSE)</f>
        <v>5.88</v>
      </c>
      <c r="M861" s="18" t="s">
        <v>214</v>
      </c>
      <c r="N861" s="20">
        <v>3105</v>
      </c>
      <c r="P861" s="16">
        <f>VLOOKUP(A861,'[3]Price info'!A:H,8,FALSE)</f>
        <v>5.4742800000000003</v>
      </c>
      <c r="Q861" s="17">
        <f t="shared" si="53"/>
        <v>0.93100000000000005</v>
      </c>
      <c r="S861" s="16" t="e">
        <f>VLOOKUP(A861,[4]Sales!$E:$G,3,FALSE)</f>
        <v>#N/A</v>
      </c>
      <c r="T861" s="19" t="e">
        <f>VLOOKUP(A861,[4]Volume!$E:$G,3,FALSE)</f>
        <v>#N/A</v>
      </c>
      <c r="U861" s="19" t="e">
        <f>VLOOKUP(A861,[4]Piece!$E:$G,3,FALSE)</f>
        <v>#N/A</v>
      </c>
      <c r="V861" s="21" t="e">
        <f t="shared" si="54"/>
        <v>#N/A</v>
      </c>
      <c r="W861" s="16" t="e">
        <f t="shared" si="55"/>
        <v>#N/A</v>
      </c>
    </row>
    <row r="862" spans="1:23" hidden="1" x14ac:dyDescent="0.3">
      <c r="A862" s="22" t="s">
        <v>1724</v>
      </c>
      <c r="B862" s="22" t="s">
        <v>1724</v>
      </c>
      <c r="C862" s="23" t="s">
        <v>33</v>
      </c>
      <c r="D862" s="20" t="s">
        <v>34</v>
      </c>
      <c r="E862" s="22" t="s">
        <v>1725</v>
      </c>
      <c r="F862" s="24" t="str">
        <f t="shared" si="52"/>
        <v>PPG - Manger DEC SPONGES x24</v>
      </c>
      <c r="G862" s="23" t="s">
        <v>5735</v>
      </c>
      <c r="H862" s="25" t="s">
        <v>36</v>
      </c>
      <c r="I862" s="18" t="s">
        <v>37</v>
      </c>
      <c r="J862" s="18" t="s">
        <v>38</v>
      </c>
      <c r="K862" t="s">
        <v>39</v>
      </c>
      <c r="L862" s="26">
        <f>VLOOKUP(A862,'[3]Price info'!A:D,4,FALSE)</f>
        <v>0.95</v>
      </c>
      <c r="M862" s="18" t="s">
        <v>40</v>
      </c>
      <c r="N862" s="20">
        <v>3105</v>
      </c>
      <c r="P862" s="16">
        <f>VLOOKUP(A862,'[3]Price info'!A:H,8,FALSE)</f>
        <v>0.88444999999999996</v>
      </c>
      <c r="Q862" s="27">
        <f t="shared" si="53"/>
        <v>0.93100000000000005</v>
      </c>
      <c r="S862" s="16">
        <f>VLOOKUP(A862,[4]Sales!$E:$G,3,FALSE)</f>
        <v>16.75</v>
      </c>
      <c r="T862" s="19">
        <f>VLOOKUP(A862,[4]Volume!$E:$G,3,FALSE)</f>
        <v>18</v>
      </c>
      <c r="U862" s="19">
        <f>VLOOKUP(A862,[4]Piece!$E:$G,3,FALSE)</f>
        <v>18</v>
      </c>
      <c r="V862" s="21">
        <f t="shared" si="54"/>
        <v>15.9201</v>
      </c>
      <c r="W862" s="16">
        <f t="shared" si="55"/>
        <v>-0.8299000000000003</v>
      </c>
    </row>
    <row r="863" spans="1:23" hidden="1" x14ac:dyDescent="0.3">
      <c r="A863" s="46" t="s">
        <v>1726</v>
      </c>
      <c r="B863" s="46" t="s">
        <v>1726</v>
      </c>
      <c r="C863" s="47" t="s">
        <v>33</v>
      </c>
      <c r="D863" s="48" t="s">
        <v>34</v>
      </c>
      <c r="E863" s="18" t="s">
        <v>1727</v>
      </c>
      <c r="F863" s="24" t="str">
        <f t="shared" si="52"/>
        <v>PPG - FROGT GLOSS &amp;SATIN 24MM (1")  104188</v>
      </c>
      <c r="G863" s="20" t="s">
        <v>5736</v>
      </c>
      <c r="H863" s="49" t="s">
        <v>213</v>
      </c>
      <c r="I863" s="18" t="s">
        <v>37</v>
      </c>
      <c r="J863" s="18" t="s">
        <v>38</v>
      </c>
      <c r="K863" t="s">
        <v>39</v>
      </c>
      <c r="L863" s="50">
        <f>VLOOKUP(A863,'[3]Price info'!A:D,4,FALSE)</f>
        <v>6.27</v>
      </c>
      <c r="M863" s="18" t="s">
        <v>214</v>
      </c>
      <c r="N863" s="20">
        <v>3105</v>
      </c>
      <c r="P863" s="16">
        <f>VLOOKUP(A863,'[3]Price info'!A:H,8,FALSE)</f>
        <v>5.8373699999999999</v>
      </c>
      <c r="Q863" s="17">
        <f t="shared" si="53"/>
        <v>0.93100000000000005</v>
      </c>
      <c r="S863" s="16">
        <f>VLOOKUP(A863,[4]Sales!$E:$G,3,FALSE)</f>
        <v>11.68</v>
      </c>
      <c r="T863" s="19">
        <f>VLOOKUP(A863,[4]Volume!$E:$G,3,FALSE)</f>
        <v>2</v>
      </c>
      <c r="U863" s="19">
        <f>VLOOKUP(A863,[4]Piece!$E:$G,3,FALSE)</f>
        <v>2</v>
      </c>
      <c r="V863" s="21">
        <f t="shared" si="54"/>
        <v>11.67474</v>
      </c>
      <c r="W863" s="16">
        <f t="shared" si="55"/>
        <v>-5.2599999999998204E-3</v>
      </c>
    </row>
    <row r="864" spans="1:23" hidden="1" x14ac:dyDescent="0.3">
      <c r="A864" s="22" t="s">
        <v>1728</v>
      </c>
      <c r="B864" s="22" t="s">
        <v>1728</v>
      </c>
      <c r="C864" s="23" t="s">
        <v>33</v>
      </c>
      <c r="D864" s="20" t="s">
        <v>34</v>
      </c>
      <c r="E864" s="22" t="s">
        <v>1729</v>
      </c>
      <c r="F864" s="24" t="str">
        <f t="shared" si="52"/>
        <v>PPG - Leyland SUPERLEYTEX - Brill White - 10ltr</v>
      </c>
      <c r="G864" s="23" t="s">
        <v>5737</v>
      </c>
      <c r="H864" s="25" t="s">
        <v>36</v>
      </c>
      <c r="I864" s="18" t="s">
        <v>37</v>
      </c>
      <c r="J864" s="18" t="s">
        <v>38</v>
      </c>
      <c r="K864" t="s">
        <v>39</v>
      </c>
      <c r="L864" s="26">
        <f>VLOOKUP(A864,'[3]Price info'!A:D,4,FALSE)</f>
        <v>27.22</v>
      </c>
      <c r="M864" s="18" t="s">
        <v>40</v>
      </c>
      <c r="N864" s="20">
        <v>3105</v>
      </c>
      <c r="P864" s="16">
        <f>VLOOKUP(A864,'[3]Price info'!A:H,8,FALSE)</f>
        <v>13</v>
      </c>
      <c r="Q864" s="27">
        <f t="shared" si="53"/>
        <v>0.47759000734753859</v>
      </c>
      <c r="S864" s="16" t="e">
        <f>VLOOKUP(A864,[4]Sales!$E:$G,3,FALSE)</f>
        <v>#N/A</v>
      </c>
      <c r="T864" s="19" t="e">
        <f>VLOOKUP(A864,[4]Volume!$E:$G,3,FALSE)</f>
        <v>#N/A</v>
      </c>
      <c r="U864" s="19" t="e">
        <f>VLOOKUP(A864,[4]Piece!$E:$G,3,FALSE)</f>
        <v>#N/A</v>
      </c>
      <c r="V864" s="21" t="e">
        <f t="shared" si="54"/>
        <v>#N/A</v>
      </c>
      <c r="W864" s="16" t="e">
        <f t="shared" si="55"/>
        <v>#N/A</v>
      </c>
    </row>
    <row r="865" spans="1:23" hidden="1" x14ac:dyDescent="0.3">
      <c r="A865" s="22" t="s">
        <v>1730</v>
      </c>
      <c r="B865" s="22" t="s">
        <v>1730</v>
      </c>
      <c r="C865" s="23" t="s">
        <v>33</v>
      </c>
      <c r="D865" s="20" t="s">
        <v>34</v>
      </c>
      <c r="E865" s="22" t="s">
        <v>1731</v>
      </c>
      <c r="F865" s="24" t="str">
        <f t="shared" si="52"/>
        <v>PPG - Leyland EGGSHELL - Mix - 1ltr</v>
      </c>
      <c r="G865" s="23" t="s">
        <v>5738</v>
      </c>
      <c r="H865" s="25" t="s">
        <v>36</v>
      </c>
      <c r="I865" s="18" t="s">
        <v>37</v>
      </c>
      <c r="J865" s="18" t="s">
        <v>38</v>
      </c>
      <c r="K865" t="s">
        <v>39</v>
      </c>
      <c r="L865" s="26">
        <f>VLOOKUP(A865,'[3]Price info'!A:D,4,FALSE)</f>
        <v>15.34</v>
      </c>
      <c r="M865" s="18" t="s">
        <v>40</v>
      </c>
      <c r="N865" s="20">
        <v>3105</v>
      </c>
      <c r="P865" s="16">
        <f>VLOOKUP(A865,'[3]Price info'!A:H,8,FALSE)</f>
        <v>14.281540000000001</v>
      </c>
      <c r="Q865" s="27">
        <f t="shared" si="53"/>
        <v>0.93100000000000005</v>
      </c>
      <c r="S865" s="16" t="e">
        <f>VLOOKUP(A865,[4]Sales!$E:$G,3,FALSE)</f>
        <v>#N/A</v>
      </c>
      <c r="T865" s="19" t="e">
        <f>VLOOKUP(A865,[4]Volume!$E:$G,3,FALSE)</f>
        <v>#N/A</v>
      </c>
      <c r="U865" s="19" t="e">
        <f>VLOOKUP(A865,[4]Piece!$E:$G,3,FALSE)</f>
        <v>#N/A</v>
      </c>
      <c r="V865" s="21" t="e">
        <f t="shared" si="54"/>
        <v>#N/A</v>
      </c>
      <c r="W865" s="16" t="e">
        <f t="shared" si="55"/>
        <v>#N/A</v>
      </c>
    </row>
    <row r="866" spans="1:23" x14ac:dyDescent="0.3">
      <c r="A866" s="36" t="s">
        <v>1732</v>
      </c>
      <c r="B866" s="36" t="s">
        <v>1732</v>
      </c>
      <c r="C866" s="23" t="s">
        <v>33</v>
      </c>
      <c r="D866" s="20" t="s">
        <v>34</v>
      </c>
      <c r="E866" s="22" t="s">
        <v>1733</v>
      </c>
      <c r="F866" s="24" t="str">
        <f t="shared" si="52"/>
        <v>PPG - Artex EASIFILLER POWDER 1kg</v>
      </c>
      <c r="G866" s="41" t="s">
        <v>5739</v>
      </c>
      <c r="H866" s="39" t="s">
        <v>36</v>
      </c>
      <c r="I866" s="40" t="s">
        <v>37</v>
      </c>
      <c r="J866" s="40" t="s">
        <v>38</v>
      </c>
      <c r="K866" s="41" t="s">
        <v>39</v>
      </c>
      <c r="L866" s="26">
        <f>VLOOKUP(A866,'[3]Price info'!A:D,4,FALSE)</f>
        <v>6.57</v>
      </c>
      <c r="M866" s="40" t="s">
        <v>40</v>
      </c>
      <c r="N866" s="42">
        <v>3105</v>
      </c>
      <c r="O866" s="43">
        <v>5.76</v>
      </c>
      <c r="P866" s="16">
        <f>VLOOKUP(A866,'[3]Price info'!A:H,8,FALSE)</f>
        <v>6.1166700000000009</v>
      </c>
      <c r="Q866" s="52">
        <f t="shared" si="53"/>
        <v>0.93100000000000005</v>
      </c>
      <c r="R866" s="40"/>
      <c r="S866" s="16">
        <f>VLOOKUP(A866,[4]Sales!$E:$G,3,FALSE)</f>
        <v>23.2</v>
      </c>
      <c r="T866" s="19">
        <f>VLOOKUP(A866,[4]Volume!$E:$G,3,FALSE)</f>
        <v>4</v>
      </c>
      <c r="U866" s="19">
        <f>VLOOKUP(A866,[4]Piece!$E:$G,3,FALSE)</f>
        <v>4</v>
      </c>
      <c r="V866" s="21">
        <f t="shared" si="54"/>
        <v>24.466680000000004</v>
      </c>
      <c r="W866" s="16">
        <f t="shared" si="55"/>
        <v>1.2666800000000045</v>
      </c>
    </row>
    <row r="867" spans="1:23" hidden="1" x14ac:dyDescent="0.3">
      <c r="A867" s="22" t="s">
        <v>1734</v>
      </c>
      <c r="B867" s="22" t="s">
        <v>1734</v>
      </c>
      <c r="C867" s="23" t="s">
        <v>33</v>
      </c>
      <c r="D867" s="20" t="s">
        <v>34</v>
      </c>
      <c r="E867" s="22" t="s">
        <v>1735</v>
      </c>
      <c r="F867" s="24" t="str">
        <f t="shared" si="52"/>
        <v>PPG - Stormshield SMOOTH MASONRY - Parchment - 5l</v>
      </c>
      <c r="G867" s="23" t="s">
        <v>5740</v>
      </c>
      <c r="H867" s="25" t="s">
        <v>36</v>
      </c>
      <c r="I867" s="18" t="s">
        <v>37</v>
      </c>
      <c r="J867" s="18" t="s">
        <v>38</v>
      </c>
      <c r="K867" t="s">
        <v>39</v>
      </c>
      <c r="L867" s="26">
        <f>VLOOKUP(A867,'[3]Price info'!A:D,4,FALSE)</f>
        <v>17.84</v>
      </c>
      <c r="M867" s="18" t="s">
        <v>40</v>
      </c>
      <c r="N867" s="20">
        <v>3105</v>
      </c>
      <c r="P867" s="16">
        <f>VLOOKUP(A867,'[3]Price info'!A:H,8,FALSE)</f>
        <v>16.60904</v>
      </c>
      <c r="Q867" s="27">
        <f t="shared" si="53"/>
        <v>0.93100000000000005</v>
      </c>
      <c r="S867" s="16" t="e">
        <f>VLOOKUP(A867,[4]Sales!$E:$G,3,FALSE)</f>
        <v>#N/A</v>
      </c>
      <c r="T867" s="19" t="e">
        <f>VLOOKUP(A867,[4]Volume!$E:$G,3,FALSE)</f>
        <v>#N/A</v>
      </c>
      <c r="U867" s="19" t="e">
        <f>VLOOKUP(A867,[4]Piece!$E:$G,3,FALSE)</f>
        <v>#N/A</v>
      </c>
      <c r="V867" s="21" t="e">
        <f t="shared" si="54"/>
        <v>#N/A</v>
      </c>
      <c r="W867" s="16" t="e">
        <f t="shared" si="55"/>
        <v>#N/A</v>
      </c>
    </row>
    <row r="868" spans="1:23" hidden="1" x14ac:dyDescent="0.3">
      <c r="A868" s="46" t="s">
        <v>1736</v>
      </c>
      <c r="B868" s="46" t="s">
        <v>1736</v>
      </c>
      <c r="C868" s="51" t="s">
        <v>33</v>
      </c>
      <c r="D868" s="48" t="s">
        <v>34</v>
      </c>
      <c r="E868" s="18" t="s">
        <v>1737</v>
      </c>
      <c r="F868" s="24" t="str">
        <f t="shared" si="52"/>
        <v>PPG - PGOLD 40 GRIT 10M  ALUM OXIDE</v>
      </c>
      <c r="G868" s="20" t="s">
        <v>5741</v>
      </c>
      <c r="H868" s="49" t="s">
        <v>213</v>
      </c>
      <c r="I868" s="18" t="s">
        <v>37</v>
      </c>
      <c r="J868" s="18" t="s">
        <v>38</v>
      </c>
      <c r="K868" t="s">
        <v>39</v>
      </c>
      <c r="L868" s="50">
        <f>VLOOKUP(A868,'[3]Price info'!A:D,4,FALSE)</f>
        <v>27.83</v>
      </c>
      <c r="M868" s="18" t="s">
        <v>214</v>
      </c>
      <c r="N868" s="20">
        <v>3105</v>
      </c>
      <c r="P868" s="16">
        <f>VLOOKUP(A868,'[3]Price info'!A:H,8,FALSE)</f>
        <v>25.90973</v>
      </c>
      <c r="Q868" s="17">
        <f t="shared" si="53"/>
        <v>0.93100000000000005</v>
      </c>
      <c r="S868" s="16" t="e">
        <f>VLOOKUP(A868,[4]Sales!$E:$G,3,FALSE)</f>
        <v>#N/A</v>
      </c>
      <c r="T868" s="19" t="e">
        <f>VLOOKUP(A868,[4]Volume!$E:$G,3,FALSE)</f>
        <v>#N/A</v>
      </c>
      <c r="U868" s="19" t="e">
        <f>VLOOKUP(A868,[4]Piece!$E:$G,3,FALSE)</f>
        <v>#N/A</v>
      </c>
      <c r="V868" s="21" t="e">
        <f t="shared" si="54"/>
        <v>#N/A</v>
      </c>
      <c r="W868" s="16" t="e">
        <f t="shared" si="55"/>
        <v>#N/A</v>
      </c>
    </row>
    <row r="869" spans="1:23" hidden="1" x14ac:dyDescent="0.3">
      <c r="A869" s="53" t="s">
        <v>1738</v>
      </c>
      <c r="B869" s="54" t="s">
        <v>1738</v>
      </c>
      <c r="C869" s="47" t="s">
        <v>33</v>
      </c>
      <c r="D869" s="48" t="s">
        <v>34</v>
      </c>
      <c r="E869" s="22" t="s">
        <v>1739</v>
      </c>
      <c r="F869" s="24" t="str">
        <f t="shared" si="52"/>
        <v>PPG - BLACKROCK LATEX DISP GLOVESX100 PAIRS</v>
      </c>
      <c r="G869" s="20" t="s">
        <v>5742</v>
      </c>
      <c r="H869" s="25" t="s">
        <v>36</v>
      </c>
      <c r="I869" s="18" t="s">
        <v>37</v>
      </c>
      <c r="J869" s="18" t="s">
        <v>38</v>
      </c>
      <c r="K869" t="s">
        <v>39</v>
      </c>
      <c r="L869" s="26">
        <f>VLOOKUP(A869,'[3]Price info'!A:D,4,FALSE)</f>
        <v>4.6100000000000003</v>
      </c>
      <c r="M869" s="18" t="s">
        <v>214</v>
      </c>
      <c r="N869" s="20">
        <v>3105</v>
      </c>
      <c r="P869" s="16">
        <f>VLOOKUP(A869,'[3]Price info'!A:H,8,FALSE)</f>
        <v>5.0710000000000006</v>
      </c>
      <c r="Q869" s="27">
        <f t="shared" si="53"/>
        <v>1.1000000000000001</v>
      </c>
      <c r="S869" s="16">
        <f>VLOOKUP(A869,[4]Sales!$E:$G,3,FALSE)</f>
        <v>75.61</v>
      </c>
      <c r="T869" s="19">
        <f>VLOOKUP(A869,[4]Volume!$E:$G,3,FALSE)</f>
        <v>15</v>
      </c>
      <c r="U869" s="19">
        <f>VLOOKUP(A869,[4]Piece!$E:$G,3,FALSE)</f>
        <v>15</v>
      </c>
      <c r="V869" s="21">
        <f t="shared" si="54"/>
        <v>76.065000000000012</v>
      </c>
      <c r="W869" s="16">
        <f t="shared" si="55"/>
        <v>0.45500000000001251</v>
      </c>
    </row>
    <row r="870" spans="1:23" hidden="1" x14ac:dyDescent="0.3">
      <c r="A870" s="46" t="s">
        <v>1740</v>
      </c>
      <c r="B870" s="46" t="s">
        <v>1740</v>
      </c>
      <c r="C870" s="47" t="s">
        <v>33</v>
      </c>
      <c r="D870" s="48" t="s">
        <v>34</v>
      </c>
      <c r="E870" s="18" t="s">
        <v>1741</v>
      </c>
      <c r="F870" s="24" t="str">
        <f t="shared" si="52"/>
        <v>PPG - RODO  DISPOSABLE   LARGE      COVERALL</v>
      </c>
      <c r="G870" s="20" t="s">
        <v>5743</v>
      </c>
      <c r="H870" s="49" t="s">
        <v>213</v>
      </c>
      <c r="I870" s="18" t="s">
        <v>37</v>
      </c>
      <c r="J870" s="18" t="s">
        <v>38</v>
      </c>
      <c r="K870" t="s">
        <v>39</v>
      </c>
      <c r="L870" s="50">
        <f>VLOOKUP(A870,'[3]Price info'!A:D,4,FALSE)</f>
        <v>7.43</v>
      </c>
      <c r="M870" s="18" t="s">
        <v>214</v>
      </c>
      <c r="N870" s="20">
        <v>3105</v>
      </c>
      <c r="P870" s="16">
        <f>VLOOKUP(A870,'[3]Price info'!A:H,8,FALSE)</f>
        <v>6.43</v>
      </c>
      <c r="Q870" s="17">
        <f t="shared" si="53"/>
        <v>0.86541049798115743</v>
      </c>
      <c r="S870" s="16">
        <f>VLOOKUP(A870,[4]Sales!$E:$G,3,FALSE)</f>
        <v>35.15</v>
      </c>
      <c r="T870" s="19">
        <f>VLOOKUP(A870,[4]Volume!$E:$G,3,FALSE)</f>
        <v>5</v>
      </c>
      <c r="U870" s="19">
        <f>VLOOKUP(A870,[4]Piece!$E:$G,3,FALSE)</f>
        <v>5</v>
      </c>
      <c r="V870" s="21">
        <f t="shared" si="54"/>
        <v>32.15</v>
      </c>
      <c r="W870" s="16">
        <f t="shared" si="55"/>
        <v>-3</v>
      </c>
    </row>
    <row r="871" spans="1:23" hidden="1" x14ac:dyDescent="0.3">
      <c r="A871" s="22" t="s">
        <v>1742</v>
      </c>
      <c r="B871" s="22" t="s">
        <v>1742</v>
      </c>
      <c r="C871" s="23" t="s">
        <v>33</v>
      </c>
      <c r="D871" s="20" t="s">
        <v>34</v>
      </c>
      <c r="E871" s="22" t="s">
        <v>1743</v>
      </c>
      <c r="F871" s="24" t="str">
        <f t="shared" si="52"/>
        <v>PPG - FatHog EVOLUTION TROUSER 38" WHITE</v>
      </c>
      <c r="G871" s="23" t="s">
        <v>5744</v>
      </c>
      <c r="H871" s="25" t="s">
        <v>36</v>
      </c>
      <c r="I871" s="18" t="s">
        <v>37</v>
      </c>
      <c r="J871" s="18" t="s">
        <v>38</v>
      </c>
      <c r="K871" t="s">
        <v>39</v>
      </c>
      <c r="L871" s="26">
        <f>VLOOKUP(A871,'[3]Price info'!A:D,4,FALSE)</f>
        <v>27.43</v>
      </c>
      <c r="M871" s="18" t="s">
        <v>40</v>
      </c>
      <c r="N871" s="20">
        <v>3105</v>
      </c>
      <c r="P871" s="16">
        <f>VLOOKUP(A871,'[3]Price info'!A:H,8,FALSE)</f>
        <v>25.537330000000001</v>
      </c>
      <c r="Q871" s="27">
        <f t="shared" si="53"/>
        <v>0.93100000000000005</v>
      </c>
      <c r="S871" s="16">
        <f>VLOOKUP(A871,[4]Sales!$E:$G,3,FALSE)</f>
        <v>51.08</v>
      </c>
      <c r="T871" s="19">
        <f>VLOOKUP(A871,[4]Volume!$E:$G,3,FALSE)</f>
        <v>2</v>
      </c>
      <c r="U871" s="19">
        <f>VLOOKUP(A871,[4]Piece!$E:$G,3,FALSE)</f>
        <v>2</v>
      </c>
      <c r="V871" s="21">
        <f t="shared" si="54"/>
        <v>51.074660000000002</v>
      </c>
      <c r="W871" s="16">
        <f t="shared" si="55"/>
        <v>-5.3399999999967918E-3</v>
      </c>
    </row>
    <row r="872" spans="1:23" hidden="1" x14ac:dyDescent="0.3">
      <c r="A872" s="22" t="s">
        <v>1744</v>
      </c>
      <c r="B872" s="22" t="s">
        <v>1744</v>
      </c>
      <c r="C872" s="23" t="s">
        <v>33</v>
      </c>
      <c r="D872" s="20" t="s">
        <v>34</v>
      </c>
      <c r="E872" s="22" t="s">
        <v>1745</v>
      </c>
      <c r="F872" s="24" t="str">
        <f t="shared" si="52"/>
        <v>PPG - ProGold MINI ROLLER KIT 4"</v>
      </c>
      <c r="G872" s="23" t="s">
        <v>5745</v>
      </c>
      <c r="H872" s="25" t="s">
        <v>36</v>
      </c>
      <c r="I872" s="18" t="s">
        <v>37</v>
      </c>
      <c r="J872" s="18" t="s">
        <v>38</v>
      </c>
      <c r="K872" t="s">
        <v>39</v>
      </c>
      <c r="L872" s="26">
        <f>VLOOKUP(A872,'[3]Price info'!A:D,4,FALSE)</f>
        <v>1.98</v>
      </c>
      <c r="M872" s="18" t="s">
        <v>40</v>
      </c>
      <c r="N872" s="20">
        <v>3105</v>
      </c>
      <c r="P872" s="16">
        <f>VLOOKUP(A872,'[3]Price info'!A:H,8,FALSE)</f>
        <v>1.84338</v>
      </c>
      <c r="Q872" s="27">
        <f t="shared" si="53"/>
        <v>0.93100000000000005</v>
      </c>
      <c r="S872" s="16">
        <f>VLOOKUP(A872,[4]Sales!$E:$G,3,FALSE)</f>
        <v>58.040000000000006</v>
      </c>
      <c r="T872" s="19">
        <f>VLOOKUP(A872,[4]Volume!$E:$G,3,FALSE)</f>
        <v>37</v>
      </c>
      <c r="U872" s="19">
        <f>VLOOKUP(A872,[4]Piece!$E:$G,3,FALSE)</f>
        <v>37</v>
      </c>
      <c r="V872" s="21">
        <f t="shared" si="54"/>
        <v>68.205060000000003</v>
      </c>
      <c r="W872" s="16">
        <f t="shared" si="55"/>
        <v>10.165059999999997</v>
      </c>
    </row>
    <row r="873" spans="1:23" hidden="1" x14ac:dyDescent="0.3">
      <c r="A873" s="46" t="s">
        <v>1746</v>
      </c>
      <c r="B873" s="46" t="s">
        <v>1746</v>
      </c>
      <c r="C873" s="47" t="s">
        <v>33</v>
      </c>
      <c r="D873" s="48" t="s">
        <v>34</v>
      </c>
      <c r="E873" s="18" t="s">
        <v>1747</v>
      </c>
      <c r="F873" s="24" t="str">
        <f t="shared" si="52"/>
        <v>PPG - UB    SANDING PAD  COARSE</v>
      </c>
      <c r="G873" s="20" t="s">
        <v>5746</v>
      </c>
      <c r="H873" s="49" t="s">
        <v>213</v>
      </c>
      <c r="I873" s="18" t="s">
        <v>37</v>
      </c>
      <c r="J873" s="18" t="s">
        <v>38</v>
      </c>
      <c r="K873" t="s">
        <v>39</v>
      </c>
      <c r="L873" s="50">
        <f>VLOOKUP(A873,'[3]Price info'!A:D,4,FALSE)</f>
        <v>0.4</v>
      </c>
      <c r="M873" s="18" t="s">
        <v>214</v>
      </c>
      <c r="N873" s="20">
        <v>3105</v>
      </c>
      <c r="P873" s="16">
        <f>VLOOKUP(A873,'[3]Price info'!A:H,8,FALSE)</f>
        <v>0.37240000000000006</v>
      </c>
      <c r="Q873" s="17">
        <f t="shared" si="53"/>
        <v>0.93100000000000016</v>
      </c>
      <c r="S873" s="16" t="e">
        <f>VLOOKUP(A873,[4]Sales!$E:$G,3,FALSE)</f>
        <v>#N/A</v>
      </c>
      <c r="T873" s="19" t="e">
        <f>VLOOKUP(A873,[4]Volume!$E:$G,3,FALSE)</f>
        <v>#N/A</v>
      </c>
      <c r="U873" s="19" t="e">
        <f>VLOOKUP(A873,[4]Piece!$E:$G,3,FALSE)</f>
        <v>#N/A</v>
      </c>
      <c r="V873" s="21" t="e">
        <f t="shared" si="54"/>
        <v>#N/A</v>
      </c>
      <c r="W873" s="16" t="e">
        <f t="shared" si="55"/>
        <v>#N/A</v>
      </c>
    </row>
    <row r="874" spans="1:23" hidden="1" x14ac:dyDescent="0.3">
      <c r="A874" s="56" t="s">
        <v>1748</v>
      </c>
      <c r="B874" s="56" t="s">
        <v>1748</v>
      </c>
      <c r="C874" s="47" t="s">
        <v>33</v>
      </c>
      <c r="D874" s="48" t="s">
        <v>34</v>
      </c>
      <c r="E874" s="22" t="s">
        <v>1749</v>
      </c>
      <c r="F874" s="24" t="str">
        <f t="shared" si="52"/>
        <v>PPG - TESA ECOVER CW DI 1400MMX33M 59179</v>
      </c>
      <c r="G874" s="20" t="s">
        <v>5747</v>
      </c>
      <c r="H874" s="25" t="s">
        <v>36</v>
      </c>
      <c r="I874" s="18" t="s">
        <v>37</v>
      </c>
      <c r="J874" s="18" t="s">
        <v>38</v>
      </c>
      <c r="K874" t="s">
        <v>39</v>
      </c>
      <c r="L874" s="50">
        <v>8.2620000000000005</v>
      </c>
      <c r="M874" s="18" t="s">
        <v>214</v>
      </c>
      <c r="N874" s="20">
        <v>3105</v>
      </c>
      <c r="P874" s="16">
        <f>VLOOKUP(A874,'[3]Price info'!A:H,8,FALSE)</f>
        <v>4.49</v>
      </c>
      <c r="Q874" s="27">
        <f t="shared" si="53"/>
        <v>0.5434519486807069</v>
      </c>
      <c r="S874" s="16">
        <f>VLOOKUP(A874,[4]Sales!$E:$G,3,FALSE)</f>
        <v>13.47</v>
      </c>
      <c r="T874" s="19">
        <f>VLOOKUP(A874,[4]Volume!$E:$G,3,FALSE)</f>
        <v>3</v>
      </c>
      <c r="U874" s="19">
        <f>VLOOKUP(A874,[4]Piece!$E:$G,3,FALSE)</f>
        <v>3</v>
      </c>
      <c r="V874" s="21">
        <f t="shared" si="54"/>
        <v>13.47</v>
      </c>
      <c r="W874" s="16">
        <f t="shared" si="55"/>
        <v>0</v>
      </c>
    </row>
    <row r="875" spans="1:23" hidden="1" x14ac:dyDescent="0.3">
      <c r="A875" s="22" t="s">
        <v>1750</v>
      </c>
      <c r="B875" s="22" t="s">
        <v>1750</v>
      </c>
      <c r="C875" s="23" t="s">
        <v>33</v>
      </c>
      <c r="D875" s="20" t="s">
        <v>34</v>
      </c>
      <c r="E875" s="22" t="s">
        <v>1751</v>
      </c>
      <c r="F875" s="24" t="str">
        <f t="shared" si="52"/>
        <v>PPG - ProGold TAPE MEASURE - 5M</v>
      </c>
      <c r="G875" s="23" t="s">
        <v>5748</v>
      </c>
      <c r="H875" s="25" t="s">
        <v>36</v>
      </c>
      <c r="I875" s="18" t="s">
        <v>37</v>
      </c>
      <c r="J875" s="18" t="s">
        <v>38</v>
      </c>
      <c r="K875" t="s">
        <v>39</v>
      </c>
      <c r="L875" s="26">
        <f>VLOOKUP(A875,'[3]Price info'!A:D,4,FALSE)</f>
        <v>2.82</v>
      </c>
      <c r="M875" s="18" t="s">
        <v>40</v>
      </c>
      <c r="N875" s="20">
        <v>3105</v>
      </c>
      <c r="P875" s="16">
        <f>VLOOKUP(A875,'[3]Price info'!A:H,8,FALSE)</f>
        <v>2.6254200000000001</v>
      </c>
      <c r="Q875" s="27">
        <f t="shared" si="53"/>
        <v>0.93100000000000005</v>
      </c>
      <c r="S875" s="16">
        <f>VLOOKUP(A875,[4]Sales!$E:$G,3,FALSE)</f>
        <v>22.18</v>
      </c>
      <c r="T875" s="19">
        <f>VLOOKUP(A875,[4]Volume!$E:$G,3,FALSE)</f>
        <v>8</v>
      </c>
      <c r="U875" s="19">
        <f>VLOOKUP(A875,[4]Piece!$E:$G,3,FALSE)</f>
        <v>8</v>
      </c>
      <c r="V875" s="21">
        <f t="shared" si="54"/>
        <v>21.003360000000001</v>
      </c>
      <c r="W875" s="16">
        <f t="shared" si="55"/>
        <v>-1.176639999999999</v>
      </c>
    </row>
    <row r="876" spans="1:23" hidden="1" x14ac:dyDescent="0.3">
      <c r="A876" s="46" t="s">
        <v>1752</v>
      </c>
      <c r="B876" s="46" t="s">
        <v>1752</v>
      </c>
      <c r="C876" s="51" t="s">
        <v>33</v>
      </c>
      <c r="D876" s="48" t="s">
        <v>34</v>
      </c>
      <c r="E876" s="18" t="s">
        <v>1753</v>
      </c>
      <c r="F876" s="24" t="str">
        <f t="shared" si="52"/>
        <v>PPG - EWI   GUN GRADE    FOAM       0000000750</v>
      </c>
      <c r="G876" s="20" t="s">
        <v>5749</v>
      </c>
      <c r="H876" s="49" t="s">
        <v>213</v>
      </c>
      <c r="I876" s="18" t="s">
        <v>37</v>
      </c>
      <c r="J876" s="18" t="s">
        <v>38</v>
      </c>
      <c r="K876" t="s">
        <v>39</v>
      </c>
      <c r="L876" s="50">
        <f>VLOOKUP(A876,'[3]Price info'!A:D,4,FALSE)</f>
        <v>7.14</v>
      </c>
      <c r="M876" s="18" t="s">
        <v>214</v>
      </c>
      <c r="N876" s="20">
        <v>3105</v>
      </c>
      <c r="P876" s="16">
        <f>VLOOKUP(A876,'[3]Price info'!A:H,8,FALSE)</f>
        <v>7.14</v>
      </c>
      <c r="Q876" s="17">
        <f t="shared" si="53"/>
        <v>1</v>
      </c>
      <c r="S876" s="16" t="e">
        <f>VLOOKUP(A876,[4]Sales!$E:$G,3,FALSE)</f>
        <v>#N/A</v>
      </c>
      <c r="T876" s="19" t="e">
        <f>VLOOKUP(A876,[4]Volume!$E:$G,3,FALSE)</f>
        <v>#N/A</v>
      </c>
      <c r="U876" s="19" t="e">
        <f>VLOOKUP(A876,[4]Piece!$E:$G,3,FALSE)</f>
        <v>#N/A</v>
      </c>
      <c r="V876" s="21" t="e">
        <f t="shared" si="54"/>
        <v>#N/A</v>
      </c>
      <c r="W876" s="16" t="e">
        <f t="shared" si="55"/>
        <v>#N/A</v>
      </c>
    </row>
    <row r="877" spans="1:23" hidden="1" x14ac:dyDescent="0.3">
      <c r="A877" s="22" t="s">
        <v>1754</v>
      </c>
      <c r="B877" s="22" t="s">
        <v>1754</v>
      </c>
      <c r="C877" s="23" t="s">
        <v>33</v>
      </c>
      <c r="D877" s="20" t="s">
        <v>34</v>
      </c>
      <c r="E877" s="22" t="s">
        <v>1755</v>
      </c>
      <c r="F877" s="24" t="str">
        <f t="shared" si="52"/>
        <v>PPG - Woodworks DANISH OIL - 750ml</v>
      </c>
      <c r="G877" s="23" t="s">
        <v>5750</v>
      </c>
      <c r="H877" s="25" t="s">
        <v>36</v>
      </c>
      <c r="I877" s="18" t="s">
        <v>37</v>
      </c>
      <c r="J877" s="18" t="s">
        <v>38</v>
      </c>
      <c r="K877" t="s">
        <v>39</v>
      </c>
      <c r="L877" s="26">
        <f>VLOOKUP(A877,'[3]Price info'!A:D,4,FALSE)</f>
        <v>14.21</v>
      </c>
      <c r="M877" s="18" t="s">
        <v>40</v>
      </c>
      <c r="N877" s="20">
        <v>3105</v>
      </c>
      <c r="P877" s="16">
        <f>VLOOKUP(A877,'[3]Price info'!A:H,8,FALSE)</f>
        <v>13.229510000000001</v>
      </c>
      <c r="Q877" s="27">
        <f t="shared" si="53"/>
        <v>0.93100000000000005</v>
      </c>
      <c r="S877" s="16" t="e">
        <f>VLOOKUP(A877,[4]Sales!$E:$G,3,FALSE)</f>
        <v>#N/A</v>
      </c>
      <c r="T877" s="19" t="e">
        <f>VLOOKUP(A877,[4]Volume!$E:$G,3,FALSE)</f>
        <v>#N/A</v>
      </c>
      <c r="U877" s="19" t="e">
        <f>VLOOKUP(A877,[4]Piece!$E:$G,3,FALSE)</f>
        <v>#N/A</v>
      </c>
      <c r="V877" s="21" t="e">
        <f t="shared" si="54"/>
        <v>#N/A</v>
      </c>
      <c r="W877" s="16" t="e">
        <f t="shared" si="55"/>
        <v>#N/A</v>
      </c>
    </row>
    <row r="878" spans="1:23" hidden="1" x14ac:dyDescent="0.3">
      <c r="A878" s="46" t="s">
        <v>1756</v>
      </c>
      <c r="B878" s="46" t="s">
        <v>1756</v>
      </c>
      <c r="C878" s="47" t="s">
        <v>33</v>
      </c>
      <c r="D878" s="48" t="s">
        <v>34</v>
      </c>
      <c r="E878" s="18" t="s">
        <v>1757</v>
      </c>
      <c r="F878" s="24" t="str">
        <f t="shared" si="52"/>
        <v>PPG - EWI   HYBRID PAINT TAPE 41MT  HPT</v>
      </c>
      <c r="G878" s="20" t="s">
        <v>5751</v>
      </c>
      <c r="H878" s="49" t="s">
        <v>213</v>
      </c>
      <c r="I878" s="18" t="s">
        <v>37</v>
      </c>
      <c r="J878" s="18" t="s">
        <v>38</v>
      </c>
      <c r="K878" t="s">
        <v>39</v>
      </c>
      <c r="L878" s="50">
        <f>VLOOKUP(A878,'[3]Price info'!A:D,4,FALSE)</f>
        <v>5.67</v>
      </c>
      <c r="M878" s="18" t="s">
        <v>214</v>
      </c>
      <c r="N878" s="20">
        <v>3105</v>
      </c>
      <c r="P878" s="16">
        <f>VLOOKUP(A878,'[3]Price info'!A:H,8,FALSE)</f>
        <v>4.91</v>
      </c>
      <c r="Q878" s="17">
        <f t="shared" si="53"/>
        <v>0.86596119929453264</v>
      </c>
      <c r="S878" s="16">
        <f>VLOOKUP(A878,[4]Sales!$E:$G,3,FALSE)</f>
        <v>152.21</v>
      </c>
      <c r="T878" s="19">
        <f>VLOOKUP(A878,[4]Volume!$E:$G,3,FALSE)</f>
        <v>31</v>
      </c>
      <c r="U878" s="19">
        <f>VLOOKUP(A878,[4]Piece!$E:$G,3,FALSE)</f>
        <v>31</v>
      </c>
      <c r="V878" s="21">
        <f t="shared" si="54"/>
        <v>152.21</v>
      </c>
      <c r="W878" s="16">
        <f t="shared" si="55"/>
        <v>0</v>
      </c>
    </row>
    <row r="879" spans="1:23" hidden="1" x14ac:dyDescent="0.3">
      <c r="A879" s="22" t="s">
        <v>1758</v>
      </c>
      <c r="B879" s="22" t="s">
        <v>1758</v>
      </c>
      <c r="C879" s="23" t="s">
        <v>33</v>
      </c>
      <c r="D879" s="20" t="s">
        <v>34</v>
      </c>
      <c r="E879" s="22" t="s">
        <v>1759</v>
      </c>
      <c r="F879" s="24" t="str">
        <f t="shared" si="52"/>
        <v>PPG - Johnstones AQUA SATIN - Bril White - 1ltr</v>
      </c>
      <c r="G879" s="23" t="s">
        <v>5752</v>
      </c>
      <c r="H879" s="25" t="s">
        <v>36</v>
      </c>
      <c r="I879" s="18" t="s">
        <v>37</v>
      </c>
      <c r="J879" s="18" t="s">
        <v>38</v>
      </c>
      <c r="K879" t="s">
        <v>39</v>
      </c>
      <c r="L879" s="26">
        <f>VLOOKUP(A879,'[3]Price info'!A:D,4,FALSE)</f>
        <v>8.8000000000000007</v>
      </c>
      <c r="M879" s="18" t="s">
        <v>40</v>
      </c>
      <c r="N879" s="20">
        <v>3105</v>
      </c>
      <c r="P879" s="16">
        <f>VLOOKUP(A879,'[3]Price info'!A:H,8,FALSE)</f>
        <v>8.8000000000000007</v>
      </c>
      <c r="Q879" s="27">
        <f t="shared" si="53"/>
        <v>1</v>
      </c>
      <c r="S879" s="16">
        <f>VLOOKUP(A879,[4]Sales!$E:$G,3,FALSE)</f>
        <v>114.39999999999999</v>
      </c>
      <c r="T879" s="19">
        <f>VLOOKUP(A879,[4]Volume!$E:$G,3,FALSE)</f>
        <v>13</v>
      </c>
      <c r="U879" s="19">
        <f>VLOOKUP(A879,[4]Piece!$E:$G,3,FALSE)</f>
        <v>13</v>
      </c>
      <c r="V879" s="21">
        <f t="shared" si="54"/>
        <v>114.4</v>
      </c>
      <c r="W879" s="16">
        <f t="shared" si="55"/>
        <v>0</v>
      </c>
    </row>
    <row r="880" spans="1:23" hidden="1" x14ac:dyDescent="0.3">
      <c r="A880" s="36" t="s">
        <v>1760</v>
      </c>
      <c r="B880" s="36" t="s">
        <v>1760</v>
      </c>
      <c r="C880" s="23" t="s">
        <v>33</v>
      </c>
      <c r="D880" s="20" t="s">
        <v>34</v>
      </c>
      <c r="E880" s="22" t="s">
        <v>1761</v>
      </c>
      <c r="F880" s="24" t="str">
        <f t="shared" si="52"/>
        <v>PPG - Artex Artex FIBATAPE 90M XTREME -  - ltr</v>
      </c>
      <c r="G880" s="41" t="s">
        <v>5753</v>
      </c>
      <c r="H880" s="39" t="s">
        <v>36</v>
      </c>
      <c r="I880" s="40" t="s">
        <v>37</v>
      </c>
      <c r="J880" s="40" t="s">
        <v>38</v>
      </c>
      <c r="K880" s="41" t="s">
        <v>39</v>
      </c>
      <c r="L880" s="26">
        <f>VLOOKUP(A880,'[3]Price info'!A:D,4,FALSE)</f>
        <v>7.33</v>
      </c>
      <c r="M880" s="40" t="s">
        <v>40</v>
      </c>
      <c r="N880" s="42">
        <v>3105</v>
      </c>
      <c r="O880" s="43">
        <v>6.43</v>
      </c>
      <c r="P880" s="16">
        <f>VLOOKUP(A880,'[3]Price info'!A:H,8,FALSE)</f>
        <v>6.6</v>
      </c>
      <c r="Q880" s="52">
        <f t="shared" si="53"/>
        <v>0.90040927694406547</v>
      </c>
      <c r="R880" s="40"/>
      <c r="S880" s="16">
        <f>VLOOKUP(A880,[4]Sales!$E:$G,3,FALSE)</f>
        <v>6.6</v>
      </c>
      <c r="T880" s="19">
        <f>VLOOKUP(A880,[4]Volume!$E:$G,3,FALSE)</f>
        <v>1</v>
      </c>
      <c r="U880" s="19">
        <f>VLOOKUP(A880,[4]Piece!$E:$G,3,FALSE)</f>
        <v>1</v>
      </c>
      <c r="V880" s="21">
        <f t="shared" si="54"/>
        <v>6.6</v>
      </c>
      <c r="W880" s="16">
        <f t="shared" si="55"/>
        <v>0</v>
      </c>
    </row>
    <row r="881" spans="1:23" hidden="1" x14ac:dyDescent="0.3">
      <c r="A881" s="46" t="s">
        <v>1762</v>
      </c>
      <c r="B881" s="46" t="s">
        <v>1762</v>
      </c>
      <c r="C881" s="47" t="s">
        <v>33</v>
      </c>
      <c r="D881" s="48" t="s">
        <v>34</v>
      </c>
      <c r="E881" s="18" t="s">
        <v>1763</v>
      </c>
      <c r="F881" s="24" t="str">
        <f t="shared" si="52"/>
        <v>PPG - RODO  ICE FUSION   ROLLER KIT PRODEC</v>
      </c>
      <c r="G881" s="20" t="s">
        <v>5754</v>
      </c>
      <c r="H881" s="49" t="s">
        <v>213</v>
      </c>
      <c r="I881" s="18" t="s">
        <v>37</v>
      </c>
      <c r="J881" s="18" t="s">
        <v>38</v>
      </c>
      <c r="K881" t="s">
        <v>39</v>
      </c>
      <c r="L881" s="50">
        <f>VLOOKUP(A881,'[3]Price info'!A:D,4,FALSE)</f>
        <v>13.87</v>
      </c>
      <c r="M881" s="18" t="s">
        <v>214</v>
      </c>
      <c r="N881" s="20">
        <v>3105</v>
      </c>
      <c r="P881" s="16">
        <f>VLOOKUP(A881,'[3]Price info'!A:H,8,FALSE)</f>
        <v>11.7</v>
      </c>
      <c r="Q881" s="17">
        <f t="shared" si="53"/>
        <v>0.84354722422494588</v>
      </c>
      <c r="S881" s="16" t="e">
        <f>VLOOKUP(A881,[4]Sales!$E:$G,3,FALSE)</f>
        <v>#N/A</v>
      </c>
      <c r="T881" s="19" t="e">
        <f>VLOOKUP(A881,[4]Volume!$E:$G,3,FALSE)</f>
        <v>#N/A</v>
      </c>
      <c r="U881" s="19" t="e">
        <f>VLOOKUP(A881,[4]Piece!$E:$G,3,FALSE)</f>
        <v>#N/A</v>
      </c>
      <c r="V881" s="21" t="e">
        <f t="shared" si="54"/>
        <v>#N/A</v>
      </c>
      <c r="W881" s="16" t="e">
        <f t="shared" si="55"/>
        <v>#N/A</v>
      </c>
    </row>
    <row r="882" spans="1:23" hidden="1" x14ac:dyDescent="0.3">
      <c r="A882" s="46" t="s">
        <v>1764</v>
      </c>
      <c r="B882" s="46" t="s">
        <v>1764</v>
      </c>
      <c r="C882" s="51" t="s">
        <v>33</v>
      </c>
      <c r="D882" s="48" t="s">
        <v>34</v>
      </c>
      <c r="E882" s="18" t="s">
        <v>1765</v>
      </c>
      <c r="F882" s="24" t="str">
        <f t="shared" si="52"/>
        <v>PPG - KNAUF JOINT TAPE   150 MTR</v>
      </c>
      <c r="G882" s="20" t="s">
        <v>5755</v>
      </c>
      <c r="H882" s="49" t="s">
        <v>213</v>
      </c>
      <c r="I882" s="18" t="s">
        <v>37</v>
      </c>
      <c r="J882" s="18" t="s">
        <v>38</v>
      </c>
      <c r="K882" t="s">
        <v>39</v>
      </c>
      <c r="L882" s="50">
        <f>VLOOKUP(A882,'[3]Price info'!A:D,4,FALSE)</f>
        <v>8.48</v>
      </c>
      <c r="M882" s="18" t="s">
        <v>214</v>
      </c>
      <c r="N882" s="20">
        <v>3105</v>
      </c>
      <c r="P882" s="16">
        <f>VLOOKUP(A882,'[3]Price info'!A:H,8,FALSE)</f>
        <v>7.34</v>
      </c>
      <c r="Q882" s="17">
        <f t="shared" si="53"/>
        <v>0.86556603773584895</v>
      </c>
      <c r="S882" s="16" t="e">
        <f>VLOOKUP(A882,[4]Sales!$E:$G,3,FALSE)</f>
        <v>#N/A</v>
      </c>
      <c r="T882" s="19" t="e">
        <f>VLOOKUP(A882,[4]Volume!$E:$G,3,FALSE)</f>
        <v>#N/A</v>
      </c>
      <c r="U882" s="19" t="e">
        <f>VLOOKUP(A882,[4]Piece!$E:$G,3,FALSE)</f>
        <v>#N/A</v>
      </c>
      <c r="V882" s="21" t="e">
        <f t="shared" si="54"/>
        <v>#N/A</v>
      </c>
      <c r="W882" s="16" t="e">
        <f t="shared" si="55"/>
        <v>#N/A</v>
      </c>
    </row>
    <row r="883" spans="1:23" hidden="1" x14ac:dyDescent="0.3">
      <c r="A883" s="22" t="s">
        <v>1766</v>
      </c>
      <c r="B883" s="22" t="s">
        <v>1766</v>
      </c>
      <c r="C883" s="23" t="s">
        <v>33</v>
      </c>
      <c r="D883" s="20" t="s">
        <v>34</v>
      </c>
      <c r="E883" s="22" t="s">
        <v>1767</v>
      </c>
      <c r="F883" s="24" t="str">
        <f t="shared" si="52"/>
        <v>PPG - FatHog EVOLUTION TROUSER 34" WHITE</v>
      </c>
      <c r="G883" s="23" t="s">
        <v>5756</v>
      </c>
      <c r="H883" s="25" t="s">
        <v>36</v>
      </c>
      <c r="I883" s="18" t="s">
        <v>37</v>
      </c>
      <c r="J883" s="18" t="s">
        <v>38</v>
      </c>
      <c r="K883" t="s">
        <v>39</v>
      </c>
      <c r="L883" s="26">
        <f>VLOOKUP(A883,'[3]Price info'!A:D,4,FALSE)</f>
        <v>27.43</v>
      </c>
      <c r="M883" s="18" t="s">
        <v>40</v>
      </c>
      <c r="N883" s="20">
        <v>3105</v>
      </c>
      <c r="P883" s="16">
        <f>VLOOKUP(A883,'[3]Price info'!A:H,8,FALSE)</f>
        <v>25.537330000000001</v>
      </c>
      <c r="Q883" s="27">
        <f t="shared" si="53"/>
        <v>0.93100000000000005</v>
      </c>
      <c r="S883" s="16" t="e">
        <f>VLOOKUP(A883,[4]Sales!$E:$G,3,FALSE)</f>
        <v>#N/A</v>
      </c>
      <c r="T883" s="19" t="e">
        <f>VLOOKUP(A883,[4]Volume!$E:$G,3,FALSE)</f>
        <v>#N/A</v>
      </c>
      <c r="U883" s="19" t="e">
        <f>VLOOKUP(A883,[4]Piece!$E:$G,3,FALSE)</f>
        <v>#N/A</v>
      </c>
      <c r="V883" s="21" t="e">
        <f t="shared" si="54"/>
        <v>#N/A</v>
      </c>
      <c r="W883" s="16" t="e">
        <f t="shared" si="55"/>
        <v>#N/A</v>
      </c>
    </row>
    <row r="884" spans="1:23" hidden="1" x14ac:dyDescent="0.3">
      <c r="A884" s="22" t="s">
        <v>1768</v>
      </c>
      <c r="B884" s="22" t="s">
        <v>1768</v>
      </c>
      <c r="C884" s="23" t="s">
        <v>33</v>
      </c>
      <c r="D884" s="20" t="s">
        <v>34</v>
      </c>
      <c r="E884" s="22" t="s">
        <v>1769</v>
      </c>
      <c r="F884" s="24" t="str">
        <f t="shared" si="52"/>
        <v>PPG - Johnstones QD Woodstain - Walnut - 750ml</v>
      </c>
      <c r="G884" s="23" t="s">
        <v>5757</v>
      </c>
      <c r="H884" s="25" t="s">
        <v>36</v>
      </c>
      <c r="I884" s="18" t="s">
        <v>37</v>
      </c>
      <c r="J884" s="18" t="s">
        <v>38</v>
      </c>
      <c r="K884" t="s">
        <v>39</v>
      </c>
      <c r="L884" s="26">
        <f>VLOOKUP(A884,'[3]Price info'!A:D,4,FALSE)</f>
        <v>8.3800000000000008</v>
      </c>
      <c r="M884" s="18" t="s">
        <v>40</v>
      </c>
      <c r="N884" s="20">
        <v>3105</v>
      </c>
      <c r="P884" s="16">
        <f>VLOOKUP(A884,'[3]Price info'!A:H,8,FALSE)</f>
        <v>7.8017800000000008</v>
      </c>
      <c r="Q884" s="27">
        <f t="shared" si="53"/>
        <v>0.93100000000000005</v>
      </c>
      <c r="S884" s="16">
        <f>VLOOKUP(A884,[4]Sales!$E:$G,3,FALSE)</f>
        <v>7.8</v>
      </c>
      <c r="T884" s="19">
        <f>VLOOKUP(A884,[4]Volume!$E:$G,3,FALSE)</f>
        <v>0.75</v>
      </c>
      <c r="U884" s="19">
        <f>VLOOKUP(A884,[4]Piece!$E:$G,3,FALSE)</f>
        <v>1</v>
      </c>
      <c r="V884" s="21">
        <f t="shared" si="54"/>
        <v>7.8017800000000008</v>
      </c>
      <c r="W884" s="16">
        <f t="shared" si="55"/>
        <v>1.780000000001003E-3</v>
      </c>
    </row>
    <row r="885" spans="1:23" hidden="1" x14ac:dyDescent="0.3">
      <c r="A885" s="22" t="s">
        <v>1770</v>
      </c>
      <c r="B885" s="22" t="s">
        <v>1770</v>
      </c>
      <c r="C885" s="23" t="s">
        <v>33</v>
      </c>
      <c r="D885" s="20" t="s">
        <v>34</v>
      </c>
      <c r="E885" s="22" t="s">
        <v>1771</v>
      </c>
      <c r="F885" s="24" t="str">
        <f t="shared" si="52"/>
        <v>PPG - Johnstones UNI PRIMER - Red Oxide - 2.5ltr</v>
      </c>
      <c r="G885" s="23" t="s">
        <v>5758</v>
      </c>
      <c r="H885" s="25" t="s">
        <v>36</v>
      </c>
      <c r="I885" s="18" t="s">
        <v>37</v>
      </c>
      <c r="J885" s="18" t="s">
        <v>38</v>
      </c>
      <c r="K885" t="s">
        <v>39</v>
      </c>
      <c r="L885" s="26">
        <f>VLOOKUP(A885,'[3]Price info'!A:D,4,FALSE)</f>
        <v>26.7</v>
      </c>
      <c r="M885" s="18" t="s">
        <v>40</v>
      </c>
      <c r="N885" s="20">
        <v>3105</v>
      </c>
      <c r="P885" s="16">
        <f>VLOOKUP(A885,'[3]Price info'!A:H,8,FALSE)</f>
        <v>24.857700000000001</v>
      </c>
      <c r="Q885" s="27">
        <f t="shared" si="53"/>
        <v>0.93100000000000005</v>
      </c>
      <c r="S885" s="16">
        <f>VLOOKUP(A885,[4]Sales!$E:$G,3,FALSE)</f>
        <v>143.96</v>
      </c>
      <c r="T885" s="19">
        <f>VLOOKUP(A885,[4]Volume!$E:$G,3,FALSE)</f>
        <v>15</v>
      </c>
      <c r="U885" s="19">
        <f>VLOOKUP(A885,[4]Piece!$E:$G,3,FALSE)</f>
        <v>6</v>
      </c>
      <c r="V885" s="21">
        <f t="shared" si="54"/>
        <v>149.14620000000002</v>
      </c>
      <c r="W885" s="16">
        <f t="shared" si="55"/>
        <v>5.1862000000000137</v>
      </c>
    </row>
    <row r="886" spans="1:23" hidden="1" x14ac:dyDescent="0.3">
      <c r="A886" s="22" t="s">
        <v>1772</v>
      </c>
      <c r="B886" s="22" t="s">
        <v>1772</v>
      </c>
      <c r="C886" s="23" t="s">
        <v>33</v>
      </c>
      <c r="D886" s="20" t="s">
        <v>34</v>
      </c>
      <c r="E886" s="22" t="s">
        <v>1773</v>
      </c>
      <c r="F886" s="24" t="str">
        <f t="shared" si="52"/>
        <v>PPG - Johnstones VINYL SOFT SHEEN - Mag - 5ltr</v>
      </c>
      <c r="G886" s="23" t="s">
        <v>5759</v>
      </c>
      <c r="H886" s="25" t="s">
        <v>36</v>
      </c>
      <c r="I886" s="18" t="s">
        <v>37</v>
      </c>
      <c r="J886" s="18" t="s">
        <v>38</v>
      </c>
      <c r="K886" t="s">
        <v>39</v>
      </c>
      <c r="L886" s="26">
        <f>VLOOKUP(A886,'[3]Price info'!A:D,4,FALSE)</f>
        <v>12.78</v>
      </c>
      <c r="M886" s="18" t="s">
        <v>40</v>
      </c>
      <c r="N886" s="20">
        <v>3105</v>
      </c>
      <c r="P886" s="16">
        <f>VLOOKUP(A886,'[3]Price info'!A:H,8,FALSE)</f>
        <v>11.89818</v>
      </c>
      <c r="Q886" s="27">
        <f t="shared" si="53"/>
        <v>0.93100000000000005</v>
      </c>
      <c r="S886" s="16">
        <f>VLOOKUP(A886,[4]Sales!$E:$G,3,FALSE)</f>
        <v>226.10000000000002</v>
      </c>
      <c r="T886" s="19">
        <f>VLOOKUP(A886,[4]Volume!$E:$G,3,FALSE)</f>
        <v>95</v>
      </c>
      <c r="U886" s="19">
        <f>VLOOKUP(A886,[4]Piece!$E:$G,3,FALSE)</f>
        <v>19</v>
      </c>
      <c r="V886" s="21">
        <f t="shared" si="54"/>
        <v>226.06541999999999</v>
      </c>
      <c r="W886" s="16">
        <f t="shared" si="55"/>
        <v>-3.4580000000033806E-2</v>
      </c>
    </row>
    <row r="887" spans="1:23" hidden="1" x14ac:dyDescent="0.3">
      <c r="A887" s="22" t="s">
        <v>1774</v>
      </c>
      <c r="B887" s="22" t="s">
        <v>1774</v>
      </c>
      <c r="C887" s="23" t="s">
        <v>33</v>
      </c>
      <c r="D887" s="20" t="s">
        <v>34</v>
      </c>
      <c r="E887" s="22" t="s">
        <v>1775</v>
      </c>
      <c r="F887" s="24" t="str">
        <f t="shared" si="52"/>
        <v>PPG - ProGold AQUA SYNTHETIC BRUSH 1"</v>
      </c>
      <c r="G887" s="23" t="s">
        <v>5760</v>
      </c>
      <c r="H887" s="25" t="s">
        <v>36</v>
      </c>
      <c r="I887" s="18" t="s">
        <v>37</v>
      </c>
      <c r="J887" s="18" t="s">
        <v>38</v>
      </c>
      <c r="K887" t="s">
        <v>39</v>
      </c>
      <c r="L887" s="26">
        <f>VLOOKUP(A887,'[3]Price info'!A:D,4,FALSE)</f>
        <v>1.77</v>
      </c>
      <c r="M887" s="18" t="s">
        <v>40</v>
      </c>
      <c r="N887" s="20">
        <v>3105</v>
      </c>
      <c r="P887" s="16">
        <f>VLOOKUP(A887,'[3]Price info'!A:H,8,FALSE)</f>
        <v>1.6478700000000002</v>
      </c>
      <c r="Q887" s="27">
        <f t="shared" si="53"/>
        <v>0.93100000000000005</v>
      </c>
      <c r="S887" s="16">
        <f>VLOOKUP(A887,[4]Sales!$E:$G,3,FALSE)</f>
        <v>19.990000000000002</v>
      </c>
      <c r="T887" s="19">
        <f>VLOOKUP(A887,[4]Volume!$E:$G,3,FALSE)</f>
        <v>11</v>
      </c>
      <c r="U887" s="19">
        <f>VLOOKUP(A887,[4]Piece!$E:$G,3,FALSE)</f>
        <v>11</v>
      </c>
      <c r="V887" s="21">
        <f t="shared" si="54"/>
        <v>18.126570000000001</v>
      </c>
      <c r="W887" s="16">
        <f t="shared" si="55"/>
        <v>-1.863430000000001</v>
      </c>
    </row>
    <row r="888" spans="1:23" hidden="1" x14ac:dyDescent="0.3">
      <c r="A888" s="22" t="s">
        <v>1776</v>
      </c>
      <c r="B888" s="22" t="s">
        <v>1776</v>
      </c>
      <c r="C888" s="23" t="s">
        <v>33</v>
      </c>
      <c r="D888" s="20" t="s">
        <v>34</v>
      </c>
      <c r="E888" s="22" t="s">
        <v>1777</v>
      </c>
      <c r="F888" s="24" t="str">
        <f t="shared" si="52"/>
        <v>PPG - Johnstones QD Woodstain - Mahogany - 750ml</v>
      </c>
      <c r="G888" s="23" t="s">
        <v>5761</v>
      </c>
      <c r="H888" s="25" t="s">
        <v>36</v>
      </c>
      <c r="I888" s="18" t="s">
        <v>37</v>
      </c>
      <c r="J888" s="18" t="s">
        <v>38</v>
      </c>
      <c r="K888" t="s">
        <v>39</v>
      </c>
      <c r="L888" s="26">
        <f>VLOOKUP(A888,'[3]Price info'!A:D,4,FALSE)</f>
        <v>8.3800000000000008</v>
      </c>
      <c r="M888" s="18" t="s">
        <v>40</v>
      </c>
      <c r="N888" s="20">
        <v>3105</v>
      </c>
      <c r="P888" s="16">
        <f>VLOOKUP(A888,'[3]Price info'!A:H,8,FALSE)</f>
        <v>7.8017800000000008</v>
      </c>
      <c r="Q888" s="27">
        <f t="shared" si="53"/>
        <v>0.93100000000000005</v>
      </c>
      <c r="S888" s="16">
        <f>VLOOKUP(A888,[4]Sales!$E:$G,3,FALSE)</f>
        <v>106.04</v>
      </c>
      <c r="T888" s="19">
        <f>VLOOKUP(A888,[4]Volume!$E:$G,3,FALSE)</f>
        <v>9.75</v>
      </c>
      <c r="U888" s="19">
        <f>VLOOKUP(A888,[4]Piece!$E:$G,3,FALSE)</f>
        <v>13</v>
      </c>
      <c r="V888" s="21">
        <f t="shared" si="54"/>
        <v>101.42314000000002</v>
      </c>
      <c r="W888" s="16">
        <f t="shared" si="55"/>
        <v>-4.6168599999999884</v>
      </c>
    </row>
    <row r="889" spans="1:23" hidden="1" x14ac:dyDescent="0.3">
      <c r="A889" s="22" t="s">
        <v>1778</v>
      </c>
      <c r="B889" s="22" t="s">
        <v>1778</v>
      </c>
      <c r="C889" s="23" t="s">
        <v>33</v>
      </c>
      <c r="D889" s="20" t="s">
        <v>34</v>
      </c>
      <c r="E889" s="22" t="s">
        <v>1779</v>
      </c>
      <c r="F889" s="24" t="str">
        <f t="shared" si="52"/>
        <v>PPG - FatHog BIB&amp;BRACE WHITE 52"-54"</v>
      </c>
      <c r="G889" s="23" t="s">
        <v>5762</v>
      </c>
      <c r="H889" s="25" t="s">
        <v>36</v>
      </c>
      <c r="I889" s="18" t="s">
        <v>37</v>
      </c>
      <c r="J889" s="18" t="s">
        <v>38</v>
      </c>
      <c r="K889" t="s">
        <v>39</v>
      </c>
      <c r="L889" s="26">
        <f>VLOOKUP(A889,'[3]Price info'!A:D,4,FALSE)</f>
        <v>23.88</v>
      </c>
      <c r="M889" s="18" t="s">
        <v>40</v>
      </c>
      <c r="N889" s="20">
        <v>3105</v>
      </c>
      <c r="P889" s="16">
        <f>VLOOKUP(A889,'[3]Price info'!A:H,8,FALSE)</f>
        <v>22.232279999999999</v>
      </c>
      <c r="Q889" s="27">
        <f t="shared" si="53"/>
        <v>0.93100000000000005</v>
      </c>
      <c r="S889" s="16">
        <f>VLOOKUP(A889,[4]Sales!$E:$G,3,FALSE)</f>
        <v>22.42</v>
      </c>
      <c r="T889" s="19">
        <f>VLOOKUP(A889,[4]Volume!$E:$G,3,FALSE)</f>
        <v>1</v>
      </c>
      <c r="U889" s="19">
        <f>VLOOKUP(A889,[4]Piece!$E:$G,3,FALSE)</f>
        <v>1</v>
      </c>
      <c r="V889" s="21">
        <f t="shared" si="54"/>
        <v>22.232279999999999</v>
      </c>
      <c r="W889" s="16">
        <f t="shared" si="55"/>
        <v>-0.18772000000000233</v>
      </c>
    </row>
    <row r="890" spans="1:23" hidden="1" x14ac:dyDescent="0.3">
      <c r="A890" s="46" t="s">
        <v>1780</v>
      </c>
      <c r="B890" s="46" t="s">
        <v>1780</v>
      </c>
      <c r="C890" s="47" t="s">
        <v>33</v>
      </c>
      <c r="D890" s="48" t="s">
        <v>34</v>
      </c>
      <c r="E890" s="18" t="s">
        <v>1781</v>
      </c>
      <c r="F890" s="24" t="str">
        <f t="shared" si="52"/>
        <v>PPG - RODO  PRODEC WALL BRUSH 6 INCH</v>
      </c>
      <c r="G890" s="20" t="s">
        <v>5763</v>
      </c>
      <c r="H890" s="49" t="s">
        <v>213</v>
      </c>
      <c r="I890" s="18" t="s">
        <v>37</v>
      </c>
      <c r="J890" s="18" t="s">
        <v>38</v>
      </c>
      <c r="K890" t="s">
        <v>39</v>
      </c>
      <c r="L890" s="50">
        <f>VLOOKUP(A890,'[3]Price info'!A:D,4,FALSE)</f>
        <v>8.36</v>
      </c>
      <c r="M890" s="18" t="s">
        <v>214</v>
      </c>
      <c r="N890" s="20">
        <v>3105</v>
      </c>
      <c r="P890" s="16">
        <f>VLOOKUP(A890,'[3]Price info'!A:H,8,FALSE)</f>
        <v>7.7831599999999996</v>
      </c>
      <c r="Q890" s="17">
        <f t="shared" si="53"/>
        <v>0.93100000000000005</v>
      </c>
      <c r="S890" s="16" t="e">
        <f>VLOOKUP(A890,[4]Sales!$E:$G,3,FALSE)</f>
        <v>#N/A</v>
      </c>
      <c r="T890" s="19" t="e">
        <f>VLOOKUP(A890,[4]Volume!$E:$G,3,FALSE)</f>
        <v>#N/A</v>
      </c>
      <c r="U890" s="19" t="e">
        <f>VLOOKUP(A890,[4]Piece!$E:$G,3,FALSE)</f>
        <v>#N/A</v>
      </c>
      <c r="V890" s="21" t="e">
        <f t="shared" si="54"/>
        <v>#N/A</v>
      </c>
      <c r="W890" s="16" t="e">
        <f t="shared" si="55"/>
        <v>#N/A</v>
      </c>
    </row>
    <row r="891" spans="1:23" hidden="1" x14ac:dyDescent="0.3">
      <c r="A891" s="22" t="s">
        <v>1782</v>
      </c>
      <c r="B891" s="22" t="s">
        <v>1782</v>
      </c>
      <c r="C891" s="23" t="s">
        <v>33</v>
      </c>
      <c r="D891" s="20" t="s">
        <v>34</v>
      </c>
      <c r="E891" s="22" t="s">
        <v>1783</v>
      </c>
      <c r="F891" s="24" t="str">
        <f t="shared" si="52"/>
        <v>PPG - Leyland ONE COAT GLOSS - BW- 750ml</v>
      </c>
      <c r="G891" s="23" t="s">
        <v>5764</v>
      </c>
      <c r="H891" s="25" t="s">
        <v>36</v>
      </c>
      <c r="I891" s="18" t="s">
        <v>37</v>
      </c>
      <c r="J891" s="18" t="s">
        <v>38</v>
      </c>
      <c r="K891" t="s">
        <v>39</v>
      </c>
      <c r="L891" s="26">
        <f>VLOOKUP(A891,'[3]Price info'!A:D,4,FALSE)</f>
        <v>11.8</v>
      </c>
      <c r="M891" s="18" t="s">
        <v>40</v>
      </c>
      <c r="N891" s="20">
        <v>3105</v>
      </c>
      <c r="P891" s="16">
        <f>VLOOKUP(A891,'[3]Price info'!A:H,8,FALSE)</f>
        <v>10.985800000000001</v>
      </c>
      <c r="Q891" s="27">
        <f t="shared" si="53"/>
        <v>0.93100000000000005</v>
      </c>
      <c r="S891" s="16">
        <f>VLOOKUP(A891,[4]Sales!$E:$G,3,FALSE)</f>
        <v>10.99</v>
      </c>
      <c r="T891" s="19">
        <f>VLOOKUP(A891,[4]Volume!$E:$G,3,FALSE)</f>
        <v>0.75</v>
      </c>
      <c r="U891" s="19">
        <f>VLOOKUP(A891,[4]Piece!$E:$G,3,FALSE)</f>
        <v>1</v>
      </c>
      <c r="V891" s="21">
        <f t="shared" si="54"/>
        <v>10.985800000000001</v>
      </c>
      <c r="W891" s="16">
        <f t="shared" si="55"/>
        <v>-4.1999999999990933E-3</v>
      </c>
    </row>
    <row r="892" spans="1:23" hidden="1" x14ac:dyDescent="0.3">
      <c r="A892" s="22" t="s">
        <v>1784</v>
      </c>
      <c r="B892" s="22" t="s">
        <v>1784</v>
      </c>
      <c r="C892" s="23" t="s">
        <v>33</v>
      </c>
      <c r="D892" s="20" t="s">
        <v>34</v>
      </c>
      <c r="E892" s="22" t="s">
        <v>1785</v>
      </c>
      <c r="F892" s="24" t="str">
        <f t="shared" si="52"/>
        <v>PPG - FatHog GRAB ADHESIV SOLVENTED - 350ml</v>
      </c>
      <c r="G892" s="23" t="s">
        <v>5765</v>
      </c>
      <c r="H892" s="25" t="s">
        <v>36</v>
      </c>
      <c r="I892" s="18" t="s">
        <v>37</v>
      </c>
      <c r="J892" s="18" t="s">
        <v>38</v>
      </c>
      <c r="K892" t="s">
        <v>39</v>
      </c>
      <c r="L892" s="26">
        <f>VLOOKUP(A892,'[3]Price info'!A:D,4,FALSE)</f>
        <v>4.72</v>
      </c>
      <c r="M892" s="18" t="s">
        <v>40</v>
      </c>
      <c r="N892" s="20">
        <v>3105</v>
      </c>
      <c r="P892" s="16">
        <f>VLOOKUP(A892,'[3]Price info'!A:H,8,FALSE)</f>
        <v>4.3943199999999996</v>
      </c>
      <c r="Q892" s="27">
        <f t="shared" si="53"/>
        <v>0.93099999999999994</v>
      </c>
      <c r="S892" s="16" t="e">
        <f>VLOOKUP(A892,[4]Sales!$E:$G,3,FALSE)</f>
        <v>#N/A</v>
      </c>
      <c r="T892" s="19" t="e">
        <f>VLOOKUP(A892,[4]Volume!$E:$G,3,FALSE)</f>
        <v>#N/A</v>
      </c>
      <c r="U892" s="19" t="e">
        <f>VLOOKUP(A892,[4]Piece!$E:$G,3,FALSE)</f>
        <v>#N/A</v>
      </c>
      <c r="V892" s="21" t="e">
        <f t="shared" si="54"/>
        <v>#N/A</v>
      </c>
      <c r="W892" s="16" t="e">
        <f t="shared" si="55"/>
        <v>#N/A</v>
      </c>
    </row>
    <row r="893" spans="1:23" hidden="1" x14ac:dyDescent="0.3">
      <c r="A893" s="22" t="s">
        <v>1786</v>
      </c>
      <c r="B893" s="22" t="s">
        <v>1786</v>
      </c>
      <c r="C893" s="23" t="s">
        <v>33</v>
      </c>
      <c r="D893" s="20" t="s">
        <v>34</v>
      </c>
      <c r="E893" s="22" t="s">
        <v>1787</v>
      </c>
      <c r="F893" s="24" t="str">
        <f t="shared" si="52"/>
        <v>PPG - FatHog GENERAL PURPOSE SILICONE BLACK -295ml</v>
      </c>
      <c r="G893" s="23" t="s">
        <v>5766</v>
      </c>
      <c r="H893" s="25" t="s">
        <v>36</v>
      </c>
      <c r="I893" s="18" t="s">
        <v>37</v>
      </c>
      <c r="J893" s="18" t="s">
        <v>38</v>
      </c>
      <c r="K893" t="s">
        <v>39</v>
      </c>
      <c r="L893" s="26">
        <f>VLOOKUP(A893,'[3]Price info'!A:D,4,FALSE)</f>
        <v>3.32</v>
      </c>
      <c r="M893" s="18" t="s">
        <v>40</v>
      </c>
      <c r="N893" s="20">
        <v>3105</v>
      </c>
      <c r="P893" s="16">
        <f>VLOOKUP(A893,'[3]Price info'!A:H,8,FALSE)</f>
        <v>3.9839999999999995</v>
      </c>
      <c r="Q893" s="27">
        <f t="shared" si="53"/>
        <v>1.2</v>
      </c>
      <c r="S893" s="16" t="e">
        <f>VLOOKUP(A893,[4]Sales!$E:$G,3,FALSE)</f>
        <v>#N/A</v>
      </c>
      <c r="T893" s="19" t="e">
        <f>VLOOKUP(A893,[4]Volume!$E:$G,3,FALSE)</f>
        <v>#N/A</v>
      </c>
      <c r="U893" s="19" t="e">
        <f>VLOOKUP(A893,[4]Piece!$E:$G,3,FALSE)</f>
        <v>#N/A</v>
      </c>
      <c r="V893" s="21" t="e">
        <f t="shared" si="54"/>
        <v>#N/A</v>
      </c>
      <c r="W893" s="16" t="e">
        <f t="shared" si="55"/>
        <v>#N/A</v>
      </c>
    </row>
    <row r="894" spans="1:23" hidden="1" x14ac:dyDescent="0.3">
      <c r="A894" s="22" t="s">
        <v>1788</v>
      </c>
      <c r="B894" s="22" t="s">
        <v>1788</v>
      </c>
      <c r="C894" s="23" t="s">
        <v>33</v>
      </c>
      <c r="D894" s="20" t="s">
        <v>34</v>
      </c>
      <c r="E894" s="22" t="s">
        <v>1789</v>
      </c>
      <c r="F894" s="24" t="str">
        <f t="shared" si="52"/>
        <v>PPG - Johnstones QD Woodstain - Mix - 2.5ltr</v>
      </c>
      <c r="G894" s="23" t="s">
        <v>5767</v>
      </c>
      <c r="H894" s="25" t="s">
        <v>36</v>
      </c>
      <c r="I894" s="18" t="s">
        <v>37</v>
      </c>
      <c r="J894" s="18" t="s">
        <v>38</v>
      </c>
      <c r="K894" t="s">
        <v>39</v>
      </c>
      <c r="L894" s="26">
        <f>VLOOKUP(A894,'[3]Price info'!A:D,4,FALSE)</f>
        <v>23.03</v>
      </c>
      <c r="M894" s="18" t="s">
        <v>40</v>
      </c>
      <c r="N894" s="20">
        <v>3105</v>
      </c>
      <c r="P894" s="16">
        <f>VLOOKUP(A894,'[3]Price info'!A:H,8,FALSE)</f>
        <v>21.440930000000002</v>
      </c>
      <c r="Q894" s="27">
        <f t="shared" si="53"/>
        <v>0.93100000000000005</v>
      </c>
      <c r="S894" s="16">
        <f>VLOOKUP(A894,[4]Sales!$E:$G,3,FALSE)</f>
        <v>42.88</v>
      </c>
      <c r="T894" s="19">
        <f>VLOOKUP(A894,[4]Volume!$E:$G,3,FALSE)</f>
        <v>5</v>
      </c>
      <c r="U894" s="19">
        <f>VLOOKUP(A894,[4]Piece!$E:$G,3,FALSE)</f>
        <v>2</v>
      </c>
      <c r="V894" s="21">
        <f t="shared" si="54"/>
        <v>42.881860000000003</v>
      </c>
      <c r="W894" s="16">
        <f t="shared" si="55"/>
        <v>1.8600000000006389E-3</v>
      </c>
    </row>
    <row r="895" spans="1:23" hidden="1" x14ac:dyDescent="0.3">
      <c r="A895" s="46" t="s">
        <v>1790</v>
      </c>
      <c r="B895" s="46" t="s">
        <v>1790</v>
      </c>
      <c r="C895" s="47" t="s">
        <v>33</v>
      </c>
      <c r="D895" s="48" t="s">
        <v>34</v>
      </c>
      <c r="E895" s="93" t="s">
        <v>7395</v>
      </c>
      <c r="F895" s="24" t="str">
        <f t="shared" si="52"/>
        <v>PPG - Mirka Abranet 150mm PK10 P80</v>
      </c>
      <c r="G895" s="20" t="s">
        <v>5768</v>
      </c>
      <c r="H895" s="49" t="s">
        <v>213</v>
      </c>
      <c r="I895" s="18" t="s">
        <v>37</v>
      </c>
      <c r="J895" s="18" t="s">
        <v>38</v>
      </c>
      <c r="K895" t="s">
        <v>39</v>
      </c>
      <c r="L895" s="50">
        <f>VLOOKUP(A895,'[3]Price info'!A:D,4,FALSE)</f>
        <v>21.45</v>
      </c>
      <c r="M895" s="18" t="s">
        <v>214</v>
      </c>
      <c r="N895" s="20">
        <v>3105</v>
      </c>
      <c r="P895" s="16">
        <v>12.44</v>
      </c>
      <c r="Q895" s="17">
        <f t="shared" si="53"/>
        <v>0.57995337995337992</v>
      </c>
      <c r="S895" s="16">
        <f>VLOOKUP(A895,[4]Sales!$E:$G,3,FALSE)</f>
        <v>21.74</v>
      </c>
      <c r="T895" s="19">
        <f>VLOOKUP(A895,[4]Volume!$E:$G,3,FALSE)</f>
        <v>1</v>
      </c>
      <c r="U895" s="19">
        <f>VLOOKUP(A895,[4]Piece!$E:$G,3,FALSE)</f>
        <v>1</v>
      </c>
      <c r="V895" s="21">
        <f t="shared" si="54"/>
        <v>12.44</v>
      </c>
      <c r="W895" s="16">
        <f t="shared" si="55"/>
        <v>-9.2999999999999989</v>
      </c>
    </row>
    <row r="896" spans="1:23" hidden="1" x14ac:dyDescent="0.3">
      <c r="A896" s="22" t="s">
        <v>1791</v>
      </c>
      <c r="B896" s="22" t="s">
        <v>1791</v>
      </c>
      <c r="C896" s="23" t="s">
        <v>33</v>
      </c>
      <c r="D896" s="20" t="s">
        <v>34</v>
      </c>
      <c r="E896" s="22" t="s">
        <v>1792</v>
      </c>
      <c r="F896" s="24" t="str">
        <f t="shared" si="52"/>
        <v>PPG - Stormshield PLIOLITE - Mushroom - 5ltr</v>
      </c>
      <c r="G896" s="23" t="s">
        <v>5769</v>
      </c>
      <c r="H896" s="25" t="s">
        <v>36</v>
      </c>
      <c r="I896" s="18" t="s">
        <v>37</v>
      </c>
      <c r="J896" s="18" t="s">
        <v>38</v>
      </c>
      <c r="K896" t="s">
        <v>39</v>
      </c>
      <c r="L896" s="26">
        <f>VLOOKUP(A896,'[3]Price info'!A:D,4,FALSE)</f>
        <v>23.07</v>
      </c>
      <c r="M896" s="18" t="s">
        <v>40</v>
      </c>
      <c r="N896" s="20">
        <v>3105</v>
      </c>
      <c r="P896" s="16">
        <f>VLOOKUP(A896,'[3]Price info'!A:H,8,FALSE)</f>
        <v>23.07</v>
      </c>
      <c r="Q896" s="27">
        <f t="shared" si="53"/>
        <v>1</v>
      </c>
      <c r="S896" s="16" t="e">
        <f>VLOOKUP(A896,[4]Sales!$E:$G,3,FALSE)</f>
        <v>#N/A</v>
      </c>
      <c r="T896" s="19" t="e">
        <f>VLOOKUP(A896,[4]Volume!$E:$G,3,FALSE)</f>
        <v>#N/A</v>
      </c>
      <c r="U896" s="19" t="e">
        <f>VLOOKUP(A896,[4]Piece!$E:$G,3,FALSE)</f>
        <v>#N/A</v>
      </c>
      <c r="V896" s="21" t="e">
        <f t="shared" si="54"/>
        <v>#N/A</v>
      </c>
      <c r="W896" s="16" t="e">
        <f t="shared" si="55"/>
        <v>#N/A</v>
      </c>
    </row>
    <row r="897" spans="1:23" hidden="1" x14ac:dyDescent="0.3">
      <c r="A897" s="46" t="s">
        <v>1793</v>
      </c>
      <c r="B897" s="46" t="s">
        <v>1793</v>
      </c>
      <c r="C897" s="51" t="s">
        <v>33</v>
      </c>
      <c r="D897" s="48" t="s">
        <v>34</v>
      </c>
      <c r="E897" s="18" t="s">
        <v>1794</v>
      </c>
      <c r="F897" s="24" t="str">
        <f t="shared" si="52"/>
        <v>PPG - JST   QD WOODSTAIN LIGHT OAK  0000000750</v>
      </c>
      <c r="G897" s="20" t="s">
        <v>5770</v>
      </c>
      <c r="H897" s="49" t="s">
        <v>213</v>
      </c>
      <c r="I897" s="18" t="s">
        <v>37</v>
      </c>
      <c r="J897" s="18" t="s">
        <v>38</v>
      </c>
      <c r="K897" t="s">
        <v>39</v>
      </c>
      <c r="L897" s="50">
        <f>VLOOKUP(A897,'[3]Price info'!A:D,4,FALSE)</f>
        <v>8.3800000000000008</v>
      </c>
      <c r="M897" s="18" t="s">
        <v>214</v>
      </c>
      <c r="N897" s="20">
        <v>3105</v>
      </c>
      <c r="P897" s="16">
        <f>VLOOKUP(A897,'[3]Price info'!A:H,8,FALSE)</f>
        <v>7.8017800000000008</v>
      </c>
      <c r="Q897" s="17">
        <f t="shared" si="53"/>
        <v>0.93100000000000005</v>
      </c>
      <c r="S897" s="16">
        <f>VLOOKUP(A897,[4]Sales!$E:$G,3,FALSE)</f>
        <v>6.18</v>
      </c>
      <c r="T897" s="19">
        <f>VLOOKUP(A897,[4]Volume!$E:$G,3,FALSE)</f>
        <v>0.75</v>
      </c>
      <c r="U897" s="19">
        <f>VLOOKUP(A897,[4]Piece!$E:$G,3,FALSE)</f>
        <v>1</v>
      </c>
      <c r="V897" s="21">
        <f t="shared" si="54"/>
        <v>7.8017800000000008</v>
      </c>
      <c r="W897" s="16">
        <f t="shared" si="55"/>
        <v>1.6217800000000011</v>
      </c>
    </row>
    <row r="898" spans="1:23" hidden="1" x14ac:dyDescent="0.3">
      <c r="A898" s="46" t="s">
        <v>1795</v>
      </c>
      <c r="B898" s="46" t="s">
        <v>1795</v>
      </c>
      <c r="C898" s="47" t="s">
        <v>33</v>
      </c>
      <c r="D898" s="48" t="s">
        <v>34</v>
      </c>
      <c r="E898" s="18" t="s">
        <v>1796</v>
      </c>
      <c r="F898" s="24" t="str">
        <f t="shared" si="52"/>
        <v>PPG - EWI   SCRATCH RENDER CREAM 25KG</v>
      </c>
      <c r="G898" s="20" t="s">
        <v>5771</v>
      </c>
      <c r="H898" s="49" t="s">
        <v>213</v>
      </c>
      <c r="I898" s="18" t="s">
        <v>37</v>
      </c>
      <c r="J898" s="18" t="s">
        <v>38</v>
      </c>
      <c r="K898" t="s">
        <v>39</v>
      </c>
      <c r="L898" s="50">
        <f>VLOOKUP(A898,'[3]Price info'!A:D,4,FALSE)</f>
        <v>11.04</v>
      </c>
      <c r="M898" s="18" t="s">
        <v>214</v>
      </c>
      <c r="N898" s="20">
        <v>3105</v>
      </c>
      <c r="P898" s="16">
        <f>VLOOKUP(A898,'[3]Price info'!A:H,8,FALSE)</f>
        <v>11.04</v>
      </c>
      <c r="Q898" s="17">
        <f t="shared" si="53"/>
        <v>1</v>
      </c>
      <c r="S898" s="16" t="e">
        <f>VLOOKUP(A898,[4]Sales!$E:$G,3,FALSE)</f>
        <v>#N/A</v>
      </c>
      <c r="T898" s="19" t="e">
        <f>VLOOKUP(A898,[4]Volume!$E:$G,3,FALSE)</f>
        <v>#N/A</v>
      </c>
      <c r="U898" s="19" t="e">
        <f>VLOOKUP(A898,[4]Piece!$E:$G,3,FALSE)</f>
        <v>#N/A</v>
      </c>
      <c r="V898" s="21" t="e">
        <f t="shared" si="54"/>
        <v>#N/A</v>
      </c>
      <c r="W898" s="16" t="e">
        <f t="shared" si="55"/>
        <v>#N/A</v>
      </c>
    </row>
    <row r="899" spans="1:23" hidden="1" x14ac:dyDescent="0.3">
      <c r="A899" s="46" t="s">
        <v>1797</v>
      </c>
      <c r="B899" s="46" t="s">
        <v>1797</v>
      </c>
      <c r="C899" s="47" t="s">
        <v>33</v>
      </c>
      <c r="D899" s="48" t="s">
        <v>34</v>
      </c>
      <c r="E899" s="18" t="s">
        <v>1798</v>
      </c>
      <c r="F899" s="24" t="str">
        <f t="shared" ref="F899:F962" si="56">D899&amp;" - "&amp;E899</f>
        <v>PPG - QTECH QTECTOR PUMP COND 946ML Q400-010</v>
      </c>
      <c r="G899" s="20" t="s">
        <v>5772</v>
      </c>
      <c r="H899" s="49" t="s">
        <v>213</v>
      </c>
      <c r="I899" s="18" t="s">
        <v>37</v>
      </c>
      <c r="J899" s="18" t="s">
        <v>38</v>
      </c>
      <c r="K899" t="s">
        <v>39</v>
      </c>
      <c r="L899" s="50">
        <f>VLOOKUP(A899,'[3]Price info'!A:D,4,FALSE)</f>
        <v>19.170000000000002</v>
      </c>
      <c r="M899" s="18" t="s">
        <v>214</v>
      </c>
      <c r="N899" s="20">
        <v>3105</v>
      </c>
      <c r="P899" s="16">
        <f>VLOOKUP(A899,'[3]Price info'!A:H,8,FALSE)</f>
        <v>17.847270000000002</v>
      </c>
      <c r="Q899" s="17">
        <f t="shared" ref="Q899:Q962" si="57">P899/L899</f>
        <v>0.93100000000000005</v>
      </c>
      <c r="S899" s="16" t="e">
        <f>VLOOKUP(A899,[4]Sales!$E:$G,3,FALSE)</f>
        <v>#N/A</v>
      </c>
      <c r="T899" s="19" t="e">
        <f>VLOOKUP(A899,[4]Volume!$E:$G,3,FALSE)</f>
        <v>#N/A</v>
      </c>
      <c r="U899" s="19" t="e">
        <f>VLOOKUP(A899,[4]Piece!$E:$G,3,FALSE)</f>
        <v>#N/A</v>
      </c>
      <c r="V899" s="21" t="e">
        <f t="shared" ref="V899:V962" si="58">U899*P899</f>
        <v>#N/A</v>
      </c>
      <c r="W899" s="16" t="e">
        <f t="shared" ref="W899:W962" si="59">V899-S899</f>
        <v>#N/A</v>
      </c>
    </row>
    <row r="900" spans="1:23" hidden="1" x14ac:dyDescent="0.3">
      <c r="A900" s="22" t="s">
        <v>1799</v>
      </c>
      <c r="B900" s="22" t="s">
        <v>1799</v>
      </c>
      <c r="C900" s="23" t="s">
        <v>33</v>
      </c>
      <c r="D900" s="20" t="s">
        <v>34</v>
      </c>
      <c r="E900" s="22" t="s">
        <v>1800</v>
      </c>
      <c r="F900" s="24" t="str">
        <f t="shared" si="56"/>
        <v>PPG - Johnstones COVAPLUS - Ivory - 5ltr</v>
      </c>
      <c r="G900" s="23" t="s">
        <v>5773</v>
      </c>
      <c r="H900" s="25" t="s">
        <v>36</v>
      </c>
      <c r="I900" s="18" t="s">
        <v>37</v>
      </c>
      <c r="J900" s="18" t="s">
        <v>38</v>
      </c>
      <c r="K900" t="s">
        <v>39</v>
      </c>
      <c r="L900" s="26">
        <f>VLOOKUP(A900,'[3]Price info'!A:D,4,FALSE)</f>
        <v>11.77</v>
      </c>
      <c r="M900" s="18" t="s">
        <v>40</v>
      </c>
      <c r="N900" s="20">
        <v>3105</v>
      </c>
      <c r="P900" s="16">
        <f>VLOOKUP(A900,'[3]Price info'!A:H,8,FALSE)</f>
        <v>10.95787</v>
      </c>
      <c r="Q900" s="27">
        <f t="shared" si="57"/>
        <v>0.93100000000000005</v>
      </c>
      <c r="S900" s="16" t="e">
        <f>VLOOKUP(A900,[4]Sales!$E:$G,3,FALSE)</f>
        <v>#N/A</v>
      </c>
      <c r="T900" s="19" t="e">
        <f>VLOOKUP(A900,[4]Volume!$E:$G,3,FALSE)</f>
        <v>#N/A</v>
      </c>
      <c r="U900" s="19" t="e">
        <f>VLOOKUP(A900,[4]Piece!$E:$G,3,FALSE)</f>
        <v>#N/A</v>
      </c>
      <c r="V900" s="21" t="e">
        <f t="shared" si="58"/>
        <v>#N/A</v>
      </c>
      <c r="W900" s="16" t="e">
        <f t="shared" si="59"/>
        <v>#N/A</v>
      </c>
    </row>
    <row r="901" spans="1:23" hidden="1" x14ac:dyDescent="0.3">
      <c r="A901" s="22" t="s">
        <v>1801</v>
      </c>
      <c r="B901" s="22" t="s">
        <v>1801</v>
      </c>
      <c r="C901" s="23" t="s">
        <v>33</v>
      </c>
      <c r="D901" s="20" t="s">
        <v>34</v>
      </c>
      <c r="E901" s="22" t="s">
        <v>1802</v>
      </c>
      <c r="F901" s="24" t="str">
        <f t="shared" si="56"/>
        <v>PPG - Johnstones COVAPLUS - Brilliant White - 1ltr</v>
      </c>
      <c r="G901" s="23" t="s">
        <v>5774</v>
      </c>
      <c r="H901" s="25" t="s">
        <v>36</v>
      </c>
      <c r="I901" s="18" t="s">
        <v>37</v>
      </c>
      <c r="J901" s="18" t="s">
        <v>38</v>
      </c>
      <c r="K901" t="s">
        <v>39</v>
      </c>
      <c r="L901" s="26">
        <f>VLOOKUP(A901,'[3]Price info'!A:D,4,FALSE)</f>
        <v>7.64</v>
      </c>
      <c r="M901" s="18" t="s">
        <v>40</v>
      </c>
      <c r="N901" s="20">
        <v>3105</v>
      </c>
      <c r="P901" s="16">
        <f>VLOOKUP(A901,'[3]Price info'!A:H,8,FALSE)</f>
        <v>4.34</v>
      </c>
      <c r="Q901" s="27">
        <f t="shared" si="57"/>
        <v>0.56806282722513091</v>
      </c>
      <c r="S901" s="16">
        <f>VLOOKUP(A901,[4]Sales!$E:$G,3,FALSE)</f>
        <v>8.68</v>
      </c>
      <c r="T901" s="19">
        <f>VLOOKUP(A901,[4]Volume!$E:$G,3,FALSE)</f>
        <v>2</v>
      </c>
      <c r="U901" s="19">
        <f>VLOOKUP(A901,[4]Piece!$E:$G,3,FALSE)</f>
        <v>2</v>
      </c>
      <c r="V901" s="21">
        <f t="shared" si="58"/>
        <v>8.68</v>
      </c>
      <c r="W901" s="16">
        <f t="shared" si="59"/>
        <v>0</v>
      </c>
    </row>
    <row r="902" spans="1:23" hidden="1" x14ac:dyDescent="0.3">
      <c r="A902" s="22" t="s">
        <v>1803</v>
      </c>
      <c r="B902" s="22" t="s">
        <v>1803</v>
      </c>
      <c r="C902" s="23" t="s">
        <v>33</v>
      </c>
      <c r="D902" s="20" t="s">
        <v>34</v>
      </c>
      <c r="E902" s="22" t="s">
        <v>1804</v>
      </c>
      <c r="F902" s="24" t="str">
        <f t="shared" si="56"/>
        <v>PPG - Stormshield PLIOLITE - Ivory - 5ltr</v>
      </c>
      <c r="G902" s="23" t="s">
        <v>5775</v>
      </c>
      <c r="H902" s="25" t="s">
        <v>36</v>
      </c>
      <c r="I902" s="18" t="s">
        <v>37</v>
      </c>
      <c r="J902" s="18" t="s">
        <v>38</v>
      </c>
      <c r="K902" t="s">
        <v>39</v>
      </c>
      <c r="L902" s="26">
        <f>VLOOKUP(A902,'[3]Price info'!A:D,4,FALSE)</f>
        <v>23.07</v>
      </c>
      <c r="M902" s="18" t="s">
        <v>40</v>
      </c>
      <c r="N902" s="20">
        <v>3105</v>
      </c>
      <c r="P902" s="16">
        <f>VLOOKUP(A902,'[3]Price info'!A:H,8,FALSE)</f>
        <v>23.07</v>
      </c>
      <c r="Q902" s="27">
        <f t="shared" si="57"/>
        <v>1</v>
      </c>
      <c r="S902" s="16" t="e">
        <f>VLOOKUP(A902,[4]Sales!$E:$G,3,FALSE)</f>
        <v>#N/A</v>
      </c>
      <c r="T902" s="19" t="e">
        <f>VLOOKUP(A902,[4]Volume!$E:$G,3,FALSE)</f>
        <v>#N/A</v>
      </c>
      <c r="U902" s="19" t="e">
        <f>VLOOKUP(A902,[4]Piece!$E:$G,3,FALSE)</f>
        <v>#N/A</v>
      </c>
      <c r="V902" s="21" t="e">
        <f t="shared" si="58"/>
        <v>#N/A</v>
      </c>
      <c r="W902" s="16" t="e">
        <f t="shared" si="59"/>
        <v>#N/A</v>
      </c>
    </row>
    <row r="903" spans="1:23" hidden="1" x14ac:dyDescent="0.3">
      <c r="A903" s="22" t="s">
        <v>1805</v>
      </c>
      <c r="B903" s="22" t="s">
        <v>1805</v>
      </c>
      <c r="C903" s="23" t="s">
        <v>33</v>
      </c>
      <c r="D903" s="20" t="s">
        <v>34</v>
      </c>
      <c r="E903" s="22" t="s">
        <v>1806</v>
      </c>
      <c r="F903" s="24" t="str">
        <f t="shared" si="56"/>
        <v>PPG - Stormshield FLEXIBLE EX SATIN - Mix - 1ltr</v>
      </c>
      <c r="G903" s="23" t="s">
        <v>5776</v>
      </c>
      <c r="H903" s="25" t="s">
        <v>36</v>
      </c>
      <c r="I903" s="18" t="s">
        <v>37</v>
      </c>
      <c r="J903" s="18" t="s">
        <v>38</v>
      </c>
      <c r="K903" t="s">
        <v>39</v>
      </c>
      <c r="L903" s="26">
        <f>VLOOKUP(A903,'[3]Price info'!A:D,4,FALSE)</f>
        <v>22.09</v>
      </c>
      <c r="M903" s="18" t="s">
        <v>40</v>
      </c>
      <c r="N903" s="20">
        <v>3105</v>
      </c>
      <c r="P903" s="16">
        <f>VLOOKUP(A903,'[3]Price info'!A:H,8,FALSE)</f>
        <v>8</v>
      </c>
      <c r="Q903" s="27">
        <f t="shared" si="57"/>
        <v>0.36215482118605702</v>
      </c>
      <c r="S903" s="16">
        <f>VLOOKUP(A903,[4]Sales!$E:$G,3,FALSE)</f>
        <v>38.090000000000003</v>
      </c>
      <c r="T903" s="19">
        <f>VLOOKUP(A903,[4]Volume!$E:$G,3,FALSE)</f>
        <v>3</v>
      </c>
      <c r="U903" s="19">
        <f>VLOOKUP(A903,[4]Piece!$E:$G,3,FALSE)</f>
        <v>3</v>
      </c>
      <c r="V903" s="21">
        <f t="shared" si="58"/>
        <v>24</v>
      </c>
      <c r="W903" s="16">
        <f t="shared" si="59"/>
        <v>-14.090000000000003</v>
      </c>
    </row>
    <row r="904" spans="1:23" hidden="1" x14ac:dyDescent="0.3">
      <c r="A904" s="46" t="s">
        <v>1807</v>
      </c>
      <c r="B904" s="46" t="s">
        <v>1807</v>
      </c>
      <c r="C904" s="51" t="s">
        <v>33</v>
      </c>
      <c r="D904" s="48" t="s">
        <v>34</v>
      </c>
      <c r="E904" s="93" t="s">
        <v>7396</v>
      </c>
      <c r="F904" s="24" t="str">
        <f t="shared" si="56"/>
        <v>PPG - Mirka Hiomant 115mm x 10m P60</v>
      </c>
      <c r="G904" s="20" t="s">
        <v>5777</v>
      </c>
      <c r="H904" s="49" t="s">
        <v>213</v>
      </c>
      <c r="I904" s="18" t="s">
        <v>37</v>
      </c>
      <c r="J904" s="18" t="s">
        <v>38</v>
      </c>
      <c r="K904" t="s">
        <v>39</v>
      </c>
      <c r="L904" s="50">
        <f>VLOOKUP(A904,'[3]Price info'!A:D,4,FALSE)</f>
        <v>20.14</v>
      </c>
      <c r="M904" s="18" t="s">
        <v>214</v>
      </c>
      <c r="N904" s="20">
        <v>3105</v>
      </c>
      <c r="P904" s="16">
        <v>7.55</v>
      </c>
      <c r="Q904" s="17">
        <f t="shared" si="57"/>
        <v>0.37487586891757696</v>
      </c>
      <c r="S904" s="16" t="e">
        <f>VLOOKUP(A904,[4]Sales!$E:$G,3,FALSE)</f>
        <v>#N/A</v>
      </c>
      <c r="T904" s="19" t="e">
        <f>VLOOKUP(A904,[4]Volume!$E:$G,3,FALSE)</f>
        <v>#N/A</v>
      </c>
      <c r="U904" s="19" t="e">
        <f>VLOOKUP(A904,[4]Piece!$E:$G,3,FALSE)</f>
        <v>#N/A</v>
      </c>
      <c r="V904" s="21" t="e">
        <f t="shared" si="58"/>
        <v>#N/A</v>
      </c>
      <c r="W904" s="16" t="e">
        <f t="shared" si="59"/>
        <v>#N/A</v>
      </c>
    </row>
    <row r="905" spans="1:23" hidden="1" x14ac:dyDescent="0.3">
      <c r="A905" s="56" t="s">
        <v>1808</v>
      </c>
      <c r="B905" s="57" t="s">
        <v>1808</v>
      </c>
      <c r="C905" s="47" t="s">
        <v>33</v>
      </c>
      <c r="D905" s="48" t="s">
        <v>34</v>
      </c>
      <c r="E905" s="22" t="s">
        <v>1809</v>
      </c>
      <c r="F905" s="24" t="str">
        <f t="shared" si="56"/>
        <v>PPG - TESA PR MASK TAPE 50M X 50MM 4334</v>
      </c>
      <c r="G905" s="20" t="s">
        <v>5778</v>
      </c>
      <c r="H905" s="25" t="s">
        <v>36</v>
      </c>
      <c r="I905" s="18" t="s">
        <v>37</v>
      </c>
      <c r="J905" s="18" t="s">
        <v>38</v>
      </c>
      <c r="K905" t="s">
        <v>39</v>
      </c>
      <c r="L905" s="50">
        <v>8.36</v>
      </c>
      <c r="M905" s="18" t="s">
        <v>214</v>
      </c>
      <c r="N905" s="20">
        <v>3105</v>
      </c>
      <c r="P905" s="16">
        <f>VLOOKUP(A905,'[3]Price info'!A:H,8,FALSE)</f>
        <v>7.7831599999999996</v>
      </c>
      <c r="Q905" s="27">
        <f t="shared" si="57"/>
        <v>0.93100000000000005</v>
      </c>
      <c r="S905" s="16">
        <f>VLOOKUP(A905,[4]Sales!$E:$G,3,FALSE)</f>
        <v>142.36000000000001</v>
      </c>
      <c r="T905" s="19">
        <f>VLOOKUP(A905,[4]Volume!$E:$G,3,FALSE)</f>
        <v>18</v>
      </c>
      <c r="U905" s="19">
        <f>VLOOKUP(A905,[4]Piece!$E:$G,3,FALSE)</f>
        <v>18</v>
      </c>
      <c r="V905" s="21">
        <f t="shared" si="58"/>
        <v>140.09688</v>
      </c>
      <c r="W905" s="16">
        <f t="shared" si="59"/>
        <v>-2.2631200000000149</v>
      </c>
    </row>
    <row r="906" spans="1:23" hidden="1" x14ac:dyDescent="0.3">
      <c r="A906" s="56" t="s">
        <v>1810</v>
      </c>
      <c r="B906" s="57" t="s">
        <v>1810</v>
      </c>
      <c r="C906" s="47" t="s">
        <v>33</v>
      </c>
      <c r="D906" s="48" t="s">
        <v>34</v>
      </c>
      <c r="E906" s="22" t="s">
        <v>1811</v>
      </c>
      <c r="F906" s="24" t="str">
        <f t="shared" si="56"/>
        <v>PPG - TESA SEN MASKTAPE 50M X 25MM 4333</v>
      </c>
      <c r="G906" s="20" t="s">
        <v>5779</v>
      </c>
      <c r="H906" s="25" t="s">
        <v>36</v>
      </c>
      <c r="I906" s="18" t="s">
        <v>37</v>
      </c>
      <c r="J906" s="18" t="s">
        <v>38</v>
      </c>
      <c r="K906" t="s">
        <v>39</v>
      </c>
      <c r="L906" s="50">
        <v>5.0999999999999996</v>
      </c>
      <c r="M906" s="18" t="s">
        <v>214</v>
      </c>
      <c r="N906" s="20">
        <v>3105</v>
      </c>
      <c r="P906" s="16">
        <f>VLOOKUP(A906,'[3]Price info'!A:H,8,FALSE)</f>
        <v>4.7481</v>
      </c>
      <c r="Q906" s="27">
        <f t="shared" si="57"/>
        <v>0.93100000000000005</v>
      </c>
      <c r="S906" s="16">
        <f>VLOOKUP(A906,[4]Sales!$E:$G,3,FALSE)</f>
        <v>33.25</v>
      </c>
      <c r="T906" s="19">
        <f>VLOOKUP(A906,[4]Volume!$E:$G,3,FALSE)</f>
        <v>7</v>
      </c>
      <c r="U906" s="19">
        <f>VLOOKUP(A906,[4]Piece!$E:$G,3,FALSE)</f>
        <v>7</v>
      </c>
      <c r="V906" s="21">
        <f t="shared" si="58"/>
        <v>33.236699999999999</v>
      </c>
      <c r="W906" s="16">
        <f t="shared" si="59"/>
        <v>-1.3300000000000978E-2</v>
      </c>
    </row>
    <row r="907" spans="1:23" hidden="1" x14ac:dyDescent="0.3">
      <c r="A907" s="36" t="s">
        <v>1812</v>
      </c>
      <c r="B907" s="36" t="s">
        <v>1812</v>
      </c>
      <c r="C907" s="23" t="s">
        <v>33</v>
      </c>
      <c r="D907" s="20" t="s">
        <v>34</v>
      </c>
      <c r="E907" s="22" t="s">
        <v>1813</v>
      </c>
      <c r="F907" s="24" t="str">
        <f t="shared" si="56"/>
        <v>PPG - Brushmate 4 PLUS</v>
      </c>
      <c r="G907" s="36" t="s">
        <v>5780</v>
      </c>
      <c r="H907" s="25" t="s">
        <v>36</v>
      </c>
      <c r="I907" s="18" t="s">
        <v>37</v>
      </c>
      <c r="J907" s="18" t="s">
        <v>38</v>
      </c>
      <c r="K907" t="s">
        <v>39</v>
      </c>
      <c r="L907" s="26">
        <f>VLOOKUP(A907,'[3]Price info'!A:D,4,FALSE)</f>
        <v>16.27</v>
      </c>
      <c r="M907" s="18" t="s">
        <v>40</v>
      </c>
      <c r="N907" s="20">
        <v>3105</v>
      </c>
      <c r="P907" s="16">
        <f>VLOOKUP(A907,'[3]Price info'!A:H,8,FALSE)</f>
        <v>15.14737</v>
      </c>
      <c r="Q907" s="27">
        <f t="shared" si="57"/>
        <v>0.93100000000000005</v>
      </c>
      <c r="S907" s="16" t="e">
        <f>VLOOKUP(A907,[4]Sales!$E:$G,3,FALSE)</f>
        <v>#N/A</v>
      </c>
      <c r="T907" s="19" t="e">
        <f>VLOOKUP(A907,[4]Volume!$E:$G,3,FALSE)</f>
        <v>#N/A</v>
      </c>
      <c r="U907" s="19" t="e">
        <f>VLOOKUP(A907,[4]Piece!$E:$G,3,FALSE)</f>
        <v>#N/A</v>
      </c>
      <c r="V907" s="21" t="e">
        <f t="shared" si="58"/>
        <v>#N/A</v>
      </c>
      <c r="W907" s="16" t="e">
        <f t="shared" si="59"/>
        <v>#N/A</v>
      </c>
    </row>
    <row r="908" spans="1:23" hidden="1" x14ac:dyDescent="0.3">
      <c r="A908" s="22" t="s">
        <v>1814</v>
      </c>
      <c r="B908" s="22" t="s">
        <v>1814</v>
      </c>
      <c r="C908" s="23" t="s">
        <v>33</v>
      </c>
      <c r="D908" s="20" t="s">
        <v>34</v>
      </c>
      <c r="E908" s="22" t="s">
        <v>1815</v>
      </c>
      <c r="F908" s="24" t="str">
        <f t="shared" si="56"/>
        <v>PPG - Johnstones SATIN WOODSTAIN - Walnut - 750ml</v>
      </c>
      <c r="G908" s="23" t="s">
        <v>5781</v>
      </c>
      <c r="H908" s="25" t="s">
        <v>36</v>
      </c>
      <c r="I908" s="18" t="s">
        <v>37</v>
      </c>
      <c r="J908" s="18" t="s">
        <v>38</v>
      </c>
      <c r="K908" t="s">
        <v>39</v>
      </c>
      <c r="L908" s="26">
        <f>VLOOKUP(A908,'[3]Price info'!A:D,4,FALSE)</f>
        <v>6.58</v>
      </c>
      <c r="M908" s="18" t="s">
        <v>40</v>
      </c>
      <c r="N908" s="20">
        <v>3105</v>
      </c>
      <c r="P908" s="16">
        <f>VLOOKUP(A908,'[3]Price info'!A:H,8,FALSE)</f>
        <v>6.1259800000000002</v>
      </c>
      <c r="Q908" s="27">
        <f t="shared" si="57"/>
        <v>0.93100000000000005</v>
      </c>
      <c r="S908" s="16">
        <f>VLOOKUP(A908,[4]Sales!$E:$G,3,FALSE)</f>
        <v>12.71</v>
      </c>
      <c r="T908" s="19">
        <f>VLOOKUP(A908,[4]Volume!$E:$G,3,FALSE)</f>
        <v>1.5</v>
      </c>
      <c r="U908" s="19">
        <f>VLOOKUP(A908,[4]Piece!$E:$G,3,FALSE)</f>
        <v>2</v>
      </c>
      <c r="V908" s="21">
        <f t="shared" si="58"/>
        <v>12.25196</v>
      </c>
      <c r="W908" s="16">
        <f t="shared" si="59"/>
        <v>-0.45804000000000045</v>
      </c>
    </row>
    <row r="909" spans="1:23" hidden="1" x14ac:dyDescent="0.3">
      <c r="A909" s="22" t="s">
        <v>1816</v>
      </c>
      <c r="B909" s="22" t="s">
        <v>1816</v>
      </c>
      <c r="C909" s="23" t="s">
        <v>33</v>
      </c>
      <c r="D909" s="20" t="s">
        <v>34</v>
      </c>
      <c r="E909" s="22" t="s">
        <v>1817</v>
      </c>
      <c r="F909" s="24" t="str">
        <f t="shared" si="56"/>
        <v>PPG - Johnstones SATIN WOODSTAIN - Mahogany-750ml</v>
      </c>
      <c r="G909" s="23" t="s">
        <v>5782</v>
      </c>
      <c r="H909" s="25" t="s">
        <v>36</v>
      </c>
      <c r="I909" s="18" t="s">
        <v>37</v>
      </c>
      <c r="J909" s="18" t="s">
        <v>38</v>
      </c>
      <c r="K909" t="s">
        <v>39</v>
      </c>
      <c r="L909" s="26">
        <f>VLOOKUP(A909,'[3]Price info'!A:D,4,FALSE)</f>
        <v>6.58</v>
      </c>
      <c r="M909" s="18" t="s">
        <v>40</v>
      </c>
      <c r="N909" s="20">
        <v>3105</v>
      </c>
      <c r="P909" s="16">
        <f>VLOOKUP(A909,'[3]Price info'!A:H,8,FALSE)</f>
        <v>6.1259800000000002</v>
      </c>
      <c r="Q909" s="27">
        <f t="shared" si="57"/>
        <v>0.93100000000000005</v>
      </c>
      <c r="S909" s="16">
        <f>VLOOKUP(A909,[4]Sales!$E:$G,3,FALSE)</f>
        <v>18.39</v>
      </c>
      <c r="T909" s="19">
        <f>VLOOKUP(A909,[4]Volume!$E:$G,3,FALSE)</f>
        <v>2.25</v>
      </c>
      <c r="U909" s="19">
        <f>VLOOKUP(A909,[4]Piece!$E:$G,3,FALSE)</f>
        <v>3</v>
      </c>
      <c r="V909" s="21">
        <f t="shared" si="58"/>
        <v>18.377940000000002</v>
      </c>
      <c r="W909" s="16">
        <f t="shared" si="59"/>
        <v>-1.2059999999998183E-2</v>
      </c>
    </row>
    <row r="910" spans="1:23" hidden="1" x14ac:dyDescent="0.3">
      <c r="A910" s="22" t="s">
        <v>1818</v>
      </c>
      <c r="B910" s="22" t="s">
        <v>1818</v>
      </c>
      <c r="C910" s="23" t="s">
        <v>33</v>
      </c>
      <c r="D910" s="20" t="s">
        <v>34</v>
      </c>
      <c r="E910" s="22" t="s">
        <v>1819</v>
      </c>
      <c r="F910" s="24" t="str">
        <f t="shared" si="56"/>
        <v>PPG - Johnstones PRO GLOSS - Mix - 1ltr</v>
      </c>
      <c r="G910" s="23" t="s">
        <v>5783</v>
      </c>
      <c r="H910" s="25" t="s">
        <v>36</v>
      </c>
      <c r="I910" s="18" t="s">
        <v>37</v>
      </c>
      <c r="J910" s="18" t="s">
        <v>38</v>
      </c>
      <c r="K910" t="s">
        <v>39</v>
      </c>
      <c r="L910" s="26">
        <f>VLOOKUP(A910,'[3]Price info'!A:D,4,FALSE)</f>
        <v>9.52</v>
      </c>
      <c r="M910" s="18" t="s">
        <v>40</v>
      </c>
      <c r="N910" s="20">
        <v>3105</v>
      </c>
      <c r="P910" s="16">
        <f>VLOOKUP(A910,'[3]Price info'!A:H,8,FALSE)</f>
        <v>8.89</v>
      </c>
      <c r="Q910" s="27">
        <f t="shared" si="57"/>
        <v>0.93382352941176483</v>
      </c>
      <c r="S910" s="16">
        <f>VLOOKUP(A910,[4]Sales!$E:$G,3,FALSE)</f>
        <v>9.52</v>
      </c>
      <c r="T910" s="19">
        <f>VLOOKUP(A910,[4]Volume!$E:$G,3,FALSE)</f>
        <v>1</v>
      </c>
      <c r="U910" s="19">
        <f>VLOOKUP(A910,[4]Piece!$E:$G,3,FALSE)</f>
        <v>1</v>
      </c>
      <c r="V910" s="21">
        <f t="shared" si="58"/>
        <v>8.89</v>
      </c>
      <c r="W910" s="16">
        <f t="shared" si="59"/>
        <v>-0.62999999999999901</v>
      </c>
    </row>
    <row r="911" spans="1:23" hidden="1" x14ac:dyDescent="0.3">
      <c r="A911" s="22" t="s">
        <v>1820</v>
      </c>
      <c r="B911" s="22" t="s">
        <v>1820</v>
      </c>
      <c r="C911" s="23" t="s">
        <v>33</v>
      </c>
      <c r="D911" s="20" t="s">
        <v>34</v>
      </c>
      <c r="E911" s="22" t="s">
        <v>1821</v>
      </c>
      <c r="F911" s="24" t="str">
        <f t="shared" si="56"/>
        <v>PPG - FatHog TROUSERS WHITE 42"</v>
      </c>
      <c r="G911" s="23" t="s">
        <v>5784</v>
      </c>
      <c r="H911" s="25" t="s">
        <v>36</v>
      </c>
      <c r="I911" s="18" t="s">
        <v>37</v>
      </c>
      <c r="J911" s="18" t="s">
        <v>38</v>
      </c>
      <c r="K911" t="s">
        <v>39</v>
      </c>
      <c r="L911" s="26">
        <f>VLOOKUP(A911,'[3]Price info'!A:D,4,FALSE)</f>
        <v>20.36</v>
      </c>
      <c r="M911" s="18" t="s">
        <v>40</v>
      </c>
      <c r="N911" s="20">
        <v>3105</v>
      </c>
      <c r="P911" s="16">
        <f>VLOOKUP(A911,'[3]Price info'!A:H,8,FALSE)</f>
        <v>18.955159999999999</v>
      </c>
      <c r="Q911" s="27">
        <f t="shared" si="57"/>
        <v>0.93099999999999994</v>
      </c>
      <c r="S911" s="16">
        <f>VLOOKUP(A911,[4]Sales!$E:$G,3,FALSE)</f>
        <v>40.72</v>
      </c>
      <c r="T911" s="19">
        <f>VLOOKUP(A911,[4]Volume!$E:$G,3,FALSE)</f>
        <v>2</v>
      </c>
      <c r="U911" s="19">
        <f>VLOOKUP(A911,[4]Piece!$E:$G,3,FALSE)</f>
        <v>2</v>
      </c>
      <c r="V911" s="21">
        <f t="shared" si="58"/>
        <v>37.910319999999999</v>
      </c>
      <c r="W911" s="16">
        <f t="shared" si="59"/>
        <v>-2.8096800000000002</v>
      </c>
    </row>
    <row r="912" spans="1:23" hidden="1" x14ac:dyDescent="0.3">
      <c r="A912" s="46" t="s">
        <v>1822</v>
      </c>
      <c r="B912" s="46" t="s">
        <v>1822</v>
      </c>
      <c r="C912" s="47" t="s">
        <v>33</v>
      </c>
      <c r="D912" s="48" t="s">
        <v>34</v>
      </c>
      <c r="E912" s="18" t="s">
        <v>1823</v>
      </c>
      <c r="F912" s="24" t="str">
        <f t="shared" si="56"/>
        <v>PPG - PURDY XL MON ELITE 1.5" BRUSH</v>
      </c>
      <c r="G912" s="20" t="s">
        <v>5785</v>
      </c>
      <c r="H912" s="49" t="s">
        <v>213</v>
      </c>
      <c r="I912" s="18" t="s">
        <v>37</v>
      </c>
      <c r="J912" s="18" t="s">
        <v>38</v>
      </c>
      <c r="K912" t="s">
        <v>39</v>
      </c>
      <c r="L912" s="50">
        <f>VLOOKUP(A912,'[3]Price info'!A:D,4,FALSE)</f>
        <v>9.93</v>
      </c>
      <c r="M912" s="18" t="s">
        <v>214</v>
      </c>
      <c r="N912" s="20">
        <v>3105</v>
      </c>
      <c r="P912" s="16">
        <f>VLOOKUP(A912,'[3]Price info'!A:H,8,FALSE)</f>
        <v>9.2448300000000003</v>
      </c>
      <c r="Q912" s="17">
        <f t="shared" si="57"/>
        <v>0.93100000000000005</v>
      </c>
      <c r="S912" s="16" t="e">
        <f>VLOOKUP(A912,[4]Sales!$E:$G,3,FALSE)</f>
        <v>#N/A</v>
      </c>
      <c r="T912" s="19" t="e">
        <f>VLOOKUP(A912,[4]Volume!$E:$G,3,FALSE)</f>
        <v>#N/A</v>
      </c>
      <c r="U912" s="19" t="e">
        <f>VLOOKUP(A912,[4]Piece!$E:$G,3,FALSE)</f>
        <v>#N/A</v>
      </c>
      <c r="V912" s="21" t="e">
        <f t="shared" si="58"/>
        <v>#N/A</v>
      </c>
      <c r="W912" s="16" t="e">
        <f t="shared" si="59"/>
        <v>#N/A</v>
      </c>
    </row>
    <row r="913" spans="1:23" hidden="1" x14ac:dyDescent="0.3">
      <c r="A913" s="22" t="s">
        <v>1824</v>
      </c>
      <c r="B913" s="22" t="s">
        <v>1824</v>
      </c>
      <c r="C913" s="23" t="s">
        <v>33</v>
      </c>
      <c r="D913" s="20" t="s">
        <v>34</v>
      </c>
      <c r="E913" s="22" t="s">
        <v>1825</v>
      </c>
      <c r="F913" s="24" t="str">
        <f t="shared" si="56"/>
        <v>PPG - Johnstones JONMAT - Magnolia - 5ltr</v>
      </c>
      <c r="G913" s="23" t="s">
        <v>5786</v>
      </c>
      <c r="H913" s="25" t="s">
        <v>36</v>
      </c>
      <c r="I913" s="18" t="s">
        <v>37</v>
      </c>
      <c r="J913" s="18" t="s">
        <v>38</v>
      </c>
      <c r="K913" t="s">
        <v>39</v>
      </c>
      <c r="L913" s="26">
        <f>VLOOKUP(A913,'[3]Price info'!A:D,4,FALSE)</f>
        <v>9.1999999999999993</v>
      </c>
      <c r="M913" s="18" t="s">
        <v>40</v>
      </c>
      <c r="N913" s="20">
        <v>3105</v>
      </c>
      <c r="P913" s="16">
        <f>VLOOKUP(A913,'[3]Price info'!A:H,8,FALSE)</f>
        <v>8.565199999999999</v>
      </c>
      <c r="Q913" s="27">
        <f t="shared" si="57"/>
        <v>0.93099999999999994</v>
      </c>
      <c r="S913" s="16">
        <f>VLOOKUP(A913,[4]Sales!$E:$G,3,FALSE)</f>
        <v>46</v>
      </c>
      <c r="T913" s="19">
        <f>VLOOKUP(A913,[4]Volume!$E:$G,3,FALSE)</f>
        <v>25</v>
      </c>
      <c r="U913" s="19">
        <f>VLOOKUP(A913,[4]Piece!$E:$G,3,FALSE)</f>
        <v>5</v>
      </c>
      <c r="V913" s="21">
        <f t="shared" si="58"/>
        <v>42.825999999999993</v>
      </c>
      <c r="W913" s="16">
        <f t="shared" si="59"/>
        <v>-3.1740000000000066</v>
      </c>
    </row>
    <row r="914" spans="1:23" hidden="1" x14ac:dyDescent="0.3">
      <c r="A914" s="56" t="s">
        <v>1826</v>
      </c>
      <c r="B914" s="56" t="s">
        <v>1826</v>
      </c>
      <c r="C914" s="47" t="s">
        <v>33</v>
      </c>
      <c r="D914" s="48" t="s">
        <v>34</v>
      </c>
      <c r="E914" s="22" t="s">
        <v>1827</v>
      </c>
      <c r="F914" s="24" t="str">
        <f t="shared" si="56"/>
        <v>PPG - TESA CRACK R TAPE 10M X 50MM 5225</v>
      </c>
      <c r="G914" s="20" t="s">
        <v>5787</v>
      </c>
      <c r="H914" s="25" t="s">
        <v>36</v>
      </c>
      <c r="I914" s="18" t="s">
        <v>37</v>
      </c>
      <c r="J914" s="18" t="s">
        <v>38</v>
      </c>
      <c r="K914" t="s">
        <v>39</v>
      </c>
      <c r="L914" s="50">
        <v>4.0999999999999996</v>
      </c>
      <c r="M914" s="18" t="s">
        <v>214</v>
      </c>
      <c r="N914" s="20">
        <v>3105</v>
      </c>
      <c r="P914" s="16">
        <f>VLOOKUP(A914,'[3]Price info'!A:H,8,FALSE)</f>
        <v>3.8170999999999999</v>
      </c>
      <c r="Q914" s="27">
        <f t="shared" si="57"/>
        <v>0.93100000000000005</v>
      </c>
      <c r="S914" s="16" t="e">
        <f>VLOOKUP(A914,[4]Sales!$E:$G,3,FALSE)</f>
        <v>#N/A</v>
      </c>
      <c r="T914" s="19" t="e">
        <f>VLOOKUP(A914,[4]Volume!$E:$G,3,FALSE)</f>
        <v>#N/A</v>
      </c>
      <c r="U914" s="19" t="e">
        <f>VLOOKUP(A914,[4]Piece!$E:$G,3,FALSE)</f>
        <v>#N/A</v>
      </c>
      <c r="V914" s="21" t="e">
        <f t="shared" si="58"/>
        <v>#N/A</v>
      </c>
      <c r="W914" s="16" t="e">
        <f t="shared" si="59"/>
        <v>#N/A</v>
      </c>
    </row>
    <row r="915" spans="1:23" hidden="1" x14ac:dyDescent="0.3">
      <c r="A915" s="22" t="s">
        <v>1828</v>
      </c>
      <c r="B915" s="22" t="s">
        <v>1828</v>
      </c>
      <c r="C915" s="23" t="s">
        <v>33</v>
      </c>
      <c r="D915" s="20" t="s">
        <v>34</v>
      </c>
      <c r="E915" s="22" t="s">
        <v>1829</v>
      </c>
      <c r="F915" s="24" t="str">
        <f t="shared" si="56"/>
        <v>PPG - ProGold WOVEN SHORT PILE ROLLER 9"</v>
      </c>
      <c r="G915" s="23" t="s">
        <v>5788</v>
      </c>
      <c r="H915" s="25" t="s">
        <v>36</v>
      </c>
      <c r="I915" s="18" t="s">
        <v>37</v>
      </c>
      <c r="J915" s="18" t="s">
        <v>38</v>
      </c>
      <c r="K915" t="s">
        <v>39</v>
      </c>
      <c r="L915" s="26">
        <f>VLOOKUP(A915,'[3]Price info'!A:D,4,FALSE)</f>
        <v>1.78</v>
      </c>
      <c r="M915" s="18" t="s">
        <v>40</v>
      </c>
      <c r="N915" s="20">
        <v>3105</v>
      </c>
      <c r="P915" s="16">
        <f>VLOOKUP(A915,'[3]Price info'!A:H,8,FALSE)</f>
        <v>1.6571800000000001</v>
      </c>
      <c r="Q915" s="27">
        <f t="shared" si="57"/>
        <v>0.93100000000000005</v>
      </c>
      <c r="S915" s="16">
        <f>VLOOKUP(A915,[4]Sales!$E:$G,3,FALSE)</f>
        <v>63.730000000000004</v>
      </c>
      <c r="T915" s="19">
        <f>VLOOKUP(A915,[4]Volume!$E:$G,3,FALSE)</f>
        <v>38</v>
      </c>
      <c r="U915" s="19">
        <f>VLOOKUP(A915,[4]Piece!$E:$G,3,FALSE)</f>
        <v>38</v>
      </c>
      <c r="V915" s="21">
        <f t="shared" si="58"/>
        <v>62.972840000000005</v>
      </c>
      <c r="W915" s="16">
        <f t="shared" si="59"/>
        <v>-0.75715999999999894</v>
      </c>
    </row>
    <row r="916" spans="1:23" hidden="1" x14ac:dyDescent="0.3">
      <c r="A916" s="22" t="s">
        <v>1830</v>
      </c>
      <c r="B916" s="22" t="s">
        <v>1830</v>
      </c>
      <c r="C916" s="23" t="s">
        <v>33</v>
      </c>
      <c r="D916" s="20" t="s">
        <v>34</v>
      </c>
      <c r="E916" s="22" t="s">
        <v>1831</v>
      </c>
      <c r="F916" s="24" t="str">
        <f t="shared" si="56"/>
        <v>PPG - Johnstones PRO GLOSS - Post Of Red - 5ltr</v>
      </c>
      <c r="G916" s="23" t="s">
        <v>5789</v>
      </c>
      <c r="H916" s="25" t="s">
        <v>36</v>
      </c>
      <c r="I916" s="18" t="s">
        <v>37</v>
      </c>
      <c r="J916" s="18" t="s">
        <v>38</v>
      </c>
      <c r="K916" t="s">
        <v>39</v>
      </c>
      <c r="L916" s="26">
        <f>VLOOKUP(A916,'[3]Price info'!A:D,4,FALSE)</f>
        <v>18.82</v>
      </c>
      <c r="M916" s="18" t="s">
        <v>40</v>
      </c>
      <c r="N916" s="20">
        <v>3105</v>
      </c>
      <c r="P916" s="16">
        <f>VLOOKUP(A916,'[3]Price info'!A:H,8,FALSE)</f>
        <v>24.7</v>
      </c>
      <c r="Q916" s="27">
        <f t="shared" si="57"/>
        <v>1.3124335812964931</v>
      </c>
      <c r="S916" s="16" t="e">
        <f>VLOOKUP(A916,[4]Sales!$E:$G,3,FALSE)</f>
        <v>#N/A</v>
      </c>
      <c r="T916" s="19" t="e">
        <f>VLOOKUP(A916,[4]Volume!$E:$G,3,FALSE)</f>
        <v>#N/A</v>
      </c>
      <c r="U916" s="19" t="e">
        <f>VLOOKUP(A916,[4]Piece!$E:$G,3,FALSE)</f>
        <v>#N/A</v>
      </c>
      <c r="V916" s="21" t="e">
        <f t="shared" si="58"/>
        <v>#N/A</v>
      </c>
      <c r="W916" s="16" t="e">
        <f t="shared" si="59"/>
        <v>#N/A</v>
      </c>
    </row>
    <row r="917" spans="1:23" hidden="1" x14ac:dyDescent="0.3">
      <c r="A917" s="22" t="s">
        <v>1832</v>
      </c>
      <c r="B917" s="22" t="s">
        <v>1832</v>
      </c>
      <c r="C917" s="23" t="s">
        <v>33</v>
      </c>
      <c r="D917" s="20" t="s">
        <v>34</v>
      </c>
      <c r="E917" s="22" t="s">
        <v>1833</v>
      </c>
      <c r="F917" s="24" t="str">
        <f t="shared" si="56"/>
        <v>PPG - ProGold PREMIUM BRISTLE BRUSH 3"</v>
      </c>
      <c r="G917" s="23" t="s">
        <v>5790</v>
      </c>
      <c r="H917" s="25" t="s">
        <v>36</v>
      </c>
      <c r="I917" s="18" t="s">
        <v>37</v>
      </c>
      <c r="J917" s="18" t="s">
        <v>38</v>
      </c>
      <c r="K917" t="s">
        <v>39</v>
      </c>
      <c r="L917" s="26">
        <f>VLOOKUP(A917,'[3]Price info'!A:D,4,FALSE)</f>
        <v>14.38</v>
      </c>
      <c r="M917" s="18" t="s">
        <v>40</v>
      </c>
      <c r="N917" s="20">
        <v>3105</v>
      </c>
      <c r="P917" s="16">
        <f>VLOOKUP(A917,'[3]Price info'!A:H,8,FALSE)</f>
        <v>13.387780000000001</v>
      </c>
      <c r="Q917" s="27">
        <f t="shared" si="57"/>
        <v>0.93100000000000005</v>
      </c>
      <c r="S917" s="16">
        <f>VLOOKUP(A917,[4]Sales!$E:$G,3,FALSE)</f>
        <v>37.32</v>
      </c>
      <c r="T917" s="19">
        <f>VLOOKUP(A917,[4]Volume!$E:$G,3,FALSE)</f>
        <v>3</v>
      </c>
      <c r="U917" s="19">
        <f>VLOOKUP(A917,[4]Piece!$E:$G,3,FALSE)</f>
        <v>3</v>
      </c>
      <c r="V917" s="21">
        <f t="shared" si="58"/>
        <v>40.163340000000005</v>
      </c>
      <c r="W917" s="16">
        <f t="shared" si="59"/>
        <v>2.8433400000000049</v>
      </c>
    </row>
    <row r="918" spans="1:23" hidden="1" x14ac:dyDescent="0.3">
      <c r="A918" s="22" t="s">
        <v>1834</v>
      </c>
      <c r="B918" s="22" t="s">
        <v>1834</v>
      </c>
      <c r="C918" s="23" t="s">
        <v>33</v>
      </c>
      <c r="D918" s="20" t="s">
        <v>34</v>
      </c>
      <c r="E918" s="22" t="s">
        <v>1835</v>
      </c>
      <c r="F918" s="24" t="str">
        <f t="shared" si="56"/>
        <v>PPG - Leyland EGGSHELL - Brilliant White - 2.5ltr</v>
      </c>
      <c r="G918" s="23" t="s">
        <v>5791</v>
      </c>
      <c r="H918" s="25" t="s">
        <v>36</v>
      </c>
      <c r="I918" s="18" t="s">
        <v>37</v>
      </c>
      <c r="J918" s="18" t="s">
        <v>38</v>
      </c>
      <c r="K918" t="s">
        <v>39</v>
      </c>
      <c r="L918" s="26">
        <f>VLOOKUP(A918,'[3]Price info'!A:D,4,FALSE)</f>
        <v>17.36</v>
      </c>
      <c r="M918" s="18" t="s">
        <v>40</v>
      </c>
      <c r="N918" s="20">
        <v>3105</v>
      </c>
      <c r="P918" s="16">
        <f>VLOOKUP(A918,'[3]Price info'!A:H,8,FALSE)</f>
        <v>16.16216</v>
      </c>
      <c r="Q918" s="27">
        <f t="shared" si="57"/>
        <v>0.93100000000000005</v>
      </c>
      <c r="S918" s="16" t="e">
        <f>VLOOKUP(A918,[4]Sales!$E:$G,3,FALSE)</f>
        <v>#N/A</v>
      </c>
      <c r="T918" s="19" t="e">
        <f>VLOOKUP(A918,[4]Volume!$E:$G,3,FALSE)</f>
        <v>#N/A</v>
      </c>
      <c r="U918" s="19" t="e">
        <f>VLOOKUP(A918,[4]Piece!$E:$G,3,FALSE)</f>
        <v>#N/A</v>
      </c>
      <c r="V918" s="21" t="e">
        <f t="shared" si="58"/>
        <v>#N/A</v>
      </c>
      <c r="W918" s="16" t="e">
        <f t="shared" si="59"/>
        <v>#N/A</v>
      </c>
    </row>
    <row r="919" spans="1:23" hidden="1" x14ac:dyDescent="0.3">
      <c r="A919" s="46" t="s">
        <v>1836</v>
      </c>
      <c r="B919" s="46" t="s">
        <v>1836</v>
      </c>
      <c r="C919" s="47" t="s">
        <v>33</v>
      </c>
      <c r="D919" s="48" t="s">
        <v>34</v>
      </c>
      <c r="E919" s="93" t="s">
        <v>7397</v>
      </c>
      <c r="F919" s="24" t="str">
        <f t="shared" si="56"/>
        <v>PPG - Mirka Fleece Dustbags for 1025 Extractor PK5</v>
      </c>
      <c r="G919" s="20" t="s">
        <v>5792</v>
      </c>
      <c r="H919" s="49" t="s">
        <v>213</v>
      </c>
      <c r="I919" s="18" t="s">
        <v>37</v>
      </c>
      <c r="J919" s="18" t="s">
        <v>38</v>
      </c>
      <c r="K919" t="s">
        <v>39</v>
      </c>
      <c r="L919" s="50">
        <f>VLOOKUP(A919,'[3]Price info'!A:D,4,FALSE)</f>
        <v>30.38</v>
      </c>
      <c r="M919" s="18" t="s">
        <v>214</v>
      </c>
      <c r="N919" s="20">
        <v>3105</v>
      </c>
      <c r="P919" s="16">
        <v>18.04</v>
      </c>
      <c r="Q919" s="17">
        <f t="shared" si="57"/>
        <v>0.59381171823568135</v>
      </c>
      <c r="S919" s="16">
        <f>VLOOKUP(A919,[4]Sales!$E:$G,3,FALSE)</f>
        <v>25.83</v>
      </c>
      <c r="T919" s="19">
        <f>VLOOKUP(A919,[4]Volume!$E:$G,3,FALSE)</f>
        <v>1</v>
      </c>
      <c r="U919" s="19">
        <f>VLOOKUP(A919,[4]Piece!$E:$G,3,FALSE)</f>
        <v>1</v>
      </c>
      <c r="V919" s="21">
        <f t="shared" si="58"/>
        <v>18.04</v>
      </c>
      <c r="W919" s="16">
        <f t="shared" si="59"/>
        <v>-7.7899999999999991</v>
      </c>
    </row>
    <row r="920" spans="1:23" hidden="1" x14ac:dyDescent="0.3">
      <c r="A920" s="22" t="s">
        <v>1837</v>
      </c>
      <c r="B920" s="22" t="s">
        <v>1837</v>
      </c>
      <c r="C920" s="23" t="s">
        <v>33</v>
      </c>
      <c r="D920" s="20" t="s">
        <v>34</v>
      </c>
      <c r="E920" s="22" t="s">
        <v>1838</v>
      </c>
      <c r="F920" s="24" t="str">
        <f t="shared" si="56"/>
        <v>PPG - Johnstones ALKALI RESIST PRIMER - BW -2.5ltr</v>
      </c>
      <c r="G920" s="23" t="s">
        <v>5793</v>
      </c>
      <c r="H920" s="25" t="s">
        <v>36</v>
      </c>
      <c r="I920" s="18" t="s">
        <v>37</v>
      </c>
      <c r="J920" s="18" t="s">
        <v>38</v>
      </c>
      <c r="K920" t="s">
        <v>39</v>
      </c>
      <c r="L920" s="26">
        <f>VLOOKUP(A920,'[3]Price info'!A:D,4,FALSE)</f>
        <v>17.239999999999998</v>
      </c>
      <c r="M920" s="18" t="s">
        <v>40</v>
      </c>
      <c r="N920" s="20">
        <v>3105</v>
      </c>
      <c r="P920" s="16">
        <f>VLOOKUP(A920,'[3]Price info'!A:H,8,FALSE)</f>
        <v>16.050439999999998</v>
      </c>
      <c r="Q920" s="27">
        <f t="shared" si="57"/>
        <v>0.93099999999999994</v>
      </c>
      <c r="S920" s="16">
        <f>VLOOKUP(A920,[4]Sales!$E:$G,3,FALSE)</f>
        <v>151.72999999999999</v>
      </c>
      <c r="T920" s="19">
        <f>VLOOKUP(A920,[4]Volume!$E:$G,3,FALSE)</f>
        <v>22.5</v>
      </c>
      <c r="U920" s="19">
        <f>VLOOKUP(A920,[4]Piece!$E:$G,3,FALSE)</f>
        <v>9</v>
      </c>
      <c r="V920" s="21">
        <f t="shared" si="58"/>
        <v>144.45396</v>
      </c>
      <c r="W920" s="16">
        <f t="shared" si="59"/>
        <v>-7.2760399999999947</v>
      </c>
    </row>
    <row r="921" spans="1:23" hidden="1" x14ac:dyDescent="0.3">
      <c r="A921" s="56" t="s">
        <v>1839</v>
      </c>
      <c r="B921" s="57" t="s">
        <v>1839</v>
      </c>
      <c r="C921" s="47" t="s">
        <v>33</v>
      </c>
      <c r="D921" s="48" t="s">
        <v>34</v>
      </c>
      <c r="E921" s="22" t="s">
        <v>1840</v>
      </c>
      <c r="F921" s="24" t="str">
        <f t="shared" si="56"/>
        <v>PPG - TESA PR MASK TAPE 50M X 25MM 4334</v>
      </c>
      <c r="G921" s="20" t="s">
        <v>5794</v>
      </c>
      <c r="H921" s="25" t="s">
        <v>36</v>
      </c>
      <c r="I921" s="18" t="s">
        <v>37</v>
      </c>
      <c r="J921" s="18" t="s">
        <v>38</v>
      </c>
      <c r="K921" t="s">
        <v>39</v>
      </c>
      <c r="L921" s="50">
        <v>4.58</v>
      </c>
      <c r="M921" s="18" t="s">
        <v>214</v>
      </c>
      <c r="N921" s="20">
        <v>3105</v>
      </c>
      <c r="P921" s="16">
        <f>VLOOKUP(A921,'[3]Price info'!A:H,8,FALSE)</f>
        <v>4.2639800000000001</v>
      </c>
      <c r="Q921" s="27">
        <f t="shared" si="57"/>
        <v>0.93100000000000005</v>
      </c>
      <c r="S921" s="16">
        <f>VLOOKUP(A921,[4]Sales!$E:$G,3,FALSE)</f>
        <v>0</v>
      </c>
      <c r="T921" s="19">
        <f>VLOOKUP(A921,[4]Volume!$E:$G,3,FALSE)</f>
        <v>0</v>
      </c>
      <c r="U921" s="19">
        <f>VLOOKUP(A921,[4]Piece!$E:$G,3,FALSE)</f>
        <v>0</v>
      </c>
      <c r="V921" s="21">
        <f t="shared" si="58"/>
        <v>0</v>
      </c>
      <c r="W921" s="16">
        <f t="shared" si="59"/>
        <v>0</v>
      </c>
    </row>
    <row r="922" spans="1:23" hidden="1" x14ac:dyDescent="0.3">
      <c r="A922" s="22" t="s">
        <v>1841</v>
      </c>
      <c r="B922" s="22" t="s">
        <v>1841</v>
      </c>
      <c r="C922" s="23" t="s">
        <v>33</v>
      </c>
      <c r="D922" s="20" t="s">
        <v>34</v>
      </c>
      <c r="E922" s="22" t="s">
        <v>1842</v>
      </c>
      <c r="F922" s="24" t="str">
        <f t="shared" si="56"/>
        <v>PPG - Stormshield SMOOTH MASONRY - BW - 2.5ltr</v>
      </c>
      <c r="G922" s="23" t="s">
        <v>5795</v>
      </c>
      <c r="H922" s="25" t="s">
        <v>36</v>
      </c>
      <c r="I922" s="18" t="s">
        <v>37</v>
      </c>
      <c r="J922" s="18" t="s">
        <v>38</v>
      </c>
      <c r="K922" t="s">
        <v>39</v>
      </c>
      <c r="L922" s="26">
        <f>VLOOKUP(A922,'[3]Price info'!A:D,4,FALSE)</f>
        <v>12.27</v>
      </c>
      <c r="M922" s="18" t="s">
        <v>40</v>
      </c>
      <c r="N922" s="20">
        <v>3105</v>
      </c>
      <c r="P922" s="16">
        <f>VLOOKUP(A922,'[3]Price info'!A:H,8,FALSE)</f>
        <v>11.42337</v>
      </c>
      <c r="Q922" s="27">
        <f t="shared" si="57"/>
        <v>0.93100000000000005</v>
      </c>
      <c r="S922" s="16">
        <f>VLOOKUP(A922,[4]Sales!$E:$G,3,FALSE)</f>
        <v>36.81</v>
      </c>
      <c r="T922" s="19">
        <f>VLOOKUP(A922,[4]Volume!$E:$G,3,FALSE)</f>
        <v>7.5</v>
      </c>
      <c r="U922" s="19">
        <f>VLOOKUP(A922,[4]Piece!$E:$G,3,FALSE)</f>
        <v>3</v>
      </c>
      <c r="V922" s="21">
        <f t="shared" si="58"/>
        <v>34.270110000000003</v>
      </c>
      <c r="W922" s="16">
        <f t="shared" si="59"/>
        <v>-2.5398899999999998</v>
      </c>
    </row>
    <row r="923" spans="1:23" hidden="1" x14ac:dyDescent="0.3">
      <c r="A923" s="22" t="s">
        <v>1843</v>
      </c>
      <c r="B923" s="22" t="s">
        <v>1843</v>
      </c>
      <c r="C923" s="23" t="s">
        <v>33</v>
      </c>
      <c r="D923" s="20" t="s">
        <v>34</v>
      </c>
      <c r="E923" s="22" t="s">
        <v>1844</v>
      </c>
      <c r="F923" s="24" t="str">
        <f t="shared" si="56"/>
        <v>PPG - Johnstones STORMSHIELD TEXTURED - BW - 5ltr</v>
      </c>
      <c r="G923" s="23" t="s">
        <v>5796</v>
      </c>
      <c r="H923" s="25" t="s">
        <v>36</v>
      </c>
      <c r="I923" s="18" t="s">
        <v>37</v>
      </c>
      <c r="J923" s="18" t="s">
        <v>38</v>
      </c>
      <c r="K923" t="s">
        <v>39</v>
      </c>
      <c r="L923" s="26">
        <f>VLOOKUP(A923,'[3]Price info'!A:D,4,FALSE)</f>
        <v>16.91</v>
      </c>
      <c r="M923" s="18" t="s">
        <v>40</v>
      </c>
      <c r="N923" s="20">
        <v>3105</v>
      </c>
      <c r="P923" s="16">
        <f>VLOOKUP(A923,'[3]Price info'!A:H,8,FALSE)</f>
        <v>15.743210000000001</v>
      </c>
      <c r="Q923" s="27">
        <f t="shared" si="57"/>
        <v>0.93100000000000005</v>
      </c>
      <c r="S923" s="16" t="e">
        <f>VLOOKUP(A923,[4]Sales!$E:$G,3,FALSE)</f>
        <v>#N/A</v>
      </c>
      <c r="T923" s="19" t="e">
        <f>VLOOKUP(A923,[4]Volume!$E:$G,3,FALSE)</f>
        <v>#N/A</v>
      </c>
      <c r="U923" s="19" t="e">
        <f>VLOOKUP(A923,[4]Piece!$E:$G,3,FALSE)</f>
        <v>#N/A</v>
      </c>
      <c r="V923" s="21" t="e">
        <f t="shared" si="58"/>
        <v>#N/A</v>
      </c>
      <c r="W923" s="16" t="e">
        <f t="shared" si="59"/>
        <v>#N/A</v>
      </c>
    </row>
    <row r="924" spans="1:23" hidden="1" x14ac:dyDescent="0.3">
      <c r="A924" s="22" t="s">
        <v>1845</v>
      </c>
      <c r="B924" s="22" t="s">
        <v>1845</v>
      </c>
      <c r="C924" s="23" t="s">
        <v>33</v>
      </c>
      <c r="D924" s="20" t="s">
        <v>34</v>
      </c>
      <c r="E924" s="22" t="s">
        <v>1846</v>
      </c>
      <c r="F924" s="24" t="str">
        <f t="shared" si="56"/>
        <v>PPG - JST MATT WOODSTAIN - Walnut- 2.5ltr</v>
      </c>
      <c r="G924" s="23" t="s">
        <v>5797</v>
      </c>
      <c r="H924" s="25" t="s">
        <v>36</v>
      </c>
      <c r="I924" s="18" t="s">
        <v>37</v>
      </c>
      <c r="J924" s="18" t="s">
        <v>38</v>
      </c>
      <c r="K924" t="s">
        <v>39</v>
      </c>
      <c r="L924" s="26">
        <f>VLOOKUP(A924,'[3]Price info'!A:D,4,FALSE)</f>
        <v>16.88</v>
      </c>
      <c r="M924" s="18" t="s">
        <v>40</v>
      </c>
      <c r="N924" s="20">
        <v>3105</v>
      </c>
      <c r="P924" s="16">
        <f>VLOOKUP(A924,'[3]Price info'!A:H,8,FALSE)</f>
        <v>15.71528</v>
      </c>
      <c r="Q924" s="27">
        <f t="shared" si="57"/>
        <v>0.93100000000000005</v>
      </c>
      <c r="S924" s="16" t="e">
        <f>VLOOKUP(A924,[4]Sales!$E:$G,3,FALSE)</f>
        <v>#N/A</v>
      </c>
      <c r="T924" s="19" t="e">
        <f>VLOOKUP(A924,[4]Volume!$E:$G,3,FALSE)</f>
        <v>#N/A</v>
      </c>
      <c r="U924" s="19" t="e">
        <f>VLOOKUP(A924,[4]Piece!$E:$G,3,FALSE)</f>
        <v>#N/A</v>
      </c>
      <c r="V924" s="21" t="e">
        <f t="shared" si="58"/>
        <v>#N/A</v>
      </c>
      <c r="W924" s="16" t="e">
        <f t="shared" si="59"/>
        <v>#N/A</v>
      </c>
    </row>
    <row r="925" spans="1:23" hidden="1" x14ac:dyDescent="0.3">
      <c r="A925" s="22" t="s">
        <v>1847</v>
      </c>
      <c r="B925" s="22" t="s">
        <v>1847</v>
      </c>
      <c r="C925" s="23" t="s">
        <v>33</v>
      </c>
      <c r="D925" s="20" t="s">
        <v>34</v>
      </c>
      <c r="E925" s="22" t="s">
        <v>1848</v>
      </c>
      <c r="F925" s="24" t="str">
        <f t="shared" si="56"/>
        <v>PPG - JST MATT WOODSTAIN - Ebony- 2.5ltr</v>
      </c>
      <c r="G925" s="23" t="s">
        <v>5798</v>
      </c>
      <c r="H925" s="25" t="s">
        <v>36</v>
      </c>
      <c r="I925" s="18" t="s">
        <v>37</v>
      </c>
      <c r="J925" s="18" t="s">
        <v>38</v>
      </c>
      <c r="K925" t="s">
        <v>39</v>
      </c>
      <c r="L925" s="26">
        <f>VLOOKUP(A925,'[3]Price info'!A:D,4,FALSE)</f>
        <v>16.88</v>
      </c>
      <c r="M925" s="18" t="s">
        <v>40</v>
      </c>
      <c r="N925" s="20">
        <v>3105</v>
      </c>
      <c r="P925" s="16">
        <f>VLOOKUP(A925,'[3]Price info'!A:H,8,FALSE)</f>
        <v>15.71528</v>
      </c>
      <c r="Q925" s="27">
        <f t="shared" si="57"/>
        <v>0.93100000000000005</v>
      </c>
      <c r="S925" s="16" t="e">
        <f>VLOOKUP(A925,[4]Sales!$E:$G,3,FALSE)</f>
        <v>#N/A</v>
      </c>
      <c r="T925" s="19" t="e">
        <f>VLOOKUP(A925,[4]Volume!$E:$G,3,FALSE)</f>
        <v>#N/A</v>
      </c>
      <c r="U925" s="19" t="e">
        <f>VLOOKUP(A925,[4]Piece!$E:$G,3,FALSE)</f>
        <v>#N/A</v>
      </c>
      <c r="V925" s="21" t="e">
        <f t="shared" si="58"/>
        <v>#N/A</v>
      </c>
      <c r="W925" s="16" t="e">
        <f t="shared" si="59"/>
        <v>#N/A</v>
      </c>
    </row>
    <row r="926" spans="1:23" hidden="1" x14ac:dyDescent="0.3">
      <c r="A926" s="46" t="s">
        <v>1849</v>
      </c>
      <c r="B926" s="46" t="s">
        <v>1849</v>
      </c>
      <c r="C926" s="51" t="s">
        <v>33</v>
      </c>
      <c r="D926" s="48" t="s">
        <v>34</v>
      </c>
      <c r="E926" s="18" t="s">
        <v>1850</v>
      </c>
      <c r="F926" s="24" t="str">
        <f t="shared" si="56"/>
        <v>PPG - EWI   ALUM BASETRACK BOX BASE 2.5M 50MM</v>
      </c>
      <c r="G926" s="20" t="s">
        <v>5799</v>
      </c>
      <c r="H926" s="49" t="s">
        <v>213</v>
      </c>
      <c r="I926" s="18" t="s">
        <v>37</v>
      </c>
      <c r="J926" s="18" t="s">
        <v>38</v>
      </c>
      <c r="K926" t="s">
        <v>39</v>
      </c>
      <c r="L926" s="50">
        <f>VLOOKUP(A926,'[3]Price info'!A:D,4,FALSE)</f>
        <v>6.07</v>
      </c>
      <c r="M926" s="18" t="s">
        <v>214</v>
      </c>
      <c r="N926" s="20">
        <v>3105</v>
      </c>
      <c r="P926" s="16">
        <f>VLOOKUP(A926,'[3]Price info'!A:H,8,FALSE)</f>
        <v>6.07</v>
      </c>
      <c r="Q926" s="17">
        <f t="shared" si="57"/>
        <v>1</v>
      </c>
      <c r="S926" s="16" t="e">
        <f>VLOOKUP(A926,[4]Sales!$E:$G,3,FALSE)</f>
        <v>#N/A</v>
      </c>
      <c r="T926" s="19" t="e">
        <f>VLOOKUP(A926,[4]Volume!$E:$G,3,FALSE)</f>
        <v>#N/A</v>
      </c>
      <c r="U926" s="19" t="e">
        <f>VLOOKUP(A926,[4]Piece!$E:$G,3,FALSE)</f>
        <v>#N/A</v>
      </c>
      <c r="V926" s="21" t="e">
        <f t="shared" si="58"/>
        <v>#N/A</v>
      </c>
      <c r="W926" s="16" t="e">
        <f t="shared" si="59"/>
        <v>#N/A</v>
      </c>
    </row>
    <row r="927" spans="1:23" hidden="1" x14ac:dyDescent="0.3">
      <c r="A927" s="22" t="s">
        <v>1851</v>
      </c>
      <c r="B927" s="22" t="s">
        <v>1851</v>
      </c>
      <c r="C927" s="23" t="s">
        <v>33</v>
      </c>
      <c r="D927" s="20" t="s">
        <v>34</v>
      </c>
      <c r="E927" s="22" t="s">
        <v>1852</v>
      </c>
      <c r="F927" s="24" t="str">
        <f t="shared" si="56"/>
        <v>PPG - Woodworks BOILED LINSEED OIL - 500ml</v>
      </c>
      <c r="G927" s="23" t="s">
        <v>5800</v>
      </c>
      <c r="H927" s="25" t="s">
        <v>36</v>
      </c>
      <c r="I927" s="18" t="s">
        <v>37</v>
      </c>
      <c r="J927" s="18" t="s">
        <v>38</v>
      </c>
      <c r="K927" t="s">
        <v>39</v>
      </c>
      <c r="L927" s="26">
        <f>VLOOKUP(A927,'[3]Price info'!A:D,4,FALSE)</f>
        <v>6.01</v>
      </c>
      <c r="M927" s="18" t="s">
        <v>40</v>
      </c>
      <c r="N927" s="20">
        <v>3105</v>
      </c>
      <c r="P927" s="16">
        <f>VLOOKUP(A927,'[3]Price info'!A:H,8,FALSE)</f>
        <v>5.5953100000000004</v>
      </c>
      <c r="Q927" s="27">
        <f t="shared" si="57"/>
        <v>0.93100000000000016</v>
      </c>
      <c r="S927" s="16" t="e">
        <f>VLOOKUP(A927,[4]Sales!$E:$G,3,FALSE)</f>
        <v>#N/A</v>
      </c>
      <c r="T927" s="19" t="e">
        <f>VLOOKUP(A927,[4]Volume!$E:$G,3,FALSE)</f>
        <v>#N/A</v>
      </c>
      <c r="U927" s="19" t="e">
        <f>VLOOKUP(A927,[4]Piece!$E:$G,3,FALSE)</f>
        <v>#N/A</v>
      </c>
      <c r="V927" s="21" t="e">
        <f t="shared" si="58"/>
        <v>#N/A</v>
      </c>
      <c r="W927" s="16" t="e">
        <f t="shared" si="59"/>
        <v>#N/A</v>
      </c>
    </row>
    <row r="928" spans="1:23" hidden="1" x14ac:dyDescent="0.3">
      <c r="A928" s="22" t="s">
        <v>1853</v>
      </c>
      <c r="B928" s="22" t="s">
        <v>1853</v>
      </c>
      <c r="C928" s="23" t="s">
        <v>33</v>
      </c>
      <c r="D928" s="20" t="s">
        <v>34</v>
      </c>
      <c r="E928" s="22" t="s">
        <v>1854</v>
      </c>
      <c r="F928" s="24" t="str">
        <f t="shared" si="56"/>
        <v>PPG - ProGold CLASSIC HYBRID BRUSH 1"</v>
      </c>
      <c r="G928" s="23" t="s">
        <v>5801</v>
      </c>
      <c r="H928" s="25" t="s">
        <v>36</v>
      </c>
      <c r="I928" s="18" t="s">
        <v>37</v>
      </c>
      <c r="J928" s="18" t="s">
        <v>38</v>
      </c>
      <c r="K928" t="s">
        <v>39</v>
      </c>
      <c r="L928" s="26">
        <f>VLOOKUP(A928,'[3]Price info'!A:D,4,FALSE)</f>
        <v>2.25</v>
      </c>
      <c r="M928" s="18" t="s">
        <v>40</v>
      </c>
      <c r="N928" s="20">
        <v>3105</v>
      </c>
      <c r="P928" s="16">
        <f>VLOOKUP(A928,'[3]Price info'!A:H,8,FALSE)</f>
        <v>2.0947500000000003</v>
      </c>
      <c r="Q928" s="27">
        <f t="shared" si="57"/>
        <v>0.93100000000000016</v>
      </c>
      <c r="S928" s="16">
        <f>VLOOKUP(A928,[4]Sales!$E:$G,3,FALSE)</f>
        <v>27.81</v>
      </c>
      <c r="T928" s="19">
        <f>VLOOKUP(A928,[4]Volume!$E:$G,3,FALSE)</f>
        <v>13</v>
      </c>
      <c r="U928" s="19">
        <f>VLOOKUP(A928,[4]Piece!$E:$G,3,FALSE)</f>
        <v>13</v>
      </c>
      <c r="V928" s="21">
        <f t="shared" si="58"/>
        <v>27.231750000000005</v>
      </c>
      <c r="W928" s="16">
        <f t="shared" si="59"/>
        <v>-0.57824999999999349</v>
      </c>
    </row>
    <row r="929" spans="1:23" hidden="1" x14ac:dyDescent="0.3">
      <c r="A929" s="53" t="s">
        <v>1855</v>
      </c>
      <c r="B929" s="54" t="s">
        <v>1855</v>
      </c>
      <c r="C929" s="47" t="s">
        <v>33</v>
      </c>
      <c r="D929" s="48" t="s">
        <v>34</v>
      </c>
      <c r="E929" s="22" t="s">
        <v>1856</v>
      </c>
      <c r="F929" s="24" t="str">
        <f t="shared" si="56"/>
        <v>PPG - EWI   ONE COAT RENDER 25KG</v>
      </c>
      <c r="G929" s="20" t="s">
        <v>5802</v>
      </c>
      <c r="H929" s="25" t="s">
        <v>36</v>
      </c>
      <c r="I929" s="18" t="s">
        <v>37</v>
      </c>
      <c r="J929" s="18" t="s">
        <v>38</v>
      </c>
      <c r="K929" t="s">
        <v>39</v>
      </c>
      <c r="L929" s="26">
        <f>VLOOKUP(A929,'[3]Price info'!A:D,4,FALSE)</f>
        <v>8.9600000000000009</v>
      </c>
      <c r="M929" s="18" t="s">
        <v>214</v>
      </c>
      <c r="N929" s="20">
        <v>3105</v>
      </c>
      <c r="P929" s="16">
        <f>VLOOKUP(A929,'[3]Price info'!A:H,8,FALSE)</f>
        <v>8.9600000000000009</v>
      </c>
      <c r="Q929" s="27">
        <f t="shared" si="57"/>
        <v>1</v>
      </c>
      <c r="S929" s="16" t="e">
        <f>VLOOKUP(A929,[4]Sales!$E:$G,3,FALSE)</f>
        <v>#N/A</v>
      </c>
      <c r="T929" s="19" t="e">
        <f>VLOOKUP(A929,[4]Volume!$E:$G,3,FALSE)</f>
        <v>#N/A</v>
      </c>
      <c r="U929" s="19" t="e">
        <f>VLOOKUP(A929,[4]Piece!$E:$G,3,FALSE)</f>
        <v>#N/A</v>
      </c>
      <c r="V929" s="21" t="e">
        <f t="shared" si="58"/>
        <v>#N/A</v>
      </c>
      <c r="W929" s="16" t="e">
        <f t="shared" si="59"/>
        <v>#N/A</v>
      </c>
    </row>
    <row r="930" spans="1:23" hidden="1" x14ac:dyDescent="0.3">
      <c r="A930" s="22" t="s">
        <v>1857</v>
      </c>
      <c r="B930" s="22" t="s">
        <v>1857</v>
      </c>
      <c r="C930" s="23" t="s">
        <v>33</v>
      </c>
      <c r="D930" s="20" t="s">
        <v>34</v>
      </c>
      <c r="E930" s="22" t="s">
        <v>1858</v>
      </c>
      <c r="F930" s="24" t="str">
        <f t="shared" si="56"/>
        <v>PPG - Johnstones QD Woodstain - Teak - 750ml</v>
      </c>
      <c r="G930" s="23" t="s">
        <v>5803</v>
      </c>
      <c r="H930" s="25" t="s">
        <v>36</v>
      </c>
      <c r="I930" s="18" t="s">
        <v>37</v>
      </c>
      <c r="J930" s="18" t="s">
        <v>38</v>
      </c>
      <c r="K930" t="s">
        <v>39</v>
      </c>
      <c r="L930" s="26">
        <f>VLOOKUP(A930,'[3]Price info'!A:D,4,FALSE)</f>
        <v>8.3800000000000008</v>
      </c>
      <c r="M930" s="18" t="s">
        <v>40</v>
      </c>
      <c r="N930" s="20">
        <v>3105</v>
      </c>
      <c r="P930" s="16">
        <f>VLOOKUP(A930,'[3]Price info'!A:H,8,FALSE)</f>
        <v>7.8017800000000008</v>
      </c>
      <c r="Q930" s="27">
        <f t="shared" si="57"/>
        <v>0.93100000000000005</v>
      </c>
      <c r="S930" s="16">
        <f>VLOOKUP(A930,[4]Sales!$E:$G,3,FALSE)</f>
        <v>24.560000000000002</v>
      </c>
      <c r="T930" s="19">
        <f>VLOOKUP(A930,[4]Volume!$E:$G,3,FALSE)</f>
        <v>2.25</v>
      </c>
      <c r="U930" s="19">
        <f>VLOOKUP(A930,[4]Piece!$E:$G,3,FALSE)</f>
        <v>3</v>
      </c>
      <c r="V930" s="21">
        <f t="shared" si="58"/>
        <v>23.405340000000002</v>
      </c>
      <c r="W930" s="16">
        <f t="shared" si="59"/>
        <v>-1.1546599999999998</v>
      </c>
    </row>
    <row r="931" spans="1:23" hidden="1" x14ac:dyDescent="0.3">
      <c r="A931" s="22" t="s">
        <v>1859</v>
      </c>
      <c r="B931" s="22" t="s">
        <v>1859</v>
      </c>
      <c r="C931" s="23" t="s">
        <v>33</v>
      </c>
      <c r="D931" s="20" t="s">
        <v>34</v>
      </c>
      <c r="E931" s="22" t="s">
        <v>1860</v>
      </c>
      <c r="F931" s="24" t="str">
        <f t="shared" si="56"/>
        <v>PPG - Johnstones UNI PRIMER - White - 1ltr</v>
      </c>
      <c r="G931" s="23" t="s">
        <v>5804</v>
      </c>
      <c r="H931" s="25" t="s">
        <v>36</v>
      </c>
      <c r="I931" s="18" t="s">
        <v>37</v>
      </c>
      <c r="J931" s="18" t="s">
        <v>38</v>
      </c>
      <c r="K931" t="s">
        <v>39</v>
      </c>
      <c r="L931" s="26">
        <f>VLOOKUP(A931,'[3]Price info'!A:D,4,FALSE)</f>
        <v>16.010000000000002</v>
      </c>
      <c r="M931" s="18" t="s">
        <v>40</v>
      </c>
      <c r="N931" s="20">
        <v>3105</v>
      </c>
      <c r="P931" s="16">
        <f>VLOOKUP(A931,'[3]Price info'!A:H,8,FALSE)</f>
        <v>14.905310000000002</v>
      </c>
      <c r="Q931" s="27">
        <f t="shared" si="57"/>
        <v>0.93100000000000005</v>
      </c>
      <c r="S931" s="16" t="e">
        <f>VLOOKUP(A931,[4]Sales!$E:$G,3,FALSE)</f>
        <v>#N/A</v>
      </c>
      <c r="T931" s="19" t="e">
        <f>VLOOKUP(A931,[4]Volume!$E:$G,3,FALSE)</f>
        <v>#N/A</v>
      </c>
      <c r="U931" s="19" t="e">
        <f>VLOOKUP(A931,[4]Piece!$E:$G,3,FALSE)</f>
        <v>#N/A</v>
      </c>
      <c r="V931" s="21" t="e">
        <f t="shared" si="58"/>
        <v>#N/A</v>
      </c>
      <c r="W931" s="16" t="e">
        <f t="shared" si="59"/>
        <v>#N/A</v>
      </c>
    </row>
    <row r="932" spans="1:23" hidden="1" x14ac:dyDescent="0.3">
      <c r="A932" s="22" t="s">
        <v>1861</v>
      </c>
      <c r="B932" s="22" t="s">
        <v>1861</v>
      </c>
      <c r="C932" s="23" t="s">
        <v>33</v>
      </c>
      <c r="D932" s="20" t="s">
        <v>34</v>
      </c>
      <c r="E932" s="22" t="s">
        <v>1862</v>
      </c>
      <c r="F932" s="24" t="str">
        <f t="shared" si="56"/>
        <v>PPG - Woodworks POLY VARNISH - Satin Clear - 750ml</v>
      </c>
      <c r="G932" s="23" t="s">
        <v>5805</v>
      </c>
      <c r="H932" s="25" t="s">
        <v>36</v>
      </c>
      <c r="I932" s="18" t="s">
        <v>37</v>
      </c>
      <c r="J932" s="18" t="s">
        <v>38</v>
      </c>
      <c r="K932" t="s">
        <v>39</v>
      </c>
      <c r="L932" s="26">
        <f>VLOOKUP(A932,'[3]Price info'!A:D,4,FALSE)</f>
        <v>5.35</v>
      </c>
      <c r="M932" s="18" t="s">
        <v>40</v>
      </c>
      <c r="N932" s="20">
        <v>3105</v>
      </c>
      <c r="P932" s="16">
        <f>VLOOKUP(A932,'[3]Price info'!A:H,8,FALSE)</f>
        <v>4.9808500000000002</v>
      </c>
      <c r="Q932" s="27">
        <f t="shared" si="57"/>
        <v>0.93100000000000005</v>
      </c>
      <c r="S932" s="16">
        <f>VLOOKUP(A932,[4]Sales!$E:$G,3,FALSE)</f>
        <v>9.9600000000000009</v>
      </c>
      <c r="T932" s="19">
        <f>VLOOKUP(A932,[4]Volume!$E:$G,3,FALSE)</f>
        <v>1.5</v>
      </c>
      <c r="U932" s="19">
        <f>VLOOKUP(A932,[4]Piece!$E:$G,3,FALSE)</f>
        <v>2</v>
      </c>
      <c r="V932" s="21">
        <f t="shared" si="58"/>
        <v>9.9617000000000004</v>
      </c>
      <c r="W932" s="16">
        <f t="shared" si="59"/>
        <v>1.6999999999995907E-3</v>
      </c>
    </row>
    <row r="933" spans="1:23" hidden="1" x14ac:dyDescent="0.3">
      <c r="A933" s="22" t="s">
        <v>1863</v>
      </c>
      <c r="B933" s="22" t="s">
        <v>1863</v>
      </c>
      <c r="C933" s="23" t="s">
        <v>33</v>
      </c>
      <c r="D933" s="20" t="s">
        <v>34</v>
      </c>
      <c r="E933" s="22" t="s">
        <v>1864</v>
      </c>
      <c r="F933" s="24" t="str">
        <f t="shared" si="56"/>
        <v>PPG - JST MATT WOODSTAIN - Clear - 2.5ltr</v>
      </c>
      <c r="G933" s="23" t="s">
        <v>5806</v>
      </c>
      <c r="H933" s="25" t="s">
        <v>36</v>
      </c>
      <c r="I933" s="18" t="s">
        <v>37</v>
      </c>
      <c r="J933" s="18" t="s">
        <v>38</v>
      </c>
      <c r="K933" t="s">
        <v>39</v>
      </c>
      <c r="L933" s="26">
        <f>VLOOKUP(A933,'[3]Price info'!A:D,4,FALSE)</f>
        <v>16.88</v>
      </c>
      <c r="M933" s="18" t="s">
        <v>40</v>
      </c>
      <c r="N933" s="20">
        <v>3105</v>
      </c>
      <c r="P933" s="16">
        <f>VLOOKUP(A933,'[3]Price info'!A:H,8,FALSE)</f>
        <v>15.71528</v>
      </c>
      <c r="Q933" s="27">
        <f t="shared" si="57"/>
        <v>0.93100000000000005</v>
      </c>
      <c r="S933" s="16" t="e">
        <f>VLOOKUP(A933,[4]Sales!$E:$G,3,FALSE)</f>
        <v>#N/A</v>
      </c>
      <c r="T933" s="19" t="e">
        <f>VLOOKUP(A933,[4]Volume!$E:$G,3,FALSE)</f>
        <v>#N/A</v>
      </c>
      <c r="U933" s="19" t="e">
        <f>VLOOKUP(A933,[4]Piece!$E:$G,3,FALSE)</f>
        <v>#N/A</v>
      </c>
      <c r="V933" s="21" t="e">
        <f t="shared" si="58"/>
        <v>#N/A</v>
      </c>
      <c r="W933" s="16" t="e">
        <f t="shared" si="59"/>
        <v>#N/A</v>
      </c>
    </row>
    <row r="934" spans="1:23" hidden="1" x14ac:dyDescent="0.3">
      <c r="A934" s="46" t="s">
        <v>1865</v>
      </c>
      <c r="B934" s="46" t="s">
        <v>1865</v>
      </c>
      <c r="C934" s="47" t="s">
        <v>33</v>
      </c>
      <c r="D934" s="48" t="s">
        <v>34</v>
      </c>
      <c r="E934" s="18" t="s">
        <v>1866</v>
      </c>
      <c r="F934" s="24" t="str">
        <f t="shared" si="56"/>
        <v>PPG - LL    TESTERPOT    PASTEL BSE 0000000350</v>
      </c>
      <c r="G934" s="20" t="s">
        <v>5807</v>
      </c>
      <c r="H934" s="49" t="s">
        <v>213</v>
      </c>
      <c r="I934" s="18" t="s">
        <v>37</v>
      </c>
      <c r="J934" s="18" t="s">
        <v>38</v>
      </c>
      <c r="K934" t="s">
        <v>39</v>
      </c>
      <c r="L934" s="50">
        <f>VLOOKUP(A934,'[3]Price info'!A:D,4,FALSE)</f>
        <v>2.81</v>
      </c>
      <c r="M934" s="18" t="s">
        <v>214</v>
      </c>
      <c r="N934" s="20">
        <v>3105</v>
      </c>
      <c r="P934" s="16">
        <f>VLOOKUP(A934,'[3]Price info'!A:H,8,FALSE)</f>
        <v>2.6161100000000004</v>
      </c>
      <c r="Q934" s="17">
        <f t="shared" si="57"/>
        <v>0.93100000000000016</v>
      </c>
      <c r="S934" s="16" t="e">
        <f>VLOOKUP(A934,[4]Sales!$E:$G,3,FALSE)</f>
        <v>#N/A</v>
      </c>
      <c r="T934" s="19" t="e">
        <f>VLOOKUP(A934,[4]Volume!$E:$G,3,FALSE)</f>
        <v>#N/A</v>
      </c>
      <c r="U934" s="19" t="e">
        <f>VLOOKUP(A934,[4]Piece!$E:$G,3,FALSE)</f>
        <v>#N/A</v>
      </c>
      <c r="V934" s="21" t="e">
        <f t="shared" si="58"/>
        <v>#N/A</v>
      </c>
      <c r="W934" s="16" t="e">
        <f t="shared" si="59"/>
        <v>#N/A</v>
      </c>
    </row>
    <row r="935" spans="1:23" hidden="1" x14ac:dyDescent="0.3">
      <c r="A935" s="46" t="s">
        <v>1867</v>
      </c>
      <c r="B935" s="46" t="s">
        <v>1867</v>
      </c>
      <c r="C935" s="47" t="s">
        <v>33</v>
      </c>
      <c r="D935" s="48" t="s">
        <v>34</v>
      </c>
      <c r="E935" s="18" t="s">
        <v>1868</v>
      </c>
      <c r="F935" s="24" t="str">
        <f t="shared" si="56"/>
        <v>PPG - EASYL LINING PAPER 1000 SINGL</v>
      </c>
      <c r="G935" s="20" t="s">
        <v>5808</v>
      </c>
      <c r="H935" s="49" t="s">
        <v>213</v>
      </c>
      <c r="I935" s="18" t="s">
        <v>37</v>
      </c>
      <c r="J935" s="18" t="s">
        <v>38</v>
      </c>
      <c r="K935" t="s">
        <v>39</v>
      </c>
      <c r="L935" s="50">
        <f>VLOOKUP(A935,'[3]Price info'!A:D,4,FALSE)</f>
        <v>1.62</v>
      </c>
      <c r="M935" s="18" t="s">
        <v>214</v>
      </c>
      <c r="N935" s="20">
        <v>3105</v>
      </c>
      <c r="P935" s="16">
        <f>VLOOKUP(A935,'[3]Price info'!A:H,8,FALSE)</f>
        <v>1.5082200000000001</v>
      </c>
      <c r="Q935" s="17">
        <f t="shared" si="57"/>
        <v>0.93100000000000005</v>
      </c>
      <c r="S935" s="16">
        <f>VLOOKUP(A935,[4]Sales!$E:$G,3,FALSE)</f>
        <v>8.1</v>
      </c>
      <c r="T935" s="19">
        <f>VLOOKUP(A935,[4]Volume!$E:$G,3,FALSE)</f>
        <v>5</v>
      </c>
      <c r="U935" s="19">
        <f>VLOOKUP(A935,[4]Piece!$E:$G,3,FALSE)</f>
        <v>5</v>
      </c>
      <c r="V935" s="21">
        <f t="shared" si="58"/>
        <v>7.5411000000000001</v>
      </c>
      <c r="W935" s="16">
        <f t="shared" si="59"/>
        <v>-0.55889999999999951</v>
      </c>
    </row>
    <row r="936" spans="1:23" hidden="1" x14ac:dyDescent="0.3">
      <c r="A936" s="22" t="s">
        <v>1869</v>
      </c>
      <c r="B936" s="22" t="s">
        <v>1869</v>
      </c>
      <c r="C936" s="23" t="s">
        <v>33</v>
      </c>
      <c r="D936" s="20" t="s">
        <v>34</v>
      </c>
      <c r="E936" s="22" t="s">
        <v>1870</v>
      </c>
      <c r="F936" s="24" t="str">
        <f t="shared" si="56"/>
        <v>PPG - ProGold DOUBLE ARM FRAME 15"</v>
      </c>
      <c r="G936" s="23" t="s">
        <v>5809</v>
      </c>
      <c r="H936" s="25" t="s">
        <v>36</v>
      </c>
      <c r="I936" s="18" t="s">
        <v>37</v>
      </c>
      <c r="J936" s="18" t="s">
        <v>38</v>
      </c>
      <c r="K936" t="s">
        <v>39</v>
      </c>
      <c r="L936" s="26">
        <f>VLOOKUP(A936,'[3]Price info'!A:D,4,FALSE)</f>
        <v>14.85</v>
      </c>
      <c r="M936" s="18" t="s">
        <v>40</v>
      </c>
      <c r="N936" s="20">
        <v>3105</v>
      </c>
      <c r="P936" s="16">
        <f>VLOOKUP(A936,'[3]Price info'!A:H,8,FALSE)</f>
        <v>13.82535</v>
      </c>
      <c r="Q936" s="27">
        <f t="shared" si="57"/>
        <v>0.93100000000000005</v>
      </c>
      <c r="S936" s="16">
        <f>VLOOKUP(A936,[4]Sales!$E:$G,3,FALSE)</f>
        <v>44.55</v>
      </c>
      <c r="T936" s="19">
        <f>VLOOKUP(A936,[4]Volume!$E:$G,3,FALSE)</f>
        <v>3</v>
      </c>
      <c r="U936" s="19">
        <f>VLOOKUP(A936,[4]Piece!$E:$G,3,FALSE)</f>
        <v>3</v>
      </c>
      <c r="V936" s="21">
        <f t="shared" si="58"/>
        <v>41.476050000000001</v>
      </c>
      <c r="W936" s="16">
        <f t="shared" si="59"/>
        <v>-3.0739499999999964</v>
      </c>
    </row>
    <row r="937" spans="1:23" hidden="1" x14ac:dyDescent="0.3">
      <c r="A937" s="22" t="s">
        <v>1871</v>
      </c>
      <c r="B937" s="22" t="s">
        <v>1871</v>
      </c>
      <c r="C937" s="23" t="s">
        <v>33</v>
      </c>
      <c r="D937" s="20" t="s">
        <v>34</v>
      </c>
      <c r="E937" s="22" t="s">
        <v>1872</v>
      </c>
      <c r="F937" s="24" t="str">
        <f t="shared" si="56"/>
        <v>PPG - Leyland TG SMOOTH MASONRY - C Cream - 5ltr</v>
      </c>
      <c r="G937" s="23" t="s">
        <v>5810</v>
      </c>
      <c r="H937" s="25" t="s">
        <v>36</v>
      </c>
      <c r="I937" s="18" t="s">
        <v>37</v>
      </c>
      <c r="J937" s="18" t="s">
        <v>38</v>
      </c>
      <c r="K937" t="s">
        <v>39</v>
      </c>
      <c r="L937" s="26">
        <f>VLOOKUP(A937,'[3]Price info'!A:D,4,FALSE)</f>
        <v>16.010000000000002</v>
      </c>
      <c r="M937" s="18" t="s">
        <v>40</v>
      </c>
      <c r="N937" s="20">
        <v>3105</v>
      </c>
      <c r="P937" s="16">
        <f>VLOOKUP(A937,'[3]Price info'!A:H,8,FALSE)</f>
        <v>14.905310000000002</v>
      </c>
      <c r="Q937" s="27">
        <f t="shared" si="57"/>
        <v>0.93100000000000005</v>
      </c>
      <c r="S937" s="16" t="e">
        <f>VLOOKUP(A937,[4]Sales!$E:$G,3,FALSE)</f>
        <v>#N/A</v>
      </c>
      <c r="T937" s="19" t="e">
        <f>VLOOKUP(A937,[4]Volume!$E:$G,3,FALSE)</f>
        <v>#N/A</v>
      </c>
      <c r="U937" s="19" t="e">
        <f>VLOOKUP(A937,[4]Piece!$E:$G,3,FALSE)</f>
        <v>#N/A</v>
      </c>
      <c r="V937" s="21" t="e">
        <f t="shared" si="58"/>
        <v>#N/A</v>
      </c>
      <c r="W937" s="16" t="e">
        <f t="shared" si="59"/>
        <v>#N/A</v>
      </c>
    </row>
    <row r="938" spans="1:23" hidden="1" x14ac:dyDescent="0.3">
      <c r="A938" s="46" t="s">
        <v>1873</v>
      </c>
      <c r="B938" s="46" t="s">
        <v>1873</v>
      </c>
      <c r="C938" s="51" t="s">
        <v>33</v>
      </c>
      <c r="D938" s="48" t="s">
        <v>34</v>
      </c>
      <c r="E938" s="93" t="s">
        <v>7398</v>
      </c>
      <c r="F938" s="24" t="str">
        <f t="shared" si="56"/>
        <v>PPG - Mirka Abranet 125mm PK10 P120</v>
      </c>
      <c r="G938" s="20" t="s">
        <v>5811</v>
      </c>
      <c r="H938" s="49" t="s">
        <v>213</v>
      </c>
      <c r="I938" s="18" t="s">
        <v>37</v>
      </c>
      <c r="J938" s="18" t="s">
        <v>38</v>
      </c>
      <c r="K938" t="s">
        <v>39</v>
      </c>
      <c r="L938" s="50">
        <f>VLOOKUP(A938,'[3]Price info'!A:D,4,FALSE)</f>
        <v>14.68</v>
      </c>
      <c r="M938" s="18" t="s">
        <v>214</v>
      </c>
      <c r="N938" s="20">
        <v>3105</v>
      </c>
      <c r="P938" s="16">
        <v>11.26</v>
      </c>
      <c r="Q938" s="17">
        <f t="shared" si="57"/>
        <v>0.76702997275204354</v>
      </c>
      <c r="S938" s="16" t="e">
        <f>VLOOKUP(A938,[4]Sales!$E:$G,3,FALSE)</f>
        <v>#N/A</v>
      </c>
      <c r="T938" s="19" t="e">
        <f>VLOOKUP(A938,[4]Volume!$E:$G,3,FALSE)</f>
        <v>#N/A</v>
      </c>
      <c r="U938" s="19" t="e">
        <f>VLOOKUP(A938,[4]Piece!$E:$G,3,FALSE)</f>
        <v>#N/A</v>
      </c>
      <c r="V938" s="21" t="e">
        <f t="shared" si="58"/>
        <v>#N/A</v>
      </c>
      <c r="W938" s="16" t="e">
        <f t="shared" si="59"/>
        <v>#N/A</v>
      </c>
    </row>
    <row r="939" spans="1:23" hidden="1" x14ac:dyDescent="0.3">
      <c r="A939" s="46" t="s">
        <v>1874</v>
      </c>
      <c r="B939" s="46" t="s">
        <v>1874</v>
      </c>
      <c r="C939" s="47" t="s">
        <v>33</v>
      </c>
      <c r="D939" s="48" t="s">
        <v>34</v>
      </c>
      <c r="E939" s="93" t="s">
        <v>7399</v>
      </c>
      <c r="F939" s="24" t="str">
        <f t="shared" si="56"/>
        <v>PPG - Mirka Abranet Ace HD 152x152x100mm PK5 P80</v>
      </c>
      <c r="G939" s="20" t="s">
        <v>5812</v>
      </c>
      <c r="H939" s="49" t="s">
        <v>213</v>
      </c>
      <c r="I939" s="18" t="s">
        <v>37</v>
      </c>
      <c r="J939" s="18" t="s">
        <v>38</v>
      </c>
      <c r="K939" t="s">
        <v>39</v>
      </c>
      <c r="L939" s="50">
        <f>VLOOKUP(A939,'[3]Price info'!A:D,4,FALSE)</f>
        <v>12.67</v>
      </c>
      <c r="M939" s="18" t="s">
        <v>214</v>
      </c>
      <c r="N939" s="20">
        <v>3105</v>
      </c>
      <c r="P939" s="16">
        <v>7.73</v>
      </c>
      <c r="Q939" s="17">
        <f t="shared" si="57"/>
        <v>0.61010260457774279</v>
      </c>
      <c r="S939" s="16" t="e">
        <f>VLOOKUP(A939,[4]Sales!$E:$G,3,FALSE)</f>
        <v>#N/A</v>
      </c>
      <c r="T939" s="19" t="e">
        <f>VLOOKUP(A939,[4]Volume!$E:$G,3,FALSE)</f>
        <v>#N/A</v>
      </c>
      <c r="U939" s="19" t="e">
        <f>VLOOKUP(A939,[4]Piece!$E:$G,3,FALSE)</f>
        <v>#N/A</v>
      </c>
      <c r="V939" s="21" t="e">
        <f t="shared" si="58"/>
        <v>#N/A</v>
      </c>
      <c r="W939" s="16" t="e">
        <f t="shared" si="59"/>
        <v>#N/A</v>
      </c>
    </row>
    <row r="940" spans="1:23" hidden="1" x14ac:dyDescent="0.3">
      <c r="A940" s="22" t="s">
        <v>1875</v>
      </c>
      <c r="B940" s="22" t="s">
        <v>1875</v>
      </c>
      <c r="C940" s="23" t="s">
        <v>33</v>
      </c>
      <c r="D940" s="20" t="s">
        <v>34</v>
      </c>
      <c r="E940" s="22" t="s">
        <v>1876</v>
      </c>
      <c r="F940" s="24" t="str">
        <f t="shared" si="56"/>
        <v>PPG - Leyland T/GUARD STAB PRIMER - Clear - 5ltr</v>
      </c>
      <c r="G940" s="23" t="s">
        <v>5813</v>
      </c>
      <c r="H940" s="25" t="s">
        <v>36</v>
      </c>
      <c r="I940" s="18" t="s">
        <v>37</v>
      </c>
      <c r="J940" s="18" t="s">
        <v>38</v>
      </c>
      <c r="K940" t="s">
        <v>39</v>
      </c>
      <c r="L940" s="26">
        <f>VLOOKUP(A940,'[3]Price info'!A:D,4,FALSE)</f>
        <v>14.58</v>
      </c>
      <c r="M940" s="18" t="s">
        <v>40</v>
      </c>
      <c r="N940" s="20">
        <v>3105</v>
      </c>
      <c r="P940" s="16">
        <f>VLOOKUP(A940,'[3]Price info'!A:H,8,FALSE)</f>
        <v>16.038</v>
      </c>
      <c r="Q940" s="27">
        <f t="shared" si="57"/>
        <v>1.1000000000000001</v>
      </c>
      <c r="S940" s="16" t="e">
        <f>VLOOKUP(A940,[4]Sales!$E:$G,3,FALSE)</f>
        <v>#N/A</v>
      </c>
      <c r="T940" s="19" t="e">
        <f>VLOOKUP(A940,[4]Volume!$E:$G,3,FALSE)</f>
        <v>#N/A</v>
      </c>
      <c r="U940" s="19" t="e">
        <f>VLOOKUP(A940,[4]Piece!$E:$G,3,FALSE)</f>
        <v>#N/A</v>
      </c>
      <c r="V940" s="21" t="e">
        <f t="shared" si="58"/>
        <v>#N/A</v>
      </c>
      <c r="W940" s="16" t="e">
        <f t="shared" si="59"/>
        <v>#N/A</v>
      </c>
    </row>
    <row r="941" spans="1:23" hidden="1" x14ac:dyDescent="0.3">
      <c r="A941" s="22" t="s">
        <v>1877</v>
      </c>
      <c r="B941" s="22" t="s">
        <v>1877</v>
      </c>
      <c r="C941" s="23" t="s">
        <v>33</v>
      </c>
      <c r="D941" s="20" t="s">
        <v>34</v>
      </c>
      <c r="E941" s="22" t="s">
        <v>1878</v>
      </c>
      <c r="F941" s="24" t="str">
        <f t="shared" si="56"/>
        <v>PPG - Leyland VINYL SILK - Brill White - 2.5ltr</v>
      </c>
      <c r="G941" s="23" t="s">
        <v>5814</v>
      </c>
      <c r="H941" s="25" t="s">
        <v>36</v>
      </c>
      <c r="I941" s="18" t="s">
        <v>37</v>
      </c>
      <c r="J941" s="18" t="s">
        <v>38</v>
      </c>
      <c r="K941" t="s">
        <v>39</v>
      </c>
      <c r="L941" s="26">
        <f>VLOOKUP(A941,'[3]Price info'!A:D,4,FALSE)</f>
        <v>13.42</v>
      </c>
      <c r="M941" s="18" t="s">
        <v>40</v>
      </c>
      <c r="N941" s="20">
        <v>3105</v>
      </c>
      <c r="P941" s="16">
        <f>VLOOKUP(A941,'[3]Price info'!A:H,8,FALSE)</f>
        <v>7.85</v>
      </c>
      <c r="Q941" s="27">
        <f t="shared" si="57"/>
        <v>0.58494783904619962</v>
      </c>
      <c r="S941" s="16" t="e">
        <f>VLOOKUP(A941,[4]Sales!$E:$G,3,FALSE)</f>
        <v>#N/A</v>
      </c>
      <c r="T941" s="19" t="e">
        <f>VLOOKUP(A941,[4]Volume!$E:$G,3,FALSE)</f>
        <v>#N/A</v>
      </c>
      <c r="U941" s="19" t="e">
        <f>VLOOKUP(A941,[4]Piece!$E:$G,3,FALSE)</f>
        <v>#N/A</v>
      </c>
      <c r="V941" s="21" t="e">
        <f t="shared" si="58"/>
        <v>#N/A</v>
      </c>
      <c r="W941" s="16" t="e">
        <f t="shared" si="59"/>
        <v>#N/A</v>
      </c>
    </row>
    <row r="942" spans="1:23" hidden="1" x14ac:dyDescent="0.3">
      <c r="A942" s="46" t="s">
        <v>1879</v>
      </c>
      <c r="B942" s="46" t="s">
        <v>1879</v>
      </c>
      <c r="C942" s="47" t="s">
        <v>33</v>
      </c>
      <c r="D942" s="48" t="s">
        <v>34</v>
      </c>
      <c r="E942" s="18" t="s">
        <v>1880</v>
      </c>
      <c r="F942" s="24" t="str">
        <f t="shared" si="56"/>
        <v>PPG - HODGS MULTI PURP PUTTY BROWN  0000001100</v>
      </c>
      <c r="G942" s="20" t="s">
        <v>5815</v>
      </c>
      <c r="H942" s="49" t="s">
        <v>213</v>
      </c>
      <c r="I942" s="18" t="s">
        <v>37</v>
      </c>
      <c r="J942" s="18" t="s">
        <v>38</v>
      </c>
      <c r="K942" t="s">
        <v>39</v>
      </c>
      <c r="L942" s="50">
        <f>VLOOKUP(A942,'[3]Price info'!A:D,4,FALSE)</f>
        <v>1.2</v>
      </c>
      <c r="M942" s="18" t="s">
        <v>214</v>
      </c>
      <c r="N942" s="20">
        <v>3105</v>
      </c>
      <c r="P942" s="16">
        <f>VLOOKUP(A942,'[3]Price info'!A:H,8,FALSE)</f>
        <v>1.32</v>
      </c>
      <c r="Q942" s="17">
        <f t="shared" si="57"/>
        <v>1.1000000000000001</v>
      </c>
      <c r="S942" s="16">
        <f>VLOOKUP(A942,[4]Sales!$E:$G,3,FALSE)</f>
        <v>10.440000000000001</v>
      </c>
      <c r="T942" s="19">
        <f>VLOOKUP(A942,[4]Volume!$E:$G,3,FALSE)</f>
        <v>8</v>
      </c>
      <c r="U942" s="19">
        <f>VLOOKUP(A942,[4]Piece!$E:$G,3,FALSE)</f>
        <v>8</v>
      </c>
      <c r="V942" s="21">
        <f t="shared" si="58"/>
        <v>10.56</v>
      </c>
      <c r="W942" s="16">
        <f t="shared" si="59"/>
        <v>0.11999999999999922</v>
      </c>
    </row>
    <row r="943" spans="1:23" hidden="1" x14ac:dyDescent="0.3">
      <c r="A943" s="22" t="s">
        <v>1881</v>
      </c>
      <c r="B943" s="22" t="s">
        <v>1881</v>
      </c>
      <c r="C943" s="23" t="s">
        <v>33</v>
      </c>
      <c r="D943" s="20" t="s">
        <v>34</v>
      </c>
      <c r="E943" s="22" t="s">
        <v>1882</v>
      </c>
      <c r="F943" s="24" t="str">
        <f t="shared" si="56"/>
        <v>PPG - GORI 44+ QD DECK STAIN - Mix - 5ltr</v>
      </c>
      <c r="G943" s="23" t="s">
        <v>5816</v>
      </c>
      <c r="H943" s="25" t="s">
        <v>36</v>
      </c>
      <c r="I943" s="18" t="s">
        <v>37</v>
      </c>
      <c r="J943" s="18" t="s">
        <v>38</v>
      </c>
      <c r="K943" t="s">
        <v>39</v>
      </c>
      <c r="L943" s="26">
        <f>VLOOKUP(A943,'[3]Price info'!A:D,4,FALSE)</f>
        <v>12.86</v>
      </c>
      <c r="M943" s="18" t="s">
        <v>40</v>
      </c>
      <c r="N943" s="20">
        <v>3105</v>
      </c>
      <c r="P943" s="16">
        <f>VLOOKUP(A943,'[3]Price info'!A:H,8,FALSE)</f>
        <v>11.972659999999999</v>
      </c>
      <c r="Q943" s="27">
        <f t="shared" si="57"/>
        <v>0.93100000000000005</v>
      </c>
      <c r="S943" s="16" t="e">
        <f>VLOOKUP(A943,[4]Sales!$E:$G,3,FALSE)</f>
        <v>#N/A</v>
      </c>
      <c r="T943" s="19" t="e">
        <f>VLOOKUP(A943,[4]Volume!$E:$G,3,FALSE)</f>
        <v>#N/A</v>
      </c>
      <c r="U943" s="19" t="e">
        <f>VLOOKUP(A943,[4]Piece!$E:$G,3,FALSE)</f>
        <v>#N/A</v>
      </c>
      <c r="V943" s="21" t="e">
        <f t="shared" si="58"/>
        <v>#N/A</v>
      </c>
      <c r="W943" s="16" t="e">
        <f t="shared" si="59"/>
        <v>#N/A</v>
      </c>
    </row>
    <row r="944" spans="1:23" hidden="1" x14ac:dyDescent="0.3">
      <c r="A944" s="22" t="s">
        <v>1883</v>
      </c>
      <c r="B944" s="22" t="s">
        <v>1883</v>
      </c>
      <c r="C944" s="23" t="s">
        <v>33</v>
      </c>
      <c r="D944" s="20" t="s">
        <v>34</v>
      </c>
      <c r="E944" s="22" t="s">
        <v>1884</v>
      </c>
      <c r="F944" s="24" t="str">
        <f t="shared" si="56"/>
        <v>PPG - Johnstones QD MATT BLACKBOARD - Black - 1ltr</v>
      </c>
      <c r="G944" s="23" t="s">
        <v>5817</v>
      </c>
      <c r="H944" s="25" t="s">
        <v>36</v>
      </c>
      <c r="I944" s="18" t="s">
        <v>37</v>
      </c>
      <c r="J944" s="18" t="s">
        <v>38</v>
      </c>
      <c r="K944" t="s">
        <v>39</v>
      </c>
      <c r="L944" s="26">
        <f>VLOOKUP(A944,'[3]Price info'!A:D,4,FALSE)</f>
        <v>6.53</v>
      </c>
      <c r="M944" s="18" t="s">
        <v>40</v>
      </c>
      <c r="N944" s="20">
        <v>3105</v>
      </c>
      <c r="P944" s="16">
        <f>VLOOKUP(A944,'[3]Price info'!A:H,8,FALSE)</f>
        <v>6.0794300000000003</v>
      </c>
      <c r="Q944" s="27">
        <f t="shared" si="57"/>
        <v>0.93100000000000005</v>
      </c>
      <c r="S944" s="16">
        <f>VLOOKUP(A944,[4]Sales!$E:$G,3,FALSE)</f>
        <v>6.08</v>
      </c>
      <c r="T944" s="19">
        <f>VLOOKUP(A944,[4]Volume!$E:$G,3,FALSE)</f>
        <v>1</v>
      </c>
      <c r="U944" s="19">
        <f>VLOOKUP(A944,[4]Piece!$E:$G,3,FALSE)</f>
        <v>1</v>
      </c>
      <c r="V944" s="21">
        <f t="shared" si="58"/>
        <v>6.0794300000000003</v>
      </c>
      <c r="W944" s="16">
        <f t="shared" si="59"/>
        <v>-5.6999999999973738E-4</v>
      </c>
    </row>
    <row r="945" spans="1:23" hidden="1" x14ac:dyDescent="0.3">
      <c r="A945" s="22" t="s">
        <v>1885</v>
      </c>
      <c r="B945" s="22" t="s">
        <v>1885</v>
      </c>
      <c r="C945" s="23" t="s">
        <v>33</v>
      </c>
      <c r="D945" s="20" t="s">
        <v>34</v>
      </c>
      <c r="E945" s="22" t="s">
        <v>1886</v>
      </c>
      <c r="F945" s="24" t="str">
        <f t="shared" si="56"/>
        <v>PPG - Leyland VINYL SOFT SHEEN - BW - 2.5ltr</v>
      </c>
      <c r="G945" s="23" t="s">
        <v>5818</v>
      </c>
      <c r="H945" s="25" t="s">
        <v>36</v>
      </c>
      <c r="I945" s="18" t="s">
        <v>37</v>
      </c>
      <c r="J945" s="18" t="s">
        <v>38</v>
      </c>
      <c r="K945" t="s">
        <v>39</v>
      </c>
      <c r="L945" s="26">
        <f>VLOOKUP(A945,'[3]Price info'!A:D,4,FALSE)</f>
        <v>13.42</v>
      </c>
      <c r="M945" s="18" t="s">
        <v>40</v>
      </c>
      <c r="N945" s="20">
        <v>3105</v>
      </c>
      <c r="P945" s="16">
        <f>VLOOKUP(A945,'[3]Price info'!A:H,8,FALSE)</f>
        <v>12.494020000000001</v>
      </c>
      <c r="Q945" s="27">
        <f t="shared" si="57"/>
        <v>0.93100000000000005</v>
      </c>
      <c r="S945" s="16" t="e">
        <f>VLOOKUP(A945,[4]Sales!$E:$G,3,FALSE)</f>
        <v>#N/A</v>
      </c>
      <c r="T945" s="19" t="e">
        <f>VLOOKUP(A945,[4]Volume!$E:$G,3,FALSE)</f>
        <v>#N/A</v>
      </c>
      <c r="U945" s="19" t="e">
        <f>VLOOKUP(A945,[4]Piece!$E:$G,3,FALSE)</f>
        <v>#N/A</v>
      </c>
      <c r="V945" s="21" t="e">
        <f t="shared" si="58"/>
        <v>#N/A</v>
      </c>
      <c r="W945" s="16" t="e">
        <f t="shared" si="59"/>
        <v>#N/A</v>
      </c>
    </row>
    <row r="946" spans="1:23" hidden="1" x14ac:dyDescent="0.3">
      <c r="A946" s="46" t="s">
        <v>1887</v>
      </c>
      <c r="B946" s="46" t="s">
        <v>1887</v>
      </c>
      <c r="C946" s="51" t="s">
        <v>33</v>
      </c>
      <c r="D946" s="48" t="s">
        <v>34</v>
      </c>
      <c r="E946" s="18" t="s">
        <v>1888</v>
      </c>
      <c r="F946" s="24" t="str">
        <f t="shared" si="56"/>
        <v>PPG - HODGS LINSEED OIL  PUTTY 500G 0000000050</v>
      </c>
      <c r="G946" s="20" t="s">
        <v>5819</v>
      </c>
      <c r="H946" s="49" t="s">
        <v>213</v>
      </c>
      <c r="I946" s="18" t="s">
        <v>37</v>
      </c>
      <c r="J946" s="18" t="s">
        <v>38</v>
      </c>
      <c r="K946" t="s">
        <v>39</v>
      </c>
      <c r="L946" s="50">
        <f>VLOOKUP(A946,'[3]Price info'!A:D,4,FALSE)</f>
        <v>1.04</v>
      </c>
      <c r="M946" s="18" t="s">
        <v>214</v>
      </c>
      <c r="N946" s="20">
        <v>3105</v>
      </c>
      <c r="P946" s="16">
        <f>VLOOKUP(A946,'[3]Price info'!A:H,8,FALSE)</f>
        <v>0.9682400000000001</v>
      </c>
      <c r="Q946" s="17">
        <f t="shared" si="57"/>
        <v>0.93100000000000005</v>
      </c>
      <c r="S946" s="16">
        <f>VLOOKUP(A946,[4]Sales!$E:$G,3,FALSE)</f>
        <v>9.98</v>
      </c>
      <c r="T946" s="19">
        <f>VLOOKUP(A946,[4]Volume!$E:$G,3,FALSE)</f>
        <v>0.5</v>
      </c>
      <c r="U946" s="19">
        <f>VLOOKUP(A946,[4]Piece!$E:$G,3,FALSE)</f>
        <v>10</v>
      </c>
      <c r="V946" s="21">
        <f t="shared" si="58"/>
        <v>9.6824000000000012</v>
      </c>
      <c r="W946" s="16">
        <f t="shared" si="59"/>
        <v>-0.2975999999999992</v>
      </c>
    </row>
    <row r="947" spans="1:23" hidden="1" x14ac:dyDescent="0.3">
      <c r="A947" s="22" t="s">
        <v>1889</v>
      </c>
      <c r="B947" s="22" t="s">
        <v>1889</v>
      </c>
      <c r="C947" s="23" t="s">
        <v>33</v>
      </c>
      <c r="D947" s="20" t="s">
        <v>34</v>
      </c>
      <c r="E947" s="22" t="s">
        <v>1890</v>
      </c>
      <c r="F947" s="24" t="str">
        <f t="shared" si="56"/>
        <v>PPG - Leyland SMART MULTI-SURFACE - DK GRY - 750ml</v>
      </c>
      <c r="G947" s="23" t="s">
        <v>5820</v>
      </c>
      <c r="H947" s="25" t="s">
        <v>36</v>
      </c>
      <c r="I947" s="18" t="s">
        <v>37</v>
      </c>
      <c r="J947" s="18" t="s">
        <v>38</v>
      </c>
      <c r="K947" t="s">
        <v>39</v>
      </c>
      <c r="L947" s="26">
        <f>VLOOKUP(A947,'[3]Price info'!A:D,4,FALSE)</f>
        <v>11.84</v>
      </c>
      <c r="M947" s="18" t="s">
        <v>40</v>
      </c>
      <c r="N947" s="20">
        <v>3105</v>
      </c>
      <c r="P947" s="16">
        <f>VLOOKUP(A947,'[3]Price info'!A:H,8,FALSE)</f>
        <v>11.02304</v>
      </c>
      <c r="Q947" s="27">
        <f t="shared" si="57"/>
        <v>0.93100000000000005</v>
      </c>
      <c r="S947" s="16" t="e">
        <f>VLOOKUP(A947,[4]Sales!$E:$G,3,FALSE)</f>
        <v>#N/A</v>
      </c>
      <c r="T947" s="19" t="e">
        <f>VLOOKUP(A947,[4]Volume!$E:$G,3,FALSE)</f>
        <v>#N/A</v>
      </c>
      <c r="U947" s="19" t="e">
        <f>VLOOKUP(A947,[4]Piece!$E:$G,3,FALSE)</f>
        <v>#N/A</v>
      </c>
      <c r="V947" s="21" t="e">
        <f t="shared" si="58"/>
        <v>#N/A</v>
      </c>
      <c r="W947" s="16" t="e">
        <f t="shared" si="59"/>
        <v>#N/A</v>
      </c>
    </row>
    <row r="948" spans="1:23" hidden="1" x14ac:dyDescent="0.3">
      <c r="A948" s="46" t="s">
        <v>1891</v>
      </c>
      <c r="B948" s="46" t="s">
        <v>1891</v>
      </c>
      <c r="C948" s="47" t="s">
        <v>33</v>
      </c>
      <c r="D948" s="48" t="s">
        <v>34</v>
      </c>
      <c r="E948" s="18" t="s">
        <v>1892</v>
      </c>
      <c r="F948" s="24" t="str">
        <f t="shared" si="56"/>
        <v>PPG - SIRO  EXPANDING    FOAM 500ML       0500</v>
      </c>
      <c r="G948" s="20" t="s">
        <v>5821</v>
      </c>
      <c r="H948" s="49" t="s">
        <v>213</v>
      </c>
      <c r="I948" s="18" t="s">
        <v>37</v>
      </c>
      <c r="J948" s="18" t="s">
        <v>38</v>
      </c>
      <c r="K948" t="s">
        <v>39</v>
      </c>
      <c r="L948" s="50">
        <f>VLOOKUP(A948,'[3]Price info'!A:D,4,FALSE)</f>
        <v>5.89</v>
      </c>
      <c r="M948" s="18" t="s">
        <v>214</v>
      </c>
      <c r="N948" s="20">
        <v>3105</v>
      </c>
      <c r="P948" s="16">
        <f>VLOOKUP(A948,'[3]Price info'!A:H,8,FALSE)</f>
        <v>5.4835900000000004</v>
      </c>
      <c r="Q948" s="17">
        <f t="shared" si="57"/>
        <v>0.93100000000000016</v>
      </c>
      <c r="S948" s="16" t="e">
        <f>VLOOKUP(A948,[4]Sales!$E:$G,3,FALSE)</f>
        <v>#N/A</v>
      </c>
      <c r="T948" s="19" t="e">
        <f>VLOOKUP(A948,[4]Volume!$E:$G,3,FALSE)</f>
        <v>#N/A</v>
      </c>
      <c r="U948" s="19" t="e">
        <f>VLOOKUP(A948,[4]Piece!$E:$G,3,FALSE)</f>
        <v>#N/A</v>
      </c>
      <c r="V948" s="21" t="e">
        <f t="shared" si="58"/>
        <v>#N/A</v>
      </c>
      <c r="W948" s="16" t="e">
        <f t="shared" si="59"/>
        <v>#N/A</v>
      </c>
    </row>
    <row r="949" spans="1:23" hidden="1" x14ac:dyDescent="0.3">
      <c r="A949" s="22" t="s">
        <v>1893</v>
      </c>
      <c r="B949" s="22" t="s">
        <v>1893</v>
      </c>
      <c r="C949" s="23" t="s">
        <v>33</v>
      </c>
      <c r="D949" s="20" t="s">
        <v>34</v>
      </c>
      <c r="E949" s="22" t="s">
        <v>1894</v>
      </c>
      <c r="F949" s="24" t="str">
        <f t="shared" si="56"/>
        <v>PPG - Leyland VINYL SILK - Mix - 2.5ltr</v>
      </c>
      <c r="G949" s="23" t="s">
        <v>5822</v>
      </c>
      <c r="H949" s="25" t="s">
        <v>36</v>
      </c>
      <c r="I949" s="18" t="s">
        <v>37</v>
      </c>
      <c r="J949" s="18" t="s">
        <v>38</v>
      </c>
      <c r="K949" t="s">
        <v>39</v>
      </c>
      <c r="L949" s="26">
        <f>VLOOKUP(A949,'[3]Price info'!A:D,4,FALSE)</f>
        <v>12.32</v>
      </c>
      <c r="M949" s="18" t="s">
        <v>40</v>
      </c>
      <c r="N949" s="20">
        <v>3105</v>
      </c>
      <c r="P949" s="16">
        <f>VLOOKUP(A949,'[3]Price info'!A:H,8,FALSE)</f>
        <v>9.6</v>
      </c>
      <c r="Q949" s="27">
        <f t="shared" si="57"/>
        <v>0.77922077922077915</v>
      </c>
      <c r="S949" s="16" t="e">
        <f>VLOOKUP(A949,[4]Sales!$E:$G,3,FALSE)</f>
        <v>#N/A</v>
      </c>
      <c r="T949" s="19" t="e">
        <f>VLOOKUP(A949,[4]Volume!$E:$G,3,FALSE)</f>
        <v>#N/A</v>
      </c>
      <c r="U949" s="19" t="e">
        <f>VLOOKUP(A949,[4]Piece!$E:$G,3,FALSE)</f>
        <v>#N/A</v>
      </c>
      <c r="V949" s="21" t="e">
        <f t="shared" si="58"/>
        <v>#N/A</v>
      </c>
      <c r="W949" s="16" t="e">
        <f t="shared" si="59"/>
        <v>#N/A</v>
      </c>
    </row>
    <row r="950" spans="1:23" hidden="1" x14ac:dyDescent="0.3">
      <c r="A950" s="22" t="s">
        <v>1895</v>
      </c>
      <c r="B950" s="22" t="s">
        <v>1895</v>
      </c>
      <c r="C950" s="23" t="s">
        <v>33</v>
      </c>
      <c r="D950" s="20" t="s">
        <v>34</v>
      </c>
      <c r="E950" s="22" t="s">
        <v>1896</v>
      </c>
      <c r="F950" s="24" t="str">
        <f t="shared" si="56"/>
        <v>PPG - ProGold AQUA SYNTHETIC ANGLE BRUSH 2"</v>
      </c>
      <c r="G950" s="23" t="s">
        <v>5823</v>
      </c>
      <c r="H950" s="25" t="s">
        <v>36</v>
      </c>
      <c r="I950" s="18" t="s">
        <v>37</v>
      </c>
      <c r="J950" s="18" t="s">
        <v>38</v>
      </c>
      <c r="K950" t="s">
        <v>39</v>
      </c>
      <c r="L950" s="26">
        <f>VLOOKUP(A950,'[3]Price info'!A:D,4,FALSE)</f>
        <v>6.2</v>
      </c>
      <c r="M950" s="18" t="s">
        <v>40</v>
      </c>
      <c r="N950" s="20">
        <v>3105</v>
      </c>
      <c r="P950" s="16">
        <f>VLOOKUP(A950,'[3]Price info'!A:H,8,FALSE)</f>
        <v>5.7722000000000007</v>
      </c>
      <c r="Q950" s="27">
        <f t="shared" si="57"/>
        <v>0.93100000000000005</v>
      </c>
      <c r="S950" s="16" t="e">
        <f>VLOOKUP(A950,[4]Sales!$E:$G,3,FALSE)</f>
        <v>#N/A</v>
      </c>
      <c r="T950" s="19" t="e">
        <f>VLOOKUP(A950,[4]Volume!$E:$G,3,FALSE)</f>
        <v>#N/A</v>
      </c>
      <c r="U950" s="19" t="e">
        <f>VLOOKUP(A950,[4]Piece!$E:$G,3,FALSE)</f>
        <v>#N/A</v>
      </c>
      <c r="V950" s="21" t="e">
        <f t="shared" si="58"/>
        <v>#N/A</v>
      </c>
      <c r="W950" s="16" t="e">
        <f t="shared" si="59"/>
        <v>#N/A</v>
      </c>
    </row>
    <row r="951" spans="1:23" hidden="1" x14ac:dyDescent="0.3">
      <c r="A951" s="22" t="s">
        <v>1897</v>
      </c>
      <c r="B951" s="22" t="s">
        <v>1897</v>
      </c>
      <c r="C951" s="23" t="s">
        <v>33</v>
      </c>
      <c r="D951" s="20" t="s">
        <v>34</v>
      </c>
      <c r="E951" s="22" t="s">
        <v>1898</v>
      </c>
      <c r="F951" s="24" t="str">
        <f t="shared" si="56"/>
        <v>PPG - FatHog LIGHTWEIGHT FILLER 500ML</v>
      </c>
      <c r="G951" s="23" t="s">
        <v>5824</v>
      </c>
      <c r="H951" s="25" t="s">
        <v>36</v>
      </c>
      <c r="I951" s="18" t="s">
        <v>37</v>
      </c>
      <c r="J951" s="18" t="s">
        <v>38</v>
      </c>
      <c r="K951" t="s">
        <v>39</v>
      </c>
      <c r="L951" s="26">
        <f>VLOOKUP(A951,'[3]Price info'!A:D,4,FALSE)</f>
        <v>3.94</v>
      </c>
      <c r="M951" s="18" t="s">
        <v>40</v>
      </c>
      <c r="N951" s="20">
        <v>3105</v>
      </c>
      <c r="P951" s="16">
        <f>VLOOKUP(A951,'[3]Price info'!A:H,8,FALSE)</f>
        <v>3.6681400000000002</v>
      </c>
      <c r="Q951" s="27">
        <f t="shared" si="57"/>
        <v>0.93100000000000005</v>
      </c>
      <c r="S951" s="16" t="e">
        <f>VLOOKUP(A951,[4]Sales!$E:$G,3,FALSE)</f>
        <v>#N/A</v>
      </c>
      <c r="T951" s="19" t="e">
        <f>VLOOKUP(A951,[4]Volume!$E:$G,3,FALSE)</f>
        <v>#N/A</v>
      </c>
      <c r="U951" s="19" t="e">
        <f>VLOOKUP(A951,[4]Piece!$E:$G,3,FALSE)</f>
        <v>#N/A</v>
      </c>
      <c r="V951" s="21" t="e">
        <f t="shared" si="58"/>
        <v>#N/A</v>
      </c>
      <c r="W951" s="16" t="e">
        <f t="shared" si="59"/>
        <v>#N/A</v>
      </c>
    </row>
    <row r="952" spans="1:23" hidden="1" x14ac:dyDescent="0.3">
      <c r="A952" s="22" t="s">
        <v>1899</v>
      </c>
      <c r="B952" s="22" t="s">
        <v>1899</v>
      </c>
      <c r="C952" s="23" t="s">
        <v>33</v>
      </c>
      <c r="D952" s="20" t="s">
        <v>34</v>
      </c>
      <c r="E952" s="22" t="s">
        <v>1900</v>
      </c>
      <c r="F952" s="24" t="str">
        <f t="shared" si="56"/>
        <v>PPG - FatHog TROUSERS WHITE 40"</v>
      </c>
      <c r="G952" s="23" t="s">
        <v>5825</v>
      </c>
      <c r="H952" s="25" t="s">
        <v>36</v>
      </c>
      <c r="I952" s="18" t="s">
        <v>37</v>
      </c>
      <c r="J952" s="18" t="s">
        <v>38</v>
      </c>
      <c r="K952" t="s">
        <v>39</v>
      </c>
      <c r="L952" s="26">
        <f>VLOOKUP(A952,'[3]Price info'!A:D,4,FALSE)</f>
        <v>11.96</v>
      </c>
      <c r="M952" s="18" t="s">
        <v>40</v>
      </c>
      <c r="N952" s="20">
        <v>3105</v>
      </c>
      <c r="P952" s="16">
        <f>VLOOKUP(A952,'[3]Price info'!A:H,8,FALSE)</f>
        <v>13.156000000000002</v>
      </c>
      <c r="Q952" s="27">
        <f t="shared" si="57"/>
        <v>1.1000000000000001</v>
      </c>
      <c r="S952" s="16">
        <f>VLOOKUP(A952,[4]Sales!$E:$G,3,FALSE)</f>
        <v>25.12</v>
      </c>
      <c r="T952" s="19">
        <f>VLOOKUP(A952,[4]Volume!$E:$G,3,FALSE)</f>
        <v>2</v>
      </c>
      <c r="U952" s="19">
        <f>VLOOKUP(A952,[4]Piece!$E:$G,3,FALSE)</f>
        <v>2</v>
      </c>
      <c r="V952" s="21">
        <f t="shared" si="58"/>
        <v>26.312000000000005</v>
      </c>
      <c r="W952" s="16">
        <f t="shared" si="59"/>
        <v>1.1920000000000037</v>
      </c>
    </row>
    <row r="953" spans="1:23" hidden="1" x14ac:dyDescent="0.3">
      <c r="A953" s="46" t="s">
        <v>1901</v>
      </c>
      <c r="B953" s="46" t="s">
        <v>1901</v>
      </c>
      <c r="C953" s="47" t="s">
        <v>33</v>
      </c>
      <c r="D953" s="48" t="s">
        <v>34</v>
      </c>
      <c r="E953" s="18" t="s">
        <v>1902</v>
      </c>
      <c r="F953" s="24" t="str">
        <f t="shared" si="56"/>
        <v>PPG - EASY  EASYTEX      10-045     STRAND</v>
      </c>
      <c r="G953" s="20" t="s">
        <v>5826</v>
      </c>
      <c r="H953" s="49" t="s">
        <v>213</v>
      </c>
      <c r="I953" s="18" t="s">
        <v>37</v>
      </c>
      <c r="J953" s="18" t="s">
        <v>38</v>
      </c>
      <c r="K953" t="s">
        <v>39</v>
      </c>
      <c r="L953" s="50">
        <f>VLOOKUP(A953,'[3]Price info'!A:D,4,FALSE)</f>
        <v>5.18</v>
      </c>
      <c r="M953" s="18" t="s">
        <v>214</v>
      </c>
      <c r="N953" s="20">
        <v>3105</v>
      </c>
      <c r="P953" s="16">
        <f>VLOOKUP(A953,'[3]Price info'!A:H,8,FALSE)</f>
        <v>5.18</v>
      </c>
      <c r="Q953" s="17">
        <f t="shared" si="57"/>
        <v>1</v>
      </c>
      <c r="S953" s="16" t="e">
        <f>VLOOKUP(A953,[4]Sales!$E:$G,3,FALSE)</f>
        <v>#N/A</v>
      </c>
      <c r="T953" s="19" t="e">
        <f>VLOOKUP(A953,[4]Volume!$E:$G,3,FALSE)</f>
        <v>#N/A</v>
      </c>
      <c r="U953" s="19" t="e">
        <f>VLOOKUP(A953,[4]Piece!$E:$G,3,FALSE)</f>
        <v>#N/A</v>
      </c>
      <c r="V953" s="21" t="e">
        <f t="shared" si="58"/>
        <v>#N/A</v>
      </c>
      <c r="W953" s="16" t="e">
        <f t="shared" si="59"/>
        <v>#N/A</v>
      </c>
    </row>
    <row r="954" spans="1:23" hidden="1" x14ac:dyDescent="0.3">
      <c r="A954" s="36" t="s">
        <v>1903</v>
      </c>
      <c r="B954" s="36" t="s">
        <v>1903</v>
      </c>
      <c r="C954" s="23" t="s">
        <v>33</v>
      </c>
      <c r="D954" s="20" t="s">
        <v>34</v>
      </c>
      <c r="E954" s="22" t="s">
        <v>1904</v>
      </c>
      <c r="F954" s="24" t="str">
        <f t="shared" si="56"/>
        <v>PPG - Brushmate PACK TRADE 20 S</v>
      </c>
      <c r="G954" s="31" t="s">
        <v>5827</v>
      </c>
      <c r="H954" s="29" t="s">
        <v>36</v>
      </c>
      <c r="I954" s="30" t="s">
        <v>37</v>
      </c>
      <c r="J954" s="30" t="s">
        <v>38</v>
      </c>
      <c r="K954" s="31" t="s">
        <v>39</v>
      </c>
      <c r="L954" s="26">
        <f>VLOOKUP(A954,'[3]Price info'!A:D,4,FALSE)</f>
        <v>10.87</v>
      </c>
      <c r="M954" s="30" t="s">
        <v>40</v>
      </c>
      <c r="N954" s="32">
        <v>3105</v>
      </c>
      <c r="P954" s="16">
        <f>VLOOKUP(A954,'[3]Price info'!A:H,8,FALSE)</f>
        <v>10.11997</v>
      </c>
      <c r="Q954" s="59">
        <f t="shared" si="57"/>
        <v>0.93100000000000005</v>
      </c>
      <c r="R954" s="30"/>
      <c r="S954" s="16">
        <f>VLOOKUP(A954,[4]Sales!$E:$G,3,FALSE)</f>
        <v>20.239999999999998</v>
      </c>
      <c r="T954" s="19">
        <f>VLOOKUP(A954,[4]Volume!$E:$G,3,FALSE)</f>
        <v>2</v>
      </c>
      <c r="U954" s="19">
        <f>VLOOKUP(A954,[4]Piece!$E:$G,3,FALSE)</f>
        <v>2</v>
      </c>
      <c r="V954" s="21">
        <f t="shared" si="58"/>
        <v>20.239940000000001</v>
      </c>
      <c r="W954" s="16">
        <f t="shared" si="59"/>
        <v>-5.9999999997728537E-5</v>
      </c>
    </row>
    <row r="955" spans="1:23" hidden="1" x14ac:dyDescent="0.3">
      <c r="A955" s="22" t="s">
        <v>1905</v>
      </c>
      <c r="B955" s="22" t="s">
        <v>1905</v>
      </c>
      <c r="C955" s="23" t="s">
        <v>33</v>
      </c>
      <c r="D955" s="20" t="s">
        <v>34</v>
      </c>
      <c r="E955" s="22" t="s">
        <v>1906</v>
      </c>
      <c r="F955" s="24" t="str">
        <f t="shared" si="56"/>
        <v>PPG - ProGold AQUA SYNTHETIC BRUSH 3"</v>
      </c>
      <c r="G955" s="23" t="s">
        <v>5828</v>
      </c>
      <c r="H955" s="25" t="s">
        <v>36</v>
      </c>
      <c r="I955" s="18" t="s">
        <v>37</v>
      </c>
      <c r="J955" s="18" t="s">
        <v>38</v>
      </c>
      <c r="K955" t="s">
        <v>39</v>
      </c>
      <c r="L955" s="26">
        <f>VLOOKUP(A955,'[3]Price info'!A:D,4,FALSE)</f>
        <v>5.62</v>
      </c>
      <c r="M955" s="18" t="s">
        <v>40</v>
      </c>
      <c r="N955" s="20">
        <v>3105</v>
      </c>
      <c r="P955" s="16">
        <f>VLOOKUP(A955,'[3]Price info'!A:H,8,FALSE)</f>
        <v>5.2322200000000008</v>
      </c>
      <c r="Q955" s="27">
        <f t="shared" si="57"/>
        <v>0.93100000000000016</v>
      </c>
      <c r="S955" s="16" t="e">
        <f>VLOOKUP(A955,[4]Sales!$E:$G,3,FALSE)</f>
        <v>#N/A</v>
      </c>
      <c r="T955" s="19" t="e">
        <f>VLOOKUP(A955,[4]Volume!$E:$G,3,FALSE)</f>
        <v>#N/A</v>
      </c>
      <c r="U955" s="19" t="e">
        <f>VLOOKUP(A955,[4]Piece!$E:$G,3,FALSE)</f>
        <v>#N/A</v>
      </c>
      <c r="V955" s="21" t="e">
        <f t="shared" si="58"/>
        <v>#N/A</v>
      </c>
      <c r="W955" s="16" t="e">
        <f t="shared" si="59"/>
        <v>#N/A</v>
      </c>
    </row>
    <row r="956" spans="1:23" hidden="1" x14ac:dyDescent="0.3">
      <c r="A956" s="22" t="s">
        <v>1907</v>
      </c>
      <c r="B956" s="22" t="s">
        <v>1907</v>
      </c>
      <c r="C956" s="23" t="s">
        <v>33</v>
      </c>
      <c r="D956" s="20" t="s">
        <v>34</v>
      </c>
      <c r="E956" s="22" t="s">
        <v>1908</v>
      </c>
      <c r="F956" s="24" t="str">
        <f t="shared" si="56"/>
        <v>PPG - ProGold BRUSH CLEANER 2ltr</v>
      </c>
      <c r="G956" s="23" t="s">
        <v>5829</v>
      </c>
      <c r="H956" s="25" t="s">
        <v>36</v>
      </c>
      <c r="I956" s="18" t="s">
        <v>37</v>
      </c>
      <c r="J956" s="18" t="s">
        <v>38</v>
      </c>
      <c r="K956" t="s">
        <v>39</v>
      </c>
      <c r="L956" s="26">
        <f>VLOOKUP(A956,'[3]Price info'!A:D,4,FALSE)</f>
        <v>5.6</v>
      </c>
      <c r="M956" s="18" t="s">
        <v>40</v>
      </c>
      <c r="N956" s="20">
        <v>3105</v>
      </c>
      <c r="P956" s="16">
        <f>VLOOKUP(A956,'[3]Price info'!A:H,8,FALSE)</f>
        <v>5.2135999999999996</v>
      </c>
      <c r="Q956" s="27">
        <f t="shared" si="57"/>
        <v>0.93099999999999994</v>
      </c>
      <c r="S956" s="16">
        <f>VLOOKUP(A956,[4]Sales!$E:$G,3,FALSE)</f>
        <v>5.21</v>
      </c>
      <c r="T956" s="19">
        <f>VLOOKUP(A956,[4]Volume!$E:$G,3,FALSE)</f>
        <v>2</v>
      </c>
      <c r="U956" s="19">
        <f>VLOOKUP(A956,[4]Piece!$E:$G,3,FALSE)</f>
        <v>1</v>
      </c>
      <c r="V956" s="21">
        <f t="shared" si="58"/>
        <v>5.2135999999999996</v>
      </c>
      <c r="W956" s="16">
        <f t="shared" si="59"/>
        <v>3.5999999999996035E-3</v>
      </c>
    </row>
    <row r="957" spans="1:23" hidden="1" x14ac:dyDescent="0.3">
      <c r="A957" s="46" t="s">
        <v>1909</v>
      </c>
      <c r="B957" s="46" t="s">
        <v>1909</v>
      </c>
      <c r="C957" s="51" t="s">
        <v>33</v>
      </c>
      <c r="D957" s="48" t="s">
        <v>34</v>
      </c>
      <c r="E957" s="18" t="s">
        <v>1910</v>
      </c>
      <c r="F957" s="24" t="str">
        <f t="shared" si="56"/>
        <v>PPG - BLKRO DISPOSABLE   OVERSHOES  X5 PAIR</v>
      </c>
      <c r="G957" s="20" t="s">
        <v>5830</v>
      </c>
      <c r="H957" s="49" t="s">
        <v>213</v>
      </c>
      <c r="I957" s="18" t="s">
        <v>37</v>
      </c>
      <c r="J957" s="18" t="s">
        <v>38</v>
      </c>
      <c r="K957" t="s">
        <v>39</v>
      </c>
      <c r="L957" s="50">
        <f>VLOOKUP(A957,'[3]Price info'!A:D,4,FALSE)</f>
        <v>3.87</v>
      </c>
      <c r="M957" s="18" t="s">
        <v>214</v>
      </c>
      <c r="N957" s="20">
        <v>3105</v>
      </c>
      <c r="P957" s="16">
        <f>VLOOKUP(A957,'[3]Price info'!A:H,8,FALSE)</f>
        <v>3.35</v>
      </c>
      <c r="Q957" s="17">
        <f t="shared" si="57"/>
        <v>0.86563307493540054</v>
      </c>
      <c r="S957" s="16">
        <f>VLOOKUP(A957,[4]Sales!$E:$G,3,FALSE)</f>
        <v>0</v>
      </c>
      <c r="T957" s="19">
        <f>VLOOKUP(A957,[4]Volume!$E:$G,3,FALSE)</f>
        <v>0</v>
      </c>
      <c r="U957" s="19">
        <f>VLOOKUP(A957,[4]Piece!$E:$G,3,FALSE)</f>
        <v>0</v>
      </c>
      <c r="V957" s="21">
        <f t="shared" si="58"/>
        <v>0</v>
      </c>
      <c r="W957" s="16">
        <f t="shared" si="59"/>
        <v>0</v>
      </c>
    </row>
    <row r="958" spans="1:23" hidden="1" x14ac:dyDescent="0.3">
      <c r="A958" s="22" t="s">
        <v>1911</v>
      </c>
      <c r="B958" s="22" t="s">
        <v>1911</v>
      </c>
      <c r="C958" s="23" t="s">
        <v>33</v>
      </c>
      <c r="D958" s="20" t="s">
        <v>34</v>
      </c>
      <c r="E958" s="22" t="s">
        <v>1912</v>
      </c>
      <c r="F958" s="24" t="str">
        <f t="shared" si="56"/>
        <v>PPG - Woodworks POLY VARNISH - GLOSS Clear-750ml</v>
      </c>
      <c r="G958" s="23" t="s">
        <v>5831</v>
      </c>
      <c r="H958" s="25" t="s">
        <v>36</v>
      </c>
      <c r="I958" s="18" t="s">
        <v>37</v>
      </c>
      <c r="J958" s="18" t="s">
        <v>38</v>
      </c>
      <c r="K958" t="s">
        <v>39</v>
      </c>
      <c r="L958" s="26">
        <f>VLOOKUP(A958,'[3]Price info'!A:D,4,FALSE)</f>
        <v>5.35</v>
      </c>
      <c r="M958" s="18" t="s">
        <v>40</v>
      </c>
      <c r="N958" s="20">
        <v>3105</v>
      </c>
      <c r="P958" s="16">
        <f>VLOOKUP(A958,'[3]Price info'!A:H,8,FALSE)</f>
        <v>4.9808500000000002</v>
      </c>
      <c r="Q958" s="27">
        <f t="shared" si="57"/>
        <v>0.93100000000000005</v>
      </c>
      <c r="S958" s="16">
        <f>VLOOKUP(A958,[4]Sales!$E:$G,3,FALSE)</f>
        <v>10.7</v>
      </c>
      <c r="T958" s="19">
        <f>VLOOKUP(A958,[4]Volume!$E:$G,3,FALSE)</f>
        <v>1.5</v>
      </c>
      <c r="U958" s="19">
        <f>VLOOKUP(A958,[4]Piece!$E:$G,3,FALSE)</f>
        <v>2</v>
      </c>
      <c r="V958" s="21">
        <f t="shared" si="58"/>
        <v>9.9617000000000004</v>
      </c>
      <c r="W958" s="16">
        <f t="shared" si="59"/>
        <v>-0.73829999999999885</v>
      </c>
    </row>
    <row r="959" spans="1:23" hidden="1" x14ac:dyDescent="0.3">
      <c r="A959" s="22" t="s">
        <v>1913</v>
      </c>
      <c r="B959" s="22" t="s">
        <v>1913</v>
      </c>
      <c r="C959" s="23" t="s">
        <v>33</v>
      </c>
      <c r="D959" s="20" t="s">
        <v>34</v>
      </c>
      <c r="E959" s="22" t="s">
        <v>1914</v>
      </c>
      <c r="F959" s="24" t="str">
        <f t="shared" si="56"/>
        <v>PPG - Johnstones ACRYLIC SATIN - Bril White - 1ltr</v>
      </c>
      <c r="G959" s="23" t="s">
        <v>5832</v>
      </c>
      <c r="H959" s="25" t="s">
        <v>36</v>
      </c>
      <c r="I959" s="18" t="s">
        <v>37</v>
      </c>
      <c r="J959" s="18" t="s">
        <v>38</v>
      </c>
      <c r="K959" t="s">
        <v>39</v>
      </c>
      <c r="L959" s="26">
        <f>VLOOKUP(A959,'[3]Price info'!A:D,4,FALSE)</f>
        <v>10.79</v>
      </c>
      <c r="M959" s="18" t="s">
        <v>40</v>
      </c>
      <c r="N959" s="20">
        <v>3105</v>
      </c>
      <c r="P959" s="16">
        <f>VLOOKUP(A959,'[3]Price info'!A:H,8,FALSE)</f>
        <v>10.045489999999999</v>
      </c>
      <c r="Q959" s="27">
        <f t="shared" si="57"/>
        <v>0.93099999999999994</v>
      </c>
      <c r="S959" s="16">
        <f>VLOOKUP(A959,[4]Sales!$E:$G,3,FALSE)</f>
        <v>20.84</v>
      </c>
      <c r="T959" s="19">
        <f>VLOOKUP(A959,[4]Volume!$E:$G,3,FALSE)</f>
        <v>2</v>
      </c>
      <c r="U959" s="19">
        <f>VLOOKUP(A959,[4]Piece!$E:$G,3,FALSE)</f>
        <v>2</v>
      </c>
      <c r="V959" s="21">
        <f t="shared" si="58"/>
        <v>20.090979999999998</v>
      </c>
      <c r="W959" s="16">
        <f t="shared" si="59"/>
        <v>-0.74902000000000157</v>
      </c>
    </row>
    <row r="960" spans="1:23" hidden="1" x14ac:dyDescent="0.3">
      <c r="A960" s="46" t="s">
        <v>1915</v>
      </c>
      <c r="B960" s="46" t="s">
        <v>1915</v>
      </c>
      <c r="C960" s="47" t="s">
        <v>33</v>
      </c>
      <c r="D960" s="48" t="s">
        <v>34</v>
      </c>
      <c r="E960" s="18" t="s">
        <v>1916</v>
      </c>
      <c r="F960" s="24" t="str">
        <f t="shared" si="56"/>
        <v>PPG - RODO  GRIP GLOVE   LWEIGHT    5401000</v>
      </c>
      <c r="G960" s="20" t="s">
        <v>5833</v>
      </c>
      <c r="H960" s="49" t="s">
        <v>213</v>
      </c>
      <c r="I960" s="18" t="s">
        <v>37</v>
      </c>
      <c r="J960" s="18" t="s">
        <v>38</v>
      </c>
      <c r="K960" t="s">
        <v>39</v>
      </c>
      <c r="L960" s="50">
        <f>VLOOKUP(A960,'[3]Price info'!A:D,4,FALSE)</f>
        <v>1.42</v>
      </c>
      <c r="M960" s="18" t="s">
        <v>214</v>
      </c>
      <c r="N960" s="20">
        <v>3105</v>
      </c>
      <c r="P960" s="16">
        <f>VLOOKUP(A960,'[3]Price info'!A:H,8,FALSE)</f>
        <v>1.32202</v>
      </c>
      <c r="Q960" s="17">
        <f t="shared" si="57"/>
        <v>0.93100000000000005</v>
      </c>
      <c r="S960" s="16">
        <f>VLOOKUP(A960,[4]Sales!$E:$G,3,FALSE)</f>
        <v>111.40000000000003</v>
      </c>
      <c r="T960" s="19">
        <f>VLOOKUP(A960,[4]Volume!$E:$G,3,FALSE)</f>
        <v>80</v>
      </c>
      <c r="U960" s="19">
        <f>VLOOKUP(A960,[4]Piece!$E:$G,3,FALSE)</f>
        <v>80</v>
      </c>
      <c r="V960" s="21">
        <f t="shared" si="58"/>
        <v>105.7616</v>
      </c>
      <c r="W960" s="16">
        <f t="shared" si="59"/>
        <v>-5.6384000000000327</v>
      </c>
    </row>
    <row r="961" spans="1:23" hidden="1" x14ac:dyDescent="0.3">
      <c r="A961" s="46" t="s">
        <v>1917</v>
      </c>
      <c r="B961" s="46" t="s">
        <v>1917</v>
      </c>
      <c r="C961" s="47" t="s">
        <v>33</v>
      </c>
      <c r="D961" s="48" t="s">
        <v>34</v>
      </c>
      <c r="E961" s="18" t="s">
        <v>1918</v>
      </c>
      <c r="F961" s="24" t="str">
        <f t="shared" si="56"/>
        <v>PPG - RODO  ICE 4" 2PK   FUSION SLV ARRE034</v>
      </c>
      <c r="G961" s="20" t="s">
        <v>5834</v>
      </c>
      <c r="H961" s="49" t="s">
        <v>213</v>
      </c>
      <c r="I961" s="18" t="s">
        <v>37</v>
      </c>
      <c r="J961" s="18" t="s">
        <v>38</v>
      </c>
      <c r="K961" t="s">
        <v>39</v>
      </c>
      <c r="L961" s="50">
        <f>VLOOKUP(A961,'[3]Price info'!A:D,4,FALSE)</f>
        <v>3.28</v>
      </c>
      <c r="M961" s="18" t="s">
        <v>214</v>
      </c>
      <c r="N961" s="20">
        <v>3105</v>
      </c>
      <c r="P961" s="16">
        <f>VLOOKUP(A961,'[3]Price info'!A:H,8,FALSE)</f>
        <v>2.79</v>
      </c>
      <c r="Q961" s="17">
        <f t="shared" si="57"/>
        <v>0.85060975609756106</v>
      </c>
      <c r="S961" s="16" t="e">
        <f>VLOOKUP(A961,[4]Sales!$E:$G,3,FALSE)</f>
        <v>#N/A</v>
      </c>
      <c r="T961" s="19" t="e">
        <f>VLOOKUP(A961,[4]Volume!$E:$G,3,FALSE)</f>
        <v>#N/A</v>
      </c>
      <c r="U961" s="19" t="e">
        <f>VLOOKUP(A961,[4]Piece!$E:$G,3,FALSE)</f>
        <v>#N/A</v>
      </c>
      <c r="V961" s="21" t="e">
        <f t="shared" si="58"/>
        <v>#N/A</v>
      </c>
      <c r="W961" s="16" t="e">
        <f t="shared" si="59"/>
        <v>#N/A</v>
      </c>
    </row>
    <row r="962" spans="1:23" hidden="1" x14ac:dyDescent="0.3">
      <c r="A962" s="22" t="s">
        <v>1919</v>
      </c>
      <c r="B962" s="22" t="s">
        <v>1919</v>
      </c>
      <c r="C962" s="23" t="s">
        <v>33</v>
      </c>
      <c r="D962" s="20" t="s">
        <v>34</v>
      </c>
      <c r="E962" s="22" t="s">
        <v>1920</v>
      </c>
      <c r="F962" s="24" t="str">
        <f t="shared" si="56"/>
        <v>PPG - Leyland VINYL MATT - Antique White - 5ltr</v>
      </c>
      <c r="G962" s="23" t="s">
        <v>5835</v>
      </c>
      <c r="H962" s="25" t="s">
        <v>36</v>
      </c>
      <c r="I962" s="18" t="s">
        <v>37</v>
      </c>
      <c r="J962" s="18" t="s">
        <v>38</v>
      </c>
      <c r="K962" t="s">
        <v>39</v>
      </c>
      <c r="L962" s="26">
        <f>VLOOKUP(A962,'[3]Price info'!A:D,4,FALSE)</f>
        <v>10.38</v>
      </c>
      <c r="M962" s="18" t="s">
        <v>40</v>
      </c>
      <c r="N962" s="20">
        <v>3105</v>
      </c>
      <c r="P962" s="16">
        <f>VLOOKUP(A962,'[3]Price info'!A:H,8,FALSE)</f>
        <v>13.494000000000002</v>
      </c>
      <c r="Q962" s="27">
        <f t="shared" si="57"/>
        <v>1.3</v>
      </c>
      <c r="S962" s="16" t="e">
        <f>VLOOKUP(A962,[4]Sales!$E:$G,3,FALSE)</f>
        <v>#N/A</v>
      </c>
      <c r="T962" s="19" t="e">
        <f>VLOOKUP(A962,[4]Volume!$E:$G,3,FALSE)</f>
        <v>#N/A</v>
      </c>
      <c r="U962" s="19" t="e">
        <f>VLOOKUP(A962,[4]Piece!$E:$G,3,FALSE)</f>
        <v>#N/A</v>
      </c>
      <c r="V962" s="21" t="e">
        <f t="shared" si="58"/>
        <v>#N/A</v>
      </c>
      <c r="W962" s="16" t="e">
        <f t="shared" si="59"/>
        <v>#N/A</v>
      </c>
    </row>
    <row r="963" spans="1:23" hidden="1" x14ac:dyDescent="0.3">
      <c r="A963" s="46" t="s">
        <v>1921</v>
      </c>
      <c r="B963" s="46" t="s">
        <v>1921</v>
      </c>
      <c r="C963" s="51" t="s">
        <v>33</v>
      </c>
      <c r="D963" s="48" t="s">
        <v>34</v>
      </c>
      <c r="E963" s="18" t="s">
        <v>1922</v>
      </c>
      <c r="F963" s="24" t="str">
        <f t="shared" ref="F963:F1026" si="60">D963&amp;" - "&amp;E963</f>
        <v>PPG - RODO  LOW TACK     MASK TAPE  PREC EDGE</v>
      </c>
      <c r="G963" s="20" t="s">
        <v>5836</v>
      </c>
      <c r="H963" s="49" t="s">
        <v>213</v>
      </c>
      <c r="I963" s="18" t="s">
        <v>37</v>
      </c>
      <c r="J963" s="18" t="s">
        <v>38</v>
      </c>
      <c r="K963" t="s">
        <v>39</v>
      </c>
      <c r="L963" s="50">
        <f>VLOOKUP(A963,'[3]Price info'!A:D,4,FALSE)</f>
        <v>4.05</v>
      </c>
      <c r="M963" s="18" t="s">
        <v>214</v>
      </c>
      <c r="N963" s="20">
        <v>3105</v>
      </c>
      <c r="P963" s="16">
        <f>VLOOKUP(A963,'[3]Price info'!A:H,8,FALSE)</f>
        <v>3.7705500000000001</v>
      </c>
      <c r="Q963" s="17">
        <f t="shared" ref="Q963:Q1026" si="61">P963/L963</f>
        <v>0.93100000000000005</v>
      </c>
      <c r="S963" s="16" t="e">
        <f>VLOOKUP(A963,[4]Sales!$E:$G,3,FALSE)</f>
        <v>#N/A</v>
      </c>
      <c r="T963" s="19" t="e">
        <f>VLOOKUP(A963,[4]Volume!$E:$G,3,FALSE)</f>
        <v>#N/A</v>
      </c>
      <c r="U963" s="19" t="e">
        <f>VLOOKUP(A963,[4]Piece!$E:$G,3,FALSE)</f>
        <v>#N/A</v>
      </c>
      <c r="V963" s="21" t="e">
        <f t="shared" ref="V963:V1026" si="62">U963*P963</f>
        <v>#N/A</v>
      </c>
      <c r="W963" s="16" t="e">
        <f t="shared" ref="W963:W1026" si="63">V963-S963</f>
        <v>#N/A</v>
      </c>
    </row>
    <row r="964" spans="1:23" hidden="1" x14ac:dyDescent="0.3">
      <c r="A964" s="46" t="s">
        <v>1923</v>
      </c>
      <c r="B964" s="46" t="s">
        <v>1923</v>
      </c>
      <c r="C964" s="47" t="s">
        <v>33</v>
      </c>
      <c r="D964" s="48" t="s">
        <v>34</v>
      </c>
      <c r="E964" s="18" t="s">
        <v>1924</v>
      </c>
      <c r="F964" s="24" t="str">
        <f t="shared" si="60"/>
        <v>PPG - PGOLD GP SILICONE  WHITE      0000000300</v>
      </c>
      <c r="G964" s="20" t="s">
        <v>5837</v>
      </c>
      <c r="H964" s="49" t="s">
        <v>213</v>
      </c>
      <c r="I964" s="18" t="s">
        <v>37</v>
      </c>
      <c r="J964" s="18" t="s">
        <v>38</v>
      </c>
      <c r="K964" t="s">
        <v>39</v>
      </c>
      <c r="L964" s="50">
        <f>VLOOKUP(A964,'[3]Price info'!A:D,4,FALSE)</f>
        <v>2.34</v>
      </c>
      <c r="M964" s="18" t="s">
        <v>214</v>
      </c>
      <c r="N964" s="20">
        <v>3105</v>
      </c>
      <c r="P964" s="16">
        <f>VLOOKUP(A964,'[3]Price info'!A:H,8,FALSE)</f>
        <v>3.2759999999999998</v>
      </c>
      <c r="Q964" s="17">
        <f t="shared" si="61"/>
        <v>1.4</v>
      </c>
      <c r="S964" s="16">
        <f>VLOOKUP(A964,[4]Sales!$E:$G,3,FALSE)</f>
        <v>43.3</v>
      </c>
      <c r="T964" s="19">
        <f>VLOOKUP(A964,[4]Volume!$E:$G,3,FALSE)</f>
        <v>4.8000000000000007</v>
      </c>
      <c r="U964" s="19">
        <f>VLOOKUP(A964,[4]Piece!$E:$G,3,FALSE)</f>
        <v>16</v>
      </c>
      <c r="V964" s="21">
        <f t="shared" si="62"/>
        <v>52.415999999999997</v>
      </c>
      <c r="W964" s="16">
        <f t="shared" si="63"/>
        <v>9.1159999999999997</v>
      </c>
    </row>
    <row r="965" spans="1:23" hidden="1" x14ac:dyDescent="0.3">
      <c r="A965" s="22" t="s">
        <v>1925</v>
      </c>
      <c r="B965" s="22" t="s">
        <v>1925</v>
      </c>
      <c r="C965" s="23" t="s">
        <v>33</v>
      </c>
      <c r="D965" s="20" t="s">
        <v>34</v>
      </c>
      <c r="E965" s="22" t="s">
        <v>1926</v>
      </c>
      <c r="F965" s="24" t="str">
        <f t="shared" si="60"/>
        <v>PPG - Leyland ACRYLIC PRIM U/COAT - White - 750ml</v>
      </c>
      <c r="G965" s="23" t="s">
        <v>5838</v>
      </c>
      <c r="H965" s="25" t="s">
        <v>36</v>
      </c>
      <c r="I965" s="18" t="s">
        <v>37</v>
      </c>
      <c r="J965" s="18" t="s">
        <v>38</v>
      </c>
      <c r="K965" t="s">
        <v>39</v>
      </c>
      <c r="L965" s="26">
        <f>VLOOKUP(A965,'[3]Price info'!A:D,4,FALSE)</f>
        <v>9.24</v>
      </c>
      <c r="M965" s="18" t="s">
        <v>40</v>
      </c>
      <c r="N965" s="20">
        <v>3105</v>
      </c>
      <c r="P965" s="16">
        <f>VLOOKUP(A965,'[3]Price info'!A:H,8,FALSE)</f>
        <v>8.6024400000000014</v>
      </c>
      <c r="Q965" s="27">
        <f t="shared" si="61"/>
        <v>0.93100000000000016</v>
      </c>
      <c r="S965" s="16" t="e">
        <f>VLOOKUP(A965,[4]Sales!$E:$G,3,FALSE)</f>
        <v>#N/A</v>
      </c>
      <c r="T965" s="19" t="e">
        <f>VLOOKUP(A965,[4]Volume!$E:$G,3,FALSE)</f>
        <v>#N/A</v>
      </c>
      <c r="U965" s="19" t="e">
        <f>VLOOKUP(A965,[4]Piece!$E:$G,3,FALSE)</f>
        <v>#N/A</v>
      </c>
      <c r="V965" s="21" t="e">
        <f t="shared" si="62"/>
        <v>#N/A</v>
      </c>
      <c r="W965" s="16" t="e">
        <f t="shared" si="63"/>
        <v>#N/A</v>
      </c>
    </row>
    <row r="966" spans="1:23" hidden="1" x14ac:dyDescent="0.3">
      <c r="A966" s="22" t="s">
        <v>1927</v>
      </c>
      <c r="B966" s="22" t="s">
        <v>1927</v>
      </c>
      <c r="C966" s="23" t="s">
        <v>33</v>
      </c>
      <c r="D966" s="20" t="s">
        <v>34</v>
      </c>
      <c r="E966" s="22" t="s">
        <v>1928</v>
      </c>
      <c r="F966" s="24" t="str">
        <f t="shared" si="60"/>
        <v>PPG - Johnstones PRO UNDERCOAT - Charcoal - 1ltr</v>
      </c>
      <c r="G966" s="23" t="s">
        <v>5839</v>
      </c>
      <c r="H966" s="25" t="s">
        <v>36</v>
      </c>
      <c r="I966" s="18" t="s">
        <v>37</v>
      </c>
      <c r="J966" s="18" t="s">
        <v>38</v>
      </c>
      <c r="K966" t="s">
        <v>39</v>
      </c>
      <c r="L966" s="26">
        <f>VLOOKUP(A966,'[3]Price info'!A:D,4,FALSE)</f>
        <v>9.52</v>
      </c>
      <c r="M966" s="18" t="s">
        <v>40</v>
      </c>
      <c r="N966" s="20">
        <v>3105</v>
      </c>
      <c r="P966" s="16">
        <f>VLOOKUP(A966,'[3]Price info'!A:H,8,FALSE)</f>
        <v>8.8631200000000003</v>
      </c>
      <c r="Q966" s="27">
        <f t="shared" si="61"/>
        <v>0.93100000000000005</v>
      </c>
      <c r="S966" s="16" t="e">
        <f>VLOOKUP(A966,[4]Sales!$E:$G,3,FALSE)</f>
        <v>#N/A</v>
      </c>
      <c r="T966" s="19" t="e">
        <f>VLOOKUP(A966,[4]Volume!$E:$G,3,FALSE)</f>
        <v>#N/A</v>
      </c>
      <c r="U966" s="19" t="e">
        <f>VLOOKUP(A966,[4]Piece!$E:$G,3,FALSE)</f>
        <v>#N/A</v>
      </c>
      <c r="V966" s="21" t="e">
        <f t="shared" si="62"/>
        <v>#N/A</v>
      </c>
      <c r="W966" s="16" t="e">
        <f t="shared" si="63"/>
        <v>#N/A</v>
      </c>
    </row>
    <row r="967" spans="1:23" hidden="1" x14ac:dyDescent="0.3">
      <c r="A967" s="22" t="s">
        <v>1929</v>
      </c>
      <c r="B967" s="22" t="s">
        <v>1929</v>
      </c>
      <c r="C967" s="23" t="s">
        <v>33</v>
      </c>
      <c r="D967" s="20" t="s">
        <v>34</v>
      </c>
      <c r="E967" s="22" t="s">
        <v>1930</v>
      </c>
      <c r="F967" s="24" t="str">
        <f t="shared" si="60"/>
        <v>PPG - Leyland VINYL MATT - White - 5ltr</v>
      </c>
      <c r="G967" s="23" t="s">
        <v>5840</v>
      </c>
      <c r="H967" s="25" t="s">
        <v>36</v>
      </c>
      <c r="I967" s="18" t="s">
        <v>37</v>
      </c>
      <c r="J967" s="18" t="s">
        <v>38</v>
      </c>
      <c r="K967" t="s">
        <v>39</v>
      </c>
      <c r="L967" s="26">
        <f>VLOOKUP(A967,'[3]Price info'!A:D,4,FALSE)</f>
        <v>9.4600000000000009</v>
      </c>
      <c r="M967" s="18" t="s">
        <v>40</v>
      </c>
      <c r="N967" s="20">
        <v>3105</v>
      </c>
      <c r="P967" s="16">
        <f>VLOOKUP(A967,'[3]Price info'!A:H,8,FALSE)</f>
        <v>8.68</v>
      </c>
      <c r="Q967" s="27">
        <f t="shared" si="61"/>
        <v>0.91754756871035925</v>
      </c>
      <c r="S967" s="16" t="e">
        <f>VLOOKUP(A967,[4]Sales!$E:$G,3,FALSE)</f>
        <v>#N/A</v>
      </c>
      <c r="T967" s="19" t="e">
        <f>VLOOKUP(A967,[4]Volume!$E:$G,3,FALSE)</f>
        <v>#N/A</v>
      </c>
      <c r="U967" s="19" t="e">
        <f>VLOOKUP(A967,[4]Piece!$E:$G,3,FALSE)</f>
        <v>#N/A</v>
      </c>
      <c r="V967" s="21" t="e">
        <f t="shared" si="62"/>
        <v>#N/A</v>
      </c>
      <c r="W967" s="16" t="e">
        <f t="shared" si="63"/>
        <v>#N/A</v>
      </c>
    </row>
    <row r="968" spans="1:23" hidden="1" x14ac:dyDescent="0.3">
      <c r="A968" s="46" t="s">
        <v>1931</v>
      </c>
      <c r="B968" s="46" t="s">
        <v>1931</v>
      </c>
      <c r="C968" s="47" t="s">
        <v>33</v>
      </c>
      <c r="D968" s="48" t="s">
        <v>34</v>
      </c>
      <c r="E968" s="18" t="s">
        <v>1932</v>
      </c>
      <c r="F968" s="24" t="str">
        <f t="shared" si="60"/>
        <v>PPG - EWI   MT PE TARP   TAPE 25MT  STUCCO</v>
      </c>
      <c r="G968" s="20" t="s">
        <v>5841</v>
      </c>
      <c r="H968" s="49" t="s">
        <v>213</v>
      </c>
      <c r="I968" s="18" t="s">
        <v>37</v>
      </c>
      <c r="J968" s="18" t="s">
        <v>38</v>
      </c>
      <c r="K968" t="s">
        <v>39</v>
      </c>
      <c r="L968" s="50">
        <f>VLOOKUP(A968,'[3]Price info'!A:D,4,FALSE)</f>
        <v>2.13</v>
      </c>
      <c r="M968" s="18" t="s">
        <v>214</v>
      </c>
      <c r="N968" s="20">
        <v>3105</v>
      </c>
      <c r="P968" s="16">
        <f>VLOOKUP(A968,'[3]Price info'!A:H,8,FALSE)</f>
        <v>1.81</v>
      </c>
      <c r="Q968" s="17">
        <f t="shared" si="61"/>
        <v>0.84976525821596249</v>
      </c>
      <c r="S968" s="16" t="e">
        <f>VLOOKUP(A968,[4]Sales!$E:$G,3,FALSE)</f>
        <v>#N/A</v>
      </c>
      <c r="T968" s="19" t="e">
        <f>VLOOKUP(A968,[4]Volume!$E:$G,3,FALSE)</f>
        <v>#N/A</v>
      </c>
      <c r="U968" s="19" t="e">
        <f>VLOOKUP(A968,[4]Piece!$E:$G,3,FALSE)</f>
        <v>#N/A</v>
      </c>
      <c r="V968" s="21" t="e">
        <f t="shared" si="62"/>
        <v>#N/A</v>
      </c>
      <c r="W968" s="16" t="e">
        <f t="shared" si="63"/>
        <v>#N/A</v>
      </c>
    </row>
    <row r="969" spans="1:23" hidden="1" x14ac:dyDescent="0.3">
      <c r="A969" s="22" t="s">
        <v>1933</v>
      </c>
      <c r="B969" s="22" t="s">
        <v>1933</v>
      </c>
      <c r="C969" s="23" t="s">
        <v>33</v>
      </c>
      <c r="D969" s="20" t="s">
        <v>34</v>
      </c>
      <c r="E969" s="22" t="s">
        <v>1934</v>
      </c>
      <c r="F969" s="24" t="str">
        <f t="shared" si="60"/>
        <v>PPG - Johnstones QD Woodstain - Medium Oak - 750ml</v>
      </c>
      <c r="G969" s="23" t="s">
        <v>5842</v>
      </c>
      <c r="H969" s="25" t="s">
        <v>36</v>
      </c>
      <c r="I969" s="18" t="s">
        <v>37</v>
      </c>
      <c r="J969" s="18" t="s">
        <v>38</v>
      </c>
      <c r="K969" t="s">
        <v>39</v>
      </c>
      <c r="L969" s="26">
        <f>VLOOKUP(A969,'[3]Price info'!A:D,4,FALSE)</f>
        <v>8.3800000000000008</v>
      </c>
      <c r="M969" s="18" t="s">
        <v>40</v>
      </c>
      <c r="N969" s="20">
        <v>3105</v>
      </c>
      <c r="P969" s="16">
        <f>VLOOKUP(A969,'[3]Price info'!A:H,8,FALSE)</f>
        <v>7.8017800000000008</v>
      </c>
      <c r="Q969" s="27">
        <f t="shared" si="61"/>
        <v>0.93100000000000005</v>
      </c>
      <c r="S969" s="16">
        <f>VLOOKUP(A969,[4]Sales!$E:$G,3,FALSE)</f>
        <v>8.3800000000000008</v>
      </c>
      <c r="T969" s="19">
        <f>VLOOKUP(A969,[4]Volume!$E:$G,3,FALSE)</f>
        <v>0.75</v>
      </c>
      <c r="U969" s="19">
        <f>VLOOKUP(A969,[4]Piece!$E:$G,3,FALSE)</f>
        <v>1</v>
      </c>
      <c r="V969" s="21">
        <f t="shared" si="62"/>
        <v>7.8017800000000008</v>
      </c>
      <c r="W969" s="16">
        <f t="shared" si="63"/>
        <v>-0.57821999999999996</v>
      </c>
    </row>
    <row r="970" spans="1:23" hidden="1" x14ac:dyDescent="0.3">
      <c r="A970" s="46" t="s">
        <v>1935</v>
      </c>
      <c r="B970" s="46" t="s">
        <v>1935</v>
      </c>
      <c r="C970" s="51" t="s">
        <v>33</v>
      </c>
      <c r="D970" s="48" t="s">
        <v>34</v>
      </c>
      <c r="E970" s="18" t="s">
        <v>1936</v>
      </c>
      <c r="F970" s="24" t="str">
        <f t="shared" si="60"/>
        <v>PPG - LL    TESTERPOT    ULTRA DEEP 0000000325</v>
      </c>
      <c r="G970" s="20" t="s">
        <v>5843</v>
      </c>
      <c r="H970" s="49" t="s">
        <v>213</v>
      </c>
      <c r="I970" s="18" t="s">
        <v>37</v>
      </c>
      <c r="J970" s="18" t="s">
        <v>38</v>
      </c>
      <c r="K970" t="s">
        <v>39</v>
      </c>
      <c r="L970" s="50">
        <f>VLOOKUP(A970,'[3]Price info'!A:D,4,FALSE)</f>
        <v>2.81</v>
      </c>
      <c r="M970" s="18" t="s">
        <v>214</v>
      </c>
      <c r="N970" s="20">
        <v>3105</v>
      </c>
      <c r="P970" s="16">
        <f>VLOOKUP(A970,'[3]Price info'!A:H,8,FALSE)</f>
        <v>2.6161100000000004</v>
      </c>
      <c r="Q970" s="17">
        <f t="shared" si="61"/>
        <v>0.93100000000000016</v>
      </c>
      <c r="S970" s="16">
        <f>VLOOKUP(A970,[4]Sales!$E:$G,3,FALSE)</f>
        <v>8.43</v>
      </c>
      <c r="T970" s="19">
        <f>VLOOKUP(A970,[4]Volume!$E:$G,3,FALSE)</f>
        <v>0.97499999999999998</v>
      </c>
      <c r="U970" s="19">
        <f>VLOOKUP(A970,[4]Piece!$E:$G,3,FALSE)</f>
        <v>3</v>
      </c>
      <c r="V970" s="21">
        <f t="shared" si="62"/>
        <v>7.8483300000000007</v>
      </c>
      <c r="W970" s="16">
        <f t="shared" si="63"/>
        <v>-0.58166999999999902</v>
      </c>
    </row>
    <row r="971" spans="1:23" hidden="1" x14ac:dyDescent="0.3">
      <c r="A971" s="22" t="s">
        <v>1937</v>
      </c>
      <c r="B971" s="22" t="s">
        <v>1937</v>
      </c>
      <c r="C971" s="23" t="s">
        <v>33</v>
      </c>
      <c r="D971" s="20" t="s">
        <v>34</v>
      </c>
      <c r="E971" s="22" t="s">
        <v>1938</v>
      </c>
      <c r="F971" s="24" t="str">
        <f t="shared" si="60"/>
        <v>PPG - Johnstones VINYL SOFT SHEEN - Mix - 1ltr</v>
      </c>
      <c r="G971" s="23" t="s">
        <v>5844</v>
      </c>
      <c r="H971" s="25" t="s">
        <v>36</v>
      </c>
      <c r="I971" s="18" t="s">
        <v>37</v>
      </c>
      <c r="J971" s="18" t="s">
        <v>38</v>
      </c>
      <c r="K971" t="s">
        <v>39</v>
      </c>
      <c r="L971" s="26">
        <f>VLOOKUP(A971,'[3]Price info'!A:D,4,FALSE)</f>
        <v>8.36</v>
      </c>
      <c r="M971" s="18" t="s">
        <v>40</v>
      </c>
      <c r="N971" s="20">
        <v>3105</v>
      </c>
      <c r="P971" s="16">
        <f>VLOOKUP(A971,'[3]Price info'!A:H,8,FALSE)</f>
        <v>7.7831599999999996</v>
      </c>
      <c r="Q971" s="27">
        <f t="shared" si="61"/>
        <v>0.93100000000000005</v>
      </c>
      <c r="S971" s="16" t="e">
        <f>VLOOKUP(A971,[4]Sales!$E:$G,3,FALSE)</f>
        <v>#N/A</v>
      </c>
      <c r="T971" s="19" t="e">
        <f>VLOOKUP(A971,[4]Volume!$E:$G,3,FALSE)</f>
        <v>#N/A</v>
      </c>
      <c r="U971" s="19" t="e">
        <f>VLOOKUP(A971,[4]Piece!$E:$G,3,FALSE)</f>
        <v>#N/A</v>
      </c>
      <c r="V971" s="21" t="e">
        <f t="shared" si="62"/>
        <v>#N/A</v>
      </c>
      <c r="W971" s="16" t="e">
        <f t="shared" si="63"/>
        <v>#N/A</v>
      </c>
    </row>
    <row r="972" spans="1:23" hidden="1" x14ac:dyDescent="0.3">
      <c r="A972" s="46" t="s">
        <v>1939</v>
      </c>
      <c r="B972" s="46" t="s">
        <v>1939</v>
      </c>
      <c r="C972" s="47" t="s">
        <v>33</v>
      </c>
      <c r="D972" s="48" t="s">
        <v>34</v>
      </c>
      <c r="E972" s="18" t="s">
        <v>1940</v>
      </c>
      <c r="F972" s="24" t="str">
        <f t="shared" si="60"/>
        <v>PPG - BLKRO COTTON GLOVE PAINTER</v>
      </c>
      <c r="G972" s="20" t="s">
        <v>5845</v>
      </c>
      <c r="H972" s="49" t="s">
        <v>213</v>
      </c>
      <c r="I972" s="18" t="s">
        <v>37</v>
      </c>
      <c r="J972" s="18" t="s">
        <v>38</v>
      </c>
      <c r="K972" t="s">
        <v>39</v>
      </c>
      <c r="L972" s="50">
        <f>VLOOKUP(A972,'[3]Price info'!A:D,4,FALSE)</f>
        <v>0.47</v>
      </c>
      <c r="M972" s="18" t="s">
        <v>214</v>
      </c>
      <c r="N972" s="20">
        <v>3105</v>
      </c>
      <c r="P972" s="16">
        <f>VLOOKUP(A972,'[3]Price info'!A:H,8,FALSE)</f>
        <v>0.58749999999999991</v>
      </c>
      <c r="Q972" s="17">
        <f t="shared" si="61"/>
        <v>1.2499999999999998</v>
      </c>
      <c r="S972" s="16">
        <f>VLOOKUP(A972,[4]Sales!$E:$G,3,FALSE)</f>
        <v>0</v>
      </c>
      <c r="T972" s="19">
        <f>VLOOKUP(A972,[4]Volume!$E:$G,3,FALSE)</f>
        <v>0</v>
      </c>
      <c r="U972" s="19">
        <f>VLOOKUP(A972,[4]Piece!$E:$G,3,FALSE)</f>
        <v>0</v>
      </c>
      <c r="V972" s="21">
        <f t="shared" si="62"/>
        <v>0</v>
      </c>
      <c r="W972" s="16">
        <f t="shared" si="63"/>
        <v>0</v>
      </c>
    </row>
    <row r="973" spans="1:23" hidden="1" x14ac:dyDescent="0.3">
      <c r="A973" s="22" t="s">
        <v>1941</v>
      </c>
      <c r="B973" s="22" t="s">
        <v>1941</v>
      </c>
      <c r="C973" s="23" t="s">
        <v>33</v>
      </c>
      <c r="D973" s="20" t="s">
        <v>34</v>
      </c>
      <c r="E973" s="22" t="s">
        <v>1942</v>
      </c>
      <c r="F973" s="24" t="str">
        <f t="shared" si="60"/>
        <v>PPG - ProGold LONG PILE POLYESTER ROLLER 15"</v>
      </c>
      <c r="G973" s="23" t="s">
        <v>5846</v>
      </c>
      <c r="H973" s="25" t="s">
        <v>36</v>
      </c>
      <c r="I973" s="18" t="s">
        <v>37</v>
      </c>
      <c r="J973" s="18" t="s">
        <v>38</v>
      </c>
      <c r="K973" t="s">
        <v>39</v>
      </c>
      <c r="L973" s="26">
        <f>VLOOKUP(A973,'[3]Price info'!A:D,4,FALSE)</f>
        <v>2.63</v>
      </c>
      <c r="M973" s="18" t="s">
        <v>40</v>
      </c>
      <c r="N973" s="20">
        <v>3105</v>
      </c>
      <c r="P973" s="16">
        <f>VLOOKUP(A973,'[3]Price info'!A:H,8,FALSE)</f>
        <v>2.4485299999999999</v>
      </c>
      <c r="Q973" s="27">
        <f t="shared" si="61"/>
        <v>0.93099999999999994</v>
      </c>
      <c r="S973" s="16">
        <f>VLOOKUP(A973,[4]Sales!$E:$G,3,FALSE)</f>
        <v>17.190000000000001</v>
      </c>
      <c r="T973" s="19">
        <f>VLOOKUP(A973,[4]Volume!$E:$G,3,FALSE)</f>
        <v>7</v>
      </c>
      <c r="U973" s="19">
        <f>VLOOKUP(A973,[4]Piece!$E:$G,3,FALSE)</f>
        <v>7</v>
      </c>
      <c r="V973" s="21">
        <f t="shared" si="62"/>
        <v>17.139710000000001</v>
      </c>
      <c r="W973" s="16">
        <f t="shared" si="63"/>
        <v>-5.029000000000039E-2</v>
      </c>
    </row>
    <row r="974" spans="1:23" hidden="1" x14ac:dyDescent="0.3">
      <c r="A974" s="22" t="s">
        <v>1943</v>
      </c>
      <c r="B974" s="22" t="s">
        <v>1943</v>
      </c>
      <c r="C974" s="23" t="s">
        <v>33</v>
      </c>
      <c r="D974" s="20" t="s">
        <v>34</v>
      </c>
      <c r="E974" s="22" t="s">
        <v>1944</v>
      </c>
      <c r="F974" s="24" t="str">
        <f t="shared" si="60"/>
        <v>PPG - Leyland VINYL MATT - Black - 2.5ltr</v>
      </c>
      <c r="G974" s="23" t="s">
        <v>5847</v>
      </c>
      <c r="H974" s="25" t="s">
        <v>36</v>
      </c>
      <c r="I974" s="18" t="s">
        <v>37</v>
      </c>
      <c r="J974" s="18" t="s">
        <v>38</v>
      </c>
      <c r="K974" t="s">
        <v>39</v>
      </c>
      <c r="L974" s="26">
        <f>VLOOKUP(A974,'[3]Price info'!A:D,4,FALSE)</f>
        <v>7.41</v>
      </c>
      <c r="M974" s="18" t="s">
        <v>40</v>
      </c>
      <c r="N974" s="20">
        <v>3105</v>
      </c>
      <c r="P974" s="16">
        <f>VLOOKUP(A974,'[3]Price info'!A:H,8,FALSE)</f>
        <v>5.91</v>
      </c>
      <c r="Q974" s="27">
        <f t="shared" si="61"/>
        <v>0.79757085020242913</v>
      </c>
      <c r="S974" s="16" t="e">
        <f>VLOOKUP(A974,[4]Sales!$E:$G,3,FALSE)</f>
        <v>#N/A</v>
      </c>
      <c r="T974" s="19">
        <f>VLOOKUP(A974,[4]Volume!$E:$G,3,FALSE)</f>
        <v>0</v>
      </c>
      <c r="U974" s="19" t="e">
        <f>VLOOKUP(A974,[4]Piece!$E:$G,3,FALSE)</f>
        <v>#N/A</v>
      </c>
      <c r="V974" s="21" t="e">
        <f t="shared" si="62"/>
        <v>#N/A</v>
      </c>
      <c r="W974" s="16" t="e">
        <f t="shared" si="63"/>
        <v>#N/A</v>
      </c>
    </row>
    <row r="975" spans="1:23" hidden="1" x14ac:dyDescent="0.3">
      <c r="A975" s="22" t="s">
        <v>1945</v>
      </c>
      <c r="B975" s="22" t="s">
        <v>1945</v>
      </c>
      <c r="C975" s="23" t="s">
        <v>33</v>
      </c>
      <c r="D975" s="20" t="s">
        <v>34</v>
      </c>
      <c r="E975" s="22" t="s">
        <v>1946</v>
      </c>
      <c r="F975" s="24" t="str">
        <f t="shared" si="60"/>
        <v>PPG - Leyland VINYL MATT - Brilliant White - 1ltr</v>
      </c>
      <c r="G975" s="23" t="s">
        <v>5848</v>
      </c>
      <c r="H975" s="25" t="s">
        <v>36</v>
      </c>
      <c r="I975" s="18" t="s">
        <v>37</v>
      </c>
      <c r="J975" s="18" t="s">
        <v>38</v>
      </c>
      <c r="K975" t="s">
        <v>39</v>
      </c>
      <c r="L975" s="26">
        <f>VLOOKUP(A975,'[3]Price info'!A:D,4,FALSE)</f>
        <v>7.35</v>
      </c>
      <c r="M975" s="18" t="s">
        <v>40</v>
      </c>
      <c r="N975" s="20">
        <v>3105</v>
      </c>
      <c r="P975" s="16">
        <f>VLOOKUP(A975,'[3]Price info'!A:H,8,FALSE)</f>
        <v>3.91</v>
      </c>
      <c r="Q975" s="27">
        <f t="shared" si="61"/>
        <v>0.53197278911564627</v>
      </c>
      <c r="S975" s="16">
        <f>VLOOKUP(A975,[4]Sales!$E:$G,3,FALSE)</f>
        <v>7.35</v>
      </c>
      <c r="T975" s="19">
        <f>VLOOKUP(A975,[4]Volume!$E:$G,3,FALSE)</f>
        <v>1</v>
      </c>
      <c r="U975" s="19">
        <f>VLOOKUP(A975,[4]Piece!$E:$G,3,FALSE)</f>
        <v>1</v>
      </c>
      <c r="V975" s="21">
        <f t="shared" si="62"/>
        <v>3.91</v>
      </c>
      <c r="W975" s="16">
        <f t="shared" si="63"/>
        <v>-3.4399999999999995</v>
      </c>
    </row>
    <row r="976" spans="1:23" hidden="1" x14ac:dyDescent="0.3">
      <c r="A976" s="53" t="s">
        <v>1947</v>
      </c>
      <c r="B976" s="54" t="s">
        <v>1947</v>
      </c>
      <c r="C976" s="47" t="s">
        <v>33</v>
      </c>
      <c r="D976" s="48" t="s">
        <v>34</v>
      </c>
      <c r="E976" s="22" t="s">
        <v>1948</v>
      </c>
      <c r="F976" s="24" t="str">
        <f t="shared" si="60"/>
        <v>PPG - RODO LOW TACK 50MM - 2" MASKING TAPE</v>
      </c>
      <c r="G976" s="20" t="s">
        <v>5849</v>
      </c>
      <c r="H976" s="25" t="s">
        <v>36</v>
      </c>
      <c r="I976" s="18" t="s">
        <v>37</v>
      </c>
      <c r="J976" s="18" t="s">
        <v>38</v>
      </c>
      <c r="K976" t="s">
        <v>39</v>
      </c>
      <c r="L976" s="26">
        <f>VLOOKUP(A976,'[3]Price info'!A:D,4,FALSE)</f>
        <v>3.8</v>
      </c>
      <c r="M976" s="18" t="s">
        <v>214</v>
      </c>
      <c r="N976" s="20">
        <v>3105</v>
      </c>
      <c r="P976" s="16">
        <f>VLOOKUP(A976,'[3]Price info'!A:H,8,FALSE)</f>
        <v>3.5377999999999998</v>
      </c>
      <c r="Q976" s="27">
        <f t="shared" si="61"/>
        <v>0.93100000000000005</v>
      </c>
      <c r="S976" s="16">
        <f>VLOOKUP(A976,[4]Sales!$E:$G,3,FALSE)</f>
        <v>21.24</v>
      </c>
      <c r="T976" s="19">
        <f>VLOOKUP(A976,[4]Volume!$E:$G,3,FALSE)</f>
        <v>6</v>
      </c>
      <c r="U976" s="19">
        <f>VLOOKUP(A976,[4]Piece!$E:$G,3,FALSE)</f>
        <v>6</v>
      </c>
      <c r="V976" s="21">
        <f t="shared" si="62"/>
        <v>21.226799999999997</v>
      </c>
      <c r="W976" s="16">
        <f t="shared" si="63"/>
        <v>-1.3200000000001211E-2</v>
      </c>
    </row>
    <row r="977" spans="1:23" hidden="1" x14ac:dyDescent="0.3">
      <c r="A977" s="22" t="s">
        <v>1949</v>
      </c>
      <c r="B977" s="22" t="s">
        <v>1949</v>
      </c>
      <c r="C977" s="23" t="s">
        <v>33</v>
      </c>
      <c r="D977" s="20" t="s">
        <v>34</v>
      </c>
      <c r="E977" s="22" t="s">
        <v>1950</v>
      </c>
      <c r="F977" s="24" t="str">
        <f t="shared" si="60"/>
        <v>PPG - Leyland VINYL MATT - Magnolia - 2.5ltr</v>
      </c>
      <c r="G977" s="23" t="s">
        <v>5850</v>
      </c>
      <c r="H977" s="25" t="s">
        <v>36</v>
      </c>
      <c r="I977" s="18" t="s">
        <v>37</v>
      </c>
      <c r="J977" s="18" t="s">
        <v>38</v>
      </c>
      <c r="K977" t="s">
        <v>39</v>
      </c>
      <c r="L977" s="26">
        <f>VLOOKUP(A977,'[3]Price info'!A:D,4,FALSE)</f>
        <v>7.41</v>
      </c>
      <c r="M977" s="18" t="s">
        <v>40</v>
      </c>
      <c r="N977" s="20">
        <v>3105</v>
      </c>
      <c r="P977" s="16">
        <f>VLOOKUP(A977,'[3]Price info'!A:H,8,FALSE)</f>
        <v>5.21</v>
      </c>
      <c r="Q977" s="27">
        <f t="shared" si="61"/>
        <v>0.70310391363022939</v>
      </c>
      <c r="S977" s="16" t="e">
        <f>VLOOKUP(A977,[4]Sales!$E:$G,3,FALSE)</f>
        <v>#N/A</v>
      </c>
      <c r="T977" s="19" t="e">
        <f>VLOOKUP(A977,[4]Volume!$E:$G,3,FALSE)</f>
        <v>#N/A</v>
      </c>
      <c r="U977" s="19" t="e">
        <f>VLOOKUP(A977,[4]Piece!$E:$G,3,FALSE)</f>
        <v>#N/A</v>
      </c>
      <c r="V977" s="21" t="e">
        <f t="shared" si="62"/>
        <v>#N/A</v>
      </c>
      <c r="W977" s="16" t="e">
        <f t="shared" si="63"/>
        <v>#N/A</v>
      </c>
    </row>
    <row r="978" spans="1:23" hidden="1" x14ac:dyDescent="0.3">
      <c r="A978" s="22" t="s">
        <v>1951</v>
      </c>
      <c r="B978" s="22" t="s">
        <v>1951</v>
      </c>
      <c r="C978" s="23" t="s">
        <v>33</v>
      </c>
      <c r="D978" s="20" t="s">
        <v>34</v>
      </c>
      <c r="E978" s="22" t="s">
        <v>1952</v>
      </c>
      <c r="F978" s="24" t="str">
        <f t="shared" si="60"/>
        <v>PPG - Leyland GLOSS - Black - 750ml</v>
      </c>
      <c r="G978" s="23" t="s">
        <v>5851</v>
      </c>
      <c r="H978" s="25" t="s">
        <v>36</v>
      </c>
      <c r="I978" s="18" t="s">
        <v>37</v>
      </c>
      <c r="J978" s="18" t="s">
        <v>38</v>
      </c>
      <c r="K978" t="s">
        <v>39</v>
      </c>
      <c r="L978" s="26">
        <f>VLOOKUP(A978,'[3]Price info'!A:D,4,FALSE)</f>
        <v>6.79</v>
      </c>
      <c r="M978" s="18" t="s">
        <v>40</v>
      </c>
      <c r="N978" s="20">
        <v>3105</v>
      </c>
      <c r="P978" s="16">
        <f>VLOOKUP(A978,'[3]Price info'!A:H,8,FALSE)</f>
        <v>6.3214900000000007</v>
      </c>
      <c r="Q978" s="27">
        <f t="shared" si="61"/>
        <v>0.93100000000000005</v>
      </c>
      <c r="S978" s="16">
        <f>VLOOKUP(A978,[4]Sales!$E:$G,3,FALSE)</f>
        <v>6.32</v>
      </c>
      <c r="T978" s="19">
        <f>VLOOKUP(A978,[4]Volume!$E:$G,3,FALSE)</f>
        <v>0.75</v>
      </c>
      <c r="U978" s="19">
        <f>VLOOKUP(A978,[4]Piece!$E:$G,3,FALSE)</f>
        <v>1</v>
      </c>
      <c r="V978" s="21">
        <f t="shared" si="62"/>
        <v>6.3214900000000007</v>
      </c>
      <c r="W978" s="16">
        <f t="shared" si="63"/>
        <v>1.4900000000004354E-3</v>
      </c>
    </row>
    <row r="979" spans="1:23" hidden="1" x14ac:dyDescent="0.3">
      <c r="A979" s="46" t="s">
        <v>1953</v>
      </c>
      <c r="B979" s="46" t="s">
        <v>1953</v>
      </c>
      <c r="C979" s="47" t="s">
        <v>33</v>
      </c>
      <c r="D979" s="48" t="s">
        <v>34</v>
      </c>
      <c r="E979" s="18" t="s">
        <v>1954</v>
      </c>
      <c r="F979" s="24" t="str">
        <f t="shared" si="60"/>
        <v>PPG - RODO  SANDING      BLOCK      (SANDING)</v>
      </c>
      <c r="G979" s="20" t="s">
        <v>5852</v>
      </c>
      <c r="H979" s="49" t="s">
        <v>213</v>
      </c>
      <c r="I979" s="18" t="s">
        <v>37</v>
      </c>
      <c r="J979" s="18" t="s">
        <v>38</v>
      </c>
      <c r="K979" t="s">
        <v>39</v>
      </c>
      <c r="L979" s="50">
        <f>VLOOKUP(A979,'[3]Price info'!A:D,4,FALSE)</f>
        <v>6.42</v>
      </c>
      <c r="M979" s="18" t="s">
        <v>214</v>
      </c>
      <c r="N979" s="20">
        <v>3105</v>
      </c>
      <c r="P979" s="16">
        <f>VLOOKUP(A979,'[3]Price info'!A:H,8,FALSE)</f>
        <v>5.9770200000000004</v>
      </c>
      <c r="Q979" s="17">
        <f t="shared" si="61"/>
        <v>0.93100000000000005</v>
      </c>
      <c r="S979" s="16">
        <f>VLOOKUP(A979,[4]Sales!$E:$G,3,FALSE)</f>
        <v>12.84</v>
      </c>
      <c r="T979" s="19">
        <f>VLOOKUP(A979,[4]Volume!$E:$G,3,FALSE)</f>
        <v>2</v>
      </c>
      <c r="U979" s="19">
        <f>VLOOKUP(A979,[4]Piece!$E:$G,3,FALSE)</f>
        <v>2</v>
      </c>
      <c r="V979" s="21">
        <f t="shared" si="62"/>
        <v>11.954040000000001</v>
      </c>
      <c r="W979" s="16">
        <f t="shared" si="63"/>
        <v>-0.88595999999999897</v>
      </c>
    </row>
    <row r="980" spans="1:23" hidden="1" x14ac:dyDescent="0.3">
      <c r="A980" s="22" t="s">
        <v>1955</v>
      </c>
      <c r="B980" s="22" t="s">
        <v>1955</v>
      </c>
      <c r="C980" s="23" t="s">
        <v>33</v>
      </c>
      <c r="D980" s="20" t="s">
        <v>34</v>
      </c>
      <c r="E980" s="22" t="s">
        <v>1956</v>
      </c>
      <c r="F980" s="24" t="str">
        <f t="shared" si="60"/>
        <v>PPG - Leyland GLOSS - Brilliant White - 750ml</v>
      </c>
      <c r="G980" s="23" t="s">
        <v>5853</v>
      </c>
      <c r="H980" s="25" t="s">
        <v>36</v>
      </c>
      <c r="I980" s="18" t="s">
        <v>37</v>
      </c>
      <c r="J980" s="18" t="s">
        <v>38</v>
      </c>
      <c r="K980" t="s">
        <v>39</v>
      </c>
      <c r="L980" s="26">
        <f>VLOOKUP(A980,'[3]Price info'!A:D,4,FALSE)</f>
        <v>6.79</v>
      </c>
      <c r="M980" s="18" t="s">
        <v>40</v>
      </c>
      <c r="N980" s="20">
        <v>3105</v>
      </c>
      <c r="P980" s="16">
        <f>VLOOKUP(A980,'[3]Price info'!A:H,8,FALSE)</f>
        <v>6.3214900000000007</v>
      </c>
      <c r="Q980" s="27">
        <f t="shared" si="61"/>
        <v>0.93100000000000005</v>
      </c>
      <c r="S980" s="16">
        <f>VLOOKUP(A980,[4]Sales!$E:$G,3,FALSE)</f>
        <v>6.32</v>
      </c>
      <c r="T980" s="19">
        <f>VLOOKUP(A980,[4]Volume!$E:$G,3,FALSE)</f>
        <v>0.75</v>
      </c>
      <c r="U980" s="19">
        <f>VLOOKUP(A980,[4]Piece!$E:$G,3,FALSE)</f>
        <v>1</v>
      </c>
      <c r="V980" s="21">
        <f t="shared" si="62"/>
        <v>6.3214900000000007</v>
      </c>
      <c r="W980" s="16">
        <f t="shared" si="63"/>
        <v>1.4900000000004354E-3</v>
      </c>
    </row>
    <row r="981" spans="1:23" hidden="1" x14ac:dyDescent="0.3">
      <c r="A981" s="46" t="s">
        <v>1957</v>
      </c>
      <c r="B981" s="46" t="s">
        <v>1957</v>
      </c>
      <c r="C981" s="51" t="s">
        <v>33</v>
      </c>
      <c r="D981" s="48" t="s">
        <v>34</v>
      </c>
      <c r="E981" s="18" t="s">
        <v>1958</v>
      </c>
      <c r="F981" s="24" t="str">
        <f t="shared" si="60"/>
        <v>PPG - RODO  WALL BRUSH   4 INCH</v>
      </c>
      <c r="G981" s="20" t="s">
        <v>5854</v>
      </c>
      <c r="H981" s="49" t="s">
        <v>213</v>
      </c>
      <c r="I981" s="18" t="s">
        <v>37</v>
      </c>
      <c r="J981" s="18" t="s">
        <v>38</v>
      </c>
      <c r="K981" t="s">
        <v>39</v>
      </c>
      <c r="L981" s="50">
        <f>VLOOKUP(A981,'[3]Price info'!A:D,4,FALSE)</f>
        <v>6.51</v>
      </c>
      <c r="M981" s="18" t="s">
        <v>214</v>
      </c>
      <c r="N981" s="20">
        <v>3105</v>
      </c>
      <c r="P981" s="16">
        <f>VLOOKUP(A981,'[3]Price info'!A:H,8,FALSE)</f>
        <v>6.06081</v>
      </c>
      <c r="Q981" s="17">
        <f t="shared" si="61"/>
        <v>0.93100000000000005</v>
      </c>
      <c r="S981" s="16" t="e">
        <f>VLOOKUP(A981,[4]Sales!$E:$G,3,FALSE)</f>
        <v>#N/A</v>
      </c>
      <c r="T981" s="19" t="e">
        <f>VLOOKUP(A981,[4]Volume!$E:$G,3,FALSE)</f>
        <v>#N/A</v>
      </c>
      <c r="U981" s="19" t="e">
        <f>VLOOKUP(A981,[4]Piece!$E:$G,3,FALSE)</f>
        <v>#N/A</v>
      </c>
      <c r="V981" s="21" t="e">
        <f t="shared" si="62"/>
        <v>#N/A</v>
      </c>
      <c r="W981" s="16" t="e">
        <f t="shared" si="63"/>
        <v>#N/A</v>
      </c>
    </row>
    <row r="982" spans="1:23" hidden="1" x14ac:dyDescent="0.3">
      <c r="A982" s="22" t="s">
        <v>1959</v>
      </c>
      <c r="B982" s="22" t="s">
        <v>1959</v>
      </c>
      <c r="C982" s="23" t="s">
        <v>33</v>
      </c>
      <c r="D982" s="20" t="s">
        <v>34</v>
      </c>
      <c r="E982" s="22" t="s">
        <v>1960</v>
      </c>
      <c r="F982" s="24" t="str">
        <f t="shared" si="60"/>
        <v>PPG - Mangers AP W/PAPER ADH 30ROLL</v>
      </c>
      <c r="G982" s="23" t="s">
        <v>5855</v>
      </c>
      <c r="H982" s="25" t="s">
        <v>36</v>
      </c>
      <c r="I982" s="18" t="s">
        <v>37</v>
      </c>
      <c r="J982" s="18" t="s">
        <v>38</v>
      </c>
      <c r="K982" t="s">
        <v>39</v>
      </c>
      <c r="L982" s="26">
        <f>VLOOKUP(A982,'[3]Price info'!A:D,4,FALSE)</f>
        <v>5.94</v>
      </c>
      <c r="M982" s="18" t="s">
        <v>40</v>
      </c>
      <c r="N982" s="20">
        <v>3105</v>
      </c>
      <c r="P982" s="16">
        <f>VLOOKUP(A982,'[3]Price info'!A:H,8,FALSE)</f>
        <v>5.5301400000000003</v>
      </c>
      <c r="Q982" s="27">
        <f t="shared" si="61"/>
        <v>0.93099999999999994</v>
      </c>
      <c r="S982" s="16" t="e">
        <f>VLOOKUP(A982,[4]Sales!$E:$G,3,FALSE)</f>
        <v>#N/A</v>
      </c>
      <c r="T982" s="19" t="e">
        <f>VLOOKUP(A982,[4]Volume!$E:$G,3,FALSE)</f>
        <v>#N/A</v>
      </c>
      <c r="U982" s="19" t="e">
        <f>VLOOKUP(A982,[4]Piece!$E:$G,3,FALSE)</f>
        <v>#N/A</v>
      </c>
      <c r="V982" s="21" t="e">
        <f t="shared" si="62"/>
        <v>#N/A</v>
      </c>
      <c r="W982" s="16" t="e">
        <f t="shared" si="63"/>
        <v>#N/A</v>
      </c>
    </row>
    <row r="983" spans="1:23" hidden="1" x14ac:dyDescent="0.3">
      <c r="A983" s="22" t="s">
        <v>1961</v>
      </c>
      <c r="B983" s="22" t="s">
        <v>1961</v>
      </c>
      <c r="C983" s="23" t="s">
        <v>33</v>
      </c>
      <c r="D983" s="20" t="s">
        <v>34</v>
      </c>
      <c r="E983" s="22" t="s">
        <v>1962</v>
      </c>
      <c r="F983" s="24" t="str">
        <f t="shared" si="60"/>
        <v>PPG - ProGold AQUA OVAL SYNTHETIC BRUSH 2"</v>
      </c>
      <c r="G983" s="23" t="s">
        <v>5856</v>
      </c>
      <c r="H983" s="25" t="s">
        <v>36</v>
      </c>
      <c r="I983" s="18" t="s">
        <v>37</v>
      </c>
      <c r="J983" s="18" t="s">
        <v>38</v>
      </c>
      <c r="K983" t="s">
        <v>39</v>
      </c>
      <c r="L983" s="26">
        <f>VLOOKUP(A983,'[3]Price info'!A:D,4,FALSE)</f>
        <v>6.2</v>
      </c>
      <c r="M983" s="18" t="s">
        <v>40</v>
      </c>
      <c r="N983" s="20">
        <v>3105</v>
      </c>
      <c r="P983" s="16">
        <f>VLOOKUP(A983,'[3]Price info'!A:H,8,FALSE)</f>
        <v>5.7722000000000007</v>
      </c>
      <c r="Q983" s="27">
        <f t="shared" si="61"/>
        <v>0.93100000000000005</v>
      </c>
      <c r="S983" s="16" t="e">
        <f>VLOOKUP(A983,[4]Sales!$E:$G,3,FALSE)</f>
        <v>#N/A</v>
      </c>
      <c r="T983" s="19" t="e">
        <f>VLOOKUP(A983,[4]Volume!$E:$G,3,FALSE)</f>
        <v>#N/A</v>
      </c>
      <c r="U983" s="19" t="e">
        <f>VLOOKUP(A983,[4]Piece!$E:$G,3,FALSE)</f>
        <v>#N/A</v>
      </c>
      <c r="V983" s="21" t="e">
        <f t="shared" si="62"/>
        <v>#N/A</v>
      </c>
      <c r="W983" s="16" t="e">
        <f t="shared" si="63"/>
        <v>#N/A</v>
      </c>
    </row>
    <row r="984" spans="1:23" hidden="1" x14ac:dyDescent="0.3">
      <c r="A984" s="22" t="s">
        <v>1963</v>
      </c>
      <c r="B984" s="22" t="s">
        <v>1963</v>
      </c>
      <c r="C984" s="23" t="s">
        <v>33</v>
      </c>
      <c r="D984" s="20" t="s">
        <v>34</v>
      </c>
      <c r="E984" s="22" t="s">
        <v>1964</v>
      </c>
      <c r="F984" s="24" t="str">
        <f t="shared" si="60"/>
        <v>PPG - Johnstones PRO GLOSS - Black - 500ml</v>
      </c>
      <c r="G984" s="23" t="s">
        <v>5857</v>
      </c>
      <c r="H984" s="25" t="s">
        <v>36</v>
      </c>
      <c r="I984" s="18" t="s">
        <v>37</v>
      </c>
      <c r="J984" s="18" t="s">
        <v>38</v>
      </c>
      <c r="K984" t="s">
        <v>39</v>
      </c>
      <c r="L984" s="26">
        <f>VLOOKUP(A984,'[3]Price info'!A:D,4,FALSE)</f>
        <v>5.72</v>
      </c>
      <c r="M984" s="18" t="s">
        <v>40</v>
      </c>
      <c r="N984" s="20">
        <v>3105</v>
      </c>
      <c r="P984" s="16">
        <f>VLOOKUP(A984,'[3]Price info'!A:H,8,FALSE)</f>
        <v>5.3253199999999996</v>
      </c>
      <c r="Q984" s="27">
        <f t="shared" si="61"/>
        <v>0.93099999999999994</v>
      </c>
      <c r="S984" s="16">
        <f>VLOOKUP(A984,[4]Sales!$E:$G,3,FALSE)</f>
        <v>0</v>
      </c>
      <c r="T984" s="19">
        <f>VLOOKUP(A984,[4]Volume!$E:$G,3,FALSE)</f>
        <v>0</v>
      </c>
      <c r="U984" s="19">
        <f>VLOOKUP(A984,[4]Piece!$E:$G,3,FALSE)</f>
        <v>0</v>
      </c>
      <c r="V984" s="21">
        <f t="shared" si="62"/>
        <v>0</v>
      </c>
      <c r="W984" s="16">
        <f t="shared" si="63"/>
        <v>0</v>
      </c>
    </row>
    <row r="985" spans="1:23" hidden="1" x14ac:dyDescent="0.3">
      <c r="A985" s="22" t="s">
        <v>1965</v>
      </c>
      <c r="B985" s="22" t="s">
        <v>1965</v>
      </c>
      <c r="C985" s="23" t="s">
        <v>33</v>
      </c>
      <c r="D985" s="20" t="s">
        <v>34</v>
      </c>
      <c r="E985" s="22" t="s">
        <v>1966</v>
      </c>
      <c r="F985" s="24" t="str">
        <f t="shared" si="60"/>
        <v>PPG - ProGold AQUA OVAL SYNTHETIC BRUSH 1.5"</v>
      </c>
      <c r="G985" s="23" t="s">
        <v>5858</v>
      </c>
      <c r="H985" s="25" t="s">
        <v>36</v>
      </c>
      <c r="I985" s="18" t="s">
        <v>37</v>
      </c>
      <c r="J985" s="18" t="s">
        <v>38</v>
      </c>
      <c r="K985" t="s">
        <v>39</v>
      </c>
      <c r="L985" s="26">
        <f>VLOOKUP(A985,'[3]Price info'!A:D,4,FALSE)</f>
        <v>5.46</v>
      </c>
      <c r="M985" s="18" t="s">
        <v>40</v>
      </c>
      <c r="N985" s="20">
        <v>3105</v>
      </c>
      <c r="P985" s="16">
        <f>VLOOKUP(A985,'[3]Price info'!A:H,8,FALSE)</f>
        <v>5.0832600000000001</v>
      </c>
      <c r="Q985" s="27">
        <f t="shared" si="61"/>
        <v>0.93100000000000005</v>
      </c>
      <c r="S985" s="16">
        <f>VLOOKUP(A985,[4]Sales!$E:$G,3,FALSE)</f>
        <v>20.799999999999997</v>
      </c>
      <c r="T985" s="19">
        <f>VLOOKUP(A985,[4]Volume!$E:$G,3,FALSE)</f>
        <v>4</v>
      </c>
      <c r="U985" s="19">
        <f>VLOOKUP(A985,[4]Piece!$E:$G,3,FALSE)</f>
        <v>4</v>
      </c>
      <c r="V985" s="21">
        <f t="shared" si="62"/>
        <v>20.33304</v>
      </c>
      <c r="W985" s="16">
        <f t="shared" si="63"/>
        <v>-0.46695999999999671</v>
      </c>
    </row>
    <row r="986" spans="1:23" hidden="1" x14ac:dyDescent="0.3">
      <c r="A986" s="46" t="s">
        <v>1967</v>
      </c>
      <c r="B986" s="46" t="s">
        <v>1967</v>
      </c>
      <c r="C986" s="47" t="s">
        <v>33</v>
      </c>
      <c r="D986" s="48" t="s">
        <v>34</v>
      </c>
      <c r="E986" s="18" t="s">
        <v>1968</v>
      </c>
      <c r="F986" s="24" t="str">
        <f t="shared" si="60"/>
        <v>PPG - RODO  4" PLASTIC   M.R.TRAY   (MRT)</v>
      </c>
      <c r="G986" s="20" t="s">
        <v>5859</v>
      </c>
      <c r="H986" s="49" t="s">
        <v>213</v>
      </c>
      <c r="I986" s="18" t="s">
        <v>37</v>
      </c>
      <c r="J986" s="18" t="s">
        <v>38</v>
      </c>
      <c r="K986" t="s">
        <v>39</v>
      </c>
      <c r="L986" s="50">
        <f>VLOOKUP(A986,'[3]Price info'!A:D,4,FALSE)</f>
        <v>0.98</v>
      </c>
      <c r="M986" s="18" t="s">
        <v>214</v>
      </c>
      <c r="N986" s="20">
        <v>3105</v>
      </c>
      <c r="P986" s="16">
        <f>VLOOKUP(A986,'[3]Price info'!A:H,8,FALSE)</f>
        <v>0.91238000000000008</v>
      </c>
      <c r="Q986" s="17">
        <f t="shared" si="61"/>
        <v>0.93100000000000005</v>
      </c>
      <c r="S986" s="16">
        <f>VLOOKUP(A986,[4]Sales!$E:$G,3,FALSE)</f>
        <v>1.96</v>
      </c>
      <c r="T986" s="19">
        <f>VLOOKUP(A986,[4]Volume!$E:$G,3,FALSE)</f>
        <v>3</v>
      </c>
      <c r="U986" s="19">
        <f>VLOOKUP(A986,[4]Piece!$E:$G,3,FALSE)</f>
        <v>3</v>
      </c>
      <c r="V986" s="21">
        <f t="shared" si="62"/>
        <v>2.7371400000000001</v>
      </c>
      <c r="W986" s="16">
        <f t="shared" si="63"/>
        <v>0.77714000000000016</v>
      </c>
    </row>
    <row r="987" spans="1:23" hidden="1" x14ac:dyDescent="0.3">
      <c r="A987" s="36" t="s">
        <v>1969</v>
      </c>
      <c r="B987" s="36" t="s">
        <v>1969</v>
      </c>
      <c r="C987" s="23" t="s">
        <v>33</v>
      </c>
      <c r="D987" s="20" t="s">
        <v>34</v>
      </c>
      <c r="E987" s="22" t="s">
        <v>1970</v>
      </c>
      <c r="F987" s="24" t="str">
        <f t="shared" si="60"/>
        <v>PPG - Brushmate VAPOUR MATE</v>
      </c>
      <c r="G987" s="36" t="s">
        <v>5860</v>
      </c>
      <c r="H987" s="25" t="s">
        <v>36</v>
      </c>
      <c r="I987" s="18" t="s">
        <v>37</v>
      </c>
      <c r="J987" s="18" t="s">
        <v>38</v>
      </c>
      <c r="K987" t="s">
        <v>39</v>
      </c>
      <c r="L987" s="26">
        <f>VLOOKUP(A987,'[3]Price info'!A:D,4,FALSE)</f>
        <v>5.0199999999999996</v>
      </c>
      <c r="M987" s="18" t="s">
        <v>40</v>
      </c>
      <c r="N987" s="20">
        <v>3105</v>
      </c>
      <c r="P987" s="16">
        <f>VLOOKUP(A987,'[3]Price info'!A:H,8,FALSE)</f>
        <v>4.6736199999999997</v>
      </c>
      <c r="Q987" s="27">
        <f t="shared" si="61"/>
        <v>0.93100000000000005</v>
      </c>
      <c r="S987" s="16" t="e">
        <f>VLOOKUP(A987,[4]Sales!$E:$G,3,FALSE)</f>
        <v>#N/A</v>
      </c>
      <c r="T987" s="19" t="e">
        <f>VLOOKUP(A987,[4]Volume!$E:$G,3,FALSE)</f>
        <v>#N/A</v>
      </c>
      <c r="U987" s="19" t="e">
        <f>VLOOKUP(A987,[4]Piece!$E:$G,3,FALSE)</f>
        <v>#N/A</v>
      </c>
      <c r="V987" s="21" t="e">
        <f t="shared" si="62"/>
        <v>#N/A</v>
      </c>
      <c r="W987" s="16" t="e">
        <f t="shared" si="63"/>
        <v>#N/A</v>
      </c>
    </row>
    <row r="988" spans="1:23" hidden="1" x14ac:dyDescent="0.3">
      <c r="A988" s="46" t="s">
        <v>1971</v>
      </c>
      <c r="B988" s="46" t="s">
        <v>1971</v>
      </c>
      <c r="C988" s="47" t="s">
        <v>33</v>
      </c>
      <c r="D988" s="48" t="s">
        <v>34</v>
      </c>
      <c r="E988" s="18" t="s">
        <v>1972</v>
      </c>
      <c r="F988" s="24" t="str">
        <f t="shared" si="60"/>
        <v>PPG - BLKRO INDIRECT     GOGGLES</v>
      </c>
      <c r="G988" s="20" t="s">
        <v>5861</v>
      </c>
      <c r="H988" s="49" t="s">
        <v>213</v>
      </c>
      <c r="I988" s="18" t="s">
        <v>37</v>
      </c>
      <c r="J988" s="18" t="s">
        <v>38</v>
      </c>
      <c r="K988" t="s">
        <v>39</v>
      </c>
      <c r="L988" s="50">
        <f>VLOOKUP(A988,'[3]Price info'!A:D,4,FALSE)</f>
        <v>4.2</v>
      </c>
      <c r="M988" s="18" t="s">
        <v>214</v>
      </c>
      <c r="N988" s="20">
        <v>3105</v>
      </c>
      <c r="P988" s="16">
        <f>VLOOKUP(A988,'[3]Price info'!A:H,8,FALSE)</f>
        <v>3.9102000000000006</v>
      </c>
      <c r="Q988" s="17">
        <f t="shared" si="61"/>
        <v>0.93100000000000005</v>
      </c>
      <c r="S988" s="16" t="e">
        <f>VLOOKUP(A988,[4]Sales!$E:$G,3,FALSE)</f>
        <v>#N/A</v>
      </c>
      <c r="T988" s="19" t="e">
        <f>VLOOKUP(A988,[4]Volume!$E:$G,3,FALSE)</f>
        <v>#N/A</v>
      </c>
      <c r="U988" s="19" t="e">
        <f>VLOOKUP(A988,[4]Piece!$E:$G,3,FALSE)</f>
        <v>#N/A</v>
      </c>
      <c r="V988" s="21" t="e">
        <f t="shared" si="62"/>
        <v>#N/A</v>
      </c>
      <c r="W988" s="16" t="e">
        <f t="shared" si="63"/>
        <v>#N/A</v>
      </c>
    </row>
    <row r="989" spans="1:23" hidden="1" x14ac:dyDescent="0.3">
      <c r="A989" s="53" t="s">
        <v>1973</v>
      </c>
      <c r="B989" s="54" t="s">
        <v>1973</v>
      </c>
      <c r="C989" s="47" t="s">
        <v>33</v>
      </c>
      <c r="D989" s="48" t="s">
        <v>34</v>
      </c>
      <c r="E989" s="22" t="s">
        <v>1974</v>
      </c>
      <c r="F989" s="24" t="str">
        <f t="shared" si="60"/>
        <v>PPG - BLACKROCK PU GRIPPER GLOVE BLK</v>
      </c>
      <c r="G989" s="20" t="s">
        <v>5862</v>
      </c>
      <c r="H989" s="25" t="s">
        <v>36</v>
      </c>
      <c r="I989" s="18" t="s">
        <v>37</v>
      </c>
      <c r="J989" s="18" t="s">
        <v>38</v>
      </c>
      <c r="K989" t="s">
        <v>39</v>
      </c>
      <c r="L989" s="26">
        <f>VLOOKUP(A989,'[3]Price info'!A:D,4,FALSE)</f>
        <v>1.28</v>
      </c>
      <c r="M989" s="18" t="s">
        <v>214</v>
      </c>
      <c r="N989" s="20">
        <v>3105</v>
      </c>
      <c r="P989" s="16">
        <f>VLOOKUP(A989,'[3]Price info'!A:H,8,FALSE)</f>
        <v>1.1916800000000001</v>
      </c>
      <c r="Q989" s="27">
        <f t="shared" si="61"/>
        <v>0.93100000000000005</v>
      </c>
      <c r="S989" s="16" t="e">
        <f>VLOOKUP(A989,[4]Sales!$E:$G,3,FALSE)</f>
        <v>#N/A</v>
      </c>
      <c r="T989" s="19" t="e">
        <f>VLOOKUP(A989,[4]Volume!$E:$G,3,FALSE)</f>
        <v>#N/A</v>
      </c>
      <c r="U989" s="19" t="e">
        <f>VLOOKUP(A989,[4]Piece!$E:$G,3,FALSE)</f>
        <v>#N/A</v>
      </c>
      <c r="V989" s="21" t="e">
        <f t="shared" si="62"/>
        <v>#N/A</v>
      </c>
      <c r="W989" s="16" t="e">
        <f t="shared" si="63"/>
        <v>#N/A</v>
      </c>
    </row>
    <row r="990" spans="1:23" hidden="1" x14ac:dyDescent="0.3">
      <c r="A990" s="22" t="s">
        <v>1975</v>
      </c>
      <c r="B990" s="22" t="s">
        <v>1975</v>
      </c>
      <c r="C990" s="23" t="s">
        <v>33</v>
      </c>
      <c r="D990" s="20" t="s">
        <v>34</v>
      </c>
      <c r="E990" s="22" t="s">
        <v>1976</v>
      </c>
      <c r="F990" s="24" t="str">
        <f t="shared" si="60"/>
        <v>PPG - ProGold PREMIUM BRISTLE BRUSH 1"</v>
      </c>
      <c r="G990" s="23" t="s">
        <v>5863</v>
      </c>
      <c r="H990" s="25" t="s">
        <v>36</v>
      </c>
      <c r="I990" s="18" t="s">
        <v>37</v>
      </c>
      <c r="J990" s="18" t="s">
        <v>38</v>
      </c>
      <c r="K990" t="s">
        <v>39</v>
      </c>
      <c r="L990" s="26">
        <f>VLOOKUP(A990,'[3]Price info'!A:D,4,FALSE)</f>
        <v>4.41</v>
      </c>
      <c r="M990" s="18" t="s">
        <v>40</v>
      </c>
      <c r="N990" s="20">
        <v>3105</v>
      </c>
      <c r="P990" s="16">
        <f>VLOOKUP(A990,'[3]Price info'!A:H,8,FALSE)</f>
        <v>4.1057100000000002</v>
      </c>
      <c r="Q990" s="27">
        <f t="shared" si="61"/>
        <v>0.93100000000000005</v>
      </c>
      <c r="S990" s="16">
        <f>VLOOKUP(A990,[4]Sales!$E:$G,3,FALSE)</f>
        <v>8.82</v>
      </c>
      <c r="T990" s="19">
        <f>VLOOKUP(A990,[4]Volume!$E:$G,3,FALSE)</f>
        <v>2</v>
      </c>
      <c r="U990" s="19">
        <f>VLOOKUP(A990,[4]Piece!$E:$G,3,FALSE)</f>
        <v>2</v>
      </c>
      <c r="V990" s="21">
        <f t="shared" si="62"/>
        <v>8.2114200000000004</v>
      </c>
      <c r="W990" s="16">
        <f t="shared" si="63"/>
        <v>-0.6085799999999999</v>
      </c>
    </row>
    <row r="991" spans="1:23" hidden="1" x14ac:dyDescent="0.3">
      <c r="A991" s="22" t="s">
        <v>1977</v>
      </c>
      <c r="B991" s="22" t="s">
        <v>1977</v>
      </c>
      <c r="C991" s="23" t="s">
        <v>33</v>
      </c>
      <c r="D991" s="20" t="s">
        <v>34</v>
      </c>
      <c r="E991" s="22" t="s">
        <v>1978</v>
      </c>
      <c r="F991" s="24" t="str">
        <f t="shared" si="60"/>
        <v>PPG - ProGold BRUSH CLEANER 500ml</v>
      </c>
      <c r="G991" s="23" t="s">
        <v>5864</v>
      </c>
      <c r="H991" s="25" t="s">
        <v>36</v>
      </c>
      <c r="I991" s="18" t="s">
        <v>37</v>
      </c>
      <c r="J991" s="18" t="s">
        <v>38</v>
      </c>
      <c r="K991" t="s">
        <v>39</v>
      </c>
      <c r="L991" s="26">
        <f>VLOOKUP(A991,'[3]Price info'!A:D,4,FALSE)</f>
        <v>3.97</v>
      </c>
      <c r="M991" s="18" t="s">
        <v>40</v>
      </c>
      <c r="N991" s="20">
        <v>3105</v>
      </c>
      <c r="P991" s="16">
        <f>VLOOKUP(A991,'[3]Price info'!A:H,8,FALSE)</f>
        <v>3.6960700000000002</v>
      </c>
      <c r="Q991" s="27">
        <f t="shared" si="61"/>
        <v>0.93100000000000005</v>
      </c>
      <c r="S991" s="16" t="e">
        <f>VLOOKUP(A991,[4]Sales!$E:$G,3,FALSE)</f>
        <v>#N/A</v>
      </c>
      <c r="T991" s="19" t="e">
        <f>VLOOKUP(A991,[4]Volume!$E:$G,3,FALSE)</f>
        <v>#N/A</v>
      </c>
      <c r="U991" s="19" t="e">
        <f>VLOOKUP(A991,[4]Piece!$E:$G,3,FALSE)</f>
        <v>#N/A</v>
      </c>
      <c r="V991" s="21" t="e">
        <f t="shared" si="62"/>
        <v>#N/A</v>
      </c>
      <c r="W991" s="16" t="e">
        <f t="shared" si="63"/>
        <v>#N/A</v>
      </c>
    </row>
    <row r="992" spans="1:23" hidden="1" x14ac:dyDescent="0.3">
      <c r="A992" s="46" t="s">
        <v>1979</v>
      </c>
      <c r="B992" s="46" t="s">
        <v>1979</v>
      </c>
      <c r="C992" s="51" t="s">
        <v>33</v>
      </c>
      <c r="D992" s="48" t="s">
        <v>34</v>
      </c>
      <c r="E992" s="18" t="s">
        <v>1980</v>
      </c>
      <c r="F992" s="24" t="str">
        <f t="shared" si="60"/>
        <v>PPG - RODO  BLADES FOR   CONT PLAST IC MINI SC</v>
      </c>
      <c r="G992" s="20" t="s">
        <v>5865</v>
      </c>
      <c r="H992" s="49" t="s">
        <v>213</v>
      </c>
      <c r="I992" s="18" t="s">
        <v>37</v>
      </c>
      <c r="J992" s="18" t="s">
        <v>38</v>
      </c>
      <c r="K992" t="s">
        <v>39</v>
      </c>
      <c r="L992" s="50">
        <f>VLOOKUP(A992,'[3]Price info'!A:D,4,FALSE)</f>
        <v>1.78</v>
      </c>
      <c r="M992" s="18" t="s">
        <v>214</v>
      </c>
      <c r="N992" s="20">
        <v>3105</v>
      </c>
      <c r="P992" s="16">
        <f>VLOOKUP(A992,'[3]Price info'!A:H,8,FALSE)</f>
        <v>1.6571800000000001</v>
      </c>
      <c r="Q992" s="17">
        <f t="shared" si="61"/>
        <v>0.93100000000000005</v>
      </c>
      <c r="S992" s="16">
        <f>VLOOKUP(A992,[4]Sales!$E:$G,3,FALSE)</f>
        <v>21.08</v>
      </c>
      <c r="T992" s="19">
        <f>VLOOKUP(A992,[4]Volume!$E:$G,3,FALSE)</f>
        <v>12</v>
      </c>
      <c r="U992" s="19">
        <f>VLOOKUP(A992,[4]Piece!$E:$G,3,FALSE)</f>
        <v>12</v>
      </c>
      <c r="V992" s="21">
        <f t="shared" si="62"/>
        <v>19.88616</v>
      </c>
      <c r="W992" s="16">
        <f t="shared" si="63"/>
        <v>-1.193839999999998</v>
      </c>
    </row>
    <row r="993" spans="1:23" hidden="1" x14ac:dyDescent="0.3">
      <c r="A993" s="46" t="s">
        <v>1981</v>
      </c>
      <c r="B993" s="46" t="s">
        <v>1981</v>
      </c>
      <c r="C993" s="47" t="s">
        <v>33</v>
      </c>
      <c r="D993" s="48" t="s">
        <v>34</v>
      </c>
      <c r="E993" s="18" t="s">
        <v>1982</v>
      </c>
      <c r="F993" s="24" t="str">
        <f t="shared" si="60"/>
        <v>PPG - RODO  16" PAINT    STIRRER    (PS16)</v>
      </c>
      <c r="G993" s="20" t="s">
        <v>5866</v>
      </c>
      <c r="H993" s="49" t="s">
        <v>213</v>
      </c>
      <c r="I993" s="18" t="s">
        <v>37</v>
      </c>
      <c r="J993" s="18" t="s">
        <v>38</v>
      </c>
      <c r="K993" t="s">
        <v>39</v>
      </c>
      <c r="L993" s="50">
        <f>VLOOKUP(A993,'[3]Price info'!A:D,4,FALSE)</f>
        <v>1.83</v>
      </c>
      <c r="M993" s="18" t="s">
        <v>214</v>
      </c>
      <c r="N993" s="20">
        <v>3105</v>
      </c>
      <c r="P993" s="16">
        <f>VLOOKUP(A993,'[3]Price info'!A:H,8,FALSE)</f>
        <v>2.0130000000000003</v>
      </c>
      <c r="Q993" s="17">
        <f t="shared" si="61"/>
        <v>1.1000000000000001</v>
      </c>
      <c r="S993" s="16">
        <f>VLOOKUP(A993,[4]Sales!$E:$G,3,FALSE)</f>
        <v>1.83</v>
      </c>
      <c r="T993" s="19">
        <f>VLOOKUP(A993,[4]Volume!$E:$G,3,FALSE)</f>
        <v>1</v>
      </c>
      <c r="U993" s="19">
        <f>VLOOKUP(A993,[4]Piece!$E:$G,3,FALSE)</f>
        <v>1</v>
      </c>
      <c r="V993" s="21">
        <f t="shared" si="62"/>
        <v>2.0130000000000003</v>
      </c>
      <c r="W993" s="16">
        <f t="shared" si="63"/>
        <v>0.18300000000000027</v>
      </c>
    </row>
    <row r="994" spans="1:23" hidden="1" x14ac:dyDescent="0.3">
      <c r="A994" s="46" t="s">
        <v>1983</v>
      </c>
      <c r="B994" s="46" t="s">
        <v>1983</v>
      </c>
      <c r="C994" s="47" t="s">
        <v>33</v>
      </c>
      <c r="D994" s="48" t="s">
        <v>34</v>
      </c>
      <c r="E994" s="18" t="s">
        <v>1984</v>
      </c>
      <c r="F994" s="24" t="str">
        <f t="shared" si="60"/>
        <v>PPG - RODO  4" SCRAPER   BLACK HAND (FFJPS4)</v>
      </c>
      <c r="G994" s="20" t="s">
        <v>5867</v>
      </c>
      <c r="H994" s="49" t="s">
        <v>213</v>
      </c>
      <c r="I994" s="18" t="s">
        <v>37</v>
      </c>
      <c r="J994" s="18" t="s">
        <v>38</v>
      </c>
      <c r="K994" t="s">
        <v>39</v>
      </c>
      <c r="L994" s="50">
        <f>VLOOKUP(A994,'[3]Price info'!A:D,4,FALSE)</f>
        <v>3.22</v>
      </c>
      <c r="M994" s="18" t="s">
        <v>214</v>
      </c>
      <c r="N994" s="20">
        <v>3105</v>
      </c>
      <c r="P994" s="16">
        <f>VLOOKUP(A994,'[3]Price info'!A:H,8,FALSE)</f>
        <v>2.9978200000000004</v>
      </c>
      <c r="Q994" s="17">
        <f t="shared" si="61"/>
        <v>0.93100000000000005</v>
      </c>
      <c r="S994" s="16">
        <f>VLOOKUP(A994,[4]Sales!$E:$G,3,FALSE)</f>
        <v>0</v>
      </c>
      <c r="T994" s="19">
        <f>VLOOKUP(A994,[4]Volume!$E:$G,3,FALSE)</f>
        <v>0</v>
      </c>
      <c r="U994" s="19">
        <f>VLOOKUP(A994,[4]Piece!$E:$G,3,FALSE)</f>
        <v>0</v>
      </c>
      <c r="V994" s="21">
        <f t="shared" si="62"/>
        <v>0</v>
      </c>
      <c r="W994" s="16">
        <f t="shared" si="63"/>
        <v>0</v>
      </c>
    </row>
    <row r="995" spans="1:23" hidden="1" x14ac:dyDescent="0.3">
      <c r="A995" s="22" t="s">
        <v>1985</v>
      </c>
      <c r="B995" s="22" t="s">
        <v>1985</v>
      </c>
      <c r="C995" s="23" t="s">
        <v>33</v>
      </c>
      <c r="D995" s="20" t="s">
        <v>34</v>
      </c>
      <c r="E995" s="22" t="s">
        <v>1986</v>
      </c>
      <c r="F995" s="24" t="str">
        <f t="shared" si="60"/>
        <v>PPG - Mangers TURPS SUB 750ML</v>
      </c>
      <c r="G995" s="23" t="s">
        <v>5868</v>
      </c>
      <c r="H995" s="25" t="s">
        <v>36</v>
      </c>
      <c r="I995" s="18" t="s">
        <v>37</v>
      </c>
      <c r="J995" s="18" t="s">
        <v>38</v>
      </c>
      <c r="K995" t="s">
        <v>39</v>
      </c>
      <c r="L995" s="26">
        <f>VLOOKUP(A995,'[3]Price info'!A:D,4,FALSE)</f>
        <v>2.96</v>
      </c>
      <c r="M995" s="18" t="s">
        <v>40</v>
      </c>
      <c r="N995" s="20">
        <v>3105</v>
      </c>
      <c r="P995" s="16">
        <f>VLOOKUP(A995,'[3]Price info'!A:H,8,FALSE)</f>
        <v>2.75576</v>
      </c>
      <c r="Q995" s="27">
        <f t="shared" si="61"/>
        <v>0.93100000000000005</v>
      </c>
      <c r="S995" s="16">
        <f>VLOOKUP(A995,[4]Sales!$E:$G,3,FALSE)</f>
        <v>2.96</v>
      </c>
      <c r="T995" s="19">
        <f>VLOOKUP(A995,[4]Volume!$E:$G,3,FALSE)</f>
        <v>0.75</v>
      </c>
      <c r="U995" s="19">
        <f>VLOOKUP(A995,[4]Piece!$E:$G,3,FALSE)</f>
        <v>1</v>
      </c>
      <c r="V995" s="21">
        <f t="shared" si="62"/>
        <v>2.75576</v>
      </c>
      <c r="W995" s="16">
        <f t="shared" si="63"/>
        <v>-0.20423999999999998</v>
      </c>
    </row>
    <row r="996" spans="1:23" hidden="1" x14ac:dyDescent="0.3">
      <c r="A996" s="46" t="s">
        <v>1987</v>
      </c>
      <c r="B996" s="46" t="s">
        <v>1987</v>
      </c>
      <c r="C996" s="51" t="s">
        <v>33</v>
      </c>
      <c r="D996" s="48" t="s">
        <v>34</v>
      </c>
      <c r="E996" s="18" t="s">
        <v>1988</v>
      </c>
      <c r="F996" s="24" t="str">
        <f t="shared" si="60"/>
        <v>PPG - RODO  STEEL WOOL   MIX RETAIL</v>
      </c>
      <c r="G996" s="20" t="s">
        <v>5869</v>
      </c>
      <c r="H996" s="49" t="s">
        <v>213</v>
      </c>
      <c r="I996" s="18" t="s">
        <v>37</v>
      </c>
      <c r="J996" s="18" t="s">
        <v>38</v>
      </c>
      <c r="K996" t="s">
        <v>39</v>
      </c>
      <c r="L996" s="50">
        <f>VLOOKUP(A996,'[3]Price info'!A:D,4,FALSE)</f>
        <v>1.98</v>
      </c>
      <c r="M996" s="18" t="s">
        <v>214</v>
      </c>
      <c r="N996" s="20">
        <v>3105</v>
      </c>
      <c r="P996" s="16">
        <f>VLOOKUP(A996,'[3]Price info'!A:H,8,FALSE)</f>
        <v>1.84338</v>
      </c>
      <c r="Q996" s="17">
        <f t="shared" si="61"/>
        <v>0.93100000000000005</v>
      </c>
      <c r="S996" s="16">
        <f>VLOOKUP(A996,[4]Sales!$E:$G,3,FALSE)</f>
        <v>6.99</v>
      </c>
      <c r="T996" s="19">
        <f>VLOOKUP(A996,[4]Volume!$E:$G,3,FALSE)</f>
        <v>3</v>
      </c>
      <c r="U996" s="19">
        <f>VLOOKUP(A996,[4]Piece!$E:$G,3,FALSE)</f>
        <v>3</v>
      </c>
      <c r="V996" s="21">
        <f t="shared" si="62"/>
        <v>5.5301400000000003</v>
      </c>
      <c r="W996" s="16">
        <f t="shared" si="63"/>
        <v>-1.4598599999999999</v>
      </c>
    </row>
    <row r="997" spans="1:23" hidden="1" x14ac:dyDescent="0.3">
      <c r="A997" s="46" t="s">
        <v>1989</v>
      </c>
      <c r="B997" s="46" t="s">
        <v>1989</v>
      </c>
      <c r="C997" s="47" t="s">
        <v>33</v>
      </c>
      <c r="D997" s="48" t="s">
        <v>34</v>
      </c>
      <c r="E997" s="18" t="s">
        <v>1990</v>
      </c>
      <c r="F997" s="24" t="str">
        <f t="shared" si="60"/>
        <v>PPG - JDONE JOB DONE     BRUSH 1"</v>
      </c>
      <c r="G997" s="20" t="s">
        <v>5870</v>
      </c>
      <c r="H997" s="49" t="s">
        <v>213</v>
      </c>
      <c r="I997" s="18" t="s">
        <v>37</v>
      </c>
      <c r="J997" s="18" t="s">
        <v>38</v>
      </c>
      <c r="K997" t="s">
        <v>39</v>
      </c>
      <c r="L997" s="50">
        <f>VLOOKUP(A997,'[3]Price info'!A:D,4,FALSE)</f>
        <v>2.25</v>
      </c>
      <c r="M997" s="18" t="s">
        <v>214</v>
      </c>
      <c r="N997" s="20">
        <v>3105</v>
      </c>
      <c r="P997" s="16">
        <f>VLOOKUP(A997,'[3]Price info'!A:H,8,FALSE)</f>
        <v>2.0947500000000003</v>
      </c>
      <c r="Q997" s="17">
        <f t="shared" si="61"/>
        <v>0.93100000000000016</v>
      </c>
      <c r="S997" s="16">
        <f>VLOOKUP(A997,[4]Sales!$E:$G,3,FALSE)</f>
        <v>9</v>
      </c>
      <c r="T997" s="19">
        <f>VLOOKUP(A997,[4]Volume!$E:$G,3,FALSE)</f>
        <v>4</v>
      </c>
      <c r="U997" s="19">
        <f>VLOOKUP(A997,[4]Piece!$E:$G,3,FALSE)</f>
        <v>4</v>
      </c>
      <c r="V997" s="21">
        <f t="shared" si="62"/>
        <v>8.3790000000000013</v>
      </c>
      <c r="W997" s="16">
        <f t="shared" si="63"/>
        <v>-0.62099999999999866</v>
      </c>
    </row>
    <row r="998" spans="1:23" hidden="1" x14ac:dyDescent="0.3">
      <c r="A998" s="46" t="s">
        <v>1991</v>
      </c>
      <c r="B998" s="46" t="s">
        <v>1991</v>
      </c>
      <c r="C998" s="47" t="s">
        <v>33</v>
      </c>
      <c r="D998" s="48" t="s">
        <v>34</v>
      </c>
      <c r="E998" s="18" t="s">
        <v>1992</v>
      </c>
      <c r="F998" s="24" t="str">
        <f t="shared" si="60"/>
        <v>PPG - EASYL LINING PAPER 1200 SINGL</v>
      </c>
      <c r="G998" s="20" t="s">
        <v>5871</v>
      </c>
      <c r="H998" s="49" t="s">
        <v>213</v>
      </c>
      <c r="I998" s="18" t="s">
        <v>37</v>
      </c>
      <c r="J998" s="18" t="s">
        <v>38</v>
      </c>
      <c r="K998" t="s">
        <v>39</v>
      </c>
      <c r="L998" s="50">
        <f>VLOOKUP(A998,'[3]Price info'!A:D,4,FALSE)</f>
        <v>1.53</v>
      </c>
      <c r="M998" s="18" t="s">
        <v>214</v>
      </c>
      <c r="N998" s="20">
        <v>3105</v>
      </c>
      <c r="P998" s="16">
        <f>VLOOKUP(A998,'[3]Price info'!A:H,8,FALSE)</f>
        <v>1.8359999999999999</v>
      </c>
      <c r="Q998" s="17">
        <f t="shared" si="61"/>
        <v>1.2</v>
      </c>
      <c r="S998" s="16" t="e">
        <f>VLOOKUP(A998,[4]Sales!$E:$G,3,FALSE)</f>
        <v>#N/A</v>
      </c>
      <c r="T998" s="19" t="e">
        <f>VLOOKUP(A998,[4]Volume!$E:$G,3,FALSE)</f>
        <v>#N/A</v>
      </c>
      <c r="U998" s="19" t="e">
        <f>VLOOKUP(A998,[4]Piece!$E:$G,3,FALSE)</f>
        <v>#N/A</v>
      </c>
      <c r="V998" s="21" t="e">
        <f t="shared" si="62"/>
        <v>#N/A</v>
      </c>
      <c r="W998" s="16" t="e">
        <f t="shared" si="63"/>
        <v>#N/A</v>
      </c>
    </row>
    <row r="999" spans="1:23" hidden="1" x14ac:dyDescent="0.3">
      <c r="A999" s="36" t="s">
        <v>1993</v>
      </c>
      <c r="B999" s="36" t="s">
        <v>1993</v>
      </c>
      <c r="C999" s="23" t="s">
        <v>33</v>
      </c>
      <c r="D999" s="20" t="s">
        <v>34</v>
      </c>
      <c r="E999" s="22" t="s">
        <v>1994</v>
      </c>
      <c r="F999" s="24" t="str">
        <f t="shared" si="60"/>
        <v>PPG - PURDY POWERLOCK    1-2 FT     EXT POLE</v>
      </c>
      <c r="G999" s="36" t="s">
        <v>5872</v>
      </c>
      <c r="H999" s="25" t="s">
        <v>36</v>
      </c>
      <c r="I999" s="18" t="s">
        <v>37</v>
      </c>
      <c r="J999" s="18" t="s">
        <v>38</v>
      </c>
      <c r="K999" t="s">
        <v>39</v>
      </c>
      <c r="L999" s="26">
        <f>VLOOKUP(A999,'[3]Price info'!A:D,4,FALSE)</f>
        <v>19.66</v>
      </c>
      <c r="M999" s="18" t="s">
        <v>40</v>
      </c>
      <c r="N999" s="20">
        <v>3105</v>
      </c>
      <c r="P999" s="16">
        <f>VLOOKUP(A999,'[3]Price info'!A:H,8,FALSE)</f>
        <v>18.303460000000001</v>
      </c>
      <c r="Q999" s="27">
        <f t="shared" si="61"/>
        <v>0.93100000000000005</v>
      </c>
      <c r="S999" s="16" t="e">
        <f>VLOOKUP(A999,[4]Sales!$E:$G,3,FALSE)</f>
        <v>#N/A</v>
      </c>
      <c r="T999" s="19" t="e">
        <f>VLOOKUP(A999,[4]Volume!$E:$G,3,FALSE)</f>
        <v>#N/A</v>
      </c>
      <c r="U999" s="19" t="e">
        <f>VLOOKUP(A999,[4]Piece!$E:$G,3,FALSE)</f>
        <v>#N/A</v>
      </c>
      <c r="V999" s="21" t="e">
        <f t="shared" si="62"/>
        <v>#N/A</v>
      </c>
      <c r="W999" s="16" t="e">
        <f t="shared" si="63"/>
        <v>#N/A</v>
      </c>
    </row>
    <row r="1000" spans="1:23" hidden="1" x14ac:dyDescent="0.3">
      <c r="A1000" s="22" t="s">
        <v>1995</v>
      </c>
      <c r="B1000" s="22" t="s">
        <v>1995</v>
      </c>
      <c r="C1000" s="23" t="s">
        <v>33</v>
      </c>
      <c r="D1000" s="20" t="s">
        <v>34</v>
      </c>
      <c r="E1000" s="22" t="s">
        <v>1996</v>
      </c>
      <c r="F1000" s="24" t="str">
        <f t="shared" si="60"/>
        <v>PPG - Stormshield JONTEX HI BUILD MSRY - BW - 10l</v>
      </c>
      <c r="G1000" s="23" t="s">
        <v>5873</v>
      </c>
      <c r="H1000" s="25" t="s">
        <v>36</v>
      </c>
      <c r="I1000" s="18" t="s">
        <v>37</v>
      </c>
      <c r="J1000" s="18" t="s">
        <v>38</v>
      </c>
      <c r="K1000" t="s">
        <v>39</v>
      </c>
      <c r="L1000" s="26">
        <f>VLOOKUP(A1000,'[3]Price info'!A:D,4,FALSE)</f>
        <v>45.33</v>
      </c>
      <c r="M1000" s="18" t="s">
        <v>40</v>
      </c>
      <c r="N1000" s="20">
        <v>3105</v>
      </c>
      <c r="P1000" s="16">
        <f>VLOOKUP(A1000,'[3]Price info'!A:H,8,FALSE)</f>
        <v>45.33</v>
      </c>
      <c r="Q1000" s="33">
        <f t="shared" si="61"/>
        <v>1</v>
      </c>
      <c r="S1000" s="16">
        <f>VLOOKUP(A1000,[4]Sales!$E:$G,3,FALSE)</f>
        <v>45.33</v>
      </c>
      <c r="T1000" s="19">
        <f>VLOOKUP(A1000,[4]Volume!$E:$G,3,FALSE)</f>
        <v>10</v>
      </c>
      <c r="U1000" s="19">
        <f>VLOOKUP(A1000,[4]Piece!$E:$G,3,FALSE)</f>
        <v>1</v>
      </c>
      <c r="V1000" s="21">
        <f t="shared" si="62"/>
        <v>45.33</v>
      </c>
      <c r="W1000" s="16">
        <f t="shared" si="63"/>
        <v>0</v>
      </c>
    </row>
    <row r="1001" spans="1:23" hidden="1" x14ac:dyDescent="0.3">
      <c r="A1001" s="22" t="s">
        <v>1997</v>
      </c>
      <c r="B1001" s="22" t="s">
        <v>1997</v>
      </c>
      <c r="C1001" s="23" t="s">
        <v>33</v>
      </c>
      <c r="D1001" s="20" t="s">
        <v>34</v>
      </c>
      <c r="E1001" s="22" t="s">
        <v>1998</v>
      </c>
      <c r="F1001" s="24" t="str">
        <f t="shared" si="60"/>
        <v>PPG - Leyland ACRYLIC EGGSHELL - BW - 750ml</v>
      </c>
      <c r="G1001" s="23" t="s">
        <v>5874</v>
      </c>
      <c r="H1001" s="25" t="s">
        <v>36</v>
      </c>
      <c r="I1001" s="18" t="s">
        <v>37</v>
      </c>
      <c r="J1001" s="18" t="s">
        <v>38</v>
      </c>
      <c r="K1001" t="s">
        <v>39</v>
      </c>
      <c r="L1001" s="26">
        <f>VLOOKUP(A1001,'[3]Price info'!A:D,4,FALSE)</f>
        <v>10.81</v>
      </c>
      <c r="M1001" s="18" t="s">
        <v>40</v>
      </c>
      <c r="N1001" s="20">
        <v>3105</v>
      </c>
      <c r="P1001" s="16">
        <f>VLOOKUP(A1001,'[3]Price info'!A:H,8,FALSE)</f>
        <v>10.81</v>
      </c>
      <c r="Q1001" s="33">
        <f t="shared" si="61"/>
        <v>1</v>
      </c>
      <c r="S1001" s="16" t="e">
        <f>VLOOKUP(A1001,[4]Sales!$E:$G,3,FALSE)</f>
        <v>#N/A</v>
      </c>
      <c r="T1001" s="19" t="e">
        <f>VLOOKUP(A1001,[4]Volume!$E:$G,3,FALSE)</f>
        <v>#N/A</v>
      </c>
      <c r="U1001" s="19" t="e">
        <f>VLOOKUP(A1001,[4]Piece!$E:$G,3,FALSE)</f>
        <v>#N/A</v>
      </c>
      <c r="V1001" s="21" t="e">
        <f t="shared" si="62"/>
        <v>#N/A</v>
      </c>
      <c r="W1001" s="16" t="e">
        <f t="shared" si="63"/>
        <v>#N/A</v>
      </c>
    </row>
    <row r="1002" spans="1:23" hidden="1" x14ac:dyDescent="0.3">
      <c r="A1002" s="22" t="s">
        <v>1999</v>
      </c>
      <c r="B1002" s="22" t="s">
        <v>1999</v>
      </c>
      <c r="C1002" s="23" t="s">
        <v>33</v>
      </c>
      <c r="D1002" s="20" t="s">
        <v>34</v>
      </c>
      <c r="E1002" s="22" t="s">
        <v>2000</v>
      </c>
      <c r="F1002" s="24" t="str">
        <f t="shared" si="60"/>
        <v>PPG - Leyland ALKALI RESISTING PRIMER -  - 2.5ltr</v>
      </c>
      <c r="G1002" s="23" t="s">
        <v>5875</v>
      </c>
      <c r="H1002" s="25" t="s">
        <v>36</v>
      </c>
      <c r="I1002" s="18" t="s">
        <v>37</v>
      </c>
      <c r="J1002" s="18" t="s">
        <v>38</v>
      </c>
      <c r="K1002" t="s">
        <v>39</v>
      </c>
      <c r="L1002" s="26">
        <f>VLOOKUP(A1002,'[3]Price info'!A:D,4,FALSE)</f>
        <v>23.55</v>
      </c>
      <c r="M1002" s="18" t="s">
        <v>40</v>
      </c>
      <c r="N1002" s="20">
        <v>3105</v>
      </c>
      <c r="P1002" s="16">
        <f>VLOOKUP(A1002,'[3]Price info'!A:H,8,FALSE)</f>
        <v>23.55</v>
      </c>
      <c r="Q1002" s="33">
        <f t="shared" si="61"/>
        <v>1</v>
      </c>
      <c r="S1002" s="16" t="e">
        <f>VLOOKUP(A1002,[4]Sales!$E:$G,3,FALSE)</f>
        <v>#N/A</v>
      </c>
      <c r="T1002" s="19" t="e">
        <f>VLOOKUP(A1002,[4]Volume!$E:$G,3,FALSE)</f>
        <v>#N/A</v>
      </c>
      <c r="U1002" s="19" t="e">
        <f>VLOOKUP(A1002,[4]Piece!$E:$G,3,FALSE)</f>
        <v>#N/A</v>
      </c>
      <c r="V1002" s="21" t="e">
        <f t="shared" si="62"/>
        <v>#N/A</v>
      </c>
      <c r="W1002" s="16" t="e">
        <f t="shared" si="63"/>
        <v>#N/A</v>
      </c>
    </row>
    <row r="1003" spans="1:23" hidden="1" x14ac:dyDescent="0.3">
      <c r="A1003" s="22" t="s">
        <v>2001</v>
      </c>
      <c r="B1003" s="22" t="s">
        <v>2001</v>
      </c>
      <c r="C1003" s="23" t="s">
        <v>33</v>
      </c>
      <c r="D1003" s="20" t="s">
        <v>34</v>
      </c>
      <c r="E1003" s="22" t="s">
        <v>2002</v>
      </c>
      <c r="F1003" s="24" t="str">
        <f t="shared" si="60"/>
        <v>PPG - Leyland ALL PURPOSE PRIMER -  - 2.5ltr</v>
      </c>
      <c r="G1003" s="23" t="s">
        <v>5876</v>
      </c>
      <c r="H1003" s="25" t="s">
        <v>36</v>
      </c>
      <c r="I1003" s="18" t="s">
        <v>37</v>
      </c>
      <c r="J1003" s="18" t="s">
        <v>38</v>
      </c>
      <c r="K1003" t="s">
        <v>39</v>
      </c>
      <c r="L1003" s="26">
        <f>VLOOKUP(A1003,'[3]Price info'!A:D,4,FALSE)</f>
        <v>23.55</v>
      </c>
      <c r="M1003" s="18" t="s">
        <v>40</v>
      </c>
      <c r="N1003" s="20">
        <v>3105</v>
      </c>
      <c r="P1003" s="16">
        <f>VLOOKUP(A1003,'[3]Price info'!A:H,8,FALSE)</f>
        <v>23.55</v>
      </c>
      <c r="Q1003" s="33">
        <f t="shared" si="61"/>
        <v>1</v>
      </c>
      <c r="S1003" s="16" t="e">
        <f>VLOOKUP(A1003,[4]Sales!$E:$G,3,FALSE)</f>
        <v>#N/A</v>
      </c>
      <c r="T1003" s="19" t="e">
        <f>VLOOKUP(A1003,[4]Volume!$E:$G,3,FALSE)</f>
        <v>#N/A</v>
      </c>
      <c r="U1003" s="19" t="e">
        <f>VLOOKUP(A1003,[4]Piece!$E:$G,3,FALSE)</f>
        <v>#N/A</v>
      </c>
      <c r="V1003" s="21" t="e">
        <f t="shared" si="62"/>
        <v>#N/A</v>
      </c>
      <c r="W1003" s="16" t="e">
        <f t="shared" si="63"/>
        <v>#N/A</v>
      </c>
    </row>
    <row r="1004" spans="1:23" hidden="1" x14ac:dyDescent="0.3">
      <c r="A1004" s="22" t="s">
        <v>2003</v>
      </c>
      <c r="B1004" s="22" t="s">
        <v>2003</v>
      </c>
      <c r="C1004" s="23" t="s">
        <v>33</v>
      </c>
      <c r="D1004" s="20" t="s">
        <v>34</v>
      </c>
      <c r="E1004" s="22" t="s">
        <v>2004</v>
      </c>
      <c r="F1004" s="24" t="str">
        <f t="shared" si="60"/>
        <v>PPG - Leyland CONTRACT MATT - Magnolia - 15ltr</v>
      </c>
      <c r="G1004" s="23" t="s">
        <v>5877</v>
      </c>
      <c r="H1004" s="25" t="s">
        <v>36</v>
      </c>
      <c r="I1004" s="18" t="s">
        <v>37</v>
      </c>
      <c r="J1004" s="18" t="s">
        <v>38</v>
      </c>
      <c r="K1004" t="s">
        <v>39</v>
      </c>
      <c r="L1004" s="26">
        <f>VLOOKUP(A1004,'[3]Price info'!A:D,4,FALSE)</f>
        <v>39.36</v>
      </c>
      <c r="M1004" s="18" t="s">
        <v>40</v>
      </c>
      <c r="N1004" s="20">
        <v>3105</v>
      </c>
      <c r="P1004" s="16">
        <f>VLOOKUP(A1004,'[3]Price info'!A:H,8,FALSE)</f>
        <v>39.36</v>
      </c>
      <c r="Q1004" s="33">
        <f t="shared" si="61"/>
        <v>1</v>
      </c>
      <c r="S1004" s="16" t="e">
        <f>VLOOKUP(A1004,[4]Sales!$E:$G,3,FALSE)</f>
        <v>#N/A</v>
      </c>
      <c r="T1004" s="19" t="e">
        <f>VLOOKUP(A1004,[4]Volume!$E:$G,3,FALSE)</f>
        <v>#N/A</v>
      </c>
      <c r="U1004" s="19" t="e">
        <f>VLOOKUP(A1004,[4]Piece!$E:$G,3,FALSE)</f>
        <v>#N/A</v>
      </c>
      <c r="V1004" s="21" t="e">
        <f t="shared" si="62"/>
        <v>#N/A</v>
      </c>
      <c r="W1004" s="16" t="e">
        <f t="shared" si="63"/>
        <v>#N/A</v>
      </c>
    </row>
    <row r="1005" spans="1:23" hidden="1" x14ac:dyDescent="0.3">
      <c r="A1005" s="22" t="s">
        <v>2005</v>
      </c>
      <c r="B1005" s="22" t="s">
        <v>2005</v>
      </c>
      <c r="C1005" s="23" t="s">
        <v>33</v>
      </c>
      <c r="D1005" s="20" t="s">
        <v>34</v>
      </c>
      <c r="E1005" s="22" t="s">
        <v>2006</v>
      </c>
      <c r="F1005" s="24" t="str">
        <f t="shared" si="60"/>
        <v>PPG - Leyland CONTRACT PRIMER - BW - 5ltr</v>
      </c>
      <c r="G1005" s="23" t="s">
        <v>5878</v>
      </c>
      <c r="H1005" s="25" t="s">
        <v>36</v>
      </c>
      <c r="I1005" s="18" t="s">
        <v>37</v>
      </c>
      <c r="J1005" s="18" t="s">
        <v>38</v>
      </c>
      <c r="K1005" t="s">
        <v>39</v>
      </c>
      <c r="L1005" s="26">
        <f>VLOOKUP(A1005,'[3]Price info'!A:D,4,FALSE)</f>
        <v>23.96</v>
      </c>
      <c r="M1005" s="18" t="s">
        <v>40</v>
      </c>
      <c r="N1005" s="20">
        <v>3105</v>
      </c>
      <c r="P1005" s="16">
        <f>VLOOKUP(A1005,'[3]Price info'!A:H,8,FALSE)</f>
        <v>23.96</v>
      </c>
      <c r="Q1005" s="33">
        <f t="shared" si="61"/>
        <v>1</v>
      </c>
      <c r="S1005" s="16" t="e">
        <f>VLOOKUP(A1005,[4]Sales!$E:$G,3,FALSE)</f>
        <v>#N/A</v>
      </c>
      <c r="T1005" s="19" t="e">
        <f>VLOOKUP(A1005,[4]Volume!$E:$G,3,FALSE)</f>
        <v>#N/A</v>
      </c>
      <c r="U1005" s="19" t="e">
        <f>VLOOKUP(A1005,[4]Piece!$E:$G,3,FALSE)</f>
        <v>#N/A</v>
      </c>
      <c r="V1005" s="21" t="e">
        <f t="shared" si="62"/>
        <v>#N/A</v>
      </c>
      <c r="W1005" s="16" t="e">
        <f t="shared" si="63"/>
        <v>#N/A</v>
      </c>
    </row>
    <row r="1006" spans="1:23" hidden="1" x14ac:dyDescent="0.3">
      <c r="A1006" s="22" t="s">
        <v>2007</v>
      </c>
      <c r="B1006" s="22" t="s">
        <v>2007</v>
      </c>
      <c r="C1006" s="23" t="s">
        <v>33</v>
      </c>
      <c r="D1006" s="20" t="s">
        <v>34</v>
      </c>
      <c r="E1006" s="22" t="s">
        <v>2008</v>
      </c>
      <c r="F1006" s="24" t="str">
        <f t="shared" si="60"/>
        <v>PPG - Leyland CONTRACT SILK - Brill White - 10ltr</v>
      </c>
      <c r="G1006" s="23" t="s">
        <v>5879</v>
      </c>
      <c r="H1006" s="25" t="s">
        <v>36</v>
      </c>
      <c r="I1006" s="18" t="s">
        <v>37</v>
      </c>
      <c r="J1006" s="18" t="s">
        <v>38</v>
      </c>
      <c r="K1006" t="s">
        <v>39</v>
      </c>
      <c r="L1006" s="26">
        <f>VLOOKUP(A1006,'[3]Price info'!A:D,4,FALSE)</f>
        <v>31.03</v>
      </c>
      <c r="M1006" s="18" t="s">
        <v>40</v>
      </c>
      <c r="N1006" s="20">
        <v>3105</v>
      </c>
      <c r="P1006" s="16">
        <f>VLOOKUP(A1006,'[3]Price info'!A:H,8,FALSE)</f>
        <v>31.03</v>
      </c>
      <c r="Q1006" s="33">
        <f t="shared" si="61"/>
        <v>1</v>
      </c>
      <c r="S1006" s="16" t="e">
        <f>VLOOKUP(A1006,[4]Sales!$E:$G,3,FALSE)</f>
        <v>#N/A</v>
      </c>
      <c r="T1006" s="19" t="e">
        <f>VLOOKUP(A1006,[4]Volume!$E:$G,3,FALSE)</f>
        <v>#N/A</v>
      </c>
      <c r="U1006" s="19" t="e">
        <f>VLOOKUP(A1006,[4]Piece!$E:$G,3,FALSE)</f>
        <v>#N/A</v>
      </c>
      <c r="V1006" s="21" t="e">
        <f t="shared" si="62"/>
        <v>#N/A</v>
      </c>
      <c r="W1006" s="16" t="e">
        <f t="shared" si="63"/>
        <v>#N/A</v>
      </c>
    </row>
    <row r="1007" spans="1:23" hidden="1" x14ac:dyDescent="0.3">
      <c r="A1007" s="22" t="s">
        <v>2009</v>
      </c>
      <c r="B1007" s="22" t="s">
        <v>2009</v>
      </c>
      <c r="C1007" s="23" t="s">
        <v>33</v>
      </c>
      <c r="D1007" s="20" t="s">
        <v>34</v>
      </c>
      <c r="E1007" s="22" t="s">
        <v>2010</v>
      </c>
      <c r="F1007" s="24" t="str">
        <f t="shared" si="60"/>
        <v>PPG - Leyland CONTRACT SILK - Magnolia - 10ltr</v>
      </c>
      <c r="G1007" s="23" t="s">
        <v>5880</v>
      </c>
      <c r="H1007" s="25" t="s">
        <v>36</v>
      </c>
      <c r="I1007" s="18" t="s">
        <v>37</v>
      </c>
      <c r="J1007" s="18" t="s">
        <v>38</v>
      </c>
      <c r="K1007" t="s">
        <v>39</v>
      </c>
      <c r="L1007" s="26">
        <f>VLOOKUP(A1007,'[3]Price info'!A:D,4,FALSE)</f>
        <v>31.03</v>
      </c>
      <c r="M1007" s="18" t="s">
        <v>40</v>
      </c>
      <c r="N1007" s="20">
        <v>3105</v>
      </c>
      <c r="P1007" s="16">
        <f>VLOOKUP(A1007,'[3]Price info'!A:H,8,FALSE)</f>
        <v>31.03</v>
      </c>
      <c r="Q1007" s="33">
        <f t="shared" si="61"/>
        <v>1</v>
      </c>
      <c r="S1007" s="16" t="e">
        <f>VLOOKUP(A1007,[4]Sales!$E:$G,3,FALSE)</f>
        <v>#N/A</v>
      </c>
      <c r="T1007" s="19" t="e">
        <f>VLOOKUP(A1007,[4]Volume!$E:$G,3,FALSE)</f>
        <v>#N/A</v>
      </c>
      <c r="U1007" s="19" t="e">
        <f>VLOOKUP(A1007,[4]Piece!$E:$G,3,FALSE)</f>
        <v>#N/A</v>
      </c>
      <c r="V1007" s="21" t="e">
        <f t="shared" si="62"/>
        <v>#N/A</v>
      </c>
      <c r="W1007" s="16" t="e">
        <f t="shared" si="63"/>
        <v>#N/A</v>
      </c>
    </row>
    <row r="1008" spans="1:23" hidden="1" x14ac:dyDescent="0.3">
      <c r="A1008" s="22" t="s">
        <v>2011</v>
      </c>
      <c r="B1008" s="22" t="s">
        <v>2011</v>
      </c>
      <c r="C1008" s="23" t="s">
        <v>33</v>
      </c>
      <c r="D1008" s="20" t="s">
        <v>34</v>
      </c>
      <c r="E1008" s="22" t="s">
        <v>2012</v>
      </c>
      <c r="F1008" s="24" t="str">
        <f t="shared" si="60"/>
        <v>PPG - Leyland EGGSHELL - Black - 5ltr</v>
      </c>
      <c r="G1008" s="23" t="s">
        <v>5881</v>
      </c>
      <c r="H1008" s="25" t="s">
        <v>36</v>
      </c>
      <c r="I1008" s="18" t="s">
        <v>37</v>
      </c>
      <c r="J1008" s="18" t="s">
        <v>38</v>
      </c>
      <c r="K1008" t="s">
        <v>39</v>
      </c>
      <c r="L1008" s="26">
        <f>VLOOKUP(A1008,'[3]Price info'!A:D,4,FALSE)</f>
        <v>18.84</v>
      </c>
      <c r="M1008" s="18" t="s">
        <v>40</v>
      </c>
      <c r="N1008" s="20">
        <v>3105</v>
      </c>
      <c r="P1008" s="16">
        <f>VLOOKUP(A1008,'[3]Price info'!A:H,8,FALSE)</f>
        <v>18.84</v>
      </c>
      <c r="Q1008" s="33">
        <f t="shared" si="61"/>
        <v>1</v>
      </c>
      <c r="S1008" s="16" t="e">
        <f>VLOOKUP(A1008,[4]Sales!$E:$G,3,FALSE)</f>
        <v>#N/A</v>
      </c>
      <c r="T1008" s="19" t="e">
        <f>VLOOKUP(A1008,[4]Volume!$E:$G,3,FALSE)</f>
        <v>#N/A</v>
      </c>
      <c r="U1008" s="19" t="e">
        <f>VLOOKUP(A1008,[4]Piece!$E:$G,3,FALSE)</f>
        <v>#N/A</v>
      </c>
      <c r="V1008" s="21" t="e">
        <f t="shared" si="62"/>
        <v>#N/A</v>
      </c>
      <c r="W1008" s="16" t="e">
        <f t="shared" si="63"/>
        <v>#N/A</v>
      </c>
    </row>
    <row r="1009" spans="1:23" hidden="1" x14ac:dyDescent="0.3">
      <c r="A1009" s="22" t="s">
        <v>2013</v>
      </c>
      <c r="B1009" s="22" t="s">
        <v>2013</v>
      </c>
      <c r="C1009" s="23" t="s">
        <v>33</v>
      </c>
      <c r="D1009" s="20" t="s">
        <v>34</v>
      </c>
      <c r="E1009" s="22" t="s">
        <v>2014</v>
      </c>
      <c r="F1009" s="24" t="str">
        <f t="shared" si="60"/>
        <v>PPG - Leyland EGGSHELL - Brilliant White - 750ml</v>
      </c>
      <c r="G1009" s="23" t="s">
        <v>5882</v>
      </c>
      <c r="H1009" s="25" t="s">
        <v>36</v>
      </c>
      <c r="I1009" s="18" t="s">
        <v>37</v>
      </c>
      <c r="J1009" s="18" t="s">
        <v>38</v>
      </c>
      <c r="K1009" t="s">
        <v>39</v>
      </c>
      <c r="L1009" s="26">
        <f>VLOOKUP(A1009,'[3]Price info'!A:D,4,FALSE)</f>
        <v>8.34</v>
      </c>
      <c r="M1009" s="18" t="s">
        <v>40</v>
      </c>
      <c r="N1009" s="20">
        <v>3105</v>
      </c>
      <c r="P1009" s="16">
        <f>VLOOKUP(A1009,'[3]Price info'!A:H,8,FALSE)</f>
        <v>8.34</v>
      </c>
      <c r="Q1009" s="33">
        <f t="shared" si="61"/>
        <v>1</v>
      </c>
      <c r="S1009" s="16" t="e">
        <f>VLOOKUP(A1009,[4]Sales!$E:$G,3,FALSE)</f>
        <v>#N/A</v>
      </c>
      <c r="T1009" s="19" t="e">
        <f>VLOOKUP(A1009,[4]Volume!$E:$G,3,FALSE)</f>
        <v>#N/A</v>
      </c>
      <c r="U1009" s="19" t="e">
        <f>VLOOKUP(A1009,[4]Piece!$E:$G,3,FALSE)</f>
        <v>#N/A</v>
      </c>
      <c r="V1009" s="21" t="e">
        <f t="shared" si="62"/>
        <v>#N/A</v>
      </c>
      <c r="W1009" s="16" t="e">
        <f t="shared" si="63"/>
        <v>#N/A</v>
      </c>
    </row>
    <row r="1010" spans="1:23" hidden="1" x14ac:dyDescent="0.3">
      <c r="A1010" s="22" t="s">
        <v>2015</v>
      </c>
      <c r="B1010" s="22" t="s">
        <v>2015</v>
      </c>
      <c r="C1010" s="23" t="s">
        <v>33</v>
      </c>
      <c r="D1010" s="20" t="s">
        <v>34</v>
      </c>
      <c r="E1010" s="22" t="s">
        <v>2016</v>
      </c>
      <c r="F1010" s="24" t="str">
        <f t="shared" si="60"/>
        <v>PPG - Leyland EGGSHELL - Brilliant White - 5ltr</v>
      </c>
      <c r="G1010" s="23" t="s">
        <v>5883</v>
      </c>
      <c r="H1010" s="25" t="s">
        <v>36</v>
      </c>
      <c r="I1010" s="18" t="s">
        <v>37</v>
      </c>
      <c r="J1010" s="18" t="s">
        <v>38</v>
      </c>
      <c r="K1010" t="s">
        <v>39</v>
      </c>
      <c r="L1010" s="26">
        <f>VLOOKUP(A1010,'[3]Price info'!A:D,4,FALSE)</f>
        <v>17.96</v>
      </c>
      <c r="M1010" s="18" t="s">
        <v>40</v>
      </c>
      <c r="N1010" s="20">
        <v>3105</v>
      </c>
      <c r="P1010" s="16">
        <f>VLOOKUP(A1010,'[3]Price info'!A:H,8,FALSE)</f>
        <v>17.96</v>
      </c>
      <c r="Q1010" s="33">
        <f t="shared" si="61"/>
        <v>1</v>
      </c>
      <c r="S1010" s="16" t="e">
        <f>VLOOKUP(A1010,[4]Sales!$E:$G,3,FALSE)</f>
        <v>#N/A</v>
      </c>
      <c r="T1010" s="19" t="e">
        <f>VLOOKUP(A1010,[4]Volume!$E:$G,3,FALSE)</f>
        <v>#N/A</v>
      </c>
      <c r="U1010" s="19" t="e">
        <f>VLOOKUP(A1010,[4]Piece!$E:$G,3,FALSE)</f>
        <v>#N/A</v>
      </c>
      <c r="V1010" s="21" t="e">
        <f t="shared" si="62"/>
        <v>#N/A</v>
      </c>
      <c r="W1010" s="16" t="e">
        <f t="shared" si="63"/>
        <v>#N/A</v>
      </c>
    </row>
    <row r="1011" spans="1:23" hidden="1" x14ac:dyDescent="0.3">
      <c r="A1011" s="22" t="s">
        <v>2017</v>
      </c>
      <c r="B1011" s="22" t="s">
        <v>2017</v>
      </c>
      <c r="C1011" s="23" t="s">
        <v>33</v>
      </c>
      <c r="D1011" s="20" t="s">
        <v>34</v>
      </c>
      <c r="E1011" s="22" t="s">
        <v>2018</v>
      </c>
      <c r="F1011" s="24" t="str">
        <f t="shared" si="60"/>
        <v>PPG - Leyland EGGSHELL - Magnolia - 750ltr</v>
      </c>
      <c r="G1011" s="23" t="s">
        <v>5884</v>
      </c>
      <c r="H1011" s="25" t="s">
        <v>36</v>
      </c>
      <c r="I1011" s="18" t="s">
        <v>37</v>
      </c>
      <c r="J1011" s="18" t="s">
        <v>38</v>
      </c>
      <c r="K1011" t="s">
        <v>39</v>
      </c>
      <c r="L1011" s="26">
        <f>VLOOKUP(A1011,'[3]Price info'!A:D,4,FALSE)</f>
        <v>8.34</v>
      </c>
      <c r="M1011" s="18" t="s">
        <v>40</v>
      </c>
      <c r="N1011" s="20">
        <v>3105</v>
      </c>
      <c r="P1011" s="16">
        <f>VLOOKUP(A1011,'[3]Price info'!A:H,8,FALSE)</f>
        <v>8.34</v>
      </c>
      <c r="Q1011" s="33">
        <f t="shared" si="61"/>
        <v>1</v>
      </c>
      <c r="S1011" s="16" t="e">
        <f>VLOOKUP(A1011,[4]Sales!$E:$G,3,FALSE)</f>
        <v>#N/A</v>
      </c>
      <c r="T1011" s="19" t="e">
        <f>VLOOKUP(A1011,[4]Volume!$E:$G,3,FALSE)</f>
        <v>#N/A</v>
      </c>
      <c r="U1011" s="19" t="e">
        <f>VLOOKUP(A1011,[4]Piece!$E:$G,3,FALSE)</f>
        <v>#N/A</v>
      </c>
      <c r="V1011" s="21" t="e">
        <f t="shared" si="62"/>
        <v>#N/A</v>
      </c>
      <c r="W1011" s="16" t="e">
        <f t="shared" si="63"/>
        <v>#N/A</v>
      </c>
    </row>
    <row r="1012" spans="1:23" hidden="1" x14ac:dyDescent="0.3">
      <c r="A1012" s="22" t="s">
        <v>2019</v>
      </c>
      <c r="B1012" s="22" t="s">
        <v>2019</v>
      </c>
      <c r="C1012" s="23" t="s">
        <v>33</v>
      </c>
      <c r="D1012" s="20" t="s">
        <v>34</v>
      </c>
      <c r="E1012" s="22" t="s">
        <v>2020</v>
      </c>
      <c r="F1012" s="24" t="str">
        <f t="shared" si="60"/>
        <v>PPG - Leyland EGGSHELL - Magnolia - 2.5ltr</v>
      </c>
      <c r="G1012" s="23" t="s">
        <v>5885</v>
      </c>
      <c r="H1012" s="25" t="s">
        <v>36</v>
      </c>
      <c r="I1012" s="18" t="s">
        <v>37</v>
      </c>
      <c r="J1012" s="18" t="s">
        <v>38</v>
      </c>
      <c r="K1012" t="s">
        <v>39</v>
      </c>
      <c r="L1012" s="26">
        <f>VLOOKUP(A1012,'[3]Price info'!A:D,4,FALSE)</f>
        <v>17.36</v>
      </c>
      <c r="M1012" s="18" t="s">
        <v>40</v>
      </c>
      <c r="N1012" s="20">
        <v>3105</v>
      </c>
      <c r="P1012" s="16">
        <f>VLOOKUP(A1012,'[3]Price info'!A:H,8,FALSE)</f>
        <v>17.36</v>
      </c>
      <c r="Q1012" s="33">
        <f t="shared" si="61"/>
        <v>1</v>
      </c>
      <c r="S1012" s="16" t="e">
        <f>VLOOKUP(A1012,[4]Sales!$E:$G,3,FALSE)</f>
        <v>#N/A</v>
      </c>
      <c r="T1012" s="19" t="e">
        <f>VLOOKUP(A1012,[4]Volume!$E:$G,3,FALSE)</f>
        <v>#N/A</v>
      </c>
      <c r="U1012" s="19" t="e">
        <f>VLOOKUP(A1012,[4]Piece!$E:$G,3,FALSE)</f>
        <v>#N/A</v>
      </c>
      <c r="V1012" s="21" t="e">
        <f t="shared" si="62"/>
        <v>#N/A</v>
      </c>
      <c r="W1012" s="16" t="e">
        <f t="shared" si="63"/>
        <v>#N/A</v>
      </c>
    </row>
    <row r="1013" spans="1:23" hidden="1" x14ac:dyDescent="0.3">
      <c r="A1013" s="22" t="s">
        <v>2021</v>
      </c>
      <c r="B1013" s="22" t="s">
        <v>2021</v>
      </c>
      <c r="C1013" s="23" t="s">
        <v>33</v>
      </c>
      <c r="D1013" s="20" t="s">
        <v>34</v>
      </c>
      <c r="E1013" s="22" t="s">
        <v>2022</v>
      </c>
      <c r="F1013" s="24" t="str">
        <f t="shared" si="60"/>
        <v>PPG - Leyland EGGSHELL - Magnolia - 5ltr</v>
      </c>
      <c r="G1013" s="23" t="s">
        <v>5886</v>
      </c>
      <c r="H1013" s="25" t="s">
        <v>36</v>
      </c>
      <c r="I1013" s="18" t="s">
        <v>37</v>
      </c>
      <c r="J1013" s="18" t="s">
        <v>38</v>
      </c>
      <c r="K1013" t="s">
        <v>39</v>
      </c>
      <c r="L1013" s="26">
        <f>VLOOKUP(A1013,'[3]Price info'!A:D,4,FALSE)</f>
        <v>18.84</v>
      </c>
      <c r="M1013" s="18" t="s">
        <v>40</v>
      </c>
      <c r="N1013" s="20">
        <v>3105</v>
      </c>
      <c r="P1013" s="16">
        <f>VLOOKUP(A1013,'[3]Price info'!A:H,8,FALSE)</f>
        <v>18.84</v>
      </c>
      <c r="Q1013" s="33">
        <f t="shared" si="61"/>
        <v>1</v>
      </c>
      <c r="S1013" s="16" t="e">
        <f>VLOOKUP(A1013,[4]Sales!$E:$G,3,FALSE)</f>
        <v>#N/A</v>
      </c>
      <c r="T1013" s="19" t="e">
        <f>VLOOKUP(A1013,[4]Volume!$E:$G,3,FALSE)</f>
        <v>#N/A</v>
      </c>
      <c r="U1013" s="19" t="e">
        <f>VLOOKUP(A1013,[4]Piece!$E:$G,3,FALSE)</f>
        <v>#N/A</v>
      </c>
      <c r="V1013" s="21" t="e">
        <f t="shared" si="62"/>
        <v>#N/A</v>
      </c>
      <c r="W1013" s="16" t="e">
        <f t="shared" si="63"/>
        <v>#N/A</v>
      </c>
    </row>
    <row r="1014" spans="1:23" hidden="1" x14ac:dyDescent="0.3">
      <c r="A1014" s="22" t="s">
        <v>2023</v>
      </c>
      <c r="B1014" s="22" t="s">
        <v>2023</v>
      </c>
      <c r="C1014" s="23" t="s">
        <v>33</v>
      </c>
      <c r="D1014" s="20" t="s">
        <v>34</v>
      </c>
      <c r="E1014" s="22" t="s">
        <v>2024</v>
      </c>
      <c r="F1014" s="24" t="str">
        <f t="shared" si="60"/>
        <v>PPG - Leyland FLOOR PAINT - Empire Green - 5ltr</v>
      </c>
      <c r="G1014" s="23" t="s">
        <v>5887</v>
      </c>
      <c r="H1014" s="25" t="s">
        <v>36</v>
      </c>
      <c r="I1014" s="18" t="s">
        <v>37</v>
      </c>
      <c r="J1014" s="18" t="s">
        <v>38</v>
      </c>
      <c r="K1014" t="s">
        <v>39</v>
      </c>
      <c r="L1014" s="26">
        <f>VLOOKUP(A1014,'[3]Price info'!A:D,4,FALSE)</f>
        <v>20.74</v>
      </c>
      <c r="M1014" s="18" t="s">
        <v>40</v>
      </c>
      <c r="N1014" s="20">
        <v>3105</v>
      </c>
      <c r="P1014" s="16">
        <f>VLOOKUP(A1014,'[3]Price info'!A:H,8,FALSE)</f>
        <v>20.74</v>
      </c>
      <c r="Q1014" s="33">
        <f t="shared" si="61"/>
        <v>1</v>
      </c>
      <c r="S1014" s="16" t="e">
        <f>VLOOKUP(A1014,[4]Sales!$E:$G,3,FALSE)</f>
        <v>#N/A</v>
      </c>
      <c r="T1014" s="19" t="e">
        <f>VLOOKUP(A1014,[4]Volume!$E:$G,3,FALSE)</f>
        <v>#N/A</v>
      </c>
      <c r="U1014" s="19" t="e">
        <f>VLOOKUP(A1014,[4]Piece!$E:$G,3,FALSE)</f>
        <v>#N/A</v>
      </c>
      <c r="V1014" s="21" t="e">
        <f t="shared" si="62"/>
        <v>#N/A</v>
      </c>
      <c r="W1014" s="16" t="e">
        <f t="shared" si="63"/>
        <v>#N/A</v>
      </c>
    </row>
    <row r="1015" spans="1:23" hidden="1" x14ac:dyDescent="0.3">
      <c r="A1015" s="22" t="s">
        <v>2025</v>
      </c>
      <c r="B1015" s="22" t="s">
        <v>2025</v>
      </c>
      <c r="C1015" s="23" t="s">
        <v>33</v>
      </c>
      <c r="D1015" s="20" t="s">
        <v>34</v>
      </c>
      <c r="E1015" s="22" t="s">
        <v>2026</v>
      </c>
      <c r="F1015" s="24" t="str">
        <f t="shared" si="60"/>
        <v>PPG - Leyland FLOOR PAINT - Frigate - 5ltr</v>
      </c>
      <c r="G1015" s="23" t="s">
        <v>5888</v>
      </c>
      <c r="H1015" s="25" t="s">
        <v>36</v>
      </c>
      <c r="I1015" s="18" t="s">
        <v>37</v>
      </c>
      <c r="J1015" s="18" t="s">
        <v>38</v>
      </c>
      <c r="K1015" t="s">
        <v>39</v>
      </c>
      <c r="L1015" s="26">
        <f>VLOOKUP(A1015,'[3]Price info'!A:D,4,FALSE)</f>
        <v>20.74</v>
      </c>
      <c r="M1015" s="18" t="s">
        <v>40</v>
      </c>
      <c r="N1015" s="20">
        <v>3105</v>
      </c>
      <c r="P1015" s="16">
        <f>VLOOKUP(A1015,'[3]Price info'!A:H,8,FALSE)</f>
        <v>20.74</v>
      </c>
      <c r="Q1015" s="33">
        <f t="shared" si="61"/>
        <v>1</v>
      </c>
      <c r="S1015" s="16" t="e">
        <f>VLOOKUP(A1015,[4]Sales!$E:$G,3,FALSE)</f>
        <v>#N/A</v>
      </c>
      <c r="T1015" s="19" t="e">
        <f>VLOOKUP(A1015,[4]Volume!$E:$G,3,FALSE)</f>
        <v>#N/A</v>
      </c>
      <c r="U1015" s="19" t="e">
        <f>VLOOKUP(A1015,[4]Piece!$E:$G,3,FALSE)</f>
        <v>#N/A</v>
      </c>
      <c r="V1015" s="21" t="e">
        <f t="shared" si="62"/>
        <v>#N/A</v>
      </c>
      <c r="W1015" s="16" t="e">
        <f t="shared" si="63"/>
        <v>#N/A</v>
      </c>
    </row>
    <row r="1016" spans="1:23" hidden="1" x14ac:dyDescent="0.3">
      <c r="A1016" s="22" t="s">
        <v>2027</v>
      </c>
      <c r="B1016" s="22" t="s">
        <v>2027</v>
      </c>
      <c r="C1016" s="23" t="s">
        <v>33</v>
      </c>
      <c r="D1016" s="20" t="s">
        <v>34</v>
      </c>
      <c r="E1016" s="22" t="s">
        <v>2028</v>
      </c>
      <c r="F1016" s="24" t="str">
        <f t="shared" si="60"/>
        <v>PPG - Leyland FLOOR PAINT - Nimbus Grey - 2.5ltr</v>
      </c>
      <c r="G1016" s="23" t="s">
        <v>5889</v>
      </c>
      <c r="H1016" s="25" t="s">
        <v>36</v>
      </c>
      <c r="I1016" s="18" t="s">
        <v>37</v>
      </c>
      <c r="J1016" s="18" t="s">
        <v>38</v>
      </c>
      <c r="K1016" t="s">
        <v>39</v>
      </c>
      <c r="L1016" s="26">
        <f>VLOOKUP(A1016,'[3]Price info'!A:D,4,FALSE)</f>
        <v>15.04</v>
      </c>
      <c r="M1016" s="18" t="s">
        <v>40</v>
      </c>
      <c r="N1016" s="20">
        <v>3105</v>
      </c>
      <c r="P1016" s="16">
        <f>VLOOKUP(A1016,'[3]Price info'!A:H,8,FALSE)</f>
        <v>15.04</v>
      </c>
      <c r="Q1016" s="33">
        <f t="shared" si="61"/>
        <v>1</v>
      </c>
      <c r="S1016" s="16" t="e">
        <f>VLOOKUP(A1016,[4]Sales!$E:$G,3,FALSE)</f>
        <v>#N/A</v>
      </c>
      <c r="T1016" s="19" t="e">
        <f>VLOOKUP(A1016,[4]Volume!$E:$G,3,FALSE)</f>
        <v>#N/A</v>
      </c>
      <c r="U1016" s="19" t="e">
        <f>VLOOKUP(A1016,[4]Piece!$E:$G,3,FALSE)</f>
        <v>#N/A</v>
      </c>
      <c r="V1016" s="21" t="e">
        <f t="shared" si="62"/>
        <v>#N/A</v>
      </c>
      <c r="W1016" s="16" t="e">
        <f t="shared" si="63"/>
        <v>#N/A</v>
      </c>
    </row>
    <row r="1017" spans="1:23" hidden="1" x14ac:dyDescent="0.3">
      <c r="A1017" s="22" t="s">
        <v>2029</v>
      </c>
      <c r="B1017" s="22" t="s">
        <v>2029</v>
      </c>
      <c r="C1017" s="23" t="s">
        <v>33</v>
      </c>
      <c r="D1017" s="20" t="s">
        <v>34</v>
      </c>
      <c r="E1017" s="22" t="s">
        <v>2030</v>
      </c>
      <c r="F1017" s="24" t="str">
        <f t="shared" si="60"/>
        <v>PPG - Leyland FLOOR PAINT - Slate - 2.5ltr</v>
      </c>
      <c r="G1017" s="23" t="s">
        <v>5890</v>
      </c>
      <c r="H1017" s="25" t="s">
        <v>36</v>
      </c>
      <c r="I1017" s="18" t="s">
        <v>37</v>
      </c>
      <c r="J1017" s="18" t="s">
        <v>38</v>
      </c>
      <c r="K1017" t="s">
        <v>39</v>
      </c>
      <c r="L1017" s="26">
        <f>VLOOKUP(A1017,'[3]Price info'!A:D,4,FALSE)</f>
        <v>15.04</v>
      </c>
      <c r="M1017" s="18" t="s">
        <v>40</v>
      </c>
      <c r="N1017" s="20">
        <v>3105</v>
      </c>
      <c r="P1017" s="16">
        <f>VLOOKUP(A1017,'[3]Price info'!A:H,8,FALSE)</f>
        <v>15.04</v>
      </c>
      <c r="Q1017" s="33">
        <f t="shared" si="61"/>
        <v>1</v>
      </c>
      <c r="S1017" s="16" t="e">
        <f>VLOOKUP(A1017,[4]Sales!$E:$G,3,FALSE)</f>
        <v>#N/A</v>
      </c>
      <c r="T1017" s="19" t="e">
        <f>VLOOKUP(A1017,[4]Volume!$E:$G,3,FALSE)</f>
        <v>#N/A</v>
      </c>
      <c r="U1017" s="19" t="e">
        <f>VLOOKUP(A1017,[4]Piece!$E:$G,3,FALSE)</f>
        <v>#N/A</v>
      </c>
      <c r="V1017" s="21" t="e">
        <f t="shared" si="62"/>
        <v>#N/A</v>
      </c>
      <c r="W1017" s="16" t="e">
        <f t="shared" si="63"/>
        <v>#N/A</v>
      </c>
    </row>
    <row r="1018" spans="1:23" hidden="1" x14ac:dyDescent="0.3">
      <c r="A1018" s="22" t="s">
        <v>2031</v>
      </c>
      <c r="B1018" s="22" t="s">
        <v>2031</v>
      </c>
      <c r="C1018" s="23" t="s">
        <v>33</v>
      </c>
      <c r="D1018" s="20" t="s">
        <v>34</v>
      </c>
      <c r="E1018" s="22" t="s">
        <v>2032</v>
      </c>
      <c r="F1018" s="24" t="str">
        <f t="shared" si="60"/>
        <v>PPG - Leyland FLOOR PAINT - Tile Red - 2.5ltr</v>
      </c>
      <c r="G1018" s="23" t="s">
        <v>5891</v>
      </c>
      <c r="H1018" s="25" t="s">
        <v>36</v>
      </c>
      <c r="I1018" s="18" t="s">
        <v>37</v>
      </c>
      <c r="J1018" s="18" t="s">
        <v>38</v>
      </c>
      <c r="K1018" t="s">
        <v>39</v>
      </c>
      <c r="L1018" s="26">
        <f>VLOOKUP(A1018,'[3]Price info'!A:D,4,FALSE)</f>
        <v>15.04</v>
      </c>
      <c r="M1018" s="18" t="s">
        <v>40</v>
      </c>
      <c r="N1018" s="20">
        <v>3105</v>
      </c>
      <c r="P1018" s="16">
        <f>VLOOKUP(A1018,'[3]Price info'!A:H,8,FALSE)</f>
        <v>15.04</v>
      </c>
      <c r="Q1018" s="33">
        <f t="shared" si="61"/>
        <v>1</v>
      </c>
      <c r="S1018" s="16">
        <f>VLOOKUP(A1018,[4]Sales!$E:$G,3,FALSE)</f>
        <v>45.12</v>
      </c>
      <c r="T1018" s="19">
        <f>VLOOKUP(A1018,[4]Volume!$E:$G,3,FALSE)</f>
        <v>7.5</v>
      </c>
      <c r="U1018" s="19">
        <f>VLOOKUP(A1018,[4]Piece!$E:$G,3,FALSE)</f>
        <v>3</v>
      </c>
      <c r="V1018" s="21">
        <f t="shared" si="62"/>
        <v>45.12</v>
      </c>
      <c r="W1018" s="16">
        <f t="shared" si="63"/>
        <v>0</v>
      </c>
    </row>
    <row r="1019" spans="1:23" hidden="1" x14ac:dyDescent="0.3">
      <c r="A1019" s="22" t="s">
        <v>2033</v>
      </c>
      <c r="B1019" s="22" t="s">
        <v>2033</v>
      </c>
      <c r="C1019" s="23" t="s">
        <v>33</v>
      </c>
      <c r="D1019" s="20" t="s">
        <v>34</v>
      </c>
      <c r="E1019" s="22" t="s">
        <v>2034</v>
      </c>
      <c r="F1019" s="24" t="str">
        <f t="shared" si="60"/>
        <v>PPG - Leyland GLOSS - Peat - 750ml</v>
      </c>
      <c r="G1019" s="23" t="s">
        <v>5892</v>
      </c>
      <c r="H1019" s="25" t="s">
        <v>36</v>
      </c>
      <c r="I1019" s="18" t="s">
        <v>37</v>
      </c>
      <c r="J1019" s="18" t="s">
        <v>38</v>
      </c>
      <c r="K1019" t="s">
        <v>39</v>
      </c>
      <c r="L1019" s="26">
        <f>VLOOKUP(A1019,'[3]Price info'!A:D,4,FALSE)</f>
        <v>6.79</v>
      </c>
      <c r="M1019" s="18" t="s">
        <v>40</v>
      </c>
      <c r="N1019" s="20">
        <v>3105</v>
      </c>
      <c r="P1019" s="16">
        <f>VLOOKUP(A1019,'[3]Price info'!A:H,8,FALSE)</f>
        <v>6.3214900000000007</v>
      </c>
      <c r="Q1019" s="33">
        <f t="shared" si="61"/>
        <v>0.93100000000000005</v>
      </c>
      <c r="S1019" s="16" t="e">
        <f>VLOOKUP(A1019,[4]Sales!$E:$G,3,FALSE)</f>
        <v>#N/A</v>
      </c>
      <c r="T1019" s="19" t="e">
        <f>VLOOKUP(A1019,[4]Volume!$E:$G,3,FALSE)</f>
        <v>#N/A</v>
      </c>
      <c r="U1019" s="19" t="e">
        <f>VLOOKUP(A1019,[4]Piece!$E:$G,3,FALSE)</f>
        <v>#N/A</v>
      </c>
      <c r="V1019" s="21" t="e">
        <f t="shared" si="62"/>
        <v>#N/A</v>
      </c>
      <c r="W1019" s="16" t="e">
        <f t="shared" si="63"/>
        <v>#N/A</v>
      </c>
    </row>
    <row r="1020" spans="1:23" hidden="1" x14ac:dyDescent="0.3">
      <c r="A1020" s="22" t="s">
        <v>2035</v>
      </c>
      <c r="B1020" s="22" t="s">
        <v>2035</v>
      </c>
      <c r="C1020" s="23" t="s">
        <v>33</v>
      </c>
      <c r="D1020" s="20" t="s">
        <v>34</v>
      </c>
      <c r="E1020" s="22" t="s">
        <v>2036</v>
      </c>
      <c r="F1020" s="24" t="str">
        <f t="shared" si="60"/>
        <v>PPG - Leyland GLOSS - Cherry Red - 5ltr</v>
      </c>
      <c r="G1020" s="23" t="s">
        <v>5893</v>
      </c>
      <c r="H1020" s="25" t="s">
        <v>36</v>
      </c>
      <c r="I1020" s="18" t="s">
        <v>37</v>
      </c>
      <c r="J1020" s="18" t="s">
        <v>38</v>
      </c>
      <c r="K1020" t="s">
        <v>39</v>
      </c>
      <c r="L1020" s="26">
        <f>VLOOKUP(A1020,'[3]Price info'!A:D,4,FALSE)</f>
        <v>16.71</v>
      </c>
      <c r="M1020" s="18" t="s">
        <v>40</v>
      </c>
      <c r="N1020" s="20">
        <v>3105</v>
      </c>
      <c r="P1020" s="16">
        <f>VLOOKUP(A1020,'[3]Price info'!A:H,8,FALSE)</f>
        <v>22.93</v>
      </c>
      <c r="Q1020" s="33">
        <f t="shared" si="61"/>
        <v>1.3722321962896469</v>
      </c>
      <c r="S1020" s="16" t="e">
        <f>VLOOKUP(A1020,[4]Sales!$E:$G,3,FALSE)</f>
        <v>#N/A</v>
      </c>
      <c r="T1020" s="19" t="e">
        <f>VLOOKUP(A1020,[4]Volume!$E:$G,3,FALSE)</f>
        <v>#N/A</v>
      </c>
      <c r="U1020" s="19" t="e">
        <f>VLOOKUP(A1020,[4]Piece!$E:$G,3,FALSE)</f>
        <v>#N/A</v>
      </c>
      <c r="V1020" s="21" t="e">
        <f t="shared" si="62"/>
        <v>#N/A</v>
      </c>
      <c r="W1020" s="16" t="e">
        <f t="shared" si="63"/>
        <v>#N/A</v>
      </c>
    </row>
    <row r="1021" spans="1:23" hidden="1" x14ac:dyDescent="0.3">
      <c r="A1021" s="22" t="s">
        <v>2037</v>
      </c>
      <c r="B1021" s="22" t="s">
        <v>2037</v>
      </c>
      <c r="C1021" s="23" t="s">
        <v>33</v>
      </c>
      <c r="D1021" s="20" t="s">
        <v>34</v>
      </c>
      <c r="E1021" s="22" t="s">
        <v>2038</v>
      </c>
      <c r="F1021" s="24" t="str">
        <f t="shared" si="60"/>
        <v>PPG - Leyland GLOSS - Magnolia - 750ml</v>
      </c>
      <c r="G1021" s="23" t="s">
        <v>5894</v>
      </c>
      <c r="H1021" s="25" t="s">
        <v>36</v>
      </c>
      <c r="I1021" s="18" t="s">
        <v>37</v>
      </c>
      <c r="J1021" s="18" t="s">
        <v>38</v>
      </c>
      <c r="K1021" t="s">
        <v>39</v>
      </c>
      <c r="L1021" s="26">
        <f>VLOOKUP(A1021,'[3]Price info'!A:D,4,FALSE)</f>
        <v>6.79</v>
      </c>
      <c r="M1021" s="18" t="s">
        <v>40</v>
      </c>
      <c r="N1021" s="20">
        <v>3105</v>
      </c>
      <c r="P1021" s="16">
        <f>VLOOKUP(A1021,'[3]Price info'!A:H,8,FALSE)</f>
        <v>6.3214900000000007</v>
      </c>
      <c r="Q1021" s="33">
        <f t="shared" si="61"/>
        <v>0.93100000000000005</v>
      </c>
      <c r="S1021" s="16" t="e">
        <f>VLOOKUP(A1021,[4]Sales!$E:$G,3,FALSE)</f>
        <v>#N/A</v>
      </c>
      <c r="T1021" s="19" t="e">
        <f>VLOOKUP(A1021,[4]Volume!$E:$G,3,FALSE)</f>
        <v>#N/A</v>
      </c>
      <c r="U1021" s="19" t="e">
        <f>VLOOKUP(A1021,[4]Piece!$E:$G,3,FALSE)</f>
        <v>#N/A</v>
      </c>
      <c r="V1021" s="21" t="e">
        <f t="shared" si="62"/>
        <v>#N/A</v>
      </c>
      <c r="W1021" s="16" t="e">
        <f t="shared" si="63"/>
        <v>#N/A</v>
      </c>
    </row>
    <row r="1022" spans="1:23" hidden="1" x14ac:dyDescent="0.3">
      <c r="A1022" s="22" t="s">
        <v>2039</v>
      </c>
      <c r="B1022" s="22" t="s">
        <v>2039</v>
      </c>
      <c r="C1022" s="23" t="s">
        <v>33</v>
      </c>
      <c r="D1022" s="20" t="s">
        <v>34</v>
      </c>
      <c r="E1022" s="22" t="s">
        <v>2040</v>
      </c>
      <c r="F1022" s="24" t="str">
        <f t="shared" si="60"/>
        <v>PPG - Leyland GLOSS - Magnolia - 2.5ltr</v>
      </c>
      <c r="G1022" s="23" t="s">
        <v>5895</v>
      </c>
      <c r="H1022" s="25" t="s">
        <v>36</v>
      </c>
      <c r="I1022" s="18" t="s">
        <v>37</v>
      </c>
      <c r="J1022" s="18" t="s">
        <v>38</v>
      </c>
      <c r="K1022" t="s">
        <v>39</v>
      </c>
      <c r="L1022" s="26">
        <f>VLOOKUP(A1022,'[3]Price info'!A:D,4,FALSE)</f>
        <v>10.48</v>
      </c>
      <c r="M1022" s="18" t="s">
        <v>40</v>
      </c>
      <c r="N1022" s="20">
        <v>3105</v>
      </c>
      <c r="P1022" s="16">
        <f>VLOOKUP(A1022,'[3]Price info'!A:H,8,FALSE)</f>
        <v>11.36</v>
      </c>
      <c r="Q1022" s="33">
        <f t="shared" si="61"/>
        <v>1.0839694656488548</v>
      </c>
      <c r="S1022" s="16" t="e">
        <f>VLOOKUP(A1022,[4]Sales!$E:$G,3,FALSE)</f>
        <v>#N/A</v>
      </c>
      <c r="T1022" s="19" t="e">
        <f>VLOOKUP(A1022,[4]Volume!$E:$G,3,FALSE)</f>
        <v>#N/A</v>
      </c>
      <c r="U1022" s="19" t="e">
        <f>VLOOKUP(A1022,[4]Piece!$E:$G,3,FALSE)</f>
        <v>#N/A</v>
      </c>
      <c r="V1022" s="21" t="e">
        <f t="shared" si="62"/>
        <v>#N/A</v>
      </c>
      <c r="W1022" s="16" t="e">
        <f t="shared" si="63"/>
        <v>#N/A</v>
      </c>
    </row>
    <row r="1023" spans="1:23" hidden="1" x14ac:dyDescent="0.3">
      <c r="A1023" s="22" t="s">
        <v>2041</v>
      </c>
      <c r="B1023" s="22" t="s">
        <v>2041</v>
      </c>
      <c r="C1023" s="23" t="s">
        <v>33</v>
      </c>
      <c r="D1023" s="20" t="s">
        <v>34</v>
      </c>
      <c r="E1023" s="22" t="s">
        <v>2042</v>
      </c>
      <c r="F1023" s="24" t="str">
        <f t="shared" si="60"/>
        <v>PPG - Leyland GLOSS - Magnolia - 5ltr</v>
      </c>
      <c r="G1023" s="23" t="s">
        <v>5896</v>
      </c>
      <c r="H1023" s="25" t="s">
        <v>36</v>
      </c>
      <c r="I1023" s="18" t="s">
        <v>37</v>
      </c>
      <c r="J1023" s="18" t="s">
        <v>38</v>
      </c>
      <c r="K1023" t="s">
        <v>39</v>
      </c>
      <c r="L1023" s="26">
        <f>VLOOKUP(A1023,'[3]Price info'!A:D,4,FALSE)</f>
        <v>16.71</v>
      </c>
      <c r="M1023" s="18" t="s">
        <v>40</v>
      </c>
      <c r="N1023" s="20">
        <v>3105</v>
      </c>
      <c r="P1023" s="16">
        <f>VLOOKUP(A1023,'[3]Price info'!A:H,8,FALSE)</f>
        <v>18.93</v>
      </c>
      <c r="Q1023" s="33">
        <f t="shared" si="61"/>
        <v>1.1328545780969479</v>
      </c>
      <c r="S1023" s="16" t="e">
        <f>VLOOKUP(A1023,[4]Sales!$E:$G,3,FALSE)</f>
        <v>#N/A</v>
      </c>
      <c r="T1023" s="19" t="e">
        <f>VLOOKUP(A1023,[4]Volume!$E:$G,3,FALSE)</f>
        <v>#N/A</v>
      </c>
      <c r="U1023" s="19" t="e">
        <f>VLOOKUP(A1023,[4]Piece!$E:$G,3,FALSE)</f>
        <v>#N/A</v>
      </c>
      <c r="V1023" s="21" t="e">
        <f t="shared" si="62"/>
        <v>#N/A</v>
      </c>
      <c r="W1023" s="16" t="e">
        <f t="shared" si="63"/>
        <v>#N/A</v>
      </c>
    </row>
    <row r="1024" spans="1:23" hidden="1" x14ac:dyDescent="0.3">
      <c r="A1024" s="22" t="s">
        <v>2043</v>
      </c>
      <c r="B1024" s="22" t="s">
        <v>2043</v>
      </c>
      <c r="C1024" s="23" t="s">
        <v>33</v>
      </c>
      <c r="D1024" s="20" t="s">
        <v>34</v>
      </c>
      <c r="E1024" s="22" t="s">
        <v>2044</v>
      </c>
      <c r="F1024" s="24" t="str">
        <f t="shared" si="60"/>
        <v>PPG - Leyland GLOSS - Nanking Blue - 5ltr</v>
      </c>
      <c r="G1024" s="23" t="s">
        <v>5897</v>
      </c>
      <c r="H1024" s="25" t="s">
        <v>36</v>
      </c>
      <c r="I1024" s="18" t="s">
        <v>37</v>
      </c>
      <c r="J1024" s="18" t="s">
        <v>38</v>
      </c>
      <c r="K1024" t="s">
        <v>39</v>
      </c>
      <c r="L1024" s="26">
        <f>VLOOKUP(A1024,'[3]Price info'!A:D,4,FALSE)</f>
        <v>16.71</v>
      </c>
      <c r="M1024" s="18" t="s">
        <v>40</v>
      </c>
      <c r="N1024" s="20">
        <v>3105</v>
      </c>
      <c r="P1024" s="16">
        <f>VLOOKUP(A1024,'[3]Price info'!A:H,8,FALSE)</f>
        <v>22.93</v>
      </c>
      <c r="Q1024" s="33">
        <f t="shared" si="61"/>
        <v>1.3722321962896469</v>
      </c>
      <c r="S1024" s="16" t="e">
        <f>VLOOKUP(A1024,[4]Sales!$E:$G,3,FALSE)</f>
        <v>#N/A</v>
      </c>
      <c r="T1024" s="19" t="e">
        <f>VLOOKUP(A1024,[4]Volume!$E:$G,3,FALSE)</f>
        <v>#N/A</v>
      </c>
      <c r="U1024" s="19" t="e">
        <f>VLOOKUP(A1024,[4]Piece!$E:$G,3,FALSE)</f>
        <v>#N/A</v>
      </c>
      <c r="V1024" s="21" t="e">
        <f t="shared" si="62"/>
        <v>#N/A</v>
      </c>
      <c r="W1024" s="16" t="e">
        <f t="shared" si="63"/>
        <v>#N/A</v>
      </c>
    </row>
    <row r="1025" spans="1:23" hidden="1" x14ac:dyDescent="0.3">
      <c r="A1025" s="22" t="s">
        <v>2045</v>
      </c>
      <c r="B1025" s="22" t="s">
        <v>2045</v>
      </c>
      <c r="C1025" s="23" t="s">
        <v>33</v>
      </c>
      <c r="D1025" s="20" t="s">
        <v>34</v>
      </c>
      <c r="E1025" s="22" t="s">
        <v>2046</v>
      </c>
      <c r="F1025" s="24" t="str">
        <f t="shared" si="60"/>
        <v>PPG - Leyland GLOSS - Peat - 2.5ltr</v>
      </c>
      <c r="G1025" s="23" t="s">
        <v>5898</v>
      </c>
      <c r="H1025" s="25" t="s">
        <v>36</v>
      </c>
      <c r="I1025" s="18" t="s">
        <v>37</v>
      </c>
      <c r="J1025" s="18" t="s">
        <v>38</v>
      </c>
      <c r="K1025" t="s">
        <v>39</v>
      </c>
      <c r="L1025" s="26">
        <f>VLOOKUP(A1025,'[3]Price info'!A:D,4,FALSE)</f>
        <v>14.19</v>
      </c>
      <c r="M1025" s="18" t="s">
        <v>40</v>
      </c>
      <c r="N1025" s="20">
        <v>3105</v>
      </c>
      <c r="P1025" s="16">
        <f>VLOOKUP(A1025,'[3]Price info'!A:H,8,FALSE)</f>
        <v>13.76</v>
      </c>
      <c r="Q1025" s="33">
        <f t="shared" si="61"/>
        <v>0.96969696969696972</v>
      </c>
      <c r="S1025" s="16" t="e">
        <f>VLOOKUP(A1025,[4]Sales!$E:$G,3,FALSE)</f>
        <v>#N/A</v>
      </c>
      <c r="T1025" s="19" t="e">
        <f>VLOOKUP(A1025,[4]Volume!$E:$G,3,FALSE)</f>
        <v>#N/A</v>
      </c>
      <c r="U1025" s="19" t="e">
        <f>VLOOKUP(A1025,[4]Piece!$E:$G,3,FALSE)</f>
        <v>#N/A</v>
      </c>
      <c r="V1025" s="21" t="e">
        <f t="shared" si="62"/>
        <v>#N/A</v>
      </c>
      <c r="W1025" s="16" t="e">
        <f t="shared" si="63"/>
        <v>#N/A</v>
      </c>
    </row>
    <row r="1026" spans="1:23" hidden="1" x14ac:dyDescent="0.3">
      <c r="A1026" s="22" t="s">
        <v>2047</v>
      </c>
      <c r="B1026" s="22" t="s">
        <v>2047</v>
      </c>
      <c r="C1026" s="23" t="s">
        <v>33</v>
      </c>
      <c r="D1026" s="20" t="s">
        <v>34</v>
      </c>
      <c r="E1026" s="22" t="s">
        <v>2048</v>
      </c>
      <c r="F1026" s="24" t="str">
        <f t="shared" si="60"/>
        <v>PPG - Leyland GLOSS - Signal Red - 750ml</v>
      </c>
      <c r="G1026" s="23" t="s">
        <v>5899</v>
      </c>
      <c r="H1026" s="25" t="s">
        <v>36</v>
      </c>
      <c r="I1026" s="18" t="s">
        <v>37</v>
      </c>
      <c r="J1026" s="18" t="s">
        <v>38</v>
      </c>
      <c r="K1026" t="s">
        <v>39</v>
      </c>
      <c r="L1026" s="26">
        <f>VLOOKUP(A1026,'[3]Price info'!A:D,4,FALSE)</f>
        <v>6.79</v>
      </c>
      <c r="M1026" s="18" t="s">
        <v>40</v>
      </c>
      <c r="N1026" s="20">
        <v>3105</v>
      </c>
      <c r="P1026" s="16">
        <f>VLOOKUP(A1026,'[3]Price info'!A:H,8,FALSE)</f>
        <v>6.3214900000000007</v>
      </c>
      <c r="Q1026" s="33">
        <f t="shared" si="61"/>
        <v>0.93100000000000005</v>
      </c>
      <c r="S1026" s="16" t="e">
        <f>VLOOKUP(A1026,[4]Sales!$E:$G,3,FALSE)</f>
        <v>#N/A</v>
      </c>
      <c r="T1026" s="19" t="e">
        <f>VLOOKUP(A1026,[4]Volume!$E:$G,3,FALSE)</f>
        <v>#N/A</v>
      </c>
      <c r="U1026" s="19" t="e">
        <f>VLOOKUP(A1026,[4]Piece!$E:$G,3,FALSE)</f>
        <v>#N/A</v>
      </c>
      <c r="V1026" s="21" t="e">
        <f t="shared" si="62"/>
        <v>#N/A</v>
      </c>
      <c r="W1026" s="16" t="e">
        <f t="shared" si="63"/>
        <v>#N/A</v>
      </c>
    </row>
    <row r="1027" spans="1:23" hidden="1" x14ac:dyDescent="0.3">
      <c r="A1027" s="22" t="s">
        <v>2049</v>
      </c>
      <c r="B1027" s="22" t="s">
        <v>2049</v>
      </c>
      <c r="C1027" s="23" t="s">
        <v>33</v>
      </c>
      <c r="D1027" s="20" t="s">
        <v>34</v>
      </c>
      <c r="E1027" s="22" t="s">
        <v>2050</v>
      </c>
      <c r="F1027" s="24" t="str">
        <f t="shared" ref="F1027:F1090" si="64">D1027&amp;" - "&amp;E1027</f>
        <v>PPG - Leyland GLOSS - Signal Red- 2.5ltr</v>
      </c>
      <c r="G1027" s="23" t="s">
        <v>5900</v>
      </c>
      <c r="H1027" s="25" t="s">
        <v>36</v>
      </c>
      <c r="I1027" s="18" t="s">
        <v>37</v>
      </c>
      <c r="J1027" s="18" t="s">
        <v>38</v>
      </c>
      <c r="K1027" t="s">
        <v>39</v>
      </c>
      <c r="L1027" s="26">
        <f>VLOOKUP(A1027,'[3]Price info'!A:D,4,FALSE)</f>
        <v>14.19</v>
      </c>
      <c r="M1027" s="18" t="s">
        <v>40</v>
      </c>
      <c r="N1027" s="20">
        <v>3105</v>
      </c>
      <c r="P1027" s="16">
        <f>VLOOKUP(A1027,'[3]Price info'!A:H,8,FALSE)</f>
        <v>13.76</v>
      </c>
      <c r="Q1027" s="33">
        <f t="shared" ref="Q1027:Q1090" si="65">P1027/L1027</f>
        <v>0.96969696969696972</v>
      </c>
      <c r="S1027" s="16" t="e">
        <f>VLOOKUP(A1027,[4]Sales!$E:$G,3,FALSE)</f>
        <v>#N/A</v>
      </c>
      <c r="T1027" s="19" t="e">
        <f>VLOOKUP(A1027,[4]Volume!$E:$G,3,FALSE)</f>
        <v>#N/A</v>
      </c>
      <c r="U1027" s="19" t="e">
        <f>VLOOKUP(A1027,[4]Piece!$E:$G,3,FALSE)</f>
        <v>#N/A</v>
      </c>
      <c r="V1027" s="21" t="e">
        <f t="shared" ref="V1027:V1090" si="66">U1027*P1027</f>
        <v>#N/A</v>
      </c>
      <c r="W1027" s="16" t="e">
        <f t="shared" ref="W1027:W1090" si="67">V1027-S1027</f>
        <v>#N/A</v>
      </c>
    </row>
    <row r="1028" spans="1:23" hidden="1" x14ac:dyDescent="0.3">
      <c r="A1028" s="22" t="s">
        <v>2051</v>
      </c>
      <c r="B1028" s="22" t="s">
        <v>2051</v>
      </c>
      <c r="C1028" s="23" t="s">
        <v>33</v>
      </c>
      <c r="D1028" s="20" t="s">
        <v>34</v>
      </c>
      <c r="E1028" s="22" t="s">
        <v>2052</v>
      </c>
      <c r="F1028" s="24" t="str">
        <f t="shared" si="64"/>
        <v>PPG - Leyland GLOSS - Signal Red - 5ltr</v>
      </c>
      <c r="G1028" s="23" t="s">
        <v>5901</v>
      </c>
      <c r="H1028" s="25" t="s">
        <v>36</v>
      </c>
      <c r="I1028" s="18" t="s">
        <v>37</v>
      </c>
      <c r="J1028" s="18" t="s">
        <v>38</v>
      </c>
      <c r="K1028" t="s">
        <v>39</v>
      </c>
      <c r="L1028" s="26">
        <f>VLOOKUP(A1028,'[3]Price info'!A:D,4,FALSE)</f>
        <v>16.71</v>
      </c>
      <c r="M1028" s="18" t="s">
        <v>40</v>
      </c>
      <c r="N1028" s="20">
        <v>3105</v>
      </c>
      <c r="P1028" s="16">
        <f>VLOOKUP(A1028,'[3]Price info'!A:H,8,FALSE)</f>
        <v>22.93</v>
      </c>
      <c r="Q1028" s="33">
        <f t="shared" si="65"/>
        <v>1.3722321962896469</v>
      </c>
      <c r="S1028" s="16" t="e">
        <f>VLOOKUP(A1028,[4]Sales!$E:$G,3,FALSE)</f>
        <v>#N/A</v>
      </c>
      <c r="T1028" s="19" t="e">
        <f>VLOOKUP(A1028,[4]Volume!$E:$G,3,FALSE)</f>
        <v>#N/A</v>
      </c>
      <c r="U1028" s="19" t="e">
        <f>VLOOKUP(A1028,[4]Piece!$E:$G,3,FALSE)</f>
        <v>#N/A</v>
      </c>
      <c r="V1028" s="21" t="e">
        <f t="shared" si="66"/>
        <v>#N/A</v>
      </c>
      <c r="W1028" s="16" t="e">
        <f t="shared" si="67"/>
        <v>#N/A</v>
      </c>
    </row>
    <row r="1029" spans="1:23" hidden="1" x14ac:dyDescent="0.3">
      <c r="A1029" s="22" t="s">
        <v>2053</v>
      </c>
      <c r="B1029" s="22" t="s">
        <v>2053</v>
      </c>
      <c r="C1029" s="23" t="s">
        <v>33</v>
      </c>
      <c r="D1029" s="20" t="s">
        <v>34</v>
      </c>
      <c r="E1029" s="22" t="s">
        <v>2054</v>
      </c>
      <c r="F1029" s="24" t="str">
        <f t="shared" si="64"/>
        <v>PPG - Leyland T/GUARD FLEX EXT UCOAT - BW - 2.5ltr</v>
      </c>
      <c r="G1029" s="23" t="s">
        <v>5902</v>
      </c>
      <c r="H1029" s="25" t="s">
        <v>36</v>
      </c>
      <c r="I1029" s="18" t="s">
        <v>37</v>
      </c>
      <c r="J1029" s="18" t="s">
        <v>38</v>
      </c>
      <c r="K1029" t="s">
        <v>39</v>
      </c>
      <c r="L1029" s="26">
        <f>VLOOKUP(A1029,'[3]Price info'!A:D,4,FALSE)</f>
        <v>29.87</v>
      </c>
      <c r="M1029" s="18" t="s">
        <v>40</v>
      </c>
      <c r="N1029" s="20">
        <v>3105</v>
      </c>
      <c r="P1029" s="16">
        <f>VLOOKUP(A1029,'[3]Price info'!A:H,8,FALSE)</f>
        <v>29.87</v>
      </c>
      <c r="Q1029" s="33">
        <f t="shared" si="65"/>
        <v>1</v>
      </c>
      <c r="S1029" s="16" t="e">
        <f>VLOOKUP(A1029,[4]Sales!$E:$G,3,FALSE)</f>
        <v>#N/A</v>
      </c>
      <c r="T1029" s="19" t="e">
        <f>VLOOKUP(A1029,[4]Volume!$E:$G,3,FALSE)</f>
        <v>#N/A</v>
      </c>
      <c r="U1029" s="19" t="e">
        <f>VLOOKUP(A1029,[4]Piece!$E:$G,3,FALSE)</f>
        <v>#N/A</v>
      </c>
      <c r="V1029" s="21" t="e">
        <f t="shared" si="66"/>
        <v>#N/A</v>
      </c>
      <c r="W1029" s="16" t="e">
        <f t="shared" si="67"/>
        <v>#N/A</v>
      </c>
    </row>
    <row r="1030" spans="1:23" hidden="1" x14ac:dyDescent="0.3">
      <c r="A1030" s="22" t="s">
        <v>2055</v>
      </c>
      <c r="B1030" s="22" t="s">
        <v>2055</v>
      </c>
      <c r="C1030" s="23" t="s">
        <v>33</v>
      </c>
      <c r="D1030" s="20" t="s">
        <v>34</v>
      </c>
      <c r="E1030" s="22" t="s">
        <v>2056</v>
      </c>
      <c r="F1030" s="24" t="str">
        <f t="shared" si="64"/>
        <v>PPG - Leyland T/GUARD FLEX EXT GLOSS - BW - 2.5ltr</v>
      </c>
      <c r="G1030" s="23" t="s">
        <v>5903</v>
      </c>
      <c r="H1030" s="25" t="s">
        <v>36</v>
      </c>
      <c r="I1030" s="18" t="s">
        <v>37</v>
      </c>
      <c r="J1030" s="18" t="s">
        <v>38</v>
      </c>
      <c r="K1030" t="s">
        <v>39</v>
      </c>
      <c r="L1030" s="26">
        <f>VLOOKUP(A1030,'[3]Price info'!A:D,4,FALSE)</f>
        <v>29.87</v>
      </c>
      <c r="M1030" s="18" t="s">
        <v>40</v>
      </c>
      <c r="N1030" s="20">
        <v>3105</v>
      </c>
      <c r="P1030" s="16">
        <f>VLOOKUP(A1030,'[3]Price info'!A:H,8,FALSE)</f>
        <v>29.87</v>
      </c>
      <c r="Q1030" s="33">
        <f t="shared" si="65"/>
        <v>1</v>
      </c>
      <c r="S1030" s="16" t="e">
        <f>VLOOKUP(A1030,[4]Sales!$E:$G,3,FALSE)</f>
        <v>#N/A</v>
      </c>
      <c r="T1030" s="19" t="e">
        <f>VLOOKUP(A1030,[4]Volume!$E:$G,3,FALSE)</f>
        <v>#N/A</v>
      </c>
      <c r="U1030" s="19" t="e">
        <f>VLOOKUP(A1030,[4]Piece!$E:$G,3,FALSE)</f>
        <v>#N/A</v>
      </c>
      <c r="V1030" s="21" t="e">
        <f t="shared" si="66"/>
        <v>#N/A</v>
      </c>
      <c r="W1030" s="16" t="e">
        <f t="shared" si="67"/>
        <v>#N/A</v>
      </c>
    </row>
    <row r="1031" spans="1:23" hidden="1" x14ac:dyDescent="0.3">
      <c r="A1031" s="22" t="s">
        <v>2057</v>
      </c>
      <c r="B1031" s="22" t="s">
        <v>2057</v>
      </c>
      <c r="C1031" s="23" t="s">
        <v>33</v>
      </c>
      <c r="D1031" s="20" t="s">
        <v>34</v>
      </c>
      <c r="E1031" s="22" t="s">
        <v>2058</v>
      </c>
      <c r="F1031" s="24" t="str">
        <f t="shared" si="64"/>
        <v>PPG - Leyland NON DRIP GLOSS - BW - 750ml</v>
      </c>
      <c r="G1031" s="23" t="s">
        <v>5904</v>
      </c>
      <c r="H1031" s="25" t="s">
        <v>36</v>
      </c>
      <c r="I1031" s="18" t="s">
        <v>37</v>
      </c>
      <c r="J1031" s="18" t="s">
        <v>38</v>
      </c>
      <c r="K1031" t="s">
        <v>39</v>
      </c>
      <c r="L1031" s="26">
        <f>VLOOKUP(A1031,'[3]Price info'!A:D,4,FALSE)</f>
        <v>8.61</v>
      </c>
      <c r="M1031" s="18" t="s">
        <v>40</v>
      </c>
      <c r="N1031" s="20">
        <v>3105</v>
      </c>
      <c r="P1031" s="16">
        <f>VLOOKUP(A1031,'[3]Price info'!A:H,8,FALSE)</f>
        <v>8.61</v>
      </c>
      <c r="Q1031" s="33">
        <f t="shared" si="65"/>
        <v>1</v>
      </c>
      <c r="S1031" s="16" t="e">
        <f>VLOOKUP(A1031,[4]Sales!$E:$G,3,FALSE)</f>
        <v>#N/A</v>
      </c>
      <c r="T1031" s="19" t="e">
        <f>VLOOKUP(A1031,[4]Volume!$E:$G,3,FALSE)</f>
        <v>#N/A</v>
      </c>
      <c r="U1031" s="19" t="e">
        <f>VLOOKUP(A1031,[4]Piece!$E:$G,3,FALSE)</f>
        <v>#N/A</v>
      </c>
      <c r="V1031" s="21" t="e">
        <f t="shared" si="66"/>
        <v>#N/A</v>
      </c>
      <c r="W1031" s="16" t="e">
        <f t="shared" si="67"/>
        <v>#N/A</v>
      </c>
    </row>
    <row r="1032" spans="1:23" hidden="1" x14ac:dyDescent="0.3">
      <c r="A1032" s="22" t="s">
        <v>2059</v>
      </c>
      <c r="B1032" s="22" t="s">
        <v>2059</v>
      </c>
      <c r="C1032" s="23" t="s">
        <v>33</v>
      </c>
      <c r="D1032" s="20" t="s">
        <v>34</v>
      </c>
      <c r="E1032" s="22" t="s">
        <v>2060</v>
      </c>
      <c r="F1032" s="24" t="str">
        <f t="shared" si="64"/>
        <v>PPG - Leyland NON DRIP GLOSS - BW - 2.5ltr</v>
      </c>
      <c r="G1032" s="23" t="s">
        <v>5905</v>
      </c>
      <c r="H1032" s="25" t="s">
        <v>36</v>
      </c>
      <c r="I1032" s="18" t="s">
        <v>37</v>
      </c>
      <c r="J1032" s="18" t="s">
        <v>38</v>
      </c>
      <c r="K1032" t="s">
        <v>39</v>
      </c>
      <c r="L1032" s="26">
        <f>VLOOKUP(A1032,'[3]Price info'!A:D,4,FALSE)</f>
        <v>12.16</v>
      </c>
      <c r="M1032" s="18" t="s">
        <v>40</v>
      </c>
      <c r="N1032" s="20">
        <v>3105</v>
      </c>
      <c r="P1032" s="16">
        <f>VLOOKUP(A1032,'[3]Price info'!A:H,8,FALSE)</f>
        <v>12.16</v>
      </c>
      <c r="Q1032" s="33">
        <f t="shared" si="65"/>
        <v>1</v>
      </c>
      <c r="S1032" s="16" t="e">
        <f>VLOOKUP(A1032,[4]Sales!$E:$G,3,FALSE)</f>
        <v>#N/A</v>
      </c>
      <c r="T1032" s="19" t="e">
        <f>VLOOKUP(A1032,[4]Volume!$E:$G,3,FALSE)</f>
        <v>#N/A</v>
      </c>
      <c r="U1032" s="19" t="e">
        <f>VLOOKUP(A1032,[4]Piece!$E:$G,3,FALSE)</f>
        <v>#N/A</v>
      </c>
      <c r="V1032" s="21" t="e">
        <f t="shared" si="66"/>
        <v>#N/A</v>
      </c>
      <c r="W1032" s="16" t="e">
        <f t="shared" si="67"/>
        <v>#N/A</v>
      </c>
    </row>
    <row r="1033" spans="1:23" hidden="1" x14ac:dyDescent="0.3">
      <c r="A1033" s="22" t="s">
        <v>2061</v>
      </c>
      <c r="B1033" s="22" t="s">
        <v>2061</v>
      </c>
      <c r="C1033" s="23" t="s">
        <v>33</v>
      </c>
      <c r="D1033" s="20" t="s">
        <v>34</v>
      </c>
      <c r="E1033" s="22" t="s">
        <v>2062</v>
      </c>
      <c r="F1033" s="24" t="str">
        <f t="shared" si="64"/>
        <v>PPG - Leyland SATINWOOD - Brilliant White - 750ltr</v>
      </c>
      <c r="G1033" s="23" t="s">
        <v>5906</v>
      </c>
      <c r="H1033" s="25" t="s">
        <v>36</v>
      </c>
      <c r="I1033" s="18" t="s">
        <v>37</v>
      </c>
      <c r="J1033" s="18" t="s">
        <v>38</v>
      </c>
      <c r="K1033" t="s">
        <v>39</v>
      </c>
      <c r="L1033" s="26">
        <f>VLOOKUP(A1033,'[3]Price info'!A:D,4,FALSE)</f>
        <v>10.5</v>
      </c>
      <c r="M1033" s="18" t="s">
        <v>40</v>
      </c>
      <c r="N1033" s="20">
        <v>3105</v>
      </c>
      <c r="P1033" s="16">
        <f>VLOOKUP(A1033,'[3]Price info'!A:H,8,FALSE)</f>
        <v>10.5</v>
      </c>
      <c r="Q1033" s="33">
        <f t="shared" si="65"/>
        <v>1</v>
      </c>
      <c r="S1033" s="16" t="e">
        <f>VLOOKUP(A1033,[4]Sales!$E:$G,3,FALSE)</f>
        <v>#N/A</v>
      </c>
      <c r="T1033" s="19" t="e">
        <f>VLOOKUP(A1033,[4]Volume!$E:$G,3,FALSE)</f>
        <v>#N/A</v>
      </c>
      <c r="U1033" s="19" t="e">
        <f>VLOOKUP(A1033,[4]Piece!$E:$G,3,FALSE)</f>
        <v>#N/A</v>
      </c>
      <c r="V1033" s="21" t="e">
        <f t="shared" si="66"/>
        <v>#N/A</v>
      </c>
      <c r="W1033" s="16" t="e">
        <f t="shared" si="67"/>
        <v>#N/A</v>
      </c>
    </row>
    <row r="1034" spans="1:23" hidden="1" x14ac:dyDescent="0.3">
      <c r="A1034" s="22" t="s">
        <v>2063</v>
      </c>
      <c r="B1034" s="22" t="s">
        <v>2063</v>
      </c>
      <c r="C1034" s="23" t="s">
        <v>33</v>
      </c>
      <c r="D1034" s="20" t="s">
        <v>34</v>
      </c>
      <c r="E1034" s="22" t="s">
        <v>2064</v>
      </c>
      <c r="F1034" s="24" t="str">
        <f t="shared" si="64"/>
        <v>PPG - Leyland SUPERLEYTEX - Brilliant White - 5ltr</v>
      </c>
      <c r="G1034" s="23" t="s">
        <v>5907</v>
      </c>
      <c r="H1034" s="25" t="s">
        <v>36</v>
      </c>
      <c r="I1034" s="18" t="s">
        <v>37</v>
      </c>
      <c r="J1034" s="18" t="s">
        <v>38</v>
      </c>
      <c r="K1034" t="s">
        <v>39</v>
      </c>
      <c r="L1034" s="26">
        <f>VLOOKUP(A1034,'[3]Price info'!A:D,4,FALSE)</f>
        <v>17.149999999999999</v>
      </c>
      <c r="M1034" s="18" t="s">
        <v>40</v>
      </c>
      <c r="N1034" s="20">
        <v>3105</v>
      </c>
      <c r="P1034" s="16">
        <f>VLOOKUP(A1034,'[3]Price info'!A:H,8,FALSE)</f>
        <v>17.149999999999999</v>
      </c>
      <c r="Q1034" s="33">
        <f t="shared" si="65"/>
        <v>1</v>
      </c>
      <c r="S1034" s="16" t="e">
        <f>VLOOKUP(A1034,[4]Sales!$E:$G,3,FALSE)</f>
        <v>#N/A</v>
      </c>
      <c r="T1034" s="19" t="e">
        <f>VLOOKUP(A1034,[4]Volume!$E:$G,3,FALSE)</f>
        <v>#N/A</v>
      </c>
      <c r="U1034" s="19" t="e">
        <f>VLOOKUP(A1034,[4]Piece!$E:$G,3,FALSE)</f>
        <v>#N/A</v>
      </c>
      <c r="V1034" s="21" t="e">
        <f t="shared" si="66"/>
        <v>#N/A</v>
      </c>
      <c r="W1034" s="16" t="e">
        <f t="shared" si="67"/>
        <v>#N/A</v>
      </c>
    </row>
    <row r="1035" spans="1:23" hidden="1" x14ac:dyDescent="0.3">
      <c r="A1035" s="22" t="s">
        <v>2065</v>
      </c>
      <c r="B1035" s="22" t="s">
        <v>2065</v>
      </c>
      <c r="C1035" s="23" t="s">
        <v>33</v>
      </c>
      <c r="D1035" s="20" t="s">
        <v>34</v>
      </c>
      <c r="E1035" s="22" t="s">
        <v>2066</v>
      </c>
      <c r="F1035" s="24" t="str">
        <f t="shared" si="64"/>
        <v>PPG - Leyland SUPERLEYTEX - Magnolia - 10ltr</v>
      </c>
      <c r="G1035" s="23" t="s">
        <v>5908</v>
      </c>
      <c r="H1035" s="25" t="s">
        <v>36</v>
      </c>
      <c r="I1035" s="18" t="s">
        <v>37</v>
      </c>
      <c r="J1035" s="18" t="s">
        <v>38</v>
      </c>
      <c r="K1035" t="s">
        <v>39</v>
      </c>
      <c r="L1035" s="26">
        <f>VLOOKUP(A1035,'[3]Price info'!A:D,4,FALSE)</f>
        <v>27.22</v>
      </c>
      <c r="M1035" s="18" t="s">
        <v>40</v>
      </c>
      <c r="N1035" s="20">
        <v>3105</v>
      </c>
      <c r="P1035" s="16">
        <f>VLOOKUP(A1035,'[3]Price info'!A:H,8,FALSE)</f>
        <v>27.22</v>
      </c>
      <c r="Q1035" s="33">
        <f t="shared" si="65"/>
        <v>1</v>
      </c>
      <c r="S1035" s="16" t="e">
        <f>VLOOKUP(A1035,[4]Sales!$E:$G,3,FALSE)</f>
        <v>#N/A</v>
      </c>
      <c r="T1035" s="19" t="e">
        <f>VLOOKUP(A1035,[4]Volume!$E:$G,3,FALSE)</f>
        <v>#N/A</v>
      </c>
      <c r="U1035" s="19" t="e">
        <f>VLOOKUP(A1035,[4]Piece!$E:$G,3,FALSE)</f>
        <v>#N/A</v>
      </c>
      <c r="V1035" s="21" t="e">
        <f t="shared" si="66"/>
        <v>#N/A</v>
      </c>
      <c r="W1035" s="16" t="e">
        <f t="shared" si="67"/>
        <v>#N/A</v>
      </c>
    </row>
    <row r="1036" spans="1:23" hidden="1" x14ac:dyDescent="0.3">
      <c r="A1036" s="22" t="s">
        <v>2067</v>
      </c>
      <c r="B1036" s="22" t="s">
        <v>2067</v>
      </c>
      <c r="C1036" s="23" t="s">
        <v>33</v>
      </c>
      <c r="D1036" s="20" t="s">
        <v>34</v>
      </c>
      <c r="E1036" s="22" t="s">
        <v>2068</v>
      </c>
      <c r="F1036" s="24" t="str">
        <f t="shared" si="64"/>
        <v>PPG - Leyland SUPERLEYTEX - Magnolia - 5ltr</v>
      </c>
      <c r="G1036" s="23" t="s">
        <v>5909</v>
      </c>
      <c r="H1036" s="25" t="s">
        <v>36</v>
      </c>
      <c r="I1036" s="18" t="s">
        <v>37</v>
      </c>
      <c r="J1036" s="18" t="s">
        <v>38</v>
      </c>
      <c r="K1036" t="s">
        <v>39</v>
      </c>
      <c r="L1036" s="26">
        <f>VLOOKUP(A1036,'[3]Price info'!A:D,4,FALSE)</f>
        <v>17.149999999999999</v>
      </c>
      <c r="M1036" s="18" t="s">
        <v>40</v>
      </c>
      <c r="N1036" s="20">
        <v>3105</v>
      </c>
      <c r="P1036" s="16">
        <f>VLOOKUP(A1036,'[3]Price info'!A:H,8,FALSE)</f>
        <v>17.149999999999999</v>
      </c>
      <c r="Q1036" s="33">
        <f t="shared" si="65"/>
        <v>1</v>
      </c>
      <c r="S1036" s="16" t="e">
        <f>VLOOKUP(A1036,[4]Sales!$E:$G,3,FALSE)</f>
        <v>#N/A</v>
      </c>
      <c r="T1036" s="19" t="e">
        <f>VLOOKUP(A1036,[4]Volume!$E:$G,3,FALSE)</f>
        <v>#N/A</v>
      </c>
      <c r="U1036" s="19" t="e">
        <f>VLOOKUP(A1036,[4]Piece!$E:$G,3,FALSE)</f>
        <v>#N/A</v>
      </c>
      <c r="V1036" s="21" t="e">
        <f t="shared" si="66"/>
        <v>#N/A</v>
      </c>
      <c r="W1036" s="16" t="e">
        <f t="shared" si="67"/>
        <v>#N/A</v>
      </c>
    </row>
    <row r="1037" spans="1:23" hidden="1" x14ac:dyDescent="0.3">
      <c r="A1037" s="22" t="s">
        <v>2069</v>
      </c>
      <c r="B1037" s="22" t="s">
        <v>2069</v>
      </c>
      <c r="C1037" s="23" t="s">
        <v>33</v>
      </c>
      <c r="D1037" s="20" t="s">
        <v>34</v>
      </c>
      <c r="E1037" s="22" t="s">
        <v>2070</v>
      </c>
      <c r="F1037" s="24" t="str">
        <f t="shared" si="64"/>
        <v>PPG - Leyland TRUGUARD FINE TEXTURED - BW- 5ltr</v>
      </c>
      <c r="G1037" s="23" t="s">
        <v>5910</v>
      </c>
      <c r="H1037" s="25" t="s">
        <v>36</v>
      </c>
      <c r="I1037" s="18" t="s">
        <v>37</v>
      </c>
      <c r="J1037" s="18" t="s">
        <v>38</v>
      </c>
      <c r="K1037" t="s">
        <v>39</v>
      </c>
      <c r="L1037" s="26">
        <f>VLOOKUP(A1037,'[3]Price info'!A:D,4,FALSE)</f>
        <v>26.6</v>
      </c>
      <c r="M1037" s="18" t="s">
        <v>40</v>
      </c>
      <c r="N1037" s="20">
        <v>3105</v>
      </c>
      <c r="P1037" s="16">
        <f>VLOOKUP(A1037,'[3]Price info'!A:H,8,FALSE)</f>
        <v>26.6</v>
      </c>
      <c r="Q1037" s="33">
        <f t="shared" si="65"/>
        <v>1</v>
      </c>
      <c r="S1037" s="16" t="e">
        <f>VLOOKUP(A1037,[4]Sales!$E:$G,3,FALSE)</f>
        <v>#N/A</v>
      </c>
      <c r="T1037" s="19" t="e">
        <f>VLOOKUP(A1037,[4]Volume!$E:$G,3,FALSE)</f>
        <v>#N/A</v>
      </c>
      <c r="U1037" s="19" t="e">
        <f>VLOOKUP(A1037,[4]Piece!$E:$G,3,FALSE)</f>
        <v>#N/A</v>
      </c>
      <c r="V1037" s="21" t="e">
        <f t="shared" si="66"/>
        <v>#N/A</v>
      </c>
      <c r="W1037" s="16" t="e">
        <f t="shared" si="67"/>
        <v>#N/A</v>
      </c>
    </row>
    <row r="1038" spans="1:23" hidden="1" x14ac:dyDescent="0.3">
      <c r="A1038" s="22" t="s">
        <v>2071</v>
      </c>
      <c r="B1038" s="22" t="s">
        <v>2071</v>
      </c>
      <c r="C1038" s="23" t="s">
        <v>33</v>
      </c>
      <c r="D1038" s="20" t="s">
        <v>34</v>
      </c>
      <c r="E1038" s="22" t="s">
        <v>2072</v>
      </c>
      <c r="F1038" s="24" t="str">
        <f t="shared" si="64"/>
        <v>PPG - Leyland TG SMOOTH MASONRY - Cream - 5ltr</v>
      </c>
      <c r="G1038" s="23" t="s">
        <v>5911</v>
      </c>
      <c r="H1038" s="25" t="s">
        <v>36</v>
      </c>
      <c r="I1038" s="18" t="s">
        <v>37</v>
      </c>
      <c r="J1038" s="18" t="s">
        <v>38</v>
      </c>
      <c r="K1038" t="s">
        <v>39</v>
      </c>
      <c r="L1038" s="26">
        <f>VLOOKUP(A1038,'[3]Price info'!A:D,4,FALSE)</f>
        <v>16.010000000000002</v>
      </c>
      <c r="M1038" s="18" t="s">
        <v>40</v>
      </c>
      <c r="N1038" s="20">
        <v>3105</v>
      </c>
      <c r="P1038" s="16">
        <f>VLOOKUP(A1038,'[3]Price info'!A:H,8,FALSE)</f>
        <v>16.010000000000002</v>
      </c>
      <c r="Q1038" s="33">
        <f t="shared" si="65"/>
        <v>1</v>
      </c>
      <c r="S1038" s="16" t="e">
        <f>VLOOKUP(A1038,[4]Sales!$E:$G,3,FALSE)</f>
        <v>#N/A</v>
      </c>
      <c r="T1038" s="19" t="e">
        <f>VLOOKUP(A1038,[4]Volume!$E:$G,3,FALSE)</f>
        <v>#N/A</v>
      </c>
      <c r="U1038" s="19" t="e">
        <f>VLOOKUP(A1038,[4]Piece!$E:$G,3,FALSE)</f>
        <v>#N/A</v>
      </c>
      <c r="V1038" s="21" t="e">
        <f t="shared" si="66"/>
        <v>#N/A</v>
      </c>
      <c r="W1038" s="16" t="e">
        <f t="shared" si="67"/>
        <v>#N/A</v>
      </c>
    </row>
    <row r="1039" spans="1:23" hidden="1" x14ac:dyDescent="0.3">
      <c r="A1039" s="22" t="s">
        <v>2073</v>
      </c>
      <c r="B1039" s="22" t="s">
        <v>2073</v>
      </c>
      <c r="C1039" s="23" t="s">
        <v>33</v>
      </c>
      <c r="D1039" s="20" t="s">
        <v>34</v>
      </c>
      <c r="E1039" s="22" t="s">
        <v>2074</v>
      </c>
      <c r="F1039" s="24" t="str">
        <f t="shared" si="64"/>
        <v>PPG - Leyland TG SMOOTH MASONRY - Dove Grey - 5ltr</v>
      </c>
      <c r="G1039" s="23" t="s">
        <v>5912</v>
      </c>
      <c r="H1039" s="25" t="s">
        <v>36</v>
      </c>
      <c r="I1039" s="18" t="s">
        <v>37</v>
      </c>
      <c r="J1039" s="18" t="s">
        <v>38</v>
      </c>
      <c r="K1039" t="s">
        <v>39</v>
      </c>
      <c r="L1039" s="26">
        <f>VLOOKUP(A1039,'[3]Price info'!A:D,4,FALSE)</f>
        <v>16.010000000000002</v>
      </c>
      <c r="M1039" s="18" t="s">
        <v>40</v>
      </c>
      <c r="N1039" s="20">
        <v>3105</v>
      </c>
      <c r="P1039" s="16">
        <f>VLOOKUP(A1039,'[3]Price info'!A:H,8,FALSE)</f>
        <v>16.010000000000002</v>
      </c>
      <c r="Q1039" s="33">
        <f t="shared" si="65"/>
        <v>1</v>
      </c>
      <c r="S1039" s="16" t="e">
        <f>VLOOKUP(A1039,[4]Sales!$E:$G,3,FALSE)</f>
        <v>#N/A</v>
      </c>
      <c r="T1039" s="19" t="e">
        <f>VLOOKUP(A1039,[4]Volume!$E:$G,3,FALSE)</f>
        <v>#N/A</v>
      </c>
      <c r="U1039" s="19" t="e">
        <f>VLOOKUP(A1039,[4]Piece!$E:$G,3,FALSE)</f>
        <v>#N/A</v>
      </c>
      <c r="V1039" s="21" t="e">
        <f t="shared" si="66"/>
        <v>#N/A</v>
      </c>
      <c r="W1039" s="16" t="e">
        <f t="shared" si="67"/>
        <v>#N/A</v>
      </c>
    </row>
    <row r="1040" spans="1:23" hidden="1" x14ac:dyDescent="0.3">
      <c r="A1040" s="22" t="s">
        <v>2075</v>
      </c>
      <c r="B1040" s="22" t="s">
        <v>2075</v>
      </c>
      <c r="C1040" s="23" t="s">
        <v>33</v>
      </c>
      <c r="D1040" s="20" t="s">
        <v>34</v>
      </c>
      <c r="E1040" s="22" t="s">
        <v>2076</v>
      </c>
      <c r="F1040" s="24" t="str">
        <f t="shared" si="64"/>
        <v>PPG - Leyland TG SMOOTH MASONRY - K Beige - 5ltr</v>
      </c>
      <c r="G1040" s="23" t="s">
        <v>5913</v>
      </c>
      <c r="H1040" s="25" t="s">
        <v>36</v>
      </c>
      <c r="I1040" s="18" t="s">
        <v>37</v>
      </c>
      <c r="J1040" s="18" t="s">
        <v>38</v>
      </c>
      <c r="K1040" t="s">
        <v>39</v>
      </c>
      <c r="L1040" s="26">
        <f>VLOOKUP(A1040,'[3]Price info'!A:D,4,FALSE)</f>
        <v>16.010000000000002</v>
      </c>
      <c r="M1040" s="18" t="s">
        <v>40</v>
      </c>
      <c r="N1040" s="20">
        <v>3105</v>
      </c>
      <c r="P1040" s="16">
        <f>VLOOKUP(A1040,'[3]Price info'!A:H,8,FALSE)</f>
        <v>16.010000000000002</v>
      </c>
      <c r="Q1040" s="33">
        <f t="shared" si="65"/>
        <v>1</v>
      </c>
      <c r="S1040" s="16" t="e">
        <f>VLOOKUP(A1040,[4]Sales!$E:$G,3,FALSE)</f>
        <v>#N/A</v>
      </c>
      <c r="T1040" s="19" t="e">
        <f>VLOOKUP(A1040,[4]Volume!$E:$G,3,FALSE)</f>
        <v>#N/A</v>
      </c>
      <c r="U1040" s="19" t="e">
        <f>VLOOKUP(A1040,[4]Piece!$E:$G,3,FALSE)</f>
        <v>#N/A</v>
      </c>
      <c r="V1040" s="21" t="e">
        <f t="shared" si="66"/>
        <v>#N/A</v>
      </c>
      <c r="W1040" s="16" t="e">
        <f t="shared" si="67"/>
        <v>#N/A</v>
      </c>
    </row>
    <row r="1041" spans="1:23" hidden="1" x14ac:dyDescent="0.3">
      <c r="A1041" s="22" t="s">
        <v>2077</v>
      </c>
      <c r="B1041" s="22" t="s">
        <v>2077</v>
      </c>
      <c r="C1041" s="23" t="s">
        <v>33</v>
      </c>
      <c r="D1041" s="20" t="s">
        <v>34</v>
      </c>
      <c r="E1041" s="22" t="s">
        <v>2078</v>
      </c>
      <c r="F1041" s="24" t="str">
        <f t="shared" si="64"/>
        <v>PPG - Leyland TG SMOOTH MASONRY - Pearl - 5ltr</v>
      </c>
      <c r="G1041" s="23" t="s">
        <v>5914</v>
      </c>
      <c r="H1041" s="25" t="s">
        <v>36</v>
      </c>
      <c r="I1041" s="18" t="s">
        <v>37</v>
      </c>
      <c r="J1041" s="18" t="s">
        <v>38</v>
      </c>
      <c r="K1041" t="s">
        <v>39</v>
      </c>
      <c r="L1041" s="26">
        <f>VLOOKUP(A1041,'[3]Price info'!A:D,4,FALSE)</f>
        <v>16.010000000000002</v>
      </c>
      <c r="M1041" s="18" t="s">
        <v>40</v>
      </c>
      <c r="N1041" s="20">
        <v>3105</v>
      </c>
      <c r="P1041" s="16">
        <f>VLOOKUP(A1041,'[3]Price info'!A:H,8,FALSE)</f>
        <v>16.010000000000002</v>
      </c>
      <c r="Q1041" s="33">
        <f t="shared" si="65"/>
        <v>1</v>
      </c>
      <c r="S1041" s="16" t="e">
        <f>VLOOKUP(A1041,[4]Sales!$E:$G,3,FALSE)</f>
        <v>#N/A</v>
      </c>
      <c r="T1041" s="19" t="e">
        <f>VLOOKUP(A1041,[4]Volume!$E:$G,3,FALSE)</f>
        <v>#N/A</v>
      </c>
      <c r="U1041" s="19" t="e">
        <f>VLOOKUP(A1041,[4]Piece!$E:$G,3,FALSE)</f>
        <v>#N/A</v>
      </c>
      <c r="V1041" s="21" t="e">
        <f t="shared" si="66"/>
        <v>#N/A</v>
      </c>
      <c r="W1041" s="16" t="e">
        <f t="shared" si="67"/>
        <v>#N/A</v>
      </c>
    </row>
    <row r="1042" spans="1:23" hidden="1" x14ac:dyDescent="0.3">
      <c r="A1042" s="22" t="s">
        <v>2079</v>
      </c>
      <c r="B1042" s="22" t="s">
        <v>2079</v>
      </c>
      <c r="C1042" s="23" t="s">
        <v>33</v>
      </c>
      <c r="D1042" s="20" t="s">
        <v>34</v>
      </c>
      <c r="E1042" s="22" t="s">
        <v>2080</v>
      </c>
      <c r="F1042" s="24" t="str">
        <f t="shared" si="64"/>
        <v>PPG - Leyland UNDERCOAT - Dark Grey - 750ml</v>
      </c>
      <c r="G1042" s="23" t="s">
        <v>5915</v>
      </c>
      <c r="H1042" s="25" t="s">
        <v>36</v>
      </c>
      <c r="I1042" s="18" t="s">
        <v>37</v>
      </c>
      <c r="J1042" s="18" t="s">
        <v>38</v>
      </c>
      <c r="K1042" t="s">
        <v>39</v>
      </c>
      <c r="L1042" s="26">
        <f>VLOOKUP(A1042,'[3]Price info'!A:D,4,FALSE)</f>
        <v>10.95</v>
      </c>
      <c r="M1042" s="18" t="s">
        <v>40</v>
      </c>
      <c r="N1042" s="20">
        <v>3105</v>
      </c>
      <c r="P1042" s="16">
        <f>VLOOKUP(A1042,'[3]Price info'!A:H,8,FALSE)</f>
        <v>10.95</v>
      </c>
      <c r="Q1042" s="33">
        <f t="shared" si="65"/>
        <v>1</v>
      </c>
      <c r="S1042" s="16" t="e">
        <f>VLOOKUP(A1042,[4]Sales!$E:$G,3,FALSE)</f>
        <v>#N/A</v>
      </c>
      <c r="T1042" s="19" t="e">
        <f>VLOOKUP(A1042,[4]Volume!$E:$G,3,FALSE)</f>
        <v>#N/A</v>
      </c>
      <c r="U1042" s="19" t="e">
        <f>VLOOKUP(A1042,[4]Piece!$E:$G,3,FALSE)</f>
        <v>#N/A</v>
      </c>
      <c r="V1042" s="21" t="e">
        <f t="shared" si="66"/>
        <v>#N/A</v>
      </c>
      <c r="W1042" s="16" t="e">
        <f t="shared" si="67"/>
        <v>#N/A</v>
      </c>
    </row>
    <row r="1043" spans="1:23" hidden="1" x14ac:dyDescent="0.3">
      <c r="A1043" s="22" t="s">
        <v>2081</v>
      </c>
      <c r="B1043" s="22" t="s">
        <v>2081</v>
      </c>
      <c r="C1043" s="23" t="s">
        <v>33</v>
      </c>
      <c r="D1043" s="20" t="s">
        <v>34</v>
      </c>
      <c r="E1043" s="22" t="s">
        <v>2082</v>
      </c>
      <c r="F1043" s="24" t="str">
        <f t="shared" si="64"/>
        <v>PPG - Leyland UNDERCOAT - Dark Grey - 2.5ltr</v>
      </c>
      <c r="G1043" s="23" t="s">
        <v>5916</v>
      </c>
      <c r="H1043" s="25" t="s">
        <v>36</v>
      </c>
      <c r="I1043" s="18" t="s">
        <v>37</v>
      </c>
      <c r="J1043" s="18" t="s">
        <v>38</v>
      </c>
      <c r="K1043" t="s">
        <v>39</v>
      </c>
      <c r="L1043" s="26">
        <f>VLOOKUP(A1043,'[3]Price info'!A:D,4,FALSE)</f>
        <v>14.19</v>
      </c>
      <c r="M1043" s="18" t="s">
        <v>40</v>
      </c>
      <c r="N1043" s="20">
        <v>3105</v>
      </c>
      <c r="P1043" s="16">
        <f>VLOOKUP(A1043,'[3]Price info'!A:H,8,FALSE)</f>
        <v>14.19</v>
      </c>
      <c r="Q1043" s="33">
        <f t="shared" si="65"/>
        <v>1</v>
      </c>
      <c r="S1043" s="16" t="e">
        <f>VLOOKUP(A1043,[4]Sales!$E:$G,3,FALSE)</f>
        <v>#N/A</v>
      </c>
      <c r="T1043" s="19" t="e">
        <f>VLOOKUP(A1043,[4]Volume!$E:$G,3,FALSE)</f>
        <v>#N/A</v>
      </c>
      <c r="U1043" s="19" t="e">
        <f>VLOOKUP(A1043,[4]Piece!$E:$G,3,FALSE)</f>
        <v>#N/A</v>
      </c>
      <c r="V1043" s="21" t="e">
        <f t="shared" si="66"/>
        <v>#N/A</v>
      </c>
      <c r="W1043" s="16" t="e">
        <f t="shared" si="67"/>
        <v>#N/A</v>
      </c>
    </row>
    <row r="1044" spans="1:23" hidden="1" x14ac:dyDescent="0.3">
      <c r="A1044" s="22" t="s">
        <v>2083</v>
      </c>
      <c r="B1044" s="22" t="s">
        <v>2083</v>
      </c>
      <c r="C1044" s="23" t="s">
        <v>33</v>
      </c>
      <c r="D1044" s="20" t="s">
        <v>34</v>
      </c>
      <c r="E1044" s="22" t="s">
        <v>2084</v>
      </c>
      <c r="F1044" s="24" t="str">
        <f t="shared" si="64"/>
        <v>PPG - Leyland UNDERCOAT - Mid Grey 750ml</v>
      </c>
      <c r="G1044" s="23" t="s">
        <v>5917</v>
      </c>
      <c r="H1044" s="25" t="s">
        <v>36</v>
      </c>
      <c r="I1044" s="18" t="s">
        <v>37</v>
      </c>
      <c r="J1044" s="18" t="s">
        <v>38</v>
      </c>
      <c r="K1044" t="s">
        <v>39</v>
      </c>
      <c r="L1044" s="26">
        <f>VLOOKUP(A1044,'[3]Price info'!A:D,4,FALSE)</f>
        <v>10.95</v>
      </c>
      <c r="M1044" s="18" t="s">
        <v>40</v>
      </c>
      <c r="N1044" s="20">
        <v>3105</v>
      </c>
      <c r="P1044" s="16">
        <f>VLOOKUP(A1044,'[3]Price info'!A:H,8,FALSE)</f>
        <v>10.95</v>
      </c>
      <c r="Q1044" s="33">
        <f t="shared" si="65"/>
        <v>1</v>
      </c>
      <c r="S1044" s="16" t="e">
        <f>VLOOKUP(A1044,[4]Sales!$E:$G,3,FALSE)</f>
        <v>#N/A</v>
      </c>
      <c r="T1044" s="19" t="e">
        <f>VLOOKUP(A1044,[4]Volume!$E:$G,3,FALSE)</f>
        <v>#N/A</v>
      </c>
      <c r="U1044" s="19" t="e">
        <f>VLOOKUP(A1044,[4]Piece!$E:$G,3,FALSE)</f>
        <v>#N/A</v>
      </c>
      <c r="V1044" s="21" t="e">
        <f t="shared" si="66"/>
        <v>#N/A</v>
      </c>
      <c r="W1044" s="16" t="e">
        <f t="shared" si="67"/>
        <v>#N/A</v>
      </c>
    </row>
    <row r="1045" spans="1:23" hidden="1" x14ac:dyDescent="0.3">
      <c r="A1045" s="22" t="s">
        <v>2085</v>
      </c>
      <c r="B1045" s="22" t="s">
        <v>2085</v>
      </c>
      <c r="C1045" s="23" t="s">
        <v>33</v>
      </c>
      <c r="D1045" s="20" t="s">
        <v>34</v>
      </c>
      <c r="E1045" s="22" t="s">
        <v>2086</v>
      </c>
      <c r="F1045" s="24" t="str">
        <f t="shared" si="64"/>
        <v>PPG - Leyland UNDERCOAT - Mid Grey 2.5ltr</v>
      </c>
      <c r="G1045" s="23" t="s">
        <v>5918</v>
      </c>
      <c r="H1045" s="25" t="s">
        <v>36</v>
      </c>
      <c r="I1045" s="18" t="s">
        <v>37</v>
      </c>
      <c r="J1045" s="18" t="s">
        <v>38</v>
      </c>
      <c r="K1045" t="s">
        <v>39</v>
      </c>
      <c r="L1045" s="26">
        <f>VLOOKUP(A1045,'[3]Price info'!A:D,4,FALSE)</f>
        <v>14.19</v>
      </c>
      <c r="M1045" s="18" t="s">
        <v>40</v>
      </c>
      <c r="N1045" s="20">
        <v>3105</v>
      </c>
      <c r="P1045" s="16">
        <f>VLOOKUP(A1045,'[3]Price info'!A:H,8,FALSE)</f>
        <v>14.19</v>
      </c>
      <c r="Q1045" s="33">
        <f t="shared" si="65"/>
        <v>1</v>
      </c>
      <c r="S1045" s="16" t="e">
        <f>VLOOKUP(A1045,[4]Sales!$E:$G,3,FALSE)</f>
        <v>#N/A</v>
      </c>
      <c r="T1045" s="19" t="e">
        <f>VLOOKUP(A1045,[4]Volume!$E:$G,3,FALSE)</f>
        <v>#N/A</v>
      </c>
      <c r="U1045" s="19" t="e">
        <f>VLOOKUP(A1045,[4]Piece!$E:$G,3,FALSE)</f>
        <v>#N/A</v>
      </c>
      <c r="V1045" s="21" t="e">
        <f t="shared" si="66"/>
        <v>#N/A</v>
      </c>
      <c r="W1045" s="16" t="e">
        <f t="shared" si="67"/>
        <v>#N/A</v>
      </c>
    </row>
    <row r="1046" spans="1:23" hidden="1" x14ac:dyDescent="0.3">
      <c r="A1046" s="22" t="s">
        <v>2087</v>
      </c>
      <c r="B1046" s="22" t="s">
        <v>2087</v>
      </c>
      <c r="C1046" s="23" t="s">
        <v>33</v>
      </c>
      <c r="D1046" s="20" t="s">
        <v>34</v>
      </c>
      <c r="E1046" s="22" t="s">
        <v>2088</v>
      </c>
      <c r="F1046" s="24" t="str">
        <f t="shared" si="64"/>
        <v>PPG - Leyland UNDERCOAT - Brilliant White - 750ltr</v>
      </c>
      <c r="G1046" s="23" t="s">
        <v>5919</v>
      </c>
      <c r="H1046" s="25" t="s">
        <v>36</v>
      </c>
      <c r="I1046" s="18" t="s">
        <v>37</v>
      </c>
      <c r="J1046" s="18" t="s">
        <v>38</v>
      </c>
      <c r="K1046" t="s">
        <v>39</v>
      </c>
      <c r="L1046" s="26">
        <f>VLOOKUP(A1046,'[3]Price info'!A:D,4,FALSE)</f>
        <v>7.41</v>
      </c>
      <c r="M1046" s="18" t="s">
        <v>40</v>
      </c>
      <c r="N1046" s="20">
        <v>3105</v>
      </c>
      <c r="P1046" s="16">
        <f>VLOOKUP(A1046,'[3]Price info'!A:H,8,FALSE)</f>
        <v>7.41</v>
      </c>
      <c r="Q1046" s="33">
        <f t="shared" si="65"/>
        <v>1</v>
      </c>
      <c r="S1046" s="16" t="e">
        <f>VLOOKUP(A1046,[4]Sales!$E:$G,3,FALSE)</f>
        <v>#N/A</v>
      </c>
      <c r="T1046" s="19" t="e">
        <f>VLOOKUP(A1046,[4]Volume!$E:$G,3,FALSE)</f>
        <v>#N/A</v>
      </c>
      <c r="U1046" s="19" t="e">
        <f>VLOOKUP(A1046,[4]Piece!$E:$G,3,FALSE)</f>
        <v>#N/A</v>
      </c>
      <c r="V1046" s="21" t="e">
        <f t="shared" si="66"/>
        <v>#N/A</v>
      </c>
      <c r="W1046" s="16" t="e">
        <f t="shared" si="67"/>
        <v>#N/A</v>
      </c>
    </row>
    <row r="1047" spans="1:23" hidden="1" x14ac:dyDescent="0.3">
      <c r="A1047" s="22" t="s">
        <v>2089</v>
      </c>
      <c r="B1047" s="22" t="s">
        <v>2089</v>
      </c>
      <c r="C1047" s="23" t="s">
        <v>33</v>
      </c>
      <c r="D1047" s="20" t="s">
        <v>34</v>
      </c>
      <c r="E1047" s="22" t="s">
        <v>2090</v>
      </c>
      <c r="F1047" s="24" t="str">
        <f t="shared" si="64"/>
        <v>PPG - Leyland VINYL MATT - Brill White - 2.5ltr</v>
      </c>
      <c r="G1047" s="23" t="s">
        <v>5920</v>
      </c>
      <c r="H1047" s="25" t="s">
        <v>36</v>
      </c>
      <c r="I1047" s="18" t="s">
        <v>37</v>
      </c>
      <c r="J1047" s="18" t="s">
        <v>38</v>
      </c>
      <c r="K1047" t="s">
        <v>39</v>
      </c>
      <c r="L1047" s="26">
        <f>VLOOKUP(A1047,'[3]Price info'!A:D,4,FALSE)</f>
        <v>7.41</v>
      </c>
      <c r="M1047" s="18" t="s">
        <v>40</v>
      </c>
      <c r="N1047" s="20">
        <v>3105</v>
      </c>
      <c r="P1047" s="16">
        <f>VLOOKUP(A1047,'[3]Price info'!A:H,8,FALSE)</f>
        <v>7.41</v>
      </c>
      <c r="Q1047" s="33">
        <f t="shared" si="65"/>
        <v>1</v>
      </c>
      <c r="S1047" s="16" t="e">
        <f>VLOOKUP(A1047,[4]Sales!$E:$G,3,FALSE)</f>
        <v>#N/A</v>
      </c>
      <c r="T1047" s="19" t="e">
        <f>VLOOKUP(A1047,[4]Volume!$E:$G,3,FALSE)</f>
        <v>#N/A</v>
      </c>
      <c r="U1047" s="19" t="e">
        <f>VLOOKUP(A1047,[4]Piece!$E:$G,3,FALSE)</f>
        <v>#N/A</v>
      </c>
      <c r="V1047" s="21" t="e">
        <f t="shared" si="66"/>
        <v>#N/A</v>
      </c>
      <c r="W1047" s="16" t="e">
        <f t="shared" si="67"/>
        <v>#N/A</v>
      </c>
    </row>
    <row r="1048" spans="1:23" hidden="1" x14ac:dyDescent="0.3">
      <c r="A1048" s="22" t="s">
        <v>2091</v>
      </c>
      <c r="B1048" s="22" t="s">
        <v>2091</v>
      </c>
      <c r="C1048" s="23" t="s">
        <v>33</v>
      </c>
      <c r="D1048" s="20" t="s">
        <v>34</v>
      </c>
      <c r="E1048" s="22" t="s">
        <v>2092</v>
      </c>
      <c r="F1048" s="24" t="str">
        <f t="shared" si="64"/>
        <v>PPG - Leyland VINYL MATT - Dove Grey - 5ltr</v>
      </c>
      <c r="G1048" s="23" t="s">
        <v>5921</v>
      </c>
      <c r="H1048" s="25" t="s">
        <v>36</v>
      </c>
      <c r="I1048" s="18" t="s">
        <v>37</v>
      </c>
      <c r="J1048" s="18" t="s">
        <v>38</v>
      </c>
      <c r="K1048" t="s">
        <v>39</v>
      </c>
      <c r="L1048" s="26">
        <f>VLOOKUP(A1048,'[3]Price info'!A:D,4,FALSE)</f>
        <v>10.38</v>
      </c>
      <c r="M1048" s="18" t="s">
        <v>40</v>
      </c>
      <c r="N1048" s="20">
        <v>3105</v>
      </c>
      <c r="P1048" s="16">
        <f>VLOOKUP(A1048,'[3]Price info'!A:H,8,FALSE)</f>
        <v>10.38</v>
      </c>
      <c r="Q1048" s="33">
        <f t="shared" si="65"/>
        <v>1</v>
      </c>
      <c r="S1048" s="16" t="e">
        <f>VLOOKUP(A1048,[4]Sales!$E:$G,3,FALSE)</f>
        <v>#N/A</v>
      </c>
      <c r="T1048" s="19" t="e">
        <f>VLOOKUP(A1048,[4]Volume!$E:$G,3,FALSE)</f>
        <v>#N/A</v>
      </c>
      <c r="U1048" s="19" t="e">
        <f>VLOOKUP(A1048,[4]Piece!$E:$G,3,FALSE)</f>
        <v>#N/A</v>
      </c>
      <c r="V1048" s="21" t="e">
        <f t="shared" si="66"/>
        <v>#N/A</v>
      </c>
      <c r="W1048" s="16" t="e">
        <f t="shared" si="67"/>
        <v>#N/A</v>
      </c>
    </row>
    <row r="1049" spans="1:23" hidden="1" x14ac:dyDescent="0.3">
      <c r="A1049" s="22" t="s">
        <v>2093</v>
      </c>
      <c r="B1049" s="22" t="s">
        <v>2093</v>
      </c>
      <c r="C1049" s="23" t="s">
        <v>33</v>
      </c>
      <c r="D1049" s="20" t="s">
        <v>34</v>
      </c>
      <c r="E1049" s="22" t="s">
        <v>2094</v>
      </c>
      <c r="F1049" s="24" t="str">
        <f t="shared" si="64"/>
        <v>PPG - Leyland VINYL MATT - Gardenia - 5ltr</v>
      </c>
      <c r="G1049" s="23" t="s">
        <v>5922</v>
      </c>
      <c r="H1049" s="25" t="s">
        <v>36</v>
      </c>
      <c r="I1049" s="18" t="s">
        <v>37</v>
      </c>
      <c r="J1049" s="18" t="s">
        <v>38</v>
      </c>
      <c r="K1049" t="s">
        <v>39</v>
      </c>
      <c r="L1049" s="26">
        <f>VLOOKUP(A1049,'[3]Price info'!A:D,4,FALSE)</f>
        <v>10.38</v>
      </c>
      <c r="M1049" s="18" t="s">
        <v>40</v>
      </c>
      <c r="N1049" s="20">
        <v>3105</v>
      </c>
      <c r="P1049" s="16">
        <f>VLOOKUP(A1049,'[3]Price info'!A:H,8,FALSE)</f>
        <v>10.38</v>
      </c>
      <c r="Q1049" s="33">
        <f t="shared" si="65"/>
        <v>1</v>
      </c>
      <c r="S1049" s="16" t="e">
        <f>VLOOKUP(A1049,[4]Sales!$E:$G,3,FALSE)</f>
        <v>#N/A</v>
      </c>
      <c r="T1049" s="19" t="e">
        <f>VLOOKUP(A1049,[4]Volume!$E:$G,3,FALSE)</f>
        <v>#N/A</v>
      </c>
      <c r="U1049" s="19" t="e">
        <f>VLOOKUP(A1049,[4]Piece!$E:$G,3,FALSE)</f>
        <v>#N/A</v>
      </c>
      <c r="V1049" s="21" t="e">
        <f t="shared" si="66"/>
        <v>#N/A</v>
      </c>
      <c r="W1049" s="16" t="e">
        <f t="shared" si="67"/>
        <v>#N/A</v>
      </c>
    </row>
    <row r="1050" spans="1:23" hidden="1" x14ac:dyDescent="0.3">
      <c r="A1050" s="22" t="s">
        <v>2095</v>
      </c>
      <c r="B1050" s="22" t="s">
        <v>2095</v>
      </c>
      <c r="C1050" s="23" t="s">
        <v>33</v>
      </c>
      <c r="D1050" s="20" t="s">
        <v>34</v>
      </c>
      <c r="E1050" s="22" t="s">
        <v>2096</v>
      </c>
      <c r="F1050" s="24" t="str">
        <f t="shared" si="64"/>
        <v>PPG - Leyland VINYL MATT - Magnolia - 1ltr</v>
      </c>
      <c r="G1050" s="23" t="s">
        <v>5923</v>
      </c>
      <c r="H1050" s="25" t="s">
        <v>36</v>
      </c>
      <c r="I1050" s="18" t="s">
        <v>37</v>
      </c>
      <c r="J1050" s="18" t="s">
        <v>38</v>
      </c>
      <c r="K1050" t="s">
        <v>39</v>
      </c>
      <c r="L1050" s="26">
        <f>VLOOKUP(A1050,'[3]Price info'!A:D,4,FALSE)</f>
        <v>7.35</v>
      </c>
      <c r="M1050" s="18" t="s">
        <v>40</v>
      </c>
      <c r="N1050" s="20">
        <v>3105</v>
      </c>
      <c r="P1050" s="16">
        <f>VLOOKUP(A1050,'[3]Price info'!A:H,8,FALSE)</f>
        <v>7.35</v>
      </c>
      <c r="Q1050" s="33">
        <f t="shared" si="65"/>
        <v>1</v>
      </c>
      <c r="S1050" s="16" t="e">
        <f>VLOOKUP(A1050,[4]Sales!$E:$G,3,FALSE)</f>
        <v>#N/A</v>
      </c>
      <c r="T1050" s="19" t="e">
        <f>VLOOKUP(A1050,[4]Volume!$E:$G,3,FALSE)</f>
        <v>#N/A</v>
      </c>
      <c r="U1050" s="19" t="e">
        <f>VLOOKUP(A1050,[4]Piece!$E:$G,3,FALSE)</f>
        <v>#N/A</v>
      </c>
      <c r="V1050" s="21" t="e">
        <f t="shared" si="66"/>
        <v>#N/A</v>
      </c>
      <c r="W1050" s="16" t="e">
        <f t="shared" si="67"/>
        <v>#N/A</v>
      </c>
    </row>
    <row r="1051" spans="1:23" hidden="1" x14ac:dyDescent="0.3">
      <c r="A1051" s="22" t="s">
        <v>2097</v>
      </c>
      <c r="B1051" s="22" t="s">
        <v>2097</v>
      </c>
      <c r="C1051" s="23" t="s">
        <v>33</v>
      </c>
      <c r="D1051" s="20" t="s">
        <v>34</v>
      </c>
      <c r="E1051" s="22" t="s">
        <v>2098</v>
      </c>
      <c r="F1051" s="24" t="str">
        <f t="shared" si="64"/>
        <v>PPG - Leyland VINYL MATT - Pale Beige - 5ltr</v>
      </c>
      <c r="G1051" s="23" t="s">
        <v>5924</v>
      </c>
      <c r="H1051" s="25" t="s">
        <v>36</v>
      </c>
      <c r="I1051" s="18" t="s">
        <v>37</v>
      </c>
      <c r="J1051" s="18" t="s">
        <v>38</v>
      </c>
      <c r="K1051" t="s">
        <v>39</v>
      </c>
      <c r="L1051" s="26">
        <f>VLOOKUP(A1051,'[3]Price info'!A:D,4,FALSE)</f>
        <v>10.38</v>
      </c>
      <c r="M1051" s="18" t="s">
        <v>40</v>
      </c>
      <c r="N1051" s="20">
        <v>3105</v>
      </c>
      <c r="P1051" s="16">
        <f>VLOOKUP(A1051,'[3]Price info'!A:H,8,FALSE)</f>
        <v>10.38</v>
      </c>
      <c r="Q1051" s="33">
        <f t="shared" si="65"/>
        <v>1</v>
      </c>
      <c r="S1051" s="16" t="e">
        <f>VLOOKUP(A1051,[4]Sales!$E:$G,3,FALSE)</f>
        <v>#N/A</v>
      </c>
      <c r="T1051" s="19" t="e">
        <f>VLOOKUP(A1051,[4]Volume!$E:$G,3,FALSE)</f>
        <v>#N/A</v>
      </c>
      <c r="U1051" s="19" t="e">
        <f>VLOOKUP(A1051,[4]Piece!$E:$G,3,FALSE)</f>
        <v>#N/A</v>
      </c>
      <c r="V1051" s="21" t="e">
        <f t="shared" si="66"/>
        <v>#N/A</v>
      </c>
      <c r="W1051" s="16" t="e">
        <f t="shared" si="67"/>
        <v>#N/A</v>
      </c>
    </row>
    <row r="1052" spans="1:23" hidden="1" x14ac:dyDescent="0.3">
      <c r="A1052" s="22" t="s">
        <v>2099</v>
      </c>
      <c r="B1052" s="22" t="s">
        <v>2099</v>
      </c>
      <c r="C1052" s="23" t="s">
        <v>33</v>
      </c>
      <c r="D1052" s="20" t="s">
        <v>34</v>
      </c>
      <c r="E1052" s="22" t="s">
        <v>2100</v>
      </c>
      <c r="F1052" s="24" t="str">
        <f t="shared" si="64"/>
        <v>PPG - Leyland VINYL MATT - White - 10ltr</v>
      </c>
      <c r="G1052" s="23" t="s">
        <v>5925</v>
      </c>
      <c r="H1052" s="25" t="s">
        <v>36</v>
      </c>
      <c r="I1052" s="18" t="s">
        <v>37</v>
      </c>
      <c r="J1052" s="18" t="s">
        <v>38</v>
      </c>
      <c r="K1052" t="s">
        <v>39</v>
      </c>
      <c r="L1052" s="26">
        <f>VLOOKUP(A1052,'[3]Price info'!A:D,4,FALSE)</f>
        <v>20.74</v>
      </c>
      <c r="M1052" s="18" t="s">
        <v>40</v>
      </c>
      <c r="N1052" s="20">
        <v>3105</v>
      </c>
      <c r="P1052" s="16">
        <f>VLOOKUP(A1052,'[3]Price info'!A:H,8,FALSE)</f>
        <v>20.74</v>
      </c>
      <c r="Q1052" s="33">
        <f t="shared" si="65"/>
        <v>1</v>
      </c>
      <c r="S1052" s="16" t="e">
        <f>VLOOKUP(A1052,[4]Sales!$E:$G,3,FALSE)</f>
        <v>#N/A</v>
      </c>
      <c r="T1052" s="19" t="e">
        <f>VLOOKUP(A1052,[4]Volume!$E:$G,3,FALSE)</f>
        <v>#N/A</v>
      </c>
      <c r="U1052" s="19" t="e">
        <f>VLOOKUP(A1052,[4]Piece!$E:$G,3,FALSE)</f>
        <v>#N/A</v>
      </c>
      <c r="V1052" s="21" t="e">
        <f t="shared" si="66"/>
        <v>#N/A</v>
      </c>
      <c r="W1052" s="16" t="e">
        <f t="shared" si="67"/>
        <v>#N/A</v>
      </c>
    </row>
    <row r="1053" spans="1:23" hidden="1" x14ac:dyDescent="0.3">
      <c r="A1053" s="22" t="s">
        <v>2101</v>
      </c>
      <c r="B1053" s="22" t="s">
        <v>2101</v>
      </c>
      <c r="C1053" s="23" t="s">
        <v>33</v>
      </c>
      <c r="D1053" s="20" t="s">
        <v>34</v>
      </c>
      <c r="E1053" s="22" t="s">
        <v>2102</v>
      </c>
      <c r="F1053" s="24" t="str">
        <f t="shared" si="64"/>
        <v>PPG - Leyland VINYL SILK - Brilliant White - 1ltr</v>
      </c>
      <c r="G1053" s="23" t="s">
        <v>5926</v>
      </c>
      <c r="H1053" s="25" t="s">
        <v>36</v>
      </c>
      <c r="I1053" s="18" t="s">
        <v>37</v>
      </c>
      <c r="J1053" s="18" t="s">
        <v>38</v>
      </c>
      <c r="K1053" t="s">
        <v>39</v>
      </c>
      <c r="L1053" s="26">
        <f>VLOOKUP(A1053,'[3]Price info'!A:D,4,FALSE)</f>
        <v>8.0500000000000007</v>
      </c>
      <c r="M1053" s="18" t="s">
        <v>40</v>
      </c>
      <c r="N1053" s="20">
        <v>3105</v>
      </c>
      <c r="P1053" s="16">
        <f>VLOOKUP(A1053,'[3]Price info'!A:H,8,FALSE)</f>
        <v>8.0500000000000007</v>
      </c>
      <c r="Q1053" s="33">
        <f t="shared" si="65"/>
        <v>1</v>
      </c>
      <c r="S1053" s="16" t="e">
        <f>VLOOKUP(A1053,[4]Sales!$E:$G,3,FALSE)</f>
        <v>#N/A</v>
      </c>
      <c r="T1053" s="19" t="e">
        <f>VLOOKUP(A1053,[4]Volume!$E:$G,3,FALSE)</f>
        <v>#N/A</v>
      </c>
      <c r="U1053" s="19" t="e">
        <f>VLOOKUP(A1053,[4]Piece!$E:$G,3,FALSE)</f>
        <v>#N/A</v>
      </c>
      <c r="V1053" s="21" t="e">
        <f t="shared" si="66"/>
        <v>#N/A</v>
      </c>
      <c r="W1053" s="16" t="e">
        <f t="shared" si="67"/>
        <v>#N/A</v>
      </c>
    </row>
    <row r="1054" spans="1:23" hidden="1" x14ac:dyDescent="0.3">
      <c r="A1054" s="22" t="s">
        <v>2103</v>
      </c>
      <c r="B1054" s="22" t="s">
        <v>2103</v>
      </c>
      <c r="C1054" s="23" t="s">
        <v>33</v>
      </c>
      <c r="D1054" s="20" t="s">
        <v>34</v>
      </c>
      <c r="E1054" s="22" t="s">
        <v>2104</v>
      </c>
      <c r="F1054" s="24" t="str">
        <f t="shared" si="64"/>
        <v>PPG - Leyland VINYL SOFT SHEEN - BW - 5ltr</v>
      </c>
      <c r="G1054" s="23" t="s">
        <v>5927</v>
      </c>
      <c r="H1054" s="25" t="s">
        <v>36</v>
      </c>
      <c r="I1054" s="18" t="s">
        <v>37</v>
      </c>
      <c r="J1054" s="18" t="s">
        <v>38</v>
      </c>
      <c r="K1054" t="s">
        <v>39</v>
      </c>
      <c r="L1054" s="26">
        <f>VLOOKUP(A1054,'[3]Price info'!A:D,4,FALSE)</f>
        <v>10.89</v>
      </c>
      <c r="M1054" s="18" t="s">
        <v>40</v>
      </c>
      <c r="N1054" s="20">
        <v>3105</v>
      </c>
      <c r="P1054" s="16">
        <f>VLOOKUP(A1054,'[3]Price info'!A:H,8,FALSE)</f>
        <v>10.89</v>
      </c>
      <c r="Q1054" s="33">
        <f t="shared" si="65"/>
        <v>1</v>
      </c>
      <c r="S1054" s="16" t="e">
        <f>VLOOKUP(A1054,[4]Sales!$E:$G,3,FALSE)</f>
        <v>#N/A</v>
      </c>
      <c r="T1054" s="19" t="e">
        <f>VLOOKUP(A1054,[4]Volume!$E:$G,3,FALSE)</f>
        <v>#N/A</v>
      </c>
      <c r="U1054" s="19" t="e">
        <f>VLOOKUP(A1054,[4]Piece!$E:$G,3,FALSE)</f>
        <v>#N/A</v>
      </c>
      <c r="V1054" s="21" t="e">
        <f t="shared" si="66"/>
        <v>#N/A</v>
      </c>
      <c r="W1054" s="16" t="e">
        <f t="shared" si="67"/>
        <v>#N/A</v>
      </c>
    </row>
    <row r="1055" spans="1:23" hidden="1" x14ac:dyDescent="0.3">
      <c r="A1055" s="22" t="s">
        <v>2105</v>
      </c>
      <c r="B1055" s="22" t="s">
        <v>2105</v>
      </c>
      <c r="C1055" s="23" t="s">
        <v>33</v>
      </c>
      <c r="D1055" s="20" t="s">
        <v>34</v>
      </c>
      <c r="E1055" s="22" t="s">
        <v>2106</v>
      </c>
      <c r="F1055" s="24" t="str">
        <f t="shared" si="64"/>
        <v>PPG - Leyland VINYL SOFT SHEEN - Magnolia - 5ltr</v>
      </c>
      <c r="G1055" s="23" t="s">
        <v>5928</v>
      </c>
      <c r="H1055" s="25" t="s">
        <v>36</v>
      </c>
      <c r="I1055" s="18" t="s">
        <v>37</v>
      </c>
      <c r="J1055" s="18" t="s">
        <v>38</v>
      </c>
      <c r="K1055" t="s">
        <v>39</v>
      </c>
      <c r="L1055" s="26">
        <f>VLOOKUP(A1055,'[3]Price info'!A:D,4,FALSE)</f>
        <v>10.91</v>
      </c>
      <c r="M1055" s="18" t="s">
        <v>40</v>
      </c>
      <c r="N1055" s="20">
        <v>3105</v>
      </c>
      <c r="P1055" s="16">
        <f>VLOOKUP(A1055,'[3]Price info'!A:H,8,FALSE)</f>
        <v>10.89</v>
      </c>
      <c r="Q1055" s="33">
        <f t="shared" si="65"/>
        <v>0.99816681943171404</v>
      </c>
      <c r="S1055" s="16" t="e">
        <f>VLOOKUP(A1055,[4]Sales!$E:$G,3,FALSE)</f>
        <v>#N/A</v>
      </c>
      <c r="T1055" s="19" t="e">
        <f>VLOOKUP(A1055,[4]Volume!$E:$G,3,FALSE)</f>
        <v>#N/A</v>
      </c>
      <c r="U1055" s="19" t="e">
        <f>VLOOKUP(A1055,[4]Piece!$E:$G,3,FALSE)</f>
        <v>#N/A</v>
      </c>
      <c r="V1055" s="21" t="e">
        <f t="shared" si="66"/>
        <v>#N/A</v>
      </c>
      <c r="W1055" s="16" t="e">
        <f t="shared" si="67"/>
        <v>#N/A</v>
      </c>
    </row>
    <row r="1056" spans="1:23" hidden="1" x14ac:dyDescent="0.3">
      <c r="A1056" s="22" t="s">
        <v>2107</v>
      </c>
      <c r="B1056" s="22" t="s">
        <v>2107</v>
      </c>
      <c r="C1056" s="23" t="s">
        <v>33</v>
      </c>
      <c r="D1056" s="20" t="s">
        <v>34</v>
      </c>
      <c r="E1056" s="22" t="s">
        <v>2108</v>
      </c>
      <c r="F1056" s="24" t="str">
        <f t="shared" si="64"/>
        <v>PPG - Leyland WOOD PRIMER  - White - 2.5ltr</v>
      </c>
      <c r="G1056" s="23" t="s">
        <v>5929</v>
      </c>
      <c r="H1056" s="25" t="s">
        <v>36</v>
      </c>
      <c r="I1056" s="18" t="s">
        <v>37</v>
      </c>
      <c r="J1056" s="18" t="s">
        <v>38</v>
      </c>
      <c r="K1056" t="s">
        <v>39</v>
      </c>
      <c r="L1056" s="26">
        <f>VLOOKUP(A1056,'[3]Price info'!A:D,4,FALSE)</f>
        <v>23.56</v>
      </c>
      <c r="M1056" s="18" t="s">
        <v>40</v>
      </c>
      <c r="N1056" s="20">
        <v>3105</v>
      </c>
      <c r="P1056" s="16">
        <f>VLOOKUP(A1056,'[3]Price info'!A:H,8,FALSE)</f>
        <v>23.56</v>
      </c>
      <c r="Q1056" s="33">
        <f t="shared" si="65"/>
        <v>1</v>
      </c>
      <c r="S1056" s="16" t="e">
        <f>VLOOKUP(A1056,[4]Sales!$E:$G,3,FALSE)</f>
        <v>#N/A</v>
      </c>
      <c r="T1056" s="19" t="e">
        <f>VLOOKUP(A1056,[4]Volume!$E:$G,3,FALSE)</f>
        <v>#N/A</v>
      </c>
      <c r="U1056" s="19" t="e">
        <f>VLOOKUP(A1056,[4]Piece!$E:$G,3,FALSE)</f>
        <v>#N/A</v>
      </c>
      <c r="V1056" s="21" t="e">
        <f t="shared" si="66"/>
        <v>#N/A</v>
      </c>
      <c r="W1056" s="16" t="e">
        <f t="shared" si="67"/>
        <v>#N/A</v>
      </c>
    </row>
    <row r="1057" spans="1:23" s="19" customFormat="1" hidden="1" x14ac:dyDescent="0.3">
      <c r="A1057" s="22" t="s">
        <v>2109</v>
      </c>
      <c r="B1057" s="22" t="s">
        <v>2109</v>
      </c>
      <c r="C1057" s="23" t="s">
        <v>33</v>
      </c>
      <c r="D1057" s="20" t="s">
        <v>34</v>
      </c>
      <c r="E1057" s="22" t="s">
        <v>2110</v>
      </c>
      <c r="F1057" s="24" t="str">
        <f t="shared" si="64"/>
        <v>PPG - Leyland WOOD PRIMER  - White - 5ltr</v>
      </c>
      <c r="G1057" s="23" t="s">
        <v>5930</v>
      </c>
      <c r="H1057" s="25" t="s">
        <v>36</v>
      </c>
      <c r="I1057" s="18" t="s">
        <v>37</v>
      </c>
      <c r="J1057" s="18" t="s">
        <v>38</v>
      </c>
      <c r="K1057" t="s">
        <v>39</v>
      </c>
      <c r="L1057" s="26">
        <f>VLOOKUP(A1057,'[3]Price info'!A:D,4,FALSE)</f>
        <v>17.53</v>
      </c>
      <c r="M1057" s="18" t="s">
        <v>40</v>
      </c>
      <c r="N1057" s="20">
        <v>3105</v>
      </c>
      <c r="O1057" s="15"/>
      <c r="P1057" s="16">
        <f>VLOOKUP(A1057,'[3]Price info'!A:H,8,FALSE)</f>
        <v>17.53</v>
      </c>
      <c r="Q1057" s="33">
        <f t="shared" si="65"/>
        <v>1</v>
      </c>
      <c r="R1057" s="18"/>
      <c r="S1057" s="16" t="e">
        <f>VLOOKUP(A1057,[4]Sales!$E:$G,3,FALSE)</f>
        <v>#N/A</v>
      </c>
      <c r="T1057" s="19" t="e">
        <f>VLOOKUP(A1057,[4]Volume!$E:$G,3,FALSE)</f>
        <v>#N/A</v>
      </c>
      <c r="U1057" s="19" t="e">
        <f>VLOOKUP(A1057,[4]Piece!$E:$G,3,FALSE)</f>
        <v>#N/A</v>
      </c>
      <c r="V1057" s="21" t="e">
        <f t="shared" si="66"/>
        <v>#N/A</v>
      </c>
      <c r="W1057" s="16" t="e">
        <f t="shared" si="67"/>
        <v>#N/A</v>
      </c>
    </row>
    <row r="1058" spans="1:23" s="19" customFormat="1" hidden="1" x14ac:dyDescent="0.3">
      <c r="A1058" s="22" t="s">
        <v>2111</v>
      </c>
      <c r="B1058" s="22" t="s">
        <v>2111</v>
      </c>
      <c r="C1058" s="23" t="s">
        <v>33</v>
      </c>
      <c r="D1058" s="20" t="s">
        <v>34</v>
      </c>
      <c r="E1058" s="22" t="s">
        <v>2112</v>
      </c>
      <c r="F1058" s="24" t="str">
        <f t="shared" si="64"/>
        <v>PPG - Leyland TG SMOOTH MASONRY - Gardenia - 5ltr</v>
      </c>
      <c r="G1058" s="23" t="s">
        <v>5931</v>
      </c>
      <c r="H1058" s="25" t="s">
        <v>36</v>
      </c>
      <c r="I1058" s="18" t="s">
        <v>37</v>
      </c>
      <c r="J1058" s="18" t="s">
        <v>38</v>
      </c>
      <c r="K1058" t="s">
        <v>39</v>
      </c>
      <c r="L1058" s="26">
        <f>VLOOKUP(A1058,'[3]Price info'!A:D,4,FALSE)</f>
        <v>16.010000000000002</v>
      </c>
      <c r="M1058" s="18" t="s">
        <v>40</v>
      </c>
      <c r="N1058" s="20">
        <v>3105</v>
      </c>
      <c r="O1058" s="15"/>
      <c r="P1058" s="16">
        <f>VLOOKUP(A1058,'[3]Price info'!A:H,8,FALSE)</f>
        <v>16.010000000000002</v>
      </c>
      <c r="Q1058" s="33">
        <f t="shared" si="65"/>
        <v>1</v>
      </c>
      <c r="R1058" s="18"/>
      <c r="S1058" s="16" t="e">
        <f>VLOOKUP(A1058,[4]Sales!$E:$G,3,FALSE)</f>
        <v>#N/A</v>
      </c>
      <c r="T1058" s="19" t="e">
        <f>VLOOKUP(A1058,[4]Volume!$E:$G,3,FALSE)</f>
        <v>#N/A</v>
      </c>
      <c r="U1058" s="19" t="e">
        <f>VLOOKUP(A1058,[4]Piece!$E:$G,3,FALSE)</f>
        <v>#N/A</v>
      </c>
      <c r="V1058" s="21" t="e">
        <f t="shared" si="66"/>
        <v>#N/A</v>
      </c>
      <c r="W1058" s="16" t="e">
        <f t="shared" si="67"/>
        <v>#N/A</v>
      </c>
    </row>
    <row r="1059" spans="1:23" s="19" customFormat="1" hidden="1" x14ac:dyDescent="0.3">
      <c r="A1059" s="22" t="s">
        <v>2113</v>
      </c>
      <c r="B1059" s="22" t="s">
        <v>2113</v>
      </c>
      <c r="C1059" s="23" t="s">
        <v>33</v>
      </c>
      <c r="D1059" s="20" t="s">
        <v>34</v>
      </c>
      <c r="E1059" s="22" t="s">
        <v>2114</v>
      </c>
      <c r="F1059" s="24" t="str">
        <f t="shared" si="64"/>
        <v>PPG - Leyland TRUGUARD HI TEXTURED - BW - 10ltr</v>
      </c>
      <c r="G1059" s="23" t="s">
        <v>5932</v>
      </c>
      <c r="H1059" s="25" t="s">
        <v>36</v>
      </c>
      <c r="I1059" s="18" t="s">
        <v>37</v>
      </c>
      <c r="J1059" s="18" t="s">
        <v>38</v>
      </c>
      <c r="K1059" t="s">
        <v>39</v>
      </c>
      <c r="L1059" s="26">
        <f>VLOOKUP(A1059,'[3]Price info'!A:D,4,FALSE)</f>
        <v>63.02</v>
      </c>
      <c r="M1059" s="18" t="s">
        <v>40</v>
      </c>
      <c r="N1059" s="20">
        <v>3105</v>
      </c>
      <c r="O1059" s="15"/>
      <c r="P1059" s="16">
        <f>VLOOKUP(A1059,'[3]Price info'!A:H,8,FALSE)</f>
        <v>63.02</v>
      </c>
      <c r="Q1059" s="33">
        <f t="shared" si="65"/>
        <v>1</v>
      </c>
      <c r="R1059" s="18"/>
      <c r="S1059" s="16" t="e">
        <f>VLOOKUP(A1059,[4]Sales!$E:$G,3,FALSE)</f>
        <v>#N/A</v>
      </c>
      <c r="T1059" s="19" t="e">
        <f>VLOOKUP(A1059,[4]Volume!$E:$G,3,FALSE)</f>
        <v>#N/A</v>
      </c>
      <c r="U1059" s="19" t="e">
        <f>VLOOKUP(A1059,[4]Piece!$E:$G,3,FALSE)</f>
        <v>#N/A</v>
      </c>
      <c r="V1059" s="21" t="e">
        <f t="shared" si="66"/>
        <v>#N/A</v>
      </c>
      <c r="W1059" s="16" t="e">
        <f t="shared" si="67"/>
        <v>#N/A</v>
      </c>
    </row>
    <row r="1060" spans="1:23" s="19" customFormat="1" hidden="1" x14ac:dyDescent="0.3">
      <c r="A1060" s="22" t="s">
        <v>2115</v>
      </c>
      <c r="B1060" s="22" t="s">
        <v>2115</v>
      </c>
      <c r="C1060" s="23" t="s">
        <v>33</v>
      </c>
      <c r="D1060" s="20" t="s">
        <v>34</v>
      </c>
      <c r="E1060" s="22" t="s">
        <v>2116</v>
      </c>
      <c r="F1060" s="24" t="str">
        <f t="shared" si="64"/>
        <v>PPG - Leyland FLOOR PAINT - Frigate - 2.5ltr</v>
      </c>
      <c r="G1060" s="23" t="s">
        <v>5933</v>
      </c>
      <c r="H1060" s="25" t="s">
        <v>36</v>
      </c>
      <c r="I1060" s="18" t="s">
        <v>37</v>
      </c>
      <c r="J1060" s="18" t="s">
        <v>38</v>
      </c>
      <c r="K1060" t="s">
        <v>39</v>
      </c>
      <c r="L1060" s="26">
        <f>VLOOKUP(A1060,'[3]Price info'!A:D,4,FALSE)</f>
        <v>15.04</v>
      </c>
      <c r="M1060" s="18" t="s">
        <v>40</v>
      </c>
      <c r="N1060" s="20">
        <v>3105</v>
      </c>
      <c r="O1060" s="15"/>
      <c r="P1060" s="16">
        <f>VLOOKUP(A1060,'[3]Price info'!A:H,8,FALSE)</f>
        <v>15.04</v>
      </c>
      <c r="Q1060" s="33">
        <f t="shared" si="65"/>
        <v>1</v>
      </c>
      <c r="R1060" s="18"/>
      <c r="S1060" s="16" t="e">
        <f>VLOOKUP(A1060,[4]Sales!$E:$G,3,FALSE)</f>
        <v>#N/A</v>
      </c>
      <c r="T1060" s="19" t="e">
        <f>VLOOKUP(A1060,[4]Volume!$E:$G,3,FALSE)</f>
        <v>#N/A</v>
      </c>
      <c r="U1060" s="19" t="e">
        <f>VLOOKUP(A1060,[4]Piece!$E:$G,3,FALSE)</f>
        <v>#N/A</v>
      </c>
      <c r="V1060" s="21" t="e">
        <f t="shared" si="66"/>
        <v>#N/A</v>
      </c>
      <c r="W1060" s="16" t="e">
        <f t="shared" si="67"/>
        <v>#N/A</v>
      </c>
    </row>
    <row r="1061" spans="1:23" s="19" customFormat="1" hidden="1" x14ac:dyDescent="0.3">
      <c r="A1061" s="22" t="s">
        <v>2117</v>
      </c>
      <c r="B1061" s="22" t="s">
        <v>2117</v>
      </c>
      <c r="C1061" s="23" t="s">
        <v>33</v>
      </c>
      <c r="D1061" s="20" t="s">
        <v>34</v>
      </c>
      <c r="E1061" s="22" t="s">
        <v>2118</v>
      </c>
      <c r="F1061" s="24" t="str">
        <f t="shared" si="64"/>
        <v>PPG - Leyland ONE COAT GLOSS - Black - 750ltr</v>
      </c>
      <c r="G1061" s="23" t="s">
        <v>5934</v>
      </c>
      <c r="H1061" s="25" t="s">
        <v>36</v>
      </c>
      <c r="I1061" s="18" t="s">
        <v>37</v>
      </c>
      <c r="J1061" s="18" t="s">
        <v>38</v>
      </c>
      <c r="K1061" t="s">
        <v>39</v>
      </c>
      <c r="L1061" s="26">
        <f>VLOOKUP(A1061,'[3]Price info'!A:D,4,FALSE)</f>
        <v>17.260000000000002</v>
      </c>
      <c r="M1061" s="18" t="s">
        <v>40</v>
      </c>
      <c r="N1061" s="20">
        <v>3105</v>
      </c>
      <c r="O1061" s="15"/>
      <c r="P1061" s="16">
        <f>VLOOKUP(A1061,'[3]Price info'!A:H,8,FALSE)</f>
        <v>17.260000000000002</v>
      </c>
      <c r="Q1061" s="33">
        <f t="shared" si="65"/>
        <v>1</v>
      </c>
      <c r="R1061" s="18"/>
      <c r="S1061" s="16" t="e">
        <f>VLOOKUP(A1061,[4]Sales!$E:$G,3,FALSE)</f>
        <v>#N/A</v>
      </c>
      <c r="T1061" s="19" t="e">
        <f>VLOOKUP(A1061,[4]Volume!$E:$G,3,FALSE)</f>
        <v>#N/A</v>
      </c>
      <c r="U1061" s="19" t="e">
        <f>VLOOKUP(A1061,[4]Piece!$E:$G,3,FALSE)</f>
        <v>#N/A</v>
      </c>
      <c r="V1061" s="21" t="e">
        <f t="shared" si="66"/>
        <v>#N/A</v>
      </c>
      <c r="W1061" s="16" t="e">
        <f t="shared" si="67"/>
        <v>#N/A</v>
      </c>
    </row>
    <row r="1062" spans="1:23" s="19" customFormat="1" hidden="1" x14ac:dyDescent="0.3">
      <c r="A1062" s="22" t="s">
        <v>2119</v>
      </c>
      <c r="B1062" s="22" t="s">
        <v>2119</v>
      </c>
      <c r="C1062" s="23" t="s">
        <v>33</v>
      </c>
      <c r="D1062" s="20" t="s">
        <v>34</v>
      </c>
      <c r="E1062" s="22" t="s">
        <v>2120</v>
      </c>
      <c r="F1062" s="24" t="str">
        <f t="shared" si="64"/>
        <v>PPG - Leyland WOOD PRIMER - White - 750ml</v>
      </c>
      <c r="G1062" s="23" t="s">
        <v>5935</v>
      </c>
      <c r="H1062" s="25" t="s">
        <v>36</v>
      </c>
      <c r="I1062" s="18" t="s">
        <v>37</v>
      </c>
      <c r="J1062" s="18" t="s">
        <v>38</v>
      </c>
      <c r="K1062" t="s">
        <v>39</v>
      </c>
      <c r="L1062" s="26">
        <f>VLOOKUP(A1062,'[3]Price info'!A:D,4,FALSE)</f>
        <v>9.59</v>
      </c>
      <c r="M1062" s="18" t="s">
        <v>40</v>
      </c>
      <c r="N1062" s="20">
        <v>3105</v>
      </c>
      <c r="O1062" s="15"/>
      <c r="P1062" s="16">
        <f>VLOOKUP(A1062,'[3]Price info'!A:H,8,FALSE)</f>
        <v>9.59</v>
      </c>
      <c r="Q1062" s="33">
        <f t="shared" si="65"/>
        <v>1</v>
      </c>
      <c r="R1062" s="18"/>
      <c r="S1062" s="16" t="e">
        <f>VLOOKUP(A1062,[4]Sales!$E:$G,3,FALSE)</f>
        <v>#N/A</v>
      </c>
      <c r="T1062" s="19" t="e">
        <f>VLOOKUP(A1062,[4]Volume!$E:$G,3,FALSE)</f>
        <v>#N/A</v>
      </c>
      <c r="U1062" s="19" t="e">
        <f>VLOOKUP(A1062,[4]Piece!$E:$G,3,FALSE)</f>
        <v>#N/A</v>
      </c>
      <c r="V1062" s="21" t="e">
        <f t="shared" si="66"/>
        <v>#N/A</v>
      </c>
      <c r="W1062" s="16" t="e">
        <f t="shared" si="67"/>
        <v>#N/A</v>
      </c>
    </row>
    <row r="1063" spans="1:23" s="19" customFormat="1" hidden="1" x14ac:dyDescent="0.3">
      <c r="A1063" s="22" t="s">
        <v>2121</v>
      </c>
      <c r="B1063" s="22" t="s">
        <v>2121</v>
      </c>
      <c r="C1063" s="23" t="s">
        <v>33</v>
      </c>
      <c r="D1063" s="20" t="s">
        <v>34</v>
      </c>
      <c r="E1063" s="22" t="s">
        <v>2122</v>
      </c>
      <c r="F1063" s="24" t="str">
        <f t="shared" si="64"/>
        <v>PPG - Leyland ALL PURPOSE PRIMER - White - 750ml</v>
      </c>
      <c r="G1063" s="23" t="s">
        <v>5936</v>
      </c>
      <c r="H1063" s="25" t="s">
        <v>36</v>
      </c>
      <c r="I1063" s="18" t="s">
        <v>37</v>
      </c>
      <c r="J1063" s="18" t="s">
        <v>38</v>
      </c>
      <c r="K1063" t="s">
        <v>39</v>
      </c>
      <c r="L1063" s="26">
        <f>VLOOKUP(A1063,'[3]Price info'!A:D,4,FALSE)</f>
        <v>14.12</v>
      </c>
      <c r="M1063" s="18" t="s">
        <v>40</v>
      </c>
      <c r="N1063" s="20">
        <v>3105</v>
      </c>
      <c r="O1063" s="15"/>
      <c r="P1063" s="16">
        <f>VLOOKUP(A1063,'[3]Price info'!A:H,8,FALSE)</f>
        <v>14.12</v>
      </c>
      <c r="Q1063" s="33">
        <f t="shared" si="65"/>
        <v>1</v>
      </c>
      <c r="R1063" s="18"/>
      <c r="S1063" s="16" t="e">
        <f>VLOOKUP(A1063,[4]Sales!$E:$G,3,FALSE)</f>
        <v>#N/A</v>
      </c>
      <c r="T1063" s="19" t="e">
        <f>VLOOKUP(A1063,[4]Volume!$E:$G,3,FALSE)</f>
        <v>#N/A</v>
      </c>
      <c r="U1063" s="19" t="e">
        <f>VLOOKUP(A1063,[4]Piece!$E:$G,3,FALSE)</f>
        <v>#N/A</v>
      </c>
      <c r="V1063" s="21" t="e">
        <f t="shared" si="66"/>
        <v>#N/A</v>
      </c>
      <c r="W1063" s="16" t="e">
        <f t="shared" si="67"/>
        <v>#N/A</v>
      </c>
    </row>
    <row r="1064" spans="1:23" s="19" customFormat="1" hidden="1" x14ac:dyDescent="0.3">
      <c r="A1064" s="22" t="s">
        <v>2123</v>
      </c>
      <c r="B1064" s="22" t="s">
        <v>2123</v>
      </c>
      <c r="C1064" s="23" t="s">
        <v>33</v>
      </c>
      <c r="D1064" s="20" t="s">
        <v>34</v>
      </c>
      <c r="E1064" s="22" t="s">
        <v>2124</v>
      </c>
      <c r="F1064" s="24" t="str">
        <f t="shared" si="64"/>
        <v>PPG - Leyland CONTRACT PRIMER - BW - 2.5ltr</v>
      </c>
      <c r="G1064" s="23" t="s">
        <v>5937</v>
      </c>
      <c r="H1064" s="25" t="s">
        <v>36</v>
      </c>
      <c r="I1064" s="18" t="s">
        <v>37</v>
      </c>
      <c r="J1064" s="18" t="s">
        <v>38</v>
      </c>
      <c r="K1064" t="s">
        <v>39</v>
      </c>
      <c r="L1064" s="26">
        <f>VLOOKUP(A1064,'[3]Price info'!A:D,4,FALSE)</f>
        <v>14.41</v>
      </c>
      <c r="M1064" s="18" t="s">
        <v>40</v>
      </c>
      <c r="N1064" s="20">
        <v>3105</v>
      </c>
      <c r="O1064" s="15"/>
      <c r="P1064" s="16">
        <f>VLOOKUP(A1064,'[3]Price info'!A:H,8,FALSE)</f>
        <v>14.41</v>
      </c>
      <c r="Q1064" s="33">
        <f t="shared" si="65"/>
        <v>1</v>
      </c>
      <c r="R1064" s="18"/>
      <c r="S1064" s="16" t="e">
        <f>VLOOKUP(A1064,[4]Sales!$E:$G,3,FALSE)</f>
        <v>#N/A</v>
      </c>
      <c r="T1064" s="19" t="e">
        <f>VLOOKUP(A1064,[4]Volume!$E:$G,3,FALSE)</f>
        <v>#N/A</v>
      </c>
      <c r="U1064" s="19" t="e">
        <f>VLOOKUP(A1064,[4]Piece!$E:$G,3,FALSE)</f>
        <v>#N/A</v>
      </c>
      <c r="V1064" s="21" t="e">
        <f t="shared" si="66"/>
        <v>#N/A</v>
      </c>
      <c r="W1064" s="16" t="e">
        <f t="shared" si="67"/>
        <v>#N/A</v>
      </c>
    </row>
    <row r="1065" spans="1:23" s="19" customFormat="1" hidden="1" x14ac:dyDescent="0.3">
      <c r="A1065" s="22" t="s">
        <v>2125</v>
      </c>
      <c r="B1065" s="22" t="s">
        <v>2125</v>
      </c>
      <c r="C1065" s="23" t="s">
        <v>33</v>
      </c>
      <c r="D1065" s="20" t="s">
        <v>34</v>
      </c>
      <c r="E1065" s="22" t="s">
        <v>2126</v>
      </c>
      <c r="F1065" s="24" t="str">
        <f t="shared" si="64"/>
        <v>PPG - Johnstones COVAPLUS - Soft Primrose - 5ltr</v>
      </c>
      <c r="G1065" s="23" t="s">
        <v>5938</v>
      </c>
      <c r="H1065" s="25" t="s">
        <v>36</v>
      </c>
      <c r="I1065" s="18" t="s">
        <v>37</v>
      </c>
      <c r="J1065" s="18" t="s">
        <v>38</v>
      </c>
      <c r="K1065" t="s">
        <v>39</v>
      </c>
      <c r="L1065" s="26">
        <f>VLOOKUP(A1065,'[3]Price info'!A:D,4,FALSE)</f>
        <v>11.77</v>
      </c>
      <c r="M1065" s="18" t="s">
        <v>40</v>
      </c>
      <c r="N1065" s="20">
        <v>3105</v>
      </c>
      <c r="O1065" s="15"/>
      <c r="P1065" s="16">
        <f>VLOOKUP(A1065,'[3]Price info'!A:H,8,FALSE)</f>
        <v>11.77</v>
      </c>
      <c r="Q1065" s="33">
        <f t="shared" si="65"/>
        <v>1</v>
      </c>
      <c r="R1065" s="18"/>
      <c r="S1065" s="16" t="e">
        <f>VLOOKUP(A1065,[4]Sales!$E:$G,3,FALSE)</f>
        <v>#N/A</v>
      </c>
      <c r="T1065" s="19" t="e">
        <f>VLOOKUP(A1065,[4]Volume!$E:$G,3,FALSE)</f>
        <v>#N/A</v>
      </c>
      <c r="U1065" s="19" t="e">
        <f>VLOOKUP(A1065,[4]Piece!$E:$G,3,FALSE)</f>
        <v>#N/A</v>
      </c>
      <c r="V1065" s="21" t="e">
        <f t="shared" si="66"/>
        <v>#N/A</v>
      </c>
      <c r="W1065" s="16" t="e">
        <f t="shared" si="67"/>
        <v>#N/A</v>
      </c>
    </row>
    <row r="1066" spans="1:23" s="19" customFormat="1" hidden="1" x14ac:dyDescent="0.3">
      <c r="A1066" s="22" t="s">
        <v>2127</v>
      </c>
      <c r="B1066" s="22" t="s">
        <v>2127</v>
      </c>
      <c r="C1066" s="23" t="s">
        <v>33</v>
      </c>
      <c r="D1066" s="20" t="s">
        <v>34</v>
      </c>
      <c r="E1066" s="22" t="s">
        <v>2128</v>
      </c>
      <c r="F1066" s="24" t="str">
        <f t="shared" si="64"/>
        <v>PPG - Johnstones Acrylic Durable Matt - Mag -2.5lt</v>
      </c>
      <c r="G1066" s="23" t="s">
        <v>5939</v>
      </c>
      <c r="H1066" s="25" t="s">
        <v>36</v>
      </c>
      <c r="I1066" s="18" t="s">
        <v>37</v>
      </c>
      <c r="J1066" s="18" t="s">
        <v>38</v>
      </c>
      <c r="K1066" t="s">
        <v>39</v>
      </c>
      <c r="L1066" s="26">
        <f>VLOOKUP(A1066,'[3]Price info'!A:D,4,FALSE)</f>
        <v>12.55</v>
      </c>
      <c r="M1066" s="18" t="s">
        <v>40</v>
      </c>
      <c r="N1066" s="20">
        <v>3105</v>
      </c>
      <c r="O1066" s="15"/>
      <c r="P1066" s="16">
        <f>VLOOKUP(A1066,'[3]Price info'!A:H,8,FALSE)</f>
        <v>9.9</v>
      </c>
      <c r="Q1066" s="33">
        <f t="shared" si="65"/>
        <v>0.78884462151394419</v>
      </c>
      <c r="R1066" s="18"/>
      <c r="S1066" s="16" t="e">
        <f>VLOOKUP(A1066,[4]Sales!$E:$G,3,FALSE)</f>
        <v>#N/A</v>
      </c>
      <c r="T1066" s="19" t="e">
        <f>VLOOKUP(A1066,[4]Volume!$E:$G,3,FALSE)</f>
        <v>#N/A</v>
      </c>
      <c r="U1066" s="19" t="e">
        <f>VLOOKUP(A1066,[4]Piece!$E:$G,3,FALSE)</f>
        <v>#N/A</v>
      </c>
      <c r="V1066" s="21" t="e">
        <f t="shared" si="66"/>
        <v>#N/A</v>
      </c>
      <c r="W1066" s="16" t="e">
        <f t="shared" si="67"/>
        <v>#N/A</v>
      </c>
    </row>
    <row r="1067" spans="1:23" s="19" customFormat="1" hidden="1" x14ac:dyDescent="0.3">
      <c r="A1067" s="22" t="s">
        <v>2129</v>
      </c>
      <c r="B1067" s="22" t="s">
        <v>2129</v>
      </c>
      <c r="C1067" s="23" t="s">
        <v>33</v>
      </c>
      <c r="D1067" s="20" t="s">
        <v>34</v>
      </c>
      <c r="E1067" s="22" t="s">
        <v>2130</v>
      </c>
      <c r="F1067" s="24" t="str">
        <f t="shared" si="64"/>
        <v>PPG - Johnstones VINYL SOFT SHEEN - Mag - 2.5ltr</v>
      </c>
      <c r="G1067" s="23" t="s">
        <v>5940</v>
      </c>
      <c r="H1067" s="25" t="s">
        <v>36</v>
      </c>
      <c r="I1067" s="18" t="s">
        <v>37</v>
      </c>
      <c r="J1067" s="18" t="s">
        <v>38</v>
      </c>
      <c r="K1067" t="s">
        <v>39</v>
      </c>
      <c r="L1067" s="26">
        <f>VLOOKUP(A1067,'[3]Price info'!A:D,4,FALSE)</f>
        <v>11.19</v>
      </c>
      <c r="M1067" s="18" t="s">
        <v>40</v>
      </c>
      <c r="N1067" s="20">
        <v>3105</v>
      </c>
      <c r="O1067" s="15"/>
      <c r="P1067" s="16">
        <f>VLOOKUP(A1067,'[3]Price info'!A:H,8,FALSE)</f>
        <v>7.78</v>
      </c>
      <c r="Q1067" s="33">
        <f t="shared" si="65"/>
        <v>0.69526362823949961</v>
      </c>
      <c r="R1067" s="18"/>
      <c r="S1067" s="16" t="e">
        <f>VLOOKUP(A1067,[4]Sales!$E:$G,3,FALSE)</f>
        <v>#N/A</v>
      </c>
      <c r="T1067" s="19" t="e">
        <f>VLOOKUP(A1067,[4]Volume!$E:$G,3,FALSE)</f>
        <v>#N/A</v>
      </c>
      <c r="U1067" s="19" t="e">
        <f>VLOOKUP(A1067,[4]Piece!$E:$G,3,FALSE)</f>
        <v>#N/A</v>
      </c>
      <c r="V1067" s="21" t="e">
        <f t="shared" si="66"/>
        <v>#N/A</v>
      </c>
      <c r="W1067" s="16" t="e">
        <f t="shared" si="67"/>
        <v>#N/A</v>
      </c>
    </row>
    <row r="1068" spans="1:23" s="19" customFormat="1" hidden="1" x14ac:dyDescent="0.3">
      <c r="A1068" s="22" t="s">
        <v>2131</v>
      </c>
      <c r="B1068" s="22" t="s">
        <v>2131</v>
      </c>
      <c r="C1068" s="23" t="s">
        <v>33</v>
      </c>
      <c r="D1068" s="20" t="s">
        <v>34</v>
      </c>
      <c r="E1068" s="22" t="s">
        <v>2132</v>
      </c>
      <c r="F1068" s="24" t="str">
        <f t="shared" si="64"/>
        <v>PPG - Johnstones JONCRYL QD PRIMER - BW - 1ltr</v>
      </c>
      <c r="G1068" s="23" t="s">
        <v>5941</v>
      </c>
      <c r="H1068" s="25" t="s">
        <v>36</v>
      </c>
      <c r="I1068" s="18" t="s">
        <v>37</v>
      </c>
      <c r="J1068" s="18" t="s">
        <v>38</v>
      </c>
      <c r="K1068" t="s">
        <v>39</v>
      </c>
      <c r="L1068" s="26">
        <f>VLOOKUP(A1068,'[3]Price info'!A:D,4,FALSE)</f>
        <v>7.04</v>
      </c>
      <c r="M1068" s="18" t="s">
        <v>40</v>
      </c>
      <c r="N1068" s="20">
        <v>3105</v>
      </c>
      <c r="O1068" s="15"/>
      <c r="P1068" s="16">
        <f>VLOOKUP(A1068,'[3]Price info'!A:H,8,FALSE)</f>
        <v>7.04</v>
      </c>
      <c r="Q1068" s="33">
        <f t="shared" si="65"/>
        <v>1</v>
      </c>
      <c r="R1068" s="18"/>
      <c r="S1068" s="16">
        <f>VLOOKUP(A1068,[4]Sales!$E:$G,3,FALSE)</f>
        <v>42.24</v>
      </c>
      <c r="T1068" s="19">
        <f>VLOOKUP(A1068,[4]Volume!$E:$G,3,FALSE)</f>
        <v>6</v>
      </c>
      <c r="U1068" s="19">
        <f>VLOOKUP(A1068,[4]Piece!$E:$G,3,FALSE)</f>
        <v>6</v>
      </c>
      <c r="V1068" s="21">
        <f t="shared" si="66"/>
        <v>42.24</v>
      </c>
      <c r="W1068" s="16">
        <f t="shared" si="67"/>
        <v>0</v>
      </c>
    </row>
    <row r="1069" spans="1:23" s="19" customFormat="1" hidden="1" x14ac:dyDescent="0.3">
      <c r="A1069" s="22" t="s">
        <v>2133</v>
      </c>
      <c r="B1069" s="22" t="s">
        <v>2133</v>
      </c>
      <c r="C1069" s="23" t="s">
        <v>33</v>
      </c>
      <c r="D1069" s="20" t="s">
        <v>34</v>
      </c>
      <c r="E1069" s="22" t="s">
        <v>2134</v>
      </c>
      <c r="F1069" s="24" t="str">
        <f t="shared" si="64"/>
        <v>PPG - Johnstones WOOD PRIMER - White - 1ltr</v>
      </c>
      <c r="G1069" s="23" t="s">
        <v>5942</v>
      </c>
      <c r="H1069" s="25" t="s">
        <v>36</v>
      </c>
      <c r="I1069" s="18" t="s">
        <v>37</v>
      </c>
      <c r="J1069" s="18" t="s">
        <v>38</v>
      </c>
      <c r="K1069" t="s">
        <v>39</v>
      </c>
      <c r="L1069" s="26">
        <f>VLOOKUP(A1069,'[3]Price info'!A:D,4,FALSE)</f>
        <v>15.54</v>
      </c>
      <c r="M1069" s="18" t="s">
        <v>40</v>
      </c>
      <c r="N1069" s="20">
        <v>3105</v>
      </c>
      <c r="O1069" s="15"/>
      <c r="P1069" s="16">
        <f>VLOOKUP(A1069,'[3]Price info'!A:H,8,FALSE)</f>
        <v>15.54</v>
      </c>
      <c r="Q1069" s="33">
        <f t="shared" si="65"/>
        <v>1</v>
      </c>
      <c r="R1069" s="18"/>
      <c r="S1069" s="16" t="e">
        <f>VLOOKUP(A1069,[4]Sales!$E:$G,3,FALSE)</f>
        <v>#N/A</v>
      </c>
      <c r="T1069" s="19" t="e">
        <f>VLOOKUP(A1069,[4]Volume!$E:$G,3,FALSE)</f>
        <v>#N/A</v>
      </c>
      <c r="U1069" s="19" t="e">
        <f>VLOOKUP(A1069,[4]Piece!$E:$G,3,FALSE)</f>
        <v>#N/A</v>
      </c>
      <c r="V1069" s="21" t="e">
        <f t="shared" si="66"/>
        <v>#N/A</v>
      </c>
      <c r="W1069" s="16" t="e">
        <f t="shared" si="67"/>
        <v>#N/A</v>
      </c>
    </row>
    <row r="1070" spans="1:23" s="19" customFormat="1" hidden="1" x14ac:dyDescent="0.3">
      <c r="A1070" s="22" t="s">
        <v>2135</v>
      </c>
      <c r="B1070" s="22" t="s">
        <v>2135</v>
      </c>
      <c r="C1070" s="23" t="s">
        <v>33</v>
      </c>
      <c r="D1070" s="20" t="s">
        <v>34</v>
      </c>
      <c r="E1070" s="22" t="s">
        <v>2136</v>
      </c>
      <c r="F1070" s="24" t="str">
        <f t="shared" si="64"/>
        <v>PPG - Johnstones WOOD PRIMER - White - 5ltr</v>
      </c>
      <c r="G1070" s="23" t="s">
        <v>5943</v>
      </c>
      <c r="H1070" s="25" t="s">
        <v>36</v>
      </c>
      <c r="I1070" s="18" t="s">
        <v>37</v>
      </c>
      <c r="J1070" s="18" t="s">
        <v>38</v>
      </c>
      <c r="K1070" t="s">
        <v>39</v>
      </c>
      <c r="L1070" s="26">
        <f>VLOOKUP(A1070,'[3]Price info'!A:D,4,FALSE)</f>
        <v>17.53</v>
      </c>
      <c r="M1070" s="18" t="s">
        <v>40</v>
      </c>
      <c r="N1070" s="20">
        <v>3105</v>
      </c>
      <c r="O1070" s="15"/>
      <c r="P1070" s="16">
        <f>VLOOKUP(A1070,'[3]Price info'!A:H,8,FALSE)</f>
        <v>17.53</v>
      </c>
      <c r="Q1070" s="33">
        <f t="shared" si="65"/>
        <v>1</v>
      </c>
      <c r="R1070" s="18"/>
      <c r="S1070" s="16">
        <f>VLOOKUP(A1070,[4]Sales!$E:$G,3,FALSE)</f>
        <v>33.99</v>
      </c>
      <c r="T1070" s="19">
        <f>VLOOKUP(A1070,[4]Volume!$E:$G,3,FALSE)</f>
        <v>10</v>
      </c>
      <c r="U1070" s="19">
        <f>VLOOKUP(A1070,[4]Piece!$E:$G,3,FALSE)</f>
        <v>2</v>
      </c>
      <c r="V1070" s="21">
        <f t="shared" si="66"/>
        <v>35.06</v>
      </c>
      <c r="W1070" s="16">
        <f t="shared" si="67"/>
        <v>1.0700000000000003</v>
      </c>
    </row>
    <row r="1071" spans="1:23" s="19" customFormat="1" hidden="1" x14ac:dyDescent="0.3">
      <c r="A1071" s="22" t="s">
        <v>2137</v>
      </c>
      <c r="B1071" s="22" t="s">
        <v>2137</v>
      </c>
      <c r="C1071" s="23" t="s">
        <v>33</v>
      </c>
      <c r="D1071" s="20" t="s">
        <v>34</v>
      </c>
      <c r="E1071" s="22" t="s">
        <v>2138</v>
      </c>
      <c r="F1071" s="24" t="str">
        <f t="shared" si="64"/>
        <v>PPG - Johnstones PRO UNDERCOAT - Mid Grey - 1ltr</v>
      </c>
      <c r="G1071" s="23" t="s">
        <v>5944</v>
      </c>
      <c r="H1071" s="25" t="s">
        <v>36</v>
      </c>
      <c r="I1071" s="18" t="s">
        <v>37</v>
      </c>
      <c r="J1071" s="18" t="s">
        <v>38</v>
      </c>
      <c r="K1071" t="s">
        <v>39</v>
      </c>
      <c r="L1071" s="26">
        <f>VLOOKUP(A1071,'[3]Price info'!A:D,4,FALSE)</f>
        <v>9.52</v>
      </c>
      <c r="M1071" s="18" t="s">
        <v>40</v>
      </c>
      <c r="N1071" s="20">
        <v>3105</v>
      </c>
      <c r="O1071" s="15"/>
      <c r="P1071" s="16">
        <f>VLOOKUP(A1071,'[3]Price info'!A:H,8,FALSE)</f>
        <v>9.52</v>
      </c>
      <c r="Q1071" s="33">
        <f t="shared" si="65"/>
        <v>1</v>
      </c>
      <c r="R1071" s="18"/>
      <c r="S1071" s="16">
        <f>VLOOKUP(A1071,[4]Sales!$E:$G,3,FALSE)</f>
        <v>8.86</v>
      </c>
      <c r="T1071" s="19">
        <f>VLOOKUP(A1071,[4]Volume!$E:$G,3,FALSE)</f>
        <v>1</v>
      </c>
      <c r="U1071" s="19">
        <f>VLOOKUP(A1071,[4]Piece!$E:$G,3,FALSE)</f>
        <v>1</v>
      </c>
      <c r="V1071" s="21">
        <f t="shared" si="66"/>
        <v>9.52</v>
      </c>
      <c r="W1071" s="16">
        <f t="shared" si="67"/>
        <v>0.66000000000000014</v>
      </c>
    </row>
    <row r="1072" spans="1:23" s="19" customFormat="1" hidden="1" x14ac:dyDescent="0.3">
      <c r="A1072" s="22" t="s">
        <v>2139</v>
      </c>
      <c r="B1072" s="22" t="s">
        <v>2139</v>
      </c>
      <c r="C1072" s="23" t="s">
        <v>33</v>
      </c>
      <c r="D1072" s="20" t="s">
        <v>34</v>
      </c>
      <c r="E1072" s="22" t="s">
        <v>2140</v>
      </c>
      <c r="F1072" s="24" t="str">
        <f t="shared" si="64"/>
        <v>PPG - Johnstones PRO UNDERCOAT - Light Grey - 1ltr</v>
      </c>
      <c r="G1072" s="23" t="s">
        <v>5945</v>
      </c>
      <c r="H1072" s="25" t="s">
        <v>36</v>
      </c>
      <c r="I1072" s="18" t="s">
        <v>37</v>
      </c>
      <c r="J1072" s="18" t="s">
        <v>38</v>
      </c>
      <c r="K1072" t="s">
        <v>39</v>
      </c>
      <c r="L1072" s="26">
        <f>VLOOKUP(A1072,'[3]Price info'!A:D,4,FALSE)</f>
        <v>9.52</v>
      </c>
      <c r="M1072" s="18" t="s">
        <v>40</v>
      </c>
      <c r="N1072" s="20">
        <v>3105</v>
      </c>
      <c r="O1072" s="15"/>
      <c r="P1072" s="16">
        <f>VLOOKUP(A1072,'[3]Price info'!A:H,8,FALSE)</f>
        <v>9.52</v>
      </c>
      <c r="Q1072" s="33">
        <f t="shared" si="65"/>
        <v>1</v>
      </c>
      <c r="R1072" s="18"/>
      <c r="S1072" s="16">
        <f>VLOOKUP(A1072,[4]Sales!$E:$G,3,FALSE)</f>
        <v>17.88</v>
      </c>
      <c r="T1072" s="19">
        <f>VLOOKUP(A1072,[4]Volume!$E:$G,3,FALSE)</f>
        <v>2</v>
      </c>
      <c r="U1072" s="19">
        <f>VLOOKUP(A1072,[4]Piece!$E:$G,3,FALSE)</f>
        <v>2</v>
      </c>
      <c r="V1072" s="21">
        <f t="shared" si="66"/>
        <v>19.04</v>
      </c>
      <c r="W1072" s="16">
        <f t="shared" si="67"/>
        <v>1.1600000000000001</v>
      </c>
    </row>
    <row r="1073" spans="1:23" s="19" customFormat="1" hidden="1" x14ac:dyDescent="0.3">
      <c r="A1073" s="22" t="s">
        <v>2141</v>
      </c>
      <c r="B1073" s="22" t="s">
        <v>2141</v>
      </c>
      <c r="C1073" s="23" t="s">
        <v>33</v>
      </c>
      <c r="D1073" s="20" t="s">
        <v>34</v>
      </c>
      <c r="E1073" s="22" t="s">
        <v>2142</v>
      </c>
      <c r="F1073" s="24" t="str">
        <f t="shared" si="64"/>
        <v>PPG - Johnstones PRO UNDERCOAT - BW - 500ml</v>
      </c>
      <c r="G1073" s="23" t="s">
        <v>5946</v>
      </c>
      <c r="H1073" s="25" t="s">
        <v>36</v>
      </c>
      <c r="I1073" s="18" t="s">
        <v>37</v>
      </c>
      <c r="J1073" s="18" t="s">
        <v>38</v>
      </c>
      <c r="K1073" t="s">
        <v>39</v>
      </c>
      <c r="L1073" s="26">
        <f>VLOOKUP(A1073,'[3]Price info'!A:D,4,FALSE)</f>
        <v>6.34</v>
      </c>
      <c r="M1073" s="18" t="s">
        <v>40</v>
      </c>
      <c r="N1073" s="20">
        <v>3105</v>
      </c>
      <c r="O1073" s="15"/>
      <c r="P1073" s="16">
        <f>VLOOKUP(A1073,'[3]Price info'!A:H,8,FALSE)</f>
        <v>6.34</v>
      </c>
      <c r="Q1073" s="33">
        <f t="shared" si="65"/>
        <v>1</v>
      </c>
      <c r="R1073" s="18"/>
      <c r="S1073" s="16" t="e">
        <f>VLOOKUP(A1073,[4]Sales!$E:$G,3,FALSE)</f>
        <v>#N/A</v>
      </c>
      <c r="T1073" s="19" t="e">
        <f>VLOOKUP(A1073,[4]Volume!$E:$G,3,FALSE)</f>
        <v>#N/A</v>
      </c>
      <c r="U1073" s="19" t="e">
        <f>VLOOKUP(A1073,[4]Piece!$E:$G,3,FALSE)</f>
        <v>#N/A</v>
      </c>
      <c r="V1073" s="21" t="e">
        <f t="shared" si="66"/>
        <v>#N/A</v>
      </c>
      <c r="W1073" s="16" t="e">
        <f t="shared" si="67"/>
        <v>#N/A</v>
      </c>
    </row>
    <row r="1074" spans="1:23" hidden="1" x14ac:dyDescent="0.3">
      <c r="A1074" s="61" t="s">
        <v>2143</v>
      </c>
      <c r="B1074" s="61" t="s">
        <v>2143</v>
      </c>
      <c r="C1074" s="23" t="s">
        <v>33</v>
      </c>
      <c r="D1074" s="20" t="s">
        <v>34</v>
      </c>
      <c r="E1074" s="22" t="s">
        <v>2144</v>
      </c>
      <c r="F1074" s="24" t="str">
        <f t="shared" si="64"/>
        <v>PPG - Johnstones EGGSHELL - Brill White - 500ml</v>
      </c>
      <c r="G1074" s="23" t="s">
        <v>5947</v>
      </c>
      <c r="H1074" s="25" t="s">
        <v>36</v>
      </c>
      <c r="I1074" s="18" t="s">
        <v>37</v>
      </c>
      <c r="J1074" s="18" t="s">
        <v>38</v>
      </c>
      <c r="K1074" t="s">
        <v>39</v>
      </c>
      <c r="L1074" s="26">
        <f>VLOOKUP(A1074,'[3]Price info'!A:D,4,FALSE)</f>
        <v>7.21</v>
      </c>
      <c r="M1074" s="18" t="s">
        <v>40</v>
      </c>
      <c r="N1074" s="20">
        <v>3105</v>
      </c>
      <c r="P1074" s="16">
        <f>VLOOKUP(A1074,'[3]Price info'!A:H,8,FALSE)</f>
        <v>7.21</v>
      </c>
      <c r="Q1074" s="33">
        <f t="shared" si="65"/>
        <v>1</v>
      </c>
      <c r="S1074" s="16" t="e">
        <f>VLOOKUP(A1074,[4]Sales!$E:$G,3,FALSE)</f>
        <v>#N/A</v>
      </c>
      <c r="T1074" s="19" t="e">
        <f>VLOOKUP(A1074,[4]Volume!$E:$G,3,FALSE)</f>
        <v>#N/A</v>
      </c>
      <c r="U1074" s="19" t="e">
        <f>VLOOKUP(A1074,[4]Piece!$E:$G,3,FALSE)</f>
        <v>#N/A</v>
      </c>
      <c r="V1074" s="21" t="e">
        <f t="shared" si="66"/>
        <v>#N/A</v>
      </c>
      <c r="W1074" s="16" t="e">
        <f t="shared" si="67"/>
        <v>#N/A</v>
      </c>
    </row>
    <row r="1075" spans="1:23" hidden="1" x14ac:dyDescent="0.3">
      <c r="A1075" s="61" t="s">
        <v>2145</v>
      </c>
      <c r="B1075" s="61" t="s">
        <v>2145</v>
      </c>
      <c r="C1075" s="23" t="s">
        <v>33</v>
      </c>
      <c r="D1075" s="20" t="s">
        <v>34</v>
      </c>
      <c r="E1075" s="22" t="s">
        <v>2146</v>
      </c>
      <c r="F1075" s="24" t="str">
        <f t="shared" si="64"/>
        <v>PPG - Stormshield PLIOLITE - Parchment - 5ltr</v>
      </c>
      <c r="G1075" s="23" t="s">
        <v>5948</v>
      </c>
      <c r="H1075" s="25" t="s">
        <v>36</v>
      </c>
      <c r="I1075" s="18" t="s">
        <v>37</v>
      </c>
      <c r="J1075" s="18" t="s">
        <v>38</v>
      </c>
      <c r="K1075" t="s">
        <v>39</v>
      </c>
      <c r="L1075" s="26">
        <f>VLOOKUP(A1075,'[3]Price info'!A:D,4,FALSE)</f>
        <v>23.07</v>
      </c>
      <c r="M1075" s="18" t="s">
        <v>40</v>
      </c>
      <c r="N1075" s="20">
        <v>3105</v>
      </c>
      <c r="P1075" s="16">
        <f>VLOOKUP(A1075,'[3]Price info'!A:H,8,FALSE)</f>
        <v>23.07</v>
      </c>
      <c r="Q1075" s="33">
        <f t="shared" si="65"/>
        <v>1</v>
      </c>
      <c r="S1075" s="16" t="e">
        <f>VLOOKUP(A1075,[4]Sales!$E:$G,3,FALSE)</f>
        <v>#N/A</v>
      </c>
      <c r="T1075" s="19" t="e">
        <f>VLOOKUP(A1075,[4]Volume!$E:$G,3,FALSE)</f>
        <v>#N/A</v>
      </c>
      <c r="U1075" s="19" t="e">
        <f>VLOOKUP(A1075,[4]Piece!$E:$G,3,FALSE)</f>
        <v>#N/A</v>
      </c>
      <c r="V1075" s="21" t="e">
        <f t="shared" si="66"/>
        <v>#N/A</v>
      </c>
      <c r="W1075" s="16" t="e">
        <f t="shared" si="67"/>
        <v>#N/A</v>
      </c>
    </row>
    <row r="1076" spans="1:23" hidden="1" x14ac:dyDescent="0.3">
      <c r="A1076" s="61" t="s">
        <v>2147</v>
      </c>
      <c r="B1076" s="61" t="s">
        <v>2147</v>
      </c>
      <c r="C1076" s="23" t="s">
        <v>33</v>
      </c>
      <c r="D1076" s="20" t="s">
        <v>34</v>
      </c>
      <c r="E1076" s="22" t="s">
        <v>2148</v>
      </c>
      <c r="F1076" s="24" t="str">
        <f t="shared" si="64"/>
        <v>PPG - Stormshield PLIOLITE - County Cream - 5ltr</v>
      </c>
      <c r="G1076" s="23" t="s">
        <v>5949</v>
      </c>
      <c r="H1076" s="25" t="s">
        <v>36</v>
      </c>
      <c r="I1076" s="18" t="s">
        <v>37</v>
      </c>
      <c r="J1076" s="18" t="s">
        <v>38</v>
      </c>
      <c r="K1076" t="s">
        <v>39</v>
      </c>
      <c r="L1076" s="26">
        <f>VLOOKUP(A1076,'[3]Price info'!A:D,4,FALSE)</f>
        <v>23.07</v>
      </c>
      <c r="M1076" s="18" t="s">
        <v>40</v>
      </c>
      <c r="N1076" s="20">
        <v>3105</v>
      </c>
      <c r="P1076" s="16">
        <f>VLOOKUP(A1076,'[3]Price info'!A:H,8,FALSE)</f>
        <v>23.07</v>
      </c>
      <c r="Q1076" s="33">
        <f t="shared" si="65"/>
        <v>1</v>
      </c>
      <c r="S1076" s="16" t="e">
        <f>VLOOKUP(A1076,[4]Sales!$E:$G,3,FALSE)</f>
        <v>#N/A</v>
      </c>
      <c r="T1076" s="19" t="e">
        <f>VLOOKUP(A1076,[4]Volume!$E:$G,3,FALSE)</f>
        <v>#N/A</v>
      </c>
      <c r="U1076" s="19" t="e">
        <f>VLOOKUP(A1076,[4]Piece!$E:$G,3,FALSE)</f>
        <v>#N/A</v>
      </c>
      <c r="V1076" s="21" t="e">
        <f t="shared" si="66"/>
        <v>#N/A</v>
      </c>
      <c r="W1076" s="16" t="e">
        <f t="shared" si="67"/>
        <v>#N/A</v>
      </c>
    </row>
    <row r="1077" spans="1:23" hidden="1" x14ac:dyDescent="0.3">
      <c r="A1077" s="61" t="s">
        <v>2149</v>
      </c>
      <c r="B1077" s="61" t="s">
        <v>2149</v>
      </c>
      <c r="C1077" s="23" t="s">
        <v>33</v>
      </c>
      <c r="D1077" s="20" t="s">
        <v>34</v>
      </c>
      <c r="E1077" s="22" t="s">
        <v>2150</v>
      </c>
      <c r="F1077" s="24" t="str">
        <f t="shared" si="64"/>
        <v>PPG - Johnstones S/SHIELD WATERSEAL - Clear - 5ltr</v>
      </c>
      <c r="G1077" s="23" t="s">
        <v>5950</v>
      </c>
      <c r="H1077" s="25" t="s">
        <v>36</v>
      </c>
      <c r="I1077" s="18" t="s">
        <v>37</v>
      </c>
      <c r="J1077" s="18" t="s">
        <v>38</v>
      </c>
      <c r="K1077" t="s">
        <v>39</v>
      </c>
      <c r="L1077" s="26">
        <f>VLOOKUP(A1077,'[3]Price info'!A:D,4,FALSE)</f>
        <v>18.3</v>
      </c>
      <c r="M1077" s="18" t="s">
        <v>40</v>
      </c>
      <c r="N1077" s="20">
        <v>3105</v>
      </c>
      <c r="P1077" s="16">
        <f>VLOOKUP(A1077,'[3]Price info'!A:H,8,FALSE)</f>
        <v>18.3</v>
      </c>
      <c r="Q1077" s="33">
        <f t="shared" si="65"/>
        <v>1</v>
      </c>
      <c r="S1077" s="16">
        <f>VLOOKUP(A1077,[4]Sales!$E:$G,3,FALSE)</f>
        <v>0</v>
      </c>
      <c r="T1077" s="19">
        <f>VLOOKUP(A1077,[4]Volume!$E:$G,3,FALSE)</f>
        <v>0</v>
      </c>
      <c r="U1077" s="19">
        <f>VLOOKUP(A1077,[4]Piece!$E:$G,3,FALSE)</f>
        <v>0</v>
      </c>
      <c r="V1077" s="21">
        <f t="shared" si="66"/>
        <v>0</v>
      </c>
      <c r="W1077" s="16">
        <f t="shared" si="67"/>
        <v>0</v>
      </c>
    </row>
    <row r="1078" spans="1:23" hidden="1" x14ac:dyDescent="0.3">
      <c r="A1078" s="61" t="s">
        <v>2151</v>
      </c>
      <c r="B1078" s="61" t="s">
        <v>2151</v>
      </c>
      <c r="C1078" s="23" t="s">
        <v>33</v>
      </c>
      <c r="D1078" s="20" t="s">
        <v>34</v>
      </c>
      <c r="E1078" s="22" t="s">
        <v>2152</v>
      </c>
      <c r="F1078" s="24" t="str">
        <f t="shared" si="64"/>
        <v>PPG - Johnstones VINYL SILK - Magnolia - 2.5ltr</v>
      </c>
      <c r="G1078" s="23" t="s">
        <v>5951</v>
      </c>
      <c r="H1078" s="25" t="s">
        <v>36</v>
      </c>
      <c r="I1078" s="18" t="s">
        <v>37</v>
      </c>
      <c r="J1078" s="18" t="s">
        <v>38</v>
      </c>
      <c r="K1078" t="s">
        <v>39</v>
      </c>
      <c r="L1078" s="26">
        <f>VLOOKUP(A1078,'[3]Price info'!A:D,4,FALSE)</f>
        <v>11.46</v>
      </c>
      <c r="M1078" s="18" t="s">
        <v>40</v>
      </c>
      <c r="N1078" s="20">
        <v>3105</v>
      </c>
      <c r="P1078" s="16">
        <f>VLOOKUP(A1078,'[3]Price info'!A:H,8,FALSE)</f>
        <v>10.199999999999999</v>
      </c>
      <c r="Q1078" s="33">
        <f t="shared" si="65"/>
        <v>0.89005235602094224</v>
      </c>
      <c r="S1078" s="16" t="e">
        <f>VLOOKUP(A1078,[4]Sales!$E:$G,3,FALSE)</f>
        <v>#N/A</v>
      </c>
      <c r="T1078" s="19" t="e">
        <f>VLOOKUP(A1078,[4]Volume!$E:$G,3,FALSE)</f>
        <v>#N/A</v>
      </c>
      <c r="U1078" s="19" t="e">
        <f>VLOOKUP(A1078,[4]Piece!$E:$G,3,FALSE)</f>
        <v>#N/A</v>
      </c>
      <c r="V1078" s="21" t="e">
        <f t="shared" si="66"/>
        <v>#N/A</v>
      </c>
      <c r="W1078" s="16" t="e">
        <f t="shared" si="67"/>
        <v>#N/A</v>
      </c>
    </row>
    <row r="1079" spans="1:23" hidden="1" x14ac:dyDescent="0.3">
      <c r="A1079" s="61" t="s">
        <v>2153</v>
      </c>
      <c r="B1079" s="61" t="s">
        <v>2153</v>
      </c>
      <c r="C1079" s="23" t="s">
        <v>33</v>
      </c>
      <c r="D1079" s="20" t="s">
        <v>34</v>
      </c>
      <c r="E1079" s="22" t="s">
        <v>2154</v>
      </c>
      <c r="F1079" s="24" t="str">
        <f t="shared" si="64"/>
        <v>PPG - Johnstones VINYL SILK - BW - 1ltr</v>
      </c>
      <c r="G1079" s="23" t="s">
        <v>5952</v>
      </c>
      <c r="H1079" s="25" t="s">
        <v>36</v>
      </c>
      <c r="I1079" s="18" t="s">
        <v>37</v>
      </c>
      <c r="J1079" s="18" t="s">
        <v>38</v>
      </c>
      <c r="K1079" t="s">
        <v>39</v>
      </c>
      <c r="L1079" s="26">
        <f>VLOOKUP(A1079,'[3]Price info'!A:D,4,FALSE)</f>
        <v>9.31</v>
      </c>
      <c r="M1079" s="18" t="s">
        <v>40</v>
      </c>
      <c r="N1079" s="20">
        <v>3105</v>
      </c>
      <c r="P1079" s="16">
        <f>VLOOKUP(A1079,'[3]Price info'!A:H,8,FALSE)</f>
        <v>9.31</v>
      </c>
      <c r="Q1079" s="33">
        <f t="shared" si="65"/>
        <v>1</v>
      </c>
      <c r="S1079" s="16" t="e">
        <f>VLOOKUP(A1079,[4]Sales!$E:$G,3,FALSE)</f>
        <v>#N/A</v>
      </c>
      <c r="T1079" s="19" t="e">
        <f>VLOOKUP(A1079,[4]Volume!$E:$G,3,FALSE)</f>
        <v>#N/A</v>
      </c>
      <c r="U1079" s="19" t="e">
        <f>VLOOKUP(A1079,[4]Piece!$E:$G,3,FALSE)</f>
        <v>#N/A</v>
      </c>
      <c r="V1079" s="21" t="e">
        <f t="shared" si="66"/>
        <v>#N/A</v>
      </c>
      <c r="W1079" s="16" t="e">
        <f t="shared" si="67"/>
        <v>#N/A</v>
      </c>
    </row>
    <row r="1080" spans="1:23" hidden="1" x14ac:dyDescent="0.3">
      <c r="A1080" s="61" t="s">
        <v>2155</v>
      </c>
      <c r="B1080" s="61" t="s">
        <v>2155</v>
      </c>
      <c r="C1080" s="23" t="s">
        <v>33</v>
      </c>
      <c r="D1080" s="20" t="s">
        <v>34</v>
      </c>
      <c r="E1080" s="22" t="s">
        <v>2156</v>
      </c>
      <c r="F1080" s="24" t="str">
        <f t="shared" si="64"/>
        <v>PPG - Johnstones VINYL SILK - BW - 2.5ltr</v>
      </c>
      <c r="G1080" s="23" t="s">
        <v>5953</v>
      </c>
      <c r="H1080" s="25" t="s">
        <v>36</v>
      </c>
      <c r="I1080" s="18" t="s">
        <v>37</v>
      </c>
      <c r="J1080" s="18" t="s">
        <v>38</v>
      </c>
      <c r="K1080" t="s">
        <v>39</v>
      </c>
      <c r="L1080" s="26">
        <f>VLOOKUP(A1080,'[3]Price info'!A:D,4,FALSE)</f>
        <v>10.32</v>
      </c>
      <c r="M1080" s="18" t="s">
        <v>40</v>
      </c>
      <c r="N1080" s="20">
        <v>3105</v>
      </c>
      <c r="P1080" s="16">
        <f>VLOOKUP(A1080,'[3]Price info'!A:H,8,FALSE)</f>
        <v>7.6679999999999993</v>
      </c>
      <c r="Q1080" s="33">
        <f t="shared" si="65"/>
        <v>0.74302325581395334</v>
      </c>
      <c r="S1080" s="16">
        <f>VLOOKUP(A1080,[4]Sales!$E:$G,3,FALSE)</f>
        <v>0</v>
      </c>
      <c r="T1080" s="19">
        <f>VLOOKUP(A1080,[4]Volume!$E:$G,3,FALSE)</f>
        <v>0</v>
      </c>
      <c r="U1080" s="19">
        <f>VLOOKUP(A1080,[4]Piece!$E:$G,3,FALSE)</f>
        <v>0</v>
      </c>
      <c r="V1080" s="21">
        <f t="shared" si="66"/>
        <v>0</v>
      </c>
      <c r="W1080" s="16">
        <f t="shared" si="67"/>
        <v>0</v>
      </c>
    </row>
    <row r="1081" spans="1:23" hidden="1" x14ac:dyDescent="0.3">
      <c r="A1081" s="61" t="s">
        <v>2157</v>
      </c>
      <c r="B1081" s="61" t="s">
        <v>2157</v>
      </c>
      <c r="C1081" s="23" t="s">
        <v>33</v>
      </c>
      <c r="D1081" s="20" t="s">
        <v>34</v>
      </c>
      <c r="E1081" s="22" t="s">
        <v>2158</v>
      </c>
      <c r="F1081" s="24" t="str">
        <f t="shared" si="64"/>
        <v>PPG - Johnstones MICROBAR-ACRY EGGSHELL - Mag - 5l</v>
      </c>
      <c r="G1081" s="23" t="s">
        <v>5954</v>
      </c>
      <c r="H1081" s="25" t="s">
        <v>36</v>
      </c>
      <c r="I1081" s="18" t="s">
        <v>37</v>
      </c>
      <c r="J1081" s="18" t="s">
        <v>38</v>
      </c>
      <c r="K1081" t="s">
        <v>39</v>
      </c>
      <c r="L1081" s="26">
        <f>VLOOKUP(A1081,'[3]Price info'!A:D,4,FALSE)</f>
        <v>49.35</v>
      </c>
      <c r="M1081" s="18" t="s">
        <v>40</v>
      </c>
      <c r="N1081" s="20">
        <v>3105</v>
      </c>
      <c r="P1081" s="16">
        <f>VLOOKUP(A1081,'[3]Price info'!A:H,8,FALSE)</f>
        <v>49.35</v>
      </c>
      <c r="Q1081" s="33">
        <f t="shared" si="65"/>
        <v>1</v>
      </c>
      <c r="S1081" s="16" t="e">
        <f>VLOOKUP(A1081,[4]Sales!$E:$G,3,FALSE)</f>
        <v>#N/A</v>
      </c>
      <c r="T1081" s="19" t="e">
        <f>VLOOKUP(A1081,[4]Volume!$E:$G,3,FALSE)</f>
        <v>#N/A</v>
      </c>
      <c r="U1081" s="19" t="e">
        <f>VLOOKUP(A1081,[4]Piece!$E:$G,3,FALSE)</f>
        <v>#N/A</v>
      </c>
      <c r="V1081" s="21" t="e">
        <f t="shared" si="66"/>
        <v>#N/A</v>
      </c>
      <c r="W1081" s="16" t="e">
        <f t="shared" si="67"/>
        <v>#N/A</v>
      </c>
    </row>
    <row r="1082" spans="1:23" hidden="1" x14ac:dyDescent="0.3">
      <c r="A1082" s="61" t="s">
        <v>2159</v>
      </c>
      <c r="B1082" s="61" t="s">
        <v>2159</v>
      </c>
      <c r="C1082" s="23" t="s">
        <v>33</v>
      </c>
      <c r="D1082" s="20" t="s">
        <v>34</v>
      </c>
      <c r="E1082" s="22" t="s">
        <v>2160</v>
      </c>
      <c r="F1082" s="24" t="str">
        <f t="shared" si="64"/>
        <v>PPG - Johnstones Stopmould - Magnolia - 5ltr</v>
      </c>
      <c r="G1082" s="28" t="s">
        <v>5955</v>
      </c>
      <c r="H1082" s="29" t="s">
        <v>36</v>
      </c>
      <c r="I1082" s="30" t="s">
        <v>37</v>
      </c>
      <c r="J1082" s="30" t="s">
        <v>38</v>
      </c>
      <c r="K1082" s="31" t="s">
        <v>39</v>
      </c>
      <c r="L1082" s="26">
        <f>VLOOKUP(A1082,'[3]Price info'!A:D,4,FALSE)</f>
        <v>28.55</v>
      </c>
      <c r="M1082" s="30" t="s">
        <v>40</v>
      </c>
      <c r="N1082" s="32">
        <v>3105</v>
      </c>
      <c r="P1082" s="16">
        <f>VLOOKUP(A1082,'[3]Price info'!A:H,8,FALSE)</f>
        <v>24</v>
      </c>
      <c r="Q1082" s="35">
        <f t="shared" si="65"/>
        <v>0.84063047285464099</v>
      </c>
      <c r="R1082" s="30"/>
      <c r="S1082" s="16">
        <f>VLOOKUP(A1082,[4]Sales!$E:$G,3,FALSE)</f>
        <v>72</v>
      </c>
      <c r="T1082" s="19">
        <f>VLOOKUP(A1082,[4]Volume!$E:$G,3,FALSE)</f>
        <v>15</v>
      </c>
      <c r="U1082" s="19">
        <f>VLOOKUP(A1082,[4]Piece!$E:$G,3,FALSE)</f>
        <v>3</v>
      </c>
      <c r="V1082" s="21">
        <f t="shared" si="66"/>
        <v>72</v>
      </c>
      <c r="W1082" s="16">
        <f t="shared" si="67"/>
        <v>0</v>
      </c>
    </row>
    <row r="1083" spans="1:23" hidden="1" x14ac:dyDescent="0.3">
      <c r="A1083" s="61" t="s">
        <v>2161</v>
      </c>
      <c r="B1083" s="61" t="s">
        <v>2161</v>
      </c>
      <c r="C1083" s="23" t="s">
        <v>33</v>
      </c>
      <c r="D1083" s="20" t="s">
        <v>34</v>
      </c>
      <c r="E1083" s="22" t="s">
        <v>2162</v>
      </c>
      <c r="F1083" s="24" t="str">
        <f t="shared" si="64"/>
        <v>PPG - Johnstones Stopmould - Brill White - 5ltr</v>
      </c>
      <c r="G1083" s="28" t="s">
        <v>5956</v>
      </c>
      <c r="H1083" s="29" t="s">
        <v>36</v>
      </c>
      <c r="I1083" s="30" t="s">
        <v>37</v>
      </c>
      <c r="J1083" s="30" t="s">
        <v>38</v>
      </c>
      <c r="K1083" s="31" t="s">
        <v>39</v>
      </c>
      <c r="L1083" s="26">
        <f>VLOOKUP(A1083,'[3]Price info'!A:D,4,FALSE)</f>
        <v>28.6</v>
      </c>
      <c r="M1083" s="30" t="s">
        <v>40</v>
      </c>
      <c r="N1083" s="32">
        <v>3105</v>
      </c>
      <c r="P1083" s="16">
        <f>VLOOKUP(A1083,'[3]Price info'!A:H,8,FALSE)</f>
        <v>24</v>
      </c>
      <c r="Q1083" s="35">
        <f t="shared" si="65"/>
        <v>0.83916083916083917</v>
      </c>
      <c r="R1083" s="30"/>
      <c r="S1083" s="16">
        <f>VLOOKUP(A1083,[4]Sales!$E:$G,3,FALSE)</f>
        <v>267.60000000000002</v>
      </c>
      <c r="T1083" s="19">
        <f>VLOOKUP(A1083,[4]Volume!$E:$G,3,FALSE)</f>
        <v>55</v>
      </c>
      <c r="U1083" s="19">
        <f>VLOOKUP(A1083,[4]Piece!$E:$G,3,FALSE)</f>
        <v>11</v>
      </c>
      <c r="V1083" s="21">
        <f t="shared" si="66"/>
        <v>264</v>
      </c>
      <c r="W1083" s="16">
        <f t="shared" si="67"/>
        <v>-3.6000000000000227</v>
      </c>
    </row>
    <row r="1084" spans="1:23" hidden="1" x14ac:dyDescent="0.3">
      <c r="A1084" s="61" t="s">
        <v>2163</v>
      </c>
      <c r="B1084" s="61" t="s">
        <v>2163</v>
      </c>
      <c r="C1084" s="23" t="s">
        <v>33</v>
      </c>
      <c r="D1084" s="20" t="s">
        <v>34</v>
      </c>
      <c r="E1084" s="22" t="s">
        <v>2164</v>
      </c>
      <c r="F1084" s="24" t="str">
        <f t="shared" si="64"/>
        <v>PPG - Johnstones AGRICULTURAL OXIDE - Green - 5ltr</v>
      </c>
      <c r="G1084" s="23" t="s">
        <v>5957</v>
      </c>
      <c r="H1084" s="25" t="s">
        <v>36</v>
      </c>
      <c r="I1084" s="18" t="s">
        <v>37</v>
      </c>
      <c r="J1084" s="18" t="s">
        <v>38</v>
      </c>
      <c r="K1084" t="s">
        <v>39</v>
      </c>
      <c r="L1084" s="26">
        <f>VLOOKUP(A1084,'[3]Price info'!A:D,4,FALSE)</f>
        <v>48.28</v>
      </c>
      <c r="M1084" s="18" t="s">
        <v>40</v>
      </c>
      <c r="N1084" s="20">
        <v>3105</v>
      </c>
      <c r="P1084" s="16">
        <f>VLOOKUP(A1084,'[3]Price info'!A:H,8,FALSE)</f>
        <v>48.28</v>
      </c>
      <c r="Q1084" s="33">
        <f t="shared" si="65"/>
        <v>1</v>
      </c>
      <c r="S1084" s="16">
        <f>VLOOKUP(A1084,[4]Sales!$E:$G,3,FALSE)</f>
        <v>0</v>
      </c>
      <c r="T1084" s="19">
        <f>VLOOKUP(A1084,[4]Volume!$E:$G,3,FALSE)</f>
        <v>0</v>
      </c>
      <c r="U1084" s="19">
        <f>VLOOKUP(A1084,[4]Piece!$E:$G,3,FALSE)</f>
        <v>0</v>
      </c>
      <c r="V1084" s="21">
        <f t="shared" si="66"/>
        <v>0</v>
      </c>
      <c r="W1084" s="16">
        <f t="shared" si="67"/>
        <v>0</v>
      </c>
    </row>
    <row r="1085" spans="1:23" hidden="1" x14ac:dyDescent="0.3">
      <c r="A1085" s="61" t="s">
        <v>2165</v>
      </c>
      <c r="B1085" s="61" t="s">
        <v>2165</v>
      </c>
      <c r="C1085" s="23" t="s">
        <v>33</v>
      </c>
      <c r="D1085" s="20" t="s">
        <v>34</v>
      </c>
      <c r="E1085" s="22" t="s">
        <v>2166</v>
      </c>
      <c r="F1085" s="24" t="str">
        <f t="shared" si="64"/>
        <v>PPG - Johnstones AGRICULTURAL OXIDE - Red Ox -5ltr</v>
      </c>
      <c r="G1085" s="23" t="s">
        <v>5958</v>
      </c>
      <c r="H1085" s="25" t="s">
        <v>36</v>
      </c>
      <c r="I1085" s="18" t="s">
        <v>37</v>
      </c>
      <c r="J1085" s="18" t="s">
        <v>38</v>
      </c>
      <c r="K1085" t="s">
        <v>39</v>
      </c>
      <c r="L1085" s="26">
        <f>VLOOKUP(A1085,'[3]Price info'!A:D,4,FALSE)</f>
        <v>48.28</v>
      </c>
      <c r="M1085" s="18" t="s">
        <v>40</v>
      </c>
      <c r="N1085" s="20">
        <v>3105</v>
      </c>
      <c r="P1085" s="16">
        <f>VLOOKUP(A1085,'[3]Price info'!A:H,8,FALSE)</f>
        <v>48.28</v>
      </c>
      <c r="Q1085" s="33">
        <f t="shared" si="65"/>
        <v>1</v>
      </c>
      <c r="S1085" s="16" t="e">
        <f>VLOOKUP(A1085,[4]Sales!$E:$G,3,FALSE)</f>
        <v>#N/A</v>
      </c>
      <c r="T1085" s="19" t="e">
        <f>VLOOKUP(A1085,[4]Volume!$E:$G,3,FALSE)</f>
        <v>#N/A</v>
      </c>
      <c r="U1085" s="19" t="e">
        <f>VLOOKUP(A1085,[4]Piece!$E:$G,3,FALSE)</f>
        <v>#N/A</v>
      </c>
      <c r="V1085" s="21" t="e">
        <f t="shared" si="66"/>
        <v>#N/A</v>
      </c>
      <c r="W1085" s="16" t="e">
        <f t="shared" si="67"/>
        <v>#N/A</v>
      </c>
    </row>
    <row r="1086" spans="1:23" hidden="1" x14ac:dyDescent="0.3">
      <c r="A1086" s="61" t="s">
        <v>2167</v>
      </c>
      <c r="B1086" s="61" t="s">
        <v>2167</v>
      </c>
      <c r="C1086" s="23" t="s">
        <v>33</v>
      </c>
      <c r="D1086" s="20" t="s">
        <v>34</v>
      </c>
      <c r="E1086" s="22" t="s">
        <v>2168</v>
      </c>
      <c r="F1086" s="24" t="str">
        <f t="shared" si="64"/>
        <v>PPG - Johnstones FLAT OIL PAINT - BW - 2.5ltr</v>
      </c>
      <c r="G1086" s="23" t="s">
        <v>5959</v>
      </c>
      <c r="H1086" s="25" t="s">
        <v>36</v>
      </c>
      <c r="I1086" s="18" t="s">
        <v>37</v>
      </c>
      <c r="J1086" s="18" t="s">
        <v>38</v>
      </c>
      <c r="K1086" t="s">
        <v>39</v>
      </c>
      <c r="L1086" s="26">
        <f>VLOOKUP(A1086,'[3]Price info'!A:D,4,FALSE)</f>
        <v>30.74</v>
      </c>
      <c r="M1086" s="18" t="s">
        <v>40</v>
      </c>
      <c r="N1086" s="20">
        <v>3105</v>
      </c>
      <c r="P1086" s="16">
        <f>VLOOKUP(A1086,'[3]Price info'!A:H,8,FALSE)</f>
        <v>30.74</v>
      </c>
      <c r="Q1086" s="33">
        <f t="shared" si="65"/>
        <v>1</v>
      </c>
      <c r="S1086" s="16" t="e">
        <f>VLOOKUP(A1086,[4]Sales!$E:$G,3,FALSE)</f>
        <v>#N/A</v>
      </c>
      <c r="T1086" s="19" t="e">
        <f>VLOOKUP(A1086,[4]Volume!$E:$G,3,FALSE)</f>
        <v>#N/A</v>
      </c>
      <c r="U1086" s="19" t="e">
        <f>VLOOKUP(A1086,[4]Piece!$E:$G,3,FALSE)</f>
        <v>#N/A</v>
      </c>
      <c r="V1086" s="21" t="e">
        <f t="shared" si="66"/>
        <v>#N/A</v>
      </c>
      <c r="W1086" s="16" t="e">
        <f t="shared" si="67"/>
        <v>#N/A</v>
      </c>
    </row>
    <row r="1087" spans="1:23" hidden="1" x14ac:dyDescent="0.3">
      <c r="A1087" s="61" t="s">
        <v>2169</v>
      </c>
      <c r="B1087" s="61" t="s">
        <v>2169</v>
      </c>
      <c r="C1087" s="23" t="s">
        <v>33</v>
      </c>
      <c r="D1087" s="20" t="s">
        <v>34</v>
      </c>
      <c r="E1087" s="22" t="s">
        <v>2170</v>
      </c>
      <c r="F1087" s="24" t="str">
        <f t="shared" si="64"/>
        <v>PPG - Johnstones FLAT OIL PAINT - BW - 5ltr</v>
      </c>
      <c r="G1087" s="23" t="s">
        <v>5960</v>
      </c>
      <c r="H1087" s="25" t="s">
        <v>36</v>
      </c>
      <c r="I1087" s="18" t="s">
        <v>37</v>
      </c>
      <c r="J1087" s="18" t="s">
        <v>38</v>
      </c>
      <c r="K1087" t="s">
        <v>39</v>
      </c>
      <c r="L1087" s="26">
        <f>VLOOKUP(A1087,'[3]Price info'!A:D,4,FALSE)</f>
        <v>51.29</v>
      </c>
      <c r="M1087" s="18" t="s">
        <v>40</v>
      </c>
      <c r="N1087" s="20">
        <v>3105</v>
      </c>
      <c r="P1087" s="16">
        <f>VLOOKUP(A1087,'[3]Price info'!A:H,8,FALSE)</f>
        <v>51.29</v>
      </c>
      <c r="Q1087" s="33">
        <f t="shared" si="65"/>
        <v>1</v>
      </c>
      <c r="S1087" s="16" t="e">
        <f>VLOOKUP(A1087,[4]Sales!$E:$G,3,FALSE)</f>
        <v>#N/A</v>
      </c>
      <c r="T1087" s="19" t="e">
        <f>VLOOKUP(A1087,[4]Volume!$E:$G,3,FALSE)</f>
        <v>#N/A</v>
      </c>
      <c r="U1087" s="19" t="e">
        <f>VLOOKUP(A1087,[4]Piece!$E:$G,3,FALSE)</f>
        <v>#N/A</v>
      </c>
      <c r="V1087" s="21" t="e">
        <f t="shared" si="66"/>
        <v>#N/A</v>
      </c>
      <c r="W1087" s="16" t="e">
        <f t="shared" si="67"/>
        <v>#N/A</v>
      </c>
    </row>
    <row r="1088" spans="1:23" hidden="1" x14ac:dyDescent="0.3">
      <c r="A1088" s="61" t="s">
        <v>2171</v>
      </c>
      <c r="B1088" s="61" t="s">
        <v>2171</v>
      </c>
      <c r="C1088" s="23" t="s">
        <v>33</v>
      </c>
      <c r="D1088" s="20" t="s">
        <v>34</v>
      </c>
      <c r="E1088" s="22" t="s">
        <v>2172</v>
      </c>
      <c r="F1088" s="24" t="str">
        <f t="shared" si="64"/>
        <v>PPG - Johnstones MDF PRIMER - Bril White - 1ltr</v>
      </c>
      <c r="G1088" s="23" t="s">
        <v>5961</v>
      </c>
      <c r="H1088" s="25" t="s">
        <v>36</v>
      </c>
      <c r="I1088" s="18" t="s">
        <v>37</v>
      </c>
      <c r="J1088" s="18" t="s">
        <v>38</v>
      </c>
      <c r="K1088" t="s">
        <v>39</v>
      </c>
      <c r="L1088" s="26">
        <f>VLOOKUP(A1088,'[3]Price info'!A:D,4,FALSE)</f>
        <v>16.850000000000001</v>
      </c>
      <c r="M1088" s="18" t="s">
        <v>40</v>
      </c>
      <c r="N1088" s="20">
        <v>3105</v>
      </c>
      <c r="P1088" s="16">
        <f>VLOOKUP(A1088,'[3]Price info'!A:H,8,FALSE)</f>
        <v>16.850000000000001</v>
      </c>
      <c r="Q1088" s="33">
        <f t="shared" si="65"/>
        <v>1</v>
      </c>
      <c r="S1088" s="16" t="e">
        <f>VLOOKUP(A1088,[4]Sales!$E:$G,3,FALSE)</f>
        <v>#N/A</v>
      </c>
      <c r="T1088" s="19" t="e">
        <f>VLOOKUP(A1088,[4]Volume!$E:$G,3,FALSE)</f>
        <v>#N/A</v>
      </c>
      <c r="U1088" s="19" t="e">
        <f>VLOOKUP(A1088,[4]Piece!$E:$G,3,FALSE)</f>
        <v>#N/A</v>
      </c>
      <c r="V1088" s="21" t="e">
        <f t="shared" si="66"/>
        <v>#N/A</v>
      </c>
      <c r="W1088" s="16" t="e">
        <f t="shared" si="67"/>
        <v>#N/A</v>
      </c>
    </row>
    <row r="1089" spans="1:23" hidden="1" x14ac:dyDescent="0.3">
      <c r="A1089" s="61" t="s">
        <v>2173</v>
      </c>
      <c r="B1089" s="61" t="s">
        <v>2173</v>
      </c>
      <c r="C1089" s="23" t="s">
        <v>33</v>
      </c>
      <c r="D1089" s="20" t="s">
        <v>34</v>
      </c>
      <c r="E1089" s="22" t="s">
        <v>2174</v>
      </c>
      <c r="F1089" s="24" t="str">
        <f t="shared" si="64"/>
        <v>PPG - Johnstones MDF PRIMER - Bril White - 2.5ltr</v>
      </c>
      <c r="G1089" s="23" t="s">
        <v>5962</v>
      </c>
      <c r="H1089" s="25" t="s">
        <v>36</v>
      </c>
      <c r="I1089" s="18" t="s">
        <v>37</v>
      </c>
      <c r="J1089" s="18" t="s">
        <v>38</v>
      </c>
      <c r="K1089" t="s">
        <v>39</v>
      </c>
      <c r="L1089" s="26">
        <f>VLOOKUP(A1089,'[3]Price info'!A:D,4,FALSE)</f>
        <v>17.79</v>
      </c>
      <c r="M1089" s="18" t="s">
        <v>40</v>
      </c>
      <c r="N1089" s="20">
        <v>3105</v>
      </c>
      <c r="P1089" s="16">
        <f>VLOOKUP(A1089,'[3]Price info'!A:H,8,FALSE)</f>
        <v>17.79</v>
      </c>
      <c r="Q1089" s="33">
        <f t="shared" si="65"/>
        <v>1</v>
      </c>
      <c r="S1089" s="16">
        <f>VLOOKUP(A1089,[4]Sales!$E:$G,3,FALSE)</f>
        <v>17.79</v>
      </c>
      <c r="T1089" s="19">
        <f>VLOOKUP(A1089,[4]Volume!$E:$G,3,FALSE)</f>
        <v>2.5</v>
      </c>
      <c r="U1089" s="19">
        <f>VLOOKUP(A1089,[4]Piece!$E:$G,3,FALSE)</f>
        <v>1</v>
      </c>
      <c r="V1089" s="21">
        <f t="shared" si="66"/>
        <v>17.79</v>
      </c>
      <c r="W1089" s="16">
        <f t="shared" si="67"/>
        <v>0</v>
      </c>
    </row>
    <row r="1090" spans="1:23" hidden="1" x14ac:dyDescent="0.3">
      <c r="A1090" s="61" t="s">
        <v>2175</v>
      </c>
      <c r="B1090" s="61" t="s">
        <v>2175</v>
      </c>
      <c r="C1090" s="23" t="s">
        <v>33</v>
      </c>
      <c r="D1090" s="20" t="s">
        <v>34</v>
      </c>
      <c r="E1090" s="22" t="s">
        <v>2176</v>
      </c>
      <c r="F1090" s="24" t="str">
        <f t="shared" si="64"/>
        <v>PPG - Johnstones 2PK WB FLOOR - Dark Grey - 5ltr</v>
      </c>
      <c r="G1090" s="23" t="s">
        <v>5963</v>
      </c>
      <c r="H1090" s="25" t="s">
        <v>36</v>
      </c>
      <c r="I1090" s="18" t="s">
        <v>37</v>
      </c>
      <c r="J1090" s="18" t="s">
        <v>38</v>
      </c>
      <c r="K1090" t="s">
        <v>39</v>
      </c>
      <c r="L1090" s="26">
        <f>VLOOKUP(A1090,'[3]Price info'!A:D,4,FALSE)</f>
        <v>127.65</v>
      </c>
      <c r="M1090" s="18" t="s">
        <v>40</v>
      </c>
      <c r="N1090" s="20">
        <v>3105</v>
      </c>
      <c r="P1090" s="16">
        <f>VLOOKUP(A1090,'[3]Price info'!A:H,8,FALSE)</f>
        <v>127.65</v>
      </c>
      <c r="Q1090" s="33">
        <f t="shared" si="65"/>
        <v>1</v>
      </c>
      <c r="S1090" s="16">
        <f>VLOOKUP(A1090,[4]Sales!$E:$G,3,FALSE)</f>
        <v>153.18</v>
      </c>
      <c r="T1090" s="19">
        <f>VLOOKUP(A1090,[4]Volume!$E:$G,3,FALSE)</f>
        <v>8</v>
      </c>
      <c r="U1090" s="19">
        <f>VLOOKUP(A1090,[4]Piece!$E:$G,3,FALSE)</f>
        <v>2</v>
      </c>
      <c r="V1090" s="21">
        <f t="shared" si="66"/>
        <v>255.3</v>
      </c>
      <c r="W1090" s="16">
        <f t="shared" si="67"/>
        <v>102.12</v>
      </c>
    </row>
    <row r="1091" spans="1:23" hidden="1" x14ac:dyDescent="0.3">
      <c r="A1091" s="61" t="s">
        <v>2177</v>
      </c>
      <c r="B1091" s="61" t="s">
        <v>2177</v>
      </c>
      <c r="C1091" s="23" t="s">
        <v>33</v>
      </c>
      <c r="D1091" s="20" t="s">
        <v>34</v>
      </c>
      <c r="E1091" s="22" t="s">
        <v>2178</v>
      </c>
      <c r="F1091" s="24" t="str">
        <f t="shared" ref="F1091:F1154" si="68">D1091&amp;" - "&amp;E1091</f>
        <v>PPG - JST MATT WOODSTAIN - Antique Pine - 2.5ltr</v>
      </c>
      <c r="G1091" s="23" t="s">
        <v>5964</v>
      </c>
      <c r="H1091" s="25" t="s">
        <v>36</v>
      </c>
      <c r="I1091" s="18" t="s">
        <v>37</v>
      </c>
      <c r="J1091" s="18" t="s">
        <v>38</v>
      </c>
      <c r="K1091" t="s">
        <v>39</v>
      </c>
      <c r="L1091" s="26">
        <f>VLOOKUP(A1091,'[3]Price info'!A:D,4,FALSE)</f>
        <v>16.88</v>
      </c>
      <c r="M1091" s="18" t="s">
        <v>40</v>
      </c>
      <c r="N1091" s="20">
        <v>3105</v>
      </c>
      <c r="P1091" s="16">
        <f>VLOOKUP(A1091,'[3]Price info'!A:H,8,FALSE)</f>
        <v>16.88</v>
      </c>
      <c r="Q1091" s="33">
        <f t="shared" ref="Q1091:Q1154" si="69">P1091/L1091</f>
        <v>1</v>
      </c>
      <c r="S1091" s="16" t="e">
        <f>VLOOKUP(A1091,[4]Sales!$E:$G,3,FALSE)</f>
        <v>#N/A</v>
      </c>
      <c r="T1091" s="19" t="e">
        <f>VLOOKUP(A1091,[4]Volume!$E:$G,3,FALSE)</f>
        <v>#N/A</v>
      </c>
      <c r="U1091" s="19" t="e">
        <f>VLOOKUP(A1091,[4]Piece!$E:$G,3,FALSE)</f>
        <v>#N/A</v>
      </c>
      <c r="V1091" s="21" t="e">
        <f t="shared" ref="V1091:V1154" si="70">U1091*P1091</f>
        <v>#N/A</v>
      </c>
      <c r="W1091" s="16" t="e">
        <f t="shared" ref="W1091:W1154" si="71">V1091-S1091</f>
        <v>#N/A</v>
      </c>
    </row>
    <row r="1092" spans="1:23" hidden="1" x14ac:dyDescent="0.3">
      <c r="A1092" s="61" t="s">
        <v>2179</v>
      </c>
      <c r="B1092" s="61" t="s">
        <v>2179</v>
      </c>
      <c r="C1092" s="23" t="s">
        <v>33</v>
      </c>
      <c r="D1092" s="20" t="s">
        <v>34</v>
      </c>
      <c r="E1092" s="22" t="s">
        <v>2180</v>
      </c>
      <c r="F1092" s="24" t="str">
        <f t="shared" si="68"/>
        <v>PPG - JST MATT WOODSTAIN - Teak - 2.5ltr</v>
      </c>
      <c r="G1092" s="23" t="s">
        <v>5965</v>
      </c>
      <c r="H1092" s="25" t="s">
        <v>36</v>
      </c>
      <c r="I1092" s="18" t="s">
        <v>37</v>
      </c>
      <c r="J1092" s="18" t="s">
        <v>38</v>
      </c>
      <c r="K1092" t="s">
        <v>39</v>
      </c>
      <c r="L1092" s="26">
        <f>VLOOKUP(A1092,'[3]Price info'!A:D,4,FALSE)</f>
        <v>16.88</v>
      </c>
      <c r="M1092" s="18" t="s">
        <v>40</v>
      </c>
      <c r="N1092" s="20">
        <v>3105</v>
      </c>
      <c r="P1092" s="16">
        <f>VLOOKUP(A1092,'[3]Price info'!A:H,8,FALSE)</f>
        <v>16.88</v>
      </c>
      <c r="Q1092" s="33">
        <f t="shared" si="69"/>
        <v>1</v>
      </c>
      <c r="S1092" s="16" t="e">
        <f>VLOOKUP(A1092,[4]Sales!$E:$G,3,FALSE)</f>
        <v>#N/A</v>
      </c>
      <c r="T1092" s="19" t="e">
        <f>VLOOKUP(A1092,[4]Volume!$E:$G,3,FALSE)</f>
        <v>#N/A</v>
      </c>
      <c r="U1092" s="19" t="e">
        <f>VLOOKUP(A1092,[4]Piece!$E:$G,3,FALSE)</f>
        <v>#N/A</v>
      </c>
      <c r="V1092" s="21" t="e">
        <f t="shared" si="70"/>
        <v>#N/A</v>
      </c>
      <c r="W1092" s="16" t="e">
        <f t="shared" si="71"/>
        <v>#N/A</v>
      </c>
    </row>
    <row r="1093" spans="1:23" hidden="1" x14ac:dyDescent="0.3">
      <c r="A1093" s="61" t="s">
        <v>2181</v>
      </c>
      <c r="B1093" s="61" t="s">
        <v>2181</v>
      </c>
      <c r="C1093" s="23" t="s">
        <v>33</v>
      </c>
      <c r="D1093" s="20" t="s">
        <v>34</v>
      </c>
      <c r="E1093" s="22" t="s">
        <v>2182</v>
      </c>
      <c r="F1093" s="24" t="str">
        <f t="shared" si="68"/>
        <v>PPG - JST MATT WOODSTAIN - Clear - 750ml</v>
      </c>
      <c r="G1093" s="23" t="s">
        <v>5966</v>
      </c>
      <c r="H1093" s="25" t="s">
        <v>36</v>
      </c>
      <c r="I1093" s="18" t="s">
        <v>37</v>
      </c>
      <c r="J1093" s="18" t="s">
        <v>38</v>
      </c>
      <c r="K1093" t="s">
        <v>39</v>
      </c>
      <c r="L1093" s="26">
        <f>VLOOKUP(A1093,'[3]Price info'!A:D,4,FALSE)</f>
        <v>7.67</v>
      </c>
      <c r="M1093" s="18" t="s">
        <v>40</v>
      </c>
      <c r="N1093" s="20">
        <v>3105</v>
      </c>
      <c r="P1093" s="16">
        <f>VLOOKUP(A1093,'[3]Price info'!A:H,8,FALSE)</f>
        <v>7.67</v>
      </c>
      <c r="Q1093" s="33">
        <f t="shared" si="69"/>
        <v>1</v>
      </c>
      <c r="S1093" s="16" t="e">
        <f>VLOOKUP(A1093,[4]Sales!$E:$G,3,FALSE)</f>
        <v>#N/A</v>
      </c>
      <c r="T1093" s="19" t="e">
        <f>VLOOKUP(A1093,[4]Volume!$E:$G,3,FALSE)</f>
        <v>#N/A</v>
      </c>
      <c r="U1093" s="19" t="e">
        <f>VLOOKUP(A1093,[4]Piece!$E:$G,3,FALSE)</f>
        <v>#N/A</v>
      </c>
      <c r="V1093" s="21" t="e">
        <f t="shared" si="70"/>
        <v>#N/A</v>
      </c>
      <c r="W1093" s="16" t="e">
        <f t="shared" si="71"/>
        <v>#N/A</v>
      </c>
    </row>
    <row r="1094" spans="1:23" hidden="1" x14ac:dyDescent="0.3">
      <c r="A1094" s="61" t="s">
        <v>2183</v>
      </c>
      <c r="B1094" s="61" t="s">
        <v>2183</v>
      </c>
      <c r="C1094" s="23" t="s">
        <v>33</v>
      </c>
      <c r="D1094" s="20" t="s">
        <v>34</v>
      </c>
      <c r="E1094" s="22" t="s">
        <v>2184</v>
      </c>
      <c r="F1094" s="24" t="str">
        <f t="shared" si="68"/>
        <v>PPG - Johnstones SATIN WOODSTAIN - Clear - 750ml</v>
      </c>
      <c r="G1094" s="23" t="s">
        <v>5967</v>
      </c>
      <c r="H1094" s="25" t="s">
        <v>36</v>
      </c>
      <c r="I1094" s="18" t="s">
        <v>37</v>
      </c>
      <c r="J1094" s="18" t="s">
        <v>38</v>
      </c>
      <c r="K1094" t="s">
        <v>39</v>
      </c>
      <c r="L1094" s="26">
        <f>VLOOKUP(A1094,'[3]Price info'!A:D,4,FALSE)</f>
        <v>6.58</v>
      </c>
      <c r="M1094" s="18" t="s">
        <v>40</v>
      </c>
      <c r="N1094" s="20">
        <v>3105</v>
      </c>
      <c r="P1094" s="16">
        <f>VLOOKUP(A1094,'[3]Price info'!A:H,8,FALSE)</f>
        <v>6.58</v>
      </c>
      <c r="Q1094" s="33">
        <f t="shared" si="69"/>
        <v>1</v>
      </c>
      <c r="S1094" s="16" t="e">
        <f>VLOOKUP(A1094,[4]Sales!$E:$G,3,FALSE)</f>
        <v>#N/A</v>
      </c>
      <c r="T1094" s="19" t="e">
        <f>VLOOKUP(A1094,[4]Volume!$E:$G,3,FALSE)</f>
        <v>#N/A</v>
      </c>
      <c r="U1094" s="19" t="e">
        <f>VLOOKUP(A1094,[4]Piece!$E:$G,3,FALSE)</f>
        <v>#N/A</v>
      </c>
      <c r="V1094" s="21" t="e">
        <f t="shared" si="70"/>
        <v>#N/A</v>
      </c>
      <c r="W1094" s="16" t="e">
        <f t="shared" si="71"/>
        <v>#N/A</v>
      </c>
    </row>
    <row r="1095" spans="1:23" hidden="1" x14ac:dyDescent="0.3">
      <c r="A1095" s="61" t="s">
        <v>2185</v>
      </c>
      <c r="B1095" s="61" t="s">
        <v>2185</v>
      </c>
      <c r="C1095" s="23" t="s">
        <v>33</v>
      </c>
      <c r="D1095" s="20" t="s">
        <v>34</v>
      </c>
      <c r="E1095" s="22" t="s">
        <v>2186</v>
      </c>
      <c r="F1095" s="24" t="str">
        <f t="shared" si="68"/>
        <v>PPG - Johnstones SATIN WOODSTAIN - Clear - 5ltr</v>
      </c>
      <c r="G1095" s="23" t="s">
        <v>5968</v>
      </c>
      <c r="H1095" s="25" t="s">
        <v>36</v>
      </c>
      <c r="I1095" s="18" t="s">
        <v>37</v>
      </c>
      <c r="J1095" s="18" t="s">
        <v>38</v>
      </c>
      <c r="K1095" t="s">
        <v>39</v>
      </c>
      <c r="L1095" s="26">
        <f>VLOOKUP(A1095,'[3]Price info'!A:D,4,FALSE)</f>
        <v>29.65</v>
      </c>
      <c r="M1095" s="18" t="s">
        <v>40</v>
      </c>
      <c r="N1095" s="20">
        <v>3105</v>
      </c>
      <c r="P1095" s="16">
        <f>VLOOKUP(A1095,'[3]Price info'!A:H,8,FALSE)</f>
        <v>29.65</v>
      </c>
      <c r="Q1095" s="33">
        <f t="shared" si="69"/>
        <v>1</v>
      </c>
      <c r="S1095" s="16">
        <f>VLOOKUP(A1095,[4]Sales!$E:$G,3,FALSE)</f>
        <v>57.25</v>
      </c>
      <c r="T1095" s="19">
        <f>VLOOKUP(A1095,[4]Volume!$E:$G,3,FALSE)</f>
        <v>10</v>
      </c>
      <c r="U1095" s="19">
        <f>VLOOKUP(A1095,[4]Piece!$E:$G,3,FALSE)</f>
        <v>2</v>
      </c>
      <c r="V1095" s="21">
        <f t="shared" si="70"/>
        <v>59.3</v>
      </c>
      <c r="W1095" s="16">
        <f t="shared" si="71"/>
        <v>2.0499999999999972</v>
      </c>
    </row>
    <row r="1096" spans="1:23" hidden="1" x14ac:dyDescent="0.3">
      <c r="A1096" s="61" t="s">
        <v>2187</v>
      </c>
      <c r="B1096" s="61" t="s">
        <v>2187</v>
      </c>
      <c r="C1096" s="23" t="s">
        <v>33</v>
      </c>
      <c r="D1096" s="20" t="s">
        <v>34</v>
      </c>
      <c r="E1096" s="22" t="s">
        <v>2188</v>
      </c>
      <c r="F1096" s="24" t="str">
        <f t="shared" si="68"/>
        <v>PPG - Johnstones SATIN WOODSTAIN - Ebony - 750ml</v>
      </c>
      <c r="G1096" s="23" t="s">
        <v>5969</v>
      </c>
      <c r="H1096" s="25" t="s">
        <v>36</v>
      </c>
      <c r="I1096" s="18" t="s">
        <v>37</v>
      </c>
      <c r="J1096" s="18" t="s">
        <v>38</v>
      </c>
      <c r="K1096" t="s">
        <v>39</v>
      </c>
      <c r="L1096" s="26">
        <f>VLOOKUP(A1096,'[3]Price info'!A:D,4,FALSE)</f>
        <v>6.58</v>
      </c>
      <c r="M1096" s="18" t="s">
        <v>40</v>
      </c>
      <c r="N1096" s="20">
        <v>3105</v>
      </c>
      <c r="P1096" s="16">
        <f>VLOOKUP(A1096,'[3]Price info'!A:H,8,FALSE)</f>
        <v>6.58</v>
      </c>
      <c r="Q1096" s="33">
        <f t="shared" si="69"/>
        <v>1</v>
      </c>
      <c r="S1096" s="16" t="e">
        <f>VLOOKUP(A1096,[4]Sales!$E:$G,3,FALSE)</f>
        <v>#N/A</v>
      </c>
      <c r="T1096" s="19" t="e">
        <f>VLOOKUP(A1096,[4]Volume!$E:$G,3,FALSE)</f>
        <v>#N/A</v>
      </c>
      <c r="U1096" s="19" t="e">
        <f>VLOOKUP(A1096,[4]Piece!$E:$G,3,FALSE)</f>
        <v>#N/A</v>
      </c>
      <c r="V1096" s="21" t="e">
        <f t="shared" si="70"/>
        <v>#N/A</v>
      </c>
      <c r="W1096" s="16" t="e">
        <f t="shared" si="71"/>
        <v>#N/A</v>
      </c>
    </row>
    <row r="1097" spans="1:23" hidden="1" x14ac:dyDescent="0.3">
      <c r="A1097" s="61" t="s">
        <v>2189</v>
      </c>
      <c r="B1097" s="61" t="s">
        <v>2189</v>
      </c>
      <c r="C1097" s="23" t="s">
        <v>33</v>
      </c>
      <c r="D1097" s="20" t="s">
        <v>34</v>
      </c>
      <c r="E1097" s="22" t="s">
        <v>2190</v>
      </c>
      <c r="F1097" s="24" t="str">
        <f t="shared" si="68"/>
        <v>PPG - Johnstones QD Woodstain - Ebony - 750ml</v>
      </c>
      <c r="G1097" s="23" t="s">
        <v>5970</v>
      </c>
      <c r="H1097" s="25" t="s">
        <v>36</v>
      </c>
      <c r="I1097" s="18" t="s">
        <v>37</v>
      </c>
      <c r="J1097" s="18" t="s">
        <v>38</v>
      </c>
      <c r="K1097" t="s">
        <v>39</v>
      </c>
      <c r="L1097" s="26">
        <f>VLOOKUP(A1097,'[3]Price info'!A:D,4,FALSE)</f>
        <v>8.3800000000000008</v>
      </c>
      <c r="M1097" s="18" t="s">
        <v>40</v>
      </c>
      <c r="N1097" s="20">
        <v>3105</v>
      </c>
      <c r="P1097" s="16">
        <f>VLOOKUP(A1097,'[3]Price info'!A:H,8,FALSE)</f>
        <v>8.3800000000000008</v>
      </c>
      <c r="Q1097" s="33">
        <f t="shared" si="69"/>
        <v>1</v>
      </c>
      <c r="S1097" s="16">
        <f>VLOOKUP(A1097,[4]Sales!$E:$G,3,FALSE)</f>
        <v>8.3800000000000008</v>
      </c>
      <c r="T1097" s="19">
        <f>VLOOKUP(A1097,[4]Volume!$E:$G,3,FALSE)</f>
        <v>0.75</v>
      </c>
      <c r="U1097" s="19">
        <f>VLOOKUP(A1097,[4]Piece!$E:$G,3,FALSE)</f>
        <v>1</v>
      </c>
      <c r="V1097" s="21">
        <f t="shared" si="70"/>
        <v>8.3800000000000008</v>
      </c>
      <c r="W1097" s="16">
        <f t="shared" si="71"/>
        <v>0</v>
      </c>
    </row>
    <row r="1098" spans="1:23" hidden="1" x14ac:dyDescent="0.3">
      <c r="A1098" s="61" t="s">
        <v>2191</v>
      </c>
      <c r="B1098" s="61" t="s">
        <v>2191</v>
      </c>
      <c r="C1098" s="23" t="s">
        <v>33</v>
      </c>
      <c r="D1098" s="20" t="s">
        <v>34</v>
      </c>
      <c r="E1098" s="22" t="s">
        <v>2192</v>
      </c>
      <c r="F1098" s="24" t="str">
        <f t="shared" si="68"/>
        <v>PPG - Johnstones QD Woodstain - Clear - 750ml</v>
      </c>
      <c r="G1098" s="23" t="s">
        <v>5971</v>
      </c>
      <c r="H1098" s="25" t="s">
        <v>36</v>
      </c>
      <c r="I1098" s="18" t="s">
        <v>37</v>
      </c>
      <c r="J1098" s="18" t="s">
        <v>38</v>
      </c>
      <c r="K1098" t="s">
        <v>39</v>
      </c>
      <c r="L1098" s="26">
        <f>VLOOKUP(A1098,'[3]Price info'!A:D,4,FALSE)</f>
        <v>8.3800000000000008</v>
      </c>
      <c r="M1098" s="18" t="s">
        <v>40</v>
      </c>
      <c r="N1098" s="20">
        <v>3105</v>
      </c>
      <c r="P1098" s="16">
        <f>VLOOKUP(A1098,'[3]Price info'!A:H,8,FALSE)</f>
        <v>8.3800000000000008</v>
      </c>
      <c r="Q1098" s="33">
        <f t="shared" si="69"/>
        <v>1</v>
      </c>
      <c r="S1098" s="16">
        <f>VLOOKUP(A1098,[4]Sales!$E:$G,3,FALSE)</f>
        <v>0</v>
      </c>
      <c r="T1098" s="19">
        <f>VLOOKUP(A1098,[4]Volume!$E:$G,3,FALSE)</f>
        <v>0</v>
      </c>
      <c r="U1098" s="19">
        <f>VLOOKUP(A1098,[4]Piece!$E:$G,3,FALSE)</f>
        <v>0</v>
      </c>
      <c r="V1098" s="21">
        <f t="shared" si="70"/>
        <v>0</v>
      </c>
      <c r="W1098" s="16">
        <f t="shared" si="71"/>
        <v>0</v>
      </c>
    </row>
    <row r="1099" spans="1:23" hidden="1" x14ac:dyDescent="0.3">
      <c r="A1099" s="61" t="s">
        <v>2193</v>
      </c>
      <c r="B1099" s="61" t="s">
        <v>2193</v>
      </c>
      <c r="C1099" s="23" t="s">
        <v>33</v>
      </c>
      <c r="D1099" s="20" t="s">
        <v>34</v>
      </c>
      <c r="E1099" s="22" t="s">
        <v>2194</v>
      </c>
      <c r="F1099" s="24" t="str">
        <f t="shared" si="68"/>
        <v>PPG - Johnstones SHED &amp; FENCE - Light Brown - 5ltr</v>
      </c>
      <c r="G1099" s="23" t="s">
        <v>5972</v>
      </c>
      <c r="H1099" s="25" t="s">
        <v>36</v>
      </c>
      <c r="I1099" s="18" t="s">
        <v>37</v>
      </c>
      <c r="J1099" s="18" t="s">
        <v>38</v>
      </c>
      <c r="K1099" t="s">
        <v>39</v>
      </c>
      <c r="L1099" s="26">
        <f>VLOOKUP(A1099,'[3]Price info'!A:D,4,FALSE)</f>
        <v>8.2100000000000009</v>
      </c>
      <c r="M1099" s="18" t="s">
        <v>40</v>
      </c>
      <c r="N1099" s="20">
        <v>3105</v>
      </c>
      <c r="P1099" s="16">
        <f>VLOOKUP(A1099,'[3]Price info'!A:H,8,FALSE)</f>
        <v>7.6435100000000009</v>
      </c>
      <c r="Q1099" s="33">
        <f t="shared" si="69"/>
        <v>0.93100000000000005</v>
      </c>
      <c r="S1099" s="16">
        <f>VLOOKUP(A1099,[4]Sales!$E:$G,3,FALSE)</f>
        <v>386.1</v>
      </c>
      <c r="T1099" s="19">
        <f>VLOOKUP(A1099,[4]Volume!$E:$G,3,FALSE)</f>
        <v>240</v>
      </c>
      <c r="U1099" s="19">
        <f>VLOOKUP(A1099,[4]Piece!$E:$G,3,FALSE)</f>
        <v>48</v>
      </c>
      <c r="V1099" s="21">
        <f t="shared" si="70"/>
        <v>366.88848000000007</v>
      </c>
      <c r="W1099" s="16">
        <f t="shared" si="71"/>
        <v>-19.21151999999995</v>
      </c>
    </row>
    <row r="1100" spans="1:23" hidden="1" x14ac:dyDescent="0.3">
      <c r="A1100" s="61" t="s">
        <v>2195</v>
      </c>
      <c r="B1100" s="61" t="s">
        <v>2195</v>
      </c>
      <c r="C1100" s="23" t="s">
        <v>33</v>
      </c>
      <c r="D1100" s="20" t="s">
        <v>34</v>
      </c>
      <c r="E1100" s="22" t="s">
        <v>2196</v>
      </c>
      <c r="F1100" s="24" t="str">
        <f t="shared" si="68"/>
        <v>PPG - Johnstones 2PK SOLV FLOOR - Dark Grey - 4ltr</v>
      </c>
      <c r="G1100" s="23" t="s">
        <v>5973</v>
      </c>
      <c r="H1100" s="25" t="s">
        <v>36</v>
      </c>
      <c r="I1100" s="18" t="s">
        <v>37</v>
      </c>
      <c r="J1100" s="18" t="s">
        <v>38</v>
      </c>
      <c r="K1100" t="s">
        <v>39</v>
      </c>
      <c r="L1100" s="26">
        <f>VLOOKUP(A1100,'[3]Price info'!A:D,4,FALSE)</f>
        <v>84.78</v>
      </c>
      <c r="M1100" s="18" t="s">
        <v>40</v>
      </c>
      <c r="N1100" s="20">
        <v>3105</v>
      </c>
      <c r="P1100" s="16">
        <f>VLOOKUP(A1100,'[3]Price info'!A:H,8,FALSE)</f>
        <v>49.93</v>
      </c>
      <c r="Q1100" s="33">
        <f t="shared" si="69"/>
        <v>0.58893606982778957</v>
      </c>
      <c r="S1100" s="16">
        <f>VLOOKUP(A1100,[4]Sales!$E:$G,3,FALSE)</f>
        <v>99.86</v>
      </c>
      <c r="T1100" s="19">
        <f>VLOOKUP(A1100,[4]Volume!$E:$G,3,FALSE)</f>
        <v>6</v>
      </c>
      <c r="U1100" s="19">
        <f>VLOOKUP(A1100,[4]Piece!$E:$G,3,FALSE)</f>
        <v>2</v>
      </c>
      <c r="V1100" s="21">
        <f t="shared" si="70"/>
        <v>99.86</v>
      </c>
      <c r="W1100" s="16">
        <f t="shared" si="71"/>
        <v>0</v>
      </c>
    </row>
    <row r="1101" spans="1:23" hidden="1" x14ac:dyDescent="0.3">
      <c r="A1101" s="61" t="s">
        <v>2197</v>
      </c>
      <c r="B1101" s="61" t="s">
        <v>2197</v>
      </c>
      <c r="C1101" s="23" t="s">
        <v>33</v>
      </c>
      <c r="D1101" s="20" t="s">
        <v>34</v>
      </c>
      <c r="E1101" s="22" t="s">
        <v>2198</v>
      </c>
      <c r="F1101" s="24" t="str">
        <f t="shared" si="68"/>
        <v>PPG - Johnstones ULTRA PRIMER SEALER - BW - 1ltr</v>
      </c>
      <c r="G1101" s="23" t="s">
        <v>5974</v>
      </c>
      <c r="H1101" s="25" t="s">
        <v>36</v>
      </c>
      <c r="I1101" s="18" t="s">
        <v>37</v>
      </c>
      <c r="J1101" s="18" t="s">
        <v>38</v>
      </c>
      <c r="K1101" t="s">
        <v>39</v>
      </c>
      <c r="L1101" s="26">
        <f>VLOOKUP(A1101,'[3]Price info'!A:D,4,FALSE)</f>
        <v>6.32</v>
      </c>
      <c r="M1101" s="18" t="s">
        <v>40</v>
      </c>
      <c r="N1101" s="20">
        <v>3105</v>
      </c>
      <c r="P1101" s="16">
        <f>VLOOKUP(A1101,'[3]Price info'!A:H,8,FALSE)</f>
        <v>6.32</v>
      </c>
      <c r="Q1101" s="33">
        <f t="shared" si="69"/>
        <v>1</v>
      </c>
      <c r="S1101" s="16">
        <f>VLOOKUP(A1101,[4]Sales!$E:$G,3,FALSE)</f>
        <v>12.64</v>
      </c>
      <c r="T1101" s="19">
        <f>VLOOKUP(A1101,[4]Volume!$E:$G,3,FALSE)</f>
        <v>2</v>
      </c>
      <c r="U1101" s="19">
        <f>VLOOKUP(A1101,[4]Piece!$E:$G,3,FALSE)</f>
        <v>2</v>
      </c>
      <c r="V1101" s="21">
        <f t="shared" si="70"/>
        <v>12.64</v>
      </c>
      <c r="W1101" s="16">
        <f t="shared" si="71"/>
        <v>0</v>
      </c>
    </row>
    <row r="1102" spans="1:23" hidden="1" x14ac:dyDescent="0.3">
      <c r="A1102" s="61" t="s">
        <v>2199</v>
      </c>
      <c r="B1102" s="61" t="s">
        <v>2199</v>
      </c>
      <c r="C1102" s="23" t="s">
        <v>33</v>
      </c>
      <c r="D1102" s="20" t="s">
        <v>34</v>
      </c>
      <c r="E1102" s="22" t="s">
        <v>2200</v>
      </c>
      <c r="F1102" s="24" t="str">
        <f t="shared" si="68"/>
        <v>PPG - Leyland T/GUARD STAB PRIMER - Clear - 2.5ltr</v>
      </c>
      <c r="G1102" s="23" t="s">
        <v>5975</v>
      </c>
      <c r="H1102" s="25" t="s">
        <v>36</v>
      </c>
      <c r="I1102" s="18" t="s">
        <v>37</v>
      </c>
      <c r="J1102" s="18" t="s">
        <v>38</v>
      </c>
      <c r="K1102" t="s">
        <v>39</v>
      </c>
      <c r="L1102" s="26">
        <f>VLOOKUP(A1102,'[3]Price info'!A:D,4,FALSE)</f>
        <v>22.33</v>
      </c>
      <c r="M1102" s="18" t="s">
        <v>40</v>
      </c>
      <c r="N1102" s="20">
        <v>3105</v>
      </c>
      <c r="P1102" s="16">
        <f>VLOOKUP(A1102,'[3]Price info'!A:H,8,FALSE)</f>
        <v>22.33</v>
      </c>
      <c r="Q1102" s="33">
        <f t="shared" si="69"/>
        <v>1</v>
      </c>
      <c r="S1102" s="16">
        <f>VLOOKUP(A1102,[4]Sales!$E:$G,3,FALSE)</f>
        <v>22.33</v>
      </c>
      <c r="T1102" s="19">
        <f>VLOOKUP(A1102,[4]Volume!$E:$G,3,FALSE)</f>
        <v>2.5</v>
      </c>
      <c r="U1102" s="19">
        <f>VLOOKUP(A1102,[4]Piece!$E:$G,3,FALSE)</f>
        <v>1</v>
      </c>
      <c r="V1102" s="21">
        <f t="shared" si="70"/>
        <v>22.33</v>
      </c>
      <c r="W1102" s="16">
        <f t="shared" si="71"/>
        <v>0</v>
      </c>
    </row>
    <row r="1103" spans="1:23" hidden="1" x14ac:dyDescent="0.3">
      <c r="A1103" s="61" t="s">
        <v>2201</v>
      </c>
      <c r="B1103" s="61" t="s">
        <v>2201</v>
      </c>
      <c r="C1103" s="23" t="s">
        <v>33</v>
      </c>
      <c r="D1103" s="20" t="s">
        <v>34</v>
      </c>
      <c r="E1103" s="22" t="s">
        <v>2202</v>
      </c>
      <c r="F1103" s="24" t="str">
        <f t="shared" si="68"/>
        <v>PPG - Leyland FLOOR PAINT - Clear - 5ltr</v>
      </c>
      <c r="G1103" s="23" t="s">
        <v>5976</v>
      </c>
      <c r="H1103" s="25" t="s">
        <v>36</v>
      </c>
      <c r="I1103" s="18" t="s">
        <v>37</v>
      </c>
      <c r="J1103" s="18" t="s">
        <v>38</v>
      </c>
      <c r="K1103" t="s">
        <v>39</v>
      </c>
      <c r="L1103" s="26">
        <f>VLOOKUP(A1103,'[3]Price info'!A:D,4,FALSE)</f>
        <v>20.74</v>
      </c>
      <c r="M1103" s="18" t="s">
        <v>40</v>
      </c>
      <c r="N1103" s="20">
        <v>3105</v>
      </c>
      <c r="P1103" s="16">
        <f>VLOOKUP(A1103,'[3]Price info'!A:H,8,FALSE)</f>
        <v>20.74</v>
      </c>
      <c r="Q1103" s="33">
        <f t="shared" si="69"/>
        <v>1</v>
      </c>
      <c r="S1103" s="16" t="e">
        <f>VLOOKUP(A1103,[4]Sales!$E:$G,3,FALSE)</f>
        <v>#N/A</v>
      </c>
      <c r="T1103" s="19" t="e">
        <f>VLOOKUP(A1103,[4]Volume!$E:$G,3,FALSE)</f>
        <v>#N/A</v>
      </c>
      <c r="U1103" s="19" t="e">
        <f>VLOOKUP(A1103,[4]Piece!$E:$G,3,FALSE)</f>
        <v>#N/A</v>
      </c>
      <c r="V1103" s="21" t="e">
        <f t="shared" si="70"/>
        <v>#N/A</v>
      </c>
      <c r="W1103" s="16" t="e">
        <f t="shared" si="71"/>
        <v>#N/A</v>
      </c>
    </row>
    <row r="1104" spans="1:23" hidden="1" x14ac:dyDescent="0.3">
      <c r="A1104" s="61" t="s">
        <v>2203</v>
      </c>
      <c r="B1104" s="61" t="s">
        <v>2203</v>
      </c>
      <c r="C1104" s="23" t="s">
        <v>33</v>
      </c>
      <c r="D1104" s="20" t="s">
        <v>34</v>
      </c>
      <c r="E1104" s="22" t="s">
        <v>2204</v>
      </c>
      <c r="F1104" s="24" t="str">
        <f t="shared" si="68"/>
        <v>PPG - Johnstones DRY LINING PAINT - BW - 10ltr</v>
      </c>
      <c r="G1104" s="23" t="s">
        <v>5977</v>
      </c>
      <c r="H1104" s="25" t="s">
        <v>36</v>
      </c>
      <c r="I1104" s="18" t="s">
        <v>37</v>
      </c>
      <c r="J1104" s="18" t="s">
        <v>38</v>
      </c>
      <c r="K1104" t="s">
        <v>39</v>
      </c>
      <c r="L1104" s="26">
        <f>VLOOKUP(A1104,'[3]Price info'!A:D,4,FALSE)</f>
        <v>42.76</v>
      </c>
      <c r="M1104" s="18" t="s">
        <v>40</v>
      </c>
      <c r="N1104" s="20">
        <v>3105</v>
      </c>
      <c r="P1104" s="16">
        <f>VLOOKUP(A1104,'[3]Price info'!A:H,8,FALSE)</f>
        <v>42.76</v>
      </c>
      <c r="Q1104" s="33">
        <f t="shared" si="69"/>
        <v>1</v>
      </c>
      <c r="S1104" s="16" t="e">
        <f>VLOOKUP(A1104,[4]Sales!$E:$G,3,FALSE)</f>
        <v>#N/A</v>
      </c>
      <c r="T1104" s="19" t="e">
        <f>VLOOKUP(A1104,[4]Volume!$E:$G,3,FALSE)</f>
        <v>#N/A</v>
      </c>
      <c r="U1104" s="19" t="e">
        <f>VLOOKUP(A1104,[4]Piece!$E:$G,3,FALSE)</f>
        <v>#N/A</v>
      </c>
      <c r="V1104" s="21" t="e">
        <f t="shared" si="70"/>
        <v>#N/A</v>
      </c>
      <c r="W1104" s="16" t="e">
        <f t="shared" si="71"/>
        <v>#N/A</v>
      </c>
    </row>
    <row r="1105" spans="1:23" hidden="1" x14ac:dyDescent="0.3">
      <c r="A1105" s="61" t="s">
        <v>2205</v>
      </c>
      <c r="B1105" s="61" t="s">
        <v>2205</v>
      </c>
      <c r="C1105" s="23" t="s">
        <v>33</v>
      </c>
      <c r="D1105" s="20" t="s">
        <v>34</v>
      </c>
      <c r="E1105" s="22" t="s">
        <v>2206</v>
      </c>
      <c r="F1105" s="24" t="str">
        <f t="shared" si="68"/>
        <v>PPG - Woodworks INT FLOOR VARN - Clear Gloss - 5l</v>
      </c>
      <c r="G1105" s="23" t="s">
        <v>5978</v>
      </c>
      <c r="H1105" s="25" t="s">
        <v>36</v>
      </c>
      <c r="I1105" s="18" t="s">
        <v>37</v>
      </c>
      <c r="J1105" s="18" t="s">
        <v>38</v>
      </c>
      <c r="K1105" t="s">
        <v>39</v>
      </c>
      <c r="L1105" s="26">
        <f>VLOOKUP(A1105,'[3]Price info'!A:D,4,FALSE)</f>
        <v>62.38</v>
      </c>
      <c r="M1105" s="18" t="s">
        <v>40</v>
      </c>
      <c r="N1105" s="20">
        <v>3105</v>
      </c>
      <c r="P1105" s="16">
        <f>VLOOKUP(A1105,'[3]Price info'!A:H,8,FALSE)</f>
        <v>62.38</v>
      </c>
      <c r="Q1105" s="33">
        <f t="shared" si="69"/>
        <v>1</v>
      </c>
      <c r="S1105" s="16" t="e">
        <f>VLOOKUP(A1105,[4]Sales!$E:$G,3,FALSE)</f>
        <v>#N/A</v>
      </c>
      <c r="T1105" s="19" t="e">
        <f>VLOOKUP(A1105,[4]Volume!$E:$G,3,FALSE)</f>
        <v>#N/A</v>
      </c>
      <c r="U1105" s="19" t="e">
        <f>VLOOKUP(A1105,[4]Piece!$E:$G,3,FALSE)</f>
        <v>#N/A</v>
      </c>
      <c r="V1105" s="21" t="e">
        <f t="shared" si="70"/>
        <v>#N/A</v>
      </c>
      <c r="W1105" s="16" t="e">
        <f t="shared" si="71"/>
        <v>#N/A</v>
      </c>
    </row>
    <row r="1106" spans="1:23" hidden="1" x14ac:dyDescent="0.3">
      <c r="A1106" s="61" t="s">
        <v>2207</v>
      </c>
      <c r="B1106" s="61" t="s">
        <v>2207</v>
      </c>
      <c r="C1106" s="23" t="s">
        <v>33</v>
      </c>
      <c r="D1106" s="20" t="s">
        <v>34</v>
      </c>
      <c r="E1106" s="22" t="s">
        <v>2208</v>
      </c>
      <c r="F1106" s="24" t="str">
        <f t="shared" si="68"/>
        <v>PPG - Woodworks INT FLOOR VARN - Clr Gloss - 2.5l</v>
      </c>
      <c r="G1106" s="23" t="s">
        <v>5979</v>
      </c>
      <c r="H1106" s="25" t="s">
        <v>36</v>
      </c>
      <c r="I1106" s="18" t="s">
        <v>37</v>
      </c>
      <c r="J1106" s="18" t="s">
        <v>38</v>
      </c>
      <c r="K1106" t="s">
        <v>39</v>
      </c>
      <c r="L1106" s="26">
        <f>VLOOKUP(A1106,'[3]Price info'!A:D,4,FALSE)</f>
        <v>37.39</v>
      </c>
      <c r="M1106" s="18" t="s">
        <v>40</v>
      </c>
      <c r="N1106" s="20">
        <v>3105</v>
      </c>
      <c r="P1106" s="16">
        <f>VLOOKUP(A1106,'[3]Price info'!A:H,8,FALSE)</f>
        <v>37.39</v>
      </c>
      <c r="Q1106" s="33">
        <f t="shared" si="69"/>
        <v>1</v>
      </c>
      <c r="S1106" s="16" t="e">
        <f>VLOOKUP(A1106,[4]Sales!$E:$G,3,FALSE)</f>
        <v>#N/A</v>
      </c>
      <c r="T1106" s="19" t="e">
        <f>VLOOKUP(A1106,[4]Volume!$E:$G,3,FALSE)</f>
        <v>#N/A</v>
      </c>
      <c r="U1106" s="19" t="e">
        <f>VLOOKUP(A1106,[4]Piece!$E:$G,3,FALSE)</f>
        <v>#N/A</v>
      </c>
      <c r="V1106" s="21" t="e">
        <f t="shared" si="70"/>
        <v>#N/A</v>
      </c>
      <c r="W1106" s="16" t="e">
        <f t="shared" si="71"/>
        <v>#N/A</v>
      </c>
    </row>
    <row r="1107" spans="1:23" hidden="1" x14ac:dyDescent="0.3">
      <c r="A1107" s="61" t="s">
        <v>2209</v>
      </c>
      <c r="B1107" s="61" t="s">
        <v>2209</v>
      </c>
      <c r="C1107" s="23" t="s">
        <v>33</v>
      </c>
      <c r="D1107" s="20" t="s">
        <v>34</v>
      </c>
      <c r="E1107" s="22" t="s">
        <v>2210</v>
      </c>
      <c r="F1107" s="24" t="str">
        <f t="shared" si="68"/>
        <v>PPG - Johnstones FLORTRED Clear - 5ltr</v>
      </c>
      <c r="G1107" s="23" t="s">
        <v>5980</v>
      </c>
      <c r="H1107" s="25" t="s">
        <v>36</v>
      </c>
      <c r="I1107" s="18" t="s">
        <v>37</v>
      </c>
      <c r="J1107" s="18" t="s">
        <v>38</v>
      </c>
      <c r="K1107" t="s">
        <v>39</v>
      </c>
      <c r="L1107" s="26">
        <f>VLOOKUP(A1107,'[3]Price info'!A:D,4,FALSE)</f>
        <v>58.03</v>
      </c>
      <c r="M1107" s="18" t="s">
        <v>40</v>
      </c>
      <c r="N1107" s="20">
        <v>3105</v>
      </c>
      <c r="P1107" s="16">
        <f>VLOOKUP(A1107,'[3]Price info'!A:H,8,FALSE)</f>
        <v>58.03</v>
      </c>
      <c r="Q1107" s="33">
        <f t="shared" si="69"/>
        <v>1</v>
      </c>
      <c r="S1107" s="16" t="e">
        <f>VLOOKUP(A1107,[4]Sales!$E:$G,3,FALSE)</f>
        <v>#N/A</v>
      </c>
      <c r="T1107" s="19" t="e">
        <f>VLOOKUP(A1107,[4]Volume!$E:$G,3,FALSE)</f>
        <v>#N/A</v>
      </c>
      <c r="U1107" s="19" t="e">
        <f>VLOOKUP(A1107,[4]Piece!$E:$G,3,FALSE)</f>
        <v>#N/A</v>
      </c>
      <c r="V1107" s="21" t="e">
        <f t="shared" si="70"/>
        <v>#N/A</v>
      </c>
      <c r="W1107" s="16" t="e">
        <f t="shared" si="71"/>
        <v>#N/A</v>
      </c>
    </row>
    <row r="1108" spans="1:23" hidden="1" x14ac:dyDescent="0.3">
      <c r="A1108" s="61" t="s">
        <v>2211</v>
      </c>
      <c r="B1108" s="61" t="s">
        <v>2211</v>
      </c>
      <c r="C1108" s="23" t="s">
        <v>33</v>
      </c>
      <c r="D1108" s="20" t="s">
        <v>34</v>
      </c>
      <c r="E1108" s="22" t="s">
        <v>2212</v>
      </c>
      <c r="F1108" s="24" t="str">
        <f t="shared" si="68"/>
        <v>PPG - Johnstones VINYL SILK - Mix - 1ltr</v>
      </c>
      <c r="G1108" s="23" t="s">
        <v>5981</v>
      </c>
      <c r="H1108" s="25" t="s">
        <v>36</v>
      </c>
      <c r="I1108" s="18" t="s">
        <v>37</v>
      </c>
      <c r="J1108" s="18" t="s">
        <v>38</v>
      </c>
      <c r="K1108" t="s">
        <v>39</v>
      </c>
      <c r="L1108" s="26">
        <f>VLOOKUP(A1108,'[3]Price info'!A:D,4,FALSE)</f>
        <v>13.69</v>
      </c>
      <c r="M1108" s="18" t="s">
        <v>40</v>
      </c>
      <c r="N1108" s="20">
        <v>3105</v>
      </c>
      <c r="P1108" s="16">
        <f>VLOOKUP(A1108,'[3]Price info'!A:H,8,FALSE)</f>
        <v>13.69</v>
      </c>
      <c r="Q1108" s="33">
        <f t="shared" si="69"/>
        <v>1</v>
      </c>
      <c r="S1108" s="16">
        <f>VLOOKUP(A1108,[4]Sales!$E:$G,3,FALSE)</f>
        <v>13.69</v>
      </c>
      <c r="T1108" s="19">
        <f>VLOOKUP(A1108,[4]Volume!$E:$G,3,FALSE)</f>
        <v>1</v>
      </c>
      <c r="U1108" s="19">
        <f>VLOOKUP(A1108,[4]Piece!$E:$G,3,FALSE)</f>
        <v>1</v>
      </c>
      <c r="V1108" s="21">
        <f t="shared" si="70"/>
        <v>13.69</v>
      </c>
      <c r="W1108" s="16">
        <f t="shared" si="71"/>
        <v>0</v>
      </c>
    </row>
    <row r="1109" spans="1:23" hidden="1" x14ac:dyDescent="0.3">
      <c r="A1109" s="61" t="s">
        <v>2213</v>
      </c>
      <c r="B1109" s="61" t="s">
        <v>2213</v>
      </c>
      <c r="C1109" s="23" t="s">
        <v>33</v>
      </c>
      <c r="D1109" s="20" t="s">
        <v>34</v>
      </c>
      <c r="E1109" s="22" t="s">
        <v>2214</v>
      </c>
      <c r="F1109" s="24" t="str">
        <f t="shared" si="68"/>
        <v>PPG - Johnstones STORMSHIELD TEXTURED - Mix - 5ltr</v>
      </c>
      <c r="G1109" s="23" t="s">
        <v>5982</v>
      </c>
      <c r="H1109" s="25" t="s">
        <v>36</v>
      </c>
      <c r="I1109" s="18" t="s">
        <v>37</v>
      </c>
      <c r="J1109" s="18" t="s">
        <v>38</v>
      </c>
      <c r="K1109" t="s">
        <v>39</v>
      </c>
      <c r="L1109" s="26">
        <f>VLOOKUP(A1109,'[3]Price info'!A:D,4,FALSE)</f>
        <v>43.65</v>
      </c>
      <c r="M1109" s="18" t="s">
        <v>40</v>
      </c>
      <c r="N1109" s="20">
        <v>3105</v>
      </c>
      <c r="P1109" s="16">
        <f>VLOOKUP(A1109,'[3]Price info'!A:H,8,FALSE)</f>
        <v>43.65</v>
      </c>
      <c r="Q1109" s="33">
        <f t="shared" si="69"/>
        <v>1</v>
      </c>
      <c r="S1109" s="16">
        <f>VLOOKUP(A1109,[4]Sales!$E:$G,3,FALSE)</f>
        <v>218.25</v>
      </c>
      <c r="T1109" s="19">
        <f>VLOOKUP(A1109,[4]Volume!$E:$G,3,FALSE)</f>
        <v>25</v>
      </c>
      <c r="U1109" s="19">
        <f>VLOOKUP(A1109,[4]Piece!$E:$G,3,FALSE)</f>
        <v>5</v>
      </c>
      <c r="V1109" s="21">
        <f t="shared" si="70"/>
        <v>218.25</v>
      </c>
      <c r="W1109" s="16">
        <f t="shared" si="71"/>
        <v>0</v>
      </c>
    </row>
    <row r="1110" spans="1:23" hidden="1" x14ac:dyDescent="0.3">
      <c r="A1110" s="61" t="s">
        <v>2215</v>
      </c>
      <c r="B1110" s="61" t="s">
        <v>2215</v>
      </c>
      <c r="C1110" s="23" t="s">
        <v>33</v>
      </c>
      <c r="D1110" s="20" t="s">
        <v>34</v>
      </c>
      <c r="E1110" s="22" t="s">
        <v>2216</v>
      </c>
      <c r="F1110" s="24" t="str">
        <f t="shared" si="68"/>
        <v>PPG - Johnstones ANTIMOULD ACRYLIC - Mix - 5ltr</v>
      </c>
      <c r="G1110" s="23" t="s">
        <v>5983</v>
      </c>
      <c r="H1110" s="25" t="s">
        <v>36</v>
      </c>
      <c r="I1110" s="18" t="s">
        <v>37</v>
      </c>
      <c r="J1110" s="18" t="s">
        <v>38</v>
      </c>
      <c r="K1110" t="s">
        <v>39</v>
      </c>
      <c r="L1110" s="26">
        <f>VLOOKUP(A1110,'[3]Price info'!A:D,4,FALSE)</f>
        <v>32.9</v>
      </c>
      <c r="M1110" s="18" t="s">
        <v>40</v>
      </c>
      <c r="N1110" s="20">
        <v>3105</v>
      </c>
      <c r="P1110" s="16">
        <f>VLOOKUP(A1110,'[3]Price info'!A:H,8,FALSE)</f>
        <v>32.9</v>
      </c>
      <c r="Q1110" s="33">
        <f t="shared" si="69"/>
        <v>1</v>
      </c>
      <c r="S1110" s="16" t="e">
        <f>VLOOKUP(A1110,[4]Sales!$E:$G,3,FALSE)</f>
        <v>#N/A</v>
      </c>
      <c r="T1110" s="19" t="e">
        <f>VLOOKUP(A1110,[4]Volume!$E:$G,3,FALSE)</f>
        <v>#N/A</v>
      </c>
      <c r="U1110" s="19" t="e">
        <f>VLOOKUP(A1110,[4]Piece!$E:$G,3,FALSE)</f>
        <v>#N/A</v>
      </c>
      <c r="V1110" s="21" t="e">
        <f t="shared" si="70"/>
        <v>#N/A</v>
      </c>
      <c r="W1110" s="16" t="e">
        <f t="shared" si="71"/>
        <v>#N/A</v>
      </c>
    </row>
    <row r="1111" spans="1:23" hidden="1" x14ac:dyDescent="0.3">
      <c r="A1111" s="61" t="s">
        <v>2217</v>
      </c>
      <c r="B1111" s="61" t="s">
        <v>2217</v>
      </c>
      <c r="C1111" s="23" t="s">
        <v>33</v>
      </c>
      <c r="D1111" s="20" t="s">
        <v>34</v>
      </c>
      <c r="E1111" s="22" t="s">
        <v>2218</v>
      </c>
      <c r="F1111" s="24" t="str">
        <f t="shared" si="68"/>
        <v>PPG - Johnstones S&amp;C GLOSS TCT - Mix - 5ltr</v>
      </c>
      <c r="G1111" s="23" t="s">
        <v>5984</v>
      </c>
      <c r="H1111" s="25" t="s">
        <v>36</v>
      </c>
      <c r="I1111" s="18" t="s">
        <v>37</v>
      </c>
      <c r="J1111" s="18" t="s">
        <v>38</v>
      </c>
      <c r="K1111" t="s">
        <v>39</v>
      </c>
      <c r="L1111" s="26">
        <f>VLOOKUP(A1111,'[3]Price info'!A:D,4,FALSE)</f>
        <v>92.48</v>
      </c>
      <c r="M1111" s="18" t="s">
        <v>40</v>
      </c>
      <c r="N1111" s="20">
        <v>3105</v>
      </c>
      <c r="P1111" s="16">
        <f>VLOOKUP(A1111,'[3]Price info'!A:H,8,FALSE)</f>
        <v>92.48</v>
      </c>
      <c r="Q1111" s="33">
        <f t="shared" si="69"/>
        <v>1</v>
      </c>
      <c r="S1111" s="16" t="e">
        <f>VLOOKUP(A1111,[4]Sales!$E:$G,3,FALSE)</f>
        <v>#N/A</v>
      </c>
      <c r="T1111" s="19" t="e">
        <f>VLOOKUP(A1111,[4]Volume!$E:$G,3,FALSE)</f>
        <v>#N/A</v>
      </c>
      <c r="U1111" s="19" t="e">
        <f>VLOOKUP(A1111,[4]Piece!$E:$G,3,FALSE)</f>
        <v>#N/A</v>
      </c>
      <c r="V1111" s="21" t="e">
        <f t="shared" si="70"/>
        <v>#N/A</v>
      </c>
      <c r="W1111" s="16" t="e">
        <f t="shared" si="71"/>
        <v>#N/A</v>
      </c>
    </row>
    <row r="1112" spans="1:23" hidden="1" x14ac:dyDescent="0.3">
      <c r="A1112" s="61" t="s">
        <v>2219</v>
      </c>
      <c r="B1112" s="61" t="s">
        <v>2219</v>
      </c>
      <c r="C1112" s="23" t="s">
        <v>33</v>
      </c>
      <c r="D1112" s="20" t="s">
        <v>34</v>
      </c>
      <c r="E1112" s="22" t="s">
        <v>2220</v>
      </c>
      <c r="F1112" s="24" t="str">
        <f t="shared" si="68"/>
        <v>PPG - Leyland VINYL SOFT SHEEN - Mix - 2.5ltr</v>
      </c>
      <c r="G1112" s="23" t="s">
        <v>5985</v>
      </c>
      <c r="H1112" s="25" t="s">
        <v>36</v>
      </c>
      <c r="I1112" s="18" t="s">
        <v>37</v>
      </c>
      <c r="J1112" s="18" t="s">
        <v>38</v>
      </c>
      <c r="K1112" t="s">
        <v>39</v>
      </c>
      <c r="L1112" s="26">
        <f>VLOOKUP(A1112,'[3]Price info'!A:D,4,FALSE)</f>
        <v>12.3</v>
      </c>
      <c r="M1112" s="18" t="s">
        <v>40</v>
      </c>
      <c r="N1112" s="20">
        <v>3105</v>
      </c>
      <c r="P1112" s="16">
        <f>VLOOKUP(A1112,'[3]Price info'!A:H,8,FALSE)</f>
        <v>8.3940000000000001</v>
      </c>
      <c r="Q1112" s="33">
        <f t="shared" si="69"/>
        <v>0.68243902439024384</v>
      </c>
      <c r="S1112" s="16">
        <f>VLOOKUP(A1112,[4]Sales!$E:$G,3,FALSE)</f>
        <v>12.3</v>
      </c>
      <c r="T1112" s="19">
        <f>VLOOKUP(A1112,[4]Volume!$E:$G,3,FALSE)</f>
        <v>2.5</v>
      </c>
      <c r="U1112" s="19">
        <f>VLOOKUP(A1112,[4]Piece!$E:$G,3,FALSE)</f>
        <v>1</v>
      </c>
      <c r="V1112" s="21">
        <f t="shared" si="70"/>
        <v>8.3940000000000001</v>
      </c>
      <c r="W1112" s="16">
        <f t="shared" si="71"/>
        <v>-3.9060000000000006</v>
      </c>
    </row>
    <row r="1113" spans="1:23" hidden="1" x14ac:dyDescent="0.3">
      <c r="A1113" s="61" t="s">
        <v>2221</v>
      </c>
      <c r="B1113" s="61" t="s">
        <v>2221</v>
      </c>
      <c r="C1113" s="23" t="s">
        <v>33</v>
      </c>
      <c r="D1113" s="20" t="s">
        <v>34</v>
      </c>
      <c r="E1113" s="22" t="s">
        <v>2222</v>
      </c>
      <c r="F1113" s="24" t="str">
        <f t="shared" si="68"/>
        <v>PPG - Leyland TRUGUARD FINE TEXTURED - Mix - 5l</v>
      </c>
      <c r="G1113" s="23" t="s">
        <v>5986</v>
      </c>
      <c r="H1113" s="25" t="s">
        <v>36</v>
      </c>
      <c r="I1113" s="18" t="s">
        <v>37</v>
      </c>
      <c r="J1113" s="18" t="s">
        <v>38</v>
      </c>
      <c r="K1113" t="s">
        <v>39</v>
      </c>
      <c r="L1113" s="26">
        <f>VLOOKUP(A1113,'[3]Price info'!A:D,4,FALSE)</f>
        <v>37.83</v>
      </c>
      <c r="M1113" s="18" t="s">
        <v>40</v>
      </c>
      <c r="N1113" s="20">
        <v>3105</v>
      </c>
      <c r="P1113" s="16">
        <f>VLOOKUP(A1113,'[3]Price info'!A:H,8,FALSE)</f>
        <v>37.83</v>
      </c>
      <c r="Q1113" s="33">
        <f t="shared" si="69"/>
        <v>1</v>
      </c>
      <c r="S1113" s="16" t="e">
        <f>VLOOKUP(A1113,[4]Sales!$E:$G,3,FALSE)</f>
        <v>#N/A</v>
      </c>
      <c r="T1113" s="19" t="e">
        <f>VLOOKUP(A1113,[4]Volume!$E:$G,3,FALSE)</f>
        <v>#N/A</v>
      </c>
      <c r="U1113" s="19" t="e">
        <f>VLOOKUP(A1113,[4]Piece!$E:$G,3,FALSE)</f>
        <v>#N/A</v>
      </c>
      <c r="V1113" s="21" t="e">
        <f t="shared" si="70"/>
        <v>#N/A</v>
      </c>
      <c r="W1113" s="16" t="e">
        <f t="shared" si="71"/>
        <v>#N/A</v>
      </c>
    </row>
    <row r="1114" spans="1:23" hidden="1" x14ac:dyDescent="0.3">
      <c r="A1114" s="61" t="s">
        <v>2223</v>
      </c>
      <c r="B1114" s="61" t="s">
        <v>2223</v>
      </c>
      <c r="C1114" s="23" t="s">
        <v>33</v>
      </c>
      <c r="D1114" s="20" t="s">
        <v>34</v>
      </c>
      <c r="E1114" s="22" t="s">
        <v>2224</v>
      </c>
      <c r="F1114" s="24" t="str">
        <f t="shared" si="68"/>
        <v>PPG - Leyland GLOSS - Mix - 500ml</v>
      </c>
      <c r="G1114" s="23" t="s">
        <v>5987</v>
      </c>
      <c r="H1114" s="25" t="s">
        <v>36</v>
      </c>
      <c r="I1114" s="18" t="s">
        <v>37</v>
      </c>
      <c r="J1114" s="18" t="s">
        <v>38</v>
      </c>
      <c r="K1114" t="s">
        <v>39</v>
      </c>
      <c r="L1114" s="26">
        <f>VLOOKUP(A1114,'[3]Price info'!A:D,4,FALSE)</f>
        <v>5.09</v>
      </c>
      <c r="M1114" s="18" t="s">
        <v>40</v>
      </c>
      <c r="N1114" s="20">
        <v>3105</v>
      </c>
      <c r="P1114" s="16">
        <f>VLOOKUP(A1114,'[3]Price info'!A:H,8,FALSE)</f>
        <v>5.09</v>
      </c>
      <c r="Q1114" s="33">
        <f t="shared" si="69"/>
        <v>1</v>
      </c>
      <c r="S1114" s="16" t="e">
        <f>VLOOKUP(A1114,[4]Sales!$E:$G,3,FALSE)</f>
        <v>#N/A</v>
      </c>
      <c r="T1114" s="19" t="e">
        <f>VLOOKUP(A1114,[4]Volume!$E:$G,3,FALSE)</f>
        <v>#N/A</v>
      </c>
      <c r="U1114" s="19" t="e">
        <f>VLOOKUP(A1114,[4]Piece!$E:$G,3,FALSE)</f>
        <v>#N/A</v>
      </c>
      <c r="V1114" s="21" t="e">
        <f t="shared" si="70"/>
        <v>#N/A</v>
      </c>
      <c r="W1114" s="16" t="e">
        <f t="shared" si="71"/>
        <v>#N/A</v>
      </c>
    </row>
    <row r="1115" spans="1:23" hidden="1" x14ac:dyDescent="0.3">
      <c r="A1115" s="61" t="s">
        <v>2225</v>
      </c>
      <c r="B1115" s="61" t="s">
        <v>2225</v>
      </c>
      <c r="C1115" s="23" t="s">
        <v>33</v>
      </c>
      <c r="D1115" s="20" t="s">
        <v>34</v>
      </c>
      <c r="E1115" s="22" t="s">
        <v>2226</v>
      </c>
      <c r="F1115" s="24" t="str">
        <f t="shared" si="68"/>
        <v>PPG - Leyland UNDERCOAT - Mix - 1ltr</v>
      </c>
      <c r="G1115" s="23" t="s">
        <v>5988</v>
      </c>
      <c r="H1115" s="25" t="s">
        <v>36</v>
      </c>
      <c r="I1115" s="18" t="s">
        <v>37</v>
      </c>
      <c r="J1115" s="18" t="s">
        <v>38</v>
      </c>
      <c r="K1115" t="s">
        <v>39</v>
      </c>
      <c r="L1115" s="26">
        <f>VLOOKUP(A1115,'[3]Price info'!A:D,4,FALSE)</f>
        <v>13.69</v>
      </c>
      <c r="M1115" s="18" t="s">
        <v>40</v>
      </c>
      <c r="N1115" s="20">
        <v>3105</v>
      </c>
      <c r="P1115" s="16">
        <f>VLOOKUP(A1115,'[3]Price info'!A:H,8,FALSE)</f>
        <v>13.69</v>
      </c>
      <c r="Q1115" s="33">
        <f t="shared" si="69"/>
        <v>1</v>
      </c>
      <c r="S1115" s="16">
        <f>VLOOKUP(A1115,[4]Sales!$E:$G,3,FALSE)</f>
        <v>27.38</v>
      </c>
      <c r="T1115" s="19">
        <f>VLOOKUP(A1115,[4]Volume!$E:$G,3,FALSE)</f>
        <v>2</v>
      </c>
      <c r="U1115" s="19">
        <f>VLOOKUP(A1115,[4]Piece!$E:$G,3,FALSE)</f>
        <v>2</v>
      </c>
      <c r="V1115" s="21">
        <f t="shared" si="70"/>
        <v>27.38</v>
      </c>
      <c r="W1115" s="16">
        <f t="shared" si="71"/>
        <v>0</v>
      </c>
    </row>
    <row r="1116" spans="1:23" hidden="1" x14ac:dyDescent="0.3">
      <c r="A1116" s="61" t="s">
        <v>2227</v>
      </c>
      <c r="B1116" s="61" t="s">
        <v>2227</v>
      </c>
      <c r="C1116" s="23" t="s">
        <v>33</v>
      </c>
      <c r="D1116" s="20" t="s">
        <v>34</v>
      </c>
      <c r="E1116" s="22" t="s">
        <v>2228</v>
      </c>
      <c r="F1116" s="24" t="str">
        <f t="shared" si="68"/>
        <v>PPG - Leyland SUPERLEYTEX - Mix - 10ltr</v>
      </c>
      <c r="G1116" s="23" t="s">
        <v>5989</v>
      </c>
      <c r="H1116" s="25" t="s">
        <v>36</v>
      </c>
      <c r="I1116" s="18" t="s">
        <v>37</v>
      </c>
      <c r="J1116" s="18" t="s">
        <v>38</v>
      </c>
      <c r="K1116" t="s">
        <v>39</v>
      </c>
      <c r="L1116" s="26">
        <f>VLOOKUP(A1116,'[3]Price info'!A:D,4,FALSE)</f>
        <v>45.9</v>
      </c>
      <c r="M1116" s="18" t="s">
        <v>40</v>
      </c>
      <c r="N1116" s="20">
        <v>3105</v>
      </c>
      <c r="P1116" s="16">
        <f>VLOOKUP(A1116,'[3]Price info'!A:H,8,FALSE)</f>
        <v>45.9</v>
      </c>
      <c r="Q1116" s="33">
        <f t="shared" si="69"/>
        <v>1</v>
      </c>
      <c r="S1116" s="16" t="e">
        <f>VLOOKUP(A1116,[4]Sales!$E:$G,3,FALSE)</f>
        <v>#N/A</v>
      </c>
      <c r="T1116" s="19" t="e">
        <f>VLOOKUP(A1116,[4]Volume!$E:$G,3,FALSE)</f>
        <v>#N/A</v>
      </c>
      <c r="U1116" s="19" t="e">
        <f>VLOOKUP(A1116,[4]Piece!$E:$G,3,FALSE)</f>
        <v>#N/A</v>
      </c>
      <c r="V1116" s="21" t="e">
        <f t="shared" si="70"/>
        <v>#N/A</v>
      </c>
      <c r="W1116" s="16" t="e">
        <f t="shared" si="71"/>
        <v>#N/A</v>
      </c>
    </row>
    <row r="1117" spans="1:23" hidden="1" x14ac:dyDescent="0.3">
      <c r="A1117" s="61" t="s">
        <v>2229</v>
      </c>
      <c r="B1117" s="61" t="s">
        <v>2229</v>
      </c>
      <c r="C1117" s="23" t="s">
        <v>33</v>
      </c>
      <c r="D1117" s="20" t="s">
        <v>34</v>
      </c>
      <c r="E1117" s="22" t="s">
        <v>2230</v>
      </c>
      <c r="F1117" s="24" t="str">
        <f t="shared" si="68"/>
        <v>PPG - Leyland SUPERLEYTEX - Mix - 5ltr</v>
      </c>
      <c r="G1117" s="23" t="s">
        <v>5990</v>
      </c>
      <c r="H1117" s="25" t="s">
        <v>36</v>
      </c>
      <c r="I1117" s="18" t="s">
        <v>37</v>
      </c>
      <c r="J1117" s="18" t="s">
        <v>38</v>
      </c>
      <c r="K1117" t="s">
        <v>39</v>
      </c>
      <c r="L1117" s="26">
        <f>VLOOKUP(A1117,'[3]Price info'!A:D,4,FALSE)</f>
        <v>25.28</v>
      </c>
      <c r="M1117" s="18" t="s">
        <v>40</v>
      </c>
      <c r="N1117" s="20">
        <v>3105</v>
      </c>
      <c r="P1117" s="16">
        <f>VLOOKUP(A1117,'[3]Price info'!A:H,8,FALSE)</f>
        <v>25.28</v>
      </c>
      <c r="Q1117" s="33">
        <f t="shared" si="69"/>
        <v>1</v>
      </c>
      <c r="S1117" s="16" t="e">
        <f>VLOOKUP(A1117,[4]Sales!$E:$G,3,FALSE)</f>
        <v>#N/A</v>
      </c>
      <c r="T1117" s="19" t="e">
        <f>VLOOKUP(A1117,[4]Volume!$E:$G,3,FALSE)</f>
        <v>#N/A</v>
      </c>
      <c r="U1117" s="19" t="e">
        <f>VLOOKUP(A1117,[4]Piece!$E:$G,3,FALSE)</f>
        <v>#N/A</v>
      </c>
      <c r="V1117" s="21" t="e">
        <f t="shared" si="70"/>
        <v>#N/A</v>
      </c>
      <c r="W1117" s="16" t="e">
        <f t="shared" si="71"/>
        <v>#N/A</v>
      </c>
    </row>
    <row r="1118" spans="1:23" hidden="1" x14ac:dyDescent="0.3">
      <c r="A1118" s="61" t="s">
        <v>2231</v>
      </c>
      <c r="B1118" s="61" t="s">
        <v>2231</v>
      </c>
      <c r="C1118" s="23" t="s">
        <v>33</v>
      </c>
      <c r="D1118" s="20" t="s">
        <v>34</v>
      </c>
      <c r="E1118" s="22" t="s">
        <v>2232</v>
      </c>
      <c r="F1118" s="24" t="str">
        <f t="shared" si="68"/>
        <v>PPG - Johnstones UNI PRIMER - Red Oxide - 1ltr</v>
      </c>
      <c r="G1118" s="23" t="s">
        <v>5991</v>
      </c>
      <c r="H1118" s="25" t="s">
        <v>36</v>
      </c>
      <c r="I1118" s="18" t="s">
        <v>37</v>
      </c>
      <c r="J1118" s="18" t="s">
        <v>38</v>
      </c>
      <c r="K1118" t="s">
        <v>39</v>
      </c>
      <c r="L1118" s="26">
        <f>VLOOKUP(A1118,'[3]Price info'!A:D,4,FALSE)</f>
        <v>16.010000000000002</v>
      </c>
      <c r="M1118" s="18" t="s">
        <v>40</v>
      </c>
      <c r="N1118" s="20">
        <v>3105</v>
      </c>
      <c r="P1118" s="16">
        <f>VLOOKUP(A1118,'[3]Price info'!A:H,8,FALSE)</f>
        <v>16.010000000000002</v>
      </c>
      <c r="Q1118" s="33">
        <f t="shared" si="69"/>
        <v>1</v>
      </c>
      <c r="S1118" s="16" t="e">
        <f>VLOOKUP(A1118,[4]Sales!$E:$G,3,FALSE)</f>
        <v>#N/A</v>
      </c>
      <c r="T1118" s="19" t="e">
        <f>VLOOKUP(A1118,[4]Volume!$E:$G,3,FALSE)</f>
        <v>#N/A</v>
      </c>
      <c r="U1118" s="19" t="e">
        <f>VLOOKUP(A1118,[4]Piece!$E:$G,3,FALSE)</f>
        <v>#N/A</v>
      </c>
      <c r="V1118" s="21" t="e">
        <f t="shared" si="70"/>
        <v>#N/A</v>
      </c>
      <c r="W1118" s="16" t="e">
        <f t="shared" si="71"/>
        <v>#N/A</v>
      </c>
    </row>
    <row r="1119" spans="1:23" hidden="1" x14ac:dyDescent="0.3">
      <c r="A1119" s="61" t="s">
        <v>2233</v>
      </c>
      <c r="B1119" s="61" t="s">
        <v>2233</v>
      </c>
      <c r="C1119" s="23" t="s">
        <v>33</v>
      </c>
      <c r="D1119" s="20" t="s">
        <v>34</v>
      </c>
      <c r="E1119" s="22" t="s">
        <v>2234</v>
      </c>
      <c r="F1119" s="24" t="str">
        <f t="shared" si="68"/>
        <v>PPG - JST MATT WOODSTAIN - Mix - 5ltr</v>
      </c>
      <c r="G1119" s="23" t="s">
        <v>5992</v>
      </c>
      <c r="H1119" s="25" t="s">
        <v>36</v>
      </c>
      <c r="I1119" s="18" t="s">
        <v>37</v>
      </c>
      <c r="J1119" s="18" t="s">
        <v>38</v>
      </c>
      <c r="K1119" t="s">
        <v>39</v>
      </c>
      <c r="L1119" s="26">
        <f>VLOOKUP(A1119,'[3]Price info'!A:D,4,FALSE)</f>
        <v>29.65</v>
      </c>
      <c r="M1119" s="18" t="s">
        <v>40</v>
      </c>
      <c r="N1119" s="20">
        <v>3105</v>
      </c>
      <c r="P1119" s="16">
        <f>VLOOKUP(A1119,'[3]Price info'!A:H,8,FALSE)</f>
        <v>29.65</v>
      </c>
      <c r="Q1119" s="33">
        <f t="shared" si="69"/>
        <v>1</v>
      </c>
      <c r="S1119" s="16" t="e">
        <f>VLOOKUP(A1119,[4]Sales!$E:$G,3,FALSE)</f>
        <v>#N/A</v>
      </c>
      <c r="T1119" s="19" t="e">
        <f>VLOOKUP(A1119,[4]Volume!$E:$G,3,FALSE)</f>
        <v>#N/A</v>
      </c>
      <c r="U1119" s="19" t="e">
        <f>VLOOKUP(A1119,[4]Piece!$E:$G,3,FALSE)</f>
        <v>#N/A</v>
      </c>
      <c r="V1119" s="21" t="e">
        <f t="shared" si="70"/>
        <v>#N/A</v>
      </c>
      <c r="W1119" s="16" t="e">
        <f t="shared" si="71"/>
        <v>#N/A</v>
      </c>
    </row>
    <row r="1120" spans="1:23" hidden="1" x14ac:dyDescent="0.3">
      <c r="A1120" s="61" t="s">
        <v>2235</v>
      </c>
      <c r="B1120" s="61" t="s">
        <v>2235</v>
      </c>
      <c r="C1120" s="23" t="s">
        <v>33</v>
      </c>
      <c r="D1120" s="20" t="s">
        <v>34</v>
      </c>
      <c r="E1120" s="22" t="s">
        <v>2236</v>
      </c>
      <c r="F1120" s="24" t="str">
        <f t="shared" si="68"/>
        <v>PPG - Leyland CONTRACT GLOSS - BW - 2.5ltr</v>
      </c>
      <c r="G1120" s="23" t="s">
        <v>5993</v>
      </c>
      <c r="H1120" s="25" t="s">
        <v>36</v>
      </c>
      <c r="I1120" s="18" t="s">
        <v>37</v>
      </c>
      <c r="J1120" s="18" t="s">
        <v>38</v>
      </c>
      <c r="K1120" t="s">
        <v>39</v>
      </c>
      <c r="L1120" s="26">
        <f>VLOOKUP(A1120,'[3]Price info'!A:D,4,FALSE)</f>
        <v>14.41</v>
      </c>
      <c r="M1120" s="18" t="s">
        <v>40</v>
      </c>
      <c r="N1120" s="20">
        <v>3105</v>
      </c>
      <c r="P1120" s="16">
        <f>VLOOKUP(A1120,'[3]Price info'!A:H,8,FALSE)</f>
        <v>14.41</v>
      </c>
      <c r="Q1120" s="33">
        <f t="shared" si="69"/>
        <v>1</v>
      </c>
      <c r="S1120" s="16" t="e">
        <f>VLOOKUP(A1120,[4]Sales!$E:$G,3,FALSE)</f>
        <v>#N/A</v>
      </c>
      <c r="T1120" s="19" t="e">
        <f>VLOOKUP(A1120,[4]Volume!$E:$G,3,FALSE)</f>
        <v>#N/A</v>
      </c>
      <c r="U1120" s="19" t="e">
        <f>VLOOKUP(A1120,[4]Piece!$E:$G,3,FALSE)</f>
        <v>#N/A</v>
      </c>
      <c r="V1120" s="21" t="e">
        <f t="shared" si="70"/>
        <v>#N/A</v>
      </c>
      <c r="W1120" s="16" t="e">
        <f t="shared" si="71"/>
        <v>#N/A</v>
      </c>
    </row>
    <row r="1121" spans="1:23" hidden="1" x14ac:dyDescent="0.3">
      <c r="A1121" s="61" t="s">
        <v>2237</v>
      </c>
      <c r="B1121" s="61" t="s">
        <v>2237</v>
      </c>
      <c r="C1121" s="23" t="s">
        <v>33</v>
      </c>
      <c r="D1121" s="20" t="s">
        <v>34</v>
      </c>
      <c r="E1121" s="22" t="s">
        <v>2238</v>
      </c>
      <c r="F1121" s="24" t="str">
        <f t="shared" si="68"/>
        <v>PPG - Leyland CONTRACT GLOSS - BW - 5ltr</v>
      </c>
      <c r="G1121" s="23" t="s">
        <v>5994</v>
      </c>
      <c r="H1121" s="25" t="s">
        <v>36</v>
      </c>
      <c r="I1121" s="18" t="s">
        <v>37</v>
      </c>
      <c r="J1121" s="18" t="s">
        <v>38</v>
      </c>
      <c r="K1121" t="s">
        <v>39</v>
      </c>
      <c r="L1121" s="26">
        <f>VLOOKUP(A1121,'[3]Price info'!A:D,4,FALSE)</f>
        <v>23.96</v>
      </c>
      <c r="M1121" s="18" t="s">
        <v>40</v>
      </c>
      <c r="N1121" s="20">
        <v>3105</v>
      </c>
      <c r="P1121" s="16">
        <f>VLOOKUP(A1121,'[3]Price info'!A:H,8,FALSE)</f>
        <v>23.96</v>
      </c>
      <c r="Q1121" s="33">
        <f t="shared" si="69"/>
        <v>1</v>
      </c>
      <c r="S1121" s="16" t="e">
        <f>VLOOKUP(A1121,[4]Sales!$E:$G,3,FALSE)</f>
        <v>#N/A</v>
      </c>
      <c r="T1121" s="19" t="e">
        <f>VLOOKUP(A1121,[4]Volume!$E:$G,3,FALSE)</f>
        <v>#N/A</v>
      </c>
      <c r="U1121" s="19" t="e">
        <f>VLOOKUP(A1121,[4]Piece!$E:$G,3,FALSE)</f>
        <v>#N/A</v>
      </c>
      <c r="V1121" s="21" t="e">
        <f t="shared" si="70"/>
        <v>#N/A</v>
      </c>
      <c r="W1121" s="16" t="e">
        <f t="shared" si="71"/>
        <v>#N/A</v>
      </c>
    </row>
    <row r="1122" spans="1:23" hidden="1" x14ac:dyDescent="0.3">
      <c r="A1122" s="61" t="s">
        <v>2239</v>
      </c>
      <c r="B1122" s="61" t="s">
        <v>2239</v>
      </c>
      <c r="C1122" s="23" t="s">
        <v>33</v>
      </c>
      <c r="D1122" s="20" t="s">
        <v>34</v>
      </c>
      <c r="E1122" s="22" t="s">
        <v>2240</v>
      </c>
      <c r="F1122" s="24" t="str">
        <f t="shared" si="68"/>
        <v>PPG - Leyland CONTRACT UNDERCOAT - BW - 2.5ltr</v>
      </c>
      <c r="G1122" s="23" t="s">
        <v>5995</v>
      </c>
      <c r="H1122" s="25" t="s">
        <v>36</v>
      </c>
      <c r="I1122" s="18" t="s">
        <v>37</v>
      </c>
      <c r="J1122" s="18" t="s">
        <v>38</v>
      </c>
      <c r="K1122" t="s">
        <v>39</v>
      </c>
      <c r="L1122" s="26">
        <f>VLOOKUP(A1122,'[3]Price info'!A:D,4,FALSE)</f>
        <v>14.41</v>
      </c>
      <c r="M1122" s="18" t="s">
        <v>40</v>
      </c>
      <c r="N1122" s="20">
        <v>3105</v>
      </c>
      <c r="P1122" s="16">
        <f>VLOOKUP(A1122,'[3]Price info'!A:H,8,FALSE)</f>
        <v>14.41</v>
      </c>
      <c r="Q1122" s="33">
        <f t="shared" si="69"/>
        <v>1</v>
      </c>
      <c r="S1122" s="16" t="e">
        <f>VLOOKUP(A1122,[4]Sales!$E:$G,3,FALSE)</f>
        <v>#N/A</v>
      </c>
      <c r="T1122" s="19" t="e">
        <f>VLOOKUP(A1122,[4]Volume!$E:$G,3,FALSE)</f>
        <v>#N/A</v>
      </c>
      <c r="U1122" s="19" t="e">
        <f>VLOOKUP(A1122,[4]Piece!$E:$G,3,FALSE)</f>
        <v>#N/A</v>
      </c>
      <c r="V1122" s="21" t="e">
        <f t="shared" si="70"/>
        <v>#N/A</v>
      </c>
      <c r="W1122" s="16" t="e">
        <f t="shared" si="71"/>
        <v>#N/A</v>
      </c>
    </row>
    <row r="1123" spans="1:23" hidden="1" x14ac:dyDescent="0.3">
      <c r="A1123" s="61" t="s">
        <v>2241</v>
      </c>
      <c r="B1123" s="61" t="s">
        <v>2241</v>
      </c>
      <c r="C1123" s="23" t="s">
        <v>33</v>
      </c>
      <c r="D1123" s="20" t="s">
        <v>34</v>
      </c>
      <c r="E1123" s="22" t="s">
        <v>2242</v>
      </c>
      <c r="F1123" s="24" t="str">
        <f t="shared" si="68"/>
        <v>PPG - Leyland CONTRACT UNDERCOAT - BW - 5ltr</v>
      </c>
      <c r="G1123" s="23" t="s">
        <v>5996</v>
      </c>
      <c r="H1123" s="25" t="s">
        <v>36</v>
      </c>
      <c r="I1123" s="18" t="s">
        <v>37</v>
      </c>
      <c r="J1123" s="18" t="s">
        <v>38</v>
      </c>
      <c r="K1123" t="s">
        <v>39</v>
      </c>
      <c r="L1123" s="26">
        <f>VLOOKUP(A1123,'[3]Price info'!A:D,4,FALSE)</f>
        <v>23.96</v>
      </c>
      <c r="M1123" s="18" t="s">
        <v>40</v>
      </c>
      <c r="N1123" s="20">
        <v>3105</v>
      </c>
      <c r="P1123" s="16">
        <f>VLOOKUP(A1123,'[3]Price info'!A:H,8,FALSE)</f>
        <v>23.96</v>
      </c>
      <c r="Q1123" s="33">
        <f t="shared" si="69"/>
        <v>1</v>
      </c>
      <c r="S1123" s="16" t="e">
        <f>VLOOKUP(A1123,[4]Sales!$E:$G,3,FALSE)</f>
        <v>#N/A</v>
      </c>
      <c r="T1123" s="19" t="e">
        <f>VLOOKUP(A1123,[4]Volume!$E:$G,3,FALSE)</f>
        <v>#N/A</v>
      </c>
      <c r="U1123" s="19" t="e">
        <f>VLOOKUP(A1123,[4]Piece!$E:$G,3,FALSE)</f>
        <v>#N/A</v>
      </c>
      <c r="V1123" s="21" t="e">
        <f t="shared" si="70"/>
        <v>#N/A</v>
      </c>
      <c r="W1123" s="16" t="e">
        <f t="shared" si="71"/>
        <v>#N/A</v>
      </c>
    </row>
    <row r="1124" spans="1:23" hidden="1" x14ac:dyDescent="0.3">
      <c r="A1124" s="61" t="s">
        <v>2243</v>
      </c>
      <c r="B1124" s="61" t="s">
        <v>2243</v>
      </c>
      <c r="C1124" s="23" t="s">
        <v>33</v>
      </c>
      <c r="D1124" s="20" t="s">
        <v>34</v>
      </c>
      <c r="E1124" s="22" t="s">
        <v>2244</v>
      </c>
      <c r="F1124" s="24" t="str">
        <f t="shared" si="68"/>
        <v>PPG - Johnstones FLORTRED ANTI SLIP - Tile Rd - 5l</v>
      </c>
      <c r="G1124" s="23" t="s">
        <v>5997</v>
      </c>
      <c r="H1124" s="25" t="s">
        <v>36</v>
      </c>
      <c r="I1124" s="18" t="s">
        <v>37</v>
      </c>
      <c r="J1124" s="18" t="s">
        <v>38</v>
      </c>
      <c r="K1124" t="s">
        <v>39</v>
      </c>
      <c r="L1124" s="26">
        <f>VLOOKUP(A1124,'[3]Price info'!A:D,4,FALSE)</f>
        <v>67.08</v>
      </c>
      <c r="M1124" s="18" t="s">
        <v>40</v>
      </c>
      <c r="N1124" s="20">
        <v>3105</v>
      </c>
      <c r="P1124" s="16">
        <f>VLOOKUP(A1124,'[3]Price info'!A:H,8,FALSE)</f>
        <v>67.08</v>
      </c>
      <c r="Q1124" s="33">
        <f t="shared" si="69"/>
        <v>1</v>
      </c>
      <c r="S1124" s="16" t="e">
        <f>VLOOKUP(A1124,[4]Sales!$E:$G,3,FALSE)</f>
        <v>#N/A</v>
      </c>
      <c r="T1124" s="19" t="e">
        <f>VLOOKUP(A1124,[4]Volume!$E:$G,3,FALSE)</f>
        <v>#N/A</v>
      </c>
      <c r="U1124" s="19" t="e">
        <f>VLOOKUP(A1124,[4]Piece!$E:$G,3,FALSE)</f>
        <v>#N/A</v>
      </c>
      <c r="V1124" s="21" t="e">
        <f t="shared" si="70"/>
        <v>#N/A</v>
      </c>
      <c r="W1124" s="16" t="e">
        <f t="shared" si="71"/>
        <v>#N/A</v>
      </c>
    </row>
    <row r="1125" spans="1:23" hidden="1" x14ac:dyDescent="0.3">
      <c r="A1125" s="61" t="s">
        <v>2245</v>
      </c>
      <c r="B1125" s="61" t="s">
        <v>2245</v>
      </c>
      <c r="C1125" s="23" t="s">
        <v>33</v>
      </c>
      <c r="D1125" s="20" t="s">
        <v>34</v>
      </c>
      <c r="E1125" s="22" t="s">
        <v>2246</v>
      </c>
      <c r="F1125" s="24" t="str">
        <f t="shared" si="68"/>
        <v>PPG - Leyland HARDWEARING MATT - Bril White - 5ltr</v>
      </c>
      <c r="G1125" s="23" t="s">
        <v>5998</v>
      </c>
      <c r="H1125" s="25" t="s">
        <v>36</v>
      </c>
      <c r="I1125" s="18" t="s">
        <v>37</v>
      </c>
      <c r="J1125" s="18" t="s">
        <v>38</v>
      </c>
      <c r="K1125" t="s">
        <v>39</v>
      </c>
      <c r="L1125" s="26">
        <f>VLOOKUP(A1125,'[3]Price info'!A:D,4,FALSE)</f>
        <v>33.020000000000003</v>
      </c>
      <c r="M1125" s="18" t="s">
        <v>40</v>
      </c>
      <c r="N1125" s="20">
        <v>3105</v>
      </c>
      <c r="P1125" s="16">
        <f>VLOOKUP(A1125,'[3]Price info'!A:H,8,FALSE)</f>
        <v>14.85</v>
      </c>
      <c r="Q1125" s="33">
        <f t="shared" si="69"/>
        <v>0.44972743791641423</v>
      </c>
      <c r="S1125" s="16" t="e">
        <f>VLOOKUP(A1125,[4]Sales!$E:$G,3,FALSE)</f>
        <v>#N/A</v>
      </c>
      <c r="T1125" s="19" t="e">
        <f>VLOOKUP(A1125,[4]Volume!$E:$G,3,FALSE)</f>
        <v>#N/A</v>
      </c>
      <c r="U1125" s="19" t="e">
        <f>VLOOKUP(A1125,[4]Piece!$E:$G,3,FALSE)</f>
        <v>#N/A</v>
      </c>
      <c r="V1125" s="21" t="e">
        <f t="shared" si="70"/>
        <v>#N/A</v>
      </c>
      <c r="W1125" s="16" t="e">
        <f t="shared" si="71"/>
        <v>#N/A</v>
      </c>
    </row>
    <row r="1126" spans="1:23" hidden="1" x14ac:dyDescent="0.3">
      <c r="A1126" s="61" t="s">
        <v>2247</v>
      </c>
      <c r="B1126" s="61" t="s">
        <v>2247</v>
      </c>
      <c r="C1126" s="23" t="s">
        <v>33</v>
      </c>
      <c r="D1126" s="20" t="s">
        <v>34</v>
      </c>
      <c r="E1126" s="22" t="s">
        <v>2248</v>
      </c>
      <c r="F1126" s="24" t="str">
        <f t="shared" si="68"/>
        <v>PPG - Leyland HARDWEARING MATT - Magnolia - 5ltr</v>
      </c>
      <c r="G1126" s="23" t="s">
        <v>5999</v>
      </c>
      <c r="H1126" s="25" t="s">
        <v>36</v>
      </c>
      <c r="I1126" s="18" t="s">
        <v>37</v>
      </c>
      <c r="J1126" s="18" t="s">
        <v>38</v>
      </c>
      <c r="K1126" t="s">
        <v>39</v>
      </c>
      <c r="L1126" s="26">
        <f>VLOOKUP(A1126,'[3]Price info'!A:D,4,FALSE)</f>
        <v>33.020000000000003</v>
      </c>
      <c r="M1126" s="18" t="s">
        <v>40</v>
      </c>
      <c r="N1126" s="20">
        <v>3105</v>
      </c>
      <c r="P1126" s="16">
        <f>VLOOKUP(A1126,'[3]Price info'!A:H,8,FALSE)</f>
        <v>14.85</v>
      </c>
      <c r="Q1126" s="33">
        <f t="shared" si="69"/>
        <v>0.44972743791641423</v>
      </c>
      <c r="S1126" s="16" t="e">
        <f>VLOOKUP(A1126,[4]Sales!$E:$G,3,FALSE)</f>
        <v>#N/A</v>
      </c>
      <c r="T1126" s="19" t="e">
        <f>VLOOKUP(A1126,[4]Volume!$E:$G,3,FALSE)</f>
        <v>#N/A</v>
      </c>
      <c r="U1126" s="19" t="e">
        <f>VLOOKUP(A1126,[4]Piece!$E:$G,3,FALSE)</f>
        <v>#N/A</v>
      </c>
      <c r="V1126" s="21" t="e">
        <f t="shared" si="70"/>
        <v>#N/A</v>
      </c>
      <c r="W1126" s="16" t="e">
        <f t="shared" si="71"/>
        <v>#N/A</v>
      </c>
    </row>
    <row r="1127" spans="1:23" hidden="1" x14ac:dyDescent="0.3">
      <c r="A1127" s="61" t="s">
        <v>2249</v>
      </c>
      <c r="B1127" s="61" t="s">
        <v>2249</v>
      </c>
      <c r="C1127" s="23" t="s">
        <v>33</v>
      </c>
      <c r="D1127" s="20" t="s">
        <v>34</v>
      </c>
      <c r="E1127" s="22" t="s">
        <v>2250</v>
      </c>
      <c r="F1127" s="24" t="str">
        <f t="shared" si="68"/>
        <v>PPG - Leyland HARDWEARING MATT - Mix - 5ltr</v>
      </c>
      <c r="G1127" s="23" t="s">
        <v>6000</v>
      </c>
      <c r="H1127" s="25" t="s">
        <v>36</v>
      </c>
      <c r="I1127" s="18" t="s">
        <v>37</v>
      </c>
      <c r="J1127" s="18" t="s">
        <v>38</v>
      </c>
      <c r="K1127" t="s">
        <v>39</v>
      </c>
      <c r="L1127" s="26">
        <f>VLOOKUP(A1127,'[3]Price info'!A:D,4,FALSE)</f>
        <v>42.59</v>
      </c>
      <c r="M1127" s="18" t="s">
        <v>40</v>
      </c>
      <c r="N1127" s="20">
        <v>3105</v>
      </c>
      <c r="P1127" s="16">
        <f>VLOOKUP(A1127,'[3]Price info'!A:H,8,FALSE)</f>
        <v>16.470000000000002</v>
      </c>
      <c r="Q1127" s="33">
        <f t="shared" si="69"/>
        <v>0.38671049542146047</v>
      </c>
      <c r="S1127" s="16" t="e">
        <f>VLOOKUP(A1127,[4]Sales!$E:$G,3,FALSE)</f>
        <v>#N/A</v>
      </c>
      <c r="T1127" s="19" t="e">
        <f>VLOOKUP(A1127,[4]Volume!$E:$G,3,FALSE)</f>
        <v>#N/A</v>
      </c>
      <c r="U1127" s="19" t="e">
        <f>VLOOKUP(A1127,[4]Piece!$E:$G,3,FALSE)</f>
        <v>#N/A</v>
      </c>
      <c r="V1127" s="21" t="e">
        <f t="shared" si="70"/>
        <v>#N/A</v>
      </c>
      <c r="W1127" s="16" t="e">
        <f t="shared" si="71"/>
        <v>#N/A</v>
      </c>
    </row>
    <row r="1128" spans="1:23" hidden="1" x14ac:dyDescent="0.3">
      <c r="A1128" s="61" t="s">
        <v>2251</v>
      </c>
      <c r="B1128" s="61" t="s">
        <v>2251</v>
      </c>
      <c r="C1128" s="23" t="s">
        <v>33</v>
      </c>
      <c r="D1128" s="20" t="s">
        <v>34</v>
      </c>
      <c r="E1128" s="22" t="s">
        <v>2252</v>
      </c>
      <c r="F1128" s="24" t="str">
        <f t="shared" si="68"/>
        <v>PPG - Leyland FAST DRYING WB SATIN - BW - 750ml</v>
      </c>
      <c r="G1128" s="23" t="s">
        <v>6001</v>
      </c>
      <c r="H1128" s="25" t="s">
        <v>36</v>
      </c>
      <c r="I1128" s="18" t="s">
        <v>37</v>
      </c>
      <c r="J1128" s="18" t="s">
        <v>38</v>
      </c>
      <c r="K1128" t="s">
        <v>39</v>
      </c>
      <c r="L1128" s="26">
        <f>VLOOKUP(A1128,'[3]Price info'!A:D,4,FALSE)</f>
        <v>10.62</v>
      </c>
      <c r="M1128" s="18" t="s">
        <v>40</v>
      </c>
      <c r="N1128" s="20">
        <v>3105</v>
      </c>
      <c r="P1128" s="16">
        <f>VLOOKUP(A1128,'[3]Price info'!A:H,8,FALSE)</f>
        <v>8.66</v>
      </c>
      <c r="Q1128" s="33">
        <f t="shared" si="69"/>
        <v>0.81544256120527314</v>
      </c>
      <c r="S1128" s="16" t="e">
        <f>VLOOKUP(A1128,[4]Sales!$E:$G,3,FALSE)</f>
        <v>#N/A</v>
      </c>
      <c r="T1128" s="19" t="e">
        <f>VLOOKUP(A1128,[4]Volume!$E:$G,3,FALSE)</f>
        <v>#N/A</v>
      </c>
      <c r="U1128" s="19" t="e">
        <f>VLOOKUP(A1128,[4]Piece!$E:$G,3,FALSE)</f>
        <v>#N/A</v>
      </c>
      <c r="V1128" s="21" t="e">
        <f t="shared" si="70"/>
        <v>#N/A</v>
      </c>
      <c r="W1128" s="16" t="e">
        <f t="shared" si="71"/>
        <v>#N/A</v>
      </c>
    </row>
    <row r="1129" spans="1:23" hidden="1" x14ac:dyDescent="0.3">
      <c r="A1129" s="61" t="s">
        <v>2253</v>
      </c>
      <c r="B1129" s="61" t="s">
        <v>2253</v>
      </c>
      <c r="C1129" s="23" t="s">
        <v>33</v>
      </c>
      <c r="D1129" s="20" t="s">
        <v>34</v>
      </c>
      <c r="E1129" s="22" t="s">
        <v>2254</v>
      </c>
      <c r="F1129" s="24" t="str">
        <f t="shared" si="68"/>
        <v>PPG - Leyland FAST DRYING WB SATIN - Black - 2.5l</v>
      </c>
      <c r="G1129" s="23" t="s">
        <v>6002</v>
      </c>
      <c r="H1129" s="25" t="s">
        <v>36</v>
      </c>
      <c r="I1129" s="18" t="s">
        <v>37</v>
      </c>
      <c r="J1129" s="18" t="s">
        <v>38</v>
      </c>
      <c r="K1129" t="s">
        <v>39</v>
      </c>
      <c r="L1129" s="26">
        <f>VLOOKUP(A1129,'[3]Price info'!A:D,4,FALSE)</f>
        <v>34.630000000000003</v>
      </c>
      <c r="M1129" s="18" t="s">
        <v>40</v>
      </c>
      <c r="N1129" s="20">
        <v>3105</v>
      </c>
      <c r="P1129" s="16">
        <f>VLOOKUP(A1129,'[3]Price info'!A:H,8,FALSE)</f>
        <v>17.736499999999999</v>
      </c>
      <c r="Q1129" s="33">
        <f t="shared" si="69"/>
        <v>0.51217152757724516</v>
      </c>
      <c r="S1129" s="16" t="e">
        <f>VLOOKUP(A1129,[4]Sales!$E:$G,3,FALSE)</f>
        <v>#N/A</v>
      </c>
      <c r="T1129" s="19" t="e">
        <f>VLOOKUP(A1129,[4]Volume!$E:$G,3,FALSE)</f>
        <v>#N/A</v>
      </c>
      <c r="U1129" s="19" t="e">
        <f>VLOOKUP(A1129,[4]Piece!$E:$G,3,FALSE)</f>
        <v>#N/A</v>
      </c>
      <c r="V1129" s="21" t="e">
        <f t="shared" si="70"/>
        <v>#N/A</v>
      </c>
      <c r="W1129" s="16" t="e">
        <f t="shared" si="71"/>
        <v>#N/A</v>
      </c>
    </row>
    <row r="1130" spans="1:23" hidden="1" x14ac:dyDescent="0.3">
      <c r="A1130" s="61" t="s">
        <v>2255</v>
      </c>
      <c r="B1130" s="61" t="s">
        <v>2255</v>
      </c>
      <c r="C1130" s="23" t="s">
        <v>33</v>
      </c>
      <c r="D1130" s="20" t="s">
        <v>34</v>
      </c>
      <c r="E1130" s="22" t="s">
        <v>2256</v>
      </c>
      <c r="F1130" s="24" t="str">
        <f t="shared" si="68"/>
        <v>PPG - Leyland FAST DRYING WB GLOSS - BW - 750ml</v>
      </c>
      <c r="G1130" s="23" t="s">
        <v>6003</v>
      </c>
      <c r="H1130" s="25" t="s">
        <v>36</v>
      </c>
      <c r="I1130" s="18" t="s">
        <v>37</v>
      </c>
      <c r="J1130" s="18" t="s">
        <v>38</v>
      </c>
      <c r="K1130" t="s">
        <v>39</v>
      </c>
      <c r="L1130" s="26">
        <f>VLOOKUP(A1130,'[3]Price info'!A:D,4,FALSE)</f>
        <v>8.66</v>
      </c>
      <c r="M1130" s="18" t="s">
        <v>40</v>
      </c>
      <c r="N1130" s="20">
        <v>3105</v>
      </c>
      <c r="P1130" s="16">
        <f>VLOOKUP(A1130,'[3]Price info'!A:H,8,FALSE)</f>
        <v>8.66</v>
      </c>
      <c r="Q1130" s="33">
        <f t="shared" si="69"/>
        <v>1</v>
      </c>
      <c r="S1130" s="16" t="e">
        <f>VLOOKUP(A1130,[4]Sales!$E:$G,3,FALSE)</f>
        <v>#N/A</v>
      </c>
      <c r="T1130" s="19" t="e">
        <f>VLOOKUP(A1130,[4]Volume!$E:$G,3,FALSE)</f>
        <v>#N/A</v>
      </c>
      <c r="U1130" s="19" t="e">
        <f>VLOOKUP(A1130,[4]Piece!$E:$G,3,FALSE)</f>
        <v>#N/A</v>
      </c>
      <c r="V1130" s="21" t="e">
        <f t="shared" si="70"/>
        <v>#N/A</v>
      </c>
      <c r="W1130" s="16" t="e">
        <f t="shared" si="71"/>
        <v>#N/A</v>
      </c>
    </row>
    <row r="1131" spans="1:23" hidden="1" x14ac:dyDescent="0.3">
      <c r="A1131" s="61" t="s">
        <v>2257</v>
      </c>
      <c r="B1131" s="61" t="s">
        <v>2257</v>
      </c>
      <c r="C1131" s="23" t="s">
        <v>33</v>
      </c>
      <c r="D1131" s="20" t="s">
        <v>34</v>
      </c>
      <c r="E1131" s="22" t="s">
        <v>2258</v>
      </c>
      <c r="F1131" s="24" t="str">
        <f t="shared" si="68"/>
        <v>PPG - Leyland FAST DRYING WB GLOSS - Black - 2.5l</v>
      </c>
      <c r="G1131" s="23" t="s">
        <v>6004</v>
      </c>
      <c r="H1131" s="25" t="s">
        <v>36</v>
      </c>
      <c r="I1131" s="18" t="s">
        <v>37</v>
      </c>
      <c r="J1131" s="18" t="s">
        <v>38</v>
      </c>
      <c r="K1131" t="s">
        <v>39</v>
      </c>
      <c r="L1131" s="26">
        <f>VLOOKUP(A1131,'[3]Price info'!A:D,4,FALSE)</f>
        <v>32.46</v>
      </c>
      <c r="M1131" s="18" t="s">
        <v>40</v>
      </c>
      <c r="N1131" s="20">
        <v>3105</v>
      </c>
      <c r="P1131" s="16">
        <f>VLOOKUP(A1131,'[3]Price info'!A:H,8,FALSE)</f>
        <v>17.736499999999999</v>
      </c>
      <c r="Q1131" s="33">
        <f t="shared" si="69"/>
        <v>0.54641096734442385</v>
      </c>
      <c r="S1131" s="16" t="e">
        <f>VLOOKUP(A1131,[4]Sales!$E:$G,3,FALSE)</f>
        <v>#N/A</v>
      </c>
      <c r="T1131" s="19" t="e">
        <f>VLOOKUP(A1131,[4]Volume!$E:$G,3,FALSE)</f>
        <v>#N/A</v>
      </c>
      <c r="U1131" s="19" t="e">
        <f>VLOOKUP(A1131,[4]Piece!$E:$G,3,FALSE)</f>
        <v>#N/A</v>
      </c>
      <c r="V1131" s="21" t="e">
        <f t="shared" si="70"/>
        <v>#N/A</v>
      </c>
      <c r="W1131" s="16" t="e">
        <f t="shared" si="71"/>
        <v>#N/A</v>
      </c>
    </row>
    <row r="1132" spans="1:23" hidden="1" x14ac:dyDescent="0.3">
      <c r="A1132" s="61" t="s">
        <v>2259</v>
      </c>
      <c r="B1132" s="61" t="s">
        <v>2259</v>
      </c>
      <c r="C1132" s="23" t="s">
        <v>33</v>
      </c>
      <c r="D1132" s="20" t="s">
        <v>34</v>
      </c>
      <c r="E1132" s="22" t="s">
        <v>2260</v>
      </c>
      <c r="F1132" s="24" t="str">
        <f t="shared" si="68"/>
        <v>PPG - Leyland FAST DRYING WB U/COAT - BW - 2.5ltr</v>
      </c>
      <c r="G1132" s="23" t="s">
        <v>6005</v>
      </c>
      <c r="H1132" s="25" t="s">
        <v>36</v>
      </c>
      <c r="I1132" s="18" t="s">
        <v>37</v>
      </c>
      <c r="J1132" s="18" t="s">
        <v>38</v>
      </c>
      <c r="K1132" t="s">
        <v>39</v>
      </c>
      <c r="L1132" s="26">
        <f>VLOOKUP(A1132,'[3]Price info'!A:D,4,FALSE)</f>
        <v>23.38</v>
      </c>
      <c r="M1132" s="18" t="s">
        <v>40</v>
      </c>
      <c r="N1132" s="20">
        <v>3105</v>
      </c>
      <c r="P1132" s="16">
        <f>VLOOKUP(A1132,'[3]Price info'!A:H,8,FALSE)</f>
        <v>16.739999999999998</v>
      </c>
      <c r="Q1132" s="33">
        <f t="shared" si="69"/>
        <v>0.71599657827202734</v>
      </c>
      <c r="S1132" s="16">
        <f>VLOOKUP(A1132,[4]Sales!$E:$G,3,FALSE)</f>
        <v>66.959999999999994</v>
      </c>
      <c r="T1132" s="19">
        <f>VLOOKUP(A1132,[4]Volume!$E:$G,3,FALSE)</f>
        <v>10</v>
      </c>
      <c r="U1132" s="19">
        <f>VLOOKUP(A1132,[4]Piece!$E:$G,3,FALSE)</f>
        <v>4</v>
      </c>
      <c r="V1132" s="21">
        <f t="shared" si="70"/>
        <v>66.959999999999994</v>
      </c>
      <c r="W1132" s="16">
        <f t="shared" si="71"/>
        <v>0</v>
      </c>
    </row>
    <row r="1133" spans="1:23" hidden="1" x14ac:dyDescent="0.3">
      <c r="A1133" s="61" t="s">
        <v>2261</v>
      </c>
      <c r="B1133" s="61" t="s">
        <v>2261</v>
      </c>
      <c r="C1133" s="23" t="s">
        <v>33</v>
      </c>
      <c r="D1133" s="20" t="s">
        <v>34</v>
      </c>
      <c r="E1133" s="22" t="s">
        <v>2262</v>
      </c>
      <c r="F1133" s="24" t="str">
        <f t="shared" si="68"/>
        <v>PPG - Leyland FAST DRYING WB U/COAT - D GRY - 2.5l</v>
      </c>
      <c r="G1133" s="23" t="s">
        <v>6006</v>
      </c>
      <c r="H1133" s="25" t="s">
        <v>36</v>
      </c>
      <c r="I1133" s="18" t="s">
        <v>37</v>
      </c>
      <c r="J1133" s="18" t="s">
        <v>38</v>
      </c>
      <c r="K1133" t="s">
        <v>39</v>
      </c>
      <c r="L1133" s="26">
        <f>VLOOKUP(A1133,'[3]Price info'!A:D,4,FALSE)</f>
        <v>34.409999999999997</v>
      </c>
      <c r="M1133" s="18" t="s">
        <v>40</v>
      </c>
      <c r="N1133" s="20">
        <v>3105</v>
      </c>
      <c r="P1133" s="16">
        <f>VLOOKUP(A1133,'[3]Price info'!A:H,8,FALSE)</f>
        <v>17.736499999999999</v>
      </c>
      <c r="Q1133" s="33">
        <f t="shared" si="69"/>
        <v>0.51544609125254293</v>
      </c>
      <c r="S1133" s="16" t="e">
        <f>VLOOKUP(A1133,[4]Sales!$E:$G,3,FALSE)</f>
        <v>#N/A</v>
      </c>
      <c r="T1133" s="19" t="e">
        <f>VLOOKUP(A1133,[4]Volume!$E:$G,3,FALSE)</f>
        <v>#N/A</v>
      </c>
      <c r="U1133" s="19" t="e">
        <f>VLOOKUP(A1133,[4]Piece!$E:$G,3,FALSE)</f>
        <v>#N/A</v>
      </c>
      <c r="V1133" s="21" t="e">
        <f t="shared" si="70"/>
        <v>#N/A</v>
      </c>
      <c r="W1133" s="16" t="e">
        <f t="shared" si="71"/>
        <v>#N/A</v>
      </c>
    </row>
    <row r="1134" spans="1:23" hidden="1" x14ac:dyDescent="0.3">
      <c r="A1134" s="61" t="s">
        <v>2263</v>
      </c>
      <c r="B1134" s="61" t="s">
        <v>2263</v>
      </c>
      <c r="C1134" s="23" t="s">
        <v>33</v>
      </c>
      <c r="D1134" s="20" t="s">
        <v>34</v>
      </c>
      <c r="E1134" s="22" t="s">
        <v>2264</v>
      </c>
      <c r="F1134" s="24" t="str">
        <f t="shared" si="68"/>
        <v>PPG - Leyland FAST DRYING WB GLOSS - Mix - 2.5ltr</v>
      </c>
      <c r="G1134" s="23" t="s">
        <v>6007</v>
      </c>
      <c r="H1134" s="25" t="s">
        <v>36</v>
      </c>
      <c r="I1134" s="18" t="s">
        <v>37</v>
      </c>
      <c r="J1134" s="18" t="s">
        <v>38</v>
      </c>
      <c r="K1134" t="s">
        <v>39</v>
      </c>
      <c r="L1134" s="26">
        <f>VLOOKUP(A1134,'[3]Price info'!A:D,4,FALSE)</f>
        <v>32.46</v>
      </c>
      <c r="M1134" s="18" t="s">
        <v>40</v>
      </c>
      <c r="N1134" s="20">
        <v>3105</v>
      </c>
      <c r="P1134" s="16">
        <f>VLOOKUP(A1134,'[3]Price info'!A:H,8,FALSE)</f>
        <v>17.736499999999999</v>
      </c>
      <c r="Q1134" s="33">
        <f t="shared" si="69"/>
        <v>0.54641096734442385</v>
      </c>
      <c r="S1134" s="16">
        <f>VLOOKUP(A1134,[4]Sales!$E:$G,3,FALSE)</f>
        <v>35.480000000000004</v>
      </c>
      <c r="T1134" s="19">
        <f>VLOOKUP(A1134,[4]Volume!$E:$G,3,FALSE)</f>
        <v>5</v>
      </c>
      <c r="U1134" s="19">
        <f>VLOOKUP(A1134,[4]Piece!$E:$G,3,FALSE)</f>
        <v>2</v>
      </c>
      <c r="V1134" s="21">
        <f t="shared" si="70"/>
        <v>35.472999999999999</v>
      </c>
      <c r="W1134" s="16">
        <f t="shared" si="71"/>
        <v>-7.0000000000050022E-3</v>
      </c>
    </row>
    <row r="1135" spans="1:23" hidden="1" x14ac:dyDescent="0.3">
      <c r="A1135" s="61" t="s">
        <v>2265</v>
      </c>
      <c r="B1135" s="61" t="s">
        <v>2265</v>
      </c>
      <c r="C1135" s="23" t="s">
        <v>33</v>
      </c>
      <c r="D1135" s="20" t="s">
        <v>34</v>
      </c>
      <c r="E1135" s="22" t="s">
        <v>2266</v>
      </c>
      <c r="F1135" s="24" t="str">
        <f t="shared" si="68"/>
        <v>PPG - Leyland FAST DRYING WB SATIN - Mix - 2.5ltr</v>
      </c>
      <c r="G1135" s="23" t="s">
        <v>6008</v>
      </c>
      <c r="H1135" s="25" t="s">
        <v>36</v>
      </c>
      <c r="I1135" s="18" t="s">
        <v>37</v>
      </c>
      <c r="J1135" s="18" t="s">
        <v>38</v>
      </c>
      <c r="K1135" t="s">
        <v>39</v>
      </c>
      <c r="L1135" s="26">
        <f>VLOOKUP(A1135,'[3]Price info'!A:D,4,FALSE)</f>
        <v>34.630000000000003</v>
      </c>
      <c r="M1135" s="18" t="s">
        <v>40</v>
      </c>
      <c r="N1135" s="20">
        <v>3105</v>
      </c>
      <c r="P1135" s="16">
        <f>VLOOKUP(A1135,'[3]Price info'!A:H,8,FALSE)</f>
        <v>17.736499999999999</v>
      </c>
      <c r="Q1135" s="33">
        <f t="shared" si="69"/>
        <v>0.51217152757724516</v>
      </c>
      <c r="S1135" s="16" t="e">
        <f>VLOOKUP(A1135,[4]Sales!$E:$G,3,FALSE)</f>
        <v>#N/A</v>
      </c>
      <c r="T1135" s="19" t="e">
        <f>VLOOKUP(A1135,[4]Volume!$E:$G,3,FALSE)</f>
        <v>#N/A</v>
      </c>
      <c r="U1135" s="19" t="e">
        <f>VLOOKUP(A1135,[4]Piece!$E:$G,3,FALSE)</f>
        <v>#N/A</v>
      </c>
      <c r="V1135" s="21" t="e">
        <f t="shared" si="70"/>
        <v>#N/A</v>
      </c>
      <c r="W1135" s="16" t="e">
        <f t="shared" si="71"/>
        <v>#N/A</v>
      </c>
    </row>
    <row r="1136" spans="1:23" hidden="1" x14ac:dyDescent="0.3">
      <c r="A1136" s="61" t="s">
        <v>2267</v>
      </c>
      <c r="B1136" s="61" t="s">
        <v>2267</v>
      </c>
      <c r="C1136" s="23" t="s">
        <v>33</v>
      </c>
      <c r="D1136" s="20" t="s">
        <v>34</v>
      </c>
      <c r="E1136" s="22" t="s">
        <v>2268</v>
      </c>
      <c r="F1136" s="24" t="str">
        <f t="shared" si="68"/>
        <v>PPG - Leyland FAST DRYING WB U/COAT - BW - 750ml</v>
      </c>
      <c r="G1136" s="23" t="s">
        <v>6009</v>
      </c>
      <c r="H1136" s="25" t="s">
        <v>36</v>
      </c>
      <c r="I1136" s="18" t="s">
        <v>37</v>
      </c>
      <c r="J1136" s="18" t="s">
        <v>38</v>
      </c>
      <c r="K1136" t="s">
        <v>39</v>
      </c>
      <c r="L1136" s="26">
        <f>VLOOKUP(A1136,'[3]Price info'!A:D,4,FALSE)</f>
        <v>8.66</v>
      </c>
      <c r="M1136" s="18" t="s">
        <v>40</v>
      </c>
      <c r="N1136" s="20">
        <v>3105</v>
      </c>
      <c r="P1136" s="16">
        <f>VLOOKUP(A1136,'[3]Price info'!A:H,8,FALSE)</f>
        <v>8.66</v>
      </c>
      <c r="Q1136" s="33">
        <f t="shared" si="69"/>
        <v>1</v>
      </c>
      <c r="S1136" s="16" t="e">
        <f>VLOOKUP(A1136,[4]Sales!$E:$G,3,FALSE)</f>
        <v>#N/A</v>
      </c>
      <c r="T1136" s="19" t="e">
        <f>VLOOKUP(A1136,[4]Volume!$E:$G,3,FALSE)</f>
        <v>#N/A</v>
      </c>
      <c r="U1136" s="19" t="e">
        <f>VLOOKUP(A1136,[4]Piece!$E:$G,3,FALSE)</f>
        <v>#N/A</v>
      </c>
      <c r="V1136" s="21" t="e">
        <f t="shared" si="70"/>
        <v>#N/A</v>
      </c>
      <c r="W1136" s="16" t="e">
        <f t="shared" si="71"/>
        <v>#N/A</v>
      </c>
    </row>
    <row r="1137" spans="1:23" hidden="1" x14ac:dyDescent="0.3">
      <c r="A1137" s="61" t="s">
        <v>2269</v>
      </c>
      <c r="B1137" s="61" t="s">
        <v>2269</v>
      </c>
      <c r="C1137" s="23" t="s">
        <v>33</v>
      </c>
      <c r="D1137" s="20" t="s">
        <v>34</v>
      </c>
      <c r="E1137" s="22" t="s">
        <v>2270</v>
      </c>
      <c r="F1137" s="24" t="str">
        <f t="shared" si="68"/>
        <v>PPG - Johnstones ULTRA PRIMER &amp; FINISH - BW - 10l</v>
      </c>
      <c r="G1137" s="23" t="s">
        <v>6010</v>
      </c>
      <c r="H1137" s="25" t="s">
        <v>36</v>
      </c>
      <c r="I1137" s="18" t="s">
        <v>37</v>
      </c>
      <c r="J1137" s="18" t="s">
        <v>38</v>
      </c>
      <c r="K1137" t="s">
        <v>39</v>
      </c>
      <c r="L1137" s="26">
        <f>VLOOKUP(A1137,'[3]Price info'!A:D,4,FALSE)</f>
        <v>69.25</v>
      </c>
      <c r="M1137" s="18" t="s">
        <v>40</v>
      </c>
      <c r="N1137" s="20">
        <v>3105</v>
      </c>
      <c r="P1137" s="16">
        <f>VLOOKUP(A1137,'[3]Price info'!A:H,8,FALSE)</f>
        <v>69.25</v>
      </c>
      <c r="Q1137" s="33">
        <f t="shared" si="69"/>
        <v>1</v>
      </c>
      <c r="S1137" s="16">
        <f>VLOOKUP(A1137,[4]Sales!$E:$G,3,FALSE)</f>
        <v>69.25</v>
      </c>
      <c r="T1137" s="19">
        <f>VLOOKUP(A1137,[4]Volume!$E:$G,3,FALSE)</f>
        <v>10</v>
      </c>
      <c r="U1137" s="19">
        <f>VLOOKUP(A1137,[4]Piece!$E:$G,3,FALSE)</f>
        <v>1</v>
      </c>
      <c r="V1137" s="21">
        <f t="shared" si="70"/>
        <v>69.25</v>
      </c>
      <c r="W1137" s="16">
        <f t="shared" si="71"/>
        <v>0</v>
      </c>
    </row>
    <row r="1138" spans="1:23" hidden="1" x14ac:dyDescent="0.3">
      <c r="A1138" s="61" t="s">
        <v>2271</v>
      </c>
      <c r="B1138" s="61" t="s">
        <v>2271</v>
      </c>
      <c r="C1138" s="23" t="s">
        <v>33</v>
      </c>
      <c r="D1138" s="20" t="s">
        <v>34</v>
      </c>
      <c r="E1138" s="22" t="s">
        <v>2272</v>
      </c>
      <c r="F1138" s="24" t="str">
        <f t="shared" si="68"/>
        <v>PPG - Leyland HARDWEARING MATT - Bril White - 2.5l</v>
      </c>
      <c r="G1138" s="23" t="s">
        <v>6011</v>
      </c>
      <c r="H1138" s="25" t="s">
        <v>36</v>
      </c>
      <c r="I1138" s="18" t="s">
        <v>37</v>
      </c>
      <c r="J1138" s="18" t="s">
        <v>38</v>
      </c>
      <c r="K1138" t="s">
        <v>39</v>
      </c>
      <c r="L1138" s="26">
        <f>VLOOKUP(A1138,'[3]Price info'!A:D,4,FALSE)</f>
        <v>17.5</v>
      </c>
      <c r="M1138" s="18" t="s">
        <v>40</v>
      </c>
      <c r="N1138" s="20">
        <v>3105</v>
      </c>
      <c r="P1138" s="16">
        <f>VLOOKUP(A1138,'[3]Price info'!A:H,8,FALSE)</f>
        <v>8.91</v>
      </c>
      <c r="Q1138" s="33">
        <f t="shared" si="69"/>
        <v>0.50914285714285712</v>
      </c>
      <c r="S1138" s="16" t="e">
        <f>VLOOKUP(A1138,[4]Sales!$E:$G,3,FALSE)</f>
        <v>#N/A</v>
      </c>
      <c r="T1138" s="19" t="e">
        <f>VLOOKUP(A1138,[4]Volume!$E:$G,3,FALSE)</f>
        <v>#N/A</v>
      </c>
      <c r="U1138" s="19" t="e">
        <f>VLOOKUP(A1138,[4]Piece!$E:$G,3,FALSE)</f>
        <v>#N/A</v>
      </c>
      <c r="V1138" s="21" t="e">
        <f t="shared" si="70"/>
        <v>#N/A</v>
      </c>
      <c r="W1138" s="16" t="e">
        <f t="shared" si="71"/>
        <v>#N/A</v>
      </c>
    </row>
    <row r="1139" spans="1:23" hidden="1" x14ac:dyDescent="0.3">
      <c r="A1139" s="61" t="s">
        <v>2273</v>
      </c>
      <c r="B1139" s="61" t="s">
        <v>2273</v>
      </c>
      <c r="C1139" s="23" t="s">
        <v>33</v>
      </c>
      <c r="D1139" s="20" t="s">
        <v>34</v>
      </c>
      <c r="E1139" s="22" t="s">
        <v>2274</v>
      </c>
      <c r="F1139" s="24" t="str">
        <f t="shared" si="68"/>
        <v>PPG - Leyland HARDWEARING MATT - Bril White - 10l</v>
      </c>
      <c r="G1139" s="23" t="s">
        <v>6012</v>
      </c>
      <c r="H1139" s="25" t="s">
        <v>36</v>
      </c>
      <c r="I1139" s="18" t="s">
        <v>37</v>
      </c>
      <c r="J1139" s="18" t="s">
        <v>38</v>
      </c>
      <c r="K1139" t="s">
        <v>39</v>
      </c>
      <c r="L1139" s="26">
        <f>VLOOKUP(A1139,'[3]Price info'!A:D,4,FALSE)</f>
        <v>53.05</v>
      </c>
      <c r="M1139" s="18" t="s">
        <v>40</v>
      </c>
      <c r="N1139" s="20">
        <v>3105</v>
      </c>
      <c r="P1139" s="16">
        <f>VLOOKUP(A1139,'[3]Price info'!A:H,8,FALSE)</f>
        <v>28.215000000000003</v>
      </c>
      <c r="Q1139" s="33">
        <f t="shared" si="69"/>
        <v>0.53185673892554208</v>
      </c>
      <c r="S1139" s="16" t="e">
        <f>VLOOKUP(A1139,[4]Sales!$E:$G,3,FALSE)</f>
        <v>#N/A</v>
      </c>
      <c r="T1139" s="19" t="e">
        <f>VLOOKUP(A1139,[4]Volume!$E:$G,3,FALSE)</f>
        <v>#N/A</v>
      </c>
      <c r="U1139" s="19" t="e">
        <f>VLOOKUP(A1139,[4]Piece!$E:$G,3,FALSE)</f>
        <v>#N/A</v>
      </c>
      <c r="V1139" s="21" t="e">
        <f t="shared" si="70"/>
        <v>#N/A</v>
      </c>
      <c r="W1139" s="16" t="e">
        <f t="shared" si="71"/>
        <v>#N/A</v>
      </c>
    </row>
    <row r="1140" spans="1:23" hidden="1" x14ac:dyDescent="0.3">
      <c r="A1140" s="61" t="s">
        <v>2275</v>
      </c>
      <c r="B1140" s="61" t="s">
        <v>2275</v>
      </c>
      <c r="C1140" s="23" t="s">
        <v>33</v>
      </c>
      <c r="D1140" s="20" t="s">
        <v>34</v>
      </c>
      <c r="E1140" s="22" t="s">
        <v>2276</v>
      </c>
      <c r="F1140" s="24" t="str">
        <f t="shared" si="68"/>
        <v>PPG - Leyland T/GUARD FLEX EXT GLOSS - BW - 750ml</v>
      </c>
      <c r="G1140" s="23" t="s">
        <v>6013</v>
      </c>
      <c r="H1140" s="25" t="s">
        <v>36</v>
      </c>
      <c r="I1140" s="18" t="s">
        <v>37</v>
      </c>
      <c r="J1140" s="18" t="s">
        <v>38</v>
      </c>
      <c r="K1140" t="s">
        <v>39</v>
      </c>
      <c r="L1140" s="26">
        <f>VLOOKUP(A1140,'[3]Price info'!A:D,4,FALSE)</f>
        <v>13.18</v>
      </c>
      <c r="M1140" s="18" t="s">
        <v>40</v>
      </c>
      <c r="N1140" s="20">
        <v>3105</v>
      </c>
      <c r="P1140" s="16">
        <f>VLOOKUP(A1140,'[3]Price info'!A:H,8,FALSE)</f>
        <v>13.18</v>
      </c>
      <c r="Q1140" s="33">
        <f t="shared" si="69"/>
        <v>1</v>
      </c>
      <c r="S1140" s="16" t="e">
        <f>VLOOKUP(A1140,[4]Sales!$E:$G,3,FALSE)</f>
        <v>#N/A</v>
      </c>
      <c r="T1140" s="19" t="e">
        <f>VLOOKUP(A1140,[4]Volume!$E:$G,3,FALSE)</f>
        <v>#N/A</v>
      </c>
      <c r="U1140" s="19" t="e">
        <f>VLOOKUP(A1140,[4]Piece!$E:$G,3,FALSE)</f>
        <v>#N/A</v>
      </c>
      <c r="V1140" s="21" t="e">
        <f t="shared" si="70"/>
        <v>#N/A</v>
      </c>
      <c r="W1140" s="16" t="e">
        <f t="shared" si="71"/>
        <v>#N/A</v>
      </c>
    </row>
    <row r="1141" spans="1:23" hidden="1" x14ac:dyDescent="0.3">
      <c r="A1141" s="61" t="s">
        <v>2277</v>
      </c>
      <c r="B1141" s="61" t="s">
        <v>2277</v>
      </c>
      <c r="C1141" s="23" t="s">
        <v>33</v>
      </c>
      <c r="D1141" s="20" t="s">
        <v>34</v>
      </c>
      <c r="E1141" s="22" t="s">
        <v>2278</v>
      </c>
      <c r="F1141" s="24" t="str">
        <f t="shared" si="68"/>
        <v>PPG - Leyland T/GUARD FLEX EXT GLOSS - Black 750ml</v>
      </c>
      <c r="G1141" s="23" t="s">
        <v>6014</v>
      </c>
      <c r="H1141" s="25" t="s">
        <v>36</v>
      </c>
      <c r="I1141" s="18" t="s">
        <v>37</v>
      </c>
      <c r="J1141" s="18" t="s">
        <v>38</v>
      </c>
      <c r="K1141" t="s">
        <v>39</v>
      </c>
      <c r="L1141" s="26">
        <f>VLOOKUP(A1141,'[3]Price info'!A:D,4,FALSE)</f>
        <v>19.38</v>
      </c>
      <c r="M1141" s="18" t="s">
        <v>40</v>
      </c>
      <c r="N1141" s="20">
        <v>3105</v>
      </c>
      <c r="P1141" s="16">
        <f>VLOOKUP(A1141,'[3]Price info'!A:H,8,FALSE)</f>
        <v>19.38</v>
      </c>
      <c r="Q1141" s="33">
        <f t="shared" si="69"/>
        <v>1</v>
      </c>
      <c r="S1141" s="16" t="e">
        <f>VLOOKUP(A1141,[4]Sales!$E:$G,3,FALSE)</f>
        <v>#N/A</v>
      </c>
      <c r="T1141" s="19" t="e">
        <f>VLOOKUP(A1141,[4]Volume!$E:$G,3,FALSE)</f>
        <v>#N/A</v>
      </c>
      <c r="U1141" s="19" t="e">
        <f>VLOOKUP(A1141,[4]Piece!$E:$G,3,FALSE)</f>
        <v>#N/A</v>
      </c>
      <c r="V1141" s="21" t="e">
        <f t="shared" si="70"/>
        <v>#N/A</v>
      </c>
      <c r="W1141" s="16" t="e">
        <f t="shared" si="71"/>
        <v>#N/A</v>
      </c>
    </row>
    <row r="1142" spans="1:23" hidden="1" x14ac:dyDescent="0.3">
      <c r="A1142" s="61" t="s">
        <v>2279</v>
      </c>
      <c r="B1142" s="61" t="s">
        <v>2279</v>
      </c>
      <c r="C1142" s="23" t="s">
        <v>33</v>
      </c>
      <c r="D1142" s="20" t="s">
        <v>34</v>
      </c>
      <c r="E1142" s="22" t="s">
        <v>2280</v>
      </c>
      <c r="F1142" s="24" t="str">
        <f t="shared" si="68"/>
        <v>PPG - JST MATT WOODSTAIN - Mix - 2.5l</v>
      </c>
      <c r="G1142" s="23" t="s">
        <v>6015</v>
      </c>
      <c r="H1142" s="25" t="s">
        <v>36</v>
      </c>
      <c r="I1142" s="18" t="s">
        <v>37</v>
      </c>
      <c r="J1142" s="18" t="s">
        <v>38</v>
      </c>
      <c r="K1142" t="s">
        <v>39</v>
      </c>
      <c r="L1142" s="26">
        <f>VLOOKUP(A1142,'[3]Price info'!A:D,4,FALSE)</f>
        <v>16.88</v>
      </c>
      <c r="M1142" s="18" t="s">
        <v>40</v>
      </c>
      <c r="N1142" s="20">
        <v>3105</v>
      </c>
      <c r="P1142" s="16">
        <f>VLOOKUP(A1142,'[3]Price info'!A:H,8,FALSE)</f>
        <v>16.88</v>
      </c>
      <c r="Q1142" s="33">
        <f t="shared" si="69"/>
        <v>1</v>
      </c>
      <c r="S1142" s="16" t="e">
        <f>VLOOKUP(A1142,[4]Sales!$E:$G,3,FALSE)</f>
        <v>#N/A</v>
      </c>
      <c r="T1142" s="19" t="e">
        <f>VLOOKUP(A1142,[4]Volume!$E:$G,3,FALSE)</f>
        <v>#N/A</v>
      </c>
      <c r="U1142" s="19" t="e">
        <f>VLOOKUP(A1142,[4]Piece!$E:$G,3,FALSE)</f>
        <v>#N/A</v>
      </c>
      <c r="V1142" s="21" t="e">
        <f t="shared" si="70"/>
        <v>#N/A</v>
      </c>
      <c r="W1142" s="16" t="e">
        <f t="shared" si="71"/>
        <v>#N/A</v>
      </c>
    </row>
    <row r="1143" spans="1:23" hidden="1" x14ac:dyDescent="0.3">
      <c r="A1143" s="61" t="s">
        <v>2281</v>
      </c>
      <c r="B1143" s="61" t="s">
        <v>2281</v>
      </c>
      <c r="C1143" s="23" t="s">
        <v>33</v>
      </c>
      <c r="D1143" s="20" t="s">
        <v>34</v>
      </c>
      <c r="E1143" s="22" t="s">
        <v>2282</v>
      </c>
      <c r="F1143" s="24" t="str">
        <f t="shared" si="68"/>
        <v>PPG - Johnstones SATIN WOODSTAIN - Mix - 2.5ltr</v>
      </c>
      <c r="G1143" s="23" t="s">
        <v>6016</v>
      </c>
      <c r="H1143" s="25" t="s">
        <v>36</v>
      </c>
      <c r="I1143" s="18" t="s">
        <v>37</v>
      </c>
      <c r="J1143" s="18" t="s">
        <v>38</v>
      </c>
      <c r="K1143" t="s">
        <v>39</v>
      </c>
      <c r="L1143" s="26">
        <f>VLOOKUP(A1143,'[3]Price info'!A:D,4,FALSE)</f>
        <v>16.88</v>
      </c>
      <c r="M1143" s="18" t="s">
        <v>40</v>
      </c>
      <c r="N1143" s="20">
        <v>3105</v>
      </c>
      <c r="P1143" s="16">
        <f>VLOOKUP(A1143,'[3]Price info'!A:H,8,FALSE)</f>
        <v>16.88</v>
      </c>
      <c r="Q1143" s="33">
        <f t="shared" si="69"/>
        <v>1</v>
      </c>
      <c r="S1143" s="16">
        <f>VLOOKUP(A1143,[4]Sales!$E:$G,3,FALSE)</f>
        <v>33.76</v>
      </c>
      <c r="T1143" s="19">
        <f>VLOOKUP(A1143,[4]Volume!$E:$G,3,FALSE)</f>
        <v>5</v>
      </c>
      <c r="U1143" s="19">
        <f>VLOOKUP(A1143,[4]Piece!$E:$G,3,FALSE)</f>
        <v>2</v>
      </c>
      <c r="V1143" s="21">
        <f t="shared" si="70"/>
        <v>33.76</v>
      </c>
      <c r="W1143" s="16">
        <f t="shared" si="71"/>
        <v>0</v>
      </c>
    </row>
    <row r="1144" spans="1:23" hidden="1" x14ac:dyDescent="0.3">
      <c r="A1144" s="61" t="s">
        <v>2283</v>
      </c>
      <c r="B1144" s="61" t="s">
        <v>2283</v>
      </c>
      <c r="C1144" s="23" t="s">
        <v>33</v>
      </c>
      <c r="D1144" s="20" t="s">
        <v>34</v>
      </c>
      <c r="E1144" s="22" t="s">
        <v>2284</v>
      </c>
      <c r="F1144" s="24" t="str">
        <f t="shared" si="68"/>
        <v>PPG - Leyland ANTI-CORROSIVE PRIMER - Grey - 2.5l</v>
      </c>
      <c r="G1144" s="23" t="s">
        <v>6017</v>
      </c>
      <c r="H1144" s="25" t="s">
        <v>36</v>
      </c>
      <c r="I1144" s="18" t="s">
        <v>37</v>
      </c>
      <c r="J1144" s="18" t="s">
        <v>38</v>
      </c>
      <c r="K1144" t="s">
        <v>39</v>
      </c>
      <c r="L1144" s="26">
        <f>VLOOKUP(A1144,'[3]Price info'!A:D,4,FALSE)</f>
        <v>22.77</v>
      </c>
      <c r="M1144" s="18" t="s">
        <v>40</v>
      </c>
      <c r="N1144" s="20">
        <v>3105</v>
      </c>
      <c r="P1144" s="16">
        <f>VLOOKUP(A1144,'[3]Price info'!A:H,8,FALSE)</f>
        <v>22.77</v>
      </c>
      <c r="Q1144" s="33">
        <f t="shared" si="69"/>
        <v>1</v>
      </c>
      <c r="S1144" s="16" t="e">
        <f>VLOOKUP(A1144,[4]Sales!$E:$G,3,FALSE)</f>
        <v>#N/A</v>
      </c>
      <c r="T1144" s="19" t="e">
        <f>VLOOKUP(A1144,[4]Volume!$E:$G,3,FALSE)</f>
        <v>#N/A</v>
      </c>
      <c r="U1144" s="19" t="e">
        <f>VLOOKUP(A1144,[4]Piece!$E:$G,3,FALSE)</f>
        <v>#N/A</v>
      </c>
      <c r="V1144" s="21" t="e">
        <f t="shared" si="70"/>
        <v>#N/A</v>
      </c>
      <c r="W1144" s="16" t="e">
        <f t="shared" si="71"/>
        <v>#N/A</v>
      </c>
    </row>
    <row r="1145" spans="1:23" hidden="1" x14ac:dyDescent="0.3">
      <c r="A1145" s="61" t="s">
        <v>2285</v>
      </c>
      <c r="B1145" s="61" t="s">
        <v>2285</v>
      </c>
      <c r="C1145" s="23" t="s">
        <v>33</v>
      </c>
      <c r="D1145" s="20" t="s">
        <v>34</v>
      </c>
      <c r="E1145" s="22" t="s">
        <v>2286</v>
      </c>
      <c r="F1145" s="24" t="str">
        <f t="shared" si="68"/>
        <v>PPG - Leyland ANTI-CORROSIVE PRIMER - RD OX - 2.5l</v>
      </c>
      <c r="G1145" s="23" t="s">
        <v>6018</v>
      </c>
      <c r="H1145" s="25" t="s">
        <v>36</v>
      </c>
      <c r="I1145" s="18" t="s">
        <v>37</v>
      </c>
      <c r="J1145" s="18" t="s">
        <v>38</v>
      </c>
      <c r="K1145" t="s">
        <v>39</v>
      </c>
      <c r="L1145" s="26">
        <f>VLOOKUP(A1145,'[3]Price info'!A:D,4,FALSE)</f>
        <v>22.77</v>
      </c>
      <c r="M1145" s="18" t="s">
        <v>40</v>
      </c>
      <c r="N1145" s="20">
        <v>3105</v>
      </c>
      <c r="P1145" s="16">
        <f>VLOOKUP(A1145,'[3]Price info'!A:H,8,FALSE)</f>
        <v>22.77</v>
      </c>
      <c r="Q1145" s="33">
        <f t="shared" si="69"/>
        <v>1</v>
      </c>
      <c r="S1145" s="16" t="e">
        <f>VLOOKUP(A1145,[4]Sales!$E:$G,3,FALSE)</f>
        <v>#N/A</v>
      </c>
      <c r="T1145" s="19" t="e">
        <f>VLOOKUP(A1145,[4]Volume!$E:$G,3,FALSE)</f>
        <v>#N/A</v>
      </c>
      <c r="U1145" s="19" t="e">
        <f>VLOOKUP(A1145,[4]Piece!$E:$G,3,FALSE)</f>
        <v>#N/A</v>
      </c>
      <c r="V1145" s="21" t="e">
        <f t="shared" si="70"/>
        <v>#N/A</v>
      </c>
      <c r="W1145" s="16" t="e">
        <f t="shared" si="71"/>
        <v>#N/A</v>
      </c>
    </row>
    <row r="1146" spans="1:23" hidden="1" x14ac:dyDescent="0.3">
      <c r="A1146" s="61" t="s">
        <v>2287</v>
      </c>
      <c r="B1146" s="61" t="s">
        <v>2287</v>
      </c>
      <c r="C1146" s="23" t="s">
        <v>33</v>
      </c>
      <c r="D1146" s="20" t="s">
        <v>34</v>
      </c>
      <c r="E1146" s="22" t="s">
        <v>2288</v>
      </c>
      <c r="F1146" s="24" t="str">
        <f t="shared" si="68"/>
        <v>PPG - Leyland FLOOR PAINT - Yellow - 5ltr</v>
      </c>
      <c r="G1146" s="23" t="s">
        <v>6019</v>
      </c>
      <c r="H1146" s="25" t="s">
        <v>36</v>
      </c>
      <c r="I1146" s="18" t="s">
        <v>37</v>
      </c>
      <c r="J1146" s="18" t="s">
        <v>38</v>
      </c>
      <c r="K1146" t="s">
        <v>39</v>
      </c>
      <c r="L1146" s="26">
        <f>VLOOKUP(A1146,'[3]Price info'!A:D,4,FALSE)</f>
        <v>20.74</v>
      </c>
      <c r="M1146" s="18" t="s">
        <v>40</v>
      </c>
      <c r="N1146" s="20">
        <v>3105</v>
      </c>
      <c r="P1146" s="16">
        <f>VLOOKUP(A1146,'[3]Price info'!A:H,8,FALSE)</f>
        <v>20.74</v>
      </c>
      <c r="Q1146" s="33">
        <f t="shared" si="69"/>
        <v>1</v>
      </c>
      <c r="S1146" s="16" t="e">
        <f>VLOOKUP(A1146,[4]Sales!$E:$G,3,FALSE)</f>
        <v>#N/A</v>
      </c>
      <c r="T1146" s="19" t="e">
        <f>VLOOKUP(A1146,[4]Volume!$E:$G,3,FALSE)</f>
        <v>#N/A</v>
      </c>
      <c r="U1146" s="19" t="e">
        <f>VLOOKUP(A1146,[4]Piece!$E:$G,3,FALSE)</f>
        <v>#N/A</v>
      </c>
      <c r="V1146" s="21" t="e">
        <f t="shared" si="70"/>
        <v>#N/A</v>
      </c>
      <c r="W1146" s="16" t="e">
        <f t="shared" si="71"/>
        <v>#N/A</v>
      </c>
    </row>
    <row r="1147" spans="1:23" hidden="1" x14ac:dyDescent="0.3">
      <c r="A1147" s="61" t="s">
        <v>2289</v>
      </c>
      <c r="B1147" s="61" t="s">
        <v>2289</v>
      </c>
      <c r="C1147" s="23" t="s">
        <v>33</v>
      </c>
      <c r="D1147" s="20" t="s">
        <v>34</v>
      </c>
      <c r="E1147" s="22" t="s">
        <v>2290</v>
      </c>
      <c r="F1147" s="24" t="str">
        <f t="shared" si="68"/>
        <v>PPG - Leyland MDF PRIMER - White  - 750ml</v>
      </c>
      <c r="G1147" s="23" t="s">
        <v>6020</v>
      </c>
      <c r="H1147" s="25" t="s">
        <v>36</v>
      </c>
      <c r="I1147" s="18" t="s">
        <v>37</v>
      </c>
      <c r="J1147" s="18" t="s">
        <v>38</v>
      </c>
      <c r="K1147" t="s">
        <v>39</v>
      </c>
      <c r="L1147" s="26">
        <f>VLOOKUP(A1147,'[3]Price info'!A:D,4,FALSE)</f>
        <v>9.69</v>
      </c>
      <c r="M1147" s="18" t="s">
        <v>40</v>
      </c>
      <c r="N1147" s="20">
        <v>3105</v>
      </c>
      <c r="P1147" s="16">
        <f>VLOOKUP(A1147,'[3]Price info'!A:H,8,FALSE)</f>
        <v>9.69</v>
      </c>
      <c r="Q1147" s="33">
        <f t="shared" si="69"/>
        <v>1</v>
      </c>
      <c r="S1147" s="16" t="e">
        <f>VLOOKUP(A1147,[4]Sales!$E:$G,3,FALSE)</f>
        <v>#N/A</v>
      </c>
      <c r="T1147" s="19" t="e">
        <f>VLOOKUP(A1147,[4]Volume!$E:$G,3,FALSE)</f>
        <v>#N/A</v>
      </c>
      <c r="U1147" s="19" t="e">
        <f>VLOOKUP(A1147,[4]Piece!$E:$G,3,FALSE)</f>
        <v>#N/A</v>
      </c>
      <c r="V1147" s="21" t="e">
        <f t="shared" si="70"/>
        <v>#N/A</v>
      </c>
      <c r="W1147" s="16" t="e">
        <f t="shared" si="71"/>
        <v>#N/A</v>
      </c>
    </row>
    <row r="1148" spans="1:23" hidden="1" x14ac:dyDescent="0.3">
      <c r="A1148" s="61" t="s">
        <v>2291</v>
      </c>
      <c r="B1148" s="61" t="s">
        <v>2291</v>
      </c>
      <c r="C1148" s="23" t="s">
        <v>33</v>
      </c>
      <c r="D1148" s="20" t="s">
        <v>34</v>
      </c>
      <c r="E1148" s="22" t="s">
        <v>2292</v>
      </c>
      <c r="F1148" s="24" t="str">
        <f t="shared" si="68"/>
        <v>PPG - Leyland MDF PRIMER - White  - 2.5ltr</v>
      </c>
      <c r="G1148" s="23" t="s">
        <v>6021</v>
      </c>
      <c r="H1148" s="25" t="s">
        <v>36</v>
      </c>
      <c r="I1148" s="18" t="s">
        <v>37</v>
      </c>
      <c r="J1148" s="18" t="s">
        <v>38</v>
      </c>
      <c r="K1148" t="s">
        <v>39</v>
      </c>
      <c r="L1148" s="26">
        <f>VLOOKUP(A1148,'[3]Price info'!A:D,4,FALSE)</f>
        <v>22.05</v>
      </c>
      <c r="M1148" s="18" t="s">
        <v>40</v>
      </c>
      <c r="N1148" s="20">
        <v>3105</v>
      </c>
      <c r="P1148" s="16">
        <f>VLOOKUP(A1148,'[3]Price info'!A:H,8,FALSE)</f>
        <v>22.05</v>
      </c>
      <c r="Q1148" s="33">
        <f t="shared" si="69"/>
        <v>1</v>
      </c>
      <c r="S1148" s="16" t="e">
        <f>VLOOKUP(A1148,[4]Sales!$E:$G,3,FALSE)</f>
        <v>#N/A</v>
      </c>
      <c r="T1148" s="19" t="e">
        <f>VLOOKUP(A1148,[4]Volume!$E:$G,3,FALSE)</f>
        <v>#N/A</v>
      </c>
      <c r="U1148" s="19" t="e">
        <f>VLOOKUP(A1148,[4]Piece!$E:$G,3,FALSE)</f>
        <v>#N/A</v>
      </c>
      <c r="V1148" s="21" t="e">
        <f t="shared" si="70"/>
        <v>#N/A</v>
      </c>
      <c r="W1148" s="16" t="e">
        <f t="shared" si="71"/>
        <v>#N/A</v>
      </c>
    </row>
    <row r="1149" spans="1:23" hidden="1" x14ac:dyDescent="0.3">
      <c r="A1149" s="61" t="s">
        <v>2293</v>
      </c>
      <c r="B1149" s="61" t="s">
        <v>2293</v>
      </c>
      <c r="C1149" s="23" t="s">
        <v>33</v>
      </c>
      <c r="D1149" s="20" t="s">
        <v>34</v>
      </c>
      <c r="E1149" s="22" t="s">
        <v>2294</v>
      </c>
      <c r="F1149" s="24" t="str">
        <f t="shared" si="68"/>
        <v>PPG - Leyland ANTISLIP FLOOR - Slate - 5ltr</v>
      </c>
      <c r="G1149" s="23" t="s">
        <v>6022</v>
      </c>
      <c r="H1149" s="25" t="s">
        <v>36</v>
      </c>
      <c r="I1149" s="18" t="s">
        <v>37</v>
      </c>
      <c r="J1149" s="18" t="s">
        <v>38</v>
      </c>
      <c r="K1149" t="s">
        <v>39</v>
      </c>
      <c r="L1149" s="26">
        <f>VLOOKUP(A1149,'[3]Price info'!A:D,4,FALSE)</f>
        <v>62.49</v>
      </c>
      <c r="M1149" s="18" t="s">
        <v>40</v>
      </c>
      <c r="N1149" s="20">
        <v>3105</v>
      </c>
      <c r="P1149" s="16">
        <f>VLOOKUP(A1149,'[3]Price info'!A:H,8,FALSE)</f>
        <v>62.49</v>
      </c>
      <c r="Q1149" s="33">
        <f t="shared" si="69"/>
        <v>1</v>
      </c>
      <c r="S1149" s="16" t="e">
        <f>VLOOKUP(A1149,[4]Sales!$E:$G,3,FALSE)</f>
        <v>#N/A</v>
      </c>
      <c r="T1149" s="19" t="e">
        <f>VLOOKUP(A1149,[4]Volume!$E:$G,3,FALSE)</f>
        <v>#N/A</v>
      </c>
      <c r="U1149" s="19" t="e">
        <f>VLOOKUP(A1149,[4]Piece!$E:$G,3,FALSE)</f>
        <v>#N/A</v>
      </c>
      <c r="V1149" s="21" t="e">
        <f t="shared" si="70"/>
        <v>#N/A</v>
      </c>
      <c r="W1149" s="16" t="e">
        <f t="shared" si="71"/>
        <v>#N/A</v>
      </c>
    </row>
    <row r="1150" spans="1:23" hidden="1" x14ac:dyDescent="0.3">
      <c r="A1150" s="61" t="s">
        <v>2295</v>
      </c>
      <c r="B1150" s="61" t="s">
        <v>2295</v>
      </c>
      <c r="C1150" s="23" t="s">
        <v>33</v>
      </c>
      <c r="D1150" s="20" t="s">
        <v>34</v>
      </c>
      <c r="E1150" s="22" t="s">
        <v>2296</v>
      </c>
      <c r="F1150" s="24" t="str">
        <f t="shared" si="68"/>
        <v>PPG - Leyland ANTISLIP FLOOR - Tile Red - 5ltr</v>
      </c>
      <c r="G1150" s="23" t="s">
        <v>6023</v>
      </c>
      <c r="H1150" s="25" t="s">
        <v>36</v>
      </c>
      <c r="I1150" s="18" t="s">
        <v>37</v>
      </c>
      <c r="J1150" s="18" t="s">
        <v>38</v>
      </c>
      <c r="K1150" t="s">
        <v>39</v>
      </c>
      <c r="L1150" s="26">
        <f>VLOOKUP(A1150,'[3]Price info'!A:D,4,FALSE)</f>
        <v>62.49</v>
      </c>
      <c r="M1150" s="18" t="s">
        <v>40</v>
      </c>
      <c r="N1150" s="20">
        <v>3105</v>
      </c>
      <c r="P1150" s="16">
        <f>VLOOKUP(A1150,'[3]Price info'!A:H,8,FALSE)</f>
        <v>62.49</v>
      </c>
      <c r="Q1150" s="33">
        <f t="shared" si="69"/>
        <v>1</v>
      </c>
      <c r="S1150" s="16" t="e">
        <f>VLOOKUP(A1150,[4]Sales!$E:$G,3,FALSE)</f>
        <v>#N/A</v>
      </c>
      <c r="T1150" s="19" t="e">
        <f>VLOOKUP(A1150,[4]Volume!$E:$G,3,FALSE)</f>
        <v>#N/A</v>
      </c>
      <c r="U1150" s="19" t="e">
        <f>VLOOKUP(A1150,[4]Piece!$E:$G,3,FALSE)</f>
        <v>#N/A</v>
      </c>
      <c r="V1150" s="21" t="e">
        <f t="shared" si="70"/>
        <v>#N/A</v>
      </c>
      <c r="W1150" s="16" t="e">
        <f t="shared" si="71"/>
        <v>#N/A</v>
      </c>
    </row>
    <row r="1151" spans="1:23" hidden="1" x14ac:dyDescent="0.3">
      <c r="A1151" s="61" t="s">
        <v>2297</v>
      </c>
      <c r="B1151" s="61" t="s">
        <v>2297</v>
      </c>
      <c r="C1151" s="23" t="s">
        <v>33</v>
      </c>
      <c r="D1151" s="20" t="s">
        <v>34</v>
      </c>
      <c r="E1151" s="22" t="s">
        <v>2298</v>
      </c>
      <c r="F1151" s="24" t="str">
        <f t="shared" si="68"/>
        <v>PPG - Leyland DIRECT TO METAL - Black - 750ml</v>
      </c>
      <c r="G1151" s="23" t="s">
        <v>6024</v>
      </c>
      <c r="H1151" s="25" t="s">
        <v>36</v>
      </c>
      <c r="I1151" s="18" t="s">
        <v>37</v>
      </c>
      <c r="J1151" s="18" t="s">
        <v>38</v>
      </c>
      <c r="K1151" t="s">
        <v>39</v>
      </c>
      <c r="L1151" s="26">
        <f>VLOOKUP(A1151,'[3]Price info'!A:D,4,FALSE)</f>
        <v>20.34</v>
      </c>
      <c r="M1151" s="18" t="s">
        <v>40</v>
      </c>
      <c r="N1151" s="20">
        <v>3105</v>
      </c>
      <c r="P1151" s="16">
        <f>VLOOKUP(A1151,'[3]Price info'!A:H,8,FALSE)</f>
        <v>20.34</v>
      </c>
      <c r="Q1151" s="33">
        <f t="shared" si="69"/>
        <v>1</v>
      </c>
      <c r="S1151" s="16" t="e">
        <f>VLOOKUP(A1151,[4]Sales!$E:$G,3,FALSE)</f>
        <v>#N/A</v>
      </c>
      <c r="T1151" s="19" t="e">
        <f>VLOOKUP(A1151,[4]Volume!$E:$G,3,FALSE)</f>
        <v>#N/A</v>
      </c>
      <c r="U1151" s="19" t="e">
        <f>VLOOKUP(A1151,[4]Piece!$E:$G,3,FALSE)</f>
        <v>#N/A</v>
      </c>
      <c r="V1151" s="21" t="e">
        <f t="shared" si="70"/>
        <v>#N/A</v>
      </c>
      <c r="W1151" s="16" t="e">
        <f t="shared" si="71"/>
        <v>#N/A</v>
      </c>
    </row>
    <row r="1152" spans="1:23" hidden="1" x14ac:dyDescent="0.3">
      <c r="A1152" s="61" t="s">
        <v>2299</v>
      </c>
      <c r="B1152" s="61" t="s">
        <v>2299</v>
      </c>
      <c r="C1152" s="23" t="s">
        <v>33</v>
      </c>
      <c r="D1152" s="20" t="s">
        <v>34</v>
      </c>
      <c r="E1152" s="22" t="s">
        <v>2300</v>
      </c>
      <c r="F1152" s="24" t="str">
        <f t="shared" si="68"/>
        <v>PPG - Leyland DIRECT TO METAL - Black - 2.5ltr</v>
      </c>
      <c r="G1152" s="23" t="s">
        <v>6025</v>
      </c>
      <c r="H1152" s="25" t="s">
        <v>36</v>
      </c>
      <c r="I1152" s="18" t="s">
        <v>37</v>
      </c>
      <c r="J1152" s="18" t="s">
        <v>38</v>
      </c>
      <c r="K1152" t="s">
        <v>39</v>
      </c>
      <c r="L1152" s="26">
        <f>VLOOKUP(A1152,'[3]Price info'!A:D,4,FALSE)</f>
        <v>51.51</v>
      </c>
      <c r="M1152" s="18" t="s">
        <v>40</v>
      </c>
      <c r="N1152" s="20">
        <v>3105</v>
      </c>
      <c r="P1152" s="16">
        <f>VLOOKUP(A1152,'[3]Price info'!A:H,8,FALSE)</f>
        <v>51.51</v>
      </c>
      <c r="Q1152" s="33">
        <f t="shared" si="69"/>
        <v>1</v>
      </c>
      <c r="S1152" s="16" t="e">
        <f>VLOOKUP(A1152,[4]Sales!$E:$G,3,FALSE)</f>
        <v>#N/A</v>
      </c>
      <c r="T1152" s="19" t="e">
        <f>VLOOKUP(A1152,[4]Volume!$E:$G,3,FALSE)</f>
        <v>#N/A</v>
      </c>
      <c r="U1152" s="19" t="e">
        <f>VLOOKUP(A1152,[4]Piece!$E:$G,3,FALSE)</f>
        <v>#N/A</v>
      </c>
      <c r="V1152" s="21" t="e">
        <f t="shared" si="70"/>
        <v>#N/A</v>
      </c>
      <c r="W1152" s="16" t="e">
        <f t="shared" si="71"/>
        <v>#N/A</v>
      </c>
    </row>
    <row r="1153" spans="1:23" hidden="1" x14ac:dyDescent="0.3">
      <c r="A1153" s="61" t="s">
        <v>2301</v>
      </c>
      <c r="B1153" s="61" t="s">
        <v>2301</v>
      </c>
      <c r="C1153" s="23" t="s">
        <v>33</v>
      </c>
      <c r="D1153" s="20" t="s">
        <v>34</v>
      </c>
      <c r="E1153" s="22" t="s">
        <v>2302</v>
      </c>
      <c r="F1153" s="24" t="str">
        <f t="shared" si="68"/>
        <v>PPG - Leyland DIRECT TO METAL - Silver - 750ml</v>
      </c>
      <c r="G1153" s="23" t="s">
        <v>6026</v>
      </c>
      <c r="H1153" s="25" t="s">
        <v>36</v>
      </c>
      <c r="I1153" s="18" t="s">
        <v>37</v>
      </c>
      <c r="J1153" s="18" t="s">
        <v>38</v>
      </c>
      <c r="K1153" t="s">
        <v>39</v>
      </c>
      <c r="L1153" s="26">
        <f>VLOOKUP(A1153,'[3]Price info'!A:D,4,FALSE)</f>
        <v>20.34</v>
      </c>
      <c r="M1153" s="18" t="s">
        <v>40</v>
      </c>
      <c r="N1153" s="20">
        <v>3105</v>
      </c>
      <c r="P1153" s="16">
        <f>VLOOKUP(A1153,'[3]Price info'!A:H,8,FALSE)</f>
        <v>20.34</v>
      </c>
      <c r="Q1153" s="33">
        <f t="shared" si="69"/>
        <v>1</v>
      </c>
      <c r="S1153" s="16" t="e">
        <f>VLOOKUP(A1153,[4]Sales!$E:$G,3,FALSE)</f>
        <v>#N/A</v>
      </c>
      <c r="T1153" s="19" t="e">
        <f>VLOOKUP(A1153,[4]Volume!$E:$G,3,FALSE)</f>
        <v>#N/A</v>
      </c>
      <c r="U1153" s="19" t="e">
        <f>VLOOKUP(A1153,[4]Piece!$E:$G,3,FALSE)</f>
        <v>#N/A</v>
      </c>
      <c r="V1153" s="21" t="e">
        <f t="shared" si="70"/>
        <v>#N/A</v>
      </c>
      <c r="W1153" s="16" t="e">
        <f t="shared" si="71"/>
        <v>#N/A</v>
      </c>
    </row>
    <row r="1154" spans="1:23" hidden="1" x14ac:dyDescent="0.3">
      <c r="A1154" s="61" t="s">
        <v>2303</v>
      </c>
      <c r="B1154" s="61" t="s">
        <v>2303</v>
      </c>
      <c r="C1154" s="23" t="s">
        <v>33</v>
      </c>
      <c r="D1154" s="20" t="s">
        <v>34</v>
      </c>
      <c r="E1154" s="22" t="s">
        <v>2304</v>
      </c>
      <c r="F1154" s="24" t="str">
        <f t="shared" si="68"/>
        <v>PPG - Leyland DIRECT TO METAL - White - 750ml</v>
      </c>
      <c r="G1154" s="23" t="s">
        <v>6027</v>
      </c>
      <c r="H1154" s="25" t="s">
        <v>36</v>
      </c>
      <c r="I1154" s="18" t="s">
        <v>37</v>
      </c>
      <c r="J1154" s="18" t="s">
        <v>38</v>
      </c>
      <c r="K1154" t="s">
        <v>39</v>
      </c>
      <c r="L1154" s="26">
        <f>VLOOKUP(A1154,'[3]Price info'!A:D,4,FALSE)</f>
        <v>19.07</v>
      </c>
      <c r="M1154" s="18" t="s">
        <v>40</v>
      </c>
      <c r="N1154" s="20">
        <v>3105</v>
      </c>
      <c r="P1154" s="16">
        <f>VLOOKUP(A1154,'[3]Price info'!A:H,8,FALSE)</f>
        <v>19.07</v>
      </c>
      <c r="Q1154" s="33">
        <f t="shared" si="69"/>
        <v>1</v>
      </c>
      <c r="S1154" s="16" t="e">
        <f>VLOOKUP(A1154,[4]Sales!$E:$G,3,FALSE)</f>
        <v>#N/A</v>
      </c>
      <c r="T1154" s="19" t="e">
        <f>VLOOKUP(A1154,[4]Volume!$E:$G,3,FALSE)</f>
        <v>#N/A</v>
      </c>
      <c r="U1154" s="19" t="e">
        <f>VLOOKUP(A1154,[4]Piece!$E:$G,3,FALSE)</f>
        <v>#N/A</v>
      </c>
      <c r="V1154" s="21" t="e">
        <f t="shared" si="70"/>
        <v>#N/A</v>
      </c>
      <c r="W1154" s="16" t="e">
        <f t="shared" si="71"/>
        <v>#N/A</v>
      </c>
    </row>
    <row r="1155" spans="1:23" hidden="1" x14ac:dyDescent="0.3">
      <c r="A1155" s="61" t="s">
        <v>2305</v>
      </c>
      <c r="B1155" s="61" t="s">
        <v>2305</v>
      </c>
      <c r="C1155" s="23" t="s">
        <v>33</v>
      </c>
      <c r="D1155" s="20" t="s">
        <v>34</v>
      </c>
      <c r="E1155" s="22" t="s">
        <v>2306</v>
      </c>
      <c r="F1155" s="24" t="str">
        <f t="shared" ref="F1155:F1218" si="72">D1155&amp;" - "&amp;E1155</f>
        <v>PPG - Leyland HARDWEARING MATT - Mix - 2.5ltr</v>
      </c>
      <c r="G1155" s="23" t="s">
        <v>6028</v>
      </c>
      <c r="H1155" s="25" t="s">
        <v>36</v>
      </c>
      <c r="I1155" s="18" t="s">
        <v>37</v>
      </c>
      <c r="J1155" s="18" t="s">
        <v>38</v>
      </c>
      <c r="K1155" t="s">
        <v>39</v>
      </c>
      <c r="L1155" s="26">
        <f>VLOOKUP(A1155,'[3]Price info'!A:D,4,FALSE)</f>
        <v>25.73</v>
      </c>
      <c r="M1155" s="18" t="s">
        <v>40</v>
      </c>
      <c r="N1155" s="20">
        <v>3105</v>
      </c>
      <c r="P1155" s="16">
        <f>VLOOKUP(A1155,'[3]Price info'!A:H,8,FALSE)</f>
        <v>9.8820000000000014</v>
      </c>
      <c r="Q1155" s="33">
        <f t="shared" ref="Q1155:Q1218" si="73">P1155/L1155</f>
        <v>0.38406529343179174</v>
      </c>
      <c r="S1155" s="16" t="e">
        <f>VLOOKUP(A1155,[4]Sales!$E:$G,3,FALSE)</f>
        <v>#N/A</v>
      </c>
      <c r="T1155" s="19" t="e">
        <f>VLOOKUP(A1155,[4]Volume!$E:$G,3,FALSE)</f>
        <v>#N/A</v>
      </c>
      <c r="U1155" s="19" t="e">
        <f>VLOOKUP(A1155,[4]Piece!$E:$G,3,FALSE)</f>
        <v>#N/A</v>
      </c>
      <c r="V1155" s="21" t="e">
        <f t="shared" ref="V1155:V1218" si="74">U1155*P1155</f>
        <v>#N/A</v>
      </c>
      <c r="W1155" s="16" t="e">
        <f t="shared" ref="W1155:W1218" si="75">V1155-S1155</f>
        <v>#N/A</v>
      </c>
    </row>
    <row r="1156" spans="1:23" hidden="1" x14ac:dyDescent="0.3">
      <c r="A1156" s="61" t="s">
        <v>2307</v>
      </c>
      <c r="B1156" s="61" t="s">
        <v>2307</v>
      </c>
      <c r="C1156" s="23" t="s">
        <v>33</v>
      </c>
      <c r="D1156" s="20" t="s">
        <v>34</v>
      </c>
      <c r="E1156" s="22" t="s">
        <v>2308</v>
      </c>
      <c r="F1156" s="24" t="str">
        <f t="shared" si="72"/>
        <v>PPG - Leyland HARDWEARING MATT - Mix - 10ltr</v>
      </c>
      <c r="G1156" s="23" t="s">
        <v>6029</v>
      </c>
      <c r="H1156" s="25" t="s">
        <v>36</v>
      </c>
      <c r="I1156" s="18" t="s">
        <v>37</v>
      </c>
      <c r="J1156" s="18" t="s">
        <v>38</v>
      </c>
      <c r="K1156" t="s">
        <v>39</v>
      </c>
      <c r="L1156" s="26">
        <f>VLOOKUP(A1156,'[3]Price info'!A:D,4,FALSE)</f>
        <v>77.97</v>
      </c>
      <c r="M1156" s="18" t="s">
        <v>40</v>
      </c>
      <c r="N1156" s="20">
        <v>3105</v>
      </c>
      <c r="P1156" s="16">
        <f>VLOOKUP(A1156,'[3]Price info'!A:H,8,FALSE)</f>
        <v>31.293000000000003</v>
      </c>
      <c r="Q1156" s="33">
        <f t="shared" si="73"/>
        <v>0.40134667179684497</v>
      </c>
      <c r="S1156" s="16" t="e">
        <f>VLOOKUP(A1156,[4]Sales!$E:$G,3,FALSE)</f>
        <v>#N/A</v>
      </c>
      <c r="T1156" s="19" t="e">
        <f>VLOOKUP(A1156,[4]Volume!$E:$G,3,FALSE)</f>
        <v>#N/A</v>
      </c>
      <c r="U1156" s="19" t="e">
        <f>VLOOKUP(A1156,[4]Piece!$E:$G,3,FALSE)</f>
        <v>#N/A</v>
      </c>
      <c r="V1156" s="21" t="e">
        <f t="shared" si="74"/>
        <v>#N/A</v>
      </c>
      <c r="W1156" s="16" t="e">
        <f t="shared" si="75"/>
        <v>#N/A</v>
      </c>
    </row>
    <row r="1157" spans="1:23" hidden="1" x14ac:dyDescent="0.3">
      <c r="A1157" s="61" t="s">
        <v>2309</v>
      </c>
      <c r="B1157" s="61" t="s">
        <v>2309</v>
      </c>
      <c r="C1157" s="23" t="s">
        <v>33</v>
      </c>
      <c r="D1157" s="20" t="s">
        <v>34</v>
      </c>
      <c r="E1157" s="22" t="s">
        <v>2310</v>
      </c>
      <c r="F1157" s="24" t="str">
        <f t="shared" si="72"/>
        <v>PPG - Johnstones  AIRPURE - Mix - 5ltr</v>
      </c>
      <c r="G1157" s="23" t="s">
        <v>6030</v>
      </c>
      <c r="H1157" s="25" t="s">
        <v>36</v>
      </c>
      <c r="I1157" s="18" t="s">
        <v>37</v>
      </c>
      <c r="J1157" s="18" t="s">
        <v>38</v>
      </c>
      <c r="K1157" t="s">
        <v>39</v>
      </c>
      <c r="L1157" s="26">
        <f>VLOOKUP(A1157,'[3]Price info'!A:D,4,FALSE)</f>
        <v>112.45</v>
      </c>
      <c r="M1157" s="18" t="s">
        <v>40</v>
      </c>
      <c r="N1157" s="20">
        <v>3105</v>
      </c>
      <c r="P1157" s="16">
        <f>VLOOKUP(A1157,'[3]Price info'!A:H,8,FALSE)</f>
        <v>112.45</v>
      </c>
      <c r="Q1157" s="33">
        <f t="shared" si="73"/>
        <v>1</v>
      </c>
      <c r="S1157" s="16" t="e">
        <f>VLOOKUP(A1157,[4]Sales!$E:$G,3,FALSE)</f>
        <v>#N/A</v>
      </c>
      <c r="T1157" s="19" t="e">
        <f>VLOOKUP(A1157,[4]Volume!$E:$G,3,FALSE)</f>
        <v>#N/A</v>
      </c>
      <c r="U1157" s="19" t="e">
        <f>VLOOKUP(A1157,[4]Piece!$E:$G,3,FALSE)</f>
        <v>#N/A</v>
      </c>
      <c r="V1157" s="21" t="e">
        <f t="shared" si="74"/>
        <v>#N/A</v>
      </c>
      <c r="W1157" s="16" t="e">
        <f t="shared" si="75"/>
        <v>#N/A</v>
      </c>
    </row>
    <row r="1158" spans="1:23" hidden="1" x14ac:dyDescent="0.3">
      <c r="A1158" s="61" t="s">
        <v>2311</v>
      </c>
      <c r="B1158" s="61" t="s">
        <v>2311</v>
      </c>
      <c r="C1158" s="23" t="s">
        <v>33</v>
      </c>
      <c r="D1158" s="20" t="s">
        <v>34</v>
      </c>
      <c r="E1158" s="22" t="s">
        <v>2312</v>
      </c>
      <c r="F1158" s="24" t="str">
        <f t="shared" si="72"/>
        <v>PPG - Johnstones  AIRPURE - Brilliant White - 5ltr</v>
      </c>
      <c r="G1158" s="23" t="s">
        <v>6031</v>
      </c>
      <c r="H1158" s="25" t="s">
        <v>36</v>
      </c>
      <c r="I1158" s="18" t="s">
        <v>37</v>
      </c>
      <c r="J1158" s="18" t="s">
        <v>38</v>
      </c>
      <c r="K1158" t="s">
        <v>39</v>
      </c>
      <c r="L1158" s="26">
        <f>VLOOKUP(A1158,'[3]Price info'!A:D,4,FALSE)</f>
        <v>80.38</v>
      </c>
      <c r="M1158" s="18" t="s">
        <v>40</v>
      </c>
      <c r="N1158" s="20">
        <v>3105</v>
      </c>
      <c r="P1158" s="16">
        <f>VLOOKUP(A1158,'[3]Price info'!A:H,8,FALSE)</f>
        <v>80.38</v>
      </c>
      <c r="Q1158" s="33">
        <f t="shared" si="73"/>
        <v>1</v>
      </c>
      <c r="S1158" s="16" t="e">
        <f>VLOOKUP(A1158,[4]Sales!$E:$G,3,FALSE)</f>
        <v>#N/A</v>
      </c>
      <c r="T1158" s="19" t="e">
        <f>VLOOKUP(A1158,[4]Volume!$E:$G,3,FALSE)</f>
        <v>#N/A</v>
      </c>
      <c r="U1158" s="19" t="e">
        <f>VLOOKUP(A1158,[4]Piece!$E:$G,3,FALSE)</f>
        <v>#N/A</v>
      </c>
      <c r="V1158" s="21" t="e">
        <f t="shared" si="74"/>
        <v>#N/A</v>
      </c>
      <c r="W1158" s="16" t="e">
        <f t="shared" si="75"/>
        <v>#N/A</v>
      </c>
    </row>
    <row r="1159" spans="1:23" hidden="1" x14ac:dyDescent="0.3">
      <c r="A1159" s="61" t="s">
        <v>2313</v>
      </c>
      <c r="B1159" s="61" t="s">
        <v>2313</v>
      </c>
      <c r="C1159" s="23" t="s">
        <v>33</v>
      </c>
      <c r="D1159" s="20" t="s">
        <v>34</v>
      </c>
      <c r="E1159" s="22" t="s">
        <v>118</v>
      </c>
      <c r="F1159" s="24" t="str">
        <f t="shared" si="72"/>
        <v>PPG - Stormshield SMOOTH MASONRY - Antique - 5ltr</v>
      </c>
      <c r="G1159" s="23" t="s">
        <v>4937</v>
      </c>
      <c r="H1159" s="25" t="s">
        <v>36</v>
      </c>
      <c r="I1159" s="18" t="s">
        <v>37</v>
      </c>
      <c r="J1159" s="18" t="s">
        <v>38</v>
      </c>
      <c r="K1159" t="s">
        <v>39</v>
      </c>
      <c r="L1159" s="26">
        <f>VLOOKUP(A1159,'[3]Price info'!A:D,4,FALSE)</f>
        <v>17.84</v>
      </c>
      <c r="M1159" s="18" t="s">
        <v>40</v>
      </c>
      <c r="N1159" s="20">
        <v>3105</v>
      </c>
      <c r="P1159" s="16">
        <f>VLOOKUP(A1159,'[3]Price info'!A:H,8,FALSE)</f>
        <v>17.84</v>
      </c>
      <c r="Q1159" s="33">
        <f t="shared" si="73"/>
        <v>1</v>
      </c>
      <c r="S1159" s="16" t="e">
        <f>VLOOKUP(A1159,[4]Sales!$E:$G,3,FALSE)</f>
        <v>#N/A</v>
      </c>
      <c r="T1159" s="19" t="e">
        <f>VLOOKUP(A1159,[4]Volume!$E:$G,3,FALSE)</f>
        <v>#N/A</v>
      </c>
      <c r="U1159" s="19" t="e">
        <f>VLOOKUP(A1159,[4]Piece!$E:$G,3,FALSE)</f>
        <v>#N/A</v>
      </c>
      <c r="V1159" s="21" t="e">
        <f t="shared" si="74"/>
        <v>#N/A</v>
      </c>
      <c r="W1159" s="16" t="e">
        <f t="shared" si="75"/>
        <v>#N/A</v>
      </c>
    </row>
    <row r="1160" spans="1:23" hidden="1" x14ac:dyDescent="0.3">
      <c r="A1160" s="61" t="s">
        <v>2314</v>
      </c>
      <c r="B1160" s="61" t="s">
        <v>2314</v>
      </c>
      <c r="C1160" s="23" t="s">
        <v>33</v>
      </c>
      <c r="D1160" s="20" t="s">
        <v>34</v>
      </c>
      <c r="E1160" s="22" t="s">
        <v>2315</v>
      </c>
      <c r="F1160" s="24" t="str">
        <f t="shared" si="72"/>
        <v>PPG - Stormshield SMOOTH MASONRY - Ivory - 5ltr</v>
      </c>
      <c r="G1160" s="23" t="s">
        <v>6032</v>
      </c>
      <c r="H1160" s="25" t="s">
        <v>36</v>
      </c>
      <c r="I1160" s="18" t="s">
        <v>37</v>
      </c>
      <c r="J1160" s="18" t="s">
        <v>38</v>
      </c>
      <c r="K1160" t="s">
        <v>39</v>
      </c>
      <c r="L1160" s="26">
        <f>VLOOKUP(A1160,'[3]Price info'!A:D,4,FALSE)</f>
        <v>17.84</v>
      </c>
      <c r="M1160" s="18" t="s">
        <v>40</v>
      </c>
      <c r="N1160" s="20">
        <v>3105</v>
      </c>
      <c r="P1160" s="16">
        <f>VLOOKUP(A1160,'[3]Price info'!A:H,8,FALSE)</f>
        <v>17.84</v>
      </c>
      <c r="Q1160" s="33">
        <f t="shared" si="73"/>
        <v>1</v>
      </c>
      <c r="S1160" s="16" t="e">
        <f>VLOOKUP(A1160,[4]Sales!$E:$G,3,FALSE)</f>
        <v>#N/A</v>
      </c>
      <c r="T1160" s="19" t="e">
        <f>VLOOKUP(A1160,[4]Volume!$E:$G,3,FALSE)</f>
        <v>#N/A</v>
      </c>
      <c r="U1160" s="19" t="e">
        <f>VLOOKUP(A1160,[4]Piece!$E:$G,3,FALSE)</f>
        <v>#N/A</v>
      </c>
      <c r="V1160" s="21" t="e">
        <f t="shared" si="74"/>
        <v>#N/A</v>
      </c>
      <c r="W1160" s="16" t="e">
        <f t="shared" si="75"/>
        <v>#N/A</v>
      </c>
    </row>
    <row r="1161" spans="1:23" hidden="1" x14ac:dyDescent="0.3">
      <c r="A1161" s="61" t="s">
        <v>2316</v>
      </c>
      <c r="B1161" s="61" t="s">
        <v>2316</v>
      </c>
      <c r="C1161" s="23" t="s">
        <v>33</v>
      </c>
      <c r="D1161" s="20" t="s">
        <v>34</v>
      </c>
      <c r="E1161" s="22" t="s">
        <v>2317</v>
      </c>
      <c r="F1161" s="24" t="str">
        <f t="shared" si="72"/>
        <v>PPG - Leyland SMART MULTI-SURFACE - BW - 750ml</v>
      </c>
      <c r="G1161" s="23" t="s">
        <v>6033</v>
      </c>
      <c r="H1161" s="25" t="s">
        <v>36</v>
      </c>
      <c r="I1161" s="18" t="s">
        <v>37</v>
      </c>
      <c r="J1161" s="18" t="s">
        <v>38</v>
      </c>
      <c r="K1161" t="s">
        <v>39</v>
      </c>
      <c r="L1161" s="26">
        <f>VLOOKUP(A1161,'[3]Price info'!A:D,4,FALSE)</f>
        <v>10.77</v>
      </c>
      <c r="M1161" s="18" t="s">
        <v>40</v>
      </c>
      <c r="N1161" s="20">
        <v>3105</v>
      </c>
      <c r="P1161" s="16">
        <f>VLOOKUP(A1161,'[3]Price info'!A:H,8,FALSE)</f>
        <v>10.77</v>
      </c>
      <c r="Q1161" s="33">
        <f t="shared" si="73"/>
        <v>1</v>
      </c>
      <c r="S1161" s="16" t="e">
        <f>VLOOKUP(A1161,[4]Sales!$E:$G,3,FALSE)</f>
        <v>#N/A</v>
      </c>
      <c r="T1161" s="19" t="e">
        <f>VLOOKUP(A1161,[4]Volume!$E:$G,3,FALSE)</f>
        <v>#N/A</v>
      </c>
      <c r="U1161" s="19" t="e">
        <f>VLOOKUP(A1161,[4]Piece!$E:$G,3,FALSE)</f>
        <v>#N/A</v>
      </c>
      <c r="V1161" s="21" t="e">
        <f t="shared" si="74"/>
        <v>#N/A</v>
      </c>
      <c r="W1161" s="16" t="e">
        <f t="shared" si="75"/>
        <v>#N/A</v>
      </c>
    </row>
    <row r="1162" spans="1:23" hidden="1" x14ac:dyDescent="0.3">
      <c r="A1162" s="61" t="s">
        <v>2318</v>
      </c>
      <c r="B1162" s="61" t="s">
        <v>2318</v>
      </c>
      <c r="C1162" s="23" t="s">
        <v>33</v>
      </c>
      <c r="D1162" s="20" t="s">
        <v>34</v>
      </c>
      <c r="E1162" s="22" t="s">
        <v>2319</v>
      </c>
      <c r="F1162" s="24" t="str">
        <f t="shared" si="72"/>
        <v>PPG - Leyland SMART MULTI-SURFACE - Mag - 750ml</v>
      </c>
      <c r="G1162" s="23" t="s">
        <v>6034</v>
      </c>
      <c r="H1162" s="25" t="s">
        <v>36</v>
      </c>
      <c r="I1162" s="18" t="s">
        <v>37</v>
      </c>
      <c r="J1162" s="18" t="s">
        <v>38</v>
      </c>
      <c r="K1162" t="s">
        <v>39</v>
      </c>
      <c r="L1162" s="26">
        <f>VLOOKUP(A1162,'[3]Price info'!A:D,4,FALSE)</f>
        <v>10.77</v>
      </c>
      <c r="M1162" s="18" t="s">
        <v>40</v>
      </c>
      <c r="N1162" s="20">
        <v>3105</v>
      </c>
      <c r="P1162" s="16">
        <f>VLOOKUP(A1162,'[3]Price info'!A:H,8,FALSE)</f>
        <v>10.77</v>
      </c>
      <c r="Q1162" s="33">
        <f t="shared" si="73"/>
        <v>1</v>
      </c>
      <c r="S1162" s="16" t="e">
        <f>VLOOKUP(A1162,[4]Sales!$E:$G,3,FALSE)</f>
        <v>#N/A</v>
      </c>
      <c r="T1162" s="19" t="e">
        <f>VLOOKUP(A1162,[4]Volume!$E:$G,3,FALSE)</f>
        <v>#N/A</v>
      </c>
      <c r="U1162" s="19" t="e">
        <f>VLOOKUP(A1162,[4]Piece!$E:$G,3,FALSE)</f>
        <v>#N/A</v>
      </c>
      <c r="V1162" s="21" t="e">
        <f t="shared" si="74"/>
        <v>#N/A</v>
      </c>
      <c r="W1162" s="16" t="e">
        <f t="shared" si="75"/>
        <v>#N/A</v>
      </c>
    </row>
    <row r="1163" spans="1:23" hidden="1" x14ac:dyDescent="0.3">
      <c r="A1163" s="61" t="s">
        <v>2320</v>
      </c>
      <c r="B1163" s="61" t="s">
        <v>2320</v>
      </c>
      <c r="C1163" s="23" t="s">
        <v>33</v>
      </c>
      <c r="D1163" s="20" t="s">
        <v>34</v>
      </c>
      <c r="E1163" s="22" t="s">
        <v>2321</v>
      </c>
      <c r="F1163" s="24" t="str">
        <f t="shared" si="72"/>
        <v>PPG - Leyland SMART MULTI-SURFACE - Black - 750ml</v>
      </c>
      <c r="G1163" s="23" t="s">
        <v>6035</v>
      </c>
      <c r="H1163" s="25" t="s">
        <v>36</v>
      </c>
      <c r="I1163" s="18" t="s">
        <v>37</v>
      </c>
      <c r="J1163" s="18" t="s">
        <v>38</v>
      </c>
      <c r="K1163" t="s">
        <v>39</v>
      </c>
      <c r="L1163" s="26">
        <f>VLOOKUP(A1163,'[3]Price info'!A:D,4,FALSE)</f>
        <v>11.84</v>
      </c>
      <c r="M1163" s="18" t="s">
        <v>40</v>
      </c>
      <c r="N1163" s="20">
        <v>3105</v>
      </c>
      <c r="P1163" s="16">
        <f>VLOOKUP(A1163,'[3]Price info'!A:H,8,FALSE)</f>
        <v>11.84</v>
      </c>
      <c r="Q1163" s="33">
        <f t="shared" si="73"/>
        <v>1</v>
      </c>
      <c r="S1163" s="16" t="e">
        <f>VLOOKUP(A1163,[4]Sales!$E:$G,3,FALSE)</f>
        <v>#N/A</v>
      </c>
      <c r="T1163" s="19" t="e">
        <f>VLOOKUP(A1163,[4]Volume!$E:$G,3,FALSE)</f>
        <v>#N/A</v>
      </c>
      <c r="U1163" s="19" t="e">
        <f>VLOOKUP(A1163,[4]Piece!$E:$G,3,FALSE)</f>
        <v>#N/A</v>
      </c>
      <c r="V1163" s="21" t="e">
        <f t="shared" si="74"/>
        <v>#N/A</v>
      </c>
      <c r="W1163" s="16" t="e">
        <f t="shared" si="75"/>
        <v>#N/A</v>
      </c>
    </row>
    <row r="1164" spans="1:23" hidden="1" x14ac:dyDescent="0.3">
      <c r="A1164" s="61" t="s">
        <v>2322</v>
      </c>
      <c r="B1164" s="61" t="s">
        <v>2322</v>
      </c>
      <c r="C1164" s="23" t="s">
        <v>33</v>
      </c>
      <c r="D1164" s="20" t="s">
        <v>34</v>
      </c>
      <c r="E1164" s="22" t="s">
        <v>2323</v>
      </c>
      <c r="F1164" s="24" t="str">
        <f t="shared" si="72"/>
        <v>PPG - Leyland SMART MULTI-SURFACE - LT GRY - 750ml</v>
      </c>
      <c r="G1164" s="23" t="s">
        <v>6036</v>
      </c>
      <c r="H1164" s="25" t="s">
        <v>36</v>
      </c>
      <c r="I1164" s="18" t="s">
        <v>37</v>
      </c>
      <c r="J1164" s="18" t="s">
        <v>38</v>
      </c>
      <c r="K1164" t="s">
        <v>39</v>
      </c>
      <c r="L1164" s="26">
        <f>VLOOKUP(A1164,'[3]Price info'!A:D,4,FALSE)</f>
        <v>11.84</v>
      </c>
      <c r="M1164" s="18" t="s">
        <v>40</v>
      </c>
      <c r="N1164" s="20">
        <v>3105</v>
      </c>
      <c r="P1164" s="16">
        <f>VLOOKUP(A1164,'[3]Price info'!A:H,8,FALSE)</f>
        <v>11.84</v>
      </c>
      <c r="Q1164" s="33">
        <f t="shared" si="73"/>
        <v>1</v>
      </c>
      <c r="S1164" s="16" t="e">
        <f>VLOOKUP(A1164,[4]Sales!$E:$G,3,FALSE)</f>
        <v>#N/A</v>
      </c>
      <c r="T1164" s="19" t="e">
        <f>VLOOKUP(A1164,[4]Volume!$E:$G,3,FALSE)</f>
        <v>#N/A</v>
      </c>
      <c r="U1164" s="19" t="e">
        <f>VLOOKUP(A1164,[4]Piece!$E:$G,3,FALSE)</f>
        <v>#N/A</v>
      </c>
      <c r="V1164" s="21" t="e">
        <f t="shared" si="74"/>
        <v>#N/A</v>
      </c>
      <c r="W1164" s="16" t="e">
        <f t="shared" si="75"/>
        <v>#N/A</v>
      </c>
    </row>
    <row r="1165" spans="1:23" hidden="1" x14ac:dyDescent="0.3">
      <c r="A1165" s="61" t="s">
        <v>2324</v>
      </c>
      <c r="B1165" s="61" t="s">
        <v>2324</v>
      </c>
      <c r="C1165" s="23" t="s">
        <v>33</v>
      </c>
      <c r="D1165" s="20" t="s">
        <v>34</v>
      </c>
      <c r="E1165" s="22" t="s">
        <v>2325</v>
      </c>
      <c r="F1165" s="24" t="str">
        <f t="shared" si="72"/>
        <v>PPG - Leyland SMART MULTI-SURFACE - Of Whi - 750ml</v>
      </c>
      <c r="G1165" s="23" t="s">
        <v>6037</v>
      </c>
      <c r="H1165" s="25" t="s">
        <v>36</v>
      </c>
      <c r="I1165" s="18" t="s">
        <v>37</v>
      </c>
      <c r="J1165" s="18" t="s">
        <v>38</v>
      </c>
      <c r="K1165" t="s">
        <v>39</v>
      </c>
      <c r="L1165" s="26">
        <f>VLOOKUP(A1165,'[3]Price info'!A:D,4,FALSE)</f>
        <v>11.84</v>
      </c>
      <c r="M1165" s="18" t="s">
        <v>40</v>
      </c>
      <c r="N1165" s="20">
        <v>3105</v>
      </c>
      <c r="P1165" s="16">
        <f>VLOOKUP(A1165,'[3]Price info'!A:H,8,FALSE)</f>
        <v>11.84</v>
      </c>
      <c r="Q1165" s="33">
        <f t="shared" si="73"/>
        <v>1</v>
      </c>
      <c r="S1165" s="16" t="e">
        <f>VLOOKUP(A1165,[4]Sales!$E:$G,3,FALSE)</f>
        <v>#N/A</v>
      </c>
      <c r="T1165" s="19" t="e">
        <f>VLOOKUP(A1165,[4]Volume!$E:$G,3,FALSE)</f>
        <v>#N/A</v>
      </c>
      <c r="U1165" s="19" t="e">
        <f>VLOOKUP(A1165,[4]Piece!$E:$G,3,FALSE)</f>
        <v>#N/A</v>
      </c>
      <c r="V1165" s="21" t="e">
        <f t="shared" si="74"/>
        <v>#N/A</v>
      </c>
      <c r="W1165" s="16" t="e">
        <f t="shared" si="75"/>
        <v>#N/A</v>
      </c>
    </row>
    <row r="1166" spans="1:23" hidden="1" x14ac:dyDescent="0.3">
      <c r="A1166" s="61" t="s">
        <v>2326</v>
      </c>
      <c r="B1166" s="61" t="s">
        <v>2326</v>
      </c>
      <c r="C1166" s="23" t="s">
        <v>33</v>
      </c>
      <c r="D1166" s="20" t="s">
        <v>34</v>
      </c>
      <c r="E1166" s="22" t="s">
        <v>2327</v>
      </c>
      <c r="F1166" s="24" t="str">
        <f t="shared" si="72"/>
        <v>PPG - Leyland SMART MULTI-SURFACE - BW - 2.5ltr</v>
      </c>
      <c r="G1166" s="23" t="s">
        <v>6038</v>
      </c>
      <c r="H1166" s="25" t="s">
        <v>36</v>
      </c>
      <c r="I1166" s="18" t="s">
        <v>37</v>
      </c>
      <c r="J1166" s="18" t="s">
        <v>38</v>
      </c>
      <c r="K1166" t="s">
        <v>39</v>
      </c>
      <c r="L1166" s="26">
        <f>VLOOKUP(A1166,'[3]Price info'!A:D,4,FALSE)</f>
        <v>21.88</v>
      </c>
      <c r="M1166" s="18" t="s">
        <v>40</v>
      </c>
      <c r="N1166" s="20">
        <v>3105</v>
      </c>
      <c r="P1166" s="16">
        <f>VLOOKUP(A1166,'[3]Price info'!A:H,8,FALSE)</f>
        <v>21.88</v>
      </c>
      <c r="Q1166" s="33">
        <f t="shared" si="73"/>
        <v>1</v>
      </c>
      <c r="S1166" s="16" t="e">
        <f>VLOOKUP(A1166,[4]Sales!$E:$G,3,FALSE)</f>
        <v>#N/A</v>
      </c>
      <c r="T1166" s="19" t="e">
        <f>VLOOKUP(A1166,[4]Volume!$E:$G,3,FALSE)</f>
        <v>#N/A</v>
      </c>
      <c r="U1166" s="19" t="e">
        <f>VLOOKUP(A1166,[4]Piece!$E:$G,3,FALSE)</f>
        <v>#N/A</v>
      </c>
      <c r="V1166" s="21" t="e">
        <f t="shared" si="74"/>
        <v>#N/A</v>
      </c>
      <c r="W1166" s="16" t="e">
        <f t="shared" si="75"/>
        <v>#N/A</v>
      </c>
    </row>
    <row r="1167" spans="1:23" hidden="1" x14ac:dyDescent="0.3">
      <c r="A1167" s="61" t="s">
        <v>2328</v>
      </c>
      <c r="B1167" s="61" t="s">
        <v>2328</v>
      </c>
      <c r="C1167" s="23" t="s">
        <v>33</v>
      </c>
      <c r="D1167" s="20" t="s">
        <v>34</v>
      </c>
      <c r="E1167" s="22" t="s">
        <v>2329</v>
      </c>
      <c r="F1167" s="24" t="str">
        <f t="shared" si="72"/>
        <v>PPG - Leyland SMART MULTI-SURFACE - Mag - 2.5ltr</v>
      </c>
      <c r="G1167" s="23" t="s">
        <v>6039</v>
      </c>
      <c r="H1167" s="25" t="s">
        <v>36</v>
      </c>
      <c r="I1167" s="18" t="s">
        <v>37</v>
      </c>
      <c r="J1167" s="18" t="s">
        <v>38</v>
      </c>
      <c r="K1167" t="s">
        <v>39</v>
      </c>
      <c r="L1167" s="26">
        <f>VLOOKUP(A1167,'[3]Price info'!A:D,4,FALSE)</f>
        <v>21.88</v>
      </c>
      <c r="M1167" s="18" t="s">
        <v>40</v>
      </c>
      <c r="N1167" s="20">
        <v>3105</v>
      </c>
      <c r="P1167" s="16">
        <f>VLOOKUP(A1167,'[3]Price info'!A:H,8,FALSE)</f>
        <v>21.88</v>
      </c>
      <c r="Q1167" s="33">
        <f t="shared" si="73"/>
        <v>1</v>
      </c>
      <c r="S1167" s="16" t="e">
        <f>VLOOKUP(A1167,[4]Sales!$E:$G,3,FALSE)</f>
        <v>#N/A</v>
      </c>
      <c r="T1167" s="19" t="e">
        <f>VLOOKUP(A1167,[4]Volume!$E:$G,3,FALSE)</f>
        <v>#N/A</v>
      </c>
      <c r="U1167" s="19" t="e">
        <f>VLOOKUP(A1167,[4]Piece!$E:$G,3,FALSE)</f>
        <v>#N/A</v>
      </c>
      <c r="V1167" s="21" t="e">
        <f t="shared" si="74"/>
        <v>#N/A</v>
      </c>
      <c r="W1167" s="16" t="e">
        <f t="shared" si="75"/>
        <v>#N/A</v>
      </c>
    </row>
    <row r="1168" spans="1:23" hidden="1" x14ac:dyDescent="0.3">
      <c r="A1168" s="61" t="s">
        <v>2330</v>
      </c>
      <c r="B1168" s="61" t="s">
        <v>2330</v>
      </c>
      <c r="C1168" s="23" t="s">
        <v>33</v>
      </c>
      <c r="D1168" s="20" t="s">
        <v>34</v>
      </c>
      <c r="E1168" s="22" t="s">
        <v>2331</v>
      </c>
      <c r="F1168" s="24" t="str">
        <f t="shared" si="72"/>
        <v>PPG - Leyland SMART MULTI-SURFACE - LT GRY - 2.5l</v>
      </c>
      <c r="G1168" s="23" t="s">
        <v>6040</v>
      </c>
      <c r="H1168" s="25" t="s">
        <v>36</v>
      </c>
      <c r="I1168" s="18" t="s">
        <v>37</v>
      </c>
      <c r="J1168" s="18" t="s">
        <v>38</v>
      </c>
      <c r="K1168" t="s">
        <v>39</v>
      </c>
      <c r="L1168" s="26">
        <f>VLOOKUP(A1168,'[3]Price info'!A:D,4,FALSE)</f>
        <v>24.07</v>
      </c>
      <c r="M1168" s="18" t="s">
        <v>40</v>
      </c>
      <c r="N1168" s="20">
        <v>3105</v>
      </c>
      <c r="P1168" s="16">
        <f>VLOOKUP(A1168,'[3]Price info'!A:H,8,FALSE)</f>
        <v>24.07</v>
      </c>
      <c r="Q1168" s="33">
        <f t="shared" si="73"/>
        <v>1</v>
      </c>
      <c r="S1168" s="16" t="e">
        <f>VLOOKUP(A1168,[4]Sales!$E:$G,3,FALSE)</f>
        <v>#N/A</v>
      </c>
      <c r="T1168" s="19" t="e">
        <f>VLOOKUP(A1168,[4]Volume!$E:$G,3,FALSE)</f>
        <v>#N/A</v>
      </c>
      <c r="U1168" s="19" t="e">
        <f>VLOOKUP(A1168,[4]Piece!$E:$G,3,FALSE)</f>
        <v>#N/A</v>
      </c>
      <c r="V1168" s="21" t="e">
        <f t="shared" si="74"/>
        <v>#N/A</v>
      </c>
      <c r="W1168" s="16" t="e">
        <f t="shared" si="75"/>
        <v>#N/A</v>
      </c>
    </row>
    <row r="1169" spans="1:23" hidden="1" x14ac:dyDescent="0.3">
      <c r="A1169" s="61" t="s">
        <v>2332</v>
      </c>
      <c r="B1169" s="61" t="s">
        <v>2332</v>
      </c>
      <c r="C1169" s="23" t="s">
        <v>33</v>
      </c>
      <c r="D1169" s="20" t="s">
        <v>34</v>
      </c>
      <c r="E1169" s="22" t="s">
        <v>2333</v>
      </c>
      <c r="F1169" s="24" t="str">
        <f t="shared" si="72"/>
        <v>PPG - Leyland SMART MULTI-SURFACE - DK GRY - 2.5l</v>
      </c>
      <c r="G1169" s="23" t="s">
        <v>6041</v>
      </c>
      <c r="H1169" s="25" t="s">
        <v>36</v>
      </c>
      <c r="I1169" s="18" t="s">
        <v>37</v>
      </c>
      <c r="J1169" s="18" t="s">
        <v>38</v>
      </c>
      <c r="K1169" t="s">
        <v>39</v>
      </c>
      <c r="L1169" s="26">
        <f>VLOOKUP(A1169,'[3]Price info'!A:D,4,FALSE)</f>
        <v>24.07</v>
      </c>
      <c r="M1169" s="18" t="s">
        <v>40</v>
      </c>
      <c r="N1169" s="20">
        <v>3105</v>
      </c>
      <c r="P1169" s="16">
        <f>VLOOKUP(A1169,'[3]Price info'!A:H,8,FALSE)</f>
        <v>24.07</v>
      </c>
      <c r="Q1169" s="33">
        <f t="shared" si="73"/>
        <v>1</v>
      </c>
      <c r="S1169" s="16" t="e">
        <f>VLOOKUP(A1169,[4]Sales!$E:$G,3,FALSE)</f>
        <v>#N/A</v>
      </c>
      <c r="T1169" s="19" t="e">
        <f>VLOOKUP(A1169,[4]Volume!$E:$G,3,FALSE)</f>
        <v>#N/A</v>
      </c>
      <c r="U1169" s="19" t="e">
        <f>VLOOKUP(A1169,[4]Piece!$E:$G,3,FALSE)</f>
        <v>#N/A</v>
      </c>
      <c r="V1169" s="21" t="e">
        <f t="shared" si="74"/>
        <v>#N/A</v>
      </c>
      <c r="W1169" s="16" t="e">
        <f t="shared" si="75"/>
        <v>#N/A</v>
      </c>
    </row>
    <row r="1170" spans="1:23" hidden="1" x14ac:dyDescent="0.3">
      <c r="A1170" s="61" t="s">
        <v>2334</v>
      </c>
      <c r="B1170" s="61" t="s">
        <v>2334</v>
      </c>
      <c r="C1170" s="23" t="s">
        <v>33</v>
      </c>
      <c r="D1170" s="20" t="s">
        <v>34</v>
      </c>
      <c r="E1170" s="22" t="s">
        <v>2335</v>
      </c>
      <c r="F1170" s="24" t="str">
        <f t="shared" si="72"/>
        <v>PPG - Leyland SMART MULTI-SURFACE - Of Whi - 2.5l</v>
      </c>
      <c r="G1170" s="23" t="s">
        <v>6042</v>
      </c>
      <c r="H1170" s="25" t="s">
        <v>36</v>
      </c>
      <c r="I1170" s="18" t="s">
        <v>37</v>
      </c>
      <c r="J1170" s="18" t="s">
        <v>38</v>
      </c>
      <c r="K1170" t="s">
        <v>39</v>
      </c>
      <c r="L1170" s="26">
        <f>VLOOKUP(A1170,'[3]Price info'!A:D,4,FALSE)</f>
        <v>24.07</v>
      </c>
      <c r="M1170" s="18" t="s">
        <v>40</v>
      </c>
      <c r="N1170" s="20">
        <v>3105</v>
      </c>
      <c r="P1170" s="16">
        <f>VLOOKUP(A1170,'[3]Price info'!A:H,8,FALSE)</f>
        <v>24.07</v>
      </c>
      <c r="Q1170" s="33">
        <f t="shared" si="73"/>
        <v>1</v>
      </c>
      <c r="S1170" s="16" t="e">
        <f>VLOOKUP(A1170,[4]Sales!$E:$G,3,FALSE)</f>
        <v>#N/A</v>
      </c>
      <c r="T1170" s="19" t="e">
        <f>VLOOKUP(A1170,[4]Volume!$E:$G,3,FALSE)</f>
        <v>#N/A</v>
      </c>
      <c r="U1170" s="19" t="e">
        <f>VLOOKUP(A1170,[4]Piece!$E:$G,3,FALSE)</f>
        <v>#N/A</v>
      </c>
      <c r="V1170" s="21" t="e">
        <f t="shared" si="74"/>
        <v>#N/A</v>
      </c>
      <c r="W1170" s="16" t="e">
        <f t="shared" si="75"/>
        <v>#N/A</v>
      </c>
    </row>
    <row r="1171" spans="1:23" hidden="1" x14ac:dyDescent="0.3">
      <c r="A1171" s="61" t="s">
        <v>2336</v>
      </c>
      <c r="B1171" s="61" t="s">
        <v>2336</v>
      </c>
      <c r="C1171" s="23" t="s">
        <v>33</v>
      </c>
      <c r="D1171" s="20" t="s">
        <v>34</v>
      </c>
      <c r="E1171" s="22" t="s">
        <v>2337</v>
      </c>
      <c r="F1171" s="24" t="str">
        <f t="shared" si="72"/>
        <v>PPG - Leyland SMART MULTI-SURFACE - Mag - 5ltr</v>
      </c>
      <c r="G1171" s="23" t="s">
        <v>6043</v>
      </c>
      <c r="H1171" s="25" t="s">
        <v>36</v>
      </c>
      <c r="I1171" s="18" t="s">
        <v>37</v>
      </c>
      <c r="J1171" s="18" t="s">
        <v>38</v>
      </c>
      <c r="K1171" t="s">
        <v>39</v>
      </c>
      <c r="L1171" s="26">
        <f>VLOOKUP(A1171,'[3]Price info'!A:D,4,FALSE)</f>
        <v>36.43</v>
      </c>
      <c r="M1171" s="18" t="s">
        <v>40</v>
      </c>
      <c r="N1171" s="20">
        <v>3105</v>
      </c>
      <c r="P1171" s="16">
        <f>VLOOKUP(A1171,'[3]Price info'!A:H,8,FALSE)</f>
        <v>36.43</v>
      </c>
      <c r="Q1171" s="33">
        <f t="shared" si="73"/>
        <v>1</v>
      </c>
      <c r="S1171" s="16" t="e">
        <f>VLOOKUP(A1171,[4]Sales!$E:$G,3,FALSE)</f>
        <v>#N/A</v>
      </c>
      <c r="T1171" s="19" t="e">
        <f>VLOOKUP(A1171,[4]Volume!$E:$G,3,FALSE)</f>
        <v>#N/A</v>
      </c>
      <c r="U1171" s="19" t="e">
        <f>VLOOKUP(A1171,[4]Piece!$E:$G,3,FALSE)</f>
        <v>#N/A</v>
      </c>
      <c r="V1171" s="21" t="e">
        <f t="shared" si="74"/>
        <v>#N/A</v>
      </c>
      <c r="W1171" s="16" t="e">
        <f t="shared" si="75"/>
        <v>#N/A</v>
      </c>
    </row>
    <row r="1172" spans="1:23" hidden="1" x14ac:dyDescent="0.3">
      <c r="A1172" s="61" t="s">
        <v>2338</v>
      </c>
      <c r="B1172" s="61" t="s">
        <v>2338</v>
      </c>
      <c r="C1172" s="23" t="s">
        <v>33</v>
      </c>
      <c r="D1172" s="20" t="s">
        <v>34</v>
      </c>
      <c r="E1172" s="22" t="s">
        <v>2339</v>
      </c>
      <c r="F1172" s="24" t="str">
        <f t="shared" si="72"/>
        <v>PPG - Johnstones PRO GLOSS - Brill White - 500ml</v>
      </c>
      <c r="G1172" s="23" t="s">
        <v>6044</v>
      </c>
      <c r="H1172" s="25" t="s">
        <v>36</v>
      </c>
      <c r="I1172" s="18" t="s">
        <v>37</v>
      </c>
      <c r="J1172" s="18" t="s">
        <v>38</v>
      </c>
      <c r="K1172" t="s">
        <v>39</v>
      </c>
      <c r="L1172" s="26">
        <f>VLOOKUP(A1172,'[3]Price info'!A:D,4,FALSE)</f>
        <v>5.72</v>
      </c>
      <c r="M1172" s="18" t="s">
        <v>40</v>
      </c>
      <c r="N1172" s="20">
        <v>3105</v>
      </c>
      <c r="P1172" s="16">
        <f>VLOOKUP(A1172,'[3]Price info'!A:H,8,FALSE)</f>
        <v>5.3253199999999996</v>
      </c>
      <c r="Q1172" s="33">
        <f t="shared" si="73"/>
        <v>0.93099999999999994</v>
      </c>
      <c r="S1172" s="16" t="e">
        <f>VLOOKUP(A1172,[4]Sales!$E:$G,3,FALSE)</f>
        <v>#N/A</v>
      </c>
      <c r="T1172" s="19" t="e">
        <f>VLOOKUP(A1172,[4]Volume!$E:$G,3,FALSE)</f>
        <v>#N/A</v>
      </c>
      <c r="U1172" s="19" t="e">
        <f>VLOOKUP(A1172,[4]Piece!$E:$G,3,FALSE)</f>
        <v>#N/A</v>
      </c>
      <c r="V1172" s="21" t="e">
        <f t="shared" si="74"/>
        <v>#N/A</v>
      </c>
      <c r="W1172" s="16" t="e">
        <f t="shared" si="75"/>
        <v>#N/A</v>
      </c>
    </row>
    <row r="1173" spans="1:23" hidden="1" x14ac:dyDescent="0.3">
      <c r="A1173" s="61" t="s">
        <v>2340</v>
      </c>
      <c r="B1173" s="61" t="s">
        <v>2340</v>
      </c>
      <c r="C1173" s="23" t="s">
        <v>33</v>
      </c>
      <c r="D1173" s="20" t="s">
        <v>34</v>
      </c>
      <c r="E1173" s="22" t="s">
        <v>2341</v>
      </c>
      <c r="F1173" s="24" t="str">
        <f t="shared" si="72"/>
        <v>PPG - Johnstones PRO GLOSS - Magnolia - 1ltr</v>
      </c>
      <c r="G1173" s="23" t="s">
        <v>6045</v>
      </c>
      <c r="H1173" s="25" t="s">
        <v>36</v>
      </c>
      <c r="I1173" s="18" t="s">
        <v>37</v>
      </c>
      <c r="J1173" s="18" t="s">
        <v>38</v>
      </c>
      <c r="K1173" t="s">
        <v>39</v>
      </c>
      <c r="L1173" s="26">
        <f>VLOOKUP(A1173,'[3]Price info'!A:D,4,FALSE)</f>
        <v>9.52</v>
      </c>
      <c r="M1173" s="18" t="s">
        <v>40</v>
      </c>
      <c r="N1173" s="20">
        <v>3105</v>
      </c>
      <c r="P1173" s="16">
        <f>VLOOKUP(A1173,'[3]Price info'!A:H,8,FALSE)</f>
        <v>8.89</v>
      </c>
      <c r="Q1173" s="33">
        <f t="shared" si="73"/>
        <v>0.93382352941176483</v>
      </c>
      <c r="S1173" s="16" t="e">
        <f>VLOOKUP(A1173,[4]Sales!$E:$G,3,FALSE)</f>
        <v>#N/A</v>
      </c>
      <c r="T1173" s="19" t="e">
        <f>VLOOKUP(A1173,[4]Volume!$E:$G,3,FALSE)</f>
        <v>#N/A</v>
      </c>
      <c r="U1173" s="19" t="e">
        <f>VLOOKUP(A1173,[4]Piece!$E:$G,3,FALSE)</f>
        <v>#N/A</v>
      </c>
      <c r="V1173" s="21" t="e">
        <f t="shared" si="74"/>
        <v>#N/A</v>
      </c>
      <c r="W1173" s="16" t="e">
        <f t="shared" si="75"/>
        <v>#N/A</v>
      </c>
    </row>
    <row r="1174" spans="1:23" hidden="1" x14ac:dyDescent="0.3">
      <c r="A1174" s="61" t="s">
        <v>2342</v>
      </c>
      <c r="B1174" s="61" t="s">
        <v>2342</v>
      </c>
      <c r="C1174" s="23" t="s">
        <v>33</v>
      </c>
      <c r="D1174" s="20" t="s">
        <v>34</v>
      </c>
      <c r="E1174" s="22" t="s">
        <v>2343</v>
      </c>
      <c r="F1174" s="24" t="str">
        <f t="shared" si="72"/>
        <v>PPG - Johnstones PRO GLOSS - Post Of Red - 1ltr</v>
      </c>
      <c r="G1174" s="23" t="s">
        <v>6046</v>
      </c>
      <c r="H1174" s="25" t="s">
        <v>36</v>
      </c>
      <c r="I1174" s="18" t="s">
        <v>37</v>
      </c>
      <c r="J1174" s="18" t="s">
        <v>38</v>
      </c>
      <c r="K1174" t="s">
        <v>39</v>
      </c>
      <c r="L1174" s="26">
        <f>VLOOKUP(A1174,'[3]Price info'!A:D,4,FALSE)</f>
        <v>9.52</v>
      </c>
      <c r="M1174" s="18" t="s">
        <v>40</v>
      </c>
      <c r="N1174" s="20">
        <v>3105</v>
      </c>
      <c r="P1174" s="16">
        <f>VLOOKUP(A1174,'[3]Price info'!A:H,8,FALSE)</f>
        <v>8.89</v>
      </c>
      <c r="Q1174" s="33">
        <f t="shared" si="73"/>
        <v>0.93382352941176483</v>
      </c>
      <c r="S1174" s="16" t="e">
        <f>VLOOKUP(A1174,[4]Sales!$E:$G,3,FALSE)</f>
        <v>#N/A</v>
      </c>
      <c r="T1174" s="19" t="e">
        <f>VLOOKUP(A1174,[4]Volume!$E:$G,3,FALSE)</f>
        <v>#N/A</v>
      </c>
      <c r="U1174" s="19" t="e">
        <f>VLOOKUP(A1174,[4]Piece!$E:$G,3,FALSE)</f>
        <v>#N/A</v>
      </c>
      <c r="V1174" s="21" t="e">
        <f t="shared" si="74"/>
        <v>#N/A</v>
      </c>
      <c r="W1174" s="16" t="e">
        <f t="shared" si="75"/>
        <v>#N/A</v>
      </c>
    </row>
    <row r="1175" spans="1:23" hidden="1" x14ac:dyDescent="0.3">
      <c r="A1175" s="61" t="s">
        <v>2344</v>
      </c>
      <c r="B1175" s="61" t="s">
        <v>2344</v>
      </c>
      <c r="C1175" s="23" t="s">
        <v>33</v>
      </c>
      <c r="D1175" s="20" t="s">
        <v>34</v>
      </c>
      <c r="E1175" s="22" t="s">
        <v>2345</v>
      </c>
      <c r="F1175" s="24" t="str">
        <f t="shared" si="72"/>
        <v>PPG - Johnstones PRO GLOSS - Post Of Red - 2.5ltr</v>
      </c>
      <c r="G1175" s="23" t="s">
        <v>6047</v>
      </c>
      <c r="H1175" s="25" t="s">
        <v>36</v>
      </c>
      <c r="I1175" s="18" t="s">
        <v>37</v>
      </c>
      <c r="J1175" s="18" t="s">
        <v>38</v>
      </c>
      <c r="K1175" t="s">
        <v>39</v>
      </c>
      <c r="L1175" s="26">
        <f>VLOOKUP(A1175,'[3]Price info'!A:D,4,FALSE)</f>
        <v>12.72</v>
      </c>
      <c r="M1175" s="18" t="s">
        <v>40</v>
      </c>
      <c r="N1175" s="20">
        <v>3105</v>
      </c>
      <c r="P1175" s="16">
        <f>VLOOKUP(A1175,'[3]Price info'!A:H,8,FALSE)</f>
        <v>14.82</v>
      </c>
      <c r="Q1175" s="33">
        <f t="shared" si="73"/>
        <v>1.1650943396226414</v>
      </c>
      <c r="S1175" s="16" t="e">
        <f>VLOOKUP(A1175,[4]Sales!$E:$G,3,FALSE)</f>
        <v>#N/A</v>
      </c>
      <c r="T1175" s="19" t="e">
        <f>VLOOKUP(A1175,[4]Volume!$E:$G,3,FALSE)</f>
        <v>#N/A</v>
      </c>
      <c r="U1175" s="19" t="e">
        <f>VLOOKUP(A1175,[4]Piece!$E:$G,3,FALSE)</f>
        <v>#N/A</v>
      </c>
      <c r="V1175" s="21" t="e">
        <f t="shared" si="74"/>
        <v>#N/A</v>
      </c>
      <c r="W1175" s="16" t="e">
        <f t="shared" si="75"/>
        <v>#N/A</v>
      </c>
    </row>
    <row r="1176" spans="1:23" hidden="1" x14ac:dyDescent="0.3">
      <c r="A1176" s="61" t="s">
        <v>2346</v>
      </c>
      <c r="B1176" s="61" t="s">
        <v>2346</v>
      </c>
      <c r="C1176" s="23" t="s">
        <v>33</v>
      </c>
      <c r="D1176" s="20" t="s">
        <v>34</v>
      </c>
      <c r="E1176" s="22" t="s">
        <v>2347</v>
      </c>
      <c r="F1176" s="24" t="str">
        <f t="shared" si="72"/>
        <v>PPG - Johnstones PRO GLOSS - Saxe Blue - 5ltr</v>
      </c>
      <c r="G1176" s="23" t="s">
        <v>6048</v>
      </c>
      <c r="H1176" s="25" t="s">
        <v>36</v>
      </c>
      <c r="I1176" s="18" t="s">
        <v>37</v>
      </c>
      <c r="J1176" s="18" t="s">
        <v>38</v>
      </c>
      <c r="K1176" t="s">
        <v>39</v>
      </c>
      <c r="L1176" s="26">
        <f>VLOOKUP(A1176,'[3]Price info'!A:D,4,FALSE)</f>
        <v>18.82</v>
      </c>
      <c r="M1176" s="18" t="s">
        <v>40</v>
      </c>
      <c r="N1176" s="20">
        <v>3105</v>
      </c>
      <c r="P1176" s="16">
        <f>VLOOKUP(A1176,'[3]Price info'!A:H,8,FALSE)</f>
        <v>24.7</v>
      </c>
      <c r="Q1176" s="33">
        <f t="shared" si="73"/>
        <v>1.3124335812964931</v>
      </c>
      <c r="S1176" s="16" t="e">
        <f>VLOOKUP(A1176,[4]Sales!$E:$G,3,FALSE)</f>
        <v>#N/A</v>
      </c>
      <c r="T1176" s="19" t="e">
        <f>VLOOKUP(A1176,[4]Volume!$E:$G,3,FALSE)</f>
        <v>#N/A</v>
      </c>
      <c r="U1176" s="19" t="e">
        <f>VLOOKUP(A1176,[4]Piece!$E:$G,3,FALSE)</f>
        <v>#N/A</v>
      </c>
      <c r="V1176" s="21" t="e">
        <f t="shared" si="74"/>
        <v>#N/A</v>
      </c>
      <c r="W1176" s="16" t="e">
        <f t="shared" si="75"/>
        <v>#N/A</v>
      </c>
    </row>
    <row r="1177" spans="1:23" hidden="1" x14ac:dyDescent="0.3">
      <c r="A1177" s="61" t="s">
        <v>2348</v>
      </c>
      <c r="B1177" s="61" t="s">
        <v>2348</v>
      </c>
      <c r="C1177" s="23" t="s">
        <v>33</v>
      </c>
      <c r="D1177" s="20" t="s">
        <v>34</v>
      </c>
      <c r="E1177" s="22" t="s">
        <v>2349</v>
      </c>
      <c r="F1177" s="24" t="str">
        <f t="shared" si="72"/>
        <v>PPG - Johnstones PRO GLOSS - Sapphire - 5ltr</v>
      </c>
      <c r="G1177" s="23" t="s">
        <v>6049</v>
      </c>
      <c r="H1177" s="25" t="s">
        <v>36</v>
      </c>
      <c r="I1177" s="18" t="s">
        <v>37</v>
      </c>
      <c r="J1177" s="18" t="s">
        <v>38</v>
      </c>
      <c r="K1177" t="s">
        <v>39</v>
      </c>
      <c r="L1177" s="26">
        <f>VLOOKUP(A1177,'[3]Price info'!A:D,4,FALSE)</f>
        <v>18.82</v>
      </c>
      <c r="M1177" s="18" t="s">
        <v>40</v>
      </c>
      <c r="N1177" s="20">
        <v>3105</v>
      </c>
      <c r="P1177" s="16">
        <f>VLOOKUP(A1177,'[3]Price info'!A:H,8,FALSE)</f>
        <v>24.7</v>
      </c>
      <c r="Q1177" s="33">
        <f t="shared" si="73"/>
        <v>1.3124335812964931</v>
      </c>
      <c r="S1177" s="16" t="e">
        <f>VLOOKUP(A1177,[4]Sales!$E:$G,3,FALSE)</f>
        <v>#N/A</v>
      </c>
      <c r="T1177" s="19" t="e">
        <f>VLOOKUP(A1177,[4]Volume!$E:$G,3,FALSE)</f>
        <v>#N/A</v>
      </c>
      <c r="U1177" s="19" t="e">
        <f>VLOOKUP(A1177,[4]Piece!$E:$G,3,FALSE)</f>
        <v>#N/A</v>
      </c>
      <c r="V1177" s="21" t="e">
        <f t="shared" si="74"/>
        <v>#N/A</v>
      </c>
      <c r="W1177" s="16" t="e">
        <f t="shared" si="75"/>
        <v>#N/A</v>
      </c>
    </row>
    <row r="1178" spans="1:23" hidden="1" x14ac:dyDescent="0.3">
      <c r="A1178" s="61" t="s">
        <v>2350</v>
      </c>
      <c r="B1178" s="61" t="s">
        <v>2350</v>
      </c>
      <c r="C1178" s="23" t="s">
        <v>33</v>
      </c>
      <c r="D1178" s="20" t="s">
        <v>34</v>
      </c>
      <c r="E1178" s="22" t="s">
        <v>2351</v>
      </c>
      <c r="F1178" s="24" t="str">
        <f t="shared" si="72"/>
        <v>PPG - Johnstones PRO GLOSS - Fiesta Red- 5ltr</v>
      </c>
      <c r="G1178" s="23" t="s">
        <v>6050</v>
      </c>
      <c r="H1178" s="25" t="s">
        <v>36</v>
      </c>
      <c r="I1178" s="18" t="s">
        <v>37</v>
      </c>
      <c r="J1178" s="18" t="s">
        <v>38</v>
      </c>
      <c r="K1178" t="s">
        <v>39</v>
      </c>
      <c r="L1178" s="26">
        <f>VLOOKUP(A1178,'[3]Price info'!A:D,4,FALSE)</f>
        <v>18.82</v>
      </c>
      <c r="M1178" s="18" t="s">
        <v>40</v>
      </c>
      <c r="N1178" s="20">
        <v>3105</v>
      </c>
      <c r="P1178" s="16">
        <f>VLOOKUP(A1178,'[3]Price info'!A:H,8,FALSE)</f>
        <v>24.7</v>
      </c>
      <c r="Q1178" s="33">
        <f t="shared" si="73"/>
        <v>1.3124335812964931</v>
      </c>
      <c r="S1178" s="16" t="e">
        <f>VLOOKUP(A1178,[4]Sales!$E:$G,3,FALSE)</f>
        <v>#N/A</v>
      </c>
      <c r="T1178" s="19" t="e">
        <f>VLOOKUP(A1178,[4]Volume!$E:$G,3,FALSE)</f>
        <v>#N/A</v>
      </c>
      <c r="U1178" s="19" t="e">
        <f>VLOOKUP(A1178,[4]Piece!$E:$G,3,FALSE)</f>
        <v>#N/A</v>
      </c>
      <c r="V1178" s="21" t="e">
        <f t="shared" si="74"/>
        <v>#N/A</v>
      </c>
      <c r="W1178" s="16" t="e">
        <f t="shared" si="75"/>
        <v>#N/A</v>
      </c>
    </row>
    <row r="1179" spans="1:23" hidden="1" x14ac:dyDescent="0.3">
      <c r="A1179" s="61" t="s">
        <v>2352</v>
      </c>
      <c r="B1179" s="61" t="s">
        <v>2352</v>
      </c>
      <c r="C1179" s="23" t="s">
        <v>33</v>
      </c>
      <c r="D1179" s="20" t="s">
        <v>34</v>
      </c>
      <c r="E1179" s="22" t="s">
        <v>2353</v>
      </c>
      <c r="F1179" s="24" t="str">
        <f t="shared" si="72"/>
        <v>PPG - Johnstones PRO GLOSS - Traffic Yellow - 5ltr</v>
      </c>
      <c r="G1179" s="23" t="s">
        <v>6051</v>
      </c>
      <c r="H1179" s="25" t="s">
        <v>36</v>
      </c>
      <c r="I1179" s="18" t="s">
        <v>37</v>
      </c>
      <c r="J1179" s="18" t="s">
        <v>38</v>
      </c>
      <c r="K1179" t="s">
        <v>39</v>
      </c>
      <c r="L1179" s="26">
        <f>VLOOKUP(A1179,'[3]Price info'!A:D,4,FALSE)</f>
        <v>18.82</v>
      </c>
      <c r="M1179" s="18" t="s">
        <v>40</v>
      </c>
      <c r="N1179" s="20">
        <v>3105</v>
      </c>
      <c r="P1179" s="16">
        <f>VLOOKUP(A1179,'[3]Price info'!A:H,8,FALSE)</f>
        <v>24.7</v>
      </c>
      <c r="Q1179" s="33">
        <f t="shared" si="73"/>
        <v>1.3124335812964931</v>
      </c>
      <c r="S1179" s="16" t="e">
        <f>VLOOKUP(A1179,[4]Sales!$E:$G,3,FALSE)</f>
        <v>#N/A</v>
      </c>
      <c r="T1179" s="19" t="e">
        <f>VLOOKUP(A1179,[4]Volume!$E:$G,3,FALSE)</f>
        <v>#N/A</v>
      </c>
      <c r="U1179" s="19" t="e">
        <f>VLOOKUP(A1179,[4]Piece!$E:$G,3,FALSE)</f>
        <v>#N/A</v>
      </c>
      <c r="V1179" s="21" t="e">
        <f t="shared" si="74"/>
        <v>#N/A</v>
      </c>
      <c r="W1179" s="16" t="e">
        <f t="shared" si="75"/>
        <v>#N/A</v>
      </c>
    </row>
    <row r="1180" spans="1:23" hidden="1" x14ac:dyDescent="0.3">
      <c r="A1180" s="61" t="s">
        <v>2354</v>
      </c>
      <c r="B1180" s="61" t="s">
        <v>2354</v>
      </c>
      <c r="C1180" s="23" t="s">
        <v>33</v>
      </c>
      <c r="D1180" s="20" t="s">
        <v>34</v>
      </c>
      <c r="E1180" s="22" t="s">
        <v>2355</v>
      </c>
      <c r="F1180" s="24" t="str">
        <f t="shared" si="72"/>
        <v>PPG - Johnstones PRO GLOSS - Saffron Yellow - 5ltr</v>
      </c>
      <c r="G1180" s="23" t="s">
        <v>6052</v>
      </c>
      <c r="H1180" s="25" t="s">
        <v>36</v>
      </c>
      <c r="I1180" s="18" t="s">
        <v>37</v>
      </c>
      <c r="J1180" s="18" t="s">
        <v>38</v>
      </c>
      <c r="K1180" t="s">
        <v>39</v>
      </c>
      <c r="L1180" s="26">
        <f>VLOOKUP(A1180,'[3]Price info'!A:D,4,FALSE)</f>
        <v>18.82</v>
      </c>
      <c r="M1180" s="18" t="s">
        <v>40</v>
      </c>
      <c r="N1180" s="20">
        <v>3105</v>
      </c>
      <c r="P1180" s="16">
        <f>VLOOKUP(A1180,'[3]Price info'!A:H,8,FALSE)</f>
        <v>24.7</v>
      </c>
      <c r="Q1180" s="33">
        <f t="shared" si="73"/>
        <v>1.3124335812964931</v>
      </c>
      <c r="S1180" s="16" t="e">
        <f>VLOOKUP(A1180,[4]Sales!$E:$G,3,FALSE)</f>
        <v>#N/A</v>
      </c>
      <c r="T1180" s="19" t="e">
        <f>VLOOKUP(A1180,[4]Volume!$E:$G,3,FALSE)</f>
        <v>#N/A</v>
      </c>
      <c r="U1180" s="19" t="e">
        <f>VLOOKUP(A1180,[4]Piece!$E:$G,3,FALSE)</f>
        <v>#N/A</v>
      </c>
      <c r="V1180" s="21" t="e">
        <f t="shared" si="74"/>
        <v>#N/A</v>
      </c>
      <c r="W1180" s="16" t="e">
        <f t="shared" si="75"/>
        <v>#N/A</v>
      </c>
    </row>
    <row r="1181" spans="1:23" hidden="1" x14ac:dyDescent="0.3">
      <c r="A1181" s="61" t="s">
        <v>2356</v>
      </c>
      <c r="B1181" s="61" t="s">
        <v>2356</v>
      </c>
      <c r="C1181" s="23" t="s">
        <v>33</v>
      </c>
      <c r="D1181" s="20" t="s">
        <v>34</v>
      </c>
      <c r="E1181" s="22" t="s">
        <v>2357</v>
      </c>
      <c r="F1181" s="24" t="str">
        <f t="shared" si="72"/>
        <v>PPG - GORI 88 Opaque - Mix - 750ml</v>
      </c>
      <c r="G1181" s="23" t="s">
        <v>6053</v>
      </c>
      <c r="H1181" s="25" t="s">
        <v>36</v>
      </c>
      <c r="I1181" s="18" t="s">
        <v>37</v>
      </c>
      <c r="J1181" s="18" t="s">
        <v>38</v>
      </c>
      <c r="K1181" t="s">
        <v>39</v>
      </c>
      <c r="L1181" s="26">
        <f>VLOOKUP(A1181,'[3]Price info'!A:D,4,FALSE)</f>
        <v>15.32</v>
      </c>
      <c r="M1181" s="18" t="s">
        <v>40</v>
      </c>
      <c r="N1181" s="20">
        <v>3105</v>
      </c>
      <c r="P1181" s="16">
        <f>VLOOKUP(A1181,'[3]Price info'!A:H,8,FALSE)</f>
        <v>14.262920000000001</v>
      </c>
      <c r="Q1181" s="33">
        <f t="shared" si="73"/>
        <v>0.93100000000000005</v>
      </c>
      <c r="S1181" s="16" t="e">
        <f>VLOOKUP(A1181,[4]Sales!$E:$G,3,FALSE)</f>
        <v>#N/A</v>
      </c>
      <c r="T1181" s="19" t="e">
        <f>VLOOKUP(A1181,[4]Volume!$E:$G,3,FALSE)</f>
        <v>#N/A</v>
      </c>
      <c r="U1181" s="19" t="e">
        <f>VLOOKUP(A1181,[4]Piece!$E:$G,3,FALSE)</f>
        <v>#N/A</v>
      </c>
      <c r="V1181" s="21" t="e">
        <f t="shared" si="74"/>
        <v>#N/A</v>
      </c>
      <c r="W1181" s="16" t="e">
        <f t="shared" si="75"/>
        <v>#N/A</v>
      </c>
    </row>
    <row r="1182" spans="1:23" hidden="1" x14ac:dyDescent="0.3">
      <c r="A1182" s="61" t="s">
        <v>2358</v>
      </c>
      <c r="B1182" s="61" t="s">
        <v>2358</v>
      </c>
      <c r="C1182" s="23" t="s">
        <v>33</v>
      </c>
      <c r="D1182" s="20" t="s">
        <v>34</v>
      </c>
      <c r="E1182" s="22" t="s">
        <v>2359</v>
      </c>
      <c r="F1182" s="24" t="str">
        <f t="shared" si="72"/>
        <v>PPG - GORI 88 Opaque - Mix - 2.5ltr</v>
      </c>
      <c r="G1182" s="23" t="s">
        <v>6054</v>
      </c>
      <c r="H1182" s="25" t="s">
        <v>36</v>
      </c>
      <c r="I1182" s="18" t="s">
        <v>37</v>
      </c>
      <c r="J1182" s="18" t="s">
        <v>38</v>
      </c>
      <c r="K1182" t="s">
        <v>39</v>
      </c>
      <c r="L1182" s="26">
        <f>VLOOKUP(A1182,'[3]Price info'!A:D,4,FALSE)</f>
        <v>44.6</v>
      </c>
      <c r="M1182" s="18" t="s">
        <v>40</v>
      </c>
      <c r="N1182" s="20">
        <v>3105</v>
      </c>
      <c r="P1182" s="16">
        <f>VLOOKUP(A1182,'[3]Price info'!A:H,8,FALSE)</f>
        <v>30</v>
      </c>
      <c r="Q1182" s="33">
        <f t="shared" si="73"/>
        <v>0.67264573991031384</v>
      </c>
      <c r="S1182" s="16">
        <f>VLOOKUP(A1182,[4]Sales!$E:$G,3,FALSE)</f>
        <v>674.6</v>
      </c>
      <c r="T1182" s="19">
        <f>VLOOKUP(A1182,[4]Volume!$E:$G,3,FALSE)</f>
        <v>92.5</v>
      </c>
      <c r="U1182" s="19">
        <f>VLOOKUP(A1182,[4]Piece!$E:$G,3,FALSE)</f>
        <v>37</v>
      </c>
      <c r="V1182" s="21">
        <f t="shared" si="74"/>
        <v>1110</v>
      </c>
      <c r="W1182" s="16">
        <f t="shared" si="75"/>
        <v>435.4</v>
      </c>
    </row>
    <row r="1183" spans="1:23" hidden="1" x14ac:dyDescent="0.3">
      <c r="A1183" s="61" t="s">
        <v>2360</v>
      </c>
      <c r="B1183" s="61" t="s">
        <v>2360</v>
      </c>
      <c r="C1183" s="23" t="s">
        <v>33</v>
      </c>
      <c r="D1183" s="20" t="s">
        <v>34</v>
      </c>
      <c r="E1183" s="22" t="s">
        <v>2361</v>
      </c>
      <c r="F1183" s="24" t="str">
        <f t="shared" si="72"/>
        <v>PPG - GORI 88 Trans - Mix - 750ml</v>
      </c>
      <c r="G1183" s="23" t="s">
        <v>6055</v>
      </c>
      <c r="H1183" s="25" t="s">
        <v>36</v>
      </c>
      <c r="I1183" s="18" t="s">
        <v>37</v>
      </c>
      <c r="J1183" s="18" t="s">
        <v>38</v>
      </c>
      <c r="K1183" t="s">
        <v>39</v>
      </c>
      <c r="L1183" s="26">
        <f>VLOOKUP(A1183,'[3]Price info'!A:D,4,FALSE)</f>
        <v>14.79</v>
      </c>
      <c r="M1183" s="18" t="s">
        <v>40</v>
      </c>
      <c r="N1183" s="20">
        <v>3105</v>
      </c>
      <c r="P1183" s="16">
        <f>VLOOKUP(A1183,'[3]Price info'!A:H,8,FALSE)</f>
        <v>13.769489999999999</v>
      </c>
      <c r="Q1183" s="33">
        <f t="shared" si="73"/>
        <v>0.93100000000000005</v>
      </c>
      <c r="S1183" s="16" t="e">
        <f>VLOOKUP(A1183,[4]Sales!$E:$G,3,FALSE)</f>
        <v>#N/A</v>
      </c>
      <c r="T1183" s="19" t="e">
        <f>VLOOKUP(A1183,[4]Volume!$E:$G,3,FALSE)</f>
        <v>#N/A</v>
      </c>
      <c r="U1183" s="19" t="e">
        <f>VLOOKUP(A1183,[4]Piece!$E:$G,3,FALSE)</f>
        <v>#N/A</v>
      </c>
      <c r="V1183" s="21" t="e">
        <f t="shared" si="74"/>
        <v>#N/A</v>
      </c>
      <c r="W1183" s="16" t="e">
        <f t="shared" si="75"/>
        <v>#N/A</v>
      </c>
    </row>
    <row r="1184" spans="1:23" hidden="1" x14ac:dyDescent="0.3">
      <c r="A1184" s="61" t="s">
        <v>2362</v>
      </c>
      <c r="B1184" s="61" t="s">
        <v>2362</v>
      </c>
      <c r="C1184" s="23" t="s">
        <v>33</v>
      </c>
      <c r="D1184" s="20" t="s">
        <v>34</v>
      </c>
      <c r="E1184" s="22" t="s">
        <v>2363</v>
      </c>
      <c r="F1184" s="24" t="str">
        <f t="shared" si="72"/>
        <v>PPG - GORI 88 Trans - Mix - 2.5ltr</v>
      </c>
      <c r="G1184" s="23" t="s">
        <v>6056</v>
      </c>
      <c r="H1184" s="25" t="s">
        <v>36</v>
      </c>
      <c r="I1184" s="18" t="s">
        <v>37</v>
      </c>
      <c r="J1184" s="18" t="s">
        <v>38</v>
      </c>
      <c r="K1184" t="s">
        <v>39</v>
      </c>
      <c r="L1184" s="26">
        <f>VLOOKUP(A1184,'[3]Price info'!A:D,4,FALSE)</f>
        <v>42.88</v>
      </c>
      <c r="M1184" s="18" t="s">
        <v>40</v>
      </c>
      <c r="N1184" s="20">
        <v>3105</v>
      </c>
      <c r="P1184" s="16">
        <f>VLOOKUP(A1184,'[3]Price info'!A:H,8,FALSE)</f>
        <v>31.2</v>
      </c>
      <c r="Q1184" s="33">
        <f t="shared" si="73"/>
        <v>0.7276119402985074</v>
      </c>
      <c r="S1184" s="16">
        <f>VLOOKUP(A1184,[4]Sales!$E:$G,3,FALSE)</f>
        <v>31.2</v>
      </c>
      <c r="T1184" s="19">
        <f>VLOOKUP(A1184,[4]Volume!$E:$G,3,FALSE)</f>
        <v>2.5</v>
      </c>
      <c r="U1184" s="19">
        <f>VLOOKUP(A1184,[4]Piece!$E:$G,3,FALSE)</f>
        <v>1</v>
      </c>
      <c r="V1184" s="21">
        <f t="shared" si="74"/>
        <v>31.2</v>
      </c>
      <c r="W1184" s="16">
        <f t="shared" si="75"/>
        <v>0</v>
      </c>
    </row>
    <row r="1185" spans="1:23" hidden="1" x14ac:dyDescent="0.3">
      <c r="A1185" s="61" t="s">
        <v>2364</v>
      </c>
      <c r="B1185" s="61" t="s">
        <v>2364</v>
      </c>
      <c r="C1185" s="23" t="s">
        <v>33</v>
      </c>
      <c r="D1185" s="20" t="s">
        <v>34</v>
      </c>
      <c r="E1185" s="22" t="s">
        <v>2365</v>
      </c>
      <c r="F1185" s="24" t="str">
        <f t="shared" si="72"/>
        <v>PPG - Leyland SMART MATT - Mix - 5ltr</v>
      </c>
      <c r="G1185" s="23" t="s">
        <v>6057</v>
      </c>
      <c r="H1185" s="25" t="s">
        <v>36</v>
      </c>
      <c r="I1185" s="18" t="s">
        <v>37</v>
      </c>
      <c r="J1185" s="18" t="s">
        <v>38</v>
      </c>
      <c r="K1185" t="s">
        <v>39</v>
      </c>
      <c r="L1185" s="26">
        <f>VLOOKUP(A1185,'[3]Price info'!A:D,4,FALSE)</f>
        <v>40.08</v>
      </c>
      <c r="M1185" s="18" t="s">
        <v>40</v>
      </c>
      <c r="N1185" s="20">
        <v>3105</v>
      </c>
      <c r="P1185" s="16">
        <f>VLOOKUP(A1185,'[3]Price info'!A:H,8,FALSE)</f>
        <v>40.08</v>
      </c>
      <c r="Q1185" s="33">
        <f t="shared" si="73"/>
        <v>1</v>
      </c>
      <c r="S1185" s="16" t="e">
        <f>VLOOKUP(A1185,[4]Sales!$E:$G,3,FALSE)</f>
        <v>#N/A</v>
      </c>
      <c r="T1185" s="19" t="e">
        <f>VLOOKUP(A1185,[4]Volume!$E:$G,3,FALSE)</f>
        <v>#N/A</v>
      </c>
      <c r="U1185" s="19" t="e">
        <f>VLOOKUP(A1185,[4]Piece!$E:$G,3,FALSE)</f>
        <v>#N/A</v>
      </c>
      <c r="V1185" s="21" t="e">
        <f t="shared" si="74"/>
        <v>#N/A</v>
      </c>
      <c r="W1185" s="16" t="e">
        <f t="shared" si="75"/>
        <v>#N/A</v>
      </c>
    </row>
    <row r="1186" spans="1:23" hidden="1" x14ac:dyDescent="0.3">
      <c r="A1186" s="61" t="s">
        <v>2366</v>
      </c>
      <c r="B1186" s="61" t="s">
        <v>2366</v>
      </c>
      <c r="C1186" s="23" t="s">
        <v>33</v>
      </c>
      <c r="D1186" s="20" t="s">
        <v>34</v>
      </c>
      <c r="E1186" s="22" t="s">
        <v>2367</v>
      </c>
      <c r="F1186" s="24" t="str">
        <f t="shared" si="72"/>
        <v>PPG - XXX</v>
      </c>
      <c r="G1186" s="23" t="s">
        <v>6058</v>
      </c>
      <c r="H1186" s="25" t="s">
        <v>36</v>
      </c>
      <c r="I1186" s="18" t="s">
        <v>37</v>
      </c>
      <c r="J1186" s="18" t="s">
        <v>38</v>
      </c>
      <c r="K1186" t="s">
        <v>39</v>
      </c>
      <c r="L1186" s="26">
        <f>VLOOKUP(A1186,'[3]Price info'!A:D,4,FALSE)</f>
        <v>14.11</v>
      </c>
      <c r="M1186" s="18" t="s">
        <v>40</v>
      </c>
      <c r="N1186" s="20">
        <v>3105</v>
      </c>
      <c r="P1186" s="16">
        <f>VLOOKUP(A1186,'[3]Price info'!A:H,8,FALSE)</f>
        <v>14.11</v>
      </c>
      <c r="Q1186" s="33">
        <f t="shared" si="73"/>
        <v>1</v>
      </c>
      <c r="S1186" s="16" t="e">
        <f>VLOOKUP(A1186,[4]Sales!$E:$G,3,FALSE)</f>
        <v>#N/A</v>
      </c>
      <c r="T1186" s="19" t="e">
        <f>VLOOKUP(A1186,[4]Volume!$E:$G,3,FALSE)</f>
        <v>#N/A</v>
      </c>
      <c r="U1186" s="19" t="e">
        <f>VLOOKUP(A1186,[4]Piece!$E:$G,3,FALSE)</f>
        <v>#N/A</v>
      </c>
      <c r="V1186" s="21" t="e">
        <f t="shared" si="74"/>
        <v>#N/A</v>
      </c>
      <c r="W1186" s="16" t="e">
        <f t="shared" si="75"/>
        <v>#N/A</v>
      </c>
    </row>
    <row r="1187" spans="1:23" hidden="1" x14ac:dyDescent="0.3">
      <c r="A1187" s="61" t="s">
        <v>2368</v>
      </c>
      <c r="B1187" s="61" t="s">
        <v>2368</v>
      </c>
      <c r="C1187" s="23" t="s">
        <v>33</v>
      </c>
      <c r="D1187" s="20" t="s">
        <v>34</v>
      </c>
      <c r="E1187" s="22" t="s">
        <v>2369</v>
      </c>
      <c r="F1187" s="24" t="str">
        <f t="shared" si="72"/>
        <v>PPG - Johnstones FLORTRED Black - 2.5ltr</v>
      </c>
      <c r="G1187" s="23" t="s">
        <v>6059</v>
      </c>
      <c r="H1187" s="25" t="s">
        <v>36</v>
      </c>
      <c r="I1187" s="18" t="s">
        <v>37</v>
      </c>
      <c r="J1187" s="18" t="s">
        <v>38</v>
      </c>
      <c r="K1187" t="s">
        <v>39</v>
      </c>
      <c r="L1187" s="26">
        <f>VLOOKUP(A1187,'[3]Price info'!A:D,4,FALSE)</f>
        <v>34.83</v>
      </c>
      <c r="M1187" s="18" t="s">
        <v>40</v>
      </c>
      <c r="N1187" s="20">
        <v>3105</v>
      </c>
      <c r="P1187" s="16">
        <f>VLOOKUP(A1187,'[3]Price info'!A:H,8,FALSE)</f>
        <v>34.83</v>
      </c>
      <c r="Q1187" s="33">
        <f t="shared" si="73"/>
        <v>1</v>
      </c>
      <c r="S1187" s="16">
        <f>VLOOKUP(A1187,[4]Sales!$E:$G,3,FALSE)</f>
        <v>0</v>
      </c>
      <c r="T1187" s="19">
        <f>VLOOKUP(A1187,[4]Volume!$E:$G,3,FALSE)</f>
        <v>0</v>
      </c>
      <c r="U1187" s="19">
        <f>VLOOKUP(A1187,[4]Piece!$E:$G,3,FALSE)</f>
        <v>0</v>
      </c>
      <c r="V1187" s="21">
        <f t="shared" si="74"/>
        <v>0</v>
      </c>
      <c r="W1187" s="16">
        <f t="shared" si="75"/>
        <v>0</v>
      </c>
    </row>
    <row r="1188" spans="1:23" hidden="1" x14ac:dyDescent="0.3">
      <c r="A1188" s="61" t="s">
        <v>2370</v>
      </c>
      <c r="B1188" s="61" t="s">
        <v>2370</v>
      </c>
      <c r="C1188" s="23" t="s">
        <v>33</v>
      </c>
      <c r="D1188" s="20" t="s">
        <v>34</v>
      </c>
      <c r="E1188" s="22" t="s">
        <v>2371</v>
      </c>
      <c r="F1188" s="24" t="str">
        <f t="shared" si="72"/>
        <v>PPG - Johnstones FLORTRED Dark Green - 5ltr</v>
      </c>
      <c r="G1188" s="23" t="s">
        <v>6060</v>
      </c>
      <c r="H1188" s="25" t="s">
        <v>36</v>
      </c>
      <c r="I1188" s="18" t="s">
        <v>37</v>
      </c>
      <c r="J1188" s="18" t="s">
        <v>38</v>
      </c>
      <c r="K1188" t="s">
        <v>39</v>
      </c>
      <c r="L1188" s="26">
        <f>VLOOKUP(A1188,'[3]Price info'!A:D,4,FALSE)</f>
        <v>22.63</v>
      </c>
      <c r="M1188" s="18" t="s">
        <v>40</v>
      </c>
      <c r="N1188" s="20">
        <v>3105</v>
      </c>
      <c r="P1188" s="16">
        <f>VLOOKUP(A1188,'[3]Price info'!A:H,8,FALSE)</f>
        <v>22.63</v>
      </c>
      <c r="Q1188" s="33">
        <f t="shared" si="73"/>
        <v>1</v>
      </c>
      <c r="S1188" s="16" t="e">
        <f>VLOOKUP(A1188,[4]Sales!$E:$G,3,FALSE)</f>
        <v>#N/A</v>
      </c>
      <c r="T1188" s="19" t="e">
        <f>VLOOKUP(A1188,[4]Volume!$E:$G,3,FALSE)</f>
        <v>#N/A</v>
      </c>
      <c r="U1188" s="19" t="e">
        <f>VLOOKUP(A1188,[4]Piece!$E:$G,3,FALSE)</f>
        <v>#N/A</v>
      </c>
      <c r="V1188" s="21" t="e">
        <f t="shared" si="74"/>
        <v>#N/A</v>
      </c>
      <c r="W1188" s="16" t="e">
        <f t="shared" si="75"/>
        <v>#N/A</v>
      </c>
    </row>
    <row r="1189" spans="1:23" hidden="1" x14ac:dyDescent="0.3">
      <c r="A1189" s="61" t="s">
        <v>2372</v>
      </c>
      <c r="B1189" s="61" t="s">
        <v>2372</v>
      </c>
      <c r="C1189" s="23" t="s">
        <v>33</v>
      </c>
      <c r="D1189" s="20" t="s">
        <v>34</v>
      </c>
      <c r="E1189" s="22" t="s">
        <v>2373</v>
      </c>
      <c r="F1189" s="24" t="str">
        <f t="shared" si="72"/>
        <v>PPG - Johnstones FLORTRED Sherwood Green - 5ltr</v>
      </c>
      <c r="G1189" s="23" t="s">
        <v>6061</v>
      </c>
      <c r="H1189" s="25" t="s">
        <v>36</v>
      </c>
      <c r="I1189" s="18" t="s">
        <v>37</v>
      </c>
      <c r="J1189" s="18" t="s">
        <v>38</v>
      </c>
      <c r="K1189" t="s">
        <v>39</v>
      </c>
      <c r="L1189" s="26">
        <f>VLOOKUP(A1189,'[3]Price info'!A:D,4,FALSE)</f>
        <v>22.63</v>
      </c>
      <c r="M1189" s="18" t="s">
        <v>40</v>
      </c>
      <c r="N1189" s="20">
        <v>3105</v>
      </c>
      <c r="P1189" s="16">
        <f>VLOOKUP(A1189,'[3]Price info'!A:H,8,FALSE)</f>
        <v>22.63</v>
      </c>
      <c r="Q1189" s="33">
        <f t="shared" si="73"/>
        <v>1</v>
      </c>
      <c r="S1189" s="16">
        <f>VLOOKUP(A1189,[4]Sales!$E:$G,3,FALSE)</f>
        <v>22.63</v>
      </c>
      <c r="T1189" s="19">
        <f>VLOOKUP(A1189,[4]Volume!$E:$G,3,FALSE)</f>
        <v>5</v>
      </c>
      <c r="U1189" s="19">
        <f>VLOOKUP(A1189,[4]Piece!$E:$G,3,FALSE)</f>
        <v>1</v>
      </c>
      <c r="V1189" s="21">
        <f t="shared" si="74"/>
        <v>22.63</v>
      </c>
      <c r="W1189" s="16">
        <f t="shared" si="75"/>
        <v>0</v>
      </c>
    </row>
    <row r="1190" spans="1:23" hidden="1" x14ac:dyDescent="0.3">
      <c r="A1190" s="61" t="s">
        <v>2374</v>
      </c>
      <c r="B1190" s="61" t="s">
        <v>2374</v>
      </c>
      <c r="C1190" s="23" t="s">
        <v>33</v>
      </c>
      <c r="D1190" s="20" t="s">
        <v>34</v>
      </c>
      <c r="E1190" s="22" t="s">
        <v>2375</v>
      </c>
      <c r="F1190" s="24" t="str">
        <f t="shared" si="72"/>
        <v>PPG - Johnstones FLORTRED Safety Red - 5ltr</v>
      </c>
      <c r="G1190" s="23" t="s">
        <v>6062</v>
      </c>
      <c r="H1190" s="25" t="s">
        <v>36</v>
      </c>
      <c r="I1190" s="18" t="s">
        <v>37</v>
      </c>
      <c r="J1190" s="18" t="s">
        <v>38</v>
      </c>
      <c r="K1190" t="s">
        <v>39</v>
      </c>
      <c r="L1190" s="26">
        <f>VLOOKUP(A1190,'[3]Price info'!A:D,4,FALSE)</f>
        <v>22.63</v>
      </c>
      <c r="M1190" s="18" t="s">
        <v>40</v>
      </c>
      <c r="N1190" s="20">
        <v>3105</v>
      </c>
      <c r="P1190" s="16">
        <f>VLOOKUP(A1190,'[3]Price info'!A:H,8,FALSE)</f>
        <v>22.63</v>
      </c>
      <c r="Q1190" s="33">
        <f t="shared" si="73"/>
        <v>1</v>
      </c>
      <c r="S1190" s="16">
        <f>VLOOKUP(A1190,[4]Sales!$E:$G,3,FALSE)</f>
        <v>151.51</v>
      </c>
      <c r="T1190" s="19">
        <f>VLOOKUP(A1190,[4]Volume!$E:$G,3,FALSE)</f>
        <v>35</v>
      </c>
      <c r="U1190" s="19">
        <f>VLOOKUP(A1190,[4]Piece!$E:$G,3,FALSE)</f>
        <v>7</v>
      </c>
      <c r="V1190" s="21">
        <f t="shared" si="74"/>
        <v>158.41</v>
      </c>
      <c r="W1190" s="16">
        <f t="shared" si="75"/>
        <v>6.9000000000000057</v>
      </c>
    </row>
    <row r="1191" spans="1:23" hidden="1" x14ac:dyDescent="0.3">
      <c r="A1191" s="61" t="s">
        <v>2376</v>
      </c>
      <c r="B1191" s="61" t="s">
        <v>2376</v>
      </c>
      <c r="C1191" s="23" t="s">
        <v>33</v>
      </c>
      <c r="D1191" s="20" t="s">
        <v>34</v>
      </c>
      <c r="E1191" s="22" t="s">
        <v>2377</v>
      </c>
      <c r="F1191" s="24" t="str">
        <f t="shared" si="72"/>
        <v>PPG - Johnstones CLEANABLE MATT - Mix - 1ltr</v>
      </c>
      <c r="G1191" s="23" t="s">
        <v>6063</v>
      </c>
      <c r="H1191" s="25" t="s">
        <v>36</v>
      </c>
      <c r="I1191" s="18" t="s">
        <v>37</v>
      </c>
      <c r="J1191" s="18" t="s">
        <v>38</v>
      </c>
      <c r="K1191" t="s">
        <v>39</v>
      </c>
      <c r="L1191" s="26">
        <f>VLOOKUP(A1191,'[3]Price info'!A:D,4,FALSE)</f>
        <v>15.16</v>
      </c>
      <c r="M1191" s="18" t="s">
        <v>40</v>
      </c>
      <c r="N1191" s="20">
        <v>3105</v>
      </c>
      <c r="P1191" s="16">
        <f>VLOOKUP(A1191,'[3]Price info'!A:H,8,FALSE)</f>
        <v>12.14</v>
      </c>
      <c r="Q1191" s="33">
        <f t="shared" si="73"/>
        <v>0.80079155672823221</v>
      </c>
      <c r="S1191" s="16" t="e">
        <f>VLOOKUP(A1191,[4]Sales!$E:$G,3,FALSE)</f>
        <v>#N/A</v>
      </c>
      <c r="T1191" s="19" t="e">
        <f>VLOOKUP(A1191,[4]Volume!$E:$G,3,FALSE)</f>
        <v>#N/A</v>
      </c>
      <c r="U1191" s="19" t="e">
        <f>VLOOKUP(A1191,[4]Piece!$E:$G,3,FALSE)</f>
        <v>#N/A</v>
      </c>
      <c r="V1191" s="21" t="e">
        <f t="shared" si="74"/>
        <v>#N/A</v>
      </c>
      <c r="W1191" s="16" t="e">
        <f t="shared" si="75"/>
        <v>#N/A</v>
      </c>
    </row>
    <row r="1192" spans="1:23" hidden="1" x14ac:dyDescent="0.3">
      <c r="A1192" s="61" t="s">
        <v>2378</v>
      </c>
      <c r="B1192" s="61" t="s">
        <v>2378</v>
      </c>
      <c r="C1192" s="23" t="s">
        <v>33</v>
      </c>
      <c r="D1192" s="20" t="s">
        <v>34</v>
      </c>
      <c r="E1192" s="22" t="s">
        <v>2379</v>
      </c>
      <c r="F1192" s="24" t="str">
        <f t="shared" si="72"/>
        <v>PPG - Johnstones CLEANABLE MATT - Mix - 2.5ltr</v>
      </c>
      <c r="G1192" s="23" t="s">
        <v>6064</v>
      </c>
      <c r="H1192" s="25" t="s">
        <v>36</v>
      </c>
      <c r="I1192" s="18" t="s">
        <v>37</v>
      </c>
      <c r="J1192" s="18" t="s">
        <v>38</v>
      </c>
      <c r="K1192" t="s">
        <v>39</v>
      </c>
      <c r="L1192" s="26">
        <f>VLOOKUP(A1192,'[3]Price info'!A:D,4,FALSE)</f>
        <v>30.66</v>
      </c>
      <c r="M1192" s="18" t="s">
        <v>40</v>
      </c>
      <c r="N1192" s="20">
        <v>3105</v>
      </c>
      <c r="P1192" s="16">
        <f>VLOOKUP(A1192,'[3]Price info'!A:H,8,FALSE)</f>
        <v>18.5</v>
      </c>
      <c r="Q1192" s="33">
        <f t="shared" si="73"/>
        <v>0.60339204174820615</v>
      </c>
      <c r="S1192" s="16">
        <f>VLOOKUP(A1192,[4]Sales!$E:$G,3,FALSE)</f>
        <v>742.56999999999994</v>
      </c>
      <c r="T1192" s="19">
        <f>VLOOKUP(A1192,[4]Volume!$E:$G,3,FALSE)</f>
        <v>67.5</v>
      </c>
      <c r="U1192" s="19">
        <f>VLOOKUP(A1192,[4]Piece!$E:$G,3,FALSE)</f>
        <v>27</v>
      </c>
      <c r="V1192" s="21">
        <f t="shared" si="74"/>
        <v>499.5</v>
      </c>
      <c r="W1192" s="16">
        <f t="shared" si="75"/>
        <v>-243.06999999999994</v>
      </c>
    </row>
    <row r="1193" spans="1:23" hidden="1" x14ac:dyDescent="0.3">
      <c r="A1193" s="61" t="s">
        <v>2380</v>
      </c>
      <c r="B1193" s="61" t="s">
        <v>2380</v>
      </c>
      <c r="C1193" s="23" t="s">
        <v>33</v>
      </c>
      <c r="D1193" s="20" t="s">
        <v>34</v>
      </c>
      <c r="E1193" s="22" t="s">
        <v>2381</v>
      </c>
      <c r="F1193" s="24" t="str">
        <f t="shared" si="72"/>
        <v>PPG - Leyland SMART MATT - Brilliant White - 2.5l</v>
      </c>
      <c r="G1193" s="23" t="s">
        <v>6065</v>
      </c>
      <c r="H1193" s="25" t="s">
        <v>36</v>
      </c>
      <c r="I1193" s="18" t="s">
        <v>37</v>
      </c>
      <c r="J1193" s="18" t="s">
        <v>38</v>
      </c>
      <c r="K1193" t="s">
        <v>39</v>
      </c>
      <c r="L1193" s="26">
        <f>VLOOKUP(A1193,'[3]Price info'!A:D,4,FALSE)</f>
        <v>21.88</v>
      </c>
      <c r="M1193" s="18" t="s">
        <v>40</v>
      </c>
      <c r="N1193" s="20">
        <v>3105</v>
      </c>
      <c r="P1193" s="16">
        <f>VLOOKUP(A1193,'[3]Price info'!A:H,8,FALSE)</f>
        <v>21.88</v>
      </c>
      <c r="Q1193" s="33">
        <f t="shared" si="73"/>
        <v>1</v>
      </c>
      <c r="S1193" s="16" t="e">
        <f>VLOOKUP(A1193,[4]Sales!$E:$G,3,FALSE)</f>
        <v>#N/A</v>
      </c>
      <c r="T1193" s="19" t="e">
        <f>VLOOKUP(A1193,[4]Volume!$E:$G,3,FALSE)</f>
        <v>#N/A</v>
      </c>
      <c r="U1193" s="19" t="e">
        <f>VLOOKUP(A1193,[4]Piece!$E:$G,3,FALSE)</f>
        <v>#N/A</v>
      </c>
      <c r="V1193" s="21" t="e">
        <f t="shared" si="74"/>
        <v>#N/A</v>
      </c>
      <c r="W1193" s="16" t="e">
        <f t="shared" si="75"/>
        <v>#N/A</v>
      </c>
    </row>
    <row r="1194" spans="1:23" hidden="1" x14ac:dyDescent="0.3">
      <c r="A1194" s="61" t="s">
        <v>2382</v>
      </c>
      <c r="B1194" s="61" t="s">
        <v>2382</v>
      </c>
      <c r="C1194" s="23" t="s">
        <v>33</v>
      </c>
      <c r="D1194" s="20" t="s">
        <v>34</v>
      </c>
      <c r="E1194" s="22" t="s">
        <v>2383</v>
      </c>
      <c r="F1194" s="24" t="str">
        <f t="shared" si="72"/>
        <v>PPG - Leyland SMART MATT - Brilliant White - 5ltr</v>
      </c>
      <c r="G1194" s="23" t="s">
        <v>6066</v>
      </c>
      <c r="H1194" s="25" t="s">
        <v>36</v>
      </c>
      <c r="I1194" s="18" t="s">
        <v>37</v>
      </c>
      <c r="J1194" s="18" t="s">
        <v>38</v>
      </c>
      <c r="K1194" t="s">
        <v>39</v>
      </c>
      <c r="L1194" s="26">
        <f>VLOOKUP(A1194,'[3]Price info'!A:D,4,FALSE)</f>
        <v>36.43</v>
      </c>
      <c r="M1194" s="18" t="s">
        <v>40</v>
      </c>
      <c r="N1194" s="20">
        <v>3105</v>
      </c>
      <c r="P1194" s="16">
        <f>VLOOKUP(A1194,'[3]Price info'!A:H,8,FALSE)</f>
        <v>36.43</v>
      </c>
      <c r="Q1194" s="33">
        <f t="shared" si="73"/>
        <v>1</v>
      </c>
      <c r="S1194" s="16" t="e">
        <f>VLOOKUP(A1194,[4]Sales!$E:$G,3,FALSE)</f>
        <v>#N/A</v>
      </c>
      <c r="T1194" s="19" t="e">
        <f>VLOOKUP(A1194,[4]Volume!$E:$G,3,FALSE)</f>
        <v>#N/A</v>
      </c>
      <c r="U1194" s="19" t="e">
        <f>VLOOKUP(A1194,[4]Piece!$E:$G,3,FALSE)</f>
        <v>#N/A</v>
      </c>
      <c r="V1194" s="21" t="e">
        <f t="shared" si="74"/>
        <v>#N/A</v>
      </c>
      <c r="W1194" s="16" t="e">
        <f t="shared" si="75"/>
        <v>#N/A</v>
      </c>
    </row>
    <row r="1195" spans="1:23" hidden="1" x14ac:dyDescent="0.3">
      <c r="A1195" s="61" t="s">
        <v>2384</v>
      </c>
      <c r="B1195" s="61" t="s">
        <v>2384</v>
      </c>
      <c r="C1195" s="23" t="s">
        <v>33</v>
      </c>
      <c r="D1195" s="20" t="s">
        <v>34</v>
      </c>
      <c r="E1195" s="22" t="s">
        <v>2385</v>
      </c>
      <c r="F1195" s="24" t="str">
        <f t="shared" si="72"/>
        <v>PPG - Leyland SMART MATT - Brilliant White - 10ltr</v>
      </c>
      <c r="G1195" s="23" t="s">
        <v>6067</v>
      </c>
      <c r="H1195" s="25" t="s">
        <v>36</v>
      </c>
      <c r="I1195" s="18" t="s">
        <v>37</v>
      </c>
      <c r="J1195" s="18" t="s">
        <v>38</v>
      </c>
      <c r="K1195" t="s">
        <v>39</v>
      </c>
      <c r="L1195" s="26">
        <f>VLOOKUP(A1195,'[3]Price info'!A:D,4,FALSE)</f>
        <v>66.2</v>
      </c>
      <c r="M1195" s="18" t="s">
        <v>40</v>
      </c>
      <c r="N1195" s="20">
        <v>3105</v>
      </c>
      <c r="P1195" s="16">
        <f>VLOOKUP(A1195,'[3]Price info'!A:H,8,FALSE)</f>
        <v>66.2</v>
      </c>
      <c r="Q1195" s="33">
        <f t="shared" si="73"/>
        <v>1</v>
      </c>
      <c r="S1195" s="16" t="e">
        <f>VLOOKUP(A1195,[4]Sales!$E:$G,3,FALSE)</f>
        <v>#N/A</v>
      </c>
      <c r="T1195" s="19" t="e">
        <f>VLOOKUP(A1195,[4]Volume!$E:$G,3,FALSE)</f>
        <v>#N/A</v>
      </c>
      <c r="U1195" s="19" t="e">
        <f>VLOOKUP(A1195,[4]Piece!$E:$G,3,FALSE)</f>
        <v>#N/A</v>
      </c>
      <c r="V1195" s="21" t="e">
        <f t="shared" si="74"/>
        <v>#N/A</v>
      </c>
      <c r="W1195" s="16" t="e">
        <f t="shared" si="75"/>
        <v>#N/A</v>
      </c>
    </row>
    <row r="1196" spans="1:23" hidden="1" x14ac:dyDescent="0.3">
      <c r="A1196" s="61" t="s">
        <v>2386</v>
      </c>
      <c r="B1196" s="61" t="s">
        <v>2386</v>
      </c>
      <c r="C1196" s="23" t="s">
        <v>33</v>
      </c>
      <c r="D1196" s="20" t="s">
        <v>34</v>
      </c>
      <c r="E1196" s="22" t="s">
        <v>2387</v>
      </c>
      <c r="F1196" s="24" t="str">
        <f t="shared" si="72"/>
        <v>PPG - Leyland SMART MATT - Magnolia - 2.5ltr</v>
      </c>
      <c r="G1196" s="23" t="s">
        <v>6068</v>
      </c>
      <c r="H1196" s="25" t="s">
        <v>36</v>
      </c>
      <c r="I1196" s="18" t="s">
        <v>37</v>
      </c>
      <c r="J1196" s="18" t="s">
        <v>38</v>
      </c>
      <c r="K1196" t="s">
        <v>39</v>
      </c>
      <c r="L1196" s="26">
        <f>VLOOKUP(A1196,'[3]Price info'!A:D,4,FALSE)</f>
        <v>21.88</v>
      </c>
      <c r="M1196" s="18" t="s">
        <v>40</v>
      </c>
      <c r="N1196" s="20">
        <v>3105</v>
      </c>
      <c r="P1196" s="16">
        <f>VLOOKUP(A1196,'[3]Price info'!A:H,8,FALSE)</f>
        <v>21.88</v>
      </c>
      <c r="Q1196" s="33">
        <f t="shared" si="73"/>
        <v>1</v>
      </c>
      <c r="S1196" s="16" t="e">
        <f>VLOOKUP(A1196,[4]Sales!$E:$G,3,FALSE)</f>
        <v>#N/A</v>
      </c>
      <c r="T1196" s="19" t="e">
        <f>VLOOKUP(A1196,[4]Volume!$E:$G,3,FALSE)</f>
        <v>#N/A</v>
      </c>
      <c r="U1196" s="19" t="e">
        <f>VLOOKUP(A1196,[4]Piece!$E:$G,3,FALSE)</f>
        <v>#N/A</v>
      </c>
      <c r="V1196" s="21" t="e">
        <f t="shared" si="74"/>
        <v>#N/A</v>
      </c>
      <c r="W1196" s="16" t="e">
        <f t="shared" si="75"/>
        <v>#N/A</v>
      </c>
    </row>
    <row r="1197" spans="1:23" hidden="1" x14ac:dyDescent="0.3">
      <c r="A1197" s="61" t="s">
        <v>2388</v>
      </c>
      <c r="B1197" s="61" t="s">
        <v>2388</v>
      </c>
      <c r="C1197" s="23" t="s">
        <v>33</v>
      </c>
      <c r="D1197" s="20" t="s">
        <v>34</v>
      </c>
      <c r="E1197" s="22" t="s">
        <v>2389</v>
      </c>
      <c r="F1197" s="24" t="str">
        <f t="shared" si="72"/>
        <v>PPG - Leyland SMART MATT - Magnolia - 5ltr</v>
      </c>
      <c r="G1197" s="23" t="s">
        <v>6069</v>
      </c>
      <c r="H1197" s="25" t="s">
        <v>36</v>
      </c>
      <c r="I1197" s="18" t="s">
        <v>37</v>
      </c>
      <c r="J1197" s="18" t="s">
        <v>38</v>
      </c>
      <c r="K1197" t="s">
        <v>39</v>
      </c>
      <c r="L1197" s="26">
        <f>VLOOKUP(A1197,'[3]Price info'!A:D,4,FALSE)</f>
        <v>36.43</v>
      </c>
      <c r="M1197" s="18" t="s">
        <v>40</v>
      </c>
      <c r="N1197" s="20">
        <v>3105</v>
      </c>
      <c r="P1197" s="16">
        <f>VLOOKUP(A1197,'[3]Price info'!A:H,8,FALSE)</f>
        <v>36.43</v>
      </c>
      <c r="Q1197" s="33">
        <f t="shared" si="73"/>
        <v>1</v>
      </c>
      <c r="S1197" s="16" t="e">
        <f>VLOOKUP(A1197,[4]Sales!$E:$G,3,FALSE)</f>
        <v>#N/A</v>
      </c>
      <c r="T1197" s="19" t="e">
        <f>VLOOKUP(A1197,[4]Volume!$E:$G,3,FALSE)</f>
        <v>#N/A</v>
      </c>
      <c r="U1197" s="19" t="e">
        <f>VLOOKUP(A1197,[4]Piece!$E:$G,3,FALSE)</f>
        <v>#N/A</v>
      </c>
      <c r="V1197" s="21" t="e">
        <f t="shared" si="74"/>
        <v>#N/A</v>
      </c>
      <c r="W1197" s="16" t="e">
        <f t="shared" si="75"/>
        <v>#N/A</v>
      </c>
    </row>
    <row r="1198" spans="1:23" hidden="1" x14ac:dyDescent="0.3">
      <c r="A1198" s="61" t="s">
        <v>2390</v>
      </c>
      <c r="B1198" s="61" t="s">
        <v>2390</v>
      </c>
      <c r="C1198" s="23" t="s">
        <v>33</v>
      </c>
      <c r="D1198" s="20" t="s">
        <v>34</v>
      </c>
      <c r="E1198" s="22" t="s">
        <v>2391</v>
      </c>
      <c r="F1198" s="24" t="str">
        <f t="shared" si="72"/>
        <v>PPG - Leyland SMART MATT - Magnolia - 10ltr</v>
      </c>
      <c r="G1198" s="23" t="s">
        <v>6070</v>
      </c>
      <c r="H1198" s="25" t="s">
        <v>36</v>
      </c>
      <c r="I1198" s="18" t="s">
        <v>37</v>
      </c>
      <c r="J1198" s="18" t="s">
        <v>38</v>
      </c>
      <c r="K1198" t="s">
        <v>39</v>
      </c>
      <c r="L1198" s="26">
        <f>VLOOKUP(A1198,'[3]Price info'!A:D,4,FALSE)</f>
        <v>66.2</v>
      </c>
      <c r="M1198" s="18" t="s">
        <v>40</v>
      </c>
      <c r="N1198" s="20">
        <v>3105</v>
      </c>
      <c r="P1198" s="16">
        <f>VLOOKUP(A1198,'[3]Price info'!A:H,8,FALSE)</f>
        <v>66.2</v>
      </c>
      <c r="Q1198" s="33">
        <f t="shared" si="73"/>
        <v>1</v>
      </c>
      <c r="S1198" s="16" t="e">
        <f>VLOOKUP(A1198,[4]Sales!$E:$G,3,FALSE)</f>
        <v>#N/A</v>
      </c>
      <c r="T1198" s="19" t="e">
        <f>VLOOKUP(A1198,[4]Volume!$E:$G,3,FALSE)</f>
        <v>#N/A</v>
      </c>
      <c r="U1198" s="19" t="e">
        <f>VLOOKUP(A1198,[4]Piece!$E:$G,3,FALSE)</f>
        <v>#N/A</v>
      </c>
      <c r="V1198" s="21" t="e">
        <f t="shared" si="74"/>
        <v>#N/A</v>
      </c>
      <c r="W1198" s="16" t="e">
        <f t="shared" si="75"/>
        <v>#N/A</v>
      </c>
    </row>
    <row r="1199" spans="1:23" hidden="1" x14ac:dyDescent="0.3">
      <c r="A1199" s="61" t="s">
        <v>2392</v>
      </c>
      <c r="B1199" s="61" t="s">
        <v>2392</v>
      </c>
      <c r="C1199" s="23" t="s">
        <v>33</v>
      </c>
      <c r="D1199" s="20" t="s">
        <v>34</v>
      </c>
      <c r="E1199" s="22" t="s">
        <v>2393</v>
      </c>
      <c r="F1199" s="24" t="str">
        <f t="shared" si="72"/>
        <v>PPG - Leyland SMART MATT - Tornado - 2.5ltr</v>
      </c>
      <c r="G1199" s="23" t="s">
        <v>6071</v>
      </c>
      <c r="H1199" s="25" t="s">
        <v>36</v>
      </c>
      <c r="I1199" s="18" t="s">
        <v>37</v>
      </c>
      <c r="J1199" s="18" t="s">
        <v>38</v>
      </c>
      <c r="K1199" t="s">
        <v>39</v>
      </c>
      <c r="L1199" s="26">
        <f>VLOOKUP(A1199,'[3]Price info'!A:D,4,FALSE)</f>
        <v>24.07</v>
      </c>
      <c r="M1199" s="18" t="s">
        <v>40</v>
      </c>
      <c r="N1199" s="20">
        <v>3105</v>
      </c>
      <c r="P1199" s="16">
        <f>VLOOKUP(A1199,'[3]Price info'!A:H,8,FALSE)</f>
        <v>24.07</v>
      </c>
      <c r="Q1199" s="33">
        <f t="shared" si="73"/>
        <v>1</v>
      </c>
      <c r="S1199" s="16" t="e">
        <f>VLOOKUP(A1199,[4]Sales!$E:$G,3,FALSE)</f>
        <v>#N/A</v>
      </c>
      <c r="T1199" s="19" t="e">
        <f>VLOOKUP(A1199,[4]Volume!$E:$G,3,FALSE)</f>
        <v>#N/A</v>
      </c>
      <c r="U1199" s="19" t="e">
        <f>VLOOKUP(A1199,[4]Piece!$E:$G,3,FALSE)</f>
        <v>#N/A</v>
      </c>
      <c r="V1199" s="21" t="e">
        <f t="shared" si="74"/>
        <v>#N/A</v>
      </c>
      <c r="W1199" s="16" t="e">
        <f t="shared" si="75"/>
        <v>#N/A</v>
      </c>
    </row>
    <row r="1200" spans="1:23" hidden="1" x14ac:dyDescent="0.3">
      <c r="A1200" s="61" t="s">
        <v>2394</v>
      </c>
      <c r="B1200" s="61" t="s">
        <v>2394</v>
      </c>
      <c r="C1200" s="23" t="s">
        <v>33</v>
      </c>
      <c r="D1200" s="20" t="s">
        <v>34</v>
      </c>
      <c r="E1200" s="22" t="s">
        <v>2395</v>
      </c>
      <c r="F1200" s="24" t="str">
        <f t="shared" si="72"/>
        <v>PPG - Leyland SMART MATT - Tornado - 5ltr</v>
      </c>
      <c r="G1200" s="23" t="s">
        <v>6072</v>
      </c>
      <c r="H1200" s="25" t="s">
        <v>36</v>
      </c>
      <c r="I1200" s="18" t="s">
        <v>37</v>
      </c>
      <c r="J1200" s="18" t="s">
        <v>38</v>
      </c>
      <c r="K1200" t="s">
        <v>39</v>
      </c>
      <c r="L1200" s="26">
        <f>VLOOKUP(A1200,'[3]Price info'!A:D,4,FALSE)</f>
        <v>40.08</v>
      </c>
      <c r="M1200" s="18" t="s">
        <v>40</v>
      </c>
      <c r="N1200" s="20">
        <v>3105</v>
      </c>
      <c r="P1200" s="16">
        <f>VLOOKUP(A1200,'[3]Price info'!A:H,8,FALSE)</f>
        <v>40.08</v>
      </c>
      <c r="Q1200" s="33">
        <f t="shared" si="73"/>
        <v>1</v>
      </c>
      <c r="S1200" s="16" t="e">
        <f>VLOOKUP(A1200,[4]Sales!$E:$G,3,FALSE)</f>
        <v>#N/A</v>
      </c>
      <c r="T1200" s="19" t="e">
        <f>VLOOKUP(A1200,[4]Volume!$E:$G,3,FALSE)</f>
        <v>#N/A</v>
      </c>
      <c r="U1200" s="19" t="e">
        <f>VLOOKUP(A1200,[4]Piece!$E:$G,3,FALSE)</f>
        <v>#N/A</v>
      </c>
      <c r="V1200" s="21" t="e">
        <f t="shared" si="74"/>
        <v>#N/A</v>
      </c>
      <c r="W1200" s="16" t="e">
        <f t="shared" si="75"/>
        <v>#N/A</v>
      </c>
    </row>
    <row r="1201" spans="1:23" hidden="1" x14ac:dyDescent="0.3">
      <c r="A1201" s="61" t="s">
        <v>2396</v>
      </c>
      <c r="B1201" s="61" t="s">
        <v>2396</v>
      </c>
      <c r="C1201" s="23" t="s">
        <v>33</v>
      </c>
      <c r="D1201" s="20" t="s">
        <v>34</v>
      </c>
      <c r="E1201" s="22" t="s">
        <v>2397</v>
      </c>
      <c r="F1201" s="24" t="str">
        <f t="shared" si="72"/>
        <v>PPG - Leyland SMART MATT - Tornado - 10ltr</v>
      </c>
      <c r="G1201" s="23" t="s">
        <v>6073</v>
      </c>
      <c r="H1201" s="25" t="s">
        <v>36</v>
      </c>
      <c r="I1201" s="18" t="s">
        <v>37</v>
      </c>
      <c r="J1201" s="18" t="s">
        <v>38</v>
      </c>
      <c r="K1201" t="s">
        <v>39</v>
      </c>
      <c r="L1201" s="26">
        <f>VLOOKUP(A1201,'[3]Price info'!A:D,4,FALSE)</f>
        <v>72.81</v>
      </c>
      <c r="M1201" s="18" t="s">
        <v>40</v>
      </c>
      <c r="N1201" s="20">
        <v>3105</v>
      </c>
      <c r="P1201" s="16">
        <f>VLOOKUP(A1201,'[3]Price info'!A:H,8,FALSE)</f>
        <v>72.81</v>
      </c>
      <c r="Q1201" s="33">
        <f t="shared" si="73"/>
        <v>1</v>
      </c>
      <c r="S1201" s="16" t="e">
        <f>VLOOKUP(A1201,[4]Sales!$E:$G,3,FALSE)</f>
        <v>#N/A</v>
      </c>
      <c r="T1201" s="19" t="e">
        <f>VLOOKUP(A1201,[4]Volume!$E:$G,3,FALSE)</f>
        <v>#N/A</v>
      </c>
      <c r="U1201" s="19" t="e">
        <f>VLOOKUP(A1201,[4]Piece!$E:$G,3,FALSE)</f>
        <v>#N/A</v>
      </c>
      <c r="V1201" s="21" t="e">
        <f t="shared" si="74"/>
        <v>#N/A</v>
      </c>
      <c r="W1201" s="16" t="e">
        <f t="shared" si="75"/>
        <v>#N/A</v>
      </c>
    </row>
    <row r="1202" spans="1:23" hidden="1" x14ac:dyDescent="0.3">
      <c r="A1202" s="61" t="s">
        <v>2398</v>
      </c>
      <c r="B1202" s="61" t="s">
        <v>2398</v>
      </c>
      <c r="C1202" s="23" t="s">
        <v>33</v>
      </c>
      <c r="D1202" s="20" t="s">
        <v>34</v>
      </c>
      <c r="E1202" s="22" t="s">
        <v>2399</v>
      </c>
      <c r="F1202" s="24" t="str">
        <f t="shared" si="72"/>
        <v>PPG - Johnstones CLEANABLE MATT - BW - 2.5ltr</v>
      </c>
      <c r="G1202" s="23" t="s">
        <v>6074</v>
      </c>
      <c r="H1202" s="25" t="s">
        <v>36</v>
      </c>
      <c r="I1202" s="18" t="s">
        <v>37</v>
      </c>
      <c r="J1202" s="18" t="s">
        <v>38</v>
      </c>
      <c r="K1202" t="s">
        <v>39</v>
      </c>
      <c r="L1202" s="26">
        <f>VLOOKUP(A1202,'[3]Price info'!A:D,4,FALSE)</f>
        <v>21.9</v>
      </c>
      <c r="M1202" s="18" t="s">
        <v>40</v>
      </c>
      <c r="N1202" s="20">
        <v>3105</v>
      </c>
      <c r="P1202" s="16">
        <f>VLOOKUP(A1202,'[3]Price info'!A:H,8,FALSE)</f>
        <v>16.650000000000002</v>
      </c>
      <c r="Q1202" s="33">
        <f t="shared" si="73"/>
        <v>0.76027397260273988</v>
      </c>
      <c r="S1202" s="16">
        <f>VLOOKUP(A1202,[4]Sales!$E:$G,3,FALSE)</f>
        <v>33.299999999999997</v>
      </c>
      <c r="T1202" s="19">
        <f>VLOOKUP(A1202,[4]Volume!$E:$G,3,FALSE)</f>
        <v>5</v>
      </c>
      <c r="U1202" s="19">
        <f>VLOOKUP(A1202,[4]Piece!$E:$G,3,FALSE)</f>
        <v>2</v>
      </c>
      <c r="V1202" s="21">
        <f t="shared" si="74"/>
        <v>33.300000000000004</v>
      </c>
      <c r="W1202" s="16">
        <f t="shared" si="75"/>
        <v>0</v>
      </c>
    </row>
    <row r="1203" spans="1:23" hidden="1" x14ac:dyDescent="0.3">
      <c r="A1203" s="61" t="s">
        <v>2400</v>
      </c>
      <c r="B1203" s="61" t="s">
        <v>2400</v>
      </c>
      <c r="C1203" s="23" t="s">
        <v>33</v>
      </c>
      <c r="D1203" s="20" t="s">
        <v>34</v>
      </c>
      <c r="E1203" s="22" t="s">
        <v>2401</v>
      </c>
      <c r="F1203" s="24" t="str">
        <f t="shared" si="72"/>
        <v>PPG - Johnstones CLEANABLE MATT - BW - 5ltr</v>
      </c>
      <c r="G1203" s="23" t="s">
        <v>6075</v>
      </c>
      <c r="H1203" s="25" t="s">
        <v>36</v>
      </c>
      <c r="I1203" s="18" t="s">
        <v>37</v>
      </c>
      <c r="J1203" s="18" t="s">
        <v>38</v>
      </c>
      <c r="K1203" t="s">
        <v>39</v>
      </c>
      <c r="L1203" s="26">
        <f>VLOOKUP(A1203,'[3]Price info'!A:D,4,FALSE)</f>
        <v>39.880000000000003</v>
      </c>
      <c r="M1203" s="18" t="s">
        <v>40</v>
      </c>
      <c r="N1203" s="20">
        <v>3105</v>
      </c>
      <c r="P1203" s="16">
        <f>VLOOKUP(A1203,'[3]Price info'!A:H,8,FALSE)</f>
        <v>31.9</v>
      </c>
      <c r="Q1203" s="33">
        <f t="shared" si="73"/>
        <v>0.79989969909729175</v>
      </c>
      <c r="S1203" s="16">
        <f>VLOOKUP(A1203,[4]Sales!$E:$G,3,FALSE)</f>
        <v>610.12</v>
      </c>
      <c r="T1203" s="19">
        <f>VLOOKUP(A1203,[4]Volume!$E:$G,3,FALSE)</f>
        <v>80</v>
      </c>
      <c r="U1203" s="19">
        <f>VLOOKUP(A1203,[4]Piece!$E:$G,3,FALSE)</f>
        <v>16</v>
      </c>
      <c r="V1203" s="21">
        <f t="shared" si="74"/>
        <v>510.4</v>
      </c>
      <c r="W1203" s="16">
        <f t="shared" si="75"/>
        <v>-99.720000000000027</v>
      </c>
    </row>
    <row r="1204" spans="1:23" hidden="1" x14ac:dyDescent="0.3">
      <c r="A1204" s="61" t="s">
        <v>2402</v>
      </c>
      <c r="B1204" s="61" t="s">
        <v>2402</v>
      </c>
      <c r="C1204" s="23" t="s">
        <v>33</v>
      </c>
      <c r="D1204" s="20" t="s">
        <v>34</v>
      </c>
      <c r="E1204" s="22" t="s">
        <v>2403</v>
      </c>
      <c r="F1204" s="24" t="str">
        <f t="shared" si="72"/>
        <v>PPG - Johnstones CLEANABLE MATT - BW - 10ltr</v>
      </c>
      <c r="G1204" s="23" t="s">
        <v>6076</v>
      </c>
      <c r="H1204" s="25" t="s">
        <v>36</v>
      </c>
      <c r="I1204" s="18" t="s">
        <v>37</v>
      </c>
      <c r="J1204" s="18" t="s">
        <v>38</v>
      </c>
      <c r="K1204" t="s">
        <v>39</v>
      </c>
      <c r="L1204" s="26">
        <f>VLOOKUP(A1204,'[3]Price info'!A:D,4,FALSE)</f>
        <v>75.760000000000005</v>
      </c>
      <c r="M1204" s="18" t="s">
        <v>40</v>
      </c>
      <c r="N1204" s="20">
        <v>3105</v>
      </c>
      <c r="P1204" s="16">
        <f>VLOOKUP(A1204,'[3]Price info'!A:H,8,FALSE)</f>
        <v>54.24</v>
      </c>
      <c r="Q1204" s="33">
        <f t="shared" si="73"/>
        <v>0.71594508975712778</v>
      </c>
      <c r="S1204" s="16">
        <f>VLOOKUP(A1204,[4]Sales!$E:$G,3,FALSE)</f>
        <v>3513.12</v>
      </c>
      <c r="T1204" s="19">
        <f>VLOOKUP(A1204,[4]Volume!$E:$G,3,FALSE)</f>
        <v>510</v>
      </c>
      <c r="U1204" s="19">
        <f>VLOOKUP(A1204,[4]Piece!$E:$G,3,FALSE)</f>
        <v>51</v>
      </c>
      <c r="V1204" s="21">
        <f t="shared" si="74"/>
        <v>2766.2400000000002</v>
      </c>
      <c r="W1204" s="16">
        <f t="shared" si="75"/>
        <v>-746.87999999999965</v>
      </c>
    </row>
    <row r="1205" spans="1:23" hidden="1" x14ac:dyDescent="0.3">
      <c r="A1205" s="62" t="s">
        <v>2404</v>
      </c>
      <c r="B1205" s="62" t="s">
        <v>2404</v>
      </c>
      <c r="C1205" s="23" t="s">
        <v>33</v>
      </c>
      <c r="D1205" s="20" t="s">
        <v>34</v>
      </c>
      <c r="E1205" s="22" t="s">
        <v>2405</v>
      </c>
      <c r="F1205" s="24" t="str">
        <f t="shared" si="72"/>
        <v>PPG - Artex JOINT FILLER - 12.5KG</v>
      </c>
      <c r="G1205" s="41" t="s">
        <v>6077</v>
      </c>
      <c r="H1205" s="39" t="s">
        <v>36</v>
      </c>
      <c r="I1205" s="40" t="s">
        <v>37</v>
      </c>
      <c r="J1205" s="40" t="s">
        <v>38</v>
      </c>
      <c r="K1205" s="41" t="s">
        <v>39</v>
      </c>
      <c r="L1205" s="26">
        <f>VLOOKUP(A1205,'[3]Price info'!A:D,4,FALSE)</f>
        <v>13.83</v>
      </c>
      <c r="M1205" s="40" t="s">
        <v>40</v>
      </c>
      <c r="N1205" s="42">
        <v>3105</v>
      </c>
      <c r="O1205" s="43"/>
      <c r="P1205" s="16">
        <f>VLOOKUP(A1205,'[3]Price info'!A:H,8,FALSE)</f>
        <v>13.83</v>
      </c>
      <c r="Q1205" s="44">
        <f t="shared" si="73"/>
        <v>1</v>
      </c>
      <c r="R1205" s="40" t="s">
        <v>41</v>
      </c>
      <c r="S1205" s="16" t="e">
        <f>VLOOKUP(A1205,[4]Sales!$E:$G,3,FALSE)</f>
        <v>#N/A</v>
      </c>
      <c r="T1205" s="19" t="e">
        <f>VLOOKUP(A1205,[4]Volume!$E:$G,3,FALSE)</f>
        <v>#N/A</v>
      </c>
      <c r="U1205" s="19" t="e">
        <f>VLOOKUP(A1205,[4]Piece!$E:$G,3,FALSE)</f>
        <v>#N/A</v>
      </c>
      <c r="V1205" s="21" t="e">
        <f t="shared" si="74"/>
        <v>#N/A</v>
      </c>
      <c r="W1205" s="16" t="e">
        <f t="shared" si="75"/>
        <v>#N/A</v>
      </c>
    </row>
    <row r="1206" spans="1:23" hidden="1" x14ac:dyDescent="0.3">
      <c r="A1206" s="63" t="s">
        <v>2406</v>
      </c>
      <c r="B1206" s="63" t="s">
        <v>2406</v>
      </c>
      <c r="C1206" s="23" t="s">
        <v>33</v>
      </c>
      <c r="D1206" s="20" t="s">
        <v>34</v>
      </c>
      <c r="E1206" s="22" t="s">
        <v>2407</v>
      </c>
      <c r="F1206" s="24" t="str">
        <f t="shared" si="72"/>
        <v>PPG - Artex COVE ADH - 12.5KG</v>
      </c>
      <c r="G1206" s="41" t="s">
        <v>6078</v>
      </c>
      <c r="H1206" s="39" t="s">
        <v>36</v>
      </c>
      <c r="I1206" s="40" t="s">
        <v>37</v>
      </c>
      <c r="J1206" s="40" t="s">
        <v>38</v>
      </c>
      <c r="K1206" s="41" t="s">
        <v>39</v>
      </c>
      <c r="L1206" s="26">
        <f>VLOOKUP(A1206,'[3]Price info'!A:D,4,FALSE)</f>
        <v>24.91</v>
      </c>
      <c r="M1206" s="40" t="s">
        <v>40</v>
      </c>
      <c r="N1206" s="42">
        <v>3105</v>
      </c>
      <c r="O1206" s="43">
        <v>21.85</v>
      </c>
      <c r="P1206" s="16">
        <f>VLOOKUP(A1206,'[3]Price info'!A:H,8,FALSE)</f>
        <v>24.91</v>
      </c>
      <c r="Q1206" s="44">
        <f t="shared" si="73"/>
        <v>1</v>
      </c>
      <c r="R1206" s="40"/>
      <c r="S1206" s="16" t="e">
        <f>VLOOKUP(A1206,[4]Sales!$E:$G,3,FALSE)</f>
        <v>#N/A</v>
      </c>
      <c r="T1206" s="19" t="e">
        <f>VLOOKUP(A1206,[4]Volume!$E:$G,3,FALSE)</f>
        <v>#N/A</v>
      </c>
      <c r="U1206" s="19" t="e">
        <f>VLOOKUP(A1206,[4]Piece!$E:$G,3,FALSE)</f>
        <v>#N/A</v>
      </c>
      <c r="V1206" s="21" t="e">
        <f t="shared" si="74"/>
        <v>#N/A</v>
      </c>
      <c r="W1206" s="16" t="e">
        <f t="shared" si="75"/>
        <v>#N/A</v>
      </c>
    </row>
    <row r="1207" spans="1:23" hidden="1" x14ac:dyDescent="0.3">
      <c r="A1207" s="63" t="s">
        <v>2408</v>
      </c>
      <c r="B1207" s="63" t="s">
        <v>2408</v>
      </c>
      <c r="C1207" s="23" t="s">
        <v>33</v>
      </c>
      <c r="D1207" s="20" t="s">
        <v>34</v>
      </c>
      <c r="E1207" s="22" t="s">
        <v>2409</v>
      </c>
      <c r="F1207" s="24" t="str">
        <f t="shared" si="72"/>
        <v>PPG - Artex COVE ADH - 5KG</v>
      </c>
      <c r="G1207" s="36" t="s">
        <v>6079</v>
      </c>
      <c r="H1207" s="25" t="s">
        <v>36</v>
      </c>
      <c r="I1207" s="18" t="s">
        <v>37</v>
      </c>
      <c r="J1207" s="18" t="s">
        <v>38</v>
      </c>
      <c r="K1207" t="s">
        <v>39</v>
      </c>
      <c r="L1207" s="15"/>
      <c r="M1207" s="18" t="s">
        <v>40</v>
      </c>
      <c r="N1207" s="20">
        <v>3105</v>
      </c>
      <c r="O1207" s="15">
        <v>11.3</v>
      </c>
      <c r="P1207" s="16">
        <f>VLOOKUP(A1207,'[3]Price info'!A:H,8,FALSE)</f>
        <v>12.88</v>
      </c>
      <c r="Q1207" s="33" t="e">
        <f t="shared" si="73"/>
        <v>#DIV/0!</v>
      </c>
      <c r="S1207" s="16" t="e">
        <f>VLOOKUP(A1207,[4]Sales!$E:$G,3,FALSE)</f>
        <v>#N/A</v>
      </c>
      <c r="T1207" s="19" t="e">
        <f>VLOOKUP(A1207,[4]Volume!$E:$G,3,FALSE)</f>
        <v>#N/A</v>
      </c>
      <c r="U1207" s="19" t="e">
        <f>VLOOKUP(A1207,[4]Piece!$E:$G,3,FALSE)</f>
        <v>#N/A</v>
      </c>
      <c r="V1207" s="21" t="e">
        <f t="shared" si="74"/>
        <v>#N/A</v>
      </c>
      <c r="W1207" s="16" t="e">
        <f t="shared" si="75"/>
        <v>#N/A</v>
      </c>
    </row>
    <row r="1208" spans="1:23" hidden="1" x14ac:dyDescent="0.3">
      <c r="A1208" s="63" t="s">
        <v>2410</v>
      </c>
      <c r="B1208" s="63" t="s">
        <v>2410</v>
      </c>
      <c r="C1208" s="23" t="s">
        <v>33</v>
      </c>
      <c r="D1208" s="20" t="s">
        <v>34</v>
      </c>
      <c r="E1208" s="22" t="s">
        <v>2411</v>
      </c>
      <c r="F1208" s="24" t="str">
        <f t="shared" si="72"/>
        <v>PPG - Zinsser ALLCOAT EXT SAT PASTEL  2.5ltr</v>
      </c>
      <c r="G1208" s="31" t="s">
        <v>6080</v>
      </c>
      <c r="H1208" s="29" t="s">
        <v>36</v>
      </c>
      <c r="I1208" s="30" t="s">
        <v>37</v>
      </c>
      <c r="J1208" s="30" t="s">
        <v>38</v>
      </c>
      <c r="K1208" s="31" t="s">
        <v>39</v>
      </c>
      <c r="L1208" s="64">
        <v>59.41</v>
      </c>
      <c r="M1208" s="30" t="s">
        <v>40</v>
      </c>
      <c r="N1208" s="32">
        <v>3105</v>
      </c>
      <c r="P1208" s="16">
        <f>VLOOKUP(A1208,'[3]Price info'!A:H,8,FALSE)</f>
        <v>59.41</v>
      </c>
      <c r="Q1208" s="35">
        <f t="shared" si="73"/>
        <v>1</v>
      </c>
      <c r="R1208" s="30"/>
      <c r="S1208" s="16" t="e">
        <f>VLOOKUP(A1208,[4]Sales!$E:$G,3,FALSE)</f>
        <v>#N/A</v>
      </c>
      <c r="T1208" s="19" t="e">
        <f>VLOOKUP(A1208,[4]Volume!$E:$G,3,FALSE)</f>
        <v>#N/A</v>
      </c>
      <c r="U1208" s="19" t="e">
        <f>VLOOKUP(A1208,[4]Piece!$E:$G,3,FALSE)</f>
        <v>#N/A</v>
      </c>
      <c r="V1208" s="21" t="e">
        <f t="shared" si="74"/>
        <v>#N/A</v>
      </c>
      <c r="W1208" s="16" t="e">
        <f t="shared" si="75"/>
        <v>#N/A</v>
      </c>
    </row>
    <row r="1209" spans="1:23" hidden="1" x14ac:dyDescent="0.3">
      <c r="A1209" s="63" t="s">
        <v>2412</v>
      </c>
      <c r="B1209" s="63" t="s">
        <v>2412</v>
      </c>
      <c r="C1209" s="23" t="s">
        <v>33</v>
      </c>
      <c r="D1209" s="20" t="s">
        <v>34</v>
      </c>
      <c r="E1209" s="22" t="s">
        <v>2413</v>
      </c>
      <c r="F1209" s="24" t="str">
        <f t="shared" si="72"/>
        <v>PPG - Zinsser EXT WB SATIN TRANSPAREN 2.5ltr</v>
      </c>
      <c r="G1209" s="31" t="s">
        <v>6081</v>
      </c>
      <c r="H1209" s="29" t="s">
        <v>36</v>
      </c>
      <c r="I1209" s="30" t="s">
        <v>37</v>
      </c>
      <c r="J1209" s="30" t="s">
        <v>38</v>
      </c>
      <c r="K1209" s="31" t="s">
        <v>39</v>
      </c>
      <c r="L1209" s="64">
        <v>60.65</v>
      </c>
      <c r="M1209" s="30" t="s">
        <v>40</v>
      </c>
      <c r="N1209" s="32">
        <v>3105</v>
      </c>
      <c r="P1209" s="16">
        <f>VLOOKUP(A1209,'[3]Price info'!A:H,8,FALSE)</f>
        <v>60.65</v>
      </c>
      <c r="Q1209" s="35">
        <f t="shared" si="73"/>
        <v>1</v>
      </c>
      <c r="R1209" s="30"/>
      <c r="S1209" s="16" t="e">
        <f>VLOOKUP(A1209,[4]Sales!$E:$G,3,FALSE)</f>
        <v>#N/A</v>
      </c>
      <c r="T1209" s="19" t="e">
        <f>VLOOKUP(A1209,[4]Volume!$E:$G,3,FALSE)</f>
        <v>#N/A</v>
      </c>
      <c r="U1209" s="19" t="e">
        <f>VLOOKUP(A1209,[4]Piece!$E:$G,3,FALSE)</f>
        <v>#N/A</v>
      </c>
      <c r="V1209" s="21" t="e">
        <f t="shared" si="74"/>
        <v>#N/A</v>
      </c>
      <c r="W1209" s="16" t="e">
        <f t="shared" si="75"/>
        <v>#N/A</v>
      </c>
    </row>
    <row r="1210" spans="1:23" hidden="1" x14ac:dyDescent="0.3">
      <c r="A1210" s="63" t="s">
        <v>2414</v>
      </c>
      <c r="B1210" s="63" t="s">
        <v>2414</v>
      </c>
      <c r="C1210" s="23" t="s">
        <v>33</v>
      </c>
      <c r="D1210" s="20" t="s">
        <v>34</v>
      </c>
      <c r="E1210" s="22" t="s">
        <v>2415</v>
      </c>
      <c r="F1210" s="24" t="str">
        <f t="shared" si="72"/>
        <v>PPG - Zinsser ALLCOAT EX   SATIN DEEP 2.5ltr</v>
      </c>
      <c r="G1210" s="31" t="s">
        <v>6082</v>
      </c>
      <c r="H1210" s="29" t="s">
        <v>36</v>
      </c>
      <c r="I1210" s="30" t="s">
        <v>37</v>
      </c>
      <c r="J1210" s="30" t="s">
        <v>38</v>
      </c>
      <c r="K1210" s="31" t="s">
        <v>39</v>
      </c>
      <c r="L1210" s="64">
        <v>60.65</v>
      </c>
      <c r="M1210" s="30" t="s">
        <v>40</v>
      </c>
      <c r="N1210" s="32">
        <v>3105</v>
      </c>
      <c r="P1210" s="16">
        <f>VLOOKUP(A1210,'[3]Price info'!A:H,8,FALSE)</f>
        <v>60.65</v>
      </c>
      <c r="Q1210" s="35">
        <f t="shared" si="73"/>
        <v>1</v>
      </c>
      <c r="R1210" s="30"/>
      <c r="S1210" s="16" t="e">
        <f>VLOOKUP(A1210,[4]Sales!$E:$G,3,FALSE)</f>
        <v>#N/A</v>
      </c>
      <c r="T1210" s="19" t="e">
        <f>VLOOKUP(A1210,[4]Volume!$E:$G,3,FALSE)</f>
        <v>#N/A</v>
      </c>
      <c r="U1210" s="19" t="e">
        <f>VLOOKUP(A1210,[4]Piece!$E:$G,3,FALSE)</f>
        <v>#N/A</v>
      </c>
      <c r="V1210" s="21" t="e">
        <f t="shared" si="74"/>
        <v>#N/A</v>
      </c>
      <c r="W1210" s="16" t="e">
        <f t="shared" si="75"/>
        <v>#N/A</v>
      </c>
    </row>
    <row r="1211" spans="1:23" hidden="1" x14ac:dyDescent="0.3">
      <c r="A1211" s="63" t="s">
        <v>2416</v>
      </c>
      <c r="B1211" s="63" t="s">
        <v>2416</v>
      </c>
      <c r="C1211" s="23" t="s">
        <v>33</v>
      </c>
      <c r="D1211" s="20" t="s">
        <v>34</v>
      </c>
      <c r="E1211" s="22" t="s">
        <v>2417</v>
      </c>
      <c r="F1211" s="24" t="str">
        <f t="shared" si="72"/>
        <v>PPG - Zinsser ALLCOAT EX   GLOSS PAST 2.5ltr</v>
      </c>
      <c r="G1211" s="31" t="s">
        <v>6083</v>
      </c>
      <c r="H1211" s="29" t="s">
        <v>36</v>
      </c>
      <c r="I1211" s="30" t="s">
        <v>37</v>
      </c>
      <c r="J1211" s="30" t="s">
        <v>38</v>
      </c>
      <c r="K1211" s="31" t="s">
        <v>39</v>
      </c>
      <c r="L1211" s="64">
        <v>60.65</v>
      </c>
      <c r="M1211" s="30" t="s">
        <v>40</v>
      </c>
      <c r="N1211" s="32">
        <v>3105</v>
      </c>
      <c r="P1211" s="16">
        <f>VLOOKUP(A1211,'[3]Price info'!A:H,8,FALSE)</f>
        <v>60.65</v>
      </c>
      <c r="Q1211" s="35">
        <f t="shared" si="73"/>
        <v>1</v>
      </c>
      <c r="R1211" s="30"/>
      <c r="S1211" s="16" t="e">
        <f>VLOOKUP(A1211,[4]Sales!$E:$G,3,FALSE)</f>
        <v>#N/A</v>
      </c>
      <c r="T1211" s="19" t="e">
        <f>VLOOKUP(A1211,[4]Volume!$E:$G,3,FALSE)</f>
        <v>#N/A</v>
      </c>
      <c r="U1211" s="19" t="e">
        <f>VLOOKUP(A1211,[4]Piece!$E:$G,3,FALSE)</f>
        <v>#N/A</v>
      </c>
      <c r="V1211" s="21" t="e">
        <f t="shared" si="74"/>
        <v>#N/A</v>
      </c>
      <c r="W1211" s="16" t="e">
        <f t="shared" si="75"/>
        <v>#N/A</v>
      </c>
    </row>
    <row r="1212" spans="1:23" hidden="1" x14ac:dyDescent="0.3">
      <c r="A1212" s="63" t="s">
        <v>2418</v>
      </c>
      <c r="B1212" s="63" t="s">
        <v>2418</v>
      </c>
      <c r="C1212" s="23" t="s">
        <v>33</v>
      </c>
      <c r="D1212" s="20" t="s">
        <v>34</v>
      </c>
      <c r="E1212" s="22" t="s">
        <v>2419</v>
      </c>
      <c r="F1212" s="24" t="str">
        <f t="shared" si="72"/>
        <v>PPG - Zinsser ALLCOAT EX   GLOSS TRAN 2.5ltr</v>
      </c>
      <c r="G1212" s="31" t="s">
        <v>6084</v>
      </c>
      <c r="H1212" s="29" t="s">
        <v>36</v>
      </c>
      <c r="I1212" s="30" t="s">
        <v>37</v>
      </c>
      <c r="J1212" s="30" t="s">
        <v>38</v>
      </c>
      <c r="K1212" s="31" t="s">
        <v>39</v>
      </c>
      <c r="L1212" s="64">
        <v>67.599999999999994</v>
      </c>
      <c r="M1212" s="30" t="s">
        <v>40</v>
      </c>
      <c r="N1212" s="32">
        <v>3105</v>
      </c>
      <c r="P1212" s="16">
        <f>VLOOKUP(A1212,'[3]Price info'!A:H,8,FALSE)</f>
        <v>67.599999999999994</v>
      </c>
      <c r="Q1212" s="35">
        <f t="shared" si="73"/>
        <v>1</v>
      </c>
      <c r="R1212" s="30"/>
      <c r="S1212" s="16" t="e">
        <f>VLOOKUP(A1212,[4]Sales!$E:$G,3,FALSE)</f>
        <v>#N/A</v>
      </c>
      <c r="T1212" s="19" t="e">
        <f>VLOOKUP(A1212,[4]Volume!$E:$G,3,FALSE)</f>
        <v>#N/A</v>
      </c>
      <c r="U1212" s="19" t="e">
        <f>VLOOKUP(A1212,[4]Piece!$E:$G,3,FALSE)</f>
        <v>#N/A</v>
      </c>
      <c r="V1212" s="21" t="e">
        <f t="shared" si="74"/>
        <v>#N/A</v>
      </c>
      <c r="W1212" s="16" t="e">
        <f t="shared" si="75"/>
        <v>#N/A</v>
      </c>
    </row>
    <row r="1213" spans="1:23" hidden="1" x14ac:dyDescent="0.3">
      <c r="A1213" s="63" t="s">
        <v>2420</v>
      </c>
      <c r="B1213" s="63" t="s">
        <v>2420</v>
      </c>
      <c r="C1213" s="23" t="s">
        <v>33</v>
      </c>
      <c r="D1213" s="20" t="s">
        <v>34</v>
      </c>
      <c r="E1213" s="22" t="s">
        <v>2421</v>
      </c>
      <c r="F1213" s="24" t="str">
        <f t="shared" si="72"/>
        <v>PPG - Zinsser ALLCOAT EX   GLOSS DEEP 2.5ltr</v>
      </c>
      <c r="G1213" s="31" t="s">
        <v>6085</v>
      </c>
      <c r="H1213" s="29" t="s">
        <v>36</v>
      </c>
      <c r="I1213" s="30" t="s">
        <v>37</v>
      </c>
      <c r="J1213" s="30" t="s">
        <v>38</v>
      </c>
      <c r="K1213" s="31" t="s">
        <v>39</v>
      </c>
      <c r="L1213" s="64">
        <v>65.709999999999994</v>
      </c>
      <c r="M1213" s="30" t="s">
        <v>40</v>
      </c>
      <c r="N1213" s="32">
        <v>3105</v>
      </c>
      <c r="P1213" s="16">
        <f>VLOOKUP(A1213,'[3]Price info'!A:H,8,FALSE)</f>
        <v>65.709999999999994</v>
      </c>
      <c r="Q1213" s="35">
        <f t="shared" si="73"/>
        <v>1</v>
      </c>
      <c r="R1213" s="30"/>
      <c r="S1213" s="16" t="e">
        <f>VLOOKUP(A1213,[4]Sales!$E:$G,3,FALSE)</f>
        <v>#N/A</v>
      </c>
      <c r="T1213" s="19" t="e">
        <f>VLOOKUP(A1213,[4]Volume!$E:$G,3,FALSE)</f>
        <v>#N/A</v>
      </c>
      <c r="U1213" s="19" t="e">
        <f>VLOOKUP(A1213,[4]Piece!$E:$G,3,FALSE)</f>
        <v>#N/A</v>
      </c>
      <c r="V1213" s="21" t="e">
        <f t="shared" si="74"/>
        <v>#N/A</v>
      </c>
      <c r="W1213" s="16" t="e">
        <f t="shared" si="75"/>
        <v>#N/A</v>
      </c>
    </row>
    <row r="1214" spans="1:23" hidden="1" x14ac:dyDescent="0.3">
      <c r="A1214" s="63" t="s">
        <v>2422</v>
      </c>
      <c r="B1214" s="63" t="s">
        <v>2422</v>
      </c>
      <c r="C1214" s="23" t="s">
        <v>33</v>
      </c>
      <c r="D1214" s="20" t="s">
        <v>34</v>
      </c>
      <c r="E1214" s="22" t="s">
        <v>2423</v>
      </c>
      <c r="F1214" s="24" t="str">
        <f t="shared" si="72"/>
        <v>PPG - Zinsser ALLCOAT EXT  GLS B/WHIT 2.5ltr</v>
      </c>
      <c r="G1214" s="31" t="s">
        <v>6086</v>
      </c>
      <c r="H1214" s="29" t="s">
        <v>36</v>
      </c>
      <c r="I1214" s="30" t="s">
        <v>37</v>
      </c>
      <c r="J1214" s="30" t="s">
        <v>38</v>
      </c>
      <c r="K1214" s="31" t="s">
        <v>39</v>
      </c>
      <c r="L1214" s="64">
        <v>63.15</v>
      </c>
      <c r="M1214" s="30" t="s">
        <v>40</v>
      </c>
      <c r="N1214" s="32">
        <v>3105</v>
      </c>
      <c r="P1214" s="16">
        <f>VLOOKUP(A1214,'[3]Price info'!A:H,8,FALSE)</f>
        <v>63.15</v>
      </c>
      <c r="Q1214" s="35">
        <f t="shared" si="73"/>
        <v>1</v>
      </c>
      <c r="R1214" s="30"/>
      <c r="S1214" s="16" t="e">
        <f>VLOOKUP(A1214,[4]Sales!$E:$G,3,FALSE)</f>
        <v>#N/A</v>
      </c>
      <c r="T1214" s="19" t="e">
        <f>VLOOKUP(A1214,[4]Volume!$E:$G,3,FALSE)</f>
        <v>#N/A</v>
      </c>
      <c r="U1214" s="19" t="e">
        <f>VLOOKUP(A1214,[4]Piece!$E:$G,3,FALSE)</f>
        <v>#N/A</v>
      </c>
      <c r="V1214" s="21" t="e">
        <f t="shared" si="74"/>
        <v>#N/A</v>
      </c>
      <c r="W1214" s="16" t="e">
        <f t="shared" si="75"/>
        <v>#N/A</v>
      </c>
    </row>
    <row r="1215" spans="1:23" hidden="1" x14ac:dyDescent="0.3">
      <c r="A1215" s="63" t="s">
        <v>2424</v>
      </c>
      <c r="B1215" s="63" t="s">
        <v>2424</v>
      </c>
      <c r="C1215" s="23" t="s">
        <v>33</v>
      </c>
      <c r="D1215" s="20" t="s">
        <v>34</v>
      </c>
      <c r="E1215" s="22" t="s">
        <v>2425</v>
      </c>
      <c r="F1215" s="24" t="str">
        <f t="shared" si="72"/>
        <v>PPG - Zinsser ALLCOAT EXT  GLS BLACK  2.5ltr</v>
      </c>
      <c r="G1215" s="31" t="s">
        <v>6087</v>
      </c>
      <c r="H1215" s="29" t="s">
        <v>36</v>
      </c>
      <c r="I1215" s="30" t="s">
        <v>37</v>
      </c>
      <c r="J1215" s="30" t="s">
        <v>38</v>
      </c>
      <c r="K1215" s="31" t="s">
        <v>39</v>
      </c>
      <c r="L1215" s="64">
        <v>53.07</v>
      </c>
      <c r="M1215" s="30" t="s">
        <v>40</v>
      </c>
      <c r="N1215" s="32">
        <v>3105</v>
      </c>
      <c r="P1215" s="16">
        <f>VLOOKUP(A1215,'[3]Price info'!A:H,8,FALSE)</f>
        <v>53.07</v>
      </c>
      <c r="Q1215" s="35">
        <f t="shared" si="73"/>
        <v>1</v>
      </c>
      <c r="R1215" s="30"/>
      <c r="S1215" s="16" t="e">
        <f>VLOOKUP(A1215,[4]Sales!$E:$G,3,FALSE)</f>
        <v>#N/A</v>
      </c>
      <c r="T1215" s="19" t="e">
        <f>VLOOKUP(A1215,[4]Volume!$E:$G,3,FALSE)</f>
        <v>#N/A</v>
      </c>
      <c r="U1215" s="19" t="e">
        <f>VLOOKUP(A1215,[4]Piece!$E:$G,3,FALSE)</f>
        <v>#N/A</v>
      </c>
      <c r="V1215" s="21" t="e">
        <f t="shared" si="74"/>
        <v>#N/A</v>
      </c>
      <c r="W1215" s="16" t="e">
        <f t="shared" si="75"/>
        <v>#N/A</v>
      </c>
    </row>
    <row r="1216" spans="1:23" hidden="1" x14ac:dyDescent="0.3">
      <c r="A1216" s="63" t="s">
        <v>2426</v>
      </c>
      <c r="B1216" s="63" t="s">
        <v>2426</v>
      </c>
      <c r="C1216" s="23" t="s">
        <v>33</v>
      </c>
      <c r="D1216" s="20" t="s">
        <v>34</v>
      </c>
      <c r="E1216" s="22" t="s">
        <v>2427</v>
      </c>
      <c r="F1216" s="24" t="str">
        <f t="shared" si="72"/>
        <v>PPG - Zinsser EXT SATIN    TRANS BASE 5ltr</v>
      </c>
      <c r="G1216" s="31" t="s">
        <v>6088</v>
      </c>
      <c r="H1216" s="29" t="s">
        <v>36</v>
      </c>
      <c r="I1216" s="30" t="s">
        <v>37</v>
      </c>
      <c r="J1216" s="30" t="s">
        <v>38</v>
      </c>
      <c r="K1216" s="31" t="s">
        <v>39</v>
      </c>
      <c r="L1216" s="64">
        <v>128.88</v>
      </c>
      <c r="M1216" s="30" t="s">
        <v>40</v>
      </c>
      <c r="N1216" s="32">
        <v>3105</v>
      </c>
      <c r="P1216" s="16">
        <f>VLOOKUP(A1216,'[3]Price info'!A:H,8,FALSE)</f>
        <v>128.88</v>
      </c>
      <c r="Q1216" s="35">
        <f t="shared" si="73"/>
        <v>1</v>
      </c>
      <c r="R1216" s="30"/>
      <c r="S1216" s="16" t="e">
        <f>VLOOKUP(A1216,[4]Sales!$E:$G,3,FALSE)</f>
        <v>#N/A</v>
      </c>
      <c r="T1216" s="19" t="e">
        <f>VLOOKUP(A1216,[4]Volume!$E:$G,3,FALSE)</f>
        <v>#N/A</v>
      </c>
      <c r="U1216" s="19" t="e">
        <f>VLOOKUP(A1216,[4]Piece!$E:$G,3,FALSE)</f>
        <v>#N/A</v>
      </c>
      <c r="V1216" s="21" t="e">
        <f t="shared" si="74"/>
        <v>#N/A</v>
      </c>
      <c r="W1216" s="16" t="e">
        <f t="shared" si="75"/>
        <v>#N/A</v>
      </c>
    </row>
    <row r="1217" spans="1:23" hidden="1" x14ac:dyDescent="0.3">
      <c r="A1217" s="63" t="s">
        <v>2428</v>
      </c>
      <c r="B1217" s="63" t="s">
        <v>2428</v>
      </c>
      <c r="C1217" s="23" t="s">
        <v>33</v>
      </c>
      <c r="D1217" s="20" t="s">
        <v>34</v>
      </c>
      <c r="E1217" s="22" t="s">
        <v>2429</v>
      </c>
      <c r="F1217" s="24" t="str">
        <f t="shared" si="72"/>
        <v>PPG - Zinsser BIN PRIMER   WHITE      500ml</v>
      </c>
      <c r="G1217" s="31" t="s">
        <v>6089</v>
      </c>
      <c r="H1217" s="29" t="s">
        <v>36</v>
      </c>
      <c r="I1217" s="30" t="s">
        <v>37</v>
      </c>
      <c r="J1217" s="30" t="s">
        <v>38</v>
      </c>
      <c r="K1217" s="31" t="s">
        <v>39</v>
      </c>
      <c r="L1217" s="64">
        <v>18.45</v>
      </c>
      <c r="M1217" s="30" t="s">
        <v>40</v>
      </c>
      <c r="N1217" s="32">
        <v>3105</v>
      </c>
      <c r="P1217" s="16">
        <f>VLOOKUP(A1217,'[3]Price info'!A:H,8,FALSE)</f>
        <v>18.45</v>
      </c>
      <c r="Q1217" s="35">
        <f t="shared" si="73"/>
        <v>1</v>
      </c>
      <c r="R1217" s="30"/>
      <c r="S1217" s="16" t="e">
        <f>VLOOKUP(A1217,[4]Sales!$E:$G,3,FALSE)</f>
        <v>#N/A</v>
      </c>
      <c r="T1217" s="19" t="e">
        <f>VLOOKUP(A1217,[4]Volume!$E:$G,3,FALSE)</f>
        <v>#N/A</v>
      </c>
      <c r="U1217" s="19" t="e">
        <f>VLOOKUP(A1217,[4]Piece!$E:$G,3,FALSE)</f>
        <v>#N/A</v>
      </c>
      <c r="V1217" s="21" t="e">
        <f t="shared" si="74"/>
        <v>#N/A</v>
      </c>
      <c r="W1217" s="16" t="e">
        <f t="shared" si="75"/>
        <v>#N/A</v>
      </c>
    </row>
    <row r="1218" spans="1:23" hidden="1" x14ac:dyDescent="0.3">
      <c r="A1218" s="63" t="s">
        <v>2430</v>
      </c>
      <c r="B1218" s="63" t="s">
        <v>2430</v>
      </c>
      <c r="C1218" s="23" t="s">
        <v>33</v>
      </c>
      <c r="D1218" s="20" t="s">
        <v>34</v>
      </c>
      <c r="E1218" s="22" t="s">
        <v>2431</v>
      </c>
      <c r="F1218" s="24" t="str">
        <f t="shared" si="72"/>
        <v>PPG - Artex ANGLE BEAD 3M X 30MM</v>
      </c>
      <c r="G1218" s="41" t="s">
        <v>6090</v>
      </c>
      <c r="H1218" s="39" t="s">
        <v>36</v>
      </c>
      <c r="I1218" s="40" t="s">
        <v>37</v>
      </c>
      <c r="J1218" s="40" t="s">
        <v>38</v>
      </c>
      <c r="K1218" s="41" t="s">
        <v>39</v>
      </c>
      <c r="L1218" s="43">
        <v>4.4000000000000004</v>
      </c>
      <c r="M1218" s="40" t="s">
        <v>40</v>
      </c>
      <c r="N1218" s="42">
        <v>3105</v>
      </c>
      <c r="O1218" s="43">
        <v>3.86</v>
      </c>
      <c r="P1218" s="16">
        <f>VLOOKUP(A1218,'[3]Price info'!A:H,8,FALSE)</f>
        <v>4.4000000000000004</v>
      </c>
      <c r="Q1218" s="44">
        <f t="shared" si="73"/>
        <v>1</v>
      </c>
      <c r="R1218" s="40"/>
      <c r="S1218" s="16" t="e">
        <f>VLOOKUP(A1218,[4]Sales!$E:$G,3,FALSE)</f>
        <v>#N/A</v>
      </c>
      <c r="T1218" s="19" t="e">
        <f>VLOOKUP(A1218,[4]Volume!$E:$G,3,FALSE)</f>
        <v>#N/A</v>
      </c>
      <c r="U1218" s="19" t="e">
        <f>VLOOKUP(A1218,[4]Piece!$E:$G,3,FALSE)</f>
        <v>#N/A</v>
      </c>
      <c r="V1218" s="21" t="e">
        <f t="shared" si="74"/>
        <v>#N/A</v>
      </c>
      <c r="W1218" s="16" t="e">
        <f t="shared" si="75"/>
        <v>#N/A</v>
      </c>
    </row>
    <row r="1219" spans="1:23" hidden="1" x14ac:dyDescent="0.3">
      <c r="A1219" s="63" t="s">
        <v>2432</v>
      </c>
      <c r="B1219" s="63" t="s">
        <v>2432</v>
      </c>
      <c r="C1219" s="23" t="s">
        <v>33</v>
      </c>
      <c r="D1219" s="20" t="s">
        <v>34</v>
      </c>
      <c r="E1219" s="22" t="s">
        <v>2433</v>
      </c>
      <c r="F1219" s="24" t="str">
        <f t="shared" ref="F1219:F1282" si="76">D1219&amp;" - "&amp;E1219</f>
        <v>PPG - Artex ANGLE BEAD 2.4MX 30MM</v>
      </c>
      <c r="G1219" s="41" t="s">
        <v>6091</v>
      </c>
      <c r="H1219" s="39" t="s">
        <v>36</v>
      </c>
      <c r="I1219" s="40" t="s">
        <v>37</v>
      </c>
      <c r="J1219" s="40" t="s">
        <v>38</v>
      </c>
      <c r="K1219" s="41" t="s">
        <v>39</v>
      </c>
      <c r="L1219" s="43">
        <v>3.74</v>
      </c>
      <c r="M1219" s="40" t="s">
        <v>40</v>
      </c>
      <c r="N1219" s="42">
        <v>3105</v>
      </c>
      <c r="O1219" s="43">
        <v>3.28</v>
      </c>
      <c r="P1219" s="16">
        <f>VLOOKUP(A1219,'[3]Price info'!A:H,8,FALSE)</f>
        <v>3.74</v>
      </c>
      <c r="Q1219" s="44">
        <f t="shared" ref="Q1219:Q1282" si="77">P1219/L1219</f>
        <v>1</v>
      </c>
      <c r="R1219" s="40"/>
      <c r="S1219" s="16" t="e">
        <f>VLOOKUP(A1219,[4]Sales!$E:$G,3,FALSE)</f>
        <v>#N/A</v>
      </c>
      <c r="T1219" s="19" t="e">
        <f>VLOOKUP(A1219,[4]Volume!$E:$G,3,FALSE)</f>
        <v>#N/A</v>
      </c>
      <c r="U1219" s="19" t="e">
        <f>VLOOKUP(A1219,[4]Piece!$E:$G,3,FALSE)</f>
        <v>#N/A</v>
      </c>
      <c r="V1219" s="21" t="e">
        <f t="shared" ref="V1219:V1282" si="78">U1219*P1219</f>
        <v>#N/A</v>
      </c>
      <c r="W1219" s="16" t="e">
        <f t="shared" ref="W1219:W1282" si="79">V1219-S1219</f>
        <v>#N/A</v>
      </c>
    </row>
    <row r="1220" spans="1:23" hidden="1" x14ac:dyDescent="0.3">
      <c r="A1220" s="63" t="s">
        <v>2434</v>
      </c>
      <c r="B1220" s="63" t="s">
        <v>2434</v>
      </c>
      <c r="C1220" s="23" t="s">
        <v>33</v>
      </c>
      <c r="D1220" s="20" t="s">
        <v>34</v>
      </c>
      <c r="E1220" s="22" t="s">
        <v>2435</v>
      </c>
      <c r="F1220" s="24" t="str">
        <f t="shared" si="76"/>
        <v>PPG - Artex EASY FLEX 30M X 79MM</v>
      </c>
      <c r="G1220" s="41" t="s">
        <v>6092</v>
      </c>
      <c r="H1220" s="39" t="s">
        <v>36</v>
      </c>
      <c r="I1220" s="40" t="s">
        <v>37</v>
      </c>
      <c r="J1220" s="40" t="s">
        <v>38</v>
      </c>
      <c r="K1220" s="41" t="s">
        <v>39</v>
      </c>
      <c r="L1220" s="65">
        <v>91.5</v>
      </c>
      <c r="M1220" s="40" t="s">
        <v>40</v>
      </c>
      <c r="N1220" s="42">
        <v>3105</v>
      </c>
      <c r="O1220" s="43"/>
      <c r="P1220" s="16">
        <f>VLOOKUP(A1220,'[3]Price info'!A:H,8,FALSE)</f>
        <v>91.5</v>
      </c>
      <c r="Q1220" s="44">
        <f t="shared" si="77"/>
        <v>1</v>
      </c>
      <c r="R1220" s="40"/>
      <c r="S1220" s="16" t="e">
        <f>VLOOKUP(A1220,[4]Sales!$E:$G,3,FALSE)</f>
        <v>#N/A</v>
      </c>
      <c r="T1220" s="19" t="e">
        <f>VLOOKUP(A1220,[4]Volume!$E:$G,3,FALSE)</f>
        <v>#N/A</v>
      </c>
      <c r="U1220" s="19" t="e">
        <f>VLOOKUP(A1220,[4]Piece!$E:$G,3,FALSE)</f>
        <v>#N/A</v>
      </c>
      <c r="V1220" s="21" t="e">
        <f t="shared" si="78"/>
        <v>#N/A</v>
      </c>
      <c r="W1220" s="16" t="e">
        <f t="shared" si="79"/>
        <v>#N/A</v>
      </c>
    </row>
    <row r="1221" spans="1:23" hidden="1" x14ac:dyDescent="0.3">
      <c r="A1221" s="63" t="s">
        <v>2436</v>
      </c>
      <c r="B1221" s="63" t="s">
        <v>2436</v>
      </c>
      <c r="C1221" s="23" t="s">
        <v>33</v>
      </c>
      <c r="D1221" s="20" t="s">
        <v>34</v>
      </c>
      <c r="E1221" s="22" t="s">
        <v>2437</v>
      </c>
      <c r="F1221" s="24" t="str">
        <f t="shared" si="76"/>
        <v>PPG - Artex AQUABEAD     2500</v>
      </c>
      <c r="G1221" s="41" t="s">
        <v>6093</v>
      </c>
      <c r="H1221" s="39" t="s">
        <v>36</v>
      </c>
      <c r="I1221" s="40" t="s">
        <v>37</v>
      </c>
      <c r="J1221" s="40" t="s">
        <v>38</v>
      </c>
      <c r="K1221" s="41" t="s">
        <v>39</v>
      </c>
      <c r="L1221" s="43">
        <v>7.64</v>
      </c>
      <c r="M1221" s="40" t="s">
        <v>40</v>
      </c>
      <c r="N1221" s="42">
        <v>3105</v>
      </c>
      <c r="O1221" s="43">
        <v>6.7</v>
      </c>
      <c r="P1221" s="16">
        <f>VLOOKUP(A1221,'[3]Price info'!A:H,8,FALSE)</f>
        <v>7.64</v>
      </c>
      <c r="Q1221" s="44">
        <f t="shared" si="77"/>
        <v>1</v>
      </c>
      <c r="R1221" s="40"/>
      <c r="S1221" s="16" t="e">
        <f>VLOOKUP(A1221,[4]Sales!$E:$G,3,FALSE)</f>
        <v>#N/A</v>
      </c>
      <c r="T1221" s="19" t="e">
        <f>VLOOKUP(A1221,[4]Volume!$E:$G,3,FALSE)</f>
        <v>#N/A</v>
      </c>
      <c r="U1221" s="19" t="e">
        <f>VLOOKUP(A1221,[4]Piece!$E:$G,3,FALSE)</f>
        <v>#N/A</v>
      </c>
      <c r="V1221" s="21" t="e">
        <f t="shared" si="78"/>
        <v>#N/A</v>
      </c>
      <c r="W1221" s="16" t="e">
        <f t="shared" si="79"/>
        <v>#N/A</v>
      </c>
    </row>
    <row r="1222" spans="1:23" hidden="1" x14ac:dyDescent="0.3">
      <c r="A1222" s="63" t="s">
        <v>2438</v>
      </c>
      <c r="B1222" s="63" t="s">
        <v>2438</v>
      </c>
      <c r="C1222" s="23" t="s">
        <v>33</v>
      </c>
      <c r="D1222" s="20" t="s">
        <v>34</v>
      </c>
      <c r="E1222" s="22" t="s">
        <v>2439</v>
      </c>
      <c r="F1222" s="24" t="str">
        <f t="shared" si="76"/>
        <v>PPG - Artex BOARD FINISH 25KG</v>
      </c>
      <c r="G1222" s="41" t="s">
        <v>6094</v>
      </c>
      <c r="H1222" s="39" t="s">
        <v>36</v>
      </c>
      <c r="I1222" s="40" t="s">
        <v>37</v>
      </c>
      <c r="J1222" s="40" t="s">
        <v>38</v>
      </c>
      <c r="K1222" s="41" t="s">
        <v>39</v>
      </c>
      <c r="L1222" s="65">
        <v>9.74</v>
      </c>
      <c r="M1222" s="40" t="s">
        <v>40</v>
      </c>
      <c r="N1222" s="42">
        <v>3105</v>
      </c>
      <c r="O1222" s="43"/>
      <c r="P1222" s="16">
        <f>VLOOKUP(A1222,'[3]Price info'!A:H,8,FALSE)</f>
        <v>9.74</v>
      </c>
      <c r="Q1222" s="44">
        <f t="shared" si="77"/>
        <v>1</v>
      </c>
      <c r="R1222" s="40"/>
      <c r="S1222" s="16" t="e">
        <f>VLOOKUP(A1222,[4]Sales!$E:$G,3,FALSE)</f>
        <v>#N/A</v>
      </c>
      <c r="T1222" s="19" t="e">
        <f>VLOOKUP(A1222,[4]Volume!$E:$G,3,FALSE)</f>
        <v>#N/A</v>
      </c>
      <c r="U1222" s="19" t="e">
        <f>VLOOKUP(A1222,[4]Piece!$E:$G,3,FALSE)</f>
        <v>#N/A</v>
      </c>
      <c r="V1222" s="21" t="e">
        <f t="shared" si="78"/>
        <v>#N/A</v>
      </c>
      <c r="W1222" s="16" t="e">
        <f t="shared" si="79"/>
        <v>#N/A</v>
      </c>
    </row>
    <row r="1223" spans="1:23" hidden="1" x14ac:dyDescent="0.3">
      <c r="A1223" s="63" t="s">
        <v>2440</v>
      </c>
      <c r="B1223" s="63" t="s">
        <v>2440</v>
      </c>
      <c r="C1223" s="23" t="s">
        <v>33</v>
      </c>
      <c r="D1223" s="20" t="s">
        <v>34</v>
      </c>
      <c r="E1223" s="22" t="s">
        <v>2441</v>
      </c>
      <c r="F1223" s="24" t="str">
        <f t="shared" si="76"/>
        <v>PPG - Artex THISTLE UNFINISH   25KG</v>
      </c>
      <c r="G1223" s="41" t="s">
        <v>6095</v>
      </c>
      <c r="H1223" s="39" t="s">
        <v>36</v>
      </c>
      <c r="I1223" s="40" t="s">
        <v>37</v>
      </c>
      <c r="J1223" s="40" t="s">
        <v>38</v>
      </c>
      <c r="K1223" s="41" t="s">
        <v>39</v>
      </c>
      <c r="L1223" s="65">
        <v>17.54</v>
      </c>
      <c r="M1223" s="40" t="s">
        <v>40</v>
      </c>
      <c r="N1223" s="42">
        <v>3105</v>
      </c>
      <c r="O1223" s="43"/>
      <c r="P1223" s="16">
        <f>VLOOKUP(A1223,'[3]Price info'!A:H,8,FALSE)</f>
        <v>17.54</v>
      </c>
      <c r="Q1223" s="44">
        <f t="shared" si="77"/>
        <v>1</v>
      </c>
      <c r="R1223" s="40"/>
      <c r="S1223" s="16" t="e">
        <f>VLOOKUP(A1223,[4]Sales!$E:$G,3,FALSE)</f>
        <v>#N/A</v>
      </c>
      <c r="T1223" s="19" t="e">
        <f>VLOOKUP(A1223,[4]Volume!$E:$G,3,FALSE)</f>
        <v>#N/A</v>
      </c>
      <c r="U1223" s="19" t="e">
        <f>VLOOKUP(A1223,[4]Piece!$E:$G,3,FALSE)</f>
        <v>#N/A</v>
      </c>
      <c r="V1223" s="21" t="e">
        <f t="shared" si="78"/>
        <v>#N/A</v>
      </c>
      <c r="W1223" s="16" t="e">
        <f t="shared" si="79"/>
        <v>#N/A</v>
      </c>
    </row>
    <row r="1224" spans="1:23" hidden="1" x14ac:dyDescent="0.3">
      <c r="A1224" s="63" t="s">
        <v>2442</v>
      </c>
      <c r="B1224" s="63" t="s">
        <v>2442</v>
      </c>
      <c r="C1224" s="23" t="s">
        <v>33</v>
      </c>
      <c r="D1224" s="20" t="s">
        <v>34</v>
      </c>
      <c r="E1224" s="22" t="s">
        <v>2443</v>
      </c>
      <c r="F1224" s="24" t="str">
        <f t="shared" si="76"/>
        <v>PPG - Zinsser PERMA WHITE 5ltr</v>
      </c>
      <c r="G1224" s="31" t="s">
        <v>6096</v>
      </c>
      <c r="H1224" s="29" t="s">
        <v>36</v>
      </c>
      <c r="I1224" s="30" t="s">
        <v>37</v>
      </c>
      <c r="J1224" s="30" t="s">
        <v>38</v>
      </c>
      <c r="K1224" s="31" t="s">
        <v>39</v>
      </c>
      <c r="L1224" s="64">
        <v>63.96</v>
      </c>
      <c r="M1224" s="30" t="s">
        <v>40</v>
      </c>
      <c r="N1224" s="32">
        <v>3105</v>
      </c>
      <c r="P1224" s="16">
        <f>VLOOKUP(A1224,'[3]Price info'!A:H,8,FALSE)</f>
        <v>63.96</v>
      </c>
      <c r="Q1224" s="35">
        <f t="shared" si="77"/>
        <v>1</v>
      </c>
      <c r="R1224" s="30"/>
      <c r="S1224" s="16" t="e">
        <f>VLOOKUP(A1224,[4]Sales!$E:$G,3,FALSE)</f>
        <v>#N/A</v>
      </c>
      <c r="T1224" s="19" t="e">
        <f>VLOOKUP(A1224,[4]Volume!$E:$G,3,FALSE)</f>
        <v>#N/A</v>
      </c>
      <c r="U1224" s="19" t="e">
        <f>VLOOKUP(A1224,[4]Piece!$E:$G,3,FALSE)</f>
        <v>#N/A</v>
      </c>
      <c r="V1224" s="21" t="e">
        <f t="shared" si="78"/>
        <v>#N/A</v>
      </c>
      <c r="W1224" s="16" t="e">
        <f t="shared" si="79"/>
        <v>#N/A</v>
      </c>
    </row>
    <row r="1225" spans="1:23" hidden="1" x14ac:dyDescent="0.3">
      <c r="A1225" s="63" t="s">
        <v>2444</v>
      </c>
      <c r="B1225" s="63" t="s">
        <v>2444</v>
      </c>
      <c r="C1225" s="23" t="s">
        <v>33</v>
      </c>
      <c r="D1225" s="20" t="s">
        <v>34</v>
      </c>
      <c r="E1225" s="22" t="s">
        <v>2445</v>
      </c>
      <c r="F1225" s="24" t="str">
        <f t="shared" si="76"/>
        <v>PPG - Artex TEXT'D POWDR FIN 5kg</v>
      </c>
      <c r="G1225" s="41" t="s">
        <v>6097</v>
      </c>
      <c r="H1225" s="39" t="s">
        <v>36</v>
      </c>
      <c r="I1225" s="40" t="s">
        <v>37</v>
      </c>
      <c r="J1225" s="40" t="s">
        <v>38</v>
      </c>
      <c r="K1225" s="41" t="s">
        <v>39</v>
      </c>
      <c r="L1225" s="43">
        <v>18.329999999999998</v>
      </c>
      <c r="M1225" s="40" t="s">
        <v>40</v>
      </c>
      <c r="N1225" s="42">
        <v>3105</v>
      </c>
      <c r="O1225" s="43">
        <v>16.079999999999998</v>
      </c>
      <c r="P1225" s="16">
        <f>VLOOKUP(A1225,'[3]Price info'!A:H,8,FALSE)</f>
        <v>18.329999999999998</v>
      </c>
      <c r="Q1225" s="44">
        <f t="shared" si="77"/>
        <v>1</v>
      </c>
      <c r="R1225" s="40"/>
      <c r="S1225" s="16" t="e">
        <f>VLOOKUP(A1225,[4]Sales!$E:$G,3,FALSE)</f>
        <v>#N/A</v>
      </c>
      <c r="T1225" s="19" t="e">
        <f>VLOOKUP(A1225,[4]Volume!$E:$G,3,FALSE)</f>
        <v>#N/A</v>
      </c>
      <c r="U1225" s="19" t="e">
        <f>VLOOKUP(A1225,[4]Piece!$E:$G,3,FALSE)</f>
        <v>#N/A</v>
      </c>
      <c r="V1225" s="21" t="e">
        <f t="shared" si="78"/>
        <v>#N/A</v>
      </c>
      <c r="W1225" s="16" t="e">
        <f t="shared" si="79"/>
        <v>#N/A</v>
      </c>
    </row>
    <row r="1226" spans="1:23" hidden="1" x14ac:dyDescent="0.3">
      <c r="A1226" s="63" t="s">
        <v>2446</v>
      </c>
      <c r="B1226" s="63" t="s">
        <v>2446</v>
      </c>
      <c r="C1226" s="23" t="s">
        <v>33</v>
      </c>
      <c r="D1226" s="20" t="s">
        <v>34</v>
      </c>
      <c r="E1226" s="22" t="s">
        <v>2447</v>
      </c>
      <c r="F1226" s="24" t="str">
        <f t="shared" si="76"/>
        <v>PPG - Artex GYPROC CORNI ADH - 5kg</v>
      </c>
      <c r="G1226" s="41" t="s">
        <v>6098</v>
      </c>
      <c r="H1226" s="39" t="s">
        <v>36</v>
      </c>
      <c r="I1226" s="40" t="s">
        <v>37</v>
      </c>
      <c r="J1226" s="40" t="s">
        <v>38</v>
      </c>
      <c r="K1226" s="41" t="s">
        <v>39</v>
      </c>
      <c r="L1226" s="65">
        <v>12.39</v>
      </c>
      <c r="M1226" s="40" t="s">
        <v>40</v>
      </c>
      <c r="N1226" s="42">
        <v>3105</v>
      </c>
      <c r="O1226" s="43"/>
      <c r="P1226" s="16">
        <f>VLOOKUP(A1226,'[3]Price info'!A:H,8,FALSE)</f>
        <v>12.39</v>
      </c>
      <c r="Q1226" s="44">
        <f t="shared" si="77"/>
        <v>1</v>
      </c>
      <c r="R1226" s="40"/>
      <c r="S1226" s="16" t="e">
        <f>VLOOKUP(A1226,[4]Sales!$E:$G,3,FALSE)</f>
        <v>#N/A</v>
      </c>
      <c r="T1226" s="19" t="e">
        <f>VLOOKUP(A1226,[4]Volume!$E:$G,3,FALSE)</f>
        <v>#N/A</v>
      </c>
      <c r="U1226" s="19" t="e">
        <f>VLOOKUP(A1226,[4]Piece!$E:$G,3,FALSE)</f>
        <v>#N/A</v>
      </c>
      <c r="V1226" s="21" t="e">
        <f t="shared" si="78"/>
        <v>#N/A</v>
      </c>
      <c r="W1226" s="16" t="e">
        <f t="shared" si="79"/>
        <v>#N/A</v>
      </c>
    </row>
    <row r="1227" spans="1:23" hidden="1" x14ac:dyDescent="0.3">
      <c r="A1227" s="66" t="s">
        <v>2448</v>
      </c>
      <c r="B1227" s="66" t="s">
        <v>2448</v>
      </c>
      <c r="C1227" s="23" t="s">
        <v>2449</v>
      </c>
      <c r="D1227" s="20" t="s">
        <v>34</v>
      </c>
      <c r="E1227" s="22" t="s">
        <v>2450</v>
      </c>
      <c r="F1227" s="24" t="str">
        <f t="shared" si="76"/>
        <v>PPG - Artex GYPROC COVE 3M X 127MM</v>
      </c>
      <c r="G1227" s="38" t="s">
        <v>6099</v>
      </c>
      <c r="H1227" s="39" t="s">
        <v>213</v>
      </c>
      <c r="I1227" s="40" t="s">
        <v>37</v>
      </c>
      <c r="J1227" s="40" t="s">
        <v>38</v>
      </c>
      <c r="K1227" s="41" t="s">
        <v>39</v>
      </c>
      <c r="L1227" s="67">
        <v>5.0999999999999996</v>
      </c>
      <c r="M1227" s="40" t="s">
        <v>2451</v>
      </c>
      <c r="N1227" s="42">
        <v>3112</v>
      </c>
      <c r="O1227" s="43"/>
      <c r="P1227" s="16">
        <f>VLOOKUP(A1227,'[3]Price info'!A:H,8,FALSE)</f>
        <v>5.0999999999999996</v>
      </c>
      <c r="Q1227" s="44">
        <f t="shared" si="77"/>
        <v>1</v>
      </c>
      <c r="R1227" s="40"/>
      <c r="S1227" s="16">
        <f>VLOOKUP(A1227,[4]Sales!$E:$G,3,FALSE)</f>
        <v>35.700000000000003</v>
      </c>
      <c r="T1227" s="19">
        <f>VLOOKUP(A1227,[4]Volume!$E:$G,3,FALSE)</f>
        <v>7</v>
      </c>
      <c r="U1227" s="19">
        <f>VLOOKUP(A1227,[4]Piece!$E:$G,3,FALSE)</f>
        <v>7</v>
      </c>
      <c r="V1227" s="21">
        <f t="shared" si="78"/>
        <v>35.699999999999996</v>
      </c>
      <c r="W1227" s="16">
        <f t="shared" si="79"/>
        <v>0</v>
      </c>
    </row>
    <row r="1228" spans="1:23" hidden="1" x14ac:dyDescent="0.3">
      <c r="A1228" s="66" t="s">
        <v>2452</v>
      </c>
      <c r="B1228" s="66" t="s">
        <v>2452</v>
      </c>
      <c r="C1228" s="23" t="s">
        <v>2453</v>
      </c>
      <c r="D1228" s="20" t="s">
        <v>34</v>
      </c>
      <c r="E1228" s="22" t="s">
        <v>2454</v>
      </c>
      <c r="F1228" s="24" t="str">
        <f t="shared" si="76"/>
        <v>PPG - Artex GYPROC COVE  3.6M X 127MM</v>
      </c>
      <c r="G1228" s="38" t="s">
        <v>6100</v>
      </c>
      <c r="H1228" s="39" t="s">
        <v>213</v>
      </c>
      <c r="I1228" s="40" t="s">
        <v>37</v>
      </c>
      <c r="J1228" s="40" t="s">
        <v>38</v>
      </c>
      <c r="K1228" s="41" t="s">
        <v>39</v>
      </c>
      <c r="L1228" s="67">
        <v>10</v>
      </c>
      <c r="M1228" s="40" t="s">
        <v>2455</v>
      </c>
      <c r="N1228" s="42">
        <v>3107</v>
      </c>
      <c r="O1228" s="43"/>
      <c r="P1228" s="16">
        <f>VLOOKUP(A1228,'[3]Price info'!A:H,8,FALSE)</f>
        <v>10</v>
      </c>
      <c r="Q1228" s="44">
        <f t="shared" si="77"/>
        <v>1</v>
      </c>
      <c r="R1228" s="40"/>
      <c r="S1228" s="16" t="e">
        <f>VLOOKUP(A1228,[4]Sales!$E:$G,3,FALSE)</f>
        <v>#N/A</v>
      </c>
      <c r="T1228" s="19" t="e">
        <f>VLOOKUP(A1228,[4]Volume!$E:$G,3,FALSE)</f>
        <v>#N/A</v>
      </c>
      <c r="U1228" s="19" t="e">
        <f>VLOOKUP(A1228,[4]Piece!$E:$G,3,FALSE)</f>
        <v>#N/A</v>
      </c>
      <c r="V1228" s="21" t="e">
        <f t="shared" si="78"/>
        <v>#N/A</v>
      </c>
      <c r="W1228" s="16" t="e">
        <f t="shared" si="79"/>
        <v>#N/A</v>
      </c>
    </row>
    <row r="1229" spans="1:23" hidden="1" x14ac:dyDescent="0.3">
      <c r="A1229" s="63" t="s">
        <v>2456</v>
      </c>
      <c r="B1229" s="63" t="s">
        <v>2456</v>
      </c>
      <c r="C1229" s="23" t="s">
        <v>33</v>
      </c>
      <c r="D1229" s="20" t="s">
        <v>34</v>
      </c>
      <c r="E1229" s="22" t="s">
        <v>2457</v>
      </c>
      <c r="F1229" s="24" t="str">
        <f t="shared" si="76"/>
        <v>PPG - Artex GYP JNT KNIF 350MM</v>
      </c>
      <c r="G1229" s="41" t="s">
        <v>6101</v>
      </c>
      <c r="H1229" s="39" t="s">
        <v>36</v>
      </c>
      <c r="I1229" s="40" t="s">
        <v>37</v>
      </c>
      <c r="J1229" s="40" t="s">
        <v>38</v>
      </c>
      <c r="K1229" s="41" t="s">
        <v>39</v>
      </c>
      <c r="L1229" s="65">
        <v>18.46</v>
      </c>
      <c r="M1229" s="40" t="s">
        <v>40</v>
      </c>
      <c r="N1229" s="42">
        <v>3105</v>
      </c>
      <c r="O1229" s="43"/>
      <c r="P1229" s="16">
        <f>VLOOKUP(A1229,'[3]Price info'!A:H,8,FALSE)</f>
        <v>18.46</v>
      </c>
      <c r="Q1229" s="44">
        <f t="shared" si="77"/>
        <v>1</v>
      </c>
      <c r="R1229" s="40"/>
      <c r="S1229" s="16" t="e">
        <f>VLOOKUP(A1229,[4]Sales!$E:$G,3,FALSE)</f>
        <v>#N/A</v>
      </c>
      <c r="T1229" s="19" t="e">
        <f>VLOOKUP(A1229,[4]Volume!$E:$G,3,FALSE)</f>
        <v>#N/A</v>
      </c>
      <c r="U1229" s="19" t="e">
        <f>VLOOKUP(A1229,[4]Piece!$E:$G,3,FALSE)</f>
        <v>#N/A</v>
      </c>
      <c r="V1229" s="21" t="e">
        <f t="shared" si="78"/>
        <v>#N/A</v>
      </c>
      <c r="W1229" s="16" t="e">
        <f t="shared" si="79"/>
        <v>#N/A</v>
      </c>
    </row>
    <row r="1230" spans="1:23" hidden="1" x14ac:dyDescent="0.3">
      <c r="A1230" s="63" t="s">
        <v>2458</v>
      </c>
      <c r="B1230" s="63" t="s">
        <v>2458</v>
      </c>
      <c r="C1230" s="23" t="s">
        <v>33</v>
      </c>
      <c r="D1230" s="20" t="s">
        <v>34</v>
      </c>
      <c r="E1230" s="22" t="s">
        <v>2459</v>
      </c>
      <c r="F1230" s="24" t="str">
        <f t="shared" si="76"/>
        <v>PPG - Artex VELCRO PAD HEAD 19403 FOR SANDER</v>
      </c>
      <c r="G1230" s="41" t="s">
        <v>6102</v>
      </c>
      <c r="H1230" s="39" t="s">
        <v>36</v>
      </c>
      <c r="I1230" s="40" t="s">
        <v>37</v>
      </c>
      <c r="J1230" s="40" t="s">
        <v>38</v>
      </c>
      <c r="K1230" s="41" t="s">
        <v>39</v>
      </c>
      <c r="L1230" s="65">
        <v>35.270000000000003</v>
      </c>
      <c r="M1230" s="40" t="s">
        <v>40</v>
      </c>
      <c r="N1230" s="42">
        <v>3105</v>
      </c>
      <c r="O1230" s="43"/>
      <c r="P1230" s="16">
        <f>VLOOKUP(A1230,'[3]Price info'!A:H,8,FALSE)</f>
        <v>35.270000000000003</v>
      </c>
      <c r="Q1230" s="44">
        <f t="shared" si="77"/>
        <v>1</v>
      </c>
      <c r="R1230" s="40"/>
      <c r="S1230" s="16" t="e">
        <f>VLOOKUP(A1230,[4]Sales!$E:$G,3,FALSE)</f>
        <v>#N/A</v>
      </c>
      <c r="T1230" s="19" t="e">
        <f>VLOOKUP(A1230,[4]Volume!$E:$G,3,FALSE)</f>
        <v>#N/A</v>
      </c>
      <c r="U1230" s="19" t="e">
        <f>VLOOKUP(A1230,[4]Piece!$E:$G,3,FALSE)</f>
        <v>#N/A</v>
      </c>
      <c r="V1230" s="21" t="e">
        <f t="shared" si="78"/>
        <v>#N/A</v>
      </c>
      <c r="W1230" s="16" t="e">
        <f t="shared" si="79"/>
        <v>#N/A</v>
      </c>
    </row>
    <row r="1231" spans="1:23" hidden="1" x14ac:dyDescent="0.3">
      <c r="A1231" s="63" t="s">
        <v>2460</v>
      </c>
      <c r="B1231" s="63" t="s">
        <v>2460</v>
      </c>
      <c r="C1231" s="23" t="s">
        <v>33</v>
      </c>
      <c r="D1231" s="20" t="s">
        <v>34</v>
      </c>
      <c r="E1231" s="22" t="s">
        <v>2461</v>
      </c>
      <c r="F1231" s="24" t="str">
        <f t="shared" si="76"/>
        <v>PPG - Artex DEC CORNICE ADAM 50023 DEC. CORNI</v>
      </c>
      <c r="G1231" s="41" t="s">
        <v>6103</v>
      </c>
      <c r="H1231" s="39" t="s">
        <v>36</v>
      </c>
      <c r="I1231" s="40" t="s">
        <v>37</v>
      </c>
      <c r="J1231" s="40" t="s">
        <v>38</v>
      </c>
      <c r="K1231" s="41" t="s">
        <v>39</v>
      </c>
      <c r="L1231" s="65">
        <v>60.88</v>
      </c>
      <c r="M1231" s="40" t="s">
        <v>40</v>
      </c>
      <c r="N1231" s="42">
        <v>3105</v>
      </c>
      <c r="O1231" s="43"/>
      <c r="P1231" s="16">
        <f>VLOOKUP(A1231,'[3]Price info'!A:H,8,FALSE)</f>
        <v>60.88</v>
      </c>
      <c r="Q1231" s="44">
        <f t="shared" si="77"/>
        <v>1</v>
      </c>
      <c r="R1231" s="40"/>
      <c r="S1231" s="16" t="e">
        <f>VLOOKUP(A1231,[4]Sales!$E:$G,3,FALSE)</f>
        <v>#N/A</v>
      </c>
      <c r="T1231" s="19" t="e">
        <f>VLOOKUP(A1231,[4]Volume!$E:$G,3,FALSE)</f>
        <v>#N/A</v>
      </c>
      <c r="U1231" s="19" t="e">
        <f>VLOOKUP(A1231,[4]Piece!$E:$G,3,FALSE)</f>
        <v>#N/A</v>
      </c>
      <c r="V1231" s="21" t="e">
        <f t="shared" si="78"/>
        <v>#N/A</v>
      </c>
      <c r="W1231" s="16" t="e">
        <f t="shared" si="79"/>
        <v>#N/A</v>
      </c>
    </row>
    <row r="1232" spans="1:23" hidden="1" x14ac:dyDescent="0.3">
      <c r="A1232" s="63" t="s">
        <v>2462</v>
      </c>
      <c r="B1232" s="63" t="s">
        <v>2462</v>
      </c>
      <c r="C1232" s="23" t="s">
        <v>33</v>
      </c>
      <c r="D1232" s="20" t="s">
        <v>34</v>
      </c>
      <c r="E1232" s="22" t="s">
        <v>2463</v>
      </c>
      <c r="F1232" s="24" t="str">
        <f t="shared" si="76"/>
        <v>PPG - Artex DEC CORNICE ROMAN50323 DEC. CORNI</v>
      </c>
      <c r="G1232" s="41" t="s">
        <v>6104</v>
      </c>
      <c r="H1232" s="39" t="s">
        <v>36</v>
      </c>
      <c r="I1232" s="40" t="s">
        <v>37</v>
      </c>
      <c r="J1232" s="40" t="s">
        <v>38</v>
      </c>
      <c r="K1232" s="41" t="s">
        <v>39</v>
      </c>
      <c r="L1232" s="65">
        <v>60.88</v>
      </c>
      <c r="M1232" s="40" t="s">
        <v>40</v>
      </c>
      <c r="N1232" s="42">
        <v>3105</v>
      </c>
      <c r="O1232" s="43"/>
      <c r="P1232" s="16">
        <f>VLOOKUP(A1232,'[3]Price info'!A:H,8,FALSE)</f>
        <v>60.88</v>
      </c>
      <c r="Q1232" s="44">
        <f t="shared" si="77"/>
        <v>1</v>
      </c>
      <c r="R1232" s="40"/>
      <c r="S1232" s="16" t="e">
        <f>VLOOKUP(A1232,[4]Sales!$E:$G,3,FALSE)</f>
        <v>#N/A</v>
      </c>
      <c r="T1232" s="19" t="e">
        <f>VLOOKUP(A1232,[4]Volume!$E:$G,3,FALSE)</f>
        <v>#N/A</v>
      </c>
      <c r="U1232" s="19" t="e">
        <f>VLOOKUP(A1232,[4]Piece!$E:$G,3,FALSE)</f>
        <v>#N/A</v>
      </c>
      <c r="V1232" s="21" t="e">
        <f t="shared" si="78"/>
        <v>#N/A</v>
      </c>
      <c r="W1232" s="16" t="e">
        <f t="shared" si="79"/>
        <v>#N/A</v>
      </c>
    </row>
    <row r="1233" spans="1:23" hidden="1" x14ac:dyDescent="0.3">
      <c r="A1233" s="66" t="s">
        <v>2464</v>
      </c>
      <c r="B1233" s="66" t="s">
        <v>2464</v>
      </c>
      <c r="C1233" s="23" t="s">
        <v>2465</v>
      </c>
      <c r="D1233" s="20" t="s">
        <v>34</v>
      </c>
      <c r="E1233" s="22" t="s">
        <v>2466</v>
      </c>
      <c r="F1233" s="24" t="str">
        <f t="shared" si="76"/>
        <v xml:space="preserve">PPG - Artex SCULPTURED COVE </v>
      </c>
      <c r="G1233" s="38" t="s">
        <v>6105</v>
      </c>
      <c r="H1233" s="39" t="s">
        <v>213</v>
      </c>
      <c r="I1233" s="40" t="s">
        <v>37</v>
      </c>
      <c r="J1233" s="40" t="s">
        <v>38</v>
      </c>
      <c r="K1233" s="41" t="s">
        <v>39</v>
      </c>
      <c r="L1233" s="67">
        <v>9.34</v>
      </c>
      <c r="M1233" s="40" t="s">
        <v>2467</v>
      </c>
      <c r="N1233" s="42">
        <v>3108</v>
      </c>
      <c r="O1233" s="43"/>
      <c r="P1233" s="16">
        <f>VLOOKUP(A1233,'[3]Price info'!A:H,8,FALSE)</f>
        <v>9.34</v>
      </c>
      <c r="Q1233" s="44">
        <f t="shared" si="77"/>
        <v>1</v>
      </c>
      <c r="R1233" s="40"/>
      <c r="S1233" s="16" t="e">
        <f>VLOOKUP(A1233,[4]Sales!$E:$G,3,FALSE)</f>
        <v>#N/A</v>
      </c>
      <c r="T1233" s="19" t="e">
        <f>VLOOKUP(A1233,[4]Volume!$E:$G,3,FALSE)</f>
        <v>#N/A</v>
      </c>
      <c r="U1233" s="19" t="e">
        <f>VLOOKUP(A1233,[4]Piece!$E:$G,3,FALSE)</f>
        <v>#N/A</v>
      </c>
      <c r="V1233" s="21" t="e">
        <f t="shared" si="78"/>
        <v>#N/A</v>
      </c>
      <c r="W1233" s="16" t="e">
        <f t="shared" si="79"/>
        <v>#N/A</v>
      </c>
    </row>
    <row r="1234" spans="1:23" hidden="1" x14ac:dyDescent="0.3">
      <c r="A1234" s="63" t="s">
        <v>2468</v>
      </c>
      <c r="B1234" s="63" t="s">
        <v>2468</v>
      </c>
      <c r="C1234" s="23" t="s">
        <v>33</v>
      </c>
      <c r="D1234" s="20" t="s">
        <v>34</v>
      </c>
      <c r="E1234" s="22" t="s">
        <v>2469</v>
      </c>
      <c r="F1234" s="24" t="str">
        <f t="shared" si="76"/>
        <v>PPG - Artex CORNIC STRIP GYP 60019  CORNICE</v>
      </c>
      <c r="G1234" s="41" t="s">
        <v>6106</v>
      </c>
      <c r="H1234" s="39" t="s">
        <v>36</v>
      </c>
      <c r="I1234" s="40" t="s">
        <v>37</v>
      </c>
      <c r="J1234" s="40" t="s">
        <v>38</v>
      </c>
      <c r="K1234" s="41" t="s">
        <v>39</v>
      </c>
      <c r="L1234" s="65">
        <v>67.290000000000006</v>
      </c>
      <c r="M1234" s="40" t="s">
        <v>40</v>
      </c>
      <c r="N1234" s="42">
        <v>3105</v>
      </c>
      <c r="O1234" s="43"/>
      <c r="P1234" s="16">
        <f>VLOOKUP(A1234,'[3]Price info'!A:H,8,FALSE)</f>
        <v>67.290000000000006</v>
      </c>
      <c r="Q1234" s="44">
        <f t="shared" si="77"/>
        <v>1</v>
      </c>
      <c r="R1234" s="40"/>
      <c r="S1234" s="16" t="e">
        <f>VLOOKUP(A1234,[4]Sales!$E:$G,3,FALSE)</f>
        <v>#N/A</v>
      </c>
      <c r="T1234" s="19" t="e">
        <f>VLOOKUP(A1234,[4]Volume!$E:$G,3,FALSE)</f>
        <v>#N/A</v>
      </c>
      <c r="U1234" s="19" t="e">
        <f>VLOOKUP(A1234,[4]Piece!$E:$G,3,FALSE)</f>
        <v>#N/A</v>
      </c>
      <c r="V1234" s="21" t="e">
        <f t="shared" si="78"/>
        <v>#N/A</v>
      </c>
      <c r="W1234" s="16" t="e">
        <f t="shared" si="79"/>
        <v>#N/A</v>
      </c>
    </row>
    <row r="1235" spans="1:23" hidden="1" x14ac:dyDescent="0.3">
      <c r="A1235" s="63" t="s">
        <v>2470</v>
      </c>
      <c r="B1235" s="63" t="s">
        <v>2470</v>
      </c>
      <c r="C1235" s="23" t="s">
        <v>33</v>
      </c>
      <c r="D1235" s="20" t="s">
        <v>34</v>
      </c>
      <c r="E1235" s="22" t="s">
        <v>2471</v>
      </c>
      <c r="F1235" s="24" t="str">
        <f t="shared" si="76"/>
        <v>PPG - Artex R'MOND CORNI 88236      DPM 5M MUL</v>
      </c>
      <c r="G1235" s="41" t="s">
        <v>6107</v>
      </c>
      <c r="H1235" s="39" t="s">
        <v>36</v>
      </c>
      <c r="I1235" s="40" t="s">
        <v>37</v>
      </c>
      <c r="J1235" s="40" t="s">
        <v>38</v>
      </c>
      <c r="K1235" s="41" t="s">
        <v>39</v>
      </c>
      <c r="L1235" s="65">
        <v>44.85</v>
      </c>
      <c r="M1235" s="40" t="s">
        <v>40</v>
      </c>
      <c r="N1235" s="42">
        <v>3105</v>
      </c>
      <c r="O1235" s="43"/>
      <c r="P1235" s="16">
        <f>VLOOKUP(A1235,'[3]Price info'!A:H,8,FALSE)</f>
        <v>44.85</v>
      </c>
      <c r="Q1235" s="44">
        <f t="shared" si="77"/>
        <v>1</v>
      </c>
      <c r="R1235" s="40"/>
      <c r="S1235" s="16" t="e">
        <f>VLOOKUP(A1235,[4]Sales!$E:$G,3,FALSE)</f>
        <v>#N/A</v>
      </c>
      <c r="T1235" s="19" t="e">
        <f>VLOOKUP(A1235,[4]Volume!$E:$G,3,FALSE)</f>
        <v>#N/A</v>
      </c>
      <c r="U1235" s="19" t="e">
        <f>VLOOKUP(A1235,[4]Piece!$E:$G,3,FALSE)</f>
        <v>#N/A</v>
      </c>
      <c r="V1235" s="21" t="e">
        <f t="shared" si="78"/>
        <v>#N/A</v>
      </c>
      <c r="W1235" s="16" t="e">
        <f t="shared" si="79"/>
        <v>#N/A</v>
      </c>
    </row>
    <row r="1236" spans="1:23" hidden="1" x14ac:dyDescent="0.3">
      <c r="A1236" s="63" t="s">
        <v>2472</v>
      </c>
      <c r="B1236" s="63" t="s">
        <v>2472</v>
      </c>
      <c r="C1236" s="23" t="s">
        <v>33</v>
      </c>
      <c r="D1236" s="20" t="s">
        <v>34</v>
      </c>
      <c r="E1236" s="22" t="s">
        <v>2473</v>
      </c>
      <c r="F1236" s="24" t="str">
        <f t="shared" si="76"/>
        <v>PPG - Brushmate TRADE 20</v>
      </c>
      <c r="G1236" s="31" t="s">
        <v>6108</v>
      </c>
      <c r="H1236" s="29" t="s">
        <v>36</v>
      </c>
      <c r="I1236" s="30" t="s">
        <v>37</v>
      </c>
      <c r="J1236" s="30" t="s">
        <v>38</v>
      </c>
      <c r="K1236" s="31" t="s">
        <v>39</v>
      </c>
      <c r="L1236" s="64">
        <v>113.13</v>
      </c>
      <c r="M1236" s="30" t="s">
        <v>40</v>
      </c>
      <c r="N1236" s="32">
        <v>3105</v>
      </c>
      <c r="P1236" s="16">
        <f>VLOOKUP(A1236,'[3]Price info'!A:H,8,FALSE)</f>
        <v>113.13</v>
      </c>
      <c r="Q1236" s="35">
        <f t="shared" si="77"/>
        <v>1</v>
      </c>
      <c r="R1236" s="30"/>
      <c r="S1236" s="16" t="e">
        <f>VLOOKUP(A1236,[4]Sales!$E:$G,3,FALSE)</f>
        <v>#N/A</v>
      </c>
      <c r="T1236" s="19" t="e">
        <f>VLOOKUP(A1236,[4]Volume!$E:$G,3,FALSE)</f>
        <v>#N/A</v>
      </c>
      <c r="U1236" s="19" t="e">
        <f>VLOOKUP(A1236,[4]Piece!$E:$G,3,FALSE)</f>
        <v>#N/A</v>
      </c>
      <c r="V1236" s="21" t="e">
        <f t="shared" si="78"/>
        <v>#N/A</v>
      </c>
      <c r="W1236" s="16" t="e">
        <f t="shared" si="79"/>
        <v>#N/A</v>
      </c>
    </row>
    <row r="1237" spans="1:23" hidden="1" x14ac:dyDescent="0.3">
      <c r="A1237" s="63" t="s">
        <v>2474</v>
      </c>
      <c r="B1237" s="63" t="s">
        <v>2474</v>
      </c>
      <c r="C1237" s="23" t="s">
        <v>33</v>
      </c>
      <c r="D1237" s="20" t="s">
        <v>34</v>
      </c>
      <c r="E1237" s="22" t="s">
        <v>2475</v>
      </c>
      <c r="F1237" s="24" t="str">
        <f t="shared" si="76"/>
        <v>PPG - Brushmate CLIPS PACK (4)</v>
      </c>
      <c r="G1237" s="31" t="s">
        <v>6109</v>
      </c>
      <c r="H1237" s="29" t="s">
        <v>36</v>
      </c>
      <c r="I1237" s="30" t="s">
        <v>37</v>
      </c>
      <c r="J1237" s="30" t="s">
        <v>38</v>
      </c>
      <c r="K1237" s="31" t="s">
        <v>39</v>
      </c>
      <c r="L1237" s="64">
        <v>2.77</v>
      </c>
      <c r="M1237" s="30" t="s">
        <v>40</v>
      </c>
      <c r="N1237" s="32">
        <v>3105</v>
      </c>
      <c r="P1237" s="16">
        <f>VLOOKUP(A1237,'[3]Price info'!A:H,8,FALSE)</f>
        <v>2.77</v>
      </c>
      <c r="Q1237" s="35">
        <f t="shared" si="77"/>
        <v>1</v>
      </c>
      <c r="R1237" s="30"/>
      <c r="S1237" s="16" t="e">
        <f>VLOOKUP(A1237,[4]Sales!$E:$G,3,FALSE)</f>
        <v>#N/A</v>
      </c>
      <c r="T1237" s="19" t="e">
        <f>VLOOKUP(A1237,[4]Volume!$E:$G,3,FALSE)</f>
        <v>#N/A</v>
      </c>
      <c r="U1237" s="19" t="e">
        <f>VLOOKUP(A1237,[4]Piece!$E:$G,3,FALSE)</f>
        <v>#N/A</v>
      </c>
      <c r="V1237" s="21" t="e">
        <f t="shared" si="78"/>
        <v>#N/A</v>
      </c>
      <c r="W1237" s="16" t="e">
        <f t="shared" si="79"/>
        <v>#N/A</v>
      </c>
    </row>
    <row r="1238" spans="1:23" hidden="1" x14ac:dyDescent="0.3">
      <c r="A1238" s="63" t="s">
        <v>2476</v>
      </c>
      <c r="B1238" s="63" t="s">
        <v>2476</v>
      </c>
      <c r="C1238" s="23" t="s">
        <v>33</v>
      </c>
      <c r="D1238" s="20" t="s">
        <v>34</v>
      </c>
      <c r="E1238" s="22" t="s">
        <v>2477</v>
      </c>
      <c r="F1238" s="24" t="str">
        <f t="shared" si="76"/>
        <v>PPG - Brushmate AROMA 240</v>
      </c>
      <c r="G1238" s="36" t="s">
        <v>6110</v>
      </c>
      <c r="H1238" s="25" t="s">
        <v>36</v>
      </c>
      <c r="I1238" s="18" t="s">
        <v>37</v>
      </c>
      <c r="J1238" s="18" t="s">
        <v>38</v>
      </c>
      <c r="K1238" t="s">
        <v>39</v>
      </c>
      <c r="L1238" s="68">
        <v>3</v>
      </c>
      <c r="M1238" s="18" t="s">
        <v>40</v>
      </c>
      <c r="N1238" s="20">
        <v>3105</v>
      </c>
      <c r="P1238" s="16">
        <f>VLOOKUP(A1238,'[3]Price info'!A:H,8,FALSE)</f>
        <v>3</v>
      </c>
      <c r="Q1238" s="33">
        <f t="shared" si="77"/>
        <v>1</v>
      </c>
      <c r="S1238" s="16">
        <f>VLOOKUP(A1238,[4]Sales!$E:$G,3,FALSE)</f>
        <v>3</v>
      </c>
      <c r="T1238" s="19">
        <f>VLOOKUP(A1238,[4]Volume!$E:$G,3,FALSE)</f>
        <v>1</v>
      </c>
      <c r="U1238" s="19">
        <f>VLOOKUP(A1238,[4]Piece!$E:$G,3,FALSE)</f>
        <v>1</v>
      </c>
      <c r="V1238" s="21">
        <f t="shared" si="78"/>
        <v>3</v>
      </c>
      <c r="W1238" s="16">
        <f t="shared" si="79"/>
        <v>0</v>
      </c>
    </row>
    <row r="1239" spans="1:23" hidden="1" x14ac:dyDescent="0.3">
      <c r="A1239" s="63" t="s">
        <v>2478</v>
      </c>
      <c r="B1239" s="63" t="s">
        <v>2478</v>
      </c>
      <c r="C1239" s="23" t="s">
        <v>33</v>
      </c>
      <c r="D1239" s="20" t="s">
        <v>34</v>
      </c>
      <c r="E1239" s="22" t="s">
        <v>2479</v>
      </c>
      <c r="F1239" s="24" t="str">
        <f t="shared" si="76"/>
        <v>PPG - Artex H/D PLAST MX 60040WHEEL PLASTER MI</v>
      </c>
      <c r="G1239" s="41" t="s">
        <v>6111</v>
      </c>
      <c r="H1239" s="39" t="s">
        <v>36</v>
      </c>
      <c r="I1239" s="40" t="s">
        <v>37</v>
      </c>
      <c r="J1239" s="40" t="s">
        <v>38</v>
      </c>
      <c r="K1239" s="41" t="s">
        <v>39</v>
      </c>
      <c r="L1239" s="65">
        <v>33.549999999999997</v>
      </c>
      <c r="M1239" s="40" t="s">
        <v>40</v>
      </c>
      <c r="N1239" s="42">
        <v>3105</v>
      </c>
      <c r="O1239" s="43"/>
      <c r="P1239" s="16">
        <f>VLOOKUP(A1239,'[3]Price info'!A:H,8,FALSE)</f>
        <v>33.549999999999997</v>
      </c>
      <c r="Q1239" s="44">
        <f t="shared" si="77"/>
        <v>1</v>
      </c>
      <c r="R1239" s="40"/>
      <c r="S1239" s="16" t="e">
        <f>VLOOKUP(A1239,[4]Sales!$E:$G,3,FALSE)</f>
        <v>#N/A</v>
      </c>
      <c r="T1239" s="19" t="e">
        <f>VLOOKUP(A1239,[4]Volume!$E:$G,3,FALSE)</f>
        <v>#N/A</v>
      </c>
      <c r="U1239" s="19" t="e">
        <f>VLOOKUP(A1239,[4]Piece!$E:$G,3,FALSE)</f>
        <v>#N/A</v>
      </c>
      <c r="V1239" s="21" t="e">
        <f t="shared" si="78"/>
        <v>#N/A</v>
      </c>
      <c r="W1239" s="16" t="e">
        <f t="shared" si="79"/>
        <v>#N/A</v>
      </c>
    </row>
    <row r="1240" spans="1:23" hidden="1" x14ac:dyDescent="0.3">
      <c r="A1240" s="63" t="s">
        <v>2480</v>
      </c>
      <c r="B1240" s="63" t="s">
        <v>2480</v>
      </c>
      <c r="C1240" s="23" t="s">
        <v>33</v>
      </c>
      <c r="D1240" s="20" t="s">
        <v>34</v>
      </c>
      <c r="E1240" s="22" t="s">
        <v>2481</v>
      </c>
      <c r="F1240" s="24" t="str">
        <f t="shared" si="76"/>
        <v>PPG - Brushmate LID TRADE 20</v>
      </c>
      <c r="G1240" s="31" t="s">
        <v>6112</v>
      </c>
      <c r="H1240" s="29" t="s">
        <v>36</v>
      </c>
      <c r="I1240" s="30" t="s">
        <v>37</v>
      </c>
      <c r="J1240" s="30" t="s">
        <v>38</v>
      </c>
      <c r="K1240" s="31" t="s">
        <v>39</v>
      </c>
      <c r="L1240" s="64">
        <v>15.26</v>
      </c>
      <c r="M1240" s="30" t="s">
        <v>40</v>
      </c>
      <c r="N1240" s="32">
        <v>3105</v>
      </c>
      <c r="P1240" s="16">
        <f>VLOOKUP(A1240,'[3]Price info'!A:H,8,FALSE)</f>
        <v>15.26</v>
      </c>
      <c r="Q1240" s="35">
        <f t="shared" si="77"/>
        <v>1</v>
      </c>
      <c r="R1240" s="30"/>
      <c r="S1240" s="16" t="e">
        <f>VLOOKUP(A1240,[4]Sales!$E:$G,3,FALSE)</f>
        <v>#N/A</v>
      </c>
      <c r="T1240" s="19" t="e">
        <f>VLOOKUP(A1240,[4]Volume!$E:$G,3,FALSE)</f>
        <v>#N/A</v>
      </c>
      <c r="U1240" s="19" t="e">
        <f>VLOOKUP(A1240,[4]Piece!$E:$G,3,FALSE)</f>
        <v>#N/A</v>
      </c>
      <c r="V1240" s="21" t="e">
        <f t="shared" si="78"/>
        <v>#N/A</v>
      </c>
      <c r="W1240" s="16" t="e">
        <f t="shared" si="79"/>
        <v>#N/A</v>
      </c>
    </row>
    <row r="1241" spans="1:23" hidden="1" x14ac:dyDescent="0.3">
      <c r="A1241" s="63" t="s">
        <v>2482</v>
      </c>
      <c r="B1241" s="63" t="s">
        <v>2482</v>
      </c>
      <c r="C1241" s="23" t="s">
        <v>33</v>
      </c>
      <c r="D1241" s="20" t="s">
        <v>34</v>
      </c>
      <c r="E1241" s="22" t="s">
        <v>2483</v>
      </c>
      <c r="F1241" s="24" t="str">
        <f t="shared" si="76"/>
        <v>PPG - Brushmate TRD 4 PLUS TWIN PACK</v>
      </c>
      <c r="G1241" s="36" t="s">
        <v>6113</v>
      </c>
      <c r="H1241" s="25" t="s">
        <v>36</v>
      </c>
      <c r="I1241" s="18" t="s">
        <v>37</v>
      </c>
      <c r="J1241" s="18" t="s">
        <v>38</v>
      </c>
      <c r="K1241" t="s">
        <v>39</v>
      </c>
      <c r="L1241" s="68">
        <v>42.8</v>
      </c>
      <c r="M1241" s="18" t="s">
        <v>40</v>
      </c>
      <c r="N1241" s="20">
        <v>3105</v>
      </c>
      <c r="P1241" s="16">
        <f>VLOOKUP(A1241,'[3]Price info'!A:H,8,FALSE)</f>
        <v>42.8</v>
      </c>
      <c r="Q1241" s="33">
        <f t="shared" si="77"/>
        <v>1</v>
      </c>
      <c r="S1241" s="16" t="e">
        <f>VLOOKUP(A1241,[4]Sales!$E:$G,3,FALSE)</f>
        <v>#N/A</v>
      </c>
      <c r="T1241" s="19" t="e">
        <f>VLOOKUP(A1241,[4]Volume!$E:$G,3,FALSE)</f>
        <v>#N/A</v>
      </c>
      <c r="U1241" s="19" t="e">
        <f>VLOOKUP(A1241,[4]Piece!$E:$G,3,FALSE)</f>
        <v>#N/A</v>
      </c>
      <c r="V1241" s="21" t="e">
        <f t="shared" si="78"/>
        <v>#N/A</v>
      </c>
      <c r="W1241" s="16" t="e">
        <f t="shared" si="79"/>
        <v>#N/A</v>
      </c>
    </row>
    <row r="1242" spans="1:23" hidden="1" x14ac:dyDescent="0.3">
      <c r="A1242" s="63" t="s">
        <v>2484</v>
      </c>
      <c r="B1242" s="63" t="s">
        <v>2484</v>
      </c>
      <c r="C1242" s="23" t="s">
        <v>33</v>
      </c>
      <c r="D1242" s="20" t="s">
        <v>34</v>
      </c>
      <c r="E1242" s="22" t="s">
        <v>2485</v>
      </c>
      <c r="F1242" s="24" t="str">
        <f t="shared" si="76"/>
        <v>PPG - ARTEX SERVIC CHARGE &amp; REPAIR</v>
      </c>
      <c r="G1242" s="41" t="s">
        <v>6114</v>
      </c>
      <c r="H1242" s="39" t="s">
        <v>36</v>
      </c>
      <c r="I1242" s="40" t="s">
        <v>37</v>
      </c>
      <c r="J1242" s="40" t="s">
        <v>38</v>
      </c>
      <c r="K1242" s="41" t="s">
        <v>39</v>
      </c>
      <c r="L1242" s="65">
        <v>160.57</v>
      </c>
      <c r="M1242" s="40" t="s">
        <v>40</v>
      </c>
      <c r="N1242" s="42">
        <v>3105</v>
      </c>
      <c r="O1242" s="43"/>
      <c r="P1242" s="16">
        <f>VLOOKUP(A1242,'[3]Price info'!A:H,8,FALSE)</f>
        <v>160.57</v>
      </c>
      <c r="Q1242" s="44">
        <f t="shared" si="77"/>
        <v>1</v>
      </c>
      <c r="R1242" s="40"/>
      <c r="S1242" s="16" t="e">
        <f>VLOOKUP(A1242,[4]Sales!$E:$G,3,FALSE)</f>
        <v>#N/A</v>
      </c>
      <c r="T1242" s="19" t="e">
        <f>VLOOKUP(A1242,[4]Volume!$E:$G,3,FALSE)</f>
        <v>#N/A</v>
      </c>
      <c r="U1242" s="19" t="e">
        <f>VLOOKUP(A1242,[4]Piece!$E:$G,3,FALSE)</f>
        <v>#N/A</v>
      </c>
      <c r="V1242" s="21" t="e">
        <f t="shared" si="78"/>
        <v>#N/A</v>
      </c>
      <c r="W1242" s="16" t="e">
        <f t="shared" si="79"/>
        <v>#N/A</v>
      </c>
    </row>
    <row r="1243" spans="1:23" hidden="1" x14ac:dyDescent="0.3">
      <c r="A1243" s="63" t="s">
        <v>2486</v>
      </c>
      <c r="B1243" s="63" t="s">
        <v>2486</v>
      </c>
      <c r="C1243" s="23" t="s">
        <v>33</v>
      </c>
      <c r="D1243" s="20" t="s">
        <v>34</v>
      </c>
      <c r="E1243" s="22" t="s">
        <v>2487</v>
      </c>
      <c r="F1243" s="24" t="str">
        <f t="shared" si="76"/>
        <v>PPG - Artex CHALK LINE 15M</v>
      </c>
      <c r="G1243" s="41" t="s">
        <v>6115</v>
      </c>
      <c r="H1243" s="39" t="s">
        <v>36</v>
      </c>
      <c r="I1243" s="40" t="s">
        <v>37</v>
      </c>
      <c r="J1243" s="40" t="s">
        <v>38</v>
      </c>
      <c r="K1243" s="41" t="s">
        <v>39</v>
      </c>
      <c r="L1243" s="65">
        <v>8.77</v>
      </c>
      <c r="M1243" s="40" t="s">
        <v>40</v>
      </c>
      <c r="N1243" s="42">
        <v>3105</v>
      </c>
      <c r="O1243" s="43"/>
      <c r="P1243" s="16">
        <f>VLOOKUP(A1243,'[3]Price info'!A:H,8,FALSE)</f>
        <v>8.77</v>
      </c>
      <c r="Q1243" s="44">
        <f t="shared" si="77"/>
        <v>1</v>
      </c>
      <c r="R1243" s="40"/>
      <c r="S1243" s="16" t="e">
        <f>VLOOKUP(A1243,[4]Sales!$E:$G,3,FALSE)</f>
        <v>#N/A</v>
      </c>
      <c r="T1243" s="19" t="e">
        <f>VLOOKUP(A1243,[4]Volume!$E:$G,3,FALSE)</f>
        <v>#N/A</v>
      </c>
      <c r="U1243" s="19" t="e">
        <f>VLOOKUP(A1243,[4]Piece!$E:$G,3,FALSE)</f>
        <v>#N/A</v>
      </c>
      <c r="V1243" s="21" t="e">
        <f t="shared" si="78"/>
        <v>#N/A</v>
      </c>
      <c r="W1243" s="16" t="e">
        <f t="shared" si="79"/>
        <v>#N/A</v>
      </c>
    </row>
    <row r="1244" spans="1:23" hidden="1" x14ac:dyDescent="0.3">
      <c r="A1244" s="63" t="s">
        <v>2488</v>
      </c>
      <c r="B1244" s="63" t="s">
        <v>2488</v>
      </c>
      <c r="C1244" s="23" t="s">
        <v>33</v>
      </c>
      <c r="D1244" s="20" t="s">
        <v>34</v>
      </c>
      <c r="E1244" s="22" t="s">
        <v>2489</v>
      </c>
      <c r="F1244" s="24" t="str">
        <f t="shared" si="76"/>
        <v>PPG - Artex PYRAMID      BLADE      7111</v>
      </c>
      <c r="G1244" s="41" t="s">
        <v>6116</v>
      </c>
      <c r="H1244" s="39" t="s">
        <v>36</v>
      </c>
      <c r="I1244" s="40" t="s">
        <v>37</v>
      </c>
      <c r="J1244" s="40" t="s">
        <v>38</v>
      </c>
      <c r="K1244" s="41" t="s">
        <v>39</v>
      </c>
      <c r="L1244" s="65">
        <v>2.2799999999999998</v>
      </c>
      <c r="M1244" s="40" t="s">
        <v>40</v>
      </c>
      <c r="N1244" s="42">
        <v>3105</v>
      </c>
      <c r="O1244" s="43"/>
      <c r="P1244" s="16">
        <f>VLOOKUP(A1244,'[3]Price info'!A:H,8,FALSE)</f>
        <v>2.2799999999999998</v>
      </c>
      <c r="Q1244" s="44">
        <f t="shared" si="77"/>
        <v>1</v>
      </c>
      <c r="R1244" s="40"/>
      <c r="S1244" s="16" t="e">
        <f>VLOOKUP(A1244,[4]Sales!$E:$G,3,FALSE)</f>
        <v>#N/A</v>
      </c>
      <c r="T1244" s="19" t="e">
        <f>VLOOKUP(A1244,[4]Volume!$E:$G,3,FALSE)</f>
        <v>#N/A</v>
      </c>
      <c r="U1244" s="19" t="e">
        <f>VLOOKUP(A1244,[4]Piece!$E:$G,3,FALSE)</f>
        <v>#N/A</v>
      </c>
      <c r="V1244" s="21" t="e">
        <f t="shared" si="78"/>
        <v>#N/A</v>
      </c>
      <c r="W1244" s="16" t="e">
        <f t="shared" si="79"/>
        <v>#N/A</v>
      </c>
    </row>
    <row r="1245" spans="1:23" hidden="1" x14ac:dyDescent="0.3">
      <c r="A1245" s="63" t="s">
        <v>2490</v>
      </c>
      <c r="B1245" s="63" t="s">
        <v>2490</v>
      </c>
      <c r="C1245" s="23" t="s">
        <v>33</v>
      </c>
      <c r="D1245" s="20" t="s">
        <v>34</v>
      </c>
      <c r="E1245" s="22" t="s">
        <v>2491</v>
      </c>
      <c r="F1245" s="24" t="str">
        <f t="shared" si="76"/>
        <v>PPG - Artex BLUE CHALK   REFILL     5200115212</v>
      </c>
      <c r="G1245" s="41" t="s">
        <v>6117</v>
      </c>
      <c r="H1245" s="39" t="s">
        <v>36</v>
      </c>
      <c r="I1245" s="40" t="s">
        <v>37</v>
      </c>
      <c r="J1245" s="40" t="s">
        <v>38</v>
      </c>
      <c r="K1245" s="41" t="s">
        <v>39</v>
      </c>
      <c r="L1245" s="65">
        <v>2.59</v>
      </c>
      <c r="M1245" s="40" t="s">
        <v>40</v>
      </c>
      <c r="N1245" s="42">
        <v>3105</v>
      </c>
      <c r="O1245" s="43"/>
      <c r="P1245" s="16">
        <f>VLOOKUP(A1245,'[3]Price info'!A:H,8,FALSE)</f>
        <v>2.59</v>
      </c>
      <c r="Q1245" s="44">
        <f t="shared" si="77"/>
        <v>1</v>
      </c>
      <c r="R1245" s="40"/>
      <c r="S1245" s="16" t="e">
        <f>VLOOKUP(A1245,[4]Sales!$E:$G,3,FALSE)</f>
        <v>#N/A</v>
      </c>
      <c r="T1245" s="19" t="e">
        <f>VLOOKUP(A1245,[4]Volume!$E:$G,3,FALSE)</f>
        <v>#N/A</v>
      </c>
      <c r="U1245" s="19" t="e">
        <f>VLOOKUP(A1245,[4]Piece!$E:$G,3,FALSE)</f>
        <v>#N/A</v>
      </c>
      <c r="V1245" s="21" t="e">
        <f t="shared" si="78"/>
        <v>#N/A</v>
      </c>
      <c r="W1245" s="16" t="e">
        <f t="shared" si="79"/>
        <v>#N/A</v>
      </c>
    </row>
    <row r="1246" spans="1:23" hidden="1" x14ac:dyDescent="0.3">
      <c r="A1246" s="63" t="s">
        <v>2492</v>
      </c>
      <c r="B1246" s="63" t="s">
        <v>2492</v>
      </c>
      <c r="C1246" s="23" t="s">
        <v>33</v>
      </c>
      <c r="D1246" s="20" t="s">
        <v>34</v>
      </c>
      <c r="E1246" s="22" t="s">
        <v>2493</v>
      </c>
      <c r="F1246" s="24" t="str">
        <f t="shared" si="76"/>
        <v>PPG - Artex SANDING      5200425706 DISCS 150G</v>
      </c>
      <c r="G1246" s="41" t="s">
        <v>6118</v>
      </c>
      <c r="H1246" s="39" t="s">
        <v>36</v>
      </c>
      <c r="I1246" s="40" t="s">
        <v>37</v>
      </c>
      <c r="J1246" s="40" t="s">
        <v>38</v>
      </c>
      <c r="K1246" s="41" t="s">
        <v>39</v>
      </c>
      <c r="L1246" s="65">
        <v>57.96</v>
      </c>
      <c r="M1246" s="40" t="s">
        <v>40</v>
      </c>
      <c r="N1246" s="42">
        <v>3105</v>
      </c>
      <c r="O1246" s="43"/>
      <c r="P1246" s="16">
        <f>VLOOKUP(A1246,'[3]Price info'!A:H,8,FALSE)</f>
        <v>57.96</v>
      </c>
      <c r="Q1246" s="44">
        <f t="shared" si="77"/>
        <v>1</v>
      </c>
      <c r="R1246" s="40"/>
      <c r="S1246" s="16" t="e">
        <f>VLOOKUP(A1246,[4]Sales!$E:$G,3,FALSE)</f>
        <v>#N/A</v>
      </c>
      <c r="T1246" s="19" t="e">
        <f>VLOOKUP(A1246,[4]Volume!$E:$G,3,FALSE)</f>
        <v>#N/A</v>
      </c>
      <c r="U1246" s="19" t="e">
        <f>VLOOKUP(A1246,[4]Piece!$E:$G,3,FALSE)</f>
        <v>#N/A</v>
      </c>
      <c r="V1246" s="21" t="e">
        <f t="shared" si="78"/>
        <v>#N/A</v>
      </c>
      <c r="W1246" s="16" t="e">
        <f t="shared" si="79"/>
        <v>#N/A</v>
      </c>
    </row>
    <row r="1247" spans="1:23" hidden="1" x14ac:dyDescent="0.3">
      <c r="A1247" s="61" t="s">
        <v>2494</v>
      </c>
      <c r="B1247" s="61" t="s">
        <v>2494</v>
      </c>
      <c r="C1247" s="23" t="s">
        <v>33</v>
      </c>
      <c r="D1247" s="20" t="s">
        <v>34</v>
      </c>
      <c r="E1247" s="22" t="s">
        <v>2495</v>
      </c>
      <c r="F1247" s="24" t="str">
        <f t="shared" si="76"/>
        <v>PPG - FatHog GENERAL PURPOSE SILICONE BROWN -295ml</v>
      </c>
      <c r="G1247" s="23" t="s">
        <v>6119</v>
      </c>
      <c r="H1247" s="25" t="s">
        <v>36</v>
      </c>
      <c r="I1247" s="18" t="s">
        <v>37</v>
      </c>
      <c r="J1247" s="18" t="s">
        <v>38</v>
      </c>
      <c r="K1247" t="s">
        <v>39</v>
      </c>
      <c r="L1247" s="26">
        <v>2.41</v>
      </c>
      <c r="M1247" s="18" t="s">
        <v>40</v>
      </c>
      <c r="N1247" s="20">
        <v>3105</v>
      </c>
      <c r="P1247" s="16">
        <f>VLOOKUP(A1247,'[3]Price info'!A:H,8,FALSE)</f>
        <v>2.41</v>
      </c>
      <c r="Q1247" s="33">
        <f t="shared" si="77"/>
        <v>1</v>
      </c>
      <c r="S1247" s="16" t="e">
        <f>VLOOKUP(A1247,[4]Sales!$E:$G,3,FALSE)</f>
        <v>#N/A</v>
      </c>
      <c r="T1247" s="19" t="e">
        <f>VLOOKUP(A1247,[4]Volume!$E:$G,3,FALSE)</f>
        <v>#N/A</v>
      </c>
      <c r="U1247" s="19" t="e">
        <f>VLOOKUP(A1247,[4]Piece!$E:$G,3,FALSE)</f>
        <v>#N/A</v>
      </c>
      <c r="V1247" s="21" t="e">
        <f t="shared" si="78"/>
        <v>#N/A</v>
      </c>
      <c r="W1247" s="16" t="e">
        <f t="shared" si="79"/>
        <v>#N/A</v>
      </c>
    </row>
    <row r="1248" spans="1:23" hidden="1" x14ac:dyDescent="0.3">
      <c r="A1248" s="63" t="s">
        <v>2496</v>
      </c>
      <c r="B1248" s="63" t="s">
        <v>2496</v>
      </c>
      <c r="C1248" s="23" t="s">
        <v>33</v>
      </c>
      <c r="D1248" s="20" t="s">
        <v>34</v>
      </c>
      <c r="E1248" s="22" t="s">
        <v>2497</v>
      </c>
      <c r="F1248" s="24" t="str">
        <f t="shared" si="76"/>
        <v>PPG - Artex CEILING ROSE CAVENDISH 36CM 72704</v>
      </c>
      <c r="G1248" s="41" t="s">
        <v>6120</v>
      </c>
      <c r="H1248" s="39" t="s">
        <v>36</v>
      </c>
      <c r="I1248" s="40" t="s">
        <v>37</v>
      </c>
      <c r="J1248" s="40" t="s">
        <v>38</v>
      </c>
      <c r="K1248" s="41" t="s">
        <v>39</v>
      </c>
      <c r="L1248" s="65">
        <v>30.91</v>
      </c>
      <c r="M1248" s="40" t="s">
        <v>40</v>
      </c>
      <c r="N1248" s="42">
        <v>3105</v>
      </c>
      <c r="O1248" s="43"/>
      <c r="P1248" s="16">
        <f>VLOOKUP(A1248,'[3]Price info'!A:H,8,FALSE)</f>
        <v>30.91</v>
      </c>
      <c r="Q1248" s="44">
        <f t="shared" si="77"/>
        <v>1</v>
      </c>
      <c r="R1248" s="40"/>
      <c r="S1248" s="16" t="e">
        <f>VLOOKUP(A1248,[4]Sales!$E:$G,3,FALSE)</f>
        <v>#N/A</v>
      </c>
      <c r="T1248" s="19" t="e">
        <f>VLOOKUP(A1248,[4]Volume!$E:$G,3,FALSE)</f>
        <v>#N/A</v>
      </c>
      <c r="U1248" s="19" t="e">
        <f>VLOOKUP(A1248,[4]Piece!$E:$G,3,FALSE)</f>
        <v>#N/A</v>
      </c>
      <c r="V1248" s="21" t="e">
        <f t="shared" si="78"/>
        <v>#N/A</v>
      </c>
      <c r="W1248" s="16" t="e">
        <f t="shared" si="79"/>
        <v>#N/A</v>
      </c>
    </row>
    <row r="1249" spans="1:23" hidden="1" x14ac:dyDescent="0.3">
      <c r="A1249" s="63" t="s">
        <v>2498</v>
      </c>
      <c r="B1249" s="63" t="s">
        <v>2498</v>
      </c>
      <c r="C1249" s="23" t="s">
        <v>33</v>
      </c>
      <c r="D1249" s="20" t="s">
        <v>34</v>
      </c>
      <c r="E1249" s="22" t="s">
        <v>2499</v>
      </c>
      <c r="F1249" s="24" t="str">
        <f t="shared" si="76"/>
        <v>PPG - Zinsser WATERTITE WHITE - 5ltr</v>
      </c>
      <c r="G1249" s="31" t="s">
        <v>6121</v>
      </c>
      <c r="H1249" s="29" t="s">
        <v>36</v>
      </c>
      <c r="I1249" s="30" t="s">
        <v>37</v>
      </c>
      <c r="J1249" s="30" t="s">
        <v>38</v>
      </c>
      <c r="K1249" s="31" t="s">
        <v>39</v>
      </c>
      <c r="L1249" s="64">
        <v>93.19</v>
      </c>
      <c r="M1249" s="30" t="s">
        <v>40</v>
      </c>
      <c r="N1249" s="32">
        <v>3105</v>
      </c>
      <c r="P1249" s="16">
        <f>VLOOKUP(A1249,'[3]Price info'!A:H,8,FALSE)</f>
        <v>93.19</v>
      </c>
      <c r="Q1249" s="35">
        <f t="shared" si="77"/>
        <v>1</v>
      </c>
      <c r="R1249" s="30"/>
      <c r="S1249" s="16" t="e">
        <f>VLOOKUP(A1249,[4]Sales!$E:$G,3,FALSE)</f>
        <v>#N/A</v>
      </c>
      <c r="T1249" s="19" t="e">
        <f>VLOOKUP(A1249,[4]Volume!$E:$G,3,FALSE)</f>
        <v>#N/A</v>
      </c>
      <c r="U1249" s="19" t="e">
        <f>VLOOKUP(A1249,[4]Piece!$E:$G,3,FALSE)</f>
        <v>#N/A</v>
      </c>
      <c r="V1249" s="21" t="e">
        <f t="shared" si="78"/>
        <v>#N/A</v>
      </c>
      <c r="W1249" s="16" t="e">
        <f t="shared" si="79"/>
        <v>#N/A</v>
      </c>
    </row>
    <row r="1250" spans="1:23" hidden="1" x14ac:dyDescent="0.3">
      <c r="A1250" s="63" t="s">
        <v>2500</v>
      </c>
      <c r="B1250" s="63" t="s">
        <v>2500</v>
      </c>
      <c r="C1250" s="23" t="s">
        <v>33</v>
      </c>
      <c r="D1250" s="20" t="s">
        <v>34</v>
      </c>
      <c r="E1250" s="22" t="s">
        <v>2501</v>
      </c>
      <c r="F1250" s="24" t="str">
        <f t="shared" si="76"/>
        <v>PPG - Artex PRO SET      17.5KG     5200432668</v>
      </c>
      <c r="G1250" s="41" t="s">
        <v>6122</v>
      </c>
      <c r="H1250" s="39" t="s">
        <v>36</v>
      </c>
      <c r="I1250" s="40" t="s">
        <v>37</v>
      </c>
      <c r="J1250" s="40" t="s">
        <v>38</v>
      </c>
      <c r="K1250" s="41" t="s">
        <v>39</v>
      </c>
      <c r="L1250" s="65">
        <v>40.56</v>
      </c>
      <c r="M1250" s="40" t="s">
        <v>40</v>
      </c>
      <c r="N1250" s="42">
        <v>3105</v>
      </c>
      <c r="O1250" s="43"/>
      <c r="P1250" s="16">
        <f>VLOOKUP(A1250,'[3]Price info'!A:H,8,FALSE)</f>
        <v>40.56</v>
      </c>
      <c r="Q1250" s="44">
        <f t="shared" si="77"/>
        <v>1</v>
      </c>
      <c r="R1250" s="40"/>
      <c r="S1250" s="16" t="e">
        <f>VLOOKUP(A1250,[4]Sales!$E:$G,3,FALSE)</f>
        <v>#N/A</v>
      </c>
      <c r="T1250" s="19" t="e">
        <f>VLOOKUP(A1250,[4]Volume!$E:$G,3,FALSE)</f>
        <v>#N/A</v>
      </c>
      <c r="U1250" s="19" t="e">
        <f>VLOOKUP(A1250,[4]Piece!$E:$G,3,FALSE)</f>
        <v>#N/A</v>
      </c>
      <c r="V1250" s="21" t="e">
        <f t="shared" si="78"/>
        <v>#N/A</v>
      </c>
      <c r="W1250" s="16" t="e">
        <f t="shared" si="79"/>
        <v>#N/A</v>
      </c>
    </row>
    <row r="1251" spans="1:23" hidden="1" x14ac:dyDescent="0.3">
      <c r="A1251" s="61" t="s">
        <v>2502</v>
      </c>
      <c r="B1251" s="61" t="s">
        <v>2502</v>
      </c>
      <c r="C1251" s="23" t="s">
        <v>33</v>
      </c>
      <c r="D1251" s="20" t="s">
        <v>34</v>
      </c>
      <c r="E1251" s="22" t="s">
        <v>2503</v>
      </c>
      <c r="F1251" s="24" t="str">
        <f t="shared" si="76"/>
        <v>PPG - Woodworks TEAK OIL- 500ml</v>
      </c>
      <c r="G1251" s="23" t="s">
        <v>6123</v>
      </c>
      <c r="H1251" s="25" t="s">
        <v>36</v>
      </c>
      <c r="I1251" s="18" t="s">
        <v>37</v>
      </c>
      <c r="J1251" s="18" t="s">
        <v>38</v>
      </c>
      <c r="K1251" t="s">
        <v>39</v>
      </c>
      <c r="L1251" s="26">
        <v>5.81</v>
      </c>
      <c r="M1251" s="18" t="s">
        <v>40</v>
      </c>
      <c r="N1251" s="20">
        <v>3105</v>
      </c>
      <c r="P1251" s="16">
        <f>VLOOKUP(A1251,'[3]Price info'!A:H,8,FALSE)</f>
        <v>5.81</v>
      </c>
      <c r="Q1251" s="33">
        <f t="shared" si="77"/>
        <v>1</v>
      </c>
      <c r="S1251" s="16" t="e">
        <f>VLOOKUP(A1251,[4]Sales!$E:$G,3,FALSE)</f>
        <v>#N/A</v>
      </c>
      <c r="T1251" s="19" t="e">
        <f>VLOOKUP(A1251,[4]Volume!$E:$G,3,FALSE)</f>
        <v>#N/A</v>
      </c>
      <c r="U1251" s="19" t="e">
        <f>VLOOKUP(A1251,[4]Piece!$E:$G,3,FALSE)</f>
        <v>#N/A</v>
      </c>
      <c r="V1251" s="21" t="e">
        <f t="shared" si="78"/>
        <v>#N/A</v>
      </c>
      <c r="W1251" s="16" t="e">
        <f t="shared" si="79"/>
        <v>#N/A</v>
      </c>
    </row>
    <row r="1252" spans="1:23" hidden="1" x14ac:dyDescent="0.3">
      <c r="A1252" s="61" t="s">
        <v>2504</v>
      </c>
      <c r="B1252" s="61" t="s">
        <v>2504</v>
      </c>
      <c r="C1252" s="23" t="s">
        <v>33</v>
      </c>
      <c r="D1252" s="20" t="s">
        <v>34</v>
      </c>
      <c r="E1252" s="22" t="s">
        <v>2505</v>
      </c>
      <c r="F1252" s="24" t="str">
        <f t="shared" si="76"/>
        <v>PPG - FatHog GRAB ADHESIV SOLV FREE  SCALE 295ml</v>
      </c>
      <c r="G1252" s="23" t="s">
        <v>6124</v>
      </c>
      <c r="H1252" s="25" t="s">
        <v>36</v>
      </c>
      <c r="I1252" s="18" t="s">
        <v>37</v>
      </c>
      <c r="J1252" s="18" t="s">
        <v>38</v>
      </c>
      <c r="K1252" t="s">
        <v>39</v>
      </c>
      <c r="L1252" s="26">
        <v>5.88</v>
      </c>
      <c r="M1252" s="18" t="s">
        <v>40</v>
      </c>
      <c r="N1252" s="20">
        <v>3105</v>
      </c>
      <c r="P1252" s="16">
        <f>VLOOKUP(A1252,'[3]Price info'!A:H,8,FALSE)</f>
        <v>5.88</v>
      </c>
      <c r="Q1252" s="33">
        <f t="shared" si="77"/>
        <v>1</v>
      </c>
      <c r="S1252" s="16" t="e">
        <f>VLOOKUP(A1252,[4]Sales!$E:$G,3,FALSE)</f>
        <v>#N/A</v>
      </c>
      <c r="T1252" s="19" t="e">
        <f>VLOOKUP(A1252,[4]Volume!$E:$G,3,FALSE)</f>
        <v>#N/A</v>
      </c>
      <c r="U1252" s="19" t="e">
        <f>VLOOKUP(A1252,[4]Piece!$E:$G,3,FALSE)</f>
        <v>#N/A</v>
      </c>
      <c r="V1252" s="21" t="e">
        <f t="shared" si="78"/>
        <v>#N/A</v>
      </c>
      <c r="W1252" s="16" t="e">
        <f t="shared" si="79"/>
        <v>#N/A</v>
      </c>
    </row>
    <row r="1253" spans="1:23" hidden="1" x14ac:dyDescent="0.3">
      <c r="A1253" s="61" t="s">
        <v>2506</v>
      </c>
      <c r="B1253" s="61" t="s">
        <v>2506</v>
      </c>
      <c r="C1253" s="23" t="s">
        <v>33</v>
      </c>
      <c r="D1253" s="20" t="s">
        <v>34</v>
      </c>
      <c r="E1253" s="22" t="s">
        <v>2507</v>
      </c>
      <c r="F1253" s="24" t="str">
        <f t="shared" si="76"/>
        <v>PPG - FatHog EVOLUTION TROUSER 30" WHITE</v>
      </c>
      <c r="G1253" s="23" t="s">
        <v>6125</v>
      </c>
      <c r="H1253" s="25" t="s">
        <v>36</v>
      </c>
      <c r="I1253" s="18" t="s">
        <v>37</v>
      </c>
      <c r="J1253" s="18" t="s">
        <v>38</v>
      </c>
      <c r="K1253" t="s">
        <v>39</v>
      </c>
      <c r="L1253" s="26">
        <v>27.43</v>
      </c>
      <c r="M1253" s="18" t="s">
        <v>40</v>
      </c>
      <c r="N1253" s="20">
        <v>3105</v>
      </c>
      <c r="P1253" s="16">
        <f>VLOOKUP(A1253,'[3]Price info'!A:H,8,FALSE)</f>
        <v>27.43</v>
      </c>
      <c r="Q1253" s="33">
        <f t="shared" si="77"/>
        <v>1</v>
      </c>
      <c r="S1253" s="16" t="e">
        <f>VLOOKUP(A1253,[4]Sales!$E:$G,3,FALSE)</f>
        <v>#N/A</v>
      </c>
      <c r="T1253" s="19" t="e">
        <f>VLOOKUP(A1253,[4]Volume!$E:$G,3,FALSE)</f>
        <v>#N/A</v>
      </c>
      <c r="U1253" s="19" t="e">
        <f>VLOOKUP(A1253,[4]Piece!$E:$G,3,FALSE)</f>
        <v>#N/A</v>
      </c>
      <c r="V1253" s="21" t="e">
        <f t="shared" si="78"/>
        <v>#N/A</v>
      </c>
      <c r="W1253" s="16" t="e">
        <f t="shared" si="79"/>
        <v>#N/A</v>
      </c>
    </row>
    <row r="1254" spans="1:23" hidden="1" x14ac:dyDescent="0.3">
      <c r="A1254" s="61" t="s">
        <v>2508</v>
      </c>
      <c r="B1254" s="61" t="s">
        <v>2508</v>
      </c>
      <c r="C1254" s="23" t="s">
        <v>33</v>
      </c>
      <c r="D1254" s="20" t="s">
        <v>34</v>
      </c>
      <c r="E1254" s="22" t="s">
        <v>2509</v>
      </c>
      <c r="F1254" s="24" t="str">
        <f t="shared" si="76"/>
        <v>PPG - FatHog EVOLUTION TROUSER 40" WHITE</v>
      </c>
      <c r="G1254" s="23" t="s">
        <v>6126</v>
      </c>
      <c r="H1254" s="25" t="s">
        <v>36</v>
      </c>
      <c r="I1254" s="18" t="s">
        <v>37</v>
      </c>
      <c r="J1254" s="18" t="s">
        <v>38</v>
      </c>
      <c r="K1254" t="s">
        <v>39</v>
      </c>
      <c r="L1254" s="26">
        <v>54.07</v>
      </c>
      <c r="M1254" s="18" t="s">
        <v>40</v>
      </c>
      <c r="N1254" s="20">
        <v>3105</v>
      </c>
      <c r="P1254" s="16">
        <f>VLOOKUP(A1254,'[3]Price info'!A:H,8,FALSE)</f>
        <v>46.81</v>
      </c>
      <c r="Q1254" s="33">
        <f t="shared" si="77"/>
        <v>0.86572960976511937</v>
      </c>
      <c r="S1254" s="16">
        <f>VLOOKUP(A1254,[4]Sales!$E:$G,3,FALSE)</f>
        <v>15.93</v>
      </c>
      <c r="T1254" s="19">
        <f>VLOOKUP(A1254,[4]Volume!$E:$G,3,FALSE)</f>
        <v>1</v>
      </c>
      <c r="U1254" s="19">
        <f>VLOOKUP(A1254,[4]Piece!$E:$G,3,FALSE)</f>
        <v>1</v>
      </c>
      <c r="V1254" s="21">
        <f t="shared" si="78"/>
        <v>46.81</v>
      </c>
      <c r="W1254" s="16">
        <f t="shared" si="79"/>
        <v>30.880000000000003</v>
      </c>
    </row>
    <row r="1255" spans="1:23" hidden="1" x14ac:dyDescent="0.3">
      <c r="A1255" s="61" t="s">
        <v>2510</v>
      </c>
      <c r="B1255" s="61" t="s">
        <v>2510</v>
      </c>
      <c r="C1255" s="23" t="s">
        <v>33</v>
      </c>
      <c r="D1255" s="20" t="s">
        <v>34</v>
      </c>
      <c r="E1255" s="22" t="s">
        <v>2511</v>
      </c>
      <c r="F1255" s="24" t="str">
        <f t="shared" si="76"/>
        <v>PPG - FatHog EVOLUTION TROUSER 46" WHITE</v>
      </c>
      <c r="G1255" s="23" t="s">
        <v>6127</v>
      </c>
      <c r="H1255" s="25" t="s">
        <v>36</v>
      </c>
      <c r="I1255" s="18" t="s">
        <v>37</v>
      </c>
      <c r="J1255" s="18" t="s">
        <v>38</v>
      </c>
      <c r="K1255" t="s">
        <v>39</v>
      </c>
      <c r="L1255" s="26">
        <v>54.07</v>
      </c>
      <c r="M1255" s="18" t="s">
        <v>40</v>
      </c>
      <c r="N1255" s="20">
        <v>3105</v>
      </c>
      <c r="P1255" s="16">
        <f>VLOOKUP(A1255,'[3]Price info'!A:H,8,FALSE)</f>
        <v>54.07</v>
      </c>
      <c r="Q1255" s="33">
        <f t="shared" si="77"/>
        <v>1</v>
      </c>
      <c r="S1255" s="16" t="e">
        <f>VLOOKUP(A1255,[4]Sales!$E:$G,3,FALSE)</f>
        <v>#N/A</v>
      </c>
      <c r="T1255" s="19" t="e">
        <f>VLOOKUP(A1255,[4]Volume!$E:$G,3,FALSE)</f>
        <v>#N/A</v>
      </c>
      <c r="U1255" s="19" t="e">
        <f>VLOOKUP(A1255,[4]Piece!$E:$G,3,FALSE)</f>
        <v>#N/A</v>
      </c>
      <c r="V1255" s="21" t="e">
        <f t="shared" si="78"/>
        <v>#N/A</v>
      </c>
      <c r="W1255" s="16" t="e">
        <f t="shared" si="79"/>
        <v>#N/A</v>
      </c>
    </row>
    <row r="1256" spans="1:23" hidden="1" x14ac:dyDescent="0.3">
      <c r="A1256" s="63" t="s">
        <v>2512</v>
      </c>
      <c r="B1256" s="63" t="s">
        <v>2512</v>
      </c>
      <c r="C1256" s="23" t="s">
        <v>33</v>
      </c>
      <c r="D1256" s="20" t="s">
        <v>34</v>
      </c>
      <c r="E1256" s="22" t="s">
        <v>2513</v>
      </c>
      <c r="F1256" s="24" t="str">
        <f t="shared" si="76"/>
        <v>PPG - Artex RE-USEABLE              VAC BAGS</v>
      </c>
      <c r="G1256" s="41" t="s">
        <v>6128</v>
      </c>
      <c r="H1256" s="39" t="s">
        <v>36</v>
      </c>
      <c r="I1256" s="40" t="s">
        <v>37</v>
      </c>
      <c r="J1256" s="40" t="s">
        <v>38</v>
      </c>
      <c r="K1256" s="41" t="s">
        <v>39</v>
      </c>
      <c r="L1256" s="65">
        <v>28.1</v>
      </c>
      <c r="M1256" s="40" t="s">
        <v>40</v>
      </c>
      <c r="N1256" s="42">
        <v>3105</v>
      </c>
      <c r="O1256" s="43"/>
      <c r="P1256" s="16">
        <f>VLOOKUP(A1256,'[3]Price info'!A:H,8,FALSE)</f>
        <v>28.1</v>
      </c>
      <c r="Q1256" s="44">
        <f t="shared" si="77"/>
        <v>1</v>
      </c>
      <c r="R1256" s="40"/>
      <c r="S1256" s="16" t="e">
        <f>VLOOKUP(A1256,[4]Sales!$E:$G,3,FALSE)</f>
        <v>#N/A</v>
      </c>
      <c r="T1256" s="19" t="e">
        <f>VLOOKUP(A1256,[4]Volume!$E:$G,3,FALSE)</f>
        <v>#N/A</v>
      </c>
      <c r="U1256" s="19" t="e">
        <f>VLOOKUP(A1256,[4]Piece!$E:$G,3,FALSE)</f>
        <v>#N/A</v>
      </c>
      <c r="V1256" s="21" t="e">
        <f t="shared" si="78"/>
        <v>#N/A</v>
      </c>
      <c r="W1256" s="16" t="e">
        <f t="shared" si="79"/>
        <v>#N/A</v>
      </c>
    </row>
    <row r="1257" spans="1:23" hidden="1" x14ac:dyDescent="0.3">
      <c r="A1257" s="63" t="s">
        <v>2514</v>
      </c>
      <c r="B1257" s="63" t="s">
        <v>2514</v>
      </c>
      <c r="C1257" s="23" t="s">
        <v>33</v>
      </c>
      <c r="D1257" s="20" t="s">
        <v>34</v>
      </c>
      <c r="E1257" s="22" t="s">
        <v>2515</v>
      </c>
      <c r="F1257" s="24" t="str">
        <f t="shared" si="76"/>
        <v>PPG - Artex SCULPTURED LARGE 54CM ROSE</v>
      </c>
      <c r="G1257" s="41" t="s">
        <v>6129</v>
      </c>
      <c r="H1257" s="39" t="s">
        <v>36</v>
      </c>
      <c r="I1257" s="40" t="s">
        <v>37</v>
      </c>
      <c r="J1257" s="40" t="s">
        <v>38</v>
      </c>
      <c r="K1257" s="41" t="s">
        <v>39</v>
      </c>
      <c r="L1257" s="65">
        <v>44.51</v>
      </c>
      <c r="M1257" s="40" t="s">
        <v>40</v>
      </c>
      <c r="N1257" s="42">
        <v>3105</v>
      </c>
      <c r="O1257" s="43"/>
      <c r="P1257" s="16">
        <f>VLOOKUP(A1257,'[3]Price info'!A:H,8,FALSE)</f>
        <v>44.51</v>
      </c>
      <c r="Q1257" s="44">
        <f t="shared" si="77"/>
        <v>1</v>
      </c>
      <c r="R1257" s="40"/>
      <c r="S1257" s="16" t="e">
        <f>VLOOKUP(A1257,[4]Sales!$E:$G,3,FALSE)</f>
        <v>#N/A</v>
      </c>
      <c r="T1257" s="19" t="e">
        <f>VLOOKUP(A1257,[4]Volume!$E:$G,3,FALSE)</f>
        <v>#N/A</v>
      </c>
      <c r="U1257" s="19" t="e">
        <f>VLOOKUP(A1257,[4]Piece!$E:$G,3,FALSE)</f>
        <v>#N/A</v>
      </c>
      <c r="V1257" s="21" t="e">
        <f t="shared" si="78"/>
        <v>#N/A</v>
      </c>
      <c r="W1257" s="16" t="e">
        <f t="shared" si="79"/>
        <v>#N/A</v>
      </c>
    </row>
    <row r="1258" spans="1:23" hidden="1" x14ac:dyDescent="0.3">
      <c r="A1258" s="63" t="s">
        <v>2516</v>
      </c>
      <c r="B1258" s="63" t="s">
        <v>2516</v>
      </c>
      <c r="C1258" s="23" t="s">
        <v>33</v>
      </c>
      <c r="D1258" s="20" t="s">
        <v>34</v>
      </c>
      <c r="E1258" s="22" t="s">
        <v>2517</v>
      </c>
      <c r="F1258" s="24" t="str">
        <f t="shared" si="76"/>
        <v>PPG - Artex FEATURE EXT CORNER</v>
      </c>
      <c r="G1258" s="41" t="s">
        <v>6130</v>
      </c>
      <c r="H1258" s="39" t="s">
        <v>36</v>
      </c>
      <c r="I1258" s="40" t="s">
        <v>37</v>
      </c>
      <c r="J1258" s="40" t="s">
        <v>38</v>
      </c>
      <c r="K1258" s="41" t="s">
        <v>39</v>
      </c>
      <c r="L1258" s="65">
        <v>24.12</v>
      </c>
      <c r="M1258" s="40" t="s">
        <v>40</v>
      </c>
      <c r="N1258" s="42">
        <v>3105</v>
      </c>
      <c r="O1258" s="43"/>
      <c r="P1258" s="16">
        <f>VLOOKUP(A1258,'[3]Price info'!A:H,8,FALSE)</f>
        <v>24.12</v>
      </c>
      <c r="Q1258" s="44">
        <f t="shared" si="77"/>
        <v>1</v>
      </c>
      <c r="R1258" s="40"/>
      <c r="S1258" s="16" t="e">
        <f>VLOOKUP(A1258,[4]Sales!$E:$G,3,FALSE)</f>
        <v>#N/A</v>
      </c>
      <c r="T1258" s="19" t="e">
        <f>VLOOKUP(A1258,[4]Volume!$E:$G,3,FALSE)</f>
        <v>#N/A</v>
      </c>
      <c r="U1258" s="19" t="e">
        <f>VLOOKUP(A1258,[4]Piece!$E:$G,3,FALSE)</f>
        <v>#N/A</v>
      </c>
      <c r="V1258" s="21" t="e">
        <f t="shared" si="78"/>
        <v>#N/A</v>
      </c>
      <c r="W1258" s="16" t="e">
        <f t="shared" si="79"/>
        <v>#N/A</v>
      </c>
    </row>
    <row r="1259" spans="1:23" hidden="1" x14ac:dyDescent="0.3">
      <c r="A1259" s="61" t="s">
        <v>2518</v>
      </c>
      <c r="B1259" s="61" t="s">
        <v>2518</v>
      </c>
      <c r="C1259" s="23" t="s">
        <v>33</v>
      </c>
      <c r="D1259" s="20" t="s">
        <v>34</v>
      </c>
      <c r="E1259" s="22" t="s">
        <v>2519</v>
      </c>
      <c r="F1259" s="24" t="str">
        <f t="shared" si="76"/>
        <v>PPG - Mangers ALL-IN-1 TLE GRTAD 2.2L</v>
      </c>
      <c r="G1259" s="23" t="s">
        <v>6131</v>
      </c>
      <c r="H1259" s="25" t="s">
        <v>36</v>
      </c>
      <c r="I1259" s="18" t="s">
        <v>37</v>
      </c>
      <c r="J1259" s="18" t="s">
        <v>38</v>
      </c>
      <c r="K1259" t="s">
        <v>39</v>
      </c>
      <c r="L1259" s="26">
        <v>6.66</v>
      </c>
      <c r="M1259" s="18" t="s">
        <v>40</v>
      </c>
      <c r="N1259" s="20">
        <v>3105</v>
      </c>
      <c r="P1259" s="16">
        <f>VLOOKUP(A1259,'[3]Price info'!A:H,8,FALSE)</f>
        <v>6.66</v>
      </c>
      <c r="Q1259" s="33">
        <f t="shared" si="77"/>
        <v>1</v>
      </c>
      <c r="S1259" s="16" t="e">
        <f>VLOOKUP(A1259,[4]Sales!$E:$G,3,FALSE)</f>
        <v>#N/A</v>
      </c>
      <c r="T1259" s="19" t="e">
        <f>VLOOKUP(A1259,[4]Volume!$E:$G,3,FALSE)</f>
        <v>#N/A</v>
      </c>
      <c r="U1259" s="19" t="e">
        <f>VLOOKUP(A1259,[4]Piece!$E:$G,3,FALSE)</f>
        <v>#N/A</v>
      </c>
      <c r="V1259" s="21" t="e">
        <f t="shared" si="78"/>
        <v>#N/A</v>
      </c>
      <c r="W1259" s="16" t="e">
        <f t="shared" si="79"/>
        <v>#N/A</v>
      </c>
    </row>
    <row r="1260" spans="1:23" hidden="1" x14ac:dyDescent="0.3">
      <c r="A1260" s="61" t="s">
        <v>2520</v>
      </c>
      <c r="B1260" s="61" t="s">
        <v>2520</v>
      </c>
      <c r="C1260" s="23" t="s">
        <v>33</v>
      </c>
      <c r="D1260" s="20" t="s">
        <v>34</v>
      </c>
      <c r="E1260" s="22" t="s">
        <v>2521</v>
      </c>
      <c r="F1260" s="24" t="str">
        <f t="shared" si="76"/>
        <v>PPG - Mangers ALL-IN-1 TLE GRTAD 4.4L</v>
      </c>
      <c r="G1260" s="23" t="s">
        <v>6132</v>
      </c>
      <c r="H1260" s="25" t="s">
        <v>36</v>
      </c>
      <c r="I1260" s="18" t="s">
        <v>37</v>
      </c>
      <c r="J1260" s="18" t="s">
        <v>38</v>
      </c>
      <c r="K1260" t="s">
        <v>39</v>
      </c>
      <c r="L1260" s="26">
        <v>12.22</v>
      </c>
      <c r="M1260" s="18" t="s">
        <v>40</v>
      </c>
      <c r="N1260" s="20">
        <v>3105</v>
      </c>
      <c r="P1260" s="16">
        <f>VLOOKUP(A1260,'[3]Price info'!A:H,8,FALSE)</f>
        <v>12.22</v>
      </c>
      <c r="Q1260" s="33">
        <f t="shared" si="77"/>
        <v>1</v>
      </c>
      <c r="S1260" s="16" t="e">
        <f>VLOOKUP(A1260,[4]Sales!$E:$G,3,FALSE)</f>
        <v>#N/A</v>
      </c>
      <c r="T1260" s="19" t="e">
        <f>VLOOKUP(A1260,[4]Volume!$E:$G,3,FALSE)</f>
        <v>#N/A</v>
      </c>
      <c r="U1260" s="19" t="e">
        <f>VLOOKUP(A1260,[4]Piece!$E:$G,3,FALSE)</f>
        <v>#N/A</v>
      </c>
      <c r="V1260" s="21" t="e">
        <f t="shared" si="78"/>
        <v>#N/A</v>
      </c>
      <c r="W1260" s="16" t="e">
        <f t="shared" si="79"/>
        <v>#N/A</v>
      </c>
    </row>
    <row r="1261" spans="1:23" hidden="1" x14ac:dyDescent="0.3">
      <c r="A1261" s="61" t="s">
        <v>2522</v>
      </c>
      <c r="B1261" s="61" t="s">
        <v>2522</v>
      </c>
      <c r="C1261" s="23" t="s">
        <v>33</v>
      </c>
      <c r="D1261" s="20" t="s">
        <v>34</v>
      </c>
      <c r="E1261" s="22" t="s">
        <v>2523</v>
      </c>
      <c r="F1261" s="24" t="str">
        <f t="shared" si="76"/>
        <v>PPG - Mangers LW DEEP GAP FILL 500ML</v>
      </c>
      <c r="G1261" s="23" t="s">
        <v>6133</v>
      </c>
      <c r="H1261" s="25" t="s">
        <v>36</v>
      </c>
      <c r="I1261" s="18" t="s">
        <v>37</v>
      </c>
      <c r="J1261" s="18" t="s">
        <v>38</v>
      </c>
      <c r="K1261" t="s">
        <v>39</v>
      </c>
      <c r="L1261" s="26">
        <v>5.34</v>
      </c>
      <c r="M1261" s="18" t="s">
        <v>40</v>
      </c>
      <c r="N1261" s="20">
        <v>3105</v>
      </c>
      <c r="P1261" s="16">
        <f>VLOOKUP(A1261,'[3]Price info'!A:H,8,FALSE)</f>
        <v>5.34</v>
      </c>
      <c r="Q1261" s="33">
        <f t="shared" si="77"/>
        <v>1</v>
      </c>
      <c r="S1261" s="16" t="e">
        <f>VLOOKUP(A1261,[4]Sales!$E:$G,3,FALSE)</f>
        <v>#N/A</v>
      </c>
      <c r="T1261" s="19" t="e">
        <f>VLOOKUP(A1261,[4]Volume!$E:$G,3,FALSE)</f>
        <v>#N/A</v>
      </c>
      <c r="U1261" s="19" t="e">
        <f>VLOOKUP(A1261,[4]Piece!$E:$G,3,FALSE)</f>
        <v>#N/A</v>
      </c>
      <c r="V1261" s="21" t="e">
        <f t="shared" si="78"/>
        <v>#N/A</v>
      </c>
      <c r="W1261" s="16" t="e">
        <f t="shared" si="79"/>
        <v>#N/A</v>
      </c>
    </row>
    <row r="1262" spans="1:23" hidden="1" x14ac:dyDescent="0.3">
      <c r="A1262" s="61" t="s">
        <v>2524</v>
      </c>
      <c r="B1262" s="61" t="s">
        <v>2524</v>
      </c>
      <c r="C1262" s="23" t="s">
        <v>33</v>
      </c>
      <c r="D1262" s="20" t="s">
        <v>34</v>
      </c>
      <c r="E1262" s="22" t="s">
        <v>2525</v>
      </c>
      <c r="F1262" s="24" t="str">
        <f t="shared" si="76"/>
        <v>PPG - Mangers LW DEEP GAP  FILLER 1L</v>
      </c>
      <c r="G1262" s="23" t="s">
        <v>6134</v>
      </c>
      <c r="H1262" s="25" t="s">
        <v>36</v>
      </c>
      <c r="I1262" s="18" t="s">
        <v>37</v>
      </c>
      <c r="J1262" s="18" t="s">
        <v>38</v>
      </c>
      <c r="K1262" t="s">
        <v>39</v>
      </c>
      <c r="L1262" s="26">
        <v>7.04</v>
      </c>
      <c r="M1262" s="18" t="s">
        <v>40</v>
      </c>
      <c r="N1262" s="20">
        <v>3105</v>
      </c>
      <c r="P1262" s="16">
        <f>VLOOKUP(A1262,'[3]Price info'!A:H,8,FALSE)</f>
        <v>7.04</v>
      </c>
      <c r="Q1262" s="33">
        <f t="shared" si="77"/>
        <v>1</v>
      </c>
      <c r="S1262" s="16" t="e">
        <f>VLOOKUP(A1262,[4]Sales!$E:$G,3,FALSE)</f>
        <v>#N/A</v>
      </c>
      <c r="T1262" s="19" t="e">
        <f>VLOOKUP(A1262,[4]Volume!$E:$G,3,FALSE)</f>
        <v>#N/A</v>
      </c>
      <c r="U1262" s="19" t="e">
        <f>VLOOKUP(A1262,[4]Piece!$E:$G,3,FALSE)</f>
        <v>#N/A</v>
      </c>
      <c r="V1262" s="21" t="e">
        <f t="shared" si="78"/>
        <v>#N/A</v>
      </c>
      <c r="W1262" s="16" t="e">
        <f t="shared" si="79"/>
        <v>#N/A</v>
      </c>
    </row>
    <row r="1263" spans="1:23" hidden="1" x14ac:dyDescent="0.3">
      <c r="A1263" s="61" t="s">
        <v>2526</v>
      </c>
      <c r="B1263" s="61" t="s">
        <v>2526</v>
      </c>
      <c r="C1263" s="23" t="s">
        <v>33</v>
      </c>
      <c r="D1263" s="20" t="s">
        <v>34</v>
      </c>
      <c r="E1263" s="22" t="s">
        <v>2527</v>
      </c>
      <c r="F1263" s="24" t="str">
        <f t="shared" si="76"/>
        <v>PPG - Mangers BRUSH CLEANR 500ML</v>
      </c>
      <c r="G1263" s="23" t="s">
        <v>6135</v>
      </c>
      <c r="H1263" s="25" t="s">
        <v>36</v>
      </c>
      <c r="I1263" s="18" t="s">
        <v>37</v>
      </c>
      <c r="J1263" s="18" t="s">
        <v>38</v>
      </c>
      <c r="K1263" t="s">
        <v>39</v>
      </c>
      <c r="L1263" s="26">
        <v>4.3</v>
      </c>
      <c r="M1263" s="18" t="s">
        <v>40</v>
      </c>
      <c r="N1263" s="20">
        <v>3105</v>
      </c>
      <c r="P1263" s="16">
        <f>VLOOKUP(A1263,'[3]Price info'!A:H,8,FALSE)</f>
        <v>4.3</v>
      </c>
      <c r="Q1263" s="33">
        <f t="shared" si="77"/>
        <v>1</v>
      </c>
      <c r="S1263" s="16" t="e">
        <f>VLOOKUP(A1263,[4]Sales!$E:$G,3,FALSE)</f>
        <v>#N/A</v>
      </c>
      <c r="T1263" s="19" t="e">
        <f>VLOOKUP(A1263,[4]Volume!$E:$G,3,FALSE)</f>
        <v>#N/A</v>
      </c>
      <c r="U1263" s="19" t="e">
        <f>VLOOKUP(A1263,[4]Piece!$E:$G,3,FALSE)</f>
        <v>#N/A</v>
      </c>
      <c r="V1263" s="21" t="e">
        <f t="shared" si="78"/>
        <v>#N/A</v>
      </c>
      <c r="W1263" s="16" t="e">
        <f t="shared" si="79"/>
        <v>#N/A</v>
      </c>
    </row>
    <row r="1264" spans="1:23" hidden="1" x14ac:dyDescent="0.3">
      <c r="A1264" s="61" t="s">
        <v>2528</v>
      </c>
      <c r="B1264" s="61" t="s">
        <v>2528</v>
      </c>
      <c r="C1264" s="23" t="s">
        <v>33</v>
      </c>
      <c r="D1264" s="20" t="s">
        <v>34</v>
      </c>
      <c r="E1264" s="22" t="s">
        <v>2529</v>
      </c>
      <c r="F1264" s="24" t="str">
        <f t="shared" si="76"/>
        <v>PPG - Mangers PAINT &amp; VARNISH REMOVER 500ML</v>
      </c>
      <c r="G1264" s="23" t="s">
        <v>6136</v>
      </c>
      <c r="H1264" s="25" t="s">
        <v>36</v>
      </c>
      <c r="I1264" s="18" t="s">
        <v>37</v>
      </c>
      <c r="J1264" s="18" t="s">
        <v>38</v>
      </c>
      <c r="K1264" t="s">
        <v>39</v>
      </c>
      <c r="L1264" s="26">
        <v>6.12</v>
      </c>
      <c r="M1264" s="18" t="s">
        <v>40</v>
      </c>
      <c r="N1264" s="20">
        <v>3105</v>
      </c>
      <c r="P1264" s="16">
        <f>VLOOKUP(A1264,'[3]Price info'!A:H,8,FALSE)</f>
        <v>6.12</v>
      </c>
      <c r="Q1264" s="33">
        <f t="shared" si="77"/>
        <v>1</v>
      </c>
      <c r="S1264" s="16">
        <f>VLOOKUP(A1264,[4]Sales!$E:$G,3,FALSE)</f>
        <v>11.5</v>
      </c>
      <c r="T1264" s="19">
        <f>VLOOKUP(A1264,[4]Volume!$E:$G,3,FALSE)</f>
        <v>1</v>
      </c>
      <c r="U1264" s="19">
        <f>VLOOKUP(A1264,[4]Piece!$E:$G,3,FALSE)</f>
        <v>2</v>
      </c>
      <c r="V1264" s="21">
        <f t="shared" si="78"/>
        <v>12.24</v>
      </c>
      <c r="W1264" s="16">
        <f t="shared" si="79"/>
        <v>0.74000000000000021</v>
      </c>
    </row>
    <row r="1265" spans="1:23" hidden="1" x14ac:dyDescent="0.3">
      <c r="A1265" s="61" t="s">
        <v>2530</v>
      </c>
      <c r="B1265" s="61" t="s">
        <v>2530</v>
      </c>
      <c r="C1265" s="23" t="s">
        <v>33</v>
      </c>
      <c r="D1265" s="20" t="s">
        <v>34</v>
      </c>
      <c r="E1265" s="22" t="s">
        <v>2531</v>
      </c>
      <c r="F1265" s="24" t="str">
        <f t="shared" si="76"/>
        <v>PPG - Mangers PAINT &amp; VARNISH REMOVER 1L</v>
      </c>
      <c r="G1265" s="23" t="s">
        <v>6137</v>
      </c>
      <c r="H1265" s="25" t="s">
        <v>36</v>
      </c>
      <c r="I1265" s="18" t="s">
        <v>37</v>
      </c>
      <c r="J1265" s="18" t="s">
        <v>38</v>
      </c>
      <c r="K1265" t="s">
        <v>39</v>
      </c>
      <c r="L1265" s="26">
        <v>10.16</v>
      </c>
      <c r="M1265" s="18" t="s">
        <v>40</v>
      </c>
      <c r="N1265" s="20">
        <v>3105</v>
      </c>
      <c r="P1265" s="16">
        <f>VLOOKUP(A1265,'[3]Price info'!A:H,8,FALSE)</f>
        <v>10.16</v>
      </c>
      <c r="Q1265" s="33">
        <f t="shared" si="77"/>
        <v>1</v>
      </c>
      <c r="S1265" s="16" t="e">
        <f>VLOOKUP(A1265,[4]Sales!$E:$G,3,FALSE)</f>
        <v>#N/A</v>
      </c>
      <c r="T1265" s="19" t="e">
        <f>VLOOKUP(A1265,[4]Volume!$E:$G,3,FALSE)</f>
        <v>#N/A</v>
      </c>
      <c r="U1265" s="19" t="e">
        <f>VLOOKUP(A1265,[4]Piece!$E:$G,3,FALSE)</f>
        <v>#N/A</v>
      </c>
      <c r="V1265" s="21" t="e">
        <f t="shared" si="78"/>
        <v>#N/A</v>
      </c>
      <c r="W1265" s="16" t="e">
        <f t="shared" si="79"/>
        <v>#N/A</v>
      </c>
    </row>
    <row r="1266" spans="1:23" hidden="1" x14ac:dyDescent="0.3">
      <c r="A1266" s="61" t="s">
        <v>2532</v>
      </c>
      <c r="B1266" s="61" t="s">
        <v>2532</v>
      </c>
      <c r="C1266" s="23" t="s">
        <v>33</v>
      </c>
      <c r="D1266" s="20" t="s">
        <v>34</v>
      </c>
      <c r="E1266" s="22" t="s">
        <v>2533</v>
      </c>
      <c r="F1266" s="24" t="str">
        <f t="shared" si="76"/>
        <v>PPG - Mangers CLEAN SPIRIT 750ML</v>
      </c>
      <c r="G1266" s="23" t="s">
        <v>6138</v>
      </c>
      <c r="H1266" s="25" t="s">
        <v>36</v>
      </c>
      <c r="I1266" s="18" t="s">
        <v>37</v>
      </c>
      <c r="J1266" s="18" t="s">
        <v>38</v>
      </c>
      <c r="K1266" t="s">
        <v>39</v>
      </c>
      <c r="L1266" s="26">
        <v>2.64</v>
      </c>
      <c r="M1266" s="18" t="s">
        <v>40</v>
      </c>
      <c r="N1266" s="20">
        <v>3105</v>
      </c>
      <c r="P1266" s="16">
        <f>VLOOKUP(A1266,'[3]Price info'!A:H,8,FALSE)</f>
        <v>2.64</v>
      </c>
      <c r="Q1266" s="33">
        <f t="shared" si="77"/>
        <v>1</v>
      </c>
      <c r="S1266" s="16" t="e">
        <f>VLOOKUP(A1266,[4]Sales!$E:$G,3,FALSE)</f>
        <v>#N/A</v>
      </c>
      <c r="T1266" s="19" t="e">
        <f>VLOOKUP(A1266,[4]Volume!$E:$G,3,FALSE)</f>
        <v>#N/A</v>
      </c>
      <c r="U1266" s="19" t="e">
        <f>VLOOKUP(A1266,[4]Piece!$E:$G,3,FALSE)</f>
        <v>#N/A</v>
      </c>
      <c r="V1266" s="21" t="e">
        <f t="shared" si="78"/>
        <v>#N/A</v>
      </c>
      <c r="W1266" s="16" t="e">
        <f t="shared" si="79"/>
        <v>#N/A</v>
      </c>
    </row>
    <row r="1267" spans="1:23" hidden="1" x14ac:dyDescent="0.3">
      <c r="A1267" s="61" t="s">
        <v>2534</v>
      </c>
      <c r="B1267" s="61" t="s">
        <v>2534</v>
      </c>
      <c r="C1267" s="23" t="s">
        <v>33</v>
      </c>
      <c r="D1267" s="20" t="s">
        <v>34</v>
      </c>
      <c r="E1267" s="22" t="s">
        <v>2535</v>
      </c>
      <c r="F1267" s="24" t="str">
        <f t="shared" si="76"/>
        <v>PPG - Mangers METH SPIRIT 500ML</v>
      </c>
      <c r="G1267" s="23" t="s">
        <v>6139</v>
      </c>
      <c r="H1267" s="25" t="s">
        <v>36</v>
      </c>
      <c r="I1267" s="18" t="s">
        <v>37</v>
      </c>
      <c r="J1267" s="18" t="s">
        <v>38</v>
      </c>
      <c r="K1267" t="s">
        <v>39</v>
      </c>
      <c r="L1267" s="26">
        <v>4.3</v>
      </c>
      <c r="M1267" s="18" t="s">
        <v>40</v>
      </c>
      <c r="N1267" s="20">
        <v>3105</v>
      </c>
      <c r="P1267" s="16">
        <f>VLOOKUP(A1267,'[3]Price info'!A:H,8,FALSE)</f>
        <v>4.3</v>
      </c>
      <c r="Q1267" s="33">
        <f t="shared" si="77"/>
        <v>1</v>
      </c>
      <c r="S1267" s="16" t="e">
        <f>VLOOKUP(A1267,[4]Sales!$E:$G,3,FALSE)</f>
        <v>#N/A</v>
      </c>
      <c r="T1267" s="19" t="e">
        <f>VLOOKUP(A1267,[4]Volume!$E:$G,3,FALSE)</f>
        <v>#N/A</v>
      </c>
      <c r="U1267" s="19" t="e">
        <f>VLOOKUP(A1267,[4]Piece!$E:$G,3,FALSE)</f>
        <v>#N/A</v>
      </c>
      <c r="V1267" s="21" t="e">
        <f t="shared" si="78"/>
        <v>#N/A</v>
      </c>
      <c r="W1267" s="16" t="e">
        <f t="shared" si="79"/>
        <v>#N/A</v>
      </c>
    </row>
    <row r="1268" spans="1:23" hidden="1" x14ac:dyDescent="0.3">
      <c r="A1268" s="61" t="s">
        <v>2536</v>
      </c>
      <c r="B1268" s="61" t="s">
        <v>2536</v>
      </c>
      <c r="C1268" s="23" t="s">
        <v>33</v>
      </c>
      <c r="D1268" s="20" t="s">
        <v>34</v>
      </c>
      <c r="E1268" s="22" t="s">
        <v>2537</v>
      </c>
      <c r="F1268" s="24" t="str">
        <f t="shared" si="76"/>
        <v>PPG - Mangers INTERIOR FILLER 2KG</v>
      </c>
      <c r="G1268" s="23" t="s">
        <v>6140</v>
      </c>
      <c r="H1268" s="25" t="s">
        <v>36</v>
      </c>
      <c r="I1268" s="18" t="s">
        <v>37</v>
      </c>
      <c r="J1268" s="18" t="s">
        <v>38</v>
      </c>
      <c r="K1268" t="s">
        <v>39</v>
      </c>
      <c r="L1268" s="26">
        <v>4.41</v>
      </c>
      <c r="M1268" s="18" t="s">
        <v>40</v>
      </c>
      <c r="N1268" s="20">
        <v>3105</v>
      </c>
      <c r="P1268" s="16">
        <f>VLOOKUP(A1268,'[3]Price info'!A:H,8,FALSE)</f>
        <v>4.41</v>
      </c>
      <c r="Q1268" s="33">
        <f t="shared" si="77"/>
        <v>1</v>
      </c>
      <c r="S1268" s="16" t="e">
        <f>VLOOKUP(A1268,[4]Sales!$E:$G,3,FALSE)</f>
        <v>#N/A</v>
      </c>
      <c r="T1268" s="19" t="e">
        <f>VLOOKUP(A1268,[4]Volume!$E:$G,3,FALSE)</f>
        <v>#N/A</v>
      </c>
      <c r="U1268" s="19" t="e">
        <f>VLOOKUP(A1268,[4]Piece!$E:$G,3,FALSE)</f>
        <v>#N/A</v>
      </c>
      <c r="V1268" s="21" t="e">
        <f t="shared" si="78"/>
        <v>#N/A</v>
      </c>
      <c r="W1268" s="16" t="e">
        <f t="shared" si="79"/>
        <v>#N/A</v>
      </c>
    </row>
    <row r="1269" spans="1:23" hidden="1" x14ac:dyDescent="0.3">
      <c r="A1269" s="61" t="s">
        <v>2538</v>
      </c>
      <c r="B1269" s="61" t="s">
        <v>2538</v>
      </c>
      <c r="C1269" s="23" t="s">
        <v>33</v>
      </c>
      <c r="D1269" s="20" t="s">
        <v>34</v>
      </c>
      <c r="E1269" s="22" t="s">
        <v>2539</v>
      </c>
      <c r="F1269" s="24" t="str">
        <f t="shared" si="76"/>
        <v>PPG - Mangers WHITE SPIRIT 2LTR</v>
      </c>
      <c r="G1269" s="23" t="s">
        <v>6141</v>
      </c>
      <c r="H1269" s="25" t="s">
        <v>36</v>
      </c>
      <c r="I1269" s="18" t="s">
        <v>37</v>
      </c>
      <c r="J1269" s="18" t="s">
        <v>38</v>
      </c>
      <c r="K1269" t="s">
        <v>39</v>
      </c>
      <c r="L1269" s="26">
        <v>3.42</v>
      </c>
      <c r="M1269" s="18" t="s">
        <v>40</v>
      </c>
      <c r="N1269" s="20">
        <v>3105</v>
      </c>
      <c r="P1269" s="16">
        <f>VLOOKUP(A1269,'[3]Price info'!A:H,8,FALSE)</f>
        <v>3.42</v>
      </c>
      <c r="Q1269" s="33">
        <f t="shared" si="77"/>
        <v>1</v>
      </c>
      <c r="S1269" s="16" t="e">
        <f>VLOOKUP(A1269,[4]Sales!$E:$G,3,FALSE)</f>
        <v>#N/A</v>
      </c>
      <c r="T1269" s="19" t="e">
        <f>VLOOKUP(A1269,[4]Volume!$E:$G,3,FALSE)</f>
        <v>#N/A</v>
      </c>
      <c r="U1269" s="19" t="e">
        <f>VLOOKUP(A1269,[4]Piece!$E:$G,3,FALSE)</f>
        <v>#N/A</v>
      </c>
      <c r="V1269" s="21" t="e">
        <f t="shared" si="78"/>
        <v>#N/A</v>
      </c>
      <c r="W1269" s="16" t="e">
        <f t="shared" si="79"/>
        <v>#N/A</v>
      </c>
    </row>
    <row r="1270" spans="1:23" hidden="1" x14ac:dyDescent="0.3">
      <c r="A1270" s="61" t="s">
        <v>2540</v>
      </c>
      <c r="B1270" s="61" t="s">
        <v>2540</v>
      </c>
      <c r="C1270" s="23" t="s">
        <v>33</v>
      </c>
      <c r="D1270" s="20" t="s">
        <v>34</v>
      </c>
      <c r="E1270" s="22" t="s">
        <v>2541</v>
      </c>
      <c r="F1270" s="24" t="str">
        <f t="shared" si="76"/>
        <v>PPG - Mangers AP FILLER 500G</v>
      </c>
      <c r="G1270" s="23" t="s">
        <v>6142</v>
      </c>
      <c r="H1270" s="25" t="s">
        <v>36</v>
      </c>
      <c r="I1270" s="18" t="s">
        <v>37</v>
      </c>
      <c r="J1270" s="18" t="s">
        <v>38</v>
      </c>
      <c r="K1270" t="s">
        <v>39</v>
      </c>
      <c r="L1270" s="26">
        <v>2.31</v>
      </c>
      <c r="M1270" s="18" t="s">
        <v>40</v>
      </c>
      <c r="N1270" s="20">
        <v>3105</v>
      </c>
      <c r="P1270" s="16">
        <f>VLOOKUP(A1270,'[3]Price info'!A:H,8,FALSE)</f>
        <v>2.31</v>
      </c>
      <c r="Q1270" s="33">
        <f t="shared" si="77"/>
        <v>1</v>
      </c>
      <c r="S1270" s="16" t="e">
        <f>VLOOKUP(A1270,[4]Sales!$E:$G,3,FALSE)</f>
        <v>#N/A</v>
      </c>
      <c r="T1270" s="19" t="e">
        <f>VLOOKUP(A1270,[4]Volume!$E:$G,3,FALSE)</f>
        <v>#N/A</v>
      </c>
      <c r="U1270" s="19" t="e">
        <f>VLOOKUP(A1270,[4]Piece!$E:$G,3,FALSE)</f>
        <v>#N/A</v>
      </c>
      <c r="V1270" s="21" t="e">
        <f t="shared" si="78"/>
        <v>#N/A</v>
      </c>
      <c r="W1270" s="16" t="e">
        <f t="shared" si="79"/>
        <v>#N/A</v>
      </c>
    </row>
    <row r="1271" spans="1:23" hidden="1" x14ac:dyDescent="0.3">
      <c r="A1271" s="61" t="s">
        <v>2542</v>
      </c>
      <c r="B1271" s="61" t="s">
        <v>2542</v>
      </c>
      <c r="C1271" s="23" t="s">
        <v>33</v>
      </c>
      <c r="D1271" s="20" t="s">
        <v>34</v>
      </c>
      <c r="E1271" s="22" t="s">
        <v>2543</v>
      </c>
      <c r="F1271" s="24" t="str">
        <f t="shared" si="76"/>
        <v>PPG - Mangers WHITE SPIRIT 750ML</v>
      </c>
      <c r="G1271" s="23" t="s">
        <v>6143</v>
      </c>
      <c r="H1271" s="25" t="s">
        <v>36</v>
      </c>
      <c r="I1271" s="18" t="s">
        <v>37</v>
      </c>
      <c r="J1271" s="18" t="s">
        <v>38</v>
      </c>
      <c r="K1271" t="s">
        <v>39</v>
      </c>
      <c r="L1271" s="26">
        <v>2.96</v>
      </c>
      <c r="M1271" s="18" t="s">
        <v>40</v>
      </c>
      <c r="N1271" s="20">
        <v>3105</v>
      </c>
      <c r="P1271" s="16">
        <f>VLOOKUP(A1271,'[3]Price info'!A:H,8,FALSE)</f>
        <v>2.96</v>
      </c>
      <c r="Q1271" s="33">
        <f t="shared" si="77"/>
        <v>1</v>
      </c>
      <c r="S1271" s="16">
        <f>VLOOKUP(A1271,[4]Sales!$E:$G,3,FALSE)</f>
        <v>2.96</v>
      </c>
      <c r="T1271" s="19">
        <f>VLOOKUP(A1271,[4]Volume!$E:$G,3,FALSE)</f>
        <v>0.75</v>
      </c>
      <c r="U1271" s="19">
        <f>VLOOKUP(A1271,[4]Piece!$E:$G,3,FALSE)</f>
        <v>1</v>
      </c>
      <c r="V1271" s="21">
        <f t="shared" si="78"/>
        <v>2.96</v>
      </c>
      <c r="W1271" s="16">
        <f t="shared" si="79"/>
        <v>0</v>
      </c>
    </row>
    <row r="1272" spans="1:23" hidden="1" x14ac:dyDescent="0.3">
      <c r="A1272" s="61" t="s">
        <v>2544</v>
      </c>
      <c r="B1272" s="61" t="s">
        <v>2544</v>
      </c>
      <c r="C1272" s="23" t="s">
        <v>33</v>
      </c>
      <c r="D1272" s="20" t="s">
        <v>34</v>
      </c>
      <c r="E1272" s="22" t="s">
        <v>2545</v>
      </c>
      <c r="F1272" s="24" t="str">
        <f t="shared" si="76"/>
        <v>PPG - Mangers AP FILLER 2KG</v>
      </c>
      <c r="G1272" s="23" t="s">
        <v>6144</v>
      </c>
      <c r="H1272" s="25" t="s">
        <v>36</v>
      </c>
      <c r="I1272" s="18" t="s">
        <v>37</v>
      </c>
      <c r="J1272" s="18" t="s">
        <v>38</v>
      </c>
      <c r="K1272" t="s">
        <v>39</v>
      </c>
      <c r="L1272" s="26">
        <v>6.39</v>
      </c>
      <c r="M1272" s="18" t="s">
        <v>40</v>
      </c>
      <c r="N1272" s="20">
        <v>3105</v>
      </c>
      <c r="P1272" s="16">
        <f>VLOOKUP(A1272,'[3]Price info'!A:H,8,FALSE)</f>
        <v>6.39</v>
      </c>
      <c r="Q1272" s="33">
        <f t="shared" si="77"/>
        <v>1</v>
      </c>
      <c r="S1272" s="16">
        <f>VLOOKUP(A1272,[4]Sales!$E:$G,3,FALSE)</f>
        <v>12.78</v>
      </c>
      <c r="T1272" s="19">
        <f>VLOOKUP(A1272,[4]Volume!$E:$G,3,FALSE)</f>
        <v>4</v>
      </c>
      <c r="U1272" s="19">
        <f>VLOOKUP(A1272,[4]Piece!$E:$G,3,FALSE)</f>
        <v>2</v>
      </c>
      <c r="V1272" s="21">
        <f t="shared" si="78"/>
        <v>12.78</v>
      </c>
      <c r="W1272" s="16">
        <f t="shared" si="79"/>
        <v>0</v>
      </c>
    </row>
    <row r="1273" spans="1:23" hidden="1" x14ac:dyDescent="0.3">
      <c r="A1273" s="61" t="s">
        <v>2546</v>
      </c>
      <c r="B1273" s="61" t="s">
        <v>2546</v>
      </c>
      <c r="C1273" s="23" t="s">
        <v>33</v>
      </c>
      <c r="D1273" s="20" t="s">
        <v>34</v>
      </c>
      <c r="E1273" s="22" t="s">
        <v>2547</v>
      </c>
      <c r="F1273" s="24" t="str">
        <f t="shared" si="76"/>
        <v>PPG - Mangers RM WALLPAPER PASTE 10KG</v>
      </c>
      <c r="G1273" s="23" t="s">
        <v>6145</v>
      </c>
      <c r="H1273" s="25" t="s">
        <v>36</v>
      </c>
      <c r="I1273" s="18" t="s">
        <v>37</v>
      </c>
      <c r="J1273" s="18" t="s">
        <v>38</v>
      </c>
      <c r="K1273" t="s">
        <v>39</v>
      </c>
      <c r="L1273" s="26">
        <v>28.34</v>
      </c>
      <c r="M1273" s="18" t="s">
        <v>40</v>
      </c>
      <c r="N1273" s="20">
        <v>3105</v>
      </c>
      <c r="P1273" s="16">
        <f>VLOOKUP(A1273,'[3]Price info'!A:H,8,FALSE)</f>
        <v>28.34</v>
      </c>
      <c r="Q1273" s="33">
        <f t="shared" si="77"/>
        <v>1</v>
      </c>
      <c r="S1273" s="16" t="e">
        <f>VLOOKUP(A1273,[4]Sales!$E:$G,3,FALSE)</f>
        <v>#N/A</v>
      </c>
      <c r="T1273" s="19" t="e">
        <f>VLOOKUP(A1273,[4]Volume!$E:$G,3,FALSE)</f>
        <v>#N/A</v>
      </c>
      <c r="U1273" s="19" t="e">
        <f>VLOOKUP(A1273,[4]Piece!$E:$G,3,FALSE)</f>
        <v>#N/A</v>
      </c>
      <c r="V1273" s="21" t="e">
        <f t="shared" si="78"/>
        <v>#N/A</v>
      </c>
      <c r="W1273" s="16" t="e">
        <f t="shared" si="79"/>
        <v>#N/A</v>
      </c>
    </row>
    <row r="1274" spans="1:23" hidden="1" x14ac:dyDescent="0.3">
      <c r="A1274" s="61" t="s">
        <v>2548</v>
      </c>
      <c r="B1274" s="61" t="s">
        <v>2548</v>
      </c>
      <c r="C1274" s="23" t="s">
        <v>33</v>
      </c>
      <c r="D1274" s="20" t="s">
        <v>34</v>
      </c>
      <c r="E1274" s="22" t="s">
        <v>2549</v>
      </c>
      <c r="F1274" s="24" t="str">
        <f t="shared" si="76"/>
        <v>PPG - Mangers AP FILLER 5KG</v>
      </c>
      <c r="G1274" s="23" t="s">
        <v>6146</v>
      </c>
      <c r="H1274" s="25" t="s">
        <v>36</v>
      </c>
      <c r="I1274" s="18" t="s">
        <v>37</v>
      </c>
      <c r="J1274" s="18" t="s">
        <v>38</v>
      </c>
      <c r="K1274" t="s">
        <v>39</v>
      </c>
      <c r="L1274" s="26">
        <v>15.26</v>
      </c>
      <c r="M1274" s="18" t="s">
        <v>40</v>
      </c>
      <c r="N1274" s="20">
        <v>3105</v>
      </c>
      <c r="P1274" s="16">
        <f>VLOOKUP(A1274,'[3]Price info'!A:H,8,FALSE)</f>
        <v>15.26</v>
      </c>
      <c r="Q1274" s="33">
        <f t="shared" si="77"/>
        <v>1</v>
      </c>
      <c r="S1274" s="16">
        <f>VLOOKUP(A1274,[4]Sales!$E:$G,3,FALSE)</f>
        <v>30.52</v>
      </c>
      <c r="T1274" s="19">
        <f>VLOOKUP(A1274,[4]Volume!$E:$G,3,FALSE)</f>
        <v>10</v>
      </c>
      <c r="U1274" s="19">
        <f>VLOOKUP(A1274,[4]Piece!$E:$G,3,FALSE)</f>
        <v>2</v>
      </c>
      <c r="V1274" s="21">
        <f t="shared" si="78"/>
        <v>30.52</v>
      </c>
      <c r="W1274" s="16">
        <f t="shared" si="79"/>
        <v>0</v>
      </c>
    </row>
    <row r="1275" spans="1:23" hidden="1" x14ac:dyDescent="0.3">
      <c r="A1275" s="61" t="s">
        <v>2550</v>
      </c>
      <c r="B1275" s="61" t="s">
        <v>2550</v>
      </c>
      <c r="C1275" s="23" t="s">
        <v>33</v>
      </c>
      <c r="D1275" s="20" t="s">
        <v>34</v>
      </c>
      <c r="E1275" s="22" t="s">
        <v>2551</v>
      </c>
      <c r="F1275" s="24" t="str">
        <f t="shared" si="76"/>
        <v>PPG - Mangers AP FILLER 10KG</v>
      </c>
      <c r="G1275" s="23" t="s">
        <v>6147</v>
      </c>
      <c r="H1275" s="25" t="s">
        <v>36</v>
      </c>
      <c r="I1275" s="18" t="s">
        <v>37</v>
      </c>
      <c r="J1275" s="18" t="s">
        <v>38</v>
      </c>
      <c r="K1275" t="s">
        <v>39</v>
      </c>
      <c r="L1275" s="26">
        <v>27.03</v>
      </c>
      <c r="M1275" s="18" t="s">
        <v>40</v>
      </c>
      <c r="N1275" s="20">
        <v>3105</v>
      </c>
      <c r="P1275" s="16">
        <f>VLOOKUP(A1275,'[3]Price info'!A:H,8,FALSE)</f>
        <v>27.03</v>
      </c>
      <c r="Q1275" s="33">
        <f t="shared" si="77"/>
        <v>1</v>
      </c>
      <c r="S1275" s="16" t="e">
        <f>VLOOKUP(A1275,[4]Sales!$E:$G,3,FALSE)</f>
        <v>#N/A</v>
      </c>
      <c r="T1275" s="19" t="e">
        <f>VLOOKUP(A1275,[4]Volume!$E:$G,3,FALSE)</f>
        <v>#N/A</v>
      </c>
      <c r="U1275" s="19" t="e">
        <f>VLOOKUP(A1275,[4]Piece!$E:$G,3,FALSE)</f>
        <v>#N/A</v>
      </c>
      <c r="V1275" s="21" t="e">
        <f t="shared" si="78"/>
        <v>#N/A</v>
      </c>
      <c r="W1275" s="16" t="e">
        <f t="shared" si="79"/>
        <v>#N/A</v>
      </c>
    </row>
    <row r="1276" spans="1:23" hidden="1" x14ac:dyDescent="0.3">
      <c r="A1276" s="61" t="s">
        <v>2552</v>
      </c>
      <c r="B1276" s="61" t="s">
        <v>2552</v>
      </c>
      <c r="C1276" s="23" t="s">
        <v>33</v>
      </c>
      <c r="D1276" s="20" t="s">
        <v>34</v>
      </c>
      <c r="E1276" s="22" t="s">
        <v>2553</v>
      </c>
      <c r="F1276" s="24" t="str">
        <f t="shared" si="76"/>
        <v>PPG - Mangers R/MIX FILLER 600G</v>
      </c>
      <c r="G1276" s="23" t="s">
        <v>6148</v>
      </c>
      <c r="H1276" s="25" t="s">
        <v>36</v>
      </c>
      <c r="I1276" s="18" t="s">
        <v>37</v>
      </c>
      <c r="J1276" s="18" t="s">
        <v>38</v>
      </c>
      <c r="K1276" t="s">
        <v>39</v>
      </c>
      <c r="L1276" s="26">
        <v>3.75</v>
      </c>
      <c r="M1276" s="18" t="s">
        <v>40</v>
      </c>
      <c r="N1276" s="20">
        <v>3105</v>
      </c>
      <c r="P1276" s="16">
        <f>VLOOKUP(A1276,'[3]Price info'!A:H,8,FALSE)</f>
        <v>3.75</v>
      </c>
      <c r="Q1276" s="33">
        <f t="shared" si="77"/>
        <v>1</v>
      </c>
      <c r="S1276" s="16" t="e">
        <f>VLOOKUP(A1276,[4]Sales!$E:$G,3,FALSE)</f>
        <v>#N/A</v>
      </c>
      <c r="T1276" s="19" t="e">
        <f>VLOOKUP(A1276,[4]Volume!$E:$G,3,FALSE)</f>
        <v>#N/A</v>
      </c>
      <c r="U1276" s="19" t="e">
        <f>VLOOKUP(A1276,[4]Piece!$E:$G,3,FALSE)</f>
        <v>#N/A</v>
      </c>
      <c r="V1276" s="21" t="e">
        <f t="shared" si="78"/>
        <v>#N/A</v>
      </c>
      <c r="W1276" s="16" t="e">
        <f t="shared" si="79"/>
        <v>#N/A</v>
      </c>
    </row>
    <row r="1277" spans="1:23" hidden="1" x14ac:dyDescent="0.3">
      <c r="A1277" s="61" t="s">
        <v>2554</v>
      </c>
      <c r="B1277" s="61" t="s">
        <v>2554</v>
      </c>
      <c r="C1277" s="23" t="s">
        <v>33</v>
      </c>
      <c r="D1277" s="20" t="s">
        <v>34</v>
      </c>
      <c r="E1277" s="22" t="s">
        <v>2555</v>
      </c>
      <c r="F1277" s="24" t="str">
        <f t="shared" si="76"/>
        <v>PPG - Mangers RM WALLPAPER PASTE 4.5KG</v>
      </c>
      <c r="G1277" s="23" t="s">
        <v>6149</v>
      </c>
      <c r="H1277" s="25" t="s">
        <v>36</v>
      </c>
      <c r="I1277" s="18" t="s">
        <v>37</v>
      </c>
      <c r="J1277" s="18" t="s">
        <v>38</v>
      </c>
      <c r="K1277" t="s">
        <v>39</v>
      </c>
      <c r="L1277" s="26">
        <v>18.61</v>
      </c>
      <c r="M1277" s="18" t="s">
        <v>40</v>
      </c>
      <c r="N1277" s="20">
        <v>3105</v>
      </c>
      <c r="P1277" s="16">
        <f>VLOOKUP(A1277,'[3]Price info'!A:H,8,FALSE)</f>
        <v>18.61</v>
      </c>
      <c r="Q1277" s="33">
        <f t="shared" si="77"/>
        <v>1</v>
      </c>
      <c r="S1277" s="16" t="e">
        <f>VLOOKUP(A1277,[4]Sales!$E:$G,3,FALSE)</f>
        <v>#N/A</v>
      </c>
      <c r="T1277" s="19" t="e">
        <f>VLOOKUP(A1277,[4]Volume!$E:$G,3,FALSE)</f>
        <v>#N/A</v>
      </c>
      <c r="U1277" s="19" t="e">
        <f>VLOOKUP(A1277,[4]Piece!$E:$G,3,FALSE)</f>
        <v>#N/A</v>
      </c>
      <c r="V1277" s="21" t="e">
        <f t="shared" si="78"/>
        <v>#N/A</v>
      </c>
      <c r="W1277" s="16" t="e">
        <f t="shared" si="79"/>
        <v>#N/A</v>
      </c>
    </row>
    <row r="1278" spans="1:23" hidden="1" x14ac:dyDescent="0.3">
      <c r="A1278" s="61" t="s">
        <v>2556</v>
      </c>
      <c r="B1278" s="61" t="s">
        <v>2556</v>
      </c>
      <c r="C1278" s="23" t="s">
        <v>33</v>
      </c>
      <c r="D1278" s="20" t="s">
        <v>34</v>
      </c>
      <c r="E1278" s="22" t="s">
        <v>2557</v>
      </c>
      <c r="F1278" s="24" t="str">
        <f t="shared" si="76"/>
        <v>PPG - Mangers R/MIX FILLER 1KG</v>
      </c>
      <c r="G1278" s="23" t="s">
        <v>6150</v>
      </c>
      <c r="H1278" s="25" t="s">
        <v>36</v>
      </c>
      <c r="I1278" s="18" t="s">
        <v>37</v>
      </c>
      <c r="J1278" s="18" t="s">
        <v>38</v>
      </c>
      <c r="K1278" t="s">
        <v>39</v>
      </c>
      <c r="L1278" s="26">
        <v>4.99</v>
      </c>
      <c r="M1278" s="18" t="s">
        <v>40</v>
      </c>
      <c r="N1278" s="20">
        <v>3105</v>
      </c>
      <c r="P1278" s="16">
        <f>VLOOKUP(A1278,'[3]Price info'!A:H,8,FALSE)</f>
        <v>4.99</v>
      </c>
      <c r="Q1278" s="33">
        <f t="shared" si="77"/>
        <v>1</v>
      </c>
      <c r="S1278" s="16" t="e">
        <f>VLOOKUP(A1278,[4]Sales!$E:$G,3,FALSE)</f>
        <v>#N/A</v>
      </c>
      <c r="T1278" s="19" t="e">
        <f>VLOOKUP(A1278,[4]Volume!$E:$G,3,FALSE)</f>
        <v>#N/A</v>
      </c>
      <c r="U1278" s="19" t="e">
        <f>VLOOKUP(A1278,[4]Piece!$E:$G,3,FALSE)</f>
        <v>#N/A</v>
      </c>
      <c r="V1278" s="21" t="e">
        <f t="shared" si="78"/>
        <v>#N/A</v>
      </c>
      <c r="W1278" s="16" t="e">
        <f t="shared" si="79"/>
        <v>#N/A</v>
      </c>
    </row>
    <row r="1279" spans="1:23" hidden="1" x14ac:dyDescent="0.3">
      <c r="A1279" s="61" t="s">
        <v>2558</v>
      </c>
      <c r="B1279" s="61" t="s">
        <v>2558</v>
      </c>
      <c r="C1279" s="23" t="s">
        <v>33</v>
      </c>
      <c r="D1279" s="20" t="s">
        <v>34</v>
      </c>
      <c r="E1279" s="22" t="s">
        <v>2559</v>
      </c>
      <c r="F1279" s="24" t="str">
        <f t="shared" si="76"/>
        <v>PPG - Mangers RM WALLPAPER PASTE 2.5KG</v>
      </c>
      <c r="G1279" s="23" t="s">
        <v>6151</v>
      </c>
      <c r="H1279" s="25" t="s">
        <v>36</v>
      </c>
      <c r="I1279" s="18" t="s">
        <v>37</v>
      </c>
      <c r="J1279" s="18" t="s">
        <v>38</v>
      </c>
      <c r="K1279" t="s">
        <v>39</v>
      </c>
      <c r="L1279" s="26">
        <v>13.16</v>
      </c>
      <c r="M1279" s="18" t="s">
        <v>40</v>
      </c>
      <c r="N1279" s="20">
        <v>3105</v>
      </c>
      <c r="P1279" s="16">
        <f>VLOOKUP(A1279,'[3]Price info'!A:H,8,FALSE)</f>
        <v>13.16</v>
      </c>
      <c r="Q1279" s="33">
        <f t="shared" si="77"/>
        <v>1</v>
      </c>
      <c r="S1279" s="16" t="e">
        <f>VLOOKUP(A1279,[4]Sales!$E:$G,3,FALSE)</f>
        <v>#N/A</v>
      </c>
      <c r="T1279" s="19" t="e">
        <f>VLOOKUP(A1279,[4]Volume!$E:$G,3,FALSE)</f>
        <v>#N/A</v>
      </c>
      <c r="U1279" s="19" t="e">
        <f>VLOOKUP(A1279,[4]Piece!$E:$G,3,FALSE)</f>
        <v>#N/A</v>
      </c>
      <c r="V1279" s="21" t="e">
        <f t="shared" si="78"/>
        <v>#N/A</v>
      </c>
      <c r="W1279" s="16" t="e">
        <f t="shared" si="79"/>
        <v>#N/A</v>
      </c>
    </row>
    <row r="1280" spans="1:23" hidden="1" x14ac:dyDescent="0.3">
      <c r="A1280" s="61" t="s">
        <v>2560</v>
      </c>
      <c r="B1280" s="61" t="s">
        <v>2560</v>
      </c>
      <c r="C1280" s="23" t="s">
        <v>33</v>
      </c>
      <c r="D1280" s="20" t="s">
        <v>34</v>
      </c>
      <c r="E1280" s="22" t="s">
        <v>2561</v>
      </c>
      <c r="F1280" s="24" t="str">
        <f t="shared" si="76"/>
        <v>PPG - Mangers R/MIX FILLER 2KG</v>
      </c>
      <c r="G1280" s="23" t="s">
        <v>6152</v>
      </c>
      <c r="H1280" s="25" t="s">
        <v>36</v>
      </c>
      <c r="I1280" s="18" t="s">
        <v>37</v>
      </c>
      <c r="J1280" s="18" t="s">
        <v>38</v>
      </c>
      <c r="K1280" t="s">
        <v>39</v>
      </c>
      <c r="L1280" s="26">
        <v>9.59</v>
      </c>
      <c r="M1280" s="18" t="s">
        <v>40</v>
      </c>
      <c r="N1280" s="20">
        <v>3105</v>
      </c>
      <c r="P1280" s="16">
        <f>VLOOKUP(A1280,'[3]Price info'!A:H,8,FALSE)</f>
        <v>9.59</v>
      </c>
      <c r="Q1280" s="33">
        <f t="shared" si="77"/>
        <v>1</v>
      </c>
      <c r="S1280" s="16" t="e">
        <f>VLOOKUP(A1280,[4]Sales!$E:$G,3,FALSE)</f>
        <v>#N/A</v>
      </c>
      <c r="T1280" s="19" t="e">
        <f>VLOOKUP(A1280,[4]Volume!$E:$G,3,FALSE)</f>
        <v>#N/A</v>
      </c>
      <c r="U1280" s="19" t="e">
        <f>VLOOKUP(A1280,[4]Piece!$E:$G,3,FALSE)</f>
        <v>#N/A</v>
      </c>
      <c r="V1280" s="21" t="e">
        <f t="shared" si="78"/>
        <v>#N/A</v>
      </c>
      <c r="W1280" s="16" t="e">
        <f t="shared" si="79"/>
        <v>#N/A</v>
      </c>
    </row>
    <row r="1281" spans="1:23" hidden="1" x14ac:dyDescent="0.3">
      <c r="A1281" s="61" t="s">
        <v>2562</v>
      </c>
      <c r="B1281" s="61" t="s">
        <v>2562</v>
      </c>
      <c r="C1281" s="23" t="s">
        <v>33</v>
      </c>
      <c r="D1281" s="20" t="s">
        <v>34</v>
      </c>
      <c r="E1281" s="22" t="s">
        <v>2563</v>
      </c>
      <c r="F1281" s="24" t="str">
        <f t="shared" si="76"/>
        <v>PPG - Mangers RM WALLPAPER PASTE 1KG</v>
      </c>
      <c r="G1281" s="23" t="s">
        <v>6153</v>
      </c>
      <c r="H1281" s="25" t="s">
        <v>36</v>
      </c>
      <c r="I1281" s="18" t="s">
        <v>37</v>
      </c>
      <c r="J1281" s="18" t="s">
        <v>38</v>
      </c>
      <c r="K1281" t="s">
        <v>39</v>
      </c>
      <c r="L1281" s="26">
        <v>6.39</v>
      </c>
      <c r="M1281" s="18" t="s">
        <v>40</v>
      </c>
      <c r="N1281" s="20">
        <v>3105</v>
      </c>
      <c r="P1281" s="16">
        <f>VLOOKUP(A1281,'[3]Price info'!A:H,8,FALSE)</f>
        <v>6.39</v>
      </c>
      <c r="Q1281" s="33">
        <f t="shared" si="77"/>
        <v>1</v>
      </c>
      <c r="S1281" s="16" t="e">
        <f>VLOOKUP(A1281,[4]Sales!$E:$G,3,FALSE)</f>
        <v>#N/A</v>
      </c>
      <c r="T1281" s="19" t="e">
        <f>VLOOKUP(A1281,[4]Volume!$E:$G,3,FALSE)</f>
        <v>#N/A</v>
      </c>
      <c r="U1281" s="19" t="e">
        <f>VLOOKUP(A1281,[4]Piece!$E:$G,3,FALSE)</f>
        <v>#N/A</v>
      </c>
      <c r="V1281" s="21" t="e">
        <f t="shared" si="78"/>
        <v>#N/A</v>
      </c>
      <c r="W1281" s="16" t="e">
        <f t="shared" si="79"/>
        <v>#N/A</v>
      </c>
    </row>
    <row r="1282" spans="1:23" hidden="1" x14ac:dyDescent="0.3">
      <c r="A1282" s="61" t="s">
        <v>2564</v>
      </c>
      <c r="B1282" s="61" t="s">
        <v>2564</v>
      </c>
      <c r="C1282" s="23" t="s">
        <v>33</v>
      </c>
      <c r="D1282" s="20" t="s">
        <v>34</v>
      </c>
      <c r="E1282" s="22" t="s">
        <v>2565</v>
      </c>
      <c r="F1282" s="24" t="str">
        <f t="shared" si="76"/>
        <v>PPG - Mangers FINE SURFACE FILL 600G</v>
      </c>
      <c r="G1282" s="23" t="s">
        <v>6154</v>
      </c>
      <c r="H1282" s="25" t="s">
        <v>36</v>
      </c>
      <c r="I1282" s="18" t="s">
        <v>37</v>
      </c>
      <c r="J1282" s="18" t="s">
        <v>38</v>
      </c>
      <c r="K1282" t="s">
        <v>39</v>
      </c>
      <c r="L1282" s="26">
        <v>4.99</v>
      </c>
      <c r="M1282" s="18" t="s">
        <v>40</v>
      </c>
      <c r="N1282" s="20">
        <v>3105</v>
      </c>
      <c r="P1282" s="16">
        <f>VLOOKUP(A1282,'[3]Price info'!A:H,8,FALSE)</f>
        <v>4.99</v>
      </c>
      <c r="Q1282" s="33">
        <f t="shared" si="77"/>
        <v>1</v>
      </c>
      <c r="S1282" s="16">
        <f>VLOOKUP(A1282,[4]Sales!$E:$G,3,FALSE)</f>
        <v>0</v>
      </c>
      <c r="T1282" s="19">
        <f>VLOOKUP(A1282,[4]Volume!$E:$G,3,FALSE)</f>
        <v>0</v>
      </c>
      <c r="U1282" s="19">
        <f>VLOOKUP(A1282,[4]Piece!$E:$G,3,FALSE)</f>
        <v>0</v>
      </c>
      <c r="V1282" s="21">
        <f t="shared" si="78"/>
        <v>0</v>
      </c>
      <c r="W1282" s="16">
        <f t="shared" si="79"/>
        <v>0</v>
      </c>
    </row>
    <row r="1283" spans="1:23" hidden="1" x14ac:dyDescent="0.3">
      <c r="A1283" s="61" t="s">
        <v>2566</v>
      </c>
      <c r="B1283" s="61" t="s">
        <v>2566</v>
      </c>
      <c r="C1283" s="23" t="s">
        <v>33</v>
      </c>
      <c r="D1283" s="20" t="s">
        <v>34</v>
      </c>
      <c r="E1283" s="22" t="s">
        <v>2567</v>
      </c>
      <c r="F1283" s="24" t="str">
        <f t="shared" ref="F1283:F1346" si="80">D1283&amp;" - "&amp;E1283</f>
        <v>PPG - Mangers AP W/PAPER ADH 5ROLL</v>
      </c>
      <c r="G1283" s="23" t="s">
        <v>6155</v>
      </c>
      <c r="H1283" s="25" t="s">
        <v>36</v>
      </c>
      <c r="I1283" s="18" t="s">
        <v>37</v>
      </c>
      <c r="J1283" s="18" t="s">
        <v>38</v>
      </c>
      <c r="K1283" t="s">
        <v>39</v>
      </c>
      <c r="L1283" s="26">
        <v>2.08</v>
      </c>
      <c r="M1283" s="18" t="s">
        <v>40</v>
      </c>
      <c r="N1283" s="20">
        <v>3105</v>
      </c>
      <c r="P1283" s="16">
        <f>VLOOKUP(A1283,'[3]Price info'!A:H,8,FALSE)</f>
        <v>2.08</v>
      </c>
      <c r="Q1283" s="33">
        <f t="shared" ref="Q1283:Q1346" si="81">P1283/L1283</f>
        <v>1</v>
      </c>
      <c r="S1283" s="16" t="e">
        <f>VLOOKUP(A1283,[4]Sales!$E:$G,3,FALSE)</f>
        <v>#N/A</v>
      </c>
      <c r="T1283" s="19" t="e">
        <f>VLOOKUP(A1283,[4]Volume!$E:$G,3,FALSE)</f>
        <v>#N/A</v>
      </c>
      <c r="U1283" s="19" t="e">
        <f>VLOOKUP(A1283,[4]Piece!$E:$G,3,FALSE)</f>
        <v>#N/A</v>
      </c>
      <c r="V1283" s="21" t="e">
        <f t="shared" ref="V1283:V1346" si="82">U1283*P1283</f>
        <v>#N/A</v>
      </c>
      <c r="W1283" s="16" t="e">
        <f t="shared" ref="W1283:W1346" si="83">V1283-S1283</f>
        <v>#N/A</v>
      </c>
    </row>
    <row r="1284" spans="1:23" hidden="1" x14ac:dyDescent="0.3">
      <c r="A1284" s="61" t="s">
        <v>2568</v>
      </c>
      <c r="B1284" s="61" t="s">
        <v>2568</v>
      </c>
      <c r="C1284" s="23" t="s">
        <v>33</v>
      </c>
      <c r="D1284" s="20" t="s">
        <v>34</v>
      </c>
      <c r="E1284" s="22" t="s">
        <v>2569</v>
      </c>
      <c r="F1284" s="24" t="str">
        <f t="shared" si="80"/>
        <v>PPG - Mangers BRD &amp;OVERLAP ADH 500G</v>
      </c>
      <c r="G1284" s="23" t="s">
        <v>6156</v>
      </c>
      <c r="H1284" s="25" t="s">
        <v>36</v>
      </c>
      <c r="I1284" s="18" t="s">
        <v>37</v>
      </c>
      <c r="J1284" s="18" t="s">
        <v>38</v>
      </c>
      <c r="K1284" t="s">
        <v>39</v>
      </c>
      <c r="L1284" s="26">
        <v>3.92</v>
      </c>
      <c r="M1284" s="18" t="s">
        <v>40</v>
      </c>
      <c r="N1284" s="20">
        <v>3105</v>
      </c>
      <c r="P1284" s="16">
        <f>VLOOKUP(A1284,'[3]Price info'!A:H,8,FALSE)</f>
        <v>3.92</v>
      </c>
      <c r="Q1284" s="33">
        <f t="shared" si="81"/>
        <v>1</v>
      </c>
      <c r="S1284" s="16" t="e">
        <f>VLOOKUP(A1284,[4]Sales!$E:$G,3,FALSE)</f>
        <v>#N/A</v>
      </c>
      <c r="T1284" s="19" t="e">
        <f>VLOOKUP(A1284,[4]Volume!$E:$G,3,FALSE)</f>
        <v>#N/A</v>
      </c>
      <c r="U1284" s="19" t="e">
        <f>VLOOKUP(A1284,[4]Piece!$E:$G,3,FALSE)</f>
        <v>#N/A</v>
      </c>
      <c r="V1284" s="21" t="e">
        <f t="shared" si="82"/>
        <v>#N/A</v>
      </c>
      <c r="W1284" s="16" t="e">
        <f t="shared" si="83"/>
        <v>#N/A</v>
      </c>
    </row>
    <row r="1285" spans="1:23" hidden="1" x14ac:dyDescent="0.3">
      <c r="A1285" s="61" t="s">
        <v>2570</v>
      </c>
      <c r="B1285" s="61" t="s">
        <v>2570</v>
      </c>
      <c r="C1285" s="23" t="s">
        <v>33</v>
      </c>
      <c r="D1285" s="20" t="s">
        <v>34</v>
      </c>
      <c r="E1285" s="22" t="s">
        <v>2571</v>
      </c>
      <c r="F1285" s="24" t="str">
        <f t="shared" si="80"/>
        <v>PPG - Mangers AP W/PAPER ADH 10ROLL</v>
      </c>
      <c r="G1285" s="23" t="s">
        <v>6157</v>
      </c>
      <c r="H1285" s="25" t="s">
        <v>36</v>
      </c>
      <c r="I1285" s="18" t="s">
        <v>37</v>
      </c>
      <c r="J1285" s="18" t="s">
        <v>38</v>
      </c>
      <c r="K1285" t="s">
        <v>39</v>
      </c>
      <c r="L1285" s="26">
        <v>3.88</v>
      </c>
      <c r="M1285" s="18" t="s">
        <v>40</v>
      </c>
      <c r="N1285" s="20">
        <v>3105</v>
      </c>
      <c r="P1285" s="16">
        <f>VLOOKUP(A1285,'[3]Price info'!A:H,8,FALSE)</f>
        <v>3.88</v>
      </c>
      <c r="Q1285" s="33">
        <f t="shared" si="81"/>
        <v>1</v>
      </c>
      <c r="S1285" s="16" t="e">
        <f>VLOOKUP(A1285,[4]Sales!$E:$G,3,FALSE)</f>
        <v>#N/A</v>
      </c>
      <c r="T1285" s="19" t="e">
        <f>VLOOKUP(A1285,[4]Volume!$E:$G,3,FALSE)</f>
        <v>#N/A</v>
      </c>
      <c r="U1285" s="19" t="e">
        <f>VLOOKUP(A1285,[4]Piece!$E:$G,3,FALSE)</f>
        <v>#N/A</v>
      </c>
      <c r="V1285" s="21" t="e">
        <f t="shared" si="82"/>
        <v>#N/A</v>
      </c>
      <c r="W1285" s="16" t="e">
        <f t="shared" si="83"/>
        <v>#N/A</v>
      </c>
    </row>
    <row r="1286" spans="1:23" hidden="1" x14ac:dyDescent="0.3">
      <c r="A1286" s="61" t="s">
        <v>2572</v>
      </c>
      <c r="B1286" s="61" t="s">
        <v>2572</v>
      </c>
      <c r="C1286" s="23" t="s">
        <v>33</v>
      </c>
      <c r="D1286" s="20" t="s">
        <v>34</v>
      </c>
      <c r="E1286" s="22" t="s">
        <v>2573</v>
      </c>
      <c r="F1286" s="24" t="str">
        <f t="shared" si="80"/>
        <v>PPG - Mangers BRD &amp; REPAIR ADH 250G</v>
      </c>
      <c r="G1286" s="23" t="s">
        <v>6158</v>
      </c>
      <c r="H1286" s="25" t="s">
        <v>36</v>
      </c>
      <c r="I1286" s="18" t="s">
        <v>37</v>
      </c>
      <c r="J1286" s="18" t="s">
        <v>38</v>
      </c>
      <c r="K1286" t="s">
        <v>39</v>
      </c>
      <c r="L1286" s="26">
        <v>2.85</v>
      </c>
      <c r="M1286" s="18" t="s">
        <v>40</v>
      </c>
      <c r="N1286" s="20">
        <v>3105</v>
      </c>
      <c r="P1286" s="16">
        <f>VLOOKUP(A1286,'[3]Price info'!A:H,8,FALSE)</f>
        <v>2.85</v>
      </c>
      <c r="Q1286" s="33">
        <f t="shared" si="81"/>
        <v>1</v>
      </c>
      <c r="S1286" s="16" t="e">
        <f>VLOOKUP(A1286,[4]Sales!$E:$G,3,FALSE)</f>
        <v>#N/A</v>
      </c>
      <c r="T1286" s="19" t="e">
        <f>VLOOKUP(A1286,[4]Volume!$E:$G,3,FALSE)</f>
        <v>#N/A</v>
      </c>
      <c r="U1286" s="19" t="e">
        <f>VLOOKUP(A1286,[4]Piece!$E:$G,3,FALSE)</f>
        <v>#N/A</v>
      </c>
      <c r="V1286" s="21" t="e">
        <f t="shared" si="82"/>
        <v>#N/A</v>
      </c>
      <c r="W1286" s="16" t="e">
        <f t="shared" si="83"/>
        <v>#N/A</v>
      </c>
    </row>
    <row r="1287" spans="1:23" hidden="1" x14ac:dyDescent="0.3">
      <c r="A1287" s="63" t="s">
        <v>2574</v>
      </c>
      <c r="B1287" s="63" t="s">
        <v>2574</v>
      </c>
      <c r="C1287" s="23" t="s">
        <v>33</v>
      </c>
      <c r="D1287" s="20" t="s">
        <v>34</v>
      </c>
      <c r="E1287" s="22" t="s">
        <v>2575</v>
      </c>
      <c r="F1287" s="24" t="str">
        <f t="shared" si="80"/>
        <v>PPG - Artex MP ADHESIVE 5200601486</v>
      </c>
      <c r="G1287" s="41" t="s">
        <v>6159</v>
      </c>
      <c r="H1287" s="39" t="s">
        <v>36</v>
      </c>
      <c r="I1287" s="40" t="s">
        <v>37</v>
      </c>
      <c r="J1287" s="40" t="s">
        <v>38</v>
      </c>
      <c r="K1287" s="41" t="s">
        <v>39</v>
      </c>
      <c r="L1287" s="65">
        <v>15.3</v>
      </c>
      <c r="M1287" s="40" t="s">
        <v>40</v>
      </c>
      <c r="N1287" s="42">
        <v>3105</v>
      </c>
      <c r="O1287" s="43"/>
      <c r="P1287" s="16">
        <f>VLOOKUP(A1287,'[3]Price info'!A:H,8,FALSE)</f>
        <v>15.3</v>
      </c>
      <c r="Q1287" s="44">
        <f t="shared" si="81"/>
        <v>1</v>
      </c>
      <c r="R1287" s="40"/>
      <c r="S1287" s="16" t="e">
        <f>VLOOKUP(A1287,[4]Sales!$E:$G,3,FALSE)</f>
        <v>#N/A</v>
      </c>
      <c r="T1287" s="19" t="e">
        <f>VLOOKUP(A1287,[4]Volume!$E:$G,3,FALSE)</f>
        <v>#N/A</v>
      </c>
      <c r="U1287" s="19" t="e">
        <f>VLOOKUP(A1287,[4]Piece!$E:$G,3,FALSE)</f>
        <v>#N/A</v>
      </c>
      <c r="V1287" s="21" t="e">
        <f t="shared" si="82"/>
        <v>#N/A</v>
      </c>
      <c r="W1287" s="16" t="e">
        <f t="shared" si="83"/>
        <v>#N/A</v>
      </c>
    </row>
    <row r="1288" spans="1:23" hidden="1" x14ac:dyDescent="0.3">
      <c r="A1288" s="61" t="s">
        <v>2576</v>
      </c>
      <c r="B1288" s="61" t="s">
        <v>2576</v>
      </c>
      <c r="C1288" s="23" t="s">
        <v>33</v>
      </c>
      <c r="D1288" s="20" t="s">
        <v>34</v>
      </c>
      <c r="E1288" s="22" t="s">
        <v>2577</v>
      </c>
      <c r="F1288" s="24" t="str">
        <f t="shared" si="80"/>
        <v>PPG - Mangers R/MIX FILLER 330G</v>
      </c>
      <c r="G1288" s="23" t="s">
        <v>6160</v>
      </c>
      <c r="H1288" s="25" t="s">
        <v>36</v>
      </c>
      <c r="I1288" s="18" t="s">
        <v>37</v>
      </c>
      <c r="J1288" s="18" t="s">
        <v>38</v>
      </c>
      <c r="K1288" t="s">
        <v>39</v>
      </c>
      <c r="L1288" s="26">
        <v>3.25</v>
      </c>
      <c r="M1288" s="18" t="s">
        <v>40</v>
      </c>
      <c r="N1288" s="20">
        <v>3105</v>
      </c>
      <c r="P1288" s="16">
        <f>VLOOKUP(A1288,'[3]Price info'!A:H,8,FALSE)</f>
        <v>3.25</v>
      </c>
      <c r="Q1288" s="33">
        <f t="shared" si="81"/>
        <v>1</v>
      </c>
      <c r="S1288" s="16" t="e">
        <f>VLOOKUP(A1288,[4]Sales!$E:$G,3,FALSE)</f>
        <v>#N/A</v>
      </c>
      <c r="T1288" s="19" t="e">
        <f>VLOOKUP(A1288,[4]Volume!$E:$G,3,FALSE)</f>
        <v>#N/A</v>
      </c>
      <c r="U1288" s="19" t="e">
        <f>VLOOKUP(A1288,[4]Piece!$E:$G,3,FALSE)</f>
        <v>#N/A</v>
      </c>
      <c r="V1288" s="21" t="e">
        <f t="shared" si="82"/>
        <v>#N/A</v>
      </c>
      <c r="W1288" s="16" t="e">
        <f t="shared" si="83"/>
        <v>#N/A</v>
      </c>
    </row>
    <row r="1289" spans="1:23" hidden="1" x14ac:dyDescent="0.3">
      <c r="A1289" s="63" t="s">
        <v>2578</v>
      </c>
      <c r="B1289" s="63" t="s">
        <v>2578</v>
      </c>
      <c r="C1289" s="23" t="s">
        <v>33</v>
      </c>
      <c r="D1289" s="20" t="s">
        <v>34</v>
      </c>
      <c r="E1289" s="22" t="s">
        <v>2579</v>
      </c>
      <c r="F1289" s="24" t="str">
        <f t="shared" si="80"/>
        <v>PPG - Zinsser ALLCOAT EXT DEEP BASE 5ltr</v>
      </c>
      <c r="G1289" s="31" t="s">
        <v>6161</v>
      </c>
      <c r="H1289" s="29" t="s">
        <v>36</v>
      </c>
      <c r="I1289" s="30" t="s">
        <v>37</v>
      </c>
      <c r="J1289" s="30" t="s">
        <v>38</v>
      </c>
      <c r="K1289" s="31" t="s">
        <v>39</v>
      </c>
      <c r="L1289" s="64">
        <v>124.94</v>
      </c>
      <c r="M1289" s="30" t="s">
        <v>40</v>
      </c>
      <c r="N1289" s="32">
        <v>3105</v>
      </c>
      <c r="P1289" s="16">
        <f>VLOOKUP(A1289,'[3]Price info'!A:H,8,FALSE)</f>
        <v>124.94</v>
      </c>
      <c r="Q1289" s="35">
        <f t="shared" si="81"/>
        <v>1</v>
      </c>
      <c r="R1289" s="30"/>
      <c r="S1289" s="16" t="e">
        <f>VLOOKUP(A1289,[4]Sales!$E:$G,3,FALSE)</f>
        <v>#N/A</v>
      </c>
      <c r="T1289" s="19" t="e">
        <f>VLOOKUP(A1289,[4]Volume!$E:$G,3,FALSE)</f>
        <v>#N/A</v>
      </c>
      <c r="U1289" s="19" t="e">
        <f>VLOOKUP(A1289,[4]Piece!$E:$G,3,FALSE)</f>
        <v>#N/A</v>
      </c>
      <c r="V1289" s="21" t="e">
        <f t="shared" si="82"/>
        <v>#N/A</v>
      </c>
      <c r="W1289" s="16" t="e">
        <f t="shared" si="83"/>
        <v>#N/A</v>
      </c>
    </row>
    <row r="1290" spans="1:23" hidden="1" x14ac:dyDescent="0.3">
      <c r="A1290" s="63" t="s">
        <v>2580</v>
      </c>
      <c r="B1290" s="63" t="s">
        <v>2580</v>
      </c>
      <c r="C1290" s="23" t="s">
        <v>33</v>
      </c>
      <c r="D1290" s="20" t="s">
        <v>34</v>
      </c>
      <c r="E1290" s="22" t="s">
        <v>2581</v>
      </c>
      <c r="F1290" s="24" t="str">
        <f t="shared" si="80"/>
        <v>PPG - Zinsser ALLCOAT EXT MID BASE 5ltr</v>
      </c>
      <c r="G1290" s="31" t="s">
        <v>6162</v>
      </c>
      <c r="H1290" s="29" t="s">
        <v>36</v>
      </c>
      <c r="I1290" s="30" t="s">
        <v>37</v>
      </c>
      <c r="J1290" s="30" t="s">
        <v>38</v>
      </c>
      <c r="K1290" s="31" t="s">
        <v>39</v>
      </c>
      <c r="L1290" s="64">
        <v>124.94</v>
      </c>
      <c r="M1290" s="30" t="s">
        <v>40</v>
      </c>
      <c r="N1290" s="32">
        <v>3105</v>
      </c>
      <c r="P1290" s="16">
        <f>VLOOKUP(A1290,'[3]Price info'!A:H,8,FALSE)</f>
        <v>124.94</v>
      </c>
      <c r="Q1290" s="35">
        <f t="shared" si="81"/>
        <v>1</v>
      </c>
      <c r="R1290" s="30"/>
      <c r="S1290" s="16" t="e">
        <f>VLOOKUP(A1290,[4]Sales!$E:$G,3,FALSE)</f>
        <v>#N/A</v>
      </c>
      <c r="T1290" s="19" t="e">
        <f>VLOOKUP(A1290,[4]Volume!$E:$G,3,FALSE)</f>
        <v>#N/A</v>
      </c>
      <c r="U1290" s="19" t="e">
        <f>VLOOKUP(A1290,[4]Piece!$E:$G,3,FALSE)</f>
        <v>#N/A</v>
      </c>
      <c r="V1290" s="21" t="e">
        <f t="shared" si="82"/>
        <v>#N/A</v>
      </c>
      <c r="W1290" s="16" t="e">
        <f t="shared" si="83"/>
        <v>#N/A</v>
      </c>
    </row>
    <row r="1291" spans="1:23" hidden="1" x14ac:dyDescent="0.3">
      <c r="A1291" s="63" t="s">
        <v>2582</v>
      </c>
      <c r="B1291" s="63" t="s">
        <v>2582</v>
      </c>
      <c r="C1291" s="23" t="s">
        <v>33</v>
      </c>
      <c r="D1291" s="20" t="s">
        <v>34</v>
      </c>
      <c r="E1291" s="22" t="s">
        <v>2583</v>
      </c>
      <c r="F1291" s="24" t="str">
        <f t="shared" si="80"/>
        <v>PPG - Zinsser ALLCOAT EXT PASTEL BASE 5ltr</v>
      </c>
      <c r="G1291" s="31" t="s">
        <v>6163</v>
      </c>
      <c r="H1291" s="29" t="s">
        <v>36</v>
      </c>
      <c r="I1291" s="30" t="s">
        <v>37</v>
      </c>
      <c r="J1291" s="30" t="s">
        <v>38</v>
      </c>
      <c r="K1291" s="31" t="s">
        <v>39</v>
      </c>
      <c r="L1291" s="64">
        <v>118.69</v>
      </c>
      <c r="M1291" s="30" t="s">
        <v>40</v>
      </c>
      <c r="N1291" s="32">
        <v>3105</v>
      </c>
      <c r="P1291" s="16">
        <f>VLOOKUP(A1291,'[3]Price info'!A:H,8,FALSE)</f>
        <v>118.69</v>
      </c>
      <c r="Q1291" s="35">
        <f t="shared" si="81"/>
        <v>1</v>
      </c>
      <c r="R1291" s="30"/>
      <c r="S1291" s="16" t="e">
        <f>VLOOKUP(A1291,[4]Sales!$E:$G,3,FALSE)</f>
        <v>#N/A</v>
      </c>
      <c r="T1291" s="19" t="e">
        <f>VLOOKUP(A1291,[4]Volume!$E:$G,3,FALSE)</f>
        <v>#N/A</v>
      </c>
      <c r="U1291" s="19" t="e">
        <f>VLOOKUP(A1291,[4]Piece!$E:$G,3,FALSE)</f>
        <v>#N/A</v>
      </c>
      <c r="V1291" s="21" t="e">
        <f t="shared" si="82"/>
        <v>#N/A</v>
      </c>
      <c r="W1291" s="16" t="e">
        <f t="shared" si="83"/>
        <v>#N/A</v>
      </c>
    </row>
    <row r="1292" spans="1:23" hidden="1" x14ac:dyDescent="0.3">
      <c r="A1292" s="63" t="s">
        <v>2584</v>
      </c>
      <c r="B1292" s="63" t="s">
        <v>2584</v>
      </c>
      <c r="C1292" s="23" t="s">
        <v>33</v>
      </c>
      <c r="D1292" s="20" t="s">
        <v>34</v>
      </c>
      <c r="E1292" s="22" t="s">
        <v>2585</v>
      </c>
      <c r="F1292" s="24" t="str">
        <f t="shared" si="80"/>
        <v>PPG - Zinsser ZINSSER WHITE 5ltr</v>
      </c>
      <c r="G1292" s="31" t="s">
        <v>6164</v>
      </c>
      <c r="H1292" s="29" t="s">
        <v>36</v>
      </c>
      <c r="I1292" s="30" t="s">
        <v>37</v>
      </c>
      <c r="J1292" s="30" t="s">
        <v>38</v>
      </c>
      <c r="K1292" s="31" t="s">
        <v>39</v>
      </c>
      <c r="L1292" s="64">
        <v>144.4</v>
      </c>
      <c r="M1292" s="30" t="s">
        <v>40</v>
      </c>
      <c r="N1292" s="32">
        <v>3105</v>
      </c>
      <c r="P1292" s="16">
        <f>VLOOKUP(A1292,'[3]Price info'!A:H,8,FALSE)</f>
        <v>144.4</v>
      </c>
      <c r="Q1292" s="35">
        <f t="shared" si="81"/>
        <v>1</v>
      </c>
      <c r="R1292" s="30"/>
      <c r="S1292" s="16" t="e">
        <f>VLOOKUP(A1292,[4]Sales!$E:$G,3,FALSE)</f>
        <v>#N/A</v>
      </c>
      <c r="T1292" s="19" t="e">
        <f>VLOOKUP(A1292,[4]Volume!$E:$G,3,FALSE)</f>
        <v>#N/A</v>
      </c>
      <c r="U1292" s="19" t="e">
        <f>VLOOKUP(A1292,[4]Piece!$E:$G,3,FALSE)</f>
        <v>#N/A</v>
      </c>
      <c r="V1292" s="21" t="e">
        <f t="shared" si="82"/>
        <v>#N/A</v>
      </c>
      <c r="W1292" s="16" t="e">
        <f t="shared" si="83"/>
        <v>#N/A</v>
      </c>
    </row>
    <row r="1293" spans="1:23" hidden="1" x14ac:dyDescent="0.3">
      <c r="A1293" s="63" t="s">
        <v>2586</v>
      </c>
      <c r="B1293" s="63" t="s">
        <v>2586</v>
      </c>
      <c r="C1293" s="23" t="s">
        <v>33</v>
      </c>
      <c r="D1293" s="20" t="s">
        <v>34</v>
      </c>
      <c r="E1293" s="22" t="s">
        <v>2587</v>
      </c>
      <c r="F1293" s="24" t="str">
        <f t="shared" si="80"/>
        <v>PPG - Artex 100 GYPROC CORNICE STRIPS PK8</v>
      </c>
      <c r="G1293" s="41" t="s">
        <v>6165</v>
      </c>
      <c r="H1293" s="39" t="s">
        <v>36</v>
      </c>
      <c r="I1293" s="40" t="s">
        <v>37</v>
      </c>
      <c r="J1293" s="40" t="s">
        <v>38</v>
      </c>
      <c r="K1293" s="41" t="s">
        <v>39</v>
      </c>
      <c r="L1293" s="65">
        <v>65.27</v>
      </c>
      <c r="M1293" s="40" t="s">
        <v>40</v>
      </c>
      <c r="N1293" s="42">
        <v>3105</v>
      </c>
      <c r="O1293" s="43"/>
      <c r="P1293" s="16">
        <f>VLOOKUP(A1293,'[3]Price info'!A:H,8,FALSE)</f>
        <v>65.27</v>
      </c>
      <c r="Q1293" s="44">
        <f t="shared" si="81"/>
        <v>1</v>
      </c>
      <c r="R1293" s="40"/>
      <c r="S1293" s="16" t="e">
        <f>VLOOKUP(A1293,[4]Sales!$E:$G,3,FALSE)</f>
        <v>#N/A</v>
      </c>
      <c r="T1293" s="19" t="e">
        <f>VLOOKUP(A1293,[4]Volume!$E:$G,3,FALSE)</f>
        <v>#N/A</v>
      </c>
      <c r="U1293" s="19" t="e">
        <f>VLOOKUP(A1293,[4]Piece!$E:$G,3,FALSE)</f>
        <v>#N/A</v>
      </c>
      <c r="V1293" s="21" t="e">
        <f t="shared" si="82"/>
        <v>#N/A</v>
      </c>
      <c r="W1293" s="16" t="e">
        <f t="shared" si="83"/>
        <v>#N/A</v>
      </c>
    </row>
    <row r="1294" spans="1:23" hidden="1" x14ac:dyDescent="0.3">
      <c r="A1294" s="61" t="s">
        <v>2588</v>
      </c>
      <c r="B1294" s="61" t="s">
        <v>2588</v>
      </c>
      <c r="C1294" s="23" t="s">
        <v>33</v>
      </c>
      <c r="D1294" s="20" t="s">
        <v>34</v>
      </c>
      <c r="E1294" s="22" t="s">
        <v>2589</v>
      </c>
      <c r="F1294" s="24" t="str">
        <f t="shared" si="80"/>
        <v>PPG - Johnstones BLACK BITUMEN - Black  - 2.5ltr</v>
      </c>
      <c r="G1294" s="23" t="s">
        <v>6166</v>
      </c>
      <c r="H1294" s="25" t="s">
        <v>36</v>
      </c>
      <c r="I1294" s="18" t="s">
        <v>37</v>
      </c>
      <c r="J1294" s="18" t="s">
        <v>38</v>
      </c>
      <c r="K1294" t="s">
        <v>39</v>
      </c>
      <c r="L1294" s="26">
        <v>12.43</v>
      </c>
      <c r="M1294" s="18" t="s">
        <v>40</v>
      </c>
      <c r="N1294" s="20">
        <v>3105</v>
      </c>
      <c r="P1294" s="16">
        <f>VLOOKUP(A1294,'[3]Price info'!A:H,8,FALSE)</f>
        <v>12.43</v>
      </c>
      <c r="Q1294" s="33">
        <f t="shared" si="81"/>
        <v>1</v>
      </c>
      <c r="S1294" s="16">
        <f>VLOOKUP(A1294,[4]Sales!$E:$G,3,FALSE)</f>
        <v>49.72</v>
      </c>
      <c r="T1294" s="19">
        <f>VLOOKUP(A1294,[4]Volume!$E:$G,3,FALSE)</f>
        <v>10</v>
      </c>
      <c r="U1294" s="19">
        <f>VLOOKUP(A1294,[4]Piece!$E:$G,3,FALSE)</f>
        <v>4</v>
      </c>
      <c r="V1294" s="21">
        <f t="shared" si="82"/>
        <v>49.72</v>
      </c>
      <c r="W1294" s="16">
        <f t="shared" si="83"/>
        <v>0</v>
      </c>
    </row>
    <row r="1295" spans="1:23" hidden="1" x14ac:dyDescent="0.3">
      <c r="A1295" s="61" t="s">
        <v>2590</v>
      </c>
      <c r="B1295" s="61" t="s">
        <v>2590</v>
      </c>
      <c r="C1295" s="23" t="s">
        <v>33</v>
      </c>
      <c r="D1295" s="20" t="s">
        <v>34</v>
      </c>
      <c r="E1295" s="22" t="s">
        <v>2591</v>
      </c>
      <c r="F1295" s="24" t="str">
        <f t="shared" si="80"/>
        <v>PPG - ProGold SHORT PILE POLYESTER ROLLER 9"</v>
      </c>
      <c r="G1295" s="23" t="s">
        <v>6167</v>
      </c>
      <c r="H1295" s="25" t="s">
        <v>36</v>
      </c>
      <c r="I1295" s="18" t="s">
        <v>37</v>
      </c>
      <c r="J1295" s="18" t="s">
        <v>38</v>
      </c>
      <c r="K1295" t="s">
        <v>39</v>
      </c>
      <c r="L1295" s="26">
        <v>4.45</v>
      </c>
      <c r="M1295" s="18" t="s">
        <v>40</v>
      </c>
      <c r="N1295" s="20">
        <v>3105</v>
      </c>
      <c r="P1295" s="16">
        <f>VLOOKUP(A1295,'[3]Price info'!A:H,8,FALSE)</f>
        <v>4.45</v>
      </c>
      <c r="Q1295" s="33">
        <f t="shared" si="81"/>
        <v>1</v>
      </c>
      <c r="S1295" s="16" t="e">
        <f>VLOOKUP(A1295,[4]Sales!$E:$G,3,FALSE)</f>
        <v>#N/A</v>
      </c>
      <c r="T1295" s="19" t="e">
        <f>VLOOKUP(A1295,[4]Volume!$E:$G,3,FALSE)</f>
        <v>#N/A</v>
      </c>
      <c r="U1295" s="19" t="e">
        <f>VLOOKUP(A1295,[4]Piece!$E:$G,3,FALSE)</f>
        <v>#N/A</v>
      </c>
      <c r="V1295" s="21" t="e">
        <f t="shared" si="82"/>
        <v>#N/A</v>
      </c>
      <c r="W1295" s="16" t="e">
        <f t="shared" si="83"/>
        <v>#N/A</v>
      </c>
    </row>
    <row r="1296" spans="1:23" hidden="1" x14ac:dyDescent="0.3">
      <c r="A1296" s="61" t="s">
        <v>2592</v>
      </c>
      <c r="B1296" s="61" t="s">
        <v>2592</v>
      </c>
      <c r="C1296" s="23" t="s">
        <v>33</v>
      </c>
      <c r="D1296" s="20" t="s">
        <v>34</v>
      </c>
      <c r="E1296" s="22" t="s">
        <v>2593</v>
      </c>
      <c r="F1296" s="24" t="str">
        <f t="shared" si="80"/>
        <v>PPG - FatHog EVOLUTION TROUSER 44" WHITE</v>
      </c>
      <c r="G1296" s="23" t="s">
        <v>6168</v>
      </c>
      <c r="H1296" s="25" t="s">
        <v>36</v>
      </c>
      <c r="I1296" s="18" t="s">
        <v>37</v>
      </c>
      <c r="J1296" s="18" t="s">
        <v>38</v>
      </c>
      <c r="K1296" t="s">
        <v>39</v>
      </c>
      <c r="L1296" s="26">
        <v>54.07</v>
      </c>
      <c r="M1296" s="18" t="s">
        <v>40</v>
      </c>
      <c r="N1296" s="20">
        <v>3105</v>
      </c>
      <c r="P1296" s="16">
        <f>VLOOKUP(A1296,'[3]Price info'!A:H,8,FALSE)</f>
        <v>46.81</v>
      </c>
      <c r="Q1296" s="27">
        <f t="shared" si="81"/>
        <v>0.86572960976511937</v>
      </c>
      <c r="S1296" s="16" t="e">
        <f>VLOOKUP(A1296,[4]Sales!$E:$G,3,FALSE)</f>
        <v>#N/A</v>
      </c>
      <c r="T1296" s="19" t="e">
        <f>VLOOKUP(A1296,[4]Volume!$E:$G,3,FALSE)</f>
        <v>#N/A</v>
      </c>
      <c r="U1296" s="19" t="e">
        <f>VLOOKUP(A1296,[4]Piece!$E:$G,3,FALSE)</f>
        <v>#N/A</v>
      </c>
      <c r="V1296" s="21" t="e">
        <f t="shared" si="82"/>
        <v>#N/A</v>
      </c>
      <c r="W1296" s="16" t="e">
        <f t="shared" si="83"/>
        <v>#N/A</v>
      </c>
    </row>
    <row r="1297" spans="1:23" hidden="1" x14ac:dyDescent="0.3">
      <c r="A1297" s="61" t="s">
        <v>2594</v>
      </c>
      <c r="B1297" s="61" t="s">
        <v>2594</v>
      </c>
      <c r="C1297" s="23" t="s">
        <v>33</v>
      </c>
      <c r="D1297" s="20" t="s">
        <v>34</v>
      </c>
      <c r="E1297" s="22" t="s">
        <v>2595</v>
      </c>
      <c r="F1297" s="24" t="str">
        <f t="shared" si="80"/>
        <v>PPG - FatHog EVO BIB &amp; BRACE  32-34" SML WHITE</v>
      </c>
      <c r="G1297" s="23" t="s">
        <v>6169</v>
      </c>
      <c r="H1297" s="25" t="s">
        <v>36</v>
      </c>
      <c r="I1297" s="18" t="s">
        <v>37</v>
      </c>
      <c r="J1297" s="18" t="s">
        <v>38</v>
      </c>
      <c r="K1297" t="s">
        <v>39</v>
      </c>
      <c r="L1297" s="26">
        <v>56.58</v>
      </c>
      <c r="M1297" s="18" t="s">
        <v>40</v>
      </c>
      <c r="N1297" s="20">
        <v>3105</v>
      </c>
      <c r="P1297" s="16">
        <f>VLOOKUP(A1297,'[3]Price info'!A:H,8,FALSE)</f>
        <v>52.41</v>
      </c>
      <c r="Q1297" s="27">
        <f t="shared" si="81"/>
        <v>0.92629904559915166</v>
      </c>
      <c r="S1297" s="16">
        <f>VLOOKUP(A1297,[4]Sales!$E:$G,3,FALSE)</f>
        <v>56.58</v>
      </c>
      <c r="T1297" s="19">
        <f>VLOOKUP(A1297,[4]Volume!$E:$G,3,FALSE)</f>
        <v>1</v>
      </c>
      <c r="U1297" s="19">
        <f>VLOOKUP(A1297,[4]Piece!$E:$G,3,FALSE)</f>
        <v>1</v>
      </c>
      <c r="V1297" s="21">
        <f t="shared" si="82"/>
        <v>52.41</v>
      </c>
      <c r="W1297" s="16">
        <f t="shared" si="83"/>
        <v>-4.1700000000000017</v>
      </c>
    </row>
    <row r="1298" spans="1:23" hidden="1" x14ac:dyDescent="0.3">
      <c r="A1298" s="61" t="s">
        <v>2596</v>
      </c>
      <c r="B1298" s="61" t="s">
        <v>2596</v>
      </c>
      <c r="C1298" s="23" t="s">
        <v>33</v>
      </c>
      <c r="D1298" s="20" t="s">
        <v>34</v>
      </c>
      <c r="E1298" s="22" t="s">
        <v>2597</v>
      </c>
      <c r="F1298" s="24" t="str">
        <f t="shared" si="80"/>
        <v>PPG - FatHog TROUSERS WHITE 44"</v>
      </c>
      <c r="G1298" s="23" t="s">
        <v>6170</v>
      </c>
      <c r="H1298" s="25" t="s">
        <v>36</v>
      </c>
      <c r="I1298" s="18" t="s">
        <v>37</v>
      </c>
      <c r="J1298" s="18" t="s">
        <v>38</v>
      </c>
      <c r="K1298" t="s">
        <v>39</v>
      </c>
      <c r="L1298" s="26">
        <v>20.36</v>
      </c>
      <c r="M1298" s="18" t="s">
        <v>40</v>
      </c>
      <c r="N1298" s="20">
        <v>3105</v>
      </c>
      <c r="P1298" s="16">
        <f>VLOOKUP(A1298,'[3]Price info'!A:H,8,FALSE)</f>
        <v>18.955159999999999</v>
      </c>
      <c r="Q1298" s="27">
        <f t="shared" si="81"/>
        <v>0.93099999999999994</v>
      </c>
      <c r="S1298" s="16">
        <f>VLOOKUP(A1298,[4]Sales!$E:$G,3,FALSE)</f>
        <v>10.96</v>
      </c>
      <c r="T1298" s="19">
        <f>VLOOKUP(A1298,[4]Volume!$E:$G,3,FALSE)</f>
        <v>1</v>
      </c>
      <c r="U1298" s="19">
        <f>VLOOKUP(A1298,[4]Piece!$E:$G,3,FALSE)</f>
        <v>1</v>
      </c>
      <c r="V1298" s="21">
        <f t="shared" si="82"/>
        <v>18.955159999999999</v>
      </c>
      <c r="W1298" s="16">
        <f t="shared" si="83"/>
        <v>7.9951599999999985</v>
      </c>
    </row>
    <row r="1299" spans="1:23" hidden="1" x14ac:dyDescent="0.3">
      <c r="A1299" s="69" t="s">
        <v>2598</v>
      </c>
      <c r="B1299" s="69" t="s">
        <v>2598</v>
      </c>
      <c r="C1299" s="47" t="s">
        <v>33</v>
      </c>
      <c r="D1299" s="48" t="s">
        <v>34</v>
      </c>
      <c r="E1299" s="22" t="s">
        <v>2599</v>
      </c>
      <c r="F1299" s="24" t="str">
        <f t="shared" si="80"/>
        <v>PPG - TESA MASK TAPE 50M X 25MM 4348</v>
      </c>
      <c r="G1299" s="20" t="s">
        <v>6171</v>
      </c>
      <c r="H1299" s="25" t="s">
        <v>36</v>
      </c>
      <c r="I1299" s="18" t="s">
        <v>37</v>
      </c>
      <c r="J1299" s="18" t="s">
        <v>38</v>
      </c>
      <c r="K1299" t="s">
        <v>39</v>
      </c>
      <c r="L1299" s="50">
        <v>2.52</v>
      </c>
      <c r="M1299" s="18" t="s">
        <v>214</v>
      </c>
      <c r="N1299" s="20">
        <v>3105</v>
      </c>
      <c r="P1299" s="16">
        <f>VLOOKUP(A1299,'[3]Price info'!A:H,8,FALSE)</f>
        <v>2.52</v>
      </c>
      <c r="Q1299" s="27">
        <f t="shared" si="81"/>
        <v>1</v>
      </c>
      <c r="S1299" s="16">
        <f>VLOOKUP(A1299,[4]Sales!$E:$G,3,FALSE)</f>
        <v>10.08</v>
      </c>
      <c r="T1299" s="19">
        <f>VLOOKUP(A1299,[4]Volume!$E:$G,3,FALSE)</f>
        <v>4</v>
      </c>
      <c r="U1299" s="19">
        <f>VLOOKUP(A1299,[4]Piece!$E:$G,3,FALSE)</f>
        <v>4</v>
      </c>
      <c r="V1299" s="21">
        <f t="shared" si="82"/>
        <v>10.08</v>
      </c>
      <c r="W1299" s="16">
        <f t="shared" si="83"/>
        <v>0</v>
      </c>
    </row>
    <row r="1300" spans="1:23" hidden="1" x14ac:dyDescent="0.3">
      <c r="A1300" s="70" t="s">
        <v>2600</v>
      </c>
      <c r="B1300" s="69" t="s">
        <v>2600</v>
      </c>
      <c r="C1300" s="47" t="s">
        <v>33</v>
      </c>
      <c r="D1300" s="48" t="s">
        <v>34</v>
      </c>
      <c r="E1300" s="22" t="s">
        <v>2601</v>
      </c>
      <c r="F1300" s="24" t="str">
        <f t="shared" si="80"/>
        <v>PPG - TESA PR MASK TAPE 50M X 38MM 4334</v>
      </c>
      <c r="G1300" s="20" t="s">
        <v>6172</v>
      </c>
      <c r="H1300" s="25" t="s">
        <v>36</v>
      </c>
      <c r="I1300" s="18" t="s">
        <v>37</v>
      </c>
      <c r="J1300" s="18" t="s">
        <v>38</v>
      </c>
      <c r="K1300" t="s">
        <v>39</v>
      </c>
      <c r="L1300" s="50">
        <v>6.21</v>
      </c>
      <c r="M1300" s="18" t="s">
        <v>214</v>
      </c>
      <c r="N1300" s="20">
        <v>3105</v>
      </c>
      <c r="P1300" s="16">
        <f>VLOOKUP(A1300,'[3]Price info'!A:H,8,FALSE)</f>
        <v>6.21</v>
      </c>
      <c r="Q1300" s="27">
        <f t="shared" si="81"/>
        <v>1</v>
      </c>
      <c r="S1300" s="16">
        <f>VLOOKUP(A1300,[4]Sales!$E:$G,3,FALSE)</f>
        <v>99.359999999999985</v>
      </c>
      <c r="T1300" s="19">
        <f>VLOOKUP(A1300,[4]Volume!$E:$G,3,FALSE)</f>
        <v>16</v>
      </c>
      <c r="U1300" s="19">
        <f>VLOOKUP(A1300,[4]Piece!$E:$G,3,FALSE)</f>
        <v>16</v>
      </c>
      <c r="V1300" s="21">
        <f t="shared" si="82"/>
        <v>99.36</v>
      </c>
      <c r="W1300" s="16">
        <f t="shared" si="83"/>
        <v>0</v>
      </c>
    </row>
    <row r="1301" spans="1:23" hidden="1" x14ac:dyDescent="0.3">
      <c r="A1301" s="70" t="s">
        <v>2602</v>
      </c>
      <c r="B1301" s="70" t="s">
        <v>2602</v>
      </c>
      <c r="C1301" s="47" t="s">
        <v>33</v>
      </c>
      <c r="D1301" s="48" t="s">
        <v>34</v>
      </c>
      <c r="E1301" s="22" t="s">
        <v>2603</v>
      </c>
      <c r="F1301" s="24" t="str">
        <f t="shared" si="80"/>
        <v>PPG - TESA 59177 ECOVER 550MMX33M</v>
      </c>
      <c r="G1301" s="20" t="s">
        <v>6173</v>
      </c>
      <c r="H1301" s="25" t="s">
        <v>36</v>
      </c>
      <c r="I1301" s="18" t="s">
        <v>37</v>
      </c>
      <c r="J1301" s="18" t="s">
        <v>38</v>
      </c>
      <c r="K1301" t="s">
        <v>39</v>
      </c>
      <c r="L1301" s="50">
        <v>5.8309999999999995</v>
      </c>
      <c r="M1301" s="18" t="s">
        <v>214</v>
      </c>
      <c r="N1301" s="20">
        <v>3105</v>
      </c>
      <c r="P1301" s="16">
        <f>VLOOKUP(A1301,'[3]Price info'!A:H,8,FALSE)</f>
        <v>5.428661</v>
      </c>
      <c r="Q1301" s="27">
        <f t="shared" si="81"/>
        <v>0.93100000000000005</v>
      </c>
      <c r="S1301" s="16" t="e">
        <f>VLOOKUP(A1301,[4]Sales!$E:$G,3,FALSE)</f>
        <v>#N/A</v>
      </c>
      <c r="T1301" s="19" t="e">
        <f>VLOOKUP(A1301,[4]Volume!$E:$G,3,FALSE)</f>
        <v>#N/A</v>
      </c>
      <c r="U1301" s="19" t="e">
        <f>VLOOKUP(A1301,[4]Piece!$E:$G,3,FALSE)</f>
        <v>#N/A</v>
      </c>
      <c r="V1301" s="21" t="e">
        <f t="shared" si="82"/>
        <v>#N/A</v>
      </c>
      <c r="W1301" s="16" t="e">
        <f t="shared" si="83"/>
        <v>#N/A</v>
      </c>
    </row>
    <row r="1302" spans="1:23" hidden="1" x14ac:dyDescent="0.3">
      <c r="A1302" s="70" t="s">
        <v>2604</v>
      </c>
      <c r="B1302" s="70" t="s">
        <v>2604</v>
      </c>
      <c r="C1302" s="47" t="s">
        <v>33</v>
      </c>
      <c r="D1302" s="48" t="s">
        <v>34</v>
      </c>
      <c r="E1302" s="22" t="s">
        <v>2605</v>
      </c>
      <c r="F1302" s="24" t="str">
        <f t="shared" si="80"/>
        <v>PPG - TESA 4368 ECOVER  550MMX33M</v>
      </c>
      <c r="G1302" s="20" t="s">
        <v>6174</v>
      </c>
      <c r="H1302" s="25" t="s">
        <v>36</v>
      </c>
      <c r="I1302" s="18" t="s">
        <v>37</v>
      </c>
      <c r="J1302" s="18" t="s">
        <v>38</v>
      </c>
      <c r="K1302" t="s">
        <v>39</v>
      </c>
      <c r="L1302" s="50">
        <v>3.4510000000000005</v>
      </c>
      <c r="M1302" s="18" t="s">
        <v>214</v>
      </c>
      <c r="N1302" s="20">
        <v>3105</v>
      </c>
      <c r="P1302" s="16">
        <f>VLOOKUP(A1302,'[3]Price info'!A:H,8,FALSE)</f>
        <v>3.4510000000000005</v>
      </c>
      <c r="Q1302" s="27">
        <f t="shared" si="81"/>
        <v>1</v>
      </c>
      <c r="S1302" s="16" t="e">
        <f>VLOOKUP(A1302,[4]Sales!$E:$G,3,FALSE)</f>
        <v>#N/A</v>
      </c>
      <c r="T1302" s="19" t="e">
        <f>VLOOKUP(A1302,[4]Volume!$E:$G,3,FALSE)</f>
        <v>#N/A</v>
      </c>
      <c r="U1302" s="19" t="e">
        <f>VLOOKUP(A1302,[4]Piece!$E:$G,3,FALSE)</f>
        <v>#N/A</v>
      </c>
      <c r="V1302" s="21" t="e">
        <f t="shared" si="82"/>
        <v>#N/A</v>
      </c>
      <c r="W1302" s="16" t="e">
        <f t="shared" si="83"/>
        <v>#N/A</v>
      </c>
    </row>
    <row r="1303" spans="1:23" hidden="1" x14ac:dyDescent="0.3">
      <c r="A1303" s="70" t="s">
        <v>2606</v>
      </c>
      <c r="B1303" s="70" t="s">
        <v>2606</v>
      </c>
      <c r="C1303" s="47" t="s">
        <v>33</v>
      </c>
      <c r="D1303" s="48" t="s">
        <v>34</v>
      </c>
      <c r="E1303" s="22" t="s">
        <v>2607</v>
      </c>
      <c r="F1303" s="24" t="str">
        <f t="shared" si="80"/>
        <v>PPG - TESA BDPLAST TAPE 33M X 50MM 67001</v>
      </c>
      <c r="G1303" s="20" t="s">
        <v>6175</v>
      </c>
      <c r="H1303" s="25" t="s">
        <v>36</v>
      </c>
      <c r="I1303" s="18" t="s">
        <v>37</v>
      </c>
      <c r="J1303" s="18" t="s">
        <v>38</v>
      </c>
      <c r="K1303" t="s">
        <v>39</v>
      </c>
      <c r="L1303" s="50">
        <v>5.9</v>
      </c>
      <c r="M1303" s="18" t="s">
        <v>214</v>
      </c>
      <c r="N1303" s="20">
        <v>3105</v>
      </c>
      <c r="P1303" s="16">
        <f>VLOOKUP(A1303,'[3]Price info'!A:H,8,FALSE)</f>
        <v>5.9</v>
      </c>
      <c r="Q1303" s="27">
        <f t="shared" si="81"/>
        <v>1</v>
      </c>
      <c r="S1303" s="16">
        <f>VLOOKUP(A1303,[4]Sales!$E:$G,3,FALSE)</f>
        <v>5.9</v>
      </c>
      <c r="T1303" s="19">
        <f>VLOOKUP(A1303,[4]Volume!$E:$G,3,FALSE)</f>
        <v>1</v>
      </c>
      <c r="U1303" s="19">
        <f>VLOOKUP(A1303,[4]Piece!$E:$G,3,FALSE)</f>
        <v>1</v>
      </c>
      <c r="V1303" s="21">
        <f t="shared" si="82"/>
        <v>5.9</v>
      </c>
      <c r="W1303" s="16">
        <f t="shared" si="83"/>
        <v>0</v>
      </c>
    </row>
    <row r="1304" spans="1:23" hidden="1" x14ac:dyDescent="0.3">
      <c r="A1304" s="71" t="s">
        <v>2608</v>
      </c>
      <c r="B1304" s="71" t="s">
        <v>2608</v>
      </c>
      <c r="C1304" s="51" t="s">
        <v>33</v>
      </c>
      <c r="D1304" s="48" t="s">
        <v>34</v>
      </c>
      <c r="E1304" s="93" t="s">
        <v>7400</v>
      </c>
      <c r="F1304" s="24" t="str">
        <f t="shared" si="80"/>
        <v>PPG - Mirka Hose 27mm x 4m for Electric Machines</v>
      </c>
      <c r="G1304" s="20" t="s">
        <v>6176</v>
      </c>
      <c r="H1304" s="49" t="s">
        <v>213</v>
      </c>
      <c r="I1304" s="18" t="s">
        <v>37</v>
      </c>
      <c r="J1304" s="18" t="s">
        <v>38</v>
      </c>
      <c r="K1304" t="s">
        <v>39</v>
      </c>
      <c r="L1304" s="50">
        <f>VLOOKUP(A1304,'[3]Price info'!A:D,4,FALSE)</f>
        <v>50.65</v>
      </c>
      <c r="M1304" s="18" t="s">
        <v>214</v>
      </c>
      <c r="N1304" s="20">
        <v>3105</v>
      </c>
      <c r="P1304" s="16">
        <v>49.6</v>
      </c>
      <c r="Q1304" s="17">
        <f t="shared" si="81"/>
        <v>0.97926949654491613</v>
      </c>
      <c r="S1304" s="16" t="e">
        <f>VLOOKUP(A1304,[4]Sales!$E:$G,3,FALSE)</f>
        <v>#N/A</v>
      </c>
      <c r="T1304" s="19" t="e">
        <f>VLOOKUP(A1304,[4]Volume!$E:$G,3,FALSE)</f>
        <v>#N/A</v>
      </c>
      <c r="U1304" s="19" t="e">
        <f>VLOOKUP(A1304,[4]Piece!$E:$G,3,FALSE)</f>
        <v>#N/A</v>
      </c>
      <c r="V1304" s="21" t="e">
        <f t="shared" si="82"/>
        <v>#N/A</v>
      </c>
      <c r="W1304" s="16" t="e">
        <f t="shared" si="83"/>
        <v>#N/A</v>
      </c>
    </row>
    <row r="1305" spans="1:23" hidden="1" x14ac:dyDescent="0.3">
      <c r="A1305" s="71" t="s">
        <v>2609</v>
      </c>
      <c r="B1305" s="71" t="s">
        <v>2609</v>
      </c>
      <c r="C1305" s="47" t="s">
        <v>33</v>
      </c>
      <c r="D1305" s="48" t="s">
        <v>34</v>
      </c>
      <c r="E1305" s="18" t="s">
        <v>2610</v>
      </c>
      <c r="F1305" s="24" t="str">
        <f t="shared" si="80"/>
        <v>PPG - PURDY SPRIG ELITE  1.5" BRUSH</v>
      </c>
      <c r="G1305" s="20" t="s">
        <v>6177</v>
      </c>
      <c r="H1305" s="49" t="s">
        <v>213</v>
      </c>
      <c r="I1305" s="18" t="s">
        <v>37</v>
      </c>
      <c r="J1305" s="18" t="s">
        <v>38</v>
      </c>
      <c r="K1305" t="s">
        <v>39</v>
      </c>
      <c r="L1305" s="50">
        <f>VLOOKUP(A1305,'[3]Price info'!A:D,4,FALSE)</f>
        <v>15.79</v>
      </c>
      <c r="M1305" s="18" t="s">
        <v>214</v>
      </c>
      <c r="N1305" s="20">
        <v>3105</v>
      </c>
      <c r="P1305" s="16">
        <f>VLOOKUP(A1305,'[3]Price info'!A:H,8,FALSE)</f>
        <v>14.70049</v>
      </c>
      <c r="Q1305" s="17">
        <f t="shared" si="81"/>
        <v>0.93100000000000005</v>
      </c>
      <c r="S1305" s="16" t="e">
        <f>VLOOKUP(A1305,[4]Sales!$E:$G,3,FALSE)</f>
        <v>#N/A</v>
      </c>
      <c r="T1305" s="19" t="e">
        <f>VLOOKUP(A1305,[4]Volume!$E:$G,3,FALSE)</f>
        <v>#N/A</v>
      </c>
      <c r="U1305" s="19" t="e">
        <f>VLOOKUP(A1305,[4]Piece!$E:$G,3,FALSE)</f>
        <v>#N/A</v>
      </c>
      <c r="V1305" s="21" t="e">
        <f t="shared" si="82"/>
        <v>#N/A</v>
      </c>
      <c r="W1305" s="16" t="e">
        <f t="shared" si="83"/>
        <v>#N/A</v>
      </c>
    </row>
    <row r="1306" spans="1:23" hidden="1" x14ac:dyDescent="0.3">
      <c r="A1306" s="71" t="s">
        <v>2611</v>
      </c>
      <c r="B1306" s="71" t="s">
        <v>2611</v>
      </c>
      <c r="C1306" s="47" t="s">
        <v>33</v>
      </c>
      <c r="D1306" s="48" t="s">
        <v>34</v>
      </c>
      <c r="E1306" s="18" t="s">
        <v>2612</v>
      </c>
      <c r="F1306" s="24" t="str">
        <f t="shared" si="80"/>
        <v>PPG - TESA  DUCT TAPE SI 50M X 48MM 4613</v>
      </c>
      <c r="G1306" s="20" t="s">
        <v>6178</v>
      </c>
      <c r="H1306" s="49" t="s">
        <v>213</v>
      </c>
      <c r="I1306" s="18" t="s">
        <v>37</v>
      </c>
      <c r="J1306" s="18" t="s">
        <v>38</v>
      </c>
      <c r="K1306" t="s">
        <v>39</v>
      </c>
      <c r="L1306" s="50">
        <f>VLOOKUP(A1306,'[3]Price info'!A:D,4,FALSE)</f>
        <v>9.69</v>
      </c>
      <c r="M1306" s="18" t="s">
        <v>214</v>
      </c>
      <c r="N1306" s="20">
        <v>3105</v>
      </c>
      <c r="P1306" s="16">
        <f>VLOOKUP(A1306,'[3]Price info'!A:H,8,FALSE)</f>
        <v>4.6500000000000004</v>
      </c>
      <c r="Q1306" s="17">
        <f t="shared" si="81"/>
        <v>0.47987616099071212</v>
      </c>
      <c r="S1306" s="16" t="e">
        <f>VLOOKUP(A1306,[4]Sales!$E:$G,3,FALSE)</f>
        <v>#N/A</v>
      </c>
      <c r="T1306" s="19" t="e">
        <f>VLOOKUP(A1306,[4]Volume!$E:$G,3,FALSE)</f>
        <v>#N/A</v>
      </c>
      <c r="U1306" s="19" t="e">
        <f>VLOOKUP(A1306,[4]Piece!$E:$G,3,FALSE)</f>
        <v>#N/A</v>
      </c>
      <c r="V1306" s="21" t="e">
        <f t="shared" si="82"/>
        <v>#N/A</v>
      </c>
      <c r="W1306" s="16" t="e">
        <f t="shared" si="83"/>
        <v>#N/A</v>
      </c>
    </row>
    <row r="1307" spans="1:23" hidden="1" x14ac:dyDescent="0.3">
      <c r="A1307" s="71" t="s">
        <v>2613</v>
      </c>
      <c r="B1307" s="71" t="s">
        <v>2613</v>
      </c>
      <c r="C1307" s="51" t="s">
        <v>33</v>
      </c>
      <c r="D1307" s="48" t="s">
        <v>34</v>
      </c>
      <c r="E1307" s="18" t="s">
        <v>2614</v>
      </c>
      <c r="F1307" s="24" t="str">
        <f t="shared" si="80"/>
        <v>PPG - UB    COLOUR READR PRO CRP100</v>
      </c>
      <c r="G1307" s="20" t="s">
        <v>6179</v>
      </c>
      <c r="H1307" s="49" t="s">
        <v>213</v>
      </c>
      <c r="I1307" s="18" t="s">
        <v>37</v>
      </c>
      <c r="J1307" s="18" t="s">
        <v>38</v>
      </c>
      <c r="K1307" t="s">
        <v>39</v>
      </c>
      <c r="L1307" s="50">
        <f>VLOOKUP(A1307,'[3]Price info'!A:D,4,FALSE)</f>
        <v>276.89999999999998</v>
      </c>
      <c r="M1307" s="18" t="s">
        <v>214</v>
      </c>
      <c r="N1307" s="20">
        <v>3105</v>
      </c>
      <c r="P1307" s="16">
        <f>VLOOKUP(A1307,'[3]Price info'!A:H,8,FALSE)</f>
        <v>257.79390000000001</v>
      </c>
      <c r="Q1307" s="17">
        <f t="shared" si="81"/>
        <v>0.93100000000000005</v>
      </c>
      <c r="S1307" s="16" t="e">
        <f>VLOOKUP(A1307,[4]Sales!$E:$G,3,FALSE)</f>
        <v>#N/A</v>
      </c>
      <c r="T1307" s="19" t="e">
        <f>VLOOKUP(A1307,[4]Volume!$E:$G,3,FALSE)</f>
        <v>#N/A</v>
      </c>
      <c r="U1307" s="19" t="e">
        <f>VLOOKUP(A1307,[4]Piece!$E:$G,3,FALSE)</f>
        <v>#N/A</v>
      </c>
      <c r="V1307" s="21" t="e">
        <f t="shared" si="82"/>
        <v>#N/A</v>
      </c>
      <c r="W1307" s="16" t="e">
        <f t="shared" si="83"/>
        <v>#N/A</v>
      </c>
    </row>
    <row r="1308" spans="1:23" hidden="1" x14ac:dyDescent="0.3">
      <c r="A1308" s="71" t="s">
        <v>2615</v>
      </c>
      <c r="B1308" s="71" t="s">
        <v>2615</v>
      </c>
      <c r="C1308" s="47" t="s">
        <v>33</v>
      </c>
      <c r="D1308" s="48" t="s">
        <v>34</v>
      </c>
      <c r="E1308" s="18" t="s">
        <v>2616</v>
      </c>
      <c r="F1308" s="24" t="str">
        <f t="shared" si="80"/>
        <v>PPG - A'COAT 385 SET BLACK          9000AM2200</v>
      </c>
      <c r="G1308" s="20" t="s">
        <v>6180</v>
      </c>
      <c r="H1308" s="49" t="s">
        <v>213</v>
      </c>
      <c r="I1308" s="18" t="s">
        <v>37</v>
      </c>
      <c r="J1308" s="18" t="s">
        <v>38</v>
      </c>
      <c r="K1308" t="s">
        <v>39</v>
      </c>
      <c r="L1308" s="50">
        <f>VLOOKUP(A1308,'[3]Price info'!A:D,4,FALSE)</f>
        <v>483.12</v>
      </c>
      <c r="M1308" s="18" t="s">
        <v>214</v>
      </c>
      <c r="N1308" s="20">
        <v>3105</v>
      </c>
      <c r="P1308" s="16">
        <f>VLOOKUP(A1308,'[3]Price info'!A:H,8,FALSE)</f>
        <v>483.12</v>
      </c>
      <c r="Q1308" s="17">
        <f t="shared" si="81"/>
        <v>1</v>
      </c>
      <c r="S1308" s="16" t="e">
        <f>VLOOKUP(A1308,[4]Sales!$E:$G,3,FALSE)</f>
        <v>#N/A</v>
      </c>
      <c r="T1308" s="19" t="e">
        <f>VLOOKUP(A1308,[4]Volume!$E:$G,3,FALSE)</f>
        <v>#N/A</v>
      </c>
      <c r="U1308" s="19" t="e">
        <f>VLOOKUP(A1308,[4]Piece!$E:$G,3,FALSE)</f>
        <v>#N/A</v>
      </c>
      <c r="V1308" s="21" t="e">
        <f t="shared" si="82"/>
        <v>#N/A</v>
      </c>
      <c r="W1308" s="16" t="e">
        <f t="shared" si="83"/>
        <v>#N/A</v>
      </c>
    </row>
    <row r="1309" spans="1:23" hidden="1" x14ac:dyDescent="0.3">
      <c r="A1309" s="71" t="s">
        <v>2617</v>
      </c>
      <c r="B1309" s="71" t="s">
        <v>2617</v>
      </c>
      <c r="C1309" s="47" t="s">
        <v>33</v>
      </c>
      <c r="D1309" s="48" t="s">
        <v>34</v>
      </c>
      <c r="E1309" s="18" t="s">
        <v>2618</v>
      </c>
      <c r="F1309" s="24" t="str">
        <f t="shared" si="80"/>
        <v>PPG - A'COAT 385 SET RAL            1004261500</v>
      </c>
      <c r="G1309" s="20" t="s">
        <v>6181</v>
      </c>
      <c r="H1309" s="49" t="s">
        <v>213</v>
      </c>
      <c r="I1309" s="18" t="s">
        <v>37</v>
      </c>
      <c r="J1309" s="18" t="s">
        <v>38</v>
      </c>
      <c r="K1309" t="s">
        <v>39</v>
      </c>
      <c r="L1309" s="50">
        <f>VLOOKUP(A1309,'[3]Price info'!A:D,4,FALSE)</f>
        <v>134.74</v>
      </c>
      <c r="M1309" s="18" t="s">
        <v>214</v>
      </c>
      <c r="N1309" s="20">
        <v>3105</v>
      </c>
      <c r="P1309" s="16">
        <f>VLOOKUP(A1309,'[3]Price info'!A:H,8,FALSE)</f>
        <v>134.74</v>
      </c>
      <c r="Q1309" s="17">
        <f t="shared" si="81"/>
        <v>1</v>
      </c>
      <c r="S1309" s="16" t="e">
        <f>VLOOKUP(A1309,[4]Sales!$E:$G,3,FALSE)</f>
        <v>#N/A</v>
      </c>
      <c r="T1309" s="19" t="e">
        <f>VLOOKUP(A1309,[4]Volume!$E:$G,3,FALSE)</f>
        <v>#N/A</v>
      </c>
      <c r="U1309" s="19" t="e">
        <f>VLOOKUP(A1309,[4]Piece!$E:$G,3,FALSE)</f>
        <v>#N/A</v>
      </c>
      <c r="V1309" s="21" t="e">
        <f t="shared" si="82"/>
        <v>#N/A</v>
      </c>
      <c r="W1309" s="16" t="e">
        <f t="shared" si="83"/>
        <v>#N/A</v>
      </c>
    </row>
    <row r="1310" spans="1:23" hidden="1" x14ac:dyDescent="0.3">
      <c r="A1310" s="71" t="s">
        <v>2619</v>
      </c>
      <c r="B1310" s="71" t="s">
        <v>2619</v>
      </c>
      <c r="C1310" s="51" t="s">
        <v>33</v>
      </c>
      <c r="D1310" s="48" t="s">
        <v>34</v>
      </c>
      <c r="E1310" s="18" t="s">
        <v>2620</v>
      </c>
      <c r="F1310" s="24" t="str">
        <f t="shared" si="80"/>
        <v>PPG - A'COAT 385 SET RAL            1004262200</v>
      </c>
      <c r="G1310" s="20" t="s">
        <v>6182</v>
      </c>
      <c r="H1310" s="49" t="s">
        <v>213</v>
      </c>
      <c r="I1310" s="18" t="s">
        <v>37</v>
      </c>
      <c r="J1310" s="18" t="s">
        <v>38</v>
      </c>
      <c r="K1310" t="s">
        <v>39</v>
      </c>
      <c r="L1310" s="50">
        <f>VLOOKUP(A1310,'[3]Price info'!A:D,4,FALSE)</f>
        <v>487.69</v>
      </c>
      <c r="M1310" s="18" t="s">
        <v>214</v>
      </c>
      <c r="N1310" s="20">
        <v>3105</v>
      </c>
      <c r="P1310" s="16">
        <f>VLOOKUP(A1310,'[3]Price info'!A:H,8,FALSE)</f>
        <v>487.69</v>
      </c>
      <c r="Q1310" s="17">
        <f t="shared" si="81"/>
        <v>1</v>
      </c>
      <c r="S1310" s="16" t="e">
        <f>VLOOKUP(A1310,[4]Sales!$E:$G,3,FALSE)</f>
        <v>#N/A</v>
      </c>
      <c r="T1310" s="19" t="e">
        <f>VLOOKUP(A1310,[4]Volume!$E:$G,3,FALSE)</f>
        <v>#N/A</v>
      </c>
      <c r="U1310" s="19" t="e">
        <f>VLOOKUP(A1310,[4]Piece!$E:$G,3,FALSE)</f>
        <v>#N/A</v>
      </c>
      <c r="V1310" s="21" t="e">
        <f t="shared" si="82"/>
        <v>#N/A</v>
      </c>
      <c r="W1310" s="16" t="e">
        <f t="shared" si="83"/>
        <v>#N/A</v>
      </c>
    </row>
    <row r="1311" spans="1:23" hidden="1" x14ac:dyDescent="0.3">
      <c r="A1311" s="71" t="s">
        <v>2621</v>
      </c>
      <c r="B1311" s="71" t="s">
        <v>2621</v>
      </c>
      <c r="C1311" s="47" t="s">
        <v>33</v>
      </c>
      <c r="D1311" s="48" t="s">
        <v>34</v>
      </c>
      <c r="E1311" s="18" t="s">
        <v>2622</v>
      </c>
      <c r="F1311" s="24" t="str">
        <f t="shared" si="80"/>
        <v>PPG - A'COAT 385 SET RAL            7035261500</v>
      </c>
      <c r="G1311" s="20" t="s">
        <v>6183</v>
      </c>
      <c r="H1311" s="49" t="s">
        <v>213</v>
      </c>
      <c r="I1311" s="18" t="s">
        <v>37</v>
      </c>
      <c r="J1311" s="18" t="s">
        <v>38</v>
      </c>
      <c r="K1311" t="s">
        <v>39</v>
      </c>
      <c r="L1311" s="50">
        <f>VLOOKUP(A1311,'[3]Price info'!A:D,4,FALSE)</f>
        <v>134.74</v>
      </c>
      <c r="M1311" s="18" t="s">
        <v>214</v>
      </c>
      <c r="N1311" s="20">
        <v>3105</v>
      </c>
      <c r="P1311" s="16">
        <f>VLOOKUP(A1311,'[3]Price info'!A:H,8,FALSE)</f>
        <v>134.74</v>
      </c>
      <c r="Q1311" s="17">
        <f t="shared" si="81"/>
        <v>1</v>
      </c>
      <c r="S1311" s="16" t="e">
        <f>VLOOKUP(A1311,[4]Sales!$E:$G,3,FALSE)</f>
        <v>#N/A</v>
      </c>
      <c r="T1311" s="19" t="e">
        <f>VLOOKUP(A1311,[4]Volume!$E:$G,3,FALSE)</f>
        <v>#N/A</v>
      </c>
      <c r="U1311" s="19" t="e">
        <f>VLOOKUP(A1311,[4]Piece!$E:$G,3,FALSE)</f>
        <v>#N/A</v>
      </c>
      <c r="V1311" s="21" t="e">
        <f t="shared" si="82"/>
        <v>#N/A</v>
      </c>
      <c r="W1311" s="16" t="e">
        <f t="shared" si="83"/>
        <v>#N/A</v>
      </c>
    </row>
    <row r="1312" spans="1:23" hidden="1" x14ac:dyDescent="0.3">
      <c r="A1312" s="71" t="s">
        <v>2623</v>
      </c>
      <c r="B1312" s="71" t="s">
        <v>2623</v>
      </c>
      <c r="C1312" s="47" t="s">
        <v>33</v>
      </c>
      <c r="D1312" s="48" t="s">
        <v>34</v>
      </c>
      <c r="E1312" s="18" t="s">
        <v>2624</v>
      </c>
      <c r="F1312" s="24" t="str">
        <f t="shared" si="80"/>
        <v>PPG - A'COAT 385 SET WHITE          3000AM1500</v>
      </c>
      <c r="G1312" s="20" t="s">
        <v>6184</v>
      </c>
      <c r="H1312" s="49" t="s">
        <v>213</v>
      </c>
      <c r="I1312" s="18" t="s">
        <v>37</v>
      </c>
      <c r="J1312" s="18" t="s">
        <v>38</v>
      </c>
      <c r="K1312" t="s">
        <v>39</v>
      </c>
      <c r="L1312" s="50">
        <f>VLOOKUP(A1312,'[3]Price info'!A:D,4,FALSE)</f>
        <v>134.74</v>
      </c>
      <c r="M1312" s="18" t="s">
        <v>214</v>
      </c>
      <c r="N1312" s="20">
        <v>3105</v>
      </c>
      <c r="P1312" s="16">
        <f>VLOOKUP(A1312,'[3]Price info'!A:H,8,FALSE)</f>
        <v>134.74</v>
      </c>
      <c r="Q1312" s="17">
        <f t="shared" si="81"/>
        <v>1</v>
      </c>
      <c r="S1312" s="16" t="e">
        <f>VLOOKUP(A1312,[4]Sales!$E:$G,3,FALSE)</f>
        <v>#N/A</v>
      </c>
      <c r="T1312" s="19" t="e">
        <f>VLOOKUP(A1312,[4]Volume!$E:$G,3,FALSE)</f>
        <v>#N/A</v>
      </c>
      <c r="U1312" s="19" t="e">
        <f>VLOOKUP(A1312,[4]Piece!$E:$G,3,FALSE)</f>
        <v>#N/A</v>
      </c>
      <c r="V1312" s="21" t="e">
        <f t="shared" si="82"/>
        <v>#N/A</v>
      </c>
      <c r="W1312" s="16" t="e">
        <f t="shared" si="83"/>
        <v>#N/A</v>
      </c>
    </row>
    <row r="1313" spans="1:23" hidden="1" x14ac:dyDescent="0.3">
      <c r="A1313" s="71" t="s">
        <v>2625</v>
      </c>
      <c r="B1313" s="71" t="s">
        <v>2625</v>
      </c>
      <c r="C1313" s="51" t="s">
        <v>33</v>
      </c>
      <c r="D1313" s="48" t="s">
        <v>34</v>
      </c>
      <c r="E1313" s="18" t="s">
        <v>2626</v>
      </c>
      <c r="F1313" s="24" t="str">
        <f t="shared" si="80"/>
        <v>PPG - A'COAT 450E SET LIEB GREY     2000AM1500</v>
      </c>
      <c r="G1313" s="20" t="s">
        <v>6185</v>
      </c>
      <c r="H1313" s="49" t="s">
        <v>213</v>
      </c>
      <c r="I1313" s="18" t="s">
        <v>37</v>
      </c>
      <c r="J1313" s="18" t="s">
        <v>38</v>
      </c>
      <c r="K1313" t="s">
        <v>39</v>
      </c>
      <c r="L1313" s="50">
        <f>VLOOKUP(A1313,'[3]Price info'!A:D,4,FALSE)</f>
        <v>252.54</v>
      </c>
      <c r="M1313" s="18" t="s">
        <v>214</v>
      </c>
      <c r="N1313" s="20">
        <v>3105</v>
      </c>
      <c r="P1313" s="16">
        <f>VLOOKUP(A1313,'[3]Price info'!A:H,8,FALSE)</f>
        <v>252.54</v>
      </c>
      <c r="Q1313" s="17">
        <f t="shared" si="81"/>
        <v>1</v>
      </c>
      <c r="S1313" s="16" t="e">
        <f>VLOOKUP(A1313,[4]Sales!$E:$G,3,FALSE)</f>
        <v>#N/A</v>
      </c>
      <c r="T1313" s="19" t="e">
        <f>VLOOKUP(A1313,[4]Volume!$E:$G,3,FALSE)</f>
        <v>#N/A</v>
      </c>
      <c r="U1313" s="19" t="e">
        <f>VLOOKUP(A1313,[4]Piece!$E:$G,3,FALSE)</f>
        <v>#N/A</v>
      </c>
      <c r="V1313" s="21" t="e">
        <f t="shared" si="82"/>
        <v>#N/A</v>
      </c>
      <c r="W1313" s="16" t="e">
        <f t="shared" si="83"/>
        <v>#N/A</v>
      </c>
    </row>
    <row r="1314" spans="1:23" hidden="1" x14ac:dyDescent="0.3">
      <c r="A1314" s="71" t="s">
        <v>2627</v>
      </c>
      <c r="B1314" s="71" t="s">
        <v>2627</v>
      </c>
      <c r="C1314" s="47" t="s">
        <v>33</v>
      </c>
      <c r="D1314" s="48" t="s">
        <v>34</v>
      </c>
      <c r="E1314" s="18" t="s">
        <v>2628</v>
      </c>
      <c r="F1314" s="24" t="str">
        <f t="shared" si="80"/>
        <v>PPG - A'COAT 450E SET LIEB GREY     2000AM2200</v>
      </c>
      <c r="G1314" s="20" t="s">
        <v>6186</v>
      </c>
      <c r="H1314" s="49" t="s">
        <v>213</v>
      </c>
      <c r="I1314" s="18" t="s">
        <v>37</v>
      </c>
      <c r="J1314" s="18" t="s">
        <v>38</v>
      </c>
      <c r="K1314" t="s">
        <v>39</v>
      </c>
      <c r="L1314" s="50">
        <f>VLOOKUP(A1314,'[3]Price info'!A:D,4,FALSE)</f>
        <v>1010.13</v>
      </c>
      <c r="M1314" s="18" t="s">
        <v>214</v>
      </c>
      <c r="N1314" s="20">
        <v>3105</v>
      </c>
      <c r="P1314" s="16">
        <f>VLOOKUP(A1314,'[3]Price info'!A:H,8,FALSE)</f>
        <v>1010.13</v>
      </c>
      <c r="Q1314" s="17">
        <f t="shared" si="81"/>
        <v>1</v>
      </c>
      <c r="S1314" s="16" t="e">
        <f>VLOOKUP(A1314,[4]Sales!$E:$G,3,FALSE)</f>
        <v>#N/A</v>
      </c>
      <c r="T1314" s="19" t="e">
        <f>VLOOKUP(A1314,[4]Volume!$E:$G,3,FALSE)</f>
        <v>#N/A</v>
      </c>
      <c r="U1314" s="19" t="e">
        <f>VLOOKUP(A1314,[4]Piece!$E:$G,3,FALSE)</f>
        <v>#N/A</v>
      </c>
      <c r="V1314" s="21" t="e">
        <f t="shared" si="82"/>
        <v>#N/A</v>
      </c>
      <c r="W1314" s="16" t="e">
        <f t="shared" si="83"/>
        <v>#N/A</v>
      </c>
    </row>
    <row r="1315" spans="1:23" hidden="1" x14ac:dyDescent="0.3">
      <c r="A1315" s="71" t="s">
        <v>2629</v>
      </c>
      <c r="B1315" s="71" t="s">
        <v>2629</v>
      </c>
      <c r="C1315" s="47" t="s">
        <v>33</v>
      </c>
      <c r="D1315" s="48" t="s">
        <v>34</v>
      </c>
      <c r="E1315" s="18" t="s">
        <v>2630</v>
      </c>
      <c r="F1315" s="24" t="str">
        <f t="shared" si="80"/>
        <v>PPG - A'COAT 450E SET LIEB YELLOW   8000AM1500</v>
      </c>
      <c r="G1315" s="20" t="s">
        <v>6187</v>
      </c>
      <c r="H1315" s="49" t="s">
        <v>213</v>
      </c>
      <c r="I1315" s="18" t="s">
        <v>37</v>
      </c>
      <c r="J1315" s="18" t="s">
        <v>38</v>
      </c>
      <c r="K1315" t="s">
        <v>39</v>
      </c>
      <c r="L1315" s="50">
        <f>VLOOKUP(A1315,'[3]Price info'!A:D,4,FALSE)</f>
        <v>252.54</v>
      </c>
      <c r="M1315" s="18" t="s">
        <v>214</v>
      </c>
      <c r="N1315" s="20">
        <v>3105</v>
      </c>
      <c r="P1315" s="16">
        <f>VLOOKUP(A1315,'[3]Price info'!A:H,8,FALSE)</f>
        <v>252.54</v>
      </c>
      <c r="Q1315" s="17">
        <f t="shared" si="81"/>
        <v>1</v>
      </c>
      <c r="S1315" s="16" t="e">
        <f>VLOOKUP(A1315,[4]Sales!$E:$G,3,FALSE)</f>
        <v>#N/A</v>
      </c>
      <c r="T1315" s="19" t="e">
        <f>VLOOKUP(A1315,[4]Volume!$E:$G,3,FALSE)</f>
        <v>#N/A</v>
      </c>
      <c r="U1315" s="19" t="e">
        <f>VLOOKUP(A1315,[4]Piece!$E:$G,3,FALSE)</f>
        <v>#N/A</v>
      </c>
      <c r="V1315" s="21" t="e">
        <f t="shared" si="82"/>
        <v>#N/A</v>
      </c>
      <c r="W1315" s="16" t="e">
        <f t="shared" si="83"/>
        <v>#N/A</v>
      </c>
    </row>
    <row r="1316" spans="1:23" hidden="1" x14ac:dyDescent="0.3">
      <c r="A1316" s="71" t="s">
        <v>2631</v>
      </c>
      <c r="B1316" s="71" t="s">
        <v>2631</v>
      </c>
      <c r="C1316" s="51" t="s">
        <v>33</v>
      </c>
      <c r="D1316" s="48" t="s">
        <v>34</v>
      </c>
      <c r="E1316" s="18" t="s">
        <v>2632</v>
      </c>
      <c r="F1316" s="24" t="str">
        <f t="shared" si="80"/>
        <v>PPG - A'COAT 450E SET LIEB YELLOW   8000AM2200</v>
      </c>
      <c r="G1316" s="20" t="s">
        <v>6188</v>
      </c>
      <c r="H1316" s="49" t="s">
        <v>213</v>
      </c>
      <c r="I1316" s="18" t="s">
        <v>37</v>
      </c>
      <c r="J1316" s="18" t="s">
        <v>38</v>
      </c>
      <c r="K1316" t="s">
        <v>39</v>
      </c>
      <c r="L1316" s="50">
        <f>VLOOKUP(A1316,'[3]Price info'!A:D,4,FALSE)</f>
        <v>1010.13</v>
      </c>
      <c r="M1316" s="18" t="s">
        <v>214</v>
      </c>
      <c r="N1316" s="20">
        <v>3105</v>
      </c>
      <c r="P1316" s="16">
        <f>VLOOKUP(A1316,'[3]Price info'!A:H,8,FALSE)</f>
        <v>1010.13</v>
      </c>
      <c r="Q1316" s="17">
        <f t="shared" si="81"/>
        <v>1</v>
      </c>
      <c r="S1316" s="16" t="e">
        <f>VLOOKUP(A1316,[4]Sales!$E:$G,3,FALSE)</f>
        <v>#N/A</v>
      </c>
      <c r="T1316" s="19" t="e">
        <f>VLOOKUP(A1316,[4]Volume!$E:$G,3,FALSE)</f>
        <v>#N/A</v>
      </c>
      <c r="U1316" s="19" t="e">
        <f>VLOOKUP(A1316,[4]Piece!$E:$G,3,FALSE)</f>
        <v>#N/A</v>
      </c>
      <c r="V1316" s="21" t="e">
        <f t="shared" si="82"/>
        <v>#N/A</v>
      </c>
      <c r="W1316" s="16" t="e">
        <f t="shared" si="83"/>
        <v>#N/A</v>
      </c>
    </row>
    <row r="1317" spans="1:23" hidden="1" x14ac:dyDescent="0.3">
      <c r="A1317" s="71" t="s">
        <v>2633</v>
      </c>
      <c r="B1317" s="71" t="s">
        <v>2633</v>
      </c>
      <c r="C1317" s="47" t="s">
        <v>33</v>
      </c>
      <c r="D1317" s="48" t="s">
        <v>34</v>
      </c>
      <c r="E1317" s="18" t="s">
        <v>2634</v>
      </c>
      <c r="F1317" s="24" t="str">
        <f t="shared" si="80"/>
        <v>PPG - A'COAT 71 PRI SET OXIDE RED   7000AM1500</v>
      </c>
      <c r="G1317" s="20" t="s">
        <v>6189</v>
      </c>
      <c r="H1317" s="49" t="s">
        <v>213</v>
      </c>
      <c r="I1317" s="18" t="s">
        <v>37</v>
      </c>
      <c r="J1317" s="18" t="s">
        <v>38</v>
      </c>
      <c r="K1317" t="s">
        <v>39</v>
      </c>
      <c r="L1317" s="50">
        <f>VLOOKUP(A1317,'[3]Price info'!A:D,4,FALSE)</f>
        <v>140.87</v>
      </c>
      <c r="M1317" s="18" t="s">
        <v>214</v>
      </c>
      <c r="N1317" s="20">
        <v>3105</v>
      </c>
      <c r="P1317" s="16">
        <f>VLOOKUP(A1317,'[3]Price info'!A:H,8,FALSE)</f>
        <v>140.87</v>
      </c>
      <c r="Q1317" s="17">
        <f t="shared" si="81"/>
        <v>1</v>
      </c>
      <c r="S1317" s="16" t="e">
        <f>VLOOKUP(A1317,[4]Sales!$E:$G,3,FALSE)</f>
        <v>#N/A</v>
      </c>
      <c r="T1317" s="19" t="e">
        <f>VLOOKUP(A1317,[4]Volume!$E:$G,3,FALSE)</f>
        <v>#N/A</v>
      </c>
      <c r="U1317" s="19" t="e">
        <f>VLOOKUP(A1317,[4]Piece!$E:$G,3,FALSE)</f>
        <v>#N/A</v>
      </c>
      <c r="V1317" s="21" t="e">
        <f t="shared" si="82"/>
        <v>#N/A</v>
      </c>
      <c r="W1317" s="16" t="e">
        <f t="shared" si="83"/>
        <v>#N/A</v>
      </c>
    </row>
    <row r="1318" spans="1:23" hidden="1" x14ac:dyDescent="0.3">
      <c r="A1318" s="71" t="s">
        <v>2635</v>
      </c>
      <c r="B1318" s="71" t="s">
        <v>2635</v>
      </c>
      <c r="C1318" s="47" t="s">
        <v>33</v>
      </c>
      <c r="D1318" s="48" t="s">
        <v>34</v>
      </c>
      <c r="E1318" s="18" t="s">
        <v>2636</v>
      </c>
      <c r="F1318" s="24" t="str">
        <f t="shared" si="80"/>
        <v>PPG - A'COAT 71 PRI SET OXIDE RED   7000AM2200</v>
      </c>
      <c r="G1318" s="20" t="s">
        <v>6190</v>
      </c>
      <c r="H1318" s="49" t="s">
        <v>213</v>
      </c>
      <c r="I1318" s="18" t="s">
        <v>37</v>
      </c>
      <c r="J1318" s="18" t="s">
        <v>38</v>
      </c>
      <c r="K1318" t="s">
        <v>39</v>
      </c>
      <c r="L1318" s="50">
        <f>VLOOKUP(A1318,'[3]Price info'!A:D,4,FALSE)</f>
        <v>563.49</v>
      </c>
      <c r="M1318" s="18" t="s">
        <v>214</v>
      </c>
      <c r="N1318" s="20">
        <v>3105</v>
      </c>
      <c r="P1318" s="16">
        <f>VLOOKUP(A1318,'[3]Price info'!A:H,8,FALSE)</f>
        <v>563.49</v>
      </c>
      <c r="Q1318" s="17">
        <f t="shared" si="81"/>
        <v>1</v>
      </c>
      <c r="S1318" s="16" t="e">
        <f>VLOOKUP(A1318,[4]Sales!$E:$G,3,FALSE)</f>
        <v>#N/A</v>
      </c>
      <c r="T1318" s="19" t="e">
        <f>VLOOKUP(A1318,[4]Volume!$E:$G,3,FALSE)</f>
        <v>#N/A</v>
      </c>
      <c r="U1318" s="19" t="e">
        <f>VLOOKUP(A1318,[4]Piece!$E:$G,3,FALSE)</f>
        <v>#N/A</v>
      </c>
      <c r="V1318" s="21" t="e">
        <f t="shared" si="82"/>
        <v>#N/A</v>
      </c>
      <c r="W1318" s="16" t="e">
        <f t="shared" si="83"/>
        <v>#N/A</v>
      </c>
    </row>
    <row r="1319" spans="1:23" hidden="1" x14ac:dyDescent="0.3">
      <c r="A1319" s="71" t="s">
        <v>2637</v>
      </c>
      <c r="B1319" s="71" t="s">
        <v>2637</v>
      </c>
      <c r="C1319" s="51" t="s">
        <v>33</v>
      </c>
      <c r="D1319" s="48" t="s">
        <v>34</v>
      </c>
      <c r="E1319" s="18" t="s">
        <v>2638</v>
      </c>
      <c r="F1319" s="24" t="str">
        <f t="shared" si="80"/>
        <v>PPG - A'COAT 71 TIECOAT SET OFFWH   3300AM1500</v>
      </c>
      <c r="G1319" s="20" t="s">
        <v>6191</v>
      </c>
      <c r="H1319" s="49" t="s">
        <v>213</v>
      </c>
      <c r="I1319" s="18" t="s">
        <v>37</v>
      </c>
      <c r="J1319" s="18" t="s">
        <v>38</v>
      </c>
      <c r="K1319" t="s">
        <v>39</v>
      </c>
      <c r="L1319" s="50">
        <f>VLOOKUP(A1319,'[3]Price info'!A:D,4,FALSE)</f>
        <v>140.87</v>
      </c>
      <c r="M1319" s="18" t="s">
        <v>214</v>
      </c>
      <c r="N1319" s="20">
        <v>3105</v>
      </c>
      <c r="P1319" s="16">
        <f>VLOOKUP(A1319,'[3]Price info'!A:H,8,FALSE)</f>
        <v>140.87</v>
      </c>
      <c r="Q1319" s="17">
        <f t="shared" si="81"/>
        <v>1</v>
      </c>
      <c r="S1319" s="16" t="e">
        <f>VLOOKUP(A1319,[4]Sales!$E:$G,3,FALSE)</f>
        <v>#N/A</v>
      </c>
      <c r="T1319" s="19" t="e">
        <f>VLOOKUP(A1319,[4]Volume!$E:$G,3,FALSE)</f>
        <v>#N/A</v>
      </c>
      <c r="U1319" s="19" t="e">
        <f>VLOOKUP(A1319,[4]Piece!$E:$G,3,FALSE)</f>
        <v>#N/A</v>
      </c>
      <c r="V1319" s="21" t="e">
        <f t="shared" si="82"/>
        <v>#N/A</v>
      </c>
      <c r="W1319" s="16" t="e">
        <f t="shared" si="83"/>
        <v>#N/A</v>
      </c>
    </row>
    <row r="1320" spans="1:23" hidden="1" x14ac:dyDescent="0.3">
      <c r="A1320" s="71" t="s">
        <v>2639</v>
      </c>
      <c r="B1320" s="71" t="s">
        <v>2639</v>
      </c>
      <c r="C1320" s="47" t="s">
        <v>33</v>
      </c>
      <c r="D1320" s="48" t="s">
        <v>34</v>
      </c>
      <c r="E1320" s="18" t="s">
        <v>2640</v>
      </c>
      <c r="F1320" s="24" t="str">
        <f t="shared" si="80"/>
        <v>PPG - A'COAT 71 TIECOAT SET OFFWH   3300AM2200</v>
      </c>
      <c r="G1320" s="20" t="s">
        <v>6192</v>
      </c>
      <c r="H1320" s="49" t="s">
        <v>213</v>
      </c>
      <c r="I1320" s="18" t="s">
        <v>37</v>
      </c>
      <c r="J1320" s="18" t="s">
        <v>38</v>
      </c>
      <c r="K1320" t="s">
        <v>39</v>
      </c>
      <c r="L1320" s="50">
        <f>VLOOKUP(A1320,'[3]Price info'!A:D,4,FALSE)</f>
        <v>617.02</v>
      </c>
      <c r="M1320" s="18" t="s">
        <v>214</v>
      </c>
      <c r="N1320" s="20">
        <v>3105</v>
      </c>
      <c r="P1320" s="16">
        <f>VLOOKUP(A1320,'[3]Price info'!A:H,8,FALSE)</f>
        <v>617.02</v>
      </c>
      <c r="Q1320" s="17">
        <f t="shared" si="81"/>
        <v>1</v>
      </c>
      <c r="S1320" s="16" t="e">
        <f>VLOOKUP(A1320,[4]Sales!$E:$G,3,FALSE)</f>
        <v>#N/A</v>
      </c>
      <c r="T1320" s="19" t="e">
        <f>VLOOKUP(A1320,[4]Volume!$E:$G,3,FALSE)</f>
        <v>#N/A</v>
      </c>
      <c r="U1320" s="19" t="e">
        <f>VLOOKUP(A1320,[4]Piece!$E:$G,3,FALSE)</f>
        <v>#N/A</v>
      </c>
      <c r="V1320" s="21" t="e">
        <f t="shared" si="82"/>
        <v>#N/A</v>
      </c>
      <c r="W1320" s="16" t="e">
        <f t="shared" si="83"/>
        <v>#N/A</v>
      </c>
    </row>
    <row r="1321" spans="1:23" hidden="1" x14ac:dyDescent="0.3">
      <c r="A1321" s="71" t="s">
        <v>2641</v>
      </c>
      <c r="B1321" s="71" t="s">
        <v>2641</v>
      </c>
      <c r="C1321" s="47" t="s">
        <v>33</v>
      </c>
      <c r="D1321" s="48" t="s">
        <v>34</v>
      </c>
      <c r="E1321" s="18" t="s">
        <v>2642</v>
      </c>
      <c r="F1321" s="24" t="str">
        <f t="shared" si="80"/>
        <v>PPG - A'COAT 71 TIECOAT SET OX RED  7001AM1500</v>
      </c>
      <c r="G1321" s="20" t="s">
        <v>6193</v>
      </c>
      <c r="H1321" s="49" t="s">
        <v>213</v>
      </c>
      <c r="I1321" s="18" t="s">
        <v>37</v>
      </c>
      <c r="J1321" s="18" t="s">
        <v>38</v>
      </c>
      <c r="K1321" t="s">
        <v>39</v>
      </c>
      <c r="L1321" s="50">
        <f>VLOOKUP(A1321,'[3]Price info'!A:D,4,FALSE)</f>
        <v>140.87</v>
      </c>
      <c r="M1321" s="18" t="s">
        <v>214</v>
      </c>
      <c r="N1321" s="20">
        <v>3105</v>
      </c>
      <c r="P1321" s="16">
        <f>VLOOKUP(A1321,'[3]Price info'!A:H,8,FALSE)</f>
        <v>140.87</v>
      </c>
      <c r="Q1321" s="17">
        <f t="shared" si="81"/>
        <v>1</v>
      </c>
      <c r="S1321" s="16" t="e">
        <f>VLOOKUP(A1321,[4]Sales!$E:$G,3,FALSE)</f>
        <v>#N/A</v>
      </c>
      <c r="T1321" s="19" t="e">
        <f>VLOOKUP(A1321,[4]Volume!$E:$G,3,FALSE)</f>
        <v>#N/A</v>
      </c>
      <c r="U1321" s="19" t="e">
        <f>VLOOKUP(A1321,[4]Piece!$E:$G,3,FALSE)</f>
        <v>#N/A</v>
      </c>
      <c r="V1321" s="21" t="e">
        <f t="shared" si="82"/>
        <v>#N/A</v>
      </c>
      <c r="W1321" s="16" t="e">
        <f t="shared" si="83"/>
        <v>#N/A</v>
      </c>
    </row>
    <row r="1322" spans="1:23" hidden="1" x14ac:dyDescent="0.3">
      <c r="A1322" s="71" t="s">
        <v>2643</v>
      </c>
      <c r="B1322" s="71" t="s">
        <v>2643</v>
      </c>
      <c r="C1322" s="51" t="s">
        <v>33</v>
      </c>
      <c r="D1322" s="48" t="s">
        <v>34</v>
      </c>
      <c r="E1322" s="18" t="s">
        <v>2644</v>
      </c>
      <c r="F1322" s="24" t="str">
        <f t="shared" si="80"/>
        <v>PPG - A'COAT 71 TIECOAT SET OX RED  7001AM2200</v>
      </c>
      <c r="G1322" s="20" t="s">
        <v>6194</v>
      </c>
      <c r="H1322" s="49" t="s">
        <v>213</v>
      </c>
      <c r="I1322" s="18" t="s">
        <v>37</v>
      </c>
      <c r="J1322" s="18" t="s">
        <v>38</v>
      </c>
      <c r="K1322" t="s">
        <v>39</v>
      </c>
      <c r="L1322" s="50">
        <f>VLOOKUP(A1322,'[3]Price info'!A:D,4,FALSE)</f>
        <v>617.02</v>
      </c>
      <c r="M1322" s="18" t="s">
        <v>214</v>
      </c>
      <c r="N1322" s="20">
        <v>3105</v>
      </c>
      <c r="P1322" s="16">
        <f>VLOOKUP(A1322,'[3]Price info'!A:H,8,FALSE)</f>
        <v>617.02</v>
      </c>
      <c r="Q1322" s="17">
        <f t="shared" si="81"/>
        <v>1</v>
      </c>
      <c r="S1322" s="16" t="e">
        <f>VLOOKUP(A1322,[4]Sales!$E:$G,3,FALSE)</f>
        <v>#N/A</v>
      </c>
      <c r="T1322" s="19" t="e">
        <f>VLOOKUP(A1322,[4]Volume!$E:$G,3,FALSE)</f>
        <v>#N/A</v>
      </c>
      <c r="U1322" s="19" t="e">
        <f>VLOOKUP(A1322,[4]Piece!$E:$G,3,FALSE)</f>
        <v>#N/A</v>
      </c>
      <c r="V1322" s="21" t="e">
        <f t="shared" si="82"/>
        <v>#N/A</v>
      </c>
      <c r="W1322" s="16" t="e">
        <f t="shared" si="83"/>
        <v>#N/A</v>
      </c>
    </row>
    <row r="1323" spans="1:23" hidden="1" x14ac:dyDescent="0.3">
      <c r="A1323" s="71" t="s">
        <v>2645</v>
      </c>
      <c r="B1323" s="71" t="s">
        <v>2645</v>
      </c>
      <c r="C1323" s="47" t="s">
        <v>33</v>
      </c>
      <c r="D1323" s="48" t="s">
        <v>34</v>
      </c>
      <c r="E1323" s="18" t="s">
        <v>2646</v>
      </c>
      <c r="F1323" s="24" t="str">
        <f t="shared" si="80"/>
        <v>PPG - A'LOCK 2 C SET BLACK          9000AM1500</v>
      </c>
      <c r="G1323" s="20" t="s">
        <v>6195</v>
      </c>
      <c r="H1323" s="49" t="s">
        <v>213</v>
      </c>
      <c r="I1323" s="18" t="s">
        <v>37</v>
      </c>
      <c r="J1323" s="18" t="s">
        <v>38</v>
      </c>
      <c r="K1323" t="s">
        <v>39</v>
      </c>
      <c r="L1323" s="50">
        <f>VLOOKUP(A1323,'[3]Price info'!A:D,4,FALSE)</f>
        <v>176.91</v>
      </c>
      <c r="M1323" s="18" t="s">
        <v>214</v>
      </c>
      <c r="N1323" s="20">
        <v>3105</v>
      </c>
      <c r="P1323" s="16">
        <f>VLOOKUP(A1323,'[3]Price info'!A:H,8,FALSE)</f>
        <v>176.91</v>
      </c>
      <c r="Q1323" s="17">
        <f t="shared" si="81"/>
        <v>1</v>
      </c>
      <c r="S1323" s="16" t="e">
        <f>VLOOKUP(A1323,[4]Sales!$E:$G,3,FALSE)</f>
        <v>#N/A</v>
      </c>
      <c r="T1323" s="19" t="e">
        <f>VLOOKUP(A1323,[4]Volume!$E:$G,3,FALSE)</f>
        <v>#N/A</v>
      </c>
      <c r="U1323" s="19" t="e">
        <f>VLOOKUP(A1323,[4]Piece!$E:$G,3,FALSE)</f>
        <v>#N/A</v>
      </c>
      <c r="V1323" s="21" t="e">
        <f t="shared" si="82"/>
        <v>#N/A</v>
      </c>
      <c r="W1323" s="16" t="e">
        <f t="shared" si="83"/>
        <v>#N/A</v>
      </c>
    </row>
    <row r="1324" spans="1:23" hidden="1" x14ac:dyDescent="0.3">
      <c r="A1324" s="71" t="s">
        <v>2647</v>
      </c>
      <c r="B1324" s="71" t="s">
        <v>2647</v>
      </c>
      <c r="C1324" s="47" t="s">
        <v>33</v>
      </c>
      <c r="D1324" s="48" t="s">
        <v>34</v>
      </c>
      <c r="E1324" s="18" t="s">
        <v>2648</v>
      </c>
      <c r="F1324" s="24" t="str">
        <f t="shared" si="80"/>
        <v>PPG - A'LOCK 2 C SET MIO BLACK      9000AM2200</v>
      </c>
      <c r="G1324" s="20" t="s">
        <v>6196</v>
      </c>
      <c r="H1324" s="49" t="s">
        <v>213</v>
      </c>
      <c r="I1324" s="18" t="s">
        <v>37</v>
      </c>
      <c r="J1324" s="18" t="s">
        <v>38</v>
      </c>
      <c r="K1324" t="s">
        <v>39</v>
      </c>
      <c r="L1324" s="50">
        <f>VLOOKUP(A1324,'[3]Price info'!A:D,4,FALSE)</f>
        <v>707.61</v>
      </c>
      <c r="M1324" s="18" t="s">
        <v>214</v>
      </c>
      <c r="N1324" s="20">
        <v>3105</v>
      </c>
      <c r="P1324" s="16">
        <f>VLOOKUP(A1324,'[3]Price info'!A:H,8,FALSE)</f>
        <v>707.61</v>
      </c>
      <c r="Q1324" s="17">
        <f t="shared" si="81"/>
        <v>1</v>
      </c>
      <c r="S1324" s="16" t="e">
        <f>VLOOKUP(A1324,[4]Sales!$E:$G,3,FALSE)</f>
        <v>#N/A</v>
      </c>
      <c r="T1324" s="19" t="e">
        <f>VLOOKUP(A1324,[4]Volume!$E:$G,3,FALSE)</f>
        <v>#N/A</v>
      </c>
      <c r="U1324" s="19" t="e">
        <f>VLOOKUP(A1324,[4]Piece!$E:$G,3,FALSE)</f>
        <v>#N/A</v>
      </c>
      <c r="V1324" s="21" t="e">
        <f t="shared" si="82"/>
        <v>#N/A</v>
      </c>
      <c r="W1324" s="16" t="e">
        <f t="shared" si="83"/>
        <v>#N/A</v>
      </c>
    </row>
    <row r="1325" spans="1:23" hidden="1" x14ac:dyDescent="0.3">
      <c r="A1325" s="71" t="s">
        <v>2649</v>
      </c>
      <c r="B1325" s="71" t="s">
        <v>2649</v>
      </c>
      <c r="C1325" s="51" t="s">
        <v>33</v>
      </c>
      <c r="D1325" s="48" t="s">
        <v>34</v>
      </c>
      <c r="E1325" s="18" t="s">
        <v>2650</v>
      </c>
      <c r="F1325" s="24" t="str">
        <f t="shared" si="80"/>
        <v>PPG - A'LOCK 2 C SET RAL            7040262200</v>
      </c>
      <c r="G1325" s="20" t="s">
        <v>6197</v>
      </c>
      <c r="H1325" s="49" t="s">
        <v>213</v>
      </c>
      <c r="I1325" s="18" t="s">
        <v>37</v>
      </c>
      <c r="J1325" s="18" t="s">
        <v>38</v>
      </c>
      <c r="K1325" t="s">
        <v>39</v>
      </c>
      <c r="L1325" s="50">
        <f>VLOOKUP(A1325,'[3]Price info'!A:D,4,FALSE)</f>
        <v>707.61</v>
      </c>
      <c r="M1325" s="18" t="s">
        <v>214</v>
      </c>
      <c r="N1325" s="20">
        <v>3105</v>
      </c>
      <c r="P1325" s="16">
        <f>VLOOKUP(A1325,'[3]Price info'!A:H,8,FALSE)</f>
        <v>707.61</v>
      </c>
      <c r="Q1325" s="17">
        <f t="shared" si="81"/>
        <v>1</v>
      </c>
      <c r="S1325" s="16" t="e">
        <f>VLOOKUP(A1325,[4]Sales!$E:$G,3,FALSE)</f>
        <v>#N/A</v>
      </c>
      <c r="T1325" s="19" t="e">
        <f>VLOOKUP(A1325,[4]Volume!$E:$G,3,FALSE)</f>
        <v>#N/A</v>
      </c>
      <c r="U1325" s="19" t="e">
        <f>VLOOKUP(A1325,[4]Piece!$E:$G,3,FALSE)</f>
        <v>#N/A</v>
      </c>
      <c r="V1325" s="21" t="e">
        <f t="shared" si="82"/>
        <v>#N/A</v>
      </c>
      <c r="W1325" s="16" t="e">
        <f t="shared" si="83"/>
        <v>#N/A</v>
      </c>
    </row>
    <row r="1326" spans="1:23" hidden="1" x14ac:dyDescent="0.3">
      <c r="A1326" s="71" t="s">
        <v>2651</v>
      </c>
      <c r="B1326" s="71" t="s">
        <v>2651</v>
      </c>
      <c r="C1326" s="47" t="s">
        <v>33</v>
      </c>
      <c r="D1326" s="48" t="s">
        <v>34</v>
      </c>
      <c r="E1326" s="18" t="s">
        <v>2652</v>
      </c>
      <c r="F1326" s="24" t="str">
        <f t="shared" si="80"/>
        <v>PPG - A'LOCK 2 C SET RAL            7043262200</v>
      </c>
      <c r="G1326" s="20" t="s">
        <v>6198</v>
      </c>
      <c r="H1326" s="49" t="s">
        <v>213</v>
      </c>
      <c r="I1326" s="18" t="s">
        <v>37</v>
      </c>
      <c r="J1326" s="18" t="s">
        <v>38</v>
      </c>
      <c r="K1326" t="s">
        <v>39</v>
      </c>
      <c r="L1326" s="50">
        <f>VLOOKUP(A1326,'[3]Price info'!A:D,4,FALSE)</f>
        <v>707.61</v>
      </c>
      <c r="M1326" s="18" t="s">
        <v>214</v>
      </c>
      <c r="N1326" s="20">
        <v>3105</v>
      </c>
      <c r="P1326" s="16">
        <f>VLOOKUP(A1326,'[3]Price info'!A:H,8,FALSE)</f>
        <v>707.61</v>
      </c>
      <c r="Q1326" s="17">
        <f t="shared" si="81"/>
        <v>1</v>
      </c>
      <c r="S1326" s="16" t="e">
        <f>VLOOKUP(A1326,[4]Sales!$E:$G,3,FALSE)</f>
        <v>#N/A</v>
      </c>
      <c r="T1326" s="19" t="e">
        <f>VLOOKUP(A1326,[4]Volume!$E:$G,3,FALSE)</f>
        <v>#N/A</v>
      </c>
      <c r="U1326" s="19" t="e">
        <f>VLOOKUP(A1326,[4]Piece!$E:$G,3,FALSE)</f>
        <v>#N/A</v>
      </c>
      <c r="V1326" s="21" t="e">
        <f t="shared" si="82"/>
        <v>#N/A</v>
      </c>
      <c r="W1326" s="16" t="e">
        <f t="shared" si="83"/>
        <v>#N/A</v>
      </c>
    </row>
    <row r="1327" spans="1:23" hidden="1" x14ac:dyDescent="0.3">
      <c r="A1327" s="71" t="s">
        <v>2653</v>
      </c>
      <c r="B1327" s="71" t="s">
        <v>2653</v>
      </c>
      <c r="C1327" s="47" t="s">
        <v>33</v>
      </c>
      <c r="D1327" s="48" t="s">
        <v>34</v>
      </c>
      <c r="E1327" s="18" t="s">
        <v>2654</v>
      </c>
      <c r="F1327" s="24" t="str">
        <f t="shared" si="80"/>
        <v>PPG - A'LOCK 2 C SET RAL            9002262200</v>
      </c>
      <c r="G1327" s="20" t="s">
        <v>6199</v>
      </c>
      <c r="H1327" s="49" t="s">
        <v>213</v>
      </c>
      <c r="I1327" s="18" t="s">
        <v>37</v>
      </c>
      <c r="J1327" s="18" t="s">
        <v>38</v>
      </c>
      <c r="K1327" t="s">
        <v>39</v>
      </c>
      <c r="L1327" s="50">
        <f>VLOOKUP(A1327,'[3]Price info'!A:D,4,FALSE)</f>
        <v>707.61</v>
      </c>
      <c r="M1327" s="18" t="s">
        <v>214</v>
      </c>
      <c r="N1327" s="20">
        <v>3105</v>
      </c>
      <c r="P1327" s="16">
        <f>VLOOKUP(A1327,'[3]Price info'!A:H,8,FALSE)</f>
        <v>707.61</v>
      </c>
      <c r="Q1327" s="17">
        <f t="shared" si="81"/>
        <v>1</v>
      </c>
      <c r="S1327" s="16" t="e">
        <f>VLOOKUP(A1327,[4]Sales!$E:$G,3,FALSE)</f>
        <v>#N/A</v>
      </c>
      <c r="T1327" s="19" t="e">
        <f>VLOOKUP(A1327,[4]Volume!$E:$G,3,FALSE)</f>
        <v>#N/A</v>
      </c>
      <c r="U1327" s="19" t="e">
        <f>VLOOKUP(A1327,[4]Piece!$E:$G,3,FALSE)</f>
        <v>#N/A</v>
      </c>
      <c r="V1327" s="21" t="e">
        <f t="shared" si="82"/>
        <v>#N/A</v>
      </c>
      <c r="W1327" s="16" t="e">
        <f t="shared" si="83"/>
        <v>#N/A</v>
      </c>
    </row>
    <row r="1328" spans="1:23" hidden="1" x14ac:dyDescent="0.3">
      <c r="A1328" s="71" t="s">
        <v>2655</v>
      </c>
      <c r="B1328" s="71" t="s">
        <v>2655</v>
      </c>
      <c r="C1328" s="51" t="s">
        <v>33</v>
      </c>
      <c r="D1328" s="48" t="s">
        <v>34</v>
      </c>
      <c r="E1328" s="18" t="s">
        <v>2656</v>
      </c>
      <c r="F1328" s="24" t="str">
        <f t="shared" si="80"/>
        <v>PPG - A'LOCK 400 C SET WHITE        3000AM1500</v>
      </c>
      <c r="G1328" s="20" t="s">
        <v>6200</v>
      </c>
      <c r="H1328" s="49" t="s">
        <v>213</v>
      </c>
      <c r="I1328" s="18" t="s">
        <v>37</v>
      </c>
      <c r="J1328" s="18" t="s">
        <v>38</v>
      </c>
      <c r="K1328" t="s">
        <v>39</v>
      </c>
      <c r="L1328" s="50">
        <f>VLOOKUP(A1328,'[3]Price info'!A:D,4,FALSE)</f>
        <v>142.88999999999999</v>
      </c>
      <c r="M1328" s="18" t="s">
        <v>214</v>
      </c>
      <c r="N1328" s="20">
        <v>3105</v>
      </c>
      <c r="P1328" s="16">
        <f>VLOOKUP(A1328,'[3]Price info'!A:H,8,FALSE)</f>
        <v>142.88999999999999</v>
      </c>
      <c r="Q1328" s="17">
        <f t="shared" si="81"/>
        <v>1</v>
      </c>
      <c r="S1328" s="16" t="e">
        <f>VLOOKUP(A1328,[4]Sales!$E:$G,3,FALSE)</f>
        <v>#N/A</v>
      </c>
      <c r="T1328" s="19" t="e">
        <f>VLOOKUP(A1328,[4]Volume!$E:$G,3,FALSE)</f>
        <v>#N/A</v>
      </c>
      <c r="U1328" s="19" t="e">
        <f>VLOOKUP(A1328,[4]Piece!$E:$G,3,FALSE)</f>
        <v>#N/A</v>
      </c>
      <c r="V1328" s="21" t="e">
        <f t="shared" si="82"/>
        <v>#N/A</v>
      </c>
      <c r="W1328" s="16" t="e">
        <f t="shared" si="83"/>
        <v>#N/A</v>
      </c>
    </row>
    <row r="1329" spans="1:23" hidden="1" x14ac:dyDescent="0.3">
      <c r="A1329" s="71" t="s">
        <v>2657</v>
      </c>
      <c r="B1329" s="71" t="s">
        <v>2657</v>
      </c>
      <c r="C1329" s="47" t="s">
        <v>33</v>
      </c>
      <c r="D1329" s="48" t="s">
        <v>34</v>
      </c>
      <c r="E1329" s="18" t="s">
        <v>2658</v>
      </c>
      <c r="F1329" s="24" t="str">
        <f t="shared" si="80"/>
        <v>PPG - A'LOCK 400AL SET              0000AM2200</v>
      </c>
      <c r="G1329" s="20" t="s">
        <v>6201</v>
      </c>
      <c r="H1329" s="49" t="s">
        <v>213</v>
      </c>
      <c r="I1329" s="18" t="s">
        <v>37</v>
      </c>
      <c r="J1329" s="18" t="s">
        <v>38</v>
      </c>
      <c r="K1329" t="s">
        <v>39</v>
      </c>
      <c r="L1329" s="50">
        <f>VLOOKUP(A1329,'[3]Price info'!A:D,4,FALSE)</f>
        <v>792.48</v>
      </c>
      <c r="M1329" s="18" t="s">
        <v>214</v>
      </c>
      <c r="N1329" s="20">
        <v>3105</v>
      </c>
      <c r="P1329" s="16">
        <f>VLOOKUP(A1329,'[3]Price info'!A:H,8,FALSE)</f>
        <v>792.48</v>
      </c>
      <c r="Q1329" s="17">
        <f t="shared" si="81"/>
        <v>1</v>
      </c>
      <c r="S1329" s="16" t="e">
        <f>VLOOKUP(A1329,[4]Sales!$E:$G,3,FALSE)</f>
        <v>#N/A</v>
      </c>
      <c r="T1329" s="19" t="e">
        <f>VLOOKUP(A1329,[4]Volume!$E:$G,3,FALSE)</f>
        <v>#N/A</v>
      </c>
      <c r="U1329" s="19" t="e">
        <f>VLOOKUP(A1329,[4]Piece!$E:$G,3,FALSE)</f>
        <v>#N/A</v>
      </c>
      <c r="V1329" s="21" t="e">
        <f t="shared" si="82"/>
        <v>#N/A</v>
      </c>
      <c r="W1329" s="16" t="e">
        <f t="shared" si="83"/>
        <v>#N/A</v>
      </c>
    </row>
    <row r="1330" spans="1:23" hidden="1" x14ac:dyDescent="0.3">
      <c r="A1330" s="71" t="s">
        <v>2659</v>
      </c>
      <c r="B1330" s="71" t="s">
        <v>2659</v>
      </c>
      <c r="C1330" s="47" t="s">
        <v>33</v>
      </c>
      <c r="D1330" s="48" t="s">
        <v>34</v>
      </c>
      <c r="E1330" s="18" t="s">
        <v>2660</v>
      </c>
      <c r="F1330" s="24" t="str">
        <f t="shared" si="80"/>
        <v>PPG - A'LOCK 400AL SET              9000001500</v>
      </c>
      <c r="G1330" s="20" t="s">
        <v>6202</v>
      </c>
      <c r="H1330" s="49" t="s">
        <v>213</v>
      </c>
      <c r="I1330" s="18" t="s">
        <v>37</v>
      </c>
      <c r="J1330" s="18" t="s">
        <v>38</v>
      </c>
      <c r="K1330" t="s">
        <v>39</v>
      </c>
      <c r="L1330" s="50">
        <f>VLOOKUP(A1330,'[3]Price info'!A:D,4,FALSE)</f>
        <v>198.13</v>
      </c>
      <c r="M1330" s="18" t="s">
        <v>214</v>
      </c>
      <c r="N1330" s="20">
        <v>3105</v>
      </c>
      <c r="P1330" s="16">
        <f>VLOOKUP(A1330,'[3]Price info'!A:H,8,FALSE)</f>
        <v>198.13</v>
      </c>
      <c r="Q1330" s="17">
        <f t="shared" si="81"/>
        <v>1</v>
      </c>
      <c r="S1330" s="16" t="e">
        <f>VLOOKUP(A1330,[4]Sales!$E:$G,3,FALSE)</f>
        <v>#N/A</v>
      </c>
      <c r="T1330" s="19" t="e">
        <f>VLOOKUP(A1330,[4]Volume!$E:$G,3,FALSE)</f>
        <v>#N/A</v>
      </c>
      <c r="U1330" s="19" t="e">
        <f>VLOOKUP(A1330,[4]Piece!$E:$G,3,FALSE)</f>
        <v>#N/A</v>
      </c>
      <c r="V1330" s="21" t="e">
        <f t="shared" si="82"/>
        <v>#N/A</v>
      </c>
      <c r="W1330" s="16" t="e">
        <f t="shared" si="83"/>
        <v>#N/A</v>
      </c>
    </row>
    <row r="1331" spans="1:23" hidden="1" x14ac:dyDescent="0.3">
      <c r="A1331" s="71" t="s">
        <v>2661</v>
      </c>
      <c r="B1331" s="71" t="s">
        <v>2661</v>
      </c>
      <c r="C1331" s="51" t="s">
        <v>33</v>
      </c>
      <c r="D1331" s="48" t="s">
        <v>34</v>
      </c>
      <c r="E1331" s="18" t="s">
        <v>2662</v>
      </c>
      <c r="F1331" s="24" t="str">
        <f t="shared" si="80"/>
        <v>PPG - ANTISKID POWDER 32020002    0000NAEU1500</v>
      </c>
      <c r="G1331" s="20" t="s">
        <v>6203</v>
      </c>
      <c r="H1331" s="49" t="s">
        <v>213</v>
      </c>
      <c r="I1331" s="18" t="s">
        <v>37</v>
      </c>
      <c r="J1331" s="18" t="s">
        <v>38</v>
      </c>
      <c r="K1331" t="s">
        <v>39</v>
      </c>
      <c r="L1331" s="50">
        <f>VLOOKUP(A1331,'[3]Price info'!A:D,4,FALSE)</f>
        <v>63.67</v>
      </c>
      <c r="M1331" s="18" t="s">
        <v>214</v>
      </c>
      <c r="N1331" s="20">
        <v>3105</v>
      </c>
      <c r="P1331" s="16">
        <f>VLOOKUP(A1331,'[3]Price info'!A:H,8,FALSE)</f>
        <v>63.67</v>
      </c>
      <c r="Q1331" s="17">
        <f t="shared" si="81"/>
        <v>1</v>
      </c>
      <c r="S1331" s="16">
        <f>VLOOKUP(A1331,[4]Sales!$E:$G,3,FALSE)</f>
        <v>57.300000000000011</v>
      </c>
      <c r="T1331" s="19">
        <f>VLOOKUP(A1331,[4]Volume!$E:$G,3,FALSE)</f>
        <v>5.5549999999999997</v>
      </c>
      <c r="U1331" s="19">
        <f>VLOOKUP(A1331,[4]Piece!$E:$G,3,FALSE)</f>
        <v>1</v>
      </c>
      <c r="V1331" s="21">
        <f t="shared" si="82"/>
        <v>63.67</v>
      </c>
      <c r="W1331" s="16">
        <f t="shared" si="83"/>
        <v>6.3699999999999903</v>
      </c>
    </row>
    <row r="1332" spans="1:23" hidden="1" x14ac:dyDescent="0.3">
      <c r="A1332" s="71" t="s">
        <v>2663</v>
      </c>
      <c r="B1332" s="71" t="s">
        <v>2663</v>
      </c>
      <c r="C1332" s="47" t="s">
        <v>33</v>
      </c>
      <c r="D1332" s="48" t="s">
        <v>34</v>
      </c>
      <c r="E1332" s="18" t="s">
        <v>2664</v>
      </c>
      <c r="F1332" s="24" t="str">
        <f t="shared" si="80"/>
        <v>PPG - AQUACOVER 45 WHITE          700000EU2200</v>
      </c>
      <c r="G1332" s="20" t="s">
        <v>6204</v>
      </c>
      <c r="H1332" s="49" t="s">
        <v>213</v>
      </c>
      <c r="I1332" s="18" t="s">
        <v>37</v>
      </c>
      <c r="J1332" s="18" t="s">
        <v>38</v>
      </c>
      <c r="K1332" t="s">
        <v>39</v>
      </c>
      <c r="L1332" s="50">
        <f>VLOOKUP(A1332,'[3]Price info'!A:D,4,FALSE)</f>
        <v>482</v>
      </c>
      <c r="M1332" s="18" t="s">
        <v>214</v>
      </c>
      <c r="N1332" s="20">
        <v>3105</v>
      </c>
      <c r="P1332" s="16">
        <f>VLOOKUP(A1332,'[3]Price info'!A:H,8,FALSE)</f>
        <v>482</v>
      </c>
      <c r="Q1332" s="17">
        <f t="shared" si="81"/>
        <v>1</v>
      </c>
      <c r="S1332" s="16" t="e">
        <f>VLOOKUP(A1332,[4]Sales!$E:$G,3,FALSE)</f>
        <v>#N/A</v>
      </c>
      <c r="T1332" s="19" t="e">
        <f>VLOOKUP(A1332,[4]Volume!$E:$G,3,FALSE)</f>
        <v>#N/A</v>
      </c>
      <c r="U1332" s="19" t="e">
        <f>VLOOKUP(A1332,[4]Piece!$E:$G,3,FALSE)</f>
        <v>#N/A</v>
      </c>
      <c r="V1332" s="21" t="e">
        <f t="shared" si="82"/>
        <v>#N/A</v>
      </c>
      <c r="W1332" s="16" t="e">
        <f t="shared" si="83"/>
        <v>#N/A</v>
      </c>
    </row>
    <row r="1333" spans="1:23" hidden="1" x14ac:dyDescent="0.3">
      <c r="A1333" s="71" t="s">
        <v>2665</v>
      </c>
      <c r="B1333" s="71" t="s">
        <v>2665</v>
      </c>
      <c r="C1333" s="47" t="s">
        <v>33</v>
      </c>
      <c r="D1333" s="48" t="s">
        <v>34</v>
      </c>
      <c r="E1333" s="18" t="s">
        <v>2666</v>
      </c>
      <c r="F1333" s="24" t="str">
        <f t="shared" si="80"/>
        <v>PPG - AQUAWELD 100 SET REDBROWN     2008002180</v>
      </c>
      <c r="G1333" s="20" t="s">
        <v>6205</v>
      </c>
      <c r="H1333" s="49" t="s">
        <v>213</v>
      </c>
      <c r="I1333" s="18" t="s">
        <v>37</v>
      </c>
      <c r="J1333" s="18" t="s">
        <v>38</v>
      </c>
      <c r="K1333" t="s">
        <v>39</v>
      </c>
      <c r="L1333" s="50">
        <f>VLOOKUP(A1333,'[3]Price info'!A:D,4,FALSE)</f>
        <v>712.47</v>
      </c>
      <c r="M1333" s="18" t="s">
        <v>214</v>
      </c>
      <c r="N1333" s="20">
        <v>3105</v>
      </c>
      <c r="P1333" s="16">
        <f>VLOOKUP(A1333,'[3]Price info'!A:H,8,FALSE)</f>
        <v>712.47</v>
      </c>
      <c r="Q1333" s="17">
        <f t="shared" si="81"/>
        <v>1</v>
      </c>
      <c r="S1333" s="16" t="e">
        <f>VLOOKUP(A1333,[4]Sales!$E:$G,3,FALSE)</f>
        <v>#N/A</v>
      </c>
      <c r="T1333" s="19" t="e">
        <f>VLOOKUP(A1333,[4]Volume!$E:$G,3,FALSE)</f>
        <v>#N/A</v>
      </c>
      <c r="U1333" s="19" t="e">
        <f>VLOOKUP(A1333,[4]Piece!$E:$G,3,FALSE)</f>
        <v>#N/A</v>
      </c>
      <c r="V1333" s="21" t="e">
        <f t="shared" si="82"/>
        <v>#N/A</v>
      </c>
      <c r="W1333" s="16" t="e">
        <f t="shared" si="83"/>
        <v>#N/A</v>
      </c>
    </row>
    <row r="1334" spans="1:23" hidden="1" x14ac:dyDescent="0.3">
      <c r="A1334" s="71" t="s">
        <v>2667</v>
      </c>
      <c r="B1334" s="71" t="s">
        <v>2667</v>
      </c>
      <c r="C1334" s="51" t="s">
        <v>33</v>
      </c>
      <c r="D1334" s="48" t="s">
        <v>34</v>
      </c>
      <c r="E1334" s="18" t="s">
        <v>2668</v>
      </c>
      <c r="F1334" s="24" t="str">
        <f t="shared" si="80"/>
        <v>PPG - ARTEX BROWNING     25KG       0000002250</v>
      </c>
      <c r="G1334" s="20" t="s">
        <v>6206</v>
      </c>
      <c r="H1334" s="49" t="s">
        <v>213</v>
      </c>
      <c r="I1334" s="18" t="s">
        <v>37</v>
      </c>
      <c r="J1334" s="18" t="s">
        <v>38</v>
      </c>
      <c r="K1334" t="s">
        <v>39</v>
      </c>
      <c r="L1334" s="50">
        <f>VLOOKUP(A1334,'[3]Price info'!A:D,4,FALSE)</f>
        <v>14.26</v>
      </c>
      <c r="M1334" s="18" t="s">
        <v>214</v>
      </c>
      <c r="N1334" s="20">
        <v>3105</v>
      </c>
      <c r="P1334" s="16">
        <f>VLOOKUP(A1334,'[3]Price info'!A:H,8,FALSE)</f>
        <v>14.26</v>
      </c>
      <c r="Q1334" s="17">
        <f t="shared" si="81"/>
        <v>1</v>
      </c>
      <c r="S1334" s="16" t="e">
        <f>VLOOKUP(A1334,[4]Sales!$E:$G,3,FALSE)</f>
        <v>#N/A</v>
      </c>
      <c r="T1334" s="19" t="e">
        <f>VLOOKUP(A1334,[4]Volume!$E:$G,3,FALSE)</f>
        <v>#N/A</v>
      </c>
      <c r="U1334" s="19" t="e">
        <f>VLOOKUP(A1334,[4]Piece!$E:$G,3,FALSE)</f>
        <v>#N/A</v>
      </c>
      <c r="V1334" s="21" t="e">
        <f t="shared" si="82"/>
        <v>#N/A</v>
      </c>
      <c r="W1334" s="16" t="e">
        <f t="shared" si="83"/>
        <v>#N/A</v>
      </c>
    </row>
    <row r="1335" spans="1:23" hidden="1" x14ac:dyDescent="0.3">
      <c r="A1335" s="71" t="s">
        <v>2669</v>
      </c>
      <c r="B1335" s="71" t="s">
        <v>2669</v>
      </c>
      <c r="C1335" s="47" t="s">
        <v>33</v>
      </c>
      <c r="D1335" s="48" t="s">
        <v>34</v>
      </c>
      <c r="E1335" s="18" t="s">
        <v>2670</v>
      </c>
      <c r="F1335" s="24" t="str">
        <f t="shared" si="80"/>
        <v>PPG - ARTEX CEILING 25K  FIN 19340  12406 2250</v>
      </c>
      <c r="G1335" s="20" t="s">
        <v>6207</v>
      </c>
      <c r="H1335" s="49" t="s">
        <v>213</v>
      </c>
      <c r="I1335" s="18" t="s">
        <v>37</v>
      </c>
      <c r="J1335" s="18" t="s">
        <v>38</v>
      </c>
      <c r="K1335" t="s">
        <v>39</v>
      </c>
      <c r="L1335" s="50">
        <f>VLOOKUP(A1335,'[3]Price info'!A:D,4,FALSE)</f>
        <v>37.06</v>
      </c>
      <c r="M1335" s="18" t="s">
        <v>214</v>
      </c>
      <c r="N1335" s="20">
        <v>3105</v>
      </c>
      <c r="P1335" s="16">
        <f>VLOOKUP(A1335,'[3]Price info'!A:H,8,FALSE)</f>
        <v>37.06</v>
      </c>
      <c r="Q1335" s="17">
        <f t="shared" si="81"/>
        <v>1</v>
      </c>
      <c r="S1335" s="16" t="e">
        <f>VLOOKUP(A1335,[4]Sales!$E:$G,3,FALSE)</f>
        <v>#N/A</v>
      </c>
      <c r="T1335" s="19" t="e">
        <f>VLOOKUP(A1335,[4]Volume!$E:$G,3,FALSE)</f>
        <v>#N/A</v>
      </c>
      <c r="U1335" s="19" t="e">
        <f>VLOOKUP(A1335,[4]Piece!$E:$G,3,FALSE)</f>
        <v>#N/A</v>
      </c>
      <c r="V1335" s="21" t="e">
        <f t="shared" si="82"/>
        <v>#N/A</v>
      </c>
      <c r="W1335" s="16" t="e">
        <f t="shared" si="83"/>
        <v>#N/A</v>
      </c>
    </row>
    <row r="1336" spans="1:23" hidden="1" x14ac:dyDescent="0.3">
      <c r="A1336" s="71" t="s">
        <v>2671</v>
      </c>
      <c r="B1336" s="71" t="s">
        <v>2671</v>
      </c>
      <c r="C1336" s="47" t="s">
        <v>33</v>
      </c>
      <c r="D1336" s="48" t="s">
        <v>34</v>
      </c>
      <c r="E1336" s="18" t="s">
        <v>2672</v>
      </c>
      <c r="F1336" s="24" t="str">
        <f t="shared" si="80"/>
        <v>PPG - ARTEX DRI WALL     ADHESIVE         2250</v>
      </c>
      <c r="G1336" s="20" t="s">
        <v>6208</v>
      </c>
      <c r="H1336" s="49" t="s">
        <v>213</v>
      </c>
      <c r="I1336" s="18" t="s">
        <v>37</v>
      </c>
      <c r="J1336" s="18" t="s">
        <v>38</v>
      </c>
      <c r="K1336" t="s">
        <v>39</v>
      </c>
      <c r="L1336" s="50">
        <f>VLOOKUP(A1336,'[3]Price info'!A:D,4,FALSE)</f>
        <v>12.92</v>
      </c>
      <c r="M1336" s="18" t="s">
        <v>214</v>
      </c>
      <c r="N1336" s="20">
        <v>3105</v>
      </c>
      <c r="P1336" s="16">
        <f>VLOOKUP(A1336,'[3]Price info'!A:H,8,FALSE)</f>
        <v>12.92</v>
      </c>
      <c r="Q1336" s="17">
        <f t="shared" si="81"/>
        <v>1</v>
      </c>
      <c r="S1336" s="16" t="e">
        <f>VLOOKUP(A1336,[4]Sales!$E:$G,3,FALSE)</f>
        <v>#N/A</v>
      </c>
      <c r="T1336" s="19" t="e">
        <f>VLOOKUP(A1336,[4]Volume!$E:$G,3,FALSE)</f>
        <v>#N/A</v>
      </c>
      <c r="U1336" s="19" t="e">
        <f>VLOOKUP(A1336,[4]Piece!$E:$G,3,FALSE)</f>
        <v>#N/A</v>
      </c>
      <c r="V1336" s="21" t="e">
        <f t="shared" si="82"/>
        <v>#N/A</v>
      </c>
      <c r="W1336" s="16" t="e">
        <f t="shared" si="83"/>
        <v>#N/A</v>
      </c>
    </row>
    <row r="1337" spans="1:23" hidden="1" x14ac:dyDescent="0.3">
      <c r="A1337" s="71" t="s">
        <v>2673</v>
      </c>
      <c r="B1337" s="71" t="s">
        <v>2673</v>
      </c>
      <c r="C1337" s="51" t="s">
        <v>33</v>
      </c>
      <c r="D1337" s="48" t="s">
        <v>34</v>
      </c>
      <c r="E1337" s="18" t="s">
        <v>2674</v>
      </c>
      <c r="F1337" s="24" t="str">
        <f t="shared" si="80"/>
        <v>PPG - ARTEX HARDWALL     25KG             2250</v>
      </c>
      <c r="G1337" s="20" t="s">
        <v>6209</v>
      </c>
      <c r="H1337" s="49" t="s">
        <v>213</v>
      </c>
      <c r="I1337" s="18" t="s">
        <v>37</v>
      </c>
      <c r="J1337" s="18" t="s">
        <v>38</v>
      </c>
      <c r="K1337" t="s">
        <v>39</v>
      </c>
      <c r="L1337" s="50">
        <f>VLOOKUP(A1337,'[3]Price info'!A:D,4,FALSE)</f>
        <v>14.98</v>
      </c>
      <c r="M1337" s="18" t="s">
        <v>214</v>
      </c>
      <c r="N1337" s="20">
        <v>3105</v>
      </c>
      <c r="P1337" s="16">
        <f>VLOOKUP(A1337,'[3]Price info'!A:H,8,FALSE)</f>
        <v>14.98</v>
      </c>
      <c r="Q1337" s="17">
        <f t="shared" si="81"/>
        <v>1</v>
      </c>
      <c r="S1337" s="16" t="e">
        <f>VLOOKUP(A1337,[4]Sales!$E:$G,3,FALSE)</f>
        <v>#N/A</v>
      </c>
      <c r="T1337" s="19" t="e">
        <f>VLOOKUP(A1337,[4]Volume!$E:$G,3,FALSE)</f>
        <v>#N/A</v>
      </c>
      <c r="U1337" s="19" t="e">
        <f>VLOOKUP(A1337,[4]Piece!$E:$G,3,FALSE)</f>
        <v>#N/A</v>
      </c>
      <c r="V1337" s="21" t="e">
        <f t="shared" si="82"/>
        <v>#N/A</v>
      </c>
      <c r="W1337" s="16" t="e">
        <f t="shared" si="83"/>
        <v>#N/A</v>
      </c>
    </row>
    <row r="1338" spans="1:23" hidden="1" x14ac:dyDescent="0.3">
      <c r="A1338" s="71" t="s">
        <v>2675</v>
      </c>
      <c r="B1338" s="71" t="s">
        <v>2675</v>
      </c>
      <c r="C1338" s="47" t="s">
        <v>33</v>
      </c>
      <c r="D1338" s="48" t="s">
        <v>34</v>
      </c>
      <c r="E1338" s="18" t="s">
        <v>2676</v>
      </c>
      <c r="F1338" s="24" t="str">
        <f t="shared" si="80"/>
        <v>PPG - ARTEX MAGNETIC     PLASTER          2250</v>
      </c>
      <c r="G1338" s="20" t="s">
        <v>6210</v>
      </c>
      <c r="H1338" s="49" t="s">
        <v>213</v>
      </c>
      <c r="I1338" s="18" t="s">
        <v>37</v>
      </c>
      <c r="J1338" s="18" t="s">
        <v>38</v>
      </c>
      <c r="K1338" t="s">
        <v>39</v>
      </c>
      <c r="L1338" s="50">
        <f>VLOOKUP(A1338,'[3]Price info'!A:D,4,FALSE)</f>
        <v>120.1</v>
      </c>
      <c r="M1338" s="18" t="s">
        <v>214</v>
      </c>
      <c r="N1338" s="20">
        <v>3105</v>
      </c>
      <c r="P1338" s="16">
        <f>VLOOKUP(A1338,'[3]Price info'!A:H,8,FALSE)</f>
        <v>120.1</v>
      </c>
      <c r="Q1338" s="17">
        <f t="shared" si="81"/>
        <v>1</v>
      </c>
      <c r="S1338" s="16" t="e">
        <f>VLOOKUP(A1338,[4]Sales!$E:$G,3,FALSE)</f>
        <v>#N/A</v>
      </c>
      <c r="T1338" s="19" t="e">
        <f>VLOOKUP(A1338,[4]Volume!$E:$G,3,FALSE)</f>
        <v>#N/A</v>
      </c>
      <c r="U1338" s="19" t="e">
        <f>VLOOKUP(A1338,[4]Piece!$E:$G,3,FALSE)</f>
        <v>#N/A</v>
      </c>
      <c r="V1338" s="21" t="e">
        <f t="shared" si="82"/>
        <v>#N/A</v>
      </c>
      <c r="W1338" s="16" t="e">
        <f t="shared" si="83"/>
        <v>#N/A</v>
      </c>
    </row>
    <row r="1339" spans="1:23" hidden="1" x14ac:dyDescent="0.3">
      <c r="A1339" s="71" t="s">
        <v>2677</v>
      </c>
      <c r="B1339" s="71" t="s">
        <v>2677</v>
      </c>
      <c r="C1339" s="47" t="s">
        <v>33</v>
      </c>
      <c r="D1339" s="48" t="s">
        <v>34</v>
      </c>
      <c r="E1339" s="18" t="s">
        <v>2678</v>
      </c>
      <c r="F1339" s="24" t="str">
        <f t="shared" si="80"/>
        <v>PPG - ARTEX MULTI FINISH 25KG             2250</v>
      </c>
      <c r="G1339" s="20" t="s">
        <v>6211</v>
      </c>
      <c r="H1339" s="49" t="s">
        <v>213</v>
      </c>
      <c r="I1339" s="18" t="s">
        <v>37</v>
      </c>
      <c r="J1339" s="18" t="s">
        <v>38</v>
      </c>
      <c r="K1339" t="s">
        <v>39</v>
      </c>
      <c r="L1339" s="50">
        <f>VLOOKUP(A1339,'[3]Price info'!A:D,4,FALSE)</f>
        <v>11.08</v>
      </c>
      <c r="M1339" s="18" t="s">
        <v>214</v>
      </c>
      <c r="N1339" s="20">
        <v>3105</v>
      </c>
      <c r="P1339" s="16">
        <f>VLOOKUP(A1339,'[3]Price info'!A:H,8,FALSE)</f>
        <v>11.08</v>
      </c>
      <c r="Q1339" s="17">
        <f t="shared" si="81"/>
        <v>1</v>
      </c>
      <c r="S1339" s="16" t="e">
        <f>VLOOKUP(A1339,[4]Sales!$E:$G,3,FALSE)</f>
        <v>#N/A</v>
      </c>
      <c r="T1339" s="19" t="e">
        <f>VLOOKUP(A1339,[4]Volume!$E:$G,3,FALSE)</f>
        <v>#N/A</v>
      </c>
      <c r="U1339" s="19" t="e">
        <f>VLOOKUP(A1339,[4]Piece!$E:$G,3,FALSE)</f>
        <v>#N/A</v>
      </c>
      <c r="V1339" s="21" t="e">
        <f t="shared" si="82"/>
        <v>#N/A</v>
      </c>
      <c r="W1339" s="16" t="e">
        <f t="shared" si="83"/>
        <v>#N/A</v>
      </c>
    </row>
    <row r="1340" spans="1:23" hidden="1" x14ac:dyDescent="0.3">
      <c r="A1340" s="71" t="s">
        <v>2679</v>
      </c>
      <c r="B1340" s="71" t="s">
        <v>2679</v>
      </c>
      <c r="C1340" s="51" t="s">
        <v>33</v>
      </c>
      <c r="D1340" s="48" t="s">
        <v>34</v>
      </c>
      <c r="E1340" s="18" t="s">
        <v>2680</v>
      </c>
      <c r="F1340" s="24" t="str">
        <f t="shared" si="80"/>
        <v>PPG - ARTEX U/C PLASTER  2.5KG      PLASTE2125</v>
      </c>
      <c r="G1340" s="20" t="s">
        <v>6212</v>
      </c>
      <c r="H1340" s="49" t="s">
        <v>213</v>
      </c>
      <c r="I1340" s="18" t="s">
        <v>37</v>
      </c>
      <c r="J1340" s="18" t="s">
        <v>38</v>
      </c>
      <c r="K1340" t="s">
        <v>39</v>
      </c>
      <c r="L1340" s="50">
        <f>VLOOKUP(A1340,'[3]Price info'!A:D,4,FALSE)</f>
        <v>11.73</v>
      </c>
      <c r="M1340" s="18" t="s">
        <v>214</v>
      </c>
      <c r="N1340" s="20">
        <v>3105</v>
      </c>
      <c r="P1340" s="16">
        <f>VLOOKUP(A1340,'[3]Price info'!A:H,8,FALSE)</f>
        <v>11.73</v>
      </c>
      <c r="Q1340" s="17">
        <f t="shared" si="81"/>
        <v>1</v>
      </c>
      <c r="S1340" s="16" t="e">
        <f>VLOOKUP(A1340,[4]Sales!$E:$G,3,FALSE)</f>
        <v>#N/A</v>
      </c>
      <c r="T1340" s="19" t="e">
        <f>VLOOKUP(A1340,[4]Volume!$E:$G,3,FALSE)</f>
        <v>#N/A</v>
      </c>
      <c r="U1340" s="19" t="e">
        <f>VLOOKUP(A1340,[4]Piece!$E:$G,3,FALSE)</f>
        <v>#N/A</v>
      </c>
      <c r="V1340" s="21" t="e">
        <f t="shared" si="82"/>
        <v>#N/A</v>
      </c>
      <c r="W1340" s="16" t="e">
        <f t="shared" si="83"/>
        <v>#N/A</v>
      </c>
    </row>
    <row r="1341" spans="1:23" hidden="1" x14ac:dyDescent="0.3">
      <c r="A1341" s="71" t="s">
        <v>2681</v>
      </c>
      <c r="B1341" s="71" t="s">
        <v>2681</v>
      </c>
      <c r="C1341" s="47" t="s">
        <v>33</v>
      </c>
      <c r="D1341" s="48" t="s">
        <v>34</v>
      </c>
      <c r="E1341" s="18" t="s">
        <v>1111</v>
      </c>
      <c r="F1341" s="24" t="str">
        <f t="shared" si="80"/>
        <v>PPG - BLINE READY MIXED  PASTE      0000000900</v>
      </c>
      <c r="G1341" s="20" t="s">
        <v>5424</v>
      </c>
      <c r="H1341" s="49" t="s">
        <v>213</v>
      </c>
      <c r="I1341" s="18" t="s">
        <v>37</v>
      </c>
      <c r="J1341" s="18" t="s">
        <v>38</v>
      </c>
      <c r="K1341" t="s">
        <v>39</v>
      </c>
      <c r="L1341" s="50">
        <f>VLOOKUP(A1341,'[3]Price info'!A:D,4,FALSE)</f>
        <v>42.36</v>
      </c>
      <c r="M1341" s="18" t="s">
        <v>214</v>
      </c>
      <c r="N1341" s="20">
        <v>3105</v>
      </c>
      <c r="P1341" s="16">
        <f>VLOOKUP(A1341,'[3]Price info'!A:H,8,FALSE)</f>
        <v>42.36</v>
      </c>
      <c r="Q1341" s="17">
        <f t="shared" si="81"/>
        <v>1</v>
      </c>
      <c r="S1341" s="16" t="e">
        <f>VLOOKUP(A1341,[4]Sales!$E:$G,3,FALSE)</f>
        <v>#N/A</v>
      </c>
      <c r="T1341" s="19" t="e">
        <f>VLOOKUP(A1341,[4]Volume!$E:$G,3,FALSE)</f>
        <v>#N/A</v>
      </c>
      <c r="U1341" s="19" t="e">
        <f>VLOOKUP(A1341,[4]Piece!$E:$G,3,FALSE)</f>
        <v>#N/A</v>
      </c>
      <c r="V1341" s="21" t="e">
        <f t="shared" si="82"/>
        <v>#N/A</v>
      </c>
      <c r="W1341" s="16" t="e">
        <f t="shared" si="83"/>
        <v>#N/A</v>
      </c>
    </row>
    <row r="1342" spans="1:23" hidden="1" x14ac:dyDescent="0.3">
      <c r="A1342" s="71" t="s">
        <v>2682</v>
      </c>
      <c r="B1342" s="71" t="s">
        <v>2682</v>
      </c>
      <c r="C1342" s="47" t="s">
        <v>33</v>
      </c>
      <c r="D1342" s="48" t="s">
        <v>34</v>
      </c>
      <c r="E1342" s="18" t="s">
        <v>2683</v>
      </c>
      <c r="F1342" s="24" t="str">
        <f t="shared" si="80"/>
        <v>PPG - BLKFR 2PK WB FLOOR EPOX PASTL 0000001500</v>
      </c>
      <c r="G1342" s="20" t="s">
        <v>6213</v>
      </c>
      <c r="H1342" s="49" t="s">
        <v>213</v>
      </c>
      <c r="I1342" s="18" t="s">
        <v>37</v>
      </c>
      <c r="J1342" s="18" t="s">
        <v>38</v>
      </c>
      <c r="K1342" t="s">
        <v>39</v>
      </c>
      <c r="L1342" s="50">
        <f>VLOOKUP(A1342,'[3]Price info'!A:D,4,FALSE)</f>
        <v>151.91999999999999</v>
      </c>
      <c r="M1342" s="18" t="s">
        <v>214</v>
      </c>
      <c r="N1342" s="20">
        <v>3105</v>
      </c>
      <c r="P1342" s="16">
        <f>VLOOKUP(A1342,'[3]Price info'!A:H,8,FALSE)</f>
        <v>151.91999999999999</v>
      </c>
      <c r="Q1342" s="17">
        <f t="shared" si="81"/>
        <v>1</v>
      </c>
      <c r="S1342" s="16" t="e">
        <f>VLOOKUP(A1342,[4]Sales!$E:$G,3,FALSE)</f>
        <v>#N/A</v>
      </c>
      <c r="T1342" s="19" t="e">
        <f>VLOOKUP(A1342,[4]Volume!$E:$G,3,FALSE)</f>
        <v>#N/A</v>
      </c>
      <c r="U1342" s="19" t="e">
        <f>VLOOKUP(A1342,[4]Piece!$E:$G,3,FALSE)</f>
        <v>#N/A</v>
      </c>
      <c r="V1342" s="21" t="e">
        <f t="shared" si="82"/>
        <v>#N/A</v>
      </c>
      <c r="W1342" s="16" t="e">
        <f t="shared" si="83"/>
        <v>#N/A</v>
      </c>
    </row>
    <row r="1343" spans="1:23" hidden="1" x14ac:dyDescent="0.3">
      <c r="A1343" s="71" t="s">
        <v>2684</v>
      </c>
      <c r="B1343" s="71" t="s">
        <v>2684</v>
      </c>
      <c r="C1343" s="51" t="s">
        <v>33</v>
      </c>
      <c r="D1343" s="48" t="s">
        <v>34</v>
      </c>
      <c r="E1343" s="18" t="s">
        <v>2685</v>
      </c>
      <c r="F1343" s="24" t="str">
        <f t="shared" si="80"/>
        <v>PPG - BLKFR B/F 2 PK WB  14C39      0000001500</v>
      </c>
      <c r="G1343" s="20" t="s">
        <v>6214</v>
      </c>
      <c r="H1343" s="49" t="s">
        <v>213</v>
      </c>
      <c r="I1343" s="18" t="s">
        <v>37</v>
      </c>
      <c r="J1343" s="18" t="s">
        <v>38</v>
      </c>
      <c r="K1343" t="s">
        <v>39</v>
      </c>
      <c r="L1343" s="50">
        <f>VLOOKUP(A1343,'[3]Price info'!A:D,4,FALSE)</f>
        <v>201.64</v>
      </c>
      <c r="M1343" s="18" t="s">
        <v>214</v>
      </c>
      <c r="N1343" s="20">
        <v>3105</v>
      </c>
      <c r="P1343" s="16">
        <f>VLOOKUP(A1343,'[3]Price info'!A:H,8,FALSE)</f>
        <v>201.64</v>
      </c>
      <c r="Q1343" s="17">
        <f t="shared" si="81"/>
        <v>1</v>
      </c>
      <c r="S1343" s="16" t="e">
        <f>VLOOKUP(A1343,[4]Sales!$E:$G,3,FALSE)</f>
        <v>#N/A</v>
      </c>
      <c r="T1343" s="19" t="e">
        <f>VLOOKUP(A1343,[4]Volume!$E:$G,3,FALSE)</f>
        <v>#N/A</v>
      </c>
      <c r="U1343" s="19" t="e">
        <f>VLOOKUP(A1343,[4]Piece!$E:$G,3,FALSE)</f>
        <v>#N/A</v>
      </c>
      <c r="V1343" s="21" t="e">
        <f t="shared" si="82"/>
        <v>#N/A</v>
      </c>
      <c r="W1343" s="16" t="e">
        <f t="shared" si="83"/>
        <v>#N/A</v>
      </c>
    </row>
    <row r="1344" spans="1:23" hidden="1" x14ac:dyDescent="0.3">
      <c r="A1344" s="71" t="s">
        <v>2686</v>
      </c>
      <c r="B1344" s="71" t="s">
        <v>2686</v>
      </c>
      <c r="C1344" s="47" t="s">
        <v>33</v>
      </c>
      <c r="D1344" s="48" t="s">
        <v>34</v>
      </c>
      <c r="E1344" s="18" t="s">
        <v>2687</v>
      </c>
      <c r="F1344" s="24" t="str">
        <f t="shared" si="80"/>
        <v>PPG - BLKFR HIGH TRAFF   TAL BASE   0000001500</v>
      </c>
      <c r="G1344" s="20" t="s">
        <v>6215</v>
      </c>
      <c r="H1344" s="49" t="s">
        <v>213</v>
      </c>
      <c r="I1344" s="18" t="s">
        <v>37</v>
      </c>
      <c r="J1344" s="18" t="s">
        <v>38</v>
      </c>
      <c r="K1344" t="s">
        <v>39</v>
      </c>
      <c r="L1344" s="50">
        <f>VLOOKUP(A1344,'[3]Price info'!A:D,4,FALSE)</f>
        <v>115.84</v>
      </c>
      <c r="M1344" s="18" t="s">
        <v>214</v>
      </c>
      <c r="N1344" s="20">
        <v>3105</v>
      </c>
      <c r="P1344" s="16">
        <f>VLOOKUP(A1344,'[3]Price info'!A:H,8,FALSE)</f>
        <v>115.84</v>
      </c>
      <c r="Q1344" s="17">
        <f t="shared" si="81"/>
        <v>1</v>
      </c>
      <c r="S1344" s="16" t="e">
        <f>VLOOKUP(A1344,[4]Sales!$E:$G,3,FALSE)</f>
        <v>#N/A</v>
      </c>
      <c r="T1344" s="19" t="e">
        <f>VLOOKUP(A1344,[4]Volume!$E:$G,3,FALSE)</f>
        <v>#N/A</v>
      </c>
      <c r="U1344" s="19" t="e">
        <f>VLOOKUP(A1344,[4]Piece!$E:$G,3,FALSE)</f>
        <v>#N/A</v>
      </c>
      <c r="V1344" s="21" t="e">
        <f t="shared" si="82"/>
        <v>#N/A</v>
      </c>
      <c r="W1344" s="16" t="e">
        <f t="shared" si="83"/>
        <v>#N/A</v>
      </c>
    </row>
    <row r="1345" spans="1:23" hidden="1" x14ac:dyDescent="0.3">
      <c r="A1345" s="71" t="s">
        <v>2688</v>
      </c>
      <c r="B1345" s="71" t="s">
        <v>2688</v>
      </c>
      <c r="C1345" s="47" t="s">
        <v>33</v>
      </c>
      <c r="D1345" s="48" t="s">
        <v>34</v>
      </c>
      <c r="E1345" s="18" t="s">
        <v>2689</v>
      </c>
      <c r="F1345" s="24" t="str">
        <f t="shared" si="80"/>
        <v>PPG - BLKFR POLY FLOOR   LIGHT GREY 0000001500</v>
      </c>
      <c r="G1345" s="20" t="s">
        <v>6216</v>
      </c>
      <c r="H1345" s="49" t="s">
        <v>213</v>
      </c>
      <c r="I1345" s="18" t="s">
        <v>37</v>
      </c>
      <c r="J1345" s="18" t="s">
        <v>38</v>
      </c>
      <c r="K1345" t="s">
        <v>39</v>
      </c>
      <c r="L1345" s="50">
        <f>VLOOKUP(A1345,'[3]Price info'!A:D,4,FALSE)</f>
        <v>58.7</v>
      </c>
      <c r="M1345" s="18" t="s">
        <v>214</v>
      </c>
      <c r="N1345" s="20">
        <v>3105</v>
      </c>
      <c r="P1345" s="16">
        <f>VLOOKUP(A1345,'[3]Price info'!A:H,8,FALSE)</f>
        <v>58.7</v>
      </c>
      <c r="Q1345" s="17">
        <f t="shared" si="81"/>
        <v>1</v>
      </c>
      <c r="S1345" s="16" t="e">
        <f>VLOOKUP(A1345,[4]Sales!$E:$G,3,FALSE)</f>
        <v>#N/A</v>
      </c>
      <c r="T1345" s="19" t="e">
        <f>VLOOKUP(A1345,[4]Volume!$E:$G,3,FALSE)</f>
        <v>#N/A</v>
      </c>
      <c r="U1345" s="19" t="e">
        <f>VLOOKUP(A1345,[4]Piece!$E:$G,3,FALSE)</f>
        <v>#N/A</v>
      </c>
      <c r="V1345" s="21" t="e">
        <f t="shared" si="82"/>
        <v>#N/A</v>
      </c>
      <c r="W1345" s="16" t="e">
        <f t="shared" si="83"/>
        <v>#N/A</v>
      </c>
    </row>
    <row r="1346" spans="1:23" hidden="1" x14ac:dyDescent="0.3">
      <c r="A1346" s="71" t="s">
        <v>2690</v>
      </c>
      <c r="B1346" s="71" t="s">
        <v>2690</v>
      </c>
      <c r="C1346" s="51" t="s">
        <v>33</v>
      </c>
      <c r="D1346" s="48" t="s">
        <v>34</v>
      </c>
      <c r="E1346" s="18" t="s">
        <v>2691</v>
      </c>
      <c r="F1346" s="24" t="str">
        <f t="shared" si="80"/>
        <v>PPG - BLKFR PRO EPOXY    CLEAR      0000001500</v>
      </c>
      <c r="G1346" s="20" t="s">
        <v>6217</v>
      </c>
      <c r="H1346" s="49" t="s">
        <v>213</v>
      </c>
      <c r="I1346" s="18" t="s">
        <v>37</v>
      </c>
      <c r="J1346" s="18" t="s">
        <v>38</v>
      </c>
      <c r="K1346" t="s">
        <v>39</v>
      </c>
      <c r="L1346" s="50">
        <f>VLOOKUP(A1346,'[3]Price info'!A:D,4,FALSE)</f>
        <v>147.33000000000001</v>
      </c>
      <c r="M1346" s="18" t="s">
        <v>214</v>
      </c>
      <c r="N1346" s="20">
        <v>3105</v>
      </c>
      <c r="P1346" s="16">
        <f>VLOOKUP(A1346,'[3]Price info'!A:H,8,FALSE)</f>
        <v>147.33000000000001</v>
      </c>
      <c r="Q1346" s="17">
        <f t="shared" si="81"/>
        <v>1</v>
      </c>
      <c r="S1346" s="16" t="e">
        <f>VLOOKUP(A1346,[4]Sales!$E:$G,3,FALSE)</f>
        <v>#N/A</v>
      </c>
      <c r="T1346" s="19" t="e">
        <f>VLOOKUP(A1346,[4]Volume!$E:$G,3,FALSE)</f>
        <v>#N/A</v>
      </c>
      <c r="U1346" s="19" t="e">
        <f>VLOOKUP(A1346,[4]Piece!$E:$G,3,FALSE)</f>
        <v>#N/A</v>
      </c>
      <c r="V1346" s="21" t="e">
        <f t="shared" si="82"/>
        <v>#N/A</v>
      </c>
      <c r="W1346" s="16" t="e">
        <f t="shared" si="83"/>
        <v>#N/A</v>
      </c>
    </row>
    <row r="1347" spans="1:23" hidden="1" x14ac:dyDescent="0.3">
      <c r="A1347" s="71" t="s">
        <v>2692</v>
      </c>
      <c r="B1347" s="71" t="s">
        <v>2692</v>
      </c>
      <c r="C1347" s="47" t="s">
        <v>33</v>
      </c>
      <c r="D1347" s="48" t="s">
        <v>34</v>
      </c>
      <c r="E1347" s="18" t="s">
        <v>2693</v>
      </c>
      <c r="F1347" s="24" t="str">
        <f t="shared" ref="F1347:F1410" si="84">D1347&amp;" - "&amp;E1347</f>
        <v>PPG - BLKFR QD90 RUST    PRIMER     0000001250</v>
      </c>
      <c r="G1347" s="20" t="s">
        <v>6218</v>
      </c>
      <c r="H1347" s="49" t="s">
        <v>213</v>
      </c>
      <c r="I1347" s="18" t="s">
        <v>37</v>
      </c>
      <c r="J1347" s="18" t="s">
        <v>38</v>
      </c>
      <c r="K1347" t="s">
        <v>39</v>
      </c>
      <c r="L1347" s="50">
        <f>VLOOKUP(A1347,'[3]Price info'!A:D,4,FALSE)</f>
        <v>36.71</v>
      </c>
      <c r="M1347" s="18" t="s">
        <v>214</v>
      </c>
      <c r="N1347" s="20">
        <v>3105</v>
      </c>
      <c r="P1347" s="16">
        <f>VLOOKUP(A1347,'[3]Price info'!A:H,8,FALSE)</f>
        <v>36.71</v>
      </c>
      <c r="Q1347" s="17">
        <f t="shared" ref="Q1347:Q1410" si="85">P1347/L1347</f>
        <v>1</v>
      </c>
      <c r="S1347" s="16" t="e">
        <f>VLOOKUP(A1347,[4]Sales!$E:$G,3,FALSE)</f>
        <v>#N/A</v>
      </c>
      <c r="T1347" s="19" t="e">
        <f>VLOOKUP(A1347,[4]Volume!$E:$G,3,FALSE)</f>
        <v>#N/A</v>
      </c>
      <c r="U1347" s="19" t="e">
        <f>VLOOKUP(A1347,[4]Piece!$E:$G,3,FALSE)</f>
        <v>#N/A</v>
      </c>
      <c r="V1347" s="21" t="e">
        <f t="shared" ref="V1347:V1410" si="86">U1347*P1347</f>
        <v>#N/A</v>
      </c>
      <c r="W1347" s="16" t="e">
        <f t="shared" ref="W1347:W1410" si="87">V1347-S1347</f>
        <v>#N/A</v>
      </c>
    </row>
    <row r="1348" spans="1:23" hidden="1" x14ac:dyDescent="0.3">
      <c r="A1348" s="71" t="s">
        <v>2694</v>
      </c>
      <c r="B1348" s="71" t="s">
        <v>2694</v>
      </c>
      <c r="C1348" s="47" t="s">
        <v>33</v>
      </c>
      <c r="D1348" s="48" t="s">
        <v>34</v>
      </c>
      <c r="E1348" s="18" t="s">
        <v>2695</v>
      </c>
      <c r="F1348" s="24" t="str">
        <f t="shared" si="84"/>
        <v>PPG - BLKFR TEREBINE     DRIERS     0000000250</v>
      </c>
      <c r="G1348" s="20" t="s">
        <v>6219</v>
      </c>
      <c r="H1348" s="49" t="s">
        <v>213</v>
      </c>
      <c r="I1348" s="18" t="s">
        <v>37</v>
      </c>
      <c r="J1348" s="18" t="s">
        <v>38</v>
      </c>
      <c r="K1348" t="s">
        <v>39</v>
      </c>
      <c r="L1348" s="50">
        <f>VLOOKUP(A1348,'[3]Price info'!A:D,4,FALSE)</f>
        <v>6.91</v>
      </c>
      <c r="M1348" s="18" t="s">
        <v>214</v>
      </c>
      <c r="N1348" s="20">
        <v>3105</v>
      </c>
      <c r="P1348" s="16">
        <f>VLOOKUP(A1348,'[3]Price info'!A:H,8,FALSE)</f>
        <v>6.91</v>
      </c>
      <c r="Q1348" s="17">
        <f t="shared" si="85"/>
        <v>1</v>
      </c>
      <c r="S1348" s="16" t="e">
        <f>VLOOKUP(A1348,[4]Sales!$E:$G,3,FALSE)</f>
        <v>#N/A</v>
      </c>
      <c r="T1348" s="19" t="e">
        <f>VLOOKUP(A1348,[4]Volume!$E:$G,3,FALSE)</f>
        <v>#N/A</v>
      </c>
      <c r="U1348" s="19" t="e">
        <f>VLOOKUP(A1348,[4]Piece!$E:$G,3,FALSE)</f>
        <v>#N/A</v>
      </c>
      <c r="V1348" s="21" t="e">
        <f t="shared" si="86"/>
        <v>#N/A</v>
      </c>
      <c r="W1348" s="16" t="e">
        <f t="shared" si="87"/>
        <v>#N/A</v>
      </c>
    </row>
    <row r="1349" spans="1:23" hidden="1" x14ac:dyDescent="0.3">
      <c r="A1349" s="71" t="s">
        <v>2696</v>
      </c>
      <c r="B1349" s="71" t="s">
        <v>2696</v>
      </c>
      <c r="C1349" s="51" t="s">
        <v>33</v>
      </c>
      <c r="D1349" s="48" t="s">
        <v>34</v>
      </c>
      <c r="E1349" s="18" t="s">
        <v>2697</v>
      </c>
      <c r="F1349" s="24" t="str">
        <f t="shared" si="84"/>
        <v>PPG - BLKFR TEREBINE     DRIERS     0000000500</v>
      </c>
      <c r="G1349" s="20" t="s">
        <v>6220</v>
      </c>
      <c r="H1349" s="49" t="s">
        <v>213</v>
      </c>
      <c r="I1349" s="18" t="s">
        <v>37</v>
      </c>
      <c r="J1349" s="18" t="s">
        <v>38</v>
      </c>
      <c r="K1349" t="s">
        <v>39</v>
      </c>
      <c r="L1349" s="50">
        <f>VLOOKUP(A1349,'[3]Price info'!A:D,4,FALSE)</f>
        <v>10.15</v>
      </c>
      <c r="M1349" s="18" t="s">
        <v>214</v>
      </c>
      <c r="N1349" s="20">
        <v>3105</v>
      </c>
      <c r="P1349" s="16">
        <f>VLOOKUP(A1349,'[3]Price info'!A:H,8,FALSE)</f>
        <v>10.15</v>
      </c>
      <c r="Q1349" s="17">
        <f t="shared" si="85"/>
        <v>1</v>
      </c>
      <c r="S1349" s="16" t="e">
        <f>VLOOKUP(A1349,[4]Sales!$E:$G,3,FALSE)</f>
        <v>#N/A</v>
      </c>
      <c r="T1349" s="19" t="e">
        <f>VLOOKUP(A1349,[4]Volume!$E:$G,3,FALSE)</f>
        <v>#N/A</v>
      </c>
      <c r="U1349" s="19" t="e">
        <f>VLOOKUP(A1349,[4]Piece!$E:$G,3,FALSE)</f>
        <v>#N/A</v>
      </c>
      <c r="V1349" s="21" t="e">
        <f t="shared" si="86"/>
        <v>#N/A</v>
      </c>
      <c r="W1349" s="16" t="e">
        <f t="shared" si="87"/>
        <v>#N/A</v>
      </c>
    </row>
    <row r="1350" spans="1:23" hidden="1" x14ac:dyDescent="0.3">
      <c r="A1350" s="71" t="s">
        <v>2698</v>
      </c>
      <c r="B1350" s="71" t="s">
        <v>2698</v>
      </c>
      <c r="C1350" s="47" t="s">
        <v>33</v>
      </c>
      <c r="D1350" s="48" t="s">
        <v>34</v>
      </c>
      <c r="E1350" s="18" t="s">
        <v>2699</v>
      </c>
      <c r="F1350" s="24" t="str">
        <f t="shared" si="84"/>
        <v>PPG - BLKRO DB HI VIS    VEST XXL</v>
      </c>
      <c r="G1350" s="20" t="s">
        <v>6221</v>
      </c>
      <c r="H1350" s="49" t="s">
        <v>213</v>
      </c>
      <c r="I1350" s="18" t="s">
        <v>37</v>
      </c>
      <c r="J1350" s="18" t="s">
        <v>38</v>
      </c>
      <c r="K1350" t="s">
        <v>39</v>
      </c>
      <c r="L1350" s="50">
        <f>VLOOKUP(A1350,'[3]Price info'!A:D,4,FALSE)</f>
        <v>7.61</v>
      </c>
      <c r="M1350" s="18" t="s">
        <v>214</v>
      </c>
      <c r="N1350" s="20">
        <v>3105</v>
      </c>
      <c r="P1350" s="16">
        <f>VLOOKUP(A1350,'[3]Price info'!A:H,8,FALSE)</f>
        <v>7.61</v>
      </c>
      <c r="Q1350" s="17">
        <f t="shared" si="85"/>
        <v>1</v>
      </c>
      <c r="S1350" s="16" t="e">
        <f>VLOOKUP(A1350,[4]Sales!$E:$G,3,FALSE)</f>
        <v>#N/A</v>
      </c>
      <c r="T1350" s="19" t="e">
        <f>VLOOKUP(A1350,[4]Volume!$E:$G,3,FALSE)</f>
        <v>#N/A</v>
      </c>
      <c r="U1350" s="19" t="e">
        <f>VLOOKUP(A1350,[4]Piece!$E:$G,3,FALSE)</f>
        <v>#N/A</v>
      </c>
      <c r="V1350" s="21" t="e">
        <f t="shared" si="86"/>
        <v>#N/A</v>
      </c>
      <c r="W1350" s="16" t="e">
        <f t="shared" si="87"/>
        <v>#N/A</v>
      </c>
    </row>
    <row r="1351" spans="1:23" hidden="1" x14ac:dyDescent="0.3">
      <c r="A1351" s="71" t="s">
        <v>2700</v>
      </c>
      <c r="B1351" s="71" t="s">
        <v>2700</v>
      </c>
      <c r="C1351" s="47" t="s">
        <v>33</v>
      </c>
      <c r="D1351" s="48" t="s">
        <v>34</v>
      </c>
      <c r="E1351" s="18" t="s">
        <v>2701</v>
      </c>
      <c r="F1351" s="24" t="str">
        <f t="shared" si="84"/>
        <v>PPG - BLKRO HIVIS YELLOW POLO SMALL</v>
      </c>
      <c r="G1351" s="20" t="s">
        <v>6222</v>
      </c>
      <c r="H1351" s="49" t="s">
        <v>213</v>
      </c>
      <c r="I1351" s="18" t="s">
        <v>37</v>
      </c>
      <c r="J1351" s="18" t="s">
        <v>38</v>
      </c>
      <c r="K1351" t="s">
        <v>39</v>
      </c>
      <c r="L1351" s="50">
        <f>VLOOKUP(A1351,'[3]Price info'!A:D,4,FALSE)</f>
        <v>11.8</v>
      </c>
      <c r="M1351" s="18" t="s">
        <v>214</v>
      </c>
      <c r="N1351" s="20">
        <v>3105</v>
      </c>
      <c r="P1351" s="16">
        <f>VLOOKUP(A1351,'[3]Price info'!A:H,8,FALSE)</f>
        <v>11.8</v>
      </c>
      <c r="Q1351" s="17">
        <f t="shared" si="85"/>
        <v>1</v>
      </c>
      <c r="S1351" s="16" t="e">
        <f>VLOOKUP(A1351,[4]Sales!$E:$G,3,FALSE)</f>
        <v>#N/A</v>
      </c>
      <c r="T1351" s="19" t="e">
        <f>VLOOKUP(A1351,[4]Volume!$E:$G,3,FALSE)</f>
        <v>#N/A</v>
      </c>
      <c r="U1351" s="19" t="e">
        <f>VLOOKUP(A1351,[4]Piece!$E:$G,3,FALSE)</f>
        <v>#N/A</v>
      </c>
      <c r="V1351" s="21" t="e">
        <f t="shared" si="86"/>
        <v>#N/A</v>
      </c>
      <c r="W1351" s="16" t="e">
        <f t="shared" si="87"/>
        <v>#N/A</v>
      </c>
    </row>
    <row r="1352" spans="1:23" hidden="1" x14ac:dyDescent="0.3">
      <c r="A1352" s="71" t="s">
        <v>2702</v>
      </c>
      <c r="B1352" s="71" t="s">
        <v>2702</v>
      </c>
      <c r="C1352" s="51" t="s">
        <v>33</v>
      </c>
      <c r="D1352" s="48" t="s">
        <v>34</v>
      </c>
      <c r="E1352" s="18" t="s">
        <v>2703</v>
      </c>
      <c r="F1352" s="24" t="str">
        <f t="shared" si="84"/>
        <v>PPG - BLKRO MOULD DUST   RESPIRATOR FFP2 (2XMA</v>
      </c>
      <c r="G1352" s="20" t="s">
        <v>6223</v>
      </c>
      <c r="H1352" s="49" t="s">
        <v>213</v>
      </c>
      <c r="I1352" s="18" t="s">
        <v>37</v>
      </c>
      <c r="J1352" s="18" t="s">
        <v>38</v>
      </c>
      <c r="K1352" t="s">
        <v>39</v>
      </c>
      <c r="L1352" s="50">
        <f>VLOOKUP(A1352,'[3]Price info'!A:D,4,FALSE)</f>
        <v>5.95</v>
      </c>
      <c r="M1352" s="18" t="s">
        <v>214</v>
      </c>
      <c r="N1352" s="20">
        <v>3105</v>
      </c>
      <c r="P1352" s="16">
        <f>VLOOKUP(A1352,'[3]Price info'!A:H,8,FALSE)</f>
        <v>5.95</v>
      </c>
      <c r="Q1352" s="17">
        <f t="shared" si="85"/>
        <v>1</v>
      </c>
      <c r="S1352" s="16" t="e">
        <f>VLOOKUP(A1352,[4]Sales!$E:$G,3,FALSE)</f>
        <v>#N/A</v>
      </c>
      <c r="T1352" s="19" t="e">
        <f>VLOOKUP(A1352,[4]Volume!$E:$G,3,FALSE)</f>
        <v>#N/A</v>
      </c>
      <c r="U1352" s="19" t="e">
        <f>VLOOKUP(A1352,[4]Piece!$E:$G,3,FALSE)</f>
        <v>#N/A</v>
      </c>
      <c r="V1352" s="21" t="e">
        <f t="shared" si="86"/>
        <v>#N/A</v>
      </c>
      <c r="W1352" s="16" t="e">
        <f t="shared" si="87"/>
        <v>#N/A</v>
      </c>
    </row>
    <row r="1353" spans="1:23" hidden="1" x14ac:dyDescent="0.3">
      <c r="A1353" s="71" t="s">
        <v>2704</v>
      </c>
      <c r="B1353" s="71" t="s">
        <v>2704</v>
      </c>
      <c r="C1353" s="47" t="s">
        <v>33</v>
      </c>
      <c r="D1353" s="48" t="s">
        <v>34</v>
      </c>
      <c r="E1353" s="18" t="s">
        <v>2705</v>
      </c>
      <c r="F1353" s="24" t="str">
        <f t="shared" si="84"/>
        <v>PPG - BLKRO MOULD PAINT  RESPIRATOR FFP2 (2XMA</v>
      </c>
      <c r="G1353" s="20" t="s">
        <v>6224</v>
      </c>
      <c r="H1353" s="49" t="s">
        <v>213</v>
      </c>
      <c r="I1353" s="18" t="s">
        <v>37</v>
      </c>
      <c r="J1353" s="18" t="s">
        <v>38</v>
      </c>
      <c r="K1353" t="s">
        <v>39</v>
      </c>
      <c r="L1353" s="50">
        <f>VLOOKUP(A1353,'[3]Price info'!A:D,4,FALSE)</f>
        <v>7.97</v>
      </c>
      <c r="M1353" s="18" t="s">
        <v>214</v>
      </c>
      <c r="N1353" s="20">
        <v>3105</v>
      </c>
      <c r="P1353" s="16">
        <f>VLOOKUP(A1353,'[3]Price info'!A:H,8,FALSE)</f>
        <v>7.97</v>
      </c>
      <c r="Q1353" s="17">
        <f t="shared" si="85"/>
        <v>1</v>
      </c>
      <c r="S1353" s="16" t="e">
        <f>VLOOKUP(A1353,[4]Sales!$E:$G,3,FALSE)</f>
        <v>#N/A</v>
      </c>
      <c r="T1353" s="19" t="e">
        <f>VLOOKUP(A1353,[4]Volume!$E:$G,3,FALSE)</f>
        <v>#N/A</v>
      </c>
      <c r="U1353" s="19" t="e">
        <f>VLOOKUP(A1353,[4]Piece!$E:$G,3,FALSE)</f>
        <v>#N/A</v>
      </c>
      <c r="V1353" s="21" t="e">
        <f t="shared" si="86"/>
        <v>#N/A</v>
      </c>
      <c r="W1353" s="16" t="e">
        <f t="shared" si="87"/>
        <v>#N/A</v>
      </c>
    </row>
    <row r="1354" spans="1:23" hidden="1" x14ac:dyDescent="0.3">
      <c r="A1354" s="71" t="s">
        <v>2706</v>
      </c>
      <c r="B1354" s="71" t="s">
        <v>2706</v>
      </c>
      <c r="C1354" s="47" t="s">
        <v>33</v>
      </c>
      <c r="D1354" s="48" t="s">
        <v>34</v>
      </c>
      <c r="E1354" s="18" t="s">
        <v>2707</v>
      </c>
      <c r="F1354" s="24" t="str">
        <f t="shared" si="84"/>
        <v>PPG - BLKRO PAINTERS     GLOVE</v>
      </c>
      <c r="G1354" s="20" t="s">
        <v>6225</v>
      </c>
      <c r="H1354" s="49" t="s">
        <v>213</v>
      </c>
      <c r="I1354" s="18" t="s">
        <v>37</v>
      </c>
      <c r="J1354" s="18" t="s">
        <v>38</v>
      </c>
      <c r="K1354" t="s">
        <v>39</v>
      </c>
      <c r="L1354" s="50">
        <f>VLOOKUP(A1354,'[3]Price info'!A:D,4,FALSE)</f>
        <v>1.73</v>
      </c>
      <c r="M1354" s="18" t="s">
        <v>214</v>
      </c>
      <c r="N1354" s="20">
        <v>3105</v>
      </c>
      <c r="P1354" s="16">
        <f>VLOOKUP(A1354,'[3]Price info'!A:H,8,FALSE)</f>
        <v>1.73</v>
      </c>
      <c r="Q1354" s="17">
        <f t="shared" si="85"/>
        <v>1</v>
      </c>
      <c r="S1354" s="16" t="e">
        <f>VLOOKUP(A1354,[4]Sales!$E:$G,3,FALSE)</f>
        <v>#N/A</v>
      </c>
      <c r="T1354" s="19" t="e">
        <f>VLOOKUP(A1354,[4]Volume!$E:$G,3,FALSE)</f>
        <v>#N/A</v>
      </c>
      <c r="U1354" s="19" t="e">
        <f>VLOOKUP(A1354,[4]Piece!$E:$G,3,FALSE)</f>
        <v>#N/A</v>
      </c>
      <c r="V1354" s="21" t="e">
        <f t="shared" si="86"/>
        <v>#N/A</v>
      </c>
      <c r="W1354" s="16" t="e">
        <f t="shared" si="87"/>
        <v>#N/A</v>
      </c>
    </row>
    <row r="1355" spans="1:23" hidden="1" x14ac:dyDescent="0.3">
      <c r="A1355" s="71" t="s">
        <v>2708</v>
      </c>
      <c r="B1355" s="71" t="s">
        <v>2708</v>
      </c>
      <c r="C1355" s="51" t="s">
        <v>33</v>
      </c>
      <c r="D1355" s="48" t="s">
        <v>34</v>
      </c>
      <c r="E1355" s="18" t="s">
        <v>2709</v>
      </c>
      <c r="F1355" s="24" t="str">
        <f t="shared" si="84"/>
        <v>PPG - BLKRO REPLACE CART A1P2 FOR   A1P2 73092</v>
      </c>
      <c r="G1355" s="20" t="s">
        <v>6226</v>
      </c>
      <c r="H1355" s="49" t="s">
        <v>213</v>
      </c>
      <c r="I1355" s="18" t="s">
        <v>37</v>
      </c>
      <c r="J1355" s="18" t="s">
        <v>38</v>
      </c>
      <c r="K1355" t="s">
        <v>39</v>
      </c>
      <c r="L1355" s="50">
        <f>VLOOKUP(A1355,'[3]Price info'!A:D,4,FALSE)</f>
        <v>17.059999999999999</v>
      </c>
      <c r="M1355" s="18" t="s">
        <v>214</v>
      </c>
      <c r="N1355" s="20">
        <v>3105</v>
      </c>
      <c r="P1355" s="16">
        <f>VLOOKUP(A1355,'[3]Price info'!A:H,8,FALSE)</f>
        <v>17.059999999999999</v>
      </c>
      <c r="Q1355" s="17">
        <f t="shared" si="85"/>
        <v>1</v>
      </c>
      <c r="S1355" s="16" t="e">
        <f>VLOOKUP(A1355,[4]Sales!$E:$G,3,FALSE)</f>
        <v>#N/A</v>
      </c>
      <c r="T1355" s="19" t="e">
        <f>VLOOKUP(A1355,[4]Volume!$E:$G,3,FALSE)</f>
        <v>#N/A</v>
      </c>
      <c r="U1355" s="19" t="e">
        <f>VLOOKUP(A1355,[4]Piece!$E:$G,3,FALSE)</f>
        <v>#N/A</v>
      </c>
      <c r="V1355" s="21" t="e">
        <f t="shared" si="86"/>
        <v>#N/A</v>
      </c>
      <c r="W1355" s="16" t="e">
        <f t="shared" si="87"/>
        <v>#N/A</v>
      </c>
    </row>
    <row r="1356" spans="1:23" hidden="1" x14ac:dyDescent="0.3">
      <c r="A1356" s="71" t="s">
        <v>2710</v>
      </c>
      <c r="B1356" s="71" t="s">
        <v>2710</v>
      </c>
      <c r="C1356" s="47" t="s">
        <v>33</v>
      </c>
      <c r="D1356" s="48" t="s">
        <v>34</v>
      </c>
      <c r="E1356" s="18" t="s">
        <v>2711</v>
      </c>
      <c r="F1356" s="24" t="str">
        <f t="shared" si="84"/>
        <v>PPG - BLKRO SAFETY       SPECTACLES</v>
      </c>
      <c r="G1356" s="20" t="s">
        <v>6227</v>
      </c>
      <c r="H1356" s="49" t="s">
        <v>213</v>
      </c>
      <c r="I1356" s="18" t="s">
        <v>37</v>
      </c>
      <c r="J1356" s="18" t="s">
        <v>38</v>
      </c>
      <c r="K1356" t="s">
        <v>39</v>
      </c>
      <c r="L1356" s="50">
        <f>VLOOKUP(A1356,'[3]Price info'!A:D,4,FALSE)</f>
        <v>7.64</v>
      </c>
      <c r="M1356" s="18" t="s">
        <v>214</v>
      </c>
      <c r="N1356" s="20">
        <v>3105</v>
      </c>
      <c r="P1356" s="16">
        <f>VLOOKUP(A1356,'[3]Price info'!A:H,8,FALSE)</f>
        <v>7.64</v>
      </c>
      <c r="Q1356" s="17">
        <f t="shared" si="85"/>
        <v>1</v>
      </c>
      <c r="S1356" s="16">
        <f>VLOOKUP(A1356,[4]Sales!$E:$G,3,FALSE)</f>
        <v>23.16</v>
      </c>
      <c r="T1356" s="19">
        <f>VLOOKUP(A1356,[4]Volume!$E:$G,3,FALSE)</f>
        <v>3</v>
      </c>
      <c r="U1356" s="19">
        <f>VLOOKUP(A1356,[4]Piece!$E:$G,3,FALSE)</f>
        <v>3</v>
      </c>
      <c r="V1356" s="21">
        <f t="shared" si="86"/>
        <v>22.919999999999998</v>
      </c>
      <c r="W1356" s="16">
        <f t="shared" si="87"/>
        <v>-0.24000000000000199</v>
      </c>
    </row>
    <row r="1357" spans="1:23" hidden="1" x14ac:dyDescent="0.3">
      <c r="A1357" s="71" t="s">
        <v>2712</v>
      </c>
      <c r="B1357" s="71" t="s">
        <v>2712</v>
      </c>
      <c r="C1357" s="47" t="s">
        <v>33</v>
      </c>
      <c r="D1357" s="48" t="s">
        <v>34</v>
      </c>
      <c r="E1357" s="18" t="s">
        <v>2713</v>
      </c>
      <c r="F1357" s="24" t="str">
        <f t="shared" si="84"/>
        <v>PPG - BON GARDENGREYS DARK NATURGR 22000000750</v>
      </c>
      <c r="G1357" s="20" t="s">
        <v>6228</v>
      </c>
      <c r="H1357" s="49" t="s">
        <v>213</v>
      </c>
      <c r="I1357" s="18" t="s">
        <v>37</v>
      </c>
      <c r="J1357" s="18" t="s">
        <v>38</v>
      </c>
      <c r="K1357" t="s">
        <v>39</v>
      </c>
      <c r="L1357" s="50">
        <f>VLOOKUP(A1357,'[3]Price info'!A:D,4,FALSE)</f>
        <v>22.79</v>
      </c>
      <c r="M1357" s="18" t="s">
        <v>214</v>
      </c>
      <c r="N1357" s="20">
        <v>3105</v>
      </c>
      <c r="P1357" s="16">
        <f>VLOOKUP(A1357,'[3]Price info'!A:H,8,FALSE)</f>
        <v>22.79</v>
      </c>
      <c r="Q1357" s="17">
        <f t="shared" si="85"/>
        <v>1</v>
      </c>
      <c r="S1357" s="16" t="e">
        <f>VLOOKUP(A1357,[4]Sales!$E:$G,3,FALSE)</f>
        <v>#N/A</v>
      </c>
      <c r="T1357" s="19" t="e">
        <f>VLOOKUP(A1357,[4]Volume!$E:$G,3,FALSE)</f>
        <v>#N/A</v>
      </c>
      <c r="U1357" s="19" t="e">
        <f>VLOOKUP(A1357,[4]Piece!$E:$G,3,FALSE)</f>
        <v>#N/A</v>
      </c>
      <c r="V1357" s="21" t="e">
        <f t="shared" si="86"/>
        <v>#N/A</v>
      </c>
      <c r="W1357" s="16" t="e">
        <f t="shared" si="87"/>
        <v>#N/A</v>
      </c>
    </row>
    <row r="1358" spans="1:23" hidden="1" x14ac:dyDescent="0.3">
      <c r="A1358" s="71" t="s">
        <v>2714</v>
      </c>
      <c r="B1358" s="71" t="s">
        <v>2714</v>
      </c>
      <c r="C1358" s="51" t="s">
        <v>33</v>
      </c>
      <c r="D1358" s="48" t="s">
        <v>34</v>
      </c>
      <c r="E1358" s="18" t="s">
        <v>2715</v>
      </c>
      <c r="F1358" s="24" t="str">
        <f t="shared" si="84"/>
        <v>PPG - BON GARDENGREYS DRIFTWOOD GREY  22020750</v>
      </c>
      <c r="G1358" s="20" t="s">
        <v>6229</v>
      </c>
      <c r="H1358" s="49" t="s">
        <v>213</v>
      </c>
      <c r="I1358" s="18" t="s">
        <v>37</v>
      </c>
      <c r="J1358" s="18" t="s">
        <v>38</v>
      </c>
      <c r="K1358" t="s">
        <v>39</v>
      </c>
      <c r="L1358" s="50">
        <f>VLOOKUP(A1358,'[3]Price info'!A:D,4,FALSE)</f>
        <v>22.79</v>
      </c>
      <c r="M1358" s="18" t="s">
        <v>214</v>
      </c>
      <c r="N1358" s="20">
        <v>3105</v>
      </c>
      <c r="P1358" s="16">
        <f>VLOOKUP(A1358,'[3]Price info'!A:H,8,FALSE)</f>
        <v>22.79</v>
      </c>
      <c r="Q1358" s="17">
        <f t="shared" si="85"/>
        <v>1</v>
      </c>
      <c r="S1358" s="16" t="e">
        <f>VLOOKUP(A1358,[4]Sales!$E:$G,3,FALSE)</f>
        <v>#N/A</v>
      </c>
      <c r="T1358" s="19" t="e">
        <f>VLOOKUP(A1358,[4]Volume!$E:$G,3,FALSE)</f>
        <v>#N/A</v>
      </c>
      <c r="U1358" s="19" t="e">
        <f>VLOOKUP(A1358,[4]Piece!$E:$G,3,FALSE)</f>
        <v>#N/A</v>
      </c>
      <c r="V1358" s="21" t="e">
        <f t="shared" si="86"/>
        <v>#N/A</v>
      </c>
      <c r="W1358" s="16" t="e">
        <f t="shared" si="87"/>
        <v>#N/A</v>
      </c>
    </row>
    <row r="1359" spans="1:23" hidden="1" x14ac:dyDescent="0.3">
      <c r="A1359" s="71" t="s">
        <v>2716</v>
      </c>
      <c r="B1359" s="71" t="s">
        <v>2716</v>
      </c>
      <c r="C1359" s="47" t="s">
        <v>33</v>
      </c>
      <c r="D1359" s="48" t="s">
        <v>34</v>
      </c>
      <c r="E1359" s="18" t="s">
        <v>2717</v>
      </c>
      <c r="F1359" s="24" t="str">
        <f t="shared" si="84"/>
        <v>PPG - BON GARDENGREYS LIGHT NATURGR  220100750</v>
      </c>
      <c r="G1359" s="20" t="s">
        <v>6230</v>
      </c>
      <c r="H1359" s="49" t="s">
        <v>213</v>
      </c>
      <c r="I1359" s="18" t="s">
        <v>37</v>
      </c>
      <c r="J1359" s="18" t="s">
        <v>38</v>
      </c>
      <c r="K1359" t="s">
        <v>39</v>
      </c>
      <c r="L1359" s="50">
        <f>VLOOKUP(A1359,'[3]Price info'!A:D,4,FALSE)</f>
        <v>22.79</v>
      </c>
      <c r="M1359" s="18" t="s">
        <v>214</v>
      </c>
      <c r="N1359" s="20">
        <v>3105</v>
      </c>
      <c r="P1359" s="16">
        <f>VLOOKUP(A1359,'[3]Price info'!A:H,8,FALSE)</f>
        <v>22.79</v>
      </c>
      <c r="Q1359" s="17">
        <f t="shared" si="85"/>
        <v>1</v>
      </c>
      <c r="S1359" s="16" t="e">
        <f>VLOOKUP(A1359,[4]Sales!$E:$G,3,FALSE)</f>
        <v>#N/A</v>
      </c>
      <c r="T1359" s="19" t="e">
        <f>VLOOKUP(A1359,[4]Volume!$E:$G,3,FALSE)</f>
        <v>#N/A</v>
      </c>
      <c r="U1359" s="19" t="e">
        <f>VLOOKUP(A1359,[4]Piece!$E:$G,3,FALSE)</f>
        <v>#N/A</v>
      </c>
      <c r="V1359" s="21" t="e">
        <f t="shared" si="86"/>
        <v>#N/A</v>
      </c>
      <c r="W1359" s="16" t="e">
        <f t="shared" si="87"/>
        <v>#N/A</v>
      </c>
    </row>
    <row r="1360" spans="1:23" hidden="1" x14ac:dyDescent="0.3">
      <c r="A1360" s="71" t="s">
        <v>2718</v>
      </c>
      <c r="B1360" s="71" t="s">
        <v>2718</v>
      </c>
      <c r="C1360" s="47" t="s">
        <v>33</v>
      </c>
      <c r="D1360" s="48" t="s">
        <v>34</v>
      </c>
      <c r="E1360" s="18" t="s">
        <v>2719</v>
      </c>
      <c r="F1360" s="24" t="str">
        <f t="shared" si="84"/>
        <v>PPG - BON LONG LIFE UV CLEAR  (UK) 90000000750</v>
      </c>
      <c r="G1360" s="20" t="s">
        <v>6231</v>
      </c>
      <c r="H1360" s="49" t="s">
        <v>213</v>
      </c>
      <c r="I1360" s="18" t="s">
        <v>37</v>
      </c>
      <c r="J1360" s="18" t="s">
        <v>38</v>
      </c>
      <c r="K1360" t="s">
        <v>39</v>
      </c>
      <c r="L1360" s="50">
        <f>VLOOKUP(A1360,'[3]Price info'!A:D,4,FALSE)</f>
        <v>21.08</v>
      </c>
      <c r="M1360" s="18" t="s">
        <v>214</v>
      </c>
      <c r="N1360" s="20">
        <v>3105</v>
      </c>
      <c r="P1360" s="16">
        <f>VLOOKUP(A1360,'[3]Price info'!A:H,8,FALSE)</f>
        <v>21.08</v>
      </c>
      <c r="Q1360" s="17">
        <f t="shared" si="85"/>
        <v>1</v>
      </c>
      <c r="S1360" s="16" t="e">
        <f>VLOOKUP(A1360,[4]Sales!$E:$G,3,FALSE)</f>
        <v>#N/A</v>
      </c>
      <c r="T1360" s="19" t="e">
        <f>VLOOKUP(A1360,[4]Volume!$E:$G,3,FALSE)</f>
        <v>#N/A</v>
      </c>
      <c r="U1360" s="19" t="e">
        <f>VLOOKUP(A1360,[4]Piece!$E:$G,3,FALSE)</f>
        <v>#N/A</v>
      </c>
      <c r="V1360" s="21" t="e">
        <f t="shared" si="86"/>
        <v>#N/A</v>
      </c>
      <c r="W1360" s="16" t="e">
        <f t="shared" si="87"/>
        <v>#N/A</v>
      </c>
    </row>
    <row r="1361" spans="1:23" hidden="1" x14ac:dyDescent="0.3">
      <c r="A1361" s="71" t="s">
        <v>2720</v>
      </c>
      <c r="B1361" s="71" t="s">
        <v>2720</v>
      </c>
      <c r="C1361" s="51" t="s">
        <v>33</v>
      </c>
      <c r="D1361" s="48" t="s">
        <v>34</v>
      </c>
      <c r="E1361" s="18" t="s">
        <v>2721</v>
      </c>
      <c r="F1361" s="24" t="str">
        <f t="shared" si="84"/>
        <v>PPG - BON PREMIUM NIGHT BLACK (UK) 00000001250</v>
      </c>
      <c r="G1361" s="20" t="s">
        <v>6232</v>
      </c>
      <c r="H1361" s="49" t="s">
        <v>213</v>
      </c>
      <c r="I1361" s="18" t="s">
        <v>37</v>
      </c>
      <c r="J1361" s="18" t="s">
        <v>38</v>
      </c>
      <c r="K1361" t="s">
        <v>39</v>
      </c>
      <c r="L1361" s="50">
        <f>VLOOKUP(A1361,'[3]Price info'!A:D,4,FALSE)</f>
        <v>51.88</v>
      </c>
      <c r="M1361" s="18" t="s">
        <v>214</v>
      </c>
      <c r="N1361" s="20">
        <v>3105</v>
      </c>
      <c r="P1361" s="16">
        <f>VLOOKUP(A1361,'[3]Price info'!A:H,8,FALSE)</f>
        <v>51.88</v>
      </c>
      <c r="Q1361" s="17">
        <f t="shared" si="85"/>
        <v>1</v>
      </c>
      <c r="S1361" s="16" t="e">
        <f>VLOOKUP(A1361,[4]Sales!$E:$G,3,FALSE)</f>
        <v>#N/A</v>
      </c>
      <c r="T1361" s="19" t="e">
        <f>VLOOKUP(A1361,[4]Volume!$E:$G,3,FALSE)</f>
        <v>#N/A</v>
      </c>
      <c r="U1361" s="19" t="e">
        <f>VLOOKUP(A1361,[4]Piece!$E:$G,3,FALSE)</f>
        <v>#N/A</v>
      </c>
      <c r="V1361" s="21" t="e">
        <f t="shared" si="86"/>
        <v>#N/A</v>
      </c>
      <c r="W1361" s="16" t="e">
        <f t="shared" si="87"/>
        <v>#N/A</v>
      </c>
    </row>
    <row r="1362" spans="1:23" hidden="1" x14ac:dyDescent="0.3">
      <c r="A1362" s="71" t="s">
        <v>2722</v>
      </c>
      <c r="B1362" s="71" t="s">
        <v>2722</v>
      </c>
      <c r="C1362" s="47" t="s">
        <v>33</v>
      </c>
      <c r="D1362" s="48" t="s">
        <v>34</v>
      </c>
      <c r="E1362" s="18" t="s">
        <v>2723</v>
      </c>
      <c r="F1362" s="24" t="str">
        <f t="shared" si="84"/>
        <v>PPG - BON PREMIUM SILVER GREY (UK) 20000001250</v>
      </c>
      <c r="G1362" s="20" t="s">
        <v>6233</v>
      </c>
      <c r="H1362" s="49" t="s">
        <v>213</v>
      </c>
      <c r="I1362" s="18" t="s">
        <v>37</v>
      </c>
      <c r="J1362" s="18" t="s">
        <v>38</v>
      </c>
      <c r="K1362" t="s">
        <v>39</v>
      </c>
      <c r="L1362" s="50">
        <f>VLOOKUP(A1362,'[3]Price info'!A:D,4,FALSE)</f>
        <v>51.88</v>
      </c>
      <c r="M1362" s="18" t="s">
        <v>214</v>
      </c>
      <c r="N1362" s="20">
        <v>3105</v>
      </c>
      <c r="P1362" s="16">
        <f>VLOOKUP(A1362,'[3]Price info'!A:H,8,FALSE)</f>
        <v>51.88</v>
      </c>
      <c r="Q1362" s="17">
        <f t="shared" si="85"/>
        <v>1</v>
      </c>
      <c r="S1362" s="16" t="e">
        <f>VLOOKUP(A1362,[4]Sales!$E:$G,3,FALSE)</f>
        <v>#N/A</v>
      </c>
      <c r="T1362" s="19" t="e">
        <f>VLOOKUP(A1362,[4]Volume!$E:$G,3,FALSE)</f>
        <v>#N/A</v>
      </c>
      <c r="U1362" s="19" t="e">
        <f>VLOOKUP(A1362,[4]Piece!$E:$G,3,FALSE)</f>
        <v>#N/A</v>
      </c>
      <c r="V1362" s="21" t="e">
        <f t="shared" si="86"/>
        <v>#N/A</v>
      </c>
      <c r="W1362" s="16" t="e">
        <f t="shared" si="87"/>
        <v>#N/A</v>
      </c>
    </row>
    <row r="1363" spans="1:23" hidden="1" x14ac:dyDescent="0.3">
      <c r="A1363" s="71" t="s">
        <v>2724</v>
      </c>
      <c r="B1363" s="71" t="s">
        <v>2724</v>
      </c>
      <c r="C1363" s="47" t="s">
        <v>33</v>
      </c>
      <c r="D1363" s="48" t="s">
        <v>34</v>
      </c>
      <c r="E1363" s="18" t="s">
        <v>2725</v>
      </c>
      <c r="F1363" s="24" t="str">
        <f t="shared" si="84"/>
        <v>PPG - COOVR AC LINE MARK 08E51      0000001250</v>
      </c>
      <c r="G1363" s="20" t="s">
        <v>6234</v>
      </c>
      <c r="H1363" s="49" t="s">
        <v>213</v>
      </c>
      <c r="I1363" s="18" t="s">
        <v>37</v>
      </c>
      <c r="J1363" s="18" t="s">
        <v>38</v>
      </c>
      <c r="K1363" t="s">
        <v>39</v>
      </c>
      <c r="L1363" s="50">
        <f>VLOOKUP(A1363,'[3]Price info'!A:D,4,FALSE)</f>
        <v>99.11</v>
      </c>
      <c r="M1363" s="18" t="s">
        <v>214</v>
      </c>
      <c r="N1363" s="20">
        <v>3105</v>
      </c>
      <c r="P1363" s="16">
        <f>VLOOKUP(A1363,'[3]Price info'!A:H,8,FALSE)</f>
        <v>99.11</v>
      </c>
      <c r="Q1363" s="17">
        <f t="shared" si="85"/>
        <v>1</v>
      </c>
      <c r="S1363" s="16" t="e">
        <f>VLOOKUP(A1363,[4]Sales!$E:$G,3,FALSE)</f>
        <v>#N/A</v>
      </c>
      <c r="T1363" s="19" t="e">
        <f>VLOOKUP(A1363,[4]Volume!$E:$G,3,FALSE)</f>
        <v>#N/A</v>
      </c>
      <c r="U1363" s="19" t="e">
        <f>VLOOKUP(A1363,[4]Piece!$E:$G,3,FALSE)</f>
        <v>#N/A</v>
      </c>
      <c r="V1363" s="21" t="e">
        <f t="shared" si="86"/>
        <v>#N/A</v>
      </c>
      <c r="W1363" s="16" t="e">
        <f t="shared" si="87"/>
        <v>#N/A</v>
      </c>
    </row>
    <row r="1364" spans="1:23" hidden="1" x14ac:dyDescent="0.3">
      <c r="A1364" s="71" t="s">
        <v>2726</v>
      </c>
      <c r="B1364" s="71" t="s">
        <v>2726</v>
      </c>
      <c r="C1364" s="51" t="s">
        <v>33</v>
      </c>
      <c r="D1364" s="48" t="s">
        <v>34</v>
      </c>
      <c r="E1364" s="18" t="s">
        <v>2727</v>
      </c>
      <c r="F1364" s="24" t="str">
        <f t="shared" si="84"/>
        <v>PPG - COOVR ANTI GRAFITI WB101      0000001250</v>
      </c>
      <c r="G1364" s="20" t="s">
        <v>6235</v>
      </c>
      <c r="H1364" s="49" t="s">
        <v>213</v>
      </c>
      <c r="I1364" s="18" t="s">
        <v>37</v>
      </c>
      <c r="J1364" s="18" t="s">
        <v>38</v>
      </c>
      <c r="K1364" t="s">
        <v>39</v>
      </c>
      <c r="L1364" s="50">
        <f>VLOOKUP(A1364,'[3]Price info'!A:D,4,FALSE)</f>
        <v>128.4</v>
      </c>
      <c r="M1364" s="18" t="s">
        <v>214</v>
      </c>
      <c r="N1364" s="20">
        <v>3105</v>
      </c>
      <c r="P1364" s="16">
        <f>VLOOKUP(A1364,'[3]Price info'!A:H,8,FALSE)</f>
        <v>128.4</v>
      </c>
      <c r="Q1364" s="17">
        <f t="shared" si="85"/>
        <v>1</v>
      </c>
      <c r="S1364" s="16" t="e">
        <f>VLOOKUP(A1364,[4]Sales!$E:$G,3,FALSE)</f>
        <v>#N/A</v>
      </c>
      <c r="T1364" s="19" t="e">
        <f>VLOOKUP(A1364,[4]Volume!$E:$G,3,FALSE)</f>
        <v>#N/A</v>
      </c>
      <c r="U1364" s="19" t="e">
        <f>VLOOKUP(A1364,[4]Piece!$E:$G,3,FALSE)</f>
        <v>#N/A</v>
      </c>
      <c r="V1364" s="21" t="e">
        <f t="shared" si="86"/>
        <v>#N/A</v>
      </c>
      <c r="W1364" s="16" t="e">
        <f t="shared" si="87"/>
        <v>#N/A</v>
      </c>
    </row>
    <row r="1365" spans="1:23" hidden="1" x14ac:dyDescent="0.3">
      <c r="A1365" s="71" t="s">
        <v>2728</v>
      </c>
      <c r="B1365" s="71" t="s">
        <v>2728</v>
      </c>
      <c r="C1365" s="47" t="s">
        <v>33</v>
      </c>
      <c r="D1365" s="48" t="s">
        <v>34</v>
      </c>
      <c r="E1365" s="18" t="s">
        <v>2729</v>
      </c>
      <c r="F1365" s="24" t="str">
        <f t="shared" si="84"/>
        <v>PPG - COOVR HAMMERCOTE   SMTH BLACK 0000000400</v>
      </c>
      <c r="G1365" s="20" t="s">
        <v>6236</v>
      </c>
      <c r="H1365" s="49" t="s">
        <v>213</v>
      </c>
      <c r="I1365" s="18" t="s">
        <v>37</v>
      </c>
      <c r="J1365" s="18" t="s">
        <v>38</v>
      </c>
      <c r="K1365" t="s">
        <v>39</v>
      </c>
      <c r="L1365" s="50">
        <f>VLOOKUP(A1365,'[3]Price info'!A:D,4,FALSE)</f>
        <v>9.24</v>
      </c>
      <c r="M1365" s="18" t="s">
        <v>214</v>
      </c>
      <c r="N1365" s="20">
        <v>3105</v>
      </c>
      <c r="P1365" s="16">
        <f>VLOOKUP(A1365,'[3]Price info'!A:H,8,FALSE)</f>
        <v>9.24</v>
      </c>
      <c r="Q1365" s="17">
        <f t="shared" si="85"/>
        <v>1</v>
      </c>
      <c r="S1365" s="16" t="e">
        <f>VLOOKUP(A1365,[4]Sales!$E:$G,3,FALSE)</f>
        <v>#N/A</v>
      </c>
      <c r="T1365" s="19" t="e">
        <f>VLOOKUP(A1365,[4]Volume!$E:$G,3,FALSE)</f>
        <v>#N/A</v>
      </c>
      <c r="U1365" s="19" t="e">
        <f>VLOOKUP(A1365,[4]Piece!$E:$G,3,FALSE)</f>
        <v>#N/A</v>
      </c>
      <c r="V1365" s="21" t="e">
        <f t="shared" si="86"/>
        <v>#N/A</v>
      </c>
      <c r="W1365" s="16" t="e">
        <f t="shared" si="87"/>
        <v>#N/A</v>
      </c>
    </row>
    <row r="1366" spans="1:23" hidden="1" x14ac:dyDescent="0.3">
      <c r="A1366" s="71" t="s">
        <v>2730</v>
      </c>
      <c r="B1366" s="71" t="s">
        <v>2730</v>
      </c>
      <c r="C1366" s="47" t="s">
        <v>33</v>
      </c>
      <c r="D1366" s="48" t="s">
        <v>34</v>
      </c>
      <c r="E1366" s="18" t="s">
        <v>2731</v>
      </c>
      <c r="F1366" s="24" t="str">
        <f t="shared" si="84"/>
        <v>PPG - COOVR HAMMERCOTE   SMTH WHITE 0000000400</v>
      </c>
      <c r="G1366" s="20" t="s">
        <v>6237</v>
      </c>
      <c r="H1366" s="49" t="s">
        <v>213</v>
      </c>
      <c r="I1366" s="18" t="s">
        <v>37</v>
      </c>
      <c r="J1366" s="18" t="s">
        <v>38</v>
      </c>
      <c r="K1366" t="s">
        <v>39</v>
      </c>
      <c r="L1366" s="50">
        <f>VLOOKUP(A1366,'[3]Price info'!A:D,4,FALSE)</f>
        <v>9.24</v>
      </c>
      <c r="M1366" s="18" t="s">
        <v>214</v>
      </c>
      <c r="N1366" s="20">
        <v>3105</v>
      </c>
      <c r="P1366" s="16">
        <f>VLOOKUP(A1366,'[3]Price info'!A:H,8,FALSE)</f>
        <v>9.24</v>
      </c>
      <c r="Q1366" s="17">
        <f t="shared" si="85"/>
        <v>1</v>
      </c>
      <c r="S1366" s="16" t="e">
        <f>VLOOKUP(A1366,[4]Sales!$E:$G,3,FALSE)</f>
        <v>#N/A</v>
      </c>
      <c r="T1366" s="19" t="e">
        <f>VLOOKUP(A1366,[4]Volume!$E:$G,3,FALSE)</f>
        <v>#N/A</v>
      </c>
      <c r="U1366" s="19" t="e">
        <f>VLOOKUP(A1366,[4]Piece!$E:$G,3,FALSE)</f>
        <v>#N/A</v>
      </c>
      <c r="V1366" s="21" t="e">
        <f t="shared" si="86"/>
        <v>#N/A</v>
      </c>
      <c r="W1366" s="16" t="e">
        <f t="shared" si="87"/>
        <v>#N/A</v>
      </c>
    </row>
    <row r="1367" spans="1:23" hidden="1" x14ac:dyDescent="0.3">
      <c r="A1367" s="71" t="s">
        <v>2732</v>
      </c>
      <c r="B1367" s="71" t="s">
        <v>2732</v>
      </c>
      <c r="C1367" s="51" t="s">
        <v>33</v>
      </c>
      <c r="D1367" s="48" t="s">
        <v>34</v>
      </c>
      <c r="E1367" s="18" t="s">
        <v>2733</v>
      </c>
      <c r="F1367" s="24" t="str">
        <f t="shared" si="84"/>
        <v>PPG - COOVR LINE MARKER  ASS COLOUR 0000001250</v>
      </c>
      <c r="G1367" s="20" t="s">
        <v>6238</v>
      </c>
      <c r="H1367" s="49" t="s">
        <v>213</v>
      </c>
      <c r="I1367" s="18" t="s">
        <v>37</v>
      </c>
      <c r="J1367" s="18" t="s">
        <v>38</v>
      </c>
      <c r="K1367" t="s">
        <v>39</v>
      </c>
      <c r="L1367" s="50">
        <f>VLOOKUP(A1367,'[3]Price info'!A:D,4,FALSE)</f>
        <v>51.09</v>
      </c>
      <c r="M1367" s="18" t="s">
        <v>214</v>
      </c>
      <c r="N1367" s="20">
        <v>3105</v>
      </c>
      <c r="P1367" s="16">
        <f>VLOOKUP(A1367,'[3]Price info'!A:H,8,FALSE)</f>
        <v>51.09</v>
      </c>
      <c r="Q1367" s="17">
        <f t="shared" si="85"/>
        <v>1</v>
      </c>
      <c r="S1367" s="16" t="e">
        <f>VLOOKUP(A1367,[4]Sales!$E:$G,3,FALSE)</f>
        <v>#N/A</v>
      </c>
      <c r="T1367" s="19" t="e">
        <f>VLOOKUP(A1367,[4]Volume!$E:$G,3,FALSE)</f>
        <v>#N/A</v>
      </c>
      <c r="U1367" s="19" t="e">
        <f>VLOOKUP(A1367,[4]Piece!$E:$G,3,FALSE)</f>
        <v>#N/A</v>
      </c>
      <c r="V1367" s="21" t="e">
        <f t="shared" si="86"/>
        <v>#N/A</v>
      </c>
      <c r="W1367" s="16" t="e">
        <f t="shared" si="87"/>
        <v>#N/A</v>
      </c>
    </row>
    <row r="1368" spans="1:23" hidden="1" x14ac:dyDescent="0.3">
      <c r="A1368" s="71" t="s">
        <v>2734</v>
      </c>
      <c r="B1368" s="71" t="s">
        <v>2734</v>
      </c>
      <c r="C1368" s="47" t="s">
        <v>33</v>
      </c>
      <c r="D1368" s="48" t="s">
        <v>34</v>
      </c>
      <c r="E1368" s="18" t="s">
        <v>2735</v>
      </c>
      <c r="F1368" s="24" t="str">
        <f t="shared" si="84"/>
        <v>PPG - COOVR LINE MARKER  BLUE       0000000750</v>
      </c>
      <c r="G1368" s="20" t="s">
        <v>6239</v>
      </c>
      <c r="H1368" s="49" t="s">
        <v>213</v>
      </c>
      <c r="I1368" s="18" t="s">
        <v>37</v>
      </c>
      <c r="J1368" s="18" t="s">
        <v>38</v>
      </c>
      <c r="K1368" t="s">
        <v>39</v>
      </c>
      <c r="L1368" s="50">
        <f>VLOOKUP(A1368,'[3]Price info'!A:D,4,FALSE)</f>
        <v>10.58</v>
      </c>
      <c r="M1368" s="18" t="s">
        <v>214</v>
      </c>
      <c r="N1368" s="20">
        <v>3105</v>
      </c>
      <c r="P1368" s="16">
        <f>VLOOKUP(A1368,'[3]Price info'!A:H,8,FALSE)</f>
        <v>10.58</v>
      </c>
      <c r="Q1368" s="17">
        <f t="shared" si="85"/>
        <v>1</v>
      </c>
      <c r="S1368" s="16" t="e">
        <f>VLOOKUP(A1368,[4]Sales!$E:$G,3,FALSE)</f>
        <v>#N/A</v>
      </c>
      <c r="T1368" s="19" t="e">
        <f>VLOOKUP(A1368,[4]Volume!$E:$G,3,FALSE)</f>
        <v>#N/A</v>
      </c>
      <c r="U1368" s="19" t="e">
        <f>VLOOKUP(A1368,[4]Piece!$E:$G,3,FALSE)</f>
        <v>#N/A</v>
      </c>
      <c r="V1368" s="21" t="e">
        <f t="shared" si="86"/>
        <v>#N/A</v>
      </c>
      <c r="W1368" s="16" t="e">
        <f t="shared" si="87"/>
        <v>#N/A</v>
      </c>
    </row>
    <row r="1369" spans="1:23" hidden="1" x14ac:dyDescent="0.3">
      <c r="A1369" s="71" t="s">
        <v>2736</v>
      </c>
      <c r="B1369" s="71" t="s">
        <v>2736</v>
      </c>
      <c r="C1369" s="47" t="s">
        <v>33</v>
      </c>
      <c r="D1369" s="48" t="s">
        <v>34</v>
      </c>
      <c r="E1369" s="18" t="s">
        <v>2737</v>
      </c>
      <c r="F1369" s="24" t="str">
        <f t="shared" si="84"/>
        <v>PPG - COOVR ROAD MARKING AERO WHITE 0000000750</v>
      </c>
      <c r="G1369" s="20" t="s">
        <v>6240</v>
      </c>
      <c r="H1369" s="49" t="s">
        <v>213</v>
      </c>
      <c r="I1369" s="18" t="s">
        <v>37</v>
      </c>
      <c r="J1369" s="18" t="s">
        <v>38</v>
      </c>
      <c r="K1369" t="s">
        <v>39</v>
      </c>
      <c r="L1369" s="50">
        <f>VLOOKUP(A1369,'[3]Price info'!A:D,4,FALSE)</f>
        <v>10.15</v>
      </c>
      <c r="M1369" s="18" t="s">
        <v>214</v>
      </c>
      <c r="N1369" s="20">
        <v>3105</v>
      </c>
      <c r="P1369" s="16">
        <f>VLOOKUP(A1369,'[3]Price info'!A:H,8,FALSE)</f>
        <v>10.15</v>
      </c>
      <c r="Q1369" s="17">
        <f t="shared" si="85"/>
        <v>1</v>
      </c>
      <c r="S1369" s="16" t="e">
        <f>VLOOKUP(A1369,[4]Sales!$E:$G,3,FALSE)</f>
        <v>#N/A</v>
      </c>
      <c r="T1369" s="19" t="e">
        <f>VLOOKUP(A1369,[4]Volume!$E:$G,3,FALSE)</f>
        <v>#N/A</v>
      </c>
      <c r="U1369" s="19" t="e">
        <f>VLOOKUP(A1369,[4]Piece!$E:$G,3,FALSE)</f>
        <v>#N/A</v>
      </c>
      <c r="V1369" s="21" t="e">
        <f t="shared" si="86"/>
        <v>#N/A</v>
      </c>
      <c r="W1369" s="16" t="e">
        <f t="shared" si="87"/>
        <v>#N/A</v>
      </c>
    </row>
    <row r="1370" spans="1:23" hidden="1" x14ac:dyDescent="0.3">
      <c r="A1370" s="71" t="s">
        <v>2738</v>
      </c>
      <c r="B1370" s="71" t="s">
        <v>2738</v>
      </c>
      <c r="C1370" s="51" t="s">
        <v>33</v>
      </c>
      <c r="D1370" s="48" t="s">
        <v>34</v>
      </c>
      <c r="E1370" s="18" t="s">
        <v>2739</v>
      </c>
      <c r="F1370" s="24" t="str">
        <f t="shared" si="84"/>
        <v>PPG - COOVR ROAD MARKING AERO YELLW 0000000750</v>
      </c>
      <c r="G1370" s="20" t="s">
        <v>6241</v>
      </c>
      <c r="H1370" s="49" t="s">
        <v>213</v>
      </c>
      <c r="I1370" s="18" t="s">
        <v>37</v>
      </c>
      <c r="J1370" s="18" t="s">
        <v>38</v>
      </c>
      <c r="K1370" t="s">
        <v>39</v>
      </c>
      <c r="L1370" s="50">
        <f>VLOOKUP(A1370,'[3]Price info'!A:D,4,FALSE)</f>
        <v>10.15</v>
      </c>
      <c r="M1370" s="18" t="s">
        <v>214</v>
      </c>
      <c r="N1370" s="20">
        <v>3105</v>
      </c>
      <c r="P1370" s="16">
        <f>VLOOKUP(A1370,'[3]Price info'!A:H,8,FALSE)</f>
        <v>10.15</v>
      </c>
      <c r="Q1370" s="17">
        <f t="shared" si="85"/>
        <v>1</v>
      </c>
      <c r="S1370" s="16" t="e">
        <f>VLOOKUP(A1370,[4]Sales!$E:$G,3,FALSE)</f>
        <v>#N/A</v>
      </c>
      <c r="T1370" s="19" t="e">
        <f>VLOOKUP(A1370,[4]Volume!$E:$G,3,FALSE)</f>
        <v>#N/A</v>
      </c>
      <c r="U1370" s="19" t="e">
        <f>VLOOKUP(A1370,[4]Piece!$E:$G,3,FALSE)</f>
        <v>#N/A</v>
      </c>
      <c r="V1370" s="21" t="e">
        <f t="shared" si="86"/>
        <v>#N/A</v>
      </c>
      <c r="W1370" s="16" t="e">
        <f t="shared" si="87"/>
        <v>#N/A</v>
      </c>
    </row>
    <row r="1371" spans="1:23" hidden="1" x14ac:dyDescent="0.3">
      <c r="A1371" s="71" t="s">
        <v>2740</v>
      </c>
      <c r="B1371" s="71" t="s">
        <v>2740</v>
      </c>
      <c r="C1371" s="47" t="s">
        <v>33</v>
      </c>
      <c r="D1371" s="48" t="s">
        <v>34</v>
      </c>
      <c r="E1371" s="18" t="s">
        <v>2741</v>
      </c>
      <c r="F1371" s="24" t="str">
        <f t="shared" si="84"/>
        <v>PPG - COOVR VANDELENE    BLACK      0000001250</v>
      </c>
      <c r="G1371" s="20" t="s">
        <v>6242</v>
      </c>
      <c r="H1371" s="49" t="s">
        <v>213</v>
      </c>
      <c r="I1371" s="18" t="s">
        <v>37</v>
      </c>
      <c r="J1371" s="18" t="s">
        <v>38</v>
      </c>
      <c r="K1371" t="s">
        <v>39</v>
      </c>
      <c r="L1371" s="50">
        <f>VLOOKUP(A1371,'[3]Price info'!A:D,4,FALSE)</f>
        <v>42.04</v>
      </c>
      <c r="M1371" s="18" t="s">
        <v>214</v>
      </c>
      <c r="N1371" s="20">
        <v>3105</v>
      </c>
      <c r="P1371" s="16">
        <f>VLOOKUP(A1371,'[3]Price info'!A:H,8,FALSE)</f>
        <v>42.04</v>
      </c>
      <c r="Q1371" s="17">
        <f t="shared" si="85"/>
        <v>1</v>
      </c>
      <c r="S1371" s="16" t="e">
        <f>VLOOKUP(A1371,[4]Sales!$E:$G,3,FALSE)</f>
        <v>#N/A</v>
      </c>
      <c r="T1371" s="19" t="e">
        <f>VLOOKUP(A1371,[4]Volume!$E:$G,3,FALSE)</f>
        <v>#N/A</v>
      </c>
      <c r="U1371" s="19" t="e">
        <f>VLOOKUP(A1371,[4]Piece!$E:$G,3,FALSE)</f>
        <v>#N/A</v>
      </c>
      <c r="V1371" s="21" t="e">
        <f t="shared" si="86"/>
        <v>#N/A</v>
      </c>
      <c r="W1371" s="16" t="e">
        <f t="shared" si="87"/>
        <v>#N/A</v>
      </c>
    </row>
    <row r="1372" spans="1:23" hidden="1" x14ac:dyDescent="0.3">
      <c r="A1372" s="71" t="s">
        <v>2742</v>
      </c>
      <c r="B1372" s="71" t="s">
        <v>2742</v>
      </c>
      <c r="C1372" s="47" t="s">
        <v>33</v>
      </c>
      <c r="D1372" s="48" t="s">
        <v>34</v>
      </c>
      <c r="E1372" s="18" t="s">
        <v>2743</v>
      </c>
      <c r="F1372" s="24" t="str">
        <f t="shared" si="84"/>
        <v>PPG - COOVR VANDELENE    BLACK      0000001500</v>
      </c>
      <c r="G1372" s="20" t="s">
        <v>6243</v>
      </c>
      <c r="H1372" s="49" t="s">
        <v>213</v>
      </c>
      <c r="I1372" s="18" t="s">
        <v>37</v>
      </c>
      <c r="J1372" s="18" t="s">
        <v>38</v>
      </c>
      <c r="K1372" t="s">
        <v>39</v>
      </c>
      <c r="L1372" s="50">
        <f>VLOOKUP(A1372,'[3]Price info'!A:D,4,FALSE)</f>
        <v>80.739999999999995</v>
      </c>
      <c r="M1372" s="18" t="s">
        <v>214</v>
      </c>
      <c r="N1372" s="20">
        <v>3105</v>
      </c>
      <c r="P1372" s="16">
        <f>VLOOKUP(A1372,'[3]Price info'!A:H,8,FALSE)</f>
        <v>80.739999999999995</v>
      </c>
      <c r="Q1372" s="17">
        <f t="shared" si="85"/>
        <v>1</v>
      </c>
      <c r="S1372" s="16" t="e">
        <f>VLOOKUP(A1372,[4]Sales!$E:$G,3,FALSE)</f>
        <v>#N/A</v>
      </c>
      <c r="T1372" s="19" t="e">
        <f>VLOOKUP(A1372,[4]Volume!$E:$G,3,FALSE)</f>
        <v>#N/A</v>
      </c>
      <c r="U1372" s="19" t="e">
        <f>VLOOKUP(A1372,[4]Piece!$E:$G,3,FALSE)</f>
        <v>#N/A</v>
      </c>
      <c r="V1372" s="21" t="e">
        <f t="shared" si="86"/>
        <v>#N/A</v>
      </c>
      <c r="W1372" s="16" t="e">
        <f t="shared" si="87"/>
        <v>#N/A</v>
      </c>
    </row>
    <row r="1373" spans="1:23" hidden="1" x14ac:dyDescent="0.3">
      <c r="A1373" s="71" t="s">
        <v>2744</v>
      </c>
      <c r="B1373" s="71" t="s">
        <v>2744</v>
      </c>
      <c r="C1373" s="51" t="s">
        <v>33</v>
      </c>
      <c r="D1373" s="48" t="s">
        <v>34</v>
      </c>
      <c r="E1373" s="18" t="s">
        <v>2745</v>
      </c>
      <c r="F1373" s="24" t="str">
        <f t="shared" si="84"/>
        <v>PPG - DIMETCOTE 11 GREY           2000AMEU1800</v>
      </c>
      <c r="G1373" s="20" t="s">
        <v>6244</v>
      </c>
      <c r="H1373" s="49" t="s">
        <v>213</v>
      </c>
      <c r="I1373" s="18" t="s">
        <v>37</v>
      </c>
      <c r="J1373" s="18" t="s">
        <v>38</v>
      </c>
      <c r="K1373" t="s">
        <v>39</v>
      </c>
      <c r="L1373" s="50">
        <f>VLOOKUP(A1373,'[3]Price info'!A:D,4,FALSE)</f>
        <v>364.85</v>
      </c>
      <c r="M1373" s="18" t="s">
        <v>214</v>
      </c>
      <c r="N1373" s="20">
        <v>3105</v>
      </c>
      <c r="P1373" s="16">
        <f>VLOOKUP(A1373,'[3]Price info'!A:H,8,FALSE)</f>
        <v>364.85</v>
      </c>
      <c r="Q1373" s="17">
        <f t="shared" si="85"/>
        <v>1</v>
      </c>
      <c r="S1373" s="16" t="e">
        <f>VLOOKUP(A1373,[4]Sales!$E:$G,3,FALSE)</f>
        <v>#N/A</v>
      </c>
      <c r="T1373" s="19" t="e">
        <f>VLOOKUP(A1373,[4]Volume!$E:$G,3,FALSE)</f>
        <v>#N/A</v>
      </c>
      <c r="U1373" s="19" t="e">
        <f>VLOOKUP(A1373,[4]Piece!$E:$G,3,FALSE)</f>
        <v>#N/A</v>
      </c>
      <c r="V1373" s="21" t="e">
        <f t="shared" si="86"/>
        <v>#N/A</v>
      </c>
      <c r="W1373" s="16" t="e">
        <f t="shared" si="87"/>
        <v>#N/A</v>
      </c>
    </row>
    <row r="1374" spans="1:23" hidden="1" x14ac:dyDescent="0.3">
      <c r="A1374" s="71" t="s">
        <v>2746</v>
      </c>
      <c r="B1374" s="71" t="s">
        <v>2746</v>
      </c>
      <c r="C1374" s="47" t="s">
        <v>33</v>
      </c>
      <c r="D1374" s="48" t="s">
        <v>34</v>
      </c>
      <c r="E1374" s="18" t="s">
        <v>2747</v>
      </c>
      <c r="F1374" s="24" t="str">
        <f t="shared" si="84"/>
        <v>PPG - DIMETCOTE 9 SET GRAY          2000AM2100</v>
      </c>
      <c r="G1374" s="20" t="s">
        <v>6245</v>
      </c>
      <c r="H1374" s="49" t="s">
        <v>213</v>
      </c>
      <c r="I1374" s="18" t="s">
        <v>37</v>
      </c>
      <c r="J1374" s="18" t="s">
        <v>38</v>
      </c>
      <c r="K1374" t="s">
        <v>39</v>
      </c>
      <c r="L1374" s="50">
        <f>VLOOKUP(A1374,'[3]Price info'!A:D,4,FALSE)</f>
        <v>424.73</v>
      </c>
      <c r="M1374" s="18" t="s">
        <v>214</v>
      </c>
      <c r="N1374" s="20">
        <v>3105</v>
      </c>
      <c r="P1374" s="16">
        <f>VLOOKUP(A1374,'[3]Price info'!A:H,8,FALSE)</f>
        <v>424.73</v>
      </c>
      <c r="Q1374" s="17">
        <f t="shared" si="85"/>
        <v>1</v>
      </c>
      <c r="S1374" s="16" t="e">
        <f>VLOOKUP(A1374,[4]Sales!$E:$G,3,FALSE)</f>
        <v>#N/A</v>
      </c>
      <c r="T1374" s="19" t="e">
        <f>VLOOKUP(A1374,[4]Volume!$E:$G,3,FALSE)</f>
        <v>#N/A</v>
      </c>
      <c r="U1374" s="19" t="e">
        <f>VLOOKUP(A1374,[4]Piece!$E:$G,3,FALSE)</f>
        <v>#N/A</v>
      </c>
      <c r="V1374" s="21" t="e">
        <f t="shared" si="86"/>
        <v>#N/A</v>
      </c>
      <c r="W1374" s="16" t="e">
        <f t="shared" si="87"/>
        <v>#N/A</v>
      </c>
    </row>
    <row r="1375" spans="1:23" hidden="1" x14ac:dyDescent="0.3">
      <c r="A1375" s="71" t="s">
        <v>2748</v>
      </c>
      <c r="B1375" s="71" t="s">
        <v>2748</v>
      </c>
      <c r="C1375" s="47" t="s">
        <v>33</v>
      </c>
      <c r="D1375" s="48" t="s">
        <v>34</v>
      </c>
      <c r="E1375" s="18" t="s">
        <v>2749</v>
      </c>
      <c r="F1375" s="24" t="str">
        <f t="shared" si="84"/>
        <v>PPG - EASY  EASTYEX      10-048     CORD</v>
      </c>
      <c r="G1375" s="20" t="s">
        <v>6246</v>
      </c>
      <c r="H1375" s="49" t="s">
        <v>213</v>
      </c>
      <c r="I1375" s="18" t="s">
        <v>37</v>
      </c>
      <c r="J1375" s="18" t="s">
        <v>38</v>
      </c>
      <c r="K1375" t="s">
        <v>39</v>
      </c>
      <c r="L1375" s="50">
        <f>VLOOKUP(A1375,'[3]Price info'!A:D,4,FALSE)</f>
        <v>5.18</v>
      </c>
      <c r="M1375" s="18" t="s">
        <v>214</v>
      </c>
      <c r="N1375" s="20">
        <v>3105</v>
      </c>
      <c r="P1375" s="16">
        <f>VLOOKUP(A1375,'[3]Price info'!A:H,8,FALSE)</f>
        <v>5.18</v>
      </c>
      <c r="Q1375" s="17">
        <f t="shared" si="85"/>
        <v>1</v>
      </c>
      <c r="S1375" s="16" t="e">
        <f>VLOOKUP(A1375,[4]Sales!$E:$G,3,FALSE)</f>
        <v>#N/A</v>
      </c>
      <c r="T1375" s="19" t="e">
        <f>VLOOKUP(A1375,[4]Volume!$E:$G,3,FALSE)</f>
        <v>#N/A</v>
      </c>
      <c r="U1375" s="19" t="e">
        <f>VLOOKUP(A1375,[4]Piece!$E:$G,3,FALSE)</f>
        <v>#N/A</v>
      </c>
      <c r="V1375" s="21" t="e">
        <f t="shared" si="86"/>
        <v>#N/A</v>
      </c>
      <c r="W1375" s="16" t="e">
        <f t="shared" si="87"/>
        <v>#N/A</v>
      </c>
    </row>
    <row r="1376" spans="1:23" hidden="1" x14ac:dyDescent="0.3">
      <c r="A1376" s="71" t="s">
        <v>2750</v>
      </c>
      <c r="B1376" s="71" t="s">
        <v>2750</v>
      </c>
      <c r="C1376" s="51" t="s">
        <v>33</v>
      </c>
      <c r="D1376" s="48" t="s">
        <v>34</v>
      </c>
      <c r="E1376" s="18" t="s">
        <v>2751</v>
      </c>
      <c r="F1376" s="24" t="str">
        <f t="shared" si="84"/>
        <v>PPG - EASY  EASYTEX      10-052     DAMASK</v>
      </c>
      <c r="G1376" s="20" t="s">
        <v>6247</v>
      </c>
      <c r="H1376" s="49" t="s">
        <v>213</v>
      </c>
      <c r="I1376" s="18" t="s">
        <v>37</v>
      </c>
      <c r="J1376" s="18" t="s">
        <v>38</v>
      </c>
      <c r="K1376" t="s">
        <v>39</v>
      </c>
      <c r="L1376" s="50">
        <f>VLOOKUP(A1376,'[3]Price info'!A:D,4,FALSE)</f>
        <v>5.18</v>
      </c>
      <c r="M1376" s="18" t="s">
        <v>214</v>
      </c>
      <c r="N1376" s="20">
        <v>3105</v>
      </c>
      <c r="P1376" s="16">
        <f>VLOOKUP(A1376,'[3]Price info'!A:H,8,FALSE)</f>
        <v>5.18</v>
      </c>
      <c r="Q1376" s="17">
        <f t="shared" si="85"/>
        <v>1</v>
      </c>
      <c r="S1376" s="16">
        <f>VLOOKUP(A1376,[4]Sales!$E:$G,3,FALSE)</f>
        <v>5.18</v>
      </c>
      <c r="T1376" s="19">
        <f>VLOOKUP(A1376,[4]Volume!$E:$G,3,FALSE)</f>
        <v>1</v>
      </c>
      <c r="U1376" s="19">
        <f>VLOOKUP(A1376,[4]Piece!$E:$G,3,FALSE)</f>
        <v>1</v>
      </c>
      <c r="V1376" s="21">
        <f t="shared" si="86"/>
        <v>5.18</v>
      </c>
      <c r="W1376" s="16">
        <f t="shared" si="87"/>
        <v>0</v>
      </c>
    </row>
    <row r="1377" spans="1:23" hidden="1" x14ac:dyDescent="0.3">
      <c r="A1377" s="71" t="s">
        <v>2752</v>
      </c>
      <c r="B1377" s="71" t="s">
        <v>2752</v>
      </c>
      <c r="C1377" s="47" t="s">
        <v>33</v>
      </c>
      <c r="D1377" s="48" t="s">
        <v>34</v>
      </c>
      <c r="E1377" s="18" t="s">
        <v>2753</v>
      </c>
      <c r="F1377" s="24" t="str">
        <f t="shared" si="84"/>
        <v>PPG - EASY  EASYTEX      10-055 W/C RIBBON</v>
      </c>
      <c r="G1377" s="20" t="s">
        <v>6248</v>
      </c>
      <c r="H1377" s="49" t="s">
        <v>213</v>
      </c>
      <c r="I1377" s="18" t="s">
        <v>37</v>
      </c>
      <c r="J1377" s="18" t="s">
        <v>38</v>
      </c>
      <c r="K1377" t="s">
        <v>39</v>
      </c>
      <c r="L1377" s="50">
        <f>VLOOKUP(A1377,'[3]Price info'!A:D,4,FALSE)</f>
        <v>6.09</v>
      </c>
      <c r="M1377" s="18" t="s">
        <v>214</v>
      </c>
      <c r="N1377" s="20">
        <v>3105</v>
      </c>
      <c r="P1377" s="16">
        <f>VLOOKUP(A1377,'[3]Price info'!A:H,8,FALSE)</f>
        <v>6.09</v>
      </c>
      <c r="Q1377" s="17">
        <f t="shared" si="85"/>
        <v>1</v>
      </c>
      <c r="S1377" s="16" t="e">
        <f>VLOOKUP(A1377,[4]Sales!$E:$G,3,FALSE)</f>
        <v>#N/A</v>
      </c>
      <c r="T1377" s="19" t="e">
        <f>VLOOKUP(A1377,[4]Volume!$E:$G,3,FALSE)</f>
        <v>#N/A</v>
      </c>
      <c r="U1377" s="19" t="e">
        <f>VLOOKUP(A1377,[4]Piece!$E:$G,3,FALSE)</f>
        <v>#N/A</v>
      </c>
      <c r="V1377" s="21" t="e">
        <f t="shared" si="86"/>
        <v>#N/A</v>
      </c>
      <c r="W1377" s="16" t="e">
        <f t="shared" si="87"/>
        <v>#N/A</v>
      </c>
    </row>
    <row r="1378" spans="1:23" hidden="1" x14ac:dyDescent="0.3">
      <c r="A1378" s="71" t="s">
        <v>2754</v>
      </c>
      <c r="B1378" s="71" t="s">
        <v>2754</v>
      </c>
      <c r="C1378" s="47" t="s">
        <v>33</v>
      </c>
      <c r="D1378" s="48" t="s">
        <v>34</v>
      </c>
      <c r="E1378" s="18" t="s">
        <v>2755</v>
      </c>
      <c r="F1378" s="24" t="str">
        <f t="shared" si="84"/>
        <v>PPG - EASYL INSULATION   LINER 10M  SINGLE</v>
      </c>
      <c r="G1378" s="20" t="s">
        <v>6249</v>
      </c>
      <c r="H1378" s="49" t="s">
        <v>213</v>
      </c>
      <c r="I1378" s="18" t="s">
        <v>37</v>
      </c>
      <c r="J1378" s="18" t="s">
        <v>38</v>
      </c>
      <c r="K1378" t="s">
        <v>39</v>
      </c>
      <c r="L1378" s="50">
        <f>VLOOKUP(A1378,'[3]Price info'!A:D,4,FALSE)</f>
        <v>8.91</v>
      </c>
      <c r="M1378" s="18" t="s">
        <v>214</v>
      </c>
      <c r="N1378" s="20">
        <v>3105</v>
      </c>
      <c r="P1378" s="16">
        <f>VLOOKUP(A1378,'[3]Price info'!A:H,8,FALSE)</f>
        <v>8.91</v>
      </c>
      <c r="Q1378" s="17">
        <f t="shared" si="85"/>
        <v>1</v>
      </c>
      <c r="S1378" s="16" t="e">
        <f>VLOOKUP(A1378,[4]Sales!$E:$G,3,FALSE)</f>
        <v>#N/A</v>
      </c>
      <c r="T1378" s="19" t="e">
        <f>VLOOKUP(A1378,[4]Volume!$E:$G,3,FALSE)</f>
        <v>#N/A</v>
      </c>
      <c r="U1378" s="19" t="e">
        <f>VLOOKUP(A1378,[4]Piece!$E:$G,3,FALSE)</f>
        <v>#N/A</v>
      </c>
      <c r="V1378" s="21" t="e">
        <f t="shared" si="86"/>
        <v>#N/A</v>
      </c>
      <c r="W1378" s="16" t="e">
        <f t="shared" si="87"/>
        <v>#N/A</v>
      </c>
    </row>
    <row r="1379" spans="1:23" hidden="1" x14ac:dyDescent="0.3">
      <c r="A1379" s="71" t="s">
        <v>2756</v>
      </c>
      <c r="B1379" s="71" t="s">
        <v>2756</v>
      </c>
      <c r="C1379" s="51" t="s">
        <v>33</v>
      </c>
      <c r="D1379" s="48" t="s">
        <v>34</v>
      </c>
      <c r="E1379" s="18" t="s">
        <v>2757</v>
      </c>
      <c r="F1379" s="24" t="str">
        <f t="shared" si="84"/>
        <v>PPG - EASYM EASYTEX MAX  GLACIER    W/C 10-071</v>
      </c>
      <c r="G1379" s="20" t="s">
        <v>6250</v>
      </c>
      <c r="H1379" s="49" t="s">
        <v>213</v>
      </c>
      <c r="I1379" s="18" t="s">
        <v>37</v>
      </c>
      <c r="J1379" s="18" t="s">
        <v>38</v>
      </c>
      <c r="K1379" t="s">
        <v>39</v>
      </c>
      <c r="L1379" s="50">
        <f>VLOOKUP(A1379,'[3]Price info'!A:D,4,FALSE)</f>
        <v>8.18</v>
      </c>
      <c r="M1379" s="18" t="s">
        <v>214</v>
      </c>
      <c r="N1379" s="20">
        <v>3105</v>
      </c>
      <c r="P1379" s="16">
        <f>VLOOKUP(A1379,'[3]Price info'!A:H,8,FALSE)</f>
        <v>8.18</v>
      </c>
      <c r="Q1379" s="17">
        <f t="shared" si="85"/>
        <v>1</v>
      </c>
      <c r="S1379" s="16">
        <f>VLOOKUP(A1379,[4]Sales!$E:$G,3,FALSE)</f>
        <v>61.58</v>
      </c>
      <c r="T1379" s="19">
        <f>VLOOKUP(A1379,[4]Volume!$E:$G,3,FALSE)</f>
        <v>7</v>
      </c>
      <c r="U1379" s="19">
        <f>VLOOKUP(A1379,[4]Piece!$E:$G,3,FALSE)</f>
        <v>7</v>
      </c>
      <c r="V1379" s="21">
        <f t="shared" si="86"/>
        <v>57.26</v>
      </c>
      <c r="W1379" s="16">
        <f t="shared" si="87"/>
        <v>-4.32</v>
      </c>
    </row>
    <row r="1380" spans="1:23" hidden="1" x14ac:dyDescent="0.3">
      <c r="A1380" s="71" t="s">
        <v>2758</v>
      </c>
      <c r="B1380" s="71" t="s">
        <v>2758</v>
      </c>
      <c r="C1380" s="47" t="s">
        <v>33</v>
      </c>
      <c r="D1380" s="48" t="s">
        <v>34</v>
      </c>
      <c r="E1380" s="18" t="s">
        <v>2759</v>
      </c>
      <c r="F1380" s="24" t="str">
        <f t="shared" si="84"/>
        <v>PPG - EASYM EASYTEX MAX  SNOWSTORM  W/C 10-070</v>
      </c>
      <c r="G1380" s="20" t="s">
        <v>6251</v>
      </c>
      <c r="H1380" s="49" t="s">
        <v>213</v>
      </c>
      <c r="I1380" s="18" t="s">
        <v>37</v>
      </c>
      <c r="J1380" s="18" t="s">
        <v>38</v>
      </c>
      <c r="K1380" t="s">
        <v>39</v>
      </c>
      <c r="L1380" s="50">
        <f>VLOOKUP(A1380,'[3]Price info'!A:D,4,FALSE)</f>
        <v>8.18</v>
      </c>
      <c r="M1380" s="18" t="s">
        <v>214</v>
      </c>
      <c r="N1380" s="20">
        <v>3105</v>
      </c>
      <c r="P1380" s="16">
        <f>VLOOKUP(A1380,'[3]Price info'!A:H,8,FALSE)</f>
        <v>8.18</v>
      </c>
      <c r="Q1380" s="17">
        <f t="shared" si="85"/>
        <v>1</v>
      </c>
      <c r="S1380" s="16">
        <f>VLOOKUP(A1380,[4]Sales!$E:$G,3,FALSE)</f>
        <v>45.15</v>
      </c>
      <c r="T1380" s="19">
        <f>VLOOKUP(A1380,[4]Volume!$E:$G,3,FALSE)</f>
        <v>5</v>
      </c>
      <c r="U1380" s="19">
        <f>VLOOKUP(A1380,[4]Piece!$E:$G,3,FALSE)</f>
        <v>5</v>
      </c>
      <c r="V1380" s="21">
        <f t="shared" si="86"/>
        <v>40.9</v>
      </c>
      <c r="W1380" s="16">
        <f t="shared" si="87"/>
        <v>-4.25</v>
      </c>
    </row>
    <row r="1381" spans="1:23" hidden="1" x14ac:dyDescent="0.3">
      <c r="A1381" s="71" t="s">
        <v>2760</v>
      </c>
      <c r="B1381" s="71" t="s">
        <v>2760</v>
      </c>
      <c r="C1381" s="47" t="s">
        <v>33</v>
      </c>
      <c r="D1381" s="48" t="s">
        <v>34</v>
      </c>
      <c r="E1381" s="18" t="s">
        <v>2761</v>
      </c>
      <c r="F1381" s="24" t="str">
        <f t="shared" si="84"/>
        <v>PPG - EWI   1.2MM AL WHI UNDERCILL 2.5M 105MM</v>
      </c>
      <c r="G1381" s="20" t="s">
        <v>6252</v>
      </c>
      <c r="H1381" s="49" t="s">
        <v>213</v>
      </c>
      <c r="I1381" s="18" t="s">
        <v>37</v>
      </c>
      <c r="J1381" s="18" t="s">
        <v>38</v>
      </c>
      <c r="K1381" t="s">
        <v>39</v>
      </c>
      <c r="L1381" s="50">
        <f>VLOOKUP(A1381,'[3]Price info'!A:D,4,FALSE)</f>
        <v>25.38</v>
      </c>
      <c r="M1381" s="18" t="s">
        <v>214</v>
      </c>
      <c r="N1381" s="20">
        <v>3105</v>
      </c>
      <c r="P1381" s="16">
        <f>VLOOKUP(A1381,'[3]Price info'!A:H,8,FALSE)</f>
        <v>25.38</v>
      </c>
      <c r="Q1381" s="17">
        <f t="shared" si="85"/>
        <v>1</v>
      </c>
      <c r="S1381" s="16" t="e">
        <f>VLOOKUP(A1381,[4]Sales!$E:$G,3,FALSE)</f>
        <v>#N/A</v>
      </c>
      <c r="T1381" s="19" t="e">
        <f>VLOOKUP(A1381,[4]Volume!$E:$G,3,FALSE)</f>
        <v>#N/A</v>
      </c>
      <c r="U1381" s="19" t="e">
        <f>VLOOKUP(A1381,[4]Piece!$E:$G,3,FALSE)</f>
        <v>#N/A</v>
      </c>
      <c r="V1381" s="21" t="e">
        <f t="shared" si="86"/>
        <v>#N/A</v>
      </c>
      <c r="W1381" s="16" t="e">
        <f t="shared" si="87"/>
        <v>#N/A</v>
      </c>
    </row>
    <row r="1382" spans="1:23" hidden="1" x14ac:dyDescent="0.3">
      <c r="A1382" s="71" t="s">
        <v>2762</v>
      </c>
      <c r="B1382" s="71" t="s">
        <v>2762</v>
      </c>
      <c r="C1382" s="51" t="s">
        <v>33</v>
      </c>
      <c r="D1382" s="48" t="s">
        <v>34</v>
      </c>
      <c r="E1382" s="18" t="s">
        <v>2763</v>
      </c>
      <c r="F1382" s="24" t="str">
        <f t="shared" si="84"/>
        <v>PPG - EWI   1.2MM AL WHI UNDERCILL 2.5M 115MM</v>
      </c>
      <c r="G1382" s="20" t="s">
        <v>6253</v>
      </c>
      <c r="H1382" s="49" t="s">
        <v>213</v>
      </c>
      <c r="I1382" s="18" t="s">
        <v>37</v>
      </c>
      <c r="J1382" s="18" t="s">
        <v>38</v>
      </c>
      <c r="K1382" t="s">
        <v>39</v>
      </c>
      <c r="L1382" s="50">
        <f>VLOOKUP(A1382,'[3]Price info'!A:D,4,FALSE)</f>
        <v>25.45</v>
      </c>
      <c r="M1382" s="18" t="s">
        <v>214</v>
      </c>
      <c r="N1382" s="20">
        <v>3105</v>
      </c>
      <c r="P1382" s="16">
        <f>VLOOKUP(A1382,'[3]Price info'!A:H,8,FALSE)</f>
        <v>25.45</v>
      </c>
      <c r="Q1382" s="17">
        <f t="shared" si="85"/>
        <v>1</v>
      </c>
      <c r="S1382" s="16" t="e">
        <f>VLOOKUP(A1382,[4]Sales!$E:$G,3,FALSE)</f>
        <v>#N/A</v>
      </c>
      <c r="T1382" s="19" t="e">
        <f>VLOOKUP(A1382,[4]Volume!$E:$G,3,FALSE)</f>
        <v>#N/A</v>
      </c>
      <c r="U1382" s="19" t="e">
        <f>VLOOKUP(A1382,[4]Piece!$E:$G,3,FALSE)</f>
        <v>#N/A</v>
      </c>
      <c r="V1382" s="21" t="e">
        <f t="shared" si="86"/>
        <v>#N/A</v>
      </c>
      <c r="W1382" s="16" t="e">
        <f t="shared" si="87"/>
        <v>#N/A</v>
      </c>
    </row>
    <row r="1383" spans="1:23" hidden="1" x14ac:dyDescent="0.3">
      <c r="A1383" s="71" t="s">
        <v>2764</v>
      </c>
      <c r="B1383" s="71" t="s">
        <v>2764</v>
      </c>
      <c r="C1383" s="47" t="s">
        <v>33</v>
      </c>
      <c r="D1383" s="48" t="s">
        <v>34</v>
      </c>
      <c r="E1383" s="18" t="s">
        <v>2765</v>
      </c>
      <c r="F1383" s="24" t="str">
        <f t="shared" si="84"/>
        <v>PPG - EWI   1.2MM AL WHI VERGE 2.5M 130MM</v>
      </c>
      <c r="G1383" s="20" t="s">
        <v>6254</v>
      </c>
      <c r="H1383" s="49" t="s">
        <v>213</v>
      </c>
      <c r="I1383" s="18" t="s">
        <v>37</v>
      </c>
      <c r="J1383" s="18" t="s">
        <v>38</v>
      </c>
      <c r="K1383" t="s">
        <v>39</v>
      </c>
      <c r="L1383" s="50">
        <f>VLOOKUP(A1383,'[3]Price info'!A:D,4,FALSE)</f>
        <v>23.84</v>
      </c>
      <c r="M1383" s="18" t="s">
        <v>214</v>
      </c>
      <c r="N1383" s="20">
        <v>3105</v>
      </c>
      <c r="P1383" s="16">
        <f>VLOOKUP(A1383,'[3]Price info'!A:H,8,FALSE)</f>
        <v>23.84</v>
      </c>
      <c r="Q1383" s="17">
        <f t="shared" si="85"/>
        <v>1</v>
      </c>
      <c r="S1383" s="16" t="e">
        <f>VLOOKUP(A1383,[4]Sales!$E:$G,3,FALSE)</f>
        <v>#N/A</v>
      </c>
      <c r="T1383" s="19" t="e">
        <f>VLOOKUP(A1383,[4]Volume!$E:$G,3,FALSE)</f>
        <v>#N/A</v>
      </c>
      <c r="U1383" s="19" t="e">
        <f>VLOOKUP(A1383,[4]Piece!$E:$G,3,FALSE)</f>
        <v>#N/A</v>
      </c>
      <c r="V1383" s="21" t="e">
        <f t="shared" si="86"/>
        <v>#N/A</v>
      </c>
      <c r="W1383" s="16" t="e">
        <f t="shared" si="87"/>
        <v>#N/A</v>
      </c>
    </row>
    <row r="1384" spans="1:23" hidden="1" x14ac:dyDescent="0.3">
      <c r="A1384" s="71" t="s">
        <v>2766</v>
      </c>
      <c r="B1384" s="71" t="s">
        <v>2766</v>
      </c>
      <c r="C1384" s="47" t="s">
        <v>33</v>
      </c>
      <c r="D1384" s="48" t="s">
        <v>34</v>
      </c>
      <c r="E1384" s="18" t="s">
        <v>2767</v>
      </c>
      <c r="F1384" s="24" t="str">
        <f t="shared" si="84"/>
        <v>PPG - EWI   1.2MM AL WHI VERGE 2.5M 140MM</v>
      </c>
      <c r="G1384" s="20" t="s">
        <v>6255</v>
      </c>
      <c r="H1384" s="49" t="s">
        <v>213</v>
      </c>
      <c r="I1384" s="18" t="s">
        <v>37</v>
      </c>
      <c r="J1384" s="18" t="s">
        <v>38</v>
      </c>
      <c r="K1384" t="s">
        <v>39</v>
      </c>
      <c r="L1384" s="50">
        <f>VLOOKUP(A1384,'[3]Price info'!A:D,4,FALSE)</f>
        <v>23.89</v>
      </c>
      <c r="M1384" s="18" t="s">
        <v>214</v>
      </c>
      <c r="N1384" s="20">
        <v>3105</v>
      </c>
      <c r="P1384" s="16">
        <f>VLOOKUP(A1384,'[3]Price info'!A:H,8,FALSE)</f>
        <v>23.89</v>
      </c>
      <c r="Q1384" s="17">
        <f t="shared" si="85"/>
        <v>1</v>
      </c>
      <c r="S1384" s="16" t="e">
        <f>VLOOKUP(A1384,[4]Sales!$E:$G,3,FALSE)</f>
        <v>#N/A</v>
      </c>
      <c r="T1384" s="19" t="e">
        <f>VLOOKUP(A1384,[4]Volume!$E:$G,3,FALSE)</f>
        <v>#N/A</v>
      </c>
      <c r="U1384" s="19" t="e">
        <f>VLOOKUP(A1384,[4]Piece!$E:$G,3,FALSE)</f>
        <v>#N/A</v>
      </c>
      <c r="V1384" s="21" t="e">
        <f t="shared" si="86"/>
        <v>#N/A</v>
      </c>
      <c r="W1384" s="16" t="e">
        <f t="shared" si="87"/>
        <v>#N/A</v>
      </c>
    </row>
    <row r="1385" spans="1:23" hidden="1" x14ac:dyDescent="0.3">
      <c r="A1385" s="71" t="s">
        <v>2768</v>
      </c>
      <c r="B1385" s="71" t="s">
        <v>2768</v>
      </c>
      <c r="C1385" s="51" t="s">
        <v>33</v>
      </c>
      <c r="D1385" s="48" t="s">
        <v>34</v>
      </c>
      <c r="E1385" s="18" t="s">
        <v>2769</v>
      </c>
      <c r="F1385" s="24" t="str">
        <f t="shared" si="84"/>
        <v>PPG - EWI   10MM PVC COR BEAD/NOSE  TEPCB010PP</v>
      </c>
      <c r="G1385" s="20" t="s">
        <v>6256</v>
      </c>
      <c r="H1385" s="49" t="s">
        <v>213</v>
      </c>
      <c r="I1385" s="18" t="s">
        <v>37</v>
      </c>
      <c r="J1385" s="18" t="s">
        <v>38</v>
      </c>
      <c r="K1385" t="s">
        <v>39</v>
      </c>
      <c r="L1385" s="50">
        <f>VLOOKUP(A1385,'[3]Price info'!A:D,4,FALSE)</f>
        <v>4.0199999999999996</v>
      </c>
      <c r="M1385" s="18" t="s">
        <v>214</v>
      </c>
      <c r="N1385" s="20">
        <v>3105</v>
      </c>
      <c r="P1385" s="16">
        <f>VLOOKUP(A1385,'[3]Price info'!A:H,8,FALSE)</f>
        <v>4.0199999999999996</v>
      </c>
      <c r="Q1385" s="17">
        <f t="shared" si="85"/>
        <v>1</v>
      </c>
      <c r="S1385" s="16" t="e">
        <f>VLOOKUP(A1385,[4]Sales!$E:$G,3,FALSE)</f>
        <v>#N/A</v>
      </c>
      <c r="T1385" s="19" t="e">
        <f>VLOOKUP(A1385,[4]Volume!$E:$G,3,FALSE)</f>
        <v>#N/A</v>
      </c>
      <c r="U1385" s="19" t="e">
        <f>VLOOKUP(A1385,[4]Piece!$E:$G,3,FALSE)</f>
        <v>#N/A</v>
      </c>
      <c r="V1385" s="21" t="e">
        <f t="shared" si="86"/>
        <v>#N/A</v>
      </c>
      <c r="W1385" s="16" t="e">
        <f t="shared" si="87"/>
        <v>#N/A</v>
      </c>
    </row>
    <row r="1386" spans="1:23" hidden="1" x14ac:dyDescent="0.3">
      <c r="A1386" s="71" t="s">
        <v>2770</v>
      </c>
      <c r="B1386" s="71" t="s">
        <v>2770</v>
      </c>
      <c r="C1386" s="47" t="s">
        <v>33</v>
      </c>
      <c r="D1386" s="48" t="s">
        <v>34</v>
      </c>
      <c r="E1386" s="18" t="s">
        <v>2771</v>
      </c>
      <c r="F1386" s="24" t="str">
        <f t="shared" si="84"/>
        <v>PPG - EWI   15MM PL STOP BEAD 2.5M  SB15PPVC25</v>
      </c>
      <c r="G1386" s="20" t="s">
        <v>6257</v>
      </c>
      <c r="H1386" s="49" t="s">
        <v>213</v>
      </c>
      <c r="I1386" s="18" t="s">
        <v>37</v>
      </c>
      <c r="J1386" s="18" t="s">
        <v>38</v>
      </c>
      <c r="K1386" t="s">
        <v>39</v>
      </c>
      <c r="L1386" s="50">
        <f>VLOOKUP(A1386,'[3]Price info'!A:D,4,FALSE)</f>
        <v>2.9</v>
      </c>
      <c r="M1386" s="18" t="s">
        <v>214</v>
      </c>
      <c r="N1386" s="20">
        <v>3105</v>
      </c>
      <c r="P1386" s="16">
        <f>VLOOKUP(A1386,'[3]Price info'!A:H,8,FALSE)</f>
        <v>2.9</v>
      </c>
      <c r="Q1386" s="17">
        <f t="shared" si="85"/>
        <v>1</v>
      </c>
      <c r="S1386" s="16" t="e">
        <f>VLOOKUP(A1386,[4]Sales!$E:$G,3,FALSE)</f>
        <v>#N/A</v>
      </c>
      <c r="T1386" s="19" t="e">
        <f>VLOOKUP(A1386,[4]Volume!$E:$G,3,FALSE)</f>
        <v>#N/A</v>
      </c>
      <c r="U1386" s="19" t="e">
        <f>VLOOKUP(A1386,[4]Piece!$E:$G,3,FALSE)</f>
        <v>#N/A</v>
      </c>
      <c r="V1386" s="21" t="e">
        <f t="shared" si="86"/>
        <v>#N/A</v>
      </c>
      <c r="W1386" s="16" t="e">
        <f t="shared" si="87"/>
        <v>#N/A</v>
      </c>
    </row>
    <row r="1387" spans="1:23" hidden="1" x14ac:dyDescent="0.3">
      <c r="A1387" s="71" t="s">
        <v>2772</v>
      </c>
      <c r="B1387" s="71" t="s">
        <v>2772</v>
      </c>
      <c r="C1387" s="47" t="s">
        <v>33</v>
      </c>
      <c r="D1387" s="48" t="s">
        <v>34</v>
      </c>
      <c r="E1387" s="18" t="s">
        <v>2773</v>
      </c>
      <c r="F1387" s="24" t="str">
        <f t="shared" si="84"/>
        <v>PPG - EWI   70E 110MM GREY L/TRM 1200X600MM</v>
      </c>
      <c r="G1387" s="20" t="s">
        <v>6258</v>
      </c>
      <c r="H1387" s="49" t="s">
        <v>213</v>
      </c>
      <c r="I1387" s="18" t="s">
        <v>37</v>
      </c>
      <c r="J1387" s="18" t="s">
        <v>38</v>
      </c>
      <c r="K1387" t="s">
        <v>39</v>
      </c>
      <c r="L1387" s="50">
        <f>VLOOKUP(A1387,'[3]Price info'!A:D,4,FALSE)</f>
        <v>8.99</v>
      </c>
      <c r="M1387" s="18" t="s">
        <v>214</v>
      </c>
      <c r="N1387" s="20">
        <v>3105</v>
      </c>
      <c r="P1387" s="16">
        <f>VLOOKUP(A1387,'[3]Price info'!A:H,8,FALSE)</f>
        <v>8.99</v>
      </c>
      <c r="Q1387" s="17">
        <f t="shared" si="85"/>
        <v>1</v>
      </c>
      <c r="S1387" s="16" t="e">
        <f>VLOOKUP(A1387,[4]Sales!$E:$G,3,FALSE)</f>
        <v>#N/A</v>
      </c>
      <c r="T1387" s="19" t="e">
        <f>VLOOKUP(A1387,[4]Volume!$E:$G,3,FALSE)</f>
        <v>#N/A</v>
      </c>
      <c r="U1387" s="19" t="e">
        <f>VLOOKUP(A1387,[4]Piece!$E:$G,3,FALSE)</f>
        <v>#N/A</v>
      </c>
      <c r="V1387" s="21" t="e">
        <f t="shared" si="86"/>
        <v>#N/A</v>
      </c>
      <c r="W1387" s="16" t="e">
        <f t="shared" si="87"/>
        <v>#N/A</v>
      </c>
    </row>
    <row r="1388" spans="1:23" hidden="1" x14ac:dyDescent="0.3">
      <c r="A1388" s="71" t="s">
        <v>2774</v>
      </c>
      <c r="B1388" s="71" t="s">
        <v>2774</v>
      </c>
      <c r="C1388" s="51" t="s">
        <v>33</v>
      </c>
      <c r="D1388" s="48" t="s">
        <v>34</v>
      </c>
      <c r="E1388" s="18" t="s">
        <v>2775</v>
      </c>
      <c r="F1388" s="24" t="str">
        <f t="shared" si="84"/>
        <v>PPG - EWI   70E 120MM GREY L/TRM 1200X600MM</v>
      </c>
      <c r="G1388" s="20" t="s">
        <v>6259</v>
      </c>
      <c r="H1388" s="49" t="s">
        <v>213</v>
      </c>
      <c r="I1388" s="18" t="s">
        <v>37</v>
      </c>
      <c r="J1388" s="18" t="s">
        <v>38</v>
      </c>
      <c r="K1388" t="s">
        <v>39</v>
      </c>
      <c r="L1388" s="50">
        <f>VLOOKUP(A1388,'[3]Price info'!A:D,4,FALSE)</f>
        <v>9.82</v>
      </c>
      <c r="M1388" s="18" t="s">
        <v>214</v>
      </c>
      <c r="N1388" s="20">
        <v>3105</v>
      </c>
      <c r="P1388" s="16">
        <f>VLOOKUP(A1388,'[3]Price info'!A:H,8,FALSE)</f>
        <v>9.82</v>
      </c>
      <c r="Q1388" s="17">
        <f t="shared" si="85"/>
        <v>1</v>
      </c>
      <c r="S1388" s="16" t="e">
        <f>VLOOKUP(A1388,[4]Sales!$E:$G,3,FALSE)</f>
        <v>#N/A</v>
      </c>
      <c r="T1388" s="19" t="e">
        <f>VLOOKUP(A1388,[4]Volume!$E:$G,3,FALSE)</f>
        <v>#N/A</v>
      </c>
      <c r="U1388" s="19" t="e">
        <f>VLOOKUP(A1388,[4]Piece!$E:$G,3,FALSE)</f>
        <v>#N/A</v>
      </c>
      <c r="V1388" s="21" t="e">
        <f t="shared" si="86"/>
        <v>#N/A</v>
      </c>
      <c r="W1388" s="16" t="e">
        <f t="shared" si="87"/>
        <v>#N/A</v>
      </c>
    </row>
    <row r="1389" spans="1:23" hidden="1" x14ac:dyDescent="0.3">
      <c r="A1389" s="71" t="s">
        <v>2776</v>
      </c>
      <c r="B1389" s="71" t="s">
        <v>2776</v>
      </c>
      <c r="C1389" s="47" t="s">
        <v>33</v>
      </c>
      <c r="D1389" s="48" t="s">
        <v>34</v>
      </c>
      <c r="E1389" s="18" t="s">
        <v>2777</v>
      </c>
      <c r="F1389" s="24" t="str">
        <f t="shared" si="84"/>
        <v>PPG - EWI   70E 160MM GREY L/TRM 1200X600MM</v>
      </c>
      <c r="G1389" s="20" t="s">
        <v>6260</v>
      </c>
      <c r="H1389" s="49" t="s">
        <v>213</v>
      </c>
      <c r="I1389" s="18" t="s">
        <v>37</v>
      </c>
      <c r="J1389" s="18" t="s">
        <v>38</v>
      </c>
      <c r="K1389" t="s">
        <v>39</v>
      </c>
      <c r="L1389" s="50">
        <f>VLOOKUP(A1389,'[3]Price info'!A:D,4,FALSE)</f>
        <v>13.1</v>
      </c>
      <c r="M1389" s="18" t="s">
        <v>214</v>
      </c>
      <c r="N1389" s="20">
        <v>3105</v>
      </c>
      <c r="P1389" s="16">
        <f>VLOOKUP(A1389,'[3]Price info'!A:H,8,FALSE)</f>
        <v>13.1</v>
      </c>
      <c r="Q1389" s="17">
        <f t="shared" si="85"/>
        <v>1</v>
      </c>
      <c r="S1389" s="16" t="e">
        <f>VLOOKUP(A1389,[4]Sales!$E:$G,3,FALSE)</f>
        <v>#N/A</v>
      </c>
      <c r="T1389" s="19" t="e">
        <f>VLOOKUP(A1389,[4]Volume!$E:$G,3,FALSE)</f>
        <v>#N/A</v>
      </c>
      <c r="U1389" s="19" t="e">
        <f>VLOOKUP(A1389,[4]Piece!$E:$G,3,FALSE)</f>
        <v>#N/A</v>
      </c>
      <c r="V1389" s="21" t="e">
        <f t="shared" si="86"/>
        <v>#N/A</v>
      </c>
      <c r="W1389" s="16" t="e">
        <f t="shared" si="87"/>
        <v>#N/A</v>
      </c>
    </row>
    <row r="1390" spans="1:23" hidden="1" x14ac:dyDescent="0.3">
      <c r="A1390" s="71" t="s">
        <v>2778</v>
      </c>
      <c r="B1390" s="71" t="s">
        <v>2778</v>
      </c>
      <c r="C1390" s="47" t="s">
        <v>33</v>
      </c>
      <c r="D1390" s="48" t="s">
        <v>34</v>
      </c>
      <c r="E1390" s="18" t="s">
        <v>2779</v>
      </c>
      <c r="F1390" s="24" t="str">
        <f t="shared" si="84"/>
        <v>PPG - EWI   70E 200MM GREY L/TRM 1200X600MM</v>
      </c>
      <c r="G1390" s="20" t="s">
        <v>6261</v>
      </c>
      <c r="H1390" s="49" t="s">
        <v>213</v>
      </c>
      <c r="I1390" s="18" t="s">
        <v>37</v>
      </c>
      <c r="J1390" s="18" t="s">
        <v>38</v>
      </c>
      <c r="K1390" t="s">
        <v>39</v>
      </c>
      <c r="L1390" s="50">
        <f>VLOOKUP(A1390,'[3]Price info'!A:D,4,FALSE)</f>
        <v>20.56</v>
      </c>
      <c r="M1390" s="18" t="s">
        <v>214</v>
      </c>
      <c r="N1390" s="20">
        <v>3105</v>
      </c>
      <c r="P1390" s="16">
        <f>VLOOKUP(A1390,'[3]Price info'!A:H,8,FALSE)</f>
        <v>20.56</v>
      </c>
      <c r="Q1390" s="17">
        <f t="shared" si="85"/>
        <v>1</v>
      </c>
      <c r="S1390" s="16" t="e">
        <f>VLOOKUP(A1390,[4]Sales!$E:$G,3,FALSE)</f>
        <v>#N/A</v>
      </c>
      <c r="T1390" s="19" t="e">
        <f>VLOOKUP(A1390,[4]Volume!$E:$G,3,FALSE)</f>
        <v>#N/A</v>
      </c>
      <c r="U1390" s="19" t="e">
        <f>VLOOKUP(A1390,[4]Piece!$E:$G,3,FALSE)</f>
        <v>#N/A</v>
      </c>
      <c r="V1390" s="21" t="e">
        <f t="shared" si="86"/>
        <v>#N/A</v>
      </c>
      <c r="W1390" s="16" t="e">
        <f t="shared" si="87"/>
        <v>#N/A</v>
      </c>
    </row>
    <row r="1391" spans="1:23" hidden="1" x14ac:dyDescent="0.3">
      <c r="A1391" s="71" t="s">
        <v>2780</v>
      </c>
      <c r="B1391" s="71" t="s">
        <v>2780</v>
      </c>
      <c r="C1391" s="51" t="s">
        <v>33</v>
      </c>
      <c r="D1391" s="48" t="s">
        <v>34</v>
      </c>
      <c r="E1391" s="18" t="s">
        <v>2781</v>
      </c>
      <c r="F1391" s="24" t="str">
        <f t="shared" si="84"/>
        <v>PPG - EWI   70E 70MM GREY 1200X600MM L/TRM</v>
      </c>
      <c r="G1391" s="20" t="s">
        <v>6262</v>
      </c>
      <c r="H1391" s="49" t="s">
        <v>213</v>
      </c>
      <c r="I1391" s="18" t="s">
        <v>37</v>
      </c>
      <c r="J1391" s="18" t="s">
        <v>38</v>
      </c>
      <c r="K1391" t="s">
        <v>39</v>
      </c>
      <c r="L1391" s="50">
        <f>VLOOKUP(A1391,'[3]Price info'!A:D,4,FALSE)</f>
        <v>5.72</v>
      </c>
      <c r="M1391" s="18" t="s">
        <v>214</v>
      </c>
      <c r="N1391" s="20">
        <v>3105</v>
      </c>
      <c r="P1391" s="16">
        <f>VLOOKUP(A1391,'[3]Price info'!A:H,8,FALSE)</f>
        <v>5.72</v>
      </c>
      <c r="Q1391" s="17">
        <f t="shared" si="85"/>
        <v>1</v>
      </c>
      <c r="S1391" s="16" t="e">
        <f>VLOOKUP(A1391,[4]Sales!$E:$G,3,FALSE)</f>
        <v>#N/A</v>
      </c>
      <c r="T1391" s="19" t="e">
        <f>VLOOKUP(A1391,[4]Volume!$E:$G,3,FALSE)</f>
        <v>#N/A</v>
      </c>
      <c r="U1391" s="19" t="e">
        <f>VLOOKUP(A1391,[4]Piece!$E:$G,3,FALSE)</f>
        <v>#N/A</v>
      </c>
      <c r="V1391" s="21" t="e">
        <f t="shared" si="86"/>
        <v>#N/A</v>
      </c>
      <c r="W1391" s="16" t="e">
        <f t="shared" si="87"/>
        <v>#N/A</v>
      </c>
    </row>
    <row r="1392" spans="1:23" hidden="1" x14ac:dyDescent="0.3">
      <c r="A1392" s="71" t="s">
        <v>2782</v>
      </c>
      <c r="B1392" s="71" t="s">
        <v>2782</v>
      </c>
      <c r="C1392" s="47" t="s">
        <v>33</v>
      </c>
      <c r="D1392" s="48" t="s">
        <v>34</v>
      </c>
      <c r="E1392" s="18" t="s">
        <v>2783</v>
      </c>
      <c r="F1392" s="24" t="str">
        <f t="shared" si="84"/>
        <v>PPG - EWI   70E 80MM GREY L/TRM 1200X600MM</v>
      </c>
      <c r="G1392" s="20" t="s">
        <v>6263</v>
      </c>
      <c r="H1392" s="49" t="s">
        <v>213</v>
      </c>
      <c r="I1392" s="18" t="s">
        <v>37</v>
      </c>
      <c r="J1392" s="18" t="s">
        <v>38</v>
      </c>
      <c r="K1392" t="s">
        <v>39</v>
      </c>
      <c r="L1392" s="50">
        <f>VLOOKUP(A1392,'[3]Price info'!A:D,4,FALSE)</f>
        <v>6.54</v>
      </c>
      <c r="M1392" s="18" t="s">
        <v>214</v>
      </c>
      <c r="N1392" s="20">
        <v>3105</v>
      </c>
      <c r="P1392" s="16">
        <f>VLOOKUP(A1392,'[3]Price info'!A:H,8,FALSE)</f>
        <v>6.54</v>
      </c>
      <c r="Q1392" s="17">
        <f t="shared" si="85"/>
        <v>1</v>
      </c>
      <c r="S1392" s="16" t="e">
        <f>VLOOKUP(A1392,[4]Sales!$E:$G,3,FALSE)</f>
        <v>#N/A</v>
      </c>
      <c r="T1392" s="19" t="e">
        <f>VLOOKUP(A1392,[4]Volume!$E:$G,3,FALSE)</f>
        <v>#N/A</v>
      </c>
      <c r="U1392" s="19" t="e">
        <f>VLOOKUP(A1392,[4]Piece!$E:$G,3,FALSE)</f>
        <v>#N/A</v>
      </c>
      <c r="V1392" s="21" t="e">
        <f t="shared" si="86"/>
        <v>#N/A</v>
      </c>
      <c r="W1392" s="16" t="e">
        <f t="shared" si="87"/>
        <v>#N/A</v>
      </c>
    </row>
    <row r="1393" spans="1:23" hidden="1" x14ac:dyDescent="0.3">
      <c r="A1393" s="71" t="s">
        <v>2784</v>
      </c>
      <c r="B1393" s="71" t="s">
        <v>2784</v>
      </c>
      <c r="C1393" s="47" t="s">
        <v>33</v>
      </c>
      <c r="D1393" s="48" t="s">
        <v>34</v>
      </c>
      <c r="E1393" s="18" t="s">
        <v>2785</v>
      </c>
      <c r="F1393" s="24" t="str">
        <f t="shared" si="84"/>
        <v>PPG - EWI   AL BASETRACK 2.5M 270MM BOX BASE</v>
      </c>
      <c r="G1393" s="20" t="s">
        <v>6264</v>
      </c>
      <c r="H1393" s="49" t="s">
        <v>213</v>
      </c>
      <c r="I1393" s="18" t="s">
        <v>37</v>
      </c>
      <c r="J1393" s="18" t="s">
        <v>38</v>
      </c>
      <c r="K1393" t="s">
        <v>39</v>
      </c>
      <c r="L1393" s="50">
        <f>VLOOKUP(A1393,'[3]Price info'!A:D,4,FALSE)</f>
        <v>41.34</v>
      </c>
      <c r="M1393" s="18" t="s">
        <v>214</v>
      </c>
      <c r="N1393" s="20">
        <v>3105</v>
      </c>
      <c r="P1393" s="16">
        <f>VLOOKUP(A1393,'[3]Price info'!A:H,8,FALSE)</f>
        <v>41.34</v>
      </c>
      <c r="Q1393" s="17">
        <f t="shared" si="85"/>
        <v>1</v>
      </c>
      <c r="S1393" s="16" t="e">
        <f>VLOOKUP(A1393,[4]Sales!$E:$G,3,FALSE)</f>
        <v>#N/A</v>
      </c>
      <c r="T1393" s="19" t="e">
        <f>VLOOKUP(A1393,[4]Volume!$E:$G,3,FALSE)</f>
        <v>#N/A</v>
      </c>
      <c r="U1393" s="19" t="e">
        <f>VLOOKUP(A1393,[4]Piece!$E:$G,3,FALSE)</f>
        <v>#N/A</v>
      </c>
      <c r="V1393" s="21" t="e">
        <f t="shared" si="86"/>
        <v>#N/A</v>
      </c>
      <c r="W1393" s="16" t="e">
        <f t="shared" si="87"/>
        <v>#N/A</v>
      </c>
    </row>
    <row r="1394" spans="1:23" hidden="1" x14ac:dyDescent="0.3">
      <c r="A1394" s="71" t="s">
        <v>2786</v>
      </c>
      <c r="B1394" s="71" t="s">
        <v>2786</v>
      </c>
      <c r="C1394" s="51" t="s">
        <v>33</v>
      </c>
      <c r="D1394" s="48" t="s">
        <v>34</v>
      </c>
      <c r="E1394" s="18" t="s">
        <v>2787</v>
      </c>
      <c r="F1394" s="24" t="str">
        <f t="shared" si="84"/>
        <v>PPG - EWI   AL STOP PROF WHI FINISH 2.5M 90MM</v>
      </c>
      <c r="G1394" s="20" t="s">
        <v>6265</v>
      </c>
      <c r="H1394" s="49" t="s">
        <v>213</v>
      </c>
      <c r="I1394" s="18" t="s">
        <v>37</v>
      </c>
      <c r="J1394" s="18" t="s">
        <v>38</v>
      </c>
      <c r="K1394" t="s">
        <v>39</v>
      </c>
      <c r="L1394" s="50">
        <f>VLOOKUP(A1394,'[3]Price info'!A:D,4,FALSE)</f>
        <v>14.06</v>
      </c>
      <c r="M1394" s="18" t="s">
        <v>214</v>
      </c>
      <c r="N1394" s="20">
        <v>3105</v>
      </c>
      <c r="P1394" s="16">
        <f>VLOOKUP(A1394,'[3]Price info'!A:H,8,FALSE)</f>
        <v>14.06</v>
      </c>
      <c r="Q1394" s="17">
        <f t="shared" si="85"/>
        <v>1</v>
      </c>
      <c r="S1394" s="16" t="e">
        <f>VLOOKUP(A1394,[4]Sales!$E:$G,3,FALSE)</f>
        <v>#N/A</v>
      </c>
      <c r="T1394" s="19" t="e">
        <f>VLOOKUP(A1394,[4]Volume!$E:$G,3,FALSE)</f>
        <v>#N/A</v>
      </c>
      <c r="U1394" s="19" t="e">
        <f>VLOOKUP(A1394,[4]Piece!$E:$G,3,FALSE)</f>
        <v>#N/A</v>
      </c>
      <c r="V1394" s="21" t="e">
        <f t="shared" si="86"/>
        <v>#N/A</v>
      </c>
      <c r="W1394" s="16" t="e">
        <f t="shared" si="87"/>
        <v>#N/A</v>
      </c>
    </row>
    <row r="1395" spans="1:23" hidden="1" x14ac:dyDescent="0.3">
      <c r="A1395" s="71" t="s">
        <v>2788</v>
      </c>
      <c r="B1395" s="71" t="s">
        <v>2788</v>
      </c>
      <c r="C1395" s="47" t="s">
        <v>33</v>
      </c>
      <c r="D1395" s="48" t="s">
        <v>34</v>
      </c>
      <c r="E1395" s="18" t="s">
        <v>2789</v>
      </c>
      <c r="F1395" s="24" t="str">
        <f t="shared" si="84"/>
        <v>PPG - EWI   ALUM BASETRACK BOX BASE 2.5M 20MM</v>
      </c>
      <c r="G1395" s="20" t="s">
        <v>6266</v>
      </c>
      <c r="H1395" s="49" t="s">
        <v>213</v>
      </c>
      <c r="I1395" s="18" t="s">
        <v>37</v>
      </c>
      <c r="J1395" s="18" t="s">
        <v>38</v>
      </c>
      <c r="K1395" t="s">
        <v>39</v>
      </c>
      <c r="L1395" s="50">
        <f>VLOOKUP(A1395,'[3]Price info'!A:D,4,FALSE)</f>
        <v>5.55</v>
      </c>
      <c r="M1395" s="18" t="s">
        <v>214</v>
      </c>
      <c r="N1395" s="20">
        <v>3105</v>
      </c>
      <c r="P1395" s="16">
        <f>VLOOKUP(A1395,'[3]Price info'!A:H,8,FALSE)</f>
        <v>5.55</v>
      </c>
      <c r="Q1395" s="17">
        <f t="shared" si="85"/>
        <v>1</v>
      </c>
      <c r="S1395" s="16" t="e">
        <f>VLOOKUP(A1395,[4]Sales!$E:$G,3,FALSE)</f>
        <v>#N/A</v>
      </c>
      <c r="T1395" s="19" t="e">
        <f>VLOOKUP(A1395,[4]Volume!$E:$G,3,FALSE)</f>
        <v>#N/A</v>
      </c>
      <c r="U1395" s="19" t="e">
        <f>VLOOKUP(A1395,[4]Piece!$E:$G,3,FALSE)</f>
        <v>#N/A</v>
      </c>
      <c r="V1395" s="21" t="e">
        <f t="shared" si="86"/>
        <v>#N/A</v>
      </c>
      <c r="W1395" s="16" t="e">
        <f t="shared" si="87"/>
        <v>#N/A</v>
      </c>
    </row>
    <row r="1396" spans="1:23" hidden="1" x14ac:dyDescent="0.3">
      <c r="A1396" s="71" t="s">
        <v>2790</v>
      </c>
      <c r="B1396" s="71" t="s">
        <v>2790</v>
      </c>
      <c r="C1396" s="47" t="s">
        <v>33</v>
      </c>
      <c r="D1396" s="48" t="s">
        <v>34</v>
      </c>
      <c r="E1396" s="18" t="s">
        <v>2791</v>
      </c>
      <c r="F1396" s="24" t="str">
        <f t="shared" si="84"/>
        <v>PPG - EWI   ALUM BASETRACK BOX BASE 2.5M 30MM</v>
      </c>
      <c r="G1396" s="20" t="s">
        <v>6267</v>
      </c>
      <c r="H1396" s="49" t="s">
        <v>213</v>
      </c>
      <c r="I1396" s="18" t="s">
        <v>37</v>
      </c>
      <c r="J1396" s="18" t="s">
        <v>38</v>
      </c>
      <c r="K1396" t="s">
        <v>39</v>
      </c>
      <c r="L1396" s="50">
        <f>VLOOKUP(A1396,'[3]Price info'!A:D,4,FALSE)</f>
        <v>5.99</v>
      </c>
      <c r="M1396" s="18" t="s">
        <v>214</v>
      </c>
      <c r="N1396" s="20">
        <v>3105</v>
      </c>
      <c r="P1396" s="16">
        <f>VLOOKUP(A1396,'[3]Price info'!A:H,8,FALSE)</f>
        <v>5.99</v>
      </c>
      <c r="Q1396" s="17">
        <f t="shared" si="85"/>
        <v>1</v>
      </c>
      <c r="S1396" s="16" t="e">
        <f>VLOOKUP(A1396,[4]Sales!$E:$G,3,FALSE)</f>
        <v>#N/A</v>
      </c>
      <c r="T1396" s="19" t="e">
        <f>VLOOKUP(A1396,[4]Volume!$E:$G,3,FALSE)</f>
        <v>#N/A</v>
      </c>
      <c r="U1396" s="19" t="e">
        <f>VLOOKUP(A1396,[4]Piece!$E:$G,3,FALSE)</f>
        <v>#N/A</v>
      </c>
      <c r="V1396" s="21" t="e">
        <f t="shared" si="86"/>
        <v>#N/A</v>
      </c>
      <c r="W1396" s="16" t="e">
        <f t="shared" si="87"/>
        <v>#N/A</v>
      </c>
    </row>
    <row r="1397" spans="1:23" hidden="1" x14ac:dyDescent="0.3">
      <c r="A1397" s="71" t="s">
        <v>2792</v>
      </c>
      <c r="B1397" s="71" t="s">
        <v>2792</v>
      </c>
      <c r="C1397" s="51" t="s">
        <v>33</v>
      </c>
      <c r="D1397" s="48" t="s">
        <v>34</v>
      </c>
      <c r="E1397" s="18" t="s">
        <v>2793</v>
      </c>
      <c r="F1397" s="24" t="str">
        <f t="shared" si="84"/>
        <v>PPG - EWI   ALUM BASETRACK BOX BASE 2.5M 40MM</v>
      </c>
      <c r="G1397" s="20" t="s">
        <v>6268</v>
      </c>
      <c r="H1397" s="49" t="s">
        <v>213</v>
      </c>
      <c r="I1397" s="18" t="s">
        <v>37</v>
      </c>
      <c r="J1397" s="18" t="s">
        <v>38</v>
      </c>
      <c r="K1397" t="s">
        <v>39</v>
      </c>
      <c r="L1397" s="50">
        <f>VLOOKUP(A1397,'[3]Price info'!A:D,4,FALSE)</f>
        <v>5.99</v>
      </c>
      <c r="M1397" s="18" t="s">
        <v>214</v>
      </c>
      <c r="N1397" s="20">
        <v>3105</v>
      </c>
      <c r="P1397" s="16">
        <f>VLOOKUP(A1397,'[3]Price info'!A:H,8,FALSE)</f>
        <v>5.99</v>
      </c>
      <c r="Q1397" s="17">
        <f t="shared" si="85"/>
        <v>1</v>
      </c>
      <c r="S1397" s="16" t="e">
        <f>VLOOKUP(A1397,[4]Sales!$E:$G,3,FALSE)</f>
        <v>#N/A</v>
      </c>
      <c r="T1397" s="19" t="e">
        <f>VLOOKUP(A1397,[4]Volume!$E:$G,3,FALSE)</f>
        <v>#N/A</v>
      </c>
      <c r="U1397" s="19" t="e">
        <f>VLOOKUP(A1397,[4]Piece!$E:$G,3,FALSE)</f>
        <v>#N/A</v>
      </c>
      <c r="V1397" s="21" t="e">
        <f t="shared" si="86"/>
        <v>#N/A</v>
      </c>
      <c r="W1397" s="16" t="e">
        <f t="shared" si="87"/>
        <v>#N/A</v>
      </c>
    </row>
    <row r="1398" spans="1:23" hidden="1" x14ac:dyDescent="0.3">
      <c r="A1398" s="71" t="s">
        <v>2794</v>
      </c>
      <c r="B1398" s="71" t="s">
        <v>2794</v>
      </c>
      <c r="C1398" s="47" t="s">
        <v>33</v>
      </c>
      <c r="D1398" s="48" t="s">
        <v>34</v>
      </c>
      <c r="E1398" s="18" t="s">
        <v>2795</v>
      </c>
      <c r="F1398" s="24" t="str">
        <f t="shared" si="84"/>
        <v>PPG - EWI   ALUM BASETRACK BOX BASE 2.5M 60MM</v>
      </c>
      <c r="G1398" s="20" t="s">
        <v>6269</v>
      </c>
      <c r="H1398" s="49" t="s">
        <v>213</v>
      </c>
      <c r="I1398" s="18" t="s">
        <v>37</v>
      </c>
      <c r="J1398" s="18" t="s">
        <v>38</v>
      </c>
      <c r="K1398" t="s">
        <v>39</v>
      </c>
      <c r="L1398" s="50">
        <f>VLOOKUP(A1398,'[3]Price info'!A:D,4,FALSE)</f>
        <v>6.83</v>
      </c>
      <c r="M1398" s="18" t="s">
        <v>214</v>
      </c>
      <c r="N1398" s="20">
        <v>3105</v>
      </c>
      <c r="P1398" s="16">
        <f>VLOOKUP(A1398,'[3]Price info'!A:H,8,FALSE)</f>
        <v>6.83</v>
      </c>
      <c r="Q1398" s="17">
        <f t="shared" si="85"/>
        <v>1</v>
      </c>
      <c r="S1398" s="16" t="e">
        <f>VLOOKUP(A1398,[4]Sales!$E:$G,3,FALSE)</f>
        <v>#N/A</v>
      </c>
      <c r="T1398" s="19" t="e">
        <f>VLOOKUP(A1398,[4]Volume!$E:$G,3,FALSE)</f>
        <v>#N/A</v>
      </c>
      <c r="U1398" s="19" t="e">
        <f>VLOOKUP(A1398,[4]Piece!$E:$G,3,FALSE)</f>
        <v>#N/A</v>
      </c>
      <c r="V1398" s="21" t="e">
        <f t="shared" si="86"/>
        <v>#N/A</v>
      </c>
      <c r="W1398" s="16" t="e">
        <f t="shared" si="87"/>
        <v>#N/A</v>
      </c>
    </row>
    <row r="1399" spans="1:23" hidden="1" x14ac:dyDescent="0.3">
      <c r="A1399" s="71" t="s">
        <v>2796</v>
      </c>
      <c r="B1399" s="71" t="s">
        <v>2796</v>
      </c>
      <c r="C1399" s="47" t="s">
        <v>33</v>
      </c>
      <c r="D1399" s="48" t="s">
        <v>34</v>
      </c>
      <c r="E1399" s="18" t="s">
        <v>2797</v>
      </c>
      <c r="F1399" s="24" t="str">
        <f t="shared" si="84"/>
        <v>PPG - EWI   ALUM BASETRACK BOX BASE 2.5M 90MM</v>
      </c>
      <c r="G1399" s="20" t="s">
        <v>6270</v>
      </c>
      <c r="H1399" s="49" t="s">
        <v>213</v>
      </c>
      <c r="I1399" s="18" t="s">
        <v>37</v>
      </c>
      <c r="J1399" s="18" t="s">
        <v>38</v>
      </c>
      <c r="K1399" t="s">
        <v>39</v>
      </c>
      <c r="L1399" s="50">
        <f>VLOOKUP(A1399,'[3]Price info'!A:D,4,FALSE)</f>
        <v>8.77</v>
      </c>
      <c r="M1399" s="18" t="s">
        <v>214</v>
      </c>
      <c r="N1399" s="20">
        <v>3105</v>
      </c>
      <c r="P1399" s="16">
        <f>VLOOKUP(A1399,'[3]Price info'!A:H,8,FALSE)</f>
        <v>8.77</v>
      </c>
      <c r="Q1399" s="17">
        <f t="shared" si="85"/>
        <v>1</v>
      </c>
      <c r="S1399" s="16" t="e">
        <f>VLOOKUP(A1399,[4]Sales!$E:$G,3,FALSE)</f>
        <v>#N/A</v>
      </c>
      <c r="T1399" s="19" t="e">
        <f>VLOOKUP(A1399,[4]Volume!$E:$G,3,FALSE)</f>
        <v>#N/A</v>
      </c>
      <c r="U1399" s="19" t="e">
        <f>VLOOKUP(A1399,[4]Piece!$E:$G,3,FALSE)</f>
        <v>#N/A</v>
      </c>
      <c r="V1399" s="21" t="e">
        <f t="shared" si="86"/>
        <v>#N/A</v>
      </c>
      <c r="W1399" s="16" t="e">
        <f t="shared" si="87"/>
        <v>#N/A</v>
      </c>
    </row>
    <row r="1400" spans="1:23" hidden="1" x14ac:dyDescent="0.3">
      <c r="A1400" s="71" t="s">
        <v>2798</v>
      </c>
      <c r="B1400" s="71" t="s">
        <v>2798</v>
      </c>
      <c r="C1400" s="51" t="s">
        <v>33</v>
      </c>
      <c r="D1400" s="48" t="s">
        <v>34</v>
      </c>
      <c r="E1400" s="18" t="s">
        <v>2799</v>
      </c>
      <c r="F1400" s="24" t="str">
        <f t="shared" si="84"/>
        <v>PPG - EWI   ANG SH/SPINE 15MM IVORY TEPAB15PPV</v>
      </c>
      <c r="G1400" s="20" t="s">
        <v>6271</v>
      </c>
      <c r="H1400" s="49" t="s">
        <v>213</v>
      </c>
      <c r="I1400" s="18" t="s">
        <v>37</v>
      </c>
      <c r="J1400" s="18" t="s">
        <v>38</v>
      </c>
      <c r="K1400" t="s">
        <v>39</v>
      </c>
      <c r="L1400" s="50">
        <f>VLOOKUP(A1400,'[3]Price info'!A:D,4,FALSE)</f>
        <v>3.44</v>
      </c>
      <c r="M1400" s="18" t="s">
        <v>214</v>
      </c>
      <c r="N1400" s="20">
        <v>3105</v>
      </c>
      <c r="P1400" s="16">
        <f>VLOOKUP(A1400,'[3]Price info'!A:H,8,FALSE)</f>
        <v>3.44</v>
      </c>
      <c r="Q1400" s="17">
        <f t="shared" si="85"/>
        <v>1</v>
      </c>
      <c r="S1400" s="16" t="e">
        <f>VLOOKUP(A1400,[4]Sales!$E:$G,3,FALSE)</f>
        <v>#N/A</v>
      </c>
      <c r="T1400" s="19" t="e">
        <f>VLOOKUP(A1400,[4]Volume!$E:$G,3,FALSE)</f>
        <v>#N/A</v>
      </c>
      <c r="U1400" s="19" t="e">
        <f>VLOOKUP(A1400,[4]Piece!$E:$G,3,FALSE)</f>
        <v>#N/A</v>
      </c>
      <c r="V1400" s="21" t="e">
        <f t="shared" si="86"/>
        <v>#N/A</v>
      </c>
      <c r="W1400" s="16" t="e">
        <f t="shared" si="87"/>
        <v>#N/A</v>
      </c>
    </row>
    <row r="1401" spans="1:23" hidden="1" x14ac:dyDescent="0.3">
      <c r="A1401" s="71" t="s">
        <v>2800</v>
      </c>
      <c r="B1401" s="71" t="s">
        <v>2800</v>
      </c>
      <c r="C1401" s="47" t="s">
        <v>33</v>
      </c>
      <c r="D1401" s="48" t="s">
        <v>34</v>
      </c>
      <c r="E1401" s="18" t="s">
        <v>2801</v>
      </c>
      <c r="F1401" s="24" t="str">
        <f t="shared" si="84"/>
        <v>PPG - EWI   BOXBS CLIPON NOSE W/MESH 2.5M 6MM</v>
      </c>
      <c r="G1401" s="20" t="s">
        <v>6272</v>
      </c>
      <c r="H1401" s="49" t="s">
        <v>213</v>
      </c>
      <c r="I1401" s="18" t="s">
        <v>37</v>
      </c>
      <c r="J1401" s="18" t="s">
        <v>38</v>
      </c>
      <c r="K1401" t="s">
        <v>39</v>
      </c>
      <c r="L1401" s="50">
        <f>VLOOKUP(A1401,'[3]Price info'!A:D,4,FALSE)</f>
        <v>5.22</v>
      </c>
      <c r="M1401" s="18" t="s">
        <v>214</v>
      </c>
      <c r="N1401" s="20">
        <v>3105</v>
      </c>
      <c r="P1401" s="16">
        <f>VLOOKUP(A1401,'[3]Price info'!A:H,8,FALSE)</f>
        <v>5.22</v>
      </c>
      <c r="Q1401" s="17">
        <f t="shared" si="85"/>
        <v>1</v>
      </c>
      <c r="S1401" s="16" t="e">
        <f>VLOOKUP(A1401,[4]Sales!$E:$G,3,FALSE)</f>
        <v>#N/A</v>
      </c>
      <c r="T1401" s="19" t="e">
        <f>VLOOKUP(A1401,[4]Volume!$E:$G,3,FALSE)</f>
        <v>#N/A</v>
      </c>
      <c r="U1401" s="19" t="e">
        <f>VLOOKUP(A1401,[4]Piece!$E:$G,3,FALSE)</f>
        <v>#N/A</v>
      </c>
      <c r="V1401" s="21" t="e">
        <f t="shared" si="86"/>
        <v>#N/A</v>
      </c>
      <c r="W1401" s="16" t="e">
        <f t="shared" si="87"/>
        <v>#N/A</v>
      </c>
    </row>
    <row r="1402" spans="1:23" hidden="1" x14ac:dyDescent="0.3">
      <c r="A1402" s="71" t="s">
        <v>2802</v>
      </c>
      <c r="B1402" s="71" t="s">
        <v>2802</v>
      </c>
      <c r="C1402" s="47" t="s">
        <v>33</v>
      </c>
      <c r="D1402" s="48" t="s">
        <v>34</v>
      </c>
      <c r="E1402" s="18" t="s">
        <v>2803</v>
      </c>
      <c r="F1402" s="24" t="str">
        <f t="shared" si="84"/>
        <v>PPG - EWI   BRICK EFFECT RENDER BRICK RED 25KG</v>
      </c>
      <c r="G1402" s="20" t="s">
        <v>6273</v>
      </c>
      <c r="H1402" s="49" t="s">
        <v>213</v>
      </c>
      <c r="I1402" s="18" t="s">
        <v>37</v>
      </c>
      <c r="J1402" s="18" t="s">
        <v>38</v>
      </c>
      <c r="K1402" t="s">
        <v>39</v>
      </c>
      <c r="L1402" s="50">
        <f>VLOOKUP(A1402,'[3]Price info'!A:D,4,FALSE)</f>
        <v>24.07</v>
      </c>
      <c r="M1402" s="18" t="s">
        <v>214</v>
      </c>
      <c r="N1402" s="20">
        <v>3105</v>
      </c>
      <c r="P1402" s="16">
        <f>VLOOKUP(A1402,'[3]Price info'!A:H,8,FALSE)</f>
        <v>24.07</v>
      </c>
      <c r="Q1402" s="17">
        <f t="shared" si="85"/>
        <v>1</v>
      </c>
      <c r="S1402" s="16" t="e">
        <f>VLOOKUP(A1402,[4]Sales!$E:$G,3,FALSE)</f>
        <v>#N/A</v>
      </c>
      <c r="T1402" s="19" t="e">
        <f>VLOOKUP(A1402,[4]Volume!$E:$G,3,FALSE)</f>
        <v>#N/A</v>
      </c>
      <c r="U1402" s="19" t="e">
        <f>VLOOKUP(A1402,[4]Piece!$E:$G,3,FALSE)</f>
        <v>#N/A</v>
      </c>
      <c r="V1402" s="21" t="e">
        <f t="shared" si="86"/>
        <v>#N/A</v>
      </c>
      <c r="W1402" s="16" t="e">
        <f t="shared" si="87"/>
        <v>#N/A</v>
      </c>
    </row>
    <row r="1403" spans="1:23" hidden="1" x14ac:dyDescent="0.3">
      <c r="A1403" s="71" t="s">
        <v>2804</v>
      </c>
      <c r="B1403" s="71" t="s">
        <v>2804</v>
      </c>
      <c r="C1403" s="51" t="s">
        <v>33</v>
      </c>
      <c r="D1403" s="48" t="s">
        <v>34</v>
      </c>
      <c r="E1403" s="18" t="s">
        <v>2805</v>
      </c>
      <c r="F1403" s="24" t="str">
        <f t="shared" si="84"/>
        <v>PPG - EWI   BRICK EFFECT RENDER CHARCOAL 25KG</v>
      </c>
      <c r="G1403" s="20" t="s">
        <v>6274</v>
      </c>
      <c r="H1403" s="49" t="s">
        <v>213</v>
      </c>
      <c r="I1403" s="18" t="s">
        <v>37</v>
      </c>
      <c r="J1403" s="18" t="s">
        <v>38</v>
      </c>
      <c r="K1403" t="s">
        <v>39</v>
      </c>
      <c r="L1403" s="50">
        <f>VLOOKUP(A1403,'[3]Price info'!A:D,4,FALSE)</f>
        <v>24.07</v>
      </c>
      <c r="M1403" s="18" t="s">
        <v>214</v>
      </c>
      <c r="N1403" s="20">
        <v>3105</v>
      </c>
      <c r="P1403" s="16">
        <f>VLOOKUP(A1403,'[3]Price info'!A:H,8,FALSE)</f>
        <v>24.07</v>
      </c>
      <c r="Q1403" s="17">
        <f t="shared" si="85"/>
        <v>1</v>
      </c>
      <c r="S1403" s="16" t="e">
        <f>VLOOKUP(A1403,[4]Sales!$E:$G,3,FALSE)</f>
        <v>#N/A</v>
      </c>
      <c r="T1403" s="19" t="e">
        <f>VLOOKUP(A1403,[4]Volume!$E:$G,3,FALSE)</f>
        <v>#N/A</v>
      </c>
      <c r="U1403" s="19" t="e">
        <f>VLOOKUP(A1403,[4]Piece!$E:$G,3,FALSE)</f>
        <v>#N/A</v>
      </c>
      <c r="V1403" s="21" t="e">
        <f t="shared" si="86"/>
        <v>#N/A</v>
      </c>
      <c r="W1403" s="16" t="e">
        <f t="shared" si="87"/>
        <v>#N/A</v>
      </c>
    </row>
    <row r="1404" spans="1:23" hidden="1" x14ac:dyDescent="0.3">
      <c r="A1404" s="71" t="s">
        <v>2806</v>
      </c>
      <c r="B1404" s="71" t="s">
        <v>2806</v>
      </c>
      <c r="C1404" s="47" t="s">
        <v>33</v>
      </c>
      <c r="D1404" s="48" t="s">
        <v>34</v>
      </c>
      <c r="E1404" s="18" t="s">
        <v>2807</v>
      </c>
      <c r="F1404" s="24" t="str">
        <f t="shared" si="84"/>
        <v>PPG - EWI   BRICK EFFECT RENDER CL/MORTAR 25KG</v>
      </c>
      <c r="G1404" s="20" t="s">
        <v>6275</v>
      </c>
      <c r="H1404" s="49" t="s">
        <v>213</v>
      </c>
      <c r="I1404" s="18" t="s">
        <v>37</v>
      </c>
      <c r="J1404" s="18" t="s">
        <v>38</v>
      </c>
      <c r="K1404" t="s">
        <v>39</v>
      </c>
      <c r="L1404" s="50">
        <f>VLOOKUP(A1404,'[3]Price info'!A:D,4,FALSE)</f>
        <v>20.8</v>
      </c>
      <c r="M1404" s="18" t="s">
        <v>214</v>
      </c>
      <c r="N1404" s="20">
        <v>3105</v>
      </c>
      <c r="P1404" s="16">
        <f>VLOOKUP(A1404,'[3]Price info'!A:H,8,FALSE)</f>
        <v>20.8</v>
      </c>
      <c r="Q1404" s="17">
        <f t="shared" si="85"/>
        <v>1</v>
      </c>
      <c r="S1404" s="16" t="e">
        <f>VLOOKUP(A1404,[4]Sales!$E:$G,3,FALSE)</f>
        <v>#N/A</v>
      </c>
      <c r="T1404" s="19" t="e">
        <f>VLOOKUP(A1404,[4]Volume!$E:$G,3,FALSE)</f>
        <v>#N/A</v>
      </c>
      <c r="U1404" s="19" t="e">
        <f>VLOOKUP(A1404,[4]Piece!$E:$G,3,FALSE)</f>
        <v>#N/A</v>
      </c>
      <c r="V1404" s="21" t="e">
        <f t="shared" si="86"/>
        <v>#N/A</v>
      </c>
      <c r="W1404" s="16" t="e">
        <f t="shared" si="87"/>
        <v>#N/A</v>
      </c>
    </row>
    <row r="1405" spans="1:23" hidden="1" x14ac:dyDescent="0.3">
      <c r="A1405" s="71" t="s">
        <v>2808</v>
      </c>
      <c r="B1405" s="71" t="s">
        <v>2808</v>
      </c>
      <c r="C1405" s="47" t="s">
        <v>33</v>
      </c>
      <c r="D1405" s="48" t="s">
        <v>34</v>
      </c>
      <c r="E1405" s="18" t="s">
        <v>2809</v>
      </c>
      <c r="F1405" s="24" t="str">
        <f t="shared" si="84"/>
        <v>PPG - EWI   BRICK EFFECT RENDER CLASS/RED 25KG</v>
      </c>
      <c r="G1405" s="20" t="s">
        <v>6276</v>
      </c>
      <c r="H1405" s="49" t="s">
        <v>213</v>
      </c>
      <c r="I1405" s="18" t="s">
        <v>37</v>
      </c>
      <c r="J1405" s="18" t="s">
        <v>38</v>
      </c>
      <c r="K1405" t="s">
        <v>39</v>
      </c>
      <c r="L1405" s="50">
        <f>VLOOKUP(A1405,'[3]Price info'!A:D,4,FALSE)</f>
        <v>24.07</v>
      </c>
      <c r="M1405" s="18" t="s">
        <v>214</v>
      </c>
      <c r="N1405" s="20">
        <v>3105</v>
      </c>
      <c r="P1405" s="16">
        <f>VLOOKUP(A1405,'[3]Price info'!A:H,8,FALSE)</f>
        <v>24.07</v>
      </c>
      <c r="Q1405" s="17">
        <f t="shared" si="85"/>
        <v>1</v>
      </c>
      <c r="S1405" s="16" t="e">
        <f>VLOOKUP(A1405,[4]Sales!$E:$G,3,FALSE)</f>
        <v>#N/A</v>
      </c>
      <c r="T1405" s="19" t="e">
        <f>VLOOKUP(A1405,[4]Volume!$E:$G,3,FALSE)</f>
        <v>#N/A</v>
      </c>
      <c r="U1405" s="19" t="e">
        <f>VLOOKUP(A1405,[4]Piece!$E:$G,3,FALSE)</f>
        <v>#N/A</v>
      </c>
      <c r="V1405" s="21" t="e">
        <f t="shared" si="86"/>
        <v>#N/A</v>
      </c>
      <c r="W1405" s="16" t="e">
        <f t="shared" si="87"/>
        <v>#N/A</v>
      </c>
    </row>
    <row r="1406" spans="1:23" hidden="1" x14ac:dyDescent="0.3">
      <c r="A1406" s="71" t="s">
        <v>2810</v>
      </c>
      <c r="B1406" s="71" t="s">
        <v>2810</v>
      </c>
      <c r="C1406" s="51" t="s">
        <v>33</v>
      </c>
      <c r="D1406" s="48" t="s">
        <v>34</v>
      </c>
      <c r="E1406" s="18" t="s">
        <v>2811</v>
      </c>
      <c r="F1406" s="24" t="str">
        <f t="shared" si="84"/>
        <v>PPG - EWI   BRICK EFFECT RENDER DARK BROWN25KG</v>
      </c>
      <c r="G1406" s="20" t="s">
        <v>6277</v>
      </c>
      <c r="H1406" s="49" t="s">
        <v>213</v>
      </c>
      <c r="I1406" s="18" t="s">
        <v>37</v>
      </c>
      <c r="J1406" s="18" t="s">
        <v>38</v>
      </c>
      <c r="K1406" t="s">
        <v>39</v>
      </c>
      <c r="L1406" s="50">
        <f>VLOOKUP(A1406,'[3]Price info'!A:D,4,FALSE)</f>
        <v>24.07</v>
      </c>
      <c r="M1406" s="18" t="s">
        <v>214</v>
      </c>
      <c r="N1406" s="20">
        <v>3105</v>
      </c>
      <c r="P1406" s="16">
        <f>VLOOKUP(A1406,'[3]Price info'!A:H,8,FALSE)</f>
        <v>24.07</v>
      </c>
      <c r="Q1406" s="17">
        <f t="shared" si="85"/>
        <v>1</v>
      </c>
      <c r="S1406" s="16" t="e">
        <f>VLOOKUP(A1406,[4]Sales!$E:$G,3,FALSE)</f>
        <v>#N/A</v>
      </c>
      <c r="T1406" s="19" t="e">
        <f>VLOOKUP(A1406,[4]Volume!$E:$G,3,FALSE)</f>
        <v>#N/A</v>
      </c>
      <c r="U1406" s="19" t="e">
        <f>VLOOKUP(A1406,[4]Piece!$E:$G,3,FALSE)</f>
        <v>#N/A</v>
      </c>
      <c r="V1406" s="21" t="e">
        <f t="shared" si="86"/>
        <v>#N/A</v>
      </c>
      <c r="W1406" s="16" t="e">
        <f t="shared" si="87"/>
        <v>#N/A</v>
      </c>
    </row>
    <row r="1407" spans="1:23" hidden="1" x14ac:dyDescent="0.3">
      <c r="A1407" s="71" t="s">
        <v>2812</v>
      </c>
      <c r="B1407" s="71" t="s">
        <v>2812</v>
      </c>
      <c r="C1407" s="47" t="s">
        <v>33</v>
      </c>
      <c r="D1407" s="48" t="s">
        <v>34</v>
      </c>
      <c r="E1407" s="18" t="s">
        <v>2813</v>
      </c>
      <c r="F1407" s="24" t="str">
        <f t="shared" si="84"/>
        <v>PPG - EWI   BRICK EFFECT RENDER DARK GREY 25KG</v>
      </c>
      <c r="G1407" s="20" t="s">
        <v>6278</v>
      </c>
      <c r="H1407" s="49" t="s">
        <v>213</v>
      </c>
      <c r="I1407" s="18" t="s">
        <v>37</v>
      </c>
      <c r="J1407" s="18" t="s">
        <v>38</v>
      </c>
      <c r="K1407" t="s">
        <v>39</v>
      </c>
      <c r="L1407" s="50">
        <f>VLOOKUP(A1407,'[3]Price info'!A:D,4,FALSE)</f>
        <v>20.8</v>
      </c>
      <c r="M1407" s="18" t="s">
        <v>214</v>
      </c>
      <c r="N1407" s="20">
        <v>3105</v>
      </c>
      <c r="P1407" s="16">
        <f>VLOOKUP(A1407,'[3]Price info'!A:H,8,FALSE)</f>
        <v>20.8</v>
      </c>
      <c r="Q1407" s="17">
        <f t="shared" si="85"/>
        <v>1</v>
      </c>
      <c r="S1407" s="16" t="e">
        <f>VLOOKUP(A1407,[4]Sales!$E:$G,3,FALSE)</f>
        <v>#N/A</v>
      </c>
      <c r="T1407" s="19" t="e">
        <f>VLOOKUP(A1407,[4]Volume!$E:$G,3,FALSE)</f>
        <v>#N/A</v>
      </c>
      <c r="U1407" s="19" t="e">
        <f>VLOOKUP(A1407,[4]Piece!$E:$G,3,FALSE)</f>
        <v>#N/A</v>
      </c>
      <c r="V1407" s="21" t="e">
        <f t="shared" si="86"/>
        <v>#N/A</v>
      </c>
      <c r="W1407" s="16" t="e">
        <f t="shared" si="87"/>
        <v>#N/A</v>
      </c>
    </row>
    <row r="1408" spans="1:23" hidden="1" x14ac:dyDescent="0.3">
      <c r="A1408" s="71" t="s">
        <v>2814</v>
      </c>
      <c r="B1408" s="71" t="s">
        <v>2814</v>
      </c>
      <c r="C1408" s="47" t="s">
        <v>33</v>
      </c>
      <c r="D1408" s="48" t="s">
        <v>34</v>
      </c>
      <c r="E1408" s="18" t="s">
        <v>2815</v>
      </c>
      <c r="F1408" s="24" t="str">
        <f t="shared" si="84"/>
        <v>PPG - EWI   BRICK EFFECT RENDER GOLDEN STN25KG</v>
      </c>
      <c r="G1408" s="20" t="s">
        <v>6279</v>
      </c>
      <c r="H1408" s="49" t="s">
        <v>213</v>
      </c>
      <c r="I1408" s="18" t="s">
        <v>37</v>
      </c>
      <c r="J1408" s="18" t="s">
        <v>38</v>
      </c>
      <c r="K1408" t="s">
        <v>39</v>
      </c>
      <c r="L1408" s="50">
        <f>VLOOKUP(A1408,'[3]Price info'!A:D,4,FALSE)</f>
        <v>24.07</v>
      </c>
      <c r="M1408" s="18" t="s">
        <v>214</v>
      </c>
      <c r="N1408" s="20">
        <v>3105</v>
      </c>
      <c r="P1408" s="16">
        <f>VLOOKUP(A1408,'[3]Price info'!A:H,8,FALSE)</f>
        <v>24.07</v>
      </c>
      <c r="Q1408" s="17">
        <f t="shared" si="85"/>
        <v>1</v>
      </c>
      <c r="S1408" s="16" t="e">
        <f>VLOOKUP(A1408,[4]Sales!$E:$G,3,FALSE)</f>
        <v>#N/A</v>
      </c>
      <c r="T1408" s="19" t="e">
        <f>VLOOKUP(A1408,[4]Volume!$E:$G,3,FALSE)</f>
        <v>#N/A</v>
      </c>
      <c r="U1408" s="19" t="e">
        <f>VLOOKUP(A1408,[4]Piece!$E:$G,3,FALSE)</f>
        <v>#N/A</v>
      </c>
      <c r="V1408" s="21" t="e">
        <f t="shared" si="86"/>
        <v>#N/A</v>
      </c>
      <c r="W1408" s="16" t="e">
        <f t="shared" si="87"/>
        <v>#N/A</v>
      </c>
    </row>
    <row r="1409" spans="1:23" hidden="1" x14ac:dyDescent="0.3">
      <c r="A1409" s="71" t="s">
        <v>2816</v>
      </c>
      <c r="B1409" s="71" t="s">
        <v>2816</v>
      </c>
      <c r="C1409" s="51" t="s">
        <v>33</v>
      </c>
      <c r="D1409" s="48" t="s">
        <v>34</v>
      </c>
      <c r="E1409" s="18" t="s">
        <v>2817</v>
      </c>
      <c r="F1409" s="24" t="str">
        <f t="shared" si="84"/>
        <v>PPG - EWI   BRICK EFFECT RENDER LIGHT GREY25KG</v>
      </c>
      <c r="G1409" s="20" t="s">
        <v>6280</v>
      </c>
      <c r="H1409" s="49" t="s">
        <v>213</v>
      </c>
      <c r="I1409" s="18" t="s">
        <v>37</v>
      </c>
      <c r="J1409" s="18" t="s">
        <v>38</v>
      </c>
      <c r="K1409" t="s">
        <v>39</v>
      </c>
      <c r="L1409" s="50">
        <f>VLOOKUP(A1409,'[3]Price info'!A:D,4,FALSE)</f>
        <v>20.8</v>
      </c>
      <c r="M1409" s="18" t="s">
        <v>214</v>
      </c>
      <c r="N1409" s="20">
        <v>3105</v>
      </c>
      <c r="P1409" s="16">
        <f>VLOOKUP(A1409,'[3]Price info'!A:H,8,FALSE)</f>
        <v>20.8</v>
      </c>
      <c r="Q1409" s="17">
        <f t="shared" si="85"/>
        <v>1</v>
      </c>
      <c r="S1409" s="16" t="e">
        <f>VLOOKUP(A1409,[4]Sales!$E:$G,3,FALSE)</f>
        <v>#N/A</v>
      </c>
      <c r="T1409" s="19" t="e">
        <f>VLOOKUP(A1409,[4]Volume!$E:$G,3,FALSE)</f>
        <v>#N/A</v>
      </c>
      <c r="U1409" s="19" t="e">
        <f>VLOOKUP(A1409,[4]Piece!$E:$G,3,FALSE)</f>
        <v>#N/A</v>
      </c>
      <c r="V1409" s="21" t="e">
        <f t="shared" si="86"/>
        <v>#N/A</v>
      </c>
      <c r="W1409" s="16" t="e">
        <f t="shared" si="87"/>
        <v>#N/A</v>
      </c>
    </row>
    <row r="1410" spans="1:23" hidden="1" x14ac:dyDescent="0.3">
      <c r="A1410" s="71" t="s">
        <v>2818</v>
      </c>
      <c r="B1410" s="71" t="s">
        <v>2818</v>
      </c>
      <c r="C1410" s="47" t="s">
        <v>33</v>
      </c>
      <c r="D1410" s="48" t="s">
        <v>34</v>
      </c>
      <c r="E1410" s="18" t="s">
        <v>2819</v>
      </c>
      <c r="F1410" s="24" t="str">
        <f t="shared" si="84"/>
        <v>PPG - EWI   BRICK EFFECT RENDER SANDSTONE 25KG</v>
      </c>
      <c r="G1410" s="20" t="s">
        <v>6281</v>
      </c>
      <c r="H1410" s="49" t="s">
        <v>213</v>
      </c>
      <c r="I1410" s="18" t="s">
        <v>37</v>
      </c>
      <c r="J1410" s="18" t="s">
        <v>38</v>
      </c>
      <c r="K1410" t="s">
        <v>39</v>
      </c>
      <c r="L1410" s="50">
        <f>VLOOKUP(A1410,'[3]Price info'!A:D,4,FALSE)</f>
        <v>24.07</v>
      </c>
      <c r="M1410" s="18" t="s">
        <v>214</v>
      </c>
      <c r="N1410" s="20">
        <v>3105</v>
      </c>
      <c r="P1410" s="16">
        <f>VLOOKUP(A1410,'[3]Price info'!A:H,8,FALSE)</f>
        <v>24.07</v>
      </c>
      <c r="Q1410" s="17">
        <f t="shared" si="85"/>
        <v>1</v>
      </c>
      <c r="S1410" s="16" t="e">
        <f>VLOOKUP(A1410,[4]Sales!$E:$G,3,FALSE)</f>
        <v>#N/A</v>
      </c>
      <c r="T1410" s="19" t="e">
        <f>VLOOKUP(A1410,[4]Volume!$E:$G,3,FALSE)</f>
        <v>#N/A</v>
      </c>
      <c r="U1410" s="19" t="e">
        <f>VLOOKUP(A1410,[4]Piece!$E:$G,3,FALSE)</f>
        <v>#N/A</v>
      </c>
      <c r="V1410" s="21" t="e">
        <f t="shared" si="86"/>
        <v>#N/A</v>
      </c>
      <c r="W1410" s="16" t="e">
        <f t="shared" si="87"/>
        <v>#N/A</v>
      </c>
    </row>
    <row r="1411" spans="1:23" hidden="1" x14ac:dyDescent="0.3">
      <c r="A1411" s="71" t="s">
        <v>2820</v>
      </c>
      <c r="B1411" s="71" t="s">
        <v>2820</v>
      </c>
      <c r="C1411" s="47" t="s">
        <v>33</v>
      </c>
      <c r="D1411" s="48" t="s">
        <v>34</v>
      </c>
      <c r="E1411" s="18" t="s">
        <v>2821</v>
      </c>
      <c r="F1411" s="24" t="str">
        <f t="shared" ref="F1411:F1474" si="88">D1411&amp;" - "&amp;E1411</f>
        <v>PPG - EWI   BRICK EFFECT RENDER SOFT BROWN25KG</v>
      </c>
      <c r="G1411" s="20" t="s">
        <v>6282</v>
      </c>
      <c r="H1411" s="49" t="s">
        <v>213</v>
      </c>
      <c r="I1411" s="18" t="s">
        <v>37</v>
      </c>
      <c r="J1411" s="18" t="s">
        <v>38</v>
      </c>
      <c r="K1411" t="s">
        <v>39</v>
      </c>
      <c r="L1411" s="50">
        <f>VLOOKUP(A1411,'[3]Price info'!A:D,4,FALSE)</f>
        <v>20.8</v>
      </c>
      <c r="M1411" s="18" t="s">
        <v>214</v>
      </c>
      <c r="N1411" s="20">
        <v>3105</v>
      </c>
      <c r="P1411" s="16">
        <f>VLOOKUP(A1411,'[3]Price info'!A:H,8,FALSE)</f>
        <v>20.8</v>
      </c>
      <c r="Q1411" s="17">
        <f t="shared" ref="Q1411:Q1474" si="89">P1411/L1411</f>
        <v>1</v>
      </c>
      <c r="S1411" s="16" t="e">
        <f>VLOOKUP(A1411,[4]Sales!$E:$G,3,FALSE)</f>
        <v>#N/A</v>
      </c>
      <c r="T1411" s="19" t="e">
        <f>VLOOKUP(A1411,[4]Volume!$E:$G,3,FALSE)</f>
        <v>#N/A</v>
      </c>
      <c r="U1411" s="19" t="e">
        <f>VLOOKUP(A1411,[4]Piece!$E:$G,3,FALSE)</f>
        <v>#N/A</v>
      </c>
      <c r="V1411" s="21" t="e">
        <f t="shared" ref="V1411:V1474" si="90">U1411*P1411</f>
        <v>#N/A</v>
      </c>
      <c r="W1411" s="16" t="e">
        <f t="shared" ref="W1411:W1474" si="91">V1411-S1411</f>
        <v>#N/A</v>
      </c>
    </row>
    <row r="1412" spans="1:23" hidden="1" x14ac:dyDescent="0.3">
      <c r="A1412" s="71" t="s">
        <v>2822</v>
      </c>
      <c r="B1412" s="71" t="s">
        <v>2822</v>
      </c>
      <c r="C1412" s="51" t="s">
        <v>33</v>
      </c>
      <c r="D1412" s="48" t="s">
        <v>34</v>
      </c>
      <c r="E1412" s="18" t="s">
        <v>2823</v>
      </c>
      <c r="F1412" s="24" t="str">
        <f t="shared" si="88"/>
        <v>PPG - EWI   BRICK EFFECT RENDER TERRACOTTA25KG</v>
      </c>
      <c r="G1412" s="20" t="s">
        <v>6283</v>
      </c>
      <c r="H1412" s="49" t="s">
        <v>213</v>
      </c>
      <c r="I1412" s="18" t="s">
        <v>37</v>
      </c>
      <c r="J1412" s="18" t="s">
        <v>38</v>
      </c>
      <c r="K1412" t="s">
        <v>39</v>
      </c>
      <c r="L1412" s="50">
        <f>VLOOKUP(A1412,'[3]Price info'!A:D,4,FALSE)</f>
        <v>24.07</v>
      </c>
      <c r="M1412" s="18" t="s">
        <v>214</v>
      </c>
      <c r="N1412" s="20">
        <v>3105</v>
      </c>
      <c r="P1412" s="16">
        <f>VLOOKUP(A1412,'[3]Price info'!A:H,8,FALSE)</f>
        <v>24.07</v>
      </c>
      <c r="Q1412" s="17">
        <f t="shared" si="89"/>
        <v>1</v>
      </c>
      <c r="S1412" s="16" t="e">
        <f>VLOOKUP(A1412,[4]Sales!$E:$G,3,FALSE)</f>
        <v>#N/A</v>
      </c>
      <c r="T1412" s="19" t="e">
        <f>VLOOKUP(A1412,[4]Volume!$E:$G,3,FALSE)</f>
        <v>#N/A</v>
      </c>
      <c r="U1412" s="19" t="e">
        <f>VLOOKUP(A1412,[4]Piece!$E:$G,3,FALSE)</f>
        <v>#N/A</v>
      </c>
      <c r="V1412" s="21" t="e">
        <f t="shared" si="90"/>
        <v>#N/A</v>
      </c>
      <c r="W1412" s="16" t="e">
        <f t="shared" si="91"/>
        <v>#N/A</v>
      </c>
    </row>
    <row r="1413" spans="1:23" hidden="1" x14ac:dyDescent="0.3">
      <c r="A1413" s="71" t="s">
        <v>2824</v>
      </c>
      <c r="B1413" s="71" t="s">
        <v>2824</v>
      </c>
      <c r="C1413" s="47" t="s">
        <v>33</v>
      </c>
      <c r="D1413" s="48" t="s">
        <v>34</v>
      </c>
      <c r="E1413" s="18" t="s">
        <v>2825</v>
      </c>
      <c r="F1413" s="24" t="str">
        <f t="shared" si="88"/>
        <v>PPG - EWI   BRICK EFFECT RENDER TRAD GREY 25KG</v>
      </c>
      <c r="G1413" s="20" t="s">
        <v>6284</v>
      </c>
      <c r="H1413" s="49" t="s">
        <v>213</v>
      </c>
      <c r="I1413" s="18" t="s">
        <v>37</v>
      </c>
      <c r="J1413" s="18" t="s">
        <v>38</v>
      </c>
      <c r="K1413" t="s">
        <v>39</v>
      </c>
      <c r="L1413" s="50">
        <f>VLOOKUP(A1413,'[3]Price info'!A:D,4,FALSE)</f>
        <v>20.8</v>
      </c>
      <c r="M1413" s="18" t="s">
        <v>214</v>
      </c>
      <c r="N1413" s="20">
        <v>3105</v>
      </c>
      <c r="P1413" s="16">
        <f>VLOOKUP(A1413,'[3]Price info'!A:H,8,FALSE)</f>
        <v>20.8</v>
      </c>
      <c r="Q1413" s="17">
        <f t="shared" si="89"/>
        <v>1</v>
      </c>
      <c r="S1413" s="16" t="e">
        <f>VLOOKUP(A1413,[4]Sales!$E:$G,3,FALSE)</f>
        <v>#N/A</v>
      </c>
      <c r="T1413" s="19" t="e">
        <f>VLOOKUP(A1413,[4]Volume!$E:$G,3,FALSE)</f>
        <v>#N/A</v>
      </c>
      <c r="U1413" s="19" t="e">
        <f>VLOOKUP(A1413,[4]Piece!$E:$G,3,FALSE)</f>
        <v>#N/A</v>
      </c>
      <c r="V1413" s="21" t="e">
        <f t="shared" si="90"/>
        <v>#N/A</v>
      </c>
      <c r="W1413" s="16" t="e">
        <f t="shared" si="91"/>
        <v>#N/A</v>
      </c>
    </row>
    <row r="1414" spans="1:23" hidden="1" x14ac:dyDescent="0.3">
      <c r="A1414" s="71" t="s">
        <v>2826</v>
      </c>
      <c r="B1414" s="71" t="s">
        <v>2826</v>
      </c>
      <c r="C1414" s="47" t="s">
        <v>33</v>
      </c>
      <c r="D1414" s="48" t="s">
        <v>34</v>
      </c>
      <c r="E1414" s="18" t="s">
        <v>2827</v>
      </c>
      <c r="F1414" s="24" t="str">
        <f t="shared" si="88"/>
        <v>PPG - EWI   BRICK EFFECT RENDER TRAD RED 25KG</v>
      </c>
      <c r="G1414" s="20" t="s">
        <v>6285</v>
      </c>
      <c r="H1414" s="49" t="s">
        <v>213</v>
      </c>
      <c r="I1414" s="18" t="s">
        <v>37</v>
      </c>
      <c r="J1414" s="18" t="s">
        <v>38</v>
      </c>
      <c r="K1414" t="s">
        <v>39</v>
      </c>
      <c r="L1414" s="50">
        <f>VLOOKUP(A1414,'[3]Price info'!A:D,4,FALSE)</f>
        <v>24.07</v>
      </c>
      <c r="M1414" s="18" t="s">
        <v>214</v>
      </c>
      <c r="N1414" s="20">
        <v>3105</v>
      </c>
      <c r="P1414" s="16">
        <f>VLOOKUP(A1414,'[3]Price info'!A:H,8,FALSE)</f>
        <v>24.07</v>
      </c>
      <c r="Q1414" s="17">
        <f t="shared" si="89"/>
        <v>1</v>
      </c>
      <c r="S1414" s="16" t="e">
        <f>VLOOKUP(A1414,[4]Sales!$E:$G,3,FALSE)</f>
        <v>#N/A</v>
      </c>
      <c r="T1414" s="19" t="e">
        <f>VLOOKUP(A1414,[4]Volume!$E:$G,3,FALSE)</f>
        <v>#N/A</v>
      </c>
      <c r="U1414" s="19" t="e">
        <f>VLOOKUP(A1414,[4]Piece!$E:$G,3,FALSE)</f>
        <v>#N/A</v>
      </c>
      <c r="V1414" s="21" t="e">
        <f t="shared" si="90"/>
        <v>#N/A</v>
      </c>
      <c r="W1414" s="16" t="e">
        <f t="shared" si="91"/>
        <v>#N/A</v>
      </c>
    </row>
    <row r="1415" spans="1:23" hidden="1" x14ac:dyDescent="0.3">
      <c r="A1415" s="71" t="s">
        <v>2828</v>
      </c>
      <c r="B1415" s="71" t="s">
        <v>2828</v>
      </c>
      <c r="C1415" s="51" t="s">
        <v>33</v>
      </c>
      <c r="D1415" s="48" t="s">
        <v>34</v>
      </c>
      <c r="E1415" s="18" t="s">
        <v>2829</v>
      </c>
      <c r="F1415" s="24" t="str">
        <f t="shared" si="88"/>
        <v>PPG - EWI   BRICK SLIP ADHESIVE 25KG</v>
      </c>
      <c r="G1415" s="20" t="s">
        <v>6286</v>
      </c>
      <c r="H1415" s="49" t="s">
        <v>213</v>
      </c>
      <c r="I1415" s="18" t="s">
        <v>37</v>
      </c>
      <c r="J1415" s="18" t="s">
        <v>38</v>
      </c>
      <c r="K1415" t="s">
        <v>39</v>
      </c>
      <c r="L1415" s="50">
        <f>VLOOKUP(A1415,'[3]Price info'!A:D,4,FALSE)</f>
        <v>14.45</v>
      </c>
      <c r="M1415" s="18" t="s">
        <v>214</v>
      </c>
      <c r="N1415" s="20">
        <v>3105</v>
      </c>
      <c r="P1415" s="16">
        <f>VLOOKUP(A1415,'[3]Price info'!A:H,8,FALSE)</f>
        <v>14.45</v>
      </c>
      <c r="Q1415" s="17">
        <f t="shared" si="89"/>
        <v>1</v>
      </c>
      <c r="S1415" s="16" t="e">
        <f>VLOOKUP(A1415,[4]Sales!$E:$G,3,FALSE)</f>
        <v>#N/A</v>
      </c>
      <c r="T1415" s="19" t="e">
        <f>VLOOKUP(A1415,[4]Volume!$E:$G,3,FALSE)</f>
        <v>#N/A</v>
      </c>
      <c r="U1415" s="19" t="e">
        <f>VLOOKUP(A1415,[4]Piece!$E:$G,3,FALSE)</f>
        <v>#N/A</v>
      </c>
      <c r="V1415" s="21" t="e">
        <f t="shared" si="90"/>
        <v>#N/A</v>
      </c>
      <c r="W1415" s="16" t="e">
        <f t="shared" si="91"/>
        <v>#N/A</v>
      </c>
    </row>
    <row r="1416" spans="1:23" hidden="1" x14ac:dyDescent="0.3">
      <c r="A1416" s="71" t="s">
        <v>2830</v>
      </c>
      <c r="B1416" s="71" t="s">
        <v>2830</v>
      </c>
      <c r="C1416" s="47" t="s">
        <v>33</v>
      </c>
      <c r="D1416" s="48" t="s">
        <v>34</v>
      </c>
      <c r="E1416" s="18" t="s">
        <v>2831</v>
      </c>
      <c r="F1416" s="24" t="str">
        <f t="shared" si="88"/>
        <v>PPG - EWI   BRICK SLIP BASETRACK 2.5M 60MM</v>
      </c>
      <c r="G1416" s="20" t="s">
        <v>6287</v>
      </c>
      <c r="H1416" s="49" t="s">
        <v>213</v>
      </c>
      <c r="I1416" s="18" t="s">
        <v>37</v>
      </c>
      <c r="J1416" s="18" t="s">
        <v>38</v>
      </c>
      <c r="K1416" t="s">
        <v>39</v>
      </c>
      <c r="L1416" s="50">
        <f>VLOOKUP(A1416,'[3]Price info'!A:D,4,FALSE)</f>
        <v>18.66</v>
      </c>
      <c r="M1416" s="18" t="s">
        <v>214</v>
      </c>
      <c r="N1416" s="20">
        <v>3105</v>
      </c>
      <c r="P1416" s="16">
        <f>VLOOKUP(A1416,'[3]Price info'!A:H,8,FALSE)</f>
        <v>18.66</v>
      </c>
      <c r="Q1416" s="17">
        <f t="shared" si="89"/>
        <v>1</v>
      </c>
      <c r="S1416" s="16" t="e">
        <f>VLOOKUP(A1416,[4]Sales!$E:$G,3,FALSE)</f>
        <v>#N/A</v>
      </c>
      <c r="T1416" s="19" t="e">
        <f>VLOOKUP(A1416,[4]Volume!$E:$G,3,FALSE)</f>
        <v>#N/A</v>
      </c>
      <c r="U1416" s="19" t="e">
        <f>VLOOKUP(A1416,[4]Piece!$E:$G,3,FALSE)</f>
        <v>#N/A</v>
      </c>
      <c r="V1416" s="21" t="e">
        <f t="shared" si="90"/>
        <v>#N/A</v>
      </c>
      <c r="W1416" s="16" t="e">
        <f t="shared" si="91"/>
        <v>#N/A</v>
      </c>
    </row>
    <row r="1417" spans="1:23" hidden="1" x14ac:dyDescent="0.3">
      <c r="A1417" s="71" t="s">
        <v>2832</v>
      </c>
      <c r="B1417" s="71" t="s">
        <v>2832</v>
      </c>
      <c r="C1417" s="47" t="s">
        <v>33</v>
      </c>
      <c r="D1417" s="48" t="s">
        <v>34</v>
      </c>
      <c r="E1417" s="18" t="s">
        <v>2833</v>
      </c>
      <c r="F1417" s="24" t="str">
        <f t="shared" si="88"/>
        <v>PPG - EWI   DASH RECEIVER ANTIQUE WHITE 25KG</v>
      </c>
      <c r="G1417" s="20" t="s">
        <v>6288</v>
      </c>
      <c r="H1417" s="49" t="s">
        <v>213</v>
      </c>
      <c r="I1417" s="18" t="s">
        <v>37</v>
      </c>
      <c r="J1417" s="18" t="s">
        <v>38</v>
      </c>
      <c r="K1417" t="s">
        <v>39</v>
      </c>
      <c r="L1417" s="50">
        <f>VLOOKUP(A1417,'[3]Price info'!A:D,4,FALSE)</f>
        <v>12.51</v>
      </c>
      <c r="M1417" s="18" t="s">
        <v>214</v>
      </c>
      <c r="N1417" s="20">
        <v>3105</v>
      </c>
      <c r="P1417" s="16">
        <f>VLOOKUP(A1417,'[3]Price info'!A:H,8,FALSE)</f>
        <v>12.51</v>
      </c>
      <c r="Q1417" s="17">
        <f t="shared" si="89"/>
        <v>1</v>
      </c>
      <c r="S1417" s="16" t="e">
        <f>VLOOKUP(A1417,[4]Sales!$E:$G,3,FALSE)</f>
        <v>#N/A</v>
      </c>
      <c r="T1417" s="19" t="e">
        <f>VLOOKUP(A1417,[4]Volume!$E:$G,3,FALSE)</f>
        <v>#N/A</v>
      </c>
      <c r="U1417" s="19" t="e">
        <f>VLOOKUP(A1417,[4]Piece!$E:$G,3,FALSE)</f>
        <v>#N/A</v>
      </c>
      <c r="V1417" s="21" t="e">
        <f t="shared" si="90"/>
        <v>#N/A</v>
      </c>
      <c r="W1417" s="16" t="e">
        <f t="shared" si="91"/>
        <v>#N/A</v>
      </c>
    </row>
    <row r="1418" spans="1:23" hidden="1" x14ac:dyDescent="0.3">
      <c r="A1418" s="71" t="s">
        <v>2834</v>
      </c>
      <c r="B1418" s="71" t="s">
        <v>2834</v>
      </c>
      <c r="C1418" s="51" t="s">
        <v>33</v>
      </c>
      <c r="D1418" s="48" t="s">
        <v>34</v>
      </c>
      <c r="E1418" s="18" t="s">
        <v>2835</v>
      </c>
      <c r="F1418" s="24" t="str">
        <f t="shared" si="88"/>
        <v>PPG - EWI   DASH RECEIVER BLUE 25KG</v>
      </c>
      <c r="G1418" s="20" t="s">
        <v>6289</v>
      </c>
      <c r="H1418" s="49" t="s">
        <v>213</v>
      </c>
      <c r="I1418" s="18" t="s">
        <v>37</v>
      </c>
      <c r="J1418" s="18" t="s">
        <v>38</v>
      </c>
      <c r="K1418" t="s">
        <v>39</v>
      </c>
      <c r="L1418" s="50">
        <f>VLOOKUP(A1418,'[3]Price info'!A:D,4,FALSE)</f>
        <v>12.51</v>
      </c>
      <c r="M1418" s="18" t="s">
        <v>214</v>
      </c>
      <c r="N1418" s="20">
        <v>3105</v>
      </c>
      <c r="P1418" s="16">
        <f>VLOOKUP(A1418,'[3]Price info'!A:H,8,FALSE)</f>
        <v>12.51</v>
      </c>
      <c r="Q1418" s="17">
        <f t="shared" si="89"/>
        <v>1</v>
      </c>
      <c r="S1418" s="16" t="e">
        <f>VLOOKUP(A1418,[4]Sales!$E:$G,3,FALSE)</f>
        <v>#N/A</v>
      </c>
      <c r="T1418" s="19" t="e">
        <f>VLOOKUP(A1418,[4]Volume!$E:$G,3,FALSE)</f>
        <v>#N/A</v>
      </c>
      <c r="U1418" s="19" t="e">
        <f>VLOOKUP(A1418,[4]Piece!$E:$G,3,FALSE)</f>
        <v>#N/A</v>
      </c>
      <c r="V1418" s="21" t="e">
        <f t="shared" si="90"/>
        <v>#N/A</v>
      </c>
      <c r="W1418" s="16" t="e">
        <f t="shared" si="91"/>
        <v>#N/A</v>
      </c>
    </row>
    <row r="1419" spans="1:23" hidden="1" x14ac:dyDescent="0.3">
      <c r="A1419" s="71" t="s">
        <v>2836</v>
      </c>
      <c r="B1419" s="71" t="s">
        <v>2836</v>
      </c>
      <c r="C1419" s="47" t="s">
        <v>33</v>
      </c>
      <c r="D1419" s="48" t="s">
        <v>34</v>
      </c>
      <c r="E1419" s="18" t="s">
        <v>2837</v>
      </c>
      <c r="F1419" s="24" t="str">
        <f t="shared" si="88"/>
        <v>PPG - EWI   DASH RECEIVER BUTTERMILK 25KG</v>
      </c>
      <c r="G1419" s="20" t="s">
        <v>6290</v>
      </c>
      <c r="H1419" s="49" t="s">
        <v>213</v>
      </c>
      <c r="I1419" s="18" t="s">
        <v>37</v>
      </c>
      <c r="J1419" s="18" t="s">
        <v>38</v>
      </c>
      <c r="K1419" t="s">
        <v>39</v>
      </c>
      <c r="L1419" s="50">
        <f>VLOOKUP(A1419,'[3]Price info'!A:D,4,FALSE)</f>
        <v>12.51</v>
      </c>
      <c r="M1419" s="18" t="s">
        <v>214</v>
      </c>
      <c r="N1419" s="20">
        <v>3105</v>
      </c>
      <c r="P1419" s="16">
        <f>VLOOKUP(A1419,'[3]Price info'!A:H,8,FALSE)</f>
        <v>12.51</v>
      </c>
      <c r="Q1419" s="17">
        <f t="shared" si="89"/>
        <v>1</v>
      </c>
      <c r="S1419" s="16" t="e">
        <f>VLOOKUP(A1419,[4]Sales!$E:$G,3,FALSE)</f>
        <v>#N/A</v>
      </c>
      <c r="T1419" s="19" t="e">
        <f>VLOOKUP(A1419,[4]Volume!$E:$G,3,FALSE)</f>
        <v>#N/A</v>
      </c>
      <c r="U1419" s="19" t="e">
        <f>VLOOKUP(A1419,[4]Piece!$E:$G,3,FALSE)</f>
        <v>#N/A</v>
      </c>
      <c r="V1419" s="21" t="e">
        <f t="shared" si="90"/>
        <v>#N/A</v>
      </c>
      <c r="W1419" s="16" t="e">
        <f t="shared" si="91"/>
        <v>#N/A</v>
      </c>
    </row>
    <row r="1420" spans="1:23" hidden="1" x14ac:dyDescent="0.3">
      <c r="A1420" s="71" t="s">
        <v>2838</v>
      </c>
      <c r="B1420" s="71" t="s">
        <v>2838</v>
      </c>
      <c r="C1420" s="47" t="s">
        <v>33</v>
      </c>
      <c r="D1420" s="48" t="s">
        <v>34</v>
      </c>
      <c r="E1420" s="18" t="s">
        <v>2839</v>
      </c>
      <c r="F1420" s="24" t="str">
        <f t="shared" si="88"/>
        <v>PPG - EWI   DASH RECEIVER CREAM 25KG</v>
      </c>
      <c r="G1420" s="20" t="s">
        <v>6291</v>
      </c>
      <c r="H1420" s="49" t="s">
        <v>213</v>
      </c>
      <c r="I1420" s="18" t="s">
        <v>37</v>
      </c>
      <c r="J1420" s="18" t="s">
        <v>38</v>
      </c>
      <c r="K1420" t="s">
        <v>39</v>
      </c>
      <c r="L1420" s="50">
        <f>VLOOKUP(A1420,'[3]Price info'!A:D,4,FALSE)</f>
        <v>12.51</v>
      </c>
      <c r="M1420" s="18" t="s">
        <v>214</v>
      </c>
      <c r="N1420" s="20">
        <v>3105</v>
      </c>
      <c r="P1420" s="16">
        <f>VLOOKUP(A1420,'[3]Price info'!A:H,8,FALSE)</f>
        <v>12.51</v>
      </c>
      <c r="Q1420" s="17">
        <f t="shared" si="89"/>
        <v>1</v>
      </c>
      <c r="S1420" s="16" t="e">
        <f>VLOOKUP(A1420,[4]Sales!$E:$G,3,FALSE)</f>
        <v>#N/A</v>
      </c>
      <c r="T1420" s="19" t="e">
        <f>VLOOKUP(A1420,[4]Volume!$E:$G,3,FALSE)</f>
        <v>#N/A</v>
      </c>
      <c r="U1420" s="19" t="e">
        <f>VLOOKUP(A1420,[4]Piece!$E:$G,3,FALSE)</f>
        <v>#N/A</v>
      </c>
      <c r="V1420" s="21" t="e">
        <f t="shared" si="90"/>
        <v>#N/A</v>
      </c>
      <c r="W1420" s="16" t="e">
        <f t="shared" si="91"/>
        <v>#N/A</v>
      </c>
    </row>
    <row r="1421" spans="1:23" hidden="1" x14ac:dyDescent="0.3">
      <c r="A1421" s="71" t="s">
        <v>2840</v>
      </c>
      <c r="B1421" s="71" t="s">
        <v>2840</v>
      </c>
      <c r="C1421" s="51" t="s">
        <v>33</v>
      </c>
      <c r="D1421" s="48" t="s">
        <v>34</v>
      </c>
      <c r="E1421" s="18" t="s">
        <v>2841</v>
      </c>
      <c r="F1421" s="24" t="str">
        <f t="shared" si="88"/>
        <v>PPG - EWI   DASH RECEIVER GREEN 25KG</v>
      </c>
      <c r="G1421" s="20" t="s">
        <v>6292</v>
      </c>
      <c r="H1421" s="49" t="s">
        <v>213</v>
      </c>
      <c r="I1421" s="18" t="s">
        <v>37</v>
      </c>
      <c r="J1421" s="18" t="s">
        <v>38</v>
      </c>
      <c r="K1421" t="s">
        <v>39</v>
      </c>
      <c r="L1421" s="50">
        <f>VLOOKUP(A1421,'[3]Price info'!A:D,4,FALSE)</f>
        <v>12.51</v>
      </c>
      <c r="M1421" s="18" t="s">
        <v>214</v>
      </c>
      <c r="N1421" s="20">
        <v>3105</v>
      </c>
      <c r="P1421" s="16">
        <f>VLOOKUP(A1421,'[3]Price info'!A:H,8,FALSE)</f>
        <v>12.51</v>
      </c>
      <c r="Q1421" s="17">
        <f t="shared" si="89"/>
        <v>1</v>
      </c>
      <c r="S1421" s="16" t="e">
        <f>VLOOKUP(A1421,[4]Sales!$E:$G,3,FALSE)</f>
        <v>#N/A</v>
      </c>
      <c r="T1421" s="19" t="e">
        <f>VLOOKUP(A1421,[4]Volume!$E:$G,3,FALSE)</f>
        <v>#N/A</v>
      </c>
      <c r="U1421" s="19" t="e">
        <f>VLOOKUP(A1421,[4]Piece!$E:$G,3,FALSE)</f>
        <v>#N/A</v>
      </c>
      <c r="V1421" s="21" t="e">
        <f t="shared" si="90"/>
        <v>#N/A</v>
      </c>
      <c r="W1421" s="16" t="e">
        <f t="shared" si="91"/>
        <v>#N/A</v>
      </c>
    </row>
    <row r="1422" spans="1:23" hidden="1" x14ac:dyDescent="0.3">
      <c r="A1422" s="71" t="s">
        <v>2842</v>
      </c>
      <c r="B1422" s="71" t="s">
        <v>2842</v>
      </c>
      <c r="C1422" s="47" t="s">
        <v>33</v>
      </c>
      <c r="D1422" s="48" t="s">
        <v>34</v>
      </c>
      <c r="E1422" s="18" t="s">
        <v>2843</v>
      </c>
      <c r="F1422" s="24" t="str">
        <f t="shared" si="88"/>
        <v>PPG - EWI   DASH RECEIVER GREY 25KG</v>
      </c>
      <c r="G1422" s="20" t="s">
        <v>6293</v>
      </c>
      <c r="H1422" s="49" t="s">
        <v>213</v>
      </c>
      <c r="I1422" s="18" t="s">
        <v>37</v>
      </c>
      <c r="J1422" s="18" t="s">
        <v>38</v>
      </c>
      <c r="K1422" t="s">
        <v>39</v>
      </c>
      <c r="L1422" s="50">
        <f>VLOOKUP(A1422,'[3]Price info'!A:D,4,FALSE)</f>
        <v>12.51</v>
      </c>
      <c r="M1422" s="18" t="s">
        <v>214</v>
      </c>
      <c r="N1422" s="20">
        <v>3105</v>
      </c>
      <c r="P1422" s="16">
        <f>VLOOKUP(A1422,'[3]Price info'!A:H,8,FALSE)</f>
        <v>12.51</v>
      </c>
      <c r="Q1422" s="17">
        <f t="shared" si="89"/>
        <v>1</v>
      </c>
      <c r="S1422" s="16" t="e">
        <f>VLOOKUP(A1422,[4]Sales!$E:$G,3,FALSE)</f>
        <v>#N/A</v>
      </c>
      <c r="T1422" s="19" t="e">
        <f>VLOOKUP(A1422,[4]Volume!$E:$G,3,FALSE)</f>
        <v>#N/A</v>
      </c>
      <c r="U1422" s="19" t="e">
        <f>VLOOKUP(A1422,[4]Piece!$E:$G,3,FALSE)</f>
        <v>#N/A</v>
      </c>
      <c r="V1422" s="21" t="e">
        <f t="shared" si="90"/>
        <v>#N/A</v>
      </c>
      <c r="W1422" s="16" t="e">
        <f t="shared" si="91"/>
        <v>#N/A</v>
      </c>
    </row>
    <row r="1423" spans="1:23" hidden="1" x14ac:dyDescent="0.3">
      <c r="A1423" s="71" t="s">
        <v>2844</v>
      </c>
      <c r="B1423" s="71" t="s">
        <v>2844</v>
      </c>
      <c r="C1423" s="47" t="s">
        <v>33</v>
      </c>
      <c r="D1423" s="48" t="s">
        <v>34</v>
      </c>
      <c r="E1423" s="18" t="s">
        <v>2845</v>
      </c>
      <c r="F1423" s="24" t="str">
        <f t="shared" si="88"/>
        <v>PPG - EWI   DASH RECEIVER PALE STONE 25KG</v>
      </c>
      <c r="G1423" s="20" t="s">
        <v>6294</v>
      </c>
      <c r="H1423" s="49" t="s">
        <v>213</v>
      </c>
      <c r="I1423" s="18" t="s">
        <v>37</v>
      </c>
      <c r="J1423" s="18" t="s">
        <v>38</v>
      </c>
      <c r="K1423" t="s">
        <v>39</v>
      </c>
      <c r="L1423" s="50">
        <f>VLOOKUP(A1423,'[3]Price info'!A:D,4,FALSE)</f>
        <v>12.51</v>
      </c>
      <c r="M1423" s="18" t="s">
        <v>214</v>
      </c>
      <c r="N1423" s="20">
        <v>3105</v>
      </c>
      <c r="P1423" s="16">
        <f>VLOOKUP(A1423,'[3]Price info'!A:H,8,FALSE)</f>
        <v>12.51</v>
      </c>
      <c r="Q1423" s="17">
        <f t="shared" si="89"/>
        <v>1</v>
      </c>
      <c r="S1423" s="16" t="e">
        <f>VLOOKUP(A1423,[4]Sales!$E:$G,3,FALSE)</f>
        <v>#N/A</v>
      </c>
      <c r="T1423" s="19" t="e">
        <f>VLOOKUP(A1423,[4]Volume!$E:$G,3,FALSE)</f>
        <v>#N/A</v>
      </c>
      <c r="U1423" s="19" t="e">
        <f>VLOOKUP(A1423,[4]Piece!$E:$G,3,FALSE)</f>
        <v>#N/A</v>
      </c>
      <c r="V1423" s="21" t="e">
        <f t="shared" si="90"/>
        <v>#N/A</v>
      </c>
      <c r="W1423" s="16" t="e">
        <f t="shared" si="91"/>
        <v>#N/A</v>
      </c>
    </row>
    <row r="1424" spans="1:23" hidden="1" x14ac:dyDescent="0.3">
      <c r="A1424" s="71" t="s">
        <v>2846</v>
      </c>
      <c r="B1424" s="71" t="s">
        <v>2846</v>
      </c>
      <c r="C1424" s="51" t="s">
        <v>33</v>
      </c>
      <c r="D1424" s="48" t="s">
        <v>34</v>
      </c>
      <c r="E1424" s="18" t="s">
        <v>2847</v>
      </c>
      <c r="F1424" s="24" t="str">
        <f t="shared" si="88"/>
        <v>PPG - EWI   DASH RECEIVER PINK 25KG</v>
      </c>
      <c r="G1424" s="20" t="s">
        <v>6295</v>
      </c>
      <c r="H1424" s="49" t="s">
        <v>213</v>
      </c>
      <c r="I1424" s="18" t="s">
        <v>37</v>
      </c>
      <c r="J1424" s="18" t="s">
        <v>38</v>
      </c>
      <c r="K1424" t="s">
        <v>39</v>
      </c>
      <c r="L1424" s="50">
        <f>VLOOKUP(A1424,'[3]Price info'!A:D,4,FALSE)</f>
        <v>12.51</v>
      </c>
      <c r="M1424" s="18" t="s">
        <v>214</v>
      </c>
      <c r="N1424" s="20">
        <v>3105</v>
      </c>
      <c r="P1424" s="16">
        <f>VLOOKUP(A1424,'[3]Price info'!A:H,8,FALSE)</f>
        <v>12.51</v>
      </c>
      <c r="Q1424" s="17">
        <f t="shared" si="89"/>
        <v>1</v>
      </c>
      <c r="S1424" s="16" t="e">
        <f>VLOOKUP(A1424,[4]Sales!$E:$G,3,FALSE)</f>
        <v>#N/A</v>
      </c>
      <c r="T1424" s="19" t="e">
        <f>VLOOKUP(A1424,[4]Volume!$E:$G,3,FALSE)</f>
        <v>#N/A</v>
      </c>
      <c r="U1424" s="19" t="e">
        <f>VLOOKUP(A1424,[4]Piece!$E:$G,3,FALSE)</f>
        <v>#N/A</v>
      </c>
      <c r="V1424" s="21" t="e">
        <f t="shared" si="90"/>
        <v>#N/A</v>
      </c>
      <c r="W1424" s="16" t="e">
        <f t="shared" si="91"/>
        <v>#N/A</v>
      </c>
    </row>
    <row r="1425" spans="1:23" hidden="1" x14ac:dyDescent="0.3">
      <c r="A1425" s="71" t="s">
        <v>2848</v>
      </c>
      <c r="B1425" s="71" t="s">
        <v>2848</v>
      </c>
      <c r="C1425" s="47" t="s">
        <v>33</v>
      </c>
      <c r="D1425" s="48" t="s">
        <v>34</v>
      </c>
      <c r="E1425" s="18" t="s">
        <v>2849</v>
      </c>
      <c r="F1425" s="24" t="str">
        <f t="shared" si="88"/>
        <v>PPG - EWI   DASH RECEIVER SANDSTONE 25KG</v>
      </c>
      <c r="G1425" s="20" t="s">
        <v>6296</v>
      </c>
      <c r="H1425" s="49" t="s">
        <v>213</v>
      </c>
      <c r="I1425" s="18" t="s">
        <v>37</v>
      </c>
      <c r="J1425" s="18" t="s">
        <v>38</v>
      </c>
      <c r="K1425" t="s">
        <v>39</v>
      </c>
      <c r="L1425" s="50">
        <f>VLOOKUP(A1425,'[3]Price info'!A:D,4,FALSE)</f>
        <v>12.51</v>
      </c>
      <c r="M1425" s="18" t="s">
        <v>214</v>
      </c>
      <c r="N1425" s="20">
        <v>3105</v>
      </c>
      <c r="P1425" s="16">
        <f>VLOOKUP(A1425,'[3]Price info'!A:H,8,FALSE)</f>
        <v>12.51</v>
      </c>
      <c r="Q1425" s="17">
        <f t="shared" si="89"/>
        <v>1</v>
      </c>
      <c r="S1425" s="16" t="e">
        <f>VLOOKUP(A1425,[4]Sales!$E:$G,3,FALSE)</f>
        <v>#N/A</v>
      </c>
      <c r="T1425" s="19" t="e">
        <f>VLOOKUP(A1425,[4]Volume!$E:$G,3,FALSE)</f>
        <v>#N/A</v>
      </c>
      <c r="U1425" s="19" t="e">
        <f>VLOOKUP(A1425,[4]Piece!$E:$G,3,FALSE)</f>
        <v>#N/A</v>
      </c>
      <c r="V1425" s="21" t="e">
        <f t="shared" si="90"/>
        <v>#N/A</v>
      </c>
      <c r="W1425" s="16" t="e">
        <f t="shared" si="91"/>
        <v>#N/A</v>
      </c>
    </row>
    <row r="1426" spans="1:23" hidden="1" x14ac:dyDescent="0.3">
      <c r="A1426" s="71" t="s">
        <v>2850</v>
      </c>
      <c r="B1426" s="71" t="s">
        <v>2850</v>
      </c>
      <c r="C1426" s="47" t="s">
        <v>33</v>
      </c>
      <c r="D1426" s="48" t="s">
        <v>34</v>
      </c>
      <c r="E1426" s="18" t="s">
        <v>2851</v>
      </c>
      <c r="F1426" s="24" t="str">
        <f t="shared" si="88"/>
        <v>PPG - EWI   DASH RECEIVER STONE 25KG</v>
      </c>
      <c r="G1426" s="20" t="s">
        <v>6297</v>
      </c>
      <c r="H1426" s="49" t="s">
        <v>213</v>
      </c>
      <c r="I1426" s="18" t="s">
        <v>37</v>
      </c>
      <c r="J1426" s="18" t="s">
        <v>38</v>
      </c>
      <c r="K1426" t="s">
        <v>39</v>
      </c>
      <c r="L1426" s="50">
        <f>VLOOKUP(A1426,'[3]Price info'!A:D,4,FALSE)</f>
        <v>12.51</v>
      </c>
      <c r="M1426" s="18" t="s">
        <v>214</v>
      </c>
      <c r="N1426" s="20">
        <v>3105</v>
      </c>
      <c r="P1426" s="16">
        <f>VLOOKUP(A1426,'[3]Price info'!A:H,8,FALSE)</f>
        <v>12.51</v>
      </c>
      <c r="Q1426" s="17">
        <f t="shared" si="89"/>
        <v>1</v>
      </c>
      <c r="S1426" s="16" t="e">
        <f>VLOOKUP(A1426,[4]Sales!$E:$G,3,FALSE)</f>
        <v>#N/A</v>
      </c>
      <c r="T1426" s="19" t="e">
        <f>VLOOKUP(A1426,[4]Volume!$E:$G,3,FALSE)</f>
        <v>#N/A</v>
      </c>
      <c r="U1426" s="19" t="e">
        <f>VLOOKUP(A1426,[4]Piece!$E:$G,3,FALSE)</f>
        <v>#N/A</v>
      </c>
      <c r="V1426" s="21" t="e">
        <f t="shared" si="90"/>
        <v>#N/A</v>
      </c>
      <c r="W1426" s="16" t="e">
        <f t="shared" si="91"/>
        <v>#N/A</v>
      </c>
    </row>
    <row r="1427" spans="1:23" hidden="1" x14ac:dyDescent="0.3">
      <c r="A1427" s="71" t="s">
        <v>2852</v>
      </c>
      <c r="B1427" s="71" t="s">
        <v>2852</v>
      </c>
      <c r="C1427" s="51" t="s">
        <v>33</v>
      </c>
      <c r="D1427" s="48" t="s">
        <v>34</v>
      </c>
      <c r="E1427" s="18" t="s">
        <v>2853</v>
      </c>
      <c r="F1427" s="24" t="str">
        <f t="shared" si="88"/>
        <v>PPG - EWI   DASH RECEIVER STONE GREY 25KG</v>
      </c>
      <c r="G1427" s="20" t="s">
        <v>6298</v>
      </c>
      <c r="H1427" s="49" t="s">
        <v>213</v>
      </c>
      <c r="I1427" s="18" t="s">
        <v>37</v>
      </c>
      <c r="J1427" s="18" t="s">
        <v>38</v>
      </c>
      <c r="K1427" t="s">
        <v>39</v>
      </c>
      <c r="L1427" s="50">
        <f>VLOOKUP(A1427,'[3]Price info'!A:D,4,FALSE)</f>
        <v>12.51</v>
      </c>
      <c r="M1427" s="18" t="s">
        <v>214</v>
      </c>
      <c r="N1427" s="20">
        <v>3105</v>
      </c>
      <c r="P1427" s="16">
        <f>VLOOKUP(A1427,'[3]Price info'!A:H,8,FALSE)</f>
        <v>12.51</v>
      </c>
      <c r="Q1427" s="17">
        <f t="shared" si="89"/>
        <v>1</v>
      </c>
      <c r="S1427" s="16" t="e">
        <f>VLOOKUP(A1427,[4]Sales!$E:$G,3,FALSE)</f>
        <v>#N/A</v>
      </c>
      <c r="T1427" s="19" t="e">
        <f>VLOOKUP(A1427,[4]Volume!$E:$G,3,FALSE)</f>
        <v>#N/A</v>
      </c>
      <c r="U1427" s="19" t="e">
        <f>VLOOKUP(A1427,[4]Piece!$E:$G,3,FALSE)</f>
        <v>#N/A</v>
      </c>
      <c r="V1427" s="21" t="e">
        <f t="shared" si="90"/>
        <v>#N/A</v>
      </c>
      <c r="W1427" s="16" t="e">
        <f t="shared" si="91"/>
        <v>#N/A</v>
      </c>
    </row>
    <row r="1428" spans="1:23" hidden="1" x14ac:dyDescent="0.3">
      <c r="A1428" s="71" t="s">
        <v>2854</v>
      </c>
      <c r="B1428" s="71" t="s">
        <v>2854</v>
      </c>
      <c r="C1428" s="47" t="s">
        <v>33</v>
      </c>
      <c r="D1428" s="48" t="s">
        <v>34</v>
      </c>
      <c r="E1428" s="18" t="s">
        <v>2855</v>
      </c>
      <c r="F1428" s="24" t="str">
        <f t="shared" si="88"/>
        <v>PPG - EWI   DASH RECEIVER TERRACOTTA 25KG</v>
      </c>
      <c r="G1428" s="20" t="s">
        <v>6299</v>
      </c>
      <c r="H1428" s="49" t="s">
        <v>213</v>
      </c>
      <c r="I1428" s="18" t="s">
        <v>37</v>
      </c>
      <c r="J1428" s="18" t="s">
        <v>38</v>
      </c>
      <c r="K1428" t="s">
        <v>39</v>
      </c>
      <c r="L1428" s="50">
        <f>VLOOKUP(A1428,'[3]Price info'!A:D,4,FALSE)</f>
        <v>12.51</v>
      </c>
      <c r="M1428" s="18" t="s">
        <v>214</v>
      </c>
      <c r="N1428" s="20">
        <v>3105</v>
      </c>
      <c r="P1428" s="16">
        <f>VLOOKUP(A1428,'[3]Price info'!A:H,8,FALSE)</f>
        <v>12.51</v>
      </c>
      <c r="Q1428" s="17">
        <f t="shared" si="89"/>
        <v>1</v>
      </c>
      <c r="S1428" s="16" t="e">
        <f>VLOOKUP(A1428,[4]Sales!$E:$G,3,FALSE)</f>
        <v>#N/A</v>
      </c>
      <c r="T1428" s="19" t="e">
        <f>VLOOKUP(A1428,[4]Volume!$E:$G,3,FALSE)</f>
        <v>#N/A</v>
      </c>
      <c r="U1428" s="19" t="e">
        <f>VLOOKUP(A1428,[4]Piece!$E:$G,3,FALSE)</f>
        <v>#N/A</v>
      </c>
      <c r="V1428" s="21" t="e">
        <f t="shared" si="90"/>
        <v>#N/A</v>
      </c>
      <c r="W1428" s="16" t="e">
        <f t="shared" si="91"/>
        <v>#N/A</v>
      </c>
    </row>
    <row r="1429" spans="1:23" hidden="1" x14ac:dyDescent="0.3">
      <c r="A1429" s="71" t="s">
        <v>2856</v>
      </c>
      <c r="B1429" s="71" t="s">
        <v>2856</v>
      </c>
      <c r="C1429" s="47" t="s">
        <v>33</v>
      </c>
      <c r="D1429" s="48" t="s">
        <v>34</v>
      </c>
      <c r="E1429" s="18" t="s">
        <v>2857</v>
      </c>
      <c r="F1429" s="24" t="str">
        <f t="shared" si="88"/>
        <v>PPG - EWI   DASHING SPAR ASHTON CREAM 25KG</v>
      </c>
      <c r="G1429" s="20" t="s">
        <v>6300</v>
      </c>
      <c r="H1429" s="49" t="s">
        <v>213</v>
      </c>
      <c r="I1429" s="18" t="s">
        <v>37</v>
      </c>
      <c r="J1429" s="18" t="s">
        <v>38</v>
      </c>
      <c r="K1429" t="s">
        <v>39</v>
      </c>
      <c r="L1429" s="50">
        <f>VLOOKUP(A1429,'[3]Price info'!A:D,4,FALSE)</f>
        <v>7.7</v>
      </c>
      <c r="M1429" s="18" t="s">
        <v>214</v>
      </c>
      <c r="N1429" s="20">
        <v>3105</v>
      </c>
      <c r="P1429" s="16">
        <f>VLOOKUP(A1429,'[3]Price info'!A:H,8,FALSE)</f>
        <v>7.7</v>
      </c>
      <c r="Q1429" s="17">
        <f t="shared" si="89"/>
        <v>1</v>
      </c>
      <c r="S1429" s="16" t="e">
        <f>VLOOKUP(A1429,[4]Sales!$E:$G,3,FALSE)</f>
        <v>#N/A</v>
      </c>
      <c r="T1429" s="19" t="e">
        <f>VLOOKUP(A1429,[4]Volume!$E:$G,3,FALSE)</f>
        <v>#N/A</v>
      </c>
      <c r="U1429" s="19" t="e">
        <f>VLOOKUP(A1429,[4]Piece!$E:$G,3,FALSE)</f>
        <v>#N/A</v>
      </c>
      <c r="V1429" s="21" t="e">
        <f t="shared" si="90"/>
        <v>#N/A</v>
      </c>
      <c r="W1429" s="16" t="e">
        <f t="shared" si="91"/>
        <v>#N/A</v>
      </c>
    </row>
    <row r="1430" spans="1:23" hidden="1" x14ac:dyDescent="0.3">
      <c r="A1430" s="71" t="s">
        <v>2858</v>
      </c>
      <c r="B1430" s="71" t="s">
        <v>2858</v>
      </c>
      <c r="C1430" s="51" t="s">
        <v>33</v>
      </c>
      <c r="D1430" s="48" t="s">
        <v>34</v>
      </c>
      <c r="E1430" s="18" t="s">
        <v>2859</v>
      </c>
      <c r="F1430" s="24" t="str">
        <f t="shared" si="88"/>
        <v>PPG - EWI   DASHING SPAR BARLEYCORN 25KG</v>
      </c>
      <c r="G1430" s="20" t="s">
        <v>6301</v>
      </c>
      <c r="H1430" s="49" t="s">
        <v>213</v>
      </c>
      <c r="I1430" s="18" t="s">
        <v>37</v>
      </c>
      <c r="J1430" s="18" t="s">
        <v>38</v>
      </c>
      <c r="K1430" t="s">
        <v>39</v>
      </c>
      <c r="L1430" s="50">
        <f>VLOOKUP(A1430,'[3]Price info'!A:D,4,FALSE)</f>
        <v>7.7</v>
      </c>
      <c r="M1430" s="18" t="s">
        <v>214</v>
      </c>
      <c r="N1430" s="20">
        <v>3105</v>
      </c>
      <c r="P1430" s="16">
        <f>VLOOKUP(A1430,'[3]Price info'!A:H,8,FALSE)</f>
        <v>7.7</v>
      </c>
      <c r="Q1430" s="17">
        <f t="shared" si="89"/>
        <v>1</v>
      </c>
      <c r="S1430" s="16" t="e">
        <f>VLOOKUP(A1430,[4]Sales!$E:$G,3,FALSE)</f>
        <v>#N/A</v>
      </c>
      <c r="T1430" s="19" t="e">
        <f>VLOOKUP(A1430,[4]Volume!$E:$G,3,FALSE)</f>
        <v>#N/A</v>
      </c>
      <c r="U1430" s="19" t="e">
        <f>VLOOKUP(A1430,[4]Piece!$E:$G,3,FALSE)</f>
        <v>#N/A</v>
      </c>
      <c r="V1430" s="21" t="e">
        <f t="shared" si="90"/>
        <v>#N/A</v>
      </c>
      <c r="W1430" s="16" t="e">
        <f t="shared" si="91"/>
        <v>#N/A</v>
      </c>
    </row>
    <row r="1431" spans="1:23" hidden="1" x14ac:dyDescent="0.3">
      <c r="A1431" s="71" t="s">
        <v>2860</v>
      </c>
      <c r="B1431" s="71" t="s">
        <v>2860</v>
      </c>
      <c r="C1431" s="47" t="s">
        <v>33</v>
      </c>
      <c r="D1431" s="48" t="s">
        <v>34</v>
      </c>
      <c r="E1431" s="18" t="s">
        <v>2861</v>
      </c>
      <c r="F1431" s="24" t="str">
        <f t="shared" si="88"/>
        <v>PPG - EWI   DASHING SPAR BUFF QUARTZ 25KG</v>
      </c>
      <c r="G1431" s="20" t="s">
        <v>6302</v>
      </c>
      <c r="H1431" s="49" t="s">
        <v>213</v>
      </c>
      <c r="I1431" s="18" t="s">
        <v>37</v>
      </c>
      <c r="J1431" s="18" t="s">
        <v>38</v>
      </c>
      <c r="K1431" t="s">
        <v>39</v>
      </c>
      <c r="L1431" s="50">
        <f>VLOOKUP(A1431,'[3]Price info'!A:D,4,FALSE)</f>
        <v>7.7</v>
      </c>
      <c r="M1431" s="18" t="s">
        <v>214</v>
      </c>
      <c r="N1431" s="20">
        <v>3105</v>
      </c>
      <c r="P1431" s="16">
        <f>VLOOKUP(A1431,'[3]Price info'!A:H,8,FALSE)</f>
        <v>7.7</v>
      </c>
      <c r="Q1431" s="17">
        <f t="shared" si="89"/>
        <v>1</v>
      </c>
      <c r="S1431" s="16" t="e">
        <f>VLOOKUP(A1431,[4]Sales!$E:$G,3,FALSE)</f>
        <v>#N/A</v>
      </c>
      <c r="T1431" s="19" t="e">
        <f>VLOOKUP(A1431,[4]Volume!$E:$G,3,FALSE)</f>
        <v>#N/A</v>
      </c>
      <c r="U1431" s="19" t="e">
        <f>VLOOKUP(A1431,[4]Piece!$E:$G,3,FALSE)</f>
        <v>#N/A</v>
      </c>
      <c r="V1431" s="21" t="e">
        <f t="shared" si="90"/>
        <v>#N/A</v>
      </c>
      <c r="W1431" s="16" t="e">
        <f t="shared" si="91"/>
        <v>#N/A</v>
      </c>
    </row>
    <row r="1432" spans="1:23" hidden="1" x14ac:dyDescent="0.3">
      <c r="A1432" s="71" t="s">
        <v>2862</v>
      </c>
      <c r="B1432" s="71" t="s">
        <v>2862</v>
      </c>
      <c r="C1432" s="47" t="s">
        <v>33</v>
      </c>
      <c r="D1432" s="48" t="s">
        <v>34</v>
      </c>
      <c r="E1432" s="18" t="s">
        <v>2863</v>
      </c>
      <c r="F1432" s="24" t="str">
        <f t="shared" si="88"/>
        <v>PPG - EWI   DASHING SPAR CHATSWORTH 25KG</v>
      </c>
      <c r="G1432" s="20" t="s">
        <v>6303</v>
      </c>
      <c r="H1432" s="49" t="s">
        <v>213</v>
      </c>
      <c r="I1432" s="18" t="s">
        <v>37</v>
      </c>
      <c r="J1432" s="18" t="s">
        <v>38</v>
      </c>
      <c r="K1432" t="s">
        <v>39</v>
      </c>
      <c r="L1432" s="50">
        <f>VLOOKUP(A1432,'[3]Price info'!A:D,4,FALSE)</f>
        <v>6.42</v>
      </c>
      <c r="M1432" s="18" t="s">
        <v>214</v>
      </c>
      <c r="N1432" s="20">
        <v>3105</v>
      </c>
      <c r="P1432" s="16">
        <f>VLOOKUP(A1432,'[3]Price info'!A:H,8,FALSE)</f>
        <v>6.42</v>
      </c>
      <c r="Q1432" s="17">
        <f t="shared" si="89"/>
        <v>1</v>
      </c>
      <c r="S1432" s="16" t="e">
        <f>VLOOKUP(A1432,[4]Sales!$E:$G,3,FALSE)</f>
        <v>#N/A</v>
      </c>
      <c r="T1432" s="19" t="e">
        <f>VLOOKUP(A1432,[4]Volume!$E:$G,3,FALSE)</f>
        <v>#N/A</v>
      </c>
      <c r="U1432" s="19" t="e">
        <f>VLOOKUP(A1432,[4]Piece!$E:$G,3,FALSE)</f>
        <v>#N/A</v>
      </c>
      <c r="V1432" s="21" t="e">
        <f t="shared" si="90"/>
        <v>#N/A</v>
      </c>
      <c r="W1432" s="16" t="e">
        <f t="shared" si="91"/>
        <v>#N/A</v>
      </c>
    </row>
    <row r="1433" spans="1:23" hidden="1" x14ac:dyDescent="0.3">
      <c r="A1433" s="71" t="s">
        <v>2864</v>
      </c>
      <c r="B1433" s="71" t="s">
        <v>2864</v>
      </c>
      <c r="C1433" s="51" t="s">
        <v>33</v>
      </c>
      <c r="D1433" s="48" t="s">
        <v>34</v>
      </c>
      <c r="E1433" s="18" t="s">
        <v>2865</v>
      </c>
      <c r="F1433" s="24" t="str">
        <f t="shared" si="88"/>
        <v>PPG - EWI   DASHING SPAR HADDON SPAR0000002250</v>
      </c>
      <c r="G1433" s="20" t="s">
        <v>6304</v>
      </c>
      <c r="H1433" s="49" t="s">
        <v>213</v>
      </c>
      <c r="I1433" s="18" t="s">
        <v>37</v>
      </c>
      <c r="J1433" s="18" t="s">
        <v>38</v>
      </c>
      <c r="K1433" t="s">
        <v>39</v>
      </c>
      <c r="L1433" s="50">
        <f>VLOOKUP(A1433,'[3]Price info'!A:D,4,FALSE)</f>
        <v>7.7</v>
      </c>
      <c r="M1433" s="18" t="s">
        <v>214</v>
      </c>
      <c r="N1433" s="20">
        <v>3105</v>
      </c>
      <c r="P1433" s="16">
        <f>VLOOKUP(A1433,'[3]Price info'!A:H,8,FALSE)</f>
        <v>7.7</v>
      </c>
      <c r="Q1433" s="17">
        <f t="shared" si="89"/>
        <v>1</v>
      </c>
      <c r="S1433" s="16" t="e">
        <f>VLOOKUP(A1433,[4]Sales!$E:$G,3,FALSE)</f>
        <v>#N/A</v>
      </c>
      <c r="T1433" s="19" t="e">
        <f>VLOOKUP(A1433,[4]Volume!$E:$G,3,FALSE)</f>
        <v>#N/A</v>
      </c>
      <c r="U1433" s="19" t="e">
        <f>VLOOKUP(A1433,[4]Piece!$E:$G,3,FALSE)</f>
        <v>#N/A</v>
      </c>
      <c r="V1433" s="21" t="e">
        <f t="shared" si="90"/>
        <v>#N/A</v>
      </c>
      <c r="W1433" s="16" t="e">
        <f t="shared" si="91"/>
        <v>#N/A</v>
      </c>
    </row>
    <row r="1434" spans="1:23" hidden="1" x14ac:dyDescent="0.3">
      <c r="A1434" s="71" t="s">
        <v>2866</v>
      </c>
      <c r="B1434" s="71" t="s">
        <v>2866</v>
      </c>
      <c r="C1434" s="47" t="s">
        <v>33</v>
      </c>
      <c r="D1434" s="48" t="s">
        <v>34</v>
      </c>
      <c r="E1434" s="18" t="s">
        <v>2867</v>
      </c>
      <c r="F1434" s="24" t="str">
        <f t="shared" si="88"/>
        <v>PPG - EWI   DASHING SPAR HARVEST 25KG</v>
      </c>
      <c r="G1434" s="20" t="s">
        <v>6305</v>
      </c>
      <c r="H1434" s="49" t="s">
        <v>213</v>
      </c>
      <c r="I1434" s="18" t="s">
        <v>37</v>
      </c>
      <c r="J1434" s="18" t="s">
        <v>38</v>
      </c>
      <c r="K1434" t="s">
        <v>39</v>
      </c>
      <c r="L1434" s="50">
        <f>VLOOKUP(A1434,'[3]Price info'!A:D,4,FALSE)</f>
        <v>7.7</v>
      </c>
      <c r="M1434" s="18" t="s">
        <v>214</v>
      </c>
      <c r="N1434" s="20">
        <v>3105</v>
      </c>
      <c r="P1434" s="16">
        <f>VLOOKUP(A1434,'[3]Price info'!A:H,8,FALSE)</f>
        <v>7.7</v>
      </c>
      <c r="Q1434" s="17">
        <f t="shared" si="89"/>
        <v>1</v>
      </c>
      <c r="S1434" s="16" t="e">
        <f>VLOOKUP(A1434,[4]Sales!$E:$G,3,FALSE)</f>
        <v>#N/A</v>
      </c>
      <c r="T1434" s="19" t="e">
        <f>VLOOKUP(A1434,[4]Volume!$E:$G,3,FALSE)</f>
        <v>#N/A</v>
      </c>
      <c r="U1434" s="19" t="e">
        <f>VLOOKUP(A1434,[4]Piece!$E:$G,3,FALSE)</f>
        <v>#N/A</v>
      </c>
      <c r="V1434" s="21" t="e">
        <f t="shared" si="90"/>
        <v>#N/A</v>
      </c>
      <c r="W1434" s="16" t="e">
        <f t="shared" si="91"/>
        <v>#N/A</v>
      </c>
    </row>
    <row r="1435" spans="1:23" hidden="1" x14ac:dyDescent="0.3">
      <c r="A1435" s="71" t="s">
        <v>2868</v>
      </c>
      <c r="B1435" s="71" t="s">
        <v>2868</v>
      </c>
      <c r="C1435" s="47" t="s">
        <v>33</v>
      </c>
      <c r="D1435" s="48" t="s">
        <v>34</v>
      </c>
      <c r="E1435" s="18" t="s">
        <v>2869</v>
      </c>
      <c r="F1435" s="24" t="str">
        <f t="shared" si="88"/>
        <v>PPG - EWI   DASHING SPAR LIMESTONE 25KG</v>
      </c>
      <c r="G1435" s="20" t="s">
        <v>6306</v>
      </c>
      <c r="H1435" s="49" t="s">
        <v>213</v>
      </c>
      <c r="I1435" s="18" t="s">
        <v>37</v>
      </c>
      <c r="J1435" s="18" t="s">
        <v>38</v>
      </c>
      <c r="K1435" t="s">
        <v>39</v>
      </c>
      <c r="L1435" s="50">
        <f>VLOOKUP(A1435,'[3]Price info'!A:D,4,FALSE)</f>
        <v>5.14</v>
      </c>
      <c r="M1435" s="18" t="s">
        <v>214</v>
      </c>
      <c r="N1435" s="20">
        <v>3105</v>
      </c>
      <c r="P1435" s="16">
        <f>VLOOKUP(A1435,'[3]Price info'!A:H,8,FALSE)</f>
        <v>5.14</v>
      </c>
      <c r="Q1435" s="17">
        <f t="shared" si="89"/>
        <v>1</v>
      </c>
      <c r="S1435" s="16" t="e">
        <f>VLOOKUP(A1435,[4]Sales!$E:$G,3,FALSE)</f>
        <v>#N/A</v>
      </c>
      <c r="T1435" s="19" t="e">
        <f>VLOOKUP(A1435,[4]Volume!$E:$G,3,FALSE)</f>
        <v>#N/A</v>
      </c>
      <c r="U1435" s="19" t="e">
        <f>VLOOKUP(A1435,[4]Piece!$E:$G,3,FALSE)</f>
        <v>#N/A</v>
      </c>
      <c r="V1435" s="21" t="e">
        <f t="shared" si="90"/>
        <v>#N/A</v>
      </c>
      <c r="W1435" s="16" t="e">
        <f t="shared" si="91"/>
        <v>#N/A</v>
      </c>
    </row>
    <row r="1436" spans="1:23" hidden="1" x14ac:dyDescent="0.3">
      <c r="A1436" s="71" t="s">
        <v>2870</v>
      </c>
      <c r="B1436" s="71" t="s">
        <v>2870</v>
      </c>
      <c r="C1436" s="51" t="s">
        <v>33</v>
      </c>
      <c r="D1436" s="48" t="s">
        <v>34</v>
      </c>
      <c r="E1436" s="18" t="s">
        <v>2871</v>
      </c>
      <c r="F1436" s="24" t="str">
        <f t="shared" si="88"/>
        <v>PPG - EWI   DASHING SPAR NORDIC SPAR 25KG</v>
      </c>
      <c r="G1436" s="20" t="s">
        <v>6307</v>
      </c>
      <c r="H1436" s="49" t="s">
        <v>213</v>
      </c>
      <c r="I1436" s="18" t="s">
        <v>37</v>
      </c>
      <c r="J1436" s="18" t="s">
        <v>38</v>
      </c>
      <c r="K1436" t="s">
        <v>39</v>
      </c>
      <c r="L1436" s="50">
        <f>VLOOKUP(A1436,'[3]Price info'!A:D,4,FALSE)</f>
        <v>6.42</v>
      </c>
      <c r="M1436" s="18" t="s">
        <v>214</v>
      </c>
      <c r="N1436" s="20">
        <v>3105</v>
      </c>
      <c r="P1436" s="16">
        <f>VLOOKUP(A1436,'[3]Price info'!A:H,8,FALSE)</f>
        <v>6.42</v>
      </c>
      <c r="Q1436" s="17">
        <f t="shared" si="89"/>
        <v>1</v>
      </c>
      <c r="S1436" s="16" t="e">
        <f>VLOOKUP(A1436,[4]Sales!$E:$G,3,FALSE)</f>
        <v>#N/A</v>
      </c>
      <c r="T1436" s="19" t="e">
        <f>VLOOKUP(A1436,[4]Volume!$E:$G,3,FALSE)</f>
        <v>#N/A</v>
      </c>
      <c r="U1436" s="19" t="e">
        <f>VLOOKUP(A1436,[4]Piece!$E:$G,3,FALSE)</f>
        <v>#N/A</v>
      </c>
      <c r="V1436" s="21" t="e">
        <f t="shared" si="90"/>
        <v>#N/A</v>
      </c>
      <c r="W1436" s="16" t="e">
        <f t="shared" si="91"/>
        <v>#N/A</v>
      </c>
    </row>
    <row r="1437" spans="1:23" hidden="1" x14ac:dyDescent="0.3">
      <c r="A1437" s="71" t="s">
        <v>2872</v>
      </c>
      <c r="B1437" s="71" t="s">
        <v>2872</v>
      </c>
      <c r="C1437" s="47" t="s">
        <v>33</v>
      </c>
      <c r="D1437" s="48" t="s">
        <v>34</v>
      </c>
      <c r="E1437" s="18" t="s">
        <v>2873</v>
      </c>
      <c r="F1437" s="24" t="str">
        <f t="shared" si="88"/>
        <v>PPG - EWI   DASHING SPAR POLAR RED WHITE 25KG</v>
      </c>
      <c r="G1437" s="20" t="s">
        <v>6308</v>
      </c>
      <c r="H1437" s="49" t="s">
        <v>213</v>
      </c>
      <c r="I1437" s="18" t="s">
        <v>37</v>
      </c>
      <c r="J1437" s="18" t="s">
        <v>38</v>
      </c>
      <c r="K1437" t="s">
        <v>39</v>
      </c>
      <c r="L1437" s="50">
        <f>VLOOKUP(A1437,'[3]Price info'!A:D,4,FALSE)</f>
        <v>6.42</v>
      </c>
      <c r="M1437" s="18" t="s">
        <v>214</v>
      </c>
      <c r="N1437" s="20">
        <v>3105</v>
      </c>
      <c r="P1437" s="16">
        <f>VLOOKUP(A1437,'[3]Price info'!A:H,8,FALSE)</f>
        <v>6.42</v>
      </c>
      <c r="Q1437" s="17">
        <f t="shared" si="89"/>
        <v>1</v>
      </c>
      <c r="S1437" s="16" t="e">
        <f>VLOOKUP(A1437,[4]Sales!$E:$G,3,FALSE)</f>
        <v>#N/A</v>
      </c>
      <c r="T1437" s="19" t="e">
        <f>VLOOKUP(A1437,[4]Volume!$E:$G,3,FALSE)</f>
        <v>#N/A</v>
      </c>
      <c r="U1437" s="19" t="e">
        <f>VLOOKUP(A1437,[4]Piece!$E:$G,3,FALSE)</f>
        <v>#N/A</v>
      </c>
      <c r="V1437" s="21" t="e">
        <f t="shared" si="90"/>
        <v>#N/A</v>
      </c>
      <c r="W1437" s="16" t="e">
        <f t="shared" si="91"/>
        <v>#N/A</v>
      </c>
    </row>
    <row r="1438" spans="1:23" hidden="1" x14ac:dyDescent="0.3">
      <c r="A1438" s="71" t="s">
        <v>2874</v>
      </c>
      <c r="B1438" s="71" t="s">
        <v>2874</v>
      </c>
      <c r="C1438" s="47" t="s">
        <v>33</v>
      </c>
      <c r="D1438" s="48" t="s">
        <v>34</v>
      </c>
      <c r="E1438" s="18" t="s">
        <v>2875</v>
      </c>
      <c r="F1438" s="24" t="str">
        <f t="shared" si="88"/>
        <v>PPG - EWI   DASHING SPAR SNOWDROP 25KG</v>
      </c>
      <c r="G1438" s="20" t="s">
        <v>6309</v>
      </c>
      <c r="H1438" s="49" t="s">
        <v>213</v>
      </c>
      <c r="I1438" s="18" t="s">
        <v>37</v>
      </c>
      <c r="J1438" s="18" t="s">
        <v>38</v>
      </c>
      <c r="K1438" t="s">
        <v>39</v>
      </c>
      <c r="L1438" s="50">
        <f>VLOOKUP(A1438,'[3]Price info'!A:D,4,FALSE)</f>
        <v>7.7</v>
      </c>
      <c r="M1438" s="18" t="s">
        <v>214</v>
      </c>
      <c r="N1438" s="20">
        <v>3105</v>
      </c>
      <c r="P1438" s="16">
        <f>VLOOKUP(A1438,'[3]Price info'!A:H,8,FALSE)</f>
        <v>7.7</v>
      </c>
      <c r="Q1438" s="17">
        <f t="shared" si="89"/>
        <v>1</v>
      </c>
      <c r="S1438" s="16" t="e">
        <f>VLOOKUP(A1438,[4]Sales!$E:$G,3,FALSE)</f>
        <v>#N/A</v>
      </c>
      <c r="T1438" s="19" t="e">
        <f>VLOOKUP(A1438,[4]Volume!$E:$G,3,FALSE)</f>
        <v>#N/A</v>
      </c>
      <c r="U1438" s="19" t="e">
        <f>VLOOKUP(A1438,[4]Piece!$E:$G,3,FALSE)</f>
        <v>#N/A</v>
      </c>
      <c r="V1438" s="21" t="e">
        <f t="shared" si="90"/>
        <v>#N/A</v>
      </c>
      <c r="W1438" s="16" t="e">
        <f t="shared" si="91"/>
        <v>#N/A</v>
      </c>
    </row>
    <row r="1439" spans="1:23" hidden="1" x14ac:dyDescent="0.3">
      <c r="A1439" s="71" t="s">
        <v>2876</v>
      </c>
      <c r="B1439" s="71" t="s">
        <v>2876</v>
      </c>
      <c r="C1439" s="51" t="s">
        <v>33</v>
      </c>
      <c r="D1439" s="48" t="s">
        <v>34</v>
      </c>
      <c r="E1439" s="18" t="s">
        <v>2877</v>
      </c>
      <c r="F1439" s="24" t="str">
        <f t="shared" si="88"/>
        <v>PPG - EWI   DASHING SPAR SUNSET 25KG</v>
      </c>
      <c r="G1439" s="20" t="s">
        <v>6310</v>
      </c>
      <c r="H1439" s="49" t="s">
        <v>213</v>
      </c>
      <c r="I1439" s="18" t="s">
        <v>37</v>
      </c>
      <c r="J1439" s="18" t="s">
        <v>38</v>
      </c>
      <c r="K1439" t="s">
        <v>39</v>
      </c>
      <c r="L1439" s="50">
        <f>VLOOKUP(A1439,'[3]Price info'!A:D,4,FALSE)</f>
        <v>7.7</v>
      </c>
      <c r="M1439" s="18" t="s">
        <v>214</v>
      </c>
      <c r="N1439" s="20">
        <v>3105</v>
      </c>
      <c r="P1439" s="16">
        <f>VLOOKUP(A1439,'[3]Price info'!A:H,8,FALSE)</f>
        <v>7.7</v>
      </c>
      <c r="Q1439" s="17">
        <f t="shared" si="89"/>
        <v>1</v>
      </c>
      <c r="S1439" s="16" t="e">
        <f>VLOOKUP(A1439,[4]Sales!$E:$G,3,FALSE)</f>
        <v>#N/A</v>
      </c>
      <c r="T1439" s="19" t="e">
        <f>VLOOKUP(A1439,[4]Volume!$E:$G,3,FALSE)</f>
        <v>#N/A</v>
      </c>
      <c r="U1439" s="19" t="e">
        <f>VLOOKUP(A1439,[4]Piece!$E:$G,3,FALSE)</f>
        <v>#N/A</v>
      </c>
      <c r="V1439" s="21" t="e">
        <f t="shared" si="90"/>
        <v>#N/A</v>
      </c>
      <c r="W1439" s="16" t="e">
        <f t="shared" si="91"/>
        <v>#N/A</v>
      </c>
    </row>
    <row r="1440" spans="1:23" hidden="1" x14ac:dyDescent="0.3">
      <c r="A1440" s="71" t="s">
        <v>2878</v>
      </c>
      <c r="B1440" s="71" t="s">
        <v>2878</v>
      </c>
      <c r="C1440" s="47" t="s">
        <v>33</v>
      </c>
      <c r="D1440" s="48" t="s">
        <v>34</v>
      </c>
      <c r="E1440" s="18" t="s">
        <v>2879</v>
      </c>
      <c r="F1440" s="24" t="str">
        <f t="shared" si="88"/>
        <v>PPG - EWI   DMT 85/7E ST STEEL WASH 85MM</v>
      </c>
      <c r="G1440" s="20" t="s">
        <v>6311</v>
      </c>
      <c r="H1440" s="49" t="s">
        <v>213</v>
      </c>
      <c r="I1440" s="18" t="s">
        <v>37</v>
      </c>
      <c r="J1440" s="18" t="s">
        <v>38</v>
      </c>
      <c r="K1440" t="s">
        <v>39</v>
      </c>
      <c r="L1440" s="50">
        <f>VLOOKUP(A1440,'[3]Price info'!A:D,4,FALSE)</f>
        <v>66.45</v>
      </c>
      <c r="M1440" s="18" t="s">
        <v>214</v>
      </c>
      <c r="N1440" s="20">
        <v>3105</v>
      </c>
      <c r="P1440" s="16">
        <f>VLOOKUP(A1440,'[3]Price info'!A:H,8,FALSE)</f>
        <v>66.45</v>
      </c>
      <c r="Q1440" s="17">
        <f t="shared" si="89"/>
        <v>1</v>
      </c>
      <c r="S1440" s="16" t="e">
        <f>VLOOKUP(A1440,[4]Sales!$E:$G,3,FALSE)</f>
        <v>#N/A</v>
      </c>
      <c r="T1440" s="19" t="e">
        <f>VLOOKUP(A1440,[4]Volume!$E:$G,3,FALSE)</f>
        <v>#N/A</v>
      </c>
      <c r="U1440" s="19" t="e">
        <f>VLOOKUP(A1440,[4]Piece!$E:$G,3,FALSE)</f>
        <v>#N/A</v>
      </c>
      <c r="V1440" s="21" t="e">
        <f t="shared" si="90"/>
        <v>#N/A</v>
      </c>
      <c r="W1440" s="16" t="e">
        <f t="shared" si="91"/>
        <v>#N/A</v>
      </c>
    </row>
    <row r="1441" spans="1:23" hidden="1" x14ac:dyDescent="0.3">
      <c r="A1441" s="71" t="s">
        <v>2880</v>
      </c>
      <c r="B1441" s="71" t="s">
        <v>2880</v>
      </c>
      <c r="C1441" s="47" t="s">
        <v>33</v>
      </c>
      <c r="D1441" s="48" t="s">
        <v>34</v>
      </c>
      <c r="E1441" s="18" t="s">
        <v>2881</v>
      </c>
      <c r="F1441" s="24" t="str">
        <f t="shared" si="88"/>
        <v>PPG - EWI   ENHANCED     EPS 270MM  1200 X 600</v>
      </c>
      <c r="G1441" s="20" t="s">
        <v>6312</v>
      </c>
      <c r="H1441" s="49" t="s">
        <v>213</v>
      </c>
      <c r="I1441" s="18" t="s">
        <v>37</v>
      </c>
      <c r="J1441" s="18" t="s">
        <v>38</v>
      </c>
      <c r="K1441" t="s">
        <v>39</v>
      </c>
      <c r="L1441" s="50">
        <f>VLOOKUP(A1441,'[3]Price info'!A:D,4,FALSE)</f>
        <v>19.64</v>
      </c>
      <c r="M1441" s="18" t="s">
        <v>214</v>
      </c>
      <c r="N1441" s="20">
        <v>3105</v>
      </c>
      <c r="P1441" s="16">
        <f>VLOOKUP(A1441,'[3]Price info'!A:H,8,FALSE)</f>
        <v>19.64</v>
      </c>
      <c r="Q1441" s="17">
        <f t="shared" si="89"/>
        <v>1</v>
      </c>
      <c r="S1441" s="16" t="e">
        <f>VLOOKUP(A1441,[4]Sales!$E:$G,3,FALSE)</f>
        <v>#N/A</v>
      </c>
      <c r="T1441" s="19" t="e">
        <f>VLOOKUP(A1441,[4]Volume!$E:$G,3,FALSE)</f>
        <v>#N/A</v>
      </c>
      <c r="U1441" s="19" t="e">
        <f>VLOOKUP(A1441,[4]Piece!$E:$G,3,FALSE)</f>
        <v>#N/A</v>
      </c>
      <c r="V1441" s="21" t="e">
        <f t="shared" si="90"/>
        <v>#N/A</v>
      </c>
      <c r="W1441" s="16" t="e">
        <f t="shared" si="91"/>
        <v>#N/A</v>
      </c>
    </row>
    <row r="1442" spans="1:23" hidden="1" x14ac:dyDescent="0.3">
      <c r="A1442" s="71" t="s">
        <v>2882</v>
      </c>
      <c r="B1442" s="71" t="s">
        <v>2882</v>
      </c>
      <c r="C1442" s="51" t="s">
        <v>33</v>
      </c>
      <c r="D1442" s="48" t="s">
        <v>34</v>
      </c>
      <c r="E1442" s="18" t="s">
        <v>2883</v>
      </c>
      <c r="F1442" s="24" t="str">
        <f t="shared" si="88"/>
        <v>PPG - EWI   ENHANCED     ROUTED BRD 100MM</v>
      </c>
      <c r="G1442" s="20" t="s">
        <v>6313</v>
      </c>
      <c r="H1442" s="49" t="s">
        <v>213</v>
      </c>
      <c r="I1442" s="18" t="s">
        <v>37</v>
      </c>
      <c r="J1442" s="18" t="s">
        <v>38</v>
      </c>
      <c r="K1442" t="s">
        <v>39</v>
      </c>
      <c r="L1442" s="50">
        <f>VLOOKUP(A1442,'[3]Price info'!A:D,4,FALSE)</f>
        <v>13.91</v>
      </c>
      <c r="M1442" s="18" t="s">
        <v>214</v>
      </c>
      <c r="N1442" s="20">
        <v>3105</v>
      </c>
      <c r="P1442" s="16">
        <f>VLOOKUP(A1442,'[3]Price info'!A:H,8,FALSE)</f>
        <v>13.91</v>
      </c>
      <c r="Q1442" s="17">
        <f t="shared" si="89"/>
        <v>1</v>
      </c>
      <c r="S1442" s="16" t="e">
        <f>VLOOKUP(A1442,[4]Sales!$E:$G,3,FALSE)</f>
        <v>#N/A</v>
      </c>
      <c r="T1442" s="19" t="e">
        <f>VLOOKUP(A1442,[4]Volume!$E:$G,3,FALSE)</f>
        <v>#N/A</v>
      </c>
      <c r="U1442" s="19" t="e">
        <f>VLOOKUP(A1442,[4]Piece!$E:$G,3,FALSE)</f>
        <v>#N/A</v>
      </c>
      <c r="V1442" s="21" t="e">
        <f t="shared" si="90"/>
        <v>#N/A</v>
      </c>
      <c r="W1442" s="16" t="e">
        <f t="shared" si="91"/>
        <v>#N/A</v>
      </c>
    </row>
    <row r="1443" spans="1:23" hidden="1" x14ac:dyDescent="0.3">
      <c r="A1443" s="71" t="s">
        <v>2884</v>
      </c>
      <c r="B1443" s="71" t="s">
        <v>2884</v>
      </c>
      <c r="C1443" s="47" t="s">
        <v>33</v>
      </c>
      <c r="D1443" s="48" t="s">
        <v>34</v>
      </c>
      <c r="E1443" s="18" t="s">
        <v>2885</v>
      </c>
      <c r="F1443" s="24" t="str">
        <f t="shared" si="88"/>
        <v>PPG - EWI   ENHANCED EPS 100MM 1200 X 600 MM</v>
      </c>
      <c r="G1443" s="20" t="s">
        <v>6314</v>
      </c>
      <c r="H1443" s="49" t="s">
        <v>213</v>
      </c>
      <c r="I1443" s="18" t="s">
        <v>37</v>
      </c>
      <c r="J1443" s="18" t="s">
        <v>38</v>
      </c>
      <c r="K1443" t="s">
        <v>39</v>
      </c>
      <c r="L1443" s="50">
        <f>VLOOKUP(A1443,'[3]Price info'!A:D,4,FALSE)</f>
        <v>7.43</v>
      </c>
      <c r="M1443" s="18" t="s">
        <v>214</v>
      </c>
      <c r="N1443" s="20">
        <v>3105</v>
      </c>
      <c r="P1443" s="16">
        <f>VLOOKUP(A1443,'[3]Price info'!A:H,8,FALSE)</f>
        <v>7.43</v>
      </c>
      <c r="Q1443" s="17">
        <f t="shared" si="89"/>
        <v>1</v>
      </c>
      <c r="S1443" s="16" t="e">
        <f>VLOOKUP(A1443,[4]Sales!$E:$G,3,FALSE)</f>
        <v>#N/A</v>
      </c>
      <c r="T1443" s="19" t="e">
        <f>VLOOKUP(A1443,[4]Volume!$E:$G,3,FALSE)</f>
        <v>#N/A</v>
      </c>
      <c r="U1443" s="19" t="e">
        <f>VLOOKUP(A1443,[4]Piece!$E:$G,3,FALSE)</f>
        <v>#N/A</v>
      </c>
      <c r="V1443" s="21" t="e">
        <f t="shared" si="90"/>
        <v>#N/A</v>
      </c>
      <c r="W1443" s="16" t="e">
        <f t="shared" si="91"/>
        <v>#N/A</v>
      </c>
    </row>
    <row r="1444" spans="1:23" hidden="1" x14ac:dyDescent="0.3">
      <c r="A1444" s="71" t="s">
        <v>2886</v>
      </c>
      <c r="B1444" s="71" t="s">
        <v>2886</v>
      </c>
      <c r="C1444" s="47" t="s">
        <v>33</v>
      </c>
      <c r="D1444" s="48" t="s">
        <v>34</v>
      </c>
      <c r="E1444" s="18" t="s">
        <v>2887</v>
      </c>
      <c r="F1444" s="24" t="str">
        <f t="shared" si="88"/>
        <v>PPG - EWI   ENHANCED EPS 110MM 1200 X 600 MM</v>
      </c>
      <c r="G1444" s="20" t="s">
        <v>6315</v>
      </c>
      <c r="H1444" s="49" t="s">
        <v>213</v>
      </c>
      <c r="I1444" s="18" t="s">
        <v>37</v>
      </c>
      <c r="J1444" s="18" t="s">
        <v>38</v>
      </c>
      <c r="K1444" t="s">
        <v>39</v>
      </c>
      <c r="L1444" s="50">
        <f>VLOOKUP(A1444,'[3]Price info'!A:D,4,FALSE)</f>
        <v>8.17</v>
      </c>
      <c r="M1444" s="18" t="s">
        <v>214</v>
      </c>
      <c r="N1444" s="20">
        <v>3105</v>
      </c>
      <c r="P1444" s="16">
        <f>VLOOKUP(A1444,'[3]Price info'!A:H,8,FALSE)</f>
        <v>8.17</v>
      </c>
      <c r="Q1444" s="17">
        <f t="shared" si="89"/>
        <v>1</v>
      </c>
      <c r="S1444" s="16" t="e">
        <f>VLOOKUP(A1444,[4]Sales!$E:$G,3,FALSE)</f>
        <v>#N/A</v>
      </c>
      <c r="T1444" s="19" t="e">
        <f>VLOOKUP(A1444,[4]Volume!$E:$G,3,FALSE)</f>
        <v>#N/A</v>
      </c>
      <c r="U1444" s="19" t="e">
        <f>VLOOKUP(A1444,[4]Piece!$E:$G,3,FALSE)</f>
        <v>#N/A</v>
      </c>
      <c r="V1444" s="21" t="e">
        <f t="shared" si="90"/>
        <v>#N/A</v>
      </c>
      <c r="W1444" s="16" t="e">
        <f t="shared" si="91"/>
        <v>#N/A</v>
      </c>
    </row>
    <row r="1445" spans="1:23" hidden="1" x14ac:dyDescent="0.3">
      <c r="A1445" s="71" t="s">
        <v>2888</v>
      </c>
      <c r="B1445" s="71" t="s">
        <v>2888</v>
      </c>
      <c r="C1445" s="51" t="s">
        <v>33</v>
      </c>
      <c r="D1445" s="48" t="s">
        <v>34</v>
      </c>
      <c r="E1445" s="18" t="s">
        <v>2889</v>
      </c>
      <c r="F1445" s="24" t="str">
        <f t="shared" si="88"/>
        <v>PPG - EWI   ENHANCED EPS 120MM 1200 X 600 MM</v>
      </c>
      <c r="G1445" s="20" t="s">
        <v>6316</v>
      </c>
      <c r="H1445" s="49" t="s">
        <v>213</v>
      </c>
      <c r="I1445" s="18" t="s">
        <v>37</v>
      </c>
      <c r="J1445" s="18" t="s">
        <v>38</v>
      </c>
      <c r="K1445" t="s">
        <v>39</v>
      </c>
      <c r="L1445" s="50">
        <f>VLOOKUP(A1445,'[3]Price info'!A:D,4,FALSE)</f>
        <v>8.93</v>
      </c>
      <c r="M1445" s="18" t="s">
        <v>214</v>
      </c>
      <c r="N1445" s="20">
        <v>3105</v>
      </c>
      <c r="P1445" s="16">
        <f>VLOOKUP(A1445,'[3]Price info'!A:H,8,FALSE)</f>
        <v>8.93</v>
      </c>
      <c r="Q1445" s="17">
        <f t="shared" si="89"/>
        <v>1</v>
      </c>
      <c r="S1445" s="16" t="e">
        <f>VLOOKUP(A1445,[4]Sales!$E:$G,3,FALSE)</f>
        <v>#N/A</v>
      </c>
      <c r="T1445" s="19" t="e">
        <f>VLOOKUP(A1445,[4]Volume!$E:$G,3,FALSE)</f>
        <v>#N/A</v>
      </c>
      <c r="U1445" s="19" t="e">
        <f>VLOOKUP(A1445,[4]Piece!$E:$G,3,FALSE)</f>
        <v>#N/A</v>
      </c>
      <c r="V1445" s="21" t="e">
        <f t="shared" si="90"/>
        <v>#N/A</v>
      </c>
      <c r="W1445" s="16" t="e">
        <f t="shared" si="91"/>
        <v>#N/A</v>
      </c>
    </row>
    <row r="1446" spans="1:23" hidden="1" x14ac:dyDescent="0.3">
      <c r="A1446" s="71" t="s">
        <v>2890</v>
      </c>
      <c r="B1446" s="71" t="s">
        <v>2890</v>
      </c>
      <c r="C1446" s="47" t="s">
        <v>33</v>
      </c>
      <c r="D1446" s="48" t="s">
        <v>34</v>
      </c>
      <c r="E1446" s="18" t="s">
        <v>2891</v>
      </c>
      <c r="F1446" s="24" t="str">
        <f t="shared" si="88"/>
        <v>PPG - EWI   ENHANCED EPS 20MM 1200 X 600 MM</v>
      </c>
      <c r="G1446" s="20" t="s">
        <v>6317</v>
      </c>
      <c r="H1446" s="49" t="s">
        <v>213</v>
      </c>
      <c r="I1446" s="18" t="s">
        <v>37</v>
      </c>
      <c r="J1446" s="18" t="s">
        <v>38</v>
      </c>
      <c r="K1446" t="s">
        <v>39</v>
      </c>
      <c r="L1446" s="50">
        <f>VLOOKUP(A1446,'[3]Price info'!A:D,4,FALSE)</f>
        <v>1.49</v>
      </c>
      <c r="M1446" s="18" t="s">
        <v>214</v>
      </c>
      <c r="N1446" s="20">
        <v>3105</v>
      </c>
      <c r="P1446" s="16">
        <f>VLOOKUP(A1446,'[3]Price info'!A:H,8,FALSE)</f>
        <v>1.49</v>
      </c>
      <c r="Q1446" s="17">
        <f t="shared" si="89"/>
        <v>1</v>
      </c>
      <c r="S1446" s="16" t="e">
        <f>VLOOKUP(A1446,[4]Sales!$E:$G,3,FALSE)</f>
        <v>#N/A</v>
      </c>
      <c r="T1446" s="19" t="e">
        <f>VLOOKUP(A1446,[4]Volume!$E:$G,3,FALSE)</f>
        <v>#N/A</v>
      </c>
      <c r="U1446" s="19" t="e">
        <f>VLOOKUP(A1446,[4]Piece!$E:$G,3,FALSE)</f>
        <v>#N/A</v>
      </c>
      <c r="V1446" s="21" t="e">
        <f t="shared" si="90"/>
        <v>#N/A</v>
      </c>
      <c r="W1446" s="16" t="e">
        <f t="shared" si="91"/>
        <v>#N/A</v>
      </c>
    </row>
    <row r="1447" spans="1:23" hidden="1" x14ac:dyDescent="0.3">
      <c r="A1447" s="71" t="s">
        <v>2892</v>
      </c>
      <c r="B1447" s="71" t="s">
        <v>2892</v>
      </c>
      <c r="C1447" s="47" t="s">
        <v>33</v>
      </c>
      <c r="D1447" s="48" t="s">
        <v>34</v>
      </c>
      <c r="E1447" s="18" t="s">
        <v>2893</v>
      </c>
      <c r="F1447" s="24" t="str">
        <f t="shared" si="88"/>
        <v>PPG - EWI   ENHANCED EPS 30MM 1200 X 600 MM</v>
      </c>
      <c r="G1447" s="20" t="s">
        <v>6318</v>
      </c>
      <c r="H1447" s="49" t="s">
        <v>213</v>
      </c>
      <c r="I1447" s="18" t="s">
        <v>37</v>
      </c>
      <c r="J1447" s="18" t="s">
        <v>38</v>
      </c>
      <c r="K1447" t="s">
        <v>39</v>
      </c>
      <c r="L1447" s="50">
        <f>VLOOKUP(A1447,'[3]Price info'!A:D,4,FALSE)</f>
        <v>2.23</v>
      </c>
      <c r="M1447" s="18" t="s">
        <v>214</v>
      </c>
      <c r="N1447" s="20">
        <v>3105</v>
      </c>
      <c r="P1447" s="16">
        <f>VLOOKUP(A1447,'[3]Price info'!A:H,8,FALSE)</f>
        <v>2.23</v>
      </c>
      <c r="Q1447" s="17">
        <f t="shared" si="89"/>
        <v>1</v>
      </c>
      <c r="S1447" s="16" t="e">
        <f>VLOOKUP(A1447,[4]Sales!$E:$G,3,FALSE)</f>
        <v>#N/A</v>
      </c>
      <c r="T1447" s="19" t="e">
        <f>VLOOKUP(A1447,[4]Volume!$E:$G,3,FALSE)</f>
        <v>#N/A</v>
      </c>
      <c r="U1447" s="19" t="e">
        <f>VLOOKUP(A1447,[4]Piece!$E:$G,3,FALSE)</f>
        <v>#N/A</v>
      </c>
      <c r="V1447" s="21" t="e">
        <f t="shared" si="90"/>
        <v>#N/A</v>
      </c>
      <c r="W1447" s="16" t="e">
        <f t="shared" si="91"/>
        <v>#N/A</v>
      </c>
    </row>
    <row r="1448" spans="1:23" hidden="1" x14ac:dyDescent="0.3">
      <c r="A1448" s="71" t="s">
        <v>2894</v>
      </c>
      <c r="B1448" s="71" t="s">
        <v>2894</v>
      </c>
      <c r="C1448" s="51" t="s">
        <v>33</v>
      </c>
      <c r="D1448" s="48" t="s">
        <v>34</v>
      </c>
      <c r="E1448" s="18" t="s">
        <v>2895</v>
      </c>
      <c r="F1448" s="24" t="str">
        <f t="shared" si="88"/>
        <v>PPG - EWI   ENHANCED EPS 40MM 1200 X 600 MM</v>
      </c>
      <c r="G1448" s="20" t="s">
        <v>6319</v>
      </c>
      <c r="H1448" s="49" t="s">
        <v>213</v>
      </c>
      <c r="I1448" s="18" t="s">
        <v>37</v>
      </c>
      <c r="J1448" s="18" t="s">
        <v>38</v>
      </c>
      <c r="K1448" t="s">
        <v>39</v>
      </c>
      <c r="L1448" s="50">
        <f>VLOOKUP(A1448,'[3]Price info'!A:D,4,FALSE)</f>
        <v>2.97</v>
      </c>
      <c r="M1448" s="18" t="s">
        <v>214</v>
      </c>
      <c r="N1448" s="20">
        <v>3105</v>
      </c>
      <c r="P1448" s="16">
        <f>VLOOKUP(A1448,'[3]Price info'!A:H,8,FALSE)</f>
        <v>2.97</v>
      </c>
      <c r="Q1448" s="17">
        <f t="shared" si="89"/>
        <v>1</v>
      </c>
      <c r="S1448" s="16" t="e">
        <f>VLOOKUP(A1448,[4]Sales!$E:$G,3,FALSE)</f>
        <v>#N/A</v>
      </c>
      <c r="T1448" s="19" t="e">
        <f>VLOOKUP(A1448,[4]Volume!$E:$G,3,FALSE)</f>
        <v>#N/A</v>
      </c>
      <c r="U1448" s="19" t="e">
        <f>VLOOKUP(A1448,[4]Piece!$E:$G,3,FALSE)</f>
        <v>#N/A</v>
      </c>
      <c r="V1448" s="21" t="e">
        <f t="shared" si="90"/>
        <v>#N/A</v>
      </c>
      <c r="W1448" s="16" t="e">
        <f t="shared" si="91"/>
        <v>#N/A</v>
      </c>
    </row>
    <row r="1449" spans="1:23" hidden="1" x14ac:dyDescent="0.3">
      <c r="A1449" s="71" t="s">
        <v>2896</v>
      </c>
      <c r="B1449" s="71" t="s">
        <v>2896</v>
      </c>
      <c r="C1449" s="47" t="s">
        <v>33</v>
      </c>
      <c r="D1449" s="48" t="s">
        <v>34</v>
      </c>
      <c r="E1449" s="18" t="s">
        <v>2897</v>
      </c>
      <c r="F1449" s="24" t="str">
        <f t="shared" si="88"/>
        <v>PPG - EWI   ENHANCED EPS 50MM 1200 X 600 MM</v>
      </c>
      <c r="G1449" s="20" t="s">
        <v>6320</v>
      </c>
      <c r="H1449" s="49" t="s">
        <v>213</v>
      </c>
      <c r="I1449" s="18" t="s">
        <v>37</v>
      </c>
      <c r="J1449" s="18" t="s">
        <v>38</v>
      </c>
      <c r="K1449" t="s">
        <v>39</v>
      </c>
      <c r="L1449" s="50">
        <f>VLOOKUP(A1449,'[3]Price info'!A:D,4,FALSE)</f>
        <v>3.71</v>
      </c>
      <c r="M1449" s="18" t="s">
        <v>214</v>
      </c>
      <c r="N1449" s="20">
        <v>3105</v>
      </c>
      <c r="P1449" s="16">
        <f>VLOOKUP(A1449,'[3]Price info'!A:H,8,FALSE)</f>
        <v>3.71</v>
      </c>
      <c r="Q1449" s="17">
        <f t="shared" si="89"/>
        <v>1</v>
      </c>
      <c r="S1449" s="16" t="e">
        <f>VLOOKUP(A1449,[4]Sales!$E:$G,3,FALSE)</f>
        <v>#N/A</v>
      </c>
      <c r="T1449" s="19" t="e">
        <f>VLOOKUP(A1449,[4]Volume!$E:$G,3,FALSE)</f>
        <v>#N/A</v>
      </c>
      <c r="U1449" s="19" t="e">
        <f>VLOOKUP(A1449,[4]Piece!$E:$G,3,FALSE)</f>
        <v>#N/A</v>
      </c>
      <c r="V1449" s="21" t="e">
        <f t="shared" si="90"/>
        <v>#N/A</v>
      </c>
      <c r="W1449" s="16" t="e">
        <f t="shared" si="91"/>
        <v>#N/A</v>
      </c>
    </row>
    <row r="1450" spans="1:23" hidden="1" x14ac:dyDescent="0.3">
      <c r="A1450" s="71" t="s">
        <v>2898</v>
      </c>
      <c r="B1450" s="71" t="s">
        <v>2898</v>
      </c>
      <c r="C1450" s="47" t="s">
        <v>33</v>
      </c>
      <c r="D1450" s="48" t="s">
        <v>34</v>
      </c>
      <c r="E1450" s="18" t="s">
        <v>2899</v>
      </c>
      <c r="F1450" s="24" t="str">
        <f t="shared" si="88"/>
        <v>PPG - EWI   ENHANCED EPS 60MM 1200 X 600 MM</v>
      </c>
      <c r="G1450" s="20" t="s">
        <v>6321</v>
      </c>
      <c r="H1450" s="49" t="s">
        <v>213</v>
      </c>
      <c r="I1450" s="18" t="s">
        <v>37</v>
      </c>
      <c r="J1450" s="18" t="s">
        <v>38</v>
      </c>
      <c r="K1450" t="s">
        <v>39</v>
      </c>
      <c r="L1450" s="50">
        <f>VLOOKUP(A1450,'[3]Price info'!A:D,4,FALSE)</f>
        <v>4.46</v>
      </c>
      <c r="M1450" s="18" t="s">
        <v>214</v>
      </c>
      <c r="N1450" s="20">
        <v>3105</v>
      </c>
      <c r="P1450" s="16">
        <f>VLOOKUP(A1450,'[3]Price info'!A:H,8,FALSE)</f>
        <v>4.46</v>
      </c>
      <c r="Q1450" s="17">
        <f t="shared" si="89"/>
        <v>1</v>
      </c>
      <c r="S1450" s="16" t="e">
        <f>VLOOKUP(A1450,[4]Sales!$E:$G,3,FALSE)</f>
        <v>#N/A</v>
      </c>
      <c r="T1450" s="19" t="e">
        <f>VLOOKUP(A1450,[4]Volume!$E:$G,3,FALSE)</f>
        <v>#N/A</v>
      </c>
      <c r="U1450" s="19" t="e">
        <f>VLOOKUP(A1450,[4]Piece!$E:$G,3,FALSE)</f>
        <v>#N/A</v>
      </c>
      <c r="V1450" s="21" t="e">
        <f t="shared" si="90"/>
        <v>#N/A</v>
      </c>
      <c r="W1450" s="16" t="e">
        <f t="shared" si="91"/>
        <v>#N/A</v>
      </c>
    </row>
    <row r="1451" spans="1:23" hidden="1" x14ac:dyDescent="0.3">
      <c r="A1451" s="71" t="s">
        <v>2900</v>
      </c>
      <c r="B1451" s="71" t="s">
        <v>2900</v>
      </c>
      <c r="C1451" s="51" t="s">
        <v>33</v>
      </c>
      <c r="D1451" s="48" t="s">
        <v>34</v>
      </c>
      <c r="E1451" s="18" t="s">
        <v>2901</v>
      </c>
      <c r="F1451" s="24" t="str">
        <f t="shared" si="88"/>
        <v>PPG - EWI   ENHANCED EPS 90MM 1200 X 600 MM</v>
      </c>
      <c r="G1451" s="20" t="s">
        <v>6322</v>
      </c>
      <c r="H1451" s="49" t="s">
        <v>213</v>
      </c>
      <c r="I1451" s="18" t="s">
        <v>37</v>
      </c>
      <c r="J1451" s="18" t="s">
        <v>38</v>
      </c>
      <c r="K1451" t="s">
        <v>39</v>
      </c>
      <c r="L1451" s="50">
        <f>VLOOKUP(A1451,'[3]Price info'!A:D,4,FALSE)</f>
        <v>6.68</v>
      </c>
      <c r="M1451" s="18" t="s">
        <v>214</v>
      </c>
      <c r="N1451" s="20">
        <v>3105</v>
      </c>
      <c r="P1451" s="16">
        <f>VLOOKUP(A1451,'[3]Price info'!A:H,8,FALSE)</f>
        <v>6.68</v>
      </c>
      <c r="Q1451" s="17">
        <f t="shared" si="89"/>
        <v>1</v>
      </c>
      <c r="S1451" s="16" t="e">
        <f>VLOOKUP(A1451,[4]Sales!$E:$G,3,FALSE)</f>
        <v>#N/A</v>
      </c>
      <c r="T1451" s="19" t="e">
        <f>VLOOKUP(A1451,[4]Volume!$E:$G,3,FALSE)</f>
        <v>#N/A</v>
      </c>
      <c r="U1451" s="19" t="e">
        <f>VLOOKUP(A1451,[4]Piece!$E:$G,3,FALSE)</f>
        <v>#N/A</v>
      </c>
      <c r="V1451" s="21" t="e">
        <f t="shared" si="90"/>
        <v>#N/A</v>
      </c>
      <c r="W1451" s="16" t="e">
        <f t="shared" si="91"/>
        <v>#N/A</v>
      </c>
    </row>
    <row r="1452" spans="1:23" hidden="1" x14ac:dyDescent="0.3">
      <c r="A1452" s="71" t="s">
        <v>2902</v>
      </c>
      <c r="B1452" s="71" t="s">
        <v>2902</v>
      </c>
      <c r="C1452" s="47" t="s">
        <v>33</v>
      </c>
      <c r="D1452" s="48" t="s">
        <v>34</v>
      </c>
      <c r="E1452" s="18" t="s">
        <v>2903</v>
      </c>
      <c r="F1452" s="24" t="str">
        <f t="shared" si="88"/>
        <v>PPG - EWI   EPS 200E30MM 1200X600MM HD WHITE</v>
      </c>
      <c r="G1452" s="20" t="s">
        <v>6323</v>
      </c>
      <c r="H1452" s="49" t="s">
        <v>213</v>
      </c>
      <c r="I1452" s="18" t="s">
        <v>37</v>
      </c>
      <c r="J1452" s="18" t="s">
        <v>38</v>
      </c>
      <c r="K1452" t="s">
        <v>39</v>
      </c>
      <c r="L1452" s="50">
        <f>VLOOKUP(A1452,'[3]Price info'!A:D,4,FALSE)</f>
        <v>5.09</v>
      </c>
      <c r="M1452" s="18" t="s">
        <v>214</v>
      </c>
      <c r="N1452" s="20">
        <v>3105</v>
      </c>
      <c r="P1452" s="16">
        <f>VLOOKUP(A1452,'[3]Price info'!A:H,8,FALSE)</f>
        <v>5.09</v>
      </c>
      <c r="Q1452" s="17">
        <f t="shared" si="89"/>
        <v>1</v>
      </c>
      <c r="S1452" s="16" t="e">
        <f>VLOOKUP(A1452,[4]Sales!$E:$G,3,FALSE)</f>
        <v>#N/A</v>
      </c>
      <c r="T1452" s="19" t="e">
        <f>VLOOKUP(A1452,[4]Volume!$E:$G,3,FALSE)</f>
        <v>#N/A</v>
      </c>
      <c r="U1452" s="19" t="e">
        <f>VLOOKUP(A1452,[4]Piece!$E:$G,3,FALSE)</f>
        <v>#N/A</v>
      </c>
      <c r="V1452" s="21" t="e">
        <f t="shared" si="90"/>
        <v>#N/A</v>
      </c>
      <c r="W1452" s="16" t="e">
        <f t="shared" si="91"/>
        <v>#N/A</v>
      </c>
    </row>
    <row r="1453" spans="1:23" hidden="1" x14ac:dyDescent="0.3">
      <c r="A1453" s="71" t="s">
        <v>2904</v>
      </c>
      <c r="B1453" s="71" t="s">
        <v>2904</v>
      </c>
      <c r="C1453" s="47" t="s">
        <v>33</v>
      </c>
      <c r="D1453" s="48" t="s">
        <v>34</v>
      </c>
      <c r="E1453" s="18" t="s">
        <v>2905</v>
      </c>
      <c r="F1453" s="24" t="str">
        <f t="shared" si="88"/>
        <v>PPG - EWI   EPS 200E90MM 1200X600MM HD WHITE</v>
      </c>
      <c r="G1453" s="20" t="s">
        <v>6324</v>
      </c>
      <c r="H1453" s="49" t="s">
        <v>213</v>
      </c>
      <c r="I1453" s="18" t="s">
        <v>37</v>
      </c>
      <c r="J1453" s="18" t="s">
        <v>38</v>
      </c>
      <c r="K1453" t="s">
        <v>39</v>
      </c>
      <c r="L1453" s="50">
        <f>VLOOKUP(A1453,'[3]Price info'!A:D,4,FALSE)</f>
        <v>9.74</v>
      </c>
      <c r="M1453" s="18" t="s">
        <v>214</v>
      </c>
      <c r="N1453" s="20">
        <v>3105</v>
      </c>
      <c r="P1453" s="16">
        <f>VLOOKUP(A1453,'[3]Price info'!A:H,8,FALSE)</f>
        <v>9.74</v>
      </c>
      <c r="Q1453" s="17">
        <f t="shared" si="89"/>
        <v>1</v>
      </c>
      <c r="S1453" s="16" t="e">
        <f>VLOOKUP(A1453,[4]Sales!$E:$G,3,FALSE)</f>
        <v>#N/A</v>
      </c>
      <c r="T1453" s="19" t="e">
        <f>VLOOKUP(A1453,[4]Volume!$E:$G,3,FALSE)</f>
        <v>#N/A</v>
      </c>
      <c r="U1453" s="19" t="e">
        <f>VLOOKUP(A1453,[4]Piece!$E:$G,3,FALSE)</f>
        <v>#N/A</v>
      </c>
      <c r="V1453" s="21" t="e">
        <f t="shared" si="90"/>
        <v>#N/A</v>
      </c>
      <c r="W1453" s="16" t="e">
        <f t="shared" si="91"/>
        <v>#N/A</v>
      </c>
    </row>
    <row r="1454" spans="1:23" hidden="1" x14ac:dyDescent="0.3">
      <c r="A1454" s="71" t="s">
        <v>2906</v>
      </c>
      <c r="B1454" s="71" t="s">
        <v>2906</v>
      </c>
      <c r="C1454" s="51" t="s">
        <v>33</v>
      </c>
      <c r="D1454" s="48" t="s">
        <v>34</v>
      </c>
      <c r="E1454" s="18" t="s">
        <v>2907</v>
      </c>
      <c r="F1454" s="24" t="str">
        <f t="shared" si="88"/>
        <v>PPG - EWI   EPS 70E      20MM</v>
      </c>
      <c r="G1454" s="20" t="s">
        <v>6325</v>
      </c>
      <c r="H1454" s="49" t="s">
        <v>213</v>
      </c>
      <c r="I1454" s="18" t="s">
        <v>37</v>
      </c>
      <c r="J1454" s="18" t="s">
        <v>38</v>
      </c>
      <c r="K1454" t="s">
        <v>39</v>
      </c>
      <c r="L1454" s="50">
        <f>VLOOKUP(A1454,'[3]Price info'!A:D,4,FALSE)</f>
        <v>1.62</v>
      </c>
      <c r="M1454" s="18" t="s">
        <v>214</v>
      </c>
      <c r="N1454" s="20">
        <v>3105</v>
      </c>
      <c r="P1454" s="16">
        <f>VLOOKUP(A1454,'[3]Price info'!A:H,8,FALSE)</f>
        <v>1.62</v>
      </c>
      <c r="Q1454" s="17">
        <f t="shared" si="89"/>
        <v>1</v>
      </c>
      <c r="S1454" s="16" t="e">
        <f>VLOOKUP(A1454,[4]Sales!$E:$G,3,FALSE)</f>
        <v>#N/A</v>
      </c>
      <c r="T1454" s="19" t="e">
        <f>VLOOKUP(A1454,[4]Volume!$E:$G,3,FALSE)</f>
        <v>#N/A</v>
      </c>
      <c r="U1454" s="19" t="e">
        <f>VLOOKUP(A1454,[4]Piece!$E:$G,3,FALSE)</f>
        <v>#N/A</v>
      </c>
      <c r="V1454" s="21" t="e">
        <f t="shared" si="90"/>
        <v>#N/A</v>
      </c>
      <c r="W1454" s="16" t="e">
        <f t="shared" si="91"/>
        <v>#N/A</v>
      </c>
    </row>
    <row r="1455" spans="1:23" hidden="1" x14ac:dyDescent="0.3">
      <c r="A1455" s="71" t="s">
        <v>2908</v>
      </c>
      <c r="B1455" s="71" t="s">
        <v>2908</v>
      </c>
      <c r="C1455" s="47" t="s">
        <v>33</v>
      </c>
      <c r="D1455" s="48" t="s">
        <v>34</v>
      </c>
      <c r="E1455" s="18" t="s">
        <v>2909</v>
      </c>
      <c r="F1455" s="24" t="str">
        <f t="shared" si="88"/>
        <v>PPG - EWI   EPS 70E      30MM</v>
      </c>
      <c r="G1455" s="20" t="s">
        <v>6326</v>
      </c>
      <c r="H1455" s="49" t="s">
        <v>213</v>
      </c>
      <c r="I1455" s="18" t="s">
        <v>37</v>
      </c>
      <c r="J1455" s="18" t="s">
        <v>38</v>
      </c>
      <c r="K1455" t="s">
        <v>39</v>
      </c>
      <c r="L1455" s="50">
        <f>VLOOKUP(A1455,'[3]Price info'!A:D,4,FALSE)</f>
        <v>2.46</v>
      </c>
      <c r="M1455" s="18" t="s">
        <v>214</v>
      </c>
      <c r="N1455" s="20">
        <v>3105</v>
      </c>
      <c r="P1455" s="16">
        <f>VLOOKUP(A1455,'[3]Price info'!A:H,8,FALSE)</f>
        <v>2.46</v>
      </c>
      <c r="Q1455" s="17">
        <f t="shared" si="89"/>
        <v>1</v>
      </c>
      <c r="S1455" s="16" t="e">
        <f>VLOOKUP(A1455,[4]Sales!$E:$G,3,FALSE)</f>
        <v>#N/A</v>
      </c>
      <c r="T1455" s="19" t="e">
        <f>VLOOKUP(A1455,[4]Volume!$E:$G,3,FALSE)</f>
        <v>#N/A</v>
      </c>
      <c r="U1455" s="19" t="e">
        <f>VLOOKUP(A1455,[4]Piece!$E:$G,3,FALSE)</f>
        <v>#N/A</v>
      </c>
      <c r="V1455" s="21" t="e">
        <f t="shared" si="90"/>
        <v>#N/A</v>
      </c>
      <c r="W1455" s="16" t="e">
        <f t="shared" si="91"/>
        <v>#N/A</v>
      </c>
    </row>
    <row r="1456" spans="1:23" hidden="1" x14ac:dyDescent="0.3">
      <c r="A1456" s="71" t="s">
        <v>2910</v>
      </c>
      <c r="B1456" s="71" t="s">
        <v>2910</v>
      </c>
      <c r="C1456" s="47" t="s">
        <v>33</v>
      </c>
      <c r="D1456" s="48" t="s">
        <v>34</v>
      </c>
      <c r="E1456" s="18" t="s">
        <v>2911</v>
      </c>
      <c r="F1456" s="24" t="str">
        <f t="shared" si="88"/>
        <v>PPG - EWI   EPS 70E      40MM</v>
      </c>
      <c r="G1456" s="20" t="s">
        <v>6327</v>
      </c>
      <c r="H1456" s="49" t="s">
        <v>213</v>
      </c>
      <c r="I1456" s="18" t="s">
        <v>37</v>
      </c>
      <c r="J1456" s="18" t="s">
        <v>38</v>
      </c>
      <c r="K1456" t="s">
        <v>39</v>
      </c>
      <c r="L1456" s="50">
        <f>VLOOKUP(A1456,'[3]Price info'!A:D,4,FALSE)</f>
        <v>3.26</v>
      </c>
      <c r="M1456" s="18" t="s">
        <v>214</v>
      </c>
      <c r="N1456" s="20">
        <v>3105</v>
      </c>
      <c r="P1456" s="16">
        <f>VLOOKUP(A1456,'[3]Price info'!A:H,8,FALSE)</f>
        <v>3.26</v>
      </c>
      <c r="Q1456" s="17">
        <f t="shared" si="89"/>
        <v>1</v>
      </c>
      <c r="S1456" s="16" t="e">
        <f>VLOOKUP(A1456,[4]Sales!$E:$G,3,FALSE)</f>
        <v>#N/A</v>
      </c>
      <c r="T1456" s="19" t="e">
        <f>VLOOKUP(A1456,[4]Volume!$E:$G,3,FALSE)</f>
        <v>#N/A</v>
      </c>
      <c r="U1456" s="19" t="e">
        <f>VLOOKUP(A1456,[4]Piece!$E:$G,3,FALSE)</f>
        <v>#N/A</v>
      </c>
      <c r="V1456" s="21" t="e">
        <f t="shared" si="90"/>
        <v>#N/A</v>
      </c>
      <c r="W1456" s="16" t="e">
        <f t="shared" si="91"/>
        <v>#N/A</v>
      </c>
    </row>
    <row r="1457" spans="1:23" hidden="1" x14ac:dyDescent="0.3">
      <c r="A1457" s="71" t="s">
        <v>2912</v>
      </c>
      <c r="B1457" s="71" t="s">
        <v>2912</v>
      </c>
      <c r="C1457" s="51" t="s">
        <v>33</v>
      </c>
      <c r="D1457" s="48" t="s">
        <v>34</v>
      </c>
      <c r="E1457" s="18" t="s">
        <v>2913</v>
      </c>
      <c r="F1457" s="24" t="str">
        <f t="shared" si="88"/>
        <v>PPG - EWI   EPS 70E      60MM</v>
      </c>
      <c r="G1457" s="20" t="s">
        <v>6328</v>
      </c>
      <c r="H1457" s="49" t="s">
        <v>213</v>
      </c>
      <c r="I1457" s="18" t="s">
        <v>37</v>
      </c>
      <c r="J1457" s="18" t="s">
        <v>38</v>
      </c>
      <c r="K1457" t="s">
        <v>39</v>
      </c>
      <c r="L1457" s="50">
        <f>VLOOKUP(A1457,'[3]Price info'!A:D,4,FALSE)</f>
        <v>4.8899999999999997</v>
      </c>
      <c r="M1457" s="18" t="s">
        <v>214</v>
      </c>
      <c r="N1457" s="20">
        <v>3105</v>
      </c>
      <c r="P1457" s="16">
        <f>VLOOKUP(A1457,'[3]Price info'!A:H,8,FALSE)</f>
        <v>4.8899999999999997</v>
      </c>
      <c r="Q1457" s="17">
        <f t="shared" si="89"/>
        <v>1</v>
      </c>
      <c r="S1457" s="16" t="e">
        <f>VLOOKUP(A1457,[4]Sales!$E:$G,3,FALSE)</f>
        <v>#N/A</v>
      </c>
      <c r="T1457" s="19" t="e">
        <f>VLOOKUP(A1457,[4]Volume!$E:$G,3,FALSE)</f>
        <v>#N/A</v>
      </c>
      <c r="U1457" s="19" t="e">
        <f>VLOOKUP(A1457,[4]Piece!$E:$G,3,FALSE)</f>
        <v>#N/A</v>
      </c>
      <c r="V1457" s="21" t="e">
        <f t="shared" si="90"/>
        <v>#N/A</v>
      </c>
      <c r="W1457" s="16" t="e">
        <f t="shared" si="91"/>
        <v>#N/A</v>
      </c>
    </row>
    <row r="1458" spans="1:23" hidden="1" x14ac:dyDescent="0.3">
      <c r="A1458" s="71" t="s">
        <v>2914</v>
      </c>
      <c r="B1458" s="71" t="s">
        <v>2914</v>
      </c>
      <c r="C1458" s="47" t="s">
        <v>33</v>
      </c>
      <c r="D1458" s="48" t="s">
        <v>34</v>
      </c>
      <c r="E1458" s="18" t="s">
        <v>2915</v>
      </c>
      <c r="F1458" s="24" t="str">
        <f t="shared" si="88"/>
        <v>PPG - EWI   EPS 70E      90MM</v>
      </c>
      <c r="G1458" s="20" t="s">
        <v>6329</v>
      </c>
      <c r="H1458" s="49" t="s">
        <v>213</v>
      </c>
      <c r="I1458" s="18" t="s">
        <v>37</v>
      </c>
      <c r="J1458" s="18" t="s">
        <v>38</v>
      </c>
      <c r="K1458" t="s">
        <v>39</v>
      </c>
      <c r="L1458" s="50">
        <f>VLOOKUP(A1458,'[3]Price info'!A:D,4,FALSE)</f>
        <v>7.34</v>
      </c>
      <c r="M1458" s="18" t="s">
        <v>214</v>
      </c>
      <c r="N1458" s="20">
        <v>3105</v>
      </c>
      <c r="P1458" s="16">
        <f>VLOOKUP(A1458,'[3]Price info'!A:H,8,FALSE)</f>
        <v>7.34</v>
      </c>
      <c r="Q1458" s="17">
        <f t="shared" si="89"/>
        <v>1</v>
      </c>
      <c r="S1458" s="16" t="e">
        <f>VLOOKUP(A1458,[4]Sales!$E:$G,3,FALSE)</f>
        <v>#N/A</v>
      </c>
      <c r="T1458" s="19" t="e">
        <f>VLOOKUP(A1458,[4]Volume!$E:$G,3,FALSE)</f>
        <v>#N/A</v>
      </c>
      <c r="U1458" s="19" t="e">
        <f>VLOOKUP(A1458,[4]Piece!$E:$G,3,FALSE)</f>
        <v>#N/A</v>
      </c>
      <c r="V1458" s="21" t="e">
        <f t="shared" si="90"/>
        <v>#N/A</v>
      </c>
      <c r="W1458" s="16" t="e">
        <f t="shared" si="91"/>
        <v>#N/A</v>
      </c>
    </row>
    <row r="1459" spans="1:23" hidden="1" x14ac:dyDescent="0.3">
      <c r="A1459" s="71" t="s">
        <v>2916</v>
      </c>
      <c r="B1459" s="71" t="s">
        <v>2916</v>
      </c>
      <c r="C1459" s="47" t="s">
        <v>33</v>
      </c>
      <c r="D1459" s="48" t="s">
        <v>34</v>
      </c>
      <c r="E1459" s="18" t="s">
        <v>2917</v>
      </c>
      <c r="F1459" s="24" t="str">
        <f t="shared" si="88"/>
        <v>PPG - EWI   EPS200E100MM 1200X600MM HD WHITE</v>
      </c>
      <c r="G1459" s="20" t="s">
        <v>6330</v>
      </c>
      <c r="H1459" s="49" t="s">
        <v>213</v>
      </c>
      <c r="I1459" s="18" t="s">
        <v>37</v>
      </c>
      <c r="J1459" s="18" t="s">
        <v>38</v>
      </c>
      <c r="K1459" t="s">
        <v>39</v>
      </c>
      <c r="L1459" s="50">
        <f>VLOOKUP(A1459,'[3]Price info'!A:D,4,FALSE)</f>
        <v>10.7</v>
      </c>
      <c r="M1459" s="18" t="s">
        <v>214</v>
      </c>
      <c r="N1459" s="20">
        <v>3105</v>
      </c>
      <c r="P1459" s="16">
        <f>VLOOKUP(A1459,'[3]Price info'!A:H,8,FALSE)</f>
        <v>10.7</v>
      </c>
      <c r="Q1459" s="17">
        <f t="shared" si="89"/>
        <v>1</v>
      </c>
      <c r="S1459" s="16" t="e">
        <f>VLOOKUP(A1459,[4]Sales!$E:$G,3,FALSE)</f>
        <v>#N/A</v>
      </c>
      <c r="T1459" s="19" t="e">
        <f>VLOOKUP(A1459,[4]Volume!$E:$G,3,FALSE)</f>
        <v>#N/A</v>
      </c>
      <c r="U1459" s="19" t="e">
        <f>VLOOKUP(A1459,[4]Piece!$E:$G,3,FALSE)</f>
        <v>#N/A</v>
      </c>
      <c r="V1459" s="21" t="e">
        <f t="shared" si="90"/>
        <v>#N/A</v>
      </c>
      <c r="W1459" s="16" t="e">
        <f t="shared" si="91"/>
        <v>#N/A</v>
      </c>
    </row>
    <row r="1460" spans="1:23" hidden="1" x14ac:dyDescent="0.3">
      <c r="A1460" s="71" t="s">
        <v>2918</v>
      </c>
      <c r="B1460" s="71" t="s">
        <v>2918</v>
      </c>
      <c r="C1460" s="51" t="s">
        <v>33</v>
      </c>
      <c r="D1460" s="48" t="s">
        <v>34</v>
      </c>
      <c r="E1460" s="18" t="s">
        <v>2919</v>
      </c>
      <c r="F1460" s="24" t="str">
        <f t="shared" si="88"/>
        <v>PPG - EWI   FIR TREE FIXING BLACK*BOX OF 1000*</v>
      </c>
      <c r="G1460" s="20" t="s">
        <v>6331</v>
      </c>
      <c r="H1460" s="49" t="s">
        <v>213</v>
      </c>
      <c r="I1460" s="18" t="s">
        <v>37</v>
      </c>
      <c r="J1460" s="18" t="s">
        <v>38</v>
      </c>
      <c r="K1460" t="s">
        <v>39</v>
      </c>
      <c r="L1460" s="50">
        <f>VLOOKUP(A1460,'[3]Price info'!A:D,4,FALSE)</f>
        <v>50.74</v>
      </c>
      <c r="M1460" s="18" t="s">
        <v>214</v>
      </c>
      <c r="N1460" s="20">
        <v>3105</v>
      </c>
      <c r="P1460" s="16">
        <f>VLOOKUP(A1460,'[3]Price info'!A:H,8,FALSE)</f>
        <v>50.74</v>
      </c>
      <c r="Q1460" s="17">
        <f t="shared" si="89"/>
        <v>1</v>
      </c>
      <c r="S1460" s="16" t="e">
        <f>VLOOKUP(A1460,[4]Sales!$E:$G,3,FALSE)</f>
        <v>#N/A</v>
      </c>
      <c r="T1460" s="19" t="e">
        <f>VLOOKUP(A1460,[4]Volume!$E:$G,3,FALSE)</f>
        <v>#N/A</v>
      </c>
      <c r="U1460" s="19" t="e">
        <f>VLOOKUP(A1460,[4]Piece!$E:$G,3,FALSE)</f>
        <v>#N/A</v>
      </c>
      <c r="V1460" s="21" t="e">
        <f t="shared" si="90"/>
        <v>#N/A</v>
      </c>
      <c r="W1460" s="16" t="e">
        <f t="shared" si="91"/>
        <v>#N/A</v>
      </c>
    </row>
    <row r="1461" spans="1:23" hidden="1" x14ac:dyDescent="0.3">
      <c r="A1461" s="71" t="s">
        <v>2920</v>
      </c>
      <c r="B1461" s="71" t="s">
        <v>2920</v>
      </c>
      <c r="C1461" s="47" t="s">
        <v>33</v>
      </c>
      <c r="D1461" s="48" t="s">
        <v>34</v>
      </c>
      <c r="E1461" s="18" t="s">
        <v>2921</v>
      </c>
      <c r="F1461" s="24" t="str">
        <f t="shared" si="88"/>
        <v>PPG - EWI   FOAM GUN</v>
      </c>
      <c r="G1461" s="20" t="s">
        <v>6332</v>
      </c>
      <c r="H1461" s="49" t="s">
        <v>213</v>
      </c>
      <c r="I1461" s="18" t="s">
        <v>37</v>
      </c>
      <c r="J1461" s="18" t="s">
        <v>38</v>
      </c>
      <c r="K1461" t="s">
        <v>39</v>
      </c>
      <c r="L1461" s="50">
        <f>VLOOKUP(A1461,'[3]Price info'!A:D,4,FALSE)</f>
        <v>26.9</v>
      </c>
      <c r="M1461" s="18" t="s">
        <v>214</v>
      </c>
      <c r="N1461" s="20">
        <v>3105</v>
      </c>
      <c r="P1461" s="16">
        <f>VLOOKUP(A1461,'[3]Price info'!A:H,8,FALSE)</f>
        <v>26.9</v>
      </c>
      <c r="Q1461" s="17">
        <f t="shared" si="89"/>
        <v>1</v>
      </c>
      <c r="S1461" s="16" t="e">
        <f>VLOOKUP(A1461,[4]Sales!$E:$G,3,FALSE)</f>
        <v>#N/A</v>
      </c>
      <c r="T1461" s="19" t="e">
        <f>VLOOKUP(A1461,[4]Volume!$E:$G,3,FALSE)</f>
        <v>#N/A</v>
      </c>
      <c r="U1461" s="19" t="e">
        <f>VLOOKUP(A1461,[4]Piece!$E:$G,3,FALSE)</f>
        <v>#N/A</v>
      </c>
      <c r="V1461" s="21" t="e">
        <f t="shared" si="90"/>
        <v>#N/A</v>
      </c>
      <c r="W1461" s="16" t="e">
        <f t="shared" si="91"/>
        <v>#N/A</v>
      </c>
    </row>
    <row r="1462" spans="1:23" hidden="1" x14ac:dyDescent="0.3">
      <c r="A1462" s="71" t="s">
        <v>2922</v>
      </c>
      <c r="B1462" s="71" t="s">
        <v>2922</v>
      </c>
      <c r="C1462" s="47" t="s">
        <v>33</v>
      </c>
      <c r="D1462" s="48" t="s">
        <v>34</v>
      </c>
      <c r="E1462" s="18" t="s">
        <v>2923</v>
      </c>
      <c r="F1462" s="24" t="str">
        <f t="shared" si="88"/>
        <v>PPG - EWI   H1 ECO 135MM MAX 100MM INSULATION</v>
      </c>
      <c r="G1462" s="20" t="s">
        <v>6333</v>
      </c>
      <c r="H1462" s="49" t="s">
        <v>213</v>
      </c>
      <c r="I1462" s="18" t="s">
        <v>37</v>
      </c>
      <c r="J1462" s="18" t="s">
        <v>38</v>
      </c>
      <c r="K1462" t="s">
        <v>39</v>
      </c>
      <c r="L1462" s="50">
        <f>VLOOKUP(A1462,'[3]Price info'!A:D,4,FALSE)</f>
        <v>22.27</v>
      </c>
      <c r="M1462" s="18" t="s">
        <v>214</v>
      </c>
      <c r="N1462" s="20">
        <v>3105</v>
      </c>
      <c r="P1462" s="16">
        <f>VLOOKUP(A1462,'[3]Price info'!A:H,8,FALSE)</f>
        <v>22.27</v>
      </c>
      <c r="Q1462" s="17">
        <f t="shared" si="89"/>
        <v>1</v>
      </c>
      <c r="S1462" s="16" t="e">
        <f>VLOOKUP(A1462,[4]Sales!$E:$G,3,FALSE)</f>
        <v>#N/A</v>
      </c>
      <c r="T1462" s="19" t="e">
        <f>VLOOKUP(A1462,[4]Volume!$E:$G,3,FALSE)</f>
        <v>#N/A</v>
      </c>
      <c r="U1462" s="19" t="e">
        <f>VLOOKUP(A1462,[4]Piece!$E:$G,3,FALSE)</f>
        <v>#N/A</v>
      </c>
      <c r="V1462" s="21" t="e">
        <f t="shared" si="90"/>
        <v>#N/A</v>
      </c>
      <c r="W1462" s="16" t="e">
        <f t="shared" si="91"/>
        <v>#N/A</v>
      </c>
    </row>
    <row r="1463" spans="1:23" hidden="1" x14ac:dyDescent="0.3">
      <c r="A1463" s="71" t="s">
        <v>2924</v>
      </c>
      <c r="B1463" s="71" t="s">
        <v>2924</v>
      </c>
      <c r="C1463" s="51" t="s">
        <v>33</v>
      </c>
      <c r="D1463" s="48" t="s">
        <v>34</v>
      </c>
      <c r="E1463" s="18" t="s">
        <v>2925</v>
      </c>
      <c r="F1463" s="24" t="str">
        <f t="shared" si="88"/>
        <v>PPG - EWI   H1 ECO 155MM MAX 120MM INSULATION</v>
      </c>
      <c r="G1463" s="20" t="s">
        <v>6334</v>
      </c>
      <c r="H1463" s="49" t="s">
        <v>213</v>
      </c>
      <c r="I1463" s="18" t="s">
        <v>37</v>
      </c>
      <c r="J1463" s="18" t="s">
        <v>38</v>
      </c>
      <c r="K1463" t="s">
        <v>39</v>
      </c>
      <c r="L1463" s="50">
        <f>VLOOKUP(A1463,'[3]Price info'!A:D,4,FALSE)</f>
        <v>25.45</v>
      </c>
      <c r="M1463" s="18" t="s">
        <v>214</v>
      </c>
      <c r="N1463" s="20">
        <v>3105</v>
      </c>
      <c r="P1463" s="16">
        <f>VLOOKUP(A1463,'[3]Price info'!A:H,8,FALSE)</f>
        <v>25.45</v>
      </c>
      <c r="Q1463" s="17">
        <f t="shared" si="89"/>
        <v>1</v>
      </c>
      <c r="S1463" s="16" t="e">
        <f>VLOOKUP(A1463,[4]Sales!$E:$G,3,FALSE)</f>
        <v>#N/A</v>
      </c>
      <c r="T1463" s="19" t="e">
        <f>VLOOKUP(A1463,[4]Volume!$E:$G,3,FALSE)</f>
        <v>#N/A</v>
      </c>
      <c r="U1463" s="19" t="e">
        <f>VLOOKUP(A1463,[4]Piece!$E:$G,3,FALSE)</f>
        <v>#N/A</v>
      </c>
      <c r="V1463" s="21" t="e">
        <f t="shared" si="90"/>
        <v>#N/A</v>
      </c>
      <c r="W1463" s="16" t="e">
        <f t="shared" si="91"/>
        <v>#N/A</v>
      </c>
    </row>
    <row r="1464" spans="1:23" hidden="1" x14ac:dyDescent="0.3">
      <c r="A1464" s="71" t="s">
        <v>2926</v>
      </c>
      <c r="B1464" s="71" t="s">
        <v>2926</v>
      </c>
      <c r="C1464" s="47" t="s">
        <v>33</v>
      </c>
      <c r="D1464" s="48" t="s">
        <v>34</v>
      </c>
      <c r="E1464" s="18" t="s">
        <v>2927</v>
      </c>
      <c r="F1464" s="24" t="str">
        <f t="shared" si="88"/>
        <v>PPG - EWI   H1 ECO 95MM MAX 60MM INSULATION</v>
      </c>
      <c r="G1464" s="20" t="s">
        <v>6335</v>
      </c>
      <c r="H1464" s="49" t="s">
        <v>213</v>
      </c>
      <c r="I1464" s="18" t="s">
        <v>37</v>
      </c>
      <c r="J1464" s="18" t="s">
        <v>38</v>
      </c>
      <c r="K1464" t="s">
        <v>39</v>
      </c>
      <c r="L1464" s="50">
        <f>VLOOKUP(A1464,'[3]Price info'!A:D,4,FALSE)</f>
        <v>19.22</v>
      </c>
      <c r="M1464" s="18" t="s">
        <v>214</v>
      </c>
      <c r="N1464" s="20">
        <v>3105</v>
      </c>
      <c r="P1464" s="16">
        <f>VLOOKUP(A1464,'[3]Price info'!A:H,8,FALSE)</f>
        <v>19.22</v>
      </c>
      <c r="Q1464" s="17">
        <f t="shared" si="89"/>
        <v>1</v>
      </c>
      <c r="S1464" s="16" t="e">
        <f>VLOOKUP(A1464,[4]Sales!$E:$G,3,FALSE)</f>
        <v>#N/A</v>
      </c>
      <c r="T1464" s="19" t="e">
        <f>VLOOKUP(A1464,[4]Volume!$E:$G,3,FALSE)</f>
        <v>#N/A</v>
      </c>
      <c r="U1464" s="19" t="e">
        <f>VLOOKUP(A1464,[4]Piece!$E:$G,3,FALSE)</f>
        <v>#N/A</v>
      </c>
      <c r="V1464" s="21" t="e">
        <f t="shared" si="90"/>
        <v>#N/A</v>
      </c>
      <c r="W1464" s="16" t="e">
        <f t="shared" si="91"/>
        <v>#N/A</v>
      </c>
    </row>
    <row r="1465" spans="1:23" hidden="1" x14ac:dyDescent="0.3">
      <c r="A1465" s="71" t="s">
        <v>2928</v>
      </c>
      <c r="B1465" s="71" t="s">
        <v>2928</v>
      </c>
      <c r="C1465" s="47" t="s">
        <v>33</v>
      </c>
      <c r="D1465" s="48" t="s">
        <v>34</v>
      </c>
      <c r="E1465" s="18" t="s">
        <v>2929</v>
      </c>
      <c r="F1465" s="24" t="str">
        <f t="shared" si="88"/>
        <v>PPG - EWI   HIGH FLEX RENDER BASECOAT 25KG</v>
      </c>
      <c r="G1465" s="20" t="s">
        <v>6336</v>
      </c>
      <c r="H1465" s="49" t="s">
        <v>213</v>
      </c>
      <c r="I1465" s="18" t="s">
        <v>37</v>
      </c>
      <c r="J1465" s="18" t="s">
        <v>38</v>
      </c>
      <c r="K1465" t="s">
        <v>39</v>
      </c>
      <c r="L1465" s="50">
        <f>VLOOKUP(A1465,'[3]Price info'!A:D,4,FALSE)</f>
        <v>19.25</v>
      </c>
      <c r="M1465" s="18" t="s">
        <v>214</v>
      </c>
      <c r="N1465" s="20">
        <v>3105</v>
      </c>
      <c r="P1465" s="16">
        <f>VLOOKUP(A1465,'[3]Price info'!A:H,8,FALSE)</f>
        <v>19.25</v>
      </c>
      <c r="Q1465" s="17">
        <f t="shared" si="89"/>
        <v>1</v>
      </c>
      <c r="S1465" s="16" t="e">
        <f>VLOOKUP(A1465,[4]Sales!$E:$G,3,FALSE)</f>
        <v>#N/A</v>
      </c>
      <c r="T1465" s="19" t="e">
        <f>VLOOKUP(A1465,[4]Volume!$E:$G,3,FALSE)</f>
        <v>#N/A</v>
      </c>
      <c r="U1465" s="19" t="e">
        <f>VLOOKUP(A1465,[4]Piece!$E:$G,3,FALSE)</f>
        <v>#N/A</v>
      </c>
      <c r="V1465" s="21" t="e">
        <f t="shared" si="90"/>
        <v>#N/A</v>
      </c>
      <c r="W1465" s="16" t="e">
        <f t="shared" si="91"/>
        <v>#N/A</v>
      </c>
    </row>
    <row r="1466" spans="1:23" hidden="1" x14ac:dyDescent="0.3">
      <c r="A1466" s="71" t="s">
        <v>2930</v>
      </c>
      <c r="B1466" s="71" t="s">
        <v>2930</v>
      </c>
      <c r="C1466" s="51" t="s">
        <v>33</v>
      </c>
      <c r="D1466" s="48" t="s">
        <v>34</v>
      </c>
      <c r="E1466" s="18" t="s">
        <v>2931</v>
      </c>
      <c r="F1466" s="24" t="str">
        <f t="shared" si="88"/>
        <v>PPG - EWI   HIGH IMPACT RENDER MESH CLOTH</v>
      </c>
      <c r="G1466" s="20" t="s">
        <v>6337</v>
      </c>
      <c r="H1466" s="49" t="s">
        <v>213</v>
      </c>
      <c r="I1466" s="18" t="s">
        <v>37</v>
      </c>
      <c r="J1466" s="18" t="s">
        <v>38</v>
      </c>
      <c r="K1466" t="s">
        <v>39</v>
      </c>
      <c r="L1466" s="50">
        <f>VLOOKUP(A1466,'[3]Price info'!A:D,4,FALSE)</f>
        <v>127.85</v>
      </c>
      <c r="M1466" s="18" t="s">
        <v>214</v>
      </c>
      <c r="N1466" s="20">
        <v>3105</v>
      </c>
      <c r="P1466" s="16">
        <f>VLOOKUP(A1466,'[3]Price info'!A:H,8,FALSE)</f>
        <v>127.85</v>
      </c>
      <c r="Q1466" s="17">
        <f t="shared" si="89"/>
        <v>1</v>
      </c>
      <c r="S1466" s="16" t="e">
        <f>VLOOKUP(A1466,[4]Sales!$E:$G,3,FALSE)</f>
        <v>#N/A</v>
      </c>
      <c r="T1466" s="19" t="e">
        <f>VLOOKUP(A1466,[4]Volume!$E:$G,3,FALSE)</f>
        <v>#N/A</v>
      </c>
      <c r="U1466" s="19" t="e">
        <f>VLOOKUP(A1466,[4]Piece!$E:$G,3,FALSE)</f>
        <v>#N/A</v>
      </c>
      <c r="V1466" s="21" t="e">
        <f t="shared" si="90"/>
        <v>#N/A</v>
      </c>
      <c r="W1466" s="16" t="e">
        <f t="shared" si="91"/>
        <v>#N/A</v>
      </c>
    </row>
    <row r="1467" spans="1:23" hidden="1" x14ac:dyDescent="0.3">
      <c r="A1467" s="71" t="s">
        <v>2932</v>
      </c>
      <c r="B1467" s="71" t="s">
        <v>2932</v>
      </c>
      <c r="C1467" s="47" t="s">
        <v>33</v>
      </c>
      <c r="D1467" s="48" t="s">
        <v>34</v>
      </c>
      <c r="E1467" s="18" t="s">
        <v>2933</v>
      </c>
      <c r="F1467" s="24" t="str">
        <f t="shared" si="88"/>
        <v>PPG - EWI   IDK-N 8/60   75MM 200BX</v>
      </c>
      <c r="G1467" s="20" t="s">
        <v>6338</v>
      </c>
      <c r="H1467" s="49" t="s">
        <v>213</v>
      </c>
      <c r="I1467" s="18" t="s">
        <v>37</v>
      </c>
      <c r="J1467" s="18" t="s">
        <v>38</v>
      </c>
      <c r="K1467" t="s">
        <v>39</v>
      </c>
      <c r="L1467" s="50">
        <f>VLOOKUP(A1467,'[3]Price info'!A:D,4,FALSE)</f>
        <v>30.9</v>
      </c>
      <c r="M1467" s="18" t="s">
        <v>214</v>
      </c>
      <c r="N1467" s="20">
        <v>3105</v>
      </c>
      <c r="P1467" s="16">
        <f>VLOOKUP(A1467,'[3]Price info'!A:H,8,FALSE)</f>
        <v>30.9</v>
      </c>
      <c r="Q1467" s="17">
        <f t="shared" si="89"/>
        <v>1</v>
      </c>
      <c r="S1467" s="16" t="e">
        <f>VLOOKUP(A1467,[4]Sales!$E:$G,3,FALSE)</f>
        <v>#N/A</v>
      </c>
      <c r="T1467" s="19" t="e">
        <f>VLOOKUP(A1467,[4]Volume!$E:$G,3,FALSE)</f>
        <v>#N/A</v>
      </c>
      <c r="U1467" s="19" t="e">
        <f>VLOOKUP(A1467,[4]Piece!$E:$G,3,FALSE)</f>
        <v>#N/A</v>
      </c>
      <c r="V1467" s="21" t="e">
        <f t="shared" si="90"/>
        <v>#N/A</v>
      </c>
      <c r="W1467" s="16" t="e">
        <f t="shared" si="91"/>
        <v>#N/A</v>
      </c>
    </row>
    <row r="1468" spans="1:23" hidden="1" x14ac:dyDescent="0.3">
      <c r="A1468" s="71" t="s">
        <v>2934</v>
      </c>
      <c r="B1468" s="71" t="s">
        <v>2934</v>
      </c>
      <c r="C1468" s="47" t="s">
        <v>33</v>
      </c>
      <c r="D1468" s="48" t="s">
        <v>34</v>
      </c>
      <c r="E1468" s="18" t="s">
        <v>2935</v>
      </c>
      <c r="F1468" s="24" t="str">
        <f t="shared" si="88"/>
        <v>PPG - EWI   KEY COAT PRIMER 25KG</v>
      </c>
      <c r="G1468" s="20" t="s">
        <v>6339</v>
      </c>
      <c r="H1468" s="49" t="s">
        <v>213</v>
      </c>
      <c r="I1468" s="18" t="s">
        <v>37</v>
      </c>
      <c r="J1468" s="18" t="s">
        <v>38</v>
      </c>
      <c r="K1468" t="s">
        <v>39</v>
      </c>
      <c r="L1468" s="50">
        <f>VLOOKUP(A1468,'[3]Price info'!A:D,4,FALSE)</f>
        <v>15.4</v>
      </c>
      <c r="M1468" s="18" t="s">
        <v>214</v>
      </c>
      <c r="N1468" s="20">
        <v>3105</v>
      </c>
      <c r="P1468" s="16">
        <f>VLOOKUP(A1468,'[3]Price info'!A:H,8,FALSE)</f>
        <v>15.4</v>
      </c>
      <c r="Q1468" s="17">
        <f t="shared" si="89"/>
        <v>1</v>
      </c>
      <c r="S1468" s="16" t="e">
        <f>VLOOKUP(A1468,[4]Sales!$E:$G,3,FALSE)</f>
        <v>#N/A</v>
      </c>
      <c r="T1468" s="19" t="e">
        <f>VLOOKUP(A1468,[4]Volume!$E:$G,3,FALSE)</f>
        <v>#N/A</v>
      </c>
      <c r="U1468" s="19" t="e">
        <f>VLOOKUP(A1468,[4]Piece!$E:$G,3,FALSE)</f>
        <v>#N/A</v>
      </c>
      <c r="V1468" s="21" t="e">
        <f t="shared" si="90"/>
        <v>#N/A</v>
      </c>
      <c r="W1468" s="16" t="e">
        <f t="shared" si="91"/>
        <v>#N/A</v>
      </c>
    </row>
    <row r="1469" spans="1:23" hidden="1" x14ac:dyDescent="0.3">
      <c r="A1469" s="71" t="s">
        <v>2936</v>
      </c>
      <c r="B1469" s="71" t="s">
        <v>2936</v>
      </c>
      <c r="C1469" s="51" t="s">
        <v>33</v>
      </c>
      <c r="D1469" s="48" t="s">
        <v>34</v>
      </c>
      <c r="E1469" s="18" t="s">
        <v>2937</v>
      </c>
      <c r="F1469" s="24" t="str">
        <f t="shared" si="88"/>
        <v>PPG - EWI   NKU HAMMER 45MM 100 PACK</v>
      </c>
      <c r="G1469" s="20" t="s">
        <v>6340</v>
      </c>
      <c r="H1469" s="49" t="s">
        <v>213</v>
      </c>
      <c r="I1469" s="18" t="s">
        <v>37</v>
      </c>
      <c r="J1469" s="18" t="s">
        <v>38</v>
      </c>
      <c r="K1469" t="s">
        <v>39</v>
      </c>
      <c r="L1469" s="50">
        <f>VLOOKUP(A1469,'[3]Price info'!A:D,4,FALSE)</f>
        <v>12.12</v>
      </c>
      <c r="M1469" s="18" t="s">
        <v>214</v>
      </c>
      <c r="N1469" s="20">
        <v>3105</v>
      </c>
      <c r="P1469" s="16">
        <f>VLOOKUP(A1469,'[3]Price info'!A:H,8,FALSE)</f>
        <v>12.12</v>
      </c>
      <c r="Q1469" s="17">
        <f t="shared" si="89"/>
        <v>1</v>
      </c>
      <c r="S1469" s="16" t="e">
        <f>VLOOKUP(A1469,[4]Sales!$E:$G,3,FALSE)</f>
        <v>#N/A</v>
      </c>
      <c r="T1469" s="19" t="e">
        <f>VLOOKUP(A1469,[4]Volume!$E:$G,3,FALSE)</f>
        <v>#N/A</v>
      </c>
      <c r="U1469" s="19" t="e">
        <f>VLOOKUP(A1469,[4]Piece!$E:$G,3,FALSE)</f>
        <v>#N/A</v>
      </c>
      <c r="V1469" s="21" t="e">
        <f t="shared" si="90"/>
        <v>#N/A</v>
      </c>
      <c r="W1469" s="16" t="e">
        <f t="shared" si="91"/>
        <v>#N/A</v>
      </c>
    </row>
    <row r="1470" spans="1:23" hidden="1" x14ac:dyDescent="0.3">
      <c r="A1470" s="71" t="s">
        <v>2938</v>
      </c>
      <c r="B1470" s="71" t="s">
        <v>2938</v>
      </c>
      <c r="C1470" s="47" t="s">
        <v>33</v>
      </c>
      <c r="D1470" s="48" t="s">
        <v>34</v>
      </c>
      <c r="E1470" s="18" t="s">
        <v>2939</v>
      </c>
      <c r="F1470" s="24" t="str">
        <f t="shared" si="88"/>
        <v>PPG - EWI   PL ANGL BEAD 10MM IVORY 2.5M S/SPI</v>
      </c>
      <c r="G1470" s="20" t="s">
        <v>6341</v>
      </c>
      <c r="H1470" s="49" t="s">
        <v>213</v>
      </c>
      <c r="I1470" s="18" t="s">
        <v>37</v>
      </c>
      <c r="J1470" s="18" t="s">
        <v>38</v>
      </c>
      <c r="K1470" t="s">
        <v>39</v>
      </c>
      <c r="L1470" s="50">
        <f>VLOOKUP(A1470,'[3]Price info'!A:D,4,FALSE)</f>
        <v>3.44</v>
      </c>
      <c r="M1470" s="18" t="s">
        <v>214</v>
      </c>
      <c r="N1470" s="20">
        <v>3105</v>
      </c>
      <c r="P1470" s="16">
        <f>VLOOKUP(A1470,'[3]Price info'!A:H,8,FALSE)</f>
        <v>3.44</v>
      </c>
      <c r="Q1470" s="17">
        <f t="shared" si="89"/>
        <v>1</v>
      </c>
      <c r="S1470" s="16" t="e">
        <f>VLOOKUP(A1470,[4]Sales!$E:$G,3,FALSE)</f>
        <v>#N/A</v>
      </c>
      <c r="T1470" s="19" t="e">
        <f>VLOOKUP(A1470,[4]Volume!$E:$G,3,FALSE)</f>
        <v>#N/A</v>
      </c>
      <c r="U1470" s="19" t="e">
        <f>VLOOKUP(A1470,[4]Piece!$E:$G,3,FALSE)</f>
        <v>#N/A</v>
      </c>
      <c r="V1470" s="21" t="e">
        <f t="shared" si="90"/>
        <v>#N/A</v>
      </c>
      <c r="W1470" s="16" t="e">
        <f t="shared" si="91"/>
        <v>#N/A</v>
      </c>
    </row>
    <row r="1471" spans="1:23" hidden="1" x14ac:dyDescent="0.3">
      <c r="A1471" s="71" t="s">
        <v>2940</v>
      </c>
      <c r="B1471" s="71" t="s">
        <v>2940</v>
      </c>
      <c r="C1471" s="47" t="s">
        <v>33</v>
      </c>
      <c r="D1471" s="48" t="s">
        <v>34</v>
      </c>
      <c r="E1471" s="18" t="s">
        <v>2941</v>
      </c>
      <c r="F1471" s="24" t="str">
        <f t="shared" si="88"/>
        <v>PPG - EWI   PL BELL BEAD 15MM IVORY 2.5M</v>
      </c>
      <c r="G1471" s="20" t="s">
        <v>6342</v>
      </c>
      <c r="H1471" s="49" t="s">
        <v>213</v>
      </c>
      <c r="I1471" s="18" t="s">
        <v>37</v>
      </c>
      <c r="J1471" s="18" t="s">
        <v>38</v>
      </c>
      <c r="K1471" t="s">
        <v>39</v>
      </c>
      <c r="L1471" s="50">
        <f>VLOOKUP(A1471,'[3]Price info'!A:D,4,FALSE)</f>
        <v>3.11</v>
      </c>
      <c r="M1471" s="18" t="s">
        <v>214</v>
      </c>
      <c r="N1471" s="20">
        <v>3105</v>
      </c>
      <c r="P1471" s="16">
        <f>VLOOKUP(A1471,'[3]Price info'!A:H,8,FALSE)</f>
        <v>3.11</v>
      </c>
      <c r="Q1471" s="17">
        <f t="shared" si="89"/>
        <v>1</v>
      </c>
      <c r="S1471" s="16" t="e">
        <f>VLOOKUP(A1471,[4]Sales!$E:$G,3,FALSE)</f>
        <v>#N/A</v>
      </c>
      <c r="T1471" s="19" t="e">
        <f>VLOOKUP(A1471,[4]Volume!$E:$G,3,FALSE)</f>
        <v>#N/A</v>
      </c>
      <c r="U1471" s="19" t="e">
        <f>VLOOKUP(A1471,[4]Piece!$E:$G,3,FALSE)</f>
        <v>#N/A</v>
      </c>
      <c r="V1471" s="21" t="e">
        <f t="shared" si="90"/>
        <v>#N/A</v>
      </c>
      <c r="W1471" s="16" t="e">
        <f t="shared" si="91"/>
        <v>#N/A</v>
      </c>
    </row>
    <row r="1472" spans="1:23" hidden="1" x14ac:dyDescent="0.3">
      <c r="A1472" s="71" t="s">
        <v>2942</v>
      </c>
      <c r="B1472" s="71" t="s">
        <v>2942</v>
      </c>
      <c r="C1472" s="51" t="s">
        <v>33</v>
      </c>
      <c r="D1472" s="48" t="s">
        <v>34</v>
      </c>
      <c r="E1472" s="18" t="s">
        <v>2943</v>
      </c>
      <c r="F1472" s="24" t="str">
        <f t="shared" si="88"/>
        <v>PPG - EWI   PL STOP BEAD 10MM IVORY 2.5M</v>
      </c>
      <c r="G1472" s="20" t="s">
        <v>6343</v>
      </c>
      <c r="H1472" s="49" t="s">
        <v>213</v>
      </c>
      <c r="I1472" s="18" t="s">
        <v>37</v>
      </c>
      <c r="J1472" s="18" t="s">
        <v>38</v>
      </c>
      <c r="K1472" t="s">
        <v>39</v>
      </c>
      <c r="L1472" s="50">
        <f>VLOOKUP(A1472,'[3]Price info'!A:D,4,FALSE)</f>
        <v>2.9</v>
      </c>
      <c r="M1472" s="18" t="s">
        <v>214</v>
      </c>
      <c r="N1472" s="20">
        <v>3105</v>
      </c>
      <c r="P1472" s="16">
        <f>VLOOKUP(A1472,'[3]Price info'!A:H,8,FALSE)</f>
        <v>2.9</v>
      </c>
      <c r="Q1472" s="17">
        <f t="shared" si="89"/>
        <v>1</v>
      </c>
      <c r="S1472" s="16" t="e">
        <f>VLOOKUP(A1472,[4]Sales!$E:$G,3,FALSE)</f>
        <v>#N/A</v>
      </c>
      <c r="T1472" s="19" t="e">
        <f>VLOOKUP(A1472,[4]Volume!$E:$G,3,FALSE)</f>
        <v>#N/A</v>
      </c>
      <c r="U1472" s="19" t="e">
        <f>VLOOKUP(A1472,[4]Piece!$E:$G,3,FALSE)</f>
        <v>#N/A</v>
      </c>
      <c r="V1472" s="21" t="e">
        <f t="shared" si="90"/>
        <v>#N/A</v>
      </c>
      <c r="W1472" s="16" t="e">
        <f t="shared" si="91"/>
        <v>#N/A</v>
      </c>
    </row>
    <row r="1473" spans="1:23" hidden="1" x14ac:dyDescent="0.3">
      <c r="A1473" s="71" t="s">
        <v>2944</v>
      </c>
      <c r="B1473" s="71" t="s">
        <v>2944</v>
      </c>
      <c r="C1473" s="47" t="s">
        <v>33</v>
      </c>
      <c r="D1473" s="48" t="s">
        <v>34</v>
      </c>
      <c r="E1473" s="18" t="s">
        <v>2945</v>
      </c>
      <c r="F1473" s="24" t="str">
        <f t="shared" si="88"/>
        <v>PPG - EWI   PLAS EX BEAD 10MM IVORY 2.5M</v>
      </c>
      <c r="G1473" s="20" t="s">
        <v>6344</v>
      </c>
      <c r="H1473" s="49" t="s">
        <v>213</v>
      </c>
      <c r="I1473" s="18" t="s">
        <v>37</v>
      </c>
      <c r="J1473" s="18" t="s">
        <v>38</v>
      </c>
      <c r="K1473" t="s">
        <v>39</v>
      </c>
      <c r="L1473" s="50">
        <f>VLOOKUP(A1473,'[3]Price info'!A:D,4,FALSE)</f>
        <v>6.44</v>
      </c>
      <c r="M1473" s="18" t="s">
        <v>214</v>
      </c>
      <c r="N1473" s="20">
        <v>3105</v>
      </c>
      <c r="P1473" s="16">
        <f>VLOOKUP(A1473,'[3]Price info'!A:H,8,FALSE)</f>
        <v>6.44</v>
      </c>
      <c r="Q1473" s="17">
        <f t="shared" si="89"/>
        <v>1</v>
      </c>
      <c r="S1473" s="16" t="e">
        <f>VLOOKUP(A1473,[4]Sales!$E:$G,3,FALSE)</f>
        <v>#N/A</v>
      </c>
      <c r="T1473" s="19" t="e">
        <f>VLOOKUP(A1473,[4]Volume!$E:$G,3,FALSE)</f>
        <v>#N/A</v>
      </c>
      <c r="U1473" s="19" t="e">
        <f>VLOOKUP(A1473,[4]Piece!$E:$G,3,FALSE)</f>
        <v>#N/A</v>
      </c>
      <c r="V1473" s="21" t="e">
        <f t="shared" si="90"/>
        <v>#N/A</v>
      </c>
      <c r="W1473" s="16" t="e">
        <f t="shared" si="91"/>
        <v>#N/A</v>
      </c>
    </row>
    <row r="1474" spans="1:23" hidden="1" x14ac:dyDescent="0.3">
      <c r="A1474" s="71" t="s">
        <v>2946</v>
      </c>
      <c r="B1474" s="71" t="s">
        <v>2946</v>
      </c>
      <c r="C1474" s="47" t="s">
        <v>33</v>
      </c>
      <c r="D1474" s="48" t="s">
        <v>34</v>
      </c>
      <c r="E1474" s="18" t="s">
        <v>2947</v>
      </c>
      <c r="F1474" s="24" t="str">
        <f t="shared" si="88"/>
        <v>PPG - EWI   POINTING MORTAR CHARCOAL 25KG</v>
      </c>
      <c r="G1474" s="20" t="s">
        <v>6345</v>
      </c>
      <c r="H1474" s="49" t="s">
        <v>213</v>
      </c>
      <c r="I1474" s="18" t="s">
        <v>37</v>
      </c>
      <c r="J1474" s="18" t="s">
        <v>38</v>
      </c>
      <c r="K1474" t="s">
        <v>39</v>
      </c>
      <c r="L1474" s="50">
        <f>VLOOKUP(A1474,'[3]Price info'!A:D,4,FALSE)</f>
        <v>17.329999999999998</v>
      </c>
      <c r="M1474" s="18" t="s">
        <v>214</v>
      </c>
      <c r="N1474" s="20">
        <v>3105</v>
      </c>
      <c r="P1474" s="16">
        <f>VLOOKUP(A1474,'[3]Price info'!A:H,8,FALSE)</f>
        <v>17.329999999999998</v>
      </c>
      <c r="Q1474" s="17">
        <f t="shared" si="89"/>
        <v>1</v>
      </c>
      <c r="S1474" s="16" t="e">
        <f>VLOOKUP(A1474,[4]Sales!$E:$G,3,FALSE)</f>
        <v>#N/A</v>
      </c>
      <c r="T1474" s="19" t="e">
        <f>VLOOKUP(A1474,[4]Volume!$E:$G,3,FALSE)</f>
        <v>#N/A</v>
      </c>
      <c r="U1474" s="19" t="e">
        <f>VLOOKUP(A1474,[4]Piece!$E:$G,3,FALSE)</f>
        <v>#N/A</v>
      </c>
      <c r="V1474" s="21" t="e">
        <f t="shared" si="90"/>
        <v>#N/A</v>
      </c>
      <c r="W1474" s="16" t="e">
        <f t="shared" si="91"/>
        <v>#N/A</v>
      </c>
    </row>
    <row r="1475" spans="1:23" hidden="1" x14ac:dyDescent="0.3">
      <c r="A1475" s="71" t="s">
        <v>2948</v>
      </c>
      <c r="B1475" s="71" t="s">
        <v>2948</v>
      </c>
      <c r="C1475" s="51" t="s">
        <v>33</v>
      </c>
      <c r="D1475" s="48" t="s">
        <v>34</v>
      </c>
      <c r="E1475" s="18" t="s">
        <v>2949</v>
      </c>
      <c r="F1475" s="24" t="str">
        <f t="shared" ref="F1475:F1538" si="92">D1475&amp;" - "&amp;E1475</f>
        <v>PPG - EWI   POINTING MORTAR DARK GREY 25KG</v>
      </c>
      <c r="G1475" s="20" t="s">
        <v>6346</v>
      </c>
      <c r="H1475" s="49" t="s">
        <v>213</v>
      </c>
      <c r="I1475" s="18" t="s">
        <v>37</v>
      </c>
      <c r="J1475" s="18" t="s">
        <v>38</v>
      </c>
      <c r="K1475" t="s">
        <v>39</v>
      </c>
      <c r="L1475" s="50">
        <f>VLOOKUP(A1475,'[3]Price info'!A:D,4,FALSE)</f>
        <v>17.329999999999998</v>
      </c>
      <c r="M1475" s="18" t="s">
        <v>214</v>
      </c>
      <c r="N1475" s="20">
        <v>3105</v>
      </c>
      <c r="P1475" s="16">
        <f>VLOOKUP(A1475,'[3]Price info'!A:H,8,FALSE)</f>
        <v>17.329999999999998</v>
      </c>
      <c r="Q1475" s="17">
        <f t="shared" ref="Q1475:Q1538" si="93">P1475/L1475</f>
        <v>1</v>
      </c>
      <c r="S1475" s="16" t="e">
        <f>VLOOKUP(A1475,[4]Sales!$E:$G,3,FALSE)</f>
        <v>#N/A</v>
      </c>
      <c r="T1475" s="19" t="e">
        <f>VLOOKUP(A1475,[4]Volume!$E:$G,3,FALSE)</f>
        <v>#N/A</v>
      </c>
      <c r="U1475" s="19" t="e">
        <f>VLOOKUP(A1475,[4]Piece!$E:$G,3,FALSE)</f>
        <v>#N/A</v>
      </c>
      <c r="V1475" s="21" t="e">
        <f t="shared" ref="V1475:V1538" si="94">U1475*P1475</f>
        <v>#N/A</v>
      </c>
      <c r="W1475" s="16" t="e">
        <f t="shared" ref="W1475:W1538" si="95">V1475-S1475</f>
        <v>#N/A</v>
      </c>
    </row>
    <row r="1476" spans="1:23" hidden="1" x14ac:dyDescent="0.3">
      <c r="A1476" s="71" t="s">
        <v>2950</v>
      </c>
      <c r="B1476" s="71" t="s">
        <v>2950</v>
      </c>
      <c r="C1476" s="47" t="s">
        <v>33</v>
      </c>
      <c r="D1476" s="48" t="s">
        <v>34</v>
      </c>
      <c r="E1476" s="18" t="s">
        <v>2951</v>
      </c>
      <c r="F1476" s="24" t="str">
        <f t="shared" si="92"/>
        <v>PPG - EWI   POINTING MORTAR NATURAL GREY 25KG</v>
      </c>
      <c r="G1476" s="20" t="s">
        <v>6347</v>
      </c>
      <c r="H1476" s="49" t="s">
        <v>213</v>
      </c>
      <c r="I1476" s="18" t="s">
        <v>37</v>
      </c>
      <c r="J1476" s="18" t="s">
        <v>38</v>
      </c>
      <c r="K1476" t="s">
        <v>39</v>
      </c>
      <c r="L1476" s="50">
        <f>VLOOKUP(A1476,'[3]Price info'!A:D,4,FALSE)</f>
        <v>17.329999999999998</v>
      </c>
      <c r="M1476" s="18" t="s">
        <v>214</v>
      </c>
      <c r="N1476" s="20">
        <v>3105</v>
      </c>
      <c r="P1476" s="16">
        <f>VLOOKUP(A1476,'[3]Price info'!A:H,8,FALSE)</f>
        <v>17.329999999999998</v>
      </c>
      <c r="Q1476" s="17">
        <f t="shared" si="93"/>
        <v>1</v>
      </c>
      <c r="S1476" s="16" t="e">
        <f>VLOOKUP(A1476,[4]Sales!$E:$G,3,FALSE)</f>
        <v>#N/A</v>
      </c>
      <c r="T1476" s="19" t="e">
        <f>VLOOKUP(A1476,[4]Volume!$E:$G,3,FALSE)</f>
        <v>#N/A</v>
      </c>
      <c r="U1476" s="19" t="e">
        <f>VLOOKUP(A1476,[4]Piece!$E:$G,3,FALSE)</f>
        <v>#N/A</v>
      </c>
      <c r="V1476" s="21" t="e">
        <f t="shared" si="94"/>
        <v>#N/A</v>
      </c>
      <c r="W1476" s="16" t="e">
        <f t="shared" si="95"/>
        <v>#N/A</v>
      </c>
    </row>
    <row r="1477" spans="1:23" hidden="1" x14ac:dyDescent="0.3">
      <c r="A1477" s="71" t="s">
        <v>2952</v>
      </c>
      <c r="B1477" s="71" t="s">
        <v>2952</v>
      </c>
      <c r="C1477" s="47" t="s">
        <v>33</v>
      </c>
      <c r="D1477" s="48" t="s">
        <v>34</v>
      </c>
      <c r="E1477" s="18" t="s">
        <v>2953</v>
      </c>
      <c r="F1477" s="24" t="str">
        <f t="shared" si="92"/>
        <v>PPG - EWI   POINTING MORTOR CLASSIC 25KG</v>
      </c>
      <c r="G1477" s="20" t="s">
        <v>6348</v>
      </c>
      <c r="H1477" s="49" t="s">
        <v>213</v>
      </c>
      <c r="I1477" s="18" t="s">
        <v>37</v>
      </c>
      <c r="J1477" s="18" t="s">
        <v>38</v>
      </c>
      <c r="K1477" t="s">
        <v>39</v>
      </c>
      <c r="L1477" s="50">
        <f>VLOOKUP(A1477,'[3]Price info'!A:D,4,FALSE)</f>
        <v>17.329999999999998</v>
      </c>
      <c r="M1477" s="18" t="s">
        <v>214</v>
      </c>
      <c r="N1477" s="20">
        <v>3105</v>
      </c>
      <c r="P1477" s="16">
        <f>VLOOKUP(A1477,'[3]Price info'!A:H,8,FALSE)</f>
        <v>17.329999999999998</v>
      </c>
      <c r="Q1477" s="17">
        <f t="shared" si="93"/>
        <v>1</v>
      </c>
      <c r="S1477" s="16" t="e">
        <f>VLOOKUP(A1477,[4]Sales!$E:$G,3,FALSE)</f>
        <v>#N/A</v>
      </c>
      <c r="T1477" s="19" t="e">
        <f>VLOOKUP(A1477,[4]Volume!$E:$G,3,FALSE)</f>
        <v>#N/A</v>
      </c>
      <c r="U1477" s="19" t="e">
        <f>VLOOKUP(A1477,[4]Piece!$E:$G,3,FALSE)</f>
        <v>#N/A</v>
      </c>
      <c r="V1477" s="21" t="e">
        <f t="shared" si="94"/>
        <v>#N/A</v>
      </c>
      <c r="W1477" s="16" t="e">
        <f t="shared" si="95"/>
        <v>#N/A</v>
      </c>
    </row>
    <row r="1478" spans="1:23" hidden="1" x14ac:dyDescent="0.3">
      <c r="A1478" s="71" t="s">
        <v>2954</v>
      </c>
      <c r="B1478" s="71" t="s">
        <v>2954</v>
      </c>
      <c r="C1478" s="51" t="s">
        <v>33</v>
      </c>
      <c r="D1478" s="48" t="s">
        <v>34</v>
      </c>
      <c r="E1478" s="18" t="s">
        <v>2955</v>
      </c>
      <c r="F1478" s="24" t="str">
        <f t="shared" si="92"/>
        <v>PPG - EWI   POLE &amp; SEAM  TAPE 25MT  PHS</v>
      </c>
      <c r="G1478" s="20" t="s">
        <v>6349</v>
      </c>
      <c r="H1478" s="49" t="s">
        <v>213</v>
      </c>
      <c r="I1478" s="18" t="s">
        <v>37</v>
      </c>
      <c r="J1478" s="18" t="s">
        <v>38</v>
      </c>
      <c r="K1478" t="s">
        <v>39</v>
      </c>
      <c r="L1478" s="50">
        <f>VLOOKUP(A1478,'[3]Price info'!A:D,4,FALSE)</f>
        <v>3.86</v>
      </c>
      <c r="M1478" s="18" t="s">
        <v>214</v>
      </c>
      <c r="N1478" s="20">
        <v>3105</v>
      </c>
      <c r="P1478" s="16">
        <f>VLOOKUP(A1478,'[3]Price info'!A:H,8,FALSE)</f>
        <v>3.86</v>
      </c>
      <c r="Q1478" s="17">
        <f t="shared" si="93"/>
        <v>1</v>
      </c>
      <c r="S1478" s="16" t="e">
        <f>VLOOKUP(A1478,[4]Sales!$E:$G,3,FALSE)</f>
        <v>#N/A</v>
      </c>
      <c r="T1478" s="19" t="e">
        <f>VLOOKUP(A1478,[4]Volume!$E:$G,3,FALSE)</f>
        <v>#N/A</v>
      </c>
      <c r="U1478" s="19" t="e">
        <f>VLOOKUP(A1478,[4]Piece!$E:$G,3,FALSE)</f>
        <v>#N/A</v>
      </c>
      <c r="V1478" s="21" t="e">
        <f t="shared" si="94"/>
        <v>#N/A</v>
      </c>
      <c r="W1478" s="16" t="e">
        <f t="shared" si="95"/>
        <v>#N/A</v>
      </c>
    </row>
    <row r="1479" spans="1:23" hidden="1" x14ac:dyDescent="0.3">
      <c r="A1479" s="71" t="s">
        <v>2956</v>
      </c>
      <c r="B1479" s="71" t="s">
        <v>2956</v>
      </c>
      <c r="C1479" s="47" t="s">
        <v>33</v>
      </c>
      <c r="D1479" s="48" t="s">
        <v>34</v>
      </c>
      <c r="E1479" s="18" t="s">
        <v>2957</v>
      </c>
      <c r="F1479" s="24" t="str">
        <f t="shared" si="92"/>
        <v>PPG - EWI   PU FOAM      CLEANER    0000000500</v>
      </c>
      <c r="G1479" s="20" t="s">
        <v>6350</v>
      </c>
      <c r="H1479" s="49" t="s">
        <v>213</v>
      </c>
      <c r="I1479" s="18" t="s">
        <v>37</v>
      </c>
      <c r="J1479" s="18" t="s">
        <v>38</v>
      </c>
      <c r="K1479" t="s">
        <v>39</v>
      </c>
      <c r="L1479" s="50">
        <f>VLOOKUP(A1479,'[3]Price info'!A:D,4,FALSE)</f>
        <v>4.5999999999999996</v>
      </c>
      <c r="M1479" s="18" t="s">
        <v>214</v>
      </c>
      <c r="N1479" s="20">
        <v>3105</v>
      </c>
      <c r="P1479" s="16">
        <f>VLOOKUP(A1479,'[3]Price info'!A:H,8,FALSE)</f>
        <v>4.5999999999999996</v>
      </c>
      <c r="Q1479" s="17">
        <f t="shared" si="93"/>
        <v>1</v>
      </c>
      <c r="S1479" s="16" t="e">
        <f>VLOOKUP(A1479,[4]Sales!$E:$G,3,FALSE)</f>
        <v>#N/A</v>
      </c>
      <c r="T1479" s="19" t="e">
        <f>VLOOKUP(A1479,[4]Volume!$E:$G,3,FALSE)</f>
        <v>#N/A</v>
      </c>
      <c r="U1479" s="19" t="e">
        <f>VLOOKUP(A1479,[4]Piece!$E:$G,3,FALSE)</f>
        <v>#N/A</v>
      </c>
      <c r="V1479" s="21" t="e">
        <f t="shared" si="94"/>
        <v>#N/A</v>
      </c>
      <c r="W1479" s="16" t="e">
        <f t="shared" si="95"/>
        <v>#N/A</v>
      </c>
    </row>
    <row r="1480" spans="1:23" hidden="1" x14ac:dyDescent="0.3">
      <c r="A1480" s="71" t="s">
        <v>2958</v>
      </c>
      <c r="B1480" s="71" t="s">
        <v>2958</v>
      </c>
      <c r="C1480" s="47" t="s">
        <v>33</v>
      </c>
      <c r="D1480" s="48" t="s">
        <v>34</v>
      </c>
      <c r="E1480" s="18" t="s">
        <v>2959</v>
      </c>
      <c r="F1480" s="24" t="str">
        <f t="shared" si="92"/>
        <v>PPG - EWI   QUICK SET ADDITIVE 250ML*20</v>
      </c>
      <c r="G1480" s="20" t="s">
        <v>6351</v>
      </c>
      <c r="H1480" s="49" t="s">
        <v>213</v>
      </c>
      <c r="I1480" s="18" t="s">
        <v>37</v>
      </c>
      <c r="J1480" s="18" t="s">
        <v>38</v>
      </c>
      <c r="K1480" t="s">
        <v>39</v>
      </c>
      <c r="L1480" s="50">
        <f>VLOOKUP(A1480,'[3]Price info'!A:D,4,FALSE)</f>
        <v>197.37</v>
      </c>
      <c r="M1480" s="18" t="s">
        <v>214</v>
      </c>
      <c r="N1480" s="20">
        <v>3105</v>
      </c>
      <c r="P1480" s="16">
        <f>VLOOKUP(A1480,'[3]Price info'!A:H,8,FALSE)</f>
        <v>197.37</v>
      </c>
      <c r="Q1480" s="17">
        <f t="shared" si="93"/>
        <v>1</v>
      </c>
      <c r="S1480" s="16" t="e">
        <f>VLOOKUP(A1480,[4]Sales!$E:$G,3,FALSE)</f>
        <v>#N/A</v>
      </c>
      <c r="T1480" s="19" t="e">
        <f>VLOOKUP(A1480,[4]Volume!$E:$G,3,FALSE)</f>
        <v>#N/A</v>
      </c>
      <c r="U1480" s="19" t="e">
        <f>VLOOKUP(A1480,[4]Piece!$E:$G,3,FALSE)</f>
        <v>#N/A</v>
      </c>
      <c r="V1480" s="21" t="e">
        <f t="shared" si="94"/>
        <v>#N/A</v>
      </c>
      <c r="W1480" s="16" t="e">
        <f t="shared" si="95"/>
        <v>#N/A</v>
      </c>
    </row>
    <row r="1481" spans="1:23" hidden="1" x14ac:dyDescent="0.3">
      <c r="A1481" s="71" t="s">
        <v>2960</v>
      </c>
      <c r="B1481" s="71" t="s">
        <v>2960</v>
      </c>
      <c r="C1481" s="51" t="s">
        <v>33</v>
      </c>
      <c r="D1481" s="48" t="s">
        <v>34</v>
      </c>
      <c r="E1481" s="18" t="s">
        <v>2961</v>
      </c>
      <c r="F1481" s="24" t="str">
        <f t="shared" si="92"/>
        <v>PPG - EWI   RECYCLING BAG CLEAR *150*</v>
      </c>
      <c r="G1481" s="20" t="s">
        <v>6352</v>
      </c>
      <c r="H1481" s="49" t="s">
        <v>213</v>
      </c>
      <c r="I1481" s="18" t="s">
        <v>37</v>
      </c>
      <c r="J1481" s="18" t="s">
        <v>38</v>
      </c>
      <c r="K1481" t="s">
        <v>39</v>
      </c>
      <c r="L1481" s="50">
        <f>VLOOKUP(A1481,'[3]Price info'!A:D,4,FALSE)</f>
        <v>160.44999999999999</v>
      </c>
      <c r="M1481" s="18" t="s">
        <v>214</v>
      </c>
      <c r="N1481" s="20">
        <v>3105</v>
      </c>
      <c r="P1481" s="16">
        <f>VLOOKUP(A1481,'[3]Price info'!A:H,8,FALSE)</f>
        <v>160.44999999999999</v>
      </c>
      <c r="Q1481" s="17">
        <f t="shared" si="93"/>
        <v>1</v>
      </c>
      <c r="S1481" s="16" t="e">
        <f>VLOOKUP(A1481,[4]Sales!$E:$G,3,FALSE)</f>
        <v>#N/A</v>
      </c>
      <c r="T1481" s="19" t="e">
        <f>VLOOKUP(A1481,[4]Volume!$E:$G,3,FALSE)</f>
        <v>#N/A</v>
      </c>
      <c r="U1481" s="19" t="e">
        <f>VLOOKUP(A1481,[4]Piece!$E:$G,3,FALSE)</f>
        <v>#N/A</v>
      </c>
      <c r="V1481" s="21" t="e">
        <f t="shared" si="94"/>
        <v>#N/A</v>
      </c>
      <c r="W1481" s="16" t="e">
        <f t="shared" si="95"/>
        <v>#N/A</v>
      </c>
    </row>
    <row r="1482" spans="1:23" hidden="1" x14ac:dyDescent="0.3">
      <c r="A1482" s="71" t="s">
        <v>2962</v>
      </c>
      <c r="B1482" s="71" t="s">
        <v>2962</v>
      </c>
      <c r="C1482" s="47" t="s">
        <v>33</v>
      </c>
      <c r="D1482" s="48" t="s">
        <v>34</v>
      </c>
      <c r="E1482" s="18" t="s">
        <v>2963</v>
      </c>
      <c r="F1482" s="24" t="str">
        <f t="shared" si="92"/>
        <v>PPG - EWI   ROCKWOOL 110MM 1200 X 600 MM</v>
      </c>
      <c r="G1482" s="20" t="s">
        <v>6353</v>
      </c>
      <c r="H1482" s="49" t="s">
        <v>213</v>
      </c>
      <c r="I1482" s="18" t="s">
        <v>37</v>
      </c>
      <c r="J1482" s="18" t="s">
        <v>38</v>
      </c>
      <c r="K1482" t="s">
        <v>39</v>
      </c>
      <c r="L1482" s="50">
        <f>VLOOKUP(A1482,'[3]Price info'!A:D,4,FALSE)</f>
        <v>15.46</v>
      </c>
      <c r="M1482" s="18" t="s">
        <v>214</v>
      </c>
      <c r="N1482" s="20">
        <v>3105</v>
      </c>
      <c r="P1482" s="16">
        <f>VLOOKUP(A1482,'[3]Price info'!A:H,8,FALSE)</f>
        <v>15.46</v>
      </c>
      <c r="Q1482" s="17">
        <f t="shared" si="93"/>
        <v>1</v>
      </c>
      <c r="S1482" s="16" t="e">
        <f>VLOOKUP(A1482,[4]Sales!$E:$G,3,FALSE)</f>
        <v>#N/A</v>
      </c>
      <c r="T1482" s="19" t="e">
        <f>VLOOKUP(A1482,[4]Volume!$E:$G,3,FALSE)</f>
        <v>#N/A</v>
      </c>
      <c r="U1482" s="19" t="e">
        <f>VLOOKUP(A1482,[4]Piece!$E:$G,3,FALSE)</f>
        <v>#N/A</v>
      </c>
      <c r="V1482" s="21" t="e">
        <f t="shared" si="94"/>
        <v>#N/A</v>
      </c>
      <c r="W1482" s="16" t="e">
        <f t="shared" si="95"/>
        <v>#N/A</v>
      </c>
    </row>
    <row r="1483" spans="1:23" hidden="1" x14ac:dyDescent="0.3">
      <c r="A1483" s="71" t="s">
        <v>2964</v>
      </c>
      <c r="B1483" s="71" t="s">
        <v>2964</v>
      </c>
      <c r="C1483" s="47" t="s">
        <v>33</v>
      </c>
      <c r="D1483" s="48" t="s">
        <v>34</v>
      </c>
      <c r="E1483" s="18" t="s">
        <v>2965</v>
      </c>
      <c r="F1483" s="24" t="str">
        <f t="shared" si="92"/>
        <v>PPG - EWI   ROCKWOOL 120MM 1200 X 600 MM</v>
      </c>
      <c r="G1483" s="20" t="s">
        <v>6354</v>
      </c>
      <c r="H1483" s="49" t="s">
        <v>213</v>
      </c>
      <c r="I1483" s="18" t="s">
        <v>37</v>
      </c>
      <c r="J1483" s="18" t="s">
        <v>38</v>
      </c>
      <c r="K1483" t="s">
        <v>39</v>
      </c>
      <c r="L1483" s="50">
        <f>VLOOKUP(A1483,'[3]Price info'!A:D,4,FALSE)</f>
        <v>16.87</v>
      </c>
      <c r="M1483" s="18" t="s">
        <v>214</v>
      </c>
      <c r="N1483" s="20">
        <v>3105</v>
      </c>
      <c r="P1483" s="16">
        <f>VLOOKUP(A1483,'[3]Price info'!A:H,8,FALSE)</f>
        <v>16.87</v>
      </c>
      <c r="Q1483" s="17">
        <f t="shared" si="93"/>
        <v>1</v>
      </c>
      <c r="S1483" s="16" t="e">
        <f>VLOOKUP(A1483,[4]Sales!$E:$G,3,FALSE)</f>
        <v>#N/A</v>
      </c>
      <c r="T1483" s="19" t="e">
        <f>VLOOKUP(A1483,[4]Volume!$E:$G,3,FALSE)</f>
        <v>#N/A</v>
      </c>
      <c r="U1483" s="19" t="e">
        <f>VLOOKUP(A1483,[4]Piece!$E:$G,3,FALSE)</f>
        <v>#N/A</v>
      </c>
      <c r="V1483" s="21" t="e">
        <f t="shared" si="94"/>
        <v>#N/A</v>
      </c>
      <c r="W1483" s="16" t="e">
        <f t="shared" si="95"/>
        <v>#N/A</v>
      </c>
    </row>
    <row r="1484" spans="1:23" hidden="1" x14ac:dyDescent="0.3">
      <c r="A1484" s="71" t="s">
        <v>2966</v>
      </c>
      <c r="B1484" s="71" t="s">
        <v>2966</v>
      </c>
      <c r="C1484" s="51" t="s">
        <v>33</v>
      </c>
      <c r="D1484" s="48" t="s">
        <v>34</v>
      </c>
      <c r="E1484" s="18" t="s">
        <v>2967</v>
      </c>
      <c r="F1484" s="24" t="str">
        <f t="shared" si="92"/>
        <v>PPG - EWI   ROCKWOOL 180MM 1200 X 600 MM</v>
      </c>
      <c r="G1484" s="20" t="s">
        <v>6355</v>
      </c>
      <c r="H1484" s="49" t="s">
        <v>213</v>
      </c>
      <c r="I1484" s="18" t="s">
        <v>37</v>
      </c>
      <c r="J1484" s="18" t="s">
        <v>38</v>
      </c>
      <c r="K1484" t="s">
        <v>39</v>
      </c>
      <c r="L1484" s="50">
        <f>VLOOKUP(A1484,'[3]Price info'!A:D,4,FALSE)</f>
        <v>25.31</v>
      </c>
      <c r="M1484" s="18" t="s">
        <v>214</v>
      </c>
      <c r="N1484" s="20">
        <v>3105</v>
      </c>
      <c r="P1484" s="16">
        <f>VLOOKUP(A1484,'[3]Price info'!A:H,8,FALSE)</f>
        <v>25.31</v>
      </c>
      <c r="Q1484" s="17">
        <f t="shared" si="93"/>
        <v>1</v>
      </c>
      <c r="S1484" s="16" t="e">
        <f>VLOOKUP(A1484,[4]Sales!$E:$G,3,FALSE)</f>
        <v>#N/A</v>
      </c>
      <c r="T1484" s="19" t="e">
        <f>VLOOKUP(A1484,[4]Volume!$E:$G,3,FALSE)</f>
        <v>#N/A</v>
      </c>
      <c r="U1484" s="19" t="e">
        <f>VLOOKUP(A1484,[4]Piece!$E:$G,3,FALSE)</f>
        <v>#N/A</v>
      </c>
      <c r="V1484" s="21" t="e">
        <f t="shared" si="94"/>
        <v>#N/A</v>
      </c>
      <c r="W1484" s="16" t="e">
        <f t="shared" si="95"/>
        <v>#N/A</v>
      </c>
    </row>
    <row r="1485" spans="1:23" hidden="1" x14ac:dyDescent="0.3">
      <c r="A1485" s="71" t="s">
        <v>2968</v>
      </c>
      <c r="B1485" s="71" t="s">
        <v>2968</v>
      </c>
      <c r="C1485" s="47" t="s">
        <v>33</v>
      </c>
      <c r="D1485" s="48" t="s">
        <v>34</v>
      </c>
      <c r="E1485" s="18" t="s">
        <v>2969</v>
      </c>
      <c r="F1485" s="24" t="str">
        <f t="shared" si="92"/>
        <v>PPG - EWI   ROCKWOOL 60MM 1200 X 600 MM</v>
      </c>
      <c r="G1485" s="20" t="s">
        <v>6356</v>
      </c>
      <c r="H1485" s="49" t="s">
        <v>213</v>
      </c>
      <c r="I1485" s="18" t="s">
        <v>37</v>
      </c>
      <c r="J1485" s="18" t="s">
        <v>38</v>
      </c>
      <c r="K1485" t="s">
        <v>39</v>
      </c>
      <c r="L1485" s="50">
        <f>VLOOKUP(A1485,'[3]Price info'!A:D,4,FALSE)</f>
        <v>8.39</v>
      </c>
      <c r="M1485" s="18" t="s">
        <v>214</v>
      </c>
      <c r="N1485" s="20">
        <v>3105</v>
      </c>
      <c r="P1485" s="16">
        <f>VLOOKUP(A1485,'[3]Price info'!A:H,8,FALSE)</f>
        <v>8.39</v>
      </c>
      <c r="Q1485" s="17">
        <f t="shared" si="93"/>
        <v>1</v>
      </c>
      <c r="S1485" s="16" t="e">
        <f>VLOOKUP(A1485,[4]Sales!$E:$G,3,FALSE)</f>
        <v>#N/A</v>
      </c>
      <c r="T1485" s="19" t="e">
        <f>VLOOKUP(A1485,[4]Volume!$E:$G,3,FALSE)</f>
        <v>#N/A</v>
      </c>
      <c r="U1485" s="19" t="e">
        <f>VLOOKUP(A1485,[4]Piece!$E:$G,3,FALSE)</f>
        <v>#N/A</v>
      </c>
      <c r="V1485" s="21" t="e">
        <f t="shared" si="94"/>
        <v>#N/A</v>
      </c>
      <c r="W1485" s="16" t="e">
        <f t="shared" si="95"/>
        <v>#N/A</v>
      </c>
    </row>
    <row r="1486" spans="1:23" hidden="1" x14ac:dyDescent="0.3">
      <c r="A1486" s="71" t="s">
        <v>2970</v>
      </c>
      <c r="B1486" s="71" t="s">
        <v>2970</v>
      </c>
      <c r="C1486" s="47" t="s">
        <v>33</v>
      </c>
      <c r="D1486" s="48" t="s">
        <v>34</v>
      </c>
      <c r="E1486" s="18" t="s">
        <v>2971</v>
      </c>
      <c r="F1486" s="24" t="str">
        <f t="shared" si="92"/>
        <v>PPG - EWI   ROCKWOOL 70MM 1200 X 600 MM</v>
      </c>
      <c r="G1486" s="20" t="s">
        <v>6357</v>
      </c>
      <c r="H1486" s="49" t="s">
        <v>213</v>
      </c>
      <c r="I1486" s="18" t="s">
        <v>37</v>
      </c>
      <c r="J1486" s="18" t="s">
        <v>38</v>
      </c>
      <c r="K1486" t="s">
        <v>39</v>
      </c>
      <c r="L1486" s="50">
        <f>VLOOKUP(A1486,'[3]Price info'!A:D,4,FALSE)</f>
        <v>9.84</v>
      </c>
      <c r="M1486" s="18" t="s">
        <v>214</v>
      </c>
      <c r="N1486" s="20">
        <v>3105</v>
      </c>
      <c r="P1486" s="16">
        <f>VLOOKUP(A1486,'[3]Price info'!A:H,8,FALSE)</f>
        <v>9.84</v>
      </c>
      <c r="Q1486" s="17">
        <f t="shared" si="93"/>
        <v>1</v>
      </c>
      <c r="S1486" s="16" t="e">
        <f>VLOOKUP(A1486,[4]Sales!$E:$G,3,FALSE)</f>
        <v>#N/A</v>
      </c>
      <c r="T1486" s="19" t="e">
        <f>VLOOKUP(A1486,[4]Volume!$E:$G,3,FALSE)</f>
        <v>#N/A</v>
      </c>
      <c r="U1486" s="19" t="e">
        <f>VLOOKUP(A1486,[4]Piece!$E:$G,3,FALSE)</f>
        <v>#N/A</v>
      </c>
      <c r="V1486" s="21" t="e">
        <f t="shared" si="94"/>
        <v>#N/A</v>
      </c>
      <c r="W1486" s="16" t="e">
        <f t="shared" si="95"/>
        <v>#N/A</v>
      </c>
    </row>
    <row r="1487" spans="1:23" hidden="1" x14ac:dyDescent="0.3">
      <c r="A1487" s="71" t="s">
        <v>2972</v>
      </c>
      <c r="B1487" s="71" t="s">
        <v>2972</v>
      </c>
      <c r="C1487" s="51" t="s">
        <v>33</v>
      </c>
      <c r="D1487" s="48" t="s">
        <v>34</v>
      </c>
      <c r="E1487" s="18" t="s">
        <v>2973</v>
      </c>
      <c r="F1487" s="24" t="str">
        <f t="shared" si="92"/>
        <v>PPG - EWI   S/S MINERAL  COUNTY CRM THIN COAT</v>
      </c>
      <c r="G1487" s="20" t="s">
        <v>6358</v>
      </c>
      <c r="H1487" s="49" t="s">
        <v>213</v>
      </c>
      <c r="I1487" s="18" t="s">
        <v>37</v>
      </c>
      <c r="J1487" s="18" t="s">
        <v>38</v>
      </c>
      <c r="K1487" t="s">
        <v>39</v>
      </c>
      <c r="L1487" s="50">
        <f>VLOOKUP(A1487,'[3]Price info'!A:D,4,FALSE)</f>
        <v>52.95</v>
      </c>
      <c r="M1487" s="18" t="s">
        <v>214</v>
      </c>
      <c r="N1487" s="20">
        <v>3105</v>
      </c>
      <c r="P1487" s="16">
        <f>VLOOKUP(A1487,'[3]Price info'!A:H,8,FALSE)</f>
        <v>52.95</v>
      </c>
      <c r="Q1487" s="17">
        <f t="shared" si="93"/>
        <v>1</v>
      </c>
      <c r="S1487" s="16" t="e">
        <f>VLOOKUP(A1487,[4]Sales!$E:$G,3,FALSE)</f>
        <v>#N/A</v>
      </c>
      <c r="T1487" s="19" t="e">
        <f>VLOOKUP(A1487,[4]Volume!$E:$G,3,FALSE)</f>
        <v>#N/A</v>
      </c>
      <c r="U1487" s="19" t="e">
        <f>VLOOKUP(A1487,[4]Piece!$E:$G,3,FALSE)</f>
        <v>#N/A</v>
      </c>
      <c r="V1487" s="21" t="e">
        <f t="shared" si="94"/>
        <v>#N/A</v>
      </c>
      <c r="W1487" s="16" t="e">
        <f t="shared" si="95"/>
        <v>#N/A</v>
      </c>
    </row>
    <row r="1488" spans="1:23" hidden="1" x14ac:dyDescent="0.3">
      <c r="A1488" s="71" t="s">
        <v>2974</v>
      </c>
      <c r="B1488" s="71" t="s">
        <v>2974</v>
      </c>
      <c r="C1488" s="47" t="s">
        <v>33</v>
      </c>
      <c r="D1488" s="48" t="s">
        <v>34</v>
      </c>
      <c r="E1488" s="18" t="s">
        <v>2975</v>
      </c>
      <c r="F1488" s="24" t="str">
        <f t="shared" si="92"/>
        <v>PPG - EWI   S/S MINERAL  IVORY      THIN COAT</v>
      </c>
      <c r="G1488" s="20" t="s">
        <v>6359</v>
      </c>
      <c r="H1488" s="49" t="s">
        <v>213</v>
      </c>
      <c r="I1488" s="18" t="s">
        <v>37</v>
      </c>
      <c r="J1488" s="18" t="s">
        <v>38</v>
      </c>
      <c r="K1488" t="s">
        <v>39</v>
      </c>
      <c r="L1488" s="50">
        <f>VLOOKUP(A1488,'[3]Price info'!A:D,4,FALSE)</f>
        <v>52.95</v>
      </c>
      <c r="M1488" s="18" t="s">
        <v>214</v>
      </c>
      <c r="N1488" s="20">
        <v>3105</v>
      </c>
      <c r="P1488" s="16">
        <f>VLOOKUP(A1488,'[3]Price info'!A:H,8,FALSE)</f>
        <v>52.95</v>
      </c>
      <c r="Q1488" s="17">
        <f t="shared" si="93"/>
        <v>1</v>
      </c>
      <c r="S1488" s="16" t="e">
        <f>VLOOKUP(A1488,[4]Sales!$E:$G,3,FALSE)</f>
        <v>#N/A</v>
      </c>
      <c r="T1488" s="19" t="e">
        <f>VLOOKUP(A1488,[4]Volume!$E:$G,3,FALSE)</f>
        <v>#N/A</v>
      </c>
      <c r="U1488" s="19" t="e">
        <f>VLOOKUP(A1488,[4]Piece!$E:$G,3,FALSE)</f>
        <v>#N/A</v>
      </c>
      <c r="V1488" s="21" t="e">
        <f t="shared" si="94"/>
        <v>#N/A</v>
      </c>
      <c r="W1488" s="16" t="e">
        <f t="shared" si="95"/>
        <v>#N/A</v>
      </c>
    </row>
    <row r="1489" spans="1:23" hidden="1" x14ac:dyDescent="0.3">
      <c r="A1489" s="71" t="s">
        <v>2976</v>
      </c>
      <c r="B1489" s="71" t="s">
        <v>2976</v>
      </c>
      <c r="C1489" s="47" t="s">
        <v>33</v>
      </c>
      <c r="D1489" s="48" t="s">
        <v>34</v>
      </c>
      <c r="E1489" s="18" t="s">
        <v>2977</v>
      </c>
      <c r="F1489" s="24" t="str">
        <f t="shared" si="92"/>
        <v>PPG - EWI   S/S MINERAL  MUSHROOM   THIN COAT</v>
      </c>
      <c r="G1489" s="20" t="s">
        <v>6360</v>
      </c>
      <c r="H1489" s="49" t="s">
        <v>213</v>
      </c>
      <c r="I1489" s="18" t="s">
        <v>37</v>
      </c>
      <c r="J1489" s="18" t="s">
        <v>38</v>
      </c>
      <c r="K1489" t="s">
        <v>39</v>
      </c>
      <c r="L1489" s="50">
        <f>VLOOKUP(A1489,'[3]Price info'!A:D,4,FALSE)</f>
        <v>52.95</v>
      </c>
      <c r="M1489" s="18" t="s">
        <v>214</v>
      </c>
      <c r="N1489" s="20">
        <v>3105</v>
      </c>
      <c r="P1489" s="16">
        <f>VLOOKUP(A1489,'[3]Price info'!A:H,8,FALSE)</f>
        <v>52.95</v>
      </c>
      <c r="Q1489" s="17">
        <f t="shared" si="93"/>
        <v>1</v>
      </c>
      <c r="S1489" s="16" t="e">
        <f>VLOOKUP(A1489,[4]Sales!$E:$G,3,FALSE)</f>
        <v>#N/A</v>
      </c>
      <c r="T1489" s="19" t="e">
        <f>VLOOKUP(A1489,[4]Volume!$E:$G,3,FALSE)</f>
        <v>#N/A</v>
      </c>
      <c r="U1489" s="19" t="e">
        <f>VLOOKUP(A1489,[4]Piece!$E:$G,3,FALSE)</f>
        <v>#N/A</v>
      </c>
      <c r="V1489" s="21" t="e">
        <f t="shared" si="94"/>
        <v>#N/A</v>
      </c>
      <c r="W1489" s="16" t="e">
        <f t="shared" si="95"/>
        <v>#N/A</v>
      </c>
    </row>
    <row r="1490" spans="1:23" hidden="1" x14ac:dyDescent="0.3">
      <c r="A1490" s="71" t="s">
        <v>2978</v>
      </c>
      <c r="B1490" s="71" t="s">
        <v>2978</v>
      </c>
      <c r="C1490" s="51" t="s">
        <v>33</v>
      </c>
      <c r="D1490" s="48" t="s">
        <v>34</v>
      </c>
      <c r="E1490" s="18" t="s">
        <v>2979</v>
      </c>
      <c r="F1490" s="24" t="str">
        <f t="shared" si="92"/>
        <v>PPG - EWI   S/S MINERAL  PRIN GREY  THIN COAT</v>
      </c>
      <c r="G1490" s="20" t="s">
        <v>6361</v>
      </c>
      <c r="H1490" s="49" t="s">
        <v>213</v>
      </c>
      <c r="I1490" s="18" t="s">
        <v>37</v>
      </c>
      <c r="J1490" s="18" t="s">
        <v>38</v>
      </c>
      <c r="K1490" t="s">
        <v>39</v>
      </c>
      <c r="L1490" s="50">
        <f>VLOOKUP(A1490,'[3]Price info'!A:D,4,FALSE)</f>
        <v>52.95</v>
      </c>
      <c r="M1490" s="18" t="s">
        <v>214</v>
      </c>
      <c r="N1490" s="20">
        <v>3105</v>
      </c>
      <c r="P1490" s="16">
        <f>VLOOKUP(A1490,'[3]Price info'!A:H,8,FALSE)</f>
        <v>52.95</v>
      </c>
      <c r="Q1490" s="17">
        <f t="shared" si="93"/>
        <v>1</v>
      </c>
      <c r="S1490" s="16" t="e">
        <f>VLOOKUP(A1490,[4]Sales!$E:$G,3,FALSE)</f>
        <v>#N/A</v>
      </c>
      <c r="T1490" s="19" t="e">
        <f>VLOOKUP(A1490,[4]Volume!$E:$G,3,FALSE)</f>
        <v>#N/A</v>
      </c>
      <c r="U1490" s="19" t="e">
        <f>VLOOKUP(A1490,[4]Piece!$E:$G,3,FALSE)</f>
        <v>#N/A</v>
      </c>
      <c r="V1490" s="21" t="e">
        <f t="shared" si="94"/>
        <v>#N/A</v>
      </c>
      <c r="W1490" s="16" t="e">
        <f t="shared" si="95"/>
        <v>#N/A</v>
      </c>
    </row>
    <row r="1491" spans="1:23" hidden="1" x14ac:dyDescent="0.3">
      <c r="A1491" s="71" t="s">
        <v>2980</v>
      </c>
      <c r="B1491" s="71" t="s">
        <v>2980</v>
      </c>
      <c r="C1491" s="47" t="s">
        <v>33</v>
      </c>
      <c r="D1491" s="48" t="s">
        <v>34</v>
      </c>
      <c r="E1491" s="18" t="s">
        <v>2981</v>
      </c>
      <c r="F1491" s="24" t="str">
        <f t="shared" si="92"/>
        <v>PPG - EWI   S/S MINERAL  WHITE      THIN COAT</v>
      </c>
      <c r="G1491" s="20" t="s">
        <v>6362</v>
      </c>
      <c r="H1491" s="49" t="s">
        <v>213</v>
      </c>
      <c r="I1491" s="18" t="s">
        <v>37</v>
      </c>
      <c r="J1491" s="18" t="s">
        <v>38</v>
      </c>
      <c r="K1491" t="s">
        <v>39</v>
      </c>
      <c r="L1491" s="50">
        <f>VLOOKUP(A1491,'[3]Price info'!A:D,4,FALSE)</f>
        <v>52.95</v>
      </c>
      <c r="M1491" s="18" t="s">
        <v>214</v>
      </c>
      <c r="N1491" s="20">
        <v>3105</v>
      </c>
      <c r="P1491" s="16">
        <f>VLOOKUP(A1491,'[3]Price info'!A:H,8,FALSE)</f>
        <v>52.95</v>
      </c>
      <c r="Q1491" s="17">
        <f t="shared" si="93"/>
        <v>1</v>
      </c>
      <c r="S1491" s="16" t="e">
        <f>VLOOKUP(A1491,[4]Sales!$E:$G,3,FALSE)</f>
        <v>#N/A</v>
      </c>
      <c r="T1491" s="19" t="e">
        <f>VLOOKUP(A1491,[4]Volume!$E:$G,3,FALSE)</f>
        <v>#N/A</v>
      </c>
      <c r="U1491" s="19" t="e">
        <f>VLOOKUP(A1491,[4]Piece!$E:$G,3,FALSE)</f>
        <v>#N/A</v>
      </c>
      <c r="V1491" s="21" t="e">
        <f t="shared" si="94"/>
        <v>#N/A</v>
      </c>
      <c r="W1491" s="16" t="e">
        <f t="shared" si="95"/>
        <v>#N/A</v>
      </c>
    </row>
    <row r="1492" spans="1:23" hidden="1" x14ac:dyDescent="0.3">
      <c r="A1492" s="71" t="s">
        <v>2982</v>
      </c>
      <c r="B1492" s="71" t="s">
        <v>2982</v>
      </c>
      <c r="C1492" s="47" t="s">
        <v>33</v>
      </c>
      <c r="D1492" s="48" t="s">
        <v>34</v>
      </c>
      <c r="E1492" s="18" t="s">
        <v>2983</v>
      </c>
      <c r="F1492" s="24" t="str">
        <f t="shared" si="92"/>
        <v>PPG - EWI   S/S SILICONE IVORY      MINERAL T/</v>
      </c>
      <c r="G1492" s="20" t="s">
        <v>6363</v>
      </c>
      <c r="H1492" s="49" t="s">
        <v>213</v>
      </c>
      <c r="I1492" s="18" t="s">
        <v>37</v>
      </c>
      <c r="J1492" s="18" t="s">
        <v>38</v>
      </c>
      <c r="K1492" t="s">
        <v>39</v>
      </c>
      <c r="L1492" s="50">
        <f>VLOOKUP(A1492,'[3]Price info'!A:D,4,FALSE)</f>
        <v>72.19</v>
      </c>
      <c r="M1492" s="18" t="s">
        <v>214</v>
      </c>
      <c r="N1492" s="20">
        <v>3105</v>
      </c>
      <c r="P1492" s="16">
        <f>VLOOKUP(A1492,'[3]Price info'!A:H,8,FALSE)</f>
        <v>72.19</v>
      </c>
      <c r="Q1492" s="17">
        <f t="shared" si="93"/>
        <v>1</v>
      </c>
      <c r="S1492" s="16" t="e">
        <f>VLOOKUP(A1492,[4]Sales!$E:$G,3,FALSE)</f>
        <v>#N/A</v>
      </c>
      <c r="T1492" s="19" t="e">
        <f>VLOOKUP(A1492,[4]Volume!$E:$G,3,FALSE)</f>
        <v>#N/A</v>
      </c>
      <c r="U1492" s="19" t="e">
        <f>VLOOKUP(A1492,[4]Piece!$E:$G,3,FALSE)</f>
        <v>#N/A</v>
      </c>
      <c r="V1492" s="21" t="e">
        <f t="shared" si="94"/>
        <v>#N/A</v>
      </c>
      <c r="W1492" s="16" t="e">
        <f t="shared" si="95"/>
        <v>#N/A</v>
      </c>
    </row>
    <row r="1493" spans="1:23" hidden="1" x14ac:dyDescent="0.3">
      <c r="A1493" s="71" t="s">
        <v>2984</v>
      </c>
      <c r="B1493" s="71" t="s">
        <v>2984</v>
      </c>
      <c r="C1493" s="51" t="s">
        <v>33</v>
      </c>
      <c r="D1493" s="48" t="s">
        <v>34</v>
      </c>
      <c r="E1493" s="18" t="s">
        <v>2985</v>
      </c>
      <c r="F1493" s="24" t="str">
        <f t="shared" si="92"/>
        <v>PPG - EWI   S/S SILICONE MUSHROOM   MINERAL T/</v>
      </c>
      <c r="G1493" s="20" t="s">
        <v>6364</v>
      </c>
      <c r="H1493" s="49" t="s">
        <v>213</v>
      </c>
      <c r="I1493" s="18" t="s">
        <v>37</v>
      </c>
      <c r="J1493" s="18" t="s">
        <v>38</v>
      </c>
      <c r="K1493" t="s">
        <v>39</v>
      </c>
      <c r="L1493" s="50">
        <f>VLOOKUP(A1493,'[3]Price info'!A:D,4,FALSE)</f>
        <v>72.19</v>
      </c>
      <c r="M1493" s="18" t="s">
        <v>214</v>
      </c>
      <c r="N1493" s="20">
        <v>3105</v>
      </c>
      <c r="P1493" s="16">
        <f>VLOOKUP(A1493,'[3]Price info'!A:H,8,FALSE)</f>
        <v>72.19</v>
      </c>
      <c r="Q1493" s="17">
        <f t="shared" si="93"/>
        <v>1</v>
      </c>
      <c r="S1493" s="16" t="e">
        <f>VLOOKUP(A1493,[4]Sales!$E:$G,3,FALSE)</f>
        <v>#N/A</v>
      </c>
      <c r="T1493" s="19" t="e">
        <f>VLOOKUP(A1493,[4]Volume!$E:$G,3,FALSE)</f>
        <v>#N/A</v>
      </c>
      <c r="U1493" s="19" t="e">
        <f>VLOOKUP(A1493,[4]Piece!$E:$G,3,FALSE)</f>
        <v>#N/A</v>
      </c>
      <c r="V1493" s="21" t="e">
        <f t="shared" si="94"/>
        <v>#N/A</v>
      </c>
      <c r="W1493" s="16" t="e">
        <f t="shared" si="95"/>
        <v>#N/A</v>
      </c>
    </row>
    <row r="1494" spans="1:23" hidden="1" x14ac:dyDescent="0.3">
      <c r="A1494" s="71" t="s">
        <v>2986</v>
      </c>
      <c r="B1494" s="71" t="s">
        <v>2986</v>
      </c>
      <c r="C1494" s="47" t="s">
        <v>33</v>
      </c>
      <c r="D1494" s="48" t="s">
        <v>34</v>
      </c>
      <c r="E1494" s="18" t="s">
        <v>2987</v>
      </c>
      <c r="F1494" s="24" t="str">
        <f t="shared" si="92"/>
        <v>PPG - EWI   S/S SILICONE PRIN GREY  MINERAL T/</v>
      </c>
      <c r="G1494" s="20" t="s">
        <v>6365</v>
      </c>
      <c r="H1494" s="49" t="s">
        <v>213</v>
      </c>
      <c r="I1494" s="18" t="s">
        <v>37</v>
      </c>
      <c r="J1494" s="18" t="s">
        <v>38</v>
      </c>
      <c r="K1494" t="s">
        <v>39</v>
      </c>
      <c r="L1494" s="50">
        <f>VLOOKUP(A1494,'[3]Price info'!A:D,4,FALSE)</f>
        <v>72.19</v>
      </c>
      <c r="M1494" s="18" t="s">
        <v>214</v>
      </c>
      <c r="N1494" s="20">
        <v>3105</v>
      </c>
      <c r="P1494" s="16">
        <f>VLOOKUP(A1494,'[3]Price info'!A:H,8,FALSE)</f>
        <v>72.19</v>
      </c>
      <c r="Q1494" s="17">
        <f t="shared" si="93"/>
        <v>1</v>
      </c>
      <c r="S1494" s="16" t="e">
        <f>VLOOKUP(A1494,[4]Sales!$E:$G,3,FALSE)</f>
        <v>#N/A</v>
      </c>
      <c r="T1494" s="19" t="e">
        <f>VLOOKUP(A1494,[4]Volume!$E:$G,3,FALSE)</f>
        <v>#N/A</v>
      </c>
      <c r="U1494" s="19" t="e">
        <f>VLOOKUP(A1494,[4]Piece!$E:$G,3,FALSE)</f>
        <v>#N/A</v>
      </c>
      <c r="V1494" s="21" t="e">
        <f t="shared" si="94"/>
        <v>#N/A</v>
      </c>
      <c r="W1494" s="16" t="e">
        <f t="shared" si="95"/>
        <v>#N/A</v>
      </c>
    </row>
    <row r="1495" spans="1:23" hidden="1" x14ac:dyDescent="0.3">
      <c r="A1495" s="71" t="s">
        <v>2988</v>
      </c>
      <c r="B1495" s="71" t="s">
        <v>2988</v>
      </c>
      <c r="C1495" s="47" t="s">
        <v>33</v>
      </c>
      <c r="D1495" s="48" t="s">
        <v>34</v>
      </c>
      <c r="E1495" s="18" t="s">
        <v>2989</v>
      </c>
      <c r="F1495" s="24" t="str">
        <f t="shared" si="92"/>
        <v>PPG - EWI   S/S SILICONE WHITE      MINERAL T/</v>
      </c>
      <c r="G1495" s="20" t="s">
        <v>6366</v>
      </c>
      <c r="H1495" s="49" t="s">
        <v>213</v>
      </c>
      <c r="I1495" s="18" t="s">
        <v>37</v>
      </c>
      <c r="J1495" s="18" t="s">
        <v>38</v>
      </c>
      <c r="K1495" t="s">
        <v>39</v>
      </c>
      <c r="L1495" s="50">
        <f>VLOOKUP(A1495,'[3]Price info'!A:D,4,FALSE)</f>
        <v>72.19</v>
      </c>
      <c r="M1495" s="18" t="s">
        <v>214</v>
      </c>
      <c r="N1495" s="20">
        <v>3105</v>
      </c>
      <c r="P1495" s="16">
        <f>VLOOKUP(A1495,'[3]Price info'!A:H,8,FALSE)</f>
        <v>72.19</v>
      </c>
      <c r="Q1495" s="17">
        <f t="shared" si="93"/>
        <v>1</v>
      </c>
      <c r="S1495" s="16" t="e">
        <f>VLOOKUP(A1495,[4]Sales!$E:$G,3,FALSE)</f>
        <v>#N/A</v>
      </c>
      <c r="T1495" s="19" t="e">
        <f>VLOOKUP(A1495,[4]Volume!$E:$G,3,FALSE)</f>
        <v>#N/A</v>
      </c>
      <c r="U1495" s="19" t="e">
        <f>VLOOKUP(A1495,[4]Piece!$E:$G,3,FALSE)</f>
        <v>#N/A</v>
      </c>
      <c r="V1495" s="21" t="e">
        <f t="shared" si="94"/>
        <v>#N/A</v>
      </c>
      <c r="W1495" s="16" t="e">
        <f t="shared" si="95"/>
        <v>#N/A</v>
      </c>
    </row>
    <row r="1496" spans="1:23" hidden="1" x14ac:dyDescent="0.3">
      <c r="A1496" s="71" t="s">
        <v>2990</v>
      </c>
      <c r="B1496" s="71" t="s">
        <v>2990</v>
      </c>
      <c r="C1496" s="51" t="s">
        <v>33</v>
      </c>
      <c r="D1496" s="48" t="s">
        <v>34</v>
      </c>
      <c r="E1496" s="18" t="s">
        <v>2991</v>
      </c>
      <c r="F1496" s="24" t="str">
        <f t="shared" si="92"/>
        <v>PPG - EWI   SANDED RED NUANCE BRICK SLIP BOX30</v>
      </c>
      <c r="G1496" s="20" t="s">
        <v>6367</v>
      </c>
      <c r="H1496" s="49" t="s">
        <v>213</v>
      </c>
      <c r="I1496" s="18" t="s">
        <v>37</v>
      </c>
      <c r="J1496" s="18" t="s">
        <v>38</v>
      </c>
      <c r="K1496" t="s">
        <v>39</v>
      </c>
      <c r="L1496" s="50">
        <f>VLOOKUP(A1496,'[3]Price info'!A:D,4,FALSE)</f>
        <v>18.48</v>
      </c>
      <c r="M1496" s="18" t="s">
        <v>214</v>
      </c>
      <c r="N1496" s="20">
        <v>3105</v>
      </c>
      <c r="P1496" s="16">
        <f>VLOOKUP(A1496,'[3]Price info'!A:H,8,FALSE)</f>
        <v>18.48</v>
      </c>
      <c r="Q1496" s="17">
        <f t="shared" si="93"/>
        <v>1</v>
      </c>
      <c r="S1496" s="16" t="e">
        <f>VLOOKUP(A1496,[4]Sales!$E:$G,3,FALSE)</f>
        <v>#N/A</v>
      </c>
      <c r="T1496" s="19" t="e">
        <f>VLOOKUP(A1496,[4]Volume!$E:$G,3,FALSE)</f>
        <v>#N/A</v>
      </c>
      <c r="U1496" s="19" t="e">
        <f>VLOOKUP(A1496,[4]Piece!$E:$G,3,FALSE)</f>
        <v>#N/A</v>
      </c>
      <c r="V1496" s="21" t="e">
        <f t="shared" si="94"/>
        <v>#N/A</v>
      </c>
      <c r="W1496" s="16" t="e">
        <f t="shared" si="95"/>
        <v>#N/A</v>
      </c>
    </row>
    <row r="1497" spans="1:23" hidden="1" x14ac:dyDescent="0.3">
      <c r="A1497" s="71" t="s">
        <v>2992</v>
      </c>
      <c r="B1497" s="71" t="s">
        <v>2992</v>
      </c>
      <c r="C1497" s="47" t="s">
        <v>33</v>
      </c>
      <c r="D1497" s="48" t="s">
        <v>34</v>
      </c>
      <c r="E1497" s="18" t="s">
        <v>2993</v>
      </c>
      <c r="F1497" s="24" t="str">
        <f t="shared" si="92"/>
        <v>PPG - EWI   SANDED RED NUANCE PISTOL BRK BOX14</v>
      </c>
      <c r="G1497" s="20" t="s">
        <v>6368</v>
      </c>
      <c r="H1497" s="49" t="s">
        <v>213</v>
      </c>
      <c r="I1497" s="18" t="s">
        <v>37</v>
      </c>
      <c r="J1497" s="18" t="s">
        <v>38</v>
      </c>
      <c r="K1497" t="s">
        <v>39</v>
      </c>
      <c r="L1497" s="50">
        <f>VLOOKUP(A1497,'[3]Price info'!A:D,4,FALSE)</f>
        <v>37.74</v>
      </c>
      <c r="M1497" s="18" t="s">
        <v>214</v>
      </c>
      <c r="N1497" s="20">
        <v>3105</v>
      </c>
      <c r="P1497" s="16">
        <f>VLOOKUP(A1497,'[3]Price info'!A:H,8,FALSE)</f>
        <v>37.74</v>
      </c>
      <c r="Q1497" s="17">
        <f t="shared" si="93"/>
        <v>1</v>
      </c>
      <c r="S1497" s="16" t="e">
        <f>VLOOKUP(A1497,[4]Sales!$E:$G,3,FALSE)</f>
        <v>#N/A</v>
      </c>
      <c r="T1497" s="19" t="e">
        <f>VLOOKUP(A1497,[4]Volume!$E:$G,3,FALSE)</f>
        <v>#N/A</v>
      </c>
      <c r="U1497" s="19" t="e">
        <f>VLOOKUP(A1497,[4]Piece!$E:$G,3,FALSE)</f>
        <v>#N/A</v>
      </c>
      <c r="V1497" s="21" t="e">
        <f t="shared" si="94"/>
        <v>#N/A</v>
      </c>
      <c r="W1497" s="16" t="e">
        <f t="shared" si="95"/>
        <v>#N/A</v>
      </c>
    </row>
    <row r="1498" spans="1:23" hidden="1" x14ac:dyDescent="0.3">
      <c r="A1498" s="71" t="s">
        <v>2994</v>
      </c>
      <c r="B1498" s="71" t="s">
        <v>2994</v>
      </c>
      <c r="C1498" s="47" t="s">
        <v>33</v>
      </c>
      <c r="D1498" s="48" t="s">
        <v>34</v>
      </c>
      <c r="E1498" s="18" t="s">
        <v>2995</v>
      </c>
      <c r="F1498" s="24" t="str">
        <f t="shared" si="92"/>
        <v>PPG - EWI   SCRATCH RENDER BLUE 25KG</v>
      </c>
      <c r="G1498" s="20" t="s">
        <v>6369</v>
      </c>
      <c r="H1498" s="49" t="s">
        <v>213</v>
      </c>
      <c r="I1498" s="18" t="s">
        <v>37</v>
      </c>
      <c r="J1498" s="18" t="s">
        <v>38</v>
      </c>
      <c r="K1498" t="s">
        <v>39</v>
      </c>
      <c r="L1498" s="50">
        <f>VLOOKUP(A1498,'[3]Price info'!A:D,4,FALSE)</f>
        <v>11.04</v>
      </c>
      <c r="M1498" s="18" t="s">
        <v>214</v>
      </c>
      <c r="N1498" s="20">
        <v>3105</v>
      </c>
      <c r="P1498" s="16">
        <f>VLOOKUP(A1498,'[3]Price info'!A:H,8,FALSE)</f>
        <v>11.04</v>
      </c>
      <c r="Q1498" s="17">
        <f t="shared" si="93"/>
        <v>1</v>
      </c>
      <c r="S1498" s="16" t="e">
        <f>VLOOKUP(A1498,[4]Sales!$E:$G,3,FALSE)</f>
        <v>#N/A</v>
      </c>
      <c r="T1498" s="19" t="e">
        <f>VLOOKUP(A1498,[4]Volume!$E:$G,3,FALSE)</f>
        <v>#N/A</v>
      </c>
      <c r="U1498" s="19" t="e">
        <f>VLOOKUP(A1498,[4]Piece!$E:$G,3,FALSE)</f>
        <v>#N/A</v>
      </c>
      <c r="V1498" s="21" t="e">
        <f t="shared" si="94"/>
        <v>#N/A</v>
      </c>
      <c r="W1498" s="16" t="e">
        <f t="shared" si="95"/>
        <v>#N/A</v>
      </c>
    </row>
    <row r="1499" spans="1:23" hidden="1" x14ac:dyDescent="0.3">
      <c r="A1499" s="71" t="s">
        <v>2996</v>
      </c>
      <c r="B1499" s="71" t="s">
        <v>2996</v>
      </c>
      <c r="C1499" s="51" t="s">
        <v>33</v>
      </c>
      <c r="D1499" s="48" t="s">
        <v>34</v>
      </c>
      <c r="E1499" s="18" t="s">
        <v>2997</v>
      </c>
      <c r="F1499" s="24" t="str">
        <f t="shared" si="92"/>
        <v>PPG - EWI   SCRATCH RENDER EARTH 25KG</v>
      </c>
      <c r="G1499" s="20" t="s">
        <v>6370</v>
      </c>
      <c r="H1499" s="49" t="s">
        <v>213</v>
      </c>
      <c r="I1499" s="18" t="s">
        <v>37</v>
      </c>
      <c r="J1499" s="18" t="s">
        <v>38</v>
      </c>
      <c r="K1499" t="s">
        <v>39</v>
      </c>
      <c r="L1499" s="50">
        <f>VLOOKUP(A1499,'[3]Price info'!A:D,4,FALSE)</f>
        <v>11.04</v>
      </c>
      <c r="M1499" s="18" t="s">
        <v>214</v>
      </c>
      <c r="N1499" s="20">
        <v>3105</v>
      </c>
      <c r="P1499" s="16">
        <f>VLOOKUP(A1499,'[3]Price info'!A:H,8,FALSE)</f>
        <v>11.04</v>
      </c>
      <c r="Q1499" s="17">
        <f t="shared" si="93"/>
        <v>1</v>
      </c>
      <c r="S1499" s="16" t="e">
        <f>VLOOKUP(A1499,[4]Sales!$E:$G,3,FALSE)</f>
        <v>#N/A</v>
      </c>
      <c r="T1499" s="19" t="e">
        <f>VLOOKUP(A1499,[4]Volume!$E:$G,3,FALSE)</f>
        <v>#N/A</v>
      </c>
      <c r="U1499" s="19" t="e">
        <f>VLOOKUP(A1499,[4]Piece!$E:$G,3,FALSE)</f>
        <v>#N/A</v>
      </c>
      <c r="V1499" s="21" t="e">
        <f t="shared" si="94"/>
        <v>#N/A</v>
      </c>
      <c r="W1499" s="16" t="e">
        <f t="shared" si="95"/>
        <v>#N/A</v>
      </c>
    </row>
    <row r="1500" spans="1:23" hidden="1" x14ac:dyDescent="0.3">
      <c r="A1500" s="71" t="s">
        <v>2998</v>
      </c>
      <c r="B1500" s="71" t="s">
        <v>2998</v>
      </c>
      <c r="C1500" s="47" t="s">
        <v>33</v>
      </c>
      <c r="D1500" s="48" t="s">
        <v>34</v>
      </c>
      <c r="E1500" s="18" t="s">
        <v>2999</v>
      </c>
      <c r="F1500" s="24" t="str">
        <f t="shared" si="92"/>
        <v>PPG - EWI   SCRATCH RENDER GOLD 25KG</v>
      </c>
      <c r="G1500" s="20" t="s">
        <v>6371</v>
      </c>
      <c r="H1500" s="49" t="s">
        <v>213</v>
      </c>
      <c r="I1500" s="18" t="s">
        <v>37</v>
      </c>
      <c r="J1500" s="18" t="s">
        <v>38</v>
      </c>
      <c r="K1500" t="s">
        <v>39</v>
      </c>
      <c r="L1500" s="50">
        <f>VLOOKUP(A1500,'[3]Price info'!A:D,4,FALSE)</f>
        <v>11.04</v>
      </c>
      <c r="M1500" s="18" t="s">
        <v>214</v>
      </c>
      <c r="N1500" s="20">
        <v>3105</v>
      </c>
      <c r="P1500" s="16">
        <f>VLOOKUP(A1500,'[3]Price info'!A:H,8,FALSE)</f>
        <v>11.04</v>
      </c>
      <c r="Q1500" s="17">
        <f t="shared" si="93"/>
        <v>1</v>
      </c>
      <c r="S1500" s="16" t="e">
        <f>VLOOKUP(A1500,[4]Sales!$E:$G,3,FALSE)</f>
        <v>#N/A</v>
      </c>
      <c r="T1500" s="19" t="e">
        <f>VLOOKUP(A1500,[4]Volume!$E:$G,3,FALSE)</f>
        <v>#N/A</v>
      </c>
      <c r="U1500" s="19" t="e">
        <f>VLOOKUP(A1500,[4]Piece!$E:$G,3,FALSE)</f>
        <v>#N/A</v>
      </c>
      <c r="V1500" s="21" t="e">
        <f t="shared" si="94"/>
        <v>#N/A</v>
      </c>
      <c r="W1500" s="16" t="e">
        <f t="shared" si="95"/>
        <v>#N/A</v>
      </c>
    </row>
    <row r="1501" spans="1:23" hidden="1" x14ac:dyDescent="0.3">
      <c r="A1501" s="71" t="s">
        <v>3000</v>
      </c>
      <c r="B1501" s="71" t="s">
        <v>3000</v>
      </c>
      <c r="C1501" s="47" t="s">
        <v>33</v>
      </c>
      <c r="D1501" s="48" t="s">
        <v>34</v>
      </c>
      <c r="E1501" s="18" t="s">
        <v>3001</v>
      </c>
      <c r="F1501" s="24" t="str">
        <f t="shared" si="92"/>
        <v>PPG - EWI   SCRATCH RENDER GOLDEN BROWN 25KG</v>
      </c>
      <c r="G1501" s="20" t="s">
        <v>6372</v>
      </c>
      <c r="H1501" s="49" t="s">
        <v>213</v>
      </c>
      <c r="I1501" s="18" t="s">
        <v>37</v>
      </c>
      <c r="J1501" s="18" t="s">
        <v>38</v>
      </c>
      <c r="K1501" t="s">
        <v>39</v>
      </c>
      <c r="L1501" s="50">
        <f>VLOOKUP(A1501,'[3]Price info'!A:D,4,FALSE)</f>
        <v>11.04</v>
      </c>
      <c r="M1501" s="18" t="s">
        <v>214</v>
      </c>
      <c r="N1501" s="20">
        <v>3105</v>
      </c>
      <c r="P1501" s="16">
        <f>VLOOKUP(A1501,'[3]Price info'!A:H,8,FALSE)</f>
        <v>11.04</v>
      </c>
      <c r="Q1501" s="17">
        <f t="shared" si="93"/>
        <v>1</v>
      </c>
      <c r="S1501" s="16" t="e">
        <f>VLOOKUP(A1501,[4]Sales!$E:$G,3,FALSE)</f>
        <v>#N/A</v>
      </c>
      <c r="T1501" s="19" t="e">
        <f>VLOOKUP(A1501,[4]Volume!$E:$G,3,FALSE)</f>
        <v>#N/A</v>
      </c>
      <c r="U1501" s="19" t="e">
        <f>VLOOKUP(A1501,[4]Piece!$E:$G,3,FALSE)</f>
        <v>#N/A</v>
      </c>
      <c r="V1501" s="21" t="e">
        <f t="shared" si="94"/>
        <v>#N/A</v>
      </c>
      <c r="W1501" s="16" t="e">
        <f t="shared" si="95"/>
        <v>#N/A</v>
      </c>
    </row>
    <row r="1502" spans="1:23" hidden="1" x14ac:dyDescent="0.3">
      <c r="A1502" s="71" t="s">
        <v>3002</v>
      </c>
      <c r="B1502" s="71" t="s">
        <v>3002</v>
      </c>
      <c r="C1502" s="51" t="s">
        <v>33</v>
      </c>
      <c r="D1502" s="48" t="s">
        <v>34</v>
      </c>
      <c r="E1502" s="18" t="s">
        <v>3003</v>
      </c>
      <c r="F1502" s="24" t="str">
        <f t="shared" si="92"/>
        <v>PPG - EWI   SCRATCH RENDER GREEN 25KG</v>
      </c>
      <c r="G1502" s="20" t="s">
        <v>6373</v>
      </c>
      <c r="H1502" s="49" t="s">
        <v>213</v>
      </c>
      <c r="I1502" s="18" t="s">
        <v>37</v>
      </c>
      <c r="J1502" s="18" t="s">
        <v>38</v>
      </c>
      <c r="K1502" t="s">
        <v>39</v>
      </c>
      <c r="L1502" s="50">
        <f>VLOOKUP(A1502,'[3]Price info'!A:D,4,FALSE)</f>
        <v>11.04</v>
      </c>
      <c r="M1502" s="18" t="s">
        <v>214</v>
      </c>
      <c r="N1502" s="20">
        <v>3105</v>
      </c>
      <c r="P1502" s="16">
        <f>VLOOKUP(A1502,'[3]Price info'!A:H,8,FALSE)</f>
        <v>11.04</v>
      </c>
      <c r="Q1502" s="17">
        <f t="shared" si="93"/>
        <v>1</v>
      </c>
      <c r="S1502" s="16" t="e">
        <f>VLOOKUP(A1502,[4]Sales!$E:$G,3,FALSE)</f>
        <v>#N/A</v>
      </c>
      <c r="T1502" s="19" t="e">
        <f>VLOOKUP(A1502,[4]Volume!$E:$G,3,FALSE)</f>
        <v>#N/A</v>
      </c>
      <c r="U1502" s="19" t="e">
        <f>VLOOKUP(A1502,[4]Piece!$E:$G,3,FALSE)</f>
        <v>#N/A</v>
      </c>
      <c r="V1502" s="21" t="e">
        <f t="shared" si="94"/>
        <v>#N/A</v>
      </c>
      <c r="W1502" s="16" t="e">
        <f t="shared" si="95"/>
        <v>#N/A</v>
      </c>
    </row>
    <row r="1503" spans="1:23" hidden="1" x14ac:dyDescent="0.3">
      <c r="A1503" s="71" t="s">
        <v>3004</v>
      </c>
      <c r="B1503" s="71" t="s">
        <v>3004</v>
      </c>
      <c r="C1503" s="47" t="s">
        <v>33</v>
      </c>
      <c r="D1503" s="48" t="s">
        <v>34</v>
      </c>
      <c r="E1503" s="18" t="s">
        <v>3005</v>
      </c>
      <c r="F1503" s="24" t="str">
        <f t="shared" si="92"/>
        <v>PPG - EWI   SCRATCH RENDER GREY 25KG</v>
      </c>
      <c r="G1503" s="20" t="s">
        <v>6374</v>
      </c>
      <c r="H1503" s="49" t="s">
        <v>213</v>
      </c>
      <c r="I1503" s="18" t="s">
        <v>37</v>
      </c>
      <c r="J1503" s="18" t="s">
        <v>38</v>
      </c>
      <c r="K1503" t="s">
        <v>39</v>
      </c>
      <c r="L1503" s="50">
        <f>VLOOKUP(A1503,'[3]Price info'!A:D,4,FALSE)</f>
        <v>11.04</v>
      </c>
      <c r="M1503" s="18" t="s">
        <v>214</v>
      </c>
      <c r="N1503" s="20">
        <v>3105</v>
      </c>
      <c r="P1503" s="16">
        <f>VLOOKUP(A1503,'[3]Price info'!A:H,8,FALSE)</f>
        <v>11.04</v>
      </c>
      <c r="Q1503" s="17">
        <f t="shared" si="93"/>
        <v>1</v>
      </c>
      <c r="S1503" s="16" t="e">
        <f>VLOOKUP(A1503,[4]Sales!$E:$G,3,FALSE)</f>
        <v>#N/A</v>
      </c>
      <c r="T1503" s="19" t="e">
        <f>VLOOKUP(A1503,[4]Volume!$E:$G,3,FALSE)</f>
        <v>#N/A</v>
      </c>
      <c r="U1503" s="19" t="e">
        <f>VLOOKUP(A1503,[4]Piece!$E:$G,3,FALSE)</f>
        <v>#N/A</v>
      </c>
      <c r="V1503" s="21" t="e">
        <f t="shared" si="94"/>
        <v>#N/A</v>
      </c>
      <c r="W1503" s="16" t="e">
        <f t="shared" si="95"/>
        <v>#N/A</v>
      </c>
    </row>
    <row r="1504" spans="1:23" hidden="1" x14ac:dyDescent="0.3">
      <c r="A1504" s="71" t="s">
        <v>3006</v>
      </c>
      <c r="B1504" s="71" t="s">
        <v>3006</v>
      </c>
      <c r="C1504" s="47" t="s">
        <v>33</v>
      </c>
      <c r="D1504" s="48" t="s">
        <v>34</v>
      </c>
      <c r="E1504" s="18" t="s">
        <v>3007</v>
      </c>
      <c r="F1504" s="24" t="str">
        <f t="shared" si="92"/>
        <v>PPG - EWI   SCRATCH RENDER GUN METAL 25KG</v>
      </c>
      <c r="G1504" s="20" t="s">
        <v>6375</v>
      </c>
      <c r="H1504" s="49" t="s">
        <v>213</v>
      </c>
      <c r="I1504" s="18" t="s">
        <v>37</v>
      </c>
      <c r="J1504" s="18" t="s">
        <v>38</v>
      </c>
      <c r="K1504" t="s">
        <v>39</v>
      </c>
      <c r="L1504" s="50">
        <f>VLOOKUP(A1504,'[3]Price info'!A:D,4,FALSE)</f>
        <v>11.04</v>
      </c>
      <c r="M1504" s="18" t="s">
        <v>214</v>
      </c>
      <c r="N1504" s="20">
        <v>3105</v>
      </c>
      <c r="P1504" s="16">
        <f>VLOOKUP(A1504,'[3]Price info'!A:H,8,FALSE)</f>
        <v>11.04</v>
      </c>
      <c r="Q1504" s="17">
        <f t="shared" si="93"/>
        <v>1</v>
      </c>
      <c r="S1504" s="16" t="e">
        <f>VLOOKUP(A1504,[4]Sales!$E:$G,3,FALSE)</f>
        <v>#N/A</v>
      </c>
      <c r="T1504" s="19" t="e">
        <f>VLOOKUP(A1504,[4]Volume!$E:$G,3,FALSE)</f>
        <v>#N/A</v>
      </c>
      <c r="U1504" s="19" t="e">
        <f>VLOOKUP(A1504,[4]Piece!$E:$G,3,FALSE)</f>
        <v>#N/A</v>
      </c>
      <c r="V1504" s="21" t="e">
        <f t="shared" si="94"/>
        <v>#N/A</v>
      </c>
      <c r="W1504" s="16" t="e">
        <f t="shared" si="95"/>
        <v>#N/A</v>
      </c>
    </row>
    <row r="1505" spans="1:23" hidden="1" x14ac:dyDescent="0.3">
      <c r="A1505" s="71" t="s">
        <v>3008</v>
      </c>
      <c r="B1505" s="71" t="s">
        <v>3008</v>
      </c>
      <c r="C1505" s="51" t="s">
        <v>33</v>
      </c>
      <c r="D1505" s="48" t="s">
        <v>34</v>
      </c>
      <c r="E1505" s="18" t="s">
        <v>3009</v>
      </c>
      <c r="F1505" s="24" t="str">
        <f t="shared" si="92"/>
        <v>PPG - EWI   SCRATCH RENDER HIGH WHITE 25KG</v>
      </c>
      <c r="G1505" s="20" t="s">
        <v>6376</v>
      </c>
      <c r="H1505" s="49" t="s">
        <v>213</v>
      </c>
      <c r="I1505" s="18" t="s">
        <v>37</v>
      </c>
      <c r="J1505" s="18" t="s">
        <v>38</v>
      </c>
      <c r="K1505" t="s">
        <v>39</v>
      </c>
      <c r="L1505" s="50">
        <f>VLOOKUP(A1505,'[3]Price info'!A:D,4,FALSE)</f>
        <v>11.04</v>
      </c>
      <c r="M1505" s="18" t="s">
        <v>214</v>
      </c>
      <c r="N1505" s="20">
        <v>3105</v>
      </c>
      <c r="P1505" s="16">
        <f>VLOOKUP(A1505,'[3]Price info'!A:H,8,FALSE)</f>
        <v>11.04</v>
      </c>
      <c r="Q1505" s="17">
        <f t="shared" si="93"/>
        <v>1</v>
      </c>
      <c r="S1505" s="16" t="e">
        <f>VLOOKUP(A1505,[4]Sales!$E:$G,3,FALSE)</f>
        <v>#N/A</v>
      </c>
      <c r="T1505" s="19" t="e">
        <f>VLOOKUP(A1505,[4]Volume!$E:$G,3,FALSE)</f>
        <v>#N/A</v>
      </c>
      <c r="U1505" s="19" t="e">
        <f>VLOOKUP(A1505,[4]Piece!$E:$G,3,FALSE)</f>
        <v>#N/A</v>
      </c>
      <c r="V1505" s="21" t="e">
        <f t="shared" si="94"/>
        <v>#N/A</v>
      </c>
      <c r="W1505" s="16" t="e">
        <f t="shared" si="95"/>
        <v>#N/A</v>
      </c>
    </row>
    <row r="1506" spans="1:23" hidden="1" x14ac:dyDescent="0.3">
      <c r="A1506" s="71" t="s">
        <v>3010</v>
      </c>
      <c r="B1506" s="71" t="s">
        <v>3010</v>
      </c>
      <c r="C1506" s="47" t="s">
        <v>33</v>
      </c>
      <c r="D1506" s="48" t="s">
        <v>34</v>
      </c>
      <c r="E1506" s="18" t="s">
        <v>3011</v>
      </c>
      <c r="F1506" s="24" t="str">
        <f t="shared" si="92"/>
        <v>PPG - EWI   SCRATCH RENDER IVORY 25KG</v>
      </c>
      <c r="G1506" s="20" t="s">
        <v>6377</v>
      </c>
      <c r="H1506" s="49" t="s">
        <v>213</v>
      </c>
      <c r="I1506" s="18" t="s">
        <v>37</v>
      </c>
      <c r="J1506" s="18" t="s">
        <v>38</v>
      </c>
      <c r="K1506" t="s">
        <v>39</v>
      </c>
      <c r="L1506" s="50">
        <f>VLOOKUP(A1506,'[3]Price info'!A:D,4,FALSE)</f>
        <v>11.04</v>
      </c>
      <c r="M1506" s="18" t="s">
        <v>214</v>
      </c>
      <c r="N1506" s="20">
        <v>3105</v>
      </c>
      <c r="P1506" s="16">
        <f>VLOOKUP(A1506,'[3]Price info'!A:H,8,FALSE)</f>
        <v>11.04</v>
      </c>
      <c r="Q1506" s="17">
        <f t="shared" si="93"/>
        <v>1</v>
      </c>
      <c r="S1506" s="16" t="e">
        <f>VLOOKUP(A1506,[4]Sales!$E:$G,3,FALSE)</f>
        <v>#N/A</v>
      </c>
      <c r="T1506" s="19" t="e">
        <f>VLOOKUP(A1506,[4]Volume!$E:$G,3,FALSE)</f>
        <v>#N/A</v>
      </c>
      <c r="U1506" s="19" t="e">
        <f>VLOOKUP(A1506,[4]Piece!$E:$G,3,FALSE)</f>
        <v>#N/A</v>
      </c>
      <c r="V1506" s="21" t="e">
        <f t="shared" si="94"/>
        <v>#N/A</v>
      </c>
      <c r="W1506" s="16" t="e">
        <f t="shared" si="95"/>
        <v>#N/A</v>
      </c>
    </row>
    <row r="1507" spans="1:23" hidden="1" x14ac:dyDescent="0.3">
      <c r="A1507" s="71" t="s">
        <v>3012</v>
      </c>
      <c r="B1507" s="71" t="s">
        <v>3012</v>
      </c>
      <c r="C1507" s="47" t="s">
        <v>33</v>
      </c>
      <c r="D1507" s="48" t="s">
        <v>34</v>
      </c>
      <c r="E1507" s="18" t="s">
        <v>3013</v>
      </c>
      <c r="F1507" s="24" t="str">
        <f t="shared" si="92"/>
        <v>PPG - EWI   SCRATCH RENDER NATURAL WHITE 25KG</v>
      </c>
      <c r="G1507" s="20" t="s">
        <v>6378</v>
      </c>
      <c r="H1507" s="49" t="s">
        <v>213</v>
      </c>
      <c r="I1507" s="18" t="s">
        <v>37</v>
      </c>
      <c r="J1507" s="18" t="s">
        <v>38</v>
      </c>
      <c r="K1507" t="s">
        <v>39</v>
      </c>
      <c r="L1507" s="50">
        <f>VLOOKUP(A1507,'[3]Price info'!A:D,4,FALSE)</f>
        <v>11.04</v>
      </c>
      <c r="M1507" s="18" t="s">
        <v>214</v>
      </c>
      <c r="N1507" s="20">
        <v>3105</v>
      </c>
      <c r="P1507" s="16">
        <f>VLOOKUP(A1507,'[3]Price info'!A:H,8,FALSE)</f>
        <v>11.04</v>
      </c>
      <c r="Q1507" s="17">
        <f t="shared" si="93"/>
        <v>1</v>
      </c>
      <c r="S1507" s="16" t="e">
        <f>VLOOKUP(A1507,[4]Sales!$E:$G,3,FALSE)</f>
        <v>#N/A</v>
      </c>
      <c r="T1507" s="19" t="e">
        <f>VLOOKUP(A1507,[4]Volume!$E:$G,3,FALSE)</f>
        <v>#N/A</v>
      </c>
      <c r="U1507" s="19" t="e">
        <f>VLOOKUP(A1507,[4]Piece!$E:$G,3,FALSE)</f>
        <v>#N/A</v>
      </c>
      <c r="V1507" s="21" t="e">
        <f t="shared" si="94"/>
        <v>#N/A</v>
      </c>
      <c r="W1507" s="16" t="e">
        <f t="shared" si="95"/>
        <v>#N/A</v>
      </c>
    </row>
    <row r="1508" spans="1:23" hidden="1" x14ac:dyDescent="0.3">
      <c r="A1508" s="71" t="s">
        <v>3014</v>
      </c>
      <c r="B1508" s="71" t="s">
        <v>3014</v>
      </c>
      <c r="C1508" s="51" t="s">
        <v>33</v>
      </c>
      <c r="D1508" s="48" t="s">
        <v>34</v>
      </c>
      <c r="E1508" s="18" t="s">
        <v>3015</v>
      </c>
      <c r="F1508" s="24" t="str">
        <f t="shared" si="92"/>
        <v>PPG - EWI   SCRATCH RENDER PASTEL ROSE 25KG</v>
      </c>
      <c r="G1508" s="20" t="s">
        <v>6379</v>
      </c>
      <c r="H1508" s="49" t="s">
        <v>213</v>
      </c>
      <c r="I1508" s="18" t="s">
        <v>37</v>
      </c>
      <c r="J1508" s="18" t="s">
        <v>38</v>
      </c>
      <c r="K1508" t="s">
        <v>39</v>
      </c>
      <c r="L1508" s="50">
        <f>VLOOKUP(A1508,'[3]Price info'!A:D,4,FALSE)</f>
        <v>11.04</v>
      </c>
      <c r="M1508" s="18" t="s">
        <v>214</v>
      </c>
      <c r="N1508" s="20">
        <v>3105</v>
      </c>
      <c r="P1508" s="16">
        <f>VLOOKUP(A1508,'[3]Price info'!A:H,8,FALSE)</f>
        <v>11.04</v>
      </c>
      <c r="Q1508" s="17">
        <f t="shared" si="93"/>
        <v>1</v>
      </c>
      <c r="S1508" s="16" t="e">
        <f>VLOOKUP(A1508,[4]Sales!$E:$G,3,FALSE)</f>
        <v>#N/A</v>
      </c>
      <c r="T1508" s="19" t="e">
        <f>VLOOKUP(A1508,[4]Volume!$E:$G,3,FALSE)</f>
        <v>#N/A</v>
      </c>
      <c r="U1508" s="19" t="e">
        <f>VLOOKUP(A1508,[4]Piece!$E:$G,3,FALSE)</f>
        <v>#N/A</v>
      </c>
      <c r="V1508" s="21" t="e">
        <f t="shared" si="94"/>
        <v>#N/A</v>
      </c>
      <c r="W1508" s="16" t="e">
        <f t="shared" si="95"/>
        <v>#N/A</v>
      </c>
    </row>
    <row r="1509" spans="1:23" hidden="1" x14ac:dyDescent="0.3">
      <c r="A1509" s="71" t="s">
        <v>3016</v>
      </c>
      <c r="B1509" s="71" t="s">
        <v>3016</v>
      </c>
      <c r="C1509" s="47" t="s">
        <v>33</v>
      </c>
      <c r="D1509" s="48" t="s">
        <v>34</v>
      </c>
      <c r="E1509" s="18" t="s">
        <v>3017</v>
      </c>
      <c r="F1509" s="24" t="str">
        <f t="shared" si="92"/>
        <v>PPG - EWI   SCRATCH RENDER SANDSTONE 25KG</v>
      </c>
      <c r="G1509" s="20" t="s">
        <v>6380</v>
      </c>
      <c r="H1509" s="49" t="s">
        <v>213</v>
      </c>
      <c r="I1509" s="18" t="s">
        <v>37</v>
      </c>
      <c r="J1509" s="18" t="s">
        <v>38</v>
      </c>
      <c r="K1509" t="s">
        <v>39</v>
      </c>
      <c r="L1509" s="50">
        <f>VLOOKUP(A1509,'[3]Price info'!A:D,4,FALSE)</f>
        <v>11.04</v>
      </c>
      <c r="M1509" s="18" t="s">
        <v>214</v>
      </c>
      <c r="N1509" s="20">
        <v>3105</v>
      </c>
      <c r="P1509" s="16">
        <f>VLOOKUP(A1509,'[3]Price info'!A:H,8,FALSE)</f>
        <v>11.04</v>
      </c>
      <c r="Q1509" s="17">
        <f t="shared" si="93"/>
        <v>1</v>
      </c>
      <c r="S1509" s="16" t="e">
        <f>VLOOKUP(A1509,[4]Sales!$E:$G,3,FALSE)</f>
        <v>#N/A</v>
      </c>
      <c r="T1509" s="19" t="e">
        <f>VLOOKUP(A1509,[4]Volume!$E:$G,3,FALSE)</f>
        <v>#N/A</v>
      </c>
      <c r="U1509" s="19" t="e">
        <f>VLOOKUP(A1509,[4]Piece!$E:$G,3,FALSE)</f>
        <v>#N/A</v>
      </c>
      <c r="V1509" s="21" t="e">
        <f t="shared" si="94"/>
        <v>#N/A</v>
      </c>
      <c r="W1509" s="16" t="e">
        <f t="shared" si="95"/>
        <v>#N/A</v>
      </c>
    </row>
    <row r="1510" spans="1:23" hidden="1" x14ac:dyDescent="0.3">
      <c r="A1510" s="71" t="s">
        <v>3018</v>
      </c>
      <c r="B1510" s="71" t="s">
        <v>3018</v>
      </c>
      <c r="C1510" s="47" t="s">
        <v>33</v>
      </c>
      <c r="D1510" s="48" t="s">
        <v>34</v>
      </c>
      <c r="E1510" s="18" t="s">
        <v>3019</v>
      </c>
      <c r="F1510" s="24" t="str">
        <f t="shared" si="92"/>
        <v>PPG - EWI   SCRATCH RENDER TERRACOTTA 25KG</v>
      </c>
      <c r="G1510" s="20" t="s">
        <v>6381</v>
      </c>
      <c r="H1510" s="49" t="s">
        <v>213</v>
      </c>
      <c r="I1510" s="18" t="s">
        <v>37</v>
      </c>
      <c r="J1510" s="18" t="s">
        <v>38</v>
      </c>
      <c r="K1510" t="s">
        <v>39</v>
      </c>
      <c r="L1510" s="50">
        <f>VLOOKUP(A1510,'[3]Price info'!A:D,4,FALSE)</f>
        <v>11.04</v>
      </c>
      <c r="M1510" s="18" t="s">
        <v>214</v>
      </c>
      <c r="N1510" s="20">
        <v>3105</v>
      </c>
      <c r="P1510" s="16">
        <f>VLOOKUP(A1510,'[3]Price info'!A:H,8,FALSE)</f>
        <v>11.04</v>
      </c>
      <c r="Q1510" s="17">
        <f t="shared" si="93"/>
        <v>1</v>
      </c>
      <c r="S1510" s="16" t="e">
        <f>VLOOKUP(A1510,[4]Sales!$E:$G,3,FALSE)</f>
        <v>#N/A</v>
      </c>
      <c r="T1510" s="19" t="e">
        <f>VLOOKUP(A1510,[4]Volume!$E:$G,3,FALSE)</f>
        <v>#N/A</v>
      </c>
      <c r="U1510" s="19" t="e">
        <f>VLOOKUP(A1510,[4]Piece!$E:$G,3,FALSE)</f>
        <v>#N/A</v>
      </c>
      <c r="V1510" s="21" t="e">
        <f t="shared" si="94"/>
        <v>#N/A</v>
      </c>
      <c r="W1510" s="16" t="e">
        <f t="shared" si="95"/>
        <v>#N/A</v>
      </c>
    </row>
    <row r="1511" spans="1:23" hidden="1" x14ac:dyDescent="0.3">
      <c r="A1511" s="71" t="s">
        <v>3020</v>
      </c>
      <c r="B1511" s="71" t="s">
        <v>3020</v>
      </c>
      <c r="C1511" s="51" t="s">
        <v>33</v>
      </c>
      <c r="D1511" s="48" t="s">
        <v>34</v>
      </c>
      <c r="E1511" s="18" t="s">
        <v>3021</v>
      </c>
      <c r="F1511" s="24" t="str">
        <f t="shared" si="92"/>
        <v>PPG - EWI   SMTH GRENOBLE BRICK SLIP BOX 30</v>
      </c>
      <c r="G1511" s="20" t="s">
        <v>6382</v>
      </c>
      <c r="H1511" s="49" t="s">
        <v>213</v>
      </c>
      <c r="I1511" s="18" t="s">
        <v>37</v>
      </c>
      <c r="J1511" s="18" t="s">
        <v>38</v>
      </c>
      <c r="K1511" t="s">
        <v>39</v>
      </c>
      <c r="L1511" s="50">
        <f>VLOOKUP(A1511,'[3]Price info'!A:D,4,FALSE)</f>
        <v>23.89</v>
      </c>
      <c r="M1511" s="18" t="s">
        <v>214</v>
      </c>
      <c r="N1511" s="20">
        <v>3105</v>
      </c>
      <c r="P1511" s="16">
        <f>VLOOKUP(A1511,'[3]Price info'!A:H,8,FALSE)</f>
        <v>23.89</v>
      </c>
      <c r="Q1511" s="17">
        <f t="shared" si="93"/>
        <v>1</v>
      </c>
      <c r="S1511" s="16" t="e">
        <f>VLOOKUP(A1511,[4]Sales!$E:$G,3,FALSE)</f>
        <v>#N/A</v>
      </c>
      <c r="T1511" s="19" t="e">
        <f>VLOOKUP(A1511,[4]Volume!$E:$G,3,FALSE)</f>
        <v>#N/A</v>
      </c>
      <c r="U1511" s="19" t="e">
        <f>VLOOKUP(A1511,[4]Piece!$E:$G,3,FALSE)</f>
        <v>#N/A</v>
      </c>
      <c r="V1511" s="21" t="e">
        <f t="shared" si="94"/>
        <v>#N/A</v>
      </c>
      <c r="W1511" s="16" t="e">
        <f t="shared" si="95"/>
        <v>#N/A</v>
      </c>
    </row>
    <row r="1512" spans="1:23" hidden="1" x14ac:dyDescent="0.3">
      <c r="A1512" s="71" t="s">
        <v>3022</v>
      </c>
      <c r="B1512" s="71" t="s">
        <v>3022</v>
      </c>
      <c r="C1512" s="47" t="s">
        <v>33</v>
      </c>
      <c r="D1512" s="48" t="s">
        <v>34</v>
      </c>
      <c r="E1512" s="18" t="s">
        <v>3023</v>
      </c>
      <c r="F1512" s="24" t="str">
        <f t="shared" si="92"/>
        <v>PPG - EWI   SMTH GRENOBLE PISTOL BRK BOX 14</v>
      </c>
      <c r="G1512" s="20" t="s">
        <v>6383</v>
      </c>
      <c r="H1512" s="49" t="s">
        <v>213</v>
      </c>
      <c r="I1512" s="18" t="s">
        <v>37</v>
      </c>
      <c r="J1512" s="18" t="s">
        <v>38</v>
      </c>
      <c r="K1512" t="s">
        <v>39</v>
      </c>
      <c r="L1512" s="50">
        <f>VLOOKUP(A1512,'[3]Price info'!A:D,4,FALSE)</f>
        <v>46.74</v>
      </c>
      <c r="M1512" s="18" t="s">
        <v>214</v>
      </c>
      <c r="N1512" s="20">
        <v>3105</v>
      </c>
      <c r="P1512" s="16">
        <f>VLOOKUP(A1512,'[3]Price info'!A:H,8,FALSE)</f>
        <v>46.74</v>
      </c>
      <c r="Q1512" s="17">
        <f t="shared" si="93"/>
        <v>1</v>
      </c>
      <c r="S1512" s="16" t="e">
        <f>VLOOKUP(A1512,[4]Sales!$E:$G,3,FALSE)</f>
        <v>#N/A</v>
      </c>
      <c r="T1512" s="19" t="e">
        <f>VLOOKUP(A1512,[4]Volume!$E:$G,3,FALSE)</f>
        <v>#N/A</v>
      </c>
      <c r="U1512" s="19" t="e">
        <f>VLOOKUP(A1512,[4]Piece!$E:$G,3,FALSE)</f>
        <v>#N/A</v>
      </c>
      <c r="V1512" s="21" t="e">
        <f t="shared" si="94"/>
        <v>#N/A</v>
      </c>
      <c r="W1512" s="16" t="e">
        <f t="shared" si="95"/>
        <v>#N/A</v>
      </c>
    </row>
    <row r="1513" spans="1:23" hidden="1" x14ac:dyDescent="0.3">
      <c r="A1513" s="71" t="s">
        <v>3024</v>
      </c>
      <c r="B1513" s="71" t="s">
        <v>3024</v>
      </c>
      <c r="C1513" s="47" t="s">
        <v>33</v>
      </c>
      <c r="D1513" s="48" t="s">
        <v>34</v>
      </c>
      <c r="E1513" s="18" t="s">
        <v>3025</v>
      </c>
      <c r="F1513" s="24" t="str">
        <f t="shared" si="92"/>
        <v>PPG - EWI   SPIRAL ANCOR FOR LW ATTACHMENTS</v>
      </c>
      <c r="G1513" s="20" t="s">
        <v>6384</v>
      </c>
      <c r="H1513" s="49" t="s">
        <v>213</v>
      </c>
      <c r="I1513" s="18" t="s">
        <v>37</v>
      </c>
      <c r="J1513" s="18" t="s">
        <v>38</v>
      </c>
      <c r="K1513" t="s">
        <v>39</v>
      </c>
      <c r="L1513" s="50">
        <f>VLOOKUP(A1513,'[3]Price info'!A:D,4,FALSE)</f>
        <v>5.7</v>
      </c>
      <c r="M1513" s="18" t="s">
        <v>214</v>
      </c>
      <c r="N1513" s="20">
        <v>3105</v>
      </c>
      <c r="P1513" s="16">
        <f>VLOOKUP(A1513,'[3]Price info'!A:H,8,FALSE)</f>
        <v>5.7</v>
      </c>
      <c r="Q1513" s="17">
        <f t="shared" si="93"/>
        <v>1</v>
      </c>
      <c r="S1513" s="16" t="e">
        <f>VLOOKUP(A1513,[4]Sales!$E:$G,3,FALSE)</f>
        <v>#N/A</v>
      </c>
      <c r="T1513" s="19" t="e">
        <f>VLOOKUP(A1513,[4]Volume!$E:$G,3,FALSE)</f>
        <v>#N/A</v>
      </c>
      <c r="U1513" s="19" t="e">
        <f>VLOOKUP(A1513,[4]Piece!$E:$G,3,FALSE)</f>
        <v>#N/A</v>
      </c>
      <c r="V1513" s="21" t="e">
        <f t="shared" si="94"/>
        <v>#N/A</v>
      </c>
      <c r="W1513" s="16" t="e">
        <f t="shared" si="95"/>
        <v>#N/A</v>
      </c>
    </row>
    <row r="1514" spans="1:23" hidden="1" x14ac:dyDescent="0.3">
      <c r="A1514" s="71" t="s">
        <v>3026</v>
      </c>
      <c r="B1514" s="71" t="s">
        <v>3026</v>
      </c>
      <c r="C1514" s="51" t="s">
        <v>33</v>
      </c>
      <c r="D1514" s="48" t="s">
        <v>34</v>
      </c>
      <c r="E1514" s="18" t="s">
        <v>3027</v>
      </c>
      <c r="F1514" s="24" t="str">
        <f t="shared" si="92"/>
        <v>PPG - EWI   STRU2G 115MM MAX 80MM INSULATION</v>
      </c>
      <c r="G1514" s="20" t="s">
        <v>6385</v>
      </c>
      <c r="H1514" s="49" t="s">
        <v>213</v>
      </c>
      <c r="I1514" s="18" t="s">
        <v>37</v>
      </c>
      <c r="J1514" s="18" t="s">
        <v>38</v>
      </c>
      <c r="K1514" t="s">
        <v>39</v>
      </c>
      <c r="L1514" s="50">
        <f>VLOOKUP(A1514,'[3]Price info'!A:D,4,FALSE)</f>
        <v>33.54</v>
      </c>
      <c r="M1514" s="18" t="s">
        <v>214</v>
      </c>
      <c r="N1514" s="20">
        <v>3105</v>
      </c>
      <c r="P1514" s="16">
        <f>VLOOKUP(A1514,'[3]Price info'!A:H,8,FALSE)</f>
        <v>33.54</v>
      </c>
      <c r="Q1514" s="17">
        <f t="shared" si="93"/>
        <v>1</v>
      </c>
      <c r="S1514" s="16" t="e">
        <f>VLOOKUP(A1514,[4]Sales!$E:$G,3,FALSE)</f>
        <v>#N/A</v>
      </c>
      <c r="T1514" s="19" t="e">
        <f>VLOOKUP(A1514,[4]Volume!$E:$G,3,FALSE)</f>
        <v>#N/A</v>
      </c>
      <c r="U1514" s="19" t="e">
        <f>VLOOKUP(A1514,[4]Piece!$E:$G,3,FALSE)</f>
        <v>#N/A</v>
      </c>
      <c r="V1514" s="21" t="e">
        <f t="shared" si="94"/>
        <v>#N/A</v>
      </c>
      <c r="W1514" s="16" t="e">
        <f t="shared" si="95"/>
        <v>#N/A</v>
      </c>
    </row>
    <row r="1515" spans="1:23" hidden="1" x14ac:dyDescent="0.3">
      <c r="A1515" s="71" t="s">
        <v>3028</v>
      </c>
      <c r="B1515" s="71" t="s">
        <v>3028</v>
      </c>
      <c r="C1515" s="47" t="s">
        <v>33</v>
      </c>
      <c r="D1515" s="48" t="s">
        <v>34</v>
      </c>
      <c r="E1515" s="18" t="s">
        <v>3029</v>
      </c>
      <c r="F1515" s="24" t="str">
        <f t="shared" si="92"/>
        <v>PPG - EWI   STRU2G 135MM MAX 100MM INSULATION</v>
      </c>
      <c r="G1515" s="20" t="s">
        <v>6386</v>
      </c>
      <c r="H1515" s="49" t="s">
        <v>213</v>
      </c>
      <c r="I1515" s="18" t="s">
        <v>37</v>
      </c>
      <c r="J1515" s="18" t="s">
        <v>38</v>
      </c>
      <c r="K1515" t="s">
        <v>39</v>
      </c>
      <c r="L1515" s="50">
        <f>VLOOKUP(A1515,'[3]Price info'!A:D,4,FALSE)</f>
        <v>38.58</v>
      </c>
      <c r="M1515" s="18" t="s">
        <v>214</v>
      </c>
      <c r="N1515" s="20">
        <v>3105</v>
      </c>
      <c r="P1515" s="16">
        <f>VLOOKUP(A1515,'[3]Price info'!A:H,8,FALSE)</f>
        <v>38.58</v>
      </c>
      <c r="Q1515" s="17">
        <f t="shared" si="93"/>
        <v>1</v>
      </c>
      <c r="S1515" s="16" t="e">
        <f>VLOOKUP(A1515,[4]Sales!$E:$G,3,FALSE)</f>
        <v>#N/A</v>
      </c>
      <c r="T1515" s="19" t="e">
        <f>VLOOKUP(A1515,[4]Volume!$E:$G,3,FALSE)</f>
        <v>#N/A</v>
      </c>
      <c r="U1515" s="19" t="e">
        <f>VLOOKUP(A1515,[4]Piece!$E:$G,3,FALSE)</f>
        <v>#N/A</v>
      </c>
      <c r="V1515" s="21" t="e">
        <f t="shared" si="94"/>
        <v>#N/A</v>
      </c>
      <c r="W1515" s="16" t="e">
        <f t="shared" si="95"/>
        <v>#N/A</v>
      </c>
    </row>
    <row r="1516" spans="1:23" hidden="1" x14ac:dyDescent="0.3">
      <c r="A1516" s="71" t="s">
        <v>3030</v>
      </c>
      <c r="B1516" s="71" t="s">
        <v>3030</v>
      </c>
      <c r="C1516" s="47" t="s">
        <v>33</v>
      </c>
      <c r="D1516" s="48" t="s">
        <v>34</v>
      </c>
      <c r="E1516" s="18" t="s">
        <v>3031</v>
      </c>
      <c r="F1516" s="24" t="str">
        <f t="shared" si="92"/>
        <v>PPG - EWI   SWI-EX       EXT TUBE</v>
      </c>
      <c r="G1516" s="20" t="s">
        <v>6387</v>
      </c>
      <c r="H1516" s="49" t="s">
        <v>213</v>
      </c>
      <c r="I1516" s="18" t="s">
        <v>37</v>
      </c>
      <c r="J1516" s="18" t="s">
        <v>38</v>
      </c>
      <c r="K1516" t="s">
        <v>39</v>
      </c>
      <c r="L1516" s="50">
        <f>VLOOKUP(A1516,'[3]Price info'!A:D,4,FALSE)</f>
        <v>1.22</v>
      </c>
      <c r="M1516" s="18" t="s">
        <v>214</v>
      </c>
      <c r="N1516" s="20">
        <v>3105</v>
      </c>
      <c r="P1516" s="16">
        <f>VLOOKUP(A1516,'[3]Price info'!A:H,8,FALSE)</f>
        <v>1.22</v>
      </c>
      <c r="Q1516" s="17">
        <f t="shared" si="93"/>
        <v>1</v>
      </c>
      <c r="S1516" s="16" t="e">
        <f>VLOOKUP(A1516,[4]Sales!$E:$G,3,FALSE)</f>
        <v>#N/A</v>
      </c>
      <c r="T1516" s="19" t="e">
        <f>VLOOKUP(A1516,[4]Volume!$E:$G,3,FALSE)</f>
        <v>#N/A</v>
      </c>
      <c r="U1516" s="19" t="e">
        <f>VLOOKUP(A1516,[4]Piece!$E:$G,3,FALSE)</f>
        <v>#N/A</v>
      </c>
      <c r="V1516" s="21" t="e">
        <f t="shared" si="94"/>
        <v>#N/A</v>
      </c>
      <c r="W1516" s="16" t="e">
        <f t="shared" si="95"/>
        <v>#N/A</v>
      </c>
    </row>
    <row r="1517" spans="1:23" hidden="1" x14ac:dyDescent="0.3">
      <c r="A1517" s="71" t="s">
        <v>3032</v>
      </c>
      <c r="B1517" s="71" t="s">
        <v>3032</v>
      </c>
      <c r="C1517" s="51" t="s">
        <v>33</v>
      </c>
      <c r="D1517" s="48" t="s">
        <v>34</v>
      </c>
      <c r="E1517" s="18" t="s">
        <v>3033</v>
      </c>
      <c r="F1517" s="24" t="str">
        <f t="shared" si="92"/>
        <v>PPG - EWI   TECNIC SILICONE SEALANT 0000000380</v>
      </c>
      <c r="G1517" s="20" t="s">
        <v>6388</v>
      </c>
      <c r="H1517" s="49" t="s">
        <v>213</v>
      </c>
      <c r="I1517" s="18" t="s">
        <v>37</v>
      </c>
      <c r="J1517" s="18" t="s">
        <v>38</v>
      </c>
      <c r="K1517" t="s">
        <v>39</v>
      </c>
      <c r="L1517" s="50">
        <f>VLOOKUP(A1517,'[3]Price info'!A:D,4,FALSE)</f>
        <v>3.22</v>
      </c>
      <c r="M1517" s="18" t="s">
        <v>214</v>
      </c>
      <c r="N1517" s="20">
        <v>3105</v>
      </c>
      <c r="P1517" s="16">
        <f>VLOOKUP(A1517,'[3]Price info'!A:H,8,FALSE)</f>
        <v>3.22</v>
      </c>
      <c r="Q1517" s="17">
        <f t="shared" si="93"/>
        <v>1</v>
      </c>
      <c r="S1517" s="16" t="e">
        <f>VLOOKUP(A1517,[4]Sales!$E:$G,3,FALSE)</f>
        <v>#N/A</v>
      </c>
      <c r="T1517" s="19" t="e">
        <f>VLOOKUP(A1517,[4]Volume!$E:$G,3,FALSE)</f>
        <v>#N/A</v>
      </c>
      <c r="U1517" s="19" t="e">
        <f>VLOOKUP(A1517,[4]Piece!$E:$G,3,FALSE)</f>
        <v>#N/A</v>
      </c>
      <c r="V1517" s="21" t="e">
        <f t="shared" si="94"/>
        <v>#N/A</v>
      </c>
      <c r="W1517" s="16" t="e">
        <f t="shared" si="95"/>
        <v>#N/A</v>
      </c>
    </row>
    <row r="1518" spans="1:23" hidden="1" x14ac:dyDescent="0.3">
      <c r="A1518" s="71" t="s">
        <v>3034</v>
      </c>
      <c r="B1518" s="71" t="s">
        <v>3034</v>
      </c>
      <c r="C1518" s="47" t="s">
        <v>33</v>
      </c>
      <c r="D1518" s="48" t="s">
        <v>34</v>
      </c>
      <c r="E1518" s="18" t="s">
        <v>3035</v>
      </c>
      <c r="F1518" s="24" t="str">
        <f t="shared" si="92"/>
        <v>PPG - EWI   TP10 50MM    1200X2400</v>
      </c>
      <c r="G1518" s="20" t="s">
        <v>6389</v>
      </c>
      <c r="H1518" s="49" t="s">
        <v>213</v>
      </c>
      <c r="I1518" s="18" t="s">
        <v>37</v>
      </c>
      <c r="J1518" s="18" t="s">
        <v>38</v>
      </c>
      <c r="K1518" t="s">
        <v>39</v>
      </c>
      <c r="L1518" s="50">
        <f>VLOOKUP(A1518,'[3]Price info'!A:D,4,FALSE)</f>
        <v>31.11</v>
      </c>
      <c r="M1518" s="18" t="s">
        <v>214</v>
      </c>
      <c r="N1518" s="20">
        <v>3105</v>
      </c>
      <c r="P1518" s="16">
        <f>VLOOKUP(A1518,'[3]Price info'!A:H,8,FALSE)</f>
        <v>31.11</v>
      </c>
      <c r="Q1518" s="17">
        <f t="shared" si="93"/>
        <v>1</v>
      </c>
      <c r="S1518" s="16" t="e">
        <f>VLOOKUP(A1518,[4]Sales!$E:$G,3,FALSE)</f>
        <v>#N/A</v>
      </c>
      <c r="T1518" s="19" t="e">
        <f>VLOOKUP(A1518,[4]Volume!$E:$G,3,FALSE)</f>
        <v>#N/A</v>
      </c>
      <c r="U1518" s="19" t="e">
        <f>VLOOKUP(A1518,[4]Piece!$E:$G,3,FALSE)</f>
        <v>#N/A</v>
      </c>
      <c r="V1518" s="21" t="e">
        <f t="shared" si="94"/>
        <v>#N/A</v>
      </c>
      <c r="W1518" s="16" t="e">
        <f t="shared" si="95"/>
        <v>#N/A</v>
      </c>
    </row>
    <row r="1519" spans="1:23" hidden="1" x14ac:dyDescent="0.3">
      <c r="A1519" s="71" t="s">
        <v>3036</v>
      </c>
      <c r="B1519" s="71" t="s">
        <v>3036</v>
      </c>
      <c r="C1519" s="47" t="s">
        <v>33</v>
      </c>
      <c r="D1519" s="48" t="s">
        <v>34</v>
      </c>
      <c r="E1519" s="18" t="s">
        <v>3037</v>
      </c>
      <c r="F1519" s="24" t="str">
        <f t="shared" si="92"/>
        <v>PPG - EWI   VENTED TOP   BEAD 101   2.5MT</v>
      </c>
      <c r="G1519" s="20" t="s">
        <v>6390</v>
      </c>
      <c r="H1519" s="49" t="s">
        <v>213</v>
      </c>
      <c r="I1519" s="18" t="s">
        <v>37</v>
      </c>
      <c r="J1519" s="18" t="s">
        <v>38</v>
      </c>
      <c r="K1519" t="s">
        <v>39</v>
      </c>
      <c r="L1519" s="50">
        <f>VLOOKUP(A1519,'[3]Price info'!A:D,4,FALSE)</f>
        <v>17.38</v>
      </c>
      <c r="M1519" s="18" t="s">
        <v>214</v>
      </c>
      <c r="N1519" s="20">
        <v>3105</v>
      </c>
      <c r="P1519" s="16">
        <f>VLOOKUP(A1519,'[3]Price info'!A:H,8,FALSE)</f>
        <v>17.38</v>
      </c>
      <c r="Q1519" s="17">
        <f t="shared" si="93"/>
        <v>1</v>
      </c>
      <c r="S1519" s="16" t="e">
        <f>VLOOKUP(A1519,[4]Sales!$E:$G,3,FALSE)</f>
        <v>#N/A</v>
      </c>
      <c r="T1519" s="19" t="e">
        <f>VLOOKUP(A1519,[4]Volume!$E:$G,3,FALSE)</f>
        <v>#N/A</v>
      </c>
      <c r="U1519" s="19" t="e">
        <f>VLOOKUP(A1519,[4]Piece!$E:$G,3,FALSE)</f>
        <v>#N/A</v>
      </c>
      <c r="V1519" s="21" t="e">
        <f t="shared" si="94"/>
        <v>#N/A</v>
      </c>
      <c r="W1519" s="16" t="e">
        <f t="shared" si="95"/>
        <v>#N/A</v>
      </c>
    </row>
    <row r="1520" spans="1:23" hidden="1" x14ac:dyDescent="0.3">
      <c r="A1520" s="71" t="s">
        <v>3038</v>
      </c>
      <c r="B1520" s="71" t="s">
        <v>3038</v>
      </c>
      <c r="C1520" s="51" t="s">
        <v>33</v>
      </c>
      <c r="D1520" s="48" t="s">
        <v>34</v>
      </c>
      <c r="E1520" s="18" t="s">
        <v>3039</v>
      </c>
      <c r="F1520" s="24" t="str">
        <f t="shared" si="92"/>
        <v>PPG - EWI   VENTED U CHN 40X40X14 + 6MM NOSE</v>
      </c>
      <c r="G1520" s="20" t="s">
        <v>6391</v>
      </c>
      <c r="H1520" s="49" t="s">
        <v>213</v>
      </c>
      <c r="I1520" s="18" t="s">
        <v>37</v>
      </c>
      <c r="J1520" s="18" t="s">
        <v>38</v>
      </c>
      <c r="K1520" t="s">
        <v>39</v>
      </c>
      <c r="L1520" s="50">
        <f>VLOOKUP(A1520,'[3]Price info'!A:D,4,FALSE)</f>
        <v>22.23</v>
      </c>
      <c r="M1520" s="18" t="s">
        <v>214</v>
      </c>
      <c r="N1520" s="20">
        <v>3105</v>
      </c>
      <c r="P1520" s="16">
        <f>VLOOKUP(A1520,'[3]Price info'!A:H,8,FALSE)</f>
        <v>22.23</v>
      </c>
      <c r="Q1520" s="17">
        <f t="shared" si="93"/>
        <v>1</v>
      </c>
      <c r="S1520" s="16" t="e">
        <f>VLOOKUP(A1520,[4]Sales!$E:$G,3,FALSE)</f>
        <v>#N/A</v>
      </c>
      <c r="T1520" s="19" t="e">
        <f>VLOOKUP(A1520,[4]Volume!$E:$G,3,FALSE)</f>
        <v>#N/A</v>
      </c>
      <c r="U1520" s="19" t="e">
        <f>VLOOKUP(A1520,[4]Piece!$E:$G,3,FALSE)</f>
        <v>#N/A</v>
      </c>
      <c r="V1520" s="21" t="e">
        <f t="shared" si="94"/>
        <v>#N/A</v>
      </c>
      <c r="W1520" s="16" t="e">
        <f t="shared" si="95"/>
        <v>#N/A</v>
      </c>
    </row>
    <row r="1521" spans="1:23" hidden="1" x14ac:dyDescent="0.3">
      <c r="A1521" s="71" t="s">
        <v>3040</v>
      </c>
      <c r="B1521" s="71" t="s">
        <v>3040</v>
      </c>
      <c r="C1521" s="47" t="s">
        <v>33</v>
      </c>
      <c r="D1521" s="48" t="s">
        <v>34</v>
      </c>
      <c r="E1521" s="18" t="s">
        <v>3041</v>
      </c>
      <c r="F1521" s="24" t="str">
        <f t="shared" si="92"/>
        <v>PPG - EWI   VERGE EXT CORNERS *SPECIFY SIZE*</v>
      </c>
      <c r="G1521" s="20" t="s">
        <v>6392</v>
      </c>
      <c r="H1521" s="49" t="s">
        <v>213</v>
      </c>
      <c r="I1521" s="18" t="s">
        <v>37</v>
      </c>
      <c r="J1521" s="18" t="s">
        <v>38</v>
      </c>
      <c r="K1521" t="s">
        <v>39</v>
      </c>
      <c r="L1521" s="50">
        <f>VLOOKUP(A1521,'[3]Price info'!A:D,4,FALSE)</f>
        <v>26.73</v>
      </c>
      <c r="M1521" s="18" t="s">
        <v>214</v>
      </c>
      <c r="N1521" s="20">
        <v>3105</v>
      </c>
      <c r="P1521" s="16">
        <f>VLOOKUP(A1521,'[3]Price info'!A:H,8,FALSE)</f>
        <v>26.73</v>
      </c>
      <c r="Q1521" s="17">
        <f t="shared" si="93"/>
        <v>1</v>
      </c>
      <c r="S1521" s="16" t="e">
        <f>VLOOKUP(A1521,[4]Sales!$E:$G,3,FALSE)</f>
        <v>#N/A</v>
      </c>
      <c r="T1521" s="19" t="e">
        <f>VLOOKUP(A1521,[4]Volume!$E:$G,3,FALSE)</f>
        <v>#N/A</v>
      </c>
      <c r="U1521" s="19" t="e">
        <f>VLOOKUP(A1521,[4]Piece!$E:$G,3,FALSE)</f>
        <v>#N/A</v>
      </c>
      <c r="V1521" s="21" t="e">
        <f t="shared" si="94"/>
        <v>#N/A</v>
      </c>
      <c r="W1521" s="16" t="e">
        <f t="shared" si="95"/>
        <v>#N/A</v>
      </c>
    </row>
    <row r="1522" spans="1:23" hidden="1" x14ac:dyDescent="0.3">
      <c r="A1522" s="71" t="s">
        <v>3042</v>
      </c>
      <c r="B1522" s="71" t="s">
        <v>3042</v>
      </c>
      <c r="C1522" s="47" t="s">
        <v>33</v>
      </c>
      <c r="D1522" s="48" t="s">
        <v>34</v>
      </c>
      <c r="E1522" s="18" t="s">
        <v>3043</v>
      </c>
      <c r="F1522" s="24" t="str">
        <f t="shared" si="92"/>
        <v>PPG - EWI   VERGE TRIM END CAPSX2 WELDED OVER</v>
      </c>
      <c r="G1522" s="20" t="s">
        <v>6393</v>
      </c>
      <c r="H1522" s="49" t="s">
        <v>213</v>
      </c>
      <c r="I1522" s="18" t="s">
        <v>37</v>
      </c>
      <c r="J1522" s="18" t="s">
        <v>38</v>
      </c>
      <c r="K1522" t="s">
        <v>39</v>
      </c>
      <c r="L1522" s="50">
        <f>VLOOKUP(A1522,'[3]Price info'!A:D,4,FALSE)</f>
        <v>12.41</v>
      </c>
      <c r="M1522" s="18" t="s">
        <v>214</v>
      </c>
      <c r="N1522" s="20">
        <v>3105</v>
      </c>
      <c r="P1522" s="16">
        <f>VLOOKUP(A1522,'[3]Price info'!A:H,8,FALSE)</f>
        <v>12.41</v>
      </c>
      <c r="Q1522" s="17">
        <f t="shared" si="93"/>
        <v>1</v>
      </c>
      <c r="S1522" s="16" t="e">
        <f>VLOOKUP(A1522,[4]Sales!$E:$G,3,FALSE)</f>
        <v>#N/A</v>
      </c>
      <c r="T1522" s="19" t="e">
        <f>VLOOKUP(A1522,[4]Volume!$E:$G,3,FALSE)</f>
        <v>#N/A</v>
      </c>
      <c r="U1522" s="19" t="e">
        <f>VLOOKUP(A1522,[4]Piece!$E:$G,3,FALSE)</f>
        <v>#N/A</v>
      </c>
      <c r="V1522" s="21" t="e">
        <f t="shared" si="94"/>
        <v>#N/A</v>
      </c>
      <c r="W1522" s="16" t="e">
        <f t="shared" si="95"/>
        <v>#N/A</v>
      </c>
    </row>
    <row r="1523" spans="1:23" hidden="1" x14ac:dyDescent="0.3">
      <c r="A1523" s="71" t="s">
        <v>3044</v>
      </c>
      <c r="B1523" s="71" t="s">
        <v>3044</v>
      </c>
      <c r="C1523" s="51" t="s">
        <v>33</v>
      </c>
      <c r="D1523" s="48" t="s">
        <v>34</v>
      </c>
      <c r="E1523" s="18" t="s">
        <v>3045</v>
      </c>
      <c r="F1523" s="24" t="str">
        <f t="shared" si="92"/>
        <v>PPG - EWI   VERGE TRIM JOINT CLIPS</v>
      </c>
      <c r="G1523" s="20" t="s">
        <v>6394</v>
      </c>
      <c r="H1523" s="49" t="s">
        <v>213</v>
      </c>
      <c r="I1523" s="18" t="s">
        <v>37</v>
      </c>
      <c r="J1523" s="18" t="s">
        <v>38</v>
      </c>
      <c r="K1523" t="s">
        <v>39</v>
      </c>
      <c r="L1523" s="50">
        <f>VLOOKUP(A1523,'[3]Price info'!A:D,4,FALSE)</f>
        <v>3.22</v>
      </c>
      <c r="M1523" s="18" t="s">
        <v>214</v>
      </c>
      <c r="N1523" s="20">
        <v>3105</v>
      </c>
      <c r="P1523" s="16">
        <f>VLOOKUP(A1523,'[3]Price info'!A:H,8,FALSE)</f>
        <v>3.22</v>
      </c>
      <c r="Q1523" s="17">
        <f t="shared" si="93"/>
        <v>1</v>
      </c>
      <c r="S1523" s="16" t="e">
        <f>VLOOKUP(A1523,[4]Sales!$E:$G,3,FALSE)</f>
        <v>#N/A</v>
      </c>
      <c r="T1523" s="19" t="e">
        <f>VLOOKUP(A1523,[4]Volume!$E:$G,3,FALSE)</f>
        <v>#N/A</v>
      </c>
      <c r="U1523" s="19" t="e">
        <f>VLOOKUP(A1523,[4]Piece!$E:$G,3,FALSE)</f>
        <v>#N/A</v>
      </c>
      <c r="V1523" s="21" t="e">
        <f t="shared" si="94"/>
        <v>#N/A</v>
      </c>
      <c r="W1523" s="16" t="e">
        <f t="shared" si="95"/>
        <v>#N/A</v>
      </c>
    </row>
    <row r="1524" spans="1:23" hidden="1" x14ac:dyDescent="0.3">
      <c r="A1524" s="71" t="s">
        <v>3046</v>
      </c>
      <c r="B1524" s="71" t="s">
        <v>3046</v>
      </c>
      <c r="C1524" s="47" t="s">
        <v>33</v>
      </c>
      <c r="D1524" s="48" t="s">
        <v>34</v>
      </c>
      <c r="E1524" s="18" t="s">
        <v>3047</v>
      </c>
      <c r="F1524" s="24" t="str">
        <f t="shared" si="92"/>
        <v>PPG - EWI   WHI PLASTIC ANGLE S/SPINE 2.5M 6MM</v>
      </c>
      <c r="G1524" s="20" t="s">
        <v>6395</v>
      </c>
      <c r="H1524" s="49" t="s">
        <v>213</v>
      </c>
      <c r="I1524" s="18" t="s">
        <v>37</v>
      </c>
      <c r="J1524" s="18" t="s">
        <v>38</v>
      </c>
      <c r="K1524" t="s">
        <v>39</v>
      </c>
      <c r="L1524" s="50">
        <f>VLOOKUP(A1524,'[3]Price info'!A:D,4,FALSE)</f>
        <v>2.88</v>
      </c>
      <c r="M1524" s="18" t="s">
        <v>214</v>
      </c>
      <c r="N1524" s="20">
        <v>3105</v>
      </c>
      <c r="P1524" s="16">
        <f>VLOOKUP(A1524,'[3]Price info'!A:H,8,FALSE)</f>
        <v>2.88</v>
      </c>
      <c r="Q1524" s="17">
        <f t="shared" si="93"/>
        <v>1</v>
      </c>
      <c r="S1524" s="16" t="e">
        <f>VLOOKUP(A1524,[4]Sales!$E:$G,3,FALSE)</f>
        <v>#N/A</v>
      </c>
      <c r="T1524" s="19" t="e">
        <f>VLOOKUP(A1524,[4]Volume!$E:$G,3,FALSE)</f>
        <v>#N/A</v>
      </c>
      <c r="U1524" s="19" t="e">
        <f>VLOOKUP(A1524,[4]Piece!$E:$G,3,FALSE)</f>
        <v>#N/A</v>
      </c>
      <c r="V1524" s="21" t="e">
        <f t="shared" si="94"/>
        <v>#N/A</v>
      </c>
      <c r="W1524" s="16" t="e">
        <f t="shared" si="95"/>
        <v>#N/A</v>
      </c>
    </row>
    <row r="1525" spans="1:23" hidden="1" x14ac:dyDescent="0.3">
      <c r="A1525" s="71" t="s">
        <v>3048</v>
      </c>
      <c r="B1525" s="71" t="s">
        <v>3048</v>
      </c>
      <c r="C1525" s="47" t="s">
        <v>33</v>
      </c>
      <c r="D1525" s="48" t="s">
        <v>34</v>
      </c>
      <c r="E1525" s="18" t="s">
        <v>3049</v>
      </c>
      <c r="F1525" s="24" t="str">
        <f t="shared" si="92"/>
        <v>PPG - EWI   WHI PLASTIC ANGLE S/SPINE 2.5M10MM</v>
      </c>
      <c r="G1525" s="20" t="s">
        <v>6396</v>
      </c>
      <c r="H1525" s="49" t="s">
        <v>213</v>
      </c>
      <c r="I1525" s="18" t="s">
        <v>37</v>
      </c>
      <c r="J1525" s="18" t="s">
        <v>38</v>
      </c>
      <c r="K1525" t="s">
        <v>39</v>
      </c>
      <c r="L1525" s="50">
        <f>VLOOKUP(A1525,'[3]Price info'!A:D,4,FALSE)</f>
        <v>3</v>
      </c>
      <c r="M1525" s="18" t="s">
        <v>214</v>
      </c>
      <c r="N1525" s="20">
        <v>3105</v>
      </c>
      <c r="P1525" s="16">
        <f>VLOOKUP(A1525,'[3]Price info'!A:H,8,FALSE)</f>
        <v>3</v>
      </c>
      <c r="Q1525" s="17">
        <f t="shared" si="93"/>
        <v>1</v>
      </c>
      <c r="S1525" s="16" t="e">
        <f>VLOOKUP(A1525,[4]Sales!$E:$G,3,FALSE)</f>
        <v>#N/A</v>
      </c>
      <c r="T1525" s="19" t="e">
        <f>VLOOKUP(A1525,[4]Volume!$E:$G,3,FALSE)</f>
        <v>#N/A</v>
      </c>
      <c r="U1525" s="19" t="e">
        <f>VLOOKUP(A1525,[4]Piece!$E:$G,3,FALSE)</f>
        <v>#N/A</v>
      </c>
      <c r="V1525" s="21" t="e">
        <f t="shared" si="94"/>
        <v>#N/A</v>
      </c>
      <c r="W1525" s="16" t="e">
        <f t="shared" si="95"/>
        <v>#N/A</v>
      </c>
    </row>
    <row r="1526" spans="1:23" hidden="1" x14ac:dyDescent="0.3">
      <c r="A1526" s="71" t="s">
        <v>3050</v>
      </c>
      <c r="B1526" s="71" t="s">
        <v>3050</v>
      </c>
      <c r="C1526" s="51" t="s">
        <v>33</v>
      </c>
      <c r="D1526" s="48" t="s">
        <v>34</v>
      </c>
      <c r="E1526" s="18" t="s">
        <v>3051</v>
      </c>
      <c r="F1526" s="24" t="str">
        <f t="shared" si="92"/>
        <v>PPG - EWI   WHI PLASTIC ANGLE S/SPINE 2.5M15MM</v>
      </c>
      <c r="G1526" s="20" t="s">
        <v>6397</v>
      </c>
      <c r="H1526" s="49" t="s">
        <v>213</v>
      </c>
      <c r="I1526" s="18" t="s">
        <v>37</v>
      </c>
      <c r="J1526" s="18" t="s">
        <v>38</v>
      </c>
      <c r="K1526" t="s">
        <v>39</v>
      </c>
      <c r="L1526" s="50">
        <f>VLOOKUP(A1526,'[3]Price info'!A:D,4,FALSE)</f>
        <v>3.1</v>
      </c>
      <c r="M1526" s="18" t="s">
        <v>214</v>
      </c>
      <c r="N1526" s="20">
        <v>3105</v>
      </c>
      <c r="P1526" s="16">
        <f>VLOOKUP(A1526,'[3]Price info'!A:H,8,FALSE)</f>
        <v>3.1</v>
      </c>
      <c r="Q1526" s="17">
        <f t="shared" si="93"/>
        <v>1</v>
      </c>
      <c r="S1526" s="16" t="e">
        <f>VLOOKUP(A1526,[4]Sales!$E:$G,3,FALSE)</f>
        <v>#N/A</v>
      </c>
      <c r="T1526" s="19" t="e">
        <f>VLOOKUP(A1526,[4]Volume!$E:$G,3,FALSE)</f>
        <v>#N/A</v>
      </c>
      <c r="U1526" s="19" t="e">
        <f>VLOOKUP(A1526,[4]Piece!$E:$G,3,FALSE)</f>
        <v>#N/A</v>
      </c>
      <c r="V1526" s="21" t="e">
        <f t="shared" si="94"/>
        <v>#N/A</v>
      </c>
      <c r="W1526" s="16" t="e">
        <f t="shared" si="95"/>
        <v>#N/A</v>
      </c>
    </row>
    <row r="1527" spans="1:23" hidden="1" x14ac:dyDescent="0.3">
      <c r="A1527" s="71" t="s">
        <v>3052</v>
      </c>
      <c r="B1527" s="71" t="s">
        <v>3052</v>
      </c>
      <c r="C1527" s="47" t="s">
        <v>33</v>
      </c>
      <c r="D1527" s="48" t="s">
        <v>34</v>
      </c>
      <c r="E1527" s="18" t="s">
        <v>3053</v>
      </c>
      <c r="F1527" s="24" t="str">
        <f t="shared" si="92"/>
        <v>PPG - EWI   WHI PLASTIC BELLCAST BEAD 2.5M10MM</v>
      </c>
      <c r="G1527" s="20" t="s">
        <v>6398</v>
      </c>
      <c r="H1527" s="49" t="s">
        <v>213</v>
      </c>
      <c r="I1527" s="18" t="s">
        <v>37</v>
      </c>
      <c r="J1527" s="18" t="s">
        <v>38</v>
      </c>
      <c r="K1527" t="s">
        <v>39</v>
      </c>
      <c r="L1527" s="50">
        <f>VLOOKUP(A1527,'[3]Price info'!A:D,4,FALSE)</f>
        <v>2.78</v>
      </c>
      <c r="M1527" s="18" t="s">
        <v>214</v>
      </c>
      <c r="N1527" s="20">
        <v>3105</v>
      </c>
      <c r="P1527" s="16">
        <f>VLOOKUP(A1527,'[3]Price info'!A:H,8,FALSE)</f>
        <v>2.78</v>
      </c>
      <c r="Q1527" s="17">
        <f t="shared" si="93"/>
        <v>1</v>
      </c>
      <c r="S1527" s="16" t="e">
        <f>VLOOKUP(A1527,[4]Sales!$E:$G,3,FALSE)</f>
        <v>#N/A</v>
      </c>
      <c r="T1527" s="19" t="e">
        <f>VLOOKUP(A1527,[4]Volume!$E:$G,3,FALSE)</f>
        <v>#N/A</v>
      </c>
      <c r="U1527" s="19" t="e">
        <f>VLOOKUP(A1527,[4]Piece!$E:$G,3,FALSE)</f>
        <v>#N/A</v>
      </c>
      <c r="V1527" s="21" t="e">
        <f t="shared" si="94"/>
        <v>#N/A</v>
      </c>
      <c r="W1527" s="16" t="e">
        <f t="shared" si="95"/>
        <v>#N/A</v>
      </c>
    </row>
    <row r="1528" spans="1:23" hidden="1" x14ac:dyDescent="0.3">
      <c r="A1528" s="71" t="s">
        <v>3054</v>
      </c>
      <c r="B1528" s="71" t="s">
        <v>3054</v>
      </c>
      <c r="C1528" s="47" t="s">
        <v>33</v>
      </c>
      <c r="D1528" s="48" t="s">
        <v>34</v>
      </c>
      <c r="E1528" s="18" t="s">
        <v>3055</v>
      </c>
      <c r="F1528" s="24" t="str">
        <f t="shared" si="92"/>
        <v>PPG - EWI   WHI PLASTIC BELLCAST BEAD 2.5M15MM</v>
      </c>
      <c r="G1528" s="20" t="s">
        <v>6399</v>
      </c>
      <c r="H1528" s="49" t="s">
        <v>213</v>
      </c>
      <c r="I1528" s="18" t="s">
        <v>37</v>
      </c>
      <c r="J1528" s="18" t="s">
        <v>38</v>
      </c>
      <c r="K1528" t="s">
        <v>39</v>
      </c>
      <c r="L1528" s="50">
        <f>VLOOKUP(A1528,'[3]Price info'!A:D,4,FALSE)</f>
        <v>2.88</v>
      </c>
      <c r="M1528" s="18" t="s">
        <v>214</v>
      </c>
      <c r="N1528" s="20">
        <v>3105</v>
      </c>
      <c r="P1528" s="16">
        <f>VLOOKUP(A1528,'[3]Price info'!A:H,8,FALSE)</f>
        <v>2.88</v>
      </c>
      <c r="Q1528" s="17">
        <f t="shared" si="93"/>
        <v>1</v>
      </c>
      <c r="S1528" s="16" t="e">
        <f>VLOOKUP(A1528,[4]Sales!$E:$G,3,FALSE)</f>
        <v>#N/A</v>
      </c>
      <c r="T1528" s="19" t="e">
        <f>VLOOKUP(A1528,[4]Volume!$E:$G,3,FALSE)</f>
        <v>#N/A</v>
      </c>
      <c r="U1528" s="19" t="e">
        <f>VLOOKUP(A1528,[4]Piece!$E:$G,3,FALSE)</f>
        <v>#N/A</v>
      </c>
      <c r="V1528" s="21" t="e">
        <f t="shared" si="94"/>
        <v>#N/A</v>
      </c>
      <c r="W1528" s="16" t="e">
        <f t="shared" si="95"/>
        <v>#N/A</v>
      </c>
    </row>
    <row r="1529" spans="1:23" hidden="1" x14ac:dyDescent="0.3">
      <c r="A1529" s="71" t="s">
        <v>3056</v>
      </c>
      <c r="B1529" s="71" t="s">
        <v>3056</v>
      </c>
      <c r="C1529" s="51" t="s">
        <v>33</v>
      </c>
      <c r="D1529" s="48" t="s">
        <v>34</v>
      </c>
      <c r="E1529" s="18" t="s">
        <v>3057</v>
      </c>
      <c r="F1529" s="24" t="str">
        <f t="shared" si="92"/>
        <v>PPG - EWI   WHIPLASTIC EXPANSION BEAD 2.5M 6MM</v>
      </c>
      <c r="G1529" s="20" t="s">
        <v>6400</v>
      </c>
      <c r="H1529" s="49" t="s">
        <v>213</v>
      </c>
      <c r="I1529" s="18" t="s">
        <v>37</v>
      </c>
      <c r="J1529" s="18" t="s">
        <v>38</v>
      </c>
      <c r="K1529" t="s">
        <v>39</v>
      </c>
      <c r="L1529" s="50">
        <f>VLOOKUP(A1529,'[3]Price info'!A:D,4,FALSE)</f>
        <v>5.54</v>
      </c>
      <c r="M1529" s="18" t="s">
        <v>214</v>
      </c>
      <c r="N1529" s="20">
        <v>3105</v>
      </c>
      <c r="P1529" s="16">
        <f>VLOOKUP(A1529,'[3]Price info'!A:H,8,FALSE)</f>
        <v>5.54</v>
      </c>
      <c r="Q1529" s="17">
        <f t="shared" si="93"/>
        <v>1</v>
      </c>
      <c r="S1529" s="16" t="e">
        <f>VLOOKUP(A1529,[4]Sales!$E:$G,3,FALSE)</f>
        <v>#N/A</v>
      </c>
      <c r="T1529" s="19" t="e">
        <f>VLOOKUP(A1529,[4]Volume!$E:$G,3,FALSE)</f>
        <v>#N/A</v>
      </c>
      <c r="U1529" s="19" t="e">
        <f>VLOOKUP(A1529,[4]Piece!$E:$G,3,FALSE)</f>
        <v>#N/A</v>
      </c>
      <c r="V1529" s="21" t="e">
        <f t="shared" si="94"/>
        <v>#N/A</v>
      </c>
      <c r="W1529" s="16" t="e">
        <f t="shared" si="95"/>
        <v>#N/A</v>
      </c>
    </row>
    <row r="1530" spans="1:23" hidden="1" x14ac:dyDescent="0.3">
      <c r="A1530" s="71" t="s">
        <v>3058</v>
      </c>
      <c r="B1530" s="71" t="s">
        <v>3058</v>
      </c>
      <c r="C1530" s="47" t="s">
        <v>33</v>
      </c>
      <c r="D1530" s="48" t="s">
        <v>34</v>
      </c>
      <c r="E1530" s="18" t="s">
        <v>3059</v>
      </c>
      <c r="F1530" s="24" t="str">
        <f t="shared" si="92"/>
        <v>PPG - EWI   WHITE PLASTIC ANGLE BEAD MESH 2.5M</v>
      </c>
      <c r="G1530" s="20" t="s">
        <v>6401</v>
      </c>
      <c r="H1530" s="49" t="s">
        <v>213</v>
      </c>
      <c r="I1530" s="18" t="s">
        <v>37</v>
      </c>
      <c r="J1530" s="18" t="s">
        <v>38</v>
      </c>
      <c r="K1530" t="s">
        <v>39</v>
      </c>
      <c r="L1530" s="50">
        <f>VLOOKUP(A1530,'[3]Price info'!A:D,4,FALSE)</f>
        <v>2.58</v>
      </c>
      <c r="M1530" s="18" t="s">
        <v>214</v>
      </c>
      <c r="N1530" s="20">
        <v>3105</v>
      </c>
      <c r="P1530" s="16">
        <f>VLOOKUP(A1530,'[3]Price info'!A:H,8,FALSE)</f>
        <v>2.58</v>
      </c>
      <c r="Q1530" s="17">
        <f t="shared" si="93"/>
        <v>1</v>
      </c>
      <c r="S1530" s="16" t="e">
        <f>VLOOKUP(A1530,[4]Sales!$E:$G,3,FALSE)</f>
        <v>#N/A</v>
      </c>
      <c r="T1530" s="19" t="e">
        <f>VLOOKUP(A1530,[4]Volume!$E:$G,3,FALSE)</f>
        <v>#N/A</v>
      </c>
      <c r="U1530" s="19" t="e">
        <f>VLOOKUP(A1530,[4]Piece!$E:$G,3,FALSE)</f>
        <v>#N/A</v>
      </c>
      <c r="V1530" s="21" t="e">
        <f t="shared" si="94"/>
        <v>#N/A</v>
      </c>
      <c r="W1530" s="16" t="e">
        <f t="shared" si="95"/>
        <v>#N/A</v>
      </c>
    </row>
    <row r="1531" spans="1:23" hidden="1" x14ac:dyDescent="0.3">
      <c r="A1531" s="71" t="s">
        <v>3060</v>
      </c>
      <c r="B1531" s="71" t="s">
        <v>3060</v>
      </c>
      <c r="C1531" s="47" t="s">
        <v>33</v>
      </c>
      <c r="D1531" s="48" t="s">
        <v>34</v>
      </c>
      <c r="E1531" s="18" t="s">
        <v>3061</v>
      </c>
      <c r="F1531" s="24" t="str">
        <f t="shared" si="92"/>
        <v>PPG - EWI   WHITE PLASTIC STOP BEAD 2.5M 15MM</v>
      </c>
      <c r="G1531" s="20" t="s">
        <v>6402</v>
      </c>
      <c r="H1531" s="49" t="s">
        <v>213</v>
      </c>
      <c r="I1531" s="18" t="s">
        <v>37</v>
      </c>
      <c r="J1531" s="18" t="s">
        <v>38</v>
      </c>
      <c r="K1531" t="s">
        <v>39</v>
      </c>
      <c r="L1531" s="50">
        <f>VLOOKUP(A1531,'[3]Price info'!A:D,4,FALSE)</f>
        <v>2.4900000000000002</v>
      </c>
      <c r="M1531" s="18" t="s">
        <v>214</v>
      </c>
      <c r="N1531" s="20">
        <v>3105</v>
      </c>
      <c r="P1531" s="16">
        <f>VLOOKUP(A1531,'[3]Price info'!A:H,8,FALSE)</f>
        <v>2.4900000000000002</v>
      </c>
      <c r="Q1531" s="17">
        <f t="shared" si="93"/>
        <v>1</v>
      </c>
      <c r="S1531" s="16" t="e">
        <f>VLOOKUP(A1531,[4]Sales!$E:$G,3,FALSE)</f>
        <v>#N/A</v>
      </c>
      <c r="T1531" s="19" t="e">
        <f>VLOOKUP(A1531,[4]Volume!$E:$G,3,FALSE)</f>
        <v>#N/A</v>
      </c>
      <c r="U1531" s="19" t="e">
        <f>VLOOKUP(A1531,[4]Piece!$E:$G,3,FALSE)</f>
        <v>#N/A</v>
      </c>
      <c r="V1531" s="21" t="e">
        <f t="shared" si="94"/>
        <v>#N/A</v>
      </c>
      <c r="W1531" s="16" t="e">
        <f t="shared" si="95"/>
        <v>#N/A</v>
      </c>
    </row>
    <row r="1532" spans="1:23" hidden="1" x14ac:dyDescent="0.3">
      <c r="A1532" s="71" t="s">
        <v>3062</v>
      </c>
      <c r="B1532" s="71" t="s">
        <v>3062</v>
      </c>
      <c r="C1532" s="51" t="s">
        <v>33</v>
      </c>
      <c r="D1532" s="48" t="s">
        <v>34</v>
      </c>
      <c r="E1532" s="18" t="s">
        <v>3063</v>
      </c>
      <c r="F1532" s="24" t="str">
        <f t="shared" si="92"/>
        <v>PPG - EWI   WHITE PLASTIC STOP BEAD 2.5M 6MM</v>
      </c>
      <c r="G1532" s="20" t="s">
        <v>6403</v>
      </c>
      <c r="H1532" s="49" t="s">
        <v>213</v>
      </c>
      <c r="I1532" s="18" t="s">
        <v>37</v>
      </c>
      <c r="J1532" s="18" t="s">
        <v>38</v>
      </c>
      <c r="K1532" t="s">
        <v>39</v>
      </c>
      <c r="L1532" s="50">
        <f>VLOOKUP(A1532,'[3]Price info'!A:D,4,FALSE)</f>
        <v>2.2599999999999998</v>
      </c>
      <c r="M1532" s="18" t="s">
        <v>214</v>
      </c>
      <c r="N1532" s="20">
        <v>3105</v>
      </c>
      <c r="P1532" s="16">
        <f>VLOOKUP(A1532,'[3]Price info'!A:H,8,FALSE)</f>
        <v>2.2599999999999998</v>
      </c>
      <c r="Q1532" s="17">
        <f t="shared" si="93"/>
        <v>1</v>
      </c>
      <c r="S1532" s="16" t="e">
        <f>VLOOKUP(A1532,[4]Sales!$E:$G,3,FALSE)</f>
        <v>#N/A</v>
      </c>
      <c r="T1532" s="19" t="e">
        <f>VLOOKUP(A1532,[4]Volume!$E:$G,3,FALSE)</f>
        <v>#N/A</v>
      </c>
      <c r="U1532" s="19" t="e">
        <f>VLOOKUP(A1532,[4]Piece!$E:$G,3,FALSE)</f>
        <v>#N/A</v>
      </c>
      <c r="V1532" s="21" t="e">
        <f t="shared" si="94"/>
        <v>#N/A</v>
      </c>
      <c r="W1532" s="16" t="e">
        <f t="shared" si="95"/>
        <v>#N/A</v>
      </c>
    </row>
    <row r="1533" spans="1:23" hidden="1" x14ac:dyDescent="0.3">
      <c r="A1533" s="71" t="s">
        <v>3064</v>
      </c>
      <c r="B1533" s="71" t="s">
        <v>3064</v>
      </c>
      <c r="C1533" s="47" t="s">
        <v>33</v>
      </c>
      <c r="D1533" s="48" t="s">
        <v>34</v>
      </c>
      <c r="E1533" s="18" t="s">
        <v>3065</v>
      </c>
      <c r="F1533" s="24" t="str">
        <f t="shared" si="92"/>
        <v>PPG - EWI   WH-SWI-SP-B  SATA PLATE BLACK</v>
      </c>
      <c r="G1533" s="20" t="s">
        <v>6404</v>
      </c>
      <c r="H1533" s="49" t="s">
        <v>213</v>
      </c>
      <c r="I1533" s="18" t="s">
        <v>37</v>
      </c>
      <c r="J1533" s="18" t="s">
        <v>38</v>
      </c>
      <c r="K1533" t="s">
        <v>39</v>
      </c>
      <c r="L1533" s="50">
        <f>VLOOKUP(A1533,'[3]Price info'!A:D,4,FALSE)</f>
        <v>13.74</v>
      </c>
      <c r="M1533" s="18" t="s">
        <v>214</v>
      </c>
      <c r="N1533" s="20">
        <v>3105</v>
      </c>
      <c r="P1533" s="16">
        <f>VLOOKUP(A1533,'[3]Price info'!A:H,8,FALSE)</f>
        <v>13.74</v>
      </c>
      <c r="Q1533" s="17">
        <f t="shared" si="93"/>
        <v>1</v>
      </c>
      <c r="S1533" s="16" t="e">
        <f>VLOOKUP(A1533,[4]Sales!$E:$G,3,FALSE)</f>
        <v>#N/A</v>
      </c>
      <c r="T1533" s="19" t="e">
        <f>VLOOKUP(A1533,[4]Volume!$E:$G,3,FALSE)</f>
        <v>#N/A</v>
      </c>
      <c r="U1533" s="19" t="e">
        <f>VLOOKUP(A1533,[4]Piece!$E:$G,3,FALSE)</f>
        <v>#N/A</v>
      </c>
      <c r="V1533" s="21" t="e">
        <f t="shared" si="94"/>
        <v>#N/A</v>
      </c>
      <c r="W1533" s="16" t="e">
        <f t="shared" si="95"/>
        <v>#N/A</v>
      </c>
    </row>
    <row r="1534" spans="1:23" hidden="1" x14ac:dyDescent="0.3">
      <c r="A1534" s="71" t="s">
        <v>3066</v>
      </c>
      <c r="B1534" s="71" t="s">
        <v>3066</v>
      </c>
      <c r="C1534" s="47" t="s">
        <v>33</v>
      </c>
      <c r="D1534" s="48" t="s">
        <v>34</v>
      </c>
      <c r="E1534" s="18" t="s">
        <v>3067</v>
      </c>
      <c r="F1534" s="24" t="str">
        <f t="shared" si="92"/>
        <v>PPG - EWI   WH-SWI-SP-W  SATA PLATE WHITE</v>
      </c>
      <c r="G1534" s="20" t="s">
        <v>6405</v>
      </c>
      <c r="H1534" s="49" t="s">
        <v>213</v>
      </c>
      <c r="I1534" s="18" t="s">
        <v>37</v>
      </c>
      <c r="J1534" s="18" t="s">
        <v>38</v>
      </c>
      <c r="K1534" t="s">
        <v>39</v>
      </c>
      <c r="L1534" s="50">
        <f>VLOOKUP(A1534,'[3]Price info'!A:D,4,FALSE)</f>
        <v>13.74</v>
      </c>
      <c r="M1534" s="18" t="s">
        <v>214</v>
      </c>
      <c r="N1534" s="20">
        <v>3105</v>
      </c>
      <c r="P1534" s="16">
        <f>VLOOKUP(A1534,'[3]Price info'!A:H,8,FALSE)</f>
        <v>13.74</v>
      </c>
      <c r="Q1534" s="17">
        <f t="shared" si="93"/>
        <v>1</v>
      </c>
      <c r="S1534" s="16" t="e">
        <f>VLOOKUP(A1534,[4]Sales!$E:$G,3,FALSE)</f>
        <v>#N/A</v>
      </c>
      <c r="T1534" s="19" t="e">
        <f>VLOOKUP(A1534,[4]Volume!$E:$G,3,FALSE)</f>
        <v>#N/A</v>
      </c>
      <c r="U1534" s="19" t="e">
        <f>VLOOKUP(A1534,[4]Piece!$E:$G,3,FALSE)</f>
        <v>#N/A</v>
      </c>
      <c r="V1534" s="21" t="e">
        <f t="shared" si="94"/>
        <v>#N/A</v>
      </c>
      <c r="W1534" s="16" t="e">
        <f t="shared" si="95"/>
        <v>#N/A</v>
      </c>
    </row>
    <row r="1535" spans="1:23" hidden="1" x14ac:dyDescent="0.3">
      <c r="A1535" s="71" t="s">
        <v>3068</v>
      </c>
      <c r="B1535" s="71" t="s">
        <v>3068</v>
      </c>
      <c r="C1535" s="51" t="s">
        <v>33</v>
      </c>
      <c r="D1535" s="48" t="s">
        <v>34</v>
      </c>
      <c r="E1535" s="18" t="s">
        <v>3069</v>
      </c>
      <c r="F1535" s="24" t="str">
        <f t="shared" si="92"/>
        <v>PPG - EWI   WH-SWI-ST-B  BLACK TUBE FITTING</v>
      </c>
      <c r="G1535" s="20" t="s">
        <v>6406</v>
      </c>
      <c r="H1535" s="49" t="s">
        <v>213</v>
      </c>
      <c r="I1535" s="18" t="s">
        <v>37</v>
      </c>
      <c r="J1535" s="18" t="s">
        <v>38</v>
      </c>
      <c r="K1535" t="s">
        <v>39</v>
      </c>
      <c r="L1535" s="50">
        <f>VLOOKUP(A1535,'[3]Price info'!A:D,4,FALSE)</f>
        <v>2.2799999999999998</v>
      </c>
      <c r="M1535" s="18" t="s">
        <v>214</v>
      </c>
      <c r="N1535" s="20">
        <v>3105</v>
      </c>
      <c r="P1535" s="16">
        <f>VLOOKUP(A1535,'[3]Price info'!A:H,8,FALSE)</f>
        <v>2.2799999999999998</v>
      </c>
      <c r="Q1535" s="17">
        <f t="shared" si="93"/>
        <v>1</v>
      </c>
      <c r="S1535" s="16" t="e">
        <f>VLOOKUP(A1535,[4]Sales!$E:$G,3,FALSE)</f>
        <v>#N/A</v>
      </c>
      <c r="T1535" s="19" t="e">
        <f>VLOOKUP(A1535,[4]Volume!$E:$G,3,FALSE)</f>
        <v>#N/A</v>
      </c>
      <c r="U1535" s="19" t="e">
        <f>VLOOKUP(A1535,[4]Piece!$E:$G,3,FALSE)</f>
        <v>#N/A</v>
      </c>
      <c r="V1535" s="21" t="e">
        <f t="shared" si="94"/>
        <v>#N/A</v>
      </c>
      <c r="W1535" s="16" t="e">
        <f t="shared" si="95"/>
        <v>#N/A</v>
      </c>
    </row>
    <row r="1536" spans="1:23" hidden="1" x14ac:dyDescent="0.3">
      <c r="A1536" s="71" t="s">
        <v>3070</v>
      </c>
      <c r="B1536" s="71" t="s">
        <v>3070</v>
      </c>
      <c r="C1536" s="47" t="s">
        <v>33</v>
      </c>
      <c r="D1536" s="48" t="s">
        <v>34</v>
      </c>
      <c r="E1536" s="18" t="s">
        <v>3071</v>
      </c>
      <c r="F1536" s="24" t="str">
        <f t="shared" si="92"/>
        <v>PPG - EWI   WH-SWI-ST-W  WHITE TUBE FITTING</v>
      </c>
      <c r="G1536" s="20" t="s">
        <v>6407</v>
      </c>
      <c r="H1536" s="49" t="s">
        <v>213</v>
      </c>
      <c r="I1536" s="18" t="s">
        <v>37</v>
      </c>
      <c r="J1536" s="18" t="s">
        <v>38</v>
      </c>
      <c r="K1536" t="s">
        <v>39</v>
      </c>
      <c r="L1536" s="50">
        <f>VLOOKUP(A1536,'[3]Price info'!A:D,4,FALSE)</f>
        <v>2.2799999999999998</v>
      </c>
      <c r="M1536" s="18" t="s">
        <v>214</v>
      </c>
      <c r="N1536" s="20">
        <v>3105</v>
      </c>
      <c r="P1536" s="16">
        <f>VLOOKUP(A1536,'[3]Price info'!A:H,8,FALSE)</f>
        <v>2.2799999999999998</v>
      </c>
      <c r="Q1536" s="17">
        <f t="shared" si="93"/>
        <v>1</v>
      </c>
      <c r="S1536" s="16" t="e">
        <f>VLOOKUP(A1536,[4]Sales!$E:$G,3,FALSE)</f>
        <v>#N/A</v>
      </c>
      <c r="T1536" s="19" t="e">
        <f>VLOOKUP(A1536,[4]Volume!$E:$G,3,FALSE)</f>
        <v>#N/A</v>
      </c>
      <c r="U1536" s="19" t="e">
        <f>VLOOKUP(A1536,[4]Piece!$E:$G,3,FALSE)</f>
        <v>#N/A</v>
      </c>
      <c r="V1536" s="21" t="e">
        <f t="shared" si="94"/>
        <v>#N/A</v>
      </c>
      <c r="W1536" s="16" t="e">
        <f t="shared" si="95"/>
        <v>#N/A</v>
      </c>
    </row>
    <row r="1537" spans="1:23" hidden="1" x14ac:dyDescent="0.3">
      <c r="A1537" s="71" t="s">
        <v>3072</v>
      </c>
      <c r="B1537" s="71" t="s">
        <v>3072</v>
      </c>
      <c r="C1537" s="47" t="s">
        <v>33</v>
      </c>
      <c r="D1537" s="48" t="s">
        <v>34</v>
      </c>
      <c r="E1537" s="18" t="s">
        <v>3073</v>
      </c>
      <c r="F1537" s="24" t="str">
        <f t="shared" si="92"/>
        <v>PPG - EWI   WH-SWI-TT-B  TAP CONNECTION BLACK</v>
      </c>
      <c r="G1537" s="20" t="s">
        <v>6408</v>
      </c>
      <c r="H1537" s="49" t="s">
        <v>213</v>
      </c>
      <c r="I1537" s="18" t="s">
        <v>37</v>
      </c>
      <c r="J1537" s="18" t="s">
        <v>38</v>
      </c>
      <c r="K1537" t="s">
        <v>39</v>
      </c>
      <c r="L1537" s="50">
        <f>VLOOKUP(A1537,'[3]Price info'!A:D,4,FALSE)</f>
        <v>6.11</v>
      </c>
      <c r="M1537" s="18" t="s">
        <v>214</v>
      </c>
      <c r="N1537" s="20">
        <v>3105</v>
      </c>
      <c r="P1537" s="16">
        <f>VLOOKUP(A1537,'[3]Price info'!A:H,8,FALSE)</f>
        <v>6.11</v>
      </c>
      <c r="Q1537" s="17">
        <f t="shared" si="93"/>
        <v>1</v>
      </c>
      <c r="S1537" s="16" t="e">
        <f>VLOOKUP(A1537,[4]Sales!$E:$G,3,FALSE)</f>
        <v>#N/A</v>
      </c>
      <c r="T1537" s="19" t="e">
        <f>VLOOKUP(A1537,[4]Volume!$E:$G,3,FALSE)</f>
        <v>#N/A</v>
      </c>
      <c r="U1537" s="19" t="e">
        <f>VLOOKUP(A1537,[4]Piece!$E:$G,3,FALSE)</f>
        <v>#N/A</v>
      </c>
      <c r="V1537" s="21" t="e">
        <f t="shared" si="94"/>
        <v>#N/A</v>
      </c>
      <c r="W1537" s="16" t="e">
        <f t="shared" si="95"/>
        <v>#N/A</v>
      </c>
    </row>
    <row r="1538" spans="1:23" hidden="1" x14ac:dyDescent="0.3">
      <c r="A1538" s="71" t="s">
        <v>3074</v>
      </c>
      <c r="B1538" s="71" t="s">
        <v>3074</v>
      </c>
      <c r="C1538" s="51" t="s">
        <v>33</v>
      </c>
      <c r="D1538" s="48" t="s">
        <v>34</v>
      </c>
      <c r="E1538" s="18" t="s">
        <v>3075</v>
      </c>
      <c r="F1538" s="24" t="str">
        <f t="shared" si="92"/>
        <v>PPG - EWI   WH-SWI-TT-W  TAP CONNEC WHITE</v>
      </c>
      <c r="G1538" s="20" t="s">
        <v>6409</v>
      </c>
      <c r="H1538" s="49" t="s">
        <v>213</v>
      </c>
      <c r="I1538" s="18" t="s">
        <v>37</v>
      </c>
      <c r="J1538" s="18" t="s">
        <v>38</v>
      </c>
      <c r="K1538" t="s">
        <v>39</v>
      </c>
      <c r="L1538" s="50">
        <f>VLOOKUP(A1538,'[3]Price info'!A:D,4,FALSE)</f>
        <v>6.11</v>
      </c>
      <c r="M1538" s="18" t="s">
        <v>214</v>
      </c>
      <c r="N1538" s="20">
        <v>3105</v>
      </c>
      <c r="P1538" s="16">
        <f>VLOOKUP(A1538,'[3]Price info'!A:H,8,FALSE)</f>
        <v>6.11</v>
      </c>
      <c r="Q1538" s="17">
        <f t="shared" si="93"/>
        <v>1</v>
      </c>
      <c r="S1538" s="16" t="e">
        <f>VLOOKUP(A1538,[4]Sales!$E:$G,3,FALSE)</f>
        <v>#N/A</v>
      </c>
      <c r="T1538" s="19" t="e">
        <f>VLOOKUP(A1538,[4]Volume!$E:$G,3,FALSE)</f>
        <v>#N/A</v>
      </c>
      <c r="U1538" s="19" t="e">
        <f>VLOOKUP(A1538,[4]Piece!$E:$G,3,FALSE)</f>
        <v>#N/A</v>
      </c>
      <c r="V1538" s="21" t="e">
        <f t="shared" si="94"/>
        <v>#N/A</v>
      </c>
      <c r="W1538" s="16" t="e">
        <f t="shared" si="95"/>
        <v>#N/A</v>
      </c>
    </row>
    <row r="1539" spans="1:23" hidden="1" x14ac:dyDescent="0.3">
      <c r="A1539" s="71" t="s">
        <v>3076</v>
      </c>
      <c r="B1539" s="71" t="s">
        <v>3076</v>
      </c>
      <c r="C1539" s="47" t="s">
        <v>33</v>
      </c>
      <c r="D1539" s="48" t="s">
        <v>34</v>
      </c>
      <c r="E1539" s="18" t="s">
        <v>3077</v>
      </c>
      <c r="F1539" s="24" t="str">
        <f t="shared" ref="F1539:F1602" si="96">D1539&amp;" - "&amp;E1539</f>
        <v>PPG - EWI   WH-SWI-WL-B  CABLE CONN BLACK</v>
      </c>
      <c r="G1539" s="20" t="s">
        <v>6410</v>
      </c>
      <c r="H1539" s="49" t="s">
        <v>213</v>
      </c>
      <c r="I1539" s="18" t="s">
        <v>37</v>
      </c>
      <c r="J1539" s="18" t="s">
        <v>38</v>
      </c>
      <c r="K1539" t="s">
        <v>39</v>
      </c>
      <c r="L1539" s="50">
        <f>VLOOKUP(A1539,'[3]Price info'!A:D,4,FALSE)</f>
        <v>7.61</v>
      </c>
      <c r="M1539" s="18" t="s">
        <v>214</v>
      </c>
      <c r="N1539" s="20">
        <v>3105</v>
      </c>
      <c r="P1539" s="16">
        <f>VLOOKUP(A1539,'[3]Price info'!A:H,8,FALSE)</f>
        <v>7.61</v>
      </c>
      <c r="Q1539" s="17">
        <f t="shared" ref="Q1539:Q1602" si="97">P1539/L1539</f>
        <v>1</v>
      </c>
      <c r="S1539" s="16" t="e">
        <f>VLOOKUP(A1539,[4]Sales!$E:$G,3,FALSE)</f>
        <v>#N/A</v>
      </c>
      <c r="T1539" s="19" t="e">
        <f>VLOOKUP(A1539,[4]Volume!$E:$G,3,FALSE)</f>
        <v>#N/A</v>
      </c>
      <c r="U1539" s="19" t="e">
        <f>VLOOKUP(A1539,[4]Piece!$E:$G,3,FALSE)</f>
        <v>#N/A</v>
      </c>
      <c r="V1539" s="21" t="e">
        <f t="shared" ref="V1539:V1602" si="98">U1539*P1539</f>
        <v>#N/A</v>
      </c>
      <c r="W1539" s="16" t="e">
        <f t="shared" ref="W1539:W1602" si="99">V1539-S1539</f>
        <v>#N/A</v>
      </c>
    </row>
    <row r="1540" spans="1:23" hidden="1" x14ac:dyDescent="0.3">
      <c r="A1540" s="71" t="s">
        <v>3078</v>
      </c>
      <c r="B1540" s="71" t="s">
        <v>3078</v>
      </c>
      <c r="C1540" s="47" t="s">
        <v>33</v>
      </c>
      <c r="D1540" s="48" t="s">
        <v>34</v>
      </c>
      <c r="E1540" s="18" t="s">
        <v>3079</v>
      </c>
      <c r="F1540" s="24" t="str">
        <f t="shared" si="96"/>
        <v>PPG - EWI   WH-SWI-WL-W  CABLE CONN WHITE</v>
      </c>
      <c r="G1540" s="20" t="s">
        <v>6411</v>
      </c>
      <c r="H1540" s="49" t="s">
        <v>213</v>
      </c>
      <c r="I1540" s="18" t="s">
        <v>37</v>
      </c>
      <c r="J1540" s="18" t="s">
        <v>38</v>
      </c>
      <c r="K1540" t="s">
        <v>39</v>
      </c>
      <c r="L1540" s="50">
        <f>VLOOKUP(A1540,'[3]Price info'!A:D,4,FALSE)</f>
        <v>7.61</v>
      </c>
      <c r="M1540" s="18" t="s">
        <v>214</v>
      </c>
      <c r="N1540" s="20">
        <v>3105</v>
      </c>
      <c r="P1540" s="16">
        <f>VLOOKUP(A1540,'[3]Price info'!A:H,8,FALSE)</f>
        <v>7.61</v>
      </c>
      <c r="Q1540" s="17">
        <f t="shared" si="97"/>
        <v>1</v>
      </c>
      <c r="S1540" s="16" t="e">
        <f>VLOOKUP(A1540,[4]Sales!$E:$G,3,FALSE)</f>
        <v>#N/A</v>
      </c>
      <c r="T1540" s="19" t="e">
        <f>VLOOKUP(A1540,[4]Volume!$E:$G,3,FALSE)</f>
        <v>#N/A</v>
      </c>
      <c r="U1540" s="19" t="e">
        <f>VLOOKUP(A1540,[4]Piece!$E:$G,3,FALSE)</f>
        <v>#N/A</v>
      </c>
      <c r="V1540" s="21" t="e">
        <f t="shared" si="98"/>
        <v>#N/A</v>
      </c>
      <c r="W1540" s="16" t="e">
        <f t="shared" si="99"/>
        <v>#N/A</v>
      </c>
    </row>
    <row r="1541" spans="1:23" hidden="1" x14ac:dyDescent="0.3">
      <c r="A1541" s="71" t="s">
        <v>3080</v>
      </c>
      <c r="B1541" s="71" t="s">
        <v>3080</v>
      </c>
      <c r="C1541" s="51" t="s">
        <v>33</v>
      </c>
      <c r="D1541" s="48" t="s">
        <v>34</v>
      </c>
      <c r="E1541" s="18" t="s">
        <v>3081</v>
      </c>
      <c r="F1541" s="24" t="str">
        <f t="shared" si="96"/>
        <v>PPG - EWI  DASHING SPAR CLASSIC SPAR 25KG</v>
      </c>
      <c r="G1541" s="20" t="s">
        <v>6412</v>
      </c>
      <c r="H1541" s="49" t="s">
        <v>213</v>
      </c>
      <c r="I1541" s="18" t="s">
        <v>37</v>
      </c>
      <c r="J1541" s="18" t="s">
        <v>38</v>
      </c>
      <c r="K1541" t="s">
        <v>39</v>
      </c>
      <c r="L1541" s="50">
        <f>VLOOKUP(A1541,'[3]Price info'!A:D,4,FALSE)</f>
        <v>6.42</v>
      </c>
      <c r="M1541" s="18" t="s">
        <v>214</v>
      </c>
      <c r="N1541" s="20">
        <v>3105</v>
      </c>
      <c r="P1541" s="16">
        <f>VLOOKUP(A1541,'[3]Price info'!A:H,8,FALSE)</f>
        <v>6.42</v>
      </c>
      <c r="Q1541" s="17">
        <f t="shared" si="97"/>
        <v>1</v>
      </c>
      <c r="S1541" s="16" t="e">
        <f>VLOOKUP(A1541,[4]Sales!$E:$G,3,FALSE)</f>
        <v>#N/A</v>
      </c>
      <c r="T1541" s="19" t="e">
        <f>VLOOKUP(A1541,[4]Volume!$E:$G,3,FALSE)</f>
        <v>#N/A</v>
      </c>
      <c r="U1541" s="19" t="e">
        <f>VLOOKUP(A1541,[4]Piece!$E:$G,3,FALSE)</f>
        <v>#N/A</v>
      </c>
      <c r="V1541" s="21" t="e">
        <f t="shared" si="98"/>
        <v>#N/A</v>
      </c>
      <c r="W1541" s="16" t="e">
        <f t="shared" si="99"/>
        <v>#N/A</v>
      </c>
    </row>
    <row r="1542" spans="1:23" hidden="1" x14ac:dyDescent="0.3">
      <c r="A1542" s="71" t="s">
        <v>3082</v>
      </c>
      <c r="B1542" s="71" t="s">
        <v>3082</v>
      </c>
      <c r="C1542" s="47" t="s">
        <v>33</v>
      </c>
      <c r="D1542" s="48" t="s">
        <v>34</v>
      </c>
      <c r="E1542" s="18" t="s">
        <v>3083</v>
      </c>
      <c r="F1542" s="24" t="str">
        <f t="shared" si="96"/>
        <v>PPG - FATEV BIB &amp; BRACE  32/34" SML FI1090 NI</v>
      </c>
      <c r="G1542" s="20" t="s">
        <v>6413</v>
      </c>
      <c r="H1542" s="49" t="s">
        <v>213</v>
      </c>
      <c r="I1542" s="18" t="s">
        <v>37</v>
      </c>
      <c r="J1542" s="18" t="s">
        <v>38</v>
      </c>
      <c r="K1542" t="s">
        <v>39</v>
      </c>
      <c r="L1542" s="50">
        <f>VLOOKUP(A1542,'[3]Price info'!A:D,4,FALSE)</f>
        <v>59.28</v>
      </c>
      <c r="M1542" s="18" t="s">
        <v>214</v>
      </c>
      <c r="N1542" s="20">
        <v>3105</v>
      </c>
      <c r="P1542" s="16">
        <f>VLOOKUP(A1542,'[3]Price info'!A:H,8,FALSE)</f>
        <v>59.28</v>
      </c>
      <c r="Q1542" s="17">
        <f t="shared" si="97"/>
        <v>1</v>
      </c>
      <c r="S1542" s="16" t="e">
        <f>VLOOKUP(A1542,[4]Sales!$E:$G,3,FALSE)</f>
        <v>#N/A</v>
      </c>
      <c r="T1542" s="19" t="e">
        <f>VLOOKUP(A1542,[4]Volume!$E:$G,3,FALSE)</f>
        <v>#N/A</v>
      </c>
      <c r="U1542" s="19" t="e">
        <f>VLOOKUP(A1542,[4]Piece!$E:$G,3,FALSE)</f>
        <v>#N/A</v>
      </c>
      <c r="V1542" s="21" t="e">
        <f t="shared" si="98"/>
        <v>#N/A</v>
      </c>
      <c r="W1542" s="16" t="e">
        <f t="shared" si="99"/>
        <v>#N/A</v>
      </c>
    </row>
    <row r="1543" spans="1:23" hidden="1" x14ac:dyDescent="0.3">
      <c r="A1543" s="71" t="s">
        <v>3084</v>
      </c>
      <c r="B1543" s="71" t="s">
        <v>3084</v>
      </c>
      <c r="C1543" s="47" t="s">
        <v>33</v>
      </c>
      <c r="D1543" s="48" t="s">
        <v>34</v>
      </c>
      <c r="E1543" s="18" t="s">
        <v>3085</v>
      </c>
      <c r="F1543" s="24" t="str">
        <f t="shared" si="96"/>
        <v>PPG - FATEV BIB &amp; BRACE  36/38" MED FI1100 NI</v>
      </c>
      <c r="G1543" s="20" t="s">
        <v>6414</v>
      </c>
      <c r="H1543" s="49" t="s">
        <v>213</v>
      </c>
      <c r="I1543" s="18" t="s">
        <v>37</v>
      </c>
      <c r="J1543" s="18" t="s">
        <v>38</v>
      </c>
      <c r="K1543" t="s">
        <v>39</v>
      </c>
      <c r="L1543" s="50">
        <f>VLOOKUP(A1543,'[3]Price info'!A:D,4,FALSE)</f>
        <v>59.28</v>
      </c>
      <c r="M1543" s="18" t="s">
        <v>214</v>
      </c>
      <c r="N1543" s="20">
        <v>3105</v>
      </c>
      <c r="P1543" s="16">
        <f>VLOOKUP(A1543,'[3]Price info'!A:H,8,FALSE)</f>
        <v>59.28</v>
      </c>
      <c r="Q1543" s="17">
        <f t="shared" si="97"/>
        <v>1</v>
      </c>
      <c r="S1543" s="16" t="e">
        <f>VLOOKUP(A1543,[4]Sales!$E:$G,3,FALSE)</f>
        <v>#N/A</v>
      </c>
      <c r="T1543" s="19" t="e">
        <f>VLOOKUP(A1543,[4]Volume!$E:$G,3,FALSE)</f>
        <v>#N/A</v>
      </c>
      <c r="U1543" s="19" t="e">
        <f>VLOOKUP(A1543,[4]Piece!$E:$G,3,FALSE)</f>
        <v>#N/A</v>
      </c>
      <c r="V1543" s="21" t="e">
        <f t="shared" si="98"/>
        <v>#N/A</v>
      </c>
      <c r="W1543" s="16" t="e">
        <f t="shared" si="99"/>
        <v>#N/A</v>
      </c>
    </row>
    <row r="1544" spans="1:23" hidden="1" x14ac:dyDescent="0.3">
      <c r="A1544" s="71" t="s">
        <v>3086</v>
      </c>
      <c r="B1544" s="71" t="s">
        <v>3086</v>
      </c>
      <c r="C1544" s="51" t="s">
        <v>33</v>
      </c>
      <c r="D1544" s="48" t="s">
        <v>34</v>
      </c>
      <c r="E1544" s="18" t="s">
        <v>3087</v>
      </c>
      <c r="F1544" s="24" t="str">
        <f t="shared" si="96"/>
        <v>PPG - FATEV BIB &amp; BRACE  40/42" LRG FI1110 NI</v>
      </c>
      <c r="G1544" s="20" t="s">
        <v>6415</v>
      </c>
      <c r="H1544" s="49" t="s">
        <v>213</v>
      </c>
      <c r="I1544" s="18" t="s">
        <v>37</v>
      </c>
      <c r="J1544" s="18" t="s">
        <v>38</v>
      </c>
      <c r="K1544" t="s">
        <v>39</v>
      </c>
      <c r="L1544" s="50">
        <f>VLOOKUP(A1544,'[3]Price info'!A:D,4,FALSE)</f>
        <v>59.28</v>
      </c>
      <c r="M1544" s="18" t="s">
        <v>214</v>
      </c>
      <c r="N1544" s="20">
        <v>3105</v>
      </c>
      <c r="P1544" s="16">
        <f>VLOOKUP(A1544,'[3]Price info'!A:H,8,FALSE)</f>
        <v>59.28</v>
      </c>
      <c r="Q1544" s="17">
        <f t="shared" si="97"/>
        <v>1</v>
      </c>
      <c r="S1544" s="16" t="e">
        <f>VLOOKUP(A1544,[4]Sales!$E:$G,3,FALSE)</f>
        <v>#N/A</v>
      </c>
      <c r="T1544" s="19" t="e">
        <f>VLOOKUP(A1544,[4]Volume!$E:$G,3,FALSE)</f>
        <v>#N/A</v>
      </c>
      <c r="U1544" s="19" t="e">
        <f>VLOOKUP(A1544,[4]Piece!$E:$G,3,FALSE)</f>
        <v>#N/A</v>
      </c>
      <c r="V1544" s="21" t="e">
        <f t="shared" si="98"/>
        <v>#N/A</v>
      </c>
      <c r="W1544" s="16" t="e">
        <f t="shared" si="99"/>
        <v>#N/A</v>
      </c>
    </row>
    <row r="1545" spans="1:23" hidden="1" x14ac:dyDescent="0.3">
      <c r="A1545" s="71" t="s">
        <v>3088</v>
      </c>
      <c r="B1545" s="71" t="s">
        <v>3088</v>
      </c>
      <c r="C1545" s="47" t="s">
        <v>33</v>
      </c>
      <c r="D1545" s="48" t="s">
        <v>34</v>
      </c>
      <c r="E1545" s="18" t="s">
        <v>3089</v>
      </c>
      <c r="F1545" s="24" t="str">
        <f t="shared" si="96"/>
        <v>PPG - FATEV FHEV TROUSER 30" WHITE  FI1000 NI</v>
      </c>
      <c r="G1545" s="20" t="s">
        <v>6416</v>
      </c>
      <c r="H1545" s="49" t="s">
        <v>213</v>
      </c>
      <c r="I1545" s="18" t="s">
        <v>37</v>
      </c>
      <c r="J1545" s="18" t="s">
        <v>38</v>
      </c>
      <c r="K1545" t="s">
        <v>39</v>
      </c>
      <c r="L1545" s="50">
        <f>VLOOKUP(A1545,'[3]Price info'!A:D,4,FALSE)</f>
        <v>49.94</v>
      </c>
      <c r="M1545" s="18" t="s">
        <v>214</v>
      </c>
      <c r="N1545" s="20">
        <v>3105</v>
      </c>
      <c r="P1545" s="16">
        <f>VLOOKUP(A1545,'[3]Price info'!A:H,8,FALSE)</f>
        <v>49.94</v>
      </c>
      <c r="Q1545" s="17">
        <f t="shared" si="97"/>
        <v>1</v>
      </c>
      <c r="S1545" s="16" t="e">
        <f>VLOOKUP(A1545,[4]Sales!$E:$G,3,FALSE)</f>
        <v>#N/A</v>
      </c>
      <c r="T1545" s="19" t="e">
        <f>VLOOKUP(A1545,[4]Volume!$E:$G,3,FALSE)</f>
        <v>#N/A</v>
      </c>
      <c r="U1545" s="19" t="e">
        <f>VLOOKUP(A1545,[4]Piece!$E:$G,3,FALSE)</f>
        <v>#N/A</v>
      </c>
      <c r="V1545" s="21" t="e">
        <f t="shared" si="98"/>
        <v>#N/A</v>
      </c>
      <c r="W1545" s="16" t="e">
        <f t="shared" si="99"/>
        <v>#N/A</v>
      </c>
    </row>
    <row r="1546" spans="1:23" hidden="1" x14ac:dyDescent="0.3">
      <c r="A1546" s="71" t="s">
        <v>3090</v>
      </c>
      <c r="B1546" s="71" t="s">
        <v>3090</v>
      </c>
      <c r="C1546" s="47" t="s">
        <v>33</v>
      </c>
      <c r="D1546" s="48" t="s">
        <v>34</v>
      </c>
      <c r="E1546" s="18" t="s">
        <v>3091</v>
      </c>
      <c r="F1546" s="24" t="str">
        <f t="shared" si="96"/>
        <v>PPG - FATEV FHEV TROUSER 32" WHITE  FI1010 NI</v>
      </c>
      <c r="G1546" s="20" t="s">
        <v>6417</v>
      </c>
      <c r="H1546" s="49" t="s">
        <v>213</v>
      </c>
      <c r="I1546" s="18" t="s">
        <v>37</v>
      </c>
      <c r="J1546" s="18" t="s">
        <v>38</v>
      </c>
      <c r="K1546" t="s">
        <v>39</v>
      </c>
      <c r="L1546" s="50">
        <f>VLOOKUP(A1546,'[3]Price info'!A:D,4,FALSE)</f>
        <v>49.94</v>
      </c>
      <c r="M1546" s="18" t="s">
        <v>214</v>
      </c>
      <c r="N1546" s="20">
        <v>3105</v>
      </c>
      <c r="P1546" s="16">
        <f>VLOOKUP(A1546,'[3]Price info'!A:H,8,FALSE)</f>
        <v>49.94</v>
      </c>
      <c r="Q1546" s="17">
        <f t="shared" si="97"/>
        <v>1</v>
      </c>
      <c r="S1546" s="16" t="e">
        <f>VLOOKUP(A1546,[4]Sales!$E:$G,3,FALSE)</f>
        <v>#N/A</v>
      </c>
      <c r="T1546" s="19" t="e">
        <f>VLOOKUP(A1546,[4]Volume!$E:$G,3,FALSE)</f>
        <v>#N/A</v>
      </c>
      <c r="U1546" s="19" t="e">
        <f>VLOOKUP(A1546,[4]Piece!$E:$G,3,FALSE)</f>
        <v>#N/A</v>
      </c>
      <c r="V1546" s="21" t="e">
        <f t="shared" si="98"/>
        <v>#N/A</v>
      </c>
      <c r="W1546" s="16" t="e">
        <f t="shared" si="99"/>
        <v>#N/A</v>
      </c>
    </row>
    <row r="1547" spans="1:23" hidden="1" x14ac:dyDescent="0.3">
      <c r="A1547" s="71" t="s">
        <v>3092</v>
      </c>
      <c r="B1547" s="71" t="s">
        <v>3092</v>
      </c>
      <c r="C1547" s="51" t="s">
        <v>33</v>
      </c>
      <c r="D1547" s="48" t="s">
        <v>34</v>
      </c>
      <c r="E1547" s="18" t="s">
        <v>3093</v>
      </c>
      <c r="F1547" s="24" t="str">
        <f t="shared" si="96"/>
        <v>PPG - FATEV FHEV TROUSER 34" WHITE  FI1020 NI</v>
      </c>
      <c r="G1547" s="20" t="s">
        <v>6418</v>
      </c>
      <c r="H1547" s="49" t="s">
        <v>213</v>
      </c>
      <c r="I1547" s="18" t="s">
        <v>37</v>
      </c>
      <c r="J1547" s="18" t="s">
        <v>38</v>
      </c>
      <c r="K1547" t="s">
        <v>39</v>
      </c>
      <c r="L1547" s="50">
        <f>VLOOKUP(A1547,'[3]Price info'!A:D,4,FALSE)</f>
        <v>49.94</v>
      </c>
      <c r="M1547" s="18" t="s">
        <v>214</v>
      </c>
      <c r="N1547" s="20">
        <v>3105</v>
      </c>
      <c r="P1547" s="16">
        <f>VLOOKUP(A1547,'[3]Price info'!A:H,8,FALSE)</f>
        <v>49.94</v>
      </c>
      <c r="Q1547" s="17">
        <f t="shared" si="97"/>
        <v>1</v>
      </c>
      <c r="S1547" s="16" t="e">
        <f>VLOOKUP(A1547,[4]Sales!$E:$G,3,FALSE)</f>
        <v>#N/A</v>
      </c>
      <c r="T1547" s="19" t="e">
        <f>VLOOKUP(A1547,[4]Volume!$E:$G,3,FALSE)</f>
        <v>#N/A</v>
      </c>
      <c r="U1547" s="19" t="e">
        <f>VLOOKUP(A1547,[4]Piece!$E:$G,3,FALSE)</f>
        <v>#N/A</v>
      </c>
      <c r="V1547" s="21" t="e">
        <f t="shared" si="98"/>
        <v>#N/A</v>
      </c>
      <c r="W1547" s="16" t="e">
        <f t="shared" si="99"/>
        <v>#N/A</v>
      </c>
    </row>
    <row r="1548" spans="1:23" hidden="1" x14ac:dyDescent="0.3">
      <c r="A1548" s="71" t="s">
        <v>3094</v>
      </c>
      <c r="B1548" s="71" t="s">
        <v>3094</v>
      </c>
      <c r="C1548" s="47" t="s">
        <v>33</v>
      </c>
      <c r="D1548" s="48" t="s">
        <v>34</v>
      </c>
      <c r="E1548" s="18" t="s">
        <v>3095</v>
      </c>
      <c r="F1548" s="24" t="str">
        <f t="shared" si="96"/>
        <v>PPG - FATEV FHEV TROUSER 36" WHITE  FI1030 NI</v>
      </c>
      <c r="G1548" s="20" t="s">
        <v>6419</v>
      </c>
      <c r="H1548" s="49" t="s">
        <v>213</v>
      </c>
      <c r="I1548" s="18" t="s">
        <v>37</v>
      </c>
      <c r="J1548" s="18" t="s">
        <v>38</v>
      </c>
      <c r="K1548" t="s">
        <v>39</v>
      </c>
      <c r="L1548" s="50">
        <f>VLOOKUP(A1548,'[3]Price info'!A:D,4,FALSE)</f>
        <v>49.94</v>
      </c>
      <c r="M1548" s="18" t="s">
        <v>214</v>
      </c>
      <c r="N1548" s="20">
        <v>3105</v>
      </c>
      <c r="P1548" s="16">
        <f>VLOOKUP(A1548,'[3]Price info'!A:H,8,FALSE)</f>
        <v>49.94</v>
      </c>
      <c r="Q1548" s="17">
        <f t="shared" si="97"/>
        <v>1</v>
      </c>
      <c r="S1548" s="16" t="e">
        <f>VLOOKUP(A1548,[4]Sales!$E:$G,3,FALSE)</f>
        <v>#N/A</v>
      </c>
      <c r="T1548" s="19" t="e">
        <f>VLOOKUP(A1548,[4]Volume!$E:$G,3,FALSE)</f>
        <v>#N/A</v>
      </c>
      <c r="U1548" s="19" t="e">
        <f>VLOOKUP(A1548,[4]Piece!$E:$G,3,FALSE)</f>
        <v>#N/A</v>
      </c>
      <c r="V1548" s="21" t="e">
        <f t="shared" si="98"/>
        <v>#N/A</v>
      </c>
      <c r="W1548" s="16" t="e">
        <f t="shared" si="99"/>
        <v>#N/A</v>
      </c>
    </row>
    <row r="1549" spans="1:23" hidden="1" x14ac:dyDescent="0.3">
      <c r="A1549" s="71" t="s">
        <v>3096</v>
      </c>
      <c r="B1549" s="71" t="s">
        <v>3096</v>
      </c>
      <c r="C1549" s="47" t="s">
        <v>33</v>
      </c>
      <c r="D1549" s="48" t="s">
        <v>34</v>
      </c>
      <c r="E1549" s="18" t="s">
        <v>3097</v>
      </c>
      <c r="F1549" s="24" t="str">
        <f t="shared" si="96"/>
        <v>PPG - FATEV FHEV TROUSER 38" WHITE  FI1040 NI</v>
      </c>
      <c r="G1549" s="20" t="s">
        <v>6420</v>
      </c>
      <c r="H1549" s="49" t="s">
        <v>213</v>
      </c>
      <c r="I1549" s="18" t="s">
        <v>37</v>
      </c>
      <c r="J1549" s="18" t="s">
        <v>38</v>
      </c>
      <c r="K1549" t="s">
        <v>39</v>
      </c>
      <c r="L1549" s="50">
        <f>VLOOKUP(A1549,'[3]Price info'!A:D,4,FALSE)</f>
        <v>49.94</v>
      </c>
      <c r="M1549" s="18" t="s">
        <v>214</v>
      </c>
      <c r="N1549" s="20">
        <v>3105</v>
      </c>
      <c r="P1549" s="16">
        <f>VLOOKUP(A1549,'[3]Price info'!A:H,8,FALSE)</f>
        <v>49.94</v>
      </c>
      <c r="Q1549" s="17">
        <f t="shared" si="97"/>
        <v>1</v>
      </c>
      <c r="S1549" s="16" t="e">
        <f>VLOOKUP(A1549,[4]Sales!$E:$G,3,FALSE)</f>
        <v>#N/A</v>
      </c>
      <c r="T1549" s="19" t="e">
        <f>VLOOKUP(A1549,[4]Volume!$E:$G,3,FALSE)</f>
        <v>#N/A</v>
      </c>
      <c r="U1549" s="19" t="e">
        <f>VLOOKUP(A1549,[4]Piece!$E:$G,3,FALSE)</f>
        <v>#N/A</v>
      </c>
      <c r="V1549" s="21" t="e">
        <f t="shared" si="98"/>
        <v>#N/A</v>
      </c>
      <c r="W1549" s="16" t="e">
        <f t="shared" si="99"/>
        <v>#N/A</v>
      </c>
    </row>
    <row r="1550" spans="1:23" hidden="1" x14ac:dyDescent="0.3">
      <c r="A1550" s="71" t="s">
        <v>3098</v>
      </c>
      <c r="B1550" s="71" t="s">
        <v>3098</v>
      </c>
      <c r="C1550" s="51" t="s">
        <v>33</v>
      </c>
      <c r="D1550" s="48" t="s">
        <v>34</v>
      </c>
      <c r="E1550" s="18" t="s">
        <v>3099</v>
      </c>
      <c r="F1550" s="24" t="str">
        <f t="shared" si="96"/>
        <v>PPG - FATHG FH BIB&amp;BRACE 36/38"     FH2100 NI</v>
      </c>
      <c r="G1550" s="20" t="s">
        <v>6421</v>
      </c>
      <c r="H1550" s="49" t="s">
        <v>213</v>
      </c>
      <c r="I1550" s="18" t="s">
        <v>37</v>
      </c>
      <c r="J1550" s="18" t="s">
        <v>38</v>
      </c>
      <c r="K1550" t="s">
        <v>39</v>
      </c>
      <c r="L1550" s="50">
        <f>VLOOKUP(A1550,'[3]Price info'!A:D,4,FALSE)</f>
        <v>21.65</v>
      </c>
      <c r="M1550" s="18" t="s">
        <v>214</v>
      </c>
      <c r="N1550" s="20">
        <v>3105</v>
      </c>
      <c r="P1550" s="16">
        <f>VLOOKUP(A1550,'[3]Price info'!A:H,8,FALSE)</f>
        <v>21.65</v>
      </c>
      <c r="Q1550" s="17">
        <f t="shared" si="97"/>
        <v>1</v>
      </c>
      <c r="S1550" s="16" t="e">
        <f>VLOOKUP(A1550,[4]Sales!$E:$G,3,FALSE)</f>
        <v>#N/A</v>
      </c>
      <c r="T1550" s="19" t="e">
        <f>VLOOKUP(A1550,[4]Volume!$E:$G,3,FALSE)</f>
        <v>#N/A</v>
      </c>
      <c r="U1550" s="19" t="e">
        <f>VLOOKUP(A1550,[4]Piece!$E:$G,3,FALSE)</f>
        <v>#N/A</v>
      </c>
      <c r="V1550" s="21" t="e">
        <f t="shared" si="98"/>
        <v>#N/A</v>
      </c>
      <c r="W1550" s="16" t="e">
        <f t="shared" si="99"/>
        <v>#N/A</v>
      </c>
    </row>
    <row r="1551" spans="1:23" hidden="1" x14ac:dyDescent="0.3">
      <c r="A1551" s="71" t="s">
        <v>3100</v>
      </c>
      <c r="B1551" s="71" t="s">
        <v>3100</v>
      </c>
      <c r="C1551" s="47" t="s">
        <v>33</v>
      </c>
      <c r="D1551" s="48" t="s">
        <v>34</v>
      </c>
      <c r="E1551" s="18" t="s">
        <v>3101</v>
      </c>
      <c r="F1551" s="24" t="str">
        <f t="shared" si="96"/>
        <v>PPG - FATHG FH BIB&amp;BRACE 40/42"     FH2110 NI</v>
      </c>
      <c r="G1551" s="20" t="s">
        <v>6422</v>
      </c>
      <c r="H1551" s="49" t="s">
        <v>213</v>
      </c>
      <c r="I1551" s="18" t="s">
        <v>37</v>
      </c>
      <c r="J1551" s="18" t="s">
        <v>38</v>
      </c>
      <c r="K1551" t="s">
        <v>39</v>
      </c>
      <c r="L1551" s="50">
        <f>VLOOKUP(A1551,'[3]Price info'!A:D,4,FALSE)</f>
        <v>21.65</v>
      </c>
      <c r="M1551" s="18" t="s">
        <v>214</v>
      </c>
      <c r="N1551" s="20">
        <v>3105</v>
      </c>
      <c r="P1551" s="16">
        <f>VLOOKUP(A1551,'[3]Price info'!A:H,8,FALSE)</f>
        <v>21.65</v>
      </c>
      <c r="Q1551" s="17">
        <f t="shared" si="97"/>
        <v>1</v>
      </c>
      <c r="S1551" s="16" t="e">
        <f>VLOOKUP(A1551,[4]Sales!$E:$G,3,FALSE)</f>
        <v>#N/A</v>
      </c>
      <c r="T1551" s="19" t="e">
        <f>VLOOKUP(A1551,[4]Volume!$E:$G,3,FALSE)</f>
        <v>#N/A</v>
      </c>
      <c r="U1551" s="19" t="e">
        <f>VLOOKUP(A1551,[4]Piece!$E:$G,3,FALSE)</f>
        <v>#N/A</v>
      </c>
      <c r="V1551" s="21" t="e">
        <f t="shared" si="98"/>
        <v>#N/A</v>
      </c>
      <c r="W1551" s="16" t="e">
        <f t="shared" si="99"/>
        <v>#N/A</v>
      </c>
    </row>
    <row r="1552" spans="1:23" hidden="1" x14ac:dyDescent="0.3">
      <c r="A1552" s="71" t="s">
        <v>3102</v>
      </c>
      <c r="B1552" s="71" t="s">
        <v>3102</v>
      </c>
      <c r="C1552" s="47" t="s">
        <v>33</v>
      </c>
      <c r="D1552" s="48" t="s">
        <v>34</v>
      </c>
      <c r="E1552" s="18" t="s">
        <v>3103</v>
      </c>
      <c r="F1552" s="24" t="str">
        <f t="shared" si="96"/>
        <v>PPG - FATHG FH TROUSERS  WHITE 30"  FH2000 NI</v>
      </c>
      <c r="G1552" s="20" t="s">
        <v>6423</v>
      </c>
      <c r="H1552" s="49" t="s">
        <v>213</v>
      </c>
      <c r="I1552" s="18" t="s">
        <v>37</v>
      </c>
      <c r="J1552" s="18" t="s">
        <v>38</v>
      </c>
      <c r="K1552" t="s">
        <v>39</v>
      </c>
      <c r="L1552" s="50">
        <f>VLOOKUP(A1552,'[3]Price info'!A:D,4,FALSE)</f>
        <v>17.71</v>
      </c>
      <c r="M1552" s="18" t="s">
        <v>214</v>
      </c>
      <c r="N1552" s="20">
        <v>3105</v>
      </c>
      <c r="P1552" s="16">
        <f>VLOOKUP(A1552,'[3]Price info'!A:H,8,FALSE)</f>
        <v>17.71</v>
      </c>
      <c r="Q1552" s="17">
        <f t="shared" si="97"/>
        <v>1</v>
      </c>
      <c r="S1552" s="16" t="e">
        <f>VLOOKUP(A1552,[4]Sales!$E:$G,3,FALSE)</f>
        <v>#N/A</v>
      </c>
      <c r="T1552" s="19" t="e">
        <f>VLOOKUP(A1552,[4]Volume!$E:$G,3,FALSE)</f>
        <v>#N/A</v>
      </c>
      <c r="U1552" s="19" t="e">
        <f>VLOOKUP(A1552,[4]Piece!$E:$G,3,FALSE)</f>
        <v>#N/A</v>
      </c>
      <c r="V1552" s="21" t="e">
        <f t="shared" si="98"/>
        <v>#N/A</v>
      </c>
      <c r="W1552" s="16" t="e">
        <f t="shared" si="99"/>
        <v>#N/A</v>
      </c>
    </row>
    <row r="1553" spans="1:23" hidden="1" x14ac:dyDescent="0.3">
      <c r="A1553" s="71" t="s">
        <v>3104</v>
      </c>
      <c r="B1553" s="71" t="s">
        <v>3104</v>
      </c>
      <c r="C1553" s="51" t="s">
        <v>33</v>
      </c>
      <c r="D1553" s="48" t="s">
        <v>34</v>
      </c>
      <c r="E1553" s="18" t="s">
        <v>3105</v>
      </c>
      <c r="F1553" s="24" t="str">
        <f t="shared" si="96"/>
        <v>PPG - FATHG FH TROUSERS  WHITE 32"  FH2010 NI</v>
      </c>
      <c r="G1553" s="20" t="s">
        <v>6424</v>
      </c>
      <c r="H1553" s="49" t="s">
        <v>213</v>
      </c>
      <c r="I1553" s="18" t="s">
        <v>37</v>
      </c>
      <c r="J1553" s="18" t="s">
        <v>38</v>
      </c>
      <c r="K1553" t="s">
        <v>39</v>
      </c>
      <c r="L1553" s="50">
        <f>VLOOKUP(A1553,'[3]Price info'!A:D,4,FALSE)</f>
        <v>17.71</v>
      </c>
      <c r="M1553" s="18" t="s">
        <v>214</v>
      </c>
      <c r="N1553" s="20">
        <v>3105</v>
      </c>
      <c r="P1553" s="16">
        <f>VLOOKUP(A1553,'[3]Price info'!A:H,8,FALSE)</f>
        <v>17.71</v>
      </c>
      <c r="Q1553" s="17">
        <f t="shared" si="97"/>
        <v>1</v>
      </c>
      <c r="S1553" s="16" t="e">
        <f>VLOOKUP(A1553,[4]Sales!$E:$G,3,FALSE)</f>
        <v>#N/A</v>
      </c>
      <c r="T1553" s="19" t="e">
        <f>VLOOKUP(A1553,[4]Volume!$E:$G,3,FALSE)</f>
        <v>#N/A</v>
      </c>
      <c r="U1553" s="19" t="e">
        <f>VLOOKUP(A1553,[4]Piece!$E:$G,3,FALSE)</f>
        <v>#N/A</v>
      </c>
      <c r="V1553" s="21" t="e">
        <f t="shared" si="98"/>
        <v>#N/A</v>
      </c>
      <c r="W1553" s="16" t="e">
        <f t="shared" si="99"/>
        <v>#N/A</v>
      </c>
    </row>
    <row r="1554" spans="1:23" hidden="1" x14ac:dyDescent="0.3">
      <c r="A1554" s="71" t="s">
        <v>3106</v>
      </c>
      <c r="B1554" s="71" t="s">
        <v>3106</v>
      </c>
      <c r="C1554" s="47" t="s">
        <v>33</v>
      </c>
      <c r="D1554" s="48" t="s">
        <v>34</v>
      </c>
      <c r="E1554" s="18" t="s">
        <v>3107</v>
      </c>
      <c r="F1554" s="24" t="str">
        <f t="shared" si="96"/>
        <v>PPG - FATHG FH TROUSERS  WHITE 34"  FH2020 NI</v>
      </c>
      <c r="G1554" s="20" t="s">
        <v>6425</v>
      </c>
      <c r="H1554" s="49" t="s">
        <v>213</v>
      </c>
      <c r="I1554" s="18" t="s">
        <v>37</v>
      </c>
      <c r="J1554" s="18" t="s">
        <v>38</v>
      </c>
      <c r="K1554" t="s">
        <v>39</v>
      </c>
      <c r="L1554" s="50">
        <f>VLOOKUP(A1554,'[3]Price info'!A:D,4,FALSE)</f>
        <v>17.71</v>
      </c>
      <c r="M1554" s="18" t="s">
        <v>214</v>
      </c>
      <c r="N1554" s="20">
        <v>3105</v>
      </c>
      <c r="P1554" s="16">
        <f>VLOOKUP(A1554,'[3]Price info'!A:H,8,FALSE)</f>
        <v>17.71</v>
      </c>
      <c r="Q1554" s="17">
        <f t="shared" si="97"/>
        <v>1</v>
      </c>
      <c r="S1554" s="16" t="e">
        <f>VLOOKUP(A1554,[4]Sales!$E:$G,3,FALSE)</f>
        <v>#N/A</v>
      </c>
      <c r="T1554" s="19" t="e">
        <f>VLOOKUP(A1554,[4]Volume!$E:$G,3,FALSE)</f>
        <v>#N/A</v>
      </c>
      <c r="U1554" s="19" t="e">
        <f>VLOOKUP(A1554,[4]Piece!$E:$G,3,FALSE)</f>
        <v>#N/A</v>
      </c>
      <c r="V1554" s="21" t="e">
        <f t="shared" si="98"/>
        <v>#N/A</v>
      </c>
      <c r="W1554" s="16" t="e">
        <f t="shared" si="99"/>
        <v>#N/A</v>
      </c>
    </row>
    <row r="1555" spans="1:23" hidden="1" x14ac:dyDescent="0.3">
      <c r="A1555" s="71" t="s">
        <v>3108</v>
      </c>
      <c r="B1555" s="71" t="s">
        <v>3108</v>
      </c>
      <c r="C1555" s="47" t="s">
        <v>33</v>
      </c>
      <c r="D1555" s="48" t="s">
        <v>34</v>
      </c>
      <c r="E1555" s="18" t="s">
        <v>3109</v>
      </c>
      <c r="F1555" s="24" t="str">
        <f t="shared" si="96"/>
        <v>PPG - FATHG FH TROUSERS  WHITE 36"  FH2030 NI</v>
      </c>
      <c r="G1555" s="20" t="s">
        <v>6426</v>
      </c>
      <c r="H1555" s="49" t="s">
        <v>213</v>
      </c>
      <c r="I1555" s="18" t="s">
        <v>37</v>
      </c>
      <c r="J1555" s="18" t="s">
        <v>38</v>
      </c>
      <c r="K1555" t="s">
        <v>39</v>
      </c>
      <c r="L1555" s="50">
        <f>VLOOKUP(A1555,'[3]Price info'!A:D,4,FALSE)</f>
        <v>17.71</v>
      </c>
      <c r="M1555" s="18" t="s">
        <v>214</v>
      </c>
      <c r="N1555" s="20">
        <v>3105</v>
      </c>
      <c r="P1555" s="16">
        <f>VLOOKUP(A1555,'[3]Price info'!A:H,8,FALSE)</f>
        <v>17.71</v>
      </c>
      <c r="Q1555" s="17">
        <f t="shared" si="97"/>
        <v>1</v>
      </c>
      <c r="S1555" s="16" t="e">
        <f>VLOOKUP(A1555,[4]Sales!$E:$G,3,FALSE)</f>
        <v>#N/A</v>
      </c>
      <c r="T1555" s="19" t="e">
        <f>VLOOKUP(A1555,[4]Volume!$E:$G,3,FALSE)</f>
        <v>#N/A</v>
      </c>
      <c r="U1555" s="19" t="e">
        <f>VLOOKUP(A1555,[4]Piece!$E:$G,3,FALSE)</f>
        <v>#N/A</v>
      </c>
      <c r="V1555" s="21" t="e">
        <f t="shared" si="98"/>
        <v>#N/A</v>
      </c>
      <c r="W1555" s="16" t="e">
        <f t="shared" si="99"/>
        <v>#N/A</v>
      </c>
    </row>
    <row r="1556" spans="1:23" hidden="1" x14ac:dyDescent="0.3">
      <c r="A1556" s="71" t="s">
        <v>3110</v>
      </c>
      <c r="B1556" s="71" t="s">
        <v>3110</v>
      </c>
      <c r="C1556" s="51" t="s">
        <v>33</v>
      </c>
      <c r="D1556" s="48" t="s">
        <v>34</v>
      </c>
      <c r="E1556" s="18" t="s">
        <v>3111</v>
      </c>
      <c r="F1556" s="24" t="str">
        <f t="shared" si="96"/>
        <v>PPG - FATHG FH TROUSERS  WHITE 38"  FH2040 NI</v>
      </c>
      <c r="G1556" s="20" t="s">
        <v>6427</v>
      </c>
      <c r="H1556" s="49" t="s">
        <v>213</v>
      </c>
      <c r="I1556" s="18" t="s">
        <v>37</v>
      </c>
      <c r="J1556" s="18" t="s">
        <v>38</v>
      </c>
      <c r="K1556" t="s">
        <v>39</v>
      </c>
      <c r="L1556" s="50">
        <f>VLOOKUP(A1556,'[3]Price info'!A:D,4,FALSE)</f>
        <v>17.71</v>
      </c>
      <c r="M1556" s="18" t="s">
        <v>214</v>
      </c>
      <c r="N1556" s="20">
        <v>3105</v>
      </c>
      <c r="P1556" s="16">
        <f>VLOOKUP(A1556,'[3]Price info'!A:H,8,FALSE)</f>
        <v>17.71</v>
      </c>
      <c r="Q1556" s="17">
        <f t="shared" si="97"/>
        <v>1</v>
      </c>
      <c r="S1556" s="16" t="e">
        <f>VLOOKUP(A1556,[4]Sales!$E:$G,3,FALSE)</f>
        <v>#N/A</v>
      </c>
      <c r="T1556" s="19" t="e">
        <f>VLOOKUP(A1556,[4]Volume!$E:$G,3,FALSE)</f>
        <v>#N/A</v>
      </c>
      <c r="U1556" s="19" t="e">
        <f>VLOOKUP(A1556,[4]Piece!$E:$G,3,FALSE)</f>
        <v>#N/A</v>
      </c>
      <c r="V1556" s="21" t="e">
        <f t="shared" si="98"/>
        <v>#N/A</v>
      </c>
      <c r="W1556" s="16" t="e">
        <f t="shared" si="99"/>
        <v>#N/A</v>
      </c>
    </row>
    <row r="1557" spans="1:23" hidden="1" x14ac:dyDescent="0.3">
      <c r="A1557" s="71" t="s">
        <v>3112</v>
      </c>
      <c r="B1557" s="71" t="s">
        <v>3112</v>
      </c>
      <c r="C1557" s="47" t="s">
        <v>33</v>
      </c>
      <c r="D1557" s="48" t="s">
        <v>34</v>
      </c>
      <c r="E1557" s="18" t="s">
        <v>3113</v>
      </c>
      <c r="F1557" s="24" t="str">
        <f t="shared" si="96"/>
        <v>PPG - FATHG FH TROUSERS  WHITE 40"  FH2050 NI</v>
      </c>
      <c r="G1557" s="20" t="s">
        <v>6428</v>
      </c>
      <c r="H1557" s="49" t="s">
        <v>213</v>
      </c>
      <c r="I1557" s="18" t="s">
        <v>37</v>
      </c>
      <c r="J1557" s="18" t="s">
        <v>38</v>
      </c>
      <c r="K1557" t="s">
        <v>39</v>
      </c>
      <c r="L1557" s="50">
        <f>VLOOKUP(A1557,'[3]Price info'!A:D,4,FALSE)</f>
        <v>17.71</v>
      </c>
      <c r="M1557" s="18" t="s">
        <v>214</v>
      </c>
      <c r="N1557" s="20">
        <v>3105</v>
      </c>
      <c r="P1557" s="16">
        <f>VLOOKUP(A1557,'[3]Price info'!A:H,8,FALSE)</f>
        <v>17.71</v>
      </c>
      <c r="Q1557" s="17">
        <f t="shared" si="97"/>
        <v>1</v>
      </c>
      <c r="S1557" s="16" t="e">
        <f>VLOOKUP(A1557,[4]Sales!$E:$G,3,FALSE)</f>
        <v>#N/A</v>
      </c>
      <c r="T1557" s="19" t="e">
        <f>VLOOKUP(A1557,[4]Volume!$E:$G,3,FALSE)</f>
        <v>#N/A</v>
      </c>
      <c r="U1557" s="19" t="e">
        <f>VLOOKUP(A1557,[4]Piece!$E:$G,3,FALSE)</f>
        <v>#N/A</v>
      </c>
      <c r="V1557" s="21" t="e">
        <f t="shared" si="98"/>
        <v>#N/A</v>
      </c>
      <c r="W1557" s="16" t="e">
        <f t="shared" si="99"/>
        <v>#N/A</v>
      </c>
    </row>
    <row r="1558" spans="1:23" hidden="1" x14ac:dyDescent="0.3">
      <c r="A1558" s="71" t="s">
        <v>3114</v>
      </c>
      <c r="B1558" s="71" t="s">
        <v>3114</v>
      </c>
      <c r="C1558" s="47" t="s">
        <v>33</v>
      </c>
      <c r="D1558" s="48" t="s">
        <v>34</v>
      </c>
      <c r="E1558" s="18" t="s">
        <v>3115</v>
      </c>
      <c r="F1558" s="24" t="str">
        <f t="shared" si="96"/>
        <v>PPG - FD    GORI88 OPAQU MIXED COL  0000000750</v>
      </c>
      <c r="G1558" s="20" t="s">
        <v>6429</v>
      </c>
      <c r="H1558" s="49" t="s">
        <v>213</v>
      </c>
      <c r="I1558" s="18" t="s">
        <v>37</v>
      </c>
      <c r="J1558" s="18" t="s">
        <v>38</v>
      </c>
      <c r="K1558" t="s">
        <v>39</v>
      </c>
      <c r="L1558" s="50">
        <f>VLOOKUP(A1558,'[3]Price info'!A:D,4,FALSE)</f>
        <v>20.43</v>
      </c>
      <c r="M1558" s="18" t="s">
        <v>214</v>
      </c>
      <c r="N1558" s="20">
        <v>3105</v>
      </c>
      <c r="P1558" s="16">
        <f>VLOOKUP(A1558,'[3]Price info'!A:H,8,FALSE)</f>
        <v>20.43</v>
      </c>
      <c r="Q1558" s="17">
        <f t="shared" si="97"/>
        <v>1</v>
      </c>
      <c r="S1558" s="16" t="e">
        <f>VLOOKUP(A1558,[4]Sales!$E:$G,3,FALSE)</f>
        <v>#N/A</v>
      </c>
      <c r="T1558" s="19" t="e">
        <f>VLOOKUP(A1558,[4]Volume!$E:$G,3,FALSE)</f>
        <v>#N/A</v>
      </c>
      <c r="U1558" s="19" t="e">
        <f>VLOOKUP(A1558,[4]Piece!$E:$G,3,FALSE)</f>
        <v>#N/A</v>
      </c>
      <c r="V1558" s="21" t="e">
        <f t="shared" si="98"/>
        <v>#N/A</v>
      </c>
      <c r="W1558" s="16" t="e">
        <f t="shared" si="99"/>
        <v>#N/A</v>
      </c>
    </row>
    <row r="1559" spans="1:23" hidden="1" x14ac:dyDescent="0.3">
      <c r="A1559" s="71" t="s">
        <v>3116</v>
      </c>
      <c r="B1559" s="71" t="s">
        <v>3116</v>
      </c>
      <c r="C1559" s="51" t="s">
        <v>33</v>
      </c>
      <c r="D1559" s="48" t="s">
        <v>34</v>
      </c>
      <c r="E1559" s="18" t="s">
        <v>3117</v>
      </c>
      <c r="F1559" s="24" t="str">
        <f t="shared" si="96"/>
        <v>PPG - FD    GORI88 OPAQU MIXED COL  0000001250</v>
      </c>
      <c r="G1559" s="20" t="s">
        <v>6430</v>
      </c>
      <c r="H1559" s="49" t="s">
        <v>213</v>
      </c>
      <c r="I1559" s="18" t="s">
        <v>37</v>
      </c>
      <c r="J1559" s="18" t="s">
        <v>38</v>
      </c>
      <c r="K1559" t="s">
        <v>39</v>
      </c>
      <c r="L1559" s="50">
        <f>VLOOKUP(A1559,'[3]Price info'!A:D,4,FALSE)</f>
        <v>59.47</v>
      </c>
      <c r="M1559" s="18" t="s">
        <v>214</v>
      </c>
      <c r="N1559" s="20">
        <v>3105</v>
      </c>
      <c r="P1559" s="16">
        <f>VLOOKUP(A1559,'[3]Price info'!A:H,8,FALSE)</f>
        <v>59.47</v>
      </c>
      <c r="Q1559" s="17">
        <f t="shared" si="97"/>
        <v>1</v>
      </c>
      <c r="S1559" s="16" t="e">
        <f>VLOOKUP(A1559,[4]Sales!$E:$G,3,FALSE)</f>
        <v>#N/A</v>
      </c>
      <c r="T1559" s="19" t="e">
        <f>VLOOKUP(A1559,[4]Volume!$E:$G,3,FALSE)</f>
        <v>#N/A</v>
      </c>
      <c r="U1559" s="19" t="e">
        <f>VLOOKUP(A1559,[4]Piece!$E:$G,3,FALSE)</f>
        <v>#N/A</v>
      </c>
      <c r="V1559" s="21" t="e">
        <f t="shared" si="98"/>
        <v>#N/A</v>
      </c>
      <c r="W1559" s="16" t="e">
        <f t="shared" si="99"/>
        <v>#N/A</v>
      </c>
    </row>
    <row r="1560" spans="1:23" hidden="1" x14ac:dyDescent="0.3">
      <c r="A1560" s="71" t="s">
        <v>3118</v>
      </c>
      <c r="B1560" s="71" t="s">
        <v>3118</v>
      </c>
      <c r="C1560" s="47" t="s">
        <v>33</v>
      </c>
      <c r="D1560" s="48" t="s">
        <v>34</v>
      </c>
      <c r="E1560" s="18" t="s">
        <v>3119</v>
      </c>
      <c r="F1560" s="24" t="str">
        <f t="shared" si="96"/>
        <v>PPG - FD    GORI88 OPAQU MIXED COL  0000001900</v>
      </c>
      <c r="G1560" s="20" t="s">
        <v>6431</v>
      </c>
      <c r="H1560" s="49" t="s">
        <v>213</v>
      </c>
      <c r="I1560" s="18" t="s">
        <v>37</v>
      </c>
      <c r="J1560" s="18" t="s">
        <v>38</v>
      </c>
      <c r="K1560" t="s">
        <v>39</v>
      </c>
      <c r="L1560" s="50">
        <f>VLOOKUP(A1560,'[3]Price info'!A:D,4,FALSE)</f>
        <v>171.66</v>
      </c>
      <c r="M1560" s="18" t="s">
        <v>214</v>
      </c>
      <c r="N1560" s="20">
        <v>3105</v>
      </c>
      <c r="P1560" s="16">
        <f>VLOOKUP(A1560,'[3]Price info'!A:H,8,FALSE)</f>
        <v>171.66</v>
      </c>
      <c r="Q1560" s="17">
        <f t="shared" si="97"/>
        <v>1</v>
      </c>
      <c r="S1560" s="16" t="e">
        <f>VLOOKUP(A1560,[4]Sales!$E:$G,3,FALSE)</f>
        <v>#N/A</v>
      </c>
      <c r="T1560" s="19" t="e">
        <f>VLOOKUP(A1560,[4]Volume!$E:$G,3,FALSE)</f>
        <v>#N/A</v>
      </c>
      <c r="U1560" s="19" t="e">
        <f>VLOOKUP(A1560,[4]Piece!$E:$G,3,FALSE)</f>
        <v>#N/A</v>
      </c>
      <c r="V1560" s="21" t="e">
        <f t="shared" si="98"/>
        <v>#N/A</v>
      </c>
      <c r="W1560" s="16" t="e">
        <f t="shared" si="99"/>
        <v>#N/A</v>
      </c>
    </row>
    <row r="1561" spans="1:23" hidden="1" x14ac:dyDescent="0.3">
      <c r="A1561" s="71" t="s">
        <v>3120</v>
      </c>
      <c r="B1561" s="71" t="s">
        <v>3120</v>
      </c>
      <c r="C1561" s="47" t="s">
        <v>33</v>
      </c>
      <c r="D1561" s="48" t="s">
        <v>34</v>
      </c>
      <c r="E1561" s="18" t="s">
        <v>3121</v>
      </c>
      <c r="F1561" s="24" t="str">
        <f t="shared" si="96"/>
        <v>PPG - FD    GORI88 TRANS MIXED COL  0000000750</v>
      </c>
      <c r="G1561" s="20" t="s">
        <v>6432</v>
      </c>
      <c r="H1561" s="49" t="s">
        <v>213</v>
      </c>
      <c r="I1561" s="18" t="s">
        <v>37</v>
      </c>
      <c r="J1561" s="18" t="s">
        <v>38</v>
      </c>
      <c r="K1561" t="s">
        <v>39</v>
      </c>
      <c r="L1561" s="50">
        <f>VLOOKUP(A1561,'[3]Price info'!A:D,4,FALSE)</f>
        <v>19.72</v>
      </c>
      <c r="M1561" s="18" t="s">
        <v>214</v>
      </c>
      <c r="N1561" s="20">
        <v>3105</v>
      </c>
      <c r="P1561" s="16">
        <f>VLOOKUP(A1561,'[3]Price info'!A:H,8,FALSE)</f>
        <v>19.72</v>
      </c>
      <c r="Q1561" s="17">
        <f t="shared" si="97"/>
        <v>1</v>
      </c>
      <c r="S1561" s="16" t="e">
        <f>VLOOKUP(A1561,[4]Sales!$E:$G,3,FALSE)</f>
        <v>#N/A</v>
      </c>
      <c r="T1561" s="19" t="e">
        <f>VLOOKUP(A1561,[4]Volume!$E:$G,3,FALSE)</f>
        <v>#N/A</v>
      </c>
      <c r="U1561" s="19" t="e">
        <f>VLOOKUP(A1561,[4]Piece!$E:$G,3,FALSE)</f>
        <v>#N/A</v>
      </c>
      <c r="V1561" s="21" t="e">
        <f t="shared" si="98"/>
        <v>#N/A</v>
      </c>
      <c r="W1561" s="16" t="e">
        <f t="shared" si="99"/>
        <v>#N/A</v>
      </c>
    </row>
    <row r="1562" spans="1:23" hidden="1" x14ac:dyDescent="0.3">
      <c r="A1562" s="71" t="s">
        <v>3122</v>
      </c>
      <c r="B1562" s="71" t="s">
        <v>3122</v>
      </c>
      <c r="C1562" s="51" t="s">
        <v>33</v>
      </c>
      <c r="D1562" s="48" t="s">
        <v>34</v>
      </c>
      <c r="E1562" s="18" t="s">
        <v>3123</v>
      </c>
      <c r="F1562" s="24" t="str">
        <f t="shared" si="96"/>
        <v>PPG - FD    GORI88 TRANS MIXED COL  0000001250</v>
      </c>
      <c r="G1562" s="20" t="s">
        <v>6433</v>
      </c>
      <c r="H1562" s="49" t="s">
        <v>213</v>
      </c>
      <c r="I1562" s="18" t="s">
        <v>37</v>
      </c>
      <c r="J1562" s="18" t="s">
        <v>38</v>
      </c>
      <c r="K1562" t="s">
        <v>39</v>
      </c>
      <c r="L1562" s="50">
        <f>VLOOKUP(A1562,'[3]Price info'!A:D,4,FALSE)</f>
        <v>57.17</v>
      </c>
      <c r="M1562" s="18" t="s">
        <v>214</v>
      </c>
      <c r="N1562" s="20">
        <v>3105</v>
      </c>
      <c r="P1562" s="16">
        <f>VLOOKUP(A1562,'[3]Price info'!A:H,8,FALSE)</f>
        <v>57.17</v>
      </c>
      <c r="Q1562" s="17">
        <f t="shared" si="97"/>
        <v>1</v>
      </c>
      <c r="S1562" s="16" t="e">
        <f>VLOOKUP(A1562,[4]Sales!$E:$G,3,FALSE)</f>
        <v>#N/A</v>
      </c>
      <c r="T1562" s="19" t="e">
        <f>VLOOKUP(A1562,[4]Volume!$E:$G,3,FALSE)</f>
        <v>#N/A</v>
      </c>
      <c r="U1562" s="19" t="e">
        <f>VLOOKUP(A1562,[4]Piece!$E:$G,3,FALSE)</f>
        <v>#N/A</v>
      </c>
      <c r="V1562" s="21" t="e">
        <f t="shared" si="98"/>
        <v>#N/A</v>
      </c>
      <c r="W1562" s="16" t="e">
        <f t="shared" si="99"/>
        <v>#N/A</v>
      </c>
    </row>
    <row r="1563" spans="1:23" hidden="1" x14ac:dyDescent="0.3">
      <c r="A1563" s="71" t="s">
        <v>3124</v>
      </c>
      <c r="B1563" s="71" t="s">
        <v>3124</v>
      </c>
      <c r="C1563" s="47" t="s">
        <v>33</v>
      </c>
      <c r="D1563" s="48" t="s">
        <v>34</v>
      </c>
      <c r="E1563" s="18" t="s">
        <v>3125</v>
      </c>
      <c r="F1563" s="24" t="str">
        <f t="shared" si="96"/>
        <v>PPG - FD    GORI88 TRANS MIXED COL  0000001900</v>
      </c>
      <c r="G1563" s="20" t="s">
        <v>6434</v>
      </c>
      <c r="H1563" s="49" t="s">
        <v>213</v>
      </c>
      <c r="I1563" s="18" t="s">
        <v>37</v>
      </c>
      <c r="J1563" s="18" t="s">
        <v>38</v>
      </c>
      <c r="K1563" t="s">
        <v>39</v>
      </c>
      <c r="L1563" s="50">
        <f>VLOOKUP(A1563,'[3]Price info'!A:D,4,FALSE)</f>
        <v>158.83000000000001</v>
      </c>
      <c r="M1563" s="18" t="s">
        <v>214</v>
      </c>
      <c r="N1563" s="20">
        <v>3105</v>
      </c>
      <c r="P1563" s="16">
        <f>VLOOKUP(A1563,'[3]Price info'!A:H,8,FALSE)</f>
        <v>158.83000000000001</v>
      </c>
      <c r="Q1563" s="17">
        <f t="shared" si="97"/>
        <v>1</v>
      </c>
      <c r="S1563" s="16" t="e">
        <f>VLOOKUP(A1563,[4]Sales!$E:$G,3,FALSE)</f>
        <v>#N/A</v>
      </c>
      <c r="T1563" s="19" t="e">
        <f>VLOOKUP(A1563,[4]Volume!$E:$G,3,FALSE)</f>
        <v>#N/A</v>
      </c>
      <c r="U1563" s="19" t="e">
        <f>VLOOKUP(A1563,[4]Piece!$E:$G,3,FALSE)</f>
        <v>#N/A</v>
      </c>
      <c r="V1563" s="21" t="e">
        <f t="shared" si="98"/>
        <v>#N/A</v>
      </c>
      <c r="W1563" s="16" t="e">
        <f t="shared" si="99"/>
        <v>#N/A</v>
      </c>
    </row>
    <row r="1564" spans="1:23" hidden="1" x14ac:dyDescent="0.3">
      <c r="A1564" s="71" t="s">
        <v>3126</v>
      </c>
      <c r="B1564" s="71" t="s">
        <v>3126</v>
      </c>
      <c r="C1564" s="47" t="s">
        <v>33</v>
      </c>
      <c r="D1564" s="48" t="s">
        <v>34</v>
      </c>
      <c r="E1564" s="18" t="s">
        <v>3127</v>
      </c>
      <c r="F1564" s="24" t="str">
        <f t="shared" si="96"/>
        <v>PPG - G&amp;B   FRESCO 19059 PLASTER    PG.HS</v>
      </c>
      <c r="G1564" s="20" t="s">
        <v>6435</v>
      </c>
      <c r="H1564" s="49" t="s">
        <v>213</v>
      </c>
      <c r="I1564" s="18" t="s">
        <v>37</v>
      </c>
      <c r="J1564" s="18" t="s">
        <v>38</v>
      </c>
      <c r="K1564" t="s">
        <v>39</v>
      </c>
      <c r="L1564" s="50">
        <f>VLOOKUP(A1564,'[3]Price info'!A:D,4,FALSE)</f>
        <v>8.5399999999999991</v>
      </c>
      <c r="M1564" s="18" t="s">
        <v>214</v>
      </c>
      <c r="N1564" s="20">
        <v>3105</v>
      </c>
      <c r="P1564" s="16">
        <f>VLOOKUP(A1564,'[3]Price info'!A:H,8,FALSE)</f>
        <v>8.5399999999999991</v>
      </c>
      <c r="Q1564" s="17">
        <f t="shared" si="97"/>
        <v>1</v>
      </c>
      <c r="S1564" s="16" t="e">
        <f>VLOOKUP(A1564,[4]Sales!$E:$G,3,FALSE)</f>
        <v>#N/A</v>
      </c>
      <c r="T1564" s="19" t="e">
        <f>VLOOKUP(A1564,[4]Volume!$E:$G,3,FALSE)</f>
        <v>#N/A</v>
      </c>
      <c r="U1564" s="19" t="e">
        <f>VLOOKUP(A1564,[4]Piece!$E:$G,3,FALSE)</f>
        <v>#N/A</v>
      </c>
      <c r="V1564" s="21" t="e">
        <f t="shared" si="98"/>
        <v>#N/A</v>
      </c>
      <c r="W1564" s="16" t="e">
        <f t="shared" si="99"/>
        <v>#N/A</v>
      </c>
    </row>
    <row r="1565" spans="1:23" hidden="1" x14ac:dyDescent="0.3">
      <c r="A1565" s="71" t="s">
        <v>3128</v>
      </c>
      <c r="B1565" s="71" t="s">
        <v>3128</v>
      </c>
      <c r="C1565" s="51" t="s">
        <v>33</v>
      </c>
      <c r="D1565" s="48" t="s">
        <v>34</v>
      </c>
      <c r="E1565" s="18" t="s">
        <v>3129</v>
      </c>
      <c r="F1565" s="24" t="str">
        <f t="shared" si="96"/>
        <v>PPG - G&amp;B   FRESCO 205 STIPPLE PG.HT</v>
      </c>
      <c r="G1565" s="20" t="s">
        <v>6436</v>
      </c>
      <c r="H1565" s="49" t="s">
        <v>213</v>
      </c>
      <c r="I1565" s="18" t="s">
        <v>37</v>
      </c>
      <c r="J1565" s="18" t="s">
        <v>38</v>
      </c>
      <c r="K1565" t="s">
        <v>39</v>
      </c>
      <c r="L1565" s="50">
        <f>VLOOKUP(A1565,'[3]Price info'!A:D,4,FALSE)</f>
        <v>7.26</v>
      </c>
      <c r="M1565" s="18" t="s">
        <v>214</v>
      </c>
      <c r="N1565" s="20">
        <v>3105</v>
      </c>
      <c r="P1565" s="16">
        <f>VLOOKUP(A1565,'[3]Price info'!A:H,8,FALSE)</f>
        <v>7.26</v>
      </c>
      <c r="Q1565" s="17">
        <f t="shared" si="97"/>
        <v>1</v>
      </c>
      <c r="S1565" s="16" t="e">
        <f>VLOOKUP(A1565,[4]Sales!$E:$G,3,FALSE)</f>
        <v>#N/A</v>
      </c>
      <c r="T1565" s="19" t="e">
        <f>VLOOKUP(A1565,[4]Volume!$E:$G,3,FALSE)</f>
        <v>#N/A</v>
      </c>
      <c r="U1565" s="19" t="e">
        <f>VLOOKUP(A1565,[4]Piece!$E:$G,3,FALSE)</f>
        <v>#N/A</v>
      </c>
      <c r="V1565" s="21" t="e">
        <f t="shared" si="98"/>
        <v>#N/A</v>
      </c>
      <c r="W1565" s="16" t="e">
        <f t="shared" si="99"/>
        <v>#N/A</v>
      </c>
    </row>
    <row r="1566" spans="1:23" hidden="1" x14ac:dyDescent="0.3">
      <c r="A1566" s="71" t="s">
        <v>3130</v>
      </c>
      <c r="B1566" s="71" t="s">
        <v>3130</v>
      </c>
      <c r="C1566" s="47" t="s">
        <v>33</v>
      </c>
      <c r="D1566" s="48" t="s">
        <v>34</v>
      </c>
      <c r="E1566" s="18" t="s">
        <v>3131</v>
      </c>
      <c r="F1566" s="24" t="str">
        <f t="shared" si="96"/>
        <v>PPG - G&amp;B   FRESCO 284 STRING PG.HT</v>
      </c>
      <c r="G1566" s="20" t="s">
        <v>6437</v>
      </c>
      <c r="H1566" s="49" t="s">
        <v>213</v>
      </c>
      <c r="I1566" s="18" t="s">
        <v>37</v>
      </c>
      <c r="J1566" s="18" t="s">
        <v>38</v>
      </c>
      <c r="K1566" t="s">
        <v>39</v>
      </c>
      <c r="L1566" s="50">
        <f>VLOOKUP(A1566,'[3]Price info'!A:D,4,FALSE)</f>
        <v>7.26</v>
      </c>
      <c r="M1566" s="18" t="s">
        <v>214</v>
      </c>
      <c r="N1566" s="20">
        <v>3105</v>
      </c>
      <c r="P1566" s="16">
        <f>VLOOKUP(A1566,'[3]Price info'!A:H,8,FALSE)</f>
        <v>7.26</v>
      </c>
      <c r="Q1566" s="17">
        <f t="shared" si="97"/>
        <v>1</v>
      </c>
      <c r="S1566" s="16" t="e">
        <f>VLOOKUP(A1566,[4]Sales!$E:$G,3,FALSE)</f>
        <v>#N/A</v>
      </c>
      <c r="T1566" s="19" t="e">
        <f>VLOOKUP(A1566,[4]Volume!$E:$G,3,FALSE)</f>
        <v>#N/A</v>
      </c>
      <c r="U1566" s="19" t="e">
        <f>VLOOKUP(A1566,[4]Piece!$E:$G,3,FALSE)</f>
        <v>#N/A</v>
      </c>
      <c r="V1566" s="21" t="e">
        <f t="shared" si="98"/>
        <v>#N/A</v>
      </c>
      <c r="W1566" s="16" t="e">
        <f t="shared" si="99"/>
        <v>#N/A</v>
      </c>
    </row>
    <row r="1567" spans="1:23" hidden="1" x14ac:dyDescent="0.3">
      <c r="A1567" s="71" t="s">
        <v>3132</v>
      </c>
      <c r="B1567" s="71" t="s">
        <v>3132</v>
      </c>
      <c r="C1567" s="47" t="s">
        <v>33</v>
      </c>
      <c r="D1567" s="48" t="s">
        <v>34</v>
      </c>
      <c r="E1567" s="18" t="s">
        <v>3133</v>
      </c>
      <c r="F1567" s="24" t="str">
        <f t="shared" si="96"/>
        <v>PPG - G&amp;B   FRESCO 70074 HEAVY STIPPLE PG.HR</v>
      </c>
      <c r="G1567" s="20" t="s">
        <v>6438</v>
      </c>
      <c r="H1567" s="49" t="s">
        <v>213</v>
      </c>
      <c r="I1567" s="18" t="s">
        <v>37</v>
      </c>
      <c r="J1567" s="18" t="s">
        <v>38</v>
      </c>
      <c r="K1567" t="s">
        <v>39</v>
      </c>
      <c r="L1567" s="50">
        <f>VLOOKUP(A1567,'[3]Price info'!A:D,4,FALSE)</f>
        <v>7.26</v>
      </c>
      <c r="M1567" s="18" t="s">
        <v>214</v>
      </c>
      <c r="N1567" s="20">
        <v>3105</v>
      </c>
      <c r="P1567" s="16">
        <f>VLOOKUP(A1567,'[3]Price info'!A:H,8,FALSE)</f>
        <v>7.26</v>
      </c>
      <c r="Q1567" s="17">
        <f t="shared" si="97"/>
        <v>1</v>
      </c>
      <c r="S1567" s="16">
        <f>VLOOKUP(A1567,[4]Sales!$E:$G,3,FALSE)</f>
        <v>0</v>
      </c>
      <c r="T1567" s="19">
        <f>VLOOKUP(A1567,[4]Volume!$E:$G,3,FALSE)</f>
        <v>0</v>
      </c>
      <c r="U1567" s="19">
        <f>VLOOKUP(A1567,[4]Piece!$E:$G,3,FALSE)</f>
        <v>0</v>
      </c>
      <c r="V1567" s="21">
        <f t="shared" si="98"/>
        <v>0</v>
      </c>
      <c r="W1567" s="16">
        <f t="shared" si="99"/>
        <v>0</v>
      </c>
    </row>
    <row r="1568" spans="1:23" hidden="1" x14ac:dyDescent="0.3">
      <c r="A1568" s="71" t="s">
        <v>3134</v>
      </c>
      <c r="B1568" s="71" t="s">
        <v>3134</v>
      </c>
      <c r="C1568" s="51" t="s">
        <v>33</v>
      </c>
      <c r="D1568" s="48" t="s">
        <v>34</v>
      </c>
      <c r="E1568" s="18" t="s">
        <v>3135</v>
      </c>
      <c r="F1568" s="24" t="str">
        <f t="shared" si="96"/>
        <v>PPG - G&amp;B   FRESCO 726   BARK       PG.HR</v>
      </c>
      <c r="G1568" s="20" t="s">
        <v>6439</v>
      </c>
      <c r="H1568" s="49" t="s">
        <v>213</v>
      </c>
      <c r="I1568" s="18" t="s">
        <v>37</v>
      </c>
      <c r="J1568" s="18" t="s">
        <v>38</v>
      </c>
      <c r="K1568" t="s">
        <v>39</v>
      </c>
      <c r="L1568" s="50">
        <f>VLOOKUP(A1568,'[3]Price info'!A:D,4,FALSE)</f>
        <v>7.63</v>
      </c>
      <c r="M1568" s="18" t="s">
        <v>214</v>
      </c>
      <c r="N1568" s="20">
        <v>3105</v>
      </c>
      <c r="P1568" s="16">
        <f>VLOOKUP(A1568,'[3]Price info'!A:H,8,FALSE)</f>
        <v>7.63</v>
      </c>
      <c r="Q1568" s="17">
        <f t="shared" si="97"/>
        <v>1</v>
      </c>
      <c r="S1568" s="16" t="e">
        <f>VLOOKUP(A1568,[4]Sales!$E:$G,3,FALSE)</f>
        <v>#N/A</v>
      </c>
      <c r="T1568" s="19" t="e">
        <f>VLOOKUP(A1568,[4]Volume!$E:$G,3,FALSE)</f>
        <v>#N/A</v>
      </c>
      <c r="U1568" s="19" t="e">
        <f>VLOOKUP(A1568,[4]Piece!$E:$G,3,FALSE)</f>
        <v>#N/A</v>
      </c>
      <c r="V1568" s="21" t="e">
        <f t="shared" si="98"/>
        <v>#N/A</v>
      </c>
      <c r="W1568" s="16" t="e">
        <f t="shared" si="99"/>
        <v>#N/A</v>
      </c>
    </row>
    <row r="1569" spans="1:23" hidden="1" x14ac:dyDescent="0.3">
      <c r="A1569" s="71" t="s">
        <v>3136</v>
      </c>
      <c r="B1569" s="71" t="s">
        <v>3136</v>
      </c>
      <c r="C1569" s="47" t="s">
        <v>33</v>
      </c>
      <c r="D1569" s="48" t="s">
        <v>34</v>
      </c>
      <c r="E1569" s="18" t="s">
        <v>3137</v>
      </c>
      <c r="F1569" s="24" t="str">
        <f t="shared" si="96"/>
        <v>PPG - GORI 05 EXP DECK  CLEAR (UK)  9900001250</v>
      </c>
      <c r="G1569" s="20" t="s">
        <v>6440</v>
      </c>
      <c r="H1569" s="49" t="s">
        <v>213</v>
      </c>
      <c r="I1569" s="18" t="s">
        <v>37</v>
      </c>
      <c r="J1569" s="18" t="s">
        <v>38</v>
      </c>
      <c r="K1569" t="s">
        <v>39</v>
      </c>
      <c r="L1569" s="50">
        <f>VLOOKUP(A1569,'[3]Price info'!A:D,4,FALSE)</f>
        <v>35.630000000000003</v>
      </c>
      <c r="M1569" s="18" t="s">
        <v>214</v>
      </c>
      <c r="N1569" s="20">
        <v>3105</v>
      </c>
      <c r="P1569" s="16">
        <f>VLOOKUP(A1569,'[3]Price info'!A:H,8,FALSE)</f>
        <v>35.630000000000003</v>
      </c>
      <c r="Q1569" s="17">
        <f t="shared" si="97"/>
        <v>1</v>
      </c>
      <c r="S1569" s="16">
        <f>VLOOKUP(A1569,[4]Sales!$E:$G,3,FALSE)</f>
        <v>71.260000000000005</v>
      </c>
      <c r="T1569" s="19">
        <f>VLOOKUP(A1569,[4]Volume!$E:$G,3,FALSE)</f>
        <v>5</v>
      </c>
      <c r="U1569" s="19">
        <f>VLOOKUP(A1569,[4]Piece!$E:$G,3,FALSE)</f>
        <v>2</v>
      </c>
      <c r="V1569" s="21">
        <f t="shared" si="98"/>
        <v>71.260000000000005</v>
      </c>
      <c r="W1569" s="16">
        <f t="shared" si="99"/>
        <v>0</v>
      </c>
    </row>
    <row r="1570" spans="1:23" hidden="1" x14ac:dyDescent="0.3">
      <c r="A1570" s="71" t="s">
        <v>3138</v>
      </c>
      <c r="B1570" s="71" t="s">
        <v>3138</v>
      </c>
      <c r="C1570" s="47" t="s">
        <v>33</v>
      </c>
      <c r="D1570" s="48" t="s">
        <v>34</v>
      </c>
      <c r="E1570" s="18" t="s">
        <v>3139</v>
      </c>
      <c r="F1570" s="24" t="str">
        <f t="shared" si="96"/>
        <v>PPG - GORI 05 EXP DECK  TEAK (UK)  78040001250</v>
      </c>
      <c r="G1570" s="20" t="s">
        <v>6441</v>
      </c>
      <c r="H1570" s="49" t="s">
        <v>213</v>
      </c>
      <c r="I1570" s="18" t="s">
        <v>37</v>
      </c>
      <c r="J1570" s="18" t="s">
        <v>38</v>
      </c>
      <c r="K1570" t="s">
        <v>39</v>
      </c>
      <c r="L1570" s="50">
        <f>VLOOKUP(A1570,'[3]Price info'!A:D,4,FALSE)</f>
        <v>37.61</v>
      </c>
      <c r="M1570" s="18" t="s">
        <v>214</v>
      </c>
      <c r="N1570" s="20">
        <v>3105</v>
      </c>
      <c r="P1570" s="16">
        <f>VLOOKUP(A1570,'[3]Price info'!A:H,8,FALSE)</f>
        <v>37.61</v>
      </c>
      <c r="Q1570" s="17">
        <f t="shared" si="97"/>
        <v>1</v>
      </c>
      <c r="S1570" s="16" t="e">
        <f>VLOOKUP(A1570,[4]Sales!$E:$G,3,FALSE)</f>
        <v>#N/A</v>
      </c>
      <c r="T1570" s="19" t="e">
        <f>VLOOKUP(A1570,[4]Volume!$E:$G,3,FALSE)</f>
        <v>#N/A</v>
      </c>
      <c r="U1570" s="19" t="e">
        <f>VLOOKUP(A1570,[4]Piece!$E:$G,3,FALSE)</f>
        <v>#N/A</v>
      </c>
      <c r="V1570" s="21" t="e">
        <f t="shared" si="98"/>
        <v>#N/A</v>
      </c>
      <c r="W1570" s="16" t="e">
        <f t="shared" si="99"/>
        <v>#N/A</v>
      </c>
    </row>
    <row r="1571" spans="1:23" hidden="1" x14ac:dyDescent="0.3">
      <c r="A1571" s="71" t="s">
        <v>3140</v>
      </c>
      <c r="B1571" s="71" t="s">
        <v>3140</v>
      </c>
      <c r="C1571" s="51" t="s">
        <v>33</v>
      </c>
      <c r="D1571" s="48" t="s">
        <v>34</v>
      </c>
      <c r="E1571" s="18" t="s">
        <v>3141</v>
      </c>
      <c r="F1571" s="24" t="str">
        <f t="shared" si="96"/>
        <v>PPG - GORI 05 EXP DECK OAK (UK)    78050001250</v>
      </c>
      <c r="G1571" s="20" t="s">
        <v>6442</v>
      </c>
      <c r="H1571" s="49" t="s">
        <v>213</v>
      </c>
      <c r="I1571" s="18" t="s">
        <v>37</v>
      </c>
      <c r="J1571" s="18" t="s">
        <v>38</v>
      </c>
      <c r="K1571" t="s">
        <v>39</v>
      </c>
      <c r="L1571" s="50">
        <f>VLOOKUP(A1571,'[3]Price info'!A:D,4,FALSE)</f>
        <v>37.61</v>
      </c>
      <c r="M1571" s="18" t="s">
        <v>214</v>
      </c>
      <c r="N1571" s="20">
        <v>3105</v>
      </c>
      <c r="P1571" s="16">
        <f>VLOOKUP(A1571,'[3]Price info'!A:H,8,FALSE)</f>
        <v>37.61</v>
      </c>
      <c r="Q1571" s="17">
        <f t="shared" si="97"/>
        <v>1</v>
      </c>
      <c r="S1571" s="16" t="e">
        <f>VLOOKUP(A1571,[4]Sales!$E:$G,3,FALSE)</f>
        <v>#N/A</v>
      </c>
      <c r="T1571" s="19" t="e">
        <f>VLOOKUP(A1571,[4]Volume!$E:$G,3,FALSE)</f>
        <v>#N/A</v>
      </c>
      <c r="U1571" s="19" t="e">
        <f>VLOOKUP(A1571,[4]Piece!$E:$G,3,FALSE)</f>
        <v>#N/A</v>
      </c>
      <c r="V1571" s="21" t="e">
        <f t="shared" si="98"/>
        <v>#N/A</v>
      </c>
      <c r="W1571" s="16" t="e">
        <f t="shared" si="99"/>
        <v>#N/A</v>
      </c>
    </row>
    <row r="1572" spans="1:23" hidden="1" x14ac:dyDescent="0.3">
      <c r="A1572" s="71" t="s">
        <v>3142</v>
      </c>
      <c r="B1572" s="71" t="s">
        <v>3142</v>
      </c>
      <c r="C1572" s="47" t="s">
        <v>33</v>
      </c>
      <c r="D1572" s="48" t="s">
        <v>34</v>
      </c>
      <c r="E1572" s="18" t="s">
        <v>3143</v>
      </c>
      <c r="F1572" s="24" t="str">
        <f t="shared" si="96"/>
        <v>PPG - GORI 11 WOOD PRES CLEAR (UK) 9900001250</v>
      </c>
      <c r="G1572" s="20" t="s">
        <v>6443</v>
      </c>
      <c r="H1572" s="49" t="s">
        <v>213</v>
      </c>
      <c r="I1572" s="18" t="s">
        <v>37</v>
      </c>
      <c r="J1572" s="18" t="s">
        <v>38</v>
      </c>
      <c r="K1572" t="s">
        <v>39</v>
      </c>
      <c r="L1572" s="50">
        <f>VLOOKUP(A1572,'[3]Price info'!A:D,4,FALSE)</f>
        <v>23.75</v>
      </c>
      <c r="M1572" s="18" t="s">
        <v>214</v>
      </c>
      <c r="N1572" s="20">
        <v>3105</v>
      </c>
      <c r="P1572" s="16">
        <f>VLOOKUP(A1572,'[3]Price info'!A:H,8,FALSE)</f>
        <v>23.75</v>
      </c>
      <c r="Q1572" s="17">
        <f t="shared" si="97"/>
        <v>1</v>
      </c>
      <c r="S1572" s="16">
        <f>VLOOKUP(A1572,[4]Sales!$E:$G,3,FALSE)</f>
        <v>0</v>
      </c>
      <c r="T1572" s="19">
        <f>VLOOKUP(A1572,[4]Volume!$E:$G,3,FALSE)</f>
        <v>0</v>
      </c>
      <c r="U1572" s="19">
        <f>VLOOKUP(A1572,[4]Piece!$E:$G,3,FALSE)</f>
        <v>0</v>
      </c>
      <c r="V1572" s="21">
        <f t="shared" si="98"/>
        <v>0</v>
      </c>
      <c r="W1572" s="16">
        <f t="shared" si="99"/>
        <v>0</v>
      </c>
    </row>
    <row r="1573" spans="1:23" hidden="1" x14ac:dyDescent="0.3">
      <c r="A1573" s="71" t="s">
        <v>3144</v>
      </c>
      <c r="B1573" s="71" t="s">
        <v>3144</v>
      </c>
      <c r="C1573" s="47" t="s">
        <v>33</v>
      </c>
      <c r="D1573" s="48" t="s">
        <v>34</v>
      </c>
      <c r="E1573" s="18" t="s">
        <v>3145</v>
      </c>
      <c r="F1573" s="24" t="str">
        <f t="shared" si="96"/>
        <v>PPG - GORI 11 WOOD PRES CLEAR (UK) 9900001500</v>
      </c>
      <c r="G1573" s="20" t="s">
        <v>6444</v>
      </c>
      <c r="H1573" s="49" t="s">
        <v>213</v>
      </c>
      <c r="I1573" s="18" t="s">
        <v>37</v>
      </c>
      <c r="J1573" s="18" t="s">
        <v>38</v>
      </c>
      <c r="K1573" t="s">
        <v>39</v>
      </c>
      <c r="L1573" s="50">
        <f>VLOOKUP(A1573,'[3]Price info'!A:D,4,FALSE)</f>
        <v>38.6</v>
      </c>
      <c r="M1573" s="18" t="s">
        <v>214</v>
      </c>
      <c r="N1573" s="20">
        <v>3105</v>
      </c>
      <c r="P1573" s="16">
        <f>VLOOKUP(A1573,'[3]Price info'!A:H,8,FALSE)</f>
        <v>38.6</v>
      </c>
      <c r="Q1573" s="17">
        <f t="shared" si="97"/>
        <v>1</v>
      </c>
      <c r="S1573" s="16" t="e">
        <f>VLOOKUP(A1573,[4]Sales!$E:$G,3,FALSE)</f>
        <v>#N/A</v>
      </c>
      <c r="T1573" s="19" t="e">
        <f>VLOOKUP(A1573,[4]Volume!$E:$G,3,FALSE)</f>
        <v>#N/A</v>
      </c>
      <c r="U1573" s="19" t="e">
        <f>VLOOKUP(A1573,[4]Piece!$E:$G,3,FALSE)</f>
        <v>#N/A</v>
      </c>
      <c r="V1573" s="21" t="e">
        <f t="shared" si="98"/>
        <v>#N/A</v>
      </c>
      <c r="W1573" s="16" t="e">
        <f t="shared" si="99"/>
        <v>#N/A</v>
      </c>
    </row>
    <row r="1574" spans="1:23" hidden="1" x14ac:dyDescent="0.3">
      <c r="A1574" s="71" t="s">
        <v>3146</v>
      </c>
      <c r="B1574" s="71" t="s">
        <v>3146</v>
      </c>
      <c r="C1574" s="51" t="s">
        <v>33</v>
      </c>
      <c r="D1574" s="48" t="s">
        <v>34</v>
      </c>
      <c r="E1574" s="18" t="s">
        <v>3147</v>
      </c>
      <c r="F1574" s="24" t="str">
        <f t="shared" si="96"/>
        <v>PPG - GORI 99 EXTR OPAQ WHIT (UK)   8000001250</v>
      </c>
      <c r="G1574" s="20" t="s">
        <v>6445</v>
      </c>
      <c r="H1574" s="49" t="s">
        <v>213</v>
      </c>
      <c r="I1574" s="18" t="s">
        <v>37</v>
      </c>
      <c r="J1574" s="18" t="s">
        <v>38</v>
      </c>
      <c r="K1574" t="s">
        <v>39</v>
      </c>
      <c r="L1574" s="50">
        <f>VLOOKUP(A1574,'[3]Price info'!A:D,4,FALSE)</f>
        <v>47.43</v>
      </c>
      <c r="M1574" s="18" t="s">
        <v>214</v>
      </c>
      <c r="N1574" s="20">
        <v>3105</v>
      </c>
      <c r="P1574" s="16">
        <f>VLOOKUP(A1574,'[3]Price info'!A:H,8,FALSE)</f>
        <v>47.43</v>
      </c>
      <c r="Q1574" s="17">
        <f t="shared" si="97"/>
        <v>1</v>
      </c>
      <c r="S1574" s="16" t="e">
        <f>VLOOKUP(A1574,[4]Sales!$E:$G,3,FALSE)</f>
        <v>#N/A</v>
      </c>
      <c r="T1574" s="19" t="e">
        <f>VLOOKUP(A1574,[4]Volume!$E:$G,3,FALSE)</f>
        <v>#N/A</v>
      </c>
      <c r="U1574" s="19" t="e">
        <f>VLOOKUP(A1574,[4]Piece!$E:$G,3,FALSE)</f>
        <v>#N/A</v>
      </c>
      <c r="V1574" s="21" t="e">
        <f t="shared" si="98"/>
        <v>#N/A</v>
      </c>
      <c r="W1574" s="16" t="e">
        <f t="shared" si="99"/>
        <v>#N/A</v>
      </c>
    </row>
    <row r="1575" spans="1:23" hidden="1" x14ac:dyDescent="0.3">
      <c r="A1575" s="71" t="s">
        <v>3148</v>
      </c>
      <c r="B1575" s="71" t="s">
        <v>3148</v>
      </c>
      <c r="C1575" s="47" t="s">
        <v>33</v>
      </c>
      <c r="D1575" s="48" t="s">
        <v>34</v>
      </c>
      <c r="E1575" s="18" t="s">
        <v>3149</v>
      </c>
      <c r="F1575" s="24" t="str">
        <f t="shared" si="96"/>
        <v>PPG - GORI 99 EXTR OPAQ WHIT (UK) 8000001500</v>
      </c>
      <c r="G1575" s="20" t="s">
        <v>6446</v>
      </c>
      <c r="H1575" s="49" t="s">
        <v>213</v>
      </c>
      <c r="I1575" s="18" t="s">
        <v>37</v>
      </c>
      <c r="J1575" s="18" t="s">
        <v>38</v>
      </c>
      <c r="K1575" t="s">
        <v>39</v>
      </c>
      <c r="L1575" s="50">
        <f>VLOOKUP(A1575,'[3]Price info'!A:D,4,FALSE)</f>
        <v>77.209999999999994</v>
      </c>
      <c r="M1575" s="18" t="s">
        <v>214</v>
      </c>
      <c r="N1575" s="20">
        <v>3105</v>
      </c>
      <c r="P1575" s="16">
        <f>VLOOKUP(A1575,'[3]Price info'!A:H,8,FALSE)</f>
        <v>77.209999999999994</v>
      </c>
      <c r="Q1575" s="17">
        <f t="shared" si="97"/>
        <v>1</v>
      </c>
      <c r="S1575" s="16" t="e">
        <f>VLOOKUP(A1575,[4]Sales!$E:$G,3,FALSE)</f>
        <v>#N/A</v>
      </c>
      <c r="T1575" s="19" t="e">
        <f>VLOOKUP(A1575,[4]Volume!$E:$G,3,FALSE)</f>
        <v>#N/A</v>
      </c>
      <c r="U1575" s="19" t="e">
        <f>VLOOKUP(A1575,[4]Piece!$E:$G,3,FALSE)</f>
        <v>#N/A</v>
      </c>
      <c r="V1575" s="21" t="e">
        <f t="shared" si="98"/>
        <v>#N/A</v>
      </c>
      <c r="W1575" s="16" t="e">
        <f t="shared" si="99"/>
        <v>#N/A</v>
      </c>
    </row>
    <row r="1576" spans="1:23" hidden="1" x14ac:dyDescent="0.3">
      <c r="A1576" s="71" t="s">
        <v>3150</v>
      </c>
      <c r="B1576" s="71" t="s">
        <v>3150</v>
      </c>
      <c r="C1576" s="47" t="s">
        <v>33</v>
      </c>
      <c r="D1576" s="48" t="s">
        <v>34</v>
      </c>
      <c r="E1576" s="18" t="s">
        <v>3151</v>
      </c>
      <c r="F1576" s="24" t="str">
        <f t="shared" si="96"/>
        <v>PPG - HAMIL 7 PC WOVEN   ROLLER KIT</v>
      </c>
      <c r="G1576" s="20" t="s">
        <v>6447</v>
      </c>
      <c r="H1576" s="49" t="s">
        <v>213</v>
      </c>
      <c r="I1576" s="18" t="s">
        <v>37</v>
      </c>
      <c r="J1576" s="18" t="s">
        <v>38</v>
      </c>
      <c r="K1576" t="s">
        <v>39</v>
      </c>
      <c r="L1576" s="50">
        <f>VLOOKUP(A1576,'[3]Price info'!A:D,4,FALSE)</f>
        <v>19.670000000000002</v>
      </c>
      <c r="M1576" s="18" t="s">
        <v>214</v>
      </c>
      <c r="N1576" s="20">
        <v>3105</v>
      </c>
      <c r="P1576" s="16">
        <f>VLOOKUP(A1576,'[3]Price info'!A:H,8,FALSE)</f>
        <v>19.670000000000002</v>
      </c>
      <c r="Q1576" s="17">
        <f t="shared" si="97"/>
        <v>1</v>
      </c>
      <c r="S1576" s="16" t="e">
        <f>VLOOKUP(A1576,[4]Sales!$E:$G,3,FALSE)</f>
        <v>#N/A</v>
      </c>
      <c r="T1576" s="19" t="e">
        <f>VLOOKUP(A1576,[4]Volume!$E:$G,3,FALSE)</f>
        <v>#N/A</v>
      </c>
      <c r="U1576" s="19" t="e">
        <f>VLOOKUP(A1576,[4]Piece!$E:$G,3,FALSE)</f>
        <v>#N/A</v>
      </c>
      <c r="V1576" s="21" t="e">
        <f t="shared" si="98"/>
        <v>#N/A</v>
      </c>
      <c r="W1576" s="16" t="e">
        <f t="shared" si="99"/>
        <v>#N/A</v>
      </c>
    </row>
    <row r="1577" spans="1:23" hidden="1" x14ac:dyDescent="0.3">
      <c r="A1577" s="71" t="s">
        <v>3152</v>
      </c>
      <c r="B1577" s="71" t="s">
        <v>3152</v>
      </c>
      <c r="C1577" s="51" t="s">
        <v>33</v>
      </c>
      <c r="D1577" s="48" t="s">
        <v>34</v>
      </c>
      <c r="E1577" s="18" t="s">
        <v>3153</v>
      </c>
      <c r="F1577" s="24" t="str">
        <f t="shared" si="96"/>
        <v>PPG - HAMIL PERFECTION   BRUSH 2.5"</v>
      </c>
      <c r="G1577" s="20" t="s">
        <v>6448</v>
      </c>
      <c r="H1577" s="49" t="s">
        <v>213</v>
      </c>
      <c r="I1577" s="18" t="s">
        <v>37</v>
      </c>
      <c r="J1577" s="18" t="s">
        <v>38</v>
      </c>
      <c r="K1577" t="s">
        <v>39</v>
      </c>
      <c r="L1577" s="50">
        <f>VLOOKUP(A1577,'[3]Price info'!A:D,4,FALSE)</f>
        <v>27.84</v>
      </c>
      <c r="M1577" s="18" t="s">
        <v>214</v>
      </c>
      <c r="N1577" s="20">
        <v>3105</v>
      </c>
      <c r="P1577" s="16">
        <f>VLOOKUP(A1577,'[3]Price info'!A:H,8,FALSE)</f>
        <v>27.84</v>
      </c>
      <c r="Q1577" s="17">
        <f t="shared" si="97"/>
        <v>1</v>
      </c>
      <c r="S1577" s="16" t="e">
        <f>VLOOKUP(A1577,[4]Sales!$E:$G,3,FALSE)</f>
        <v>#N/A</v>
      </c>
      <c r="T1577" s="19" t="e">
        <f>VLOOKUP(A1577,[4]Volume!$E:$G,3,FALSE)</f>
        <v>#N/A</v>
      </c>
      <c r="U1577" s="19" t="e">
        <f>VLOOKUP(A1577,[4]Piece!$E:$G,3,FALSE)</f>
        <v>#N/A</v>
      </c>
      <c r="V1577" s="21" t="e">
        <f t="shared" si="98"/>
        <v>#N/A</v>
      </c>
      <c r="W1577" s="16" t="e">
        <f t="shared" si="99"/>
        <v>#N/A</v>
      </c>
    </row>
    <row r="1578" spans="1:23" hidden="1" x14ac:dyDescent="0.3">
      <c r="A1578" s="71" t="s">
        <v>3154</v>
      </c>
      <c r="B1578" s="71" t="s">
        <v>3154</v>
      </c>
      <c r="C1578" s="47" t="s">
        <v>33</v>
      </c>
      <c r="D1578" s="48" t="s">
        <v>34</v>
      </c>
      <c r="E1578" s="18" t="s">
        <v>3155</v>
      </c>
      <c r="F1578" s="24" t="str">
        <f t="shared" si="96"/>
        <v>PPG - HAMIL PERFECTION   BRUSH 3"</v>
      </c>
      <c r="G1578" s="20" t="s">
        <v>6449</v>
      </c>
      <c r="H1578" s="49" t="s">
        <v>213</v>
      </c>
      <c r="I1578" s="18" t="s">
        <v>37</v>
      </c>
      <c r="J1578" s="18" t="s">
        <v>38</v>
      </c>
      <c r="K1578" t="s">
        <v>39</v>
      </c>
      <c r="L1578" s="50">
        <f>VLOOKUP(A1578,'[3]Price info'!A:D,4,FALSE)</f>
        <v>33.35</v>
      </c>
      <c r="M1578" s="18" t="s">
        <v>214</v>
      </c>
      <c r="N1578" s="20">
        <v>3105</v>
      </c>
      <c r="P1578" s="16">
        <f>VLOOKUP(A1578,'[3]Price info'!A:H,8,FALSE)</f>
        <v>33.35</v>
      </c>
      <c r="Q1578" s="17">
        <f t="shared" si="97"/>
        <v>1</v>
      </c>
      <c r="S1578" s="16" t="e">
        <f>VLOOKUP(A1578,[4]Sales!$E:$G,3,FALSE)</f>
        <v>#N/A</v>
      </c>
      <c r="T1578" s="19" t="e">
        <f>VLOOKUP(A1578,[4]Volume!$E:$G,3,FALSE)</f>
        <v>#N/A</v>
      </c>
      <c r="U1578" s="19" t="e">
        <f>VLOOKUP(A1578,[4]Piece!$E:$G,3,FALSE)</f>
        <v>#N/A</v>
      </c>
      <c r="V1578" s="21" t="e">
        <f t="shared" si="98"/>
        <v>#N/A</v>
      </c>
      <c r="W1578" s="16" t="e">
        <f t="shared" si="99"/>
        <v>#N/A</v>
      </c>
    </row>
    <row r="1579" spans="1:23" hidden="1" x14ac:dyDescent="0.3">
      <c r="A1579" s="71" t="s">
        <v>3156</v>
      </c>
      <c r="B1579" s="71" t="s">
        <v>3156</v>
      </c>
      <c r="C1579" s="47" t="s">
        <v>33</v>
      </c>
      <c r="D1579" s="48" t="s">
        <v>34</v>
      </c>
      <c r="E1579" s="18" t="s">
        <v>3157</v>
      </c>
      <c r="F1579" s="24" t="str">
        <f t="shared" si="96"/>
        <v>PPG - HAMIL PRESTIGE SYN SASH 18MM  BRUSH</v>
      </c>
      <c r="G1579" s="20" t="s">
        <v>6450</v>
      </c>
      <c r="H1579" s="49" t="s">
        <v>213</v>
      </c>
      <c r="I1579" s="18" t="s">
        <v>37</v>
      </c>
      <c r="J1579" s="18" t="s">
        <v>38</v>
      </c>
      <c r="K1579" t="s">
        <v>39</v>
      </c>
      <c r="L1579" s="50">
        <f>VLOOKUP(A1579,'[3]Price info'!A:D,4,FALSE)</f>
        <v>11.05</v>
      </c>
      <c r="M1579" s="18" t="s">
        <v>214</v>
      </c>
      <c r="N1579" s="20">
        <v>3105</v>
      </c>
      <c r="P1579" s="16">
        <f>VLOOKUP(A1579,'[3]Price info'!A:H,8,FALSE)</f>
        <v>11.05</v>
      </c>
      <c r="Q1579" s="17">
        <f t="shared" si="97"/>
        <v>1</v>
      </c>
      <c r="S1579" s="16" t="e">
        <f>VLOOKUP(A1579,[4]Sales!$E:$G,3,FALSE)</f>
        <v>#N/A</v>
      </c>
      <c r="T1579" s="19" t="e">
        <f>VLOOKUP(A1579,[4]Volume!$E:$G,3,FALSE)</f>
        <v>#N/A</v>
      </c>
      <c r="U1579" s="19" t="e">
        <f>VLOOKUP(A1579,[4]Piece!$E:$G,3,FALSE)</f>
        <v>#N/A</v>
      </c>
      <c r="V1579" s="21" t="e">
        <f t="shared" si="98"/>
        <v>#N/A</v>
      </c>
      <c r="W1579" s="16" t="e">
        <f t="shared" si="99"/>
        <v>#N/A</v>
      </c>
    </row>
    <row r="1580" spans="1:23" hidden="1" x14ac:dyDescent="0.3">
      <c r="A1580" s="71" t="s">
        <v>3158</v>
      </c>
      <c r="B1580" s="71" t="s">
        <v>3158</v>
      </c>
      <c r="C1580" s="51" t="s">
        <v>33</v>
      </c>
      <c r="D1580" s="48" t="s">
        <v>34</v>
      </c>
      <c r="E1580" s="18" t="s">
        <v>3159</v>
      </c>
      <c r="F1580" s="24" t="str">
        <f t="shared" si="96"/>
        <v>PPG - HAMIL ROLLER       CLEANER    2905035</v>
      </c>
      <c r="G1580" s="20" t="s">
        <v>6451</v>
      </c>
      <c r="H1580" s="49" t="s">
        <v>213</v>
      </c>
      <c r="I1580" s="18" t="s">
        <v>37</v>
      </c>
      <c r="J1580" s="18" t="s">
        <v>38</v>
      </c>
      <c r="K1580" t="s">
        <v>39</v>
      </c>
      <c r="L1580" s="50">
        <f>VLOOKUP(A1580,'[3]Price info'!A:D,4,FALSE)</f>
        <v>2.41</v>
      </c>
      <c r="M1580" s="18" t="s">
        <v>214</v>
      </c>
      <c r="N1580" s="20">
        <v>3105</v>
      </c>
      <c r="P1580" s="16">
        <f>VLOOKUP(A1580,'[3]Price info'!A:H,8,FALSE)</f>
        <v>2.41</v>
      </c>
      <c r="Q1580" s="17">
        <f t="shared" si="97"/>
        <v>1</v>
      </c>
      <c r="S1580" s="16" t="e">
        <f>VLOOKUP(A1580,[4]Sales!$E:$G,3,FALSE)</f>
        <v>#N/A</v>
      </c>
      <c r="T1580" s="19" t="e">
        <f>VLOOKUP(A1580,[4]Volume!$E:$G,3,FALSE)</f>
        <v>#N/A</v>
      </c>
      <c r="U1580" s="19" t="e">
        <f>VLOOKUP(A1580,[4]Piece!$E:$G,3,FALSE)</f>
        <v>#N/A</v>
      </c>
      <c r="V1580" s="21" t="e">
        <f t="shared" si="98"/>
        <v>#N/A</v>
      </c>
      <c r="W1580" s="16" t="e">
        <f t="shared" si="99"/>
        <v>#N/A</v>
      </c>
    </row>
    <row r="1581" spans="1:23" hidden="1" x14ac:dyDescent="0.3">
      <c r="A1581" s="71" t="s">
        <v>3160</v>
      </c>
      <c r="B1581" s="71" t="s">
        <v>3160</v>
      </c>
      <c r="C1581" s="47" t="s">
        <v>33</v>
      </c>
      <c r="D1581" s="48" t="s">
        <v>34</v>
      </c>
      <c r="E1581" s="18" t="s">
        <v>3161</v>
      </c>
      <c r="F1581" s="24" t="str">
        <f t="shared" si="96"/>
        <v>PPG - HI-TEMP 1000 ALUMINUM            05 B400</v>
      </c>
      <c r="G1581" s="20" t="s">
        <v>6452</v>
      </c>
      <c r="H1581" s="49" t="s">
        <v>213</v>
      </c>
      <c r="I1581" s="18" t="s">
        <v>37</v>
      </c>
      <c r="J1581" s="18" t="s">
        <v>38</v>
      </c>
      <c r="K1581" t="s">
        <v>39</v>
      </c>
      <c r="L1581" s="50">
        <f>VLOOKUP(A1581,'[3]Price info'!A:D,4,FALSE)</f>
        <v>1819</v>
      </c>
      <c r="M1581" s="18" t="s">
        <v>214</v>
      </c>
      <c r="N1581" s="20">
        <v>3105</v>
      </c>
      <c r="P1581" s="16">
        <f>VLOOKUP(A1581,'[3]Price info'!A:H,8,FALSE)</f>
        <v>1819</v>
      </c>
      <c r="Q1581" s="17">
        <f t="shared" si="97"/>
        <v>1</v>
      </c>
      <c r="S1581" s="16" t="e">
        <f>VLOOKUP(A1581,[4]Sales!$E:$G,3,FALSE)</f>
        <v>#N/A</v>
      </c>
      <c r="T1581" s="19" t="e">
        <f>VLOOKUP(A1581,[4]Volume!$E:$G,3,FALSE)</f>
        <v>#N/A</v>
      </c>
      <c r="U1581" s="19" t="e">
        <f>VLOOKUP(A1581,[4]Piece!$E:$G,3,FALSE)</f>
        <v>#N/A</v>
      </c>
      <c r="V1581" s="21" t="e">
        <f t="shared" si="98"/>
        <v>#N/A</v>
      </c>
      <c r="W1581" s="16" t="e">
        <f t="shared" si="99"/>
        <v>#N/A</v>
      </c>
    </row>
    <row r="1582" spans="1:23" hidden="1" x14ac:dyDescent="0.3">
      <c r="A1582" s="71" t="s">
        <v>3162</v>
      </c>
      <c r="B1582" s="71" t="s">
        <v>3162</v>
      </c>
      <c r="C1582" s="47" t="s">
        <v>33</v>
      </c>
      <c r="D1582" s="48" t="s">
        <v>34</v>
      </c>
      <c r="E1582" s="18" t="s">
        <v>3163</v>
      </c>
      <c r="F1582" s="24" t="str">
        <f t="shared" si="96"/>
        <v>PPG - HI-TEMP 1000 MEDIUM GRAY         01 B100</v>
      </c>
      <c r="G1582" s="20" t="s">
        <v>6453</v>
      </c>
      <c r="H1582" s="49" t="s">
        <v>213</v>
      </c>
      <c r="I1582" s="18" t="s">
        <v>37</v>
      </c>
      <c r="J1582" s="18" t="s">
        <v>38</v>
      </c>
      <c r="K1582" t="s">
        <v>39</v>
      </c>
      <c r="L1582" s="50">
        <f>VLOOKUP(A1582,'[3]Price info'!A:D,4,FALSE)</f>
        <v>381.99</v>
      </c>
      <c r="M1582" s="18" t="s">
        <v>214</v>
      </c>
      <c r="N1582" s="20">
        <v>3105</v>
      </c>
      <c r="P1582" s="16">
        <f>VLOOKUP(A1582,'[3]Price info'!A:H,8,FALSE)</f>
        <v>381.99</v>
      </c>
      <c r="Q1582" s="17">
        <f t="shared" si="97"/>
        <v>1</v>
      </c>
      <c r="S1582" s="16" t="e">
        <f>VLOOKUP(A1582,[4]Sales!$E:$G,3,FALSE)</f>
        <v>#N/A</v>
      </c>
      <c r="T1582" s="19" t="e">
        <f>VLOOKUP(A1582,[4]Volume!$E:$G,3,FALSE)</f>
        <v>#N/A</v>
      </c>
      <c r="U1582" s="19" t="e">
        <f>VLOOKUP(A1582,[4]Piece!$E:$G,3,FALSE)</f>
        <v>#N/A</v>
      </c>
      <c r="V1582" s="21" t="e">
        <f t="shared" si="98"/>
        <v>#N/A</v>
      </c>
      <c r="W1582" s="16" t="e">
        <f t="shared" si="99"/>
        <v>#N/A</v>
      </c>
    </row>
    <row r="1583" spans="1:23" hidden="1" x14ac:dyDescent="0.3">
      <c r="A1583" s="71" t="s">
        <v>3164</v>
      </c>
      <c r="B1583" s="71" t="s">
        <v>3164</v>
      </c>
      <c r="C1583" s="51" t="s">
        <v>33</v>
      </c>
      <c r="D1583" s="48" t="s">
        <v>34</v>
      </c>
      <c r="E1583" s="18" t="s">
        <v>3165</v>
      </c>
      <c r="F1583" s="24" t="str">
        <f t="shared" si="96"/>
        <v>PPG - HI-TEMP 1000 SAFETY YELLOW       01 B100</v>
      </c>
      <c r="G1583" s="20" t="s">
        <v>6454</v>
      </c>
      <c r="H1583" s="49" t="s">
        <v>213</v>
      </c>
      <c r="I1583" s="18" t="s">
        <v>37</v>
      </c>
      <c r="J1583" s="18" t="s">
        <v>38</v>
      </c>
      <c r="K1583" t="s">
        <v>39</v>
      </c>
      <c r="L1583" s="50">
        <f>VLOOKUP(A1583,'[3]Price info'!A:D,4,FALSE)</f>
        <v>381.99</v>
      </c>
      <c r="M1583" s="18" t="s">
        <v>214</v>
      </c>
      <c r="N1583" s="20">
        <v>3105</v>
      </c>
      <c r="P1583" s="16">
        <f>VLOOKUP(A1583,'[3]Price info'!A:H,8,FALSE)</f>
        <v>381.99</v>
      </c>
      <c r="Q1583" s="17">
        <f t="shared" si="97"/>
        <v>1</v>
      </c>
      <c r="S1583" s="16" t="e">
        <f>VLOOKUP(A1583,[4]Sales!$E:$G,3,FALSE)</f>
        <v>#N/A</v>
      </c>
      <c r="T1583" s="19" t="e">
        <f>VLOOKUP(A1583,[4]Volume!$E:$G,3,FALSE)</f>
        <v>#N/A</v>
      </c>
      <c r="U1583" s="19" t="e">
        <f>VLOOKUP(A1583,[4]Piece!$E:$G,3,FALSE)</f>
        <v>#N/A</v>
      </c>
      <c r="V1583" s="21" t="e">
        <f t="shared" si="98"/>
        <v>#N/A</v>
      </c>
      <c r="W1583" s="16" t="e">
        <f t="shared" si="99"/>
        <v>#N/A</v>
      </c>
    </row>
    <row r="1584" spans="1:23" hidden="1" x14ac:dyDescent="0.3">
      <c r="A1584" s="71" t="s">
        <v>3166</v>
      </c>
      <c r="B1584" s="71" t="s">
        <v>3166</v>
      </c>
      <c r="C1584" s="47" t="s">
        <v>33</v>
      </c>
      <c r="D1584" s="48" t="s">
        <v>34</v>
      </c>
      <c r="E1584" s="18" t="s">
        <v>3167</v>
      </c>
      <c r="F1584" s="24" t="str">
        <f t="shared" si="96"/>
        <v>PPG - HI-TEMP 1000 WHITE               01 B100</v>
      </c>
      <c r="G1584" s="20" t="s">
        <v>6455</v>
      </c>
      <c r="H1584" s="49" t="s">
        <v>213</v>
      </c>
      <c r="I1584" s="18" t="s">
        <v>37</v>
      </c>
      <c r="J1584" s="18" t="s">
        <v>38</v>
      </c>
      <c r="K1584" t="s">
        <v>39</v>
      </c>
      <c r="L1584" s="50">
        <f>VLOOKUP(A1584,'[3]Price info'!A:D,4,FALSE)</f>
        <v>381.99</v>
      </c>
      <c r="M1584" s="18" t="s">
        <v>214</v>
      </c>
      <c r="N1584" s="20">
        <v>3105</v>
      </c>
      <c r="P1584" s="16">
        <f>VLOOKUP(A1584,'[3]Price info'!A:H,8,FALSE)</f>
        <v>381.99</v>
      </c>
      <c r="Q1584" s="17">
        <f t="shared" si="97"/>
        <v>1</v>
      </c>
      <c r="S1584" s="16" t="e">
        <f>VLOOKUP(A1584,[4]Sales!$E:$G,3,FALSE)</f>
        <v>#N/A</v>
      </c>
      <c r="T1584" s="19" t="e">
        <f>VLOOKUP(A1584,[4]Volume!$E:$G,3,FALSE)</f>
        <v>#N/A</v>
      </c>
      <c r="U1584" s="19" t="e">
        <f>VLOOKUP(A1584,[4]Piece!$E:$G,3,FALSE)</f>
        <v>#N/A</v>
      </c>
      <c r="V1584" s="21" t="e">
        <f t="shared" si="98"/>
        <v>#N/A</v>
      </c>
      <c r="W1584" s="16" t="e">
        <f t="shared" si="99"/>
        <v>#N/A</v>
      </c>
    </row>
    <row r="1585" spans="1:23" hidden="1" x14ac:dyDescent="0.3">
      <c r="A1585" s="71" t="s">
        <v>3168</v>
      </c>
      <c r="B1585" s="71" t="s">
        <v>3168</v>
      </c>
      <c r="C1585" s="47" t="s">
        <v>33</v>
      </c>
      <c r="D1585" s="48" t="s">
        <v>34</v>
      </c>
      <c r="E1585" s="18" t="s">
        <v>3169</v>
      </c>
      <c r="F1585" s="24" t="str">
        <f t="shared" si="96"/>
        <v>PPG - HI-TEMP 1027 BLACK           00000EU1400</v>
      </c>
      <c r="G1585" s="20" t="s">
        <v>6456</v>
      </c>
      <c r="H1585" s="49" t="s">
        <v>213</v>
      </c>
      <c r="I1585" s="18" t="s">
        <v>37</v>
      </c>
      <c r="J1585" s="18" t="s">
        <v>38</v>
      </c>
      <c r="K1585" t="s">
        <v>39</v>
      </c>
      <c r="L1585" s="50">
        <f>VLOOKUP(A1585,'[3]Price info'!A:D,4,FALSE)</f>
        <v>654.11</v>
      </c>
      <c r="M1585" s="18" t="s">
        <v>214</v>
      </c>
      <c r="N1585" s="20">
        <v>3105</v>
      </c>
      <c r="P1585" s="16">
        <f>VLOOKUP(A1585,'[3]Price info'!A:H,8,FALSE)</f>
        <v>654.11</v>
      </c>
      <c r="Q1585" s="17">
        <f t="shared" si="97"/>
        <v>1</v>
      </c>
      <c r="S1585" s="16" t="e">
        <f>VLOOKUP(A1585,[4]Sales!$E:$G,3,FALSE)</f>
        <v>#N/A</v>
      </c>
      <c r="T1585" s="19" t="e">
        <f>VLOOKUP(A1585,[4]Volume!$E:$G,3,FALSE)</f>
        <v>#N/A</v>
      </c>
      <c r="U1585" s="19" t="e">
        <f>VLOOKUP(A1585,[4]Piece!$E:$G,3,FALSE)</f>
        <v>#N/A</v>
      </c>
      <c r="V1585" s="21" t="e">
        <f t="shared" si="98"/>
        <v>#N/A</v>
      </c>
      <c r="W1585" s="16" t="e">
        <f t="shared" si="99"/>
        <v>#N/A</v>
      </c>
    </row>
    <row r="1586" spans="1:23" hidden="1" x14ac:dyDescent="0.3">
      <c r="A1586" s="71" t="s">
        <v>3170</v>
      </c>
      <c r="B1586" s="71" t="s">
        <v>3170</v>
      </c>
      <c r="C1586" s="51" t="s">
        <v>33</v>
      </c>
      <c r="D1586" s="48" t="s">
        <v>34</v>
      </c>
      <c r="E1586" s="18" t="s">
        <v>3171</v>
      </c>
      <c r="F1586" s="24" t="str">
        <f t="shared" si="96"/>
        <v>PPG - HI-TEMP 1027 GREY           000000EU1400</v>
      </c>
      <c r="G1586" s="20" t="s">
        <v>6457</v>
      </c>
      <c r="H1586" s="49" t="s">
        <v>213</v>
      </c>
      <c r="I1586" s="18" t="s">
        <v>37</v>
      </c>
      <c r="J1586" s="18" t="s">
        <v>38</v>
      </c>
      <c r="K1586" t="s">
        <v>39</v>
      </c>
      <c r="L1586" s="50">
        <f>VLOOKUP(A1586,'[3]Price info'!A:D,4,FALSE)</f>
        <v>654.11</v>
      </c>
      <c r="M1586" s="18" t="s">
        <v>214</v>
      </c>
      <c r="N1586" s="20">
        <v>3105</v>
      </c>
      <c r="P1586" s="16">
        <f>VLOOKUP(A1586,'[3]Price info'!A:H,8,FALSE)</f>
        <v>654.11</v>
      </c>
      <c r="Q1586" s="17">
        <f t="shared" si="97"/>
        <v>1</v>
      </c>
      <c r="S1586" s="16" t="e">
        <f>VLOOKUP(A1586,[4]Sales!$E:$G,3,FALSE)</f>
        <v>#N/A</v>
      </c>
      <c r="T1586" s="19" t="e">
        <f>VLOOKUP(A1586,[4]Volume!$E:$G,3,FALSE)</f>
        <v>#N/A</v>
      </c>
      <c r="U1586" s="19" t="e">
        <f>VLOOKUP(A1586,[4]Piece!$E:$G,3,FALSE)</f>
        <v>#N/A</v>
      </c>
      <c r="V1586" s="21" t="e">
        <f t="shared" si="98"/>
        <v>#N/A</v>
      </c>
      <c r="W1586" s="16" t="e">
        <f t="shared" si="99"/>
        <v>#N/A</v>
      </c>
    </row>
    <row r="1587" spans="1:23" hidden="1" x14ac:dyDescent="0.3">
      <c r="A1587" s="71" t="s">
        <v>3172</v>
      </c>
      <c r="B1587" s="71" t="s">
        <v>3172</v>
      </c>
      <c r="C1587" s="47" t="s">
        <v>33</v>
      </c>
      <c r="D1587" s="48" t="s">
        <v>34</v>
      </c>
      <c r="E1587" s="18" t="s">
        <v>3173</v>
      </c>
      <c r="F1587" s="24" t="str">
        <f t="shared" si="96"/>
        <v>PPG - HI-TEMP 1027 LT GR          000000EU1400</v>
      </c>
      <c r="G1587" s="20" t="s">
        <v>6458</v>
      </c>
      <c r="H1587" s="49" t="s">
        <v>213</v>
      </c>
      <c r="I1587" s="18" t="s">
        <v>37</v>
      </c>
      <c r="J1587" s="18" t="s">
        <v>38</v>
      </c>
      <c r="K1587" t="s">
        <v>39</v>
      </c>
      <c r="L1587" s="50">
        <f>VLOOKUP(A1587,'[3]Price info'!A:D,4,FALSE)</f>
        <v>654.11</v>
      </c>
      <c r="M1587" s="18" t="s">
        <v>214</v>
      </c>
      <c r="N1587" s="20">
        <v>3105</v>
      </c>
      <c r="P1587" s="16">
        <f>VLOOKUP(A1587,'[3]Price info'!A:H,8,FALSE)</f>
        <v>654.11</v>
      </c>
      <c r="Q1587" s="17">
        <f t="shared" si="97"/>
        <v>1</v>
      </c>
      <c r="S1587" s="16" t="e">
        <f>VLOOKUP(A1587,[4]Sales!$E:$G,3,FALSE)</f>
        <v>#N/A</v>
      </c>
      <c r="T1587" s="19" t="e">
        <f>VLOOKUP(A1587,[4]Volume!$E:$G,3,FALSE)</f>
        <v>#N/A</v>
      </c>
      <c r="U1587" s="19" t="e">
        <f>VLOOKUP(A1587,[4]Piece!$E:$G,3,FALSE)</f>
        <v>#N/A</v>
      </c>
      <c r="V1587" s="21" t="e">
        <f t="shared" si="98"/>
        <v>#N/A</v>
      </c>
      <c r="W1587" s="16" t="e">
        <f t="shared" si="99"/>
        <v>#N/A</v>
      </c>
    </row>
    <row r="1588" spans="1:23" hidden="1" x14ac:dyDescent="0.3">
      <c r="A1588" s="71" t="s">
        <v>3174</v>
      </c>
      <c r="B1588" s="71" t="s">
        <v>3174</v>
      </c>
      <c r="C1588" s="47" t="s">
        <v>33</v>
      </c>
      <c r="D1588" s="48" t="s">
        <v>34</v>
      </c>
      <c r="E1588" s="18" t="s">
        <v>3175</v>
      </c>
      <c r="F1588" s="24" t="str">
        <f t="shared" si="96"/>
        <v>PPG - JST   1.0 S/CONE EN RENDER WH 0000002250</v>
      </c>
      <c r="G1588" s="20" t="s">
        <v>6459</v>
      </c>
      <c r="H1588" s="49" t="s">
        <v>213</v>
      </c>
      <c r="I1588" s="18" t="s">
        <v>37</v>
      </c>
      <c r="J1588" s="18" t="s">
        <v>38</v>
      </c>
      <c r="K1588" t="s">
        <v>39</v>
      </c>
      <c r="L1588" s="50">
        <f>VLOOKUP(A1588,'[3]Price info'!A:D,4,FALSE)</f>
        <v>52.95</v>
      </c>
      <c r="M1588" s="18" t="s">
        <v>214</v>
      </c>
      <c r="N1588" s="20">
        <v>3105</v>
      </c>
      <c r="P1588" s="16">
        <f>VLOOKUP(A1588,'[3]Price info'!A:H,8,FALSE)</f>
        <v>52.95</v>
      </c>
      <c r="Q1588" s="17">
        <f t="shared" si="97"/>
        <v>1</v>
      </c>
      <c r="S1588" s="16" t="e">
        <f>VLOOKUP(A1588,[4]Sales!$E:$G,3,FALSE)</f>
        <v>#N/A</v>
      </c>
      <c r="T1588" s="19" t="e">
        <f>VLOOKUP(A1588,[4]Volume!$E:$G,3,FALSE)</f>
        <v>#N/A</v>
      </c>
      <c r="U1588" s="19" t="e">
        <f>VLOOKUP(A1588,[4]Piece!$E:$G,3,FALSE)</f>
        <v>#N/A</v>
      </c>
      <c r="V1588" s="21" t="e">
        <f t="shared" si="98"/>
        <v>#N/A</v>
      </c>
      <c r="W1588" s="16" t="e">
        <f t="shared" si="99"/>
        <v>#N/A</v>
      </c>
    </row>
    <row r="1589" spans="1:23" hidden="1" x14ac:dyDescent="0.3">
      <c r="A1589" s="71" t="s">
        <v>3176</v>
      </c>
      <c r="B1589" s="71" t="s">
        <v>3176</v>
      </c>
      <c r="C1589" s="51" t="s">
        <v>33</v>
      </c>
      <c r="D1589" s="48" t="s">
        <v>34</v>
      </c>
      <c r="E1589" s="18" t="s">
        <v>3177</v>
      </c>
      <c r="F1589" s="24" t="str">
        <f t="shared" si="96"/>
        <v>PPG - JST   1.0 S/CONE FULL REN WHI 0000002250</v>
      </c>
      <c r="G1589" s="20" t="s">
        <v>6460</v>
      </c>
      <c r="H1589" s="49" t="s">
        <v>213</v>
      </c>
      <c r="I1589" s="18" t="s">
        <v>37</v>
      </c>
      <c r="J1589" s="18" t="s">
        <v>38</v>
      </c>
      <c r="K1589" t="s">
        <v>39</v>
      </c>
      <c r="L1589" s="50">
        <f>VLOOKUP(A1589,'[3]Price info'!A:D,4,FALSE)</f>
        <v>72.19</v>
      </c>
      <c r="M1589" s="18" t="s">
        <v>214</v>
      </c>
      <c r="N1589" s="20">
        <v>3105</v>
      </c>
      <c r="P1589" s="16">
        <f>VLOOKUP(A1589,'[3]Price info'!A:H,8,FALSE)</f>
        <v>72.19</v>
      </c>
      <c r="Q1589" s="17">
        <f t="shared" si="97"/>
        <v>1</v>
      </c>
      <c r="S1589" s="16" t="e">
        <f>VLOOKUP(A1589,[4]Sales!$E:$G,3,FALSE)</f>
        <v>#N/A</v>
      </c>
      <c r="T1589" s="19" t="e">
        <f>VLOOKUP(A1589,[4]Volume!$E:$G,3,FALSE)</f>
        <v>#N/A</v>
      </c>
      <c r="U1589" s="19" t="e">
        <f>VLOOKUP(A1589,[4]Piece!$E:$G,3,FALSE)</f>
        <v>#N/A</v>
      </c>
      <c r="V1589" s="21" t="e">
        <f t="shared" si="98"/>
        <v>#N/A</v>
      </c>
      <c r="W1589" s="16" t="e">
        <f t="shared" si="99"/>
        <v>#N/A</v>
      </c>
    </row>
    <row r="1590" spans="1:23" hidden="1" x14ac:dyDescent="0.3">
      <c r="A1590" s="71" t="s">
        <v>3178</v>
      </c>
      <c r="B1590" s="71" t="s">
        <v>3178</v>
      </c>
      <c r="C1590" s="47" t="s">
        <v>33</v>
      </c>
      <c r="D1590" s="48" t="s">
        <v>34</v>
      </c>
      <c r="E1590" s="18" t="s">
        <v>3179</v>
      </c>
      <c r="F1590" s="24" t="str">
        <f t="shared" si="96"/>
        <v>PPG - JST   1.5 S/CONE FULL REN WHI 0000002250</v>
      </c>
      <c r="G1590" s="20" t="s">
        <v>6461</v>
      </c>
      <c r="H1590" s="49" t="s">
        <v>213</v>
      </c>
      <c r="I1590" s="18" t="s">
        <v>37</v>
      </c>
      <c r="J1590" s="18" t="s">
        <v>38</v>
      </c>
      <c r="K1590" t="s">
        <v>39</v>
      </c>
      <c r="L1590" s="50">
        <f>VLOOKUP(A1590,'[3]Price info'!A:D,4,FALSE)</f>
        <v>72.19</v>
      </c>
      <c r="M1590" s="18" t="s">
        <v>214</v>
      </c>
      <c r="N1590" s="20">
        <v>3105</v>
      </c>
      <c r="P1590" s="16">
        <f>VLOOKUP(A1590,'[3]Price info'!A:H,8,FALSE)</f>
        <v>72.19</v>
      </c>
      <c r="Q1590" s="17">
        <f t="shared" si="97"/>
        <v>1</v>
      </c>
      <c r="S1590" s="16" t="e">
        <f>VLOOKUP(A1590,[4]Sales!$E:$G,3,FALSE)</f>
        <v>#N/A</v>
      </c>
      <c r="T1590" s="19" t="e">
        <f>VLOOKUP(A1590,[4]Volume!$E:$G,3,FALSE)</f>
        <v>#N/A</v>
      </c>
      <c r="U1590" s="19" t="e">
        <f>VLOOKUP(A1590,[4]Piece!$E:$G,3,FALSE)</f>
        <v>#N/A</v>
      </c>
      <c r="V1590" s="21" t="e">
        <f t="shared" si="98"/>
        <v>#N/A</v>
      </c>
      <c r="W1590" s="16" t="e">
        <f t="shared" si="99"/>
        <v>#N/A</v>
      </c>
    </row>
    <row r="1591" spans="1:23" hidden="1" x14ac:dyDescent="0.3">
      <c r="A1591" s="71" t="s">
        <v>3180</v>
      </c>
      <c r="B1591" s="71" t="s">
        <v>3180</v>
      </c>
      <c r="C1591" s="47" t="s">
        <v>33</v>
      </c>
      <c r="D1591" s="48" t="s">
        <v>34</v>
      </c>
      <c r="E1591" s="18" t="s">
        <v>3181</v>
      </c>
      <c r="F1591" s="24" t="str">
        <f t="shared" si="96"/>
        <v>PPG - JST   2.0 S/CONE FULL REN WHI 0000002250</v>
      </c>
      <c r="G1591" s="20" t="s">
        <v>6462</v>
      </c>
      <c r="H1591" s="49" t="s">
        <v>213</v>
      </c>
      <c r="I1591" s="18" t="s">
        <v>37</v>
      </c>
      <c r="J1591" s="18" t="s">
        <v>38</v>
      </c>
      <c r="K1591" t="s">
        <v>39</v>
      </c>
      <c r="L1591" s="50">
        <f>VLOOKUP(A1591,'[3]Price info'!A:D,4,FALSE)</f>
        <v>72.19</v>
      </c>
      <c r="M1591" s="18" t="s">
        <v>214</v>
      </c>
      <c r="N1591" s="20">
        <v>3105</v>
      </c>
      <c r="P1591" s="16">
        <f>VLOOKUP(A1591,'[3]Price info'!A:H,8,FALSE)</f>
        <v>72.19</v>
      </c>
      <c r="Q1591" s="17">
        <f t="shared" si="97"/>
        <v>1</v>
      </c>
      <c r="S1591" s="16" t="e">
        <f>VLOOKUP(A1591,[4]Sales!$E:$G,3,FALSE)</f>
        <v>#N/A</v>
      </c>
      <c r="T1591" s="19" t="e">
        <f>VLOOKUP(A1591,[4]Volume!$E:$G,3,FALSE)</f>
        <v>#N/A</v>
      </c>
      <c r="U1591" s="19" t="e">
        <f>VLOOKUP(A1591,[4]Piece!$E:$G,3,FALSE)</f>
        <v>#N/A</v>
      </c>
      <c r="V1591" s="21" t="e">
        <f t="shared" si="98"/>
        <v>#N/A</v>
      </c>
      <c r="W1591" s="16" t="e">
        <f t="shared" si="99"/>
        <v>#N/A</v>
      </c>
    </row>
    <row r="1592" spans="1:23" hidden="1" x14ac:dyDescent="0.3">
      <c r="A1592" s="71" t="s">
        <v>3182</v>
      </c>
      <c r="B1592" s="71" t="s">
        <v>3182</v>
      </c>
      <c r="C1592" s="51" t="s">
        <v>33</v>
      </c>
      <c r="D1592" s="48" t="s">
        <v>34</v>
      </c>
      <c r="E1592" s="18" t="s">
        <v>3183</v>
      </c>
      <c r="F1592" s="24" t="str">
        <f t="shared" si="96"/>
        <v>PPG - JST   FULL RENDER PRIMER WHI  0000002250</v>
      </c>
      <c r="G1592" s="20" t="s">
        <v>6463</v>
      </c>
      <c r="H1592" s="49" t="s">
        <v>213</v>
      </c>
      <c r="I1592" s="18" t="s">
        <v>37</v>
      </c>
      <c r="J1592" s="18" t="s">
        <v>38</v>
      </c>
      <c r="K1592" t="s">
        <v>39</v>
      </c>
      <c r="L1592" s="50">
        <f>VLOOKUP(A1592,'[3]Price info'!A:D,4,FALSE)</f>
        <v>72.19</v>
      </c>
      <c r="M1592" s="18" t="s">
        <v>214</v>
      </c>
      <c r="N1592" s="20">
        <v>3105</v>
      </c>
      <c r="P1592" s="16">
        <f>VLOOKUP(A1592,'[3]Price info'!A:H,8,FALSE)</f>
        <v>72.19</v>
      </c>
      <c r="Q1592" s="17">
        <f t="shared" si="97"/>
        <v>1</v>
      </c>
      <c r="S1592" s="16" t="e">
        <f>VLOOKUP(A1592,[4]Sales!$E:$G,3,FALSE)</f>
        <v>#N/A</v>
      </c>
      <c r="T1592" s="19" t="e">
        <f>VLOOKUP(A1592,[4]Volume!$E:$G,3,FALSE)</f>
        <v>#N/A</v>
      </c>
      <c r="U1592" s="19" t="e">
        <f>VLOOKUP(A1592,[4]Piece!$E:$G,3,FALSE)</f>
        <v>#N/A</v>
      </c>
      <c r="V1592" s="21" t="e">
        <f t="shared" si="98"/>
        <v>#N/A</v>
      </c>
      <c r="W1592" s="16" t="e">
        <f t="shared" si="99"/>
        <v>#N/A</v>
      </c>
    </row>
    <row r="1593" spans="1:23" hidden="1" x14ac:dyDescent="0.3">
      <c r="A1593" s="71" t="s">
        <v>3184</v>
      </c>
      <c r="B1593" s="71" t="s">
        <v>3184</v>
      </c>
      <c r="C1593" s="47" t="s">
        <v>33</v>
      </c>
      <c r="D1593" s="48" t="s">
        <v>34</v>
      </c>
      <c r="E1593" s="18" t="s">
        <v>3185</v>
      </c>
      <c r="F1593" s="24" t="str">
        <f t="shared" si="96"/>
        <v>PPG - JST   MATT W/STAIN TRANSPAREN 0000000738</v>
      </c>
      <c r="G1593" s="20" t="s">
        <v>6464</v>
      </c>
      <c r="H1593" s="49" t="s">
        <v>213</v>
      </c>
      <c r="I1593" s="18" t="s">
        <v>37</v>
      </c>
      <c r="J1593" s="18" t="s">
        <v>38</v>
      </c>
      <c r="K1593" t="s">
        <v>39</v>
      </c>
      <c r="L1593" s="50">
        <f>VLOOKUP(A1593,'[3]Price info'!A:D,4,FALSE)</f>
        <v>12.09</v>
      </c>
      <c r="M1593" s="18" t="s">
        <v>214</v>
      </c>
      <c r="N1593" s="20">
        <v>3105</v>
      </c>
      <c r="P1593" s="16">
        <f>VLOOKUP(A1593,'[3]Price info'!A:H,8,FALSE)</f>
        <v>12.09</v>
      </c>
      <c r="Q1593" s="17">
        <f t="shared" si="97"/>
        <v>1</v>
      </c>
      <c r="S1593" s="16" t="e">
        <f>VLOOKUP(A1593,[4]Sales!$E:$G,3,FALSE)</f>
        <v>#N/A</v>
      </c>
      <c r="T1593" s="19" t="e">
        <f>VLOOKUP(A1593,[4]Volume!$E:$G,3,FALSE)</f>
        <v>#N/A</v>
      </c>
      <c r="U1593" s="19" t="e">
        <f>VLOOKUP(A1593,[4]Piece!$E:$G,3,FALSE)</f>
        <v>#N/A</v>
      </c>
      <c r="V1593" s="21" t="e">
        <f t="shared" si="98"/>
        <v>#N/A</v>
      </c>
      <c r="W1593" s="16" t="e">
        <f t="shared" si="99"/>
        <v>#N/A</v>
      </c>
    </row>
    <row r="1594" spans="1:23" hidden="1" x14ac:dyDescent="0.3">
      <c r="A1594" s="71" t="s">
        <v>3186</v>
      </c>
      <c r="B1594" s="71" t="s">
        <v>3186</v>
      </c>
      <c r="C1594" s="47" t="s">
        <v>33</v>
      </c>
      <c r="D1594" s="48" t="s">
        <v>34</v>
      </c>
      <c r="E1594" s="18" t="s">
        <v>3187</v>
      </c>
      <c r="F1594" s="24" t="str">
        <f t="shared" si="96"/>
        <v>PPG - JST   MATT W/STAIN YELLOW     0000001242</v>
      </c>
      <c r="G1594" s="20" t="s">
        <v>6465</v>
      </c>
      <c r="H1594" s="49" t="s">
        <v>213</v>
      </c>
      <c r="I1594" s="18" t="s">
        <v>37</v>
      </c>
      <c r="J1594" s="18" t="s">
        <v>38</v>
      </c>
      <c r="K1594" t="s">
        <v>39</v>
      </c>
      <c r="L1594" s="50">
        <f>VLOOKUP(A1594,'[3]Price info'!A:D,4,FALSE)</f>
        <v>44.47</v>
      </c>
      <c r="M1594" s="18" t="s">
        <v>214</v>
      </c>
      <c r="N1594" s="20">
        <v>3105</v>
      </c>
      <c r="P1594" s="16">
        <f>VLOOKUP(A1594,'[3]Price info'!A:H,8,FALSE)</f>
        <v>44.47</v>
      </c>
      <c r="Q1594" s="17">
        <f t="shared" si="97"/>
        <v>1</v>
      </c>
      <c r="S1594" s="16" t="e">
        <f>VLOOKUP(A1594,[4]Sales!$E:$G,3,FALSE)</f>
        <v>#N/A</v>
      </c>
      <c r="T1594" s="19" t="e">
        <f>VLOOKUP(A1594,[4]Volume!$E:$G,3,FALSE)</f>
        <v>#N/A</v>
      </c>
      <c r="U1594" s="19" t="e">
        <f>VLOOKUP(A1594,[4]Piece!$E:$G,3,FALSE)</f>
        <v>#N/A</v>
      </c>
      <c r="V1594" s="21" t="e">
        <f t="shared" si="98"/>
        <v>#N/A</v>
      </c>
      <c r="W1594" s="16" t="e">
        <f t="shared" si="99"/>
        <v>#N/A</v>
      </c>
    </row>
    <row r="1595" spans="1:23" hidden="1" x14ac:dyDescent="0.3">
      <c r="A1595" s="71" t="s">
        <v>3188</v>
      </c>
      <c r="B1595" s="71" t="s">
        <v>3188</v>
      </c>
      <c r="C1595" s="51" t="s">
        <v>33</v>
      </c>
      <c r="D1595" s="48" t="s">
        <v>34</v>
      </c>
      <c r="E1595" s="18" t="s">
        <v>3189</v>
      </c>
      <c r="F1595" s="24" t="str">
        <f t="shared" si="96"/>
        <v>PPG - JST   QD W/STN SAT TRANSPAREN 0000000738</v>
      </c>
      <c r="G1595" s="20" t="s">
        <v>6466</v>
      </c>
      <c r="H1595" s="49" t="s">
        <v>213</v>
      </c>
      <c r="I1595" s="18" t="s">
        <v>37</v>
      </c>
      <c r="J1595" s="18" t="s">
        <v>38</v>
      </c>
      <c r="K1595" t="s">
        <v>39</v>
      </c>
      <c r="L1595" s="50">
        <f>VLOOKUP(A1595,'[3]Price info'!A:D,4,FALSE)</f>
        <v>13.25</v>
      </c>
      <c r="M1595" s="18" t="s">
        <v>214</v>
      </c>
      <c r="N1595" s="20">
        <v>3105</v>
      </c>
      <c r="P1595" s="16">
        <f>VLOOKUP(A1595,'[3]Price info'!A:H,8,FALSE)</f>
        <v>13.25</v>
      </c>
      <c r="Q1595" s="17">
        <f t="shared" si="97"/>
        <v>1</v>
      </c>
      <c r="S1595" s="16">
        <f>VLOOKUP(A1595,[4]Sales!$E:$G,3,FALSE)</f>
        <v>13.25</v>
      </c>
      <c r="T1595" s="19">
        <f>VLOOKUP(A1595,[4]Volume!$E:$G,3,FALSE)</f>
        <v>0.73799999999999999</v>
      </c>
      <c r="U1595" s="19">
        <f>VLOOKUP(A1595,[4]Piece!$E:$G,3,FALSE)</f>
        <v>1</v>
      </c>
      <c r="V1595" s="21">
        <f t="shared" si="98"/>
        <v>13.25</v>
      </c>
      <c r="W1595" s="16">
        <f t="shared" si="99"/>
        <v>0</v>
      </c>
    </row>
    <row r="1596" spans="1:23" hidden="1" x14ac:dyDescent="0.3">
      <c r="A1596" s="71" t="s">
        <v>3190</v>
      </c>
      <c r="B1596" s="71" t="s">
        <v>3190</v>
      </c>
      <c r="C1596" s="47" t="s">
        <v>33</v>
      </c>
      <c r="D1596" s="48" t="s">
        <v>34</v>
      </c>
      <c r="E1596" s="18" t="s">
        <v>3191</v>
      </c>
      <c r="F1596" s="24" t="str">
        <f t="shared" si="96"/>
        <v>PPG - JST   QD WOODSTAIN PINE       0000001250</v>
      </c>
      <c r="G1596" s="20" t="s">
        <v>6467</v>
      </c>
      <c r="H1596" s="49" t="s">
        <v>213</v>
      </c>
      <c r="I1596" s="18" t="s">
        <v>37</v>
      </c>
      <c r="J1596" s="18" t="s">
        <v>38</v>
      </c>
      <c r="K1596" t="s">
        <v>39</v>
      </c>
      <c r="L1596" s="50">
        <f>VLOOKUP(A1596,'[3]Price info'!A:D,4,FALSE)</f>
        <v>23.03</v>
      </c>
      <c r="M1596" s="18" t="s">
        <v>214</v>
      </c>
      <c r="N1596" s="20">
        <v>3105</v>
      </c>
      <c r="P1596" s="16">
        <f>VLOOKUP(A1596,'[3]Price info'!A:H,8,FALSE)</f>
        <v>23.03</v>
      </c>
      <c r="Q1596" s="17">
        <f t="shared" si="97"/>
        <v>1</v>
      </c>
      <c r="S1596" s="16" t="e">
        <f>VLOOKUP(A1596,[4]Sales!$E:$G,3,FALSE)</f>
        <v>#N/A</v>
      </c>
      <c r="T1596" s="19" t="e">
        <f>VLOOKUP(A1596,[4]Volume!$E:$G,3,FALSE)</f>
        <v>#N/A</v>
      </c>
      <c r="U1596" s="19" t="e">
        <f>VLOOKUP(A1596,[4]Piece!$E:$G,3,FALSE)</f>
        <v>#N/A</v>
      </c>
      <c r="V1596" s="21" t="e">
        <f t="shared" si="98"/>
        <v>#N/A</v>
      </c>
      <c r="W1596" s="16" t="e">
        <f t="shared" si="99"/>
        <v>#N/A</v>
      </c>
    </row>
    <row r="1597" spans="1:23" hidden="1" x14ac:dyDescent="0.3">
      <c r="A1597" s="71" t="s">
        <v>3192</v>
      </c>
      <c r="B1597" s="71" t="s">
        <v>3192</v>
      </c>
      <c r="C1597" s="47" t="s">
        <v>33</v>
      </c>
      <c r="D1597" s="48" t="s">
        <v>34</v>
      </c>
      <c r="E1597" s="18" t="s">
        <v>3193</v>
      </c>
      <c r="F1597" s="24" t="str">
        <f t="shared" si="96"/>
        <v>PPG - JST   SATIN W/STN  JACOB OAK  0000000750</v>
      </c>
      <c r="G1597" s="20" t="s">
        <v>6468</v>
      </c>
      <c r="H1597" s="49" t="s">
        <v>213</v>
      </c>
      <c r="I1597" s="18" t="s">
        <v>37</v>
      </c>
      <c r="J1597" s="18" t="s">
        <v>38</v>
      </c>
      <c r="K1597" t="s">
        <v>39</v>
      </c>
      <c r="L1597" s="50">
        <f>VLOOKUP(A1597,'[3]Price info'!A:D,4,FALSE)</f>
        <v>6.58</v>
      </c>
      <c r="M1597" s="18" t="s">
        <v>214</v>
      </c>
      <c r="N1597" s="20">
        <v>3105</v>
      </c>
      <c r="P1597" s="16">
        <f>VLOOKUP(A1597,'[3]Price info'!A:H,8,FALSE)</f>
        <v>6.58</v>
      </c>
      <c r="Q1597" s="17">
        <f t="shared" si="97"/>
        <v>1</v>
      </c>
      <c r="S1597" s="16" t="e">
        <f>VLOOKUP(A1597,[4]Sales!$E:$G,3,FALSE)</f>
        <v>#N/A</v>
      </c>
      <c r="T1597" s="19" t="e">
        <f>VLOOKUP(A1597,[4]Volume!$E:$G,3,FALSE)</f>
        <v>#N/A</v>
      </c>
      <c r="U1597" s="19" t="e">
        <f>VLOOKUP(A1597,[4]Piece!$E:$G,3,FALSE)</f>
        <v>#N/A</v>
      </c>
      <c r="V1597" s="21" t="e">
        <f t="shared" si="98"/>
        <v>#N/A</v>
      </c>
      <c r="W1597" s="16" t="e">
        <f t="shared" si="99"/>
        <v>#N/A</v>
      </c>
    </row>
    <row r="1598" spans="1:23" hidden="1" x14ac:dyDescent="0.3">
      <c r="A1598" s="71" t="s">
        <v>3194</v>
      </c>
      <c r="B1598" s="71" t="s">
        <v>3194</v>
      </c>
      <c r="C1598" s="51" t="s">
        <v>33</v>
      </c>
      <c r="D1598" s="48" t="s">
        <v>34</v>
      </c>
      <c r="E1598" s="18" t="s">
        <v>3195</v>
      </c>
      <c r="F1598" s="24" t="str">
        <f t="shared" si="96"/>
        <v>PPG - JST   SATIN W/STN  JACOB OAK  0000001250</v>
      </c>
      <c r="G1598" s="20" t="s">
        <v>6469</v>
      </c>
      <c r="H1598" s="49" t="s">
        <v>213</v>
      </c>
      <c r="I1598" s="18" t="s">
        <v>37</v>
      </c>
      <c r="J1598" s="18" t="s">
        <v>38</v>
      </c>
      <c r="K1598" t="s">
        <v>39</v>
      </c>
      <c r="L1598" s="50">
        <f>VLOOKUP(A1598,'[3]Price info'!A:D,4,FALSE)</f>
        <v>16.88</v>
      </c>
      <c r="M1598" s="18" t="s">
        <v>214</v>
      </c>
      <c r="N1598" s="20">
        <v>3105</v>
      </c>
      <c r="P1598" s="16">
        <f>VLOOKUP(A1598,'[3]Price info'!A:H,8,FALSE)</f>
        <v>16.88</v>
      </c>
      <c r="Q1598" s="17">
        <f t="shared" si="97"/>
        <v>1</v>
      </c>
      <c r="S1598" s="16" t="e">
        <f>VLOOKUP(A1598,[4]Sales!$E:$G,3,FALSE)</f>
        <v>#N/A</v>
      </c>
      <c r="T1598" s="19" t="e">
        <f>VLOOKUP(A1598,[4]Volume!$E:$G,3,FALSE)</f>
        <v>#N/A</v>
      </c>
      <c r="U1598" s="19" t="e">
        <f>VLOOKUP(A1598,[4]Piece!$E:$G,3,FALSE)</f>
        <v>#N/A</v>
      </c>
      <c r="V1598" s="21" t="e">
        <f t="shared" si="98"/>
        <v>#N/A</v>
      </c>
      <c r="W1598" s="16" t="e">
        <f t="shared" si="99"/>
        <v>#N/A</v>
      </c>
    </row>
    <row r="1599" spans="1:23" hidden="1" x14ac:dyDescent="0.3">
      <c r="A1599" s="71" t="s">
        <v>3196</v>
      </c>
      <c r="B1599" s="71" t="s">
        <v>3196</v>
      </c>
      <c r="C1599" s="47" t="s">
        <v>33</v>
      </c>
      <c r="D1599" s="48" t="s">
        <v>34</v>
      </c>
      <c r="E1599" s="18" t="s">
        <v>3197</v>
      </c>
      <c r="F1599" s="24" t="str">
        <f t="shared" si="96"/>
        <v>PPG - JST   SATIN W/STN  TRANS      0000001242</v>
      </c>
      <c r="G1599" s="20" t="s">
        <v>6470</v>
      </c>
      <c r="H1599" s="49" t="s">
        <v>213</v>
      </c>
      <c r="I1599" s="18" t="s">
        <v>37</v>
      </c>
      <c r="J1599" s="18" t="s">
        <v>38</v>
      </c>
      <c r="K1599" t="s">
        <v>39</v>
      </c>
      <c r="L1599" s="50">
        <f>VLOOKUP(A1599,'[3]Price info'!A:D,4,FALSE)</f>
        <v>52.95</v>
      </c>
      <c r="M1599" s="18" t="s">
        <v>214</v>
      </c>
      <c r="N1599" s="20">
        <v>3105</v>
      </c>
      <c r="P1599" s="16">
        <f>VLOOKUP(A1599,'[3]Price info'!A:H,8,FALSE)</f>
        <v>52.95</v>
      </c>
      <c r="Q1599" s="17">
        <f t="shared" si="97"/>
        <v>1</v>
      </c>
      <c r="S1599" s="16" t="e">
        <f>VLOOKUP(A1599,[4]Sales!$E:$G,3,FALSE)</f>
        <v>#N/A</v>
      </c>
      <c r="T1599" s="19" t="e">
        <f>VLOOKUP(A1599,[4]Volume!$E:$G,3,FALSE)</f>
        <v>#N/A</v>
      </c>
      <c r="U1599" s="19" t="e">
        <f>VLOOKUP(A1599,[4]Piece!$E:$G,3,FALSE)</f>
        <v>#N/A</v>
      </c>
      <c r="V1599" s="21" t="e">
        <f t="shared" si="98"/>
        <v>#N/A</v>
      </c>
      <c r="W1599" s="16" t="e">
        <f t="shared" si="99"/>
        <v>#N/A</v>
      </c>
    </row>
    <row r="1600" spans="1:23" hidden="1" x14ac:dyDescent="0.3">
      <c r="A1600" s="71" t="s">
        <v>3198</v>
      </c>
      <c r="B1600" s="71" t="s">
        <v>3198</v>
      </c>
      <c r="C1600" s="47" t="s">
        <v>33</v>
      </c>
      <c r="D1600" s="48" t="s">
        <v>34</v>
      </c>
      <c r="E1600" s="18" t="s">
        <v>3199</v>
      </c>
      <c r="F1600" s="24" t="str">
        <f t="shared" si="96"/>
        <v>PPG - JST  STAINAWAY BAS L         0711001250</v>
      </c>
      <c r="G1600" s="20" t="s">
        <v>6471</v>
      </c>
      <c r="H1600" s="49" t="s">
        <v>213</v>
      </c>
      <c r="I1600" s="18" t="s">
        <v>37</v>
      </c>
      <c r="J1600" s="18" t="s">
        <v>38</v>
      </c>
      <c r="K1600" t="s">
        <v>39</v>
      </c>
      <c r="L1600" s="50">
        <f>VLOOKUP(A1600,'[3]Price info'!A:D,4,FALSE)</f>
        <v>33.03</v>
      </c>
      <c r="M1600" s="18" t="s">
        <v>214</v>
      </c>
      <c r="N1600" s="20">
        <v>3105</v>
      </c>
      <c r="P1600" s="16">
        <f>VLOOKUP(A1600,'[3]Price info'!A:H,8,FALSE)</f>
        <v>33.03</v>
      </c>
      <c r="Q1600" s="17">
        <f t="shared" si="97"/>
        <v>1</v>
      </c>
      <c r="S1600" s="16" t="e">
        <f>VLOOKUP(A1600,[4]Sales!$E:$G,3,FALSE)</f>
        <v>#N/A</v>
      </c>
      <c r="T1600" s="19" t="e">
        <f>VLOOKUP(A1600,[4]Volume!$E:$G,3,FALSE)</f>
        <v>#N/A</v>
      </c>
      <c r="U1600" s="19" t="e">
        <f>VLOOKUP(A1600,[4]Piece!$E:$G,3,FALSE)</f>
        <v>#N/A</v>
      </c>
      <c r="V1600" s="21" t="e">
        <f t="shared" si="98"/>
        <v>#N/A</v>
      </c>
      <c r="W1600" s="16" t="e">
        <f t="shared" si="99"/>
        <v>#N/A</v>
      </c>
    </row>
    <row r="1601" spans="1:23" hidden="1" x14ac:dyDescent="0.3">
      <c r="A1601" s="71" t="s">
        <v>3200</v>
      </c>
      <c r="B1601" s="71" t="s">
        <v>3200</v>
      </c>
      <c r="C1601" s="51" t="s">
        <v>33</v>
      </c>
      <c r="D1601" s="48" t="s">
        <v>34</v>
      </c>
      <c r="E1601" s="18" t="s">
        <v>3201</v>
      </c>
      <c r="F1601" s="24" t="str">
        <f t="shared" si="96"/>
        <v>PPG - JST CLEAN MAT UPGR BAS L      0711001100</v>
      </c>
      <c r="G1601" s="20" t="s">
        <v>6472</v>
      </c>
      <c r="H1601" s="49" t="s">
        <v>213</v>
      </c>
      <c r="I1601" s="18" t="s">
        <v>37</v>
      </c>
      <c r="J1601" s="18" t="s">
        <v>38</v>
      </c>
      <c r="K1601" t="s">
        <v>39</v>
      </c>
      <c r="L1601" s="50">
        <f>VLOOKUP(A1601,'[3]Price info'!A:D,4,FALSE)</f>
        <v>15.16</v>
      </c>
      <c r="M1601" s="18" t="s">
        <v>214</v>
      </c>
      <c r="N1601" s="20">
        <v>3105</v>
      </c>
      <c r="P1601" s="16">
        <f>VLOOKUP(A1601,'[3]Price info'!A:H,8,FALSE)</f>
        <v>15.16</v>
      </c>
      <c r="Q1601" s="17">
        <f t="shared" si="97"/>
        <v>1</v>
      </c>
      <c r="S1601" s="16" t="e">
        <f>VLOOKUP(A1601,[4]Sales!$E:$G,3,FALSE)</f>
        <v>#N/A</v>
      </c>
      <c r="T1601" s="19" t="e">
        <f>VLOOKUP(A1601,[4]Volume!$E:$G,3,FALSE)</f>
        <v>#N/A</v>
      </c>
      <c r="U1601" s="19" t="e">
        <f>VLOOKUP(A1601,[4]Piece!$E:$G,3,FALSE)</f>
        <v>#N/A</v>
      </c>
      <c r="V1601" s="21" t="e">
        <f t="shared" si="98"/>
        <v>#N/A</v>
      </c>
      <c r="W1601" s="16" t="e">
        <f t="shared" si="99"/>
        <v>#N/A</v>
      </c>
    </row>
    <row r="1602" spans="1:23" hidden="1" x14ac:dyDescent="0.3">
      <c r="A1602" s="71" t="s">
        <v>3202</v>
      </c>
      <c r="B1602" s="71" t="s">
        <v>3202</v>
      </c>
      <c r="C1602" s="47" t="s">
        <v>33</v>
      </c>
      <c r="D1602" s="48" t="s">
        <v>34</v>
      </c>
      <c r="E1602" s="18" t="s">
        <v>3203</v>
      </c>
      <c r="F1602" s="24" t="str">
        <f t="shared" si="96"/>
        <v>PPG - JST CLEAN MAT UPGR BAS L      0711001250</v>
      </c>
      <c r="G1602" s="20" t="s">
        <v>6473</v>
      </c>
      <c r="H1602" s="49" t="s">
        <v>213</v>
      </c>
      <c r="I1602" s="18" t="s">
        <v>37</v>
      </c>
      <c r="J1602" s="18" t="s">
        <v>38</v>
      </c>
      <c r="K1602" t="s">
        <v>39</v>
      </c>
      <c r="L1602" s="50">
        <f>VLOOKUP(A1602,'[3]Price info'!A:D,4,FALSE)</f>
        <v>30.66</v>
      </c>
      <c r="M1602" s="18" t="s">
        <v>214</v>
      </c>
      <c r="N1602" s="20">
        <v>3105</v>
      </c>
      <c r="P1602" s="16">
        <f>VLOOKUP(A1602,'[3]Price info'!A:H,8,FALSE)</f>
        <v>30.66</v>
      </c>
      <c r="Q1602" s="17">
        <f t="shared" si="97"/>
        <v>1</v>
      </c>
      <c r="S1602" s="16" t="e">
        <f>VLOOKUP(A1602,[4]Sales!$E:$G,3,FALSE)</f>
        <v>#N/A</v>
      </c>
      <c r="T1602" s="19" t="e">
        <f>VLOOKUP(A1602,[4]Volume!$E:$G,3,FALSE)</f>
        <v>#N/A</v>
      </c>
      <c r="U1602" s="19" t="e">
        <f>VLOOKUP(A1602,[4]Piece!$E:$G,3,FALSE)</f>
        <v>#N/A</v>
      </c>
      <c r="V1602" s="21" t="e">
        <f t="shared" si="98"/>
        <v>#N/A</v>
      </c>
      <c r="W1602" s="16" t="e">
        <f t="shared" si="99"/>
        <v>#N/A</v>
      </c>
    </row>
    <row r="1603" spans="1:23" hidden="1" x14ac:dyDescent="0.3">
      <c r="A1603" s="71" t="s">
        <v>3204</v>
      </c>
      <c r="B1603" s="71" t="s">
        <v>3204</v>
      </c>
      <c r="C1603" s="47" t="s">
        <v>33</v>
      </c>
      <c r="D1603" s="48" t="s">
        <v>34</v>
      </c>
      <c r="E1603" s="18" t="s">
        <v>3205</v>
      </c>
      <c r="F1603" s="24" t="str">
        <f t="shared" ref="F1603:F1666" si="100">D1603&amp;" - "&amp;E1603</f>
        <v>PPG - JST CLEAN MAT UPGR BAS L      0711001500</v>
      </c>
      <c r="G1603" s="20" t="s">
        <v>6474</v>
      </c>
      <c r="H1603" s="49" t="s">
        <v>213</v>
      </c>
      <c r="I1603" s="18" t="s">
        <v>37</v>
      </c>
      <c r="J1603" s="18" t="s">
        <v>38</v>
      </c>
      <c r="K1603" t="s">
        <v>39</v>
      </c>
      <c r="L1603" s="50">
        <f>VLOOKUP(A1603,'[3]Price info'!A:D,4,FALSE)</f>
        <v>55.8</v>
      </c>
      <c r="M1603" s="18" t="s">
        <v>214</v>
      </c>
      <c r="N1603" s="20">
        <v>3105</v>
      </c>
      <c r="P1603" s="16">
        <f>VLOOKUP(A1603,'[3]Price info'!A:H,8,FALSE)</f>
        <v>55.8</v>
      </c>
      <c r="Q1603" s="17">
        <f t="shared" ref="Q1603:Q1666" si="101">P1603/L1603</f>
        <v>1</v>
      </c>
      <c r="S1603" s="16">
        <f>VLOOKUP(A1603,[4]Sales!$E:$G,3,FALSE)</f>
        <v>-2037.84</v>
      </c>
      <c r="T1603" s="19">
        <f>VLOOKUP(A1603,[4]Volume!$E:$G,3,FALSE)</f>
        <v>-210</v>
      </c>
      <c r="U1603" s="19">
        <f>VLOOKUP(A1603,[4]Piece!$E:$G,3,FALSE)</f>
        <v>-42</v>
      </c>
      <c r="V1603" s="21">
        <f t="shared" ref="V1603:V1666" si="102">U1603*P1603</f>
        <v>-2343.6</v>
      </c>
      <c r="W1603" s="16">
        <f t="shared" ref="W1603:W1666" si="103">V1603-S1603</f>
        <v>-305.76</v>
      </c>
    </row>
    <row r="1604" spans="1:23" hidden="1" x14ac:dyDescent="0.3">
      <c r="A1604" s="71" t="s">
        <v>3206</v>
      </c>
      <c r="B1604" s="71" t="s">
        <v>3206</v>
      </c>
      <c r="C1604" s="51" t="s">
        <v>33</v>
      </c>
      <c r="D1604" s="48" t="s">
        <v>34</v>
      </c>
      <c r="E1604" s="18" t="s">
        <v>3207</v>
      </c>
      <c r="F1604" s="24" t="str">
        <f t="shared" si="100"/>
        <v>PPG - JST CLEAN MAT UPGR BAS Z      0071001231</v>
      </c>
      <c r="G1604" s="20" t="s">
        <v>6475</v>
      </c>
      <c r="H1604" s="49" t="s">
        <v>213</v>
      </c>
      <c r="I1604" s="18" t="s">
        <v>37</v>
      </c>
      <c r="J1604" s="18" t="s">
        <v>38</v>
      </c>
      <c r="K1604" t="s">
        <v>39</v>
      </c>
      <c r="L1604" s="50">
        <f>VLOOKUP(A1604,'[3]Price info'!A:D,4,FALSE)</f>
        <v>30.66</v>
      </c>
      <c r="M1604" s="18" t="s">
        <v>214</v>
      </c>
      <c r="N1604" s="20">
        <v>3105</v>
      </c>
      <c r="P1604" s="16">
        <f>VLOOKUP(A1604,'[3]Price info'!A:H,8,FALSE)</f>
        <v>30.66</v>
      </c>
      <c r="Q1604" s="17">
        <f t="shared" si="101"/>
        <v>1</v>
      </c>
      <c r="S1604" s="16">
        <f>VLOOKUP(A1604,[4]Sales!$E:$G,3,FALSE)</f>
        <v>-57.58</v>
      </c>
      <c r="T1604" s="19">
        <f>VLOOKUP(A1604,[4]Volume!$E:$G,3,FALSE)</f>
        <v>-4.6239999999999997</v>
      </c>
      <c r="U1604" s="19">
        <f>VLOOKUP(A1604,[4]Piece!$E:$G,3,FALSE)</f>
        <v>-2</v>
      </c>
      <c r="V1604" s="21">
        <f t="shared" si="102"/>
        <v>-61.32</v>
      </c>
      <c r="W1604" s="16">
        <f t="shared" si="103"/>
        <v>-3.740000000000002</v>
      </c>
    </row>
    <row r="1605" spans="1:23" hidden="1" x14ac:dyDescent="0.3">
      <c r="A1605" s="71" t="s">
        <v>3208</v>
      </c>
      <c r="B1605" s="71" t="s">
        <v>3208</v>
      </c>
      <c r="C1605" s="47" t="s">
        <v>33</v>
      </c>
      <c r="D1605" s="48" t="s">
        <v>34</v>
      </c>
      <c r="E1605" s="18" t="s">
        <v>3209</v>
      </c>
      <c r="F1605" s="24" t="str">
        <f t="shared" si="100"/>
        <v>PPG - JST CLEAN MAT UPGR BAS Z      0071001462</v>
      </c>
      <c r="G1605" s="20" t="s">
        <v>6476</v>
      </c>
      <c r="H1605" s="49" t="s">
        <v>213</v>
      </c>
      <c r="I1605" s="18" t="s">
        <v>37</v>
      </c>
      <c r="J1605" s="18" t="s">
        <v>38</v>
      </c>
      <c r="K1605" t="s">
        <v>39</v>
      </c>
      <c r="L1605" s="50">
        <f>VLOOKUP(A1605,'[3]Price info'!A:D,4,FALSE)</f>
        <v>55.8</v>
      </c>
      <c r="M1605" s="18" t="s">
        <v>214</v>
      </c>
      <c r="N1605" s="20">
        <v>3105</v>
      </c>
      <c r="P1605" s="16">
        <f>VLOOKUP(A1605,'[3]Price info'!A:H,8,FALSE)</f>
        <v>55.8</v>
      </c>
      <c r="Q1605" s="17">
        <f t="shared" si="101"/>
        <v>1</v>
      </c>
      <c r="S1605" s="16" t="e">
        <f>VLOOKUP(A1605,[4]Sales!$E:$G,3,FALSE)</f>
        <v>#N/A</v>
      </c>
      <c r="T1605" s="19" t="e">
        <f>VLOOKUP(A1605,[4]Volume!$E:$G,3,FALSE)</f>
        <v>#N/A</v>
      </c>
      <c r="U1605" s="19" t="e">
        <f>VLOOKUP(A1605,[4]Piece!$E:$G,3,FALSE)</f>
        <v>#N/A</v>
      </c>
      <c r="V1605" s="21" t="e">
        <f t="shared" si="102"/>
        <v>#N/A</v>
      </c>
      <c r="W1605" s="16" t="e">
        <f t="shared" si="103"/>
        <v>#N/A</v>
      </c>
    </row>
    <row r="1606" spans="1:23" hidden="1" x14ac:dyDescent="0.3">
      <c r="A1606" s="71" t="s">
        <v>3210</v>
      </c>
      <c r="B1606" s="71" t="s">
        <v>3210</v>
      </c>
      <c r="C1606" s="47" t="s">
        <v>33</v>
      </c>
      <c r="D1606" s="48" t="s">
        <v>34</v>
      </c>
      <c r="E1606" s="18" t="s">
        <v>3211</v>
      </c>
      <c r="F1606" s="24" t="str">
        <f t="shared" si="100"/>
        <v>PPG - JST SILICONE ENH PRIMER WHITE       1500</v>
      </c>
      <c r="G1606" s="20" t="s">
        <v>6477</v>
      </c>
      <c r="H1606" s="49" t="s">
        <v>213</v>
      </c>
      <c r="I1606" s="18" t="s">
        <v>37</v>
      </c>
      <c r="J1606" s="18" t="s">
        <v>38</v>
      </c>
      <c r="K1606" t="s">
        <v>39</v>
      </c>
      <c r="L1606" s="50">
        <f>VLOOKUP(A1606,'[3]Price info'!A:D,4,FALSE)</f>
        <v>16.940000000000001</v>
      </c>
      <c r="M1606" s="18" t="s">
        <v>214</v>
      </c>
      <c r="N1606" s="20">
        <v>3105</v>
      </c>
      <c r="P1606" s="16">
        <f>VLOOKUP(A1606,'[3]Price info'!A:H,8,FALSE)</f>
        <v>16.940000000000001</v>
      </c>
      <c r="Q1606" s="17">
        <f t="shared" si="101"/>
        <v>1</v>
      </c>
      <c r="S1606" s="16" t="e">
        <f>VLOOKUP(A1606,[4]Sales!$E:$G,3,FALSE)</f>
        <v>#N/A</v>
      </c>
      <c r="T1606" s="19" t="e">
        <f>VLOOKUP(A1606,[4]Volume!$E:$G,3,FALSE)</f>
        <v>#N/A</v>
      </c>
      <c r="U1606" s="19" t="e">
        <f>VLOOKUP(A1606,[4]Piece!$E:$G,3,FALSE)</f>
        <v>#N/A</v>
      </c>
      <c r="V1606" s="21" t="e">
        <f t="shared" si="102"/>
        <v>#N/A</v>
      </c>
      <c r="W1606" s="16" t="e">
        <f t="shared" si="103"/>
        <v>#N/A</v>
      </c>
    </row>
    <row r="1607" spans="1:23" hidden="1" x14ac:dyDescent="0.3">
      <c r="A1607" s="71" t="s">
        <v>3212</v>
      </c>
      <c r="B1607" s="71" t="s">
        <v>3212</v>
      </c>
      <c r="C1607" s="51" t="s">
        <v>33</v>
      </c>
      <c r="D1607" s="48" t="s">
        <v>34</v>
      </c>
      <c r="E1607" s="18" t="s">
        <v>3213</v>
      </c>
      <c r="F1607" s="24" t="str">
        <f t="shared" si="100"/>
        <v>PPG - JST STAINAWAY BAS L           0711002100</v>
      </c>
      <c r="G1607" s="20" t="s">
        <v>6478</v>
      </c>
      <c r="H1607" s="49" t="s">
        <v>213</v>
      </c>
      <c r="I1607" s="18" t="s">
        <v>37</v>
      </c>
      <c r="J1607" s="18" t="s">
        <v>38</v>
      </c>
      <c r="K1607" t="s">
        <v>39</v>
      </c>
      <c r="L1607" s="50">
        <f>VLOOKUP(A1607,'[3]Price info'!A:D,4,FALSE)</f>
        <v>114.8</v>
      </c>
      <c r="M1607" s="18" t="s">
        <v>214</v>
      </c>
      <c r="N1607" s="20">
        <v>3105</v>
      </c>
      <c r="P1607" s="16">
        <f>VLOOKUP(A1607,'[3]Price info'!A:H,8,FALSE)</f>
        <v>114.8</v>
      </c>
      <c r="Q1607" s="17">
        <f t="shared" si="101"/>
        <v>1</v>
      </c>
      <c r="S1607" s="16" t="e">
        <f>VLOOKUP(A1607,[4]Sales!$E:$G,3,FALSE)</f>
        <v>#N/A</v>
      </c>
      <c r="T1607" s="19" t="e">
        <f>VLOOKUP(A1607,[4]Volume!$E:$G,3,FALSE)</f>
        <v>#N/A</v>
      </c>
      <c r="U1607" s="19" t="e">
        <f>VLOOKUP(A1607,[4]Piece!$E:$G,3,FALSE)</f>
        <v>#N/A</v>
      </c>
      <c r="V1607" s="21" t="e">
        <f t="shared" si="102"/>
        <v>#N/A</v>
      </c>
      <c r="W1607" s="16" t="e">
        <f t="shared" si="103"/>
        <v>#N/A</v>
      </c>
    </row>
    <row r="1608" spans="1:23" hidden="1" x14ac:dyDescent="0.3">
      <c r="A1608" s="71" t="s">
        <v>3214</v>
      </c>
      <c r="B1608" s="71" t="s">
        <v>3214</v>
      </c>
      <c r="C1608" s="47" t="s">
        <v>33</v>
      </c>
      <c r="D1608" s="48" t="s">
        <v>34</v>
      </c>
      <c r="E1608" s="18" t="s">
        <v>3215</v>
      </c>
      <c r="F1608" s="24" t="str">
        <f t="shared" si="100"/>
        <v>PPG - K     BIRDCAGE     7" FRAME   PLASTICHAN</v>
      </c>
      <c r="G1608" s="20" t="s">
        <v>6479</v>
      </c>
      <c r="H1608" s="49" t="s">
        <v>213</v>
      </c>
      <c r="I1608" s="18" t="s">
        <v>37</v>
      </c>
      <c r="J1608" s="18" t="s">
        <v>38</v>
      </c>
      <c r="K1608" t="s">
        <v>39</v>
      </c>
      <c r="L1608" s="50">
        <f>VLOOKUP(A1608,'[3]Price info'!A:D,4,FALSE)</f>
        <v>6.51</v>
      </c>
      <c r="M1608" s="18" t="s">
        <v>214</v>
      </c>
      <c r="N1608" s="20">
        <v>3105</v>
      </c>
      <c r="P1608" s="16">
        <f>VLOOKUP(A1608,'[3]Price info'!A:H,8,FALSE)</f>
        <v>6.51</v>
      </c>
      <c r="Q1608" s="17">
        <f t="shared" si="101"/>
        <v>1</v>
      </c>
      <c r="S1608" s="16" t="e">
        <f>VLOOKUP(A1608,[4]Sales!$E:$G,3,FALSE)</f>
        <v>#N/A</v>
      </c>
      <c r="T1608" s="19" t="e">
        <f>VLOOKUP(A1608,[4]Volume!$E:$G,3,FALSE)</f>
        <v>#N/A</v>
      </c>
      <c r="U1608" s="19" t="e">
        <f>VLOOKUP(A1608,[4]Piece!$E:$G,3,FALSE)</f>
        <v>#N/A</v>
      </c>
      <c r="V1608" s="21" t="e">
        <f t="shared" si="102"/>
        <v>#N/A</v>
      </c>
      <c r="W1608" s="16" t="e">
        <f t="shared" si="103"/>
        <v>#N/A</v>
      </c>
    </row>
    <row r="1609" spans="1:23" hidden="1" x14ac:dyDescent="0.3">
      <c r="A1609" s="71" t="s">
        <v>3216</v>
      </c>
      <c r="B1609" s="71" t="s">
        <v>3216</v>
      </c>
      <c r="C1609" s="47" t="s">
        <v>33</v>
      </c>
      <c r="D1609" s="48" t="s">
        <v>34</v>
      </c>
      <c r="E1609" s="18" t="s">
        <v>3217</v>
      </c>
      <c r="F1609" s="24" t="str">
        <f t="shared" si="100"/>
        <v>PPG - KNAUF AIRLESS      BACKING    470359</v>
      </c>
      <c r="G1609" s="20" t="s">
        <v>6480</v>
      </c>
      <c r="H1609" s="49" t="s">
        <v>213</v>
      </c>
      <c r="I1609" s="18" t="s">
        <v>37</v>
      </c>
      <c r="J1609" s="18" t="s">
        <v>38</v>
      </c>
      <c r="K1609" t="s">
        <v>39</v>
      </c>
      <c r="L1609" s="50">
        <f>VLOOKUP(A1609,'[3]Price info'!A:D,4,FALSE)</f>
        <v>43.77</v>
      </c>
      <c r="M1609" s="18" t="s">
        <v>214</v>
      </c>
      <c r="N1609" s="20">
        <v>3105</v>
      </c>
      <c r="P1609" s="16">
        <f>VLOOKUP(A1609,'[3]Price info'!A:H,8,FALSE)</f>
        <v>43.77</v>
      </c>
      <c r="Q1609" s="17">
        <f t="shared" si="101"/>
        <v>1</v>
      </c>
      <c r="S1609" s="16" t="e">
        <f>VLOOKUP(A1609,[4]Sales!$E:$G,3,FALSE)</f>
        <v>#N/A</v>
      </c>
      <c r="T1609" s="19" t="e">
        <f>VLOOKUP(A1609,[4]Volume!$E:$G,3,FALSE)</f>
        <v>#N/A</v>
      </c>
      <c r="U1609" s="19" t="e">
        <f>VLOOKUP(A1609,[4]Piece!$E:$G,3,FALSE)</f>
        <v>#N/A</v>
      </c>
      <c r="V1609" s="21" t="e">
        <f t="shared" si="102"/>
        <v>#N/A</v>
      </c>
      <c r="W1609" s="16" t="e">
        <f t="shared" si="103"/>
        <v>#N/A</v>
      </c>
    </row>
    <row r="1610" spans="1:23" hidden="1" x14ac:dyDescent="0.3">
      <c r="A1610" s="71" t="s">
        <v>3218</v>
      </c>
      <c r="B1610" s="71" t="s">
        <v>3218</v>
      </c>
      <c r="C1610" s="51" t="s">
        <v>33</v>
      </c>
      <c r="D1610" s="48" t="s">
        <v>34</v>
      </c>
      <c r="E1610" s="18" t="s">
        <v>3219</v>
      </c>
      <c r="F1610" s="24" t="str">
        <f t="shared" si="100"/>
        <v>PPG - KNAUF AQUAPANEL    EXT JOINT  0000002200</v>
      </c>
      <c r="G1610" s="20" t="s">
        <v>6481</v>
      </c>
      <c r="H1610" s="49" t="s">
        <v>213</v>
      </c>
      <c r="I1610" s="18" t="s">
        <v>37</v>
      </c>
      <c r="J1610" s="18" t="s">
        <v>38</v>
      </c>
      <c r="K1610" t="s">
        <v>39</v>
      </c>
      <c r="L1610" s="50">
        <f>VLOOKUP(A1610,'[3]Price info'!A:D,4,FALSE)</f>
        <v>142.12</v>
      </c>
      <c r="M1610" s="18" t="s">
        <v>214</v>
      </c>
      <c r="N1610" s="20">
        <v>3105</v>
      </c>
      <c r="P1610" s="16">
        <f>VLOOKUP(A1610,'[3]Price info'!A:H,8,FALSE)</f>
        <v>142.12</v>
      </c>
      <c r="Q1610" s="17">
        <f t="shared" si="101"/>
        <v>1</v>
      </c>
      <c r="S1610" s="16" t="e">
        <f>VLOOKUP(A1610,[4]Sales!$E:$G,3,FALSE)</f>
        <v>#N/A</v>
      </c>
      <c r="T1610" s="19" t="e">
        <f>VLOOKUP(A1610,[4]Volume!$E:$G,3,FALSE)</f>
        <v>#N/A</v>
      </c>
      <c r="U1610" s="19" t="e">
        <f>VLOOKUP(A1610,[4]Piece!$E:$G,3,FALSE)</f>
        <v>#N/A</v>
      </c>
      <c r="V1610" s="21" t="e">
        <f t="shared" si="102"/>
        <v>#N/A</v>
      </c>
      <c r="W1610" s="16" t="e">
        <f t="shared" si="103"/>
        <v>#N/A</v>
      </c>
    </row>
    <row r="1611" spans="1:23" hidden="1" x14ac:dyDescent="0.3">
      <c r="A1611" s="71" t="s">
        <v>3220</v>
      </c>
      <c r="B1611" s="71" t="s">
        <v>3220</v>
      </c>
      <c r="C1611" s="47" t="s">
        <v>33</v>
      </c>
      <c r="D1611" s="48" t="s">
        <v>34</v>
      </c>
      <c r="E1611" s="18" t="s">
        <v>3221</v>
      </c>
      <c r="F1611" s="24" t="str">
        <f t="shared" si="100"/>
        <v>PPG - KNAUF AQUAPANEL    INT SKIM   0000002250</v>
      </c>
      <c r="G1611" s="20" t="s">
        <v>6482</v>
      </c>
      <c r="H1611" s="49" t="s">
        <v>213</v>
      </c>
      <c r="I1611" s="18" t="s">
        <v>37</v>
      </c>
      <c r="J1611" s="18" t="s">
        <v>38</v>
      </c>
      <c r="K1611" t="s">
        <v>39</v>
      </c>
      <c r="L1611" s="50">
        <f>VLOOKUP(A1611,'[3]Price info'!A:D,4,FALSE)</f>
        <v>178.48</v>
      </c>
      <c r="M1611" s="18" t="s">
        <v>214</v>
      </c>
      <c r="N1611" s="20">
        <v>3105</v>
      </c>
      <c r="P1611" s="16">
        <f>VLOOKUP(A1611,'[3]Price info'!A:H,8,FALSE)</f>
        <v>178.48</v>
      </c>
      <c r="Q1611" s="17">
        <f t="shared" si="101"/>
        <v>1</v>
      </c>
      <c r="S1611" s="16" t="e">
        <f>VLOOKUP(A1611,[4]Sales!$E:$G,3,FALSE)</f>
        <v>#N/A</v>
      </c>
      <c r="T1611" s="19" t="e">
        <f>VLOOKUP(A1611,[4]Volume!$E:$G,3,FALSE)</f>
        <v>#N/A</v>
      </c>
      <c r="U1611" s="19" t="e">
        <f>VLOOKUP(A1611,[4]Piece!$E:$G,3,FALSE)</f>
        <v>#N/A</v>
      </c>
      <c r="V1611" s="21" t="e">
        <f t="shared" si="102"/>
        <v>#N/A</v>
      </c>
      <c r="W1611" s="16" t="e">
        <f t="shared" si="103"/>
        <v>#N/A</v>
      </c>
    </row>
    <row r="1612" spans="1:23" hidden="1" x14ac:dyDescent="0.3">
      <c r="A1612" s="71" t="s">
        <v>3222</v>
      </c>
      <c r="B1612" s="71" t="s">
        <v>3222</v>
      </c>
      <c r="C1612" s="47" t="s">
        <v>33</v>
      </c>
      <c r="D1612" s="48" t="s">
        <v>34</v>
      </c>
      <c r="E1612" s="18" t="s">
        <v>3223</v>
      </c>
      <c r="F1612" s="24" t="str">
        <f t="shared" si="100"/>
        <v>PPG - KNAUF AQUAPANEL IN JOINT TAPE 20MX48MM</v>
      </c>
      <c r="G1612" s="20" t="s">
        <v>6483</v>
      </c>
      <c r="H1612" s="49" t="s">
        <v>213</v>
      </c>
      <c r="I1612" s="18" t="s">
        <v>37</v>
      </c>
      <c r="J1612" s="18" t="s">
        <v>38</v>
      </c>
      <c r="K1612" t="s">
        <v>39</v>
      </c>
      <c r="L1612" s="50">
        <f>VLOOKUP(A1612,'[3]Price info'!A:D,4,FALSE)</f>
        <v>14.63</v>
      </c>
      <c r="M1612" s="18" t="s">
        <v>214</v>
      </c>
      <c r="N1612" s="20">
        <v>3105</v>
      </c>
      <c r="P1612" s="16">
        <f>VLOOKUP(A1612,'[3]Price info'!A:H,8,FALSE)</f>
        <v>14.63</v>
      </c>
      <c r="Q1612" s="17">
        <f t="shared" si="101"/>
        <v>1</v>
      </c>
      <c r="S1612" s="16" t="e">
        <f>VLOOKUP(A1612,[4]Sales!$E:$G,3,FALSE)</f>
        <v>#N/A</v>
      </c>
      <c r="T1612" s="19" t="e">
        <f>VLOOKUP(A1612,[4]Volume!$E:$G,3,FALSE)</f>
        <v>#N/A</v>
      </c>
      <c r="U1612" s="19" t="e">
        <f>VLOOKUP(A1612,[4]Piece!$E:$G,3,FALSE)</f>
        <v>#N/A</v>
      </c>
      <c r="V1612" s="21" t="e">
        <f t="shared" si="102"/>
        <v>#N/A</v>
      </c>
      <c r="W1612" s="16" t="e">
        <f t="shared" si="103"/>
        <v>#N/A</v>
      </c>
    </row>
    <row r="1613" spans="1:23" hidden="1" x14ac:dyDescent="0.3">
      <c r="A1613" s="71" t="s">
        <v>3224</v>
      </c>
      <c r="B1613" s="71" t="s">
        <v>3224</v>
      </c>
      <c r="C1613" s="51" t="s">
        <v>33</v>
      </c>
      <c r="D1613" s="48" t="s">
        <v>34</v>
      </c>
      <c r="E1613" s="18" t="s">
        <v>3225</v>
      </c>
      <c r="F1613" s="24" t="str">
        <f t="shared" si="100"/>
        <v>PPG - KNAUF CAVANNA SPEC EQUALISER  0000002125</v>
      </c>
      <c r="G1613" s="20" t="s">
        <v>6484</v>
      </c>
      <c r="H1613" s="49" t="s">
        <v>213</v>
      </c>
      <c r="I1613" s="18" t="s">
        <v>37</v>
      </c>
      <c r="J1613" s="18" t="s">
        <v>38</v>
      </c>
      <c r="K1613" t="s">
        <v>39</v>
      </c>
      <c r="L1613" s="50">
        <f>VLOOKUP(A1613,'[3]Price info'!A:D,4,FALSE)</f>
        <v>232.35</v>
      </c>
      <c r="M1613" s="18" t="s">
        <v>214</v>
      </c>
      <c r="N1613" s="20">
        <v>3105</v>
      </c>
      <c r="P1613" s="16">
        <f>VLOOKUP(A1613,'[3]Price info'!A:H,8,FALSE)</f>
        <v>232.35</v>
      </c>
      <c r="Q1613" s="17">
        <f t="shared" si="101"/>
        <v>1</v>
      </c>
      <c r="S1613" s="16" t="e">
        <f>VLOOKUP(A1613,[4]Sales!$E:$G,3,FALSE)</f>
        <v>#N/A</v>
      </c>
      <c r="T1613" s="19" t="e">
        <f>VLOOKUP(A1613,[4]Volume!$E:$G,3,FALSE)</f>
        <v>#N/A</v>
      </c>
      <c r="U1613" s="19" t="e">
        <f>VLOOKUP(A1613,[4]Piece!$E:$G,3,FALSE)</f>
        <v>#N/A</v>
      </c>
      <c r="V1613" s="21" t="e">
        <f t="shared" si="102"/>
        <v>#N/A</v>
      </c>
      <c r="W1613" s="16" t="e">
        <f t="shared" si="103"/>
        <v>#N/A</v>
      </c>
    </row>
    <row r="1614" spans="1:23" hidden="1" x14ac:dyDescent="0.3">
      <c r="A1614" s="71" t="s">
        <v>3226</v>
      </c>
      <c r="B1614" s="71" t="s">
        <v>3226</v>
      </c>
      <c r="C1614" s="47" t="s">
        <v>33</v>
      </c>
      <c r="D1614" s="48" t="s">
        <v>34</v>
      </c>
      <c r="E1614" s="18" t="s">
        <v>3227</v>
      </c>
      <c r="F1614" s="24" t="str">
        <f t="shared" si="100"/>
        <v>PPG - KNAUF EASY PLASTER            0000001250</v>
      </c>
      <c r="G1614" s="20" t="s">
        <v>6485</v>
      </c>
      <c r="H1614" s="49" t="s">
        <v>213</v>
      </c>
      <c r="I1614" s="18" t="s">
        <v>37</v>
      </c>
      <c r="J1614" s="18" t="s">
        <v>38</v>
      </c>
      <c r="K1614" t="s">
        <v>39</v>
      </c>
      <c r="L1614" s="50">
        <f>VLOOKUP(A1614,'[3]Price info'!A:D,4,FALSE)</f>
        <v>15.15</v>
      </c>
      <c r="M1614" s="18" t="s">
        <v>214</v>
      </c>
      <c r="N1614" s="20">
        <v>3105</v>
      </c>
      <c r="P1614" s="16">
        <f>VLOOKUP(A1614,'[3]Price info'!A:H,8,FALSE)</f>
        <v>15.15</v>
      </c>
      <c r="Q1614" s="17">
        <f t="shared" si="101"/>
        <v>1</v>
      </c>
      <c r="S1614" s="16" t="e">
        <f>VLOOKUP(A1614,[4]Sales!$E:$G,3,FALSE)</f>
        <v>#N/A</v>
      </c>
      <c r="T1614" s="19" t="e">
        <f>VLOOKUP(A1614,[4]Volume!$E:$G,3,FALSE)</f>
        <v>#N/A</v>
      </c>
      <c r="U1614" s="19" t="e">
        <f>VLOOKUP(A1614,[4]Piece!$E:$G,3,FALSE)</f>
        <v>#N/A</v>
      </c>
      <c r="V1614" s="21" t="e">
        <f t="shared" si="102"/>
        <v>#N/A</v>
      </c>
      <c r="W1614" s="16" t="e">
        <f t="shared" si="103"/>
        <v>#N/A</v>
      </c>
    </row>
    <row r="1615" spans="1:23" hidden="1" x14ac:dyDescent="0.3">
      <c r="A1615" s="71" t="s">
        <v>3228</v>
      </c>
      <c r="B1615" s="71" t="s">
        <v>3228</v>
      </c>
      <c r="C1615" s="47" t="s">
        <v>33</v>
      </c>
      <c r="D1615" s="48" t="s">
        <v>34</v>
      </c>
      <c r="E1615" s="18" t="s">
        <v>3229</v>
      </c>
      <c r="F1615" s="24" t="str">
        <f t="shared" si="100"/>
        <v>PPG - KNAUF EASY PLASTER            0000001600</v>
      </c>
      <c r="G1615" s="20" t="s">
        <v>6486</v>
      </c>
      <c r="H1615" s="49" t="s">
        <v>213</v>
      </c>
      <c r="I1615" s="18" t="s">
        <v>37</v>
      </c>
      <c r="J1615" s="18" t="s">
        <v>38</v>
      </c>
      <c r="K1615" t="s">
        <v>39</v>
      </c>
      <c r="L1615" s="50">
        <f>VLOOKUP(A1615,'[3]Price info'!A:D,4,FALSE)</f>
        <v>29.38</v>
      </c>
      <c r="M1615" s="18" t="s">
        <v>214</v>
      </c>
      <c r="N1615" s="20">
        <v>3105</v>
      </c>
      <c r="P1615" s="16">
        <f>VLOOKUP(A1615,'[3]Price info'!A:H,8,FALSE)</f>
        <v>29.38</v>
      </c>
      <c r="Q1615" s="17">
        <f t="shared" si="101"/>
        <v>1</v>
      </c>
      <c r="S1615" s="16" t="e">
        <f>VLOOKUP(A1615,[4]Sales!$E:$G,3,FALSE)</f>
        <v>#N/A</v>
      </c>
      <c r="T1615" s="19" t="e">
        <f>VLOOKUP(A1615,[4]Volume!$E:$G,3,FALSE)</f>
        <v>#N/A</v>
      </c>
      <c r="U1615" s="19" t="e">
        <f>VLOOKUP(A1615,[4]Piece!$E:$G,3,FALSE)</f>
        <v>#N/A</v>
      </c>
      <c r="V1615" s="21" t="e">
        <f t="shared" si="102"/>
        <v>#N/A</v>
      </c>
      <c r="W1615" s="16" t="e">
        <f t="shared" si="103"/>
        <v>#N/A</v>
      </c>
    </row>
    <row r="1616" spans="1:23" hidden="1" x14ac:dyDescent="0.3">
      <c r="A1616" s="71" t="s">
        <v>3230</v>
      </c>
      <c r="B1616" s="71" t="s">
        <v>3230</v>
      </c>
      <c r="C1616" s="51" t="s">
        <v>33</v>
      </c>
      <c r="D1616" s="48" t="s">
        <v>34</v>
      </c>
      <c r="E1616" s="18" t="s">
        <v>3231</v>
      </c>
      <c r="F1616" s="24" t="str">
        <f t="shared" si="100"/>
        <v>PPG - KNAUF FIBA TAPE    153M       493670</v>
      </c>
      <c r="G1616" s="20" t="s">
        <v>6487</v>
      </c>
      <c r="H1616" s="49" t="s">
        <v>213</v>
      </c>
      <c r="I1616" s="18" t="s">
        <v>37</v>
      </c>
      <c r="J1616" s="18" t="s">
        <v>38</v>
      </c>
      <c r="K1616" t="s">
        <v>39</v>
      </c>
      <c r="L1616" s="50">
        <f>VLOOKUP(A1616,'[3]Price info'!A:D,4,FALSE)</f>
        <v>9.23</v>
      </c>
      <c r="M1616" s="18" t="s">
        <v>214</v>
      </c>
      <c r="N1616" s="20">
        <v>3105</v>
      </c>
      <c r="P1616" s="16">
        <f>VLOOKUP(A1616,'[3]Price info'!A:H,8,FALSE)</f>
        <v>9.23</v>
      </c>
      <c r="Q1616" s="17">
        <f t="shared" si="101"/>
        <v>1</v>
      </c>
      <c r="S1616" s="16" t="e">
        <f>VLOOKUP(A1616,[4]Sales!$E:$G,3,FALSE)</f>
        <v>#N/A</v>
      </c>
      <c r="T1616" s="19" t="e">
        <f>VLOOKUP(A1616,[4]Volume!$E:$G,3,FALSE)</f>
        <v>#N/A</v>
      </c>
      <c r="U1616" s="19" t="e">
        <f>VLOOKUP(A1616,[4]Piece!$E:$G,3,FALSE)</f>
        <v>#N/A</v>
      </c>
      <c r="V1616" s="21" t="e">
        <f t="shared" si="102"/>
        <v>#N/A</v>
      </c>
      <c r="W1616" s="16" t="e">
        <f t="shared" si="103"/>
        <v>#N/A</v>
      </c>
    </row>
    <row r="1617" spans="1:23" hidden="1" x14ac:dyDescent="0.3">
      <c r="A1617" s="71" t="s">
        <v>3232</v>
      </c>
      <c r="B1617" s="71" t="s">
        <v>3232</v>
      </c>
      <c r="C1617" s="47" t="s">
        <v>33</v>
      </c>
      <c r="D1617" s="48" t="s">
        <v>34</v>
      </c>
      <c r="E1617" s="18" t="s">
        <v>3233</v>
      </c>
      <c r="F1617" s="24" t="str">
        <f t="shared" si="100"/>
        <v>PPG - KNAUF FILL N FINIS PREMIUM 60 0000002100</v>
      </c>
      <c r="G1617" s="20" t="s">
        <v>6488</v>
      </c>
      <c r="H1617" s="49" t="s">
        <v>213</v>
      </c>
      <c r="I1617" s="18" t="s">
        <v>37</v>
      </c>
      <c r="J1617" s="18" t="s">
        <v>38</v>
      </c>
      <c r="K1617" t="s">
        <v>39</v>
      </c>
      <c r="L1617" s="50">
        <f>VLOOKUP(A1617,'[3]Price info'!A:D,4,FALSE)</f>
        <v>25.62</v>
      </c>
      <c r="M1617" s="18" t="s">
        <v>214</v>
      </c>
      <c r="N1617" s="20">
        <v>3105</v>
      </c>
      <c r="P1617" s="16">
        <f>VLOOKUP(A1617,'[3]Price info'!A:H,8,FALSE)</f>
        <v>25.62</v>
      </c>
      <c r="Q1617" s="17">
        <f t="shared" si="101"/>
        <v>1</v>
      </c>
      <c r="S1617" s="16" t="e">
        <f>VLOOKUP(A1617,[4]Sales!$E:$G,3,FALSE)</f>
        <v>#N/A</v>
      </c>
      <c r="T1617" s="19" t="e">
        <f>VLOOKUP(A1617,[4]Volume!$E:$G,3,FALSE)</f>
        <v>#N/A</v>
      </c>
      <c r="U1617" s="19" t="e">
        <f>VLOOKUP(A1617,[4]Piece!$E:$G,3,FALSE)</f>
        <v>#N/A</v>
      </c>
      <c r="V1617" s="21" t="e">
        <f t="shared" si="102"/>
        <v>#N/A</v>
      </c>
      <c r="W1617" s="16" t="e">
        <f t="shared" si="103"/>
        <v>#N/A</v>
      </c>
    </row>
    <row r="1618" spans="1:23" hidden="1" x14ac:dyDescent="0.3">
      <c r="A1618" s="71" t="s">
        <v>3234</v>
      </c>
      <c r="B1618" s="71" t="s">
        <v>3234</v>
      </c>
      <c r="C1618" s="47" t="s">
        <v>33</v>
      </c>
      <c r="D1618" s="48" t="s">
        <v>34</v>
      </c>
      <c r="E1618" s="18" t="s">
        <v>3235</v>
      </c>
      <c r="F1618" s="24" t="str">
        <f t="shared" si="100"/>
        <v>PPG - KNAUF JOINT CEMENT PREMIUM    0000002200</v>
      </c>
      <c r="G1618" s="20" t="s">
        <v>6489</v>
      </c>
      <c r="H1618" s="49" t="s">
        <v>213</v>
      </c>
      <c r="I1618" s="18" t="s">
        <v>37</v>
      </c>
      <c r="J1618" s="18" t="s">
        <v>38</v>
      </c>
      <c r="K1618" t="s">
        <v>39</v>
      </c>
      <c r="L1618" s="50">
        <f>VLOOKUP(A1618,'[3]Price info'!A:D,4,FALSE)</f>
        <v>48.69</v>
      </c>
      <c r="M1618" s="18" t="s">
        <v>214</v>
      </c>
      <c r="N1618" s="20">
        <v>3105</v>
      </c>
      <c r="P1618" s="16">
        <f>VLOOKUP(A1618,'[3]Price info'!A:H,8,FALSE)</f>
        <v>48.69</v>
      </c>
      <c r="Q1618" s="17">
        <f t="shared" si="101"/>
        <v>1</v>
      </c>
      <c r="S1618" s="16" t="e">
        <f>VLOOKUP(A1618,[4]Sales!$E:$G,3,FALSE)</f>
        <v>#N/A</v>
      </c>
      <c r="T1618" s="19" t="e">
        <f>VLOOKUP(A1618,[4]Volume!$E:$G,3,FALSE)</f>
        <v>#N/A</v>
      </c>
      <c r="U1618" s="19" t="e">
        <f>VLOOKUP(A1618,[4]Piece!$E:$G,3,FALSE)</f>
        <v>#N/A</v>
      </c>
      <c r="V1618" s="21" t="e">
        <f t="shared" si="102"/>
        <v>#N/A</v>
      </c>
      <c r="W1618" s="16" t="e">
        <f t="shared" si="103"/>
        <v>#N/A</v>
      </c>
    </row>
    <row r="1619" spans="1:23" hidden="1" x14ac:dyDescent="0.3">
      <c r="A1619" s="71" t="s">
        <v>3236</v>
      </c>
      <c r="B1619" s="71" t="s">
        <v>3236</v>
      </c>
      <c r="C1619" s="51" t="s">
        <v>33</v>
      </c>
      <c r="D1619" s="48" t="s">
        <v>34</v>
      </c>
      <c r="E1619" s="18" t="s">
        <v>3237</v>
      </c>
      <c r="F1619" s="24" t="str">
        <f t="shared" si="100"/>
        <v>PPG - KNAUF JOINT FILLER                  2200</v>
      </c>
      <c r="G1619" s="20" t="s">
        <v>6490</v>
      </c>
      <c r="H1619" s="49" t="s">
        <v>213</v>
      </c>
      <c r="I1619" s="18" t="s">
        <v>37</v>
      </c>
      <c r="J1619" s="18" t="s">
        <v>38</v>
      </c>
      <c r="K1619" t="s">
        <v>39</v>
      </c>
      <c r="L1619" s="50">
        <f>VLOOKUP(A1619,'[3]Price info'!A:D,4,FALSE)</f>
        <v>22.27</v>
      </c>
      <c r="M1619" s="18" t="s">
        <v>214</v>
      </c>
      <c r="N1619" s="20">
        <v>3105</v>
      </c>
      <c r="P1619" s="16">
        <f>VLOOKUP(A1619,'[3]Price info'!A:H,8,FALSE)</f>
        <v>22.27</v>
      </c>
      <c r="Q1619" s="17">
        <f t="shared" si="101"/>
        <v>1</v>
      </c>
      <c r="S1619" s="16" t="e">
        <f>VLOOKUP(A1619,[4]Sales!$E:$G,3,FALSE)</f>
        <v>#N/A</v>
      </c>
      <c r="T1619" s="19" t="e">
        <f>VLOOKUP(A1619,[4]Volume!$E:$G,3,FALSE)</f>
        <v>#N/A</v>
      </c>
      <c r="U1619" s="19" t="e">
        <f>VLOOKUP(A1619,[4]Piece!$E:$G,3,FALSE)</f>
        <v>#N/A</v>
      </c>
      <c r="V1619" s="21" t="e">
        <f t="shared" si="102"/>
        <v>#N/A</v>
      </c>
      <c r="W1619" s="16" t="e">
        <f t="shared" si="103"/>
        <v>#N/A</v>
      </c>
    </row>
    <row r="1620" spans="1:23" hidden="1" x14ac:dyDescent="0.3">
      <c r="A1620" s="71" t="s">
        <v>3238</v>
      </c>
      <c r="B1620" s="71" t="s">
        <v>3238</v>
      </c>
      <c r="C1620" s="47" t="s">
        <v>33</v>
      </c>
      <c r="D1620" s="48" t="s">
        <v>34</v>
      </c>
      <c r="E1620" s="18" t="s">
        <v>3239</v>
      </c>
      <c r="F1620" s="24" t="str">
        <f t="shared" si="100"/>
        <v>PPG - KNAUF JOINT FILLER PREMIUM    0000002200</v>
      </c>
      <c r="G1620" s="20" t="s">
        <v>6491</v>
      </c>
      <c r="H1620" s="49" t="s">
        <v>213</v>
      </c>
      <c r="I1620" s="18" t="s">
        <v>37</v>
      </c>
      <c r="J1620" s="18" t="s">
        <v>38</v>
      </c>
      <c r="K1620" t="s">
        <v>39</v>
      </c>
      <c r="L1620" s="50">
        <f>VLOOKUP(A1620,'[3]Price info'!A:D,4,FALSE)</f>
        <v>26.49</v>
      </c>
      <c r="M1620" s="18" t="s">
        <v>214</v>
      </c>
      <c r="N1620" s="20">
        <v>3105</v>
      </c>
      <c r="P1620" s="16">
        <f>VLOOKUP(A1620,'[3]Price info'!A:H,8,FALSE)</f>
        <v>26.49</v>
      </c>
      <c r="Q1620" s="17">
        <f t="shared" si="101"/>
        <v>1</v>
      </c>
      <c r="S1620" s="16" t="e">
        <f>VLOOKUP(A1620,[4]Sales!$E:$G,3,FALSE)</f>
        <v>#N/A</v>
      </c>
      <c r="T1620" s="19" t="e">
        <f>VLOOKUP(A1620,[4]Volume!$E:$G,3,FALSE)</f>
        <v>#N/A</v>
      </c>
      <c r="U1620" s="19" t="e">
        <f>VLOOKUP(A1620,[4]Piece!$E:$G,3,FALSE)</f>
        <v>#N/A</v>
      </c>
      <c r="V1620" s="21" t="e">
        <f t="shared" si="102"/>
        <v>#N/A</v>
      </c>
      <c r="W1620" s="16" t="e">
        <f t="shared" si="103"/>
        <v>#N/A</v>
      </c>
    </row>
    <row r="1621" spans="1:23" hidden="1" x14ac:dyDescent="0.3">
      <c r="A1621" s="71" t="s">
        <v>3240</v>
      </c>
      <c r="B1621" s="71" t="s">
        <v>3240</v>
      </c>
      <c r="C1621" s="47" t="s">
        <v>33</v>
      </c>
      <c r="D1621" s="48" t="s">
        <v>34</v>
      </c>
      <c r="E1621" s="18" t="s">
        <v>3241</v>
      </c>
      <c r="F1621" s="24" t="str">
        <f t="shared" si="100"/>
        <v>PPG - KNAUF UNIIFLOTT    253631     0000002250</v>
      </c>
      <c r="G1621" s="20" t="s">
        <v>6492</v>
      </c>
      <c r="H1621" s="49" t="s">
        <v>213</v>
      </c>
      <c r="I1621" s="18" t="s">
        <v>37</v>
      </c>
      <c r="J1621" s="18" t="s">
        <v>38</v>
      </c>
      <c r="K1621" t="s">
        <v>39</v>
      </c>
      <c r="L1621" s="50">
        <f>VLOOKUP(A1621,'[3]Price info'!A:D,4,FALSE)</f>
        <v>75.489999999999995</v>
      </c>
      <c r="M1621" s="18" t="s">
        <v>214</v>
      </c>
      <c r="N1621" s="20">
        <v>3105</v>
      </c>
      <c r="P1621" s="16">
        <f>VLOOKUP(A1621,'[3]Price info'!A:H,8,FALSE)</f>
        <v>75.489999999999995</v>
      </c>
      <c r="Q1621" s="17">
        <f t="shared" si="101"/>
        <v>1</v>
      </c>
      <c r="S1621" s="16" t="e">
        <f>VLOOKUP(A1621,[4]Sales!$E:$G,3,FALSE)</f>
        <v>#N/A</v>
      </c>
      <c r="T1621" s="19" t="e">
        <f>VLOOKUP(A1621,[4]Volume!$E:$G,3,FALSE)</f>
        <v>#N/A</v>
      </c>
      <c r="U1621" s="19" t="e">
        <f>VLOOKUP(A1621,[4]Piece!$E:$G,3,FALSE)</f>
        <v>#N/A</v>
      </c>
      <c r="V1621" s="21" t="e">
        <f t="shared" si="102"/>
        <v>#N/A</v>
      </c>
      <c r="W1621" s="16" t="e">
        <f t="shared" si="103"/>
        <v>#N/A</v>
      </c>
    </row>
    <row r="1622" spans="1:23" hidden="1" x14ac:dyDescent="0.3">
      <c r="A1622" s="71" t="s">
        <v>3242</v>
      </c>
      <c r="B1622" s="71" t="s">
        <v>3242</v>
      </c>
      <c r="C1622" s="51" t="s">
        <v>33</v>
      </c>
      <c r="D1622" s="48" t="s">
        <v>34</v>
      </c>
      <c r="E1622" s="18" t="s">
        <v>3243</v>
      </c>
      <c r="F1622" s="24" t="str">
        <f t="shared" si="100"/>
        <v>PPG - KNAUF WALLBOARD    PRIMER           2120</v>
      </c>
      <c r="G1622" s="20" t="s">
        <v>6493</v>
      </c>
      <c r="H1622" s="49" t="s">
        <v>213</v>
      </c>
      <c r="I1622" s="18" t="s">
        <v>37</v>
      </c>
      <c r="J1622" s="18" t="s">
        <v>38</v>
      </c>
      <c r="K1622" t="s">
        <v>39</v>
      </c>
      <c r="L1622" s="50">
        <f>VLOOKUP(A1622,'[3]Price info'!A:D,4,FALSE)</f>
        <v>77.150000000000006</v>
      </c>
      <c r="M1622" s="18" t="s">
        <v>214</v>
      </c>
      <c r="N1622" s="20">
        <v>3105</v>
      </c>
      <c r="P1622" s="16">
        <f>VLOOKUP(A1622,'[3]Price info'!A:H,8,FALSE)</f>
        <v>77.150000000000006</v>
      </c>
      <c r="Q1622" s="17">
        <f t="shared" si="101"/>
        <v>1</v>
      </c>
      <c r="S1622" s="16" t="e">
        <f>VLOOKUP(A1622,[4]Sales!$E:$G,3,FALSE)</f>
        <v>#N/A</v>
      </c>
      <c r="T1622" s="19" t="e">
        <f>VLOOKUP(A1622,[4]Volume!$E:$G,3,FALSE)</f>
        <v>#N/A</v>
      </c>
      <c r="U1622" s="19" t="e">
        <f>VLOOKUP(A1622,[4]Piece!$E:$G,3,FALSE)</f>
        <v>#N/A</v>
      </c>
      <c r="V1622" s="21" t="e">
        <f t="shared" si="102"/>
        <v>#N/A</v>
      </c>
      <c r="W1622" s="16" t="e">
        <f t="shared" si="103"/>
        <v>#N/A</v>
      </c>
    </row>
    <row r="1623" spans="1:23" hidden="1" x14ac:dyDescent="0.3">
      <c r="A1623" s="71" t="s">
        <v>3244</v>
      </c>
      <c r="B1623" s="71" t="s">
        <v>3244</v>
      </c>
      <c r="C1623" s="47" t="s">
        <v>33</v>
      </c>
      <c r="D1623" s="48" t="s">
        <v>34</v>
      </c>
      <c r="E1623" s="18" t="s">
        <v>3245</v>
      </c>
      <c r="F1623" s="24" t="str">
        <f t="shared" si="100"/>
        <v>PPG - LEYTS 4" EMUL MINI ROLLER KIT PACK OF 10</v>
      </c>
      <c r="G1623" s="20" t="s">
        <v>6494</v>
      </c>
      <c r="H1623" s="49" t="s">
        <v>213</v>
      </c>
      <c r="I1623" s="18" t="s">
        <v>37</v>
      </c>
      <c r="J1623" s="18" t="s">
        <v>38</v>
      </c>
      <c r="K1623" t="s">
        <v>39</v>
      </c>
      <c r="L1623" s="50">
        <f>VLOOKUP(A1623,'[3]Price info'!A:D,4,FALSE)</f>
        <v>28.16</v>
      </c>
      <c r="M1623" s="18" t="s">
        <v>214</v>
      </c>
      <c r="N1623" s="20">
        <v>3105</v>
      </c>
      <c r="P1623" s="16">
        <f>VLOOKUP(A1623,'[3]Price info'!A:H,8,FALSE)</f>
        <v>28.16</v>
      </c>
      <c r="Q1623" s="17">
        <f t="shared" si="101"/>
        <v>1</v>
      </c>
      <c r="S1623" s="16" t="e">
        <f>VLOOKUP(A1623,[4]Sales!$E:$G,3,FALSE)</f>
        <v>#N/A</v>
      </c>
      <c r="T1623" s="19" t="e">
        <f>VLOOKUP(A1623,[4]Volume!$E:$G,3,FALSE)</f>
        <v>#N/A</v>
      </c>
      <c r="U1623" s="19" t="e">
        <f>VLOOKUP(A1623,[4]Piece!$E:$G,3,FALSE)</f>
        <v>#N/A</v>
      </c>
      <c r="V1623" s="21" t="e">
        <f t="shared" si="102"/>
        <v>#N/A</v>
      </c>
      <c r="W1623" s="16" t="e">
        <f t="shared" si="103"/>
        <v>#N/A</v>
      </c>
    </row>
    <row r="1624" spans="1:23" hidden="1" x14ac:dyDescent="0.3">
      <c r="A1624" s="71" t="s">
        <v>3246</v>
      </c>
      <c r="B1624" s="71" t="s">
        <v>3246</v>
      </c>
      <c r="C1624" s="47" t="s">
        <v>33</v>
      </c>
      <c r="D1624" s="48" t="s">
        <v>34</v>
      </c>
      <c r="E1624" s="18" t="s">
        <v>3247</v>
      </c>
      <c r="F1624" s="24" t="str">
        <f t="shared" si="100"/>
        <v>PPG - LEYTS 4" FOAM MINI FRAME SOFT PACK OF 10</v>
      </c>
      <c r="G1624" s="20" t="s">
        <v>6495</v>
      </c>
      <c r="H1624" s="49" t="s">
        <v>213</v>
      </c>
      <c r="I1624" s="18" t="s">
        <v>37</v>
      </c>
      <c r="J1624" s="18" t="s">
        <v>38</v>
      </c>
      <c r="K1624" t="s">
        <v>39</v>
      </c>
      <c r="L1624" s="50">
        <f>VLOOKUP(A1624,'[3]Price info'!A:D,4,FALSE)</f>
        <v>14.98</v>
      </c>
      <c r="M1624" s="18" t="s">
        <v>214</v>
      </c>
      <c r="N1624" s="20">
        <v>3105</v>
      </c>
      <c r="P1624" s="16">
        <f>VLOOKUP(A1624,'[3]Price info'!A:H,8,FALSE)</f>
        <v>14.98</v>
      </c>
      <c r="Q1624" s="17">
        <f t="shared" si="101"/>
        <v>1</v>
      </c>
      <c r="S1624" s="16" t="e">
        <f>VLOOKUP(A1624,[4]Sales!$E:$G,3,FALSE)</f>
        <v>#N/A</v>
      </c>
      <c r="T1624" s="19" t="e">
        <f>VLOOKUP(A1624,[4]Volume!$E:$G,3,FALSE)</f>
        <v>#N/A</v>
      </c>
      <c r="U1624" s="19" t="e">
        <f>VLOOKUP(A1624,[4]Piece!$E:$G,3,FALSE)</f>
        <v>#N/A</v>
      </c>
      <c r="V1624" s="21" t="e">
        <f t="shared" si="102"/>
        <v>#N/A</v>
      </c>
      <c r="W1624" s="16" t="e">
        <f t="shared" si="103"/>
        <v>#N/A</v>
      </c>
    </row>
    <row r="1625" spans="1:23" hidden="1" x14ac:dyDescent="0.3">
      <c r="A1625" s="71" t="s">
        <v>3248</v>
      </c>
      <c r="B1625" s="71" t="s">
        <v>3248</v>
      </c>
      <c r="C1625" s="51" t="s">
        <v>33</v>
      </c>
      <c r="D1625" s="48" t="s">
        <v>34</v>
      </c>
      <c r="E1625" s="18" t="s">
        <v>3249</v>
      </c>
      <c r="F1625" s="24" t="str">
        <f t="shared" si="100"/>
        <v>PPG - LEYTS 4" FOAM MINI ROLLER KIT PACK OF 10</v>
      </c>
      <c r="G1625" s="20" t="s">
        <v>6496</v>
      </c>
      <c r="H1625" s="49" t="s">
        <v>213</v>
      </c>
      <c r="I1625" s="18" t="s">
        <v>37</v>
      </c>
      <c r="J1625" s="18" t="s">
        <v>38</v>
      </c>
      <c r="K1625" t="s">
        <v>39</v>
      </c>
      <c r="L1625" s="50">
        <f>VLOOKUP(A1625,'[3]Price info'!A:D,4,FALSE)</f>
        <v>28.16</v>
      </c>
      <c r="M1625" s="18" t="s">
        <v>214</v>
      </c>
      <c r="N1625" s="20">
        <v>3105</v>
      </c>
      <c r="P1625" s="16">
        <f>VLOOKUP(A1625,'[3]Price info'!A:H,8,FALSE)</f>
        <v>28.16</v>
      </c>
      <c r="Q1625" s="17">
        <f t="shared" si="101"/>
        <v>1</v>
      </c>
      <c r="S1625" s="16" t="e">
        <f>VLOOKUP(A1625,[4]Sales!$E:$G,3,FALSE)</f>
        <v>#N/A</v>
      </c>
      <c r="T1625" s="19" t="e">
        <f>VLOOKUP(A1625,[4]Volume!$E:$G,3,FALSE)</f>
        <v>#N/A</v>
      </c>
      <c r="U1625" s="19" t="e">
        <f>VLOOKUP(A1625,[4]Piece!$E:$G,3,FALSE)</f>
        <v>#N/A</v>
      </c>
      <c r="V1625" s="21" t="e">
        <f t="shared" si="102"/>
        <v>#N/A</v>
      </c>
      <c r="W1625" s="16" t="e">
        <f t="shared" si="103"/>
        <v>#N/A</v>
      </c>
    </row>
    <row r="1626" spans="1:23" hidden="1" x14ac:dyDescent="0.3">
      <c r="A1626" s="71" t="s">
        <v>3250</v>
      </c>
      <c r="B1626" s="71" t="s">
        <v>3250</v>
      </c>
      <c r="C1626" s="47" t="s">
        <v>33</v>
      </c>
      <c r="D1626" s="48" t="s">
        <v>34</v>
      </c>
      <c r="E1626" s="18" t="s">
        <v>3251</v>
      </c>
      <c r="F1626" s="24" t="str">
        <f t="shared" si="100"/>
        <v>PPG - LEYTS 4" FOAM MINI ROLLER(10)</v>
      </c>
      <c r="G1626" s="20" t="s">
        <v>6497</v>
      </c>
      <c r="H1626" s="49" t="s">
        <v>213</v>
      </c>
      <c r="I1626" s="18" t="s">
        <v>37</v>
      </c>
      <c r="J1626" s="18" t="s">
        <v>38</v>
      </c>
      <c r="K1626" t="s">
        <v>39</v>
      </c>
      <c r="L1626" s="50">
        <f>VLOOKUP(A1626,'[3]Price info'!A:D,4,FALSE)</f>
        <v>47.07</v>
      </c>
      <c r="M1626" s="18" t="s">
        <v>214</v>
      </c>
      <c r="N1626" s="20">
        <v>3105</v>
      </c>
      <c r="P1626" s="16">
        <f>VLOOKUP(A1626,'[3]Price info'!A:H,8,FALSE)</f>
        <v>47.07</v>
      </c>
      <c r="Q1626" s="17">
        <f t="shared" si="101"/>
        <v>1</v>
      </c>
      <c r="S1626" s="16" t="e">
        <f>VLOOKUP(A1626,[4]Sales!$E:$G,3,FALSE)</f>
        <v>#N/A</v>
      </c>
      <c r="T1626" s="19" t="e">
        <f>VLOOKUP(A1626,[4]Volume!$E:$G,3,FALSE)</f>
        <v>#N/A</v>
      </c>
      <c r="U1626" s="19" t="e">
        <f>VLOOKUP(A1626,[4]Piece!$E:$G,3,FALSE)</f>
        <v>#N/A</v>
      </c>
      <c r="V1626" s="21" t="e">
        <f t="shared" si="102"/>
        <v>#N/A</v>
      </c>
      <c r="W1626" s="16" t="e">
        <f t="shared" si="103"/>
        <v>#N/A</v>
      </c>
    </row>
    <row r="1627" spans="1:23" hidden="1" x14ac:dyDescent="0.3">
      <c r="A1627" s="71" t="s">
        <v>3252</v>
      </c>
      <c r="B1627" s="71" t="s">
        <v>3252</v>
      </c>
      <c r="C1627" s="47" t="s">
        <v>33</v>
      </c>
      <c r="D1627" s="48" t="s">
        <v>34</v>
      </c>
      <c r="E1627" s="18" t="s">
        <v>3253</v>
      </c>
      <c r="F1627" s="24" t="str">
        <f t="shared" si="100"/>
        <v>PPG - LEYTS 4" MED MINI  ROLLER(10) PACK OF 10</v>
      </c>
      <c r="G1627" s="20" t="s">
        <v>6498</v>
      </c>
      <c r="H1627" s="49" t="s">
        <v>213</v>
      </c>
      <c r="I1627" s="18" t="s">
        <v>37</v>
      </c>
      <c r="J1627" s="18" t="s">
        <v>38</v>
      </c>
      <c r="K1627" t="s">
        <v>39</v>
      </c>
      <c r="L1627" s="50">
        <f>VLOOKUP(A1627,'[3]Price info'!A:D,4,FALSE)</f>
        <v>47.07</v>
      </c>
      <c r="M1627" s="18" t="s">
        <v>214</v>
      </c>
      <c r="N1627" s="20">
        <v>3105</v>
      </c>
      <c r="P1627" s="16">
        <f>VLOOKUP(A1627,'[3]Price info'!A:H,8,FALSE)</f>
        <v>47.07</v>
      </c>
      <c r="Q1627" s="17">
        <f t="shared" si="101"/>
        <v>1</v>
      </c>
      <c r="S1627" s="16" t="e">
        <f>VLOOKUP(A1627,[4]Sales!$E:$G,3,FALSE)</f>
        <v>#N/A</v>
      </c>
      <c r="T1627" s="19" t="e">
        <f>VLOOKUP(A1627,[4]Volume!$E:$G,3,FALSE)</f>
        <v>#N/A</v>
      </c>
      <c r="U1627" s="19" t="e">
        <f>VLOOKUP(A1627,[4]Piece!$E:$G,3,FALSE)</f>
        <v>#N/A</v>
      </c>
      <c r="V1627" s="21" t="e">
        <f t="shared" si="102"/>
        <v>#N/A</v>
      </c>
      <c r="W1627" s="16" t="e">
        <f t="shared" si="103"/>
        <v>#N/A</v>
      </c>
    </row>
    <row r="1628" spans="1:23" hidden="1" x14ac:dyDescent="0.3">
      <c r="A1628" s="71" t="s">
        <v>3254</v>
      </c>
      <c r="B1628" s="71" t="s">
        <v>3254</v>
      </c>
      <c r="C1628" s="51" t="s">
        <v>33</v>
      </c>
      <c r="D1628" s="48" t="s">
        <v>34</v>
      </c>
      <c r="E1628" s="18" t="s">
        <v>3255</v>
      </c>
      <c r="F1628" s="24" t="str">
        <f t="shared" si="100"/>
        <v>PPG - LEYTS 4" WOVEN MED MINI ROLLER PACK 10</v>
      </c>
      <c r="G1628" s="20" t="s">
        <v>6499</v>
      </c>
      <c r="H1628" s="49" t="s">
        <v>213</v>
      </c>
      <c r="I1628" s="18" t="s">
        <v>37</v>
      </c>
      <c r="J1628" s="18" t="s">
        <v>38</v>
      </c>
      <c r="K1628" t="s">
        <v>39</v>
      </c>
      <c r="L1628" s="50">
        <f>VLOOKUP(A1628,'[3]Price info'!A:D,4,FALSE)</f>
        <v>47.07</v>
      </c>
      <c r="M1628" s="18" t="s">
        <v>214</v>
      </c>
      <c r="N1628" s="20">
        <v>3105</v>
      </c>
      <c r="P1628" s="16">
        <f>VLOOKUP(A1628,'[3]Price info'!A:H,8,FALSE)</f>
        <v>47.07</v>
      </c>
      <c r="Q1628" s="17">
        <f t="shared" si="101"/>
        <v>1</v>
      </c>
      <c r="S1628" s="16" t="e">
        <f>VLOOKUP(A1628,[4]Sales!$E:$G,3,FALSE)</f>
        <v>#N/A</v>
      </c>
      <c r="T1628" s="19" t="e">
        <f>VLOOKUP(A1628,[4]Volume!$E:$G,3,FALSE)</f>
        <v>#N/A</v>
      </c>
      <c r="U1628" s="19" t="e">
        <f>VLOOKUP(A1628,[4]Piece!$E:$G,3,FALSE)</f>
        <v>#N/A</v>
      </c>
      <c r="V1628" s="21" t="e">
        <f t="shared" si="102"/>
        <v>#N/A</v>
      </c>
      <c r="W1628" s="16" t="e">
        <f t="shared" si="103"/>
        <v>#N/A</v>
      </c>
    </row>
    <row r="1629" spans="1:23" hidden="1" x14ac:dyDescent="0.3">
      <c r="A1629" s="71" t="s">
        <v>3256</v>
      </c>
      <c r="B1629" s="71" t="s">
        <v>3256</v>
      </c>
      <c r="C1629" s="47" t="s">
        <v>33</v>
      </c>
      <c r="D1629" s="48" t="s">
        <v>34</v>
      </c>
      <c r="E1629" s="18" t="s">
        <v>3257</v>
      </c>
      <c r="F1629" s="24" t="str">
        <f t="shared" si="100"/>
        <v>PPG - LEYTS 4PC 9"ROLL &amp; TRAYKIT 20</v>
      </c>
      <c r="G1629" s="20" t="s">
        <v>6500</v>
      </c>
      <c r="H1629" s="49" t="s">
        <v>213</v>
      </c>
      <c r="I1629" s="18" t="s">
        <v>37</v>
      </c>
      <c r="J1629" s="18" t="s">
        <v>38</v>
      </c>
      <c r="K1629" t="s">
        <v>39</v>
      </c>
      <c r="L1629" s="50">
        <f>VLOOKUP(A1629,'[3]Price info'!A:D,4,FALSE)</f>
        <v>110.46</v>
      </c>
      <c r="M1629" s="18" t="s">
        <v>214</v>
      </c>
      <c r="N1629" s="20">
        <v>3105</v>
      </c>
      <c r="P1629" s="16">
        <f>VLOOKUP(A1629,'[3]Price info'!A:H,8,FALSE)</f>
        <v>110.46</v>
      </c>
      <c r="Q1629" s="17">
        <f t="shared" si="101"/>
        <v>1</v>
      </c>
      <c r="S1629" s="16" t="e">
        <f>VLOOKUP(A1629,[4]Sales!$E:$G,3,FALSE)</f>
        <v>#N/A</v>
      </c>
      <c r="T1629" s="19" t="e">
        <f>VLOOKUP(A1629,[4]Volume!$E:$G,3,FALSE)</f>
        <v>#N/A</v>
      </c>
      <c r="U1629" s="19" t="e">
        <f>VLOOKUP(A1629,[4]Piece!$E:$G,3,FALSE)</f>
        <v>#N/A</v>
      </c>
      <c r="V1629" s="21" t="e">
        <f t="shared" si="102"/>
        <v>#N/A</v>
      </c>
      <c r="W1629" s="16" t="e">
        <f t="shared" si="103"/>
        <v>#N/A</v>
      </c>
    </row>
    <row r="1630" spans="1:23" hidden="1" x14ac:dyDescent="0.3">
      <c r="A1630" s="71" t="s">
        <v>3258</v>
      </c>
      <c r="B1630" s="71" t="s">
        <v>3258</v>
      </c>
      <c r="C1630" s="47" t="s">
        <v>33</v>
      </c>
      <c r="D1630" s="48" t="s">
        <v>34</v>
      </c>
      <c r="E1630" s="18" t="s">
        <v>3259</v>
      </c>
      <c r="F1630" s="24" t="str">
        <f t="shared" si="100"/>
        <v>PPG - LEYTS 6PC 9"ROLL &amp; TRAYKIT 20</v>
      </c>
      <c r="G1630" s="20" t="s">
        <v>6501</v>
      </c>
      <c r="H1630" s="49" t="s">
        <v>213</v>
      </c>
      <c r="I1630" s="18" t="s">
        <v>37</v>
      </c>
      <c r="J1630" s="18" t="s">
        <v>38</v>
      </c>
      <c r="K1630" t="s">
        <v>39</v>
      </c>
      <c r="L1630" s="50">
        <f>VLOOKUP(A1630,'[3]Price info'!A:D,4,FALSE)</f>
        <v>140.13</v>
      </c>
      <c r="M1630" s="18" t="s">
        <v>214</v>
      </c>
      <c r="N1630" s="20">
        <v>3105</v>
      </c>
      <c r="P1630" s="16">
        <f>VLOOKUP(A1630,'[3]Price info'!A:H,8,FALSE)</f>
        <v>140.13</v>
      </c>
      <c r="Q1630" s="17">
        <f t="shared" si="101"/>
        <v>1</v>
      </c>
      <c r="S1630" s="16" t="e">
        <f>VLOOKUP(A1630,[4]Sales!$E:$G,3,FALSE)</f>
        <v>#N/A</v>
      </c>
      <c r="T1630" s="19" t="e">
        <f>VLOOKUP(A1630,[4]Volume!$E:$G,3,FALSE)</f>
        <v>#N/A</v>
      </c>
      <c r="U1630" s="19" t="e">
        <f>VLOOKUP(A1630,[4]Piece!$E:$G,3,FALSE)</f>
        <v>#N/A</v>
      </c>
      <c r="V1630" s="21" t="e">
        <f t="shared" si="102"/>
        <v>#N/A</v>
      </c>
      <c r="W1630" s="16" t="e">
        <f t="shared" si="103"/>
        <v>#N/A</v>
      </c>
    </row>
    <row r="1631" spans="1:23" hidden="1" x14ac:dyDescent="0.3">
      <c r="A1631" s="71" t="s">
        <v>3260</v>
      </c>
      <c r="B1631" s="71" t="s">
        <v>3260</v>
      </c>
      <c r="C1631" s="51" t="s">
        <v>33</v>
      </c>
      <c r="D1631" s="48" t="s">
        <v>34</v>
      </c>
      <c r="E1631" s="18" t="s">
        <v>3261</v>
      </c>
      <c r="F1631" s="24" t="str">
        <f t="shared" si="100"/>
        <v>PPG - LEYTS 7PC CONTRACT BRUSH PK10</v>
      </c>
      <c r="G1631" s="20" t="s">
        <v>6502</v>
      </c>
      <c r="H1631" s="49" t="s">
        <v>213</v>
      </c>
      <c r="I1631" s="18" t="s">
        <v>37</v>
      </c>
      <c r="J1631" s="18" t="s">
        <v>38</v>
      </c>
      <c r="K1631" t="s">
        <v>39</v>
      </c>
      <c r="L1631" s="50">
        <f>VLOOKUP(A1631,'[3]Price info'!A:D,4,FALSE)</f>
        <v>103.81</v>
      </c>
      <c r="M1631" s="18" t="s">
        <v>214</v>
      </c>
      <c r="N1631" s="20">
        <v>3105</v>
      </c>
      <c r="P1631" s="16">
        <f>VLOOKUP(A1631,'[3]Price info'!A:H,8,FALSE)</f>
        <v>103.81</v>
      </c>
      <c r="Q1631" s="17">
        <f t="shared" si="101"/>
        <v>1</v>
      </c>
      <c r="S1631" s="16" t="e">
        <f>VLOOKUP(A1631,[4]Sales!$E:$G,3,FALSE)</f>
        <v>#N/A</v>
      </c>
      <c r="T1631" s="19" t="e">
        <f>VLOOKUP(A1631,[4]Volume!$E:$G,3,FALSE)</f>
        <v>#N/A</v>
      </c>
      <c r="U1631" s="19" t="e">
        <f>VLOOKUP(A1631,[4]Piece!$E:$G,3,FALSE)</f>
        <v>#N/A</v>
      </c>
      <c r="V1631" s="21" t="e">
        <f t="shared" si="102"/>
        <v>#N/A</v>
      </c>
      <c r="W1631" s="16" t="e">
        <f t="shared" si="103"/>
        <v>#N/A</v>
      </c>
    </row>
    <row r="1632" spans="1:23" hidden="1" x14ac:dyDescent="0.3">
      <c r="A1632" s="71" t="s">
        <v>3262</v>
      </c>
      <c r="B1632" s="71" t="s">
        <v>3262</v>
      </c>
      <c r="C1632" s="47" t="s">
        <v>33</v>
      </c>
      <c r="D1632" s="48" t="s">
        <v>34</v>
      </c>
      <c r="E1632" s="18" t="s">
        <v>3263</v>
      </c>
      <c r="F1632" s="24" t="str">
        <f t="shared" si="100"/>
        <v>PPG - LEYTS 9" MED PILE  POLY ROLLER(6)PACK 10</v>
      </c>
      <c r="G1632" s="20" t="s">
        <v>6503</v>
      </c>
      <c r="H1632" s="49" t="s">
        <v>213</v>
      </c>
      <c r="I1632" s="18" t="s">
        <v>37</v>
      </c>
      <c r="J1632" s="18" t="s">
        <v>38</v>
      </c>
      <c r="K1632" t="s">
        <v>39</v>
      </c>
      <c r="L1632" s="50">
        <f>VLOOKUP(A1632,'[3]Price info'!A:D,4,FALSE)</f>
        <v>63.57</v>
      </c>
      <c r="M1632" s="18" t="s">
        <v>214</v>
      </c>
      <c r="N1632" s="20">
        <v>3105</v>
      </c>
      <c r="P1632" s="16">
        <f>VLOOKUP(A1632,'[3]Price info'!A:H,8,FALSE)</f>
        <v>63.57</v>
      </c>
      <c r="Q1632" s="17">
        <f t="shared" si="101"/>
        <v>1</v>
      </c>
      <c r="S1632" s="16" t="e">
        <f>VLOOKUP(A1632,[4]Sales!$E:$G,3,FALSE)</f>
        <v>#N/A</v>
      </c>
      <c r="T1632" s="19" t="e">
        <f>VLOOKUP(A1632,[4]Volume!$E:$G,3,FALSE)</f>
        <v>#N/A</v>
      </c>
      <c r="U1632" s="19" t="e">
        <f>VLOOKUP(A1632,[4]Piece!$E:$G,3,FALSE)</f>
        <v>#N/A</v>
      </c>
      <c r="V1632" s="21" t="e">
        <f t="shared" si="102"/>
        <v>#N/A</v>
      </c>
      <c r="W1632" s="16" t="e">
        <f t="shared" si="103"/>
        <v>#N/A</v>
      </c>
    </row>
    <row r="1633" spans="1:23" hidden="1" x14ac:dyDescent="0.3">
      <c r="A1633" s="71" t="s">
        <v>3264</v>
      </c>
      <c r="B1633" s="71" t="s">
        <v>3264</v>
      </c>
      <c r="C1633" s="47" t="s">
        <v>33</v>
      </c>
      <c r="D1633" s="48" t="s">
        <v>34</v>
      </c>
      <c r="E1633" s="18" t="s">
        <v>3265</v>
      </c>
      <c r="F1633" s="24" t="str">
        <f t="shared" si="100"/>
        <v>PPG - LEYTS 9"ROLLER FRM SOFT GRIP PACK OF 10</v>
      </c>
      <c r="G1633" s="20" t="s">
        <v>6504</v>
      </c>
      <c r="H1633" s="49" t="s">
        <v>213</v>
      </c>
      <c r="I1633" s="18" t="s">
        <v>37</v>
      </c>
      <c r="J1633" s="18" t="s">
        <v>38</v>
      </c>
      <c r="K1633" t="s">
        <v>39</v>
      </c>
      <c r="L1633" s="50">
        <f>VLOOKUP(A1633,'[3]Price info'!A:D,4,FALSE)</f>
        <v>28.61</v>
      </c>
      <c r="M1633" s="18" t="s">
        <v>214</v>
      </c>
      <c r="N1633" s="20">
        <v>3105</v>
      </c>
      <c r="P1633" s="16">
        <f>VLOOKUP(A1633,'[3]Price info'!A:H,8,FALSE)</f>
        <v>28.61</v>
      </c>
      <c r="Q1633" s="17">
        <f t="shared" si="101"/>
        <v>1</v>
      </c>
      <c r="S1633" s="16" t="e">
        <f>VLOOKUP(A1633,[4]Sales!$E:$G,3,FALSE)</f>
        <v>#N/A</v>
      </c>
      <c r="T1633" s="19" t="e">
        <f>VLOOKUP(A1633,[4]Volume!$E:$G,3,FALSE)</f>
        <v>#N/A</v>
      </c>
      <c r="U1633" s="19" t="e">
        <f>VLOOKUP(A1633,[4]Piece!$E:$G,3,FALSE)</f>
        <v>#N/A</v>
      </c>
      <c r="V1633" s="21" t="e">
        <f t="shared" si="102"/>
        <v>#N/A</v>
      </c>
      <c r="W1633" s="16" t="e">
        <f t="shared" si="103"/>
        <v>#N/A</v>
      </c>
    </row>
    <row r="1634" spans="1:23" hidden="1" x14ac:dyDescent="0.3">
      <c r="A1634" s="71" t="s">
        <v>3266</v>
      </c>
      <c r="B1634" s="71" t="s">
        <v>3266</v>
      </c>
      <c r="C1634" s="51" t="s">
        <v>33</v>
      </c>
      <c r="D1634" s="48" t="s">
        <v>34</v>
      </c>
      <c r="E1634" s="18" t="s">
        <v>3267</v>
      </c>
      <c r="F1634" s="24" t="str">
        <f t="shared" si="100"/>
        <v>PPG - LEYTS 9"WOVEN MED  ROLL(6)P10</v>
      </c>
      <c r="G1634" s="20" t="s">
        <v>6505</v>
      </c>
      <c r="H1634" s="49" t="s">
        <v>213</v>
      </c>
      <c r="I1634" s="18" t="s">
        <v>37</v>
      </c>
      <c r="J1634" s="18" t="s">
        <v>38</v>
      </c>
      <c r="K1634" t="s">
        <v>39</v>
      </c>
      <c r="L1634" s="50">
        <f>VLOOKUP(A1634,'[3]Price info'!A:D,4,FALSE)</f>
        <v>64.77</v>
      </c>
      <c r="M1634" s="18" t="s">
        <v>214</v>
      </c>
      <c r="N1634" s="20">
        <v>3105</v>
      </c>
      <c r="P1634" s="16">
        <f>VLOOKUP(A1634,'[3]Price info'!A:H,8,FALSE)</f>
        <v>64.77</v>
      </c>
      <c r="Q1634" s="17">
        <f t="shared" si="101"/>
        <v>1</v>
      </c>
      <c r="S1634" s="16" t="e">
        <f>VLOOKUP(A1634,[4]Sales!$E:$G,3,FALSE)</f>
        <v>#N/A</v>
      </c>
      <c r="T1634" s="19" t="e">
        <f>VLOOKUP(A1634,[4]Volume!$E:$G,3,FALSE)</f>
        <v>#N/A</v>
      </c>
      <c r="U1634" s="19" t="e">
        <f>VLOOKUP(A1634,[4]Piece!$E:$G,3,FALSE)</f>
        <v>#N/A</v>
      </c>
      <c r="V1634" s="21" t="e">
        <f t="shared" si="102"/>
        <v>#N/A</v>
      </c>
      <c r="W1634" s="16" t="e">
        <f t="shared" si="103"/>
        <v>#N/A</v>
      </c>
    </row>
    <row r="1635" spans="1:23" hidden="1" x14ac:dyDescent="0.3">
      <c r="A1635" s="71" t="s">
        <v>3268</v>
      </c>
      <c r="B1635" s="71" t="s">
        <v>3268</v>
      </c>
      <c r="C1635" s="47" t="s">
        <v>33</v>
      </c>
      <c r="D1635" s="48" t="s">
        <v>34</v>
      </c>
      <c r="E1635" s="18" t="s">
        <v>3269</v>
      </c>
      <c r="F1635" s="24" t="str">
        <f t="shared" si="100"/>
        <v>PPG - LEYTS CONT BRUSH   1" PK6</v>
      </c>
      <c r="G1635" s="20" t="s">
        <v>6506</v>
      </c>
      <c r="H1635" s="49" t="s">
        <v>213</v>
      </c>
      <c r="I1635" s="18" t="s">
        <v>37</v>
      </c>
      <c r="J1635" s="18" t="s">
        <v>38</v>
      </c>
      <c r="K1635" t="s">
        <v>39</v>
      </c>
      <c r="L1635" s="50">
        <f>VLOOKUP(A1635,'[3]Price info'!A:D,4,FALSE)</f>
        <v>4.9000000000000004</v>
      </c>
      <c r="M1635" s="18" t="s">
        <v>214</v>
      </c>
      <c r="N1635" s="20">
        <v>3105</v>
      </c>
      <c r="P1635" s="16">
        <f>VLOOKUP(A1635,'[3]Price info'!A:H,8,FALSE)</f>
        <v>4.9000000000000004</v>
      </c>
      <c r="Q1635" s="17">
        <f t="shared" si="101"/>
        <v>1</v>
      </c>
      <c r="S1635" s="16" t="e">
        <f>VLOOKUP(A1635,[4]Sales!$E:$G,3,FALSE)</f>
        <v>#N/A</v>
      </c>
      <c r="T1635" s="19" t="e">
        <f>VLOOKUP(A1635,[4]Volume!$E:$G,3,FALSE)</f>
        <v>#N/A</v>
      </c>
      <c r="U1635" s="19" t="e">
        <f>VLOOKUP(A1635,[4]Piece!$E:$G,3,FALSE)</f>
        <v>#N/A</v>
      </c>
      <c r="V1635" s="21" t="e">
        <f t="shared" si="102"/>
        <v>#N/A</v>
      </c>
      <c r="W1635" s="16" t="e">
        <f t="shared" si="103"/>
        <v>#N/A</v>
      </c>
    </row>
    <row r="1636" spans="1:23" hidden="1" x14ac:dyDescent="0.3">
      <c r="A1636" s="71" t="s">
        <v>3270</v>
      </c>
      <c r="B1636" s="71" t="s">
        <v>3270</v>
      </c>
      <c r="C1636" s="47" t="s">
        <v>33</v>
      </c>
      <c r="D1636" s="48" t="s">
        <v>34</v>
      </c>
      <c r="E1636" s="18" t="s">
        <v>3271</v>
      </c>
      <c r="F1636" s="24" t="str">
        <f t="shared" si="100"/>
        <v>PPG - LEYTS CONTRACTOR   BRUSH 1.5" PACK OF 6</v>
      </c>
      <c r="G1636" s="20" t="s">
        <v>6507</v>
      </c>
      <c r="H1636" s="49" t="s">
        <v>213</v>
      </c>
      <c r="I1636" s="18" t="s">
        <v>37</v>
      </c>
      <c r="J1636" s="18" t="s">
        <v>38</v>
      </c>
      <c r="K1636" t="s">
        <v>39</v>
      </c>
      <c r="L1636" s="50">
        <f>VLOOKUP(A1636,'[3]Price info'!A:D,4,FALSE)</f>
        <v>7.26</v>
      </c>
      <c r="M1636" s="18" t="s">
        <v>214</v>
      </c>
      <c r="N1636" s="20">
        <v>3105</v>
      </c>
      <c r="P1636" s="16">
        <f>VLOOKUP(A1636,'[3]Price info'!A:H,8,FALSE)</f>
        <v>7.26</v>
      </c>
      <c r="Q1636" s="17">
        <f t="shared" si="101"/>
        <v>1</v>
      </c>
      <c r="S1636" s="16" t="e">
        <f>VLOOKUP(A1636,[4]Sales!$E:$G,3,FALSE)</f>
        <v>#N/A</v>
      </c>
      <c r="T1636" s="19" t="e">
        <f>VLOOKUP(A1636,[4]Volume!$E:$G,3,FALSE)</f>
        <v>#N/A</v>
      </c>
      <c r="U1636" s="19" t="e">
        <f>VLOOKUP(A1636,[4]Piece!$E:$G,3,FALSE)</f>
        <v>#N/A</v>
      </c>
      <c r="V1636" s="21" t="e">
        <f t="shared" si="102"/>
        <v>#N/A</v>
      </c>
      <c r="W1636" s="16" t="e">
        <f t="shared" si="103"/>
        <v>#N/A</v>
      </c>
    </row>
    <row r="1637" spans="1:23" hidden="1" x14ac:dyDescent="0.3">
      <c r="A1637" s="71" t="s">
        <v>3272</v>
      </c>
      <c r="B1637" s="71" t="s">
        <v>3272</v>
      </c>
      <c r="C1637" s="51" t="s">
        <v>33</v>
      </c>
      <c r="D1637" s="48" t="s">
        <v>34</v>
      </c>
      <c r="E1637" s="18" t="s">
        <v>3273</v>
      </c>
      <c r="F1637" s="24" t="str">
        <f t="shared" si="100"/>
        <v>PPG - LEYTS CONTRACTOR   BRUSH 2" PACK OF 6</v>
      </c>
      <c r="G1637" s="20" t="s">
        <v>6508</v>
      </c>
      <c r="H1637" s="49" t="s">
        <v>213</v>
      </c>
      <c r="I1637" s="18" t="s">
        <v>37</v>
      </c>
      <c r="J1637" s="18" t="s">
        <v>38</v>
      </c>
      <c r="K1637" t="s">
        <v>39</v>
      </c>
      <c r="L1637" s="50">
        <f>VLOOKUP(A1637,'[3]Price info'!A:D,4,FALSE)</f>
        <v>9.5500000000000007</v>
      </c>
      <c r="M1637" s="18" t="s">
        <v>214</v>
      </c>
      <c r="N1637" s="20">
        <v>3105</v>
      </c>
      <c r="P1637" s="16">
        <f>VLOOKUP(A1637,'[3]Price info'!A:H,8,FALSE)</f>
        <v>9.5500000000000007</v>
      </c>
      <c r="Q1637" s="17">
        <f t="shared" si="101"/>
        <v>1</v>
      </c>
      <c r="S1637" s="16" t="e">
        <f>VLOOKUP(A1637,[4]Sales!$E:$G,3,FALSE)</f>
        <v>#N/A</v>
      </c>
      <c r="T1637" s="19" t="e">
        <f>VLOOKUP(A1637,[4]Volume!$E:$G,3,FALSE)</f>
        <v>#N/A</v>
      </c>
      <c r="U1637" s="19" t="e">
        <f>VLOOKUP(A1637,[4]Piece!$E:$G,3,FALSE)</f>
        <v>#N/A</v>
      </c>
      <c r="V1637" s="21" t="e">
        <f t="shared" si="102"/>
        <v>#N/A</v>
      </c>
      <c r="W1637" s="16" t="e">
        <f t="shared" si="103"/>
        <v>#N/A</v>
      </c>
    </row>
    <row r="1638" spans="1:23" hidden="1" x14ac:dyDescent="0.3">
      <c r="A1638" s="71" t="s">
        <v>3274</v>
      </c>
      <c r="B1638" s="71" t="s">
        <v>3274</v>
      </c>
      <c r="C1638" s="47" t="s">
        <v>33</v>
      </c>
      <c r="D1638" s="48" t="s">
        <v>34</v>
      </c>
      <c r="E1638" s="18" t="s">
        <v>3275</v>
      </c>
      <c r="F1638" s="24" t="str">
        <f t="shared" si="100"/>
        <v>PPG - LEYTS CONTRACTOR   BRUSH 2.5" PACK OF 6</v>
      </c>
      <c r="G1638" s="20" t="s">
        <v>6509</v>
      </c>
      <c r="H1638" s="49" t="s">
        <v>213</v>
      </c>
      <c r="I1638" s="18" t="s">
        <v>37</v>
      </c>
      <c r="J1638" s="18" t="s">
        <v>38</v>
      </c>
      <c r="K1638" t="s">
        <v>39</v>
      </c>
      <c r="L1638" s="50">
        <f>VLOOKUP(A1638,'[3]Price info'!A:D,4,FALSE)</f>
        <v>11.35</v>
      </c>
      <c r="M1638" s="18" t="s">
        <v>214</v>
      </c>
      <c r="N1638" s="20">
        <v>3105</v>
      </c>
      <c r="P1638" s="16">
        <f>VLOOKUP(A1638,'[3]Price info'!A:H,8,FALSE)</f>
        <v>11.35</v>
      </c>
      <c r="Q1638" s="17">
        <f t="shared" si="101"/>
        <v>1</v>
      </c>
      <c r="S1638" s="16" t="e">
        <f>VLOOKUP(A1638,[4]Sales!$E:$G,3,FALSE)</f>
        <v>#N/A</v>
      </c>
      <c r="T1638" s="19" t="e">
        <f>VLOOKUP(A1638,[4]Volume!$E:$G,3,FALSE)</f>
        <v>#N/A</v>
      </c>
      <c r="U1638" s="19" t="e">
        <f>VLOOKUP(A1638,[4]Piece!$E:$G,3,FALSE)</f>
        <v>#N/A</v>
      </c>
      <c r="V1638" s="21" t="e">
        <f t="shared" si="102"/>
        <v>#N/A</v>
      </c>
      <c r="W1638" s="16" t="e">
        <f t="shared" si="103"/>
        <v>#N/A</v>
      </c>
    </row>
    <row r="1639" spans="1:23" hidden="1" x14ac:dyDescent="0.3">
      <c r="A1639" s="71" t="s">
        <v>3276</v>
      </c>
      <c r="B1639" s="71" t="s">
        <v>3276</v>
      </c>
      <c r="C1639" s="47" t="s">
        <v>33</v>
      </c>
      <c r="D1639" s="48" t="s">
        <v>34</v>
      </c>
      <c r="E1639" s="18" t="s">
        <v>3277</v>
      </c>
      <c r="F1639" s="24" t="str">
        <f t="shared" si="100"/>
        <v>PPG - LEYTS CONTRACTOR   BRUSH 3" PACK OF 6</v>
      </c>
      <c r="G1639" s="20" t="s">
        <v>6510</v>
      </c>
      <c r="H1639" s="49" t="s">
        <v>213</v>
      </c>
      <c r="I1639" s="18" t="s">
        <v>37</v>
      </c>
      <c r="J1639" s="18" t="s">
        <v>38</v>
      </c>
      <c r="K1639" t="s">
        <v>39</v>
      </c>
      <c r="L1639" s="50">
        <f>VLOOKUP(A1639,'[3]Price info'!A:D,4,FALSE)</f>
        <v>13.9</v>
      </c>
      <c r="M1639" s="18" t="s">
        <v>214</v>
      </c>
      <c r="N1639" s="20">
        <v>3105</v>
      </c>
      <c r="P1639" s="16">
        <f>VLOOKUP(A1639,'[3]Price info'!A:H,8,FALSE)</f>
        <v>13.9</v>
      </c>
      <c r="Q1639" s="17">
        <f t="shared" si="101"/>
        <v>1</v>
      </c>
      <c r="S1639" s="16" t="e">
        <f>VLOOKUP(A1639,[4]Sales!$E:$G,3,FALSE)</f>
        <v>#N/A</v>
      </c>
      <c r="T1639" s="19" t="e">
        <f>VLOOKUP(A1639,[4]Volume!$E:$G,3,FALSE)</f>
        <v>#N/A</v>
      </c>
      <c r="U1639" s="19" t="e">
        <f>VLOOKUP(A1639,[4]Piece!$E:$G,3,FALSE)</f>
        <v>#N/A</v>
      </c>
      <c r="V1639" s="21" t="e">
        <f t="shared" si="102"/>
        <v>#N/A</v>
      </c>
      <c r="W1639" s="16" t="e">
        <f t="shared" si="103"/>
        <v>#N/A</v>
      </c>
    </row>
    <row r="1640" spans="1:23" hidden="1" x14ac:dyDescent="0.3">
      <c r="A1640" s="71" t="s">
        <v>3278</v>
      </c>
      <c r="B1640" s="71" t="s">
        <v>3278</v>
      </c>
      <c r="C1640" s="51" t="s">
        <v>33</v>
      </c>
      <c r="D1640" s="48" t="s">
        <v>34</v>
      </c>
      <c r="E1640" s="18" t="s">
        <v>3279</v>
      </c>
      <c r="F1640" s="24" t="str">
        <f t="shared" si="100"/>
        <v>PPG - LEYTS MASONRY BRSH 4" PACK 10</v>
      </c>
      <c r="G1640" s="20" t="s">
        <v>6511</v>
      </c>
      <c r="H1640" s="49" t="s">
        <v>213</v>
      </c>
      <c r="I1640" s="18" t="s">
        <v>37</v>
      </c>
      <c r="J1640" s="18" t="s">
        <v>38</v>
      </c>
      <c r="K1640" t="s">
        <v>39</v>
      </c>
      <c r="L1640" s="50">
        <f>VLOOKUP(A1640,'[3]Price info'!A:D,4,FALSE)</f>
        <v>24.38</v>
      </c>
      <c r="M1640" s="18" t="s">
        <v>214</v>
      </c>
      <c r="N1640" s="20">
        <v>3105</v>
      </c>
      <c r="P1640" s="16">
        <f>VLOOKUP(A1640,'[3]Price info'!A:H,8,FALSE)</f>
        <v>24.38</v>
      </c>
      <c r="Q1640" s="17">
        <f t="shared" si="101"/>
        <v>1</v>
      </c>
      <c r="S1640" s="16" t="e">
        <f>VLOOKUP(A1640,[4]Sales!$E:$G,3,FALSE)</f>
        <v>#N/A</v>
      </c>
      <c r="T1640" s="19" t="e">
        <f>VLOOKUP(A1640,[4]Volume!$E:$G,3,FALSE)</f>
        <v>#N/A</v>
      </c>
      <c r="U1640" s="19" t="e">
        <f>VLOOKUP(A1640,[4]Piece!$E:$G,3,FALSE)</f>
        <v>#N/A</v>
      </c>
      <c r="V1640" s="21" t="e">
        <f t="shared" si="102"/>
        <v>#N/A</v>
      </c>
      <c r="W1640" s="16" t="e">
        <f t="shared" si="103"/>
        <v>#N/A</v>
      </c>
    </row>
    <row r="1641" spans="1:23" hidden="1" x14ac:dyDescent="0.3">
      <c r="A1641" s="71" t="s">
        <v>3280</v>
      </c>
      <c r="B1641" s="71" t="s">
        <v>3280</v>
      </c>
      <c r="C1641" s="47" t="s">
        <v>33</v>
      </c>
      <c r="D1641" s="48" t="s">
        <v>34</v>
      </c>
      <c r="E1641" s="18" t="s">
        <v>3281</v>
      </c>
      <c r="F1641" s="24" t="str">
        <f t="shared" si="100"/>
        <v>PPG - LEYTS MASONRY KIT  9" PACK 10</v>
      </c>
      <c r="G1641" s="20" t="s">
        <v>6512</v>
      </c>
      <c r="H1641" s="49" t="s">
        <v>213</v>
      </c>
      <c r="I1641" s="18" t="s">
        <v>37</v>
      </c>
      <c r="J1641" s="18" t="s">
        <v>38</v>
      </c>
      <c r="K1641" t="s">
        <v>39</v>
      </c>
      <c r="L1641" s="50">
        <f>VLOOKUP(A1641,'[3]Price info'!A:D,4,FALSE)</f>
        <v>105.78</v>
      </c>
      <c r="M1641" s="18" t="s">
        <v>214</v>
      </c>
      <c r="N1641" s="20">
        <v>3105</v>
      </c>
      <c r="P1641" s="16">
        <f>VLOOKUP(A1641,'[3]Price info'!A:H,8,FALSE)</f>
        <v>105.78</v>
      </c>
      <c r="Q1641" s="17">
        <f t="shared" si="101"/>
        <v>1</v>
      </c>
      <c r="S1641" s="16" t="e">
        <f>VLOOKUP(A1641,[4]Sales!$E:$G,3,FALSE)</f>
        <v>#N/A</v>
      </c>
      <c r="T1641" s="19" t="e">
        <f>VLOOKUP(A1641,[4]Volume!$E:$G,3,FALSE)</f>
        <v>#N/A</v>
      </c>
      <c r="U1641" s="19" t="e">
        <f>VLOOKUP(A1641,[4]Piece!$E:$G,3,FALSE)</f>
        <v>#N/A</v>
      </c>
      <c r="V1641" s="21" t="e">
        <f t="shared" si="102"/>
        <v>#N/A</v>
      </c>
      <c r="W1641" s="16" t="e">
        <f t="shared" si="103"/>
        <v>#N/A</v>
      </c>
    </row>
    <row r="1642" spans="1:23" hidden="1" x14ac:dyDescent="0.3">
      <c r="A1642" s="71" t="s">
        <v>3282</v>
      </c>
      <c r="B1642" s="71" t="s">
        <v>3282</v>
      </c>
      <c r="C1642" s="47" t="s">
        <v>33</v>
      </c>
      <c r="D1642" s="48" t="s">
        <v>34</v>
      </c>
      <c r="E1642" s="18" t="s">
        <v>3283</v>
      </c>
      <c r="F1642" s="24" t="str">
        <f t="shared" si="100"/>
        <v>PPG - LEYTS MASONRY REPL 9" ROLLERS PACK 10</v>
      </c>
      <c r="G1642" s="20" t="s">
        <v>6513</v>
      </c>
      <c r="H1642" s="49" t="s">
        <v>213</v>
      </c>
      <c r="I1642" s="18" t="s">
        <v>37</v>
      </c>
      <c r="J1642" s="18" t="s">
        <v>38</v>
      </c>
      <c r="K1642" t="s">
        <v>39</v>
      </c>
      <c r="L1642" s="50">
        <f>VLOOKUP(A1642,'[3]Price info'!A:D,4,FALSE)</f>
        <v>62.04</v>
      </c>
      <c r="M1642" s="18" t="s">
        <v>214</v>
      </c>
      <c r="N1642" s="20">
        <v>3105</v>
      </c>
      <c r="P1642" s="16">
        <f>VLOOKUP(A1642,'[3]Price info'!A:H,8,FALSE)</f>
        <v>62.04</v>
      </c>
      <c r="Q1642" s="17">
        <f t="shared" si="101"/>
        <v>1</v>
      </c>
      <c r="S1642" s="16" t="e">
        <f>VLOOKUP(A1642,[4]Sales!$E:$G,3,FALSE)</f>
        <v>#N/A</v>
      </c>
      <c r="T1642" s="19" t="e">
        <f>VLOOKUP(A1642,[4]Volume!$E:$G,3,FALSE)</f>
        <v>#N/A</v>
      </c>
      <c r="U1642" s="19" t="e">
        <f>VLOOKUP(A1642,[4]Piece!$E:$G,3,FALSE)</f>
        <v>#N/A</v>
      </c>
      <c r="V1642" s="21" t="e">
        <f t="shared" si="102"/>
        <v>#N/A</v>
      </c>
      <c r="W1642" s="16" t="e">
        <f t="shared" si="103"/>
        <v>#N/A</v>
      </c>
    </row>
    <row r="1643" spans="1:23" hidden="1" x14ac:dyDescent="0.3">
      <c r="A1643" s="71" t="s">
        <v>3284</v>
      </c>
      <c r="B1643" s="71" t="s">
        <v>3284</v>
      </c>
      <c r="C1643" s="51" t="s">
        <v>33</v>
      </c>
      <c r="D1643" s="48" t="s">
        <v>34</v>
      </c>
      <c r="E1643" s="18" t="s">
        <v>3285</v>
      </c>
      <c r="F1643" s="24" t="str">
        <f t="shared" si="100"/>
        <v>PPG - LEYTS MED PILE WOV MINI JUMBO ROLL(4)P10</v>
      </c>
      <c r="G1643" s="20" t="s">
        <v>6514</v>
      </c>
      <c r="H1643" s="49" t="s">
        <v>213</v>
      </c>
      <c r="I1643" s="18" t="s">
        <v>37</v>
      </c>
      <c r="J1643" s="18" t="s">
        <v>38</v>
      </c>
      <c r="K1643" t="s">
        <v>39</v>
      </c>
      <c r="L1643" s="50">
        <f>VLOOKUP(A1643,'[3]Price info'!A:D,4,FALSE)</f>
        <v>50.53</v>
      </c>
      <c r="M1643" s="18" t="s">
        <v>214</v>
      </c>
      <c r="N1643" s="20">
        <v>3105</v>
      </c>
      <c r="P1643" s="16">
        <f>VLOOKUP(A1643,'[3]Price info'!A:H,8,FALSE)</f>
        <v>50.53</v>
      </c>
      <c r="Q1643" s="17">
        <f t="shared" si="101"/>
        <v>1</v>
      </c>
      <c r="S1643" s="16" t="e">
        <f>VLOOKUP(A1643,[4]Sales!$E:$G,3,FALSE)</f>
        <v>#N/A</v>
      </c>
      <c r="T1643" s="19" t="e">
        <f>VLOOKUP(A1643,[4]Volume!$E:$G,3,FALSE)</f>
        <v>#N/A</v>
      </c>
      <c r="U1643" s="19" t="e">
        <f>VLOOKUP(A1643,[4]Piece!$E:$G,3,FALSE)</f>
        <v>#N/A</v>
      </c>
      <c r="V1643" s="21" t="e">
        <f t="shared" si="102"/>
        <v>#N/A</v>
      </c>
      <c r="W1643" s="16" t="e">
        <f t="shared" si="103"/>
        <v>#N/A</v>
      </c>
    </row>
    <row r="1644" spans="1:23" hidden="1" x14ac:dyDescent="0.3">
      <c r="A1644" s="71" t="s">
        <v>3286</v>
      </c>
      <c r="B1644" s="71" t="s">
        <v>3286</v>
      </c>
      <c r="C1644" s="47" t="s">
        <v>33</v>
      </c>
      <c r="D1644" s="48" t="s">
        <v>34</v>
      </c>
      <c r="E1644" s="18" t="s">
        <v>3287</v>
      </c>
      <c r="F1644" s="24" t="str">
        <f t="shared" si="100"/>
        <v>PPG - LEYTS MICROFIBRE MINI JUMBO ROLLER(4)P10</v>
      </c>
      <c r="G1644" s="20" t="s">
        <v>6515</v>
      </c>
      <c r="H1644" s="49" t="s">
        <v>213</v>
      </c>
      <c r="I1644" s="18" t="s">
        <v>37</v>
      </c>
      <c r="J1644" s="18" t="s">
        <v>38</v>
      </c>
      <c r="K1644" t="s">
        <v>39</v>
      </c>
      <c r="L1644" s="50">
        <f>VLOOKUP(A1644,'[3]Price info'!A:D,4,FALSE)</f>
        <v>49.19</v>
      </c>
      <c r="M1644" s="18" t="s">
        <v>214</v>
      </c>
      <c r="N1644" s="20">
        <v>3105</v>
      </c>
      <c r="P1644" s="16">
        <f>VLOOKUP(A1644,'[3]Price info'!A:H,8,FALSE)</f>
        <v>49.19</v>
      </c>
      <c r="Q1644" s="17">
        <f t="shared" si="101"/>
        <v>1</v>
      </c>
      <c r="S1644" s="16" t="e">
        <f>VLOOKUP(A1644,[4]Sales!$E:$G,3,FALSE)</f>
        <v>#N/A</v>
      </c>
      <c r="T1644" s="19" t="e">
        <f>VLOOKUP(A1644,[4]Volume!$E:$G,3,FALSE)</f>
        <v>#N/A</v>
      </c>
      <c r="U1644" s="19" t="e">
        <f>VLOOKUP(A1644,[4]Piece!$E:$G,3,FALSE)</f>
        <v>#N/A</v>
      </c>
      <c r="V1644" s="21" t="e">
        <f t="shared" si="102"/>
        <v>#N/A</v>
      </c>
      <c r="W1644" s="16" t="e">
        <f t="shared" si="103"/>
        <v>#N/A</v>
      </c>
    </row>
    <row r="1645" spans="1:23" hidden="1" x14ac:dyDescent="0.3">
      <c r="A1645" s="71" t="s">
        <v>3288</v>
      </c>
      <c r="B1645" s="71" t="s">
        <v>3288</v>
      </c>
      <c r="C1645" s="47" t="s">
        <v>33</v>
      </c>
      <c r="D1645" s="48" t="s">
        <v>34</v>
      </c>
      <c r="E1645" s="18" t="s">
        <v>3289</v>
      </c>
      <c r="F1645" s="24" t="str">
        <f t="shared" si="100"/>
        <v>PPG - LEYTS PRM FL CAULK WHI 380ML</v>
      </c>
      <c r="G1645" s="20" t="s">
        <v>6516</v>
      </c>
      <c r="H1645" s="49" t="s">
        <v>213</v>
      </c>
      <c r="I1645" s="18" t="s">
        <v>37</v>
      </c>
      <c r="J1645" s="18" t="s">
        <v>38</v>
      </c>
      <c r="K1645" t="s">
        <v>39</v>
      </c>
      <c r="L1645" s="50">
        <f>VLOOKUP(A1645,'[3]Price info'!A:D,4,FALSE)</f>
        <v>1.1399999999999999</v>
      </c>
      <c r="M1645" s="18" t="s">
        <v>214</v>
      </c>
      <c r="N1645" s="20">
        <v>3105</v>
      </c>
      <c r="P1645" s="16">
        <f>VLOOKUP(A1645,'[3]Price info'!A:H,8,FALSE)</f>
        <v>1.1399999999999999</v>
      </c>
      <c r="Q1645" s="17">
        <f t="shared" si="101"/>
        <v>1</v>
      </c>
      <c r="S1645" s="16" t="e">
        <f>VLOOKUP(A1645,[4]Sales!$E:$G,3,FALSE)</f>
        <v>#N/A</v>
      </c>
      <c r="T1645" s="19" t="e">
        <f>VLOOKUP(A1645,[4]Volume!$E:$G,3,FALSE)</f>
        <v>#N/A</v>
      </c>
      <c r="U1645" s="19" t="e">
        <f>VLOOKUP(A1645,[4]Piece!$E:$G,3,FALSE)</f>
        <v>#N/A</v>
      </c>
      <c r="V1645" s="21" t="e">
        <f t="shared" si="102"/>
        <v>#N/A</v>
      </c>
      <c r="W1645" s="16" t="e">
        <f t="shared" si="103"/>
        <v>#N/A</v>
      </c>
    </row>
    <row r="1646" spans="1:23" hidden="1" x14ac:dyDescent="0.3">
      <c r="A1646" s="71" t="s">
        <v>3290</v>
      </c>
      <c r="B1646" s="71" t="s">
        <v>3290</v>
      </c>
      <c r="C1646" s="51" t="s">
        <v>33</v>
      </c>
      <c r="D1646" s="48" t="s">
        <v>34</v>
      </c>
      <c r="E1646" s="18" t="s">
        <v>3291</v>
      </c>
      <c r="F1646" s="24" t="str">
        <f t="shared" si="100"/>
        <v>PPG - LEYTS ROLL &amp; GO    MINI (24)  + 3 LINERS</v>
      </c>
      <c r="G1646" s="20" t="s">
        <v>6517</v>
      </c>
      <c r="H1646" s="49" t="s">
        <v>213</v>
      </c>
      <c r="I1646" s="18" t="s">
        <v>37</v>
      </c>
      <c r="J1646" s="18" t="s">
        <v>38</v>
      </c>
      <c r="K1646" t="s">
        <v>39</v>
      </c>
      <c r="L1646" s="50">
        <f>VLOOKUP(A1646,'[3]Price info'!A:D,4,FALSE)</f>
        <v>134.01</v>
      </c>
      <c r="M1646" s="18" t="s">
        <v>214</v>
      </c>
      <c r="N1646" s="20">
        <v>3105</v>
      </c>
      <c r="P1646" s="16">
        <f>VLOOKUP(A1646,'[3]Price info'!A:H,8,FALSE)</f>
        <v>134.01</v>
      </c>
      <c r="Q1646" s="17">
        <f t="shared" si="101"/>
        <v>1</v>
      </c>
      <c r="S1646" s="16" t="e">
        <f>VLOOKUP(A1646,[4]Sales!$E:$G,3,FALSE)</f>
        <v>#N/A</v>
      </c>
      <c r="T1646" s="19" t="e">
        <f>VLOOKUP(A1646,[4]Volume!$E:$G,3,FALSE)</f>
        <v>#N/A</v>
      </c>
      <c r="U1646" s="19" t="e">
        <f>VLOOKUP(A1646,[4]Piece!$E:$G,3,FALSE)</f>
        <v>#N/A</v>
      </c>
      <c r="V1646" s="21" t="e">
        <f t="shared" si="102"/>
        <v>#N/A</v>
      </c>
      <c r="W1646" s="16" t="e">
        <f t="shared" si="103"/>
        <v>#N/A</v>
      </c>
    </row>
    <row r="1647" spans="1:23" hidden="1" x14ac:dyDescent="0.3">
      <c r="A1647" s="71" t="s">
        <v>3292</v>
      </c>
      <c r="B1647" s="71" t="s">
        <v>3292</v>
      </c>
      <c r="C1647" s="47" t="s">
        <v>33</v>
      </c>
      <c r="D1647" s="48" t="s">
        <v>34</v>
      </c>
      <c r="E1647" s="18" t="s">
        <v>3293</v>
      </c>
      <c r="F1647" s="24" t="str">
        <f t="shared" si="100"/>
        <v>PPG - LEYTS ROLL&amp;GO MINI LINERS 3   (48)</v>
      </c>
      <c r="G1647" s="20" t="s">
        <v>6518</v>
      </c>
      <c r="H1647" s="49" t="s">
        <v>213</v>
      </c>
      <c r="I1647" s="18" t="s">
        <v>37</v>
      </c>
      <c r="J1647" s="18" t="s">
        <v>38</v>
      </c>
      <c r="K1647" t="s">
        <v>39</v>
      </c>
      <c r="L1647" s="50">
        <f>VLOOKUP(A1647,'[3]Price info'!A:D,4,FALSE)</f>
        <v>119.86</v>
      </c>
      <c r="M1647" s="18" t="s">
        <v>214</v>
      </c>
      <c r="N1647" s="20">
        <v>3105</v>
      </c>
      <c r="P1647" s="16">
        <f>VLOOKUP(A1647,'[3]Price info'!A:H,8,FALSE)</f>
        <v>119.86</v>
      </c>
      <c r="Q1647" s="17">
        <f t="shared" si="101"/>
        <v>1</v>
      </c>
      <c r="S1647" s="16" t="e">
        <f>VLOOKUP(A1647,[4]Sales!$E:$G,3,FALSE)</f>
        <v>#N/A</v>
      </c>
      <c r="T1647" s="19" t="e">
        <f>VLOOKUP(A1647,[4]Volume!$E:$G,3,FALSE)</f>
        <v>#N/A</v>
      </c>
      <c r="U1647" s="19" t="e">
        <f>VLOOKUP(A1647,[4]Piece!$E:$G,3,FALSE)</f>
        <v>#N/A</v>
      </c>
      <c r="V1647" s="21" t="e">
        <f t="shared" si="102"/>
        <v>#N/A</v>
      </c>
      <c r="W1647" s="16" t="e">
        <f t="shared" si="103"/>
        <v>#N/A</v>
      </c>
    </row>
    <row r="1648" spans="1:23" hidden="1" x14ac:dyDescent="0.3">
      <c r="A1648" s="71" t="s">
        <v>3294</v>
      </c>
      <c r="B1648" s="71" t="s">
        <v>3294</v>
      </c>
      <c r="C1648" s="47" t="s">
        <v>33</v>
      </c>
      <c r="D1648" s="48" t="s">
        <v>34</v>
      </c>
      <c r="E1648" s="18" t="s">
        <v>3295</v>
      </c>
      <c r="F1648" s="24" t="str">
        <f t="shared" si="100"/>
        <v>PPG - LEYTS WHITE SPIRIT 2L (PK8)   0000002160</v>
      </c>
      <c r="G1648" s="20" t="s">
        <v>6519</v>
      </c>
      <c r="H1648" s="49" t="s">
        <v>213</v>
      </c>
      <c r="I1648" s="18" t="s">
        <v>37</v>
      </c>
      <c r="J1648" s="18" t="s">
        <v>38</v>
      </c>
      <c r="K1648" t="s">
        <v>39</v>
      </c>
      <c r="L1648" s="50">
        <f>VLOOKUP(A1648,'[3]Price info'!A:D,4,FALSE)</f>
        <v>29.17</v>
      </c>
      <c r="M1648" s="18" t="s">
        <v>214</v>
      </c>
      <c r="N1648" s="20">
        <v>3105</v>
      </c>
      <c r="P1648" s="16">
        <f>VLOOKUP(A1648,'[3]Price info'!A:H,8,FALSE)</f>
        <v>29.17</v>
      </c>
      <c r="Q1648" s="17">
        <f t="shared" si="101"/>
        <v>1</v>
      </c>
      <c r="S1648" s="16" t="e">
        <f>VLOOKUP(A1648,[4]Sales!$E:$G,3,FALSE)</f>
        <v>#N/A</v>
      </c>
      <c r="T1648" s="19" t="e">
        <f>VLOOKUP(A1648,[4]Volume!$E:$G,3,FALSE)</f>
        <v>#N/A</v>
      </c>
      <c r="U1648" s="19" t="e">
        <f>VLOOKUP(A1648,[4]Piece!$E:$G,3,FALSE)</f>
        <v>#N/A</v>
      </c>
      <c r="V1648" s="21" t="e">
        <f t="shared" si="102"/>
        <v>#N/A</v>
      </c>
      <c r="W1648" s="16" t="e">
        <f t="shared" si="103"/>
        <v>#N/A</v>
      </c>
    </row>
    <row r="1649" spans="1:23" hidden="1" x14ac:dyDescent="0.3">
      <c r="A1649" s="71" t="s">
        <v>3296</v>
      </c>
      <c r="B1649" s="71" t="s">
        <v>3296</v>
      </c>
      <c r="C1649" s="51" t="s">
        <v>33</v>
      </c>
      <c r="D1649" s="48" t="s">
        <v>34</v>
      </c>
      <c r="E1649" s="18" t="s">
        <v>3297</v>
      </c>
      <c r="F1649" s="24" t="str">
        <f t="shared" si="100"/>
        <v>PPG - LL    CONTRCT MATT LIGHT GREY 0000002100</v>
      </c>
      <c r="G1649" s="20" t="s">
        <v>6520</v>
      </c>
      <c r="H1649" s="49" t="s">
        <v>213</v>
      </c>
      <c r="I1649" s="18" t="s">
        <v>37</v>
      </c>
      <c r="J1649" s="18" t="s">
        <v>38</v>
      </c>
      <c r="K1649" t="s">
        <v>39</v>
      </c>
      <c r="L1649" s="50">
        <f>VLOOKUP(A1649,'[3]Price info'!A:D,4,FALSE)</f>
        <v>28.64</v>
      </c>
      <c r="M1649" s="18" t="s">
        <v>214</v>
      </c>
      <c r="N1649" s="20">
        <v>3105</v>
      </c>
      <c r="P1649" s="16">
        <f>VLOOKUP(A1649,'[3]Price info'!A:H,8,FALSE)</f>
        <v>28.64</v>
      </c>
      <c r="Q1649" s="17">
        <f t="shared" si="101"/>
        <v>1</v>
      </c>
      <c r="S1649" s="16" t="e">
        <f>VLOOKUP(A1649,[4]Sales!$E:$G,3,FALSE)</f>
        <v>#N/A</v>
      </c>
      <c r="T1649" s="19" t="e">
        <f>VLOOKUP(A1649,[4]Volume!$E:$G,3,FALSE)</f>
        <v>#N/A</v>
      </c>
      <c r="U1649" s="19" t="e">
        <f>VLOOKUP(A1649,[4]Piece!$E:$G,3,FALSE)</f>
        <v>#N/A</v>
      </c>
      <c r="V1649" s="21" t="e">
        <f t="shared" si="102"/>
        <v>#N/A</v>
      </c>
      <c r="W1649" s="16" t="e">
        <f t="shared" si="103"/>
        <v>#N/A</v>
      </c>
    </row>
    <row r="1650" spans="1:23" hidden="1" x14ac:dyDescent="0.3">
      <c r="A1650" s="71" t="s">
        <v>3298</v>
      </c>
      <c r="B1650" s="71" t="s">
        <v>3298</v>
      </c>
      <c r="C1650" s="47" t="s">
        <v>33</v>
      </c>
      <c r="D1650" s="48" t="s">
        <v>34</v>
      </c>
      <c r="E1650" s="18" t="s">
        <v>3299</v>
      </c>
      <c r="F1650" s="24" t="str">
        <f t="shared" si="100"/>
        <v>PPG - LL    H/WEAR MATT  ULTRA DEEP 0000001231</v>
      </c>
      <c r="G1650" s="20" t="s">
        <v>6521</v>
      </c>
      <c r="H1650" s="49" t="s">
        <v>213</v>
      </c>
      <c r="I1650" s="18" t="s">
        <v>37</v>
      </c>
      <c r="J1650" s="18" t="s">
        <v>38</v>
      </c>
      <c r="K1650" t="s">
        <v>39</v>
      </c>
      <c r="L1650" s="50">
        <f>VLOOKUP(A1650,'[3]Price info'!A:D,4,FALSE)</f>
        <v>26.2</v>
      </c>
      <c r="M1650" s="18" t="s">
        <v>214</v>
      </c>
      <c r="N1650" s="20">
        <v>3105</v>
      </c>
      <c r="P1650" s="16">
        <f>VLOOKUP(A1650,'[3]Price info'!A:H,8,FALSE)</f>
        <v>26.2</v>
      </c>
      <c r="Q1650" s="17">
        <f t="shared" si="101"/>
        <v>1</v>
      </c>
      <c r="S1650" s="16" t="e">
        <f>VLOOKUP(A1650,[4]Sales!$E:$G,3,FALSE)</f>
        <v>#N/A</v>
      </c>
      <c r="T1650" s="19" t="e">
        <f>VLOOKUP(A1650,[4]Volume!$E:$G,3,FALSE)</f>
        <v>#N/A</v>
      </c>
      <c r="U1650" s="19" t="e">
        <f>VLOOKUP(A1650,[4]Piece!$E:$G,3,FALSE)</f>
        <v>#N/A</v>
      </c>
      <c r="V1650" s="21" t="e">
        <f t="shared" si="102"/>
        <v>#N/A</v>
      </c>
      <c r="W1650" s="16" t="e">
        <f t="shared" si="103"/>
        <v>#N/A</v>
      </c>
    </row>
    <row r="1651" spans="1:23" hidden="1" x14ac:dyDescent="0.3">
      <c r="A1651" s="71" t="s">
        <v>3300</v>
      </c>
      <c r="B1651" s="71" t="s">
        <v>3300</v>
      </c>
      <c r="C1651" s="47" t="s">
        <v>33</v>
      </c>
      <c r="D1651" s="48" t="s">
        <v>34</v>
      </c>
      <c r="E1651" s="18" t="s">
        <v>3301</v>
      </c>
      <c r="F1651" s="24" t="str">
        <f t="shared" si="100"/>
        <v>PPG - LL    H/WEAR MATT  ULTRA DEEP 0000001462</v>
      </c>
      <c r="G1651" s="20" t="s">
        <v>6522</v>
      </c>
      <c r="H1651" s="49" t="s">
        <v>213</v>
      </c>
      <c r="I1651" s="18" t="s">
        <v>37</v>
      </c>
      <c r="J1651" s="18" t="s">
        <v>38</v>
      </c>
      <c r="K1651" t="s">
        <v>39</v>
      </c>
      <c r="L1651" s="50">
        <f>VLOOKUP(A1651,'[3]Price info'!A:D,4,FALSE)</f>
        <v>49.5</v>
      </c>
      <c r="M1651" s="18" t="s">
        <v>214</v>
      </c>
      <c r="N1651" s="20">
        <v>3105</v>
      </c>
      <c r="P1651" s="16">
        <f>VLOOKUP(A1651,'[3]Price info'!A:H,8,FALSE)</f>
        <v>49.5</v>
      </c>
      <c r="Q1651" s="17">
        <f t="shared" si="101"/>
        <v>1</v>
      </c>
      <c r="S1651" s="16" t="e">
        <f>VLOOKUP(A1651,[4]Sales!$E:$G,3,FALSE)</f>
        <v>#N/A</v>
      </c>
      <c r="T1651" s="19" t="e">
        <f>VLOOKUP(A1651,[4]Volume!$E:$G,3,FALSE)</f>
        <v>#N/A</v>
      </c>
      <c r="U1651" s="19" t="e">
        <f>VLOOKUP(A1651,[4]Piece!$E:$G,3,FALSE)</f>
        <v>#N/A</v>
      </c>
      <c r="V1651" s="21" t="e">
        <f t="shared" si="102"/>
        <v>#N/A</v>
      </c>
      <c r="W1651" s="16" t="e">
        <f t="shared" si="103"/>
        <v>#N/A</v>
      </c>
    </row>
    <row r="1652" spans="1:23" hidden="1" x14ac:dyDescent="0.3">
      <c r="A1652" s="71" t="s">
        <v>3302</v>
      </c>
      <c r="B1652" s="71" t="s">
        <v>3302</v>
      </c>
      <c r="C1652" s="51" t="s">
        <v>33</v>
      </c>
      <c r="D1652" s="48" t="s">
        <v>34</v>
      </c>
      <c r="E1652" s="18" t="s">
        <v>3303</v>
      </c>
      <c r="F1652" s="24" t="str">
        <f t="shared" si="100"/>
        <v>PPG - LL    VINYL MATT   ULTRA DEEP 0000001925</v>
      </c>
      <c r="G1652" s="20" t="s">
        <v>6523</v>
      </c>
      <c r="H1652" s="49" t="s">
        <v>213</v>
      </c>
      <c r="I1652" s="18" t="s">
        <v>37</v>
      </c>
      <c r="J1652" s="18" t="s">
        <v>38</v>
      </c>
      <c r="K1652" t="s">
        <v>39</v>
      </c>
      <c r="L1652" s="50">
        <f>VLOOKUP(A1652,'[3]Price info'!A:D,4,FALSE)</f>
        <v>55.49</v>
      </c>
      <c r="M1652" s="18" t="s">
        <v>214</v>
      </c>
      <c r="N1652" s="20">
        <v>3105</v>
      </c>
      <c r="P1652" s="16">
        <f>VLOOKUP(A1652,'[3]Price info'!A:H,8,FALSE)</f>
        <v>55.49</v>
      </c>
      <c r="Q1652" s="17">
        <f t="shared" si="101"/>
        <v>1</v>
      </c>
      <c r="S1652" s="16" t="e">
        <f>VLOOKUP(A1652,[4]Sales!$E:$G,3,FALSE)</f>
        <v>#N/A</v>
      </c>
      <c r="T1652" s="19" t="e">
        <f>VLOOKUP(A1652,[4]Volume!$E:$G,3,FALSE)</f>
        <v>#N/A</v>
      </c>
      <c r="U1652" s="19" t="e">
        <f>VLOOKUP(A1652,[4]Piece!$E:$G,3,FALSE)</f>
        <v>#N/A</v>
      </c>
      <c r="V1652" s="21" t="e">
        <f t="shared" si="102"/>
        <v>#N/A</v>
      </c>
      <c r="W1652" s="16" t="e">
        <f t="shared" si="103"/>
        <v>#N/A</v>
      </c>
    </row>
    <row r="1653" spans="1:23" hidden="1" x14ac:dyDescent="0.3">
      <c r="A1653" s="71" t="s">
        <v>3304</v>
      </c>
      <c r="B1653" s="71" t="s">
        <v>3304</v>
      </c>
      <c r="C1653" s="47" t="s">
        <v>33</v>
      </c>
      <c r="D1653" s="48" t="s">
        <v>34</v>
      </c>
      <c r="E1653" s="18" t="s">
        <v>3305</v>
      </c>
      <c r="F1653" s="24" t="str">
        <f t="shared" si="100"/>
        <v>PPG - MGRR  DEC CAULK    300ML      0000000300</v>
      </c>
      <c r="G1653" s="20" t="s">
        <v>6524</v>
      </c>
      <c r="H1653" s="49" t="s">
        <v>213</v>
      </c>
      <c r="I1653" s="18" t="s">
        <v>37</v>
      </c>
      <c r="J1653" s="18" t="s">
        <v>38</v>
      </c>
      <c r="K1653" t="s">
        <v>39</v>
      </c>
      <c r="L1653" s="50">
        <f>VLOOKUP(A1653,'[3]Price info'!A:D,4,FALSE)</f>
        <v>2.4900000000000002</v>
      </c>
      <c r="M1653" s="18" t="s">
        <v>214</v>
      </c>
      <c r="N1653" s="20">
        <v>3105</v>
      </c>
      <c r="P1653" s="16">
        <f>VLOOKUP(A1653,'[3]Price info'!A:H,8,FALSE)</f>
        <v>2.4900000000000002</v>
      </c>
      <c r="Q1653" s="17">
        <f t="shared" si="101"/>
        <v>1</v>
      </c>
      <c r="S1653" s="16" t="e">
        <f>VLOOKUP(A1653,[4]Sales!$E:$G,3,FALSE)</f>
        <v>#N/A</v>
      </c>
      <c r="T1653" s="19" t="e">
        <f>VLOOKUP(A1653,[4]Volume!$E:$G,3,FALSE)</f>
        <v>#N/A</v>
      </c>
      <c r="U1653" s="19" t="e">
        <f>VLOOKUP(A1653,[4]Piece!$E:$G,3,FALSE)</f>
        <v>#N/A</v>
      </c>
      <c r="V1653" s="21" t="e">
        <f t="shared" si="102"/>
        <v>#N/A</v>
      </c>
      <c r="W1653" s="16" t="e">
        <f t="shared" si="103"/>
        <v>#N/A</v>
      </c>
    </row>
    <row r="1654" spans="1:23" hidden="1" x14ac:dyDescent="0.3">
      <c r="A1654" s="71" t="s">
        <v>3306</v>
      </c>
      <c r="B1654" s="71" t="s">
        <v>3306</v>
      </c>
      <c r="C1654" s="47" t="s">
        <v>33</v>
      </c>
      <c r="D1654" s="48" t="s">
        <v>34</v>
      </c>
      <c r="E1654" s="18" t="s">
        <v>3307</v>
      </c>
      <c r="F1654" s="24" t="str">
        <f t="shared" si="100"/>
        <v>PPG - MGRR  DEC CAULK    380ML      0000000380</v>
      </c>
      <c r="G1654" s="20" t="s">
        <v>6525</v>
      </c>
      <c r="H1654" s="49" t="s">
        <v>213</v>
      </c>
      <c r="I1654" s="18" t="s">
        <v>37</v>
      </c>
      <c r="J1654" s="18" t="s">
        <v>38</v>
      </c>
      <c r="K1654" t="s">
        <v>39</v>
      </c>
      <c r="L1654" s="50">
        <f>VLOOKUP(A1654,'[3]Price info'!A:D,4,FALSE)</f>
        <v>0.95</v>
      </c>
      <c r="M1654" s="18" t="s">
        <v>214</v>
      </c>
      <c r="N1654" s="20">
        <v>3105</v>
      </c>
      <c r="P1654" s="16">
        <f>VLOOKUP(A1654,'[3]Price info'!A:H,8,FALSE)</f>
        <v>0.95</v>
      </c>
      <c r="Q1654" s="17">
        <f t="shared" si="101"/>
        <v>1</v>
      </c>
      <c r="S1654" s="16">
        <f>VLOOKUP(A1654,[4]Sales!$E:$G,3,FALSE)</f>
        <v>11.4</v>
      </c>
      <c r="T1654" s="19">
        <f>VLOOKUP(A1654,[4]Volume!$E:$G,3,FALSE)</f>
        <v>4.5599999999999996</v>
      </c>
      <c r="U1654" s="19">
        <f>VLOOKUP(A1654,[4]Piece!$E:$G,3,FALSE)</f>
        <v>12</v>
      </c>
      <c r="V1654" s="21">
        <f t="shared" si="102"/>
        <v>11.399999999999999</v>
      </c>
      <c r="W1654" s="16">
        <f t="shared" si="103"/>
        <v>0</v>
      </c>
    </row>
    <row r="1655" spans="1:23" hidden="1" x14ac:dyDescent="0.3">
      <c r="A1655" s="71" t="s">
        <v>3308</v>
      </c>
      <c r="B1655" s="71" t="s">
        <v>3308</v>
      </c>
      <c r="C1655" s="51" t="s">
        <v>33</v>
      </c>
      <c r="D1655" s="48" t="s">
        <v>34</v>
      </c>
      <c r="E1655" s="18" t="s">
        <v>3309</v>
      </c>
      <c r="F1655" s="24" t="str">
        <f t="shared" si="100"/>
        <v>PPG - MGRR  R/MIX FILLER 330GM      0000000330</v>
      </c>
      <c r="G1655" s="20" t="s">
        <v>6526</v>
      </c>
      <c r="H1655" s="49" t="s">
        <v>213</v>
      </c>
      <c r="I1655" s="18" t="s">
        <v>37</v>
      </c>
      <c r="J1655" s="18" t="s">
        <v>38</v>
      </c>
      <c r="K1655" t="s">
        <v>39</v>
      </c>
      <c r="L1655" s="50">
        <f>VLOOKUP(A1655,'[3]Price info'!A:D,4,FALSE)</f>
        <v>3.25</v>
      </c>
      <c r="M1655" s="18" t="s">
        <v>214</v>
      </c>
      <c r="N1655" s="20">
        <v>3105</v>
      </c>
      <c r="P1655" s="16">
        <f>VLOOKUP(A1655,'[3]Price info'!A:H,8,FALSE)</f>
        <v>3.25</v>
      </c>
      <c r="Q1655" s="17">
        <f t="shared" si="101"/>
        <v>1</v>
      </c>
      <c r="S1655" s="16" t="e">
        <f>VLOOKUP(A1655,[4]Sales!$E:$G,3,FALSE)</f>
        <v>#N/A</v>
      </c>
      <c r="T1655" s="19" t="e">
        <f>VLOOKUP(A1655,[4]Volume!$E:$G,3,FALSE)</f>
        <v>#N/A</v>
      </c>
      <c r="U1655" s="19" t="e">
        <f>VLOOKUP(A1655,[4]Piece!$E:$G,3,FALSE)</f>
        <v>#N/A</v>
      </c>
      <c r="V1655" s="21" t="e">
        <f t="shared" si="102"/>
        <v>#N/A</v>
      </c>
      <c r="W1655" s="16" t="e">
        <f t="shared" si="103"/>
        <v>#N/A</v>
      </c>
    </row>
    <row r="1656" spans="1:23" hidden="1" x14ac:dyDescent="0.3">
      <c r="A1656" s="71" t="s">
        <v>3310</v>
      </c>
      <c r="B1656" s="71" t="s">
        <v>3310</v>
      </c>
      <c r="C1656" s="47" t="s">
        <v>33</v>
      </c>
      <c r="D1656" s="48" t="s">
        <v>34</v>
      </c>
      <c r="E1656" s="18" t="s">
        <v>3311</v>
      </c>
      <c r="F1656" s="24" t="str">
        <f t="shared" si="100"/>
        <v>PPG - MIRKA 1025LTR      EXTRACTOR  240V</v>
      </c>
      <c r="G1656" s="20" t="s">
        <v>6527</v>
      </c>
      <c r="H1656" s="49" t="s">
        <v>213</v>
      </c>
      <c r="I1656" s="18" t="s">
        <v>37</v>
      </c>
      <c r="J1656" s="18" t="s">
        <v>38</v>
      </c>
      <c r="K1656" t="s">
        <v>39</v>
      </c>
      <c r="L1656" s="50">
        <f>VLOOKUP(A1656,'[3]Price info'!A:D,4,FALSE)</f>
        <v>512.29</v>
      </c>
      <c r="M1656" s="18" t="s">
        <v>214</v>
      </c>
      <c r="N1656" s="20">
        <v>3105</v>
      </c>
      <c r="P1656" s="16">
        <f>VLOOKUP(A1656,'[3]Price info'!A:H,8,FALSE)</f>
        <v>512.29</v>
      </c>
      <c r="Q1656" s="17">
        <f t="shared" si="101"/>
        <v>1</v>
      </c>
      <c r="S1656" s="16" t="e">
        <f>VLOOKUP(A1656,[4]Sales!$E:$G,3,FALSE)</f>
        <v>#N/A</v>
      </c>
      <c r="T1656" s="19" t="e">
        <f>VLOOKUP(A1656,[4]Volume!$E:$G,3,FALSE)</f>
        <v>#N/A</v>
      </c>
      <c r="U1656" s="19" t="e">
        <f>VLOOKUP(A1656,[4]Piece!$E:$G,3,FALSE)</f>
        <v>#N/A</v>
      </c>
      <c r="V1656" s="21" t="e">
        <f t="shared" si="102"/>
        <v>#N/A</v>
      </c>
      <c r="W1656" s="16" t="e">
        <f t="shared" si="103"/>
        <v>#N/A</v>
      </c>
    </row>
    <row r="1657" spans="1:23" hidden="1" x14ac:dyDescent="0.3">
      <c r="A1657" s="71" t="s">
        <v>3312</v>
      </c>
      <c r="B1657" s="71" t="s">
        <v>3312</v>
      </c>
      <c r="C1657" s="47" t="s">
        <v>33</v>
      </c>
      <c r="D1657" s="48" t="s">
        <v>34</v>
      </c>
      <c r="E1657" s="18" t="s">
        <v>3313</v>
      </c>
      <c r="F1657" s="24" t="str">
        <f t="shared" si="100"/>
        <v>PPG - MIRKA 10MTR  HOSE             EXTENSION</v>
      </c>
      <c r="G1657" s="20" t="s">
        <v>6528</v>
      </c>
      <c r="H1657" s="49" t="s">
        <v>213</v>
      </c>
      <c r="I1657" s="18" t="s">
        <v>37</v>
      </c>
      <c r="J1657" s="18" t="s">
        <v>38</v>
      </c>
      <c r="K1657" t="s">
        <v>39</v>
      </c>
      <c r="L1657" s="50">
        <f>VLOOKUP(A1657,'[3]Price info'!A:D,4,FALSE)</f>
        <v>164.85</v>
      </c>
      <c r="M1657" s="18" t="s">
        <v>214</v>
      </c>
      <c r="N1657" s="20">
        <v>3105</v>
      </c>
      <c r="P1657" s="16">
        <f>VLOOKUP(A1657,'[3]Price info'!A:H,8,FALSE)</f>
        <v>164.85</v>
      </c>
      <c r="Q1657" s="17">
        <f t="shared" si="101"/>
        <v>1</v>
      </c>
      <c r="S1657" s="16" t="e">
        <f>VLOOKUP(A1657,[4]Sales!$E:$G,3,FALSE)</f>
        <v>#N/A</v>
      </c>
      <c r="T1657" s="19" t="e">
        <f>VLOOKUP(A1657,[4]Volume!$E:$G,3,FALSE)</f>
        <v>#N/A</v>
      </c>
      <c r="U1657" s="19" t="e">
        <f>VLOOKUP(A1657,[4]Piece!$E:$G,3,FALSE)</f>
        <v>#N/A</v>
      </c>
      <c r="V1657" s="21" t="e">
        <f t="shared" si="102"/>
        <v>#N/A</v>
      </c>
      <c r="W1657" s="16" t="e">
        <f t="shared" si="103"/>
        <v>#N/A</v>
      </c>
    </row>
    <row r="1658" spans="1:23" hidden="1" x14ac:dyDescent="0.3">
      <c r="A1658" s="71" t="s">
        <v>3314</v>
      </c>
      <c r="B1658" s="71" t="s">
        <v>3314</v>
      </c>
      <c r="C1658" s="51" t="s">
        <v>33</v>
      </c>
      <c r="D1658" s="48" t="s">
        <v>34</v>
      </c>
      <c r="E1658" s="18" t="s">
        <v>3315</v>
      </c>
      <c r="F1658" s="24" t="str">
        <f t="shared" si="100"/>
        <v>PPG - MIRKA 1230M DUST   EXTRC 110V KIT1705ALM</v>
      </c>
      <c r="G1658" s="20" t="s">
        <v>6529</v>
      </c>
      <c r="H1658" s="49" t="s">
        <v>213</v>
      </c>
      <c r="I1658" s="18" t="s">
        <v>37</v>
      </c>
      <c r="J1658" s="18" t="s">
        <v>38</v>
      </c>
      <c r="K1658" t="s">
        <v>39</v>
      </c>
      <c r="L1658" s="50">
        <f>VLOOKUP(A1658,'[3]Price info'!A:D,4,FALSE)</f>
        <v>1237.05</v>
      </c>
      <c r="M1658" s="18" t="s">
        <v>214</v>
      </c>
      <c r="N1658" s="20">
        <v>3105</v>
      </c>
      <c r="P1658" s="16">
        <f>VLOOKUP(A1658,'[3]Price info'!A:H,8,FALSE)</f>
        <v>1237.05</v>
      </c>
      <c r="Q1658" s="17">
        <f t="shared" si="101"/>
        <v>1</v>
      </c>
      <c r="S1658" s="16" t="e">
        <f>VLOOKUP(A1658,[4]Sales!$E:$G,3,FALSE)</f>
        <v>#N/A</v>
      </c>
      <c r="T1658" s="19" t="e">
        <f>VLOOKUP(A1658,[4]Volume!$E:$G,3,FALSE)</f>
        <v>#N/A</v>
      </c>
      <c r="U1658" s="19" t="e">
        <f>VLOOKUP(A1658,[4]Piece!$E:$G,3,FALSE)</f>
        <v>#N/A</v>
      </c>
      <c r="V1658" s="21" t="e">
        <f t="shared" si="102"/>
        <v>#N/A</v>
      </c>
      <c r="W1658" s="16" t="e">
        <f t="shared" si="103"/>
        <v>#N/A</v>
      </c>
    </row>
    <row r="1659" spans="1:23" hidden="1" x14ac:dyDescent="0.3">
      <c r="A1659" s="71" t="s">
        <v>3316</v>
      </c>
      <c r="B1659" s="71" t="s">
        <v>3316</v>
      </c>
      <c r="C1659" s="47" t="s">
        <v>33</v>
      </c>
      <c r="D1659" s="48" t="s">
        <v>34</v>
      </c>
      <c r="E1659" s="93" t="s">
        <v>7401</v>
      </c>
      <c r="F1659" s="24" t="str">
        <f t="shared" si="100"/>
        <v>PPG - Mirka 125mm Backing Pad for DEROS/CEROS</v>
      </c>
      <c r="G1659" s="20" t="s">
        <v>6530</v>
      </c>
      <c r="H1659" s="49" t="s">
        <v>213</v>
      </c>
      <c r="I1659" s="18" t="s">
        <v>37</v>
      </c>
      <c r="J1659" s="18" t="s">
        <v>38</v>
      </c>
      <c r="K1659" t="s">
        <v>39</v>
      </c>
      <c r="L1659" s="50">
        <f>VLOOKUP(A1659,'[3]Price info'!A:D,4,FALSE)</f>
        <v>57.47</v>
      </c>
      <c r="M1659" s="18" t="s">
        <v>214</v>
      </c>
      <c r="N1659" s="20">
        <v>3105</v>
      </c>
      <c r="P1659" s="16">
        <v>33.630000000000003</v>
      </c>
      <c r="Q1659" s="17">
        <f t="shared" si="101"/>
        <v>0.58517487384722466</v>
      </c>
      <c r="S1659" s="16">
        <f>VLOOKUP(A1659,[4]Sales!$E:$G,3,FALSE)</f>
        <v>34.6</v>
      </c>
      <c r="T1659" s="19">
        <f>VLOOKUP(A1659,[4]Volume!$E:$G,3,FALSE)</f>
        <v>1</v>
      </c>
      <c r="U1659" s="19">
        <f>VLOOKUP(A1659,[4]Piece!$E:$G,3,FALSE)</f>
        <v>1</v>
      </c>
      <c r="V1659" s="21">
        <f t="shared" si="102"/>
        <v>33.630000000000003</v>
      </c>
      <c r="W1659" s="16">
        <f t="shared" si="103"/>
        <v>-0.96999999999999886</v>
      </c>
    </row>
    <row r="1660" spans="1:23" hidden="1" x14ac:dyDescent="0.3">
      <c r="A1660" s="71" t="s">
        <v>3317</v>
      </c>
      <c r="B1660" s="71" t="s">
        <v>3317</v>
      </c>
      <c r="C1660" s="47" t="s">
        <v>33</v>
      </c>
      <c r="D1660" s="48" t="s">
        <v>34</v>
      </c>
      <c r="E1660" s="93" t="s">
        <v>7402</v>
      </c>
      <c r="F1660" s="24" t="str">
        <f t="shared" si="100"/>
        <v>PPG - Mirka Abranet 150mm PK50 P240</v>
      </c>
      <c r="G1660" s="20" t="s">
        <v>6531</v>
      </c>
      <c r="H1660" s="49" t="s">
        <v>213</v>
      </c>
      <c r="I1660" s="18" t="s">
        <v>37</v>
      </c>
      <c r="J1660" s="18" t="s">
        <v>38</v>
      </c>
      <c r="K1660" t="s">
        <v>39</v>
      </c>
      <c r="L1660" s="50">
        <f>VLOOKUP(A1660,'[3]Price info'!A:D,4,FALSE)</f>
        <v>58.47</v>
      </c>
      <c r="M1660" s="18" t="s">
        <v>214</v>
      </c>
      <c r="N1660" s="20">
        <v>3105</v>
      </c>
      <c r="P1660" s="16">
        <v>34.950000000000003</v>
      </c>
      <c r="Q1660" s="17">
        <f t="shared" si="101"/>
        <v>0.59774243201641875</v>
      </c>
      <c r="S1660" s="16" t="e">
        <f>VLOOKUP(A1660,[4]Sales!$E:$G,3,FALSE)</f>
        <v>#N/A</v>
      </c>
      <c r="T1660" s="19" t="e">
        <f>VLOOKUP(A1660,[4]Volume!$E:$G,3,FALSE)</f>
        <v>#N/A</v>
      </c>
      <c r="U1660" s="19" t="e">
        <f>VLOOKUP(A1660,[4]Piece!$E:$G,3,FALSE)</f>
        <v>#N/A</v>
      </c>
      <c r="V1660" s="21" t="e">
        <f t="shared" si="102"/>
        <v>#N/A</v>
      </c>
      <c r="W1660" s="16" t="e">
        <f t="shared" si="103"/>
        <v>#N/A</v>
      </c>
    </row>
    <row r="1661" spans="1:23" hidden="1" x14ac:dyDescent="0.3">
      <c r="A1661" s="71" t="s">
        <v>3318</v>
      </c>
      <c r="B1661" s="71" t="s">
        <v>3318</v>
      </c>
      <c r="C1661" s="51" t="s">
        <v>33</v>
      </c>
      <c r="D1661" s="48" t="s">
        <v>34</v>
      </c>
      <c r="E1661" s="93" t="s">
        <v>7403</v>
      </c>
      <c r="F1661" s="24" t="str">
        <f t="shared" si="100"/>
        <v>PPG - Mirka Abranet 150mm PK50 P320</v>
      </c>
      <c r="G1661" s="20" t="s">
        <v>6532</v>
      </c>
      <c r="H1661" s="49" t="s">
        <v>213</v>
      </c>
      <c r="I1661" s="18" t="s">
        <v>37</v>
      </c>
      <c r="J1661" s="18" t="s">
        <v>38</v>
      </c>
      <c r="K1661" t="s">
        <v>39</v>
      </c>
      <c r="L1661" s="50">
        <f>VLOOKUP(A1661,'[3]Price info'!A:D,4,FALSE)</f>
        <v>61.91</v>
      </c>
      <c r="M1661" s="18" t="s">
        <v>214</v>
      </c>
      <c r="N1661" s="20">
        <v>3105</v>
      </c>
      <c r="P1661" s="16">
        <v>34.950000000000003</v>
      </c>
      <c r="Q1661" s="17">
        <f t="shared" si="101"/>
        <v>0.56452915522532721</v>
      </c>
      <c r="S1661" s="16" t="e">
        <f>VLOOKUP(A1661,[4]Sales!$E:$G,3,FALSE)</f>
        <v>#N/A</v>
      </c>
      <c r="T1661" s="19" t="e">
        <f>VLOOKUP(A1661,[4]Volume!$E:$G,3,FALSE)</f>
        <v>#N/A</v>
      </c>
      <c r="U1661" s="19" t="e">
        <f>VLOOKUP(A1661,[4]Piece!$E:$G,3,FALSE)</f>
        <v>#N/A</v>
      </c>
      <c r="V1661" s="21" t="e">
        <f t="shared" si="102"/>
        <v>#N/A</v>
      </c>
      <c r="W1661" s="16" t="e">
        <f t="shared" si="103"/>
        <v>#N/A</v>
      </c>
    </row>
    <row r="1662" spans="1:23" hidden="1" x14ac:dyDescent="0.3">
      <c r="A1662" s="71" t="s">
        <v>3319</v>
      </c>
      <c r="B1662" s="71" t="s">
        <v>3319</v>
      </c>
      <c r="C1662" s="47" t="s">
        <v>33</v>
      </c>
      <c r="D1662" s="48" t="s">
        <v>34</v>
      </c>
      <c r="E1662" s="93" t="s">
        <v>7404</v>
      </c>
      <c r="F1662" s="24" t="str">
        <f t="shared" si="100"/>
        <v>PPG - Mirka Abranet 225mm PK25 P180</v>
      </c>
      <c r="G1662" s="20" t="s">
        <v>6533</v>
      </c>
      <c r="H1662" s="49" t="s">
        <v>213</v>
      </c>
      <c r="I1662" s="18" t="s">
        <v>37</v>
      </c>
      <c r="J1662" s="18" t="s">
        <v>38</v>
      </c>
      <c r="K1662" t="s">
        <v>39</v>
      </c>
      <c r="L1662" s="50">
        <f>VLOOKUP(A1662,'[3]Price info'!A:D,4,FALSE)</f>
        <v>60.2</v>
      </c>
      <c r="M1662" s="18" t="s">
        <v>214</v>
      </c>
      <c r="N1662" s="20">
        <v>3105</v>
      </c>
      <c r="P1662" s="16">
        <v>36.049999999999997</v>
      </c>
      <c r="Q1662" s="17">
        <f t="shared" si="101"/>
        <v>0.59883720930232553</v>
      </c>
      <c r="S1662" s="16" t="e">
        <f>VLOOKUP(A1662,[4]Sales!$E:$G,3,FALSE)</f>
        <v>#N/A</v>
      </c>
      <c r="T1662" s="19" t="e">
        <f>VLOOKUP(A1662,[4]Volume!$E:$G,3,FALSE)</f>
        <v>#N/A</v>
      </c>
      <c r="U1662" s="19" t="e">
        <f>VLOOKUP(A1662,[4]Piece!$E:$G,3,FALSE)</f>
        <v>#N/A</v>
      </c>
      <c r="V1662" s="21" t="e">
        <f t="shared" si="102"/>
        <v>#N/A</v>
      </c>
      <c r="W1662" s="16" t="e">
        <f t="shared" si="103"/>
        <v>#N/A</v>
      </c>
    </row>
    <row r="1663" spans="1:23" hidden="1" x14ac:dyDescent="0.3">
      <c r="A1663" s="71" t="s">
        <v>3320</v>
      </c>
      <c r="B1663" s="71" t="s">
        <v>3320</v>
      </c>
      <c r="C1663" s="47" t="s">
        <v>33</v>
      </c>
      <c r="D1663" s="48" t="s">
        <v>34</v>
      </c>
      <c r="E1663" s="93" t="s">
        <v>7405</v>
      </c>
      <c r="F1663" s="24" t="str">
        <f t="shared" si="100"/>
        <v>PPG - Mirka DEROS 350CV 77mm 230v Deco Sol Kit</v>
      </c>
      <c r="G1663" s="20" t="s">
        <v>6534</v>
      </c>
      <c r="H1663" s="49" t="s">
        <v>213</v>
      </c>
      <c r="I1663" s="18" t="s">
        <v>37</v>
      </c>
      <c r="J1663" s="18" t="s">
        <v>38</v>
      </c>
      <c r="K1663" t="s">
        <v>39</v>
      </c>
      <c r="L1663" s="50">
        <f>VLOOKUP(A1663,'[3]Price info'!A:D,4,FALSE)</f>
        <v>620.85</v>
      </c>
      <c r="M1663" s="18" t="s">
        <v>214</v>
      </c>
      <c r="N1663" s="20">
        <v>3105</v>
      </c>
      <c r="P1663" s="16">
        <v>526.64</v>
      </c>
      <c r="Q1663" s="17">
        <f t="shared" si="101"/>
        <v>0.84825642264637191</v>
      </c>
      <c r="S1663" s="16" t="e">
        <f>VLOOKUP(A1663,[4]Sales!$E:$G,3,FALSE)</f>
        <v>#N/A</v>
      </c>
      <c r="T1663" s="19" t="e">
        <f>VLOOKUP(A1663,[4]Volume!$E:$G,3,FALSE)</f>
        <v>#N/A</v>
      </c>
      <c r="U1663" s="19" t="e">
        <f>VLOOKUP(A1663,[4]Piece!$E:$G,3,FALSE)</f>
        <v>#N/A</v>
      </c>
      <c r="V1663" s="21" t="e">
        <f t="shared" si="102"/>
        <v>#N/A</v>
      </c>
      <c r="W1663" s="16" t="e">
        <f t="shared" si="103"/>
        <v>#N/A</v>
      </c>
    </row>
    <row r="1664" spans="1:23" hidden="1" x14ac:dyDescent="0.3">
      <c r="A1664" s="71" t="s">
        <v>3321</v>
      </c>
      <c r="B1664" s="71" t="s">
        <v>3321</v>
      </c>
      <c r="C1664" s="51" t="s">
        <v>33</v>
      </c>
      <c r="D1664" s="48" t="s">
        <v>34</v>
      </c>
      <c r="E1664" s="93" t="s">
        <v>7406</v>
      </c>
      <c r="F1664" s="24" t="str">
        <f t="shared" si="100"/>
        <v>PPG - Mirka Abranet ACE HD 81x133mm PK25 P80</v>
      </c>
      <c r="G1664" s="20" t="s">
        <v>6535</v>
      </c>
      <c r="H1664" s="49" t="s">
        <v>213</v>
      </c>
      <c r="I1664" s="18" t="s">
        <v>37</v>
      </c>
      <c r="J1664" s="18" t="s">
        <v>38</v>
      </c>
      <c r="K1664" t="s">
        <v>39</v>
      </c>
      <c r="L1664" s="50">
        <f>VLOOKUP(A1664,'[3]Price info'!A:D,4,FALSE)</f>
        <v>31.63</v>
      </c>
      <c r="M1664" s="18" t="s">
        <v>214</v>
      </c>
      <c r="N1664" s="20">
        <v>3105</v>
      </c>
      <c r="P1664" s="16">
        <v>17.440000000000001</v>
      </c>
      <c r="Q1664" s="17">
        <f t="shared" si="101"/>
        <v>0.55137527663610497</v>
      </c>
      <c r="S1664" s="16" t="e">
        <f>VLOOKUP(A1664,[4]Sales!$E:$G,3,FALSE)</f>
        <v>#N/A</v>
      </c>
      <c r="T1664" s="19" t="e">
        <f>VLOOKUP(A1664,[4]Volume!$E:$G,3,FALSE)</f>
        <v>#N/A</v>
      </c>
      <c r="U1664" s="19" t="e">
        <f>VLOOKUP(A1664,[4]Piece!$E:$G,3,FALSE)</f>
        <v>#N/A</v>
      </c>
      <c r="V1664" s="21" t="e">
        <f t="shared" si="102"/>
        <v>#N/A</v>
      </c>
      <c r="W1664" s="16" t="e">
        <f t="shared" si="103"/>
        <v>#N/A</v>
      </c>
    </row>
    <row r="1665" spans="1:23" hidden="1" x14ac:dyDescent="0.3">
      <c r="A1665" s="71" t="s">
        <v>3322</v>
      </c>
      <c r="B1665" s="71" t="s">
        <v>3322</v>
      </c>
      <c r="C1665" s="47" t="s">
        <v>33</v>
      </c>
      <c r="D1665" s="48" t="s">
        <v>34</v>
      </c>
      <c r="E1665" s="18" t="s">
        <v>3323</v>
      </c>
      <c r="F1665" s="24" t="str">
        <f t="shared" si="100"/>
        <v>PPG - MIRKA 915M CLASS   230V       EXTRACTOR</v>
      </c>
      <c r="G1665" s="20" t="s">
        <v>6536</v>
      </c>
      <c r="H1665" s="49" t="s">
        <v>213</v>
      </c>
      <c r="I1665" s="18" t="s">
        <v>37</v>
      </c>
      <c r="J1665" s="18" t="s">
        <v>38</v>
      </c>
      <c r="K1665" t="s">
        <v>39</v>
      </c>
      <c r="L1665" s="50">
        <f>VLOOKUP(A1665,'[3]Price info'!A:D,4,FALSE)</f>
        <v>899.32</v>
      </c>
      <c r="M1665" s="18" t="s">
        <v>214</v>
      </c>
      <c r="N1665" s="20">
        <v>3105</v>
      </c>
      <c r="P1665" s="16">
        <f>VLOOKUP(A1665,'[3]Price info'!A:H,8,FALSE)</f>
        <v>899.32</v>
      </c>
      <c r="Q1665" s="17">
        <f t="shared" si="101"/>
        <v>1</v>
      </c>
      <c r="S1665" s="16" t="e">
        <f>VLOOKUP(A1665,[4]Sales!$E:$G,3,FALSE)</f>
        <v>#N/A</v>
      </c>
      <c r="T1665" s="19" t="e">
        <f>VLOOKUP(A1665,[4]Volume!$E:$G,3,FALSE)</f>
        <v>#N/A</v>
      </c>
      <c r="U1665" s="19" t="e">
        <f>VLOOKUP(A1665,[4]Piece!$E:$G,3,FALSE)</f>
        <v>#N/A</v>
      </c>
      <c r="V1665" s="21" t="e">
        <f t="shared" si="102"/>
        <v>#N/A</v>
      </c>
      <c r="W1665" s="16" t="e">
        <f t="shared" si="103"/>
        <v>#N/A</v>
      </c>
    </row>
    <row r="1666" spans="1:23" hidden="1" x14ac:dyDescent="0.3">
      <c r="A1666" s="71" t="s">
        <v>3324</v>
      </c>
      <c r="B1666" s="71" t="s">
        <v>3324</v>
      </c>
      <c r="C1666" s="47" t="s">
        <v>33</v>
      </c>
      <c r="D1666" s="48" t="s">
        <v>34</v>
      </c>
      <c r="E1666" s="93" t="s">
        <v>7407</v>
      </c>
      <c r="F1666" s="24" t="str">
        <f t="shared" si="100"/>
        <v>PPG - Mirka Abranet 225mm PK25 P240</v>
      </c>
      <c r="G1666" s="20" t="s">
        <v>6537</v>
      </c>
      <c r="H1666" s="49" t="s">
        <v>213</v>
      </c>
      <c r="I1666" s="18" t="s">
        <v>37</v>
      </c>
      <c r="J1666" s="18" t="s">
        <v>38</v>
      </c>
      <c r="K1666" t="s">
        <v>39</v>
      </c>
      <c r="L1666" s="50">
        <f>VLOOKUP(A1666,'[3]Price info'!A:D,4,FALSE)</f>
        <v>70.819999999999993</v>
      </c>
      <c r="M1666" s="18" t="s">
        <v>214</v>
      </c>
      <c r="N1666" s="20">
        <v>3105</v>
      </c>
      <c r="P1666" s="16">
        <v>36.049999999999997</v>
      </c>
      <c r="Q1666" s="17">
        <f t="shared" si="101"/>
        <v>0.50903699519909629</v>
      </c>
      <c r="S1666" s="16" t="e">
        <f>VLOOKUP(A1666,[4]Sales!$E:$G,3,FALSE)</f>
        <v>#N/A</v>
      </c>
      <c r="T1666" s="19" t="e">
        <f>VLOOKUP(A1666,[4]Volume!$E:$G,3,FALSE)</f>
        <v>#N/A</v>
      </c>
      <c r="U1666" s="19" t="e">
        <f>VLOOKUP(A1666,[4]Piece!$E:$G,3,FALSE)</f>
        <v>#N/A</v>
      </c>
      <c r="V1666" s="21" t="e">
        <f t="shared" si="102"/>
        <v>#N/A</v>
      </c>
      <c r="W1666" s="16" t="e">
        <f t="shared" si="103"/>
        <v>#N/A</v>
      </c>
    </row>
    <row r="1667" spans="1:23" hidden="1" x14ac:dyDescent="0.3">
      <c r="A1667" s="71" t="s">
        <v>3325</v>
      </c>
      <c r="B1667" s="71" t="s">
        <v>3325</v>
      </c>
      <c r="C1667" s="51" t="s">
        <v>33</v>
      </c>
      <c r="D1667" s="48" t="s">
        <v>34</v>
      </c>
      <c r="E1667" s="18" t="s">
        <v>3326</v>
      </c>
      <c r="F1667" s="24" t="str">
        <f t="shared" ref="F1667:F1730" si="104">D1667&amp;" - "&amp;E1667</f>
        <v>PPG - MIRKA ABRALON 77MM P4000 PK20 8A20302097</v>
      </c>
      <c r="G1667" s="20" t="s">
        <v>6538</v>
      </c>
      <c r="H1667" s="49" t="s">
        <v>213</v>
      </c>
      <c r="I1667" s="18" t="s">
        <v>37</v>
      </c>
      <c r="J1667" s="18" t="s">
        <v>38</v>
      </c>
      <c r="K1667" t="s">
        <v>39</v>
      </c>
      <c r="L1667" s="50">
        <f>VLOOKUP(A1667,'[3]Price info'!A:D,4,FALSE)</f>
        <v>44.94</v>
      </c>
      <c r="M1667" s="18" t="s">
        <v>214</v>
      </c>
      <c r="N1667" s="20">
        <v>3105</v>
      </c>
      <c r="P1667" s="16">
        <f>VLOOKUP(A1667,'[3]Price info'!A:H,8,FALSE)</f>
        <v>44.94</v>
      </c>
      <c r="Q1667" s="17">
        <f t="shared" ref="Q1667:Q1730" si="105">P1667/L1667</f>
        <v>1</v>
      </c>
      <c r="S1667" s="16" t="e">
        <f>VLOOKUP(A1667,[4]Sales!$E:$G,3,FALSE)</f>
        <v>#N/A</v>
      </c>
      <c r="T1667" s="19" t="e">
        <f>VLOOKUP(A1667,[4]Volume!$E:$G,3,FALSE)</f>
        <v>#N/A</v>
      </c>
      <c r="U1667" s="19" t="e">
        <f>VLOOKUP(A1667,[4]Piece!$E:$G,3,FALSE)</f>
        <v>#N/A</v>
      </c>
      <c r="V1667" s="21" t="e">
        <f t="shared" ref="V1667:V1730" si="106">U1667*P1667</f>
        <v>#N/A</v>
      </c>
      <c r="W1667" s="16" t="e">
        <f t="shared" ref="W1667:W1730" si="107">V1667-S1667</f>
        <v>#N/A</v>
      </c>
    </row>
    <row r="1668" spans="1:23" hidden="1" x14ac:dyDescent="0.3">
      <c r="A1668" s="71" t="s">
        <v>3327</v>
      </c>
      <c r="B1668" s="71" t="s">
        <v>3327</v>
      </c>
      <c r="C1668" s="47" t="s">
        <v>33</v>
      </c>
      <c r="D1668" s="48" t="s">
        <v>34</v>
      </c>
      <c r="E1668" s="18" t="s">
        <v>3328</v>
      </c>
      <c r="F1668" s="24" t="str">
        <f t="shared" si="104"/>
        <v>PPG - MIRKA ABRANET      DISCS P180 PK50</v>
      </c>
      <c r="G1668" s="20" t="s">
        <v>6539</v>
      </c>
      <c r="H1668" s="49" t="s">
        <v>213</v>
      </c>
      <c r="I1668" s="18" t="s">
        <v>37</v>
      </c>
      <c r="J1668" s="18" t="s">
        <v>38</v>
      </c>
      <c r="K1668" t="s">
        <v>39</v>
      </c>
      <c r="L1668" s="50">
        <f>VLOOKUP(A1668,'[3]Price info'!A:D,4,FALSE)</f>
        <v>59.79</v>
      </c>
      <c r="M1668" s="18" t="s">
        <v>214</v>
      </c>
      <c r="N1668" s="20">
        <v>3105</v>
      </c>
      <c r="P1668" s="16">
        <f>VLOOKUP(A1668,'[3]Price info'!A:H,8,FALSE)</f>
        <v>59.79</v>
      </c>
      <c r="Q1668" s="17">
        <f t="shared" si="105"/>
        <v>1</v>
      </c>
      <c r="S1668" s="16" t="e">
        <f>VLOOKUP(A1668,[4]Sales!$E:$G,3,FALSE)</f>
        <v>#N/A</v>
      </c>
      <c r="T1668" s="19" t="e">
        <f>VLOOKUP(A1668,[4]Volume!$E:$G,3,FALSE)</f>
        <v>#N/A</v>
      </c>
      <c r="U1668" s="19" t="e">
        <f>VLOOKUP(A1668,[4]Piece!$E:$G,3,FALSE)</f>
        <v>#N/A</v>
      </c>
      <c r="V1668" s="21" t="e">
        <f t="shared" si="106"/>
        <v>#N/A</v>
      </c>
      <c r="W1668" s="16" t="e">
        <f t="shared" si="107"/>
        <v>#N/A</v>
      </c>
    </row>
    <row r="1669" spans="1:23" hidden="1" x14ac:dyDescent="0.3">
      <c r="A1669" s="71" t="s">
        <v>3329</v>
      </c>
      <c r="B1669" s="71" t="s">
        <v>3329</v>
      </c>
      <c r="C1669" s="47" t="s">
        <v>33</v>
      </c>
      <c r="D1669" s="48" t="s">
        <v>34</v>
      </c>
      <c r="E1669" s="93" t="s">
        <v>7408</v>
      </c>
      <c r="F1669" s="24" t="str">
        <f t="shared" si="104"/>
        <v>PPG - Mirka Abranet 150mm PK50 P120</v>
      </c>
      <c r="G1669" s="20" t="s">
        <v>6540</v>
      </c>
      <c r="H1669" s="49" t="s">
        <v>213</v>
      </c>
      <c r="I1669" s="18" t="s">
        <v>37</v>
      </c>
      <c r="J1669" s="18" t="s">
        <v>38</v>
      </c>
      <c r="K1669" t="s">
        <v>39</v>
      </c>
      <c r="L1669" s="50">
        <f>VLOOKUP(A1669,'[3]Price info'!A:D,4,FALSE)</f>
        <v>58.47</v>
      </c>
      <c r="M1669" s="18" t="s">
        <v>214</v>
      </c>
      <c r="N1669" s="20">
        <v>3105</v>
      </c>
      <c r="P1669" s="16">
        <v>34.950000000000003</v>
      </c>
      <c r="Q1669" s="17">
        <f t="shared" si="105"/>
        <v>0.59774243201641875</v>
      </c>
      <c r="S1669" s="16" t="e">
        <f>VLOOKUP(A1669,[4]Sales!$E:$G,3,FALSE)</f>
        <v>#N/A</v>
      </c>
      <c r="T1669" s="19" t="e">
        <f>VLOOKUP(A1669,[4]Volume!$E:$G,3,FALSE)</f>
        <v>#N/A</v>
      </c>
      <c r="U1669" s="19" t="e">
        <f>VLOOKUP(A1669,[4]Piece!$E:$G,3,FALSE)</f>
        <v>#N/A</v>
      </c>
      <c r="V1669" s="21" t="e">
        <f t="shared" si="106"/>
        <v>#N/A</v>
      </c>
      <c r="W1669" s="16" t="e">
        <f t="shared" si="107"/>
        <v>#N/A</v>
      </c>
    </row>
    <row r="1670" spans="1:23" hidden="1" x14ac:dyDescent="0.3">
      <c r="A1670" s="71" t="s">
        <v>3330</v>
      </c>
      <c r="B1670" s="71" t="s">
        <v>3330</v>
      </c>
      <c r="C1670" s="51" t="s">
        <v>33</v>
      </c>
      <c r="D1670" s="48" t="s">
        <v>34</v>
      </c>
      <c r="E1670" s="93" t="s">
        <v>7409</v>
      </c>
      <c r="F1670" s="24" t="str">
        <f t="shared" si="104"/>
        <v>PPG - Mirka Abranet 150mm PK50 P180</v>
      </c>
      <c r="G1670" s="20" t="s">
        <v>6541</v>
      </c>
      <c r="H1670" s="49" t="s">
        <v>213</v>
      </c>
      <c r="I1670" s="18" t="s">
        <v>37</v>
      </c>
      <c r="J1670" s="18" t="s">
        <v>38</v>
      </c>
      <c r="K1670" t="s">
        <v>39</v>
      </c>
      <c r="L1670" s="50">
        <f>VLOOKUP(A1670,'[3]Price info'!A:D,4,FALSE)</f>
        <v>62.65</v>
      </c>
      <c r="M1670" s="18" t="s">
        <v>214</v>
      </c>
      <c r="N1670" s="20">
        <v>3105</v>
      </c>
      <c r="P1670" s="16">
        <v>34.950000000000003</v>
      </c>
      <c r="Q1670" s="17">
        <f t="shared" si="105"/>
        <v>0.55786113328012776</v>
      </c>
      <c r="S1670" s="16">
        <f>VLOOKUP(A1670,[4]Sales!$E:$G,3,FALSE)</f>
        <v>58.03</v>
      </c>
      <c r="T1670" s="19">
        <f>VLOOKUP(A1670,[4]Volume!$E:$G,3,FALSE)</f>
        <v>1</v>
      </c>
      <c r="U1670" s="19">
        <f>VLOOKUP(A1670,[4]Piece!$E:$G,3,FALSE)</f>
        <v>1</v>
      </c>
      <c r="V1670" s="21">
        <f t="shared" si="106"/>
        <v>34.950000000000003</v>
      </c>
      <c r="W1670" s="16">
        <f t="shared" si="107"/>
        <v>-23.08</v>
      </c>
    </row>
    <row r="1671" spans="1:23" hidden="1" x14ac:dyDescent="0.3">
      <c r="A1671" s="71" t="s">
        <v>3331</v>
      </c>
      <c r="B1671" s="71" t="s">
        <v>3331</v>
      </c>
      <c r="C1671" s="47" t="s">
        <v>33</v>
      </c>
      <c r="D1671" s="48" t="s">
        <v>34</v>
      </c>
      <c r="E1671" s="93" t="s">
        <v>7410</v>
      </c>
      <c r="F1671" s="24" t="str">
        <f t="shared" si="104"/>
        <v>PPG - Mirka Abranet 81x133mm PK10 P120</v>
      </c>
      <c r="G1671" s="20" t="s">
        <v>6542</v>
      </c>
      <c r="H1671" s="49" t="s">
        <v>213</v>
      </c>
      <c r="I1671" s="18" t="s">
        <v>37</v>
      </c>
      <c r="J1671" s="18" t="s">
        <v>38</v>
      </c>
      <c r="K1671" t="s">
        <v>39</v>
      </c>
      <c r="L1671" s="50">
        <f>VLOOKUP(A1671,'[3]Price info'!A:D,4,FALSE)</f>
        <v>16.41</v>
      </c>
      <c r="M1671" s="18" t="s">
        <v>214</v>
      </c>
      <c r="N1671" s="20">
        <v>3105</v>
      </c>
      <c r="P1671" s="16">
        <v>8.94</v>
      </c>
      <c r="Q1671" s="17">
        <f t="shared" si="105"/>
        <v>0.54478976234003651</v>
      </c>
      <c r="S1671" s="16" t="e">
        <f>VLOOKUP(A1671,[4]Sales!$E:$G,3,FALSE)</f>
        <v>#N/A</v>
      </c>
      <c r="T1671" s="19" t="e">
        <f>VLOOKUP(A1671,[4]Volume!$E:$G,3,FALSE)</f>
        <v>#N/A</v>
      </c>
      <c r="U1671" s="19" t="e">
        <f>VLOOKUP(A1671,[4]Piece!$E:$G,3,FALSE)</f>
        <v>#N/A</v>
      </c>
      <c r="V1671" s="21" t="e">
        <f t="shared" si="106"/>
        <v>#N/A</v>
      </c>
      <c r="W1671" s="16" t="e">
        <f t="shared" si="107"/>
        <v>#N/A</v>
      </c>
    </row>
    <row r="1672" spans="1:23" hidden="1" x14ac:dyDescent="0.3">
      <c r="A1672" s="71" t="s">
        <v>3332</v>
      </c>
      <c r="B1672" s="71" t="s">
        <v>3332</v>
      </c>
      <c r="C1672" s="47" t="s">
        <v>33</v>
      </c>
      <c r="D1672" s="48" t="s">
        <v>34</v>
      </c>
      <c r="E1672" s="93" t="s">
        <v>7411</v>
      </c>
      <c r="F1672" s="24" t="str">
        <f t="shared" si="104"/>
        <v>PPG - Mirka Abranet 81x133mm PK10 P180</v>
      </c>
      <c r="G1672" s="20" t="s">
        <v>5545</v>
      </c>
      <c r="H1672" s="49" t="s">
        <v>213</v>
      </c>
      <c r="I1672" s="18" t="s">
        <v>37</v>
      </c>
      <c r="J1672" s="18" t="s">
        <v>38</v>
      </c>
      <c r="K1672" t="s">
        <v>39</v>
      </c>
      <c r="L1672" s="50">
        <f>VLOOKUP(A1672,'[3]Price info'!A:D,4,FALSE)</f>
        <v>16.41</v>
      </c>
      <c r="M1672" s="18" t="s">
        <v>214</v>
      </c>
      <c r="N1672" s="20">
        <v>3105</v>
      </c>
      <c r="P1672" s="16">
        <v>8.94</v>
      </c>
      <c r="Q1672" s="17">
        <f t="shared" si="105"/>
        <v>0.54478976234003651</v>
      </c>
      <c r="S1672" s="16" t="e">
        <f>VLOOKUP(A1672,[4]Sales!$E:$G,3,FALSE)</f>
        <v>#N/A</v>
      </c>
      <c r="T1672" s="19" t="e">
        <f>VLOOKUP(A1672,[4]Volume!$E:$G,3,FALSE)</f>
        <v>#N/A</v>
      </c>
      <c r="U1672" s="19" t="e">
        <f>VLOOKUP(A1672,[4]Piece!$E:$G,3,FALSE)</f>
        <v>#N/A</v>
      </c>
      <c r="V1672" s="21" t="e">
        <f t="shared" si="106"/>
        <v>#N/A</v>
      </c>
      <c r="W1672" s="16" t="e">
        <f t="shared" si="107"/>
        <v>#N/A</v>
      </c>
    </row>
    <row r="1673" spans="1:23" hidden="1" x14ac:dyDescent="0.3">
      <c r="A1673" s="71" t="s">
        <v>3333</v>
      </c>
      <c r="B1673" s="71" t="s">
        <v>3333</v>
      </c>
      <c r="C1673" s="51" t="s">
        <v>33</v>
      </c>
      <c r="D1673" s="48" t="s">
        <v>34</v>
      </c>
      <c r="E1673" s="93" t="s">
        <v>7412</v>
      </c>
      <c r="F1673" s="24" t="str">
        <f t="shared" si="104"/>
        <v>PPG - Mirka Abranet 81x133mm PK10 P80</v>
      </c>
      <c r="G1673" s="20" t="s">
        <v>6543</v>
      </c>
      <c r="H1673" s="49" t="s">
        <v>213</v>
      </c>
      <c r="I1673" s="18" t="s">
        <v>37</v>
      </c>
      <c r="J1673" s="18" t="s">
        <v>38</v>
      </c>
      <c r="K1673" t="s">
        <v>39</v>
      </c>
      <c r="L1673" s="50">
        <f>VLOOKUP(A1673,'[3]Price info'!A:D,4,FALSE)</f>
        <v>16.41</v>
      </c>
      <c r="M1673" s="18" t="s">
        <v>214</v>
      </c>
      <c r="N1673" s="20">
        <v>3105</v>
      </c>
      <c r="P1673" s="16">
        <v>8.94</v>
      </c>
      <c r="Q1673" s="17">
        <f t="shared" si="105"/>
        <v>0.54478976234003651</v>
      </c>
      <c r="S1673" s="16" t="e">
        <f>VLOOKUP(A1673,[4]Sales!$E:$G,3,FALSE)</f>
        <v>#N/A</v>
      </c>
      <c r="T1673" s="19" t="e">
        <f>VLOOKUP(A1673,[4]Volume!$E:$G,3,FALSE)</f>
        <v>#N/A</v>
      </c>
      <c r="U1673" s="19" t="e">
        <f>VLOOKUP(A1673,[4]Piece!$E:$G,3,FALSE)</f>
        <v>#N/A</v>
      </c>
      <c r="V1673" s="21" t="e">
        <f t="shared" si="106"/>
        <v>#N/A</v>
      </c>
      <c r="W1673" s="16" t="e">
        <f t="shared" si="107"/>
        <v>#N/A</v>
      </c>
    </row>
    <row r="1674" spans="1:23" hidden="1" x14ac:dyDescent="0.3">
      <c r="A1674" s="71" t="s">
        <v>3334</v>
      </c>
      <c r="B1674" s="71" t="s">
        <v>3334</v>
      </c>
      <c r="C1674" s="47" t="s">
        <v>33</v>
      </c>
      <c r="D1674" s="48" t="s">
        <v>34</v>
      </c>
      <c r="E1674" s="93" t="s">
        <v>7413</v>
      </c>
      <c r="F1674" s="24" t="str">
        <f t="shared" si="104"/>
        <v>PPG - Mirka Abranet 152x152x100mm PK50 P120</v>
      </c>
      <c r="G1674" s="20" t="s">
        <v>6544</v>
      </c>
      <c r="H1674" s="49" t="s">
        <v>213</v>
      </c>
      <c r="I1674" s="18" t="s">
        <v>37</v>
      </c>
      <c r="J1674" s="18" t="s">
        <v>38</v>
      </c>
      <c r="K1674" t="s">
        <v>39</v>
      </c>
      <c r="L1674" s="50">
        <f>VLOOKUP(A1674,'[3]Price info'!A:D,4,FALSE)</f>
        <v>60.32</v>
      </c>
      <c r="M1674" s="18" t="s">
        <v>214</v>
      </c>
      <c r="N1674" s="20">
        <v>3105</v>
      </c>
      <c r="P1674" s="16">
        <v>33.119999999999997</v>
      </c>
      <c r="Q1674" s="17">
        <f t="shared" si="105"/>
        <v>0.54907161803713522</v>
      </c>
      <c r="S1674" s="16" t="e">
        <f>VLOOKUP(A1674,[4]Sales!$E:$G,3,FALSE)</f>
        <v>#N/A</v>
      </c>
      <c r="T1674" s="19" t="e">
        <f>VLOOKUP(A1674,[4]Volume!$E:$G,3,FALSE)</f>
        <v>#N/A</v>
      </c>
      <c r="U1674" s="19" t="e">
        <f>VLOOKUP(A1674,[4]Piece!$E:$G,3,FALSE)</f>
        <v>#N/A</v>
      </c>
      <c r="V1674" s="21" t="e">
        <f t="shared" si="106"/>
        <v>#N/A</v>
      </c>
      <c r="W1674" s="16" t="e">
        <f t="shared" si="107"/>
        <v>#N/A</v>
      </c>
    </row>
    <row r="1675" spans="1:23" hidden="1" x14ac:dyDescent="0.3">
      <c r="A1675" s="71" t="s">
        <v>3335</v>
      </c>
      <c r="B1675" s="71" t="s">
        <v>3335</v>
      </c>
      <c r="C1675" s="47" t="s">
        <v>33</v>
      </c>
      <c r="D1675" s="48" t="s">
        <v>34</v>
      </c>
      <c r="E1675" s="93" t="s">
        <v>7414</v>
      </c>
      <c r="F1675" s="24" t="str">
        <f t="shared" si="104"/>
        <v>PPG - Mirka Abranet 152x152x100mm PK50 P80</v>
      </c>
      <c r="G1675" s="20" t="s">
        <v>6545</v>
      </c>
      <c r="H1675" s="49" t="s">
        <v>213</v>
      </c>
      <c r="I1675" s="18" t="s">
        <v>37</v>
      </c>
      <c r="J1675" s="18" t="s">
        <v>38</v>
      </c>
      <c r="K1675" t="s">
        <v>39</v>
      </c>
      <c r="L1675" s="50">
        <f>VLOOKUP(A1675,'[3]Price info'!A:D,4,FALSE)</f>
        <v>64.44</v>
      </c>
      <c r="M1675" s="18" t="s">
        <v>214</v>
      </c>
      <c r="N1675" s="20">
        <v>3105</v>
      </c>
      <c r="P1675" s="16">
        <v>35.39</v>
      </c>
      <c r="Q1675" s="17">
        <f t="shared" si="105"/>
        <v>0.54919304779639977</v>
      </c>
      <c r="S1675" s="16" t="e">
        <f>VLOOKUP(A1675,[4]Sales!$E:$G,3,FALSE)</f>
        <v>#N/A</v>
      </c>
      <c r="T1675" s="19" t="e">
        <f>VLOOKUP(A1675,[4]Volume!$E:$G,3,FALSE)</f>
        <v>#N/A</v>
      </c>
      <c r="U1675" s="19" t="e">
        <f>VLOOKUP(A1675,[4]Piece!$E:$G,3,FALSE)</f>
        <v>#N/A</v>
      </c>
      <c r="V1675" s="21" t="e">
        <f t="shared" si="106"/>
        <v>#N/A</v>
      </c>
      <c r="W1675" s="16" t="e">
        <f t="shared" si="107"/>
        <v>#N/A</v>
      </c>
    </row>
    <row r="1676" spans="1:23" hidden="1" x14ac:dyDescent="0.3">
      <c r="A1676" s="71" t="s">
        <v>3336</v>
      </c>
      <c r="B1676" s="71" t="s">
        <v>3336</v>
      </c>
      <c r="C1676" s="51" t="s">
        <v>33</v>
      </c>
      <c r="D1676" s="48" t="s">
        <v>34</v>
      </c>
      <c r="E1676" s="93" t="s">
        <v>7415</v>
      </c>
      <c r="F1676" s="24" t="str">
        <f t="shared" si="104"/>
        <v>PPG - Mirka Abranet 152x152x100mm PK10 P120</v>
      </c>
      <c r="G1676" s="20" t="s">
        <v>6546</v>
      </c>
      <c r="H1676" s="49" t="s">
        <v>213</v>
      </c>
      <c r="I1676" s="18" t="s">
        <v>37</v>
      </c>
      <c r="J1676" s="18" t="s">
        <v>38</v>
      </c>
      <c r="K1676" t="s">
        <v>39</v>
      </c>
      <c r="L1676" s="50">
        <f>VLOOKUP(A1676,'[3]Price info'!A:D,4,FALSE)</f>
        <v>21.09</v>
      </c>
      <c r="M1676" s="18" t="s">
        <v>214</v>
      </c>
      <c r="N1676" s="20">
        <v>3105</v>
      </c>
      <c r="P1676" s="16">
        <v>11.58</v>
      </c>
      <c r="Q1676" s="17">
        <f t="shared" si="105"/>
        <v>0.54907539118065429</v>
      </c>
      <c r="S1676" s="16" t="e">
        <f>VLOOKUP(A1676,[4]Sales!$E:$G,3,FALSE)</f>
        <v>#N/A</v>
      </c>
      <c r="T1676" s="19" t="e">
        <f>VLOOKUP(A1676,[4]Volume!$E:$G,3,FALSE)</f>
        <v>#N/A</v>
      </c>
      <c r="U1676" s="19" t="e">
        <f>VLOOKUP(A1676,[4]Piece!$E:$G,3,FALSE)</f>
        <v>#N/A</v>
      </c>
      <c r="V1676" s="21" t="e">
        <f t="shared" si="106"/>
        <v>#N/A</v>
      </c>
      <c r="W1676" s="16" t="e">
        <f t="shared" si="107"/>
        <v>#N/A</v>
      </c>
    </row>
    <row r="1677" spans="1:23" hidden="1" x14ac:dyDescent="0.3">
      <c r="A1677" s="71" t="s">
        <v>3337</v>
      </c>
      <c r="B1677" s="71" t="s">
        <v>3337</v>
      </c>
      <c r="C1677" s="47" t="s">
        <v>33</v>
      </c>
      <c r="D1677" s="48" t="s">
        <v>34</v>
      </c>
      <c r="E1677" s="93" t="s">
        <v>7416</v>
      </c>
      <c r="F1677" s="24" t="str">
        <f t="shared" si="104"/>
        <v>PPG - Mirka Abranet 152x152x100mm PK10 P180</v>
      </c>
      <c r="G1677" s="20" t="s">
        <v>6547</v>
      </c>
      <c r="H1677" s="49" t="s">
        <v>213</v>
      </c>
      <c r="I1677" s="18" t="s">
        <v>37</v>
      </c>
      <c r="J1677" s="18" t="s">
        <v>38</v>
      </c>
      <c r="K1677" t="s">
        <v>39</v>
      </c>
      <c r="L1677" s="50">
        <f>VLOOKUP(A1677,'[3]Price info'!A:D,4,FALSE)</f>
        <v>18.98</v>
      </c>
      <c r="M1677" s="18" t="s">
        <v>214</v>
      </c>
      <c r="N1677" s="20">
        <v>3105</v>
      </c>
      <c r="P1677" s="16">
        <v>11.58</v>
      </c>
      <c r="Q1677" s="17">
        <f t="shared" si="105"/>
        <v>0.61011591148577449</v>
      </c>
      <c r="S1677" s="16">
        <f>VLOOKUP(A1677,[4]Sales!$E:$G,3,FALSE)</f>
        <v>0</v>
      </c>
      <c r="T1677" s="19">
        <f>VLOOKUP(A1677,[4]Volume!$E:$G,3,FALSE)</f>
        <v>0</v>
      </c>
      <c r="U1677" s="19">
        <f>VLOOKUP(A1677,[4]Piece!$E:$G,3,FALSE)</f>
        <v>0</v>
      </c>
      <c r="V1677" s="21">
        <f t="shared" si="106"/>
        <v>0</v>
      </c>
      <c r="W1677" s="16">
        <f t="shared" si="107"/>
        <v>0</v>
      </c>
    </row>
    <row r="1678" spans="1:23" hidden="1" x14ac:dyDescent="0.3">
      <c r="A1678" s="71" t="s">
        <v>3338</v>
      </c>
      <c r="B1678" s="71" t="s">
        <v>3338</v>
      </c>
      <c r="C1678" s="47" t="s">
        <v>33</v>
      </c>
      <c r="D1678" s="48" t="s">
        <v>34</v>
      </c>
      <c r="E1678" s="93" t="s">
        <v>7417</v>
      </c>
      <c r="F1678" s="24" t="str">
        <f t="shared" si="104"/>
        <v>PPG - Mirka Abranet 150mm PK10 P180</v>
      </c>
      <c r="G1678" s="20" t="s">
        <v>6548</v>
      </c>
      <c r="H1678" s="49" t="s">
        <v>213</v>
      </c>
      <c r="I1678" s="18" t="s">
        <v>37</v>
      </c>
      <c r="J1678" s="18" t="s">
        <v>38</v>
      </c>
      <c r="K1678" t="s">
        <v>39</v>
      </c>
      <c r="L1678" s="50">
        <f>VLOOKUP(A1678,'[3]Price info'!A:D,4,FALSE)</f>
        <v>21.45</v>
      </c>
      <c r="M1678" s="18" t="s">
        <v>214</v>
      </c>
      <c r="N1678" s="20">
        <v>3105</v>
      </c>
      <c r="P1678" s="16">
        <v>12.44</v>
      </c>
      <c r="Q1678" s="17">
        <f t="shared" si="105"/>
        <v>0.57995337995337992</v>
      </c>
      <c r="S1678" s="16" t="e">
        <f>VLOOKUP(A1678,[4]Sales!$E:$G,3,FALSE)</f>
        <v>#N/A</v>
      </c>
      <c r="T1678" s="19" t="e">
        <f>VLOOKUP(A1678,[4]Volume!$E:$G,3,FALSE)</f>
        <v>#N/A</v>
      </c>
      <c r="U1678" s="19" t="e">
        <f>VLOOKUP(A1678,[4]Piece!$E:$G,3,FALSE)</f>
        <v>#N/A</v>
      </c>
      <c r="V1678" s="21" t="e">
        <f t="shared" si="106"/>
        <v>#N/A</v>
      </c>
      <c r="W1678" s="16" t="e">
        <f t="shared" si="107"/>
        <v>#N/A</v>
      </c>
    </row>
    <row r="1679" spans="1:23" hidden="1" x14ac:dyDescent="0.3">
      <c r="A1679" s="71" t="s">
        <v>3339</v>
      </c>
      <c r="B1679" s="71" t="s">
        <v>3339</v>
      </c>
      <c r="C1679" s="51" t="s">
        <v>33</v>
      </c>
      <c r="D1679" s="48" t="s">
        <v>34</v>
      </c>
      <c r="E1679" s="93" t="s">
        <v>7418</v>
      </c>
      <c r="F1679" s="24" t="str">
        <f t="shared" si="104"/>
        <v>PPG - Mirka Abranet 225mm PK10 P80</v>
      </c>
      <c r="G1679" s="20" t="s">
        <v>6549</v>
      </c>
      <c r="H1679" s="49" t="s">
        <v>213</v>
      </c>
      <c r="I1679" s="18" t="s">
        <v>37</v>
      </c>
      <c r="J1679" s="18" t="s">
        <v>38</v>
      </c>
      <c r="K1679" t="s">
        <v>39</v>
      </c>
      <c r="L1679" s="50">
        <f>VLOOKUP(A1679,'[3]Price info'!A:D,4,FALSE)</f>
        <v>49.82</v>
      </c>
      <c r="M1679" s="18" t="s">
        <v>214</v>
      </c>
      <c r="N1679" s="20">
        <v>3105</v>
      </c>
      <c r="P1679" s="16">
        <v>27.14</v>
      </c>
      <c r="Q1679" s="17">
        <f t="shared" si="105"/>
        <v>0.54476114010437571</v>
      </c>
      <c r="S1679" s="16" t="e">
        <f>VLOOKUP(A1679,[4]Sales!$E:$G,3,FALSE)</f>
        <v>#N/A</v>
      </c>
      <c r="T1679" s="19" t="e">
        <f>VLOOKUP(A1679,[4]Volume!$E:$G,3,FALSE)</f>
        <v>#N/A</v>
      </c>
      <c r="U1679" s="19" t="e">
        <f>VLOOKUP(A1679,[4]Piece!$E:$G,3,FALSE)</f>
        <v>#N/A</v>
      </c>
      <c r="V1679" s="21" t="e">
        <f t="shared" si="106"/>
        <v>#N/A</v>
      </c>
      <c r="W1679" s="16" t="e">
        <f t="shared" si="107"/>
        <v>#N/A</v>
      </c>
    </row>
    <row r="1680" spans="1:23" hidden="1" x14ac:dyDescent="0.3">
      <c r="A1680" s="71" t="s">
        <v>3340</v>
      </c>
      <c r="B1680" s="71" t="s">
        <v>3340</v>
      </c>
      <c r="C1680" s="47" t="s">
        <v>33</v>
      </c>
      <c r="D1680" s="48" t="s">
        <v>34</v>
      </c>
      <c r="E1680" s="93" t="s">
        <v>7419</v>
      </c>
      <c r="F1680" s="24" t="str">
        <f t="shared" si="104"/>
        <v>PPG - Mirka Abranet 81x133mm PK50 P120</v>
      </c>
      <c r="G1680" s="20" t="s">
        <v>6550</v>
      </c>
      <c r="H1680" s="49" t="s">
        <v>213</v>
      </c>
      <c r="I1680" s="18" t="s">
        <v>37</v>
      </c>
      <c r="J1680" s="18" t="s">
        <v>38</v>
      </c>
      <c r="K1680" t="s">
        <v>39</v>
      </c>
      <c r="L1680" s="50">
        <f>VLOOKUP(A1680,'[3]Price info'!A:D,4,FALSE)</f>
        <v>39.11</v>
      </c>
      <c r="M1680" s="18" t="s">
        <v>214</v>
      </c>
      <c r="N1680" s="20">
        <v>3105</v>
      </c>
      <c r="P1680" s="16">
        <v>20.059999999999999</v>
      </c>
      <c r="Q1680" s="17">
        <f t="shared" si="105"/>
        <v>0.51291229864484789</v>
      </c>
      <c r="S1680" s="16" t="e">
        <f>VLOOKUP(A1680,[4]Sales!$E:$G,3,FALSE)</f>
        <v>#N/A</v>
      </c>
      <c r="T1680" s="19" t="e">
        <f>VLOOKUP(A1680,[4]Volume!$E:$G,3,FALSE)</f>
        <v>#N/A</v>
      </c>
      <c r="U1680" s="19" t="e">
        <f>VLOOKUP(A1680,[4]Piece!$E:$G,3,FALSE)</f>
        <v>#N/A</v>
      </c>
      <c r="V1680" s="21" t="e">
        <f t="shared" si="106"/>
        <v>#N/A</v>
      </c>
      <c r="W1680" s="16" t="e">
        <f t="shared" si="107"/>
        <v>#N/A</v>
      </c>
    </row>
    <row r="1681" spans="1:23" hidden="1" x14ac:dyDescent="0.3">
      <c r="A1681" s="71" t="s">
        <v>3341</v>
      </c>
      <c r="B1681" s="71" t="s">
        <v>3341</v>
      </c>
      <c r="C1681" s="47" t="s">
        <v>33</v>
      </c>
      <c r="D1681" s="48" t="s">
        <v>34</v>
      </c>
      <c r="E1681" s="93" t="s">
        <v>7420</v>
      </c>
      <c r="F1681" s="24" t="str">
        <f t="shared" si="104"/>
        <v>PPG - Mirka Abranet 81x133mm PK50 P180</v>
      </c>
      <c r="G1681" s="20" t="s">
        <v>6551</v>
      </c>
      <c r="H1681" s="49" t="s">
        <v>213</v>
      </c>
      <c r="I1681" s="18" t="s">
        <v>37</v>
      </c>
      <c r="J1681" s="18" t="s">
        <v>38</v>
      </c>
      <c r="K1681" t="s">
        <v>39</v>
      </c>
      <c r="L1681" s="50">
        <f>VLOOKUP(A1681,'[3]Price info'!A:D,4,FALSE)</f>
        <v>35.89</v>
      </c>
      <c r="M1681" s="18" t="s">
        <v>214</v>
      </c>
      <c r="N1681" s="20">
        <v>3105</v>
      </c>
      <c r="P1681" s="16">
        <v>20.059999999999999</v>
      </c>
      <c r="Q1681" s="17">
        <f t="shared" si="105"/>
        <v>0.55893006408470325</v>
      </c>
      <c r="S1681" s="16" t="e">
        <f>VLOOKUP(A1681,[4]Sales!$E:$G,3,FALSE)</f>
        <v>#N/A</v>
      </c>
      <c r="T1681" s="19" t="e">
        <f>VLOOKUP(A1681,[4]Volume!$E:$G,3,FALSE)</f>
        <v>#N/A</v>
      </c>
      <c r="U1681" s="19" t="e">
        <f>VLOOKUP(A1681,[4]Piece!$E:$G,3,FALSE)</f>
        <v>#N/A</v>
      </c>
      <c r="V1681" s="21" t="e">
        <f t="shared" si="106"/>
        <v>#N/A</v>
      </c>
      <c r="W1681" s="16" t="e">
        <f t="shared" si="107"/>
        <v>#N/A</v>
      </c>
    </row>
    <row r="1682" spans="1:23" hidden="1" x14ac:dyDescent="0.3">
      <c r="A1682" s="71" t="s">
        <v>3342</v>
      </c>
      <c r="B1682" s="71" t="s">
        <v>3342</v>
      </c>
      <c r="C1682" s="51" t="s">
        <v>33</v>
      </c>
      <c r="D1682" s="48" t="s">
        <v>34</v>
      </c>
      <c r="E1682" s="93" t="s">
        <v>7421</v>
      </c>
      <c r="F1682" s="24" t="str">
        <f t="shared" si="104"/>
        <v>PPG - Mirka® Abranet 81x133mm PK50 P240</v>
      </c>
      <c r="G1682" s="20" t="s">
        <v>6552</v>
      </c>
      <c r="H1682" s="49" t="s">
        <v>213</v>
      </c>
      <c r="I1682" s="18" t="s">
        <v>37</v>
      </c>
      <c r="J1682" s="18" t="s">
        <v>38</v>
      </c>
      <c r="K1682" t="s">
        <v>39</v>
      </c>
      <c r="L1682" s="50">
        <f>VLOOKUP(A1682,'[3]Price info'!A:D,4,FALSE)</f>
        <v>39.11</v>
      </c>
      <c r="M1682" s="18" t="s">
        <v>214</v>
      </c>
      <c r="N1682" s="20">
        <v>3105</v>
      </c>
      <c r="P1682" s="16">
        <v>20.059999999999999</v>
      </c>
      <c r="Q1682" s="17">
        <f t="shared" si="105"/>
        <v>0.51291229864484789</v>
      </c>
      <c r="S1682" s="16" t="e">
        <f>VLOOKUP(A1682,[4]Sales!$E:$G,3,FALSE)</f>
        <v>#N/A</v>
      </c>
      <c r="T1682" s="19" t="e">
        <f>VLOOKUP(A1682,[4]Volume!$E:$G,3,FALSE)</f>
        <v>#N/A</v>
      </c>
      <c r="U1682" s="19" t="e">
        <f>VLOOKUP(A1682,[4]Piece!$E:$G,3,FALSE)</f>
        <v>#N/A</v>
      </c>
      <c r="V1682" s="21" t="e">
        <f t="shared" si="106"/>
        <v>#N/A</v>
      </c>
      <c r="W1682" s="16" t="e">
        <f t="shared" si="107"/>
        <v>#N/A</v>
      </c>
    </row>
    <row r="1683" spans="1:23" hidden="1" x14ac:dyDescent="0.3">
      <c r="A1683" s="71" t="s">
        <v>3343</v>
      </c>
      <c r="B1683" s="71" t="s">
        <v>3343</v>
      </c>
      <c r="C1683" s="47" t="s">
        <v>33</v>
      </c>
      <c r="D1683" s="48" t="s">
        <v>34</v>
      </c>
      <c r="E1683" s="93" t="s">
        <v>7422</v>
      </c>
      <c r="F1683" s="24" t="str">
        <f t="shared" si="104"/>
        <v>PPG - Mirka Abranet 81x133mm PK50 P320</v>
      </c>
      <c r="G1683" s="20" t="s">
        <v>6553</v>
      </c>
      <c r="H1683" s="49" t="s">
        <v>213</v>
      </c>
      <c r="I1683" s="18" t="s">
        <v>37</v>
      </c>
      <c r="J1683" s="18" t="s">
        <v>38</v>
      </c>
      <c r="K1683" t="s">
        <v>39</v>
      </c>
      <c r="L1683" s="50">
        <f>VLOOKUP(A1683,'[3]Price info'!A:D,4,FALSE)</f>
        <v>39.11</v>
      </c>
      <c r="M1683" s="18" t="s">
        <v>214</v>
      </c>
      <c r="N1683" s="20">
        <v>3105</v>
      </c>
      <c r="P1683" s="16">
        <v>20.059999999999999</v>
      </c>
      <c r="Q1683" s="17">
        <f t="shared" si="105"/>
        <v>0.51291229864484789</v>
      </c>
      <c r="S1683" s="16" t="e">
        <f>VLOOKUP(A1683,[4]Sales!$E:$G,3,FALSE)</f>
        <v>#N/A</v>
      </c>
      <c r="T1683" s="19" t="e">
        <f>VLOOKUP(A1683,[4]Volume!$E:$G,3,FALSE)</f>
        <v>#N/A</v>
      </c>
      <c r="U1683" s="19" t="e">
        <f>VLOOKUP(A1683,[4]Piece!$E:$G,3,FALSE)</f>
        <v>#N/A</v>
      </c>
      <c r="V1683" s="21" t="e">
        <f t="shared" si="106"/>
        <v>#N/A</v>
      </c>
      <c r="W1683" s="16" t="e">
        <f t="shared" si="107"/>
        <v>#N/A</v>
      </c>
    </row>
    <row r="1684" spans="1:23" hidden="1" x14ac:dyDescent="0.3">
      <c r="A1684" s="71" t="s">
        <v>3344</v>
      </c>
      <c r="B1684" s="71" t="s">
        <v>3344</v>
      </c>
      <c r="C1684" s="47" t="s">
        <v>33</v>
      </c>
      <c r="D1684" s="48" t="s">
        <v>34</v>
      </c>
      <c r="E1684" s="93" t="s">
        <v>7423</v>
      </c>
      <c r="F1684" s="24" t="str">
        <f t="shared" si="104"/>
        <v>PPG - Mirka Abranet 70x198mm PK50 P80</v>
      </c>
      <c r="G1684" s="20" t="s">
        <v>6554</v>
      </c>
      <c r="H1684" s="49" t="s">
        <v>213</v>
      </c>
      <c r="I1684" s="18" t="s">
        <v>37</v>
      </c>
      <c r="J1684" s="18" t="s">
        <v>38</v>
      </c>
      <c r="K1684" t="s">
        <v>39</v>
      </c>
      <c r="L1684" s="50">
        <f>VLOOKUP(A1684,'[3]Price info'!A:D,4,FALSE)</f>
        <v>53.04</v>
      </c>
      <c r="M1684" s="18" t="s">
        <v>214</v>
      </c>
      <c r="N1684" s="20">
        <v>3105</v>
      </c>
      <c r="P1684" s="16">
        <v>31.69</v>
      </c>
      <c r="Q1684" s="17">
        <f t="shared" si="105"/>
        <v>0.59747360482654599</v>
      </c>
      <c r="S1684" s="16">
        <f>VLOOKUP(A1684,[4]Sales!$E:$G,3,FALSE)</f>
        <v>47.73</v>
      </c>
      <c r="T1684" s="19">
        <f>VLOOKUP(A1684,[4]Volume!$E:$G,3,FALSE)</f>
        <v>1</v>
      </c>
      <c r="U1684" s="19">
        <f>VLOOKUP(A1684,[4]Piece!$E:$G,3,FALSE)</f>
        <v>1</v>
      </c>
      <c r="V1684" s="21">
        <f t="shared" si="106"/>
        <v>31.69</v>
      </c>
      <c r="W1684" s="16">
        <f t="shared" si="107"/>
        <v>-16.039999999999996</v>
      </c>
    </row>
    <row r="1685" spans="1:23" hidden="1" x14ac:dyDescent="0.3">
      <c r="A1685" s="71" t="s">
        <v>3345</v>
      </c>
      <c r="B1685" s="71" t="s">
        <v>3345</v>
      </c>
      <c r="C1685" s="51" t="s">
        <v>33</v>
      </c>
      <c r="D1685" s="48" t="s">
        <v>34</v>
      </c>
      <c r="E1685" s="93" t="s">
        <v>7424</v>
      </c>
      <c r="F1685" s="24" t="str">
        <f t="shared" si="104"/>
        <v>PPG - Mirka Abranet 225mm PK25 P150</v>
      </c>
      <c r="G1685" s="20" t="s">
        <v>6555</v>
      </c>
      <c r="H1685" s="49" t="s">
        <v>213</v>
      </c>
      <c r="I1685" s="18" t="s">
        <v>37</v>
      </c>
      <c r="J1685" s="18" t="s">
        <v>38</v>
      </c>
      <c r="K1685" t="s">
        <v>39</v>
      </c>
      <c r="L1685" s="50">
        <f>VLOOKUP(A1685,'[3]Price info'!A:D,4,FALSE)</f>
        <v>70.819999999999993</v>
      </c>
      <c r="M1685" s="18" t="s">
        <v>214</v>
      </c>
      <c r="N1685" s="20">
        <v>3105</v>
      </c>
      <c r="P1685" s="16">
        <v>36.049999999999997</v>
      </c>
      <c r="Q1685" s="17">
        <f t="shared" si="105"/>
        <v>0.50903699519909629</v>
      </c>
      <c r="S1685" s="16" t="e">
        <f>VLOOKUP(A1685,[4]Sales!$E:$G,3,FALSE)</f>
        <v>#N/A</v>
      </c>
      <c r="T1685" s="19" t="e">
        <f>VLOOKUP(A1685,[4]Volume!$E:$G,3,FALSE)</f>
        <v>#N/A</v>
      </c>
      <c r="U1685" s="19" t="e">
        <f>VLOOKUP(A1685,[4]Piece!$E:$G,3,FALSE)</f>
        <v>#N/A</v>
      </c>
      <c r="V1685" s="21" t="e">
        <f t="shared" si="106"/>
        <v>#N/A</v>
      </c>
      <c r="W1685" s="16" t="e">
        <f t="shared" si="107"/>
        <v>#N/A</v>
      </c>
    </row>
    <row r="1686" spans="1:23" hidden="1" x14ac:dyDescent="0.3">
      <c r="A1686" s="71" t="s">
        <v>3346</v>
      </c>
      <c r="B1686" s="71" t="s">
        <v>3346</v>
      </c>
      <c r="C1686" s="47" t="s">
        <v>33</v>
      </c>
      <c r="D1686" s="48" t="s">
        <v>34</v>
      </c>
      <c r="E1686" s="93" t="s">
        <v>7425</v>
      </c>
      <c r="F1686" s="24" t="str">
        <f t="shared" si="104"/>
        <v>PPG - Mirka Abranet Ace HD 152x152x100mm PK5 P120</v>
      </c>
      <c r="G1686" s="20" t="s">
        <v>6556</v>
      </c>
      <c r="H1686" s="49" t="s">
        <v>213</v>
      </c>
      <c r="I1686" s="18" t="s">
        <v>37</v>
      </c>
      <c r="J1686" s="18" t="s">
        <v>38</v>
      </c>
      <c r="K1686" t="s">
        <v>39</v>
      </c>
      <c r="L1686" s="50">
        <f>VLOOKUP(A1686,'[3]Price info'!A:D,4,FALSE)</f>
        <v>12.67</v>
      </c>
      <c r="M1686" s="18" t="s">
        <v>214</v>
      </c>
      <c r="N1686" s="20">
        <v>3105</v>
      </c>
      <c r="P1686" s="16">
        <v>7.73</v>
      </c>
      <c r="Q1686" s="17">
        <f t="shared" si="105"/>
        <v>0.61010260457774279</v>
      </c>
      <c r="S1686" s="16" t="e">
        <f>VLOOKUP(A1686,[4]Sales!$E:$G,3,FALSE)</f>
        <v>#N/A</v>
      </c>
      <c r="T1686" s="19" t="e">
        <f>VLOOKUP(A1686,[4]Volume!$E:$G,3,FALSE)</f>
        <v>#N/A</v>
      </c>
      <c r="U1686" s="19" t="e">
        <f>VLOOKUP(A1686,[4]Piece!$E:$G,3,FALSE)</f>
        <v>#N/A</v>
      </c>
      <c r="V1686" s="21" t="e">
        <f t="shared" si="106"/>
        <v>#N/A</v>
      </c>
      <c r="W1686" s="16" t="e">
        <f t="shared" si="107"/>
        <v>#N/A</v>
      </c>
    </row>
    <row r="1687" spans="1:23" hidden="1" x14ac:dyDescent="0.3">
      <c r="A1687" s="71" t="s">
        <v>3347</v>
      </c>
      <c r="B1687" s="71" t="s">
        <v>3347</v>
      </c>
      <c r="C1687" s="47" t="s">
        <v>33</v>
      </c>
      <c r="D1687" s="48" t="s">
        <v>34</v>
      </c>
      <c r="E1687" s="93" t="s">
        <v>7426</v>
      </c>
      <c r="F1687" s="24" t="str">
        <f t="shared" si="104"/>
        <v>PPG - Mirka Universal Adaptor for 27mm Hose</v>
      </c>
      <c r="G1687" s="20" t="s">
        <v>6557</v>
      </c>
      <c r="H1687" s="49" t="s">
        <v>213</v>
      </c>
      <c r="I1687" s="18" t="s">
        <v>37</v>
      </c>
      <c r="J1687" s="18" t="s">
        <v>38</v>
      </c>
      <c r="K1687" t="s">
        <v>39</v>
      </c>
      <c r="L1687" s="50">
        <f>VLOOKUP(A1687,'[3]Price info'!A:D,4,FALSE)</f>
        <v>7.56</v>
      </c>
      <c r="M1687" s="18" t="s">
        <v>214</v>
      </c>
      <c r="N1687" s="20">
        <v>3105</v>
      </c>
      <c r="P1687" s="16">
        <v>5.2</v>
      </c>
      <c r="Q1687" s="17">
        <f t="shared" si="105"/>
        <v>0.6878306878306879</v>
      </c>
      <c r="S1687" s="16" t="e">
        <f>VLOOKUP(A1687,[4]Sales!$E:$G,3,FALSE)</f>
        <v>#N/A</v>
      </c>
      <c r="T1687" s="19" t="e">
        <f>VLOOKUP(A1687,[4]Volume!$E:$G,3,FALSE)</f>
        <v>#N/A</v>
      </c>
      <c r="U1687" s="19" t="e">
        <f>VLOOKUP(A1687,[4]Piece!$E:$G,3,FALSE)</f>
        <v>#N/A</v>
      </c>
      <c r="V1687" s="21" t="e">
        <f t="shared" si="106"/>
        <v>#N/A</v>
      </c>
      <c r="W1687" s="16" t="e">
        <f t="shared" si="107"/>
        <v>#N/A</v>
      </c>
    </row>
    <row r="1688" spans="1:23" hidden="1" x14ac:dyDescent="0.3">
      <c r="A1688" s="71" t="s">
        <v>3348</v>
      </c>
      <c r="B1688" s="71" t="s">
        <v>3348</v>
      </c>
      <c r="C1688" s="51" t="s">
        <v>33</v>
      </c>
      <c r="D1688" s="48" t="s">
        <v>34</v>
      </c>
      <c r="E1688" s="93" t="s">
        <v>7427</v>
      </c>
      <c r="F1688" s="24" t="str">
        <f t="shared" si="104"/>
        <v>PPG - Mirka Hiomant 115mm x 10m P40</v>
      </c>
      <c r="G1688" s="20" t="s">
        <v>6558</v>
      </c>
      <c r="H1688" s="49" t="s">
        <v>213</v>
      </c>
      <c r="I1688" s="18" t="s">
        <v>37</v>
      </c>
      <c r="J1688" s="18" t="s">
        <v>38</v>
      </c>
      <c r="K1688" t="s">
        <v>39</v>
      </c>
      <c r="L1688" s="50">
        <f>VLOOKUP(A1688,'[3]Price info'!A:D,4,FALSE)</f>
        <v>13.36</v>
      </c>
      <c r="M1688" s="18" t="s">
        <v>214</v>
      </c>
      <c r="N1688" s="20">
        <v>3105</v>
      </c>
      <c r="P1688" s="16">
        <v>5.25</v>
      </c>
      <c r="Q1688" s="17">
        <f t="shared" si="105"/>
        <v>0.39296407185628746</v>
      </c>
      <c r="S1688" s="16" t="e">
        <f>VLOOKUP(A1688,[4]Sales!$E:$G,3,FALSE)</f>
        <v>#N/A</v>
      </c>
      <c r="T1688" s="19" t="e">
        <f>VLOOKUP(A1688,[4]Volume!$E:$G,3,FALSE)</f>
        <v>#N/A</v>
      </c>
      <c r="U1688" s="19" t="e">
        <f>VLOOKUP(A1688,[4]Piece!$E:$G,3,FALSE)</f>
        <v>#N/A</v>
      </c>
      <c r="V1688" s="21" t="e">
        <f t="shared" si="106"/>
        <v>#N/A</v>
      </c>
      <c r="W1688" s="16" t="e">
        <f t="shared" si="107"/>
        <v>#N/A</v>
      </c>
    </row>
    <row r="1689" spans="1:23" hidden="1" x14ac:dyDescent="0.3">
      <c r="A1689" s="71" t="s">
        <v>3349</v>
      </c>
      <c r="B1689" s="71" t="s">
        <v>3349</v>
      </c>
      <c r="C1689" s="47" t="s">
        <v>33</v>
      </c>
      <c r="D1689" s="48" t="s">
        <v>34</v>
      </c>
      <c r="E1689" s="18" t="s">
        <v>3350</v>
      </c>
      <c r="F1689" s="24" t="str">
        <f t="shared" si="104"/>
        <v>PPG - MIRKA AROS-B 150NV 32MM 10.8V BMFC00147</v>
      </c>
      <c r="G1689" s="20" t="s">
        <v>6559</v>
      </c>
      <c r="H1689" s="49" t="s">
        <v>213</v>
      </c>
      <c r="I1689" s="18" t="s">
        <v>37</v>
      </c>
      <c r="J1689" s="18" t="s">
        <v>38</v>
      </c>
      <c r="K1689" t="s">
        <v>39</v>
      </c>
      <c r="L1689" s="50">
        <f>VLOOKUP(A1689,'[3]Price info'!A:D,4,FALSE)</f>
        <v>796.35</v>
      </c>
      <c r="M1689" s="18" t="s">
        <v>214</v>
      </c>
      <c r="N1689" s="20">
        <v>3105</v>
      </c>
      <c r="P1689" s="16">
        <f>VLOOKUP(A1689,'[3]Price info'!A:H,8,FALSE)</f>
        <v>796.35</v>
      </c>
      <c r="Q1689" s="17">
        <f t="shared" si="105"/>
        <v>1</v>
      </c>
      <c r="S1689" s="16" t="e">
        <f>VLOOKUP(A1689,[4]Sales!$E:$G,3,FALSE)</f>
        <v>#N/A</v>
      </c>
      <c r="T1689" s="19" t="e">
        <f>VLOOKUP(A1689,[4]Volume!$E:$G,3,FALSE)</f>
        <v>#N/A</v>
      </c>
      <c r="U1689" s="19" t="e">
        <f>VLOOKUP(A1689,[4]Piece!$E:$G,3,FALSE)</f>
        <v>#N/A</v>
      </c>
      <c r="V1689" s="21" t="e">
        <f t="shared" si="106"/>
        <v>#N/A</v>
      </c>
      <c r="W1689" s="16" t="e">
        <f t="shared" si="107"/>
        <v>#N/A</v>
      </c>
    </row>
    <row r="1690" spans="1:23" hidden="1" x14ac:dyDescent="0.3">
      <c r="A1690" s="71" t="s">
        <v>3351</v>
      </c>
      <c r="B1690" s="71" t="s">
        <v>3351</v>
      </c>
      <c r="C1690" s="47" t="s">
        <v>33</v>
      </c>
      <c r="D1690" s="48" t="s">
        <v>34</v>
      </c>
      <c r="E1690" s="18" t="s">
        <v>3352</v>
      </c>
      <c r="F1690" s="24" t="str">
        <f t="shared" si="104"/>
        <v>PPG - MIRKA BACK PAD     150MM MED  8295494111</v>
      </c>
      <c r="G1690" s="20" t="s">
        <v>6560</v>
      </c>
      <c r="H1690" s="49" t="s">
        <v>213</v>
      </c>
      <c r="I1690" s="18" t="s">
        <v>37</v>
      </c>
      <c r="J1690" s="18" t="s">
        <v>38</v>
      </c>
      <c r="K1690" t="s">
        <v>39</v>
      </c>
      <c r="L1690" s="50">
        <f>VLOOKUP(A1690,'[3]Price info'!A:D,4,FALSE)</f>
        <v>56.7</v>
      </c>
      <c r="M1690" s="18" t="s">
        <v>214</v>
      </c>
      <c r="N1690" s="20">
        <v>3105</v>
      </c>
      <c r="P1690" s="16">
        <f>VLOOKUP(A1690,'[3]Price info'!A:H,8,FALSE)</f>
        <v>56.7</v>
      </c>
      <c r="Q1690" s="17">
        <f t="shared" si="105"/>
        <v>1</v>
      </c>
      <c r="S1690" s="16" t="e">
        <f>VLOOKUP(A1690,[4]Sales!$E:$G,3,FALSE)</f>
        <v>#N/A</v>
      </c>
      <c r="T1690" s="19" t="e">
        <f>VLOOKUP(A1690,[4]Volume!$E:$G,3,FALSE)</f>
        <v>#N/A</v>
      </c>
      <c r="U1690" s="19" t="e">
        <f>VLOOKUP(A1690,[4]Piece!$E:$G,3,FALSE)</f>
        <v>#N/A</v>
      </c>
      <c r="V1690" s="21" t="e">
        <f t="shared" si="106"/>
        <v>#N/A</v>
      </c>
      <c r="W1690" s="16" t="e">
        <f t="shared" si="107"/>
        <v>#N/A</v>
      </c>
    </row>
    <row r="1691" spans="1:23" hidden="1" x14ac:dyDescent="0.3">
      <c r="A1691" s="71" t="s">
        <v>3353</v>
      </c>
      <c r="B1691" s="71" t="s">
        <v>3353</v>
      </c>
      <c r="C1691" s="51" t="s">
        <v>33</v>
      </c>
      <c r="D1691" s="48" t="s">
        <v>34</v>
      </c>
      <c r="E1691" s="93" t="s">
        <v>7428</v>
      </c>
      <c r="F1691" s="24" t="str">
        <f t="shared" si="104"/>
        <v>PPG - Mirka Backing Pad for DEOS Delta Sander PK5</v>
      </c>
      <c r="G1691" s="20" t="s">
        <v>6561</v>
      </c>
      <c r="H1691" s="49" t="s">
        <v>213</v>
      </c>
      <c r="I1691" s="18" t="s">
        <v>37</v>
      </c>
      <c r="J1691" s="18" t="s">
        <v>38</v>
      </c>
      <c r="K1691" t="s">
        <v>39</v>
      </c>
      <c r="L1691" s="50">
        <f>VLOOKUP(A1691,'[3]Price info'!A:D,4,FALSE)</f>
        <v>43.78</v>
      </c>
      <c r="M1691" s="18" t="s">
        <v>214</v>
      </c>
      <c r="N1691" s="20">
        <v>3105</v>
      </c>
      <c r="P1691" s="16">
        <v>25.98</v>
      </c>
      <c r="Q1691" s="17">
        <f t="shared" si="105"/>
        <v>0.59342165372316125</v>
      </c>
      <c r="S1691" s="16" t="e">
        <f>VLOOKUP(A1691,[4]Sales!$E:$G,3,FALSE)</f>
        <v>#N/A</v>
      </c>
      <c r="T1691" s="19" t="e">
        <f>VLOOKUP(A1691,[4]Volume!$E:$G,3,FALSE)</f>
        <v>#N/A</v>
      </c>
      <c r="U1691" s="19" t="e">
        <f>VLOOKUP(A1691,[4]Piece!$E:$G,3,FALSE)</f>
        <v>#N/A</v>
      </c>
      <c r="V1691" s="21" t="e">
        <f t="shared" si="106"/>
        <v>#N/A</v>
      </c>
      <c r="W1691" s="16" t="e">
        <f t="shared" si="107"/>
        <v>#N/A</v>
      </c>
    </row>
    <row r="1692" spans="1:23" hidden="1" x14ac:dyDescent="0.3">
      <c r="A1692" s="71" t="s">
        <v>3354</v>
      </c>
      <c r="B1692" s="71" t="s">
        <v>3354</v>
      </c>
      <c r="C1692" s="47" t="s">
        <v>33</v>
      </c>
      <c r="D1692" s="48" t="s">
        <v>34</v>
      </c>
      <c r="E1692" s="18" t="s">
        <v>3355</v>
      </c>
      <c r="F1692" s="24" t="str">
        <f t="shared" si="104"/>
        <v>PPG - MIRKA BACK PAD QK  LOCK 32MM  8294598511</v>
      </c>
      <c r="G1692" s="20" t="s">
        <v>6562</v>
      </c>
      <c r="H1692" s="49" t="s">
        <v>213</v>
      </c>
      <c r="I1692" s="18" t="s">
        <v>37</v>
      </c>
      <c r="J1692" s="18" t="s">
        <v>38</v>
      </c>
      <c r="K1692" t="s">
        <v>39</v>
      </c>
      <c r="L1692" s="50">
        <f>VLOOKUP(A1692,'[3]Price info'!A:D,4,FALSE)</f>
        <v>45.87</v>
      </c>
      <c r="M1692" s="18" t="s">
        <v>214</v>
      </c>
      <c r="N1692" s="20">
        <v>3105</v>
      </c>
      <c r="P1692" s="16">
        <f>VLOOKUP(A1692,'[3]Price info'!A:H,8,FALSE)</f>
        <v>45.87</v>
      </c>
      <c r="Q1692" s="17">
        <f t="shared" si="105"/>
        <v>1</v>
      </c>
      <c r="S1692" s="16" t="e">
        <f>VLOOKUP(A1692,[4]Sales!$E:$G,3,FALSE)</f>
        <v>#N/A</v>
      </c>
      <c r="T1692" s="19" t="e">
        <f>VLOOKUP(A1692,[4]Volume!$E:$G,3,FALSE)</f>
        <v>#N/A</v>
      </c>
      <c r="U1692" s="19" t="e">
        <f>VLOOKUP(A1692,[4]Piece!$E:$G,3,FALSE)</f>
        <v>#N/A</v>
      </c>
      <c r="V1692" s="21" t="e">
        <f t="shared" si="106"/>
        <v>#N/A</v>
      </c>
      <c r="W1692" s="16" t="e">
        <f t="shared" si="107"/>
        <v>#N/A</v>
      </c>
    </row>
    <row r="1693" spans="1:23" hidden="1" x14ac:dyDescent="0.3">
      <c r="A1693" s="71" t="s">
        <v>3356</v>
      </c>
      <c r="B1693" s="71" t="s">
        <v>3356</v>
      </c>
      <c r="C1693" s="47" t="s">
        <v>33</v>
      </c>
      <c r="D1693" s="48" t="s">
        <v>34</v>
      </c>
      <c r="E1693" s="18" t="s">
        <v>3357</v>
      </c>
      <c r="F1693" s="24" t="str">
        <f t="shared" si="104"/>
        <v>PPG - MIRKA BACKING PAD             150MM</v>
      </c>
      <c r="G1693" s="20" t="s">
        <v>6563</v>
      </c>
      <c r="H1693" s="49" t="s">
        <v>213</v>
      </c>
      <c r="I1693" s="18" t="s">
        <v>37</v>
      </c>
      <c r="J1693" s="18" t="s">
        <v>38</v>
      </c>
      <c r="K1693" t="s">
        <v>39</v>
      </c>
      <c r="L1693" s="50">
        <f>VLOOKUP(A1693,'[3]Price info'!A:D,4,FALSE)</f>
        <v>53.92</v>
      </c>
      <c r="M1693" s="18" t="s">
        <v>214</v>
      </c>
      <c r="N1693" s="20">
        <v>3105</v>
      </c>
      <c r="P1693" s="16">
        <f>VLOOKUP(A1693,'[3]Price info'!A:H,8,FALSE)</f>
        <v>53.92</v>
      </c>
      <c r="Q1693" s="17">
        <f t="shared" si="105"/>
        <v>1</v>
      </c>
      <c r="S1693" s="16" t="e">
        <f>VLOOKUP(A1693,[4]Sales!$E:$G,3,FALSE)</f>
        <v>#N/A</v>
      </c>
      <c r="T1693" s="19" t="e">
        <f>VLOOKUP(A1693,[4]Volume!$E:$G,3,FALSE)</f>
        <v>#N/A</v>
      </c>
      <c r="U1693" s="19" t="e">
        <f>VLOOKUP(A1693,[4]Piece!$E:$G,3,FALSE)</f>
        <v>#N/A</v>
      </c>
      <c r="V1693" s="21" t="e">
        <f t="shared" si="106"/>
        <v>#N/A</v>
      </c>
      <c r="W1693" s="16" t="e">
        <f t="shared" si="107"/>
        <v>#N/A</v>
      </c>
    </row>
    <row r="1694" spans="1:23" hidden="1" x14ac:dyDescent="0.3">
      <c r="A1694" s="71" t="s">
        <v>3358</v>
      </c>
      <c r="B1694" s="71" t="s">
        <v>3358</v>
      </c>
      <c r="C1694" s="51" t="s">
        <v>33</v>
      </c>
      <c r="D1694" s="48" t="s">
        <v>34</v>
      </c>
      <c r="E1694" s="93" t="s">
        <v>7429</v>
      </c>
      <c r="F1694" s="24" t="str">
        <f t="shared" si="104"/>
        <v>PPG - Mirka® 81x133mm Backing Pad for DEOS</v>
      </c>
      <c r="G1694" s="20" t="s">
        <v>6564</v>
      </c>
      <c r="H1694" s="49" t="s">
        <v>213</v>
      </c>
      <c r="I1694" s="18" t="s">
        <v>37</v>
      </c>
      <c r="J1694" s="18" t="s">
        <v>38</v>
      </c>
      <c r="K1694" t="s">
        <v>39</v>
      </c>
      <c r="L1694" s="50">
        <f>VLOOKUP(A1694,'[3]Price info'!A:D,4,FALSE)</f>
        <v>38.76</v>
      </c>
      <c r="M1694" s="18" t="s">
        <v>214</v>
      </c>
      <c r="N1694" s="20">
        <v>3105</v>
      </c>
      <c r="P1694" s="16">
        <v>23.53</v>
      </c>
      <c r="Q1694" s="17">
        <f t="shared" si="105"/>
        <v>0.60706914344685248</v>
      </c>
      <c r="S1694" s="16" t="e">
        <f>VLOOKUP(A1694,[4]Sales!$E:$G,3,FALSE)</f>
        <v>#N/A</v>
      </c>
      <c r="T1694" s="19" t="e">
        <f>VLOOKUP(A1694,[4]Volume!$E:$G,3,FALSE)</f>
        <v>#N/A</v>
      </c>
      <c r="U1694" s="19" t="e">
        <f>VLOOKUP(A1694,[4]Piece!$E:$G,3,FALSE)</f>
        <v>#N/A</v>
      </c>
      <c r="V1694" s="21" t="e">
        <f t="shared" si="106"/>
        <v>#N/A</v>
      </c>
      <c r="W1694" s="16" t="e">
        <f t="shared" si="107"/>
        <v>#N/A</v>
      </c>
    </row>
    <row r="1695" spans="1:23" hidden="1" x14ac:dyDescent="0.3">
      <c r="A1695" s="71" t="s">
        <v>3359</v>
      </c>
      <c r="B1695" s="71" t="s">
        <v>3359</v>
      </c>
      <c r="C1695" s="47" t="s">
        <v>33</v>
      </c>
      <c r="D1695" s="48" t="s">
        <v>34</v>
      </c>
      <c r="E1695" s="18" t="s">
        <v>3360</v>
      </c>
      <c r="F1695" s="24" t="str">
        <f t="shared" si="104"/>
        <v>PPG - MIRKA BESKYTTELSE RONDEL 225MM</v>
      </c>
      <c r="G1695" s="20" t="s">
        <v>6565</v>
      </c>
      <c r="H1695" s="49" t="s">
        <v>213</v>
      </c>
      <c r="I1695" s="18" t="s">
        <v>37</v>
      </c>
      <c r="J1695" s="18" t="s">
        <v>38</v>
      </c>
      <c r="K1695" t="s">
        <v>39</v>
      </c>
      <c r="L1695" s="50">
        <f>VLOOKUP(A1695,'[3]Price info'!A:D,4,FALSE)</f>
        <v>25.31</v>
      </c>
      <c r="M1695" s="18" t="s">
        <v>214</v>
      </c>
      <c r="N1695" s="20">
        <v>3105</v>
      </c>
      <c r="P1695" s="16">
        <f>VLOOKUP(A1695,'[3]Price info'!A:H,8,FALSE)</f>
        <v>25.31</v>
      </c>
      <c r="Q1695" s="17">
        <f t="shared" si="105"/>
        <v>1</v>
      </c>
      <c r="S1695" s="16" t="e">
        <f>VLOOKUP(A1695,[4]Sales!$E:$G,3,FALSE)</f>
        <v>#N/A</v>
      </c>
      <c r="T1695" s="19" t="e">
        <f>VLOOKUP(A1695,[4]Volume!$E:$G,3,FALSE)</f>
        <v>#N/A</v>
      </c>
      <c r="U1695" s="19" t="e">
        <f>VLOOKUP(A1695,[4]Piece!$E:$G,3,FALSE)</f>
        <v>#N/A</v>
      </c>
      <c r="V1695" s="21" t="e">
        <f t="shared" si="106"/>
        <v>#N/A</v>
      </c>
      <c r="W1695" s="16" t="e">
        <f t="shared" si="107"/>
        <v>#N/A</v>
      </c>
    </row>
    <row r="1696" spans="1:23" hidden="1" x14ac:dyDescent="0.3">
      <c r="A1696" s="71" t="s">
        <v>3361</v>
      </c>
      <c r="B1696" s="71" t="s">
        <v>3361</v>
      </c>
      <c r="C1696" s="47" t="s">
        <v>33</v>
      </c>
      <c r="D1696" s="48" t="s">
        <v>34</v>
      </c>
      <c r="E1696" s="93" t="s">
        <v>7430</v>
      </c>
      <c r="F1696" s="24" t="str">
        <f t="shared" si="104"/>
        <v>PPG - Mirka Rewireable Mains Cable 4.3m 230v UK</v>
      </c>
      <c r="G1696" s="20" t="s">
        <v>6566</v>
      </c>
      <c r="H1696" s="49" t="s">
        <v>213</v>
      </c>
      <c r="I1696" s="18" t="s">
        <v>37</v>
      </c>
      <c r="J1696" s="18" t="s">
        <v>38</v>
      </c>
      <c r="K1696" t="s">
        <v>39</v>
      </c>
      <c r="L1696" s="50">
        <f>VLOOKUP(A1696,'[3]Price info'!A:D,4,FALSE)</f>
        <v>44.55</v>
      </c>
      <c r="M1696" s="18" t="s">
        <v>214</v>
      </c>
      <c r="N1696" s="20">
        <v>3105</v>
      </c>
      <c r="P1696" s="16">
        <v>41.2</v>
      </c>
      <c r="Q1696" s="17">
        <f t="shared" si="105"/>
        <v>0.92480359147025826</v>
      </c>
      <c r="S1696" s="16" t="e">
        <f>VLOOKUP(A1696,[4]Sales!$E:$G,3,FALSE)</f>
        <v>#N/A</v>
      </c>
      <c r="T1696" s="19" t="e">
        <f>VLOOKUP(A1696,[4]Volume!$E:$G,3,FALSE)</f>
        <v>#N/A</v>
      </c>
      <c r="U1696" s="19" t="e">
        <f>VLOOKUP(A1696,[4]Piece!$E:$G,3,FALSE)</f>
        <v>#N/A</v>
      </c>
      <c r="V1696" s="21" t="e">
        <f t="shared" si="106"/>
        <v>#N/A</v>
      </c>
      <c r="W1696" s="16" t="e">
        <f t="shared" si="107"/>
        <v>#N/A</v>
      </c>
    </row>
    <row r="1697" spans="1:23" hidden="1" x14ac:dyDescent="0.3">
      <c r="A1697" s="71" t="s">
        <v>3362</v>
      </c>
      <c r="B1697" s="71" t="s">
        <v>3362</v>
      </c>
      <c r="C1697" s="51" t="s">
        <v>33</v>
      </c>
      <c r="D1697" s="48" t="s">
        <v>34</v>
      </c>
      <c r="E1697" s="93" t="s">
        <v>7431</v>
      </c>
      <c r="F1697" s="24" t="str">
        <f t="shared" si="104"/>
        <v xml:space="preserve">PPG - Mirka Case Fastening Acc for 1230 Extractor </v>
      </c>
      <c r="G1697" s="20" t="s">
        <v>6567</v>
      </c>
      <c r="H1697" s="49" t="s">
        <v>213</v>
      </c>
      <c r="I1697" s="18" t="s">
        <v>37</v>
      </c>
      <c r="J1697" s="18" t="s">
        <v>38</v>
      </c>
      <c r="K1697" t="s">
        <v>39</v>
      </c>
      <c r="L1697" s="50">
        <f>VLOOKUP(A1697,'[3]Price info'!A:D,4,FALSE)</f>
        <v>31.48</v>
      </c>
      <c r="M1697" s="18" t="s">
        <v>214</v>
      </c>
      <c r="N1697" s="20">
        <v>3105</v>
      </c>
      <c r="P1697" s="16">
        <v>22.05</v>
      </c>
      <c r="Q1697" s="17">
        <f t="shared" si="105"/>
        <v>0.70044472681067349</v>
      </c>
      <c r="S1697" s="16" t="e">
        <f>VLOOKUP(A1697,[4]Sales!$E:$G,3,FALSE)</f>
        <v>#N/A</v>
      </c>
      <c r="T1697" s="19" t="e">
        <f>VLOOKUP(A1697,[4]Volume!$E:$G,3,FALSE)</f>
        <v>#N/A</v>
      </c>
      <c r="U1697" s="19" t="e">
        <f>VLOOKUP(A1697,[4]Piece!$E:$G,3,FALSE)</f>
        <v>#N/A</v>
      </c>
      <c r="V1697" s="21" t="e">
        <f t="shared" si="106"/>
        <v>#N/A</v>
      </c>
      <c r="W1697" s="16" t="e">
        <f t="shared" si="107"/>
        <v>#N/A</v>
      </c>
    </row>
    <row r="1698" spans="1:23" hidden="1" x14ac:dyDescent="0.3">
      <c r="A1698" s="71" t="s">
        <v>3363</v>
      </c>
      <c r="B1698" s="71" t="s">
        <v>3363</v>
      </c>
      <c r="C1698" s="47" t="s">
        <v>33</v>
      </c>
      <c r="D1698" s="48" t="s">
        <v>34</v>
      </c>
      <c r="E1698" s="93" t="s">
        <v>7432</v>
      </c>
      <c r="F1698" s="24" t="str">
        <f t="shared" si="104"/>
        <v>PPG - Mirka DEOS &amp; DEROS 230v Kit</v>
      </c>
      <c r="G1698" s="20" t="s">
        <v>6568</v>
      </c>
      <c r="H1698" s="49" t="s">
        <v>213</v>
      </c>
      <c r="I1698" s="18" t="s">
        <v>37</v>
      </c>
      <c r="J1698" s="18" t="s">
        <v>38</v>
      </c>
      <c r="K1698" t="s">
        <v>39</v>
      </c>
      <c r="L1698" s="50">
        <f>VLOOKUP(A1698,'[3]Price info'!A:D,4,FALSE)</f>
        <v>1050.6400000000001</v>
      </c>
      <c r="M1698" s="18" t="s">
        <v>214</v>
      </c>
      <c r="N1698" s="20">
        <v>3105</v>
      </c>
      <c r="P1698" s="16">
        <v>953.25</v>
      </c>
      <c r="Q1698" s="17">
        <f t="shared" si="105"/>
        <v>0.9073041193938931</v>
      </c>
      <c r="S1698" s="16" t="e">
        <f>VLOOKUP(A1698,[4]Sales!$E:$G,3,FALSE)</f>
        <v>#N/A</v>
      </c>
      <c r="T1698" s="19" t="e">
        <f>VLOOKUP(A1698,[4]Volume!$E:$G,3,FALSE)</f>
        <v>#N/A</v>
      </c>
      <c r="U1698" s="19" t="e">
        <f>VLOOKUP(A1698,[4]Piece!$E:$G,3,FALSE)</f>
        <v>#N/A</v>
      </c>
      <c r="V1698" s="21" t="e">
        <f t="shared" si="106"/>
        <v>#N/A</v>
      </c>
      <c r="W1698" s="16" t="e">
        <f t="shared" si="107"/>
        <v>#N/A</v>
      </c>
    </row>
    <row r="1699" spans="1:23" hidden="1" x14ac:dyDescent="0.3">
      <c r="A1699" s="71" t="s">
        <v>3364</v>
      </c>
      <c r="B1699" s="71" t="s">
        <v>3364</v>
      </c>
      <c r="C1699" s="47" t="s">
        <v>33</v>
      </c>
      <c r="D1699" s="48" t="s">
        <v>34</v>
      </c>
      <c r="E1699" s="18" t="s">
        <v>3365</v>
      </c>
      <c r="F1699" s="24" t="str">
        <f t="shared" si="104"/>
        <v>PPG - MIRKA CEROS MAINS  CABLE 230V 6416868323</v>
      </c>
      <c r="G1699" s="20" t="s">
        <v>6569</v>
      </c>
      <c r="H1699" s="49" t="s">
        <v>213</v>
      </c>
      <c r="I1699" s="18" t="s">
        <v>37</v>
      </c>
      <c r="J1699" s="18" t="s">
        <v>38</v>
      </c>
      <c r="K1699" t="s">
        <v>39</v>
      </c>
      <c r="L1699" s="50">
        <f>VLOOKUP(A1699,'[3]Price info'!A:D,4,FALSE)</f>
        <v>33.31</v>
      </c>
      <c r="M1699" s="18" t="s">
        <v>214</v>
      </c>
      <c r="N1699" s="20">
        <v>3105</v>
      </c>
      <c r="P1699" s="16">
        <f>VLOOKUP(A1699,'[3]Price info'!A:H,8,FALSE)</f>
        <v>33.31</v>
      </c>
      <c r="Q1699" s="17">
        <f t="shared" si="105"/>
        <v>1</v>
      </c>
      <c r="S1699" s="16" t="e">
        <f>VLOOKUP(A1699,[4]Sales!$E:$G,3,FALSE)</f>
        <v>#N/A</v>
      </c>
      <c r="T1699" s="19" t="e">
        <f>VLOOKUP(A1699,[4]Volume!$E:$G,3,FALSE)</f>
        <v>#N/A</v>
      </c>
      <c r="U1699" s="19" t="e">
        <f>VLOOKUP(A1699,[4]Piece!$E:$G,3,FALSE)</f>
        <v>#N/A</v>
      </c>
      <c r="V1699" s="21" t="e">
        <f t="shared" si="106"/>
        <v>#N/A</v>
      </c>
      <c r="W1699" s="16" t="e">
        <f t="shared" si="107"/>
        <v>#N/A</v>
      </c>
    </row>
    <row r="1700" spans="1:23" hidden="1" x14ac:dyDescent="0.3">
      <c r="A1700" s="71" t="s">
        <v>3366</v>
      </c>
      <c r="B1700" s="71" t="s">
        <v>3366</v>
      </c>
      <c r="C1700" s="51" t="s">
        <v>33</v>
      </c>
      <c r="D1700" s="48" t="s">
        <v>34</v>
      </c>
      <c r="E1700" s="93" t="s">
        <v>7433</v>
      </c>
      <c r="F1700" s="24" t="str">
        <f t="shared" si="104"/>
        <v>PPG - Mirka Yellow Case 400x300x158mm</v>
      </c>
      <c r="G1700" s="20" t="s">
        <v>6570</v>
      </c>
      <c r="H1700" s="49" t="s">
        <v>213</v>
      </c>
      <c r="I1700" s="18" t="s">
        <v>37</v>
      </c>
      <c r="J1700" s="18" t="s">
        <v>38</v>
      </c>
      <c r="K1700" t="s">
        <v>39</v>
      </c>
      <c r="L1700" s="50">
        <f>VLOOKUP(A1700,'[3]Price info'!A:D,4,FALSE)</f>
        <v>99.15</v>
      </c>
      <c r="M1700" s="18" t="s">
        <v>214</v>
      </c>
      <c r="N1700" s="20">
        <v>3105</v>
      </c>
      <c r="P1700" s="16">
        <v>64.319999999999993</v>
      </c>
      <c r="Q1700" s="17">
        <f t="shared" si="105"/>
        <v>0.64871406959152789</v>
      </c>
      <c r="S1700" s="16" t="e">
        <f>VLOOKUP(A1700,[4]Sales!$E:$G,3,FALSE)</f>
        <v>#N/A</v>
      </c>
      <c r="T1700" s="19" t="e">
        <f>VLOOKUP(A1700,[4]Volume!$E:$G,3,FALSE)</f>
        <v>#N/A</v>
      </c>
      <c r="U1700" s="19" t="e">
        <f>VLOOKUP(A1700,[4]Piece!$E:$G,3,FALSE)</f>
        <v>#N/A</v>
      </c>
      <c r="V1700" s="21" t="e">
        <f t="shared" si="106"/>
        <v>#N/A</v>
      </c>
      <c r="W1700" s="16" t="e">
        <f t="shared" si="107"/>
        <v>#N/A</v>
      </c>
    </row>
    <row r="1701" spans="1:23" hidden="1" x14ac:dyDescent="0.3">
      <c r="A1701" s="71" t="s">
        <v>3367</v>
      </c>
      <c r="B1701" s="71" t="s">
        <v>3367</v>
      </c>
      <c r="C1701" s="47" t="s">
        <v>33</v>
      </c>
      <c r="D1701" s="48" t="s">
        <v>34</v>
      </c>
      <c r="E1701" s="18" t="s">
        <v>3368</v>
      </c>
      <c r="F1701" s="24" t="str">
        <f t="shared" si="104"/>
        <v>PPG - MIRKA DECO KIT     110V DEOS  DELTA</v>
      </c>
      <c r="G1701" s="20" t="s">
        <v>6571</v>
      </c>
      <c r="H1701" s="49" t="s">
        <v>213</v>
      </c>
      <c r="I1701" s="18" t="s">
        <v>37</v>
      </c>
      <c r="J1701" s="18" t="s">
        <v>38</v>
      </c>
      <c r="K1701" t="s">
        <v>39</v>
      </c>
      <c r="L1701" s="50">
        <f>VLOOKUP(A1701,'[3]Price info'!A:D,4,FALSE)</f>
        <v>695.55</v>
      </c>
      <c r="M1701" s="18" t="s">
        <v>214</v>
      </c>
      <c r="N1701" s="20">
        <v>3105</v>
      </c>
      <c r="P1701" s="16">
        <f>VLOOKUP(A1701,'[3]Price info'!A:H,8,FALSE)</f>
        <v>695.55</v>
      </c>
      <c r="Q1701" s="17">
        <f t="shared" si="105"/>
        <v>1</v>
      </c>
      <c r="S1701" s="16" t="e">
        <f>VLOOKUP(A1701,[4]Sales!$E:$G,3,FALSE)</f>
        <v>#N/A</v>
      </c>
      <c r="T1701" s="19" t="e">
        <f>VLOOKUP(A1701,[4]Volume!$E:$G,3,FALSE)</f>
        <v>#N/A</v>
      </c>
      <c r="U1701" s="19" t="e">
        <f>VLOOKUP(A1701,[4]Piece!$E:$G,3,FALSE)</f>
        <v>#N/A</v>
      </c>
      <c r="V1701" s="21" t="e">
        <f t="shared" si="106"/>
        <v>#N/A</v>
      </c>
      <c r="W1701" s="16" t="e">
        <f t="shared" si="107"/>
        <v>#N/A</v>
      </c>
    </row>
    <row r="1702" spans="1:23" hidden="1" x14ac:dyDescent="0.3">
      <c r="A1702" s="71" t="s">
        <v>3369</v>
      </c>
      <c r="B1702" s="71" t="s">
        <v>3369</v>
      </c>
      <c r="C1702" s="47" t="s">
        <v>33</v>
      </c>
      <c r="D1702" s="48" t="s">
        <v>34</v>
      </c>
      <c r="E1702" s="93" t="s">
        <v>7434</v>
      </c>
      <c r="F1702" s="24" t="str">
        <f t="shared" si="104"/>
        <v>PPG - Mirka Abranet Ace HD 152x152x100mm PK25 P120</v>
      </c>
      <c r="G1702" s="20" t="s">
        <v>6572</v>
      </c>
      <c r="H1702" s="49" t="s">
        <v>213</v>
      </c>
      <c r="I1702" s="18" t="s">
        <v>37</v>
      </c>
      <c r="J1702" s="18" t="s">
        <v>38</v>
      </c>
      <c r="K1702" t="s">
        <v>39</v>
      </c>
      <c r="L1702" s="50">
        <f>VLOOKUP(A1702,'[3]Price info'!A:D,4,FALSE)</f>
        <v>42.15</v>
      </c>
      <c r="M1702" s="18" t="s">
        <v>214</v>
      </c>
      <c r="N1702" s="20">
        <v>3105</v>
      </c>
      <c r="P1702" s="16">
        <v>23.15</v>
      </c>
      <c r="Q1702" s="17">
        <f t="shared" si="105"/>
        <v>0.54922894424673785</v>
      </c>
      <c r="S1702" s="16" t="e">
        <f>VLOOKUP(A1702,[4]Sales!$E:$G,3,FALSE)</f>
        <v>#N/A</v>
      </c>
      <c r="T1702" s="19" t="e">
        <f>VLOOKUP(A1702,[4]Volume!$E:$G,3,FALSE)</f>
        <v>#N/A</v>
      </c>
      <c r="U1702" s="19" t="e">
        <f>VLOOKUP(A1702,[4]Piece!$E:$G,3,FALSE)</f>
        <v>#N/A</v>
      </c>
      <c r="V1702" s="21" t="e">
        <f t="shared" si="106"/>
        <v>#N/A</v>
      </c>
      <c r="W1702" s="16" t="e">
        <f t="shared" si="107"/>
        <v>#N/A</v>
      </c>
    </row>
    <row r="1703" spans="1:23" hidden="1" x14ac:dyDescent="0.3">
      <c r="A1703" s="71" t="s">
        <v>3370</v>
      </c>
      <c r="B1703" s="71" t="s">
        <v>3370</v>
      </c>
      <c r="C1703" s="51" t="s">
        <v>33</v>
      </c>
      <c r="D1703" s="48" t="s">
        <v>34</v>
      </c>
      <c r="E1703" s="93" t="s">
        <v>7435</v>
      </c>
      <c r="F1703" s="24" t="str">
        <f t="shared" si="104"/>
        <v>PPG - Mirka Abranet 152x152x100mm PK50 P180</v>
      </c>
      <c r="G1703" s="20" t="s">
        <v>6573</v>
      </c>
      <c r="H1703" s="49" t="s">
        <v>213</v>
      </c>
      <c r="I1703" s="18" t="s">
        <v>37</v>
      </c>
      <c r="J1703" s="18" t="s">
        <v>38</v>
      </c>
      <c r="K1703" t="s">
        <v>39</v>
      </c>
      <c r="L1703" s="50">
        <f>VLOOKUP(A1703,'[3]Price info'!A:D,4,FALSE)</f>
        <v>60.32</v>
      </c>
      <c r="M1703" s="18" t="s">
        <v>214</v>
      </c>
      <c r="N1703" s="20">
        <v>3105</v>
      </c>
      <c r="P1703" s="16">
        <v>33.119999999999997</v>
      </c>
      <c r="Q1703" s="17">
        <f t="shared" si="105"/>
        <v>0.54907161803713522</v>
      </c>
      <c r="S1703" s="16" t="e">
        <f>VLOOKUP(A1703,[4]Sales!$E:$G,3,FALSE)</f>
        <v>#N/A</v>
      </c>
      <c r="T1703" s="19" t="e">
        <f>VLOOKUP(A1703,[4]Volume!$E:$G,3,FALSE)</f>
        <v>#N/A</v>
      </c>
      <c r="U1703" s="19" t="e">
        <f>VLOOKUP(A1703,[4]Piece!$E:$G,3,FALSE)</f>
        <v>#N/A</v>
      </c>
      <c r="V1703" s="21" t="e">
        <f t="shared" si="106"/>
        <v>#N/A</v>
      </c>
      <c r="W1703" s="16" t="e">
        <f t="shared" si="107"/>
        <v>#N/A</v>
      </c>
    </row>
    <row r="1704" spans="1:23" hidden="1" x14ac:dyDescent="0.3">
      <c r="A1704" s="71" t="s">
        <v>3371</v>
      </c>
      <c r="B1704" s="71" t="s">
        <v>3371</v>
      </c>
      <c r="C1704" s="47" t="s">
        <v>33</v>
      </c>
      <c r="D1704" s="48" t="s">
        <v>34</v>
      </c>
      <c r="E1704" s="93" t="s">
        <v>7436</v>
      </c>
      <c r="F1704" s="24" t="str">
        <f t="shared" si="104"/>
        <v>PPG - Mirka Abranet 152x152x100mm PK50 P240</v>
      </c>
      <c r="G1704" s="20" t="s">
        <v>6574</v>
      </c>
      <c r="H1704" s="49" t="s">
        <v>213</v>
      </c>
      <c r="I1704" s="18" t="s">
        <v>37</v>
      </c>
      <c r="J1704" s="18" t="s">
        <v>38</v>
      </c>
      <c r="K1704" t="s">
        <v>39</v>
      </c>
      <c r="L1704" s="50">
        <f>VLOOKUP(A1704,'[3]Price info'!A:D,4,FALSE)</f>
        <v>60.32</v>
      </c>
      <c r="M1704" s="18" t="s">
        <v>214</v>
      </c>
      <c r="N1704" s="20">
        <v>3105</v>
      </c>
      <c r="P1704" s="16">
        <v>33.119999999999997</v>
      </c>
      <c r="Q1704" s="17">
        <f t="shared" si="105"/>
        <v>0.54907161803713522</v>
      </c>
      <c r="S1704" s="16" t="e">
        <f>VLOOKUP(A1704,[4]Sales!$E:$G,3,FALSE)</f>
        <v>#N/A</v>
      </c>
      <c r="T1704" s="19" t="e">
        <f>VLOOKUP(A1704,[4]Volume!$E:$G,3,FALSE)</f>
        <v>#N/A</v>
      </c>
      <c r="U1704" s="19" t="e">
        <f>VLOOKUP(A1704,[4]Piece!$E:$G,3,FALSE)</f>
        <v>#N/A</v>
      </c>
      <c r="V1704" s="21" t="e">
        <f t="shared" si="106"/>
        <v>#N/A</v>
      </c>
      <c r="W1704" s="16" t="e">
        <f t="shared" si="107"/>
        <v>#N/A</v>
      </c>
    </row>
    <row r="1705" spans="1:23" hidden="1" x14ac:dyDescent="0.3">
      <c r="A1705" s="71" t="s">
        <v>3372</v>
      </c>
      <c r="B1705" s="71" t="s">
        <v>3372</v>
      </c>
      <c r="C1705" s="47" t="s">
        <v>33</v>
      </c>
      <c r="D1705" s="48" t="s">
        <v>34</v>
      </c>
      <c r="E1705" s="93" t="s">
        <v>7437</v>
      </c>
      <c r="F1705" s="24" t="str">
        <f t="shared" si="104"/>
        <v>PPG - Mirka Abranet Ace HD 152x152x100mm PK25 P40</v>
      </c>
      <c r="G1705" s="20" t="s">
        <v>6575</v>
      </c>
      <c r="H1705" s="49" t="s">
        <v>213</v>
      </c>
      <c r="I1705" s="18" t="s">
        <v>37</v>
      </c>
      <c r="J1705" s="18" t="s">
        <v>38</v>
      </c>
      <c r="K1705" t="s">
        <v>39</v>
      </c>
      <c r="L1705" s="50">
        <f>VLOOKUP(A1705,'[3]Price info'!A:D,4,FALSE)</f>
        <v>49.29</v>
      </c>
      <c r="M1705" s="18" t="s">
        <v>214</v>
      </c>
      <c r="N1705" s="20">
        <v>3105</v>
      </c>
      <c r="P1705" s="16">
        <v>27.08</v>
      </c>
      <c r="Q1705" s="17">
        <f t="shared" si="105"/>
        <v>0.54940150131872589</v>
      </c>
      <c r="S1705" s="16">
        <f>VLOOKUP(A1705,[4]Sales!$E:$G,3,FALSE)</f>
        <v>24.3</v>
      </c>
      <c r="T1705" s="19">
        <f>VLOOKUP(A1705,[4]Volume!$E:$G,3,FALSE)</f>
        <v>1</v>
      </c>
      <c r="U1705" s="19">
        <f>VLOOKUP(A1705,[4]Piece!$E:$G,3,FALSE)</f>
        <v>1</v>
      </c>
      <c r="V1705" s="21">
        <f t="shared" si="106"/>
        <v>27.08</v>
      </c>
      <c r="W1705" s="16">
        <f t="shared" si="107"/>
        <v>2.7799999999999976</v>
      </c>
    </row>
    <row r="1706" spans="1:23" hidden="1" x14ac:dyDescent="0.3">
      <c r="A1706" s="71" t="s">
        <v>3373</v>
      </c>
      <c r="B1706" s="71" t="s">
        <v>3373</v>
      </c>
      <c r="C1706" s="51" t="s">
        <v>33</v>
      </c>
      <c r="D1706" s="48" t="s">
        <v>34</v>
      </c>
      <c r="E1706" s="93" t="s">
        <v>7438</v>
      </c>
      <c r="F1706" s="24" t="str">
        <f t="shared" si="104"/>
        <v>PPG - Mirka Abranet 152x152x100mm PK10 P80</v>
      </c>
      <c r="G1706" s="20" t="s">
        <v>6576</v>
      </c>
      <c r="H1706" s="49" t="s">
        <v>213</v>
      </c>
      <c r="I1706" s="18" t="s">
        <v>37</v>
      </c>
      <c r="J1706" s="18" t="s">
        <v>38</v>
      </c>
      <c r="K1706" t="s">
        <v>39</v>
      </c>
      <c r="L1706" s="50">
        <f>VLOOKUP(A1706,'[3]Price info'!A:D,4,FALSE)</f>
        <v>22.77</v>
      </c>
      <c r="M1706" s="18" t="s">
        <v>214</v>
      </c>
      <c r="N1706" s="20">
        <v>3105</v>
      </c>
      <c r="P1706" s="16">
        <v>11.58</v>
      </c>
      <c r="Q1706" s="17">
        <f t="shared" si="105"/>
        <v>0.50856389986824768</v>
      </c>
      <c r="S1706" s="16" t="e">
        <f>VLOOKUP(A1706,[4]Sales!$E:$G,3,FALSE)</f>
        <v>#N/A</v>
      </c>
      <c r="T1706" s="19" t="e">
        <f>VLOOKUP(A1706,[4]Volume!$E:$G,3,FALSE)</f>
        <v>#N/A</v>
      </c>
      <c r="U1706" s="19" t="e">
        <f>VLOOKUP(A1706,[4]Piece!$E:$G,3,FALSE)</f>
        <v>#N/A</v>
      </c>
      <c r="V1706" s="21" t="e">
        <f t="shared" si="106"/>
        <v>#N/A</v>
      </c>
      <c r="W1706" s="16" t="e">
        <f t="shared" si="107"/>
        <v>#N/A</v>
      </c>
    </row>
    <row r="1707" spans="1:23" hidden="1" x14ac:dyDescent="0.3">
      <c r="A1707" s="71" t="s">
        <v>3374</v>
      </c>
      <c r="B1707" s="71" t="s">
        <v>3374</v>
      </c>
      <c r="C1707" s="47" t="s">
        <v>33</v>
      </c>
      <c r="D1707" s="48" t="s">
        <v>34</v>
      </c>
      <c r="E1707" s="93" t="s">
        <v>7439</v>
      </c>
      <c r="F1707" s="24" t="str">
        <f t="shared" si="104"/>
        <v>PPG - Mirka Abranet Ace HD 152x152x100mm PK25 P80</v>
      </c>
      <c r="G1707" s="20" t="s">
        <v>6577</v>
      </c>
      <c r="H1707" s="49" t="s">
        <v>213</v>
      </c>
      <c r="I1707" s="18" t="s">
        <v>37</v>
      </c>
      <c r="J1707" s="18" t="s">
        <v>38</v>
      </c>
      <c r="K1707" t="s">
        <v>39</v>
      </c>
      <c r="L1707" s="50">
        <f>VLOOKUP(A1707,'[3]Price info'!A:D,4,FALSE)</f>
        <v>44.43</v>
      </c>
      <c r="M1707" s="18" t="s">
        <v>214</v>
      </c>
      <c r="N1707" s="20">
        <v>3105</v>
      </c>
      <c r="P1707" s="16">
        <v>24.4</v>
      </c>
      <c r="Q1707" s="17">
        <f t="shared" si="105"/>
        <v>0.54917848300697725</v>
      </c>
      <c r="S1707" s="16">
        <f>VLOOKUP(A1707,[4]Sales!$E:$G,3,FALSE)</f>
        <v>19.600000000000001</v>
      </c>
      <c r="T1707" s="19">
        <f>VLOOKUP(A1707,[4]Volume!$E:$G,3,FALSE)</f>
        <v>1</v>
      </c>
      <c r="U1707" s="19">
        <f>VLOOKUP(A1707,[4]Piece!$E:$G,3,FALSE)</f>
        <v>1</v>
      </c>
      <c r="V1707" s="21">
        <f t="shared" si="106"/>
        <v>24.4</v>
      </c>
      <c r="W1707" s="16">
        <f t="shared" si="107"/>
        <v>4.7999999999999972</v>
      </c>
    </row>
    <row r="1708" spans="1:23" hidden="1" x14ac:dyDescent="0.3">
      <c r="A1708" s="71" t="s">
        <v>3375</v>
      </c>
      <c r="B1708" s="71" t="s">
        <v>3375</v>
      </c>
      <c r="C1708" s="47" t="s">
        <v>33</v>
      </c>
      <c r="D1708" s="48" t="s">
        <v>34</v>
      </c>
      <c r="E1708" s="93" t="s">
        <v>7440</v>
      </c>
      <c r="F1708" s="24" t="str">
        <f t="shared" si="104"/>
        <v>PPG - Mirka DEOS 353CV 81 x 133mm 230v in case</v>
      </c>
      <c r="G1708" s="20" t="s">
        <v>6578</v>
      </c>
      <c r="H1708" s="49" t="s">
        <v>213</v>
      </c>
      <c r="I1708" s="18" t="s">
        <v>37</v>
      </c>
      <c r="J1708" s="18" t="s">
        <v>38</v>
      </c>
      <c r="K1708" t="s">
        <v>39</v>
      </c>
      <c r="L1708" s="50">
        <f>VLOOKUP(A1708,'[3]Price info'!A:D,4,FALSE)</f>
        <v>585.79</v>
      </c>
      <c r="M1708" s="18" t="s">
        <v>214</v>
      </c>
      <c r="N1708" s="20">
        <v>3105</v>
      </c>
      <c r="P1708" s="16">
        <v>575.55999999999995</v>
      </c>
      <c r="Q1708" s="17">
        <f t="shared" si="105"/>
        <v>0.98253640383072427</v>
      </c>
      <c r="S1708" s="16" t="e">
        <f>VLOOKUP(A1708,[4]Sales!$E:$G,3,FALSE)</f>
        <v>#N/A</v>
      </c>
      <c r="T1708" s="19" t="e">
        <f>VLOOKUP(A1708,[4]Volume!$E:$G,3,FALSE)</f>
        <v>#N/A</v>
      </c>
      <c r="U1708" s="19" t="e">
        <f>VLOOKUP(A1708,[4]Piece!$E:$G,3,FALSE)</f>
        <v>#N/A</v>
      </c>
      <c r="V1708" s="21" t="e">
        <f t="shared" si="106"/>
        <v>#N/A</v>
      </c>
      <c r="W1708" s="16" t="e">
        <f t="shared" si="107"/>
        <v>#N/A</v>
      </c>
    </row>
    <row r="1709" spans="1:23" hidden="1" x14ac:dyDescent="0.3">
      <c r="A1709" s="71" t="s">
        <v>3376</v>
      </c>
      <c r="B1709" s="71" t="s">
        <v>3376</v>
      </c>
      <c r="C1709" s="51" t="s">
        <v>33</v>
      </c>
      <c r="D1709" s="48" t="s">
        <v>34</v>
      </c>
      <c r="E1709" s="93" t="s">
        <v>7441</v>
      </c>
      <c r="F1709" s="24" t="str">
        <f t="shared" si="104"/>
        <v>PPG - Mirka DEOS 383CV 70 x 198mm 230v in box</v>
      </c>
      <c r="G1709" s="20" t="s">
        <v>6579</v>
      </c>
      <c r="H1709" s="49" t="s">
        <v>213</v>
      </c>
      <c r="I1709" s="18" t="s">
        <v>37</v>
      </c>
      <c r="J1709" s="18" t="s">
        <v>38</v>
      </c>
      <c r="K1709" t="s">
        <v>39</v>
      </c>
      <c r="L1709" s="50">
        <f>VLOOKUP(A1709,'[3]Price info'!A:D,4,FALSE)</f>
        <v>565.66</v>
      </c>
      <c r="M1709" s="18" t="s">
        <v>214</v>
      </c>
      <c r="N1709" s="20">
        <v>3105</v>
      </c>
      <c r="P1709" s="16">
        <v>531.84</v>
      </c>
      <c r="Q1709" s="17">
        <f t="shared" si="105"/>
        <v>0.94021143443057675</v>
      </c>
      <c r="S1709" s="16" t="e">
        <f>VLOOKUP(A1709,[4]Sales!$E:$G,3,FALSE)</f>
        <v>#N/A</v>
      </c>
      <c r="T1709" s="19" t="e">
        <f>VLOOKUP(A1709,[4]Volume!$E:$G,3,FALSE)</f>
        <v>#N/A</v>
      </c>
      <c r="U1709" s="19" t="e">
        <f>VLOOKUP(A1709,[4]Piece!$E:$G,3,FALSE)</f>
        <v>#N/A</v>
      </c>
      <c r="V1709" s="21" t="e">
        <f t="shared" si="106"/>
        <v>#N/A</v>
      </c>
      <c r="W1709" s="16" t="e">
        <f t="shared" si="107"/>
        <v>#N/A</v>
      </c>
    </row>
    <row r="1710" spans="1:23" hidden="1" x14ac:dyDescent="0.3">
      <c r="A1710" s="71" t="s">
        <v>3377</v>
      </c>
      <c r="B1710" s="71" t="s">
        <v>3377</v>
      </c>
      <c r="C1710" s="47" t="s">
        <v>33</v>
      </c>
      <c r="D1710" s="48" t="s">
        <v>34</v>
      </c>
      <c r="E1710" s="18" t="s">
        <v>3378</v>
      </c>
      <c r="F1710" s="24" t="str">
        <f t="shared" si="104"/>
        <v>PPG - MIRKA DEOS BANKING PLATE      MIE3512611</v>
      </c>
      <c r="G1710" s="20" t="s">
        <v>6580</v>
      </c>
      <c r="H1710" s="49" t="s">
        <v>213</v>
      </c>
      <c r="I1710" s="18" t="s">
        <v>37</v>
      </c>
      <c r="J1710" s="18" t="s">
        <v>38</v>
      </c>
      <c r="K1710" t="s">
        <v>39</v>
      </c>
      <c r="L1710" s="50">
        <f>VLOOKUP(A1710,'[3]Price info'!A:D,4,FALSE)</f>
        <v>21.62</v>
      </c>
      <c r="M1710" s="18" t="s">
        <v>214</v>
      </c>
      <c r="N1710" s="20">
        <v>3105</v>
      </c>
      <c r="P1710" s="16">
        <f>VLOOKUP(A1710,'[3]Price info'!A:H,8,FALSE)</f>
        <v>21.62</v>
      </c>
      <c r="Q1710" s="17">
        <f t="shared" si="105"/>
        <v>1</v>
      </c>
      <c r="S1710" s="16" t="e">
        <f>VLOOKUP(A1710,[4]Sales!$E:$G,3,FALSE)</f>
        <v>#N/A</v>
      </c>
      <c r="T1710" s="19" t="e">
        <f>VLOOKUP(A1710,[4]Volume!$E:$G,3,FALSE)</f>
        <v>#N/A</v>
      </c>
      <c r="U1710" s="19" t="e">
        <f>VLOOKUP(A1710,[4]Piece!$E:$G,3,FALSE)</f>
        <v>#N/A</v>
      </c>
      <c r="V1710" s="21" t="e">
        <f t="shared" si="106"/>
        <v>#N/A</v>
      </c>
      <c r="W1710" s="16" t="e">
        <f t="shared" si="107"/>
        <v>#N/A</v>
      </c>
    </row>
    <row r="1711" spans="1:23" hidden="1" x14ac:dyDescent="0.3">
      <c r="A1711" s="71" t="s">
        <v>3379</v>
      </c>
      <c r="B1711" s="71" t="s">
        <v>3379</v>
      </c>
      <c r="C1711" s="47" t="s">
        <v>33</v>
      </c>
      <c r="D1711" s="48" t="s">
        <v>34</v>
      </c>
      <c r="E1711" s="18" t="s">
        <v>3380</v>
      </c>
      <c r="F1711" s="24" t="str">
        <f t="shared" si="104"/>
        <v>PPG - MIRKA DEOS DECO    KIT 230V   KIT1718CDM</v>
      </c>
      <c r="G1711" s="20" t="s">
        <v>6581</v>
      </c>
      <c r="H1711" s="49" t="s">
        <v>213</v>
      </c>
      <c r="I1711" s="18" t="s">
        <v>37</v>
      </c>
      <c r="J1711" s="18" t="s">
        <v>38</v>
      </c>
      <c r="K1711" t="s">
        <v>39</v>
      </c>
      <c r="L1711" s="50">
        <f>VLOOKUP(A1711,'[3]Price info'!A:D,4,FALSE)</f>
        <v>692.9</v>
      </c>
      <c r="M1711" s="18" t="s">
        <v>214</v>
      </c>
      <c r="N1711" s="20">
        <v>3105</v>
      </c>
      <c r="P1711" s="16">
        <f>VLOOKUP(A1711,'[3]Price info'!A:H,8,FALSE)</f>
        <v>692.9</v>
      </c>
      <c r="Q1711" s="17">
        <f t="shared" si="105"/>
        <v>1</v>
      </c>
      <c r="S1711" s="16">
        <f>VLOOKUP(A1711,[4]Sales!$E:$G,3,FALSE)</f>
        <v>350</v>
      </c>
      <c r="T1711" s="19">
        <f>VLOOKUP(A1711,[4]Volume!$E:$G,3,FALSE)</f>
        <v>1</v>
      </c>
      <c r="U1711" s="19">
        <f>VLOOKUP(A1711,[4]Piece!$E:$G,3,FALSE)</f>
        <v>1</v>
      </c>
      <c r="V1711" s="21">
        <f t="shared" si="106"/>
        <v>692.9</v>
      </c>
      <c r="W1711" s="16">
        <f t="shared" si="107"/>
        <v>342.9</v>
      </c>
    </row>
    <row r="1712" spans="1:23" hidden="1" x14ac:dyDescent="0.3">
      <c r="A1712" s="71" t="s">
        <v>3381</v>
      </c>
      <c r="B1712" s="71" t="s">
        <v>3381</v>
      </c>
      <c r="C1712" s="51" t="s">
        <v>33</v>
      </c>
      <c r="D1712" s="48" t="s">
        <v>34</v>
      </c>
      <c r="E1712" s="18" t="s">
        <v>3382</v>
      </c>
      <c r="F1712" s="24" t="str">
        <f t="shared" si="104"/>
        <v>PPG - MIRKA DEOS DECOKIT 110V       KIT1822CDM</v>
      </c>
      <c r="G1712" s="20" t="s">
        <v>6582</v>
      </c>
      <c r="H1712" s="49" t="s">
        <v>213</v>
      </c>
      <c r="I1712" s="18" t="s">
        <v>37</v>
      </c>
      <c r="J1712" s="18" t="s">
        <v>38</v>
      </c>
      <c r="K1712" t="s">
        <v>39</v>
      </c>
      <c r="L1712" s="50">
        <f>VLOOKUP(A1712,'[3]Price info'!A:D,4,FALSE)</f>
        <v>723.38</v>
      </c>
      <c r="M1712" s="18" t="s">
        <v>214</v>
      </c>
      <c r="N1712" s="20">
        <v>3105</v>
      </c>
      <c r="P1712" s="16">
        <f>VLOOKUP(A1712,'[3]Price info'!A:H,8,FALSE)</f>
        <v>723.38</v>
      </c>
      <c r="Q1712" s="17">
        <f t="shared" si="105"/>
        <v>1</v>
      </c>
      <c r="S1712" s="16" t="e">
        <f>VLOOKUP(A1712,[4]Sales!$E:$G,3,FALSE)</f>
        <v>#N/A</v>
      </c>
      <c r="T1712" s="19" t="e">
        <f>VLOOKUP(A1712,[4]Volume!$E:$G,3,FALSE)</f>
        <v>#N/A</v>
      </c>
      <c r="U1712" s="19" t="e">
        <f>VLOOKUP(A1712,[4]Piece!$E:$G,3,FALSE)</f>
        <v>#N/A</v>
      </c>
      <c r="V1712" s="21" t="e">
        <f t="shared" si="106"/>
        <v>#N/A</v>
      </c>
      <c r="W1712" s="16" t="e">
        <f t="shared" si="107"/>
        <v>#N/A</v>
      </c>
    </row>
    <row r="1713" spans="1:23" hidden="1" x14ac:dyDescent="0.3">
      <c r="A1713" s="71" t="s">
        <v>3383</v>
      </c>
      <c r="B1713" s="71" t="s">
        <v>3383</v>
      </c>
      <c r="C1713" s="47" t="s">
        <v>33</v>
      </c>
      <c r="D1713" s="48" t="s">
        <v>34</v>
      </c>
      <c r="E1713" s="18" t="s">
        <v>3384</v>
      </c>
      <c r="F1713" s="24" t="str">
        <f t="shared" si="104"/>
        <v>PPG - MIRKA DEOS DELTA   230V L/KIT</v>
      </c>
      <c r="G1713" s="20" t="s">
        <v>6583</v>
      </c>
      <c r="H1713" s="49" t="s">
        <v>213</v>
      </c>
      <c r="I1713" s="18" t="s">
        <v>37</v>
      </c>
      <c r="J1713" s="18" t="s">
        <v>38</v>
      </c>
      <c r="K1713" t="s">
        <v>39</v>
      </c>
      <c r="L1713" s="50">
        <f>VLOOKUP(A1713,'[3]Price info'!A:D,4,FALSE)</f>
        <v>695.55</v>
      </c>
      <c r="M1713" s="18" t="s">
        <v>214</v>
      </c>
      <c r="N1713" s="20">
        <v>3105</v>
      </c>
      <c r="P1713" s="16">
        <f>VLOOKUP(A1713,'[3]Price info'!A:H,8,FALSE)</f>
        <v>695.55</v>
      </c>
      <c r="Q1713" s="17">
        <f t="shared" si="105"/>
        <v>1</v>
      </c>
      <c r="S1713" s="16" t="e">
        <f>VLOOKUP(A1713,[4]Sales!$E:$G,3,FALSE)</f>
        <v>#N/A</v>
      </c>
      <c r="T1713" s="19" t="e">
        <f>VLOOKUP(A1713,[4]Volume!$E:$G,3,FALSE)</f>
        <v>#N/A</v>
      </c>
      <c r="U1713" s="19" t="e">
        <f>VLOOKUP(A1713,[4]Piece!$E:$G,3,FALSE)</f>
        <v>#N/A</v>
      </c>
      <c r="V1713" s="21" t="e">
        <f t="shared" si="106"/>
        <v>#N/A</v>
      </c>
      <c r="W1713" s="16" t="e">
        <f t="shared" si="107"/>
        <v>#N/A</v>
      </c>
    </row>
    <row r="1714" spans="1:23" hidden="1" x14ac:dyDescent="0.3">
      <c r="A1714" s="71" t="s">
        <v>3385</v>
      </c>
      <c r="B1714" s="71" t="s">
        <v>3385</v>
      </c>
      <c r="C1714" s="47" t="s">
        <v>33</v>
      </c>
      <c r="D1714" s="48" t="s">
        <v>34</v>
      </c>
      <c r="E1714" s="93" t="s">
        <v>7442</v>
      </c>
      <c r="F1714" s="24" t="str">
        <f t="shared" si="104"/>
        <v>PPG - Mirka DEOS Delta 663CV 230v in cardboard box</v>
      </c>
      <c r="G1714" s="20" t="s">
        <v>6584</v>
      </c>
      <c r="H1714" s="49" t="s">
        <v>213</v>
      </c>
      <c r="I1714" s="18" t="s">
        <v>37</v>
      </c>
      <c r="J1714" s="18" t="s">
        <v>38</v>
      </c>
      <c r="K1714" t="s">
        <v>39</v>
      </c>
      <c r="L1714" s="50">
        <f>VLOOKUP(A1714,'[3]Price info'!A:D,4,FALSE)</f>
        <v>603.77</v>
      </c>
      <c r="M1714" s="18" t="s">
        <v>214</v>
      </c>
      <c r="N1714" s="20">
        <v>3105</v>
      </c>
      <c r="P1714" s="16">
        <v>531.84</v>
      </c>
      <c r="Q1714" s="17">
        <f t="shared" si="105"/>
        <v>0.880865230137304</v>
      </c>
      <c r="S1714" s="16" t="e">
        <f>VLOOKUP(A1714,[4]Sales!$E:$G,3,FALSE)</f>
        <v>#N/A</v>
      </c>
      <c r="T1714" s="19" t="e">
        <f>VLOOKUP(A1714,[4]Volume!$E:$G,3,FALSE)</f>
        <v>#N/A</v>
      </c>
      <c r="U1714" s="19" t="e">
        <f>VLOOKUP(A1714,[4]Piece!$E:$G,3,FALSE)</f>
        <v>#N/A</v>
      </c>
      <c r="V1714" s="21" t="e">
        <f t="shared" si="106"/>
        <v>#N/A</v>
      </c>
      <c r="W1714" s="16" t="e">
        <f t="shared" si="107"/>
        <v>#N/A</v>
      </c>
    </row>
    <row r="1715" spans="1:23" hidden="1" x14ac:dyDescent="0.3">
      <c r="A1715" s="71" t="s">
        <v>3386</v>
      </c>
      <c r="B1715" s="71" t="s">
        <v>3386</v>
      </c>
      <c r="C1715" s="51" t="s">
        <v>33</v>
      </c>
      <c r="D1715" s="48" t="s">
        <v>34</v>
      </c>
      <c r="E1715" s="93" t="s">
        <v>7443</v>
      </c>
      <c r="F1715" s="24" t="str">
        <f t="shared" si="104"/>
        <v>PPG - Mirka DEOS Delta 663CV 110v in cardboard box</v>
      </c>
      <c r="G1715" s="20" t="s">
        <v>6585</v>
      </c>
      <c r="H1715" s="49" t="s">
        <v>213</v>
      </c>
      <c r="I1715" s="18" t="s">
        <v>37</v>
      </c>
      <c r="J1715" s="18" t="s">
        <v>38</v>
      </c>
      <c r="K1715" t="s">
        <v>39</v>
      </c>
      <c r="L1715" s="50">
        <f>VLOOKUP(A1715,'[3]Price info'!A:D,4,FALSE)</f>
        <v>603.77</v>
      </c>
      <c r="M1715" s="18" t="s">
        <v>214</v>
      </c>
      <c r="N1715" s="20">
        <v>3105</v>
      </c>
      <c r="P1715" s="16">
        <v>531.84</v>
      </c>
      <c r="Q1715" s="17">
        <f t="shared" si="105"/>
        <v>0.880865230137304</v>
      </c>
      <c r="S1715" s="16" t="e">
        <f>VLOOKUP(A1715,[4]Sales!$E:$G,3,FALSE)</f>
        <v>#N/A</v>
      </c>
      <c r="T1715" s="19" t="e">
        <f>VLOOKUP(A1715,[4]Volume!$E:$G,3,FALSE)</f>
        <v>#N/A</v>
      </c>
      <c r="U1715" s="19" t="e">
        <f>VLOOKUP(A1715,[4]Piece!$E:$G,3,FALSE)</f>
        <v>#N/A</v>
      </c>
      <c r="V1715" s="21" t="e">
        <f t="shared" si="106"/>
        <v>#N/A</v>
      </c>
      <c r="W1715" s="16" t="e">
        <f t="shared" si="107"/>
        <v>#N/A</v>
      </c>
    </row>
    <row r="1716" spans="1:23" hidden="1" x14ac:dyDescent="0.3">
      <c r="A1716" s="71" t="s">
        <v>3387</v>
      </c>
      <c r="B1716" s="71" t="s">
        <v>3387</v>
      </c>
      <c r="C1716" s="47" t="s">
        <v>33</v>
      </c>
      <c r="D1716" s="48" t="s">
        <v>34</v>
      </c>
      <c r="E1716" s="18" t="s">
        <v>3388</v>
      </c>
      <c r="F1716" s="24" t="str">
        <f t="shared" si="104"/>
        <v>PPG - MIRKA DEOS PROMO   230V       KIT1804INM</v>
      </c>
      <c r="G1716" s="20" t="s">
        <v>6586</v>
      </c>
      <c r="H1716" s="49" t="s">
        <v>213</v>
      </c>
      <c r="I1716" s="18" t="s">
        <v>37</v>
      </c>
      <c r="J1716" s="18" t="s">
        <v>38</v>
      </c>
      <c r="K1716" t="s">
        <v>39</v>
      </c>
      <c r="L1716" s="50">
        <f>VLOOKUP(A1716,'[3]Price info'!A:D,4,FALSE)</f>
        <v>689.59</v>
      </c>
      <c r="M1716" s="18" t="s">
        <v>214</v>
      </c>
      <c r="N1716" s="20">
        <v>3105</v>
      </c>
      <c r="P1716" s="16">
        <f>VLOOKUP(A1716,'[3]Price info'!A:H,8,FALSE)</f>
        <v>689.59</v>
      </c>
      <c r="Q1716" s="17">
        <f t="shared" si="105"/>
        <v>1</v>
      </c>
      <c r="S1716" s="16" t="e">
        <f>VLOOKUP(A1716,[4]Sales!$E:$G,3,FALSE)</f>
        <v>#N/A</v>
      </c>
      <c r="T1716" s="19" t="e">
        <f>VLOOKUP(A1716,[4]Volume!$E:$G,3,FALSE)</f>
        <v>#N/A</v>
      </c>
      <c r="U1716" s="19" t="e">
        <f>VLOOKUP(A1716,[4]Piece!$E:$G,3,FALSE)</f>
        <v>#N/A</v>
      </c>
      <c r="V1716" s="21" t="e">
        <f t="shared" si="106"/>
        <v>#N/A</v>
      </c>
      <c r="W1716" s="16" t="e">
        <f t="shared" si="107"/>
        <v>#N/A</v>
      </c>
    </row>
    <row r="1717" spans="1:23" hidden="1" x14ac:dyDescent="0.3">
      <c r="A1717" s="71" t="s">
        <v>3389</v>
      </c>
      <c r="B1717" s="71" t="s">
        <v>3389</v>
      </c>
      <c r="C1717" s="47" t="s">
        <v>33</v>
      </c>
      <c r="D1717" s="48" t="s">
        <v>34</v>
      </c>
      <c r="E1717" s="93" t="s">
        <v>7444</v>
      </c>
      <c r="F1717" s="24" t="str">
        <f t="shared" si="104"/>
        <v>PPG - Mirka DEROS 650CV 150mm 230v in cardboardbox</v>
      </c>
      <c r="G1717" s="20" t="s">
        <v>6587</v>
      </c>
      <c r="H1717" s="49" t="s">
        <v>213</v>
      </c>
      <c r="I1717" s="18" t="s">
        <v>37</v>
      </c>
      <c r="J1717" s="18" t="s">
        <v>38</v>
      </c>
      <c r="K1717" t="s">
        <v>39</v>
      </c>
      <c r="L1717" s="50">
        <f>VLOOKUP(A1717,'[3]Price info'!A:D,4,FALSE)</f>
        <v>541.30999999999995</v>
      </c>
      <c r="M1717" s="18" t="s">
        <v>214</v>
      </c>
      <c r="N1717" s="20">
        <v>3105</v>
      </c>
      <c r="P1717" s="16">
        <v>547.82000000000005</v>
      </c>
      <c r="Q1717" s="17">
        <f t="shared" si="105"/>
        <v>1.0120263804474332</v>
      </c>
      <c r="S1717" s="16" t="e">
        <f>VLOOKUP(A1717,[4]Sales!$E:$G,3,FALSE)</f>
        <v>#N/A</v>
      </c>
      <c r="T1717" s="19" t="e">
        <f>VLOOKUP(A1717,[4]Volume!$E:$G,3,FALSE)</f>
        <v>#N/A</v>
      </c>
      <c r="U1717" s="19" t="e">
        <f>VLOOKUP(A1717,[4]Piece!$E:$G,3,FALSE)</f>
        <v>#N/A</v>
      </c>
      <c r="V1717" s="21" t="e">
        <f t="shared" si="106"/>
        <v>#N/A</v>
      </c>
      <c r="W1717" s="16" t="e">
        <f t="shared" si="107"/>
        <v>#N/A</v>
      </c>
    </row>
    <row r="1718" spans="1:23" hidden="1" x14ac:dyDescent="0.3">
      <c r="A1718" s="71" t="s">
        <v>3390</v>
      </c>
      <c r="B1718" s="71" t="s">
        <v>3390</v>
      </c>
      <c r="C1718" s="51" t="s">
        <v>33</v>
      </c>
      <c r="D1718" s="48" t="s">
        <v>34</v>
      </c>
      <c r="E1718" s="93" t="s">
        <v>7445</v>
      </c>
      <c r="F1718" s="24" t="str">
        <f t="shared" si="104"/>
        <v>PPG - Mirka DEROS 680CV 150mm 230v in cardboardbox</v>
      </c>
      <c r="G1718" s="20" t="s">
        <v>6588</v>
      </c>
      <c r="H1718" s="49" t="s">
        <v>213</v>
      </c>
      <c r="I1718" s="18" t="s">
        <v>37</v>
      </c>
      <c r="J1718" s="18" t="s">
        <v>38</v>
      </c>
      <c r="K1718" t="s">
        <v>39</v>
      </c>
      <c r="L1718" s="50">
        <f>VLOOKUP(A1718,'[3]Price info'!A:D,4,FALSE)</f>
        <v>598.59</v>
      </c>
      <c r="M1718" s="18" t="s">
        <v>214</v>
      </c>
      <c r="N1718" s="20">
        <v>3105</v>
      </c>
      <c r="P1718" s="16">
        <v>547.82000000000005</v>
      </c>
      <c r="Q1718" s="17">
        <f t="shared" si="105"/>
        <v>0.91518401577039377</v>
      </c>
      <c r="S1718" s="16" t="e">
        <f>VLOOKUP(A1718,[4]Sales!$E:$G,3,FALSE)</f>
        <v>#N/A</v>
      </c>
      <c r="T1718" s="19" t="e">
        <f>VLOOKUP(A1718,[4]Volume!$E:$G,3,FALSE)</f>
        <v>#N/A</v>
      </c>
      <c r="U1718" s="19" t="e">
        <f>VLOOKUP(A1718,[4]Piece!$E:$G,3,FALSE)</f>
        <v>#N/A</v>
      </c>
      <c r="V1718" s="21" t="e">
        <f t="shared" si="106"/>
        <v>#N/A</v>
      </c>
      <c r="W1718" s="16" t="e">
        <f t="shared" si="107"/>
        <v>#N/A</v>
      </c>
    </row>
    <row r="1719" spans="1:23" hidden="1" x14ac:dyDescent="0.3">
      <c r="A1719" s="71" t="s">
        <v>3391</v>
      </c>
      <c r="B1719" s="71" t="s">
        <v>3391</v>
      </c>
      <c r="C1719" s="47" t="s">
        <v>33</v>
      </c>
      <c r="D1719" s="48" t="s">
        <v>34</v>
      </c>
      <c r="E1719" s="18" t="s">
        <v>3392</v>
      </c>
      <c r="F1719" s="24" t="str">
        <f t="shared" si="104"/>
        <v>PPG - MIRKA DEROS PROMO  110V       KIT1805INM</v>
      </c>
      <c r="G1719" s="20" t="s">
        <v>6589</v>
      </c>
      <c r="H1719" s="49" t="s">
        <v>213</v>
      </c>
      <c r="I1719" s="18" t="s">
        <v>37</v>
      </c>
      <c r="J1719" s="18" t="s">
        <v>38</v>
      </c>
      <c r="K1719" t="s">
        <v>39</v>
      </c>
      <c r="L1719" s="50">
        <f>VLOOKUP(A1719,'[3]Price info'!A:D,4,FALSE)</f>
        <v>703.52</v>
      </c>
      <c r="M1719" s="18" t="s">
        <v>214</v>
      </c>
      <c r="N1719" s="20">
        <v>3105</v>
      </c>
      <c r="P1719" s="16">
        <f>VLOOKUP(A1719,'[3]Price info'!A:H,8,FALSE)</f>
        <v>703.52</v>
      </c>
      <c r="Q1719" s="17">
        <f t="shared" si="105"/>
        <v>1</v>
      </c>
      <c r="S1719" s="16" t="e">
        <f>VLOOKUP(A1719,[4]Sales!$E:$G,3,FALSE)</f>
        <v>#N/A</v>
      </c>
      <c r="T1719" s="19" t="e">
        <f>VLOOKUP(A1719,[4]Volume!$E:$G,3,FALSE)</f>
        <v>#N/A</v>
      </c>
      <c r="U1719" s="19" t="e">
        <f>VLOOKUP(A1719,[4]Piece!$E:$G,3,FALSE)</f>
        <v>#N/A</v>
      </c>
      <c r="V1719" s="21" t="e">
        <f t="shared" si="106"/>
        <v>#N/A</v>
      </c>
      <c r="W1719" s="16" t="e">
        <f t="shared" si="107"/>
        <v>#N/A</v>
      </c>
    </row>
    <row r="1720" spans="1:23" hidden="1" x14ac:dyDescent="0.3">
      <c r="A1720" s="71" t="s">
        <v>3393</v>
      </c>
      <c r="B1720" s="71" t="s">
        <v>3393</v>
      </c>
      <c r="C1720" s="47" t="s">
        <v>33</v>
      </c>
      <c r="D1720" s="48" t="s">
        <v>34</v>
      </c>
      <c r="E1720" s="18" t="s">
        <v>3394</v>
      </c>
      <c r="F1720" s="24" t="str">
        <f t="shared" si="104"/>
        <v>PPG - MIRKA DEROS PROMO  230V       KIT1803INM</v>
      </c>
      <c r="G1720" s="20" t="s">
        <v>6590</v>
      </c>
      <c r="H1720" s="49" t="s">
        <v>213</v>
      </c>
      <c r="I1720" s="18" t="s">
        <v>37</v>
      </c>
      <c r="J1720" s="18" t="s">
        <v>38</v>
      </c>
      <c r="K1720" t="s">
        <v>39</v>
      </c>
      <c r="L1720" s="50">
        <f>VLOOKUP(A1720,'[3]Price info'!A:D,4,FALSE)</f>
        <v>672.37</v>
      </c>
      <c r="M1720" s="18" t="s">
        <v>214</v>
      </c>
      <c r="N1720" s="20">
        <v>3105</v>
      </c>
      <c r="P1720" s="16">
        <f>VLOOKUP(A1720,'[3]Price info'!A:H,8,FALSE)</f>
        <v>672.37</v>
      </c>
      <c r="Q1720" s="17">
        <f t="shared" si="105"/>
        <v>1</v>
      </c>
      <c r="S1720" s="16" t="e">
        <f>VLOOKUP(A1720,[4]Sales!$E:$G,3,FALSE)</f>
        <v>#N/A</v>
      </c>
      <c r="T1720" s="19" t="e">
        <f>VLOOKUP(A1720,[4]Volume!$E:$G,3,FALSE)</f>
        <v>#N/A</v>
      </c>
      <c r="U1720" s="19" t="e">
        <f>VLOOKUP(A1720,[4]Piece!$E:$G,3,FALSE)</f>
        <v>#N/A</v>
      </c>
      <c r="V1720" s="21" t="e">
        <f t="shared" si="106"/>
        <v>#N/A</v>
      </c>
      <c r="W1720" s="16" t="e">
        <f t="shared" si="107"/>
        <v>#N/A</v>
      </c>
    </row>
    <row r="1721" spans="1:23" hidden="1" x14ac:dyDescent="0.3">
      <c r="A1721" s="71" t="s">
        <v>3395</v>
      </c>
      <c r="B1721" s="71" t="s">
        <v>3395</v>
      </c>
      <c r="C1721" s="51" t="s">
        <v>33</v>
      </c>
      <c r="D1721" s="48" t="s">
        <v>34</v>
      </c>
      <c r="E1721" s="18" t="s">
        <v>3396</v>
      </c>
      <c r="F1721" s="24" t="str">
        <f t="shared" si="104"/>
        <v>PPG - MIRKA DEROS5650XCV 110V DECO  SOL KIT</v>
      </c>
      <c r="G1721" s="20" t="s">
        <v>6591</v>
      </c>
      <c r="H1721" s="49" t="s">
        <v>213</v>
      </c>
      <c r="I1721" s="18" t="s">
        <v>37</v>
      </c>
      <c r="J1721" s="18" t="s">
        <v>38</v>
      </c>
      <c r="K1721" t="s">
        <v>39</v>
      </c>
      <c r="L1721" s="50">
        <f>VLOOKUP(A1721,'[3]Price info'!A:D,4,FALSE)</f>
        <v>708.91</v>
      </c>
      <c r="M1721" s="18" t="s">
        <v>214</v>
      </c>
      <c r="N1721" s="20">
        <v>3105</v>
      </c>
      <c r="P1721" s="16">
        <f>VLOOKUP(A1721,'[3]Price info'!A:H,8,FALSE)</f>
        <v>708.91</v>
      </c>
      <c r="Q1721" s="17">
        <f t="shared" si="105"/>
        <v>1</v>
      </c>
      <c r="S1721" s="16">
        <f>VLOOKUP(A1721,[4]Sales!$E:$G,3,FALSE)</f>
        <v>450</v>
      </c>
      <c r="T1721" s="19">
        <f>VLOOKUP(A1721,[4]Volume!$E:$G,3,FALSE)</f>
        <v>1</v>
      </c>
      <c r="U1721" s="19">
        <f>VLOOKUP(A1721,[4]Piece!$E:$G,3,FALSE)</f>
        <v>1</v>
      </c>
      <c r="V1721" s="21">
        <f t="shared" si="106"/>
        <v>708.91</v>
      </c>
      <c r="W1721" s="16">
        <f t="shared" si="107"/>
        <v>258.90999999999997</v>
      </c>
    </row>
    <row r="1722" spans="1:23" hidden="1" x14ac:dyDescent="0.3">
      <c r="A1722" s="71" t="s">
        <v>3397</v>
      </c>
      <c r="B1722" s="71" t="s">
        <v>3397</v>
      </c>
      <c r="C1722" s="47" t="s">
        <v>33</v>
      </c>
      <c r="D1722" s="48" t="s">
        <v>34</v>
      </c>
      <c r="E1722" s="18" t="s">
        <v>3398</v>
      </c>
      <c r="F1722" s="24" t="str">
        <f t="shared" si="104"/>
        <v>PPG - MIRKA DUST EXT 915 MACHINE    110V</v>
      </c>
      <c r="G1722" s="20" t="s">
        <v>6592</v>
      </c>
      <c r="H1722" s="49" t="s">
        <v>213</v>
      </c>
      <c r="I1722" s="18" t="s">
        <v>37</v>
      </c>
      <c r="J1722" s="18" t="s">
        <v>38</v>
      </c>
      <c r="K1722" t="s">
        <v>39</v>
      </c>
      <c r="L1722" s="50">
        <f>VLOOKUP(A1722,'[3]Price info'!A:D,4,FALSE)</f>
        <v>628.65</v>
      </c>
      <c r="M1722" s="18" t="s">
        <v>214</v>
      </c>
      <c r="N1722" s="20">
        <v>3105</v>
      </c>
      <c r="P1722" s="16">
        <f>VLOOKUP(A1722,'[3]Price info'!A:H,8,FALSE)</f>
        <v>628.65</v>
      </c>
      <c r="Q1722" s="17">
        <f t="shared" si="105"/>
        <v>1</v>
      </c>
      <c r="S1722" s="16" t="e">
        <f>VLOOKUP(A1722,[4]Sales!$E:$G,3,FALSE)</f>
        <v>#N/A</v>
      </c>
      <c r="T1722" s="19" t="e">
        <f>VLOOKUP(A1722,[4]Volume!$E:$G,3,FALSE)</f>
        <v>#N/A</v>
      </c>
      <c r="U1722" s="19" t="e">
        <f>VLOOKUP(A1722,[4]Piece!$E:$G,3,FALSE)</f>
        <v>#N/A</v>
      </c>
      <c r="V1722" s="21" t="e">
        <f t="shared" si="106"/>
        <v>#N/A</v>
      </c>
      <c r="W1722" s="16" t="e">
        <f t="shared" si="107"/>
        <v>#N/A</v>
      </c>
    </row>
    <row r="1723" spans="1:23" hidden="1" x14ac:dyDescent="0.3">
      <c r="A1723" s="71" t="s">
        <v>3399</v>
      </c>
      <c r="B1723" s="71" t="s">
        <v>3399</v>
      </c>
      <c r="C1723" s="47" t="s">
        <v>33</v>
      </c>
      <c r="D1723" s="48" t="s">
        <v>34</v>
      </c>
      <c r="E1723" s="18" t="s">
        <v>3400</v>
      </c>
      <c r="F1723" s="24" t="str">
        <f t="shared" si="104"/>
        <v>PPG - MIRKA EXHAUST KIT  CEROS      MIN6519011</v>
      </c>
      <c r="G1723" s="20" t="s">
        <v>6593</v>
      </c>
      <c r="H1723" s="49" t="s">
        <v>213</v>
      </c>
      <c r="I1723" s="18" t="s">
        <v>37</v>
      </c>
      <c r="J1723" s="18" t="s">
        <v>38</v>
      </c>
      <c r="K1723" t="s">
        <v>39</v>
      </c>
      <c r="L1723" s="50">
        <f>VLOOKUP(A1723,'[3]Price info'!A:D,4,FALSE)</f>
        <v>19.100000000000001</v>
      </c>
      <c r="M1723" s="18" t="s">
        <v>214</v>
      </c>
      <c r="N1723" s="20">
        <v>3105</v>
      </c>
      <c r="P1723" s="16">
        <f>VLOOKUP(A1723,'[3]Price info'!A:H,8,FALSE)</f>
        <v>19.100000000000001</v>
      </c>
      <c r="Q1723" s="17">
        <f t="shared" si="105"/>
        <v>1</v>
      </c>
      <c r="S1723" s="16" t="e">
        <f>VLOOKUP(A1723,[4]Sales!$E:$G,3,FALSE)</f>
        <v>#N/A</v>
      </c>
      <c r="T1723" s="19" t="e">
        <f>VLOOKUP(A1723,[4]Volume!$E:$G,3,FALSE)</f>
        <v>#N/A</v>
      </c>
      <c r="U1723" s="19" t="e">
        <f>VLOOKUP(A1723,[4]Piece!$E:$G,3,FALSE)</f>
        <v>#N/A</v>
      </c>
      <c r="V1723" s="21" t="e">
        <f t="shared" si="106"/>
        <v>#N/A</v>
      </c>
      <c r="W1723" s="16" t="e">
        <f t="shared" si="107"/>
        <v>#N/A</v>
      </c>
    </row>
    <row r="1724" spans="1:23" hidden="1" x14ac:dyDescent="0.3">
      <c r="A1724" s="71" t="s">
        <v>3401</v>
      </c>
      <c r="B1724" s="71" t="s">
        <v>3401</v>
      </c>
      <c r="C1724" s="51" t="s">
        <v>33</v>
      </c>
      <c r="D1724" s="48" t="s">
        <v>34</v>
      </c>
      <c r="E1724" s="93" t="s">
        <v>7446</v>
      </c>
      <c r="F1724" s="24" t="str">
        <f t="shared" si="104"/>
        <v>PPG - Mirka 1230M Dust Extractor 110v Push &amp; Clean</v>
      </c>
      <c r="G1724" s="20" t="s">
        <v>6594</v>
      </c>
      <c r="H1724" s="49" t="s">
        <v>213</v>
      </c>
      <c r="I1724" s="18" t="s">
        <v>37</v>
      </c>
      <c r="J1724" s="18" t="s">
        <v>38</v>
      </c>
      <c r="K1724" t="s">
        <v>39</v>
      </c>
      <c r="L1724" s="50">
        <f>VLOOKUP(A1724,'[3]Price info'!A:D,4,FALSE)</f>
        <v>1164.6099999999999</v>
      </c>
      <c r="M1724" s="18" t="s">
        <v>214</v>
      </c>
      <c r="N1724" s="20">
        <v>3105</v>
      </c>
      <c r="P1724" s="16">
        <v>815.95</v>
      </c>
      <c r="Q1724" s="17">
        <f t="shared" si="105"/>
        <v>0.70062080868273513</v>
      </c>
      <c r="S1724" s="16" t="e">
        <f>VLOOKUP(A1724,[4]Sales!$E:$G,3,FALSE)</f>
        <v>#N/A</v>
      </c>
      <c r="T1724" s="19" t="e">
        <f>VLOOKUP(A1724,[4]Volume!$E:$G,3,FALSE)</f>
        <v>#N/A</v>
      </c>
      <c r="U1724" s="19" t="e">
        <f>VLOOKUP(A1724,[4]Piece!$E:$G,3,FALSE)</f>
        <v>#N/A</v>
      </c>
      <c r="V1724" s="21" t="e">
        <f t="shared" si="106"/>
        <v>#N/A</v>
      </c>
      <c r="W1724" s="16" t="e">
        <f t="shared" si="107"/>
        <v>#N/A</v>
      </c>
    </row>
    <row r="1725" spans="1:23" hidden="1" x14ac:dyDescent="0.3">
      <c r="A1725" s="71" t="s">
        <v>3402</v>
      </c>
      <c r="B1725" s="71" t="s">
        <v>3402</v>
      </c>
      <c r="C1725" s="47" t="s">
        <v>33</v>
      </c>
      <c r="D1725" s="48" t="s">
        <v>34</v>
      </c>
      <c r="E1725" s="93" t="s">
        <v>7447</v>
      </c>
      <c r="F1725" s="24" t="str">
        <f t="shared" si="104"/>
        <v>PPG - Mirka Filter for 915/1025 Dust Extractor</v>
      </c>
      <c r="G1725" s="20" t="s">
        <v>6595</v>
      </c>
      <c r="H1725" s="49" t="s">
        <v>213</v>
      </c>
      <c r="I1725" s="18" t="s">
        <v>37</v>
      </c>
      <c r="J1725" s="18" t="s">
        <v>38</v>
      </c>
      <c r="K1725" t="s">
        <v>39</v>
      </c>
      <c r="L1725" s="50">
        <f>VLOOKUP(A1725,'[3]Price info'!A:D,4,FALSE)</f>
        <v>58.79</v>
      </c>
      <c r="M1725" s="18" t="s">
        <v>214</v>
      </c>
      <c r="N1725" s="20">
        <v>3105</v>
      </c>
      <c r="P1725" s="16">
        <f>VLOOKUP(A1725,'[3]Price info'!A:H,8,FALSE)</f>
        <v>58.79</v>
      </c>
      <c r="Q1725" s="17">
        <f t="shared" si="105"/>
        <v>1</v>
      </c>
      <c r="S1725" s="16" t="e">
        <f>VLOOKUP(A1725,[4]Sales!$E:$G,3,FALSE)</f>
        <v>#N/A</v>
      </c>
      <c r="T1725" s="19" t="e">
        <f>VLOOKUP(A1725,[4]Volume!$E:$G,3,FALSE)</f>
        <v>#N/A</v>
      </c>
      <c r="U1725" s="19" t="e">
        <f>VLOOKUP(A1725,[4]Piece!$E:$G,3,FALSE)</f>
        <v>#N/A</v>
      </c>
      <c r="V1725" s="21" t="e">
        <f t="shared" si="106"/>
        <v>#N/A</v>
      </c>
      <c r="W1725" s="16" t="e">
        <f t="shared" si="107"/>
        <v>#N/A</v>
      </c>
    </row>
    <row r="1726" spans="1:23" hidden="1" x14ac:dyDescent="0.3">
      <c r="A1726" s="71" t="s">
        <v>3403</v>
      </c>
      <c r="B1726" s="71" t="s">
        <v>3403</v>
      </c>
      <c r="C1726" s="47" t="s">
        <v>33</v>
      </c>
      <c r="D1726" s="48" t="s">
        <v>34</v>
      </c>
      <c r="E1726" s="93" t="s">
        <v>7448</v>
      </c>
      <c r="F1726" s="24" t="str">
        <f t="shared" si="104"/>
        <v>PPG - Mirka Fleece Dustbags for 915 Extractor PK5</v>
      </c>
      <c r="G1726" s="20" t="s">
        <v>6596</v>
      </c>
      <c r="H1726" s="49" t="s">
        <v>213</v>
      </c>
      <c r="I1726" s="18" t="s">
        <v>37</v>
      </c>
      <c r="J1726" s="18" t="s">
        <v>38</v>
      </c>
      <c r="K1726" t="s">
        <v>39</v>
      </c>
      <c r="L1726" s="50">
        <f>VLOOKUP(A1726,'[3]Price info'!A:D,4,FALSE)</f>
        <v>57.84</v>
      </c>
      <c r="M1726" s="18" t="s">
        <v>214</v>
      </c>
      <c r="N1726" s="20">
        <v>3105</v>
      </c>
      <c r="P1726" s="16">
        <v>36.950000000000003</v>
      </c>
      <c r="Q1726" s="17">
        <f t="shared" si="105"/>
        <v>0.63883125864453671</v>
      </c>
      <c r="S1726" s="16">
        <f>VLOOKUP(A1726,[4]Sales!$E:$G,3,FALSE)</f>
        <v>244.51</v>
      </c>
      <c r="T1726" s="19">
        <f>VLOOKUP(A1726,[4]Volume!$E:$G,3,FALSE)</f>
        <v>6</v>
      </c>
      <c r="U1726" s="19">
        <f>VLOOKUP(A1726,[4]Piece!$E:$G,3,FALSE)</f>
        <v>6</v>
      </c>
      <c r="V1726" s="21">
        <f t="shared" si="106"/>
        <v>221.70000000000002</v>
      </c>
      <c r="W1726" s="16">
        <f t="shared" si="107"/>
        <v>-22.809999999999974</v>
      </c>
    </row>
    <row r="1727" spans="1:23" hidden="1" x14ac:dyDescent="0.3">
      <c r="A1727" s="71" t="s">
        <v>3404</v>
      </c>
      <c r="B1727" s="71" t="s">
        <v>3404</v>
      </c>
      <c r="C1727" s="51" t="s">
        <v>33</v>
      </c>
      <c r="D1727" s="48" t="s">
        <v>34</v>
      </c>
      <c r="E1727" s="93" t="s">
        <v>7449</v>
      </c>
      <c r="F1727" s="24" t="str">
        <f t="shared" si="104"/>
        <v>PPG - Mirka Abranet 80x230mm PK10 P240</v>
      </c>
      <c r="G1727" s="20" t="s">
        <v>6597</v>
      </c>
      <c r="H1727" s="49" t="s">
        <v>213</v>
      </c>
      <c r="I1727" s="18" t="s">
        <v>37</v>
      </c>
      <c r="J1727" s="18" t="s">
        <v>38</v>
      </c>
      <c r="K1727" t="s">
        <v>39</v>
      </c>
      <c r="L1727" s="50">
        <f>VLOOKUP(A1727,'[3]Price info'!A:D,4,FALSE)</f>
        <v>20.81</v>
      </c>
      <c r="M1727" s="18" t="s">
        <v>214</v>
      </c>
      <c r="N1727" s="20">
        <v>3105</v>
      </c>
      <c r="P1727" s="16">
        <v>11.15</v>
      </c>
      <c r="Q1727" s="17">
        <f t="shared" si="105"/>
        <v>0.53580009610764057</v>
      </c>
      <c r="S1727" s="16" t="e">
        <f>VLOOKUP(A1727,[4]Sales!$E:$G,3,FALSE)</f>
        <v>#N/A</v>
      </c>
      <c r="T1727" s="19" t="e">
        <f>VLOOKUP(A1727,[4]Volume!$E:$G,3,FALSE)</f>
        <v>#N/A</v>
      </c>
      <c r="U1727" s="19" t="e">
        <f>VLOOKUP(A1727,[4]Piece!$E:$G,3,FALSE)</f>
        <v>#N/A</v>
      </c>
      <c r="V1727" s="21" t="e">
        <f t="shared" si="106"/>
        <v>#N/A</v>
      </c>
      <c r="W1727" s="16" t="e">
        <f t="shared" si="107"/>
        <v>#N/A</v>
      </c>
    </row>
    <row r="1728" spans="1:23" hidden="1" x14ac:dyDescent="0.3">
      <c r="A1728" s="71" t="s">
        <v>3405</v>
      </c>
      <c r="B1728" s="71" t="s">
        <v>3405</v>
      </c>
      <c r="C1728" s="47" t="s">
        <v>33</v>
      </c>
      <c r="D1728" s="48" t="s">
        <v>34</v>
      </c>
      <c r="E1728" s="93" t="s">
        <v>7450</v>
      </c>
      <c r="F1728" s="24" t="str">
        <f t="shared" si="104"/>
        <v>PPG - Mirka Abranet 80x230mm PK10 P120</v>
      </c>
      <c r="G1728" s="20" t="s">
        <v>6598</v>
      </c>
      <c r="H1728" s="49" t="s">
        <v>213</v>
      </c>
      <c r="I1728" s="18" t="s">
        <v>37</v>
      </c>
      <c r="J1728" s="18" t="s">
        <v>38</v>
      </c>
      <c r="K1728" t="s">
        <v>39</v>
      </c>
      <c r="L1728" s="50">
        <f>VLOOKUP(A1728,'[3]Price info'!A:D,4,FALSE)</f>
        <v>20.81</v>
      </c>
      <c r="M1728" s="18" t="s">
        <v>214</v>
      </c>
      <c r="N1728" s="20">
        <v>3105</v>
      </c>
      <c r="P1728" s="16">
        <v>11.7</v>
      </c>
      <c r="Q1728" s="17">
        <f t="shared" si="105"/>
        <v>0.56222969726093219</v>
      </c>
      <c r="S1728" s="16" t="e">
        <f>VLOOKUP(A1728,[4]Sales!$E:$G,3,FALSE)</f>
        <v>#N/A</v>
      </c>
      <c r="T1728" s="19" t="e">
        <f>VLOOKUP(A1728,[4]Volume!$E:$G,3,FALSE)</f>
        <v>#N/A</v>
      </c>
      <c r="U1728" s="19" t="e">
        <f>VLOOKUP(A1728,[4]Piece!$E:$G,3,FALSE)</f>
        <v>#N/A</v>
      </c>
      <c r="V1728" s="21" t="e">
        <f t="shared" si="106"/>
        <v>#N/A</v>
      </c>
      <c r="W1728" s="16" t="e">
        <f t="shared" si="107"/>
        <v>#N/A</v>
      </c>
    </row>
    <row r="1729" spans="1:23" hidden="1" x14ac:dyDescent="0.3">
      <c r="A1729" s="71" t="s">
        <v>3406</v>
      </c>
      <c r="B1729" s="71" t="s">
        <v>3406</v>
      </c>
      <c r="C1729" s="47" t="s">
        <v>33</v>
      </c>
      <c r="D1729" s="48" t="s">
        <v>34</v>
      </c>
      <c r="E1729" s="93" t="s">
        <v>7451</v>
      </c>
      <c r="F1729" s="24" t="str">
        <f t="shared" si="104"/>
        <v>PPG - Mirka Abranet 80x230mm PK10 P180</v>
      </c>
      <c r="G1729" s="20" t="s">
        <v>6599</v>
      </c>
      <c r="H1729" s="49" t="s">
        <v>213</v>
      </c>
      <c r="I1729" s="18" t="s">
        <v>37</v>
      </c>
      <c r="J1729" s="18" t="s">
        <v>38</v>
      </c>
      <c r="K1729" t="s">
        <v>39</v>
      </c>
      <c r="L1729" s="50">
        <f>VLOOKUP(A1729,'[3]Price info'!A:D,4,FALSE)</f>
        <v>20.81</v>
      </c>
      <c r="M1729" s="18" t="s">
        <v>214</v>
      </c>
      <c r="N1729" s="20">
        <v>3105</v>
      </c>
      <c r="P1729" s="16">
        <v>11.7</v>
      </c>
      <c r="Q1729" s="17">
        <f t="shared" si="105"/>
        <v>0.56222969726093219</v>
      </c>
      <c r="S1729" s="16" t="e">
        <f>VLOOKUP(A1729,[4]Sales!$E:$G,3,FALSE)</f>
        <v>#N/A</v>
      </c>
      <c r="T1729" s="19" t="e">
        <f>VLOOKUP(A1729,[4]Volume!$E:$G,3,FALSE)</f>
        <v>#N/A</v>
      </c>
      <c r="U1729" s="19" t="e">
        <f>VLOOKUP(A1729,[4]Piece!$E:$G,3,FALSE)</f>
        <v>#N/A</v>
      </c>
      <c r="V1729" s="21" t="e">
        <f t="shared" si="106"/>
        <v>#N/A</v>
      </c>
      <c r="W1729" s="16" t="e">
        <f t="shared" si="107"/>
        <v>#N/A</v>
      </c>
    </row>
    <row r="1730" spans="1:23" hidden="1" x14ac:dyDescent="0.3">
      <c r="A1730" s="71" t="s">
        <v>3407</v>
      </c>
      <c r="B1730" s="71" t="s">
        <v>3407</v>
      </c>
      <c r="C1730" s="51" t="s">
        <v>33</v>
      </c>
      <c r="D1730" s="48" t="s">
        <v>34</v>
      </c>
      <c r="E1730" s="93" t="s">
        <v>7452</v>
      </c>
      <c r="F1730" s="24" t="str">
        <f t="shared" si="104"/>
        <v>PPG - Mirka Abranet 80x230mm PK10 P80</v>
      </c>
      <c r="G1730" s="20" t="s">
        <v>6600</v>
      </c>
      <c r="H1730" s="49" t="s">
        <v>213</v>
      </c>
      <c r="I1730" s="18" t="s">
        <v>37</v>
      </c>
      <c r="J1730" s="18" t="s">
        <v>38</v>
      </c>
      <c r="K1730" t="s">
        <v>39</v>
      </c>
      <c r="L1730" s="50">
        <f>VLOOKUP(A1730,'[3]Price info'!A:D,4,FALSE)</f>
        <v>20.81</v>
      </c>
      <c r="M1730" s="18" t="s">
        <v>214</v>
      </c>
      <c r="N1730" s="20">
        <v>3105</v>
      </c>
      <c r="P1730" s="16">
        <v>12.13</v>
      </c>
      <c r="Q1730" s="17">
        <f t="shared" si="105"/>
        <v>0.58289283998077857</v>
      </c>
      <c r="S1730" s="16" t="e">
        <f>VLOOKUP(A1730,[4]Sales!$E:$G,3,FALSE)</f>
        <v>#N/A</v>
      </c>
      <c r="T1730" s="19" t="e">
        <f>VLOOKUP(A1730,[4]Volume!$E:$G,3,FALSE)</f>
        <v>#N/A</v>
      </c>
      <c r="U1730" s="19" t="e">
        <f>VLOOKUP(A1730,[4]Piece!$E:$G,3,FALSE)</f>
        <v>#N/A</v>
      </c>
      <c r="V1730" s="21" t="e">
        <f t="shared" si="106"/>
        <v>#N/A</v>
      </c>
      <c r="W1730" s="16" t="e">
        <f t="shared" si="107"/>
        <v>#N/A</v>
      </c>
    </row>
    <row r="1731" spans="1:23" hidden="1" x14ac:dyDescent="0.3">
      <c r="A1731" s="71" t="s">
        <v>3408</v>
      </c>
      <c r="B1731" s="71" t="s">
        <v>3408</v>
      </c>
      <c r="C1731" s="47" t="s">
        <v>33</v>
      </c>
      <c r="D1731" s="48" t="s">
        <v>34</v>
      </c>
      <c r="E1731" s="93" t="s">
        <v>7453</v>
      </c>
      <c r="F1731" s="24" t="str">
        <f t="shared" ref="F1731:F1794" si="108">D1731&amp;" - "&amp;E1731</f>
        <v>PPG - Mirka 125mm InterfacePad DEROS/CEROS 10mmPK5</v>
      </c>
      <c r="G1731" s="20" t="s">
        <v>6601</v>
      </c>
      <c r="H1731" s="49" t="s">
        <v>213</v>
      </c>
      <c r="I1731" s="18" t="s">
        <v>37</v>
      </c>
      <c r="J1731" s="18" t="s">
        <v>38</v>
      </c>
      <c r="K1731" t="s">
        <v>39</v>
      </c>
      <c r="L1731" s="50">
        <f>VLOOKUP(A1731,'[3]Price info'!A:D,4,FALSE)</f>
        <v>51.4</v>
      </c>
      <c r="M1731" s="18" t="s">
        <v>214</v>
      </c>
      <c r="N1731" s="20">
        <v>3105</v>
      </c>
      <c r="P1731" s="16">
        <v>32.909999999999997</v>
      </c>
      <c r="Q1731" s="17">
        <f t="shared" ref="Q1731:Q1794" si="109">P1731/L1731</f>
        <v>0.64027237354085598</v>
      </c>
      <c r="S1731" s="16" t="e">
        <f>VLOOKUP(A1731,[4]Sales!$E:$G,3,FALSE)</f>
        <v>#N/A</v>
      </c>
      <c r="T1731" s="19" t="e">
        <f>VLOOKUP(A1731,[4]Volume!$E:$G,3,FALSE)</f>
        <v>#N/A</v>
      </c>
      <c r="U1731" s="19" t="e">
        <f>VLOOKUP(A1731,[4]Piece!$E:$G,3,FALSE)</f>
        <v>#N/A</v>
      </c>
      <c r="V1731" s="21" t="e">
        <f t="shared" ref="V1731:V1794" si="110">U1731*P1731</f>
        <v>#N/A</v>
      </c>
      <c r="W1731" s="16" t="e">
        <f t="shared" ref="W1731:W1794" si="111">V1731-S1731</f>
        <v>#N/A</v>
      </c>
    </row>
    <row r="1732" spans="1:23" hidden="1" x14ac:dyDescent="0.3">
      <c r="A1732" s="71" t="s">
        <v>3409</v>
      </c>
      <c r="B1732" s="71" t="s">
        <v>3409</v>
      </c>
      <c r="C1732" s="47" t="s">
        <v>33</v>
      </c>
      <c r="D1732" s="48" t="s">
        <v>34</v>
      </c>
      <c r="E1732" s="93" t="s">
        <v>7454</v>
      </c>
      <c r="F1732" s="24" t="str">
        <f t="shared" si="108"/>
        <v>PPG - Mirka 150mm InterfacePad DEROS/CEROS 10mmPK5</v>
      </c>
      <c r="G1732" s="20" t="s">
        <v>6602</v>
      </c>
      <c r="H1732" s="49" t="s">
        <v>213</v>
      </c>
      <c r="I1732" s="18" t="s">
        <v>37</v>
      </c>
      <c r="J1732" s="18" t="s">
        <v>38</v>
      </c>
      <c r="K1732" t="s">
        <v>39</v>
      </c>
      <c r="L1732" s="50">
        <f>VLOOKUP(A1732,'[3]Price info'!A:D,4,FALSE)</f>
        <v>57.04</v>
      </c>
      <c r="M1732" s="18" t="s">
        <v>214</v>
      </c>
      <c r="N1732" s="20">
        <v>3105</v>
      </c>
      <c r="P1732" s="16">
        <v>36.200000000000003</v>
      </c>
      <c r="Q1732" s="17">
        <f t="shared" si="109"/>
        <v>0.63464235624123433</v>
      </c>
      <c r="S1732" s="16" t="e">
        <f>VLOOKUP(A1732,[4]Sales!$E:$G,3,FALSE)</f>
        <v>#N/A</v>
      </c>
      <c r="T1732" s="19" t="e">
        <f>VLOOKUP(A1732,[4]Volume!$E:$G,3,FALSE)</f>
        <v>#N/A</v>
      </c>
      <c r="U1732" s="19" t="e">
        <f>VLOOKUP(A1732,[4]Piece!$E:$G,3,FALSE)</f>
        <v>#N/A</v>
      </c>
      <c r="V1732" s="21" t="e">
        <f t="shared" si="110"/>
        <v>#N/A</v>
      </c>
      <c r="W1732" s="16" t="e">
        <f t="shared" si="111"/>
        <v>#N/A</v>
      </c>
    </row>
    <row r="1733" spans="1:23" hidden="1" x14ac:dyDescent="0.3">
      <c r="A1733" s="71" t="s">
        <v>3410</v>
      </c>
      <c r="B1733" s="71" t="s">
        <v>3410</v>
      </c>
      <c r="C1733" s="51" t="s">
        <v>33</v>
      </c>
      <c r="D1733" s="48" t="s">
        <v>34</v>
      </c>
      <c r="E1733" s="18" t="s">
        <v>3411</v>
      </c>
      <c r="F1733" s="24" t="str">
        <f t="shared" si="108"/>
        <v>PPG - MIRKA LEROS KIT LTD EDITION CMFC00167</v>
      </c>
      <c r="G1733" s="20" t="s">
        <v>6603</v>
      </c>
      <c r="H1733" s="49" t="s">
        <v>213</v>
      </c>
      <c r="I1733" s="18" t="s">
        <v>37</v>
      </c>
      <c r="J1733" s="18" t="s">
        <v>38</v>
      </c>
      <c r="K1733" t="s">
        <v>39</v>
      </c>
      <c r="L1733" s="50">
        <f>VLOOKUP(A1733,'[3]Price info'!A:D,4,FALSE)</f>
        <v>1402.95</v>
      </c>
      <c r="M1733" s="18" t="s">
        <v>214</v>
      </c>
      <c r="N1733" s="20">
        <v>3105</v>
      </c>
      <c r="P1733" s="16">
        <f>VLOOKUP(A1733,'[3]Price info'!A:H,8,FALSE)</f>
        <v>1402.95</v>
      </c>
      <c r="Q1733" s="17">
        <f t="shared" si="109"/>
        <v>1</v>
      </c>
      <c r="S1733" s="16" t="e">
        <f>VLOOKUP(A1733,[4]Sales!$E:$G,3,FALSE)</f>
        <v>#N/A</v>
      </c>
      <c r="T1733" s="19" t="e">
        <f>VLOOKUP(A1733,[4]Volume!$E:$G,3,FALSE)</f>
        <v>#N/A</v>
      </c>
      <c r="U1733" s="19" t="e">
        <f>VLOOKUP(A1733,[4]Piece!$E:$G,3,FALSE)</f>
        <v>#N/A</v>
      </c>
      <c r="V1733" s="21" t="e">
        <f t="shared" si="110"/>
        <v>#N/A</v>
      </c>
      <c r="W1733" s="16" t="e">
        <f t="shared" si="111"/>
        <v>#N/A</v>
      </c>
    </row>
    <row r="1734" spans="1:23" hidden="1" x14ac:dyDescent="0.3">
      <c r="A1734" s="71" t="s">
        <v>3412</v>
      </c>
      <c r="B1734" s="71" t="s">
        <v>3412</v>
      </c>
      <c r="C1734" s="47" t="s">
        <v>33</v>
      </c>
      <c r="D1734" s="48" t="s">
        <v>34</v>
      </c>
      <c r="E1734" s="18" t="s">
        <v>3413</v>
      </c>
      <c r="F1734" s="24" t="str">
        <f t="shared" si="108"/>
        <v>PPG - MIRKA LEROS WALL   SANDER     MIW95020BA</v>
      </c>
      <c r="G1734" s="20" t="s">
        <v>6604</v>
      </c>
      <c r="H1734" s="49" t="s">
        <v>213</v>
      </c>
      <c r="I1734" s="18" t="s">
        <v>37</v>
      </c>
      <c r="J1734" s="18" t="s">
        <v>38</v>
      </c>
      <c r="K1734" t="s">
        <v>39</v>
      </c>
      <c r="L1734" s="50">
        <f>VLOOKUP(A1734,'[3]Price info'!A:D,4,FALSE)</f>
        <v>1473.09</v>
      </c>
      <c r="M1734" s="18" t="s">
        <v>214</v>
      </c>
      <c r="N1734" s="20">
        <v>3105</v>
      </c>
      <c r="P1734" s="16">
        <f>VLOOKUP(A1734,'[3]Price info'!A:H,8,FALSE)</f>
        <v>1473.09</v>
      </c>
      <c r="Q1734" s="17">
        <f t="shared" si="109"/>
        <v>1</v>
      </c>
      <c r="S1734" s="16" t="e">
        <f>VLOOKUP(A1734,[4]Sales!$E:$G,3,FALSE)</f>
        <v>#N/A</v>
      </c>
      <c r="T1734" s="19" t="e">
        <f>VLOOKUP(A1734,[4]Volume!$E:$G,3,FALSE)</f>
        <v>#N/A</v>
      </c>
      <c r="U1734" s="19" t="e">
        <f>VLOOKUP(A1734,[4]Piece!$E:$G,3,FALSE)</f>
        <v>#N/A</v>
      </c>
      <c r="V1734" s="21" t="e">
        <f t="shared" si="110"/>
        <v>#N/A</v>
      </c>
      <c r="W1734" s="16" t="e">
        <f t="shared" si="111"/>
        <v>#N/A</v>
      </c>
    </row>
    <row r="1735" spans="1:23" hidden="1" x14ac:dyDescent="0.3">
      <c r="A1735" s="71" t="s">
        <v>3414</v>
      </c>
      <c r="B1735" s="71" t="s">
        <v>3414</v>
      </c>
      <c r="C1735" s="47" t="s">
        <v>33</v>
      </c>
      <c r="D1735" s="48" t="s">
        <v>34</v>
      </c>
      <c r="E1735" s="93" t="s">
        <v>7455</v>
      </c>
      <c r="F1735" s="24" t="str">
        <f t="shared" si="108"/>
        <v>PPG - Mirka DEROS 5650XCV 125/150mm 110v in case</v>
      </c>
      <c r="G1735" s="20" t="s">
        <v>6605</v>
      </c>
      <c r="H1735" s="49" t="s">
        <v>213</v>
      </c>
      <c r="I1735" s="18" t="s">
        <v>37</v>
      </c>
      <c r="J1735" s="18" t="s">
        <v>38</v>
      </c>
      <c r="K1735" t="s">
        <v>39</v>
      </c>
      <c r="L1735" s="50">
        <f>VLOOKUP(A1735,'[3]Price info'!A:D,4,FALSE)</f>
        <v>661.23</v>
      </c>
      <c r="M1735" s="18" t="s">
        <v>214</v>
      </c>
      <c r="N1735" s="20">
        <v>3105</v>
      </c>
      <c r="P1735" s="16">
        <v>615.32000000000005</v>
      </c>
      <c r="Q1735" s="17">
        <f t="shared" si="109"/>
        <v>0.93056878846997271</v>
      </c>
      <c r="S1735" s="16" t="e">
        <f>VLOOKUP(A1735,[4]Sales!$E:$G,3,FALSE)</f>
        <v>#N/A</v>
      </c>
      <c r="T1735" s="19" t="e">
        <f>VLOOKUP(A1735,[4]Volume!$E:$G,3,FALSE)</f>
        <v>#N/A</v>
      </c>
      <c r="U1735" s="19" t="e">
        <f>VLOOKUP(A1735,[4]Piece!$E:$G,3,FALSE)</f>
        <v>#N/A</v>
      </c>
      <c r="V1735" s="21" t="e">
        <f t="shared" si="110"/>
        <v>#N/A</v>
      </c>
      <c r="W1735" s="16" t="e">
        <f t="shared" si="111"/>
        <v>#N/A</v>
      </c>
    </row>
    <row r="1736" spans="1:23" hidden="1" x14ac:dyDescent="0.3">
      <c r="A1736" s="71" t="s">
        <v>3415</v>
      </c>
      <c r="B1736" s="71" t="s">
        <v>3415</v>
      </c>
      <c r="C1736" s="51" t="s">
        <v>33</v>
      </c>
      <c r="D1736" s="48" t="s">
        <v>34</v>
      </c>
      <c r="E1736" s="93" t="s">
        <v>7456</v>
      </c>
      <c r="F1736" s="24" t="str">
        <f t="shared" si="108"/>
        <v>PPG - Mirka Yellow Case 400x300x210mm</v>
      </c>
      <c r="G1736" s="20" t="s">
        <v>6606</v>
      </c>
      <c r="H1736" s="49" t="s">
        <v>213</v>
      </c>
      <c r="I1736" s="18" t="s">
        <v>37</v>
      </c>
      <c r="J1736" s="18" t="s">
        <v>38</v>
      </c>
      <c r="K1736" t="s">
        <v>39</v>
      </c>
      <c r="L1736" s="50">
        <f>VLOOKUP(A1736,'[3]Price info'!A:D,4,FALSE)</f>
        <v>78.290000000000006</v>
      </c>
      <c r="M1736" s="18" t="s">
        <v>214</v>
      </c>
      <c r="N1736" s="20">
        <v>3105</v>
      </c>
      <c r="P1736" s="16">
        <v>71.08</v>
      </c>
      <c r="Q1736" s="17">
        <f t="shared" si="109"/>
        <v>0.90790650146889762</v>
      </c>
      <c r="S1736" s="16" t="e">
        <f>VLOOKUP(A1736,[4]Sales!$E:$G,3,FALSE)</f>
        <v>#N/A</v>
      </c>
      <c r="T1736" s="19" t="e">
        <f>VLOOKUP(A1736,[4]Volume!$E:$G,3,FALSE)</f>
        <v>#N/A</v>
      </c>
      <c r="U1736" s="19" t="e">
        <f>VLOOKUP(A1736,[4]Piece!$E:$G,3,FALSE)</f>
        <v>#N/A</v>
      </c>
      <c r="V1736" s="21" t="e">
        <f t="shared" si="110"/>
        <v>#N/A</v>
      </c>
      <c r="W1736" s="16" t="e">
        <f t="shared" si="111"/>
        <v>#N/A</v>
      </c>
    </row>
    <row r="1737" spans="1:23" hidden="1" x14ac:dyDescent="0.3">
      <c r="A1737" s="71" t="s">
        <v>3416</v>
      </c>
      <c r="B1737" s="71" t="s">
        <v>3416</v>
      </c>
      <c r="C1737" s="47" t="s">
        <v>33</v>
      </c>
      <c r="D1737" s="48" t="s">
        <v>34</v>
      </c>
      <c r="E1737" s="93" t="s">
        <v>7457</v>
      </c>
      <c r="F1737" s="24" t="str">
        <f t="shared" si="108"/>
        <v>PPG - Mirka Mirlon Total 115x230mm PK3 VF/P360</v>
      </c>
      <c r="G1737" s="20" t="s">
        <v>6607</v>
      </c>
      <c r="H1737" s="49" t="s">
        <v>213</v>
      </c>
      <c r="I1737" s="18" t="s">
        <v>37</v>
      </c>
      <c r="J1737" s="18" t="s">
        <v>38</v>
      </c>
      <c r="K1737" t="s">
        <v>39</v>
      </c>
      <c r="L1737" s="50">
        <f>VLOOKUP(A1737,'[3]Price info'!A:D,4,FALSE)</f>
        <v>4.37</v>
      </c>
      <c r="M1737" s="18" t="s">
        <v>214</v>
      </c>
      <c r="N1737" s="20">
        <v>3105</v>
      </c>
      <c r="P1737" s="16">
        <v>4.07</v>
      </c>
      <c r="Q1737" s="17">
        <f t="shared" si="109"/>
        <v>0.93135011441647597</v>
      </c>
      <c r="S1737" s="16" t="e">
        <f>VLOOKUP(A1737,[4]Sales!$E:$G,3,FALSE)</f>
        <v>#N/A</v>
      </c>
      <c r="T1737" s="19" t="e">
        <f>VLOOKUP(A1737,[4]Volume!$E:$G,3,FALSE)</f>
        <v>#N/A</v>
      </c>
      <c r="U1737" s="19" t="e">
        <f>VLOOKUP(A1737,[4]Piece!$E:$G,3,FALSE)</f>
        <v>#N/A</v>
      </c>
      <c r="V1737" s="21" t="e">
        <f t="shared" si="110"/>
        <v>#N/A</v>
      </c>
      <c r="W1737" s="16" t="e">
        <f t="shared" si="111"/>
        <v>#N/A</v>
      </c>
    </row>
    <row r="1738" spans="1:23" hidden="1" x14ac:dyDescent="0.3">
      <c r="A1738" s="71" t="s">
        <v>3417</v>
      </c>
      <c r="B1738" s="71" t="s">
        <v>3417</v>
      </c>
      <c r="C1738" s="47" t="s">
        <v>33</v>
      </c>
      <c r="D1738" s="48" t="s">
        <v>34</v>
      </c>
      <c r="E1738" s="18" t="s">
        <v>3418</v>
      </c>
      <c r="F1738" s="24" t="str">
        <f t="shared" si="108"/>
        <v>PPG - MIRKA MIRO 955     SANDER     110V</v>
      </c>
      <c r="G1738" s="20" t="s">
        <v>6608</v>
      </c>
      <c r="H1738" s="49" t="s">
        <v>213</v>
      </c>
      <c r="I1738" s="18" t="s">
        <v>37</v>
      </c>
      <c r="J1738" s="18" t="s">
        <v>38</v>
      </c>
      <c r="K1738" t="s">
        <v>39</v>
      </c>
      <c r="L1738" s="50">
        <f>VLOOKUP(A1738,'[3]Price info'!A:D,4,FALSE)</f>
        <v>1424.8</v>
      </c>
      <c r="M1738" s="18" t="s">
        <v>214</v>
      </c>
      <c r="N1738" s="20">
        <v>3105</v>
      </c>
      <c r="P1738" s="16">
        <f>VLOOKUP(A1738,'[3]Price info'!A:H,8,FALSE)</f>
        <v>1424.8</v>
      </c>
      <c r="Q1738" s="17">
        <f t="shared" si="109"/>
        <v>1</v>
      </c>
      <c r="S1738" s="16" t="e">
        <f>VLOOKUP(A1738,[4]Sales!$E:$G,3,FALSE)</f>
        <v>#N/A</v>
      </c>
      <c r="T1738" s="19" t="e">
        <f>VLOOKUP(A1738,[4]Volume!$E:$G,3,FALSE)</f>
        <v>#N/A</v>
      </c>
      <c r="U1738" s="19" t="e">
        <f>VLOOKUP(A1738,[4]Piece!$E:$G,3,FALSE)</f>
        <v>#N/A</v>
      </c>
      <c r="V1738" s="21" t="e">
        <f t="shared" si="110"/>
        <v>#N/A</v>
      </c>
      <c r="W1738" s="16" t="e">
        <f t="shared" si="111"/>
        <v>#N/A</v>
      </c>
    </row>
    <row r="1739" spans="1:23" hidden="1" x14ac:dyDescent="0.3">
      <c r="A1739" s="71" t="s">
        <v>3419</v>
      </c>
      <c r="B1739" s="71" t="s">
        <v>3419</v>
      </c>
      <c r="C1739" s="51" t="s">
        <v>33</v>
      </c>
      <c r="D1739" s="48" t="s">
        <v>34</v>
      </c>
      <c r="E1739" s="93" t="s">
        <v>7458</v>
      </c>
      <c r="F1739" s="24" t="str">
        <f t="shared" si="108"/>
        <v>PPG - Mirka 125mm Pad Saver for DEROS/CEROS PK5</v>
      </c>
      <c r="G1739" s="20" t="s">
        <v>6609</v>
      </c>
      <c r="H1739" s="49" t="s">
        <v>213</v>
      </c>
      <c r="I1739" s="18" t="s">
        <v>37</v>
      </c>
      <c r="J1739" s="18" t="s">
        <v>38</v>
      </c>
      <c r="K1739" t="s">
        <v>39</v>
      </c>
      <c r="L1739" s="50">
        <f>VLOOKUP(A1739,'[3]Price info'!A:D,4,FALSE)</f>
        <v>46.32</v>
      </c>
      <c r="M1739" s="18" t="s">
        <v>214</v>
      </c>
      <c r="N1739" s="20">
        <v>3105</v>
      </c>
      <c r="P1739" s="16">
        <f>VLOOKUP(A1739,'[3]Price info'!A:H,8,FALSE)</f>
        <v>46.32</v>
      </c>
      <c r="Q1739" s="17">
        <f t="shared" si="109"/>
        <v>1</v>
      </c>
      <c r="S1739" s="16" t="e">
        <f>VLOOKUP(A1739,[4]Sales!$E:$G,3,FALSE)</f>
        <v>#N/A</v>
      </c>
      <c r="T1739" s="19" t="e">
        <f>VLOOKUP(A1739,[4]Volume!$E:$G,3,FALSE)</f>
        <v>#N/A</v>
      </c>
      <c r="U1739" s="19" t="e">
        <f>VLOOKUP(A1739,[4]Piece!$E:$G,3,FALSE)</f>
        <v>#N/A</v>
      </c>
      <c r="V1739" s="21" t="e">
        <f t="shared" si="110"/>
        <v>#N/A</v>
      </c>
      <c r="W1739" s="16" t="e">
        <f t="shared" si="111"/>
        <v>#N/A</v>
      </c>
    </row>
    <row r="1740" spans="1:23" hidden="1" x14ac:dyDescent="0.3">
      <c r="A1740" s="71" t="s">
        <v>3420</v>
      </c>
      <c r="B1740" s="71" t="s">
        <v>3420</v>
      </c>
      <c r="C1740" s="47" t="s">
        <v>33</v>
      </c>
      <c r="D1740" s="48" t="s">
        <v>34</v>
      </c>
      <c r="E1740" s="93" t="s">
        <v>7459</v>
      </c>
      <c r="F1740" s="24" t="str">
        <f t="shared" si="108"/>
        <v>PPG - Mirka® Pad Saver for DEOS Delta Sander PK5</v>
      </c>
      <c r="G1740" s="20" t="s">
        <v>6610</v>
      </c>
      <c r="H1740" s="49" t="s">
        <v>213</v>
      </c>
      <c r="I1740" s="18" t="s">
        <v>37</v>
      </c>
      <c r="J1740" s="18" t="s">
        <v>38</v>
      </c>
      <c r="K1740" t="s">
        <v>39</v>
      </c>
      <c r="L1740" s="50">
        <f>VLOOKUP(A1740,'[3]Price info'!A:D,4,FALSE)</f>
        <v>22.3</v>
      </c>
      <c r="M1740" s="18" t="s">
        <v>214</v>
      </c>
      <c r="N1740" s="20">
        <v>3105</v>
      </c>
      <c r="P1740" s="16">
        <v>20.56</v>
      </c>
      <c r="Q1740" s="17">
        <f t="shared" si="109"/>
        <v>0.92197309417040352</v>
      </c>
      <c r="S1740" s="16" t="e">
        <f>VLOOKUP(A1740,[4]Sales!$E:$G,3,FALSE)</f>
        <v>#N/A</v>
      </c>
      <c r="T1740" s="19" t="e">
        <f>VLOOKUP(A1740,[4]Volume!$E:$G,3,FALSE)</f>
        <v>#N/A</v>
      </c>
      <c r="U1740" s="19" t="e">
        <f>VLOOKUP(A1740,[4]Piece!$E:$G,3,FALSE)</f>
        <v>#N/A</v>
      </c>
      <c r="V1740" s="21" t="e">
        <f t="shared" si="110"/>
        <v>#N/A</v>
      </c>
      <c r="W1740" s="16" t="e">
        <f t="shared" si="111"/>
        <v>#N/A</v>
      </c>
    </row>
    <row r="1741" spans="1:23" hidden="1" x14ac:dyDescent="0.3">
      <c r="A1741" s="71" t="s">
        <v>3421</v>
      </c>
      <c r="B1741" s="71" t="s">
        <v>3421</v>
      </c>
      <c r="C1741" s="47" t="s">
        <v>33</v>
      </c>
      <c r="D1741" s="48" t="s">
        <v>34</v>
      </c>
      <c r="E1741" s="93" t="s">
        <v>7460</v>
      </c>
      <c r="F1741" s="24" t="str">
        <f t="shared" si="108"/>
        <v>PPG - Mirka 81x133mm Pad Saver for DEOS PK5</v>
      </c>
      <c r="G1741" s="20" t="s">
        <v>6611</v>
      </c>
      <c r="H1741" s="49" t="s">
        <v>213</v>
      </c>
      <c r="I1741" s="18" t="s">
        <v>37</v>
      </c>
      <c r="J1741" s="18" t="s">
        <v>38</v>
      </c>
      <c r="K1741" t="s">
        <v>39</v>
      </c>
      <c r="L1741" s="50">
        <f>VLOOKUP(A1741,'[3]Price info'!A:D,4,FALSE)</f>
        <v>46.04</v>
      </c>
      <c r="M1741" s="18" t="s">
        <v>214</v>
      </c>
      <c r="N1741" s="20">
        <v>3105</v>
      </c>
      <c r="P1741" s="16">
        <v>21.94</v>
      </c>
      <c r="Q1741" s="17">
        <f t="shared" si="109"/>
        <v>0.4765421372719375</v>
      </c>
      <c r="S1741" s="16" t="e">
        <f>VLOOKUP(A1741,[4]Sales!$E:$G,3,FALSE)</f>
        <v>#N/A</v>
      </c>
      <c r="T1741" s="19" t="e">
        <f>VLOOKUP(A1741,[4]Volume!$E:$G,3,FALSE)</f>
        <v>#N/A</v>
      </c>
      <c r="U1741" s="19" t="e">
        <f>VLOOKUP(A1741,[4]Piece!$E:$G,3,FALSE)</f>
        <v>#N/A</v>
      </c>
      <c r="V1741" s="21" t="e">
        <f t="shared" si="110"/>
        <v>#N/A</v>
      </c>
      <c r="W1741" s="16" t="e">
        <f t="shared" si="111"/>
        <v>#N/A</v>
      </c>
    </row>
    <row r="1742" spans="1:23" hidden="1" x14ac:dyDescent="0.3">
      <c r="A1742" s="71" t="s">
        <v>3422</v>
      </c>
      <c r="B1742" s="71" t="s">
        <v>3422</v>
      </c>
      <c r="C1742" s="51" t="s">
        <v>33</v>
      </c>
      <c r="D1742" s="48" t="s">
        <v>34</v>
      </c>
      <c r="E1742" s="93" t="s">
        <v>7461</v>
      </c>
      <c r="F1742" s="24" t="str">
        <f t="shared" si="108"/>
        <v>PPG - Mirka 225mm Pad Saver for LEROS PK 1</v>
      </c>
      <c r="G1742" s="20" t="s">
        <v>6612</v>
      </c>
      <c r="H1742" s="49" t="s">
        <v>213</v>
      </c>
      <c r="I1742" s="18" t="s">
        <v>37</v>
      </c>
      <c r="J1742" s="18" t="s">
        <v>38</v>
      </c>
      <c r="K1742" t="s">
        <v>39</v>
      </c>
      <c r="L1742" s="50">
        <f>VLOOKUP(A1742,'[3]Price info'!A:D,4,FALSE)</f>
        <v>26.01</v>
      </c>
      <c r="M1742" s="18" t="s">
        <v>214</v>
      </c>
      <c r="N1742" s="20">
        <v>3105</v>
      </c>
      <c r="P1742" s="16">
        <v>22.66</v>
      </c>
      <c r="Q1742" s="17">
        <f t="shared" si="109"/>
        <v>0.87120338331410996</v>
      </c>
      <c r="S1742" s="16">
        <f>VLOOKUP(A1742,[4]Sales!$E:$G,3,FALSE)</f>
        <v>26.01</v>
      </c>
      <c r="T1742" s="19">
        <f>VLOOKUP(A1742,[4]Volume!$E:$G,3,FALSE)</f>
        <v>1</v>
      </c>
      <c r="U1742" s="19">
        <f>VLOOKUP(A1742,[4]Piece!$E:$G,3,FALSE)</f>
        <v>1</v>
      </c>
      <c r="V1742" s="21">
        <f t="shared" si="110"/>
        <v>22.66</v>
      </c>
      <c r="W1742" s="16">
        <f t="shared" si="111"/>
        <v>-3.3500000000000014</v>
      </c>
    </row>
    <row r="1743" spans="1:23" hidden="1" x14ac:dyDescent="0.3">
      <c r="A1743" s="71" t="s">
        <v>3423</v>
      </c>
      <c r="B1743" s="71" t="s">
        <v>3423</v>
      </c>
      <c r="C1743" s="47" t="s">
        <v>33</v>
      </c>
      <c r="D1743" s="48" t="s">
        <v>34</v>
      </c>
      <c r="E1743" s="18" t="s">
        <v>3424</v>
      </c>
      <c r="F1743" s="24" t="str">
        <f t="shared" si="108"/>
        <v>PPG - MIRKA PROS 650CV   AIR SANDER 8995650111</v>
      </c>
      <c r="G1743" s="20" t="s">
        <v>6613</v>
      </c>
      <c r="H1743" s="49" t="s">
        <v>213</v>
      </c>
      <c r="I1743" s="18" t="s">
        <v>37</v>
      </c>
      <c r="J1743" s="18" t="s">
        <v>38</v>
      </c>
      <c r="K1743" t="s">
        <v>39</v>
      </c>
      <c r="L1743" s="50">
        <f>VLOOKUP(A1743,'[3]Price info'!A:D,4,FALSE)</f>
        <v>251.82</v>
      </c>
      <c r="M1743" s="18" t="s">
        <v>214</v>
      </c>
      <c r="N1743" s="20">
        <v>3105</v>
      </c>
      <c r="P1743" s="16">
        <f>VLOOKUP(A1743,'[3]Price info'!A:H,8,FALSE)</f>
        <v>251.82</v>
      </c>
      <c r="Q1743" s="17">
        <f t="shared" si="109"/>
        <v>1</v>
      </c>
      <c r="S1743" s="16" t="e">
        <f>VLOOKUP(A1743,[4]Sales!$E:$G,3,FALSE)</f>
        <v>#N/A</v>
      </c>
      <c r="T1743" s="19" t="e">
        <f>VLOOKUP(A1743,[4]Volume!$E:$G,3,FALSE)</f>
        <v>#N/A</v>
      </c>
      <c r="U1743" s="19" t="e">
        <f>VLOOKUP(A1743,[4]Piece!$E:$G,3,FALSE)</f>
        <v>#N/A</v>
      </c>
      <c r="V1743" s="21" t="e">
        <f t="shared" si="110"/>
        <v>#N/A</v>
      </c>
      <c r="W1743" s="16" t="e">
        <f t="shared" si="111"/>
        <v>#N/A</v>
      </c>
    </row>
    <row r="1744" spans="1:23" hidden="1" x14ac:dyDescent="0.3">
      <c r="A1744" s="71" t="s">
        <v>3425</v>
      </c>
      <c r="B1744" s="71" t="s">
        <v>3425</v>
      </c>
      <c r="C1744" s="47" t="s">
        <v>33</v>
      </c>
      <c r="D1744" s="48" t="s">
        <v>34</v>
      </c>
      <c r="E1744" s="93" t="s">
        <v>7462</v>
      </c>
      <c r="F1744" s="24" t="str">
        <f t="shared" si="108"/>
        <v>PPG - Mirka Roundy Kit</v>
      </c>
      <c r="G1744" s="20" t="s">
        <v>6614</v>
      </c>
      <c r="H1744" s="49" t="s">
        <v>213</v>
      </c>
      <c r="I1744" s="18" t="s">
        <v>37</v>
      </c>
      <c r="J1744" s="18" t="s">
        <v>38</v>
      </c>
      <c r="K1744" t="s">
        <v>39</v>
      </c>
      <c r="L1744" s="50">
        <f>VLOOKUP(A1744,'[3]Price info'!A:D,4,FALSE)</f>
        <v>70.819999999999993</v>
      </c>
      <c r="M1744" s="18" t="s">
        <v>214</v>
      </c>
      <c r="N1744" s="20">
        <v>3105</v>
      </c>
      <c r="P1744" s="16">
        <v>45.04</v>
      </c>
      <c r="Q1744" s="17">
        <f t="shared" si="109"/>
        <v>0.63597853713640218</v>
      </c>
      <c r="S1744" s="16" t="e">
        <f>VLOOKUP(A1744,[4]Sales!$E:$G,3,FALSE)</f>
        <v>#N/A</v>
      </c>
      <c r="T1744" s="19" t="e">
        <f>VLOOKUP(A1744,[4]Volume!$E:$G,3,FALSE)</f>
        <v>#N/A</v>
      </c>
      <c r="U1744" s="19" t="e">
        <f>VLOOKUP(A1744,[4]Piece!$E:$G,3,FALSE)</f>
        <v>#N/A</v>
      </c>
      <c r="V1744" s="21" t="e">
        <f t="shared" si="110"/>
        <v>#N/A</v>
      </c>
      <c r="W1744" s="16" t="e">
        <f t="shared" si="111"/>
        <v>#N/A</v>
      </c>
    </row>
    <row r="1745" spans="1:23" hidden="1" x14ac:dyDescent="0.3">
      <c r="A1745" s="71" t="s">
        <v>3426</v>
      </c>
      <c r="B1745" s="71" t="s">
        <v>3426</v>
      </c>
      <c r="C1745" s="51" t="s">
        <v>33</v>
      </c>
      <c r="D1745" s="48" t="s">
        <v>34</v>
      </c>
      <c r="E1745" s="18" t="s">
        <v>3427</v>
      </c>
      <c r="F1745" s="24" t="str">
        <f t="shared" si="108"/>
        <v>PPG - MIRKA WALL SANDER  DECO KIT   BMFC00168</v>
      </c>
      <c r="G1745" s="20" t="s">
        <v>6615</v>
      </c>
      <c r="H1745" s="49" t="s">
        <v>213</v>
      </c>
      <c r="I1745" s="18" t="s">
        <v>37</v>
      </c>
      <c r="J1745" s="18" t="s">
        <v>38</v>
      </c>
      <c r="K1745" t="s">
        <v>39</v>
      </c>
      <c r="L1745" s="50">
        <f>VLOOKUP(A1745,'[3]Price info'!A:D,4,FALSE)</f>
        <v>1568.55</v>
      </c>
      <c r="M1745" s="18" t="s">
        <v>214</v>
      </c>
      <c r="N1745" s="20">
        <v>3105</v>
      </c>
      <c r="P1745" s="16">
        <f>VLOOKUP(A1745,'[3]Price info'!A:H,8,FALSE)</f>
        <v>1568.55</v>
      </c>
      <c r="Q1745" s="17">
        <f t="shared" si="109"/>
        <v>1</v>
      </c>
      <c r="S1745" s="16" t="e">
        <f>VLOOKUP(A1745,[4]Sales!$E:$G,3,FALSE)</f>
        <v>#N/A</v>
      </c>
      <c r="T1745" s="19" t="e">
        <f>VLOOKUP(A1745,[4]Volume!$E:$G,3,FALSE)</f>
        <v>#N/A</v>
      </c>
      <c r="U1745" s="19" t="e">
        <f>VLOOKUP(A1745,[4]Piece!$E:$G,3,FALSE)</f>
        <v>#N/A</v>
      </c>
      <c r="V1745" s="21" t="e">
        <f t="shared" si="110"/>
        <v>#N/A</v>
      </c>
      <c r="W1745" s="16" t="e">
        <f t="shared" si="111"/>
        <v>#N/A</v>
      </c>
    </row>
    <row r="1746" spans="1:23" hidden="1" x14ac:dyDescent="0.3">
      <c r="A1746" s="71" t="s">
        <v>3428</v>
      </c>
      <c r="B1746" s="71" t="s">
        <v>3428</v>
      </c>
      <c r="C1746" s="47" t="s">
        <v>33</v>
      </c>
      <c r="D1746" s="48" t="s">
        <v>34</v>
      </c>
      <c r="E1746" s="18" t="s">
        <v>3429</v>
      </c>
      <c r="F1746" s="24" t="str">
        <f t="shared" si="108"/>
        <v>PPG - MYCOL DURABLE MATT AQUA DREAM 0000001250</v>
      </c>
      <c r="G1746" s="20" t="s">
        <v>6616</v>
      </c>
      <c r="H1746" s="49" t="s">
        <v>213</v>
      </c>
      <c r="I1746" s="18" t="s">
        <v>37</v>
      </c>
      <c r="J1746" s="18" t="s">
        <v>38</v>
      </c>
      <c r="K1746" t="s">
        <v>39</v>
      </c>
      <c r="L1746" s="50">
        <f>VLOOKUP(A1746,'[3]Price info'!A:D,4,FALSE)</f>
        <v>14</v>
      </c>
      <c r="M1746" s="18" t="s">
        <v>214</v>
      </c>
      <c r="N1746" s="20">
        <v>3105</v>
      </c>
      <c r="P1746" s="16">
        <f>VLOOKUP(A1746,'[3]Price info'!A:H,8,FALSE)</f>
        <v>14</v>
      </c>
      <c r="Q1746" s="17">
        <f t="shared" si="109"/>
        <v>1</v>
      </c>
      <c r="S1746" s="16" t="e">
        <f>VLOOKUP(A1746,[4]Sales!$E:$G,3,FALSE)</f>
        <v>#N/A</v>
      </c>
      <c r="T1746" s="19" t="e">
        <f>VLOOKUP(A1746,[4]Volume!$E:$G,3,FALSE)</f>
        <v>#N/A</v>
      </c>
      <c r="U1746" s="19" t="e">
        <f>VLOOKUP(A1746,[4]Piece!$E:$G,3,FALSE)</f>
        <v>#N/A</v>
      </c>
      <c r="V1746" s="21" t="e">
        <f t="shared" si="110"/>
        <v>#N/A</v>
      </c>
      <c r="W1746" s="16" t="e">
        <f t="shared" si="111"/>
        <v>#N/A</v>
      </c>
    </row>
    <row r="1747" spans="1:23" hidden="1" x14ac:dyDescent="0.3">
      <c r="A1747" s="71" t="s">
        <v>3430</v>
      </c>
      <c r="B1747" s="71" t="s">
        <v>3430</v>
      </c>
      <c r="C1747" s="47" t="s">
        <v>33</v>
      </c>
      <c r="D1747" s="48" t="s">
        <v>34</v>
      </c>
      <c r="E1747" s="18" t="s">
        <v>3431</v>
      </c>
      <c r="F1747" s="24" t="str">
        <f t="shared" si="108"/>
        <v>PPG - MYCOL DURABLE MATT ASH GROVE  0000001250</v>
      </c>
      <c r="G1747" s="20" t="s">
        <v>6617</v>
      </c>
      <c r="H1747" s="49" t="s">
        <v>213</v>
      </c>
      <c r="I1747" s="18" t="s">
        <v>37</v>
      </c>
      <c r="J1747" s="18" t="s">
        <v>38</v>
      </c>
      <c r="K1747" t="s">
        <v>39</v>
      </c>
      <c r="L1747" s="50">
        <f>VLOOKUP(A1747,'[3]Price info'!A:D,4,FALSE)</f>
        <v>14</v>
      </c>
      <c r="M1747" s="18" t="s">
        <v>214</v>
      </c>
      <c r="N1747" s="20">
        <v>3105</v>
      </c>
      <c r="P1747" s="16">
        <f>VLOOKUP(A1747,'[3]Price info'!A:H,8,FALSE)</f>
        <v>14</v>
      </c>
      <c r="Q1747" s="17">
        <f t="shared" si="109"/>
        <v>1</v>
      </c>
      <c r="S1747" s="16" t="e">
        <f>VLOOKUP(A1747,[4]Sales!$E:$G,3,FALSE)</f>
        <v>#N/A</v>
      </c>
      <c r="T1747" s="19" t="e">
        <f>VLOOKUP(A1747,[4]Volume!$E:$G,3,FALSE)</f>
        <v>#N/A</v>
      </c>
      <c r="U1747" s="19" t="e">
        <f>VLOOKUP(A1747,[4]Piece!$E:$G,3,FALSE)</f>
        <v>#N/A</v>
      </c>
      <c r="V1747" s="21" t="e">
        <f t="shared" si="110"/>
        <v>#N/A</v>
      </c>
      <c r="W1747" s="16" t="e">
        <f t="shared" si="111"/>
        <v>#N/A</v>
      </c>
    </row>
    <row r="1748" spans="1:23" hidden="1" x14ac:dyDescent="0.3">
      <c r="A1748" s="71" t="s">
        <v>3432</v>
      </c>
      <c r="B1748" s="71" t="s">
        <v>3432</v>
      </c>
      <c r="C1748" s="51" t="s">
        <v>33</v>
      </c>
      <c r="D1748" s="48" t="s">
        <v>34</v>
      </c>
      <c r="E1748" s="18" t="s">
        <v>3433</v>
      </c>
      <c r="F1748" s="24" t="str">
        <f t="shared" si="108"/>
        <v>PPG - MYCOL DURABLE MATT BOULD LICH 0000001250</v>
      </c>
      <c r="G1748" s="20" t="s">
        <v>6618</v>
      </c>
      <c r="H1748" s="49" t="s">
        <v>213</v>
      </c>
      <c r="I1748" s="18" t="s">
        <v>37</v>
      </c>
      <c r="J1748" s="18" t="s">
        <v>38</v>
      </c>
      <c r="K1748" t="s">
        <v>39</v>
      </c>
      <c r="L1748" s="50">
        <f>VLOOKUP(A1748,'[3]Price info'!A:D,4,FALSE)</f>
        <v>14</v>
      </c>
      <c r="M1748" s="18" t="s">
        <v>214</v>
      </c>
      <c r="N1748" s="20">
        <v>3105</v>
      </c>
      <c r="P1748" s="16">
        <f>VLOOKUP(A1748,'[3]Price info'!A:H,8,FALSE)</f>
        <v>14</v>
      </c>
      <c r="Q1748" s="17">
        <f t="shared" si="109"/>
        <v>1</v>
      </c>
      <c r="S1748" s="16" t="e">
        <f>VLOOKUP(A1748,[4]Sales!$E:$G,3,FALSE)</f>
        <v>#N/A</v>
      </c>
      <c r="T1748" s="19" t="e">
        <f>VLOOKUP(A1748,[4]Volume!$E:$G,3,FALSE)</f>
        <v>#N/A</v>
      </c>
      <c r="U1748" s="19" t="e">
        <f>VLOOKUP(A1748,[4]Piece!$E:$G,3,FALSE)</f>
        <v>#N/A</v>
      </c>
      <c r="V1748" s="21" t="e">
        <f t="shared" si="110"/>
        <v>#N/A</v>
      </c>
      <c r="W1748" s="16" t="e">
        <f t="shared" si="111"/>
        <v>#N/A</v>
      </c>
    </row>
    <row r="1749" spans="1:23" hidden="1" x14ac:dyDescent="0.3">
      <c r="A1749" s="71" t="s">
        <v>3434</v>
      </c>
      <c r="B1749" s="71" t="s">
        <v>3434</v>
      </c>
      <c r="C1749" s="47" t="s">
        <v>33</v>
      </c>
      <c r="D1749" s="48" t="s">
        <v>34</v>
      </c>
      <c r="E1749" s="18" t="s">
        <v>3435</v>
      </c>
      <c r="F1749" s="24" t="str">
        <f t="shared" si="108"/>
        <v>PPG - MYCOL DURABLE MATT CANDLE SMK 0000001250</v>
      </c>
      <c r="G1749" s="20" t="s">
        <v>6619</v>
      </c>
      <c r="H1749" s="49" t="s">
        <v>213</v>
      </c>
      <c r="I1749" s="18" t="s">
        <v>37</v>
      </c>
      <c r="J1749" s="18" t="s">
        <v>38</v>
      </c>
      <c r="K1749" t="s">
        <v>39</v>
      </c>
      <c r="L1749" s="50">
        <f>VLOOKUP(A1749,'[3]Price info'!A:D,4,FALSE)</f>
        <v>14</v>
      </c>
      <c r="M1749" s="18" t="s">
        <v>214</v>
      </c>
      <c r="N1749" s="20">
        <v>3105</v>
      </c>
      <c r="P1749" s="16">
        <f>VLOOKUP(A1749,'[3]Price info'!A:H,8,FALSE)</f>
        <v>14</v>
      </c>
      <c r="Q1749" s="17">
        <f t="shared" si="109"/>
        <v>1</v>
      </c>
      <c r="S1749" s="16" t="e">
        <f>VLOOKUP(A1749,[4]Sales!$E:$G,3,FALSE)</f>
        <v>#N/A</v>
      </c>
      <c r="T1749" s="19" t="e">
        <f>VLOOKUP(A1749,[4]Volume!$E:$G,3,FALSE)</f>
        <v>#N/A</v>
      </c>
      <c r="U1749" s="19" t="e">
        <f>VLOOKUP(A1749,[4]Piece!$E:$G,3,FALSE)</f>
        <v>#N/A</v>
      </c>
      <c r="V1749" s="21" t="e">
        <f t="shared" si="110"/>
        <v>#N/A</v>
      </c>
      <c r="W1749" s="16" t="e">
        <f t="shared" si="111"/>
        <v>#N/A</v>
      </c>
    </row>
    <row r="1750" spans="1:23" hidden="1" x14ac:dyDescent="0.3">
      <c r="A1750" s="71" t="s">
        <v>3436</v>
      </c>
      <c r="B1750" s="71" t="s">
        <v>3436</v>
      </c>
      <c r="C1750" s="47" t="s">
        <v>33</v>
      </c>
      <c r="D1750" s="48" t="s">
        <v>34</v>
      </c>
      <c r="E1750" s="18" t="s">
        <v>3437</v>
      </c>
      <c r="F1750" s="24" t="str">
        <f t="shared" si="108"/>
        <v>PPG - MYCOL DURABLE MATT COASTOFMAI 0000001250</v>
      </c>
      <c r="G1750" s="20" t="s">
        <v>6620</v>
      </c>
      <c r="H1750" s="49" t="s">
        <v>213</v>
      </c>
      <c r="I1750" s="18" t="s">
        <v>37</v>
      </c>
      <c r="J1750" s="18" t="s">
        <v>38</v>
      </c>
      <c r="K1750" t="s">
        <v>39</v>
      </c>
      <c r="L1750" s="50">
        <f>VLOOKUP(A1750,'[3]Price info'!A:D,4,FALSE)</f>
        <v>14</v>
      </c>
      <c r="M1750" s="18" t="s">
        <v>214</v>
      </c>
      <c r="N1750" s="20">
        <v>3105</v>
      </c>
      <c r="P1750" s="16">
        <f>VLOOKUP(A1750,'[3]Price info'!A:H,8,FALSE)</f>
        <v>14</v>
      </c>
      <c r="Q1750" s="17">
        <f t="shared" si="109"/>
        <v>1</v>
      </c>
      <c r="S1750" s="16" t="e">
        <f>VLOOKUP(A1750,[4]Sales!$E:$G,3,FALSE)</f>
        <v>#N/A</v>
      </c>
      <c r="T1750" s="19" t="e">
        <f>VLOOKUP(A1750,[4]Volume!$E:$G,3,FALSE)</f>
        <v>#N/A</v>
      </c>
      <c r="U1750" s="19" t="e">
        <f>VLOOKUP(A1750,[4]Piece!$E:$G,3,FALSE)</f>
        <v>#N/A</v>
      </c>
      <c r="V1750" s="21" t="e">
        <f t="shared" si="110"/>
        <v>#N/A</v>
      </c>
      <c r="W1750" s="16" t="e">
        <f t="shared" si="111"/>
        <v>#N/A</v>
      </c>
    </row>
    <row r="1751" spans="1:23" hidden="1" x14ac:dyDescent="0.3">
      <c r="A1751" s="71" t="s">
        <v>3438</v>
      </c>
      <c r="B1751" s="71" t="s">
        <v>3438</v>
      </c>
      <c r="C1751" s="51" t="s">
        <v>33</v>
      </c>
      <c r="D1751" s="48" t="s">
        <v>34</v>
      </c>
      <c r="E1751" s="18" t="s">
        <v>3439</v>
      </c>
      <c r="F1751" s="24" t="str">
        <f t="shared" si="108"/>
        <v>PPG - MYCOL DURABLE MATT EL CAPITAN 0000001250</v>
      </c>
      <c r="G1751" s="20" t="s">
        <v>6621</v>
      </c>
      <c r="H1751" s="49" t="s">
        <v>213</v>
      </c>
      <c r="I1751" s="18" t="s">
        <v>37</v>
      </c>
      <c r="J1751" s="18" t="s">
        <v>38</v>
      </c>
      <c r="K1751" t="s">
        <v>39</v>
      </c>
      <c r="L1751" s="50">
        <f>VLOOKUP(A1751,'[3]Price info'!A:D,4,FALSE)</f>
        <v>14</v>
      </c>
      <c r="M1751" s="18" t="s">
        <v>214</v>
      </c>
      <c r="N1751" s="20">
        <v>3105</v>
      </c>
      <c r="P1751" s="16">
        <f>VLOOKUP(A1751,'[3]Price info'!A:H,8,FALSE)</f>
        <v>14</v>
      </c>
      <c r="Q1751" s="17">
        <f t="shared" si="109"/>
        <v>1</v>
      </c>
      <c r="S1751" s="16" t="e">
        <f>VLOOKUP(A1751,[4]Sales!$E:$G,3,FALSE)</f>
        <v>#N/A</v>
      </c>
      <c r="T1751" s="19" t="e">
        <f>VLOOKUP(A1751,[4]Volume!$E:$G,3,FALSE)</f>
        <v>#N/A</v>
      </c>
      <c r="U1751" s="19" t="e">
        <f>VLOOKUP(A1751,[4]Piece!$E:$G,3,FALSE)</f>
        <v>#N/A</v>
      </c>
      <c r="V1751" s="21" t="e">
        <f t="shared" si="110"/>
        <v>#N/A</v>
      </c>
      <c r="W1751" s="16" t="e">
        <f t="shared" si="111"/>
        <v>#N/A</v>
      </c>
    </row>
    <row r="1752" spans="1:23" hidden="1" x14ac:dyDescent="0.3">
      <c r="A1752" s="71" t="s">
        <v>3440</v>
      </c>
      <c r="B1752" s="71" t="s">
        <v>3440</v>
      </c>
      <c r="C1752" s="47" t="s">
        <v>33</v>
      </c>
      <c r="D1752" s="48" t="s">
        <v>34</v>
      </c>
      <c r="E1752" s="18" t="s">
        <v>3441</v>
      </c>
      <c r="F1752" s="24" t="str">
        <f t="shared" si="108"/>
        <v>PPG - MYCOL DURABLE MATT ENCH EGGPL 0000001250</v>
      </c>
      <c r="G1752" s="20" t="s">
        <v>6622</v>
      </c>
      <c r="H1752" s="49" t="s">
        <v>213</v>
      </c>
      <c r="I1752" s="18" t="s">
        <v>37</v>
      </c>
      <c r="J1752" s="18" t="s">
        <v>38</v>
      </c>
      <c r="K1752" t="s">
        <v>39</v>
      </c>
      <c r="L1752" s="50">
        <f>VLOOKUP(A1752,'[3]Price info'!A:D,4,FALSE)</f>
        <v>14</v>
      </c>
      <c r="M1752" s="18" t="s">
        <v>214</v>
      </c>
      <c r="N1752" s="20">
        <v>3105</v>
      </c>
      <c r="P1752" s="16">
        <f>VLOOKUP(A1752,'[3]Price info'!A:H,8,FALSE)</f>
        <v>14</v>
      </c>
      <c r="Q1752" s="17">
        <f t="shared" si="109"/>
        <v>1</v>
      </c>
      <c r="S1752" s="16" t="e">
        <f>VLOOKUP(A1752,[4]Sales!$E:$G,3,FALSE)</f>
        <v>#N/A</v>
      </c>
      <c r="T1752" s="19" t="e">
        <f>VLOOKUP(A1752,[4]Volume!$E:$G,3,FALSE)</f>
        <v>#N/A</v>
      </c>
      <c r="U1752" s="19" t="e">
        <f>VLOOKUP(A1752,[4]Piece!$E:$G,3,FALSE)</f>
        <v>#N/A</v>
      </c>
      <c r="V1752" s="21" t="e">
        <f t="shared" si="110"/>
        <v>#N/A</v>
      </c>
      <c r="W1752" s="16" t="e">
        <f t="shared" si="111"/>
        <v>#N/A</v>
      </c>
    </row>
    <row r="1753" spans="1:23" hidden="1" x14ac:dyDescent="0.3">
      <c r="A1753" s="71" t="s">
        <v>3442</v>
      </c>
      <c r="B1753" s="71" t="s">
        <v>3442</v>
      </c>
      <c r="C1753" s="47" t="s">
        <v>33</v>
      </c>
      <c r="D1753" s="48" t="s">
        <v>34</v>
      </c>
      <c r="E1753" s="18" t="s">
        <v>3443</v>
      </c>
      <c r="F1753" s="24" t="str">
        <f t="shared" si="108"/>
        <v>PPG - MYCOL DURABLE MATT INTUITIVE  0000001250</v>
      </c>
      <c r="G1753" s="20" t="s">
        <v>6623</v>
      </c>
      <c r="H1753" s="49" t="s">
        <v>213</v>
      </c>
      <c r="I1753" s="18" t="s">
        <v>37</v>
      </c>
      <c r="J1753" s="18" t="s">
        <v>38</v>
      </c>
      <c r="K1753" t="s">
        <v>39</v>
      </c>
      <c r="L1753" s="50">
        <f>VLOOKUP(A1753,'[3]Price info'!A:D,4,FALSE)</f>
        <v>14</v>
      </c>
      <c r="M1753" s="18" t="s">
        <v>214</v>
      </c>
      <c r="N1753" s="20">
        <v>3105</v>
      </c>
      <c r="P1753" s="16">
        <f>VLOOKUP(A1753,'[3]Price info'!A:H,8,FALSE)</f>
        <v>14</v>
      </c>
      <c r="Q1753" s="17">
        <f t="shared" si="109"/>
        <v>1</v>
      </c>
      <c r="S1753" s="16" t="e">
        <f>VLOOKUP(A1753,[4]Sales!$E:$G,3,FALSE)</f>
        <v>#N/A</v>
      </c>
      <c r="T1753" s="19" t="e">
        <f>VLOOKUP(A1753,[4]Volume!$E:$G,3,FALSE)</f>
        <v>#N/A</v>
      </c>
      <c r="U1753" s="19" t="e">
        <f>VLOOKUP(A1753,[4]Piece!$E:$G,3,FALSE)</f>
        <v>#N/A</v>
      </c>
      <c r="V1753" s="21" t="e">
        <f t="shared" si="110"/>
        <v>#N/A</v>
      </c>
      <c r="W1753" s="16" t="e">
        <f t="shared" si="111"/>
        <v>#N/A</v>
      </c>
    </row>
    <row r="1754" spans="1:23" hidden="1" x14ac:dyDescent="0.3">
      <c r="A1754" s="71" t="s">
        <v>3444</v>
      </c>
      <c r="B1754" s="71" t="s">
        <v>3444</v>
      </c>
      <c r="C1754" s="51" t="s">
        <v>33</v>
      </c>
      <c r="D1754" s="48" t="s">
        <v>34</v>
      </c>
      <c r="E1754" s="18" t="s">
        <v>3445</v>
      </c>
      <c r="F1754" s="24" t="str">
        <f t="shared" si="108"/>
        <v>PPG - MYCOL DURABLE MATT NEW CHALK  0000001250</v>
      </c>
      <c r="G1754" s="20" t="s">
        <v>6624</v>
      </c>
      <c r="H1754" s="49" t="s">
        <v>213</v>
      </c>
      <c r="I1754" s="18" t="s">
        <v>37</v>
      </c>
      <c r="J1754" s="18" t="s">
        <v>38</v>
      </c>
      <c r="K1754" t="s">
        <v>39</v>
      </c>
      <c r="L1754" s="50">
        <f>VLOOKUP(A1754,'[3]Price info'!A:D,4,FALSE)</f>
        <v>14</v>
      </c>
      <c r="M1754" s="18" t="s">
        <v>214</v>
      </c>
      <c r="N1754" s="20">
        <v>3105</v>
      </c>
      <c r="P1754" s="16">
        <f>VLOOKUP(A1754,'[3]Price info'!A:H,8,FALSE)</f>
        <v>14</v>
      </c>
      <c r="Q1754" s="17">
        <f t="shared" si="109"/>
        <v>1</v>
      </c>
      <c r="S1754" s="16" t="e">
        <f>VLOOKUP(A1754,[4]Sales!$E:$G,3,FALSE)</f>
        <v>#N/A</v>
      </c>
      <c r="T1754" s="19" t="e">
        <f>VLOOKUP(A1754,[4]Volume!$E:$G,3,FALSE)</f>
        <v>#N/A</v>
      </c>
      <c r="U1754" s="19" t="e">
        <f>VLOOKUP(A1754,[4]Piece!$E:$G,3,FALSE)</f>
        <v>#N/A</v>
      </c>
      <c r="V1754" s="21" t="e">
        <f t="shared" si="110"/>
        <v>#N/A</v>
      </c>
      <c r="W1754" s="16" t="e">
        <f t="shared" si="111"/>
        <v>#N/A</v>
      </c>
    </row>
    <row r="1755" spans="1:23" hidden="1" x14ac:dyDescent="0.3">
      <c r="A1755" s="71" t="s">
        <v>3446</v>
      </c>
      <c r="B1755" s="71" t="s">
        <v>3446</v>
      </c>
      <c r="C1755" s="47" t="s">
        <v>33</v>
      </c>
      <c r="D1755" s="48" t="s">
        <v>34</v>
      </c>
      <c r="E1755" s="18" t="s">
        <v>3447</v>
      </c>
      <c r="F1755" s="24" t="str">
        <f t="shared" si="108"/>
        <v>PPG - MYCOL DURABLE MATT NIGHTCAP   0000001250</v>
      </c>
      <c r="G1755" s="20" t="s">
        <v>6625</v>
      </c>
      <c r="H1755" s="49" t="s">
        <v>213</v>
      </c>
      <c r="I1755" s="18" t="s">
        <v>37</v>
      </c>
      <c r="J1755" s="18" t="s">
        <v>38</v>
      </c>
      <c r="K1755" t="s">
        <v>39</v>
      </c>
      <c r="L1755" s="50">
        <f>VLOOKUP(A1755,'[3]Price info'!A:D,4,FALSE)</f>
        <v>14</v>
      </c>
      <c r="M1755" s="18" t="s">
        <v>214</v>
      </c>
      <c r="N1755" s="20">
        <v>3105</v>
      </c>
      <c r="P1755" s="16">
        <f>VLOOKUP(A1755,'[3]Price info'!A:H,8,FALSE)</f>
        <v>14</v>
      </c>
      <c r="Q1755" s="17">
        <f t="shared" si="109"/>
        <v>1</v>
      </c>
      <c r="S1755" s="16" t="e">
        <f>VLOOKUP(A1755,[4]Sales!$E:$G,3,FALSE)</f>
        <v>#N/A</v>
      </c>
      <c r="T1755" s="19" t="e">
        <f>VLOOKUP(A1755,[4]Volume!$E:$G,3,FALSE)</f>
        <v>#N/A</v>
      </c>
      <c r="U1755" s="19" t="e">
        <f>VLOOKUP(A1755,[4]Piece!$E:$G,3,FALSE)</f>
        <v>#N/A</v>
      </c>
      <c r="V1755" s="21" t="e">
        <f t="shared" si="110"/>
        <v>#N/A</v>
      </c>
      <c r="W1755" s="16" t="e">
        <f t="shared" si="111"/>
        <v>#N/A</v>
      </c>
    </row>
    <row r="1756" spans="1:23" hidden="1" x14ac:dyDescent="0.3">
      <c r="A1756" s="71" t="s">
        <v>3448</v>
      </c>
      <c r="B1756" s="71" t="s">
        <v>3448</v>
      </c>
      <c r="C1756" s="47" t="s">
        <v>33</v>
      </c>
      <c r="D1756" s="48" t="s">
        <v>34</v>
      </c>
      <c r="E1756" s="18" t="s">
        <v>3449</v>
      </c>
      <c r="F1756" s="24" t="str">
        <f t="shared" si="108"/>
        <v>PPG - MYCOL DURABLE MATT NIGHTWATCH 0000001250</v>
      </c>
      <c r="G1756" s="20" t="s">
        <v>6626</v>
      </c>
      <c r="H1756" s="49" t="s">
        <v>213</v>
      </c>
      <c r="I1756" s="18" t="s">
        <v>37</v>
      </c>
      <c r="J1756" s="18" t="s">
        <v>38</v>
      </c>
      <c r="K1756" t="s">
        <v>39</v>
      </c>
      <c r="L1756" s="50">
        <f>VLOOKUP(A1756,'[3]Price info'!A:D,4,FALSE)</f>
        <v>14</v>
      </c>
      <c r="M1756" s="18" t="s">
        <v>214</v>
      </c>
      <c r="N1756" s="20">
        <v>3105</v>
      </c>
      <c r="P1756" s="16">
        <f>VLOOKUP(A1756,'[3]Price info'!A:H,8,FALSE)</f>
        <v>14</v>
      </c>
      <c r="Q1756" s="17">
        <f t="shared" si="109"/>
        <v>1</v>
      </c>
      <c r="S1756" s="16" t="e">
        <f>VLOOKUP(A1756,[4]Sales!$E:$G,3,FALSE)</f>
        <v>#N/A</v>
      </c>
      <c r="T1756" s="19" t="e">
        <f>VLOOKUP(A1756,[4]Volume!$E:$G,3,FALSE)</f>
        <v>#N/A</v>
      </c>
      <c r="U1756" s="19" t="e">
        <f>VLOOKUP(A1756,[4]Piece!$E:$G,3,FALSE)</f>
        <v>#N/A</v>
      </c>
      <c r="V1756" s="21" t="e">
        <f t="shared" si="110"/>
        <v>#N/A</v>
      </c>
      <c r="W1756" s="16" t="e">
        <f t="shared" si="111"/>
        <v>#N/A</v>
      </c>
    </row>
    <row r="1757" spans="1:23" hidden="1" x14ac:dyDescent="0.3">
      <c r="A1757" s="71" t="s">
        <v>3450</v>
      </c>
      <c r="B1757" s="71" t="s">
        <v>3450</v>
      </c>
      <c r="C1757" s="51" t="s">
        <v>33</v>
      </c>
      <c r="D1757" s="48" t="s">
        <v>34</v>
      </c>
      <c r="E1757" s="18" t="s">
        <v>3451</v>
      </c>
      <c r="F1757" s="24" t="str">
        <f t="shared" si="108"/>
        <v>PPG - MYCOL DURABLE MATT PEACH PUDD 0000001250</v>
      </c>
      <c r="G1757" s="20" t="s">
        <v>6627</v>
      </c>
      <c r="H1757" s="49" t="s">
        <v>213</v>
      </c>
      <c r="I1757" s="18" t="s">
        <v>37</v>
      </c>
      <c r="J1757" s="18" t="s">
        <v>38</v>
      </c>
      <c r="K1757" t="s">
        <v>39</v>
      </c>
      <c r="L1757" s="50">
        <f>VLOOKUP(A1757,'[3]Price info'!A:D,4,FALSE)</f>
        <v>14</v>
      </c>
      <c r="M1757" s="18" t="s">
        <v>214</v>
      </c>
      <c r="N1757" s="20">
        <v>3105</v>
      </c>
      <c r="P1757" s="16">
        <f>VLOOKUP(A1757,'[3]Price info'!A:H,8,FALSE)</f>
        <v>14</v>
      </c>
      <c r="Q1757" s="17">
        <f t="shared" si="109"/>
        <v>1</v>
      </c>
      <c r="S1757" s="16" t="e">
        <f>VLOOKUP(A1757,[4]Sales!$E:$G,3,FALSE)</f>
        <v>#N/A</v>
      </c>
      <c r="T1757" s="19" t="e">
        <f>VLOOKUP(A1757,[4]Volume!$E:$G,3,FALSE)</f>
        <v>#N/A</v>
      </c>
      <c r="U1757" s="19" t="e">
        <f>VLOOKUP(A1757,[4]Piece!$E:$G,3,FALSE)</f>
        <v>#N/A</v>
      </c>
      <c r="V1757" s="21" t="e">
        <f t="shared" si="110"/>
        <v>#N/A</v>
      </c>
      <c r="W1757" s="16" t="e">
        <f t="shared" si="111"/>
        <v>#N/A</v>
      </c>
    </row>
    <row r="1758" spans="1:23" hidden="1" x14ac:dyDescent="0.3">
      <c r="A1758" s="71" t="s">
        <v>3452</v>
      </c>
      <c r="B1758" s="71" t="s">
        <v>3452</v>
      </c>
      <c r="C1758" s="47" t="s">
        <v>33</v>
      </c>
      <c r="D1758" s="48" t="s">
        <v>34</v>
      </c>
      <c r="E1758" s="18" t="s">
        <v>3453</v>
      </c>
      <c r="F1758" s="24" t="str">
        <f t="shared" si="108"/>
        <v>PPG - MYCOL DURABLE MATT SINGI SAND 0000001250</v>
      </c>
      <c r="G1758" s="20" t="s">
        <v>6628</v>
      </c>
      <c r="H1758" s="49" t="s">
        <v>213</v>
      </c>
      <c r="I1758" s="18" t="s">
        <v>37</v>
      </c>
      <c r="J1758" s="18" t="s">
        <v>38</v>
      </c>
      <c r="K1758" t="s">
        <v>39</v>
      </c>
      <c r="L1758" s="50">
        <f>VLOOKUP(A1758,'[3]Price info'!A:D,4,FALSE)</f>
        <v>14</v>
      </c>
      <c r="M1758" s="18" t="s">
        <v>214</v>
      </c>
      <c r="N1758" s="20">
        <v>3105</v>
      </c>
      <c r="P1758" s="16">
        <f>VLOOKUP(A1758,'[3]Price info'!A:H,8,FALSE)</f>
        <v>14</v>
      </c>
      <c r="Q1758" s="17">
        <f t="shared" si="109"/>
        <v>1</v>
      </c>
      <c r="S1758" s="16" t="e">
        <f>VLOOKUP(A1758,[4]Sales!$E:$G,3,FALSE)</f>
        <v>#N/A</v>
      </c>
      <c r="T1758" s="19" t="e">
        <f>VLOOKUP(A1758,[4]Volume!$E:$G,3,FALSE)</f>
        <v>#N/A</v>
      </c>
      <c r="U1758" s="19" t="e">
        <f>VLOOKUP(A1758,[4]Piece!$E:$G,3,FALSE)</f>
        <v>#N/A</v>
      </c>
      <c r="V1758" s="21" t="e">
        <f t="shared" si="110"/>
        <v>#N/A</v>
      </c>
      <c r="W1758" s="16" t="e">
        <f t="shared" si="111"/>
        <v>#N/A</v>
      </c>
    </row>
    <row r="1759" spans="1:23" hidden="1" x14ac:dyDescent="0.3">
      <c r="A1759" s="71" t="s">
        <v>3454</v>
      </c>
      <c r="B1759" s="71" t="s">
        <v>3454</v>
      </c>
      <c r="C1759" s="47" t="s">
        <v>33</v>
      </c>
      <c r="D1759" s="48" t="s">
        <v>34</v>
      </c>
      <c r="E1759" s="18" t="s">
        <v>3455</v>
      </c>
      <c r="F1759" s="24" t="str">
        <f t="shared" si="108"/>
        <v>PPG - MYCOL DURABLE MATT SOMBRE TAN 0000001250</v>
      </c>
      <c r="G1759" s="20" t="s">
        <v>6629</v>
      </c>
      <c r="H1759" s="49" t="s">
        <v>213</v>
      </c>
      <c r="I1759" s="18" t="s">
        <v>37</v>
      </c>
      <c r="J1759" s="18" t="s">
        <v>38</v>
      </c>
      <c r="K1759" t="s">
        <v>39</v>
      </c>
      <c r="L1759" s="50">
        <f>VLOOKUP(A1759,'[3]Price info'!A:D,4,FALSE)</f>
        <v>14</v>
      </c>
      <c r="M1759" s="18" t="s">
        <v>214</v>
      </c>
      <c r="N1759" s="20">
        <v>3105</v>
      </c>
      <c r="P1759" s="16">
        <f>VLOOKUP(A1759,'[3]Price info'!A:H,8,FALSE)</f>
        <v>14</v>
      </c>
      <c r="Q1759" s="17">
        <f t="shared" si="109"/>
        <v>1</v>
      </c>
      <c r="S1759" s="16" t="e">
        <f>VLOOKUP(A1759,[4]Sales!$E:$G,3,FALSE)</f>
        <v>#N/A</v>
      </c>
      <c r="T1759" s="19" t="e">
        <f>VLOOKUP(A1759,[4]Volume!$E:$G,3,FALSE)</f>
        <v>#N/A</v>
      </c>
      <c r="U1759" s="19" t="e">
        <f>VLOOKUP(A1759,[4]Piece!$E:$G,3,FALSE)</f>
        <v>#N/A</v>
      </c>
      <c r="V1759" s="21" t="e">
        <f t="shared" si="110"/>
        <v>#N/A</v>
      </c>
      <c r="W1759" s="16" t="e">
        <f t="shared" si="111"/>
        <v>#N/A</v>
      </c>
    </row>
    <row r="1760" spans="1:23" hidden="1" x14ac:dyDescent="0.3">
      <c r="A1760" s="71" t="s">
        <v>3456</v>
      </c>
      <c r="B1760" s="71" t="s">
        <v>3456</v>
      </c>
      <c r="C1760" s="51" t="s">
        <v>33</v>
      </c>
      <c r="D1760" s="48" t="s">
        <v>34</v>
      </c>
      <c r="E1760" s="18" t="s">
        <v>3457</v>
      </c>
      <c r="F1760" s="24" t="str">
        <f t="shared" si="108"/>
        <v>PPG - MYCOL DURABLE MATT STEEL MILL 0000001250</v>
      </c>
      <c r="G1760" s="20" t="s">
        <v>6630</v>
      </c>
      <c r="H1760" s="49" t="s">
        <v>213</v>
      </c>
      <c r="I1760" s="18" t="s">
        <v>37</v>
      </c>
      <c r="J1760" s="18" t="s">
        <v>38</v>
      </c>
      <c r="K1760" t="s">
        <v>39</v>
      </c>
      <c r="L1760" s="50">
        <f>VLOOKUP(A1760,'[3]Price info'!A:D,4,FALSE)</f>
        <v>14</v>
      </c>
      <c r="M1760" s="18" t="s">
        <v>214</v>
      </c>
      <c r="N1760" s="20">
        <v>3105</v>
      </c>
      <c r="P1760" s="16">
        <f>VLOOKUP(A1760,'[3]Price info'!A:H,8,FALSE)</f>
        <v>14</v>
      </c>
      <c r="Q1760" s="17">
        <f t="shared" si="109"/>
        <v>1</v>
      </c>
      <c r="S1760" s="16" t="e">
        <f>VLOOKUP(A1760,[4]Sales!$E:$G,3,FALSE)</f>
        <v>#N/A</v>
      </c>
      <c r="T1760" s="19" t="e">
        <f>VLOOKUP(A1760,[4]Volume!$E:$G,3,FALSE)</f>
        <v>#N/A</v>
      </c>
      <c r="U1760" s="19" t="e">
        <f>VLOOKUP(A1760,[4]Piece!$E:$G,3,FALSE)</f>
        <v>#N/A</v>
      </c>
      <c r="V1760" s="21" t="e">
        <f t="shared" si="110"/>
        <v>#N/A</v>
      </c>
      <c r="W1760" s="16" t="e">
        <f t="shared" si="111"/>
        <v>#N/A</v>
      </c>
    </row>
    <row r="1761" spans="1:23" hidden="1" x14ac:dyDescent="0.3">
      <c r="A1761" s="71" t="s">
        <v>3458</v>
      </c>
      <c r="B1761" s="71" t="s">
        <v>3458</v>
      </c>
      <c r="C1761" s="47" t="s">
        <v>33</v>
      </c>
      <c r="D1761" s="48" t="s">
        <v>34</v>
      </c>
      <c r="E1761" s="18" t="s">
        <v>3459</v>
      </c>
      <c r="F1761" s="24" t="str">
        <f t="shared" si="108"/>
        <v>PPG - MYCOL DURABLE MATT SUMMER SHA 0000001250</v>
      </c>
      <c r="G1761" s="20" t="s">
        <v>6631</v>
      </c>
      <c r="H1761" s="49" t="s">
        <v>213</v>
      </c>
      <c r="I1761" s="18" t="s">
        <v>37</v>
      </c>
      <c r="J1761" s="18" t="s">
        <v>38</v>
      </c>
      <c r="K1761" t="s">
        <v>39</v>
      </c>
      <c r="L1761" s="50">
        <f>VLOOKUP(A1761,'[3]Price info'!A:D,4,FALSE)</f>
        <v>14</v>
      </c>
      <c r="M1761" s="18" t="s">
        <v>214</v>
      </c>
      <c r="N1761" s="20">
        <v>3105</v>
      </c>
      <c r="P1761" s="16">
        <f>VLOOKUP(A1761,'[3]Price info'!A:H,8,FALSE)</f>
        <v>14</v>
      </c>
      <c r="Q1761" s="17">
        <f t="shared" si="109"/>
        <v>1</v>
      </c>
      <c r="S1761" s="16" t="e">
        <f>VLOOKUP(A1761,[4]Sales!$E:$G,3,FALSE)</f>
        <v>#N/A</v>
      </c>
      <c r="T1761" s="19" t="e">
        <f>VLOOKUP(A1761,[4]Volume!$E:$G,3,FALSE)</f>
        <v>#N/A</v>
      </c>
      <c r="U1761" s="19" t="e">
        <f>VLOOKUP(A1761,[4]Piece!$E:$G,3,FALSE)</f>
        <v>#N/A</v>
      </c>
      <c r="V1761" s="21" t="e">
        <f t="shared" si="110"/>
        <v>#N/A</v>
      </c>
      <c r="W1761" s="16" t="e">
        <f t="shared" si="111"/>
        <v>#N/A</v>
      </c>
    </row>
    <row r="1762" spans="1:23" hidden="1" x14ac:dyDescent="0.3">
      <c r="A1762" s="71" t="s">
        <v>3460</v>
      </c>
      <c r="B1762" s="71" t="s">
        <v>3460</v>
      </c>
      <c r="C1762" s="47" t="s">
        <v>33</v>
      </c>
      <c r="D1762" s="48" t="s">
        <v>34</v>
      </c>
      <c r="E1762" s="18" t="s">
        <v>3461</v>
      </c>
      <c r="F1762" s="24" t="str">
        <f t="shared" si="108"/>
        <v>PPG - MYCOL DURABLE MATT SWANSONG   0000001250</v>
      </c>
      <c r="G1762" s="20" t="s">
        <v>6632</v>
      </c>
      <c r="H1762" s="49" t="s">
        <v>213</v>
      </c>
      <c r="I1762" s="18" t="s">
        <v>37</v>
      </c>
      <c r="J1762" s="18" t="s">
        <v>38</v>
      </c>
      <c r="K1762" t="s">
        <v>39</v>
      </c>
      <c r="L1762" s="50">
        <f>VLOOKUP(A1762,'[3]Price info'!A:D,4,FALSE)</f>
        <v>14</v>
      </c>
      <c r="M1762" s="18" t="s">
        <v>214</v>
      </c>
      <c r="N1762" s="20">
        <v>3105</v>
      </c>
      <c r="P1762" s="16">
        <f>VLOOKUP(A1762,'[3]Price info'!A:H,8,FALSE)</f>
        <v>14</v>
      </c>
      <c r="Q1762" s="17">
        <f t="shared" si="109"/>
        <v>1</v>
      </c>
      <c r="S1762" s="16" t="e">
        <f>VLOOKUP(A1762,[4]Sales!$E:$G,3,FALSE)</f>
        <v>#N/A</v>
      </c>
      <c r="T1762" s="19" t="e">
        <f>VLOOKUP(A1762,[4]Volume!$E:$G,3,FALSE)</f>
        <v>#N/A</v>
      </c>
      <c r="U1762" s="19" t="e">
        <f>VLOOKUP(A1762,[4]Piece!$E:$G,3,FALSE)</f>
        <v>#N/A</v>
      </c>
      <c r="V1762" s="21" t="e">
        <f t="shared" si="110"/>
        <v>#N/A</v>
      </c>
      <c r="W1762" s="16" t="e">
        <f t="shared" si="111"/>
        <v>#N/A</v>
      </c>
    </row>
    <row r="1763" spans="1:23" hidden="1" x14ac:dyDescent="0.3">
      <c r="A1763" s="71" t="s">
        <v>3462</v>
      </c>
      <c r="B1763" s="71" t="s">
        <v>3462</v>
      </c>
      <c r="C1763" s="51" t="s">
        <v>33</v>
      </c>
      <c r="D1763" s="48" t="s">
        <v>34</v>
      </c>
      <c r="E1763" s="18" t="s">
        <v>3463</v>
      </c>
      <c r="F1763" s="24" t="str">
        <f t="shared" si="108"/>
        <v>PPG - MYCOL DURABLE MATT SYMMETRY   0000001250</v>
      </c>
      <c r="G1763" s="20" t="s">
        <v>6633</v>
      </c>
      <c r="H1763" s="49" t="s">
        <v>213</v>
      </c>
      <c r="I1763" s="18" t="s">
        <v>37</v>
      </c>
      <c r="J1763" s="18" t="s">
        <v>38</v>
      </c>
      <c r="K1763" t="s">
        <v>39</v>
      </c>
      <c r="L1763" s="50">
        <f>VLOOKUP(A1763,'[3]Price info'!A:D,4,FALSE)</f>
        <v>14</v>
      </c>
      <c r="M1763" s="18" t="s">
        <v>214</v>
      </c>
      <c r="N1763" s="20">
        <v>3105</v>
      </c>
      <c r="P1763" s="16">
        <f>VLOOKUP(A1763,'[3]Price info'!A:H,8,FALSE)</f>
        <v>14</v>
      </c>
      <c r="Q1763" s="17">
        <f t="shared" si="109"/>
        <v>1</v>
      </c>
      <c r="S1763" s="16" t="e">
        <f>VLOOKUP(A1763,[4]Sales!$E:$G,3,FALSE)</f>
        <v>#N/A</v>
      </c>
      <c r="T1763" s="19" t="e">
        <f>VLOOKUP(A1763,[4]Volume!$E:$G,3,FALSE)</f>
        <v>#N/A</v>
      </c>
      <c r="U1763" s="19" t="e">
        <f>VLOOKUP(A1763,[4]Piece!$E:$G,3,FALSE)</f>
        <v>#N/A</v>
      </c>
      <c r="V1763" s="21" t="e">
        <f t="shared" si="110"/>
        <v>#N/A</v>
      </c>
      <c r="W1763" s="16" t="e">
        <f t="shared" si="111"/>
        <v>#N/A</v>
      </c>
    </row>
    <row r="1764" spans="1:23" hidden="1" x14ac:dyDescent="0.3">
      <c r="A1764" s="71" t="s">
        <v>3464</v>
      </c>
      <c r="B1764" s="71" t="s">
        <v>3464</v>
      </c>
      <c r="C1764" s="47" t="s">
        <v>33</v>
      </c>
      <c r="D1764" s="48" t="s">
        <v>34</v>
      </c>
      <c r="E1764" s="18" t="s">
        <v>3465</v>
      </c>
      <c r="F1764" s="24" t="str">
        <f t="shared" si="108"/>
        <v>PPG - MYCOL DURABLE MATT TAN YRHIDE 0000001250</v>
      </c>
      <c r="G1764" s="20" t="s">
        <v>6634</v>
      </c>
      <c r="H1764" s="49" t="s">
        <v>213</v>
      </c>
      <c r="I1764" s="18" t="s">
        <v>37</v>
      </c>
      <c r="J1764" s="18" t="s">
        <v>38</v>
      </c>
      <c r="K1764" t="s">
        <v>39</v>
      </c>
      <c r="L1764" s="50">
        <f>VLOOKUP(A1764,'[3]Price info'!A:D,4,FALSE)</f>
        <v>14</v>
      </c>
      <c r="M1764" s="18" t="s">
        <v>214</v>
      </c>
      <c r="N1764" s="20">
        <v>3105</v>
      </c>
      <c r="P1764" s="16">
        <f>VLOOKUP(A1764,'[3]Price info'!A:H,8,FALSE)</f>
        <v>14</v>
      </c>
      <c r="Q1764" s="17">
        <f t="shared" si="109"/>
        <v>1</v>
      </c>
      <c r="S1764" s="16" t="e">
        <f>VLOOKUP(A1764,[4]Sales!$E:$G,3,FALSE)</f>
        <v>#N/A</v>
      </c>
      <c r="T1764" s="19" t="e">
        <f>VLOOKUP(A1764,[4]Volume!$E:$G,3,FALSE)</f>
        <v>#N/A</v>
      </c>
      <c r="U1764" s="19" t="e">
        <f>VLOOKUP(A1764,[4]Piece!$E:$G,3,FALSE)</f>
        <v>#N/A</v>
      </c>
      <c r="V1764" s="21" t="e">
        <f t="shared" si="110"/>
        <v>#N/A</v>
      </c>
      <c r="W1764" s="16" t="e">
        <f t="shared" si="111"/>
        <v>#N/A</v>
      </c>
    </row>
    <row r="1765" spans="1:23" hidden="1" x14ac:dyDescent="0.3">
      <c r="A1765" s="71" t="s">
        <v>3466</v>
      </c>
      <c r="B1765" s="71" t="s">
        <v>3466</v>
      </c>
      <c r="C1765" s="47" t="s">
        <v>33</v>
      </c>
      <c r="D1765" s="48" t="s">
        <v>34</v>
      </c>
      <c r="E1765" s="18" t="s">
        <v>3467</v>
      </c>
      <c r="F1765" s="24" t="str">
        <f t="shared" si="108"/>
        <v>PPG - MYCOL DURABLE MATT WHITBY JET 0000001250</v>
      </c>
      <c r="G1765" s="20" t="s">
        <v>6635</v>
      </c>
      <c r="H1765" s="49" t="s">
        <v>213</v>
      </c>
      <c r="I1765" s="18" t="s">
        <v>37</v>
      </c>
      <c r="J1765" s="18" t="s">
        <v>38</v>
      </c>
      <c r="K1765" t="s">
        <v>39</v>
      </c>
      <c r="L1765" s="50">
        <f>VLOOKUP(A1765,'[3]Price info'!A:D,4,FALSE)</f>
        <v>14</v>
      </c>
      <c r="M1765" s="18" t="s">
        <v>214</v>
      </c>
      <c r="N1765" s="20">
        <v>3105</v>
      </c>
      <c r="P1765" s="16">
        <f>VLOOKUP(A1765,'[3]Price info'!A:H,8,FALSE)</f>
        <v>14</v>
      </c>
      <c r="Q1765" s="17">
        <f t="shared" si="109"/>
        <v>1</v>
      </c>
      <c r="S1765" s="16" t="e">
        <f>VLOOKUP(A1765,[4]Sales!$E:$G,3,FALSE)</f>
        <v>#N/A</v>
      </c>
      <c r="T1765" s="19" t="e">
        <f>VLOOKUP(A1765,[4]Volume!$E:$G,3,FALSE)</f>
        <v>#N/A</v>
      </c>
      <c r="U1765" s="19" t="e">
        <f>VLOOKUP(A1765,[4]Piece!$E:$G,3,FALSE)</f>
        <v>#N/A</v>
      </c>
      <c r="V1765" s="21" t="e">
        <f t="shared" si="110"/>
        <v>#N/A</v>
      </c>
      <c r="W1765" s="16" t="e">
        <f t="shared" si="111"/>
        <v>#N/A</v>
      </c>
    </row>
    <row r="1766" spans="1:23" hidden="1" x14ac:dyDescent="0.3">
      <c r="A1766" s="71" t="s">
        <v>3468</v>
      </c>
      <c r="B1766" s="71" t="s">
        <v>3468</v>
      </c>
      <c r="C1766" s="51" t="s">
        <v>33</v>
      </c>
      <c r="D1766" s="48" t="s">
        <v>34</v>
      </c>
      <c r="E1766" s="18" t="s">
        <v>3469</v>
      </c>
      <c r="F1766" s="24" t="str">
        <f t="shared" si="108"/>
        <v>PPG - MYCOL DURABLE MATT WING COMMA 0000001250</v>
      </c>
      <c r="G1766" s="20" t="s">
        <v>6636</v>
      </c>
      <c r="H1766" s="49" t="s">
        <v>213</v>
      </c>
      <c r="I1766" s="18" t="s">
        <v>37</v>
      </c>
      <c r="J1766" s="18" t="s">
        <v>38</v>
      </c>
      <c r="K1766" t="s">
        <v>39</v>
      </c>
      <c r="L1766" s="50">
        <f>VLOOKUP(A1766,'[3]Price info'!A:D,4,FALSE)</f>
        <v>14</v>
      </c>
      <c r="M1766" s="18" t="s">
        <v>214</v>
      </c>
      <c r="N1766" s="20">
        <v>3105</v>
      </c>
      <c r="P1766" s="16">
        <f>VLOOKUP(A1766,'[3]Price info'!A:H,8,FALSE)</f>
        <v>14</v>
      </c>
      <c r="Q1766" s="17">
        <f t="shared" si="109"/>
        <v>1</v>
      </c>
      <c r="S1766" s="16" t="e">
        <f>VLOOKUP(A1766,[4]Sales!$E:$G,3,FALSE)</f>
        <v>#N/A</v>
      </c>
      <c r="T1766" s="19" t="e">
        <f>VLOOKUP(A1766,[4]Volume!$E:$G,3,FALSE)</f>
        <v>#N/A</v>
      </c>
      <c r="U1766" s="19" t="e">
        <f>VLOOKUP(A1766,[4]Piece!$E:$G,3,FALSE)</f>
        <v>#N/A</v>
      </c>
      <c r="V1766" s="21" t="e">
        <f t="shared" si="110"/>
        <v>#N/A</v>
      </c>
      <c r="W1766" s="16" t="e">
        <f t="shared" si="111"/>
        <v>#N/A</v>
      </c>
    </row>
    <row r="1767" spans="1:23" hidden="1" x14ac:dyDescent="0.3">
      <c r="A1767" s="71" t="s">
        <v>3470</v>
      </c>
      <c r="B1767" s="71" t="s">
        <v>3470</v>
      </c>
      <c r="C1767" s="47" t="s">
        <v>33</v>
      </c>
      <c r="D1767" s="48" t="s">
        <v>34</v>
      </c>
      <c r="E1767" s="18" t="s">
        <v>3471</v>
      </c>
      <c r="F1767" s="24" t="str">
        <f t="shared" si="108"/>
        <v>PPG - MYCOL PEEL &amp; STICK AQUA DREAM</v>
      </c>
      <c r="G1767" s="20" t="s">
        <v>6637</v>
      </c>
      <c r="H1767" s="49" t="s">
        <v>213</v>
      </c>
      <c r="I1767" s="18" t="s">
        <v>37</v>
      </c>
      <c r="J1767" s="18" t="s">
        <v>38</v>
      </c>
      <c r="K1767" t="s">
        <v>39</v>
      </c>
      <c r="L1767" s="50">
        <f>VLOOKUP(A1767,'[3]Price info'!A:D,4,FALSE)</f>
        <v>1.5</v>
      </c>
      <c r="M1767" s="18" t="s">
        <v>214</v>
      </c>
      <c r="N1767" s="20">
        <v>3105</v>
      </c>
      <c r="P1767" s="16">
        <f>VLOOKUP(A1767,'[3]Price info'!A:H,8,FALSE)</f>
        <v>1.5</v>
      </c>
      <c r="Q1767" s="17">
        <f t="shared" si="109"/>
        <v>1</v>
      </c>
      <c r="S1767" s="16" t="e">
        <f>VLOOKUP(A1767,[4]Sales!$E:$G,3,FALSE)</f>
        <v>#N/A</v>
      </c>
      <c r="T1767" s="19" t="e">
        <f>VLOOKUP(A1767,[4]Volume!$E:$G,3,FALSE)</f>
        <v>#N/A</v>
      </c>
      <c r="U1767" s="19" t="e">
        <f>VLOOKUP(A1767,[4]Piece!$E:$G,3,FALSE)</f>
        <v>#N/A</v>
      </c>
      <c r="V1767" s="21" t="e">
        <f t="shared" si="110"/>
        <v>#N/A</v>
      </c>
      <c r="W1767" s="16" t="e">
        <f t="shared" si="111"/>
        <v>#N/A</v>
      </c>
    </row>
    <row r="1768" spans="1:23" hidden="1" x14ac:dyDescent="0.3">
      <c r="A1768" s="71" t="s">
        <v>3472</v>
      </c>
      <c r="B1768" s="71" t="s">
        <v>3472</v>
      </c>
      <c r="C1768" s="47" t="s">
        <v>33</v>
      </c>
      <c r="D1768" s="48" t="s">
        <v>34</v>
      </c>
      <c r="E1768" s="18" t="s">
        <v>3473</v>
      </c>
      <c r="F1768" s="24" t="str">
        <f t="shared" si="108"/>
        <v>PPG - MYCOL PEEL &amp; STICK ASH GROVE</v>
      </c>
      <c r="G1768" s="20" t="s">
        <v>6638</v>
      </c>
      <c r="H1768" s="49" t="s">
        <v>213</v>
      </c>
      <c r="I1768" s="18" t="s">
        <v>37</v>
      </c>
      <c r="J1768" s="18" t="s">
        <v>38</v>
      </c>
      <c r="K1768" t="s">
        <v>39</v>
      </c>
      <c r="L1768" s="50">
        <f>VLOOKUP(A1768,'[3]Price info'!A:D,4,FALSE)</f>
        <v>1.5</v>
      </c>
      <c r="M1768" s="18" t="s">
        <v>214</v>
      </c>
      <c r="N1768" s="20">
        <v>3105</v>
      </c>
      <c r="P1768" s="16">
        <f>VLOOKUP(A1768,'[3]Price info'!A:H,8,FALSE)</f>
        <v>1.5</v>
      </c>
      <c r="Q1768" s="17">
        <f t="shared" si="109"/>
        <v>1</v>
      </c>
      <c r="S1768" s="16" t="e">
        <f>VLOOKUP(A1768,[4]Sales!$E:$G,3,FALSE)</f>
        <v>#N/A</v>
      </c>
      <c r="T1768" s="19" t="e">
        <f>VLOOKUP(A1768,[4]Volume!$E:$G,3,FALSE)</f>
        <v>#N/A</v>
      </c>
      <c r="U1768" s="19" t="e">
        <f>VLOOKUP(A1768,[4]Piece!$E:$G,3,FALSE)</f>
        <v>#N/A</v>
      </c>
      <c r="V1768" s="21" t="e">
        <f t="shared" si="110"/>
        <v>#N/A</v>
      </c>
      <c r="W1768" s="16" t="e">
        <f t="shared" si="111"/>
        <v>#N/A</v>
      </c>
    </row>
    <row r="1769" spans="1:23" hidden="1" x14ac:dyDescent="0.3">
      <c r="A1769" s="71" t="s">
        <v>3474</v>
      </c>
      <c r="B1769" s="71" t="s">
        <v>3474</v>
      </c>
      <c r="C1769" s="51" t="s">
        <v>33</v>
      </c>
      <c r="D1769" s="48" t="s">
        <v>34</v>
      </c>
      <c r="E1769" s="18" t="s">
        <v>3475</v>
      </c>
      <c r="F1769" s="24" t="str">
        <f t="shared" si="108"/>
        <v>PPG - MYCOL PEEL &amp; STICK BOULD LICH</v>
      </c>
      <c r="G1769" s="20" t="s">
        <v>6639</v>
      </c>
      <c r="H1769" s="49" t="s">
        <v>213</v>
      </c>
      <c r="I1769" s="18" t="s">
        <v>37</v>
      </c>
      <c r="J1769" s="18" t="s">
        <v>38</v>
      </c>
      <c r="K1769" t="s">
        <v>39</v>
      </c>
      <c r="L1769" s="50">
        <f>VLOOKUP(A1769,'[3]Price info'!A:D,4,FALSE)</f>
        <v>1.5</v>
      </c>
      <c r="M1769" s="18" t="s">
        <v>214</v>
      </c>
      <c r="N1769" s="20">
        <v>3105</v>
      </c>
      <c r="P1769" s="16">
        <f>VLOOKUP(A1769,'[3]Price info'!A:H,8,FALSE)</f>
        <v>1.5</v>
      </c>
      <c r="Q1769" s="17">
        <f t="shared" si="109"/>
        <v>1</v>
      </c>
      <c r="S1769" s="16" t="e">
        <f>VLOOKUP(A1769,[4]Sales!$E:$G,3,FALSE)</f>
        <v>#N/A</v>
      </c>
      <c r="T1769" s="19" t="e">
        <f>VLOOKUP(A1769,[4]Volume!$E:$G,3,FALSE)</f>
        <v>#N/A</v>
      </c>
      <c r="U1769" s="19" t="e">
        <f>VLOOKUP(A1769,[4]Piece!$E:$G,3,FALSE)</f>
        <v>#N/A</v>
      </c>
      <c r="V1769" s="21" t="e">
        <f t="shared" si="110"/>
        <v>#N/A</v>
      </c>
      <c r="W1769" s="16" t="e">
        <f t="shared" si="111"/>
        <v>#N/A</v>
      </c>
    </row>
    <row r="1770" spans="1:23" hidden="1" x14ac:dyDescent="0.3">
      <c r="A1770" s="71" t="s">
        <v>3476</v>
      </c>
      <c r="B1770" s="71" t="s">
        <v>3476</v>
      </c>
      <c r="C1770" s="47" t="s">
        <v>33</v>
      </c>
      <c r="D1770" s="48" t="s">
        <v>34</v>
      </c>
      <c r="E1770" s="18" t="s">
        <v>3477</v>
      </c>
      <c r="F1770" s="24" t="str">
        <f t="shared" si="108"/>
        <v>PPG - MYCOL PEEL &amp; STICK CANDLE SMK</v>
      </c>
      <c r="G1770" s="20" t="s">
        <v>6640</v>
      </c>
      <c r="H1770" s="49" t="s">
        <v>213</v>
      </c>
      <c r="I1770" s="18" t="s">
        <v>37</v>
      </c>
      <c r="J1770" s="18" t="s">
        <v>38</v>
      </c>
      <c r="K1770" t="s">
        <v>39</v>
      </c>
      <c r="L1770" s="50">
        <f>VLOOKUP(A1770,'[3]Price info'!A:D,4,FALSE)</f>
        <v>1.5</v>
      </c>
      <c r="M1770" s="18" t="s">
        <v>214</v>
      </c>
      <c r="N1770" s="20">
        <v>3105</v>
      </c>
      <c r="P1770" s="16">
        <f>VLOOKUP(A1770,'[3]Price info'!A:H,8,FALSE)</f>
        <v>1.5</v>
      </c>
      <c r="Q1770" s="17">
        <f t="shared" si="109"/>
        <v>1</v>
      </c>
      <c r="S1770" s="16" t="e">
        <f>VLOOKUP(A1770,[4]Sales!$E:$G,3,FALSE)</f>
        <v>#N/A</v>
      </c>
      <c r="T1770" s="19" t="e">
        <f>VLOOKUP(A1770,[4]Volume!$E:$G,3,FALSE)</f>
        <v>#N/A</v>
      </c>
      <c r="U1770" s="19" t="e">
        <f>VLOOKUP(A1770,[4]Piece!$E:$G,3,FALSE)</f>
        <v>#N/A</v>
      </c>
      <c r="V1770" s="21" t="e">
        <f t="shared" si="110"/>
        <v>#N/A</v>
      </c>
      <c r="W1770" s="16" t="e">
        <f t="shared" si="111"/>
        <v>#N/A</v>
      </c>
    </row>
    <row r="1771" spans="1:23" hidden="1" x14ac:dyDescent="0.3">
      <c r="A1771" s="71" t="s">
        <v>3478</v>
      </c>
      <c r="B1771" s="71" t="s">
        <v>3478</v>
      </c>
      <c r="C1771" s="47" t="s">
        <v>33</v>
      </c>
      <c r="D1771" s="48" t="s">
        <v>34</v>
      </c>
      <c r="E1771" s="18" t="s">
        <v>3479</v>
      </c>
      <c r="F1771" s="24" t="str">
        <f t="shared" si="108"/>
        <v>PPG - MYCOL PEEL &amp; STICK EL CAPITAN</v>
      </c>
      <c r="G1771" s="20" t="s">
        <v>6641</v>
      </c>
      <c r="H1771" s="49" t="s">
        <v>213</v>
      </c>
      <c r="I1771" s="18" t="s">
        <v>37</v>
      </c>
      <c r="J1771" s="18" t="s">
        <v>38</v>
      </c>
      <c r="K1771" t="s">
        <v>39</v>
      </c>
      <c r="L1771" s="50">
        <f>VLOOKUP(A1771,'[3]Price info'!A:D,4,FALSE)</f>
        <v>1.5</v>
      </c>
      <c r="M1771" s="18" t="s">
        <v>214</v>
      </c>
      <c r="N1771" s="20">
        <v>3105</v>
      </c>
      <c r="P1771" s="16">
        <f>VLOOKUP(A1771,'[3]Price info'!A:H,8,FALSE)</f>
        <v>1.5</v>
      </c>
      <c r="Q1771" s="17">
        <f t="shared" si="109"/>
        <v>1</v>
      </c>
      <c r="S1771" s="16" t="e">
        <f>VLOOKUP(A1771,[4]Sales!$E:$G,3,FALSE)</f>
        <v>#N/A</v>
      </c>
      <c r="T1771" s="19" t="e">
        <f>VLOOKUP(A1771,[4]Volume!$E:$G,3,FALSE)</f>
        <v>#N/A</v>
      </c>
      <c r="U1771" s="19" t="e">
        <f>VLOOKUP(A1771,[4]Piece!$E:$G,3,FALSE)</f>
        <v>#N/A</v>
      </c>
      <c r="V1771" s="21" t="e">
        <f t="shared" si="110"/>
        <v>#N/A</v>
      </c>
      <c r="W1771" s="16" t="e">
        <f t="shared" si="111"/>
        <v>#N/A</v>
      </c>
    </row>
    <row r="1772" spans="1:23" hidden="1" x14ac:dyDescent="0.3">
      <c r="A1772" s="71" t="s">
        <v>3480</v>
      </c>
      <c r="B1772" s="71" t="s">
        <v>3480</v>
      </c>
      <c r="C1772" s="51" t="s">
        <v>33</v>
      </c>
      <c r="D1772" s="48" t="s">
        <v>34</v>
      </c>
      <c r="E1772" s="18" t="s">
        <v>3481</v>
      </c>
      <c r="F1772" s="24" t="str">
        <f t="shared" si="108"/>
        <v>PPG - MYCOL PEEL &amp; STICK ENCH EGGPL</v>
      </c>
      <c r="G1772" s="20" t="s">
        <v>6642</v>
      </c>
      <c r="H1772" s="49" t="s">
        <v>213</v>
      </c>
      <c r="I1772" s="18" t="s">
        <v>37</v>
      </c>
      <c r="J1772" s="18" t="s">
        <v>38</v>
      </c>
      <c r="K1772" t="s">
        <v>39</v>
      </c>
      <c r="L1772" s="50">
        <f>VLOOKUP(A1772,'[3]Price info'!A:D,4,FALSE)</f>
        <v>1.5</v>
      </c>
      <c r="M1772" s="18" t="s">
        <v>214</v>
      </c>
      <c r="N1772" s="20">
        <v>3105</v>
      </c>
      <c r="P1772" s="16">
        <f>VLOOKUP(A1772,'[3]Price info'!A:H,8,FALSE)</f>
        <v>1.5</v>
      </c>
      <c r="Q1772" s="17">
        <f t="shared" si="109"/>
        <v>1</v>
      </c>
      <c r="S1772" s="16" t="e">
        <f>VLOOKUP(A1772,[4]Sales!$E:$G,3,FALSE)</f>
        <v>#N/A</v>
      </c>
      <c r="T1772" s="19" t="e">
        <f>VLOOKUP(A1772,[4]Volume!$E:$G,3,FALSE)</f>
        <v>#N/A</v>
      </c>
      <c r="U1772" s="19" t="e">
        <f>VLOOKUP(A1772,[4]Piece!$E:$G,3,FALSE)</f>
        <v>#N/A</v>
      </c>
      <c r="V1772" s="21" t="e">
        <f t="shared" si="110"/>
        <v>#N/A</v>
      </c>
      <c r="W1772" s="16" t="e">
        <f t="shared" si="111"/>
        <v>#N/A</v>
      </c>
    </row>
    <row r="1773" spans="1:23" hidden="1" x14ac:dyDescent="0.3">
      <c r="A1773" s="71" t="s">
        <v>3482</v>
      </c>
      <c r="B1773" s="71" t="s">
        <v>3482</v>
      </c>
      <c r="C1773" s="47" t="s">
        <v>33</v>
      </c>
      <c r="D1773" s="48" t="s">
        <v>34</v>
      </c>
      <c r="E1773" s="18" t="s">
        <v>3483</v>
      </c>
      <c r="F1773" s="24" t="str">
        <f t="shared" si="108"/>
        <v>PPG - MYCOL PEEL &amp; STICK NEW CHALK</v>
      </c>
      <c r="G1773" s="20" t="s">
        <v>6643</v>
      </c>
      <c r="H1773" s="49" t="s">
        <v>213</v>
      </c>
      <c r="I1773" s="18" t="s">
        <v>37</v>
      </c>
      <c r="J1773" s="18" t="s">
        <v>38</v>
      </c>
      <c r="K1773" t="s">
        <v>39</v>
      </c>
      <c r="L1773" s="50">
        <f>VLOOKUP(A1773,'[3]Price info'!A:D,4,FALSE)</f>
        <v>1.5</v>
      </c>
      <c r="M1773" s="18" t="s">
        <v>214</v>
      </c>
      <c r="N1773" s="20">
        <v>3105</v>
      </c>
      <c r="P1773" s="16">
        <f>VLOOKUP(A1773,'[3]Price info'!A:H,8,FALSE)</f>
        <v>1.5</v>
      </c>
      <c r="Q1773" s="17">
        <f t="shared" si="109"/>
        <v>1</v>
      </c>
      <c r="S1773" s="16" t="e">
        <f>VLOOKUP(A1773,[4]Sales!$E:$G,3,FALSE)</f>
        <v>#N/A</v>
      </c>
      <c r="T1773" s="19" t="e">
        <f>VLOOKUP(A1773,[4]Volume!$E:$G,3,FALSE)</f>
        <v>#N/A</v>
      </c>
      <c r="U1773" s="19" t="e">
        <f>VLOOKUP(A1773,[4]Piece!$E:$G,3,FALSE)</f>
        <v>#N/A</v>
      </c>
      <c r="V1773" s="21" t="e">
        <f t="shared" si="110"/>
        <v>#N/A</v>
      </c>
      <c r="W1773" s="16" t="e">
        <f t="shared" si="111"/>
        <v>#N/A</v>
      </c>
    </row>
    <row r="1774" spans="1:23" hidden="1" x14ac:dyDescent="0.3">
      <c r="A1774" s="71" t="s">
        <v>3484</v>
      </c>
      <c r="B1774" s="71" t="s">
        <v>3484</v>
      </c>
      <c r="C1774" s="47" t="s">
        <v>33</v>
      </c>
      <c r="D1774" s="48" t="s">
        <v>34</v>
      </c>
      <c r="E1774" s="18" t="s">
        <v>3485</v>
      </c>
      <c r="F1774" s="24" t="str">
        <f t="shared" si="108"/>
        <v>PPG - MYCOL PEEL &amp; STICK NIGHTCAP</v>
      </c>
      <c r="G1774" s="20" t="s">
        <v>6644</v>
      </c>
      <c r="H1774" s="49" t="s">
        <v>213</v>
      </c>
      <c r="I1774" s="18" t="s">
        <v>37</v>
      </c>
      <c r="J1774" s="18" t="s">
        <v>38</v>
      </c>
      <c r="K1774" t="s">
        <v>39</v>
      </c>
      <c r="L1774" s="50">
        <f>VLOOKUP(A1774,'[3]Price info'!A:D,4,FALSE)</f>
        <v>1.5</v>
      </c>
      <c r="M1774" s="18" t="s">
        <v>214</v>
      </c>
      <c r="N1774" s="20">
        <v>3105</v>
      </c>
      <c r="P1774" s="16">
        <f>VLOOKUP(A1774,'[3]Price info'!A:H,8,FALSE)</f>
        <v>1.5</v>
      </c>
      <c r="Q1774" s="17">
        <f t="shared" si="109"/>
        <v>1</v>
      </c>
      <c r="S1774" s="16" t="e">
        <f>VLOOKUP(A1774,[4]Sales!$E:$G,3,FALSE)</f>
        <v>#N/A</v>
      </c>
      <c r="T1774" s="19" t="e">
        <f>VLOOKUP(A1774,[4]Volume!$E:$G,3,FALSE)</f>
        <v>#N/A</v>
      </c>
      <c r="U1774" s="19" t="e">
        <f>VLOOKUP(A1774,[4]Piece!$E:$G,3,FALSE)</f>
        <v>#N/A</v>
      </c>
      <c r="V1774" s="21" t="e">
        <f t="shared" si="110"/>
        <v>#N/A</v>
      </c>
      <c r="W1774" s="16" t="e">
        <f t="shared" si="111"/>
        <v>#N/A</v>
      </c>
    </row>
    <row r="1775" spans="1:23" hidden="1" x14ac:dyDescent="0.3">
      <c r="A1775" s="71" t="s">
        <v>3486</v>
      </c>
      <c r="B1775" s="71" t="s">
        <v>3486</v>
      </c>
      <c r="C1775" s="51" t="s">
        <v>33</v>
      </c>
      <c r="D1775" s="48" t="s">
        <v>34</v>
      </c>
      <c r="E1775" s="18" t="s">
        <v>3487</v>
      </c>
      <c r="F1775" s="24" t="str">
        <f t="shared" si="108"/>
        <v>PPG - MYCOL PEEL &amp; STICK NIGHTWATCH</v>
      </c>
      <c r="G1775" s="20" t="s">
        <v>6645</v>
      </c>
      <c r="H1775" s="49" t="s">
        <v>213</v>
      </c>
      <c r="I1775" s="18" t="s">
        <v>37</v>
      </c>
      <c r="J1775" s="18" t="s">
        <v>38</v>
      </c>
      <c r="K1775" t="s">
        <v>39</v>
      </c>
      <c r="L1775" s="50">
        <f>VLOOKUP(A1775,'[3]Price info'!A:D,4,FALSE)</f>
        <v>1.5</v>
      </c>
      <c r="M1775" s="18" t="s">
        <v>214</v>
      </c>
      <c r="N1775" s="20">
        <v>3105</v>
      </c>
      <c r="P1775" s="16">
        <f>VLOOKUP(A1775,'[3]Price info'!A:H,8,FALSE)</f>
        <v>1.5</v>
      </c>
      <c r="Q1775" s="17">
        <f t="shared" si="109"/>
        <v>1</v>
      </c>
      <c r="S1775" s="16" t="e">
        <f>VLOOKUP(A1775,[4]Sales!$E:$G,3,FALSE)</f>
        <v>#N/A</v>
      </c>
      <c r="T1775" s="19" t="e">
        <f>VLOOKUP(A1775,[4]Volume!$E:$G,3,FALSE)</f>
        <v>#N/A</v>
      </c>
      <c r="U1775" s="19" t="e">
        <f>VLOOKUP(A1775,[4]Piece!$E:$G,3,FALSE)</f>
        <v>#N/A</v>
      </c>
      <c r="V1775" s="21" t="e">
        <f t="shared" si="110"/>
        <v>#N/A</v>
      </c>
      <c r="W1775" s="16" t="e">
        <f t="shared" si="111"/>
        <v>#N/A</v>
      </c>
    </row>
    <row r="1776" spans="1:23" hidden="1" x14ac:dyDescent="0.3">
      <c r="A1776" s="71" t="s">
        <v>3488</v>
      </c>
      <c r="B1776" s="71" t="s">
        <v>3488</v>
      </c>
      <c r="C1776" s="47" t="s">
        <v>33</v>
      </c>
      <c r="D1776" s="48" t="s">
        <v>34</v>
      </c>
      <c r="E1776" s="18" t="s">
        <v>3489</v>
      </c>
      <c r="F1776" s="24" t="str">
        <f t="shared" si="108"/>
        <v>PPG - MYCOL PEEL &amp; STICK PEACH PUDD</v>
      </c>
      <c r="G1776" s="20" t="s">
        <v>6646</v>
      </c>
      <c r="H1776" s="49" t="s">
        <v>213</v>
      </c>
      <c r="I1776" s="18" t="s">
        <v>37</v>
      </c>
      <c r="J1776" s="18" t="s">
        <v>38</v>
      </c>
      <c r="K1776" t="s">
        <v>39</v>
      </c>
      <c r="L1776" s="50">
        <f>VLOOKUP(A1776,'[3]Price info'!A:D,4,FALSE)</f>
        <v>1.5</v>
      </c>
      <c r="M1776" s="18" t="s">
        <v>214</v>
      </c>
      <c r="N1776" s="20">
        <v>3105</v>
      </c>
      <c r="P1776" s="16">
        <f>VLOOKUP(A1776,'[3]Price info'!A:H,8,FALSE)</f>
        <v>1.5</v>
      </c>
      <c r="Q1776" s="17">
        <f t="shared" si="109"/>
        <v>1</v>
      </c>
      <c r="S1776" s="16" t="e">
        <f>VLOOKUP(A1776,[4]Sales!$E:$G,3,FALSE)</f>
        <v>#N/A</v>
      </c>
      <c r="T1776" s="19" t="e">
        <f>VLOOKUP(A1776,[4]Volume!$E:$G,3,FALSE)</f>
        <v>#N/A</v>
      </c>
      <c r="U1776" s="19" t="e">
        <f>VLOOKUP(A1776,[4]Piece!$E:$G,3,FALSE)</f>
        <v>#N/A</v>
      </c>
      <c r="V1776" s="21" t="e">
        <f t="shared" si="110"/>
        <v>#N/A</v>
      </c>
      <c r="W1776" s="16" t="e">
        <f t="shared" si="111"/>
        <v>#N/A</v>
      </c>
    </row>
    <row r="1777" spans="1:23" hidden="1" x14ac:dyDescent="0.3">
      <c r="A1777" s="71" t="s">
        <v>3490</v>
      </c>
      <c r="B1777" s="71" t="s">
        <v>3490</v>
      </c>
      <c r="C1777" s="47" t="s">
        <v>33</v>
      </c>
      <c r="D1777" s="48" t="s">
        <v>34</v>
      </c>
      <c r="E1777" s="18" t="s">
        <v>3491</v>
      </c>
      <c r="F1777" s="24" t="str">
        <f t="shared" si="108"/>
        <v>PPG - MYCOL PEEL &amp; STICK SINGI SAND</v>
      </c>
      <c r="G1777" s="20" t="s">
        <v>6647</v>
      </c>
      <c r="H1777" s="49" t="s">
        <v>213</v>
      </c>
      <c r="I1777" s="18" t="s">
        <v>37</v>
      </c>
      <c r="J1777" s="18" t="s">
        <v>38</v>
      </c>
      <c r="K1777" t="s">
        <v>39</v>
      </c>
      <c r="L1777" s="50">
        <f>VLOOKUP(A1777,'[3]Price info'!A:D,4,FALSE)</f>
        <v>1.5</v>
      </c>
      <c r="M1777" s="18" t="s">
        <v>214</v>
      </c>
      <c r="N1777" s="20">
        <v>3105</v>
      </c>
      <c r="P1777" s="16">
        <f>VLOOKUP(A1777,'[3]Price info'!A:H,8,FALSE)</f>
        <v>1.5</v>
      </c>
      <c r="Q1777" s="17">
        <f t="shared" si="109"/>
        <v>1</v>
      </c>
      <c r="S1777" s="16" t="e">
        <f>VLOOKUP(A1777,[4]Sales!$E:$G,3,FALSE)</f>
        <v>#N/A</v>
      </c>
      <c r="T1777" s="19" t="e">
        <f>VLOOKUP(A1777,[4]Volume!$E:$G,3,FALSE)</f>
        <v>#N/A</v>
      </c>
      <c r="U1777" s="19" t="e">
        <f>VLOOKUP(A1777,[4]Piece!$E:$G,3,FALSE)</f>
        <v>#N/A</v>
      </c>
      <c r="V1777" s="21" t="e">
        <f t="shared" si="110"/>
        <v>#N/A</v>
      </c>
      <c r="W1777" s="16" t="e">
        <f t="shared" si="111"/>
        <v>#N/A</v>
      </c>
    </row>
    <row r="1778" spans="1:23" hidden="1" x14ac:dyDescent="0.3">
      <c r="A1778" s="71" t="s">
        <v>3492</v>
      </c>
      <c r="B1778" s="71" t="s">
        <v>3492</v>
      </c>
      <c r="C1778" s="51" t="s">
        <v>33</v>
      </c>
      <c r="D1778" s="48" t="s">
        <v>34</v>
      </c>
      <c r="E1778" s="18" t="s">
        <v>3493</v>
      </c>
      <c r="F1778" s="24" t="str">
        <f t="shared" si="108"/>
        <v>PPG - MYCOL PEEL &amp; STICK SOMBRE TAN</v>
      </c>
      <c r="G1778" s="20" t="s">
        <v>6648</v>
      </c>
      <c r="H1778" s="49" t="s">
        <v>213</v>
      </c>
      <c r="I1778" s="18" t="s">
        <v>37</v>
      </c>
      <c r="J1778" s="18" t="s">
        <v>38</v>
      </c>
      <c r="K1778" t="s">
        <v>39</v>
      </c>
      <c r="L1778" s="50">
        <f>VLOOKUP(A1778,'[3]Price info'!A:D,4,FALSE)</f>
        <v>1.5</v>
      </c>
      <c r="M1778" s="18" t="s">
        <v>214</v>
      </c>
      <c r="N1778" s="20">
        <v>3105</v>
      </c>
      <c r="P1778" s="16">
        <f>VLOOKUP(A1778,'[3]Price info'!A:H,8,FALSE)</f>
        <v>1.5</v>
      </c>
      <c r="Q1778" s="17">
        <f t="shared" si="109"/>
        <v>1</v>
      </c>
      <c r="S1778" s="16" t="e">
        <f>VLOOKUP(A1778,[4]Sales!$E:$G,3,FALSE)</f>
        <v>#N/A</v>
      </c>
      <c r="T1778" s="19" t="e">
        <f>VLOOKUP(A1778,[4]Volume!$E:$G,3,FALSE)</f>
        <v>#N/A</v>
      </c>
      <c r="U1778" s="19" t="e">
        <f>VLOOKUP(A1778,[4]Piece!$E:$G,3,FALSE)</f>
        <v>#N/A</v>
      </c>
      <c r="V1778" s="21" t="e">
        <f t="shared" si="110"/>
        <v>#N/A</v>
      </c>
      <c r="W1778" s="16" t="e">
        <f t="shared" si="111"/>
        <v>#N/A</v>
      </c>
    </row>
    <row r="1779" spans="1:23" hidden="1" x14ac:dyDescent="0.3">
      <c r="A1779" s="71" t="s">
        <v>3494</v>
      </c>
      <c r="B1779" s="71" t="s">
        <v>3494</v>
      </c>
      <c r="C1779" s="47" t="s">
        <v>33</v>
      </c>
      <c r="D1779" s="48" t="s">
        <v>34</v>
      </c>
      <c r="E1779" s="18" t="s">
        <v>3495</v>
      </c>
      <c r="F1779" s="24" t="str">
        <f t="shared" si="108"/>
        <v>PPG - MYCOL PEEL &amp; STICK STEEL MILL</v>
      </c>
      <c r="G1779" s="20" t="s">
        <v>6649</v>
      </c>
      <c r="H1779" s="49" t="s">
        <v>213</v>
      </c>
      <c r="I1779" s="18" t="s">
        <v>37</v>
      </c>
      <c r="J1779" s="18" t="s">
        <v>38</v>
      </c>
      <c r="K1779" t="s">
        <v>39</v>
      </c>
      <c r="L1779" s="50">
        <f>VLOOKUP(A1779,'[3]Price info'!A:D,4,FALSE)</f>
        <v>1.5</v>
      </c>
      <c r="M1779" s="18" t="s">
        <v>214</v>
      </c>
      <c r="N1779" s="20">
        <v>3105</v>
      </c>
      <c r="P1779" s="16">
        <f>VLOOKUP(A1779,'[3]Price info'!A:H,8,FALSE)</f>
        <v>1.5</v>
      </c>
      <c r="Q1779" s="17">
        <f t="shared" si="109"/>
        <v>1</v>
      </c>
      <c r="S1779" s="16" t="e">
        <f>VLOOKUP(A1779,[4]Sales!$E:$G,3,FALSE)</f>
        <v>#N/A</v>
      </c>
      <c r="T1779" s="19" t="e">
        <f>VLOOKUP(A1779,[4]Volume!$E:$G,3,FALSE)</f>
        <v>#N/A</v>
      </c>
      <c r="U1779" s="19" t="e">
        <f>VLOOKUP(A1779,[4]Piece!$E:$G,3,FALSE)</f>
        <v>#N/A</v>
      </c>
      <c r="V1779" s="21" t="e">
        <f t="shared" si="110"/>
        <v>#N/A</v>
      </c>
      <c r="W1779" s="16" t="e">
        <f t="shared" si="111"/>
        <v>#N/A</v>
      </c>
    </row>
    <row r="1780" spans="1:23" hidden="1" x14ac:dyDescent="0.3">
      <c r="A1780" s="71" t="s">
        <v>3496</v>
      </c>
      <c r="B1780" s="71" t="s">
        <v>3496</v>
      </c>
      <c r="C1780" s="47" t="s">
        <v>33</v>
      </c>
      <c r="D1780" s="48" t="s">
        <v>34</v>
      </c>
      <c r="E1780" s="18" t="s">
        <v>3497</v>
      </c>
      <c r="F1780" s="24" t="str">
        <f t="shared" si="108"/>
        <v>PPG - MYCOL PEEL &amp; STICK SUMMER SHA</v>
      </c>
      <c r="G1780" s="20" t="s">
        <v>6650</v>
      </c>
      <c r="H1780" s="49" t="s">
        <v>213</v>
      </c>
      <c r="I1780" s="18" t="s">
        <v>37</v>
      </c>
      <c r="J1780" s="18" t="s">
        <v>38</v>
      </c>
      <c r="K1780" t="s">
        <v>39</v>
      </c>
      <c r="L1780" s="50">
        <f>VLOOKUP(A1780,'[3]Price info'!A:D,4,FALSE)</f>
        <v>1.5</v>
      </c>
      <c r="M1780" s="18" t="s">
        <v>214</v>
      </c>
      <c r="N1780" s="20">
        <v>3105</v>
      </c>
      <c r="P1780" s="16">
        <f>VLOOKUP(A1780,'[3]Price info'!A:H,8,FALSE)</f>
        <v>1.5</v>
      </c>
      <c r="Q1780" s="17">
        <f t="shared" si="109"/>
        <v>1</v>
      </c>
      <c r="S1780" s="16" t="e">
        <f>VLOOKUP(A1780,[4]Sales!$E:$G,3,FALSE)</f>
        <v>#N/A</v>
      </c>
      <c r="T1780" s="19" t="e">
        <f>VLOOKUP(A1780,[4]Volume!$E:$G,3,FALSE)</f>
        <v>#N/A</v>
      </c>
      <c r="U1780" s="19" t="e">
        <f>VLOOKUP(A1780,[4]Piece!$E:$G,3,FALSE)</f>
        <v>#N/A</v>
      </c>
      <c r="V1780" s="21" t="e">
        <f t="shared" si="110"/>
        <v>#N/A</v>
      </c>
      <c r="W1780" s="16" t="e">
        <f t="shared" si="111"/>
        <v>#N/A</v>
      </c>
    </row>
    <row r="1781" spans="1:23" hidden="1" x14ac:dyDescent="0.3">
      <c r="A1781" s="71" t="s">
        <v>3498</v>
      </c>
      <c r="B1781" s="71" t="s">
        <v>3498</v>
      </c>
      <c r="C1781" s="51" t="s">
        <v>33</v>
      </c>
      <c r="D1781" s="48" t="s">
        <v>34</v>
      </c>
      <c r="E1781" s="18" t="s">
        <v>3499</v>
      </c>
      <c r="F1781" s="24" t="str">
        <f t="shared" si="108"/>
        <v>PPG - MYCOL PEEL &amp; STICK SWANSONG</v>
      </c>
      <c r="G1781" s="20" t="s">
        <v>6651</v>
      </c>
      <c r="H1781" s="49" t="s">
        <v>213</v>
      </c>
      <c r="I1781" s="18" t="s">
        <v>37</v>
      </c>
      <c r="J1781" s="18" t="s">
        <v>38</v>
      </c>
      <c r="K1781" t="s">
        <v>39</v>
      </c>
      <c r="L1781" s="50">
        <f>VLOOKUP(A1781,'[3]Price info'!A:D,4,FALSE)</f>
        <v>1.5</v>
      </c>
      <c r="M1781" s="18" t="s">
        <v>214</v>
      </c>
      <c r="N1781" s="20">
        <v>3105</v>
      </c>
      <c r="P1781" s="16">
        <f>VLOOKUP(A1781,'[3]Price info'!A:H,8,FALSE)</f>
        <v>1.5</v>
      </c>
      <c r="Q1781" s="17">
        <f t="shared" si="109"/>
        <v>1</v>
      </c>
      <c r="S1781" s="16" t="e">
        <f>VLOOKUP(A1781,[4]Sales!$E:$G,3,FALSE)</f>
        <v>#N/A</v>
      </c>
      <c r="T1781" s="19" t="e">
        <f>VLOOKUP(A1781,[4]Volume!$E:$G,3,FALSE)</f>
        <v>#N/A</v>
      </c>
      <c r="U1781" s="19" t="e">
        <f>VLOOKUP(A1781,[4]Piece!$E:$G,3,FALSE)</f>
        <v>#N/A</v>
      </c>
      <c r="V1781" s="21" t="e">
        <f t="shared" si="110"/>
        <v>#N/A</v>
      </c>
      <c r="W1781" s="16" t="e">
        <f t="shared" si="111"/>
        <v>#N/A</v>
      </c>
    </row>
    <row r="1782" spans="1:23" hidden="1" x14ac:dyDescent="0.3">
      <c r="A1782" s="71" t="s">
        <v>3500</v>
      </c>
      <c r="B1782" s="71" t="s">
        <v>3500</v>
      </c>
      <c r="C1782" s="47" t="s">
        <v>33</v>
      </c>
      <c r="D1782" s="48" t="s">
        <v>34</v>
      </c>
      <c r="E1782" s="18" t="s">
        <v>3501</v>
      </c>
      <c r="F1782" s="24" t="str">
        <f t="shared" si="108"/>
        <v>PPG - MYCOL PEEL &amp; STICK SYMMETRY</v>
      </c>
      <c r="G1782" s="20" t="s">
        <v>6652</v>
      </c>
      <c r="H1782" s="49" t="s">
        <v>213</v>
      </c>
      <c r="I1782" s="18" t="s">
        <v>37</v>
      </c>
      <c r="J1782" s="18" t="s">
        <v>38</v>
      </c>
      <c r="K1782" t="s">
        <v>39</v>
      </c>
      <c r="L1782" s="50">
        <f>VLOOKUP(A1782,'[3]Price info'!A:D,4,FALSE)</f>
        <v>1.5</v>
      </c>
      <c r="M1782" s="18" t="s">
        <v>214</v>
      </c>
      <c r="N1782" s="20">
        <v>3105</v>
      </c>
      <c r="P1782" s="16">
        <f>VLOOKUP(A1782,'[3]Price info'!A:H,8,FALSE)</f>
        <v>1.5</v>
      </c>
      <c r="Q1782" s="17">
        <f t="shared" si="109"/>
        <v>1</v>
      </c>
      <c r="S1782" s="16" t="e">
        <f>VLOOKUP(A1782,[4]Sales!$E:$G,3,FALSE)</f>
        <v>#N/A</v>
      </c>
      <c r="T1782" s="19" t="e">
        <f>VLOOKUP(A1782,[4]Volume!$E:$G,3,FALSE)</f>
        <v>#N/A</v>
      </c>
      <c r="U1782" s="19" t="e">
        <f>VLOOKUP(A1782,[4]Piece!$E:$G,3,FALSE)</f>
        <v>#N/A</v>
      </c>
      <c r="V1782" s="21" t="e">
        <f t="shared" si="110"/>
        <v>#N/A</v>
      </c>
      <c r="W1782" s="16" t="e">
        <f t="shared" si="111"/>
        <v>#N/A</v>
      </c>
    </row>
    <row r="1783" spans="1:23" hidden="1" x14ac:dyDescent="0.3">
      <c r="A1783" s="71" t="s">
        <v>3502</v>
      </c>
      <c r="B1783" s="71" t="s">
        <v>3502</v>
      </c>
      <c r="C1783" s="47" t="s">
        <v>33</v>
      </c>
      <c r="D1783" s="48" t="s">
        <v>34</v>
      </c>
      <c r="E1783" s="18" t="s">
        <v>3503</v>
      </c>
      <c r="F1783" s="24" t="str">
        <f t="shared" si="108"/>
        <v>PPG - MYCOL PEEL &amp; STICK TAN YR HID</v>
      </c>
      <c r="G1783" s="20" t="s">
        <v>6653</v>
      </c>
      <c r="H1783" s="49" t="s">
        <v>213</v>
      </c>
      <c r="I1783" s="18" t="s">
        <v>37</v>
      </c>
      <c r="J1783" s="18" t="s">
        <v>38</v>
      </c>
      <c r="K1783" t="s">
        <v>39</v>
      </c>
      <c r="L1783" s="50">
        <f>VLOOKUP(A1783,'[3]Price info'!A:D,4,FALSE)</f>
        <v>1.5</v>
      </c>
      <c r="M1783" s="18" t="s">
        <v>214</v>
      </c>
      <c r="N1783" s="20">
        <v>3105</v>
      </c>
      <c r="P1783" s="16">
        <f>VLOOKUP(A1783,'[3]Price info'!A:H,8,FALSE)</f>
        <v>1.5</v>
      </c>
      <c r="Q1783" s="17">
        <f t="shared" si="109"/>
        <v>1</v>
      </c>
      <c r="S1783" s="16" t="e">
        <f>VLOOKUP(A1783,[4]Sales!$E:$G,3,FALSE)</f>
        <v>#N/A</v>
      </c>
      <c r="T1783" s="19" t="e">
        <f>VLOOKUP(A1783,[4]Volume!$E:$G,3,FALSE)</f>
        <v>#N/A</v>
      </c>
      <c r="U1783" s="19" t="e">
        <f>VLOOKUP(A1783,[4]Piece!$E:$G,3,FALSE)</f>
        <v>#N/A</v>
      </c>
      <c r="V1783" s="21" t="e">
        <f t="shared" si="110"/>
        <v>#N/A</v>
      </c>
      <c r="W1783" s="16" t="e">
        <f t="shared" si="111"/>
        <v>#N/A</v>
      </c>
    </row>
    <row r="1784" spans="1:23" hidden="1" x14ac:dyDescent="0.3">
      <c r="A1784" s="71" t="s">
        <v>3504</v>
      </c>
      <c r="B1784" s="71" t="s">
        <v>3504</v>
      </c>
      <c r="C1784" s="51" t="s">
        <v>33</v>
      </c>
      <c r="D1784" s="48" t="s">
        <v>34</v>
      </c>
      <c r="E1784" s="18" t="s">
        <v>3505</v>
      </c>
      <c r="F1784" s="24" t="str">
        <f t="shared" si="108"/>
        <v>PPG - MYCOL PEEL &amp; STICK WHITBY JET</v>
      </c>
      <c r="G1784" s="20" t="s">
        <v>6654</v>
      </c>
      <c r="H1784" s="49" t="s">
        <v>213</v>
      </c>
      <c r="I1784" s="18" t="s">
        <v>37</v>
      </c>
      <c r="J1784" s="18" t="s">
        <v>38</v>
      </c>
      <c r="K1784" t="s">
        <v>39</v>
      </c>
      <c r="L1784" s="50">
        <f>VLOOKUP(A1784,'[3]Price info'!A:D,4,FALSE)</f>
        <v>1.5</v>
      </c>
      <c r="M1784" s="18" t="s">
        <v>214</v>
      </c>
      <c r="N1784" s="20">
        <v>3105</v>
      </c>
      <c r="P1784" s="16">
        <f>VLOOKUP(A1784,'[3]Price info'!A:H,8,FALSE)</f>
        <v>1.5</v>
      </c>
      <c r="Q1784" s="17">
        <f t="shared" si="109"/>
        <v>1</v>
      </c>
      <c r="S1784" s="16" t="e">
        <f>VLOOKUP(A1784,[4]Sales!$E:$G,3,FALSE)</f>
        <v>#N/A</v>
      </c>
      <c r="T1784" s="19" t="e">
        <f>VLOOKUP(A1784,[4]Volume!$E:$G,3,FALSE)</f>
        <v>#N/A</v>
      </c>
      <c r="U1784" s="19" t="e">
        <f>VLOOKUP(A1784,[4]Piece!$E:$G,3,FALSE)</f>
        <v>#N/A</v>
      </c>
      <c r="V1784" s="21" t="e">
        <f t="shared" si="110"/>
        <v>#N/A</v>
      </c>
      <c r="W1784" s="16" t="e">
        <f t="shared" si="111"/>
        <v>#N/A</v>
      </c>
    </row>
    <row r="1785" spans="1:23" hidden="1" x14ac:dyDescent="0.3">
      <c r="A1785" s="71" t="s">
        <v>3506</v>
      </c>
      <c r="B1785" s="71" t="s">
        <v>3506</v>
      </c>
      <c r="C1785" s="47" t="s">
        <v>33</v>
      </c>
      <c r="D1785" s="48" t="s">
        <v>34</v>
      </c>
      <c r="E1785" s="18" t="s">
        <v>3507</v>
      </c>
      <c r="F1785" s="24" t="str">
        <f t="shared" si="108"/>
        <v>PPG - MYCOL PEEL &amp; STICK WING COMMA</v>
      </c>
      <c r="G1785" s="20" t="s">
        <v>6655</v>
      </c>
      <c r="H1785" s="49" t="s">
        <v>213</v>
      </c>
      <c r="I1785" s="18" t="s">
        <v>37</v>
      </c>
      <c r="J1785" s="18" t="s">
        <v>38</v>
      </c>
      <c r="K1785" t="s">
        <v>39</v>
      </c>
      <c r="L1785" s="50">
        <f>VLOOKUP(A1785,'[3]Price info'!A:D,4,FALSE)</f>
        <v>1.5</v>
      </c>
      <c r="M1785" s="18" t="s">
        <v>214</v>
      </c>
      <c r="N1785" s="20">
        <v>3105</v>
      </c>
      <c r="P1785" s="16">
        <f>VLOOKUP(A1785,'[3]Price info'!A:H,8,FALSE)</f>
        <v>1.5</v>
      </c>
      <c r="Q1785" s="17">
        <f t="shared" si="109"/>
        <v>1</v>
      </c>
      <c r="S1785" s="16" t="e">
        <f>VLOOKUP(A1785,[4]Sales!$E:$G,3,FALSE)</f>
        <v>#N/A</v>
      </c>
      <c r="T1785" s="19" t="e">
        <f>VLOOKUP(A1785,[4]Volume!$E:$G,3,FALSE)</f>
        <v>#N/A</v>
      </c>
      <c r="U1785" s="19" t="e">
        <f>VLOOKUP(A1785,[4]Piece!$E:$G,3,FALSE)</f>
        <v>#N/A</v>
      </c>
      <c r="V1785" s="21" t="e">
        <f t="shared" si="110"/>
        <v>#N/A</v>
      </c>
      <c r="W1785" s="16" t="e">
        <f t="shared" si="111"/>
        <v>#N/A</v>
      </c>
    </row>
    <row r="1786" spans="1:23" hidden="1" x14ac:dyDescent="0.3">
      <c r="A1786" s="71" t="s">
        <v>3508</v>
      </c>
      <c r="B1786" s="71" t="s">
        <v>3508</v>
      </c>
      <c r="C1786" s="47" t="s">
        <v>33</v>
      </c>
      <c r="D1786" s="48" t="s">
        <v>34</v>
      </c>
      <c r="E1786" s="18" t="s">
        <v>3509</v>
      </c>
      <c r="F1786" s="24" t="str">
        <f t="shared" si="108"/>
        <v>PPG - MYCOL TESTER POT   AQUA DREAM 0000000055</v>
      </c>
      <c r="G1786" s="20" t="s">
        <v>6656</v>
      </c>
      <c r="H1786" s="49" t="s">
        <v>213</v>
      </c>
      <c r="I1786" s="18" t="s">
        <v>37</v>
      </c>
      <c r="J1786" s="18" t="s">
        <v>38</v>
      </c>
      <c r="K1786" t="s">
        <v>39</v>
      </c>
      <c r="L1786" s="50">
        <f>VLOOKUP(A1786,'[3]Price info'!A:D,4,FALSE)</f>
        <v>3</v>
      </c>
      <c r="M1786" s="18" t="s">
        <v>214</v>
      </c>
      <c r="N1786" s="20">
        <v>3105</v>
      </c>
      <c r="P1786" s="16">
        <f>VLOOKUP(A1786,'[3]Price info'!A:H,8,FALSE)</f>
        <v>3</v>
      </c>
      <c r="Q1786" s="17">
        <f t="shared" si="109"/>
        <v>1</v>
      </c>
      <c r="S1786" s="16" t="e">
        <f>VLOOKUP(A1786,[4]Sales!$E:$G,3,FALSE)</f>
        <v>#N/A</v>
      </c>
      <c r="T1786" s="19" t="e">
        <f>VLOOKUP(A1786,[4]Volume!$E:$G,3,FALSE)</f>
        <v>#N/A</v>
      </c>
      <c r="U1786" s="19" t="e">
        <f>VLOOKUP(A1786,[4]Piece!$E:$G,3,FALSE)</f>
        <v>#N/A</v>
      </c>
      <c r="V1786" s="21" t="e">
        <f t="shared" si="110"/>
        <v>#N/A</v>
      </c>
      <c r="W1786" s="16" t="e">
        <f t="shared" si="111"/>
        <v>#N/A</v>
      </c>
    </row>
    <row r="1787" spans="1:23" hidden="1" x14ac:dyDescent="0.3">
      <c r="A1787" s="71" t="s">
        <v>3510</v>
      </c>
      <c r="B1787" s="71" t="s">
        <v>3510</v>
      </c>
      <c r="C1787" s="51" t="s">
        <v>33</v>
      </c>
      <c r="D1787" s="48" t="s">
        <v>34</v>
      </c>
      <c r="E1787" s="18" t="s">
        <v>3511</v>
      </c>
      <c r="F1787" s="24" t="str">
        <f t="shared" si="108"/>
        <v>PPG - MYCOL TESTER POT   ASH GROVE  0000000055</v>
      </c>
      <c r="G1787" s="20" t="s">
        <v>6657</v>
      </c>
      <c r="H1787" s="49" t="s">
        <v>213</v>
      </c>
      <c r="I1787" s="18" t="s">
        <v>37</v>
      </c>
      <c r="J1787" s="18" t="s">
        <v>38</v>
      </c>
      <c r="K1787" t="s">
        <v>39</v>
      </c>
      <c r="L1787" s="50">
        <f>VLOOKUP(A1787,'[3]Price info'!A:D,4,FALSE)</f>
        <v>3</v>
      </c>
      <c r="M1787" s="18" t="s">
        <v>214</v>
      </c>
      <c r="N1787" s="20">
        <v>3105</v>
      </c>
      <c r="P1787" s="16">
        <f>VLOOKUP(A1787,'[3]Price info'!A:H,8,FALSE)</f>
        <v>3</v>
      </c>
      <c r="Q1787" s="17">
        <f t="shared" si="109"/>
        <v>1</v>
      </c>
      <c r="S1787" s="16" t="e">
        <f>VLOOKUP(A1787,[4]Sales!$E:$G,3,FALSE)</f>
        <v>#N/A</v>
      </c>
      <c r="T1787" s="19" t="e">
        <f>VLOOKUP(A1787,[4]Volume!$E:$G,3,FALSE)</f>
        <v>#N/A</v>
      </c>
      <c r="U1787" s="19" t="e">
        <f>VLOOKUP(A1787,[4]Piece!$E:$G,3,FALSE)</f>
        <v>#N/A</v>
      </c>
      <c r="V1787" s="21" t="e">
        <f t="shared" si="110"/>
        <v>#N/A</v>
      </c>
      <c r="W1787" s="16" t="e">
        <f t="shared" si="111"/>
        <v>#N/A</v>
      </c>
    </row>
    <row r="1788" spans="1:23" hidden="1" x14ac:dyDescent="0.3">
      <c r="A1788" s="71" t="s">
        <v>3512</v>
      </c>
      <c r="B1788" s="71" t="s">
        <v>3512</v>
      </c>
      <c r="C1788" s="47" t="s">
        <v>33</v>
      </c>
      <c r="D1788" s="48" t="s">
        <v>34</v>
      </c>
      <c r="E1788" s="18" t="s">
        <v>3513</v>
      </c>
      <c r="F1788" s="24" t="str">
        <f t="shared" si="108"/>
        <v>PPG - MYCOL TESTER POT   BOULD LICH 0000000055</v>
      </c>
      <c r="G1788" s="20" t="s">
        <v>6658</v>
      </c>
      <c r="H1788" s="49" t="s">
        <v>213</v>
      </c>
      <c r="I1788" s="18" t="s">
        <v>37</v>
      </c>
      <c r="J1788" s="18" t="s">
        <v>38</v>
      </c>
      <c r="K1788" t="s">
        <v>39</v>
      </c>
      <c r="L1788" s="50">
        <f>VLOOKUP(A1788,'[3]Price info'!A:D,4,FALSE)</f>
        <v>3</v>
      </c>
      <c r="M1788" s="18" t="s">
        <v>214</v>
      </c>
      <c r="N1788" s="20">
        <v>3105</v>
      </c>
      <c r="P1788" s="16">
        <f>VLOOKUP(A1788,'[3]Price info'!A:H,8,FALSE)</f>
        <v>3</v>
      </c>
      <c r="Q1788" s="17">
        <f t="shared" si="109"/>
        <v>1</v>
      </c>
      <c r="S1788" s="16" t="e">
        <f>VLOOKUP(A1788,[4]Sales!$E:$G,3,FALSE)</f>
        <v>#N/A</v>
      </c>
      <c r="T1788" s="19" t="e">
        <f>VLOOKUP(A1788,[4]Volume!$E:$G,3,FALSE)</f>
        <v>#N/A</v>
      </c>
      <c r="U1788" s="19" t="e">
        <f>VLOOKUP(A1788,[4]Piece!$E:$G,3,FALSE)</f>
        <v>#N/A</v>
      </c>
      <c r="V1788" s="21" t="e">
        <f t="shared" si="110"/>
        <v>#N/A</v>
      </c>
      <c r="W1788" s="16" t="e">
        <f t="shared" si="111"/>
        <v>#N/A</v>
      </c>
    </row>
    <row r="1789" spans="1:23" hidden="1" x14ac:dyDescent="0.3">
      <c r="A1789" s="71" t="s">
        <v>3514</v>
      </c>
      <c r="B1789" s="71" t="s">
        <v>3514</v>
      </c>
      <c r="C1789" s="47" t="s">
        <v>33</v>
      </c>
      <c r="D1789" s="48" t="s">
        <v>34</v>
      </c>
      <c r="E1789" s="18" t="s">
        <v>3515</v>
      </c>
      <c r="F1789" s="24" t="str">
        <f t="shared" si="108"/>
        <v>PPG - MYCOL TESTER POT   CANDLE SMK 0000000055</v>
      </c>
      <c r="G1789" s="20" t="s">
        <v>6659</v>
      </c>
      <c r="H1789" s="49" t="s">
        <v>213</v>
      </c>
      <c r="I1789" s="18" t="s">
        <v>37</v>
      </c>
      <c r="J1789" s="18" t="s">
        <v>38</v>
      </c>
      <c r="K1789" t="s">
        <v>39</v>
      </c>
      <c r="L1789" s="50">
        <f>VLOOKUP(A1789,'[3]Price info'!A:D,4,FALSE)</f>
        <v>3</v>
      </c>
      <c r="M1789" s="18" t="s">
        <v>214</v>
      </c>
      <c r="N1789" s="20">
        <v>3105</v>
      </c>
      <c r="P1789" s="16">
        <f>VLOOKUP(A1789,'[3]Price info'!A:H,8,FALSE)</f>
        <v>3</v>
      </c>
      <c r="Q1789" s="17">
        <f t="shared" si="109"/>
        <v>1</v>
      </c>
      <c r="S1789" s="16" t="e">
        <f>VLOOKUP(A1789,[4]Sales!$E:$G,3,FALSE)</f>
        <v>#N/A</v>
      </c>
      <c r="T1789" s="19" t="e">
        <f>VLOOKUP(A1789,[4]Volume!$E:$G,3,FALSE)</f>
        <v>#N/A</v>
      </c>
      <c r="U1789" s="19" t="e">
        <f>VLOOKUP(A1789,[4]Piece!$E:$G,3,FALSE)</f>
        <v>#N/A</v>
      </c>
      <c r="V1789" s="21" t="e">
        <f t="shared" si="110"/>
        <v>#N/A</v>
      </c>
      <c r="W1789" s="16" t="e">
        <f t="shared" si="111"/>
        <v>#N/A</v>
      </c>
    </row>
    <row r="1790" spans="1:23" hidden="1" x14ac:dyDescent="0.3">
      <c r="A1790" s="71" t="s">
        <v>3516</v>
      </c>
      <c r="B1790" s="71" t="s">
        <v>3516</v>
      </c>
      <c r="C1790" s="51" t="s">
        <v>33</v>
      </c>
      <c r="D1790" s="48" t="s">
        <v>34</v>
      </c>
      <c r="E1790" s="18" t="s">
        <v>3517</v>
      </c>
      <c r="F1790" s="24" t="str">
        <f t="shared" si="108"/>
        <v>PPG - MYCOL TESTER POT   COASTOFMAI 0000000055</v>
      </c>
      <c r="G1790" s="20" t="s">
        <v>6660</v>
      </c>
      <c r="H1790" s="49" t="s">
        <v>213</v>
      </c>
      <c r="I1790" s="18" t="s">
        <v>37</v>
      </c>
      <c r="J1790" s="18" t="s">
        <v>38</v>
      </c>
      <c r="K1790" t="s">
        <v>39</v>
      </c>
      <c r="L1790" s="50">
        <f>VLOOKUP(A1790,'[3]Price info'!A:D,4,FALSE)</f>
        <v>3</v>
      </c>
      <c r="M1790" s="18" t="s">
        <v>214</v>
      </c>
      <c r="N1790" s="20">
        <v>3105</v>
      </c>
      <c r="P1790" s="16">
        <f>VLOOKUP(A1790,'[3]Price info'!A:H,8,FALSE)</f>
        <v>3</v>
      </c>
      <c r="Q1790" s="17">
        <f t="shared" si="109"/>
        <v>1</v>
      </c>
      <c r="S1790" s="16" t="e">
        <f>VLOOKUP(A1790,[4]Sales!$E:$G,3,FALSE)</f>
        <v>#N/A</v>
      </c>
      <c r="T1790" s="19" t="e">
        <f>VLOOKUP(A1790,[4]Volume!$E:$G,3,FALSE)</f>
        <v>#N/A</v>
      </c>
      <c r="U1790" s="19" t="e">
        <f>VLOOKUP(A1790,[4]Piece!$E:$G,3,FALSE)</f>
        <v>#N/A</v>
      </c>
      <c r="V1790" s="21" t="e">
        <f t="shared" si="110"/>
        <v>#N/A</v>
      </c>
      <c r="W1790" s="16" t="e">
        <f t="shared" si="111"/>
        <v>#N/A</v>
      </c>
    </row>
    <row r="1791" spans="1:23" hidden="1" x14ac:dyDescent="0.3">
      <c r="A1791" s="71" t="s">
        <v>3518</v>
      </c>
      <c r="B1791" s="71" t="s">
        <v>3518</v>
      </c>
      <c r="C1791" s="47" t="s">
        <v>33</v>
      </c>
      <c r="D1791" s="48" t="s">
        <v>34</v>
      </c>
      <c r="E1791" s="18" t="s">
        <v>3519</v>
      </c>
      <c r="F1791" s="24" t="str">
        <f t="shared" si="108"/>
        <v>PPG - MYCOL TESTER POT   EL CAPITAN 0000000055</v>
      </c>
      <c r="G1791" s="20" t="s">
        <v>6661</v>
      </c>
      <c r="H1791" s="49" t="s">
        <v>213</v>
      </c>
      <c r="I1791" s="18" t="s">
        <v>37</v>
      </c>
      <c r="J1791" s="18" t="s">
        <v>38</v>
      </c>
      <c r="K1791" t="s">
        <v>39</v>
      </c>
      <c r="L1791" s="50">
        <f>VLOOKUP(A1791,'[3]Price info'!A:D,4,FALSE)</f>
        <v>3</v>
      </c>
      <c r="M1791" s="18" t="s">
        <v>214</v>
      </c>
      <c r="N1791" s="20">
        <v>3105</v>
      </c>
      <c r="P1791" s="16">
        <f>VLOOKUP(A1791,'[3]Price info'!A:H,8,FALSE)</f>
        <v>3</v>
      </c>
      <c r="Q1791" s="17">
        <f t="shared" si="109"/>
        <v>1</v>
      </c>
      <c r="S1791" s="16" t="e">
        <f>VLOOKUP(A1791,[4]Sales!$E:$G,3,FALSE)</f>
        <v>#N/A</v>
      </c>
      <c r="T1791" s="19" t="e">
        <f>VLOOKUP(A1791,[4]Volume!$E:$G,3,FALSE)</f>
        <v>#N/A</v>
      </c>
      <c r="U1791" s="19" t="e">
        <f>VLOOKUP(A1791,[4]Piece!$E:$G,3,FALSE)</f>
        <v>#N/A</v>
      </c>
      <c r="V1791" s="21" t="e">
        <f t="shared" si="110"/>
        <v>#N/A</v>
      </c>
      <c r="W1791" s="16" t="e">
        <f t="shared" si="111"/>
        <v>#N/A</v>
      </c>
    </row>
    <row r="1792" spans="1:23" hidden="1" x14ac:dyDescent="0.3">
      <c r="A1792" s="71" t="s">
        <v>3520</v>
      </c>
      <c r="B1792" s="71" t="s">
        <v>3520</v>
      </c>
      <c r="C1792" s="47" t="s">
        <v>33</v>
      </c>
      <c r="D1792" s="48" t="s">
        <v>34</v>
      </c>
      <c r="E1792" s="18" t="s">
        <v>3521</v>
      </c>
      <c r="F1792" s="24" t="str">
        <f t="shared" si="108"/>
        <v>PPG - MYCOL TESTER POT   ENCH EGGPL 0000000055</v>
      </c>
      <c r="G1792" s="20" t="s">
        <v>6662</v>
      </c>
      <c r="H1792" s="49" t="s">
        <v>213</v>
      </c>
      <c r="I1792" s="18" t="s">
        <v>37</v>
      </c>
      <c r="J1792" s="18" t="s">
        <v>38</v>
      </c>
      <c r="K1792" t="s">
        <v>39</v>
      </c>
      <c r="L1792" s="50">
        <f>VLOOKUP(A1792,'[3]Price info'!A:D,4,FALSE)</f>
        <v>3</v>
      </c>
      <c r="M1792" s="18" t="s">
        <v>214</v>
      </c>
      <c r="N1792" s="20">
        <v>3105</v>
      </c>
      <c r="P1792" s="16">
        <f>VLOOKUP(A1792,'[3]Price info'!A:H,8,FALSE)</f>
        <v>3</v>
      </c>
      <c r="Q1792" s="17">
        <f t="shared" si="109"/>
        <v>1</v>
      </c>
      <c r="S1792" s="16" t="e">
        <f>VLOOKUP(A1792,[4]Sales!$E:$G,3,FALSE)</f>
        <v>#N/A</v>
      </c>
      <c r="T1792" s="19" t="e">
        <f>VLOOKUP(A1792,[4]Volume!$E:$G,3,FALSE)</f>
        <v>#N/A</v>
      </c>
      <c r="U1792" s="19" t="e">
        <f>VLOOKUP(A1792,[4]Piece!$E:$G,3,FALSE)</f>
        <v>#N/A</v>
      </c>
      <c r="V1792" s="21" t="e">
        <f t="shared" si="110"/>
        <v>#N/A</v>
      </c>
      <c r="W1792" s="16" t="e">
        <f t="shared" si="111"/>
        <v>#N/A</v>
      </c>
    </row>
    <row r="1793" spans="1:23" hidden="1" x14ac:dyDescent="0.3">
      <c r="A1793" s="71" t="s">
        <v>3522</v>
      </c>
      <c r="B1793" s="71" t="s">
        <v>3522</v>
      </c>
      <c r="C1793" s="51" t="s">
        <v>33</v>
      </c>
      <c r="D1793" s="48" t="s">
        <v>34</v>
      </c>
      <c r="E1793" s="18" t="s">
        <v>3523</v>
      </c>
      <c r="F1793" s="24" t="str">
        <f t="shared" si="108"/>
        <v>PPG - MYCOL TESTER POT   INTUITIVE  0000000055</v>
      </c>
      <c r="G1793" s="20" t="s">
        <v>6663</v>
      </c>
      <c r="H1793" s="49" t="s">
        <v>213</v>
      </c>
      <c r="I1793" s="18" t="s">
        <v>37</v>
      </c>
      <c r="J1793" s="18" t="s">
        <v>38</v>
      </c>
      <c r="K1793" t="s">
        <v>39</v>
      </c>
      <c r="L1793" s="50">
        <f>VLOOKUP(A1793,'[3]Price info'!A:D,4,FALSE)</f>
        <v>3</v>
      </c>
      <c r="M1793" s="18" t="s">
        <v>214</v>
      </c>
      <c r="N1793" s="20">
        <v>3105</v>
      </c>
      <c r="P1793" s="16">
        <f>VLOOKUP(A1793,'[3]Price info'!A:H,8,FALSE)</f>
        <v>3</v>
      </c>
      <c r="Q1793" s="17">
        <f t="shared" si="109"/>
        <v>1</v>
      </c>
      <c r="S1793" s="16" t="e">
        <f>VLOOKUP(A1793,[4]Sales!$E:$G,3,FALSE)</f>
        <v>#N/A</v>
      </c>
      <c r="T1793" s="19" t="e">
        <f>VLOOKUP(A1793,[4]Volume!$E:$G,3,FALSE)</f>
        <v>#N/A</v>
      </c>
      <c r="U1793" s="19" t="e">
        <f>VLOOKUP(A1793,[4]Piece!$E:$G,3,FALSE)</f>
        <v>#N/A</v>
      </c>
      <c r="V1793" s="21" t="e">
        <f t="shared" si="110"/>
        <v>#N/A</v>
      </c>
      <c r="W1793" s="16" t="e">
        <f t="shared" si="111"/>
        <v>#N/A</v>
      </c>
    </row>
    <row r="1794" spans="1:23" hidden="1" x14ac:dyDescent="0.3">
      <c r="A1794" s="71" t="s">
        <v>3524</v>
      </c>
      <c r="B1794" s="71" t="s">
        <v>3524</v>
      </c>
      <c r="C1794" s="47" t="s">
        <v>33</v>
      </c>
      <c r="D1794" s="48" t="s">
        <v>34</v>
      </c>
      <c r="E1794" s="18" t="s">
        <v>3525</v>
      </c>
      <c r="F1794" s="24" t="str">
        <f t="shared" si="108"/>
        <v>PPG - MYCOL TESTER POT   NEW CHALK  0000000055</v>
      </c>
      <c r="G1794" s="20" t="s">
        <v>6664</v>
      </c>
      <c r="H1794" s="49" t="s">
        <v>213</v>
      </c>
      <c r="I1794" s="18" t="s">
        <v>37</v>
      </c>
      <c r="J1794" s="18" t="s">
        <v>38</v>
      </c>
      <c r="K1794" t="s">
        <v>39</v>
      </c>
      <c r="L1794" s="50">
        <f>VLOOKUP(A1794,'[3]Price info'!A:D,4,FALSE)</f>
        <v>3</v>
      </c>
      <c r="M1794" s="18" t="s">
        <v>214</v>
      </c>
      <c r="N1794" s="20">
        <v>3105</v>
      </c>
      <c r="P1794" s="16">
        <f>VLOOKUP(A1794,'[3]Price info'!A:H,8,FALSE)</f>
        <v>3</v>
      </c>
      <c r="Q1794" s="17">
        <f t="shared" si="109"/>
        <v>1</v>
      </c>
      <c r="S1794" s="16" t="e">
        <f>VLOOKUP(A1794,[4]Sales!$E:$G,3,FALSE)</f>
        <v>#N/A</v>
      </c>
      <c r="T1794" s="19" t="e">
        <f>VLOOKUP(A1794,[4]Volume!$E:$G,3,FALSE)</f>
        <v>#N/A</v>
      </c>
      <c r="U1794" s="19" t="e">
        <f>VLOOKUP(A1794,[4]Piece!$E:$G,3,FALSE)</f>
        <v>#N/A</v>
      </c>
      <c r="V1794" s="21" t="e">
        <f t="shared" si="110"/>
        <v>#N/A</v>
      </c>
      <c r="W1794" s="16" t="e">
        <f t="shared" si="111"/>
        <v>#N/A</v>
      </c>
    </row>
    <row r="1795" spans="1:23" hidden="1" x14ac:dyDescent="0.3">
      <c r="A1795" s="71" t="s">
        <v>3526</v>
      </c>
      <c r="B1795" s="71" t="s">
        <v>3526</v>
      </c>
      <c r="C1795" s="47" t="s">
        <v>33</v>
      </c>
      <c r="D1795" s="48" t="s">
        <v>34</v>
      </c>
      <c r="E1795" s="18" t="s">
        <v>3527</v>
      </c>
      <c r="F1795" s="24" t="str">
        <f t="shared" ref="F1795:F1858" si="112">D1795&amp;" - "&amp;E1795</f>
        <v>PPG - MYCOL TESTER POT   NIGHTCAP   0000000055</v>
      </c>
      <c r="G1795" s="20" t="s">
        <v>6665</v>
      </c>
      <c r="H1795" s="49" t="s">
        <v>213</v>
      </c>
      <c r="I1795" s="18" t="s">
        <v>37</v>
      </c>
      <c r="J1795" s="18" t="s">
        <v>38</v>
      </c>
      <c r="K1795" t="s">
        <v>39</v>
      </c>
      <c r="L1795" s="50">
        <f>VLOOKUP(A1795,'[3]Price info'!A:D,4,FALSE)</f>
        <v>3</v>
      </c>
      <c r="M1795" s="18" t="s">
        <v>214</v>
      </c>
      <c r="N1795" s="20">
        <v>3105</v>
      </c>
      <c r="P1795" s="16">
        <f>VLOOKUP(A1795,'[3]Price info'!A:H,8,FALSE)</f>
        <v>3</v>
      </c>
      <c r="Q1795" s="17">
        <f t="shared" ref="Q1795:Q1858" si="113">P1795/L1795</f>
        <v>1</v>
      </c>
      <c r="S1795" s="16" t="e">
        <f>VLOOKUP(A1795,[4]Sales!$E:$G,3,FALSE)</f>
        <v>#N/A</v>
      </c>
      <c r="T1795" s="19" t="e">
        <f>VLOOKUP(A1795,[4]Volume!$E:$G,3,FALSE)</f>
        <v>#N/A</v>
      </c>
      <c r="U1795" s="19" t="e">
        <f>VLOOKUP(A1795,[4]Piece!$E:$G,3,FALSE)</f>
        <v>#N/A</v>
      </c>
      <c r="V1795" s="21" t="e">
        <f t="shared" ref="V1795:V1858" si="114">U1795*P1795</f>
        <v>#N/A</v>
      </c>
      <c r="W1795" s="16" t="e">
        <f t="shared" ref="W1795:W1858" si="115">V1795-S1795</f>
        <v>#N/A</v>
      </c>
    </row>
    <row r="1796" spans="1:23" hidden="1" x14ac:dyDescent="0.3">
      <c r="A1796" s="71" t="s">
        <v>3528</v>
      </c>
      <c r="B1796" s="71" t="s">
        <v>3528</v>
      </c>
      <c r="C1796" s="51" t="s">
        <v>33</v>
      </c>
      <c r="D1796" s="48" t="s">
        <v>34</v>
      </c>
      <c r="E1796" s="18" t="s">
        <v>3529</v>
      </c>
      <c r="F1796" s="24" t="str">
        <f t="shared" si="112"/>
        <v>PPG - MYCOL TESTER POT   NIGHTWATCH 0000000055</v>
      </c>
      <c r="G1796" s="20" t="s">
        <v>6666</v>
      </c>
      <c r="H1796" s="49" t="s">
        <v>213</v>
      </c>
      <c r="I1796" s="18" t="s">
        <v>37</v>
      </c>
      <c r="J1796" s="18" t="s">
        <v>38</v>
      </c>
      <c r="K1796" t="s">
        <v>39</v>
      </c>
      <c r="L1796" s="50">
        <f>VLOOKUP(A1796,'[3]Price info'!A:D,4,FALSE)</f>
        <v>3</v>
      </c>
      <c r="M1796" s="18" t="s">
        <v>214</v>
      </c>
      <c r="N1796" s="20">
        <v>3105</v>
      </c>
      <c r="P1796" s="16">
        <f>VLOOKUP(A1796,'[3]Price info'!A:H,8,FALSE)</f>
        <v>3</v>
      </c>
      <c r="Q1796" s="17">
        <f t="shared" si="113"/>
        <v>1</v>
      </c>
      <c r="S1796" s="16" t="e">
        <f>VLOOKUP(A1796,[4]Sales!$E:$G,3,FALSE)</f>
        <v>#N/A</v>
      </c>
      <c r="T1796" s="19" t="e">
        <f>VLOOKUP(A1796,[4]Volume!$E:$G,3,FALSE)</f>
        <v>#N/A</v>
      </c>
      <c r="U1796" s="19" t="e">
        <f>VLOOKUP(A1796,[4]Piece!$E:$G,3,FALSE)</f>
        <v>#N/A</v>
      </c>
      <c r="V1796" s="21" t="e">
        <f t="shared" si="114"/>
        <v>#N/A</v>
      </c>
      <c r="W1796" s="16" t="e">
        <f t="shared" si="115"/>
        <v>#N/A</v>
      </c>
    </row>
    <row r="1797" spans="1:23" hidden="1" x14ac:dyDescent="0.3">
      <c r="A1797" s="71" t="s">
        <v>3530</v>
      </c>
      <c r="B1797" s="71" t="s">
        <v>3530</v>
      </c>
      <c r="C1797" s="47" t="s">
        <v>33</v>
      </c>
      <c r="D1797" s="48" t="s">
        <v>34</v>
      </c>
      <c r="E1797" s="18" t="s">
        <v>3531</v>
      </c>
      <c r="F1797" s="24" t="str">
        <f t="shared" si="112"/>
        <v>PPG - MYCOL TESTER POT   PEACH PUDD 0000000055</v>
      </c>
      <c r="G1797" s="20" t="s">
        <v>6667</v>
      </c>
      <c r="H1797" s="49" t="s">
        <v>213</v>
      </c>
      <c r="I1797" s="18" t="s">
        <v>37</v>
      </c>
      <c r="J1797" s="18" t="s">
        <v>38</v>
      </c>
      <c r="K1797" t="s">
        <v>39</v>
      </c>
      <c r="L1797" s="50">
        <f>VLOOKUP(A1797,'[3]Price info'!A:D,4,FALSE)</f>
        <v>3</v>
      </c>
      <c r="M1797" s="18" t="s">
        <v>214</v>
      </c>
      <c r="N1797" s="20">
        <v>3105</v>
      </c>
      <c r="P1797" s="16">
        <f>VLOOKUP(A1797,'[3]Price info'!A:H,8,FALSE)</f>
        <v>3</v>
      </c>
      <c r="Q1797" s="17">
        <f t="shared" si="113"/>
        <v>1</v>
      </c>
      <c r="S1797" s="16" t="e">
        <f>VLOOKUP(A1797,[4]Sales!$E:$G,3,FALSE)</f>
        <v>#N/A</v>
      </c>
      <c r="T1797" s="19" t="e">
        <f>VLOOKUP(A1797,[4]Volume!$E:$G,3,FALSE)</f>
        <v>#N/A</v>
      </c>
      <c r="U1797" s="19" t="e">
        <f>VLOOKUP(A1797,[4]Piece!$E:$G,3,FALSE)</f>
        <v>#N/A</v>
      </c>
      <c r="V1797" s="21" t="e">
        <f t="shared" si="114"/>
        <v>#N/A</v>
      </c>
      <c r="W1797" s="16" t="e">
        <f t="shared" si="115"/>
        <v>#N/A</v>
      </c>
    </row>
    <row r="1798" spans="1:23" hidden="1" x14ac:dyDescent="0.3">
      <c r="A1798" s="71" t="s">
        <v>3532</v>
      </c>
      <c r="B1798" s="71" t="s">
        <v>3532</v>
      </c>
      <c r="C1798" s="47" t="s">
        <v>33</v>
      </c>
      <c r="D1798" s="48" t="s">
        <v>34</v>
      </c>
      <c r="E1798" s="18" t="s">
        <v>3533</v>
      </c>
      <c r="F1798" s="24" t="str">
        <f t="shared" si="112"/>
        <v>PPG - MYCOL TESTER POT   SINGI SAND 0000000055</v>
      </c>
      <c r="G1798" s="20" t="s">
        <v>6668</v>
      </c>
      <c r="H1798" s="49" t="s">
        <v>213</v>
      </c>
      <c r="I1798" s="18" t="s">
        <v>37</v>
      </c>
      <c r="J1798" s="18" t="s">
        <v>38</v>
      </c>
      <c r="K1798" t="s">
        <v>39</v>
      </c>
      <c r="L1798" s="50">
        <f>VLOOKUP(A1798,'[3]Price info'!A:D,4,FALSE)</f>
        <v>3</v>
      </c>
      <c r="M1798" s="18" t="s">
        <v>214</v>
      </c>
      <c r="N1798" s="20">
        <v>3105</v>
      </c>
      <c r="P1798" s="16">
        <f>VLOOKUP(A1798,'[3]Price info'!A:H,8,FALSE)</f>
        <v>3</v>
      </c>
      <c r="Q1798" s="17">
        <f t="shared" si="113"/>
        <v>1</v>
      </c>
      <c r="S1798" s="16" t="e">
        <f>VLOOKUP(A1798,[4]Sales!$E:$G,3,FALSE)</f>
        <v>#N/A</v>
      </c>
      <c r="T1798" s="19" t="e">
        <f>VLOOKUP(A1798,[4]Volume!$E:$G,3,FALSE)</f>
        <v>#N/A</v>
      </c>
      <c r="U1798" s="19" t="e">
        <f>VLOOKUP(A1798,[4]Piece!$E:$G,3,FALSE)</f>
        <v>#N/A</v>
      </c>
      <c r="V1798" s="21" t="e">
        <f t="shared" si="114"/>
        <v>#N/A</v>
      </c>
      <c r="W1798" s="16" t="e">
        <f t="shared" si="115"/>
        <v>#N/A</v>
      </c>
    </row>
    <row r="1799" spans="1:23" hidden="1" x14ac:dyDescent="0.3">
      <c r="A1799" s="71" t="s">
        <v>3534</v>
      </c>
      <c r="B1799" s="71" t="s">
        <v>3534</v>
      </c>
      <c r="C1799" s="51" t="s">
        <v>33</v>
      </c>
      <c r="D1799" s="48" t="s">
        <v>34</v>
      </c>
      <c r="E1799" s="18" t="s">
        <v>3535</v>
      </c>
      <c r="F1799" s="24" t="str">
        <f t="shared" si="112"/>
        <v>PPG - MYCOL TESTER POT   SOMBRE TAN 0000000055</v>
      </c>
      <c r="G1799" s="20" t="s">
        <v>6669</v>
      </c>
      <c r="H1799" s="49" t="s">
        <v>213</v>
      </c>
      <c r="I1799" s="18" t="s">
        <v>37</v>
      </c>
      <c r="J1799" s="18" t="s">
        <v>38</v>
      </c>
      <c r="K1799" t="s">
        <v>39</v>
      </c>
      <c r="L1799" s="50">
        <f>VLOOKUP(A1799,'[3]Price info'!A:D,4,FALSE)</f>
        <v>3</v>
      </c>
      <c r="M1799" s="18" t="s">
        <v>214</v>
      </c>
      <c r="N1799" s="20">
        <v>3105</v>
      </c>
      <c r="P1799" s="16">
        <f>VLOOKUP(A1799,'[3]Price info'!A:H,8,FALSE)</f>
        <v>3</v>
      </c>
      <c r="Q1799" s="17">
        <f t="shared" si="113"/>
        <v>1</v>
      </c>
      <c r="S1799" s="16" t="e">
        <f>VLOOKUP(A1799,[4]Sales!$E:$G,3,FALSE)</f>
        <v>#N/A</v>
      </c>
      <c r="T1799" s="19" t="e">
        <f>VLOOKUP(A1799,[4]Volume!$E:$G,3,FALSE)</f>
        <v>#N/A</v>
      </c>
      <c r="U1799" s="19" t="e">
        <f>VLOOKUP(A1799,[4]Piece!$E:$G,3,FALSE)</f>
        <v>#N/A</v>
      </c>
      <c r="V1799" s="21" t="e">
        <f t="shared" si="114"/>
        <v>#N/A</v>
      </c>
      <c r="W1799" s="16" t="e">
        <f t="shared" si="115"/>
        <v>#N/A</v>
      </c>
    </row>
    <row r="1800" spans="1:23" hidden="1" x14ac:dyDescent="0.3">
      <c r="A1800" s="71" t="s">
        <v>3536</v>
      </c>
      <c r="B1800" s="71" t="s">
        <v>3536</v>
      </c>
      <c r="C1800" s="47" t="s">
        <v>33</v>
      </c>
      <c r="D1800" s="48" t="s">
        <v>34</v>
      </c>
      <c r="E1800" s="18" t="s">
        <v>3537</v>
      </c>
      <c r="F1800" s="24" t="str">
        <f t="shared" si="112"/>
        <v>PPG - MYCOL TESTER POT   STEEL MILL 0000000055</v>
      </c>
      <c r="G1800" s="20" t="s">
        <v>6670</v>
      </c>
      <c r="H1800" s="49" t="s">
        <v>213</v>
      </c>
      <c r="I1800" s="18" t="s">
        <v>37</v>
      </c>
      <c r="J1800" s="18" t="s">
        <v>38</v>
      </c>
      <c r="K1800" t="s">
        <v>39</v>
      </c>
      <c r="L1800" s="50">
        <f>VLOOKUP(A1800,'[3]Price info'!A:D,4,FALSE)</f>
        <v>3</v>
      </c>
      <c r="M1800" s="18" t="s">
        <v>214</v>
      </c>
      <c r="N1800" s="20">
        <v>3105</v>
      </c>
      <c r="P1800" s="16">
        <f>VLOOKUP(A1800,'[3]Price info'!A:H,8,FALSE)</f>
        <v>3</v>
      </c>
      <c r="Q1800" s="17">
        <f t="shared" si="113"/>
        <v>1</v>
      </c>
      <c r="S1800" s="16" t="e">
        <f>VLOOKUP(A1800,[4]Sales!$E:$G,3,FALSE)</f>
        <v>#N/A</v>
      </c>
      <c r="T1800" s="19" t="e">
        <f>VLOOKUP(A1800,[4]Volume!$E:$G,3,FALSE)</f>
        <v>#N/A</v>
      </c>
      <c r="U1800" s="19" t="e">
        <f>VLOOKUP(A1800,[4]Piece!$E:$G,3,FALSE)</f>
        <v>#N/A</v>
      </c>
      <c r="V1800" s="21" t="e">
        <f t="shared" si="114"/>
        <v>#N/A</v>
      </c>
      <c r="W1800" s="16" t="e">
        <f t="shared" si="115"/>
        <v>#N/A</v>
      </c>
    </row>
    <row r="1801" spans="1:23" hidden="1" x14ac:dyDescent="0.3">
      <c r="A1801" s="71" t="s">
        <v>3538</v>
      </c>
      <c r="B1801" s="71" t="s">
        <v>3538</v>
      </c>
      <c r="C1801" s="47" t="s">
        <v>33</v>
      </c>
      <c r="D1801" s="48" t="s">
        <v>34</v>
      </c>
      <c r="E1801" s="18" t="s">
        <v>3539</v>
      </c>
      <c r="F1801" s="24" t="str">
        <f t="shared" si="112"/>
        <v>PPG - MYCOL TESTER POT   SUMMER SHA 0000000055</v>
      </c>
      <c r="G1801" s="20" t="s">
        <v>6671</v>
      </c>
      <c r="H1801" s="49" t="s">
        <v>213</v>
      </c>
      <c r="I1801" s="18" t="s">
        <v>37</v>
      </c>
      <c r="J1801" s="18" t="s">
        <v>38</v>
      </c>
      <c r="K1801" t="s">
        <v>39</v>
      </c>
      <c r="L1801" s="50">
        <f>VLOOKUP(A1801,'[3]Price info'!A:D,4,FALSE)</f>
        <v>3</v>
      </c>
      <c r="M1801" s="18" t="s">
        <v>214</v>
      </c>
      <c r="N1801" s="20">
        <v>3105</v>
      </c>
      <c r="P1801" s="16">
        <f>VLOOKUP(A1801,'[3]Price info'!A:H,8,FALSE)</f>
        <v>3</v>
      </c>
      <c r="Q1801" s="17">
        <f t="shared" si="113"/>
        <v>1</v>
      </c>
      <c r="S1801" s="16" t="e">
        <f>VLOOKUP(A1801,[4]Sales!$E:$G,3,FALSE)</f>
        <v>#N/A</v>
      </c>
      <c r="T1801" s="19" t="e">
        <f>VLOOKUP(A1801,[4]Volume!$E:$G,3,FALSE)</f>
        <v>#N/A</v>
      </c>
      <c r="U1801" s="19" t="e">
        <f>VLOOKUP(A1801,[4]Piece!$E:$G,3,FALSE)</f>
        <v>#N/A</v>
      </c>
      <c r="V1801" s="21" t="e">
        <f t="shared" si="114"/>
        <v>#N/A</v>
      </c>
      <c r="W1801" s="16" t="e">
        <f t="shared" si="115"/>
        <v>#N/A</v>
      </c>
    </row>
    <row r="1802" spans="1:23" hidden="1" x14ac:dyDescent="0.3">
      <c r="A1802" s="71" t="s">
        <v>3540</v>
      </c>
      <c r="B1802" s="71" t="s">
        <v>3540</v>
      </c>
      <c r="C1802" s="51" t="s">
        <v>33</v>
      </c>
      <c r="D1802" s="48" t="s">
        <v>34</v>
      </c>
      <c r="E1802" s="18" t="s">
        <v>3541</v>
      </c>
      <c r="F1802" s="24" t="str">
        <f t="shared" si="112"/>
        <v>PPG - MYCOL TESTER POT   SWANSONG   0000000055</v>
      </c>
      <c r="G1802" s="20" t="s">
        <v>6672</v>
      </c>
      <c r="H1802" s="49" t="s">
        <v>213</v>
      </c>
      <c r="I1802" s="18" t="s">
        <v>37</v>
      </c>
      <c r="J1802" s="18" t="s">
        <v>38</v>
      </c>
      <c r="K1802" t="s">
        <v>39</v>
      </c>
      <c r="L1802" s="50">
        <f>VLOOKUP(A1802,'[3]Price info'!A:D,4,FALSE)</f>
        <v>3</v>
      </c>
      <c r="M1802" s="18" t="s">
        <v>214</v>
      </c>
      <c r="N1802" s="20">
        <v>3105</v>
      </c>
      <c r="P1802" s="16">
        <f>VLOOKUP(A1802,'[3]Price info'!A:H,8,FALSE)</f>
        <v>3</v>
      </c>
      <c r="Q1802" s="17">
        <f t="shared" si="113"/>
        <v>1</v>
      </c>
      <c r="S1802" s="16" t="e">
        <f>VLOOKUP(A1802,[4]Sales!$E:$G,3,FALSE)</f>
        <v>#N/A</v>
      </c>
      <c r="T1802" s="19" t="e">
        <f>VLOOKUP(A1802,[4]Volume!$E:$G,3,FALSE)</f>
        <v>#N/A</v>
      </c>
      <c r="U1802" s="19" t="e">
        <f>VLOOKUP(A1802,[4]Piece!$E:$G,3,FALSE)</f>
        <v>#N/A</v>
      </c>
      <c r="V1802" s="21" t="e">
        <f t="shared" si="114"/>
        <v>#N/A</v>
      </c>
      <c r="W1802" s="16" t="e">
        <f t="shared" si="115"/>
        <v>#N/A</v>
      </c>
    </row>
    <row r="1803" spans="1:23" hidden="1" x14ac:dyDescent="0.3">
      <c r="A1803" s="71" t="s">
        <v>3542</v>
      </c>
      <c r="B1803" s="71" t="s">
        <v>3542</v>
      </c>
      <c r="C1803" s="47" t="s">
        <v>33</v>
      </c>
      <c r="D1803" s="48" t="s">
        <v>34</v>
      </c>
      <c r="E1803" s="18" t="s">
        <v>3543</v>
      </c>
      <c r="F1803" s="24" t="str">
        <f t="shared" si="112"/>
        <v>PPG - MYCOL TESTER POT   SYMMETRY   0000000055</v>
      </c>
      <c r="G1803" s="20" t="s">
        <v>6673</v>
      </c>
      <c r="H1803" s="49" t="s">
        <v>213</v>
      </c>
      <c r="I1803" s="18" t="s">
        <v>37</v>
      </c>
      <c r="J1803" s="18" t="s">
        <v>38</v>
      </c>
      <c r="K1803" t="s">
        <v>39</v>
      </c>
      <c r="L1803" s="50">
        <f>VLOOKUP(A1803,'[3]Price info'!A:D,4,FALSE)</f>
        <v>3</v>
      </c>
      <c r="M1803" s="18" t="s">
        <v>214</v>
      </c>
      <c r="N1803" s="20">
        <v>3105</v>
      </c>
      <c r="P1803" s="16">
        <f>VLOOKUP(A1803,'[3]Price info'!A:H,8,FALSE)</f>
        <v>3</v>
      </c>
      <c r="Q1803" s="17">
        <f t="shared" si="113"/>
        <v>1</v>
      </c>
      <c r="S1803" s="16" t="e">
        <f>VLOOKUP(A1803,[4]Sales!$E:$G,3,FALSE)</f>
        <v>#N/A</v>
      </c>
      <c r="T1803" s="19" t="e">
        <f>VLOOKUP(A1803,[4]Volume!$E:$G,3,FALSE)</f>
        <v>#N/A</v>
      </c>
      <c r="U1803" s="19" t="e">
        <f>VLOOKUP(A1803,[4]Piece!$E:$G,3,FALSE)</f>
        <v>#N/A</v>
      </c>
      <c r="V1803" s="21" t="e">
        <f t="shared" si="114"/>
        <v>#N/A</v>
      </c>
      <c r="W1803" s="16" t="e">
        <f t="shared" si="115"/>
        <v>#N/A</v>
      </c>
    </row>
    <row r="1804" spans="1:23" hidden="1" x14ac:dyDescent="0.3">
      <c r="A1804" s="71" t="s">
        <v>3544</v>
      </c>
      <c r="B1804" s="71" t="s">
        <v>3544</v>
      </c>
      <c r="C1804" s="47" t="s">
        <v>33</v>
      </c>
      <c r="D1804" s="48" t="s">
        <v>34</v>
      </c>
      <c r="E1804" s="18" t="s">
        <v>3545</v>
      </c>
      <c r="F1804" s="24" t="str">
        <f t="shared" si="112"/>
        <v>PPG - MYCOL TESTER POT   TAN YRHIDE 0000000055</v>
      </c>
      <c r="G1804" s="20" t="s">
        <v>6674</v>
      </c>
      <c r="H1804" s="49" t="s">
        <v>213</v>
      </c>
      <c r="I1804" s="18" t="s">
        <v>37</v>
      </c>
      <c r="J1804" s="18" t="s">
        <v>38</v>
      </c>
      <c r="K1804" t="s">
        <v>39</v>
      </c>
      <c r="L1804" s="50">
        <f>VLOOKUP(A1804,'[3]Price info'!A:D,4,FALSE)</f>
        <v>3</v>
      </c>
      <c r="M1804" s="18" t="s">
        <v>214</v>
      </c>
      <c r="N1804" s="20">
        <v>3105</v>
      </c>
      <c r="P1804" s="16">
        <f>VLOOKUP(A1804,'[3]Price info'!A:H,8,FALSE)</f>
        <v>3</v>
      </c>
      <c r="Q1804" s="17">
        <f t="shared" si="113"/>
        <v>1</v>
      </c>
      <c r="S1804" s="16" t="e">
        <f>VLOOKUP(A1804,[4]Sales!$E:$G,3,FALSE)</f>
        <v>#N/A</v>
      </c>
      <c r="T1804" s="19" t="e">
        <f>VLOOKUP(A1804,[4]Volume!$E:$G,3,FALSE)</f>
        <v>#N/A</v>
      </c>
      <c r="U1804" s="19" t="e">
        <f>VLOOKUP(A1804,[4]Piece!$E:$G,3,FALSE)</f>
        <v>#N/A</v>
      </c>
      <c r="V1804" s="21" t="e">
        <f t="shared" si="114"/>
        <v>#N/A</v>
      </c>
      <c r="W1804" s="16" t="e">
        <f t="shared" si="115"/>
        <v>#N/A</v>
      </c>
    </row>
    <row r="1805" spans="1:23" hidden="1" x14ac:dyDescent="0.3">
      <c r="A1805" s="71" t="s">
        <v>3546</v>
      </c>
      <c r="B1805" s="71" t="s">
        <v>3546</v>
      </c>
      <c r="C1805" s="51" t="s">
        <v>33</v>
      </c>
      <c r="D1805" s="48" t="s">
        <v>34</v>
      </c>
      <c r="E1805" s="18" t="s">
        <v>3547</v>
      </c>
      <c r="F1805" s="24" t="str">
        <f t="shared" si="112"/>
        <v>PPG - MYCOL TESTER POT   WING COMMA 0000000055</v>
      </c>
      <c r="G1805" s="20" t="s">
        <v>6675</v>
      </c>
      <c r="H1805" s="49" t="s">
        <v>213</v>
      </c>
      <c r="I1805" s="18" t="s">
        <v>37</v>
      </c>
      <c r="J1805" s="18" t="s">
        <v>38</v>
      </c>
      <c r="K1805" t="s">
        <v>39</v>
      </c>
      <c r="L1805" s="50">
        <f>VLOOKUP(A1805,'[3]Price info'!A:D,4,FALSE)</f>
        <v>3</v>
      </c>
      <c r="M1805" s="18" t="s">
        <v>214</v>
      </c>
      <c r="N1805" s="20">
        <v>3105</v>
      </c>
      <c r="P1805" s="16">
        <f>VLOOKUP(A1805,'[3]Price info'!A:H,8,FALSE)</f>
        <v>3</v>
      </c>
      <c r="Q1805" s="17">
        <f t="shared" si="113"/>
        <v>1</v>
      </c>
      <c r="S1805" s="16" t="e">
        <f>VLOOKUP(A1805,[4]Sales!$E:$G,3,FALSE)</f>
        <v>#N/A</v>
      </c>
      <c r="T1805" s="19" t="e">
        <f>VLOOKUP(A1805,[4]Volume!$E:$G,3,FALSE)</f>
        <v>#N/A</v>
      </c>
      <c r="U1805" s="19" t="e">
        <f>VLOOKUP(A1805,[4]Piece!$E:$G,3,FALSE)</f>
        <v>#N/A</v>
      </c>
      <c r="V1805" s="21" t="e">
        <f t="shared" si="114"/>
        <v>#N/A</v>
      </c>
      <c r="W1805" s="16" t="e">
        <f t="shared" si="115"/>
        <v>#N/A</v>
      </c>
    </row>
    <row r="1806" spans="1:23" hidden="1" x14ac:dyDescent="0.3">
      <c r="A1806" s="71" t="s">
        <v>3548</v>
      </c>
      <c r="B1806" s="71" t="s">
        <v>3548</v>
      </c>
      <c r="C1806" s="47" t="s">
        <v>33</v>
      </c>
      <c r="D1806" s="48" t="s">
        <v>34</v>
      </c>
      <c r="E1806" s="18" t="s">
        <v>3549</v>
      </c>
      <c r="F1806" s="24" t="str">
        <f t="shared" si="112"/>
        <v>PPG - NOVAGUARD 260 SET PINK        6007002200</v>
      </c>
      <c r="G1806" s="20" t="s">
        <v>6676</v>
      </c>
      <c r="H1806" s="49" t="s">
        <v>213</v>
      </c>
      <c r="I1806" s="18" t="s">
        <v>37</v>
      </c>
      <c r="J1806" s="18" t="s">
        <v>38</v>
      </c>
      <c r="K1806" t="s">
        <v>39</v>
      </c>
      <c r="L1806" s="50">
        <f>VLOOKUP(A1806,'[3]Price info'!A:D,4,FALSE)</f>
        <v>509.91</v>
      </c>
      <c r="M1806" s="18" t="s">
        <v>214</v>
      </c>
      <c r="N1806" s="20">
        <v>3105</v>
      </c>
      <c r="P1806" s="16">
        <f>VLOOKUP(A1806,'[3]Price info'!A:H,8,FALSE)</f>
        <v>509.91</v>
      </c>
      <c r="Q1806" s="17">
        <f t="shared" si="113"/>
        <v>1</v>
      </c>
      <c r="S1806" s="16" t="e">
        <f>VLOOKUP(A1806,[4]Sales!$E:$G,3,FALSE)</f>
        <v>#N/A</v>
      </c>
      <c r="T1806" s="19" t="e">
        <f>VLOOKUP(A1806,[4]Volume!$E:$G,3,FALSE)</f>
        <v>#N/A</v>
      </c>
      <c r="U1806" s="19" t="e">
        <f>VLOOKUP(A1806,[4]Piece!$E:$G,3,FALSE)</f>
        <v>#N/A</v>
      </c>
      <c r="V1806" s="21" t="e">
        <f t="shared" si="114"/>
        <v>#N/A</v>
      </c>
      <c r="W1806" s="16" t="e">
        <f t="shared" si="115"/>
        <v>#N/A</v>
      </c>
    </row>
    <row r="1807" spans="1:23" hidden="1" x14ac:dyDescent="0.3">
      <c r="A1807" s="71" t="s">
        <v>3550</v>
      </c>
      <c r="B1807" s="71" t="s">
        <v>3550</v>
      </c>
      <c r="C1807" s="47" t="s">
        <v>33</v>
      </c>
      <c r="D1807" s="48" t="s">
        <v>34</v>
      </c>
      <c r="E1807" s="18" t="s">
        <v>3551</v>
      </c>
      <c r="F1807" s="24" t="str">
        <f t="shared" si="112"/>
        <v>PPG - NOVAGUARD 4701 SET LIGHTAMBER 3000002200</v>
      </c>
      <c r="G1807" s="20" t="s">
        <v>6677</v>
      </c>
      <c r="H1807" s="49" t="s">
        <v>213</v>
      </c>
      <c r="I1807" s="18" t="s">
        <v>37</v>
      </c>
      <c r="J1807" s="18" t="s">
        <v>38</v>
      </c>
      <c r="K1807" t="s">
        <v>39</v>
      </c>
      <c r="L1807" s="50">
        <f>VLOOKUP(A1807,'[3]Price info'!A:D,4,FALSE)</f>
        <v>636.67999999999995</v>
      </c>
      <c r="M1807" s="18" t="s">
        <v>214</v>
      </c>
      <c r="N1807" s="20">
        <v>3105</v>
      </c>
      <c r="P1807" s="16">
        <f>VLOOKUP(A1807,'[3]Price info'!A:H,8,FALSE)</f>
        <v>636.67999999999995</v>
      </c>
      <c r="Q1807" s="17">
        <f t="shared" si="113"/>
        <v>1</v>
      </c>
      <c r="S1807" s="16" t="e">
        <f>VLOOKUP(A1807,[4]Sales!$E:$G,3,FALSE)</f>
        <v>#N/A</v>
      </c>
      <c r="T1807" s="19" t="e">
        <f>VLOOKUP(A1807,[4]Volume!$E:$G,3,FALSE)</f>
        <v>#N/A</v>
      </c>
      <c r="U1807" s="19" t="e">
        <f>VLOOKUP(A1807,[4]Piece!$E:$G,3,FALSE)</f>
        <v>#N/A</v>
      </c>
      <c r="V1807" s="21" t="e">
        <f t="shared" si="114"/>
        <v>#N/A</v>
      </c>
      <c r="W1807" s="16" t="e">
        <f t="shared" si="115"/>
        <v>#N/A</v>
      </c>
    </row>
    <row r="1808" spans="1:23" hidden="1" x14ac:dyDescent="0.3">
      <c r="A1808" s="71" t="s">
        <v>3552</v>
      </c>
      <c r="B1808" s="71" t="s">
        <v>3552</v>
      </c>
      <c r="C1808" s="51" t="s">
        <v>33</v>
      </c>
      <c r="D1808" s="48" t="s">
        <v>34</v>
      </c>
      <c r="E1808" s="18" t="s">
        <v>3553</v>
      </c>
      <c r="F1808" s="24" t="str">
        <f t="shared" si="112"/>
        <v>PPG - NOVAGUARD 4801 SET WHITE      7000002200</v>
      </c>
      <c r="G1808" s="20" t="s">
        <v>6678</v>
      </c>
      <c r="H1808" s="49" t="s">
        <v>213</v>
      </c>
      <c r="I1808" s="18" t="s">
        <v>37</v>
      </c>
      <c r="J1808" s="18" t="s">
        <v>38</v>
      </c>
      <c r="K1808" t="s">
        <v>39</v>
      </c>
      <c r="L1808" s="50">
        <f>VLOOKUP(A1808,'[3]Price info'!A:D,4,FALSE)</f>
        <v>954.87</v>
      </c>
      <c r="M1808" s="18" t="s">
        <v>214</v>
      </c>
      <c r="N1808" s="20">
        <v>3105</v>
      </c>
      <c r="P1808" s="16">
        <f>VLOOKUP(A1808,'[3]Price info'!A:H,8,FALSE)</f>
        <v>954.87</v>
      </c>
      <c r="Q1808" s="17">
        <f t="shared" si="113"/>
        <v>1</v>
      </c>
      <c r="S1808" s="16" t="e">
        <f>VLOOKUP(A1808,[4]Sales!$E:$G,3,FALSE)</f>
        <v>#N/A</v>
      </c>
      <c r="T1808" s="19" t="e">
        <f>VLOOKUP(A1808,[4]Volume!$E:$G,3,FALSE)</f>
        <v>#N/A</v>
      </c>
      <c r="U1808" s="19" t="e">
        <f>VLOOKUP(A1808,[4]Piece!$E:$G,3,FALSE)</f>
        <v>#N/A</v>
      </c>
      <c r="V1808" s="21" t="e">
        <f t="shared" si="114"/>
        <v>#N/A</v>
      </c>
      <c r="W1808" s="16" t="e">
        <f t="shared" si="115"/>
        <v>#N/A</v>
      </c>
    </row>
    <row r="1809" spans="1:23" hidden="1" x14ac:dyDescent="0.3">
      <c r="A1809" s="71" t="s">
        <v>3554</v>
      </c>
      <c r="B1809" s="71" t="s">
        <v>3554</v>
      </c>
      <c r="C1809" s="47" t="s">
        <v>33</v>
      </c>
      <c r="D1809" s="48" t="s">
        <v>34</v>
      </c>
      <c r="E1809" s="18" t="s">
        <v>3555</v>
      </c>
      <c r="F1809" s="24" t="str">
        <f t="shared" si="112"/>
        <v>PPG - NOVAGUARD 615 SET LIGHT GREY  5001002200</v>
      </c>
      <c r="G1809" s="20" t="s">
        <v>6679</v>
      </c>
      <c r="H1809" s="49" t="s">
        <v>213</v>
      </c>
      <c r="I1809" s="18" t="s">
        <v>37</v>
      </c>
      <c r="J1809" s="18" t="s">
        <v>38</v>
      </c>
      <c r="K1809" t="s">
        <v>39</v>
      </c>
      <c r="L1809" s="50">
        <f>VLOOKUP(A1809,'[3]Price info'!A:D,4,FALSE)</f>
        <v>871.4</v>
      </c>
      <c r="M1809" s="18" t="s">
        <v>214</v>
      </c>
      <c r="N1809" s="20">
        <v>3105</v>
      </c>
      <c r="P1809" s="16">
        <f>VLOOKUP(A1809,'[3]Price info'!A:H,8,FALSE)</f>
        <v>871.4</v>
      </c>
      <c r="Q1809" s="17">
        <f t="shared" si="113"/>
        <v>1</v>
      </c>
      <c r="S1809" s="16" t="e">
        <f>VLOOKUP(A1809,[4]Sales!$E:$G,3,FALSE)</f>
        <v>#N/A</v>
      </c>
      <c r="T1809" s="19" t="e">
        <f>VLOOKUP(A1809,[4]Volume!$E:$G,3,FALSE)</f>
        <v>#N/A</v>
      </c>
      <c r="U1809" s="19" t="e">
        <f>VLOOKUP(A1809,[4]Piece!$E:$G,3,FALSE)</f>
        <v>#N/A</v>
      </c>
      <c r="V1809" s="21" t="e">
        <f t="shared" si="114"/>
        <v>#N/A</v>
      </c>
      <c r="W1809" s="16" t="e">
        <f t="shared" si="115"/>
        <v>#N/A</v>
      </c>
    </row>
    <row r="1810" spans="1:23" hidden="1" x14ac:dyDescent="0.3">
      <c r="A1810" s="71" t="s">
        <v>3556</v>
      </c>
      <c r="B1810" s="71" t="s">
        <v>3556</v>
      </c>
      <c r="C1810" s="47" t="s">
        <v>33</v>
      </c>
      <c r="D1810" s="48" t="s">
        <v>34</v>
      </c>
      <c r="E1810" s="18" t="s">
        <v>3557</v>
      </c>
      <c r="F1810" s="24" t="str">
        <f t="shared" si="112"/>
        <v>PPG - NOVAGUARD 650 SET OFFWHITE    7001002200</v>
      </c>
      <c r="G1810" s="20" t="s">
        <v>6680</v>
      </c>
      <c r="H1810" s="49" t="s">
        <v>213</v>
      </c>
      <c r="I1810" s="18" t="s">
        <v>37</v>
      </c>
      <c r="J1810" s="18" t="s">
        <v>38</v>
      </c>
      <c r="K1810" t="s">
        <v>39</v>
      </c>
      <c r="L1810" s="50">
        <f>VLOOKUP(A1810,'[3]Price info'!A:D,4,FALSE)</f>
        <v>764</v>
      </c>
      <c r="M1810" s="18" t="s">
        <v>214</v>
      </c>
      <c r="N1810" s="20">
        <v>3105</v>
      </c>
      <c r="P1810" s="16">
        <f>VLOOKUP(A1810,'[3]Price info'!A:H,8,FALSE)</f>
        <v>764</v>
      </c>
      <c r="Q1810" s="17">
        <f t="shared" si="113"/>
        <v>1</v>
      </c>
      <c r="S1810" s="16" t="e">
        <f>VLOOKUP(A1810,[4]Sales!$E:$G,3,FALSE)</f>
        <v>#N/A</v>
      </c>
      <c r="T1810" s="19" t="e">
        <f>VLOOKUP(A1810,[4]Volume!$E:$G,3,FALSE)</f>
        <v>#N/A</v>
      </c>
      <c r="U1810" s="19" t="e">
        <f>VLOOKUP(A1810,[4]Piece!$E:$G,3,FALSE)</f>
        <v>#N/A</v>
      </c>
      <c r="V1810" s="21" t="e">
        <f t="shared" si="114"/>
        <v>#N/A</v>
      </c>
      <c r="W1810" s="16" t="e">
        <f t="shared" si="115"/>
        <v>#N/A</v>
      </c>
    </row>
    <row r="1811" spans="1:23" hidden="1" x14ac:dyDescent="0.3">
      <c r="A1811" s="71" t="s">
        <v>3558</v>
      </c>
      <c r="B1811" s="71" t="s">
        <v>3558</v>
      </c>
      <c r="C1811" s="51" t="s">
        <v>33</v>
      </c>
      <c r="D1811" s="48" t="s">
        <v>34</v>
      </c>
      <c r="E1811" s="18" t="s">
        <v>3559</v>
      </c>
      <c r="F1811" s="24" t="str">
        <f t="shared" si="112"/>
        <v>PPG - NOVAGUARD 840 SET CREAM       3012002200</v>
      </c>
      <c r="G1811" s="20" t="s">
        <v>6681</v>
      </c>
      <c r="H1811" s="49" t="s">
        <v>213</v>
      </c>
      <c r="I1811" s="18" t="s">
        <v>37</v>
      </c>
      <c r="J1811" s="18" t="s">
        <v>38</v>
      </c>
      <c r="K1811" t="s">
        <v>39</v>
      </c>
      <c r="L1811" s="50">
        <f>VLOOKUP(A1811,'[3]Price info'!A:D,4,FALSE)</f>
        <v>979.94</v>
      </c>
      <c r="M1811" s="18" t="s">
        <v>214</v>
      </c>
      <c r="N1811" s="20">
        <v>3105</v>
      </c>
      <c r="P1811" s="16">
        <f>VLOOKUP(A1811,'[3]Price info'!A:H,8,FALSE)</f>
        <v>979.94</v>
      </c>
      <c r="Q1811" s="17">
        <f t="shared" si="113"/>
        <v>1</v>
      </c>
      <c r="S1811" s="16" t="e">
        <f>VLOOKUP(A1811,[4]Sales!$E:$G,3,FALSE)</f>
        <v>#N/A</v>
      </c>
      <c r="T1811" s="19" t="e">
        <f>VLOOKUP(A1811,[4]Volume!$E:$G,3,FALSE)</f>
        <v>#N/A</v>
      </c>
      <c r="U1811" s="19" t="e">
        <f>VLOOKUP(A1811,[4]Piece!$E:$G,3,FALSE)</f>
        <v>#N/A</v>
      </c>
      <c r="V1811" s="21" t="e">
        <f t="shared" si="114"/>
        <v>#N/A</v>
      </c>
      <c r="W1811" s="16" t="e">
        <f t="shared" si="115"/>
        <v>#N/A</v>
      </c>
    </row>
    <row r="1812" spans="1:23" hidden="1" x14ac:dyDescent="0.3">
      <c r="A1812" s="71" t="s">
        <v>3560</v>
      </c>
      <c r="B1812" s="71" t="s">
        <v>3560</v>
      </c>
      <c r="C1812" s="47" t="s">
        <v>33</v>
      </c>
      <c r="D1812" s="48" t="s">
        <v>34</v>
      </c>
      <c r="E1812" s="18" t="s">
        <v>3561</v>
      </c>
      <c r="F1812" s="24" t="str">
        <f t="shared" si="112"/>
        <v>PPG - NOVAGUARD 890 SET CREAM       3002002200</v>
      </c>
      <c r="G1812" s="20" t="s">
        <v>6682</v>
      </c>
      <c r="H1812" s="49" t="s">
        <v>213</v>
      </c>
      <c r="I1812" s="18" t="s">
        <v>37</v>
      </c>
      <c r="J1812" s="18" t="s">
        <v>38</v>
      </c>
      <c r="K1812" t="s">
        <v>39</v>
      </c>
      <c r="L1812" s="50">
        <f>VLOOKUP(A1812,'[3]Price info'!A:D,4,FALSE)</f>
        <v>1323.48</v>
      </c>
      <c r="M1812" s="18" t="s">
        <v>214</v>
      </c>
      <c r="N1812" s="20">
        <v>3105</v>
      </c>
      <c r="P1812" s="16">
        <f>VLOOKUP(A1812,'[3]Price info'!A:H,8,FALSE)</f>
        <v>1323.48</v>
      </c>
      <c r="Q1812" s="17">
        <f t="shared" si="113"/>
        <v>1</v>
      </c>
      <c r="S1812" s="16" t="e">
        <f>VLOOKUP(A1812,[4]Sales!$E:$G,3,FALSE)</f>
        <v>#N/A</v>
      </c>
      <c r="T1812" s="19" t="e">
        <f>VLOOKUP(A1812,[4]Volume!$E:$G,3,FALSE)</f>
        <v>#N/A</v>
      </c>
      <c r="U1812" s="19" t="e">
        <f>VLOOKUP(A1812,[4]Piece!$E:$G,3,FALSE)</f>
        <v>#N/A</v>
      </c>
      <c r="V1812" s="21" t="e">
        <f t="shared" si="114"/>
        <v>#N/A</v>
      </c>
      <c r="W1812" s="16" t="e">
        <f t="shared" si="115"/>
        <v>#N/A</v>
      </c>
    </row>
    <row r="1813" spans="1:23" hidden="1" x14ac:dyDescent="0.3">
      <c r="A1813" s="71" t="s">
        <v>3562</v>
      </c>
      <c r="B1813" s="71" t="s">
        <v>3562</v>
      </c>
      <c r="C1813" s="47" t="s">
        <v>33</v>
      </c>
      <c r="D1813" s="48" t="s">
        <v>34</v>
      </c>
      <c r="E1813" s="18" t="s">
        <v>3563</v>
      </c>
      <c r="F1813" s="24" t="str">
        <f t="shared" si="112"/>
        <v>PPG - NUKLAD IMP SET CLEAR         N0000002119</v>
      </c>
      <c r="G1813" s="20" t="s">
        <v>6683</v>
      </c>
      <c r="H1813" s="49" t="s">
        <v>213</v>
      </c>
      <c r="I1813" s="18" t="s">
        <v>37</v>
      </c>
      <c r="J1813" s="18" t="s">
        <v>38</v>
      </c>
      <c r="K1813" t="s">
        <v>39</v>
      </c>
      <c r="L1813" s="50">
        <f>VLOOKUP(A1813,'[3]Price info'!A:D,4,FALSE)</f>
        <v>295.55</v>
      </c>
      <c r="M1813" s="18" t="s">
        <v>214</v>
      </c>
      <c r="N1813" s="20">
        <v>3105</v>
      </c>
      <c r="P1813" s="16">
        <f>VLOOKUP(A1813,'[3]Price info'!A:H,8,FALSE)</f>
        <v>295.55</v>
      </c>
      <c r="Q1813" s="17">
        <f t="shared" si="113"/>
        <v>1</v>
      </c>
      <c r="S1813" s="16" t="e">
        <f>VLOOKUP(A1813,[4]Sales!$E:$G,3,FALSE)</f>
        <v>#N/A</v>
      </c>
      <c r="T1813" s="19" t="e">
        <f>VLOOKUP(A1813,[4]Volume!$E:$G,3,FALSE)</f>
        <v>#N/A</v>
      </c>
      <c r="U1813" s="19" t="e">
        <f>VLOOKUP(A1813,[4]Piece!$E:$G,3,FALSE)</f>
        <v>#N/A</v>
      </c>
      <c r="V1813" s="21" t="e">
        <f t="shared" si="114"/>
        <v>#N/A</v>
      </c>
      <c r="W1813" s="16" t="e">
        <f t="shared" si="115"/>
        <v>#N/A</v>
      </c>
    </row>
    <row r="1814" spans="1:23" hidden="1" x14ac:dyDescent="0.3">
      <c r="A1814" s="71" t="s">
        <v>3564</v>
      </c>
      <c r="B1814" s="71" t="s">
        <v>3564</v>
      </c>
      <c r="C1814" s="51" t="s">
        <v>33</v>
      </c>
      <c r="D1814" s="48" t="s">
        <v>34</v>
      </c>
      <c r="E1814" s="18" t="s">
        <v>3565</v>
      </c>
      <c r="F1814" s="24" t="str">
        <f t="shared" si="112"/>
        <v>PPG - NUKLAD SL SET BAS Z           0070002170</v>
      </c>
      <c r="G1814" s="20" t="s">
        <v>6684</v>
      </c>
      <c r="H1814" s="49" t="s">
        <v>213</v>
      </c>
      <c r="I1814" s="18" t="s">
        <v>37</v>
      </c>
      <c r="J1814" s="18" t="s">
        <v>38</v>
      </c>
      <c r="K1814" t="s">
        <v>39</v>
      </c>
      <c r="L1814" s="50">
        <f>VLOOKUP(A1814,'[3]Price info'!A:D,4,FALSE)</f>
        <v>561.51</v>
      </c>
      <c r="M1814" s="18" t="s">
        <v>214</v>
      </c>
      <c r="N1814" s="20">
        <v>3105</v>
      </c>
      <c r="P1814" s="16">
        <f>VLOOKUP(A1814,'[3]Price info'!A:H,8,FALSE)</f>
        <v>561.51</v>
      </c>
      <c r="Q1814" s="17">
        <f t="shared" si="113"/>
        <v>1</v>
      </c>
      <c r="S1814" s="16" t="e">
        <f>VLOOKUP(A1814,[4]Sales!$E:$G,3,FALSE)</f>
        <v>#N/A</v>
      </c>
      <c r="T1814" s="19" t="e">
        <f>VLOOKUP(A1814,[4]Volume!$E:$G,3,FALSE)</f>
        <v>#N/A</v>
      </c>
      <c r="U1814" s="19" t="e">
        <f>VLOOKUP(A1814,[4]Piece!$E:$G,3,FALSE)</f>
        <v>#N/A</v>
      </c>
      <c r="V1814" s="21" t="e">
        <f t="shared" si="114"/>
        <v>#N/A</v>
      </c>
      <c r="W1814" s="16" t="e">
        <f t="shared" si="115"/>
        <v>#N/A</v>
      </c>
    </row>
    <row r="1815" spans="1:23" hidden="1" x14ac:dyDescent="0.3">
      <c r="A1815" s="71" t="s">
        <v>3566</v>
      </c>
      <c r="B1815" s="71" t="s">
        <v>3566</v>
      </c>
      <c r="C1815" s="47" t="s">
        <v>33</v>
      </c>
      <c r="D1815" s="48" t="s">
        <v>34</v>
      </c>
      <c r="E1815" s="18" t="s">
        <v>3567</v>
      </c>
      <c r="F1815" s="24" t="str">
        <f t="shared" si="112"/>
        <v>PPG - OSMO  BRUSH        CLEAR      0000001100</v>
      </c>
      <c r="G1815" s="20" t="s">
        <v>6685</v>
      </c>
      <c r="H1815" s="49" t="s">
        <v>213</v>
      </c>
      <c r="I1815" s="18" t="s">
        <v>37</v>
      </c>
      <c r="J1815" s="18" t="s">
        <v>38</v>
      </c>
      <c r="K1815" t="s">
        <v>39</v>
      </c>
      <c r="L1815" s="50">
        <f>VLOOKUP(A1815,'[3]Price info'!A:D,4,FALSE)</f>
        <v>11.36</v>
      </c>
      <c r="M1815" s="18" t="s">
        <v>214</v>
      </c>
      <c r="N1815" s="20">
        <v>3105</v>
      </c>
      <c r="P1815" s="16">
        <f>VLOOKUP(A1815,'[3]Price info'!A:H,8,FALSE)</f>
        <v>11.36</v>
      </c>
      <c r="Q1815" s="17">
        <f t="shared" si="113"/>
        <v>1</v>
      </c>
      <c r="S1815" s="16" t="e">
        <f>VLOOKUP(A1815,[4]Sales!$E:$G,3,FALSE)</f>
        <v>#N/A</v>
      </c>
      <c r="T1815" s="19" t="e">
        <f>VLOOKUP(A1815,[4]Volume!$E:$G,3,FALSE)</f>
        <v>#N/A</v>
      </c>
      <c r="U1815" s="19" t="e">
        <f>VLOOKUP(A1815,[4]Piece!$E:$G,3,FALSE)</f>
        <v>#N/A</v>
      </c>
      <c r="V1815" s="21" t="e">
        <f t="shared" si="114"/>
        <v>#N/A</v>
      </c>
      <c r="W1815" s="16" t="e">
        <f t="shared" si="115"/>
        <v>#N/A</v>
      </c>
    </row>
    <row r="1816" spans="1:23" hidden="1" x14ac:dyDescent="0.3">
      <c r="A1816" s="71" t="s">
        <v>3568</v>
      </c>
      <c r="B1816" s="71" t="s">
        <v>3568</v>
      </c>
      <c r="C1816" s="47" t="s">
        <v>33</v>
      </c>
      <c r="D1816" s="48" t="s">
        <v>34</v>
      </c>
      <c r="E1816" s="18" t="s">
        <v>3569</v>
      </c>
      <c r="F1816" s="24" t="str">
        <f t="shared" si="112"/>
        <v>PPG - OSMO  COUNTRY COLS 0804-Y30R  0000001250</v>
      </c>
      <c r="G1816" s="20" t="s">
        <v>6686</v>
      </c>
      <c r="H1816" s="49" t="s">
        <v>213</v>
      </c>
      <c r="I1816" s="18" t="s">
        <v>37</v>
      </c>
      <c r="J1816" s="18" t="s">
        <v>38</v>
      </c>
      <c r="K1816" t="s">
        <v>39</v>
      </c>
      <c r="L1816" s="50">
        <f>VLOOKUP(A1816,'[3]Price info'!A:D,4,FALSE)</f>
        <v>143.66999999999999</v>
      </c>
      <c r="M1816" s="18" t="s">
        <v>214</v>
      </c>
      <c r="N1816" s="20">
        <v>3105</v>
      </c>
      <c r="P1816" s="16">
        <f>VLOOKUP(A1816,'[3]Price info'!A:H,8,FALSE)</f>
        <v>143.66999999999999</v>
      </c>
      <c r="Q1816" s="17">
        <f t="shared" si="113"/>
        <v>1</v>
      </c>
      <c r="S1816" s="16" t="e">
        <f>VLOOKUP(A1816,[4]Sales!$E:$G,3,FALSE)</f>
        <v>#N/A</v>
      </c>
      <c r="T1816" s="19" t="e">
        <f>VLOOKUP(A1816,[4]Volume!$E:$G,3,FALSE)</f>
        <v>#N/A</v>
      </c>
      <c r="U1816" s="19" t="e">
        <f>VLOOKUP(A1816,[4]Piece!$E:$G,3,FALSE)</f>
        <v>#N/A</v>
      </c>
      <c r="V1816" s="21" t="e">
        <f t="shared" si="114"/>
        <v>#N/A</v>
      </c>
      <c r="W1816" s="16" t="e">
        <f t="shared" si="115"/>
        <v>#N/A</v>
      </c>
    </row>
    <row r="1817" spans="1:23" hidden="1" x14ac:dyDescent="0.3">
      <c r="A1817" s="71" t="s">
        <v>3570</v>
      </c>
      <c r="B1817" s="71" t="s">
        <v>3570</v>
      </c>
      <c r="C1817" s="51" t="s">
        <v>33</v>
      </c>
      <c r="D1817" s="48" t="s">
        <v>34</v>
      </c>
      <c r="E1817" s="18" t="s">
        <v>3571</v>
      </c>
      <c r="F1817" s="24" t="str">
        <f t="shared" si="112"/>
        <v>PPG - OSMO  COUNTRY COLS ANTH GREY  0000001250</v>
      </c>
      <c r="G1817" s="20" t="s">
        <v>6687</v>
      </c>
      <c r="H1817" s="49" t="s">
        <v>213</v>
      </c>
      <c r="I1817" s="18" t="s">
        <v>37</v>
      </c>
      <c r="J1817" s="18" t="s">
        <v>38</v>
      </c>
      <c r="K1817" t="s">
        <v>39</v>
      </c>
      <c r="L1817" s="50">
        <f>VLOOKUP(A1817,'[3]Price info'!A:D,4,FALSE)</f>
        <v>94.99</v>
      </c>
      <c r="M1817" s="18" t="s">
        <v>214</v>
      </c>
      <c r="N1817" s="20">
        <v>3105</v>
      </c>
      <c r="P1817" s="16">
        <f>VLOOKUP(A1817,'[3]Price info'!A:H,8,FALSE)</f>
        <v>94.99</v>
      </c>
      <c r="Q1817" s="17">
        <f t="shared" si="113"/>
        <v>1</v>
      </c>
      <c r="S1817" s="16" t="e">
        <f>VLOOKUP(A1817,[4]Sales!$E:$G,3,FALSE)</f>
        <v>#N/A</v>
      </c>
      <c r="T1817" s="19" t="e">
        <f>VLOOKUP(A1817,[4]Volume!$E:$G,3,FALSE)</f>
        <v>#N/A</v>
      </c>
      <c r="U1817" s="19" t="e">
        <f>VLOOKUP(A1817,[4]Piece!$E:$G,3,FALSE)</f>
        <v>#N/A</v>
      </c>
      <c r="V1817" s="21" t="e">
        <f t="shared" si="114"/>
        <v>#N/A</v>
      </c>
      <c r="W1817" s="16" t="e">
        <f t="shared" si="115"/>
        <v>#N/A</v>
      </c>
    </row>
    <row r="1818" spans="1:23" hidden="1" x14ac:dyDescent="0.3">
      <c r="A1818" s="71" t="s">
        <v>3572</v>
      </c>
      <c r="B1818" s="71" t="s">
        <v>3572</v>
      </c>
      <c r="C1818" s="47" t="s">
        <v>33</v>
      </c>
      <c r="D1818" s="48" t="s">
        <v>34</v>
      </c>
      <c r="E1818" s="18" t="s">
        <v>3573</v>
      </c>
      <c r="F1818" s="24" t="str">
        <f t="shared" si="112"/>
        <v>PPG - OSMO  COUNTRY COLS DUSK GREY  0000000750</v>
      </c>
      <c r="G1818" s="20" t="s">
        <v>6688</v>
      </c>
      <c r="H1818" s="49" t="s">
        <v>213</v>
      </c>
      <c r="I1818" s="18" t="s">
        <v>37</v>
      </c>
      <c r="J1818" s="18" t="s">
        <v>38</v>
      </c>
      <c r="K1818" t="s">
        <v>39</v>
      </c>
      <c r="L1818" s="50">
        <f>VLOOKUP(A1818,'[3]Price info'!A:D,4,FALSE)</f>
        <v>28.08</v>
      </c>
      <c r="M1818" s="18" t="s">
        <v>214</v>
      </c>
      <c r="N1818" s="20">
        <v>3105</v>
      </c>
      <c r="P1818" s="16">
        <f>VLOOKUP(A1818,'[3]Price info'!A:H,8,FALSE)</f>
        <v>28.08</v>
      </c>
      <c r="Q1818" s="17">
        <f t="shared" si="113"/>
        <v>1</v>
      </c>
      <c r="S1818" s="16" t="e">
        <f>VLOOKUP(A1818,[4]Sales!$E:$G,3,FALSE)</f>
        <v>#N/A</v>
      </c>
      <c r="T1818" s="19" t="e">
        <f>VLOOKUP(A1818,[4]Volume!$E:$G,3,FALSE)</f>
        <v>#N/A</v>
      </c>
      <c r="U1818" s="19" t="e">
        <f>VLOOKUP(A1818,[4]Piece!$E:$G,3,FALSE)</f>
        <v>#N/A</v>
      </c>
      <c r="V1818" s="21" t="e">
        <f t="shared" si="114"/>
        <v>#N/A</v>
      </c>
      <c r="W1818" s="16" t="e">
        <f t="shared" si="115"/>
        <v>#N/A</v>
      </c>
    </row>
    <row r="1819" spans="1:23" hidden="1" x14ac:dyDescent="0.3">
      <c r="A1819" s="71" t="s">
        <v>3574</v>
      </c>
      <c r="B1819" s="71" t="s">
        <v>3574</v>
      </c>
      <c r="C1819" s="47" t="s">
        <v>33</v>
      </c>
      <c r="D1819" s="48" t="s">
        <v>34</v>
      </c>
      <c r="E1819" s="18" t="s">
        <v>3575</v>
      </c>
      <c r="F1819" s="24" t="str">
        <f t="shared" si="112"/>
        <v>PPG - OSMO  COUNTRY COLS MED BROWN  0000001250</v>
      </c>
      <c r="G1819" s="20" t="s">
        <v>6689</v>
      </c>
      <c r="H1819" s="49" t="s">
        <v>213</v>
      </c>
      <c r="I1819" s="18" t="s">
        <v>37</v>
      </c>
      <c r="J1819" s="18" t="s">
        <v>38</v>
      </c>
      <c r="K1819" t="s">
        <v>39</v>
      </c>
      <c r="L1819" s="50">
        <f>VLOOKUP(A1819,'[3]Price info'!A:D,4,FALSE)</f>
        <v>90.17</v>
      </c>
      <c r="M1819" s="18" t="s">
        <v>214</v>
      </c>
      <c r="N1819" s="20">
        <v>3105</v>
      </c>
      <c r="P1819" s="16">
        <f>VLOOKUP(A1819,'[3]Price info'!A:H,8,FALSE)</f>
        <v>90.17</v>
      </c>
      <c r="Q1819" s="17">
        <f t="shared" si="113"/>
        <v>1</v>
      </c>
      <c r="S1819" s="16" t="e">
        <f>VLOOKUP(A1819,[4]Sales!$E:$G,3,FALSE)</f>
        <v>#N/A</v>
      </c>
      <c r="T1819" s="19" t="e">
        <f>VLOOKUP(A1819,[4]Volume!$E:$G,3,FALSE)</f>
        <v>#N/A</v>
      </c>
      <c r="U1819" s="19" t="e">
        <f>VLOOKUP(A1819,[4]Piece!$E:$G,3,FALSE)</f>
        <v>#N/A</v>
      </c>
      <c r="V1819" s="21" t="e">
        <f t="shared" si="114"/>
        <v>#N/A</v>
      </c>
      <c r="W1819" s="16" t="e">
        <f t="shared" si="115"/>
        <v>#N/A</v>
      </c>
    </row>
    <row r="1820" spans="1:23" hidden="1" x14ac:dyDescent="0.3">
      <c r="A1820" s="71" t="s">
        <v>3576</v>
      </c>
      <c r="B1820" s="71" t="s">
        <v>3576</v>
      </c>
      <c r="C1820" s="51" t="s">
        <v>33</v>
      </c>
      <c r="D1820" s="48" t="s">
        <v>34</v>
      </c>
      <c r="E1820" s="18" t="s">
        <v>3577</v>
      </c>
      <c r="F1820" s="24" t="str">
        <f t="shared" si="112"/>
        <v>PPG - OSMO  DECK STAIN   430D CLEAR 0000001250</v>
      </c>
      <c r="G1820" s="20" t="s">
        <v>6690</v>
      </c>
      <c r="H1820" s="49" t="s">
        <v>213</v>
      </c>
      <c r="I1820" s="18" t="s">
        <v>37</v>
      </c>
      <c r="J1820" s="18" t="s">
        <v>38</v>
      </c>
      <c r="K1820" t="s">
        <v>39</v>
      </c>
      <c r="L1820" s="50">
        <f>VLOOKUP(A1820,'[3]Price info'!A:D,4,FALSE)</f>
        <v>79.989999999999995</v>
      </c>
      <c r="M1820" s="18" t="s">
        <v>214</v>
      </c>
      <c r="N1820" s="20">
        <v>3105</v>
      </c>
      <c r="P1820" s="16">
        <f>VLOOKUP(A1820,'[3]Price info'!A:H,8,FALSE)</f>
        <v>79.989999999999995</v>
      </c>
      <c r="Q1820" s="17">
        <f t="shared" si="113"/>
        <v>1</v>
      </c>
      <c r="S1820" s="16" t="e">
        <f>VLOOKUP(A1820,[4]Sales!$E:$G,3,FALSE)</f>
        <v>#N/A</v>
      </c>
      <c r="T1820" s="19" t="e">
        <f>VLOOKUP(A1820,[4]Volume!$E:$G,3,FALSE)</f>
        <v>#N/A</v>
      </c>
      <c r="U1820" s="19" t="e">
        <f>VLOOKUP(A1820,[4]Piece!$E:$G,3,FALSE)</f>
        <v>#N/A</v>
      </c>
      <c r="V1820" s="21" t="e">
        <f t="shared" si="114"/>
        <v>#N/A</v>
      </c>
      <c r="W1820" s="16" t="e">
        <f t="shared" si="115"/>
        <v>#N/A</v>
      </c>
    </row>
    <row r="1821" spans="1:23" hidden="1" x14ac:dyDescent="0.3">
      <c r="A1821" s="71" t="s">
        <v>3578</v>
      </c>
      <c r="B1821" s="71" t="s">
        <v>3578</v>
      </c>
      <c r="C1821" s="47" t="s">
        <v>33</v>
      </c>
      <c r="D1821" s="48" t="s">
        <v>34</v>
      </c>
      <c r="E1821" s="18" t="s">
        <v>3579</v>
      </c>
      <c r="F1821" s="24" t="str">
        <f t="shared" si="112"/>
        <v>PPG - OSMO  DOOR OIL     CLEAR      0000001100</v>
      </c>
      <c r="G1821" s="20" t="s">
        <v>6691</v>
      </c>
      <c r="H1821" s="49" t="s">
        <v>213</v>
      </c>
      <c r="I1821" s="18" t="s">
        <v>37</v>
      </c>
      <c r="J1821" s="18" t="s">
        <v>38</v>
      </c>
      <c r="K1821" t="s">
        <v>39</v>
      </c>
      <c r="L1821" s="50">
        <f>VLOOKUP(A1821,'[3]Price info'!A:D,4,FALSE)</f>
        <v>36.21</v>
      </c>
      <c r="M1821" s="18" t="s">
        <v>214</v>
      </c>
      <c r="N1821" s="20">
        <v>3105</v>
      </c>
      <c r="P1821" s="16">
        <f>VLOOKUP(A1821,'[3]Price info'!A:H,8,FALSE)</f>
        <v>36.21</v>
      </c>
      <c r="Q1821" s="17">
        <f t="shared" si="113"/>
        <v>1</v>
      </c>
      <c r="S1821" s="16" t="e">
        <f>VLOOKUP(A1821,[4]Sales!$E:$G,3,FALSE)</f>
        <v>#N/A</v>
      </c>
      <c r="T1821" s="19" t="e">
        <f>VLOOKUP(A1821,[4]Volume!$E:$G,3,FALSE)</f>
        <v>#N/A</v>
      </c>
      <c r="U1821" s="19" t="e">
        <f>VLOOKUP(A1821,[4]Piece!$E:$G,3,FALSE)</f>
        <v>#N/A</v>
      </c>
      <c r="V1821" s="21" t="e">
        <f t="shared" si="114"/>
        <v>#N/A</v>
      </c>
      <c r="W1821" s="16" t="e">
        <f t="shared" si="115"/>
        <v>#N/A</v>
      </c>
    </row>
    <row r="1822" spans="1:23" hidden="1" x14ac:dyDescent="0.3">
      <c r="A1822" s="71" t="s">
        <v>3580</v>
      </c>
      <c r="B1822" s="71" t="s">
        <v>3580</v>
      </c>
      <c r="C1822" s="47" t="s">
        <v>33</v>
      </c>
      <c r="D1822" s="48" t="s">
        <v>34</v>
      </c>
      <c r="E1822" s="18" t="s">
        <v>3581</v>
      </c>
      <c r="F1822" s="24" t="str">
        <f t="shared" si="112"/>
        <v>PPG - OSMO  NAT OIL      L/OAK 732C 0000000750</v>
      </c>
      <c r="G1822" s="20" t="s">
        <v>6692</v>
      </c>
      <c r="H1822" s="49" t="s">
        <v>213</v>
      </c>
      <c r="I1822" s="18" t="s">
        <v>37</v>
      </c>
      <c r="J1822" s="18" t="s">
        <v>38</v>
      </c>
      <c r="K1822" t="s">
        <v>39</v>
      </c>
      <c r="L1822" s="50">
        <f>VLOOKUP(A1822,'[3]Price info'!A:D,4,FALSE)</f>
        <v>27.9</v>
      </c>
      <c r="M1822" s="18" t="s">
        <v>214</v>
      </c>
      <c r="N1822" s="20">
        <v>3105</v>
      </c>
      <c r="P1822" s="16">
        <f>VLOOKUP(A1822,'[3]Price info'!A:H,8,FALSE)</f>
        <v>27.9</v>
      </c>
      <c r="Q1822" s="17">
        <f t="shared" si="113"/>
        <v>1</v>
      </c>
      <c r="S1822" s="16" t="e">
        <f>VLOOKUP(A1822,[4]Sales!$E:$G,3,FALSE)</f>
        <v>#N/A</v>
      </c>
      <c r="T1822" s="19" t="e">
        <f>VLOOKUP(A1822,[4]Volume!$E:$G,3,FALSE)</f>
        <v>#N/A</v>
      </c>
      <c r="U1822" s="19" t="e">
        <f>VLOOKUP(A1822,[4]Piece!$E:$G,3,FALSE)</f>
        <v>#N/A</v>
      </c>
      <c r="V1822" s="21" t="e">
        <f t="shared" si="114"/>
        <v>#N/A</v>
      </c>
      <c r="W1822" s="16" t="e">
        <f t="shared" si="115"/>
        <v>#N/A</v>
      </c>
    </row>
    <row r="1823" spans="1:23" hidden="1" x14ac:dyDescent="0.3">
      <c r="A1823" s="71" t="s">
        <v>3582</v>
      </c>
      <c r="B1823" s="71" t="s">
        <v>3582</v>
      </c>
      <c r="C1823" s="51" t="s">
        <v>33</v>
      </c>
      <c r="D1823" s="48" t="s">
        <v>34</v>
      </c>
      <c r="E1823" s="18" t="s">
        <v>3583</v>
      </c>
      <c r="F1823" s="24" t="str">
        <f t="shared" si="112"/>
        <v>PPG - OSMO  NAT OIL W/ST EBONY 712C 0000000750</v>
      </c>
      <c r="G1823" s="20" t="s">
        <v>6693</v>
      </c>
      <c r="H1823" s="49" t="s">
        <v>213</v>
      </c>
      <c r="I1823" s="18" t="s">
        <v>37</v>
      </c>
      <c r="J1823" s="18" t="s">
        <v>38</v>
      </c>
      <c r="K1823" t="s">
        <v>39</v>
      </c>
      <c r="L1823" s="50">
        <f>VLOOKUP(A1823,'[3]Price info'!A:D,4,FALSE)</f>
        <v>27.64</v>
      </c>
      <c r="M1823" s="18" t="s">
        <v>214</v>
      </c>
      <c r="N1823" s="20">
        <v>3105</v>
      </c>
      <c r="P1823" s="16">
        <f>VLOOKUP(A1823,'[3]Price info'!A:H,8,FALSE)</f>
        <v>27.64</v>
      </c>
      <c r="Q1823" s="17">
        <f t="shared" si="113"/>
        <v>1</v>
      </c>
      <c r="S1823" s="16" t="e">
        <f>VLOOKUP(A1823,[4]Sales!$E:$G,3,FALSE)</f>
        <v>#N/A</v>
      </c>
      <c r="T1823" s="19" t="e">
        <f>VLOOKUP(A1823,[4]Volume!$E:$G,3,FALSE)</f>
        <v>#N/A</v>
      </c>
      <c r="U1823" s="19" t="e">
        <f>VLOOKUP(A1823,[4]Piece!$E:$G,3,FALSE)</f>
        <v>#N/A</v>
      </c>
      <c r="V1823" s="21" t="e">
        <f t="shared" si="114"/>
        <v>#N/A</v>
      </c>
      <c r="W1823" s="16" t="e">
        <f t="shared" si="115"/>
        <v>#N/A</v>
      </c>
    </row>
    <row r="1824" spans="1:23" hidden="1" x14ac:dyDescent="0.3">
      <c r="A1824" s="71" t="s">
        <v>3584</v>
      </c>
      <c r="B1824" s="71" t="s">
        <v>3584</v>
      </c>
      <c r="C1824" s="47" t="s">
        <v>33</v>
      </c>
      <c r="D1824" s="48" t="s">
        <v>34</v>
      </c>
      <c r="E1824" s="18" t="s">
        <v>3585</v>
      </c>
      <c r="F1824" s="24" t="str">
        <f t="shared" si="112"/>
        <v>PPG - OSMO  NATURAL OIL  LARCH 702  0000001250</v>
      </c>
      <c r="G1824" s="20" t="s">
        <v>6694</v>
      </c>
      <c r="H1824" s="49" t="s">
        <v>213</v>
      </c>
      <c r="I1824" s="18" t="s">
        <v>37</v>
      </c>
      <c r="J1824" s="18" t="s">
        <v>38</v>
      </c>
      <c r="K1824" t="s">
        <v>39</v>
      </c>
      <c r="L1824" s="50">
        <f>VLOOKUP(A1824,'[3]Price info'!A:D,4,FALSE)</f>
        <v>94.65</v>
      </c>
      <c r="M1824" s="18" t="s">
        <v>214</v>
      </c>
      <c r="N1824" s="20">
        <v>3105</v>
      </c>
      <c r="P1824" s="16">
        <f>VLOOKUP(A1824,'[3]Price info'!A:H,8,FALSE)</f>
        <v>94.65</v>
      </c>
      <c r="Q1824" s="17">
        <f t="shared" si="113"/>
        <v>1</v>
      </c>
      <c r="S1824" s="16">
        <f>VLOOKUP(A1824,[4]Sales!$E:$G,3,FALSE)</f>
        <v>283.95000000000005</v>
      </c>
      <c r="T1824" s="19">
        <f>VLOOKUP(A1824,[4]Volume!$E:$G,3,FALSE)</f>
        <v>7.5</v>
      </c>
      <c r="U1824" s="19">
        <f>VLOOKUP(A1824,[4]Piece!$E:$G,3,FALSE)</f>
        <v>3</v>
      </c>
      <c r="V1824" s="21">
        <f t="shared" si="114"/>
        <v>283.95000000000005</v>
      </c>
      <c r="W1824" s="16">
        <f t="shared" si="115"/>
        <v>0</v>
      </c>
    </row>
    <row r="1825" spans="1:23" hidden="1" x14ac:dyDescent="0.3">
      <c r="A1825" s="71" t="s">
        <v>3586</v>
      </c>
      <c r="B1825" s="71" t="s">
        <v>3586</v>
      </c>
      <c r="C1825" s="47" t="s">
        <v>33</v>
      </c>
      <c r="D1825" s="48" t="s">
        <v>34</v>
      </c>
      <c r="E1825" s="18" t="s">
        <v>3587</v>
      </c>
      <c r="F1825" s="24" t="str">
        <f t="shared" si="112"/>
        <v>PPG - OSMO  NATURAL OIL  WHITE      0000001250</v>
      </c>
      <c r="G1825" s="20" t="s">
        <v>6695</v>
      </c>
      <c r="H1825" s="49" t="s">
        <v>213</v>
      </c>
      <c r="I1825" s="18" t="s">
        <v>37</v>
      </c>
      <c r="J1825" s="18" t="s">
        <v>38</v>
      </c>
      <c r="K1825" t="s">
        <v>39</v>
      </c>
      <c r="L1825" s="50">
        <f>VLOOKUP(A1825,'[3]Price info'!A:D,4,FALSE)</f>
        <v>79.64</v>
      </c>
      <c r="M1825" s="18" t="s">
        <v>214</v>
      </c>
      <c r="N1825" s="20">
        <v>3105</v>
      </c>
      <c r="P1825" s="16">
        <f>VLOOKUP(A1825,'[3]Price info'!A:H,8,FALSE)</f>
        <v>79.64</v>
      </c>
      <c r="Q1825" s="17">
        <f t="shared" si="113"/>
        <v>1</v>
      </c>
      <c r="S1825" s="16" t="e">
        <f>VLOOKUP(A1825,[4]Sales!$E:$G,3,FALSE)</f>
        <v>#N/A</v>
      </c>
      <c r="T1825" s="19" t="e">
        <f>VLOOKUP(A1825,[4]Volume!$E:$G,3,FALSE)</f>
        <v>#N/A</v>
      </c>
      <c r="U1825" s="19" t="e">
        <f>VLOOKUP(A1825,[4]Piece!$E:$G,3,FALSE)</f>
        <v>#N/A</v>
      </c>
      <c r="V1825" s="21" t="e">
        <f t="shared" si="114"/>
        <v>#N/A</v>
      </c>
      <c r="W1825" s="16" t="e">
        <f t="shared" si="115"/>
        <v>#N/A</v>
      </c>
    </row>
    <row r="1826" spans="1:23" hidden="1" x14ac:dyDescent="0.3">
      <c r="A1826" s="71" t="s">
        <v>3588</v>
      </c>
      <c r="B1826" s="71" t="s">
        <v>3588</v>
      </c>
      <c r="C1826" s="51" t="s">
        <v>33</v>
      </c>
      <c r="D1826" s="48" t="s">
        <v>34</v>
      </c>
      <c r="E1826" s="18" t="s">
        <v>3589</v>
      </c>
      <c r="F1826" s="24" t="str">
        <f t="shared" si="112"/>
        <v>PPG - OSMO  OPAQUE GLOSS WHIT 2104D 0000001250</v>
      </c>
      <c r="G1826" s="20" t="s">
        <v>6696</v>
      </c>
      <c r="H1826" s="49" t="s">
        <v>213</v>
      </c>
      <c r="I1826" s="18" t="s">
        <v>37</v>
      </c>
      <c r="J1826" s="18" t="s">
        <v>38</v>
      </c>
      <c r="K1826" t="s">
        <v>39</v>
      </c>
      <c r="L1826" s="50">
        <f>VLOOKUP(A1826,'[3]Price info'!A:D,4,FALSE)</f>
        <v>101.54</v>
      </c>
      <c r="M1826" s="18" t="s">
        <v>214</v>
      </c>
      <c r="N1826" s="20">
        <v>3105</v>
      </c>
      <c r="P1826" s="16">
        <f>VLOOKUP(A1826,'[3]Price info'!A:H,8,FALSE)</f>
        <v>101.54</v>
      </c>
      <c r="Q1826" s="17">
        <f t="shared" si="113"/>
        <v>1</v>
      </c>
      <c r="S1826" s="16" t="e">
        <f>VLOOKUP(A1826,[4]Sales!$E:$G,3,FALSE)</f>
        <v>#N/A</v>
      </c>
      <c r="T1826" s="19" t="e">
        <f>VLOOKUP(A1826,[4]Volume!$E:$G,3,FALSE)</f>
        <v>#N/A</v>
      </c>
      <c r="U1826" s="19" t="e">
        <f>VLOOKUP(A1826,[4]Piece!$E:$G,3,FALSE)</f>
        <v>#N/A</v>
      </c>
      <c r="V1826" s="21" t="e">
        <f t="shared" si="114"/>
        <v>#N/A</v>
      </c>
      <c r="W1826" s="16" t="e">
        <f t="shared" si="115"/>
        <v>#N/A</v>
      </c>
    </row>
    <row r="1827" spans="1:23" hidden="1" x14ac:dyDescent="0.3">
      <c r="A1827" s="71" t="s">
        <v>3590</v>
      </c>
      <c r="B1827" s="71" t="s">
        <v>3590</v>
      </c>
      <c r="C1827" s="47" t="s">
        <v>33</v>
      </c>
      <c r="D1827" s="48" t="s">
        <v>34</v>
      </c>
      <c r="E1827" s="18" t="s">
        <v>3591</v>
      </c>
      <c r="F1827" s="24" t="str">
        <f t="shared" si="112"/>
        <v>PPG - OSMO  OSMO DECKOIL GARAPA 013 0000001250</v>
      </c>
      <c r="G1827" s="20" t="s">
        <v>6697</v>
      </c>
      <c r="H1827" s="49" t="s">
        <v>213</v>
      </c>
      <c r="I1827" s="18" t="s">
        <v>37</v>
      </c>
      <c r="J1827" s="18" t="s">
        <v>38</v>
      </c>
      <c r="K1827" t="s">
        <v>39</v>
      </c>
      <c r="L1827" s="50">
        <f>VLOOKUP(A1827,'[3]Price info'!A:D,4,FALSE)</f>
        <v>65.52</v>
      </c>
      <c r="M1827" s="18" t="s">
        <v>214</v>
      </c>
      <c r="N1827" s="20">
        <v>3105</v>
      </c>
      <c r="P1827" s="16">
        <f>VLOOKUP(A1827,'[3]Price info'!A:H,8,FALSE)</f>
        <v>65.52</v>
      </c>
      <c r="Q1827" s="17">
        <f t="shared" si="113"/>
        <v>1</v>
      </c>
      <c r="S1827" s="16" t="e">
        <f>VLOOKUP(A1827,[4]Sales!$E:$G,3,FALSE)</f>
        <v>#N/A</v>
      </c>
      <c r="T1827" s="19" t="e">
        <f>VLOOKUP(A1827,[4]Volume!$E:$G,3,FALSE)</f>
        <v>#N/A</v>
      </c>
      <c r="U1827" s="19" t="e">
        <f>VLOOKUP(A1827,[4]Piece!$E:$G,3,FALSE)</f>
        <v>#N/A</v>
      </c>
      <c r="V1827" s="21" t="e">
        <f t="shared" si="114"/>
        <v>#N/A</v>
      </c>
      <c r="W1827" s="16" t="e">
        <f t="shared" si="115"/>
        <v>#N/A</v>
      </c>
    </row>
    <row r="1828" spans="1:23" hidden="1" x14ac:dyDescent="0.3">
      <c r="A1828" s="71" t="s">
        <v>3592</v>
      </c>
      <c r="B1828" s="71" t="s">
        <v>3592</v>
      </c>
      <c r="C1828" s="47" t="s">
        <v>33</v>
      </c>
      <c r="D1828" s="48" t="s">
        <v>34</v>
      </c>
      <c r="E1828" s="18" t="s">
        <v>3593</v>
      </c>
      <c r="F1828" s="24" t="str">
        <f t="shared" si="112"/>
        <v>PPG - OSMO  POLYX H/WAX  OIL MATT   0000000750</v>
      </c>
      <c r="G1828" s="20" t="s">
        <v>6698</v>
      </c>
      <c r="H1828" s="49" t="s">
        <v>213</v>
      </c>
      <c r="I1828" s="18" t="s">
        <v>37</v>
      </c>
      <c r="J1828" s="18" t="s">
        <v>38</v>
      </c>
      <c r="K1828" t="s">
        <v>39</v>
      </c>
      <c r="L1828" s="50">
        <f>VLOOKUP(A1828,'[3]Price info'!A:D,4,FALSE)</f>
        <v>35.71</v>
      </c>
      <c r="M1828" s="18" t="s">
        <v>214</v>
      </c>
      <c r="N1828" s="20">
        <v>3105</v>
      </c>
      <c r="P1828" s="16">
        <f>VLOOKUP(A1828,'[3]Price info'!A:H,8,FALSE)</f>
        <v>35.71</v>
      </c>
      <c r="Q1828" s="17">
        <f t="shared" si="113"/>
        <v>1</v>
      </c>
      <c r="S1828" s="16" t="e">
        <f>VLOOKUP(A1828,[4]Sales!$E:$G,3,FALSE)</f>
        <v>#N/A</v>
      </c>
      <c r="T1828" s="19" t="e">
        <f>VLOOKUP(A1828,[4]Volume!$E:$G,3,FALSE)</f>
        <v>#N/A</v>
      </c>
      <c r="U1828" s="19" t="e">
        <f>VLOOKUP(A1828,[4]Piece!$E:$G,3,FALSE)</f>
        <v>#N/A</v>
      </c>
      <c r="V1828" s="21" t="e">
        <f t="shared" si="114"/>
        <v>#N/A</v>
      </c>
      <c r="W1828" s="16" t="e">
        <f t="shared" si="115"/>
        <v>#N/A</v>
      </c>
    </row>
    <row r="1829" spans="1:23" hidden="1" x14ac:dyDescent="0.3">
      <c r="A1829" s="71" t="s">
        <v>3594</v>
      </c>
      <c r="B1829" s="71" t="s">
        <v>3594</v>
      </c>
      <c r="C1829" s="51" t="s">
        <v>33</v>
      </c>
      <c r="D1829" s="48" t="s">
        <v>34</v>
      </c>
      <c r="E1829" s="18" t="s">
        <v>3595</v>
      </c>
      <c r="F1829" s="24" t="str">
        <f t="shared" si="112"/>
        <v>PPG - OSMO  POLYX H/WAX  OIL MATT   0000001250</v>
      </c>
      <c r="G1829" s="20" t="s">
        <v>6699</v>
      </c>
      <c r="H1829" s="49" t="s">
        <v>213</v>
      </c>
      <c r="I1829" s="18" t="s">
        <v>37</v>
      </c>
      <c r="J1829" s="18" t="s">
        <v>38</v>
      </c>
      <c r="K1829" t="s">
        <v>39</v>
      </c>
      <c r="L1829" s="50">
        <f>VLOOKUP(A1829,'[3]Price info'!A:D,4,FALSE)</f>
        <v>115.39</v>
      </c>
      <c r="M1829" s="18" t="s">
        <v>214</v>
      </c>
      <c r="N1829" s="20">
        <v>3105</v>
      </c>
      <c r="P1829" s="16">
        <f>VLOOKUP(A1829,'[3]Price info'!A:H,8,FALSE)</f>
        <v>115.39</v>
      </c>
      <c r="Q1829" s="17">
        <f t="shared" si="113"/>
        <v>1</v>
      </c>
      <c r="S1829" s="16" t="e">
        <f>VLOOKUP(A1829,[4]Sales!$E:$G,3,FALSE)</f>
        <v>#N/A</v>
      </c>
      <c r="T1829" s="19" t="e">
        <f>VLOOKUP(A1829,[4]Volume!$E:$G,3,FALSE)</f>
        <v>#N/A</v>
      </c>
      <c r="U1829" s="19" t="e">
        <f>VLOOKUP(A1829,[4]Piece!$E:$G,3,FALSE)</f>
        <v>#N/A</v>
      </c>
      <c r="V1829" s="21" t="e">
        <f t="shared" si="114"/>
        <v>#N/A</v>
      </c>
      <c r="W1829" s="16" t="e">
        <f t="shared" si="115"/>
        <v>#N/A</v>
      </c>
    </row>
    <row r="1830" spans="1:23" hidden="1" x14ac:dyDescent="0.3">
      <c r="A1830" s="71" t="s">
        <v>3596</v>
      </c>
      <c r="B1830" s="71" t="s">
        <v>3596</v>
      </c>
      <c r="C1830" s="47" t="s">
        <v>33</v>
      </c>
      <c r="D1830" s="48" t="s">
        <v>34</v>
      </c>
      <c r="E1830" s="18" t="s">
        <v>3597</v>
      </c>
      <c r="F1830" s="24" t="str">
        <f t="shared" si="112"/>
        <v>PPG - OSMO  POLYX H/WAX  OIL SATIN  0000000750</v>
      </c>
      <c r="G1830" s="20" t="s">
        <v>6700</v>
      </c>
      <c r="H1830" s="49" t="s">
        <v>213</v>
      </c>
      <c r="I1830" s="18" t="s">
        <v>37</v>
      </c>
      <c r="J1830" s="18" t="s">
        <v>38</v>
      </c>
      <c r="K1830" t="s">
        <v>39</v>
      </c>
      <c r="L1830" s="50">
        <f>VLOOKUP(A1830,'[3]Price info'!A:D,4,FALSE)</f>
        <v>35.71</v>
      </c>
      <c r="M1830" s="18" t="s">
        <v>214</v>
      </c>
      <c r="N1830" s="20">
        <v>3105</v>
      </c>
      <c r="P1830" s="16">
        <f>VLOOKUP(A1830,'[3]Price info'!A:H,8,FALSE)</f>
        <v>35.71</v>
      </c>
      <c r="Q1830" s="17">
        <f t="shared" si="113"/>
        <v>1</v>
      </c>
      <c r="S1830" s="16" t="e">
        <f>VLOOKUP(A1830,[4]Sales!$E:$G,3,FALSE)</f>
        <v>#N/A</v>
      </c>
      <c r="T1830" s="19" t="e">
        <f>VLOOKUP(A1830,[4]Volume!$E:$G,3,FALSE)</f>
        <v>#N/A</v>
      </c>
      <c r="U1830" s="19" t="e">
        <f>VLOOKUP(A1830,[4]Piece!$E:$G,3,FALSE)</f>
        <v>#N/A</v>
      </c>
      <c r="V1830" s="21" t="e">
        <f t="shared" si="114"/>
        <v>#N/A</v>
      </c>
      <c r="W1830" s="16" t="e">
        <f t="shared" si="115"/>
        <v>#N/A</v>
      </c>
    </row>
    <row r="1831" spans="1:23" hidden="1" x14ac:dyDescent="0.3">
      <c r="A1831" s="71" t="s">
        <v>3598</v>
      </c>
      <c r="B1831" s="71" t="s">
        <v>3598</v>
      </c>
      <c r="C1831" s="47" t="s">
        <v>33</v>
      </c>
      <c r="D1831" s="48" t="s">
        <v>34</v>
      </c>
      <c r="E1831" s="18" t="s">
        <v>3599</v>
      </c>
      <c r="F1831" s="24" t="str">
        <f t="shared" si="112"/>
        <v>PPG - OSMO  POLYX H/WAX  OIL SATIN  0000001250</v>
      </c>
      <c r="G1831" s="20" t="s">
        <v>6701</v>
      </c>
      <c r="H1831" s="49" t="s">
        <v>213</v>
      </c>
      <c r="I1831" s="18" t="s">
        <v>37</v>
      </c>
      <c r="J1831" s="18" t="s">
        <v>38</v>
      </c>
      <c r="K1831" t="s">
        <v>39</v>
      </c>
      <c r="L1831" s="50">
        <f>VLOOKUP(A1831,'[3]Price info'!A:D,4,FALSE)</f>
        <v>115.39</v>
      </c>
      <c r="M1831" s="18" t="s">
        <v>214</v>
      </c>
      <c r="N1831" s="20">
        <v>3105</v>
      </c>
      <c r="P1831" s="16">
        <f>VLOOKUP(A1831,'[3]Price info'!A:H,8,FALSE)</f>
        <v>115.39</v>
      </c>
      <c r="Q1831" s="17">
        <f t="shared" si="113"/>
        <v>1</v>
      </c>
      <c r="S1831" s="16" t="e">
        <f>VLOOKUP(A1831,[4]Sales!$E:$G,3,FALSE)</f>
        <v>#N/A</v>
      </c>
      <c r="T1831" s="19" t="e">
        <f>VLOOKUP(A1831,[4]Volume!$E:$G,3,FALSE)</f>
        <v>#N/A</v>
      </c>
      <c r="U1831" s="19" t="e">
        <f>VLOOKUP(A1831,[4]Piece!$E:$G,3,FALSE)</f>
        <v>#N/A</v>
      </c>
      <c r="V1831" s="21" t="e">
        <f t="shared" si="114"/>
        <v>#N/A</v>
      </c>
      <c r="W1831" s="16" t="e">
        <f t="shared" si="115"/>
        <v>#N/A</v>
      </c>
    </row>
    <row r="1832" spans="1:23" hidden="1" x14ac:dyDescent="0.3">
      <c r="A1832" s="71" t="s">
        <v>3600</v>
      </c>
      <c r="B1832" s="71" t="s">
        <v>3600</v>
      </c>
      <c r="C1832" s="51" t="s">
        <v>33</v>
      </c>
      <c r="D1832" s="48" t="s">
        <v>34</v>
      </c>
      <c r="E1832" s="18" t="s">
        <v>3601</v>
      </c>
      <c r="F1832" s="24" t="str">
        <f t="shared" si="112"/>
        <v>PPG - OSMO  POLYX OIL    3073 TERRA 0000000125</v>
      </c>
      <c r="G1832" s="20" t="s">
        <v>6702</v>
      </c>
      <c r="H1832" s="49" t="s">
        <v>213</v>
      </c>
      <c r="I1832" s="18" t="s">
        <v>37</v>
      </c>
      <c r="J1832" s="18" t="s">
        <v>38</v>
      </c>
      <c r="K1832" t="s">
        <v>39</v>
      </c>
      <c r="L1832" s="50">
        <f>VLOOKUP(A1832,'[3]Price info'!A:D,4,FALSE)</f>
        <v>11.56</v>
      </c>
      <c r="M1832" s="18" t="s">
        <v>214</v>
      </c>
      <c r="N1832" s="20">
        <v>3105</v>
      </c>
      <c r="P1832" s="16">
        <f>VLOOKUP(A1832,'[3]Price info'!A:H,8,FALSE)</f>
        <v>11.56</v>
      </c>
      <c r="Q1832" s="17">
        <f t="shared" si="113"/>
        <v>1</v>
      </c>
      <c r="S1832" s="16" t="e">
        <f>VLOOKUP(A1832,[4]Sales!$E:$G,3,FALSE)</f>
        <v>#N/A</v>
      </c>
      <c r="T1832" s="19" t="e">
        <f>VLOOKUP(A1832,[4]Volume!$E:$G,3,FALSE)</f>
        <v>#N/A</v>
      </c>
      <c r="U1832" s="19" t="e">
        <f>VLOOKUP(A1832,[4]Piece!$E:$G,3,FALSE)</f>
        <v>#N/A</v>
      </c>
      <c r="V1832" s="21" t="e">
        <f t="shared" si="114"/>
        <v>#N/A</v>
      </c>
      <c r="W1832" s="16" t="e">
        <f t="shared" si="115"/>
        <v>#N/A</v>
      </c>
    </row>
    <row r="1833" spans="1:23" hidden="1" x14ac:dyDescent="0.3">
      <c r="A1833" s="71" t="s">
        <v>3602</v>
      </c>
      <c r="B1833" s="71" t="s">
        <v>3602</v>
      </c>
      <c r="C1833" s="47" t="s">
        <v>33</v>
      </c>
      <c r="D1833" s="48" t="s">
        <v>34</v>
      </c>
      <c r="E1833" s="18" t="s">
        <v>3603</v>
      </c>
      <c r="F1833" s="24" t="str">
        <f t="shared" si="112"/>
        <v>PPG - OSMO  POLYX OIL    BLACK      0000000750</v>
      </c>
      <c r="G1833" s="20" t="s">
        <v>6703</v>
      </c>
      <c r="H1833" s="49" t="s">
        <v>213</v>
      </c>
      <c r="I1833" s="18" t="s">
        <v>37</v>
      </c>
      <c r="J1833" s="18" t="s">
        <v>38</v>
      </c>
      <c r="K1833" t="s">
        <v>39</v>
      </c>
      <c r="L1833" s="50">
        <f>VLOOKUP(A1833,'[3]Price info'!A:D,4,FALSE)</f>
        <v>32.35</v>
      </c>
      <c r="M1833" s="18" t="s">
        <v>214</v>
      </c>
      <c r="N1833" s="20">
        <v>3105</v>
      </c>
      <c r="P1833" s="16">
        <f>VLOOKUP(A1833,'[3]Price info'!A:H,8,FALSE)</f>
        <v>32.35</v>
      </c>
      <c r="Q1833" s="17">
        <f t="shared" si="113"/>
        <v>1</v>
      </c>
      <c r="S1833" s="16" t="e">
        <f>VLOOKUP(A1833,[4]Sales!$E:$G,3,FALSE)</f>
        <v>#N/A</v>
      </c>
      <c r="T1833" s="19" t="e">
        <f>VLOOKUP(A1833,[4]Volume!$E:$G,3,FALSE)</f>
        <v>#N/A</v>
      </c>
      <c r="U1833" s="19" t="e">
        <f>VLOOKUP(A1833,[4]Piece!$E:$G,3,FALSE)</f>
        <v>#N/A</v>
      </c>
      <c r="V1833" s="21" t="e">
        <f t="shared" si="114"/>
        <v>#N/A</v>
      </c>
      <c r="W1833" s="16" t="e">
        <f t="shared" si="115"/>
        <v>#N/A</v>
      </c>
    </row>
    <row r="1834" spans="1:23" hidden="1" x14ac:dyDescent="0.3">
      <c r="A1834" s="71" t="s">
        <v>3604</v>
      </c>
      <c r="B1834" s="71" t="s">
        <v>3604</v>
      </c>
      <c r="C1834" s="47" t="s">
        <v>33</v>
      </c>
      <c r="D1834" s="48" t="s">
        <v>34</v>
      </c>
      <c r="E1834" s="18" t="s">
        <v>3605</v>
      </c>
      <c r="F1834" s="24" t="str">
        <f t="shared" si="112"/>
        <v>PPG - OSMO  POLYX OIL    BLACK      0000001100</v>
      </c>
      <c r="G1834" s="20" t="s">
        <v>6704</v>
      </c>
      <c r="H1834" s="49" t="s">
        <v>213</v>
      </c>
      <c r="I1834" s="18" t="s">
        <v>37</v>
      </c>
      <c r="J1834" s="18" t="s">
        <v>38</v>
      </c>
      <c r="K1834" t="s">
        <v>39</v>
      </c>
      <c r="L1834" s="50">
        <f>VLOOKUP(A1834,'[3]Price info'!A:D,4,FALSE)</f>
        <v>1.26</v>
      </c>
      <c r="M1834" s="18" t="s">
        <v>214</v>
      </c>
      <c r="N1834" s="20">
        <v>3105</v>
      </c>
      <c r="P1834" s="16">
        <f>VLOOKUP(A1834,'[3]Price info'!A:H,8,FALSE)</f>
        <v>1.26</v>
      </c>
      <c r="Q1834" s="17">
        <f t="shared" si="113"/>
        <v>1</v>
      </c>
      <c r="S1834" s="16" t="e">
        <f>VLOOKUP(A1834,[4]Sales!$E:$G,3,FALSE)</f>
        <v>#N/A</v>
      </c>
      <c r="T1834" s="19" t="e">
        <f>VLOOKUP(A1834,[4]Volume!$E:$G,3,FALSE)</f>
        <v>#N/A</v>
      </c>
      <c r="U1834" s="19" t="e">
        <f>VLOOKUP(A1834,[4]Piece!$E:$G,3,FALSE)</f>
        <v>#N/A</v>
      </c>
      <c r="V1834" s="21" t="e">
        <f t="shared" si="114"/>
        <v>#N/A</v>
      </c>
      <c r="W1834" s="16" t="e">
        <f t="shared" si="115"/>
        <v>#N/A</v>
      </c>
    </row>
    <row r="1835" spans="1:23" hidden="1" x14ac:dyDescent="0.3">
      <c r="A1835" s="71" t="s">
        <v>3606</v>
      </c>
      <c r="B1835" s="71" t="s">
        <v>3606</v>
      </c>
      <c r="C1835" s="51" t="s">
        <v>33</v>
      </c>
      <c r="D1835" s="48" t="s">
        <v>34</v>
      </c>
      <c r="E1835" s="18" t="s">
        <v>3607</v>
      </c>
      <c r="F1835" s="24" t="str">
        <f t="shared" si="112"/>
        <v>PPG - OSMO  POLYX OIL    CLR SAT 0000000750</v>
      </c>
      <c r="G1835" s="20" t="s">
        <v>6705</v>
      </c>
      <c r="H1835" s="49" t="s">
        <v>213</v>
      </c>
      <c r="I1835" s="18" t="s">
        <v>37</v>
      </c>
      <c r="J1835" s="18" t="s">
        <v>38</v>
      </c>
      <c r="K1835" t="s">
        <v>39</v>
      </c>
      <c r="L1835" s="50">
        <f>VLOOKUP(A1835,'[3]Price info'!A:D,4,FALSE)</f>
        <v>29.18</v>
      </c>
      <c r="M1835" s="18" t="s">
        <v>214</v>
      </c>
      <c r="N1835" s="20">
        <v>3105</v>
      </c>
      <c r="P1835" s="16">
        <f>VLOOKUP(A1835,'[3]Price info'!A:H,8,FALSE)</f>
        <v>29.18</v>
      </c>
      <c r="Q1835" s="17">
        <f t="shared" si="113"/>
        <v>1</v>
      </c>
      <c r="S1835" s="16">
        <f>VLOOKUP(A1835,[4]Sales!$E:$G,3,FALSE)</f>
        <v>34.32</v>
      </c>
      <c r="T1835" s="19">
        <f>VLOOKUP(A1835,[4]Volume!$E:$G,3,FALSE)</f>
        <v>0.75</v>
      </c>
      <c r="U1835" s="19">
        <f>VLOOKUP(A1835,[4]Piece!$E:$G,3,FALSE)</f>
        <v>1</v>
      </c>
      <c r="V1835" s="21">
        <f t="shared" si="114"/>
        <v>29.18</v>
      </c>
      <c r="W1835" s="16">
        <f t="shared" si="115"/>
        <v>-5.1400000000000006</v>
      </c>
    </row>
    <row r="1836" spans="1:23" hidden="1" x14ac:dyDescent="0.3">
      <c r="A1836" s="71" t="s">
        <v>3608</v>
      </c>
      <c r="B1836" s="71" t="s">
        <v>3608</v>
      </c>
      <c r="C1836" s="47" t="s">
        <v>33</v>
      </c>
      <c r="D1836" s="48" t="s">
        <v>34</v>
      </c>
      <c r="E1836" s="18" t="s">
        <v>3609</v>
      </c>
      <c r="F1836" s="24" t="str">
        <f t="shared" si="112"/>
        <v>PPG - OSMO  POLYX OIL    GRAPHITE   0000000750</v>
      </c>
      <c r="G1836" s="20" t="s">
        <v>6706</v>
      </c>
      <c r="H1836" s="49" t="s">
        <v>213</v>
      </c>
      <c r="I1836" s="18" t="s">
        <v>37</v>
      </c>
      <c r="J1836" s="18" t="s">
        <v>38</v>
      </c>
      <c r="K1836" t="s">
        <v>39</v>
      </c>
      <c r="L1836" s="50">
        <f>VLOOKUP(A1836,'[3]Price info'!A:D,4,FALSE)</f>
        <v>31.67</v>
      </c>
      <c r="M1836" s="18" t="s">
        <v>214</v>
      </c>
      <c r="N1836" s="20">
        <v>3105</v>
      </c>
      <c r="P1836" s="16">
        <f>VLOOKUP(A1836,'[3]Price info'!A:H,8,FALSE)</f>
        <v>31.67</v>
      </c>
      <c r="Q1836" s="17">
        <f t="shared" si="113"/>
        <v>1</v>
      </c>
      <c r="S1836" s="16" t="e">
        <f>VLOOKUP(A1836,[4]Sales!$E:$G,3,FALSE)</f>
        <v>#N/A</v>
      </c>
      <c r="T1836" s="19" t="e">
        <f>VLOOKUP(A1836,[4]Volume!$E:$G,3,FALSE)</f>
        <v>#N/A</v>
      </c>
      <c r="U1836" s="19" t="e">
        <f>VLOOKUP(A1836,[4]Piece!$E:$G,3,FALSE)</f>
        <v>#N/A</v>
      </c>
      <c r="V1836" s="21" t="e">
        <f t="shared" si="114"/>
        <v>#N/A</v>
      </c>
      <c r="W1836" s="16" t="e">
        <f t="shared" si="115"/>
        <v>#N/A</v>
      </c>
    </row>
    <row r="1837" spans="1:23" hidden="1" x14ac:dyDescent="0.3">
      <c r="A1837" s="71" t="s">
        <v>3610</v>
      </c>
      <c r="B1837" s="71" t="s">
        <v>3610</v>
      </c>
      <c r="C1837" s="47" t="s">
        <v>33</v>
      </c>
      <c r="D1837" s="48" t="s">
        <v>34</v>
      </c>
      <c r="E1837" s="18" t="s">
        <v>3611</v>
      </c>
      <c r="F1837" s="24" t="str">
        <f t="shared" si="112"/>
        <v>PPG - OSMO  POLYX OIL    HONEY      0000001250</v>
      </c>
      <c r="G1837" s="20" t="s">
        <v>6707</v>
      </c>
      <c r="H1837" s="49" t="s">
        <v>213</v>
      </c>
      <c r="I1837" s="18" t="s">
        <v>37</v>
      </c>
      <c r="J1837" s="18" t="s">
        <v>38</v>
      </c>
      <c r="K1837" t="s">
        <v>39</v>
      </c>
      <c r="L1837" s="50">
        <f>VLOOKUP(A1837,'[3]Price info'!A:D,4,FALSE)</f>
        <v>98.02</v>
      </c>
      <c r="M1837" s="18" t="s">
        <v>214</v>
      </c>
      <c r="N1837" s="20">
        <v>3105</v>
      </c>
      <c r="P1837" s="16">
        <f>VLOOKUP(A1837,'[3]Price info'!A:H,8,FALSE)</f>
        <v>98.02</v>
      </c>
      <c r="Q1837" s="17">
        <f t="shared" si="113"/>
        <v>1</v>
      </c>
      <c r="S1837" s="16" t="e">
        <f>VLOOKUP(A1837,[4]Sales!$E:$G,3,FALSE)</f>
        <v>#N/A</v>
      </c>
      <c r="T1837" s="19" t="e">
        <f>VLOOKUP(A1837,[4]Volume!$E:$G,3,FALSE)</f>
        <v>#N/A</v>
      </c>
      <c r="U1837" s="19" t="e">
        <f>VLOOKUP(A1837,[4]Piece!$E:$G,3,FALSE)</f>
        <v>#N/A</v>
      </c>
      <c r="V1837" s="21" t="e">
        <f t="shared" si="114"/>
        <v>#N/A</v>
      </c>
      <c r="W1837" s="16" t="e">
        <f t="shared" si="115"/>
        <v>#N/A</v>
      </c>
    </row>
    <row r="1838" spans="1:23" hidden="1" x14ac:dyDescent="0.3">
      <c r="A1838" s="71" t="s">
        <v>3612</v>
      </c>
      <c r="B1838" s="71" t="s">
        <v>3612</v>
      </c>
      <c r="C1838" s="51" t="s">
        <v>33</v>
      </c>
      <c r="D1838" s="48" t="s">
        <v>34</v>
      </c>
      <c r="E1838" s="18" t="s">
        <v>3613</v>
      </c>
      <c r="F1838" s="24" t="str">
        <f t="shared" si="112"/>
        <v>PPG - OSMO  POLYX OIL    MATT       0000001250</v>
      </c>
      <c r="G1838" s="20" t="s">
        <v>6708</v>
      </c>
      <c r="H1838" s="49" t="s">
        <v>213</v>
      </c>
      <c r="I1838" s="18" t="s">
        <v>37</v>
      </c>
      <c r="J1838" s="18" t="s">
        <v>38</v>
      </c>
      <c r="K1838" t="s">
        <v>39</v>
      </c>
      <c r="L1838" s="50">
        <f>VLOOKUP(A1838,'[3]Price info'!A:D,4,FALSE)</f>
        <v>81.819999999999993</v>
      </c>
      <c r="M1838" s="18" t="s">
        <v>214</v>
      </c>
      <c r="N1838" s="20">
        <v>3105</v>
      </c>
      <c r="P1838" s="16">
        <f>VLOOKUP(A1838,'[3]Price info'!A:H,8,FALSE)</f>
        <v>81.819999999999993</v>
      </c>
      <c r="Q1838" s="17">
        <f t="shared" si="113"/>
        <v>1</v>
      </c>
      <c r="S1838" s="16" t="e">
        <f>VLOOKUP(A1838,[4]Sales!$E:$G,3,FALSE)</f>
        <v>#N/A</v>
      </c>
      <c r="T1838" s="19" t="e">
        <f>VLOOKUP(A1838,[4]Volume!$E:$G,3,FALSE)</f>
        <v>#N/A</v>
      </c>
      <c r="U1838" s="19" t="e">
        <f>VLOOKUP(A1838,[4]Piece!$E:$G,3,FALSE)</f>
        <v>#N/A</v>
      </c>
      <c r="V1838" s="21" t="e">
        <f t="shared" si="114"/>
        <v>#N/A</v>
      </c>
      <c r="W1838" s="16" t="e">
        <f t="shared" si="115"/>
        <v>#N/A</v>
      </c>
    </row>
    <row r="1839" spans="1:23" hidden="1" x14ac:dyDescent="0.3">
      <c r="A1839" s="71" t="s">
        <v>3614</v>
      </c>
      <c r="B1839" s="71" t="s">
        <v>3614</v>
      </c>
      <c r="C1839" s="47" t="s">
        <v>33</v>
      </c>
      <c r="D1839" s="48" t="s">
        <v>34</v>
      </c>
      <c r="E1839" s="18" t="s">
        <v>3615</v>
      </c>
      <c r="F1839" s="24" t="str">
        <f t="shared" si="112"/>
        <v>PPG - OSMO  POLYX OIL    METALLIC   0000000125</v>
      </c>
      <c r="G1839" s="20" t="s">
        <v>6709</v>
      </c>
      <c r="H1839" s="49" t="s">
        <v>213</v>
      </c>
      <c r="I1839" s="18" t="s">
        <v>37</v>
      </c>
      <c r="J1839" s="18" t="s">
        <v>38</v>
      </c>
      <c r="K1839" t="s">
        <v>39</v>
      </c>
      <c r="L1839" s="50">
        <f>VLOOKUP(A1839,'[3]Price info'!A:D,4,FALSE)</f>
        <v>15.3</v>
      </c>
      <c r="M1839" s="18" t="s">
        <v>214</v>
      </c>
      <c r="N1839" s="20">
        <v>3105</v>
      </c>
      <c r="P1839" s="16">
        <f>VLOOKUP(A1839,'[3]Price info'!A:H,8,FALSE)</f>
        <v>15.3</v>
      </c>
      <c r="Q1839" s="17">
        <f t="shared" si="113"/>
        <v>1</v>
      </c>
      <c r="S1839" s="16" t="e">
        <f>VLOOKUP(A1839,[4]Sales!$E:$G,3,FALSE)</f>
        <v>#N/A</v>
      </c>
      <c r="T1839" s="19" t="e">
        <f>VLOOKUP(A1839,[4]Volume!$E:$G,3,FALSE)</f>
        <v>#N/A</v>
      </c>
      <c r="U1839" s="19" t="e">
        <f>VLOOKUP(A1839,[4]Piece!$E:$G,3,FALSE)</f>
        <v>#N/A</v>
      </c>
      <c r="V1839" s="21" t="e">
        <f t="shared" si="114"/>
        <v>#N/A</v>
      </c>
      <c r="W1839" s="16" t="e">
        <f t="shared" si="115"/>
        <v>#N/A</v>
      </c>
    </row>
    <row r="1840" spans="1:23" hidden="1" x14ac:dyDescent="0.3">
      <c r="A1840" s="71" t="s">
        <v>3616</v>
      </c>
      <c r="B1840" s="71" t="s">
        <v>3616</v>
      </c>
      <c r="C1840" s="47" t="s">
        <v>33</v>
      </c>
      <c r="D1840" s="48" t="s">
        <v>34</v>
      </c>
      <c r="E1840" s="18" t="s">
        <v>3617</v>
      </c>
      <c r="F1840" s="24" t="str">
        <f t="shared" si="112"/>
        <v>PPG - OSMO  POLYX OIL    SATIN      0000001250</v>
      </c>
      <c r="G1840" s="20" t="s">
        <v>6710</v>
      </c>
      <c r="H1840" s="49" t="s">
        <v>213</v>
      </c>
      <c r="I1840" s="18" t="s">
        <v>37</v>
      </c>
      <c r="J1840" s="18" t="s">
        <v>38</v>
      </c>
      <c r="K1840" t="s">
        <v>39</v>
      </c>
      <c r="L1840" s="50">
        <f>VLOOKUP(A1840,'[3]Price info'!A:D,4,FALSE)</f>
        <v>81.819999999999993</v>
      </c>
      <c r="M1840" s="18" t="s">
        <v>214</v>
      </c>
      <c r="N1840" s="20">
        <v>3105</v>
      </c>
      <c r="P1840" s="16">
        <f>VLOOKUP(A1840,'[3]Price info'!A:H,8,FALSE)</f>
        <v>81.819999999999993</v>
      </c>
      <c r="Q1840" s="17">
        <f t="shared" si="113"/>
        <v>1</v>
      </c>
      <c r="S1840" s="16">
        <f>VLOOKUP(A1840,[4]Sales!$E:$G,3,FALSE)</f>
        <v>81.819999999999993</v>
      </c>
      <c r="T1840" s="19">
        <f>VLOOKUP(A1840,[4]Volume!$E:$G,3,FALSE)</f>
        <v>2.5</v>
      </c>
      <c r="U1840" s="19">
        <f>VLOOKUP(A1840,[4]Piece!$E:$G,3,FALSE)</f>
        <v>1</v>
      </c>
      <c r="V1840" s="21">
        <f t="shared" si="114"/>
        <v>81.819999999999993</v>
      </c>
      <c r="W1840" s="16">
        <f t="shared" si="115"/>
        <v>0</v>
      </c>
    </row>
    <row r="1841" spans="1:23" hidden="1" x14ac:dyDescent="0.3">
      <c r="A1841" s="71" t="s">
        <v>3618</v>
      </c>
      <c r="B1841" s="71" t="s">
        <v>3618</v>
      </c>
      <c r="C1841" s="51" t="s">
        <v>33</v>
      </c>
      <c r="D1841" s="48" t="s">
        <v>34</v>
      </c>
      <c r="E1841" s="18" t="s">
        <v>3619</v>
      </c>
      <c r="F1841" s="24" t="str">
        <f t="shared" si="112"/>
        <v>PPG - OSMO  POLYX OIL    TINT AMBER 0000000125</v>
      </c>
      <c r="G1841" s="20" t="s">
        <v>6711</v>
      </c>
      <c r="H1841" s="49" t="s">
        <v>213</v>
      </c>
      <c r="I1841" s="18" t="s">
        <v>37</v>
      </c>
      <c r="J1841" s="18" t="s">
        <v>38</v>
      </c>
      <c r="K1841" t="s">
        <v>39</v>
      </c>
      <c r="L1841" s="50">
        <f>VLOOKUP(A1841,'[3]Price info'!A:D,4,FALSE)</f>
        <v>11.56</v>
      </c>
      <c r="M1841" s="18" t="s">
        <v>214</v>
      </c>
      <c r="N1841" s="20">
        <v>3105</v>
      </c>
      <c r="P1841" s="16">
        <f>VLOOKUP(A1841,'[3]Price info'!A:H,8,FALSE)</f>
        <v>11.56</v>
      </c>
      <c r="Q1841" s="17">
        <f t="shared" si="113"/>
        <v>1</v>
      </c>
      <c r="S1841" s="16" t="e">
        <f>VLOOKUP(A1841,[4]Sales!$E:$G,3,FALSE)</f>
        <v>#N/A</v>
      </c>
      <c r="T1841" s="19" t="e">
        <f>VLOOKUP(A1841,[4]Volume!$E:$G,3,FALSE)</f>
        <v>#N/A</v>
      </c>
      <c r="U1841" s="19" t="e">
        <f>VLOOKUP(A1841,[4]Piece!$E:$G,3,FALSE)</f>
        <v>#N/A</v>
      </c>
      <c r="V1841" s="21" t="e">
        <f t="shared" si="114"/>
        <v>#N/A</v>
      </c>
      <c r="W1841" s="16" t="e">
        <f t="shared" si="115"/>
        <v>#N/A</v>
      </c>
    </row>
    <row r="1842" spans="1:23" hidden="1" x14ac:dyDescent="0.3">
      <c r="A1842" s="71" t="s">
        <v>3620</v>
      </c>
      <c r="B1842" s="71" t="s">
        <v>3620</v>
      </c>
      <c r="C1842" s="47" t="s">
        <v>33</v>
      </c>
      <c r="D1842" s="48" t="s">
        <v>34</v>
      </c>
      <c r="E1842" s="18" t="s">
        <v>3621</v>
      </c>
      <c r="F1842" s="24" t="str">
        <f t="shared" si="112"/>
        <v>PPG - OSMO  POLYX OIL   CLR  MAT 0000750</v>
      </c>
      <c r="G1842" s="20" t="s">
        <v>6712</v>
      </c>
      <c r="H1842" s="49" t="s">
        <v>213</v>
      </c>
      <c r="I1842" s="18" t="s">
        <v>37</v>
      </c>
      <c r="J1842" s="18" t="s">
        <v>38</v>
      </c>
      <c r="K1842" t="s">
        <v>39</v>
      </c>
      <c r="L1842" s="50">
        <f>VLOOKUP(A1842,'[3]Price info'!A:D,4,FALSE)</f>
        <v>29.18</v>
      </c>
      <c r="M1842" s="18" t="s">
        <v>214</v>
      </c>
      <c r="N1842" s="20">
        <v>3105</v>
      </c>
      <c r="P1842" s="16">
        <f>VLOOKUP(A1842,'[3]Price info'!A:H,8,FALSE)</f>
        <v>29.18</v>
      </c>
      <c r="Q1842" s="17">
        <f t="shared" si="113"/>
        <v>1</v>
      </c>
      <c r="S1842" s="16" t="e">
        <f>VLOOKUP(A1842,[4]Sales!$E:$G,3,FALSE)</f>
        <v>#N/A</v>
      </c>
      <c r="T1842" s="19" t="e">
        <f>VLOOKUP(A1842,[4]Volume!$E:$G,3,FALSE)</f>
        <v>#N/A</v>
      </c>
      <c r="U1842" s="19" t="e">
        <f>VLOOKUP(A1842,[4]Piece!$E:$G,3,FALSE)</f>
        <v>#N/A</v>
      </c>
      <c r="V1842" s="21" t="e">
        <f t="shared" si="114"/>
        <v>#N/A</v>
      </c>
      <c r="W1842" s="16" t="e">
        <f t="shared" si="115"/>
        <v>#N/A</v>
      </c>
    </row>
    <row r="1843" spans="1:23" hidden="1" x14ac:dyDescent="0.3">
      <c r="A1843" s="71" t="s">
        <v>3622</v>
      </c>
      <c r="B1843" s="71" t="s">
        <v>3622</v>
      </c>
      <c r="C1843" s="47" t="s">
        <v>33</v>
      </c>
      <c r="D1843" s="48" t="s">
        <v>34</v>
      </c>
      <c r="E1843" s="18" t="s">
        <v>3623</v>
      </c>
      <c r="F1843" s="24" t="str">
        <f t="shared" si="112"/>
        <v>PPG - OSMO  POLYX OIL SM CLEAR 3065 0000001250</v>
      </c>
      <c r="G1843" s="20" t="s">
        <v>6713</v>
      </c>
      <c r="H1843" s="49" t="s">
        <v>213</v>
      </c>
      <c r="I1843" s="18" t="s">
        <v>37</v>
      </c>
      <c r="J1843" s="18" t="s">
        <v>38</v>
      </c>
      <c r="K1843" t="s">
        <v>39</v>
      </c>
      <c r="L1843" s="50">
        <f>VLOOKUP(A1843,'[3]Price info'!A:D,4,FALSE)</f>
        <v>91.8</v>
      </c>
      <c r="M1843" s="18" t="s">
        <v>214</v>
      </c>
      <c r="N1843" s="20">
        <v>3105</v>
      </c>
      <c r="P1843" s="16">
        <f>VLOOKUP(A1843,'[3]Price info'!A:H,8,FALSE)</f>
        <v>91.8</v>
      </c>
      <c r="Q1843" s="17">
        <f t="shared" si="113"/>
        <v>1</v>
      </c>
      <c r="S1843" s="16" t="e">
        <f>VLOOKUP(A1843,[4]Sales!$E:$G,3,FALSE)</f>
        <v>#N/A</v>
      </c>
      <c r="T1843" s="19" t="e">
        <f>VLOOKUP(A1843,[4]Volume!$E:$G,3,FALSE)</f>
        <v>#N/A</v>
      </c>
      <c r="U1843" s="19" t="e">
        <f>VLOOKUP(A1843,[4]Piece!$E:$G,3,FALSE)</f>
        <v>#N/A</v>
      </c>
      <c r="V1843" s="21" t="e">
        <f t="shared" si="114"/>
        <v>#N/A</v>
      </c>
      <c r="W1843" s="16" t="e">
        <f t="shared" si="115"/>
        <v>#N/A</v>
      </c>
    </row>
    <row r="1844" spans="1:23" hidden="1" x14ac:dyDescent="0.3">
      <c r="A1844" s="71" t="s">
        <v>3624</v>
      </c>
      <c r="B1844" s="71" t="s">
        <v>3624</v>
      </c>
      <c r="C1844" s="51" t="s">
        <v>33</v>
      </c>
      <c r="D1844" s="48" t="s">
        <v>34</v>
      </c>
      <c r="E1844" s="18" t="s">
        <v>3625</v>
      </c>
      <c r="F1844" s="24" t="str">
        <f t="shared" si="112"/>
        <v>PPG - OSMO  POLYX RAPID  CLR MAT  0001250</v>
      </c>
      <c r="G1844" s="20" t="s">
        <v>6714</v>
      </c>
      <c r="H1844" s="49" t="s">
        <v>213</v>
      </c>
      <c r="I1844" s="18" t="s">
        <v>37</v>
      </c>
      <c r="J1844" s="18" t="s">
        <v>38</v>
      </c>
      <c r="K1844" t="s">
        <v>39</v>
      </c>
      <c r="L1844" s="50">
        <f>VLOOKUP(A1844,'[3]Price info'!A:D,4,FALSE)</f>
        <v>90.19</v>
      </c>
      <c r="M1844" s="18" t="s">
        <v>214</v>
      </c>
      <c r="N1844" s="20">
        <v>3105</v>
      </c>
      <c r="P1844" s="16">
        <f>VLOOKUP(A1844,'[3]Price info'!A:H,8,FALSE)</f>
        <v>90.19</v>
      </c>
      <c r="Q1844" s="17">
        <f t="shared" si="113"/>
        <v>1</v>
      </c>
      <c r="S1844" s="16" t="e">
        <f>VLOOKUP(A1844,[4]Sales!$E:$G,3,FALSE)</f>
        <v>#N/A</v>
      </c>
      <c r="T1844" s="19" t="e">
        <f>VLOOKUP(A1844,[4]Volume!$E:$G,3,FALSE)</f>
        <v>#N/A</v>
      </c>
      <c r="U1844" s="19" t="e">
        <f>VLOOKUP(A1844,[4]Piece!$E:$G,3,FALSE)</f>
        <v>#N/A</v>
      </c>
      <c r="V1844" s="21" t="e">
        <f t="shared" si="114"/>
        <v>#N/A</v>
      </c>
      <c r="W1844" s="16" t="e">
        <f t="shared" si="115"/>
        <v>#N/A</v>
      </c>
    </row>
    <row r="1845" spans="1:23" hidden="1" x14ac:dyDescent="0.3">
      <c r="A1845" s="71" t="s">
        <v>3626</v>
      </c>
      <c r="B1845" s="71" t="s">
        <v>3626</v>
      </c>
      <c r="C1845" s="47" t="s">
        <v>33</v>
      </c>
      <c r="D1845" s="48" t="s">
        <v>34</v>
      </c>
      <c r="E1845" s="18" t="s">
        <v>3627</v>
      </c>
      <c r="F1845" s="24" t="str">
        <f t="shared" si="112"/>
        <v>PPG - OSMO  POLYX RAPID  CLR SAT 000001250</v>
      </c>
      <c r="G1845" s="20" t="s">
        <v>6715</v>
      </c>
      <c r="H1845" s="49" t="s">
        <v>213</v>
      </c>
      <c r="I1845" s="18" t="s">
        <v>37</v>
      </c>
      <c r="J1845" s="18" t="s">
        <v>38</v>
      </c>
      <c r="K1845" t="s">
        <v>39</v>
      </c>
      <c r="L1845" s="50">
        <f>VLOOKUP(A1845,'[3]Price info'!A:D,4,FALSE)</f>
        <v>90.19</v>
      </c>
      <c r="M1845" s="18" t="s">
        <v>214</v>
      </c>
      <c r="N1845" s="20">
        <v>3105</v>
      </c>
      <c r="P1845" s="16">
        <f>VLOOKUP(A1845,'[3]Price info'!A:H,8,FALSE)</f>
        <v>90.19</v>
      </c>
      <c r="Q1845" s="17">
        <f t="shared" si="113"/>
        <v>1</v>
      </c>
      <c r="S1845" s="16" t="e">
        <f>VLOOKUP(A1845,[4]Sales!$E:$G,3,FALSE)</f>
        <v>#N/A</v>
      </c>
      <c r="T1845" s="19" t="e">
        <f>VLOOKUP(A1845,[4]Volume!$E:$G,3,FALSE)</f>
        <v>#N/A</v>
      </c>
      <c r="U1845" s="19" t="e">
        <f>VLOOKUP(A1845,[4]Piece!$E:$G,3,FALSE)</f>
        <v>#N/A</v>
      </c>
      <c r="V1845" s="21" t="e">
        <f t="shared" si="114"/>
        <v>#N/A</v>
      </c>
      <c r="W1845" s="16" t="e">
        <f t="shared" si="115"/>
        <v>#N/A</v>
      </c>
    </row>
    <row r="1846" spans="1:23" hidden="1" x14ac:dyDescent="0.3">
      <c r="A1846" s="71" t="s">
        <v>3628</v>
      </c>
      <c r="B1846" s="71" t="s">
        <v>3628</v>
      </c>
      <c r="C1846" s="47" t="s">
        <v>33</v>
      </c>
      <c r="D1846" s="48" t="s">
        <v>34</v>
      </c>
      <c r="E1846" s="18" t="s">
        <v>3629</v>
      </c>
      <c r="F1846" s="24" t="str">
        <f t="shared" si="112"/>
        <v>PPG - OSMO  POLYX S-MATT CLEAR      0000001250</v>
      </c>
      <c r="G1846" s="20" t="s">
        <v>6716</v>
      </c>
      <c r="H1846" s="49" t="s">
        <v>213</v>
      </c>
      <c r="I1846" s="18" t="s">
        <v>37</v>
      </c>
      <c r="J1846" s="18" t="s">
        <v>38</v>
      </c>
      <c r="K1846" t="s">
        <v>39</v>
      </c>
      <c r="L1846" s="50">
        <f>VLOOKUP(A1846,'[3]Price info'!A:D,4,FALSE)</f>
        <v>96.27</v>
      </c>
      <c r="M1846" s="18" t="s">
        <v>214</v>
      </c>
      <c r="N1846" s="20">
        <v>3105</v>
      </c>
      <c r="P1846" s="16">
        <f>VLOOKUP(A1846,'[3]Price info'!A:H,8,FALSE)</f>
        <v>96.27</v>
      </c>
      <c r="Q1846" s="17">
        <f t="shared" si="113"/>
        <v>1</v>
      </c>
      <c r="S1846" s="16" t="e">
        <f>VLOOKUP(A1846,[4]Sales!$E:$G,3,FALSE)</f>
        <v>#N/A</v>
      </c>
      <c r="T1846" s="19" t="e">
        <f>VLOOKUP(A1846,[4]Volume!$E:$G,3,FALSE)</f>
        <v>#N/A</v>
      </c>
      <c r="U1846" s="19" t="e">
        <f>VLOOKUP(A1846,[4]Piece!$E:$G,3,FALSE)</f>
        <v>#N/A</v>
      </c>
      <c r="V1846" s="21" t="e">
        <f t="shared" si="114"/>
        <v>#N/A</v>
      </c>
      <c r="W1846" s="16" t="e">
        <f t="shared" si="115"/>
        <v>#N/A</v>
      </c>
    </row>
    <row r="1847" spans="1:23" hidden="1" x14ac:dyDescent="0.3">
      <c r="A1847" s="71" t="s">
        <v>3630</v>
      </c>
      <c r="B1847" s="71" t="s">
        <v>3630</v>
      </c>
      <c r="C1847" s="51" t="s">
        <v>33</v>
      </c>
      <c r="D1847" s="48" t="s">
        <v>34</v>
      </c>
      <c r="E1847" s="18" t="s">
        <v>3631</v>
      </c>
      <c r="F1847" s="24" t="str">
        <f t="shared" si="112"/>
        <v>PPG - OSMO  THERMOWOOD   OIL        0000001250</v>
      </c>
      <c r="G1847" s="20" t="s">
        <v>6717</v>
      </c>
      <c r="H1847" s="49" t="s">
        <v>213</v>
      </c>
      <c r="I1847" s="18" t="s">
        <v>37</v>
      </c>
      <c r="J1847" s="18" t="s">
        <v>38</v>
      </c>
      <c r="K1847" t="s">
        <v>39</v>
      </c>
      <c r="L1847" s="50">
        <f>VLOOKUP(A1847,'[3]Price info'!A:D,4,FALSE)</f>
        <v>68.430000000000007</v>
      </c>
      <c r="M1847" s="18" t="s">
        <v>214</v>
      </c>
      <c r="N1847" s="20">
        <v>3105</v>
      </c>
      <c r="P1847" s="16">
        <f>VLOOKUP(A1847,'[3]Price info'!A:H,8,FALSE)</f>
        <v>68.430000000000007</v>
      </c>
      <c r="Q1847" s="17">
        <f t="shared" si="113"/>
        <v>1</v>
      </c>
      <c r="S1847" s="16" t="e">
        <f>VLOOKUP(A1847,[4]Sales!$E:$G,3,FALSE)</f>
        <v>#N/A</v>
      </c>
      <c r="T1847" s="19" t="e">
        <f>VLOOKUP(A1847,[4]Volume!$E:$G,3,FALSE)</f>
        <v>#N/A</v>
      </c>
      <c r="U1847" s="19" t="e">
        <f>VLOOKUP(A1847,[4]Piece!$E:$G,3,FALSE)</f>
        <v>#N/A</v>
      </c>
      <c r="V1847" s="21" t="e">
        <f t="shared" si="114"/>
        <v>#N/A</v>
      </c>
      <c r="W1847" s="16" t="e">
        <f t="shared" si="115"/>
        <v>#N/A</v>
      </c>
    </row>
    <row r="1848" spans="1:23" hidden="1" x14ac:dyDescent="0.3">
      <c r="A1848" s="71" t="s">
        <v>3632</v>
      </c>
      <c r="B1848" s="71" t="s">
        <v>3632</v>
      </c>
      <c r="C1848" s="47" t="s">
        <v>33</v>
      </c>
      <c r="D1848" s="48" t="s">
        <v>34</v>
      </c>
      <c r="E1848" s="18" t="s">
        <v>3633</v>
      </c>
      <c r="F1848" s="24" t="str">
        <f t="shared" si="112"/>
        <v>PPG - OSMO  TOP OIL      CLEAR MATT 0000000500</v>
      </c>
      <c r="G1848" s="20" t="s">
        <v>6718</v>
      </c>
      <c r="H1848" s="49" t="s">
        <v>213</v>
      </c>
      <c r="I1848" s="18" t="s">
        <v>37</v>
      </c>
      <c r="J1848" s="18" t="s">
        <v>38</v>
      </c>
      <c r="K1848" t="s">
        <v>39</v>
      </c>
      <c r="L1848" s="50">
        <f>VLOOKUP(A1848,'[3]Price info'!A:D,4,FALSE)</f>
        <v>19.989999999999998</v>
      </c>
      <c r="M1848" s="18" t="s">
        <v>214</v>
      </c>
      <c r="N1848" s="20">
        <v>3105</v>
      </c>
      <c r="P1848" s="16">
        <f>VLOOKUP(A1848,'[3]Price info'!A:H,8,FALSE)</f>
        <v>19.989999999999998</v>
      </c>
      <c r="Q1848" s="17">
        <f t="shared" si="113"/>
        <v>1</v>
      </c>
      <c r="S1848" s="16">
        <f>VLOOKUP(A1848,[4]Sales!$E:$G,3,FALSE)</f>
        <v>19.989999999999998</v>
      </c>
      <c r="T1848" s="19">
        <f>VLOOKUP(A1848,[4]Volume!$E:$G,3,FALSE)</f>
        <v>0.5</v>
      </c>
      <c r="U1848" s="19">
        <f>VLOOKUP(A1848,[4]Piece!$E:$G,3,FALSE)</f>
        <v>1</v>
      </c>
      <c r="V1848" s="21">
        <f t="shared" si="114"/>
        <v>19.989999999999998</v>
      </c>
      <c r="W1848" s="16">
        <f t="shared" si="115"/>
        <v>0</v>
      </c>
    </row>
    <row r="1849" spans="1:23" hidden="1" x14ac:dyDescent="0.3">
      <c r="A1849" s="71" t="s">
        <v>3634</v>
      </c>
      <c r="B1849" s="71" t="s">
        <v>3634</v>
      </c>
      <c r="C1849" s="47" t="s">
        <v>33</v>
      </c>
      <c r="D1849" s="48" t="s">
        <v>34</v>
      </c>
      <c r="E1849" s="18" t="s">
        <v>3635</v>
      </c>
      <c r="F1849" s="24" t="str">
        <f t="shared" si="112"/>
        <v>PPG - OSMO  TOP OIL SAT  CLEAR      0000000500</v>
      </c>
      <c r="G1849" s="20" t="s">
        <v>6719</v>
      </c>
      <c r="H1849" s="49" t="s">
        <v>213</v>
      </c>
      <c r="I1849" s="18" t="s">
        <v>37</v>
      </c>
      <c r="J1849" s="18" t="s">
        <v>38</v>
      </c>
      <c r="K1849" t="s">
        <v>39</v>
      </c>
      <c r="L1849" s="50">
        <f>VLOOKUP(A1849,'[3]Price info'!A:D,4,FALSE)</f>
        <v>19.989999999999998</v>
      </c>
      <c r="M1849" s="18" t="s">
        <v>214</v>
      </c>
      <c r="N1849" s="20">
        <v>3105</v>
      </c>
      <c r="P1849" s="16">
        <f>VLOOKUP(A1849,'[3]Price info'!A:H,8,FALSE)</f>
        <v>19.989999999999998</v>
      </c>
      <c r="Q1849" s="17">
        <f t="shared" si="113"/>
        <v>1</v>
      </c>
      <c r="S1849" s="16" t="e">
        <f>VLOOKUP(A1849,[4]Sales!$E:$G,3,FALSE)</f>
        <v>#N/A</v>
      </c>
      <c r="T1849" s="19" t="e">
        <f>VLOOKUP(A1849,[4]Volume!$E:$G,3,FALSE)</f>
        <v>#N/A</v>
      </c>
      <c r="U1849" s="19" t="e">
        <f>VLOOKUP(A1849,[4]Piece!$E:$G,3,FALSE)</f>
        <v>#N/A</v>
      </c>
      <c r="V1849" s="21" t="e">
        <f t="shared" si="114"/>
        <v>#N/A</v>
      </c>
      <c r="W1849" s="16" t="e">
        <f t="shared" si="115"/>
        <v>#N/A</v>
      </c>
    </row>
    <row r="1850" spans="1:23" hidden="1" x14ac:dyDescent="0.3">
      <c r="A1850" s="71" t="s">
        <v>3636</v>
      </c>
      <c r="B1850" s="71" t="s">
        <v>3636</v>
      </c>
      <c r="C1850" s="51" t="s">
        <v>33</v>
      </c>
      <c r="D1850" s="48" t="s">
        <v>34</v>
      </c>
      <c r="E1850" s="18" t="s">
        <v>3637</v>
      </c>
      <c r="F1850" s="24" t="str">
        <f t="shared" si="112"/>
        <v>PPG - OSMO  UV PROT OIL  EXT SATIN/ 0000001250</v>
      </c>
      <c r="G1850" s="20" t="s">
        <v>6720</v>
      </c>
      <c r="H1850" s="49" t="s">
        <v>213</v>
      </c>
      <c r="I1850" s="18" t="s">
        <v>37</v>
      </c>
      <c r="J1850" s="18" t="s">
        <v>38</v>
      </c>
      <c r="K1850" t="s">
        <v>39</v>
      </c>
      <c r="L1850" s="50">
        <f>VLOOKUP(A1850,'[3]Price info'!A:D,4,FALSE)</f>
        <v>99.82</v>
      </c>
      <c r="M1850" s="18" t="s">
        <v>214</v>
      </c>
      <c r="N1850" s="20">
        <v>3105</v>
      </c>
      <c r="P1850" s="16">
        <f>VLOOKUP(A1850,'[3]Price info'!A:H,8,FALSE)</f>
        <v>99.82</v>
      </c>
      <c r="Q1850" s="17">
        <f t="shared" si="113"/>
        <v>1</v>
      </c>
      <c r="S1850" s="16" t="e">
        <f>VLOOKUP(A1850,[4]Sales!$E:$G,3,FALSE)</f>
        <v>#N/A</v>
      </c>
      <c r="T1850" s="19" t="e">
        <f>VLOOKUP(A1850,[4]Volume!$E:$G,3,FALSE)</f>
        <v>#N/A</v>
      </c>
      <c r="U1850" s="19" t="e">
        <f>VLOOKUP(A1850,[4]Piece!$E:$G,3,FALSE)</f>
        <v>#N/A</v>
      </c>
      <c r="V1850" s="21" t="e">
        <f t="shared" si="114"/>
        <v>#N/A</v>
      </c>
      <c r="W1850" s="16" t="e">
        <f t="shared" si="115"/>
        <v>#N/A</v>
      </c>
    </row>
    <row r="1851" spans="1:23" hidden="1" x14ac:dyDescent="0.3">
      <c r="A1851" s="71" t="s">
        <v>3638</v>
      </c>
      <c r="B1851" s="71" t="s">
        <v>3638</v>
      </c>
      <c r="C1851" s="47" t="s">
        <v>33</v>
      </c>
      <c r="D1851" s="48" t="s">
        <v>34</v>
      </c>
      <c r="E1851" s="18" t="s">
        <v>3639</v>
      </c>
      <c r="F1851" s="24" t="str">
        <f t="shared" si="112"/>
        <v>PPG - OSMO  UV PROTECT   CLEAR      4205 SACHE</v>
      </c>
      <c r="G1851" s="20" t="s">
        <v>6721</v>
      </c>
      <c r="H1851" s="49" t="s">
        <v>213</v>
      </c>
      <c r="I1851" s="18" t="s">
        <v>37</v>
      </c>
      <c r="J1851" s="18" t="s">
        <v>38</v>
      </c>
      <c r="K1851" t="s">
        <v>39</v>
      </c>
      <c r="L1851" s="50">
        <f>VLOOKUP(A1851,'[3]Price info'!A:D,4,FALSE)</f>
        <v>1.35</v>
      </c>
      <c r="M1851" s="18" t="s">
        <v>214</v>
      </c>
      <c r="N1851" s="20">
        <v>3105</v>
      </c>
      <c r="P1851" s="16">
        <f>VLOOKUP(A1851,'[3]Price info'!A:H,8,FALSE)</f>
        <v>1.35</v>
      </c>
      <c r="Q1851" s="17">
        <f t="shared" si="113"/>
        <v>1</v>
      </c>
      <c r="S1851" s="16" t="e">
        <f>VLOOKUP(A1851,[4]Sales!$E:$G,3,FALSE)</f>
        <v>#N/A</v>
      </c>
      <c r="T1851" s="19" t="e">
        <f>VLOOKUP(A1851,[4]Volume!$E:$G,3,FALSE)</f>
        <v>#N/A</v>
      </c>
      <c r="U1851" s="19" t="e">
        <f>VLOOKUP(A1851,[4]Piece!$E:$G,3,FALSE)</f>
        <v>#N/A</v>
      </c>
      <c r="V1851" s="21" t="e">
        <f t="shared" si="114"/>
        <v>#N/A</v>
      </c>
      <c r="W1851" s="16" t="e">
        <f t="shared" si="115"/>
        <v>#N/A</v>
      </c>
    </row>
    <row r="1852" spans="1:23" hidden="1" x14ac:dyDescent="0.3">
      <c r="A1852" s="71" t="s">
        <v>3640</v>
      </c>
      <c r="B1852" s="71" t="s">
        <v>3640</v>
      </c>
      <c r="C1852" s="47" t="s">
        <v>33</v>
      </c>
      <c r="D1852" s="48" t="s">
        <v>34</v>
      </c>
      <c r="E1852" s="18" t="s">
        <v>3641</v>
      </c>
      <c r="F1852" s="24" t="str">
        <f t="shared" si="112"/>
        <v>PPG - OSMO  UV PROTECT   OIL        0000001250</v>
      </c>
      <c r="G1852" s="20" t="s">
        <v>6722</v>
      </c>
      <c r="H1852" s="49" t="s">
        <v>213</v>
      </c>
      <c r="I1852" s="18" t="s">
        <v>37</v>
      </c>
      <c r="J1852" s="18" t="s">
        <v>38</v>
      </c>
      <c r="K1852" t="s">
        <v>39</v>
      </c>
      <c r="L1852" s="50">
        <f>VLOOKUP(A1852,'[3]Price info'!A:D,4,FALSE)</f>
        <v>82.27</v>
      </c>
      <c r="M1852" s="18" t="s">
        <v>214</v>
      </c>
      <c r="N1852" s="20">
        <v>3105</v>
      </c>
      <c r="P1852" s="16">
        <f>VLOOKUP(A1852,'[3]Price info'!A:H,8,FALSE)</f>
        <v>82.27</v>
      </c>
      <c r="Q1852" s="17">
        <f t="shared" si="113"/>
        <v>1</v>
      </c>
      <c r="S1852" s="16" t="e">
        <f>VLOOKUP(A1852,[4]Sales!$E:$G,3,FALSE)</f>
        <v>#N/A</v>
      </c>
      <c r="T1852" s="19" t="e">
        <f>VLOOKUP(A1852,[4]Volume!$E:$G,3,FALSE)</f>
        <v>#N/A</v>
      </c>
      <c r="U1852" s="19" t="e">
        <f>VLOOKUP(A1852,[4]Piece!$E:$G,3,FALSE)</f>
        <v>#N/A</v>
      </c>
      <c r="V1852" s="21" t="e">
        <f t="shared" si="114"/>
        <v>#N/A</v>
      </c>
      <c r="W1852" s="16" t="e">
        <f t="shared" si="115"/>
        <v>#N/A</v>
      </c>
    </row>
    <row r="1853" spans="1:23" hidden="1" x14ac:dyDescent="0.3">
      <c r="A1853" s="71" t="s">
        <v>3642</v>
      </c>
      <c r="B1853" s="71" t="s">
        <v>3642</v>
      </c>
      <c r="C1853" s="51" t="s">
        <v>33</v>
      </c>
      <c r="D1853" s="48" t="s">
        <v>34</v>
      </c>
      <c r="E1853" s="18" t="s">
        <v>3643</v>
      </c>
      <c r="F1853" s="24" t="str">
        <f t="shared" si="112"/>
        <v>PPG - OSMO  WOOD OIL     BANGKIRAL  0000001250</v>
      </c>
      <c r="G1853" s="20" t="s">
        <v>6723</v>
      </c>
      <c r="H1853" s="49" t="s">
        <v>213</v>
      </c>
      <c r="I1853" s="18" t="s">
        <v>37</v>
      </c>
      <c r="J1853" s="18" t="s">
        <v>38</v>
      </c>
      <c r="K1853" t="s">
        <v>39</v>
      </c>
      <c r="L1853" s="50">
        <f>VLOOKUP(A1853,'[3]Price info'!A:D,4,FALSE)</f>
        <v>82.65</v>
      </c>
      <c r="M1853" s="18" t="s">
        <v>214</v>
      </c>
      <c r="N1853" s="20">
        <v>3105</v>
      </c>
      <c r="P1853" s="16">
        <f>VLOOKUP(A1853,'[3]Price info'!A:H,8,FALSE)</f>
        <v>82.65</v>
      </c>
      <c r="Q1853" s="17">
        <f t="shared" si="113"/>
        <v>1</v>
      </c>
      <c r="S1853" s="16" t="e">
        <f>VLOOKUP(A1853,[4]Sales!$E:$G,3,FALSE)</f>
        <v>#N/A</v>
      </c>
      <c r="T1853" s="19" t="e">
        <f>VLOOKUP(A1853,[4]Volume!$E:$G,3,FALSE)</f>
        <v>#N/A</v>
      </c>
      <c r="U1853" s="19" t="e">
        <f>VLOOKUP(A1853,[4]Piece!$E:$G,3,FALSE)</f>
        <v>#N/A</v>
      </c>
      <c r="V1853" s="21" t="e">
        <f t="shared" si="114"/>
        <v>#N/A</v>
      </c>
      <c r="W1853" s="16" t="e">
        <f t="shared" si="115"/>
        <v>#N/A</v>
      </c>
    </row>
    <row r="1854" spans="1:23" hidden="1" x14ac:dyDescent="0.3">
      <c r="A1854" s="71" t="s">
        <v>3644</v>
      </c>
      <c r="B1854" s="71" t="s">
        <v>3644</v>
      </c>
      <c r="C1854" s="47" t="s">
        <v>33</v>
      </c>
      <c r="D1854" s="48" t="s">
        <v>34</v>
      </c>
      <c r="E1854" s="18" t="s">
        <v>3645</v>
      </c>
      <c r="F1854" s="24" t="str">
        <f t="shared" si="112"/>
        <v>PPG - OSMO  WOOD WAX     OAK ANTIQU 0000001250</v>
      </c>
      <c r="G1854" s="20" t="s">
        <v>6724</v>
      </c>
      <c r="H1854" s="49" t="s">
        <v>213</v>
      </c>
      <c r="I1854" s="18" t="s">
        <v>37</v>
      </c>
      <c r="J1854" s="18" t="s">
        <v>38</v>
      </c>
      <c r="K1854" t="s">
        <v>39</v>
      </c>
      <c r="L1854" s="50">
        <f>VLOOKUP(A1854,'[3]Price info'!A:D,4,FALSE)</f>
        <v>89.23</v>
      </c>
      <c r="M1854" s="18" t="s">
        <v>214</v>
      </c>
      <c r="N1854" s="20">
        <v>3105</v>
      </c>
      <c r="P1854" s="16">
        <f>VLOOKUP(A1854,'[3]Price info'!A:H,8,FALSE)</f>
        <v>89.23</v>
      </c>
      <c r="Q1854" s="17">
        <f t="shared" si="113"/>
        <v>1</v>
      </c>
      <c r="S1854" s="16" t="e">
        <f>VLOOKUP(A1854,[4]Sales!$E:$G,3,FALSE)</f>
        <v>#N/A</v>
      </c>
      <c r="T1854" s="19" t="e">
        <f>VLOOKUP(A1854,[4]Volume!$E:$G,3,FALSE)</f>
        <v>#N/A</v>
      </c>
      <c r="U1854" s="19" t="e">
        <f>VLOOKUP(A1854,[4]Piece!$E:$G,3,FALSE)</f>
        <v>#N/A</v>
      </c>
      <c r="V1854" s="21" t="e">
        <f t="shared" si="114"/>
        <v>#N/A</v>
      </c>
      <c r="W1854" s="16" t="e">
        <f t="shared" si="115"/>
        <v>#N/A</v>
      </c>
    </row>
    <row r="1855" spans="1:23" hidden="1" x14ac:dyDescent="0.3">
      <c r="A1855" s="71" t="s">
        <v>3646</v>
      </c>
      <c r="B1855" s="71" t="s">
        <v>3646</v>
      </c>
      <c r="C1855" s="47" t="s">
        <v>33</v>
      </c>
      <c r="D1855" s="48" t="s">
        <v>34</v>
      </c>
      <c r="E1855" s="18" t="s">
        <v>3647</v>
      </c>
      <c r="F1855" s="24" t="str">
        <f t="shared" si="112"/>
        <v>PPG - OSMO  WOODWAX TRAS WALNUT     0000001250</v>
      </c>
      <c r="G1855" s="20" t="s">
        <v>6725</v>
      </c>
      <c r="H1855" s="49" t="s">
        <v>213</v>
      </c>
      <c r="I1855" s="18" t="s">
        <v>37</v>
      </c>
      <c r="J1855" s="18" t="s">
        <v>38</v>
      </c>
      <c r="K1855" t="s">
        <v>39</v>
      </c>
      <c r="L1855" s="50">
        <f>VLOOKUP(A1855,'[3]Price info'!A:D,4,FALSE)</f>
        <v>91.13</v>
      </c>
      <c r="M1855" s="18" t="s">
        <v>214</v>
      </c>
      <c r="N1855" s="20">
        <v>3105</v>
      </c>
      <c r="P1855" s="16">
        <f>VLOOKUP(A1855,'[3]Price info'!A:H,8,FALSE)</f>
        <v>91.13</v>
      </c>
      <c r="Q1855" s="17">
        <f t="shared" si="113"/>
        <v>1</v>
      </c>
      <c r="S1855" s="16" t="e">
        <f>VLOOKUP(A1855,[4]Sales!$E:$G,3,FALSE)</f>
        <v>#N/A</v>
      </c>
      <c r="T1855" s="19" t="e">
        <f>VLOOKUP(A1855,[4]Volume!$E:$G,3,FALSE)</f>
        <v>#N/A</v>
      </c>
      <c r="U1855" s="19" t="e">
        <f>VLOOKUP(A1855,[4]Piece!$E:$G,3,FALSE)</f>
        <v>#N/A</v>
      </c>
      <c r="V1855" s="21" t="e">
        <f t="shared" si="114"/>
        <v>#N/A</v>
      </c>
      <c r="W1855" s="16" t="e">
        <f t="shared" si="115"/>
        <v>#N/A</v>
      </c>
    </row>
    <row r="1856" spans="1:23" hidden="1" x14ac:dyDescent="0.3">
      <c r="A1856" s="71" t="s">
        <v>3648</v>
      </c>
      <c r="B1856" s="71" t="s">
        <v>3648</v>
      </c>
      <c r="C1856" s="51" t="s">
        <v>33</v>
      </c>
      <c r="D1856" s="48" t="s">
        <v>34</v>
      </c>
      <c r="E1856" s="18" t="s">
        <v>3649</v>
      </c>
      <c r="F1856" s="24" t="str">
        <f t="shared" si="112"/>
        <v>PPG - OWAT  EASY SURFACE PRIMER     FFJ7SF1100</v>
      </c>
      <c r="G1856" s="20" t="s">
        <v>6726</v>
      </c>
      <c r="H1856" s="49" t="s">
        <v>213</v>
      </c>
      <c r="I1856" s="18" t="s">
        <v>37</v>
      </c>
      <c r="J1856" s="18" t="s">
        <v>38</v>
      </c>
      <c r="K1856" t="s">
        <v>39</v>
      </c>
      <c r="L1856" s="50">
        <f>VLOOKUP(A1856,'[3]Price info'!A:D,4,FALSE)</f>
        <v>22.47</v>
      </c>
      <c r="M1856" s="18" t="s">
        <v>214</v>
      </c>
      <c r="N1856" s="20">
        <v>3105</v>
      </c>
      <c r="P1856" s="16">
        <f>VLOOKUP(A1856,'[3]Price info'!A:H,8,FALSE)</f>
        <v>22.47</v>
      </c>
      <c r="Q1856" s="17">
        <f t="shared" si="113"/>
        <v>1</v>
      </c>
      <c r="S1856" s="16" t="e">
        <f>VLOOKUP(A1856,[4]Sales!$E:$G,3,FALSE)</f>
        <v>#N/A</v>
      </c>
      <c r="T1856" s="19" t="e">
        <f>VLOOKUP(A1856,[4]Volume!$E:$G,3,FALSE)</f>
        <v>#N/A</v>
      </c>
      <c r="U1856" s="19" t="e">
        <f>VLOOKUP(A1856,[4]Piece!$E:$G,3,FALSE)</f>
        <v>#N/A</v>
      </c>
      <c r="V1856" s="21" t="e">
        <f t="shared" si="114"/>
        <v>#N/A</v>
      </c>
      <c r="W1856" s="16" t="e">
        <f t="shared" si="115"/>
        <v>#N/A</v>
      </c>
    </row>
    <row r="1857" spans="1:23" hidden="1" x14ac:dyDescent="0.3">
      <c r="A1857" s="71" t="s">
        <v>3650</v>
      </c>
      <c r="B1857" s="71" t="s">
        <v>3650</v>
      </c>
      <c r="C1857" s="47" t="s">
        <v>33</v>
      </c>
      <c r="D1857" s="48" t="s">
        <v>34</v>
      </c>
      <c r="E1857" s="18" t="s">
        <v>3651</v>
      </c>
      <c r="F1857" s="24" t="str">
        <f t="shared" si="112"/>
        <v>PPG - OWAT  EMULSA BOND             FFJ7SF1100</v>
      </c>
      <c r="G1857" s="20" t="s">
        <v>6727</v>
      </c>
      <c r="H1857" s="49" t="s">
        <v>213</v>
      </c>
      <c r="I1857" s="18" t="s">
        <v>37</v>
      </c>
      <c r="J1857" s="18" t="s">
        <v>38</v>
      </c>
      <c r="K1857" t="s">
        <v>39</v>
      </c>
      <c r="L1857" s="50">
        <f>VLOOKUP(A1857,'[3]Price info'!A:D,4,FALSE)</f>
        <v>22.48</v>
      </c>
      <c r="M1857" s="18" t="s">
        <v>214</v>
      </c>
      <c r="N1857" s="20">
        <v>3105</v>
      </c>
      <c r="P1857" s="16">
        <f>VLOOKUP(A1857,'[3]Price info'!A:H,8,FALSE)</f>
        <v>22.48</v>
      </c>
      <c r="Q1857" s="17">
        <f t="shared" si="113"/>
        <v>1</v>
      </c>
      <c r="S1857" s="16" t="e">
        <f>VLOOKUP(A1857,[4]Sales!$E:$G,3,FALSE)</f>
        <v>#N/A</v>
      </c>
      <c r="T1857" s="19" t="e">
        <f>VLOOKUP(A1857,[4]Volume!$E:$G,3,FALSE)</f>
        <v>#N/A</v>
      </c>
      <c r="U1857" s="19" t="e">
        <f>VLOOKUP(A1857,[4]Piece!$E:$G,3,FALSE)</f>
        <v>#N/A</v>
      </c>
      <c r="V1857" s="21" t="e">
        <f t="shared" si="114"/>
        <v>#N/A</v>
      </c>
      <c r="W1857" s="16" t="e">
        <f t="shared" si="115"/>
        <v>#N/A</v>
      </c>
    </row>
    <row r="1858" spans="1:23" hidden="1" x14ac:dyDescent="0.3">
      <c r="A1858" s="71" t="s">
        <v>3652</v>
      </c>
      <c r="B1858" s="71" t="s">
        <v>3652</v>
      </c>
      <c r="C1858" s="47" t="s">
        <v>33</v>
      </c>
      <c r="D1858" s="48" t="s">
        <v>34</v>
      </c>
      <c r="E1858" s="18" t="s">
        <v>3653</v>
      </c>
      <c r="F1858" s="24" t="str">
        <f t="shared" si="112"/>
        <v>PPG - OWAT  EMULSA BOND             FFJ7SF1250</v>
      </c>
      <c r="G1858" s="20" t="s">
        <v>6728</v>
      </c>
      <c r="H1858" s="49" t="s">
        <v>213</v>
      </c>
      <c r="I1858" s="18" t="s">
        <v>37</v>
      </c>
      <c r="J1858" s="18" t="s">
        <v>38</v>
      </c>
      <c r="K1858" t="s">
        <v>39</v>
      </c>
      <c r="L1858" s="50">
        <f>VLOOKUP(A1858,'[3]Price info'!A:D,4,FALSE)</f>
        <v>47.47</v>
      </c>
      <c r="M1858" s="18" t="s">
        <v>214</v>
      </c>
      <c r="N1858" s="20">
        <v>3105</v>
      </c>
      <c r="P1858" s="16">
        <f>VLOOKUP(A1858,'[3]Price info'!A:H,8,FALSE)</f>
        <v>47.47</v>
      </c>
      <c r="Q1858" s="17">
        <f t="shared" si="113"/>
        <v>1</v>
      </c>
      <c r="S1858" s="16" t="e">
        <f>VLOOKUP(A1858,[4]Sales!$E:$G,3,FALSE)</f>
        <v>#N/A</v>
      </c>
      <c r="T1858" s="19" t="e">
        <f>VLOOKUP(A1858,[4]Volume!$E:$G,3,FALSE)</f>
        <v>#N/A</v>
      </c>
      <c r="U1858" s="19" t="e">
        <f>VLOOKUP(A1858,[4]Piece!$E:$G,3,FALSE)</f>
        <v>#N/A</v>
      </c>
      <c r="V1858" s="21" t="e">
        <f t="shared" si="114"/>
        <v>#N/A</v>
      </c>
      <c r="W1858" s="16" t="e">
        <f t="shared" si="115"/>
        <v>#N/A</v>
      </c>
    </row>
    <row r="1859" spans="1:23" hidden="1" x14ac:dyDescent="0.3">
      <c r="A1859" s="71" t="s">
        <v>3654</v>
      </c>
      <c r="B1859" s="71" t="s">
        <v>3654</v>
      </c>
      <c r="C1859" s="51" t="s">
        <v>33</v>
      </c>
      <c r="D1859" s="48" t="s">
        <v>34</v>
      </c>
      <c r="E1859" s="18" t="s">
        <v>3655</v>
      </c>
      <c r="F1859" s="24" t="str">
        <f t="shared" ref="F1859:F1922" si="116">D1859&amp;" - "&amp;E1859</f>
        <v>PPG - OWAT  FLOETROL     OWATROL    FFJ7SF1100</v>
      </c>
      <c r="G1859" s="20" t="s">
        <v>6729</v>
      </c>
      <c r="H1859" s="49" t="s">
        <v>213</v>
      </c>
      <c r="I1859" s="18" t="s">
        <v>37</v>
      </c>
      <c r="J1859" s="18" t="s">
        <v>38</v>
      </c>
      <c r="K1859" t="s">
        <v>39</v>
      </c>
      <c r="L1859" s="50">
        <f>VLOOKUP(A1859,'[3]Price info'!A:D,4,FALSE)</f>
        <v>14.68</v>
      </c>
      <c r="M1859" s="18" t="s">
        <v>214</v>
      </c>
      <c r="N1859" s="20">
        <v>3105</v>
      </c>
      <c r="P1859" s="16">
        <f>VLOOKUP(A1859,'[3]Price info'!A:H,8,FALSE)</f>
        <v>14.68</v>
      </c>
      <c r="Q1859" s="17">
        <f t="shared" ref="Q1859:Q1922" si="117">P1859/L1859</f>
        <v>1</v>
      </c>
      <c r="S1859" s="16" t="e">
        <f>VLOOKUP(A1859,[4]Sales!$E:$G,3,FALSE)</f>
        <v>#N/A</v>
      </c>
      <c r="T1859" s="19" t="e">
        <f>VLOOKUP(A1859,[4]Volume!$E:$G,3,FALSE)</f>
        <v>#N/A</v>
      </c>
      <c r="U1859" s="19" t="e">
        <f>VLOOKUP(A1859,[4]Piece!$E:$G,3,FALSE)</f>
        <v>#N/A</v>
      </c>
      <c r="V1859" s="21" t="e">
        <f t="shared" ref="V1859:V1922" si="118">U1859*P1859</f>
        <v>#N/A</v>
      </c>
      <c r="W1859" s="16" t="e">
        <f t="shared" ref="W1859:W1922" si="119">V1859-S1859</f>
        <v>#N/A</v>
      </c>
    </row>
    <row r="1860" spans="1:23" hidden="1" x14ac:dyDescent="0.3">
      <c r="A1860" s="71" t="s">
        <v>3656</v>
      </c>
      <c r="B1860" s="71" t="s">
        <v>3656</v>
      </c>
      <c r="C1860" s="47" t="s">
        <v>33</v>
      </c>
      <c r="D1860" s="48" t="s">
        <v>34</v>
      </c>
      <c r="E1860" s="18" t="s">
        <v>3657</v>
      </c>
      <c r="F1860" s="24" t="str">
        <f t="shared" si="116"/>
        <v>PPG - OWAT  FLOETROL     OWATROL    FFJ7SF1250</v>
      </c>
      <c r="G1860" s="20" t="s">
        <v>6730</v>
      </c>
      <c r="H1860" s="49" t="s">
        <v>213</v>
      </c>
      <c r="I1860" s="18" t="s">
        <v>37</v>
      </c>
      <c r="J1860" s="18" t="s">
        <v>38</v>
      </c>
      <c r="K1860" t="s">
        <v>39</v>
      </c>
      <c r="L1860" s="50">
        <f>VLOOKUP(A1860,'[3]Price info'!A:D,4,FALSE)</f>
        <v>31.54</v>
      </c>
      <c r="M1860" s="18" t="s">
        <v>214</v>
      </c>
      <c r="N1860" s="20">
        <v>3105</v>
      </c>
      <c r="P1860" s="16">
        <f>VLOOKUP(A1860,'[3]Price info'!A:H,8,FALSE)</f>
        <v>31.54</v>
      </c>
      <c r="Q1860" s="17">
        <f t="shared" si="117"/>
        <v>1</v>
      </c>
      <c r="S1860" s="16" t="e">
        <f>VLOOKUP(A1860,[4]Sales!$E:$G,3,FALSE)</f>
        <v>#N/A</v>
      </c>
      <c r="T1860" s="19" t="e">
        <f>VLOOKUP(A1860,[4]Volume!$E:$G,3,FALSE)</f>
        <v>#N/A</v>
      </c>
      <c r="U1860" s="19" t="e">
        <f>VLOOKUP(A1860,[4]Piece!$E:$G,3,FALSE)</f>
        <v>#N/A</v>
      </c>
      <c r="V1860" s="21" t="e">
        <f t="shared" si="118"/>
        <v>#N/A</v>
      </c>
      <c r="W1860" s="16" t="e">
        <f t="shared" si="119"/>
        <v>#N/A</v>
      </c>
    </row>
    <row r="1861" spans="1:23" hidden="1" x14ac:dyDescent="0.3">
      <c r="A1861" s="71" t="s">
        <v>3658</v>
      </c>
      <c r="B1861" s="71" t="s">
        <v>3658</v>
      </c>
      <c r="C1861" s="47" t="s">
        <v>33</v>
      </c>
      <c r="D1861" s="48" t="s">
        <v>34</v>
      </c>
      <c r="E1861" s="18" t="s">
        <v>3659</v>
      </c>
      <c r="F1861" s="24" t="str">
        <f t="shared" si="116"/>
        <v>PPG - OWAT  MOULD KILLER VC175      0000000050</v>
      </c>
      <c r="G1861" s="20" t="s">
        <v>6731</v>
      </c>
      <c r="H1861" s="49" t="s">
        <v>213</v>
      </c>
      <c r="I1861" s="18" t="s">
        <v>37</v>
      </c>
      <c r="J1861" s="18" t="s">
        <v>38</v>
      </c>
      <c r="K1861" t="s">
        <v>39</v>
      </c>
      <c r="L1861" s="50">
        <f>VLOOKUP(A1861,'[3]Price info'!A:D,4,FALSE)</f>
        <v>14.52</v>
      </c>
      <c r="M1861" s="18" t="s">
        <v>214</v>
      </c>
      <c r="N1861" s="20">
        <v>3105</v>
      </c>
      <c r="P1861" s="16">
        <f>VLOOKUP(A1861,'[3]Price info'!A:H,8,FALSE)</f>
        <v>14.52</v>
      </c>
      <c r="Q1861" s="17">
        <f t="shared" si="117"/>
        <v>1</v>
      </c>
      <c r="S1861" s="16" t="e">
        <f>VLOOKUP(A1861,[4]Sales!$E:$G,3,FALSE)</f>
        <v>#N/A</v>
      </c>
      <c r="T1861" s="19" t="e">
        <f>VLOOKUP(A1861,[4]Volume!$E:$G,3,FALSE)</f>
        <v>#N/A</v>
      </c>
      <c r="U1861" s="19" t="e">
        <f>VLOOKUP(A1861,[4]Piece!$E:$G,3,FALSE)</f>
        <v>#N/A</v>
      </c>
      <c r="V1861" s="21" t="e">
        <f t="shared" si="118"/>
        <v>#N/A</v>
      </c>
      <c r="W1861" s="16" t="e">
        <f t="shared" si="119"/>
        <v>#N/A</v>
      </c>
    </row>
    <row r="1862" spans="1:23" hidden="1" x14ac:dyDescent="0.3">
      <c r="A1862" s="71" t="s">
        <v>3660</v>
      </c>
      <c r="B1862" s="71" t="s">
        <v>3660</v>
      </c>
      <c r="C1862" s="51" t="s">
        <v>33</v>
      </c>
      <c r="D1862" s="48" t="s">
        <v>34</v>
      </c>
      <c r="E1862" s="18" t="s">
        <v>3661</v>
      </c>
      <c r="F1862" s="24" t="str">
        <f t="shared" si="116"/>
        <v>PPG - OWAT  OWATROL OIL             FFJ7SF0500</v>
      </c>
      <c r="G1862" s="20" t="s">
        <v>6732</v>
      </c>
      <c r="H1862" s="49" t="s">
        <v>213</v>
      </c>
      <c r="I1862" s="18" t="s">
        <v>37</v>
      </c>
      <c r="J1862" s="18" t="s">
        <v>38</v>
      </c>
      <c r="K1862" t="s">
        <v>39</v>
      </c>
      <c r="L1862" s="50">
        <f>VLOOKUP(A1862,'[3]Price info'!A:D,4,FALSE)</f>
        <v>13.84</v>
      </c>
      <c r="M1862" s="18" t="s">
        <v>214</v>
      </c>
      <c r="N1862" s="20">
        <v>3105</v>
      </c>
      <c r="P1862" s="16">
        <f>VLOOKUP(A1862,'[3]Price info'!A:H,8,FALSE)</f>
        <v>13.84</v>
      </c>
      <c r="Q1862" s="17">
        <f t="shared" si="117"/>
        <v>1</v>
      </c>
      <c r="S1862" s="16" t="e">
        <f>VLOOKUP(A1862,[4]Sales!$E:$G,3,FALSE)</f>
        <v>#N/A</v>
      </c>
      <c r="T1862" s="19" t="e">
        <f>VLOOKUP(A1862,[4]Volume!$E:$G,3,FALSE)</f>
        <v>#N/A</v>
      </c>
      <c r="U1862" s="19" t="e">
        <f>VLOOKUP(A1862,[4]Piece!$E:$G,3,FALSE)</f>
        <v>#N/A</v>
      </c>
      <c r="V1862" s="21" t="e">
        <f t="shared" si="118"/>
        <v>#N/A</v>
      </c>
      <c r="W1862" s="16" t="e">
        <f t="shared" si="119"/>
        <v>#N/A</v>
      </c>
    </row>
    <row r="1863" spans="1:23" hidden="1" x14ac:dyDescent="0.3">
      <c r="A1863" s="71" t="s">
        <v>3662</v>
      </c>
      <c r="B1863" s="71" t="s">
        <v>3662</v>
      </c>
      <c r="C1863" s="47" t="s">
        <v>33</v>
      </c>
      <c r="D1863" s="48" t="s">
        <v>34</v>
      </c>
      <c r="E1863" s="18" t="s">
        <v>3663</v>
      </c>
      <c r="F1863" s="24" t="str">
        <f t="shared" si="116"/>
        <v>PPG - OWAT  OWATROL OIL             FFJ7SF1100</v>
      </c>
      <c r="G1863" s="20" t="s">
        <v>6733</v>
      </c>
      <c r="H1863" s="49" t="s">
        <v>213</v>
      </c>
      <c r="I1863" s="18" t="s">
        <v>37</v>
      </c>
      <c r="J1863" s="18" t="s">
        <v>38</v>
      </c>
      <c r="K1863" t="s">
        <v>39</v>
      </c>
      <c r="L1863" s="50">
        <f>VLOOKUP(A1863,'[3]Price info'!A:D,4,FALSE)</f>
        <v>22.47</v>
      </c>
      <c r="M1863" s="18" t="s">
        <v>214</v>
      </c>
      <c r="N1863" s="20">
        <v>3105</v>
      </c>
      <c r="P1863" s="16">
        <f>VLOOKUP(A1863,'[3]Price info'!A:H,8,FALSE)</f>
        <v>22.47</v>
      </c>
      <c r="Q1863" s="17">
        <f t="shared" si="117"/>
        <v>1</v>
      </c>
      <c r="S1863" s="16" t="e">
        <f>VLOOKUP(A1863,[4]Sales!$E:$G,3,FALSE)</f>
        <v>#N/A</v>
      </c>
      <c r="T1863" s="19" t="e">
        <f>VLOOKUP(A1863,[4]Volume!$E:$G,3,FALSE)</f>
        <v>#N/A</v>
      </c>
      <c r="U1863" s="19" t="e">
        <f>VLOOKUP(A1863,[4]Piece!$E:$G,3,FALSE)</f>
        <v>#N/A</v>
      </c>
      <c r="V1863" s="21" t="e">
        <f t="shared" si="118"/>
        <v>#N/A</v>
      </c>
      <c r="W1863" s="16" t="e">
        <f t="shared" si="119"/>
        <v>#N/A</v>
      </c>
    </row>
    <row r="1864" spans="1:23" hidden="1" x14ac:dyDescent="0.3">
      <c r="A1864" s="71" t="s">
        <v>3664</v>
      </c>
      <c r="B1864" s="71" t="s">
        <v>3664</v>
      </c>
      <c r="C1864" s="47" t="s">
        <v>33</v>
      </c>
      <c r="D1864" s="48" t="s">
        <v>34</v>
      </c>
      <c r="E1864" s="18" t="s">
        <v>3665</v>
      </c>
      <c r="F1864" s="24" t="str">
        <f t="shared" si="116"/>
        <v>PPG - OWAT  OWATROL OIL             FFJ7SF1500</v>
      </c>
      <c r="G1864" s="20" t="s">
        <v>6734</v>
      </c>
      <c r="H1864" s="49" t="s">
        <v>213</v>
      </c>
      <c r="I1864" s="18" t="s">
        <v>37</v>
      </c>
      <c r="J1864" s="18" t="s">
        <v>38</v>
      </c>
      <c r="K1864" t="s">
        <v>39</v>
      </c>
      <c r="L1864" s="50">
        <f>VLOOKUP(A1864,'[3]Price info'!A:D,4,FALSE)</f>
        <v>82.31</v>
      </c>
      <c r="M1864" s="18" t="s">
        <v>214</v>
      </c>
      <c r="N1864" s="20">
        <v>3105</v>
      </c>
      <c r="P1864" s="16">
        <f>VLOOKUP(A1864,'[3]Price info'!A:H,8,FALSE)</f>
        <v>82.31</v>
      </c>
      <c r="Q1864" s="17">
        <f t="shared" si="117"/>
        <v>1</v>
      </c>
      <c r="S1864" s="16" t="e">
        <f>VLOOKUP(A1864,[4]Sales!$E:$G,3,FALSE)</f>
        <v>#N/A</v>
      </c>
      <c r="T1864" s="19" t="e">
        <f>VLOOKUP(A1864,[4]Volume!$E:$G,3,FALSE)</f>
        <v>#N/A</v>
      </c>
      <c r="U1864" s="19" t="e">
        <f>VLOOKUP(A1864,[4]Piece!$E:$G,3,FALSE)</f>
        <v>#N/A</v>
      </c>
      <c r="V1864" s="21" t="e">
        <f t="shared" si="118"/>
        <v>#N/A</v>
      </c>
      <c r="W1864" s="16" t="e">
        <f t="shared" si="119"/>
        <v>#N/A</v>
      </c>
    </row>
    <row r="1865" spans="1:23" hidden="1" x14ac:dyDescent="0.3">
      <c r="A1865" s="71" t="s">
        <v>3666</v>
      </c>
      <c r="B1865" s="71" t="s">
        <v>3666</v>
      </c>
      <c r="C1865" s="51" t="s">
        <v>33</v>
      </c>
      <c r="D1865" s="48" t="s">
        <v>34</v>
      </c>
      <c r="E1865" s="18" t="s">
        <v>3667</v>
      </c>
      <c r="F1865" s="24" t="str">
        <f t="shared" si="116"/>
        <v>PPG - P VIKOTE 18 DARK GRAY       010000EU2200</v>
      </c>
      <c r="G1865" s="20" t="s">
        <v>6735</v>
      </c>
      <c r="H1865" s="49" t="s">
        <v>213</v>
      </c>
      <c r="I1865" s="18" t="s">
        <v>37</v>
      </c>
      <c r="J1865" s="18" t="s">
        <v>38</v>
      </c>
      <c r="K1865" t="s">
        <v>39</v>
      </c>
      <c r="L1865" s="50">
        <f>VLOOKUP(A1865,'[3]Price info'!A:D,4,FALSE)</f>
        <v>200.82</v>
      </c>
      <c r="M1865" s="18" t="s">
        <v>214</v>
      </c>
      <c r="N1865" s="20">
        <v>3105</v>
      </c>
      <c r="P1865" s="16">
        <f>VLOOKUP(A1865,'[3]Price info'!A:H,8,FALSE)</f>
        <v>200.82</v>
      </c>
      <c r="Q1865" s="17">
        <f t="shared" si="117"/>
        <v>1</v>
      </c>
      <c r="S1865" s="16" t="e">
        <f>VLOOKUP(A1865,[4]Sales!$E:$G,3,FALSE)</f>
        <v>#N/A</v>
      </c>
      <c r="T1865" s="19" t="e">
        <f>VLOOKUP(A1865,[4]Volume!$E:$G,3,FALSE)</f>
        <v>#N/A</v>
      </c>
      <c r="U1865" s="19" t="e">
        <f>VLOOKUP(A1865,[4]Piece!$E:$G,3,FALSE)</f>
        <v>#N/A</v>
      </c>
      <c r="V1865" s="21" t="e">
        <f t="shared" si="118"/>
        <v>#N/A</v>
      </c>
      <c r="W1865" s="16" t="e">
        <f t="shared" si="119"/>
        <v>#N/A</v>
      </c>
    </row>
    <row r="1866" spans="1:23" hidden="1" x14ac:dyDescent="0.3">
      <c r="A1866" s="71" t="s">
        <v>3668</v>
      </c>
      <c r="B1866" s="71" t="s">
        <v>3668</v>
      </c>
      <c r="C1866" s="47" t="s">
        <v>33</v>
      </c>
      <c r="D1866" s="48" t="s">
        <v>34</v>
      </c>
      <c r="E1866" s="18" t="s">
        <v>3669</v>
      </c>
      <c r="F1866" s="24" t="str">
        <f t="shared" si="116"/>
        <v>PPG - P VIKOTE 18 LIGHT GRAY      020000EU1500</v>
      </c>
      <c r="G1866" s="20" t="s">
        <v>6736</v>
      </c>
      <c r="H1866" s="49" t="s">
        <v>213</v>
      </c>
      <c r="I1866" s="18" t="s">
        <v>37</v>
      </c>
      <c r="J1866" s="18" t="s">
        <v>38</v>
      </c>
      <c r="K1866" t="s">
        <v>39</v>
      </c>
      <c r="L1866" s="50">
        <f>VLOOKUP(A1866,'[3]Price info'!A:D,4,FALSE)</f>
        <v>50.22</v>
      </c>
      <c r="M1866" s="18" t="s">
        <v>214</v>
      </c>
      <c r="N1866" s="20">
        <v>3105</v>
      </c>
      <c r="P1866" s="16">
        <f>VLOOKUP(A1866,'[3]Price info'!A:H,8,FALSE)</f>
        <v>50.22</v>
      </c>
      <c r="Q1866" s="17">
        <f t="shared" si="117"/>
        <v>1</v>
      </c>
      <c r="S1866" s="16" t="e">
        <f>VLOOKUP(A1866,[4]Sales!$E:$G,3,FALSE)</f>
        <v>#N/A</v>
      </c>
      <c r="T1866" s="19" t="e">
        <f>VLOOKUP(A1866,[4]Volume!$E:$G,3,FALSE)</f>
        <v>#N/A</v>
      </c>
      <c r="U1866" s="19" t="e">
        <f>VLOOKUP(A1866,[4]Piece!$E:$G,3,FALSE)</f>
        <v>#N/A</v>
      </c>
      <c r="V1866" s="21" t="e">
        <f t="shared" si="118"/>
        <v>#N/A</v>
      </c>
      <c r="W1866" s="16" t="e">
        <f t="shared" si="119"/>
        <v>#N/A</v>
      </c>
    </row>
    <row r="1867" spans="1:23" hidden="1" x14ac:dyDescent="0.3">
      <c r="A1867" s="71" t="s">
        <v>3670</v>
      </c>
      <c r="B1867" s="71" t="s">
        <v>3670</v>
      </c>
      <c r="C1867" s="47" t="s">
        <v>33</v>
      </c>
      <c r="D1867" s="48" t="s">
        <v>34</v>
      </c>
      <c r="E1867" s="18" t="s">
        <v>3671</v>
      </c>
      <c r="F1867" s="24" t="str">
        <f t="shared" si="116"/>
        <v>PPG - P VIKOTE 18 LIGHT GRAY      020000EU2200</v>
      </c>
      <c r="G1867" s="20" t="s">
        <v>6737</v>
      </c>
      <c r="H1867" s="49" t="s">
        <v>213</v>
      </c>
      <c r="I1867" s="18" t="s">
        <v>37</v>
      </c>
      <c r="J1867" s="18" t="s">
        <v>38</v>
      </c>
      <c r="K1867" t="s">
        <v>39</v>
      </c>
      <c r="L1867" s="50">
        <f>VLOOKUP(A1867,'[3]Price info'!A:D,4,FALSE)</f>
        <v>200.82</v>
      </c>
      <c r="M1867" s="18" t="s">
        <v>214</v>
      </c>
      <c r="N1867" s="20">
        <v>3105</v>
      </c>
      <c r="P1867" s="16">
        <f>VLOOKUP(A1867,'[3]Price info'!A:H,8,FALSE)</f>
        <v>200.82</v>
      </c>
      <c r="Q1867" s="17">
        <f t="shared" si="117"/>
        <v>1</v>
      </c>
      <c r="S1867" s="16" t="e">
        <f>VLOOKUP(A1867,[4]Sales!$E:$G,3,FALSE)</f>
        <v>#N/A</v>
      </c>
      <c r="T1867" s="19" t="e">
        <f>VLOOKUP(A1867,[4]Volume!$E:$G,3,FALSE)</f>
        <v>#N/A</v>
      </c>
      <c r="U1867" s="19" t="e">
        <f>VLOOKUP(A1867,[4]Piece!$E:$G,3,FALSE)</f>
        <v>#N/A</v>
      </c>
      <c r="V1867" s="21" t="e">
        <f t="shared" si="118"/>
        <v>#N/A</v>
      </c>
      <c r="W1867" s="16" t="e">
        <f t="shared" si="119"/>
        <v>#N/A</v>
      </c>
    </row>
    <row r="1868" spans="1:23" hidden="1" x14ac:dyDescent="0.3">
      <c r="A1868" s="71" t="s">
        <v>3672</v>
      </c>
      <c r="B1868" s="71" t="s">
        <v>3672</v>
      </c>
      <c r="C1868" s="51" t="s">
        <v>33</v>
      </c>
      <c r="D1868" s="48" t="s">
        <v>34</v>
      </c>
      <c r="E1868" s="18" t="s">
        <v>3673</v>
      </c>
      <c r="F1868" s="24" t="str">
        <f t="shared" si="116"/>
        <v>PPG - P VIKOTE 56 BLACK           800000EU1500</v>
      </c>
      <c r="G1868" s="20" t="s">
        <v>6738</v>
      </c>
      <c r="H1868" s="49" t="s">
        <v>213</v>
      </c>
      <c r="I1868" s="18" t="s">
        <v>37</v>
      </c>
      <c r="J1868" s="18" t="s">
        <v>38</v>
      </c>
      <c r="K1868" t="s">
        <v>39</v>
      </c>
      <c r="L1868" s="50">
        <f>VLOOKUP(A1868,'[3]Price info'!A:D,4,FALSE)</f>
        <v>121.5</v>
      </c>
      <c r="M1868" s="18" t="s">
        <v>214</v>
      </c>
      <c r="N1868" s="20">
        <v>3105</v>
      </c>
      <c r="P1868" s="16">
        <f>VLOOKUP(A1868,'[3]Price info'!A:H,8,FALSE)</f>
        <v>121.5</v>
      </c>
      <c r="Q1868" s="17">
        <f t="shared" si="117"/>
        <v>1</v>
      </c>
      <c r="S1868" s="16" t="e">
        <f>VLOOKUP(A1868,[4]Sales!$E:$G,3,FALSE)</f>
        <v>#N/A</v>
      </c>
      <c r="T1868" s="19" t="e">
        <f>VLOOKUP(A1868,[4]Volume!$E:$G,3,FALSE)</f>
        <v>#N/A</v>
      </c>
      <c r="U1868" s="19" t="e">
        <f>VLOOKUP(A1868,[4]Piece!$E:$G,3,FALSE)</f>
        <v>#N/A</v>
      </c>
      <c r="V1868" s="21" t="e">
        <f t="shared" si="118"/>
        <v>#N/A</v>
      </c>
      <c r="W1868" s="16" t="e">
        <f t="shared" si="119"/>
        <v>#N/A</v>
      </c>
    </row>
    <row r="1869" spans="1:23" hidden="1" x14ac:dyDescent="0.3">
      <c r="A1869" s="71" t="s">
        <v>3674</v>
      </c>
      <c r="B1869" s="71" t="s">
        <v>3674</v>
      </c>
      <c r="C1869" s="47" t="s">
        <v>33</v>
      </c>
      <c r="D1869" s="48" t="s">
        <v>34</v>
      </c>
      <c r="E1869" s="18" t="s">
        <v>3675</v>
      </c>
      <c r="F1869" s="24" t="str">
        <f t="shared" si="116"/>
        <v>PPG - P VIKOTE 56 BLACK           800000EU2200</v>
      </c>
      <c r="G1869" s="20" t="s">
        <v>6739</v>
      </c>
      <c r="H1869" s="49" t="s">
        <v>213</v>
      </c>
      <c r="I1869" s="18" t="s">
        <v>37</v>
      </c>
      <c r="J1869" s="18" t="s">
        <v>38</v>
      </c>
      <c r="K1869" t="s">
        <v>39</v>
      </c>
      <c r="L1869" s="50">
        <f>VLOOKUP(A1869,'[3]Price info'!A:D,4,FALSE)</f>
        <v>434.99</v>
      </c>
      <c r="M1869" s="18" t="s">
        <v>214</v>
      </c>
      <c r="N1869" s="20">
        <v>3105</v>
      </c>
      <c r="P1869" s="16">
        <f>VLOOKUP(A1869,'[3]Price info'!A:H,8,FALSE)</f>
        <v>434.99</v>
      </c>
      <c r="Q1869" s="17">
        <f t="shared" si="117"/>
        <v>1</v>
      </c>
      <c r="S1869" s="16" t="e">
        <f>VLOOKUP(A1869,[4]Sales!$E:$G,3,FALSE)</f>
        <v>#N/A</v>
      </c>
      <c r="T1869" s="19" t="e">
        <f>VLOOKUP(A1869,[4]Volume!$E:$G,3,FALSE)</f>
        <v>#N/A</v>
      </c>
      <c r="U1869" s="19" t="e">
        <f>VLOOKUP(A1869,[4]Piece!$E:$G,3,FALSE)</f>
        <v>#N/A</v>
      </c>
      <c r="V1869" s="21" t="e">
        <f t="shared" si="118"/>
        <v>#N/A</v>
      </c>
      <c r="W1869" s="16" t="e">
        <f t="shared" si="119"/>
        <v>#N/A</v>
      </c>
    </row>
    <row r="1870" spans="1:23" hidden="1" x14ac:dyDescent="0.3">
      <c r="A1870" s="71" t="s">
        <v>3676</v>
      </c>
      <c r="B1870" s="71" t="s">
        <v>3676</v>
      </c>
      <c r="C1870" s="47" t="s">
        <v>33</v>
      </c>
      <c r="D1870" s="48" t="s">
        <v>34</v>
      </c>
      <c r="E1870" s="18" t="s">
        <v>3677</v>
      </c>
      <c r="F1870" s="24" t="str">
        <f t="shared" si="116"/>
        <v>PPG - P VIKOTE 56 WHITE           700000EU1500</v>
      </c>
      <c r="G1870" s="20" t="s">
        <v>6740</v>
      </c>
      <c r="H1870" s="49" t="s">
        <v>213</v>
      </c>
      <c r="I1870" s="18" t="s">
        <v>37</v>
      </c>
      <c r="J1870" s="18" t="s">
        <v>38</v>
      </c>
      <c r="K1870" t="s">
        <v>39</v>
      </c>
      <c r="L1870" s="50">
        <f>VLOOKUP(A1870,'[3]Price info'!A:D,4,FALSE)</f>
        <v>121.5</v>
      </c>
      <c r="M1870" s="18" t="s">
        <v>214</v>
      </c>
      <c r="N1870" s="20">
        <v>3105</v>
      </c>
      <c r="P1870" s="16">
        <f>VLOOKUP(A1870,'[3]Price info'!A:H,8,FALSE)</f>
        <v>121.5</v>
      </c>
      <c r="Q1870" s="17">
        <f t="shared" si="117"/>
        <v>1</v>
      </c>
      <c r="S1870" s="16" t="e">
        <f>VLOOKUP(A1870,[4]Sales!$E:$G,3,FALSE)</f>
        <v>#N/A</v>
      </c>
      <c r="T1870" s="19" t="e">
        <f>VLOOKUP(A1870,[4]Volume!$E:$G,3,FALSE)</f>
        <v>#N/A</v>
      </c>
      <c r="U1870" s="19" t="e">
        <f>VLOOKUP(A1870,[4]Piece!$E:$G,3,FALSE)</f>
        <v>#N/A</v>
      </c>
      <c r="V1870" s="21" t="e">
        <f t="shared" si="118"/>
        <v>#N/A</v>
      </c>
      <c r="W1870" s="16" t="e">
        <f t="shared" si="119"/>
        <v>#N/A</v>
      </c>
    </row>
    <row r="1871" spans="1:23" hidden="1" x14ac:dyDescent="0.3">
      <c r="A1871" s="71" t="s">
        <v>3678</v>
      </c>
      <c r="B1871" s="71" t="s">
        <v>3678</v>
      </c>
      <c r="C1871" s="51" t="s">
        <v>33</v>
      </c>
      <c r="D1871" s="48" t="s">
        <v>34</v>
      </c>
      <c r="E1871" s="18" t="s">
        <v>3679</v>
      </c>
      <c r="F1871" s="24" t="str">
        <f t="shared" si="116"/>
        <v>PPG - P VIKOTE 56 WHITE           700000EU2200</v>
      </c>
      <c r="G1871" s="20" t="s">
        <v>6741</v>
      </c>
      <c r="H1871" s="49" t="s">
        <v>213</v>
      </c>
      <c r="I1871" s="18" t="s">
        <v>37</v>
      </c>
      <c r="J1871" s="18" t="s">
        <v>38</v>
      </c>
      <c r="K1871" t="s">
        <v>39</v>
      </c>
      <c r="L1871" s="50">
        <f>VLOOKUP(A1871,'[3]Price info'!A:D,4,FALSE)</f>
        <v>434.99</v>
      </c>
      <c r="M1871" s="18" t="s">
        <v>214</v>
      </c>
      <c r="N1871" s="20">
        <v>3105</v>
      </c>
      <c r="P1871" s="16">
        <f>VLOOKUP(A1871,'[3]Price info'!A:H,8,FALSE)</f>
        <v>434.99</v>
      </c>
      <c r="Q1871" s="17">
        <f t="shared" si="117"/>
        <v>1</v>
      </c>
      <c r="S1871" s="16" t="e">
        <f>VLOOKUP(A1871,[4]Sales!$E:$G,3,FALSE)</f>
        <v>#N/A</v>
      </c>
      <c r="T1871" s="19" t="e">
        <f>VLOOKUP(A1871,[4]Volume!$E:$G,3,FALSE)</f>
        <v>#N/A</v>
      </c>
      <c r="U1871" s="19" t="e">
        <f>VLOOKUP(A1871,[4]Piece!$E:$G,3,FALSE)</f>
        <v>#N/A</v>
      </c>
      <c r="V1871" s="21" t="e">
        <f t="shared" si="118"/>
        <v>#N/A</v>
      </c>
      <c r="W1871" s="16" t="e">
        <f t="shared" si="119"/>
        <v>#N/A</v>
      </c>
    </row>
    <row r="1872" spans="1:23" hidden="1" x14ac:dyDescent="0.3">
      <c r="A1872" s="71" t="s">
        <v>3680</v>
      </c>
      <c r="B1872" s="71" t="s">
        <v>3680</v>
      </c>
      <c r="C1872" s="47" t="s">
        <v>33</v>
      </c>
      <c r="D1872" s="48" t="s">
        <v>34</v>
      </c>
      <c r="E1872" s="18" t="s">
        <v>3681</v>
      </c>
      <c r="F1872" s="24" t="str">
        <f t="shared" si="116"/>
        <v>PPG - P VIKOTE 63                 800000EU1500</v>
      </c>
      <c r="G1872" s="20" t="s">
        <v>6742</v>
      </c>
      <c r="H1872" s="49" t="s">
        <v>213</v>
      </c>
      <c r="I1872" s="18" t="s">
        <v>37</v>
      </c>
      <c r="J1872" s="18" t="s">
        <v>38</v>
      </c>
      <c r="K1872" t="s">
        <v>39</v>
      </c>
      <c r="L1872" s="50">
        <f>VLOOKUP(A1872,'[3]Price info'!A:D,4,FALSE)</f>
        <v>58.68</v>
      </c>
      <c r="M1872" s="18" t="s">
        <v>214</v>
      </c>
      <c r="N1872" s="20">
        <v>3105</v>
      </c>
      <c r="P1872" s="16">
        <f>VLOOKUP(A1872,'[3]Price info'!A:H,8,FALSE)</f>
        <v>58.68</v>
      </c>
      <c r="Q1872" s="17">
        <f t="shared" si="117"/>
        <v>1</v>
      </c>
      <c r="S1872" s="16" t="e">
        <f>VLOOKUP(A1872,[4]Sales!$E:$G,3,FALSE)</f>
        <v>#N/A</v>
      </c>
      <c r="T1872" s="19" t="e">
        <f>VLOOKUP(A1872,[4]Volume!$E:$G,3,FALSE)</f>
        <v>#N/A</v>
      </c>
      <c r="U1872" s="19" t="e">
        <f>VLOOKUP(A1872,[4]Piece!$E:$G,3,FALSE)</f>
        <v>#N/A</v>
      </c>
      <c r="V1872" s="21" t="e">
        <f t="shared" si="118"/>
        <v>#N/A</v>
      </c>
      <c r="W1872" s="16" t="e">
        <f t="shared" si="119"/>
        <v>#N/A</v>
      </c>
    </row>
    <row r="1873" spans="1:23" hidden="1" x14ac:dyDescent="0.3">
      <c r="A1873" s="71" t="s">
        <v>3682</v>
      </c>
      <c r="B1873" s="71" t="s">
        <v>3682</v>
      </c>
      <c r="C1873" s="47" t="s">
        <v>33</v>
      </c>
      <c r="D1873" s="48" t="s">
        <v>34</v>
      </c>
      <c r="E1873" s="18" t="s">
        <v>3683</v>
      </c>
      <c r="F1873" s="24" t="str">
        <f t="shared" si="116"/>
        <v>PPG - P VIKOTE 63                 800000EU2200</v>
      </c>
      <c r="G1873" s="20" t="s">
        <v>6743</v>
      </c>
      <c r="H1873" s="49" t="s">
        <v>213</v>
      </c>
      <c r="I1873" s="18" t="s">
        <v>37</v>
      </c>
      <c r="J1873" s="18" t="s">
        <v>38</v>
      </c>
      <c r="K1873" t="s">
        <v>39</v>
      </c>
      <c r="L1873" s="50">
        <f>VLOOKUP(A1873,'[3]Price info'!A:D,4,FALSE)</f>
        <v>210.8</v>
      </c>
      <c r="M1873" s="18" t="s">
        <v>214</v>
      </c>
      <c r="N1873" s="20">
        <v>3105</v>
      </c>
      <c r="P1873" s="16">
        <f>VLOOKUP(A1873,'[3]Price info'!A:H,8,FALSE)</f>
        <v>210.8</v>
      </c>
      <c r="Q1873" s="17">
        <f t="shared" si="117"/>
        <v>1</v>
      </c>
      <c r="S1873" s="16" t="e">
        <f>VLOOKUP(A1873,[4]Sales!$E:$G,3,FALSE)</f>
        <v>#N/A</v>
      </c>
      <c r="T1873" s="19" t="e">
        <f>VLOOKUP(A1873,[4]Volume!$E:$G,3,FALSE)</f>
        <v>#N/A</v>
      </c>
      <c r="U1873" s="19" t="e">
        <f>VLOOKUP(A1873,[4]Piece!$E:$G,3,FALSE)</f>
        <v>#N/A</v>
      </c>
      <c r="V1873" s="21" t="e">
        <f t="shared" si="118"/>
        <v>#N/A</v>
      </c>
      <c r="W1873" s="16" t="e">
        <f t="shared" si="119"/>
        <v>#N/A</v>
      </c>
    </row>
    <row r="1874" spans="1:23" hidden="1" x14ac:dyDescent="0.3">
      <c r="A1874" s="71" t="s">
        <v>3684</v>
      </c>
      <c r="B1874" s="71" t="s">
        <v>3684</v>
      </c>
      <c r="C1874" s="51" t="s">
        <v>33</v>
      </c>
      <c r="D1874" s="48" t="s">
        <v>34</v>
      </c>
      <c r="E1874" s="18" t="s">
        <v>3685</v>
      </c>
      <c r="F1874" s="24" t="str">
        <f t="shared" si="116"/>
        <v>PPG - PGOLD AP WALLPAPER ADH 120 RL</v>
      </c>
      <c r="G1874" s="20" t="s">
        <v>6744</v>
      </c>
      <c r="H1874" s="49" t="s">
        <v>213</v>
      </c>
      <c r="I1874" s="18" t="s">
        <v>37</v>
      </c>
      <c r="J1874" s="18" t="s">
        <v>38</v>
      </c>
      <c r="K1874" t="s">
        <v>39</v>
      </c>
      <c r="L1874" s="50">
        <f>VLOOKUP(A1874,'[3]Price info'!A:D,4,FALSE)</f>
        <v>21.21</v>
      </c>
      <c r="M1874" s="18" t="s">
        <v>214</v>
      </c>
      <c r="N1874" s="20">
        <v>3105</v>
      </c>
      <c r="P1874" s="16">
        <f>VLOOKUP(A1874,'[3]Price info'!A:H,8,FALSE)</f>
        <v>21.21</v>
      </c>
      <c r="Q1874" s="17">
        <f t="shared" si="117"/>
        <v>1</v>
      </c>
      <c r="S1874" s="16" t="e">
        <f>VLOOKUP(A1874,[4]Sales!$E:$G,3,FALSE)</f>
        <v>#N/A</v>
      </c>
      <c r="T1874" s="19" t="e">
        <f>VLOOKUP(A1874,[4]Volume!$E:$G,3,FALSE)</f>
        <v>#N/A</v>
      </c>
      <c r="U1874" s="19" t="e">
        <f>VLOOKUP(A1874,[4]Piece!$E:$G,3,FALSE)</f>
        <v>#N/A</v>
      </c>
      <c r="V1874" s="21" t="e">
        <f t="shared" si="118"/>
        <v>#N/A</v>
      </c>
      <c r="W1874" s="16" t="e">
        <f t="shared" si="119"/>
        <v>#N/A</v>
      </c>
    </row>
    <row r="1875" spans="1:23" hidden="1" x14ac:dyDescent="0.3">
      <c r="A1875" s="71" t="s">
        <v>3686</v>
      </c>
      <c r="B1875" s="71" t="s">
        <v>3686</v>
      </c>
      <c r="C1875" s="47" t="s">
        <v>33</v>
      </c>
      <c r="D1875" s="48" t="s">
        <v>34</v>
      </c>
      <c r="E1875" s="18" t="s">
        <v>3687</v>
      </c>
      <c r="F1875" s="24" t="str">
        <f t="shared" si="116"/>
        <v>PPG - PGOLD FLEX FILLING KNIFE 2"</v>
      </c>
      <c r="G1875" s="20" t="s">
        <v>6745</v>
      </c>
      <c r="H1875" s="49" t="s">
        <v>213</v>
      </c>
      <c r="I1875" s="18" t="s">
        <v>37</v>
      </c>
      <c r="J1875" s="18" t="s">
        <v>38</v>
      </c>
      <c r="K1875" t="s">
        <v>39</v>
      </c>
      <c r="L1875" s="50">
        <f>VLOOKUP(A1875,'[3]Price info'!A:D,4,FALSE)</f>
        <v>7.32</v>
      </c>
      <c r="M1875" s="18" t="s">
        <v>214</v>
      </c>
      <c r="N1875" s="20">
        <v>3105</v>
      </c>
      <c r="P1875" s="16">
        <f>VLOOKUP(A1875,'[3]Price info'!A:H,8,FALSE)</f>
        <v>7.32</v>
      </c>
      <c r="Q1875" s="17">
        <f t="shared" si="117"/>
        <v>1</v>
      </c>
      <c r="S1875" s="16">
        <f>VLOOKUP(A1875,[4]Sales!$E:$G,3,FALSE)</f>
        <v>19.630000000000003</v>
      </c>
      <c r="T1875" s="19">
        <f>VLOOKUP(A1875,[4]Volume!$E:$G,3,FALSE)</f>
        <v>42</v>
      </c>
      <c r="U1875" s="19">
        <f>VLOOKUP(A1875,[4]Piece!$E:$G,3,FALSE)</f>
        <v>42</v>
      </c>
      <c r="V1875" s="21">
        <f t="shared" si="118"/>
        <v>307.44</v>
      </c>
      <c r="W1875" s="16">
        <f t="shared" si="119"/>
        <v>287.81</v>
      </c>
    </row>
    <row r="1876" spans="1:23" hidden="1" x14ac:dyDescent="0.3">
      <c r="A1876" s="71" t="s">
        <v>3688</v>
      </c>
      <c r="B1876" s="71" t="s">
        <v>3688</v>
      </c>
      <c r="C1876" s="47" t="s">
        <v>33</v>
      </c>
      <c r="D1876" s="48" t="s">
        <v>34</v>
      </c>
      <c r="E1876" s="18" t="s">
        <v>3689</v>
      </c>
      <c r="F1876" s="24" t="str">
        <f t="shared" si="116"/>
        <v>PPG - PGOLD FLEX FILLING KNIFE 3"</v>
      </c>
      <c r="G1876" s="20" t="s">
        <v>6746</v>
      </c>
      <c r="H1876" s="49" t="s">
        <v>213</v>
      </c>
      <c r="I1876" s="18" t="s">
        <v>37</v>
      </c>
      <c r="J1876" s="18" t="s">
        <v>38</v>
      </c>
      <c r="K1876" t="s">
        <v>39</v>
      </c>
      <c r="L1876" s="50">
        <f>VLOOKUP(A1876,'[3]Price info'!A:D,4,FALSE)</f>
        <v>7.99</v>
      </c>
      <c r="M1876" s="18" t="s">
        <v>214</v>
      </c>
      <c r="N1876" s="20">
        <v>3105</v>
      </c>
      <c r="P1876" s="16">
        <f>VLOOKUP(A1876,'[3]Price info'!A:H,8,FALSE)</f>
        <v>7.99</v>
      </c>
      <c r="Q1876" s="17">
        <f t="shared" si="117"/>
        <v>1</v>
      </c>
      <c r="S1876" s="16">
        <f>VLOOKUP(A1876,[4]Sales!$E:$G,3,FALSE)</f>
        <v>63.92</v>
      </c>
      <c r="T1876" s="19">
        <f>VLOOKUP(A1876,[4]Volume!$E:$G,3,FALSE)</f>
        <v>8</v>
      </c>
      <c r="U1876" s="19">
        <f>VLOOKUP(A1876,[4]Piece!$E:$G,3,FALSE)</f>
        <v>8</v>
      </c>
      <c r="V1876" s="21">
        <f t="shared" si="118"/>
        <v>63.92</v>
      </c>
      <c r="W1876" s="16">
        <f t="shared" si="119"/>
        <v>0</v>
      </c>
    </row>
    <row r="1877" spans="1:23" hidden="1" x14ac:dyDescent="0.3">
      <c r="A1877" s="71" t="s">
        <v>3690</v>
      </c>
      <c r="B1877" s="71" t="s">
        <v>3690</v>
      </c>
      <c r="C1877" s="51" t="s">
        <v>33</v>
      </c>
      <c r="D1877" s="48" t="s">
        <v>34</v>
      </c>
      <c r="E1877" s="18" t="s">
        <v>3691</v>
      </c>
      <c r="F1877" s="24" t="str">
        <f t="shared" si="116"/>
        <v>PPG - PGOLD GP SILICONE  CLEAR      0000000300</v>
      </c>
      <c r="G1877" s="20" t="s">
        <v>6747</v>
      </c>
      <c r="H1877" s="49" t="s">
        <v>213</v>
      </c>
      <c r="I1877" s="18" t="s">
        <v>37</v>
      </c>
      <c r="J1877" s="18" t="s">
        <v>38</v>
      </c>
      <c r="K1877" t="s">
        <v>39</v>
      </c>
      <c r="L1877" s="50">
        <f>VLOOKUP(A1877,'[3]Price info'!A:D,4,FALSE)</f>
        <v>2.34</v>
      </c>
      <c r="M1877" s="18" t="s">
        <v>214</v>
      </c>
      <c r="N1877" s="20">
        <v>3105</v>
      </c>
      <c r="P1877" s="16">
        <f>VLOOKUP(A1877,'[3]Price info'!A:H,8,FALSE)</f>
        <v>2.34</v>
      </c>
      <c r="Q1877" s="17">
        <f t="shared" si="117"/>
        <v>1</v>
      </c>
      <c r="S1877" s="16">
        <f>VLOOKUP(A1877,[4]Sales!$E:$G,3,FALSE)</f>
        <v>21.06</v>
      </c>
      <c r="T1877" s="19">
        <f>VLOOKUP(A1877,[4]Volume!$E:$G,3,FALSE)</f>
        <v>2.7</v>
      </c>
      <c r="U1877" s="19">
        <f>VLOOKUP(A1877,[4]Piece!$E:$G,3,FALSE)</f>
        <v>9</v>
      </c>
      <c r="V1877" s="21">
        <f t="shared" si="118"/>
        <v>21.06</v>
      </c>
      <c r="W1877" s="16">
        <f t="shared" si="119"/>
        <v>0</v>
      </c>
    </row>
    <row r="1878" spans="1:23" hidden="1" x14ac:dyDescent="0.3">
      <c r="A1878" s="71" t="s">
        <v>3692</v>
      </c>
      <c r="B1878" s="71" t="s">
        <v>3692</v>
      </c>
      <c r="C1878" s="47" t="s">
        <v>33</v>
      </c>
      <c r="D1878" s="48" t="s">
        <v>34</v>
      </c>
      <c r="E1878" s="18" t="s">
        <v>3693</v>
      </c>
      <c r="F1878" s="24" t="str">
        <f t="shared" si="116"/>
        <v>PPG - PGOLD SCALE TANG   SCARPER 3"</v>
      </c>
      <c r="G1878" s="20" t="s">
        <v>6748</v>
      </c>
      <c r="H1878" s="49" t="s">
        <v>213</v>
      </c>
      <c r="I1878" s="18" t="s">
        <v>37</v>
      </c>
      <c r="J1878" s="18" t="s">
        <v>38</v>
      </c>
      <c r="K1878" t="s">
        <v>39</v>
      </c>
      <c r="L1878" s="50">
        <f>VLOOKUP(A1878,'[3]Price info'!A:D,4,FALSE)</f>
        <v>7.99</v>
      </c>
      <c r="M1878" s="18" t="s">
        <v>214</v>
      </c>
      <c r="N1878" s="20">
        <v>3105</v>
      </c>
      <c r="P1878" s="16">
        <f>VLOOKUP(A1878,'[3]Price info'!A:H,8,FALSE)</f>
        <v>7.99</v>
      </c>
      <c r="Q1878" s="17">
        <f t="shared" si="117"/>
        <v>1</v>
      </c>
      <c r="S1878" s="16">
        <f>VLOOKUP(A1878,[4]Sales!$E:$G,3,FALSE)</f>
        <v>15.98</v>
      </c>
      <c r="T1878" s="19">
        <f>VLOOKUP(A1878,[4]Volume!$E:$G,3,FALSE)</f>
        <v>2</v>
      </c>
      <c r="U1878" s="19">
        <f>VLOOKUP(A1878,[4]Piece!$E:$G,3,FALSE)</f>
        <v>2</v>
      </c>
      <c r="V1878" s="21">
        <f t="shared" si="118"/>
        <v>15.98</v>
      </c>
      <c r="W1878" s="16">
        <f t="shared" si="119"/>
        <v>0</v>
      </c>
    </row>
    <row r="1879" spans="1:23" hidden="1" x14ac:dyDescent="0.3">
      <c r="A1879" s="71" t="s">
        <v>3694</v>
      </c>
      <c r="B1879" s="71" t="s">
        <v>3694</v>
      </c>
      <c r="C1879" s="47" t="s">
        <v>33</v>
      </c>
      <c r="D1879" s="48" t="s">
        <v>34</v>
      </c>
      <c r="E1879" s="18" t="s">
        <v>3695</v>
      </c>
      <c r="F1879" s="24" t="str">
        <f t="shared" si="116"/>
        <v>PPG - PGOLD SCALE TANG   SCRAPER 2"</v>
      </c>
      <c r="G1879" s="20" t="s">
        <v>6749</v>
      </c>
      <c r="H1879" s="49" t="s">
        <v>213</v>
      </c>
      <c r="I1879" s="18" t="s">
        <v>37</v>
      </c>
      <c r="J1879" s="18" t="s">
        <v>38</v>
      </c>
      <c r="K1879" t="s">
        <v>39</v>
      </c>
      <c r="L1879" s="50">
        <f>VLOOKUP(A1879,'[3]Price info'!A:D,4,FALSE)</f>
        <v>7.32</v>
      </c>
      <c r="M1879" s="18" t="s">
        <v>214</v>
      </c>
      <c r="N1879" s="20">
        <v>3105</v>
      </c>
      <c r="P1879" s="16">
        <f>VLOOKUP(A1879,'[3]Price info'!A:H,8,FALSE)</f>
        <v>7.32</v>
      </c>
      <c r="Q1879" s="17">
        <f t="shared" si="117"/>
        <v>1</v>
      </c>
      <c r="S1879" s="16">
        <f>VLOOKUP(A1879,[4]Sales!$E:$G,3,FALSE)</f>
        <v>49.57</v>
      </c>
      <c r="T1879" s="19">
        <f>VLOOKUP(A1879,[4]Volume!$E:$G,3,FALSE)</f>
        <v>38</v>
      </c>
      <c r="U1879" s="19">
        <f>VLOOKUP(A1879,[4]Piece!$E:$G,3,FALSE)</f>
        <v>38</v>
      </c>
      <c r="V1879" s="21">
        <f t="shared" si="118"/>
        <v>278.16000000000003</v>
      </c>
      <c r="W1879" s="16">
        <f t="shared" si="119"/>
        <v>228.59000000000003</v>
      </c>
    </row>
    <row r="1880" spans="1:23" hidden="1" x14ac:dyDescent="0.3">
      <c r="A1880" s="71" t="s">
        <v>3696</v>
      </c>
      <c r="B1880" s="71" t="s">
        <v>3696</v>
      </c>
      <c r="C1880" s="51" t="s">
        <v>33</v>
      </c>
      <c r="D1880" s="48" t="s">
        <v>34</v>
      </c>
      <c r="E1880" s="18" t="s">
        <v>3697</v>
      </c>
      <c r="F1880" s="24" t="str">
        <f t="shared" si="116"/>
        <v>PPG - PGOLD SHEEP ROLLER 12"</v>
      </c>
      <c r="G1880" s="20" t="s">
        <v>6750</v>
      </c>
      <c r="H1880" s="49" t="s">
        <v>213</v>
      </c>
      <c r="I1880" s="18" t="s">
        <v>37</v>
      </c>
      <c r="J1880" s="18" t="s">
        <v>38</v>
      </c>
      <c r="K1880" t="s">
        <v>39</v>
      </c>
      <c r="L1880" s="50">
        <f>VLOOKUP(A1880,'[3]Price info'!A:D,4,FALSE)</f>
        <v>29.52</v>
      </c>
      <c r="M1880" s="18" t="s">
        <v>214</v>
      </c>
      <c r="N1880" s="20">
        <v>3105</v>
      </c>
      <c r="P1880" s="16">
        <f>VLOOKUP(A1880,'[3]Price info'!A:H,8,FALSE)</f>
        <v>29.52</v>
      </c>
      <c r="Q1880" s="17">
        <f t="shared" si="117"/>
        <v>1</v>
      </c>
      <c r="S1880" s="16" t="e">
        <f>VLOOKUP(A1880,[4]Sales!$E:$G,3,FALSE)</f>
        <v>#N/A</v>
      </c>
      <c r="T1880" s="19" t="e">
        <f>VLOOKUP(A1880,[4]Volume!$E:$G,3,FALSE)</f>
        <v>#N/A</v>
      </c>
      <c r="U1880" s="19" t="e">
        <f>VLOOKUP(A1880,[4]Piece!$E:$G,3,FALSE)</f>
        <v>#N/A</v>
      </c>
      <c r="V1880" s="21" t="e">
        <f t="shared" si="118"/>
        <v>#N/A</v>
      </c>
      <c r="W1880" s="16" t="e">
        <f t="shared" si="119"/>
        <v>#N/A</v>
      </c>
    </row>
    <row r="1881" spans="1:23" hidden="1" x14ac:dyDescent="0.3">
      <c r="A1881" s="71" t="s">
        <v>3698</v>
      </c>
      <c r="B1881" s="71" t="s">
        <v>3698</v>
      </c>
      <c r="C1881" s="47" t="s">
        <v>33</v>
      </c>
      <c r="D1881" s="48" t="s">
        <v>34</v>
      </c>
      <c r="E1881" s="18" t="s">
        <v>3699</v>
      </c>
      <c r="F1881" s="24" t="str">
        <f t="shared" si="116"/>
        <v>PPG - PGOLD SHEEP ROLLER 9"</v>
      </c>
      <c r="G1881" s="20" t="s">
        <v>6751</v>
      </c>
      <c r="H1881" s="49" t="s">
        <v>213</v>
      </c>
      <c r="I1881" s="18" t="s">
        <v>37</v>
      </c>
      <c r="J1881" s="18" t="s">
        <v>38</v>
      </c>
      <c r="K1881" t="s">
        <v>39</v>
      </c>
      <c r="L1881" s="50">
        <f>VLOOKUP(A1881,'[3]Price info'!A:D,4,FALSE)</f>
        <v>22.26</v>
      </c>
      <c r="M1881" s="18" t="s">
        <v>214</v>
      </c>
      <c r="N1881" s="20">
        <v>3105</v>
      </c>
      <c r="P1881" s="16">
        <f>VLOOKUP(A1881,'[3]Price info'!A:H,8,FALSE)</f>
        <v>22.26</v>
      </c>
      <c r="Q1881" s="17">
        <f t="shared" si="117"/>
        <v>1</v>
      </c>
      <c r="S1881" s="16" t="e">
        <f>VLOOKUP(A1881,[4]Sales!$E:$G,3,FALSE)</f>
        <v>#N/A</v>
      </c>
      <c r="T1881" s="19" t="e">
        <f>VLOOKUP(A1881,[4]Volume!$E:$G,3,FALSE)</f>
        <v>#N/A</v>
      </c>
      <c r="U1881" s="19" t="e">
        <f>VLOOKUP(A1881,[4]Piece!$E:$G,3,FALSE)</f>
        <v>#N/A</v>
      </c>
      <c r="V1881" s="21" t="e">
        <f t="shared" si="118"/>
        <v>#N/A</v>
      </c>
      <c r="W1881" s="16" t="e">
        <f t="shared" si="119"/>
        <v>#N/A</v>
      </c>
    </row>
    <row r="1882" spans="1:23" hidden="1" x14ac:dyDescent="0.3">
      <c r="A1882" s="71" t="s">
        <v>3700</v>
      </c>
      <c r="B1882" s="71" t="s">
        <v>3700</v>
      </c>
      <c r="C1882" s="47" t="s">
        <v>33</v>
      </c>
      <c r="D1882" s="48" t="s">
        <v>34</v>
      </c>
      <c r="E1882" s="18" t="s">
        <v>3701</v>
      </c>
      <c r="F1882" s="24" t="str">
        <f t="shared" si="116"/>
        <v>PPG - PHENGUARD 930 SET OFFWHITE    7001001400</v>
      </c>
      <c r="G1882" s="20" t="s">
        <v>6752</v>
      </c>
      <c r="H1882" s="49" t="s">
        <v>213</v>
      </c>
      <c r="I1882" s="18" t="s">
        <v>37</v>
      </c>
      <c r="J1882" s="18" t="s">
        <v>38</v>
      </c>
      <c r="K1882" t="s">
        <v>39</v>
      </c>
      <c r="L1882" s="50">
        <f>VLOOKUP(A1882,'[3]Price info'!A:D,4,FALSE)</f>
        <v>190.45</v>
      </c>
      <c r="M1882" s="18" t="s">
        <v>214</v>
      </c>
      <c r="N1882" s="20">
        <v>3105</v>
      </c>
      <c r="P1882" s="16">
        <f>VLOOKUP(A1882,'[3]Price info'!A:H,8,FALSE)</f>
        <v>190.45</v>
      </c>
      <c r="Q1882" s="17">
        <f t="shared" si="117"/>
        <v>1</v>
      </c>
      <c r="S1882" s="16" t="e">
        <f>VLOOKUP(A1882,[4]Sales!$E:$G,3,FALSE)</f>
        <v>#N/A</v>
      </c>
      <c r="T1882" s="19" t="e">
        <f>VLOOKUP(A1882,[4]Volume!$E:$G,3,FALSE)</f>
        <v>#N/A</v>
      </c>
      <c r="U1882" s="19" t="e">
        <f>VLOOKUP(A1882,[4]Piece!$E:$G,3,FALSE)</f>
        <v>#N/A</v>
      </c>
      <c r="V1882" s="21" t="e">
        <f t="shared" si="118"/>
        <v>#N/A</v>
      </c>
      <c r="W1882" s="16" t="e">
        <f t="shared" si="119"/>
        <v>#N/A</v>
      </c>
    </row>
    <row r="1883" spans="1:23" hidden="1" x14ac:dyDescent="0.3">
      <c r="A1883" s="71" t="s">
        <v>3702</v>
      </c>
      <c r="B1883" s="71" t="s">
        <v>3702</v>
      </c>
      <c r="C1883" s="51" t="s">
        <v>33</v>
      </c>
      <c r="D1883" s="48" t="s">
        <v>34</v>
      </c>
      <c r="E1883" s="18" t="s">
        <v>3703</v>
      </c>
      <c r="F1883" s="24" t="str">
        <f t="shared" si="116"/>
        <v>PPG - PHENGUARD 930 SET OFFWHITE    7001002200</v>
      </c>
      <c r="G1883" s="20" t="s">
        <v>6753</v>
      </c>
      <c r="H1883" s="49" t="s">
        <v>213</v>
      </c>
      <c r="I1883" s="18" t="s">
        <v>37</v>
      </c>
      <c r="J1883" s="18" t="s">
        <v>38</v>
      </c>
      <c r="K1883" t="s">
        <v>39</v>
      </c>
      <c r="L1883" s="50">
        <f>VLOOKUP(A1883,'[3]Price info'!A:D,4,FALSE)</f>
        <v>853.17</v>
      </c>
      <c r="M1883" s="18" t="s">
        <v>214</v>
      </c>
      <c r="N1883" s="20">
        <v>3105</v>
      </c>
      <c r="P1883" s="16">
        <f>VLOOKUP(A1883,'[3]Price info'!A:H,8,FALSE)</f>
        <v>853.17</v>
      </c>
      <c r="Q1883" s="17">
        <f t="shared" si="117"/>
        <v>1</v>
      </c>
      <c r="S1883" s="16" t="e">
        <f>VLOOKUP(A1883,[4]Sales!$E:$G,3,FALSE)</f>
        <v>#N/A</v>
      </c>
      <c r="T1883" s="19" t="e">
        <f>VLOOKUP(A1883,[4]Volume!$E:$G,3,FALSE)</f>
        <v>#N/A</v>
      </c>
      <c r="U1883" s="19" t="e">
        <f>VLOOKUP(A1883,[4]Piece!$E:$G,3,FALSE)</f>
        <v>#N/A</v>
      </c>
      <c r="V1883" s="21" t="e">
        <f t="shared" si="118"/>
        <v>#N/A</v>
      </c>
      <c r="W1883" s="16" t="e">
        <f t="shared" si="119"/>
        <v>#N/A</v>
      </c>
    </row>
    <row r="1884" spans="1:23" hidden="1" x14ac:dyDescent="0.3">
      <c r="A1884" s="71" t="s">
        <v>3704</v>
      </c>
      <c r="B1884" s="71" t="s">
        <v>3704</v>
      </c>
      <c r="C1884" s="47" t="s">
        <v>33</v>
      </c>
      <c r="D1884" s="48" t="s">
        <v>34</v>
      </c>
      <c r="E1884" s="18" t="s">
        <v>3705</v>
      </c>
      <c r="F1884" s="24" t="str">
        <f t="shared" si="116"/>
        <v>PPG - PHENGUARD 935 SET PINK        6007001400</v>
      </c>
      <c r="G1884" s="20" t="s">
        <v>6754</v>
      </c>
      <c r="H1884" s="49" t="s">
        <v>213</v>
      </c>
      <c r="I1884" s="18" t="s">
        <v>37</v>
      </c>
      <c r="J1884" s="18" t="s">
        <v>38</v>
      </c>
      <c r="K1884" t="s">
        <v>39</v>
      </c>
      <c r="L1884" s="50">
        <f>VLOOKUP(A1884,'[3]Price info'!A:D,4,FALSE)</f>
        <v>190.45</v>
      </c>
      <c r="M1884" s="18" t="s">
        <v>214</v>
      </c>
      <c r="N1884" s="20">
        <v>3105</v>
      </c>
      <c r="P1884" s="16">
        <f>VLOOKUP(A1884,'[3]Price info'!A:H,8,FALSE)</f>
        <v>190.45</v>
      </c>
      <c r="Q1884" s="17">
        <f t="shared" si="117"/>
        <v>1</v>
      </c>
      <c r="S1884" s="16" t="e">
        <f>VLOOKUP(A1884,[4]Sales!$E:$G,3,FALSE)</f>
        <v>#N/A</v>
      </c>
      <c r="T1884" s="19" t="e">
        <f>VLOOKUP(A1884,[4]Volume!$E:$G,3,FALSE)</f>
        <v>#N/A</v>
      </c>
      <c r="U1884" s="19" t="e">
        <f>VLOOKUP(A1884,[4]Piece!$E:$G,3,FALSE)</f>
        <v>#N/A</v>
      </c>
      <c r="V1884" s="21" t="e">
        <f t="shared" si="118"/>
        <v>#N/A</v>
      </c>
      <c r="W1884" s="16" t="e">
        <f t="shared" si="119"/>
        <v>#N/A</v>
      </c>
    </row>
    <row r="1885" spans="1:23" hidden="1" x14ac:dyDescent="0.3">
      <c r="A1885" s="71" t="s">
        <v>3706</v>
      </c>
      <c r="B1885" s="71" t="s">
        <v>3706</v>
      </c>
      <c r="C1885" s="47" t="s">
        <v>33</v>
      </c>
      <c r="D1885" s="48" t="s">
        <v>34</v>
      </c>
      <c r="E1885" s="18" t="s">
        <v>3707</v>
      </c>
      <c r="F1885" s="24" t="str">
        <f t="shared" si="116"/>
        <v>PPG - PHENGUARD 935 SET PINK        6007002200</v>
      </c>
      <c r="G1885" s="20" t="s">
        <v>6755</v>
      </c>
      <c r="H1885" s="49" t="s">
        <v>213</v>
      </c>
      <c r="I1885" s="18" t="s">
        <v>37</v>
      </c>
      <c r="J1885" s="18" t="s">
        <v>38</v>
      </c>
      <c r="K1885" t="s">
        <v>39</v>
      </c>
      <c r="L1885" s="50">
        <f>VLOOKUP(A1885,'[3]Price info'!A:D,4,FALSE)</f>
        <v>853.17</v>
      </c>
      <c r="M1885" s="18" t="s">
        <v>214</v>
      </c>
      <c r="N1885" s="20">
        <v>3105</v>
      </c>
      <c r="P1885" s="16">
        <f>VLOOKUP(A1885,'[3]Price info'!A:H,8,FALSE)</f>
        <v>853.17</v>
      </c>
      <c r="Q1885" s="17">
        <f t="shared" si="117"/>
        <v>1</v>
      </c>
      <c r="S1885" s="16" t="e">
        <f>VLOOKUP(A1885,[4]Sales!$E:$G,3,FALSE)</f>
        <v>#N/A</v>
      </c>
      <c r="T1885" s="19" t="e">
        <f>VLOOKUP(A1885,[4]Volume!$E:$G,3,FALSE)</f>
        <v>#N/A</v>
      </c>
      <c r="U1885" s="19" t="e">
        <f>VLOOKUP(A1885,[4]Piece!$E:$G,3,FALSE)</f>
        <v>#N/A</v>
      </c>
      <c r="V1885" s="21" t="e">
        <f t="shared" si="118"/>
        <v>#N/A</v>
      </c>
      <c r="W1885" s="16" t="e">
        <f t="shared" si="119"/>
        <v>#N/A</v>
      </c>
    </row>
    <row r="1886" spans="1:23" hidden="1" x14ac:dyDescent="0.3">
      <c r="A1886" s="71" t="s">
        <v>3708</v>
      </c>
      <c r="B1886" s="71" t="s">
        <v>3708</v>
      </c>
      <c r="C1886" s="51" t="s">
        <v>33</v>
      </c>
      <c r="D1886" s="48" t="s">
        <v>34</v>
      </c>
      <c r="E1886" s="18" t="s">
        <v>3709</v>
      </c>
      <c r="F1886" s="24" t="str">
        <f t="shared" si="116"/>
        <v>PPG - PHENGUARD 940 SET GREY        5000001400</v>
      </c>
      <c r="G1886" s="20" t="s">
        <v>6756</v>
      </c>
      <c r="H1886" s="49" t="s">
        <v>213</v>
      </c>
      <c r="I1886" s="18" t="s">
        <v>37</v>
      </c>
      <c r="J1886" s="18" t="s">
        <v>38</v>
      </c>
      <c r="K1886" t="s">
        <v>39</v>
      </c>
      <c r="L1886" s="50">
        <f>VLOOKUP(A1886,'[3]Price info'!A:D,4,FALSE)</f>
        <v>190.45</v>
      </c>
      <c r="M1886" s="18" t="s">
        <v>214</v>
      </c>
      <c r="N1886" s="20">
        <v>3105</v>
      </c>
      <c r="P1886" s="16">
        <f>VLOOKUP(A1886,'[3]Price info'!A:H,8,FALSE)</f>
        <v>190.45</v>
      </c>
      <c r="Q1886" s="17">
        <f t="shared" si="117"/>
        <v>1</v>
      </c>
      <c r="S1886" s="16" t="e">
        <f>VLOOKUP(A1886,[4]Sales!$E:$G,3,FALSE)</f>
        <v>#N/A</v>
      </c>
      <c r="T1886" s="19" t="e">
        <f>VLOOKUP(A1886,[4]Volume!$E:$G,3,FALSE)</f>
        <v>#N/A</v>
      </c>
      <c r="U1886" s="19" t="e">
        <f>VLOOKUP(A1886,[4]Piece!$E:$G,3,FALSE)</f>
        <v>#N/A</v>
      </c>
      <c r="V1886" s="21" t="e">
        <f t="shared" si="118"/>
        <v>#N/A</v>
      </c>
      <c r="W1886" s="16" t="e">
        <f t="shared" si="119"/>
        <v>#N/A</v>
      </c>
    </row>
    <row r="1887" spans="1:23" hidden="1" x14ac:dyDescent="0.3">
      <c r="A1887" s="71" t="s">
        <v>3710</v>
      </c>
      <c r="B1887" s="71" t="s">
        <v>3710</v>
      </c>
      <c r="C1887" s="47" t="s">
        <v>33</v>
      </c>
      <c r="D1887" s="48" t="s">
        <v>34</v>
      </c>
      <c r="E1887" s="18" t="s">
        <v>3711</v>
      </c>
      <c r="F1887" s="24" t="str">
        <f t="shared" si="116"/>
        <v>PPG - PHENGUARD 940 SET GREY        5000002200</v>
      </c>
      <c r="G1887" s="20" t="s">
        <v>6757</v>
      </c>
      <c r="H1887" s="49" t="s">
        <v>213</v>
      </c>
      <c r="I1887" s="18" t="s">
        <v>37</v>
      </c>
      <c r="J1887" s="18" t="s">
        <v>38</v>
      </c>
      <c r="K1887" t="s">
        <v>39</v>
      </c>
      <c r="L1887" s="50">
        <f>VLOOKUP(A1887,'[3]Price info'!A:D,4,FALSE)</f>
        <v>853.17</v>
      </c>
      <c r="M1887" s="18" t="s">
        <v>214</v>
      </c>
      <c r="N1887" s="20">
        <v>3105</v>
      </c>
      <c r="P1887" s="16">
        <f>VLOOKUP(A1887,'[3]Price info'!A:H,8,FALSE)</f>
        <v>853.17</v>
      </c>
      <c r="Q1887" s="17">
        <f t="shared" si="117"/>
        <v>1</v>
      </c>
      <c r="S1887" s="16" t="e">
        <f>VLOOKUP(A1887,[4]Sales!$E:$G,3,FALSE)</f>
        <v>#N/A</v>
      </c>
      <c r="T1887" s="19" t="e">
        <f>VLOOKUP(A1887,[4]Volume!$E:$G,3,FALSE)</f>
        <v>#N/A</v>
      </c>
      <c r="U1887" s="19" t="e">
        <f>VLOOKUP(A1887,[4]Piece!$E:$G,3,FALSE)</f>
        <v>#N/A</v>
      </c>
      <c r="V1887" s="21" t="e">
        <f t="shared" si="118"/>
        <v>#N/A</v>
      </c>
      <c r="W1887" s="16" t="e">
        <f t="shared" si="119"/>
        <v>#N/A</v>
      </c>
    </row>
    <row r="1888" spans="1:23" hidden="1" x14ac:dyDescent="0.3">
      <c r="A1888" s="71" t="s">
        <v>3712</v>
      </c>
      <c r="B1888" s="71" t="s">
        <v>3712</v>
      </c>
      <c r="C1888" s="47" t="s">
        <v>33</v>
      </c>
      <c r="D1888" s="48" t="s">
        <v>34</v>
      </c>
      <c r="E1888" s="18" t="s">
        <v>3713</v>
      </c>
      <c r="F1888" s="24" t="str">
        <f t="shared" si="116"/>
        <v>PPG - PHENGUARD SUBSEA 610 SET REDG 0000001400</v>
      </c>
      <c r="G1888" s="20" t="s">
        <v>6758</v>
      </c>
      <c r="H1888" s="49" t="s">
        <v>213</v>
      </c>
      <c r="I1888" s="18" t="s">
        <v>37</v>
      </c>
      <c r="J1888" s="18" t="s">
        <v>38</v>
      </c>
      <c r="K1888" t="s">
        <v>39</v>
      </c>
      <c r="L1888" s="50">
        <f>VLOOKUP(A1888,'[3]Price info'!A:D,4,FALSE)</f>
        <v>200.03</v>
      </c>
      <c r="M1888" s="18" t="s">
        <v>214</v>
      </c>
      <c r="N1888" s="20">
        <v>3105</v>
      </c>
      <c r="P1888" s="16">
        <f>VLOOKUP(A1888,'[3]Price info'!A:H,8,FALSE)</f>
        <v>200.03</v>
      </c>
      <c r="Q1888" s="17">
        <f t="shared" si="117"/>
        <v>1</v>
      </c>
      <c r="S1888" s="16" t="e">
        <f>VLOOKUP(A1888,[4]Sales!$E:$G,3,FALSE)</f>
        <v>#N/A</v>
      </c>
      <c r="T1888" s="19" t="e">
        <f>VLOOKUP(A1888,[4]Volume!$E:$G,3,FALSE)</f>
        <v>#N/A</v>
      </c>
      <c r="U1888" s="19" t="e">
        <f>VLOOKUP(A1888,[4]Piece!$E:$G,3,FALSE)</f>
        <v>#N/A</v>
      </c>
      <c r="V1888" s="21" t="e">
        <f t="shared" si="118"/>
        <v>#N/A</v>
      </c>
      <c r="W1888" s="16" t="e">
        <f t="shared" si="119"/>
        <v>#N/A</v>
      </c>
    </row>
    <row r="1889" spans="1:23" hidden="1" x14ac:dyDescent="0.3">
      <c r="A1889" s="71" t="s">
        <v>3714</v>
      </c>
      <c r="B1889" s="71" t="s">
        <v>3714</v>
      </c>
      <c r="C1889" s="51" t="s">
        <v>33</v>
      </c>
      <c r="D1889" s="48" t="s">
        <v>34</v>
      </c>
      <c r="E1889" s="18" t="s">
        <v>3715</v>
      </c>
      <c r="F1889" s="24" t="str">
        <f t="shared" si="116"/>
        <v>PPG - PHENGUARD SUBSEA 610 SET REDGREY 0002200</v>
      </c>
      <c r="G1889" s="20" t="s">
        <v>6759</v>
      </c>
      <c r="H1889" s="49" t="s">
        <v>213</v>
      </c>
      <c r="I1889" s="18" t="s">
        <v>37</v>
      </c>
      <c r="J1889" s="18" t="s">
        <v>38</v>
      </c>
      <c r="K1889" t="s">
        <v>39</v>
      </c>
      <c r="L1889" s="50">
        <f>VLOOKUP(A1889,'[3]Price info'!A:D,4,FALSE)</f>
        <v>817.92</v>
      </c>
      <c r="M1889" s="18" t="s">
        <v>214</v>
      </c>
      <c r="N1889" s="20">
        <v>3105</v>
      </c>
      <c r="P1889" s="16">
        <f>VLOOKUP(A1889,'[3]Price info'!A:H,8,FALSE)</f>
        <v>817.92</v>
      </c>
      <c r="Q1889" s="17">
        <f t="shared" si="117"/>
        <v>1</v>
      </c>
      <c r="S1889" s="16" t="e">
        <f>VLOOKUP(A1889,[4]Sales!$E:$G,3,FALSE)</f>
        <v>#N/A</v>
      </c>
      <c r="T1889" s="19" t="e">
        <f>VLOOKUP(A1889,[4]Volume!$E:$G,3,FALSE)</f>
        <v>#N/A</v>
      </c>
      <c r="U1889" s="19" t="e">
        <f>VLOOKUP(A1889,[4]Piece!$E:$G,3,FALSE)</f>
        <v>#N/A</v>
      </c>
      <c r="V1889" s="21" t="e">
        <f t="shared" si="118"/>
        <v>#N/A</v>
      </c>
      <c r="W1889" s="16" t="e">
        <f t="shared" si="119"/>
        <v>#N/A</v>
      </c>
    </row>
    <row r="1890" spans="1:23" hidden="1" x14ac:dyDescent="0.3">
      <c r="A1890" s="71" t="s">
        <v>3716</v>
      </c>
      <c r="B1890" s="71" t="s">
        <v>3716</v>
      </c>
      <c r="C1890" s="47" t="s">
        <v>33</v>
      </c>
      <c r="D1890" s="48" t="s">
        <v>34</v>
      </c>
      <c r="E1890" s="18" t="s">
        <v>3717</v>
      </c>
      <c r="F1890" s="24" t="str">
        <f t="shared" si="116"/>
        <v>PPG - PHENGUARD SUBSEA 780   SET RAL1018261400</v>
      </c>
      <c r="G1890" s="20" t="s">
        <v>6760</v>
      </c>
      <c r="H1890" s="49" t="s">
        <v>213</v>
      </c>
      <c r="I1890" s="18" t="s">
        <v>37</v>
      </c>
      <c r="J1890" s="18" t="s">
        <v>38</v>
      </c>
      <c r="K1890" t="s">
        <v>39</v>
      </c>
      <c r="L1890" s="50">
        <f>VLOOKUP(A1890,'[3]Price info'!A:D,4,FALSE)</f>
        <v>201.46</v>
      </c>
      <c r="M1890" s="18" t="s">
        <v>214</v>
      </c>
      <c r="N1890" s="20">
        <v>3105</v>
      </c>
      <c r="P1890" s="16">
        <f>VLOOKUP(A1890,'[3]Price info'!A:H,8,FALSE)</f>
        <v>201.46</v>
      </c>
      <c r="Q1890" s="17">
        <f t="shared" si="117"/>
        <v>1</v>
      </c>
      <c r="S1890" s="16" t="e">
        <f>VLOOKUP(A1890,[4]Sales!$E:$G,3,FALSE)</f>
        <v>#N/A</v>
      </c>
      <c r="T1890" s="19" t="e">
        <f>VLOOKUP(A1890,[4]Volume!$E:$G,3,FALSE)</f>
        <v>#N/A</v>
      </c>
      <c r="U1890" s="19" t="e">
        <f>VLOOKUP(A1890,[4]Piece!$E:$G,3,FALSE)</f>
        <v>#N/A</v>
      </c>
      <c r="V1890" s="21" t="e">
        <f t="shared" si="118"/>
        <v>#N/A</v>
      </c>
      <c r="W1890" s="16" t="e">
        <f t="shared" si="119"/>
        <v>#N/A</v>
      </c>
    </row>
    <row r="1891" spans="1:23" hidden="1" x14ac:dyDescent="0.3">
      <c r="A1891" s="71" t="s">
        <v>3718</v>
      </c>
      <c r="B1891" s="71" t="s">
        <v>3718</v>
      </c>
      <c r="C1891" s="47" t="s">
        <v>33</v>
      </c>
      <c r="D1891" s="48" t="s">
        <v>34</v>
      </c>
      <c r="E1891" s="18" t="s">
        <v>3719</v>
      </c>
      <c r="F1891" s="24" t="str">
        <f t="shared" si="116"/>
        <v>PPG - PHENGUARD SUBSEA 780 SET RAL  1004261400</v>
      </c>
      <c r="G1891" s="20" t="s">
        <v>6761</v>
      </c>
      <c r="H1891" s="49" t="s">
        <v>213</v>
      </c>
      <c r="I1891" s="18" t="s">
        <v>37</v>
      </c>
      <c r="J1891" s="18" t="s">
        <v>38</v>
      </c>
      <c r="K1891" t="s">
        <v>39</v>
      </c>
      <c r="L1891" s="50">
        <f>VLOOKUP(A1891,'[3]Price info'!A:D,4,FALSE)</f>
        <v>201.51</v>
      </c>
      <c r="M1891" s="18" t="s">
        <v>214</v>
      </c>
      <c r="N1891" s="20">
        <v>3105</v>
      </c>
      <c r="P1891" s="16">
        <f>VLOOKUP(A1891,'[3]Price info'!A:H,8,FALSE)</f>
        <v>201.51</v>
      </c>
      <c r="Q1891" s="17">
        <f t="shared" si="117"/>
        <v>1</v>
      </c>
      <c r="S1891" s="16" t="e">
        <f>VLOOKUP(A1891,[4]Sales!$E:$G,3,FALSE)</f>
        <v>#N/A</v>
      </c>
      <c r="T1891" s="19" t="e">
        <f>VLOOKUP(A1891,[4]Volume!$E:$G,3,FALSE)</f>
        <v>#N/A</v>
      </c>
      <c r="U1891" s="19" t="e">
        <f>VLOOKUP(A1891,[4]Piece!$E:$G,3,FALSE)</f>
        <v>#N/A</v>
      </c>
      <c r="V1891" s="21" t="e">
        <f t="shared" si="118"/>
        <v>#N/A</v>
      </c>
      <c r="W1891" s="16" t="e">
        <f t="shared" si="119"/>
        <v>#N/A</v>
      </c>
    </row>
    <row r="1892" spans="1:23" hidden="1" x14ac:dyDescent="0.3">
      <c r="A1892" s="71" t="s">
        <v>3720</v>
      </c>
      <c r="B1892" s="71" t="s">
        <v>3720</v>
      </c>
      <c r="C1892" s="51" t="s">
        <v>33</v>
      </c>
      <c r="D1892" s="48" t="s">
        <v>34</v>
      </c>
      <c r="E1892" s="18" t="s">
        <v>3721</v>
      </c>
      <c r="F1892" s="24" t="str">
        <f t="shared" si="116"/>
        <v>PPG - PHENGUARD SUBSEA 780 SET RAL  2004261400</v>
      </c>
      <c r="G1892" s="20" t="s">
        <v>6762</v>
      </c>
      <c r="H1892" s="49" t="s">
        <v>213</v>
      </c>
      <c r="I1892" s="18" t="s">
        <v>37</v>
      </c>
      <c r="J1892" s="18" t="s">
        <v>38</v>
      </c>
      <c r="K1892" t="s">
        <v>39</v>
      </c>
      <c r="L1892" s="50">
        <f>VLOOKUP(A1892,'[3]Price info'!A:D,4,FALSE)</f>
        <v>201.51</v>
      </c>
      <c r="M1892" s="18" t="s">
        <v>214</v>
      </c>
      <c r="N1892" s="20">
        <v>3105</v>
      </c>
      <c r="P1892" s="16">
        <f>VLOOKUP(A1892,'[3]Price info'!A:H,8,FALSE)</f>
        <v>201.51</v>
      </c>
      <c r="Q1892" s="17">
        <f t="shared" si="117"/>
        <v>1</v>
      </c>
      <c r="S1892" s="16" t="e">
        <f>VLOOKUP(A1892,[4]Sales!$E:$G,3,FALSE)</f>
        <v>#N/A</v>
      </c>
      <c r="T1892" s="19" t="e">
        <f>VLOOKUP(A1892,[4]Volume!$E:$G,3,FALSE)</f>
        <v>#N/A</v>
      </c>
      <c r="U1892" s="19" t="e">
        <f>VLOOKUP(A1892,[4]Piece!$E:$G,3,FALSE)</f>
        <v>#N/A</v>
      </c>
      <c r="V1892" s="21" t="e">
        <f t="shared" si="118"/>
        <v>#N/A</v>
      </c>
      <c r="W1892" s="16" t="e">
        <f t="shared" si="119"/>
        <v>#N/A</v>
      </c>
    </row>
    <row r="1893" spans="1:23" hidden="1" x14ac:dyDescent="0.3">
      <c r="A1893" s="71" t="s">
        <v>3722</v>
      </c>
      <c r="B1893" s="71" t="s">
        <v>3722</v>
      </c>
      <c r="C1893" s="47" t="s">
        <v>33</v>
      </c>
      <c r="D1893" s="48" t="s">
        <v>34</v>
      </c>
      <c r="E1893" s="18" t="s">
        <v>3723</v>
      </c>
      <c r="F1893" s="24" t="str">
        <f t="shared" si="116"/>
        <v>PPG - PPG   EP001        HARDENER   0000001158</v>
      </c>
      <c r="G1893" s="20" t="s">
        <v>6763</v>
      </c>
      <c r="H1893" s="49" t="s">
        <v>213</v>
      </c>
      <c r="I1893" s="18" t="s">
        <v>37</v>
      </c>
      <c r="J1893" s="18" t="s">
        <v>38</v>
      </c>
      <c r="K1893" t="s">
        <v>39</v>
      </c>
      <c r="L1893" s="50">
        <f>VLOOKUP(A1893,'[3]Price info'!A:D,4,FALSE)</f>
        <v>140.6</v>
      </c>
      <c r="M1893" s="18" t="s">
        <v>214</v>
      </c>
      <c r="N1893" s="20">
        <v>3105</v>
      </c>
      <c r="P1893" s="16">
        <f>VLOOKUP(A1893,'[3]Price info'!A:H,8,FALSE)</f>
        <v>140.6</v>
      </c>
      <c r="Q1893" s="17">
        <f t="shared" si="117"/>
        <v>1</v>
      </c>
      <c r="S1893" s="16" t="e">
        <f>VLOOKUP(A1893,[4]Sales!$E:$G,3,FALSE)</f>
        <v>#N/A</v>
      </c>
      <c r="T1893" s="19" t="e">
        <f>VLOOKUP(A1893,[4]Volume!$E:$G,3,FALSE)</f>
        <v>#N/A</v>
      </c>
      <c r="U1893" s="19" t="e">
        <f>VLOOKUP(A1893,[4]Piece!$E:$G,3,FALSE)</f>
        <v>#N/A</v>
      </c>
      <c r="V1893" s="21" t="e">
        <f t="shared" si="118"/>
        <v>#N/A</v>
      </c>
      <c r="W1893" s="16" t="e">
        <f t="shared" si="119"/>
        <v>#N/A</v>
      </c>
    </row>
    <row r="1894" spans="1:23" hidden="1" x14ac:dyDescent="0.3">
      <c r="A1894" s="71" t="s">
        <v>3724</v>
      </c>
      <c r="B1894" s="71" t="s">
        <v>3724</v>
      </c>
      <c r="C1894" s="47" t="s">
        <v>33</v>
      </c>
      <c r="D1894" s="48" t="s">
        <v>34</v>
      </c>
      <c r="E1894" s="18" t="s">
        <v>3725</v>
      </c>
      <c r="F1894" s="24" t="str">
        <f t="shared" si="116"/>
        <v>PPG - PPG   EP001        HARDENER   0000001316</v>
      </c>
      <c r="G1894" s="20" t="s">
        <v>6764</v>
      </c>
      <c r="H1894" s="49" t="s">
        <v>213</v>
      </c>
      <c r="I1894" s="18" t="s">
        <v>37</v>
      </c>
      <c r="J1894" s="18" t="s">
        <v>38</v>
      </c>
      <c r="K1894" t="s">
        <v>39</v>
      </c>
      <c r="L1894" s="50">
        <f>VLOOKUP(A1894,'[3]Price info'!A:D,4,FALSE)</f>
        <v>276.77</v>
      </c>
      <c r="M1894" s="18" t="s">
        <v>214</v>
      </c>
      <c r="N1894" s="20">
        <v>3105</v>
      </c>
      <c r="P1894" s="16">
        <f>VLOOKUP(A1894,'[3]Price info'!A:H,8,FALSE)</f>
        <v>276.77</v>
      </c>
      <c r="Q1894" s="17">
        <f t="shared" si="117"/>
        <v>1</v>
      </c>
      <c r="S1894" s="16" t="e">
        <f>VLOOKUP(A1894,[4]Sales!$E:$G,3,FALSE)</f>
        <v>#N/A</v>
      </c>
      <c r="T1894" s="19" t="e">
        <f>VLOOKUP(A1894,[4]Volume!$E:$G,3,FALSE)</f>
        <v>#N/A</v>
      </c>
      <c r="U1894" s="19" t="e">
        <f>VLOOKUP(A1894,[4]Piece!$E:$G,3,FALSE)</f>
        <v>#N/A</v>
      </c>
      <c r="V1894" s="21" t="e">
        <f t="shared" si="118"/>
        <v>#N/A</v>
      </c>
      <c r="W1894" s="16" t="e">
        <f t="shared" si="119"/>
        <v>#N/A</v>
      </c>
    </row>
    <row r="1895" spans="1:23" hidden="1" x14ac:dyDescent="0.3">
      <c r="A1895" s="71" t="s">
        <v>3726</v>
      </c>
      <c r="B1895" s="71" t="s">
        <v>3726</v>
      </c>
      <c r="C1895" s="51" t="s">
        <v>33</v>
      </c>
      <c r="D1895" s="48" t="s">
        <v>34</v>
      </c>
      <c r="E1895" s="18" t="s">
        <v>3727</v>
      </c>
      <c r="F1895" s="24" t="str">
        <f t="shared" si="116"/>
        <v>PPG - PPG   EP001        HARDENER   0000001790</v>
      </c>
      <c r="G1895" s="20" t="s">
        <v>6765</v>
      </c>
      <c r="H1895" s="49" t="s">
        <v>213</v>
      </c>
      <c r="I1895" s="18" t="s">
        <v>37</v>
      </c>
      <c r="J1895" s="18" t="s">
        <v>38</v>
      </c>
      <c r="K1895" t="s">
        <v>39</v>
      </c>
      <c r="L1895" s="50">
        <f>VLOOKUP(A1895,'[3]Price info'!A:D,4,FALSE)</f>
        <v>686.38</v>
      </c>
      <c r="M1895" s="18" t="s">
        <v>214</v>
      </c>
      <c r="N1895" s="20">
        <v>3105</v>
      </c>
      <c r="P1895" s="16">
        <f>VLOOKUP(A1895,'[3]Price info'!A:H,8,FALSE)</f>
        <v>686.38</v>
      </c>
      <c r="Q1895" s="17">
        <f t="shared" si="117"/>
        <v>1</v>
      </c>
      <c r="S1895" s="16" t="e">
        <f>VLOOKUP(A1895,[4]Sales!$E:$G,3,FALSE)</f>
        <v>#N/A</v>
      </c>
      <c r="T1895" s="19" t="e">
        <f>VLOOKUP(A1895,[4]Volume!$E:$G,3,FALSE)</f>
        <v>#N/A</v>
      </c>
      <c r="U1895" s="19" t="e">
        <f>VLOOKUP(A1895,[4]Piece!$E:$G,3,FALSE)</f>
        <v>#N/A</v>
      </c>
      <c r="V1895" s="21" t="e">
        <f t="shared" si="118"/>
        <v>#N/A</v>
      </c>
      <c r="W1895" s="16" t="e">
        <f t="shared" si="119"/>
        <v>#N/A</v>
      </c>
    </row>
    <row r="1896" spans="1:23" hidden="1" x14ac:dyDescent="0.3">
      <c r="A1896" s="71" t="s">
        <v>3728</v>
      </c>
      <c r="B1896" s="71" t="s">
        <v>3728</v>
      </c>
      <c r="C1896" s="47" t="s">
        <v>33</v>
      </c>
      <c r="D1896" s="48" t="s">
        <v>34</v>
      </c>
      <c r="E1896" s="18" t="s">
        <v>3729</v>
      </c>
      <c r="F1896" s="24" t="str">
        <f t="shared" si="116"/>
        <v>PPG - PPG   EP001        YELLOW     0000001342</v>
      </c>
      <c r="G1896" s="20" t="s">
        <v>6766</v>
      </c>
      <c r="H1896" s="49" t="s">
        <v>213</v>
      </c>
      <c r="I1896" s="18" t="s">
        <v>37</v>
      </c>
      <c r="J1896" s="18" t="s">
        <v>38</v>
      </c>
      <c r="K1896" t="s">
        <v>39</v>
      </c>
      <c r="L1896" s="50">
        <f>VLOOKUP(A1896,'[3]Price info'!A:D,4,FALSE)</f>
        <v>262.38</v>
      </c>
      <c r="M1896" s="18" t="s">
        <v>214</v>
      </c>
      <c r="N1896" s="20">
        <v>3105</v>
      </c>
      <c r="P1896" s="16">
        <f>VLOOKUP(A1896,'[3]Price info'!A:H,8,FALSE)</f>
        <v>262.38</v>
      </c>
      <c r="Q1896" s="17">
        <f t="shared" si="117"/>
        <v>1</v>
      </c>
      <c r="S1896" s="16" t="e">
        <f>VLOOKUP(A1896,[4]Sales!$E:$G,3,FALSE)</f>
        <v>#N/A</v>
      </c>
      <c r="T1896" s="19" t="e">
        <f>VLOOKUP(A1896,[4]Volume!$E:$G,3,FALSE)</f>
        <v>#N/A</v>
      </c>
      <c r="U1896" s="19" t="e">
        <f>VLOOKUP(A1896,[4]Piece!$E:$G,3,FALSE)</f>
        <v>#N/A</v>
      </c>
      <c r="V1896" s="21" t="e">
        <f t="shared" si="118"/>
        <v>#N/A</v>
      </c>
      <c r="W1896" s="16" t="e">
        <f t="shared" si="119"/>
        <v>#N/A</v>
      </c>
    </row>
    <row r="1897" spans="1:23" hidden="1" x14ac:dyDescent="0.3">
      <c r="A1897" s="71" t="s">
        <v>3730</v>
      </c>
      <c r="B1897" s="71" t="s">
        <v>3730</v>
      </c>
      <c r="C1897" s="47" t="s">
        <v>33</v>
      </c>
      <c r="D1897" s="48" t="s">
        <v>34</v>
      </c>
      <c r="E1897" s="18" t="s">
        <v>3731</v>
      </c>
      <c r="F1897" s="24" t="str">
        <f t="shared" si="116"/>
        <v>PPG - PPG   EP001        YELLOW     0000001684</v>
      </c>
      <c r="G1897" s="20" t="s">
        <v>6767</v>
      </c>
      <c r="H1897" s="49" t="s">
        <v>213</v>
      </c>
      <c r="I1897" s="18" t="s">
        <v>37</v>
      </c>
      <c r="J1897" s="18" t="s">
        <v>38</v>
      </c>
      <c r="K1897" t="s">
        <v>39</v>
      </c>
      <c r="L1897" s="50">
        <f>VLOOKUP(A1897,'[3]Price info'!A:D,4,FALSE)</f>
        <v>471.61</v>
      </c>
      <c r="M1897" s="18" t="s">
        <v>214</v>
      </c>
      <c r="N1897" s="20">
        <v>3105</v>
      </c>
      <c r="P1897" s="16">
        <f>VLOOKUP(A1897,'[3]Price info'!A:H,8,FALSE)</f>
        <v>471.61</v>
      </c>
      <c r="Q1897" s="17">
        <f t="shared" si="117"/>
        <v>1</v>
      </c>
      <c r="S1897" s="16" t="e">
        <f>VLOOKUP(A1897,[4]Sales!$E:$G,3,FALSE)</f>
        <v>#N/A</v>
      </c>
      <c r="T1897" s="19" t="e">
        <f>VLOOKUP(A1897,[4]Volume!$E:$G,3,FALSE)</f>
        <v>#N/A</v>
      </c>
      <c r="U1897" s="19" t="e">
        <f>VLOOKUP(A1897,[4]Piece!$E:$G,3,FALSE)</f>
        <v>#N/A</v>
      </c>
      <c r="V1897" s="21" t="e">
        <f t="shared" si="118"/>
        <v>#N/A</v>
      </c>
      <c r="W1897" s="16" t="e">
        <f t="shared" si="119"/>
        <v>#N/A</v>
      </c>
    </row>
    <row r="1898" spans="1:23" hidden="1" x14ac:dyDescent="0.3">
      <c r="A1898" s="71" t="s">
        <v>3732</v>
      </c>
      <c r="B1898" s="71" t="s">
        <v>3732</v>
      </c>
      <c r="C1898" s="51" t="s">
        <v>33</v>
      </c>
      <c r="D1898" s="48" t="s">
        <v>34</v>
      </c>
      <c r="E1898" s="18" t="s">
        <v>3733</v>
      </c>
      <c r="F1898" s="24" t="str">
        <f t="shared" si="116"/>
        <v>PPG - PPG   EP001        YELLOW     0000002171</v>
      </c>
      <c r="G1898" s="20" t="s">
        <v>6768</v>
      </c>
      <c r="H1898" s="49" t="s">
        <v>213</v>
      </c>
      <c r="I1898" s="18" t="s">
        <v>37</v>
      </c>
      <c r="J1898" s="18" t="s">
        <v>38</v>
      </c>
      <c r="K1898" t="s">
        <v>39</v>
      </c>
      <c r="L1898" s="50">
        <f>VLOOKUP(A1898,'[3]Price info'!A:D,4,FALSE)</f>
        <v>1064.6400000000001</v>
      </c>
      <c r="M1898" s="18" t="s">
        <v>214</v>
      </c>
      <c r="N1898" s="20">
        <v>3105</v>
      </c>
      <c r="P1898" s="16">
        <f>VLOOKUP(A1898,'[3]Price info'!A:H,8,FALSE)</f>
        <v>1064.6400000000001</v>
      </c>
      <c r="Q1898" s="17">
        <f t="shared" si="117"/>
        <v>1</v>
      </c>
      <c r="S1898" s="16" t="e">
        <f>VLOOKUP(A1898,[4]Sales!$E:$G,3,FALSE)</f>
        <v>#N/A</v>
      </c>
      <c r="T1898" s="19" t="e">
        <f>VLOOKUP(A1898,[4]Volume!$E:$G,3,FALSE)</f>
        <v>#N/A</v>
      </c>
      <c r="U1898" s="19" t="e">
        <f>VLOOKUP(A1898,[4]Piece!$E:$G,3,FALSE)</f>
        <v>#N/A</v>
      </c>
      <c r="V1898" s="21" t="e">
        <f t="shared" si="118"/>
        <v>#N/A</v>
      </c>
      <c r="W1898" s="16" t="e">
        <f t="shared" si="119"/>
        <v>#N/A</v>
      </c>
    </row>
    <row r="1899" spans="1:23" hidden="1" x14ac:dyDescent="0.3">
      <c r="A1899" s="71" t="s">
        <v>3734</v>
      </c>
      <c r="B1899" s="71" t="s">
        <v>3734</v>
      </c>
      <c r="C1899" s="47" t="s">
        <v>33</v>
      </c>
      <c r="D1899" s="48" t="s">
        <v>34</v>
      </c>
      <c r="E1899" s="18" t="s">
        <v>3735</v>
      </c>
      <c r="F1899" s="24" t="str">
        <f t="shared" si="116"/>
        <v>PPG - PPG   EP002        CLEAR      0000001338</v>
      </c>
      <c r="G1899" s="20" t="s">
        <v>6769</v>
      </c>
      <c r="H1899" s="49" t="s">
        <v>213</v>
      </c>
      <c r="I1899" s="18" t="s">
        <v>37</v>
      </c>
      <c r="J1899" s="18" t="s">
        <v>38</v>
      </c>
      <c r="K1899" t="s">
        <v>39</v>
      </c>
      <c r="L1899" s="50">
        <f>VLOOKUP(A1899,'[3]Price info'!A:D,4,FALSE)</f>
        <v>226.95</v>
      </c>
      <c r="M1899" s="18" t="s">
        <v>214</v>
      </c>
      <c r="N1899" s="20">
        <v>3105</v>
      </c>
      <c r="P1899" s="16">
        <f>VLOOKUP(A1899,'[3]Price info'!A:H,8,FALSE)</f>
        <v>226.95</v>
      </c>
      <c r="Q1899" s="17">
        <f t="shared" si="117"/>
        <v>1</v>
      </c>
      <c r="S1899" s="16" t="e">
        <f>VLOOKUP(A1899,[4]Sales!$E:$G,3,FALSE)</f>
        <v>#N/A</v>
      </c>
      <c r="T1899" s="19" t="e">
        <f>VLOOKUP(A1899,[4]Volume!$E:$G,3,FALSE)</f>
        <v>#N/A</v>
      </c>
      <c r="U1899" s="19" t="e">
        <f>VLOOKUP(A1899,[4]Piece!$E:$G,3,FALSE)</f>
        <v>#N/A</v>
      </c>
      <c r="V1899" s="21" t="e">
        <f t="shared" si="118"/>
        <v>#N/A</v>
      </c>
      <c r="W1899" s="16" t="e">
        <f t="shared" si="119"/>
        <v>#N/A</v>
      </c>
    </row>
    <row r="1900" spans="1:23" hidden="1" x14ac:dyDescent="0.3">
      <c r="A1900" s="71" t="s">
        <v>3736</v>
      </c>
      <c r="B1900" s="71" t="s">
        <v>3736</v>
      </c>
      <c r="C1900" s="47" t="s">
        <v>33</v>
      </c>
      <c r="D1900" s="48" t="s">
        <v>34</v>
      </c>
      <c r="E1900" s="18" t="s">
        <v>3737</v>
      </c>
      <c r="F1900" s="24" t="str">
        <f t="shared" si="116"/>
        <v>PPG - PPG   EP002        CLEAR      0000001676</v>
      </c>
      <c r="G1900" s="20" t="s">
        <v>6770</v>
      </c>
      <c r="H1900" s="49" t="s">
        <v>213</v>
      </c>
      <c r="I1900" s="18" t="s">
        <v>37</v>
      </c>
      <c r="J1900" s="18" t="s">
        <v>38</v>
      </c>
      <c r="K1900" t="s">
        <v>39</v>
      </c>
      <c r="L1900" s="50">
        <f>VLOOKUP(A1900,'[3]Price info'!A:D,4,FALSE)</f>
        <v>422.9</v>
      </c>
      <c r="M1900" s="18" t="s">
        <v>214</v>
      </c>
      <c r="N1900" s="20">
        <v>3105</v>
      </c>
      <c r="P1900" s="16">
        <f>VLOOKUP(A1900,'[3]Price info'!A:H,8,FALSE)</f>
        <v>422.9</v>
      </c>
      <c r="Q1900" s="17">
        <f t="shared" si="117"/>
        <v>1</v>
      </c>
      <c r="S1900" s="16" t="e">
        <f>VLOOKUP(A1900,[4]Sales!$E:$G,3,FALSE)</f>
        <v>#N/A</v>
      </c>
      <c r="T1900" s="19" t="e">
        <f>VLOOKUP(A1900,[4]Volume!$E:$G,3,FALSE)</f>
        <v>#N/A</v>
      </c>
      <c r="U1900" s="19" t="e">
        <f>VLOOKUP(A1900,[4]Piece!$E:$G,3,FALSE)</f>
        <v>#N/A</v>
      </c>
      <c r="V1900" s="21" t="e">
        <f t="shared" si="118"/>
        <v>#N/A</v>
      </c>
      <c r="W1900" s="16" t="e">
        <f t="shared" si="119"/>
        <v>#N/A</v>
      </c>
    </row>
    <row r="1901" spans="1:23" hidden="1" x14ac:dyDescent="0.3">
      <c r="A1901" s="71" t="s">
        <v>3738</v>
      </c>
      <c r="B1901" s="71" t="s">
        <v>3738</v>
      </c>
      <c r="C1901" s="51" t="s">
        <v>33</v>
      </c>
      <c r="D1901" s="48" t="s">
        <v>34</v>
      </c>
      <c r="E1901" s="18" t="s">
        <v>3739</v>
      </c>
      <c r="F1901" s="24" t="str">
        <f t="shared" si="116"/>
        <v>PPG - PPG   EP002        CLEAR      0000002169</v>
      </c>
      <c r="G1901" s="20" t="s">
        <v>6771</v>
      </c>
      <c r="H1901" s="49" t="s">
        <v>213</v>
      </c>
      <c r="I1901" s="18" t="s">
        <v>37</v>
      </c>
      <c r="J1901" s="18" t="s">
        <v>38</v>
      </c>
      <c r="K1901" t="s">
        <v>39</v>
      </c>
      <c r="L1901" s="50">
        <f>VLOOKUP(A1901,'[3]Price info'!A:D,4,FALSE)</f>
        <v>1011.49</v>
      </c>
      <c r="M1901" s="18" t="s">
        <v>214</v>
      </c>
      <c r="N1901" s="20">
        <v>3105</v>
      </c>
      <c r="P1901" s="16">
        <f>VLOOKUP(A1901,'[3]Price info'!A:H,8,FALSE)</f>
        <v>1011.49</v>
      </c>
      <c r="Q1901" s="17">
        <f t="shared" si="117"/>
        <v>1</v>
      </c>
      <c r="S1901" s="16" t="e">
        <f>VLOOKUP(A1901,[4]Sales!$E:$G,3,FALSE)</f>
        <v>#N/A</v>
      </c>
      <c r="T1901" s="19" t="e">
        <f>VLOOKUP(A1901,[4]Volume!$E:$G,3,FALSE)</f>
        <v>#N/A</v>
      </c>
      <c r="U1901" s="19" t="e">
        <f>VLOOKUP(A1901,[4]Piece!$E:$G,3,FALSE)</f>
        <v>#N/A</v>
      </c>
      <c r="V1901" s="21" t="e">
        <f t="shared" si="118"/>
        <v>#N/A</v>
      </c>
      <c r="W1901" s="16" t="e">
        <f t="shared" si="119"/>
        <v>#N/A</v>
      </c>
    </row>
    <row r="1902" spans="1:23" hidden="1" x14ac:dyDescent="0.3">
      <c r="A1902" s="71" t="s">
        <v>3740</v>
      </c>
      <c r="B1902" s="71" t="s">
        <v>3740</v>
      </c>
      <c r="C1902" s="47" t="s">
        <v>33</v>
      </c>
      <c r="D1902" s="48" t="s">
        <v>34</v>
      </c>
      <c r="E1902" s="18" t="s">
        <v>3741</v>
      </c>
      <c r="F1902" s="24" t="str">
        <f t="shared" si="116"/>
        <v>PPG - PPG   EP002        HARDENER   0000001162</v>
      </c>
      <c r="G1902" s="20" t="s">
        <v>6772</v>
      </c>
      <c r="H1902" s="49" t="s">
        <v>213</v>
      </c>
      <c r="I1902" s="18" t="s">
        <v>37</v>
      </c>
      <c r="J1902" s="18" t="s">
        <v>38</v>
      </c>
      <c r="K1902" t="s">
        <v>39</v>
      </c>
      <c r="L1902" s="50">
        <f>VLOOKUP(A1902,'[3]Price info'!A:D,4,FALSE)</f>
        <v>107.02</v>
      </c>
      <c r="M1902" s="18" t="s">
        <v>214</v>
      </c>
      <c r="N1902" s="20">
        <v>3105</v>
      </c>
      <c r="P1902" s="16">
        <f>VLOOKUP(A1902,'[3]Price info'!A:H,8,FALSE)</f>
        <v>107.02</v>
      </c>
      <c r="Q1902" s="17">
        <f t="shared" si="117"/>
        <v>1</v>
      </c>
      <c r="S1902" s="16" t="e">
        <f>VLOOKUP(A1902,[4]Sales!$E:$G,3,FALSE)</f>
        <v>#N/A</v>
      </c>
      <c r="T1902" s="19" t="e">
        <f>VLOOKUP(A1902,[4]Volume!$E:$G,3,FALSE)</f>
        <v>#N/A</v>
      </c>
      <c r="U1902" s="19" t="e">
        <f>VLOOKUP(A1902,[4]Piece!$E:$G,3,FALSE)</f>
        <v>#N/A</v>
      </c>
      <c r="V1902" s="21" t="e">
        <f t="shared" si="118"/>
        <v>#N/A</v>
      </c>
      <c r="W1902" s="16" t="e">
        <f t="shared" si="119"/>
        <v>#N/A</v>
      </c>
    </row>
    <row r="1903" spans="1:23" hidden="1" x14ac:dyDescent="0.3">
      <c r="A1903" s="71" t="s">
        <v>3742</v>
      </c>
      <c r="B1903" s="71" t="s">
        <v>3742</v>
      </c>
      <c r="C1903" s="47" t="s">
        <v>33</v>
      </c>
      <c r="D1903" s="48" t="s">
        <v>34</v>
      </c>
      <c r="E1903" s="18" t="s">
        <v>3743</v>
      </c>
      <c r="F1903" s="24" t="str">
        <f t="shared" si="116"/>
        <v>PPG - PPG   EP002        HARDENER   0000001324</v>
      </c>
      <c r="G1903" s="20" t="s">
        <v>6773</v>
      </c>
      <c r="H1903" s="49" t="s">
        <v>213</v>
      </c>
      <c r="I1903" s="18" t="s">
        <v>37</v>
      </c>
      <c r="J1903" s="18" t="s">
        <v>38</v>
      </c>
      <c r="K1903" t="s">
        <v>39</v>
      </c>
      <c r="L1903" s="50">
        <f>VLOOKUP(A1903,'[3]Price info'!A:D,4,FALSE)</f>
        <v>210.35</v>
      </c>
      <c r="M1903" s="18" t="s">
        <v>214</v>
      </c>
      <c r="N1903" s="20">
        <v>3105</v>
      </c>
      <c r="P1903" s="16">
        <f>VLOOKUP(A1903,'[3]Price info'!A:H,8,FALSE)</f>
        <v>210.35</v>
      </c>
      <c r="Q1903" s="17">
        <f t="shared" si="117"/>
        <v>1</v>
      </c>
      <c r="S1903" s="16" t="e">
        <f>VLOOKUP(A1903,[4]Sales!$E:$G,3,FALSE)</f>
        <v>#N/A</v>
      </c>
      <c r="T1903" s="19" t="e">
        <f>VLOOKUP(A1903,[4]Volume!$E:$G,3,FALSE)</f>
        <v>#N/A</v>
      </c>
      <c r="U1903" s="19" t="e">
        <f>VLOOKUP(A1903,[4]Piece!$E:$G,3,FALSE)</f>
        <v>#N/A</v>
      </c>
      <c r="V1903" s="21" t="e">
        <f t="shared" si="118"/>
        <v>#N/A</v>
      </c>
      <c r="W1903" s="16" t="e">
        <f t="shared" si="119"/>
        <v>#N/A</v>
      </c>
    </row>
    <row r="1904" spans="1:23" hidden="1" x14ac:dyDescent="0.3">
      <c r="A1904" s="71" t="s">
        <v>3744</v>
      </c>
      <c r="B1904" s="71" t="s">
        <v>3744</v>
      </c>
      <c r="C1904" s="51" t="s">
        <v>33</v>
      </c>
      <c r="D1904" s="48" t="s">
        <v>34</v>
      </c>
      <c r="E1904" s="18" t="s">
        <v>3745</v>
      </c>
      <c r="F1904" s="24" t="str">
        <f t="shared" si="116"/>
        <v>PPG - PPG   EP002        HARDENER   0000001809</v>
      </c>
      <c r="G1904" s="20" t="s">
        <v>6774</v>
      </c>
      <c r="H1904" s="49" t="s">
        <v>213</v>
      </c>
      <c r="I1904" s="18" t="s">
        <v>37</v>
      </c>
      <c r="J1904" s="18" t="s">
        <v>38</v>
      </c>
      <c r="K1904" t="s">
        <v>39</v>
      </c>
      <c r="L1904" s="50">
        <f>VLOOKUP(A1904,'[3]Price info'!A:D,4,FALSE)</f>
        <v>523.65</v>
      </c>
      <c r="M1904" s="18" t="s">
        <v>214</v>
      </c>
      <c r="N1904" s="20">
        <v>3105</v>
      </c>
      <c r="P1904" s="16">
        <f>VLOOKUP(A1904,'[3]Price info'!A:H,8,FALSE)</f>
        <v>523.65</v>
      </c>
      <c r="Q1904" s="17">
        <f t="shared" si="117"/>
        <v>1</v>
      </c>
      <c r="S1904" s="16" t="e">
        <f>VLOOKUP(A1904,[4]Sales!$E:$G,3,FALSE)</f>
        <v>#N/A</v>
      </c>
      <c r="T1904" s="19" t="e">
        <f>VLOOKUP(A1904,[4]Volume!$E:$G,3,FALSE)</f>
        <v>#N/A</v>
      </c>
      <c r="U1904" s="19" t="e">
        <f>VLOOKUP(A1904,[4]Piece!$E:$G,3,FALSE)</f>
        <v>#N/A</v>
      </c>
      <c r="V1904" s="21" t="e">
        <f t="shared" si="118"/>
        <v>#N/A</v>
      </c>
      <c r="W1904" s="16" t="e">
        <f t="shared" si="119"/>
        <v>#N/A</v>
      </c>
    </row>
    <row r="1905" spans="1:23" hidden="1" x14ac:dyDescent="0.3">
      <c r="A1905" s="71" t="s">
        <v>3746</v>
      </c>
      <c r="B1905" s="71" t="s">
        <v>3746</v>
      </c>
      <c r="C1905" s="47" t="s">
        <v>33</v>
      </c>
      <c r="D1905" s="48" t="s">
        <v>34</v>
      </c>
      <c r="E1905" s="18" t="s">
        <v>3747</v>
      </c>
      <c r="F1905" s="24" t="str">
        <f t="shared" si="116"/>
        <v>PPG - PPG   EP201        DARK BLUE  0000001185</v>
      </c>
      <c r="G1905" s="20" t="s">
        <v>6775</v>
      </c>
      <c r="H1905" s="49" t="s">
        <v>213</v>
      </c>
      <c r="I1905" s="18" t="s">
        <v>37</v>
      </c>
      <c r="J1905" s="18" t="s">
        <v>38</v>
      </c>
      <c r="K1905" t="s">
        <v>39</v>
      </c>
      <c r="L1905" s="50">
        <f>VLOOKUP(A1905,'[3]Price info'!A:D,4,FALSE)</f>
        <v>223.27</v>
      </c>
      <c r="M1905" s="18" t="s">
        <v>214</v>
      </c>
      <c r="N1905" s="20">
        <v>3105</v>
      </c>
      <c r="P1905" s="16">
        <f>VLOOKUP(A1905,'[3]Price info'!A:H,8,FALSE)</f>
        <v>223.27</v>
      </c>
      <c r="Q1905" s="17">
        <f t="shared" si="117"/>
        <v>1</v>
      </c>
      <c r="S1905" s="16" t="e">
        <f>VLOOKUP(A1905,[4]Sales!$E:$G,3,FALSE)</f>
        <v>#N/A</v>
      </c>
      <c r="T1905" s="19" t="e">
        <f>VLOOKUP(A1905,[4]Volume!$E:$G,3,FALSE)</f>
        <v>#N/A</v>
      </c>
      <c r="U1905" s="19" t="e">
        <f>VLOOKUP(A1905,[4]Piece!$E:$G,3,FALSE)</f>
        <v>#N/A</v>
      </c>
      <c r="V1905" s="21" t="e">
        <f t="shared" si="118"/>
        <v>#N/A</v>
      </c>
      <c r="W1905" s="16" t="e">
        <f t="shared" si="119"/>
        <v>#N/A</v>
      </c>
    </row>
    <row r="1906" spans="1:23" hidden="1" x14ac:dyDescent="0.3">
      <c r="A1906" s="71" t="s">
        <v>3748</v>
      </c>
      <c r="B1906" s="71" t="s">
        <v>3748</v>
      </c>
      <c r="C1906" s="47" t="s">
        <v>33</v>
      </c>
      <c r="D1906" s="48" t="s">
        <v>34</v>
      </c>
      <c r="E1906" s="18" t="s">
        <v>3749</v>
      </c>
      <c r="F1906" s="24" t="str">
        <f t="shared" si="116"/>
        <v>PPG - PPG   EP201        DARK BLUE  0000001370</v>
      </c>
      <c r="G1906" s="20" t="s">
        <v>6776</v>
      </c>
      <c r="H1906" s="49" t="s">
        <v>213</v>
      </c>
      <c r="I1906" s="18" t="s">
        <v>37</v>
      </c>
      <c r="J1906" s="18" t="s">
        <v>38</v>
      </c>
      <c r="K1906" t="s">
        <v>39</v>
      </c>
      <c r="L1906" s="50">
        <f>VLOOKUP(A1906,'[3]Price info'!A:D,4,FALSE)</f>
        <v>417.37</v>
      </c>
      <c r="M1906" s="18" t="s">
        <v>214</v>
      </c>
      <c r="N1906" s="20">
        <v>3105</v>
      </c>
      <c r="P1906" s="16">
        <f>VLOOKUP(A1906,'[3]Price info'!A:H,8,FALSE)</f>
        <v>417.37</v>
      </c>
      <c r="Q1906" s="17">
        <f t="shared" si="117"/>
        <v>1</v>
      </c>
      <c r="S1906" s="16" t="e">
        <f>VLOOKUP(A1906,[4]Sales!$E:$G,3,FALSE)</f>
        <v>#N/A</v>
      </c>
      <c r="T1906" s="19" t="e">
        <f>VLOOKUP(A1906,[4]Volume!$E:$G,3,FALSE)</f>
        <v>#N/A</v>
      </c>
      <c r="U1906" s="19" t="e">
        <f>VLOOKUP(A1906,[4]Piece!$E:$G,3,FALSE)</f>
        <v>#N/A</v>
      </c>
      <c r="V1906" s="21" t="e">
        <f t="shared" si="118"/>
        <v>#N/A</v>
      </c>
      <c r="W1906" s="16" t="e">
        <f t="shared" si="119"/>
        <v>#N/A</v>
      </c>
    </row>
    <row r="1907" spans="1:23" hidden="1" x14ac:dyDescent="0.3">
      <c r="A1907" s="71" t="s">
        <v>3750</v>
      </c>
      <c r="B1907" s="71" t="s">
        <v>3750</v>
      </c>
      <c r="C1907" s="51" t="s">
        <v>33</v>
      </c>
      <c r="D1907" s="48" t="s">
        <v>34</v>
      </c>
      <c r="E1907" s="18" t="s">
        <v>3751</v>
      </c>
      <c r="F1907" s="24" t="str">
        <f t="shared" si="116"/>
        <v>PPG - PPG   EP201        DARK GREY  0000001185</v>
      </c>
      <c r="G1907" s="20" t="s">
        <v>6777</v>
      </c>
      <c r="H1907" s="49" t="s">
        <v>213</v>
      </c>
      <c r="I1907" s="18" t="s">
        <v>37</v>
      </c>
      <c r="J1907" s="18" t="s">
        <v>38</v>
      </c>
      <c r="K1907" t="s">
        <v>39</v>
      </c>
      <c r="L1907" s="50">
        <f>VLOOKUP(A1907,'[3]Price info'!A:D,4,FALSE)</f>
        <v>213.4</v>
      </c>
      <c r="M1907" s="18" t="s">
        <v>214</v>
      </c>
      <c r="N1907" s="20">
        <v>3105</v>
      </c>
      <c r="P1907" s="16">
        <f>VLOOKUP(A1907,'[3]Price info'!A:H,8,FALSE)</f>
        <v>213.4</v>
      </c>
      <c r="Q1907" s="17">
        <f t="shared" si="117"/>
        <v>1</v>
      </c>
      <c r="S1907" s="16" t="e">
        <f>VLOOKUP(A1907,[4]Sales!$E:$G,3,FALSE)</f>
        <v>#N/A</v>
      </c>
      <c r="T1907" s="19" t="e">
        <f>VLOOKUP(A1907,[4]Volume!$E:$G,3,FALSE)</f>
        <v>#N/A</v>
      </c>
      <c r="U1907" s="19" t="e">
        <f>VLOOKUP(A1907,[4]Piece!$E:$G,3,FALSE)</f>
        <v>#N/A</v>
      </c>
      <c r="V1907" s="21" t="e">
        <f t="shared" si="118"/>
        <v>#N/A</v>
      </c>
      <c r="W1907" s="16" t="e">
        <f t="shared" si="119"/>
        <v>#N/A</v>
      </c>
    </row>
    <row r="1908" spans="1:23" hidden="1" x14ac:dyDescent="0.3">
      <c r="A1908" s="71" t="s">
        <v>3752</v>
      </c>
      <c r="B1908" s="71" t="s">
        <v>3752</v>
      </c>
      <c r="C1908" s="47" t="s">
        <v>33</v>
      </c>
      <c r="D1908" s="48" t="s">
        <v>34</v>
      </c>
      <c r="E1908" s="18" t="s">
        <v>3753</v>
      </c>
      <c r="F1908" s="24" t="str">
        <f t="shared" si="116"/>
        <v>PPG - PPG   EP201        DARK GREY  0000001370</v>
      </c>
      <c r="G1908" s="20" t="s">
        <v>6778</v>
      </c>
      <c r="H1908" s="49" t="s">
        <v>213</v>
      </c>
      <c r="I1908" s="18" t="s">
        <v>37</v>
      </c>
      <c r="J1908" s="18" t="s">
        <v>38</v>
      </c>
      <c r="K1908" t="s">
        <v>39</v>
      </c>
      <c r="L1908" s="50">
        <f>VLOOKUP(A1908,'[3]Price info'!A:D,4,FALSE)</f>
        <v>418.37</v>
      </c>
      <c r="M1908" s="18" t="s">
        <v>214</v>
      </c>
      <c r="N1908" s="20">
        <v>3105</v>
      </c>
      <c r="P1908" s="16">
        <f>VLOOKUP(A1908,'[3]Price info'!A:H,8,FALSE)</f>
        <v>418.37</v>
      </c>
      <c r="Q1908" s="17">
        <f t="shared" si="117"/>
        <v>1</v>
      </c>
      <c r="S1908" s="16" t="e">
        <f>VLOOKUP(A1908,[4]Sales!$E:$G,3,FALSE)</f>
        <v>#N/A</v>
      </c>
      <c r="T1908" s="19" t="e">
        <f>VLOOKUP(A1908,[4]Volume!$E:$G,3,FALSE)</f>
        <v>#N/A</v>
      </c>
      <c r="U1908" s="19" t="e">
        <f>VLOOKUP(A1908,[4]Piece!$E:$G,3,FALSE)</f>
        <v>#N/A</v>
      </c>
      <c r="V1908" s="21" t="e">
        <f t="shared" si="118"/>
        <v>#N/A</v>
      </c>
      <c r="W1908" s="16" t="e">
        <f t="shared" si="119"/>
        <v>#N/A</v>
      </c>
    </row>
    <row r="1909" spans="1:23" hidden="1" x14ac:dyDescent="0.3">
      <c r="A1909" s="71" t="s">
        <v>3754</v>
      </c>
      <c r="B1909" s="71" t="s">
        <v>3754</v>
      </c>
      <c r="C1909" s="47" t="s">
        <v>33</v>
      </c>
      <c r="D1909" s="48" t="s">
        <v>34</v>
      </c>
      <c r="E1909" s="18" t="s">
        <v>3755</v>
      </c>
      <c r="F1909" s="24" t="str">
        <f t="shared" si="116"/>
        <v>PPG - PPG   EP201        DARK YELL  0000001185</v>
      </c>
      <c r="G1909" s="20" t="s">
        <v>6779</v>
      </c>
      <c r="H1909" s="49" t="s">
        <v>213</v>
      </c>
      <c r="I1909" s="18" t="s">
        <v>37</v>
      </c>
      <c r="J1909" s="18" t="s">
        <v>38</v>
      </c>
      <c r="K1909" t="s">
        <v>39</v>
      </c>
      <c r="L1909" s="50">
        <f>VLOOKUP(A1909,'[3]Price info'!A:D,4,FALSE)</f>
        <v>213.4</v>
      </c>
      <c r="M1909" s="18" t="s">
        <v>214</v>
      </c>
      <c r="N1909" s="20">
        <v>3105</v>
      </c>
      <c r="P1909" s="16">
        <f>VLOOKUP(A1909,'[3]Price info'!A:H,8,FALSE)</f>
        <v>213.4</v>
      </c>
      <c r="Q1909" s="17">
        <f t="shared" si="117"/>
        <v>1</v>
      </c>
      <c r="S1909" s="16" t="e">
        <f>VLOOKUP(A1909,[4]Sales!$E:$G,3,FALSE)</f>
        <v>#N/A</v>
      </c>
      <c r="T1909" s="19" t="e">
        <f>VLOOKUP(A1909,[4]Volume!$E:$G,3,FALSE)</f>
        <v>#N/A</v>
      </c>
      <c r="U1909" s="19" t="e">
        <f>VLOOKUP(A1909,[4]Piece!$E:$G,3,FALSE)</f>
        <v>#N/A</v>
      </c>
      <c r="V1909" s="21" t="e">
        <f t="shared" si="118"/>
        <v>#N/A</v>
      </c>
      <c r="W1909" s="16" t="e">
        <f t="shared" si="119"/>
        <v>#N/A</v>
      </c>
    </row>
    <row r="1910" spans="1:23" hidden="1" x14ac:dyDescent="0.3">
      <c r="A1910" s="71" t="s">
        <v>3756</v>
      </c>
      <c r="B1910" s="71" t="s">
        <v>3756</v>
      </c>
      <c r="C1910" s="51" t="s">
        <v>33</v>
      </c>
      <c r="D1910" s="48" t="s">
        <v>34</v>
      </c>
      <c r="E1910" s="18" t="s">
        <v>3757</v>
      </c>
      <c r="F1910" s="24" t="str">
        <f t="shared" si="116"/>
        <v>PPG - PPG   EP201        DRK YELLOW 0000001370</v>
      </c>
      <c r="G1910" s="20" t="s">
        <v>6780</v>
      </c>
      <c r="H1910" s="49" t="s">
        <v>213</v>
      </c>
      <c r="I1910" s="18" t="s">
        <v>37</v>
      </c>
      <c r="J1910" s="18" t="s">
        <v>38</v>
      </c>
      <c r="K1910" t="s">
        <v>39</v>
      </c>
      <c r="L1910" s="50">
        <f>VLOOKUP(A1910,'[3]Price info'!A:D,4,FALSE)</f>
        <v>418.37</v>
      </c>
      <c r="M1910" s="18" t="s">
        <v>214</v>
      </c>
      <c r="N1910" s="20">
        <v>3105</v>
      </c>
      <c r="P1910" s="16">
        <f>VLOOKUP(A1910,'[3]Price info'!A:H,8,FALSE)</f>
        <v>418.37</v>
      </c>
      <c r="Q1910" s="17">
        <f t="shared" si="117"/>
        <v>1</v>
      </c>
      <c r="S1910" s="16" t="e">
        <f>VLOOKUP(A1910,[4]Sales!$E:$G,3,FALSE)</f>
        <v>#N/A</v>
      </c>
      <c r="T1910" s="19" t="e">
        <f>VLOOKUP(A1910,[4]Volume!$E:$G,3,FALSE)</f>
        <v>#N/A</v>
      </c>
      <c r="U1910" s="19" t="e">
        <f>VLOOKUP(A1910,[4]Piece!$E:$G,3,FALSE)</f>
        <v>#N/A</v>
      </c>
      <c r="V1910" s="21" t="e">
        <f t="shared" si="118"/>
        <v>#N/A</v>
      </c>
      <c r="W1910" s="16" t="e">
        <f t="shared" si="119"/>
        <v>#N/A</v>
      </c>
    </row>
    <row r="1911" spans="1:23" hidden="1" x14ac:dyDescent="0.3">
      <c r="A1911" s="71" t="s">
        <v>3758</v>
      </c>
      <c r="B1911" s="71" t="s">
        <v>3758</v>
      </c>
      <c r="C1911" s="47" t="s">
        <v>33</v>
      </c>
      <c r="D1911" s="48" t="s">
        <v>34</v>
      </c>
      <c r="E1911" s="18" t="s">
        <v>3759</v>
      </c>
      <c r="F1911" s="24" t="str">
        <f t="shared" si="116"/>
        <v>PPG - PPG   EP201        GREEN      0000001185</v>
      </c>
      <c r="G1911" s="20" t="s">
        <v>6781</v>
      </c>
      <c r="H1911" s="49" t="s">
        <v>213</v>
      </c>
      <c r="I1911" s="18" t="s">
        <v>37</v>
      </c>
      <c r="J1911" s="18" t="s">
        <v>38</v>
      </c>
      <c r="K1911" t="s">
        <v>39</v>
      </c>
      <c r="L1911" s="50">
        <f>VLOOKUP(A1911,'[3]Price info'!A:D,4,FALSE)</f>
        <v>213.4</v>
      </c>
      <c r="M1911" s="18" t="s">
        <v>214</v>
      </c>
      <c r="N1911" s="20">
        <v>3105</v>
      </c>
      <c r="P1911" s="16">
        <f>VLOOKUP(A1911,'[3]Price info'!A:H,8,FALSE)</f>
        <v>213.4</v>
      </c>
      <c r="Q1911" s="17">
        <f t="shared" si="117"/>
        <v>1</v>
      </c>
      <c r="S1911" s="16" t="e">
        <f>VLOOKUP(A1911,[4]Sales!$E:$G,3,FALSE)</f>
        <v>#N/A</v>
      </c>
      <c r="T1911" s="19" t="e">
        <f>VLOOKUP(A1911,[4]Volume!$E:$G,3,FALSE)</f>
        <v>#N/A</v>
      </c>
      <c r="U1911" s="19" t="e">
        <f>VLOOKUP(A1911,[4]Piece!$E:$G,3,FALSE)</f>
        <v>#N/A</v>
      </c>
      <c r="V1911" s="21" t="e">
        <f t="shared" si="118"/>
        <v>#N/A</v>
      </c>
      <c r="W1911" s="16" t="e">
        <f t="shared" si="119"/>
        <v>#N/A</v>
      </c>
    </row>
    <row r="1912" spans="1:23" hidden="1" x14ac:dyDescent="0.3">
      <c r="A1912" s="71" t="s">
        <v>3760</v>
      </c>
      <c r="B1912" s="71" t="s">
        <v>3760</v>
      </c>
      <c r="C1912" s="47" t="s">
        <v>33</v>
      </c>
      <c r="D1912" s="48" t="s">
        <v>34</v>
      </c>
      <c r="E1912" s="18" t="s">
        <v>3761</v>
      </c>
      <c r="F1912" s="24" t="str">
        <f t="shared" si="116"/>
        <v>PPG - PPG   EP201        GREEN      0000001370</v>
      </c>
      <c r="G1912" s="20" t="s">
        <v>6782</v>
      </c>
      <c r="H1912" s="49" t="s">
        <v>213</v>
      </c>
      <c r="I1912" s="18" t="s">
        <v>37</v>
      </c>
      <c r="J1912" s="18" t="s">
        <v>38</v>
      </c>
      <c r="K1912" t="s">
        <v>39</v>
      </c>
      <c r="L1912" s="50">
        <f>VLOOKUP(A1912,'[3]Price info'!A:D,4,FALSE)</f>
        <v>418.37</v>
      </c>
      <c r="M1912" s="18" t="s">
        <v>214</v>
      </c>
      <c r="N1912" s="20">
        <v>3105</v>
      </c>
      <c r="P1912" s="16">
        <f>VLOOKUP(A1912,'[3]Price info'!A:H,8,FALSE)</f>
        <v>418.37</v>
      </c>
      <c r="Q1912" s="17">
        <f t="shared" si="117"/>
        <v>1</v>
      </c>
      <c r="S1912" s="16" t="e">
        <f>VLOOKUP(A1912,[4]Sales!$E:$G,3,FALSE)</f>
        <v>#N/A</v>
      </c>
      <c r="T1912" s="19" t="e">
        <f>VLOOKUP(A1912,[4]Volume!$E:$G,3,FALSE)</f>
        <v>#N/A</v>
      </c>
      <c r="U1912" s="19" t="e">
        <f>VLOOKUP(A1912,[4]Piece!$E:$G,3,FALSE)</f>
        <v>#N/A</v>
      </c>
      <c r="V1912" s="21" t="e">
        <f t="shared" si="118"/>
        <v>#N/A</v>
      </c>
      <c r="W1912" s="16" t="e">
        <f t="shared" si="119"/>
        <v>#N/A</v>
      </c>
    </row>
    <row r="1913" spans="1:23" hidden="1" x14ac:dyDescent="0.3">
      <c r="A1913" s="71" t="s">
        <v>3762</v>
      </c>
      <c r="B1913" s="71" t="s">
        <v>3762</v>
      </c>
      <c r="C1913" s="51" t="s">
        <v>33</v>
      </c>
      <c r="D1913" s="48" t="s">
        <v>34</v>
      </c>
      <c r="E1913" s="18" t="s">
        <v>3763</v>
      </c>
      <c r="F1913" s="24" t="str">
        <f t="shared" si="116"/>
        <v>PPG - PPG   EP201        HARDENER   0000001315</v>
      </c>
      <c r="G1913" s="20" t="s">
        <v>6783</v>
      </c>
      <c r="H1913" s="49" t="s">
        <v>213</v>
      </c>
      <c r="I1913" s="18" t="s">
        <v>37</v>
      </c>
      <c r="J1913" s="18" t="s">
        <v>38</v>
      </c>
      <c r="K1913" t="s">
        <v>39</v>
      </c>
      <c r="L1913" s="50">
        <f>VLOOKUP(A1913,'[3]Price info'!A:D,4,FALSE)</f>
        <v>82.67</v>
      </c>
      <c r="M1913" s="18" t="s">
        <v>214</v>
      </c>
      <c r="N1913" s="20">
        <v>3105</v>
      </c>
      <c r="P1913" s="16">
        <f>VLOOKUP(A1913,'[3]Price info'!A:H,8,FALSE)</f>
        <v>82.67</v>
      </c>
      <c r="Q1913" s="17">
        <f t="shared" si="117"/>
        <v>1</v>
      </c>
      <c r="S1913" s="16" t="e">
        <f>VLOOKUP(A1913,[4]Sales!$E:$G,3,FALSE)</f>
        <v>#N/A</v>
      </c>
      <c r="T1913" s="19" t="e">
        <f>VLOOKUP(A1913,[4]Volume!$E:$G,3,FALSE)</f>
        <v>#N/A</v>
      </c>
      <c r="U1913" s="19" t="e">
        <f>VLOOKUP(A1913,[4]Piece!$E:$G,3,FALSE)</f>
        <v>#N/A</v>
      </c>
      <c r="V1913" s="21" t="e">
        <f t="shared" si="118"/>
        <v>#N/A</v>
      </c>
      <c r="W1913" s="16" t="e">
        <f t="shared" si="119"/>
        <v>#N/A</v>
      </c>
    </row>
    <row r="1914" spans="1:23" hidden="1" x14ac:dyDescent="0.3">
      <c r="A1914" s="71" t="s">
        <v>3764</v>
      </c>
      <c r="B1914" s="71" t="s">
        <v>3764</v>
      </c>
      <c r="C1914" s="47" t="s">
        <v>33</v>
      </c>
      <c r="D1914" s="48" t="s">
        <v>34</v>
      </c>
      <c r="E1914" s="18" t="s">
        <v>3765</v>
      </c>
      <c r="F1914" s="24" t="str">
        <f t="shared" si="116"/>
        <v>PPG - PPG   EP201        HARDENER   0000001630</v>
      </c>
      <c r="G1914" s="20" t="s">
        <v>6784</v>
      </c>
      <c r="H1914" s="49" t="s">
        <v>213</v>
      </c>
      <c r="I1914" s="18" t="s">
        <v>37</v>
      </c>
      <c r="J1914" s="18" t="s">
        <v>38</v>
      </c>
      <c r="K1914" t="s">
        <v>39</v>
      </c>
      <c r="L1914" s="50">
        <f>VLOOKUP(A1914,'[3]Price info'!A:D,4,FALSE)</f>
        <v>158.31</v>
      </c>
      <c r="M1914" s="18" t="s">
        <v>214</v>
      </c>
      <c r="N1914" s="20">
        <v>3105</v>
      </c>
      <c r="P1914" s="16">
        <f>VLOOKUP(A1914,'[3]Price info'!A:H,8,FALSE)</f>
        <v>158.31</v>
      </c>
      <c r="Q1914" s="17">
        <f t="shared" si="117"/>
        <v>1</v>
      </c>
      <c r="S1914" s="16" t="e">
        <f>VLOOKUP(A1914,[4]Sales!$E:$G,3,FALSE)</f>
        <v>#N/A</v>
      </c>
      <c r="T1914" s="19" t="e">
        <f>VLOOKUP(A1914,[4]Volume!$E:$G,3,FALSE)</f>
        <v>#N/A</v>
      </c>
      <c r="U1914" s="19" t="e">
        <f>VLOOKUP(A1914,[4]Piece!$E:$G,3,FALSE)</f>
        <v>#N/A</v>
      </c>
      <c r="V1914" s="21" t="e">
        <f t="shared" si="118"/>
        <v>#N/A</v>
      </c>
      <c r="W1914" s="16" t="e">
        <f t="shared" si="119"/>
        <v>#N/A</v>
      </c>
    </row>
    <row r="1915" spans="1:23" hidden="1" x14ac:dyDescent="0.3">
      <c r="A1915" s="71" t="s">
        <v>3766</v>
      </c>
      <c r="B1915" s="71" t="s">
        <v>3766</v>
      </c>
      <c r="C1915" s="47" t="s">
        <v>33</v>
      </c>
      <c r="D1915" s="48" t="s">
        <v>34</v>
      </c>
      <c r="E1915" s="18" t="s">
        <v>3767</v>
      </c>
      <c r="F1915" s="24" t="str">
        <f t="shared" si="116"/>
        <v>PPG - PPG   EP201        LIGHT GREY 0000001185</v>
      </c>
      <c r="G1915" s="20" t="s">
        <v>6785</v>
      </c>
      <c r="H1915" s="49" t="s">
        <v>213</v>
      </c>
      <c r="I1915" s="18" t="s">
        <v>37</v>
      </c>
      <c r="J1915" s="18" t="s">
        <v>38</v>
      </c>
      <c r="K1915" t="s">
        <v>39</v>
      </c>
      <c r="L1915" s="50">
        <f>VLOOKUP(A1915,'[3]Price info'!A:D,4,FALSE)</f>
        <v>213.4</v>
      </c>
      <c r="M1915" s="18" t="s">
        <v>214</v>
      </c>
      <c r="N1915" s="20">
        <v>3105</v>
      </c>
      <c r="P1915" s="16">
        <f>VLOOKUP(A1915,'[3]Price info'!A:H,8,FALSE)</f>
        <v>213.4</v>
      </c>
      <c r="Q1915" s="17">
        <f t="shared" si="117"/>
        <v>1</v>
      </c>
      <c r="S1915" s="16" t="e">
        <f>VLOOKUP(A1915,[4]Sales!$E:$G,3,FALSE)</f>
        <v>#N/A</v>
      </c>
      <c r="T1915" s="19" t="e">
        <f>VLOOKUP(A1915,[4]Volume!$E:$G,3,FALSE)</f>
        <v>#N/A</v>
      </c>
      <c r="U1915" s="19" t="e">
        <f>VLOOKUP(A1915,[4]Piece!$E:$G,3,FALSE)</f>
        <v>#N/A</v>
      </c>
      <c r="V1915" s="21" t="e">
        <f t="shared" si="118"/>
        <v>#N/A</v>
      </c>
      <c r="W1915" s="16" t="e">
        <f t="shared" si="119"/>
        <v>#N/A</v>
      </c>
    </row>
    <row r="1916" spans="1:23" hidden="1" x14ac:dyDescent="0.3">
      <c r="A1916" s="71" t="s">
        <v>3768</v>
      </c>
      <c r="B1916" s="71" t="s">
        <v>3768</v>
      </c>
      <c r="C1916" s="51" t="s">
        <v>33</v>
      </c>
      <c r="D1916" s="48" t="s">
        <v>34</v>
      </c>
      <c r="E1916" s="18" t="s">
        <v>3769</v>
      </c>
      <c r="F1916" s="24" t="str">
        <f t="shared" si="116"/>
        <v>PPG - PPG   EP201        LIGHT GREY 0000001370</v>
      </c>
      <c r="G1916" s="20" t="s">
        <v>6786</v>
      </c>
      <c r="H1916" s="49" t="s">
        <v>213</v>
      </c>
      <c r="I1916" s="18" t="s">
        <v>37</v>
      </c>
      <c r="J1916" s="18" t="s">
        <v>38</v>
      </c>
      <c r="K1916" t="s">
        <v>39</v>
      </c>
      <c r="L1916" s="50">
        <f>VLOOKUP(A1916,'[3]Price info'!A:D,4,FALSE)</f>
        <v>418.37</v>
      </c>
      <c r="M1916" s="18" t="s">
        <v>214</v>
      </c>
      <c r="N1916" s="20">
        <v>3105</v>
      </c>
      <c r="P1916" s="16">
        <f>VLOOKUP(A1916,'[3]Price info'!A:H,8,FALSE)</f>
        <v>418.37</v>
      </c>
      <c r="Q1916" s="17">
        <f t="shared" si="117"/>
        <v>1</v>
      </c>
      <c r="S1916" s="16" t="e">
        <f>VLOOKUP(A1916,[4]Sales!$E:$G,3,FALSE)</f>
        <v>#N/A</v>
      </c>
      <c r="T1916" s="19" t="e">
        <f>VLOOKUP(A1916,[4]Volume!$E:$G,3,FALSE)</f>
        <v>#N/A</v>
      </c>
      <c r="U1916" s="19" t="e">
        <f>VLOOKUP(A1916,[4]Piece!$E:$G,3,FALSE)</f>
        <v>#N/A</v>
      </c>
      <c r="V1916" s="21" t="e">
        <f t="shared" si="118"/>
        <v>#N/A</v>
      </c>
      <c r="W1916" s="16" t="e">
        <f t="shared" si="119"/>
        <v>#N/A</v>
      </c>
    </row>
    <row r="1917" spans="1:23" hidden="1" x14ac:dyDescent="0.3">
      <c r="A1917" s="71" t="s">
        <v>3770</v>
      </c>
      <c r="B1917" s="71" t="s">
        <v>3770</v>
      </c>
      <c r="C1917" s="47" t="s">
        <v>33</v>
      </c>
      <c r="D1917" s="48" t="s">
        <v>34</v>
      </c>
      <c r="E1917" s="18" t="s">
        <v>3771</v>
      </c>
      <c r="F1917" s="24" t="str">
        <f t="shared" si="116"/>
        <v>PPG - PPG   EP201        LIGHT YELL 0000001185</v>
      </c>
      <c r="G1917" s="20" t="s">
        <v>6787</v>
      </c>
      <c r="H1917" s="49" t="s">
        <v>213</v>
      </c>
      <c r="I1917" s="18" t="s">
        <v>37</v>
      </c>
      <c r="J1917" s="18" t="s">
        <v>38</v>
      </c>
      <c r="K1917" t="s">
        <v>39</v>
      </c>
      <c r="L1917" s="50">
        <f>VLOOKUP(A1917,'[3]Price info'!A:D,4,FALSE)</f>
        <v>213.4</v>
      </c>
      <c r="M1917" s="18" t="s">
        <v>214</v>
      </c>
      <c r="N1917" s="20">
        <v>3105</v>
      </c>
      <c r="P1917" s="16">
        <f>VLOOKUP(A1917,'[3]Price info'!A:H,8,FALSE)</f>
        <v>213.4</v>
      </c>
      <c r="Q1917" s="17">
        <f t="shared" si="117"/>
        <v>1</v>
      </c>
      <c r="S1917" s="16" t="e">
        <f>VLOOKUP(A1917,[4]Sales!$E:$G,3,FALSE)</f>
        <v>#N/A</v>
      </c>
      <c r="T1917" s="19" t="e">
        <f>VLOOKUP(A1917,[4]Volume!$E:$G,3,FALSE)</f>
        <v>#N/A</v>
      </c>
      <c r="U1917" s="19" t="e">
        <f>VLOOKUP(A1917,[4]Piece!$E:$G,3,FALSE)</f>
        <v>#N/A</v>
      </c>
      <c r="V1917" s="21" t="e">
        <f t="shared" si="118"/>
        <v>#N/A</v>
      </c>
      <c r="W1917" s="16" t="e">
        <f t="shared" si="119"/>
        <v>#N/A</v>
      </c>
    </row>
    <row r="1918" spans="1:23" hidden="1" x14ac:dyDescent="0.3">
      <c r="A1918" s="71" t="s">
        <v>3772</v>
      </c>
      <c r="B1918" s="71" t="s">
        <v>3772</v>
      </c>
      <c r="C1918" s="47" t="s">
        <v>33</v>
      </c>
      <c r="D1918" s="48" t="s">
        <v>34</v>
      </c>
      <c r="E1918" s="18" t="s">
        <v>3773</v>
      </c>
      <c r="F1918" s="24" t="str">
        <f t="shared" si="116"/>
        <v>PPG - PPG   EP201        LIGHT YELL 0000001370</v>
      </c>
      <c r="G1918" s="20" t="s">
        <v>6788</v>
      </c>
      <c r="H1918" s="49" t="s">
        <v>213</v>
      </c>
      <c r="I1918" s="18" t="s">
        <v>37</v>
      </c>
      <c r="J1918" s="18" t="s">
        <v>38</v>
      </c>
      <c r="K1918" t="s">
        <v>39</v>
      </c>
      <c r="L1918" s="50">
        <f>VLOOKUP(A1918,'[3]Price info'!A:D,4,FALSE)</f>
        <v>418.37</v>
      </c>
      <c r="M1918" s="18" t="s">
        <v>214</v>
      </c>
      <c r="N1918" s="20">
        <v>3105</v>
      </c>
      <c r="P1918" s="16">
        <f>VLOOKUP(A1918,'[3]Price info'!A:H,8,FALSE)</f>
        <v>418.37</v>
      </c>
      <c r="Q1918" s="17">
        <f t="shared" si="117"/>
        <v>1</v>
      </c>
      <c r="S1918" s="16" t="e">
        <f>VLOOKUP(A1918,[4]Sales!$E:$G,3,FALSE)</f>
        <v>#N/A</v>
      </c>
      <c r="T1918" s="19" t="e">
        <f>VLOOKUP(A1918,[4]Volume!$E:$G,3,FALSE)</f>
        <v>#N/A</v>
      </c>
      <c r="U1918" s="19" t="e">
        <f>VLOOKUP(A1918,[4]Piece!$E:$G,3,FALSE)</f>
        <v>#N/A</v>
      </c>
      <c r="V1918" s="21" t="e">
        <f t="shared" si="118"/>
        <v>#N/A</v>
      </c>
      <c r="W1918" s="16" t="e">
        <f t="shared" si="119"/>
        <v>#N/A</v>
      </c>
    </row>
    <row r="1919" spans="1:23" hidden="1" x14ac:dyDescent="0.3">
      <c r="A1919" s="71" t="s">
        <v>3774</v>
      </c>
      <c r="B1919" s="71" t="s">
        <v>3774</v>
      </c>
      <c r="C1919" s="51" t="s">
        <v>33</v>
      </c>
      <c r="D1919" s="48" t="s">
        <v>34</v>
      </c>
      <c r="E1919" s="18" t="s">
        <v>3775</v>
      </c>
      <c r="F1919" s="24" t="str">
        <f t="shared" si="116"/>
        <v>PPG - PPG   EP201        MID BLUE   0000001185</v>
      </c>
      <c r="G1919" s="20" t="s">
        <v>6789</v>
      </c>
      <c r="H1919" s="49" t="s">
        <v>213</v>
      </c>
      <c r="I1919" s="18" t="s">
        <v>37</v>
      </c>
      <c r="J1919" s="18" t="s">
        <v>38</v>
      </c>
      <c r="K1919" t="s">
        <v>39</v>
      </c>
      <c r="L1919" s="50">
        <f>VLOOKUP(A1919,'[3]Price info'!A:D,4,FALSE)</f>
        <v>213.4</v>
      </c>
      <c r="M1919" s="18" t="s">
        <v>214</v>
      </c>
      <c r="N1919" s="20">
        <v>3105</v>
      </c>
      <c r="P1919" s="16">
        <f>VLOOKUP(A1919,'[3]Price info'!A:H,8,FALSE)</f>
        <v>213.4</v>
      </c>
      <c r="Q1919" s="17">
        <f t="shared" si="117"/>
        <v>1</v>
      </c>
      <c r="S1919" s="16" t="e">
        <f>VLOOKUP(A1919,[4]Sales!$E:$G,3,FALSE)</f>
        <v>#N/A</v>
      </c>
      <c r="T1919" s="19" t="e">
        <f>VLOOKUP(A1919,[4]Volume!$E:$G,3,FALSE)</f>
        <v>#N/A</v>
      </c>
      <c r="U1919" s="19" t="e">
        <f>VLOOKUP(A1919,[4]Piece!$E:$G,3,FALSE)</f>
        <v>#N/A</v>
      </c>
      <c r="V1919" s="21" t="e">
        <f t="shared" si="118"/>
        <v>#N/A</v>
      </c>
      <c r="W1919" s="16" t="e">
        <f t="shared" si="119"/>
        <v>#N/A</v>
      </c>
    </row>
    <row r="1920" spans="1:23" hidden="1" x14ac:dyDescent="0.3">
      <c r="A1920" s="71" t="s">
        <v>3776</v>
      </c>
      <c r="B1920" s="71" t="s">
        <v>3776</v>
      </c>
      <c r="C1920" s="47" t="s">
        <v>33</v>
      </c>
      <c r="D1920" s="48" t="s">
        <v>34</v>
      </c>
      <c r="E1920" s="18" t="s">
        <v>3777</v>
      </c>
      <c r="F1920" s="24" t="str">
        <f t="shared" si="116"/>
        <v>PPG - PPG   EP201        MID BLUE   0000001370</v>
      </c>
      <c r="G1920" s="20" t="s">
        <v>6790</v>
      </c>
      <c r="H1920" s="49" t="s">
        <v>213</v>
      </c>
      <c r="I1920" s="18" t="s">
        <v>37</v>
      </c>
      <c r="J1920" s="18" t="s">
        <v>38</v>
      </c>
      <c r="K1920" t="s">
        <v>39</v>
      </c>
      <c r="L1920" s="50">
        <f>VLOOKUP(A1920,'[3]Price info'!A:D,4,FALSE)</f>
        <v>418.37</v>
      </c>
      <c r="M1920" s="18" t="s">
        <v>214</v>
      </c>
      <c r="N1920" s="20">
        <v>3105</v>
      </c>
      <c r="P1920" s="16">
        <f>VLOOKUP(A1920,'[3]Price info'!A:H,8,FALSE)</f>
        <v>418.37</v>
      </c>
      <c r="Q1920" s="17">
        <f t="shared" si="117"/>
        <v>1</v>
      </c>
      <c r="S1920" s="16" t="e">
        <f>VLOOKUP(A1920,[4]Sales!$E:$G,3,FALSE)</f>
        <v>#N/A</v>
      </c>
      <c r="T1920" s="19" t="e">
        <f>VLOOKUP(A1920,[4]Volume!$E:$G,3,FALSE)</f>
        <v>#N/A</v>
      </c>
      <c r="U1920" s="19" t="e">
        <f>VLOOKUP(A1920,[4]Piece!$E:$G,3,FALSE)</f>
        <v>#N/A</v>
      </c>
      <c r="V1920" s="21" t="e">
        <f t="shared" si="118"/>
        <v>#N/A</v>
      </c>
      <c r="W1920" s="16" t="e">
        <f t="shared" si="119"/>
        <v>#N/A</v>
      </c>
    </row>
    <row r="1921" spans="1:23" hidden="1" x14ac:dyDescent="0.3">
      <c r="A1921" s="71" t="s">
        <v>3778</v>
      </c>
      <c r="B1921" s="71" t="s">
        <v>3778</v>
      </c>
      <c r="C1921" s="47" t="s">
        <v>33</v>
      </c>
      <c r="D1921" s="48" t="s">
        <v>34</v>
      </c>
      <c r="E1921" s="18" t="s">
        <v>3779</v>
      </c>
      <c r="F1921" s="24" t="str">
        <f t="shared" si="116"/>
        <v>PPG - PPG   EP201        MID GREY   0000001185</v>
      </c>
      <c r="G1921" s="20" t="s">
        <v>6791</v>
      </c>
      <c r="H1921" s="49" t="s">
        <v>213</v>
      </c>
      <c r="I1921" s="18" t="s">
        <v>37</v>
      </c>
      <c r="J1921" s="18" t="s">
        <v>38</v>
      </c>
      <c r="K1921" t="s">
        <v>39</v>
      </c>
      <c r="L1921" s="50">
        <f>VLOOKUP(A1921,'[3]Price info'!A:D,4,FALSE)</f>
        <v>213.4</v>
      </c>
      <c r="M1921" s="18" t="s">
        <v>214</v>
      </c>
      <c r="N1921" s="20">
        <v>3105</v>
      </c>
      <c r="P1921" s="16">
        <f>VLOOKUP(A1921,'[3]Price info'!A:H,8,FALSE)</f>
        <v>213.4</v>
      </c>
      <c r="Q1921" s="17">
        <f t="shared" si="117"/>
        <v>1</v>
      </c>
      <c r="S1921" s="16" t="e">
        <f>VLOOKUP(A1921,[4]Sales!$E:$G,3,FALSE)</f>
        <v>#N/A</v>
      </c>
      <c r="T1921" s="19" t="e">
        <f>VLOOKUP(A1921,[4]Volume!$E:$G,3,FALSE)</f>
        <v>#N/A</v>
      </c>
      <c r="U1921" s="19" t="e">
        <f>VLOOKUP(A1921,[4]Piece!$E:$G,3,FALSE)</f>
        <v>#N/A</v>
      </c>
      <c r="V1921" s="21" t="e">
        <f t="shared" si="118"/>
        <v>#N/A</v>
      </c>
      <c r="W1921" s="16" t="e">
        <f t="shared" si="119"/>
        <v>#N/A</v>
      </c>
    </row>
    <row r="1922" spans="1:23" hidden="1" x14ac:dyDescent="0.3">
      <c r="A1922" s="71" t="s">
        <v>3780</v>
      </c>
      <c r="B1922" s="71" t="s">
        <v>3780</v>
      </c>
      <c r="C1922" s="51" t="s">
        <v>33</v>
      </c>
      <c r="D1922" s="48" t="s">
        <v>34</v>
      </c>
      <c r="E1922" s="18" t="s">
        <v>3781</v>
      </c>
      <c r="F1922" s="24" t="str">
        <f t="shared" si="116"/>
        <v>PPG - PPG   EP201        MID GREY   0000001370</v>
      </c>
      <c r="G1922" s="20" t="s">
        <v>6792</v>
      </c>
      <c r="H1922" s="49" t="s">
        <v>213</v>
      </c>
      <c r="I1922" s="18" t="s">
        <v>37</v>
      </c>
      <c r="J1922" s="18" t="s">
        <v>38</v>
      </c>
      <c r="K1922" t="s">
        <v>39</v>
      </c>
      <c r="L1922" s="50">
        <f>VLOOKUP(A1922,'[3]Price info'!A:D,4,FALSE)</f>
        <v>418.37</v>
      </c>
      <c r="M1922" s="18" t="s">
        <v>214</v>
      </c>
      <c r="N1922" s="20">
        <v>3105</v>
      </c>
      <c r="P1922" s="16">
        <f>VLOOKUP(A1922,'[3]Price info'!A:H,8,FALSE)</f>
        <v>418.37</v>
      </c>
      <c r="Q1922" s="17">
        <f t="shared" si="117"/>
        <v>1</v>
      </c>
      <c r="S1922" s="16" t="e">
        <f>VLOOKUP(A1922,[4]Sales!$E:$G,3,FALSE)</f>
        <v>#N/A</v>
      </c>
      <c r="T1922" s="19" t="e">
        <f>VLOOKUP(A1922,[4]Volume!$E:$G,3,FALSE)</f>
        <v>#N/A</v>
      </c>
      <c r="U1922" s="19" t="e">
        <f>VLOOKUP(A1922,[4]Piece!$E:$G,3,FALSE)</f>
        <v>#N/A</v>
      </c>
      <c r="V1922" s="21" t="e">
        <f t="shared" si="118"/>
        <v>#N/A</v>
      </c>
      <c r="W1922" s="16" t="e">
        <f t="shared" si="119"/>
        <v>#N/A</v>
      </c>
    </row>
    <row r="1923" spans="1:23" hidden="1" x14ac:dyDescent="0.3">
      <c r="A1923" s="71" t="s">
        <v>3782</v>
      </c>
      <c r="B1923" s="71" t="s">
        <v>3782</v>
      </c>
      <c r="C1923" s="47" t="s">
        <v>33</v>
      </c>
      <c r="D1923" s="48" t="s">
        <v>34</v>
      </c>
      <c r="E1923" s="18" t="s">
        <v>3783</v>
      </c>
      <c r="F1923" s="24" t="str">
        <f t="shared" ref="F1923:F1986" si="120">D1923&amp;" - "&amp;E1923</f>
        <v>PPG - PPG   EP201        MID YELL   0000001185</v>
      </c>
      <c r="G1923" s="20" t="s">
        <v>6793</v>
      </c>
      <c r="H1923" s="49" t="s">
        <v>213</v>
      </c>
      <c r="I1923" s="18" t="s">
        <v>37</v>
      </c>
      <c r="J1923" s="18" t="s">
        <v>38</v>
      </c>
      <c r="K1923" t="s">
        <v>39</v>
      </c>
      <c r="L1923" s="50">
        <f>VLOOKUP(A1923,'[3]Price info'!A:D,4,FALSE)</f>
        <v>213.4</v>
      </c>
      <c r="M1923" s="18" t="s">
        <v>214</v>
      </c>
      <c r="N1923" s="20">
        <v>3105</v>
      </c>
      <c r="P1923" s="16">
        <f>VLOOKUP(A1923,'[3]Price info'!A:H,8,FALSE)</f>
        <v>213.4</v>
      </c>
      <c r="Q1923" s="17">
        <f t="shared" ref="Q1923:Q1986" si="121">P1923/L1923</f>
        <v>1</v>
      </c>
      <c r="S1923" s="16" t="e">
        <f>VLOOKUP(A1923,[4]Sales!$E:$G,3,FALSE)</f>
        <v>#N/A</v>
      </c>
      <c r="T1923" s="19" t="e">
        <f>VLOOKUP(A1923,[4]Volume!$E:$G,3,FALSE)</f>
        <v>#N/A</v>
      </c>
      <c r="U1923" s="19" t="e">
        <f>VLOOKUP(A1923,[4]Piece!$E:$G,3,FALSE)</f>
        <v>#N/A</v>
      </c>
      <c r="V1923" s="21" t="e">
        <f t="shared" ref="V1923:V1986" si="122">U1923*P1923</f>
        <v>#N/A</v>
      </c>
      <c r="W1923" s="16" t="e">
        <f t="shared" ref="W1923:W1986" si="123">V1923-S1923</f>
        <v>#N/A</v>
      </c>
    </row>
    <row r="1924" spans="1:23" hidden="1" x14ac:dyDescent="0.3">
      <c r="A1924" s="71" t="s">
        <v>3784</v>
      </c>
      <c r="B1924" s="71" t="s">
        <v>3784</v>
      </c>
      <c r="C1924" s="47" t="s">
        <v>33</v>
      </c>
      <c r="D1924" s="48" t="s">
        <v>34</v>
      </c>
      <c r="E1924" s="18" t="s">
        <v>3785</v>
      </c>
      <c r="F1924" s="24" t="str">
        <f t="shared" si="120"/>
        <v>PPG - PPG   EP201        MID YELLOW 0000001370</v>
      </c>
      <c r="G1924" s="20" t="s">
        <v>6794</v>
      </c>
      <c r="H1924" s="49" t="s">
        <v>213</v>
      </c>
      <c r="I1924" s="18" t="s">
        <v>37</v>
      </c>
      <c r="J1924" s="18" t="s">
        <v>38</v>
      </c>
      <c r="K1924" t="s">
        <v>39</v>
      </c>
      <c r="L1924" s="50">
        <f>VLOOKUP(A1924,'[3]Price info'!A:D,4,FALSE)</f>
        <v>418.37</v>
      </c>
      <c r="M1924" s="18" t="s">
        <v>214</v>
      </c>
      <c r="N1924" s="20">
        <v>3105</v>
      </c>
      <c r="P1924" s="16">
        <f>VLOOKUP(A1924,'[3]Price info'!A:H,8,FALSE)</f>
        <v>418.37</v>
      </c>
      <c r="Q1924" s="17">
        <f t="shared" si="121"/>
        <v>1</v>
      </c>
      <c r="S1924" s="16" t="e">
        <f>VLOOKUP(A1924,[4]Sales!$E:$G,3,FALSE)</f>
        <v>#N/A</v>
      </c>
      <c r="T1924" s="19" t="e">
        <f>VLOOKUP(A1924,[4]Volume!$E:$G,3,FALSE)</f>
        <v>#N/A</v>
      </c>
      <c r="U1924" s="19" t="e">
        <f>VLOOKUP(A1924,[4]Piece!$E:$G,3,FALSE)</f>
        <v>#N/A</v>
      </c>
      <c r="V1924" s="21" t="e">
        <f t="shared" si="122"/>
        <v>#N/A</v>
      </c>
      <c r="W1924" s="16" t="e">
        <f t="shared" si="123"/>
        <v>#N/A</v>
      </c>
    </row>
    <row r="1925" spans="1:23" hidden="1" x14ac:dyDescent="0.3">
      <c r="A1925" s="71" t="s">
        <v>3786</v>
      </c>
      <c r="B1925" s="71" t="s">
        <v>3786</v>
      </c>
      <c r="C1925" s="51" t="s">
        <v>33</v>
      </c>
      <c r="D1925" s="48" t="s">
        <v>34</v>
      </c>
      <c r="E1925" s="18" t="s">
        <v>3787</v>
      </c>
      <c r="F1925" s="24" t="str">
        <f t="shared" si="120"/>
        <v>PPG - PPG   EP201        RED        0000001185</v>
      </c>
      <c r="G1925" s="20" t="s">
        <v>6795</v>
      </c>
      <c r="H1925" s="49" t="s">
        <v>213</v>
      </c>
      <c r="I1925" s="18" t="s">
        <v>37</v>
      </c>
      <c r="J1925" s="18" t="s">
        <v>38</v>
      </c>
      <c r="K1925" t="s">
        <v>39</v>
      </c>
      <c r="L1925" s="50">
        <f>VLOOKUP(A1925,'[3]Price info'!A:D,4,FALSE)</f>
        <v>213.4</v>
      </c>
      <c r="M1925" s="18" t="s">
        <v>214</v>
      </c>
      <c r="N1925" s="20">
        <v>3105</v>
      </c>
      <c r="P1925" s="16">
        <f>VLOOKUP(A1925,'[3]Price info'!A:H,8,FALSE)</f>
        <v>213.4</v>
      </c>
      <c r="Q1925" s="17">
        <f t="shared" si="121"/>
        <v>1</v>
      </c>
      <c r="S1925" s="16" t="e">
        <f>VLOOKUP(A1925,[4]Sales!$E:$G,3,FALSE)</f>
        <v>#N/A</v>
      </c>
      <c r="T1925" s="19" t="e">
        <f>VLOOKUP(A1925,[4]Volume!$E:$G,3,FALSE)</f>
        <v>#N/A</v>
      </c>
      <c r="U1925" s="19" t="e">
        <f>VLOOKUP(A1925,[4]Piece!$E:$G,3,FALSE)</f>
        <v>#N/A</v>
      </c>
      <c r="V1925" s="21" t="e">
        <f t="shared" si="122"/>
        <v>#N/A</v>
      </c>
      <c r="W1925" s="16" t="e">
        <f t="shared" si="123"/>
        <v>#N/A</v>
      </c>
    </row>
    <row r="1926" spans="1:23" hidden="1" x14ac:dyDescent="0.3">
      <c r="A1926" s="71" t="s">
        <v>3788</v>
      </c>
      <c r="B1926" s="71" t="s">
        <v>3788</v>
      </c>
      <c r="C1926" s="47" t="s">
        <v>33</v>
      </c>
      <c r="D1926" s="48" t="s">
        <v>34</v>
      </c>
      <c r="E1926" s="18" t="s">
        <v>3789</v>
      </c>
      <c r="F1926" s="24" t="str">
        <f t="shared" si="120"/>
        <v>PPG - PPG   EP201        RED        0000001370</v>
      </c>
      <c r="G1926" s="20" t="s">
        <v>6796</v>
      </c>
      <c r="H1926" s="49" t="s">
        <v>213</v>
      </c>
      <c r="I1926" s="18" t="s">
        <v>37</v>
      </c>
      <c r="J1926" s="18" t="s">
        <v>38</v>
      </c>
      <c r="K1926" t="s">
        <v>39</v>
      </c>
      <c r="L1926" s="50">
        <f>VLOOKUP(A1926,'[3]Price info'!A:D,4,FALSE)</f>
        <v>418.37</v>
      </c>
      <c r="M1926" s="18" t="s">
        <v>214</v>
      </c>
      <c r="N1926" s="20">
        <v>3105</v>
      </c>
      <c r="P1926" s="16">
        <f>VLOOKUP(A1926,'[3]Price info'!A:H,8,FALSE)</f>
        <v>418.37</v>
      </c>
      <c r="Q1926" s="17">
        <f t="shared" si="121"/>
        <v>1</v>
      </c>
      <c r="S1926" s="16" t="e">
        <f>VLOOKUP(A1926,[4]Sales!$E:$G,3,FALSE)</f>
        <v>#N/A</v>
      </c>
      <c r="T1926" s="19" t="e">
        <f>VLOOKUP(A1926,[4]Volume!$E:$G,3,FALSE)</f>
        <v>#N/A</v>
      </c>
      <c r="U1926" s="19" t="e">
        <f>VLOOKUP(A1926,[4]Piece!$E:$G,3,FALSE)</f>
        <v>#N/A</v>
      </c>
      <c r="V1926" s="21" t="e">
        <f t="shared" si="122"/>
        <v>#N/A</v>
      </c>
      <c r="W1926" s="16" t="e">
        <f t="shared" si="123"/>
        <v>#N/A</v>
      </c>
    </row>
    <row r="1927" spans="1:23" hidden="1" x14ac:dyDescent="0.3">
      <c r="A1927" s="71" t="s">
        <v>3790</v>
      </c>
      <c r="B1927" s="71" t="s">
        <v>3790</v>
      </c>
      <c r="C1927" s="47" t="s">
        <v>33</v>
      </c>
      <c r="D1927" s="48" t="s">
        <v>34</v>
      </c>
      <c r="E1927" s="18" t="s">
        <v>3791</v>
      </c>
      <c r="F1927" s="24" t="str">
        <f t="shared" si="120"/>
        <v>PPG - PPG   EP201        SAFETY RED 0000001185</v>
      </c>
      <c r="G1927" s="20" t="s">
        <v>6797</v>
      </c>
      <c r="H1927" s="49" t="s">
        <v>213</v>
      </c>
      <c r="I1927" s="18" t="s">
        <v>37</v>
      </c>
      <c r="J1927" s="18" t="s">
        <v>38</v>
      </c>
      <c r="K1927" t="s">
        <v>39</v>
      </c>
      <c r="L1927" s="50">
        <f>VLOOKUP(A1927,'[3]Price info'!A:D,4,FALSE)</f>
        <v>213.4</v>
      </c>
      <c r="M1927" s="18" t="s">
        <v>214</v>
      </c>
      <c r="N1927" s="20">
        <v>3105</v>
      </c>
      <c r="P1927" s="16">
        <f>VLOOKUP(A1927,'[3]Price info'!A:H,8,FALSE)</f>
        <v>213.4</v>
      </c>
      <c r="Q1927" s="17">
        <f t="shared" si="121"/>
        <v>1</v>
      </c>
      <c r="S1927" s="16" t="e">
        <f>VLOOKUP(A1927,[4]Sales!$E:$G,3,FALSE)</f>
        <v>#N/A</v>
      </c>
      <c r="T1927" s="19" t="e">
        <f>VLOOKUP(A1927,[4]Volume!$E:$G,3,FALSE)</f>
        <v>#N/A</v>
      </c>
      <c r="U1927" s="19" t="e">
        <f>VLOOKUP(A1927,[4]Piece!$E:$G,3,FALSE)</f>
        <v>#N/A</v>
      </c>
      <c r="V1927" s="21" t="e">
        <f t="shared" si="122"/>
        <v>#N/A</v>
      </c>
      <c r="W1927" s="16" t="e">
        <f t="shared" si="123"/>
        <v>#N/A</v>
      </c>
    </row>
    <row r="1928" spans="1:23" hidden="1" x14ac:dyDescent="0.3">
      <c r="A1928" s="71" t="s">
        <v>3792</v>
      </c>
      <c r="B1928" s="71" t="s">
        <v>3792</v>
      </c>
      <c r="C1928" s="51" t="s">
        <v>33</v>
      </c>
      <c r="D1928" s="48" t="s">
        <v>34</v>
      </c>
      <c r="E1928" s="18" t="s">
        <v>3793</v>
      </c>
      <c r="F1928" s="24" t="str">
        <f t="shared" si="120"/>
        <v>PPG - PPG   EP201        SAFETY RED 0000001370</v>
      </c>
      <c r="G1928" s="20" t="s">
        <v>6798</v>
      </c>
      <c r="H1928" s="49" t="s">
        <v>213</v>
      </c>
      <c r="I1928" s="18" t="s">
        <v>37</v>
      </c>
      <c r="J1928" s="18" t="s">
        <v>38</v>
      </c>
      <c r="K1928" t="s">
        <v>39</v>
      </c>
      <c r="L1928" s="50">
        <f>VLOOKUP(A1928,'[3]Price info'!A:D,4,FALSE)</f>
        <v>418.37</v>
      </c>
      <c r="M1928" s="18" t="s">
        <v>214</v>
      </c>
      <c r="N1928" s="20">
        <v>3105</v>
      </c>
      <c r="P1928" s="16">
        <f>VLOOKUP(A1928,'[3]Price info'!A:H,8,FALSE)</f>
        <v>418.37</v>
      </c>
      <c r="Q1928" s="17">
        <f t="shared" si="121"/>
        <v>1</v>
      </c>
      <c r="S1928" s="16" t="e">
        <f>VLOOKUP(A1928,[4]Sales!$E:$G,3,FALSE)</f>
        <v>#N/A</v>
      </c>
      <c r="T1928" s="19" t="e">
        <f>VLOOKUP(A1928,[4]Volume!$E:$G,3,FALSE)</f>
        <v>#N/A</v>
      </c>
      <c r="U1928" s="19" t="e">
        <f>VLOOKUP(A1928,[4]Piece!$E:$G,3,FALSE)</f>
        <v>#N/A</v>
      </c>
      <c r="V1928" s="21" t="e">
        <f t="shared" si="122"/>
        <v>#N/A</v>
      </c>
      <c r="W1928" s="16" t="e">
        <f t="shared" si="123"/>
        <v>#N/A</v>
      </c>
    </row>
    <row r="1929" spans="1:23" hidden="1" x14ac:dyDescent="0.3">
      <c r="A1929" s="71" t="s">
        <v>3794</v>
      </c>
      <c r="B1929" s="71" t="s">
        <v>3794</v>
      </c>
      <c r="C1929" s="47" t="s">
        <v>33</v>
      </c>
      <c r="D1929" s="48" t="s">
        <v>34</v>
      </c>
      <c r="E1929" s="18" t="s">
        <v>3795</v>
      </c>
      <c r="F1929" s="24" t="str">
        <f t="shared" si="120"/>
        <v>PPG - PPG   EP201        SAFETY YEL 0000001185</v>
      </c>
      <c r="G1929" s="20" t="s">
        <v>6799</v>
      </c>
      <c r="H1929" s="49" t="s">
        <v>213</v>
      </c>
      <c r="I1929" s="18" t="s">
        <v>37</v>
      </c>
      <c r="J1929" s="18" t="s">
        <v>38</v>
      </c>
      <c r="K1929" t="s">
        <v>39</v>
      </c>
      <c r="L1929" s="50">
        <f>VLOOKUP(A1929,'[3]Price info'!A:D,4,FALSE)</f>
        <v>213.4</v>
      </c>
      <c r="M1929" s="18" t="s">
        <v>214</v>
      </c>
      <c r="N1929" s="20">
        <v>3105</v>
      </c>
      <c r="P1929" s="16">
        <f>VLOOKUP(A1929,'[3]Price info'!A:H,8,FALSE)</f>
        <v>213.4</v>
      </c>
      <c r="Q1929" s="17">
        <f t="shared" si="121"/>
        <v>1</v>
      </c>
      <c r="S1929" s="16" t="e">
        <f>VLOOKUP(A1929,[4]Sales!$E:$G,3,FALSE)</f>
        <v>#N/A</v>
      </c>
      <c r="T1929" s="19" t="e">
        <f>VLOOKUP(A1929,[4]Volume!$E:$G,3,FALSE)</f>
        <v>#N/A</v>
      </c>
      <c r="U1929" s="19" t="e">
        <f>VLOOKUP(A1929,[4]Piece!$E:$G,3,FALSE)</f>
        <v>#N/A</v>
      </c>
      <c r="V1929" s="21" t="e">
        <f t="shared" si="122"/>
        <v>#N/A</v>
      </c>
      <c r="W1929" s="16" t="e">
        <f t="shared" si="123"/>
        <v>#N/A</v>
      </c>
    </row>
    <row r="1930" spans="1:23" hidden="1" x14ac:dyDescent="0.3">
      <c r="A1930" s="71" t="s">
        <v>3796</v>
      </c>
      <c r="B1930" s="71" t="s">
        <v>3796</v>
      </c>
      <c r="C1930" s="47" t="s">
        <v>33</v>
      </c>
      <c r="D1930" s="48" t="s">
        <v>34</v>
      </c>
      <c r="E1930" s="18" t="s">
        <v>3797</v>
      </c>
      <c r="F1930" s="24" t="str">
        <f t="shared" si="120"/>
        <v>PPG - PPG   EP201        SFTY YELL  0000001370</v>
      </c>
      <c r="G1930" s="20" t="s">
        <v>6800</v>
      </c>
      <c r="H1930" s="49" t="s">
        <v>213</v>
      </c>
      <c r="I1930" s="18" t="s">
        <v>37</v>
      </c>
      <c r="J1930" s="18" t="s">
        <v>38</v>
      </c>
      <c r="K1930" t="s">
        <v>39</v>
      </c>
      <c r="L1930" s="50">
        <f>VLOOKUP(A1930,'[3]Price info'!A:D,4,FALSE)</f>
        <v>418.37</v>
      </c>
      <c r="M1930" s="18" t="s">
        <v>214</v>
      </c>
      <c r="N1930" s="20">
        <v>3105</v>
      </c>
      <c r="P1930" s="16">
        <f>VLOOKUP(A1930,'[3]Price info'!A:H,8,FALSE)</f>
        <v>418.37</v>
      </c>
      <c r="Q1930" s="17">
        <f t="shared" si="121"/>
        <v>1</v>
      </c>
      <c r="S1930" s="16" t="e">
        <f>VLOOKUP(A1930,[4]Sales!$E:$G,3,FALSE)</f>
        <v>#N/A</v>
      </c>
      <c r="T1930" s="19" t="e">
        <f>VLOOKUP(A1930,[4]Volume!$E:$G,3,FALSE)</f>
        <v>#N/A</v>
      </c>
      <c r="U1930" s="19" t="e">
        <f>VLOOKUP(A1930,[4]Piece!$E:$G,3,FALSE)</f>
        <v>#N/A</v>
      </c>
      <c r="V1930" s="21" t="e">
        <f t="shared" si="122"/>
        <v>#N/A</v>
      </c>
      <c r="W1930" s="16" t="e">
        <f t="shared" si="123"/>
        <v>#N/A</v>
      </c>
    </row>
    <row r="1931" spans="1:23" hidden="1" x14ac:dyDescent="0.3">
      <c r="A1931" s="71" t="s">
        <v>3798</v>
      </c>
      <c r="B1931" s="71" t="s">
        <v>3798</v>
      </c>
      <c r="C1931" s="51" t="s">
        <v>33</v>
      </c>
      <c r="D1931" s="48" t="s">
        <v>34</v>
      </c>
      <c r="E1931" s="18" t="s">
        <v>3799</v>
      </c>
      <c r="F1931" s="24" t="str">
        <f t="shared" si="120"/>
        <v>PPG - PPG   EP201        SPEC COL   0000001185</v>
      </c>
      <c r="G1931" s="20" t="s">
        <v>6801</v>
      </c>
      <c r="H1931" s="49" t="s">
        <v>213</v>
      </c>
      <c r="I1931" s="18" t="s">
        <v>37</v>
      </c>
      <c r="J1931" s="18" t="s">
        <v>38</v>
      </c>
      <c r="K1931" t="s">
        <v>39</v>
      </c>
      <c r="L1931" s="50">
        <f>VLOOKUP(A1931,'[3]Price info'!A:D,4,FALSE)</f>
        <v>213.4</v>
      </c>
      <c r="M1931" s="18" t="s">
        <v>214</v>
      </c>
      <c r="N1931" s="20">
        <v>3105</v>
      </c>
      <c r="P1931" s="16">
        <f>VLOOKUP(A1931,'[3]Price info'!A:H,8,FALSE)</f>
        <v>213.4</v>
      </c>
      <c r="Q1931" s="17">
        <f t="shared" si="121"/>
        <v>1</v>
      </c>
      <c r="S1931" s="16" t="e">
        <f>VLOOKUP(A1931,[4]Sales!$E:$G,3,FALSE)</f>
        <v>#N/A</v>
      </c>
      <c r="T1931" s="19" t="e">
        <f>VLOOKUP(A1931,[4]Volume!$E:$G,3,FALSE)</f>
        <v>#N/A</v>
      </c>
      <c r="U1931" s="19" t="e">
        <f>VLOOKUP(A1931,[4]Piece!$E:$G,3,FALSE)</f>
        <v>#N/A</v>
      </c>
      <c r="V1931" s="21" t="e">
        <f t="shared" si="122"/>
        <v>#N/A</v>
      </c>
      <c r="W1931" s="16" t="e">
        <f t="shared" si="123"/>
        <v>#N/A</v>
      </c>
    </row>
    <row r="1932" spans="1:23" hidden="1" x14ac:dyDescent="0.3">
      <c r="A1932" s="71" t="s">
        <v>3800</v>
      </c>
      <c r="B1932" s="71" t="s">
        <v>3800</v>
      </c>
      <c r="C1932" s="47" t="s">
        <v>33</v>
      </c>
      <c r="D1932" s="48" t="s">
        <v>34</v>
      </c>
      <c r="E1932" s="18" t="s">
        <v>3801</v>
      </c>
      <c r="F1932" s="24" t="str">
        <f t="shared" si="120"/>
        <v>PPG - PPG   EP201        SPEC COL   0000001370</v>
      </c>
      <c r="G1932" s="20" t="s">
        <v>6802</v>
      </c>
      <c r="H1932" s="49" t="s">
        <v>213</v>
      </c>
      <c r="I1932" s="18" t="s">
        <v>37</v>
      </c>
      <c r="J1932" s="18" t="s">
        <v>38</v>
      </c>
      <c r="K1932" t="s">
        <v>39</v>
      </c>
      <c r="L1932" s="50">
        <f>VLOOKUP(A1932,'[3]Price info'!A:D,4,FALSE)</f>
        <v>418.37</v>
      </c>
      <c r="M1932" s="18" t="s">
        <v>214</v>
      </c>
      <c r="N1932" s="20">
        <v>3105</v>
      </c>
      <c r="P1932" s="16">
        <f>VLOOKUP(A1932,'[3]Price info'!A:H,8,FALSE)</f>
        <v>418.37</v>
      </c>
      <c r="Q1932" s="17">
        <f t="shared" si="121"/>
        <v>1</v>
      </c>
      <c r="S1932" s="16" t="e">
        <f>VLOOKUP(A1932,[4]Sales!$E:$G,3,FALSE)</f>
        <v>#N/A</v>
      </c>
      <c r="T1932" s="19" t="e">
        <f>VLOOKUP(A1932,[4]Volume!$E:$G,3,FALSE)</f>
        <v>#N/A</v>
      </c>
      <c r="U1932" s="19" t="e">
        <f>VLOOKUP(A1932,[4]Piece!$E:$G,3,FALSE)</f>
        <v>#N/A</v>
      </c>
      <c r="V1932" s="21" t="e">
        <f t="shared" si="122"/>
        <v>#N/A</v>
      </c>
      <c r="W1932" s="16" t="e">
        <f t="shared" si="123"/>
        <v>#N/A</v>
      </c>
    </row>
    <row r="1933" spans="1:23" hidden="1" x14ac:dyDescent="0.3">
      <c r="A1933" s="71" t="s">
        <v>3802</v>
      </c>
      <c r="B1933" s="71" t="s">
        <v>3802</v>
      </c>
      <c r="C1933" s="47" t="s">
        <v>33</v>
      </c>
      <c r="D1933" s="48" t="s">
        <v>34</v>
      </c>
      <c r="E1933" s="18" t="s">
        <v>3803</v>
      </c>
      <c r="F1933" s="24" t="str">
        <f t="shared" si="120"/>
        <v>PPG - PPG   EP301        DARK BLUE  0000001405</v>
      </c>
      <c r="G1933" s="20" t="s">
        <v>6803</v>
      </c>
      <c r="H1933" s="49" t="s">
        <v>213</v>
      </c>
      <c r="I1933" s="18" t="s">
        <v>37</v>
      </c>
      <c r="J1933" s="18" t="s">
        <v>38</v>
      </c>
      <c r="K1933" t="s">
        <v>39</v>
      </c>
      <c r="L1933" s="50">
        <f>VLOOKUP(A1933,'[3]Price info'!A:D,4,FALSE)</f>
        <v>213.67</v>
      </c>
      <c r="M1933" s="18" t="s">
        <v>214</v>
      </c>
      <c r="N1933" s="20">
        <v>3105</v>
      </c>
      <c r="P1933" s="16">
        <f>VLOOKUP(A1933,'[3]Price info'!A:H,8,FALSE)</f>
        <v>213.67</v>
      </c>
      <c r="Q1933" s="17">
        <f t="shared" si="121"/>
        <v>1</v>
      </c>
      <c r="S1933" s="16" t="e">
        <f>VLOOKUP(A1933,[4]Sales!$E:$G,3,FALSE)</f>
        <v>#N/A</v>
      </c>
      <c r="T1933" s="19" t="e">
        <f>VLOOKUP(A1933,[4]Volume!$E:$G,3,FALSE)</f>
        <v>#N/A</v>
      </c>
      <c r="U1933" s="19" t="e">
        <f>VLOOKUP(A1933,[4]Piece!$E:$G,3,FALSE)</f>
        <v>#N/A</v>
      </c>
      <c r="V1933" s="21" t="e">
        <f t="shared" si="122"/>
        <v>#N/A</v>
      </c>
      <c r="W1933" s="16" t="e">
        <f t="shared" si="123"/>
        <v>#N/A</v>
      </c>
    </row>
    <row r="1934" spans="1:23" hidden="1" x14ac:dyDescent="0.3">
      <c r="A1934" s="71" t="s">
        <v>3804</v>
      </c>
      <c r="B1934" s="71" t="s">
        <v>3804</v>
      </c>
      <c r="C1934" s="51" t="s">
        <v>33</v>
      </c>
      <c r="D1934" s="48" t="s">
        <v>34</v>
      </c>
      <c r="E1934" s="18" t="s">
        <v>3805</v>
      </c>
      <c r="F1934" s="24" t="str">
        <f t="shared" si="120"/>
        <v>PPG - PPG   EP301        DARK BLUE  0000001808</v>
      </c>
      <c r="G1934" s="20" t="s">
        <v>6804</v>
      </c>
      <c r="H1934" s="49" t="s">
        <v>213</v>
      </c>
      <c r="I1934" s="18" t="s">
        <v>37</v>
      </c>
      <c r="J1934" s="18" t="s">
        <v>38</v>
      </c>
      <c r="K1934" t="s">
        <v>39</v>
      </c>
      <c r="L1934" s="50">
        <f>VLOOKUP(A1934,'[3]Price info'!A:D,4,FALSE)</f>
        <v>409.62</v>
      </c>
      <c r="M1934" s="18" t="s">
        <v>214</v>
      </c>
      <c r="N1934" s="20">
        <v>3105</v>
      </c>
      <c r="P1934" s="16">
        <f>VLOOKUP(A1934,'[3]Price info'!A:H,8,FALSE)</f>
        <v>409.62</v>
      </c>
      <c r="Q1934" s="17">
        <f t="shared" si="121"/>
        <v>1</v>
      </c>
      <c r="S1934" s="16" t="e">
        <f>VLOOKUP(A1934,[4]Sales!$E:$G,3,FALSE)</f>
        <v>#N/A</v>
      </c>
      <c r="T1934" s="19" t="e">
        <f>VLOOKUP(A1934,[4]Volume!$E:$G,3,FALSE)</f>
        <v>#N/A</v>
      </c>
      <c r="U1934" s="19" t="e">
        <f>VLOOKUP(A1934,[4]Piece!$E:$G,3,FALSE)</f>
        <v>#N/A</v>
      </c>
      <c r="V1934" s="21" t="e">
        <f t="shared" si="122"/>
        <v>#N/A</v>
      </c>
      <c r="W1934" s="16" t="e">
        <f t="shared" si="123"/>
        <v>#N/A</v>
      </c>
    </row>
    <row r="1935" spans="1:23" hidden="1" x14ac:dyDescent="0.3">
      <c r="A1935" s="71" t="s">
        <v>3806</v>
      </c>
      <c r="B1935" s="71" t="s">
        <v>3806</v>
      </c>
      <c r="C1935" s="47" t="s">
        <v>33</v>
      </c>
      <c r="D1935" s="48" t="s">
        <v>34</v>
      </c>
      <c r="E1935" s="18" t="s">
        <v>3807</v>
      </c>
      <c r="F1935" s="24" t="str">
        <f t="shared" si="120"/>
        <v>PPG - PPG   EP301        DARK BLUE  0000002101</v>
      </c>
      <c r="G1935" s="20" t="s">
        <v>6805</v>
      </c>
      <c r="H1935" s="49" t="s">
        <v>213</v>
      </c>
      <c r="I1935" s="18" t="s">
        <v>37</v>
      </c>
      <c r="J1935" s="18" t="s">
        <v>38</v>
      </c>
      <c r="K1935" t="s">
        <v>39</v>
      </c>
      <c r="L1935" s="50">
        <f>VLOOKUP(A1935,'[3]Price info'!A:D,4,FALSE)</f>
        <v>482.68</v>
      </c>
      <c r="M1935" s="18" t="s">
        <v>214</v>
      </c>
      <c r="N1935" s="20">
        <v>3105</v>
      </c>
      <c r="P1935" s="16">
        <f>VLOOKUP(A1935,'[3]Price info'!A:H,8,FALSE)</f>
        <v>482.68</v>
      </c>
      <c r="Q1935" s="17">
        <f t="shared" si="121"/>
        <v>1</v>
      </c>
      <c r="S1935" s="16" t="e">
        <f>VLOOKUP(A1935,[4]Sales!$E:$G,3,FALSE)</f>
        <v>#N/A</v>
      </c>
      <c r="T1935" s="19" t="e">
        <f>VLOOKUP(A1935,[4]Volume!$E:$G,3,FALSE)</f>
        <v>#N/A</v>
      </c>
      <c r="U1935" s="19" t="e">
        <f>VLOOKUP(A1935,[4]Piece!$E:$G,3,FALSE)</f>
        <v>#N/A</v>
      </c>
      <c r="V1935" s="21" t="e">
        <f t="shared" si="122"/>
        <v>#N/A</v>
      </c>
      <c r="W1935" s="16" t="e">
        <f t="shared" si="123"/>
        <v>#N/A</v>
      </c>
    </row>
    <row r="1936" spans="1:23" hidden="1" x14ac:dyDescent="0.3">
      <c r="A1936" s="71" t="s">
        <v>3808</v>
      </c>
      <c r="B1936" s="71" t="s">
        <v>3808</v>
      </c>
      <c r="C1936" s="47" t="s">
        <v>33</v>
      </c>
      <c r="D1936" s="48" t="s">
        <v>34</v>
      </c>
      <c r="E1936" s="18" t="s">
        <v>3809</v>
      </c>
      <c r="F1936" s="24" t="str">
        <f t="shared" si="120"/>
        <v>PPG - PPG   EP301        DARK GREY  0000001405</v>
      </c>
      <c r="G1936" s="20" t="s">
        <v>6806</v>
      </c>
      <c r="H1936" s="49" t="s">
        <v>213</v>
      </c>
      <c r="I1936" s="18" t="s">
        <v>37</v>
      </c>
      <c r="J1936" s="18" t="s">
        <v>38</v>
      </c>
      <c r="K1936" t="s">
        <v>39</v>
      </c>
      <c r="L1936" s="50">
        <f>VLOOKUP(A1936,'[3]Price info'!A:D,4,FALSE)</f>
        <v>187.75</v>
      </c>
      <c r="M1936" s="18" t="s">
        <v>214</v>
      </c>
      <c r="N1936" s="20">
        <v>3105</v>
      </c>
      <c r="P1936" s="16">
        <f>VLOOKUP(A1936,'[3]Price info'!A:H,8,FALSE)</f>
        <v>187.75</v>
      </c>
      <c r="Q1936" s="17">
        <f t="shared" si="121"/>
        <v>1</v>
      </c>
      <c r="S1936" s="16" t="e">
        <f>VLOOKUP(A1936,[4]Sales!$E:$G,3,FALSE)</f>
        <v>#N/A</v>
      </c>
      <c r="T1936" s="19" t="e">
        <f>VLOOKUP(A1936,[4]Volume!$E:$G,3,FALSE)</f>
        <v>#N/A</v>
      </c>
      <c r="U1936" s="19" t="e">
        <f>VLOOKUP(A1936,[4]Piece!$E:$G,3,FALSE)</f>
        <v>#N/A</v>
      </c>
      <c r="V1936" s="21" t="e">
        <f t="shared" si="122"/>
        <v>#N/A</v>
      </c>
      <c r="W1936" s="16" t="e">
        <f t="shared" si="123"/>
        <v>#N/A</v>
      </c>
    </row>
    <row r="1937" spans="1:23" hidden="1" x14ac:dyDescent="0.3">
      <c r="A1937" s="71" t="s">
        <v>3810</v>
      </c>
      <c r="B1937" s="71" t="s">
        <v>3810</v>
      </c>
      <c r="C1937" s="51" t="s">
        <v>33</v>
      </c>
      <c r="D1937" s="48" t="s">
        <v>34</v>
      </c>
      <c r="E1937" s="18" t="s">
        <v>3811</v>
      </c>
      <c r="F1937" s="24" t="str">
        <f t="shared" si="120"/>
        <v>PPG - PPG   EP301        DARK GREY  0000001808</v>
      </c>
      <c r="G1937" s="20" t="s">
        <v>6807</v>
      </c>
      <c r="H1937" s="49" t="s">
        <v>213</v>
      </c>
      <c r="I1937" s="18" t="s">
        <v>37</v>
      </c>
      <c r="J1937" s="18" t="s">
        <v>38</v>
      </c>
      <c r="K1937" t="s">
        <v>39</v>
      </c>
      <c r="L1937" s="50">
        <f>VLOOKUP(A1937,'[3]Price info'!A:D,4,FALSE)</f>
        <v>345.25</v>
      </c>
      <c r="M1937" s="18" t="s">
        <v>214</v>
      </c>
      <c r="N1937" s="20">
        <v>3105</v>
      </c>
      <c r="P1937" s="16">
        <f>VLOOKUP(A1937,'[3]Price info'!A:H,8,FALSE)</f>
        <v>345.25</v>
      </c>
      <c r="Q1937" s="17">
        <f t="shared" si="121"/>
        <v>1</v>
      </c>
      <c r="S1937" s="16" t="e">
        <f>VLOOKUP(A1937,[4]Sales!$E:$G,3,FALSE)</f>
        <v>#N/A</v>
      </c>
      <c r="T1937" s="19" t="e">
        <f>VLOOKUP(A1937,[4]Volume!$E:$G,3,FALSE)</f>
        <v>#N/A</v>
      </c>
      <c r="U1937" s="19" t="e">
        <f>VLOOKUP(A1937,[4]Piece!$E:$G,3,FALSE)</f>
        <v>#N/A</v>
      </c>
      <c r="V1937" s="21" t="e">
        <f t="shared" si="122"/>
        <v>#N/A</v>
      </c>
      <c r="W1937" s="16" t="e">
        <f t="shared" si="123"/>
        <v>#N/A</v>
      </c>
    </row>
    <row r="1938" spans="1:23" hidden="1" x14ac:dyDescent="0.3">
      <c r="A1938" s="71" t="s">
        <v>3812</v>
      </c>
      <c r="B1938" s="71" t="s">
        <v>3812</v>
      </c>
      <c r="C1938" s="47" t="s">
        <v>33</v>
      </c>
      <c r="D1938" s="48" t="s">
        <v>34</v>
      </c>
      <c r="E1938" s="18" t="s">
        <v>3813</v>
      </c>
      <c r="F1938" s="24" t="str">
        <f t="shared" si="120"/>
        <v>PPG - PPG   EP301        DARK GREY  0000002101</v>
      </c>
      <c r="G1938" s="20" t="s">
        <v>6808</v>
      </c>
      <c r="H1938" s="49" t="s">
        <v>213</v>
      </c>
      <c r="I1938" s="18" t="s">
        <v>37</v>
      </c>
      <c r="J1938" s="18" t="s">
        <v>38</v>
      </c>
      <c r="K1938" t="s">
        <v>39</v>
      </c>
      <c r="L1938" s="50">
        <f>VLOOKUP(A1938,'[3]Price info'!A:D,4,FALSE)</f>
        <v>404.9</v>
      </c>
      <c r="M1938" s="18" t="s">
        <v>214</v>
      </c>
      <c r="N1938" s="20">
        <v>3105</v>
      </c>
      <c r="P1938" s="16">
        <f>VLOOKUP(A1938,'[3]Price info'!A:H,8,FALSE)</f>
        <v>404.9</v>
      </c>
      <c r="Q1938" s="17">
        <f t="shared" si="121"/>
        <v>1</v>
      </c>
      <c r="S1938" s="16" t="e">
        <f>VLOOKUP(A1938,[4]Sales!$E:$G,3,FALSE)</f>
        <v>#N/A</v>
      </c>
      <c r="T1938" s="19" t="e">
        <f>VLOOKUP(A1938,[4]Volume!$E:$G,3,FALSE)</f>
        <v>#N/A</v>
      </c>
      <c r="U1938" s="19" t="e">
        <f>VLOOKUP(A1938,[4]Piece!$E:$G,3,FALSE)</f>
        <v>#N/A</v>
      </c>
      <c r="V1938" s="21" t="e">
        <f t="shared" si="122"/>
        <v>#N/A</v>
      </c>
      <c r="W1938" s="16" t="e">
        <f t="shared" si="123"/>
        <v>#N/A</v>
      </c>
    </row>
    <row r="1939" spans="1:23" hidden="1" x14ac:dyDescent="0.3">
      <c r="A1939" s="71" t="s">
        <v>3814</v>
      </c>
      <c r="B1939" s="71" t="s">
        <v>3814</v>
      </c>
      <c r="C1939" s="47" t="s">
        <v>33</v>
      </c>
      <c r="D1939" s="48" t="s">
        <v>34</v>
      </c>
      <c r="E1939" s="18" t="s">
        <v>3815</v>
      </c>
      <c r="F1939" s="24" t="str">
        <f t="shared" si="120"/>
        <v>PPG - PPG   EP301        DRK YELLOW 0000001405</v>
      </c>
      <c r="G1939" s="20" t="s">
        <v>6809</v>
      </c>
      <c r="H1939" s="49" t="s">
        <v>213</v>
      </c>
      <c r="I1939" s="18" t="s">
        <v>37</v>
      </c>
      <c r="J1939" s="18" t="s">
        <v>38</v>
      </c>
      <c r="K1939" t="s">
        <v>39</v>
      </c>
      <c r="L1939" s="50">
        <f>VLOOKUP(A1939,'[3]Price info'!A:D,4,FALSE)</f>
        <v>187.75</v>
      </c>
      <c r="M1939" s="18" t="s">
        <v>214</v>
      </c>
      <c r="N1939" s="20">
        <v>3105</v>
      </c>
      <c r="P1939" s="16">
        <f>VLOOKUP(A1939,'[3]Price info'!A:H,8,FALSE)</f>
        <v>187.75</v>
      </c>
      <c r="Q1939" s="17">
        <f t="shared" si="121"/>
        <v>1</v>
      </c>
      <c r="S1939" s="16" t="e">
        <f>VLOOKUP(A1939,[4]Sales!$E:$G,3,FALSE)</f>
        <v>#N/A</v>
      </c>
      <c r="T1939" s="19" t="e">
        <f>VLOOKUP(A1939,[4]Volume!$E:$G,3,FALSE)</f>
        <v>#N/A</v>
      </c>
      <c r="U1939" s="19" t="e">
        <f>VLOOKUP(A1939,[4]Piece!$E:$G,3,FALSE)</f>
        <v>#N/A</v>
      </c>
      <c r="V1939" s="21" t="e">
        <f t="shared" si="122"/>
        <v>#N/A</v>
      </c>
      <c r="W1939" s="16" t="e">
        <f t="shared" si="123"/>
        <v>#N/A</v>
      </c>
    </row>
    <row r="1940" spans="1:23" hidden="1" x14ac:dyDescent="0.3">
      <c r="A1940" s="71" t="s">
        <v>3816</v>
      </c>
      <c r="B1940" s="71" t="s">
        <v>3816</v>
      </c>
      <c r="C1940" s="51" t="s">
        <v>33</v>
      </c>
      <c r="D1940" s="48" t="s">
        <v>34</v>
      </c>
      <c r="E1940" s="18" t="s">
        <v>3817</v>
      </c>
      <c r="F1940" s="24" t="str">
        <f t="shared" si="120"/>
        <v>PPG - PPG   EP301        DRK YELLOW 0000001808</v>
      </c>
      <c r="G1940" s="20" t="s">
        <v>6810</v>
      </c>
      <c r="H1940" s="49" t="s">
        <v>213</v>
      </c>
      <c r="I1940" s="18" t="s">
        <v>37</v>
      </c>
      <c r="J1940" s="18" t="s">
        <v>38</v>
      </c>
      <c r="K1940" t="s">
        <v>39</v>
      </c>
      <c r="L1940" s="50">
        <f>VLOOKUP(A1940,'[3]Price info'!A:D,4,FALSE)</f>
        <v>345.25</v>
      </c>
      <c r="M1940" s="18" t="s">
        <v>214</v>
      </c>
      <c r="N1940" s="20">
        <v>3105</v>
      </c>
      <c r="P1940" s="16">
        <f>VLOOKUP(A1940,'[3]Price info'!A:H,8,FALSE)</f>
        <v>345.25</v>
      </c>
      <c r="Q1940" s="17">
        <f t="shared" si="121"/>
        <v>1</v>
      </c>
      <c r="S1940" s="16" t="e">
        <f>VLOOKUP(A1940,[4]Sales!$E:$G,3,FALSE)</f>
        <v>#N/A</v>
      </c>
      <c r="T1940" s="19" t="e">
        <f>VLOOKUP(A1940,[4]Volume!$E:$G,3,FALSE)</f>
        <v>#N/A</v>
      </c>
      <c r="U1940" s="19" t="e">
        <f>VLOOKUP(A1940,[4]Piece!$E:$G,3,FALSE)</f>
        <v>#N/A</v>
      </c>
      <c r="V1940" s="21" t="e">
        <f t="shared" si="122"/>
        <v>#N/A</v>
      </c>
      <c r="W1940" s="16" t="e">
        <f t="shared" si="123"/>
        <v>#N/A</v>
      </c>
    </row>
    <row r="1941" spans="1:23" hidden="1" x14ac:dyDescent="0.3">
      <c r="A1941" s="71" t="s">
        <v>3818</v>
      </c>
      <c r="B1941" s="71" t="s">
        <v>3818</v>
      </c>
      <c r="C1941" s="47" t="s">
        <v>33</v>
      </c>
      <c r="D1941" s="48" t="s">
        <v>34</v>
      </c>
      <c r="E1941" s="18" t="s">
        <v>3819</v>
      </c>
      <c r="F1941" s="24" t="str">
        <f t="shared" si="120"/>
        <v>PPG - PPG   EP301        DRK YELLOW 0000002101</v>
      </c>
      <c r="G1941" s="20" t="s">
        <v>6811</v>
      </c>
      <c r="H1941" s="49" t="s">
        <v>213</v>
      </c>
      <c r="I1941" s="18" t="s">
        <v>37</v>
      </c>
      <c r="J1941" s="18" t="s">
        <v>38</v>
      </c>
      <c r="K1941" t="s">
        <v>39</v>
      </c>
      <c r="L1941" s="50">
        <f>VLOOKUP(A1941,'[3]Price info'!A:D,4,FALSE)</f>
        <v>404.9</v>
      </c>
      <c r="M1941" s="18" t="s">
        <v>214</v>
      </c>
      <c r="N1941" s="20">
        <v>3105</v>
      </c>
      <c r="P1941" s="16">
        <f>VLOOKUP(A1941,'[3]Price info'!A:H,8,FALSE)</f>
        <v>404.9</v>
      </c>
      <c r="Q1941" s="17">
        <f t="shared" si="121"/>
        <v>1</v>
      </c>
      <c r="S1941" s="16" t="e">
        <f>VLOOKUP(A1941,[4]Sales!$E:$G,3,FALSE)</f>
        <v>#N/A</v>
      </c>
      <c r="T1941" s="19" t="e">
        <f>VLOOKUP(A1941,[4]Volume!$E:$G,3,FALSE)</f>
        <v>#N/A</v>
      </c>
      <c r="U1941" s="19" t="e">
        <f>VLOOKUP(A1941,[4]Piece!$E:$G,3,FALSE)</f>
        <v>#N/A</v>
      </c>
      <c r="V1941" s="21" t="e">
        <f t="shared" si="122"/>
        <v>#N/A</v>
      </c>
      <c r="W1941" s="16" t="e">
        <f t="shared" si="123"/>
        <v>#N/A</v>
      </c>
    </row>
    <row r="1942" spans="1:23" hidden="1" x14ac:dyDescent="0.3">
      <c r="A1942" s="71" t="s">
        <v>3820</v>
      </c>
      <c r="B1942" s="71" t="s">
        <v>3820</v>
      </c>
      <c r="C1942" s="47" t="s">
        <v>33</v>
      </c>
      <c r="D1942" s="48" t="s">
        <v>34</v>
      </c>
      <c r="E1942" s="18" t="s">
        <v>3821</v>
      </c>
      <c r="F1942" s="24" t="str">
        <f t="shared" si="120"/>
        <v>PPG - PPG   EP301        GREEN      0000001405</v>
      </c>
      <c r="G1942" s="20" t="s">
        <v>6812</v>
      </c>
      <c r="H1942" s="49" t="s">
        <v>213</v>
      </c>
      <c r="I1942" s="18" t="s">
        <v>37</v>
      </c>
      <c r="J1942" s="18" t="s">
        <v>38</v>
      </c>
      <c r="K1942" t="s">
        <v>39</v>
      </c>
      <c r="L1942" s="50">
        <f>VLOOKUP(A1942,'[3]Price info'!A:D,4,FALSE)</f>
        <v>187.75</v>
      </c>
      <c r="M1942" s="18" t="s">
        <v>214</v>
      </c>
      <c r="N1942" s="20">
        <v>3105</v>
      </c>
      <c r="P1942" s="16">
        <f>VLOOKUP(A1942,'[3]Price info'!A:H,8,FALSE)</f>
        <v>187.75</v>
      </c>
      <c r="Q1942" s="17">
        <f t="shared" si="121"/>
        <v>1</v>
      </c>
      <c r="S1942" s="16" t="e">
        <f>VLOOKUP(A1942,[4]Sales!$E:$G,3,FALSE)</f>
        <v>#N/A</v>
      </c>
      <c r="T1942" s="19" t="e">
        <f>VLOOKUP(A1942,[4]Volume!$E:$G,3,FALSE)</f>
        <v>#N/A</v>
      </c>
      <c r="U1942" s="19" t="e">
        <f>VLOOKUP(A1942,[4]Piece!$E:$G,3,FALSE)</f>
        <v>#N/A</v>
      </c>
      <c r="V1942" s="21" t="e">
        <f t="shared" si="122"/>
        <v>#N/A</v>
      </c>
      <c r="W1942" s="16" t="e">
        <f t="shared" si="123"/>
        <v>#N/A</v>
      </c>
    </row>
    <row r="1943" spans="1:23" hidden="1" x14ac:dyDescent="0.3">
      <c r="A1943" s="71" t="s">
        <v>3822</v>
      </c>
      <c r="B1943" s="71" t="s">
        <v>3822</v>
      </c>
      <c r="C1943" s="51" t="s">
        <v>33</v>
      </c>
      <c r="D1943" s="48" t="s">
        <v>34</v>
      </c>
      <c r="E1943" s="18" t="s">
        <v>3823</v>
      </c>
      <c r="F1943" s="24" t="str">
        <f t="shared" si="120"/>
        <v>PPG - PPG   EP301        GREEN      0000001808</v>
      </c>
      <c r="G1943" s="20" t="s">
        <v>6813</v>
      </c>
      <c r="H1943" s="49" t="s">
        <v>213</v>
      </c>
      <c r="I1943" s="18" t="s">
        <v>37</v>
      </c>
      <c r="J1943" s="18" t="s">
        <v>38</v>
      </c>
      <c r="K1943" t="s">
        <v>39</v>
      </c>
      <c r="L1943" s="50">
        <f>VLOOKUP(A1943,'[3]Price info'!A:D,4,FALSE)</f>
        <v>345.25</v>
      </c>
      <c r="M1943" s="18" t="s">
        <v>214</v>
      </c>
      <c r="N1943" s="20">
        <v>3105</v>
      </c>
      <c r="P1943" s="16">
        <f>VLOOKUP(A1943,'[3]Price info'!A:H,8,FALSE)</f>
        <v>345.25</v>
      </c>
      <c r="Q1943" s="17">
        <f t="shared" si="121"/>
        <v>1</v>
      </c>
      <c r="S1943" s="16" t="e">
        <f>VLOOKUP(A1943,[4]Sales!$E:$G,3,FALSE)</f>
        <v>#N/A</v>
      </c>
      <c r="T1943" s="19" t="e">
        <f>VLOOKUP(A1943,[4]Volume!$E:$G,3,FALSE)</f>
        <v>#N/A</v>
      </c>
      <c r="U1943" s="19" t="e">
        <f>VLOOKUP(A1943,[4]Piece!$E:$G,3,FALSE)</f>
        <v>#N/A</v>
      </c>
      <c r="V1943" s="21" t="e">
        <f t="shared" si="122"/>
        <v>#N/A</v>
      </c>
      <c r="W1943" s="16" t="e">
        <f t="shared" si="123"/>
        <v>#N/A</v>
      </c>
    </row>
    <row r="1944" spans="1:23" hidden="1" x14ac:dyDescent="0.3">
      <c r="A1944" s="71" t="s">
        <v>3824</v>
      </c>
      <c r="B1944" s="71" t="s">
        <v>3824</v>
      </c>
      <c r="C1944" s="47" t="s">
        <v>33</v>
      </c>
      <c r="D1944" s="48" t="s">
        <v>34</v>
      </c>
      <c r="E1944" s="18" t="s">
        <v>3825</v>
      </c>
      <c r="F1944" s="24" t="str">
        <f t="shared" si="120"/>
        <v>PPG - PPG   EP301        GREEN      0000002101</v>
      </c>
      <c r="G1944" s="20" t="s">
        <v>6814</v>
      </c>
      <c r="H1944" s="49" t="s">
        <v>213</v>
      </c>
      <c r="I1944" s="18" t="s">
        <v>37</v>
      </c>
      <c r="J1944" s="18" t="s">
        <v>38</v>
      </c>
      <c r="K1944" t="s">
        <v>39</v>
      </c>
      <c r="L1944" s="50">
        <f>VLOOKUP(A1944,'[3]Price info'!A:D,4,FALSE)</f>
        <v>404.9</v>
      </c>
      <c r="M1944" s="18" t="s">
        <v>214</v>
      </c>
      <c r="N1944" s="20">
        <v>3105</v>
      </c>
      <c r="P1944" s="16">
        <f>VLOOKUP(A1944,'[3]Price info'!A:H,8,FALSE)</f>
        <v>404.9</v>
      </c>
      <c r="Q1944" s="17">
        <f t="shared" si="121"/>
        <v>1</v>
      </c>
      <c r="S1944" s="16" t="e">
        <f>VLOOKUP(A1944,[4]Sales!$E:$G,3,FALSE)</f>
        <v>#N/A</v>
      </c>
      <c r="T1944" s="19" t="e">
        <f>VLOOKUP(A1944,[4]Volume!$E:$G,3,FALSE)</f>
        <v>#N/A</v>
      </c>
      <c r="U1944" s="19" t="e">
        <f>VLOOKUP(A1944,[4]Piece!$E:$G,3,FALSE)</f>
        <v>#N/A</v>
      </c>
      <c r="V1944" s="21" t="e">
        <f t="shared" si="122"/>
        <v>#N/A</v>
      </c>
      <c r="W1944" s="16" t="e">
        <f t="shared" si="123"/>
        <v>#N/A</v>
      </c>
    </row>
    <row r="1945" spans="1:23" hidden="1" x14ac:dyDescent="0.3">
      <c r="A1945" s="71" t="s">
        <v>3826</v>
      </c>
      <c r="B1945" s="71" t="s">
        <v>3826</v>
      </c>
      <c r="C1945" s="47" t="s">
        <v>33</v>
      </c>
      <c r="D1945" s="48" t="s">
        <v>34</v>
      </c>
      <c r="E1945" s="18" t="s">
        <v>3827</v>
      </c>
      <c r="F1945" s="24" t="str">
        <f t="shared" si="120"/>
        <v>PPG - PPG   EP301        HARDENER   0000000950</v>
      </c>
      <c r="G1945" s="20" t="s">
        <v>6815</v>
      </c>
      <c r="H1945" s="49" t="s">
        <v>213</v>
      </c>
      <c r="I1945" s="18" t="s">
        <v>37</v>
      </c>
      <c r="J1945" s="18" t="s">
        <v>38</v>
      </c>
      <c r="K1945" t="s">
        <v>39</v>
      </c>
      <c r="L1945" s="50">
        <f>VLOOKUP(A1945,'[3]Price info'!A:D,4,FALSE)</f>
        <v>73.8</v>
      </c>
      <c r="M1945" s="18" t="s">
        <v>214</v>
      </c>
      <c r="N1945" s="20">
        <v>3105</v>
      </c>
      <c r="P1945" s="16">
        <f>VLOOKUP(A1945,'[3]Price info'!A:H,8,FALSE)</f>
        <v>73.8</v>
      </c>
      <c r="Q1945" s="17">
        <f t="shared" si="121"/>
        <v>1</v>
      </c>
      <c r="S1945" s="16" t="e">
        <f>VLOOKUP(A1945,[4]Sales!$E:$G,3,FALSE)</f>
        <v>#N/A</v>
      </c>
      <c r="T1945" s="19" t="e">
        <f>VLOOKUP(A1945,[4]Volume!$E:$G,3,FALSE)</f>
        <v>#N/A</v>
      </c>
      <c r="U1945" s="19" t="e">
        <f>VLOOKUP(A1945,[4]Piece!$E:$G,3,FALSE)</f>
        <v>#N/A</v>
      </c>
      <c r="V1945" s="21" t="e">
        <f t="shared" si="122"/>
        <v>#N/A</v>
      </c>
      <c r="W1945" s="16" t="e">
        <f t="shared" si="123"/>
        <v>#N/A</v>
      </c>
    </row>
    <row r="1946" spans="1:23" hidden="1" x14ac:dyDescent="0.3">
      <c r="A1946" s="71" t="s">
        <v>3828</v>
      </c>
      <c r="B1946" s="71" t="s">
        <v>3828</v>
      </c>
      <c r="C1946" s="51" t="s">
        <v>33</v>
      </c>
      <c r="D1946" s="48" t="s">
        <v>34</v>
      </c>
      <c r="E1946" s="18" t="s">
        <v>3829</v>
      </c>
      <c r="F1946" s="24" t="str">
        <f t="shared" si="120"/>
        <v>PPG - PPG   EP301        HARDENER   0000001192</v>
      </c>
      <c r="G1946" s="20" t="s">
        <v>6816</v>
      </c>
      <c r="H1946" s="49" t="s">
        <v>213</v>
      </c>
      <c r="I1946" s="18" t="s">
        <v>37</v>
      </c>
      <c r="J1946" s="18" t="s">
        <v>38</v>
      </c>
      <c r="K1946" t="s">
        <v>39</v>
      </c>
      <c r="L1946" s="50">
        <f>VLOOKUP(A1946,'[3]Price info'!A:D,4,FALSE)</f>
        <v>137.28</v>
      </c>
      <c r="M1946" s="18" t="s">
        <v>214</v>
      </c>
      <c r="N1946" s="20">
        <v>3105</v>
      </c>
      <c r="P1946" s="16">
        <f>VLOOKUP(A1946,'[3]Price info'!A:H,8,FALSE)</f>
        <v>137.28</v>
      </c>
      <c r="Q1946" s="17">
        <f t="shared" si="121"/>
        <v>1</v>
      </c>
      <c r="S1946" s="16" t="e">
        <f>VLOOKUP(A1946,[4]Sales!$E:$G,3,FALSE)</f>
        <v>#N/A</v>
      </c>
      <c r="T1946" s="19" t="e">
        <f>VLOOKUP(A1946,[4]Volume!$E:$G,3,FALSE)</f>
        <v>#N/A</v>
      </c>
      <c r="U1946" s="19" t="e">
        <f>VLOOKUP(A1946,[4]Piece!$E:$G,3,FALSE)</f>
        <v>#N/A</v>
      </c>
      <c r="V1946" s="21" t="e">
        <f t="shared" si="122"/>
        <v>#N/A</v>
      </c>
      <c r="W1946" s="16" t="e">
        <f t="shared" si="123"/>
        <v>#N/A</v>
      </c>
    </row>
    <row r="1947" spans="1:23" hidden="1" x14ac:dyDescent="0.3">
      <c r="A1947" s="71" t="s">
        <v>3830</v>
      </c>
      <c r="B1947" s="71" t="s">
        <v>3830</v>
      </c>
      <c r="C1947" s="47" t="s">
        <v>33</v>
      </c>
      <c r="D1947" s="48" t="s">
        <v>34</v>
      </c>
      <c r="E1947" s="18" t="s">
        <v>3831</v>
      </c>
      <c r="F1947" s="24" t="str">
        <f t="shared" si="120"/>
        <v>PPG - PPG   EP301        HARDENER   0000001240</v>
      </c>
      <c r="G1947" s="20" t="s">
        <v>6817</v>
      </c>
      <c r="H1947" s="49" t="s">
        <v>213</v>
      </c>
      <c r="I1947" s="18" t="s">
        <v>37</v>
      </c>
      <c r="J1947" s="18" t="s">
        <v>38</v>
      </c>
      <c r="K1947" t="s">
        <v>39</v>
      </c>
      <c r="L1947" s="50">
        <f>VLOOKUP(A1947,'[3]Price info'!A:D,4,FALSE)</f>
        <v>169.75</v>
      </c>
      <c r="M1947" s="18" t="s">
        <v>214</v>
      </c>
      <c r="N1947" s="20">
        <v>3105</v>
      </c>
      <c r="P1947" s="16">
        <f>VLOOKUP(A1947,'[3]Price info'!A:H,8,FALSE)</f>
        <v>169.75</v>
      </c>
      <c r="Q1947" s="17">
        <f t="shared" si="121"/>
        <v>1</v>
      </c>
      <c r="S1947" s="16" t="e">
        <f>VLOOKUP(A1947,[4]Sales!$E:$G,3,FALSE)</f>
        <v>#N/A</v>
      </c>
      <c r="T1947" s="19" t="e">
        <f>VLOOKUP(A1947,[4]Volume!$E:$G,3,FALSE)</f>
        <v>#N/A</v>
      </c>
      <c r="U1947" s="19" t="e">
        <f>VLOOKUP(A1947,[4]Piece!$E:$G,3,FALSE)</f>
        <v>#N/A</v>
      </c>
      <c r="V1947" s="21" t="e">
        <f t="shared" si="122"/>
        <v>#N/A</v>
      </c>
      <c r="W1947" s="16" t="e">
        <f t="shared" si="123"/>
        <v>#N/A</v>
      </c>
    </row>
    <row r="1948" spans="1:23" hidden="1" x14ac:dyDescent="0.3">
      <c r="A1948" s="71" t="s">
        <v>3832</v>
      </c>
      <c r="B1948" s="71" t="s">
        <v>3832</v>
      </c>
      <c r="C1948" s="47" t="s">
        <v>33</v>
      </c>
      <c r="D1948" s="48" t="s">
        <v>34</v>
      </c>
      <c r="E1948" s="18" t="s">
        <v>3833</v>
      </c>
      <c r="F1948" s="24" t="str">
        <f t="shared" si="120"/>
        <v>PPG - PPG   EP301        LGT YELLOW 0000001405</v>
      </c>
      <c r="G1948" s="20" t="s">
        <v>6818</v>
      </c>
      <c r="H1948" s="49" t="s">
        <v>213</v>
      </c>
      <c r="I1948" s="18" t="s">
        <v>37</v>
      </c>
      <c r="J1948" s="18" t="s">
        <v>38</v>
      </c>
      <c r="K1948" t="s">
        <v>39</v>
      </c>
      <c r="L1948" s="50">
        <f>VLOOKUP(A1948,'[3]Price info'!A:D,4,FALSE)</f>
        <v>187.75</v>
      </c>
      <c r="M1948" s="18" t="s">
        <v>214</v>
      </c>
      <c r="N1948" s="20">
        <v>3105</v>
      </c>
      <c r="P1948" s="16">
        <f>VLOOKUP(A1948,'[3]Price info'!A:H,8,FALSE)</f>
        <v>187.75</v>
      </c>
      <c r="Q1948" s="17">
        <f t="shared" si="121"/>
        <v>1</v>
      </c>
      <c r="S1948" s="16" t="e">
        <f>VLOOKUP(A1948,[4]Sales!$E:$G,3,FALSE)</f>
        <v>#N/A</v>
      </c>
      <c r="T1948" s="19" t="e">
        <f>VLOOKUP(A1948,[4]Volume!$E:$G,3,FALSE)</f>
        <v>#N/A</v>
      </c>
      <c r="U1948" s="19" t="e">
        <f>VLOOKUP(A1948,[4]Piece!$E:$G,3,FALSE)</f>
        <v>#N/A</v>
      </c>
      <c r="V1948" s="21" t="e">
        <f t="shared" si="122"/>
        <v>#N/A</v>
      </c>
      <c r="W1948" s="16" t="e">
        <f t="shared" si="123"/>
        <v>#N/A</v>
      </c>
    </row>
    <row r="1949" spans="1:23" hidden="1" x14ac:dyDescent="0.3">
      <c r="A1949" s="71" t="s">
        <v>3834</v>
      </c>
      <c r="B1949" s="71" t="s">
        <v>3834</v>
      </c>
      <c r="C1949" s="51" t="s">
        <v>33</v>
      </c>
      <c r="D1949" s="48" t="s">
        <v>34</v>
      </c>
      <c r="E1949" s="18" t="s">
        <v>3835</v>
      </c>
      <c r="F1949" s="24" t="str">
        <f t="shared" si="120"/>
        <v>PPG - PPG   EP301        LIGHT GREY 0000001405</v>
      </c>
      <c r="G1949" s="20" t="s">
        <v>6819</v>
      </c>
      <c r="H1949" s="49" t="s">
        <v>213</v>
      </c>
      <c r="I1949" s="18" t="s">
        <v>37</v>
      </c>
      <c r="J1949" s="18" t="s">
        <v>38</v>
      </c>
      <c r="K1949" t="s">
        <v>39</v>
      </c>
      <c r="L1949" s="50">
        <f>VLOOKUP(A1949,'[3]Price info'!A:D,4,FALSE)</f>
        <v>187.75</v>
      </c>
      <c r="M1949" s="18" t="s">
        <v>214</v>
      </c>
      <c r="N1949" s="20">
        <v>3105</v>
      </c>
      <c r="P1949" s="16">
        <f>VLOOKUP(A1949,'[3]Price info'!A:H,8,FALSE)</f>
        <v>187.75</v>
      </c>
      <c r="Q1949" s="17">
        <f t="shared" si="121"/>
        <v>1</v>
      </c>
      <c r="S1949" s="16" t="e">
        <f>VLOOKUP(A1949,[4]Sales!$E:$G,3,FALSE)</f>
        <v>#N/A</v>
      </c>
      <c r="T1949" s="19" t="e">
        <f>VLOOKUP(A1949,[4]Volume!$E:$G,3,FALSE)</f>
        <v>#N/A</v>
      </c>
      <c r="U1949" s="19" t="e">
        <f>VLOOKUP(A1949,[4]Piece!$E:$G,3,FALSE)</f>
        <v>#N/A</v>
      </c>
      <c r="V1949" s="21" t="e">
        <f t="shared" si="122"/>
        <v>#N/A</v>
      </c>
      <c r="W1949" s="16" t="e">
        <f t="shared" si="123"/>
        <v>#N/A</v>
      </c>
    </row>
    <row r="1950" spans="1:23" hidden="1" x14ac:dyDescent="0.3">
      <c r="A1950" s="71" t="s">
        <v>3836</v>
      </c>
      <c r="B1950" s="71" t="s">
        <v>3836</v>
      </c>
      <c r="C1950" s="47" t="s">
        <v>33</v>
      </c>
      <c r="D1950" s="48" t="s">
        <v>34</v>
      </c>
      <c r="E1950" s="18" t="s">
        <v>3837</v>
      </c>
      <c r="F1950" s="24" t="str">
        <f t="shared" si="120"/>
        <v>PPG - PPG   EP301        LIGHT GREY 0000001808</v>
      </c>
      <c r="G1950" s="20" t="s">
        <v>6820</v>
      </c>
      <c r="H1950" s="49" t="s">
        <v>213</v>
      </c>
      <c r="I1950" s="18" t="s">
        <v>37</v>
      </c>
      <c r="J1950" s="18" t="s">
        <v>38</v>
      </c>
      <c r="K1950" t="s">
        <v>39</v>
      </c>
      <c r="L1950" s="50">
        <f>VLOOKUP(A1950,'[3]Price info'!A:D,4,FALSE)</f>
        <v>345.25</v>
      </c>
      <c r="M1950" s="18" t="s">
        <v>214</v>
      </c>
      <c r="N1950" s="20">
        <v>3105</v>
      </c>
      <c r="P1950" s="16">
        <f>VLOOKUP(A1950,'[3]Price info'!A:H,8,FALSE)</f>
        <v>345.25</v>
      </c>
      <c r="Q1950" s="17">
        <f t="shared" si="121"/>
        <v>1</v>
      </c>
      <c r="S1950" s="16" t="e">
        <f>VLOOKUP(A1950,[4]Sales!$E:$G,3,FALSE)</f>
        <v>#N/A</v>
      </c>
      <c r="T1950" s="19" t="e">
        <f>VLOOKUP(A1950,[4]Volume!$E:$G,3,FALSE)</f>
        <v>#N/A</v>
      </c>
      <c r="U1950" s="19" t="e">
        <f>VLOOKUP(A1950,[4]Piece!$E:$G,3,FALSE)</f>
        <v>#N/A</v>
      </c>
      <c r="V1950" s="21" t="e">
        <f t="shared" si="122"/>
        <v>#N/A</v>
      </c>
      <c r="W1950" s="16" t="e">
        <f t="shared" si="123"/>
        <v>#N/A</v>
      </c>
    </row>
    <row r="1951" spans="1:23" hidden="1" x14ac:dyDescent="0.3">
      <c r="A1951" s="71" t="s">
        <v>3838</v>
      </c>
      <c r="B1951" s="71" t="s">
        <v>3838</v>
      </c>
      <c r="C1951" s="47" t="s">
        <v>33</v>
      </c>
      <c r="D1951" s="48" t="s">
        <v>34</v>
      </c>
      <c r="E1951" s="18" t="s">
        <v>3839</v>
      </c>
      <c r="F1951" s="24" t="str">
        <f t="shared" si="120"/>
        <v>PPG - PPG   EP301        LIGHT GREY 0000002101</v>
      </c>
      <c r="G1951" s="20" t="s">
        <v>6821</v>
      </c>
      <c r="H1951" s="49" t="s">
        <v>213</v>
      </c>
      <c r="I1951" s="18" t="s">
        <v>37</v>
      </c>
      <c r="J1951" s="18" t="s">
        <v>38</v>
      </c>
      <c r="K1951" t="s">
        <v>39</v>
      </c>
      <c r="L1951" s="50">
        <f>VLOOKUP(A1951,'[3]Price info'!A:D,4,FALSE)</f>
        <v>404.9</v>
      </c>
      <c r="M1951" s="18" t="s">
        <v>214</v>
      </c>
      <c r="N1951" s="20">
        <v>3105</v>
      </c>
      <c r="P1951" s="16">
        <f>VLOOKUP(A1951,'[3]Price info'!A:H,8,FALSE)</f>
        <v>404.9</v>
      </c>
      <c r="Q1951" s="17">
        <f t="shared" si="121"/>
        <v>1</v>
      </c>
      <c r="S1951" s="16" t="e">
        <f>VLOOKUP(A1951,[4]Sales!$E:$G,3,FALSE)</f>
        <v>#N/A</v>
      </c>
      <c r="T1951" s="19" t="e">
        <f>VLOOKUP(A1951,[4]Volume!$E:$G,3,FALSE)</f>
        <v>#N/A</v>
      </c>
      <c r="U1951" s="19" t="e">
        <f>VLOOKUP(A1951,[4]Piece!$E:$G,3,FALSE)</f>
        <v>#N/A</v>
      </c>
      <c r="V1951" s="21" t="e">
        <f t="shared" si="122"/>
        <v>#N/A</v>
      </c>
      <c r="W1951" s="16" t="e">
        <f t="shared" si="123"/>
        <v>#N/A</v>
      </c>
    </row>
    <row r="1952" spans="1:23" hidden="1" x14ac:dyDescent="0.3">
      <c r="A1952" s="71" t="s">
        <v>3840</v>
      </c>
      <c r="B1952" s="71" t="s">
        <v>3840</v>
      </c>
      <c r="C1952" s="51" t="s">
        <v>33</v>
      </c>
      <c r="D1952" s="48" t="s">
        <v>34</v>
      </c>
      <c r="E1952" s="18" t="s">
        <v>3841</v>
      </c>
      <c r="F1952" s="24" t="str">
        <f t="shared" si="120"/>
        <v>PPG - PPG   EP301        LIGHT YELL 0000001808</v>
      </c>
      <c r="G1952" s="20" t="s">
        <v>6822</v>
      </c>
      <c r="H1952" s="49" t="s">
        <v>213</v>
      </c>
      <c r="I1952" s="18" t="s">
        <v>37</v>
      </c>
      <c r="J1952" s="18" t="s">
        <v>38</v>
      </c>
      <c r="K1952" t="s">
        <v>39</v>
      </c>
      <c r="L1952" s="50">
        <f>VLOOKUP(A1952,'[3]Price info'!A:D,4,FALSE)</f>
        <v>345.25</v>
      </c>
      <c r="M1952" s="18" t="s">
        <v>214</v>
      </c>
      <c r="N1952" s="20">
        <v>3105</v>
      </c>
      <c r="P1952" s="16">
        <f>VLOOKUP(A1952,'[3]Price info'!A:H,8,FALSE)</f>
        <v>345.25</v>
      </c>
      <c r="Q1952" s="17">
        <f t="shared" si="121"/>
        <v>1</v>
      </c>
      <c r="S1952" s="16" t="e">
        <f>VLOOKUP(A1952,[4]Sales!$E:$G,3,FALSE)</f>
        <v>#N/A</v>
      </c>
      <c r="T1952" s="19" t="e">
        <f>VLOOKUP(A1952,[4]Volume!$E:$G,3,FALSE)</f>
        <v>#N/A</v>
      </c>
      <c r="U1952" s="19" t="e">
        <f>VLOOKUP(A1952,[4]Piece!$E:$G,3,FALSE)</f>
        <v>#N/A</v>
      </c>
      <c r="V1952" s="21" t="e">
        <f t="shared" si="122"/>
        <v>#N/A</v>
      </c>
      <c r="W1952" s="16" t="e">
        <f t="shared" si="123"/>
        <v>#N/A</v>
      </c>
    </row>
    <row r="1953" spans="1:23" hidden="1" x14ac:dyDescent="0.3">
      <c r="A1953" s="71" t="s">
        <v>3842</v>
      </c>
      <c r="B1953" s="71" t="s">
        <v>3842</v>
      </c>
      <c r="C1953" s="47" t="s">
        <v>33</v>
      </c>
      <c r="D1953" s="48" t="s">
        <v>34</v>
      </c>
      <c r="E1953" s="18" t="s">
        <v>3843</v>
      </c>
      <c r="F1953" s="24" t="str">
        <f t="shared" si="120"/>
        <v>PPG - PPG   EP301        LIGHT YELL 0000002101</v>
      </c>
      <c r="G1953" s="20" t="s">
        <v>6823</v>
      </c>
      <c r="H1953" s="49" t="s">
        <v>213</v>
      </c>
      <c r="I1953" s="18" t="s">
        <v>37</v>
      </c>
      <c r="J1953" s="18" t="s">
        <v>38</v>
      </c>
      <c r="K1953" t="s">
        <v>39</v>
      </c>
      <c r="L1953" s="50">
        <f>VLOOKUP(A1953,'[3]Price info'!A:D,4,FALSE)</f>
        <v>404.9</v>
      </c>
      <c r="M1953" s="18" t="s">
        <v>214</v>
      </c>
      <c r="N1953" s="20">
        <v>3105</v>
      </c>
      <c r="P1953" s="16">
        <f>VLOOKUP(A1953,'[3]Price info'!A:H,8,FALSE)</f>
        <v>404.9</v>
      </c>
      <c r="Q1953" s="17">
        <f t="shared" si="121"/>
        <v>1</v>
      </c>
      <c r="S1953" s="16" t="e">
        <f>VLOOKUP(A1953,[4]Sales!$E:$G,3,FALSE)</f>
        <v>#N/A</v>
      </c>
      <c r="T1953" s="19" t="e">
        <f>VLOOKUP(A1953,[4]Volume!$E:$G,3,FALSE)</f>
        <v>#N/A</v>
      </c>
      <c r="U1953" s="19" t="e">
        <f>VLOOKUP(A1953,[4]Piece!$E:$G,3,FALSE)</f>
        <v>#N/A</v>
      </c>
      <c r="V1953" s="21" t="e">
        <f t="shared" si="122"/>
        <v>#N/A</v>
      </c>
      <c r="W1953" s="16" t="e">
        <f t="shared" si="123"/>
        <v>#N/A</v>
      </c>
    </row>
    <row r="1954" spans="1:23" hidden="1" x14ac:dyDescent="0.3">
      <c r="A1954" s="71" t="s">
        <v>3844</v>
      </c>
      <c r="B1954" s="71" t="s">
        <v>3844</v>
      </c>
      <c r="C1954" s="47" t="s">
        <v>33</v>
      </c>
      <c r="D1954" s="48" t="s">
        <v>34</v>
      </c>
      <c r="E1954" s="18" t="s">
        <v>3845</v>
      </c>
      <c r="F1954" s="24" t="str">
        <f t="shared" si="120"/>
        <v>PPG - PPG   EP301        MID BLUE   0000001405</v>
      </c>
      <c r="G1954" s="20" t="s">
        <v>6824</v>
      </c>
      <c r="H1954" s="49" t="s">
        <v>213</v>
      </c>
      <c r="I1954" s="18" t="s">
        <v>37</v>
      </c>
      <c r="J1954" s="18" t="s">
        <v>38</v>
      </c>
      <c r="K1954" t="s">
        <v>39</v>
      </c>
      <c r="L1954" s="50">
        <f>VLOOKUP(A1954,'[3]Price info'!A:D,4,FALSE)</f>
        <v>187.75</v>
      </c>
      <c r="M1954" s="18" t="s">
        <v>214</v>
      </c>
      <c r="N1954" s="20">
        <v>3105</v>
      </c>
      <c r="P1954" s="16">
        <f>VLOOKUP(A1954,'[3]Price info'!A:H,8,FALSE)</f>
        <v>187.75</v>
      </c>
      <c r="Q1954" s="17">
        <f t="shared" si="121"/>
        <v>1</v>
      </c>
      <c r="S1954" s="16" t="e">
        <f>VLOOKUP(A1954,[4]Sales!$E:$G,3,FALSE)</f>
        <v>#N/A</v>
      </c>
      <c r="T1954" s="19" t="e">
        <f>VLOOKUP(A1954,[4]Volume!$E:$G,3,FALSE)</f>
        <v>#N/A</v>
      </c>
      <c r="U1954" s="19" t="e">
        <f>VLOOKUP(A1954,[4]Piece!$E:$G,3,FALSE)</f>
        <v>#N/A</v>
      </c>
      <c r="V1954" s="21" t="e">
        <f t="shared" si="122"/>
        <v>#N/A</v>
      </c>
      <c r="W1954" s="16" t="e">
        <f t="shared" si="123"/>
        <v>#N/A</v>
      </c>
    </row>
    <row r="1955" spans="1:23" hidden="1" x14ac:dyDescent="0.3">
      <c r="A1955" s="71" t="s">
        <v>3846</v>
      </c>
      <c r="B1955" s="71" t="s">
        <v>3846</v>
      </c>
      <c r="C1955" s="51" t="s">
        <v>33</v>
      </c>
      <c r="D1955" s="48" t="s">
        <v>34</v>
      </c>
      <c r="E1955" s="18" t="s">
        <v>3847</v>
      </c>
      <c r="F1955" s="24" t="str">
        <f t="shared" si="120"/>
        <v>PPG - PPG   EP301        MID BLUE   0000001808</v>
      </c>
      <c r="G1955" s="20" t="s">
        <v>6825</v>
      </c>
      <c r="H1955" s="49" t="s">
        <v>213</v>
      </c>
      <c r="I1955" s="18" t="s">
        <v>37</v>
      </c>
      <c r="J1955" s="18" t="s">
        <v>38</v>
      </c>
      <c r="K1955" t="s">
        <v>39</v>
      </c>
      <c r="L1955" s="50">
        <f>VLOOKUP(A1955,'[3]Price info'!A:D,4,FALSE)</f>
        <v>345.25</v>
      </c>
      <c r="M1955" s="18" t="s">
        <v>214</v>
      </c>
      <c r="N1955" s="20">
        <v>3105</v>
      </c>
      <c r="P1955" s="16">
        <f>VLOOKUP(A1955,'[3]Price info'!A:H,8,FALSE)</f>
        <v>345.25</v>
      </c>
      <c r="Q1955" s="17">
        <f t="shared" si="121"/>
        <v>1</v>
      </c>
      <c r="S1955" s="16" t="e">
        <f>VLOOKUP(A1955,[4]Sales!$E:$G,3,FALSE)</f>
        <v>#N/A</v>
      </c>
      <c r="T1955" s="19" t="e">
        <f>VLOOKUP(A1955,[4]Volume!$E:$G,3,FALSE)</f>
        <v>#N/A</v>
      </c>
      <c r="U1955" s="19" t="e">
        <f>VLOOKUP(A1955,[4]Piece!$E:$G,3,FALSE)</f>
        <v>#N/A</v>
      </c>
      <c r="V1955" s="21" t="e">
        <f t="shared" si="122"/>
        <v>#N/A</v>
      </c>
      <c r="W1955" s="16" t="e">
        <f t="shared" si="123"/>
        <v>#N/A</v>
      </c>
    </row>
    <row r="1956" spans="1:23" hidden="1" x14ac:dyDescent="0.3">
      <c r="A1956" s="71" t="s">
        <v>3848</v>
      </c>
      <c r="B1956" s="71" t="s">
        <v>3848</v>
      </c>
      <c r="C1956" s="47" t="s">
        <v>33</v>
      </c>
      <c r="D1956" s="48" t="s">
        <v>34</v>
      </c>
      <c r="E1956" s="18" t="s">
        <v>3849</v>
      </c>
      <c r="F1956" s="24" t="str">
        <f t="shared" si="120"/>
        <v>PPG - PPG   EP301        MID BLUE   0000002101</v>
      </c>
      <c r="G1956" s="20" t="s">
        <v>6826</v>
      </c>
      <c r="H1956" s="49" t="s">
        <v>213</v>
      </c>
      <c r="I1956" s="18" t="s">
        <v>37</v>
      </c>
      <c r="J1956" s="18" t="s">
        <v>38</v>
      </c>
      <c r="K1956" t="s">
        <v>39</v>
      </c>
      <c r="L1956" s="50">
        <f>VLOOKUP(A1956,'[3]Price info'!A:D,4,FALSE)</f>
        <v>404.9</v>
      </c>
      <c r="M1956" s="18" t="s">
        <v>214</v>
      </c>
      <c r="N1956" s="20">
        <v>3105</v>
      </c>
      <c r="P1956" s="16">
        <f>VLOOKUP(A1956,'[3]Price info'!A:H,8,FALSE)</f>
        <v>404.9</v>
      </c>
      <c r="Q1956" s="17">
        <f t="shared" si="121"/>
        <v>1</v>
      </c>
      <c r="S1956" s="16" t="e">
        <f>VLOOKUP(A1956,[4]Sales!$E:$G,3,FALSE)</f>
        <v>#N/A</v>
      </c>
      <c r="T1956" s="19" t="e">
        <f>VLOOKUP(A1956,[4]Volume!$E:$G,3,FALSE)</f>
        <v>#N/A</v>
      </c>
      <c r="U1956" s="19" t="e">
        <f>VLOOKUP(A1956,[4]Piece!$E:$G,3,FALSE)</f>
        <v>#N/A</v>
      </c>
      <c r="V1956" s="21" t="e">
        <f t="shared" si="122"/>
        <v>#N/A</v>
      </c>
      <c r="W1956" s="16" t="e">
        <f t="shared" si="123"/>
        <v>#N/A</v>
      </c>
    </row>
    <row r="1957" spans="1:23" hidden="1" x14ac:dyDescent="0.3">
      <c r="A1957" s="71" t="s">
        <v>3850</v>
      </c>
      <c r="B1957" s="71" t="s">
        <v>3850</v>
      </c>
      <c r="C1957" s="47" t="s">
        <v>33</v>
      </c>
      <c r="D1957" s="48" t="s">
        <v>34</v>
      </c>
      <c r="E1957" s="18" t="s">
        <v>3851</v>
      </c>
      <c r="F1957" s="24" t="str">
        <f t="shared" si="120"/>
        <v>PPG - PPG   EP301        MID GREY   0000001405</v>
      </c>
      <c r="G1957" s="20" t="s">
        <v>6827</v>
      </c>
      <c r="H1957" s="49" t="s">
        <v>213</v>
      </c>
      <c r="I1957" s="18" t="s">
        <v>37</v>
      </c>
      <c r="J1957" s="18" t="s">
        <v>38</v>
      </c>
      <c r="K1957" t="s">
        <v>39</v>
      </c>
      <c r="L1957" s="50">
        <f>VLOOKUP(A1957,'[3]Price info'!A:D,4,FALSE)</f>
        <v>187.75</v>
      </c>
      <c r="M1957" s="18" t="s">
        <v>214</v>
      </c>
      <c r="N1957" s="20">
        <v>3105</v>
      </c>
      <c r="P1957" s="16">
        <f>VLOOKUP(A1957,'[3]Price info'!A:H,8,FALSE)</f>
        <v>187.75</v>
      </c>
      <c r="Q1957" s="17">
        <f t="shared" si="121"/>
        <v>1</v>
      </c>
      <c r="S1957" s="16" t="e">
        <f>VLOOKUP(A1957,[4]Sales!$E:$G,3,FALSE)</f>
        <v>#N/A</v>
      </c>
      <c r="T1957" s="19" t="e">
        <f>VLOOKUP(A1957,[4]Volume!$E:$G,3,FALSE)</f>
        <v>#N/A</v>
      </c>
      <c r="U1957" s="19" t="e">
        <f>VLOOKUP(A1957,[4]Piece!$E:$G,3,FALSE)</f>
        <v>#N/A</v>
      </c>
      <c r="V1957" s="21" t="e">
        <f t="shared" si="122"/>
        <v>#N/A</v>
      </c>
      <c r="W1957" s="16" t="e">
        <f t="shared" si="123"/>
        <v>#N/A</v>
      </c>
    </row>
    <row r="1958" spans="1:23" hidden="1" x14ac:dyDescent="0.3">
      <c r="A1958" s="71" t="s">
        <v>3852</v>
      </c>
      <c r="B1958" s="71" t="s">
        <v>3852</v>
      </c>
      <c r="C1958" s="51" t="s">
        <v>33</v>
      </c>
      <c r="D1958" s="48" t="s">
        <v>34</v>
      </c>
      <c r="E1958" s="18" t="s">
        <v>3853</v>
      </c>
      <c r="F1958" s="24" t="str">
        <f t="shared" si="120"/>
        <v>PPG - PPG   EP301        MID GREY   0000001808</v>
      </c>
      <c r="G1958" s="20" t="s">
        <v>6828</v>
      </c>
      <c r="H1958" s="49" t="s">
        <v>213</v>
      </c>
      <c r="I1958" s="18" t="s">
        <v>37</v>
      </c>
      <c r="J1958" s="18" t="s">
        <v>38</v>
      </c>
      <c r="K1958" t="s">
        <v>39</v>
      </c>
      <c r="L1958" s="50">
        <f>VLOOKUP(A1958,'[3]Price info'!A:D,4,FALSE)</f>
        <v>345.25</v>
      </c>
      <c r="M1958" s="18" t="s">
        <v>214</v>
      </c>
      <c r="N1958" s="20">
        <v>3105</v>
      </c>
      <c r="P1958" s="16">
        <f>VLOOKUP(A1958,'[3]Price info'!A:H,8,FALSE)</f>
        <v>345.25</v>
      </c>
      <c r="Q1958" s="17">
        <f t="shared" si="121"/>
        <v>1</v>
      </c>
      <c r="S1958" s="16" t="e">
        <f>VLOOKUP(A1958,[4]Sales!$E:$G,3,FALSE)</f>
        <v>#N/A</v>
      </c>
      <c r="T1958" s="19" t="e">
        <f>VLOOKUP(A1958,[4]Volume!$E:$G,3,FALSE)</f>
        <v>#N/A</v>
      </c>
      <c r="U1958" s="19" t="e">
        <f>VLOOKUP(A1958,[4]Piece!$E:$G,3,FALSE)</f>
        <v>#N/A</v>
      </c>
      <c r="V1958" s="21" t="e">
        <f t="shared" si="122"/>
        <v>#N/A</v>
      </c>
      <c r="W1958" s="16" t="e">
        <f t="shared" si="123"/>
        <v>#N/A</v>
      </c>
    </row>
    <row r="1959" spans="1:23" hidden="1" x14ac:dyDescent="0.3">
      <c r="A1959" s="71" t="s">
        <v>3854</v>
      </c>
      <c r="B1959" s="71" t="s">
        <v>3854</v>
      </c>
      <c r="C1959" s="47" t="s">
        <v>33</v>
      </c>
      <c r="D1959" s="48" t="s">
        <v>34</v>
      </c>
      <c r="E1959" s="18" t="s">
        <v>3855</v>
      </c>
      <c r="F1959" s="24" t="str">
        <f t="shared" si="120"/>
        <v>PPG - PPG   EP301        MID GREY   0000002101</v>
      </c>
      <c r="G1959" s="20" t="s">
        <v>6829</v>
      </c>
      <c r="H1959" s="49" t="s">
        <v>213</v>
      </c>
      <c r="I1959" s="18" t="s">
        <v>37</v>
      </c>
      <c r="J1959" s="18" t="s">
        <v>38</v>
      </c>
      <c r="K1959" t="s">
        <v>39</v>
      </c>
      <c r="L1959" s="50">
        <f>VLOOKUP(A1959,'[3]Price info'!A:D,4,FALSE)</f>
        <v>404.9</v>
      </c>
      <c r="M1959" s="18" t="s">
        <v>214</v>
      </c>
      <c r="N1959" s="20">
        <v>3105</v>
      </c>
      <c r="P1959" s="16">
        <f>VLOOKUP(A1959,'[3]Price info'!A:H,8,FALSE)</f>
        <v>404.9</v>
      </c>
      <c r="Q1959" s="17">
        <f t="shared" si="121"/>
        <v>1</v>
      </c>
      <c r="S1959" s="16" t="e">
        <f>VLOOKUP(A1959,[4]Sales!$E:$G,3,FALSE)</f>
        <v>#N/A</v>
      </c>
      <c r="T1959" s="19" t="e">
        <f>VLOOKUP(A1959,[4]Volume!$E:$G,3,FALSE)</f>
        <v>#N/A</v>
      </c>
      <c r="U1959" s="19" t="e">
        <f>VLOOKUP(A1959,[4]Piece!$E:$G,3,FALSE)</f>
        <v>#N/A</v>
      </c>
      <c r="V1959" s="21" t="e">
        <f t="shared" si="122"/>
        <v>#N/A</v>
      </c>
      <c r="W1959" s="16" t="e">
        <f t="shared" si="123"/>
        <v>#N/A</v>
      </c>
    </row>
    <row r="1960" spans="1:23" hidden="1" x14ac:dyDescent="0.3">
      <c r="A1960" s="71" t="s">
        <v>3856</v>
      </c>
      <c r="B1960" s="71" t="s">
        <v>3856</v>
      </c>
      <c r="C1960" s="47" t="s">
        <v>33</v>
      </c>
      <c r="D1960" s="48" t="s">
        <v>34</v>
      </c>
      <c r="E1960" s="18" t="s">
        <v>3857</v>
      </c>
      <c r="F1960" s="24" t="str">
        <f t="shared" si="120"/>
        <v>PPG - PPG   EP301        MID YELLOW 0000001405</v>
      </c>
      <c r="G1960" s="20" t="s">
        <v>6830</v>
      </c>
      <c r="H1960" s="49" t="s">
        <v>213</v>
      </c>
      <c r="I1960" s="18" t="s">
        <v>37</v>
      </c>
      <c r="J1960" s="18" t="s">
        <v>38</v>
      </c>
      <c r="K1960" t="s">
        <v>39</v>
      </c>
      <c r="L1960" s="50">
        <f>VLOOKUP(A1960,'[3]Price info'!A:D,4,FALSE)</f>
        <v>187.75</v>
      </c>
      <c r="M1960" s="18" t="s">
        <v>214</v>
      </c>
      <c r="N1960" s="20">
        <v>3105</v>
      </c>
      <c r="P1960" s="16">
        <f>VLOOKUP(A1960,'[3]Price info'!A:H,8,FALSE)</f>
        <v>187.75</v>
      </c>
      <c r="Q1960" s="17">
        <f t="shared" si="121"/>
        <v>1</v>
      </c>
      <c r="S1960" s="16" t="e">
        <f>VLOOKUP(A1960,[4]Sales!$E:$G,3,FALSE)</f>
        <v>#N/A</v>
      </c>
      <c r="T1960" s="19" t="e">
        <f>VLOOKUP(A1960,[4]Volume!$E:$G,3,FALSE)</f>
        <v>#N/A</v>
      </c>
      <c r="U1960" s="19" t="e">
        <f>VLOOKUP(A1960,[4]Piece!$E:$G,3,FALSE)</f>
        <v>#N/A</v>
      </c>
      <c r="V1960" s="21" t="e">
        <f t="shared" si="122"/>
        <v>#N/A</v>
      </c>
      <c r="W1960" s="16" t="e">
        <f t="shared" si="123"/>
        <v>#N/A</v>
      </c>
    </row>
    <row r="1961" spans="1:23" hidden="1" x14ac:dyDescent="0.3">
      <c r="A1961" s="71" t="s">
        <v>3858</v>
      </c>
      <c r="B1961" s="71" t="s">
        <v>3858</v>
      </c>
      <c r="C1961" s="51" t="s">
        <v>33</v>
      </c>
      <c r="D1961" s="48" t="s">
        <v>34</v>
      </c>
      <c r="E1961" s="18" t="s">
        <v>3859</v>
      </c>
      <c r="F1961" s="24" t="str">
        <f t="shared" si="120"/>
        <v>PPG - PPG   EP301        MID YELLOW 0000001808</v>
      </c>
      <c r="G1961" s="20" t="s">
        <v>6831</v>
      </c>
      <c r="H1961" s="49" t="s">
        <v>213</v>
      </c>
      <c r="I1961" s="18" t="s">
        <v>37</v>
      </c>
      <c r="J1961" s="18" t="s">
        <v>38</v>
      </c>
      <c r="K1961" t="s">
        <v>39</v>
      </c>
      <c r="L1961" s="50">
        <f>VLOOKUP(A1961,'[3]Price info'!A:D,4,FALSE)</f>
        <v>345.25</v>
      </c>
      <c r="M1961" s="18" t="s">
        <v>214</v>
      </c>
      <c r="N1961" s="20">
        <v>3105</v>
      </c>
      <c r="P1961" s="16">
        <f>VLOOKUP(A1961,'[3]Price info'!A:H,8,FALSE)</f>
        <v>345.25</v>
      </c>
      <c r="Q1961" s="17">
        <f t="shared" si="121"/>
        <v>1</v>
      </c>
      <c r="S1961" s="16" t="e">
        <f>VLOOKUP(A1961,[4]Sales!$E:$G,3,FALSE)</f>
        <v>#N/A</v>
      </c>
      <c r="T1961" s="19" t="e">
        <f>VLOOKUP(A1961,[4]Volume!$E:$G,3,FALSE)</f>
        <v>#N/A</v>
      </c>
      <c r="U1961" s="19" t="e">
        <f>VLOOKUP(A1961,[4]Piece!$E:$G,3,FALSE)</f>
        <v>#N/A</v>
      </c>
      <c r="V1961" s="21" t="e">
        <f t="shared" si="122"/>
        <v>#N/A</v>
      </c>
      <c r="W1961" s="16" t="e">
        <f t="shared" si="123"/>
        <v>#N/A</v>
      </c>
    </row>
    <row r="1962" spans="1:23" hidden="1" x14ac:dyDescent="0.3">
      <c r="A1962" s="71" t="s">
        <v>3860</v>
      </c>
      <c r="B1962" s="71" t="s">
        <v>3860</v>
      </c>
      <c r="C1962" s="47" t="s">
        <v>33</v>
      </c>
      <c r="D1962" s="48" t="s">
        <v>34</v>
      </c>
      <c r="E1962" s="18" t="s">
        <v>3861</v>
      </c>
      <c r="F1962" s="24" t="str">
        <f t="shared" si="120"/>
        <v>PPG - PPG   EP301        MID YELLOW 0000002101</v>
      </c>
      <c r="G1962" s="20" t="s">
        <v>6832</v>
      </c>
      <c r="H1962" s="49" t="s">
        <v>213</v>
      </c>
      <c r="I1962" s="18" t="s">
        <v>37</v>
      </c>
      <c r="J1962" s="18" t="s">
        <v>38</v>
      </c>
      <c r="K1962" t="s">
        <v>39</v>
      </c>
      <c r="L1962" s="50">
        <f>VLOOKUP(A1962,'[3]Price info'!A:D,4,FALSE)</f>
        <v>404.9</v>
      </c>
      <c r="M1962" s="18" t="s">
        <v>214</v>
      </c>
      <c r="N1962" s="20">
        <v>3105</v>
      </c>
      <c r="P1962" s="16">
        <f>VLOOKUP(A1962,'[3]Price info'!A:H,8,FALSE)</f>
        <v>404.9</v>
      </c>
      <c r="Q1962" s="17">
        <f t="shared" si="121"/>
        <v>1</v>
      </c>
      <c r="S1962" s="16" t="e">
        <f>VLOOKUP(A1962,[4]Sales!$E:$G,3,FALSE)</f>
        <v>#N/A</v>
      </c>
      <c r="T1962" s="19" t="e">
        <f>VLOOKUP(A1962,[4]Volume!$E:$G,3,FALSE)</f>
        <v>#N/A</v>
      </c>
      <c r="U1962" s="19" t="e">
        <f>VLOOKUP(A1962,[4]Piece!$E:$G,3,FALSE)</f>
        <v>#N/A</v>
      </c>
      <c r="V1962" s="21" t="e">
        <f t="shared" si="122"/>
        <v>#N/A</v>
      </c>
      <c r="W1962" s="16" t="e">
        <f t="shared" si="123"/>
        <v>#N/A</v>
      </c>
    </row>
    <row r="1963" spans="1:23" hidden="1" x14ac:dyDescent="0.3">
      <c r="A1963" s="71" t="s">
        <v>3862</v>
      </c>
      <c r="B1963" s="71" t="s">
        <v>3862</v>
      </c>
      <c r="C1963" s="47" t="s">
        <v>33</v>
      </c>
      <c r="D1963" s="48" t="s">
        <v>34</v>
      </c>
      <c r="E1963" s="18" t="s">
        <v>3863</v>
      </c>
      <c r="F1963" s="24" t="str">
        <f t="shared" si="120"/>
        <v>PPG - PPG   EP301        RED        0000001405</v>
      </c>
      <c r="G1963" s="20" t="s">
        <v>6833</v>
      </c>
      <c r="H1963" s="49" t="s">
        <v>213</v>
      </c>
      <c r="I1963" s="18" t="s">
        <v>37</v>
      </c>
      <c r="J1963" s="18" t="s">
        <v>38</v>
      </c>
      <c r="K1963" t="s">
        <v>39</v>
      </c>
      <c r="L1963" s="50">
        <f>VLOOKUP(A1963,'[3]Price info'!A:D,4,FALSE)</f>
        <v>187.75</v>
      </c>
      <c r="M1963" s="18" t="s">
        <v>214</v>
      </c>
      <c r="N1963" s="20">
        <v>3105</v>
      </c>
      <c r="P1963" s="16">
        <f>VLOOKUP(A1963,'[3]Price info'!A:H,8,FALSE)</f>
        <v>187.75</v>
      </c>
      <c r="Q1963" s="17">
        <f t="shared" si="121"/>
        <v>1</v>
      </c>
      <c r="S1963" s="16" t="e">
        <f>VLOOKUP(A1963,[4]Sales!$E:$G,3,FALSE)</f>
        <v>#N/A</v>
      </c>
      <c r="T1963" s="19" t="e">
        <f>VLOOKUP(A1963,[4]Volume!$E:$G,3,FALSE)</f>
        <v>#N/A</v>
      </c>
      <c r="U1963" s="19" t="e">
        <f>VLOOKUP(A1963,[4]Piece!$E:$G,3,FALSE)</f>
        <v>#N/A</v>
      </c>
      <c r="V1963" s="21" t="e">
        <f t="shared" si="122"/>
        <v>#N/A</v>
      </c>
      <c r="W1963" s="16" t="e">
        <f t="shared" si="123"/>
        <v>#N/A</v>
      </c>
    </row>
    <row r="1964" spans="1:23" hidden="1" x14ac:dyDescent="0.3">
      <c r="A1964" s="71" t="s">
        <v>3864</v>
      </c>
      <c r="B1964" s="71" t="s">
        <v>3864</v>
      </c>
      <c r="C1964" s="51" t="s">
        <v>33</v>
      </c>
      <c r="D1964" s="48" t="s">
        <v>34</v>
      </c>
      <c r="E1964" s="18" t="s">
        <v>3865</v>
      </c>
      <c r="F1964" s="24" t="str">
        <f t="shared" si="120"/>
        <v>PPG - PPG   EP301        RED        0000001808</v>
      </c>
      <c r="G1964" s="20" t="s">
        <v>6834</v>
      </c>
      <c r="H1964" s="49" t="s">
        <v>213</v>
      </c>
      <c r="I1964" s="18" t="s">
        <v>37</v>
      </c>
      <c r="J1964" s="18" t="s">
        <v>38</v>
      </c>
      <c r="K1964" t="s">
        <v>39</v>
      </c>
      <c r="L1964" s="50">
        <f>VLOOKUP(A1964,'[3]Price info'!A:D,4,FALSE)</f>
        <v>345.25</v>
      </c>
      <c r="M1964" s="18" t="s">
        <v>214</v>
      </c>
      <c r="N1964" s="20">
        <v>3105</v>
      </c>
      <c r="P1964" s="16">
        <f>VLOOKUP(A1964,'[3]Price info'!A:H,8,FALSE)</f>
        <v>345.25</v>
      </c>
      <c r="Q1964" s="17">
        <f t="shared" si="121"/>
        <v>1</v>
      </c>
      <c r="S1964" s="16" t="e">
        <f>VLOOKUP(A1964,[4]Sales!$E:$G,3,FALSE)</f>
        <v>#N/A</v>
      </c>
      <c r="T1964" s="19" t="e">
        <f>VLOOKUP(A1964,[4]Volume!$E:$G,3,FALSE)</f>
        <v>#N/A</v>
      </c>
      <c r="U1964" s="19" t="e">
        <f>VLOOKUP(A1964,[4]Piece!$E:$G,3,FALSE)</f>
        <v>#N/A</v>
      </c>
      <c r="V1964" s="21" t="e">
        <f t="shared" si="122"/>
        <v>#N/A</v>
      </c>
      <c r="W1964" s="16" t="e">
        <f t="shared" si="123"/>
        <v>#N/A</v>
      </c>
    </row>
    <row r="1965" spans="1:23" hidden="1" x14ac:dyDescent="0.3">
      <c r="A1965" s="71" t="s">
        <v>3866</v>
      </c>
      <c r="B1965" s="71" t="s">
        <v>3866</v>
      </c>
      <c r="C1965" s="47" t="s">
        <v>33</v>
      </c>
      <c r="D1965" s="48" t="s">
        <v>34</v>
      </c>
      <c r="E1965" s="18" t="s">
        <v>3867</v>
      </c>
      <c r="F1965" s="24" t="str">
        <f t="shared" si="120"/>
        <v>PPG - PPG   EP301        RED        0000002101</v>
      </c>
      <c r="G1965" s="20" t="s">
        <v>6835</v>
      </c>
      <c r="H1965" s="49" t="s">
        <v>213</v>
      </c>
      <c r="I1965" s="18" t="s">
        <v>37</v>
      </c>
      <c r="J1965" s="18" t="s">
        <v>38</v>
      </c>
      <c r="K1965" t="s">
        <v>39</v>
      </c>
      <c r="L1965" s="50">
        <f>VLOOKUP(A1965,'[3]Price info'!A:D,4,FALSE)</f>
        <v>404.9</v>
      </c>
      <c r="M1965" s="18" t="s">
        <v>214</v>
      </c>
      <c r="N1965" s="20">
        <v>3105</v>
      </c>
      <c r="P1965" s="16">
        <f>VLOOKUP(A1965,'[3]Price info'!A:H,8,FALSE)</f>
        <v>404.9</v>
      </c>
      <c r="Q1965" s="17">
        <f t="shared" si="121"/>
        <v>1</v>
      </c>
      <c r="S1965" s="16" t="e">
        <f>VLOOKUP(A1965,[4]Sales!$E:$G,3,FALSE)</f>
        <v>#N/A</v>
      </c>
      <c r="T1965" s="19" t="e">
        <f>VLOOKUP(A1965,[4]Volume!$E:$G,3,FALSE)</f>
        <v>#N/A</v>
      </c>
      <c r="U1965" s="19" t="e">
        <f>VLOOKUP(A1965,[4]Piece!$E:$G,3,FALSE)</f>
        <v>#N/A</v>
      </c>
      <c r="V1965" s="21" t="e">
        <f t="shared" si="122"/>
        <v>#N/A</v>
      </c>
      <c r="W1965" s="16" t="e">
        <f t="shared" si="123"/>
        <v>#N/A</v>
      </c>
    </row>
    <row r="1966" spans="1:23" hidden="1" x14ac:dyDescent="0.3">
      <c r="A1966" s="71" t="s">
        <v>3868</v>
      </c>
      <c r="B1966" s="71" t="s">
        <v>3868</v>
      </c>
      <c r="C1966" s="47" t="s">
        <v>33</v>
      </c>
      <c r="D1966" s="48" t="s">
        <v>34</v>
      </c>
      <c r="E1966" s="18" t="s">
        <v>3869</v>
      </c>
      <c r="F1966" s="24" t="str">
        <f t="shared" si="120"/>
        <v>PPG - PPG   EP301        SAFETY RED 0000001405</v>
      </c>
      <c r="G1966" s="20" t="s">
        <v>6836</v>
      </c>
      <c r="H1966" s="49" t="s">
        <v>213</v>
      </c>
      <c r="I1966" s="18" t="s">
        <v>37</v>
      </c>
      <c r="J1966" s="18" t="s">
        <v>38</v>
      </c>
      <c r="K1966" t="s">
        <v>39</v>
      </c>
      <c r="L1966" s="50">
        <f>VLOOKUP(A1966,'[3]Price info'!A:D,4,FALSE)</f>
        <v>187.75</v>
      </c>
      <c r="M1966" s="18" t="s">
        <v>214</v>
      </c>
      <c r="N1966" s="20">
        <v>3105</v>
      </c>
      <c r="P1966" s="16">
        <f>VLOOKUP(A1966,'[3]Price info'!A:H,8,FALSE)</f>
        <v>187.75</v>
      </c>
      <c r="Q1966" s="17">
        <f t="shared" si="121"/>
        <v>1</v>
      </c>
      <c r="S1966" s="16" t="e">
        <f>VLOOKUP(A1966,[4]Sales!$E:$G,3,FALSE)</f>
        <v>#N/A</v>
      </c>
      <c r="T1966" s="19" t="e">
        <f>VLOOKUP(A1966,[4]Volume!$E:$G,3,FALSE)</f>
        <v>#N/A</v>
      </c>
      <c r="U1966" s="19" t="e">
        <f>VLOOKUP(A1966,[4]Piece!$E:$G,3,FALSE)</f>
        <v>#N/A</v>
      </c>
      <c r="V1966" s="21" t="e">
        <f t="shared" si="122"/>
        <v>#N/A</v>
      </c>
      <c r="W1966" s="16" t="e">
        <f t="shared" si="123"/>
        <v>#N/A</v>
      </c>
    </row>
    <row r="1967" spans="1:23" hidden="1" x14ac:dyDescent="0.3">
      <c r="A1967" s="71" t="s">
        <v>3870</v>
      </c>
      <c r="B1967" s="71" t="s">
        <v>3870</v>
      </c>
      <c r="C1967" s="51" t="s">
        <v>33</v>
      </c>
      <c r="D1967" s="48" t="s">
        <v>34</v>
      </c>
      <c r="E1967" s="18" t="s">
        <v>3871</v>
      </c>
      <c r="F1967" s="24" t="str">
        <f t="shared" si="120"/>
        <v>PPG - PPG   EP301        SAFETY RED 0000001808</v>
      </c>
      <c r="G1967" s="20" t="s">
        <v>6837</v>
      </c>
      <c r="H1967" s="49" t="s">
        <v>213</v>
      </c>
      <c r="I1967" s="18" t="s">
        <v>37</v>
      </c>
      <c r="J1967" s="18" t="s">
        <v>38</v>
      </c>
      <c r="K1967" t="s">
        <v>39</v>
      </c>
      <c r="L1967" s="50">
        <f>VLOOKUP(A1967,'[3]Price info'!A:D,4,FALSE)</f>
        <v>345.25</v>
      </c>
      <c r="M1967" s="18" t="s">
        <v>214</v>
      </c>
      <c r="N1967" s="20">
        <v>3105</v>
      </c>
      <c r="P1967" s="16">
        <f>VLOOKUP(A1967,'[3]Price info'!A:H,8,FALSE)</f>
        <v>345.25</v>
      </c>
      <c r="Q1967" s="17">
        <f t="shared" si="121"/>
        <v>1</v>
      </c>
      <c r="S1967" s="16" t="e">
        <f>VLOOKUP(A1967,[4]Sales!$E:$G,3,FALSE)</f>
        <v>#N/A</v>
      </c>
      <c r="T1967" s="19" t="e">
        <f>VLOOKUP(A1967,[4]Volume!$E:$G,3,FALSE)</f>
        <v>#N/A</v>
      </c>
      <c r="U1967" s="19" t="e">
        <f>VLOOKUP(A1967,[4]Piece!$E:$G,3,FALSE)</f>
        <v>#N/A</v>
      </c>
      <c r="V1967" s="21" t="e">
        <f t="shared" si="122"/>
        <v>#N/A</v>
      </c>
      <c r="W1967" s="16" t="e">
        <f t="shared" si="123"/>
        <v>#N/A</v>
      </c>
    </row>
    <row r="1968" spans="1:23" hidden="1" x14ac:dyDescent="0.3">
      <c r="A1968" s="71" t="s">
        <v>3872</v>
      </c>
      <c r="B1968" s="71" t="s">
        <v>3872</v>
      </c>
      <c r="C1968" s="47" t="s">
        <v>33</v>
      </c>
      <c r="D1968" s="48" t="s">
        <v>34</v>
      </c>
      <c r="E1968" s="18" t="s">
        <v>3873</v>
      </c>
      <c r="F1968" s="24" t="str">
        <f t="shared" si="120"/>
        <v>PPG - PPG   EP301        SAFETY RED 0000002101</v>
      </c>
      <c r="G1968" s="20" t="s">
        <v>6838</v>
      </c>
      <c r="H1968" s="49" t="s">
        <v>213</v>
      </c>
      <c r="I1968" s="18" t="s">
        <v>37</v>
      </c>
      <c r="J1968" s="18" t="s">
        <v>38</v>
      </c>
      <c r="K1968" t="s">
        <v>39</v>
      </c>
      <c r="L1968" s="50">
        <f>VLOOKUP(A1968,'[3]Price info'!A:D,4,FALSE)</f>
        <v>404.9</v>
      </c>
      <c r="M1968" s="18" t="s">
        <v>214</v>
      </c>
      <c r="N1968" s="20">
        <v>3105</v>
      </c>
      <c r="P1968" s="16">
        <f>VLOOKUP(A1968,'[3]Price info'!A:H,8,FALSE)</f>
        <v>404.9</v>
      </c>
      <c r="Q1968" s="17">
        <f t="shared" si="121"/>
        <v>1</v>
      </c>
      <c r="S1968" s="16" t="e">
        <f>VLOOKUP(A1968,[4]Sales!$E:$G,3,FALSE)</f>
        <v>#N/A</v>
      </c>
      <c r="T1968" s="19" t="e">
        <f>VLOOKUP(A1968,[4]Volume!$E:$G,3,FALSE)</f>
        <v>#N/A</v>
      </c>
      <c r="U1968" s="19" t="e">
        <f>VLOOKUP(A1968,[4]Piece!$E:$G,3,FALSE)</f>
        <v>#N/A</v>
      </c>
      <c r="V1968" s="21" t="e">
        <f t="shared" si="122"/>
        <v>#N/A</v>
      </c>
      <c r="W1968" s="16" t="e">
        <f t="shared" si="123"/>
        <v>#N/A</v>
      </c>
    </row>
    <row r="1969" spans="1:23" hidden="1" x14ac:dyDescent="0.3">
      <c r="A1969" s="71" t="s">
        <v>3874</v>
      </c>
      <c r="B1969" s="71" t="s">
        <v>3874</v>
      </c>
      <c r="C1969" s="47" t="s">
        <v>33</v>
      </c>
      <c r="D1969" s="48" t="s">
        <v>34</v>
      </c>
      <c r="E1969" s="18" t="s">
        <v>3875</v>
      </c>
      <c r="F1969" s="24" t="str">
        <f t="shared" si="120"/>
        <v>PPG - PPG   EP301        SAFETY YEL 0000001405</v>
      </c>
      <c r="G1969" s="20" t="s">
        <v>6839</v>
      </c>
      <c r="H1969" s="49" t="s">
        <v>213</v>
      </c>
      <c r="I1969" s="18" t="s">
        <v>37</v>
      </c>
      <c r="J1969" s="18" t="s">
        <v>38</v>
      </c>
      <c r="K1969" t="s">
        <v>39</v>
      </c>
      <c r="L1969" s="50">
        <f>VLOOKUP(A1969,'[3]Price info'!A:D,4,FALSE)</f>
        <v>187.75</v>
      </c>
      <c r="M1969" s="18" t="s">
        <v>214</v>
      </c>
      <c r="N1969" s="20">
        <v>3105</v>
      </c>
      <c r="P1969" s="16">
        <f>VLOOKUP(A1969,'[3]Price info'!A:H,8,FALSE)</f>
        <v>187.75</v>
      </c>
      <c r="Q1969" s="17">
        <f t="shared" si="121"/>
        <v>1</v>
      </c>
      <c r="S1969" s="16" t="e">
        <f>VLOOKUP(A1969,[4]Sales!$E:$G,3,FALSE)</f>
        <v>#N/A</v>
      </c>
      <c r="T1969" s="19" t="e">
        <f>VLOOKUP(A1969,[4]Volume!$E:$G,3,FALSE)</f>
        <v>#N/A</v>
      </c>
      <c r="U1969" s="19" t="e">
        <f>VLOOKUP(A1969,[4]Piece!$E:$G,3,FALSE)</f>
        <v>#N/A</v>
      </c>
      <c r="V1969" s="21" t="e">
        <f t="shared" si="122"/>
        <v>#N/A</v>
      </c>
      <c r="W1969" s="16" t="e">
        <f t="shared" si="123"/>
        <v>#N/A</v>
      </c>
    </row>
    <row r="1970" spans="1:23" hidden="1" x14ac:dyDescent="0.3">
      <c r="A1970" s="71" t="s">
        <v>3876</v>
      </c>
      <c r="B1970" s="71" t="s">
        <v>3876</v>
      </c>
      <c r="C1970" s="51" t="s">
        <v>33</v>
      </c>
      <c r="D1970" s="48" t="s">
        <v>34</v>
      </c>
      <c r="E1970" s="18" t="s">
        <v>3877</v>
      </c>
      <c r="F1970" s="24" t="str">
        <f t="shared" si="120"/>
        <v>PPG - PPG   EP301        SAFETY YEL 0000001808</v>
      </c>
      <c r="G1970" s="20" t="s">
        <v>6840</v>
      </c>
      <c r="H1970" s="49" t="s">
        <v>213</v>
      </c>
      <c r="I1970" s="18" t="s">
        <v>37</v>
      </c>
      <c r="J1970" s="18" t="s">
        <v>38</v>
      </c>
      <c r="K1970" t="s">
        <v>39</v>
      </c>
      <c r="L1970" s="50">
        <f>VLOOKUP(A1970,'[3]Price info'!A:D,4,FALSE)</f>
        <v>345.25</v>
      </c>
      <c r="M1970" s="18" t="s">
        <v>214</v>
      </c>
      <c r="N1970" s="20">
        <v>3105</v>
      </c>
      <c r="P1970" s="16">
        <f>VLOOKUP(A1970,'[3]Price info'!A:H,8,FALSE)</f>
        <v>345.25</v>
      </c>
      <c r="Q1970" s="17">
        <f t="shared" si="121"/>
        <v>1</v>
      </c>
      <c r="S1970" s="16" t="e">
        <f>VLOOKUP(A1970,[4]Sales!$E:$G,3,FALSE)</f>
        <v>#N/A</v>
      </c>
      <c r="T1970" s="19" t="e">
        <f>VLOOKUP(A1970,[4]Volume!$E:$G,3,FALSE)</f>
        <v>#N/A</v>
      </c>
      <c r="U1970" s="19" t="e">
        <f>VLOOKUP(A1970,[4]Piece!$E:$G,3,FALSE)</f>
        <v>#N/A</v>
      </c>
      <c r="V1970" s="21" t="e">
        <f t="shared" si="122"/>
        <v>#N/A</v>
      </c>
      <c r="W1970" s="16" t="e">
        <f t="shared" si="123"/>
        <v>#N/A</v>
      </c>
    </row>
    <row r="1971" spans="1:23" hidden="1" x14ac:dyDescent="0.3">
      <c r="A1971" s="71" t="s">
        <v>3878</v>
      </c>
      <c r="B1971" s="71" t="s">
        <v>3878</v>
      </c>
      <c r="C1971" s="47" t="s">
        <v>33</v>
      </c>
      <c r="D1971" s="48" t="s">
        <v>34</v>
      </c>
      <c r="E1971" s="18" t="s">
        <v>3879</v>
      </c>
      <c r="F1971" s="24" t="str">
        <f t="shared" si="120"/>
        <v>PPG - PPG   EP301        SAFETY YEL 0000002101</v>
      </c>
      <c r="G1971" s="20" t="s">
        <v>6841</v>
      </c>
      <c r="H1971" s="49" t="s">
        <v>213</v>
      </c>
      <c r="I1971" s="18" t="s">
        <v>37</v>
      </c>
      <c r="J1971" s="18" t="s">
        <v>38</v>
      </c>
      <c r="K1971" t="s">
        <v>39</v>
      </c>
      <c r="L1971" s="50">
        <f>VLOOKUP(A1971,'[3]Price info'!A:D,4,FALSE)</f>
        <v>404.9</v>
      </c>
      <c r="M1971" s="18" t="s">
        <v>214</v>
      </c>
      <c r="N1971" s="20">
        <v>3105</v>
      </c>
      <c r="P1971" s="16">
        <f>VLOOKUP(A1971,'[3]Price info'!A:H,8,FALSE)</f>
        <v>404.9</v>
      </c>
      <c r="Q1971" s="17">
        <f t="shared" si="121"/>
        <v>1</v>
      </c>
      <c r="S1971" s="16" t="e">
        <f>VLOOKUP(A1971,[4]Sales!$E:$G,3,FALSE)</f>
        <v>#N/A</v>
      </c>
      <c r="T1971" s="19" t="e">
        <f>VLOOKUP(A1971,[4]Volume!$E:$G,3,FALSE)</f>
        <v>#N/A</v>
      </c>
      <c r="U1971" s="19" t="e">
        <f>VLOOKUP(A1971,[4]Piece!$E:$G,3,FALSE)</f>
        <v>#N/A</v>
      </c>
      <c r="V1971" s="21" t="e">
        <f t="shared" si="122"/>
        <v>#N/A</v>
      </c>
      <c r="W1971" s="16" t="e">
        <f t="shared" si="123"/>
        <v>#N/A</v>
      </c>
    </row>
    <row r="1972" spans="1:23" hidden="1" x14ac:dyDescent="0.3">
      <c r="A1972" s="71" t="s">
        <v>3880</v>
      </c>
      <c r="B1972" s="71" t="s">
        <v>3880</v>
      </c>
      <c r="C1972" s="47" t="s">
        <v>33</v>
      </c>
      <c r="D1972" s="48" t="s">
        <v>34</v>
      </c>
      <c r="E1972" s="18" t="s">
        <v>3881</v>
      </c>
      <c r="F1972" s="24" t="str">
        <f t="shared" si="120"/>
        <v>PPG - PPG   EP301        SPEC COL   0000001405</v>
      </c>
      <c r="G1972" s="20" t="s">
        <v>6842</v>
      </c>
      <c r="H1972" s="49" t="s">
        <v>213</v>
      </c>
      <c r="I1972" s="18" t="s">
        <v>37</v>
      </c>
      <c r="J1972" s="18" t="s">
        <v>38</v>
      </c>
      <c r="K1972" t="s">
        <v>39</v>
      </c>
      <c r="L1972" s="50">
        <f>VLOOKUP(A1972,'[3]Price info'!A:D,4,FALSE)</f>
        <v>187.75</v>
      </c>
      <c r="M1972" s="18" t="s">
        <v>214</v>
      </c>
      <c r="N1972" s="20">
        <v>3105</v>
      </c>
      <c r="P1972" s="16">
        <f>VLOOKUP(A1972,'[3]Price info'!A:H,8,FALSE)</f>
        <v>187.75</v>
      </c>
      <c r="Q1972" s="17">
        <f t="shared" si="121"/>
        <v>1</v>
      </c>
      <c r="S1972" s="16" t="e">
        <f>VLOOKUP(A1972,[4]Sales!$E:$G,3,FALSE)</f>
        <v>#N/A</v>
      </c>
      <c r="T1972" s="19" t="e">
        <f>VLOOKUP(A1972,[4]Volume!$E:$G,3,FALSE)</f>
        <v>#N/A</v>
      </c>
      <c r="U1972" s="19" t="e">
        <f>VLOOKUP(A1972,[4]Piece!$E:$G,3,FALSE)</f>
        <v>#N/A</v>
      </c>
      <c r="V1972" s="21" t="e">
        <f t="shared" si="122"/>
        <v>#N/A</v>
      </c>
      <c r="W1972" s="16" t="e">
        <f t="shared" si="123"/>
        <v>#N/A</v>
      </c>
    </row>
    <row r="1973" spans="1:23" hidden="1" x14ac:dyDescent="0.3">
      <c r="A1973" s="71" t="s">
        <v>3882</v>
      </c>
      <c r="B1973" s="71" t="s">
        <v>3882</v>
      </c>
      <c r="C1973" s="51" t="s">
        <v>33</v>
      </c>
      <c r="D1973" s="48" t="s">
        <v>34</v>
      </c>
      <c r="E1973" s="18" t="s">
        <v>3883</v>
      </c>
      <c r="F1973" s="24" t="str">
        <f t="shared" si="120"/>
        <v>PPG - PPG   EP301        SPEC COL   0000001808</v>
      </c>
      <c r="G1973" s="20" t="s">
        <v>6843</v>
      </c>
      <c r="H1973" s="49" t="s">
        <v>213</v>
      </c>
      <c r="I1973" s="18" t="s">
        <v>37</v>
      </c>
      <c r="J1973" s="18" t="s">
        <v>38</v>
      </c>
      <c r="K1973" t="s">
        <v>39</v>
      </c>
      <c r="L1973" s="50">
        <f>VLOOKUP(A1973,'[3]Price info'!A:D,4,FALSE)</f>
        <v>345.25</v>
      </c>
      <c r="M1973" s="18" t="s">
        <v>214</v>
      </c>
      <c r="N1973" s="20">
        <v>3105</v>
      </c>
      <c r="P1973" s="16">
        <f>VLOOKUP(A1973,'[3]Price info'!A:H,8,FALSE)</f>
        <v>345.25</v>
      </c>
      <c r="Q1973" s="17">
        <f t="shared" si="121"/>
        <v>1</v>
      </c>
      <c r="S1973" s="16" t="e">
        <f>VLOOKUP(A1973,[4]Sales!$E:$G,3,FALSE)</f>
        <v>#N/A</v>
      </c>
      <c r="T1973" s="19" t="e">
        <f>VLOOKUP(A1973,[4]Volume!$E:$G,3,FALSE)</f>
        <v>#N/A</v>
      </c>
      <c r="U1973" s="19" t="e">
        <f>VLOOKUP(A1973,[4]Piece!$E:$G,3,FALSE)</f>
        <v>#N/A</v>
      </c>
      <c r="V1973" s="21" t="e">
        <f t="shared" si="122"/>
        <v>#N/A</v>
      </c>
      <c r="W1973" s="16" t="e">
        <f t="shared" si="123"/>
        <v>#N/A</v>
      </c>
    </row>
    <row r="1974" spans="1:23" hidden="1" x14ac:dyDescent="0.3">
      <c r="A1974" s="71" t="s">
        <v>3884</v>
      </c>
      <c r="B1974" s="71" t="s">
        <v>3884</v>
      </c>
      <c r="C1974" s="47" t="s">
        <v>33</v>
      </c>
      <c r="D1974" s="48" t="s">
        <v>34</v>
      </c>
      <c r="E1974" s="18" t="s">
        <v>3885</v>
      </c>
      <c r="F1974" s="24" t="str">
        <f t="shared" si="120"/>
        <v>PPG - PPG   EP301        SPEC COL   0000002101</v>
      </c>
      <c r="G1974" s="20" t="s">
        <v>6844</v>
      </c>
      <c r="H1974" s="49" t="s">
        <v>213</v>
      </c>
      <c r="I1974" s="18" t="s">
        <v>37</v>
      </c>
      <c r="J1974" s="18" t="s">
        <v>38</v>
      </c>
      <c r="K1974" t="s">
        <v>39</v>
      </c>
      <c r="L1974" s="50">
        <f>VLOOKUP(A1974,'[3]Price info'!A:D,4,FALSE)</f>
        <v>404.9</v>
      </c>
      <c r="M1974" s="18" t="s">
        <v>214</v>
      </c>
      <c r="N1974" s="20">
        <v>3105</v>
      </c>
      <c r="P1974" s="16">
        <f>VLOOKUP(A1974,'[3]Price info'!A:H,8,FALSE)</f>
        <v>404.9</v>
      </c>
      <c r="Q1974" s="17">
        <f t="shared" si="121"/>
        <v>1</v>
      </c>
      <c r="S1974" s="16" t="e">
        <f>VLOOKUP(A1974,[4]Sales!$E:$G,3,FALSE)</f>
        <v>#N/A</v>
      </c>
      <c r="T1974" s="19" t="e">
        <f>VLOOKUP(A1974,[4]Volume!$E:$G,3,FALSE)</f>
        <v>#N/A</v>
      </c>
      <c r="U1974" s="19" t="e">
        <f>VLOOKUP(A1974,[4]Piece!$E:$G,3,FALSE)</f>
        <v>#N/A</v>
      </c>
      <c r="V1974" s="21" t="e">
        <f t="shared" si="122"/>
        <v>#N/A</v>
      </c>
      <c r="W1974" s="16" t="e">
        <f t="shared" si="123"/>
        <v>#N/A</v>
      </c>
    </row>
    <row r="1975" spans="1:23" hidden="1" x14ac:dyDescent="0.3">
      <c r="A1975" s="71" t="s">
        <v>3886</v>
      </c>
      <c r="B1975" s="71" t="s">
        <v>3886</v>
      </c>
      <c r="C1975" s="47" t="s">
        <v>33</v>
      </c>
      <c r="D1975" s="48" t="s">
        <v>34</v>
      </c>
      <c r="E1975" s="18" t="s">
        <v>3887</v>
      </c>
      <c r="F1975" s="24" t="str">
        <f t="shared" si="120"/>
        <v>PPG - PPG   EP4501       AGGREGATE  0000002200</v>
      </c>
      <c r="G1975" s="20" t="s">
        <v>6845</v>
      </c>
      <c r="H1975" s="49" t="s">
        <v>213</v>
      </c>
      <c r="I1975" s="18" t="s">
        <v>37</v>
      </c>
      <c r="J1975" s="18" t="s">
        <v>38</v>
      </c>
      <c r="K1975" t="s">
        <v>39</v>
      </c>
      <c r="L1975" s="50">
        <f>VLOOKUP(A1975,'[3]Price info'!A:D,4,FALSE)</f>
        <v>55.36</v>
      </c>
      <c r="M1975" s="18" t="s">
        <v>214</v>
      </c>
      <c r="N1975" s="20">
        <v>3105</v>
      </c>
      <c r="P1975" s="16">
        <f>VLOOKUP(A1975,'[3]Price info'!A:H,8,FALSE)</f>
        <v>55.36</v>
      </c>
      <c r="Q1975" s="17">
        <f t="shared" si="121"/>
        <v>1</v>
      </c>
      <c r="S1975" s="16" t="e">
        <f>VLOOKUP(A1975,[4]Sales!$E:$G,3,FALSE)</f>
        <v>#N/A</v>
      </c>
      <c r="T1975" s="19" t="e">
        <f>VLOOKUP(A1975,[4]Volume!$E:$G,3,FALSE)</f>
        <v>#N/A</v>
      </c>
      <c r="U1975" s="19" t="e">
        <f>VLOOKUP(A1975,[4]Piece!$E:$G,3,FALSE)</f>
        <v>#N/A</v>
      </c>
      <c r="V1975" s="21" t="e">
        <f t="shared" si="122"/>
        <v>#N/A</v>
      </c>
      <c r="W1975" s="16" t="e">
        <f t="shared" si="123"/>
        <v>#N/A</v>
      </c>
    </row>
    <row r="1976" spans="1:23" hidden="1" x14ac:dyDescent="0.3">
      <c r="A1976" s="71" t="s">
        <v>3888</v>
      </c>
      <c r="B1976" s="71" t="s">
        <v>3888</v>
      </c>
      <c r="C1976" s="51" t="s">
        <v>33</v>
      </c>
      <c r="D1976" s="48" t="s">
        <v>34</v>
      </c>
      <c r="E1976" s="18" t="s">
        <v>3889</v>
      </c>
      <c r="F1976" s="24" t="str">
        <f t="shared" si="120"/>
        <v>PPG - PPG   EP4501       DARK BLUE  0000001767</v>
      </c>
      <c r="G1976" s="20" t="s">
        <v>6846</v>
      </c>
      <c r="H1976" s="49" t="s">
        <v>213</v>
      </c>
      <c r="I1976" s="18" t="s">
        <v>37</v>
      </c>
      <c r="J1976" s="18" t="s">
        <v>38</v>
      </c>
      <c r="K1976" t="s">
        <v>39</v>
      </c>
      <c r="L1976" s="50">
        <f>VLOOKUP(A1976,'[3]Price info'!A:D,4,FALSE)</f>
        <v>407.78</v>
      </c>
      <c r="M1976" s="18" t="s">
        <v>214</v>
      </c>
      <c r="N1976" s="20">
        <v>3105</v>
      </c>
      <c r="P1976" s="16">
        <f>VLOOKUP(A1976,'[3]Price info'!A:H,8,FALSE)</f>
        <v>407.78</v>
      </c>
      <c r="Q1976" s="17">
        <f t="shared" si="121"/>
        <v>1</v>
      </c>
      <c r="S1976" s="16" t="e">
        <f>VLOOKUP(A1976,[4]Sales!$E:$G,3,FALSE)</f>
        <v>#N/A</v>
      </c>
      <c r="T1976" s="19" t="e">
        <f>VLOOKUP(A1976,[4]Volume!$E:$G,3,FALSE)</f>
        <v>#N/A</v>
      </c>
      <c r="U1976" s="19" t="e">
        <f>VLOOKUP(A1976,[4]Piece!$E:$G,3,FALSE)</f>
        <v>#N/A</v>
      </c>
      <c r="V1976" s="21" t="e">
        <f t="shared" si="122"/>
        <v>#N/A</v>
      </c>
      <c r="W1976" s="16" t="e">
        <f t="shared" si="123"/>
        <v>#N/A</v>
      </c>
    </row>
    <row r="1977" spans="1:23" hidden="1" x14ac:dyDescent="0.3">
      <c r="A1977" s="71" t="s">
        <v>3890</v>
      </c>
      <c r="B1977" s="71" t="s">
        <v>3890</v>
      </c>
      <c r="C1977" s="47" t="s">
        <v>33</v>
      </c>
      <c r="D1977" s="48" t="s">
        <v>34</v>
      </c>
      <c r="E1977" s="18" t="s">
        <v>3891</v>
      </c>
      <c r="F1977" s="24" t="str">
        <f t="shared" si="120"/>
        <v>PPG - PPG   EP4501       DARK GREY  0000001767</v>
      </c>
      <c r="G1977" s="20" t="s">
        <v>6847</v>
      </c>
      <c r="H1977" s="49" t="s">
        <v>213</v>
      </c>
      <c r="I1977" s="18" t="s">
        <v>37</v>
      </c>
      <c r="J1977" s="18" t="s">
        <v>38</v>
      </c>
      <c r="K1977" t="s">
        <v>39</v>
      </c>
      <c r="L1977" s="50">
        <f>VLOOKUP(A1977,'[3]Price info'!A:D,4,FALSE)</f>
        <v>468.98</v>
      </c>
      <c r="M1977" s="18" t="s">
        <v>214</v>
      </c>
      <c r="N1977" s="20">
        <v>3105</v>
      </c>
      <c r="P1977" s="16">
        <f>VLOOKUP(A1977,'[3]Price info'!A:H,8,FALSE)</f>
        <v>468.98</v>
      </c>
      <c r="Q1977" s="17">
        <f t="shared" si="121"/>
        <v>1</v>
      </c>
      <c r="S1977" s="16" t="e">
        <f>VLOOKUP(A1977,[4]Sales!$E:$G,3,FALSE)</f>
        <v>#N/A</v>
      </c>
      <c r="T1977" s="19" t="e">
        <f>VLOOKUP(A1977,[4]Volume!$E:$G,3,FALSE)</f>
        <v>#N/A</v>
      </c>
      <c r="U1977" s="19" t="e">
        <f>VLOOKUP(A1977,[4]Piece!$E:$G,3,FALSE)</f>
        <v>#N/A</v>
      </c>
      <c r="V1977" s="21" t="e">
        <f t="shared" si="122"/>
        <v>#N/A</v>
      </c>
      <c r="W1977" s="16" t="e">
        <f t="shared" si="123"/>
        <v>#N/A</v>
      </c>
    </row>
    <row r="1978" spans="1:23" hidden="1" x14ac:dyDescent="0.3">
      <c r="A1978" s="71" t="s">
        <v>3892</v>
      </c>
      <c r="B1978" s="71" t="s">
        <v>3892</v>
      </c>
      <c r="C1978" s="47" t="s">
        <v>33</v>
      </c>
      <c r="D1978" s="48" t="s">
        <v>34</v>
      </c>
      <c r="E1978" s="18" t="s">
        <v>3893</v>
      </c>
      <c r="F1978" s="24" t="str">
        <f t="shared" si="120"/>
        <v>PPG - PPG   EP4501       DRK YELLOW 0000001767</v>
      </c>
      <c r="G1978" s="20" t="s">
        <v>6848</v>
      </c>
      <c r="H1978" s="49" t="s">
        <v>213</v>
      </c>
      <c r="I1978" s="18" t="s">
        <v>37</v>
      </c>
      <c r="J1978" s="18" t="s">
        <v>38</v>
      </c>
      <c r="K1978" t="s">
        <v>39</v>
      </c>
      <c r="L1978" s="50">
        <f>VLOOKUP(A1978,'[3]Price info'!A:D,4,FALSE)</f>
        <v>468.98</v>
      </c>
      <c r="M1978" s="18" t="s">
        <v>214</v>
      </c>
      <c r="N1978" s="20">
        <v>3105</v>
      </c>
      <c r="P1978" s="16">
        <f>VLOOKUP(A1978,'[3]Price info'!A:H,8,FALSE)</f>
        <v>468.98</v>
      </c>
      <c r="Q1978" s="17">
        <f t="shared" si="121"/>
        <v>1</v>
      </c>
      <c r="S1978" s="16" t="e">
        <f>VLOOKUP(A1978,[4]Sales!$E:$G,3,FALSE)</f>
        <v>#N/A</v>
      </c>
      <c r="T1978" s="19" t="e">
        <f>VLOOKUP(A1978,[4]Volume!$E:$G,3,FALSE)</f>
        <v>#N/A</v>
      </c>
      <c r="U1978" s="19" t="e">
        <f>VLOOKUP(A1978,[4]Piece!$E:$G,3,FALSE)</f>
        <v>#N/A</v>
      </c>
      <c r="V1978" s="21" t="e">
        <f t="shared" si="122"/>
        <v>#N/A</v>
      </c>
      <c r="W1978" s="16" t="e">
        <f t="shared" si="123"/>
        <v>#N/A</v>
      </c>
    </row>
    <row r="1979" spans="1:23" hidden="1" x14ac:dyDescent="0.3">
      <c r="A1979" s="71" t="s">
        <v>3894</v>
      </c>
      <c r="B1979" s="71" t="s">
        <v>3894</v>
      </c>
      <c r="C1979" s="51" t="s">
        <v>33</v>
      </c>
      <c r="D1979" s="48" t="s">
        <v>34</v>
      </c>
      <c r="E1979" s="18" t="s">
        <v>3895</v>
      </c>
      <c r="F1979" s="24" t="str">
        <f t="shared" si="120"/>
        <v>PPG - PPG   EP4501       GREEN      0000001767</v>
      </c>
      <c r="G1979" s="20" t="s">
        <v>6849</v>
      </c>
      <c r="H1979" s="49" t="s">
        <v>213</v>
      </c>
      <c r="I1979" s="18" t="s">
        <v>37</v>
      </c>
      <c r="J1979" s="18" t="s">
        <v>38</v>
      </c>
      <c r="K1979" t="s">
        <v>39</v>
      </c>
      <c r="L1979" s="50">
        <f>VLOOKUP(A1979,'[3]Price info'!A:D,4,FALSE)</f>
        <v>468.98</v>
      </c>
      <c r="M1979" s="18" t="s">
        <v>214</v>
      </c>
      <c r="N1979" s="20">
        <v>3105</v>
      </c>
      <c r="P1979" s="16">
        <f>VLOOKUP(A1979,'[3]Price info'!A:H,8,FALSE)</f>
        <v>468.98</v>
      </c>
      <c r="Q1979" s="17">
        <f t="shared" si="121"/>
        <v>1</v>
      </c>
      <c r="S1979" s="16" t="e">
        <f>VLOOKUP(A1979,[4]Sales!$E:$G,3,FALSE)</f>
        <v>#N/A</v>
      </c>
      <c r="T1979" s="19" t="e">
        <f>VLOOKUP(A1979,[4]Volume!$E:$G,3,FALSE)</f>
        <v>#N/A</v>
      </c>
      <c r="U1979" s="19" t="e">
        <f>VLOOKUP(A1979,[4]Piece!$E:$G,3,FALSE)</f>
        <v>#N/A</v>
      </c>
      <c r="V1979" s="21" t="e">
        <f t="shared" si="122"/>
        <v>#N/A</v>
      </c>
      <c r="W1979" s="16" t="e">
        <f t="shared" si="123"/>
        <v>#N/A</v>
      </c>
    </row>
    <row r="1980" spans="1:23" hidden="1" x14ac:dyDescent="0.3">
      <c r="A1980" s="71" t="s">
        <v>3896</v>
      </c>
      <c r="B1980" s="71" t="s">
        <v>3896</v>
      </c>
      <c r="C1980" s="47" t="s">
        <v>33</v>
      </c>
      <c r="D1980" s="48" t="s">
        <v>34</v>
      </c>
      <c r="E1980" s="18" t="s">
        <v>3897</v>
      </c>
      <c r="F1980" s="24" t="str">
        <f t="shared" si="120"/>
        <v>PPG - PPG   EP4501       HARDENER   0000001333</v>
      </c>
      <c r="G1980" s="20" t="s">
        <v>6850</v>
      </c>
      <c r="H1980" s="49" t="s">
        <v>213</v>
      </c>
      <c r="I1980" s="18" t="s">
        <v>37</v>
      </c>
      <c r="J1980" s="18" t="s">
        <v>38</v>
      </c>
      <c r="K1980" t="s">
        <v>39</v>
      </c>
      <c r="L1980" s="50">
        <f>VLOOKUP(A1980,'[3]Price info'!A:D,4,FALSE)</f>
        <v>352.42</v>
      </c>
      <c r="M1980" s="18" t="s">
        <v>214</v>
      </c>
      <c r="N1980" s="20">
        <v>3105</v>
      </c>
      <c r="P1980" s="16">
        <f>VLOOKUP(A1980,'[3]Price info'!A:H,8,FALSE)</f>
        <v>352.42</v>
      </c>
      <c r="Q1980" s="17">
        <f t="shared" si="121"/>
        <v>1</v>
      </c>
      <c r="S1980" s="16" t="e">
        <f>VLOOKUP(A1980,[4]Sales!$E:$G,3,FALSE)</f>
        <v>#N/A</v>
      </c>
      <c r="T1980" s="19" t="e">
        <f>VLOOKUP(A1980,[4]Volume!$E:$G,3,FALSE)</f>
        <v>#N/A</v>
      </c>
      <c r="U1980" s="19" t="e">
        <f>VLOOKUP(A1980,[4]Piece!$E:$G,3,FALSE)</f>
        <v>#N/A</v>
      </c>
      <c r="V1980" s="21" t="e">
        <f t="shared" si="122"/>
        <v>#N/A</v>
      </c>
      <c r="W1980" s="16" t="e">
        <f t="shared" si="123"/>
        <v>#N/A</v>
      </c>
    </row>
    <row r="1981" spans="1:23" hidden="1" x14ac:dyDescent="0.3">
      <c r="A1981" s="71" t="s">
        <v>3898</v>
      </c>
      <c r="B1981" s="71" t="s">
        <v>3898</v>
      </c>
      <c r="C1981" s="47" t="s">
        <v>33</v>
      </c>
      <c r="D1981" s="48" t="s">
        <v>34</v>
      </c>
      <c r="E1981" s="18" t="s">
        <v>3899</v>
      </c>
      <c r="F1981" s="24" t="str">
        <f t="shared" si="120"/>
        <v>PPG - PPG   EP4501       LIGHT GREY 0000001767</v>
      </c>
      <c r="G1981" s="20" t="s">
        <v>6851</v>
      </c>
      <c r="H1981" s="49" t="s">
        <v>213</v>
      </c>
      <c r="I1981" s="18" t="s">
        <v>37</v>
      </c>
      <c r="J1981" s="18" t="s">
        <v>38</v>
      </c>
      <c r="K1981" t="s">
        <v>39</v>
      </c>
      <c r="L1981" s="50">
        <f>VLOOKUP(A1981,'[3]Price info'!A:D,4,FALSE)</f>
        <v>468.98</v>
      </c>
      <c r="M1981" s="18" t="s">
        <v>214</v>
      </c>
      <c r="N1981" s="20">
        <v>3105</v>
      </c>
      <c r="P1981" s="16">
        <f>VLOOKUP(A1981,'[3]Price info'!A:H,8,FALSE)</f>
        <v>468.98</v>
      </c>
      <c r="Q1981" s="17">
        <f t="shared" si="121"/>
        <v>1</v>
      </c>
      <c r="S1981" s="16" t="e">
        <f>VLOOKUP(A1981,[4]Sales!$E:$G,3,FALSE)</f>
        <v>#N/A</v>
      </c>
      <c r="T1981" s="19" t="e">
        <f>VLOOKUP(A1981,[4]Volume!$E:$G,3,FALSE)</f>
        <v>#N/A</v>
      </c>
      <c r="U1981" s="19" t="e">
        <f>VLOOKUP(A1981,[4]Piece!$E:$G,3,FALSE)</f>
        <v>#N/A</v>
      </c>
      <c r="V1981" s="21" t="e">
        <f t="shared" si="122"/>
        <v>#N/A</v>
      </c>
      <c r="W1981" s="16" t="e">
        <f t="shared" si="123"/>
        <v>#N/A</v>
      </c>
    </row>
    <row r="1982" spans="1:23" hidden="1" x14ac:dyDescent="0.3">
      <c r="A1982" s="71" t="s">
        <v>3900</v>
      </c>
      <c r="B1982" s="71" t="s">
        <v>3900</v>
      </c>
      <c r="C1982" s="51" t="s">
        <v>33</v>
      </c>
      <c r="D1982" s="48" t="s">
        <v>34</v>
      </c>
      <c r="E1982" s="18" t="s">
        <v>3901</v>
      </c>
      <c r="F1982" s="24" t="str">
        <f t="shared" si="120"/>
        <v>PPG - PPG   EP4501       LIGHT YELL 0000001767</v>
      </c>
      <c r="G1982" s="20" t="s">
        <v>6852</v>
      </c>
      <c r="H1982" s="49" t="s">
        <v>213</v>
      </c>
      <c r="I1982" s="18" t="s">
        <v>37</v>
      </c>
      <c r="J1982" s="18" t="s">
        <v>38</v>
      </c>
      <c r="K1982" t="s">
        <v>39</v>
      </c>
      <c r="L1982" s="50">
        <f>VLOOKUP(A1982,'[3]Price info'!A:D,4,FALSE)</f>
        <v>468.98</v>
      </c>
      <c r="M1982" s="18" t="s">
        <v>214</v>
      </c>
      <c r="N1982" s="20">
        <v>3105</v>
      </c>
      <c r="P1982" s="16">
        <f>VLOOKUP(A1982,'[3]Price info'!A:H,8,FALSE)</f>
        <v>468.98</v>
      </c>
      <c r="Q1982" s="17">
        <f t="shared" si="121"/>
        <v>1</v>
      </c>
      <c r="S1982" s="16" t="e">
        <f>VLOOKUP(A1982,[4]Sales!$E:$G,3,FALSE)</f>
        <v>#N/A</v>
      </c>
      <c r="T1982" s="19" t="e">
        <f>VLOOKUP(A1982,[4]Volume!$E:$G,3,FALSE)</f>
        <v>#N/A</v>
      </c>
      <c r="U1982" s="19" t="e">
        <f>VLOOKUP(A1982,[4]Piece!$E:$G,3,FALSE)</f>
        <v>#N/A</v>
      </c>
      <c r="V1982" s="21" t="e">
        <f t="shared" si="122"/>
        <v>#N/A</v>
      </c>
      <c r="W1982" s="16" t="e">
        <f t="shared" si="123"/>
        <v>#N/A</v>
      </c>
    </row>
    <row r="1983" spans="1:23" hidden="1" x14ac:dyDescent="0.3">
      <c r="A1983" s="71" t="s">
        <v>3902</v>
      </c>
      <c r="B1983" s="71" t="s">
        <v>3902</v>
      </c>
      <c r="C1983" s="47" t="s">
        <v>33</v>
      </c>
      <c r="D1983" s="48" t="s">
        <v>34</v>
      </c>
      <c r="E1983" s="18" t="s">
        <v>3903</v>
      </c>
      <c r="F1983" s="24" t="str">
        <f t="shared" si="120"/>
        <v>PPG - PPG   EP4501       MID BLUE   0000001767</v>
      </c>
      <c r="G1983" s="20" t="s">
        <v>6853</v>
      </c>
      <c r="H1983" s="49" t="s">
        <v>213</v>
      </c>
      <c r="I1983" s="18" t="s">
        <v>37</v>
      </c>
      <c r="J1983" s="18" t="s">
        <v>38</v>
      </c>
      <c r="K1983" t="s">
        <v>39</v>
      </c>
      <c r="L1983" s="50">
        <f>VLOOKUP(A1983,'[3]Price info'!A:D,4,FALSE)</f>
        <v>468.98</v>
      </c>
      <c r="M1983" s="18" t="s">
        <v>214</v>
      </c>
      <c r="N1983" s="20">
        <v>3105</v>
      </c>
      <c r="P1983" s="16">
        <f>VLOOKUP(A1983,'[3]Price info'!A:H,8,FALSE)</f>
        <v>468.98</v>
      </c>
      <c r="Q1983" s="17">
        <f t="shared" si="121"/>
        <v>1</v>
      </c>
      <c r="S1983" s="16" t="e">
        <f>VLOOKUP(A1983,[4]Sales!$E:$G,3,FALSE)</f>
        <v>#N/A</v>
      </c>
      <c r="T1983" s="19" t="e">
        <f>VLOOKUP(A1983,[4]Volume!$E:$G,3,FALSE)</f>
        <v>#N/A</v>
      </c>
      <c r="U1983" s="19" t="e">
        <f>VLOOKUP(A1983,[4]Piece!$E:$G,3,FALSE)</f>
        <v>#N/A</v>
      </c>
      <c r="V1983" s="21" t="e">
        <f t="shared" si="122"/>
        <v>#N/A</v>
      </c>
      <c r="W1983" s="16" t="e">
        <f t="shared" si="123"/>
        <v>#N/A</v>
      </c>
    </row>
    <row r="1984" spans="1:23" hidden="1" x14ac:dyDescent="0.3">
      <c r="A1984" s="71" t="s">
        <v>3904</v>
      </c>
      <c r="B1984" s="71" t="s">
        <v>3904</v>
      </c>
      <c r="C1984" s="47" t="s">
        <v>33</v>
      </c>
      <c r="D1984" s="48" t="s">
        <v>34</v>
      </c>
      <c r="E1984" s="18" t="s">
        <v>3905</v>
      </c>
      <c r="F1984" s="24" t="str">
        <f t="shared" si="120"/>
        <v>PPG - PPG   EP4501       MID GREY   0000001767</v>
      </c>
      <c r="G1984" s="20" t="s">
        <v>6854</v>
      </c>
      <c r="H1984" s="49" t="s">
        <v>213</v>
      </c>
      <c r="I1984" s="18" t="s">
        <v>37</v>
      </c>
      <c r="J1984" s="18" t="s">
        <v>38</v>
      </c>
      <c r="K1984" t="s">
        <v>39</v>
      </c>
      <c r="L1984" s="50">
        <f>VLOOKUP(A1984,'[3]Price info'!A:D,4,FALSE)</f>
        <v>468.98</v>
      </c>
      <c r="M1984" s="18" t="s">
        <v>214</v>
      </c>
      <c r="N1984" s="20">
        <v>3105</v>
      </c>
      <c r="P1984" s="16">
        <f>VLOOKUP(A1984,'[3]Price info'!A:H,8,FALSE)</f>
        <v>468.98</v>
      </c>
      <c r="Q1984" s="17">
        <f t="shared" si="121"/>
        <v>1</v>
      </c>
      <c r="S1984" s="16" t="e">
        <f>VLOOKUP(A1984,[4]Sales!$E:$G,3,FALSE)</f>
        <v>#N/A</v>
      </c>
      <c r="T1984" s="19" t="e">
        <f>VLOOKUP(A1984,[4]Volume!$E:$G,3,FALSE)</f>
        <v>#N/A</v>
      </c>
      <c r="U1984" s="19" t="e">
        <f>VLOOKUP(A1984,[4]Piece!$E:$G,3,FALSE)</f>
        <v>#N/A</v>
      </c>
      <c r="V1984" s="21" t="e">
        <f t="shared" si="122"/>
        <v>#N/A</v>
      </c>
      <c r="W1984" s="16" t="e">
        <f t="shared" si="123"/>
        <v>#N/A</v>
      </c>
    </row>
    <row r="1985" spans="1:23" hidden="1" x14ac:dyDescent="0.3">
      <c r="A1985" s="71" t="s">
        <v>3906</v>
      </c>
      <c r="B1985" s="71" t="s">
        <v>3906</v>
      </c>
      <c r="C1985" s="51" t="s">
        <v>33</v>
      </c>
      <c r="D1985" s="48" t="s">
        <v>34</v>
      </c>
      <c r="E1985" s="18" t="s">
        <v>3907</v>
      </c>
      <c r="F1985" s="24" t="str">
        <f t="shared" si="120"/>
        <v>PPG - PPG   EP4501       MID YELLOW 0000001767</v>
      </c>
      <c r="G1985" s="20" t="s">
        <v>6855</v>
      </c>
      <c r="H1985" s="49" t="s">
        <v>213</v>
      </c>
      <c r="I1985" s="18" t="s">
        <v>37</v>
      </c>
      <c r="J1985" s="18" t="s">
        <v>38</v>
      </c>
      <c r="K1985" t="s">
        <v>39</v>
      </c>
      <c r="L1985" s="50">
        <f>VLOOKUP(A1985,'[3]Price info'!A:D,4,FALSE)</f>
        <v>468.98</v>
      </c>
      <c r="M1985" s="18" t="s">
        <v>214</v>
      </c>
      <c r="N1985" s="20">
        <v>3105</v>
      </c>
      <c r="P1985" s="16">
        <f>VLOOKUP(A1985,'[3]Price info'!A:H,8,FALSE)</f>
        <v>468.98</v>
      </c>
      <c r="Q1985" s="17">
        <f t="shared" si="121"/>
        <v>1</v>
      </c>
      <c r="S1985" s="16" t="e">
        <f>VLOOKUP(A1985,[4]Sales!$E:$G,3,FALSE)</f>
        <v>#N/A</v>
      </c>
      <c r="T1985" s="19" t="e">
        <f>VLOOKUP(A1985,[4]Volume!$E:$G,3,FALSE)</f>
        <v>#N/A</v>
      </c>
      <c r="U1985" s="19" t="e">
        <f>VLOOKUP(A1985,[4]Piece!$E:$G,3,FALSE)</f>
        <v>#N/A</v>
      </c>
      <c r="V1985" s="21" t="e">
        <f t="shared" si="122"/>
        <v>#N/A</v>
      </c>
      <c r="W1985" s="16" t="e">
        <f t="shared" si="123"/>
        <v>#N/A</v>
      </c>
    </row>
    <row r="1986" spans="1:23" hidden="1" x14ac:dyDescent="0.3">
      <c r="A1986" s="71" t="s">
        <v>3908</v>
      </c>
      <c r="B1986" s="71" t="s">
        <v>3908</v>
      </c>
      <c r="C1986" s="47" t="s">
        <v>33</v>
      </c>
      <c r="D1986" s="48" t="s">
        <v>34</v>
      </c>
      <c r="E1986" s="18" t="s">
        <v>3909</v>
      </c>
      <c r="F1986" s="24" t="str">
        <f t="shared" si="120"/>
        <v>PPG - PPG   EP4501       RED        0000001767</v>
      </c>
      <c r="G1986" s="20" t="s">
        <v>6856</v>
      </c>
      <c r="H1986" s="49" t="s">
        <v>213</v>
      </c>
      <c r="I1986" s="18" t="s">
        <v>37</v>
      </c>
      <c r="J1986" s="18" t="s">
        <v>38</v>
      </c>
      <c r="K1986" t="s">
        <v>39</v>
      </c>
      <c r="L1986" s="50">
        <f>VLOOKUP(A1986,'[3]Price info'!A:D,4,FALSE)</f>
        <v>468.98</v>
      </c>
      <c r="M1986" s="18" t="s">
        <v>214</v>
      </c>
      <c r="N1986" s="20">
        <v>3105</v>
      </c>
      <c r="P1986" s="16">
        <f>VLOOKUP(A1986,'[3]Price info'!A:H,8,FALSE)</f>
        <v>468.98</v>
      </c>
      <c r="Q1986" s="17">
        <f t="shared" si="121"/>
        <v>1</v>
      </c>
      <c r="S1986" s="16" t="e">
        <f>VLOOKUP(A1986,[4]Sales!$E:$G,3,FALSE)</f>
        <v>#N/A</v>
      </c>
      <c r="T1986" s="19" t="e">
        <f>VLOOKUP(A1986,[4]Volume!$E:$G,3,FALSE)</f>
        <v>#N/A</v>
      </c>
      <c r="U1986" s="19" t="e">
        <f>VLOOKUP(A1986,[4]Piece!$E:$G,3,FALSE)</f>
        <v>#N/A</v>
      </c>
      <c r="V1986" s="21" t="e">
        <f t="shared" si="122"/>
        <v>#N/A</v>
      </c>
      <c r="W1986" s="16" t="e">
        <f t="shared" si="123"/>
        <v>#N/A</v>
      </c>
    </row>
    <row r="1987" spans="1:23" hidden="1" x14ac:dyDescent="0.3">
      <c r="A1987" s="71" t="s">
        <v>3910</v>
      </c>
      <c r="B1987" s="71" t="s">
        <v>3910</v>
      </c>
      <c r="C1987" s="47" t="s">
        <v>33</v>
      </c>
      <c r="D1987" s="48" t="s">
        <v>34</v>
      </c>
      <c r="E1987" s="18" t="s">
        <v>3911</v>
      </c>
      <c r="F1987" s="24" t="str">
        <f t="shared" ref="F1987:F2050" si="124">D1987&amp;" - "&amp;E1987</f>
        <v>PPG - PPG   EP4501       SAFETY RED 0000001767</v>
      </c>
      <c r="G1987" s="20" t="s">
        <v>6857</v>
      </c>
      <c r="H1987" s="49" t="s">
        <v>213</v>
      </c>
      <c r="I1987" s="18" t="s">
        <v>37</v>
      </c>
      <c r="J1987" s="18" t="s">
        <v>38</v>
      </c>
      <c r="K1987" t="s">
        <v>39</v>
      </c>
      <c r="L1987" s="50">
        <f>VLOOKUP(A1987,'[3]Price info'!A:D,4,FALSE)</f>
        <v>468.98</v>
      </c>
      <c r="M1987" s="18" t="s">
        <v>214</v>
      </c>
      <c r="N1987" s="20">
        <v>3105</v>
      </c>
      <c r="P1987" s="16">
        <f>VLOOKUP(A1987,'[3]Price info'!A:H,8,FALSE)</f>
        <v>468.98</v>
      </c>
      <c r="Q1987" s="17">
        <f t="shared" ref="Q1987:Q2050" si="125">P1987/L1987</f>
        <v>1</v>
      </c>
      <c r="S1987" s="16" t="e">
        <f>VLOOKUP(A1987,[4]Sales!$E:$G,3,FALSE)</f>
        <v>#N/A</v>
      </c>
      <c r="T1987" s="19" t="e">
        <f>VLOOKUP(A1987,[4]Volume!$E:$G,3,FALSE)</f>
        <v>#N/A</v>
      </c>
      <c r="U1987" s="19" t="e">
        <f>VLOOKUP(A1987,[4]Piece!$E:$G,3,FALSE)</f>
        <v>#N/A</v>
      </c>
      <c r="V1987" s="21" t="e">
        <f t="shared" ref="V1987:V2050" si="126">U1987*P1987</f>
        <v>#N/A</v>
      </c>
      <c r="W1987" s="16" t="e">
        <f t="shared" ref="W1987:W2050" si="127">V1987-S1987</f>
        <v>#N/A</v>
      </c>
    </row>
    <row r="1988" spans="1:23" hidden="1" x14ac:dyDescent="0.3">
      <c r="A1988" s="71" t="s">
        <v>3912</v>
      </c>
      <c r="B1988" s="71" t="s">
        <v>3912</v>
      </c>
      <c r="C1988" s="51" t="s">
        <v>33</v>
      </c>
      <c r="D1988" s="48" t="s">
        <v>34</v>
      </c>
      <c r="E1988" s="18" t="s">
        <v>3913</v>
      </c>
      <c r="F1988" s="24" t="str">
        <f t="shared" si="124"/>
        <v>PPG - PPG   EP4501       SFTY YELL  0000001767</v>
      </c>
      <c r="G1988" s="20" t="s">
        <v>6858</v>
      </c>
      <c r="H1988" s="49" t="s">
        <v>213</v>
      </c>
      <c r="I1988" s="18" t="s">
        <v>37</v>
      </c>
      <c r="J1988" s="18" t="s">
        <v>38</v>
      </c>
      <c r="K1988" t="s">
        <v>39</v>
      </c>
      <c r="L1988" s="50">
        <f>VLOOKUP(A1988,'[3]Price info'!A:D,4,FALSE)</f>
        <v>468.98</v>
      </c>
      <c r="M1988" s="18" t="s">
        <v>214</v>
      </c>
      <c r="N1988" s="20">
        <v>3105</v>
      </c>
      <c r="P1988" s="16">
        <f>VLOOKUP(A1988,'[3]Price info'!A:H,8,FALSE)</f>
        <v>468.98</v>
      </c>
      <c r="Q1988" s="17">
        <f t="shared" si="125"/>
        <v>1</v>
      </c>
      <c r="S1988" s="16" t="e">
        <f>VLOOKUP(A1988,[4]Sales!$E:$G,3,FALSE)</f>
        <v>#N/A</v>
      </c>
      <c r="T1988" s="19" t="e">
        <f>VLOOKUP(A1988,[4]Volume!$E:$G,3,FALSE)</f>
        <v>#N/A</v>
      </c>
      <c r="U1988" s="19" t="e">
        <f>VLOOKUP(A1988,[4]Piece!$E:$G,3,FALSE)</f>
        <v>#N/A</v>
      </c>
      <c r="V1988" s="21" t="e">
        <f t="shared" si="126"/>
        <v>#N/A</v>
      </c>
      <c r="W1988" s="16" t="e">
        <f t="shared" si="127"/>
        <v>#N/A</v>
      </c>
    </row>
    <row r="1989" spans="1:23" hidden="1" x14ac:dyDescent="0.3">
      <c r="A1989" s="71" t="s">
        <v>3914</v>
      </c>
      <c r="B1989" s="71" t="s">
        <v>3914</v>
      </c>
      <c r="C1989" s="47" t="s">
        <v>33</v>
      </c>
      <c r="D1989" s="48" t="s">
        <v>34</v>
      </c>
      <c r="E1989" s="18" t="s">
        <v>3915</v>
      </c>
      <c r="F1989" s="24" t="str">
        <f t="shared" si="124"/>
        <v>PPG - PPG   EP4501       SPEC COLL  0000001767</v>
      </c>
      <c r="G1989" s="20" t="s">
        <v>6859</v>
      </c>
      <c r="H1989" s="49" t="s">
        <v>213</v>
      </c>
      <c r="I1989" s="18" t="s">
        <v>37</v>
      </c>
      <c r="J1989" s="18" t="s">
        <v>38</v>
      </c>
      <c r="K1989" t="s">
        <v>39</v>
      </c>
      <c r="L1989" s="50">
        <f>VLOOKUP(A1989,'[3]Price info'!A:D,4,FALSE)</f>
        <v>468.98</v>
      </c>
      <c r="M1989" s="18" t="s">
        <v>214</v>
      </c>
      <c r="N1989" s="20">
        <v>3105</v>
      </c>
      <c r="P1989" s="16">
        <f>VLOOKUP(A1989,'[3]Price info'!A:H,8,FALSE)</f>
        <v>468.98</v>
      </c>
      <c r="Q1989" s="17">
        <f t="shared" si="125"/>
        <v>1</v>
      </c>
      <c r="S1989" s="16" t="e">
        <f>VLOOKUP(A1989,[4]Sales!$E:$G,3,FALSE)</f>
        <v>#N/A</v>
      </c>
      <c r="T1989" s="19" t="e">
        <f>VLOOKUP(A1989,[4]Volume!$E:$G,3,FALSE)</f>
        <v>#N/A</v>
      </c>
      <c r="U1989" s="19" t="e">
        <f>VLOOKUP(A1989,[4]Piece!$E:$G,3,FALSE)</f>
        <v>#N/A</v>
      </c>
      <c r="V1989" s="21" t="e">
        <f t="shared" si="126"/>
        <v>#N/A</v>
      </c>
      <c r="W1989" s="16" t="e">
        <f t="shared" si="127"/>
        <v>#N/A</v>
      </c>
    </row>
    <row r="1990" spans="1:23" hidden="1" x14ac:dyDescent="0.3">
      <c r="A1990" s="71" t="s">
        <v>3916</v>
      </c>
      <c r="B1990" s="71" t="s">
        <v>3916</v>
      </c>
      <c r="C1990" s="47" t="s">
        <v>33</v>
      </c>
      <c r="D1990" s="48" t="s">
        <v>34</v>
      </c>
      <c r="E1990" s="18" t="s">
        <v>3917</v>
      </c>
      <c r="F1990" s="24" t="str">
        <f t="shared" si="124"/>
        <v>PPG - PSX 700A FDE SET CLEAR COAT   0000AM1450</v>
      </c>
      <c r="G1990" s="20" t="s">
        <v>6860</v>
      </c>
      <c r="H1990" s="49" t="s">
        <v>213</v>
      </c>
      <c r="I1990" s="18" t="s">
        <v>37</v>
      </c>
      <c r="J1990" s="18" t="s">
        <v>38</v>
      </c>
      <c r="K1990" t="s">
        <v>39</v>
      </c>
      <c r="L1990" s="50">
        <f>VLOOKUP(A1990,'[3]Price info'!A:D,4,FALSE)</f>
        <v>686.4</v>
      </c>
      <c r="M1990" s="18" t="s">
        <v>214</v>
      </c>
      <c r="N1990" s="20">
        <v>3105</v>
      </c>
      <c r="P1990" s="16">
        <f>VLOOKUP(A1990,'[3]Price info'!A:H,8,FALSE)</f>
        <v>686.4</v>
      </c>
      <c r="Q1990" s="17">
        <f t="shared" si="125"/>
        <v>1</v>
      </c>
      <c r="S1990" s="16" t="e">
        <f>VLOOKUP(A1990,[4]Sales!$E:$G,3,FALSE)</f>
        <v>#N/A</v>
      </c>
      <c r="T1990" s="19" t="e">
        <f>VLOOKUP(A1990,[4]Volume!$E:$G,3,FALSE)</f>
        <v>#N/A</v>
      </c>
      <c r="U1990" s="19" t="e">
        <f>VLOOKUP(A1990,[4]Piece!$E:$G,3,FALSE)</f>
        <v>#N/A</v>
      </c>
      <c r="V1990" s="21" t="e">
        <f t="shared" si="126"/>
        <v>#N/A</v>
      </c>
      <c r="W1990" s="16" t="e">
        <f t="shared" si="127"/>
        <v>#N/A</v>
      </c>
    </row>
    <row r="1991" spans="1:23" hidden="1" x14ac:dyDescent="0.3">
      <c r="A1991" s="71" t="s">
        <v>3918</v>
      </c>
      <c r="B1991" s="71" t="s">
        <v>3918</v>
      </c>
      <c r="C1991" s="51" t="s">
        <v>33</v>
      </c>
      <c r="D1991" s="48" t="s">
        <v>34</v>
      </c>
      <c r="E1991" s="18" t="s">
        <v>3919</v>
      </c>
      <c r="F1991" s="24" t="str">
        <f t="shared" si="124"/>
        <v>PPG - PURDY DALE ELITE   1" BRUSH</v>
      </c>
      <c r="G1991" s="20" t="s">
        <v>6861</v>
      </c>
      <c r="H1991" s="49" t="s">
        <v>213</v>
      </c>
      <c r="I1991" s="18" t="s">
        <v>37</v>
      </c>
      <c r="J1991" s="18" t="s">
        <v>38</v>
      </c>
      <c r="K1991" t="s">
        <v>39</v>
      </c>
      <c r="L1991" s="50">
        <f>VLOOKUP(A1991,'[3]Price info'!A:D,4,FALSE)</f>
        <v>13.53</v>
      </c>
      <c r="M1991" s="18" t="s">
        <v>214</v>
      </c>
      <c r="N1991" s="20">
        <v>3105</v>
      </c>
      <c r="P1991" s="16">
        <f>VLOOKUP(A1991,'[3]Price info'!A:H,8,FALSE)</f>
        <v>13.53</v>
      </c>
      <c r="Q1991" s="17">
        <f t="shared" si="125"/>
        <v>1</v>
      </c>
      <c r="S1991" s="16" t="e">
        <f>VLOOKUP(A1991,[4]Sales!$E:$G,3,FALSE)</f>
        <v>#N/A</v>
      </c>
      <c r="T1991" s="19" t="e">
        <f>VLOOKUP(A1991,[4]Volume!$E:$G,3,FALSE)</f>
        <v>#N/A</v>
      </c>
      <c r="U1991" s="19" t="e">
        <f>VLOOKUP(A1991,[4]Piece!$E:$G,3,FALSE)</f>
        <v>#N/A</v>
      </c>
      <c r="V1991" s="21" t="e">
        <f t="shared" si="126"/>
        <v>#N/A</v>
      </c>
      <c r="W1991" s="16" t="e">
        <f t="shared" si="127"/>
        <v>#N/A</v>
      </c>
    </row>
    <row r="1992" spans="1:23" hidden="1" x14ac:dyDescent="0.3">
      <c r="A1992" s="71" t="s">
        <v>3920</v>
      </c>
      <c r="B1992" s="71" t="s">
        <v>3920</v>
      </c>
      <c r="C1992" s="47" t="s">
        <v>33</v>
      </c>
      <c r="D1992" s="48" t="s">
        <v>34</v>
      </c>
      <c r="E1992" s="18" t="s">
        <v>3921</v>
      </c>
      <c r="F1992" s="24" t="str">
        <f t="shared" si="124"/>
        <v>PPG - PURDY DALE ELITE   1.5" BRUSH</v>
      </c>
      <c r="G1992" s="20" t="s">
        <v>6862</v>
      </c>
      <c r="H1992" s="49" t="s">
        <v>213</v>
      </c>
      <c r="I1992" s="18" t="s">
        <v>37</v>
      </c>
      <c r="J1992" s="18" t="s">
        <v>38</v>
      </c>
      <c r="K1992" t="s">
        <v>39</v>
      </c>
      <c r="L1992" s="50">
        <f>VLOOKUP(A1992,'[3]Price info'!A:D,4,FALSE)</f>
        <v>15.79</v>
      </c>
      <c r="M1992" s="18" t="s">
        <v>214</v>
      </c>
      <c r="N1992" s="20">
        <v>3105</v>
      </c>
      <c r="P1992" s="16">
        <f>VLOOKUP(A1992,'[3]Price info'!A:H,8,FALSE)</f>
        <v>15.79</v>
      </c>
      <c r="Q1992" s="17">
        <f t="shared" si="125"/>
        <v>1</v>
      </c>
      <c r="S1992" s="16" t="e">
        <f>VLOOKUP(A1992,[4]Sales!$E:$G,3,FALSE)</f>
        <v>#N/A</v>
      </c>
      <c r="T1992" s="19" t="e">
        <f>VLOOKUP(A1992,[4]Volume!$E:$G,3,FALSE)</f>
        <v>#N/A</v>
      </c>
      <c r="U1992" s="19" t="e">
        <f>VLOOKUP(A1992,[4]Piece!$E:$G,3,FALSE)</f>
        <v>#N/A</v>
      </c>
      <c r="V1992" s="21" t="e">
        <f t="shared" si="126"/>
        <v>#N/A</v>
      </c>
      <c r="W1992" s="16" t="e">
        <f t="shared" si="127"/>
        <v>#N/A</v>
      </c>
    </row>
    <row r="1993" spans="1:23" hidden="1" x14ac:dyDescent="0.3">
      <c r="A1993" s="71" t="s">
        <v>3922</v>
      </c>
      <c r="B1993" s="71" t="s">
        <v>3922</v>
      </c>
      <c r="C1993" s="47" t="s">
        <v>33</v>
      </c>
      <c r="D1993" s="48" t="s">
        <v>34</v>
      </c>
      <c r="E1993" s="18" t="s">
        <v>3923</v>
      </c>
      <c r="F1993" s="24" t="str">
        <f t="shared" si="124"/>
        <v>PPG - PURDY MONSPEC3     BRUSH SET</v>
      </c>
      <c r="G1993" s="20" t="s">
        <v>6863</v>
      </c>
      <c r="H1993" s="49" t="s">
        <v>213</v>
      </c>
      <c r="I1993" s="18" t="s">
        <v>37</v>
      </c>
      <c r="J1993" s="18" t="s">
        <v>38</v>
      </c>
      <c r="K1993" t="s">
        <v>39</v>
      </c>
      <c r="L1993" s="50">
        <f>VLOOKUP(A1993,'[3]Price info'!A:D,4,FALSE)</f>
        <v>48.6</v>
      </c>
      <c r="M1993" s="18" t="s">
        <v>214</v>
      </c>
      <c r="N1993" s="20">
        <v>3105</v>
      </c>
      <c r="P1993" s="16">
        <f>VLOOKUP(A1993,'[3]Price info'!A:H,8,FALSE)</f>
        <v>48.6</v>
      </c>
      <c r="Q1993" s="17">
        <f t="shared" si="125"/>
        <v>1</v>
      </c>
      <c r="S1993" s="16" t="e">
        <f>VLOOKUP(A1993,[4]Sales!$E:$G,3,FALSE)</f>
        <v>#N/A</v>
      </c>
      <c r="T1993" s="19" t="e">
        <f>VLOOKUP(A1993,[4]Volume!$E:$G,3,FALSE)</f>
        <v>#N/A</v>
      </c>
      <c r="U1993" s="19" t="e">
        <f>VLOOKUP(A1993,[4]Piece!$E:$G,3,FALSE)</f>
        <v>#N/A</v>
      </c>
      <c r="V1993" s="21" t="e">
        <f t="shared" si="126"/>
        <v>#N/A</v>
      </c>
      <c r="W1993" s="16" t="e">
        <f t="shared" si="127"/>
        <v>#N/A</v>
      </c>
    </row>
    <row r="1994" spans="1:23" hidden="1" x14ac:dyDescent="0.3">
      <c r="A1994" s="71" t="s">
        <v>3924</v>
      </c>
      <c r="B1994" s="71" t="s">
        <v>3924</v>
      </c>
      <c r="C1994" s="51" t="s">
        <v>33</v>
      </c>
      <c r="D1994" s="48" t="s">
        <v>34</v>
      </c>
      <c r="E1994" s="18" t="s">
        <v>3925</v>
      </c>
      <c r="F1994" s="24" t="str">
        <f t="shared" si="124"/>
        <v>PPG - PURDY PRO EXTRA    TWIN PACK  MON ELITE</v>
      </c>
      <c r="G1994" s="20" t="s">
        <v>6864</v>
      </c>
      <c r="H1994" s="49" t="s">
        <v>213</v>
      </c>
      <c r="I1994" s="18" t="s">
        <v>37</v>
      </c>
      <c r="J1994" s="18" t="s">
        <v>38</v>
      </c>
      <c r="K1994" t="s">
        <v>39</v>
      </c>
      <c r="L1994" s="50">
        <f>VLOOKUP(A1994,'[3]Price info'!A:D,4,FALSE)</f>
        <v>54.55</v>
      </c>
      <c r="M1994" s="18" t="s">
        <v>214</v>
      </c>
      <c r="N1994" s="20">
        <v>3105</v>
      </c>
      <c r="P1994" s="16">
        <f>VLOOKUP(A1994,'[3]Price info'!A:H,8,FALSE)</f>
        <v>54.55</v>
      </c>
      <c r="Q1994" s="17">
        <f t="shared" si="125"/>
        <v>1</v>
      </c>
      <c r="S1994" s="16" t="e">
        <f>VLOOKUP(A1994,[4]Sales!$E:$G,3,FALSE)</f>
        <v>#N/A</v>
      </c>
      <c r="T1994" s="19" t="e">
        <f>VLOOKUP(A1994,[4]Volume!$E:$G,3,FALSE)</f>
        <v>#N/A</v>
      </c>
      <c r="U1994" s="19" t="e">
        <f>VLOOKUP(A1994,[4]Piece!$E:$G,3,FALSE)</f>
        <v>#N/A</v>
      </c>
      <c r="V1994" s="21" t="e">
        <f t="shared" si="126"/>
        <v>#N/A</v>
      </c>
      <c r="W1994" s="16" t="e">
        <f t="shared" si="127"/>
        <v>#N/A</v>
      </c>
    </row>
    <row r="1995" spans="1:23" hidden="1" x14ac:dyDescent="0.3">
      <c r="A1995" s="71" t="s">
        <v>3926</v>
      </c>
      <c r="B1995" s="71" t="s">
        <v>3926</v>
      </c>
      <c r="C1995" s="47" t="s">
        <v>33</v>
      </c>
      <c r="D1995" s="48" t="s">
        <v>34</v>
      </c>
      <c r="E1995" s="18" t="s">
        <v>3927</v>
      </c>
      <c r="F1995" s="24" t="str">
        <f t="shared" si="124"/>
        <v>PPG - PURDY SPRIG ELITE  2" BRUSH</v>
      </c>
      <c r="G1995" s="20" t="s">
        <v>6865</v>
      </c>
      <c r="H1995" s="49" t="s">
        <v>213</v>
      </c>
      <c r="I1995" s="18" t="s">
        <v>37</v>
      </c>
      <c r="J1995" s="18" t="s">
        <v>38</v>
      </c>
      <c r="K1995" t="s">
        <v>39</v>
      </c>
      <c r="L1995" s="50">
        <f>VLOOKUP(A1995,'[3]Price info'!A:D,4,FALSE)</f>
        <v>18.059999999999999</v>
      </c>
      <c r="M1995" s="18" t="s">
        <v>214</v>
      </c>
      <c r="N1995" s="20">
        <v>3105</v>
      </c>
      <c r="P1995" s="16">
        <f>VLOOKUP(A1995,'[3]Price info'!A:H,8,FALSE)</f>
        <v>18.059999999999999</v>
      </c>
      <c r="Q1995" s="17">
        <f t="shared" si="125"/>
        <v>1</v>
      </c>
      <c r="S1995" s="16" t="e">
        <f>VLOOKUP(A1995,[4]Sales!$E:$G,3,FALSE)</f>
        <v>#N/A</v>
      </c>
      <c r="T1995" s="19" t="e">
        <f>VLOOKUP(A1995,[4]Volume!$E:$G,3,FALSE)</f>
        <v>#N/A</v>
      </c>
      <c r="U1995" s="19" t="e">
        <f>VLOOKUP(A1995,[4]Piece!$E:$G,3,FALSE)</f>
        <v>#N/A</v>
      </c>
      <c r="V1995" s="21" t="e">
        <f t="shared" si="126"/>
        <v>#N/A</v>
      </c>
      <c r="W1995" s="16" t="e">
        <f t="shared" si="127"/>
        <v>#N/A</v>
      </c>
    </row>
    <row r="1996" spans="1:23" hidden="1" x14ac:dyDescent="0.3">
      <c r="A1996" s="71" t="s">
        <v>3928</v>
      </c>
      <c r="B1996" s="71" t="s">
        <v>3928</v>
      </c>
      <c r="C1996" s="47" t="s">
        <v>33</v>
      </c>
      <c r="D1996" s="48" t="s">
        <v>34</v>
      </c>
      <c r="E1996" s="18" t="s">
        <v>3929</v>
      </c>
      <c r="F1996" s="24" t="str">
        <f t="shared" si="124"/>
        <v>PPG - QTECH 1/4" HOSE    25 METRE   61425EETD</v>
      </c>
      <c r="G1996" s="20" t="s">
        <v>6866</v>
      </c>
      <c r="H1996" s="49" t="s">
        <v>213</v>
      </c>
      <c r="I1996" s="18" t="s">
        <v>37</v>
      </c>
      <c r="J1996" s="18" t="s">
        <v>38</v>
      </c>
      <c r="K1996" t="s">
        <v>39</v>
      </c>
      <c r="L1996" s="50">
        <f>VLOOKUP(A1996,'[3]Price info'!A:D,4,FALSE)</f>
        <v>119.74</v>
      </c>
      <c r="M1996" s="18" t="s">
        <v>214</v>
      </c>
      <c r="N1996" s="20">
        <v>3105</v>
      </c>
      <c r="P1996" s="16">
        <f>VLOOKUP(A1996,'[3]Price info'!A:H,8,FALSE)</f>
        <v>119.74</v>
      </c>
      <c r="Q1996" s="17">
        <f t="shared" si="125"/>
        <v>1</v>
      </c>
      <c r="S1996" s="16" t="e">
        <f>VLOOKUP(A1996,[4]Sales!$E:$G,3,FALSE)</f>
        <v>#N/A</v>
      </c>
      <c r="T1996" s="19" t="e">
        <f>VLOOKUP(A1996,[4]Volume!$E:$G,3,FALSE)</f>
        <v>#N/A</v>
      </c>
      <c r="U1996" s="19" t="e">
        <f>VLOOKUP(A1996,[4]Piece!$E:$G,3,FALSE)</f>
        <v>#N/A</v>
      </c>
      <c r="V1996" s="21" t="e">
        <f t="shared" si="126"/>
        <v>#N/A</v>
      </c>
      <c r="W1996" s="16" t="e">
        <f t="shared" si="127"/>
        <v>#N/A</v>
      </c>
    </row>
    <row r="1997" spans="1:23" hidden="1" x14ac:dyDescent="0.3">
      <c r="A1997" s="71" t="s">
        <v>3930</v>
      </c>
      <c r="B1997" s="71" t="s">
        <v>3930</v>
      </c>
      <c r="C1997" s="51" t="s">
        <v>33</v>
      </c>
      <c r="D1997" s="48" t="s">
        <v>34</v>
      </c>
      <c r="E1997" s="18" t="s">
        <v>3931</v>
      </c>
      <c r="F1997" s="24" t="str">
        <f t="shared" si="124"/>
        <v>PPG - QTECH 1/4"X2M HOSE 61402ETD</v>
      </c>
      <c r="G1997" s="20" t="s">
        <v>6867</v>
      </c>
      <c r="H1997" s="49" t="s">
        <v>213</v>
      </c>
      <c r="I1997" s="18" t="s">
        <v>37</v>
      </c>
      <c r="J1997" s="18" t="s">
        <v>38</v>
      </c>
      <c r="K1997" t="s">
        <v>39</v>
      </c>
      <c r="L1997" s="50">
        <f>VLOOKUP(A1997,'[3]Price info'!A:D,4,FALSE)</f>
        <v>25.89</v>
      </c>
      <c r="M1997" s="18" t="s">
        <v>214</v>
      </c>
      <c r="N1997" s="20">
        <v>3105</v>
      </c>
      <c r="P1997" s="16">
        <f>VLOOKUP(A1997,'[3]Price info'!A:H,8,FALSE)</f>
        <v>25.89</v>
      </c>
      <c r="Q1997" s="17">
        <f t="shared" si="125"/>
        <v>1</v>
      </c>
      <c r="S1997" s="16" t="e">
        <f>VLOOKUP(A1997,[4]Sales!$E:$G,3,FALSE)</f>
        <v>#N/A</v>
      </c>
      <c r="T1997" s="19" t="e">
        <f>VLOOKUP(A1997,[4]Volume!$E:$G,3,FALSE)</f>
        <v>#N/A</v>
      </c>
      <c r="U1997" s="19" t="e">
        <f>VLOOKUP(A1997,[4]Piece!$E:$G,3,FALSE)</f>
        <v>#N/A</v>
      </c>
      <c r="V1997" s="21" t="e">
        <f t="shared" si="126"/>
        <v>#N/A</v>
      </c>
      <c r="W1997" s="16" t="e">
        <f t="shared" si="127"/>
        <v>#N/A</v>
      </c>
    </row>
    <row r="1998" spans="1:23" hidden="1" x14ac:dyDescent="0.3">
      <c r="A1998" s="71" t="s">
        <v>3932</v>
      </c>
      <c r="B1998" s="71" t="s">
        <v>3932</v>
      </c>
      <c r="C1998" s="47" t="s">
        <v>33</v>
      </c>
      <c r="D1998" s="48" t="s">
        <v>34</v>
      </c>
      <c r="E1998" s="18" t="s">
        <v>3933</v>
      </c>
      <c r="F1998" s="24" t="str">
        <f t="shared" si="124"/>
        <v>PPG - QTECH 1/4"X3M HOSE 61403ETD</v>
      </c>
      <c r="G1998" s="20" t="s">
        <v>6868</v>
      </c>
      <c r="H1998" s="49" t="s">
        <v>213</v>
      </c>
      <c r="I1998" s="18" t="s">
        <v>37</v>
      </c>
      <c r="J1998" s="18" t="s">
        <v>38</v>
      </c>
      <c r="K1998" t="s">
        <v>39</v>
      </c>
      <c r="L1998" s="50">
        <f>VLOOKUP(A1998,'[3]Price info'!A:D,4,FALSE)</f>
        <v>26.66</v>
      </c>
      <c r="M1998" s="18" t="s">
        <v>214</v>
      </c>
      <c r="N1998" s="20">
        <v>3105</v>
      </c>
      <c r="P1998" s="16">
        <f>VLOOKUP(A1998,'[3]Price info'!A:H,8,FALSE)</f>
        <v>26.66</v>
      </c>
      <c r="Q1998" s="17">
        <f t="shared" si="125"/>
        <v>1</v>
      </c>
      <c r="S1998" s="16" t="e">
        <f>VLOOKUP(A1998,[4]Sales!$E:$G,3,FALSE)</f>
        <v>#N/A</v>
      </c>
      <c r="T1998" s="19" t="e">
        <f>VLOOKUP(A1998,[4]Volume!$E:$G,3,FALSE)</f>
        <v>#N/A</v>
      </c>
      <c r="U1998" s="19" t="e">
        <f>VLOOKUP(A1998,[4]Piece!$E:$G,3,FALSE)</f>
        <v>#N/A</v>
      </c>
      <c r="V1998" s="21" t="e">
        <f t="shared" si="126"/>
        <v>#N/A</v>
      </c>
      <c r="W1998" s="16" t="e">
        <f t="shared" si="127"/>
        <v>#N/A</v>
      </c>
    </row>
    <row r="1999" spans="1:23" hidden="1" x14ac:dyDescent="0.3">
      <c r="A1999" s="71" t="s">
        <v>3934</v>
      </c>
      <c r="B1999" s="71" t="s">
        <v>3934</v>
      </c>
      <c r="C1999" s="47" t="s">
        <v>33</v>
      </c>
      <c r="D1999" s="48" t="s">
        <v>34</v>
      </c>
      <c r="E1999" s="18" t="s">
        <v>3935</v>
      </c>
      <c r="F1999" s="24" t="str">
        <f t="shared" si="124"/>
        <v>PPG - QTECH 1M WHIP HOSE 63601EET</v>
      </c>
      <c r="G1999" s="20" t="s">
        <v>6869</v>
      </c>
      <c r="H1999" s="49" t="s">
        <v>213</v>
      </c>
      <c r="I1999" s="18" t="s">
        <v>37</v>
      </c>
      <c r="J1999" s="18" t="s">
        <v>38</v>
      </c>
      <c r="K1999" t="s">
        <v>39</v>
      </c>
      <c r="L1999" s="50">
        <f>VLOOKUP(A1999,'[3]Price info'!A:D,4,FALSE)</f>
        <v>17.579999999999998</v>
      </c>
      <c r="M1999" s="18" t="s">
        <v>214</v>
      </c>
      <c r="N1999" s="20">
        <v>3105</v>
      </c>
      <c r="P1999" s="16">
        <f>VLOOKUP(A1999,'[3]Price info'!A:H,8,FALSE)</f>
        <v>17.579999999999998</v>
      </c>
      <c r="Q1999" s="17">
        <f t="shared" si="125"/>
        <v>1</v>
      </c>
      <c r="S1999" s="16" t="e">
        <f>VLOOKUP(A1999,[4]Sales!$E:$G,3,FALSE)</f>
        <v>#N/A</v>
      </c>
      <c r="T1999" s="19" t="e">
        <f>VLOOKUP(A1999,[4]Volume!$E:$G,3,FALSE)</f>
        <v>#N/A</v>
      </c>
      <c r="U1999" s="19" t="e">
        <f>VLOOKUP(A1999,[4]Piece!$E:$G,3,FALSE)</f>
        <v>#N/A</v>
      </c>
      <c r="V1999" s="21" t="e">
        <f t="shared" si="126"/>
        <v>#N/A</v>
      </c>
      <c r="W1999" s="16" t="e">
        <f t="shared" si="127"/>
        <v>#N/A</v>
      </c>
    </row>
    <row r="2000" spans="1:23" hidden="1" x14ac:dyDescent="0.3">
      <c r="A2000" s="71" t="s">
        <v>3936</v>
      </c>
      <c r="B2000" s="71" t="s">
        <v>3936</v>
      </c>
      <c r="C2000" s="51" t="s">
        <v>33</v>
      </c>
      <c r="D2000" s="48" t="s">
        <v>34</v>
      </c>
      <c r="E2000" s="18" t="s">
        <v>3937</v>
      </c>
      <c r="F2000" s="24" t="str">
        <f t="shared" si="124"/>
        <v>PPG - QTECH 600-810      240 VOLT   TRITECH T5</v>
      </c>
      <c r="G2000" s="20" t="s">
        <v>6870</v>
      </c>
      <c r="H2000" s="49" t="s">
        <v>213</v>
      </c>
      <c r="I2000" s="18" t="s">
        <v>37</v>
      </c>
      <c r="J2000" s="18" t="s">
        <v>38</v>
      </c>
      <c r="K2000" t="s">
        <v>39</v>
      </c>
      <c r="L2000" s="50">
        <f>VLOOKUP(A2000,'[3]Price info'!A:D,4,FALSE)</f>
        <v>2059.5100000000002</v>
      </c>
      <c r="M2000" s="18" t="s">
        <v>214</v>
      </c>
      <c r="N2000" s="20">
        <v>3105</v>
      </c>
      <c r="P2000" s="16">
        <f>VLOOKUP(A2000,'[3]Price info'!A:H,8,FALSE)</f>
        <v>2059.5100000000002</v>
      </c>
      <c r="Q2000" s="17">
        <f t="shared" si="125"/>
        <v>1</v>
      </c>
      <c r="S2000" s="16" t="e">
        <f>VLOOKUP(A2000,[4]Sales!$E:$G,3,FALSE)</f>
        <v>#N/A</v>
      </c>
      <c r="T2000" s="19" t="e">
        <f>VLOOKUP(A2000,[4]Volume!$E:$G,3,FALSE)</f>
        <v>#N/A</v>
      </c>
      <c r="U2000" s="19" t="e">
        <f>VLOOKUP(A2000,[4]Piece!$E:$G,3,FALSE)</f>
        <v>#N/A</v>
      </c>
      <c r="V2000" s="21" t="e">
        <f t="shared" si="126"/>
        <v>#N/A</v>
      </c>
      <c r="W2000" s="16" t="e">
        <f t="shared" si="127"/>
        <v>#N/A</v>
      </c>
    </row>
    <row r="2001" spans="1:23" hidden="1" x14ac:dyDescent="0.3">
      <c r="A2001" s="71" t="s">
        <v>3938</v>
      </c>
      <c r="B2001" s="71" t="s">
        <v>3938</v>
      </c>
      <c r="C2001" s="47" t="s">
        <v>33</v>
      </c>
      <c r="D2001" s="48" t="s">
        <v>34</v>
      </c>
      <c r="E2001" s="18" t="s">
        <v>3939</v>
      </c>
      <c r="F2001" s="24" t="str">
        <f t="shared" si="124"/>
        <v>PPG - QTECH ALUMIN 36X9" PT SHIELD  28000</v>
      </c>
      <c r="G2001" s="20" t="s">
        <v>6871</v>
      </c>
      <c r="H2001" s="49" t="s">
        <v>213</v>
      </c>
      <c r="I2001" s="18" t="s">
        <v>37</v>
      </c>
      <c r="J2001" s="18" t="s">
        <v>38</v>
      </c>
      <c r="K2001" t="s">
        <v>39</v>
      </c>
      <c r="L2001" s="50">
        <f>VLOOKUP(A2001,'[3]Price info'!A:D,4,FALSE)</f>
        <v>40.9</v>
      </c>
      <c r="M2001" s="18" t="s">
        <v>214</v>
      </c>
      <c r="N2001" s="20">
        <v>3105</v>
      </c>
      <c r="P2001" s="16">
        <f>VLOOKUP(A2001,'[3]Price info'!A:H,8,FALSE)</f>
        <v>40.9</v>
      </c>
      <c r="Q2001" s="17">
        <f t="shared" si="125"/>
        <v>1</v>
      </c>
      <c r="S2001" s="16" t="e">
        <f>VLOOKUP(A2001,[4]Sales!$E:$G,3,FALSE)</f>
        <v>#N/A</v>
      </c>
      <c r="T2001" s="19" t="e">
        <f>VLOOKUP(A2001,[4]Volume!$E:$G,3,FALSE)</f>
        <v>#N/A</v>
      </c>
      <c r="U2001" s="19" t="e">
        <f>VLOOKUP(A2001,[4]Piece!$E:$G,3,FALSE)</f>
        <v>#N/A</v>
      </c>
      <c r="V2001" s="21" t="e">
        <f t="shared" si="126"/>
        <v>#N/A</v>
      </c>
      <c r="W2001" s="16" t="e">
        <f t="shared" si="127"/>
        <v>#N/A</v>
      </c>
    </row>
    <row r="2002" spans="1:23" hidden="1" x14ac:dyDescent="0.3">
      <c r="A2002" s="71" t="s">
        <v>3940</v>
      </c>
      <c r="B2002" s="71" t="s">
        <v>3940</v>
      </c>
      <c r="C2002" s="47" t="s">
        <v>33</v>
      </c>
      <c r="D2002" s="48" t="s">
        <v>34</v>
      </c>
      <c r="E2002" s="18" t="s">
        <v>3941</v>
      </c>
      <c r="F2002" s="24" t="str">
        <f t="shared" si="124"/>
        <v>PPG - QTECH ALUMIN 48X9" PT SHIELD  28040</v>
      </c>
      <c r="G2002" s="20" t="s">
        <v>6872</v>
      </c>
      <c r="H2002" s="49" t="s">
        <v>213</v>
      </c>
      <c r="I2002" s="18" t="s">
        <v>37</v>
      </c>
      <c r="J2002" s="18" t="s">
        <v>38</v>
      </c>
      <c r="K2002" t="s">
        <v>39</v>
      </c>
      <c r="L2002" s="50">
        <f>VLOOKUP(A2002,'[3]Price info'!A:D,4,FALSE)</f>
        <v>57.15</v>
      </c>
      <c r="M2002" s="18" t="s">
        <v>214</v>
      </c>
      <c r="N2002" s="20">
        <v>3105</v>
      </c>
      <c r="P2002" s="16">
        <f>VLOOKUP(A2002,'[3]Price info'!A:H,8,FALSE)</f>
        <v>57.15</v>
      </c>
      <c r="Q2002" s="17">
        <f t="shared" si="125"/>
        <v>1</v>
      </c>
      <c r="S2002" s="16" t="e">
        <f>VLOOKUP(A2002,[4]Sales!$E:$G,3,FALSE)</f>
        <v>#N/A</v>
      </c>
      <c r="T2002" s="19" t="e">
        <f>VLOOKUP(A2002,[4]Volume!$E:$G,3,FALSE)</f>
        <v>#N/A</v>
      </c>
      <c r="U2002" s="19" t="e">
        <f>VLOOKUP(A2002,[4]Piece!$E:$G,3,FALSE)</f>
        <v>#N/A</v>
      </c>
      <c r="V2002" s="21" t="e">
        <f t="shared" si="126"/>
        <v>#N/A</v>
      </c>
      <c r="W2002" s="16" t="e">
        <f t="shared" si="127"/>
        <v>#N/A</v>
      </c>
    </row>
    <row r="2003" spans="1:23" hidden="1" x14ac:dyDescent="0.3">
      <c r="A2003" s="71" t="s">
        <v>3942</v>
      </c>
      <c r="B2003" s="71" t="s">
        <v>3942</v>
      </c>
      <c r="C2003" s="51" t="s">
        <v>33</v>
      </c>
      <c r="D2003" s="48" t="s">
        <v>34</v>
      </c>
      <c r="E2003" s="18" t="s">
        <v>3943</v>
      </c>
      <c r="F2003" s="24" t="str">
        <f t="shared" si="124"/>
        <v>PPG - QTECH BALL GUIDE   QP00008</v>
      </c>
      <c r="G2003" s="20" t="s">
        <v>6873</v>
      </c>
      <c r="H2003" s="49" t="s">
        <v>213</v>
      </c>
      <c r="I2003" s="18" t="s">
        <v>37</v>
      </c>
      <c r="J2003" s="18" t="s">
        <v>38</v>
      </c>
      <c r="K2003" t="s">
        <v>39</v>
      </c>
      <c r="L2003" s="50">
        <f>VLOOKUP(A2003,'[3]Price info'!A:D,4,FALSE)</f>
        <v>4.21</v>
      </c>
      <c r="M2003" s="18" t="s">
        <v>214</v>
      </c>
      <c r="N2003" s="20">
        <v>3105</v>
      </c>
      <c r="P2003" s="16">
        <f>VLOOKUP(A2003,'[3]Price info'!A:H,8,FALSE)</f>
        <v>4.21</v>
      </c>
      <c r="Q2003" s="17">
        <f t="shared" si="125"/>
        <v>1</v>
      </c>
      <c r="S2003" s="16" t="e">
        <f>VLOOKUP(A2003,[4]Sales!$E:$G,3,FALSE)</f>
        <v>#N/A</v>
      </c>
      <c r="T2003" s="19" t="e">
        <f>VLOOKUP(A2003,[4]Volume!$E:$G,3,FALSE)</f>
        <v>#N/A</v>
      </c>
      <c r="U2003" s="19" t="e">
        <f>VLOOKUP(A2003,[4]Piece!$E:$G,3,FALSE)</f>
        <v>#N/A</v>
      </c>
      <c r="V2003" s="21" t="e">
        <f t="shared" si="126"/>
        <v>#N/A</v>
      </c>
      <c r="W2003" s="16" t="e">
        <f t="shared" si="127"/>
        <v>#N/A</v>
      </c>
    </row>
    <row r="2004" spans="1:23" hidden="1" x14ac:dyDescent="0.3">
      <c r="A2004" s="71" t="s">
        <v>3944</v>
      </c>
      <c r="B2004" s="71" t="s">
        <v>3944</v>
      </c>
      <c r="C2004" s="47" t="s">
        <v>33</v>
      </c>
      <c r="D2004" s="48" t="s">
        <v>34</v>
      </c>
      <c r="E2004" s="18" t="s">
        <v>3945</v>
      </c>
      <c r="F2004" s="24" t="str">
        <f t="shared" si="124"/>
        <v>PPG - QTECH CORE SPRING  600-240</v>
      </c>
      <c r="G2004" s="20" t="s">
        <v>6874</v>
      </c>
      <c r="H2004" s="49" t="s">
        <v>213</v>
      </c>
      <c r="I2004" s="18" t="s">
        <v>37</v>
      </c>
      <c r="J2004" s="18" t="s">
        <v>38</v>
      </c>
      <c r="K2004" t="s">
        <v>39</v>
      </c>
      <c r="L2004" s="50">
        <f>VLOOKUP(A2004,'[3]Price info'!A:D,4,FALSE)</f>
        <v>19.13</v>
      </c>
      <c r="M2004" s="18" t="s">
        <v>214</v>
      </c>
      <c r="N2004" s="20">
        <v>3105</v>
      </c>
      <c r="P2004" s="16">
        <f>VLOOKUP(A2004,'[3]Price info'!A:H,8,FALSE)</f>
        <v>19.13</v>
      </c>
      <c r="Q2004" s="17">
        <f t="shared" si="125"/>
        <v>1</v>
      </c>
      <c r="S2004" s="16" t="e">
        <f>VLOOKUP(A2004,[4]Sales!$E:$G,3,FALSE)</f>
        <v>#N/A</v>
      </c>
      <c r="T2004" s="19" t="e">
        <f>VLOOKUP(A2004,[4]Volume!$E:$G,3,FALSE)</f>
        <v>#N/A</v>
      </c>
      <c r="U2004" s="19" t="e">
        <f>VLOOKUP(A2004,[4]Piece!$E:$G,3,FALSE)</f>
        <v>#N/A</v>
      </c>
      <c r="V2004" s="21" t="e">
        <f t="shared" si="126"/>
        <v>#N/A</v>
      </c>
      <c r="W2004" s="16" t="e">
        <f t="shared" si="127"/>
        <v>#N/A</v>
      </c>
    </row>
    <row r="2005" spans="1:23" hidden="1" x14ac:dyDescent="0.3">
      <c r="A2005" s="71" t="s">
        <v>3946</v>
      </c>
      <c r="B2005" s="71" t="s">
        <v>3946</v>
      </c>
      <c r="C2005" s="47" t="s">
        <v>33</v>
      </c>
      <c r="D2005" s="48" t="s">
        <v>34</v>
      </c>
      <c r="E2005" s="18" t="s">
        <v>3947</v>
      </c>
      <c r="F2005" s="24" t="str">
        <f t="shared" si="124"/>
        <v>PPG - QTECH DRAIN TUBE   QP00014A   QP021</v>
      </c>
      <c r="G2005" s="20" t="s">
        <v>6875</v>
      </c>
      <c r="H2005" s="49" t="s">
        <v>213</v>
      </c>
      <c r="I2005" s="18" t="s">
        <v>37</v>
      </c>
      <c r="J2005" s="18" t="s">
        <v>38</v>
      </c>
      <c r="K2005" t="s">
        <v>39</v>
      </c>
      <c r="L2005" s="50">
        <f>VLOOKUP(A2005,'[3]Price info'!A:D,4,FALSE)</f>
        <v>16.73</v>
      </c>
      <c r="M2005" s="18" t="s">
        <v>214</v>
      </c>
      <c r="N2005" s="20">
        <v>3105</v>
      </c>
      <c r="P2005" s="16">
        <f>VLOOKUP(A2005,'[3]Price info'!A:H,8,FALSE)</f>
        <v>16.73</v>
      </c>
      <c r="Q2005" s="17">
        <f t="shared" si="125"/>
        <v>1</v>
      </c>
      <c r="S2005" s="16" t="e">
        <f>VLOOKUP(A2005,[4]Sales!$E:$G,3,FALSE)</f>
        <v>#N/A</v>
      </c>
      <c r="T2005" s="19" t="e">
        <f>VLOOKUP(A2005,[4]Volume!$E:$G,3,FALSE)</f>
        <v>#N/A</v>
      </c>
      <c r="U2005" s="19" t="e">
        <f>VLOOKUP(A2005,[4]Piece!$E:$G,3,FALSE)</f>
        <v>#N/A</v>
      </c>
      <c r="V2005" s="21" t="e">
        <f t="shared" si="126"/>
        <v>#N/A</v>
      </c>
      <c r="W2005" s="16" t="e">
        <f t="shared" si="127"/>
        <v>#N/A</v>
      </c>
    </row>
    <row r="2006" spans="1:23" hidden="1" x14ac:dyDescent="0.3">
      <c r="A2006" s="71" t="s">
        <v>3948</v>
      </c>
      <c r="B2006" s="71" t="s">
        <v>3948</v>
      </c>
      <c r="C2006" s="51" t="s">
        <v>33</v>
      </c>
      <c r="D2006" s="48" t="s">
        <v>34</v>
      </c>
      <c r="E2006" s="18" t="s">
        <v>3949</v>
      </c>
      <c r="F2006" s="24" t="str">
        <f t="shared" si="124"/>
        <v>PPG - QTECH GRAVITY GUN  10-1051    HVLP</v>
      </c>
      <c r="G2006" s="20" t="s">
        <v>6876</v>
      </c>
      <c r="H2006" s="49" t="s">
        <v>213</v>
      </c>
      <c r="I2006" s="18" t="s">
        <v>37</v>
      </c>
      <c r="J2006" s="18" t="s">
        <v>38</v>
      </c>
      <c r="K2006" t="s">
        <v>39</v>
      </c>
      <c r="L2006" s="50">
        <f>VLOOKUP(A2006,'[3]Price info'!A:D,4,FALSE)</f>
        <v>336.78</v>
      </c>
      <c r="M2006" s="18" t="s">
        <v>214</v>
      </c>
      <c r="N2006" s="20">
        <v>3105</v>
      </c>
      <c r="P2006" s="16">
        <f>VLOOKUP(A2006,'[3]Price info'!A:H,8,FALSE)</f>
        <v>336.78</v>
      </c>
      <c r="Q2006" s="17">
        <f t="shared" si="125"/>
        <v>1</v>
      </c>
      <c r="S2006" s="16" t="e">
        <f>VLOOKUP(A2006,[4]Sales!$E:$G,3,FALSE)</f>
        <v>#N/A</v>
      </c>
      <c r="T2006" s="19" t="e">
        <f>VLOOKUP(A2006,[4]Volume!$E:$G,3,FALSE)</f>
        <v>#N/A</v>
      </c>
      <c r="U2006" s="19" t="e">
        <f>VLOOKUP(A2006,[4]Piece!$E:$G,3,FALSE)</f>
        <v>#N/A</v>
      </c>
      <c r="V2006" s="21" t="e">
        <f t="shared" si="126"/>
        <v>#N/A</v>
      </c>
      <c r="W2006" s="16" t="e">
        <f t="shared" si="127"/>
        <v>#N/A</v>
      </c>
    </row>
    <row r="2007" spans="1:23" hidden="1" x14ac:dyDescent="0.3">
      <c r="A2007" s="71" t="s">
        <v>3950</v>
      </c>
      <c r="B2007" s="71" t="s">
        <v>3950</v>
      </c>
      <c r="C2007" s="47" t="s">
        <v>33</v>
      </c>
      <c r="D2007" s="48" t="s">
        <v>34</v>
      </c>
      <c r="E2007" s="18" t="s">
        <v>3951</v>
      </c>
      <c r="F2007" s="24" t="str">
        <f t="shared" si="124"/>
        <v>PPG - QTECH HOSE 3/8" X  15M ASSEML 63815FFTD</v>
      </c>
      <c r="G2007" s="20" t="s">
        <v>6877</v>
      </c>
      <c r="H2007" s="49" t="s">
        <v>213</v>
      </c>
      <c r="I2007" s="18" t="s">
        <v>37</v>
      </c>
      <c r="J2007" s="18" t="s">
        <v>38</v>
      </c>
      <c r="K2007" t="s">
        <v>39</v>
      </c>
      <c r="L2007" s="50">
        <f>VLOOKUP(A2007,'[3]Price info'!A:D,4,FALSE)</f>
        <v>129.49</v>
      </c>
      <c r="M2007" s="18" t="s">
        <v>214</v>
      </c>
      <c r="N2007" s="20">
        <v>3105</v>
      </c>
      <c r="P2007" s="16">
        <f>VLOOKUP(A2007,'[3]Price info'!A:H,8,FALSE)</f>
        <v>129.49</v>
      </c>
      <c r="Q2007" s="17">
        <f t="shared" si="125"/>
        <v>1</v>
      </c>
      <c r="S2007" s="16" t="e">
        <f>VLOOKUP(A2007,[4]Sales!$E:$G,3,FALSE)</f>
        <v>#N/A</v>
      </c>
      <c r="T2007" s="19" t="e">
        <f>VLOOKUP(A2007,[4]Volume!$E:$G,3,FALSE)</f>
        <v>#N/A</v>
      </c>
      <c r="U2007" s="19" t="e">
        <f>VLOOKUP(A2007,[4]Piece!$E:$G,3,FALSE)</f>
        <v>#N/A</v>
      </c>
      <c r="V2007" s="21" t="e">
        <f t="shared" si="126"/>
        <v>#N/A</v>
      </c>
      <c r="W2007" s="16" t="e">
        <f t="shared" si="127"/>
        <v>#N/A</v>
      </c>
    </row>
    <row r="2008" spans="1:23" hidden="1" x14ac:dyDescent="0.3">
      <c r="A2008" s="71" t="s">
        <v>3952</v>
      </c>
      <c r="B2008" s="71" t="s">
        <v>3952</v>
      </c>
      <c r="C2008" s="47" t="s">
        <v>33</v>
      </c>
      <c r="D2008" s="48" t="s">
        <v>34</v>
      </c>
      <c r="E2008" s="18" t="s">
        <v>3953</v>
      </c>
      <c r="F2008" s="24" t="str">
        <f t="shared" si="124"/>
        <v>PPG - QTECH HVLP 110V GG 10-1004    QTECH3</v>
      </c>
      <c r="G2008" s="20" t="s">
        <v>6878</v>
      </c>
      <c r="H2008" s="49" t="s">
        <v>213</v>
      </c>
      <c r="I2008" s="18" t="s">
        <v>37</v>
      </c>
      <c r="J2008" s="18" t="s">
        <v>38</v>
      </c>
      <c r="K2008" t="s">
        <v>39</v>
      </c>
      <c r="L2008" s="50">
        <f>VLOOKUP(A2008,'[3]Price info'!A:D,4,FALSE)</f>
        <v>739.44</v>
      </c>
      <c r="M2008" s="18" t="s">
        <v>214</v>
      </c>
      <c r="N2008" s="20">
        <v>3105</v>
      </c>
      <c r="P2008" s="16">
        <f>VLOOKUP(A2008,'[3]Price info'!A:H,8,FALSE)</f>
        <v>739.44</v>
      </c>
      <c r="Q2008" s="17">
        <f t="shared" si="125"/>
        <v>1</v>
      </c>
      <c r="S2008" s="16" t="e">
        <f>VLOOKUP(A2008,[4]Sales!$E:$G,3,FALSE)</f>
        <v>#N/A</v>
      </c>
      <c r="T2008" s="19" t="e">
        <f>VLOOKUP(A2008,[4]Volume!$E:$G,3,FALSE)</f>
        <v>#N/A</v>
      </c>
      <c r="U2008" s="19" t="e">
        <f>VLOOKUP(A2008,[4]Piece!$E:$G,3,FALSE)</f>
        <v>#N/A</v>
      </c>
      <c r="V2008" s="21" t="e">
        <f t="shared" si="126"/>
        <v>#N/A</v>
      </c>
      <c r="W2008" s="16" t="e">
        <f t="shared" si="127"/>
        <v>#N/A</v>
      </c>
    </row>
    <row r="2009" spans="1:23" hidden="1" x14ac:dyDescent="0.3">
      <c r="A2009" s="71" t="s">
        <v>3954</v>
      </c>
      <c r="B2009" s="71" t="s">
        <v>3954</v>
      </c>
      <c r="C2009" s="51" t="s">
        <v>33</v>
      </c>
      <c r="D2009" s="48" t="s">
        <v>34</v>
      </c>
      <c r="E2009" s="18" t="s">
        <v>3955</v>
      </c>
      <c r="F2009" s="24" t="str">
        <f t="shared" si="124"/>
        <v>PPG - QTECH HVLP 110V GG 10-1012    QTECH5</v>
      </c>
      <c r="G2009" s="20" t="s">
        <v>6879</v>
      </c>
      <c r="H2009" s="49" t="s">
        <v>213</v>
      </c>
      <c r="I2009" s="18" t="s">
        <v>37</v>
      </c>
      <c r="J2009" s="18" t="s">
        <v>38</v>
      </c>
      <c r="K2009" t="s">
        <v>39</v>
      </c>
      <c r="L2009" s="50">
        <f>VLOOKUP(A2009,'[3]Price info'!A:D,4,FALSE)</f>
        <v>1151</v>
      </c>
      <c r="M2009" s="18" t="s">
        <v>214</v>
      </c>
      <c r="N2009" s="20">
        <v>3105</v>
      </c>
      <c r="P2009" s="16">
        <f>VLOOKUP(A2009,'[3]Price info'!A:H,8,FALSE)</f>
        <v>1151</v>
      </c>
      <c r="Q2009" s="17">
        <f t="shared" si="125"/>
        <v>1</v>
      </c>
      <c r="S2009" s="16" t="e">
        <f>VLOOKUP(A2009,[4]Sales!$E:$G,3,FALSE)</f>
        <v>#N/A</v>
      </c>
      <c r="T2009" s="19" t="e">
        <f>VLOOKUP(A2009,[4]Volume!$E:$G,3,FALSE)</f>
        <v>#N/A</v>
      </c>
      <c r="U2009" s="19" t="e">
        <f>VLOOKUP(A2009,[4]Piece!$E:$G,3,FALSE)</f>
        <v>#N/A</v>
      </c>
      <c r="V2009" s="21" t="e">
        <f t="shared" si="126"/>
        <v>#N/A</v>
      </c>
      <c r="W2009" s="16" t="e">
        <f t="shared" si="127"/>
        <v>#N/A</v>
      </c>
    </row>
    <row r="2010" spans="1:23" hidden="1" x14ac:dyDescent="0.3">
      <c r="A2010" s="71" t="s">
        <v>3956</v>
      </c>
      <c r="B2010" s="71" t="s">
        <v>3956</v>
      </c>
      <c r="C2010" s="47" t="s">
        <v>33</v>
      </c>
      <c r="D2010" s="48" t="s">
        <v>34</v>
      </c>
      <c r="E2010" s="18" t="s">
        <v>3957</v>
      </c>
      <c r="F2010" s="24" t="str">
        <f t="shared" si="124"/>
        <v>PPG - QTECH HVLP 110V SG 10-1000    QTECH3</v>
      </c>
      <c r="G2010" s="20" t="s">
        <v>6880</v>
      </c>
      <c r="H2010" s="49" t="s">
        <v>213</v>
      </c>
      <c r="I2010" s="18" t="s">
        <v>37</v>
      </c>
      <c r="J2010" s="18" t="s">
        <v>38</v>
      </c>
      <c r="K2010" t="s">
        <v>39</v>
      </c>
      <c r="L2010" s="50">
        <f>VLOOKUP(A2010,'[3]Price info'!A:D,4,FALSE)</f>
        <v>739.44</v>
      </c>
      <c r="M2010" s="18" t="s">
        <v>214</v>
      </c>
      <c r="N2010" s="20">
        <v>3105</v>
      </c>
      <c r="P2010" s="16">
        <f>VLOOKUP(A2010,'[3]Price info'!A:H,8,FALSE)</f>
        <v>739.44</v>
      </c>
      <c r="Q2010" s="17">
        <f t="shared" si="125"/>
        <v>1</v>
      </c>
      <c r="S2010" s="16" t="e">
        <f>VLOOKUP(A2010,[4]Sales!$E:$G,3,FALSE)</f>
        <v>#N/A</v>
      </c>
      <c r="T2010" s="19" t="e">
        <f>VLOOKUP(A2010,[4]Volume!$E:$G,3,FALSE)</f>
        <v>#N/A</v>
      </c>
      <c r="U2010" s="19" t="e">
        <f>VLOOKUP(A2010,[4]Piece!$E:$G,3,FALSE)</f>
        <v>#N/A</v>
      </c>
      <c r="V2010" s="21" t="e">
        <f t="shared" si="126"/>
        <v>#N/A</v>
      </c>
      <c r="W2010" s="16" t="e">
        <f t="shared" si="127"/>
        <v>#N/A</v>
      </c>
    </row>
    <row r="2011" spans="1:23" hidden="1" x14ac:dyDescent="0.3">
      <c r="A2011" s="71" t="s">
        <v>3958</v>
      </c>
      <c r="B2011" s="71" t="s">
        <v>3958</v>
      </c>
      <c r="C2011" s="47" t="s">
        <v>33</v>
      </c>
      <c r="D2011" s="48" t="s">
        <v>34</v>
      </c>
      <c r="E2011" s="18" t="s">
        <v>3959</v>
      </c>
      <c r="F2011" s="24" t="str">
        <f t="shared" si="124"/>
        <v>PPG - QTECH HVLP 110V SG 10-1008    QTECH5</v>
      </c>
      <c r="G2011" s="20" t="s">
        <v>6881</v>
      </c>
      <c r="H2011" s="49" t="s">
        <v>213</v>
      </c>
      <c r="I2011" s="18" t="s">
        <v>37</v>
      </c>
      <c r="J2011" s="18" t="s">
        <v>38</v>
      </c>
      <c r="K2011" t="s">
        <v>39</v>
      </c>
      <c r="L2011" s="50">
        <f>VLOOKUP(A2011,'[3]Price info'!A:D,4,FALSE)</f>
        <v>1151</v>
      </c>
      <c r="M2011" s="18" t="s">
        <v>214</v>
      </c>
      <c r="N2011" s="20">
        <v>3105</v>
      </c>
      <c r="P2011" s="16">
        <f>VLOOKUP(A2011,'[3]Price info'!A:H,8,FALSE)</f>
        <v>1151</v>
      </c>
      <c r="Q2011" s="17">
        <f t="shared" si="125"/>
        <v>1</v>
      </c>
      <c r="S2011" s="16" t="e">
        <f>VLOOKUP(A2011,[4]Sales!$E:$G,3,FALSE)</f>
        <v>#N/A</v>
      </c>
      <c r="T2011" s="19" t="e">
        <f>VLOOKUP(A2011,[4]Volume!$E:$G,3,FALSE)</f>
        <v>#N/A</v>
      </c>
      <c r="U2011" s="19" t="e">
        <f>VLOOKUP(A2011,[4]Piece!$E:$G,3,FALSE)</f>
        <v>#N/A</v>
      </c>
      <c r="V2011" s="21" t="e">
        <f t="shared" si="126"/>
        <v>#N/A</v>
      </c>
      <c r="W2011" s="16" t="e">
        <f t="shared" si="127"/>
        <v>#N/A</v>
      </c>
    </row>
    <row r="2012" spans="1:23" hidden="1" x14ac:dyDescent="0.3">
      <c r="A2012" s="71" t="s">
        <v>3960</v>
      </c>
      <c r="B2012" s="71" t="s">
        <v>3960</v>
      </c>
      <c r="C2012" s="51" t="s">
        <v>33</v>
      </c>
      <c r="D2012" s="48" t="s">
        <v>34</v>
      </c>
      <c r="E2012" s="18" t="s">
        <v>3961</v>
      </c>
      <c r="F2012" s="24" t="str">
        <f t="shared" si="124"/>
        <v>PPG - QTECH HVLP 240V GG 10-1013    QTECH5</v>
      </c>
      <c r="G2012" s="20" t="s">
        <v>6882</v>
      </c>
      <c r="H2012" s="49" t="s">
        <v>213</v>
      </c>
      <c r="I2012" s="18" t="s">
        <v>37</v>
      </c>
      <c r="J2012" s="18" t="s">
        <v>38</v>
      </c>
      <c r="K2012" t="s">
        <v>39</v>
      </c>
      <c r="L2012" s="50">
        <f>VLOOKUP(A2012,'[3]Price info'!A:D,4,FALSE)</f>
        <v>1151</v>
      </c>
      <c r="M2012" s="18" t="s">
        <v>214</v>
      </c>
      <c r="N2012" s="20">
        <v>3105</v>
      </c>
      <c r="P2012" s="16">
        <f>VLOOKUP(A2012,'[3]Price info'!A:H,8,FALSE)</f>
        <v>1151</v>
      </c>
      <c r="Q2012" s="17">
        <f t="shared" si="125"/>
        <v>1</v>
      </c>
      <c r="S2012" s="16" t="e">
        <f>VLOOKUP(A2012,[4]Sales!$E:$G,3,FALSE)</f>
        <v>#N/A</v>
      </c>
      <c r="T2012" s="19" t="e">
        <f>VLOOKUP(A2012,[4]Volume!$E:$G,3,FALSE)</f>
        <v>#N/A</v>
      </c>
      <c r="U2012" s="19" t="e">
        <f>VLOOKUP(A2012,[4]Piece!$E:$G,3,FALSE)</f>
        <v>#N/A</v>
      </c>
      <c r="V2012" s="21" t="e">
        <f t="shared" si="126"/>
        <v>#N/A</v>
      </c>
      <c r="W2012" s="16" t="e">
        <f t="shared" si="127"/>
        <v>#N/A</v>
      </c>
    </row>
    <row r="2013" spans="1:23" hidden="1" x14ac:dyDescent="0.3">
      <c r="A2013" s="71" t="s">
        <v>3962</v>
      </c>
      <c r="B2013" s="71" t="s">
        <v>3962</v>
      </c>
      <c r="C2013" s="47" t="s">
        <v>33</v>
      </c>
      <c r="D2013" s="48" t="s">
        <v>34</v>
      </c>
      <c r="E2013" s="18" t="s">
        <v>3963</v>
      </c>
      <c r="F2013" s="24" t="str">
        <f t="shared" si="124"/>
        <v>PPG - QTECH HVLP 240V SG 10-1009    QTECH5</v>
      </c>
      <c r="G2013" s="20" t="s">
        <v>6883</v>
      </c>
      <c r="H2013" s="49" t="s">
        <v>213</v>
      </c>
      <c r="I2013" s="18" t="s">
        <v>37</v>
      </c>
      <c r="J2013" s="18" t="s">
        <v>38</v>
      </c>
      <c r="K2013" t="s">
        <v>39</v>
      </c>
      <c r="L2013" s="50">
        <f>VLOOKUP(A2013,'[3]Price info'!A:D,4,FALSE)</f>
        <v>974.48</v>
      </c>
      <c r="M2013" s="18" t="s">
        <v>214</v>
      </c>
      <c r="N2013" s="20">
        <v>3105</v>
      </c>
      <c r="P2013" s="16">
        <f>VLOOKUP(A2013,'[3]Price info'!A:H,8,FALSE)</f>
        <v>974.48</v>
      </c>
      <c r="Q2013" s="17">
        <f t="shared" si="125"/>
        <v>1</v>
      </c>
      <c r="S2013" s="16" t="e">
        <f>VLOOKUP(A2013,[4]Sales!$E:$G,3,FALSE)</f>
        <v>#N/A</v>
      </c>
      <c r="T2013" s="19" t="e">
        <f>VLOOKUP(A2013,[4]Volume!$E:$G,3,FALSE)</f>
        <v>#N/A</v>
      </c>
      <c r="U2013" s="19" t="e">
        <f>VLOOKUP(A2013,[4]Piece!$E:$G,3,FALSE)</f>
        <v>#N/A</v>
      </c>
      <c r="V2013" s="21" t="e">
        <f t="shared" si="126"/>
        <v>#N/A</v>
      </c>
      <c r="W2013" s="16" t="e">
        <f t="shared" si="127"/>
        <v>#N/A</v>
      </c>
    </row>
    <row r="2014" spans="1:23" hidden="1" x14ac:dyDescent="0.3">
      <c r="A2014" s="71" t="s">
        <v>3964</v>
      </c>
      <c r="B2014" s="71" t="s">
        <v>3964</v>
      </c>
      <c r="C2014" s="47" t="s">
        <v>33</v>
      </c>
      <c r="D2014" s="48" t="s">
        <v>34</v>
      </c>
      <c r="E2014" s="18" t="s">
        <v>3965</v>
      </c>
      <c r="F2014" s="24" t="str">
        <f t="shared" si="124"/>
        <v>PPG - QTECH HVLP NDL NOZ #4 1.5MM   10-2026</v>
      </c>
      <c r="G2014" s="20" t="s">
        <v>6884</v>
      </c>
      <c r="H2014" s="49" t="s">
        <v>213</v>
      </c>
      <c r="I2014" s="18" t="s">
        <v>37</v>
      </c>
      <c r="J2014" s="18" t="s">
        <v>38</v>
      </c>
      <c r="K2014" t="s">
        <v>39</v>
      </c>
      <c r="L2014" s="50">
        <f>VLOOKUP(A2014,'[3]Price info'!A:D,4,FALSE)</f>
        <v>81.81</v>
      </c>
      <c r="M2014" s="18" t="s">
        <v>214</v>
      </c>
      <c r="N2014" s="20">
        <v>3105</v>
      </c>
      <c r="P2014" s="16">
        <f>VLOOKUP(A2014,'[3]Price info'!A:H,8,FALSE)</f>
        <v>81.81</v>
      </c>
      <c r="Q2014" s="17">
        <f t="shared" si="125"/>
        <v>1</v>
      </c>
      <c r="S2014" s="16" t="e">
        <f>VLOOKUP(A2014,[4]Sales!$E:$G,3,FALSE)</f>
        <v>#N/A</v>
      </c>
      <c r="T2014" s="19" t="e">
        <f>VLOOKUP(A2014,[4]Volume!$E:$G,3,FALSE)</f>
        <v>#N/A</v>
      </c>
      <c r="U2014" s="19" t="e">
        <f>VLOOKUP(A2014,[4]Piece!$E:$G,3,FALSE)</f>
        <v>#N/A</v>
      </c>
      <c r="V2014" s="21" t="e">
        <f t="shared" si="126"/>
        <v>#N/A</v>
      </c>
      <c r="W2014" s="16" t="e">
        <f t="shared" si="127"/>
        <v>#N/A</v>
      </c>
    </row>
    <row r="2015" spans="1:23" hidden="1" x14ac:dyDescent="0.3">
      <c r="A2015" s="71" t="s">
        <v>3966</v>
      </c>
      <c r="B2015" s="71" t="s">
        <v>3966</v>
      </c>
      <c r="C2015" s="51" t="s">
        <v>33</v>
      </c>
      <c r="D2015" s="48" t="s">
        <v>34</v>
      </c>
      <c r="E2015" s="18" t="s">
        <v>3967</v>
      </c>
      <c r="F2015" s="24" t="str">
        <f t="shared" si="124"/>
        <v>PPG - QTECH HVLP NDL NOZ #5 1.8MM   10-2027</v>
      </c>
      <c r="G2015" s="20" t="s">
        <v>6885</v>
      </c>
      <c r="H2015" s="49" t="s">
        <v>213</v>
      </c>
      <c r="I2015" s="18" t="s">
        <v>37</v>
      </c>
      <c r="J2015" s="18" t="s">
        <v>38</v>
      </c>
      <c r="K2015" t="s">
        <v>39</v>
      </c>
      <c r="L2015" s="50">
        <f>VLOOKUP(A2015,'[3]Price info'!A:D,4,FALSE)</f>
        <v>81.81</v>
      </c>
      <c r="M2015" s="18" t="s">
        <v>214</v>
      </c>
      <c r="N2015" s="20">
        <v>3105</v>
      </c>
      <c r="P2015" s="16">
        <f>VLOOKUP(A2015,'[3]Price info'!A:H,8,FALSE)</f>
        <v>81.81</v>
      </c>
      <c r="Q2015" s="17">
        <f t="shared" si="125"/>
        <v>1</v>
      </c>
      <c r="S2015" s="16" t="e">
        <f>VLOOKUP(A2015,[4]Sales!$E:$G,3,FALSE)</f>
        <v>#N/A</v>
      </c>
      <c r="T2015" s="19" t="e">
        <f>VLOOKUP(A2015,[4]Volume!$E:$G,3,FALSE)</f>
        <v>#N/A</v>
      </c>
      <c r="U2015" s="19" t="e">
        <f>VLOOKUP(A2015,[4]Piece!$E:$G,3,FALSE)</f>
        <v>#N/A</v>
      </c>
      <c r="V2015" s="21" t="e">
        <f t="shared" si="126"/>
        <v>#N/A</v>
      </c>
      <c r="W2015" s="16" t="e">
        <f t="shared" si="127"/>
        <v>#N/A</v>
      </c>
    </row>
    <row r="2016" spans="1:23" hidden="1" x14ac:dyDescent="0.3">
      <c r="A2016" s="71" t="s">
        <v>3968</v>
      </c>
      <c r="B2016" s="71" t="s">
        <v>3968</v>
      </c>
      <c r="C2016" s="47" t="s">
        <v>33</v>
      </c>
      <c r="D2016" s="48" t="s">
        <v>34</v>
      </c>
      <c r="E2016" s="18" t="s">
        <v>3969</v>
      </c>
      <c r="F2016" s="24" t="str">
        <f t="shared" si="124"/>
        <v>PPG - QTECH HVLP NYLON   STRAINER   10-2059</v>
      </c>
      <c r="G2016" s="20" t="s">
        <v>6886</v>
      </c>
      <c r="H2016" s="49" t="s">
        <v>213</v>
      </c>
      <c r="I2016" s="18" t="s">
        <v>37</v>
      </c>
      <c r="J2016" s="18" t="s">
        <v>38</v>
      </c>
      <c r="K2016" t="s">
        <v>39</v>
      </c>
      <c r="L2016" s="50">
        <f>VLOOKUP(A2016,'[3]Price info'!A:D,4,FALSE)</f>
        <v>12.61</v>
      </c>
      <c r="M2016" s="18" t="s">
        <v>214</v>
      </c>
      <c r="N2016" s="20">
        <v>3105</v>
      </c>
      <c r="P2016" s="16">
        <f>VLOOKUP(A2016,'[3]Price info'!A:H,8,FALSE)</f>
        <v>12.61</v>
      </c>
      <c r="Q2016" s="17">
        <f t="shared" si="125"/>
        <v>1</v>
      </c>
      <c r="S2016" s="16" t="e">
        <f>VLOOKUP(A2016,[4]Sales!$E:$G,3,FALSE)</f>
        <v>#N/A</v>
      </c>
      <c r="T2016" s="19" t="e">
        <f>VLOOKUP(A2016,[4]Volume!$E:$G,3,FALSE)</f>
        <v>#N/A</v>
      </c>
      <c r="U2016" s="19" t="e">
        <f>VLOOKUP(A2016,[4]Piece!$E:$G,3,FALSE)</f>
        <v>#N/A</v>
      </c>
      <c r="V2016" s="21" t="e">
        <f t="shared" si="126"/>
        <v>#N/A</v>
      </c>
      <c r="W2016" s="16" t="e">
        <f t="shared" si="127"/>
        <v>#N/A</v>
      </c>
    </row>
    <row r="2017" spans="1:23" hidden="1" x14ac:dyDescent="0.3">
      <c r="A2017" s="71" t="s">
        <v>3970</v>
      </c>
      <c r="B2017" s="71" t="s">
        <v>3970</v>
      </c>
      <c r="C2017" s="47" t="s">
        <v>33</v>
      </c>
      <c r="D2017" s="48" t="s">
        <v>34</v>
      </c>
      <c r="E2017" s="18" t="s">
        <v>3971</v>
      </c>
      <c r="F2017" s="24" t="str">
        <f t="shared" si="124"/>
        <v>PPG - QTECH HVLP REMOTE  POT 2LT    10-2036</v>
      </c>
      <c r="G2017" s="20" t="s">
        <v>6887</v>
      </c>
      <c r="H2017" s="49" t="s">
        <v>213</v>
      </c>
      <c r="I2017" s="18" t="s">
        <v>37</v>
      </c>
      <c r="J2017" s="18" t="s">
        <v>38</v>
      </c>
      <c r="K2017" t="s">
        <v>39</v>
      </c>
      <c r="L2017" s="50">
        <f>VLOOKUP(A2017,'[3]Price info'!A:D,4,FALSE)</f>
        <v>236.59</v>
      </c>
      <c r="M2017" s="18" t="s">
        <v>214</v>
      </c>
      <c r="N2017" s="20">
        <v>3105</v>
      </c>
      <c r="P2017" s="16">
        <f>VLOOKUP(A2017,'[3]Price info'!A:H,8,FALSE)</f>
        <v>236.59</v>
      </c>
      <c r="Q2017" s="17">
        <f t="shared" si="125"/>
        <v>1</v>
      </c>
      <c r="S2017" s="16" t="e">
        <f>VLOOKUP(A2017,[4]Sales!$E:$G,3,FALSE)</f>
        <v>#N/A</v>
      </c>
      <c r="T2017" s="19" t="e">
        <f>VLOOKUP(A2017,[4]Volume!$E:$G,3,FALSE)</f>
        <v>#N/A</v>
      </c>
      <c r="U2017" s="19" t="e">
        <f>VLOOKUP(A2017,[4]Piece!$E:$G,3,FALSE)</f>
        <v>#N/A</v>
      </c>
      <c r="V2017" s="21" t="e">
        <f t="shared" si="126"/>
        <v>#N/A</v>
      </c>
      <c r="W2017" s="16" t="e">
        <f t="shared" si="127"/>
        <v>#N/A</v>
      </c>
    </row>
    <row r="2018" spans="1:23" hidden="1" x14ac:dyDescent="0.3">
      <c r="A2018" s="71" t="s">
        <v>3972</v>
      </c>
      <c r="B2018" s="71" t="s">
        <v>3972</v>
      </c>
      <c r="C2018" s="51" t="s">
        <v>33</v>
      </c>
      <c r="D2018" s="48" t="s">
        <v>34</v>
      </c>
      <c r="E2018" s="18" t="s">
        <v>3973</v>
      </c>
      <c r="F2018" s="24" t="str">
        <f t="shared" si="124"/>
        <v>PPG - QTECH HVLP SG      CLEAN KIT  10-2020</v>
      </c>
      <c r="G2018" s="20" t="s">
        <v>6888</v>
      </c>
      <c r="H2018" s="49" t="s">
        <v>213</v>
      </c>
      <c r="I2018" s="18" t="s">
        <v>37</v>
      </c>
      <c r="J2018" s="18" t="s">
        <v>38</v>
      </c>
      <c r="K2018" t="s">
        <v>39</v>
      </c>
      <c r="L2018" s="50">
        <f>VLOOKUP(A2018,'[3]Price info'!A:D,4,FALSE)</f>
        <v>42.41</v>
      </c>
      <c r="M2018" s="18" t="s">
        <v>214</v>
      </c>
      <c r="N2018" s="20">
        <v>3105</v>
      </c>
      <c r="P2018" s="16">
        <f>VLOOKUP(A2018,'[3]Price info'!A:H,8,FALSE)</f>
        <v>42.41</v>
      </c>
      <c r="Q2018" s="17">
        <f t="shared" si="125"/>
        <v>1</v>
      </c>
      <c r="S2018" s="16" t="e">
        <f>VLOOKUP(A2018,[4]Sales!$E:$G,3,FALSE)</f>
        <v>#N/A</v>
      </c>
      <c r="T2018" s="19" t="e">
        <f>VLOOKUP(A2018,[4]Volume!$E:$G,3,FALSE)</f>
        <v>#N/A</v>
      </c>
      <c r="U2018" s="19" t="e">
        <f>VLOOKUP(A2018,[4]Piece!$E:$G,3,FALSE)</f>
        <v>#N/A</v>
      </c>
      <c r="V2018" s="21" t="e">
        <f t="shared" si="126"/>
        <v>#N/A</v>
      </c>
      <c r="W2018" s="16" t="e">
        <f t="shared" si="127"/>
        <v>#N/A</v>
      </c>
    </row>
    <row r="2019" spans="1:23" hidden="1" x14ac:dyDescent="0.3">
      <c r="A2019" s="71" t="s">
        <v>3974</v>
      </c>
      <c r="B2019" s="71" t="s">
        <v>3974</v>
      </c>
      <c r="C2019" s="47" t="s">
        <v>33</v>
      </c>
      <c r="D2019" s="48" t="s">
        <v>34</v>
      </c>
      <c r="E2019" s="18" t="s">
        <v>3975</v>
      </c>
      <c r="F2019" s="24" t="str">
        <f t="shared" si="124"/>
        <v>PPG - QTECH HVLP TUR GUN PAT ADJ AS QTG-6A QT3</v>
      </c>
      <c r="G2019" s="20" t="s">
        <v>6889</v>
      </c>
      <c r="H2019" s="49" t="s">
        <v>213</v>
      </c>
      <c r="I2019" s="18" t="s">
        <v>37</v>
      </c>
      <c r="J2019" s="18" t="s">
        <v>38</v>
      </c>
      <c r="K2019" t="s">
        <v>39</v>
      </c>
      <c r="L2019" s="50">
        <f>VLOOKUP(A2019,'[3]Price info'!A:D,4,FALSE)</f>
        <v>13.65</v>
      </c>
      <c r="M2019" s="18" t="s">
        <v>214</v>
      </c>
      <c r="N2019" s="20">
        <v>3105</v>
      </c>
      <c r="P2019" s="16">
        <f>VLOOKUP(A2019,'[3]Price info'!A:H,8,FALSE)</f>
        <v>13.65</v>
      </c>
      <c r="Q2019" s="17">
        <f t="shared" si="125"/>
        <v>1</v>
      </c>
      <c r="S2019" s="16" t="e">
        <f>VLOOKUP(A2019,[4]Sales!$E:$G,3,FALSE)</f>
        <v>#N/A</v>
      </c>
      <c r="T2019" s="19" t="e">
        <f>VLOOKUP(A2019,[4]Volume!$E:$G,3,FALSE)</f>
        <v>#N/A</v>
      </c>
      <c r="U2019" s="19" t="e">
        <f>VLOOKUP(A2019,[4]Piece!$E:$G,3,FALSE)</f>
        <v>#N/A</v>
      </c>
      <c r="V2019" s="21" t="e">
        <f t="shared" si="126"/>
        <v>#N/A</v>
      </c>
      <c r="W2019" s="16" t="e">
        <f t="shared" si="127"/>
        <v>#N/A</v>
      </c>
    </row>
    <row r="2020" spans="1:23" hidden="1" x14ac:dyDescent="0.3">
      <c r="A2020" s="71" t="s">
        <v>3976</v>
      </c>
      <c r="B2020" s="71" t="s">
        <v>3976</v>
      </c>
      <c r="C2020" s="47" t="s">
        <v>33</v>
      </c>
      <c r="D2020" s="48" t="s">
        <v>34</v>
      </c>
      <c r="E2020" s="18" t="s">
        <v>3977</v>
      </c>
      <c r="F2020" s="24" t="str">
        <f t="shared" si="124"/>
        <v>PPG - QTECH HVLP TUR GUN VENT TU AS QTG-33 QT3</v>
      </c>
      <c r="G2020" s="20" t="s">
        <v>6890</v>
      </c>
      <c r="H2020" s="49" t="s">
        <v>213</v>
      </c>
      <c r="I2020" s="18" t="s">
        <v>37</v>
      </c>
      <c r="J2020" s="18" t="s">
        <v>38</v>
      </c>
      <c r="K2020" t="s">
        <v>39</v>
      </c>
      <c r="L2020" s="50">
        <f>VLOOKUP(A2020,'[3]Price info'!A:D,4,FALSE)</f>
        <v>10.59</v>
      </c>
      <c r="M2020" s="18" t="s">
        <v>214</v>
      </c>
      <c r="N2020" s="20">
        <v>3105</v>
      </c>
      <c r="P2020" s="16">
        <f>VLOOKUP(A2020,'[3]Price info'!A:H,8,FALSE)</f>
        <v>10.59</v>
      </c>
      <c r="Q2020" s="17">
        <f t="shared" si="125"/>
        <v>1</v>
      </c>
      <c r="S2020" s="16" t="e">
        <f>VLOOKUP(A2020,[4]Sales!$E:$G,3,FALSE)</f>
        <v>#N/A</v>
      </c>
      <c r="T2020" s="19" t="e">
        <f>VLOOKUP(A2020,[4]Volume!$E:$G,3,FALSE)</f>
        <v>#N/A</v>
      </c>
      <c r="U2020" s="19" t="e">
        <f>VLOOKUP(A2020,[4]Piece!$E:$G,3,FALSE)</f>
        <v>#N/A</v>
      </c>
      <c r="V2020" s="21" t="e">
        <f t="shared" si="126"/>
        <v>#N/A</v>
      </c>
      <c r="W2020" s="16" t="e">
        <f t="shared" si="127"/>
        <v>#N/A</v>
      </c>
    </row>
    <row r="2021" spans="1:23" hidden="1" x14ac:dyDescent="0.3">
      <c r="A2021" s="71" t="s">
        <v>3978</v>
      </c>
      <c r="B2021" s="71" t="s">
        <v>3978</v>
      </c>
      <c r="C2021" s="51" t="s">
        <v>33</v>
      </c>
      <c r="D2021" s="48" t="s">
        <v>34</v>
      </c>
      <c r="E2021" s="18" t="s">
        <v>3979</v>
      </c>
      <c r="F2021" s="24" t="str">
        <f t="shared" si="124"/>
        <v>PPG - QTECH HVLP TURB    MAIN FILTR QT3-51 QT3</v>
      </c>
      <c r="G2021" s="20" t="s">
        <v>6891</v>
      </c>
      <c r="H2021" s="49" t="s">
        <v>213</v>
      </c>
      <c r="I2021" s="18" t="s">
        <v>37</v>
      </c>
      <c r="J2021" s="18" t="s">
        <v>38</v>
      </c>
      <c r="K2021" t="s">
        <v>39</v>
      </c>
      <c r="L2021" s="50">
        <f>VLOOKUP(A2021,'[3]Price info'!A:D,4,FALSE)</f>
        <v>29.73</v>
      </c>
      <c r="M2021" s="18" t="s">
        <v>214</v>
      </c>
      <c r="N2021" s="20">
        <v>3105</v>
      </c>
      <c r="P2021" s="16">
        <f>VLOOKUP(A2021,'[3]Price info'!A:H,8,FALSE)</f>
        <v>29.73</v>
      </c>
      <c r="Q2021" s="17">
        <f t="shared" si="125"/>
        <v>1</v>
      </c>
      <c r="S2021" s="16" t="e">
        <f>VLOOKUP(A2021,[4]Sales!$E:$G,3,FALSE)</f>
        <v>#N/A</v>
      </c>
      <c r="T2021" s="19" t="e">
        <f>VLOOKUP(A2021,[4]Volume!$E:$G,3,FALSE)</f>
        <v>#N/A</v>
      </c>
      <c r="U2021" s="19" t="e">
        <f>VLOOKUP(A2021,[4]Piece!$E:$G,3,FALSE)</f>
        <v>#N/A</v>
      </c>
      <c r="V2021" s="21" t="e">
        <f t="shared" si="126"/>
        <v>#N/A</v>
      </c>
      <c r="W2021" s="16" t="e">
        <f t="shared" si="127"/>
        <v>#N/A</v>
      </c>
    </row>
    <row r="2022" spans="1:23" hidden="1" x14ac:dyDescent="0.3">
      <c r="A2022" s="71" t="s">
        <v>3980</v>
      </c>
      <c r="B2022" s="71" t="s">
        <v>3980</v>
      </c>
      <c r="C2022" s="47" t="s">
        <v>33</v>
      </c>
      <c r="D2022" s="48" t="s">
        <v>34</v>
      </c>
      <c r="E2022" s="18" t="s">
        <v>3981</v>
      </c>
      <c r="F2022" s="24" t="str">
        <f t="shared" si="124"/>
        <v>PPG - QTECH HVLP TURB    PRIM FILTR QT3-53 QT3</v>
      </c>
      <c r="G2022" s="20" t="s">
        <v>6892</v>
      </c>
      <c r="H2022" s="49" t="s">
        <v>213</v>
      </c>
      <c r="I2022" s="18" t="s">
        <v>37</v>
      </c>
      <c r="J2022" s="18" t="s">
        <v>38</v>
      </c>
      <c r="K2022" t="s">
        <v>39</v>
      </c>
      <c r="L2022" s="50">
        <f>VLOOKUP(A2022,'[3]Price info'!A:D,4,FALSE)</f>
        <v>6.04</v>
      </c>
      <c r="M2022" s="18" t="s">
        <v>214</v>
      </c>
      <c r="N2022" s="20">
        <v>3105</v>
      </c>
      <c r="P2022" s="16">
        <f>VLOOKUP(A2022,'[3]Price info'!A:H,8,FALSE)</f>
        <v>6.04</v>
      </c>
      <c r="Q2022" s="17">
        <f t="shared" si="125"/>
        <v>1</v>
      </c>
      <c r="S2022" s="16" t="e">
        <f>VLOOKUP(A2022,[4]Sales!$E:$G,3,FALSE)</f>
        <v>#N/A</v>
      </c>
      <c r="T2022" s="19" t="e">
        <f>VLOOKUP(A2022,[4]Volume!$E:$G,3,FALSE)</f>
        <v>#N/A</v>
      </c>
      <c r="U2022" s="19" t="e">
        <f>VLOOKUP(A2022,[4]Piece!$E:$G,3,FALSE)</f>
        <v>#N/A</v>
      </c>
      <c r="V2022" s="21" t="e">
        <f t="shared" si="126"/>
        <v>#N/A</v>
      </c>
      <c r="W2022" s="16" t="e">
        <f t="shared" si="127"/>
        <v>#N/A</v>
      </c>
    </row>
    <row r="2023" spans="1:23" hidden="1" x14ac:dyDescent="0.3">
      <c r="A2023" s="71" t="s">
        <v>3982</v>
      </c>
      <c r="B2023" s="71" t="s">
        <v>3982</v>
      </c>
      <c r="C2023" s="47" t="s">
        <v>33</v>
      </c>
      <c r="D2023" s="48" t="s">
        <v>34</v>
      </c>
      <c r="E2023" s="18" t="s">
        <v>3983</v>
      </c>
      <c r="F2023" s="24" t="str">
        <f t="shared" si="124"/>
        <v>PPG - QTECH IN LINE GUN  670-G ASM</v>
      </c>
      <c r="G2023" s="20" t="s">
        <v>6893</v>
      </c>
      <c r="H2023" s="49" t="s">
        <v>213</v>
      </c>
      <c r="I2023" s="18" t="s">
        <v>37</v>
      </c>
      <c r="J2023" s="18" t="s">
        <v>38</v>
      </c>
      <c r="K2023" t="s">
        <v>39</v>
      </c>
      <c r="L2023" s="50">
        <f>VLOOKUP(A2023,'[3]Price info'!A:D,4,FALSE)</f>
        <v>252</v>
      </c>
      <c r="M2023" s="18" t="s">
        <v>214</v>
      </c>
      <c r="N2023" s="20">
        <v>3105</v>
      </c>
      <c r="P2023" s="16">
        <f>VLOOKUP(A2023,'[3]Price info'!A:H,8,FALSE)</f>
        <v>252</v>
      </c>
      <c r="Q2023" s="17">
        <f t="shared" si="125"/>
        <v>1</v>
      </c>
      <c r="S2023" s="16" t="e">
        <f>VLOOKUP(A2023,[4]Sales!$E:$G,3,FALSE)</f>
        <v>#N/A</v>
      </c>
      <c r="T2023" s="19" t="e">
        <f>VLOOKUP(A2023,[4]Volume!$E:$G,3,FALSE)</f>
        <v>#N/A</v>
      </c>
      <c r="U2023" s="19" t="e">
        <f>VLOOKUP(A2023,[4]Piece!$E:$G,3,FALSE)</f>
        <v>#N/A</v>
      </c>
      <c r="V2023" s="21" t="e">
        <f t="shared" si="126"/>
        <v>#N/A</v>
      </c>
      <c r="W2023" s="16" t="e">
        <f t="shared" si="127"/>
        <v>#N/A</v>
      </c>
    </row>
    <row r="2024" spans="1:23" hidden="1" x14ac:dyDescent="0.3">
      <c r="A2024" s="71" t="s">
        <v>3984</v>
      </c>
      <c r="B2024" s="71" t="s">
        <v>3984</v>
      </c>
      <c r="C2024" s="51" t="s">
        <v>33</v>
      </c>
      <c r="D2024" s="48" t="s">
        <v>34</v>
      </c>
      <c r="E2024" s="18" t="s">
        <v>3985</v>
      </c>
      <c r="F2024" s="24" t="str">
        <f t="shared" si="124"/>
        <v>PPG - QTECH O-RING S31.5 QP00030</v>
      </c>
      <c r="G2024" s="20" t="s">
        <v>6894</v>
      </c>
      <c r="H2024" s="49" t="s">
        <v>213</v>
      </c>
      <c r="I2024" s="18" t="s">
        <v>37</v>
      </c>
      <c r="J2024" s="18" t="s">
        <v>38</v>
      </c>
      <c r="K2024" t="s">
        <v>39</v>
      </c>
      <c r="L2024" s="50">
        <f>VLOOKUP(A2024,'[3]Price info'!A:D,4,FALSE)</f>
        <v>2.82</v>
      </c>
      <c r="M2024" s="18" t="s">
        <v>214</v>
      </c>
      <c r="N2024" s="20">
        <v>3105</v>
      </c>
      <c r="P2024" s="16">
        <f>VLOOKUP(A2024,'[3]Price info'!A:H,8,FALSE)</f>
        <v>2.82</v>
      </c>
      <c r="Q2024" s="17">
        <f t="shared" si="125"/>
        <v>1</v>
      </c>
      <c r="S2024" s="16" t="e">
        <f>VLOOKUP(A2024,[4]Sales!$E:$G,3,FALSE)</f>
        <v>#N/A</v>
      </c>
      <c r="T2024" s="19" t="e">
        <f>VLOOKUP(A2024,[4]Volume!$E:$G,3,FALSE)</f>
        <v>#N/A</v>
      </c>
      <c r="U2024" s="19" t="e">
        <f>VLOOKUP(A2024,[4]Piece!$E:$G,3,FALSE)</f>
        <v>#N/A</v>
      </c>
      <c r="V2024" s="21" t="e">
        <f t="shared" si="126"/>
        <v>#N/A</v>
      </c>
      <c r="W2024" s="16" t="e">
        <f t="shared" si="127"/>
        <v>#N/A</v>
      </c>
    </row>
    <row r="2025" spans="1:23" hidden="1" x14ac:dyDescent="0.3">
      <c r="A2025" s="71" t="s">
        <v>3986</v>
      </c>
      <c r="B2025" s="71" t="s">
        <v>3986</v>
      </c>
      <c r="C2025" s="47" t="s">
        <v>33</v>
      </c>
      <c r="D2025" s="48" t="s">
        <v>34</v>
      </c>
      <c r="E2025" s="18" t="s">
        <v>3987</v>
      </c>
      <c r="F2025" s="24" t="str">
        <f t="shared" si="124"/>
        <v>PPG - QTECH P TUBE CHECK VALVE PK5  10-2001</v>
      </c>
      <c r="G2025" s="20" t="s">
        <v>6895</v>
      </c>
      <c r="H2025" s="49" t="s">
        <v>213</v>
      </c>
      <c r="I2025" s="18" t="s">
        <v>37</v>
      </c>
      <c r="J2025" s="18" t="s">
        <v>38</v>
      </c>
      <c r="K2025" t="s">
        <v>39</v>
      </c>
      <c r="L2025" s="50">
        <f>VLOOKUP(A2025,'[3]Price info'!A:D,4,FALSE)</f>
        <v>28.18</v>
      </c>
      <c r="M2025" s="18" t="s">
        <v>214</v>
      </c>
      <c r="N2025" s="20">
        <v>3105</v>
      </c>
      <c r="P2025" s="16">
        <f>VLOOKUP(A2025,'[3]Price info'!A:H,8,FALSE)</f>
        <v>28.18</v>
      </c>
      <c r="Q2025" s="17">
        <f t="shared" si="125"/>
        <v>1</v>
      </c>
      <c r="S2025" s="16" t="e">
        <f>VLOOKUP(A2025,[4]Sales!$E:$G,3,FALSE)</f>
        <v>#N/A</v>
      </c>
      <c r="T2025" s="19" t="e">
        <f>VLOOKUP(A2025,[4]Volume!$E:$G,3,FALSE)</f>
        <v>#N/A</v>
      </c>
      <c r="U2025" s="19" t="e">
        <f>VLOOKUP(A2025,[4]Piece!$E:$G,3,FALSE)</f>
        <v>#N/A</v>
      </c>
      <c r="V2025" s="21" t="e">
        <f t="shared" si="126"/>
        <v>#N/A</v>
      </c>
      <c r="W2025" s="16" t="e">
        <f t="shared" si="127"/>
        <v>#N/A</v>
      </c>
    </row>
    <row r="2026" spans="1:23" hidden="1" x14ac:dyDescent="0.3">
      <c r="A2026" s="71" t="s">
        <v>3988</v>
      </c>
      <c r="B2026" s="71" t="s">
        <v>3988</v>
      </c>
      <c r="C2026" s="47" t="s">
        <v>33</v>
      </c>
      <c r="D2026" s="48" t="s">
        <v>34</v>
      </c>
      <c r="E2026" s="18" t="s">
        <v>3989</v>
      </c>
      <c r="F2026" s="24" t="str">
        <f t="shared" si="124"/>
        <v>PPG - QTECH PACKING KIT  QP00016    QP019/021/</v>
      </c>
      <c r="G2026" s="20" t="s">
        <v>6896</v>
      </c>
      <c r="H2026" s="49" t="s">
        <v>213</v>
      </c>
      <c r="I2026" s="18" t="s">
        <v>37</v>
      </c>
      <c r="J2026" s="18" t="s">
        <v>38</v>
      </c>
      <c r="K2026" t="s">
        <v>39</v>
      </c>
      <c r="L2026" s="50">
        <f>VLOOKUP(A2026,'[3]Price info'!A:D,4,FALSE)</f>
        <v>125.23</v>
      </c>
      <c r="M2026" s="18" t="s">
        <v>214</v>
      </c>
      <c r="N2026" s="20">
        <v>3105</v>
      </c>
      <c r="P2026" s="16">
        <f>VLOOKUP(A2026,'[3]Price info'!A:H,8,FALSE)</f>
        <v>125.23</v>
      </c>
      <c r="Q2026" s="17">
        <f t="shared" si="125"/>
        <v>1</v>
      </c>
      <c r="S2026" s="16" t="e">
        <f>VLOOKUP(A2026,[4]Sales!$E:$G,3,FALSE)</f>
        <v>#N/A</v>
      </c>
      <c r="T2026" s="19" t="e">
        <f>VLOOKUP(A2026,[4]Volume!$E:$G,3,FALSE)</f>
        <v>#N/A</v>
      </c>
      <c r="U2026" s="19" t="e">
        <f>VLOOKUP(A2026,[4]Piece!$E:$G,3,FALSE)</f>
        <v>#N/A</v>
      </c>
      <c r="V2026" s="21" t="e">
        <f t="shared" si="126"/>
        <v>#N/A</v>
      </c>
      <c r="W2026" s="16" t="e">
        <f t="shared" si="127"/>
        <v>#N/A</v>
      </c>
    </row>
    <row r="2027" spans="1:23" hidden="1" x14ac:dyDescent="0.3">
      <c r="A2027" s="71" t="s">
        <v>3990</v>
      </c>
      <c r="B2027" s="71" t="s">
        <v>3990</v>
      </c>
      <c r="C2027" s="51" t="s">
        <v>33</v>
      </c>
      <c r="D2027" s="48" t="s">
        <v>34</v>
      </c>
      <c r="E2027" s="18" t="s">
        <v>3991</v>
      </c>
      <c r="F2027" s="24" t="str">
        <f t="shared" si="124"/>
        <v>PPG - QTECH PACKING KIT  QP036-9    QP031/036</v>
      </c>
      <c r="G2027" s="20" t="s">
        <v>6897</v>
      </c>
      <c r="H2027" s="49" t="s">
        <v>213</v>
      </c>
      <c r="I2027" s="18" t="s">
        <v>37</v>
      </c>
      <c r="J2027" s="18" t="s">
        <v>38</v>
      </c>
      <c r="K2027" t="s">
        <v>39</v>
      </c>
      <c r="L2027" s="50">
        <f>VLOOKUP(A2027,'[3]Price info'!A:D,4,FALSE)</f>
        <v>135.30000000000001</v>
      </c>
      <c r="M2027" s="18" t="s">
        <v>214</v>
      </c>
      <c r="N2027" s="20">
        <v>3105</v>
      </c>
      <c r="P2027" s="16">
        <f>VLOOKUP(A2027,'[3]Price info'!A:H,8,FALSE)</f>
        <v>135.30000000000001</v>
      </c>
      <c r="Q2027" s="17">
        <f t="shared" si="125"/>
        <v>1</v>
      </c>
      <c r="S2027" s="16" t="e">
        <f>VLOOKUP(A2027,[4]Sales!$E:$G,3,FALSE)</f>
        <v>#N/A</v>
      </c>
      <c r="T2027" s="19" t="e">
        <f>VLOOKUP(A2027,[4]Volume!$E:$G,3,FALSE)</f>
        <v>#N/A</v>
      </c>
      <c r="U2027" s="19" t="e">
        <f>VLOOKUP(A2027,[4]Piece!$E:$G,3,FALSE)</f>
        <v>#N/A</v>
      </c>
      <c r="V2027" s="21" t="e">
        <f t="shared" si="126"/>
        <v>#N/A</v>
      </c>
      <c r="W2027" s="16" t="e">
        <f t="shared" si="127"/>
        <v>#N/A</v>
      </c>
    </row>
    <row r="2028" spans="1:23" hidden="1" x14ac:dyDescent="0.3">
      <c r="A2028" s="71" t="s">
        <v>3992</v>
      </c>
      <c r="B2028" s="71" t="s">
        <v>3992</v>
      </c>
      <c r="C2028" s="47" t="s">
        <v>33</v>
      </c>
      <c r="D2028" s="48" t="s">
        <v>34</v>
      </c>
      <c r="E2028" s="18" t="s">
        <v>3993</v>
      </c>
      <c r="F2028" s="24" t="str">
        <f t="shared" si="124"/>
        <v>PPG - QTECH PISTON                  QP019-53-Q</v>
      </c>
      <c r="G2028" s="20" t="s">
        <v>6898</v>
      </c>
      <c r="H2028" s="49" t="s">
        <v>213</v>
      </c>
      <c r="I2028" s="18" t="s">
        <v>37</v>
      </c>
      <c r="J2028" s="18" t="s">
        <v>38</v>
      </c>
      <c r="K2028" t="s">
        <v>39</v>
      </c>
      <c r="L2028" s="50">
        <f>VLOOKUP(A2028,'[3]Price info'!A:D,4,FALSE)</f>
        <v>128.71</v>
      </c>
      <c r="M2028" s="18" t="s">
        <v>214</v>
      </c>
      <c r="N2028" s="20">
        <v>3105</v>
      </c>
      <c r="P2028" s="16">
        <f>VLOOKUP(A2028,'[3]Price info'!A:H,8,FALSE)</f>
        <v>128.71</v>
      </c>
      <c r="Q2028" s="17">
        <f t="shared" si="125"/>
        <v>1</v>
      </c>
      <c r="S2028" s="16" t="e">
        <f>VLOOKUP(A2028,[4]Sales!$E:$G,3,FALSE)</f>
        <v>#N/A</v>
      </c>
      <c r="T2028" s="19" t="e">
        <f>VLOOKUP(A2028,[4]Volume!$E:$G,3,FALSE)</f>
        <v>#N/A</v>
      </c>
      <c r="U2028" s="19" t="e">
        <f>VLOOKUP(A2028,[4]Piece!$E:$G,3,FALSE)</f>
        <v>#N/A</v>
      </c>
      <c r="V2028" s="21" t="e">
        <f t="shared" si="126"/>
        <v>#N/A</v>
      </c>
      <c r="W2028" s="16" t="e">
        <f t="shared" si="127"/>
        <v>#N/A</v>
      </c>
    </row>
    <row r="2029" spans="1:23" hidden="1" x14ac:dyDescent="0.3">
      <c r="A2029" s="71" t="s">
        <v>3994</v>
      </c>
      <c r="B2029" s="71" t="s">
        <v>3994</v>
      </c>
      <c r="C2029" s="47" t="s">
        <v>33</v>
      </c>
      <c r="D2029" s="48" t="s">
        <v>34</v>
      </c>
      <c r="E2029" s="18" t="s">
        <v>3995</v>
      </c>
      <c r="F2029" s="24" t="str">
        <f t="shared" si="124"/>
        <v>PPG - QTECH PISTON       QP00025    QP021/QP02</v>
      </c>
      <c r="G2029" s="20" t="s">
        <v>6899</v>
      </c>
      <c r="H2029" s="49" t="s">
        <v>213</v>
      </c>
      <c r="I2029" s="18" t="s">
        <v>37</v>
      </c>
      <c r="J2029" s="18" t="s">
        <v>38</v>
      </c>
      <c r="K2029" t="s">
        <v>39</v>
      </c>
      <c r="L2029" s="50">
        <f>VLOOKUP(A2029,'[3]Price info'!A:D,4,FALSE)</f>
        <v>128.71</v>
      </c>
      <c r="M2029" s="18" t="s">
        <v>214</v>
      </c>
      <c r="N2029" s="20">
        <v>3105</v>
      </c>
      <c r="P2029" s="16">
        <f>VLOOKUP(A2029,'[3]Price info'!A:H,8,FALSE)</f>
        <v>128.71</v>
      </c>
      <c r="Q2029" s="17">
        <f t="shared" si="125"/>
        <v>1</v>
      </c>
      <c r="S2029" s="16" t="e">
        <f>VLOOKUP(A2029,[4]Sales!$E:$G,3,FALSE)</f>
        <v>#N/A</v>
      </c>
      <c r="T2029" s="19" t="e">
        <f>VLOOKUP(A2029,[4]Volume!$E:$G,3,FALSE)</f>
        <v>#N/A</v>
      </c>
      <c r="U2029" s="19" t="e">
        <f>VLOOKUP(A2029,[4]Piece!$E:$G,3,FALSE)</f>
        <v>#N/A</v>
      </c>
      <c r="V2029" s="21" t="e">
        <f t="shared" si="126"/>
        <v>#N/A</v>
      </c>
      <c r="W2029" s="16" t="e">
        <f t="shared" si="127"/>
        <v>#N/A</v>
      </c>
    </row>
    <row r="2030" spans="1:23" hidden="1" x14ac:dyDescent="0.3">
      <c r="A2030" s="71" t="s">
        <v>3996</v>
      </c>
      <c r="B2030" s="71" t="s">
        <v>3996</v>
      </c>
      <c r="C2030" s="51" t="s">
        <v>33</v>
      </c>
      <c r="D2030" s="48" t="s">
        <v>34</v>
      </c>
      <c r="E2030" s="18" t="s">
        <v>3997</v>
      </c>
      <c r="F2030" s="24" t="str">
        <f t="shared" si="124"/>
        <v>PPG - QTECH PRESS GUAGE  120-625</v>
      </c>
      <c r="G2030" s="20" t="s">
        <v>6900</v>
      </c>
      <c r="H2030" s="49" t="s">
        <v>213</v>
      </c>
      <c r="I2030" s="18" t="s">
        <v>37</v>
      </c>
      <c r="J2030" s="18" t="s">
        <v>38</v>
      </c>
      <c r="K2030" t="s">
        <v>39</v>
      </c>
      <c r="L2030" s="50">
        <f>VLOOKUP(A2030,'[3]Price info'!A:D,4,FALSE)</f>
        <v>97.94</v>
      </c>
      <c r="M2030" s="18" t="s">
        <v>214</v>
      </c>
      <c r="N2030" s="20">
        <v>3105</v>
      </c>
      <c r="P2030" s="16">
        <f>VLOOKUP(A2030,'[3]Price info'!A:H,8,FALSE)</f>
        <v>97.94</v>
      </c>
      <c r="Q2030" s="17">
        <f t="shared" si="125"/>
        <v>1</v>
      </c>
      <c r="S2030" s="16" t="e">
        <f>VLOOKUP(A2030,[4]Sales!$E:$G,3,FALSE)</f>
        <v>#N/A</v>
      </c>
      <c r="T2030" s="19" t="e">
        <f>VLOOKUP(A2030,[4]Volume!$E:$G,3,FALSE)</f>
        <v>#N/A</v>
      </c>
      <c r="U2030" s="19" t="e">
        <f>VLOOKUP(A2030,[4]Piece!$E:$G,3,FALSE)</f>
        <v>#N/A</v>
      </c>
      <c r="V2030" s="21" t="e">
        <f t="shared" si="126"/>
        <v>#N/A</v>
      </c>
      <c r="W2030" s="16" t="e">
        <f t="shared" si="127"/>
        <v>#N/A</v>
      </c>
    </row>
    <row r="2031" spans="1:23" hidden="1" x14ac:dyDescent="0.3">
      <c r="A2031" s="71" t="s">
        <v>3998</v>
      </c>
      <c r="B2031" s="71" t="s">
        <v>3998</v>
      </c>
      <c r="C2031" s="47" t="s">
        <v>33</v>
      </c>
      <c r="D2031" s="48" t="s">
        <v>34</v>
      </c>
      <c r="E2031" s="18" t="s">
        <v>3999</v>
      </c>
      <c r="F2031" s="24" t="str">
        <f t="shared" si="124"/>
        <v>PPG - QTECH QLUBE PISTON LUBE 946ML Q400-006</v>
      </c>
      <c r="G2031" s="20" t="s">
        <v>6901</v>
      </c>
      <c r="H2031" s="49" t="s">
        <v>213</v>
      </c>
      <c r="I2031" s="18" t="s">
        <v>37</v>
      </c>
      <c r="J2031" s="18" t="s">
        <v>38</v>
      </c>
      <c r="K2031" t="s">
        <v>39</v>
      </c>
      <c r="L2031" s="50">
        <f>VLOOKUP(A2031,'[3]Price info'!A:D,4,FALSE)</f>
        <v>38.1</v>
      </c>
      <c r="M2031" s="18" t="s">
        <v>214</v>
      </c>
      <c r="N2031" s="20">
        <v>3105</v>
      </c>
      <c r="P2031" s="16">
        <f>VLOOKUP(A2031,'[3]Price info'!A:H,8,FALSE)</f>
        <v>38.1</v>
      </c>
      <c r="Q2031" s="17">
        <f t="shared" si="125"/>
        <v>1</v>
      </c>
      <c r="S2031" s="16" t="e">
        <f>VLOOKUP(A2031,[4]Sales!$E:$G,3,FALSE)</f>
        <v>#N/A</v>
      </c>
      <c r="T2031" s="19" t="e">
        <f>VLOOKUP(A2031,[4]Volume!$E:$G,3,FALSE)</f>
        <v>#N/A</v>
      </c>
      <c r="U2031" s="19" t="e">
        <f>VLOOKUP(A2031,[4]Piece!$E:$G,3,FALSE)</f>
        <v>#N/A</v>
      </c>
      <c r="V2031" s="21" t="e">
        <f t="shared" si="126"/>
        <v>#N/A</v>
      </c>
      <c r="W2031" s="16" t="e">
        <f t="shared" si="127"/>
        <v>#N/A</v>
      </c>
    </row>
    <row r="2032" spans="1:23" hidden="1" x14ac:dyDescent="0.3">
      <c r="A2032" s="71" t="s">
        <v>4000</v>
      </c>
      <c r="B2032" s="71" t="s">
        <v>4000</v>
      </c>
      <c r="C2032" s="47" t="s">
        <v>33</v>
      </c>
      <c r="D2032" s="48" t="s">
        <v>34</v>
      </c>
      <c r="E2032" s="18" t="s">
        <v>4001</v>
      </c>
      <c r="F2032" s="24" t="str">
        <f t="shared" si="124"/>
        <v>PPG - QTECH QP00111T</v>
      </c>
      <c r="G2032" s="20" t="s">
        <v>6902</v>
      </c>
      <c r="H2032" s="49" t="s">
        <v>213</v>
      </c>
      <c r="I2032" s="18" t="s">
        <v>37</v>
      </c>
      <c r="J2032" s="18" t="s">
        <v>38</v>
      </c>
      <c r="K2032" t="s">
        <v>39</v>
      </c>
      <c r="L2032" s="50">
        <f>VLOOKUP(A2032,'[3]Price info'!A:D,4,FALSE)</f>
        <v>16.36</v>
      </c>
      <c r="M2032" s="18" t="s">
        <v>214</v>
      </c>
      <c r="N2032" s="20">
        <v>3105</v>
      </c>
      <c r="P2032" s="16">
        <f>VLOOKUP(A2032,'[3]Price info'!A:H,8,FALSE)</f>
        <v>16.36</v>
      </c>
      <c r="Q2032" s="17">
        <f t="shared" si="125"/>
        <v>1</v>
      </c>
      <c r="S2032" s="16" t="e">
        <f>VLOOKUP(A2032,[4]Sales!$E:$G,3,FALSE)</f>
        <v>#N/A</v>
      </c>
      <c r="T2032" s="19" t="e">
        <f>VLOOKUP(A2032,[4]Volume!$E:$G,3,FALSE)</f>
        <v>#N/A</v>
      </c>
      <c r="U2032" s="19" t="e">
        <f>VLOOKUP(A2032,[4]Piece!$E:$G,3,FALSE)</f>
        <v>#N/A</v>
      </c>
      <c r="V2032" s="21" t="e">
        <f t="shared" si="126"/>
        <v>#N/A</v>
      </c>
      <c r="W2032" s="16" t="e">
        <f t="shared" si="127"/>
        <v>#N/A</v>
      </c>
    </row>
    <row r="2033" spans="1:23" hidden="1" x14ac:dyDescent="0.3">
      <c r="A2033" s="71" t="s">
        <v>4002</v>
      </c>
      <c r="B2033" s="71" t="s">
        <v>4002</v>
      </c>
      <c r="C2033" s="51" t="s">
        <v>33</v>
      </c>
      <c r="D2033" s="48" t="s">
        <v>34</v>
      </c>
      <c r="E2033" s="18" t="s">
        <v>4003</v>
      </c>
      <c r="F2033" s="24" t="str">
        <f t="shared" si="124"/>
        <v>PPG - QTECH QT190        110V</v>
      </c>
      <c r="G2033" s="20" t="s">
        <v>6903</v>
      </c>
      <c r="H2033" s="49" t="s">
        <v>213</v>
      </c>
      <c r="I2033" s="18" t="s">
        <v>37</v>
      </c>
      <c r="J2033" s="18" t="s">
        <v>38</v>
      </c>
      <c r="K2033" t="s">
        <v>39</v>
      </c>
      <c r="L2033" s="50">
        <f>VLOOKUP(A2033,'[3]Price info'!A:D,4,FALSE)</f>
        <v>740.18</v>
      </c>
      <c r="M2033" s="18" t="s">
        <v>214</v>
      </c>
      <c r="N2033" s="20">
        <v>3105</v>
      </c>
      <c r="P2033" s="16">
        <f>VLOOKUP(A2033,'[3]Price info'!A:H,8,FALSE)</f>
        <v>740.18</v>
      </c>
      <c r="Q2033" s="17">
        <f t="shared" si="125"/>
        <v>1</v>
      </c>
      <c r="S2033" s="16" t="e">
        <f>VLOOKUP(A2033,[4]Sales!$E:$G,3,FALSE)</f>
        <v>#N/A</v>
      </c>
      <c r="T2033" s="19" t="e">
        <f>VLOOKUP(A2033,[4]Volume!$E:$G,3,FALSE)</f>
        <v>#N/A</v>
      </c>
      <c r="U2033" s="19" t="e">
        <f>VLOOKUP(A2033,[4]Piece!$E:$G,3,FALSE)</f>
        <v>#N/A</v>
      </c>
      <c r="V2033" s="21" t="e">
        <f t="shared" si="126"/>
        <v>#N/A</v>
      </c>
      <c r="W2033" s="16" t="e">
        <f t="shared" si="127"/>
        <v>#N/A</v>
      </c>
    </row>
    <row r="2034" spans="1:23" hidden="1" x14ac:dyDescent="0.3">
      <c r="A2034" s="71" t="s">
        <v>4004</v>
      </c>
      <c r="B2034" s="71" t="s">
        <v>4004</v>
      </c>
      <c r="C2034" s="47" t="s">
        <v>33</v>
      </c>
      <c r="D2034" s="48" t="s">
        <v>34</v>
      </c>
      <c r="E2034" s="18" t="s">
        <v>4005</v>
      </c>
      <c r="F2034" s="24" t="str">
        <f t="shared" si="124"/>
        <v>PPG - QTECH QT190        240V</v>
      </c>
      <c r="G2034" s="20" t="s">
        <v>6904</v>
      </c>
      <c r="H2034" s="49" t="s">
        <v>213</v>
      </c>
      <c r="I2034" s="18" t="s">
        <v>37</v>
      </c>
      <c r="J2034" s="18" t="s">
        <v>38</v>
      </c>
      <c r="K2034" t="s">
        <v>39</v>
      </c>
      <c r="L2034" s="50">
        <f>VLOOKUP(A2034,'[3]Price info'!A:D,4,FALSE)</f>
        <v>740.18</v>
      </c>
      <c r="M2034" s="18" t="s">
        <v>214</v>
      </c>
      <c r="N2034" s="20">
        <v>3105</v>
      </c>
      <c r="P2034" s="16">
        <f>VLOOKUP(A2034,'[3]Price info'!A:H,8,FALSE)</f>
        <v>740.18</v>
      </c>
      <c r="Q2034" s="17">
        <f t="shared" si="125"/>
        <v>1</v>
      </c>
      <c r="S2034" s="16" t="e">
        <f>VLOOKUP(A2034,[4]Sales!$E:$G,3,FALSE)</f>
        <v>#N/A</v>
      </c>
      <c r="T2034" s="19" t="e">
        <f>VLOOKUP(A2034,[4]Volume!$E:$G,3,FALSE)</f>
        <v>#N/A</v>
      </c>
      <c r="U2034" s="19" t="e">
        <f>VLOOKUP(A2034,[4]Piece!$E:$G,3,FALSE)</f>
        <v>#N/A</v>
      </c>
      <c r="V2034" s="21" t="e">
        <f t="shared" si="126"/>
        <v>#N/A</v>
      </c>
      <c r="W2034" s="16" t="e">
        <f t="shared" si="127"/>
        <v>#N/A</v>
      </c>
    </row>
    <row r="2035" spans="1:23" hidden="1" x14ac:dyDescent="0.3">
      <c r="A2035" s="71" t="s">
        <v>4006</v>
      </c>
      <c r="B2035" s="71" t="s">
        <v>4006</v>
      </c>
      <c r="C2035" s="47" t="s">
        <v>33</v>
      </c>
      <c r="D2035" s="48" t="s">
        <v>34</v>
      </c>
      <c r="E2035" s="18" t="s">
        <v>4007</v>
      </c>
      <c r="F2035" s="24" t="str">
        <f t="shared" si="124"/>
        <v>PPG - QTECH QT290        110V</v>
      </c>
      <c r="G2035" s="20" t="s">
        <v>6905</v>
      </c>
      <c r="H2035" s="49" t="s">
        <v>213</v>
      </c>
      <c r="I2035" s="18" t="s">
        <v>37</v>
      </c>
      <c r="J2035" s="18" t="s">
        <v>38</v>
      </c>
      <c r="K2035" t="s">
        <v>39</v>
      </c>
      <c r="L2035" s="50">
        <f>VLOOKUP(A2035,'[3]Price info'!A:D,4,FALSE)</f>
        <v>1597.5</v>
      </c>
      <c r="M2035" s="18" t="s">
        <v>214</v>
      </c>
      <c r="N2035" s="20">
        <v>3105</v>
      </c>
      <c r="P2035" s="16">
        <f>VLOOKUP(A2035,'[3]Price info'!A:H,8,FALSE)</f>
        <v>1597.5</v>
      </c>
      <c r="Q2035" s="17">
        <f t="shared" si="125"/>
        <v>1</v>
      </c>
      <c r="S2035" s="16" t="e">
        <f>VLOOKUP(A2035,[4]Sales!$E:$G,3,FALSE)</f>
        <v>#N/A</v>
      </c>
      <c r="T2035" s="19" t="e">
        <f>VLOOKUP(A2035,[4]Volume!$E:$G,3,FALSE)</f>
        <v>#N/A</v>
      </c>
      <c r="U2035" s="19" t="e">
        <f>VLOOKUP(A2035,[4]Piece!$E:$G,3,FALSE)</f>
        <v>#N/A</v>
      </c>
      <c r="V2035" s="21" t="e">
        <f t="shared" si="126"/>
        <v>#N/A</v>
      </c>
      <c r="W2035" s="16" t="e">
        <f t="shared" si="127"/>
        <v>#N/A</v>
      </c>
    </row>
    <row r="2036" spans="1:23" hidden="1" x14ac:dyDescent="0.3">
      <c r="A2036" s="71" t="s">
        <v>4008</v>
      </c>
      <c r="B2036" s="71" t="s">
        <v>4008</v>
      </c>
      <c r="C2036" s="51" t="s">
        <v>33</v>
      </c>
      <c r="D2036" s="48" t="s">
        <v>34</v>
      </c>
      <c r="E2036" s="18" t="s">
        <v>4009</v>
      </c>
      <c r="F2036" s="24" t="str">
        <f t="shared" si="124"/>
        <v>PPG - QTECH QT290        240V</v>
      </c>
      <c r="G2036" s="20" t="s">
        <v>6906</v>
      </c>
      <c r="H2036" s="49" t="s">
        <v>213</v>
      </c>
      <c r="I2036" s="18" t="s">
        <v>37</v>
      </c>
      <c r="J2036" s="18" t="s">
        <v>38</v>
      </c>
      <c r="K2036" t="s">
        <v>39</v>
      </c>
      <c r="L2036" s="50">
        <f>VLOOKUP(A2036,'[3]Price info'!A:D,4,FALSE)</f>
        <v>1597.5</v>
      </c>
      <c r="M2036" s="18" t="s">
        <v>214</v>
      </c>
      <c r="N2036" s="20">
        <v>3105</v>
      </c>
      <c r="P2036" s="16">
        <f>VLOOKUP(A2036,'[3]Price info'!A:H,8,FALSE)</f>
        <v>1597.5</v>
      </c>
      <c r="Q2036" s="17">
        <f t="shared" si="125"/>
        <v>1</v>
      </c>
      <c r="S2036" s="16" t="e">
        <f>VLOOKUP(A2036,[4]Sales!$E:$G,3,FALSE)</f>
        <v>#N/A</v>
      </c>
      <c r="T2036" s="19" t="e">
        <f>VLOOKUP(A2036,[4]Volume!$E:$G,3,FALSE)</f>
        <v>#N/A</v>
      </c>
      <c r="U2036" s="19" t="e">
        <f>VLOOKUP(A2036,[4]Piece!$E:$G,3,FALSE)</f>
        <v>#N/A</v>
      </c>
      <c r="V2036" s="21" t="e">
        <f t="shared" si="126"/>
        <v>#N/A</v>
      </c>
      <c r="W2036" s="16" t="e">
        <f t="shared" si="127"/>
        <v>#N/A</v>
      </c>
    </row>
    <row r="2037" spans="1:23" hidden="1" x14ac:dyDescent="0.3">
      <c r="A2037" s="71" t="s">
        <v>4010</v>
      </c>
      <c r="B2037" s="71" t="s">
        <v>4010</v>
      </c>
      <c r="C2037" s="47" t="s">
        <v>33</v>
      </c>
      <c r="D2037" s="48" t="s">
        <v>34</v>
      </c>
      <c r="E2037" s="18" t="s">
        <v>4011</v>
      </c>
      <c r="F2037" s="24" t="str">
        <f t="shared" si="124"/>
        <v>PPG - QTECH QT3 HVLP SIL P TURB GUN MO-745</v>
      </c>
      <c r="G2037" s="20" t="s">
        <v>6907</v>
      </c>
      <c r="H2037" s="49" t="s">
        <v>213</v>
      </c>
      <c r="I2037" s="18" t="s">
        <v>37</v>
      </c>
      <c r="J2037" s="18" t="s">
        <v>38</v>
      </c>
      <c r="K2037" t="s">
        <v>39</v>
      </c>
      <c r="L2037" s="50">
        <f>VLOOKUP(A2037,'[3]Price info'!A:D,4,FALSE)</f>
        <v>182.07</v>
      </c>
      <c r="M2037" s="18" t="s">
        <v>214</v>
      </c>
      <c r="N2037" s="20">
        <v>3105</v>
      </c>
      <c r="P2037" s="16">
        <f>VLOOKUP(A2037,'[3]Price info'!A:H,8,FALSE)</f>
        <v>182.07</v>
      </c>
      <c r="Q2037" s="17">
        <f t="shared" si="125"/>
        <v>1</v>
      </c>
      <c r="S2037" s="16" t="e">
        <f>VLOOKUP(A2037,[4]Sales!$E:$G,3,FALSE)</f>
        <v>#N/A</v>
      </c>
      <c r="T2037" s="19" t="e">
        <f>VLOOKUP(A2037,[4]Volume!$E:$G,3,FALSE)</f>
        <v>#N/A</v>
      </c>
      <c r="U2037" s="19" t="e">
        <f>VLOOKUP(A2037,[4]Piece!$E:$G,3,FALSE)</f>
        <v>#N/A</v>
      </c>
      <c r="V2037" s="21" t="e">
        <f t="shared" si="126"/>
        <v>#N/A</v>
      </c>
      <c r="W2037" s="16" t="e">
        <f t="shared" si="127"/>
        <v>#N/A</v>
      </c>
    </row>
    <row r="2038" spans="1:23" hidden="1" x14ac:dyDescent="0.3">
      <c r="A2038" s="71" t="s">
        <v>4012</v>
      </c>
      <c r="B2038" s="71" t="s">
        <v>4012</v>
      </c>
      <c r="C2038" s="47" t="s">
        <v>33</v>
      </c>
      <c r="D2038" s="48" t="s">
        <v>34</v>
      </c>
      <c r="E2038" s="18" t="s">
        <v>4013</v>
      </c>
      <c r="F2038" s="24" t="str">
        <f t="shared" si="124"/>
        <v>PPG - QTECH QT650        110V</v>
      </c>
      <c r="G2038" s="20" t="s">
        <v>6908</v>
      </c>
      <c r="H2038" s="49" t="s">
        <v>213</v>
      </c>
      <c r="I2038" s="18" t="s">
        <v>37</v>
      </c>
      <c r="J2038" s="18" t="s">
        <v>38</v>
      </c>
      <c r="K2038" t="s">
        <v>39</v>
      </c>
      <c r="L2038" s="50">
        <f>VLOOKUP(A2038,'[3]Price info'!A:D,4,FALSE)</f>
        <v>4045.94</v>
      </c>
      <c r="M2038" s="18" t="s">
        <v>214</v>
      </c>
      <c r="N2038" s="20">
        <v>3105</v>
      </c>
      <c r="P2038" s="16">
        <f>VLOOKUP(A2038,'[3]Price info'!A:H,8,FALSE)</f>
        <v>4045.94</v>
      </c>
      <c r="Q2038" s="17">
        <f t="shared" si="125"/>
        <v>1</v>
      </c>
      <c r="S2038" s="16" t="e">
        <f>VLOOKUP(A2038,[4]Sales!$E:$G,3,FALSE)</f>
        <v>#N/A</v>
      </c>
      <c r="T2038" s="19" t="e">
        <f>VLOOKUP(A2038,[4]Volume!$E:$G,3,FALSE)</f>
        <v>#N/A</v>
      </c>
      <c r="U2038" s="19" t="e">
        <f>VLOOKUP(A2038,[4]Piece!$E:$G,3,FALSE)</f>
        <v>#N/A</v>
      </c>
      <c r="V2038" s="21" t="e">
        <f t="shared" si="126"/>
        <v>#N/A</v>
      </c>
      <c r="W2038" s="16" t="e">
        <f t="shared" si="127"/>
        <v>#N/A</v>
      </c>
    </row>
    <row r="2039" spans="1:23" hidden="1" x14ac:dyDescent="0.3">
      <c r="A2039" s="71" t="s">
        <v>4014</v>
      </c>
      <c r="B2039" s="71" t="s">
        <v>4014</v>
      </c>
      <c r="C2039" s="51" t="s">
        <v>33</v>
      </c>
      <c r="D2039" s="48" t="s">
        <v>34</v>
      </c>
      <c r="E2039" s="18" t="s">
        <v>4015</v>
      </c>
      <c r="F2039" s="24" t="str">
        <f t="shared" si="124"/>
        <v>PPG - QTECH QTECH O RING QP00004</v>
      </c>
      <c r="G2039" s="20" t="s">
        <v>6909</v>
      </c>
      <c r="H2039" s="49" t="s">
        <v>213</v>
      </c>
      <c r="I2039" s="18" t="s">
        <v>37</v>
      </c>
      <c r="J2039" s="18" t="s">
        <v>38</v>
      </c>
      <c r="K2039" t="s">
        <v>39</v>
      </c>
      <c r="L2039" s="50">
        <f>VLOOKUP(A2039,'[3]Price info'!A:D,4,FALSE)</f>
        <v>8.39</v>
      </c>
      <c r="M2039" s="18" t="s">
        <v>214</v>
      </c>
      <c r="N2039" s="20">
        <v>3105</v>
      </c>
      <c r="P2039" s="16">
        <f>VLOOKUP(A2039,'[3]Price info'!A:H,8,FALSE)</f>
        <v>8.39</v>
      </c>
      <c r="Q2039" s="17">
        <f t="shared" si="125"/>
        <v>1</v>
      </c>
      <c r="S2039" s="16" t="e">
        <f>VLOOKUP(A2039,[4]Sales!$E:$G,3,FALSE)</f>
        <v>#N/A</v>
      </c>
      <c r="T2039" s="19" t="e">
        <f>VLOOKUP(A2039,[4]Volume!$E:$G,3,FALSE)</f>
        <v>#N/A</v>
      </c>
      <c r="U2039" s="19" t="e">
        <f>VLOOKUP(A2039,[4]Piece!$E:$G,3,FALSE)</f>
        <v>#N/A</v>
      </c>
      <c r="V2039" s="21" t="e">
        <f t="shared" si="126"/>
        <v>#N/A</v>
      </c>
      <c r="W2039" s="16" t="e">
        <f t="shared" si="127"/>
        <v>#N/A</v>
      </c>
    </row>
    <row r="2040" spans="1:23" hidden="1" x14ac:dyDescent="0.3">
      <c r="A2040" s="71" t="s">
        <v>4016</v>
      </c>
      <c r="B2040" s="71" t="s">
        <v>4016</v>
      </c>
      <c r="C2040" s="47" t="s">
        <v>33</v>
      </c>
      <c r="D2040" s="48" t="s">
        <v>34</v>
      </c>
      <c r="E2040" s="18" t="s">
        <v>4017</v>
      </c>
      <c r="F2040" s="24" t="str">
        <f t="shared" si="124"/>
        <v>PPG - QTECH ROUGH ROLLER COVER 9"   7724</v>
      </c>
      <c r="G2040" s="20" t="s">
        <v>6910</v>
      </c>
      <c r="H2040" s="49" t="s">
        <v>213</v>
      </c>
      <c r="I2040" s="18" t="s">
        <v>37</v>
      </c>
      <c r="J2040" s="18" t="s">
        <v>38</v>
      </c>
      <c r="K2040" t="s">
        <v>39</v>
      </c>
      <c r="L2040" s="50">
        <f>VLOOKUP(A2040,'[3]Price info'!A:D,4,FALSE)</f>
        <v>22.1</v>
      </c>
      <c r="M2040" s="18" t="s">
        <v>214</v>
      </c>
      <c r="N2040" s="20">
        <v>3105</v>
      </c>
      <c r="P2040" s="16">
        <f>VLOOKUP(A2040,'[3]Price info'!A:H,8,FALSE)</f>
        <v>22.1</v>
      </c>
      <c r="Q2040" s="17">
        <f t="shared" si="125"/>
        <v>1</v>
      </c>
      <c r="S2040" s="16" t="e">
        <f>VLOOKUP(A2040,[4]Sales!$E:$G,3,FALSE)</f>
        <v>#N/A</v>
      </c>
      <c r="T2040" s="19" t="e">
        <f>VLOOKUP(A2040,[4]Volume!$E:$G,3,FALSE)</f>
        <v>#N/A</v>
      </c>
      <c r="U2040" s="19" t="e">
        <f>VLOOKUP(A2040,[4]Piece!$E:$G,3,FALSE)</f>
        <v>#N/A</v>
      </c>
      <c r="V2040" s="21" t="e">
        <f t="shared" si="126"/>
        <v>#N/A</v>
      </c>
      <c r="W2040" s="16" t="e">
        <f t="shared" si="127"/>
        <v>#N/A</v>
      </c>
    </row>
    <row r="2041" spans="1:23" hidden="1" x14ac:dyDescent="0.3">
      <c r="A2041" s="71" t="s">
        <v>4018</v>
      </c>
      <c r="B2041" s="71" t="s">
        <v>4018</v>
      </c>
      <c r="C2041" s="47" t="s">
        <v>33</v>
      </c>
      <c r="D2041" s="48" t="s">
        <v>34</v>
      </c>
      <c r="E2041" s="18" t="s">
        <v>4019</v>
      </c>
      <c r="F2041" s="24" t="str">
        <f t="shared" si="124"/>
        <v>PPG - QTECH SEAL SEAT    QP00031</v>
      </c>
      <c r="G2041" s="20" t="s">
        <v>6911</v>
      </c>
      <c r="H2041" s="49" t="s">
        <v>213</v>
      </c>
      <c r="I2041" s="18" t="s">
        <v>37</v>
      </c>
      <c r="J2041" s="18" t="s">
        <v>38</v>
      </c>
      <c r="K2041" t="s">
        <v>39</v>
      </c>
      <c r="L2041" s="50">
        <f>VLOOKUP(A2041,'[3]Price info'!A:D,4,FALSE)</f>
        <v>29.02</v>
      </c>
      <c r="M2041" s="18" t="s">
        <v>214</v>
      </c>
      <c r="N2041" s="20">
        <v>3105</v>
      </c>
      <c r="P2041" s="16">
        <f>VLOOKUP(A2041,'[3]Price info'!A:H,8,FALSE)</f>
        <v>29.02</v>
      </c>
      <c r="Q2041" s="17">
        <f t="shared" si="125"/>
        <v>1</v>
      </c>
      <c r="S2041" s="16" t="e">
        <f>VLOOKUP(A2041,[4]Sales!$E:$G,3,FALSE)</f>
        <v>#N/A</v>
      </c>
      <c r="T2041" s="19" t="e">
        <f>VLOOKUP(A2041,[4]Volume!$E:$G,3,FALSE)</f>
        <v>#N/A</v>
      </c>
      <c r="U2041" s="19" t="e">
        <f>VLOOKUP(A2041,[4]Piece!$E:$G,3,FALSE)</f>
        <v>#N/A</v>
      </c>
      <c r="V2041" s="21" t="e">
        <f t="shared" si="126"/>
        <v>#N/A</v>
      </c>
      <c r="W2041" s="16" t="e">
        <f t="shared" si="127"/>
        <v>#N/A</v>
      </c>
    </row>
    <row r="2042" spans="1:23" hidden="1" x14ac:dyDescent="0.3">
      <c r="A2042" s="71" t="s">
        <v>4020</v>
      </c>
      <c r="B2042" s="71" t="s">
        <v>4020</v>
      </c>
      <c r="C2042" s="51" t="s">
        <v>33</v>
      </c>
      <c r="D2042" s="48" t="s">
        <v>34</v>
      </c>
      <c r="E2042" s="18" t="s">
        <v>4021</v>
      </c>
      <c r="F2042" s="24" t="str">
        <f t="shared" si="124"/>
        <v>PPG - QTECH T36/T720     SEAL       501-018</v>
      </c>
      <c r="G2042" s="20" t="s">
        <v>6912</v>
      </c>
      <c r="H2042" s="49" t="s">
        <v>213</v>
      </c>
      <c r="I2042" s="18" t="s">
        <v>37</v>
      </c>
      <c r="J2042" s="18" t="s">
        <v>38</v>
      </c>
      <c r="K2042" t="s">
        <v>39</v>
      </c>
      <c r="L2042" s="50">
        <f>VLOOKUP(A2042,'[3]Price info'!A:D,4,FALSE)</f>
        <v>5.88</v>
      </c>
      <c r="M2042" s="18" t="s">
        <v>214</v>
      </c>
      <c r="N2042" s="20">
        <v>3105</v>
      </c>
      <c r="P2042" s="16">
        <f>VLOOKUP(A2042,'[3]Price info'!A:H,8,FALSE)</f>
        <v>5.88</v>
      </c>
      <c r="Q2042" s="17">
        <f t="shared" si="125"/>
        <v>1</v>
      </c>
      <c r="S2042" s="16" t="e">
        <f>VLOOKUP(A2042,[4]Sales!$E:$G,3,FALSE)</f>
        <v>#N/A</v>
      </c>
      <c r="T2042" s="19" t="e">
        <f>VLOOKUP(A2042,[4]Volume!$E:$G,3,FALSE)</f>
        <v>#N/A</v>
      </c>
      <c r="U2042" s="19" t="e">
        <f>VLOOKUP(A2042,[4]Piece!$E:$G,3,FALSE)</f>
        <v>#N/A</v>
      </c>
      <c r="V2042" s="21" t="e">
        <f t="shared" si="126"/>
        <v>#N/A</v>
      </c>
      <c r="W2042" s="16" t="e">
        <f t="shared" si="127"/>
        <v>#N/A</v>
      </c>
    </row>
    <row r="2043" spans="1:23" hidden="1" x14ac:dyDescent="0.3">
      <c r="A2043" s="71" t="s">
        <v>4022</v>
      </c>
      <c r="B2043" s="71" t="s">
        <v>4022</v>
      </c>
      <c r="C2043" s="47" t="s">
        <v>33</v>
      </c>
      <c r="D2043" s="48" t="s">
        <v>34</v>
      </c>
      <c r="E2043" s="18" t="s">
        <v>4023</v>
      </c>
      <c r="F2043" s="24" t="str">
        <f t="shared" si="124"/>
        <v>PPG - QTECH TIP 18"      QC917 FAN  QC917</v>
      </c>
      <c r="G2043" s="20" t="s">
        <v>6913</v>
      </c>
      <c r="H2043" s="49" t="s">
        <v>213</v>
      </c>
      <c r="I2043" s="18" t="s">
        <v>37</v>
      </c>
      <c r="J2043" s="18" t="s">
        <v>38</v>
      </c>
      <c r="K2043" t="s">
        <v>39</v>
      </c>
      <c r="L2043" s="50">
        <f>VLOOKUP(A2043,'[3]Price info'!A:D,4,FALSE)</f>
        <v>30.41</v>
      </c>
      <c r="M2043" s="18" t="s">
        <v>214</v>
      </c>
      <c r="N2043" s="20">
        <v>3105</v>
      </c>
      <c r="P2043" s="16">
        <f>VLOOKUP(A2043,'[3]Price info'!A:H,8,FALSE)</f>
        <v>30.41</v>
      </c>
      <c r="Q2043" s="17">
        <f t="shared" si="125"/>
        <v>1</v>
      </c>
      <c r="S2043" s="16" t="e">
        <f>VLOOKUP(A2043,[4]Sales!$E:$G,3,FALSE)</f>
        <v>#N/A</v>
      </c>
      <c r="T2043" s="19" t="e">
        <f>VLOOKUP(A2043,[4]Volume!$E:$G,3,FALSE)</f>
        <v>#N/A</v>
      </c>
      <c r="U2043" s="19" t="e">
        <f>VLOOKUP(A2043,[4]Piece!$E:$G,3,FALSE)</f>
        <v>#N/A</v>
      </c>
      <c r="V2043" s="21" t="e">
        <f t="shared" si="126"/>
        <v>#N/A</v>
      </c>
      <c r="W2043" s="16" t="e">
        <f t="shared" si="127"/>
        <v>#N/A</v>
      </c>
    </row>
    <row r="2044" spans="1:23" hidden="1" x14ac:dyDescent="0.3">
      <c r="A2044" s="71" t="s">
        <v>4024</v>
      </c>
      <c r="B2044" s="71" t="s">
        <v>4024</v>
      </c>
      <c r="C2044" s="47" t="s">
        <v>33</v>
      </c>
      <c r="D2044" s="48" t="s">
        <v>34</v>
      </c>
      <c r="E2044" s="18" t="s">
        <v>4025</v>
      </c>
      <c r="F2044" s="24" t="str">
        <f t="shared" si="124"/>
        <v>PPG - QTECH TIP EXTENSON 6"         110-206</v>
      </c>
      <c r="G2044" s="20" t="s">
        <v>6914</v>
      </c>
      <c r="H2044" s="49" t="s">
        <v>213</v>
      </c>
      <c r="I2044" s="18" t="s">
        <v>37</v>
      </c>
      <c r="J2044" s="18" t="s">
        <v>38</v>
      </c>
      <c r="K2044" t="s">
        <v>39</v>
      </c>
      <c r="L2044" s="50">
        <f>VLOOKUP(A2044,'[3]Price info'!A:D,4,FALSE)</f>
        <v>66.31</v>
      </c>
      <c r="M2044" s="18" t="s">
        <v>214</v>
      </c>
      <c r="N2044" s="20">
        <v>3105</v>
      </c>
      <c r="P2044" s="16">
        <f>VLOOKUP(A2044,'[3]Price info'!A:H,8,FALSE)</f>
        <v>66.31</v>
      </c>
      <c r="Q2044" s="17">
        <f t="shared" si="125"/>
        <v>1</v>
      </c>
      <c r="S2044" s="16" t="e">
        <f>VLOOKUP(A2044,[4]Sales!$E:$G,3,FALSE)</f>
        <v>#N/A</v>
      </c>
      <c r="T2044" s="19" t="e">
        <f>VLOOKUP(A2044,[4]Volume!$E:$G,3,FALSE)</f>
        <v>#N/A</v>
      </c>
      <c r="U2044" s="19" t="e">
        <f>VLOOKUP(A2044,[4]Piece!$E:$G,3,FALSE)</f>
        <v>#N/A</v>
      </c>
      <c r="V2044" s="21" t="e">
        <f t="shared" si="126"/>
        <v>#N/A</v>
      </c>
      <c r="W2044" s="16" t="e">
        <f t="shared" si="127"/>
        <v>#N/A</v>
      </c>
    </row>
    <row r="2045" spans="1:23" hidden="1" x14ac:dyDescent="0.3">
      <c r="A2045" s="71" t="s">
        <v>4026</v>
      </c>
      <c r="B2045" s="71" t="s">
        <v>4026</v>
      </c>
      <c r="C2045" s="51" t="s">
        <v>33</v>
      </c>
      <c r="D2045" s="48" t="s">
        <v>34</v>
      </c>
      <c r="E2045" s="18" t="s">
        <v>4027</v>
      </c>
      <c r="F2045" s="24" t="str">
        <f t="shared" si="124"/>
        <v>PPG - QTECH TT PAINT HOP ASSEMBLY   600-556</v>
      </c>
      <c r="G2045" s="20" t="s">
        <v>6915</v>
      </c>
      <c r="H2045" s="49" t="s">
        <v>213</v>
      </c>
      <c r="I2045" s="18" t="s">
        <v>37</v>
      </c>
      <c r="J2045" s="18" t="s">
        <v>38</v>
      </c>
      <c r="K2045" t="s">
        <v>39</v>
      </c>
      <c r="L2045" s="50">
        <f>VLOOKUP(A2045,'[3]Price info'!A:D,4,FALSE)</f>
        <v>297.08</v>
      </c>
      <c r="M2045" s="18" t="s">
        <v>214</v>
      </c>
      <c r="N2045" s="20">
        <v>3105</v>
      </c>
      <c r="P2045" s="16">
        <f>VLOOKUP(A2045,'[3]Price info'!A:H,8,FALSE)</f>
        <v>297.08</v>
      </c>
      <c r="Q2045" s="17">
        <f t="shared" si="125"/>
        <v>1</v>
      </c>
      <c r="S2045" s="16" t="e">
        <f>VLOOKUP(A2045,[4]Sales!$E:$G,3,FALSE)</f>
        <v>#N/A</v>
      </c>
      <c r="T2045" s="19" t="e">
        <f>VLOOKUP(A2045,[4]Volume!$E:$G,3,FALSE)</f>
        <v>#N/A</v>
      </c>
      <c r="U2045" s="19" t="e">
        <f>VLOOKUP(A2045,[4]Piece!$E:$G,3,FALSE)</f>
        <v>#N/A</v>
      </c>
      <c r="V2045" s="21" t="e">
        <f t="shared" si="126"/>
        <v>#N/A</v>
      </c>
      <c r="W2045" s="16" t="e">
        <f t="shared" si="127"/>
        <v>#N/A</v>
      </c>
    </row>
    <row r="2046" spans="1:23" hidden="1" x14ac:dyDescent="0.3">
      <c r="A2046" s="71" t="s">
        <v>4028</v>
      </c>
      <c r="B2046" s="71" t="s">
        <v>4028</v>
      </c>
      <c r="C2046" s="47" t="s">
        <v>33</v>
      </c>
      <c r="D2046" s="48" t="s">
        <v>34</v>
      </c>
      <c r="E2046" s="18" t="s">
        <v>4029</v>
      </c>
      <c r="F2046" s="24" t="str">
        <f t="shared" si="124"/>
        <v>PPG - RODO  10SHT COARSE SANDPAPER  FFJASP10C</v>
      </c>
      <c r="G2046" s="20" t="s">
        <v>6916</v>
      </c>
      <c r="H2046" s="49" t="s">
        <v>213</v>
      </c>
      <c r="I2046" s="18" t="s">
        <v>37</v>
      </c>
      <c r="J2046" s="18" t="s">
        <v>38</v>
      </c>
      <c r="K2046" t="s">
        <v>39</v>
      </c>
      <c r="L2046" s="50">
        <f>VLOOKUP(A2046,'[3]Price info'!A:D,4,FALSE)</f>
        <v>0.46</v>
      </c>
      <c r="M2046" s="18" t="s">
        <v>214</v>
      </c>
      <c r="N2046" s="20">
        <v>3105</v>
      </c>
      <c r="P2046" s="16">
        <f>VLOOKUP(A2046,'[3]Price info'!A:H,8,FALSE)</f>
        <v>0.46</v>
      </c>
      <c r="Q2046" s="17">
        <f t="shared" si="125"/>
        <v>1</v>
      </c>
      <c r="S2046" s="16" t="e">
        <f>VLOOKUP(A2046,[4]Sales!$E:$G,3,FALSE)</f>
        <v>#N/A</v>
      </c>
      <c r="T2046" s="19" t="e">
        <f>VLOOKUP(A2046,[4]Volume!$E:$G,3,FALSE)</f>
        <v>#N/A</v>
      </c>
      <c r="U2046" s="19" t="e">
        <f>VLOOKUP(A2046,[4]Piece!$E:$G,3,FALSE)</f>
        <v>#N/A</v>
      </c>
      <c r="V2046" s="21" t="e">
        <f t="shared" si="126"/>
        <v>#N/A</v>
      </c>
      <c r="W2046" s="16" t="e">
        <f t="shared" si="127"/>
        <v>#N/A</v>
      </c>
    </row>
    <row r="2047" spans="1:23" hidden="1" x14ac:dyDescent="0.3">
      <c r="A2047" s="71" t="s">
        <v>4030</v>
      </c>
      <c r="B2047" s="71" t="s">
        <v>4030</v>
      </c>
      <c r="C2047" s="47" t="s">
        <v>33</v>
      </c>
      <c r="D2047" s="48" t="s">
        <v>34</v>
      </c>
      <c r="E2047" s="18" t="s">
        <v>4031</v>
      </c>
      <c r="F2047" s="24" t="str">
        <f t="shared" si="124"/>
        <v>PPG - RODO  10SHT FINE   SANDPAPER  FFJASP10F</v>
      </c>
      <c r="G2047" s="20" t="s">
        <v>6917</v>
      </c>
      <c r="H2047" s="49" t="s">
        <v>213</v>
      </c>
      <c r="I2047" s="18" t="s">
        <v>37</v>
      </c>
      <c r="J2047" s="18" t="s">
        <v>38</v>
      </c>
      <c r="K2047" t="s">
        <v>39</v>
      </c>
      <c r="L2047" s="50">
        <f>VLOOKUP(A2047,'[3]Price info'!A:D,4,FALSE)</f>
        <v>0.46</v>
      </c>
      <c r="M2047" s="18" t="s">
        <v>214</v>
      </c>
      <c r="N2047" s="20">
        <v>3105</v>
      </c>
      <c r="P2047" s="16">
        <f>VLOOKUP(A2047,'[3]Price info'!A:H,8,FALSE)</f>
        <v>0.46</v>
      </c>
      <c r="Q2047" s="17">
        <f t="shared" si="125"/>
        <v>1</v>
      </c>
      <c r="S2047" s="16" t="e">
        <f>VLOOKUP(A2047,[4]Sales!$E:$G,3,FALSE)</f>
        <v>#N/A</v>
      </c>
      <c r="T2047" s="19" t="e">
        <f>VLOOKUP(A2047,[4]Volume!$E:$G,3,FALSE)</f>
        <v>#N/A</v>
      </c>
      <c r="U2047" s="19" t="e">
        <f>VLOOKUP(A2047,[4]Piece!$E:$G,3,FALSE)</f>
        <v>#N/A</v>
      </c>
      <c r="V2047" s="21" t="e">
        <f t="shared" si="126"/>
        <v>#N/A</v>
      </c>
      <c r="W2047" s="16" t="e">
        <f t="shared" si="127"/>
        <v>#N/A</v>
      </c>
    </row>
    <row r="2048" spans="1:23" hidden="1" x14ac:dyDescent="0.3">
      <c r="A2048" s="71" t="s">
        <v>4032</v>
      </c>
      <c r="B2048" s="71" t="s">
        <v>4032</v>
      </c>
      <c r="C2048" s="51" t="s">
        <v>33</v>
      </c>
      <c r="D2048" s="48" t="s">
        <v>34</v>
      </c>
      <c r="E2048" s="18" t="s">
        <v>4033</v>
      </c>
      <c r="F2048" s="24" t="str">
        <f t="shared" si="124"/>
        <v>PPG - RODO  10STH MEDIUM SANDPAPER  FFJAP10M</v>
      </c>
      <c r="G2048" s="20" t="s">
        <v>6918</v>
      </c>
      <c r="H2048" s="49" t="s">
        <v>213</v>
      </c>
      <c r="I2048" s="18" t="s">
        <v>37</v>
      </c>
      <c r="J2048" s="18" t="s">
        <v>38</v>
      </c>
      <c r="K2048" t="s">
        <v>39</v>
      </c>
      <c r="L2048" s="50">
        <f>VLOOKUP(A2048,'[3]Price info'!A:D,4,FALSE)</f>
        <v>0.46</v>
      </c>
      <c r="M2048" s="18" t="s">
        <v>214</v>
      </c>
      <c r="N2048" s="20">
        <v>3105</v>
      </c>
      <c r="P2048" s="16">
        <f>VLOOKUP(A2048,'[3]Price info'!A:H,8,FALSE)</f>
        <v>0.46</v>
      </c>
      <c r="Q2048" s="17">
        <f t="shared" si="125"/>
        <v>1</v>
      </c>
      <c r="S2048" s="16" t="e">
        <f>VLOOKUP(A2048,[4]Sales!$E:$G,3,FALSE)</f>
        <v>#N/A</v>
      </c>
      <c r="T2048" s="19" t="e">
        <f>VLOOKUP(A2048,[4]Volume!$E:$G,3,FALSE)</f>
        <v>#N/A</v>
      </c>
      <c r="U2048" s="19" t="e">
        <f>VLOOKUP(A2048,[4]Piece!$E:$G,3,FALSE)</f>
        <v>#N/A</v>
      </c>
      <c r="V2048" s="21" t="e">
        <f t="shared" si="126"/>
        <v>#N/A</v>
      </c>
      <c r="W2048" s="16" t="e">
        <f t="shared" si="127"/>
        <v>#N/A</v>
      </c>
    </row>
    <row r="2049" spans="1:23" hidden="1" x14ac:dyDescent="0.3">
      <c r="A2049" s="71" t="s">
        <v>4034</v>
      </c>
      <c r="B2049" s="71" t="s">
        <v>4034</v>
      </c>
      <c r="C2049" s="47" t="s">
        <v>33</v>
      </c>
      <c r="D2049" s="48" t="s">
        <v>34</v>
      </c>
      <c r="E2049" s="18" t="s">
        <v>4035</v>
      </c>
      <c r="F2049" s="24" t="str">
        <f t="shared" si="124"/>
        <v>PPG - RODO  18'X12' BLUE TARPAULIN  CNT1812</v>
      </c>
      <c r="G2049" s="20" t="s">
        <v>6919</v>
      </c>
      <c r="H2049" s="49" t="s">
        <v>213</v>
      </c>
      <c r="I2049" s="18" t="s">
        <v>37</v>
      </c>
      <c r="J2049" s="18" t="s">
        <v>38</v>
      </c>
      <c r="K2049" t="s">
        <v>39</v>
      </c>
      <c r="L2049" s="50">
        <f>VLOOKUP(A2049,'[3]Price info'!A:D,4,FALSE)</f>
        <v>14.4</v>
      </c>
      <c r="M2049" s="18" t="s">
        <v>214</v>
      </c>
      <c r="N2049" s="20">
        <v>3105</v>
      </c>
      <c r="P2049" s="16">
        <f>VLOOKUP(A2049,'[3]Price info'!A:H,8,FALSE)</f>
        <v>14.4</v>
      </c>
      <c r="Q2049" s="17">
        <f t="shared" si="125"/>
        <v>1</v>
      </c>
      <c r="S2049" s="16" t="e">
        <f>VLOOKUP(A2049,[4]Sales!$E:$G,3,FALSE)</f>
        <v>#N/A</v>
      </c>
      <c r="T2049" s="19" t="e">
        <f>VLOOKUP(A2049,[4]Volume!$E:$G,3,FALSE)</f>
        <v>#N/A</v>
      </c>
      <c r="U2049" s="19" t="e">
        <f>VLOOKUP(A2049,[4]Piece!$E:$G,3,FALSE)</f>
        <v>#N/A</v>
      </c>
      <c r="V2049" s="21" t="e">
        <f t="shared" si="126"/>
        <v>#N/A</v>
      </c>
      <c r="W2049" s="16" t="e">
        <f t="shared" si="127"/>
        <v>#N/A</v>
      </c>
    </row>
    <row r="2050" spans="1:23" hidden="1" x14ac:dyDescent="0.3">
      <c r="A2050" s="71" t="s">
        <v>4036</v>
      </c>
      <c r="B2050" s="71" t="s">
        <v>4036</v>
      </c>
      <c r="C2050" s="47" t="s">
        <v>33</v>
      </c>
      <c r="D2050" s="48" t="s">
        <v>34</v>
      </c>
      <c r="E2050" s="18" t="s">
        <v>4037</v>
      </c>
      <c r="F2050" s="24" t="str">
        <f t="shared" si="124"/>
        <v>PPG - RODO  2" FILLING   KNIFE(BLK) (.FFJFK2)</v>
      </c>
      <c r="G2050" s="20" t="s">
        <v>6920</v>
      </c>
      <c r="H2050" s="49" t="s">
        <v>213</v>
      </c>
      <c r="I2050" s="18" t="s">
        <v>37</v>
      </c>
      <c r="J2050" s="18" t="s">
        <v>38</v>
      </c>
      <c r="K2050" t="s">
        <v>39</v>
      </c>
      <c r="L2050" s="50">
        <f>VLOOKUP(A2050,'[3]Price info'!A:D,4,FALSE)</f>
        <v>1.74</v>
      </c>
      <c r="M2050" s="18" t="s">
        <v>214</v>
      </c>
      <c r="N2050" s="20">
        <v>3105</v>
      </c>
      <c r="P2050" s="16">
        <f>VLOOKUP(A2050,'[3]Price info'!A:H,8,FALSE)</f>
        <v>1.74</v>
      </c>
      <c r="Q2050" s="17">
        <f t="shared" si="125"/>
        <v>1</v>
      </c>
      <c r="S2050" s="16" t="e">
        <f>VLOOKUP(A2050,[4]Sales!$E:$G,3,FALSE)</f>
        <v>#N/A</v>
      </c>
      <c r="T2050" s="19" t="e">
        <f>VLOOKUP(A2050,[4]Volume!$E:$G,3,FALSE)</f>
        <v>#N/A</v>
      </c>
      <c r="U2050" s="19" t="e">
        <f>VLOOKUP(A2050,[4]Piece!$E:$G,3,FALSE)</f>
        <v>#N/A</v>
      </c>
      <c r="V2050" s="21" t="e">
        <f t="shared" si="126"/>
        <v>#N/A</v>
      </c>
      <c r="W2050" s="16" t="e">
        <f t="shared" si="127"/>
        <v>#N/A</v>
      </c>
    </row>
    <row r="2051" spans="1:23" hidden="1" x14ac:dyDescent="0.3">
      <c r="A2051" s="71" t="s">
        <v>4038</v>
      </c>
      <c r="B2051" s="71" t="s">
        <v>4038</v>
      </c>
      <c r="C2051" s="51" t="s">
        <v>33</v>
      </c>
      <c r="D2051" s="48" t="s">
        <v>34</v>
      </c>
      <c r="E2051" s="18" t="s">
        <v>4039</v>
      </c>
      <c r="F2051" s="24" t="str">
        <f t="shared" ref="F2051:F2114" si="128">D2051&amp;" - "&amp;E2051</f>
        <v>PPG - RODO  2" SCRAPER   BLACK HAND  (FFJPS2)</v>
      </c>
      <c r="G2051" s="20" t="s">
        <v>6921</v>
      </c>
      <c r="H2051" s="49" t="s">
        <v>213</v>
      </c>
      <c r="I2051" s="18" t="s">
        <v>37</v>
      </c>
      <c r="J2051" s="18" t="s">
        <v>38</v>
      </c>
      <c r="K2051" t="s">
        <v>39</v>
      </c>
      <c r="L2051" s="50">
        <f>VLOOKUP(A2051,'[3]Price info'!A:D,4,FALSE)</f>
        <v>1.74</v>
      </c>
      <c r="M2051" s="18" t="s">
        <v>214</v>
      </c>
      <c r="N2051" s="20">
        <v>3105</v>
      </c>
      <c r="P2051" s="16">
        <f>VLOOKUP(A2051,'[3]Price info'!A:H,8,FALSE)</f>
        <v>1.74</v>
      </c>
      <c r="Q2051" s="17">
        <f t="shared" ref="Q2051:Q2114" si="129">P2051/L2051</f>
        <v>1</v>
      </c>
      <c r="S2051" s="16" t="e">
        <f>VLOOKUP(A2051,[4]Sales!$E:$G,3,FALSE)</f>
        <v>#N/A</v>
      </c>
      <c r="T2051" s="19" t="e">
        <f>VLOOKUP(A2051,[4]Volume!$E:$G,3,FALSE)</f>
        <v>#N/A</v>
      </c>
      <c r="U2051" s="19" t="e">
        <f>VLOOKUP(A2051,[4]Piece!$E:$G,3,FALSE)</f>
        <v>#N/A</v>
      </c>
      <c r="V2051" s="21" t="e">
        <f t="shared" ref="V2051:V2114" si="130">U2051*P2051</f>
        <v>#N/A</v>
      </c>
      <c r="W2051" s="16" t="e">
        <f t="shared" ref="W2051:W2114" si="131">V2051-S2051</f>
        <v>#N/A</v>
      </c>
    </row>
    <row r="2052" spans="1:23" hidden="1" x14ac:dyDescent="0.3">
      <c r="A2052" s="71" t="s">
        <v>4040</v>
      </c>
      <c r="B2052" s="71" t="s">
        <v>4040</v>
      </c>
      <c r="C2052" s="47" t="s">
        <v>33</v>
      </c>
      <c r="D2052" s="48" t="s">
        <v>34</v>
      </c>
      <c r="E2052" s="18" t="s">
        <v>4041</v>
      </c>
      <c r="F2052" s="24" t="str">
        <f t="shared" si="128"/>
        <v>PPG - RODO  2.5L PLASTIC PAINT CAN  7PC</v>
      </c>
      <c r="G2052" s="20" t="s">
        <v>6922</v>
      </c>
      <c r="H2052" s="49" t="s">
        <v>213</v>
      </c>
      <c r="I2052" s="18" t="s">
        <v>37</v>
      </c>
      <c r="J2052" s="18" t="s">
        <v>38</v>
      </c>
      <c r="K2052" t="s">
        <v>39</v>
      </c>
      <c r="L2052" s="50">
        <f>VLOOKUP(A2052,'[3]Price info'!A:D,4,FALSE)</f>
        <v>1.43</v>
      </c>
      <c r="M2052" s="18" t="s">
        <v>214</v>
      </c>
      <c r="N2052" s="20">
        <v>3105</v>
      </c>
      <c r="P2052" s="16">
        <f>VLOOKUP(A2052,'[3]Price info'!A:H,8,FALSE)</f>
        <v>1.43</v>
      </c>
      <c r="Q2052" s="17">
        <f t="shared" si="129"/>
        <v>1</v>
      </c>
      <c r="S2052" s="16" t="e">
        <f>VLOOKUP(A2052,[4]Sales!$E:$G,3,FALSE)</f>
        <v>#N/A</v>
      </c>
      <c r="T2052" s="19" t="e">
        <f>VLOOKUP(A2052,[4]Volume!$E:$G,3,FALSE)</f>
        <v>#N/A</v>
      </c>
      <c r="U2052" s="19" t="e">
        <f>VLOOKUP(A2052,[4]Piece!$E:$G,3,FALSE)</f>
        <v>#N/A</v>
      </c>
      <c r="V2052" s="21" t="e">
        <f t="shared" si="130"/>
        <v>#N/A</v>
      </c>
      <c r="W2052" s="16" t="e">
        <f t="shared" si="131"/>
        <v>#N/A</v>
      </c>
    </row>
    <row r="2053" spans="1:23" hidden="1" x14ac:dyDescent="0.3">
      <c r="A2053" s="71" t="s">
        <v>4042</v>
      </c>
      <c r="B2053" s="71" t="s">
        <v>4042</v>
      </c>
      <c r="C2053" s="47" t="s">
        <v>33</v>
      </c>
      <c r="D2053" s="48" t="s">
        <v>34</v>
      </c>
      <c r="E2053" s="18" t="s">
        <v>4043</v>
      </c>
      <c r="F2053" s="24" t="str">
        <f t="shared" si="128"/>
        <v>PPG - RODO  24" TRIMMING EDGE       (TE241S)</v>
      </c>
      <c r="G2053" s="20" t="s">
        <v>6923</v>
      </c>
      <c r="H2053" s="49" t="s">
        <v>213</v>
      </c>
      <c r="I2053" s="18" t="s">
        <v>37</v>
      </c>
      <c r="J2053" s="18" t="s">
        <v>38</v>
      </c>
      <c r="K2053" t="s">
        <v>39</v>
      </c>
      <c r="L2053" s="50">
        <f>VLOOKUP(A2053,'[3]Price info'!A:D,4,FALSE)</f>
        <v>10.5</v>
      </c>
      <c r="M2053" s="18" t="s">
        <v>214</v>
      </c>
      <c r="N2053" s="20">
        <v>3105</v>
      </c>
      <c r="P2053" s="16">
        <f>VLOOKUP(A2053,'[3]Price info'!A:H,8,FALSE)</f>
        <v>10.5</v>
      </c>
      <c r="Q2053" s="17">
        <f t="shared" si="129"/>
        <v>1</v>
      </c>
      <c r="S2053" s="16" t="e">
        <f>VLOOKUP(A2053,[4]Sales!$E:$G,3,FALSE)</f>
        <v>#N/A</v>
      </c>
      <c r="T2053" s="19" t="e">
        <f>VLOOKUP(A2053,[4]Volume!$E:$G,3,FALSE)</f>
        <v>#N/A</v>
      </c>
      <c r="U2053" s="19" t="e">
        <f>VLOOKUP(A2053,[4]Piece!$E:$G,3,FALSE)</f>
        <v>#N/A</v>
      </c>
      <c r="V2053" s="21" t="e">
        <f t="shared" si="130"/>
        <v>#N/A</v>
      </c>
      <c r="W2053" s="16" t="e">
        <f t="shared" si="131"/>
        <v>#N/A</v>
      </c>
    </row>
    <row r="2054" spans="1:23" hidden="1" x14ac:dyDescent="0.3">
      <c r="A2054" s="71" t="s">
        <v>4044</v>
      </c>
      <c r="B2054" s="71" t="s">
        <v>4044</v>
      </c>
      <c r="C2054" s="51" t="s">
        <v>33</v>
      </c>
      <c r="D2054" s="48" t="s">
        <v>34</v>
      </c>
      <c r="E2054" s="18" t="s">
        <v>4045</v>
      </c>
      <c r="F2054" s="24" t="str">
        <f t="shared" si="128"/>
        <v>PPG - RODO  3" FILLING   KNIFE(BLK) (FFJFK3)</v>
      </c>
      <c r="G2054" s="20" t="s">
        <v>6924</v>
      </c>
      <c r="H2054" s="49" t="s">
        <v>213</v>
      </c>
      <c r="I2054" s="18" t="s">
        <v>37</v>
      </c>
      <c r="J2054" s="18" t="s">
        <v>38</v>
      </c>
      <c r="K2054" t="s">
        <v>39</v>
      </c>
      <c r="L2054" s="50">
        <f>VLOOKUP(A2054,'[3]Price info'!A:D,4,FALSE)</f>
        <v>2.62</v>
      </c>
      <c r="M2054" s="18" t="s">
        <v>214</v>
      </c>
      <c r="N2054" s="20">
        <v>3105</v>
      </c>
      <c r="P2054" s="16">
        <f>VLOOKUP(A2054,'[3]Price info'!A:H,8,FALSE)</f>
        <v>2.62</v>
      </c>
      <c r="Q2054" s="17">
        <f t="shared" si="129"/>
        <v>1</v>
      </c>
      <c r="S2054" s="16" t="e">
        <f>VLOOKUP(A2054,[4]Sales!$E:$G,3,FALSE)</f>
        <v>#N/A</v>
      </c>
      <c r="T2054" s="19" t="e">
        <f>VLOOKUP(A2054,[4]Volume!$E:$G,3,FALSE)</f>
        <v>#N/A</v>
      </c>
      <c r="U2054" s="19" t="e">
        <f>VLOOKUP(A2054,[4]Piece!$E:$G,3,FALSE)</f>
        <v>#N/A</v>
      </c>
      <c r="V2054" s="21" t="e">
        <f t="shared" si="130"/>
        <v>#N/A</v>
      </c>
      <c r="W2054" s="16" t="e">
        <f t="shared" si="131"/>
        <v>#N/A</v>
      </c>
    </row>
    <row r="2055" spans="1:23" hidden="1" x14ac:dyDescent="0.3">
      <c r="A2055" s="71" t="s">
        <v>4046</v>
      </c>
      <c r="B2055" s="71" t="s">
        <v>4046</v>
      </c>
      <c r="C2055" s="47" t="s">
        <v>33</v>
      </c>
      <c r="D2055" s="48" t="s">
        <v>34</v>
      </c>
      <c r="E2055" s="18" t="s">
        <v>4047</v>
      </c>
      <c r="F2055" s="24" t="str">
        <f t="shared" si="128"/>
        <v>PPG - RODO  3" SCRAPER   BLACK HAND (6)(FFJPS3</v>
      </c>
      <c r="G2055" s="20" t="s">
        <v>6925</v>
      </c>
      <c r="H2055" s="49" t="s">
        <v>213</v>
      </c>
      <c r="I2055" s="18" t="s">
        <v>37</v>
      </c>
      <c r="J2055" s="18" t="s">
        <v>38</v>
      </c>
      <c r="K2055" t="s">
        <v>39</v>
      </c>
      <c r="L2055" s="50">
        <f>VLOOKUP(A2055,'[3]Price info'!A:D,4,FALSE)</f>
        <v>3.07</v>
      </c>
      <c r="M2055" s="18" t="s">
        <v>214</v>
      </c>
      <c r="N2055" s="20">
        <v>3105</v>
      </c>
      <c r="P2055" s="16">
        <f>VLOOKUP(A2055,'[3]Price info'!A:H,8,FALSE)</f>
        <v>3.07</v>
      </c>
      <c r="Q2055" s="17">
        <f t="shared" si="129"/>
        <v>1</v>
      </c>
      <c r="S2055" s="16" t="e">
        <f>VLOOKUP(A2055,[4]Sales!$E:$G,3,FALSE)</f>
        <v>#N/A</v>
      </c>
      <c r="T2055" s="19" t="e">
        <f>VLOOKUP(A2055,[4]Volume!$E:$G,3,FALSE)</f>
        <v>#N/A</v>
      </c>
      <c r="U2055" s="19" t="e">
        <f>VLOOKUP(A2055,[4]Piece!$E:$G,3,FALSE)</f>
        <v>#N/A</v>
      </c>
      <c r="V2055" s="21" t="e">
        <f t="shared" si="130"/>
        <v>#N/A</v>
      </c>
      <c r="W2055" s="16" t="e">
        <f t="shared" si="131"/>
        <v>#N/A</v>
      </c>
    </row>
    <row r="2056" spans="1:23" hidden="1" x14ac:dyDescent="0.3">
      <c r="A2056" s="71" t="s">
        <v>4048</v>
      </c>
      <c r="B2056" s="71" t="s">
        <v>4048</v>
      </c>
      <c r="C2056" s="47" t="s">
        <v>33</v>
      </c>
      <c r="D2056" s="48" t="s">
        <v>34</v>
      </c>
      <c r="E2056" s="18" t="s">
        <v>4049</v>
      </c>
      <c r="F2056" s="24" t="str">
        <f t="shared" si="128"/>
        <v>PPG - RODO  4" FRAME     21" LONG   PRFR014</v>
      </c>
      <c r="G2056" s="20" t="s">
        <v>6926</v>
      </c>
      <c r="H2056" s="49" t="s">
        <v>213</v>
      </c>
      <c r="I2056" s="18" t="s">
        <v>37</v>
      </c>
      <c r="J2056" s="18" t="s">
        <v>38</v>
      </c>
      <c r="K2056" t="s">
        <v>39</v>
      </c>
      <c r="L2056" s="50">
        <f>VLOOKUP(A2056,'[3]Price info'!A:D,4,FALSE)</f>
        <v>1.29</v>
      </c>
      <c r="M2056" s="18" t="s">
        <v>214</v>
      </c>
      <c r="N2056" s="20">
        <v>3105</v>
      </c>
      <c r="P2056" s="16">
        <f>VLOOKUP(A2056,'[3]Price info'!A:H,8,FALSE)</f>
        <v>1.29</v>
      </c>
      <c r="Q2056" s="17">
        <f t="shared" si="129"/>
        <v>1</v>
      </c>
      <c r="S2056" s="16" t="e">
        <f>VLOOKUP(A2056,[4]Sales!$E:$G,3,FALSE)</f>
        <v>#N/A</v>
      </c>
      <c r="T2056" s="19" t="e">
        <f>VLOOKUP(A2056,[4]Volume!$E:$G,3,FALSE)</f>
        <v>#N/A</v>
      </c>
      <c r="U2056" s="19" t="e">
        <f>VLOOKUP(A2056,[4]Piece!$E:$G,3,FALSE)</f>
        <v>#N/A</v>
      </c>
      <c r="V2056" s="21" t="e">
        <f t="shared" si="130"/>
        <v>#N/A</v>
      </c>
      <c r="W2056" s="16" t="e">
        <f t="shared" si="131"/>
        <v>#N/A</v>
      </c>
    </row>
    <row r="2057" spans="1:23" hidden="1" x14ac:dyDescent="0.3">
      <c r="A2057" s="71" t="s">
        <v>4050</v>
      </c>
      <c r="B2057" s="71" t="s">
        <v>4050</v>
      </c>
      <c r="C2057" s="51" t="s">
        <v>33</v>
      </c>
      <c r="D2057" s="48" t="s">
        <v>34</v>
      </c>
      <c r="E2057" s="18" t="s">
        <v>4051</v>
      </c>
      <c r="F2057" s="24" t="str">
        <f t="shared" si="128"/>
        <v>PPG - RODO  4" ROLLERSET MED PILE   ARRF007</v>
      </c>
      <c r="G2057" s="20" t="s">
        <v>6927</v>
      </c>
      <c r="H2057" s="49" t="s">
        <v>213</v>
      </c>
      <c r="I2057" s="18" t="s">
        <v>37</v>
      </c>
      <c r="J2057" s="18" t="s">
        <v>38</v>
      </c>
      <c r="K2057" t="s">
        <v>39</v>
      </c>
      <c r="L2057" s="50">
        <f>VLOOKUP(A2057,'[3]Price info'!A:D,4,FALSE)</f>
        <v>7.67</v>
      </c>
      <c r="M2057" s="18" t="s">
        <v>214</v>
      </c>
      <c r="N2057" s="20">
        <v>3105</v>
      </c>
      <c r="P2057" s="16">
        <f>VLOOKUP(A2057,'[3]Price info'!A:H,8,FALSE)</f>
        <v>7.67</v>
      </c>
      <c r="Q2057" s="17">
        <f t="shared" si="129"/>
        <v>1</v>
      </c>
      <c r="S2057" s="16" t="e">
        <f>VLOOKUP(A2057,[4]Sales!$E:$G,3,FALSE)</f>
        <v>#N/A</v>
      </c>
      <c r="T2057" s="19" t="e">
        <f>VLOOKUP(A2057,[4]Volume!$E:$G,3,FALSE)</f>
        <v>#N/A</v>
      </c>
      <c r="U2057" s="19" t="e">
        <f>VLOOKUP(A2057,[4]Piece!$E:$G,3,FALSE)</f>
        <v>#N/A</v>
      </c>
      <c r="V2057" s="21" t="e">
        <f t="shared" si="130"/>
        <v>#N/A</v>
      </c>
      <c r="W2057" s="16" t="e">
        <f t="shared" si="131"/>
        <v>#N/A</v>
      </c>
    </row>
    <row r="2058" spans="1:23" hidden="1" x14ac:dyDescent="0.3">
      <c r="A2058" s="71" t="s">
        <v>4052</v>
      </c>
      <c r="B2058" s="71" t="s">
        <v>4052</v>
      </c>
      <c r="C2058" s="47" t="s">
        <v>33</v>
      </c>
      <c r="D2058" s="48" t="s">
        <v>34</v>
      </c>
      <c r="E2058" s="18" t="s">
        <v>4053</v>
      </c>
      <c r="F2058" s="24" t="str">
        <f t="shared" si="128"/>
        <v>PPG - RODO  4" ROLLERSET SHORT PILE ARRF001</v>
      </c>
      <c r="G2058" s="20" t="s">
        <v>6928</v>
      </c>
      <c r="H2058" s="49" t="s">
        <v>213</v>
      </c>
      <c r="I2058" s="18" t="s">
        <v>37</v>
      </c>
      <c r="J2058" s="18" t="s">
        <v>38</v>
      </c>
      <c r="K2058" t="s">
        <v>39</v>
      </c>
      <c r="L2058" s="50">
        <f>VLOOKUP(A2058,'[3]Price info'!A:D,4,FALSE)</f>
        <v>7.16</v>
      </c>
      <c r="M2058" s="18" t="s">
        <v>214</v>
      </c>
      <c r="N2058" s="20">
        <v>3105</v>
      </c>
      <c r="P2058" s="16">
        <f>VLOOKUP(A2058,'[3]Price info'!A:H,8,FALSE)</f>
        <v>7.16</v>
      </c>
      <c r="Q2058" s="17">
        <f t="shared" si="129"/>
        <v>1</v>
      </c>
      <c r="S2058" s="16" t="e">
        <f>VLOOKUP(A2058,[4]Sales!$E:$G,3,FALSE)</f>
        <v>#N/A</v>
      </c>
      <c r="T2058" s="19" t="e">
        <f>VLOOKUP(A2058,[4]Volume!$E:$G,3,FALSE)</f>
        <v>#N/A</v>
      </c>
      <c r="U2058" s="19" t="e">
        <f>VLOOKUP(A2058,[4]Piece!$E:$G,3,FALSE)</f>
        <v>#N/A</v>
      </c>
      <c r="V2058" s="21" t="e">
        <f t="shared" si="130"/>
        <v>#N/A</v>
      </c>
      <c r="W2058" s="16" t="e">
        <f t="shared" si="131"/>
        <v>#N/A</v>
      </c>
    </row>
    <row r="2059" spans="1:23" hidden="1" x14ac:dyDescent="0.3">
      <c r="A2059" s="71" t="s">
        <v>4054</v>
      </c>
      <c r="B2059" s="71" t="s">
        <v>4054</v>
      </c>
      <c r="C2059" s="47" t="s">
        <v>33</v>
      </c>
      <c r="D2059" s="48" t="s">
        <v>34</v>
      </c>
      <c r="E2059" s="18" t="s">
        <v>4055</v>
      </c>
      <c r="F2059" s="24" t="str">
        <f t="shared" si="128"/>
        <v>PPG - RODO  4PC FLOOR    PAINT KIT</v>
      </c>
      <c r="G2059" s="20" t="s">
        <v>6929</v>
      </c>
      <c r="H2059" s="49" t="s">
        <v>213</v>
      </c>
      <c r="I2059" s="18" t="s">
        <v>37</v>
      </c>
      <c r="J2059" s="18" t="s">
        <v>38</v>
      </c>
      <c r="K2059" t="s">
        <v>39</v>
      </c>
      <c r="L2059" s="50">
        <f>VLOOKUP(A2059,'[3]Price info'!A:D,4,FALSE)</f>
        <v>22.1</v>
      </c>
      <c r="M2059" s="18" t="s">
        <v>214</v>
      </c>
      <c r="N2059" s="20">
        <v>3105</v>
      </c>
      <c r="P2059" s="16">
        <f>VLOOKUP(A2059,'[3]Price info'!A:H,8,FALSE)</f>
        <v>22.1</v>
      </c>
      <c r="Q2059" s="17">
        <f t="shared" si="129"/>
        <v>1</v>
      </c>
      <c r="S2059" s="16" t="e">
        <f>VLOOKUP(A2059,[4]Sales!$E:$G,3,FALSE)</f>
        <v>#N/A</v>
      </c>
      <c r="T2059" s="19" t="e">
        <f>VLOOKUP(A2059,[4]Volume!$E:$G,3,FALSE)</f>
        <v>#N/A</v>
      </c>
      <c r="U2059" s="19" t="e">
        <f>VLOOKUP(A2059,[4]Piece!$E:$G,3,FALSE)</f>
        <v>#N/A</v>
      </c>
      <c r="V2059" s="21" t="e">
        <f t="shared" si="130"/>
        <v>#N/A</v>
      </c>
      <c r="W2059" s="16" t="e">
        <f t="shared" si="131"/>
        <v>#N/A</v>
      </c>
    </row>
    <row r="2060" spans="1:23" hidden="1" x14ac:dyDescent="0.3">
      <c r="A2060" s="71" t="s">
        <v>4056</v>
      </c>
      <c r="B2060" s="71" t="s">
        <v>4056</v>
      </c>
      <c r="C2060" s="51" t="s">
        <v>33</v>
      </c>
      <c r="D2060" s="48" t="s">
        <v>34</v>
      </c>
      <c r="E2060" s="18" t="s">
        <v>4057</v>
      </c>
      <c r="F2060" s="24" t="str">
        <f t="shared" si="128"/>
        <v>PPG - RODO  600MM SQUARE WORKSTATIO ALUMINIUM</v>
      </c>
      <c r="G2060" s="20" t="s">
        <v>6930</v>
      </c>
      <c r="H2060" s="49" t="s">
        <v>213</v>
      </c>
      <c r="I2060" s="18" t="s">
        <v>37</v>
      </c>
      <c r="J2060" s="18" t="s">
        <v>38</v>
      </c>
      <c r="K2060" t="s">
        <v>39</v>
      </c>
      <c r="L2060" s="50">
        <f>VLOOKUP(A2060,'[3]Price info'!A:D,4,FALSE)</f>
        <v>67.510000000000005</v>
      </c>
      <c r="M2060" s="18" t="s">
        <v>214</v>
      </c>
      <c r="N2060" s="20">
        <v>3105</v>
      </c>
      <c r="P2060" s="16">
        <f>VLOOKUP(A2060,'[3]Price info'!A:H,8,FALSE)</f>
        <v>67.510000000000005</v>
      </c>
      <c r="Q2060" s="17">
        <f t="shared" si="129"/>
        <v>1</v>
      </c>
      <c r="S2060" s="16" t="e">
        <f>VLOOKUP(A2060,[4]Sales!$E:$G,3,FALSE)</f>
        <v>#N/A</v>
      </c>
      <c r="T2060" s="19" t="e">
        <f>VLOOKUP(A2060,[4]Volume!$E:$G,3,FALSE)</f>
        <v>#N/A</v>
      </c>
      <c r="U2060" s="19" t="e">
        <f>VLOOKUP(A2060,[4]Piece!$E:$G,3,FALSE)</f>
        <v>#N/A</v>
      </c>
      <c r="V2060" s="21" t="e">
        <f t="shared" si="130"/>
        <v>#N/A</v>
      </c>
      <c r="W2060" s="16" t="e">
        <f t="shared" si="131"/>
        <v>#N/A</v>
      </c>
    </row>
    <row r="2061" spans="1:23" hidden="1" x14ac:dyDescent="0.3">
      <c r="A2061" s="71" t="s">
        <v>4058</v>
      </c>
      <c r="B2061" s="71" t="s">
        <v>4058</v>
      </c>
      <c r="C2061" s="47" t="s">
        <v>33</v>
      </c>
      <c r="D2061" s="48" t="s">
        <v>34</v>
      </c>
      <c r="E2061" s="18" t="s">
        <v>4059</v>
      </c>
      <c r="F2061" s="24" t="str">
        <f t="shared" si="128"/>
        <v>PPG - RODO  8P TIGER SET ROLL FRAME</v>
      </c>
      <c r="G2061" s="20" t="s">
        <v>6931</v>
      </c>
      <c r="H2061" s="49" t="s">
        <v>213</v>
      </c>
      <c r="I2061" s="18" t="s">
        <v>37</v>
      </c>
      <c r="J2061" s="18" t="s">
        <v>38</v>
      </c>
      <c r="K2061" t="s">
        <v>39</v>
      </c>
      <c r="L2061" s="50">
        <f>VLOOKUP(A2061,'[3]Price info'!A:D,4,FALSE)</f>
        <v>17.5</v>
      </c>
      <c r="M2061" s="18" t="s">
        <v>214</v>
      </c>
      <c r="N2061" s="20">
        <v>3105</v>
      </c>
      <c r="P2061" s="16">
        <f>VLOOKUP(A2061,'[3]Price info'!A:H,8,FALSE)</f>
        <v>17.5</v>
      </c>
      <c r="Q2061" s="17">
        <f t="shared" si="129"/>
        <v>1</v>
      </c>
      <c r="S2061" s="16" t="e">
        <f>VLOOKUP(A2061,[4]Sales!$E:$G,3,FALSE)</f>
        <v>#N/A</v>
      </c>
      <c r="T2061" s="19" t="e">
        <f>VLOOKUP(A2061,[4]Volume!$E:$G,3,FALSE)</f>
        <v>#N/A</v>
      </c>
      <c r="U2061" s="19" t="e">
        <f>VLOOKUP(A2061,[4]Piece!$E:$G,3,FALSE)</f>
        <v>#N/A</v>
      </c>
      <c r="V2061" s="21" t="e">
        <f t="shared" si="130"/>
        <v>#N/A</v>
      </c>
      <c r="W2061" s="16" t="e">
        <f t="shared" si="131"/>
        <v>#N/A</v>
      </c>
    </row>
    <row r="2062" spans="1:23" hidden="1" x14ac:dyDescent="0.3">
      <c r="A2062" s="71" t="s">
        <v>4060</v>
      </c>
      <c r="B2062" s="71" t="s">
        <v>4060</v>
      </c>
      <c r="C2062" s="47" t="s">
        <v>33</v>
      </c>
      <c r="D2062" s="48" t="s">
        <v>34</v>
      </c>
      <c r="E2062" s="18" t="s">
        <v>4061</v>
      </c>
      <c r="F2062" s="24" t="str">
        <f t="shared" si="128"/>
        <v>PPG - RODO  9" MASONRY   ROLLER SET PRRF006</v>
      </c>
      <c r="G2062" s="20" t="s">
        <v>6932</v>
      </c>
      <c r="H2062" s="49" t="s">
        <v>213</v>
      </c>
      <c r="I2062" s="18" t="s">
        <v>37</v>
      </c>
      <c r="J2062" s="18" t="s">
        <v>38</v>
      </c>
      <c r="K2062" t="s">
        <v>39</v>
      </c>
      <c r="L2062" s="50">
        <f>VLOOKUP(A2062,'[3]Price info'!A:D,4,FALSE)</f>
        <v>6.55</v>
      </c>
      <c r="M2062" s="18" t="s">
        <v>214</v>
      </c>
      <c r="N2062" s="20">
        <v>3105</v>
      </c>
      <c r="P2062" s="16">
        <f>VLOOKUP(A2062,'[3]Price info'!A:H,8,FALSE)</f>
        <v>6.55</v>
      </c>
      <c r="Q2062" s="17">
        <f t="shared" si="129"/>
        <v>1</v>
      </c>
      <c r="S2062" s="16" t="e">
        <f>VLOOKUP(A2062,[4]Sales!$E:$G,3,FALSE)</f>
        <v>#N/A</v>
      </c>
      <c r="T2062" s="19" t="e">
        <f>VLOOKUP(A2062,[4]Volume!$E:$G,3,FALSE)</f>
        <v>#N/A</v>
      </c>
      <c r="U2062" s="19" t="e">
        <f>VLOOKUP(A2062,[4]Piece!$E:$G,3,FALSE)</f>
        <v>#N/A</v>
      </c>
      <c r="V2062" s="21" t="e">
        <f t="shared" si="130"/>
        <v>#N/A</v>
      </c>
      <c r="W2062" s="16" t="e">
        <f t="shared" si="131"/>
        <v>#N/A</v>
      </c>
    </row>
    <row r="2063" spans="1:23" hidden="1" x14ac:dyDescent="0.3">
      <c r="A2063" s="71" t="s">
        <v>4062</v>
      </c>
      <c r="B2063" s="71" t="s">
        <v>4062</v>
      </c>
      <c r="C2063" s="51" t="s">
        <v>33</v>
      </c>
      <c r="D2063" s="48" t="s">
        <v>34</v>
      </c>
      <c r="E2063" s="18" t="s">
        <v>4063</v>
      </c>
      <c r="F2063" s="24" t="str">
        <f t="shared" si="128"/>
        <v>PPG - RODO  9" X 1.5"    TITAN FRM  ARFR002</v>
      </c>
      <c r="G2063" s="20" t="s">
        <v>6933</v>
      </c>
      <c r="H2063" s="49" t="s">
        <v>213</v>
      </c>
      <c r="I2063" s="18" t="s">
        <v>37</v>
      </c>
      <c r="J2063" s="18" t="s">
        <v>38</v>
      </c>
      <c r="K2063" t="s">
        <v>39</v>
      </c>
      <c r="L2063" s="50">
        <f>VLOOKUP(A2063,'[3]Price info'!A:D,4,FALSE)</f>
        <v>6.14</v>
      </c>
      <c r="M2063" s="18" t="s">
        <v>214</v>
      </c>
      <c r="N2063" s="20">
        <v>3105</v>
      </c>
      <c r="P2063" s="16">
        <f>VLOOKUP(A2063,'[3]Price info'!A:H,8,FALSE)</f>
        <v>6.14</v>
      </c>
      <c r="Q2063" s="17">
        <f t="shared" si="129"/>
        <v>1</v>
      </c>
      <c r="S2063" s="16" t="e">
        <f>VLOOKUP(A2063,[4]Sales!$E:$G,3,FALSE)</f>
        <v>#N/A</v>
      </c>
      <c r="T2063" s="19" t="e">
        <f>VLOOKUP(A2063,[4]Volume!$E:$G,3,FALSE)</f>
        <v>#N/A</v>
      </c>
      <c r="U2063" s="19" t="e">
        <f>VLOOKUP(A2063,[4]Piece!$E:$G,3,FALSE)</f>
        <v>#N/A</v>
      </c>
      <c r="V2063" s="21" t="e">
        <f t="shared" si="130"/>
        <v>#N/A</v>
      </c>
      <c r="W2063" s="16" t="e">
        <f t="shared" si="131"/>
        <v>#N/A</v>
      </c>
    </row>
    <row r="2064" spans="1:23" hidden="1" x14ac:dyDescent="0.3">
      <c r="A2064" s="71" t="s">
        <v>4064</v>
      </c>
      <c r="B2064" s="71" t="s">
        <v>4064</v>
      </c>
      <c r="C2064" s="47" t="s">
        <v>33</v>
      </c>
      <c r="D2064" s="48" t="s">
        <v>34</v>
      </c>
      <c r="E2064" s="18" t="s">
        <v>4065</v>
      </c>
      <c r="F2064" s="24" t="str">
        <f t="shared" si="128"/>
        <v>PPG - RODO  9" X 1.75"   WOOD FRAME PRFR007</v>
      </c>
      <c r="G2064" s="20" t="s">
        <v>6934</v>
      </c>
      <c r="H2064" s="49" t="s">
        <v>213</v>
      </c>
      <c r="I2064" s="18" t="s">
        <v>37</v>
      </c>
      <c r="J2064" s="18" t="s">
        <v>38</v>
      </c>
      <c r="K2064" t="s">
        <v>39</v>
      </c>
      <c r="L2064" s="50">
        <f>VLOOKUP(A2064,'[3]Price info'!A:D,4,FALSE)</f>
        <v>13.22</v>
      </c>
      <c r="M2064" s="18" t="s">
        <v>214</v>
      </c>
      <c r="N2064" s="20">
        <v>3105</v>
      </c>
      <c r="P2064" s="16">
        <f>VLOOKUP(A2064,'[3]Price info'!A:H,8,FALSE)</f>
        <v>13.22</v>
      </c>
      <c r="Q2064" s="17">
        <f t="shared" si="129"/>
        <v>1</v>
      </c>
      <c r="S2064" s="16" t="e">
        <f>VLOOKUP(A2064,[4]Sales!$E:$G,3,FALSE)</f>
        <v>#N/A</v>
      </c>
      <c r="T2064" s="19" t="e">
        <f>VLOOKUP(A2064,[4]Volume!$E:$G,3,FALSE)</f>
        <v>#N/A</v>
      </c>
      <c r="U2064" s="19" t="e">
        <f>VLOOKUP(A2064,[4]Piece!$E:$G,3,FALSE)</f>
        <v>#N/A</v>
      </c>
      <c r="V2064" s="21" t="e">
        <f t="shared" si="130"/>
        <v>#N/A</v>
      </c>
      <c r="W2064" s="16" t="e">
        <f t="shared" si="131"/>
        <v>#N/A</v>
      </c>
    </row>
    <row r="2065" spans="1:23" hidden="1" x14ac:dyDescent="0.3">
      <c r="A2065" s="71" t="s">
        <v>4066</v>
      </c>
      <c r="B2065" s="71" t="s">
        <v>4066</v>
      </c>
      <c r="C2065" s="47" t="s">
        <v>33</v>
      </c>
      <c r="D2065" s="48" t="s">
        <v>34</v>
      </c>
      <c r="E2065" s="18" t="s">
        <v>4067</v>
      </c>
      <c r="F2065" s="24" t="str">
        <f t="shared" si="128"/>
        <v>PPG - RODO  9"ROLLER KIT 2 SLEEVES  PSSETH</v>
      </c>
      <c r="G2065" s="20" t="s">
        <v>6935</v>
      </c>
      <c r="H2065" s="49" t="s">
        <v>213</v>
      </c>
      <c r="I2065" s="18" t="s">
        <v>37</v>
      </c>
      <c r="J2065" s="18" t="s">
        <v>38</v>
      </c>
      <c r="K2065" t="s">
        <v>39</v>
      </c>
      <c r="L2065" s="50">
        <f>VLOOKUP(A2065,'[3]Price info'!A:D,4,FALSE)</f>
        <v>3.86</v>
      </c>
      <c r="M2065" s="18" t="s">
        <v>214</v>
      </c>
      <c r="N2065" s="20">
        <v>3105</v>
      </c>
      <c r="P2065" s="16">
        <f>VLOOKUP(A2065,'[3]Price info'!A:H,8,FALSE)</f>
        <v>3.86</v>
      </c>
      <c r="Q2065" s="17">
        <f t="shared" si="129"/>
        <v>1</v>
      </c>
      <c r="S2065" s="16" t="e">
        <f>VLOOKUP(A2065,[4]Sales!$E:$G,3,FALSE)</f>
        <v>#N/A</v>
      </c>
      <c r="T2065" s="19" t="e">
        <f>VLOOKUP(A2065,[4]Volume!$E:$G,3,FALSE)</f>
        <v>#N/A</v>
      </c>
      <c r="U2065" s="19" t="e">
        <f>VLOOKUP(A2065,[4]Piece!$E:$G,3,FALSE)</f>
        <v>#N/A</v>
      </c>
      <c r="V2065" s="21" t="e">
        <f t="shared" si="130"/>
        <v>#N/A</v>
      </c>
      <c r="W2065" s="16" t="e">
        <f t="shared" si="131"/>
        <v>#N/A</v>
      </c>
    </row>
    <row r="2066" spans="1:23" hidden="1" x14ac:dyDescent="0.3">
      <c r="A2066" s="71" t="s">
        <v>4068</v>
      </c>
      <c r="B2066" s="71" t="s">
        <v>4068</v>
      </c>
      <c r="C2066" s="51" t="s">
        <v>33</v>
      </c>
      <c r="D2066" s="48" t="s">
        <v>34</v>
      </c>
      <c r="E2066" s="18" t="s">
        <v>4069</v>
      </c>
      <c r="F2066" s="24" t="str">
        <f t="shared" si="128"/>
        <v>PPG - RODO  9"ROLLER KIT 3 SLEEVES  PSET3H</v>
      </c>
      <c r="G2066" s="20" t="s">
        <v>6936</v>
      </c>
      <c r="H2066" s="49" t="s">
        <v>213</v>
      </c>
      <c r="I2066" s="18" t="s">
        <v>37</v>
      </c>
      <c r="J2066" s="18" t="s">
        <v>38</v>
      </c>
      <c r="K2066" t="s">
        <v>39</v>
      </c>
      <c r="L2066" s="50">
        <f>VLOOKUP(A2066,'[3]Price info'!A:D,4,FALSE)</f>
        <v>4.3899999999999997</v>
      </c>
      <c r="M2066" s="18" t="s">
        <v>214</v>
      </c>
      <c r="N2066" s="20">
        <v>3105</v>
      </c>
      <c r="P2066" s="16">
        <f>VLOOKUP(A2066,'[3]Price info'!A:H,8,FALSE)</f>
        <v>4.3899999999999997</v>
      </c>
      <c r="Q2066" s="17">
        <f t="shared" si="129"/>
        <v>1</v>
      </c>
      <c r="S2066" s="16" t="e">
        <f>VLOOKUP(A2066,[4]Sales!$E:$G,3,FALSE)</f>
        <v>#N/A</v>
      </c>
      <c r="T2066" s="19" t="e">
        <f>VLOOKUP(A2066,[4]Volume!$E:$G,3,FALSE)</f>
        <v>#N/A</v>
      </c>
      <c r="U2066" s="19" t="e">
        <f>VLOOKUP(A2066,[4]Piece!$E:$G,3,FALSE)</f>
        <v>#N/A</v>
      </c>
      <c r="V2066" s="21" t="e">
        <f t="shared" si="130"/>
        <v>#N/A</v>
      </c>
      <c r="W2066" s="16" t="e">
        <f t="shared" si="131"/>
        <v>#N/A</v>
      </c>
    </row>
    <row r="2067" spans="1:23" hidden="1" x14ac:dyDescent="0.3">
      <c r="A2067" s="71" t="s">
        <v>4070</v>
      </c>
      <c r="B2067" s="71" t="s">
        <v>4070</v>
      </c>
      <c r="C2067" s="47" t="s">
        <v>33</v>
      </c>
      <c r="D2067" s="48" t="s">
        <v>34</v>
      </c>
      <c r="E2067" s="18" t="s">
        <v>4071</v>
      </c>
      <c r="F2067" s="24" t="str">
        <f t="shared" si="128"/>
        <v>PPG - RODO  ADAPTOR FOR  STRUCTRON  POLES (SEA</v>
      </c>
      <c r="G2067" s="20" t="s">
        <v>6937</v>
      </c>
      <c r="H2067" s="49" t="s">
        <v>213</v>
      </c>
      <c r="I2067" s="18" t="s">
        <v>37</v>
      </c>
      <c r="J2067" s="18" t="s">
        <v>38</v>
      </c>
      <c r="K2067" t="s">
        <v>39</v>
      </c>
      <c r="L2067" s="50">
        <f>VLOOKUP(A2067,'[3]Price info'!A:D,4,FALSE)</f>
        <v>1.7</v>
      </c>
      <c r="M2067" s="18" t="s">
        <v>214</v>
      </c>
      <c r="N2067" s="20">
        <v>3105</v>
      </c>
      <c r="P2067" s="16">
        <f>VLOOKUP(A2067,'[3]Price info'!A:H,8,FALSE)</f>
        <v>1.7</v>
      </c>
      <c r="Q2067" s="17">
        <f t="shared" si="129"/>
        <v>1</v>
      </c>
      <c r="S2067" s="16">
        <f>VLOOKUP(A2067,[4]Sales!$E:$G,3,FALSE)</f>
        <v>0</v>
      </c>
      <c r="T2067" s="19">
        <f>VLOOKUP(A2067,[4]Volume!$E:$G,3,FALSE)</f>
        <v>1</v>
      </c>
      <c r="U2067" s="19">
        <f>VLOOKUP(A2067,[4]Piece!$E:$G,3,FALSE)</f>
        <v>1</v>
      </c>
      <c r="V2067" s="21">
        <f t="shared" si="130"/>
        <v>1.7</v>
      </c>
      <c r="W2067" s="16">
        <f t="shared" si="131"/>
        <v>1.7</v>
      </c>
    </row>
    <row r="2068" spans="1:23" hidden="1" x14ac:dyDescent="0.3">
      <c r="A2068" s="71" t="s">
        <v>4072</v>
      </c>
      <c r="B2068" s="71" t="s">
        <v>4072</v>
      </c>
      <c r="C2068" s="47" t="s">
        <v>33</v>
      </c>
      <c r="D2068" s="48" t="s">
        <v>34</v>
      </c>
      <c r="E2068" s="18" t="s">
        <v>4073</v>
      </c>
      <c r="F2068" s="24" t="str">
        <f t="shared" si="128"/>
        <v>PPG - RODO  ALU EXT POLE PREX002    4'-7'</v>
      </c>
      <c r="G2068" s="20" t="s">
        <v>6938</v>
      </c>
      <c r="H2068" s="49" t="s">
        <v>213</v>
      </c>
      <c r="I2068" s="18" t="s">
        <v>37</v>
      </c>
      <c r="J2068" s="18" t="s">
        <v>38</v>
      </c>
      <c r="K2068" t="s">
        <v>39</v>
      </c>
      <c r="L2068" s="50">
        <f>VLOOKUP(A2068,'[3]Price info'!A:D,4,FALSE)</f>
        <v>9.6300000000000008</v>
      </c>
      <c r="M2068" s="18" t="s">
        <v>214</v>
      </c>
      <c r="N2068" s="20">
        <v>3105</v>
      </c>
      <c r="P2068" s="16">
        <f>VLOOKUP(A2068,'[3]Price info'!A:H,8,FALSE)</f>
        <v>9.6300000000000008</v>
      </c>
      <c r="Q2068" s="17">
        <f t="shared" si="129"/>
        <v>1</v>
      </c>
      <c r="S2068" s="16" t="e">
        <f>VLOOKUP(A2068,[4]Sales!$E:$G,3,FALSE)</f>
        <v>#N/A</v>
      </c>
      <c r="T2068" s="19" t="e">
        <f>VLOOKUP(A2068,[4]Volume!$E:$G,3,FALSE)</f>
        <v>#N/A</v>
      </c>
      <c r="U2068" s="19" t="e">
        <f>VLOOKUP(A2068,[4]Piece!$E:$G,3,FALSE)</f>
        <v>#N/A</v>
      </c>
      <c r="V2068" s="21" t="e">
        <f t="shared" si="130"/>
        <v>#N/A</v>
      </c>
      <c r="W2068" s="16" t="e">
        <f t="shared" si="131"/>
        <v>#N/A</v>
      </c>
    </row>
    <row r="2069" spans="1:23" hidden="1" x14ac:dyDescent="0.3">
      <c r="A2069" s="71" t="s">
        <v>4074</v>
      </c>
      <c r="B2069" s="71" t="s">
        <v>4074</v>
      </c>
      <c r="C2069" s="51" t="s">
        <v>33</v>
      </c>
      <c r="D2069" s="48" t="s">
        <v>34</v>
      </c>
      <c r="E2069" s="18" t="s">
        <v>4075</v>
      </c>
      <c r="F2069" s="24" t="str">
        <f t="shared" si="128"/>
        <v>PPG - RODO  BACK PRINT   100 PLUS</v>
      </c>
      <c r="G2069" s="20" t="s">
        <v>6939</v>
      </c>
      <c r="H2069" s="49" t="s">
        <v>213</v>
      </c>
      <c r="I2069" s="18" t="s">
        <v>37</v>
      </c>
      <c r="J2069" s="18" t="s">
        <v>38</v>
      </c>
      <c r="K2069" t="s">
        <v>39</v>
      </c>
      <c r="L2069" s="50">
        <f>VLOOKUP(A2069,'[3]Price info'!A:D,4,FALSE)</f>
        <v>4.6100000000000003</v>
      </c>
      <c r="M2069" s="18" t="s">
        <v>214</v>
      </c>
      <c r="N2069" s="20">
        <v>3105</v>
      </c>
      <c r="P2069" s="16">
        <f>VLOOKUP(A2069,'[3]Price info'!A:H,8,FALSE)</f>
        <v>4.6100000000000003</v>
      </c>
      <c r="Q2069" s="17">
        <f t="shared" si="129"/>
        <v>1</v>
      </c>
      <c r="S2069" s="16" t="e">
        <f>VLOOKUP(A2069,[4]Sales!$E:$G,3,FALSE)</f>
        <v>#N/A</v>
      </c>
      <c r="T2069" s="19" t="e">
        <f>VLOOKUP(A2069,[4]Volume!$E:$G,3,FALSE)</f>
        <v>#N/A</v>
      </c>
      <c r="U2069" s="19" t="e">
        <f>VLOOKUP(A2069,[4]Piece!$E:$G,3,FALSE)</f>
        <v>#N/A</v>
      </c>
      <c r="V2069" s="21" t="e">
        <f t="shared" si="130"/>
        <v>#N/A</v>
      </c>
      <c r="W2069" s="16" t="e">
        <f t="shared" si="131"/>
        <v>#N/A</v>
      </c>
    </row>
    <row r="2070" spans="1:23" hidden="1" x14ac:dyDescent="0.3">
      <c r="A2070" s="71" t="s">
        <v>4076</v>
      </c>
      <c r="B2070" s="71" t="s">
        <v>4076</v>
      </c>
      <c r="C2070" s="47" t="s">
        <v>33</v>
      </c>
      <c r="D2070" s="48" t="s">
        <v>34</v>
      </c>
      <c r="E2070" s="18" t="s">
        <v>4077</v>
      </c>
      <c r="F2070" s="24" t="str">
        <f t="shared" si="128"/>
        <v>PPG - RODO  BREAST PRINT 100 PLUS</v>
      </c>
      <c r="G2070" s="20" t="s">
        <v>6940</v>
      </c>
      <c r="H2070" s="49" t="s">
        <v>213</v>
      </c>
      <c r="I2070" s="18" t="s">
        <v>37</v>
      </c>
      <c r="J2070" s="18" t="s">
        <v>38</v>
      </c>
      <c r="K2070" t="s">
        <v>39</v>
      </c>
      <c r="L2070" s="50">
        <f>VLOOKUP(A2070,'[3]Price info'!A:D,4,FALSE)</f>
        <v>3.46</v>
      </c>
      <c r="M2070" s="18" t="s">
        <v>214</v>
      </c>
      <c r="N2070" s="20">
        <v>3105</v>
      </c>
      <c r="P2070" s="16">
        <f>VLOOKUP(A2070,'[3]Price info'!A:H,8,FALSE)</f>
        <v>3.46</v>
      </c>
      <c r="Q2070" s="17">
        <f t="shared" si="129"/>
        <v>1</v>
      </c>
      <c r="S2070" s="16" t="e">
        <f>VLOOKUP(A2070,[4]Sales!$E:$G,3,FALSE)</f>
        <v>#N/A</v>
      </c>
      <c r="T2070" s="19" t="e">
        <f>VLOOKUP(A2070,[4]Volume!$E:$G,3,FALSE)</f>
        <v>#N/A</v>
      </c>
      <c r="U2070" s="19" t="e">
        <f>VLOOKUP(A2070,[4]Piece!$E:$G,3,FALSE)</f>
        <v>#N/A</v>
      </c>
      <c r="V2070" s="21" t="e">
        <f t="shared" si="130"/>
        <v>#N/A</v>
      </c>
      <c r="W2070" s="16" t="e">
        <f t="shared" si="131"/>
        <v>#N/A</v>
      </c>
    </row>
    <row r="2071" spans="1:23" hidden="1" x14ac:dyDescent="0.3">
      <c r="A2071" s="71" t="s">
        <v>4078</v>
      </c>
      <c r="B2071" s="71" t="s">
        <v>4078</v>
      </c>
      <c r="C2071" s="47" t="s">
        <v>33</v>
      </c>
      <c r="D2071" s="48" t="s">
        <v>34</v>
      </c>
      <c r="E2071" s="18" t="s">
        <v>4079</v>
      </c>
      <c r="F2071" s="24" t="str">
        <f t="shared" si="128"/>
        <v>PPG - RODO  BUTTON POLE  AREX001    2'-4'</v>
      </c>
      <c r="G2071" s="20" t="s">
        <v>6941</v>
      </c>
      <c r="H2071" s="49" t="s">
        <v>213</v>
      </c>
      <c r="I2071" s="18" t="s">
        <v>37</v>
      </c>
      <c r="J2071" s="18" t="s">
        <v>38</v>
      </c>
      <c r="K2071" t="s">
        <v>39</v>
      </c>
      <c r="L2071" s="50">
        <f>VLOOKUP(A2071,'[3]Price info'!A:D,4,FALSE)</f>
        <v>15.35</v>
      </c>
      <c r="M2071" s="18" t="s">
        <v>214</v>
      </c>
      <c r="N2071" s="20">
        <v>3105</v>
      </c>
      <c r="P2071" s="16">
        <f>VLOOKUP(A2071,'[3]Price info'!A:H,8,FALSE)</f>
        <v>15.35</v>
      </c>
      <c r="Q2071" s="17">
        <f t="shared" si="129"/>
        <v>1</v>
      </c>
      <c r="S2071" s="16" t="e">
        <f>VLOOKUP(A2071,[4]Sales!$E:$G,3,FALSE)</f>
        <v>#N/A</v>
      </c>
      <c r="T2071" s="19" t="e">
        <f>VLOOKUP(A2071,[4]Volume!$E:$G,3,FALSE)</f>
        <v>#N/A</v>
      </c>
      <c r="U2071" s="19" t="e">
        <f>VLOOKUP(A2071,[4]Piece!$E:$G,3,FALSE)</f>
        <v>#N/A</v>
      </c>
      <c r="V2071" s="21" t="e">
        <f t="shared" si="130"/>
        <v>#N/A</v>
      </c>
      <c r="W2071" s="16" t="e">
        <f t="shared" si="131"/>
        <v>#N/A</v>
      </c>
    </row>
    <row r="2072" spans="1:23" hidden="1" x14ac:dyDescent="0.3">
      <c r="A2072" s="71" t="s">
        <v>4080</v>
      </c>
      <c r="B2072" s="71" t="s">
        <v>4080</v>
      </c>
      <c r="C2072" s="51" t="s">
        <v>33</v>
      </c>
      <c r="D2072" s="48" t="s">
        <v>34</v>
      </c>
      <c r="E2072" s="18" t="s">
        <v>4081</v>
      </c>
      <c r="F2072" s="24" t="str">
        <f t="shared" si="128"/>
        <v>PPG - RODO  BUTTON POLE  AREX005    4'-8'</v>
      </c>
      <c r="G2072" s="20" t="s">
        <v>6942</v>
      </c>
      <c r="H2072" s="49" t="s">
        <v>213</v>
      </c>
      <c r="I2072" s="18" t="s">
        <v>37</v>
      </c>
      <c r="J2072" s="18" t="s">
        <v>38</v>
      </c>
      <c r="K2072" t="s">
        <v>39</v>
      </c>
      <c r="L2072" s="50">
        <f>VLOOKUP(A2072,'[3]Price info'!A:D,4,FALSE)</f>
        <v>24.19</v>
      </c>
      <c r="M2072" s="18" t="s">
        <v>214</v>
      </c>
      <c r="N2072" s="20">
        <v>3105</v>
      </c>
      <c r="P2072" s="16">
        <f>VLOOKUP(A2072,'[3]Price info'!A:H,8,FALSE)</f>
        <v>24.19</v>
      </c>
      <c r="Q2072" s="17">
        <f t="shared" si="129"/>
        <v>1</v>
      </c>
      <c r="S2072" s="16" t="e">
        <f>VLOOKUP(A2072,[4]Sales!$E:$G,3,FALSE)</f>
        <v>#N/A</v>
      </c>
      <c r="T2072" s="19" t="e">
        <f>VLOOKUP(A2072,[4]Volume!$E:$G,3,FALSE)</f>
        <v>#N/A</v>
      </c>
      <c r="U2072" s="19" t="e">
        <f>VLOOKUP(A2072,[4]Piece!$E:$G,3,FALSE)</f>
        <v>#N/A</v>
      </c>
      <c r="V2072" s="21" t="e">
        <f t="shared" si="130"/>
        <v>#N/A</v>
      </c>
      <c r="W2072" s="16" t="e">
        <f t="shared" si="131"/>
        <v>#N/A</v>
      </c>
    </row>
    <row r="2073" spans="1:23" hidden="1" x14ac:dyDescent="0.3">
      <c r="A2073" s="71" t="s">
        <v>4082</v>
      </c>
      <c r="B2073" s="71" t="s">
        <v>4082</v>
      </c>
      <c r="C2073" s="47" t="s">
        <v>33</v>
      </c>
      <c r="D2073" s="48" t="s">
        <v>34</v>
      </c>
      <c r="E2073" s="18" t="s">
        <v>4083</v>
      </c>
      <c r="F2073" s="24" t="str">
        <f t="shared" si="128"/>
        <v>PPG - RODO  DBL GLS SLV  12"        PRRE026</v>
      </c>
      <c r="G2073" s="20" t="s">
        <v>6943</v>
      </c>
      <c r="H2073" s="49" t="s">
        <v>213</v>
      </c>
      <c r="I2073" s="18" t="s">
        <v>37</v>
      </c>
      <c r="J2073" s="18" t="s">
        <v>38</v>
      </c>
      <c r="K2073" t="s">
        <v>39</v>
      </c>
      <c r="L2073" s="50">
        <f>VLOOKUP(A2073,'[3]Price info'!A:D,4,FALSE)</f>
        <v>12.57</v>
      </c>
      <c r="M2073" s="18" t="s">
        <v>214</v>
      </c>
      <c r="N2073" s="20">
        <v>3105</v>
      </c>
      <c r="P2073" s="16">
        <f>VLOOKUP(A2073,'[3]Price info'!A:H,8,FALSE)</f>
        <v>12.57</v>
      </c>
      <c r="Q2073" s="17">
        <f t="shared" si="129"/>
        <v>1</v>
      </c>
      <c r="S2073" s="16" t="e">
        <f>VLOOKUP(A2073,[4]Sales!$E:$G,3,FALSE)</f>
        <v>#N/A</v>
      </c>
      <c r="T2073" s="19" t="e">
        <f>VLOOKUP(A2073,[4]Volume!$E:$G,3,FALSE)</f>
        <v>#N/A</v>
      </c>
      <c r="U2073" s="19" t="e">
        <f>VLOOKUP(A2073,[4]Piece!$E:$G,3,FALSE)</f>
        <v>#N/A</v>
      </c>
      <c r="V2073" s="21" t="e">
        <f t="shared" si="130"/>
        <v>#N/A</v>
      </c>
      <c r="W2073" s="16" t="e">
        <f t="shared" si="131"/>
        <v>#N/A</v>
      </c>
    </row>
    <row r="2074" spans="1:23" hidden="1" x14ac:dyDescent="0.3">
      <c r="A2074" s="71" t="s">
        <v>4084</v>
      </c>
      <c r="B2074" s="71" t="s">
        <v>4084</v>
      </c>
      <c r="C2074" s="47" t="s">
        <v>33</v>
      </c>
      <c r="D2074" s="48" t="s">
        <v>34</v>
      </c>
      <c r="E2074" s="18" t="s">
        <v>4085</v>
      </c>
      <c r="F2074" s="24" t="str">
        <f t="shared" si="128"/>
        <v>PPG - RODO  DIAMOND      BRUSH 1"   FFJDB25</v>
      </c>
      <c r="G2074" s="20" t="s">
        <v>6944</v>
      </c>
      <c r="H2074" s="49" t="s">
        <v>213</v>
      </c>
      <c r="I2074" s="18" t="s">
        <v>37</v>
      </c>
      <c r="J2074" s="18" t="s">
        <v>38</v>
      </c>
      <c r="K2074" t="s">
        <v>39</v>
      </c>
      <c r="L2074" s="50">
        <f>VLOOKUP(A2074,'[3]Price info'!A:D,4,FALSE)</f>
        <v>1.02</v>
      </c>
      <c r="M2074" s="18" t="s">
        <v>214</v>
      </c>
      <c r="N2074" s="20">
        <v>3105</v>
      </c>
      <c r="P2074" s="16">
        <f>VLOOKUP(A2074,'[3]Price info'!A:H,8,FALSE)</f>
        <v>1.02</v>
      </c>
      <c r="Q2074" s="17">
        <f t="shared" si="129"/>
        <v>1</v>
      </c>
      <c r="S2074" s="16" t="e">
        <f>VLOOKUP(A2074,[4]Sales!$E:$G,3,FALSE)</f>
        <v>#N/A</v>
      </c>
      <c r="T2074" s="19" t="e">
        <f>VLOOKUP(A2074,[4]Volume!$E:$G,3,FALSE)</f>
        <v>#N/A</v>
      </c>
      <c r="U2074" s="19" t="e">
        <f>VLOOKUP(A2074,[4]Piece!$E:$G,3,FALSE)</f>
        <v>#N/A</v>
      </c>
      <c r="V2074" s="21" t="e">
        <f t="shared" si="130"/>
        <v>#N/A</v>
      </c>
      <c r="W2074" s="16" t="e">
        <f t="shared" si="131"/>
        <v>#N/A</v>
      </c>
    </row>
    <row r="2075" spans="1:23" hidden="1" x14ac:dyDescent="0.3">
      <c r="A2075" s="71" t="s">
        <v>4086</v>
      </c>
      <c r="B2075" s="71" t="s">
        <v>4086</v>
      </c>
      <c r="C2075" s="51" t="s">
        <v>33</v>
      </c>
      <c r="D2075" s="48" t="s">
        <v>34</v>
      </c>
      <c r="E2075" s="18" t="s">
        <v>4087</v>
      </c>
      <c r="F2075" s="24" t="str">
        <f t="shared" si="128"/>
        <v>PPG - RODO  DIAMOND      BRUSH 1.5" FFJDB38</v>
      </c>
      <c r="G2075" s="20" t="s">
        <v>6945</v>
      </c>
      <c r="H2075" s="49" t="s">
        <v>213</v>
      </c>
      <c r="I2075" s="18" t="s">
        <v>37</v>
      </c>
      <c r="J2075" s="18" t="s">
        <v>38</v>
      </c>
      <c r="K2075" t="s">
        <v>39</v>
      </c>
      <c r="L2075" s="50">
        <f>VLOOKUP(A2075,'[3]Price info'!A:D,4,FALSE)</f>
        <v>1.53</v>
      </c>
      <c r="M2075" s="18" t="s">
        <v>214</v>
      </c>
      <c r="N2075" s="20">
        <v>3105</v>
      </c>
      <c r="P2075" s="16">
        <f>VLOOKUP(A2075,'[3]Price info'!A:H,8,FALSE)</f>
        <v>1.53</v>
      </c>
      <c r="Q2075" s="17">
        <f t="shared" si="129"/>
        <v>1</v>
      </c>
      <c r="S2075" s="16" t="e">
        <f>VLOOKUP(A2075,[4]Sales!$E:$G,3,FALSE)</f>
        <v>#N/A</v>
      </c>
      <c r="T2075" s="19" t="e">
        <f>VLOOKUP(A2075,[4]Volume!$E:$G,3,FALSE)</f>
        <v>#N/A</v>
      </c>
      <c r="U2075" s="19" t="e">
        <f>VLOOKUP(A2075,[4]Piece!$E:$G,3,FALSE)</f>
        <v>#N/A</v>
      </c>
      <c r="V2075" s="21" t="e">
        <f t="shared" si="130"/>
        <v>#N/A</v>
      </c>
      <c r="W2075" s="16" t="e">
        <f t="shared" si="131"/>
        <v>#N/A</v>
      </c>
    </row>
    <row r="2076" spans="1:23" hidden="1" x14ac:dyDescent="0.3">
      <c r="A2076" s="71" t="s">
        <v>4088</v>
      </c>
      <c r="B2076" s="71" t="s">
        <v>4088</v>
      </c>
      <c r="C2076" s="47" t="s">
        <v>33</v>
      </c>
      <c r="D2076" s="48" t="s">
        <v>34</v>
      </c>
      <c r="E2076" s="18" t="s">
        <v>4089</v>
      </c>
      <c r="F2076" s="24" t="str">
        <f t="shared" si="128"/>
        <v>PPG - RODO  DIAMOND      BRUSH 2"   FFJDB50</v>
      </c>
      <c r="G2076" s="20" t="s">
        <v>6946</v>
      </c>
      <c r="H2076" s="49" t="s">
        <v>213</v>
      </c>
      <c r="I2076" s="18" t="s">
        <v>37</v>
      </c>
      <c r="J2076" s="18" t="s">
        <v>38</v>
      </c>
      <c r="K2076" t="s">
        <v>39</v>
      </c>
      <c r="L2076" s="50">
        <f>VLOOKUP(A2076,'[3]Price info'!A:D,4,FALSE)</f>
        <v>2.04</v>
      </c>
      <c r="M2076" s="18" t="s">
        <v>214</v>
      </c>
      <c r="N2076" s="20">
        <v>3105</v>
      </c>
      <c r="P2076" s="16">
        <f>VLOOKUP(A2076,'[3]Price info'!A:H,8,FALSE)</f>
        <v>2.04</v>
      </c>
      <c r="Q2076" s="17">
        <f t="shared" si="129"/>
        <v>1</v>
      </c>
      <c r="S2076" s="16" t="e">
        <f>VLOOKUP(A2076,[4]Sales!$E:$G,3,FALSE)</f>
        <v>#N/A</v>
      </c>
      <c r="T2076" s="19" t="e">
        <f>VLOOKUP(A2076,[4]Volume!$E:$G,3,FALSE)</f>
        <v>#N/A</v>
      </c>
      <c r="U2076" s="19" t="e">
        <f>VLOOKUP(A2076,[4]Piece!$E:$G,3,FALSE)</f>
        <v>#N/A</v>
      </c>
      <c r="V2076" s="21" t="e">
        <f t="shared" si="130"/>
        <v>#N/A</v>
      </c>
      <c r="W2076" s="16" t="e">
        <f t="shared" si="131"/>
        <v>#N/A</v>
      </c>
    </row>
    <row r="2077" spans="1:23" hidden="1" x14ac:dyDescent="0.3">
      <c r="A2077" s="71" t="s">
        <v>4090</v>
      </c>
      <c r="B2077" s="71" t="s">
        <v>4090</v>
      </c>
      <c r="C2077" s="47" t="s">
        <v>33</v>
      </c>
      <c r="D2077" s="48" t="s">
        <v>34</v>
      </c>
      <c r="E2077" s="18" t="s">
        <v>4091</v>
      </c>
      <c r="F2077" s="24" t="str">
        <f t="shared" si="128"/>
        <v>PPG - RODO  DIAMOND      BRUSH 2.5" FFJDB63</v>
      </c>
      <c r="G2077" s="20" t="s">
        <v>6947</v>
      </c>
      <c r="H2077" s="49" t="s">
        <v>213</v>
      </c>
      <c r="I2077" s="18" t="s">
        <v>37</v>
      </c>
      <c r="J2077" s="18" t="s">
        <v>38</v>
      </c>
      <c r="K2077" t="s">
        <v>39</v>
      </c>
      <c r="L2077" s="50">
        <f>VLOOKUP(A2077,'[3]Price info'!A:D,4,FALSE)</f>
        <v>2.56</v>
      </c>
      <c r="M2077" s="18" t="s">
        <v>214</v>
      </c>
      <c r="N2077" s="20">
        <v>3105</v>
      </c>
      <c r="P2077" s="16">
        <f>VLOOKUP(A2077,'[3]Price info'!A:H,8,FALSE)</f>
        <v>2.56</v>
      </c>
      <c r="Q2077" s="17">
        <f t="shared" si="129"/>
        <v>1</v>
      </c>
      <c r="S2077" s="16" t="e">
        <f>VLOOKUP(A2077,[4]Sales!$E:$G,3,FALSE)</f>
        <v>#N/A</v>
      </c>
      <c r="T2077" s="19" t="e">
        <f>VLOOKUP(A2077,[4]Volume!$E:$G,3,FALSE)</f>
        <v>#N/A</v>
      </c>
      <c r="U2077" s="19" t="e">
        <f>VLOOKUP(A2077,[4]Piece!$E:$G,3,FALSE)</f>
        <v>#N/A</v>
      </c>
      <c r="V2077" s="21" t="e">
        <f t="shared" si="130"/>
        <v>#N/A</v>
      </c>
      <c r="W2077" s="16" t="e">
        <f t="shared" si="131"/>
        <v>#N/A</v>
      </c>
    </row>
    <row r="2078" spans="1:23" hidden="1" x14ac:dyDescent="0.3">
      <c r="A2078" s="71" t="s">
        <v>4092</v>
      </c>
      <c r="B2078" s="71" t="s">
        <v>4092</v>
      </c>
      <c r="C2078" s="51" t="s">
        <v>33</v>
      </c>
      <c r="D2078" s="48" t="s">
        <v>34</v>
      </c>
      <c r="E2078" s="18" t="s">
        <v>4093</v>
      </c>
      <c r="F2078" s="24" t="str">
        <f t="shared" si="128"/>
        <v>PPG - RODO  DIAMOND      BRUSH 3"   FFJDB75</v>
      </c>
      <c r="G2078" s="20" t="s">
        <v>6948</v>
      </c>
      <c r="H2078" s="49" t="s">
        <v>213</v>
      </c>
      <c r="I2078" s="18" t="s">
        <v>37</v>
      </c>
      <c r="J2078" s="18" t="s">
        <v>38</v>
      </c>
      <c r="K2078" t="s">
        <v>39</v>
      </c>
      <c r="L2078" s="50">
        <f>VLOOKUP(A2078,'[3]Price info'!A:D,4,FALSE)</f>
        <v>3.33</v>
      </c>
      <c r="M2078" s="18" t="s">
        <v>214</v>
      </c>
      <c r="N2078" s="20">
        <v>3105</v>
      </c>
      <c r="P2078" s="16">
        <f>VLOOKUP(A2078,'[3]Price info'!A:H,8,FALSE)</f>
        <v>3.33</v>
      </c>
      <c r="Q2078" s="17">
        <f t="shared" si="129"/>
        <v>1</v>
      </c>
      <c r="S2078" s="16" t="e">
        <f>VLOOKUP(A2078,[4]Sales!$E:$G,3,FALSE)</f>
        <v>#N/A</v>
      </c>
      <c r="T2078" s="19" t="e">
        <f>VLOOKUP(A2078,[4]Volume!$E:$G,3,FALSE)</f>
        <v>#N/A</v>
      </c>
      <c r="U2078" s="19" t="e">
        <f>VLOOKUP(A2078,[4]Piece!$E:$G,3,FALSE)</f>
        <v>#N/A</v>
      </c>
      <c r="V2078" s="21" t="e">
        <f t="shared" si="130"/>
        <v>#N/A</v>
      </c>
      <c r="W2078" s="16" t="e">
        <f t="shared" si="131"/>
        <v>#N/A</v>
      </c>
    </row>
    <row r="2079" spans="1:23" hidden="1" x14ac:dyDescent="0.3">
      <c r="A2079" s="71" t="s">
        <v>4094</v>
      </c>
      <c r="B2079" s="71" t="s">
        <v>4094</v>
      </c>
      <c r="C2079" s="47" t="s">
        <v>33</v>
      </c>
      <c r="D2079" s="48" t="s">
        <v>34</v>
      </c>
      <c r="E2079" s="18" t="s">
        <v>4095</v>
      </c>
      <c r="F2079" s="24" t="str">
        <f t="shared" si="128"/>
        <v>PPG - RODO  DIAMOND      BRUSH 4"   FFJDB100</v>
      </c>
      <c r="G2079" s="20" t="s">
        <v>6949</v>
      </c>
      <c r="H2079" s="49" t="s">
        <v>213</v>
      </c>
      <c r="I2079" s="18" t="s">
        <v>37</v>
      </c>
      <c r="J2079" s="18" t="s">
        <v>38</v>
      </c>
      <c r="K2079" t="s">
        <v>39</v>
      </c>
      <c r="L2079" s="50">
        <f>VLOOKUP(A2079,'[3]Price info'!A:D,4,FALSE)</f>
        <v>4.5999999999999996</v>
      </c>
      <c r="M2079" s="18" t="s">
        <v>214</v>
      </c>
      <c r="N2079" s="20">
        <v>3105</v>
      </c>
      <c r="P2079" s="16">
        <f>VLOOKUP(A2079,'[3]Price info'!A:H,8,FALSE)</f>
        <v>4.5999999999999996</v>
      </c>
      <c r="Q2079" s="17">
        <f t="shared" si="129"/>
        <v>1</v>
      </c>
      <c r="S2079" s="16" t="e">
        <f>VLOOKUP(A2079,[4]Sales!$E:$G,3,FALSE)</f>
        <v>#N/A</v>
      </c>
      <c r="T2079" s="19" t="e">
        <f>VLOOKUP(A2079,[4]Volume!$E:$G,3,FALSE)</f>
        <v>#N/A</v>
      </c>
      <c r="U2079" s="19" t="e">
        <f>VLOOKUP(A2079,[4]Piece!$E:$G,3,FALSE)</f>
        <v>#N/A</v>
      </c>
      <c r="V2079" s="21" t="e">
        <f t="shared" si="130"/>
        <v>#N/A</v>
      </c>
      <c r="W2079" s="16" t="e">
        <f t="shared" si="131"/>
        <v>#N/A</v>
      </c>
    </row>
    <row r="2080" spans="1:23" hidden="1" x14ac:dyDescent="0.3">
      <c r="A2080" s="71" t="s">
        <v>4096</v>
      </c>
      <c r="B2080" s="71" t="s">
        <v>4096</v>
      </c>
      <c r="C2080" s="47" t="s">
        <v>33</v>
      </c>
      <c r="D2080" s="48" t="s">
        <v>34</v>
      </c>
      <c r="E2080" s="18" t="s">
        <v>4097</v>
      </c>
      <c r="F2080" s="24" t="str">
        <f t="shared" si="128"/>
        <v>PPG - RODO  DIAMOND 3PC  BRUSHSET   FFJDBS3</v>
      </c>
      <c r="G2080" s="20" t="s">
        <v>6950</v>
      </c>
      <c r="H2080" s="49" t="s">
        <v>213</v>
      </c>
      <c r="I2080" s="18" t="s">
        <v>37</v>
      </c>
      <c r="J2080" s="18" t="s">
        <v>38</v>
      </c>
      <c r="K2080" t="s">
        <v>39</v>
      </c>
      <c r="L2080" s="50">
        <f>VLOOKUP(A2080,'[3]Price info'!A:D,4,FALSE)</f>
        <v>3.69</v>
      </c>
      <c r="M2080" s="18" t="s">
        <v>214</v>
      </c>
      <c r="N2080" s="20">
        <v>3105</v>
      </c>
      <c r="P2080" s="16">
        <f>VLOOKUP(A2080,'[3]Price info'!A:H,8,FALSE)</f>
        <v>3.69</v>
      </c>
      <c r="Q2080" s="17">
        <f t="shared" si="129"/>
        <v>1</v>
      </c>
      <c r="S2080" s="16" t="e">
        <f>VLOOKUP(A2080,[4]Sales!$E:$G,3,FALSE)</f>
        <v>#N/A</v>
      </c>
      <c r="T2080" s="19" t="e">
        <f>VLOOKUP(A2080,[4]Volume!$E:$G,3,FALSE)</f>
        <v>#N/A</v>
      </c>
      <c r="U2080" s="19" t="e">
        <f>VLOOKUP(A2080,[4]Piece!$E:$G,3,FALSE)</f>
        <v>#N/A</v>
      </c>
      <c r="V2080" s="21" t="e">
        <f t="shared" si="130"/>
        <v>#N/A</v>
      </c>
      <c r="W2080" s="16" t="e">
        <f t="shared" si="131"/>
        <v>#N/A</v>
      </c>
    </row>
    <row r="2081" spans="1:23" hidden="1" x14ac:dyDescent="0.3">
      <c r="A2081" s="71" t="s">
        <v>4098</v>
      </c>
      <c r="B2081" s="71" t="s">
        <v>4098</v>
      </c>
      <c r="C2081" s="51" t="s">
        <v>33</v>
      </c>
      <c r="D2081" s="48" t="s">
        <v>34</v>
      </c>
      <c r="E2081" s="18" t="s">
        <v>4099</v>
      </c>
      <c r="F2081" s="24" t="str">
        <f t="shared" si="128"/>
        <v>PPG - RODO  DIAMOND 5PCE BRUSHSET</v>
      </c>
      <c r="G2081" s="20" t="s">
        <v>6951</v>
      </c>
      <c r="H2081" s="49" t="s">
        <v>213</v>
      </c>
      <c r="I2081" s="18" t="s">
        <v>37</v>
      </c>
      <c r="J2081" s="18" t="s">
        <v>38</v>
      </c>
      <c r="K2081" t="s">
        <v>39</v>
      </c>
      <c r="L2081" s="50">
        <f>VLOOKUP(A2081,'[3]Price info'!A:D,4,FALSE)</f>
        <v>6.4</v>
      </c>
      <c r="M2081" s="18" t="s">
        <v>214</v>
      </c>
      <c r="N2081" s="20">
        <v>3105</v>
      </c>
      <c r="P2081" s="16">
        <f>VLOOKUP(A2081,'[3]Price info'!A:H,8,FALSE)</f>
        <v>6.4</v>
      </c>
      <c r="Q2081" s="17">
        <f t="shared" si="129"/>
        <v>1</v>
      </c>
      <c r="S2081" s="16" t="e">
        <f>VLOOKUP(A2081,[4]Sales!$E:$G,3,FALSE)</f>
        <v>#N/A</v>
      </c>
      <c r="T2081" s="19" t="e">
        <f>VLOOKUP(A2081,[4]Volume!$E:$G,3,FALSE)</f>
        <v>#N/A</v>
      </c>
      <c r="U2081" s="19" t="e">
        <f>VLOOKUP(A2081,[4]Piece!$E:$G,3,FALSE)</f>
        <v>#N/A</v>
      </c>
      <c r="V2081" s="21" t="e">
        <f t="shared" si="130"/>
        <v>#N/A</v>
      </c>
      <c r="W2081" s="16" t="e">
        <f t="shared" si="131"/>
        <v>#N/A</v>
      </c>
    </row>
    <row r="2082" spans="1:23" hidden="1" x14ac:dyDescent="0.3">
      <c r="A2082" s="71" t="s">
        <v>4100</v>
      </c>
      <c r="B2082" s="71" t="s">
        <v>4100</v>
      </c>
      <c r="C2082" s="47" t="s">
        <v>33</v>
      </c>
      <c r="D2082" s="48" t="s">
        <v>34</v>
      </c>
      <c r="E2082" s="18" t="s">
        <v>4101</v>
      </c>
      <c r="F2082" s="24" t="str">
        <f t="shared" si="128"/>
        <v>PPG - RODO  EMULSION 9"  TRAY 9PT</v>
      </c>
      <c r="G2082" s="20" t="s">
        <v>6952</v>
      </c>
      <c r="H2082" s="49" t="s">
        <v>213</v>
      </c>
      <c r="I2082" s="18" t="s">
        <v>37</v>
      </c>
      <c r="J2082" s="18" t="s">
        <v>38</v>
      </c>
      <c r="K2082" t="s">
        <v>39</v>
      </c>
      <c r="L2082" s="50">
        <f>VLOOKUP(A2082,'[3]Price info'!A:D,4,FALSE)</f>
        <v>1.43</v>
      </c>
      <c r="M2082" s="18" t="s">
        <v>214</v>
      </c>
      <c r="N2082" s="20">
        <v>3105</v>
      </c>
      <c r="P2082" s="16">
        <f>VLOOKUP(A2082,'[3]Price info'!A:H,8,FALSE)</f>
        <v>1.43</v>
      </c>
      <c r="Q2082" s="17">
        <f t="shared" si="129"/>
        <v>1</v>
      </c>
      <c r="S2082" s="16" t="e">
        <f>VLOOKUP(A2082,[4]Sales!$E:$G,3,FALSE)</f>
        <v>#N/A</v>
      </c>
      <c r="T2082" s="19" t="e">
        <f>VLOOKUP(A2082,[4]Volume!$E:$G,3,FALSE)</f>
        <v>#N/A</v>
      </c>
      <c r="U2082" s="19" t="e">
        <f>VLOOKUP(A2082,[4]Piece!$E:$G,3,FALSE)</f>
        <v>#N/A</v>
      </c>
      <c r="V2082" s="21" t="e">
        <f t="shared" si="130"/>
        <v>#N/A</v>
      </c>
      <c r="W2082" s="16" t="e">
        <f t="shared" si="131"/>
        <v>#N/A</v>
      </c>
    </row>
    <row r="2083" spans="1:23" hidden="1" x14ac:dyDescent="0.3">
      <c r="A2083" s="71" t="s">
        <v>4102</v>
      </c>
      <c r="B2083" s="71" t="s">
        <v>4102</v>
      </c>
      <c r="C2083" s="47" t="s">
        <v>33</v>
      </c>
      <c r="D2083" s="48" t="s">
        <v>34</v>
      </c>
      <c r="E2083" s="18" t="s">
        <v>4103</v>
      </c>
      <c r="F2083" s="24" t="str">
        <f t="shared" si="128"/>
        <v>PPG - RODO  EXT POLY SLV 9"         PRRE020</v>
      </c>
      <c r="G2083" s="20" t="s">
        <v>6953</v>
      </c>
      <c r="H2083" s="49" t="s">
        <v>213</v>
      </c>
      <c r="I2083" s="18" t="s">
        <v>37</v>
      </c>
      <c r="J2083" s="18" t="s">
        <v>38</v>
      </c>
      <c r="K2083" t="s">
        <v>39</v>
      </c>
      <c r="L2083" s="50">
        <f>VLOOKUP(A2083,'[3]Price info'!A:D,4,FALSE)</f>
        <v>2.56</v>
      </c>
      <c r="M2083" s="18" t="s">
        <v>214</v>
      </c>
      <c r="N2083" s="20">
        <v>3105</v>
      </c>
      <c r="P2083" s="16">
        <f>VLOOKUP(A2083,'[3]Price info'!A:H,8,FALSE)</f>
        <v>2.56</v>
      </c>
      <c r="Q2083" s="17">
        <f t="shared" si="129"/>
        <v>1</v>
      </c>
      <c r="S2083" s="16" t="e">
        <f>VLOOKUP(A2083,[4]Sales!$E:$G,3,FALSE)</f>
        <v>#N/A</v>
      </c>
      <c r="T2083" s="19" t="e">
        <f>VLOOKUP(A2083,[4]Volume!$E:$G,3,FALSE)</f>
        <v>#N/A</v>
      </c>
      <c r="U2083" s="19" t="e">
        <f>VLOOKUP(A2083,[4]Piece!$E:$G,3,FALSE)</f>
        <v>#N/A</v>
      </c>
      <c r="V2083" s="21" t="e">
        <f t="shared" si="130"/>
        <v>#N/A</v>
      </c>
      <c r="W2083" s="16" t="e">
        <f t="shared" si="131"/>
        <v>#N/A</v>
      </c>
    </row>
    <row r="2084" spans="1:23" hidden="1" x14ac:dyDescent="0.3">
      <c r="A2084" s="71" t="s">
        <v>4104</v>
      </c>
      <c r="B2084" s="71" t="s">
        <v>4104</v>
      </c>
      <c r="C2084" s="51" t="s">
        <v>33</v>
      </c>
      <c r="D2084" s="48" t="s">
        <v>34</v>
      </c>
      <c r="E2084" s="18" t="s">
        <v>4105</v>
      </c>
      <c r="F2084" s="24" t="str">
        <f t="shared" si="128"/>
        <v>PPG - RODO  FFJ A/PURP   0.5" BRUSH</v>
      </c>
      <c r="G2084" s="20" t="s">
        <v>6954</v>
      </c>
      <c r="H2084" s="49" t="s">
        <v>213</v>
      </c>
      <c r="I2084" s="18" t="s">
        <v>37</v>
      </c>
      <c r="J2084" s="18" t="s">
        <v>38</v>
      </c>
      <c r="K2084" t="s">
        <v>39</v>
      </c>
      <c r="L2084" s="50">
        <f>VLOOKUP(A2084,'[3]Price info'!A:D,4,FALSE)</f>
        <v>0.41</v>
      </c>
      <c r="M2084" s="18" t="s">
        <v>214</v>
      </c>
      <c r="N2084" s="20">
        <v>3105</v>
      </c>
      <c r="P2084" s="16">
        <f>VLOOKUP(A2084,'[3]Price info'!A:H,8,FALSE)</f>
        <v>0.41</v>
      </c>
      <c r="Q2084" s="17">
        <f t="shared" si="129"/>
        <v>1</v>
      </c>
      <c r="S2084" s="16" t="e">
        <f>VLOOKUP(A2084,[4]Sales!$E:$G,3,FALSE)</f>
        <v>#N/A</v>
      </c>
      <c r="T2084" s="19" t="e">
        <f>VLOOKUP(A2084,[4]Volume!$E:$G,3,FALSE)</f>
        <v>#N/A</v>
      </c>
      <c r="U2084" s="19" t="e">
        <f>VLOOKUP(A2084,[4]Piece!$E:$G,3,FALSE)</f>
        <v>#N/A</v>
      </c>
      <c r="V2084" s="21" t="e">
        <f t="shared" si="130"/>
        <v>#N/A</v>
      </c>
      <c r="W2084" s="16" t="e">
        <f t="shared" si="131"/>
        <v>#N/A</v>
      </c>
    </row>
    <row r="2085" spans="1:23" hidden="1" x14ac:dyDescent="0.3">
      <c r="A2085" s="71" t="s">
        <v>4106</v>
      </c>
      <c r="B2085" s="71" t="s">
        <v>4106</v>
      </c>
      <c r="C2085" s="47" t="s">
        <v>33</v>
      </c>
      <c r="D2085" s="48" t="s">
        <v>34</v>
      </c>
      <c r="E2085" s="18" t="s">
        <v>4107</v>
      </c>
      <c r="F2085" s="24" t="str">
        <f t="shared" si="128"/>
        <v>PPG - RODO  FFJ A/PURP   0.75"BRUSH</v>
      </c>
      <c r="G2085" s="20" t="s">
        <v>6955</v>
      </c>
      <c r="H2085" s="49" t="s">
        <v>213</v>
      </c>
      <c r="I2085" s="18" t="s">
        <v>37</v>
      </c>
      <c r="J2085" s="18" t="s">
        <v>38</v>
      </c>
      <c r="K2085" t="s">
        <v>39</v>
      </c>
      <c r="L2085" s="50">
        <f>VLOOKUP(A2085,'[3]Price info'!A:D,4,FALSE)</f>
        <v>0.61</v>
      </c>
      <c r="M2085" s="18" t="s">
        <v>214</v>
      </c>
      <c r="N2085" s="20">
        <v>3105</v>
      </c>
      <c r="P2085" s="16">
        <f>VLOOKUP(A2085,'[3]Price info'!A:H,8,FALSE)</f>
        <v>0.61</v>
      </c>
      <c r="Q2085" s="17">
        <f t="shared" si="129"/>
        <v>1</v>
      </c>
      <c r="S2085" s="16" t="e">
        <f>VLOOKUP(A2085,[4]Sales!$E:$G,3,FALSE)</f>
        <v>#N/A</v>
      </c>
      <c r="T2085" s="19" t="e">
        <f>VLOOKUP(A2085,[4]Volume!$E:$G,3,FALSE)</f>
        <v>#N/A</v>
      </c>
      <c r="U2085" s="19" t="e">
        <f>VLOOKUP(A2085,[4]Piece!$E:$G,3,FALSE)</f>
        <v>#N/A</v>
      </c>
      <c r="V2085" s="21" t="e">
        <f t="shared" si="130"/>
        <v>#N/A</v>
      </c>
      <c r="W2085" s="16" t="e">
        <f t="shared" si="131"/>
        <v>#N/A</v>
      </c>
    </row>
    <row r="2086" spans="1:23" hidden="1" x14ac:dyDescent="0.3">
      <c r="A2086" s="71" t="s">
        <v>4108</v>
      </c>
      <c r="B2086" s="71" t="s">
        <v>4108</v>
      </c>
      <c r="C2086" s="47" t="s">
        <v>33</v>
      </c>
      <c r="D2086" s="48" t="s">
        <v>34</v>
      </c>
      <c r="E2086" s="18" t="s">
        <v>4109</v>
      </c>
      <c r="F2086" s="24" t="str">
        <f t="shared" si="128"/>
        <v>PPG - RODO  FFJ A/PURP   1" BRUSH</v>
      </c>
      <c r="G2086" s="20" t="s">
        <v>6956</v>
      </c>
      <c r="H2086" s="49" t="s">
        <v>213</v>
      </c>
      <c r="I2086" s="18" t="s">
        <v>37</v>
      </c>
      <c r="J2086" s="18" t="s">
        <v>38</v>
      </c>
      <c r="K2086" t="s">
        <v>39</v>
      </c>
      <c r="L2086" s="50">
        <f>VLOOKUP(A2086,'[3]Price info'!A:D,4,FALSE)</f>
        <v>0.81</v>
      </c>
      <c r="M2086" s="18" t="s">
        <v>214</v>
      </c>
      <c r="N2086" s="20">
        <v>3105</v>
      </c>
      <c r="P2086" s="16">
        <f>VLOOKUP(A2086,'[3]Price info'!A:H,8,FALSE)</f>
        <v>0.81</v>
      </c>
      <c r="Q2086" s="17">
        <f t="shared" si="129"/>
        <v>1</v>
      </c>
      <c r="S2086" s="16" t="e">
        <f>VLOOKUP(A2086,[4]Sales!$E:$G,3,FALSE)</f>
        <v>#N/A</v>
      </c>
      <c r="T2086" s="19" t="e">
        <f>VLOOKUP(A2086,[4]Volume!$E:$G,3,FALSE)</f>
        <v>#N/A</v>
      </c>
      <c r="U2086" s="19" t="e">
        <f>VLOOKUP(A2086,[4]Piece!$E:$G,3,FALSE)</f>
        <v>#N/A</v>
      </c>
      <c r="V2086" s="21" t="e">
        <f t="shared" si="130"/>
        <v>#N/A</v>
      </c>
      <c r="W2086" s="16" t="e">
        <f t="shared" si="131"/>
        <v>#N/A</v>
      </c>
    </row>
    <row r="2087" spans="1:23" hidden="1" x14ac:dyDescent="0.3">
      <c r="A2087" s="71" t="s">
        <v>4110</v>
      </c>
      <c r="B2087" s="71" t="s">
        <v>4110</v>
      </c>
      <c r="C2087" s="51" t="s">
        <v>33</v>
      </c>
      <c r="D2087" s="48" t="s">
        <v>34</v>
      </c>
      <c r="E2087" s="18" t="s">
        <v>4111</v>
      </c>
      <c r="F2087" s="24" t="str">
        <f t="shared" si="128"/>
        <v>PPG - RODO  FFJ A/PURP   1.5" BRUSH</v>
      </c>
      <c r="G2087" s="20" t="s">
        <v>6957</v>
      </c>
      <c r="H2087" s="49" t="s">
        <v>213</v>
      </c>
      <c r="I2087" s="18" t="s">
        <v>37</v>
      </c>
      <c r="J2087" s="18" t="s">
        <v>38</v>
      </c>
      <c r="K2087" t="s">
        <v>39</v>
      </c>
      <c r="L2087" s="50">
        <f>VLOOKUP(A2087,'[3]Price info'!A:D,4,FALSE)</f>
        <v>1.24</v>
      </c>
      <c r="M2087" s="18" t="s">
        <v>214</v>
      </c>
      <c r="N2087" s="20">
        <v>3105</v>
      </c>
      <c r="P2087" s="16">
        <f>VLOOKUP(A2087,'[3]Price info'!A:H,8,FALSE)</f>
        <v>1.24</v>
      </c>
      <c r="Q2087" s="17">
        <f t="shared" si="129"/>
        <v>1</v>
      </c>
      <c r="S2087" s="16" t="e">
        <f>VLOOKUP(A2087,[4]Sales!$E:$G,3,FALSE)</f>
        <v>#N/A</v>
      </c>
      <c r="T2087" s="19" t="e">
        <f>VLOOKUP(A2087,[4]Volume!$E:$G,3,FALSE)</f>
        <v>#N/A</v>
      </c>
      <c r="U2087" s="19" t="e">
        <f>VLOOKUP(A2087,[4]Piece!$E:$G,3,FALSE)</f>
        <v>#N/A</v>
      </c>
      <c r="V2087" s="21" t="e">
        <f t="shared" si="130"/>
        <v>#N/A</v>
      </c>
      <c r="W2087" s="16" t="e">
        <f t="shared" si="131"/>
        <v>#N/A</v>
      </c>
    </row>
    <row r="2088" spans="1:23" hidden="1" x14ac:dyDescent="0.3">
      <c r="A2088" s="71" t="s">
        <v>4112</v>
      </c>
      <c r="B2088" s="71" t="s">
        <v>4112</v>
      </c>
      <c r="C2088" s="47" t="s">
        <v>33</v>
      </c>
      <c r="D2088" s="48" t="s">
        <v>34</v>
      </c>
      <c r="E2088" s="18" t="s">
        <v>4113</v>
      </c>
      <c r="F2088" s="24" t="str">
        <f t="shared" si="128"/>
        <v>PPG - RODO  FFJ A/PURP   2" BRUSH</v>
      </c>
      <c r="G2088" s="20" t="s">
        <v>6958</v>
      </c>
      <c r="H2088" s="49" t="s">
        <v>213</v>
      </c>
      <c r="I2088" s="18" t="s">
        <v>37</v>
      </c>
      <c r="J2088" s="18" t="s">
        <v>38</v>
      </c>
      <c r="K2088" t="s">
        <v>39</v>
      </c>
      <c r="L2088" s="50">
        <f>VLOOKUP(A2088,'[3]Price info'!A:D,4,FALSE)</f>
        <v>1.64</v>
      </c>
      <c r="M2088" s="18" t="s">
        <v>214</v>
      </c>
      <c r="N2088" s="20">
        <v>3105</v>
      </c>
      <c r="P2088" s="16">
        <f>VLOOKUP(A2088,'[3]Price info'!A:H,8,FALSE)</f>
        <v>1.64</v>
      </c>
      <c r="Q2088" s="17">
        <f t="shared" si="129"/>
        <v>1</v>
      </c>
      <c r="S2088" s="16" t="e">
        <f>VLOOKUP(A2088,[4]Sales!$E:$G,3,FALSE)</f>
        <v>#N/A</v>
      </c>
      <c r="T2088" s="19" t="e">
        <f>VLOOKUP(A2088,[4]Volume!$E:$G,3,FALSE)</f>
        <v>#N/A</v>
      </c>
      <c r="U2088" s="19" t="e">
        <f>VLOOKUP(A2088,[4]Piece!$E:$G,3,FALSE)</f>
        <v>#N/A</v>
      </c>
      <c r="V2088" s="21" t="e">
        <f t="shared" si="130"/>
        <v>#N/A</v>
      </c>
      <c r="W2088" s="16" t="e">
        <f t="shared" si="131"/>
        <v>#N/A</v>
      </c>
    </row>
    <row r="2089" spans="1:23" hidden="1" x14ac:dyDescent="0.3">
      <c r="A2089" s="71" t="s">
        <v>4114</v>
      </c>
      <c r="B2089" s="71" t="s">
        <v>4114</v>
      </c>
      <c r="C2089" s="47" t="s">
        <v>33</v>
      </c>
      <c r="D2089" s="48" t="s">
        <v>34</v>
      </c>
      <c r="E2089" s="18" t="s">
        <v>4115</v>
      </c>
      <c r="F2089" s="24" t="str">
        <f t="shared" si="128"/>
        <v>PPG - RODO  FFJ A/PURP   2.5" BRUSH</v>
      </c>
      <c r="G2089" s="20" t="s">
        <v>6959</v>
      </c>
      <c r="H2089" s="49" t="s">
        <v>213</v>
      </c>
      <c r="I2089" s="18" t="s">
        <v>37</v>
      </c>
      <c r="J2089" s="18" t="s">
        <v>38</v>
      </c>
      <c r="K2089" t="s">
        <v>39</v>
      </c>
      <c r="L2089" s="50">
        <f>VLOOKUP(A2089,'[3]Price info'!A:D,4,FALSE)</f>
        <v>2.04</v>
      </c>
      <c r="M2089" s="18" t="s">
        <v>214</v>
      </c>
      <c r="N2089" s="20">
        <v>3105</v>
      </c>
      <c r="P2089" s="16">
        <f>VLOOKUP(A2089,'[3]Price info'!A:H,8,FALSE)</f>
        <v>2.04</v>
      </c>
      <c r="Q2089" s="17">
        <f t="shared" si="129"/>
        <v>1</v>
      </c>
      <c r="S2089" s="16" t="e">
        <f>VLOOKUP(A2089,[4]Sales!$E:$G,3,FALSE)</f>
        <v>#N/A</v>
      </c>
      <c r="T2089" s="19" t="e">
        <f>VLOOKUP(A2089,[4]Volume!$E:$G,3,FALSE)</f>
        <v>#N/A</v>
      </c>
      <c r="U2089" s="19" t="e">
        <f>VLOOKUP(A2089,[4]Piece!$E:$G,3,FALSE)</f>
        <v>#N/A</v>
      </c>
      <c r="V2089" s="21" t="e">
        <f t="shared" si="130"/>
        <v>#N/A</v>
      </c>
      <c r="W2089" s="16" t="e">
        <f t="shared" si="131"/>
        <v>#N/A</v>
      </c>
    </row>
    <row r="2090" spans="1:23" hidden="1" x14ac:dyDescent="0.3">
      <c r="A2090" s="71" t="s">
        <v>4116</v>
      </c>
      <c r="B2090" s="71" t="s">
        <v>4116</v>
      </c>
      <c r="C2090" s="51" t="s">
        <v>33</v>
      </c>
      <c r="D2090" s="48" t="s">
        <v>34</v>
      </c>
      <c r="E2090" s="18" t="s">
        <v>4117</v>
      </c>
      <c r="F2090" s="24" t="str">
        <f t="shared" si="128"/>
        <v>PPG - RODO  FFJ A/PURP   3" BRUSH</v>
      </c>
      <c r="G2090" s="20" t="s">
        <v>6960</v>
      </c>
      <c r="H2090" s="49" t="s">
        <v>213</v>
      </c>
      <c r="I2090" s="18" t="s">
        <v>37</v>
      </c>
      <c r="J2090" s="18" t="s">
        <v>38</v>
      </c>
      <c r="K2090" t="s">
        <v>39</v>
      </c>
      <c r="L2090" s="50">
        <f>VLOOKUP(A2090,'[3]Price info'!A:D,4,FALSE)</f>
        <v>2.81</v>
      </c>
      <c r="M2090" s="18" t="s">
        <v>214</v>
      </c>
      <c r="N2090" s="20">
        <v>3105</v>
      </c>
      <c r="P2090" s="16">
        <f>VLOOKUP(A2090,'[3]Price info'!A:H,8,FALSE)</f>
        <v>2.81</v>
      </c>
      <c r="Q2090" s="17">
        <f t="shared" si="129"/>
        <v>1</v>
      </c>
      <c r="S2090" s="16" t="e">
        <f>VLOOKUP(A2090,[4]Sales!$E:$G,3,FALSE)</f>
        <v>#N/A</v>
      </c>
      <c r="T2090" s="19" t="e">
        <f>VLOOKUP(A2090,[4]Volume!$E:$G,3,FALSE)</f>
        <v>#N/A</v>
      </c>
      <c r="U2090" s="19" t="e">
        <f>VLOOKUP(A2090,[4]Piece!$E:$G,3,FALSE)</f>
        <v>#N/A</v>
      </c>
      <c r="V2090" s="21" t="e">
        <f t="shared" si="130"/>
        <v>#N/A</v>
      </c>
      <c r="W2090" s="16" t="e">
        <f t="shared" si="131"/>
        <v>#N/A</v>
      </c>
    </row>
    <row r="2091" spans="1:23" hidden="1" x14ac:dyDescent="0.3">
      <c r="A2091" s="71" t="s">
        <v>4118</v>
      </c>
      <c r="B2091" s="71" t="s">
        <v>4118</v>
      </c>
      <c r="C2091" s="47" t="s">
        <v>33</v>
      </c>
      <c r="D2091" s="48" t="s">
        <v>34</v>
      </c>
      <c r="E2091" s="18" t="s">
        <v>4119</v>
      </c>
      <c r="F2091" s="24" t="str">
        <f t="shared" si="128"/>
        <v>PPG - RODO  FFJ A/PURP   4" BRUSH</v>
      </c>
      <c r="G2091" s="20" t="s">
        <v>6961</v>
      </c>
      <c r="H2091" s="49" t="s">
        <v>213</v>
      </c>
      <c r="I2091" s="18" t="s">
        <v>37</v>
      </c>
      <c r="J2091" s="18" t="s">
        <v>38</v>
      </c>
      <c r="K2091" t="s">
        <v>39</v>
      </c>
      <c r="L2091" s="50">
        <f>VLOOKUP(A2091,'[3]Price info'!A:D,4,FALSE)</f>
        <v>4.0999999999999996</v>
      </c>
      <c r="M2091" s="18" t="s">
        <v>214</v>
      </c>
      <c r="N2091" s="20">
        <v>3105</v>
      </c>
      <c r="P2091" s="16">
        <f>VLOOKUP(A2091,'[3]Price info'!A:H,8,FALSE)</f>
        <v>4.0999999999999996</v>
      </c>
      <c r="Q2091" s="17">
        <f t="shared" si="129"/>
        <v>1</v>
      </c>
      <c r="S2091" s="16" t="e">
        <f>VLOOKUP(A2091,[4]Sales!$E:$G,3,FALSE)</f>
        <v>#N/A</v>
      </c>
      <c r="T2091" s="19" t="e">
        <f>VLOOKUP(A2091,[4]Volume!$E:$G,3,FALSE)</f>
        <v>#N/A</v>
      </c>
      <c r="U2091" s="19" t="e">
        <f>VLOOKUP(A2091,[4]Piece!$E:$G,3,FALSE)</f>
        <v>#N/A</v>
      </c>
      <c r="V2091" s="21" t="e">
        <f t="shared" si="130"/>
        <v>#N/A</v>
      </c>
      <c r="W2091" s="16" t="e">
        <f t="shared" si="131"/>
        <v>#N/A</v>
      </c>
    </row>
    <row r="2092" spans="1:23" hidden="1" x14ac:dyDescent="0.3">
      <c r="A2092" s="71" t="s">
        <v>4120</v>
      </c>
      <c r="B2092" s="71" t="s">
        <v>4120</v>
      </c>
      <c r="C2092" s="47" t="s">
        <v>33</v>
      </c>
      <c r="D2092" s="48" t="s">
        <v>34</v>
      </c>
      <c r="E2092" s="18" t="s">
        <v>4121</v>
      </c>
      <c r="F2092" s="24" t="str">
        <f t="shared" si="128"/>
        <v>PPG - RODO  FFJ A/PURP   BRUSHSET   3PCE</v>
      </c>
      <c r="G2092" s="20" t="s">
        <v>6962</v>
      </c>
      <c r="H2092" s="49" t="s">
        <v>213</v>
      </c>
      <c r="I2092" s="18" t="s">
        <v>37</v>
      </c>
      <c r="J2092" s="18" t="s">
        <v>38</v>
      </c>
      <c r="K2092" t="s">
        <v>39</v>
      </c>
      <c r="L2092" s="50">
        <f>VLOOKUP(A2092,'[3]Price info'!A:D,4,FALSE)</f>
        <v>4.0999999999999996</v>
      </c>
      <c r="M2092" s="18" t="s">
        <v>214</v>
      </c>
      <c r="N2092" s="20">
        <v>3105</v>
      </c>
      <c r="P2092" s="16">
        <f>VLOOKUP(A2092,'[3]Price info'!A:H,8,FALSE)</f>
        <v>4.0999999999999996</v>
      </c>
      <c r="Q2092" s="17">
        <f t="shared" si="129"/>
        <v>1</v>
      </c>
      <c r="S2092" s="16" t="e">
        <f>VLOOKUP(A2092,[4]Sales!$E:$G,3,FALSE)</f>
        <v>#N/A</v>
      </c>
      <c r="T2092" s="19" t="e">
        <f>VLOOKUP(A2092,[4]Volume!$E:$G,3,FALSE)</f>
        <v>#N/A</v>
      </c>
      <c r="U2092" s="19" t="e">
        <f>VLOOKUP(A2092,[4]Piece!$E:$G,3,FALSE)</f>
        <v>#N/A</v>
      </c>
      <c r="V2092" s="21" t="e">
        <f t="shared" si="130"/>
        <v>#N/A</v>
      </c>
      <c r="W2092" s="16" t="e">
        <f t="shared" si="131"/>
        <v>#N/A</v>
      </c>
    </row>
    <row r="2093" spans="1:23" hidden="1" x14ac:dyDescent="0.3">
      <c r="A2093" s="71" t="s">
        <v>4122</v>
      </c>
      <c r="B2093" s="71" t="s">
        <v>4122</v>
      </c>
      <c r="C2093" s="51" t="s">
        <v>33</v>
      </c>
      <c r="D2093" s="48" t="s">
        <v>34</v>
      </c>
      <c r="E2093" s="18" t="s">
        <v>4123</v>
      </c>
      <c r="F2093" s="24" t="str">
        <f t="shared" si="128"/>
        <v>PPG - RODO  FFJ A/PURP   BRUSHSET   5PCE</v>
      </c>
      <c r="G2093" s="20" t="s">
        <v>6963</v>
      </c>
      <c r="H2093" s="49" t="s">
        <v>213</v>
      </c>
      <c r="I2093" s="18" t="s">
        <v>37</v>
      </c>
      <c r="J2093" s="18" t="s">
        <v>38</v>
      </c>
      <c r="K2093" t="s">
        <v>39</v>
      </c>
      <c r="L2093" s="50">
        <f>VLOOKUP(A2093,'[3]Price info'!A:D,4,FALSE)</f>
        <v>9.1999999999999993</v>
      </c>
      <c r="M2093" s="18" t="s">
        <v>214</v>
      </c>
      <c r="N2093" s="20">
        <v>3105</v>
      </c>
      <c r="P2093" s="16">
        <f>VLOOKUP(A2093,'[3]Price info'!A:H,8,FALSE)</f>
        <v>9.1999999999999993</v>
      </c>
      <c r="Q2093" s="17">
        <f t="shared" si="129"/>
        <v>1</v>
      </c>
      <c r="S2093" s="16" t="e">
        <f>VLOOKUP(A2093,[4]Sales!$E:$G,3,FALSE)</f>
        <v>#N/A</v>
      </c>
      <c r="T2093" s="19" t="e">
        <f>VLOOKUP(A2093,[4]Volume!$E:$G,3,FALSE)</f>
        <v>#N/A</v>
      </c>
      <c r="U2093" s="19" t="e">
        <f>VLOOKUP(A2093,[4]Piece!$E:$G,3,FALSE)</f>
        <v>#N/A</v>
      </c>
      <c r="V2093" s="21" t="e">
        <f t="shared" si="130"/>
        <v>#N/A</v>
      </c>
      <c r="W2093" s="16" t="e">
        <f t="shared" si="131"/>
        <v>#N/A</v>
      </c>
    </row>
    <row r="2094" spans="1:23" hidden="1" x14ac:dyDescent="0.3">
      <c r="A2094" s="71" t="s">
        <v>4124</v>
      </c>
      <c r="B2094" s="71" t="s">
        <v>4124</v>
      </c>
      <c r="C2094" s="47" t="s">
        <v>33</v>
      </c>
      <c r="D2094" s="48" t="s">
        <v>34</v>
      </c>
      <c r="E2094" s="18" t="s">
        <v>4125</v>
      </c>
      <c r="F2094" s="24" t="str">
        <f t="shared" si="128"/>
        <v>PPG - RODO  FFJ ASSORTED SANDPAPER  5SHEET</v>
      </c>
      <c r="G2094" s="20" t="s">
        <v>6964</v>
      </c>
      <c r="H2094" s="49" t="s">
        <v>213</v>
      </c>
      <c r="I2094" s="18" t="s">
        <v>37</v>
      </c>
      <c r="J2094" s="18" t="s">
        <v>38</v>
      </c>
      <c r="K2094" t="s">
        <v>39</v>
      </c>
      <c r="L2094" s="50">
        <f>VLOOKUP(A2094,'[3]Price info'!A:D,4,FALSE)</f>
        <v>1.04</v>
      </c>
      <c r="M2094" s="18" t="s">
        <v>214</v>
      </c>
      <c r="N2094" s="20">
        <v>3105</v>
      </c>
      <c r="P2094" s="16">
        <f>VLOOKUP(A2094,'[3]Price info'!A:H,8,FALSE)</f>
        <v>1.04</v>
      </c>
      <c r="Q2094" s="17">
        <f t="shared" si="129"/>
        <v>1</v>
      </c>
      <c r="S2094" s="16" t="e">
        <f>VLOOKUP(A2094,[4]Sales!$E:$G,3,FALSE)</f>
        <v>#N/A</v>
      </c>
      <c r="T2094" s="19" t="e">
        <f>VLOOKUP(A2094,[4]Volume!$E:$G,3,FALSE)</f>
        <v>#N/A</v>
      </c>
      <c r="U2094" s="19" t="e">
        <f>VLOOKUP(A2094,[4]Piece!$E:$G,3,FALSE)</f>
        <v>#N/A</v>
      </c>
      <c r="V2094" s="21" t="e">
        <f t="shared" si="130"/>
        <v>#N/A</v>
      </c>
      <c r="W2094" s="16" t="e">
        <f t="shared" si="131"/>
        <v>#N/A</v>
      </c>
    </row>
    <row r="2095" spans="1:23" hidden="1" x14ac:dyDescent="0.3">
      <c r="A2095" s="71" t="s">
        <v>4126</v>
      </c>
      <c r="B2095" s="71" t="s">
        <v>4126</v>
      </c>
      <c r="C2095" s="47" t="s">
        <v>33</v>
      </c>
      <c r="D2095" s="48" t="s">
        <v>34</v>
      </c>
      <c r="E2095" s="18" t="s">
        <v>4127</v>
      </c>
      <c r="F2095" s="24" t="str">
        <f t="shared" si="128"/>
        <v>PPG - RODO  FFJ FINE MED SAND BLOCK FFJSBF</v>
      </c>
      <c r="G2095" s="20" t="s">
        <v>6965</v>
      </c>
      <c r="H2095" s="49" t="s">
        <v>213</v>
      </c>
      <c r="I2095" s="18" t="s">
        <v>37</v>
      </c>
      <c r="J2095" s="18" t="s">
        <v>38</v>
      </c>
      <c r="K2095" t="s">
        <v>39</v>
      </c>
      <c r="L2095" s="50">
        <f>VLOOKUP(A2095,'[3]Price info'!A:D,4,FALSE)</f>
        <v>1.02</v>
      </c>
      <c r="M2095" s="18" t="s">
        <v>214</v>
      </c>
      <c r="N2095" s="20">
        <v>3105</v>
      </c>
      <c r="P2095" s="16">
        <f>VLOOKUP(A2095,'[3]Price info'!A:H,8,FALSE)</f>
        <v>1.02</v>
      </c>
      <c r="Q2095" s="17">
        <f t="shared" si="129"/>
        <v>1</v>
      </c>
      <c r="S2095" s="16" t="e">
        <f>VLOOKUP(A2095,[4]Sales!$E:$G,3,FALSE)</f>
        <v>#N/A</v>
      </c>
      <c r="T2095" s="19" t="e">
        <f>VLOOKUP(A2095,[4]Volume!$E:$G,3,FALSE)</f>
        <v>#N/A</v>
      </c>
      <c r="U2095" s="19" t="e">
        <f>VLOOKUP(A2095,[4]Piece!$E:$G,3,FALSE)</f>
        <v>#N/A</v>
      </c>
      <c r="V2095" s="21" t="e">
        <f t="shared" si="130"/>
        <v>#N/A</v>
      </c>
      <c r="W2095" s="16" t="e">
        <f t="shared" si="131"/>
        <v>#N/A</v>
      </c>
    </row>
    <row r="2096" spans="1:23" hidden="1" x14ac:dyDescent="0.3">
      <c r="A2096" s="71" t="s">
        <v>4128</v>
      </c>
      <c r="B2096" s="71" t="s">
        <v>4128</v>
      </c>
      <c r="C2096" s="51" t="s">
        <v>33</v>
      </c>
      <c r="D2096" s="48" t="s">
        <v>34</v>
      </c>
      <c r="E2096" s="18" t="s">
        <v>4129</v>
      </c>
      <c r="F2096" s="24" t="str">
        <f t="shared" si="128"/>
        <v>PPG - RODO  FFJ MASONRY  BLOCK BRSH FBBB004</v>
      </c>
      <c r="G2096" s="20" t="s">
        <v>6966</v>
      </c>
      <c r="H2096" s="49" t="s">
        <v>213</v>
      </c>
      <c r="I2096" s="18" t="s">
        <v>37</v>
      </c>
      <c r="J2096" s="18" t="s">
        <v>38</v>
      </c>
      <c r="K2096" t="s">
        <v>39</v>
      </c>
      <c r="L2096" s="50">
        <f>VLOOKUP(A2096,'[3]Price info'!A:D,4,FALSE)</f>
        <v>2.72</v>
      </c>
      <c r="M2096" s="18" t="s">
        <v>214</v>
      </c>
      <c r="N2096" s="20">
        <v>3105</v>
      </c>
      <c r="P2096" s="16">
        <f>VLOOKUP(A2096,'[3]Price info'!A:H,8,FALSE)</f>
        <v>2.72</v>
      </c>
      <c r="Q2096" s="17">
        <f t="shared" si="129"/>
        <v>1</v>
      </c>
      <c r="S2096" s="16" t="e">
        <f>VLOOKUP(A2096,[4]Sales!$E:$G,3,FALSE)</f>
        <v>#N/A</v>
      </c>
      <c r="T2096" s="19" t="e">
        <f>VLOOKUP(A2096,[4]Volume!$E:$G,3,FALSE)</f>
        <v>#N/A</v>
      </c>
      <c r="U2096" s="19" t="e">
        <f>VLOOKUP(A2096,[4]Piece!$E:$G,3,FALSE)</f>
        <v>#N/A</v>
      </c>
      <c r="V2096" s="21" t="e">
        <f t="shared" si="130"/>
        <v>#N/A</v>
      </c>
      <c r="W2096" s="16" t="e">
        <f t="shared" si="131"/>
        <v>#N/A</v>
      </c>
    </row>
    <row r="2097" spans="1:23" hidden="1" x14ac:dyDescent="0.3">
      <c r="A2097" s="71" t="s">
        <v>4130</v>
      </c>
      <c r="B2097" s="71" t="s">
        <v>4130</v>
      </c>
      <c r="C2097" s="47" t="s">
        <v>33</v>
      </c>
      <c r="D2097" s="48" t="s">
        <v>34</v>
      </c>
      <c r="E2097" s="18" t="s">
        <v>4131</v>
      </c>
      <c r="F2097" s="24" t="str">
        <f t="shared" si="128"/>
        <v>PPG - RODO  FFJ MED CRSE SAND BLOCK FFJSBC</v>
      </c>
      <c r="G2097" s="20" t="s">
        <v>6967</v>
      </c>
      <c r="H2097" s="49" t="s">
        <v>213</v>
      </c>
      <c r="I2097" s="18" t="s">
        <v>37</v>
      </c>
      <c r="J2097" s="18" t="s">
        <v>38</v>
      </c>
      <c r="K2097" t="s">
        <v>39</v>
      </c>
      <c r="L2097" s="50">
        <f>VLOOKUP(A2097,'[3]Price info'!A:D,4,FALSE)</f>
        <v>1.02</v>
      </c>
      <c r="M2097" s="18" t="s">
        <v>214</v>
      </c>
      <c r="N2097" s="20">
        <v>3105</v>
      </c>
      <c r="P2097" s="16">
        <f>VLOOKUP(A2097,'[3]Price info'!A:H,8,FALSE)</f>
        <v>1.02</v>
      </c>
      <c r="Q2097" s="17">
        <f t="shared" si="129"/>
        <v>1</v>
      </c>
      <c r="S2097" s="16" t="e">
        <f>VLOOKUP(A2097,[4]Sales!$E:$G,3,FALSE)</f>
        <v>#N/A</v>
      </c>
      <c r="T2097" s="19" t="e">
        <f>VLOOKUP(A2097,[4]Volume!$E:$G,3,FALSE)</f>
        <v>#N/A</v>
      </c>
      <c r="U2097" s="19" t="e">
        <f>VLOOKUP(A2097,[4]Piece!$E:$G,3,FALSE)</f>
        <v>#N/A</v>
      </c>
      <c r="V2097" s="21" t="e">
        <f t="shared" si="130"/>
        <v>#N/A</v>
      </c>
      <c r="W2097" s="16" t="e">
        <f t="shared" si="131"/>
        <v>#N/A</v>
      </c>
    </row>
    <row r="2098" spans="1:23" hidden="1" x14ac:dyDescent="0.3">
      <c r="A2098" s="71" t="s">
        <v>4132</v>
      </c>
      <c r="B2098" s="71" t="s">
        <v>4132</v>
      </c>
      <c r="C2098" s="47" t="s">
        <v>33</v>
      </c>
      <c r="D2098" s="48" t="s">
        <v>34</v>
      </c>
      <c r="E2098" s="18" t="s">
        <v>4133</v>
      </c>
      <c r="F2098" s="24" t="str">
        <f t="shared" si="128"/>
        <v>PPG - RODO  FFJ NO BRIST 1" BRUSH</v>
      </c>
      <c r="G2098" s="20" t="s">
        <v>6968</v>
      </c>
      <c r="H2098" s="49" t="s">
        <v>213</v>
      </c>
      <c r="I2098" s="18" t="s">
        <v>37</v>
      </c>
      <c r="J2098" s="18" t="s">
        <v>38</v>
      </c>
      <c r="K2098" t="s">
        <v>39</v>
      </c>
      <c r="L2098" s="50">
        <f>VLOOKUP(A2098,'[3]Price info'!A:D,4,FALSE)</f>
        <v>1.02</v>
      </c>
      <c r="M2098" s="18" t="s">
        <v>214</v>
      </c>
      <c r="N2098" s="20">
        <v>3105</v>
      </c>
      <c r="P2098" s="16">
        <f>VLOOKUP(A2098,'[3]Price info'!A:H,8,FALSE)</f>
        <v>1.02</v>
      </c>
      <c r="Q2098" s="17">
        <f t="shared" si="129"/>
        <v>1</v>
      </c>
      <c r="S2098" s="16" t="e">
        <f>VLOOKUP(A2098,[4]Sales!$E:$G,3,FALSE)</f>
        <v>#N/A</v>
      </c>
      <c r="T2098" s="19" t="e">
        <f>VLOOKUP(A2098,[4]Volume!$E:$G,3,FALSE)</f>
        <v>#N/A</v>
      </c>
      <c r="U2098" s="19" t="e">
        <f>VLOOKUP(A2098,[4]Piece!$E:$G,3,FALSE)</f>
        <v>#N/A</v>
      </c>
      <c r="V2098" s="21" t="e">
        <f t="shared" si="130"/>
        <v>#N/A</v>
      </c>
      <c r="W2098" s="16" t="e">
        <f t="shared" si="131"/>
        <v>#N/A</v>
      </c>
    </row>
    <row r="2099" spans="1:23" hidden="1" x14ac:dyDescent="0.3">
      <c r="A2099" s="71" t="s">
        <v>4134</v>
      </c>
      <c r="B2099" s="71" t="s">
        <v>4134</v>
      </c>
      <c r="C2099" s="51" t="s">
        <v>33</v>
      </c>
      <c r="D2099" s="48" t="s">
        <v>34</v>
      </c>
      <c r="E2099" s="18" t="s">
        <v>4135</v>
      </c>
      <c r="F2099" s="24" t="str">
        <f t="shared" si="128"/>
        <v>PPG - RODO  FFJ NO BRIST 1.5"BRUSH</v>
      </c>
      <c r="G2099" s="20" t="s">
        <v>6969</v>
      </c>
      <c r="H2099" s="49" t="s">
        <v>213</v>
      </c>
      <c r="I2099" s="18" t="s">
        <v>37</v>
      </c>
      <c r="J2099" s="18" t="s">
        <v>38</v>
      </c>
      <c r="K2099" t="s">
        <v>39</v>
      </c>
      <c r="L2099" s="50">
        <f>VLOOKUP(A2099,'[3]Price info'!A:D,4,FALSE)</f>
        <v>1.53</v>
      </c>
      <c r="M2099" s="18" t="s">
        <v>214</v>
      </c>
      <c r="N2099" s="20">
        <v>3105</v>
      </c>
      <c r="P2099" s="16">
        <f>VLOOKUP(A2099,'[3]Price info'!A:H,8,FALSE)</f>
        <v>1.53</v>
      </c>
      <c r="Q2099" s="17">
        <f t="shared" si="129"/>
        <v>1</v>
      </c>
      <c r="S2099" s="16" t="e">
        <f>VLOOKUP(A2099,[4]Sales!$E:$G,3,FALSE)</f>
        <v>#N/A</v>
      </c>
      <c r="T2099" s="19" t="e">
        <f>VLOOKUP(A2099,[4]Volume!$E:$G,3,FALSE)</f>
        <v>#N/A</v>
      </c>
      <c r="U2099" s="19" t="e">
        <f>VLOOKUP(A2099,[4]Piece!$E:$G,3,FALSE)</f>
        <v>#N/A</v>
      </c>
      <c r="V2099" s="21" t="e">
        <f t="shared" si="130"/>
        <v>#N/A</v>
      </c>
      <c r="W2099" s="16" t="e">
        <f t="shared" si="131"/>
        <v>#N/A</v>
      </c>
    </row>
    <row r="2100" spans="1:23" hidden="1" x14ac:dyDescent="0.3">
      <c r="A2100" s="71" t="s">
        <v>4136</v>
      </c>
      <c r="B2100" s="71" t="s">
        <v>4136</v>
      </c>
      <c r="C2100" s="47" t="s">
        <v>33</v>
      </c>
      <c r="D2100" s="48" t="s">
        <v>34</v>
      </c>
      <c r="E2100" s="18" t="s">
        <v>4137</v>
      </c>
      <c r="F2100" s="24" t="str">
        <f t="shared" si="128"/>
        <v>PPG - RODO  FFJ NO BRIST 2" BRUSH</v>
      </c>
      <c r="G2100" s="20" t="s">
        <v>6970</v>
      </c>
      <c r="H2100" s="49" t="s">
        <v>213</v>
      </c>
      <c r="I2100" s="18" t="s">
        <v>37</v>
      </c>
      <c r="J2100" s="18" t="s">
        <v>38</v>
      </c>
      <c r="K2100" t="s">
        <v>39</v>
      </c>
      <c r="L2100" s="50">
        <f>VLOOKUP(A2100,'[3]Price info'!A:D,4,FALSE)</f>
        <v>2.04</v>
      </c>
      <c r="M2100" s="18" t="s">
        <v>214</v>
      </c>
      <c r="N2100" s="20">
        <v>3105</v>
      </c>
      <c r="P2100" s="16">
        <f>VLOOKUP(A2100,'[3]Price info'!A:H,8,FALSE)</f>
        <v>2.04</v>
      </c>
      <c r="Q2100" s="17">
        <f t="shared" si="129"/>
        <v>1</v>
      </c>
      <c r="S2100" s="16" t="e">
        <f>VLOOKUP(A2100,[4]Sales!$E:$G,3,FALSE)</f>
        <v>#N/A</v>
      </c>
      <c r="T2100" s="19" t="e">
        <f>VLOOKUP(A2100,[4]Volume!$E:$G,3,FALSE)</f>
        <v>#N/A</v>
      </c>
      <c r="U2100" s="19" t="e">
        <f>VLOOKUP(A2100,[4]Piece!$E:$G,3,FALSE)</f>
        <v>#N/A</v>
      </c>
      <c r="V2100" s="21" t="e">
        <f t="shared" si="130"/>
        <v>#N/A</v>
      </c>
      <c r="W2100" s="16" t="e">
        <f t="shared" si="131"/>
        <v>#N/A</v>
      </c>
    </row>
    <row r="2101" spans="1:23" hidden="1" x14ac:dyDescent="0.3">
      <c r="A2101" s="71" t="s">
        <v>4138</v>
      </c>
      <c r="B2101" s="71" t="s">
        <v>4138</v>
      </c>
      <c r="C2101" s="47" t="s">
        <v>33</v>
      </c>
      <c r="D2101" s="48" t="s">
        <v>34</v>
      </c>
      <c r="E2101" s="18" t="s">
        <v>4139</v>
      </c>
      <c r="F2101" s="24" t="str">
        <f t="shared" si="128"/>
        <v>PPG - RODO  FFJ NO BRIST 2.5" BRUSH</v>
      </c>
      <c r="G2101" s="20" t="s">
        <v>6971</v>
      </c>
      <c r="H2101" s="49" t="s">
        <v>213</v>
      </c>
      <c r="I2101" s="18" t="s">
        <v>37</v>
      </c>
      <c r="J2101" s="18" t="s">
        <v>38</v>
      </c>
      <c r="K2101" t="s">
        <v>39</v>
      </c>
      <c r="L2101" s="50">
        <f>VLOOKUP(A2101,'[3]Price info'!A:D,4,FALSE)</f>
        <v>2.56</v>
      </c>
      <c r="M2101" s="18" t="s">
        <v>214</v>
      </c>
      <c r="N2101" s="20">
        <v>3105</v>
      </c>
      <c r="P2101" s="16">
        <f>VLOOKUP(A2101,'[3]Price info'!A:H,8,FALSE)</f>
        <v>2.56</v>
      </c>
      <c r="Q2101" s="17">
        <f t="shared" si="129"/>
        <v>1</v>
      </c>
      <c r="S2101" s="16" t="e">
        <f>VLOOKUP(A2101,[4]Sales!$E:$G,3,FALSE)</f>
        <v>#N/A</v>
      </c>
      <c r="T2101" s="19" t="e">
        <f>VLOOKUP(A2101,[4]Volume!$E:$G,3,FALSE)</f>
        <v>#N/A</v>
      </c>
      <c r="U2101" s="19" t="e">
        <f>VLOOKUP(A2101,[4]Piece!$E:$G,3,FALSE)</f>
        <v>#N/A</v>
      </c>
      <c r="V2101" s="21" t="e">
        <f t="shared" si="130"/>
        <v>#N/A</v>
      </c>
      <c r="W2101" s="16" t="e">
        <f t="shared" si="131"/>
        <v>#N/A</v>
      </c>
    </row>
    <row r="2102" spans="1:23" hidden="1" x14ac:dyDescent="0.3">
      <c r="A2102" s="71" t="s">
        <v>4140</v>
      </c>
      <c r="B2102" s="71" t="s">
        <v>4140</v>
      </c>
      <c r="C2102" s="51" t="s">
        <v>33</v>
      </c>
      <c r="D2102" s="48" t="s">
        <v>34</v>
      </c>
      <c r="E2102" s="18" t="s">
        <v>4141</v>
      </c>
      <c r="F2102" s="24" t="str">
        <f t="shared" si="128"/>
        <v>PPG - RODO  FFJ NO BRIST 3" BRUSH</v>
      </c>
      <c r="G2102" s="20" t="s">
        <v>6972</v>
      </c>
      <c r="H2102" s="49" t="s">
        <v>213</v>
      </c>
      <c r="I2102" s="18" t="s">
        <v>37</v>
      </c>
      <c r="J2102" s="18" t="s">
        <v>38</v>
      </c>
      <c r="K2102" t="s">
        <v>39</v>
      </c>
      <c r="L2102" s="50">
        <f>VLOOKUP(A2102,'[3]Price info'!A:D,4,FALSE)</f>
        <v>3.07</v>
      </c>
      <c r="M2102" s="18" t="s">
        <v>214</v>
      </c>
      <c r="N2102" s="20">
        <v>3105</v>
      </c>
      <c r="P2102" s="16">
        <f>VLOOKUP(A2102,'[3]Price info'!A:H,8,FALSE)</f>
        <v>3.07</v>
      </c>
      <c r="Q2102" s="17">
        <f t="shared" si="129"/>
        <v>1</v>
      </c>
      <c r="S2102" s="16" t="e">
        <f>VLOOKUP(A2102,[4]Sales!$E:$G,3,FALSE)</f>
        <v>#N/A</v>
      </c>
      <c r="T2102" s="19" t="e">
        <f>VLOOKUP(A2102,[4]Volume!$E:$G,3,FALSE)</f>
        <v>#N/A</v>
      </c>
      <c r="U2102" s="19" t="e">
        <f>VLOOKUP(A2102,[4]Piece!$E:$G,3,FALSE)</f>
        <v>#N/A</v>
      </c>
      <c r="V2102" s="21" t="e">
        <f t="shared" si="130"/>
        <v>#N/A</v>
      </c>
      <c r="W2102" s="16" t="e">
        <f t="shared" si="131"/>
        <v>#N/A</v>
      </c>
    </row>
    <row r="2103" spans="1:23" hidden="1" x14ac:dyDescent="0.3">
      <c r="A2103" s="71" t="s">
        <v>4142</v>
      </c>
      <c r="B2103" s="71" t="s">
        <v>4142</v>
      </c>
      <c r="C2103" s="47" t="s">
        <v>33</v>
      </c>
      <c r="D2103" s="48" t="s">
        <v>34</v>
      </c>
      <c r="E2103" s="18" t="s">
        <v>4143</v>
      </c>
      <c r="F2103" s="24" t="str">
        <f t="shared" si="128"/>
        <v>PPG - RODO  FFJ NO BRIST 4" BRUSH</v>
      </c>
      <c r="G2103" s="20" t="s">
        <v>6973</v>
      </c>
      <c r="H2103" s="49" t="s">
        <v>213</v>
      </c>
      <c r="I2103" s="18" t="s">
        <v>37</v>
      </c>
      <c r="J2103" s="18" t="s">
        <v>38</v>
      </c>
      <c r="K2103" t="s">
        <v>39</v>
      </c>
      <c r="L2103" s="50">
        <f>VLOOKUP(A2103,'[3]Price info'!A:D,4,FALSE)</f>
        <v>4.0999999999999996</v>
      </c>
      <c r="M2103" s="18" t="s">
        <v>214</v>
      </c>
      <c r="N2103" s="20">
        <v>3105</v>
      </c>
      <c r="P2103" s="16">
        <f>VLOOKUP(A2103,'[3]Price info'!A:H,8,FALSE)</f>
        <v>4.0999999999999996</v>
      </c>
      <c r="Q2103" s="17">
        <f t="shared" si="129"/>
        <v>1</v>
      </c>
      <c r="S2103" s="16" t="e">
        <f>VLOOKUP(A2103,[4]Sales!$E:$G,3,FALSE)</f>
        <v>#N/A</v>
      </c>
      <c r="T2103" s="19" t="e">
        <f>VLOOKUP(A2103,[4]Volume!$E:$G,3,FALSE)</f>
        <v>#N/A</v>
      </c>
      <c r="U2103" s="19" t="e">
        <f>VLOOKUP(A2103,[4]Piece!$E:$G,3,FALSE)</f>
        <v>#N/A</v>
      </c>
      <c r="V2103" s="21" t="e">
        <f t="shared" si="130"/>
        <v>#N/A</v>
      </c>
      <c r="W2103" s="16" t="e">
        <f t="shared" si="131"/>
        <v>#N/A</v>
      </c>
    </row>
    <row r="2104" spans="1:23" hidden="1" x14ac:dyDescent="0.3">
      <c r="A2104" s="71" t="s">
        <v>4144</v>
      </c>
      <c r="B2104" s="71" t="s">
        <v>4144</v>
      </c>
      <c r="C2104" s="47" t="s">
        <v>33</v>
      </c>
      <c r="D2104" s="48" t="s">
        <v>34</v>
      </c>
      <c r="E2104" s="18" t="s">
        <v>4145</v>
      </c>
      <c r="F2104" s="24" t="str">
        <f t="shared" si="128"/>
        <v>PPG - RODO  FFJ SHED&amp;FEN BLOCK BRSH FBBB003</v>
      </c>
      <c r="G2104" s="20" t="s">
        <v>6974</v>
      </c>
      <c r="H2104" s="49" t="s">
        <v>213</v>
      </c>
      <c r="I2104" s="18" t="s">
        <v>37</v>
      </c>
      <c r="J2104" s="18" t="s">
        <v>38</v>
      </c>
      <c r="K2104" t="s">
        <v>39</v>
      </c>
      <c r="L2104" s="50">
        <f>VLOOKUP(A2104,'[3]Price info'!A:D,4,FALSE)</f>
        <v>2.72</v>
      </c>
      <c r="M2104" s="18" t="s">
        <v>214</v>
      </c>
      <c r="N2104" s="20">
        <v>3105</v>
      </c>
      <c r="P2104" s="16">
        <f>VLOOKUP(A2104,'[3]Price info'!A:H,8,FALSE)</f>
        <v>2.72</v>
      </c>
      <c r="Q2104" s="17">
        <f t="shared" si="129"/>
        <v>1</v>
      </c>
      <c r="S2104" s="16" t="e">
        <f>VLOOKUP(A2104,[4]Sales!$E:$G,3,FALSE)</f>
        <v>#N/A</v>
      </c>
      <c r="T2104" s="19" t="e">
        <f>VLOOKUP(A2104,[4]Volume!$E:$G,3,FALSE)</f>
        <v>#N/A</v>
      </c>
      <c r="U2104" s="19" t="e">
        <f>VLOOKUP(A2104,[4]Piece!$E:$G,3,FALSE)</f>
        <v>#N/A</v>
      </c>
      <c r="V2104" s="21" t="e">
        <f t="shared" si="130"/>
        <v>#N/A</v>
      </c>
      <c r="W2104" s="16" t="e">
        <f t="shared" si="131"/>
        <v>#N/A</v>
      </c>
    </row>
    <row r="2105" spans="1:23" hidden="1" x14ac:dyDescent="0.3">
      <c r="A2105" s="71" t="s">
        <v>4146</v>
      </c>
      <c r="B2105" s="71" t="s">
        <v>4146</v>
      </c>
      <c r="C2105" s="51" t="s">
        <v>33</v>
      </c>
      <c r="D2105" s="48" t="s">
        <v>34</v>
      </c>
      <c r="E2105" s="18" t="s">
        <v>4147</v>
      </c>
      <c r="F2105" s="24" t="str">
        <f t="shared" si="128"/>
        <v>PPG - RODO  FIBREGLASS 6 TREAD STEP LADDER</v>
      </c>
      <c r="G2105" s="20" t="s">
        <v>6975</v>
      </c>
      <c r="H2105" s="49" t="s">
        <v>213</v>
      </c>
      <c r="I2105" s="18" t="s">
        <v>37</v>
      </c>
      <c r="J2105" s="18" t="s">
        <v>38</v>
      </c>
      <c r="K2105" t="s">
        <v>39</v>
      </c>
      <c r="L2105" s="50">
        <f>VLOOKUP(A2105,'[3]Price info'!A:D,4,FALSE)</f>
        <v>110.16</v>
      </c>
      <c r="M2105" s="18" t="s">
        <v>214</v>
      </c>
      <c r="N2105" s="20">
        <v>3105</v>
      </c>
      <c r="P2105" s="16">
        <f>VLOOKUP(A2105,'[3]Price info'!A:H,8,FALSE)</f>
        <v>110.16</v>
      </c>
      <c r="Q2105" s="17">
        <f t="shared" si="129"/>
        <v>1</v>
      </c>
      <c r="S2105" s="16" t="e">
        <f>VLOOKUP(A2105,[4]Sales!$E:$G,3,FALSE)</f>
        <v>#N/A</v>
      </c>
      <c r="T2105" s="19" t="e">
        <f>VLOOKUP(A2105,[4]Volume!$E:$G,3,FALSE)</f>
        <v>#N/A</v>
      </c>
      <c r="U2105" s="19" t="e">
        <f>VLOOKUP(A2105,[4]Piece!$E:$G,3,FALSE)</f>
        <v>#N/A</v>
      </c>
      <c r="V2105" s="21" t="e">
        <f t="shared" si="130"/>
        <v>#N/A</v>
      </c>
      <c r="W2105" s="16" t="e">
        <f t="shared" si="131"/>
        <v>#N/A</v>
      </c>
    </row>
    <row r="2106" spans="1:23" hidden="1" x14ac:dyDescent="0.3">
      <c r="A2106" s="71" t="s">
        <v>4148</v>
      </c>
      <c r="B2106" s="71" t="s">
        <v>4148</v>
      </c>
      <c r="C2106" s="47" t="s">
        <v>33</v>
      </c>
      <c r="D2106" s="48" t="s">
        <v>34</v>
      </c>
      <c r="E2106" s="18" t="s">
        <v>4149</v>
      </c>
      <c r="F2106" s="24" t="str">
        <f t="shared" si="128"/>
        <v>PPG - RODO  FILLING KNF  4" PACK(6) (FFJFK4)*N</v>
      </c>
      <c r="G2106" s="20" t="s">
        <v>6976</v>
      </c>
      <c r="H2106" s="49" t="s">
        <v>213</v>
      </c>
      <c r="I2106" s="18" t="s">
        <v>37</v>
      </c>
      <c r="J2106" s="18" t="s">
        <v>38</v>
      </c>
      <c r="K2106" t="s">
        <v>39</v>
      </c>
      <c r="L2106" s="50">
        <f>VLOOKUP(A2106,'[3]Price info'!A:D,4,FALSE)</f>
        <v>49.82</v>
      </c>
      <c r="M2106" s="18" t="s">
        <v>214</v>
      </c>
      <c r="N2106" s="20">
        <v>3105</v>
      </c>
      <c r="P2106" s="16">
        <f>VLOOKUP(A2106,'[3]Price info'!A:H,8,FALSE)</f>
        <v>49.82</v>
      </c>
      <c r="Q2106" s="17">
        <f t="shared" si="129"/>
        <v>1</v>
      </c>
      <c r="S2106" s="16" t="e">
        <f>VLOOKUP(A2106,[4]Sales!$E:$G,3,FALSE)</f>
        <v>#N/A</v>
      </c>
      <c r="T2106" s="19" t="e">
        <f>VLOOKUP(A2106,[4]Volume!$E:$G,3,FALSE)</f>
        <v>#N/A</v>
      </c>
      <c r="U2106" s="19" t="e">
        <f>VLOOKUP(A2106,[4]Piece!$E:$G,3,FALSE)</f>
        <v>#N/A</v>
      </c>
      <c r="V2106" s="21" t="e">
        <f t="shared" si="130"/>
        <v>#N/A</v>
      </c>
      <c r="W2106" s="16" t="e">
        <f t="shared" si="131"/>
        <v>#N/A</v>
      </c>
    </row>
    <row r="2107" spans="1:23" hidden="1" x14ac:dyDescent="0.3">
      <c r="A2107" s="71" t="s">
        <v>4150</v>
      </c>
      <c r="B2107" s="71" t="s">
        <v>4150</v>
      </c>
      <c r="C2107" s="47" t="s">
        <v>33</v>
      </c>
      <c r="D2107" s="48" t="s">
        <v>34</v>
      </c>
      <c r="E2107" s="18" t="s">
        <v>4151</v>
      </c>
      <c r="F2107" s="24" t="str">
        <f t="shared" si="128"/>
        <v>PPG - RODO  FLR PAINT SL 12"        ARRE011</v>
      </c>
      <c r="G2107" s="20" t="s">
        <v>6977</v>
      </c>
      <c r="H2107" s="49" t="s">
        <v>213</v>
      </c>
      <c r="I2107" s="18" t="s">
        <v>37</v>
      </c>
      <c r="J2107" s="18" t="s">
        <v>38</v>
      </c>
      <c r="K2107" t="s">
        <v>39</v>
      </c>
      <c r="L2107" s="50">
        <f>VLOOKUP(A2107,'[3]Price info'!A:D,4,FALSE)</f>
        <v>7.14</v>
      </c>
      <c r="M2107" s="18" t="s">
        <v>214</v>
      </c>
      <c r="N2107" s="20">
        <v>3105</v>
      </c>
      <c r="P2107" s="16">
        <f>VLOOKUP(A2107,'[3]Price info'!A:H,8,FALSE)</f>
        <v>7.14</v>
      </c>
      <c r="Q2107" s="17">
        <f t="shared" si="129"/>
        <v>1</v>
      </c>
      <c r="S2107" s="16" t="e">
        <f>VLOOKUP(A2107,[4]Sales!$E:$G,3,FALSE)</f>
        <v>#N/A</v>
      </c>
      <c r="T2107" s="19" t="e">
        <f>VLOOKUP(A2107,[4]Volume!$E:$G,3,FALSE)</f>
        <v>#N/A</v>
      </c>
      <c r="U2107" s="19" t="e">
        <f>VLOOKUP(A2107,[4]Piece!$E:$G,3,FALSE)</f>
        <v>#N/A</v>
      </c>
      <c r="V2107" s="21" t="e">
        <f t="shared" si="130"/>
        <v>#N/A</v>
      </c>
      <c r="W2107" s="16" t="e">
        <f t="shared" si="131"/>
        <v>#N/A</v>
      </c>
    </row>
    <row r="2108" spans="1:23" hidden="1" x14ac:dyDescent="0.3">
      <c r="A2108" s="71" t="s">
        <v>4152</v>
      </c>
      <c r="B2108" s="71" t="s">
        <v>4152</v>
      </c>
      <c r="C2108" s="51" t="s">
        <v>33</v>
      </c>
      <c r="D2108" s="48" t="s">
        <v>34</v>
      </c>
      <c r="E2108" s="18" t="s">
        <v>4153</v>
      </c>
      <c r="F2108" s="24" t="str">
        <f t="shared" si="128"/>
        <v>PPG - RODO  FOAM BRUSH   SET 1"2"3" FBS3P</v>
      </c>
      <c r="G2108" s="20" t="s">
        <v>6978</v>
      </c>
      <c r="H2108" s="49" t="s">
        <v>213</v>
      </c>
      <c r="I2108" s="18" t="s">
        <v>37</v>
      </c>
      <c r="J2108" s="18" t="s">
        <v>38</v>
      </c>
      <c r="K2108" t="s">
        <v>39</v>
      </c>
      <c r="L2108" s="50">
        <f>VLOOKUP(A2108,'[3]Price info'!A:D,4,FALSE)</f>
        <v>5.99</v>
      </c>
      <c r="M2108" s="18" t="s">
        <v>214</v>
      </c>
      <c r="N2108" s="20">
        <v>3105</v>
      </c>
      <c r="P2108" s="16">
        <f>VLOOKUP(A2108,'[3]Price info'!A:H,8,FALSE)</f>
        <v>5.99</v>
      </c>
      <c r="Q2108" s="17">
        <f t="shared" si="129"/>
        <v>1</v>
      </c>
      <c r="S2108" s="16" t="e">
        <f>VLOOKUP(A2108,[4]Sales!$E:$G,3,FALSE)</f>
        <v>#N/A</v>
      </c>
      <c r="T2108" s="19" t="e">
        <f>VLOOKUP(A2108,[4]Volume!$E:$G,3,FALSE)</f>
        <v>#N/A</v>
      </c>
      <c r="U2108" s="19" t="e">
        <f>VLOOKUP(A2108,[4]Piece!$E:$G,3,FALSE)</f>
        <v>#N/A</v>
      </c>
      <c r="V2108" s="21" t="e">
        <f t="shared" si="130"/>
        <v>#N/A</v>
      </c>
      <c r="W2108" s="16" t="e">
        <f t="shared" si="131"/>
        <v>#N/A</v>
      </c>
    </row>
    <row r="2109" spans="1:23" hidden="1" x14ac:dyDescent="0.3">
      <c r="A2109" s="71" t="s">
        <v>4154</v>
      </c>
      <c r="B2109" s="71" t="s">
        <v>4154</v>
      </c>
      <c r="C2109" s="47" t="s">
        <v>33</v>
      </c>
      <c r="D2109" s="48" t="s">
        <v>34</v>
      </c>
      <c r="E2109" s="18" t="s">
        <v>4155</v>
      </c>
      <c r="F2109" s="24" t="str">
        <f t="shared" si="128"/>
        <v>PPG - RODO  FOAM GLS SLV 9"         PRRE012</v>
      </c>
      <c r="G2109" s="20" t="s">
        <v>6979</v>
      </c>
      <c r="H2109" s="49" t="s">
        <v>213</v>
      </c>
      <c r="I2109" s="18" t="s">
        <v>37</v>
      </c>
      <c r="J2109" s="18" t="s">
        <v>38</v>
      </c>
      <c r="K2109" t="s">
        <v>39</v>
      </c>
      <c r="L2109" s="50">
        <f>VLOOKUP(A2109,'[3]Price info'!A:D,4,FALSE)</f>
        <v>3.53</v>
      </c>
      <c r="M2109" s="18" t="s">
        <v>214</v>
      </c>
      <c r="N2109" s="20">
        <v>3105</v>
      </c>
      <c r="P2109" s="16">
        <f>VLOOKUP(A2109,'[3]Price info'!A:H,8,FALSE)</f>
        <v>3.53</v>
      </c>
      <c r="Q2109" s="17">
        <f t="shared" si="129"/>
        <v>1</v>
      </c>
      <c r="S2109" s="16" t="e">
        <f>VLOOKUP(A2109,[4]Sales!$E:$G,3,FALSE)</f>
        <v>#N/A</v>
      </c>
      <c r="T2109" s="19" t="e">
        <f>VLOOKUP(A2109,[4]Volume!$E:$G,3,FALSE)</f>
        <v>#N/A</v>
      </c>
      <c r="U2109" s="19" t="e">
        <f>VLOOKUP(A2109,[4]Piece!$E:$G,3,FALSE)</f>
        <v>#N/A</v>
      </c>
      <c r="V2109" s="21" t="e">
        <f t="shared" si="130"/>
        <v>#N/A</v>
      </c>
      <c r="W2109" s="16" t="e">
        <f t="shared" si="131"/>
        <v>#N/A</v>
      </c>
    </row>
    <row r="2110" spans="1:23" hidden="1" x14ac:dyDescent="0.3">
      <c r="A2110" s="71" t="s">
        <v>4156</v>
      </c>
      <c r="B2110" s="71" t="s">
        <v>4156</v>
      </c>
      <c r="C2110" s="47" t="s">
        <v>33</v>
      </c>
      <c r="D2110" s="48" t="s">
        <v>34</v>
      </c>
      <c r="E2110" s="18" t="s">
        <v>4157</v>
      </c>
      <c r="F2110" s="24" t="str">
        <f t="shared" si="128"/>
        <v>PPG - RODO  GARMENT      GP1A25     0000001100</v>
      </c>
      <c r="G2110" s="20" t="s">
        <v>6980</v>
      </c>
      <c r="H2110" s="49" t="s">
        <v>213</v>
      </c>
      <c r="I2110" s="18" t="s">
        <v>37</v>
      </c>
      <c r="J2110" s="18" t="s">
        <v>38</v>
      </c>
      <c r="K2110" t="s">
        <v>39</v>
      </c>
      <c r="L2110" s="50">
        <f>VLOOKUP(A2110,'[3]Price info'!A:D,4,FALSE)</f>
        <v>4.3</v>
      </c>
      <c r="M2110" s="18" t="s">
        <v>214</v>
      </c>
      <c r="N2110" s="20">
        <v>3105</v>
      </c>
      <c r="P2110" s="16">
        <f>VLOOKUP(A2110,'[3]Price info'!A:H,8,FALSE)</f>
        <v>4.3</v>
      </c>
      <c r="Q2110" s="17">
        <f t="shared" si="129"/>
        <v>1</v>
      </c>
      <c r="S2110" s="16" t="e">
        <f>VLOOKUP(A2110,[4]Sales!$E:$G,3,FALSE)</f>
        <v>#N/A</v>
      </c>
      <c r="T2110" s="19" t="e">
        <f>VLOOKUP(A2110,[4]Volume!$E:$G,3,FALSE)</f>
        <v>#N/A</v>
      </c>
      <c r="U2110" s="19" t="e">
        <f>VLOOKUP(A2110,[4]Piece!$E:$G,3,FALSE)</f>
        <v>#N/A</v>
      </c>
      <c r="V2110" s="21" t="e">
        <f t="shared" si="130"/>
        <v>#N/A</v>
      </c>
      <c r="W2110" s="16" t="e">
        <f t="shared" si="131"/>
        <v>#N/A</v>
      </c>
    </row>
    <row r="2111" spans="1:23" hidden="1" x14ac:dyDescent="0.3">
      <c r="A2111" s="71" t="s">
        <v>4158</v>
      </c>
      <c r="B2111" s="71" t="s">
        <v>4158</v>
      </c>
      <c r="C2111" s="51" t="s">
        <v>33</v>
      </c>
      <c r="D2111" s="48" t="s">
        <v>34</v>
      </c>
      <c r="E2111" s="18" t="s">
        <v>4159</v>
      </c>
      <c r="F2111" s="24" t="str">
        <f t="shared" si="128"/>
        <v>PPG - RODO  GLOSS PILE   9"X1.75"   PRRE002</v>
      </c>
      <c r="G2111" s="20" t="s">
        <v>6981</v>
      </c>
      <c r="H2111" s="49" t="s">
        <v>213</v>
      </c>
      <c r="I2111" s="18" t="s">
        <v>37</v>
      </c>
      <c r="J2111" s="18" t="s">
        <v>38</v>
      </c>
      <c r="K2111" t="s">
        <v>39</v>
      </c>
      <c r="L2111" s="50">
        <f>VLOOKUP(A2111,'[3]Price info'!A:D,4,FALSE)</f>
        <v>8.56</v>
      </c>
      <c r="M2111" s="18" t="s">
        <v>214</v>
      </c>
      <c r="N2111" s="20">
        <v>3105</v>
      </c>
      <c r="P2111" s="16">
        <f>VLOOKUP(A2111,'[3]Price info'!A:H,8,FALSE)</f>
        <v>8.56</v>
      </c>
      <c r="Q2111" s="17">
        <f t="shared" si="129"/>
        <v>1</v>
      </c>
      <c r="S2111" s="16" t="e">
        <f>VLOOKUP(A2111,[4]Sales!$E:$G,3,FALSE)</f>
        <v>#N/A</v>
      </c>
      <c r="T2111" s="19" t="e">
        <f>VLOOKUP(A2111,[4]Volume!$E:$G,3,FALSE)</f>
        <v>#N/A</v>
      </c>
      <c r="U2111" s="19" t="e">
        <f>VLOOKUP(A2111,[4]Piece!$E:$G,3,FALSE)</f>
        <v>#N/A</v>
      </c>
      <c r="V2111" s="21" t="e">
        <f t="shared" si="130"/>
        <v>#N/A</v>
      </c>
      <c r="W2111" s="16" t="e">
        <f t="shared" si="131"/>
        <v>#N/A</v>
      </c>
    </row>
    <row r="2112" spans="1:23" hidden="1" x14ac:dyDescent="0.3">
      <c r="A2112" s="71" t="s">
        <v>4160</v>
      </c>
      <c r="B2112" s="71" t="s">
        <v>4160</v>
      </c>
      <c r="C2112" s="47" t="s">
        <v>33</v>
      </c>
      <c r="D2112" s="48" t="s">
        <v>34</v>
      </c>
      <c r="E2112" s="18" t="s">
        <v>4161</v>
      </c>
      <c r="F2112" s="24" t="str">
        <f t="shared" si="128"/>
        <v>PPG - RODO  GLS PILE SLV 9" X 6     PRRE013</v>
      </c>
      <c r="G2112" s="20" t="s">
        <v>6982</v>
      </c>
      <c r="H2112" s="49" t="s">
        <v>213</v>
      </c>
      <c r="I2112" s="18" t="s">
        <v>37</v>
      </c>
      <c r="J2112" s="18" t="s">
        <v>38</v>
      </c>
      <c r="K2112" t="s">
        <v>39</v>
      </c>
      <c r="L2112" s="50">
        <f>VLOOKUP(A2112,'[3]Price info'!A:D,4,FALSE)</f>
        <v>3.74</v>
      </c>
      <c r="M2112" s="18" t="s">
        <v>214</v>
      </c>
      <c r="N2112" s="20">
        <v>3105</v>
      </c>
      <c r="P2112" s="16">
        <f>VLOOKUP(A2112,'[3]Price info'!A:H,8,FALSE)</f>
        <v>3.74</v>
      </c>
      <c r="Q2112" s="17">
        <f t="shared" si="129"/>
        <v>1</v>
      </c>
      <c r="S2112" s="16" t="e">
        <f>VLOOKUP(A2112,[4]Sales!$E:$G,3,FALSE)</f>
        <v>#N/A</v>
      </c>
      <c r="T2112" s="19" t="e">
        <f>VLOOKUP(A2112,[4]Volume!$E:$G,3,FALSE)</f>
        <v>#N/A</v>
      </c>
      <c r="U2112" s="19" t="e">
        <f>VLOOKUP(A2112,[4]Piece!$E:$G,3,FALSE)</f>
        <v>#N/A</v>
      </c>
      <c r="V2112" s="21" t="e">
        <f t="shared" si="130"/>
        <v>#N/A</v>
      </c>
      <c r="W2112" s="16" t="e">
        <f t="shared" si="131"/>
        <v>#N/A</v>
      </c>
    </row>
    <row r="2113" spans="1:23" hidden="1" x14ac:dyDescent="0.3">
      <c r="A2113" s="71" t="s">
        <v>4162</v>
      </c>
      <c r="B2113" s="71" t="s">
        <v>4162</v>
      </c>
      <c r="C2113" s="47" t="s">
        <v>33</v>
      </c>
      <c r="D2113" s="48" t="s">
        <v>34</v>
      </c>
      <c r="E2113" s="18" t="s">
        <v>4163</v>
      </c>
      <c r="F2113" s="24" t="str">
        <f t="shared" si="128"/>
        <v>PPG - RODO  H/D POLY SLV 9"         ARRE009</v>
      </c>
      <c r="G2113" s="20" t="s">
        <v>6983</v>
      </c>
      <c r="H2113" s="49" t="s">
        <v>213</v>
      </c>
      <c r="I2113" s="18" t="s">
        <v>37</v>
      </c>
      <c r="J2113" s="18" t="s">
        <v>38</v>
      </c>
      <c r="K2113" t="s">
        <v>39</v>
      </c>
      <c r="L2113" s="50">
        <f>VLOOKUP(A2113,'[3]Price info'!A:D,4,FALSE)</f>
        <v>6.61</v>
      </c>
      <c r="M2113" s="18" t="s">
        <v>214</v>
      </c>
      <c r="N2113" s="20">
        <v>3105</v>
      </c>
      <c r="P2113" s="16">
        <f>VLOOKUP(A2113,'[3]Price info'!A:H,8,FALSE)</f>
        <v>6.61</v>
      </c>
      <c r="Q2113" s="17">
        <f t="shared" si="129"/>
        <v>1</v>
      </c>
      <c r="S2113" s="16" t="e">
        <f>VLOOKUP(A2113,[4]Sales!$E:$G,3,FALSE)</f>
        <v>#N/A</v>
      </c>
      <c r="T2113" s="19" t="e">
        <f>VLOOKUP(A2113,[4]Volume!$E:$G,3,FALSE)</f>
        <v>#N/A</v>
      </c>
      <c r="U2113" s="19" t="e">
        <f>VLOOKUP(A2113,[4]Piece!$E:$G,3,FALSE)</f>
        <v>#N/A</v>
      </c>
      <c r="V2113" s="21" t="e">
        <f t="shared" si="130"/>
        <v>#N/A</v>
      </c>
      <c r="W2113" s="16" t="e">
        <f t="shared" si="131"/>
        <v>#N/A</v>
      </c>
    </row>
    <row r="2114" spans="1:23" hidden="1" x14ac:dyDescent="0.3">
      <c r="A2114" s="71" t="s">
        <v>4164</v>
      </c>
      <c r="B2114" s="71" t="s">
        <v>4164</v>
      </c>
      <c r="C2114" s="51" t="s">
        <v>33</v>
      </c>
      <c r="D2114" s="48" t="s">
        <v>34</v>
      </c>
      <c r="E2114" s="18" t="s">
        <v>4165</v>
      </c>
      <c r="F2114" s="24" t="str">
        <f t="shared" si="128"/>
        <v>PPG - RODO  H/D WOVEN SL 12"        PRRE028</v>
      </c>
      <c r="G2114" s="20" t="s">
        <v>6984</v>
      </c>
      <c r="H2114" s="49" t="s">
        <v>213</v>
      </c>
      <c r="I2114" s="18" t="s">
        <v>37</v>
      </c>
      <c r="J2114" s="18" t="s">
        <v>38</v>
      </c>
      <c r="K2114" t="s">
        <v>39</v>
      </c>
      <c r="L2114" s="50">
        <f>VLOOKUP(A2114,'[3]Price info'!A:D,4,FALSE)</f>
        <v>8.59</v>
      </c>
      <c r="M2114" s="18" t="s">
        <v>214</v>
      </c>
      <c r="N2114" s="20">
        <v>3105</v>
      </c>
      <c r="P2114" s="16">
        <f>VLOOKUP(A2114,'[3]Price info'!A:H,8,FALSE)</f>
        <v>8.59</v>
      </c>
      <c r="Q2114" s="17">
        <f t="shared" si="129"/>
        <v>1</v>
      </c>
      <c r="S2114" s="16" t="e">
        <f>VLOOKUP(A2114,[4]Sales!$E:$G,3,FALSE)</f>
        <v>#N/A</v>
      </c>
      <c r="T2114" s="19" t="e">
        <f>VLOOKUP(A2114,[4]Volume!$E:$G,3,FALSE)</f>
        <v>#N/A</v>
      </c>
      <c r="U2114" s="19" t="e">
        <f>VLOOKUP(A2114,[4]Piece!$E:$G,3,FALSE)</f>
        <v>#N/A</v>
      </c>
      <c r="V2114" s="21" t="e">
        <f t="shared" si="130"/>
        <v>#N/A</v>
      </c>
      <c r="W2114" s="16" t="e">
        <f t="shared" si="131"/>
        <v>#N/A</v>
      </c>
    </row>
    <row r="2115" spans="1:23" hidden="1" x14ac:dyDescent="0.3">
      <c r="A2115" s="71" t="s">
        <v>4166</v>
      </c>
      <c r="B2115" s="71" t="s">
        <v>4166</v>
      </c>
      <c r="C2115" s="47" t="s">
        <v>33</v>
      </c>
      <c r="D2115" s="48" t="s">
        <v>34</v>
      </c>
      <c r="E2115" s="18" t="s">
        <v>4167</v>
      </c>
      <c r="F2115" s="24" t="str">
        <f t="shared" ref="F2115:F2178" si="132">D2115&amp;" - "&amp;E2115</f>
        <v>PPG - RODO  HELMET PRINT 100 PLUS</v>
      </c>
      <c r="G2115" s="20" t="s">
        <v>6985</v>
      </c>
      <c r="H2115" s="49" t="s">
        <v>213</v>
      </c>
      <c r="I2115" s="18" t="s">
        <v>37</v>
      </c>
      <c r="J2115" s="18" t="s">
        <v>38</v>
      </c>
      <c r="K2115" t="s">
        <v>39</v>
      </c>
      <c r="L2115" s="50">
        <f>VLOOKUP(A2115,'[3]Price info'!A:D,4,FALSE)</f>
        <v>2.31</v>
      </c>
      <c r="M2115" s="18" t="s">
        <v>214</v>
      </c>
      <c r="N2115" s="20">
        <v>3105</v>
      </c>
      <c r="P2115" s="16">
        <f>VLOOKUP(A2115,'[3]Price info'!A:H,8,FALSE)</f>
        <v>2.31</v>
      </c>
      <c r="Q2115" s="17">
        <f t="shared" ref="Q2115:Q2178" si="133">P2115/L2115</f>
        <v>1</v>
      </c>
      <c r="S2115" s="16" t="e">
        <f>VLOOKUP(A2115,[4]Sales!$E:$G,3,FALSE)</f>
        <v>#N/A</v>
      </c>
      <c r="T2115" s="19" t="e">
        <f>VLOOKUP(A2115,[4]Volume!$E:$G,3,FALSE)</f>
        <v>#N/A</v>
      </c>
      <c r="U2115" s="19" t="e">
        <f>VLOOKUP(A2115,[4]Piece!$E:$G,3,FALSE)</f>
        <v>#N/A</v>
      </c>
      <c r="V2115" s="21" t="e">
        <f t="shared" ref="V2115:V2178" si="134">U2115*P2115</f>
        <v>#N/A</v>
      </c>
      <c r="W2115" s="16" t="e">
        <f t="shared" ref="W2115:W2178" si="135">V2115-S2115</f>
        <v>#N/A</v>
      </c>
    </row>
    <row r="2116" spans="1:23" hidden="1" x14ac:dyDescent="0.3">
      <c r="A2116" s="71" t="s">
        <v>4168</v>
      </c>
      <c r="B2116" s="71" t="s">
        <v>4168</v>
      </c>
      <c r="C2116" s="47" t="s">
        <v>33</v>
      </c>
      <c r="D2116" s="48" t="s">
        <v>34</v>
      </c>
      <c r="E2116" s="18" t="s">
        <v>4169</v>
      </c>
      <c r="F2116" s="24" t="str">
        <f t="shared" si="132"/>
        <v>PPG - RODO  HI VIS VEST BACK LOGO ID POCKET</v>
      </c>
      <c r="G2116" s="20" t="s">
        <v>6986</v>
      </c>
      <c r="H2116" s="49" t="s">
        <v>213</v>
      </c>
      <c r="I2116" s="18" t="s">
        <v>37</v>
      </c>
      <c r="J2116" s="18" t="s">
        <v>38</v>
      </c>
      <c r="K2116" t="s">
        <v>39</v>
      </c>
      <c r="L2116" s="50">
        <f>VLOOKUP(A2116,'[3]Price info'!A:D,4,FALSE)</f>
        <v>8.7100000000000009</v>
      </c>
      <c r="M2116" s="18" t="s">
        <v>214</v>
      </c>
      <c r="N2116" s="20">
        <v>3105</v>
      </c>
      <c r="P2116" s="16">
        <f>VLOOKUP(A2116,'[3]Price info'!A:H,8,FALSE)</f>
        <v>8.7100000000000009</v>
      </c>
      <c r="Q2116" s="17">
        <f t="shared" si="133"/>
        <v>1</v>
      </c>
      <c r="S2116" s="16" t="e">
        <f>VLOOKUP(A2116,[4]Sales!$E:$G,3,FALSE)</f>
        <v>#N/A</v>
      </c>
      <c r="T2116" s="19" t="e">
        <f>VLOOKUP(A2116,[4]Volume!$E:$G,3,FALSE)</f>
        <v>#N/A</v>
      </c>
      <c r="U2116" s="19" t="e">
        <f>VLOOKUP(A2116,[4]Piece!$E:$G,3,FALSE)</f>
        <v>#N/A</v>
      </c>
      <c r="V2116" s="21" t="e">
        <f t="shared" si="134"/>
        <v>#N/A</v>
      </c>
      <c r="W2116" s="16" t="e">
        <f t="shared" si="135"/>
        <v>#N/A</v>
      </c>
    </row>
    <row r="2117" spans="1:23" hidden="1" x14ac:dyDescent="0.3">
      <c r="A2117" s="71" t="s">
        <v>4170</v>
      </c>
      <c r="B2117" s="71" t="s">
        <v>4170</v>
      </c>
      <c r="C2117" s="51" t="s">
        <v>33</v>
      </c>
      <c r="D2117" s="48" t="s">
        <v>34</v>
      </c>
      <c r="E2117" s="18" t="s">
        <v>4171</v>
      </c>
      <c r="F2117" s="24" t="str">
        <f t="shared" si="132"/>
        <v>PPG - RODO  ICE 9"X1.75" FUSION SLV ARRE031</v>
      </c>
      <c r="G2117" s="20" t="s">
        <v>6987</v>
      </c>
      <c r="H2117" s="49" t="s">
        <v>213</v>
      </c>
      <c r="I2117" s="18" t="s">
        <v>37</v>
      </c>
      <c r="J2117" s="18" t="s">
        <v>38</v>
      </c>
      <c r="K2117" t="s">
        <v>39</v>
      </c>
      <c r="L2117" s="50">
        <f>VLOOKUP(A2117,'[3]Price info'!A:D,4,FALSE)</f>
        <v>7.02</v>
      </c>
      <c r="M2117" s="18" t="s">
        <v>214</v>
      </c>
      <c r="N2117" s="20">
        <v>3105</v>
      </c>
      <c r="P2117" s="16">
        <f>VLOOKUP(A2117,'[3]Price info'!A:H,8,FALSE)</f>
        <v>7.02</v>
      </c>
      <c r="Q2117" s="17">
        <f t="shared" si="133"/>
        <v>1</v>
      </c>
      <c r="S2117" s="16" t="e">
        <f>VLOOKUP(A2117,[4]Sales!$E:$G,3,FALSE)</f>
        <v>#N/A</v>
      </c>
      <c r="T2117" s="19" t="e">
        <f>VLOOKUP(A2117,[4]Volume!$E:$G,3,FALSE)</f>
        <v>#N/A</v>
      </c>
      <c r="U2117" s="19" t="e">
        <f>VLOOKUP(A2117,[4]Piece!$E:$G,3,FALSE)</f>
        <v>#N/A</v>
      </c>
      <c r="V2117" s="21" t="e">
        <f t="shared" si="134"/>
        <v>#N/A</v>
      </c>
      <c r="W2117" s="16" t="e">
        <f t="shared" si="135"/>
        <v>#N/A</v>
      </c>
    </row>
    <row r="2118" spans="1:23" hidden="1" x14ac:dyDescent="0.3">
      <c r="A2118" s="71" t="s">
        <v>4172</v>
      </c>
      <c r="B2118" s="71" t="s">
        <v>4172</v>
      </c>
      <c r="C2118" s="47" t="s">
        <v>33</v>
      </c>
      <c r="D2118" s="48" t="s">
        <v>34</v>
      </c>
      <c r="E2118" s="18" t="s">
        <v>4173</v>
      </c>
      <c r="F2118" s="24" t="str">
        <f t="shared" si="132"/>
        <v>PPG - RODO  L/HAND TITAN HD SCRAPER</v>
      </c>
      <c r="G2118" s="20" t="s">
        <v>6988</v>
      </c>
      <c r="H2118" s="49" t="s">
        <v>213</v>
      </c>
      <c r="I2118" s="18" t="s">
        <v>37</v>
      </c>
      <c r="J2118" s="18" t="s">
        <v>38</v>
      </c>
      <c r="K2118" t="s">
        <v>39</v>
      </c>
      <c r="L2118" s="50">
        <f>VLOOKUP(A2118,'[3]Price info'!A:D,4,FALSE)</f>
        <v>16.86</v>
      </c>
      <c r="M2118" s="18" t="s">
        <v>214</v>
      </c>
      <c r="N2118" s="20">
        <v>3105</v>
      </c>
      <c r="P2118" s="16">
        <f>VLOOKUP(A2118,'[3]Price info'!A:H,8,FALSE)</f>
        <v>16.86</v>
      </c>
      <c r="Q2118" s="17">
        <f t="shared" si="133"/>
        <v>1</v>
      </c>
      <c r="S2118" s="16" t="e">
        <f>VLOOKUP(A2118,[4]Sales!$E:$G,3,FALSE)</f>
        <v>#N/A</v>
      </c>
      <c r="T2118" s="19" t="e">
        <f>VLOOKUP(A2118,[4]Volume!$E:$G,3,FALSE)</f>
        <v>#N/A</v>
      </c>
      <c r="U2118" s="19" t="e">
        <f>VLOOKUP(A2118,[4]Piece!$E:$G,3,FALSE)</f>
        <v>#N/A</v>
      </c>
      <c r="V2118" s="21" t="e">
        <f t="shared" si="134"/>
        <v>#N/A</v>
      </c>
      <c r="W2118" s="16" t="e">
        <f t="shared" si="135"/>
        <v>#N/A</v>
      </c>
    </row>
    <row r="2119" spans="1:23" hidden="1" x14ac:dyDescent="0.3">
      <c r="A2119" s="71" t="s">
        <v>4174</v>
      </c>
      <c r="B2119" s="71" t="s">
        <v>4174</v>
      </c>
      <c r="C2119" s="47" t="s">
        <v>33</v>
      </c>
      <c r="D2119" s="48" t="s">
        <v>34</v>
      </c>
      <c r="E2119" s="18" t="s">
        <v>4175</v>
      </c>
      <c r="F2119" s="24" t="str">
        <f t="shared" si="132"/>
        <v>PPG - RODO  L/P POLY SLV 9"         ARRE008</v>
      </c>
      <c r="G2119" s="20" t="s">
        <v>6989</v>
      </c>
      <c r="H2119" s="49" t="s">
        <v>213</v>
      </c>
      <c r="I2119" s="18" t="s">
        <v>37</v>
      </c>
      <c r="J2119" s="18" t="s">
        <v>38</v>
      </c>
      <c r="K2119" t="s">
        <v>39</v>
      </c>
      <c r="L2119" s="50">
        <f>VLOOKUP(A2119,'[3]Price info'!A:D,4,FALSE)</f>
        <v>6.4</v>
      </c>
      <c r="M2119" s="18" t="s">
        <v>214</v>
      </c>
      <c r="N2119" s="20">
        <v>3105</v>
      </c>
      <c r="P2119" s="16">
        <f>VLOOKUP(A2119,'[3]Price info'!A:H,8,FALSE)</f>
        <v>6.4</v>
      </c>
      <c r="Q2119" s="17">
        <f t="shared" si="133"/>
        <v>1</v>
      </c>
      <c r="S2119" s="16" t="e">
        <f>VLOOKUP(A2119,[4]Sales!$E:$G,3,FALSE)</f>
        <v>#N/A</v>
      </c>
      <c r="T2119" s="19" t="e">
        <f>VLOOKUP(A2119,[4]Volume!$E:$G,3,FALSE)</f>
        <v>#N/A</v>
      </c>
      <c r="U2119" s="19" t="e">
        <f>VLOOKUP(A2119,[4]Piece!$E:$G,3,FALSE)</f>
        <v>#N/A</v>
      </c>
      <c r="V2119" s="21" t="e">
        <f t="shared" si="134"/>
        <v>#N/A</v>
      </c>
      <c r="W2119" s="16" t="e">
        <f t="shared" si="135"/>
        <v>#N/A</v>
      </c>
    </row>
    <row r="2120" spans="1:23" hidden="1" x14ac:dyDescent="0.3">
      <c r="A2120" s="71" t="s">
        <v>4176</v>
      </c>
      <c r="B2120" s="71" t="s">
        <v>4176</v>
      </c>
      <c r="C2120" s="51" t="s">
        <v>33</v>
      </c>
      <c r="D2120" s="48" t="s">
        <v>34</v>
      </c>
      <c r="E2120" s="18" t="s">
        <v>4177</v>
      </c>
      <c r="F2120" s="24" t="str">
        <f t="shared" si="132"/>
        <v>PPG - RODO  L/P POLY SLV 9"         PRRE019</v>
      </c>
      <c r="G2120" s="20" t="s">
        <v>6990</v>
      </c>
      <c r="H2120" s="49" t="s">
        <v>213</v>
      </c>
      <c r="I2120" s="18" t="s">
        <v>37</v>
      </c>
      <c r="J2120" s="18" t="s">
        <v>38</v>
      </c>
      <c r="K2120" t="s">
        <v>39</v>
      </c>
      <c r="L2120" s="50">
        <f>VLOOKUP(A2120,'[3]Price info'!A:D,4,FALSE)</f>
        <v>4.37</v>
      </c>
      <c r="M2120" s="18" t="s">
        <v>214</v>
      </c>
      <c r="N2120" s="20">
        <v>3105</v>
      </c>
      <c r="P2120" s="16">
        <f>VLOOKUP(A2120,'[3]Price info'!A:H,8,FALSE)</f>
        <v>4.37</v>
      </c>
      <c r="Q2120" s="17">
        <f t="shared" si="133"/>
        <v>1</v>
      </c>
      <c r="S2120" s="16" t="e">
        <f>VLOOKUP(A2120,[4]Sales!$E:$G,3,FALSE)</f>
        <v>#N/A</v>
      </c>
      <c r="T2120" s="19" t="e">
        <f>VLOOKUP(A2120,[4]Volume!$E:$G,3,FALSE)</f>
        <v>#N/A</v>
      </c>
      <c r="U2120" s="19" t="e">
        <f>VLOOKUP(A2120,[4]Piece!$E:$G,3,FALSE)</f>
        <v>#N/A</v>
      </c>
      <c r="V2120" s="21" t="e">
        <f t="shared" si="134"/>
        <v>#N/A</v>
      </c>
      <c r="W2120" s="16" t="e">
        <f t="shared" si="135"/>
        <v>#N/A</v>
      </c>
    </row>
    <row r="2121" spans="1:23" hidden="1" x14ac:dyDescent="0.3">
      <c r="A2121" s="71" t="s">
        <v>4178</v>
      </c>
      <c r="B2121" s="71" t="s">
        <v>4178</v>
      </c>
      <c r="C2121" s="47" t="s">
        <v>33</v>
      </c>
      <c r="D2121" s="48" t="s">
        <v>34</v>
      </c>
      <c r="E2121" s="18" t="s">
        <v>4179</v>
      </c>
      <c r="F2121" s="24" t="str">
        <f t="shared" si="132"/>
        <v>PPG - RODO  L/P S/SKIN   9"         SLV PRRE02</v>
      </c>
      <c r="G2121" s="20" t="s">
        <v>6991</v>
      </c>
      <c r="H2121" s="49" t="s">
        <v>213</v>
      </c>
      <c r="I2121" s="18" t="s">
        <v>37</v>
      </c>
      <c r="J2121" s="18" t="s">
        <v>38</v>
      </c>
      <c r="K2121" t="s">
        <v>39</v>
      </c>
      <c r="L2121" s="50">
        <f>VLOOKUP(A2121,'[3]Price info'!A:D,4,FALSE)</f>
        <v>10.99</v>
      </c>
      <c r="M2121" s="18" t="s">
        <v>214</v>
      </c>
      <c r="N2121" s="20">
        <v>3105</v>
      </c>
      <c r="P2121" s="16">
        <f>VLOOKUP(A2121,'[3]Price info'!A:H,8,FALSE)</f>
        <v>10.99</v>
      </c>
      <c r="Q2121" s="17">
        <f t="shared" si="133"/>
        <v>1</v>
      </c>
      <c r="S2121" s="16" t="e">
        <f>VLOOKUP(A2121,[4]Sales!$E:$G,3,FALSE)</f>
        <v>#N/A</v>
      </c>
      <c r="T2121" s="19" t="e">
        <f>VLOOKUP(A2121,[4]Volume!$E:$G,3,FALSE)</f>
        <v>#N/A</v>
      </c>
      <c r="U2121" s="19" t="e">
        <f>VLOOKUP(A2121,[4]Piece!$E:$G,3,FALSE)</f>
        <v>#N/A</v>
      </c>
      <c r="V2121" s="21" t="e">
        <f t="shared" si="134"/>
        <v>#N/A</v>
      </c>
      <c r="W2121" s="16" t="e">
        <f t="shared" si="135"/>
        <v>#N/A</v>
      </c>
    </row>
    <row r="2122" spans="1:23" hidden="1" x14ac:dyDescent="0.3">
      <c r="A2122" s="71" t="s">
        <v>4180</v>
      </c>
      <c r="B2122" s="71" t="s">
        <v>4180</v>
      </c>
      <c r="C2122" s="47" t="s">
        <v>33</v>
      </c>
      <c r="D2122" s="48" t="s">
        <v>34</v>
      </c>
      <c r="E2122" s="18" t="s">
        <v>4181</v>
      </c>
      <c r="F2122" s="24" t="str">
        <f t="shared" si="132"/>
        <v>PPG - RODO  L/P WOVEN SL 9"         PREE015</v>
      </c>
      <c r="G2122" s="20" t="s">
        <v>6992</v>
      </c>
      <c r="H2122" s="49" t="s">
        <v>213</v>
      </c>
      <c r="I2122" s="18" t="s">
        <v>37</v>
      </c>
      <c r="J2122" s="18" t="s">
        <v>38</v>
      </c>
      <c r="K2122" t="s">
        <v>39</v>
      </c>
      <c r="L2122" s="50">
        <f>VLOOKUP(A2122,'[3]Price info'!A:D,4,FALSE)</f>
        <v>5.72</v>
      </c>
      <c r="M2122" s="18" t="s">
        <v>214</v>
      </c>
      <c r="N2122" s="20">
        <v>3105</v>
      </c>
      <c r="P2122" s="16">
        <f>VLOOKUP(A2122,'[3]Price info'!A:H,8,FALSE)</f>
        <v>5.72</v>
      </c>
      <c r="Q2122" s="17">
        <f t="shared" si="133"/>
        <v>1</v>
      </c>
      <c r="S2122" s="16">
        <f>VLOOKUP(A2122,[4]Sales!$E:$G,3,FALSE)</f>
        <v>22.88</v>
      </c>
      <c r="T2122" s="19">
        <f>VLOOKUP(A2122,[4]Volume!$E:$G,3,FALSE)</f>
        <v>4</v>
      </c>
      <c r="U2122" s="19">
        <f>VLOOKUP(A2122,[4]Piece!$E:$G,3,FALSE)</f>
        <v>4</v>
      </c>
      <c r="V2122" s="21">
        <f t="shared" si="134"/>
        <v>22.88</v>
      </c>
      <c r="W2122" s="16">
        <f t="shared" si="135"/>
        <v>0</v>
      </c>
    </row>
    <row r="2123" spans="1:23" hidden="1" x14ac:dyDescent="0.3">
      <c r="A2123" s="71" t="s">
        <v>4182</v>
      </c>
      <c r="B2123" s="71" t="s">
        <v>4182</v>
      </c>
      <c r="C2123" s="51" t="s">
        <v>33</v>
      </c>
      <c r="D2123" s="48" t="s">
        <v>34</v>
      </c>
      <c r="E2123" s="18" t="s">
        <v>4183</v>
      </c>
      <c r="F2123" s="24" t="str">
        <f t="shared" si="132"/>
        <v>PPG - RODO  LOW TACK     25MM - 1"  MASKING TA</v>
      </c>
      <c r="G2123" s="20" t="s">
        <v>6993</v>
      </c>
      <c r="H2123" s="49" t="s">
        <v>213</v>
      </c>
      <c r="I2123" s="18" t="s">
        <v>37</v>
      </c>
      <c r="J2123" s="18" t="s">
        <v>38</v>
      </c>
      <c r="K2123" t="s">
        <v>39</v>
      </c>
      <c r="L2123" s="50">
        <f>VLOOKUP(A2123,'[3]Price info'!A:D,4,FALSE)</f>
        <v>2.34</v>
      </c>
      <c r="M2123" s="18" t="s">
        <v>214</v>
      </c>
      <c r="N2123" s="20">
        <v>3105</v>
      </c>
      <c r="P2123" s="16">
        <f>VLOOKUP(A2123,'[3]Price info'!A:H,8,FALSE)</f>
        <v>2.34</v>
      </c>
      <c r="Q2123" s="17">
        <f t="shared" si="133"/>
        <v>1</v>
      </c>
      <c r="S2123" s="16" t="e">
        <f>VLOOKUP(A2123,[4]Sales!$E:$G,3,FALSE)</f>
        <v>#N/A</v>
      </c>
      <c r="T2123" s="19" t="e">
        <f>VLOOKUP(A2123,[4]Volume!$E:$G,3,FALSE)</f>
        <v>#N/A</v>
      </c>
      <c r="U2123" s="19" t="e">
        <f>VLOOKUP(A2123,[4]Piece!$E:$G,3,FALSE)</f>
        <v>#N/A</v>
      </c>
      <c r="V2123" s="21" t="e">
        <f t="shared" si="134"/>
        <v>#N/A</v>
      </c>
      <c r="W2123" s="16" t="e">
        <f t="shared" si="135"/>
        <v>#N/A</v>
      </c>
    </row>
    <row r="2124" spans="1:23" hidden="1" x14ac:dyDescent="0.3">
      <c r="A2124" s="71" t="s">
        <v>4184</v>
      </c>
      <c r="B2124" s="71" t="s">
        <v>4184</v>
      </c>
      <c r="C2124" s="47" t="s">
        <v>33</v>
      </c>
      <c r="D2124" s="48" t="s">
        <v>34</v>
      </c>
      <c r="E2124" s="18" t="s">
        <v>4185</v>
      </c>
      <c r="F2124" s="24" t="str">
        <f t="shared" si="132"/>
        <v>PPG - RODO  LOW TACK     38MM-1.5"  MASKING TA</v>
      </c>
      <c r="G2124" s="20" t="s">
        <v>6994</v>
      </c>
      <c r="H2124" s="49" t="s">
        <v>213</v>
      </c>
      <c r="I2124" s="18" t="s">
        <v>37</v>
      </c>
      <c r="J2124" s="18" t="s">
        <v>38</v>
      </c>
      <c r="K2124" t="s">
        <v>39</v>
      </c>
      <c r="L2124" s="50">
        <f>VLOOKUP(A2124,'[3]Price info'!A:D,4,FALSE)</f>
        <v>4.88</v>
      </c>
      <c r="M2124" s="18" t="s">
        <v>214</v>
      </c>
      <c r="N2124" s="20">
        <v>3105</v>
      </c>
      <c r="P2124" s="16">
        <f>VLOOKUP(A2124,'[3]Price info'!A:H,8,FALSE)</f>
        <v>4.88</v>
      </c>
      <c r="Q2124" s="17">
        <f t="shared" si="133"/>
        <v>1</v>
      </c>
      <c r="S2124" s="16" t="e">
        <f>VLOOKUP(A2124,[4]Sales!$E:$G,3,FALSE)</f>
        <v>#N/A</v>
      </c>
      <c r="T2124" s="19" t="e">
        <f>VLOOKUP(A2124,[4]Volume!$E:$G,3,FALSE)</f>
        <v>#N/A</v>
      </c>
      <c r="U2124" s="19" t="e">
        <f>VLOOKUP(A2124,[4]Piece!$E:$G,3,FALSE)</f>
        <v>#N/A</v>
      </c>
      <c r="V2124" s="21" t="e">
        <f t="shared" si="134"/>
        <v>#N/A</v>
      </c>
      <c r="W2124" s="16" t="e">
        <f t="shared" si="135"/>
        <v>#N/A</v>
      </c>
    </row>
    <row r="2125" spans="1:23" hidden="1" x14ac:dyDescent="0.3">
      <c r="A2125" s="71" t="s">
        <v>4186</v>
      </c>
      <c r="B2125" s="71" t="s">
        <v>4186</v>
      </c>
      <c r="C2125" s="47" t="s">
        <v>33</v>
      </c>
      <c r="D2125" s="48" t="s">
        <v>34</v>
      </c>
      <c r="E2125" s="18" t="s">
        <v>4187</v>
      </c>
      <c r="F2125" s="24" t="str">
        <f t="shared" si="132"/>
        <v>PPG - RODO  M/P MICRO SL 12"        ARRE010</v>
      </c>
      <c r="G2125" s="20" t="s">
        <v>6995</v>
      </c>
      <c r="H2125" s="49" t="s">
        <v>213</v>
      </c>
      <c r="I2125" s="18" t="s">
        <v>37</v>
      </c>
      <c r="J2125" s="18" t="s">
        <v>38</v>
      </c>
      <c r="K2125" t="s">
        <v>39</v>
      </c>
      <c r="L2125" s="50">
        <f>VLOOKUP(A2125,'[3]Price info'!A:D,4,FALSE)</f>
        <v>9.4600000000000009</v>
      </c>
      <c r="M2125" s="18" t="s">
        <v>214</v>
      </c>
      <c r="N2125" s="20">
        <v>3105</v>
      </c>
      <c r="P2125" s="16">
        <f>VLOOKUP(A2125,'[3]Price info'!A:H,8,FALSE)</f>
        <v>9.4600000000000009</v>
      </c>
      <c r="Q2125" s="17">
        <f t="shared" si="133"/>
        <v>1</v>
      </c>
      <c r="S2125" s="16" t="e">
        <f>VLOOKUP(A2125,[4]Sales!$E:$G,3,FALSE)</f>
        <v>#N/A</v>
      </c>
      <c r="T2125" s="19" t="e">
        <f>VLOOKUP(A2125,[4]Volume!$E:$G,3,FALSE)</f>
        <v>#N/A</v>
      </c>
      <c r="U2125" s="19" t="e">
        <f>VLOOKUP(A2125,[4]Piece!$E:$G,3,FALSE)</f>
        <v>#N/A</v>
      </c>
      <c r="V2125" s="21" t="e">
        <f t="shared" si="134"/>
        <v>#N/A</v>
      </c>
      <c r="W2125" s="16" t="e">
        <f t="shared" si="135"/>
        <v>#N/A</v>
      </c>
    </row>
    <row r="2126" spans="1:23" hidden="1" x14ac:dyDescent="0.3">
      <c r="A2126" s="71" t="s">
        <v>4188</v>
      </c>
      <c r="B2126" s="71" t="s">
        <v>4188</v>
      </c>
      <c r="C2126" s="51" t="s">
        <v>33</v>
      </c>
      <c r="D2126" s="48" t="s">
        <v>34</v>
      </c>
      <c r="E2126" s="18" t="s">
        <v>4189</v>
      </c>
      <c r="F2126" s="24" t="str">
        <f t="shared" si="132"/>
        <v>PPG - RODO  M/P MICRO SL 9"         ARRE07</v>
      </c>
      <c r="G2126" s="20" t="s">
        <v>6996</v>
      </c>
      <c r="H2126" s="49" t="s">
        <v>213</v>
      </c>
      <c r="I2126" s="18" t="s">
        <v>37</v>
      </c>
      <c r="J2126" s="18" t="s">
        <v>38</v>
      </c>
      <c r="K2126" t="s">
        <v>39</v>
      </c>
      <c r="L2126" s="50">
        <f>VLOOKUP(A2126,'[3]Price info'!A:D,4,FALSE)</f>
        <v>6.15</v>
      </c>
      <c r="M2126" s="18" t="s">
        <v>214</v>
      </c>
      <c r="N2126" s="20">
        <v>3105</v>
      </c>
      <c r="P2126" s="16">
        <f>VLOOKUP(A2126,'[3]Price info'!A:H,8,FALSE)</f>
        <v>6.15</v>
      </c>
      <c r="Q2126" s="17">
        <f t="shared" si="133"/>
        <v>1</v>
      </c>
      <c r="S2126" s="16" t="e">
        <f>VLOOKUP(A2126,[4]Sales!$E:$G,3,FALSE)</f>
        <v>#N/A</v>
      </c>
      <c r="T2126" s="19" t="e">
        <f>VLOOKUP(A2126,[4]Volume!$E:$G,3,FALSE)</f>
        <v>#N/A</v>
      </c>
      <c r="U2126" s="19" t="e">
        <f>VLOOKUP(A2126,[4]Piece!$E:$G,3,FALSE)</f>
        <v>#N/A</v>
      </c>
      <c r="V2126" s="21" t="e">
        <f t="shared" si="134"/>
        <v>#N/A</v>
      </c>
      <c r="W2126" s="16" t="e">
        <f t="shared" si="135"/>
        <v>#N/A</v>
      </c>
    </row>
    <row r="2127" spans="1:23" hidden="1" x14ac:dyDescent="0.3">
      <c r="A2127" s="71" t="s">
        <v>4190</v>
      </c>
      <c r="B2127" s="71" t="s">
        <v>4190</v>
      </c>
      <c r="C2127" s="47" t="s">
        <v>33</v>
      </c>
      <c r="D2127" s="48" t="s">
        <v>34</v>
      </c>
      <c r="E2127" s="18" t="s">
        <v>4191</v>
      </c>
      <c r="F2127" s="24" t="str">
        <f t="shared" si="132"/>
        <v>PPG - RODO  M/P POLY SLV 9"         PRRE018</v>
      </c>
      <c r="G2127" s="20" t="s">
        <v>6997</v>
      </c>
      <c r="H2127" s="49" t="s">
        <v>213</v>
      </c>
      <c r="I2127" s="18" t="s">
        <v>37</v>
      </c>
      <c r="J2127" s="18" t="s">
        <v>38</v>
      </c>
      <c r="K2127" t="s">
        <v>39</v>
      </c>
      <c r="L2127" s="50">
        <f>VLOOKUP(A2127,'[3]Price info'!A:D,4,FALSE)</f>
        <v>4.1500000000000004</v>
      </c>
      <c r="M2127" s="18" t="s">
        <v>214</v>
      </c>
      <c r="N2127" s="20">
        <v>3105</v>
      </c>
      <c r="P2127" s="16">
        <f>VLOOKUP(A2127,'[3]Price info'!A:H,8,FALSE)</f>
        <v>4.1500000000000004</v>
      </c>
      <c r="Q2127" s="17">
        <f t="shared" si="133"/>
        <v>1</v>
      </c>
      <c r="S2127" s="16" t="e">
        <f>VLOOKUP(A2127,[4]Sales!$E:$G,3,FALSE)</f>
        <v>#N/A</v>
      </c>
      <c r="T2127" s="19" t="e">
        <f>VLOOKUP(A2127,[4]Volume!$E:$G,3,FALSE)</f>
        <v>#N/A</v>
      </c>
      <c r="U2127" s="19" t="e">
        <f>VLOOKUP(A2127,[4]Piece!$E:$G,3,FALSE)</f>
        <v>#N/A</v>
      </c>
      <c r="V2127" s="21" t="e">
        <f t="shared" si="134"/>
        <v>#N/A</v>
      </c>
      <c r="W2127" s="16" t="e">
        <f t="shared" si="135"/>
        <v>#N/A</v>
      </c>
    </row>
    <row r="2128" spans="1:23" hidden="1" x14ac:dyDescent="0.3">
      <c r="A2128" s="71" t="s">
        <v>4192</v>
      </c>
      <c r="B2128" s="71" t="s">
        <v>4192</v>
      </c>
      <c r="C2128" s="47" t="s">
        <v>33</v>
      </c>
      <c r="D2128" s="48" t="s">
        <v>34</v>
      </c>
      <c r="E2128" s="18" t="s">
        <v>4193</v>
      </c>
      <c r="F2128" s="24" t="str">
        <f t="shared" si="132"/>
        <v>PPG - RODO  MASKING 12MP PAPER 12"  PRICE CHAN</v>
      </c>
      <c r="G2128" s="20" t="s">
        <v>6998</v>
      </c>
      <c r="H2128" s="49" t="s">
        <v>213</v>
      </c>
      <c r="I2128" s="18" t="s">
        <v>37</v>
      </c>
      <c r="J2128" s="18" t="s">
        <v>38</v>
      </c>
      <c r="K2128" t="s">
        <v>39</v>
      </c>
      <c r="L2128" s="50">
        <f>VLOOKUP(A2128,'[3]Price info'!A:D,4,FALSE)</f>
        <v>5.73</v>
      </c>
      <c r="M2128" s="18" t="s">
        <v>214</v>
      </c>
      <c r="N2128" s="20">
        <v>3105</v>
      </c>
      <c r="P2128" s="16">
        <f>VLOOKUP(A2128,'[3]Price info'!A:H,8,FALSE)</f>
        <v>5.73</v>
      </c>
      <c r="Q2128" s="17">
        <f t="shared" si="133"/>
        <v>1</v>
      </c>
      <c r="S2128" s="16" t="e">
        <f>VLOOKUP(A2128,[4]Sales!$E:$G,3,FALSE)</f>
        <v>#N/A</v>
      </c>
      <c r="T2128" s="19" t="e">
        <f>VLOOKUP(A2128,[4]Volume!$E:$G,3,FALSE)</f>
        <v>#N/A</v>
      </c>
      <c r="U2128" s="19" t="e">
        <f>VLOOKUP(A2128,[4]Piece!$E:$G,3,FALSE)</f>
        <v>#N/A</v>
      </c>
      <c r="V2128" s="21" t="e">
        <f t="shared" si="134"/>
        <v>#N/A</v>
      </c>
      <c r="W2128" s="16" t="e">
        <f t="shared" si="135"/>
        <v>#N/A</v>
      </c>
    </row>
    <row r="2129" spans="1:23" hidden="1" x14ac:dyDescent="0.3">
      <c r="A2129" s="71" t="s">
        <v>4194</v>
      </c>
      <c r="B2129" s="71" t="s">
        <v>4194</v>
      </c>
      <c r="C2129" s="51" t="s">
        <v>33</v>
      </c>
      <c r="D2129" s="48" t="s">
        <v>34</v>
      </c>
      <c r="E2129" s="18" t="s">
        <v>4195</v>
      </c>
      <c r="F2129" s="24" t="str">
        <f t="shared" si="132"/>
        <v>PPG - RODO  MASONRY      4" BRUSH   PR4GY</v>
      </c>
      <c r="G2129" s="20" t="s">
        <v>6999</v>
      </c>
      <c r="H2129" s="49" t="s">
        <v>213</v>
      </c>
      <c r="I2129" s="18" t="s">
        <v>37</v>
      </c>
      <c r="J2129" s="18" t="s">
        <v>38</v>
      </c>
      <c r="K2129" t="s">
        <v>39</v>
      </c>
      <c r="L2129" s="50">
        <f>VLOOKUP(A2129,'[3]Price info'!A:D,4,FALSE)</f>
        <v>4.3899999999999997</v>
      </c>
      <c r="M2129" s="18" t="s">
        <v>214</v>
      </c>
      <c r="N2129" s="20">
        <v>3105</v>
      </c>
      <c r="P2129" s="16">
        <f>VLOOKUP(A2129,'[3]Price info'!A:H,8,FALSE)</f>
        <v>4.3899999999999997</v>
      </c>
      <c r="Q2129" s="17">
        <f t="shared" si="133"/>
        <v>1</v>
      </c>
      <c r="S2129" s="16" t="e">
        <f>VLOOKUP(A2129,[4]Sales!$E:$G,3,FALSE)</f>
        <v>#N/A</v>
      </c>
      <c r="T2129" s="19" t="e">
        <f>VLOOKUP(A2129,[4]Volume!$E:$G,3,FALSE)</f>
        <v>#N/A</v>
      </c>
      <c r="U2129" s="19" t="e">
        <f>VLOOKUP(A2129,[4]Piece!$E:$G,3,FALSE)</f>
        <v>#N/A</v>
      </c>
      <c r="V2129" s="21" t="e">
        <f t="shared" si="134"/>
        <v>#N/A</v>
      </c>
      <c r="W2129" s="16" t="e">
        <f t="shared" si="135"/>
        <v>#N/A</v>
      </c>
    </row>
    <row r="2130" spans="1:23" hidden="1" x14ac:dyDescent="0.3">
      <c r="A2130" s="71" t="s">
        <v>4196</v>
      </c>
      <c r="B2130" s="71" t="s">
        <v>4196</v>
      </c>
      <c r="C2130" s="47" t="s">
        <v>33</v>
      </c>
      <c r="D2130" s="48" t="s">
        <v>34</v>
      </c>
      <c r="E2130" s="18" t="s">
        <v>4197</v>
      </c>
      <c r="F2130" s="24" t="str">
        <f t="shared" si="132"/>
        <v>PPG - RODO  MASONRY KIT  PRKT004</v>
      </c>
      <c r="G2130" s="20" t="s">
        <v>7000</v>
      </c>
      <c r="H2130" s="49" t="s">
        <v>213</v>
      </c>
      <c r="I2130" s="18" t="s">
        <v>37</v>
      </c>
      <c r="J2130" s="18" t="s">
        <v>38</v>
      </c>
      <c r="K2130" t="s">
        <v>39</v>
      </c>
      <c r="L2130" s="50">
        <f>VLOOKUP(A2130,'[3]Price info'!A:D,4,FALSE)</f>
        <v>21.1</v>
      </c>
      <c r="M2130" s="18" t="s">
        <v>214</v>
      </c>
      <c r="N2130" s="20">
        <v>3105</v>
      </c>
      <c r="P2130" s="16">
        <f>VLOOKUP(A2130,'[3]Price info'!A:H,8,FALSE)</f>
        <v>21.1</v>
      </c>
      <c r="Q2130" s="17">
        <f t="shared" si="133"/>
        <v>1</v>
      </c>
      <c r="S2130" s="16" t="e">
        <f>VLOOKUP(A2130,[4]Sales!$E:$G,3,FALSE)</f>
        <v>#N/A</v>
      </c>
      <c r="T2130" s="19" t="e">
        <f>VLOOKUP(A2130,[4]Volume!$E:$G,3,FALSE)</f>
        <v>#N/A</v>
      </c>
      <c r="U2130" s="19" t="e">
        <f>VLOOKUP(A2130,[4]Piece!$E:$G,3,FALSE)</f>
        <v>#N/A</v>
      </c>
      <c r="V2130" s="21" t="e">
        <f t="shared" si="134"/>
        <v>#N/A</v>
      </c>
      <c r="W2130" s="16" t="e">
        <f t="shared" si="135"/>
        <v>#N/A</v>
      </c>
    </row>
    <row r="2131" spans="1:23" hidden="1" x14ac:dyDescent="0.3">
      <c r="A2131" s="71" t="s">
        <v>4198</v>
      </c>
      <c r="B2131" s="71" t="s">
        <v>4198</v>
      </c>
      <c r="C2131" s="47" t="s">
        <v>33</v>
      </c>
      <c r="D2131" s="48" t="s">
        <v>34</v>
      </c>
      <c r="E2131" s="18" t="s">
        <v>4199</v>
      </c>
      <c r="F2131" s="24" t="str">
        <f t="shared" si="132"/>
        <v>PPG - RODO  MINI ROLLER  KIT 4 INCH 10PK</v>
      </c>
      <c r="G2131" s="20" t="s">
        <v>7001</v>
      </c>
      <c r="H2131" s="49" t="s">
        <v>213</v>
      </c>
      <c r="I2131" s="18" t="s">
        <v>37</v>
      </c>
      <c r="J2131" s="18" t="s">
        <v>38</v>
      </c>
      <c r="K2131" t="s">
        <v>39</v>
      </c>
      <c r="L2131" s="50">
        <f>VLOOKUP(A2131,'[3]Price info'!A:D,4,FALSE)</f>
        <v>5.66</v>
      </c>
      <c r="M2131" s="18" t="s">
        <v>214</v>
      </c>
      <c r="N2131" s="20">
        <v>3105</v>
      </c>
      <c r="P2131" s="16">
        <f>VLOOKUP(A2131,'[3]Price info'!A:H,8,FALSE)</f>
        <v>5.66</v>
      </c>
      <c r="Q2131" s="17">
        <f t="shared" si="133"/>
        <v>1</v>
      </c>
      <c r="S2131" s="16" t="e">
        <f>VLOOKUP(A2131,[4]Sales!$E:$G,3,FALSE)</f>
        <v>#N/A</v>
      </c>
      <c r="T2131" s="19" t="e">
        <f>VLOOKUP(A2131,[4]Volume!$E:$G,3,FALSE)</f>
        <v>#N/A</v>
      </c>
      <c r="U2131" s="19" t="e">
        <f>VLOOKUP(A2131,[4]Piece!$E:$G,3,FALSE)</f>
        <v>#N/A</v>
      </c>
      <c r="V2131" s="21" t="e">
        <f t="shared" si="134"/>
        <v>#N/A</v>
      </c>
      <c r="W2131" s="16" t="e">
        <f t="shared" si="135"/>
        <v>#N/A</v>
      </c>
    </row>
    <row r="2132" spans="1:23" hidden="1" x14ac:dyDescent="0.3">
      <c r="A2132" s="71" t="s">
        <v>4200</v>
      </c>
      <c r="B2132" s="71" t="s">
        <v>4200</v>
      </c>
      <c r="C2132" s="51" t="s">
        <v>33</v>
      </c>
      <c r="D2132" s="48" t="s">
        <v>34</v>
      </c>
      <c r="E2132" s="18" t="s">
        <v>4201</v>
      </c>
      <c r="F2132" s="24" t="str">
        <f t="shared" si="132"/>
        <v>PPG - RODO  MINI ROLLER  TRAY MRT</v>
      </c>
      <c r="G2132" s="20" t="s">
        <v>7002</v>
      </c>
      <c r="H2132" s="49" t="s">
        <v>213</v>
      </c>
      <c r="I2132" s="18" t="s">
        <v>37</v>
      </c>
      <c r="J2132" s="18" t="s">
        <v>38</v>
      </c>
      <c r="K2132" t="s">
        <v>39</v>
      </c>
      <c r="L2132" s="50">
        <f>VLOOKUP(A2132,'[3]Price info'!A:D,4,FALSE)</f>
        <v>1.1100000000000001</v>
      </c>
      <c r="M2132" s="18" t="s">
        <v>214</v>
      </c>
      <c r="N2132" s="20">
        <v>3105</v>
      </c>
      <c r="P2132" s="16">
        <f>VLOOKUP(A2132,'[3]Price info'!A:H,8,FALSE)</f>
        <v>1.1100000000000001</v>
      </c>
      <c r="Q2132" s="17">
        <f t="shared" si="133"/>
        <v>1</v>
      </c>
      <c r="S2132" s="16" t="e">
        <f>VLOOKUP(A2132,[4]Sales!$E:$G,3,FALSE)</f>
        <v>#N/A</v>
      </c>
      <c r="T2132" s="19" t="e">
        <f>VLOOKUP(A2132,[4]Volume!$E:$G,3,FALSE)</f>
        <v>#N/A</v>
      </c>
      <c r="U2132" s="19" t="e">
        <f>VLOOKUP(A2132,[4]Piece!$E:$G,3,FALSE)</f>
        <v>#N/A</v>
      </c>
      <c r="V2132" s="21" t="e">
        <f t="shared" si="134"/>
        <v>#N/A</v>
      </c>
      <c r="W2132" s="16" t="e">
        <f t="shared" si="135"/>
        <v>#N/A</v>
      </c>
    </row>
    <row r="2133" spans="1:23" hidden="1" x14ac:dyDescent="0.3">
      <c r="A2133" s="71" t="s">
        <v>4202</v>
      </c>
      <c r="B2133" s="71" t="s">
        <v>4202</v>
      </c>
      <c r="C2133" s="47" t="s">
        <v>33</v>
      </c>
      <c r="D2133" s="48" t="s">
        <v>34</v>
      </c>
      <c r="E2133" s="18" t="s">
        <v>4203</v>
      </c>
      <c r="F2133" s="24" t="str">
        <f t="shared" si="132"/>
        <v>PPG - RODO  PAINT PAD 6" X4" CLICK  FFJCSPP</v>
      </c>
      <c r="G2133" s="20" t="s">
        <v>7003</v>
      </c>
      <c r="H2133" s="49" t="s">
        <v>213</v>
      </c>
      <c r="I2133" s="18" t="s">
        <v>37</v>
      </c>
      <c r="J2133" s="18" t="s">
        <v>38</v>
      </c>
      <c r="K2133" t="s">
        <v>39</v>
      </c>
      <c r="L2133" s="50">
        <f>VLOOKUP(A2133,'[3]Price info'!A:D,4,FALSE)</f>
        <v>7.49</v>
      </c>
      <c r="M2133" s="18" t="s">
        <v>214</v>
      </c>
      <c r="N2133" s="20">
        <v>3105</v>
      </c>
      <c r="P2133" s="16">
        <f>VLOOKUP(A2133,'[3]Price info'!A:H,8,FALSE)</f>
        <v>7.49</v>
      </c>
      <c r="Q2133" s="17">
        <f t="shared" si="133"/>
        <v>1</v>
      </c>
      <c r="S2133" s="16" t="e">
        <f>VLOOKUP(A2133,[4]Sales!$E:$G,3,FALSE)</f>
        <v>#N/A</v>
      </c>
      <c r="T2133" s="19" t="e">
        <f>VLOOKUP(A2133,[4]Volume!$E:$G,3,FALSE)</f>
        <v>#N/A</v>
      </c>
      <c r="U2133" s="19" t="e">
        <f>VLOOKUP(A2133,[4]Piece!$E:$G,3,FALSE)</f>
        <v>#N/A</v>
      </c>
      <c r="V2133" s="21" t="e">
        <f t="shared" si="134"/>
        <v>#N/A</v>
      </c>
      <c r="W2133" s="16" t="e">
        <f t="shared" si="135"/>
        <v>#N/A</v>
      </c>
    </row>
    <row r="2134" spans="1:23" hidden="1" x14ac:dyDescent="0.3">
      <c r="A2134" s="71" t="s">
        <v>4204</v>
      </c>
      <c r="B2134" s="71" t="s">
        <v>4204</v>
      </c>
      <c r="C2134" s="47" t="s">
        <v>33</v>
      </c>
      <c r="D2134" s="48" t="s">
        <v>34</v>
      </c>
      <c r="E2134" s="18" t="s">
        <v>4205</v>
      </c>
      <c r="F2134" s="24" t="str">
        <f t="shared" si="132"/>
        <v>PPG - RODO  PAPERHANGING 7" BRUSH   FFJ7RP</v>
      </c>
      <c r="G2134" s="20" t="s">
        <v>7004</v>
      </c>
      <c r="H2134" s="49" t="s">
        <v>213</v>
      </c>
      <c r="I2134" s="18" t="s">
        <v>37</v>
      </c>
      <c r="J2134" s="18" t="s">
        <v>38</v>
      </c>
      <c r="K2134" t="s">
        <v>39</v>
      </c>
      <c r="L2134" s="50">
        <f>VLOOKUP(A2134,'[3]Price info'!A:D,4,FALSE)</f>
        <v>3.81</v>
      </c>
      <c r="M2134" s="18" t="s">
        <v>214</v>
      </c>
      <c r="N2134" s="20">
        <v>3105</v>
      </c>
      <c r="P2134" s="16">
        <f>VLOOKUP(A2134,'[3]Price info'!A:H,8,FALSE)</f>
        <v>3.81</v>
      </c>
      <c r="Q2134" s="17">
        <f t="shared" si="133"/>
        <v>1</v>
      </c>
      <c r="S2134" s="16" t="e">
        <f>VLOOKUP(A2134,[4]Sales!$E:$G,3,FALSE)</f>
        <v>#N/A</v>
      </c>
      <c r="T2134" s="19" t="e">
        <f>VLOOKUP(A2134,[4]Volume!$E:$G,3,FALSE)</f>
        <v>#N/A</v>
      </c>
      <c r="U2134" s="19" t="e">
        <f>VLOOKUP(A2134,[4]Piece!$E:$G,3,FALSE)</f>
        <v>#N/A</v>
      </c>
      <c r="V2134" s="21" t="e">
        <f t="shared" si="134"/>
        <v>#N/A</v>
      </c>
      <c r="W2134" s="16" t="e">
        <f t="shared" si="135"/>
        <v>#N/A</v>
      </c>
    </row>
    <row r="2135" spans="1:23" hidden="1" x14ac:dyDescent="0.3">
      <c r="A2135" s="71" t="s">
        <v>4206</v>
      </c>
      <c r="B2135" s="71" t="s">
        <v>4206</v>
      </c>
      <c r="C2135" s="51" t="s">
        <v>33</v>
      </c>
      <c r="D2135" s="48" t="s">
        <v>34</v>
      </c>
      <c r="E2135" s="18" t="s">
        <v>4207</v>
      </c>
      <c r="F2135" s="24" t="str">
        <f t="shared" si="132"/>
        <v>PPG - RODO  PICTURE HANGING KIT (8)</v>
      </c>
      <c r="G2135" s="20" t="s">
        <v>7005</v>
      </c>
      <c r="H2135" s="49" t="s">
        <v>213</v>
      </c>
      <c r="I2135" s="18" t="s">
        <v>37</v>
      </c>
      <c r="J2135" s="18" t="s">
        <v>38</v>
      </c>
      <c r="K2135" t="s">
        <v>39</v>
      </c>
      <c r="L2135" s="50">
        <f>VLOOKUP(A2135,'[3]Price info'!A:D,4,FALSE)</f>
        <v>34.93</v>
      </c>
      <c r="M2135" s="18" t="s">
        <v>214</v>
      </c>
      <c r="N2135" s="20">
        <v>3105</v>
      </c>
      <c r="P2135" s="16">
        <f>VLOOKUP(A2135,'[3]Price info'!A:H,8,FALSE)</f>
        <v>34.93</v>
      </c>
      <c r="Q2135" s="17">
        <f t="shared" si="133"/>
        <v>1</v>
      </c>
      <c r="S2135" s="16" t="e">
        <f>VLOOKUP(A2135,[4]Sales!$E:$G,3,FALSE)</f>
        <v>#N/A</v>
      </c>
      <c r="T2135" s="19" t="e">
        <f>VLOOKUP(A2135,[4]Volume!$E:$G,3,FALSE)</f>
        <v>#N/A</v>
      </c>
      <c r="U2135" s="19" t="e">
        <f>VLOOKUP(A2135,[4]Piece!$E:$G,3,FALSE)</f>
        <v>#N/A</v>
      </c>
      <c r="V2135" s="21" t="e">
        <f t="shared" si="134"/>
        <v>#N/A</v>
      </c>
      <c r="W2135" s="16" t="e">
        <f t="shared" si="135"/>
        <v>#N/A</v>
      </c>
    </row>
    <row r="2136" spans="1:23" hidden="1" x14ac:dyDescent="0.3">
      <c r="A2136" s="71" t="s">
        <v>4208</v>
      </c>
      <c r="B2136" s="71" t="s">
        <v>4208</v>
      </c>
      <c r="C2136" s="47" t="s">
        <v>33</v>
      </c>
      <c r="D2136" s="48" t="s">
        <v>34</v>
      </c>
      <c r="E2136" s="18" t="s">
        <v>4209</v>
      </c>
      <c r="F2136" s="24" t="str">
        <f t="shared" si="132"/>
        <v>PPG - RODO  PLASTIC 15"  TRAY       RT15PB (IR</v>
      </c>
      <c r="G2136" s="20" t="s">
        <v>7006</v>
      </c>
      <c r="H2136" s="49" t="s">
        <v>213</v>
      </c>
      <c r="I2136" s="18" t="s">
        <v>37</v>
      </c>
      <c r="J2136" s="18" t="s">
        <v>38</v>
      </c>
      <c r="K2136" t="s">
        <v>39</v>
      </c>
      <c r="L2136" s="50">
        <f>VLOOKUP(A2136,'[3]Price info'!A:D,4,FALSE)</f>
        <v>7.25</v>
      </c>
      <c r="M2136" s="18" t="s">
        <v>214</v>
      </c>
      <c r="N2136" s="20">
        <v>3105</v>
      </c>
      <c r="P2136" s="16">
        <f>VLOOKUP(A2136,'[3]Price info'!A:H,8,FALSE)</f>
        <v>7.25</v>
      </c>
      <c r="Q2136" s="17">
        <f t="shared" si="133"/>
        <v>1</v>
      </c>
      <c r="S2136" s="16" t="e">
        <f>VLOOKUP(A2136,[4]Sales!$E:$G,3,FALSE)</f>
        <v>#N/A</v>
      </c>
      <c r="T2136" s="19" t="e">
        <f>VLOOKUP(A2136,[4]Volume!$E:$G,3,FALSE)</f>
        <v>#N/A</v>
      </c>
      <c r="U2136" s="19" t="e">
        <f>VLOOKUP(A2136,[4]Piece!$E:$G,3,FALSE)</f>
        <v>#N/A</v>
      </c>
      <c r="V2136" s="21" t="e">
        <f t="shared" si="134"/>
        <v>#N/A</v>
      </c>
      <c r="W2136" s="16" t="e">
        <f t="shared" si="135"/>
        <v>#N/A</v>
      </c>
    </row>
    <row r="2137" spans="1:23" hidden="1" x14ac:dyDescent="0.3">
      <c r="A2137" s="71" t="s">
        <v>4210</v>
      </c>
      <c r="B2137" s="71" t="s">
        <v>4210</v>
      </c>
      <c r="C2137" s="47" t="s">
        <v>33</v>
      </c>
      <c r="D2137" s="48" t="s">
        <v>34</v>
      </c>
      <c r="E2137" s="18" t="s">
        <v>4211</v>
      </c>
      <c r="F2137" s="24" t="str">
        <f t="shared" si="132"/>
        <v>PPG - RODO  POLE SANDER  HANDLE     (SPH)</v>
      </c>
      <c r="G2137" s="20" t="s">
        <v>7007</v>
      </c>
      <c r="H2137" s="49" t="s">
        <v>213</v>
      </c>
      <c r="I2137" s="18" t="s">
        <v>37</v>
      </c>
      <c r="J2137" s="18" t="s">
        <v>38</v>
      </c>
      <c r="K2137" t="s">
        <v>39</v>
      </c>
      <c r="L2137" s="50">
        <f>VLOOKUP(A2137,'[3]Price info'!A:D,4,FALSE)</f>
        <v>7.06</v>
      </c>
      <c r="M2137" s="18" t="s">
        <v>214</v>
      </c>
      <c r="N2137" s="20">
        <v>3105</v>
      </c>
      <c r="P2137" s="16">
        <f>VLOOKUP(A2137,'[3]Price info'!A:H,8,FALSE)</f>
        <v>7.06</v>
      </c>
      <c r="Q2137" s="17">
        <f t="shared" si="133"/>
        <v>1</v>
      </c>
      <c r="S2137" s="16" t="e">
        <f>VLOOKUP(A2137,[4]Sales!$E:$G,3,FALSE)</f>
        <v>#N/A</v>
      </c>
      <c r="T2137" s="19" t="e">
        <f>VLOOKUP(A2137,[4]Volume!$E:$G,3,FALSE)</f>
        <v>#N/A</v>
      </c>
      <c r="U2137" s="19" t="e">
        <f>VLOOKUP(A2137,[4]Piece!$E:$G,3,FALSE)</f>
        <v>#N/A</v>
      </c>
      <c r="V2137" s="21" t="e">
        <f t="shared" si="134"/>
        <v>#N/A</v>
      </c>
      <c r="W2137" s="16" t="e">
        <f t="shared" si="135"/>
        <v>#N/A</v>
      </c>
    </row>
    <row r="2138" spans="1:23" hidden="1" x14ac:dyDescent="0.3">
      <c r="A2138" s="71" t="s">
        <v>4212</v>
      </c>
      <c r="B2138" s="71" t="s">
        <v>4212</v>
      </c>
      <c r="C2138" s="51" t="s">
        <v>33</v>
      </c>
      <c r="D2138" s="48" t="s">
        <v>34</v>
      </c>
      <c r="E2138" s="18" t="s">
        <v>4213</v>
      </c>
      <c r="F2138" s="24" t="str">
        <f t="shared" si="132"/>
        <v>PPG - RODO  POLY D/SHEET 12X9       (FFJ129P)N</v>
      </c>
      <c r="G2138" s="20" t="s">
        <v>7008</v>
      </c>
      <c r="H2138" s="49" t="s">
        <v>213</v>
      </c>
      <c r="I2138" s="18" t="s">
        <v>37</v>
      </c>
      <c r="J2138" s="18" t="s">
        <v>38</v>
      </c>
      <c r="K2138" t="s">
        <v>39</v>
      </c>
      <c r="L2138" s="50">
        <f>VLOOKUP(A2138,'[3]Price info'!A:D,4,FALSE)</f>
        <v>1</v>
      </c>
      <c r="M2138" s="18" t="s">
        <v>214</v>
      </c>
      <c r="N2138" s="20">
        <v>3105</v>
      </c>
      <c r="P2138" s="16">
        <f>VLOOKUP(A2138,'[3]Price info'!A:H,8,FALSE)</f>
        <v>1</v>
      </c>
      <c r="Q2138" s="17">
        <f t="shared" si="133"/>
        <v>1</v>
      </c>
      <c r="S2138" s="16" t="e">
        <f>VLOOKUP(A2138,[4]Sales!$E:$G,3,FALSE)</f>
        <v>#N/A</v>
      </c>
      <c r="T2138" s="19" t="e">
        <f>VLOOKUP(A2138,[4]Volume!$E:$G,3,FALSE)</f>
        <v>#N/A</v>
      </c>
      <c r="U2138" s="19" t="e">
        <f>VLOOKUP(A2138,[4]Piece!$E:$G,3,FALSE)</f>
        <v>#N/A</v>
      </c>
      <c r="V2138" s="21" t="e">
        <f t="shared" si="134"/>
        <v>#N/A</v>
      </c>
      <c r="W2138" s="16" t="e">
        <f t="shared" si="135"/>
        <v>#N/A</v>
      </c>
    </row>
    <row r="2139" spans="1:23" hidden="1" x14ac:dyDescent="0.3">
      <c r="A2139" s="71" t="s">
        <v>4214</v>
      </c>
      <c r="B2139" s="71" t="s">
        <v>4214</v>
      </c>
      <c r="C2139" s="47" t="s">
        <v>33</v>
      </c>
      <c r="D2139" s="48" t="s">
        <v>34</v>
      </c>
      <c r="E2139" s="18" t="s">
        <v>4215</v>
      </c>
      <c r="F2139" s="24" t="str">
        <f t="shared" si="132"/>
        <v>PPG - RODO  POUCH MATE   PRO AD SML AWPMS</v>
      </c>
      <c r="G2139" s="20" t="s">
        <v>7009</v>
      </c>
      <c r="H2139" s="49" t="s">
        <v>213</v>
      </c>
      <c r="I2139" s="18" t="s">
        <v>37</v>
      </c>
      <c r="J2139" s="18" t="s">
        <v>38</v>
      </c>
      <c r="K2139" t="s">
        <v>39</v>
      </c>
      <c r="L2139" s="50">
        <f>VLOOKUP(A2139,'[3]Price info'!A:D,4,FALSE)</f>
        <v>6.62</v>
      </c>
      <c r="M2139" s="18" t="s">
        <v>214</v>
      </c>
      <c r="N2139" s="20">
        <v>3105</v>
      </c>
      <c r="P2139" s="16">
        <f>VLOOKUP(A2139,'[3]Price info'!A:H,8,FALSE)</f>
        <v>6.62</v>
      </c>
      <c r="Q2139" s="17">
        <f t="shared" si="133"/>
        <v>1</v>
      </c>
      <c r="S2139" s="16" t="e">
        <f>VLOOKUP(A2139,[4]Sales!$E:$G,3,FALSE)</f>
        <v>#N/A</v>
      </c>
      <c r="T2139" s="19" t="e">
        <f>VLOOKUP(A2139,[4]Volume!$E:$G,3,FALSE)</f>
        <v>#N/A</v>
      </c>
      <c r="U2139" s="19" t="e">
        <f>VLOOKUP(A2139,[4]Piece!$E:$G,3,FALSE)</f>
        <v>#N/A</v>
      </c>
      <c r="V2139" s="21" t="e">
        <f t="shared" si="134"/>
        <v>#N/A</v>
      </c>
      <c r="W2139" s="16" t="e">
        <f t="shared" si="135"/>
        <v>#N/A</v>
      </c>
    </row>
    <row r="2140" spans="1:23" hidden="1" x14ac:dyDescent="0.3">
      <c r="A2140" s="71" t="s">
        <v>4216</v>
      </c>
      <c r="B2140" s="71" t="s">
        <v>4216</v>
      </c>
      <c r="C2140" s="47" t="s">
        <v>33</v>
      </c>
      <c r="D2140" s="48" t="s">
        <v>34</v>
      </c>
      <c r="E2140" s="18" t="s">
        <v>4217</v>
      </c>
      <c r="F2140" s="24" t="str">
        <f t="shared" si="132"/>
        <v>PPG - RODO  PRECISION    1" LOW TAC ATMT006</v>
      </c>
      <c r="G2140" s="20" t="s">
        <v>7010</v>
      </c>
      <c r="H2140" s="49" t="s">
        <v>213</v>
      </c>
      <c r="I2140" s="18" t="s">
        <v>37</v>
      </c>
      <c r="J2140" s="18" t="s">
        <v>38</v>
      </c>
      <c r="K2140" t="s">
        <v>39</v>
      </c>
      <c r="L2140" s="50">
        <f>VLOOKUP(A2140,'[3]Price info'!A:D,4,FALSE)</f>
        <v>3.99</v>
      </c>
      <c r="M2140" s="18" t="s">
        <v>214</v>
      </c>
      <c r="N2140" s="20">
        <v>3105</v>
      </c>
      <c r="P2140" s="16">
        <f>VLOOKUP(A2140,'[3]Price info'!A:H,8,FALSE)</f>
        <v>3.99</v>
      </c>
      <c r="Q2140" s="17">
        <f t="shared" si="133"/>
        <v>1</v>
      </c>
      <c r="S2140" s="16" t="e">
        <f>VLOOKUP(A2140,[4]Sales!$E:$G,3,FALSE)</f>
        <v>#N/A</v>
      </c>
      <c r="T2140" s="19" t="e">
        <f>VLOOKUP(A2140,[4]Volume!$E:$G,3,FALSE)</f>
        <v>#N/A</v>
      </c>
      <c r="U2140" s="19" t="e">
        <f>VLOOKUP(A2140,[4]Piece!$E:$G,3,FALSE)</f>
        <v>#N/A</v>
      </c>
      <c r="V2140" s="21" t="e">
        <f t="shared" si="134"/>
        <v>#N/A</v>
      </c>
      <c r="W2140" s="16" t="e">
        <f t="shared" si="135"/>
        <v>#N/A</v>
      </c>
    </row>
    <row r="2141" spans="1:23" hidden="1" x14ac:dyDescent="0.3">
      <c r="A2141" s="71" t="s">
        <v>4218</v>
      </c>
      <c r="B2141" s="71" t="s">
        <v>4218</v>
      </c>
      <c r="C2141" s="51" t="s">
        <v>33</v>
      </c>
      <c r="D2141" s="48" t="s">
        <v>34</v>
      </c>
      <c r="E2141" s="18" t="s">
        <v>4219</v>
      </c>
      <c r="F2141" s="24" t="str">
        <f t="shared" si="132"/>
        <v>PPG - RODO  PRECISION    1.5" LOW T ATMT007</v>
      </c>
      <c r="G2141" s="20" t="s">
        <v>7011</v>
      </c>
      <c r="H2141" s="49" t="s">
        <v>213</v>
      </c>
      <c r="I2141" s="18" t="s">
        <v>37</v>
      </c>
      <c r="J2141" s="18" t="s">
        <v>38</v>
      </c>
      <c r="K2141" t="s">
        <v>39</v>
      </c>
      <c r="L2141" s="50">
        <f>VLOOKUP(A2141,'[3]Price info'!A:D,4,FALSE)</f>
        <v>6.04</v>
      </c>
      <c r="M2141" s="18" t="s">
        <v>214</v>
      </c>
      <c r="N2141" s="20">
        <v>3105</v>
      </c>
      <c r="P2141" s="16">
        <f>VLOOKUP(A2141,'[3]Price info'!A:H,8,FALSE)</f>
        <v>6.04</v>
      </c>
      <c r="Q2141" s="17">
        <f t="shared" si="133"/>
        <v>1</v>
      </c>
      <c r="S2141" s="16" t="e">
        <f>VLOOKUP(A2141,[4]Sales!$E:$G,3,FALSE)</f>
        <v>#N/A</v>
      </c>
      <c r="T2141" s="19" t="e">
        <f>VLOOKUP(A2141,[4]Volume!$E:$G,3,FALSE)</f>
        <v>#N/A</v>
      </c>
      <c r="U2141" s="19" t="e">
        <f>VLOOKUP(A2141,[4]Piece!$E:$G,3,FALSE)</f>
        <v>#N/A</v>
      </c>
      <c r="V2141" s="21" t="e">
        <f t="shared" si="134"/>
        <v>#N/A</v>
      </c>
      <c r="W2141" s="16" t="e">
        <f t="shared" si="135"/>
        <v>#N/A</v>
      </c>
    </row>
    <row r="2142" spans="1:23" hidden="1" x14ac:dyDescent="0.3">
      <c r="A2142" s="71" t="s">
        <v>4220</v>
      </c>
      <c r="B2142" s="71" t="s">
        <v>4220</v>
      </c>
      <c r="C2142" s="47" t="s">
        <v>33</v>
      </c>
      <c r="D2142" s="48" t="s">
        <v>34</v>
      </c>
      <c r="E2142" s="18" t="s">
        <v>4221</v>
      </c>
      <c r="F2142" s="24" t="str">
        <f t="shared" si="132"/>
        <v>PPG - RODO  PRECISION    2" LOW TAC ATMT008</v>
      </c>
      <c r="G2142" s="20" t="s">
        <v>7012</v>
      </c>
      <c r="H2142" s="49" t="s">
        <v>213</v>
      </c>
      <c r="I2142" s="18" t="s">
        <v>37</v>
      </c>
      <c r="J2142" s="18" t="s">
        <v>38</v>
      </c>
      <c r="K2142" t="s">
        <v>39</v>
      </c>
      <c r="L2142" s="50">
        <f>VLOOKUP(A2142,'[3]Price info'!A:D,4,FALSE)</f>
        <v>7.83</v>
      </c>
      <c r="M2142" s="18" t="s">
        <v>214</v>
      </c>
      <c r="N2142" s="20">
        <v>3105</v>
      </c>
      <c r="P2142" s="16">
        <f>VLOOKUP(A2142,'[3]Price info'!A:H,8,FALSE)</f>
        <v>7.83</v>
      </c>
      <c r="Q2142" s="17">
        <f t="shared" si="133"/>
        <v>1</v>
      </c>
      <c r="S2142" s="16" t="e">
        <f>VLOOKUP(A2142,[4]Sales!$E:$G,3,FALSE)</f>
        <v>#N/A</v>
      </c>
      <c r="T2142" s="19" t="e">
        <f>VLOOKUP(A2142,[4]Volume!$E:$G,3,FALSE)</f>
        <v>#N/A</v>
      </c>
      <c r="U2142" s="19" t="e">
        <f>VLOOKUP(A2142,[4]Piece!$E:$G,3,FALSE)</f>
        <v>#N/A</v>
      </c>
      <c r="V2142" s="21" t="e">
        <f t="shared" si="134"/>
        <v>#N/A</v>
      </c>
      <c r="W2142" s="16" t="e">
        <f t="shared" si="135"/>
        <v>#N/A</v>
      </c>
    </row>
    <row r="2143" spans="1:23" hidden="1" x14ac:dyDescent="0.3">
      <c r="A2143" s="71" t="s">
        <v>4222</v>
      </c>
      <c r="B2143" s="71" t="s">
        <v>4222</v>
      </c>
      <c r="C2143" s="47" t="s">
        <v>33</v>
      </c>
      <c r="D2143" s="48" t="s">
        <v>34</v>
      </c>
      <c r="E2143" s="18" t="s">
        <v>4223</v>
      </c>
      <c r="F2143" s="24" t="str">
        <f t="shared" si="132"/>
        <v>PPG - RODO  PRO ADV 32"  TROUSERS   AWTR32R</v>
      </c>
      <c r="G2143" s="20" t="s">
        <v>7013</v>
      </c>
      <c r="H2143" s="49" t="s">
        <v>213</v>
      </c>
      <c r="I2143" s="18" t="s">
        <v>37</v>
      </c>
      <c r="J2143" s="18" t="s">
        <v>38</v>
      </c>
      <c r="K2143" t="s">
        <v>39</v>
      </c>
      <c r="L2143" s="50">
        <f>VLOOKUP(A2143,'[3]Price info'!A:D,4,FALSE)</f>
        <v>49.57</v>
      </c>
      <c r="M2143" s="18" t="s">
        <v>214</v>
      </c>
      <c r="N2143" s="20">
        <v>3105</v>
      </c>
      <c r="P2143" s="16">
        <f>VLOOKUP(A2143,'[3]Price info'!A:H,8,FALSE)</f>
        <v>49.57</v>
      </c>
      <c r="Q2143" s="17">
        <f t="shared" si="133"/>
        <v>1</v>
      </c>
      <c r="S2143" s="16" t="e">
        <f>VLOOKUP(A2143,[4]Sales!$E:$G,3,FALSE)</f>
        <v>#N/A</v>
      </c>
      <c r="T2143" s="19" t="e">
        <f>VLOOKUP(A2143,[4]Volume!$E:$G,3,FALSE)</f>
        <v>#N/A</v>
      </c>
      <c r="U2143" s="19" t="e">
        <f>VLOOKUP(A2143,[4]Piece!$E:$G,3,FALSE)</f>
        <v>#N/A</v>
      </c>
      <c r="V2143" s="21" t="e">
        <f t="shared" si="134"/>
        <v>#N/A</v>
      </c>
      <c r="W2143" s="16" t="e">
        <f t="shared" si="135"/>
        <v>#N/A</v>
      </c>
    </row>
    <row r="2144" spans="1:23" hidden="1" x14ac:dyDescent="0.3">
      <c r="A2144" s="71" t="s">
        <v>4224</v>
      </c>
      <c r="B2144" s="71" t="s">
        <v>4224</v>
      </c>
      <c r="C2144" s="51" t="s">
        <v>33</v>
      </c>
      <c r="D2144" s="48" t="s">
        <v>34</v>
      </c>
      <c r="E2144" s="18" t="s">
        <v>4225</v>
      </c>
      <c r="F2144" s="24" t="str">
        <f t="shared" si="132"/>
        <v>PPG - RODO  PRO ADV 36"  TROUSERS   AWTR36R</v>
      </c>
      <c r="G2144" s="20" t="s">
        <v>7014</v>
      </c>
      <c r="H2144" s="49" t="s">
        <v>213</v>
      </c>
      <c r="I2144" s="18" t="s">
        <v>37</v>
      </c>
      <c r="J2144" s="18" t="s">
        <v>38</v>
      </c>
      <c r="K2144" t="s">
        <v>39</v>
      </c>
      <c r="L2144" s="50">
        <f>VLOOKUP(A2144,'[3]Price info'!A:D,4,FALSE)</f>
        <v>49.57</v>
      </c>
      <c r="M2144" s="18" t="s">
        <v>214</v>
      </c>
      <c r="N2144" s="20">
        <v>3105</v>
      </c>
      <c r="P2144" s="16">
        <f>VLOOKUP(A2144,'[3]Price info'!A:H,8,FALSE)</f>
        <v>49.57</v>
      </c>
      <c r="Q2144" s="17">
        <f t="shared" si="133"/>
        <v>1</v>
      </c>
      <c r="S2144" s="16" t="e">
        <f>VLOOKUP(A2144,[4]Sales!$E:$G,3,FALSE)</f>
        <v>#N/A</v>
      </c>
      <c r="T2144" s="19" t="e">
        <f>VLOOKUP(A2144,[4]Volume!$E:$G,3,FALSE)</f>
        <v>#N/A</v>
      </c>
      <c r="U2144" s="19" t="e">
        <f>VLOOKUP(A2144,[4]Piece!$E:$G,3,FALSE)</f>
        <v>#N/A</v>
      </c>
      <c r="V2144" s="21" t="e">
        <f t="shared" si="134"/>
        <v>#N/A</v>
      </c>
      <c r="W2144" s="16" t="e">
        <f t="shared" si="135"/>
        <v>#N/A</v>
      </c>
    </row>
    <row r="2145" spans="1:23" hidden="1" x14ac:dyDescent="0.3">
      <c r="A2145" s="71" t="s">
        <v>4226</v>
      </c>
      <c r="B2145" s="71" t="s">
        <v>4226</v>
      </c>
      <c r="C2145" s="47" t="s">
        <v>33</v>
      </c>
      <c r="D2145" s="48" t="s">
        <v>34</v>
      </c>
      <c r="E2145" s="18" t="s">
        <v>4227</v>
      </c>
      <c r="F2145" s="24" t="str">
        <f t="shared" si="132"/>
        <v>PPG - RODO  PRO ADV 38"  TROUSERS   AWTR38R</v>
      </c>
      <c r="G2145" s="20" t="s">
        <v>7015</v>
      </c>
      <c r="H2145" s="49" t="s">
        <v>213</v>
      </c>
      <c r="I2145" s="18" t="s">
        <v>37</v>
      </c>
      <c r="J2145" s="18" t="s">
        <v>38</v>
      </c>
      <c r="K2145" t="s">
        <v>39</v>
      </c>
      <c r="L2145" s="50">
        <f>VLOOKUP(A2145,'[3]Price info'!A:D,4,FALSE)</f>
        <v>49.57</v>
      </c>
      <c r="M2145" s="18" t="s">
        <v>214</v>
      </c>
      <c r="N2145" s="20">
        <v>3105</v>
      </c>
      <c r="P2145" s="16">
        <f>VLOOKUP(A2145,'[3]Price info'!A:H,8,FALSE)</f>
        <v>49.57</v>
      </c>
      <c r="Q2145" s="17">
        <f t="shared" si="133"/>
        <v>1</v>
      </c>
      <c r="S2145" s="16" t="e">
        <f>VLOOKUP(A2145,[4]Sales!$E:$G,3,FALSE)</f>
        <v>#N/A</v>
      </c>
      <c r="T2145" s="19" t="e">
        <f>VLOOKUP(A2145,[4]Volume!$E:$G,3,FALSE)</f>
        <v>#N/A</v>
      </c>
      <c r="U2145" s="19" t="e">
        <f>VLOOKUP(A2145,[4]Piece!$E:$G,3,FALSE)</f>
        <v>#N/A</v>
      </c>
      <c r="V2145" s="21" t="e">
        <f t="shared" si="134"/>
        <v>#N/A</v>
      </c>
      <c r="W2145" s="16" t="e">
        <f t="shared" si="135"/>
        <v>#N/A</v>
      </c>
    </row>
    <row r="2146" spans="1:23" hidden="1" x14ac:dyDescent="0.3">
      <c r="A2146" s="71" t="s">
        <v>4228</v>
      </c>
      <c r="B2146" s="71" t="s">
        <v>4228</v>
      </c>
      <c r="C2146" s="47" t="s">
        <v>33</v>
      </c>
      <c r="D2146" s="48" t="s">
        <v>34</v>
      </c>
      <c r="E2146" s="18" t="s">
        <v>4229</v>
      </c>
      <c r="F2146" s="24" t="str">
        <f t="shared" si="132"/>
        <v>PPG - RODO  PRODEC DECOR 4" BRUSH   PBPT037</v>
      </c>
      <c r="G2146" s="20" t="s">
        <v>7016</v>
      </c>
      <c r="H2146" s="49" t="s">
        <v>213</v>
      </c>
      <c r="I2146" s="18" t="s">
        <v>37</v>
      </c>
      <c r="J2146" s="18" t="s">
        <v>38</v>
      </c>
      <c r="K2146" t="s">
        <v>39</v>
      </c>
      <c r="L2146" s="50">
        <f>VLOOKUP(A2146,'[3]Price info'!A:D,4,FALSE)</f>
        <v>6.56</v>
      </c>
      <c r="M2146" s="18" t="s">
        <v>214</v>
      </c>
      <c r="N2146" s="20">
        <v>3105</v>
      </c>
      <c r="P2146" s="16">
        <f>VLOOKUP(A2146,'[3]Price info'!A:H,8,FALSE)</f>
        <v>6.56</v>
      </c>
      <c r="Q2146" s="17">
        <f t="shared" si="133"/>
        <v>1</v>
      </c>
      <c r="S2146" s="16" t="e">
        <f>VLOOKUP(A2146,[4]Sales!$E:$G,3,FALSE)</f>
        <v>#N/A</v>
      </c>
      <c r="T2146" s="19" t="e">
        <f>VLOOKUP(A2146,[4]Volume!$E:$G,3,FALSE)</f>
        <v>#N/A</v>
      </c>
      <c r="U2146" s="19" t="e">
        <f>VLOOKUP(A2146,[4]Piece!$E:$G,3,FALSE)</f>
        <v>#N/A</v>
      </c>
      <c r="V2146" s="21" t="e">
        <f t="shared" si="134"/>
        <v>#N/A</v>
      </c>
      <c r="W2146" s="16" t="e">
        <f t="shared" si="135"/>
        <v>#N/A</v>
      </c>
    </row>
    <row r="2147" spans="1:23" hidden="1" x14ac:dyDescent="0.3">
      <c r="A2147" s="71" t="s">
        <v>4230</v>
      </c>
      <c r="B2147" s="71" t="s">
        <v>4230</v>
      </c>
      <c r="C2147" s="51" t="s">
        <v>33</v>
      </c>
      <c r="D2147" s="48" t="s">
        <v>34</v>
      </c>
      <c r="E2147" s="18" t="s">
        <v>4231</v>
      </c>
      <c r="F2147" s="24" t="str">
        <f t="shared" si="132"/>
        <v>PPG - RODO  PRODEC DECOR BRUSH 2.5" PBPT035</v>
      </c>
      <c r="G2147" s="20" t="s">
        <v>7017</v>
      </c>
      <c r="H2147" s="49" t="s">
        <v>213</v>
      </c>
      <c r="I2147" s="18" t="s">
        <v>37</v>
      </c>
      <c r="J2147" s="18" t="s">
        <v>38</v>
      </c>
      <c r="K2147" t="s">
        <v>39</v>
      </c>
      <c r="L2147" s="50">
        <f>VLOOKUP(A2147,'[3]Price info'!A:D,4,FALSE)</f>
        <v>5.23</v>
      </c>
      <c r="M2147" s="18" t="s">
        <v>214</v>
      </c>
      <c r="N2147" s="20">
        <v>3105</v>
      </c>
      <c r="P2147" s="16">
        <f>VLOOKUP(A2147,'[3]Price info'!A:H,8,FALSE)</f>
        <v>5.23</v>
      </c>
      <c r="Q2147" s="17">
        <f t="shared" si="133"/>
        <v>1</v>
      </c>
      <c r="S2147" s="16" t="e">
        <f>VLOOKUP(A2147,[4]Sales!$E:$G,3,FALSE)</f>
        <v>#N/A</v>
      </c>
      <c r="T2147" s="19" t="e">
        <f>VLOOKUP(A2147,[4]Volume!$E:$G,3,FALSE)</f>
        <v>#N/A</v>
      </c>
      <c r="U2147" s="19" t="e">
        <f>VLOOKUP(A2147,[4]Piece!$E:$G,3,FALSE)</f>
        <v>#N/A</v>
      </c>
      <c r="V2147" s="21" t="e">
        <f t="shared" si="134"/>
        <v>#N/A</v>
      </c>
      <c r="W2147" s="16" t="e">
        <f t="shared" si="135"/>
        <v>#N/A</v>
      </c>
    </row>
    <row r="2148" spans="1:23" hidden="1" x14ac:dyDescent="0.3">
      <c r="A2148" s="71" t="s">
        <v>4232</v>
      </c>
      <c r="B2148" s="71" t="s">
        <v>4232</v>
      </c>
      <c r="C2148" s="47" t="s">
        <v>33</v>
      </c>
      <c r="D2148" s="48" t="s">
        <v>34</v>
      </c>
      <c r="E2148" s="18" t="s">
        <v>4233</v>
      </c>
      <c r="F2148" s="24" t="str">
        <f t="shared" si="132"/>
        <v>PPG - RODO  PRODEC MASON SLEEVE 10" (518700)</v>
      </c>
      <c r="G2148" s="20" t="s">
        <v>7018</v>
      </c>
      <c r="H2148" s="49" t="s">
        <v>213</v>
      </c>
      <c r="I2148" s="18" t="s">
        <v>37</v>
      </c>
      <c r="J2148" s="18" t="s">
        <v>38</v>
      </c>
      <c r="K2148" t="s">
        <v>39</v>
      </c>
      <c r="L2148" s="50">
        <f>VLOOKUP(A2148,'[3]Price info'!A:D,4,FALSE)</f>
        <v>16.87</v>
      </c>
      <c r="M2148" s="18" t="s">
        <v>214</v>
      </c>
      <c r="N2148" s="20">
        <v>3105</v>
      </c>
      <c r="P2148" s="16">
        <f>VLOOKUP(A2148,'[3]Price info'!A:H,8,FALSE)</f>
        <v>16.87</v>
      </c>
      <c r="Q2148" s="17">
        <f t="shared" si="133"/>
        <v>1</v>
      </c>
      <c r="S2148" s="16" t="e">
        <f>VLOOKUP(A2148,[4]Sales!$E:$G,3,FALSE)</f>
        <v>#N/A</v>
      </c>
      <c r="T2148" s="19" t="e">
        <f>VLOOKUP(A2148,[4]Volume!$E:$G,3,FALSE)</f>
        <v>#N/A</v>
      </c>
      <c r="U2148" s="19" t="e">
        <f>VLOOKUP(A2148,[4]Piece!$E:$G,3,FALSE)</f>
        <v>#N/A</v>
      </c>
      <c r="V2148" s="21" t="e">
        <f t="shared" si="134"/>
        <v>#N/A</v>
      </c>
      <c r="W2148" s="16" t="e">
        <f t="shared" si="135"/>
        <v>#N/A</v>
      </c>
    </row>
    <row r="2149" spans="1:23" hidden="1" x14ac:dyDescent="0.3">
      <c r="A2149" s="71" t="s">
        <v>4234</v>
      </c>
      <c r="B2149" s="71" t="s">
        <v>4234</v>
      </c>
      <c r="C2149" s="47" t="s">
        <v>33</v>
      </c>
      <c r="D2149" s="48" t="s">
        <v>34</v>
      </c>
      <c r="E2149" s="18" t="s">
        <v>4235</v>
      </c>
      <c r="F2149" s="24" t="str">
        <f t="shared" si="132"/>
        <v>PPG - RODO  PRODEC MIXED FITCH SET  PBRC001</v>
      </c>
      <c r="G2149" s="20" t="s">
        <v>7019</v>
      </c>
      <c r="H2149" s="49" t="s">
        <v>213</v>
      </c>
      <c r="I2149" s="18" t="s">
        <v>37</v>
      </c>
      <c r="J2149" s="18" t="s">
        <v>38</v>
      </c>
      <c r="K2149" t="s">
        <v>39</v>
      </c>
      <c r="L2149" s="50">
        <f>VLOOKUP(A2149,'[3]Price info'!A:D,4,FALSE)</f>
        <v>4.3</v>
      </c>
      <c r="M2149" s="18" t="s">
        <v>214</v>
      </c>
      <c r="N2149" s="20">
        <v>3105</v>
      </c>
      <c r="P2149" s="16">
        <f>VLOOKUP(A2149,'[3]Price info'!A:H,8,FALSE)</f>
        <v>4.3</v>
      </c>
      <c r="Q2149" s="17">
        <f t="shared" si="133"/>
        <v>1</v>
      </c>
      <c r="S2149" s="16" t="e">
        <f>VLOOKUP(A2149,[4]Sales!$E:$G,3,FALSE)</f>
        <v>#N/A</v>
      </c>
      <c r="T2149" s="19" t="e">
        <f>VLOOKUP(A2149,[4]Volume!$E:$G,3,FALSE)</f>
        <v>#N/A</v>
      </c>
      <c r="U2149" s="19" t="e">
        <f>VLOOKUP(A2149,[4]Piece!$E:$G,3,FALSE)</f>
        <v>#N/A</v>
      </c>
      <c r="V2149" s="21" t="e">
        <f t="shared" si="134"/>
        <v>#N/A</v>
      </c>
      <c r="W2149" s="16" t="e">
        <f t="shared" si="135"/>
        <v>#N/A</v>
      </c>
    </row>
    <row r="2150" spans="1:23" hidden="1" x14ac:dyDescent="0.3">
      <c r="A2150" s="71" t="s">
        <v>4236</v>
      </c>
      <c r="B2150" s="71" t="s">
        <v>4236</v>
      </c>
      <c r="C2150" s="51" t="s">
        <v>33</v>
      </c>
      <c r="D2150" s="48" t="s">
        <v>34</v>
      </c>
      <c r="E2150" s="18" t="s">
        <v>4237</v>
      </c>
      <c r="F2150" s="24" t="str">
        <f t="shared" si="132"/>
        <v>PPG - RODO  PRODEC PREM  1" BRUSH   PBPT042</v>
      </c>
      <c r="G2150" s="20" t="s">
        <v>7020</v>
      </c>
      <c r="H2150" s="49" t="s">
        <v>213</v>
      </c>
      <c r="I2150" s="18" t="s">
        <v>37</v>
      </c>
      <c r="J2150" s="18" t="s">
        <v>38</v>
      </c>
      <c r="K2150" t="s">
        <v>39</v>
      </c>
      <c r="L2150" s="50">
        <f>VLOOKUP(A2150,'[3]Price info'!A:D,4,FALSE)</f>
        <v>1.54</v>
      </c>
      <c r="M2150" s="18" t="s">
        <v>214</v>
      </c>
      <c r="N2150" s="20">
        <v>3105</v>
      </c>
      <c r="P2150" s="16">
        <f>VLOOKUP(A2150,'[3]Price info'!A:H,8,FALSE)</f>
        <v>1.54</v>
      </c>
      <c r="Q2150" s="17">
        <f t="shared" si="133"/>
        <v>1</v>
      </c>
      <c r="S2150" s="16" t="e">
        <f>VLOOKUP(A2150,[4]Sales!$E:$G,3,FALSE)</f>
        <v>#N/A</v>
      </c>
      <c r="T2150" s="19" t="e">
        <f>VLOOKUP(A2150,[4]Volume!$E:$G,3,FALSE)</f>
        <v>#N/A</v>
      </c>
      <c r="U2150" s="19" t="e">
        <f>VLOOKUP(A2150,[4]Piece!$E:$G,3,FALSE)</f>
        <v>#N/A</v>
      </c>
      <c r="V2150" s="21" t="e">
        <f t="shared" si="134"/>
        <v>#N/A</v>
      </c>
      <c r="W2150" s="16" t="e">
        <f t="shared" si="135"/>
        <v>#N/A</v>
      </c>
    </row>
    <row r="2151" spans="1:23" hidden="1" x14ac:dyDescent="0.3">
      <c r="A2151" s="71" t="s">
        <v>4238</v>
      </c>
      <c r="B2151" s="71" t="s">
        <v>4238</v>
      </c>
      <c r="C2151" s="47" t="s">
        <v>33</v>
      </c>
      <c r="D2151" s="48" t="s">
        <v>34</v>
      </c>
      <c r="E2151" s="18" t="s">
        <v>4239</v>
      </c>
      <c r="F2151" s="24" t="str">
        <f t="shared" si="132"/>
        <v>PPG - RODO  PRODEC PREM  2" CUT IN  PBPT053</v>
      </c>
      <c r="G2151" s="20" t="s">
        <v>7021</v>
      </c>
      <c r="H2151" s="49" t="s">
        <v>213</v>
      </c>
      <c r="I2151" s="18" t="s">
        <v>37</v>
      </c>
      <c r="J2151" s="18" t="s">
        <v>38</v>
      </c>
      <c r="K2151" t="s">
        <v>39</v>
      </c>
      <c r="L2151" s="50">
        <f>VLOOKUP(A2151,'[3]Price info'!A:D,4,FALSE)</f>
        <v>4.7</v>
      </c>
      <c r="M2151" s="18" t="s">
        <v>214</v>
      </c>
      <c r="N2151" s="20">
        <v>3105</v>
      </c>
      <c r="P2151" s="16">
        <f>VLOOKUP(A2151,'[3]Price info'!A:H,8,FALSE)</f>
        <v>4.7</v>
      </c>
      <c r="Q2151" s="17">
        <f t="shared" si="133"/>
        <v>1</v>
      </c>
      <c r="S2151" s="16" t="e">
        <f>VLOOKUP(A2151,[4]Sales!$E:$G,3,FALSE)</f>
        <v>#N/A</v>
      </c>
      <c r="T2151" s="19" t="e">
        <f>VLOOKUP(A2151,[4]Volume!$E:$G,3,FALSE)</f>
        <v>#N/A</v>
      </c>
      <c r="U2151" s="19" t="e">
        <f>VLOOKUP(A2151,[4]Piece!$E:$G,3,FALSE)</f>
        <v>#N/A</v>
      </c>
      <c r="V2151" s="21" t="e">
        <f t="shared" si="134"/>
        <v>#N/A</v>
      </c>
      <c r="W2151" s="16" t="e">
        <f t="shared" si="135"/>
        <v>#N/A</v>
      </c>
    </row>
    <row r="2152" spans="1:23" hidden="1" x14ac:dyDescent="0.3">
      <c r="A2152" s="71" t="s">
        <v>4240</v>
      </c>
      <c r="B2152" s="71" t="s">
        <v>4240</v>
      </c>
      <c r="C2152" s="47" t="s">
        <v>33</v>
      </c>
      <c r="D2152" s="48" t="s">
        <v>34</v>
      </c>
      <c r="E2152" s="18" t="s">
        <v>4241</v>
      </c>
      <c r="F2152" s="24" t="str">
        <f t="shared" si="132"/>
        <v>PPG - RODO  PRODEC PUSH  FRAME 10"  (SS714)</v>
      </c>
      <c r="G2152" s="20" t="s">
        <v>7022</v>
      </c>
      <c r="H2152" s="49" t="s">
        <v>213</v>
      </c>
      <c r="I2152" s="18" t="s">
        <v>37</v>
      </c>
      <c r="J2152" s="18" t="s">
        <v>38</v>
      </c>
      <c r="K2152" t="s">
        <v>39</v>
      </c>
      <c r="L2152" s="50">
        <f>VLOOKUP(A2152,'[3]Price info'!A:D,4,FALSE)</f>
        <v>3.67</v>
      </c>
      <c r="M2152" s="18" t="s">
        <v>214</v>
      </c>
      <c r="N2152" s="20">
        <v>3105</v>
      </c>
      <c r="P2152" s="16">
        <f>VLOOKUP(A2152,'[3]Price info'!A:H,8,FALSE)</f>
        <v>3.67</v>
      </c>
      <c r="Q2152" s="17">
        <f t="shared" si="133"/>
        <v>1</v>
      </c>
      <c r="S2152" s="16" t="e">
        <f>VLOOKUP(A2152,[4]Sales!$E:$G,3,FALSE)</f>
        <v>#N/A</v>
      </c>
      <c r="T2152" s="19" t="e">
        <f>VLOOKUP(A2152,[4]Volume!$E:$G,3,FALSE)</f>
        <v>#N/A</v>
      </c>
      <c r="U2152" s="19" t="e">
        <f>VLOOKUP(A2152,[4]Piece!$E:$G,3,FALSE)</f>
        <v>#N/A</v>
      </c>
      <c r="V2152" s="21" t="e">
        <f t="shared" si="134"/>
        <v>#N/A</v>
      </c>
      <c r="W2152" s="16" t="e">
        <f t="shared" si="135"/>
        <v>#N/A</v>
      </c>
    </row>
    <row r="2153" spans="1:23" hidden="1" x14ac:dyDescent="0.3">
      <c r="A2153" s="71" t="s">
        <v>4242</v>
      </c>
      <c r="B2153" s="71" t="s">
        <v>4242</v>
      </c>
      <c r="C2153" s="51" t="s">
        <v>33</v>
      </c>
      <c r="D2153" s="48" t="s">
        <v>34</v>
      </c>
      <c r="E2153" s="18" t="s">
        <v>4243</v>
      </c>
      <c r="F2153" s="24" t="str">
        <f t="shared" si="132"/>
        <v>PPG - RODO  PROFLEX      PAPFV60    60 GRIT 5M</v>
      </c>
      <c r="G2153" s="20" t="s">
        <v>7023</v>
      </c>
      <c r="H2153" s="49" t="s">
        <v>213</v>
      </c>
      <c r="I2153" s="18" t="s">
        <v>37</v>
      </c>
      <c r="J2153" s="18" t="s">
        <v>38</v>
      </c>
      <c r="K2153" t="s">
        <v>39</v>
      </c>
      <c r="L2153" s="50">
        <f>VLOOKUP(A2153,'[3]Price info'!A:D,4,FALSE)</f>
        <v>14.83</v>
      </c>
      <c r="M2153" s="18" t="s">
        <v>214</v>
      </c>
      <c r="N2153" s="20">
        <v>3105</v>
      </c>
      <c r="P2153" s="16">
        <f>VLOOKUP(A2153,'[3]Price info'!A:H,8,FALSE)</f>
        <v>14.83</v>
      </c>
      <c r="Q2153" s="17">
        <f t="shared" si="133"/>
        <v>1</v>
      </c>
      <c r="S2153" s="16" t="e">
        <f>VLOOKUP(A2153,[4]Sales!$E:$G,3,FALSE)</f>
        <v>#N/A</v>
      </c>
      <c r="T2153" s="19" t="e">
        <f>VLOOKUP(A2153,[4]Volume!$E:$G,3,FALSE)</f>
        <v>#N/A</v>
      </c>
      <c r="U2153" s="19" t="e">
        <f>VLOOKUP(A2153,[4]Piece!$E:$G,3,FALSE)</f>
        <v>#N/A</v>
      </c>
      <c r="V2153" s="21" t="e">
        <f t="shared" si="134"/>
        <v>#N/A</v>
      </c>
      <c r="W2153" s="16" t="e">
        <f t="shared" si="135"/>
        <v>#N/A</v>
      </c>
    </row>
    <row r="2154" spans="1:23" hidden="1" x14ac:dyDescent="0.3">
      <c r="A2154" s="71" t="s">
        <v>4244</v>
      </c>
      <c r="B2154" s="71" t="s">
        <v>4244</v>
      </c>
      <c r="C2154" s="47" t="s">
        <v>33</v>
      </c>
      <c r="D2154" s="48" t="s">
        <v>34</v>
      </c>
      <c r="E2154" s="18" t="s">
        <v>4245</v>
      </c>
      <c r="F2154" s="24" t="str">
        <f t="shared" si="132"/>
        <v>PPG - RODO  PROFLEX SANDING PAPER 80GRIT MED</v>
      </c>
      <c r="G2154" s="20" t="s">
        <v>7024</v>
      </c>
      <c r="H2154" s="49" t="s">
        <v>213</v>
      </c>
      <c r="I2154" s="18" t="s">
        <v>37</v>
      </c>
      <c r="J2154" s="18" t="s">
        <v>38</v>
      </c>
      <c r="K2154" t="s">
        <v>39</v>
      </c>
      <c r="L2154" s="50">
        <f>VLOOKUP(A2154,'[3]Price info'!A:D,4,FALSE)</f>
        <v>13.9</v>
      </c>
      <c r="M2154" s="18" t="s">
        <v>214</v>
      </c>
      <c r="N2154" s="20">
        <v>3105</v>
      </c>
      <c r="P2154" s="16">
        <f>VLOOKUP(A2154,'[3]Price info'!A:H,8,FALSE)</f>
        <v>13.9</v>
      </c>
      <c r="Q2154" s="17">
        <f t="shared" si="133"/>
        <v>1</v>
      </c>
      <c r="S2154" s="16" t="e">
        <f>VLOOKUP(A2154,[4]Sales!$E:$G,3,FALSE)</f>
        <v>#N/A</v>
      </c>
      <c r="T2154" s="19" t="e">
        <f>VLOOKUP(A2154,[4]Volume!$E:$G,3,FALSE)</f>
        <v>#N/A</v>
      </c>
      <c r="U2154" s="19" t="e">
        <f>VLOOKUP(A2154,[4]Piece!$E:$G,3,FALSE)</f>
        <v>#N/A</v>
      </c>
      <c r="V2154" s="21" t="e">
        <f t="shared" si="134"/>
        <v>#N/A</v>
      </c>
      <c r="W2154" s="16" t="e">
        <f t="shared" si="135"/>
        <v>#N/A</v>
      </c>
    </row>
    <row r="2155" spans="1:23" hidden="1" x14ac:dyDescent="0.3">
      <c r="A2155" s="71" t="s">
        <v>4246</v>
      </c>
      <c r="B2155" s="71" t="s">
        <v>4246</v>
      </c>
      <c r="C2155" s="47" t="s">
        <v>33</v>
      </c>
      <c r="D2155" s="48" t="s">
        <v>34</v>
      </c>
      <c r="E2155" s="18" t="s">
        <v>4247</v>
      </c>
      <c r="F2155" s="24" t="str">
        <f t="shared" si="132"/>
        <v>PPG - RODO  S/FIT COM FR 9"         PRF009</v>
      </c>
      <c r="G2155" s="20" t="s">
        <v>7025</v>
      </c>
      <c r="H2155" s="49" t="s">
        <v>213</v>
      </c>
      <c r="I2155" s="18" t="s">
        <v>37</v>
      </c>
      <c r="J2155" s="18" t="s">
        <v>38</v>
      </c>
      <c r="K2155" t="s">
        <v>39</v>
      </c>
      <c r="L2155" s="50">
        <f>VLOOKUP(A2155,'[3]Price info'!A:D,4,FALSE)</f>
        <v>4.3</v>
      </c>
      <c r="M2155" s="18" t="s">
        <v>214</v>
      </c>
      <c r="N2155" s="20">
        <v>3105</v>
      </c>
      <c r="P2155" s="16">
        <f>VLOOKUP(A2155,'[3]Price info'!A:H,8,FALSE)</f>
        <v>4.3</v>
      </c>
      <c r="Q2155" s="17">
        <f t="shared" si="133"/>
        <v>1</v>
      </c>
      <c r="S2155" s="16" t="e">
        <f>VLOOKUP(A2155,[4]Sales!$E:$G,3,FALSE)</f>
        <v>#N/A</v>
      </c>
      <c r="T2155" s="19" t="e">
        <f>VLOOKUP(A2155,[4]Volume!$E:$G,3,FALSE)</f>
        <v>#N/A</v>
      </c>
      <c r="U2155" s="19" t="e">
        <f>VLOOKUP(A2155,[4]Piece!$E:$G,3,FALSE)</f>
        <v>#N/A</v>
      </c>
      <c r="V2155" s="21" t="e">
        <f t="shared" si="134"/>
        <v>#N/A</v>
      </c>
      <c r="W2155" s="16" t="e">
        <f t="shared" si="135"/>
        <v>#N/A</v>
      </c>
    </row>
    <row r="2156" spans="1:23" hidden="1" x14ac:dyDescent="0.3">
      <c r="A2156" s="71" t="s">
        <v>4248</v>
      </c>
      <c r="B2156" s="71" t="s">
        <v>4248</v>
      </c>
      <c r="C2156" s="51" t="s">
        <v>33</v>
      </c>
      <c r="D2156" s="48" t="s">
        <v>34</v>
      </c>
      <c r="E2156" s="18" t="s">
        <v>4249</v>
      </c>
      <c r="F2156" s="24" t="str">
        <f t="shared" si="132"/>
        <v>PPG - RODO  S/FIT PLS FM 9"         PRF002</v>
      </c>
      <c r="G2156" s="20" t="s">
        <v>7026</v>
      </c>
      <c r="H2156" s="49" t="s">
        <v>213</v>
      </c>
      <c r="I2156" s="18" t="s">
        <v>37</v>
      </c>
      <c r="J2156" s="18" t="s">
        <v>38</v>
      </c>
      <c r="K2156" t="s">
        <v>39</v>
      </c>
      <c r="L2156" s="50">
        <f>VLOOKUP(A2156,'[3]Price info'!A:D,4,FALSE)</f>
        <v>3.58</v>
      </c>
      <c r="M2156" s="18" t="s">
        <v>214</v>
      </c>
      <c r="N2156" s="20">
        <v>3105</v>
      </c>
      <c r="P2156" s="16">
        <f>VLOOKUP(A2156,'[3]Price info'!A:H,8,FALSE)</f>
        <v>3.58</v>
      </c>
      <c r="Q2156" s="17">
        <f t="shared" si="133"/>
        <v>1</v>
      </c>
      <c r="S2156" s="16" t="e">
        <f>VLOOKUP(A2156,[4]Sales!$E:$G,3,FALSE)</f>
        <v>#N/A</v>
      </c>
      <c r="T2156" s="19" t="e">
        <f>VLOOKUP(A2156,[4]Volume!$E:$G,3,FALSE)</f>
        <v>#N/A</v>
      </c>
      <c r="U2156" s="19" t="e">
        <f>VLOOKUP(A2156,[4]Piece!$E:$G,3,FALSE)</f>
        <v>#N/A</v>
      </c>
      <c r="V2156" s="21" t="e">
        <f t="shared" si="134"/>
        <v>#N/A</v>
      </c>
      <c r="W2156" s="16" t="e">
        <f t="shared" si="135"/>
        <v>#N/A</v>
      </c>
    </row>
    <row r="2157" spans="1:23" hidden="1" x14ac:dyDescent="0.3">
      <c r="A2157" s="71" t="s">
        <v>4250</v>
      </c>
      <c r="B2157" s="71" t="s">
        <v>4250</v>
      </c>
      <c r="C2157" s="47" t="s">
        <v>33</v>
      </c>
      <c r="D2157" s="48" t="s">
        <v>34</v>
      </c>
      <c r="E2157" s="18" t="s">
        <v>4251</v>
      </c>
      <c r="F2157" s="24" t="str">
        <f t="shared" si="132"/>
        <v>PPG - RODO  S/FIT WD FRM 9"         PRF003</v>
      </c>
      <c r="G2157" s="20" t="s">
        <v>7027</v>
      </c>
      <c r="H2157" s="49" t="s">
        <v>213</v>
      </c>
      <c r="I2157" s="18" t="s">
        <v>37</v>
      </c>
      <c r="J2157" s="18" t="s">
        <v>38</v>
      </c>
      <c r="K2157" t="s">
        <v>39</v>
      </c>
      <c r="L2157" s="50">
        <f>VLOOKUP(A2157,'[3]Price info'!A:D,4,FALSE)</f>
        <v>4.63</v>
      </c>
      <c r="M2157" s="18" t="s">
        <v>214</v>
      </c>
      <c r="N2157" s="20">
        <v>3105</v>
      </c>
      <c r="P2157" s="16">
        <f>VLOOKUP(A2157,'[3]Price info'!A:H,8,FALSE)</f>
        <v>4.63</v>
      </c>
      <c r="Q2157" s="17">
        <f t="shared" si="133"/>
        <v>1</v>
      </c>
      <c r="S2157" s="16" t="e">
        <f>VLOOKUP(A2157,[4]Sales!$E:$G,3,FALSE)</f>
        <v>#N/A</v>
      </c>
      <c r="T2157" s="19" t="e">
        <f>VLOOKUP(A2157,[4]Volume!$E:$G,3,FALSE)</f>
        <v>#N/A</v>
      </c>
      <c r="U2157" s="19" t="e">
        <f>VLOOKUP(A2157,[4]Piece!$E:$G,3,FALSE)</f>
        <v>#N/A</v>
      </c>
      <c r="V2157" s="21" t="e">
        <f t="shared" si="134"/>
        <v>#N/A</v>
      </c>
      <c r="W2157" s="16" t="e">
        <f t="shared" si="135"/>
        <v>#N/A</v>
      </c>
    </row>
    <row r="2158" spans="1:23" hidden="1" x14ac:dyDescent="0.3">
      <c r="A2158" s="71" t="s">
        <v>4252</v>
      </c>
      <c r="B2158" s="71" t="s">
        <v>4252</v>
      </c>
      <c r="C2158" s="47" t="s">
        <v>33</v>
      </c>
      <c r="D2158" s="48" t="s">
        <v>34</v>
      </c>
      <c r="E2158" s="18" t="s">
        <v>4253</v>
      </c>
      <c r="F2158" s="24" t="str">
        <f t="shared" si="132"/>
        <v>PPG - RODO  S/P MICRO SL 9"         ARRE006</v>
      </c>
      <c r="G2158" s="20" t="s">
        <v>7028</v>
      </c>
      <c r="H2158" s="49" t="s">
        <v>213</v>
      </c>
      <c r="I2158" s="18" t="s">
        <v>37</v>
      </c>
      <c r="J2158" s="18" t="s">
        <v>38</v>
      </c>
      <c r="K2158" t="s">
        <v>39</v>
      </c>
      <c r="L2158" s="50">
        <f>VLOOKUP(A2158,'[3]Price info'!A:D,4,FALSE)</f>
        <v>5.92</v>
      </c>
      <c r="M2158" s="18" t="s">
        <v>214</v>
      </c>
      <c r="N2158" s="20">
        <v>3105</v>
      </c>
      <c r="P2158" s="16">
        <f>VLOOKUP(A2158,'[3]Price info'!A:H,8,FALSE)</f>
        <v>5.92</v>
      </c>
      <c r="Q2158" s="17">
        <f t="shared" si="133"/>
        <v>1</v>
      </c>
      <c r="S2158" s="16" t="e">
        <f>VLOOKUP(A2158,[4]Sales!$E:$G,3,FALSE)</f>
        <v>#N/A</v>
      </c>
      <c r="T2158" s="19" t="e">
        <f>VLOOKUP(A2158,[4]Volume!$E:$G,3,FALSE)</f>
        <v>#N/A</v>
      </c>
      <c r="U2158" s="19" t="e">
        <f>VLOOKUP(A2158,[4]Piece!$E:$G,3,FALSE)</f>
        <v>#N/A</v>
      </c>
      <c r="V2158" s="21" t="e">
        <f t="shared" si="134"/>
        <v>#N/A</v>
      </c>
      <c r="W2158" s="16" t="e">
        <f t="shared" si="135"/>
        <v>#N/A</v>
      </c>
    </row>
    <row r="2159" spans="1:23" hidden="1" x14ac:dyDescent="0.3">
      <c r="A2159" s="71" t="s">
        <v>4254</v>
      </c>
      <c r="B2159" s="71" t="s">
        <v>4254</v>
      </c>
      <c r="C2159" s="51" t="s">
        <v>33</v>
      </c>
      <c r="D2159" s="48" t="s">
        <v>34</v>
      </c>
      <c r="E2159" s="18" t="s">
        <v>4255</v>
      </c>
      <c r="F2159" s="24" t="str">
        <f t="shared" si="132"/>
        <v>PPG - RODO  S/P POLY SLV 9"         PRRE017</v>
      </c>
      <c r="G2159" s="20" t="s">
        <v>7029</v>
      </c>
      <c r="H2159" s="49" t="s">
        <v>213</v>
      </c>
      <c r="I2159" s="18" t="s">
        <v>37</v>
      </c>
      <c r="J2159" s="18" t="s">
        <v>38</v>
      </c>
      <c r="K2159" t="s">
        <v>39</v>
      </c>
      <c r="L2159" s="50">
        <f>VLOOKUP(A2159,'[3]Price info'!A:D,4,FALSE)</f>
        <v>1.53</v>
      </c>
      <c r="M2159" s="18" t="s">
        <v>214</v>
      </c>
      <c r="N2159" s="20">
        <v>3105</v>
      </c>
      <c r="P2159" s="16">
        <f>VLOOKUP(A2159,'[3]Price info'!A:H,8,FALSE)</f>
        <v>1.53</v>
      </c>
      <c r="Q2159" s="17">
        <f t="shared" si="133"/>
        <v>1</v>
      </c>
      <c r="S2159" s="16" t="e">
        <f>VLOOKUP(A2159,[4]Sales!$E:$G,3,FALSE)</f>
        <v>#N/A</v>
      </c>
      <c r="T2159" s="19" t="e">
        <f>VLOOKUP(A2159,[4]Volume!$E:$G,3,FALSE)</f>
        <v>#N/A</v>
      </c>
      <c r="U2159" s="19" t="e">
        <f>VLOOKUP(A2159,[4]Piece!$E:$G,3,FALSE)</f>
        <v>#N/A</v>
      </c>
      <c r="V2159" s="21" t="e">
        <f t="shared" si="134"/>
        <v>#N/A</v>
      </c>
      <c r="W2159" s="16" t="e">
        <f t="shared" si="135"/>
        <v>#N/A</v>
      </c>
    </row>
    <row r="2160" spans="1:23" hidden="1" x14ac:dyDescent="0.3">
      <c r="A2160" s="71" t="s">
        <v>4256</v>
      </c>
      <c r="B2160" s="71" t="s">
        <v>4256</v>
      </c>
      <c r="C2160" s="47" t="s">
        <v>33</v>
      </c>
      <c r="D2160" s="48" t="s">
        <v>34</v>
      </c>
      <c r="E2160" s="18" t="s">
        <v>4257</v>
      </c>
      <c r="F2160" s="24" t="str">
        <f t="shared" si="132"/>
        <v>PPG - RODO  SHED/FENCE   BRUSH4"(6) FFJSFB</v>
      </c>
      <c r="G2160" s="20" t="s">
        <v>7030</v>
      </c>
      <c r="H2160" s="49" t="s">
        <v>213</v>
      </c>
      <c r="I2160" s="18" t="s">
        <v>37</v>
      </c>
      <c r="J2160" s="18" t="s">
        <v>38</v>
      </c>
      <c r="K2160" t="s">
        <v>39</v>
      </c>
      <c r="L2160" s="50">
        <f>VLOOKUP(A2160,'[3]Price info'!A:D,4,FALSE)</f>
        <v>13.81</v>
      </c>
      <c r="M2160" s="18" t="s">
        <v>214</v>
      </c>
      <c r="N2160" s="20">
        <v>3105</v>
      </c>
      <c r="P2160" s="16">
        <f>VLOOKUP(A2160,'[3]Price info'!A:H,8,FALSE)</f>
        <v>13.81</v>
      </c>
      <c r="Q2160" s="17">
        <f t="shared" si="133"/>
        <v>1</v>
      </c>
      <c r="S2160" s="16" t="e">
        <f>VLOOKUP(A2160,[4]Sales!$E:$G,3,FALSE)</f>
        <v>#N/A</v>
      </c>
      <c r="T2160" s="19" t="e">
        <f>VLOOKUP(A2160,[4]Volume!$E:$G,3,FALSE)</f>
        <v>#N/A</v>
      </c>
      <c r="U2160" s="19" t="e">
        <f>VLOOKUP(A2160,[4]Piece!$E:$G,3,FALSE)</f>
        <v>#N/A</v>
      </c>
      <c r="V2160" s="21" t="e">
        <f t="shared" si="134"/>
        <v>#N/A</v>
      </c>
      <c r="W2160" s="16" t="e">
        <f t="shared" si="135"/>
        <v>#N/A</v>
      </c>
    </row>
    <row r="2161" spans="1:23" hidden="1" x14ac:dyDescent="0.3">
      <c r="A2161" s="71" t="s">
        <v>4258</v>
      </c>
      <c r="B2161" s="71" t="s">
        <v>4258</v>
      </c>
      <c r="C2161" s="47" t="s">
        <v>33</v>
      </c>
      <c r="D2161" s="48" t="s">
        <v>34</v>
      </c>
      <c r="E2161" s="18" t="s">
        <v>4259</v>
      </c>
      <c r="F2161" s="24" t="str">
        <f t="shared" si="132"/>
        <v>PPG - RODO  SHORT PILE   9"X1.75"   PRRE006</v>
      </c>
      <c r="G2161" s="20" t="s">
        <v>7031</v>
      </c>
      <c r="H2161" s="49" t="s">
        <v>213</v>
      </c>
      <c r="I2161" s="18" t="s">
        <v>37</v>
      </c>
      <c r="J2161" s="18" t="s">
        <v>38</v>
      </c>
      <c r="K2161" t="s">
        <v>39</v>
      </c>
      <c r="L2161" s="50">
        <f>VLOOKUP(A2161,'[3]Price info'!A:D,4,FALSE)</f>
        <v>6.11</v>
      </c>
      <c r="M2161" s="18" t="s">
        <v>214</v>
      </c>
      <c r="N2161" s="20">
        <v>3105</v>
      </c>
      <c r="P2161" s="16">
        <f>VLOOKUP(A2161,'[3]Price info'!A:H,8,FALSE)</f>
        <v>6.11</v>
      </c>
      <c r="Q2161" s="17">
        <f t="shared" si="133"/>
        <v>1</v>
      </c>
      <c r="S2161" s="16" t="e">
        <f>VLOOKUP(A2161,[4]Sales!$E:$G,3,FALSE)</f>
        <v>#N/A</v>
      </c>
      <c r="T2161" s="19" t="e">
        <f>VLOOKUP(A2161,[4]Volume!$E:$G,3,FALSE)</f>
        <v>#N/A</v>
      </c>
      <c r="U2161" s="19" t="e">
        <f>VLOOKUP(A2161,[4]Piece!$E:$G,3,FALSE)</f>
        <v>#N/A</v>
      </c>
      <c r="V2161" s="21" t="e">
        <f t="shared" si="134"/>
        <v>#N/A</v>
      </c>
      <c r="W2161" s="16" t="e">
        <f t="shared" si="135"/>
        <v>#N/A</v>
      </c>
    </row>
    <row r="2162" spans="1:23" hidden="1" x14ac:dyDescent="0.3">
      <c r="A2162" s="71" t="s">
        <v>4260</v>
      </c>
      <c r="B2162" s="71" t="s">
        <v>4260</v>
      </c>
      <c r="C2162" s="51" t="s">
        <v>33</v>
      </c>
      <c r="D2162" s="48" t="s">
        <v>34</v>
      </c>
      <c r="E2162" s="18" t="s">
        <v>4261</v>
      </c>
      <c r="F2162" s="24" t="str">
        <f t="shared" si="132"/>
        <v>PPG - RODO  STICK LP SLV 10"        PRRE025</v>
      </c>
      <c r="G2162" s="20" t="s">
        <v>7032</v>
      </c>
      <c r="H2162" s="49" t="s">
        <v>213</v>
      </c>
      <c r="I2162" s="18" t="s">
        <v>37</v>
      </c>
      <c r="J2162" s="18" t="s">
        <v>38</v>
      </c>
      <c r="K2162" t="s">
        <v>39</v>
      </c>
      <c r="L2162" s="50">
        <f>VLOOKUP(A2162,'[3]Price info'!A:D,4,FALSE)</f>
        <v>28.71</v>
      </c>
      <c r="M2162" s="18" t="s">
        <v>214</v>
      </c>
      <c r="N2162" s="20">
        <v>3105</v>
      </c>
      <c r="P2162" s="16">
        <f>VLOOKUP(A2162,'[3]Price info'!A:H,8,FALSE)</f>
        <v>28.71</v>
      </c>
      <c r="Q2162" s="17">
        <f t="shared" si="133"/>
        <v>1</v>
      </c>
      <c r="S2162" s="16" t="e">
        <f>VLOOKUP(A2162,[4]Sales!$E:$G,3,FALSE)</f>
        <v>#N/A</v>
      </c>
      <c r="T2162" s="19" t="e">
        <f>VLOOKUP(A2162,[4]Volume!$E:$G,3,FALSE)</f>
        <v>#N/A</v>
      </c>
      <c r="U2162" s="19" t="e">
        <f>VLOOKUP(A2162,[4]Piece!$E:$G,3,FALSE)</f>
        <v>#N/A</v>
      </c>
      <c r="V2162" s="21" t="e">
        <f t="shared" si="134"/>
        <v>#N/A</v>
      </c>
      <c r="W2162" s="16" t="e">
        <f t="shared" si="135"/>
        <v>#N/A</v>
      </c>
    </row>
    <row r="2163" spans="1:23" hidden="1" x14ac:dyDescent="0.3">
      <c r="A2163" s="71" t="s">
        <v>4262</v>
      </c>
      <c r="B2163" s="71" t="s">
        <v>4262</v>
      </c>
      <c r="C2163" s="47" t="s">
        <v>33</v>
      </c>
      <c r="D2163" s="48" t="s">
        <v>34</v>
      </c>
      <c r="E2163" s="18" t="s">
        <v>4263</v>
      </c>
      <c r="F2163" s="24" t="str">
        <f t="shared" si="132"/>
        <v>PPG - RODO  STICK MP SLV 10"        PRRE024</v>
      </c>
      <c r="G2163" s="20" t="s">
        <v>7033</v>
      </c>
      <c r="H2163" s="49" t="s">
        <v>213</v>
      </c>
      <c r="I2163" s="18" t="s">
        <v>37</v>
      </c>
      <c r="J2163" s="18" t="s">
        <v>38</v>
      </c>
      <c r="K2163" t="s">
        <v>39</v>
      </c>
      <c r="L2163" s="50">
        <f>VLOOKUP(A2163,'[3]Price info'!A:D,4,FALSE)</f>
        <v>13.51</v>
      </c>
      <c r="M2163" s="18" t="s">
        <v>214</v>
      </c>
      <c r="N2163" s="20">
        <v>3105</v>
      </c>
      <c r="P2163" s="16">
        <f>VLOOKUP(A2163,'[3]Price info'!A:H,8,FALSE)</f>
        <v>13.51</v>
      </c>
      <c r="Q2163" s="17">
        <f t="shared" si="133"/>
        <v>1</v>
      </c>
      <c r="S2163" s="16" t="e">
        <f>VLOOKUP(A2163,[4]Sales!$E:$G,3,FALSE)</f>
        <v>#N/A</v>
      </c>
      <c r="T2163" s="19" t="e">
        <f>VLOOKUP(A2163,[4]Volume!$E:$G,3,FALSE)</f>
        <v>#N/A</v>
      </c>
      <c r="U2163" s="19" t="e">
        <f>VLOOKUP(A2163,[4]Piece!$E:$G,3,FALSE)</f>
        <v>#N/A</v>
      </c>
      <c r="V2163" s="21" t="e">
        <f t="shared" si="134"/>
        <v>#N/A</v>
      </c>
      <c r="W2163" s="16" t="e">
        <f t="shared" si="135"/>
        <v>#N/A</v>
      </c>
    </row>
    <row r="2164" spans="1:23" hidden="1" x14ac:dyDescent="0.3">
      <c r="A2164" s="71" t="s">
        <v>4264</v>
      </c>
      <c r="B2164" s="71" t="s">
        <v>4264</v>
      </c>
      <c r="C2164" s="47" t="s">
        <v>33</v>
      </c>
      <c r="D2164" s="48" t="s">
        <v>34</v>
      </c>
      <c r="E2164" s="18" t="s">
        <v>4265</v>
      </c>
      <c r="F2164" s="24" t="str">
        <f t="shared" si="132"/>
        <v>PPG - RODO  TIG MP WOV   12"        SLV PRRE02</v>
      </c>
      <c r="G2164" s="20" t="s">
        <v>7034</v>
      </c>
      <c r="H2164" s="49" t="s">
        <v>213</v>
      </c>
      <c r="I2164" s="18" t="s">
        <v>37</v>
      </c>
      <c r="J2164" s="18" t="s">
        <v>38</v>
      </c>
      <c r="K2164" t="s">
        <v>39</v>
      </c>
      <c r="L2164" s="50">
        <f>VLOOKUP(A2164,'[3]Price info'!A:D,4,FALSE)</f>
        <v>8.3699999999999992</v>
      </c>
      <c r="M2164" s="18" t="s">
        <v>214</v>
      </c>
      <c r="N2164" s="20">
        <v>3105</v>
      </c>
      <c r="P2164" s="16">
        <f>VLOOKUP(A2164,'[3]Price info'!A:H,8,FALSE)</f>
        <v>8.3699999999999992</v>
      </c>
      <c r="Q2164" s="17">
        <f t="shared" si="133"/>
        <v>1</v>
      </c>
      <c r="S2164" s="16" t="e">
        <f>VLOOKUP(A2164,[4]Sales!$E:$G,3,FALSE)</f>
        <v>#N/A</v>
      </c>
      <c r="T2164" s="19" t="e">
        <f>VLOOKUP(A2164,[4]Volume!$E:$G,3,FALSE)</f>
        <v>#N/A</v>
      </c>
      <c r="U2164" s="19" t="e">
        <f>VLOOKUP(A2164,[4]Piece!$E:$G,3,FALSE)</f>
        <v>#N/A</v>
      </c>
      <c r="V2164" s="21" t="e">
        <f t="shared" si="134"/>
        <v>#N/A</v>
      </c>
      <c r="W2164" s="16" t="e">
        <f t="shared" si="135"/>
        <v>#N/A</v>
      </c>
    </row>
    <row r="2165" spans="1:23" hidden="1" x14ac:dyDescent="0.3">
      <c r="A2165" s="71" t="s">
        <v>4266</v>
      </c>
      <c r="B2165" s="71" t="s">
        <v>4266</v>
      </c>
      <c r="C2165" s="51" t="s">
        <v>33</v>
      </c>
      <c r="D2165" s="48" t="s">
        <v>34</v>
      </c>
      <c r="E2165" s="18" t="s">
        <v>4267</v>
      </c>
      <c r="F2165" s="24" t="str">
        <f t="shared" si="132"/>
        <v>PPG - RODO  TIGER MP KIT PRRT004 9"</v>
      </c>
      <c r="G2165" s="20" t="s">
        <v>7035</v>
      </c>
      <c r="H2165" s="49" t="s">
        <v>213</v>
      </c>
      <c r="I2165" s="18" t="s">
        <v>37</v>
      </c>
      <c r="J2165" s="18" t="s">
        <v>38</v>
      </c>
      <c r="K2165" t="s">
        <v>39</v>
      </c>
      <c r="L2165" s="50">
        <f>VLOOKUP(A2165,'[3]Price info'!A:D,4,FALSE)</f>
        <v>7.16</v>
      </c>
      <c r="M2165" s="18" t="s">
        <v>214</v>
      </c>
      <c r="N2165" s="20">
        <v>3105</v>
      </c>
      <c r="P2165" s="16">
        <f>VLOOKUP(A2165,'[3]Price info'!A:H,8,FALSE)</f>
        <v>7.16</v>
      </c>
      <c r="Q2165" s="17">
        <f t="shared" si="133"/>
        <v>1</v>
      </c>
      <c r="S2165" s="16" t="e">
        <f>VLOOKUP(A2165,[4]Sales!$E:$G,3,FALSE)</f>
        <v>#N/A</v>
      </c>
      <c r="T2165" s="19" t="e">
        <f>VLOOKUP(A2165,[4]Volume!$E:$G,3,FALSE)</f>
        <v>#N/A</v>
      </c>
      <c r="U2165" s="19" t="e">
        <f>VLOOKUP(A2165,[4]Piece!$E:$G,3,FALSE)</f>
        <v>#N/A</v>
      </c>
      <c r="V2165" s="21" t="e">
        <f t="shared" si="134"/>
        <v>#N/A</v>
      </c>
      <c r="W2165" s="16" t="e">
        <f t="shared" si="135"/>
        <v>#N/A</v>
      </c>
    </row>
    <row r="2166" spans="1:23" hidden="1" x14ac:dyDescent="0.3">
      <c r="A2166" s="71" t="s">
        <v>4268</v>
      </c>
      <c r="B2166" s="71" t="s">
        <v>4268</v>
      </c>
      <c r="C2166" s="47" t="s">
        <v>33</v>
      </c>
      <c r="D2166" s="48" t="s">
        <v>34</v>
      </c>
      <c r="E2166" s="18" t="s">
        <v>4269</v>
      </c>
      <c r="F2166" s="24" t="str">
        <f t="shared" si="132"/>
        <v>PPG - RODO  TIGER MP SLV 9"         PREE014</v>
      </c>
      <c r="G2166" s="20" t="s">
        <v>7036</v>
      </c>
      <c r="H2166" s="49" t="s">
        <v>213</v>
      </c>
      <c r="I2166" s="18" t="s">
        <v>37</v>
      </c>
      <c r="J2166" s="18" t="s">
        <v>38</v>
      </c>
      <c r="K2166" t="s">
        <v>39</v>
      </c>
      <c r="L2166" s="50">
        <f>VLOOKUP(A2166,'[3]Price info'!A:D,4,FALSE)</f>
        <v>1.79</v>
      </c>
      <c r="M2166" s="18" t="s">
        <v>214</v>
      </c>
      <c r="N2166" s="20">
        <v>3105</v>
      </c>
      <c r="P2166" s="16">
        <f>VLOOKUP(A2166,'[3]Price info'!A:H,8,FALSE)</f>
        <v>1.79</v>
      </c>
      <c r="Q2166" s="17">
        <f t="shared" si="133"/>
        <v>1</v>
      </c>
      <c r="S2166" s="16" t="e">
        <f>VLOOKUP(A2166,[4]Sales!$E:$G,3,FALSE)</f>
        <v>#N/A</v>
      </c>
      <c r="T2166" s="19" t="e">
        <f>VLOOKUP(A2166,[4]Volume!$E:$G,3,FALSE)</f>
        <v>#N/A</v>
      </c>
      <c r="U2166" s="19" t="e">
        <f>VLOOKUP(A2166,[4]Piece!$E:$G,3,FALSE)</f>
        <v>#N/A</v>
      </c>
      <c r="V2166" s="21" t="e">
        <f t="shared" si="134"/>
        <v>#N/A</v>
      </c>
      <c r="W2166" s="16" t="e">
        <f t="shared" si="135"/>
        <v>#N/A</v>
      </c>
    </row>
    <row r="2167" spans="1:23" hidden="1" x14ac:dyDescent="0.3">
      <c r="A2167" s="71" t="s">
        <v>4270</v>
      </c>
      <c r="B2167" s="71" t="s">
        <v>4270</v>
      </c>
      <c r="C2167" s="47" t="s">
        <v>33</v>
      </c>
      <c r="D2167" s="48" t="s">
        <v>34</v>
      </c>
      <c r="E2167" s="18" t="s">
        <v>4271</v>
      </c>
      <c r="F2167" s="24" t="str">
        <f t="shared" si="132"/>
        <v>PPG - RODO  WG EXT D/SHT P126WG     12'X6'</v>
      </c>
      <c r="G2167" s="20" t="s">
        <v>7037</v>
      </c>
      <c r="H2167" s="49" t="s">
        <v>213</v>
      </c>
      <c r="I2167" s="18" t="s">
        <v>37</v>
      </c>
      <c r="J2167" s="18" t="s">
        <v>38</v>
      </c>
      <c r="K2167" t="s">
        <v>39</v>
      </c>
      <c r="L2167" s="50">
        <f>VLOOKUP(A2167,'[3]Price info'!A:D,4,FALSE)</f>
        <v>24.48</v>
      </c>
      <c r="M2167" s="18" t="s">
        <v>214</v>
      </c>
      <c r="N2167" s="20">
        <v>3105</v>
      </c>
      <c r="P2167" s="16">
        <f>VLOOKUP(A2167,'[3]Price info'!A:H,8,FALSE)</f>
        <v>24.48</v>
      </c>
      <c r="Q2167" s="17">
        <f t="shared" si="133"/>
        <v>1</v>
      </c>
      <c r="S2167" s="16" t="e">
        <f>VLOOKUP(A2167,[4]Sales!$E:$G,3,FALSE)</f>
        <v>#N/A</v>
      </c>
      <c r="T2167" s="19" t="e">
        <f>VLOOKUP(A2167,[4]Volume!$E:$G,3,FALSE)</f>
        <v>#N/A</v>
      </c>
      <c r="U2167" s="19" t="e">
        <f>VLOOKUP(A2167,[4]Piece!$E:$G,3,FALSE)</f>
        <v>#N/A</v>
      </c>
      <c r="V2167" s="21" t="e">
        <f t="shared" si="134"/>
        <v>#N/A</v>
      </c>
      <c r="W2167" s="16" t="e">
        <f t="shared" si="135"/>
        <v>#N/A</v>
      </c>
    </row>
    <row r="2168" spans="1:23" hidden="1" x14ac:dyDescent="0.3">
      <c r="A2168" s="71" t="s">
        <v>4272</v>
      </c>
      <c r="B2168" s="71" t="s">
        <v>4272</v>
      </c>
      <c r="C2168" s="51" t="s">
        <v>33</v>
      </c>
      <c r="D2168" s="48" t="s">
        <v>34</v>
      </c>
      <c r="E2168" s="18" t="s">
        <v>4273</v>
      </c>
      <c r="F2168" s="24" t="str">
        <f t="shared" si="132"/>
        <v>PPG - RODO  WINDOW       SCRAPER</v>
      </c>
      <c r="G2168" s="20" t="s">
        <v>7038</v>
      </c>
      <c r="H2168" s="49" t="s">
        <v>213</v>
      </c>
      <c r="I2168" s="18" t="s">
        <v>37</v>
      </c>
      <c r="J2168" s="18" t="s">
        <v>38</v>
      </c>
      <c r="K2168" t="s">
        <v>39</v>
      </c>
      <c r="L2168" s="50">
        <f>VLOOKUP(A2168,'[3]Price info'!A:D,4,FALSE)</f>
        <v>2.04</v>
      </c>
      <c r="M2168" s="18" t="s">
        <v>214</v>
      </c>
      <c r="N2168" s="20">
        <v>3105</v>
      </c>
      <c r="P2168" s="16">
        <f>VLOOKUP(A2168,'[3]Price info'!A:H,8,FALSE)</f>
        <v>2.04</v>
      </c>
      <c r="Q2168" s="17">
        <f t="shared" si="133"/>
        <v>1</v>
      </c>
      <c r="S2168" s="16" t="e">
        <f>VLOOKUP(A2168,[4]Sales!$E:$G,3,FALSE)</f>
        <v>#N/A</v>
      </c>
      <c r="T2168" s="19" t="e">
        <f>VLOOKUP(A2168,[4]Volume!$E:$G,3,FALSE)</f>
        <v>#N/A</v>
      </c>
      <c r="U2168" s="19" t="e">
        <f>VLOOKUP(A2168,[4]Piece!$E:$G,3,FALSE)</f>
        <v>#N/A</v>
      </c>
      <c r="V2168" s="21" t="e">
        <f t="shared" si="134"/>
        <v>#N/A</v>
      </c>
      <c r="W2168" s="16" t="e">
        <f t="shared" si="135"/>
        <v>#N/A</v>
      </c>
    </row>
    <row r="2169" spans="1:23" hidden="1" x14ac:dyDescent="0.3">
      <c r="A2169" s="71" t="s">
        <v>4274</v>
      </c>
      <c r="B2169" s="71" t="s">
        <v>4274</v>
      </c>
      <c r="C2169" s="47" t="s">
        <v>33</v>
      </c>
      <c r="D2169" s="48" t="s">
        <v>34</v>
      </c>
      <c r="E2169" s="18" t="s">
        <v>4275</v>
      </c>
      <c r="F2169" s="24" t="str">
        <f t="shared" si="132"/>
        <v>PPG - RODO  WIRE BRUSH   4 ROW *12* (BWB4)</v>
      </c>
      <c r="G2169" s="20" t="s">
        <v>7039</v>
      </c>
      <c r="H2169" s="49" t="s">
        <v>213</v>
      </c>
      <c r="I2169" s="18" t="s">
        <v>37</v>
      </c>
      <c r="J2169" s="18" t="s">
        <v>38</v>
      </c>
      <c r="K2169" t="s">
        <v>39</v>
      </c>
      <c r="L2169" s="50">
        <f>VLOOKUP(A2169,'[3]Price info'!A:D,4,FALSE)</f>
        <v>1.79</v>
      </c>
      <c r="M2169" s="18" t="s">
        <v>214</v>
      </c>
      <c r="N2169" s="20">
        <v>3105</v>
      </c>
      <c r="P2169" s="16">
        <f>VLOOKUP(A2169,'[3]Price info'!A:H,8,FALSE)</f>
        <v>1.79</v>
      </c>
      <c r="Q2169" s="17">
        <f t="shared" si="133"/>
        <v>1</v>
      </c>
      <c r="S2169" s="16" t="e">
        <f>VLOOKUP(A2169,[4]Sales!$E:$G,3,FALSE)</f>
        <v>#N/A</v>
      </c>
      <c r="T2169" s="19" t="e">
        <f>VLOOKUP(A2169,[4]Volume!$E:$G,3,FALSE)</f>
        <v>#N/A</v>
      </c>
      <c r="U2169" s="19" t="e">
        <f>VLOOKUP(A2169,[4]Piece!$E:$G,3,FALSE)</f>
        <v>#N/A</v>
      </c>
      <c r="V2169" s="21" t="e">
        <f t="shared" si="134"/>
        <v>#N/A</v>
      </c>
      <c r="W2169" s="16" t="e">
        <f t="shared" si="135"/>
        <v>#N/A</v>
      </c>
    </row>
    <row r="2170" spans="1:23" hidden="1" x14ac:dyDescent="0.3">
      <c r="A2170" s="71" t="s">
        <v>4276</v>
      </c>
      <c r="B2170" s="71" t="s">
        <v>4276</v>
      </c>
      <c r="C2170" s="47" t="s">
        <v>33</v>
      </c>
      <c r="D2170" s="48" t="s">
        <v>34</v>
      </c>
      <c r="E2170" s="18" t="s">
        <v>4277</v>
      </c>
      <c r="F2170" s="24" t="str">
        <f t="shared" si="132"/>
        <v>PPG - RODO  WOODWORKER   BRUSH 2IN</v>
      </c>
      <c r="G2170" s="20" t="s">
        <v>7040</v>
      </c>
      <c r="H2170" s="49" t="s">
        <v>213</v>
      </c>
      <c r="I2170" s="18" t="s">
        <v>37</v>
      </c>
      <c r="J2170" s="18" t="s">
        <v>38</v>
      </c>
      <c r="K2170" t="s">
        <v>39</v>
      </c>
      <c r="L2170" s="50">
        <f>VLOOKUP(A2170,'[3]Price info'!A:D,4,FALSE)</f>
        <v>6.36</v>
      </c>
      <c r="M2170" s="18" t="s">
        <v>214</v>
      </c>
      <c r="N2170" s="20">
        <v>3105</v>
      </c>
      <c r="P2170" s="16">
        <f>VLOOKUP(A2170,'[3]Price info'!A:H,8,FALSE)</f>
        <v>6.36</v>
      </c>
      <c r="Q2170" s="17">
        <f t="shared" si="133"/>
        <v>1</v>
      </c>
      <c r="S2170" s="16" t="e">
        <f>VLOOKUP(A2170,[4]Sales!$E:$G,3,FALSE)</f>
        <v>#N/A</v>
      </c>
      <c r="T2170" s="19" t="e">
        <f>VLOOKUP(A2170,[4]Volume!$E:$G,3,FALSE)</f>
        <v>#N/A</v>
      </c>
      <c r="U2170" s="19" t="e">
        <f>VLOOKUP(A2170,[4]Piece!$E:$G,3,FALSE)</f>
        <v>#N/A</v>
      </c>
      <c r="V2170" s="21" t="e">
        <f t="shared" si="134"/>
        <v>#N/A</v>
      </c>
      <c r="W2170" s="16" t="e">
        <f t="shared" si="135"/>
        <v>#N/A</v>
      </c>
    </row>
    <row r="2171" spans="1:23" hidden="1" x14ac:dyDescent="0.3">
      <c r="A2171" s="71" t="s">
        <v>4278</v>
      </c>
      <c r="B2171" s="71" t="s">
        <v>4278</v>
      </c>
      <c r="C2171" s="51" t="s">
        <v>33</v>
      </c>
      <c r="D2171" s="48" t="s">
        <v>34</v>
      </c>
      <c r="E2171" s="18" t="s">
        <v>4279</v>
      </c>
      <c r="F2171" s="24" t="str">
        <f t="shared" si="132"/>
        <v>PPG - S ECOFLEET 530 BLACK        800000EU1500</v>
      </c>
      <c r="G2171" s="20" t="s">
        <v>7041</v>
      </c>
      <c r="H2171" s="49" t="s">
        <v>213</v>
      </c>
      <c r="I2171" s="18" t="s">
        <v>37</v>
      </c>
      <c r="J2171" s="18" t="s">
        <v>38</v>
      </c>
      <c r="K2171" t="s">
        <v>39</v>
      </c>
      <c r="L2171" s="50">
        <f>VLOOKUP(A2171,'[3]Price info'!A:D,4,FALSE)</f>
        <v>232.1</v>
      </c>
      <c r="M2171" s="18" t="s">
        <v>214</v>
      </c>
      <c r="N2171" s="20">
        <v>3105</v>
      </c>
      <c r="P2171" s="16">
        <f>VLOOKUP(A2171,'[3]Price info'!A:H,8,FALSE)</f>
        <v>232.1</v>
      </c>
      <c r="Q2171" s="17">
        <f t="shared" si="133"/>
        <v>1</v>
      </c>
      <c r="S2171" s="16" t="e">
        <f>VLOOKUP(A2171,[4]Sales!$E:$G,3,FALSE)</f>
        <v>#N/A</v>
      </c>
      <c r="T2171" s="19" t="e">
        <f>VLOOKUP(A2171,[4]Volume!$E:$G,3,FALSE)</f>
        <v>#N/A</v>
      </c>
      <c r="U2171" s="19" t="e">
        <f>VLOOKUP(A2171,[4]Piece!$E:$G,3,FALSE)</f>
        <v>#N/A</v>
      </c>
      <c r="V2171" s="21" t="e">
        <f t="shared" si="134"/>
        <v>#N/A</v>
      </c>
      <c r="W2171" s="16" t="e">
        <f t="shared" si="135"/>
        <v>#N/A</v>
      </c>
    </row>
    <row r="2172" spans="1:23" hidden="1" x14ac:dyDescent="0.3">
      <c r="A2172" s="71" t="s">
        <v>4280</v>
      </c>
      <c r="B2172" s="71" t="s">
        <v>4280</v>
      </c>
      <c r="C2172" s="47" t="s">
        <v>33</v>
      </c>
      <c r="D2172" s="48" t="s">
        <v>34</v>
      </c>
      <c r="E2172" s="18" t="s">
        <v>4281</v>
      </c>
      <c r="F2172" s="24" t="str">
        <f t="shared" si="132"/>
        <v>PPG - S ECOFLEET 530 BLACK        800000EU2200</v>
      </c>
      <c r="G2172" s="20" t="s">
        <v>7042</v>
      </c>
      <c r="H2172" s="49" t="s">
        <v>213</v>
      </c>
      <c r="I2172" s="18" t="s">
        <v>37</v>
      </c>
      <c r="J2172" s="18" t="s">
        <v>38</v>
      </c>
      <c r="K2172" t="s">
        <v>39</v>
      </c>
      <c r="L2172" s="50">
        <f>VLOOKUP(A2172,'[3]Price info'!A:D,4,FALSE)</f>
        <v>928.37</v>
      </c>
      <c r="M2172" s="18" t="s">
        <v>214</v>
      </c>
      <c r="N2172" s="20">
        <v>3105</v>
      </c>
      <c r="P2172" s="16">
        <f>VLOOKUP(A2172,'[3]Price info'!A:H,8,FALSE)</f>
        <v>928.37</v>
      </c>
      <c r="Q2172" s="17">
        <f t="shared" si="133"/>
        <v>1</v>
      </c>
      <c r="S2172" s="16" t="e">
        <f>VLOOKUP(A2172,[4]Sales!$E:$G,3,FALSE)</f>
        <v>#N/A</v>
      </c>
      <c r="T2172" s="19" t="e">
        <f>VLOOKUP(A2172,[4]Volume!$E:$G,3,FALSE)</f>
        <v>#N/A</v>
      </c>
      <c r="U2172" s="19" t="e">
        <f>VLOOKUP(A2172,[4]Piece!$E:$G,3,FALSE)</f>
        <v>#N/A</v>
      </c>
      <c r="V2172" s="21" t="e">
        <f t="shared" si="134"/>
        <v>#N/A</v>
      </c>
      <c r="W2172" s="16" t="e">
        <f t="shared" si="135"/>
        <v>#N/A</v>
      </c>
    </row>
    <row r="2173" spans="1:23" hidden="1" x14ac:dyDescent="0.3">
      <c r="A2173" s="71" t="s">
        <v>4282</v>
      </c>
      <c r="B2173" s="71" t="s">
        <v>4282</v>
      </c>
      <c r="C2173" s="47" t="s">
        <v>33</v>
      </c>
      <c r="D2173" s="48" t="s">
        <v>34</v>
      </c>
      <c r="E2173" s="18" t="s">
        <v>4283</v>
      </c>
      <c r="F2173" s="24" t="str">
        <f t="shared" si="132"/>
        <v>PPG - S ECOFLEET 530 BLUE         100000EU1500</v>
      </c>
      <c r="G2173" s="20" t="s">
        <v>7043</v>
      </c>
      <c r="H2173" s="49" t="s">
        <v>213</v>
      </c>
      <c r="I2173" s="18" t="s">
        <v>37</v>
      </c>
      <c r="J2173" s="18" t="s">
        <v>38</v>
      </c>
      <c r="K2173" t="s">
        <v>39</v>
      </c>
      <c r="L2173" s="50">
        <f>VLOOKUP(A2173,'[3]Price info'!A:D,4,FALSE)</f>
        <v>232.1</v>
      </c>
      <c r="M2173" s="18" t="s">
        <v>214</v>
      </c>
      <c r="N2173" s="20">
        <v>3105</v>
      </c>
      <c r="P2173" s="16">
        <f>VLOOKUP(A2173,'[3]Price info'!A:H,8,FALSE)</f>
        <v>232.1</v>
      </c>
      <c r="Q2173" s="17">
        <f t="shared" si="133"/>
        <v>1</v>
      </c>
      <c r="S2173" s="16" t="e">
        <f>VLOOKUP(A2173,[4]Sales!$E:$G,3,FALSE)</f>
        <v>#N/A</v>
      </c>
      <c r="T2173" s="19" t="e">
        <f>VLOOKUP(A2173,[4]Volume!$E:$G,3,FALSE)</f>
        <v>#N/A</v>
      </c>
      <c r="U2173" s="19" t="e">
        <f>VLOOKUP(A2173,[4]Piece!$E:$G,3,FALSE)</f>
        <v>#N/A</v>
      </c>
      <c r="V2173" s="21" t="e">
        <f t="shared" si="134"/>
        <v>#N/A</v>
      </c>
      <c r="W2173" s="16" t="e">
        <f t="shared" si="135"/>
        <v>#N/A</v>
      </c>
    </row>
    <row r="2174" spans="1:23" hidden="1" x14ac:dyDescent="0.3">
      <c r="A2174" s="71" t="s">
        <v>4284</v>
      </c>
      <c r="B2174" s="71" t="s">
        <v>4284</v>
      </c>
      <c r="C2174" s="51" t="s">
        <v>33</v>
      </c>
      <c r="D2174" s="48" t="s">
        <v>34</v>
      </c>
      <c r="E2174" s="18" t="s">
        <v>4285</v>
      </c>
      <c r="F2174" s="24" t="str">
        <f t="shared" si="132"/>
        <v>PPG - S ECOFLEET 530 BLUE         100000EU2200</v>
      </c>
      <c r="G2174" s="20" t="s">
        <v>7044</v>
      </c>
      <c r="H2174" s="49" t="s">
        <v>213</v>
      </c>
      <c r="I2174" s="18" t="s">
        <v>37</v>
      </c>
      <c r="J2174" s="18" t="s">
        <v>38</v>
      </c>
      <c r="K2174" t="s">
        <v>39</v>
      </c>
      <c r="L2174" s="50">
        <f>VLOOKUP(A2174,'[3]Price info'!A:D,4,FALSE)</f>
        <v>928.37</v>
      </c>
      <c r="M2174" s="18" t="s">
        <v>214</v>
      </c>
      <c r="N2174" s="20">
        <v>3105</v>
      </c>
      <c r="P2174" s="16">
        <f>VLOOKUP(A2174,'[3]Price info'!A:H,8,FALSE)</f>
        <v>928.37</v>
      </c>
      <c r="Q2174" s="17">
        <f t="shared" si="133"/>
        <v>1</v>
      </c>
      <c r="S2174" s="16" t="e">
        <f>VLOOKUP(A2174,[4]Sales!$E:$G,3,FALSE)</f>
        <v>#N/A</v>
      </c>
      <c r="T2174" s="19" t="e">
        <f>VLOOKUP(A2174,[4]Volume!$E:$G,3,FALSE)</f>
        <v>#N/A</v>
      </c>
      <c r="U2174" s="19" t="e">
        <f>VLOOKUP(A2174,[4]Piece!$E:$G,3,FALSE)</f>
        <v>#N/A</v>
      </c>
      <c r="V2174" s="21" t="e">
        <f t="shared" si="134"/>
        <v>#N/A</v>
      </c>
      <c r="W2174" s="16" t="e">
        <f t="shared" si="135"/>
        <v>#N/A</v>
      </c>
    </row>
    <row r="2175" spans="1:23" hidden="1" x14ac:dyDescent="0.3">
      <c r="A2175" s="71" t="s">
        <v>4286</v>
      </c>
      <c r="B2175" s="71" t="s">
        <v>4286</v>
      </c>
      <c r="C2175" s="47" t="s">
        <v>33</v>
      </c>
      <c r="D2175" s="48" t="s">
        <v>34</v>
      </c>
      <c r="E2175" s="18" t="s">
        <v>4287</v>
      </c>
      <c r="F2175" s="24" t="str">
        <f t="shared" si="132"/>
        <v>PPG - S ECOFLEET 530 BROWN        200000EU2200</v>
      </c>
      <c r="G2175" s="20" t="s">
        <v>7045</v>
      </c>
      <c r="H2175" s="49" t="s">
        <v>213</v>
      </c>
      <c r="I2175" s="18" t="s">
        <v>37</v>
      </c>
      <c r="J2175" s="18" t="s">
        <v>38</v>
      </c>
      <c r="K2175" t="s">
        <v>39</v>
      </c>
      <c r="L2175" s="50">
        <f>VLOOKUP(A2175,'[3]Price info'!A:D,4,FALSE)</f>
        <v>928.37</v>
      </c>
      <c r="M2175" s="18" t="s">
        <v>214</v>
      </c>
      <c r="N2175" s="20">
        <v>3105</v>
      </c>
      <c r="P2175" s="16">
        <f>VLOOKUP(A2175,'[3]Price info'!A:H,8,FALSE)</f>
        <v>928.37</v>
      </c>
      <c r="Q2175" s="17">
        <f t="shared" si="133"/>
        <v>1</v>
      </c>
      <c r="S2175" s="16" t="e">
        <f>VLOOKUP(A2175,[4]Sales!$E:$G,3,FALSE)</f>
        <v>#N/A</v>
      </c>
      <c r="T2175" s="19" t="e">
        <f>VLOOKUP(A2175,[4]Volume!$E:$G,3,FALSE)</f>
        <v>#N/A</v>
      </c>
      <c r="U2175" s="19" t="e">
        <f>VLOOKUP(A2175,[4]Piece!$E:$G,3,FALSE)</f>
        <v>#N/A</v>
      </c>
      <c r="V2175" s="21" t="e">
        <f t="shared" si="134"/>
        <v>#N/A</v>
      </c>
      <c r="W2175" s="16" t="e">
        <f t="shared" si="135"/>
        <v>#N/A</v>
      </c>
    </row>
    <row r="2176" spans="1:23" hidden="1" x14ac:dyDescent="0.3">
      <c r="A2176" s="71" t="s">
        <v>4288</v>
      </c>
      <c r="B2176" s="71" t="s">
        <v>4288</v>
      </c>
      <c r="C2176" s="47" t="s">
        <v>33</v>
      </c>
      <c r="D2176" s="48" t="s">
        <v>34</v>
      </c>
      <c r="E2176" s="18" t="s">
        <v>4289</v>
      </c>
      <c r="F2176" s="24" t="str">
        <f t="shared" si="132"/>
        <v>PPG - S ECOFLEET 530 REDBROWN     200800EU1500</v>
      </c>
      <c r="G2176" s="20" t="s">
        <v>7046</v>
      </c>
      <c r="H2176" s="49" t="s">
        <v>213</v>
      </c>
      <c r="I2176" s="18" t="s">
        <v>37</v>
      </c>
      <c r="J2176" s="18" t="s">
        <v>38</v>
      </c>
      <c r="K2176" t="s">
        <v>39</v>
      </c>
      <c r="L2176" s="50">
        <f>VLOOKUP(A2176,'[3]Price info'!A:D,4,FALSE)</f>
        <v>232.1</v>
      </c>
      <c r="M2176" s="18" t="s">
        <v>214</v>
      </c>
      <c r="N2176" s="20">
        <v>3105</v>
      </c>
      <c r="P2176" s="16">
        <f>VLOOKUP(A2176,'[3]Price info'!A:H,8,FALSE)</f>
        <v>232.1</v>
      </c>
      <c r="Q2176" s="17">
        <f t="shared" si="133"/>
        <v>1</v>
      </c>
      <c r="S2176" s="16" t="e">
        <f>VLOOKUP(A2176,[4]Sales!$E:$G,3,FALSE)</f>
        <v>#N/A</v>
      </c>
      <c r="T2176" s="19" t="e">
        <f>VLOOKUP(A2176,[4]Volume!$E:$G,3,FALSE)</f>
        <v>#N/A</v>
      </c>
      <c r="U2176" s="19" t="e">
        <f>VLOOKUP(A2176,[4]Piece!$E:$G,3,FALSE)</f>
        <v>#N/A</v>
      </c>
      <c r="V2176" s="21" t="e">
        <f t="shared" si="134"/>
        <v>#N/A</v>
      </c>
      <c r="W2176" s="16" t="e">
        <f t="shared" si="135"/>
        <v>#N/A</v>
      </c>
    </row>
    <row r="2177" spans="1:23" hidden="1" x14ac:dyDescent="0.3">
      <c r="A2177" s="71" t="s">
        <v>4290</v>
      </c>
      <c r="B2177" s="71" t="s">
        <v>4290</v>
      </c>
      <c r="C2177" s="51" t="s">
        <v>33</v>
      </c>
      <c r="D2177" s="48" t="s">
        <v>34</v>
      </c>
      <c r="E2177" s="18" t="s">
        <v>4291</v>
      </c>
      <c r="F2177" s="24" t="str">
        <f t="shared" si="132"/>
        <v>PPG - S ECOFLEET 530 REDBROWN     200800EU2200</v>
      </c>
      <c r="G2177" s="20" t="s">
        <v>7047</v>
      </c>
      <c r="H2177" s="49" t="s">
        <v>213</v>
      </c>
      <c r="I2177" s="18" t="s">
        <v>37</v>
      </c>
      <c r="J2177" s="18" t="s">
        <v>38</v>
      </c>
      <c r="K2177" t="s">
        <v>39</v>
      </c>
      <c r="L2177" s="50">
        <f>VLOOKUP(A2177,'[3]Price info'!A:D,4,FALSE)</f>
        <v>928.37</v>
      </c>
      <c r="M2177" s="18" t="s">
        <v>214</v>
      </c>
      <c r="N2177" s="20">
        <v>3105</v>
      </c>
      <c r="P2177" s="16">
        <f>VLOOKUP(A2177,'[3]Price info'!A:H,8,FALSE)</f>
        <v>928.37</v>
      </c>
      <c r="Q2177" s="17">
        <f t="shared" si="133"/>
        <v>1</v>
      </c>
      <c r="S2177" s="16" t="e">
        <f>VLOOKUP(A2177,[4]Sales!$E:$G,3,FALSE)</f>
        <v>#N/A</v>
      </c>
      <c r="T2177" s="19" t="e">
        <f>VLOOKUP(A2177,[4]Volume!$E:$G,3,FALSE)</f>
        <v>#N/A</v>
      </c>
      <c r="U2177" s="19" t="e">
        <f>VLOOKUP(A2177,[4]Piece!$E:$G,3,FALSE)</f>
        <v>#N/A</v>
      </c>
      <c r="V2177" s="21" t="e">
        <f t="shared" si="134"/>
        <v>#N/A</v>
      </c>
      <c r="W2177" s="16" t="e">
        <f t="shared" si="135"/>
        <v>#N/A</v>
      </c>
    </row>
    <row r="2178" spans="1:23" hidden="1" x14ac:dyDescent="0.3">
      <c r="A2178" s="71" t="s">
        <v>4292</v>
      </c>
      <c r="B2178" s="71" t="s">
        <v>4292</v>
      </c>
      <c r="C2178" s="47" t="s">
        <v>33</v>
      </c>
      <c r="D2178" s="48" t="s">
        <v>34</v>
      </c>
      <c r="E2178" s="18" t="s">
        <v>4293</v>
      </c>
      <c r="F2178" s="24" t="str">
        <f t="shared" si="132"/>
        <v>PPG - S ECOFLEET530 SPRUCE GREEN 16D4530EU2200</v>
      </c>
      <c r="G2178" s="20" t="s">
        <v>7048</v>
      </c>
      <c r="H2178" s="49" t="s">
        <v>213</v>
      </c>
      <c r="I2178" s="18" t="s">
        <v>37</v>
      </c>
      <c r="J2178" s="18" t="s">
        <v>38</v>
      </c>
      <c r="K2178" t="s">
        <v>39</v>
      </c>
      <c r="L2178" s="50">
        <f>VLOOKUP(A2178,'[3]Price info'!A:D,4,FALSE)</f>
        <v>928.37</v>
      </c>
      <c r="M2178" s="18" t="s">
        <v>214</v>
      </c>
      <c r="N2178" s="20">
        <v>3105</v>
      </c>
      <c r="P2178" s="16">
        <f>VLOOKUP(A2178,'[3]Price info'!A:H,8,FALSE)</f>
        <v>928.37</v>
      </c>
      <c r="Q2178" s="17">
        <f t="shared" si="133"/>
        <v>1</v>
      </c>
      <c r="S2178" s="16" t="e">
        <f>VLOOKUP(A2178,[4]Sales!$E:$G,3,FALSE)</f>
        <v>#N/A</v>
      </c>
      <c r="T2178" s="19" t="e">
        <f>VLOOKUP(A2178,[4]Volume!$E:$G,3,FALSE)</f>
        <v>#N/A</v>
      </c>
      <c r="U2178" s="19" t="e">
        <f>VLOOKUP(A2178,[4]Piece!$E:$G,3,FALSE)</f>
        <v>#N/A</v>
      </c>
      <c r="V2178" s="21" t="e">
        <f t="shared" si="134"/>
        <v>#N/A</v>
      </c>
      <c r="W2178" s="16" t="e">
        <f t="shared" si="135"/>
        <v>#N/A</v>
      </c>
    </row>
    <row r="2179" spans="1:23" hidden="1" x14ac:dyDescent="0.3">
      <c r="A2179" s="71" t="s">
        <v>4294</v>
      </c>
      <c r="B2179" s="71" t="s">
        <v>4294</v>
      </c>
      <c r="C2179" s="47" t="s">
        <v>33</v>
      </c>
      <c r="D2179" s="48" t="s">
        <v>34</v>
      </c>
      <c r="E2179" s="18" t="s">
        <v>4295</v>
      </c>
      <c r="F2179" s="24" t="str">
        <f t="shared" ref="F2179:F2242" si="136">D2179&amp;" - "&amp;E2179</f>
        <v>PPG - S EP 110 PRI SET BS          08C35302200</v>
      </c>
      <c r="G2179" s="20" t="s">
        <v>7049</v>
      </c>
      <c r="H2179" s="49" t="s">
        <v>213</v>
      </c>
      <c r="I2179" s="18" t="s">
        <v>37</v>
      </c>
      <c r="J2179" s="18" t="s">
        <v>38</v>
      </c>
      <c r="K2179" t="s">
        <v>39</v>
      </c>
      <c r="L2179" s="50">
        <f>VLOOKUP(A2179,'[3]Price info'!A:D,4,FALSE)</f>
        <v>418.76</v>
      </c>
      <c r="M2179" s="18" t="s">
        <v>214</v>
      </c>
      <c r="N2179" s="20">
        <v>3105</v>
      </c>
      <c r="P2179" s="16">
        <f>VLOOKUP(A2179,'[3]Price info'!A:H,8,FALSE)</f>
        <v>418.76</v>
      </c>
      <c r="Q2179" s="17">
        <f t="shared" ref="Q2179:Q2242" si="137">P2179/L2179</f>
        <v>1</v>
      </c>
      <c r="S2179" s="16" t="e">
        <f>VLOOKUP(A2179,[4]Sales!$E:$G,3,FALSE)</f>
        <v>#N/A</v>
      </c>
      <c r="T2179" s="19" t="e">
        <f>VLOOKUP(A2179,[4]Volume!$E:$G,3,FALSE)</f>
        <v>#N/A</v>
      </c>
      <c r="U2179" s="19" t="e">
        <f>VLOOKUP(A2179,[4]Piece!$E:$G,3,FALSE)</f>
        <v>#N/A</v>
      </c>
      <c r="V2179" s="21" t="e">
        <f t="shared" ref="V2179:V2242" si="138">U2179*P2179</f>
        <v>#N/A</v>
      </c>
      <c r="W2179" s="16" t="e">
        <f t="shared" ref="W2179:W2242" si="139">V2179-S2179</f>
        <v>#N/A</v>
      </c>
    </row>
    <row r="2180" spans="1:23" hidden="1" x14ac:dyDescent="0.3">
      <c r="A2180" s="71" t="s">
        <v>4296</v>
      </c>
      <c r="B2180" s="71" t="s">
        <v>4296</v>
      </c>
      <c r="C2180" s="51" t="s">
        <v>33</v>
      </c>
      <c r="D2180" s="48" t="s">
        <v>34</v>
      </c>
      <c r="E2180" s="18" t="s">
        <v>4297</v>
      </c>
      <c r="F2180" s="24" t="str">
        <f t="shared" si="136"/>
        <v>PPG - S EP 111 PRI SET              3005002200</v>
      </c>
      <c r="G2180" s="20" t="s">
        <v>7050</v>
      </c>
      <c r="H2180" s="49" t="s">
        <v>213</v>
      </c>
      <c r="I2180" s="18" t="s">
        <v>37</v>
      </c>
      <c r="J2180" s="18" t="s">
        <v>38</v>
      </c>
      <c r="K2180" t="s">
        <v>39</v>
      </c>
      <c r="L2180" s="50">
        <f>VLOOKUP(A2180,'[3]Price info'!A:D,4,FALSE)</f>
        <v>461.19</v>
      </c>
      <c r="M2180" s="18" t="s">
        <v>214</v>
      </c>
      <c r="N2180" s="20">
        <v>3105</v>
      </c>
      <c r="P2180" s="16">
        <f>VLOOKUP(A2180,'[3]Price info'!A:H,8,FALSE)</f>
        <v>461.19</v>
      </c>
      <c r="Q2180" s="17">
        <f t="shared" si="137"/>
        <v>1</v>
      </c>
      <c r="S2180" s="16" t="e">
        <f>VLOOKUP(A2180,[4]Sales!$E:$G,3,FALSE)</f>
        <v>#N/A</v>
      </c>
      <c r="T2180" s="19" t="e">
        <f>VLOOKUP(A2180,[4]Volume!$E:$G,3,FALSE)</f>
        <v>#N/A</v>
      </c>
      <c r="U2180" s="19" t="e">
        <f>VLOOKUP(A2180,[4]Piece!$E:$G,3,FALSE)</f>
        <v>#N/A</v>
      </c>
      <c r="V2180" s="21" t="e">
        <f t="shared" si="138"/>
        <v>#N/A</v>
      </c>
      <c r="W2180" s="16" t="e">
        <f t="shared" si="139"/>
        <v>#N/A</v>
      </c>
    </row>
    <row r="2181" spans="1:23" hidden="1" x14ac:dyDescent="0.3">
      <c r="A2181" s="71" t="s">
        <v>4298</v>
      </c>
      <c r="B2181" s="71" t="s">
        <v>4298</v>
      </c>
      <c r="C2181" s="47" t="s">
        <v>33</v>
      </c>
      <c r="D2181" s="48" t="s">
        <v>34</v>
      </c>
      <c r="E2181" s="18" t="s">
        <v>4299</v>
      </c>
      <c r="F2181" s="24" t="str">
        <f t="shared" si="136"/>
        <v>PPG - S EP 112 MIOCOAT SET          9500051400</v>
      </c>
      <c r="G2181" s="20" t="s">
        <v>7051</v>
      </c>
      <c r="H2181" s="49" t="s">
        <v>213</v>
      </c>
      <c r="I2181" s="18" t="s">
        <v>37</v>
      </c>
      <c r="J2181" s="18" t="s">
        <v>38</v>
      </c>
      <c r="K2181" t="s">
        <v>39</v>
      </c>
      <c r="L2181" s="50">
        <f>VLOOKUP(A2181,'[3]Price info'!A:D,4,FALSE)</f>
        <v>100.28</v>
      </c>
      <c r="M2181" s="18" t="s">
        <v>214</v>
      </c>
      <c r="N2181" s="20">
        <v>3105</v>
      </c>
      <c r="P2181" s="16">
        <f>VLOOKUP(A2181,'[3]Price info'!A:H,8,FALSE)</f>
        <v>100.28</v>
      </c>
      <c r="Q2181" s="17">
        <f t="shared" si="137"/>
        <v>1</v>
      </c>
      <c r="S2181" s="16" t="e">
        <f>VLOOKUP(A2181,[4]Sales!$E:$G,3,FALSE)</f>
        <v>#N/A</v>
      </c>
      <c r="T2181" s="19" t="e">
        <f>VLOOKUP(A2181,[4]Volume!$E:$G,3,FALSE)</f>
        <v>#N/A</v>
      </c>
      <c r="U2181" s="19" t="e">
        <f>VLOOKUP(A2181,[4]Piece!$E:$G,3,FALSE)</f>
        <v>#N/A</v>
      </c>
      <c r="V2181" s="21" t="e">
        <f t="shared" si="138"/>
        <v>#N/A</v>
      </c>
      <c r="W2181" s="16" t="e">
        <f t="shared" si="139"/>
        <v>#N/A</v>
      </c>
    </row>
    <row r="2182" spans="1:23" hidden="1" x14ac:dyDescent="0.3">
      <c r="A2182" s="71" t="s">
        <v>4300</v>
      </c>
      <c r="B2182" s="71" t="s">
        <v>4300</v>
      </c>
      <c r="C2182" s="47" t="s">
        <v>33</v>
      </c>
      <c r="D2182" s="48" t="s">
        <v>34</v>
      </c>
      <c r="E2182" s="18" t="s">
        <v>4301</v>
      </c>
      <c r="F2182" s="24" t="str">
        <f t="shared" si="136"/>
        <v>PPG - S EP 112 MIOCOAT SET          9500052200</v>
      </c>
      <c r="G2182" s="20" t="s">
        <v>7052</v>
      </c>
      <c r="H2182" s="49" t="s">
        <v>213</v>
      </c>
      <c r="I2182" s="18" t="s">
        <v>37</v>
      </c>
      <c r="J2182" s="18" t="s">
        <v>38</v>
      </c>
      <c r="K2182" t="s">
        <v>39</v>
      </c>
      <c r="L2182" s="50">
        <f>VLOOKUP(A2182,'[3]Price info'!A:D,4,FALSE)</f>
        <v>448.38</v>
      </c>
      <c r="M2182" s="18" t="s">
        <v>214</v>
      </c>
      <c r="N2182" s="20">
        <v>3105</v>
      </c>
      <c r="P2182" s="16">
        <f>VLOOKUP(A2182,'[3]Price info'!A:H,8,FALSE)</f>
        <v>448.38</v>
      </c>
      <c r="Q2182" s="17">
        <f t="shared" si="137"/>
        <v>1</v>
      </c>
      <c r="S2182" s="16" t="e">
        <f>VLOOKUP(A2182,[4]Sales!$E:$G,3,FALSE)</f>
        <v>#N/A</v>
      </c>
      <c r="T2182" s="19" t="e">
        <f>VLOOKUP(A2182,[4]Volume!$E:$G,3,FALSE)</f>
        <v>#N/A</v>
      </c>
      <c r="U2182" s="19" t="e">
        <f>VLOOKUP(A2182,[4]Piece!$E:$G,3,FALSE)</f>
        <v>#N/A</v>
      </c>
      <c r="V2182" s="21" t="e">
        <f t="shared" si="138"/>
        <v>#N/A</v>
      </c>
      <c r="W2182" s="16" t="e">
        <f t="shared" si="139"/>
        <v>#N/A</v>
      </c>
    </row>
    <row r="2183" spans="1:23" hidden="1" x14ac:dyDescent="0.3">
      <c r="A2183" s="71" t="s">
        <v>4302</v>
      </c>
      <c r="B2183" s="71" t="s">
        <v>4302</v>
      </c>
      <c r="C2183" s="51" t="s">
        <v>33</v>
      </c>
      <c r="D2183" s="48" t="s">
        <v>34</v>
      </c>
      <c r="E2183" s="18" t="s">
        <v>4303</v>
      </c>
      <c r="F2183" s="24" t="str">
        <f t="shared" si="136"/>
        <v>PPG - S EP 112 MIOCOAT SET DARKGREY 9501051400</v>
      </c>
      <c r="G2183" s="20" t="s">
        <v>7053</v>
      </c>
      <c r="H2183" s="49" t="s">
        <v>213</v>
      </c>
      <c r="I2183" s="18" t="s">
        <v>37</v>
      </c>
      <c r="J2183" s="18" t="s">
        <v>38</v>
      </c>
      <c r="K2183" t="s">
        <v>39</v>
      </c>
      <c r="L2183" s="50">
        <f>VLOOKUP(A2183,'[3]Price info'!A:D,4,FALSE)</f>
        <v>100.28</v>
      </c>
      <c r="M2183" s="18" t="s">
        <v>214</v>
      </c>
      <c r="N2183" s="20">
        <v>3105</v>
      </c>
      <c r="P2183" s="16">
        <f>VLOOKUP(A2183,'[3]Price info'!A:H,8,FALSE)</f>
        <v>100.28</v>
      </c>
      <c r="Q2183" s="17">
        <f t="shared" si="137"/>
        <v>1</v>
      </c>
      <c r="S2183" s="16" t="e">
        <f>VLOOKUP(A2183,[4]Sales!$E:$G,3,FALSE)</f>
        <v>#N/A</v>
      </c>
      <c r="T2183" s="19" t="e">
        <f>VLOOKUP(A2183,[4]Volume!$E:$G,3,FALSE)</f>
        <v>#N/A</v>
      </c>
      <c r="U2183" s="19" t="e">
        <f>VLOOKUP(A2183,[4]Piece!$E:$G,3,FALSE)</f>
        <v>#N/A</v>
      </c>
      <c r="V2183" s="21" t="e">
        <f t="shared" si="138"/>
        <v>#N/A</v>
      </c>
      <c r="W2183" s="16" t="e">
        <f t="shared" si="139"/>
        <v>#N/A</v>
      </c>
    </row>
    <row r="2184" spans="1:23" hidden="1" x14ac:dyDescent="0.3">
      <c r="A2184" s="71" t="s">
        <v>4304</v>
      </c>
      <c r="B2184" s="71" t="s">
        <v>4304</v>
      </c>
      <c r="C2184" s="47" t="s">
        <v>33</v>
      </c>
      <c r="D2184" s="48" t="s">
        <v>34</v>
      </c>
      <c r="E2184" s="18" t="s">
        <v>4305</v>
      </c>
      <c r="F2184" s="24" t="str">
        <f t="shared" si="136"/>
        <v>PPG - S EP 112 MIOCOAT SET DARKGREY 9501052200</v>
      </c>
      <c r="G2184" s="20" t="s">
        <v>7054</v>
      </c>
      <c r="H2184" s="49" t="s">
        <v>213</v>
      </c>
      <c r="I2184" s="18" t="s">
        <v>37</v>
      </c>
      <c r="J2184" s="18" t="s">
        <v>38</v>
      </c>
      <c r="K2184" t="s">
        <v>39</v>
      </c>
      <c r="L2184" s="50">
        <f>VLOOKUP(A2184,'[3]Price info'!A:D,4,FALSE)</f>
        <v>448.38</v>
      </c>
      <c r="M2184" s="18" t="s">
        <v>214</v>
      </c>
      <c r="N2184" s="20">
        <v>3105</v>
      </c>
      <c r="P2184" s="16">
        <f>VLOOKUP(A2184,'[3]Price info'!A:H,8,FALSE)</f>
        <v>448.38</v>
      </c>
      <c r="Q2184" s="17">
        <f t="shared" si="137"/>
        <v>1</v>
      </c>
      <c r="S2184" s="16" t="e">
        <f>VLOOKUP(A2184,[4]Sales!$E:$G,3,FALSE)</f>
        <v>#N/A</v>
      </c>
      <c r="T2184" s="19" t="e">
        <f>VLOOKUP(A2184,[4]Volume!$E:$G,3,FALSE)</f>
        <v>#N/A</v>
      </c>
      <c r="U2184" s="19" t="e">
        <f>VLOOKUP(A2184,[4]Piece!$E:$G,3,FALSE)</f>
        <v>#N/A</v>
      </c>
      <c r="V2184" s="21" t="e">
        <f t="shared" si="138"/>
        <v>#N/A</v>
      </c>
      <c r="W2184" s="16" t="e">
        <f t="shared" si="139"/>
        <v>#N/A</v>
      </c>
    </row>
    <row r="2185" spans="1:23" hidden="1" x14ac:dyDescent="0.3">
      <c r="A2185" s="71" t="s">
        <v>4306</v>
      </c>
      <c r="B2185" s="71" t="s">
        <v>4306</v>
      </c>
      <c r="C2185" s="47" t="s">
        <v>33</v>
      </c>
      <c r="D2185" s="48" t="s">
        <v>34</v>
      </c>
      <c r="E2185" s="18" t="s">
        <v>4307</v>
      </c>
      <c r="F2185" s="24" t="str">
        <f t="shared" si="136"/>
        <v>PPG - S EP 159 SEALER SET           0000001400</v>
      </c>
      <c r="G2185" s="20" t="s">
        <v>7055</v>
      </c>
      <c r="H2185" s="49" t="s">
        <v>213</v>
      </c>
      <c r="I2185" s="18" t="s">
        <v>37</v>
      </c>
      <c r="J2185" s="18" t="s">
        <v>38</v>
      </c>
      <c r="K2185" t="s">
        <v>39</v>
      </c>
      <c r="L2185" s="50">
        <f>VLOOKUP(A2185,'[3]Price info'!A:D,4,FALSE)</f>
        <v>96</v>
      </c>
      <c r="M2185" s="18" t="s">
        <v>214</v>
      </c>
      <c r="N2185" s="20">
        <v>3105</v>
      </c>
      <c r="P2185" s="16">
        <f>VLOOKUP(A2185,'[3]Price info'!A:H,8,FALSE)</f>
        <v>96</v>
      </c>
      <c r="Q2185" s="17">
        <f t="shared" si="137"/>
        <v>1</v>
      </c>
      <c r="S2185" s="16" t="e">
        <f>VLOOKUP(A2185,[4]Sales!$E:$G,3,FALSE)</f>
        <v>#N/A</v>
      </c>
      <c r="T2185" s="19" t="e">
        <f>VLOOKUP(A2185,[4]Volume!$E:$G,3,FALSE)</f>
        <v>#N/A</v>
      </c>
      <c r="U2185" s="19" t="e">
        <f>VLOOKUP(A2185,[4]Piece!$E:$G,3,FALSE)</f>
        <v>#N/A</v>
      </c>
      <c r="V2185" s="21" t="e">
        <f t="shared" si="138"/>
        <v>#N/A</v>
      </c>
      <c r="W2185" s="16" t="e">
        <f t="shared" si="139"/>
        <v>#N/A</v>
      </c>
    </row>
    <row r="2186" spans="1:23" hidden="1" x14ac:dyDescent="0.3">
      <c r="A2186" s="71" t="s">
        <v>4308</v>
      </c>
      <c r="B2186" s="71" t="s">
        <v>4308</v>
      </c>
      <c r="C2186" s="51" t="s">
        <v>33</v>
      </c>
      <c r="D2186" s="48" t="s">
        <v>34</v>
      </c>
      <c r="E2186" s="18" t="s">
        <v>4309</v>
      </c>
      <c r="F2186" s="24" t="str">
        <f t="shared" si="136"/>
        <v>PPG - S ETCH                      000000EU1500</v>
      </c>
      <c r="G2186" s="20" t="s">
        <v>7056</v>
      </c>
      <c r="H2186" s="49" t="s">
        <v>213</v>
      </c>
      <c r="I2186" s="18" t="s">
        <v>37</v>
      </c>
      <c r="J2186" s="18" t="s">
        <v>38</v>
      </c>
      <c r="K2186" t="s">
        <v>39</v>
      </c>
      <c r="L2186" s="50">
        <f>VLOOKUP(A2186,'[3]Price info'!A:D,4,FALSE)</f>
        <v>25.12</v>
      </c>
      <c r="M2186" s="18" t="s">
        <v>214</v>
      </c>
      <c r="N2186" s="20">
        <v>3105</v>
      </c>
      <c r="P2186" s="16">
        <f>VLOOKUP(A2186,'[3]Price info'!A:H,8,FALSE)</f>
        <v>25.12</v>
      </c>
      <c r="Q2186" s="17">
        <f t="shared" si="137"/>
        <v>1</v>
      </c>
      <c r="S2186" s="16" t="e">
        <f>VLOOKUP(A2186,[4]Sales!$E:$G,3,FALSE)</f>
        <v>#N/A</v>
      </c>
      <c r="T2186" s="19" t="e">
        <f>VLOOKUP(A2186,[4]Volume!$E:$G,3,FALSE)</f>
        <v>#N/A</v>
      </c>
      <c r="U2186" s="19" t="e">
        <f>VLOOKUP(A2186,[4]Piece!$E:$G,3,FALSE)</f>
        <v>#N/A</v>
      </c>
      <c r="V2186" s="21" t="e">
        <f t="shared" si="138"/>
        <v>#N/A</v>
      </c>
      <c r="W2186" s="16" t="e">
        <f t="shared" si="139"/>
        <v>#N/A</v>
      </c>
    </row>
    <row r="2187" spans="1:23" hidden="1" x14ac:dyDescent="0.3">
      <c r="A2187" s="71" t="s">
        <v>4310</v>
      </c>
      <c r="B2187" s="71" t="s">
        <v>4310</v>
      </c>
      <c r="C2187" s="47" t="s">
        <v>33</v>
      </c>
      <c r="D2187" s="48" t="s">
        <v>34</v>
      </c>
      <c r="E2187" s="18" t="s">
        <v>4311</v>
      </c>
      <c r="F2187" s="24" t="str">
        <f t="shared" si="136"/>
        <v>PPG - S RAPID DRY FLOOR PAINT GREY 9-096001500</v>
      </c>
      <c r="G2187" s="20" t="s">
        <v>7057</v>
      </c>
      <c r="H2187" s="49" t="s">
        <v>213</v>
      </c>
      <c r="I2187" s="18" t="s">
        <v>37</v>
      </c>
      <c r="J2187" s="18" t="s">
        <v>38</v>
      </c>
      <c r="K2187" t="s">
        <v>39</v>
      </c>
      <c r="L2187" s="50">
        <f>VLOOKUP(A2187,'[3]Price info'!A:D,4,FALSE)</f>
        <v>77.77</v>
      </c>
      <c r="M2187" s="18" t="s">
        <v>214</v>
      </c>
      <c r="N2187" s="20">
        <v>3105</v>
      </c>
      <c r="P2187" s="16">
        <f>VLOOKUP(A2187,'[3]Price info'!A:H,8,FALSE)</f>
        <v>77.77</v>
      </c>
      <c r="Q2187" s="17">
        <f t="shared" si="137"/>
        <v>1</v>
      </c>
      <c r="S2187" s="16" t="e">
        <f>VLOOKUP(A2187,[4]Sales!$E:$G,3,FALSE)</f>
        <v>#N/A</v>
      </c>
      <c r="T2187" s="19" t="e">
        <f>VLOOKUP(A2187,[4]Volume!$E:$G,3,FALSE)</f>
        <v>#N/A</v>
      </c>
      <c r="U2187" s="19" t="e">
        <f>VLOOKUP(A2187,[4]Piece!$E:$G,3,FALSE)</f>
        <v>#N/A</v>
      </c>
      <c r="V2187" s="21" t="e">
        <f t="shared" si="138"/>
        <v>#N/A</v>
      </c>
      <c r="W2187" s="16" t="e">
        <f t="shared" si="139"/>
        <v>#N/A</v>
      </c>
    </row>
    <row r="2188" spans="1:23" hidden="1" x14ac:dyDescent="0.3">
      <c r="A2188" s="71" t="s">
        <v>4312</v>
      </c>
      <c r="B2188" s="71" t="s">
        <v>4312</v>
      </c>
      <c r="C2188" s="47" t="s">
        <v>33</v>
      </c>
      <c r="D2188" s="48" t="s">
        <v>34</v>
      </c>
      <c r="E2188" s="18" t="s">
        <v>4313</v>
      </c>
      <c r="F2188" s="24" t="str">
        <f t="shared" si="136"/>
        <v>PPG - S RAPID DRY FLOOR PAINT RED  1-024001500</v>
      </c>
      <c r="G2188" s="20" t="s">
        <v>7058</v>
      </c>
      <c r="H2188" s="49" t="s">
        <v>213</v>
      </c>
      <c r="I2188" s="18" t="s">
        <v>37</v>
      </c>
      <c r="J2188" s="18" t="s">
        <v>38</v>
      </c>
      <c r="K2188" t="s">
        <v>39</v>
      </c>
      <c r="L2188" s="50">
        <f>VLOOKUP(A2188,'[3]Price info'!A:D,4,FALSE)</f>
        <v>77.77</v>
      </c>
      <c r="M2188" s="18" t="s">
        <v>214</v>
      </c>
      <c r="N2188" s="20">
        <v>3105</v>
      </c>
      <c r="P2188" s="16">
        <f>VLOOKUP(A2188,'[3]Price info'!A:H,8,FALSE)</f>
        <v>77.77</v>
      </c>
      <c r="Q2188" s="17">
        <f t="shared" si="137"/>
        <v>1</v>
      </c>
      <c r="S2188" s="16" t="e">
        <f>VLOOKUP(A2188,[4]Sales!$E:$G,3,FALSE)</f>
        <v>#N/A</v>
      </c>
      <c r="T2188" s="19" t="e">
        <f>VLOOKUP(A2188,[4]Volume!$E:$G,3,FALSE)</f>
        <v>#N/A</v>
      </c>
      <c r="U2188" s="19" t="e">
        <f>VLOOKUP(A2188,[4]Piece!$E:$G,3,FALSE)</f>
        <v>#N/A</v>
      </c>
      <c r="V2188" s="21" t="e">
        <f t="shared" si="138"/>
        <v>#N/A</v>
      </c>
      <c r="W2188" s="16" t="e">
        <f t="shared" si="139"/>
        <v>#N/A</v>
      </c>
    </row>
    <row r="2189" spans="1:23" hidden="1" x14ac:dyDescent="0.3">
      <c r="A2189" s="71" t="s">
        <v>4314</v>
      </c>
      <c r="B2189" s="71" t="s">
        <v>4314</v>
      </c>
      <c r="C2189" s="51" t="s">
        <v>33</v>
      </c>
      <c r="D2189" s="48" t="s">
        <v>34</v>
      </c>
      <c r="E2189" s="18" t="s">
        <v>4315</v>
      </c>
      <c r="F2189" s="24" t="str">
        <f t="shared" si="136"/>
        <v>PPG - S'COVER 2 SET BLACK           8000001400</v>
      </c>
      <c r="G2189" s="20" t="s">
        <v>7059</v>
      </c>
      <c r="H2189" s="49" t="s">
        <v>213</v>
      </c>
      <c r="I2189" s="18" t="s">
        <v>37</v>
      </c>
      <c r="J2189" s="18" t="s">
        <v>38</v>
      </c>
      <c r="K2189" t="s">
        <v>39</v>
      </c>
      <c r="L2189" s="50">
        <f>VLOOKUP(A2189,'[3]Price info'!A:D,4,FALSE)</f>
        <v>166.31</v>
      </c>
      <c r="M2189" s="18" t="s">
        <v>214</v>
      </c>
      <c r="N2189" s="20">
        <v>3105</v>
      </c>
      <c r="P2189" s="16">
        <f>VLOOKUP(A2189,'[3]Price info'!A:H,8,FALSE)</f>
        <v>166.31</v>
      </c>
      <c r="Q2189" s="17">
        <f t="shared" si="137"/>
        <v>1</v>
      </c>
      <c r="S2189" s="16" t="e">
        <f>VLOOKUP(A2189,[4]Sales!$E:$G,3,FALSE)</f>
        <v>#N/A</v>
      </c>
      <c r="T2189" s="19" t="e">
        <f>VLOOKUP(A2189,[4]Volume!$E:$G,3,FALSE)</f>
        <v>#N/A</v>
      </c>
      <c r="U2189" s="19" t="e">
        <f>VLOOKUP(A2189,[4]Piece!$E:$G,3,FALSE)</f>
        <v>#N/A</v>
      </c>
      <c r="V2189" s="21" t="e">
        <f t="shared" si="138"/>
        <v>#N/A</v>
      </c>
      <c r="W2189" s="16" t="e">
        <f t="shared" si="139"/>
        <v>#N/A</v>
      </c>
    </row>
    <row r="2190" spans="1:23" hidden="1" x14ac:dyDescent="0.3">
      <c r="A2190" s="71" t="s">
        <v>4316</v>
      </c>
      <c r="B2190" s="71" t="s">
        <v>4316</v>
      </c>
      <c r="C2190" s="47" t="s">
        <v>33</v>
      </c>
      <c r="D2190" s="48" t="s">
        <v>34</v>
      </c>
      <c r="E2190" s="18" t="s">
        <v>4317</v>
      </c>
      <c r="F2190" s="24" t="str">
        <f t="shared" si="136"/>
        <v>PPG - S'COVER 2 SET BLACK           8000002200</v>
      </c>
      <c r="G2190" s="20" t="s">
        <v>7060</v>
      </c>
      <c r="H2190" s="49" t="s">
        <v>213</v>
      </c>
      <c r="I2190" s="18" t="s">
        <v>37</v>
      </c>
      <c r="J2190" s="18" t="s">
        <v>38</v>
      </c>
      <c r="K2190" t="s">
        <v>39</v>
      </c>
      <c r="L2190" s="50">
        <f>VLOOKUP(A2190,'[3]Price info'!A:D,4,FALSE)</f>
        <v>589.95000000000005</v>
      </c>
      <c r="M2190" s="18" t="s">
        <v>214</v>
      </c>
      <c r="N2190" s="20">
        <v>3105</v>
      </c>
      <c r="P2190" s="16">
        <f>VLOOKUP(A2190,'[3]Price info'!A:H,8,FALSE)</f>
        <v>589.95000000000005</v>
      </c>
      <c r="Q2190" s="17">
        <f t="shared" si="137"/>
        <v>1</v>
      </c>
      <c r="S2190" s="16" t="e">
        <f>VLOOKUP(A2190,[4]Sales!$E:$G,3,FALSE)</f>
        <v>#N/A</v>
      </c>
      <c r="T2190" s="19" t="e">
        <f>VLOOKUP(A2190,[4]Volume!$E:$G,3,FALSE)</f>
        <v>#N/A</v>
      </c>
      <c r="U2190" s="19" t="e">
        <f>VLOOKUP(A2190,[4]Piece!$E:$G,3,FALSE)</f>
        <v>#N/A</v>
      </c>
      <c r="V2190" s="21" t="e">
        <f t="shared" si="138"/>
        <v>#N/A</v>
      </c>
      <c r="W2190" s="16" t="e">
        <f t="shared" si="139"/>
        <v>#N/A</v>
      </c>
    </row>
    <row r="2191" spans="1:23" hidden="1" x14ac:dyDescent="0.3">
      <c r="A2191" s="71" t="s">
        <v>4318</v>
      </c>
      <c r="B2191" s="71" t="s">
        <v>4318</v>
      </c>
      <c r="C2191" s="47" t="s">
        <v>33</v>
      </c>
      <c r="D2191" s="48" t="s">
        <v>34</v>
      </c>
      <c r="E2191" s="18" t="s">
        <v>4319</v>
      </c>
      <c r="F2191" s="24" t="str">
        <f t="shared" si="136"/>
        <v>PPG - S'COVER 2 SET BS 00A05       00A05301400</v>
      </c>
      <c r="G2191" s="20" t="s">
        <v>7061</v>
      </c>
      <c r="H2191" s="49" t="s">
        <v>213</v>
      </c>
      <c r="I2191" s="18" t="s">
        <v>37</v>
      </c>
      <c r="J2191" s="18" t="s">
        <v>38</v>
      </c>
      <c r="K2191" t="s">
        <v>39</v>
      </c>
      <c r="L2191" s="50">
        <f>VLOOKUP(A2191,'[3]Price info'!A:D,4,FALSE)</f>
        <v>131.66</v>
      </c>
      <c r="M2191" s="18" t="s">
        <v>214</v>
      </c>
      <c r="N2191" s="20">
        <v>3105</v>
      </c>
      <c r="P2191" s="16">
        <f>VLOOKUP(A2191,'[3]Price info'!A:H,8,FALSE)</f>
        <v>131.66</v>
      </c>
      <c r="Q2191" s="17">
        <f t="shared" si="137"/>
        <v>1</v>
      </c>
      <c r="S2191" s="16" t="e">
        <f>VLOOKUP(A2191,[4]Sales!$E:$G,3,FALSE)</f>
        <v>#N/A</v>
      </c>
      <c r="T2191" s="19" t="e">
        <f>VLOOKUP(A2191,[4]Volume!$E:$G,3,FALSE)</f>
        <v>#N/A</v>
      </c>
      <c r="U2191" s="19" t="e">
        <f>VLOOKUP(A2191,[4]Piece!$E:$G,3,FALSE)</f>
        <v>#N/A</v>
      </c>
      <c r="V2191" s="21" t="e">
        <f t="shared" si="138"/>
        <v>#N/A</v>
      </c>
      <c r="W2191" s="16" t="e">
        <f t="shared" si="139"/>
        <v>#N/A</v>
      </c>
    </row>
    <row r="2192" spans="1:23" hidden="1" x14ac:dyDescent="0.3">
      <c r="A2192" s="71" t="s">
        <v>4320</v>
      </c>
      <c r="B2192" s="71" t="s">
        <v>4320</v>
      </c>
      <c r="C2192" s="51" t="s">
        <v>33</v>
      </c>
      <c r="D2192" s="48" t="s">
        <v>34</v>
      </c>
      <c r="E2192" s="18" t="s">
        <v>4321</v>
      </c>
      <c r="F2192" s="24" t="str">
        <f t="shared" si="136"/>
        <v>PPG - S'COVER 2 SET BS 00A05       00A05302200</v>
      </c>
      <c r="G2192" s="20" t="s">
        <v>7062</v>
      </c>
      <c r="H2192" s="49" t="s">
        <v>213</v>
      </c>
      <c r="I2192" s="18" t="s">
        <v>37</v>
      </c>
      <c r="J2192" s="18" t="s">
        <v>38</v>
      </c>
      <c r="K2192" t="s">
        <v>39</v>
      </c>
      <c r="L2192" s="50">
        <f>VLOOKUP(A2192,'[3]Price info'!A:D,4,FALSE)</f>
        <v>589.95000000000005</v>
      </c>
      <c r="M2192" s="18" t="s">
        <v>214</v>
      </c>
      <c r="N2192" s="20">
        <v>3105</v>
      </c>
      <c r="P2192" s="16">
        <f>VLOOKUP(A2192,'[3]Price info'!A:H,8,FALSE)</f>
        <v>589.95000000000005</v>
      </c>
      <c r="Q2192" s="17">
        <f t="shared" si="137"/>
        <v>1</v>
      </c>
      <c r="S2192" s="16" t="e">
        <f>VLOOKUP(A2192,[4]Sales!$E:$G,3,FALSE)</f>
        <v>#N/A</v>
      </c>
      <c r="T2192" s="19" t="e">
        <f>VLOOKUP(A2192,[4]Volume!$E:$G,3,FALSE)</f>
        <v>#N/A</v>
      </c>
      <c r="U2192" s="19" t="e">
        <f>VLOOKUP(A2192,[4]Piece!$E:$G,3,FALSE)</f>
        <v>#N/A</v>
      </c>
      <c r="V2192" s="21" t="e">
        <f t="shared" si="138"/>
        <v>#N/A</v>
      </c>
      <c r="W2192" s="16" t="e">
        <f t="shared" si="139"/>
        <v>#N/A</v>
      </c>
    </row>
    <row r="2193" spans="1:23" hidden="1" x14ac:dyDescent="0.3">
      <c r="A2193" s="71" t="s">
        <v>4322</v>
      </c>
      <c r="B2193" s="71" t="s">
        <v>4322</v>
      </c>
      <c r="C2193" s="47" t="s">
        <v>33</v>
      </c>
      <c r="D2193" s="48" t="s">
        <v>34</v>
      </c>
      <c r="E2193" s="18" t="s">
        <v>4323</v>
      </c>
      <c r="F2193" s="24" t="str">
        <f t="shared" si="136"/>
        <v>PPG - S'COVER 2 SET WHITE           7000001400</v>
      </c>
      <c r="G2193" s="20" t="s">
        <v>7063</v>
      </c>
      <c r="H2193" s="49" t="s">
        <v>213</v>
      </c>
      <c r="I2193" s="18" t="s">
        <v>37</v>
      </c>
      <c r="J2193" s="18" t="s">
        <v>38</v>
      </c>
      <c r="K2193" t="s">
        <v>39</v>
      </c>
      <c r="L2193" s="50">
        <f>VLOOKUP(A2193,'[3]Price info'!A:D,4,FALSE)</f>
        <v>131.66</v>
      </c>
      <c r="M2193" s="18" t="s">
        <v>214</v>
      </c>
      <c r="N2193" s="20">
        <v>3105</v>
      </c>
      <c r="P2193" s="16">
        <f>VLOOKUP(A2193,'[3]Price info'!A:H,8,FALSE)</f>
        <v>131.66</v>
      </c>
      <c r="Q2193" s="17">
        <f t="shared" si="137"/>
        <v>1</v>
      </c>
      <c r="S2193" s="16" t="e">
        <f>VLOOKUP(A2193,[4]Sales!$E:$G,3,FALSE)</f>
        <v>#N/A</v>
      </c>
      <c r="T2193" s="19" t="e">
        <f>VLOOKUP(A2193,[4]Volume!$E:$G,3,FALSE)</f>
        <v>#N/A</v>
      </c>
      <c r="U2193" s="19" t="e">
        <f>VLOOKUP(A2193,[4]Piece!$E:$G,3,FALSE)</f>
        <v>#N/A</v>
      </c>
      <c r="V2193" s="21" t="e">
        <f t="shared" si="138"/>
        <v>#N/A</v>
      </c>
      <c r="W2193" s="16" t="e">
        <f t="shared" si="139"/>
        <v>#N/A</v>
      </c>
    </row>
    <row r="2194" spans="1:23" hidden="1" x14ac:dyDescent="0.3">
      <c r="A2194" s="71" t="s">
        <v>4324</v>
      </c>
      <c r="B2194" s="71" t="s">
        <v>4324</v>
      </c>
      <c r="C2194" s="47" t="s">
        <v>33</v>
      </c>
      <c r="D2194" s="48" t="s">
        <v>34</v>
      </c>
      <c r="E2194" s="18" t="s">
        <v>4325</v>
      </c>
      <c r="F2194" s="24" t="str">
        <f t="shared" si="136"/>
        <v>PPG - S'COVER 2 SET WHITE           7000002200</v>
      </c>
      <c r="G2194" s="20" t="s">
        <v>7064</v>
      </c>
      <c r="H2194" s="49" t="s">
        <v>213</v>
      </c>
      <c r="I2194" s="18" t="s">
        <v>37</v>
      </c>
      <c r="J2194" s="18" t="s">
        <v>38</v>
      </c>
      <c r="K2194" t="s">
        <v>39</v>
      </c>
      <c r="L2194" s="50">
        <f>VLOOKUP(A2194,'[3]Price info'!A:D,4,FALSE)</f>
        <v>589.95000000000005</v>
      </c>
      <c r="M2194" s="18" t="s">
        <v>214</v>
      </c>
      <c r="N2194" s="20">
        <v>3105</v>
      </c>
      <c r="P2194" s="16">
        <f>VLOOKUP(A2194,'[3]Price info'!A:H,8,FALSE)</f>
        <v>589.95000000000005</v>
      </c>
      <c r="Q2194" s="17">
        <f t="shared" si="137"/>
        <v>1</v>
      </c>
      <c r="S2194" s="16" t="e">
        <f>VLOOKUP(A2194,[4]Sales!$E:$G,3,FALSE)</f>
        <v>#N/A</v>
      </c>
      <c r="T2194" s="19" t="e">
        <f>VLOOKUP(A2194,[4]Volume!$E:$G,3,FALSE)</f>
        <v>#N/A</v>
      </c>
      <c r="U2194" s="19" t="e">
        <f>VLOOKUP(A2194,[4]Piece!$E:$G,3,FALSE)</f>
        <v>#N/A</v>
      </c>
      <c r="V2194" s="21" t="e">
        <f t="shared" si="138"/>
        <v>#N/A</v>
      </c>
      <c r="W2194" s="16" t="e">
        <f t="shared" si="139"/>
        <v>#N/A</v>
      </c>
    </row>
    <row r="2195" spans="1:23" hidden="1" x14ac:dyDescent="0.3">
      <c r="A2195" s="71" t="s">
        <v>4326</v>
      </c>
      <c r="B2195" s="71" t="s">
        <v>4326</v>
      </c>
      <c r="C2195" s="51" t="s">
        <v>33</v>
      </c>
      <c r="D2195" s="48" t="s">
        <v>34</v>
      </c>
      <c r="E2195" s="18" t="s">
        <v>4327</v>
      </c>
      <c r="F2195" s="24" t="str">
        <f t="shared" si="136"/>
        <v>PPG - S'COVER 256 SET CREAM         3012001400</v>
      </c>
      <c r="G2195" s="20" t="s">
        <v>7065</v>
      </c>
      <c r="H2195" s="49" t="s">
        <v>213</v>
      </c>
      <c r="I2195" s="18" t="s">
        <v>37</v>
      </c>
      <c r="J2195" s="18" t="s">
        <v>38</v>
      </c>
      <c r="K2195" t="s">
        <v>39</v>
      </c>
      <c r="L2195" s="50">
        <f>VLOOKUP(A2195,'[3]Price info'!A:D,4,FALSE)</f>
        <v>163.4</v>
      </c>
      <c r="M2195" s="18" t="s">
        <v>214</v>
      </c>
      <c r="N2195" s="20">
        <v>3105</v>
      </c>
      <c r="P2195" s="16">
        <f>VLOOKUP(A2195,'[3]Price info'!A:H,8,FALSE)</f>
        <v>163.4</v>
      </c>
      <c r="Q2195" s="17">
        <f t="shared" si="137"/>
        <v>1</v>
      </c>
      <c r="S2195" s="16" t="e">
        <f>VLOOKUP(A2195,[4]Sales!$E:$G,3,FALSE)</f>
        <v>#N/A</v>
      </c>
      <c r="T2195" s="19" t="e">
        <f>VLOOKUP(A2195,[4]Volume!$E:$G,3,FALSE)</f>
        <v>#N/A</v>
      </c>
      <c r="U2195" s="19" t="e">
        <f>VLOOKUP(A2195,[4]Piece!$E:$G,3,FALSE)</f>
        <v>#N/A</v>
      </c>
      <c r="V2195" s="21" t="e">
        <f t="shared" si="138"/>
        <v>#N/A</v>
      </c>
      <c r="W2195" s="16" t="e">
        <f t="shared" si="139"/>
        <v>#N/A</v>
      </c>
    </row>
    <row r="2196" spans="1:23" hidden="1" x14ac:dyDescent="0.3">
      <c r="A2196" s="71" t="s">
        <v>4328</v>
      </c>
      <c r="B2196" s="71" t="s">
        <v>4328</v>
      </c>
      <c r="C2196" s="47" t="s">
        <v>33</v>
      </c>
      <c r="D2196" s="48" t="s">
        <v>34</v>
      </c>
      <c r="E2196" s="18" t="s">
        <v>4329</v>
      </c>
      <c r="F2196" s="24" t="str">
        <f t="shared" si="136"/>
        <v>PPG - S'COVER 256 SET CREAM         3012002200</v>
      </c>
      <c r="G2196" s="20" t="s">
        <v>7066</v>
      </c>
      <c r="H2196" s="49" t="s">
        <v>213</v>
      </c>
      <c r="I2196" s="18" t="s">
        <v>37</v>
      </c>
      <c r="J2196" s="18" t="s">
        <v>38</v>
      </c>
      <c r="K2196" t="s">
        <v>39</v>
      </c>
      <c r="L2196" s="50">
        <f>VLOOKUP(A2196,'[3]Price info'!A:D,4,FALSE)</f>
        <v>816.99</v>
      </c>
      <c r="M2196" s="18" t="s">
        <v>214</v>
      </c>
      <c r="N2196" s="20">
        <v>3105</v>
      </c>
      <c r="P2196" s="16">
        <f>VLOOKUP(A2196,'[3]Price info'!A:H,8,FALSE)</f>
        <v>816.99</v>
      </c>
      <c r="Q2196" s="17">
        <f t="shared" si="137"/>
        <v>1</v>
      </c>
      <c r="S2196" s="16" t="e">
        <f>VLOOKUP(A2196,[4]Sales!$E:$G,3,FALSE)</f>
        <v>#N/A</v>
      </c>
      <c r="T2196" s="19" t="e">
        <f>VLOOKUP(A2196,[4]Volume!$E:$G,3,FALSE)</f>
        <v>#N/A</v>
      </c>
      <c r="U2196" s="19" t="e">
        <f>VLOOKUP(A2196,[4]Piece!$E:$G,3,FALSE)</f>
        <v>#N/A</v>
      </c>
      <c r="V2196" s="21" t="e">
        <f t="shared" si="138"/>
        <v>#N/A</v>
      </c>
      <c r="W2196" s="16" t="e">
        <f t="shared" si="139"/>
        <v>#N/A</v>
      </c>
    </row>
    <row r="2197" spans="1:23" hidden="1" x14ac:dyDescent="0.3">
      <c r="A2197" s="71" t="s">
        <v>4330</v>
      </c>
      <c r="B2197" s="71" t="s">
        <v>4330</v>
      </c>
      <c r="C2197" s="47" t="s">
        <v>33</v>
      </c>
      <c r="D2197" s="48" t="s">
        <v>34</v>
      </c>
      <c r="E2197" s="18" t="s">
        <v>4331</v>
      </c>
      <c r="F2197" s="24" t="str">
        <f t="shared" si="136"/>
        <v>PPG - S'COVER 280 SET GREY          5000001400</v>
      </c>
      <c r="G2197" s="20" t="s">
        <v>7067</v>
      </c>
      <c r="H2197" s="49" t="s">
        <v>213</v>
      </c>
      <c r="I2197" s="18" t="s">
        <v>37</v>
      </c>
      <c r="J2197" s="18" t="s">
        <v>38</v>
      </c>
      <c r="K2197" t="s">
        <v>39</v>
      </c>
      <c r="L2197" s="50">
        <f>VLOOKUP(A2197,'[3]Price info'!A:D,4,FALSE)</f>
        <v>61.09</v>
      </c>
      <c r="M2197" s="18" t="s">
        <v>214</v>
      </c>
      <c r="N2197" s="20">
        <v>3105</v>
      </c>
      <c r="P2197" s="16">
        <f>VLOOKUP(A2197,'[3]Price info'!A:H,8,FALSE)</f>
        <v>61.09</v>
      </c>
      <c r="Q2197" s="17">
        <f t="shared" si="137"/>
        <v>1</v>
      </c>
      <c r="S2197" s="16" t="e">
        <f>VLOOKUP(A2197,[4]Sales!$E:$G,3,FALSE)</f>
        <v>#N/A</v>
      </c>
      <c r="T2197" s="19" t="e">
        <f>VLOOKUP(A2197,[4]Volume!$E:$G,3,FALSE)</f>
        <v>#N/A</v>
      </c>
      <c r="U2197" s="19" t="e">
        <f>VLOOKUP(A2197,[4]Piece!$E:$G,3,FALSE)</f>
        <v>#N/A</v>
      </c>
      <c r="V2197" s="21" t="e">
        <f t="shared" si="138"/>
        <v>#N/A</v>
      </c>
      <c r="W2197" s="16" t="e">
        <f t="shared" si="139"/>
        <v>#N/A</v>
      </c>
    </row>
    <row r="2198" spans="1:23" hidden="1" x14ac:dyDescent="0.3">
      <c r="A2198" s="71" t="s">
        <v>4332</v>
      </c>
      <c r="B2198" s="71" t="s">
        <v>4332</v>
      </c>
      <c r="C2198" s="51" t="s">
        <v>33</v>
      </c>
      <c r="D2198" s="48" t="s">
        <v>34</v>
      </c>
      <c r="E2198" s="18" t="s">
        <v>4333</v>
      </c>
      <c r="F2198" s="24" t="str">
        <f t="shared" si="136"/>
        <v>PPG - S'COVER 280 SET GREY          5000002200</v>
      </c>
      <c r="G2198" s="20" t="s">
        <v>7068</v>
      </c>
      <c r="H2198" s="49" t="s">
        <v>213</v>
      </c>
      <c r="I2198" s="18" t="s">
        <v>37</v>
      </c>
      <c r="J2198" s="18" t="s">
        <v>38</v>
      </c>
      <c r="K2198" t="s">
        <v>39</v>
      </c>
      <c r="L2198" s="50">
        <f>VLOOKUP(A2198,'[3]Price info'!A:D,4,FALSE)</f>
        <v>305.51</v>
      </c>
      <c r="M2198" s="18" t="s">
        <v>214</v>
      </c>
      <c r="N2198" s="20">
        <v>3105</v>
      </c>
      <c r="P2198" s="16">
        <f>VLOOKUP(A2198,'[3]Price info'!A:H,8,FALSE)</f>
        <v>305.51</v>
      </c>
      <c r="Q2198" s="17">
        <f t="shared" si="137"/>
        <v>1</v>
      </c>
      <c r="S2198" s="16" t="e">
        <f>VLOOKUP(A2198,[4]Sales!$E:$G,3,FALSE)</f>
        <v>#N/A</v>
      </c>
      <c r="T2198" s="19" t="e">
        <f>VLOOKUP(A2198,[4]Volume!$E:$G,3,FALSE)</f>
        <v>#N/A</v>
      </c>
      <c r="U2198" s="19" t="e">
        <f>VLOOKUP(A2198,[4]Piece!$E:$G,3,FALSE)</f>
        <v>#N/A</v>
      </c>
      <c r="V2198" s="21" t="e">
        <f t="shared" si="138"/>
        <v>#N/A</v>
      </c>
      <c r="W2198" s="16" t="e">
        <f t="shared" si="139"/>
        <v>#N/A</v>
      </c>
    </row>
    <row r="2199" spans="1:23" hidden="1" x14ac:dyDescent="0.3">
      <c r="A2199" s="71" t="s">
        <v>4334</v>
      </c>
      <c r="B2199" s="71" t="s">
        <v>4334</v>
      </c>
      <c r="C2199" s="47" t="s">
        <v>33</v>
      </c>
      <c r="D2199" s="48" t="s">
        <v>34</v>
      </c>
      <c r="E2199" s="18" t="s">
        <v>4335</v>
      </c>
      <c r="F2199" s="24" t="str">
        <f t="shared" si="136"/>
        <v>PPG - S'COVER 280 SET REDBROWN      6137001400</v>
      </c>
      <c r="G2199" s="20" t="s">
        <v>7069</v>
      </c>
      <c r="H2199" s="49" t="s">
        <v>213</v>
      </c>
      <c r="I2199" s="18" t="s">
        <v>37</v>
      </c>
      <c r="J2199" s="18" t="s">
        <v>38</v>
      </c>
      <c r="K2199" t="s">
        <v>39</v>
      </c>
      <c r="L2199" s="50">
        <f>VLOOKUP(A2199,'[3]Price info'!A:D,4,FALSE)</f>
        <v>61.09</v>
      </c>
      <c r="M2199" s="18" t="s">
        <v>214</v>
      </c>
      <c r="N2199" s="20">
        <v>3105</v>
      </c>
      <c r="P2199" s="16">
        <f>VLOOKUP(A2199,'[3]Price info'!A:H,8,FALSE)</f>
        <v>61.09</v>
      </c>
      <c r="Q2199" s="17">
        <f t="shared" si="137"/>
        <v>1</v>
      </c>
      <c r="S2199" s="16" t="e">
        <f>VLOOKUP(A2199,[4]Sales!$E:$G,3,FALSE)</f>
        <v>#N/A</v>
      </c>
      <c r="T2199" s="19" t="e">
        <f>VLOOKUP(A2199,[4]Volume!$E:$G,3,FALSE)</f>
        <v>#N/A</v>
      </c>
      <c r="U2199" s="19" t="e">
        <f>VLOOKUP(A2199,[4]Piece!$E:$G,3,FALSE)</f>
        <v>#N/A</v>
      </c>
      <c r="V2199" s="21" t="e">
        <f t="shared" si="138"/>
        <v>#N/A</v>
      </c>
      <c r="W2199" s="16" t="e">
        <f t="shared" si="139"/>
        <v>#N/A</v>
      </c>
    </row>
    <row r="2200" spans="1:23" hidden="1" x14ac:dyDescent="0.3">
      <c r="A2200" s="71" t="s">
        <v>4336</v>
      </c>
      <c r="B2200" s="71" t="s">
        <v>4336</v>
      </c>
      <c r="C2200" s="47" t="s">
        <v>33</v>
      </c>
      <c r="D2200" s="48" t="s">
        <v>34</v>
      </c>
      <c r="E2200" s="18" t="s">
        <v>4337</v>
      </c>
      <c r="F2200" s="24" t="str">
        <f t="shared" si="136"/>
        <v>PPG - S'COVER 280 SET REDBROWN      6137002200</v>
      </c>
      <c r="G2200" s="20" t="s">
        <v>7070</v>
      </c>
      <c r="H2200" s="49" t="s">
        <v>213</v>
      </c>
      <c r="I2200" s="18" t="s">
        <v>37</v>
      </c>
      <c r="J2200" s="18" t="s">
        <v>38</v>
      </c>
      <c r="K2200" t="s">
        <v>39</v>
      </c>
      <c r="L2200" s="50">
        <f>VLOOKUP(A2200,'[3]Price info'!A:D,4,FALSE)</f>
        <v>305.51</v>
      </c>
      <c r="M2200" s="18" t="s">
        <v>214</v>
      </c>
      <c r="N2200" s="20">
        <v>3105</v>
      </c>
      <c r="P2200" s="16">
        <f>VLOOKUP(A2200,'[3]Price info'!A:H,8,FALSE)</f>
        <v>305.51</v>
      </c>
      <c r="Q2200" s="17">
        <f t="shared" si="137"/>
        <v>1</v>
      </c>
      <c r="S2200" s="16" t="e">
        <f>VLOOKUP(A2200,[4]Sales!$E:$G,3,FALSE)</f>
        <v>#N/A</v>
      </c>
      <c r="T2200" s="19" t="e">
        <f>VLOOKUP(A2200,[4]Volume!$E:$G,3,FALSE)</f>
        <v>#N/A</v>
      </c>
      <c r="U2200" s="19" t="e">
        <f>VLOOKUP(A2200,[4]Piece!$E:$G,3,FALSE)</f>
        <v>#N/A</v>
      </c>
      <c r="V2200" s="21" t="e">
        <f t="shared" si="138"/>
        <v>#N/A</v>
      </c>
      <c r="W2200" s="16" t="e">
        <f t="shared" si="139"/>
        <v>#N/A</v>
      </c>
    </row>
    <row r="2201" spans="1:23" hidden="1" x14ac:dyDescent="0.3">
      <c r="A2201" s="71" t="s">
        <v>4338</v>
      </c>
      <c r="B2201" s="71" t="s">
        <v>4338</v>
      </c>
      <c r="C2201" s="51" t="s">
        <v>33</v>
      </c>
      <c r="D2201" s="48" t="s">
        <v>34</v>
      </c>
      <c r="E2201" s="18" t="s">
        <v>4339</v>
      </c>
      <c r="F2201" s="24" t="str">
        <f t="shared" si="136"/>
        <v>PPG - S'COVER 280 SET YEL/GR        4009001400</v>
      </c>
      <c r="G2201" s="20" t="s">
        <v>7071</v>
      </c>
      <c r="H2201" s="49" t="s">
        <v>213</v>
      </c>
      <c r="I2201" s="18" t="s">
        <v>37</v>
      </c>
      <c r="J2201" s="18" t="s">
        <v>38</v>
      </c>
      <c r="K2201" t="s">
        <v>39</v>
      </c>
      <c r="L2201" s="50">
        <f>VLOOKUP(A2201,'[3]Price info'!A:D,4,FALSE)</f>
        <v>61.09</v>
      </c>
      <c r="M2201" s="18" t="s">
        <v>214</v>
      </c>
      <c r="N2201" s="20">
        <v>3105</v>
      </c>
      <c r="P2201" s="16">
        <f>VLOOKUP(A2201,'[3]Price info'!A:H,8,FALSE)</f>
        <v>61.09</v>
      </c>
      <c r="Q2201" s="17">
        <f t="shared" si="137"/>
        <v>1</v>
      </c>
      <c r="S2201" s="16" t="e">
        <f>VLOOKUP(A2201,[4]Sales!$E:$G,3,FALSE)</f>
        <v>#N/A</v>
      </c>
      <c r="T2201" s="19" t="e">
        <f>VLOOKUP(A2201,[4]Volume!$E:$G,3,FALSE)</f>
        <v>#N/A</v>
      </c>
      <c r="U2201" s="19" t="e">
        <f>VLOOKUP(A2201,[4]Piece!$E:$G,3,FALSE)</f>
        <v>#N/A</v>
      </c>
      <c r="V2201" s="21" t="e">
        <f t="shared" si="138"/>
        <v>#N/A</v>
      </c>
      <c r="W2201" s="16" t="e">
        <f t="shared" si="139"/>
        <v>#N/A</v>
      </c>
    </row>
    <row r="2202" spans="1:23" hidden="1" x14ac:dyDescent="0.3">
      <c r="A2202" s="71" t="s">
        <v>4340</v>
      </c>
      <c r="B2202" s="71" t="s">
        <v>4340</v>
      </c>
      <c r="C2202" s="47" t="s">
        <v>33</v>
      </c>
      <c r="D2202" s="48" t="s">
        <v>34</v>
      </c>
      <c r="E2202" s="18" t="s">
        <v>4341</v>
      </c>
      <c r="F2202" s="24" t="str">
        <f t="shared" si="136"/>
        <v>PPG - S'COVER 280 SET YEL/GR        4009002200</v>
      </c>
      <c r="G2202" s="20" t="s">
        <v>7072</v>
      </c>
      <c r="H2202" s="49" t="s">
        <v>213</v>
      </c>
      <c r="I2202" s="18" t="s">
        <v>37</v>
      </c>
      <c r="J2202" s="18" t="s">
        <v>38</v>
      </c>
      <c r="K2202" t="s">
        <v>39</v>
      </c>
      <c r="L2202" s="50">
        <f>VLOOKUP(A2202,'[3]Price info'!A:D,4,FALSE)</f>
        <v>305.51</v>
      </c>
      <c r="M2202" s="18" t="s">
        <v>214</v>
      </c>
      <c r="N2202" s="20">
        <v>3105</v>
      </c>
      <c r="P2202" s="16">
        <f>VLOOKUP(A2202,'[3]Price info'!A:H,8,FALSE)</f>
        <v>305.51</v>
      </c>
      <c r="Q2202" s="17">
        <f t="shared" si="137"/>
        <v>1</v>
      </c>
      <c r="S2202" s="16" t="e">
        <f>VLOOKUP(A2202,[4]Sales!$E:$G,3,FALSE)</f>
        <v>#N/A</v>
      </c>
      <c r="T2202" s="19" t="e">
        <f>VLOOKUP(A2202,[4]Volume!$E:$G,3,FALSE)</f>
        <v>#N/A</v>
      </c>
      <c r="U2202" s="19" t="e">
        <f>VLOOKUP(A2202,[4]Piece!$E:$G,3,FALSE)</f>
        <v>#N/A</v>
      </c>
      <c r="V2202" s="21" t="e">
        <f t="shared" si="138"/>
        <v>#N/A</v>
      </c>
      <c r="W2202" s="16" t="e">
        <f t="shared" si="139"/>
        <v>#N/A</v>
      </c>
    </row>
    <row r="2203" spans="1:23" hidden="1" x14ac:dyDescent="0.3">
      <c r="A2203" s="71" t="s">
        <v>4342</v>
      </c>
      <c r="B2203" s="71" t="s">
        <v>4342</v>
      </c>
      <c r="C2203" s="47" t="s">
        <v>33</v>
      </c>
      <c r="D2203" s="48" t="s">
        <v>34</v>
      </c>
      <c r="E2203" s="18" t="s">
        <v>4343</v>
      </c>
      <c r="F2203" s="24" t="str">
        <f t="shared" si="136"/>
        <v>PPG - S'COVER 350 LT SET ALU        9000002200</v>
      </c>
      <c r="G2203" s="20" t="s">
        <v>7073</v>
      </c>
      <c r="H2203" s="49" t="s">
        <v>213</v>
      </c>
      <c r="I2203" s="18" t="s">
        <v>37</v>
      </c>
      <c r="J2203" s="18" t="s">
        <v>38</v>
      </c>
      <c r="K2203" t="s">
        <v>39</v>
      </c>
      <c r="L2203" s="50">
        <f>VLOOKUP(A2203,'[3]Price info'!A:D,4,FALSE)</f>
        <v>611.27</v>
      </c>
      <c r="M2203" s="18" t="s">
        <v>214</v>
      </c>
      <c r="N2203" s="20">
        <v>3105</v>
      </c>
      <c r="P2203" s="16">
        <f>VLOOKUP(A2203,'[3]Price info'!A:H,8,FALSE)</f>
        <v>611.27</v>
      </c>
      <c r="Q2203" s="17">
        <f t="shared" si="137"/>
        <v>1</v>
      </c>
      <c r="S2203" s="16" t="e">
        <f>VLOOKUP(A2203,[4]Sales!$E:$G,3,FALSE)</f>
        <v>#N/A</v>
      </c>
      <c r="T2203" s="19" t="e">
        <f>VLOOKUP(A2203,[4]Volume!$E:$G,3,FALSE)</f>
        <v>#N/A</v>
      </c>
      <c r="U2203" s="19" t="e">
        <f>VLOOKUP(A2203,[4]Piece!$E:$G,3,FALSE)</f>
        <v>#N/A</v>
      </c>
      <c r="V2203" s="21" t="e">
        <f t="shared" si="138"/>
        <v>#N/A</v>
      </c>
      <c r="W2203" s="16" t="e">
        <f t="shared" si="139"/>
        <v>#N/A</v>
      </c>
    </row>
    <row r="2204" spans="1:23" hidden="1" x14ac:dyDescent="0.3">
      <c r="A2204" s="71" t="s">
        <v>4344</v>
      </c>
      <c r="B2204" s="71" t="s">
        <v>4344</v>
      </c>
      <c r="C2204" s="51" t="s">
        <v>33</v>
      </c>
      <c r="D2204" s="48" t="s">
        <v>34</v>
      </c>
      <c r="E2204" s="18" t="s">
        <v>4345</v>
      </c>
      <c r="F2204" s="24" t="str">
        <f t="shared" si="136"/>
        <v>PPG - S'COVER 350 LT SET GREY       5177052200</v>
      </c>
      <c r="G2204" s="20" t="s">
        <v>7074</v>
      </c>
      <c r="H2204" s="49" t="s">
        <v>213</v>
      </c>
      <c r="I2204" s="18" t="s">
        <v>37</v>
      </c>
      <c r="J2204" s="18" t="s">
        <v>38</v>
      </c>
      <c r="K2204" t="s">
        <v>39</v>
      </c>
      <c r="L2204" s="50">
        <f>VLOOKUP(A2204,'[3]Price info'!A:D,4,FALSE)</f>
        <v>611.27</v>
      </c>
      <c r="M2204" s="18" t="s">
        <v>214</v>
      </c>
      <c r="N2204" s="20">
        <v>3105</v>
      </c>
      <c r="P2204" s="16">
        <f>VLOOKUP(A2204,'[3]Price info'!A:H,8,FALSE)</f>
        <v>611.27</v>
      </c>
      <c r="Q2204" s="17">
        <f t="shared" si="137"/>
        <v>1</v>
      </c>
      <c r="S2204" s="16" t="e">
        <f>VLOOKUP(A2204,[4]Sales!$E:$G,3,FALSE)</f>
        <v>#N/A</v>
      </c>
      <c r="T2204" s="19" t="e">
        <f>VLOOKUP(A2204,[4]Volume!$E:$G,3,FALSE)</f>
        <v>#N/A</v>
      </c>
      <c r="U2204" s="19" t="e">
        <f>VLOOKUP(A2204,[4]Piece!$E:$G,3,FALSE)</f>
        <v>#N/A</v>
      </c>
      <c r="V2204" s="21" t="e">
        <f t="shared" si="138"/>
        <v>#N/A</v>
      </c>
      <c r="W2204" s="16" t="e">
        <f t="shared" si="139"/>
        <v>#N/A</v>
      </c>
    </row>
    <row r="2205" spans="1:23" hidden="1" x14ac:dyDescent="0.3">
      <c r="A2205" s="71" t="s">
        <v>4346</v>
      </c>
      <c r="B2205" s="71" t="s">
        <v>4346</v>
      </c>
      <c r="C2205" s="47" t="s">
        <v>33</v>
      </c>
      <c r="D2205" s="48" t="s">
        <v>34</v>
      </c>
      <c r="E2205" s="18" t="s">
        <v>4347</v>
      </c>
      <c r="F2205" s="24" t="str">
        <f t="shared" si="136"/>
        <v>PPG - S'COVER 350 LT SET REDBROWN   6179052200</v>
      </c>
      <c r="G2205" s="20" t="s">
        <v>7075</v>
      </c>
      <c r="H2205" s="49" t="s">
        <v>213</v>
      </c>
      <c r="I2205" s="18" t="s">
        <v>37</v>
      </c>
      <c r="J2205" s="18" t="s">
        <v>38</v>
      </c>
      <c r="K2205" t="s">
        <v>39</v>
      </c>
      <c r="L2205" s="50">
        <f>VLOOKUP(A2205,'[3]Price info'!A:D,4,FALSE)</f>
        <v>772.24</v>
      </c>
      <c r="M2205" s="18" t="s">
        <v>214</v>
      </c>
      <c r="N2205" s="20">
        <v>3105</v>
      </c>
      <c r="P2205" s="16">
        <f>VLOOKUP(A2205,'[3]Price info'!A:H,8,FALSE)</f>
        <v>772.24</v>
      </c>
      <c r="Q2205" s="17">
        <f t="shared" si="137"/>
        <v>1</v>
      </c>
      <c r="S2205" s="16" t="e">
        <f>VLOOKUP(A2205,[4]Sales!$E:$G,3,FALSE)</f>
        <v>#N/A</v>
      </c>
      <c r="T2205" s="19" t="e">
        <f>VLOOKUP(A2205,[4]Volume!$E:$G,3,FALSE)</f>
        <v>#N/A</v>
      </c>
      <c r="U2205" s="19" t="e">
        <f>VLOOKUP(A2205,[4]Piece!$E:$G,3,FALSE)</f>
        <v>#N/A</v>
      </c>
      <c r="V2205" s="21" t="e">
        <f t="shared" si="138"/>
        <v>#N/A</v>
      </c>
      <c r="W2205" s="16" t="e">
        <f t="shared" si="139"/>
        <v>#N/A</v>
      </c>
    </row>
    <row r="2206" spans="1:23" hidden="1" x14ac:dyDescent="0.3">
      <c r="A2206" s="71" t="s">
        <v>4348</v>
      </c>
      <c r="B2206" s="71" t="s">
        <v>4348</v>
      </c>
      <c r="C2206" s="47" t="s">
        <v>33</v>
      </c>
      <c r="D2206" s="48" t="s">
        <v>34</v>
      </c>
      <c r="E2206" s="18" t="s">
        <v>4349</v>
      </c>
      <c r="F2206" s="24" t="str">
        <f t="shared" si="136"/>
        <v>PPG - S'COVER 350 SET ALUMINIUM     9000002200</v>
      </c>
      <c r="G2206" s="20" t="s">
        <v>7076</v>
      </c>
      <c r="H2206" s="49" t="s">
        <v>213</v>
      </c>
      <c r="I2206" s="18" t="s">
        <v>37</v>
      </c>
      <c r="J2206" s="18" t="s">
        <v>38</v>
      </c>
      <c r="K2206" t="s">
        <v>39</v>
      </c>
      <c r="L2206" s="50">
        <f>VLOOKUP(A2206,'[3]Price info'!A:D,4,FALSE)</f>
        <v>587.96</v>
      </c>
      <c r="M2206" s="18" t="s">
        <v>214</v>
      </c>
      <c r="N2206" s="20">
        <v>3105</v>
      </c>
      <c r="P2206" s="16">
        <f>VLOOKUP(A2206,'[3]Price info'!A:H,8,FALSE)</f>
        <v>587.96</v>
      </c>
      <c r="Q2206" s="17">
        <f t="shared" si="137"/>
        <v>1</v>
      </c>
      <c r="S2206" s="16" t="e">
        <f>VLOOKUP(A2206,[4]Sales!$E:$G,3,FALSE)</f>
        <v>#N/A</v>
      </c>
      <c r="T2206" s="19" t="e">
        <f>VLOOKUP(A2206,[4]Volume!$E:$G,3,FALSE)</f>
        <v>#N/A</v>
      </c>
      <c r="U2206" s="19" t="e">
        <f>VLOOKUP(A2206,[4]Piece!$E:$G,3,FALSE)</f>
        <v>#N/A</v>
      </c>
      <c r="V2206" s="21" t="e">
        <f t="shared" si="138"/>
        <v>#N/A</v>
      </c>
      <c r="W2206" s="16" t="e">
        <f t="shared" si="139"/>
        <v>#N/A</v>
      </c>
    </row>
    <row r="2207" spans="1:23" hidden="1" x14ac:dyDescent="0.3">
      <c r="A2207" s="71" t="s">
        <v>4350</v>
      </c>
      <c r="B2207" s="71" t="s">
        <v>4350</v>
      </c>
      <c r="C2207" s="51" t="s">
        <v>33</v>
      </c>
      <c r="D2207" s="48" t="s">
        <v>34</v>
      </c>
      <c r="E2207" s="18" t="s">
        <v>4351</v>
      </c>
      <c r="F2207" s="24" t="str">
        <f t="shared" si="136"/>
        <v>PPG - S'COVER 350 SET GREY          5177052200</v>
      </c>
      <c r="G2207" s="20" t="s">
        <v>7077</v>
      </c>
      <c r="H2207" s="49" t="s">
        <v>213</v>
      </c>
      <c r="I2207" s="18" t="s">
        <v>37</v>
      </c>
      <c r="J2207" s="18" t="s">
        <v>38</v>
      </c>
      <c r="K2207" t="s">
        <v>39</v>
      </c>
      <c r="L2207" s="50">
        <f>VLOOKUP(A2207,'[3]Price info'!A:D,4,FALSE)</f>
        <v>587.96</v>
      </c>
      <c r="M2207" s="18" t="s">
        <v>214</v>
      </c>
      <c r="N2207" s="20">
        <v>3105</v>
      </c>
      <c r="P2207" s="16">
        <f>VLOOKUP(A2207,'[3]Price info'!A:H,8,FALSE)</f>
        <v>587.96</v>
      </c>
      <c r="Q2207" s="17">
        <f t="shared" si="137"/>
        <v>1</v>
      </c>
      <c r="S2207" s="16" t="e">
        <f>VLOOKUP(A2207,[4]Sales!$E:$G,3,FALSE)</f>
        <v>#N/A</v>
      </c>
      <c r="T2207" s="19" t="e">
        <f>VLOOKUP(A2207,[4]Volume!$E:$G,3,FALSE)</f>
        <v>#N/A</v>
      </c>
      <c r="U2207" s="19" t="e">
        <f>VLOOKUP(A2207,[4]Piece!$E:$G,3,FALSE)</f>
        <v>#N/A</v>
      </c>
      <c r="V2207" s="21" t="e">
        <f t="shared" si="138"/>
        <v>#N/A</v>
      </c>
      <c r="W2207" s="16" t="e">
        <f t="shared" si="139"/>
        <v>#N/A</v>
      </c>
    </row>
    <row r="2208" spans="1:23" hidden="1" x14ac:dyDescent="0.3">
      <c r="A2208" s="71" t="s">
        <v>4352</v>
      </c>
      <c r="B2208" s="71" t="s">
        <v>4352</v>
      </c>
      <c r="C2208" s="47" t="s">
        <v>33</v>
      </c>
      <c r="D2208" s="48" t="s">
        <v>34</v>
      </c>
      <c r="E2208" s="18" t="s">
        <v>4353</v>
      </c>
      <c r="F2208" s="24" t="str">
        <f t="shared" si="136"/>
        <v>PPG - S'COVER 350 SET REDBROWN      6179051400</v>
      </c>
      <c r="G2208" s="20" t="s">
        <v>7078</v>
      </c>
      <c r="H2208" s="49" t="s">
        <v>213</v>
      </c>
      <c r="I2208" s="18" t="s">
        <v>37</v>
      </c>
      <c r="J2208" s="18" t="s">
        <v>38</v>
      </c>
      <c r="K2208" t="s">
        <v>39</v>
      </c>
      <c r="L2208" s="50">
        <f>VLOOKUP(A2208,'[3]Price info'!A:D,4,FALSE)</f>
        <v>165.95</v>
      </c>
      <c r="M2208" s="18" t="s">
        <v>214</v>
      </c>
      <c r="N2208" s="20">
        <v>3105</v>
      </c>
      <c r="P2208" s="16">
        <f>VLOOKUP(A2208,'[3]Price info'!A:H,8,FALSE)</f>
        <v>165.95</v>
      </c>
      <c r="Q2208" s="17">
        <f t="shared" si="137"/>
        <v>1</v>
      </c>
      <c r="S2208" s="16" t="e">
        <f>VLOOKUP(A2208,[4]Sales!$E:$G,3,FALSE)</f>
        <v>#N/A</v>
      </c>
      <c r="T2208" s="19" t="e">
        <f>VLOOKUP(A2208,[4]Volume!$E:$G,3,FALSE)</f>
        <v>#N/A</v>
      </c>
      <c r="U2208" s="19" t="e">
        <f>VLOOKUP(A2208,[4]Piece!$E:$G,3,FALSE)</f>
        <v>#N/A</v>
      </c>
      <c r="V2208" s="21" t="e">
        <f t="shared" si="138"/>
        <v>#N/A</v>
      </c>
      <c r="W2208" s="16" t="e">
        <f t="shared" si="139"/>
        <v>#N/A</v>
      </c>
    </row>
    <row r="2209" spans="1:23" hidden="1" x14ac:dyDescent="0.3">
      <c r="A2209" s="71" t="s">
        <v>4354</v>
      </c>
      <c r="B2209" s="71" t="s">
        <v>4354</v>
      </c>
      <c r="C2209" s="47" t="s">
        <v>33</v>
      </c>
      <c r="D2209" s="48" t="s">
        <v>34</v>
      </c>
      <c r="E2209" s="18" t="s">
        <v>4355</v>
      </c>
      <c r="F2209" s="24" t="str">
        <f t="shared" si="136"/>
        <v>PPG - S'COVER 350 SET REDBROWN      6179052200</v>
      </c>
      <c r="G2209" s="20" t="s">
        <v>7079</v>
      </c>
      <c r="H2209" s="49" t="s">
        <v>213</v>
      </c>
      <c r="I2209" s="18" t="s">
        <v>37</v>
      </c>
      <c r="J2209" s="18" t="s">
        <v>38</v>
      </c>
      <c r="K2209" t="s">
        <v>39</v>
      </c>
      <c r="L2209" s="50">
        <f>VLOOKUP(A2209,'[3]Price info'!A:D,4,FALSE)</f>
        <v>743.02</v>
      </c>
      <c r="M2209" s="18" t="s">
        <v>214</v>
      </c>
      <c r="N2209" s="20">
        <v>3105</v>
      </c>
      <c r="P2209" s="16">
        <f>VLOOKUP(A2209,'[3]Price info'!A:H,8,FALSE)</f>
        <v>743.02</v>
      </c>
      <c r="Q2209" s="17">
        <f t="shared" si="137"/>
        <v>1</v>
      </c>
      <c r="S2209" s="16" t="e">
        <f>VLOOKUP(A2209,[4]Sales!$E:$G,3,FALSE)</f>
        <v>#N/A</v>
      </c>
      <c r="T2209" s="19" t="e">
        <f>VLOOKUP(A2209,[4]Volume!$E:$G,3,FALSE)</f>
        <v>#N/A</v>
      </c>
      <c r="U2209" s="19" t="e">
        <f>VLOOKUP(A2209,[4]Piece!$E:$G,3,FALSE)</f>
        <v>#N/A</v>
      </c>
      <c r="V2209" s="21" t="e">
        <f t="shared" si="138"/>
        <v>#N/A</v>
      </c>
      <c r="W2209" s="16" t="e">
        <f t="shared" si="139"/>
        <v>#N/A</v>
      </c>
    </row>
    <row r="2210" spans="1:23" hidden="1" x14ac:dyDescent="0.3">
      <c r="A2210" s="71" t="s">
        <v>4356</v>
      </c>
      <c r="B2210" s="71" t="s">
        <v>4356</v>
      </c>
      <c r="C2210" s="51" t="s">
        <v>33</v>
      </c>
      <c r="D2210" s="48" t="s">
        <v>34</v>
      </c>
      <c r="E2210" s="18" t="s">
        <v>4357</v>
      </c>
      <c r="F2210" s="24" t="str">
        <f t="shared" si="136"/>
        <v>PPG - S'COVER 380 SET BLACK         8000002200</v>
      </c>
      <c r="G2210" s="20" t="s">
        <v>7080</v>
      </c>
      <c r="H2210" s="49" t="s">
        <v>213</v>
      </c>
      <c r="I2210" s="18" t="s">
        <v>37</v>
      </c>
      <c r="J2210" s="18" t="s">
        <v>38</v>
      </c>
      <c r="K2210" t="s">
        <v>39</v>
      </c>
      <c r="L2210" s="50">
        <f>VLOOKUP(A2210,'[3]Price info'!A:D,4,FALSE)</f>
        <v>601.64</v>
      </c>
      <c r="M2210" s="18" t="s">
        <v>214</v>
      </c>
      <c r="N2210" s="20">
        <v>3105</v>
      </c>
      <c r="P2210" s="16">
        <f>VLOOKUP(A2210,'[3]Price info'!A:H,8,FALSE)</f>
        <v>601.64</v>
      </c>
      <c r="Q2210" s="17">
        <f t="shared" si="137"/>
        <v>1</v>
      </c>
      <c r="S2210" s="16" t="e">
        <f>VLOOKUP(A2210,[4]Sales!$E:$G,3,FALSE)</f>
        <v>#N/A</v>
      </c>
      <c r="T2210" s="19" t="e">
        <f>VLOOKUP(A2210,[4]Volume!$E:$G,3,FALSE)</f>
        <v>#N/A</v>
      </c>
      <c r="U2210" s="19" t="e">
        <f>VLOOKUP(A2210,[4]Piece!$E:$G,3,FALSE)</f>
        <v>#N/A</v>
      </c>
      <c r="V2210" s="21" t="e">
        <f t="shared" si="138"/>
        <v>#N/A</v>
      </c>
      <c r="W2210" s="16" t="e">
        <f t="shared" si="139"/>
        <v>#N/A</v>
      </c>
    </row>
    <row r="2211" spans="1:23" hidden="1" x14ac:dyDescent="0.3">
      <c r="A2211" s="71" t="s">
        <v>4358</v>
      </c>
      <c r="B2211" s="71" t="s">
        <v>4358</v>
      </c>
      <c r="C2211" s="47" t="s">
        <v>33</v>
      </c>
      <c r="D2211" s="48" t="s">
        <v>34</v>
      </c>
      <c r="E2211" s="18" t="s">
        <v>4359</v>
      </c>
      <c r="F2211" s="24" t="str">
        <f t="shared" si="136"/>
        <v>PPG - S'COVER 380 SET GREEN         4100052200</v>
      </c>
      <c r="G2211" s="20" t="s">
        <v>7081</v>
      </c>
      <c r="H2211" s="49" t="s">
        <v>213</v>
      </c>
      <c r="I2211" s="18" t="s">
        <v>37</v>
      </c>
      <c r="J2211" s="18" t="s">
        <v>38</v>
      </c>
      <c r="K2211" t="s">
        <v>39</v>
      </c>
      <c r="L2211" s="50">
        <f>VLOOKUP(A2211,'[3]Price info'!A:D,4,FALSE)</f>
        <v>601.64</v>
      </c>
      <c r="M2211" s="18" t="s">
        <v>214</v>
      </c>
      <c r="N2211" s="20">
        <v>3105</v>
      </c>
      <c r="P2211" s="16">
        <f>VLOOKUP(A2211,'[3]Price info'!A:H,8,FALSE)</f>
        <v>601.64</v>
      </c>
      <c r="Q2211" s="17">
        <f t="shared" si="137"/>
        <v>1</v>
      </c>
      <c r="S2211" s="16" t="e">
        <f>VLOOKUP(A2211,[4]Sales!$E:$G,3,FALSE)</f>
        <v>#N/A</v>
      </c>
      <c r="T2211" s="19" t="e">
        <f>VLOOKUP(A2211,[4]Volume!$E:$G,3,FALSE)</f>
        <v>#N/A</v>
      </c>
      <c r="U2211" s="19" t="e">
        <f>VLOOKUP(A2211,[4]Piece!$E:$G,3,FALSE)</f>
        <v>#N/A</v>
      </c>
      <c r="V2211" s="21" t="e">
        <f t="shared" si="138"/>
        <v>#N/A</v>
      </c>
      <c r="W2211" s="16" t="e">
        <f t="shared" si="139"/>
        <v>#N/A</v>
      </c>
    </row>
    <row r="2212" spans="1:23" hidden="1" x14ac:dyDescent="0.3">
      <c r="A2212" s="71" t="s">
        <v>4360</v>
      </c>
      <c r="B2212" s="71" t="s">
        <v>4360</v>
      </c>
      <c r="C2212" s="47" t="s">
        <v>33</v>
      </c>
      <c r="D2212" s="48" t="s">
        <v>34</v>
      </c>
      <c r="E2212" s="18" t="s">
        <v>4361</v>
      </c>
      <c r="F2212" s="24" t="str">
        <f t="shared" si="136"/>
        <v>PPG - S'COVER 380 SET GREY          5100051400</v>
      </c>
      <c r="G2212" s="20" t="s">
        <v>7082</v>
      </c>
      <c r="H2212" s="49" t="s">
        <v>213</v>
      </c>
      <c r="I2212" s="18" t="s">
        <v>37</v>
      </c>
      <c r="J2212" s="18" t="s">
        <v>38</v>
      </c>
      <c r="K2212" t="s">
        <v>39</v>
      </c>
      <c r="L2212" s="50">
        <f>VLOOKUP(A2212,'[3]Price info'!A:D,4,FALSE)</f>
        <v>120.33</v>
      </c>
      <c r="M2212" s="18" t="s">
        <v>214</v>
      </c>
      <c r="N2212" s="20">
        <v>3105</v>
      </c>
      <c r="P2212" s="16">
        <f>VLOOKUP(A2212,'[3]Price info'!A:H,8,FALSE)</f>
        <v>120.33</v>
      </c>
      <c r="Q2212" s="17">
        <f t="shared" si="137"/>
        <v>1</v>
      </c>
      <c r="S2212" s="16" t="e">
        <f>VLOOKUP(A2212,[4]Sales!$E:$G,3,FALSE)</f>
        <v>#N/A</v>
      </c>
      <c r="T2212" s="19" t="e">
        <f>VLOOKUP(A2212,[4]Volume!$E:$G,3,FALSE)</f>
        <v>#N/A</v>
      </c>
      <c r="U2212" s="19" t="e">
        <f>VLOOKUP(A2212,[4]Piece!$E:$G,3,FALSE)</f>
        <v>#N/A</v>
      </c>
      <c r="V2212" s="21" t="e">
        <f t="shared" si="138"/>
        <v>#N/A</v>
      </c>
      <c r="W2212" s="16" t="e">
        <f t="shared" si="139"/>
        <v>#N/A</v>
      </c>
    </row>
    <row r="2213" spans="1:23" hidden="1" x14ac:dyDescent="0.3">
      <c r="A2213" s="71" t="s">
        <v>4362</v>
      </c>
      <c r="B2213" s="71" t="s">
        <v>4362</v>
      </c>
      <c r="C2213" s="51" t="s">
        <v>33</v>
      </c>
      <c r="D2213" s="48" t="s">
        <v>34</v>
      </c>
      <c r="E2213" s="18" t="s">
        <v>4363</v>
      </c>
      <c r="F2213" s="24" t="str">
        <f t="shared" si="136"/>
        <v>PPG - S'COVER 380 SET GREY          5100052200</v>
      </c>
      <c r="G2213" s="20" t="s">
        <v>7083</v>
      </c>
      <c r="H2213" s="49" t="s">
        <v>213</v>
      </c>
      <c r="I2213" s="18" t="s">
        <v>37</v>
      </c>
      <c r="J2213" s="18" t="s">
        <v>38</v>
      </c>
      <c r="K2213" t="s">
        <v>39</v>
      </c>
      <c r="L2213" s="50">
        <f>VLOOKUP(A2213,'[3]Price info'!A:D,4,FALSE)</f>
        <v>601.64</v>
      </c>
      <c r="M2213" s="18" t="s">
        <v>214</v>
      </c>
      <c r="N2213" s="20">
        <v>3105</v>
      </c>
      <c r="P2213" s="16">
        <f>VLOOKUP(A2213,'[3]Price info'!A:H,8,FALSE)</f>
        <v>601.64</v>
      </c>
      <c r="Q2213" s="17">
        <f t="shared" si="137"/>
        <v>1</v>
      </c>
      <c r="S2213" s="16" t="e">
        <f>VLOOKUP(A2213,[4]Sales!$E:$G,3,FALSE)</f>
        <v>#N/A</v>
      </c>
      <c r="T2213" s="19" t="e">
        <f>VLOOKUP(A2213,[4]Volume!$E:$G,3,FALSE)</f>
        <v>#N/A</v>
      </c>
      <c r="U2213" s="19" t="e">
        <f>VLOOKUP(A2213,[4]Piece!$E:$G,3,FALSE)</f>
        <v>#N/A</v>
      </c>
      <c r="V2213" s="21" t="e">
        <f t="shared" si="138"/>
        <v>#N/A</v>
      </c>
      <c r="W2213" s="16" t="e">
        <f t="shared" si="139"/>
        <v>#N/A</v>
      </c>
    </row>
    <row r="2214" spans="1:23" hidden="1" x14ac:dyDescent="0.3">
      <c r="A2214" s="71" t="s">
        <v>4364</v>
      </c>
      <c r="B2214" s="71" t="s">
        <v>4364</v>
      </c>
      <c r="C2214" s="47" t="s">
        <v>33</v>
      </c>
      <c r="D2214" s="48" t="s">
        <v>34</v>
      </c>
      <c r="E2214" s="18" t="s">
        <v>4365</v>
      </c>
      <c r="F2214" s="24" t="str">
        <f t="shared" si="136"/>
        <v>PPG - S'COVER 400 SET ALUMINIUM     9000001400</v>
      </c>
      <c r="G2214" s="20" t="s">
        <v>7084</v>
      </c>
      <c r="H2214" s="49" t="s">
        <v>213</v>
      </c>
      <c r="I2214" s="18" t="s">
        <v>37</v>
      </c>
      <c r="J2214" s="18" t="s">
        <v>38</v>
      </c>
      <c r="K2214" t="s">
        <v>39</v>
      </c>
      <c r="L2214" s="50">
        <f>VLOOKUP(A2214,'[3]Price info'!A:D,4,FALSE)</f>
        <v>141.53</v>
      </c>
      <c r="M2214" s="18" t="s">
        <v>214</v>
      </c>
      <c r="N2214" s="20">
        <v>3105</v>
      </c>
      <c r="P2214" s="16">
        <f>VLOOKUP(A2214,'[3]Price info'!A:H,8,FALSE)</f>
        <v>141.53</v>
      </c>
      <c r="Q2214" s="17">
        <f t="shared" si="137"/>
        <v>1</v>
      </c>
      <c r="S2214" s="16" t="e">
        <f>VLOOKUP(A2214,[4]Sales!$E:$G,3,FALSE)</f>
        <v>#N/A</v>
      </c>
      <c r="T2214" s="19" t="e">
        <f>VLOOKUP(A2214,[4]Volume!$E:$G,3,FALSE)</f>
        <v>#N/A</v>
      </c>
      <c r="U2214" s="19" t="e">
        <f>VLOOKUP(A2214,[4]Piece!$E:$G,3,FALSE)</f>
        <v>#N/A</v>
      </c>
      <c r="V2214" s="21" t="e">
        <f t="shared" si="138"/>
        <v>#N/A</v>
      </c>
      <c r="W2214" s="16" t="e">
        <f t="shared" si="139"/>
        <v>#N/A</v>
      </c>
    </row>
    <row r="2215" spans="1:23" hidden="1" x14ac:dyDescent="0.3">
      <c r="A2215" s="71" t="s">
        <v>4366</v>
      </c>
      <c r="B2215" s="71" t="s">
        <v>4366</v>
      </c>
      <c r="C2215" s="47" t="s">
        <v>33</v>
      </c>
      <c r="D2215" s="48" t="s">
        <v>34</v>
      </c>
      <c r="E2215" s="18" t="s">
        <v>4367</v>
      </c>
      <c r="F2215" s="24" t="str">
        <f t="shared" si="136"/>
        <v>PPG - S'COVER 400 SET ALUMINIUM     9000002200</v>
      </c>
      <c r="G2215" s="20" t="s">
        <v>7085</v>
      </c>
      <c r="H2215" s="49" t="s">
        <v>213</v>
      </c>
      <c r="I2215" s="18" t="s">
        <v>37</v>
      </c>
      <c r="J2215" s="18" t="s">
        <v>38</v>
      </c>
      <c r="K2215" t="s">
        <v>39</v>
      </c>
      <c r="L2215" s="50">
        <f>VLOOKUP(A2215,'[3]Price info'!A:D,4,FALSE)</f>
        <v>633.82000000000005</v>
      </c>
      <c r="M2215" s="18" t="s">
        <v>214</v>
      </c>
      <c r="N2215" s="20">
        <v>3105</v>
      </c>
      <c r="P2215" s="16">
        <f>VLOOKUP(A2215,'[3]Price info'!A:H,8,FALSE)</f>
        <v>633.82000000000005</v>
      </c>
      <c r="Q2215" s="17">
        <f t="shared" si="137"/>
        <v>1</v>
      </c>
      <c r="S2215" s="16" t="e">
        <f>VLOOKUP(A2215,[4]Sales!$E:$G,3,FALSE)</f>
        <v>#N/A</v>
      </c>
      <c r="T2215" s="19" t="e">
        <f>VLOOKUP(A2215,[4]Volume!$E:$G,3,FALSE)</f>
        <v>#N/A</v>
      </c>
      <c r="U2215" s="19" t="e">
        <f>VLOOKUP(A2215,[4]Piece!$E:$G,3,FALSE)</f>
        <v>#N/A</v>
      </c>
      <c r="V2215" s="21" t="e">
        <f t="shared" si="138"/>
        <v>#N/A</v>
      </c>
      <c r="W2215" s="16" t="e">
        <f t="shared" si="139"/>
        <v>#N/A</v>
      </c>
    </row>
    <row r="2216" spans="1:23" hidden="1" x14ac:dyDescent="0.3">
      <c r="A2216" s="71" t="s">
        <v>4368</v>
      </c>
      <c r="B2216" s="71" t="s">
        <v>4368</v>
      </c>
      <c r="C2216" s="51" t="s">
        <v>33</v>
      </c>
      <c r="D2216" s="48" t="s">
        <v>34</v>
      </c>
      <c r="E2216" s="18" t="s">
        <v>4369</v>
      </c>
      <c r="F2216" s="24" t="str">
        <f t="shared" si="136"/>
        <v>PPG - S'COVER 400 SET BLACK         8000001400</v>
      </c>
      <c r="G2216" s="20" t="s">
        <v>7086</v>
      </c>
      <c r="H2216" s="49" t="s">
        <v>213</v>
      </c>
      <c r="I2216" s="18" t="s">
        <v>37</v>
      </c>
      <c r="J2216" s="18" t="s">
        <v>38</v>
      </c>
      <c r="K2216" t="s">
        <v>39</v>
      </c>
      <c r="L2216" s="50">
        <f>VLOOKUP(A2216,'[3]Price info'!A:D,4,FALSE)</f>
        <v>158.5</v>
      </c>
      <c r="M2216" s="18" t="s">
        <v>214</v>
      </c>
      <c r="N2216" s="20">
        <v>3105</v>
      </c>
      <c r="P2216" s="16">
        <f>VLOOKUP(A2216,'[3]Price info'!A:H,8,FALSE)</f>
        <v>158.5</v>
      </c>
      <c r="Q2216" s="17">
        <f t="shared" si="137"/>
        <v>1</v>
      </c>
      <c r="S2216" s="16" t="e">
        <f>VLOOKUP(A2216,[4]Sales!$E:$G,3,FALSE)</f>
        <v>#N/A</v>
      </c>
      <c r="T2216" s="19" t="e">
        <f>VLOOKUP(A2216,[4]Volume!$E:$G,3,FALSE)</f>
        <v>#N/A</v>
      </c>
      <c r="U2216" s="19" t="e">
        <f>VLOOKUP(A2216,[4]Piece!$E:$G,3,FALSE)</f>
        <v>#N/A</v>
      </c>
      <c r="V2216" s="21" t="e">
        <f t="shared" si="138"/>
        <v>#N/A</v>
      </c>
      <c r="W2216" s="16" t="e">
        <f t="shared" si="139"/>
        <v>#N/A</v>
      </c>
    </row>
    <row r="2217" spans="1:23" hidden="1" x14ac:dyDescent="0.3">
      <c r="A2217" s="71" t="s">
        <v>4370</v>
      </c>
      <c r="B2217" s="71" t="s">
        <v>4370</v>
      </c>
      <c r="C2217" s="47" t="s">
        <v>33</v>
      </c>
      <c r="D2217" s="48" t="s">
        <v>34</v>
      </c>
      <c r="E2217" s="18" t="s">
        <v>4371</v>
      </c>
      <c r="F2217" s="24" t="str">
        <f t="shared" si="136"/>
        <v>PPG - S'COVER 400 SET BLACK         8000002200</v>
      </c>
      <c r="G2217" s="20" t="s">
        <v>7087</v>
      </c>
      <c r="H2217" s="49" t="s">
        <v>213</v>
      </c>
      <c r="I2217" s="18" t="s">
        <v>37</v>
      </c>
      <c r="J2217" s="18" t="s">
        <v>38</v>
      </c>
      <c r="K2217" t="s">
        <v>39</v>
      </c>
      <c r="L2217" s="50">
        <f>VLOOKUP(A2217,'[3]Price info'!A:D,4,FALSE)</f>
        <v>560.61</v>
      </c>
      <c r="M2217" s="18" t="s">
        <v>214</v>
      </c>
      <c r="N2217" s="20">
        <v>3105</v>
      </c>
      <c r="P2217" s="16">
        <f>VLOOKUP(A2217,'[3]Price info'!A:H,8,FALSE)</f>
        <v>560.61</v>
      </c>
      <c r="Q2217" s="17">
        <f t="shared" si="137"/>
        <v>1</v>
      </c>
      <c r="S2217" s="16" t="e">
        <f>VLOOKUP(A2217,[4]Sales!$E:$G,3,FALSE)</f>
        <v>#N/A</v>
      </c>
      <c r="T2217" s="19" t="e">
        <f>VLOOKUP(A2217,[4]Volume!$E:$G,3,FALSE)</f>
        <v>#N/A</v>
      </c>
      <c r="U2217" s="19" t="e">
        <f>VLOOKUP(A2217,[4]Piece!$E:$G,3,FALSE)</f>
        <v>#N/A</v>
      </c>
      <c r="V2217" s="21" t="e">
        <f t="shared" si="138"/>
        <v>#N/A</v>
      </c>
      <c r="W2217" s="16" t="e">
        <f t="shared" si="139"/>
        <v>#N/A</v>
      </c>
    </row>
    <row r="2218" spans="1:23" hidden="1" x14ac:dyDescent="0.3">
      <c r="A2218" s="71" t="s">
        <v>4372</v>
      </c>
      <c r="B2218" s="71" t="s">
        <v>4372</v>
      </c>
      <c r="C2218" s="47" t="s">
        <v>33</v>
      </c>
      <c r="D2218" s="48" t="s">
        <v>34</v>
      </c>
      <c r="E2218" s="18" t="s">
        <v>4373</v>
      </c>
      <c r="F2218" s="24" t="str">
        <f t="shared" si="136"/>
        <v>PPG - S'COVER 400 SET BS 00A05     00A05301400</v>
      </c>
      <c r="G2218" s="20" t="s">
        <v>7088</v>
      </c>
      <c r="H2218" s="49" t="s">
        <v>213</v>
      </c>
      <c r="I2218" s="18" t="s">
        <v>37</v>
      </c>
      <c r="J2218" s="18" t="s">
        <v>38</v>
      </c>
      <c r="K2218" t="s">
        <v>39</v>
      </c>
      <c r="L2218" s="50">
        <f>VLOOKUP(A2218,'[3]Price info'!A:D,4,FALSE)</f>
        <v>125.22</v>
      </c>
      <c r="M2218" s="18" t="s">
        <v>214</v>
      </c>
      <c r="N2218" s="20">
        <v>3105</v>
      </c>
      <c r="P2218" s="16">
        <f>VLOOKUP(A2218,'[3]Price info'!A:H,8,FALSE)</f>
        <v>125.22</v>
      </c>
      <c r="Q2218" s="17">
        <f t="shared" si="137"/>
        <v>1</v>
      </c>
      <c r="S2218" s="16" t="e">
        <f>VLOOKUP(A2218,[4]Sales!$E:$G,3,FALSE)</f>
        <v>#N/A</v>
      </c>
      <c r="T2218" s="19" t="e">
        <f>VLOOKUP(A2218,[4]Volume!$E:$G,3,FALSE)</f>
        <v>#N/A</v>
      </c>
      <c r="U2218" s="19" t="e">
        <f>VLOOKUP(A2218,[4]Piece!$E:$G,3,FALSE)</f>
        <v>#N/A</v>
      </c>
      <c r="V2218" s="21" t="e">
        <f t="shared" si="138"/>
        <v>#N/A</v>
      </c>
      <c r="W2218" s="16" t="e">
        <f t="shared" si="139"/>
        <v>#N/A</v>
      </c>
    </row>
    <row r="2219" spans="1:23" hidden="1" x14ac:dyDescent="0.3">
      <c r="A2219" s="71" t="s">
        <v>4374</v>
      </c>
      <c r="B2219" s="71" t="s">
        <v>4374</v>
      </c>
      <c r="C2219" s="51" t="s">
        <v>33</v>
      </c>
      <c r="D2219" s="48" t="s">
        <v>34</v>
      </c>
      <c r="E2219" s="18" t="s">
        <v>4375</v>
      </c>
      <c r="F2219" s="24" t="str">
        <f t="shared" si="136"/>
        <v>PPG - S'COVER 400 SET BS 00A05     00A05302200</v>
      </c>
      <c r="G2219" s="20" t="s">
        <v>7089</v>
      </c>
      <c r="H2219" s="49" t="s">
        <v>213</v>
      </c>
      <c r="I2219" s="18" t="s">
        <v>37</v>
      </c>
      <c r="J2219" s="18" t="s">
        <v>38</v>
      </c>
      <c r="K2219" t="s">
        <v>39</v>
      </c>
      <c r="L2219" s="50">
        <f>VLOOKUP(A2219,'[3]Price info'!A:D,4,FALSE)</f>
        <v>560.61</v>
      </c>
      <c r="M2219" s="18" t="s">
        <v>214</v>
      </c>
      <c r="N2219" s="20">
        <v>3105</v>
      </c>
      <c r="P2219" s="16">
        <f>VLOOKUP(A2219,'[3]Price info'!A:H,8,FALSE)</f>
        <v>560.61</v>
      </c>
      <c r="Q2219" s="17">
        <f t="shared" si="137"/>
        <v>1</v>
      </c>
      <c r="S2219" s="16" t="e">
        <f>VLOOKUP(A2219,[4]Sales!$E:$G,3,FALSE)</f>
        <v>#N/A</v>
      </c>
      <c r="T2219" s="19" t="e">
        <f>VLOOKUP(A2219,[4]Volume!$E:$G,3,FALSE)</f>
        <v>#N/A</v>
      </c>
      <c r="U2219" s="19" t="e">
        <f>VLOOKUP(A2219,[4]Piece!$E:$G,3,FALSE)</f>
        <v>#N/A</v>
      </c>
      <c r="V2219" s="21" t="e">
        <f t="shared" si="138"/>
        <v>#N/A</v>
      </c>
      <c r="W2219" s="16" t="e">
        <f t="shared" si="139"/>
        <v>#N/A</v>
      </c>
    </row>
    <row r="2220" spans="1:23" hidden="1" x14ac:dyDescent="0.3">
      <c r="A2220" s="71" t="s">
        <v>4376</v>
      </c>
      <c r="B2220" s="71" t="s">
        <v>4376</v>
      </c>
      <c r="C2220" s="47" t="s">
        <v>33</v>
      </c>
      <c r="D2220" s="48" t="s">
        <v>34</v>
      </c>
      <c r="E2220" s="18" t="s">
        <v>4377</v>
      </c>
      <c r="F2220" s="24" t="str">
        <f t="shared" si="136"/>
        <v>PPG - S'COVER 400 SET WHITE         7000001400</v>
      </c>
      <c r="G2220" s="20" t="s">
        <v>7090</v>
      </c>
      <c r="H2220" s="49" t="s">
        <v>213</v>
      </c>
      <c r="I2220" s="18" t="s">
        <v>37</v>
      </c>
      <c r="J2220" s="18" t="s">
        <v>38</v>
      </c>
      <c r="K2220" t="s">
        <v>39</v>
      </c>
      <c r="L2220" s="50">
        <f>VLOOKUP(A2220,'[3]Price info'!A:D,4,FALSE)</f>
        <v>125.22</v>
      </c>
      <c r="M2220" s="18" t="s">
        <v>214</v>
      </c>
      <c r="N2220" s="20">
        <v>3105</v>
      </c>
      <c r="P2220" s="16">
        <f>VLOOKUP(A2220,'[3]Price info'!A:H,8,FALSE)</f>
        <v>125.22</v>
      </c>
      <c r="Q2220" s="17">
        <f t="shared" si="137"/>
        <v>1</v>
      </c>
      <c r="S2220" s="16" t="e">
        <f>VLOOKUP(A2220,[4]Sales!$E:$G,3,FALSE)</f>
        <v>#N/A</v>
      </c>
      <c r="T2220" s="19" t="e">
        <f>VLOOKUP(A2220,[4]Volume!$E:$G,3,FALSE)</f>
        <v>#N/A</v>
      </c>
      <c r="U2220" s="19" t="e">
        <f>VLOOKUP(A2220,[4]Piece!$E:$G,3,FALSE)</f>
        <v>#N/A</v>
      </c>
      <c r="V2220" s="21" t="e">
        <f t="shared" si="138"/>
        <v>#N/A</v>
      </c>
      <c r="W2220" s="16" t="e">
        <f t="shared" si="139"/>
        <v>#N/A</v>
      </c>
    </row>
    <row r="2221" spans="1:23" hidden="1" x14ac:dyDescent="0.3">
      <c r="A2221" s="71" t="s">
        <v>4378</v>
      </c>
      <c r="B2221" s="71" t="s">
        <v>4378</v>
      </c>
      <c r="C2221" s="47" t="s">
        <v>33</v>
      </c>
      <c r="D2221" s="48" t="s">
        <v>34</v>
      </c>
      <c r="E2221" s="18" t="s">
        <v>4379</v>
      </c>
      <c r="F2221" s="24" t="str">
        <f t="shared" si="136"/>
        <v>PPG - S'COVER 400 SET WHITE         7000002200</v>
      </c>
      <c r="G2221" s="20" t="s">
        <v>7091</v>
      </c>
      <c r="H2221" s="49" t="s">
        <v>213</v>
      </c>
      <c r="I2221" s="18" t="s">
        <v>37</v>
      </c>
      <c r="J2221" s="18" t="s">
        <v>38</v>
      </c>
      <c r="K2221" t="s">
        <v>39</v>
      </c>
      <c r="L2221" s="50">
        <f>VLOOKUP(A2221,'[3]Price info'!A:D,4,FALSE)</f>
        <v>560.61</v>
      </c>
      <c r="M2221" s="18" t="s">
        <v>214</v>
      </c>
      <c r="N2221" s="20">
        <v>3105</v>
      </c>
      <c r="P2221" s="16">
        <f>VLOOKUP(A2221,'[3]Price info'!A:H,8,FALSE)</f>
        <v>560.61</v>
      </c>
      <c r="Q2221" s="17">
        <f t="shared" si="137"/>
        <v>1</v>
      </c>
      <c r="S2221" s="16" t="e">
        <f>VLOOKUP(A2221,[4]Sales!$E:$G,3,FALSE)</f>
        <v>#N/A</v>
      </c>
      <c r="T2221" s="19" t="e">
        <f>VLOOKUP(A2221,[4]Volume!$E:$G,3,FALSE)</f>
        <v>#N/A</v>
      </c>
      <c r="U2221" s="19" t="e">
        <f>VLOOKUP(A2221,[4]Piece!$E:$G,3,FALSE)</f>
        <v>#N/A</v>
      </c>
      <c r="V2221" s="21" t="e">
        <f t="shared" si="138"/>
        <v>#N/A</v>
      </c>
      <c r="W2221" s="16" t="e">
        <f t="shared" si="139"/>
        <v>#N/A</v>
      </c>
    </row>
    <row r="2222" spans="1:23" hidden="1" x14ac:dyDescent="0.3">
      <c r="A2222" s="71" t="s">
        <v>4380</v>
      </c>
      <c r="B2222" s="71" t="s">
        <v>4380</v>
      </c>
      <c r="C2222" s="51" t="s">
        <v>33</v>
      </c>
      <c r="D2222" s="48" t="s">
        <v>34</v>
      </c>
      <c r="E2222" s="18" t="s">
        <v>4381</v>
      </c>
      <c r="F2222" s="24" t="str">
        <f t="shared" si="136"/>
        <v>PPG - S'COVER 410 SET MIO DARKGREY  9120052200</v>
      </c>
      <c r="G2222" s="20" t="s">
        <v>7092</v>
      </c>
      <c r="H2222" s="49" t="s">
        <v>213</v>
      </c>
      <c r="I2222" s="18" t="s">
        <v>37</v>
      </c>
      <c r="J2222" s="18" t="s">
        <v>38</v>
      </c>
      <c r="K2222" t="s">
        <v>39</v>
      </c>
      <c r="L2222" s="50">
        <f>VLOOKUP(A2222,'[3]Price info'!A:D,4,FALSE)</f>
        <v>506.77</v>
      </c>
      <c r="M2222" s="18" t="s">
        <v>214</v>
      </c>
      <c r="N2222" s="20">
        <v>3105</v>
      </c>
      <c r="P2222" s="16">
        <f>VLOOKUP(A2222,'[3]Price info'!A:H,8,FALSE)</f>
        <v>506.77</v>
      </c>
      <c r="Q2222" s="17">
        <f t="shared" si="137"/>
        <v>1</v>
      </c>
      <c r="S2222" s="16" t="e">
        <f>VLOOKUP(A2222,[4]Sales!$E:$G,3,FALSE)</f>
        <v>#N/A</v>
      </c>
      <c r="T2222" s="19" t="e">
        <f>VLOOKUP(A2222,[4]Volume!$E:$G,3,FALSE)</f>
        <v>#N/A</v>
      </c>
      <c r="U2222" s="19" t="e">
        <f>VLOOKUP(A2222,[4]Piece!$E:$G,3,FALSE)</f>
        <v>#N/A</v>
      </c>
      <c r="V2222" s="21" t="e">
        <f t="shared" si="138"/>
        <v>#N/A</v>
      </c>
      <c r="W2222" s="16" t="e">
        <f t="shared" si="139"/>
        <v>#N/A</v>
      </c>
    </row>
    <row r="2223" spans="1:23" hidden="1" x14ac:dyDescent="0.3">
      <c r="A2223" s="71" t="s">
        <v>4382</v>
      </c>
      <c r="B2223" s="71" t="s">
        <v>4382</v>
      </c>
      <c r="C2223" s="47" t="s">
        <v>33</v>
      </c>
      <c r="D2223" s="48" t="s">
        <v>34</v>
      </c>
      <c r="E2223" s="18" t="s">
        <v>4383</v>
      </c>
      <c r="F2223" s="24" t="str">
        <f t="shared" si="136"/>
        <v>PPG - S'COVER 410 SET MIO LIGHTGREY 9110052200</v>
      </c>
      <c r="G2223" s="20" t="s">
        <v>7093</v>
      </c>
      <c r="H2223" s="49" t="s">
        <v>213</v>
      </c>
      <c r="I2223" s="18" t="s">
        <v>37</v>
      </c>
      <c r="J2223" s="18" t="s">
        <v>38</v>
      </c>
      <c r="K2223" t="s">
        <v>39</v>
      </c>
      <c r="L2223" s="50">
        <f>VLOOKUP(A2223,'[3]Price info'!A:D,4,FALSE)</f>
        <v>506.77</v>
      </c>
      <c r="M2223" s="18" t="s">
        <v>214</v>
      </c>
      <c r="N2223" s="20">
        <v>3105</v>
      </c>
      <c r="P2223" s="16">
        <f>VLOOKUP(A2223,'[3]Price info'!A:H,8,FALSE)</f>
        <v>506.77</v>
      </c>
      <c r="Q2223" s="17">
        <f t="shared" si="137"/>
        <v>1</v>
      </c>
      <c r="S2223" s="16" t="e">
        <f>VLOOKUP(A2223,[4]Sales!$E:$G,3,FALSE)</f>
        <v>#N/A</v>
      </c>
      <c r="T2223" s="19" t="e">
        <f>VLOOKUP(A2223,[4]Volume!$E:$G,3,FALSE)</f>
        <v>#N/A</v>
      </c>
      <c r="U2223" s="19" t="e">
        <f>VLOOKUP(A2223,[4]Piece!$E:$G,3,FALSE)</f>
        <v>#N/A</v>
      </c>
      <c r="V2223" s="21" t="e">
        <f t="shared" si="138"/>
        <v>#N/A</v>
      </c>
      <c r="W2223" s="16" t="e">
        <f t="shared" si="139"/>
        <v>#N/A</v>
      </c>
    </row>
    <row r="2224" spans="1:23" hidden="1" x14ac:dyDescent="0.3">
      <c r="A2224" s="71" t="s">
        <v>4384</v>
      </c>
      <c r="B2224" s="71" t="s">
        <v>4384</v>
      </c>
      <c r="C2224" s="47" t="s">
        <v>33</v>
      </c>
      <c r="D2224" s="48" t="s">
        <v>34</v>
      </c>
      <c r="E2224" s="18" t="s">
        <v>4385</v>
      </c>
      <c r="F2224" s="24" t="str">
        <f t="shared" si="136"/>
        <v>PPG - S'COVER 410 SET OFFWHITE      7001002200</v>
      </c>
      <c r="G2224" s="20" t="s">
        <v>7094</v>
      </c>
      <c r="H2224" s="49" t="s">
        <v>213</v>
      </c>
      <c r="I2224" s="18" t="s">
        <v>37</v>
      </c>
      <c r="J2224" s="18" t="s">
        <v>38</v>
      </c>
      <c r="K2224" t="s">
        <v>39</v>
      </c>
      <c r="L2224" s="50">
        <f>VLOOKUP(A2224,'[3]Price info'!A:D,4,FALSE)</f>
        <v>506.77</v>
      </c>
      <c r="M2224" s="18" t="s">
        <v>214</v>
      </c>
      <c r="N2224" s="20">
        <v>3105</v>
      </c>
      <c r="P2224" s="16">
        <f>VLOOKUP(A2224,'[3]Price info'!A:H,8,FALSE)</f>
        <v>506.77</v>
      </c>
      <c r="Q2224" s="17">
        <f t="shared" si="137"/>
        <v>1</v>
      </c>
      <c r="S2224" s="16" t="e">
        <f>VLOOKUP(A2224,[4]Sales!$E:$G,3,FALSE)</f>
        <v>#N/A</v>
      </c>
      <c r="T2224" s="19" t="e">
        <f>VLOOKUP(A2224,[4]Volume!$E:$G,3,FALSE)</f>
        <v>#N/A</v>
      </c>
      <c r="U2224" s="19" t="e">
        <f>VLOOKUP(A2224,[4]Piece!$E:$G,3,FALSE)</f>
        <v>#N/A</v>
      </c>
      <c r="V2224" s="21" t="e">
        <f t="shared" si="138"/>
        <v>#N/A</v>
      </c>
      <c r="W2224" s="16" t="e">
        <f t="shared" si="139"/>
        <v>#N/A</v>
      </c>
    </row>
    <row r="2225" spans="1:23" hidden="1" x14ac:dyDescent="0.3">
      <c r="A2225" s="71" t="s">
        <v>4386</v>
      </c>
      <c r="B2225" s="71" t="s">
        <v>4386</v>
      </c>
      <c r="C2225" s="51" t="s">
        <v>33</v>
      </c>
      <c r="D2225" s="48" t="s">
        <v>34</v>
      </c>
      <c r="E2225" s="18" t="s">
        <v>4387</v>
      </c>
      <c r="F2225" s="24" t="str">
        <f t="shared" si="136"/>
        <v>PPG - S'COVER 435 SET               9558051400</v>
      </c>
      <c r="G2225" s="20" t="s">
        <v>7095</v>
      </c>
      <c r="H2225" s="49" t="s">
        <v>213</v>
      </c>
      <c r="I2225" s="18" t="s">
        <v>37</v>
      </c>
      <c r="J2225" s="18" t="s">
        <v>38</v>
      </c>
      <c r="K2225" t="s">
        <v>39</v>
      </c>
      <c r="L2225" s="50">
        <f>VLOOKUP(A2225,'[3]Price info'!A:D,4,FALSE)</f>
        <v>106.42</v>
      </c>
      <c r="M2225" s="18" t="s">
        <v>214</v>
      </c>
      <c r="N2225" s="20">
        <v>3105</v>
      </c>
      <c r="P2225" s="16">
        <f>VLOOKUP(A2225,'[3]Price info'!A:H,8,FALSE)</f>
        <v>106.42</v>
      </c>
      <c r="Q2225" s="17">
        <f t="shared" si="137"/>
        <v>1</v>
      </c>
      <c r="S2225" s="16" t="e">
        <f>VLOOKUP(A2225,[4]Sales!$E:$G,3,FALSE)</f>
        <v>#N/A</v>
      </c>
      <c r="T2225" s="19" t="e">
        <f>VLOOKUP(A2225,[4]Volume!$E:$G,3,FALSE)</f>
        <v>#N/A</v>
      </c>
      <c r="U2225" s="19" t="e">
        <f>VLOOKUP(A2225,[4]Piece!$E:$G,3,FALSE)</f>
        <v>#N/A</v>
      </c>
      <c r="V2225" s="21" t="e">
        <f t="shared" si="138"/>
        <v>#N/A</v>
      </c>
      <c r="W2225" s="16" t="e">
        <f t="shared" si="139"/>
        <v>#N/A</v>
      </c>
    </row>
    <row r="2226" spans="1:23" hidden="1" x14ac:dyDescent="0.3">
      <c r="A2226" s="71" t="s">
        <v>4388</v>
      </c>
      <c r="B2226" s="71" t="s">
        <v>4388</v>
      </c>
      <c r="C2226" s="47" t="s">
        <v>33</v>
      </c>
      <c r="D2226" s="48" t="s">
        <v>34</v>
      </c>
      <c r="E2226" s="18" t="s">
        <v>4389</v>
      </c>
      <c r="F2226" s="24" t="str">
        <f t="shared" si="136"/>
        <v>PPG - S'COVER 435 SET LIGHTGREY     9553051400</v>
      </c>
      <c r="G2226" s="20" t="s">
        <v>7096</v>
      </c>
      <c r="H2226" s="49" t="s">
        <v>213</v>
      </c>
      <c r="I2226" s="18" t="s">
        <v>37</v>
      </c>
      <c r="J2226" s="18" t="s">
        <v>38</v>
      </c>
      <c r="K2226" t="s">
        <v>39</v>
      </c>
      <c r="L2226" s="50">
        <f>VLOOKUP(A2226,'[3]Price info'!A:D,4,FALSE)</f>
        <v>106.42</v>
      </c>
      <c r="M2226" s="18" t="s">
        <v>214</v>
      </c>
      <c r="N2226" s="20">
        <v>3105</v>
      </c>
      <c r="P2226" s="16">
        <f>VLOOKUP(A2226,'[3]Price info'!A:H,8,FALSE)</f>
        <v>106.42</v>
      </c>
      <c r="Q2226" s="17">
        <f t="shared" si="137"/>
        <v>1</v>
      </c>
      <c r="S2226" s="16" t="e">
        <f>VLOOKUP(A2226,[4]Sales!$E:$G,3,FALSE)</f>
        <v>#N/A</v>
      </c>
      <c r="T2226" s="19" t="e">
        <f>VLOOKUP(A2226,[4]Volume!$E:$G,3,FALSE)</f>
        <v>#N/A</v>
      </c>
      <c r="U2226" s="19" t="e">
        <f>VLOOKUP(A2226,[4]Piece!$E:$G,3,FALSE)</f>
        <v>#N/A</v>
      </c>
      <c r="V2226" s="21" t="e">
        <f t="shared" si="138"/>
        <v>#N/A</v>
      </c>
      <c r="W2226" s="16" t="e">
        <f t="shared" si="139"/>
        <v>#N/A</v>
      </c>
    </row>
    <row r="2227" spans="1:23" hidden="1" x14ac:dyDescent="0.3">
      <c r="A2227" s="71" t="s">
        <v>4390</v>
      </c>
      <c r="B2227" s="71" t="s">
        <v>4390</v>
      </c>
      <c r="C2227" s="47" t="s">
        <v>33</v>
      </c>
      <c r="D2227" s="48" t="s">
        <v>34</v>
      </c>
      <c r="E2227" s="18" t="s">
        <v>4391</v>
      </c>
      <c r="F2227" s="24" t="str">
        <f t="shared" si="136"/>
        <v>PPG - S'COVER 435 SET LIGHTGREY     9553052200</v>
      </c>
      <c r="G2227" s="20" t="s">
        <v>7097</v>
      </c>
      <c r="H2227" s="49" t="s">
        <v>213</v>
      </c>
      <c r="I2227" s="18" t="s">
        <v>37</v>
      </c>
      <c r="J2227" s="18" t="s">
        <v>38</v>
      </c>
      <c r="K2227" t="s">
        <v>39</v>
      </c>
      <c r="L2227" s="50">
        <f>VLOOKUP(A2227,'[3]Price info'!A:D,4,FALSE)</f>
        <v>476.58</v>
      </c>
      <c r="M2227" s="18" t="s">
        <v>214</v>
      </c>
      <c r="N2227" s="20">
        <v>3105</v>
      </c>
      <c r="P2227" s="16">
        <f>VLOOKUP(A2227,'[3]Price info'!A:H,8,FALSE)</f>
        <v>476.58</v>
      </c>
      <c r="Q2227" s="17">
        <f t="shared" si="137"/>
        <v>1</v>
      </c>
      <c r="S2227" s="16" t="e">
        <f>VLOOKUP(A2227,[4]Sales!$E:$G,3,FALSE)</f>
        <v>#N/A</v>
      </c>
      <c r="T2227" s="19" t="e">
        <f>VLOOKUP(A2227,[4]Volume!$E:$G,3,FALSE)</f>
        <v>#N/A</v>
      </c>
      <c r="U2227" s="19" t="e">
        <f>VLOOKUP(A2227,[4]Piece!$E:$G,3,FALSE)</f>
        <v>#N/A</v>
      </c>
      <c r="V2227" s="21" t="e">
        <f t="shared" si="138"/>
        <v>#N/A</v>
      </c>
      <c r="W2227" s="16" t="e">
        <f t="shared" si="139"/>
        <v>#N/A</v>
      </c>
    </row>
    <row r="2228" spans="1:23" hidden="1" x14ac:dyDescent="0.3">
      <c r="A2228" s="71" t="s">
        <v>4392</v>
      </c>
      <c r="B2228" s="71" t="s">
        <v>4392</v>
      </c>
      <c r="C2228" s="51" t="s">
        <v>33</v>
      </c>
      <c r="D2228" s="48" t="s">
        <v>34</v>
      </c>
      <c r="E2228" s="18" t="s">
        <v>4393</v>
      </c>
      <c r="F2228" s="24" t="str">
        <f t="shared" si="136"/>
        <v>PPG - S'COVER 456 HS SET RAL        9010262200</v>
      </c>
      <c r="G2228" s="20" t="s">
        <v>7098</v>
      </c>
      <c r="H2228" s="49" t="s">
        <v>213</v>
      </c>
      <c r="I2228" s="18" t="s">
        <v>37</v>
      </c>
      <c r="J2228" s="18" t="s">
        <v>38</v>
      </c>
      <c r="K2228" t="s">
        <v>39</v>
      </c>
      <c r="L2228" s="50">
        <f>VLOOKUP(A2228,'[3]Price info'!A:D,4,FALSE)</f>
        <v>725.56</v>
      </c>
      <c r="M2228" s="18" t="s">
        <v>214</v>
      </c>
      <c r="N2228" s="20">
        <v>3105</v>
      </c>
      <c r="P2228" s="16">
        <f>VLOOKUP(A2228,'[3]Price info'!A:H,8,FALSE)</f>
        <v>725.56</v>
      </c>
      <c r="Q2228" s="17">
        <f t="shared" si="137"/>
        <v>1</v>
      </c>
      <c r="S2228" s="16" t="e">
        <f>VLOOKUP(A2228,[4]Sales!$E:$G,3,FALSE)</f>
        <v>#N/A</v>
      </c>
      <c r="T2228" s="19" t="e">
        <f>VLOOKUP(A2228,[4]Volume!$E:$G,3,FALSE)</f>
        <v>#N/A</v>
      </c>
      <c r="U2228" s="19" t="e">
        <f>VLOOKUP(A2228,[4]Piece!$E:$G,3,FALSE)</f>
        <v>#N/A</v>
      </c>
      <c r="V2228" s="21" t="e">
        <f t="shared" si="138"/>
        <v>#N/A</v>
      </c>
      <c r="W2228" s="16" t="e">
        <f t="shared" si="139"/>
        <v>#N/A</v>
      </c>
    </row>
    <row r="2229" spans="1:23" hidden="1" x14ac:dyDescent="0.3">
      <c r="A2229" s="71" t="s">
        <v>4394</v>
      </c>
      <c r="B2229" s="71" t="s">
        <v>4394</v>
      </c>
      <c r="C2229" s="47" t="s">
        <v>33</v>
      </c>
      <c r="D2229" s="48" t="s">
        <v>34</v>
      </c>
      <c r="E2229" s="18" t="s">
        <v>4395</v>
      </c>
      <c r="F2229" s="24" t="str">
        <f t="shared" si="136"/>
        <v>PPG - S'COVER 456 SET BLACK         8000001400</v>
      </c>
      <c r="G2229" s="20" t="s">
        <v>7099</v>
      </c>
      <c r="H2229" s="49" t="s">
        <v>213</v>
      </c>
      <c r="I2229" s="18" t="s">
        <v>37</v>
      </c>
      <c r="J2229" s="18" t="s">
        <v>38</v>
      </c>
      <c r="K2229" t="s">
        <v>39</v>
      </c>
      <c r="L2229" s="50">
        <f>VLOOKUP(A2229,'[3]Price info'!A:D,4,FALSE)</f>
        <v>118.33</v>
      </c>
      <c r="M2229" s="18" t="s">
        <v>214</v>
      </c>
      <c r="N2229" s="20">
        <v>3105</v>
      </c>
      <c r="P2229" s="16">
        <f>VLOOKUP(A2229,'[3]Price info'!A:H,8,FALSE)</f>
        <v>118.33</v>
      </c>
      <c r="Q2229" s="17">
        <f t="shared" si="137"/>
        <v>1</v>
      </c>
      <c r="S2229" s="16" t="e">
        <f>VLOOKUP(A2229,[4]Sales!$E:$G,3,FALSE)</f>
        <v>#N/A</v>
      </c>
      <c r="T2229" s="19" t="e">
        <f>VLOOKUP(A2229,[4]Volume!$E:$G,3,FALSE)</f>
        <v>#N/A</v>
      </c>
      <c r="U2229" s="19" t="e">
        <f>VLOOKUP(A2229,[4]Piece!$E:$G,3,FALSE)</f>
        <v>#N/A</v>
      </c>
      <c r="V2229" s="21" t="e">
        <f t="shared" si="138"/>
        <v>#N/A</v>
      </c>
      <c r="W2229" s="16" t="e">
        <f t="shared" si="139"/>
        <v>#N/A</v>
      </c>
    </row>
    <row r="2230" spans="1:23" hidden="1" x14ac:dyDescent="0.3">
      <c r="A2230" s="71" t="s">
        <v>4396</v>
      </c>
      <c r="B2230" s="71" t="s">
        <v>4396</v>
      </c>
      <c r="C2230" s="47" t="s">
        <v>33</v>
      </c>
      <c r="D2230" s="48" t="s">
        <v>34</v>
      </c>
      <c r="E2230" s="18" t="s">
        <v>4397</v>
      </c>
      <c r="F2230" s="24" t="str">
        <f t="shared" si="136"/>
        <v>PPG - S'COVER 456 SET BLACK         8000002200</v>
      </c>
      <c r="G2230" s="20" t="s">
        <v>7100</v>
      </c>
      <c r="H2230" s="49" t="s">
        <v>213</v>
      </c>
      <c r="I2230" s="18" t="s">
        <v>37</v>
      </c>
      <c r="J2230" s="18" t="s">
        <v>38</v>
      </c>
      <c r="K2230" t="s">
        <v>39</v>
      </c>
      <c r="L2230" s="50">
        <f>VLOOKUP(A2230,'[3]Price info'!A:D,4,FALSE)</f>
        <v>530.13</v>
      </c>
      <c r="M2230" s="18" t="s">
        <v>214</v>
      </c>
      <c r="N2230" s="20">
        <v>3105</v>
      </c>
      <c r="P2230" s="16">
        <f>VLOOKUP(A2230,'[3]Price info'!A:H,8,FALSE)</f>
        <v>530.13</v>
      </c>
      <c r="Q2230" s="17">
        <f t="shared" si="137"/>
        <v>1</v>
      </c>
      <c r="S2230" s="16" t="e">
        <f>VLOOKUP(A2230,[4]Sales!$E:$G,3,FALSE)</f>
        <v>#N/A</v>
      </c>
      <c r="T2230" s="19" t="e">
        <f>VLOOKUP(A2230,[4]Volume!$E:$G,3,FALSE)</f>
        <v>#N/A</v>
      </c>
      <c r="U2230" s="19" t="e">
        <f>VLOOKUP(A2230,[4]Piece!$E:$G,3,FALSE)</f>
        <v>#N/A</v>
      </c>
      <c r="V2230" s="21" t="e">
        <f t="shared" si="138"/>
        <v>#N/A</v>
      </c>
      <c r="W2230" s="16" t="e">
        <f t="shared" si="139"/>
        <v>#N/A</v>
      </c>
    </row>
    <row r="2231" spans="1:23" hidden="1" x14ac:dyDescent="0.3">
      <c r="A2231" s="71" t="s">
        <v>4398</v>
      </c>
      <c r="B2231" s="71" t="s">
        <v>4398</v>
      </c>
      <c r="C2231" s="51" t="s">
        <v>33</v>
      </c>
      <c r="D2231" s="48" t="s">
        <v>34</v>
      </c>
      <c r="E2231" s="18" t="s">
        <v>4399</v>
      </c>
      <c r="F2231" s="24" t="str">
        <f t="shared" si="136"/>
        <v>PPG - S'COVER 456 SET BS           00A05301400</v>
      </c>
      <c r="G2231" s="20" t="s">
        <v>7101</v>
      </c>
      <c r="H2231" s="49" t="s">
        <v>213</v>
      </c>
      <c r="I2231" s="18" t="s">
        <v>37</v>
      </c>
      <c r="J2231" s="18" t="s">
        <v>38</v>
      </c>
      <c r="K2231" t="s">
        <v>39</v>
      </c>
      <c r="L2231" s="50">
        <f>VLOOKUP(A2231,'[3]Price info'!A:D,4,FALSE)</f>
        <v>118.33</v>
      </c>
      <c r="M2231" s="18" t="s">
        <v>214</v>
      </c>
      <c r="N2231" s="20">
        <v>3105</v>
      </c>
      <c r="P2231" s="16">
        <f>VLOOKUP(A2231,'[3]Price info'!A:H,8,FALSE)</f>
        <v>118.33</v>
      </c>
      <c r="Q2231" s="17">
        <f t="shared" si="137"/>
        <v>1</v>
      </c>
      <c r="S2231" s="16" t="e">
        <f>VLOOKUP(A2231,[4]Sales!$E:$G,3,FALSE)</f>
        <v>#N/A</v>
      </c>
      <c r="T2231" s="19" t="e">
        <f>VLOOKUP(A2231,[4]Volume!$E:$G,3,FALSE)</f>
        <v>#N/A</v>
      </c>
      <c r="U2231" s="19" t="e">
        <f>VLOOKUP(A2231,[4]Piece!$E:$G,3,FALSE)</f>
        <v>#N/A</v>
      </c>
      <c r="V2231" s="21" t="e">
        <f t="shared" si="138"/>
        <v>#N/A</v>
      </c>
      <c r="W2231" s="16" t="e">
        <f t="shared" si="139"/>
        <v>#N/A</v>
      </c>
    </row>
    <row r="2232" spans="1:23" hidden="1" x14ac:dyDescent="0.3">
      <c r="A2232" s="71" t="s">
        <v>4400</v>
      </c>
      <c r="B2232" s="71" t="s">
        <v>4400</v>
      </c>
      <c r="C2232" s="47" t="s">
        <v>33</v>
      </c>
      <c r="D2232" s="48" t="s">
        <v>34</v>
      </c>
      <c r="E2232" s="18" t="s">
        <v>4401</v>
      </c>
      <c r="F2232" s="24" t="str">
        <f t="shared" si="136"/>
        <v>PPG - S'COVER 456 SET BS           00A05302200</v>
      </c>
      <c r="G2232" s="20" t="s">
        <v>7102</v>
      </c>
      <c r="H2232" s="49" t="s">
        <v>213</v>
      </c>
      <c r="I2232" s="18" t="s">
        <v>37</v>
      </c>
      <c r="J2232" s="18" t="s">
        <v>38</v>
      </c>
      <c r="K2232" t="s">
        <v>39</v>
      </c>
      <c r="L2232" s="50">
        <f>VLOOKUP(A2232,'[3]Price info'!A:D,4,FALSE)</f>
        <v>530.13</v>
      </c>
      <c r="M2232" s="18" t="s">
        <v>214</v>
      </c>
      <c r="N2232" s="20">
        <v>3105</v>
      </c>
      <c r="P2232" s="16">
        <f>VLOOKUP(A2232,'[3]Price info'!A:H,8,FALSE)</f>
        <v>530.13</v>
      </c>
      <c r="Q2232" s="17">
        <f t="shared" si="137"/>
        <v>1</v>
      </c>
      <c r="S2232" s="16" t="e">
        <f>VLOOKUP(A2232,[4]Sales!$E:$G,3,FALSE)</f>
        <v>#N/A</v>
      </c>
      <c r="T2232" s="19" t="e">
        <f>VLOOKUP(A2232,[4]Volume!$E:$G,3,FALSE)</f>
        <v>#N/A</v>
      </c>
      <c r="U2232" s="19" t="e">
        <f>VLOOKUP(A2232,[4]Piece!$E:$G,3,FALSE)</f>
        <v>#N/A</v>
      </c>
      <c r="V2232" s="21" t="e">
        <f t="shared" si="138"/>
        <v>#N/A</v>
      </c>
      <c r="W2232" s="16" t="e">
        <f t="shared" si="139"/>
        <v>#N/A</v>
      </c>
    </row>
    <row r="2233" spans="1:23" hidden="1" x14ac:dyDescent="0.3">
      <c r="A2233" s="71" t="s">
        <v>4402</v>
      </c>
      <c r="B2233" s="71" t="s">
        <v>4402</v>
      </c>
      <c r="C2233" s="47" t="s">
        <v>33</v>
      </c>
      <c r="D2233" s="48" t="s">
        <v>34</v>
      </c>
      <c r="E2233" s="18" t="s">
        <v>4403</v>
      </c>
      <c r="F2233" s="24" t="str">
        <f t="shared" si="136"/>
        <v>PPG - S'COVER 456 SET GREY          5163052200</v>
      </c>
      <c r="G2233" s="20" t="s">
        <v>7103</v>
      </c>
      <c r="H2233" s="49" t="s">
        <v>213</v>
      </c>
      <c r="I2233" s="18" t="s">
        <v>37</v>
      </c>
      <c r="J2233" s="18" t="s">
        <v>38</v>
      </c>
      <c r="K2233" t="s">
        <v>39</v>
      </c>
      <c r="L2233" s="50">
        <f>VLOOKUP(A2233,'[3]Price info'!A:D,4,FALSE)</f>
        <v>529.85</v>
      </c>
      <c r="M2233" s="18" t="s">
        <v>214</v>
      </c>
      <c r="N2233" s="20">
        <v>3105</v>
      </c>
      <c r="P2233" s="16">
        <f>VLOOKUP(A2233,'[3]Price info'!A:H,8,FALSE)</f>
        <v>529.85</v>
      </c>
      <c r="Q2233" s="17">
        <f t="shared" si="137"/>
        <v>1</v>
      </c>
      <c r="S2233" s="16" t="e">
        <f>VLOOKUP(A2233,[4]Sales!$E:$G,3,FALSE)</f>
        <v>#N/A</v>
      </c>
      <c r="T2233" s="19" t="e">
        <f>VLOOKUP(A2233,[4]Volume!$E:$G,3,FALSE)</f>
        <v>#N/A</v>
      </c>
      <c r="U2233" s="19" t="e">
        <f>VLOOKUP(A2233,[4]Piece!$E:$G,3,FALSE)</f>
        <v>#N/A</v>
      </c>
      <c r="V2233" s="21" t="e">
        <f t="shared" si="138"/>
        <v>#N/A</v>
      </c>
      <c r="W2233" s="16" t="e">
        <f t="shared" si="139"/>
        <v>#N/A</v>
      </c>
    </row>
    <row r="2234" spans="1:23" hidden="1" x14ac:dyDescent="0.3">
      <c r="A2234" s="71" t="s">
        <v>4404</v>
      </c>
      <c r="B2234" s="71" t="s">
        <v>4404</v>
      </c>
      <c r="C2234" s="51" t="s">
        <v>33</v>
      </c>
      <c r="D2234" s="48" t="s">
        <v>34</v>
      </c>
      <c r="E2234" s="18" t="s">
        <v>4405</v>
      </c>
      <c r="F2234" s="24" t="str">
        <f t="shared" si="136"/>
        <v>PPG - S'COVER 456 SET GREY          5177052200</v>
      </c>
      <c r="G2234" s="20" t="s">
        <v>7104</v>
      </c>
      <c r="H2234" s="49" t="s">
        <v>213</v>
      </c>
      <c r="I2234" s="18" t="s">
        <v>37</v>
      </c>
      <c r="J2234" s="18" t="s">
        <v>38</v>
      </c>
      <c r="K2234" t="s">
        <v>39</v>
      </c>
      <c r="L2234" s="50">
        <f>VLOOKUP(A2234,'[3]Price info'!A:D,4,FALSE)</f>
        <v>529.85</v>
      </c>
      <c r="M2234" s="18" t="s">
        <v>214</v>
      </c>
      <c r="N2234" s="20">
        <v>3105</v>
      </c>
      <c r="P2234" s="16">
        <f>VLOOKUP(A2234,'[3]Price info'!A:H,8,FALSE)</f>
        <v>529.85</v>
      </c>
      <c r="Q2234" s="17">
        <f t="shared" si="137"/>
        <v>1</v>
      </c>
      <c r="S2234" s="16" t="e">
        <f>VLOOKUP(A2234,[4]Sales!$E:$G,3,FALSE)</f>
        <v>#N/A</v>
      </c>
      <c r="T2234" s="19" t="e">
        <f>VLOOKUP(A2234,[4]Volume!$E:$G,3,FALSE)</f>
        <v>#N/A</v>
      </c>
      <c r="U2234" s="19" t="e">
        <f>VLOOKUP(A2234,[4]Piece!$E:$G,3,FALSE)</f>
        <v>#N/A</v>
      </c>
      <c r="V2234" s="21" t="e">
        <f t="shared" si="138"/>
        <v>#N/A</v>
      </c>
      <c r="W2234" s="16" t="e">
        <f t="shared" si="139"/>
        <v>#N/A</v>
      </c>
    </row>
    <row r="2235" spans="1:23" hidden="1" x14ac:dyDescent="0.3">
      <c r="A2235" s="71" t="s">
        <v>4406</v>
      </c>
      <c r="B2235" s="71" t="s">
        <v>4406</v>
      </c>
      <c r="C2235" s="47" t="s">
        <v>33</v>
      </c>
      <c r="D2235" s="48" t="s">
        <v>34</v>
      </c>
      <c r="E2235" s="18" t="s">
        <v>4407</v>
      </c>
      <c r="F2235" s="24" t="str">
        <f t="shared" si="136"/>
        <v>PPG - S'COVER 456 SET RAL           1004261400</v>
      </c>
      <c r="G2235" s="20" t="s">
        <v>7105</v>
      </c>
      <c r="H2235" s="49" t="s">
        <v>213</v>
      </c>
      <c r="I2235" s="18" t="s">
        <v>37</v>
      </c>
      <c r="J2235" s="18" t="s">
        <v>38</v>
      </c>
      <c r="K2235" t="s">
        <v>39</v>
      </c>
      <c r="L2235" s="50">
        <f>VLOOKUP(A2235,'[3]Price info'!A:D,4,FALSE)</f>
        <v>162.43</v>
      </c>
      <c r="M2235" s="18" t="s">
        <v>214</v>
      </c>
      <c r="N2235" s="20">
        <v>3105</v>
      </c>
      <c r="P2235" s="16">
        <f>VLOOKUP(A2235,'[3]Price info'!A:H,8,FALSE)</f>
        <v>162.43</v>
      </c>
      <c r="Q2235" s="17">
        <f t="shared" si="137"/>
        <v>1</v>
      </c>
      <c r="S2235" s="16" t="e">
        <f>VLOOKUP(A2235,[4]Sales!$E:$G,3,FALSE)</f>
        <v>#N/A</v>
      </c>
      <c r="T2235" s="19" t="e">
        <f>VLOOKUP(A2235,[4]Volume!$E:$G,3,FALSE)</f>
        <v>#N/A</v>
      </c>
      <c r="U2235" s="19" t="e">
        <f>VLOOKUP(A2235,[4]Piece!$E:$G,3,FALSE)</f>
        <v>#N/A</v>
      </c>
      <c r="V2235" s="21" t="e">
        <f t="shared" si="138"/>
        <v>#N/A</v>
      </c>
      <c r="W2235" s="16" t="e">
        <f t="shared" si="139"/>
        <v>#N/A</v>
      </c>
    </row>
    <row r="2236" spans="1:23" hidden="1" x14ac:dyDescent="0.3">
      <c r="A2236" s="71" t="s">
        <v>4408</v>
      </c>
      <c r="B2236" s="71" t="s">
        <v>4408</v>
      </c>
      <c r="C2236" s="47" t="s">
        <v>33</v>
      </c>
      <c r="D2236" s="48" t="s">
        <v>34</v>
      </c>
      <c r="E2236" s="18" t="s">
        <v>4409</v>
      </c>
      <c r="F2236" s="24" t="str">
        <f t="shared" si="136"/>
        <v>PPG - S'COVER 456 SET WHITE         7000001400</v>
      </c>
      <c r="G2236" s="20" t="s">
        <v>7106</v>
      </c>
      <c r="H2236" s="49" t="s">
        <v>213</v>
      </c>
      <c r="I2236" s="18" t="s">
        <v>37</v>
      </c>
      <c r="J2236" s="18" t="s">
        <v>38</v>
      </c>
      <c r="K2236" t="s">
        <v>39</v>
      </c>
      <c r="L2236" s="50">
        <f>VLOOKUP(A2236,'[3]Price info'!A:D,4,FALSE)</f>
        <v>118.33</v>
      </c>
      <c r="M2236" s="18" t="s">
        <v>214</v>
      </c>
      <c r="N2236" s="20">
        <v>3105</v>
      </c>
      <c r="P2236" s="16">
        <f>VLOOKUP(A2236,'[3]Price info'!A:H,8,FALSE)</f>
        <v>118.33</v>
      </c>
      <c r="Q2236" s="17">
        <f t="shared" si="137"/>
        <v>1</v>
      </c>
      <c r="S2236" s="16" t="e">
        <f>VLOOKUP(A2236,[4]Sales!$E:$G,3,FALSE)</f>
        <v>#N/A</v>
      </c>
      <c r="T2236" s="19" t="e">
        <f>VLOOKUP(A2236,[4]Volume!$E:$G,3,FALSE)</f>
        <v>#N/A</v>
      </c>
      <c r="U2236" s="19" t="e">
        <f>VLOOKUP(A2236,[4]Piece!$E:$G,3,FALSE)</f>
        <v>#N/A</v>
      </c>
      <c r="V2236" s="21" t="e">
        <f t="shared" si="138"/>
        <v>#N/A</v>
      </c>
      <c r="W2236" s="16" t="e">
        <f t="shared" si="139"/>
        <v>#N/A</v>
      </c>
    </row>
    <row r="2237" spans="1:23" hidden="1" x14ac:dyDescent="0.3">
      <c r="A2237" s="71" t="s">
        <v>4410</v>
      </c>
      <c r="B2237" s="71" t="s">
        <v>4410</v>
      </c>
      <c r="C2237" s="51" t="s">
        <v>33</v>
      </c>
      <c r="D2237" s="48" t="s">
        <v>34</v>
      </c>
      <c r="E2237" s="18" t="s">
        <v>4411</v>
      </c>
      <c r="F2237" s="24" t="str">
        <f t="shared" si="136"/>
        <v>PPG - S'COVER 456 SET WHITE         7000002200</v>
      </c>
      <c r="G2237" s="20" t="s">
        <v>7107</v>
      </c>
      <c r="H2237" s="49" t="s">
        <v>213</v>
      </c>
      <c r="I2237" s="18" t="s">
        <v>37</v>
      </c>
      <c r="J2237" s="18" t="s">
        <v>38</v>
      </c>
      <c r="K2237" t="s">
        <v>39</v>
      </c>
      <c r="L2237" s="50">
        <f>VLOOKUP(A2237,'[3]Price info'!A:D,4,FALSE)</f>
        <v>530.13</v>
      </c>
      <c r="M2237" s="18" t="s">
        <v>214</v>
      </c>
      <c r="N2237" s="20">
        <v>3105</v>
      </c>
      <c r="P2237" s="16">
        <f>VLOOKUP(A2237,'[3]Price info'!A:H,8,FALSE)</f>
        <v>530.13</v>
      </c>
      <c r="Q2237" s="17">
        <f t="shared" si="137"/>
        <v>1</v>
      </c>
      <c r="S2237" s="16" t="e">
        <f>VLOOKUP(A2237,[4]Sales!$E:$G,3,FALSE)</f>
        <v>#N/A</v>
      </c>
      <c r="T2237" s="19" t="e">
        <f>VLOOKUP(A2237,[4]Volume!$E:$G,3,FALSE)</f>
        <v>#N/A</v>
      </c>
      <c r="U2237" s="19" t="e">
        <f>VLOOKUP(A2237,[4]Piece!$E:$G,3,FALSE)</f>
        <v>#N/A</v>
      </c>
      <c r="V2237" s="21" t="e">
        <f t="shared" si="138"/>
        <v>#N/A</v>
      </c>
      <c r="W2237" s="16" t="e">
        <f t="shared" si="139"/>
        <v>#N/A</v>
      </c>
    </row>
    <row r="2238" spans="1:23" hidden="1" x14ac:dyDescent="0.3">
      <c r="A2238" s="71" t="s">
        <v>4412</v>
      </c>
      <c r="B2238" s="71" t="s">
        <v>4412</v>
      </c>
      <c r="C2238" s="47" t="s">
        <v>33</v>
      </c>
      <c r="D2238" s="48" t="s">
        <v>34</v>
      </c>
      <c r="E2238" s="18" t="s">
        <v>4413</v>
      </c>
      <c r="F2238" s="24" t="str">
        <f t="shared" si="136"/>
        <v>PPG - S'COVER 522 SET GREEN         9048051400</v>
      </c>
      <c r="G2238" s="20" t="s">
        <v>7108</v>
      </c>
      <c r="H2238" s="49" t="s">
        <v>213</v>
      </c>
      <c r="I2238" s="18" t="s">
        <v>37</v>
      </c>
      <c r="J2238" s="18" t="s">
        <v>38</v>
      </c>
      <c r="K2238" t="s">
        <v>39</v>
      </c>
      <c r="L2238" s="50">
        <f>VLOOKUP(A2238,'[3]Price info'!A:D,4,FALSE)</f>
        <v>116.39</v>
      </c>
      <c r="M2238" s="18" t="s">
        <v>214</v>
      </c>
      <c r="N2238" s="20">
        <v>3105</v>
      </c>
      <c r="P2238" s="16">
        <f>VLOOKUP(A2238,'[3]Price info'!A:H,8,FALSE)</f>
        <v>116.39</v>
      </c>
      <c r="Q2238" s="17">
        <f t="shared" si="137"/>
        <v>1</v>
      </c>
      <c r="S2238" s="16" t="e">
        <f>VLOOKUP(A2238,[4]Sales!$E:$G,3,FALSE)</f>
        <v>#N/A</v>
      </c>
      <c r="T2238" s="19" t="e">
        <f>VLOOKUP(A2238,[4]Volume!$E:$G,3,FALSE)</f>
        <v>#N/A</v>
      </c>
      <c r="U2238" s="19" t="e">
        <f>VLOOKUP(A2238,[4]Piece!$E:$G,3,FALSE)</f>
        <v>#N/A</v>
      </c>
      <c r="V2238" s="21" t="e">
        <f t="shared" si="138"/>
        <v>#N/A</v>
      </c>
      <c r="W2238" s="16" t="e">
        <f t="shared" si="139"/>
        <v>#N/A</v>
      </c>
    </row>
    <row r="2239" spans="1:23" hidden="1" x14ac:dyDescent="0.3">
      <c r="A2239" s="71" t="s">
        <v>4414</v>
      </c>
      <c r="B2239" s="71" t="s">
        <v>4414</v>
      </c>
      <c r="C2239" s="47" t="s">
        <v>33</v>
      </c>
      <c r="D2239" s="48" t="s">
        <v>34</v>
      </c>
      <c r="E2239" s="18" t="s">
        <v>4415</v>
      </c>
      <c r="F2239" s="24" t="str">
        <f t="shared" si="136"/>
        <v>PPG - S'COVER 522 SET GREEN         9048052200</v>
      </c>
      <c r="G2239" s="20" t="s">
        <v>7109</v>
      </c>
      <c r="H2239" s="49" t="s">
        <v>213</v>
      </c>
      <c r="I2239" s="18" t="s">
        <v>37</v>
      </c>
      <c r="J2239" s="18" t="s">
        <v>38</v>
      </c>
      <c r="K2239" t="s">
        <v>39</v>
      </c>
      <c r="L2239" s="50">
        <f>VLOOKUP(A2239,'[3]Price info'!A:D,4,FALSE)</f>
        <v>521.02</v>
      </c>
      <c r="M2239" s="18" t="s">
        <v>214</v>
      </c>
      <c r="N2239" s="20">
        <v>3105</v>
      </c>
      <c r="P2239" s="16">
        <f>VLOOKUP(A2239,'[3]Price info'!A:H,8,FALSE)</f>
        <v>521.02</v>
      </c>
      <c r="Q2239" s="17">
        <f t="shared" si="137"/>
        <v>1</v>
      </c>
      <c r="S2239" s="16" t="e">
        <f>VLOOKUP(A2239,[4]Sales!$E:$G,3,FALSE)</f>
        <v>#N/A</v>
      </c>
      <c r="T2239" s="19" t="e">
        <f>VLOOKUP(A2239,[4]Volume!$E:$G,3,FALSE)</f>
        <v>#N/A</v>
      </c>
      <c r="U2239" s="19" t="e">
        <f>VLOOKUP(A2239,[4]Piece!$E:$G,3,FALSE)</f>
        <v>#N/A</v>
      </c>
      <c r="V2239" s="21" t="e">
        <f t="shared" si="138"/>
        <v>#N/A</v>
      </c>
      <c r="W2239" s="16" t="e">
        <f t="shared" si="139"/>
        <v>#N/A</v>
      </c>
    </row>
    <row r="2240" spans="1:23" hidden="1" x14ac:dyDescent="0.3">
      <c r="A2240" s="71" t="s">
        <v>4416</v>
      </c>
      <c r="B2240" s="71" t="s">
        <v>4416</v>
      </c>
      <c r="C2240" s="51" t="s">
        <v>33</v>
      </c>
      <c r="D2240" s="48" t="s">
        <v>34</v>
      </c>
      <c r="E2240" s="18" t="s">
        <v>4417</v>
      </c>
      <c r="F2240" s="24" t="str">
        <f t="shared" si="136"/>
        <v>PPG - S'COVER 555 SET BLACK        N8000002200</v>
      </c>
      <c r="G2240" s="20" t="s">
        <v>7110</v>
      </c>
      <c r="H2240" s="49" t="s">
        <v>213</v>
      </c>
      <c r="I2240" s="18" t="s">
        <v>37</v>
      </c>
      <c r="J2240" s="18" t="s">
        <v>38</v>
      </c>
      <c r="K2240" t="s">
        <v>39</v>
      </c>
      <c r="L2240" s="50">
        <f>VLOOKUP(A2240,'[3]Price info'!A:D,4,FALSE)</f>
        <v>489.11</v>
      </c>
      <c r="M2240" s="18" t="s">
        <v>214</v>
      </c>
      <c r="N2240" s="20">
        <v>3105</v>
      </c>
      <c r="P2240" s="16">
        <f>VLOOKUP(A2240,'[3]Price info'!A:H,8,FALSE)</f>
        <v>489.11</v>
      </c>
      <c r="Q2240" s="17">
        <f t="shared" si="137"/>
        <v>1</v>
      </c>
      <c r="S2240" s="16" t="e">
        <f>VLOOKUP(A2240,[4]Sales!$E:$G,3,FALSE)</f>
        <v>#N/A</v>
      </c>
      <c r="T2240" s="19" t="e">
        <f>VLOOKUP(A2240,[4]Volume!$E:$G,3,FALSE)</f>
        <v>#N/A</v>
      </c>
      <c r="U2240" s="19" t="e">
        <f>VLOOKUP(A2240,[4]Piece!$E:$G,3,FALSE)</f>
        <v>#N/A</v>
      </c>
      <c r="V2240" s="21" t="e">
        <f t="shared" si="138"/>
        <v>#N/A</v>
      </c>
      <c r="W2240" s="16" t="e">
        <f t="shared" si="139"/>
        <v>#N/A</v>
      </c>
    </row>
    <row r="2241" spans="1:23" hidden="1" x14ac:dyDescent="0.3">
      <c r="A2241" s="71" t="s">
        <v>4418</v>
      </c>
      <c r="B2241" s="71" t="s">
        <v>4418</v>
      </c>
      <c r="C2241" s="47" t="s">
        <v>33</v>
      </c>
      <c r="D2241" s="48" t="s">
        <v>34</v>
      </c>
      <c r="E2241" s="18" t="s">
        <v>4419</v>
      </c>
      <c r="F2241" s="24" t="str">
        <f t="shared" si="136"/>
        <v>PPG - S'COVER 690 SET LIGHT         0200001400</v>
      </c>
      <c r="G2241" s="20" t="s">
        <v>7111</v>
      </c>
      <c r="H2241" s="49" t="s">
        <v>213</v>
      </c>
      <c r="I2241" s="18" t="s">
        <v>37</v>
      </c>
      <c r="J2241" s="18" t="s">
        <v>38</v>
      </c>
      <c r="K2241" t="s">
        <v>39</v>
      </c>
      <c r="L2241" s="50">
        <f>VLOOKUP(A2241,'[3]Price info'!A:D,4,FALSE)</f>
        <v>143.46</v>
      </c>
      <c r="M2241" s="18" t="s">
        <v>214</v>
      </c>
      <c r="N2241" s="20">
        <v>3105</v>
      </c>
      <c r="P2241" s="16">
        <f>VLOOKUP(A2241,'[3]Price info'!A:H,8,FALSE)</f>
        <v>143.46</v>
      </c>
      <c r="Q2241" s="17">
        <f t="shared" si="137"/>
        <v>1</v>
      </c>
      <c r="S2241" s="16" t="e">
        <f>VLOOKUP(A2241,[4]Sales!$E:$G,3,FALSE)</f>
        <v>#N/A</v>
      </c>
      <c r="T2241" s="19" t="e">
        <f>VLOOKUP(A2241,[4]Volume!$E:$G,3,FALSE)</f>
        <v>#N/A</v>
      </c>
      <c r="U2241" s="19" t="e">
        <f>VLOOKUP(A2241,[4]Piece!$E:$G,3,FALSE)</f>
        <v>#N/A</v>
      </c>
      <c r="V2241" s="21" t="e">
        <f t="shared" si="138"/>
        <v>#N/A</v>
      </c>
      <c r="W2241" s="16" t="e">
        <f t="shared" si="139"/>
        <v>#N/A</v>
      </c>
    </row>
    <row r="2242" spans="1:23" hidden="1" x14ac:dyDescent="0.3">
      <c r="A2242" s="71" t="s">
        <v>4420</v>
      </c>
      <c r="B2242" s="71" t="s">
        <v>4420</v>
      </c>
      <c r="C2242" s="47" t="s">
        <v>33</v>
      </c>
      <c r="D2242" s="48" t="s">
        <v>34</v>
      </c>
      <c r="E2242" s="18" t="s">
        <v>4421</v>
      </c>
      <c r="F2242" s="24" t="str">
        <f t="shared" si="136"/>
        <v>PPG - S'COVER 690 SET LIGHT         0200002200</v>
      </c>
      <c r="G2242" s="20" t="s">
        <v>7112</v>
      </c>
      <c r="H2242" s="49" t="s">
        <v>213</v>
      </c>
      <c r="I2242" s="18" t="s">
        <v>37</v>
      </c>
      <c r="J2242" s="18" t="s">
        <v>38</v>
      </c>
      <c r="K2242" t="s">
        <v>39</v>
      </c>
      <c r="L2242" s="50">
        <f>VLOOKUP(A2242,'[3]Price info'!A:D,4,FALSE)</f>
        <v>642.09</v>
      </c>
      <c r="M2242" s="18" t="s">
        <v>214</v>
      </c>
      <c r="N2242" s="20">
        <v>3105</v>
      </c>
      <c r="P2242" s="16">
        <f>VLOOKUP(A2242,'[3]Price info'!A:H,8,FALSE)</f>
        <v>642.09</v>
      </c>
      <c r="Q2242" s="17">
        <f t="shared" si="137"/>
        <v>1</v>
      </c>
      <c r="S2242" s="16" t="e">
        <f>VLOOKUP(A2242,[4]Sales!$E:$G,3,FALSE)</f>
        <v>#N/A</v>
      </c>
      <c r="T2242" s="19" t="e">
        <f>VLOOKUP(A2242,[4]Volume!$E:$G,3,FALSE)</f>
        <v>#N/A</v>
      </c>
      <c r="U2242" s="19" t="e">
        <f>VLOOKUP(A2242,[4]Piece!$E:$G,3,FALSE)</f>
        <v>#N/A</v>
      </c>
      <c r="V2242" s="21" t="e">
        <f t="shared" si="138"/>
        <v>#N/A</v>
      </c>
      <c r="W2242" s="16" t="e">
        <f t="shared" si="139"/>
        <v>#N/A</v>
      </c>
    </row>
    <row r="2243" spans="1:23" hidden="1" x14ac:dyDescent="0.3">
      <c r="A2243" s="71" t="s">
        <v>4422</v>
      </c>
      <c r="B2243" s="71" t="s">
        <v>4422</v>
      </c>
      <c r="C2243" s="51" t="s">
        <v>33</v>
      </c>
      <c r="D2243" s="48" t="s">
        <v>34</v>
      </c>
      <c r="E2243" s="18" t="s">
        <v>4423</v>
      </c>
      <c r="F2243" s="24" t="str">
        <f t="shared" ref="F2243:F2306" si="140">D2243&amp;" - "&amp;E2243</f>
        <v>PPG - S'COVER 805 SET BLACK         8000001400</v>
      </c>
      <c r="G2243" s="20" t="s">
        <v>7113</v>
      </c>
      <c r="H2243" s="49" t="s">
        <v>213</v>
      </c>
      <c r="I2243" s="18" t="s">
        <v>37</v>
      </c>
      <c r="J2243" s="18" t="s">
        <v>38</v>
      </c>
      <c r="K2243" t="s">
        <v>39</v>
      </c>
      <c r="L2243" s="50">
        <f>VLOOKUP(A2243,'[3]Price info'!A:D,4,FALSE)</f>
        <v>72.53</v>
      </c>
      <c r="M2243" s="18" t="s">
        <v>214</v>
      </c>
      <c r="N2243" s="20">
        <v>3105</v>
      </c>
      <c r="P2243" s="16">
        <f>VLOOKUP(A2243,'[3]Price info'!A:H,8,FALSE)</f>
        <v>72.53</v>
      </c>
      <c r="Q2243" s="17">
        <f t="shared" ref="Q2243:Q2306" si="141">P2243/L2243</f>
        <v>1</v>
      </c>
      <c r="S2243" s="16" t="e">
        <f>VLOOKUP(A2243,[4]Sales!$E:$G,3,FALSE)</f>
        <v>#N/A</v>
      </c>
      <c r="T2243" s="19" t="e">
        <f>VLOOKUP(A2243,[4]Volume!$E:$G,3,FALSE)</f>
        <v>#N/A</v>
      </c>
      <c r="U2243" s="19" t="e">
        <f>VLOOKUP(A2243,[4]Piece!$E:$G,3,FALSE)</f>
        <v>#N/A</v>
      </c>
      <c r="V2243" s="21" t="e">
        <f t="shared" ref="V2243:V2306" si="142">U2243*P2243</f>
        <v>#N/A</v>
      </c>
      <c r="W2243" s="16" t="e">
        <f t="shared" ref="W2243:W2306" si="143">V2243-S2243</f>
        <v>#N/A</v>
      </c>
    </row>
    <row r="2244" spans="1:23" hidden="1" x14ac:dyDescent="0.3">
      <c r="A2244" s="71" t="s">
        <v>4424</v>
      </c>
      <c r="B2244" s="71" t="s">
        <v>4424</v>
      </c>
      <c r="C2244" s="47" t="s">
        <v>33</v>
      </c>
      <c r="D2244" s="48" t="s">
        <v>34</v>
      </c>
      <c r="E2244" s="18" t="s">
        <v>4425</v>
      </c>
      <c r="F2244" s="24" t="str">
        <f t="shared" si="140"/>
        <v>PPG - S'COVER 805 SET BLACK         8000002200</v>
      </c>
      <c r="G2244" s="20" t="s">
        <v>7114</v>
      </c>
      <c r="H2244" s="49" t="s">
        <v>213</v>
      </c>
      <c r="I2244" s="18" t="s">
        <v>37</v>
      </c>
      <c r="J2244" s="18" t="s">
        <v>38</v>
      </c>
      <c r="K2244" t="s">
        <v>39</v>
      </c>
      <c r="L2244" s="50">
        <f>VLOOKUP(A2244,'[3]Price info'!A:D,4,FALSE)</f>
        <v>396.81</v>
      </c>
      <c r="M2244" s="18" t="s">
        <v>214</v>
      </c>
      <c r="N2244" s="20">
        <v>3105</v>
      </c>
      <c r="P2244" s="16">
        <f>VLOOKUP(A2244,'[3]Price info'!A:H,8,FALSE)</f>
        <v>396.81</v>
      </c>
      <c r="Q2244" s="17">
        <f t="shared" si="141"/>
        <v>1</v>
      </c>
      <c r="S2244" s="16" t="e">
        <f>VLOOKUP(A2244,[4]Sales!$E:$G,3,FALSE)</f>
        <v>#N/A</v>
      </c>
      <c r="T2244" s="19" t="e">
        <f>VLOOKUP(A2244,[4]Volume!$E:$G,3,FALSE)</f>
        <v>#N/A</v>
      </c>
      <c r="U2244" s="19" t="e">
        <f>VLOOKUP(A2244,[4]Piece!$E:$G,3,FALSE)</f>
        <v>#N/A</v>
      </c>
      <c r="V2244" s="21" t="e">
        <f t="shared" si="142"/>
        <v>#N/A</v>
      </c>
      <c r="W2244" s="16" t="e">
        <f t="shared" si="143"/>
        <v>#N/A</v>
      </c>
    </row>
    <row r="2245" spans="1:23" hidden="1" x14ac:dyDescent="0.3">
      <c r="A2245" s="71" t="s">
        <v>4426</v>
      </c>
      <c r="B2245" s="71" t="s">
        <v>4426</v>
      </c>
      <c r="C2245" s="47" t="s">
        <v>33</v>
      </c>
      <c r="D2245" s="48" t="s">
        <v>34</v>
      </c>
      <c r="E2245" s="18" t="s">
        <v>4427</v>
      </c>
      <c r="F2245" s="24" t="str">
        <f t="shared" si="140"/>
        <v>PPG - S'COVER 805 SET OFFWHITE      7001002200</v>
      </c>
      <c r="G2245" s="20" t="s">
        <v>7115</v>
      </c>
      <c r="H2245" s="49" t="s">
        <v>213</v>
      </c>
      <c r="I2245" s="18" t="s">
        <v>37</v>
      </c>
      <c r="J2245" s="18" t="s">
        <v>38</v>
      </c>
      <c r="K2245" t="s">
        <v>39</v>
      </c>
      <c r="L2245" s="50">
        <f>VLOOKUP(A2245,'[3]Price info'!A:D,4,FALSE)</f>
        <v>362.38</v>
      </c>
      <c r="M2245" s="18" t="s">
        <v>214</v>
      </c>
      <c r="N2245" s="20">
        <v>3105</v>
      </c>
      <c r="P2245" s="16">
        <f>VLOOKUP(A2245,'[3]Price info'!A:H,8,FALSE)</f>
        <v>362.38</v>
      </c>
      <c r="Q2245" s="17">
        <f t="shared" si="141"/>
        <v>1</v>
      </c>
      <c r="S2245" s="16" t="e">
        <f>VLOOKUP(A2245,[4]Sales!$E:$G,3,FALSE)</f>
        <v>#N/A</v>
      </c>
      <c r="T2245" s="19" t="e">
        <f>VLOOKUP(A2245,[4]Volume!$E:$G,3,FALSE)</f>
        <v>#N/A</v>
      </c>
      <c r="U2245" s="19" t="e">
        <f>VLOOKUP(A2245,[4]Piece!$E:$G,3,FALSE)</f>
        <v>#N/A</v>
      </c>
      <c r="V2245" s="21" t="e">
        <f t="shared" si="142"/>
        <v>#N/A</v>
      </c>
      <c r="W2245" s="16" t="e">
        <f t="shared" si="143"/>
        <v>#N/A</v>
      </c>
    </row>
    <row r="2246" spans="1:23" hidden="1" x14ac:dyDescent="0.3">
      <c r="A2246" s="71" t="s">
        <v>4428</v>
      </c>
      <c r="B2246" s="71" t="s">
        <v>4428</v>
      </c>
      <c r="C2246" s="51" t="s">
        <v>33</v>
      </c>
      <c r="D2246" s="48" t="s">
        <v>34</v>
      </c>
      <c r="E2246" s="18" t="s">
        <v>4429</v>
      </c>
      <c r="F2246" s="24" t="str">
        <f t="shared" si="140"/>
        <v>PPG - SD A'LOCK 2C SET (X)        XXXXCCEU2200</v>
      </c>
      <c r="G2246" s="20" t="s">
        <v>7116</v>
      </c>
      <c r="H2246" s="49" t="s">
        <v>213</v>
      </c>
      <c r="I2246" s="18" t="s">
        <v>37</v>
      </c>
      <c r="J2246" s="18" t="s">
        <v>38</v>
      </c>
      <c r="K2246" t="s">
        <v>39</v>
      </c>
      <c r="L2246" s="50">
        <f>VLOOKUP(A2246,'[3]Price info'!A:D,4,FALSE)</f>
        <v>781.68</v>
      </c>
      <c r="M2246" s="18" t="s">
        <v>214</v>
      </c>
      <c r="N2246" s="20">
        <v>3105</v>
      </c>
      <c r="P2246" s="16">
        <f>VLOOKUP(A2246,'[3]Price info'!A:H,8,FALSE)</f>
        <v>781.68</v>
      </c>
      <c r="Q2246" s="17">
        <f t="shared" si="141"/>
        <v>1</v>
      </c>
      <c r="S2246" s="16" t="e">
        <f>VLOOKUP(A2246,[4]Sales!$E:$G,3,FALSE)</f>
        <v>#N/A</v>
      </c>
      <c r="T2246" s="19" t="e">
        <f>VLOOKUP(A2246,[4]Volume!$E:$G,3,FALSE)</f>
        <v>#N/A</v>
      </c>
      <c r="U2246" s="19" t="e">
        <f>VLOOKUP(A2246,[4]Piece!$E:$G,3,FALSE)</f>
        <v>#N/A</v>
      </c>
      <c r="V2246" s="21" t="e">
        <f t="shared" si="142"/>
        <v>#N/A</v>
      </c>
      <c r="W2246" s="16" t="e">
        <f t="shared" si="143"/>
        <v>#N/A</v>
      </c>
    </row>
    <row r="2247" spans="1:23" hidden="1" x14ac:dyDescent="0.3">
      <c r="A2247" s="71" t="s">
        <v>4430</v>
      </c>
      <c r="B2247" s="71" t="s">
        <v>4430</v>
      </c>
      <c r="C2247" s="47" t="s">
        <v>33</v>
      </c>
      <c r="D2247" s="48" t="s">
        <v>34</v>
      </c>
      <c r="E2247" s="18" t="s">
        <v>4431</v>
      </c>
      <c r="F2247" s="24" t="str">
        <f t="shared" si="140"/>
        <v>PPG - SD AQUACOVER 400 SET (X)     XXXXCCC1400</v>
      </c>
      <c r="G2247" s="20" t="s">
        <v>7117</v>
      </c>
      <c r="H2247" s="49" t="s">
        <v>213</v>
      </c>
      <c r="I2247" s="18" t="s">
        <v>37</v>
      </c>
      <c r="J2247" s="18" t="s">
        <v>38</v>
      </c>
      <c r="K2247" t="s">
        <v>39</v>
      </c>
      <c r="L2247" s="50">
        <f>VLOOKUP(A2247,'[3]Price info'!A:D,4,FALSE)</f>
        <v>164.82</v>
      </c>
      <c r="M2247" s="18" t="s">
        <v>214</v>
      </c>
      <c r="N2247" s="20">
        <v>3105</v>
      </c>
      <c r="P2247" s="16">
        <f>VLOOKUP(A2247,'[3]Price info'!A:H,8,FALSE)</f>
        <v>164.82</v>
      </c>
      <c r="Q2247" s="17">
        <f t="shared" si="141"/>
        <v>1</v>
      </c>
      <c r="S2247" s="16" t="e">
        <f>VLOOKUP(A2247,[4]Sales!$E:$G,3,FALSE)</f>
        <v>#N/A</v>
      </c>
      <c r="T2247" s="19" t="e">
        <f>VLOOKUP(A2247,[4]Volume!$E:$G,3,FALSE)</f>
        <v>#N/A</v>
      </c>
      <c r="U2247" s="19" t="e">
        <f>VLOOKUP(A2247,[4]Piece!$E:$G,3,FALSE)</f>
        <v>#N/A</v>
      </c>
      <c r="V2247" s="21" t="e">
        <f t="shared" si="142"/>
        <v>#N/A</v>
      </c>
      <c r="W2247" s="16" t="e">
        <f t="shared" si="143"/>
        <v>#N/A</v>
      </c>
    </row>
    <row r="2248" spans="1:23" hidden="1" x14ac:dyDescent="0.3">
      <c r="A2248" s="71" t="s">
        <v>4432</v>
      </c>
      <c r="B2248" s="71" t="s">
        <v>4432</v>
      </c>
      <c r="C2248" s="47" t="s">
        <v>33</v>
      </c>
      <c r="D2248" s="48" t="s">
        <v>34</v>
      </c>
      <c r="E2248" s="18" t="s">
        <v>4433</v>
      </c>
      <c r="F2248" s="24" t="str">
        <f t="shared" si="140"/>
        <v>PPG - SD AQUACOVER 400 SET (X)     XXXXCCC2160</v>
      </c>
      <c r="G2248" s="20" t="s">
        <v>7118</v>
      </c>
      <c r="H2248" s="49" t="s">
        <v>213</v>
      </c>
      <c r="I2248" s="18" t="s">
        <v>37</v>
      </c>
      <c r="J2248" s="18" t="s">
        <v>38</v>
      </c>
      <c r="K2248" t="s">
        <v>39</v>
      </c>
      <c r="L2248" s="50">
        <f>VLOOKUP(A2248,'[3]Price info'!A:D,4,FALSE)</f>
        <v>692.34</v>
      </c>
      <c r="M2248" s="18" t="s">
        <v>214</v>
      </c>
      <c r="N2248" s="20">
        <v>3105</v>
      </c>
      <c r="P2248" s="16">
        <f>VLOOKUP(A2248,'[3]Price info'!A:H,8,FALSE)</f>
        <v>692.34</v>
      </c>
      <c r="Q2248" s="17">
        <f t="shared" si="141"/>
        <v>1</v>
      </c>
      <c r="S2248" s="16" t="e">
        <f>VLOOKUP(A2248,[4]Sales!$E:$G,3,FALSE)</f>
        <v>#N/A</v>
      </c>
      <c r="T2248" s="19" t="e">
        <f>VLOOKUP(A2248,[4]Volume!$E:$G,3,FALSE)</f>
        <v>#N/A</v>
      </c>
      <c r="U2248" s="19" t="e">
        <f>VLOOKUP(A2248,[4]Piece!$E:$G,3,FALSE)</f>
        <v>#N/A</v>
      </c>
      <c r="V2248" s="21" t="e">
        <f t="shared" si="142"/>
        <v>#N/A</v>
      </c>
      <c r="W2248" s="16" t="e">
        <f t="shared" si="143"/>
        <v>#N/A</v>
      </c>
    </row>
    <row r="2249" spans="1:23" hidden="1" x14ac:dyDescent="0.3">
      <c r="A2249" s="71" t="s">
        <v>4434</v>
      </c>
      <c r="B2249" s="71" t="s">
        <v>4434</v>
      </c>
      <c r="C2249" s="51" t="s">
        <v>33</v>
      </c>
      <c r="D2249" s="48" t="s">
        <v>34</v>
      </c>
      <c r="E2249" s="18" t="s">
        <v>4435</v>
      </c>
      <c r="F2249" s="24" t="str">
        <f t="shared" si="140"/>
        <v>PPG - SD AQUACOVER 400 SET (X)    XXXXCCEU1400</v>
      </c>
      <c r="G2249" s="20" t="s">
        <v>7119</v>
      </c>
      <c r="H2249" s="49" t="s">
        <v>213</v>
      </c>
      <c r="I2249" s="18" t="s">
        <v>37</v>
      </c>
      <c r="J2249" s="18" t="s">
        <v>38</v>
      </c>
      <c r="K2249" t="s">
        <v>39</v>
      </c>
      <c r="L2249" s="50">
        <f>VLOOKUP(A2249,'[3]Price info'!A:D,4,FALSE)</f>
        <v>164.82</v>
      </c>
      <c r="M2249" s="18" t="s">
        <v>214</v>
      </c>
      <c r="N2249" s="20">
        <v>3105</v>
      </c>
      <c r="P2249" s="16">
        <f>VLOOKUP(A2249,'[3]Price info'!A:H,8,FALSE)</f>
        <v>164.82</v>
      </c>
      <c r="Q2249" s="17">
        <f t="shared" si="141"/>
        <v>1</v>
      </c>
      <c r="S2249" s="16" t="e">
        <f>VLOOKUP(A2249,[4]Sales!$E:$G,3,FALSE)</f>
        <v>#N/A</v>
      </c>
      <c r="T2249" s="19" t="e">
        <f>VLOOKUP(A2249,[4]Volume!$E:$G,3,FALSE)</f>
        <v>#N/A</v>
      </c>
      <c r="U2249" s="19" t="e">
        <f>VLOOKUP(A2249,[4]Piece!$E:$G,3,FALSE)</f>
        <v>#N/A</v>
      </c>
      <c r="V2249" s="21" t="e">
        <f t="shared" si="142"/>
        <v>#N/A</v>
      </c>
      <c r="W2249" s="16" t="e">
        <f t="shared" si="143"/>
        <v>#N/A</v>
      </c>
    </row>
    <row r="2250" spans="1:23" hidden="1" x14ac:dyDescent="0.3">
      <c r="A2250" s="71" t="s">
        <v>4436</v>
      </c>
      <c r="B2250" s="71" t="s">
        <v>4436</v>
      </c>
      <c r="C2250" s="47" t="s">
        <v>33</v>
      </c>
      <c r="D2250" s="48" t="s">
        <v>34</v>
      </c>
      <c r="E2250" s="18" t="s">
        <v>4437</v>
      </c>
      <c r="F2250" s="24" t="str">
        <f t="shared" si="140"/>
        <v>PPG - SD AQUACOVER 400 SET (X)    XXXXCCEU2160</v>
      </c>
      <c r="G2250" s="20" t="s">
        <v>7120</v>
      </c>
      <c r="H2250" s="49" t="s">
        <v>213</v>
      </c>
      <c r="I2250" s="18" t="s">
        <v>37</v>
      </c>
      <c r="J2250" s="18" t="s">
        <v>38</v>
      </c>
      <c r="K2250" t="s">
        <v>39</v>
      </c>
      <c r="L2250" s="50">
        <f>VLOOKUP(A2250,'[3]Price info'!A:D,4,FALSE)</f>
        <v>692.34</v>
      </c>
      <c r="M2250" s="18" t="s">
        <v>214</v>
      </c>
      <c r="N2250" s="20">
        <v>3105</v>
      </c>
      <c r="P2250" s="16">
        <f>VLOOKUP(A2250,'[3]Price info'!A:H,8,FALSE)</f>
        <v>692.34</v>
      </c>
      <c r="Q2250" s="17">
        <f t="shared" si="141"/>
        <v>1</v>
      </c>
      <c r="S2250" s="16" t="e">
        <f>VLOOKUP(A2250,[4]Sales!$E:$G,3,FALSE)</f>
        <v>#N/A</v>
      </c>
      <c r="T2250" s="19" t="e">
        <f>VLOOKUP(A2250,[4]Volume!$E:$G,3,FALSE)</f>
        <v>#N/A</v>
      </c>
      <c r="U2250" s="19" t="e">
        <f>VLOOKUP(A2250,[4]Piece!$E:$G,3,FALSE)</f>
        <v>#N/A</v>
      </c>
      <c r="V2250" s="21" t="e">
        <f t="shared" si="142"/>
        <v>#N/A</v>
      </c>
      <c r="W2250" s="16" t="e">
        <f t="shared" si="143"/>
        <v>#N/A</v>
      </c>
    </row>
    <row r="2251" spans="1:23" hidden="1" x14ac:dyDescent="0.3">
      <c r="A2251" s="71" t="s">
        <v>4438</v>
      </c>
      <c r="B2251" s="71" t="s">
        <v>4438</v>
      </c>
      <c r="C2251" s="47" t="s">
        <v>33</v>
      </c>
      <c r="D2251" s="48" t="s">
        <v>34</v>
      </c>
      <c r="E2251" s="18" t="s">
        <v>4439</v>
      </c>
      <c r="F2251" s="24" t="str">
        <f t="shared" si="140"/>
        <v>PPG - SD NUKLAD SL SET COLOR +FIL XXXXCCEU2250</v>
      </c>
      <c r="G2251" s="20" t="s">
        <v>7121</v>
      </c>
      <c r="H2251" s="49" t="s">
        <v>213</v>
      </c>
      <c r="I2251" s="18" t="s">
        <v>37</v>
      </c>
      <c r="J2251" s="18" t="s">
        <v>38</v>
      </c>
      <c r="K2251" t="s">
        <v>39</v>
      </c>
      <c r="L2251" s="50">
        <f>VLOOKUP(A2251,'[3]Price info'!A:D,4,FALSE)</f>
        <v>825.76</v>
      </c>
      <c r="M2251" s="18" t="s">
        <v>214</v>
      </c>
      <c r="N2251" s="20">
        <v>3105</v>
      </c>
      <c r="P2251" s="16">
        <f>VLOOKUP(A2251,'[3]Price info'!A:H,8,FALSE)</f>
        <v>825.76</v>
      </c>
      <c r="Q2251" s="17">
        <f t="shared" si="141"/>
        <v>1</v>
      </c>
      <c r="S2251" s="16" t="e">
        <f>VLOOKUP(A2251,[4]Sales!$E:$G,3,FALSE)</f>
        <v>#N/A</v>
      </c>
      <c r="T2251" s="19" t="e">
        <f>VLOOKUP(A2251,[4]Volume!$E:$G,3,FALSE)</f>
        <v>#N/A</v>
      </c>
      <c r="U2251" s="19" t="e">
        <f>VLOOKUP(A2251,[4]Piece!$E:$G,3,FALSE)</f>
        <v>#N/A</v>
      </c>
      <c r="V2251" s="21" t="e">
        <f t="shared" si="142"/>
        <v>#N/A</v>
      </c>
      <c r="W2251" s="16" t="e">
        <f t="shared" si="143"/>
        <v>#N/A</v>
      </c>
    </row>
    <row r="2252" spans="1:23" hidden="1" x14ac:dyDescent="0.3">
      <c r="A2252" s="71" t="s">
        <v>4440</v>
      </c>
      <c r="B2252" s="71" t="s">
        <v>4440</v>
      </c>
      <c r="C2252" s="51" t="s">
        <v>33</v>
      </c>
      <c r="D2252" s="48" t="s">
        <v>34</v>
      </c>
      <c r="E2252" s="18" t="s">
        <v>4441</v>
      </c>
      <c r="F2252" s="24" t="str">
        <f t="shared" si="140"/>
        <v>PPG - SD PSX 700 SET (X)          XXXXCCEU1500</v>
      </c>
      <c r="G2252" s="20" t="s">
        <v>7122</v>
      </c>
      <c r="H2252" s="49" t="s">
        <v>213</v>
      </c>
      <c r="I2252" s="18" t="s">
        <v>37</v>
      </c>
      <c r="J2252" s="18" t="s">
        <v>38</v>
      </c>
      <c r="K2252" t="s">
        <v>39</v>
      </c>
      <c r="L2252" s="50">
        <f>VLOOKUP(A2252,'[3]Price info'!A:D,4,FALSE)</f>
        <v>869.48</v>
      </c>
      <c r="M2252" s="18" t="s">
        <v>214</v>
      </c>
      <c r="N2252" s="20">
        <v>3105</v>
      </c>
      <c r="P2252" s="16">
        <f>VLOOKUP(A2252,'[3]Price info'!A:H,8,FALSE)</f>
        <v>869.48</v>
      </c>
      <c r="Q2252" s="17">
        <f t="shared" si="141"/>
        <v>1</v>
      </c>
      <c r="S2252" s="16" t="e">
        <f>VLOOKUP(A2252,[4]Sales!$E:$G,3,FALSE)</f>
        <v>#N/A</v>
      </c>
      <c r="T2252" s="19" t="e">
        <f>VLOOKUP(A2252,[4]Volume!$E:$G,3,FALSE)</f>
        <v>#N/A</v>
      </c>
      <c r="U2252" s="19" t="e">
        <f>VLOOKUP(A2252,[4]Piece!$E:$G,3,FALSE)</f>
        <v>#N/A</v>
      </c>
      <c r="V2252" s="21" t="e">
        <f t="shared" si="142"/>
        <v>#N/A</v>
      </c>
      <c r="W2252" s="16" t="e">
        <f t="shared" si="143"/>
        <v>#N/A</v>
      </c>
    </row>
    <row r="2253" spans="1:23" hidden="1" x14ac:dyDescent="0.3">
      <c r="A2253" s="71" t="s">
        <v>4442</v>
      </c>
      <c r="B2253" s="71" t="s">
        <v>4442</v>
      </c>
      <c r="C2253" s="47" t="s">
        <v>33</v>
      </c>
      <c r="D2253" s="48" t="s">
        <v>34</v>
      </c>
      <c r="E2253" s="18" t="s">
        <v>4443</v>
      </c>
      <c r="F2253" s="24" t="str">
        <f t="shared" si="140"/>
        <v>PPG - SD PSX 700 SET (X)          XXXXCCEU2200</v>
      </c>
      <c r="G2253" s="20" t="s">
        <v>7123</v>
      </c>
      <c r="H2253" s="49" t="s">
        <v>213</v>
      </c>
      <c r="I2253" s="18" t="s">
        <v>37</v>
      </c>
      <c r="J2253" s="18" t="s">
        <v>38</v>
      </c>
      <c r="K2253" t="s">
        <v>39</v>
      </c>
      <c r="L2253" s="50">
        <f>VLOOKUP(A2253,'[3]Price info'!A:D,4,FALSE)</f>
        <v>3114.99</v>
      </c>
      <c r="M2253" s="18" t="s">
        <v>214</v>
      </c>
      <c r="N2253" s="20">
        <v>3105</v>
      </c>
      <c r="P2253" s="16">
        <f>VLOOKUP(A2253,'[3]Price info'!A:H,8,FALSE)</f>
        <v>3114.99</v>
      </c>
      <c r="Q2253" s="17">
        <f t="shared" si="141"/>
        <v>1</v>
      </c>
      <c r="S2253" s="16" t="e">
        <f>VLOOKUP(A2253,[4]Sales!$E:$G,3,FALSE)</f>
        <v>#N/A</v>
      </c>
      <c r="T2253" s="19" t="e">
        <f>VLOOKUP(A2253,[4]Volume!$E:$G,3,FALSE)</f>
        <v>#N/A</v>
      </c>
      <c r="U2253" s="19" t="e">
        <f>VLOOKUP(A2253,[4]Piece!$E:$G,3,FALSE)</f>
        <v>#N/A</v>
      </c>
      <c r="V2253" s="21" t="e">
        <f t="shared" si="142"/>
        <v>#N/A</v>
      </c>
      <c r="W2253" s="16" t="e">
        <f t="shared" si="143"/>
        <v>#N/A</v>
      </c>
    </row>
    <row r="2254" spans="1:23" hidden="1" x14ac:dyDescent="0.3">
      <c r="A2254" s="71" t="s">
        <v>4444</v>
      </c>
      <c r="B2254" s="71" t="s">
        <v>4444</v>
      </c>
      <c r="C2254" s="47" t="s">
        <v>33</v>
      </c>
      <c r="D2254" s="48" t="s">
        <v>34</v>
      </c>
      <c r="E2254" s="18" t="s">
        <v>4445</v>
      </c>
      <c r="F2254" s="24" t="str">
        <f t="shared" si="140"/>
        <v>PPG - SD S'COVER 2 SET (X)        XXXXCCEU1400</v>
      </c>
      <c r="G2254" s="20" t="s">
        <v>7124</v>
      </c>
      <c r="H2254" s="49" t="s">
        <v>213</v>
      </c>
      <c r="I2254" s="18" t="s">
        <v>37</v>
      </c>
      <c r="J2254" s="18" t="s">
        <v>38</v>
      </c>
      <c r="K2254" t="s">
        <v>39</v>
      </c>
      <c r="L2254" s="50">
        <f>VLOOKUP(A2254,'[3]Price info'!A:D,4,FALSE)</f>
        <v>166.31</v>
      </c>
      <c r="M2254" s="18" t="s">
        <v>214</v>
      </c>
      <c r="N2254" s="20">
        <v>3105</v>
      </c>
      <c r="P2254" s="16">
        <f>VLOOKUP(A2254,'[3]Price info'!A:H,8,FALSE)</f>
        <v>166.31</v>
      </c>
      <c r="Q2254" s="17">
        <f t="shared" si="141"/>
        <v>1</v>
      </c>
      <c r="S2254" s="16" t="e">
        <f>VLOOKUP(A2254,[4]Sales!$E:$G,3,FALSE)</f>
        <v>#N/A</v>
      </c>
      <c r="T2254" s="19" t="e">
        <f>VLOOKUP(A2254,[4]Volume!$E:$G,3,FALSE)</f>
        <v>#N/A</v>
      </c>
      <c r="U2254" s="19" t="e">
        <f>VLOOKUP(A2254,[4]Piece!$E:$G,3,FALSE)</f>
        <v>#N/A</v>
      </c>
      <c r="V2254" s="21" t="e">
        <f t="shared" si="142"/>
        <v>#N/A</v>
      </c>
      <c r="W2254" s="16" t="e">
        <f t="shared" si="143"/>
        <v>#N/A</v>
      </c>
    </row>
    <row r="2255" spans="1:23" hidden="1" x14ac:dyDescent="0.3">
      <c r="A2255" s="71" t="s">
        <v>4446</v>
      </c>
      <c r="B2255" s="71" t="s">
        <v>4446</v>
      </c>
      <c r="C2255" s="51" t="s">
        <v>33</v>
      </c>
      <c r="D2255" s="48" t="s">
        <v>34</v>
      </c>
      <c r="E2255" s="18" t="s">
        <v>4447</v>
      </c>
      <c r="F2255" s="24" t="str">
        <f t="shared" si="140"/>
        <v>PPG - SD S'COVER 2 SET (X)        XXXXCCEU2200</v>
      </c>
      <c r="G2255" s="20" t="s">
        <v>7125</v>
      </c>
      <c r="H2255" s="49" t="s">
        <v>213</v>
      </c>
      <c r="I2255" s="18" t="s">
        <v>37</v>
      </c>
      <c r="J2255" s="18" t="s">
        <v>38</v>
      </c>
      <c r="K2255" t="s">
        <v>39</v>
      </c>
      <c r="L2255" s="50">
        <f>VLOOKUP(A2255,'[3]Price info'!A:D,4,FALSE)</f>
        <v>745.2</v>
      </c>
      <c r="M2255" s="18" t="s">
        <v>214</v>
      </c>
      <c r="N2255" s="20">
        <v>3105</v>
      </c>
      <c r="P2255" s="16">
        <f>VLOOKUP(A2255,'[3]Price info'!A:H,8,FALSE)</f>
        <v>745.2</v>
      </c>
      <c r="Q2255" s="17">
        <f t="shared" si="141"/>
        <v>1</v>
      </c>
      <c r="S2255" s="16" t="e">
        <f>VLOOKUP(A2255,[4]Sales!$E:$G,3,FALSE)</f>
        <v>#N/A</v>
      </c>
      <c r="T2255" s="19" t="e">
        <f>VLOOKUP(A2255,[4]Volume!$E:$G,3,FALSE)</f>
        <v>#N/A</v>
      </c>
      <c r="U2255" s="19" t="e">
        <f>VLOOKUP(A2255,[4]Piece!$E:$G,3,FALSE)</f>
        <v>#N/A</v>
      </c>
      <c r="V2255" s="21" t="e">
        <f t="shared" si="142"/>
        <v>#N/A</v>
      </c>
      <c r="W2255" s="16" t="e">
        <f t="shared" si="143"/>
        <v>#N/A</v>
      </c>
    </row>
    <row r="2256" spans="1:23" hidden="1" x14ac:dyDescent="0.3">
      <c r="A2256" s="71" t="s">
        <v>4448</v>
      </c>
      <c r="B2256" s="71" t="s">
        <v>4448</v>
      </c>
      <c r="C2256" s="47" t="s">
        <v>33</v>
      </c>
      <c r="D2256" s="48" t="s">
        <v>34</v>
      </c>
      <c r="E2256" s="18" t="s">
        <v>4449</v>
      </c>
      <c r="F2256" s="24" t="str">
        <f t="shared" si="140"/>
        <v>PPG - SD S'COVER 256 SET          XXXXCCEU1400</v>
      </c>
      <c r="G2256" s="20" t="s">
        <v>7126</v>
      </c>
      <c r="H2256" s="49" t="s">
        <v>213</v>
      </c>
      <c r="I2256" s="18" t="s">
        <v>37</v>
      </c>
      <c r="J2256" s="18" t="s">
        <v>38</v>
      </c>
      <c r="K2256" t="s">
        <v>39</v>
      </c>
      <c r="L2256" s="50">
        <f>VLOOKUP(A2256,'[3]Price info'!A:D,4,FALSE)</f>
        <v>163.4</v>
      </c>
      <c r="M2256" s="18" t="s">
        <v>214</v>
      </c>
      <c r="N2256" s="20">
        <v>3105</v>
      </c>
      <c r="P2256" s="16">
        <f>VLOOKUP(A2256,'[3]Price info'!A:H,8,FALSE)</f>
        <v>163.4</v>
      </c>
      <c r="Q2256" s="17">
        <f t="shared" si="141"/>
        <v>1</v>
      </c>
      <c r="S2256" s="16" t="e">
        <f>VLOOKUP(A2256,[4]Sales!$E:$G,3,FALSE)</f>
        <v>#N/A</v>
      </c>
      <c r="T2256" s="19" t="e">
        <f>VLOOKUP(A2256,[4]Volume!$E:$G,3,FALSE)</f>
        <v>#N/A</v>
      </c>
      <c r="U2256" s="19" t="e">
        <f>VLOOKUP(A2256,[4]Piece!$E:$G,3,FALSE)</f>
        <v>#N/A</v>
      </c>
      <c r="V2256" s="21" t="e">
        <f t="shared" si="142"/>
        <v>#N/A</v>
      </c>
      <c r="W2256" s="16" t="e">
        <f t="shared" si="143"/>
        <v>#N/A</v>
      </c>
    </row>
    <row r="2257" spans="1:23" hidden="1" x14ac:dyDescent="0.3">
      <c r="A2257" s="71" t="s">
        <v>4450</v>
      </c>
      <c r="B2257" s="71" t="s">
        <v>4450</v>
      </c>
      <c r="C2257" s="47" t="s">
        <v>33</v>
      </c>
      <c r="D2257" s="48" t="s">
        <v>34</v>
      </c>
      <c r="E2257" s="18" t="s">
        <v>4451</v>
      </c>
      <c r="F2257" s="24" t="str">
        <f t="shared" si="140"/>
        <v>PPG - SD S'COVER 256 SET          XXXXCCEU2200</v>
      </c>
      <c r="G2257" s="20" t="s">
        <v>7127</v>
      </c>
      <c r="H2257" s="49" t="s">
        <v>213</v>
      </c>
      <c r="I2257" s="18" t="s">
        <v>37</v>
      </c>
      <c r="J2257" s="18" t="s">
        <v>38</v>
      </c>
      <c r="K2257" t="s">
        <v>39</v>
      </c>
      <c r="L2257" s="50">
        <f>VLOOKUP(A2257,'[3]Price info'!A:D,4,FALSE)</f>
        <v>816.99</v>
      </c>
      <c r="M2257" s="18" t="s">
        <v>214</v>
      </c>
      <c r="N2257" s="20">
        <v>3105</v>
      </c>
      <c r="P2257" s="16">
        <f>VLOOKUP(A2257,'[3]Price info'!A:H,8,FALSE)</f>
        <v>816.99</v>
      </c>
      <c r="Q2257" s="17">
        <f t="shared" si="141"/>
        <v>1</v>
      </c>
      <c r="S2257" s="16" t="e">
        <f>VLOOKUP(A2257,[4]Sales!$E:$G,3,FALSE)</f>
        <v>#N/A</v>
      </c>
      <c r="T2257" s="19" t="e">
        <f>VLOOKUP(A2257,[4]Volume!$E:$G,3,FALSE)</f>
        <v>#N/A</v>
      </c>
      <c r="U2257" s="19" t="e">
        <f>VLOOKUP(A2257,[4]Piece!$E:$G,3,FALSE)</f>
        <v>#N/A</v>
      </c>
      <c r="V2257" s="21" t="e">
        <f t="shared" si="142"/>
        <v>#N/A</v>
      </c>
      <c r="W2257" s="16" t="e">
        <f t="shared" si="143"/>
        <v>#N/A</v>
      </c>
    </row>
    <row r="2258" spans="1:23" hidden="1" x14ac:dyDescent="0.3">
      <c r="A2258" s="71" t="s">
        <v>4452</v>
      </c>
      <c r="B2258" s="71" t="s">
        <v>4452</v>
      </c>
      <c r="C2258" s="51" t="s">
        <v>33</v>
      </c>
      <c r="D2258" s="48" t="s">
        <v>34</v>
      </c>
      <c r="E2258" s="18" t="s">
        <v>4453</v>
      </c>
      <c r="F2258" s="24" t="str">
        <f t="shared" si="140"/>
        <v>PPG - SD S'COVER 350 LT SET (X)   XXXXCCEU2200</v>
      </c>
      <c r="G2258" s="20" t="s">
        <v>7128</v>
      </c>
      <c r="H2258" s="49" t="s">
        <v>213</v>
      </c>
      <c r="I2258" s="18" t="s">
        <v>37</v>
      </c>
      <c r="J2258" s="18" t="s">
        <v>38</v>
      </c>
      <c r="K2258" t="s">
        <v>39</v>
      </c>
      <c r="L2258" s="50">
        <f>VLOOKUP(A2258,'[3]Price info'!A:D,4,FALSE)</f>
        <v>707.88</v>
      </c>
      <c r="M2258" s="18" t="s">
        <v>214</v>
      </c>
      <c r="N2258" s="20">
        <v>3105</v>
      </c>
      <c r="P2258" s="16">
        <f>VLOOKUP(A2258,'[3]Price info'!A:H,8,FALSE)</f>
        <v>707.88</v>
      </c>
      <c r="Q2258" s="17">
        <f t="shared" si="141"/>
        <v>1</v>
      </c>
      <c r="S2258" s="16" t="e">
        <f>VLOOKUP(A2258,[4]Sales!$E:$G,3,FALSE)</f>
        <v>#N/A</v>
      </c>
      <c r="T2258" s="19" t="e">
        <f>VLOOKUP(A2258,[4]Volume!$E:$G,3,FALSE)</f>
        <v>#N/A</v>
      </c>
      <c r="U2258" s="19" t="e">
        <f>VLOOKUP(A2258,[4]Piece!$E:$G,3,FALSE)</f>
        <v>#N/A</v>
      </c>
      <c r="V2258" s="21" t="e">
        <f t="shared" si="142"/>
        <v>#N/A</v>
      </c>
      <c r="W2258" s="16" t="e">
        <f t="shared" si="143"/>
        <v>#N/A</v>
      </c>
    </row>
    <row r="2259" spans="1:23" hidden="1" x14ac:dyDescent="0.3">
      <c r="A2259" s="71" t="s">
        <v>4454</v>
      </c>
      <c r="B2259" s="71" t="s">
        <v>4454</v>
      </c>
      <c r="C2259" s="47" t="s">
        <v>33</v>
      </c>
      <c r="D2259" s="48" t="s">
        <v>34</v>
      </c>
      <c r="E2259" s="18" t="s">
        <v>4455</v>
      </c>
      <c r="F2259" s="24" t="str">
        <f t="shared" si="140"/>
        <v>PPG - SD S'COVER 350 SET (X)      XXXXCCEU2200</v>
      </c>
      <c r="G2259" s="20" t="s">
        <v>7129</v>
      </c>
      <c r="H2259" s="49" t="s">
        <v>213</v>
      </c>
      <c r="I2259" s="18" t="s">
        <v>37</v>
      </c>
      <c r="J2259" s="18" t="s">
        <v>38</v>
      </c>
      <c r="K2259" t="s">
        <v>39</v>
      </c>
      <c r="L2259" s="50">
        <f>VLOOKUP(A2259,'[3]Price info'!A:D,4,FALSE)</f>
        <v>743.65</v>
      </c>
      <c r="M2259" s="18" t="s">
        <v>214</v>
      </c>
      <c r="N2259" s="20">
        <v>3105</v>
      </c>
      <c r="P2259" s="16">
        <f>VLOOKUP(A2259,'[3]Price info'!A:H,8,FALSE)</f>
        <v>743.65</v>
      </c>
      <c r="Q2259" s="17">
        <f t="shared" si="141"/>
        <v>1</v>
      </c>
      <c r="S2259" s="16" t="e">
        <f>VLOOKUP(A2259,[4]Sales!$E:$G,3,FALSE)</f>
        <v>#N/A</v>
      </c>
      <c r="T2259" s="19" t="e">
        <f>VLOOKUP(A2259,[4]Volume!$E:$G,3,FALSE)</f>
        <v>#N/A</v>
      </c>
      <c r="U2259" s="19" t="e">
        <f>VLOOKUP(A2259,[4]Piece!$E:$G,3,FALSE)</f>
        <v>#N/A</v>
      </c>
      <c r="V2259" s="21" t="e">
        <f t="shared" si="142"/>
        <v>#N/A</v>
      </c>
      <c r="W2259" s="16" t="e">
        <f t="shared" si="143"/>
        <v>#N/A</v>
      </c>
    </row>
    <row r="2260" spans="1:23" hidden="1" x14ac:dyDescent="0.3">
      <c r="A2260" s="71" t="s">
        <v>4456</v>
      </c>
      <c r="B2260" s="71" t="s">
        <v>4456</v>
      </c>
      <c r="C2260" s="47" t="s">
        <v>33</v>
      </c>
      <c r="D2260" s="48" t="s">
        <v>34</v>
      </c>
      <c r="E2260" s="18" t="s">
        <v>4457</v>
      </c>
      <c r="F2260" s="24" t="str">
        <f t="shared" si="140"/>
        <v>PPG - SD S'COVER 400 SET (X)      XXXXCCEU1400</v>
      </c>
      <c r="G2260" s="20" t="s">
        <v>7130</v>
      </c>
      <c r="H2260" s="49" t="s">
        <v>213</v>
      </c>
      <c r="I2260" s="18" t="s">
        <v>37</v>
      </c>
      <c r="J2260" s="18" t="s">
        <v>38</v>
      </c>
      <c r="K2260" t="s">
        <v>39</v>
      </c>
      <c r="L2260" s="50">
        <f>VLOOKUP(A2260,'[3]Price info'!A:D,4,FALSE)</f>
        <v>158.44</v>
      </c>
      <c r="M2260" s="18" t="s">
        <v>214</v>
      </c>
      <c r="N2260" s="20">
        <v>3105</v>
      </c>
      <c r="P2260" s="16">
        <f>VLOOKUP(A2260,'[3]Price info'!A:H,8,FALSE)</f>
        <v>158.44</v>
      </c>
      <c r="Q2260" s="17">
        <f t="shared" si="141"/>
        <v>1</v>
      </c>
      <c r="S2260" s="16" t="e">
        <f>VLOOKUP(A2260,[4]Sales!$E:$G,3,FALSE)</f>
        <v>#N/A</v>
      </c>
      <c r="T2260" s="19" t="e">
        <f>VLOOKUP(A2260,[4]Volume!$E:$G,3,FALSE)</f>
        <v>#N/A</v>
      </c>
      <c r="U2260" s="19" t="e">
        <f>VLOOKUP(A2260,[4]Piece!$E:$G,3,FALSE)</f>
        <v>#N/A</v>
      </c>
      <c r="V2260" s="21" t="e">
        <f t="shared" si="142"/>
        <v>#N/A</v>
      </c>
      <c r="W2260" s="16" t="e">
        <f t="shared" si="143"/>
        <v>#N/A</v>
      </c>
    </row>
    <row r="2261" spans="1:23" hidden="1" x14ac:dyDescent="0.3">
      <c r="A2261" s="71" t="s">
        <v>4458</v>
      </c>
      <c r="B2261" s="71" t="s">
        <v>4458</v>
      </c>
      <c r="C2261" s="51" t="s">
        <v>33</v>
      </c>
      <c r="D2261" s="48" t="s">
        <v>34</v>
      </c>
      <c r="E2261" s="18" t="s">
        <v>4459</v>
      </c>
      <c r="F2261" s="24" t="str">
        <f t="shared" si="140"/>
        <v>PPG - SD S'COVER 400 SET (X)      XXXXCCEU2200</v>
      </c>
      <c r="G2261" s="20" t="s">
        <v>7131</v>
      </c>
      <c r="H2261" s="49" t="s">
        <v>213</v>
      </c>
      <c r="I2261" s="18" t="s">
        <v>37</v>
      </c>
      <c r="J2261" s="18" t="s">
        <v>38</v>
      </c>
      <c r="K2261" t="s">
        <v>39</v>
      </c>
      <c r="L2261" s="50">
        <f>VLOOKUP(A2261,'[3]Price info'!A:D,4,FALSE)</f>
        <v>709.89</v>
      </c>
      <c r="M2261" s="18" t="s">
        <v>214</v>
      </c>
      <c r="N2261" s="20">
        <v>3105</v>
      </c>
      <c r="P2261" s="16">
        <f>VLOOKUP(A2261,'[3]Price info'!A:H,8,FALSE)</f>
        <v>709.89</v>
      </c>
      <c r="Q2261" s="17">
        <f t="shared" si="141"/>
        <v>1</v>
      </c>
      <c r="S2261" s="16" t="e">
        <f>VLOOKUP(A2261,[4]Sales!$E:$G,3,FALSE)</f>
        <v>#N/A</v>
      </c>
      <c r="T2261" s="19" t="e">
        <f>VLOOKUP(A2261,[4]Volume!$E:$G,3,FALSE)</f>
        <v>#N/A</v>
      </c>
      <c r="U2261" s="19" t="e">
        <f>VLOOKUP(A2261,[4]Piece!$E:$G,3,FALSE)</f>
        <v>#N/A</v>
      </c>
      <c r="V2261" s="21" t="e">
        <f t="shared" si="142"/>
        <v>#N/A</v>
      </c>
      <c r="W2261" s="16" t="e">
        <f t="shared" si="143"/>
        <v>#N/A</v>
      </c>
    </row>
    <row r="2262" spans="1:23" hidden="1" x14ac:dyDescent="0.3">
      <c r="A2262" s="71" t="s">
        <v>4460</v>
      </c>
      <c r="B2262" s="71" t="s">
        <v>4460</v>
      </c>
      <c r="C2262" s="47" t="s">
        <v>33</v>
      </c>
      <c r="D2262" s="48" t="s">
        <v>34</v>
      </c>
      <c r="E2262" s="18" t="s">
        <v>4461</v>
      </c>
      <c r="F2262" s="24" t="str">
        <f t="shared" si="140"/>
        <v>PPG - SD S'COVER 456 HS SET (X)   XXXXCCEU1400</v>
      </c>
      <c r="G2262" s="20" t="s">
        <v>7132</v>
      </c>
      <c r="H2262" s="49" t="s">
        <v>213</v>
      </c>
      <c r="I2262" s="18" t="s">
        <v>37</v>
      </c>
      <c r="J2262" s="18" t="s">
        <v>38</v>
      </c>
      <c r="K2262" t="s">
        <v>39</v>
      </c>
      <c r="L2262" s="50">
        <f>VLOOKUP(A2262,'[3]Price info'!A:D,4,FALSE)</f>
        <v>182.48</v>
      </c>
      <c r="M2262" s="18" t="s">
        <v>214</v>
      </c>
      <c r="N2262" s="20">
        <v>3105</v>
      </c>
      <c r="P2262" s="16">
        <f>VLOOKUP(A2262,'[3]Price info'!A:H,8,FALSE)</f>
        <v>182.48</v>
      </c>
      <c r="Q2262" s="17">
        <f t="shared" si="141"/>
        <v>1</v>
      </c>
      <c r="S2262" s="16" t="e">
        <f>VLOOKUP(A2262,[4]Sales!$E:$G,3,FALSE)</f>
        <v>#N/A</v>
      </c>
      <c r="T2262" s="19" t="e">
        <f>VLOOKUP(A2262,[4]Volume!$E:$G,3,FALSE)</f>
        <v>#N/A</v>
      </c>
      <c r="U2262" s="19" t="e">
        <f>VLOOKUP(A2262,[4]Piece!$E:$G,3,FALSE)</f>
        <v>#N/A</v>
      </c>
      <c r="V2262" s="21" t="e">
        <f t="shared" si="142"/>
        <v>#N/A</v>
      </c>
      <c r="W2262" s="16" t="e">
        <f t="shared" si="143"/>
        <v>#N/A</v>
      </c>
    </row>
    <row r="2263" spans="1:23" hidden="1" x14ac:dyDescent="0.3">
      <c r="A2263" s="71" t="s">
        <v>4462</v>
      </c>
      <c r="B2263" s="71" t="s">
        <v>4462</v>
      </c>
      <c r="C2263" s="47" t="s">
        <v>33</v>
      </c>
      <c r="D2263" s="48" t="s">
        <v>34</v>
      </c>
      <c r="E2263" s="18" t="s">
        <v>4463</v>
      </c>
      <c r="F2263" s="24" t="str">
        <f t="shared" si="140"/>
        <v>PPG - SD S'COVER 456 HS SET (X)   XXXXCCEU2200</v>
      </c>
      <c r="G2263" s="20" t="s">
        <v>7133</v>
      </c>
      <c r="H2263" s="49" t="s">
        <v>213</v>
      </c>
      <c r="I2263" s="18" t="s">
        <v>37</v>
      </c>
      <c r="J2263" s="18" t="s">
        <v>38</v>
      </c>
      <c r="K2263" t="s">
        <v>39</v>
      </c>
      <c r="L2263" s="50">
        <f>VLOOKUP(A2263,'[3]Price info'!A:D,4,FALSE)</f>
        <v>817.28</v>
      </c>
      <c r="M2263" s="18" t="s">
        <v>214</v>
      </c>
      <c r="N2263" s="20">
        <v>3105</v>
      </c>
      <c r="P2263" s="16">
        <f>VLOOKUP(A2263,'[3]Price info'!A:H,8,FALSE)</f>
        <v>817.28</v>
      </c>
      <c r="Q2263" s="17">
        <f t="shared" si="141"/>
        <v>1</v>
      </c>
      <c r="S2263" s="16" t="e">
        <f>VLOOKUP(A2263,[4]Sales!$E:$G,3,FALSE)</f>
        <v>#N/A</v>
      </c>
      <c r="T2263" s="19" t="e">
        <f>VLOOKUP(A2263,[4]Volume!$E:$G,3,FALSE)</f>
        <v>#N/A</v>
      </c>
      <c r="U2263" s="19" t="e">
        <f>VLOOKUP(A2263,[4]Piece!$E:$G,3,FALSE)</f>
        <v>#N/A</v>
      </c>
      <c r="V2263" s="21" t="e">
        <f t="shared" si="142"/>
        <v>#N/A</v>
      </c>
      <c r="W2263" s="16" t="e">
        <f t="shared" si="143"/>
        <v>#N/A</v>
      </c>
    </row>
    <row r="2264" spans="1:23" hidden="1" x14ac:dyDescent="0.3">
      <c r="A2264" s="71" t="s">
        <v>4464</v>
      </c>
      <c r="B2264" s="71" t="s">
        <v>4464</v>
      </c>
      <c r="C2264" s="51" t="s">
        <v>33</v>
      </c>
      <c r="D2264" s="48" t="s">
        <v>34</v>
      </c>
      <c r="E2264" s="18" t="s">
        <v>4465</v>
      </c>
      <c r="F2264" s="24" t="str">
        <f t="shared" si="140"/>
        <v>PPG - SD S'COVER 456 SET (X)      XXXXCCEU1400</v>
      </c>
      <c r="G2264" s="20" t="s">
        <v>7134</v>
      </c>
      <c r="H2264" s="49" t="s">
        <v>213</v>
      </c>
      <c r="I2264" s="18" t="s">
        <v>37</v>
      </c>
      <c r="J2264" s="18" t="s">
        <v>38</v>
      </c>
      <c r="K2264" t="s">
        <v>39</v>
      </c>
      <c r="L2264" s="50">
        <f>VLOOKUP(A2264,'[3]Price info'!A:D,4,FALSE)</f>
        <v>144.27000000000001</v>
      </c>
      <c r="M2264" s="18" t="s">
        <v>214</v>
      </c>
      <c r="N2264" s="20">
        <v>3105</v>
      </c>
      <c r="P2264" s="16">
        <f>VLOOKUP(A2264,'[3]Price info'!A:H,8,FALSE)</f>
        <v>144.27000000000001</v>
      </c>
      <c r="Q2264" s="17">
        <f t="shared" si="141"/>
        <v>1</v>
      </c>
      <c r="S2264" s="16" t="e">
        <f>VLOOKUP(A2264,[4]Sales!$E:$G,3,FALSE)</f>
        <v>#N/A</v>
      </c>
      <c r="T2264" s="19" t="e">
        <f>VLOOKUP(A2264,[4]Volume!$E:$G,3,FALSE)</f>
        <v>#N/A</v>
      </c>
      <c r="U2264" s="19" t="e">
        <f>VLOOKUP(A2264,[4]Piece!$E:$G,3,FALSE)</f>
        <v>#N/A</v>
      </c>
      <c r="V2264" s="21" t="e">
        <f t="shared" si="142"/>
        <v>#N/A</v>
      </c>
      <c r="W2264" s="16" t="e">
        <f t="shared" si="143"/>
        <v>#N/A</v>
      </c>
    </row>
    <row r="2265" spans="1:23" hidden="1" x14ac:dyDescent="0.3">
      <c r="A2265" s="71" t="s">
        <v>4466</v>
      </c>
      <c r="B2265" s="71" t="s">
        <v>4466</v>
      </c>
      <c r="C2265" s="47" t="s">
        <v>33</v>
      </c>
      <c r="D2265" s="48" t="s">
        <v>34</v>
      </c>
      <c r="E2265" s="18" t="s">
        <v>4467</v>
      </c>
      <c r="F2265" s="24" t="str">
        <f t="shared" si="140"/>
        <v>PPG - SD S'COVER 456 SET (X)      XXXXCCEU2200</v>
      </c>
      <c r="G2265" s="20" t="s">
        <v>7135</v>
      </c>
      <c r="H2265" s="49" t="s">
        <v>213</v>
      </c>
      <c r="I2265" s="18" t="s">
        <v>37</v>
      </c>
      <c r="J2265" s="18" t="s">
        <v>38</v>
      </c>
      <c r="K2265" t="s">
        <v>39</v>
      </c>
      <c r="L2265" s="50">
        <f>VLOOKUP(A2265,'[3]Price info'!A:D,4,FALSE)</f>
        <v>645.79999999999995</v>
      </c>
      <c r="M2265" s="18" t="s">
        <v>214</v>
      </c>
      <c r="N2265" s="20">
        <v>3105</v>
      </c>
      <c r="P2265" s="16">
        <f>VLOOKUP(A2265,'[3]Price info'!A:H,8,FALSE)</f>
        <v>645.79999999999995</v>
      </c>
      <c r="Q2265" s="17">
        <f t="shared" si="141"/>
        <v>1</v>
      </c>
      <c r="S2265" s="16" t="e">
        <f>VLOOKUP(A2265,[4]Sales!$E:$G,3,FALSE)</f>
        <v>#N/A</v>
      </c>
      <c r="T2265" s="19" t="e">
        <f>VLOOKUP(A2265,[4]Volume!$E:$G,3,FALSE)</f>
        <v>#N/A</v>
      </c>
      <c r="U2265" s="19" t="e">
        <f>VLOOKUP(A2265,[4]Piece!$E:$G,3,FALSE)</f>
        <v>#N/A</v>
      </c>
      <c r="V2265" s="21" t="e">
        <f t="shared" si="142"/>
        <v>#N/A</v>
      </c>
      <c r="W2265" s="16" t="e">
        <f t="shared" si="143"/>
        <v>#N/A</v>
      </c>
    </row>
    <row r="2266" spans="1:23" hidden="1" x14ac:dyDescent="0.3">
      <c r="A2266" s="71" t="s">
        <v>4468</v>
      </c>
      <c r="B2266" s="71" t="s">
        <v>4468</v>
      </c>
      <c r="C2266" s="47" t="s">
        <v>33</v>
      </c>
      <c r="D2266" s="48" t="s">
        <v>34</v>
      </c>
      <c r="E2266" s="18" t="s">
        <v>4469</v>
      </c>
      <c r="F2266" s="24" t="str">
        <f t="shared" si="140"/>
        <v>PPG - SD S'DUR 1800 SET (X)       XXXXCCEU1400</v>
      </c>
      <c r="G2266" s="20" t="s">
        <v>7136</v>
      </c>
      <c r="H2266" s="49" t="s">
        <v>213</v>
      </c>
      <c r="I2266" s="18" t="s">
        <v>37</v>
      </c>
      <c r="J2266" s="18" t="s">
        <v>38</v>
      </c>
      <c r="K2266" t="s">
        <v>39</v>
      </c>
      <c r="L2266" s="50">
        <f>VLOOKUP(A2266,'[3]Price info'!A:D,4,FALSE)</f>
        <v>281.16000000000003</v>
      </c>
      <c r="M2266" s="18" t="s">
        <v>214</v>
      </c>
      <c r="N2266" s="20">
        <v>3105</v>
      </c>
      <c r="P2266" s="16">
        <f>VLOOKUP(A2266,'[3]Price info'!A:H,8,FALSE)</f>
        <v>281.16000000000003</v>
      </c>
      <c r="Q2266" s="17">
        <f t="shared" si="141"/>
        <v>1</v>
      </c>
      <c r="S2266" s="16" t="e">
        <f>VLOOKUP(A2266,[4]Sales!$E:$G,3,FALSE)</f>
        <v>#N/A</v>
      </c>
      <c r="T2266" s="19" t="e">
        <f>VLOOKUP(A2266,[4]Volume!$E:$G,3,FALSE)</f>
        <v>#N/A</v>
      </c>
      <c r="U2266" s="19" t="e">
        <f>VLOOKUP(A2266,[4]Piece!$E:$G,3,FALSE)</f>
        <v>#N/A</v>
      </c>
      <c r="V2266" s="21" t="e">
        <f t="shared" si="142"/>
        <v>#N/A</v>
      </c>
      <c r="W2266" s="16" t="e">
        <f t="shared" si="143"/>
        <v>#N/A</v>
      </c>
    </row>
    <row r="2267" spans="1:23" hidden="1" x14ac:dyDescent="0.3">
      <c r="A2267" s="71" t="s">
        <v>4470</v>
      </c>
      <c r="B2267" s="71" t="s">
        <v>4470</v>
      </c>
      <c r="C2267" s="51" t="s">
        <v>33</v>
      </c>
      <c r="D2267" s="48" t="s">
        <v>34</v>
      </c>
      <c r="E2267" s="18" t="s">
        <v>4471</v>
      </c>
      <c r="F2267" s="24" t="str">
        <f t="shared" si="140"/>
        <v>PPG - SD S'DUR 1800 SET (X)       XXXXCCEU2200</v>
      </c>
      <c r="G2267" s="20" t="s">
        <v>7137</v>
      </c>
      <c r="H2267" s="49" t="s">
        <v>213</v>
      </c>
      <c r="I2267" s="18" t="s">
        <v>37</v>
      </c>
      <c r="J2267" s="18" t="s">
        <v>38</v>
      </c>
      <c r="K2267" t="s">
        <v>39</v>
      </c>
      <c r="L2267" s="50">
        <f>VLOOKUP(A2267,'[3]Price info'!A:D,4,FALSE)</f>
        <v>1258.54</v>
      </c>
      <c r="M2267" s="18" t="s">
        <v>214</v>
      </c>
      <c r="N2267" s="20">
        <v>3105</v>
      </c>
      <c r="P2267" s="16">
        <f>VLOOKUP(A2267,'[3]Price info'!A:H,8,FALSE)</f>
        <v>1258.54</v>
      </c>
      <c r="Q2267" s="17">
        <f t="shared" si="141"/>
        <v>1</v>
      </c>
      <c r="S2267" s="16" t="e">
        <f>VLOOKUP(A2267,[4]Sales!$E:$G,3,FALSE)</f>
        <v>#N/A</v>
      </c>
      <c r="T2267" s="19" t="e">
        <f>VLOOKUP(A2267,[4]Volume!$E:$G,3,FALSE)</f>
        <v>#N/A</v>
      </c>
      <c r="U2267" s="19" t="e">
        <f>VLOOKUP(A2267,[4]Piece!$E:$G,3,FALSE)</f>
        <v>#N/A</v>
      </c>
      <c r="V2267" s="21" t="e">
        <f t="shared" si="142"/>
        <v>#N/A</v>
      </c>
      <c r="W2267" s="16" t="e">
        <f t="shared" si="143"/>
        <v>#N/A</v>
      </c>
    </row>
    <row r="2268" spans="1:23" hidden="1" x14ac:dyDescent="0.3">
      <c r="A2268" s="71" t="s">
        <v>4472</v>
      </c>
      <c r="B2268" s="71" t="s">
        <v>4472</v>
      </c>
      <c r="C2268" s="47" t="s">
        <v>33</v>
      </c>
      <c r="D2268" s="48" t="s">
        <v>34</v>
      </c>
      <c r="E2268" s="18" t="s">
        <v>4473</v>
      </c>
      <c r="F2268" s="24" t="str">
        <f t="shared" si="140"/>
        <v>PPG - SD S'DUR 520 SET (X)        XXXXCCEU2200</v>
      </c>
      <c r="G2268" s="20" t="s">
        <v>7138</v>
      </c>
      <c r="H2268" s="49" t="s">
        <v>213</v>
      </c>
      <c r="I2268" s="18" t="s">
        <v>37</v>
      </c>
      <c r="J2268" s="18" t="s">
        <v>38</v>
      </c>
      <c r="K2268" t="s">
        <v>39</v>
      </c>
      <c r="L2268" s="50">
        <f>VLOOKUP(A2268,'[3]Price info'!A:D,4,FALSE)</f>
        <v>936.93</v>
      </c>
      <c r="M2268" s="18" t="s">
        <v>214</v>
      </c>
      <c r="N2268" s="20">
        <v>3105</v>
      </c>
      <c r="P2268" s="16">
        <f>VLOOKUP(A2268,'[3]Price info'!A:H,8,FALSE)</f>
        <v>936.93</v>
      </c>
      <c r="Q2268" s="17">
        <f t="shared" si="141"/>
        <v>1</v>
      </c>
      <c r="S2268" s="16" t="e">
        <f>VLOOKUP(A2268,[4]Sales!$E:$G,3,FALSE)</f>
        <v>#N/A</v>
      </c>
      <c r="T2268" s="19" t="e">
        <f>VLOOKUP(A2268,[4]Volume!$E:$G,3,FALSE)</f>
        <v>#N/A</v>
      </c>
      <c r="U2268" s="19" t="e">
        <f>VLOOKUP(A2268,[4]Piece!$E:$G,3,FALSE)</f>
        <v>#N/A</v>
      </c>
      <c r="V2268" s="21" t="e">
        <f t="shared" si="142"/>
        <v>#N/A</v>
      </c>
      <c r="W2268" s="16" t="e">
        <f t="shared" si="143"/>
        <v>#N/A</v>
      </c>
    </row>
    <row r="2269" spans="1:23" hidden="1" x14ac:dyDescent="0.3">
      <c r="A2269" s="71" t="s">
        <v>4474</v>
      </c>
      <c r="B2269" s="71" t="s">
        <v>4474</v>
      </c>
      <c r="C2269" s="47" t="s">
        <v>33</v>
      </c>
      <c r="D2269" s="48" t="s">
        <v>34</v>
      </c>
      <c r="E2269" s="18" t="s">
        <v>4475</v>
      </c>
      <c r="F2269" s="24" t="str">
        <f t="shared" si="140"/>
        <v>PPG - SD S'DUR 540 SET (X)        XXXXCCEU1400</v>
      </c>
      <c r="G2269" s="20" t="s">
        <v>7139</v>
      </c>
      <c r="H2269" s="49" t="s">
        <v>213</v>
      </c>
      <c r="I2269" s="18" t="s">
        <v>37</v>
      </c>
      <c r="J2269" s="18" t="s">
        <v>38</v>
      </c>
      <c r="K2269" t="s">
        <v>39</v>
      </c>
      <c r="L2269" s="50">
        <f>VLOOKUP(A2269,'[3]Price info'!A:D,4,FALSE)</f>
        <v>216.33</v>
      </c>
      <c r="M2269" s="18" t="s">
        <v>214</v>
      </c>
      <c r="N2269" s="20">
        <v>3105</v>
      </c>
      <c r="P2269" s="16">
        <f>VLOOKUP(A2269,'[3]Price info'!A:H,8,FALSE)</f>
        <v>216.33</v>
      </c>
      <c r="Q2269" s="17">
        <f t="shared" si="141"/>
        <v>1</v>
      </c>
      <c r="S2269" s="16" t="e">
        <f>VLOOKUP(A2269,[4]Sales!$E:$G,3,FALSE)</f>
        <v>#N/A</v>
      </c>
      <c r="T2269" s="19" t="e">
        <f>VLOOKUP(A2269,[4]Volume!$E:$G,3,FALSE)</f>
        <v>#N/A</v>
      </c>
      <c r="U2269" s="19" t="e">
        <f>VLOOKUP(A2269,[4]Piece!$E:$G,3,FALSE)</f>
        <v>#N/A</v>
      </c>
      <c r="V2269" s="21" t="e">
        <f t="shared" si="142"/>
        <v>#N/A</v>
      </c>
      <c r="W2269" s="16" t="e">
        <f t="shared" si="143"/>
        <v>#N/A</v>
      </c>
    </row>
    <row r="2270" spans="1:23" hidden="1" x14ac:dyDescent="0.3">
      <c r="A2270" s="71" t="s">
        <v>4476</v>
      </c>
      <c r="B2270" s="71" t="s">
        <v>4476</v>
      </c>
      <c r="C2270" s="51" t="s">
        <v>33</v>
      </c>
      <c r="D2270" s="48" t="s">
        <v>34</v>
      </c>
      <c r="E2270" s="18" t="s">
        <v>4477</v>
      </c>
      <c r="F2270" s="24" t="str">
        <f t="shared" si="140"/>
        <v>PPG - SD S'DUR 540 SET (X)        XXXXCCEU2200</v>
      </c>
      <c r="G2270" s="20" t="s">
        <v>7140</v>
      </c>
      <c r="H2270" s="49" t="s">
        <v>213</v>
      </c>
      <c r="I2270" s="18" t="s">
        <v>37</v>
      </c>
      <c r="J2270" s="18" t="s">
        <v>38</v>
      </c>
      <c r="K2270" t="s">
        <v>39</v>
      </c>
      <c r="L2270" s="50">
        <f>VLOOKUP(A2270,'[3]Price info'!A:D,4,FALSE)</f>
        <v>968.82</v>
      </c>
      <c r="M2270" s="18" t="s">
        <v>214</v>
      </c>
      <c r="N2270" s="20">
        <v>3105</v>
      </c>
      <c r="P2270" s="16">
        <f>VLOOKUP(A2270,'[3]Price info'!A:H,8,FALSE)</f>
        <v>968.82</v>
      </c>
      <c r="Q2270" s="17">
        <f t="shared" si="141"/>
        <v>1</v>
      </c>
      <c r="S2270" s="16" t="e">
        <f>VLOOKUP(A2270,[4]Sales!$E:$G,3,FALSE)</f>
        <v>#N/A</v>
      </c>
      <c r="T2270" s="19" t="e">
        <f>VLOOKUP(A2270,[4]Volume!$E:$G,3,FALSE)</f>
        <v>#N/A</v>
      </c>
      <c r="U2270" s="19" t="e">
        <f>VLOOKUP(A2270,[4]Piece!$E:$G,3,FALSE)</f>
        <v>#N/A</v>
      </c>
      <c r="V2270" s="21" t="e">
        <f t="shared" si="142"/>
        <v>#N/A</v>
      </c>
      <c r="W2270" s="16" t="e">
        <f t="shared" si="143"/>
        <v>#N/A</v>
      </c>
    </row>
    <row r="2271" spans="1:23" hidden="1" x14ac:dyDescent="0.3">
      <c r="A2271" s="71" t="s">
        <v>4478</v>
      </c>
      <c r="B2271" s="71" t="s">
        <v>4478</v>
      </c>
      <c r="C2271" s="47" t="s">
        <v>33</v>
      </c>
      <c r="D2271" s="48" t="s">
        <v>34</v>
      </c>
      <c r="E2271" s="18" t="s">
        <v>4479</v>
      </c>
      <c r="F2271" s="24" t="str">
        <f t="shared" si="140"/>
        <v>PPG - SD S'DUR 550H SET (X)       XXXXCCEU1400</v>
      </c>
      <c r="G2271" s="20" t="s">
        <v>7141</v>
      </c>
      <c r="H2271" s="49" t="s">
        <v>213</v>
      </c>
      <c r="I2271" s="18" t="s">
        <v>37</v>
      </c>
      <c r="J2271" s="18" t="s">
        <v>38</v>
      </c>
      <c r="K2271" t="s">
        <v>39</v>
      </c>
      <c r="L2271" s="50">
        <f>VLOOKUP(A2271,'[3]Price info'!A:D,4,FALSE)</f>
        <v>75.06</v>
      </c>
      <c r="M2271" s="18" t="s">
        <v>214</v>
      </c>
      <c r="N2271" s="20">
        <v>3105</v>
      </c>
      <c r="P2271" s="16">
        <f>VLOOKUP(A2271,'[3]Price info'!A:H,8,FALSE)</f>
        <v>75.06</v>
      </c>
      <c r="Q2271" s="17">
        <f t="shared" si="141"/>
        <v>1</v>
      </c>
      <c r="S2271" s="16" t="e">
        <f>VLOOKUP(A2271,[4]Sales!$E:$G,3,FALSE)</f>
        <v>#N/A</v>
      </c>
      <c r="T2271" s="19" t="e">
        <f>VLOOKUP(A2271,[4]Volume!$E:$G,3,FALSE)</f>
        <v>#N/A</v>
      </c>
      <c r="U2271" s="19" t="e">
        <f>VLOOKUP(A2271,[4]Piece!$E:$G,3,FALSE)</f>
        <v>#N/A</v>
      </c>
      <c r="V2271" s="21" t="e">
        <f t="shared" si="142"/>
        <v>#N/A</v>
      </c>
      <c r="W2271" s="16" t="e">
        <f t="shared" si="143"/>
        <v>#N/A</v>
      </c>
    </row>
    <row r="2272" spans="1:23" hidden="1" x14ac:dyDescent="0.3">
      <c r="A2272" s="71" t="s">
        <v>4480</v>
      </c>
      <c r="B2272" s="71" t="s">
        <v>4480</v>
      </c>
      <c r="C2272" s="47" t="s">
        <v>33</v>
      </c>
      <c r="D2272" s="48" t="s">
        <v>34</v>
      </c>
      <c r="E2272" s="18" t="s">
        <v>4481</v>
      </c>
      <c r="F2272" s="24" t="str">
        <f t="shared" si="140"/>
        <v>PPG - SD S'DUR 550H SET (X)       XXXXCCEU2200</v>
      </c>
      <c r="G2272" s="20" t="s">
        <v>7142</v>
      </c>
      <c r="H2272" s="49" t="s">
        <v>213</v>
      </c>
      <c r="I2272" s="18" t="s">
        <v>37</v>
      </c>
      <c r="J2272" s="18" t="s">
        <v>38</v>
      </c>
      <c r="K2272" t="s">
        <v>39</v>
      </c>
      <c r="L2272" s="50">
        <f>VLOOKUP(A2272,'[3]Price info'!A:D,4,FALSE)</f>
        <v>375.37</v>
      </c>
      <c r="M2272" s="18" t="s">
        <v>214</v>
      </c>
      <c r="N2272" s="20">
        <v>3105</v>
      </c>
      <c r="P2272" s="16">
        <f>VLOOKUP(A2272,'[3]Price info'!A:H,8,FALSE)</f>
        <v>375.37</v>
      </c>
      <c r="Q2272" s="17">
        <f t="shared" si="141"/>
        <v>1</v>
      </c>
      <c r="S2272" s="16" t="e">
        <f>VLOOKUP(A2272,[4]Sales!$E:$G,3,FALSE)</f>
        <v>#N/A</v>
      </c>
      <c r="T2272" s="19" t="e">
        <f>VLOOKUP(A2272,[4]Volume!$E:$G,3,FALSE)</f>
        <v>#N/A</v>
      </c>
      <c r="U2272" s="19" t="e">
        <f>VLOOKUP(A2272,[4]Piece!$E:$G,3,FALSE)</f>
        <v>#N/A</v>
      </c>
      <c r="V2272" s="21" t="e">
        <f t="shared" si="142"/>
        <v>#N/A</v>
      </c>
      <c r="W2272" s="16" t="e">
        <f t="shared" si="143"/>
        <v>#N/A</v>
      </c>
    </row>
    <row r="2273" spans="1:23" hidden="1" x14ac:dyDescent="0.3">
      <c r="A2273" s="71" t="s">
        <v>4482</v>
      </c>
      <c r="B2273" s="71" t="s">
        <v>4482</v>
      </c>
      <c r="C2273" s="51" t="s">
        <v>33</v>
      </c>
      <c r="D2273" s="48" t="s">
        <v>34</v>
      </c>
      <c r="E2273" s="18" t="s">
        <v>4483</v>
      </c>
      <c r="F2273" s="24" t="str">
        <f t="shared" si="140"/>
        <v>PPG - SD S'FAST 205 LT SET (X)    XXXXCCEU1400</v>
      </c>
      <c r="G2273" s="20" t="s">
        <v>7143</v>
      </c>
      <c r="H2273" s="49" t="s">
        <v>213</v>
      </c>
      <c r="I2273" s="18" t="s">
        <v>37</v>
      </c>
      <c r="J2273" s="18" t="s">
        <v>38</v>
      </c>
      <c r="K2273" t="s">
        <v>39</v>
      </c>
      <c r="L2273" s="50">
        <f>VLOOKUP(A2273,'[3]Price info'!A:D,4,FALSE)</f>
        <v>110.89</v>
      </c>
      <c r="M2273" s="18" t="s">
        <v>214</v>
      </c>
      <c r="N2273" s="20">
        <v>3105</v>
      </c>
      <c r="P2273" s="16">
        <f>VLOOKUP(A2273,'[3]Price info'!A:H,8,FALSE)</f>
        <v>110.89</v>
      </c>
      <c r="Q2273" s="17">
        <f t="shared" si="141"/>
        <v>1</v>
      </c>
      <c r="S2273" s="16" t="e">
        <f>VLOOKUP(A2273,[4]Sales!$E:$G,3,FALSE)</f>
        <v>#N/A</v>
      </c>
      <c r="T2273" s="19" t="e">
        <f>VLOOKUP(A2273,[4]Volume!$E:$G,3,FALSE)</f>
        <v>#N/A</v>
      </c>
      <c r="U2273" s="19" t="e">
        <f>VLOOKUP(A2273,[4]Piece!$E:$G,3,FALSE)</f>
        <v>#N/A</v>
      </c>
      <c r="V2273" s="21" t="e">
        <f t="shared" si="142"/>
        <v>#N/A</v>
      </c>
      <c r="W2273" s="16" t="e">
        <f t="shared" si="143"/>
        <v>#N/A</v>
      </c>
    </row>
    <row r="2274" spans="1:23" hidden="1" x14ac:dyDescent="0.3">
      <c r="A2274" s="71" t="s">
        <v>4484</v>
      </c>
      <c r="B2274" s="71" t="s">
        <v>4484</v>
      </c>
      <c r="C2274" s="47" t="s">
        <v>33</v>
      </c>
      <c r="D2274" s="48" t="s">
        <v>34</v>
      </c>
      <c r="E2274" s="18" t="s">
        <v>4485</v>
      </c>
      <c r="F2274" s="24" t="str">
        <f t="shared" si="140"/>
        <v>PPG - SD S'FAST 205 LT SET (X)    XXXXCCEU2200</v>
      </c>
      <c r="G2274" s="20" t="s">
        <v>7144</v>
      </c>
      <c r="H2274" s="49" t="s">
        <v>213</v>
      </c>
      <c r="I2274" s="18" t="s">
        <v>37</v>
      </c>
      <c r="J2274" s="18" t="s">
        <v>38</v>
      </c>
      <c r="K2274" t="s">
        <v>39</v>
      </c>
      <c r="L2274" s="50">
        <f>VLOOKUP(A2274,'[3]Price info'!A:D,4,FALSE)</f>
        <v>496.29</v>
      </c>
      <c r="M2274" s="18" t="s">
        <v>214</v>
      </c>
      <c r="N2274" s="20">
        <v>3105</v>
      </c>
      <c r="P2274" s="16">
        <f>VLOOKUP(A2274,'[3]Price info'!A:H,8,FALSE)</f>
        <v>496.29</v>
      </c>
      <c r="Q2274" s="17">
        <f t="shared" si="141"/>
        <v>1</v>
      </c>
      <c r="S2274" s="16" t="e">
        <f>VLOOKUP(A2274,[4]Sales!$E:$G,3,FALSE)</f>
        <v>#N/A</v>
      </c>
      <c r="T2274" s="19" t="e">
        <f>VLOOKUP(A2274,[4]Volume!$E:$G,3,FALSE)</f>
        <v>#N/A</v>
      </c>
      <c r="U2274" s="19" t="e">
        <f>VLOOKUP(A2274,[4]Piece!$E:$G,3,FALSE)</f>
        <v>#N/A</v>
      </c>
      <c r="V2274" s="21" t="e">
        <f t="shared" si="142"/>
        <v>#N/A</v>
      </c>
      <c r="W2274" s="16" t="e">
        <f t="shared" si="143"/>
        <v>#N/A</v>
      </c>
    </row>
    <row r="2275" spans="1:23" hidden="1" x14ac:dyDescent="0.3">
      <c r="A2275" s="71" t="s">
        <v>4486</v>
      </c>
      <c r="B2275" s="71" t="s">
        <v>4486</v>
      </c>
      <c r="C2275" s="47" t="s">
        <v>33</v>
      </c>
      <c r="D2275" s="48" t="s">
        <v>34</v>
      </c>
      <c r="E2275" s="18" t="s">
        <v>4487</v>
      </c>
      <c r="F2275" s="24" t="str">
        <f t="shared" si="140"/>
        <v>PPG - SD S'FAST 205 SET(X)        XXXXCCEU1400</v>
      </c>
      <c r="G2275" s="20" t="s">
        <v>7145</v>
      </c>
      <c r="H2275" s="49" t="s">
        <v>213</v>
      </c>
      <c r="I2275" s="18" t="s">
        <v>37</v>
      </c>
      <c r="J2275" s="18" t="s">
        <v>38</v>
      </c>
      <c r="K2275" t="s">
        <v>39</v>
      </c>
      <c r="L2275" s="50">
        <f>VLOOKUP(A2275,'[3]Price info'!A:D,4,FALSE)</f>
        <v>36</v>
      </c>
      <c r="M2275" s="18" t="s">
        <v>214</v>
      </c>
      <c r="N2275" s="20">
        <v>3105</v>
      </c>
      <c r="P2275" s="16">
        <f>VLOOKUP(A2275,'[3]Price info'!A:H,8,FALSE)</f>
        <v>36</v>
      </c>
      <c r="Q2275" s="17">
        <f t="shared" si="141"/>
        <v>1</v>
      </c>
      <c r="S2275" s="16" t="e">
        <f>VLOOKUP(A2275,[4]Sales!$E:$G,3,FALSE)</f>
        <v>#N/A</v>
      </c>
      <c r="T2275" s="19" t="e">
        <f>VLOOKUP(A2275,[4]Volume!$E:$G,3,FALSE)</f>
        <v>#N/A</v>
      </c>
      <c r="U2275" s="19" t="e">
        <f>VLOOKUP(A2275,[4]Piece!$E:$G,3,FALSE)</f>
        <v>#N/A</v>
      </c>
      <c r="V2275" s="21" t="e">
        <f t="shared" si="142"/>
        <v>#N/A</v>
      </c>
      <c r="W2275" s="16" t="e">
        <f t="shared" si="143"/>
        <v>#N/A</v>
      </c>
    </row>
    <row r="2276" spans="1:23" hidden="1" x14ac:dyDescent="0.3">
      <c r="A2276" s="71" t="s">
        <v>4488</v>
      </c>
      <c r="B2276" s="71" t="s">
        <v>4488</v>
      </c>
      <c r="C2276" s="51" t="s">
        <v>33</v>
      </c>
      <c r="D2276" s="48" t="s">
        <v>34</v>
      </c>
      <c r="E2276" s="18" t="s">
        <v>4489</v>
      </c>
      <c r="F2276" s="24" t="str">
        <f t="shared" si="140"/>
        <v>PPG - SD S'FAST 205 SET(X)        XXXXCCEU2200</v>
      </c>
      <c r="G2276" s="20" t="s">
        <v>7146</v>
      </c>
      <c r="H2276" s="49" t="s">
        <v>213</v>
      </c>
      <c r="I2276" s="18" t="s">
        <v>37</v>
      </c>
      <c r="J2276" s="18" t="s">
        <v>38</v>
      </c>
      <c r="K2276" t="s">
        <v>39</v>
      </c>
      <c r="L2276" s="50">
        <f>VLOOKUP(A2276,'[3]Price info'!A:D,4,FALSE)</f>
        <v>180.02</v>
      </c>
      <c r="M2276" s="18" t="s">
        <v>214</v>
      </c>
      <c r="N2276" s="20">
        <v>3105</v>
      </c>
      <c r="P2276" s="16">
        <f>VLOOKUP(A2276,'[3]Price info'!A:H,8,FALSE)</f>
        <v>180.02</v>
      </c>
      <c r="Q2276" s="17">
        <f t="shared" si="141"/>
        <v>1</v>
      </c>
      <c r="S2276" s="16" t="e">
        <f>VLOOKUP(A2276,[4]Sales!$E:$G,3,FALSE)</f>
        <v>#N/A</v>
      </c>
      <c r="T2276" s="19" t="e">
        <f>VLOOKUP(A2276,[4]Volume!$E:$G,3,FALSE)</f>
        <v>#N/A</v>
      </c>
      <c r="U2276" s="19" t="e">
        <f>VLOOKUP(A2276,[4]Piece!$E:$G,3,FALSE)</f>
        <v>#N/A</v>
      </c>
      <c r="V2276" s="21" t="e">
        <f t="shared" si="142"/>
        <v>#N/A</v>
      </c>
      <c r="W2276" s="16" t="e">
        <f t="shared" si="143"/>
        <v>#N/A</v>
      </c>
    </row>
    <row r="2277" spans="1:23" hidden="1" x14ac:dyDescent="0.3">
      <c r="A2277" s="71" t="s">
        <v>4490</v>
      </c>
      <c r="B2277" s="71" t="s">
        <v>4490</v>
      </c>
      <c r="C2277" s="47" t="s">
        <v>33</v>
      </c>
      <c r="D2277" s="48" t="s">
        <v>34</v>
      </c>
      <c r="E2277" s="18" t="s">
        <v>4491</v>
      </c>
      <c r="F2277" s="24" t="str">
        <f t="shared" si="140"/>
        <v>PPG - SD S'FAST 210 HS SET (X)    XXXXCCEU1400</v>
      </c>
      <c r="G2277" s="20" t="s">
        <v>7147</v>
      </c>
      <c r="H2277" s="49" t="s">
        <v>213</v>
      </c>
      <c r="I2277" s="18" t="s">
        <v>37</v>
      </c>
      <c r="J2277" s="18" t="s">
        <v>38</v>
      </c>
      <c r="K2277" t="s">
        <v>39</v>
      </c>
      <c r="L2277" s="50">
        <f>VLOOKUP(A2277,'[3]Price info'!A:D,4,FALSE)</f>
        <v>144.82</v>
      </c>
      <c r="M2277" s="18" t="s">
        <v>214</v>
      </c>
      <c r="N2277" s="20">
        <v>3105</v>
      </c>
      <c r="P2277" s="16">
        <f>VLOOKUP(A2277,'[3]Price info'!A:H,8,FALSE)</f>
        <v>144.82</v>
      </c>
      <c r="Q2277" s="17">
        <f t="shared" si="141"/>
        <v>1</v>
      </c>
      <c r="S2277" s="16" t="e">
        <f>VLOOKUP(A2277,[4]Sales!$E:$G,3,FALSE)</f>
        <v>#N/A</v>
      </c>
      <c r="T2277" s="19" t="e">
        <f>VLOOKUP(A2277,[4]Volume!$E:$G,3,FALSE)</f>
        <v>#N/A</v>
      </c>
      <c r="U2277" s="19" t="e">
        <f>VLOOKUP(A2277,[4]Piece!$E:$G,3,FALSE)</f>
        <v>#N/A</v>
      </c>
      <c r="V2277" s="21" t="e">
        <f t="shared" si="142"/>
        <v>#N/A</v>
      </c>
      <c r="W2277" s="16" t="e">
        <f t="shared" si="143"/>
        <v>#N/A</v>
      </c>
    </row>
    <row r="2278" spans="1:23" hidden="1" x14ac:dyDescent="0.3">
      <c r="A2278" s="71" t="s">
        <v>4492</v>
      </c>
      <c r="B2278" s="71" t="s">
        <v>4492</v>
      </c>
      <c r="C2278" s="47" t="s">
        <v>33</v>
      </c>
      <c r="D2278" s="48" t="s">
        <v>34</v>
      </c>
      <c r="E2278" s="18" t="s">
        <v>4493</v>
      </c>
      <c r="F2278" s="24" t="str">
        <f t="shared" si="140"/>
        <v>PPG - SD S'FAST 210 HS SET (X)    XXXXCCEU2200</v>
      </c>
      <c r="G2278" s="20" t="s">
        <v>7148</v>
      </c>
      <c r="H2278" s="49" t="s">
        <v>213</v>
      </c>
      <c r="I2278" s="18" t="s">
        <v>37</v>
      </c>
      <c r="J2278" s="18" t="s">
        <v>38</v>
      </c>
      <c r="K2278" t="s">
        <v>39</v>
      </c>
      <c r="L2278" s="50">
        <f>VLOOKUP(A2278,'[3]Price info'!A:D,4,FALSE)</f>
        <v>783.95</v>
      </c>
      <c r="M2278" s="18" t="s">
        <v>214</v>
      </c>
      <c r="N2278" s="20">
        <v>3105</v>
      </c>
      <c r="P2278" s="16">
        <f>VLOOKUP(A2278,'[3]Price info'!A:H,8,FALSE)</f>
        <v>783.95</v>
      </c>
      <c r="Q2278" s="17">
        <f t="shared" si="141"/>
        <v>1</v>
      </c>
      <c r="S2278" s="16" t="e">
        <f>VLOOKUP(A2278,[4]Sales!$E:$G,3,FALSE)</f>
        <v>#N/A</v>
      </c>
      <c r="T2278" s="19" t="e">
        <f>VLOOKUP(A2278,[4]Volume!$E:$G,3,FALSE)</f>
        <v>#N/A</v>
      </c>
      <c r="U2278" s="19" t="e">
        <f>VLOOKUP(A2278,[4]Piece!$E:$G,3,FALSE)</f>
        <v>#N/A</v>
      </c>
      <c r="V2278" s="21" t="e">
        <f t="shared" si="142"/>
        <v>#N/A</v>
      </c>
      <c r="W2278" s="16" t="e">
        <f t="shared" si="143"/>
        <v>#N/A</v>
      </c>
    </row>
    <row r="2279" spans="1:23" hidden="1" x14ac:dyDescent="0.3">
      <c r="A2279" s="71" t="s">
        <v>4494</v>
      </c>
      <c r="B2279" s="71" t="s">
        <v>4494</v>
      </c>
      <c r="C2279" s="51" t="s">
        <v>33</v>
      </c>
      <c r="D2279" s="48" t="s">
        <v>34</v>
      </c>
      <c r="E2279" s="18" t="s">
        <v>4495</v>
      </c>
      <c r="F2279" s="24" t="str">
        <f t="shared" si="140"/>
        <v>PPG - SD S'FAST 278 SET (X)         XXXXCC1400</v>
      </c>
      <c r="G2279" s="20" t="s">
        <v>7149</v>
      </c>
      <c r="H2279" s="49" t="s">
        <v>213</v>
      </c>
      <c r="I2279" s="18" t="s">
        <v>37</v>
      </c>
      <c r="J2279" s="18" t="s">
        <v>38</v>
      </c>
      <c r="K2279" t="s">
        <v>39</v>
      </c>
      <c r="L2279" s="50">
        <f>VLOOKUP(A2279,'[3]Price info'!A:D,4,FALSE)</f>
        <v>107.14</v>
      </c>
      <c r="M2279" s="18" t="s">
        <v>214</v>
      </c>
      <c r="N2279" s="20">
        <v>3105</v>
      </c>
      <c r="P2279" s="16">
        <f>VLOOKUP(A2279,'[3]Price info'!A:H,8,FALSE)</f>
        <v>107.14</v>
      </c>
      <c r="Q2279" s="17">
        <f t="shared" si="141"/>
        <v>1</v>
      </c>
      <c r="S2279" s="16" t="e">
        <f>VLOOKUP(A2279,[4]Sales!$E:$G,3,FALSE)</f>
        <v>#N/A</v>
      </c>
      <c r="T2279" s="19" t="e">
        <f>VLOOKUP(A2279,[4]Volume!$E:$G,3,FALSE)</f>
        <v>#N/A</v>
      </c>
      <c r="U2279" s="19" t="e">
        <f>VLOOKUP(A2279,[4]Piece!$E:$G,3,FALSE)</f>
        <v>#N/A</v>
      </c>
      <c r="V2279" s="21" t="e">
        <f t="shared" si="142"/>
        <v>#N/A</v>
      </c>
      <c r="W2279" s="16" t="e">
        <f t="shared" si="143"/>
        <v>#N/A</v>
      </c>
    </row>
    <row r="2280" spans="1:23" hidden="1" x14ac:dyDescent="0.3">
      <c r="A2280" s="71" t="s">
        <v>4496</v>
      </c>
      <c r="B2280" s="71" t="s">
        <v>4496</v>
      </c>
      <c r="C2280" s="47" t="s">
        <v>33</v>
      </c>
      <c r="D2280" s="48" t="s">
        <v>34</v>
      </c>
      <c r="E2280" s="18" t="s">
        <v>4497</v>
      </c>
      <c r="F2280" s="24" t="str">
        <f t="shared" si="140"/>
        <v>PPG - SD S'FAST 278 SET (X)         XXXXCC2200</v>
      </c>
      <c r="G2280" s="20" t="s">
        <v>7150</v>
      </c>
      <c r="H2280" s="49" t="s">
        <v>213</v>
      </c>
      <c r="I2280" s="18" t="s">
        <v>37</v>
      </c>
      <c r="J2280" s="18" t="s">
        <v>38</v>
      </c>
      <c r="K2280" t="s">
        <v>39</v>
      </c>
      <c r="L2280" s="50">
        <f>VLOOKUP(A2280,'[3]Price info'!A:D,4,FALSE)</f>
        <v>479.72</v>
      </c>
      <c r="M2280" s="18" t="s">
        <v>214</v>
      </c>
      <c r="N2280" s="20">
        <v>3105</v>
      </c>
      <c r="P2280" s="16">
        <f>VLOOKUP(A2280,'[3]Price info'!A:H,8,FALSE)</f>
        <v>479.72</v>
      </c>
      <c r="Q2280" s="17">
        <f t="shared" si="141"/>
        <v>1</v>
      </c>
      <c r="S2280" s="16" t="e">
        <f>VLOOKUP(A2280,[4]Sales!$E:$G,3,FALSE)</f>
        <v>#N/A</v>
      </c>
      <c r="T2280" s="19" t="e">
        <f>VLOOKUP(A2280,[4]Volume!$E:$G,3,FALSE)</f>
        <v>#N/A</v>
      </c>
      <c r="U2280" s="19" t="e">
        <f>VLOOKUP(A2280,[4]Piece!$E:$G,3,FALSE)</f>
        <v>#N/A</v>
      </c>
      <c r="V2280" s="21" t="e">
        <f t="shared" si="142"/>
        <v>#N/A</v>
      </c>
      <c r="W2280" s="16" t="e">
        <f t="shared" si="143"/>
        <v>#N/A</v>
      </c>
    </row>
    <row r="2281" spans="1:23" hidden="1" x14ac:dyDescent="0.3">
      <c r="A2281" s="71" t="s">
        <v>4498</v>
      </c>
      <c r="B2281" s="71" t="s">
        <v>4498</v>
      </c>
      <c r="C2281" s="47" t="s">
        <v>33</v>
      </c>
      <c r="D2281" s="48" t="s">
        <v>34</v>
      </c>
      <c r="E2281" s="18" t="s">
        <v>4499</v>
      </c>
      <c r="F2281" s="24" t="str">
        <f t="shared" si="140"/>
        <v>PPG - SD S'FAST 278 SET (X)      NXXXXCCEU1400</v>
      </c>
      <c r="G2281" s="20" t="s">
        <v>7151</v>
      </c>
      <c r="H2281" s="49" t="s">
        <v>213</v>
      </c>
      <c r="I2281" s="18" t="s">
        <v>37</v>
      </c>
      <c r="J2281" s="18" t="s">
        <v>38</v>
      </c>
      <c r="K2281" t="s">
        <v>39</v>
      </c>
      <c r="L2281" s="50">
        <f>VLOOKUP(A2281,'[3]Price info'!A:D,4,FALSE)</f>
        <v>117.32</v>
      </c>
      <c r="M2281" s="18" t="s">
        <v>214</v>
      </c>
      <c r="N2281" s="20">
        <v>3105</v>
      </c>
      <c r="P2281" s="16">
        <f>VLOOKUP(A2281,'[3]Price info'!A:H,8,FALSE)</f>
        <v>117.32</v>
      </c>
      <c r="Q2281" s="17">
        <f t="shared" si="141"/>
        <v>1</v>
      </c>
      <c r="S2281" s="16" t="e">
        <f>VLOOKUP(A2281,[4]Sales!$E:$G,3,FALSE)</f>
        <v>#N/A</v>
      </c>
      <c r="T2281" s="19" t="e">
        <f>VLOOKUP(A2281,[4]Volume!$E:$G,3,FALSE)</f>
        <v>#N/A</v>
      </c>
      <c r="U2281" s="19" t="e">
        <f>VLOOKUP(A2281,[4]Piece!$E:$G,3,FALSE)</f>
        <v>#N/A</v>
      </c>
      <c r="V2281" s="21" t="e">
        <f t="shared" si="142"/>
        <v>#N/A</v>
      </c>
      <c r="W2281" s="16" t="e">
        <f t="shared" si="143"/>
        <v>#N/A</v>
      </c>
    </row>
    <row r="2282" spans="1:23" hidden="1" x14ac:dyDescent="0.3">
      <c r="A2282" s="71" t="s">
        <v>4500</v>
      </c>
      <c r="B2282" s="71" t="s">
        <v>4500</v>
      </c>
      <c r="C2282" s="51" t="s">
        <v>33</v>
      </c>
      <c r="D2282" s="48" t="s">
        <v>34</v>
      </c>
      <c r="E2282" s="18" t="s">
        <v>4501</v>
      </c>
      <c r="F2282" s="24" t="str">
        <f t="shared" si="140"/>
        <v>PPG - SD S'FAST 278 SET (X)      NXXXXCCEU2200</v>
      </c>
      <c r="G2282" s="20" t="s">
        <v>7152</v>
      </c>
      <c r="H2282" s="49" t="s">
        <v>213</v>
      </c>
      <c r="I2282" s="18" t="s">
        <v>37</v>
      </c>
      <c r="J2282" s="18" t="s">
        <v>38</v>
      </c>
      <c r="K2282" t="s">
        <v>39</v>
      </c>
      <c r="L2282" s="50">
        <f>VLOOKUP(A2282,'[3]Price info'!A:D,4,FALSE)</f>
        <v>525.29</v>
      </c>
      <c r="M2282" s="18" t="s">
        <v>214</v>
      </c>
      <c r="N2282" s="20">
        <v>3105</v>
      </c>
      <c r="P2282" s="16">
        <f>VLOOKUP(A2282,'[3]Price info'!A:H,8,FALSE)</f>
        <v>525.29</v>
      </c>
      <c r="Q2282" s="17">
        <f t="shared" si="141"/>
        <v>1</v>
      </c>
      <c r="S2282" s="16" t="e">
        <f>VLOOKUP(A2282,[4]Sales!$E:$G,3,FALSE)</f>
        <v>#N/A</v>
      </c>
      <c r="T2282" s="19" t="e">
        <f>VLOOKUP(A2282,[4]Volume!$E:$G,3,FALSE)</f>
        <v>#N/A</v>
      </c>
      <c r="U2282" s="19" t="e">
        <f>VLOOKUP(A2282,[4]Piece!$E:$G,3,FALSE)</f>
        <v>#N/A</v>
      </c>
      <c r="V2282" s="21" t="e">
        <f t="shared" si="142"/>
        <v>#N/A</v>
      </c>
      <c r="W2282" s="16" t="e">
        <f t="shared" si="143"/>
        <v>#N/A</v>
      </c>
    </row>
    <row r="2283" spans="1:23" hidden="1" x14ac:dyDescent="0.3">
      <c r="A2283" s="71" t="s">
        <v>4502</v>
      </c>
      <c r="B2283" s="71" t="s">
        <v>4502</v>
      </c>
      <c r="C2283" s="47" t="s">
        <v>33</v>
      </c>
      <c r="D2283" s="48" t="s">
        <v>34</v>
      </c>
      <c r="E2283" s="18" t="s">
        <v>4503</v>
      </c>
      <c r="F2283" s="24" t="str">
        <f t="shared" si="140"/>
        <v>PPG - SD S'SHIELD 880 SET (X)     XXXXCCEU1400</v>
      </c>
      <c r="G2283" s="20" t="s">
        <v>7153</v>
      </c>
      <c r="H2283" s="49" t="s">
        <v>213</v>
      </c>
      <c r="I2283" s="18" t="s">
        <v>37</v>
      </c>
      <c r="J2283" s="18" t="s">
        <v>38</v>
      </c>
      <c r="K2283" t="s">
        <v>39</v>
      </c>
      <c r="L2283" s="50">
        <f>VLOOKUP(A2283,'[3]Price info'!A:D,4,FALSE)</f>
        <v>94.55</v>
      </c>
      <c r="M2283" s="18" t="s">
        <v>214</v>
      </c>
      <c r="N2283" s="20">
        <v>3105</v>
      </c>
      <c r="P2283" s="16">
        <f>VLOOKUP(A2283,'[3]Price info'!A:H,8,FALSE)</f>
        <v>94.55</v>
      </c>
      <c r="Q2283" s="17">
        <f t="shared" si="141"/>
        <v>1</v>
      </c>
      <c r="S2283" s="16" t="e">
        <f>VLOOKUP(A2283,[4]Sales!$E:$G,3,FALSE)</f>
        <v>#N/A</v>
      </c>
      <c r="T2283" s="19" t="e">
        <f>VLOOKUP(A2283,[4]Volume!$E:$G,3,FALSE)</f>
        <v>#N/A</v>
      </c>
      <c r="U2283" s="19" t="e">
        <f>VLOOKUP(A2283,[4]Piece!$E:$G,3,FALSE)</f>
        <v>#N/A</v>
      </c>
      <c r="V2283" s="21" t="e">
        <f t="shared" si="142"/>
        <v>#N/A</v>
      </c>
      <c r="W2283" s="16" t="e">
        <f t="shared" si="143"/>
        <v>#N/A</v>
      </c>
    </row>
    <row r="2284" spans="1:23" hidden="1" x14ac:dyDescent="0.3">
      <c r="A2284" s="71" t="s">
        <v>4504</v>
      </c>
      <c r="B2284" s="71" t="s">
        <v>4504</v>
      </c>
      <c r="C2284" s="47" t="s">
        <v>33</v>
      </c>
      <c r="D2284" s="48" t="s">
        <v>34</v>
      </c>
      <c r="E2284" s="18" t="s">
        <v>4505</v>
      </c>
      <c r="F2284" s="24" t="str">
        <f t="shared" si="140"/>
        <v>PPG - SD S'SHIELD 880 SET (X)     XXXXCCEU2200</v>
      </c>
      <c r="G2284" s="20" t="s">
        <v>7154</v>
      </c>
      <c r="H2284" s="49" t="s">
        <v>213</v>
      </c>
      <c r="I2284" s="18" t="s">
        <v>37</v>
      </c>
      <c r="J2284" s="18" t="s">
        <v>38</v>
      </c>
      <c r="K2284" t="s">
        <v>39</v>
      </c>
      <c r="L2284" s="50">
        <f>VLOOKUP(A2284,'[3]Price info'!A:D,4,FALSE)</f>
        <v>472.82</v>
      </c>
      <c r="M2284" s="18" t="s">
        <v>214</v>
      </c>
      <c r="N2284" s="20">
        <v>3105</v>
      </c>
      <c r="P2284" s="16">
        <f>VLOOKUP(A2284,'[3]Price info'!A:H,8,FALSE)</f>
        <v>472.82</v>
      </c>
      <c r="Q2284" s="17">
        <f t="shared" si="141"/>
        <v>1</v>
      </c>
      <c r="S2284" s="16" t="e">
        <f>VLOOKUP(A2284,[4]Sales!$E:$G,3,FALSE)</f>
        <v>#N/A</v>
      </c>
      <c r="T2284" s="19" t="e">
        <f>VLOOKUP(A2284,[4]Volume!$E:$G,3,FALSE)</f>
        <v>#N/A</v>
      </c>
      <c r="U2284" s="19" t="e">
        <f>VLOOKUP(A2284,[4]Piece!$E:$G,3,FALSE)</f>
        <v>#N/A</v>
      </c>
      <c r="V2284" s="21" t="e">
        <f t="shared" si="142"/>
        <v>#N/A</v>
      </c>
      <c r="W2284" s="16" t="e">
        <f t="shared" si="143"/>
        <v>#N/A</v>
      </c>
    </row>
    <row r="2285" spans="1:23" hidden="1" x14ac:dyDescent="0.3">
      <c r="A2285" s="71" t="s">
        <v>4506</v>
      </c>
      <c r="B2285" s="71" t="s">
        <v>4506</v>
      </c>
      <c r="C2285" s="51" t="s">
        <v>33</v>
      </c>
      <c r="D2285" s="48" t="s">
        <v>34</v>
      </c>
      <c r="E2285" s="18" t="s">
        <v>4507</v>
      </c>
      <c r="F2285" s="24" t="str">
        <f t="shared" si="140"/>
        <v>PPG - S'DUR 1800 SET WHITE          7000002200</v>
      </c>
      <c r="G2285" s="20" t="s">
        <v>7155</v>
      </c>
      <c r="H2285" s="49" t="s">
        <v>213</v>
      </c>
      <c r="I2285" s="18" t="s">
        <v>37</v>
      </c>
      <c r="J2285" s="18" t="s">
        <v>38</v>
      </c>
      <c r="K2285" t="s">
        <v>39</v>
      </c>
      <c r="L2285" s="50">
        <f>VLOOKUP(A2285,'[3]Price info'!A:D,4,FALSE)</f>
        <v>1155.4000000000001</v>
      </c>
      <c r="M2285" s="18" t="s">
        <v>214</v>
      </c>
      <c r="N2285" s="20">
        <v>3105</v>
      </c>
      <c r="P2285" s="16">
        <f>VLOOKUP(A2285,'[3]Price info'!A:H,8,FALSE)</f>
        <v>1155.4000000000001</v>
      </c>
      <c r="Q2285" s="17">
        <f t="shared" si="141"/>
        <v>1</v>
      </c>
      <c r="S2285" s="16" t="e">
        <f>VLOOKUP(A2285,[4]Sales!$E:$G,3,FALSE)</f>
        <v>#N/A</v>
      </c>
      <c r="T2285" s="19" t="e">
        <f>VLOOKUP(A2285,[4]Volume!$E:$G,3,FALSE)</f>
        <v>#N/A</v>
      </c>
      <c r="U2285" s="19" t="e">
        <f>VLOOKUP(A2285,[4]Piece!$E:$G,3,FALSE)</f>
        <v>#N/A</v>
      </c>
      <c r="V2285" s="21" t="e">
        <f t="shared" si="142"/>
        <v>#N/A</v>
      </c>
      <c r="W2285" s="16" t="e">
        <f t="shared" si="143"/>
        <v>#N/A</v>
      </c>
    </row>
    <row r="2286" spans="1:23" hidden="1" x14ac:dyDescent="0.3">
      <c r="A2286" s="71" t="s">
        <v>4508</v>
      </c>
      <c r="B2286" s="71" t="s">
        <v>4508</v>
      </c>
      <c r="C2286" s="47" t="s">
        <v>33</v>
      </c>
      <c r="D2286" s="48" t="s">
        <v>34</v>
      </c>
      <c r="E2286" s="18" t="s">
        <v>4509</v>
      </c>
      <c r="F2286" s="24" t="str">
        <f t="shared" si="140"/>
        <v>PPG - S'DUR 520 SET ALU DARK        9001002200</v>
      </c>
      <c r="G2286" s="20" t="s">
        <v>7156</v>
      </c>
      <c r="H2286" s="49" t="s">
        <v>213</v>
      </c>
      <c r="I2286" s="18" t="s">
        <v>37</v>
      </c>
      <c r="J2286" s="18" t="s">
        <v>38</v>
      </c>
      <c r="K2286" t="s">
        <v>39</v>
      </c>
      <c r="L2286" s="50">
        <f>VLOOKUP(A2286,'[3]Price info'!A:D,4,FALSE)</f>
        <v>817.28</v>
      </c>
      <c r="M2286" s="18" t="s">
        <v>214</v>
      </c>
      <c r="N2286" s="20">
        <v>3105</v>
      </c>
      <c r="P2286" s="16">
        <f>VLOOKUP(A2286,'[3]Price info'!A:H,8,FALSE)</f>
        <v>817.28</v>
      </c>
      <c r="Q2286" s="17">
        <f t="shared" si="141"/>
        <v>1</v>
      </c>
      <c r="S2286" s="16" t="e">
        <f>VLOOKUP(A2286,[4]Sales!$E:$G,3,FALSE)</f>
        <v>#N/A</v>
      </c>
      <c r="T2286" s="19" t="e">
        <f>VLOOKUP(A2286,[4]Volume!$E:$G,3,FALSE)</f>
        <v>#N/A</v>
      </c>
      <c r="U2286" s="19" t="e">
        <f>VLOOKUP(A2286,[4]Piece!$E:$G,3,FALSE)</f>
        <v>#N/A</v>
      </c>
      <c r="V2286" s="21" t="e">
        <f t="shared" si="142"/>
        <v>#N/A</v>
      </c>
      <c r="W2286" s="16" t="e">
        <f t="shared" si="143"/>
        <v>#N/A</v>
      </c>
    </row>
    <row r="2287" spans="1:23" hidden="1" x14ac:dyDescent="0.3">
      <c r="A2287" s="71" t="s">
        <v>4510</v>
      </c>
      <c r="B2287" s="71" t="s">
        <v>4510</v>
      </c>
      <c r="C2287" s="47" t="s">
        <v>33</v>
      </c>
      <c r="D2287" s="48" t="s">
        <v>34</v>
      </c>
      <c r="E2287" s="18" t="s">
        <v>4511</v>
      </c>
      <c r="F2287" s="24" t="str">
        <f t="shared" si="140"/>
        <v>PPG - S'DUR 520 SET ALU LIGHT       9000001400</v>
      </c>
      <c r="G2287" s="20" t="s">
        <v>7157</v>
      </c>
      <c r="H2287" s="49" t="s">
        <v>213</v>
      </c>
      <c r="I2287" s="18" t="s">
        <v>37</v>
      </c>
      <c r="J2287" s="18" t="s">
        <v>38</v>
      </c>
      <c r="K2287" t="s">
        <v>39</v>
      </c>
      <c r="L2287" s="50">
        <f>VLOOKUP(A2287,'[3]Price info'!A:D,4,FALSE)</f>
        <v>182.48</v>
      </c>
      <c r="M2287" s="18" t="s">
        <v>214</v>
      </c>
      <c r="N2287" s="20">
        <v>3105</v>
      </c>
      <c r="P2287" s="16">
        <f>VLOOKUP(A2287,'[3]Price info'!A:H,8,FALSE)</f>
        <v>182.48</v>
      </c>
      <c r="Q2287" s="17">
        <f t="shared" si="141"/>
        <v>1</v>
      </c>
      <c r="S2287" s="16" t="e">
        <f>VLOOKUP(A2287,[4]Sales!$E:$G,3,FALSE)</f>
        <v>#N/A</v>
      </c>
      <c r="T2287" s="19" t="e">
        <f>VLOOKUP(A2287,[4]Volume!$E:$G,3,FALSE)</f>
        <v>#N/A</v>
      </c>
      <c r="U2287" s="19" t="e">
        <f>VLOOKUP(A2287,[4]Piece!$E:$G,3,FALSE)</f>
        <v>#N/A</v>
      </c>
      <c r="V2287" s="21" t="e">
        <f t="shared" si="142"/>
        <v>#N/A</v>
      </c>
      <c r="W2287" s="16" t="e">
        <f t="shared" si="143"/>
        <v>#N/A</v>
      </c>
    </row>
    <row r="2288" spans="1:23" hidden="1" x14ac:dyDescent="0.3">
      <c r="A2288" s="71" t="s">
        <v>4512</v>
      </c>
      <c r="B2288" s="71" t="s">
        <v>4512</v>
      </c>
      <c r="C2288" s="51" t="s">
        <v>33</v>
      </c>
      <c r="D2288" s="48" t="s">
        <v>34</v>
      </c>
      <c r="E2288" s="18" t="s">
        <v>4513</v>
      </c>
      <c r="F2288" s="24" t="str">
        <f t="shared" si="140"/>
        <v>PPG - S'DUR 520 SET ALU LIGHT       9000002200</v>
      </c>
      <c r="G2288" s="20" t="s">
        <v>7158</v>
      </c>
      <c r="H2288" s="49" t="s">
        <v>213</v>
      </c>
      <c r="I2288" s="18" t="s">
        <v>37</v>
      </c>
      <c r="J2288" s="18" t="s">
        <v>38</v>
      </c>
      <c r="K2288" t="s">
        <v>39</v>
      </c>
      <c r="L2288" s="50">
        <f>VLOOKUP(A2288,'[3]Price info'!A:D,4,FALSE)</f>
        <v>817.28</v>
      </c>
      <c r="M2288" s="18" t="s">
        <v>214</v>
      </c>
      <c r="N2288" s="20">
        <v>3105</v>
      </c>
      <c r="P2288" s="16">
        <f>VLOOKUP(A2288,'[3]Price info'!A:H,8,FALSE)</f>
        <v>817.28</v>
      </c>
      <c r="Q2288" s="17">
        <f t="shared" si="141"/>
        <v>1</v>
      </c>
      <c r="S2288" s="16" t="e">
        <f>VLOOKUP(A2288,[4]Sales!$E:$G,3,FALSE)</f>
        <v>#N/A</v>
      </c>
      <c r="T2288" s="19" t="e">
        <f>VLOOKUP(A2288,[4]Volume!$E:$G,3,FALSE)</f>
        <v>#N/A</v>
      </c>
      <c r="U2288" s="19" t="e">
        <f>VLOOKUP(A2288,[4]Piece!$E:$G,3,FALSE)</f>
        <v>#N/A</v>
      </c>
      <c r="V2288" s="21" t="e">
        <f t="shared" si="142"/>
        <v>#N/A</v>
      </c>
      <c r="W2288" s="16" t="e">
        <f t="shared" si="143"/>
        <v>#N/A</v>
      </c>
    </row>
    <row r="2289" spans="1:23" hidden="1" x14ac:dyDescent="0.3">
      <c r="A2289" s="71" t="s">
        <v>4514</v>
      </c>
      <c r="B2289" s="71" t="s">
        <v>4514</v>
      </c>
      <c r="C2289" s="47" t="s">
        <v>33</v>
      </c>
      <c r="D2289" s="48" t="s">
        <v>34</v>
      </c>
      <c r="E2289" s="18" t="s">
        <v>4515</v>
      </c>
      <c r="F2289" s="24" t="str">
        <f t="shared" si="140"/>
        <v>PPG - S'DUR 520 SET RAL             7035262200</v>
      </c>
      <c r="G2289" s="20" t="s">
        <v>7159</v>
      </c>
      <c r="H2289" s="49" t="s">
        <v>213</v>
      </c>
      <c r="I2289" s="18" t="s">
        <v>37</v>
      </c>
      <c r="J2289" s="18" t="s">
        <v>38</v>
      </c>
      <c r="K2289" t="s">
        <v>39</v>
      </c>
      <c r="L2289" s="50">
        <f>VLOOKUP(A2289,'[3]Price info'!A:D,4,FALSE)</f>
        <v>968.82</v>
      </c>
      <c r="M2289" s="18" t="s">
        <v>214</v>
      </c>
      <c r="N2289" s="20">
        <v>3105</v>
      </c>
      <c r="P2289" s="16">
        <f>VLOOKUP(A2289,'[3]Price info'!A:H,8,FALSE)</f>
        <v>968.82</v>
      </c>
      <c r="Q2289" s="17">
        <f t="shared" si="141"/>
        <v>1</v>
      </c>
      <c r="S2289" s="16" t="e">
        <f>VLOOKUP(A2289,[4]Sales!$E:$G,3,FALSE)</f>
        <v>#N/A</v>
      </c>
      <c r="T2289" s="19" t="e">
        <f>VLOOKUP(A2289,[4]Volume!$E:$G,3,FALSE)</f>
        <v>#N/A</v>
      </c>
      <c r="U2289" s="19" t="e">
        <f>VLOOKUP(A2289,[4]Piece!$E:$G,3,FALSE)</f>
        <v>#N/A</v>
      </c>
      <c r="V2289" s="21" t="e">
        <f t="shared" si="142"/>
        <v>#N/A</v>
      </c>
      <c r="W2289" s="16" t="e">
        <f t="shared" si="143"/>
        <v>#N/A</v>
      </c>
    </row>
    <row r="2290" spans="1:23" hidden="1" x14ac:dyDescent="0.3">
      <c r="A2290" s="71" t="s">
        <v>4516</v>
      </c>
      <c r="B2290" s="71" t="s">
        <v>4516</v>
      </c>
      <c r="C2290" s="47" t="s">
        <v>33</v>
      </c>
      <c r="D2290" s="48" t="s">
        <v>34</v>
      </c>
      <c r="E2290" s="18" t="s">
        <v>4517</v>
      </c>
      <c r="F2290" s="24" t="str">
        <f t="shared" si="140"/>
        <v>PPG - S'DUR 520 SET RAL             9010262200</v>
      </c>
      <c r="G2290" s="20" t="s">
        <v>7160</v>
      </c>
      <c r="H2290" s="49" t="s">
        <v>213</v>
      </c>
      <c r="I2290" s="18" t="s">
        <v>37</v>
      </c>
      <c r="J2290" s="18" t="s">
        <v>38</v>
      </c>
      <c r="K2290" t="s">
        <v>39</v>
      </c>
      <c r="L2290" s="50">
        <f>VLOOKUP(A2290,'[3]Price info'!A:D,4,FALSE)</f>
        <v>968.82</v>
      </c>
      <c r="M2290" s="18" t="s">
        <v>214</v>
      </c>
      <c r="N2290" s="20">
        <v>3105</v>
      </c>
      <c r="P2290" s="16">
        <f>VLOOKUP(A2290,'[3]Price info'!A:H,8,FALSE)</f>
        <v>968.82</v>
      </c>
      <c r="Q2290" s="17">
        <f t="shared" si="141"/>
        <v>1</v>
      </c>
      <c r="S2290" s="16" t="e">
        <f>VLOOKUP(A2290,[4]Sales!$E:$G,3,FALSE)</f>
        <v>#N/A</v>
      </c>
      <c r="T2290" s="19" t="e">
        <f>VLOOKUP(A2290,[4]Volume!$E:$G,3,FALSE)</f>
        <v>#N/A</v>
      </c>
      <c r="U2290" s="19" t="e">
        <f>VLOOKUP(A2290,[4]Piece!$E:$G,3,FALSE)</f>
        <v>#N/A</v>
      </c>
      <c r="V2290" s="21" t="e">
        <f t="shared" si="142"/>
        <v>#N/A</v>
      </c>
      <c r="W2290" s="16" t="e">
        <f t="shared" si="143"/>
        <v>#N/A</v>
      </c>
    </row>
    <row r="2291" spans="1:23" hidden="1" x14ac:dyDescent="0.3">
      <c r="A2291" s="71" t="s">
        <v>4518</v>
      </c>
      <c r="B2291" s="71" t="s">
        <v>4518</v>
      </c>
      <c r="C2291" s="51" t="s">
        <v>33</v>
      </c>
      <c r="D2291" s="48" t="s">
        <v>34</v>
      </c>
      <c r="E2291" s="18" t="s">
        <v>4519</v>
      </c>
      <c r="F2291" s="24" t="str">
        <f t="shared" si="140"/>
        <v>PPG - S'DUR 550 SET BLACK           8000002200</v>
      </c>
      <c r="G2291" s="20" t="s">
        <v>7161</v>
      </c>
      <c r="H2291" s="49" t="s">
        <v>213</v>
      </c>
      <c r="I2291" s="18" t="s">
        <v>37</v>
      </c>
      <c r="J2291" s="18" t="s">
        <v>38</v>
      </c>
      <c r="K2291" t="s">
        <v>39</v>
      </c>
      <c r="L2291" s="50">
        <f>VLOOKUP(A2291,'[3]Price info'!A:D,4,FALSE)</f>
        <v>799.9</v>
      </c>
      <c r="M2291" s="18" t="s">
        <v>214</v>
      </c>
      <c r="N2291" s="20">
        <v>3105</v>
      </c>
      <c r="P2291" s="16">
        <f>VLOOKUP(A2291,'[3]Price info'!A:H,8,FALSE)</f>
        <v>799.9</v>
      </c>
      <c r="Q2291" s="17">
        <f t="shared" si="141"/>
        <v>1</v>
      </c>
      <c r="S2291" s="16" t="e">
        <f>VLOOKUP(A2291,[4]Sales!$E:$G,3,FALSE)</f>
        <v>#N/A</v>
      </c>
      <c r="T2291" s="19" t="e">
        <f>VLOOKUP(A2291,[4]Volume!$E:$G,3,FALSE)</f>
        <v>#N/A</v>
      </c>
      <c r="U2291" s="19" t="e">
        <f>VLOOKUP(A2291,[4]Piece!$E:$G,3,FALSE)</f>
        <v>#N/A</v>
      </c>
      <c r="V2291" s="21" t="e">
        <f t="shared" si="142"/>
        <v>#N/A</v>
      </c>
      <c r="W2291" s="16" t="e">
        <f t="shared" si="143"/>
        <v>#N/A</v>
      </c>
    </row>
    <row r="2292" spans="1:23" hidden="1" x14ac:dyDescent="0.3">
      <c r="A2292" s="71" t="s">
        <v>4520</v>
      </c>
      <c r="B2292" s="71" t="s">
        <v>4520</v>
      </c>
      <c r="C2292" s="47" t="s">
        <v>33</v>
      </c>
      <c r="D2292" s="48" t="s">
        <v>34</v>
      </c>
      <c r="E2292" s="18" t="s">
        <v>4521</v>
      </c>
      <c r="F2292" s="24" t="str">
        <f t="shared" si="140"/>
        <v>PPG - S'DUR 550 SET GREEN           4199052200</v>
      </c>
      <c r="G2292" s="20" t="s">
        <v>7162</v>
      </c>
      <c r="H2292" s="49" t="s">
        <v>213</v>
      </c>
      <c r="I2292" s="18" t="s">
        <v>37</v>
      </c>
      <c r="J2292" s="18" t="s">
        <v>38</v>
      </c>
      <c r="K2292" t="s">
        <v>39</v>
      </c>
      <c r="L2292" s="50">
        <f>VLOOKUP(A2292,'[3]Price info'!A:D,4,FALSE)</f>
        <v>987.34</v>
      </c>
      <c r="M2292" s="18" t="s">
        <v>214</v>
      </c>
      <c r="N2292" s="20">
        <v>3105</v>
      </c>
      <c r="P2292" s="16">
        <f>VLOOKUP(A2292,'[3]Price info'!A:H,8,FALSE)</f>
        <v>987.34</v>
      </c>
      <c r="Q2292" s="17">
        <f t="shared" si="141"/>
        <v>1</v>
      </c>
      <c r="S2292" s="16" t="e">
        <f>VLOOKUP(A2292,[4]Sales!$E:$G,3,FALSE)</f>
        <v>#N/A</v>
      </c>
      <c r="T2292" s="19" t="e">
        <f>VLOOKUP(A2292,[4]Volume!$E:$G,3,FALSE)</f>
        <v>#N/A</v>
      </c>
      <c r="U2292" s="19" t="e">
        <f>VLOOKUP(A2292,[4]Piece!$E:$G,3,FALSE)</f>
        <v>#N/A</v>
      </c>
      <c r="V2292" s="21" t="e">
        <f t="shared" si="142"/>
        <v>#N/A</v>
      </c>
      <c r="W2292" s="16" t="e">
        <f t="shared" si="143"/>
        <v>#N/A</v>
      </c>
    </row>
    <row r="2293" spans="1:23" hidden="1" x14ac:dyDescent="0.3">
      <c r="A2293" s="71" t="s">
        <v>4522</v>
      </c>
      <c r="B2293" s="71" t="s">
        <v>4522</v>
      </c>
      <c r="C2293" s="47" t="s">
        <v>33</v>
      </c>
      <c r="D2293" s="48" t="s">
        <v>34</v>
      </c>
      <c r="E2293" s="18" t="s">
        <v>4523</v>
      </c>
      <c r="F2293" s="24" t="str">
        <f t="shared" si="140"/>
        <v>PPG - S'DUR 550 SET GREY            5177052200</v>
      </c>
      <c r="G2293" s="20" t="s">
        <v>7163</v>
      </c>
      <c r="H2293" s="49" t="s">
        <v>213</v>
      </c>
      <c r="I2293" s="18" t="s">
        <v>37</v>
      </c>
      <c r="J2293" s="18" t="s">
        <v>38</v>
      </c>
      <c r="K2293" t="s">
        <v>39</v>
      </c>
      <c r="L2293" s="50">
        <f>VLOOKUP(A2293,'[3]Price info'!A:D,4,FALSE)</f>
        <v>987.34</v>
      </c>
      <c r="M2293" s="18" t="s">
        <v>214</v>
      </c>
      <c r="N2293" s="20">
        <v>3105</v>
      </c>
      <c r="P2293" s="16">
        <f>VLOOKUP(A2293,'[3]Price info'!A:H,8,FALSE)</f>
        <v>987.34</v>
      </c>
      <c r="Q2293" s="17">
        <f t="shared" si="141"/>
        <v>1</v>
      </c>
      <c r="S2293" s="16" t="e">
        <f>VLOOKUP(A2293,[4]Sales!$E:$G,3,FALSE)</f>
        <v>#N/A</v>
      </c>
      <c r="T2293" s="19" t="e">
        <f>VLOOKUP(A2293,[4]Volume!$E:$G,3,FALSE)</f>
        <v>#N/A</v>
      </c>
      <c r="U2293" s="19" t="e">
        <f>VLOOKUP(A2293,[4]Piece!$E:$G,3,FALSE)</f>
        <v>#N/A</v>
      </c>
      <c r="V2293" s="21" t="e">
        <f t="shared" si="142"/>
        <v>#N/A</v>
      </c>
      <c r="W2293" s="16" t="e">
        <f t="shared" si="143"/>
        <v>#N/A</v>
      </c>
    </row>
    <row r="2294" spans="1:23" hidden="1" x14ac:dyDescent="0.3">
      <c r="A2294" s="71" t="s">
        <v>4524</v>
      </c>
      <c r="B2294" s="71" t="s">
        <v>4524</v>
      </c>
      <c r="C2294" s="51" t="s">
        <v>33</v>
      </c>
      <c r="D2294" s="48" t="s">
        <v>34</v>
      </c>
      <c r="E2294" s="18" t="s">
        <v>4525</v>
      </c>
      <c r="F2294" s="24" t="str">
        <f t="shared" si="140"/>
        <v>PPG - S'DUR 550 SET REDBROWN        6179052200</v>
      </c>
      <c r="G2294" s="20" t="s">
        <v>7164</v>
      </c>
      <c r="H2294" s="49" t="s">
        <v>213</v>
      </c>
      <c r="I2294" s="18" t="s">
        <v>37</v>
      </c>
      <c r="J2294" s="18" t="s">
        <v>38</v>
      </c>
      <c r="K2294" t="s">
        <v>39</v>
      </c>
      <c r="L2294" s="50">
        <f>VLOOKUP(A2294,'[3]Price info'!A:D,4,FALSE)</f>
        <v>987.34</v>
      </c>
      <c r="M2294" s="18" t="s">
        <v>214</v>
      </c>
      <c r="N2294" s="20">
        <v>3105</v>
      </c>
      <c r="P2294" s="16">
        <f>VLOOKUP(A2294,'[3]Price info'!A:H,8,FALSE)</f>
        <v>987.34</v>
      </c>
      <c r="Q2294" s="17">
        <f t="shared" si="141"/>
        <v>1</v>
      </c>
      <c r="S2294" s="16" t="e">
        <f>VLOOKUP(A2294,[4]Sales!$E:$G,3,FALSE)</f>
        <v>#N/A</v>
      </c>
      <c r="T2294" s="19" t="e">
        <f>VLOOKUP(A2294,[4]Volume!$E:$G,3,FALSE)</f>
        <v>#N/A</v>
      </c>
      <c r="U2294" s="19" t="e">
        <f>VLOOKUP(A2294,[4]Piece!$E:$G,3,FALSE)</f>
        <v>#N/A</v>
      </c>
      <c r="V2294" s="21" t="e">
        <f t="shared" si="142"/>
        <v>#N/A</v>
      </c>
      <c r="W2294" s="16" t="e">
        <f t="shared" si="143"/>
        <v>#N/A</v>
      </c>
    </row>
    <row r="2295" spans="1:23" hidden="1" x14ac:dyDescent="0.3">
      <c r="A2295" s="71" t="s">
        <v>4526</v>
      </c>
      <c r="B2295" s="71" t="s">
        <v>4526</v>
      </c>
      <c r="C2295" s="47" t="s">
        <v>33</v>
      </c>
      <c r="D2295" s="48" t="s">
        <v>34</v>
      </c>
      <c r="E2295" s="18" t="s">
        <v>4527</v>
      </c>
      <c r="F2295" s="24" t="str">
        <f t="shared" si="140"/>
        <v>PPG - S'DUR CLEARCOAT SET           0000CL1400</v>
      </c>
      <c r="G2295" s="20" t="s">
        <v>7165</v>
      </c>
      <c r="H2295" s="49" t="s">
        <v>213</v>
      </c>
      <c r="I2295" s="18" t="s">
        <v>37</v>
      </c>
      <c r="J2295" s="18" t="s">
        <v>38</v>
      </c>
      <c r="K2295" t="s">
        <v>39</v>
      </c>
      <c r="L2295" s="50">
        <f>VLOOKUP(A2295,'[3]Price info'!A:D,4,FALSE)</f>
        <v>115.37</v>
      </c>
      <c r="M2295" s="18" t="s">
        <v>214</v>
      </c>
      <c r="N2295" s="20">
        <v>3105</v>
      </c>
      <c r="P2295" s="16">
        <f>VLOOKUP(A2295,'[3]Price info'!A:H,8,FALSE)</f>
        <v>115.37</v>
      </c>
      <c r="Q2295" s="17">
        <f t="shared" si="141"/>
        <v>1</v>
      </c>
      <c r="S2295" s="16" t="e">
        <f>VLOOKUP(A2295,[4]Sales!$E:$G,3,FALSE)</f>
        <v>#N/A</v>
      </c>
      <c r="T2295" s="19" t="e">
        <f>VLOOKUP(A2295,[4]Volume!$E:$G,3,FALSE)</f>
        <v>#N/A</v>
      </c>
      <c r="U2295" s="19" t="e">
        <f>VLOOKUP(A2295,[4]Piece!$E:$G,3,FALSE)</f>
        <v>#N/A</v>
      </c>
      <c r="V2295" s="21" t="e">
        <f t="shared" si="142"/>
        <v>#N/A</v>
      </c>
      <c r="W2295" s="16" t="e">
        <f t="shared" si="143"/>
        <v>#N/A</v>
      </c>
    </row>
    <row r="2296" spans="1:23" hidden="1" x14ac:dyDescent="0.3">
      <c r="A2296" s="71" t="s">
        <v>4528</v>
      </c>
      <c r="B2296" s="71" t="s">
        <v>4528</v>
      </c>
      <c r="C2296" s="47" t="s">
        <v>33</v>
      </c>
      <c r="D2296" s="48" t="s">
        <v>34</v>
      </c>
      <c r="E2296" s="18" t="s">
        <v>4529</v>
      </c>
      <c r="F2296" s="24" t="str">
        <f t="shared" si="140"/>
        <v>PPG - S'FAST 20 BLACK RAL         900526EU2200</v>
      </c>
      <c r="G2296" s="20" t="s">
        <v>7166</v>
      </c>
      <c r="H2296" s="49" t="s">
        <v>213</v>
      </c>
      <c r="I2296" s="18" t="s">
        <v>37</v>
      </c>
      <c r="J2296" s="18" t="s">
        <v>38</v>
      </c>
      <c r="K2296" t="s">
        <v>39</v>
      </c>
      <c r="L2296" s="50">
        <f>VLOOKUP(A2296,'[3]Price info'!A:D,4,FALSE)</f>
        <v>141.57</v>
      </c>
      <c r="M2296" s="18" t="s">
        <v>214</v>
      </c>
      <c r="N2296" s="20">
        <v>3105</v>
      </c>
      <c r="P2296" s="16">
        <f>VLOOKUP(A2296,'[3]Price info'!A:H,8,FALSE)</f>
        <v>141.57</v>
      </c>
      <c r="Q2296" s="17">
        <f t="shared" si="141"/>
        <v>1</v>
      </c>
      <c r="S2296" s="16" t="e">
        <f>VLOOKUP(A2296,[4]Sales!$E:$G,3,FALSE)</f>
        <v>#N/A</v>
      </c>
      <c r="T2296" s="19" t="e">
        <f>VLOOKUP(A2296,[4]Volume!$E:$G,3,FALSE)</f>
        <v>#N/A</v>
      </c>
      <c r="U2296" s="19" t="e">
        <f>VLOOKUP(A2296,[4]Piece!$E:$G,3,FALSE)</f>
        <v>#N/A</v>
      </c>
      <c r="V2296" s="21" t="e">
        <f t="shared" si="142"/>
        <v>#N/A</v>
      </c>
      <c r="W2296" s="16" t="e">
        <f t="shared" si="143"/>
        <v>#N/A</v>
      </c>
    </row>
    <row r="2297" spans="1:23" hidden="1" x14ac:dyDescent="0.3">
      <c r="A2297" s="71" t="s">
        <v>4530</v>
      </c>
      <c r="B2297" s="71" t="s">
        <v>4530</v>
      </c>
      <c r="C2297" s="51" t="s">
        <v>33</v>
      </c>
      <c r="D2297" s="48" t="s">
        <v>34</v>
      </c>
      <c r="E2297" s="18" t="s">
        <v>4531</v>
      </c>
      <c r="F2297" s="24" t="str">
        <f t="shared" si="140"/>
        <v>PPG - S'FAST 20 DARK CAPE YELLOW  300500EU1500</v>
      </c>
      <c r="G2297" s="20" t="s">
        <v>7167</v>
      </c>
      <c r="H2297" s="49" t="s">
        <v>213</v>
      </c>
      <c r="I2297" s="18" t="s">
        <v>37</v>
      </c>
      <c r="J2297" s="18" t="s">
        <v>38</v>
      </c>
      <c r="K2297" t="s">
        <v>39</v>
      </c>
      <c r="L2297" s="50">
        <f>VLOOKUP(A2297,'[3]Price info'!A:D,4,FALSE)</f>
        <v>69.47</v>
      </c>
      <c r="M2297" s="18" t="s">
        <v>214</v>
      </c>
      <c r="N2297" s="20">
        <v>3105</v>
      </c>
      <c r="P2297" s="16">
        <f>VLOOKUP(A2297,'[3]Price info'!A:H,8,FALSE)</f>
        <v>69.47</v>
      </c>
      <c r="Q2297" s="17">
        <f t="shared" si="141"/>
        <v>1</v>
      </c>
      <c r="S2297" s="16" t="e">
        <f>VLOOKUP(A2297,[4]Sales!$E:$G,3,FALSE)</f>
        <v>#N/A</v>
      </c>
      <c r="T2297" s="19" t="e">
        <f>VLOOKUP(A2297,[4]Volume!$E:$G,3,FALSE)</f>
        <v>#N/A</v>
      </c>
      <c r="U2297" s="19" t="e">
        <f>VLOOKUP(A2297,[4]Piece!$E:$G,3,FALSE)</f>
        <v>#N/A</v>
      </c>
      <c r="V2297" s="21" t="e">
        <f t="shared" si="142"/>
        <v>#N/A</v>
      </c>
      <c r="W2297" s="16" t="e">
        <f t="shared" si="143"/>
        <v>#N/A</v>
      </c>
    </row>
    <row r="2298" spans="1:23" hidden="1" x14ac:dyDescent="0.3">
      <c r="A2298" s="71" t="s">
        <v>4532</v>
      </c>
      <c r="B2298" s="71" t="s">
        <v>4532</v>
      </c>
      <c r="C2298" s="47" t="s">
        <v>33</v>
      </c>
      <c r="D2298" s="48" t="s">
        <v>34</v>
      </c>
      <c r="E2298" s="18" t="s">
        <v>4533</v>
      </c>
      <c r="F2298" s="24" t="str">
        <f t="shared" si="140"/>
        <v>PPG - S'FAST 20 GREY              500000EU2200</v>
      </c>
      <c r="G2298" s="20" t="s">
        <v>7168</v>
      </c>
      <c r="H2298" s="49" t="s">
        <v>213</v>
      </c>
      <c r="I2298" s="18" t="s">
        <v>37</v>
      </c>
      <c r="J2298" s="18" t="s">
        <v>38</v>
      </c>
      <c r="K2298" t="s">
        <v>39</v>
      </c>
      <c r="L2298" s="50">
        <f>VLOOKUP(A2298,'[3]Price info'!A:D,4,FALSE)</f>
        <v>224.48</v>
      </c>
      <c r="M2298" s="18" t="s">
        <v>214</v>
      </c>
      <c r="N2298" s="20">
        <v>3105</v>
      </c>
      <c r="P2298" s="16">
        <f>VLOOKUP(A2298,'[3]Price info'!A:H,8,FALSE)</f>
        <v>224.48</v>
      </c>
      <c r="Q2298" s="17">
        <f t="shared" si="141"/>
        <v>1</v>
      </c>
      <c r="S2298" s="16" t="e">
        <f>VLOOKUP(A2298,[4]Sales!$E:$G,3,FALSE)</f>
        <v>#N/A</v>
      </c>
      <c r="T2298" s="19" t="e">
        <f>VLOOKUP(A2298,[4]Volume!$E:$G,3,FALSE)</f>
        <v>#N/A</v>
      </c>
      <c r="U2298" s="19" t="e">
        <f>VLOOKUP(A2298,[4]Piece!$E:$G,3,FALSE)</f>
        <v>#N/A</v>
      </c>
      <c r="V2298" s="21" t="e">
        <f t="shared" si="142"/>
        <v>#N/A</v>
      </c>
      <c r="W2298" s="16" t="e">
        <f t="shared" si="143"/>
        <v>#N/A</v>
      </c>
    </row>
    <row r="2299" spans="1:23" hidden="1" x14ac:dyDescent="0.3">
      <c r="A2299" s="71" t="s">
        <v>4534</v>
      </c>
      <c r="B2299" s="71" t="s">
        <v>4534</v>
      </c>
      <c r="C2299" s="47" t="s">
        <v>33</v>
      </c>
      <c r="D2299" s="48" t="s">
        <v>34</v>
      </c>
      <c r="E2299" s="18" t="s">
        <v>4535</v>
      </c>
      <c r="F2299" s="24" t="str">
        <f t="shared" si="140"/>
        <v>PPG - S'FAST 20 LIGHT BROWN       200500EU1500</v>
      </c>
      <c r="G2299" s="20" t="s">
        <v>7169</v>
      </c>
      <c r="H2299" s="49" t="s">
        <v>213</v>
      </c>
      <c r="I2299" s="18" t="s">
        <v>37</v>
      </c>
      <c r="J2299" s="18" t="s">
        <v>38</v>
      </c>
      <c r="K2299" t="s">
        <v>39</v>
      </c>
      <c r="L2299" s="50">
        <f>VLOOKUP(A2299,'[3]Price info'!A:D,4,FALSE)</f>
        <v>59.71</v>
      </c>
      <c r="M2299" s="18" t="s">
        <v>214</v>
      </c>
      <c r="N2299" s="20">
        <v>3105</v>
      </c>
      <c r="P2299" s="16">
        <f>VLOOKUP(A2299,'[3]Price info'!A:H,8,FALSE)</f>
        <v>59.71</v>
      </c>
      <c r="Q2299" s="17">
        <f t="shared" si="141"/>
        <v>1</v>
      </c>
      <c r="S2299" s="16" t="e">
        <f>VLOOKUP(A2299,[4]Sales!$E:$G,3,FALSE)</f>
        <v>#N/A</v>
      </c>
      <c r="T2299" s="19" t="e">
        <f>VLOOKUP(A2299,[4]Volume!$E:$G,3,FALSE)</f>
        <v>#N/A</v>
      </c>
      <c r="U2299" s="19" t="e">
        <f>VLOOKUP(A2299,[4]Piece!$E:$G,3,FALSE)</f>
        <v>#N/A</v>
      </c>
      <c r="V2299" s="21" t="e">
        <f t="shared" si="142"/>
        <v>#N/A</v>
      </c>
      <c r="W2299" s="16" t="e">
        <f t="shared" si="143"/>
        <v>#N/A</v>
      </c>
    </row>
    <row r="2300" spans="1:23" hidden="1" x14ac:dyDescent="0.3">
      <c r="A2300" s="71" t="s">
        <v>4536</v>
      </c>
      <c r="B2300" s="71" t="s">
        <v>4536</v>
      </c>
      <c r="C2300" s="51" t="s">
        <v>33</v>
      </c>
      <c r="D2300" s="48" t="s">
        <v>34</v>
      </c>
      <c r="E2300" s="18" t="s">
        <v>4537</v>
      </c>
      <c r="F2300" s="24" t="str">
        <f t="shared" si="140"/>
        <v>PPG - S'FAST 20 OFFWHITE          700100EU1500</v>
      </c>
      <c r="G2300" s="20" t="s">
        <v>7170</v>
      </c>
      <c r="H2300" s="49" t="s">
        <v>213</v>
      </c>
      <c r="I2300" s="18" t="s">
        <v>37</v>
      </c>
      <c r="J2300" s="18" t="s">
        <v>38</v>
      </c>
      <c r="K2300" t="s">
        <v>39</v>
      </c>
      <c r="L2300" s="50">
        <f>VLOOKUP(A2300,'[3]Price info'!A:D,4,FALSE)</f>
        <v>62.52</v>
      </c>
      <c r="M2300" s="18" t="s">
        <v>214</v>
      </c>
      <c r="N2300" s="20">
        <v>3105</v>
      </c>
      <c r="P2300" s="16">
        <f>VLOOKUP(A2300,'[3]Price info'!A:H,8,FALSE)</f>
        <v>62.52</v>
      </c>
      <c r="Q2300" s="17">
        <f t="shared" si="141"/>
        <v>1</v>
      </c>
      <c r="S2300" s="16" t="e">
        <f>VLOOKUP(A2300,[4]Sales!$E:$G,3,FALSE)</f>
        <v>#N/A</v>
      </c>
      <c r="T2300" s="19" t="e">
        <f>VLOOKUP(A2300,[4]Volume!$E:$G,3,FALSE)</f>
        <v>#N/A</v>
      </c>
      <c r="U2300" s="19" t="e">
        <f>VLOOKUP(A2300,[4]Piece!$E:$G,3,FALSE)</f>
        <v>#N/A</v>
      </c>
      <c r="V2300" s="21" t="e">
        <f t="shared" si="142"/>
        <v>#N/A</v>
      </c>
      <c r="W2300" s="16" t="e">
        <f t="shared" si="143"/>
        <v>#N/A</v>
      </c>
    </row>
    <row r="2301" spans="1:23" hidden="1" x14ac:dyDescent="0.3">
      <c r="A2301" s="71" t="s">
        <v>4538</v>
      </c>
      <c r="B2301" s="71" t="s">
        <v>4538</v>
      </c>
      <c r="C2301" s="47" t="s">
        <v>33</v>
      </c>
      <c r="D2301" s="48" t="s">
        <v>34</v>
      </c>
      <c r="E2301" s="18" t="s">
        <v>4539</v>
      </c>
      <c r="F2301" s="24" t="str">
        <f t="shared" si="140"/>
        <v>PPG - S'FAST 20 OFFWHITE          700100EU2200</v>
      </c>
      <c r="G2301" s="20" t="s">
        <v>7171</v>
      </c>
      <c r="H2301" s="49" t="s">
        <v>213</v>
      </c>
      <c r="I2301" s="18" t="s">
        <v>37</v>
      </c>
      <c r="J2301" s="18" t="s">
        <v>38</v>
      </c>
      <c r="K2301" t="s">
        <v>39</v>
      </c>
      <c r="L2301" s="50">
        <f>VLOOKUP(A2301,'[3]Price info'!A:D,4,FALSE)</f>
        <v>223.91</v>
      </c>
      <c r="M2301" s="18" t="s">
        <v>214</v>
      </c>
      <c r="N2301" s="20">
        <v>3105</v>
      </c>
      <c r="P2301" s="16">
        <f>VLOOKUP(A2301,'[3]Price info'!A:H,8,FALSE)</f>
        <v>223.91</v>
      </c>
      <c r="Q2301" s="17">
        <f t="shared" si="141"/>
        <v>1</v>
      </c>
      <c r="S2301" s="16" t="e">
        <f>VLOOKUP(A2301,[4]Sales!$E:$G,3,FALSE)</f>
        <v>#N/A</v>
      </c>
      <c r="T2301" s="19" t="e">
        <f>VLOOKUP(A2301,[4]Volume!$E:$G,3,FALSE)</f>
        <v>#N/A</v>
      </c>
      <c r="U2301" s="19" t="e">
        <f>VLOOKUP(A2301,[4]Piece!$E:$G,3,FALSE)</f>
        <v>#N/A</v>
      </c>
      <c r="V2301" s="21" t="e">
        <f t="shared" si="142"/>
        <v>#N/A</v>
      </c>
      <c r="W2301" s="16" t="e">
        <f t="shared" si="143"/>
        <v>#N/A</v>
      </c>
    </row>
    <row r="2302" spans="1:23" hidden="1" x14ac:dyDescent="0.3">
      <c r="A2302" s="71" t="s">
        <v>4540</v>
      </c>
      <c r="B2302" s="71" t="s">
        <v>4540</v>
      </c>
      <c r="C2302" s="47" t="s">
        <v>33</v>
      </c>
      <c r="D2302" s="48" t="s">
        <v>34</v>
      </c>
      <c r="E2302" s="18" t="s">
        <v>4541</v>
      </c>
      <c r="F2302" s="24" t="str">
        <f t="shared" si="140"/>
        <v>PPG - S'FAST 20 RAL               703526EU2200</v>
      </c>
      <c r="G2302" s="20" t="s">
        <v>7172</v>
      </c>
      <c r="H2302" s="49" t="s">
        <v>213</v>
      </c>
      <c r="I2302" s="18" t="s">
        <v>37</v>
      </c>
      <c r="J2302" s="18" t="s">
        <v>38</v>
      </c>
      <c r="K2302" t="s">
        <v>39</v>
      </c>
      <c r="L2302" s="50">
        <f>VLOOKUP(A2302,'[3]Price info'!A:D,4,FALSE)</f>
        <v>272.61</v>
      </c>
      <c r="M2302" s="18" t="s">
        <v>214</v>
      </c>
      <c r="N2302" s="20">
        <v>3105</v>
      </c>
      <c r="P2302" s="16">
        <f>VLOOKUP(A2302,'[3]Price info'!A:H,8,FALSE)</f>
        <v>272.61</v>
      </c>
      <c r="Q2302" s="17">
        <f t="shared" si="141"/>
        <v>1</v>
      </c>
      <c r="S2302" s="16" t="e">
        <f>VLOOKUP(A2302,[4]Sales!$E:$G,3,FALSE)</f>
        <v>#N/A</v>
      </c>
      <c r="T2302" s="19" t="e">
        <f>VLOOKUP(A2302,[4]Volume!$E:$G,3,FALSE)</f>
        <v>#N/A</v>
      </c>
      <c r="U2302" s="19" t="e">
        <f>VLOOKUP(A2302,[4]Piece!$E:$G,3,FALSE)</f>
        <v>#N/A</v>
      </c>
      <c r="V2302" s="21" t="e">
        <f t="shared" si="142"/>
        <v>#N/A</v>
      </c>
      <c r="W2302" s="16" t="e">
        <f t="shared" si="143"/>
        <v>#N/A</v>
      </c>
    </row>
    <row r="2303" spans="1:23" hidden="1" x14ac:dyDescent="0.3">
      <c r="A2303" s="71" t="s">
        <v>4542</v>
      </c>
      <c r="B2303" s="71" t="s">
        <v>4542</v>
      </c>
      <c r="C2303" s="51" t="s">
        <v>33</v>
      </c>
      <c r="D2303" s="48" t="s">
        <v>34</v>
      </c>
      <c r="E2303" s="18" t="s">
        <v>4543</v>
      </c>
      <c r="F2303" s="24" t="str">
        <f t="shared" si="140"/>
        <v>PPG - S'FAST 20 RAL               704226EU2200</v>
      </c>
      <c r="G2303" s="20" t="s">
        <v>7173</v>
      </c>
      <c r="H2303" s="49" t="s">
        <v>213</v>
      </c>
      <c r="I2303" s="18" t="s">
        <v>37</v>
      </c>
      <c r="J2303" s="18" t="s">
        <v>38</v>
      </c>
      <c r="K2303" t="s">
        <v>39</v>
      </c>
      <c r="L2303" s="50">
        <f>VLOOKUP(A2303,'[3]Price info'!A:D,4,FALSE)</f>
        <v>224.48</v>
      </c>
      <c r="M2303" s="18" t="s">
        <v>214</v>
      </c>
      <c r="N2303" s="20">
        <v>3105</v>
      </c>
      <c r="P2303" s="16">
        <f>VLOOKUP(A2303,'[3]Price info'!A:H,8,FALSE)</f>
        <v>224.48</v>
      </c>
      <c r="Q2303" s="17">
        <f t="shared" si="141"/>
        <v>1</v>
      </c>
      <c r="S2303" s="16" t="e">
        <f>VLOOKUP(A2303,[4]Sales!$E:$G,3,FALSE)</f>
        <v>#N/A</v>
      </c>
      <c r="T2303" s="19" t="e">
        <f>VLOOKUP(A2303,[4]Volume!$E:$G,3,FALSE)</f>
        <v>#N/A</v>
      </c>
      <c r="U2303" s="19" t="e">
        <f>VLOOKUP(A2303,[4]Piece!$E:$G,3,FALSE)</f>
        <v>#N/A</v>
      </c>
      <c r="V2303" s="21" t="e">
        <f t="shared" si="142"/>
        <v>#N/A</v>
      </c>
      <c r="W2303" s="16" t="e">
        <f t="shared" si="143"/>
        <v>#N/A</v>
      </c>
    </row>
    <row r="2304" spans="1:23" hidden="1" x14ac:dyDescent="0.3">
      <c r="A2304" s="71" t="s">
        <v>4544</v>
      </c>
      <c r="B2304" s="71" t="s">
        <v>4544</v>
      </c>
      <c r="C2304" s="47" t="s">
        <v>33</v>
      </c>
      <c r="D2304" s="48" t="s">
        <v>34</v>
      </c>
      <c r="E2304" s="18" t="s">
        <v>4545</v>
      </c>
      <c r="F2304" s="24" t="str">
        <f t="shared" si="140"/>
        <v>PPG - S'FAST 20 REDBROWN          200800EU1500</v>
      </c>
      <c r="G2304" s="20" t="s">
        <v>7174</v>
      </c>
      <c r="H2304" s="49" t="s">
        <v>213</v>
      </c>
      <c r="I2304" s="18" t="s">
        <v>37</v>
      </c>
      <c r="J2304" s="18" t="s">
        <v>38</v>
      </c>
      <c r="K2304" t="s">
        <v>39</v>
      </c>
      <c r="L2304" s="50">
        <f>VLOOKUP(A2304,'[3]Price info'!A:D,4,FALSE)</f>
        <v>62.52</v>
      </c>
      <c r="M2304" s="18" t="s">
        <v>214</v>
      </c>
      <c r="N2304" s="20">
        <v>3105</v>
      </c>
      <c r="P2304" s="16">
        <f>VLOOKUP(A2304,'[3]Price info'!A:H,8,FALSE)</f>
        <v>62.52</v>
      </c>
      <c r="Q2304" s="17">
        <f t="shared" si="141"/>
        <v>1</v>
      </c>
      <c r="S2304" s="16" t="e">
        <f>VLOOKUP(A2304,[4]Sales!$E:$G,3,FALSE)</f>
        <v>#N/A</v>
      </c>
      <c r="T2304" s="19" t="e">
        <f>VLOOKUP(A2304,[4]Volume!$E:$G,3,FALSE)</f>
        <v>#N/A</v>
      </c>
      <c r="U2304" s="19" t="e">
        <f>VLOOKUP(A2304,[4]Piece!$E:$G,3,FALSE)</f>
        <v>#N/A</v>
      </c>
      <c r="V2304" s="21" t="e">
        <f t="shared" si="142"/>
        <v>#N/A</v>
      </c>
      <c r="W2304" s="16" t="e">
        <f t="shared" si="143"/>
        <v>#N/A</v>
      </c>
    </row>
    <row r="2305" spans="1:23" hidden="1" x14ac:dyDescent="0.3">
      <c r="A2305" s="71" t="s">
        <v>4546</v>
      </c>
      <c r="B2305" s="71" t="s">
        <v>4546</v>
      </c>
      <c r="C2305" s="47" t="s">
        <v>33</v>
      </c>
      <c r="D2305" s="48" t="s">
        <v>34</v>
      </c>
      <c r="E2305" s="18" t="s">
        <v>4547</v>
      </c>
      <c r="F2305" s="24" t="str">
        <f t="shared" si="140"/>
        <v>PPG - S'FAST 20 REDBROWN          200800EU2200</v>
      </c>
      <c r="G2305" s="20" t="s">
        <v>7175</v>
      </c>
      <c r="H2305" s="49" t="s">
        <v>213</v>
      </c>
      <c r="I2305" s="18" t="s">
        <v>37</v>
      </c>
      <c r="J2305" s="18" t="s">
        <v>38</v>
      </c>
      <c r="K2305" t="s">
        <v>39</v>
      </c>
      <c r="L2305" s="50">
        <f>VLOOKUP(A2305,'[3]Price info'!A:D,4,FALSE)</f>
        <v>224.48</v>
      </c>
      <c r="M2305" s="18" t="s">
        <v>214</v>
      </c>
      <c r="N2305" s="20">
        <v>3105</v>
      </c>
      <c r="P2305" s="16">
        <f>VLOOKUP(A2305,'[3]Price info'!A:H,8,FALSE)</f>
        <v>224.48</v>
      </c>
      <c r="Q2305" s="17">
        <f t="shared" si="141"/>
        <v>1</v>
      </c>
      <c r="S2305" s="16" t="e">
        <f>VLOOKUP(A2305,[4]Sales!$E:$G,3,FALSE)</f>
        <v>#N/A</v>
      </c>
      <c r="T2305" s="19" t="e">
        <f>VLOOKUP(A2305,[4]Volume!$E:$G,3,FALSE)</f>
        <v>#N/A</v>
      </c>
      <c r="U2305" s="19" t="e">
        <f>VLOOKUP(A2305,[4]Piece!$E:$G,3,FALSE)</f>
        <v>#N/A</v>
      </c>
      <c r="V2305" s="21" t="e">
        <f t="shared" si="142"/>
        <v>#N/A</v>
      </c>
      <c r="W2305" s="16" t="e">
        <f t="shared" si="143"/>
        <v>#N/A</v>
      </c>
    </row>
    <row r="2306" spans="1:23" hidden="1" x14ac:dyDescent="0.3">
      <c r="A2306" s="71" t="s">
        <v>4548</v>
      </c>
      <c r="B2306" s="71" t="s">
        <v>4548</v>
      </c>
      <c r="C2306" s="51" t="s">
        <v>33</v>
      </c>
      <c r="D2306" s="48" t="s">
        <v>34</v>
      </c>
      <c r="E2306" s="18" t="s">
        <v>4549</v>
      </c>
      <c r="F2306" s="24" t="str">
        <f t="shared" si="140"/>
        <v>PPG - S'FAST 205 LT SET RAL         3009262200</v>
      </c>
      <c r="G2306" s="20" t="s">
        <v>7176</v>
      </c>
      <c r="H2306" s="49" t="s">
        <v>213</v>
      </c>
      <c r="I2306" s="18" t="s">
        <v>37</v>
      </c>
      <c r="J2306" s="18" t="s">
        <v>38</v>
      </c>
      <c r="K2306" t="s">
        <v>39</v>
      </c>
      <c r="L2306" s="50">
        <f>VLOOKUP(A2306,'[3]Price info'!A:D,4,FALSE)</f>
        <v>428.54</v>
      </c>
      <c r="M2306" s="18" t="s">
        <v>214</v>
      </c>
      <c r="N2306" s="20">
        <v>3105</v>
      </c>
      <c r="P2306" s="16">
        <f>VLOOKUP(A2306,'[3]Price info'!A:H,8,FALSE)</f>
        <v>428.54</v>
      </c>
      <c r="Q2306" s="17">
        <f t="shared" si="141"/>
        <v>1</v>
      </c>
      <c r="S2306" s="16" t="e">
        <f>VLOOKUP(A2306,[4]Sales!$E:$G,3,FALSE)</f>
        <v>#N/A</v>
      </c>
      <c r="T2306" s="19" t="e">
        <f>VLOOKUP(A2306,[4]Volume!$E:$G,3,FALSE)</f>
        <v>#N/A</v>
      </c>
      <c r="U2306" s="19" t="e">
        <f>VLOOKUP(A2306,[4]Piece!$E:$G,3,FALSE)</f>
        <v>#N/A</v>
      </c>
      <c r="V2306" s="21" t="e">
        <f t="shared" si="142"/>
        <v>#N/A</v>
      </c>
      <c r="W2306" s="16" t="e">
        <f t="shared" si="143"/>
        <v>#N/A</v>
      </c>
    </row>
    <row r="2307" spans="1:23" hidden="1" x14ac:dyDescent="0.3">
      <c r="A2307" s="71" t="s">
        <v>4550</v>
      </c>
      <c r="B2307" s="71" t="s">
        <v>4550</v>
      </c>
      <c r="C2307" s="47" t="s">
        <v>33</v>
      </c>
      <c r="D2307" s="48" t="s">
        <v>34</v>
      </c>
      <c r="E2307" s="18" t="s">
        <v>4551</v>
      </c>
      <c r="F2307" s="24" t="str">
        <f t="shared" ref="F2307:F2370" si="144">D2307&amp;" - "&amp;E2307</f>
        <v>PPG - S'FAST 205 LT SET RAL         7001262200</v>
      </c>
      <c r="G2307" s="20" t="s">
        <v>7177</v>
      </c>
      <c r="H2307" s="49" t="s">
        <v>213</v>
      </c>
      <c r="I2307" s="18" t="s">
        <v>37</v>
      </c>
      <c r="J2307" s="18" t="s">
        <v>38</v>
      </c>
      <c r="K2307" t="s">
        <v>39</v>
      </c>
      <c r="L2307" s="50">
        <f>VLOOKUP(A2307,'[3]Price info'!A:D,4,FALSE)</f>
        <v>428.54</v>
      </c>
      <c r="M2307" s="18" t="s">
        <v>214</v>
      </c>
      <c r="N2307" s="20">
        <v>3105</v>
      </c>
      <c r="P2307" s="16">
        <f>VLOOKUP(A2307,'[3]Price info'!A:H,8,FALSE)</f>
        <v>428.54</v>
      </c>
      <c r="Q2307" s="17">
        <f t="shared" ref="Q2307:Q2370" si="145">P2307/L2307</f>
        <v>1</v>
      </c>
      <c r="S2307" s="16" t="e">
        <f>VLOOKUP(A2307,[4]Sales!$E:$G,3,FALSE)</f>
        <v>#N/A</v>
      </c>
      <c r="T2307" s="19" t="e">
        <f>VLOOKUP(A2307,[4]Volume!$E:$G,3,FALSE)</f>
        <v>#N/A</v>
      </c>
      <c r="U2307" s="19" t="e">
        <f>VLOOKUP(A2307,[4]Piece!$E:$G,3,FALSE)</f>
        <v>#N/A</v>
      </c>
      <c r="V2307" s="21" t="e">
        <f t="shared" ref="V2307:V2370" si="146">U2307*P2307</f>
        <v>#N/A</v>
      </c>
      <c r="W2307" s="16" t="e">
        <f t="shared" ref="W2307:W2370" si="147">V2307-S2307</f>
        <v>#N/A</v>
      </c>
    </row>
    <row r="2308" spans="1:23" hidden="1" x14ac:dyDescent="0.3">
      <c r="A2308" s="71" t="s">
        <v>4552</v>
      </c>
      <c r="B2308" s="71" t="s">
        <v>4552</v>
      </c>
      <c r="C2308" s="47" t="s">
        <v>33</v>
      </c>
      <c r="D2308" s="48" t="s">
        <v>34</v>
      </c>
      <c r="E2308" s="18" t="s">
        <v>4553</v>
      </c>
      <c r="F2308" s="24" t="str">
        <f t="shared" si="144"/>
        <v>PPG - S'FAST 205 LT SET RAL         7035262200</v>
      </c>
      <c r="G2308" s="20" t="s">
        <v>7178</v>
      </c>
      <c r="H2308" s="49" t="s">
        <v>213</v>
      </c>
      <c r="I2308" s="18" t="s">
        <v>37</v>
      </c>
      <c r="J2308" s="18" t="s">
        <v>38</v>
      </c>
      <c r="K2308" t="s">
        <v>39</v>
      </c>
      <c r="L2308" s="50">
        <f>VLOOKUP(A2308,'[3]Price info'!A:D,4,FALSE)</f>
        <v>428.54</v>
      </c>
      <c r="M2308" s="18" t="s">
        <v>214</v>
      </c>
      <c r="N2308" s="20">
        <v>3105</v>
      </c>
      <c r="P2308" s="16">
        <f>VLOOKUP(A2308,'[3]Price info'!A:H,8,FALSE)</f>
        <v>428.54</v>
      </c>
      <c r="Q2308" s="17">
        <f t="shared" si="145"/>
        <v>1</v>
      </c>
      <c r="S2308" s="16" t="e">
        <f>VLOOKUP(A2308,[4]Sales!$E:$G,3,FALSE)</f>
        <v>#N/A</v>
      </c>
      <c r="T2308" s="19" t="e">
        <f>VLOOKUP(A2308,[4]Volume!$E:$G,3,FALSE)</f>
        <v>#N/A</v>
      </c>
      <c r="U2308" s="19" t="e">
        <f>VLOOKUP(A2308,[4]Piece!$E:$G,3,FALSE)</f>
        <v>#N/A</v>
      </c>
      <c r="V2308" s="21" t="e">
        <f t="shared" si="146"/>
        <v>#N/A</v>
      </c>
      <c r="W2308" s="16" t="e">
        <f t="shared" si="147"/>
        <v>#N/A</v>
      </c>
    </row>
    <row r="2309" spans="1:23" hidden="1" x14ac:dyDescent="0.3">
      <c r="A2309" s="71" t="s">
        <v>4554</v>
      </c>
      <c r="B2309" s="71" t="s">
        <v>4554</v>
      </c>
      <c r="C2309" s="51" t="s">
        <v>33</v>
      </c>
      <c r="D2309" s="48" t="s">
        <v>34</v>
      </c>
      <c r="E2309" s="18" t="s">
        <v>4555</v>
      </c>
      <c r="F2309" s="24" t="str">
        <f t="shared" si="144"/>
        <v>PPG - S'FAST 205 LT SET RAL         9010262200</v>
      </c>
      <c r="G2309" s="20" t="s">
        <v>7179</v>
      </c>
      <c r="H2309" s="49" t="s">
        <v>213</v>
      </c>
      <c r="I2309" s="18" t="s">
        <v>37</v>
      </c>
      <c r="J2309" s="18" t="s">
        <v>38</v>
      </c>
      <c r="K2309" t="s">
        <v>39</v>
      </c>
      <c r="L2309" s="50">
        <f>VLOOKUP(A2309,'[3]Price info'!A:D,4,FALSE)</f>
        <v>428.54</v>
      </c>
      <c r="M2309" s="18" t="s">
        <v>214</v>
      </c>
      <c r="N2309" s="20">
        <v>3105</v>
      </c>
      <c r="P2309" s="16">
        <f>VLOOKUP(A2309,'[3]Price info'!A:H,8,FALSE)</f>
        <v>428.54</v>
      </c>
      <c r="Q2309" s="17">
        <f t="shared" si="145"/>
        <v>1</v>
      </c>
      <c r="S2309" s="16" t="e">
        <f>VLOOKUP(A2309,[4]Sales!$E:$G,3,FALSE)</f>
        <v>#N/A</v>
      </c>
      <c r="T2309" s="19" t="e">
        <f>VLOOKUP(A2309,[4]Volume!$E:$G,3,FALSE)</f>
        <v>#N/A</v>
      </c>
      <c r="U2309" s="19" t="e">
        <f>VLOOKUP(A2309,[4]Piece!$E:$G,3,FALSE)</f>
        <v>#N/A</v>
      </c>
      <c r="V2309" s="21" t="e">
        <f t="shared" si="146"/>
        <v>#N/A</v>
      </c>
      <c r="W2309" s="16" t="e">
        <f t="shared" si="147"/>
        <v>#N/A</v>
      </c>
    </row>
    <row r="2310" spans="1:23" hidden="1" x14ac:dyDescent="0.3">
      <c r="A2310" s="71" t="s">
        <v>4556</v>
      </c>
      <c r="B2310" s="71" t="s">
        <v>4556</v>
      </c>
      <c r="C2310" s="47" t="s">
        <v>33</v>
      </c>
      <c r="D2310" s="48" t="s">
        <v>34</v>
      </c>
      <c r="E2310" s="18" t="s">
        <v>4557</v>
      </c>
      <c r="F2310" s="24" t="str">
        <f t="shared" si="144"/>
        <v>PPG - S'FAST 205 SET RAL            3009262200</v>
      </c>
      <c r="G2310" s="20" t="s">
        <v>7180</v>
      </c>
      <c r="H2310" s="49" t="s">
        <v>213</v>
      </c>
      <c r="I2310" s="18" t="s">
        <v>37</v>
      </c>
      <c r="J2310" s="18" t="s">
        <v>38</v>
      </c>
      <c r="K2310" t="s">
        <v>39</v>
      </c>
      <c r="L2310" s="50">
        <f>VLOOKUP(A2310,'[3]Price info'!A:D,4,FALSE)</f>
        <v>180.02</v>
      </c>
      <c r="M2310" s="18" t="s">
        <v>214</v>
      </c>
      <c r="N2310" s="20">
        <v>3105</v>
      </c>
      <c r="P2310" s="16">
        <f>VLOOKUP(A2310,'[3]Price info'!A:H,8,FALSE)</f>
        <v>180.02</v>
      </c>
      <c r="Q2310" s="17">
        <f t="shared" si="145"/>
        <v>1</v>
      </c>
      <c r="S2310" s="16" t="e">
        <f>VLOOKUP(A2310,[4]Sales!$E:$G,3,FALSE)</f>
        <v>#N/A</v>
      </c>
      <c r="T2310" s="19" t="e">
        <f>VLOOKUP(A2310,[4]Volume!$E:$G,3,FALSE)</f>
        <v>#N/A</v>
      </c>
      <c r="U2310" s="19" t="e">
        <f>VLOOKUP(A2310,[4]Piece!$E:$G,3,FALSE)</f>
        <v>#N/A</v>
      </c>
      <c r="V2310" s="21" t="e">
        <f t="shared" si="146"/>
        <v>#N/A</v>
      </c>
      <c r="W2310" s="16" t="e">
        <f t="shared" si="147"/>
        <v>#N/A</v>
      </c>
    </row>
    <row r="2311" spans="1:23" hidden="1" x14ac:dyDescent="0.3">
      <c r="A2311" s="71" t="s">
        <v>4558</v>
      </c>
      <c r="B2311" s="71" t="s">
        <v>4558</v>
      </c>
      <c r="C2311" s="47" t="s">
        <v>33</v>
      </c>
      <c r="D2311" s="48" t="s">
        <v>34</v>
      </c>
      <c r="E2311" s="18" t="s">
        <v>4559</v>
      </c>
      <c r="F2311" s="24" t="str">
        <f t="shared" si="144"/>
        <v>PPG - S'FAST 205 SET RAL            7001262200</v>
      </c>
      <c r="G2311" s="20" t="s">
        <v>7181</v>
      </c>
      <c r="H2311" s="49" t="s">
        <v>213</v>
      </c>
      <c r="I2311" s="18" t="s">
        <v>37</v>
      </c>
      <c r="J2311" s="18" t="s">
        <v>38</v>
      </c>
      <c r="K2311" t="s">
        <v>39</v>
      </c>
      <c r="L2311" s="50">
        <f>VLOOKUP(A2311,'[3]Price info'!A:D,4,FALSE)</f>
        <v>180.02</v>
      </c>
      <c r="M2311" s="18" t="s">
        <v>214</v>
      </c>
      <c r="N2311" s="20">
        <v>3105</v>
      </c>
      <c r="P2311" s="16">
        <f>VLOOKUP(A2311,'[3]Price info'!A:H,8,FALSE)</f>
        <v>180.02</v>
      </c>
      <c r="Q2311" s="17">
        <f t="shared" si="145"/>
        <v>1</v>
      </c>
      <c r="S2311" s="16" t="e">
        <f>VLOOKUP(A2311,[4]Sales!$E:$G,3,FALSE)</f>
        <v>#N/A</v>
      </c>
      <c r="T2311" s="19" t="e">
        <f>VLOOKUP(A2311,[4]Volume!$E:$G,3,FALSE)</f>
        <v>#N/A</v>
      </c>
      <c r="U2311" s="19" t="e">
        <f>VLOOKUP(A2311,[4]Piece!$E:$G,3,FALSE)</f>
        <v>#N/A</v>
      </c>
      <c r="V2311" s="21" t="e">
        <f t="shared" si="146"/>
        <v>#N/A</v>
      </c>
      <c r="W2311" s="16" t="e">
        <f t="shared" si="147"/>
        <v>#N/A</v>
      </c>
    </row>
    <row r="2312" spans="1:23" hidden="1" x14ac:dyDescent="0.3">
      <c r="A2312" s="71" t="s">
        <v>4560</v>
      </c>
      <c r="B2312" s="71" t="s">
        <v>4560</v>
      </c>
      <c r="C2312" s="51" t="s">
        <v>33</v>
      </c>
      <c r="D2312" s="48" t="s">
        <v>34</v>
      </c>
      <c r="E2312" s="18" t="s">
        <v>4561</v>
      </c>
      <c r="F2312" s="24" t="str">
        <f t="shared" si="144"/>
        <v>PPG - S'FAST 205 SET RAL            7016262200</v>
      </c>
      <c r="G2312" s="20" t="s">
        <v>7182</v>
      </c>
      <c r="H2312" s="49" t="s">
        <v>213</v>
      </c>
      <c r="I2312" s="18" t="s">
        <v>37</v>
      </c>
      <c r="J2312" s="18" t="s">
        <v>38</v>
      </c>
      <c r="K2312" t="s">
        <v>39</v>
      </c>
      <c r="L2312" s="50">
        <f>VLOOKUP(A2312,'[3]Price info'!A:D,4,FALSE)</f>
        <v>180.02</v>
      </c>
      <c r="M2312" s="18" t="s">
        <v>214</v>
      </c>
      <c r="N2312" s="20">
        <v>3105</v>
      </c>
      <c r="P2312" s="16">
        <f>VLOOKUP(A2312,'[3]Price info'!A:H,8,FALSE)</f>
        <v>180.02</v>
      </c>
      <c r="Q2312" s="17">
        <f t="shared" si="145"/>
        <v>1</v>
      </c>
      <c r="S2312" s="16" t="e">
        <f>VLOOKUP(A2312,[4]Sales!$E:$G,3,FALSE)</f>
        <v>#N/A</v>
      </c>
      <c r="T2312" s="19" t="e">
        <f>VLOOKUP(A2312,[4]Volume!$E:$G,3,FALSE)</f>
        <v>#N/A</v>
      </c>
      <c r="U2312" s="19" t="e">
        <f>VLOOKUP(A2312,[4]Piece!$E:$G,3,FALSE)</f>
        <v>#N/A</v>
      </c>
      <c r="V2312" s="21" t="e">
        <f t="shared" si="146"/>
        <v>#N/A</v>
      </c>
      <c r="W2312" s="16" t="e">
        <f t="shared" si="147"/>
        <v>#N/A</v>
      </c>
    </row>
    <row r="2313" spans="1:23" hidden="1" x14ac:dyDescent="0.3">
      <c r="A2313" s="71" t="s">
        <v>4562</v>
      </c>
      <c r="B2313" s="71" t="s">
        <v>4562</v>
      </c>
      <c r="C2313" s="47" t="s">
        <v>33</v>
      </c>
      <c r="D2313" s="48" t="s">
        <v>34</v>
      </c>
      <c r="E2313" s="18" t="s">
        <v>4563</v>
      </c>
      <c r="F2313" s="24" t="str">
        <f t="shared" si="144"/>
        <v>PPG - S'FAST 205 SET RAL            7035262200</v>
      </c>
      <c r="G2313" s="20" t="s">
        <v>7183</v>
      </c>
      <c r="H2313" s="49" t="s">
        <v>213</v>
      </c>
      <c r="I2313" s="18" t="s">
        <v>37</v>
      </c>
      <c r="J2313" s="18" t="s">
        <v>38</v>
      </c>
      <c r="K2313" t="s">
        <v>39</v>
      </c>
      <c r="L2313" s="50">
        <f>VLOOKUP(A2313,'[3]Price info'!A:D,4,FALSE)</f>
        <v>180.02</v>
      </c>
      <c r="M2313" s="18" t="s">
        <v>214</v>
      </c>
      <c r="N2313" s="20">
        <v>3105</v>
      </c>
      <c r="P2313" s="16">
        <f>VLOOKUP(A2313,'[3]Price info'!A:H,8,FALSE)</f>
        <v>180.02</v>
      </c>
      <c r="Q2313" s="17">
        <f t="shared" si="145"/>
        <v>1</v>
      </c>
      <c r="S2313" s="16" t="e">
        <f>VLOOKUP(A2313,[4]Sales!$E:$G,3,FALSE)</f>
        <v>#N/A</v>
      </c>
      <c r="T2313" s="19" t="e">
        <f>VLOOKUP(A2313,[4]Volume!$E:$G,3,FALSE)</f>
        <v>#N/A</v>
      </c>
      <c r="U2313" s="19" t="e">
        <f>VLOOKUP(A2313,[4]Piece!$E:$G,3,FALSE)</f>
        <v>#N/A</v>
      </c>
      <c r="V2313" s="21" t="e">
        <f t="shared" si="146"/>
        <v>#N/A</v>
      </c>
      <c r="W2313" s="16" t="e">
        <f t="shared" si="147"/>
        <v>#N/A</v>
      </c>
    </row>
    <row r="2314" spans="1:23" hidden="1" x14ac:dyDescent="0.3">
      <c r="A2314" s="71" t="s">
        <v>4564</v>
      </c>
      <c r="B2314" s="71" t="s">
        <v>4564</v>
      </c>
      <c r="C2314" s="47" t="s">
        <v>33</v>
      </c>
      <c r="D2314" s="48" t="s">
        <v>34</v>
      </c>
      <c r="E2314" s="18" t="s">
        <v>4565</v>
      </c>
      <c r="F2314" s="24" t="str">
        <f t="shared" si="144"/>
        <v>PPG - S'FAST 205 SET RAL            9002262200</v>
      </c>
      <c r="G2314" s="20" t="s">
        <v>7184</v>
      </c>
      <c r="H2314" s="49" t="s">
        <v>213</v>
      </c>
      <c r="I2314" s="18" t="s">
        <v>37</v>
      </c>
      <c r="J2314" s="18" t="s">
        <v>38</v>
      </c>
      <c r="K2314" t="s">
        <v>39</v>
      </c>
      <c r="L2314" s="50">
        <f>VLOOKUP(A2314,'[3]Price info'!A:D,4,FALSE)</f>
        <v>180.02</v>
      </c>
      <c r="M2314" s="18" t="s">
        <v>214</v>
      </c>
      <c r="N2314" s="20">
        <v>3105</v>
      </c>
      <c r="P2314" s="16">
        <f>VLOOKUP(A2314,'[3]Price info'!A:H,8,FALSE)</f>
        <v>180.02</v>
      </c>
      <c r="Q2314" s="17">
        <f t="shared" si="145"/>
        <v>1</v>
      </c>
      <c r="S2314" s="16" t="e">
        <f>VLOOKUP(A2314,[4]Sales!$E:$G,3,FALSE)</f>
        <v>#N/A</v>
      </c>
      <c r="T2314" s="19" t="e">
        <f>VLOOKUP(A2314,[4]Volume!$E:$G,3,FALSE)</f>
        <v>#N/A</v>
      </c>
      <c r="U2314" s="19" t="e">
        <f>VLOOKUP(A2314,[4]Piece!$E:$G,3,FALSE)</f>
        <v>#N/A</v>
      </c>
      <c r="V2314" s="21" t="e">
        <f t="shared" si="146"/>
        <v>#N/A</v>
      </c>
      <c r="W2314" s="16" t="e">
        <f t="shared" si="147"/>
        <v>#N/A</v>
      </c>
    </row>
    <row r="2315" spans="1:23" hidden="1" x14ac:dyDescent="0.3">
      <c r="A2315" s="71" t="s">
        <v>4566</v>
      </c>
      <c r="B2315" s="71" t="s">
        <v>4566</v>
      </c>
      <c r="C2315" s="51" t="s">
        <v>33</v>
      </c>
      <c r="D2315" s="48" t="s">
        <v>34</v>
      </c>
      <c r="E2315" s="18" t="s">
        <v>4567</v>
      </c>
      <c r="F2315" s="24" t="str">
        <f t="shared" si="144"/>
        <v>PPG - S'FAST 205 SET RAL            9010262200</v>
      </c>
      <c r="G2315" s="20" t="s">
        <v>7185</v>
      </c>
      <c r="H2315" s="49" t="s">
        <v>213</v>
      </c>
      <c r="I2315" s="18" t="s">
        <v>37</v>
      </c>
      <c r="J2315" s="18" t="s">
        <v>38</v>
      </c>
      <c r="K2315" t="s">
        <v>39</v>
      </c>
      <c r="L2315" s="50">
        <f>VLOOKUP(A2315,'[3]Price info'!A:D,4,FALSE)</f>
        <v>180.02</v>
      </c>
      <c r="M2315" s="18" t="s">
        <v>214</v>
      </c>
      <c r="N2315" s="20">
        <v>3105</v>
      </c>
      <c r="P2315" s="16">
        <f>VLOOKUP(A2315,'[3]Price info'!A:H,8,FALSE)</f>
        <v>180.02</v>
      </c>
      <c r="Q2315" s="17">
        <f t="shared" si="145"/>
        <v>1</v>
      </c>
      <c r="S2315" s="16" t="e">
        <f>VLOOKUP(A2315,[4]Sales!$E:$G,3,FALSE)</f>
        <v>#N/A</v>
      </c>
      <c r="T2315" s="19" t="e">
        <f>VLOOKUP(A2315,[4]Volume!$E:$G,3,FALSE)</f>
        <v>#N/A</v>
      </c>
      <c r="U2315" s="19" t="e">
        <f>VLOOKUP(A2315,[4]Piece!$E:$G,3,FALSE)</f>
        <v>#N/A</v>
      </c>
      <c r="V2315" s="21" t="e">
        <f t="shared" si="146"/>
        <v>#N/A</v>
      </c>
      <c r="W2315" s="16" t="e">
        <f t="shared" si="147"/>
        <v>#N/A</v>
      </c>
    </row>
    <row r="2316" spans="1:23" hidden="1" x14ac:dyDescent="0.3">
      <c r="A2316" s="71" t="s">
        <v>4568</v>
      </c>
      <c r="B2316" s="71" t="s">
        <v>4568</v>
      </c>
      <c r="C2316" s="47" t="s">
        <v>33</v>
      </c>
      <c r="D2316" s="48" t="s">
        <v>34</v>
      </c>
      <c r="E2316" s="18" t="s">
        <v>4569</v>
      </c>
      <c r="F2316" s="24" t="str">
        <f t="shared" si="144"/>
        <v>PPG - S'FAST 210 HS SET RAL         7035262200</v>
      </c>
      <c r="G2316" s="20" t="s">
        <v>7186</v>
      </c>
      <c r="H2316" s="49" t="s">
        <v>213</v>
      </c>
      <c r="I2316" s="18" t="s">
        <v>37</v>
      </c>
      <c r="J2316" s="18" t="s">
        <v>38</v>
      </c>
      <c r="K2316" t="s">
        <v>39</v>
      </c>
      <c r="L2316" s="50">
        <f>VLOOKUP(A2316,'[3]Price info'!A:D,4,FALSE)</f>
        <v>748.06</v>
      </c>
      <c r="M2316" s="18" t="s">
        <v>214</v>
      </c>
      <c r="N2316" s="20">
        <v>3105</v>
      </c>
      <c r="P2316" s="16">
        <f>VLOOKUP(A2316,'[3]Price info'!A:H,8,FALSE)</f>
        <v>748.06</v>
      </c>
      <c r="Q2316" s="17">
        <f t="shared" si="145"/>
        <v>1</v>
      </c>
      <c r="S2316" s="16" t="e">
        <f>VLOOKUP(A2316,[4]Sales!$E:$G,3,FALSE)</f>
        <v>#N/A</v>
      </c>
      <c r="T2316" s="19" t="e">
        <f>VLOOKUP(A2316,[4]Volume!$E:$G,3,FALSE)</f>
        <v>#N/A</v>
      </c>
      <c r="U2316" s="19" t="e">
        <f>VLOOKUP(A2316,[4]Piece!$E:$G,3,FALSE)</f>
        <v>#N/A</v>
      </c>
      <c r="V2316" s="21" t="e">
        <f t="shared" si="146"/>
        <v>#N/A</v>
      </c>
      <c r="W2316" s="16" t="e">
        <f t="shared" si="147"/>
        <v>#N/A</v>
      </c>
    </row>
    <row r="2317" spans="1:23" hidden="1" x14ac:dyDescent="0.3">
      <c r="A2317" s="71" t="s">
        <v>4570</v>
      </c>
      <c r="B2317" s="71" t="s">
        <v>4570</v>
      </c>
      <c r="C2317" s="47" t="s">
        <v>33</v>
      </c>
      <c r="D2317" s="48" t="s">
        <v>34</v>
      </c>
      <c r="E2317" s="18" t="s">
        <v>4571</v>
      </c>
      <c r="F2317" s="24" t="str">
        <f t="shared" si="144"/>
        <v>PPG - S'FAST 210 HS SET RAL         7046262200</v>
      </c>
      <c r="G2317" s="20" t="s">
        <v>7187</v>
      </c>
      <c r="H2317" s="49" t="s">
        <v>213</v>
      </c>
      <c r="I2317" s="18" t="s">
        <v>37</v>
      </c>
      <c r="J2317" s="18" t="s">
        <v>38</v>
      </c>
      <c r="K2317" t="s">
        <v>39</v>
      </c>
      <c r="L2317" s="50">
        <f>VLOOKUP(A2317,'[3]Price info'!A:D,4,FALSE)</f>
        <v>783.95</v>
      </c>
      <c r="M2317" s="18" t="s">
        <v>214</v>
      </c>
      <c r="N2317" s="20">
        <v>3105</v>
      </c>
      <c r="P2317" s="16">
        <f>VLOOKUP(A2317,'[3]Price info'!A:H,8,FALSE)</f>
        <v>783.95</v>
      </c>
      <c r="Q2317" s="17">
        <f t="shared" si="145"/>
        <v>1</v>
      </c>
      <c r="S2317" s="16" t="e">
        <f>VLOOKUP(A2317,[4]Sales!$E:$G,3,FALSE)</f>
        <v>#N/A</v>
      </c>
      <c r="T2317" s="19" t="e">
        <f>VLOOKUP(A2317,[4]Volume!$E:$G,3,FALSE)</f>
        <v>#N/A</v>
      </c>
      <c r="U2317" s="19" t="e">
        <f>VLOOKUP(A2317,[4]Piece!$E:$G,3,FALSE)</f>
        <v>#N/A</v>
      </c>
      <c r="V2317" s="21" t="e">
        <f t="shared" si="146"/>
        <v>#N/A</v>
      </c>
      <c r="W2317" s="16" t="e">
        <f t="shared" si="147"/>
        <v>#N/A</v>
      </c>
    </row>
    <row r="2318" spans="1:23" hidden="1" x14ac:dyDescent="0.3">
      <c r="A2318" s="71" t="s">
        <v>4572</v>
      </c>
      <c r="B2318" s="71" t="s">
        <v>4572</v>
      </c>
      <c r="C2318" s="51" t="s">
        <v>33</v>
      </c>
      <c r="D2318" s="48" t="s">
        <v>34</v>
      </c>
      <c r="E2318" s="18" t="s">
        <v>4573</v>
      </c>
      <c r="F2318" s="24" t="str">
        <f t="shared" si="144"/>
        <v>PPG - S'FAST 210 HS SET RAL         9005262200</v>
      </c>
      <c r="G2318" s="20" t="s">
        <v>7188</v>
      </c>
      <c r="H2318" s="49" t="s">
        <v>213</v>
      </c>
      <c r="I2318" s="18" t="s">
        <v>37</v>
      </c>
      <c r="J2318" s="18" t="s">
        <v>38</v>
      </c>
      <c r="K2318" t="s">
        <v>39</v>
      </c>
      <c r="L2318" s="50">
        <f>VLOOKUP(A2318,'[3]Price info'!A:D,4,FALSE)</f>
        <v>783.95</v>
      </c>
      <c r="M2318" s="18" t="s">
        <v>214</v>
      </c>
      <c r="N2318" s="20">
        <v>3105</v>
      </c>
      <c r="P2318" s="16">
        <f>VLOOKUP(A2318,'[3]Price info'!A:H,8,FALSE)</f>
        <v>783.95</v>
      </c>
      <c r="Q2318" s="17">
        <f t="shared" si="145"/>
        <v>1</v>
      </c>
      <c r="S2318" s="16" t="e">
        <f>VLOOKUP(A2318,[4]Sales!$E:$G,3,FALSE)</f>
        <v>#N/A</v>
      </c>
      <c r="T2318" s="19" t="e">
        <f>VLOOKUP(A2318,[4]Volume!$E:$G,3,FALSE)</f>
        <v>#N/A</v>
      </c>
      <c r="U2318" s="19" t="e">
        <f>VLOOKUP(A2318,[4]Piece!$E:$G,3,FALSE)</f>
        <v>#N/A</v>
      </c>
      <c r="V2318" s="21" t="e">
        <f t="shared" si="146"/>
        <v>#N/A</v>
      </c>
      <c r="W2318" s="16" t="e">
        <f t="shared" si="147"/>
        <v>#N/A</v>
      </c>
    </row>
    <row r="2319" spans="1:23" hidden="1" x14ac:dyDescent="0.3">
      <c r="A2319" s="71" t="s">
        <v>4574</v>
      </c>
      <c r="B2319" s="71" t="s">
        <v>4574</v>
      </c>
      <c r="C2319" s="47" t="s">
        <v>33</v>
      </c>
      <c r="D2319" s="48" t="s">
        <v>34</v>
      </c>
      <c r="E2319" s="18" t="s">
        <v>4575</v>
      </c>
      <c r="F2319" s="24" t="str">
        <f t="shared" si="144"/>
        <v>PPG - S'FAST 210 HS SET RAL         9010262200</v>
      </c>
      <c r="G2319" s="20" t="s">
        <v>7189</v>
      </c>
      <c r="H2319" s="49" t="s">
        <v>213</v>
      </c>
      <c r="I2319" s="18" t="s">
        <v>37</v>
      </c>
      <c r="J2319" s="18" t="s">
        <v>38</v>
      </c>
      <c r="K2319" t="s">
        <v>39</v>
      </c>
      <c r="L2319" s="50">
        <f>VLOOKUP(A2319,'[3]Price info'!A:D,4,FALSE)</f>
        <v>865.14</v>
      </c>
      <c r="M2319" s="18" t="s">
        <v>214</v>
      </c>
      <c r="N2319" s="20">
        <v>3105</v>
      </c>
      <c r="P2319" s="16">
        <f>VLOOKUP(A2319,'[3]Price info'!A:H,8,FALSE)</f>
        <v>865.14</v>
      </c>
      <c r="Q2319" s="17">
        <f t="shared" si="145"/>
        <v>1</v>
      </c>
      <c r="S2319" s="16" t="e">
        <f>VLOOKUP(A2319,[4]Sales!$E:$G,3,FALSE)</f>
        <v>#N/A</v>
      </c>
      <c r="T2319" s="19" t="e">
        <f>VLOOKUP(A2319,[4]Volume!$E:$G,3,FALSE)</f>
        <v>#N/A</v>
      </c>
      <c r="U2319" s="19" t="e">
        <f>VLOOKUP(A2319,[4]Piece!$E:$G,3,FALSE)</f>
        <v>#N/A</v>
      </c>
      <c r="V2319" s="21" t="e">
        <f t="shared" si="146"/>
        <v>#N/A</v>
      </c>
      <c r="W2319" s="16" t="e">
        <f t="shared" si="147"/>
        <v>#N/A</v>
      </c>
    </row>
    <row r="2320" spans="1:23" hidden="1" x14ac:dyDescent="0.3">
      <c r="A2320" s="71" t="s">
        <v>4576</v>
      </c>
      <c r="B2320" s="71" t="s">
        <v>4576</v>
      </c>
      <c r="C2320" s="47" t="s">
        <v>33</v>
      </c>
      <c r="D2320" s="48" t="s">
        <v>34</v>
      </c>
      <c r="E2320" s="18" t="s">
        <v>4577</v>
      </c>
      <c r="F2320" s="24" t="str">
        <f t="shared" si="144"/>
        <v>PPG - S'FAST 278 SET CREAM         N3012002200</v>
      </c>
      <c r="G2320" s="20" t="s">
        <v>7190</v>
      </c>
      <c r="H2320" s="49" t="s">
        <v>213</v>
      </c>
      <c r="I2320" s="18" t="s">
        <v>37</v>
      </c>
      <c r="J2320" s="18" t="s">
        <v>38</v>
      </c>
      <c r="K2320" t="s">
        <v>39</v>
      </c>
      <c r="L2320" s="50">
        <f>VLOOKUP(A2320,'[3]Price info'!A:D,4,FALSE)</f>
        <v>453.22</v>
      </c>
      <c r="M2320" s="18" t="s">
        <v>214</v>
      </c>
      <c r="N2320" s="20">
        <v>3105</v>
      </c>
      <c r="P2320" s="16">
        <f>VLOOKUP(A2320,'[3]Price info'!A:H,8,FALSE)</f>
        <v>453.22</v>
      </c>
      <c r="Q2320" s="17">
        <f t="shared" si="145"/>
        <v>1</v>
      </c>
      <c r="S2320" s="16" t="e">
        <f>VLOOKUP(A2320,[4]Sales!$E:$G,3,FALSE)</f>
        <v>#N/A</v>
      </c>
      <c r="T2320" s="19" t="e">
        <f>VLOOKUP(A2320,[4]Volume!$E:$G,3,FALSE)</f>
        <v>#N/A</v>
      </c>
      <c r="U2320" s="19" t="e">
        <f>VLOOKUP(A2320,[4]Piece!$E:$G,3,FALSE)</f>
        <v>#N/A</v>
      </c>
      <c r="V2320" s="21" t="e">
        <f t="shared" si="146"/>
        <v>#N/A</v>
      </c>
      <c r="W2320" s="16" t="e">
        <f t="shared" si="147"/>
        <v>#N/A</v>
      </c>
    </row>
    <row r="2321" spans="1:23" hidden="1" x14ac:dyDescent="0.3">
      <c r="A2321" s="71" t="s">
        <v>4578</v>
      </c>
      <c r="B2321" s="71" t="s">
        <v>4578</v>
      </c>
      <c r="C2321" s="51" t="s">
        <v>33</v>
      </c>
      <c r="D2321" s="48" t="s">
        <v>34</v>
      </c>
      <c r="E2321" s="18" t="s">
        <v>4579</v>
      </c>
      <c r="F2321" s="24" t="str">
        <f t="shared" si="144"/>
        <v>PPG - S'FAST 278 SET MIO DARK GREY N9120002200</v>
      </c>
      <c r="G2321" s="20" t="s">
        <v>7191</v>
      </c>
      <c r="H2321" s="49" t="s">
        <v>213</v>
      </c>
      <c r="I2321" s="18" t="s">
        <v>37</v>
      </c>
      <c r="J2321" s="18" t="s">
        <v>38</v>
      </c>
      <c r="K2321" t="s">
        <v>39</v>
      </c>
      <c r="L2321" s="50">
        <f>VLOOKUP(A2321,'[3]Price info'!A:D,4,FALSE)</f>
        <v>525.29</v>
      </c>
      <c r="M2321" s="18" t="s">
        <v>214</v>
      </c>
      <c r="N2321" s="20">
        <v>3105</v>
      </c>
      <c r="P2321" s="16">
        <f>VLOOKUP(A2321,'[3]Price info'!A:H,8,FALSE)</f>
        <v>525.29</v>
      </c>
      <c r="Q2321" s="17">
        <f t="shared" si="145"/>
        <v>1</v>
      </c>
      <c r="S2321" s="16" t="e">
        <f>VLOOKUP(A2321,[4]Sales!$E:$G,3,FALSE)</f>
        <v>#N/A</v>
      </c>
      <c r="T2321" s="19" t="e">
        <f>VLOOKUP(A2321,[4]Volume!$E:$G,3,FALSE)</f>
        <v>#N/A</v>
      </c>
      <c r="U2321" s="19" t="e">
        <f>VLOOKUP(A2321,[4]Piece!$E:$G,3,FALSE)</f>
        <v>#N/A</v>
      </c>
      <c r="V2321" s="21" t="e">
        <f t="shared" si="146"/>
        <v>#N/A</v>
      </c>
      <c r="W2321" s="16" t="e">
        <f t="shared" si="147"/>
        <v>#N/A</v>
      </c>
    </row>
    <row r="2322" spans="1:23" hidden="1" x14ac:dyDescent="0.3">
      <c r="A2322" s="71" t="s">
        <v>4580</v>
      </c>
      <c r="B2322" s="71" t="s">
        <v>4580</v>
      </c>
      <c r="C2322" s="47" t="s">
        <v>33</v>
      </c>
      <c r="D2322" s="48" t="s">
        <v>34</v>
      </c>
      <c r="E2322" s="18" t="s">
        <v>4581</v>
      </c>
      <c r="F2322" s="24" t="str">
        <f t="shared" si="144"/>
        <v>PPG - S'FAST 278 SET OFFWHITE      N7001002200</v>
      </c>
      <c r="G2322" s="20" t="s">
        <v>7192</v>
      </c>
      <c r="H2322" s="49" t="s">
        <v>213</v>
      </c>
      <c r="I2322" s="18" t="s">
        <v>37</v>
      </c>
      <c r="J2322" s="18" t="s">
        <v>38</v>
      </c>
      <c r="K2322" t="s">
        <v>39</v>
      </c>
      <c r="L2322" s="50">
        <f>VLOOKUP(A2322,'[3]Price info'!A:D,4,FALSE)</f>
        <v>453.22</v>
      </c>
      <c r="M2322" s="18" t="s">
        <v>214</v>
      </c>
      <c r="N2322" s="20">
        <v>3105</v>
      </c>
      <c r="P2322" s="16">
        <f>VLOOKUP(A2322,'[3]Price info'!A:H,8,FALSE)</f>
        <v>453.22</v>
      </c>
      <c r="Q2322" s="17">
        <f t="shared" si="145"/>
        <v>1</v>
      </c>
      <c r="S2322" s="16" t="e">
        <f>VLOOKUP(A2322,[4]Sales!$E:$G,3,FALSE)</f>
        <v>#N/A</v>
      </c>
      <c r="T2322" s="19" t="e">
        <f>VLOOKUP(A2322,[4]Volume!$E:$G,3,FALSE)</f>
        <v>#N/A</v>
      </c>
      <c r="U2322" s="19" t="e">
        <f>VLOOKUP(A2322,[4]Piece!$E:$G,3,FALSE)</f>
        <v>#N/A</v>
      </c>
      <c r="V2322" s="21" t="e">
        <f t="shared" si="146"/>
        <v>#N/A</v>
      </c>
      <c r="W2322" s="16" t="e">
        <f t="shared" si="147"/>
        <v>#N/A</v>
      </c>
    </row>
    <row r="2323" spans="1:23" hidden="1" x14ac:dyDescent="0.3">
      <c r="A2323" s="71" t="s">
        <v>4582</v>
      </c>
      <c r="B2323" s="71" t="s">
        <v>4582</v>
      </c>
      <c r="C2323" s="47" t="s">
        <v>33</v>
      </c>
      <c r="D2323" s="48" t="s">
        <v>34</v>
      </c>
      <c r="E2323" s="18" t="s">
        <v>4583</v>
      </c>
      <c r="F2323" s="24" t="str">
        <f t="shared" si="144"/>
        <v>PPG - S'FAST 278 SET RAL           N7035262200</v>
      </c>
      <c r="G2323" s="20" t="s">
        <v>7193</v>
      </c>
      <c r="H2323" s="49" t="s">
        <v>213</v>
      </c>
      <c r="I2323" s="18" t="s">
        <v>37</v>
      </c>
      <c r="J2323" s="18" t="s">
        <v>38</v>
      </c>
      <c r="K2323" t="s">
        <v>39</v>
      </c>
      <c r="L2323" s="50">
        <f>VLOOKUP(A2323,'[3]Price info'!A:D,4,FALSE)</f>
        <v>453.22</v>
      </c>
      <c r="M2323" s="18" t="s">
        <v>214</v>
      </c>
      <c r="N2323" s="20">
        <v>3105</v>
      </c>
      <c r="P2323" s="16">
        <f>VLOOKUP(A2323,'[3]Price info'!A:H,8,FALSE)</f>
        <v>453.22</v>
      </c>
      <c r="Q2323" s="17">
        <f t="shared" si="145"/>
        <v>1</v>
      </c>
      <c r="S2323" s="16" t="e">
        <f>VLOOKUP(A2323,[4]Sales!$E:$G,3,FALSE)</f>
        <v>#N/A</v>
      </c>
      <c r="T2323" s="19" t="e">
        <f>VLOOKUP(A2323,[4]Volume!$E:$G,3,FALSE)</f>
        <v>#N/A</v>
      </c>
      <c r="U2323" s="19" t="e">
        <f>VLOOKUP(A2323,[4]Piece!$E:$G,3,FALSE)</f>
        <v>#N/A</v>
      </c>
      <c r="V2323" s="21" t="e">
        <f t="shared" si="146"/>
        <v>#N/A</v>
      </c>
      <c r="W2323" s="16" t="e">
        <f t="shared" si="147"/>
        <v>#N/A</v>
      </c>
    </row>
    <row r="2324" spans="1:23" hidden="1" x14ac:dyDescent="0.3">
      <c r="A2324" s="71" t="s">
        <v>4584</v>
      </c>
      <c r="B2324" s="71" t="s">
        <v>4584</v>
      </c>
      <c r="C2324" s="51" t="s">
        <v>33</v>
      </c>
      <c r="D2324" s="48" t="s">
        <v>34</v>
      </c>
      <c r="E2324" s="18" t="s">
        <v>4585</v>
      </c>
      <c r="F2324" s="24" t="str">
        <f t="shared" si="144"/>
        <v>PPG - S'FAST 278 SET RAL           N7046262200</v>
      </c>
      <c r="G2324" s="20" t="s">
        <v>7194</v>
      </c>
      <c r="H2324" s="49" t="s">
        <v>213</v>
      </c>
      <c r="I2324" s="18" t="s">
        <v>37</v>
      </c>
      <c r="J2324" s="18" t="s">
        <v>38</v>
      </c>
      <c r="K2324" t="s">
        <v>39</v>
      </c>
      <c r="L2324" s="50">
        <f>VLOOKUP(A2324,'[3]Price info'!A:D,4,FALSE)</f>
        <v>578.28</v>
      </c>
      <c r="M2324" s="18" t="s">
        <v>214</v>
      </c>
      <c r="N2324" s="20">
        <v>3105</v>
      </c>
      <c r="P2324" s="16">
        <f>VLOOKUP(A2324,'[3]Price info'!A:H,8,FALSE)</f>
        <v>578.28</v>
      </c>
      <c r="Q2324" s="17">
        <f t="shared" si="145"/>
        <v>1</v>
      </c>
      <c r="S2324" s="16" t="e">
        <f>VLOOKUP(A2324,[4]Sales!$E:$G,3,FALSE)</f>
        <v>#N/A</v>
      </c>
      <c r="T2324" s="19" t="e">
        <f>VLOOKUP(A2324,[4]Volume!$E:$G,3,FALSE)</f>
        <v>#N/A</v>
      </c>
      <c r="U2324" s="19" t="e">
        <f>VLOOKUP(A2324,[4]Piece!$E:$G,3,FALSE)</f>
        <v>#N/A</v>
      </c>
      <c r="V2324" s="21" t="e">
        <f t="shared" si="146"/>
        <v>#N/A</v>
      </c>
      <c r="W2324" s="16" t="e">
        <f t="shared" si="147"/>
        <v>#N/A</v>
      </c>
    </row>
    <row r="2325" spans="1:23" hidden="1" x14ac:dyDescent="0.3">
      <c r="A2325" s="71" t="s">
        <v>4586</v>
      </c>
      <c r="B2325" s="71" t="s">
        <v>4586</v>
      </c>
      <c r="C2325" s="47" t="s">
        <v>33</v>
      </c>
      <c r="D2325" s="48" t="s">
        <v>34</v>
      </c>
      <c r="E2325" s="18" t="s">
        <v>4587</v>
      </c>
      <c r="F2325" s="24" t="str">
        <f t="shared" si="144"/>
        <v>PPG - S'FAST 278 SET REDBROWN      N2008002200</v>
      </c>
      <c r="G2325" s="20" t="s">
        <v>7195</v>
      </c>
      <c r="H2325" s="49" t="s">
        <v>213</v>
      </c>
      <c r="I2325" s="18" t="s">
        <v>37</v>
      </c>
      <c r="J2325" s="18" t="s">
        <v>38</v>
      </c>
      <c r="K2325" t="s">
        <v>39</v>
      </c>
      <c r="L2325" s="50">
        <f>VLOOKUP(A2325,'[3]Price info'!A:D,4,FALSE)</f>
        <v>453.22</v>
      </c>
      <c r="M2325" s="18" t="s">
        <v>214</v>
      </c>
      <c r="N2325" s="20">
        <v>3105</v>
      </c>
      <c r="P2325" s="16">
        <f>VLOOKUP(A2325,'[3]Price info'!A:H,8,FALSE)</f>
        <v>453.22</v>
      </c>
      <c r="Q2325" s="17">
        <f t="shared" si="145"/>
        <v>1</v>
      </c>
      <c r="S2325" s="16" t="e">
        <f>VLOOKUP(A2325,[4]Sales!$E:$G,3,FALSE)</f>
        <v>#N/A</v>
      </c>
      <c r="T2325" s="19" t="e">
        <f>VLOOKUP(A2325,[4]Volume!$E:$G,3,FALSE)</f>
        <v>#N/A</v>
      </c>
      <c r="U2325" s="19" t="e">
        <f>VLOOKUP(A2325,[4]Piece!$E:$G,3,FALSE)</f>
        <v>#N/A</v>
      </c>
      <c r="V2325" s="21" t="e">
        <f t="shared" si="146"/>
        <v>#N/A</v>
      </c>
      <c r="W2325" s="16" t="e">
        <f t="shared" si="147"/>
        <v>#N/A</v>
      </c>
    </row>
    <row r="2326" spans="1:23" hidden="1" x14ac:dyDescent="0.3">
      <c r="A2326" s="71" t="s">
        <v>4588</v>
      </c>
      <c r="B2326" s="71" t="s">
        <v>4588</v>
      </c>
      <c r="C2326" s="47" t="s">
        <v>33</v>
      </c>
      <c r="D2326" s="48" t="s">
        <v>34</v>
      </c>
      <c r="E2326" s="18" t="s">
        <v>4589</v>
      </c>
      <c r="F2326" s="24" t="str">
        <f t="shared" si="144"/>
        <v>PPG - S'FAST 302 SET BLUEGREEN      1000002200</v>
      </c>
      <c r="G2326" s="20" t="s">
        <v>7196</v>
      </c>
      <c r="H2326" s="49" t="s">
        <v>213</v>
      </c>
      <c r="I2326" s="18" t="s">
        <v>37</v>
      </c>
      <c r="J2326" s="18" t="s">
        <v>38</v>
      </c>
      <c r="K2326" t="s">
        <v>39</v>
      </c>
      <c r="L2326" s="50">
        <f>VLOOKUP(A2326,'[3]Price info'!A:D,4,FALSE)</f>
        <v>1370.76</v>
      </c>
      <c r="M2326" s="18" t="s">
        <v>214</v>
      </c>
      <c r="N2326" s="20">
        <v>3105</v>
      </c>
      <c r="P2326" s="16">
        <f>VLOOKUP(A2326,'[3]Price info'!A:H,8,FALSE)</f>
        <v>1370.76</v>
      </c>
      <c r="Q2326" s="17">
        <f t="shared" si="145"/>
        <v>1</v>
      </c>
      <c r="S2326" s="16" t="e">
        <f>VLOOKUP(A2326,[4]Sales!$E:$G,3,FALSE)</f>
        <v>#N/A</v>
      </c>
      <c r="T2326" s="19" t="e">
        <f>VLOOKUP(A2326,[4]Volume!$E:$G,3,FALSE)</f>
        <v>#N/A</v>
      </c>
      <c r="U2326" s="19" t="e">
        <f>VLOOKUP(A2326,[4]Piece!$E:$G,3,FALSE)</f>
        <v>#N/A</v>
      </c>
      <c r="V2326" s="21" t="e">
        <f t="shared" si="146"/>
        <v>#N/A</v>
      </c>
      <c r="W2326" s="16" t="e">
        <f t="shared" si="147"/>
        <v>#N/A</v>
      </c>
    </row>
    <row r="2327" spans="1:23" hidden="1" x14ac:dyDescent="0.3">
      <c r="A2327" s="71" t="s">
        <v>4590</v>
      </c>
      <c r="B2327" s="71" t="s">
        <v>4590</v>
      </c>
      <c r="C2327" s="51" t="s">
        <v>33</v>
      </c>
      <c r="D2327" s="48" t="s">
        <v>34</v>
      </c>
      <c r="E2327" s="18" t="s">
        <v>4591</v>
      </c>
      <c r="F2327" s="24" t="str">
        <f t="shared" si="144"/>
        <v>PPG - SFRES EDEN         18390 W/C</v>
      </c>
      <c r="G2327" s="20" t="s">
        <v>7197</v>
      </c>
      <c r="H2327" s="49" t="s">
        <v>213</v>
      </c>
      <c r="I2327" s="18" t="s">
        <v>37</v>
      </c>
      <c r="J2327" s="18" t="s">
        <v>38</v>
      </c>
      <c r="K2327" t="s">
        <v>39</v>
      </c>
      <c r="L2327" s="50">
        <f>VLOOKUP(A2327,'[3]Price info'!A:D,4,FALSE)</f>
        <v>8.9700000000000006</v>
      </c>
      <c r="M2327" s="18" t="s">
        <v>214</v>
      </c>
      <c r="N2327" s="20">
        <v>3105</v>
      </c>
      <c r="P2327" s="16">
        <f>VLOOKUP(A2327,'[3]Price info'!A:H,8,FALSE)</f>
        <v>8.9700000000000006</v>
      </c>
      <c r="Q2327" s="17">
        <f t="shared" si="145"/>
        <v>1</v>
      </c>
      <c r="S2327" s="16" t="e">
        <f>VLOOKUP(A2327,[4]Sales!$E:$G,3,FALSE)</f>
        <v>#N/A</v>
      </c>
      <c r="T2327" s="19" t="e">
        <f>VLOOKUP(A2327,[4]Volume!$E:$G,3,FALSE)</f>
        <v>#N/A</v>
      </c>
      <c r="U2327" s="19" t="e">
        <f>VLOOKUP(A2327,[4]Piece!$E:$G,3,FALSE)</f>
        <v>#N/A</v>
      </c>
      <c r="V2327" s="21" t="e">
        <f t="shared" si="146"/>
        <v>#N/A</v>
      </c>
      <c r="W2327" s="16" t="e">
        <f t="shared" si="147"/>
        <v>#N/A</v>
      </c>
    </row>
    <row r="2328" spans="1:23" hidden="1" x14ac:dyDescent="0.3">
      <c r="A2328" s="71" t="s">
        <v>4592</v>
      </c>
      <c r="B2328" s="71" t="s">
        <v>4592</v>
      </c>
      <c r="C2328" s="47" t="s">
        <v>33</v>
      </c>
      <c r="D2328" s="48" t="s">
        <v>34</v>
      </c>
      <c r="E2328" s="18" t="s">
        <v>4593</v>
      </c>
      <c r="F2328" s="24" t="str">
        <f t="shared" si="144"/>
        <v>PPG - SFRES SUPERFRESCO  12015 W/C  WATERFALL</v>
      </c>
      <c r="G2328" s="20" t="s">
        <v>7198</v>
      </c>
      <c r="H2328" s="49" t="s">
        <v>213</v>
      </c>
      <c r="I2328" s="18" t="s">
        <v>37</v>
      </c>
      <c r="J2328" s="18" t="s">
        <v>38</v>
      </c>
      <c r="K2328" t="s">
        <v>39</v>
      </c>
      <c r="L2328" s="50">
        <f>VLOOKUP(A2328,'[3]Price info'!A:D,4,FALSE)</f>
        <v>8.9700000000000006</v>
      </c>
      <c r="M2328" s="18" t="s">
        <v>214</v>
      </c>
      <c r="N2328" s="20">
        <v>3105</v>
      </c>
      <c r="P2328" s="16">
        <f>VLOOKUP(A2328,'[3]Price info'!A:H,8,FALSE)</f>
        <v>8.9700000000000006</v>
      </c>
      <c r="Q2328" s="17">
        <f t="shared" si="145"/>
        <v>1</v>
      </c>
      <c r="S2328" s="16" t="e">
        <f>VLOOKUP(A2328,[4]Sales!$E:$G,3,FALSE)</f>
        <v>#N/A</v>
      </c>
      <c r="T2328" s="19" t="e">
        <f>VLOOKUP(A2328,[4]Volume!$E:$G,3,FALSE)</f>
        <v>#N/A</v>
      </c>
      <c r="U2328" s="19" t="e">
        <f>VLOOKUP(A2328,[4]Piece!$E:$G,3,FALSE)</f>
        <v>#N/A</v>
      </c>
      <c r="V2328" s="21" t="e">
        <f t="shared" si="146"/>
        <v>#N/A</v>
      </c>
      <c r="W2328" s="16" t="e">
        <f t="shared" si="147"/>
        <v>#N/A</v>
      </c>
    </row>
    <row r="2329" spans="1:23" hidden="1" x14ac:dyDescent="0.3">
      <c r="A2329" s="71" t="s">
        <v>4594</v>
      </c>
      <c r="B2329" s="71" t="s">
        <v>4594</v>
      </c>
      <c r="C2329" s="47" t="s">
        <v>33</v>
      </c>
      <c r="D2329" s="48" t="s">
        <v>34</v>
      </c>
      <c r="E2329" s="18" t="s">
        <v>4595</v>
      </c>
      <c r="F2329" s="24" t="str">
        <f t="shared" si="144"/>
        <v>PPG - SFRES SUPERFRESCO  19018 W/C  FLOATING S</v>
      </c>
      <c r="G2329" s="20" t="s">
        <v>7199</v>
      </c>
      <c r="H2329" s="49" t="s">
        <v>213</v>
      </c>
      <c r="I2329" s="18" t="s">
        <v>37</v>
      </c>
      <c r="J2329" s="18" t="s">
        <v>38</v>
      </c>
      <c r="K2329" t="s">
        <v>39</v>
      </c>
      <c r="L2329" s="50">
        <f>VLOOKUP(A2329,'[3]Price info'!A:D,4,FALSE)</f>
        <v>8.9700000000000006</v>
      </c>
      <c r="M2329" s="18" t="s">
        <v>214</v>
      </c>
      <c r="N2329" s="20">
        <v>3105</v>
      </c>
      <c r="P2329" s="16">
        <f>VLOOKUP(A2329,'[3]Price info'!A:H,8,FALSE)</f>
        <v>8.9700000000000006</v>
      </c>
      <c r="Q2329" s="17">
        <f t="shared" si="145"/>
        <v>1</v>
      </c>
      <c r="S2329" s="16" t="e">
        <f>VLOOKUP(A2329,[4]Sales!$E:$G,3,FALSE)</f>
        <v>#N/A</v>
      </c>
      <c r="T2329" s="19" t="e">
        <f>VLOOKUP(A2329,[4]Volume!$E:$G,3,FALSE)</f>
        <v>#N/A</v>
      </c>
      <c r="U2329" s="19" t="e">
        <f>VLOOKUP(A2329,[4]Piece!$E:$G,3,FALSE)</f>
        <v>#N/A</v>
      </c>
      <c r="V2329" s="21" t="e">
        <f t="shared" si="146"/>
        <v>#N/A</v>
      </c>
      <c r="W2329" s="16" t="e">
        <f t="shared" si="147"/>
        <v>#N/A</v>
      </c>
    </row>
    <row r="2330" spans="1:23" hidden="1" x14ac:dyDescent="0.3">
      <c r="A2330" s="71" t="s">
        <v>4596</v>
      </c>
      <c r="B2330" s="71" t="s">
        <v>4596</v>
      </c>
      <c r="C2330" s="51" t="s">
        <v>33</v>
      </c>
      <c r="D2330" s="48" t="s">
        <v>34</v>
      </c>
      <c r="E2330" s="18" t="s">
        <v>4597</v>
      </c>
      <c r="F2330" s="24" t="str">
        <f t="shared" si="144"/>
        <v>PPG - SFRES SUPERFRESCO  268 W/C    GEOMETRIC</v>
      </c>
      <c r="G2330" s="20" t="s">
        <v>7200</v>
      </c>
      <c r="H2330" s="49" t="s">
        <v>213</v>
      </c>
      <c r="I2330" s="18" t="s">
        <v>37</v>
      </c>
      <c r="J2330" s="18" t="s">
        <v>38</v>
      </c>
      <c r="K2330" t="s">
        <v>39</v>
      </c>
      <c r="L2330" s="50">
        <f>VLOOKUP(A2330,'[3]Price info'!A:D,4,FALSE)</f>
        <v>8.9700000000000006</v>
      </c>
      <c r="M2330" s="18" t="s">
        <v>214</v>
      </c>
      <c r="N2330" s="20">
        <v>3105</v>
      </c>
      <c r="P2330" s="16">
        <f>VLOOKUP(A2330,'[3]Price info'!A:H,8,FALSE)</f>
        <v>8.9700000000000006</v>
      </c>
      <c r="Q2330" s="17">
        <f t="shared" si="145"/>
        <v>1</v>
      </c>
      <c r="S2330" s="16" t="e">
        <f>VLOOKUP(A2330,[4]Sales!$E:$G,3,FALSE)</f>
        <v>#N/A</v>
      </c>
      <c r="T2330" s="19" t="e">
        <f>VLOOKUP(A2330,[4]Volume!$E:$G,3,FALSE)</f>
        <v>#N/A</v>
      </c>
      <c r="U2330" s="19" t="e">
        <f>VLOOKUP(A2330,[4]Piece!$E:$G,3,FALSE)</f>
        <v>#N/A</v>
      </c>
      <c r="V2330" s="21" t="e">
        <f t="shared" si="146"/>
        <v>#N/A</v>
      </c>
      <c r="W2330" s="16" t="e">
        <f t="shared" si="147"/>
        <v>#N/A</v>
      </c>
    </row>
    <row r="2331" spans="1:23" hidden="1" x14ac:dyDescent="0.3">
      <c r="A2331" s="71" t="s">
        <v>4598</v>
      </c>
      <c r="B2331" s="71" t="s">
        <v>4598</v>
      </c>
      <c r="C2331" s="47" t="s">
        <v>33</v>
      </c>
      <c r="D2331" s="48" t="s">
        <v>34</v>
      </c>
      <c r="E2331" s="18" t="s">
        <v>4599</v>
      </c>
      <c r="F2331" s="24" t="str">
        <f t="shared" si="144"/>
        <v>PPG - S'GUARD 720 SET GREEN         4000001400</v>
      </c>
      <c r="G2331" s="20" t="s">
        <v>7201</v>
      </c>
      <c r="H2331" s="49" t="s">
        <v>213</v>
      </c>
      <c r="I2331" s="18" t="s">
        <v>37</v>
      </c>
      <c r="J2331" s="18" t="s">
        <v>38</v>
      </c>
      <c r="K2331" t="s">
        <v>39</v>
      </c>
      <c r="L2331" s="50">
        <f>VLOOKUP(A2331,'[3]Price info'!A:D,4,FALSE)</f>
        <v>130.97</v>
      </c>
      <c r="M2331" s="18" t="s">
        <v>214</v>
      </c>
      <c r="N2331" s="20">
        <v>3105</v>
      </c>
      <c r="P2331" s="16">
        <f>VLOOKUP(A2331,'[3]Price info'!A:H,8,FALSE)</f>
        <v>130.97</v>
      </c>
      <c r="Q2331" s="17">
        <f t="shared" si="145"/>
        <v>1</v>
      </c>
      <c r="S2331" s="16" t="e">
        <f>VLOOKUP(A2331,[4]Sales!$E:$G,3,FALSE)</f>
        <v>#N/A</v>
      </c>
      <c r="T2331" s="19" t="e">
        <f>VLOOKUP(A2331,[4]Volume!$E:$G,3,FALSE)</f>
        <v>#N/A</v>
      </c>
      <c r="U2331" s="19" t="e">
        <f>VLOOKUP(A2331,[4]Piece!$E:$G,3,FALSE)</f>
        <v>#N/A</v>
      </c>
      <c r="V2331" s="21" t="e">
        <f t="shared" si="146"/>
        <v>#N/A</v>
      </c>
      <c r="W2331" s="16" t="e">
        <f t="shared" si="147"/>
        <v>#N/A</v>
      </c>
    </row>
    <row r="2332" spans="1:23" hidden="1" x14ac:dyDescent="0.3">
      <c r="A2332" s="71" t="s">
        <v>4600</v>
      </c>
      <c r="B2332" s="71" t="s">
        <v>4600</v>
      </c>
      <c r="C2332" s="47" t="s">
        <v>33</v>
      </c>
      <c r="D2332" s="48" t="s">
        <v>34</v>
      </c>
      <c r="E2332" s="18" t="s">
        <v>4601</v>
      </c>
      <c r="F2332" s="24" t="str">
        <f t="shared" si="144"/>
        <v>PPG - S'GUARD 720 SET GREEN         4000002200</v>
      </c>
      <c r="G2332" s="20" t="s">
        <v>7202</v>
      </c>
      <c r="H2332" s="49" t="s">
        <v>213</v>
      </c>
      <c r="I2332" s="18" t="s">
        <v>37</v>
      </c>
      <c r="J2332" s="18" t="s">
        <v>38</v>
      </c>
      <c r="K2332" t="s">
        <v>39</v>
      </c>
      <c r="L2332" s="50">
        <f>VLOOKUP(A2332,'[3]Price info'!A:D,4,FALSE)</f>
        <v>641.79</v>
      </c>
      <c r="M2332" s="18" t="s">
        <v>214</v>
      </c>
      <c r="N2332" s="20">
        <v>3105</v>
      </c>
      <c r="P2332" s="16">
        <f>VLOOKUP(A2332,'[3]Price info'!A:H,8,FALSE)</f>
        <v>641.79</v>
      </c>
      <c r="Q2332" s="17">
        <f t="shared" si="145"/>
        <v>1</v>
      </c>
      <c r="S2332" s="16" t="e">
        <f>VLOOKUP(A2332,[4]Sales!$E:$G,3,FALSE)</f>
        <v>#N/A</v>
      </c>
      <c r="T2332" s="19" t="e">
        <f>VLOOKUP(A2332,[4]Volume!$E:$G,3,FALSE)</f>
        <v>#N/A</v>
      </c>
      <c r="U2332" s="19" t="e">
        <f>VLOOKUP(A2332,[4]Piece!$E:$G,3,FALSE)</f>
        <v>#N/A</v>
      </c>
      <c r="V2332" s="21" t="e">
        <f t="shared" si="146"/>
        <v>#N/A</v>
      </c>
      <c r="W2332" s="16" t="e">
        <f t="shared" si="147"/>
        <v>#N/A</v>
      </c>
    </row>
    <row r="2333" spans="1:23" hidden="1" x14ac:dyDescent="0.3">
      <c r="A2333" s="71" t="s">
        <v>4602</v>
      </c>
      <c r="B2333" s="71" t="s">
        <v>4602</v>
      </c>
      <c r="C2333" s="51" t="s">
        <v>33</v>
      </c>
      <c r="D2333" s="48" t="s">
        <v>34</v>
      </c>
      <c r="E2333" s="18" t="s">
        <v>4603</v>
      </c>
      <c r="F2333" s="24" t="str">
        <f t="shared" si="144"/>
        <v>PPG - S'GUARD 720 SET GREY          5000002200</v>
      </c>
      <c r="G2333" s="20" t="s">
        <v>7203</v>
      </c>
      <c r="H2333" s="49" t="s">
        <v>213</v>
      </c>
      <c r="I2333" s="18" t="s">
        <v>37</v>
      </c>
      <c r="J2333" s="18" t="s">
        <v>38</v>
      </c>
      <c r="K2333" t="s">
        <v>39</v>
      </c>
      <c r="L2333" s="50">
        <f>VLOOKUP(A2333,'[3]Price info'!A:D,4,FALSE)</f>
        <v>586.11</v>
      </c>
      <c r="M2333" s="18" t="s">
        <v>214</v>
      </c>
      <c r="N2333" s="20">
        <v>3105</v>
      </c>
      <c r="P2333" s="16">
        <f>VLOOKUP(A2333,'[3]Price info'!A:H,8,FALSE)</f>
        <v>586.11</v>
      </c>
      <c r="Q2333" s="17">
        <f t="shared" si="145"/>
        <v>1</v>
      </c>
      <c r="S2333" s="16" t="e">
        <f>VLOOKUP(A2333,[4]Sales!$E:$G,3,FALSE)</f>
        <v>#N/A</v>
      </c>
      <c r="T2333" s="19" t="e">
        <f>VLOOKUP(A2333,[4]Volume!$E:$G,3,FALSE)</f>
        <v>#N/A</v>
      </c>
      <c r="U2333" s="19" t="e">
        <f>VLOOKUP(A2333,[4]Piece!$E:$G,3,FALSE)</f>
        <v>#N/A</v>
      </c>
      <c r="V2333" s="21" t="e">
        <f t="shared" si="146"/>
        <v>#N/A</v>
      </c>
      <c r="W2333" s="16" t="e">
        <f t="shared" si="147"/>
        <v>#N/A</v>
      </c>
    </row>
    <row r="2334" spans="1:23" hidden="1" x14ac:dyDescent="0.3">
      <c r="A2334" s="71" t="s">
        <v>4604</v>
      </c>
      <c r="B2334" s="71" t="s">
        <v>4604</v>
      </c>
      <c r="C2334" s="47" t="s">
        <v>33</v>
      </c>
      <c r="D2334" s="48" t="s">
        <v>34</v>
      </c>
      <c r="E2334" s="18" t="s">
        <v>4605</v>
      </c>
      <c r="F2334" s="24" t="str">
        <f t="shared" si="144"/>
        <v>PPG - S'GUARD 720 SET WHITE         7000001400</v>
      </c>
      <c r="G2334" s="20" t="s">
        <v>7204</v>
      </c>
      <c r="H2334" s="49" t="s">
        <v>213</v>
      </c>
      <c r="I2334" s="18" t="s">
        <v>37</v>
      </c>
      <c r="J2334" s="18" t="s">
        <v>38</v>
      </c>
      <c r="K2334" t="s">
        <v>39</v>
      </c>
      <c r="L2334" s="50">
        <f>VLOOKUP(A2334,'[3]Price info'!A:D,4,FALSE)</f>
        <v>143.41</v>
      </c>
      <c r="M2334" s="18" t="s">
        <v>214</v>
      </c>
      <c r="N2334" s="20">
        <v>3105</v>
      </c>
      <c r="P2334" s="16">
        <f>VLOOKUP(A2334,'[3]Price info'!A:H,8,FALSE)</f>
        <v>143.41</v>
      </c>
      <c r="Q2334" s="17">
        <f t="shared" si="145"/>
        <v>1</v>
      </c>
      <c r="S2334" s="16" t="e">
        <f>VLOOKUP(A2334,[4]Sales!$E:$G,3,FALSE)</f>
        <v>#N/A</v>
      </c>
      <c r="T2334" s="19" t="e">
        <f>VLOOKUP(A2334,[4]Volume!$E:$G,3,FALSE)</f>
        <v>#N/A</v>
      </c>
      <c r="U2334" s="19" t="e">
        <f>VLOOKUP(A2334,[4]Piece!$E:$G,3,FALSE)</f>
        <v>#N/A</v>
      </c>
      <c r="V2334" s="21" t="e">
        <f t="shared" si="146"/>
        <v>#N/A</v>
      </c>
      <c r="W2334" s="16" t="e">
        <f t="shared" si="147"/>
        <v>#N/A</v>
      </c>
    </row>
    <row r="2335" spans="1:23" hidden="1" x14ac:dyDescent="0.3">
      <c r="A2335" s="71" t="s">
        <v>4606</v>
      </c>
      <c r="B2335" s="71" t="s">
        <v>4606</v>
      </c>
      <c r="C2335" s="47" t="s">
        <v>33</v>
      </c>
      <c r="D2335" s="48" t="s">
        <v>34</v>
      </c>
      <c r="E2335" s="18" t="s">
        <v>4607</v>
      </c>
      <c r="F2335" s="24" t="str">
        <f t="shared" si="144"/>
        <v>PPG - S'GUARD 720 SET WHITE         7000002200</v>
      </c>
      <c r="G2335" s="20" t="s">
        <v>7205</v>
      </c>
      <c r="H2335" s="49" t="s">
        <v>213</v>
      </c>
      <c r="I2335" s="18" t="s">
        <v>37</v>
      </c>
      <c r="J2335" s="18" t="s">
        <v>38</v>
      </c>
      <c r="K2335" t="s">
        <v>39</v>
      </c>
      <c r="L2335" s="50">
        <f>VLOOKUP(A2335,'[3]Price info'!A:D,4,FALSE)</f>
        <v>641.79</v>
      </c>
      <c r="M2335" s="18" t="s">
        <v>214</v>
      </c>
      <c r="N2335" s="20">
        <v>3105</v>
      </c>
      <c r="P2335" s="16">
        <f>VLOOKUP(A2335,'[3]Price info'!A:H,8,FALSE)</f>
        <v>641.79</v>
      </c>
      <c r="Q2335" s="17">
        <f t="shared" si="145"/>
        <v>1</v>
      </c>
      <c r="S2335" s="16" t="e">
        <f>VLOOKUP(A2335,[4]Sales!$E:$G,3,FALSE)</f>
        <v>#N/A</v>
      </c>
      <c r="T2335" s="19" t="e">
        <f>VLOOKUP(A2335,[4]Volume!$E:$G,3,FALSE)</f>
        <v>#N/A</v>
      </c>
      <c r="U2335" s="19" t="e">
        <f>VLOOKUP(A2335,[4]Piece!$E:$G,3,FALSE)</f>
        <v>#N/A</v>
      </c>
      <c r="V2335" s="21" t="e">
        <f t="shared" si="146"/>
        <v>#N/A</v>
      </c>
      <c r="W2335" s="16" t="e">
        <f t="shared" si="147"/>
        <v>#N/A</v>
      </c>
    </row>
    <row r="2336" spans="1:23" hidden="1" x14ac:dyDescent="0.3">
      <c r="A2336" s="71" t="s">
        <v>4608</v>
      </c>
      <c r="B2336" s="71" t="s">
        <v>4608</v>
      </c>
      <c r="C2336" s="51" t="s">
        <v>33</v>
      </c>
      <c r="D2336" s="48" t="s">
        <v>34</v>
      </c>
      <c r="E2336" s="18" t="s">
        <v>4609</v>
      </c>
      <c r="F2336" s="24" t="str">
        <f t="shared" si="144"/>
        <v>PPG - S'GUARD 730 SET CREAM         3005002200</v>
      </c>
      <c r="G2336" s="20" t="s">
        <v>7206</v>
      </c>
      <c r="H2336" s="49" t="s">
        <v>213</v>
      </c>
      <c r="I2336" s="18" t="s">
        <v>37</v>
      </c>
      <c r="J2336" s="18" t="s">
        <v>38</v>
      </c>
      <c r="K2336" t="s">
        <v>39</v>
      </c>
      <c r="L2336" s="50">
        <f>VLOOKUP(A2336,'[3]Price info'!A:D,4,FALSE)</f>
        <v>625.28</v>
      </c>
      <c r="M2336" s="18" t="s">
        <v>214</v>
      </c>
      <c r="N2336" s="20">
        <v>3105</v>
      </c>
      <c r="P2336" s="16">
        <f>VLOOKUP(A2336,'[3]Price info'!A:H,8,FALSE)</f>
        <v>625.28</v>
      </c>
      <c r="Q2336" s="17">
        <f t="shared" si="145"/>
        <v>1</v>
      </c>
      <c r="S2336" s="16" t="e">
        <f>VLOOKUP(A2336,[4]Sales!$E:$G,3,FALSE)</f>
        <v>#N/A</v>
      </c>
      <c r="T2336" s="19" t="e">
        <f>VLOOKUP(A2336,[4]Volume!$E:$G,3,FALSE)</f>
        <v>#N/A</v>
      </c>
      <c r="U2336" s="19" t="e">
        <f>VLOOKUP(A2336,[4]Piece!$E:$G,3,FALSE)</f>
        <v>#N/A</v>
      </c>
      <c r="V2336" s="21" t="e">
        <f t="shared" si="146"/>
        <v>#N/A</v>
      </c>
      <c r="W2336" s="16" t="e">
        <f t="shared" si="147"/>
        <v>#N/A</v>
      </c>
    </row>
    <row r="2337" spans="1:23" hidden="1" x14ac:dyDescent="0.3">
      <c r="A2337" s="71" t="s">
        <v>4610</v>
      </c>
      <c r="B2337" s="71" t="s">
        <v>4610</v>
      </c>
      <c r="C2337" s="47" t="s">
        <v>33</v>
      </c>
      <c r="D2337" s="48" t="s">
        <v>34</v>
      </c>
      <c r="E2337" s="18" t="s">
        <v>4611</v>
      </c>
      <c r="F2337" s="24" t="str">
        <f t="shared" si="144"/>
        <v>PPG - S'GUARD 730 SET OFFWHITE      7001002200</v>
      </c>
      <c r="G2337" s="20" t="s">
        <v>7207</v>
      </c>
      <c r="H2337" s="49" t="s">
        <v>213</v>
      </c>
      <c r="I2337" s="18" t="s">
        <v>37</v>
      </c>
      <c r="J2337" s="18" t="s">
        <v>38</v>
      </c>
      <c r="K2337" t="s">
        <v>39</v>
      </c>
      <c r="L2337" s="50">
        <f>VLOOKUP(A2337,'[3]Price info'!A:D,4,FALSE)</f>
        <v>625.28</v>
      </c>
      <c r="M2337" s="18" t="s">
        <v>214</v>
      </c>
      <c r="N2337" s="20">
        <v>3105</v>
      </c>
      <c r="P2337" s="16">
        <f>VLOOKUP(A2337,'[3]Price info'!A:H,8,FALSE)</f>
        <v>625.28</v>
      </c>
      <c r="Q2337" s="17">
        <f t="shared" si="145"/>
        <v>1</v>
      </c>
      <c r="S2337" s="16" t="e">
        <f>VLOOKUP(A2337,[4]Sales!$E:$G,3,FALSE)</f>
        <v>#N/A</v>
      </c>
      <c r="T2337" s="19" t="e">
        <f>VLOOKUP(A2337,[4]Volume!$E:$G,3,FALSE)</f>
        <v>#N/A</v>
      </c>
      <c r="U2337" s="19" t="e">
        <f>VLOOKUP(A2337,[4]Piece!$E:$G,3,FALSE)</f>
        <v>#N/A</v>
      </c>
      <c r="V2337" s="21" t="e">
        <f t="shared" si="146"/>
        <v>#N/A</v>
      </c>
      <c r="W2337" s="16" t="e">
        <f t="shared" si="147"/>
        <v>#N/A</v>
      </c>
    </row>
    <row r="2338" spans="1:23" hidden="1" x14ac:dyDescent="0.3">
      <c r="A2338" s="71" t="s">
        <v>4612</v>
      </c>
      <c r="B2338" s="71" t="s">
        <v>4612</v>
      </c>
      <c r="C2338" s="47" t="s">
        <v>33</v>
      </c>
      <c r="D2338" s="48" t="s">
        <v>34</v>
      </c>
      <c r="E2338" s="18" t="s">
        <v>4613</v>
      </c>
      <c r="F2338" s="24" t="str">
        <f t="shared" si="144"/>
        <v>PPG - S'GUARD 750 SET GREY          5000002135</v>
      </c>
      <c r="G2338" s="20" t="s">
        <v>7208</v>
      </c>
      <c r="H2338" s="49" t="s">
        <v>213</v>
      </c>
      <c r="I2338" s="18" t="s">
        <v>37</v>
      </c>
      <c r="J2338" s="18" t="s">
        <v>38</v>
      </c>
      <c r="K2338" t="s">
        <v>39</v>
      </c>
      <c r="L2338" s="50">
        <f>VLOOKUP(A2338,'[3]Price info'!A:D,4,FALSE)</f>
        <v>637.41999999999996</v>
      </c>
      <c r="M2338" s="18" t="s">
        <v>214</v>
      </c>
      <c r="N2338" s="20">
        <v>3105</v>
      </c>
      <c r="P2338" s="16">
        <f>VLOOKUP(A2338,'[3]Price info'!A:H,8,FALSE)</f>
        <v>637.41999999999996</v>
      </c>
      <c r="Q2338" s="17">
        <f t="shared" si="145"/>
        <v>1</v>
      </c>
      <c r="S2338" s="16" t="e">
        <f>VLOOKUP(A2338,[4]Sales!$E:$G,3,FALSE)</f>
        <v>#N/A</v>
      </c>
      <c r="T2338" s="19" t="e">
        <f>VLOOKUP(A2338,[4]Volume!$E:$G,3,FALSE)</f>
        <v>#N/A</v>
      </c>
      <c r="U2338" s="19" t="e">
        <f>VLOOKUP(A2338,[4]Piece!$E:$G,3,FALSE)</f>
        <v>#N/A</v>
      </c>
      <c r="V2338" s="21" t="e">
        <f t="shared" si="146"/>
        <v>#N/A</v>
      </c>
      <c r="W2338" s="16" t="e">
        <f t="shared" si="147"/>
        <v>#N/A</v>
      </c>
    </row>
    <row r="2339" spans="1:23" hidden="1" x14ac:dyDescent="0.3">
      <c r="A2339" s="71" t="s">
        <v>4614</v>
      </c>
      <c r="B2339" s="71" t="s">
        <v>4614</v>
      </c>
      <c r="C2339" s="51" t="s">
        <v>33</v>
      </c>
      <c r="D2339" s="48" t="s">
        <v>34</v>
      </c>
      <c r="E2339" s="18" t="s">
        <v>4615</v>
      </c>
      <c r="F2339" s="24" t="str">
        <f t="shared" si="144"/>
        <v>PPG - S'GUARD CSF 585 SET BLUE      1000001400</v>
      </c>
      <c r="G2339" s="20" t="s">
        <v>7209</v>
      </c>
      <c r="H2339" s="49" t="s">
        <v>213</v>
      </c>
      <c r="I2339" s="18" t="s">
        <v>37</v>
      </c>
      <c r="J2339" s="18" t="s">
        <v>38</v>
      </c>
      <c r="K2339" t="s">
        <v>39</v>
      </c>
      <c r="L2339" s="50">
        <f>VLOOKUP(A2339,'[3]Price info'!A:D,4,FALSE)</f>
        <v>192.28</v>
      </c>
      <c r="M2339" s="18" t="s">
        <v>214</v>
      </c>
      <c r="N2339" s="20">
        <v>3105</v>
      </c>
      <c r="P2339" s="16">
        <f>VLOOKUP(A2339,'[3]Price info'!A:H,8,FALSE)</f>
        <v>192.28</v>
      </c>
      <c r="Q2339" s="17">
        <f t="shared" si="145"/>
        <v>1</v>
      </c>
      <c r="S2339" s="16" t="e">
        <f>VLOOKUP(A2339,[4]Sales!$E:$G,3,FALSE)</f>
        <v>#N/A</v>
      </c>
      <c r="T2339" s="19" t="e">
        <f>VLOOKUP(A2339,[4]Volume!$E:$G,3,FALSE)</f>
        <v>#N/A</v>
      </c>
      <c r="U2339" s="19" t="e">
        <f>VLOOKUP(A2339,[4]Piece!$E:$G,3,FALSE)</f>
        <v>#N/A</v>
      </c>
      <c r="V2339" s="21" t="e">
        <f t="shared" si="146"/>
        <v>#N/A</v>
      </c>
      <c r="W2339" s="16" t="e">
        <f t="shared" si="147"/>
        <v>#N/A</v>
      </c>
    </row>
    <row r="2340" spans="1:23" hidden="1" x14ac:dyDescent="0.3">
      <c r="A2340" s="71" t="s">
        <v>4616</v>
      </c>
      <c r="B2340" s="71" t="s">
        <v>4616</v>
      </c>
      <c r="C2340" s="47" t="s">
        <v>33</v>
      </c>
      <c r="D2340" s="48" t="s">
        <v>34</v>
      </c>
      <c r="E2340" s="18" t="s">
        <v>4617</v>
      </c>
      <c r="F2340" s="24" t="str">
        <f t="shared" si="144"/>
        <v>PPG - S'GUARD CSF 585 SET BLUE      1000002200</v>
      </c>
      <c r="G2340" s="20" t="s">
        <v>7210</v>
      </c>
      <c r="H2340" s="49" t="s">
        <v>213</v>
      </c>
      <c r="I2340" s="18" t="s">
        <v>37</v>
      </c>
      <c r="J2340" s="18" t="s">
        <v>38</v>
      </c>
      <c r="K2340" t="s">
        <v>39</v>
      </c>
      <c r="L2340" s="50">
        <f>VLOOKUP(A2340,'[3]Price info'!A:D,4,FALSE)</f>
        <v>860.86</v>
      </c>
      <c r="M2340" s="18" t="s">
        <v>214</v>
      </c>
      <c r="N2340" s="20">
        <v>3105</v>
      </c>
      <c r="P2340" s="16">
        <f>VLOOKUP(A2340,'[3]Price info'!A:H,8,FALSE)</f>
        <v>860.86</v>
      </c>
      <c r="Q2340" s="17">
        <f t="shared" si="145"/>
        <v>1</v>
      </c>
      <c r="S2340" s="16" t="e">
        <f>VLOOKUP(A2340,[4]Sales!$E:$G,3,FALSE)</f>
        <v>#N/A</v>
      </c>
      <c r="T2340" s="19" t="e">
        <f>VLOOKUP(A2340,[4]Volume!$E:$G,3,FALSE)</f>
        <v>#N/A</v>
      </c>
      <c r="U2340" s="19" t="e">
        <f>VLOOKUP(A2340,[4]Piece!$E:$G,3,FALSE)</f>
        <v>#N/A</v>
      </c>
      <c r="V2340" s="21" t="e">
        <f t="shared" si="146"/>
        <v>#N/A</v>
      </c>
      <c r="W2340" s="16" t="e">
        <f t="shared" si="147"/>
        <v>#N/A</v>
      </c>
    </row>
    <row r="2341" spans="1:23" hidden="1" x14ac:dyDescent="0.3">
      <c r="A2341" s="71" t="s">
        <v>4618</v>
      </c>
      <c r="B2341" s="71" t="s">
        <v>4618</v>
      </c>
      <c r="C2341" s="47" t="s">
        <v>33</v>
      </c>
      <c r="D2341" s="48" t="s">
        <v>34</v>
      </c>
      <c r="E2341" s="18" t="s">
        <v>4619</v>
      </c>
      <c r="F2341" s="24" t="str">
        <f t="shared" si="144"/>
        <v>PPG - S'GUARD CSF 585 SET WHITE     7000002200</v>
      </c>
      <c r="G2341" s="20" t="s">
        <v>7211</v>
      </c>
      <c r="H2341" s="49" t="s">
        <v>213</v>
      </c>
      <c r="I2341" s="18" t="s">
        <v>37</v>
      </c>
      <c r="J2341" s="18" t="s">
        <v>38</v>
      </c>
      <c r="K2341" t="s">
        <v>39</v>
      </c>
      <c r="L2341" s="50">
        <f>VLOOKUP(A2341,'[3]Price info'!A:D,4,FALSE)</f>
        <v>860.86</v>
      </c>
      <c r="M2341" s="18" t="s">
        <v>214</v>
      </c>
      <c r="N2341" s="20">
        <v>3105</v>
      </c>
      <c r="P2341" s="16">
        <f>VLOOKUP(A2341,'[3]Price info'!A:H,8,FALSE)</f>
        <v>860.86</v>
      </c>
      <c r="Q2341" s="17">
        <f t="shared" si="145"/>
        <v>1</v>
      </c>
      <c r="S2341" s="16" t="e">
        <f>VLOOKUP(A2341,[4]Sales!$E:$G,3,FALSE)</f>
        <v>#N/A</v>
      </c>
      <c r="T2341" s="19" t="e">
        <f>VLOOKUP(A2341,[4]Volume!$E:$G,3,FALSE)</f>
        <v>#N/A</v>
      </c>
      <c r="U2341" s="19" t="e">
        <f>VLOOKUP(A2341,[4]Piece!$E:$G,3,FALSE)</f>
        <v>#N/A</v>
      </c>
      <c r="V2341" s="21" t="e">
        <f t="shared" si="146"/>
        <v>#N/A</v>
      </c>
      <c r="W2341" s="16" t="e">
        <f t="shared" si="147"/>
        <v>#N/A</v>
      </c>
    </row>
    <row r="2342" spans="1:23" hidden="1" x14ac:dyDescent="0.3">
      <c r="A2342" s="71" t="s">
        <v>4620</v>
      </c>
      <c r="B2342" s="71" t="s">
        <v>4620</v>
      </c>
      <c r="C2342" s="51" t="s">
        <v>33</v>
      </c>
      <c r="D2342" s="48" t="s">
        <v>34</v>
      </c>
      <c r="E2342" s="18" t="s">
        <v>4621</v>
      </c>
      <c r="F2342" s="24" t="str">
        <f t="shared" si="144"/>
        <v>PPG - S'GUARD CSF 650 SET GREEN     4000001400</v>
      </c>
      <c r="G2342" s="20" t="s">
        <v>7212</v>
      </c>
      <c r="H2342" s="49" t="s">
        <v>213</v>
      </c>
      <c r="I2342" s="18" t="s">
        <v>37</v>
      </c>
      <c r="J2342" s="18" t="s">
        <v>38</v>
      </c>
      <c r="K2342" t="s">
        <v>39</v>
      </c>
      <c r="L2342" s="50">
        <f>VLOOKUP(A2342,'[3]Price info'!A:D,4,FALSE)</f>
        <v>194.68</v>
      </c>
      <c r="M2342" s="18" t="s">
        <v>214</v>
      </c>
      <c r="N2342" s="20">
        <v>3105</v>
      </c>
      <c r="P2342" s="16">
        <f>VLOOKUP(A2342,'[3]Price info'!A:H,8,FALSE)</f>
        <v>194.68</v>
      </c>
      <c r="Q2342" s="17">
        <f t="shared" si="145"/>
        <v>1</v>
      </c>
      <c r="S2342" s="16" t="e">
        <f>VLOOKUP(A2342,[4]Sales!$E:$G,3,FALSE)</f>
        <v>#N/A</v>
      </c>
      <c r="T2342" s="19" t="e">
        <f>VLOOKUP(A2342,[4]Volume!$E:$G,3,FALSE)</f>
        <v>#N/A</v>
      </c>
      <c r="U2342" s="19" t="e">
        <f>VLOOKUP(A2342,[4]Piece!$E:$G,3,FALSE)</f>
        <v>#N/A</v>
      </c>
      <c r="V2342" s="21" t="e">
        <f t="shared" si="146"/>
        <v>#N/A</v>
      </c>
      <c r="W2342" s="16" t="e">
        <f t="shared" si="147"/>
        <v>#N/A</v>
      </c>
    </row>
    <row r="2343" spans="1:23" hidden="1" x14ac:dyDescent="0.3">
      <c r="A2343" s="71" t="s">
        <v>4622</v>
      </c>
      <c r="B2343" s="71" t="s">
        <v>4622</v>
      </c>
      <c r="C2343" s="47" t="s">
        <v>33</v>
      </c>
      <c r="D2343" s="48" t="s">
        <v>34</v>
      </c>
      <c r="E2343" s="18" t="s">
        <v>4623</v>
      </c>
      <c r="F2343" s="24" t="str">
        <f t="shared" si="144"/>
        <v>PPG - S'GUARD CSF 650 SET GREEN     4000002200</v>
      </c>
      <c r="G2343" s="20" t="s">
        <v>7213</v>
      </c>
      <c r="H2343" s="49" t="s">
        <v>213</v>
      </c>
      <c r="I2343" s="18" t="s">
        <v>37</v>
      </c>
      <c r="J2343" s="18" t="s">
        <v>38</v>
      </c>
      <c r="K2343" t="s">
        <v>39</v>
      </c>
      <c r="L2343" s="50">
        <f>VLOOKUP(A2343,'[3]Price info'!A:D,4,FALSE)</f>
        <v>871.69</v>
      </c>
      <c r="M2343" s="18" t="s">
        <v>214</v>
      </c>
      <c r="N2343" s="20">
        <v>3105</v>
      </c>
      <c r="P2343" s="16">
        <f>VLOOKUP(A2343,'[3]Price info'!A:H,8,FALSE)</f>
        <v>871.69</v>
      </c>
      <c r="Q2343" s="17">
        <f t="shared" si="145"/>
        <v>1</v>
      </c>
      <c r="S2343" s="16" t="e">
        <f>VLOOKUP(A2343,[4]Sales!$E:$G,3,FALSE)</f>
        <v>#N/A</v>
      </c>
      <c r="T2343" s="19" t="e">
        <f>VLOOKUP(A2343,[4]Volume!$E:$G,3,FALSE)</f>
        <v>#N/A</v>
      </c>
      <c r="U2343" s="19" t="e">
        <f>VLOOKUP(A2343,[4]Piece!$E:$G,3,FALSE)</f>
        <v>#N/A</v>
      </c>
      <c r="V2343" s="21" t="e">
        <f t="shared" si="146"/>
        <v>#N/A</v>
      </c>
      <c r="W2343" s="16" t="e">
        <f t="shared" si="147"/>
        <v>#N/A</v>
      </c>
    </row>
    <row r="2344" spans="1:23" hidden="1" x14ac:dyDescent="0.3">
      <c r="A2344" s="71" t="s">
        <v>4624</v>
      </c>
      <c r="B2344" s="71" t="s">
        <v>4624</v>
      </c>
      <c r="C2344" s="47" t="s">
        <v>33</v>
      </c>
      <c r="D2344" s="48" t="s">
        <v>34</v>
      </c>
      <c r="E2344" s="18" t="s">
        <v>4625</v>
      </c>
      <c r="F2344" s="24" t="str">
        <f t="shared" si="144"/>
        <v>PPG - S'GUARD CSF 650 SET OFFWHITE  7001002200</v>
      </c>
      <c r="G2344" s="20" t="s">
        <v>7214</v>
      </c>
      <c r="H2344" s="49" t="s">
        <v>213</v>
      </c>
      <c r="I2344" s="18" t="s">
        <v>37</v>
      </c>
      <c r="J2344" s="18" t="s">
        <v>38</v>
      </c>
      <c r="K2344" t="s">
        <v>39</v>
      </c>
      <c r="L2344" s="50">
        <f>VLOOKUP(A2344,'[3]Price info'!A:D,4,FALSE)</f>
        <v>860.86</v>
      </c>
      <c r="M2344" s="18" t="s">
        <v>214</v>
      </c>
      <c r="N2344" s="20">
        <v>3105</v>
      </c>
      <c r="P2344" s="16">
        <f>VLOOKUP(A2344,'[3]Price info'!A:H,8,FALSE)</f>
        <v>860.86</v>
      </c>
      <c r="Q2344" s="17">
        <f t="shared" si="145"/>
        <v>1</v>
      </c>
      <c r="S2344" s="16" t="e">
        <f>VLOOKUP(A2344,[4]Sales!$E:$G,3,FALSE)</f>
        <v>#N/A</v>
      </c>
      <c r="T2344" s="19" t="e">
        <f>VLOOKUP(A2344,[4]Volume!$E:$G,3,FALSE)</f>
        <v>#N/A</v>
      </c>
      <c r="U2344" s="19" t="e">
        <f>VLOOKUP(A2344,[4]Piece!$E:$G,3,FALSE)</f>
        <v>#N/A</v>
      </c>
      <c r="V2344" s="21" t="e">
        <f t="shared" si="146"/>
        <v>#N/A</v>
      </c>
      <c r="W2344" s="16" t="e">
        <f t="shared" si="147"/>
        <v>#N/A</v>
      </c>
    </row>
    <row r="2345" spans="1:23" hidden="1" x14ac:dyDescent="0.3">
      <c r="A2345" s="71" t="s">
        <v>4626</v>
      </c>
      <c r="B2345" s="71" t="s">
        <v>4626</v>
      </c>
      <c r="C2345" s="51" t="s">
        <v>33</v>
      </c>
      <c r="D2345" s="48" t="s">
        <v>34</v>
      </c>
      <c r="E2345" s="18" t="s">
        <v>4627</v>
      </c>
      <c r="F2345" s="24" t="str">
        <f t="shared" si="144"/>
        <v>PPG - S'LINE 2000 SET REDBROWN      2008002200</v>
      </c>
      <c r="G2345" s="20" t="s">
        <v>7215</v>
      </c>
      <c r="H2345" s="49" t="s">
        <v>213</v>
      </c>
      <c r="I2345" s="18" t="s">
        <v>37</v>
      </c>
      <c r="J2345" s="18" t="s">
        <v>38</v>
      </c>
      <c r="K2345" t="s">
        <v>39</v>
      </c>
      <c r="L2345" s="50">
        <f>VLOOKUP(A2345,'[3]Price info'!A:D,4,FALSE)</f>
        <v>1011.85</v>
      </c>
      <c r="M2345" s="18" t="s">
        <v>214</v>
      </c>
      <c r="N2345" s="20">
        <v>3105</v>
      </c>
      <c r="P2345" s="16">
        <f>VLOOKUP(A2345,'[3]Price info'!A:H,8,FALSE)</f>
        <v>1011.85</v>
      </c>
      <c r="Q2345" s="17">
        <f t="shared" si="145"/>
        <v>1</v>
      </c>
      <c r="S2345" s="16" t="e">
        <f>VLOOKUP(A2345,[4]Sales!$E:$G,3,FALSE)</f>
        <v>#N/A</v>
      </c>
      <c r="T2345" s="19" t="e">
        <f>VLOOKUP(A2345,[4]Volume!$E:$G,3,FALSE)</f>
        <v>#N/A</v>
      </c>
      <c r="U2345" s="19" t="e">
        <f>VLOOKUP(A2345,[4]Piece!$E:$G,3,FALSE)</f>
        <v>#N/A</v>
      </c>
      <c r="V2345" s="21" t="e">
        <f t="shared" si="146"/>
        <v>#N/A</v>
      </c>
      <c r="W2345" s="16" t="e">
        <f t="shared" si="147"/>
        <v>#N/A</v>
      </c>
    </row>
    <row r="2346" spans="1:23" hidden="1" x14ac:dyDescent="0.3">
      <c r="A2346" s="71" t="s">
        <v>4628</v>
      </c>
      <c r="B2346" s="71" t="s">
        <v>4628</v>
      </c>
      <c r="C2346" s="47" t="s">
        <v>33</v>
      </c>
      <c r="D2346" s="48" t="s">
        <v>34</v>
      </c>
      <c r="E2346" s="18" t="s">
        <v>4629</v>
      </c>
      <c r="F2346" s="24" t="str">
        <f t="shared" si="144"/>
        <v>PPG - S'PRIME 200 SET GREY          9515052200</v>
      </c>
      <c r="G2346" s="20" t="s">
        <v>7216</v>
      </c>
      <c r="H2346" s="49" t="s">
        <v>213</v>
      </c>
      <c r="I2346" s="18" t="s">
        <v>37</v>
      </c>
      <c r="J2346" s="18" t="s">
        <v>38</v>
      </c>
      <c r="K2346" t="s">
        <v>39</v>
      </c>
      <c r="L2346" s="50">
        <f>VLOOKUP(A2346,'[3]Price info'!A:D,4,FALSE)</f>
        <v>492.25</v>
      </c>
      <c r="M2346" s="18" t="s">
        <v>214</v>
      </c>
      <c r="N2346" s="20">
        <v>3105</v>
      </c>
      <c r="P2346" s="16">
        <f>VLOOKUP(A2346,'[3]Price info'!A:H,8,FALSE)</f>
        <v>492.25</v>
      </c>
      <c r="Q2346" s="17">
        <f t="shared" si="145"/>
        <v>1</v>
      </c>
      <c r="S2346" s="16" t="e">
        <f>VLOOKUP(A2346,[4]Sales!$E:$G,3,FALSE)</f>
        <v>#N/A</v>
      </c>
      <c r="T2346" s="19" t="e">
        <f>VLOOKUP(A2346,[4]Volume!$E:$G,3,FALSE)</f>
        <v>#N/A</v>
      </c>
      <c r="U2346" s="19" t="e">
        <f>VLOOKUP(A2346,[4]Piece!$E:$G,3,FALSE)</f>
        <v>#N/A</v>
      </c>
      <c r="V2346" s="21" t="e">
        <f t="shared" si="146"/>
        <v>#N/A</v>
      </c>
      <c r="W2346" s="16" t="e">
        <f t="shared" si="147"/>
        <v>#N/A</v>
      </c>
    </row>
    <row r="2347" spans="1:23" hidden="1" x14ac:dyDescent="0.3">
      <c r="A2347" s="71" t="s">
        <v>4630</v>
      </c>
      <c r="B2347" s="71" t="s">
        <v>4630</v>
      </c>
      <c r="C2347" s="47" t="s">
        <v>33</v>
      </c>
      <c r="D2347" s="48" t="s">
        <v>34</v>
      </c>
      <c r="E2347" s="18" t="s">
        <v>4631</v>
      </c>
      <c r="F2347" s="24" t="str">
        <f t="shared" si="144"/>
        <v>PPG - S'PRIME 200 SET YEL/GREEN     4009002200</v>
      </c>
      <c r="G2347" s="20" t="s">
        <v>7217</v>
      </c>
      <c r="H2347" s="49" t="s">
        <v>213</v>
      </c>
      <c r="I2347" s="18" t="s">
        <v>37</v>
      </c>
      <c r="J2347" s="18" t="s">
        <v>38</v>
      </c>
      <c r="K2347" t="s">
        <v>39</v>
      </c>
      <c r="L2347" s="50">
        <f>VLOOKUP(A2347,'[3]Price info'!A:D,4,FALSE)</f>
        <v>492.25</v>
      </c>
      <c r="M2347" s="18" t="s">
        <v>214</v>
      </c>
      <c r="N2347" s="20">
        <v>3105</v>
      </c>
      <c r="P2347" s="16">
        <f>VLOOKUP(A2347,'[3]Price info'!A:H,8,FALSE)</f>
        <v>492.25</v>
      </c>
      <c r="Q2347" s="17">
        <f t="shared" si="145"/>
        <v>1</v>
      </c>
      <c r="S2347" s="16" t="e">
        <f>VLOOKUP(A2347,[4]Sales!$E:$G,3,FALSE)</f>
        <v>#N/A</v>
      </c>
      <c r="T2347" s="19" t="e">
        <f>VLOOKUP(A2347,[4]Volume!$E:$G,3,FALSE)</f>
        <v>#N/A</v>
      </c>
      <c r="U2347" s="19" t="e">
        <f>VLOOKUP(A2347,[4]Piece!$E:$G,3,FALSE)</f>
        <v>#N/A</v>
      </c>
      <c r="V2347" s="21" t="e">
        <f t="shared" si="146"/>
        <v>#N/A</v>
      </c>
      <c r="W2347" s="16" t="e">
        <f t="shared" si="147"/>
        <v>#N/A</v>
      </c>
    </row>
    <row r="2348" spans="1:23" hidden="1" x14ac:dyDescent="0.3">
      <c r="A2348" s="71" t="s">
        <v>4632</v>
      </c>
      <c r="B2348" s="71" t="s">
        <v>4632</v>
      </c>
      <c r="C2348" s="51" t="s">
        <v>33</v>
      </c>
      <c r="D2348" s="48" t="s">
        <v>34</v>
      </c>
      <c r="E2348" s="18" t="s">
        <v>4633</v>
      </c>
      <c r="F2348" s="24" t="str">
        <f t="shared" si="144"/>
        <v>PPG - S'PRIME 700 SET GREY          5000002200</v>
      </c>
      <c r="G2348" s="20" t="s">
        <v>7218</v>
      </c>
      <c r="H2348" s="49" t="s">
        <v>213</v>
      </c>
      <c r="I2348" s="18" t="s">
        <v>37</v>
      </c>
      <c r="J2348" s="18" t="s">
        <v>38</v>
      </c>
      <c r="K2348" t="s">
        <v>39</v>
      </c>
      <c r="L2348" s="50">
        <f>VLOOKUP(A2348,'[3]Price info'!A:D,4,FALSE)</f>
        <v>515.61</v>
      </c>
      <c r="M2348" s="18" t="s">
        <v>214</v>
      </c>
      <c r="N2348" s="20">
        <v>3105</v>
      </c>
      <c r="P2348" s="16">
        <f>VLOOKUP(A2348,'[3]Price info'!A:H,8,FALSE)</f>
        <v>515.61</v>
      </c>
      <c r="Q2348" s="17">
        <f t="shared" si="145"/>
        <v>1</v>
      </c>
      <c r="S2348" s="16" t="e">
        <f>VLOOKUP(A2348,[4]Sales!$E:$G,3,FALSE)</f>
        <v>#N/A</v>
      </c>
      <c r="T2348" s="19" t="e">
        <f>VLOOKUP(A2348,[4]Volume!$E:$G,3,FALSE)</f>
        <v>#N/A</v>
      </c>
      <c r="U2348" s="19" t="e">
        <f>VLOOKUP(A2348,[4]Piece!$E:$G,3,FALSE)</f>
        <v>#N/A</v>
      </c>
      <c r="V2348" s="21" t="e">
        <f t="shared" si="146"/>
        <v>#N/A</v>
      </c>
      <c r="W2348" s="16" t="e">
        <f t="shared" si="147"/>
        <v>#N/A</v>
      </c>
    </row>
    <row r="2349" spans="1:23" hidden="1" x14ac:dyDescent="0.3">
      <c r="A2349" s="71" t="s">
        <v>4634</v>
      </c>
      <c r="B2349" s="71" t="s">
        <v>4634</v>
      </c>
      <c r="C2349" s="47" t="s">
        <v>33</v>
      </c>
      <c r="D2349" s="48" t="s">
        <v>34</v>
      </c>
      <c r="E2349" s="18" t="s">
        <v>4635</v>
      </c>
      <c r="F2349" s="24" t="str">
        <f t="shared" si="144"/>
        <v>PPG - S'PRIME 700 SET REDBROWN      2008002200</v>
      </c>
      <c r="G2349" s="20" t="s">
        <v>7219</v>
      </c>
      <c r="H2349" s="49" t="s">
        <v>213</v>
      </c>
      <c r="I2349" s="18" t="s">
        <v>37</v>
      </c>
      <c r="J2349" s="18" t="s">
        <v>38</v>
      </c>
      <c r="K2349" t="s">
        <v>39</v>
      </c>
      <c r="L2349" s="50">
        <f>VLOOKUP(A2349,'[3]Price info'!A:D,4,FALSE)</f>
        <v>515.61</v>
      </c>
      <c r="M2349" s="18" t="s">
        <v>214</v>
      </c>
      <c r="N2349" s="20">
        <v>3105</v>
      </c>
      <c r="P2349" s="16">
        <f>VLOOKUP(A2349,'[3]Price info'!A:H,8,FALSE)</f>
        <v>515.61</v>
      </c>
      <c r="Q2349" s="17">
        <f t="shared" si="145"/>
        <v>1</v>
      </c>
      <c r="S2349" s="16" t="e">
        <f>VLOOKUP(A2349,[4]Sales!$E:$G,3,FALSE)</f>
        <v>#N/A</v>
      </c>
      <c r="T2349" s="19" t="e">
        <f>VLOOKUP(A2349,[4]Volume!$E:$G,3,FALSE)</f>
        <v>#N/A</v>
      </c>
      <c r="U2349" s="19" t="e">
        <f>VLOOKUP(A2349,[4]Piece!$E:$G,3,FALSE)</f>
        <v>#N/A</v>
      </c>
      <c r="V2349" s="21" t="e">
        <f t="shared" si="146"/>
        <v>#N/A</v>
      </c>
      <c r="W2349" s="16" t="e">
        <f t="shared" si="147"/>
        <v>#N/A</v>
      </c>
    </row>
    <row r="2350" spans="1:23" hidden="1" x14ac:dyDescent="0.3">
      <c r="A2350" s="71" t="s">
        <v>4636</v>
      </c>
      <c r="B2350" s="71" t="s">
        <v>4636</v>
      </c>
      <c r="C2350" s="47" t="s">
        <v>33</v>
      </c>
      <c r="D2350" s="48" t="s">
        <v>34</v>
      </c>
      <c r="E2350" s="18" t="s">
        <v>4637</v>
      </c>
      <c r="F2350" s="24" t="str">
        <f t="shared" si="144"/>
        <v>PPG - S'RINE 35                     9553052200</v>
      </c>
      <c r="G2350" s="20" t="s">
        <v>7220</v>
      </c>
      <c r="H2350" s="49" t="s">
        <v>213</v>
      </c>
      <c r="I2350" s="18" t="s">
        <v>37</v>
      </c>
      <c r="J2350" s="18" t="s">
        <v>38</v>
      </c>
      <c r="K2350" t="s">
        <v>39</v>
      </c>
      <c r="L2350" s="50">
        <f>VLOOKUP(A2350,'[3]Price info'!A:D,4,FALSE)</f>
        <v>309.20999999999998</v>
      </c>
      <c r="M2350" s="18" t="s">
        <v>214</v>
      </c>
      <c r="N2350" s="20">
        <v>3105</v>
      </c>
      <c r="P2350" s="16">
        <f>VLOOKUP(A2350,'[3]Price info'!A:H,8,FALSE)</f>
        <v>309.20999999999998</v>
      </c>
      <c r="Q2350" s="17">
        <f t="shared" si="145"/>
        <v>1</v>
      </c>
      <c r="S2350" s="16" t="e">
        <f>VLOOKUP(A2350,[4]Sales!$E:$G,3,FALSE)</f>
        <v>#N/A</v>
      </c>
      <c r="T2350" s="19" t="e">
        <f>VLOOKUP(A2350,[4]Volume!$E:$G,3,FALSE)</f>
        <v>#N/A</v>
      </c>
      <c r="U2350" s="19" t="e">
        <f>VLOOKUP(A2350,[4]Piece!$E:$G,3,FALSE)</f>
        <v>#N/A</v>
      </c>
      <c r="V2350" s="21" t="e">
        <f t="shared" si="146"/>
        <v>#N/A</v>
      </c>
      <c r="W2350" s="16" t="e">
        <f t="shared" si="147"/>
        <v>#N/A</v>
      </c>
    </row>
    <row r="2351" spans="1:23" hidden="1" x14ac:dyDescent="0.3">
      <c r="A2351" s="71" t="s">
        <v>4638</v>
      </c>
      <c r="B2351" s="71" t="s">
        <v>4638</v>
      </c>
      <c r="C2351" s="51" t="s">
        <v>33</v>
      </c>
      <c r="D2351" s="48" t="s">
        <v>34</v>
      </c>
      <c r="E2351" s="18" t="s">
        <v>4639</v>
      </c>
      <c r="F2351" s="24" t="str">
        <f t="shared" si="144"/>
        <v>PPG - S'RINE 35                   955305EU1400</v>
      </c>
      <c r="G2351" s="20" t="s">
        <v>7221</v>
      </c>
      <c r="H2351" s="49" t="s">
        <v>213</v>
      </c>
      <c r="I2351" s="18" t="s">
        <v>37</v>
      </c>
      <c r="J2351" s="18" t="s">
        <v>38</v>
      </c>
      <c r="K2351" t="s">
        <v>39</v>
      </c>
      <c r="L2351" s="50">
        <f>VLOOKUP(A2351,'[3]Price info'!A:D,4,FALSE)</f>
        <v>69.47</v>
      </c>
      <c r="M2351" s="18" t="s">
        <v>214</v>
      </c>
      <c r="N2351" s="20">
        <v>3105</v>
      </c>
      <c r="P2351" s="16">
        <f>VLOOKUP(A2351,'[3]Price info'!A:H,8,FALSE)</f>
        <v>69.47</v>
      </c>
      <c r="Q2351" s="17">
        <f t="shared" si="145"/>
        <v>1</v>
      </c>
      <c r="S2351" s="16" t="e">
        <f>VLOOKUP(A2351,[4]Sales!$E:$G,3,FALSE)</f>
        <v>#N/A</v>
      </c>
      <c r="T2351" s="19" t="e">
        <f>VLOOKUP(A2351,[4]Volume!$E:$G,3,FALSE)</f>
        <v>#N/A</v>
      </c>
      <c r="U2351" s="19" t="e">
        <f>VLOOKUP(A2351,[4]Piece!$E:$G,3,FALSE)</f>
        <v>#N/A</v>
      </c>
      <c r="V2351" s="21" t="e">
        <f t="shared" si="146"/>
        <v>#N/A</v>
      </c>
      <c r="W2351" s="16" t="e">
        <f t="shared" si="147"/>
        <v>#N/A</v>
      </c>
    </row>
    <row r="2352" spans="1:23" hidden="1" x14ac:dyDescent="0.3">
      <c r="A2352" s="71" t="s">
        <v>4640</v>
      </c>
      <c r="B2352" s="71" t="s">
        <v>4640</v>
      </c>
      <c r="C2352" s="47" t="s">
        <v>33</v>
      </c>
      <c r="D2352" s="48" t="s">
        <v>34</v>
      </c>
      <c r="E2352" s="18" t="s">
        <v>4641</v>
      </c>
      <c r="F2352" s="24" t="str">
        <f t="shared" si="144"/>
        <v>PPG - S'RINE 35                   955805EU1400</v>
      </c>
      <c r="G2352" s="20" t="s">
        <v>7222</v>
      </c>
      <c r="H2352" s="49" t="s">
        <v>213</v>
      </c>
      <c r="I2352" s="18" t="s">
        <v>37</v>
      </c>
      <c r="J2352" s="18" t="s">
        <v>38</v>
      </c>
      <c r="K2352" t="s">
        <v>39</v>
      </c>
      <c r="L2352" s="50">
        <f>VLOOKUP(A2352,'[3]Price info'!A:D,4,FALSE)</f>
        <v>69.47</v>
      </c>
      <c r="M2352" s="18" t="s">
        <v>214</v>
      </c>
      <c r="N2352" s="20">
        <v>3105</v>
      </c>
      <c r="P2352" s="16">
        <f>VLOOKUP(A2352,'[3]Price info'!A:H,8,FALSE)</f>
        <v>69.47</v>
      </c>
      <c r="Q2352" s="17">
        <f t="shared" si="145"/>
        <v>1</v>
      </c>
      <c r="S2352" s="16" t="e">
        <f>VLOOKUP(A2352,[4]Sales!$E:$G,3,FALSE)</f>
        <v>#N/A</v>
      </c>
      <c r="T2352" s="19" t="e">
        <f>VLOOKUP(A2352,[4]Volume!$E:$G,3,FALSE)</f>
        <v>#N/A</v>
      </c>
      <c r="U2352" s="19" t="e">
        <f>VLOOKUP(A2352,[4]Piece!$E:$G,3,FALSE)</f>
        <v>#N/A</v>
      </c>
      <c r="V2352" s="21" t="e">
        <f t="shared" si="146"/>
        <v>#N/A</v>
      </c>
      <c r="W2352" s="16" t="e">
        <f t="shared" si="147"/>
        <v>#N/A</v>
      </c>
    </row>
    <row r="2353" spans="1:23" hidden="1" x14ac:dyDescent="0.3">
      <c r="A2353" s="71" t="s">
        <v>4642</v>
      </c>
      <c r="B2353" s="71" t="s">
        <v>4642</v>
      </c>
      <c r="C2353" s="47" t="s">
        <v>33</v>
      </c>
      <c r="D2353" s="48" t="s">
        <v>34</v>
      </c>
      <c r="E2353" s="18" t="s">
        <v>4643</v>
      </c>
      <c r="F2353" s="24" t="str">
        <f t="shared" si="144"/>
        <v>PPG - S'RINE 35                   955805EU2200</v>
      </c>
      <c r="G2353" s="20" t="s">
        <v>7223</v>
      </c>
      <c r="H2353" s="49" t="s">
        <v>213</v>
      </c>
      <c r="I2353" s="18" t="s">
        <v>37</v>
      </c>
      <c r="J2353" s="18" t="s">
        <v>38</v>
      </c>
      <c r="K2353" t="s">
        <v>39</v>
      </c>
      <c r="L2353" s="50">
        <f>VLOOKUP(A2353,'[3]Price info'!A:D,4,FALSE)</f>
        <v>340.13</v>
      </c>
      <c r="M2353" s="18" t="s">
        <v>214</v>
      </c>
      <c r="N2353" s="20">
        <v>3105</v>
      </c>
      <c r="P2353" s="16">
        <f>VLOOKUP(A2353,'[3]Price info'!A:H,8,FALSE)</f>
        <v>340.13</v>
      </c>
      <c r="Q2353" s="17">
        <f t="shared" si="145"/>
        <v>1</v>
      </c>
      <c r="S2353" s="16" t="e">
        <f>VLOOKUP(A2353,[4]Sales!$E:$G,3,FALSE)</f>
        <v>#N/A</v>
      </c>
      <c r="T2353" s="19" t="e">
        <f>VLOOKUP(A2353,[4]Volume!$E:$G,3,FALSE)</f>
        <v>#N/A</v>
      </c>
      <c r="U2353" s="19" t="e">
        <f>VLOOKUP(A2353,[4]Piece!$E:$G,3,FALSE)</f>
        <v>#N/A</v>
      </c>
      <c r="V2353" s="21" t="e">
        <f t="shared" si="146"/>
        <v>#N/A</v>
      </c>
      <c r="W2353" s="16" t="e">
        <f t="shared" si="147"/>
        <v>#N/A</v>
      </c>
    </row>
    <row r="2354" spans="1:23" hidden="1" x14ac:dyDescent="0.3">
      <c r="A2354" s="71" t="s">
        <v>4644</v>
      </c>
      <c r="B2354" s="71" t="s">
        <v>4644</v>
      </c>
      <c r="C2354" s="51" t="s">
        <v>33</v>
      </c>
      <c r="D2354" s="48" t="s">
        <v>34</v>
      </c>
      <c r="E2354" s="18" t="s">
        <v>4645</v>
      </c>
      <c r="F2354" s="24" t="str">
        <f t="shared" si="144"/>
        <v>PPG - S'RINE 35                   959005EU1400</v>
      </c>
      <c r="G2354" s="20" t="s">
        <v>7224</v>
      </c>
      <c r="H2354" s="49" t="s">
        <v>213</v>
      </c>
      <c r="I2354" s="18" t="s">
        <v>37</v>
      </c>
      <c r="J2354" s="18" t="s">
        <v>38</v>
      </c>
      <c r="K2354" t="s">
        <v>39</v>
      </c>
      <c r="L2354" s="50">
        <f>VLOOKUP(A2354,'[3]Price info'!A:D,4,FALSE)</f>
        <v>105.97</v>
      </c>
      <c r="M2354" s="18" t="s">
        <v>214</v>
      </c>
      <c r="N2354" s="20">
        <v>3105</v>
      </c>
      <c r="P2354" s="16">
        <f>VLOOKUP(A2354,'[3]Price info'!A:H,8,FALSE)</f>
        <v>105.97</v>
      </c>
      <c r="Q2354" s="17">
        <f t="shared" si="145"/>
        <v>1</v>
      </c>
      <c r="S2354" s="16" t="e">
        <f>VLOOKUP(A2354,[4]Sales!$E:$G,3,FALSE)</f>
        <v>#N/A</v>
      </c>
      <c r="T2354" s="19" t="e">
        <f>VLOOKUP(A2354,[4]Volume!$E:$G,3,FALSE)</f>
        <v>#N/A</v>
      </c>
      <c r="U2354" s="19" t="e">
        <f>VLOOKUP(A2354,[4]Piece!$E:$G,3,FALSE)</f>
        <v>#N/A</v>
      </c>
      <c r="V2354" s="21" t="e">
        <f t="shared" si="146"/>
        <v>#N/A</v>
      </c>
      <c r="W2354" s="16" t="e">
        <f t="shared" si="147"/>
        <v>#N/A</v>
      </c>
    </row>
    <row r="2355" spans="1:23" hidden="1" x14ac:dyDescent="0.3">
      <c r="A2355" s="71" t="s">
        <v>4646</v>
      </c>
      <c r="B2355" s="71" t="s">
        <v>4646</v>
      </c>
      <c r="C2355" s="47" t="s">
        <v>33</v>
      </c>
      <c r="D2355" s="48" t="s">
        <v>34</v>
      </c>
      <c r="E2355" s="18" t="s">
        <v>4647</v>
      </c>
      <c r="F2355" s="24" t="str">
        <f t="shared" si="144"/>
        <v>PPG - S'RINE 48 WHITE             700000EU1500</v>
      </c>
      <c r="G2355" s="20" t="s">
        <v>7225</v>
      </c>
      <c r="H2355" s="49" t="s">
        <v>213</v>
      </c>
      <c r="I2355" s="18" t="s">
        <v>37</v>
      </c>
      <c r="J2355" s="18" t="s">
        <v>38</v>
      </c>
      <c r="K2355" t="s">
        <v>39</v>
      </c>
      <c r="L2355" s="50">
        <f>VLOOKUP(A2355,'[3]Price info'!A:D,4,FALSE)</f>
        <v>95.08</v>
      </c>
      <c r="M2355" s="18" t="s">
        <v>214</v>
      </c>
      <c r="N2355" s="20">
        <v>3105</v>
      </c>
      <c r="P2355" s="16">
        <f>VLOOKUP(A2355,'[3]Price info'!A:H,8,FALSE)</f>
        <v>95.08</v>
      </c>
      <c r="Q2355" s="17">
        <f t="shared" si="145"/>
        <v>1</v>
      </c>
      <c r="S2355" s="16" t="e">
        <f>VLOOKUP(A2355,[4]Sales!$E:$G,3,FALSE)</f>
        <v>#N/A</v>
      </c>
      <c r="T2355" s="19" t="e">
        <f>VLOOKUP(A2355,[4]Volume!$E:$G,3,FALSE)</f>
        <v>#N/A</v>
      </c>
      <c r="U2355" s="19" t="e">
        <f>VLOOKUP(A2355,[4]Piece!$E:$G,3,FALSE)</f>
        <v>#N/A</v>
      </c>
      <c r="V2355" s="21" t="e">
        <f t="shared" si="146"/>
        <v>#N/A</v>
      </c>
      <c r="W2355" s="16" t="e">
        <f t="shared" si="147"/>
        <v>#N/A</v>
      </c>
    </row>
    <row r="2356" spans="1:23" hidden="1" x14ac:dyDescent="0.3">
      <c r="A2356" s="71" t="s">
        <v>4648</v>
      </c>
      <c r="B2356" s="71" t="s">
        <v>4648</v>
      </c>
      <c r="C2356" s="47" t="s">
        <v>33</v>
      </c>
      <c r="D2356" s="48" t="s">
        <v>34</v>
      </c>
      <c r="E2356" s="18" t="s">
        <v>4649</v>
      </c>
      <c r="F2356" s="24" t="str">
        <f t="shared" si="144"/>
        <v>PPG - S'RINE 48 WHITE             700000EU2200</v>
      </c>
      <c r="G2356" s="20" t="s">
        <v>7226</v>
      </c>
      <c r="H2356" s="49" t="s">
        <v>213</v>
      </c>
      <c r="I2356" s="18" t="s">
        <v>37</v>
      </c>
      <c r="J2356" s="18" t="s">
        <v>38</v>
      </c>
      <c r="K2356" t="s">
        <v>39</v>
      </c>
      <c r="L2356" s="50">
        <f>VLOOKUP(A2356,'[3]Price info'!A:D,4,FALSE)</f>
        <v>310.62</v>
      </c>
      <c r="M2356" s="18" t="s">
        <v>214</v>
      </c>
      <c r="N2356" s="20">
        <v>3105</v>
      </c>
      <c r="P2356" s="16">
        <f>VLOOKUP(A2356,'[3]Price info'!A:H,8,FALSE)</f>
        <v>310.62</v>
      </c>
      <c r="Q2356" s="17">
        <f t="shared" si="145"/>
        <v>1</v>
      </c>
      <c r="S2356" s="16" t="e">
        <f>VLOOKUP(A2356,[4]Sales!$E:$G,3,FALSE)</f>
        <v>#N/A</v>
      </c>
      <c r="T2356" s="19" t="e">
        <f>VLOOKUP(A2356,[4]Volume!$E:$G,3,FALSE)</f>
        <v>#N/A</v>
      </c>
      <c r="U2356" s="19" t="e">
        <f>VLOOKUP(A2356,[4]Piece!$E:$G,3,FALSE)</f>
        <v>#N/A</v>
      </c>
      <c r="V2356" s="21" t="e">
        <f t="shared" si="146"/>
        <v>#N/A</v>
      </c>
      <c r="W2356" s="16" t="e">
        <f t="shared" si="147"/>
        <v>#N/A</v>
      </c>
    </row>
    <row r="2357" spans="1:23" hidden="1" x14ac:dyDescent="0.3">
      <c r="A2357" s="71" t="s">
        <v>4650</v>
      </c>
      <c r="B2357" s="71" t="s">
        <v>4650</v>
      </c>
      <c r="C2357" s="51" t="s">
        <v>33</v>
      </c>
      <c r="D2357" s="48" t="s">
        <v>34</v>
      </c>
      <c r="E2357" s="18" t="s">
        <v>4651</v>
      </c>
      <c r="F2357" s="24" t="str">
        <f t="shared" si="144"/>
        <v>PPG - S'SHIELD 1200 SET BLACK       8000002200</v>
      </c>
      <c r="G2357" s="20" t="s">
        <v>7227</v>
      </c>
      <c r="H2357" s="49" t="s">
        <v>213</v>
      </c>
      <c r="I2357" s="18" t="s">
        <v>37</v>
      </c>
      <c r="J2357" s="18" t="s">
        <v>38</v>
      </c>
      <c r="K2357" t="s">
        <v>39</v>
      </c>
      <c r="L2357" s="50">
        <f>VLOOKUP(A2357,'[3]Price info'!A:D,4,FALSE)</f>
        <v>1113.82</v>
      </c>
      <c r="M2357" s="18" t="s">
        <v>214</v>
      </c>
      <c r="N2357" s="20">
        <v>3105</v>
      </c>
      <c r="P2357" s="16">
        <f>VLOOKUP(A2357,'[3]Price info'!A:H,8,FALSE)</f>
        <v>1113.82</v>
      </c>
      <c r="Q2357" s="17">
        <f t="shared" si="145"/>
        <v>1</v>
      </c>
      <c r="S2357" s="16" t="e">
        <f>VLOOKUP(A2357,[4]Sales!$E:$G,3,FALSE)</f>
        <v>#N/A</v>
      </c>
      <c r="T2357" s="19" t="e">
        <f>VLOOKUP(A2357,[4]Volume!$E:$G,3,FALSE)</f>
        <v>#N/A</v>
      </c>
      <c r="U2357" s="19" t="e">
        <f>VLOOKUP(A2357,[4]Piece!$E:$G,3,FALSE)</f>
        <v>#N/A</v>
      </c>
      <c r="V2357" s="21" t="e">
        <f t="shared" si="146"/>
        <v>#N/A</v>
      </c>
      <c r="W2357" s="16" t="e">
        <f t="shared" si="147"/>
        <v>#N/A</v>
      </c>
    </row>
    <row r="2358" spans="1:23" hidden="1" x14ac:dyDescent="0.3">
      <c r="A2358" s="71" t="s">
        <v>4652</v>
      </c>
      <c r="B2358" s="71" t="s">
        <v>4652</v>
      </c>
      <c r="C2358" s="47" t="s">
        <v>33</v>
      </c>
      <c r="D2358" s="48" t="s">
        <v>34</v>
      </c>
      <c r="E2358" s="18" t="s">
        <v>4653</v>
      </c>
      <c r="F2358" s="24" t="str">
        <f t="shared" si="144"/>
        <v>PPG - S'SHIELD 1200 SET GREY        5177052200</v>
      </c>
      <c r="G2358" s="20" t="s">
        <v>7228</v>
      </c>
      <c r="H2358" s="49" t="s">
        <v>213</v>
      </c>
      <c r="I2358" s="18" t="s">
        <v>37</v>
      </c>
      <c r="J2358" s="18" t="s">
        <v>38</v>
      </c>
      <c r="K2358" t="s">
        <v>39</v>
      </c>
      <c r="L2358" s="50">
        <f>VLOOKUP(A2358,'[3]Price info'!A:D,4,FALSE)</f>
        <v>1113.82</v>
      </c>
      <c r="M2358" s="18" t="s">
        <v>214</v>
      </c>
      <c r="N2358" s="20">
        <v>3105</v>
      </c>
      <c r="P2358" s="16">
        <f>VLOOKUP(A2358,'[3]Price info'!A:H,8,FALSE)</f>
        <v>1113.82</v>
      </c>
      <c r="Q2358" s="17">
        <f t="shared" si="145"/>
        <v>1</v>
      </c>
      <c r="S2358" s="16" t="e">
        <f>VLOOKUP(A2358,[4]Sales!$E:$G,3,FALSE)</f>
        <v>#N/A</v>
      </c>
      <c r="T2358" s="19" t="e">
        <f>VLOOKUP(A2358,[4]Volume!$E:$G,3,FALSE)</f>
        <v>#N/A</v>
      </c>
      <c r="U2358" s="19" t="e">
        <f>VLOOKUP(A2358,[4]Piece!$E:$G,3,FALSE)</f>
        <v>#N/A</v>
      </c>
      <c r="V2358" s="21" t="e">
        <f t="shared" si="146"/>
        <v>#N/A</v>
      </c>
      <c r="W2358" s="16" t="e">
        <f t="shared" si="147"/>
        <v>#N/A</v>
      </c>
    </row>
    <row r="2359" spans="1:23" hidden="1" x14ac:dyDescent="0.3">
      <c r="A2359" s="71" t="s">
        <v>4654</v>
      </c>
      <c r="B2359" s="71" t="s">
        <v>4654</v>
      </c>
      <c r="C2359" s="47" t="s">
        <v>33</v>
      </c>
      <c r="D2359" s="48" t="s">
        <v>34</v>
      </c>
      <c r="E2359" s="18" t="s">
        <v>4655</v>
      </c>
      <c r="F2359" s="24" t="str">
        <f t="shared" si="144"/>
        <v>PPG - S'SHIELD 400 SET BLACK        8000002200</v>
      </c>
      <c r="G2359" s="20" t="s">
        <v>7229</v>
      </c>
      <c r="H2359" s="49" t="s">
        <v>213</v>
      </c>
      <c r="I2359" s="18" t="s">
        <v>37</v>
      </c>
      <c r="J2359" s="18" t="s">
        <v>38</v>
      </c>
      <c r="K2359" t="s">
        <v>39</v>
      </c>
      <c r="L2359" s="50">
        <f>VLOOKUP(A2359,'[3]Price info'!A:D,4,FALSE)</f>
        <v>685.1</v>
      </c>
      <c r="M2359" s="18" t="s">
        <v>214</v>
      </c>
      <c r="N2359" s="20">
        <v>3105</v>
      </c>
      <c r="P2359" s="16">
        <f>VLOOKUP(A2359,'[3]Price info'!A:H,8,FALSE)</f>
        <v>685.1</v>
      </c>
      <c r="Q2359" s="17">
        <f t="shared" si="145"/>
        <v>1</v>
      </c>
      <c r="S2359" s="16" t="e">
        <f>VLOOKUP(A2359,[4]Sales!$E:$G,3,FALSE)</f>
        <v>#N/A</v>
      </c>
      <c r="T2359" s="19" t="e">
        <f>VLOOKUP(A2359,[4]Volume!$E:$G,3,FALSE)</f>
        <v>#N/A</v>
      </c>
      <c r="U2359" s="19" t="e">
        <f>VLOOKUP(A2359,[4]Piece!$E:$G,3,FALSE)</f>
        <v>#N/A</v>
      </c>
      <c r="V2359" s="21" t="e">
        <f t="shared" si="146"/>
        <v>#N/A</v>
      </c>
      <c r="W2359" s="16" t="e">
        <f t="shared" si="147"/>
        <v>#N/A</v>
      </c>
    </row>
    <row r="2360" spans="1:23" hidden="1" x14ac:dyDescent="0.3">
      <c r="A2360" s="71" t="s">
        <v>4656</v>
      </c>
      <c r="B2360" s="71" t="s">
        <v>4656</v>
      </c>
      <c r="C2360" s="51" t="s">
        <v>33</v>
      </c>
      <c r="D2360" s="48" t="s">
        <v>34</v>
      </c>
      <c r="E2360" s="18" t="s">
        <v>4657</v>
      </c>
      <c r="F2360" s="24" t="str">
        <f t="shared" si="144"/>
        <v>PPG - S'SHIELD 400 SET RAL          7035262200</v>
      </c>
      <c r="G2360" s="20" t="s">
        <v>7230</v>
      </c>
      <c r="H2360" s="49" t="s">
        <v>213</v>
      </c>
      <c r="I2360" s="18" t="s">
        <v>37</v>
      </c>
      <c r="J2360" s="18" t="s">
        <v>38</v>
      </c>
      <c r="K2360" t="s">
        <v>39</v>
      </c>
      <c r="L2360" s="50">
        <f>VLOOKUP(A2360,'[3]Price info'!A:D,4,FALSE)</f>
        <v>685.1</v>
      </c>
      <c r="M2360" s="18" t="s">
        <v>214</v>
      </c>
      <c r="N2360" s="20">
        <v>3105</v>
      </c>
      <c r="P2360" s="16">
        <f>VLOOKUP(A2360,'[3]Price info'!A:H,8,FALSE)</f>
        <v>685.1</v>
      </c>
      <c r="Q2360" s="17">
        <f t="shared" si="145"/>
        <v>1</v>
      </c>
      <c r="S2360" s="16" t="e">
        <f>VLOOKUP(A2360,[4]Sales!$E:$G,3,FALSE)</f>
        <v>#N/A</v>
      </c>
      <c r="T2360" s="19" t="e">
        <f>VLOOKUP(A2360,[4]Volume!$E:$G,3,FALSE)</f>
        <v>#N/A</v>
      </c>
      <c r="U2360" s="19" t="e">
        <f>VLOOKUP(A2360,[4]Piece!$E:$G,3,FALSE)</f>
        <v>#N/A</v>
      </c>
      <c r="V2360" s="21" t="e">
        <f t="shared" si="146"/>
        <v>#N/A</v>
      </c>
      <c r="W2360" s="16" t="e">
        <f t="shared" si="147"/>
        <v>#N/A</v>
      </c>
    </row>
    <row r="2361" spans="1:23" hidden="1" x14ac:dyDescent="0.3">
      <c r="A2361" s="71" t="s">
        <v>4658</v>
      </c>
      <c r="B2361" s="71" t="s">
        <v>4658</v>
      </c>
      <c r="C2361" s="47" t="s">
        <v>33</v>
      </c>
      <c r="D2361" s="48" t="s">
        <v>34</v>
      </c>
      <c r="E2361" s="18" t="s">
        <v>4659</v>
      </c>
      <c r="F2361" s="24" t="str">
        <f t="shared" si="144"/>
        <v>PPG - S'SHIELD 460 BAS RAL        703526EU2150</v>
      </c>
      <c r="G2361" s="20" t="s">
        <v>7231</v>
      </c>
      <c r="H2361" s="49" t="s">
        <v>213</v>
      </c>
      <c r="I2361" s="18" t="s">
        <v>37</v>
      </c>
      <c r="J2361" s="18" t="s">
        <v>38</v>
      </c>
      <c r="K2361" t="s">
        <v>39</v>
      </c>
      <c r="L2361" s="50">
        <f>VLOOKUP(A2361,'[3]Price info'!A:D,4,FALSE)</f>
        <v>428.28</v>
      </c>
      <c r="M2361" s="18" t="s">
        <v>214</v>
      </c>
      <c r="N2361" s="20">
        <v>3105</v>
      </c>
      <c r="P2361" s="16">
        <f>VLOOKUP(A2361,'[3]Price info'!A:H,8,FALSE)</f>
        <v>428.28</v>
      </c>
      <c r="Q2361" s="17">
        <f t="shared" si="145"/>
        <v>1</v>
      </c>
      <c r="S2361" s="16" t="e">
        <f>VLOOKUP(A2361,[4]Sales!$E:$G,3,FALSE)</f>
        <v>#N/A</v>
      </c>
      <c r="T2361" s="19" t="e">
        <f>VLOOKUP(A2361,[4]Volume!$E:$G,3,FALSE)</f>
        <v>#N/A</v>
      </c>
      <c r="U2361" s="19" t="e">
        <f>VLOOKUP(A2361,[4]Piece!$E:$G,3,FALSE)</f>
        <v>#N/A</v>
      </c>
      <c r="V2361" s="21" t="e">
        <f t="shared" si="146"/>
        <v>#N/A</v>
      </c>
      <c r="W2361" s="16" t="e">
        <f t="shared" si="147"/>
        <v>#N/A</v>
      </c>
    </row>
    <row r="2362" spans="1:23" hidden="1" x14ac:dyDescent="0.3">
      <c r="A2362" s="71" t="s">
        <v>4660</v>
      </c>
      <c r="B2362" s="71" t="s">
        <v>4660</v>
      </c>
      <c r="C2362" s="47" t="s">
        <v>33</v>
      </c>
      <c r="D2362" s="48" t="s">
        <v>34</v>
      </c>
      <c r="E2362" s="18" t="s">
        <v>4661</v>
      </c>
      <c r="F2362" s="24" t="str">
        <f t="shared" si="144"/>
        <v>PPG - S'SHIELD 460 SET BLACK        8000001400</v>
      </c>
      <c r="G2362" s="20" t="s">
        <v>7232</v>
      </c>
      <c r="H2362" s="49" t="s">
        <v>213</v>
      </c>
      <c r="I2362" s="18" t="s">
        <v>37</v>
      </c>
      <c r="J2362" s="18" t="s">
        <v>38</v>
      </c>
      <c r="K2362" t="s">
        <v>39</v>
      </c>
      <c r="L2362" s="50">
        <f>VLOOKUP(A2362,'[3]Price info'!A:D,4,FALSE)</f>
        <v>125.63</v>
      </c>
      <c r="M2362" s="18" t="s">
        <v>214</v>
      </c>
      <c r="N2362" s="20">
        <v>3105</v>
      </c>
      <c r="P2362" s="16">
        <f>VLOOKUP(A2362,'[3]Price info'!A:H,8,FALSE)</f>
        <v>125.63</v>
      </c>
      <c r="Q2362" s="17">
        <f t="shared" si="145"/>
        <v>1</v>
      </c>
      <c r="S2362" s="16" t="e">
        <f>VLOOKUP(A2362,[4]Sales!$E:$G,3,FALSE)</f>
        <v>#N/A</v>
      </c>
      <c r="T2362" s="19" t="e">
        <f>VLOOKUP(A2362,[4]Volume!$E:$G,3,FALSE)</f>
        <v>#N/A</v>
      </c>
      <c r="U2362" s="19" t="e">
        <f>VLOOKUP(A2362,[4]Piece!$E:$G,3,FALSE)</f>
        <v>#N/A</v>
      </c>
      <c r="V2362" s="21" t="e">
        <f t="shared" si="146"/>
        <v>#N/A</v>
      </c>
      <c r="W2362" s="16" t="e">
        <f t="shared" si="147"/>
        <v>#N/A</v>
      </c>
    </row>
    <row r="2363" spans="1:23" hidden="1" x14ac:dyDescent="0.3">
      <c r="A2363" s="71" t="s">
        <v>4662</v>
      </c>
      <c r="B2363" s="71" t="s">
        <v>4662</v>
      </c>
      <c r="C2363" s="51" t="s">
        <v>33</v>
      </c>
      <c r="D2363" s="48" t="s">
        <v>34</v>
      </c>
      <c r="E2363" s="18" t="s">
        <v>4663</v>
      </c>
      <c r="F2363" s="24" t="str">
        <f t="shared" si="144"/>
        <v>PPG - S'SHIELD 460 SET BLACK        8000002200</v>
      </c>
      <c r="G2363" s="20" t="s">
        <v>7233</v>
      </c>
      <c r="H2363" s="49" t="s">
        <v>213</v>
      </c>
      <c r="I2363" s="18" t="s">
        <v>37</v>
      </c>
      <c r="J2363" s="18" t="s">
        <v>38</v>
      </c>
      <c r="K2363" t="s">
        <v>39</v>
      </c>
      <c r="L2363" s="50">
        <f>VLOOKUP(A2363,'[3]Price info'!A:D,4,FALSE)</f>
        <v>628.12</v>
      </c>
      <c r="M2363" s="18" t="s">
        <v>214</v>
      </c>
      <c r="N2363" s="20">
        <v>3105</v>
      </c>
      <c r="P2363" s="16">
        <f>VLOOKUP(A2363,'[3]Price info'!A:H,8,FALSE)</f>
        <v>628.12</v>
      </c>
      <c r="Q2363" s="17">
        <f t="shared" si="145"/>
        <v>1</v>
      </c>
      <c r="S2363" s="16" t="e">
        <f>VLOOKUP(A2363,[4]Sales!$E:$G,3,FALSE)</f>
        <v>#N/A</v>
      </c>
      <c r="T2363" s="19" t="e">
        <f>VLOOKUP(A2363,[4]Volume!$E:$G,3,FALSE)</f>
        <v>#N/A</v>
      </c>
      <c r="U2363" s="19" t="e">
        <f>VLOOKUP(A2363,[4]Piece!$E:$G,3,FALSE)</f>
        <v>#N/A</v>
      </c>
      <c r="V2363" s="21" t="e">
        <f t="shared" si="146"/>
        <v>#N/A</v>
      </c>
      <c r="W2363" s="16" t="e">
        <f t="shared" si="147"/>
        <v>#N/A</v>
      </c>
    </row>
    <row r="2364" spans="1:23" hidden="1" x14ac:dyDescent="0.3">
      <c r="A2364" s="71" t="s">
        <v>4664</v>
      </c>
      <c r="B2364" s="71" t="s">
        <v>4664</v>
      </c>
      <c r="C2364" s="47" t="s">
        <v>33</v>
      </c>
      <c r="D2364" s="48" t="s">
        <v>34</v>
      </c>
      <c r="E2364" s="18" t="s">
        <v>4665</v>
      </c>
      <c r="F2364" s="24" t="str">
        <f t="shared" si="144"/>
        <v>PPG - S'SHIELD 460 SET OFFWHITE     7001002200</v>
      </c>
      <c r="G2364" s="20" t="s">
        <v>7234</v>
      </c>
      <c r="H2364" s="49" t="s">
        <v>213</v>
      </c>
      <c r="I2364" s="18" t="s">
        <v>37</v>
      </c>
      <c r="J2364" s="18" t="s">
        <v>38</v>
      </c>
      <c r="K2364" t="s">
        <v>39</v>
      </c>
      <c r="L2364" s="50">
        <f>VLOOKUP(A2364,'[3]Price info'!A:D,4,FALSE)</f>
        <v>628.12</v>
      </c>
      <c r="M2364" s="18" t="s">
        <v>214</v>
      </c>
      <c r="N2364" s="20">
        <v>3105</v>
      </c>
      <c r="P2364" s="16">
        <f>VLOOKUP(A2364,'[3]Price info'!A:H,8,FALSE)</f>
        <v>628.12</v>
      </c>
      <c r="Q2364" s="17">
        <f t="shared" si="145"/>
        <v>1</v>
      </c>
      <c r="S2364" s="16" t="e">
        <f>VLOOKUP(A2364,[4]Sales!$E:$G,3,FALSE)</f>
        <v>#N/A</v>
      </c>
      <c r="T2364" s="19" t="e">
        <f>VLOOKUP(A2364,[4]Volume!$E:$G,3,FALSE)</f>
        <v>#N/A</v>
      </c>
      <c r="U2364" s="19" t="e">
        <f>VLOOKUP(A2364,[4]Piece!$E:$G,3,FALSE)</f>
        <v>#N/A</v>
      </c>
      <c r="V2364" s="21" t="e">
        <f t="shared" si="146"/>
        <v>#N/A</v>
      </c>
      <c r="W2364" s="16" t="e">
        <f t="shared" si="147"/>
        <v>#N/A</v>
      </c>
    </row>
    <row r="2365" spans="1:23" hidden="1" x14ac:dyDescent="0.3">
      <c r="A2365" s="71" t="s">
        <v>4666</v>
      </c>
      <c r="B2365" s="71" t="s">
        <v>4666</v>
      </c>
      <c r="C2365" s="47" t="s">
        <v>33</v>
      </c>
      <c r="D2365" s="48" t="s">
        <v>34</v>
      </c>
      <c r="E2365" s="18" t="s">
        <v>4667</v>
      </c>
      <c r="F2365" s="24" t="str">
        <f t="shared" si="144"/>
        <v>PPG - S'SHIELD 880 GF SET BLACK     8000002200</v>
      </c>
      <c r="G2365" s="20" t="s">
        <v>7235</v>
      </c>
      <c r="H2365" s="49" t="s">
        <v>213</v>
      </c>
      <c r="I2365" s="18" t="s">
        <v>37</v>
      </c>
      <c r="J2365" s="18" t="s">
        <v>38</v>
      </c>
      <c r="K2365" t="s">
        <v>39</v>
      </c>
      <c r="L2365" s="50">
        <f>VLOOKUP(A2365,'[3]Price info'!A:D,4,FALSE)</f>
        <v>647.63</v>
      </c>
      <c r="M2365" s="18" t="s">
        <v>214</v>
      </c>
      <c r="N2365" s="20">
        <v>3105</v>
      </c>
      <c r="P2365" s="16">
        <f>VLOOKUP(A2365,'[3]Price info'!A:H,8,FALSE)</f>
        <v>647.63</v>
      </c>
      <c r="Q2365" s="17">
        <f t="shared" si="145"/>
        <v>1</v>
      </c>
      <c r="S2365" s="16" t="e">
        <f>VLOOKUP(A2365,[4]Sales!$E:$G,3,FALSE)</f>
        <v>#N/A</v>
      </c>
      <c r="T2365" s="19" t="e">
        <f>VLOOKUP(A2365,[4]Volume!$E:$G,3,FALSE)</f>
        <v>#N/A</v>
      </c>
      <c r="U2365" s="19" t="e">
        <f>VLOOKUP(A2365,[4]Piece!$E:$G,3,FALSE)</f>
        <v>#N/A</v>
      </c>
      <c r="V2365" s="21" t="e">
        <f t="shared" si="146"/>
        <v>#N/A</v>
      </c>
      <c r="W2365" s="16" t="e">
        <f t="shared" si="147"/>
        <v>#N/A</v>
      </c>
    </row>
    <row r="2366" spans="1:23" hidden="1" x14ac:dyDescent="0.3">
      <c r="A2366" s="71" t="s">
        <v>4668</v>
      </c>
      <c r="B2366" s="71" t="s">
        <v>4668</v>
      </c>
      <c r="C2366" s="51" t="s">
        <v>33</v>
      </c>
      <c r="D2366" s="48" t="s">
        <v>34</v>
      </c>
      <c r="E2366" s="18" t="s">
        <v>4669</v>
      </c>
      <c r="F2366" s="24" t="str">
        <f t="shared" si="144"/>
        <v>PPG - S'SHIELD 880 GF SET GREY      5177052200</v>
      </c>
      <c r="G2366" s="20" t="s">
        <v>7236</v>
      </c>
      <c r="H2366" s="49" t="s">
        <v>213</v>
      </c>
      <c r="I2366" s="18" t="s">
        <v>37</v>
      </c>
      <c r="J2366" s="18" t="s">
        <v>38</v>
      </c>
      <c r="K2366" t="s">
        <v>39</v>
      </c>
      <c r="L2366" s="50">
        <f>VLOOKUP(A2366,'[3]Price info'!A:D,4,FALSE)</f>
        <v>647.63</v>
      </c>
      <c r="M2366" s="18" t="s">
        <v>214</v>
      </c>
      <c r="N2366" s="20">
        <v>3105</v>
      </c>
      <c r="P2366" s="16">
        <f>VLOOKUP(A2366,'[3]Price info'!A:H,8,FALSE)</f>
        <v>647.63</v>
      </c>
      <c r="Q2366" s="17">
        <f t="shared" si="145"/>
        <v>1</v>
      </c>
      <c r="S2366" s="16" t="e">
        <f>VLOOKUP(A2366,[4]Sales!$E:$G,3,FALSE)</f>
        <v>#N/A</v>
      </c>
      <c r="T2366" s="19" t="e">
        <f>VLOOKUP(A2366,[4]Volume!$E:$G,3,FALSE)</f>
        <v>#N/A</v>
      </c>
      <c r="U2366" s="19" t="e">
        <f>VLOOKUP(A2366,[4]Piece!$E:$G,3,FALSE)</f>
        <v>#N/A</v>
      </c>
      <c r="V2366" s="21" t="e">
        <f t="shared" si="146"/>
        <v>#N/A</v>
      </c>
      <c r="W2366" s="16" t="e">
        <f t="shared" si="147"/>
        <v>#N/A</v>
      </c>
    </row>
    <row r="2367" spans="1:23" hidden="1" x14ac:dyDescent="0.3">
      <c r="A2367" s="71" t="s">
        <v>4670</v>
      </c>
      <c r="B2367" s="71" t="s">
        <v>4670</v>
      </c>
      <c r="C2367" s="47" t="s">
        <v>33</v>
      </c>
      <c r="D2367" s="48" t="s">
        <v>34</v>
      </c>
      <c r="E2367" s="18" t="s">
        <v>4671</v>
      </c>
      <c r="F2367" s="24" t="str">
        <f t="shared" si="144"/>
        <v>PPG - S'SHIELD 880 SET BLACK        8000001400</v>
      </c>
      <c r="G2367" s="20" t="s">
        <v>7237</v>
      </c>
      <c r="H2367" s="49" t="s">
        <v>213</v>
      </c>
      <c r="I2367" s="18" t="s">
        <v>37</v>
      </c>
      <c r="J2367" s="18" t="s">
        <v>38</v>
      </c>
      <c r="K2367" t="s">
        <v>39</v>
      </c>
      <c r="L2367" s="50">
        <f>VLOOKUP(A2367,'[3]Price info'!A:D,4,FALSE)</f>
        <v>94.55</v>
      </c>
      <c r="M2367" s="18" t="s">
        <v>214</v>
      </c>
      <c r="N2367" s="20">
        <v>3105</v>
      </c>
      <c r="P2367" s="16">
        <f>VLOOKUP(A2367,'[3]Price info'!A:H,8,FALSE)</f>
        <v>94.55</v>
      </c>
      <c r="Q2367" s="17">
        <f t="shared" si="145"/>
        <v>1</v>
      </c>
      <c r="S2367" s="16" t="e">
        <f>VLOOKUP(A2367,[4]Sales!$E:$G,3,FALSE)</f>
        <v>#N/A</v>
      </c>
      <c r="T2367" s="19" t="e">
        <f>VLOOKUP(A2367,[4]Volume!$E:$G,3,FALSE)</f>
        <v>#N/A</v>
      </c>
      <c r="U2367" s="19" t="e">
        <f>VLOOKUP(A2367,[4]Piece!$E:$G,3,FALSE)</f>
        <v>#N/A</v>
      </c>
      <c r="V2367" s="21" t="e">
        <f t="shared" si="146"/>
        <v>#N/A</v>
      </c>
      <c r="W2367" s="16" t="e">
        <f t="shared" si="147"/>
        <v>#N/A</v>
      </c>
    </row>
    <row r="2368" spans="1:23" hidden="1" x14ac:dyDescent="0.3">
      <c r="A2368" s="71" t="s">
        <v>4672</v>
      </c>
      <c r="B2368" s="71" t="s">
        <v>4672</v>
      </c>
      <c r="C2368" s="47" t="s">
        <v>33</v>
      </c>
      <c r="D2368" s="48" t="s">
        <v>34</v>
      </c>
      <c r="E2368" s="18" t="s">
        <v>4673</v>
      </c>
      <c r="F2368" s="24" t="str">
        <f t="shared" si="144"/>
        <v>PPG - S'SHIELD 880 SET BLACK        8000002200</v>
      </c>
      <c r="G2368" s="20" t="s">
        <v>7238</v>
      </c>
      <c r="H2368" s="49" t="s">
        <v>213</v>
      </c>
      <c r="I2368" s="18" t="s">
        <v>37</v>
      </c>
      <c r="J2368" s="18" t="s">
        <v>38</v>
      </c>
      <c r="K2368" t="s">
        <v>39</v>
      </c>
      <c r="L2368" s="50">
        <f>VLOOKUP(A2368,'[3]Price info'!A:D,4,FALSE)</f>
        <v>472.82</v>
      </c>
      <c r="M2368" s="18" t="s">
        <v>214</v>
      </c>
      <c r="N2368" s="20">
        <v>3105</v>
      </c>
      <c r="P2368" s="16">
        <f>VLOOKUP(A2368,'[3]Price info'!A:H,8,FALSE)</f>
        <v>472.82</v>
      </c>
      <c r="Q2368" s="17">
        <f t="shared" si="145"/>
        <v>1</v>
      </c>
      <c r="S2368" s="16" t="e">
        <f>VLOOKUP(A2368,[4]Sales!$E:$G,3,FALSE)</f>
        <v>#N/A</v>
      </c>
      <c r="T2368" s="19" t="e">
        <f>VLOOKUP(A2368,[4]Volume!$E:$G,3,FALSE)</f>
        <v>#N/A</v>
      </c>
      <c r="U2368" s="19" t="e">
        <f>VLOOKUP(A2368,[4]Piece!$E:$G,3,FALSE)</f>
        <v>#N/A</v>
      </c>
      <c r="V2368" s="21" t="e">
        <f t="shared" si="146"/>
        <v>#N/A</v>
      </c>
      <c r="W2368" s="16" t="e">
        <f t="shared" si="147"/>
        <v>#N/A</v>
      </c>
    </row>
    <row r="2369" spans="1:23" hidden="1" x14ac:dyDescent="0.3">
      <c r="A2369" s="71" t="s">
        <v>4674</v>
      </c>
      <c r="B2369" s="71" t="s">
        <v>4674</v>
      </c>
      <c r="C2369" s="51" t="s">
        <v>33</v>
      </c>
      <c r="D2369" s="48" t="s">
        <v>34</v>
      </c>
      <c r="E2369" s="18" t="s">
        <v>4675</v>
      </c>
      <c r="F2369" s="24" t="str">
        <f t="shared" si="144"/>
        <v>PPG - S'SHIELD 880 SET GREY         5177052200</v>
      </c>
      <c r="G2369" s="20" t="s">
        <v>7239</v>
      </c>
      <c r="H2369" s="49" t="s">
        <v>213</v>
      </c>
      <c r="I2369" s="18" t="s">
        <v>37</v>
      </c>
      <c r="J2369" s="18" t="s">
        <v>38</v>
      </c>
      <c r="K2369" t="s">
        <v>39</v>
      </c>
      <c r="L2369" s="50">
        <f>VLOOKUP(A2369,'[3]Price info'!A:D,4,FALSE)</f>
        <v>472.82</v>
      </c>
      <c r="M2369" s="18" t="s">
        <v>214</v>
      </c>
      <c r="N2369" s="20">
        <v>3105</v>
      </c>
      <c r="P2369" s="16">
        <f>VLOOKUP(A2369,'[3]Price info'!A:H,8,FALSE)</f>
        <v>472.82</v>
      </c>
      <c r="Q2369" s="17">
        <f t="shared" si="145"/>
        <v>1</v>
      </c>
      <c r="S2369" s="16" t="e">
        <f>VLOOKUP(A2369,[4]Sales!$E:$G,3,FALSE)</f>
        <v>#N/A</v>
      </c>
      <c r="T2369" s="19" t="e">
        <f>VLOOKUP(A2369,[4]Volume!$E:$G,3,FALSE)</f>
        <v>#N/A</v>
      </c>
      <c r="U2369" s="19" t="e">
        <f>VLOOKUP(A2369,[4]Piece!$E:$G,3,FALSE)</f>
        <v>#N/A</v>
      </c>
      <c r="V2369" s="21" t="e">
        <f t="shared" si="146"/>
        <v>#N/A</v>
      </c>
      <c r="W2369" s="16" t="e">
        <f t="shared" si="147"/>
        <v>#N/A</v>
      </c>
    </row>
    <row r="2370" spans="1:23" hidden="1" x14ac:dyDescent="0.3">
      <c r="A2370" s="71" t="s">
        <v>4676</v>
      </c>
      <c r="B2370" s="71" t="s">
        <v>4676</v>
      </c>
      <c r="C2370" s="47" t="s">
        <v>33</v>
      </c>
      <c r="D2370" s="48" t="s">
        <v>34</v>
      </c>
      <c r="E2370" s="18" t="s">
        <v>4677</v>
      </c>
      <c r="F2370" s="24" t="str">
        <f t="shared" si="144"/>
        <v>PPG - S'SHIELD 880 SET RAL          5015262200</v>
      </c>
      <c r="G2370" s="20" t="s">
        <v>7240</v>
      </c>
      <c r="H2370" s="49" t="s">
        <v>213</v>
      </c>
      <c r="I2370" s="18" t="s">
        <v>37</v>
      </c>
      <c r="J2370" s="18" t="s">
        <v>38</v>
      </c>
      <c r="K2370" t="s">
        <v>39</v>
      </c>
      <c r="L2370" s="50">
        <f>VLOOKUP(A2370,'[3]Price info'!A:D,4,FALSE)</f>
        <v>431.8</v>
      </c>
      <c r="M2370" s="18" t="s">
        <v>214</v>
      </c>
      <c r="N2370" s="20">
        <v>3105</v>
      </c>
      <c r="P2370" s="16">
        <f>VLOOKUP(A2370,'[3]Price info'!A:H,8,FALSE)</f>
        <v>431.8</v>
      </c>
      <c r="Q2370" s="17">
        <f t="shared" si="145"/>
        <v>1</v>
      </c>
      <c r="S2370" s="16" t="e">
        <f>VLOOKUP(A2370,[4]Sales!$E:$G,3,FALSE)</f>
        <v>#N/A</v>
      </c>
      <c r="T2370" s="19" t="e">
        <f>VLOOKUP(A2370,[4]Volume!$E:$G,3,FALSE)</f>
        <v>#N/A</v>
      </c>
      <c r="U2370" s="19" t="e">
        <f>VLOOKUP(A2370,[4]Piece!$E:$G,3,FALSE)</f>
        <v>#N/A</v>
      </c>
      <c r="V2370" s="21" t="e">
        <f t="shared" si="146"/>
        <v>#N/A</v>
      </c>
      <c r="W2370" s="16" t="e">
        <f t="shared" si="147"/>
        <v>#N/A</v>
      </c>
    </row>
    <row r="2371" spans="1:23" hidden="1" x14ac:dyDescent="0.3">
      <c r="A2371" s="71" t="s">
        <v>4678</v>
      </c>
      <c r="B2371" s="71" t="s">
        <v>4678</v>
      </c>
      <c r="C2371" s="47" t="s">
        <v>33</v>
      </c>
      <c r="D2371" s="48" t="s">
        <v>34</v>
      </c>
      <c r="E2371" s="18" t="s">
        <v>4679</v>
      </c>
      <c r="F2371" s="24" t="str">
        <f t="shared" ref="F2371:F2434" si="148">D2371&amp;" - "&amp;E2371</f>
        <v>PPG - STEELGUARD 564 WHITE          3000AM3200</v>
      </c>
      <c r="G2371" s="20" t="s">
        <v>7241</v>
      </c>
      <c r="H2371" s="49" t="s">
        <v>213</v>
      </c>
      <c r="I2371" s="18" t="s">
        <v>37</v>
      </c>
      <c r="J2371" s="18" t="s">
        <v>38</v>
      </c>
      <c r="K2371" t="s">
        <v>39</v>
      </c>
      <c r="L2371" s="50">
        <f>VLOOKUP(A2371,'[3]Price info'!A:D,4,FALSE)</f>
        <v>7156.73</v>
      </c>
      <c r="M2371" s="18" t="s">
        <v>214</v>
      </c>
      <c r="N2371" s="20">
        <v>3105</v>
      </c>
      <c r="P2371" s="16">
        <f>VLOOKUP(A2371,'[3]Price info'!A:H,8,FALSE)</f>
        <v>7156.73</v>
      </c>
      <c r="Q2371" s="17">
        <f t="shared" ref="Q2371:Q2434" si="149">P2371/L2371</f>
        <v>1</v>
      </c>
      <c r="S2371" s="16" t="e">
        <f>VLOOKUP(A2371,[4]Sales!$E:$G,3,FALSE)</f>
        <v>#N/A</v>
      </c>
      <c r="T2371" s="19" t="e">
        <f>VLOOKUP(A2371,[4]Volume!$E:$G,3,FALSE)</f>
        <v>#N/A</v>
      </c>
      <c r="U2371" s="19" t="e">
        <f>VLOOKUP(A2371,[4]Piece!$E:$G,3,FALSE)</f>
        <v>#N/A</v>
      </c>
      <c r="V2371" s="21" t="e">
        <f t="shared" ref="V2371:V2434" si="150">U2371*P2371</f>
        <v>#N/A</v>
      </c>
      <c r="W2371" s="16" t="e">
        <f t="shared" ref="W2371:W2434" si="151">V2371-S2371</f>
        <v>#N/A</v>
      </c>
    </row>
    <row r="2372" spans="1:23" hidden="1" x14ac:dyDescent="0.3">
      <c r="A2372" s="71" t="s">
        <v>4680</v>
      </c>
      <c r="B2372" s="71" t="s">
        <v>4680</v>
      </c>
      <c r="C2372" s="51" t="s">
        <v>33</v>
      </c>
      <c r="D2372" s="48" t="s">
        <v>34</v>
      </c>
      <c r="E2372" s="18" t="s">
        <v>4681</v>
      </c>
      <c r="F2372" s="24" t="str">
        <f t="shared" si="148"/>
        <v>PPG - STEELGUARD 564 WHITE        3000AMEU2200</v>
      </c>
      <c r="G2372" s="20" t="s">
        <v>7242</v>
      </c>
      <c r="H2372" s="49" t="s">
        <v>213</v>
      </c>
      <c r="I2372" s="18" t="s">
        <v>37</v>
      </c>
      <c r="J2372" s="18" t="s">
        <v>38</v>
      </c>
      <c r="K2372" t="s">
        <v>39</v>
      </c>
      <c r="L2372" s="50">
        <f>VLOOKUP(A2372,'[3]Price info'!A:D,4,FALSE)</f>
        <v>798.92</v>
      </c>
      <c r="M2372" s="18" t="s">
        <v>214</v>
      </c>
      <c r="N2372" s="20">
        <v>3105</v>
      </c>
      <c r="P2372" s="16">
        <f>VLOOKUP(A2372,'[3]Price info'!A:H,8,FALSE)</f>
        <v>798.92</v>
      </c>
      <c r="Q2372" s="17">
        <f t="shared" si="149"/>
        <v>1</v>
      </c>
      <c r="S2372" s="16" t="e">
        <f>VLOOKUP(A2372,[4]Sales!$E:$G,3,FALSE)</f>
        <v>#N/A</v>
      </c>
      <c r="T2372" s="19" t="e">
        <f>VLOOKUP(A2372,[4]Volume!$E:$G,3,FALSE)</f>
        <v>#N/A</v>
      </c>
      <c r="U2372" s="19" t="e">
        <f>VLOOKUP(A2372,[4]Piece!$E:$G,3,FALSE)</f>
        <v>#N/A</v>
      </c>
      <c r="V2372" s="21" t="e">
        <f t="shared" si="150"/>
        <v>#N/A</v>
      </c>
      <c r="W2372" s="16" t="e">
        <f t="shared" si="151"/>
        <v>#N/A</v>
      </c>
    </row>
    <row r="2373" spans="1:23" hidden="1" x14ac:dyDescent="0.3">
      <c r="A2373" s="71" t="s">
        <v>4682</v>
      </c>
      <c r="B2373" s="71" t="s">
        <v>4682</v>
      </c>
      <c r="C2373" s="47" t="s">
        <v>33</v>
      </c>
      <c r="D2373" s="48" t="s">
        <v>34</v>
      </c>
      <c r="E2373" s="18" t="s">
        <v>4683</v>
      </c>
      <c r="F2373" s="24" t="str">
        <f t="shared" si="148"/>
        <v>PPG - STEELGUARD 581 WHITE          3000AM2200</v>
      </c>
      <c r="G2373" s="20" t="s">
        <v>7243</v>
      </c>
      <c r="H2373" s="49" t="s">
        <v>213</v>
      </c>
      <c r="I2373" s="18" t="s">
        <v>37</v>
      </c>
      <c r="J2373" s="18" t="s">
        <v>38</v>
      </c>
      <c r="K2373" t="s">
        <v>39</v>
      </c>
      <c r="L2373" s="50">
        <f>VLOOKUP(A2373,'[3]Price info'!A:D,4,FALSE)</f>
        <v>444.86</v>
      </c>
      <c r="M2373" s="18" t="s">
        <v>214</v>
      </c>
      <c r="N2373" s="20">
        <v>3105</v>
      </c>
      <c r="P2373" s="16">
        <f>VLOOKUP(A2373,'[3]Price info'!A:H,8,FALSE)</f>
        <v>444.86</v>
      </c>
      <c r="Q2373" s="17">
        <f t="shared" si="149"/>
        <v>1</v>
      </c>
      <c r="S2373" s="16" t="e">
        <f>VLOOKUP(A2373,[4]Sales!$E:$G,3,FALSE)</f>
        <v>#N/A</v>
      </c>
      <c r="T2373" s="19" t="e">
        <f>VLOOKUP(A2373,[4]Volume!$E:$G,3,FALSE)</f>
        <v>#N/A</v>
      </c>
      <c r="U2373" s="19" t="e">
        <f>VLOOKUP(A2373,[4]Piece!$E:$G,3,FALSE)</f>
        <v>#N/A</v>
      </c>
      <c r="V2373" s="21" t="e">
        <f t="shared" si="150"/>
        <v>#N/A</v>
      </c>
      <c r="W2373" s="16" t="e">
        <f t="shared" si="151"/>
        <v>#N/A</v>
      </c>
    </row>
    <row r="2374" spans="1:23" hidden="1" x14ac:dyDescent="0.3">
      <c r="A2374" s="71" t="s">
        <v>4684</v>
      </c>
      <c r="B2374" s="71" t="s">
        <v>4684</v>
      </c>
      <c r="C2374" s="47" t="s">
        <v>33</v>
      </c>
      <c r="D2374" s="48" t="s">
        <v>34</v>
      </c>
      <c r="E2374" s="18" t="s">
        <v>4685</v>
      </c>
      <c r="F2374" s="24" t="str">
        <f t="shared" si="148"/>
        <v>PPG - STEELGUARD 651 WHITE        3000AMEU2200</v>
      </c>
      <c r="G2374" s="20" t="s">
        <v>7244</v>
      </c>
      <c r="H2374" s="49" t="s">
        <v>213</v>
      </c>
      <c r="I2374" s="18" t="s">
        <v>37</v>
      </c>
      <c r="J2374" s="18" t="s">
        <v>38</v>
      </c>
      <c r="K2374" t="s">
        <v>39</v>
      </c>
      <c r="L2374" s="50">
        <f>VLOOKUP(A2374,'[3]Price info'!A:D,4,FALSE)</f>
        <v>487.12</v>
      </c>
      <c r="M2374" s="18" t="s">
        <v>214</v>
      </c>
      <c r="N2374" s="20">
        <v>3105</v>
      </c>
      <c r="P2374" s="16">
        <f>VLOOKUP(A2374,'[3]Price info'!A:H,8,FALSE)</f>
        <v>487.12</v>
      </c>
      <c r="Q2374" s="17">
        <f t="shared" si="149"/>
        <v>1</v>
      </c>
      <c r="S2374" s="16" t="e">
        <f>VLOOKUP(A2374,[4]Sales!$E:$G,3,FALSE)</f>
        <v>#N/A</v>
      </c>
      <c r="T2374" s="19" t="e">
        <f>VLOOKUP(A2374,[4]Volume!$E:$G,3,FALSE)</f>
        <v>#N/A</v>
      </c>
      <c r="U2374" s="19" t="e">
        <f>VLOOKUP(A2374,[4]Piece!$E:$G,3,FALSE)</f>
        <v>#N/A</v>
      </c>
      <c r="V2374" s="21" t="e">
        <f t="shared" si="150"/>
        <v>#N/A</v>
      </c>
      <c r="W2374" s="16" t="e">
        <f t="shared" si="151"/>
        <v>#N/A</v>
      </c>
    </row>
    <row r="2375" spans="1:23" hidden="1" x14ac:dyDescent="0.3">
      <c r="A2375" s="71" t="s">
        <v>4686</v>
      </c>
      <c r="B2375" s="71" t="s">
        <v>4686</v>
      </c>
      <c r="C2375" s="51" t="s">
        <v>33</v>
      </c>
      <c r="D2375" s="48" t="s">
        <v>34</v>
      </c>
      <c r="E2375" s="18" t="s">
        <v>4687</v>
      </c>
      <c r="F2375" s="24" t="str">
        <f t="shared" si="148"/>
        <v>PPG - STEELGUARD 701 WHITE        3000AMEU2200</v>
      </c>
      <c r="G2375" s="20" t="s">
        <v>7245</v>
      </c>
      <c r="H2375" s="49" t="s">
        <v>213</v>
      </c>
      <c r="I2375" s="18" t="s">
        <v>37</v>
      </c>
      <c r="J2375" s="18" t="s">
        <v>38</v>
      </c>
      <c r="K2375" t="s">
        <v>39</v>
      </c>
      <c r="L2375" s="50">
        <f>VLOOKUP(A2375,'[3]Price info'!A:D,4,FALSE)</f>
        <v>701.62</v>
      </c>
      <c r="M2375" s="18" t="s">
        <v>214</v>
      </c>
      <c r="N2375" s="20">
        <v>3105</v>
      </c>
      <c r="P2375" s="16">
        <f>VLOOKUP(A2375,'[3]Price info'!A:H,8,FALSE)</f>
        <v>701.62</v>
      </c>
      <c r="Q2375" s="17">
        <f t="shared" si="149"/>
        <v>1</v>
      </c>
      <c r="S2375" s="16" t="e">
        <f>VLOOKUP(A2375,[4]Sales!$E:$G,3,FALSE)</f>
        <v>#N/A</v>
      </c>
      <c r="T2375" s="19" t="e">
        <f>VLOOKUP(A2375,[4]Volume!$E:$G,3,FALSE)</f>
        <v>#N/A</v>
      </c>
      <c r="U2375" s="19" t="e">
        <f>VLOOKUP(A2375,[4]Piece!$E:$G,3,FALSE)</f>
        <v>#N/A</v>
      </c>
      <c r="V2375" s="21" t="e">
        <f t="shared" si="150"/>
        <v>#N/A</v>
      </c>
      <c r="W2375" s="16" t="e">
        <f t="shared" si="151"/>
        <v>#N/A</v>
      </c>
    </row>
    <row r="2376" spans="1:23" hidden="1" x14ac:dyDescent="0.3">
      <c r="A2376" s="71" t="s">
        <v>4688</v>
      </c>
      <c r="B2376" s="71" t="s">
        <v>4688</v>
      </c>
      <c r="C2376" s="47" t="s">
        <v>33</v>
      </c>
      <c r="D2376" s="48" t="s">
        <v>34</v>
      </c>
      <c r="E2376" s="18" t="s">
        <v>4689</v>
      </c>
      <c r="F2376" s="24" t="str">
        <f t="shared" si="148"/>
        <v>PPG - STEELGUARD 801 WHITE        3000AMEU2200</v>
      </c>
      <c r="G2376" s="20" t="s">
        <v>7246</v>
      </c>
      <c r="H2376" s="49" t="s">
        <v>213</v>
      </c>
      <c r="I2376" s="18" t="s">
        <v>37</v>
      </c>
      <c r="J2376" s="18" t="s">
        <v>38</v>
      </c>
      <c r="K2376" t="s">
        <v>39</v>
      </c>
      <c r="L2376" s="50">
        <f>VLOOKUP(A2376,'[3]Price info'!A:D,4,FALSE)</f>
        <v>628.12</v>
      </c>
      <c r="M2376" s="18" t="s">
        <v>214</v>
      </c>
      <c r="N2376" s="20">
        <v>3105</v>
      </c>
      <c r="P2376" s="16">
        <f>VLOOKUP(A2376,'[3]Price info'!A:H,8,FALSE)</f>
        <v>628.12</v>
      </c>
      <c r="Q2376" s="17">
        <f t="shared" si="149"/>
        <v>1</v>
      </c>
      <c r="S2376" s="16" t="e">
        <f>VLOOKUP(A2376,[4]Sales!$E:$G,3,FALSE)</f>
        <v>#N/A</v>
      </c>
      <c r="T2376" s="19" t="e">
        <f>VLOOKUP(A2376,[4]Volume!$E:$G,3,FALSE)</f>
        <v>#N/A</v>
      </c>
      <c r="U2376" s="19" t="e">
        <f>VLOOKUP(A2376,[4]Piece!$E:$G,3,FALSE)</f>
        <v>#N/A</v>
      </c>
      <c r="V2376" s="21" t="e">
        <f t="shared" si="150"/>
        <v>#N/A</v>
      </c>
      <c r="W2376" s="16" t="e">
        <f t="shared" si="151"/>
        <v>#N/A</v>
      </c>
    </row>
    <row r="2377" spans="1:23" hidden="1" x14ac:dyDescent="0.3">
      <c r="A2377" s="71" t="s">
        <v>4690</v>
      </c>
      <c r="B2377" s="71" t="s">
        <v>4690</v>
      </c>
      <c r="C2377" s="47" t="s">
        <v>33</v>
      </c>
      <c r="D2377" s="48" t="s">
        <v>34</v>
      </c>
      <c r="E2377" s="18" t="s">
        <v>4691</v>
      </c>
      <c r="F2377" s="24" t="str">
        <f t="shared" si="148"/>
        <v>PPG - STEELGUARD 851 WHITE        3000AMEU2200</v>
      </c>
      <c r="G2377" s="20" t="s">
        <v>7247</v>
      </c>
      <c r="H2377" s="49" t="s">
        <v>213</v>
      </c>
      <c r="I2377" s="18" t="s">
        <v>37</v>
      </c>
      <c r="J2377" s="18" t="s">
        <v>38</v>
      </c>
      <c r="K2377" t="s">
        <v>39</v>
      </c>
      <c r="L2377" s="50">
        <f>VLOOKUP(A2377,'[3]Price info'!A:D,4,FALSE)</f>
        <v>659.74</v>
      </c>
      <c r="M2377" s="18" t="s">
        <v>214</v>
      </c>
      <c r="N2377" s="20">
        <v>3105</v>
      </c>
      <c r="P2377" s="16">
        <f>VLOOKUP(A2377,'[3]Price info'!A:H,8,FALSE)</f>
        <v>659.74</v>
      </c>
      <c r="Q2377" s="17">
        <f t="shared" si="149"/>
        <v>1</v>
      </c>
      <c r="S2377" s="16" t="e">
        <f>VLOOKUP(A2377,[4]Sales!$E:$G,3,FALSE)</f>
        <v>#N/A</v>
      </c>
      <c r="T2377" s="19" t="e">
        <f>VLOOKUP(A2377,[4]Volume!$E:$G,3,FALSE)</f>
        <v>#N/A</v>
      </c>
      <c r="U2377" s="19" t="e">
        <f>VLOOKUP(A2377,[4]Piece!$E:$G,3,FALSE)</f>
        <v>#N/A</v>
      </c>
      <c r="V2377" s="21" t="e">
        <f t="shared" si="150"/>
        <v>#N/A</v>
      </c>
      <c r="W2377" s="16" t="e">
        <f t="shared" si="151"/>
        <v>#N/A</v>
      </c>
    </row>
    <row r="2378" spans="1:23" hidden="1" x14ac:dyDescent="0.3">
      <c r="A2378" s="71" t="s">
        <v>4692</v>
      </c>
      <c r="B2378" s="71" t="s">
        <v>4692</v>
      </c>
      <c r="C2378" s="51" t="s">
        <v>33</v>
      </c>
      <c r="D2378" s="48" t="s">
        <v>34</v>
      </c>
      <c r="E2378" s="18" t="s">
        <v>4693</v>
      </c>
      <c r="F2378" s="24" t="str">
        <f t="shared" si="148"/>
        <v>PPG - S'THERM 175                 900000EU1500</v>
      </c>
      <c r="G2378" s="20" t="s">
        <v>7248</v>
      </c>
      <c r="H2378" s="49" t="s">
        <v>213</v>
      </c>
      <c r="I2378" s="18" t="s">
        <v>37</v>
      </c>
      <c r="J2378" s="18" t="s">
        <v>38</v>
      </c>
      <c r="K2378" t="s">
        <v>39</v>
      </c>
      <c r="L2378" s="50">
        <f>VLOOKUP(A2378,'[3]Price info'!A:D,4,FALSE)</f>
        <v>115.3</v>
      </c>
      <c r="M2378" s="18" t="s">
        <v>214</v>
      </c>
      <c r="N2378" s="20">
        <v>3105</v>
      </c>
      <c r="P2378" s="16">
        <f>VLOOKUP(A2378,'[3]Price info'!A:H,8,FALSE)</f>
        <v>115.3</v>
      </c>
      <c r="Q2378" s="17">
        <f t="shared" si="149"/>
        <v>1</v>
      </c>
      <c r="S2378" s="16" t="e">
        <f>VLOOKUP(A2378,[4]Sales!$E:$G,3,FALSE)</f>
        <v>#N/A</v>
      </c>
      <c r="T2378" s="19" t="e">
        <f>VLOOKUP(A2378,[4]Volume!$E:$G,3,FALSE)</f>
        <v>#N/A</v>
      </c>
      <c r="U2378" s="19" t="e">
        <f>VLOOKUP(A2378,[4]Piece!$E:$G,3,FALSE)</f>
        <v>#N/A</v>
      </c>
      <c r="V2378" s="21" t="e">
        <f t="shared" si="150"/>
        <v>#N/A</v>
      </c>
      <c r="W2378" s="16" t="e">
        <f t="shared" si="151"/>
        <v>#N/A</v>
      </c>
    </row>
    <row r="2379" spans="1:23" hidden="1" x14ac:dyDescent="0.3">
      <c r="A2379" s="71" t="s">
        <v>4694</v>
      </c>
      <c r="B2379" s="71" t="s">
        <v>4694</v>
      </c>
      <c r="C2379" s="47" t="s">
        <v>33</v>
      </c>
      <c r="D2379" s="48" t="s">
        <v>34</v>
      </c>
      <c r="E2379" s="18" t="s">
        <v>4695</v>
      </c>
      <c r="F2379" s="24" t="str">
        <f t="shared" si="148"/>
        <v>PPG - S'THERM 230 SET GREY          5000002200</v>
      </c>
      <c r="G2379" s="20" t="s">
        <v>7249</v>
      </c>
      <c r="H2379" s="49" t="s">
        <v>213</v>
      </c>
      <c r="I2379" s="18" t="s">
        <v>37</v>
      </c>
      <c r="J2379" s="18" t="s">
        <v>38</v>
      </c>
      <c r="K2379" t="s">
        <v>39</v>
      </c>
      <c r="L2379" s="50">
        <f>VLOOKUP(A2379,'[3]Price info'!A:D,4,FALSE)</f>
        <v>683.39</v>
      </c>
      <c r="M2379" s="18" t="s">
        <v>214</v>
      </c>
      <c r="N2379" s="20">
        <v>3105</v>
      </c>
      <c r="P2379" s="16">
        <f>VLOOKUP(A2379,'[3]Price info'!A:H,8,FALSE)</f>
        <v>683.39</v>
      </c>
      <c r="Q2379" s="17">
        <f t="shared" si="149"/>
        <v>1</v>
      </c>
      <c r="S2379" s="16" t="e">
        <f>VLOOKUP(A2379,[4]Sales!$E:$G,3,FALSE)</f>
        <v>#N/A</v>
      </c>
      <c r="T2379" s="19" t="e">
        <f>VLOOKUP(A2379,[4]Volume!$E:$G,3,FALSE)</f>
        <v>#N/A</v>
      </c>
      <c r="U2379" s="19" t="e">
        <f>VLOOKUP(A2379,[4]Piece!$E:$G,3,FALSE)</f>
        <v>#N/A</v>
      </c>
      <c r="V2379" s="21" t="e">
        <f t="shared" si="150"/>
        <v>#N/A</v>
      </c>
      <c r="W2379" s="16" t="e">
        <f t="shared" si="151"/>
        <v>#N/A</v>
      </c>
    </row>
    <row r="2380" spans="1:23" hidden="1" x14ac:dyDescent="0.3">
      <c r="A2380" s="71" t="s">
        <v>4696</v>
      </c>
      <c r="B2380" s="71" t="s">
        <v>4696</v>
      </c>
      <c r="C2380" s="47" t="s">
        <v>33</v>
      </c>
      <c r="D2380" s="48" t="s">
        <v>34</v>
      </c>
      <c r="E2380" s="18" t="s">
        <v>4697</v>
      </c>
      <c r="F2380" s="24" t="str">
        <f t="shared" si="148"/>
        <v>PPG - S'THERM 230 SET PINK          6007002200</v>
      </c>
      <c r="G2380" s="20" t="s">
        <v>7250</v>
      </c>
      <c r="H2380" s="49" t="s">
        <v>213</v>
      </c>
      <c r="I2380" s="18" t="s">
        <v>37</v>
      </c>
      <c r="J2380" s="18" t="s">
        <v>38</v>
      </c>
      <c r="K2380" t="s">
        <v>39</v>
      </c>
      <c r="L2380" s="50">
        <f>VLOOKUP(A2380,'[3]Price info'!A:D,4,FALSE)</f>
        <v>683.39</v>
      </c>
      <c r="M2380" s="18" t="s">
        <v>214</v>
      </c>
      <c r="N2380" s="20">
        <v>3105</v>
      </c>
      <c r="P2380" s="16">
        <f>VLOOKUP(A2380,'[3]Price info'!A:H,8,FALSE)</f>
        <v>683.39</v>
      </c>
      <c r="Q2380" s="17">
        <f t="shared" si="149"/>
        <v>1</v>
      </c>
      <c r="S2380" s="16" t="e">
        <f>VLOOKUP(A2380,[4]Sales!$E:$G,3,FALSE)</f>
        <v>#N/A</v>
      </c>
      <c r="T2380" s="19" t="e">
        <f>VLOOKUP(A2380,[4]Volume!$E:$G,3,FALSE)</f>
        <v>#N/A</v>
      </c>
      <c r="U2380" s="19" t="e">
        <f>VLOOKUP(A2380,[4]Piece!$E:$G,3,FALSE)</f>
        <v>#N/A</v>
      </c>
      <c r="V2380" s="21" t="e">
        <f t="shared" si="150"/>
        <v>#N/A</v>
      </c>
      <c r="W2380" s="16" t="e">
        <f t="shared" si="151"/>
        <v>#N/A</v>
      </c>
    </row>
    <row r="2381" spans="1:23" hidden="1" x14ac:dyDescent="0.3">
      <c r="A2381" s="71" t="s">
        <v>4698</v>
      </c>
      <c r="B2381" s="71" t="s">
        <v>4698</v>
      </c>
      <c r="C2381" s="51" t="s">
        <v>33</v>
      </c>
      <c r="D2381" s="48" t="s">
        <v>34</v>
      </c>
      <c r="E2381" s="18" t="s">
        <v>4699</v>
      </c>
      <c r="F2381" s="24" t="str">
        <f t="shared" si="148"/>
        <v>PPG - S'THERM 350 ALU             900000CN2200</v>
      </c>
      <c r="G2381" s="20" t="s">
        <v>7251</v>
      </c>
      <c r="H2381" s="49" t="s">
        <v>213</v>
      </c>
      <c r="I2381" s="18" t="s">
        <v>37</v>
      </c>
      <c r="J2381" s="18" t="s">
        <v>38</v>
      </c>
      <c r="K2381" t="s">
        <v>39</v>
      </c>
      <c r="L2381" s="50">
        <f>VLOOKUP(A2381,'[3]Price info'!A:D,4,FALSE)</f>
        <v>592.78</v>
      </c>
      <c r="M2381" s="18" t="s">
        <v>214</v>
      </c>
      <c r="N2381" s="20">
        <v>3105</v>
      </c>
      <c r="P2381" s="16">
        <f>VLOOKUP(A2381,'[3]Price info'!A:H,8,FALSE)</f>
        <v>592.78</v>
      </c>
      <c r="Q2381" s="17">
        <f t="shared" si="149"/>
        <v>1</v>
      </c>
      <c r="S2381" s="16" t="e">
        <f>VLOOKUP(A2381,[4]Sales!$E:$G,3,FALSE)</f>
        <v>#N/A</v>
      </c>
      <c r="T2381" s="19" t="e">
        <f>VLOOKUP(A2381,[4]Volume!$E:$G,3,FALSE)</f>
        <v>#N/A</v>
      </c>
      <c r="U2381" s="19" t="e">
        <f>VLOOKUP(A2381,[4]Piece!$E:$G,3,FALSE)</f>
        <v>#N/A</v>
      </c>
      <c r="V2381" s="21" t="e">
        <f t="shared" si="150"/>
        <v>#N/A</v>
      </c>
      <c r="W2381" s="16" t="e">
        <f t="shared" si="151"/>
        <v>#N/A</v>
      </c>
    </row>
    <row r="2382" spans="1:23" hidden="1" x14ac:dyDescent="0.3">
      <c r="A2382" s="71" t="s">
        <v>4700</v>
      </c>
      <c r="B2382" s="71" t="s">
        <v>4700</v>
      </c>
      <c r="C2382" s="47" t="s">
        <v>33</v>
      </c>
      <c r="D2382" s="48" t="s">
        <v>34</v>
      </c>
      <c r="E2382" s="18" t="s">
        <v>4701</v>
      </c>
      <c r="F2382" s="24" t="str">
        <f t="shared" si="148"/>
        <v>PPG - S'THERM 540                 900000EU1500</v>
      </c>
      <c r="G2382" s="20" t="s">
        <v>7252</v>
      </c>
      <c r="H2382" s="49" t="s">
        <v>213</v>
      </c>
      <c r="I2382" s="18" t="s">
        <v>37</v>
      </c>
      <c r="J2382" s="18" t="s">
        <v>38</v>
      </c>
      <c r="K2382" t="s">
        <v>39</v>
      </c>
      <c r="L2382" s="50">
        <f>VLOOKUP(A2382,'[3]Price info'!A:D,4,FALSE)</f>
        <v>204.04</v>
      </c>
      <c r="M2382" s="18" t="s">
        <v>214</v>
      </c>
      <c r="N2382" s="20">
        <v>3105</v>
      </c>
      <c r="P2382" s="16">
        <f>VLOOKUP(A2382,'[3]Price info'!A:H,8,FALSE)</f>
        <v>204.04</v>
      </c>
      <c r="Q2382" s="17">
        <f t="shared" si="149"/>
        <v>1</v>
      </c>
      <c r="S2382" s="16" t="e">
        <f>VLOOKUP(A2382,[4]Sales!$E:$G,3,FALSE)</f>
        <v>#N/A</v>
      </c>
      <c r="T2382" s="19" t="e">
        <f>VLOOKUP(A2382,[4]Volume!$E:$G,3,FALSE)</f>
        <v>#N/A</v>
      </c>
      <c r="U2382" s="19" t="e">
        <f>VLOOKUP(A2382,[4]Piece!$E:$G,3,FALSE)</f>
        <v>#N/A</v>
      </c>
      <c r="V2382" s="21" t="e">
        <f t="shared" si="150"/>
        <v>#N/A</v>
      </c>
      <c r="W2382" s="16" t="e">
        <f t="shared" si="151"/>
        <v>#N/A</v>
      </c>
    </row>
    <row r="2383" spans="1:23" hidden="1" x14ac:dyDescent="0.3">
      <c r="A2383" s="71" t="s">
        <v>4702</v>
      </c>
      <c r="B2383" s="71" t="s">
        <v>4702</v>
      </c>
      <c r="C2383" s="47" t="s">
        <v>33</v>
      </c>
      <c r="D2383" s="48" t="s">
        <v>34</v>
      </c>
      <c r="E2383" s="18" t="s">
        <v>4703</v>
      </c>
      <c r="F2383" s="24" t="str">
        <f t="shared" si="148"/>
        <v>PPG - S'THERM 540                 900000EU2200</v>
      </c>
      <c r="G2383" s="20" t="s">
        <v>7253</v>
      </c>
      <c r="H2383" s="49" t="s">
        <v>213</v>
      </c>
      <c r="I2383" s="18" t="s">
        <v>37</v>
      </c>
      <c r="J2383" s="18" t="s">
        <v>38</v>
      </c>
      <c r="K2383" t="s">
        <v>39</v>
      </c>
      <c r="L2383" s="50">
        <f>VLOOKUP(A2383,'[3]Price info'!A:D,4,FALSE)</f>
        <v>730.97</v>
      </c>
      <c r="M2383" s="18" t="s">
        <v>214</v>
      </c>
      <c r="N2383" s="20">
        <v>3105</v>
      </c>
      <c r="P2383" s="16">
        <f>VLOOKUP(A2383,'[3]Price info'!A:H,8,FALSE)</f>
        <v>730.97</v>
      </c>
      <c r="Q2383" s="17">
        <f t="shared" si="149"/>
        <v>1</v>
      </c>
      <c r="S2383" s="16" t="e">
        <f>VLOOKUP(A2383,[4]Sales!$E:$G,3,FALSE)</f>
        <v>#N/A</v>
      </c>
      <c r="T2383" s="19" t="e">
        <f>VLOOKUP(A2383,[4]Volume!$E:$G,3,FALSE)</f>
        <v>#N/A</v>
      </c>
      <c r="U2383" s="19" t="e">
        <f>VLOOKUP(A2383,[4]Piece!$E:$G,3,FALSE)</f>
        <v>#N/A</v>
      </c>
      <c r="V2383" s="21" t="e">
        <f t="shared" si="150"/>
        <v>#N/A</v>
      </c>
      <c r="W2383" s="16" t="e">
        <f t="shared" si="151"/>
        <v>#N/A</v>
      </c>
    </row>
    <row r="2384" spans="1:23" hidden="1" x14ac:dyDescent="0.3">
      <c r="A2384" s="71" t="s">
        <v>4704</v>
      </c>
      <c r="B2384" s="71" t="s">
        <v>4704</v>
      </c>
      <c r="C2384" s="51" t="s">
        <v>33</v>
      </c>
      <c r="D2384" s="48" t="s">
        <v>34</v>
      </c>
      <c r="E2384" s="18" t="s">
        <v>4705</v>
      </c>
      <c r="F2384" s="24" t="str">
        <f t="shared" si="148"/>
        <v>PPG - S'WELD 120 SET GREY           5000002200</v>
      </c>
      <c r="G2384" s="20" t="s">
        <v>7254</v>
      </c>
      <c r="H2384" s="49" t="s">
        <v>213</v>
      </c>
      <c r="I2384" s="18" t="s">
        <v>37</v>
      </c>
      <c r="J2384" s="18" t="s">
        <v>38</v>
      </c>
      <c r="K2384" t="s">
        <v>39</v>
      </c>
      <c r="L2384" s="50">
        <f>VLOOKUP(A2384,'[3]Price info'!A:D,4,FALSE)</f>
        <v>257.55</v>
      </c>
      <c r="M2384" s="18" t="s">
        <v>214</v>
      </c>
      <c r="N2384" s="20">
        <v>3105</v>
      </c>
      <c r="P2384" s="16">
        <f>VLOOKUP(A2384,'[3]Price info'!A:H,8,FALSE)</f>
        <v>257.55</v>
      </c>
      <c r="Q2384" s="17">
        <f t="shared" si="149"/>
        <v>1</v>
      </c>
      <c r="S2384" s="16" t="e">
        <f>VLOOKUP(A2384,[4]Sales!$E:$G,3,FALSE)</f>
        <v>#N/A</v>
      </c>
      <c r="T2384" s="19" t="e">
        <f>VLOOKUP(A2384,[4]Volume!$E:$G,3,FALSE)</f>
        <v>#N/A</v>
      </c>
      <c r="U2384" s="19" t="e">
        <f>VLOOKUP(A2384,[4]Piece!$E:$G,3,FALSE)</f>
        <v>#N/A</v>
      </c>
      <c r="V2384" s="21" t="e">
        <f t="shared" si="150"/>
        <v>#N/A</v>
      </c>
      <c r="W2384" s="16" t="e">
        <f t="shared" si="151"/>
        <v>#N/A</v>
      </c>
    </row>
    <row r="2385" spans="1:23" hidden="1" x14ac:dyDescent="0.3">
      <c r="A2385" s="71" t="s">
        <v>4706</v>
      </c>
      <c r="B2385" s="71" t="s">
        <v>4706</v>
      </c>
      <c r="C2385" s="47" t="s">
        <v>33</v>
      </c>
      <c r="D2385" s="48" t="s">
        <v>34</v>
      </c>
      <c r="E2385" s="18" t="s">
        <v>4707</v>
      </c>
      <c r="F2385" s="24" t="str">
        <f t="shared" si="148"/>
        <v>PPG - S'WELD 120 SET RED OXIDE      2008002200</v>
      </c>
      <c r="G2385" s="20" t="s">
        <v>7255</v>
      </c>
      <c r="H2385" s="49" t="s">
        <v>213</v>
      </c>
      <c r="I2385" s="18" t="s">
        <v>37</v>
      </c>
      <c r="J2385" s="18" t="s">
        <v>38</v>
      </c>
      <c r="K2385" t="s">
        <v>39</v>
      </c>
      <c r="L2385" s="50">
        <f>VLOOKUP(A2385,'[3]Price info'!A:D,4,FALSE)</f>
        <v>282.02</v>
      </c>
      <c r="M2385" s="18" t="s">
        <v>214</v>
      </c>
      <c r="N2385" s="20">
        <v>3105</v>
      </c>
      <c r="P2385" s="16">
        <f>VLOOKUP(A2385,'[3]Price info'!A:H,8,FALSE)</f>
        <v>282.02</v>
      </c>
      <c r="Q2385" s="17">
        <f t="shared" si="149"/>
        <v>1</v>
      </c>
      <c r="S2385" s="16" t="e">
        <f>VLOOKUP(A2385,[4]Sales!$E:$G,3,FALSE)</f>
        <v>#N/A</v>
      </c>
      <c r="T2385" s="19" t="e">
        <f>VLOOKUP(A2385,[4]Volume!$E:$G,3,FALSE)</f>
        <v>#N/A</v>
      </c>
      <c r="U2385" s="19" t="e">
        <f>VLOOKUP(A2385,[4]Piece!$E:$G,3,FALSE)</f>
        <v>#N/A</v>
      </c>
      <c r="V2385" s="21" t="e">
        <f t="shared" si="150"/>
        <v>#N/A</v>
      </c>
      <c r="W2385" s="16" t="e">
        <f t="shared" si="151"/>
        <v>#N/A</v>
      </c>
    </row>
    <row r="2386" spans="1:23" hidden="1" x14ac:dyDescent="0.3">
      <c r="A2386" s="71" t="s">
        <v>4708</v>
      </c>
      <c r="B2386" s="71" t="s">
        <v>4708</v>
      </c>
      <c r="C2386" s="47" t="s">
        <v>33</v>
      </c>
      <c r="D2386" s="48" t="s">
        <v>34</v>
      </c>
      <c r="E2386" s="18" t="s">
        <v>4709</v>
      </c>
      <c r="F2386" s="24" t="str">
        <f t="shared" si="148"/>
        <v>PPG - S'WELD 190 (MC MK3) SET R/B   2008002180</v>
      </c>
      <c r="G2386" s="20" t="s">
        <v>7256</v>
      </c>
      <c r="H2386" s="49" t="s">
        <v>213</v>
      </c>
      <c r="I2386" s="18" t="s">
        <v>37</v>
      </c>
      <c r="J2386" s="18" t="s">
        <v>38</v>
      </c>
      <c r="K2386" t="s">
        <v>39</v>
      </c>
      <c r="L2386" s="50">
        <f>VLOOKUP(A2386,'[3]Price info'!A:D,4,FALSE)</f>
        <v>340.23</v>
      </c>
      <c r="M2386" s="18" t="s">
        <v>214</v>
      </c>
      <c r="N2386" s="20">
        <v>3105</v>
      </c>
      <c r="P2386" s="16">
        <f>VLOOKUP(A2386,'[3]Price info'!A:H,8,FALSE)</f>
        <v>340.23</v>
      </c>
      <c r="Q2386" s="17">
        <f t="shared" si="149"/>
        <v>1</v>
      </c>
      <c r="S2386" s="16" t="e">
        <f>VLOOKUP(A2386,[4]Sales!$E:$G,3,FALSE)</f>
        <v>#N/A</v>
      </c>
      <c r="T2386" s="19" t="e">
        <f>VLOOKUP(A2386,[4]Volume!$E:$G,3,FALSE)</f>
        <v>#N/A</v>
      </c>
      <c r="U2386" s="19" t="e">
        <f>VLOOKUP(A2386,[4]Piece!$E:$G,3,FALSE)</f>
        <v>#N/A</v>
      </c>
      <c r="V2386" s="21" t="e">
        <f t="shared" si="150"/>
        <v>#N/A</v>
      </c>
      <c r="W2386" s="16" t="e">
        <f t="shared" si="151"/>
        <v>#N/A</v>
      </c>
    </row>
    <row r="2387" spans="1:23" hidden="1" x14ac:dyDescent="0.3">
      <c r="A2387" s="71" t="s">
        <v>4710</v>
      </c>
      <c r="B2387" s="71" t="s">
        <v>4710</v>
      </c>
      <c r="C2387" s="51" t="s">
        <v>33</v>
      </c>
      <c r="D2387" s="48" t="s">
        <v>34</v>
      </c>
      <c r="E2387" s="18" t="s">
        <v>4711</v>
      </c>
      <c r="F2387" s="24" t="str">
        <f t="shared" si="148"/>
        <v>PPG - S'WELD 199 SET GREEN          4000002180</v>
      </c>
      <c r="G2387" s="20" t="s">
        <v>7257</v>
      </c>
      <c r="H2387" s="49" t="s">
        <v>213</v>
      </c>
      <c r="I2387" s="18" t="s">
        <v>37</v>
      </c>
      <c r="J2387" s="18" t="s">
        <v>38</v>
      </c>
      <c r="K2387" t="s">
        <v>39</v>
      </c>
      <c r="L2387" s="50">
        <f>VLOOKUP(A2387,'[3]Price info'!A:D,4,FALSE)</f>
        <v>343.55</v>
      </c>
      <c r="M2387" s="18" t="s">
        <v>214</v>
      </c>
      <c r="N2387" s="20">
        <v>3105</v>
      </c>
      <c r="P2387" s="16">
        <f>VLOOKUP(A2387,'[3]Price info'!A:H,8,FALSE)</f>
        <v>343.55</v>
      </c>
      <c r="Q2387" s="17">
        <f t="shared" si="149"/>
        <v>1</v>
      </c>
      <c r="S2387" s="16" t="e">
        <f>VLOOKUP(A2387,[4]Sales!$E:$G,3,FALSE)</f>
        <v>#N/A</v>
      </c>
      <c r="T2387" s="19" t="e">
        <f>VLOOKUP(A2387,[4]Volume!$E:$G,3,FALSE)</f>
        <v>#N/A</v>
      </c>
      <c r="U2387" s="19" t="e">
        <f>VLOOKUP(A2387,[4]Piece!$E:$G,3,FALSE)</f>
        <v>#N/A</v>
      </c>
      <c r="V2387" s="21" t="e">
        <f t="shared" si="150"/>
        <v>#N/A</v>
      </c>
      <c r="W2387" s="16" t="e">
        <f t="shared" si="151"/>
        <v>#N/A</v>
      </c>
    </row>
    <row r="2388" spans="1:23" hidden="1" x14ac:dyDescent="0.3">
      <c r="A2388" s="71" t="s">
        <v>4712</v>
      </c>
      <c r="B2388" s="71" t="s">
        <v>4712</v>
      </c>
      <c r="C2388" s="47" t="s">
        <v>33</v>
      </c>
      <c r="D2388" s="48" t="s">
        <v>34</v>
      </c>
      <c r="E2388" s="18" t="s">
        <v>4713</v>
      </c>
      <c r="F2388" s="24" t="str">
        <f t="shared" si="148"/>
        <v>PPG - S'WELD 199 SET GREY           5000002180</v>
      </c>
      <c r="G2388" s="20" t="s">
        <v>7258</v>
      </c>
      <c r="H2388" s="49" t="s">
        <v>213</v>
      </c>
      <c r="I2388" s="18" t="s">
        <v>37</v>
      </c>
      <c r="J2388" s="18" t="s">
        <v>38</v>
      </c>
      <c r="K2388" t="s">
        <v>39</v>
      </c>
      <c r="L2388" s="50">
        <f>VLOOKUP(A2388,'[3]Price info'!A:D,4,FALSE)</f>
        <v>340.23</v>
      </c>
      <c r="M2388" s="18" t="s">
        <v>214</v>
      </c>
      <c r="N2388" s="20">
        <v>3105</v>
      </c>
      <c r="P2388" s="16">
        <f>VLOOKUP(A2388,'[3]Price info'!A:H,8,FALSE)</f>
        <v>340.23</v>
      </c>
      <c r="Q2388" s="17">
        <f t="shared" si="149"/>
        <v>1</v>
      </c>
      <c r="S2388" s="16" t="e">
        <f>VLOOKUP(A2388,[4]Sales!$E:$G,3,FALSE)</f>
        <v>#N/A</v>
      </c>
      <c r="T2388" s="19" t="e">
        <f>VLOOKUP(A2388,[4]Volume!$E:$G,3,FALSE)</f>
        <v>#N/A</v>
      </c>
      <c r="U2388" s="19" t="e">
        <f>VLOOKUP(A2388,[4]Piece!$E:$G,3,FALSE)</f>
        <v>#N/A</v>
      </c>
      <c r="V2388" s="21" t="e">
        <f t="shared" si="150"/>
        <v>#N/A</v>
      </c>
      <c r="W2388" s="16" t="e">
        <f t="shared" si="151"/>
        <v>#N/A</v>
      </c>
    </row>
    <row r="2389" spans="1:23" hidden="1" x14ac:dyDescent="0.3">
      <c r="A2389" s="71" t="s">
        <v>4714</v>
      </c>
      <c r="B2389" s="71" t="s">
        <v>4714</v>
      </c>
      <c r="C2389" s="47" t="s">
        <v>33</v>
      </c>
      <c r="D2389" s="48" t="s">
        <v>34</v>
      </c>
      <c r="E2389" s="18" t="s">
        <v>4715</v>
      </c>
      <c r="F2389" s="24" t="str">
        <f t="shared" si="148"/>
        <v>PPG - S'WELD 199 SET REDBROWN       2008002180</v>
      </c>
      <c r="G2389" s="20" t="s">
        <v>7259</v>
      </c>
      <c r="H2389" s="49" t="s">
        <v>213</v>
      </c>
      <c r="I2389" s="18" t="s">
        <v>37</v>
      </c>
      <c r="J2389" s="18" t="s">
        <v>38</v>
      </c>
      <c r="K2389" t="s">
        <v>39</v>
      </c>
      <c r="L2389" s="50">
        <f>VLOOKUP(A2389,'[3]Price info'!A:D,4,FALSE)</f>
        <v>343.55</v>
      </c>
      <c r="M2389" s="18" t="s">
        <v>214</v>
      </c>
      <c r="N2389" s="20">
        <v>3105</v>
      </c>
      <c r="P2389" s="16">
        <f>VLOOKUP(A2389,'[3]Price info'!A:H,8,FALSE)</f>
        <v>343.55</v>
      </c>
      <c r="Q2389" s="17">
        <f t="shared" si="149"/>
        <v>1</v>
      </c>
      <c r="S2389" s="16" t="e">
        <f>VLOOKUP(A2389,[4]Sales!$E:$G,3,FALSE)</f>
        <v>#N/A</v>
      </c>
      <c r="T2389" s="19" t="e">
        <f>VLOOKUP(A2389,[4]Volume!$E:$G,3,FALSE)</f>
        <v>#N/A</v>
      </c>
      <c r="U2389" s="19" t="e">
        <f>VLOOKUP(A2389,[4]Piece!$E:$G,3,FALSE)</f>
        <v>#N/A</v>
      </c>
      <c r="V2389" s="21" t="e">
        <f t="shared" si="150"/>
        <v>#N/A</v>
      </c>
      <c r="W2389" s="16" t="e">
        <f t="shared" si="151"/>
        <v>#N/A</v>
      </c>
    </row>
    <row r="2390" spans="1:23" hidden="1" x14ac:dyDescent="0.3">
      <c r="A2390" s="71" t="s">
        <v>4716</v>
      </c>
      <c r="B2390" s="71" t="s">
        <v>4716</v>
      </c>
      <c r="C2390" s="51" t="s">
        <v>33</v>
      </c>
      <c r="D2390" s="48" t="s">
        <v>34</v>
      </c>
      <c r="E2390" s="18" t="s">
        <v>4717</v>
      </c>
      <c r="F2390" s="24" t="str">
        <f t="shared" si="148"/>
        <v>PPG - S'ZINC 105 SET GREY           5000002200</v>
      </c>
      <c r="G2390" s="20" t="s">
        <v>7260</v>
      </c>
      <c r="H2390" s="49" t="s">
        <v>213</v>
      </c>
      <c r="I2390" s="18" t="s">
        <v>37</v>
      </c>
      <c r="J2390" s="18" t="s">
        <v>38</v>
      </c>
      <c r="K2390" t="s">
        <v>39</v>
      </c>
      <c r="L2390" s="50">
        <f>VLOOKUP(A2390,'[3]Price info'!A:D,4,FALSE)</f>
        <v>838.07</v>
      </c>
      <c r="M2390" s="18" t="s">
        <v>214</v>
      </c>
      <c r="N2390" s="20">
        <v>3105</v>
      </c>
      <c r="P2390" s="16">
        <f>VLOOKUP(A2390,'[3]Price info'!A:H,8,FALSE)</f>
        <v>838.07</v>
      </c>
      <c r="Q2390" s="17">
        <f t="shared" si="149"/>
        <v>1</v>
      </c>
      <c r="S2390" s="16" t="e">
        <f>VLOOKUP(A2390,[4]Sales!$E:$G,3,FALSE)</f>
        <v>#N/A</v>
      </c>
      <c r="T2390" s="19" t="e">
        <f>VLOOKUP(A2390,[4]Volume!$E:$G,3,FALSE)</f>
        <v>#N/A</v>
      </c>
      <c r="U2390" s="19" t="e">
        <f>VLOOKUP(A2390,[4]Piece!$E:$G,3,FALSE)</f>
        <v>#N/A</v>
      </c>
      <c r="V2390" s="21" t="e">
        <f t="shared" si="150"/>
        <v>#N/A</v>
      </c>
      <c r="W2390" s="16" t="e">
        <f t="shared" si="151"/>
        <v>#N/A</v>
      </c>
    </row>
    <row r="2391" spans="1:23" hidden="1" x14ac:dyDescent="0.3">
      <c r="A2391" s="71" t="s">
        <v>4718</v>
      </c>
      <c r="B2391" s="71" t="s">
        <v>4718</v>
      </c>
      <c r="C2391" s="47" t="s">
        <v>33</v>
      </c>
      <c r="D2391" s="48" t="s">
        <v>34</v>
      </c>
      <c r="E2391" s="18" t="s">
        <v>4719</v>
      </c>
      <c r="F2391" s="24" t="str">
        <f t="shared" si="148"/>
        <v>PPG - S'ZINC 109 HS SET REDGREY     5010001800</v>
      </c>
      <c r="G2391" s="20" t="s">
        <v>7261</v>
      </c>
      <c r="H2391" s="49" t="s">
        <v>213</v>
      </c>
      <c r="I2391" s="18" t="s">
        <v>37</v>
      </c>
      <c r="J2391" s="18" t="s">
        <v>38</v>
      </c>
      <c r="K2391" t="s">
        <v>39</v>
      </c>
      <c r="L2391" s="50">
        <f>VLOOKUP(A2391,'[3]Price info'!A:D,4,FALSE)</f>
        <v>509.46</v>
      </c>
      <c r="M2391" s="18" t="s">
        <v>214</v>
      </c>
      <c r="N2391" s="20">
        <v>3105</v>
      </c>
      <c r="P2391" s="16">
        <f>VLOOKUP(A2391,'[3]Price info'!A:H,8,FALSE)</f>
        <v>509.46</v>
      </c>
      <c r="Q2391" s="17">
        <f t="shared" si="149"/>
        <v>1</v>
      </c>
      <c r="S2391" s="16" t="e">
        <f>VLOOKUP(A2391,[4]Sales!$E:$G,3,FALSE)</f>
        <v>#N/A</v>
      </c>
      <c r="T2391" s="19" t="e">
        <f>VLOOKUP(A2391,[4]Volume!$E:$G,3,FALSE)</f>
        <v>#N/A</v>
      </c>
      <c r="U2391" s="19" t="e">
        <f>VLOOKUP(A2391,[4]Piece!$E:$G,3,FALSE)</f>
        <v>#N/A</v>
      </c>
      <c r="V2391" s="21" t="e">
        <f t="shared" si="150"/>
        <v>#N/A</v>
      </c>
      <c r="W2391" s="16" t="e">
        <f t="shared" si="151"/>
        <v>#N/A</v>
      </c>
    </row>
    <row r="2392" spans="1:23" hidden="1" x14ac:dyDescent="0.3">
      <c r="A2392" s="71" t="s">
        <v>4720</v>
      </c>
      <c r="B2392" s="71" t="s">
        <v>4720</v>
      </c>
      <c r="C2392" s="47" t="s">
        <v>33</v>
      </c>
      <c r="D2392" s="48" t="s">
        <v>34</v>
      </c>
      <c r="E2392" s="18" t="s">
        <v>4721</v>
      </c>
      <c r="F2392" s="24" t="str">
        <f t="shared" si="148"/>
        <v>PPG - S'ZINC 158 SET                5009002185</v>
      </c>
      <c r="G2392" s="20" t="s">
        <v>7262</v>
      </c>
      <c r="H2392" s="49" t="s">
        <v>213</v>
      </c>
      <c r="I2392" s="18" t="s">
        <v>37</v>
      </c>
      <c r="J2392" s="18" t="s">
        <v>38</v>
      </c>
      <c r="K2392" t="s">
        <v>39</v>
      </c>
      <c r="L2392" s="50">
        <f>VLOOKUP(A2392,'[3]Price info'!A:D,4,FALSE)</f>
        <v>931.47</v>
      </c>
      <c r="M2392" s="18" t="s">
        <v>214</v>
      </c>
      <c r="N2392" s="20">
        <v>3105</v>
      </c>
      <c r="P2392" s="16">
        <f>VLOOKUP(A2392,'[3]Price info'!A:H,8,FALSE)</f>
        <v>931.47</v>
      </c>
      <c r="Q2392" s="17">
        <f t="shared" si="149"/>
        <v>1</v>
      </c>
      <c r="S2392" s="16" t="e">
        <f>VLOOKUP(A2392,[4]Sales!$E:$G,3,FALSE)</f>
        <v>#N/A</v>
      </c>
      <c r="T2392" s="19" t="e">
        <f>VLOOKUP(A2392,[4]Volume!$E:$G,3,FALSE)</f>
        <v>#N/A</v>
      </c>
      <c r="U2392" s="19" t="e">
        <f>VLOOKUP(A2392,[4]Piece!$E:$G,3,FALSE)</f>
        <v>#N/A</v>
      </c>
      <c r="V2392" s="21" t="e">
        <f t="shared" si="150"/>
        <v>#N/A</v>
      </c>
      <c r="W2392" s="16" t="e">
        <f t="shared" si="151"/>
        <v>#N/A</v>
      </c>
    </row>
    <row r="2393" spans="1:23" hidden="1" x14ac:dyDescent="0.3">
      <c r="A2393" s="71" t="s">
        <v>4722</v>
      </c>
      <c r="B2393" s="71" t="s">
        <v>4722</v>
      </c>
      <c r="C2393" s="51" t="s">
        <v>33</v>
      </c>
      <c r="D2393" s="48" t="s">
        <v>34</v>
      </c>
      <c r="E2393" s="18" t="s">
        <v>4723</v>
      </c>
      <c r="F2393" s="24" t="str">
        <f t="shared" si="148"/>
        <v>PPG - S'ZINC 19                   500000EU1200</v>
      </c>
      <c r="G2393" s="20" t="s">
        <v>7263</v>
      </c>
      <c r="H2393" s="49" t="s">
        <v>213</v>
      </c>
      <c r="I2393" s="18" t="s">
        <v>37</v>
      </c>
      <c r="J2393" s="18" t="s">
        <v>38</v>
      </c>
      <c r="K2393" t="s">
        <v>39</v>
      </c>
      <c r="L2393" s="50">
        <f>VLOOKUP(A2393,'[3]Price info'!A:D,4,FALSE)</f>
        <v>132.52000000000001</v>
      </c>
      <c r="M2393" s="18" t="s">
        <v>214</v>
      </c>
      <c r="N2393" s="20">
        <v>3105</v>
      </c>
      <c r="P2393" s="16">
        <f>VLOOKUP(A2393,'[3]Price info'!A:H,8,FALSE)</f>
        <v>132.52000000000001</v>
      </c>
      <c r="Q2393" s="17">
        <f t="shared" si="149"/>
        <v>1</v>
      </c>
      <c r="S2393" s="16" t="e">
        <f>VLOOKUP(A2393,[4]Sales!$E:$G,3,FALSE)</f>
        <v>#N/A</v>
      </c>
      <c r="T2393" s="19" t="e">
        <f>VLOOKUP(A2393,[4]Volume!$E:$G,3,FALSE)</f>
        <v>#N/A</v>
      </c>
      <c r="U2393" s="19" t="e">
        <f>VLOOKUP(A2393,[4]Piece!$E:$G,3,FALSE)</f>
        <v>#N/A</v>
      </c>
      <c r="V2393" s="21" t="e">
        <f t="shared" si="150"/>
        <v>#N/A</v>
      </c>
      <c r="W2393" s="16" t="e">
        <f t="shared" si="151"/>
        <v>#N/A</v>
      </c>
    </row>
    <row r="2394" spans="1:23" hidden="1" x14ac:dyDescent="0.3">
      <c r="A2394" s="71" t="s">
        <v>4724</v>
      </c>
      <c r="B2394" s="71" t="s">
        <v>4724</v>
      </c>
      <c r="C2394" s="47" t="s">
        <v>33</v>
      </c>
      <c r="D2394" s="48" t="s">
        <v>34</v>
      </c>
      <c r="E2394" s="18" t="s">
        <v>4725</v>
      </c>
      <c r="F2394" s="24" t="str">
        <f t="shared" si="148"/>
        <v>PPG - TESA  BLDPROT TAPE 33M X 50MM 4843</v>
      </c>
      <c r="G2394" s="20" t="s">
        <v>7264</v>
      </c>
      <c r="H2394" s="49" t="s">
        <v>213</v>
      </c>
      <c r="I2394" s="18" t="s">
        <v>37</v>
      </c>
      <c r="J2394" s="18" t="s">
        <v>38</v>
      </c>
      <c r="K2394" t="s">
        <v>39</v>
      </c>
      <c r="L2394" s="50">
        <f>VLOOKUP(A2394,'[3]Price info'!A:D,4,FALSE)</f>
        <v>5.9</v>
      </c>
      <c r="M2394" s="18" t="s">
        <v>214</v>
      </c>
      <c r="N2394" s="20">
        <v>3105</v>
      </c>
      <c r="P2394" s="16">
        <f>VLOOKUP(A2394,'[3]Price info'!A:H,8,FALSE)</f>
        <v>5.9</v>
      </c>
      <c r="Q2394" s="17">
        <f t="shared" si="149"/>
        <v>1</v>
      </c>
      <c r="S2394" s="16" t="e">
        <f>VLOOKUP(A2394,[4]Sales!$E:$G,3,FALSE)</f>
        <v>#N/A</v>
      </c>
      <c r="T2394" s="19" t="e">
        <f>VLOOKUP(A2394,[4]Volume!$E:$G,3,FALSE)</f>
        <v>#N/A</v>
      </c>
      <c r="U2394" s="19" t="e">
        <f>VLOOKUP(A2394,[4]Piece!$E:$G,3,FALSE)</f>
        <v>#N/A</v>
      </c>
      <c r="V2394" s="21" t="e">
        <f t="shared" si="150"/>
        <v>#N/A</v>
      </c>
      <c r="W2394" s="16" t="e">
        <f t="shared" si="151"/>
        <v>#N/A</v>
      </c>
    </row>
    <row r="2395" spans="1:23" hidden="1" x14ac:dyDescent="0.3">
      <c r="A2395" s="71" t="s">
        <v>4726</v>
      </c>
      <c r="B2395" s="71" t="s">
        <v>4726</v>
      </c>
      <c r="C2395" s="47" t="s">
        <v>33</v>
      </c>
      <c r="D2395" s="48" t="s">
        <v>34</v>
      </c>
      <c r="E2395" s="18" t="s">
        <v>4727</v>
      </c>
      <c r="F2395" s="24" t="str">
        <f t="shared" si="148"/>
        <v>PPG - TESA  CRV MASKTAPE 25M X 19MM 4319</v>
      </c>
      <c r="G2395" s="20" t="s">
        <v>7265</v>
      </c>
      <c r="H2395" s="49" t="s">
        <v>213</v>
      </c>
      <c r="I2395" s="18" t="s">
        <v>37</v>
      </c>
      <c r="J2395" s="18" t="s">
        <v>38</v>
      </c>
      <c r="K2395" t="s">
        <v>39</v>
      </c>
      <c r="L2395" s="50">
        <f>VLOOKUP(A2395,'[3]Price info'!A:D,4,FALSE)</f>
        <v>3.5</v>
      </c>
      <c r="M2395" s="18" t="s">
        <v>214</v>
      </c>
      <c r="N2395" s="20">
        <v>3105</v>
      </c>
      <c r="P2395" s="16">
        <f>VLOOKUP(A2395,'[3]Price info'!A:H,8,FALSE)</f>
        <v>3.5</v>
      </c>
      <c r="Q2395" s="17">
        <f t="shared" si="149"/>
        <v>1</v>
      </c>
      <c r="S2395" s="16" t="e">
        <f>VLOOKUP(A2395,[4]Sales!$E:$G,3,FALSE)</f>
        <v>#N/A</v>
      </c>
      <c r="T2395" s="19" t="e">
        <f>VLOOKUP(A2395,[4]Volume!$E:$G,3,FALSE)</f>
        <v>#N/A</v>
      </c>
      <c r="U2395" s="19" t="e">
        <f>VLOOKUP(A2395,[4]Piece!$E:$G,3,FALSE)</f>
        <v>#N/A</v>
      </c>
      <c r="V2395" s="21" t="e">
        <f t="shared" si="150"/>
        <v>#N/A</v>
      </c>
      <c r="W2395" s="16" t="e">
        <f t="shared" si="151"/>
        <v>#N/A</v>
      </c>
    </row>
    <row r="2396" spans="1:23" hidden="1" x14ac:dyDescent="0.3">
      <c r="A2396" s="71" t="s">
        <v>4728</v>
      </c>
      <c r="B2396" s="71" t="s">
        <v>4728</v>
      </c>
      <c r="C2396" s="51" t="s">
        <v>33</v>
      </c>
      <c r="D2396" s="48" t="s">
        <v>34</v>
      </c>
      <c r="E2396" s="18" t="s">
        <v>4729</v>
      </c>
      <c r="F2396" s="24" t="str">
        <f t="shared" si="148"/>
        <v>PPG - TESA  PRECISION    PROMO PACK</v>
      </c>
      <c r="G2396" s="20" t="s">
        <v>7266</v>
      </c>
      <c r="H2396" s="49" t="s">
        <v>213</v>
      </c>
      <c r="I2396" s="18" t="s">
        <v>37</v>
      </c>
      <c r="J2396" s="18" t="s">
        <v>38</v>
      </c>
      <c r="K2396" t="s">
        <v>39</v>
      </c>
      <c r="L2396" s="50">
        <f>VLOOKUP(A2396,'[3]Price info'!A:D,4,FALSE)</f>
        <v>28.82</v>
      </c>
      <c r="M2396" s="18" t="s">
        <v>214</v>
      </c>
      <c r="N2396" s="20">
        <v>3105</v>
      </c>
      <c r="P2396" s="16">
        <f>VLOOKUP(A2396,'[3]Price info'!A:H,8,FALSE)</f>
        <v>28.82</v>
      </c>
      <c r="Q2396" s="17">
        <f t="shared" si="149"/>
        <v>1</v>
      </c>
      <c r="S2396" s="16" t="e">
        <f>VLOOKUP(A2396,[4]Sales!$E:$G,3,FALSE)</f>
        <v>#N/A</v>
      </c>
      <c r="T2396" s="19" t="e">
        <f>VLOOKUP(A2396,[4]Volume!$E:$G,3,FALSE)</f>
        <v>#N/A</v>
      </c>
      <c r="U2396" s="19" t="e">
        <f>VLOOKUP(A2396,[4]Piece!$E:$G,3,FALSE)</f>
        <v>#N/A</v>
      </c>
      <c r="V2396" s="21" t="e">
        <f t="shared" si="150"/>
        <v>#N/A</v>
      </c>
      <c r="W2396" s="16" t="e">
        <f t="shared" si="151"/>
        <v>#N/A</v>
      </c>
    </row>
    <row r="2397" spans="1:23" hidden="1" x14ac:dyDescent="0.3">
      <c r="A2397" s="71" t="s">
        <v>4730</v>
      </c>
      <c r="B2397" s="71" t="s">
        <v>4730</v>
      </c>
      <c r="C2397" s="47" t="s">
        <v>33</v>
      </c>
      <c r="D2397" s="48" t="s">
        <v>34</v>
      </c>
      <c r="E2397" s="18" t="s">
        <v>4731</v>
      </c>
      <c r="F2397" s="24" t="str">
        <f t="shared" si="148"/>
        <v>PPG - THINNER 20-05               0000TREU2200</v>
      </c>
      <c r="G2397" s="20" t="s">
        <v>7267</v>
      </c>
      <c r="H2397" s="49" t="s">
        <v>213</v>
      </c>
      <c r="I2397" s="18" t="s">
        <v>37</v>
      </c>
      <c r="J2397" s="18" t="s">
        <v>38</v>
      </c>
      <c r="K2397" t="s">
        <v>39</v>
      </c>
      <c r="L2397" s="50">
        <f>VLOOKUP(A2397,'[3]Price info'!A:D,4,FALSE)</f>
        <v>216.04</v>
      </c>
      <c r="M2397" s="18" t="s">
        <v>214</v>
      </c>
      <c r="N2397" s="20">
        <v>3105</v>
      </c>
      <c r="P2397" s="16">
        <f>VLOOKUP(A2397,'[3]Price info'!A:H,8,FALSE)</f>
        <v>216.04</v>
      </c>
      <c r="Q2397" s="17">
        <f t="shared" si="149"/>
        <v>1</v>
      </c>
      <c r="S2397" s="16" t="e">
        <f>VLOOKUP(A2397,[4]Sales!$E:$G,3,FALSE)</f>
        <v>#N/A</v>
      </c>
      <c r="T2397" s="19" t="e">
        <f>VLOOKUP(A2397,[4]Volume!$E:$G,3,FALSE)</f>
        <v>#N/A</v>
      </c>
      <c r="U2397" s="19" t="e">
        <f>VLOOKUP(A2397,[4]Piece!$E:$G,3,FALSE)</f>
        <v>#N/A</v>
      </c>
      <c r="V2397" s="21" t="e">
        <f t="shared" si="150"/>
        <v>#N/A</v>
      </c>
      <c r="W2397" s="16" t="e">
        <f t="shared" si="151"/>
        <v>#N/A</v>
      </c>
    </row>
    <row r="2398" spans="1:23" hidden="1" x14ac:dyDescent="0.3">
      <c r="A2398" s="71" t="s">
        <v>4732</v>
      </c>
      <c r="B2398" s="71" t="s">
        <v>4732</v>
      </c>
      <c r="C2398" s="47" t="s">
        <v>33</v>
      </c>
      <c r="D2398" s="48" t="s">
        <v>34</v>
      </c>
      <c r="E2398" s="18" t="s">
        <v>4733</v>
      </c>
      <c r="F2398" s="24" t="str">
        <f t="shared" si="148"/>
        <v>PPG - THINNER 21-06               0000TREU2200</v>
      </c>
      <c r="G2398" s="20" t="s">
        <v>7268</v>
      </c>
      <c r="H2398" s="49" t="s">
        <v>213</v>
      </c>
      <c r="I2398" s="18" t="s">
        <v>37</v>
      </c>
      <c r="J2398" s="18" t="s">
        <v>38</v>
      </c>
      <c r="K2398" t="s">
        <v>39</v>
      </c>
      <c r="L2398" s="50">
        <f>VLOOKUP(A2398,'[3]Price info'!A:D,4,FALSE)</f>
        <v>236.64</v>
      </c>
      <c r="M2398" s="18" t="s">
        <v>214</v>
      </c>
      <c r="N2398" s="20">
        <v>3105</v>
      </c>
      <c r="P2398" s="16">
        <f>VLOOKUP(A2398,'[3]Price info'!A:H,8,FALSE)</f>
        <v>236.64</v>
      </c>
      <c r="Q2398" s="17">
        <f t="shared" si="149"/>
        <v>1</v>
      </c>
      <c r="S2398" s="16" t="e">
        <f>VLOOKUP(A2398,[4]Sales!$E:$G,3,FALSE)</f>
        <v>#N/A</v>
      </c>
      <c r="T2398" s="19" t="e">
        <f>VLOOKUP(A2398,[4]Volume!$E:$G,3,FALSE)</f>
        <v>#N/A</v>
      </c>
      <c r="U2398" s="19" t="e">
        <f>VLOOKUP(A2398,[4]Piece!$E:$G,3,FALSE)</f>
        <v>#N/A</v>
      </c>
      <c r="V2398" s="21" t="e">
        <f t="shared" si="150"/>
        <v>#N/A</v>
      </c>
      <c r="W2398" s="16" t="e">
        <f t="shared" si="151"/>
        <v>#N/A</v>
      </c>
    </row>
    <row r="2399" spans="1:23" hidden="1" x14ac:dyDescent="0.3">
      <c r="A2399" s="71" t="s">
        <v>4734</v>
      </c>
      <c r="B2399" s="71" t="s">
        <v>4734</v>
      </c>
      <c r="C2399" s="51" t="s">
        <v>33</v>
      </c>
      <c r="D2399" s="48" t="s">
        <v>34</v>
      </c>
      <c r="E2399" s="18" t="s">
        <v>4735</v>
      </c>
      <c r="F2399" s="24" t="str">
        <f t="shared" si="148"/>
        <v>PPG - THINNER 21-25               0000TREU1500</v>
      </c>
      <c r="G2399" s="20" t="s">
        <v>7269</v>
      </c>
      <c r="H2399" s="49" t="s">
        <v>213</v>
      </c>
      <c r="I2399" s="18" t="s">
        <v>37</v>
      </c>
      <c r="J2399" s="18" t="s">
        <v>38</v>
      </c>
      <c r="K2399" t="s">
        <v>39</v>
      </c>
      <c r="L2399" s="50">
        <f>VLOOKUP(A2399,'[3]Price info'!A:D,4,FALSE)</f>
        <v>91.16</v>
      </c>
      <c r="M2399" s="18" t="s">
        <v>214</v>
      </c>
      <c r="N2399" s="20">
        <v>3105</v>
      </c>
      <c r="P2399" s="16">
        <f>VLOOKUP(A2399,'[3]Price info'!A:H,8,FALSE)</f>
        <v>91.16</v>
      </c>
      <c r="Q2399" s="17">
        <f t="shared" si="149"/>
        <v>1</v>
      </c>
      <c r="S2399" s="16" t="e">
        <f>VLOOKUP(A2399,[4]Sales!$E:$G,3,FALSE)</f>
        <v>#N/A</v>
      </c>
      <c r="T2399" s="19" t="e">
        <f>VLOOKUP(A2399,[4]Volume!$E:$G,3,FALSE)</f>
        <v>#N/A</v>
      </c>
      <c r="U2399" s="19" t="e">
        <f>VLOOKUP(A2399,[4]Piece!$E:$G,3,FALSE)</f>
        <v>#N/A</v>
      </c>
      <c r="V2399" s="21" t="e">
        <f t="shared" si="150"/>
        <v>#N/A</v>
      </c>
      <c r="W2399" s="16" t="e">
        <f t="shared" si="151"/>
        <v>#N/A</v>
      </c>
    </row>
    <row r="2400" spans="1:23" hidden="1" x14ac:dyDescent="0.3">
      <c r="A2400" s="71" t="s">
        <v>4736</v>
      </c>
      <c r="B2400" s="71" t="s">
        <v>4736</v>
      </c>
      <c r="C2400" s="47" t="s">
        <v>33</v>
      </c>
      <c r="D2400" s="48" t="s">
        <v>34</v>
      </c>
      <c r="E2400" s="18" t="s">
        <v>4737</v>
      </c>
      <c r="F2400" s="24" t="str">
        <f t="shared" si="148"/>
        <v>PPG - THINNER 60-12               0000TRCN2200</v>
      </c>
      <c r="G2400" s="20" t="s">
        <v>7270</v>
      </c>
      <c r="H2400" s="49" t="s">
        <v>213</v>
      </c>
      <c r="I2400" s="18" t="s">
        <v>37</v>
      </c>
      <c r="J2400" s="18" t="s">
        <v>38</v>
      </c>
      <c r="K2400" t="s">
        <v>39</v>
      </c>
      <c r="L2400" s="50">
        <f>VLOOKUP(A2400,'[3]Price info'!A:D,4,FALSE)</f>
        <v>296.58</v>
      </c>
      <c r="M2400" s="18" t="s">
        <v>214</v>
      </c>
      <c r="N2400" s="20">
        <v>3105</v>
      </c>
      <c r="P2400" s="16">
        <f>VLOOKUP(A2400,'[3]Price info'!A:H,8,FALSE)</f>
        <v>296.58</v>
      </c>
      <c r="Q2400" s="17">
        <f t="shared" si="149"/>
        <v>1</v>
      </c>
      <c r="S2400" s="16" t="e">
        <f>VLOOKUP(A2400,[4]Sales!$E:$G,3,FALSE)</f>
        <v>#N/A</v>
      </c>
      <c r="T2400" s="19" t="e">
        <f>VLOOKUP(A2400,[4]Volume!$E:$G,3,FALSE)</f>
        <v>#N/A</v>
      </c>
      <c r="U2400" s="19" t="e">
        <f>VLOOKUP(A2400,[4]Piece!$E:$G,3,FALSE)</f>
        <v>#N/A</v>
      </c>
      <c r="V2400" s="21" t="e">
        <f t="shared" si="150"/>
        <v>#N/A</v>
      </c>
      <c r="W2400" s="16" t="e">
        <f t="shared" si="151"/>
        <v>#N/A</v>
      </c>
    </row>
    <row r="2401" spans="1:23" hidden="1" x14ac:dyDescent="0.3">
      <c r="A2401" s="71" t="s">
        <v>4738</v>
      </c>
      <c r="B2401" s="71" t="s">
        <v>4738</v>
      </c>
      <c r="C2401" s="47" t="s">
        <v>33</v>
      </c>
      <c r="D2401" s="48" t="s">
        <v>34</v>
      </c>
      <c r="E2401" s="18" t="s">
        <v>4739</v>
      </c>
      <c r="F2401" s="24" t="str">
        <f t="shared" si="148"/>
        <v>PPG - THINNER 60-12               0000TREU1500</v>
      </c>
      <c r="G2401" s="20" t="s">
        <v>7271</v>
      </c>
      <c r="H2401" s="49" t="s">
        <v>213</v>
      </c>
      <c r="I2401" s="18" t="s">
        <v>37</v>
      </c>
      <c r="J2401" s="18" t="s">
        <v>38</v>
      </c>
      <c r="K2401" t="s">
        <v>39</v>
      </c>
      <c r="L2401" s="50">
        <f>VLOOKUP(A2401,'[3]Price info'!A:D,4,FALSE)</f>
        <v>82.66</v>
      </c>
      <c r="M2401" s="18" t="s">
        <v>214</v>
      </c>
      <c r="N2401" s="20">
        <v>3105</v>
      </c>
      <c r="P2401" s="16">
        <f>VLOOKUP(A2401,'[3]Price info'!A:H,8,FALSE)</f>
        <v>82.66</v>
      </c>
      <c r="Q2401" s="17">
        <f t="shared" si="149"/>
        <v>1</v>
      </c>
      <c r="S2401" s="16" t="e">
        <f>VLOOKUP(A2401,[4]Sales!$E:$G,3,FALSE)</f>
        <v>#N/A</v>
      </c>
      <c r="T2401" s="19" t="e">
        <f>VLOOKUP(A2401,[4]Volume!$E:$G,3,FALSE)</f>
        <v>#N/A</v>
      </c>
      <c r="U2401" s="19" t="e">
        <f>VLOOKUP(A2401,[4]Piece!$E:$G,3,FALSE)</f>
        <v>#N/A</v>
      </c>
      <c r="V2401" s="21" t="e">
        <f t="shared" si="150"/>
        <v>#N/A</v>
      </c>
      <c r="W2401" s="16" t="e">
        <f t="shared" si="151"/>
        <v>#N/A</v>
      </c>
    </row>
    <row r="2402" spans="1:23" hidden="1" x14ac:dyDescent="0.3">
      <c r="A2402" s="71" t="s">
        <v>4740</v>
      </c>
      <c r="B2402" s="71" t="s">
        <v>4740</v>
      </c>
      <c r="C2402" s="51" t="s">
        <v>33</v>
      </c>
      <c r="D2402" s="48" t="s">
        <v>34</v>
      </c>
      <c r="E2402" s="18" t="s">
        <v>4741</v>
      </c>
      <c r="F2402" s="24" t="str">
        <f t="shared" si="148"/>
        <v>PPG - THINNER 60-15               0000TREU1500</v>
      </c>
      <c r="G2402" s="20" t="s">
        <v>7272</v>
      </c>
      <c r="H2402" s="49" t="s">
        <v>213</v>
      </c>
      <c r="I2402" s="18" t="s">
        <v>37</v>
      </c>
      <c r="J2402" s="18" t="s">
        <v>38</v>
      </c>
      <c r="K2402" t="s">
        <v>39</v>
      </c>
      <c r="L2402" s="50">
        <f>VLOOKUP(A2402,'[3]Price info'!A:D,4,FALSE)</f>
        <v>70.72</v>
      </c>
      <c r="M2402" s="18" t="s">
        <v>214</v>
      </c>
      <c r="N2402" s="20">
        <v>3105</v>
      </c>
      <c r="P2402" s="16">
        <f>VLOOKUP(A2402,'[3]Price info'!A:H,8,FALSE)</f>
        <v>70.72</v>
      </c>
      <c r="Q2402" s="17">
        <f t="shared" si="149"/>
        <v>1</v>
      </c>
      <c r="S2402" s="16" t="e">
        <f>VLOOKUP(A2402,[4]Sales!$E:$G,3,FALSE)</f>
        <v>#N/A</v>
      </c>
      <c r="T2402" s="19" t="e">
        <f>VLOOKUP(A2402,[4]Volume!$E:$G,3,FALSE)</f>
        <v>#N/A</v>
      </c>
      <c r="U2402" s="19" t="e">
        <f>VLOOKUP(A2402,[4]Piece!$E:$G,3,FALSE)</f>
        <v>#N/A</v>
      </c>
      <c r="V2402" s="21" t="e">
        <f t="shared" si="150"/>
        <v>#N/A</v>
      </c>
      <c r="W2402" s="16" t="e">
        <f t="shared" si="151"/>
        <v>#N/A</v>
      </c>
    </row>
    <row r="2403" spans="1:23" hidden="1" x14ac:dyDescent="0.3">
      <c r="A2403" s="71" t="s">
        <v>4742</v>
      </c>
      <c r="B2403" s="71" t="s">
        <v>4742</v>
      </c>
      <c r="C2403" s="47" t="s">
        <v>33</v>
      </c>
      <c r="D2403" s="48" t="s">
        <v>34</v>
      </c>
      <c r="E2403" s="18" t="s">
        <v>4743</v>
      </c>
      <c r="F2403" s="24" t="str">
        <f t="shared" si="148"/>
        <v>PPG - THINNER 60-15               0000TREU2200</v>
      </c>
      <c r="G2403" s="20" t="s">
        <v>7273</v>
      </c>
      <c r="H2403" s="49" t="s">
        <v>213</v>
      </c>
      <c r="I2403" s="18" t="s">
        <v>37</v>
      </c>
      <c r="J2403" s="18" t="s">
        <v>38</v>
      </c>
      <c r="K2403" t="s">
        <v>39</v>
      </c>
      <c r="L2403" s="50">
        <f>VLOOKUP(A2403,'[3]Price info'!A:D,4,FALSE)</f>
        <v>253.49</v>
      </c>
      <c r="M2403" s="18" t="s">
        <v>214</v>
      </c>
      <c r="N2403" s="20">
        <v>3105</v>
      </c>
      <c r="P2403" s="16">
        <f>VLOOKUP(A2403,'[3]Price info'!A:H,8,FALSE)</f>
        <v>253.49</v>
      </c>
      <c r="Q2403" s="17">
        <f t="shared" si="149"/>
        <v>1</v>
      </c>
      <c r="S2403" s="16" t="e">
        <f>VLOOKUP(A2403,[4]Sales!$E:$G,3,FALSE)</f>
        <v>#N/A</v>
      </c>
      <c r="T2403" s="19" t="e">
        <f>VLOOKUP(A2403,[4]Volume!$E:$G,3,FALSE)</f>
        <v>#N/A</v>
      </c>
      <c r="U2403" s="19" t="e">
        <f>VLOOKUP(A2403,[4]Piece!$E:$G,3,FALSE)</f>
        <v>#N/A</v>
      </c>
      <c r="V2403" s="21" t="e">
        <f t="shared" si="150"/>
        <v>#N/A</v>
      </c>
      <c r="W2403" s="16" t="e">
        <f t="shared" si="151"/>
        <v>#N/A</v>
      </c>
    </row>
    <row r="2404" spans="1:23" hidden="1" x14ac:dyDescent="0.3">
      <c r="A2404" s="71" t="s">
        <v>4744</v>
      </c>
      <c r="B2404" s="71" t="s">
        <v>4744</v>
      </c>
      <c r="C2404" s="47" t="s">
        <v>33</v>
      </c>
      <c r="D2404" s="48" t="s">
        <v>34</v>
      </c>
      <c r="E2404" s="18" t="s">
        <v>4745</v>
      </c>
      <c r="F2404" s="24" t="str">
        <f t="shared" si="148"/>
        <v>PPG - THINNER 90-53               0000TREU2200</v>
      </c>
      <c r="G2404" s="20" t="s">
        <v>7274</v>
      </c>
      <c r="H2404" s="49" t="s">
        <v>213</v>
      </c>
      <c r="I2404" s="18" t="s">
        <v>37</v>
      </c>
      <c r="J2404" s="18" t="s">
        <v>38</v>
      </c>
      <c r="K2404" t="s">
        <v>39</v>
      </c>
      <c r="L2404" s="50">
        <f>VLOOKUP(A2404,'[3]Price info'!A:D,4,FALSE)</f>
        <v>236.64</v>
      </c>
      <c r="M2404" s="18" t="s">
        <v>214</v>
      </c>
      <c r="N2404" s="20">
        <v>3105</v>
      </c>
      <c r="P2404" s="16">
        <f>VLOOKUP(A2404,'[3]Price info'!A:H,8,FALSE)</f>
        <v>236.64</v>
      </c>
      <c r="Q2404" s="17">
        <f t="shared" si="149"/>
        <v>1</v>
      </c>
      <c r="S2404" s="16" t="e">
        <f>VLOOKUP(A2404,[4]Sales!$E:$G,3,FALSE)</f>
        <v>#N/A</v>
      </c>
      <c r="T2404" s="19" t="e">
        <f>VLOOKUP(A2404,[4]Volume!$E:$G,3,FALSE)</f>
        <v>#N/A</v>
      </c>
      <c r="U2404" s="19" t="e">
        <f>VLOOKUP(A2404,[4]Piece!$E:$G,3,FALSE)</f>
        <v>#N/A</v>
      </c>
      <c r="V2404" s="21" t="e">
        <f t="shared" si="150"/>
        <v>#N/A</v>
      </c>
      <c r="W2404" s="16" t="e">
        <f t="shared" si="151"/>
        <v>#N/A</v>
      </c>
    </row>
    <row r="2405" spans="1:23" hidden="1" x14ac:dyDescent="0.3">
      <c r="A2405" s="71" t="s">
        <v>4746</v>
      </c>
      <c r="B2405" s="71" t="s">
        <v>4746</v>
      </c>
      <c r="C2405" s="51" t="s">
        <v>33</v>
      </c>
      <c r="D2405" s="48" t="s">
        <v>34</v>
      </c>
      <c r="E2405" s="18" t="s">
        <v>4747</v>
      </c>
      <c r="F2405" s="24" t="str">
        <f t="shared" si="148"/>
        <v>PPG - THINNER 90-58               0000TRCN2200</v>
      </c>
      <c r="G2405" s="20" t="s">
        <v>7275</v>
      </c>
      <c r="H2405" s="49" t="s">
        <v>213</v>
      </c>
      <c r="I2405" s="18" t="s">
        <v>37</v>
      </c>
      <c r="J2405" s="18" t="s">
        <v>38</v>
      </c>
      <c r="K2405" t="s">
        <v>39</v>
      </c>
      <c r="L2405" s="50">
        <f>VLOOKUP(A2405,'[3]Price info'!A:D,4,FALSE)</f>
        <v>209.47</v>
      </c>
      <c r="M2405" s="18" t="s">
        <v>214</v>
      </c>
      <c r="N2405" s="20">
        <v>3105</v>
      </c>
      <c r="P2405" s="16">
        <f>VLOOKUP(A2405,'[3]Price info'!A:H,8,FALSE)</f>
        <v>209.47</v>
      </c>
      <c r="Q2405" s="17">
        <f t="shared" si="149"/>
        <v>1</v>
      </c>
      <c r="S2405" s="16" t="e">
        <f>VLOOKUP(A2405,[4]Sales!$E:$G,3,FALSE)</f>
        <v>#N/A</v>
      </c>
      <c r="T2405" s="19" t="e">
        <f>VLOOKUP(A2405,[4]Volume!$E:$G,3,FALSE)</f>
        <v>#N/A</v>
      </c>
      <c r="U2405" s="19" t="e">
        <f>VLOOKUP(A2405,[4]Piece!$E:$G,3,FALSE)</f>
        <v>#N/A</v>
      </c>
      <c r="V2405" s="21" t="e">
        <f t="shared" si="150"/>
        <v>#N/A</v>
      </c>
      <c r="W2405" s="16" t="e">
        <f t="shared" si="151"/>
        <v>#N/A</v>
      </c>
    </row>
    <row r="2406" spans="1:23" hidden="1" x14ac:dyDescent="0.3">
      <c r="A2406" s="71" t="s">
        <v>4748</v>
      </c>
      <c r="B2406" s="71" t="s">
        <v>4748</v>
      </c>
      <c r="C2406" s="47" t="s">
        <v>33</v>
      </c>
      <c r="D2406" s="48" t="s">
        <v>34</v>
      </c>
      <c r="E2406" s="18" t="s">
        <v>4749</v>
      </c>
      <c r="F2406" s="24" t="str">
        <f t="shared" si="148"/>
        <v>PPG - THINNER 90-58               0000TREU1500</v>
      </c>
      <c r="G2406" s="20" t="s">
        <v>7276</v>
      </c>
      <c r="H2406" s="49" t="s">
        <v>213</v>
      </c>
      <c r="I2406" s="18" t="s">
        <v>37</v>
      </c>
      <c r="J2406" s="18" t="s">
        <v>38</v>
      </c>
      <c r="K2406" t="s">
        <v>39</v>
      </c>
      <c r="L2406" s="50">
        <f>VLOOKUP(A2406,'[3]Price info'!A:D,4,FALSE)</f>
        <v>58.46</v>
      </c>
      <c r="M2406" s="18" t="s">
        <v>214</v>
      </c>
      <c r="N2406" s="20">
        <v>3105</v>
      </c>
      <c r="P2406" s="16">
        <f>VLOOKUP(A2406,'[3]Price info'!A:H,8,FALSE)</f>
        <v>58.46</v>
      </c>
      <c r="Q2406" s="17">
        <f t="shared" si="149"/>
        <v>1</v>
      </c>
      <c r="S2406" s="16" t="e">
        <f>VLOOKUP(A2406,[4]Sales!$E:$G,3,FALSE)</f>
        <v>#N/A</v>
      </c>
      <c r="T2406" s="19" t="e">
        <f>VLOOKUP(A2406,[4]Volume!$E:$G,3,FALSE)</f>
        <v>#N/A</v>
      </c>
      <c r="U2406" s="19" t="e">
        <f>VLOOKUP(A2406,[4]Piece!$E:$G,3,FALSE)</f>
        <v>#N/A</v>
      </c>
      <c r="V2406" s="21" t="e">
        <f t="shared" si="150"/>
        <v>#N/A</v>
      </c>
      <c r="W2406" s="16" t="e">
        <f t="shared" si="151"/>
        <v>#N/A</v>
      </c>
    </row>
    <row r="2407" spans="1:23" hidden="1" x14ac:dyDescent="0.3">
      <c r="A2407" s="71" t="s">
        <v>4750</v>
      </c>
      <c r="B2407" s="71" t="s">
        <v>4750</v>
      </c>
      <c r="C2407" s="47" t="s">
        <v>33</v>
      </c>
      <c r="D2407" s="48" t="s">
        <v>34</v>
      </c>
      <c r="E2407" s="18" t="s">
        <v>4751</v>
      </c>
      <c r="F2407" s="24" t="str">
        <f t="shared" si="148"/>
        <v>PPG - THINNER 90-83               0000TREU2200</v>
      </c>
      <c r="G2407" s="20" t="s">
        <v>7277</v>
      </c>
      <c r="H2407" s="49" t="s">
        <v>213</v>
      </c>
      <c r="I2407" s="18" t="s">
        <v>37</v>
      </c>
      <c r="J2407" s="18" t="s">
        <v>38</v>
      </c>
      <c r="K2407" t="s">
        <v>39</v>
      </c>
      <c r="L2407" s="50">
        <f>VLOOKUP(A2407,'[3]Price info'!A:D,4,FALSE)</f>
        <v>222.9</v>
      </c>
      <c r="M2407" s="18" t="s">
        <v>214</v>
      </c>
      <c r="N2407" s="20">
        <v>3105</v>
      </c>
      <c r="P2407" s="16">
        <f>VLOOKUP(A2407,'[3]Price info'!A:H,8,FALSE)</f>
        <v>222.9</v>
      </c>
      <c r="Q2407" s="17">
        <f t="shared" si="149"/>
        <v>1</v>
      </c>
      <c r="S2407" s="16" t="e">
        <f>VLOOKUP(A2407,[4]Sales!$E:$G,3,FALSE)</f>
        <v>#N/A</v>
      </c>
      <c r="T2407" s="19" t="e">
        <f>VLOOKUP(A2407,[4]Volume!$E:$G,3,FALSE)</f>
        <v>#N/A</v>
      </c>
      <c r="U2407" s="19" t="e">
        <f>VLOOKUP(A2407,[4]Piece!$E:$G,3,FALSE)</f>
        <v>#N/A</v>
      </c>
      <c r="V2407" s="21" t="e">
        <f t="shared" si="150"/>
        <v>#N/A</v>
      </c>
      <c r="W2407" s="16" t="e">
        <f t="shared" si="151"/>
        <v>#N/A</v>
      </c>
    </row>
    <row r="2408" spans="1:23" hidden="1" x14ac:dyDescent="0.3">
      <c r="A2408" s="71" t="s">
        <v>4752</v>
      </c>
      <c r="B2408" s="71" t="s">
        <v>4752</v>
      </c>
      <c r="C2408" s="51" t="s">
        <v>33</v>
      </c>
      <c r="D2408" s="48" t="s">
        <v>34</v>
      </c>
      <c r="E2408" s="18" t="s">
        <v>4753</v>
      </c>
      <c r="F2408" s="24" t="str">
        <f t="shared" si="148"/>
        <v>PPG - THINNER 91-79               0000TREU1500</v>
      </c>
      <c r="G2408" s="20" t="s">
        <v>7278</v>
      </c>
      <c r="H2408" s="49" t="s">
        <v>213</v>
      </c>
      <c r="I2408" s="18" t="s">
        <v>37</v>
      </c>
      <c r="J2408" s="18" t="s">
        <v>38</v>
      </c>
      <c r="K2408" t="s">
        <v>39</v>
      </c>
      <c r="L2408" s="50">
        <f>VLOOKUP(A2408,'[3]Price info'!A:D,4,FALSE)</f>
        <v>72.28</v>
      </c>
      <c r="M2408" s="18" t="s">
        <v>214</v>
      </c>
      <c r="N2408" s="20">
        <v>3105</v>
      </c>
      <c r="P2408" s="16">
        <f>VLOOKUP(A2408,'[3]Price info'!A:H,8,FALSE)</f>
        <v>72.28</v>
      </c>
      <c r="Q2408" s="17">
        <f t="shared" si="149"/>
        <v>1</v>
      </c>
      <c r="S2408" s="16" t="e">
        <f>VLOOKUP(A2408,[4]Sales!$E:$G,3,FALSE)</f>
        <v>#N/A</v>
      </c>
      <c r="T2408" s="19" t="e">
        <f>VLOOKUP(A2408,[4]Volume!$E:$G,3,FALSE)</f>
        <v>#N/A</v>
      </c>
      <c r="U2408" s="19" t="e">
        <f>VLOOKUP(A2408,[4]Piece!$E:$G,3,FALSE)</f>
        <v>#N/A</v>
      </c>
      <c r="V2408" s="21" t="e">
        <f t="shared" si="150"/>
        <v>#N/A</v>
      </c>
      <c r="W2408" s="16" t="e">
        <f t="shared" si="151"/>
        <v>#N/A</v>
      </c>
    </row>
    <row r="2409" spans="1:23" hidden="1" x14ac:dyDescent="0.3">
      <c r="A2409" s="71" t="s">
        <v>4754</v>
      </c>
      <c r="B2409" s="71" t="s">
        <v>4754</v>
      </c>
      <c r="C2409" s="47" t="s">
        <v>33</v>
      </c>
      <c r="D2409" s="48" t="s">
        <v>34</v>
      </c>
      <c r="E2409" s="18" t="s">
        <v>4755</v>
      </c>
      <c r="F2409" s="24" t="str">
        <f t="shared" si="148"/>
        <v>PPG - THINNER 91-79               0000TREU2200</v>
      </c>
      <c r="G2409" s="20" t="s">
        <v>7279</v>
      </c>
      <c r="H2409" s="49" t="s">
        <v>213</v>
      </c>
      <c r="I2409" s="18" t="s">
        <v>37</v>
      </c>
      <c r="J2409" s="18" t="s">
        <v>38</v>
      </c>
      <c r="K2409" t="s">
        <v>39</v>
      </c>
      <c r="L2409" s="50">
        <f>VLOOKUP(A2409,'[3]Price info'!A:D,4,FALSE)</f>
        <v>259.42</v>
      </c>
      <c r="M2409" s="18" t="s">
        <v>214</v>
      </c>
      <c r="N2409" s="20">
        <v>3105</v>
      </c>
      <c r="P2409" s="16">
        <f>VLOOKUP(A2409,'[3]Price info'!A:H,8,FALSE)</f>
        <v>259.42</v>
      </c>
      <c r="Q2409" s="17">
        <f t="shared" si="149"/>
        <v>1</v>
      </c>
      <c r="S2409" s="16" t="e">
        <f>VLOOKUP(A2409,[4]Sales!$E:$G,3,FALSE)</f>
        <v>#N/A</v>
      </c>
      <c r="T2409" s="19" t="e">
        <f>VLOOKUP(A2409,[4]Volume!$E:$G,3,FALSE)</f>
        <v>#N/A</v>
      </c>
      <c r="U2409" s="19" t="e">
        <f>VLOOKUP(A2409,[4]Piece!$E:$G,3,FALSE)</f>
        <v>#N/A</v>
      </c>
      <c r="V2409" s="21" t="e">
        <f t="shared" si="150"/>
        <v>#N/A</v>
      </c>
      <c r="W2409" s="16" t="e">
        <f t="shared" si="151"/>
        <v>#N/A</v>
      </c>
    </row>
    <row r="2410" spans="1:23" hidden="1" x14ac:dyDescent="0.3">
      <c r="A2410" s="71" t="s">
        <v>4756</v>
      </c>
      <c r="B2410" s="71" t="s">
        <v>4756</v>
      </c>
      <c r="C2410" s="47" t="s">
        <v>33</v>
      </c>
      <c r="D2410" s="48" t="s">
        <v>34</v>
      </c>
      <c r="E2410" s="18" t="s">
        <v>4757</v>
      </c>
      <c r="F2410" s="24" t="str">
        <f t="shared" si="148"/>
        <v>PPG - THINNER 91-92               0000TREU1500</v>
      </c>
      <c r="G2410" s="20" t="s">
        <v>7280</v>
      </c>
      <c r="H2410" s="49" t="s">
        <v>213</v>
      </c>
      <c r="I2410" s="18" t="s">
        <v>37</v>
      </c>
      <c r="J2410" s="18" t="s">
        <v>38</v>
      </c>
      <c r="K2410" t="s">
        <v>39</v>
      </c>
      <c r="L2410" s="50">
        <f>VLOOKUP(A2410,'[3]Price info'!A:D,4,FALSE)</f>
        <v>32.619999999999997</v>
      </c>
      <c r="M2410" s="18" t="s">
        <v>214</v>
      </c>
      <c r="N2410" s="20">
        <v>3105</v>
      </c>
      <c r="P2410" s="16">
        <f>VLOOKUP(A2410,'[3]Price info'!A:H,8,FALSE)</f>
        <v>32.619999999999997</v>
      </c>
      <c r="Q2410" s="17">
        <f t="shared" si="149"/>
        <v>1</v>
      </c>
      <c r="S2410" s="16">
        <f>VLOOKUP(A2410,[4]Sales!$E:$G,3,FALSE)</f>
        <v>32.619999999999997</v>
      </c>
      <c r="T2410" s="19">
        <f>VLOOKUP(A2410,[4]Volume!$E:$G,3,FALSE)</f>
        <v>5</v>
      </c>
      <c r="U2410" s="19">
        <f>VLOOKUP(A2410,[4]Piece!$E:$G,3,FALSE)</f>
        <v>1</v>
      </c>
      <c r="V2410" s="21">
        <f t="shared" si="150"/>
        <v>32.619999999999997</v>
      </c>
      <c r="W2410" s="16">
        <f t="shared" si="151"/>
        <v>0</v>
      </c>
    </row>
    <row r="2411" spans="1:23" hidden="1" x14ac:dyDescent="0.3">
      <c r="A2411" s="71" t="s">
        <v>4758</v>
      </c>
      <c r="B2411" s="71" t="s">
        <v>4758</v>
      </c>
      <c r="C2411" s="51" t="s">
        <v>33</v>
      </c>
      <c r="D2411" s="48" t="s">
        <v>34</v>
      </c>
      <c r="E2411" s="18" t="s">
        <v>4759</v>
      </c>
      <c r="F2411" s="24" t="str">
        <f t="shared" si="148"/>
        <v>PPG - THINNER 91-92               0000TREU2200</v>
      </c>
      <c r="G2411" s="20" t="s">
        <v>7281</v>
      </c>
      <c r="H2411" s="49" t="s">
        <v>213</v>
      </c>
      <c r="I2411" s="18" t="s">
        <v>37</v>
      </c>
      <c r="J2411" s="18" t="s">
        <v>38</v>
      </c>
      <c r="K2411" t="s">
        <v>39</v>
      </c>
      <c r="L2411" s="50">
        <f>VLOOKUP(A2411,'[3]Price info'!A:D,4,FALSE)</f>
        <v>222.9</v>
      </c>
      <c r="M2411" s="18" t="s">
        <v>214</v>
      </c>
      <c r="N2411" s="20">
        <v>3105</v>
      </c>
      <c r="P2411" s="16">
        <f>VLOOKUP(A2411,'[3]Price info'!A:H,8,FALSE)</f>
        <v>222.9</v>
      </c>
      <c r="Q2411" s="17">
        <f t="shared" si="149"/>
        <v>1</v>
      </c>
      <c r="S2411" s="16" t="e">
        <f>VLOOKUP(A2411,[4]Sales!$E:$G,3,FALSE)</f>
        <v>#N/A</v>
      </c>
      <c r="T2411" s="19" t="e">
        <f>VLOOKUP(A2411,[4]Volume!$E:$G,3,FALSE)</f>
        <v>#N/A</v>
      </c>
      <c r="U2411" s="19" t="e">
        <f>VLOOKUP(A2411,[4]Piece!$E:$G,3,FALSE)</f>
        <v>#N/A</v>
      </c>
      <c r="V2411" s="21" t="e">
        <f t="shared" si="150"/>
        <v>#N/A</v>
      </c>
      <c r="W2411" s="16" t="e">
        <f t="shared" si="151"/>
        <v>#N/A</v>
      </c>
    </row>
    <row r="2412" spans="1:23" hidden="1" x14ac:dyDescent="0.3">
      <c r="A2412" s="71" t="s">
        <v>4760</v>
      </c>
      <c r="B2412" s="71" t="s">
        <v>4760</v>
      </c>
      <c r="C2412" s="47" t="s">
        <v>33</v>
      </c>
      <c r="D2412" s="48" t="s">
        <v>34</v>
      </c>
      <c r="E2412" s="18" t="s">
        <v>4761</v>
      </c>
      <c r="F2412" s="24" t="str">
        <f t="shared" si="148"/>
        <v>PPG - UB    ESSENTIALS   9"VALUEKIT</v>
      </c>
      <c r="G2412" s="20" t="s">
        <v>7282</v>
      </c>
      <c r="H2412" s="49" t="s">
        <v>213</v>
      </c>
      <c r="I2412" s="18" t="s">
        <v>37</v>
      </c>
      <c r="J2412" s="18" t="s">
        <v>38</v>
      </c>
      <c r="K2412" t="s">
        <v>39</v>
      </c>
      <c r="L2412" s="50">
        <f>VLOOKUP(A2412,'[3]Price info'!A:D,4,FALSE)</f>
        <v>4.26</v>
      </c>
      <c r="M2412" s="18" t="s">
        <v>214</v>
      </c>
      <c r="N2412" s="20">
        <v>3105</v>
      </c>
      <c r="P2412" s="16">
        <f>VLOOKUP(A2412,'[3]Price info'!A:H,8,FALSE)</f>
        <v>4.26</v>
      </c>
      <c r="Q2412" s="17">
        <f t="shared" si="149"/>
        <v>1</v>
      </c>
      <c r="S2412" s="16" t="e">
        <f>VLOOKUP(A2412,[4]Sales!$E:$G,3,FALSE)</f>
        <v>#N/A</v>
      </c>
      <c r="T2412" s="19" t="e">
        <f>VLOOKUP(A2412,[4]Volume!$E:$G,3,FALSE)</f>
        <v>#N/A</v>
      </c>
      <c r="U2412" s="19" t="e">
        <f>VLOOKUP(A2412,[4]Piece!$E:$G,3,FALSE)</f>
        <v>#N/A</v>
      </c>
      <c r="V2412" s="21" t="e">
        <f t="shared" si="150"/>
        <v>#N/A</v>
      </c>
      <c r="W2412" s="16" t="e">
        <f t="shared" si="151"/>
        <v>#N/A</v>
      </c>
    </row>
    <row r="2413" spans="1:23" hidden="1" x14ac:dyDescent="0.3">
      <c r="A2413" s="71" t="s">
        <v>4762</v>
      </c>
      <c r="B2413" s="71" t="s">
        <v>4762</v>
      </c>
      <c r="C2413" s="47" t="s">
        <v>33</v>
      </c>
      <c r="D2413" s="48" t="s">
        <v>34</v>
      </c>
      <c r="E2413" s="18" t="s">
        <v>4763</v>
      </c>
      <c r="F2413" s="24" t="str">
        <f t="shared" si="148"/>
        <v>PPG - WATCO 4 HOUR EPOXY PRIMER     5ltr</v>
      </c>
      <c r="G2413" s="20" t="s">
        <v>7283</v>
      </c>
      <c r="H2413" s="49" t="s">
        <v>213</v>
      </c>
      <c r="I2413" s="18" t="s">
        <v>37</v>
      </c>
      <c r="J2413" s="18" t="s">
        <v>38</v>
      </c>
      <c r="K2413" t="s">
        <v>39</v>
      </c>
      <c r="L2413" s="50">
        <f>VLOOKUP(A2413,'[3]Price info'!A:D,4,FALSE)</f>
        <v>109.46</v>
      </c>
      <c r="M2413" s="18" t="s">
        <v>214</v>
      </c>
      <c r="N2413" s="20">
        <v>3105</v>
      </c>
      <c r="P2413" s="16">
        <f>VLOOKUP(A2413,'[3]Price info'!A:H,8,FALSE)</f>
        <v>109.46</v>
      </c>
      <c r="Q2413" s="17">
        <f t="shared" si="149"/>
        <v>1</v>
      </c>
      <c r="S2413" s="16" t="e">
        <f>VLOOKUP(A2413,[4]Sales!$E:$G,3,FALSE)</f>
        <v>#N/A</v>
      </c>
      <c r="T2413" s="19" t="e">
        <f>VLOOKUP(A2413,[4]Volume!$E:$G,3,FALSE)</f>
        <v>#N/A</v>
      </c>
      <c r="U2413" s="19" t="e">
        <f>VLOOKUP(A2413,[4]Piece!$E:$G,3,FALSE)</f>
        <v>#N/A</v>
      </c>
      <c r="V2413" s="21" t="e">
        <f t="shared" si="150"/>
        <v>#N/A</v>
      </c>
      <c r="W2413" s="16" t="e">
        <f t="shared" si="151"/>
        <v>#N/A</v>
      </c>
    </row>
    <row r="2414" spans="1:23" hidden="1" x14ac:dyDescent="0.3">
      <c r="A2414" s="71" t="s">
        <v>4764</v>
      </c>
      <c r="B2414" s="71" t="s">
        <v>4764</v>
      </c>
      <c r="C2414" s="51" t="s">
        <v>33</v>
      </c>
      <c r="D2414" s="48" t="s">
        <v>34</v>
      </c>
      <c r="E2414" s="18" t="s">
        <v>4765</v>
      </c>
      <c r="F2414" s="24" t="str">
        <f t="shared" si="148"/>
        <v>PPG - WATCO A/SLIP CONC  FLR PT     5ltr</v>
      </c>
      <c r="G2414" s="20" t="s">
        <v>7284</v>
      </c>
      <c r="H2414" s="49" t="s">
        <v>213</v>
      </c>
      <c r="I2414" s="18" t="s">
        <v>37</v>
      </c>
      <c r="J2414" s="18" t="s">
        <v>38</v>
      </c>
      <c r="K2414" t="s">
        <v>39</v>
      </c>
      <c r="L2414" s="50">
        <f>VLOOKUP(A2414,'[3]Price info'!A:D,4,FALSE)</f>
        <v>112.37</v>
      </c>
      <c r="M2414" s="18" t="s">
        <v>214</v>
      </c>
      <c r="N2414" s="20">
        <v>3105</v>
      </c>
      <c r="P2414" s="16">
        <f>VLOOKUP(A2414,'[3]Price info'!A:H,8,FALSE)</f>
        <v>112.37</v>
      </c>
      <c r="Q2414" s="17">
        <f t="shared" si="149"/>
        <v>1</v>
      </c>
      <c r="S2414" s="16">
        <f>VLOOKUP(A2414,[4]Sales!$E:$G,3,FALSE)</f>
        <v>175.2</v>
      </c>
      <c r="T2414" s="19">
        <f>VLOOKUP(A2414,[4]Volume!$E:$G,3,FALSE)</f>
        <v>10</v>
      </c>
      <c r="U2414" s="19">
        <f>VLOOKUP(A2414,[4]Piece!$E:$G,3,FALSE)</f>
        <v>2</v>
      </c>
      <c r="V2414" s="21">
        <f t="shared" si="150"/>
        <v>224.74</v>
      </c>
      <c r="W2414" s="16">
        <f t="shared" si="151"/>
        <v>49.54000000000002</v>
      </c>
    </row>
    <row r="2415" spans="1:23" hidden="1" x14ac:dyDescent="0.3">
      <c r="A2415" s="71" t="s">
        <v>4766</v>
      </c>
      <c r="B2415" s="71" t="s">
        <v>4766</v>
      </c>
      <c r="C2415" s="47" t="s">
        <v>33</v>
      </c>
      <c r="D2415" s="48" t="s">
        <v>34</v>
      </c>
      <c r="E2415" s="18" t="s">
        <v>4767</v>
      </c>
      <c r="F2415" s="24" t="str">
        <f t="shared" si="148"/>
        <v>PPG - WATCO ASPHALT PT              5ltr</v>
      </c>
      <c r="G2415" s="20" t="s">
        <v>7285</v>
      </c>
      <c r="H2415" s="49" t="s">
        <v>213</v>
      </c>
      <c r="I2415" s="18" t="s">
        <v>37</v>
      </c>
      <c r="J2415" s="18" t="s">
        <v>38</v>
      </c>
      <c r="K2415" t="s">
        <v>39</v>
      </c>
      <c r="L2415" s="50">
        <f>VLOOKUP(A2415,'[3]Price info'!A:D,4,FALSE)</f>
        <v>128.71</v>
      </c>
      <c r="M2415" s="18" t="s">
        <v>214</v>
      </c>
      <c r="N2415" s="20">
        <v>3105</v>
      </c>
      <c r="P2415" s="16">
        <f>VLOOKUP(A2415,'[3]Price info'!A:H,8,FALSE)</f>
        <v>128.71</v>
      </c>
      <c r="Q2415" s="17">
        <f t="shared" si="149"/>
        <v>1</v>
      </c>
      <c r="S2415" s="16" t="e">
        <f>VLOOKUP(A2415,[4]Sales!$E:$G,3,FALSE)</f>
        <v>#N/A</v>
      </c>
      <c r="T2415" s="19" t="e">
        <f>VLOOKUP(A2415,[4]Volume!$E:$G,3,FALSE)</f>
        <v>#N/A</v>
      </c>
      <c r="U2415" s="19" t="e">
        <f>VLOOKUP(A2415,[4]Piece!$E:$G,3,FALSE)</f>
        <v>#N/A</v>
      </c>
      <c r="V2415" s="21" t="e">
        <f t="shared" si="150"/>
        <v>#N/A</v>
      </c>
      <c r="W2415" s="16" t="e">
        <f t="shared" si="151"/>
        <v>#N/A</v>
      </c>
    </row>
    <row r="2416" spans="1:23" hidden="1" x14ac:dyDescent="0.3">
      <c r="A2416" s="71" t="s">
        <v>4768</v>
      </c>
      <c r="B2416" s="71" t="s">
        <v>4768</v>
      </c>
      <c r="C2416" s="47" t="s">
        <v>33</v>
      </c>
      <c r="D2416" s="48" t="s">
        <v>34</v>
      </c>
      <c r="E2416" s="18" t="s">
        <v>4769</v>
      </c>
      <c r="F2416" s="24" t="str">
        <f t="shared" si="148"/>
        <v>PPG - WATCO BALCONY COAT STD COLOUR 25kg</v>
      </c>
      <c r="G2416" s="20" t="s">
        <v>7286</v>
      </c>
      <c r="H2416" s="49" t="s">
        <v>213</v>
      </c>
      <c r="I2416" s="18" t="s">
        <v>37</v>
      </c>
      <c r="J2416" s="18" t="s">
        <v>38</v>
      </c>
      <c r="K2416" t="s">
        <v>39</v>
      </c>
      <c r="L2416" s="50">
        <f>VLOOKUP(A2416,'[3]Price info'!A:D,4,FALSE)</f>
        <v>174.81</v>
      </c>
      <c r="M2416" s="18" t="s">
        <v>214</v>
      </c>
      <c r="N2416" s="20">
        <v>3105</v>
      </c>
      <c r="P2416" s="16">
        <f>VLOOKUP(A2416,'[3]Price info'!A:H,8,FALSE)</f>
        <v>174.81</v>
      </c>
      <c r="Q2416" s="17">
        <f t="shared" si="149"/>
        <v>1</v>
      </c>
      <c r="S2416" s="16" t="e">
        <f>VLOOKUP(A2416,[4]Sales!$E:$G,3,FALSE)</f>
        <v>#N/A</v>
      </c>
      <c r="T2416" s="19" t="e">
        <f>VLOOKUP(A2416,[4]Volume!$E:$G,3,FALSE)</f>
        <v>#N/A</v>
      </c>
      <c r="U2416" s="19" t="e">
        <f>VLOOKUP(A2416,[4]Piece!$E:$G,3,FALSE)</f>
        <v>#N/A</v>
      </c>
      <c r="V2416" s="21" t="e">
        <f t="shared" si="150"/>
        <v>#N/A</v>
      </c>
      <c r="W2416" s="16" t="e">
        <f t="shared" si="151"/>
        <v>#N/A</v>
      </c>
    </row>
    <row r="2417" spans="1:23" hidden="1" x14ac:dyDescent="0.3">
      <c r="A2417" s="71" t="s">
        <v>4770</v>
      </c>
      <c r="B2417" s="71" t="s">
        <v>4770</v>
      </c>
      <c r="C2417" s="51" t="s">
        <v>33</v>
      </c>
      <c r="D2417" s="48" t="s">
        <v>34</v>
      </c>
      <c r="E2417" s="18" t="s">
        <v>4771</v>
      </c>
      <c r="F2417" s="24" t="str">
        <f t="shared" si="148"/>
        <v>PPG - WATCO BIO-D        DEGREASER  5ltr</v>
      </c>
      <c r="G2417" s="20" t="s">
        <v>7287</v>
      </c>
      <c r="H2417" s="49" t="s">
        <v>213</v>
      </c>
      <c r="I2417" s="18" t="s">
        <v>37</v>
      </c>
      <c r="J2417" s="18" t="s">
        <v>38</v>
      </c>
      <c r="K2417" t="s">
        <v>39</v>
      </c>
      <c r="L2417" s="50">
        <f>VLOOKUP(A2417,'[3]Price info'!A:D,4,FALSE)</f>
        <v>42.72</v>
      </c>
      <c r="M2417" s="18" t="s">
        <v>214</v>
      </c>
      <c r="N2417" s="20">
        <v>3105</v>
      </c>
      <c r="P2417" s="16">
        <f>VLOOKUP(A2417,'[3]Price info'!A:H,8,FALSE)</f>
        <v>42.72</v>
      </c>
      <c r="Q2417" s="17">
        <f t="shared" si="149"/>
        <v>1</v>
      </c>
      <c r="S2417" s="16" t="e">
        <f>VLOOKUP(A2417,[4]Sales!$E:$G,3,FALSE)</f>
        <v>#N/A</v>
      </c>
      <c r="T2417" s="19" t="e">
        <f>VLOOKUP(A2417,[4]Volume!$E:$G,3,FALSE)</f>
        <v>#N/A</v>
      </c>
      <c r="U2417" s="19" t="e">
        <f>VLOOKUP(A2417,[4]Piece!$E:$G,3,FALSE)</f>
        <v>#N/A</v>
      </c>
      <c r="V2417" s="21" t="e">
        <f t="shared" si="150"/>
        <v>#N/A</v>
      </c>
      <c r="W2417" s="16" t="e">
        <f t="shared" si="151"/>
        <v>#N/A</v>
      </c>
    </row>
    <row r="2418" spans="1:23" hidden="1" x14ac:dyDescent="0.3">
      <c r="A2418" s="71" t="s">
        <v>4772</v>
      </c>
      <c r="B2418" s="71" t="s">
        <v>4772</v>
      </c>
      <c r="C2418" s="47" t="s">
        <v>33</v>
      </c>
      <c r="D2418" s="48" t="s">
        <v>34</v>
      </c>
      <c r="E2418" s="18" t="s">
        <v>4773</v>
      </c>
      <c r="F2418" s="24" t="str">
        <f t="shared" si="148"/>
        <v>PPG - WATCO BUND SEALER  2PK        4ltr</v>
      </c>
      <c r="G2418" s="20" t="s">
        <v>7288</v>
      </c>
      <c r="H2418" s="49" t="s">
        <v>213</v>
      </c>
      <c r="I2418" s="18" t="s">
        <v>37</v>
      </c>
      <c r="J2418" s="18" t="s">
        <v>38</v>
      </c>
      <c r="K2418" t="s">
        <v>39</v>
      </c>
      <c r="L2418" s="50">
        <f>VLOOKUP(A2418,'[3]Price info'!A:D,4,FALSE)</f>
        <v>230.81</v>
      </c>
      <c r="M2418" s="18" t="s">
        <v>214</v>
      </c>
      <c r="N2418" s="20">
        <v>3105</v>
      </c>
      <c r="P2418" s="16">
        <f>VLOOKUP(A2418,'[3]Price info'!A:H,8,FALSE)</f>
        <v>230.81</v>
      </c>
      <c r="Q2418" s="17">
        <f t="shared" si="149"/>
        <v>1</v>
      </c>
      <c r="S2418" s="16" t="e">
        <f>VLOOKUP(A2418,[4]Sales!$E:$G,3,FALSE)</f>
        <v>#N/A</v>
      </c>
      <c r="T2418" s="19" t="e">
        <f>VLOOKUP(A2418,[4]Volume!$E:$G,3,FALSE)</f>
        <v>#N/A</v>
      </c>
      <c r="U2418" s="19" t="e">
        <f>VLOOKUP(A2418,[4]Piece!$E:$G,3,FALSE)</f>
        <v>#N/A</v>
      </c>
      <c r="V2418" s="21" t="e">
        <f t="shared" si="150"/>
        <v>#N/A</v>
      </c>
      <c r="W2418" s="16" t="e">
        <f t="shared" si="151"/>
        <v>#N/A</v>
      </c>
    </row>
    <row r="2419" spans="1:23" hidden="1" x14ac:dyDescent="0.3">
      <c r="A2419" s="71" t="s">
        <v>4774</v>
      </c>
      <c r="B2419" s="71" t="s">
        <v>4774</v>
      </c>
      <c r="C2419" s="47" t="s">
        <v>33</v>
      </c>
      <c r="D2419" s="48" t="s">
        <v>34</v>
      </c>
      <c r="E2419" s="18" t="s">
        <v>4775</v>
      </c>
      <c r="F2419" s="24" t="str">
        <f t="shared" si="148"/>
        <v>PPG - WATCO CHEMI-COAT   STD COLS   4ltr</v>
      </c>
      <c r="G2419" s="20" t="s">
        <v>7289</v>
      </c>
      <c r="H2419" s="49" t="s">
        <v>213</v>
      </c>
      <c r="I2419" s="18" t="s">
        <v>37</v>
      </c>
      <c r="J2419" s="18" t="s">
        <v>38</v>
      </c>
      <c r="K2419" t="s">
        <v>39</v>
      </c>
      <c r="L2419" s="50">
        <f>VLOOKUP(A2419,'[3]Price info'!A:D,4,FALSE)</f>
        <v>216.95</v>
      </c>
      <c r="M2419" s="18" t="s">
        <v>214</v>
      </c>
      <c r="N2419" s="20">
        <v>3105</v>
      </c>
      <c r="P2419" s="16">
        <f>VLOOKUP(A2419,'[3]Price info'!A:H,8,FALSE)</f>
        <v>216.95</v>
      </c>
      <c r="Q2419" s="17">
        <f t="shared" si="149"/>
        <v>1</v>
      </c>
      <c r="S2419" s="16" t="e">
        <f>VLOOKUP(A2419,[4]Sales!$E:$G,3,FALSE)</f>
        <v>#N/A</v>
      </c>
      <c r="T2419" s="19" t="e">
        <f>VLOOKUP(A2419,[4]Volume!$E:$G,3,FALSE)</f>
        <v>#N/A</v>
      </c>
      <c r="U2419" s="19" t="e">
        <f>VLOOKUP(A2419,[4]Piece!$E:$G,3,FALSE)</f>
        <v>#N/A</v>
      </c>
      <c r="V2419" s="21" t="e">
        <f t="shared" si="150"/>
        <v>#N/A</v>
      </c>
      <c r="W2419" s="16" t="e">
        <f t="shared" si="151"/>
        <v>#N/A</v>
      </c>
    </row>
    <row r="2420" spans="1:23" hidden="1" x14ac:dyDescent="0.3">
      <c r="A2420" s="71" t="s">
        <v>4776</v>
      </c>
      <c r="B2420" s="71" t="s">
        <v>4776</v>
      </c>
      <c r="C2420" s="51" t="s">
        <v>33</v>
      </c>
      <c r="D2420" s="48" t="s">
        <v>34</v>
      </c>
      <c r="E2420" s="18" t="s">
        <v>4777</v>
      </c>
      <c r="F2420" s="24" t="str">
        <f t="shared" si="148"/>
        <v>PPG - WATCO COLD SET     ALL COLS   2.5ltr</v>
      </c>
      <c r="G2420" s="20" t="s">
        <v>7290</v>
      </c>
      <c r="H2420" s="49" t="s">
        <v>213</v>
      </c>
      <c r="I2420" s="18" t="s">
        <v>37</v>
      </c>
      <c r="J2420" s="18" t="s">
        <v>38</v>
      </c>
      <c r="K2420" t="s">
        <v>39</v>
      </c>
      <c r="L2420" s="50">
        <f>VLOOKUP(A2420,'[3]Price info'!A:D,4,FALSE)</f>
        <v>253.78</v>
      </c>
      <c r="M2420" s="18" t="s">
        <v>214</v>
      </c>
      <c r="N2420" s="20">
        <v>3105</v>
      </c>
      <c r="P2420" s="16">
        <f>VLOOKUP(A2420,'[3]Price info'!A:H,8,FALSE)</f>
        <v>253.78</v>
      </c>
      <c r="Q2420" s="17">
        <f t="shared" si="149"/>
        <v>1</v>
      </c>
      <c r="S2420" s="16" t="e">
        <f>VLOOKUP(A2420,[4]Sales!$E:$G,3,FALSE)</f>
        <v>#N/A</v>
      </c>
      <c r="T2420" s="19" t="e">
        <f>VLOOKUP(A2420,[4]Volume!$E:$G,3,FALSE)</f>
        <v>#N/A</v>
      </c>
      <c r="U2420" s="19" t="e">
        <f>VLOOKUP(A2420,[4]Piece!$E:$G,3,FALSE)</f>
        <v>#N/A</v>
      </c>
      <c r="V2420" s="21" t="e">
        <f t="shared" si="150"/>
        <v>#N/A</v>
      </c>
      <c r="W2420" s="16" t="e">
        <f t="shared" si="151"/>
        <v>#N/A</v>
      </c>
    </row>
    <row r="2421" spans="1:23" hidden="1" x14ac:dyDescent="0.3">
      <c r="A2421" s="71" t="s">
        <v>4778</v>
      </c>
      <c r="B2421" s="71" t="s">
        <v>4778</v>
      </c>
      <c r="C2421" s="47" t="s">
        <v>33</v>
      </c>
      <c r="D2421" s="48" t="s">
        <v>34</v>
      </c>
      <c r="E2421" s="18" t="s">
        <v>4779</v>
      </c>
      <c r="F2421" s="24" t="str">
        <f t="shared" si="148"/>
        <v>PPG - WATCO CONCRETE F/P STD COL    5ltr</v>
      </c>
      <c r="G2421" s="20" t="s">
        <v>7291</v>
      </c>
      <c r="H2421" s="49" t="s">
        <v>213</v>
      </c>
      <c r="I2421" s="18" t="s">
        <v>37</v>
      </c>
      <c r="J2421" s="18" t="s">
        <v>38</v>
      </c>
      <c r="K2421" t="s">
        <v>39</v>
      </c>
      <c r="L2421" s="50">
        <f>VLOOKUP(A2421,'[3]Price info'!A:D,4,FALSE)</f>
        <v>104.28</v>
      </c>
      <c r="M2421" s="18" t="s">
        <v>214</v>
      </c>
      <c r="N2421" s="20">
        <v>3105</v>
      </c>
      <c r="P2421" s="16">
        <f>VLOOKUP(A2421,'[3]Price info'!A:H,8,FALSE)</f>
        <v>104.28</v>
      </c>
      <c r="Q2421" s="17">
        <f t="shared" si="149"/>
        <v>1</v>
      </c>
      <c r="S2421" s="16" t="e">
        <f>VLOOKUP(A2421,[4]Sales!$E:$G,3,FALSE)</f>
        <v>#N/A</v>
      </c>
      <c r="T2421" s="19" t="e">
        <f>VLOOKUP(A2421,[4]Volume!$E:$G,3,FALSE)</f>
        <v>#N/A</v>
      </c>
      <c r="U2421" s="19" t="e">
        <f>VLOOKUP(A2421,[4]Piece!$E:$G,3,FALSE)</f>
        <v>#N/A</v>
      </c>
      <c r="V2421" s="21" t="e">
        <f t="shared" si="150"/>
        <v>#N/A</v>
      </c>
      <c r="W2421" s="16" t="e">
        <f t="shared" si="151"/>
        <v>#N/A</v>
      </c>
    </row>
    <row r="2422" spans="1:23" hidden="1" x14ac:dyDescent="0.3">
      <c r="A2422" s="71" t="s">
        <v>4780</v>
      </c>
      <c r="B2422" s="71" t="s">
        <v>4780</v>
      </c>
      <c r="C2422" s="47" t="s">
        <v>33</v>
      </c>
      <c r="D2422" s="48" t="s">
        <v>34</v>
      </c>
      <c r="E2422" s="18" t="s">
        <v>4781</v>
      </c>
      <c r="F2422" s="24" t="str">
        <f t="shared" si="148"/>
        <v>PPG - WATCO CONCRETE WB  SEAL MATT  5ltr</v>
      </c>
      <c r="G2422" s="20" t="s">
        <v>7292</v>
      </c>
      <c r="H2422" s="49" t="s">
        <v>213</v>
      </c>
      <c r="I2422" s="18" t="s">
        <v>37</v>
      </c>
      <c r="J2422" s="18" t="s">
        <v>38</v>
      </c>
      <c r="K2422" t="s">
        <v>39</v>
      </c>
      <c r="L2422" s="50">
        <f>VLOOKUP(A2422,'[3]Price info'!A:D,4,FALSE)</f>
        <v>91.73</v>
      </c>
      <c r="M2422" s="18" t="s">
        <v>214</v>
      </c>
      <c r="N2422" s="20">
        <v>3105</v>
      </c>
      <c r="P2422" s="16">
        <f>VLOOKUP(A2422,'[3]Price info'!A:H,8,FALSE)</f>
        <v>91.73</v>
      </c>
      <c r="Q2422" s="17">
        <f t="shared" si="149"/>
        <v>1</v>
      </c>
      <c r="S2422" s="16" t="e">
        <f>VLOOKUP(A2422,[4]Sales!$E:$G,3,FALSE)</f>
        <v>#N/A</v>
      </c>
      <c r="T2422" s="19" t="e">
        <f>VLOOKUP(A2422,[4]Volume!$E:$G,3,FALSE)</f>
        <v>#N/A</v>
      </c>
      <c r="U2422" s="19" t="e">
        <f>VLOOKUP(A2422,[4]Piece!$E:$G,3,FALSE)</f>
        <v>#N/A</v>
      </c>
      <c r="V2422" s="21" t="e">
        <f t="shared" si="150"/>
        <v>#N/A</v>
      </c>
      <c r="W2422" s="16" t="e">
        <f t="shared" si="151"/>
        <v>#N/A</v>
      </c>
    </row>
    <row r="2423" spans="1:23" hidden="1" x14ac:dyDescent="0.3">
      <c r="A2423" s="71" t="s">
        <v>4782</v>
      </c>
      <c r="B2423" s="71" t="s">
        <v>4782</v>
      </c>
      <c r="C2423" s="51" t="s">
        <v>33</v>
      </c>
      <c r="D2423" s="48" t="s">
        <v>34</v>
      </c>
      <c r="E2423" s="18" t="s">
        <v>4783</v>
      </c>
      <c r="F2423" s="24" t="str">
        <f t="shared" si="148"/>
        <v>PPG - WATCO CONCREX FINE FILLER 2PK 10kg</v>
      </c>
      <c r="G2423" s="20" t="s">
        <v>7293</v>
      </c>
      <c r="H2423" s="49" t="s">
        <v>213</v>
      </c>
      <c r="I2423" s="18" t="s">
        <v>37</v>
      </c>
      <c r="J2423" s="18" t="s">
        <v>38</v>
      </c>
      <c r="K2423" t="s">
        <v>39</v>
      </c>
      <c r="L2423" s="50">
        <f>VLOOKUP(A2423,'[3]Price info'!A:D,4,FALSE)</f>
        <v>59.27</v>
      </c>
      <c r="M2423" s="18" t="s">
        <v>214</v>
      </c>
      <c r="N2423" s="20">
        <v>3105</v>
      </c>
      <c r="P2423" s="16">
        <f>VLOOKUP(A2423,'[3]Price info'!A:H,8,FALSE)</f>
        <v>59.27</v>
      </c>
      <c r="Q2423" s="17">
        <f t="shared" si="149"/>
        <v>1</v>
      </c>
      <c r="S2423" s="16" t="e">
        <f>VLOOKUP(A2423,[4]Sales!$E:$G,3,FALSE)</f>
        <v>#N/A</v>
      </c>
      <c r="T2423" s="19" t="e">
        <f>VLOOKUP(A2423,[4]Volume!$E:$G,3,FALSE)</f>
        <v>#N/A</v>
      </c>
      <c r="U2423" s="19" t="e">
        <f>VLOOKUP(A2423,[4]Piece!$E:$G,3,FALSE)</f>
        <v>#N/A</v>
      </c>
      <c r="V2423" s="21" t="e">
        <f t="shared" si="150"/>
        <v>#N/A</v>
      </c>
      <c r="W2423" s="16" t="e">
        <f t="shared" si="151"/>
        <v>#N/A</v>
      </c>
    </row>
    <row r="2424" spans="1:23" hidden="1" x14ac:dyDescent="0.3">
      <c r="A2424" s="71" t="s">
        <v>4784</v>
      </c>
      <c r="B2424" s="71" t="s">
        <v>4784</v>
      </c>
      <c r="C2424" s="47" t="s">
        <v>33</v>
      </c>
      <c r="D2424" s="48" t="s">
        <v>34</v>
      </c>
      <c r="E2424" s="18" t="s">
        <v>4785</v>
      </c>
      <c r="F2424" s="24" t="str">
        <f t="shared" si="148"/>
        <v>PPG - WATCO EPOXICOTE AD ANTI SLIP  4ltr</v>
      </c>
      <c r="G2424" s="20" t="s">
        <v>7294</v>
      </c>
      <c r="H2424" s="49" t="s">
        <v>213</v>
      </c>
      <c r="I2424" s="18" t="s">
        <v>37</v>
      </c>
      <c r="J2424" s="18" t="s">
        <v>38</v>
      </c>
      <c r="K2424" t="s">
        <v>39</v>
      </c>
      <c r="L2424" s="50">
        <f>VLOOKUP(A2424,'[3]Price info'!A:D,4,FALSE)</f>
        <v>282</v>
      </c>
      <c r="M2424" s="18" t="s">
        <v>214</v>
      </c>
      <c r="N2424" s="20">
        <v>3105</v>
      </c>
      <c r="P2424" s="16">
        <f>VLOOKUP(A2424,'[3]Price info'!A:H,8,FALSE)</f>
        <v>282</v>
      </c>
      <c r="Q2424" s="17">
        <f t="shared" si="149"/>
        <v>1</v>
      </c>
      <c r="S2424" s="16" t="e">
        <f>VLOOKUP(A2424,[4]Sales!$E:$G,3,FALSE)</f>
        <v>#N/A</v>
      </c>
      <c r="T2424" s="19" t="e">
        <f>VLOOKUP(A2424,[4]Volume!$E:$G,3,FALSE)</f>
        <v>#N/A</v>
      </c>
      <c r="U2424" s="19" t="e">
        <f>VLOOKUP(A2424,[4]Piece!$E:$G,3,FALSE)</f>
        <v>#N/A</v>
      </c>
      <c r="V2424" s="21" t="e">
        <f t="shared" si="150"/>
        <v>#N/A</v>
      </c>
      <c r="W2424" s="16" t="e">
        <f t="shared" si="151"/>
        <v>#N/A</v>
      </c>
    </row>
    <row r="2425" spans="1:23" hidden="1" x14ac:dyDescent="0.3">
      <c r="A2425" s="71" t="s">
        <v>4786</v>
      </c>
      <c r="B2425" s="71" t="s">
        <v>4786</v>
      </c>
      <c r="C2425" s="47" t="s">
        <v>33</v>
      </c>
      <c r="D2425" s="48" t="s">
        <v>34</v>
      </c>
      <c r="E2425" s="18" t="s">
        <v>4787</v>
      </c>
      <c r="F2425" s="24" t="str">
        <f t="shared" si="148"/>
        <v>PPG - WATCO EPOXY GLOSS  COAT WB    5ltr</v>
      </c>
      <c r="G2425" s="20" t="s">
        <v>7295</v>
      </c>
      <c r="H2425" s="49" t="s">
        <v>213</v>
      </c>
      <c r="I2425" s="18" t="s">
        <v>37</v>
      </c>
      <c r="J2425" s="18" t="s">
        <v>38</v>
      </c>
      <c r="K2425" t="s">
        <v>39</v>
      </c>
      <c r="L2425" s="50">
        <f>VLOOKUP(A2425,'[3]Price info'!A:D,4,FALSE)</f>
        <v>199.07</v>
      </c>
      <c r="M2425" s="18" t="s">
        <v>214</v>
      </c>
      <c r="N2425" s="20">
        <v>3105</v>
      </c>
      <c r="P2425" s="16">
        <f>VLOOKUP(A2425,'[3]Price info'!A:H,8,FALSE)</f>
        <v>199.07</v>
      </c>
      <c r="Q2425" s="17">
        <f t="shared" si="149"/>
        <v>1</v>
      </c>
      <c r="S2425" s="16" t="e">
        <f>VLOOKUP(A2425,[4]Sales!$E:$G,3,FALSE)</f>
        <v>#N/A</v>
      </c>
      <c r="T2425" s="19" t="e">
        <f>VLOOKUP(A2425,[4]Volume!$E:$G,3,FALSE)</f>
        <v>#N/A</v>
      </c>
      <c r="U2425" s="19" t="e">
        <f>VLOOKUP(A2425,[4]Piece!$E:$G,3,FALSE)</f>
        <v>#N/A</v>
      </c>
      <c r="V2425" s="21" t="e">
        <f t="shared" si="150"/>
        <v>#N/A</v>
      </c>
      <c r="W2425" s="16" t="e">
        <f t="shared" si="151"/>
        <v>#N/A</v>
      </c>
    </row>
    <row r="2426" spans="1:23" hidden="1" x14ac:dyDescent="0.3">
      <c r="A2426" s="71" t="s">
        <v>4788</v>
      </c>
      <c r="B2426" s="71" t="s">
        <v>4788</v>
      </c>
      <c r="C2426" s="51" t="s">
        <v>33</v>
      </c>
      <c r="D2426" s="48" t="s">
        <v>34</v>
      </c>
      <c r="E2426" s="18" t="s">
        <v>4789</v>
      </c>
      <c r="F2426" s="24" t="str">
        <f t="shared" si="148"/>
        <v>PPG - WATCO EPOXY GLS M/GRY SP ONLY 5ltr</v>
      </c>
      <c r="G2426" s="20" t="s">
        <v>7296</v>
      </c>
      <c r="H2426" s="49" t="s">
        <v>213</v>
      </c>
      <c r="I2426" s="18" t="s">
        <v>37</v>
      </c>
      <c r="J2426" s="18" t="s">
        <v>38</v>
      </c>
      <c r="K2426" t="s">
        <v>39</v>
      </c>
      <c r="L2426" s="50">
        <f>VLOOKUP(A2426,'[3]Price info'!A:D,4,FALSE)</f>
        <v>199.07</v>
      </c>
      <c r="M2426" s="18" t="s">
        <v>214</v>
      </c>
      <c r="N2426" s="20">
        <v>3105</v>
      </c>
      <c r="P2426" s="16">
        <f>VLOOKUP(A2426,'[3]Price info'!A:H,8,FALSE)</f>
        <v>199.07</v>
      </c>
      <c r="Q2426" s="17">
        <f t="shared" si="149"/>
        <v>1</v>
      </c>
      <c r="S2426" s="16" t="e">
        <f>VLOOKUP(A2426,[4]Sales!$E:$G,3,FALSE)</f>
        <v>#N/A</v>
      </c>
      <c r="T2426" s="19" t="e">
        <f>VLOOKUP(A2426,[4]Volume!$E:$G,3,FALSE)</f>
        <v>#N/A</v>
      </c>
      <c r="U2426" s="19" t="e">
        <f>VLOOKUP(A2426,[4]Piece!$E:$G,3,FALSE)</f>
        <v>#N/A</v>
      </c>
      <c r="V2426" s="21" t="e">
        <f t="shared" si="150"/>
        <v>#N/A</v>
      </c>
      <c r="W2426" s="16" t="e">
        <f t="shared" si="151"/>
        <v>#N/A</v>
      </c>
    </row>
    <row r="2427" spans="1:23" hidden="1" x14ac:dyDescent="0.3">
      <c r="A2427" s="71" t="s">
        <v>4790</v>
      </c>
      <c r="B2427" s="71" t="s">
        <v>4790</v>
      </c>
      <c r="C2427" s="47" t="s">
        <v>33</v>
      </c>
      <c r="D2427" s="48" t="s">
        <v>34</v>
      </c>
      <c r="E2427" s="18" t="s">
        <v>4791</v>
      </c>
      <c r="F2427" s="24" t="str">
        <f t="shared" si="148"/>
        <v>PPG - WATCO EPOXYLINE               1ltr</v>
      </c>
      <c r="G2427" s="20" t="s">
        <v>7297</v>
      </c>
      <c r="H2427" s="49" t="s">
        <v>213</v>
      </c>
      <c r="I2427" s="18" t="s">
        <v>37</v>
      </c>
      <c r="J2427" s="18" t="s">
        <v>38</v>
      </c>
      <c r="K2427" t="s">
        <v>39</v>
      </c>
      <c r="L2427" s="50">
        <f>VLOOKUP(A2427,'[3]Price info'!A:D,4,FALSE)</f>
        <v>61.63</v>
      </c>
      <c r="M2427" s="18" t="s">
        <v>214</v>
      </c>
      <c r="N2427" s="20">
        <v>3105</v>
      </c>
      <c r="P2427" s="16">
        <f>VLOOKUP(A2427,'[3]Price info'!A:H,8,FALSE)</f>
        <v>61.63</v>
      </c>
      <c r="Q2427" s="17">
        <f t="shared" si="149"/>
        <v>1</v>
      </c>
      <c r="S2427" s="16" t="e">
        <f>VLOOKUP(A2427,[4]Sales!$E:$G,3,FALSE)</f>
        <v>#N/A</v>
      </c>
      <c r="T2427" s="19" t="e">
        <f>VLOOKUP(A2427,[4]Volume!$E:$G,3,FALSE)</f>
        <v>#N/A</v>
      </c>
      <c r="U2427" s="19" t="e">
        <f>VLOOKUP(A2427,[4]Piece!$E:$G,3,FALSE)</f>
        <v>#N/A</v>
      </c>
      <c r="V2427" s="21" t="e">
        <f t="shared" si="150"/>
        <v>#N/A</v>
      </c>
      <c r="W2427" s="16" t="e">
        <f t="shared" si="151"/>
        <v>#N/A</v>
      </c>
    </row>
    <row r="2428" spans="1:23" hidden="1" x14ac:dyDescent="0.3">
      <c r="A2428" s="71" t="s">
        <v>4792</v>
      </c>
      <c r="B2428" s="71" t="s">
        <v>4792</v>
      </c>
      <c r="C2428" s="47" t="s">
        <v>33</v>
      </c>
      <c r="D2428" s="48" t="s">
        <v>34</v>
      </c>
      <c r="E2428" s="18" t="s">
        <v>4793</v>
      </c>
      <c r="F2428" s="24" t="str">
        <f t="shared" si="148"/>
        <v>PPG - WATCO FIBREGLASS   REINF TAPE       1100</v>
      </c>
      <c r="G2428" s="20" t="s">
        <v>7298</v>
      </c>
      <c r="H2428" s="49" t="s">
        <v>213</v>
      </c>
      <c r="I2428" s="18" t="s">
        <v>37</v>
      </c>
      <c r="J2428" s="18" t="s">
        <v>38</v>
      </c>
      <c r="K2428" t="s">
        <v>39</v>
      </c>
      <c r="L2428" s="50">
        <f>VLOOKUP(A2428,'[3]Price info'!A:D,4,FALSE)</f>
        <v>46.34</v>
      </c>
      <c r="M2428" s="18" t="s">
        <v>214</v>
      </c>
      <c r="N2428" s="20">
        <v>3105</v>
      </c>
      <c r="P2428" s="16">
        <f>VLOOKUP(A2428,'[3]Price info'!A:H,8,FALSE)</f>
        <v>46.34</v>
      </c>
      <c r="Q2428" s="17">
        <f t="shared" si="149"/>
        <v>1</v>
      </c>
      <c r="S2428" s="16" t="e">
        <f>VLOOKUP(A2428,[4]Sales!$E:$G,3,FALSE)</f>
        <v>#N/A</v>
      </c>
      <c r="T2428" s="19" t="e">
        <f>VLOOKUP(A2428,[4]Volume!$E:$G,3,FALSE)</f>
        <v>#N/A</v>
      </c>
      <c r="U2428" s="19" t="e">
        <f>VLOOKUP(A2428,[4]Piece!$E:$G,3,FALSE)</f>
        <v>#N/A</v>
      </c>
      <c r="V2428" s="21" t="e">
        <f t="shared" si="150"/>
        <v>#N/A</v>
      </c>
      <c r="W2428" s="16" t="e">
        <f t="shared" si="151"/>
        <v>#N/A</v>
      </c>
    </row>
    <row r="2429" spans="1:23" hidden="1" x14ac:dyDescent="0.3">
      <c r="A2429" s="71" t="s">
        <v>4794</v>
      </c>
      <c r="B2429" s="71" t="s">
        <v>4794</v>
      </c>
      <c r="C2429" s="51" t="s">
        <v>33</v>
      </c>
      <c r="D2429" s="48" t="s">
        <v>34</v>
      </c>
      <c r="E2429" s="18" t="s">
        <v>4795</v>
      </c>
      <c r="F2429" s="24" t="str">
        <f t="shared" si="148"/>
        <v>PPG - WATCO FLOOR JOINT  SEALANT    2ltr</v>
      </c>
      <c r="G2429" s="20" t="s">
        <v>7299</v>
      </c>
      <c r="H2429" s="49" t="s">
        <v>213</v>
      </c>
      <c r="I2429" s="18" t="s">
        <v>37</v>
      </c>
      <c r="J2429" s="18" t="s">
        <v>38</v>
      </c>
      <c r="K2429" t="s">
        <v>39</v>
      </c>
      <c r="L2429" s="50">
        <f>VLOOKUP(A2429,'[3]Price info'!A:D,4,FALSE)</f>
        <v>86.27</v>
      </c>
      <c r="M2429" s="18" t="s">
        <v>214</v>
      </c>
      <c r="N2429" s="20">
        <v>3105</v>
      </c>
      <c r="P2429" s="16">
        <f>VLOOKUP(A2429,'[3]Price info'!A:H,8,FALSE)</f>
        <v>86.27</v>
      </c>
      <c r="Q2429" s="17">
        <f t="shared" si="149"/>
        <v>1</v>
      </c>
      <c r="S2429" s="16" t="e">
        <f>VLOOKUP(A2429,[4]Sales!$E:$G,3,FALSE)</f>
        <v>#N/A</v>
      </c>
      <c r="T2429" s="19" t="e">
        <f>VLOOKUP(A2429,[4]Volume!$E:$G,3,FALSE)</f>
        <v>#N/A</v>
      </c>
      <c r="U2429" s="19" t="e">
        <f>VLOOKUP(A2429,[4]Piece!$E:$G,3,FALSE)</f>
        <v>#N/A</v>
      </c>
      <c r="V2429" s="21" t="e">
        <f t="shared" si="150"/>
        <v>#N/A</v>
      </c>
      <c r="W2429" s="16" t="e">
        <f t="shared" si="151"/>
        <v>#N/A</v>
      </c>
    </row>
    <row r="2430" spans="1:23" hidden="1" x14ac:dyDescent="0.3">
      <c r="A2430" s="71" t="s">
        <v>4796</v>
      </c>
      <c r="B2430" s="71" t="s">
        <v>4796</v>
      </c>
      <c r="C2430" s="47" t="s">
        <v>33</v>
      </c>
      <c r="D2430" s="48" t="s">
        <v>34</v>
      </c>
      <c r="E2430" s="18" t="s">
        <v>4797</v>
      </c>
      <c r="F2430" s="24" t="str">
        <f t="shared" si="148"/>
        <v>PPG - WATCO FLOOR JOINT  SLR PRIMER 250ml</v>
      </c>
      <c r="G2430" s="20" t="s">
        <v>7300</v>
      </c>
      <c r="H2430" s="49" t="s">
        <v>213</v>
      </c>
      <c r="I2430" s="18" t="s">
        <v>37</v>
      </c>
      <c r="J2430" s="18" t="s">
        <v>38</v>
      </c>
      <c r="K2430" t="s">
        <v>39</v>
      </c>
      <c r="L2430" s="50">
        <f>VLOOKUP(A2430,'[3]Price info'!A:D,4,FALSE)</f>
        <v>16.260000000000002</v>
      </c>
      <c r="M2430" s="18" t="s">
        <v>214</v>
      </c>
      <c r="N2430" s="20">
        <v>3105</v>
      </c>
      <c r="P2430" s="16">
        <f>VLOOKUP(A2430,'[3]Price info'!A:H,8,FALSE)</f>
        <v>16.260000000000002</v>
      </c>
      <c r="Q2430" s="17">
        <f t="shared" si="149"/>
        <v>1</v>
      </c>
      <c r="S2430" s="16" t="e">
        <f>VLOOKUP(A2430,[4]Sales!$E:$G,3,FALSE)</f>
        <v>#N/A</v>
      </c>
      <c r="T2430" s="19" t="e">
        <f>VLOOKUP(A2430,[4]Volume!$E:$G,3,FALSE)</f>
        <v>#N/A</v>
      </c>
      <c r="U2430" s="19" t="e">
        <f>VLOOKUP(A2430,[4]Piece!$E:$G,3,FALSE)</f>
        <v>#N/A</v>
      </c>
      <c r="V2430" s="21" t="e">
        <f t="shared" si="150"/>
        <v>#N/A</v>
      </c>
      <c r="W2430" s="16" t="e">
        <f t="shared" si="151"/>
        <v>#N/A</v>
      </c>
    </row>
    <row r="2431" spans="1:23" hidden="1" x14ac:dyDescent="0.3">
      <c r="A2431" s="71" t="s">
        <v>4798</v>
      </c>
      <c r="B2431" s="71" t="s">
        <v>4798</v>
      </c>
      <c r="C2431" s="47" t="s">
        <v>33</v>
      </c>
      <c r="D2431" s="48" t="s">
        <v>34</v>
      </c>
      <c r="E2431" s="18" t="s">
        <v>4799</v>
      </c>
      <c r="F2431" s="24" t="str">
        <f t="shared" si="148"/>
        <v>PPG - WATCO FLOWTOP      GREY       25kg</v>
      </c>
      <c r="G2431" s="20" t="s">
        <v>7301</v>
      </c>
      <c r="H2431" s="49" t="s">
        <v>213</v>
      </c>
      <c r="I2431" s="18" t="s">
        <v>37</v>
      </c>
      <c r="J2431" s="18" t="s">
        <v>38</v>
      </c>
      <c r="K2431" t="s">
        <v>39</v>
      </c>
      <c r="L2431" s="50">
        <f>VLOOKUP(A2431,'[3]Price info'!A:D,4,FALSE)</f>
        <v>116.45</v>
      </c>
      <c r="M2431" s="18" t="s">
        <v>214</v>
      </c>
      <c r="N2431" s="20">
        <v>3105</v>
      </c>
      <c r="P2431" s="16">
        <f>VLOOKUP(A2431,'[3]Price info'!A:H,8,FALSE)</f>
        <v>116.45</v>
      </c>
      <c r="Q2431" s="17">
        <f t="shared" si="149"/>
        <v>1</v>
      </c>
      <c r="S2431" s="16" t="e">
        <f>VLOOKUP(A2431,[4]Sales!$E:$G,3,FALSE)</f>
        <v>#N/A</v>
      </c>
      <c r="T2431" s="19" t="e">
        <f>VLOOKUP(A2431,[4]Volume!$E:$G,3,FALSE)</f>
        <v>#N/A</v>
      </c>
      <c r="U2431" s="19" t="e">
        <f>VLOOKUP(A2431,[4]Piece!$E:$G,3,FALSE)</f>
        <v>#N/A</v>
      </c>
      <c r="V2431" s="21" t="e">
        <f t="shared" si="150"/>
        <v>#N/A</v>
      </c>
      <c r="W2431" s="16" t="e">
        <f t="shared" si="151"/>
        <v>#N/A</v>
      </c>
    </row>
    <row r="2432" spans="1:23" hidden="1" x14ac:dyDescent="0.3">
      <c r="A2432" s="71" t="s">
        <v>4800</v>
      </c>
      <c r="B2432" s="71" t="s">
        <v>4800</v>
      </c>
      <c r="C2432" s="51" t="s">
        <v>33</v>
      </c>
      <c r="D2432" s="48" t="s">
        <v>34</v>
      </c>
      <c r="E2432" s="18" t="s">
        <v>4801</v>
      </c>
      <c r="F2432" s="24" t="str">
        <f t="shared" si="148"/>
        <v>PPG - WATCO GALVAPRIME              1ltr</v>
      </c>
      <c r="G2432" s="20" t="s">
        <v>7302</v>
      </c>
      <c r="H2432" s="49" t="s">
        <v>213</v>
      </c>
      <c r="I2432" s="18" t="s">
        <v>37</v>
      </c>
      <c r="J2432" s="18" t="s">
        <v>38</v>
      </c>
      <c r="K2432" t="s">
        <v>39</v>
      </c>
      <c r="L2432" s="50">
        <f>VLOOKUP(A2432,'[3]Price info'!A:D,4,FALSE)</f>
        <v>37.08</v>
      </c>
      <c r="M2432" s="18" t="s">
        <v>214</v>
      </c>
      <c r="N2432" s="20">
        <v>3105</v>
      </c>
      <c r="P2432" s="16">
        <f>VLOOKUP(A2432,'[3]Price info'!A:H,8,FALSE)</f>
        <v>37.08</v>
      </c>
      <c r="Q2432" s="17">
        <f t="shared" si="149"/>
        <v>1</v>
      </c>
      <c r="S2432" s="16" t="e">
        <f>VLOOKUP(A2432,[4]Sales!$E:$G,3,FALSE)</f>
        <v>#N/A</v>
      </c>
      <c r="T2432" s="19" t="e">
        <f>VLOOKUP(A2432,[4]Volume!$E:$G,3,FALSE)</f>
        <v>#N/A</v>
      </c>
      <c r="U2432" s="19" t="e">
        <f>VLOOKUP(A2432,[4]Piece!$E:$G,3,FALSE)</f>
        <v>#N/A</v>
      </c>
      <c r="V2432" s="21" t="e">
        <f t="shared" si="150"/>
        <v>#N/A</v>
      </c>
      <c r="W2432" s="16" t="e">
        <f t="shared" si="151"/>
        <v>#N/A</v>
      </c>
    </row>
    <row r="2433" spans="1:23" hidden="1" x14ac:dyDescent="0.3">
      <c r="A2433" s="71" t="s">
        <v>4802</v>
      </c>
      <c r="B2433" s="71" t="s">
        <v>4802</v>
      </c>
      <c r="C2433" s="47" t="s">
        <v>33</v>
      </c>
      <c r="D2433" s="48" t="s">
        <v>34</v>
      </c>
      <c r="E2433" s="18" t="s">
        <v>4803</v>
      </c>
      <c r="F2433" s="24" t="str">
        <f t="shared" si="148"/>
        <v>PPG - WATCO HI VISIBILIT FLUOR YELL 2.5ltr</v>
      </c>
      <c r="G2433" s="20" t="s">
        <v>7303</v>
      </c>
      <c r="H2433" s="49" t="s">
        <v>213</v>
      </c>
      <c r="I2433" s="18" t="s">
        <v>37</v>
      </c>
      <c r="J2433" s="18" t="s">
        <v>38</v>
      </c>
      <c r="K2433" t="s">
        <v>39</v>
      </c>
      <c r="L2433" s="50">
        <f>VLOOKUP(A2433,'[3]Price info'!A:D,4,FALSE)</f>
        <v>88.82</v>
      </c>
      <c r="M2433" s="18" t="s">
        <v>214</v>
      </c>
      <c r="N2433" s="20">
        <v>3105</v>
      </c>
      <c r="P2433" s="16">
        <f>VLOOKUP(A2433,'[3]Price info'!A:H,8,FALSE)</f>
        <v>88.82</v>
      </c>
      <c r="Q2433" s="17">
        <f t="shared" si="149"/>
        <v>1</v>
      </c>
      <c r="S2433" s="16" t="e">
        <f>VLOOKUP(A2433,[4]Sales!$E:$G,3,FALSE)</f>
        <v>#N/A</v>
      </c>
      <c r="T2433" s="19" t="e">
        <f>VLOOKUP(A2433,[4]Volume!$E:$G,3,FALSE)</f>
        <v>#N/A</v>
      </c>
      <c r="U2433" s="19" t="e">
        <f>VLOOKUP(A2433,[4]Piece!$E:$G,3,FALSE)</f>
        <v>#N/A</v>
      </c>
      <c r="V2433" s="21" t="e">
        <f t="shared" si="150"/>
        <v>#N/A</v>
      </c>
      <c r="W2433" s="16" t="e">
        <f t="shared" si="151"/>
        <v>#N/A</v>
      </c>
    </row>
    <row r="2434" spans="1:23" hidden="1" x14ac:dyDescent="0.3">
      <c r="A2434" s="71" t="s">
        <v>4804</v>
      </c>
      <c r="B2434" s="71" t="s">
        <v>4804</v>
      </c>
      <c r="C2434" s="47" t="s">
        <v>33</v>
      </c>
      <c r="D2434" s="48" t="s">
        <v>34</v>
      </c>
      <c r="E2434" s="18" t="s">
        <v>4805</v>
      </c>
      <c r="F2434" s="24" t="str">
        <f t="shared" si="148"/>
        <v>PPG - WATCO IND WALLCOAT WHITE      10ltr</v>
      </c>
      <c r="G2434" s="20" t="s">
        <v>7304</v>
      </c>
      <c r="H2434" s="49" t="s">
        <v>213</v>
      </c>
      <c r="I2434" s="18" t="s">
        <v>37</v>
      </c>
      <c r="J2434" s="18" t="s">
        <v>38</v>
      </c>
      <c r="K2434" t="s">
        <v>39</v>
      </c>
      <c r="L2434" s="50">
        <f>VLOOKUP(A2434,'[3]Price info'!A:D,4,FALSE)</f>
        <v>76.38</v>
      </c>
      <c r="M2434" s="18" t="s">
        <v>214</v>
      </c>
      <c r="N2434" s="20">
        <v>3105</v>
      </c>
      <c r="P2434" s="16">
        <f>VLOOKUP(A2434,'[3]Price info'!A:H,8,FALSE)</f>
        <v>76.38</v>
      </c>
      <c r="Q2434" s="17">
        <f t="shared" si="149"/>
        <v>1</v>
      </c>
      <c r="S2434" s="16" t="e">
        <f>VLOOKUP(A2434,[4]Sales!$E:$G,3,FALSE)</f>
        <v>#N/A</v>
      </c>
      <c r="T2434" s="19" t="e">
        <f>VLOOKUP(A2434,[4]Volume!$E:$G,3,FALSE)</f>
        <v>#N/A</v>
      </c>
      <c r="U2434" s="19" t="e">
        <f>VLOOKUP(A2434,[4]Piece!$E:$G,3,FALSE)</f>
        <v>#N/A</v>
      </c>
      <c r="V2434" s="21" t="e">
        <f t="shared" si="150"/>
        <v>#N/A</v>
      </c>
      <c r="W2434" s="16" t="e">
        <f t="shared" si="151"/>
        <v>#N/A</v>
      </c>
    </row>
    <row r="2435" spans="1:23" hidden="1" x14ac:dyDescent="0.3">
      <c r="A2435" s="71" t="s">
        <v>4806</v>
      </c>
      <c r="B2435" s="71" t="s">
        <v>4806</v>
      </c>
      <c r="C2435" s="51" t="s">
        <v>33</v>
      </c>
      <c r="D2435" s="48" t="s">
        <v>34</v>
      </c>
      <c r="E2435" s="18" t="s">
        <v>4807</v>
      </c>
      <c r="F2435" s="24" t="str">
        <f t="shared" ref="F2435:F2488" si="152">D2435&amp;" - "&amp;E2435</f>
        <v>PPG - WATCO LIQUID ROOF  MEMBRANE   5ltr</v>
      </c>
      <c r="G2435" s="20" t="s">
        <v>7305</v>
      </c>
      <c r="H2435" s="49" t="s">
        <v>213</v>
      </c>
      <c r="I2435" s="18" t="s">
        <v>37</v>
      </c>
      <c r="J2435" s="18" t="s">
        <v>38</v>
      </c>
      <c r="K2435" t="s">
        <v>39</v>
      </c>
      <c r="L2435" s="50">
        <f>VLOOKUP(A2435,'[3]Price info'!A:D,4,FALSE)</f>
        <v>133.52000000000001</v>
      </c>
      <c r="M2435" s="18" t="s">
        <v>214</v>
      </c>
      <c r="N2435" s="20">
        <v>3105</v>
      </c>
      <c r="P2435" s="16">
        <f>VLOOKUP(A2435,'[3]Price info'!A:H,8,FALSE)</f>
        <v>133.52000000000001</v>
      </c>
      <c r="Q2435" s="17">
        <f t="shared" ref="Q2435:Q2498" si="153">P2435/L2435</f>
        <v>1</v>
      </c>
      <c r="S2435" s="16" t="e">
        <f>VLOOKUP(A2435,[4]Sales!$E:$G,3,FALSE)</f>
        <v>#N/A</v>
      </c>
      <c r="T2435" s="19" t="e">
        <f>VLOOKUP(A2435,[4]Volume!$E:$G,3,FALSE)</f>
        <v>#N/A</v>
      </c>
      <c r="U2435" s="19" t="e">
        <f>VLOOKUP(A2435,[4]Piece!$E:$G,3,FALSE)</f>
        <v>#N/A</v>
      </c>
      <c r="V2435" s="21" t="e">
        <f t="shared" ref="V2435:V2498" si="154">U2435*P2435</f>
        <v>#N/A</v>
      </c>
      <c r="W2435" s="16" t="e">
        <f t="shared" ref="W2435:W2498" si="155">V2435-S2435</f>
        <v>#N/A</v>
      </c>
    </row>
    <row r="2436" spans="1:23" hidden="1" x14ac:dyDescent="0.3">
      <c r="A2436" s="71" t="s">
        <v>4808</v>
      </c>
      <c r="B2436" s="71" t="s">
        <v>4808</v>
      </c>
      <c r="C2436" s="47" t="s">
        <v>33</v>
      </c>
      <c r="D2436" s="48" t="s">
        <v>34</v>
      </c>
      <c r="E2436" s="18" t="s">
        <v>4809</v>
      </c>
      <c r="F2436" s="24" t="str">
        <f t="shared" si="152"/>
        <v>PPG - WATCO NEW CONCRETE PRIMER     8kg</v>
      </c>
      <c r="G2436" s="20" t="s">
        <v>7306</v>
      </c>
      <c r="H2436" s="49" t="s">
        <v>213</v>
      </c>
      <c r="I2436" s="18" t="s">
        <v>37</v>
      </c>
      <c r="J2436" s="18" t="s">
        <v>38</v>
      </c>
      <c r="K2436" t="s">
        <v>39</v>
      </c>
      <c r="L2436" s="50">
        <f>VLOOKUP(A2436,'[3]Price info'!A:D,4,FALSE)</f>
        <v>181.03</v>
      </c>
      <c r="M2436" s="18" t="s">
        <v>214</v>
      </c>
      <c r="N2436" s="20">
        <v>3105</v>
      </c>
      <c r="P2436" s="16">
        <f>VLOOKUP(A2436,'[3]Price info'!A:H,8,FALSE)</f>
        <v>181.03</v>
      </c>
      <c r="Q2436" s="17">
        <f t="shared" si="153"/>
        <v>1</v>
      </c>
      <c r="S2436" s="16" t="e">
        <f>VLOOKUP(A2436,[4]Sales!$E:$G,3,FALSE)</f>
        <v>#N/A</v>
      </c>
      <c r="T2436" s="19" t="e">
        <f>VLOOKUP(A2436,[4]Volume!$E:$G,3,FALSE)</f>
        <v>#N/A</v>
      </c>
      <c r="U2436" s="19" t="e">
        <f>VLOOKUP(A2436,[4]Piece!$E:$G,3,FALSE)</f>
        <v>#N/A</v>
      </c>
      <c r="V2436" s="21" t="e">
        <f t="shared" si="154"/>
        <v>#N/A</v>
      </c>
      <c r="W2436" s="16" t="e">
        <f t="shared" si="155"/>
        <v>#N/A</v>
      </c>
    </row>
    <row r="2437" spans="1:23" hidden="1" x14ac:dyDescent="0.3">
      <c r="A2437" s="71" t="s">
        <v>4810</v>
      </c>
      <c r="B2437" s="71" t="s">
        <v>4810</v>
      </c>
      <c r="C2437" s="47" t="s">
        <v>33</v>
      </c>
      <c r="D2437" s="48" t="s">
        <v>34</v>
      </c>
      <c r="E2437" s="18" t="s">
        <v>4811</v>
      </c>
      <c r="F2437" s="24" t="str">
        <f t="shared" si="152"/>
        <v>PPG - WATCO OIL BLOCK    PRIMER     4ltr</v>
      </c>
      <c r="G2437" s="20" t="s">
        <v>7307</v>
      </c>
      <c r="H2437" s="49" t="s">
        <v>213</v>
      </c>
      <c r="I2437" s="18" t="s">
        <v>37</v>
      </c>
      <c r="J2437" s="18" t="s">
        <v>38</v>
      </c>
      <c r="K2437" t="s">
        <v>39</v>
      </c>
      <c r="L2437" s="50">
        <f>VLOOKUP(A2437,'[3]Price info'!A:D,4,FALSE)</f>
        <v>88.82</v>
      </c>
      <c r="M2437" s="18" t="s">
        <v>214</v>
      </c>
      <c r="N2437" s="20">
        <v>3105</v>
      </c>
      <c r="P2437" s="16">
        <f>VLOOKUP(A2437,'[3]Price info'!A:H,8,FALSE)</f>
        <v>88.82</v>
      </c>
      <c r="Q2437" s="17">
        <f t="shared" si="153"/>
        <v>1</v>
      </c>
      <c r="S2437" s="16" t="e">
        <f>VLOOKUP(A2437,[4]Sales!$E:$G,3,FALSE)</f>
        <v>#N/A</v>
      </c>
      <c r="T2437" s="19" t="e">
        <f>VLOOKUP(A2437,[4]Volume!$E:$G,3,FALSE)</f>
        <v>#N/A</v>
      </c>
      <c r="U2437" s="19" t="e">
        <f>VLOOKUP(A2437,[4]Piece!$E:$G,3,FALSE)</f>
        <v>#N/A</v>
      </c>
      <c r="V2437" s="21" t="e">
        <f t="shared" si="154"/>
        <v>#N/A</v>
      </c>
      <c r="W2437" s="16" t="e">
        <f t="shared" si="155"/>
        <v>#N/A</v>
      </c>
    </row>
    <row r="2438" spans="1:23" hidden="1" x14ac:dyDescent="0.3">
      <c r="A2438" s="71" t="s">
        <v>4812</v>
      </c>
      <c r="B2438" s="71" t="s">
        <v>4812</v>
      </c>
      <c r="C2438" s="51" t="s">
        <v>33</v>
      </c>
      <c r="D2438" s="48" t="s">
        <v>34</v>
      </c>
      <c r="E2438" s="18" t="s">
        <v>4813</v>
      </c>
      <c r="F2438" s="24" t="str">
        <f t="shared" si="152"/>
        <v>PPG - WATCO PLANT ROOM   CT ALL COL 25kg</v>
      </c>
      <c r="G2438" s="20" t="s">
        <v>7308</v>
      </c>
      <c r="H2438" s="49" t="s">
        <v>213</v>
      </c>
      <c r="I2438" s="18" t="s">
        <v>37</v>
      </c>
      <c r="J2438" s="18" t="s">
        <v>38</v>
      </c>
      <c r="K2438" t="s">
        <v>39</v>
      </c>
      <c r="L2438" s="50">
        <f>VLOOKUP(A2438,'[3]Price info'!A:D,4,FALSE)</f>
        <v>217.85</v>
      </c>
      <c r="M2438" s="18" t="s">
        <v>214</v>
      </c>
      <c r="N2438" s="20">
        <v>3105</v>
      </c>
      <c r="P2438" s="16">
        <f>VLOOKUP(A2438,'[3]Price info'!A:H,8,FALSE)</f>
        <v>217.85</v>
      </c>
      <c r="Q2438" s="17">
        <f t="shared" si="153"/>
        <v>1</v>
      </c>
      <c r="S2438" s="16" t="e">
        <f>VLOOKUP(A2438,[4]Sales!$E:$G,3,FALSE)</f>
        <v>#N/A</v>
      </c>
      <c r="T2438" s="19" t="e">
        <f>VLOOKUP(A2438,[4]Volume!$E:$G,3,FALSE)</f>
        <v>#N/A</v>
      </c>
      <c r="U2438" s="19" t="e">
        <f>VLOOKUP(A2438,[4]Piece!$E:$G,3,FALSE)</f>
        <v>#N/A</v>
      </c>
      <c r="V2438" s="21" t="e">
        <f t="shared" si="154"/>
        <v>#N/A</v>
      </c>
      <c r="W2438" s="16" t="e">
        <f t="shared" si="155"/>
        <v>#N/A</v>
      </c>
    </row>
    <row r="2439" spans="1:23" hidden="1" x14ac:dyDescent="0.3">
      <c r="A2439" s="71" t="s">
        <v>4814</v>
      </c>
      <c r="B2439" s="71" t="s">
        <v>4814</v>
      </c>
      <c r="C2439" s="47" t="s">
        <v>33</v>
      </c>
      <c r="D2439" s="48" t="s">
        <v>34</v>
      </c>
      <c r="E2439" s="18" t="s">
        <v>4815</v>
      </c>
      <c r="F2439" s="24" t="str">
        <f t="shared" si="152"/>
        <v>PPG - WATCO POWERFLOAT   ANTI SLIP  5ltr</v>
      </c>
      <c r="G2439" s="20" t="s">
        <v>7309</v>
      </c>
      <c r="H2439" s="49" t="s">
        <v>213</v>
      </c>
      <c r="I2439" s="18" t="s">
        <v>37</v>
      </c>
      <c r="J2439" s="18" t="s">
        <v>38</v>
      </c>
      <c r="K2439" t="s">
        <v>39</v>
      </c>
      <c r="L2439" s="50">
        <f>VLOOKUP(A2439,'[3]Price info'!A:D,4,FALSE)</f>
        <v>115.84</v>
      </c>
      <c r="M2439" s="18" t="s">
        <v>214</v>
      </c>
      <c r="N2439" s="20">
        <v>3105</v>
      </c>
      <c r="P2439" s="16">
        <f>VLOOKUP(A2439,'[3]Price info'!A:H,8,FALSE)</f>
        <v>115.84</v>
      </c>
      <c r="Q2439" s="17">
        <f t="shared" si="153"/>
        <v>1</v>
      </c>
      <c r="S2439" s="16" t="e">
        <f>VLOOKUP(A2439,[4]Sales!$E:$G,3,FALSE)</f>
        <v>#N/A</v>
      </c>
      <c r="T2439" s="19" t="e">
        <f>VLOOKUP(A2439,[4]Volume!$E:$G,3,FALSE)</f>
        <v>#N/A</v>
      </c>
      <c r="U2439" s="19" t="e">
        <f>VLOOKUP(A2439,[4]Piece!$E:$G,3,FALSE)</f>
        <v>#N/A</v>
      </c>
      <c r="V2439" s="21" t="e">
        <f t="shared" si="154"/>
        <v>#N/A</v>
      </c>
      <c r="W2439" s="16" t="e">
        <f t="shared" si="155"/>
        <v>#N/A</v>
      </c>
    </row>
    <row r="2440" spans="1:23" hidden="1" x14ac:dyDescent="0.3">
      <c r="A2440" s="71" t="s">
        <v>4816</v>
      </c>
      <c r="B2440" s="71" t="s">
        <v>4816</v>
      </c>
      <c r="C2440" s="47" t="s">
        <v>33</v>
      </c>
      <c r="D2440" s="48" t="s">
        <v>34</v>
      </c>
      <c r="E2440" s="18" t="s">
        <v>4817</v>
      </c>
      <c r="F2440" s="24" t="str">
        <f t="shared" si="152"/>
        <v>PPG - WATCO POWERFLOAT   FLR PRIMER 5ltr</v>
      </c>
      <c r="G2440" s="20" t="s">
        <v>7310</v>
      </c>
      <c r="H2440" s="49" t="s">
        <v>213</v>
      </c>
      <c r="I2440" s="18" t="s">
        <v>37</v>
      </c>
      <c r="J2440" s="18" t="s">
        <v>38</v>
      </c>
      <c r="K2440" t="s">
        <v>39</v>
      </c>
      <c r="L2440" s="50">
        <f>VLOOKUP(A2440,'[3]Price info'!A:D,4,FALSE)</f>
        <v>177.88</v>
      </c>
      <c r="M2440" s="18" t="s">
        <v>214</v>
      </c>
      <c r="N2440" s="20">
        <v>3105</v>
      </c>
      <c r="P2440" s="16">
        <f>VLOOKUP(A2440,'[3]Price info'!A:H,8,FALSE)</f>
        <v>177.88</v>
      </c>
      <c r="Q2440" s="17">
        <f t="shared" si="153"/>
        <v>1</v>
      </c>
      <c r="S2440" s="16" t="e">
        <f>VLOOKUP(A2440,[4]Sales!$E:$G,3,FALSE)</f>
        <v>#N/A</v>
      </c>
      <c r="T2440" s="19" t="e">
        <f>VLOOKUP(A2440,[4]Volume!$E:$G,3,FALSE)</f>
        <v>#N/A</v>
      </c>
      <c r="U2440" s="19" t="e">
        <f>VLOOKUP(A2440,[4]Piece!$E:$G,3,FALSE)</f>
        <v>#N/A</v>
      </c>
      <c r="V2440" s="21" t="e">
        <f t="shared" si="154"/>
        <v>#N/A</v>
      </c>
      <c r="W2440" s="16" t="e">
        <f t="shared" si="155"/>
        <v>#N/A</v>
      </c>
    </row>
    <row r="2441" spans="1:23" hidden="1" x14ac:dyDescent="0.3">
      <c r="A2441" s="71" t="s">
        <v>4818</v>
      </c>
      <c r="B2441" s="71" t="s">
        <v>4818</v>
      </c>
      <c r="C2441" s="51" t="s">
        <v>33</v>
      </c>
      <c r="D2441" s="48" t="s">
        <v>34</v>
      </c>
      <c r="E2441" s="18" t="s">
        <v>4819</v>
      </c>
      <c r="F2441" s="24" t="str">
        <f t="shared" si="152"/>
        <v>PPG - WATCO POWERFLOATP  PRIMER     5ltr</v>
      </c>
      <c r="G2441" s="20" t="s">
        <v>7311</v>
      </c>
      <c r="H2441" s="49" t="s">
        <v>213</v>
      </c>
      <c r="I2441" s="18" t="s">
        <v>37</v>
      </c>
      <c r="J2441" s="18" t="s">
        <v>38</v>
      </c>
      <c r="K2441" t="s">
        <v>39</v>
      </c>
      <c r="L2441" s="50">
        <f>VLOOKUP(A2441,'[3]Price info'!A:D,4,FALSE)</f>
        <v>119.59</v>
      </c>
      <c r="M2441" s="18" t="s">
        <v>214</v>
      </c>
      <c r="N2441" s="20">
        <v>3105</v>
      </c>
      <c r="P2441" s="16">
        <f>VLOOKUP(A2441,'[3]Price info'!A:H,8,FALSE)</f>
        <v>119.59</v>
      </c>
      <c r="Q2441" s="17">
        <f t="shared" si="153"/>
        <v>1</v>
      </c>
      <c r="S2441" s="16" t="e">
        <f>VLOOKUP(A2441,[4]Sales!$E:$G,3,FALSE)</f>
        <v>#N/A</v>
      </c>
      <c r="T2441" s="19" t="e">
        <f>VLOOKUP(A2441,[4]Volume!$E:$G,3,FALSE)</f>
        <v>#N/A</v>
      </c>
      <c r="U2441" s="19" t="e">
        <f>VLOOKUP(A2441,[4]Piece!$E:$G,3,FALSE)</f>
        <v>#N/A</v>
      </c>
      <c r="V2441" s="21" t="e">
        <f t="shared" si="154"/>
        <v>#N/A</v>
      </c>
      <c r="W2441" s="16" t="e">
        <f t="shared" si="155"/>
        <v>#N/A</v>
      </c>
    </row>
    <row r="2442" spans="1:23" hidden="1" x14ac:dyDescent="0.3">
      <c r="A2442" s="71" t="s">
        <v>4820</v>
      </c>
      <c r="B2442" s="71" t="s">
        <v>4820</v>
      </c>
      <c r="C2442" s="47" t="s">
        <v>33</v>
      </c>
      <c r="D2442" s="48" t="s">
        <v>34</v>
      </c>
      <c r="E2442" s="18" t="s">
        <v>4821</v>
      </c>
      <c r="F2442" s="24" t="str">
        <f t="shared" si="152"/>
        <v>PPG - WATCO PROTECTA CT  ANTI SLIP  2.5ltr</v>
      </c>
      <c r="G2442" s="20" t="s">
        <v>7312</v>
      </c>
      <c r="H2442" s="49" t="s">
        <v>213</v>
      </c>
      <c r="I2442" s="18" t="s">
        <v>37</v>
      </c>
      <c r="J2442" s="18" t="s">
        <v>38</v>
      </c>
      <c r="K2442" t="s">
        <v>39</v>
      </c>
      <c r="L2442" s="50">
        <f>VLOOKUP(A2442,'[3]Price info'!A:D,4,FALSE)</f>
        <v>153.82</v>
      </c>
      <c r="M2442" s="18" t="s">
        <v>214</v>
      </c>
      <c r="N2442" s="20">
        <v>3105</v>
      </c>
      <c r="P2442" s="16">
        <f>VLOOKUP(A2442,'[3]Price info'!A:H,8,FALSE)</f>
        <v>153.82</v>
      </c>
      <c r="Q2442" s="17">
        <f t="shared" si="153"/>
        <v>1</v>
      </c>
      <c r="S2442" s="16" t="e">
        <f>VLOOKUP(A2442,[4]Sales!$E:$G,3,FALSE)</f>
        <v>#N/A</v>
      </c>
      <c r="T2442" s="19" t="e">
        <f>VLOOKUP(A2442,[4]Volume!$E:$G,3,FALSE)</f>
        <v>#N/A</v>
      </c>
      <c r="U2442" s="19" t="e">
        <f>VLOOKUP(A2442,[4]Piece!$E:$G,3,FALSE)</f>
        <v>#N/A</v>
      </c>
      <c r="V2442" s="21" t="e">
        <f t="shared" si="154"/>
        <v>#N/A</v>
      </c>
      <c r="W2442" s="16" t="e">
        <f t="shared" si="155"/>
        <v>#N/A</v>
      </c>
    </row>
    <row r="2443" spans="1:23" hidden="1" x14ac:dyDescent="0.3">
      <c r="A2443" s="71" t="s">
        <v>4822</v>
      </c>
      <c r="B2443" s="71" t="s">
        <v>4822</v>
      </c>
      <c r="C2443" s="47" t="s">
        <v>33</v>
      </c>
      <c r="D2443" s="48" t="s">
        <v>34</v>
      </c>
      <c r="E2443" s="18" t="s">
        <v>4823</v>
      </c>
      <c r="F2443" s="24" t="str">
        <f t="shared" si="152"/>
        <v>PPG - WATCO PROTECTA CT  STANDARD   2.5ltr</v>
      </c>
      <c r="G2443" s="20" t="s">
        <v>7313</v>
      </c>
      <c r="H2443" s="49" t="s">
        <v>213</v>
      </c>
      <c r="I2443" s="18" t="s">
        <v>37</v>
      </c>
      <c r="J2443" s="18" t="s">
        <v>38</v>
      </c>
      <c r="K2443" t="s">
        <v>39</v>
      </c>
      <c r="L2443" s="50">
        <f>VLOOKUP(A2443,'[3]Price info'!A:D,4,FALSE)</f>
        <v>144.87</v>
      </c>
      <c r="M2443" s="18" t="s">
        <v>214</v>
      </c>
      <c r="N2443" s="20">
        <v>3105</v>
      </c>
      <c r="P2443" s="16">
        <f>VLOOKUP(A2443,'[3]Price info'!A:H,8,FALSE)</f>
        <v>144.87</v>
      </c>
      <c r="Q2443" s="17">
        <f t="shared" si="153"/>
        <v>1</v>
      </c>
      <c r="S2443" s="16" t="e">
        <f>VLOOKUP(A2443,[4]Sales!$E:$G,3,FALSE)</f>
        <v>#N/A</v>
      </c>
      <c r="T2443" s="19" t="e">
        <f>VLOOKUP(A2443,[4]Volume!$E:$G,3,FALSE)</f>
        <v>#N/A</v>
      </c>
      <c r="U2443" s="19" t="e">
        <f>VLOOKUP(A2443,[4]Piece!$E:$G,3,FALSE)</f>
        <v>#N/A</v>
      </c>
      <c r="V2443" s="21" t="e">
        <f t="shared" si="154"/>
        <v>#N/A</v>
      </c>
      <c r="W2443" s="16" t="e">
        <f t="shared" si="155"/>
        <v>#N/A</v>
      </c>
    </row>
    <row r="2444" spans="1:23" hidden="1" x14ac:dyDescent="0.3">
      <c r="A2444" s="71" t="s">
        <v>4824</v>
      </c>
      <c r="B2444" s="71" t="s">
        <v>4824</v>
      </c>
      <c r="C2444" s="51" t="s">
        <v>33</v>
      </c>
      <c r="D2444" s="48" t="s">
        <v>34</v>
      </c>
      <c r="E2444" s="18" t="s">
        <v>4825</v>
      </c>
      <c r="F2444" s="24" t="str">
        <f t="shared" si="152"/>
        <v>PPG - WATCO RESIFLOW     FLEX GLOSS 20kg</v>
      </c>
      <c r="G2444" s="20" t="s">
        <v>7314</v>
      </c>
      <c r="H2444" s="49" t="s">
        <v>213</v>
      </c>
      <c r="I2444" s="18" t="s">
        <v>37</v>
      </c>
      <c r="J2444" s="18" t="s">
        <v>38</v>
      </c>
      <c r="K2444" t="s">
        <v>39</v>
      </c>
      <c r="L2444" s="50">
        <f>VLOOKUP(A2444,'[3]Price info'!A:D,4,FALSE)</f>
        <v>220.55</v>
      </c>
      <c r="M2444" s="18" t="s">
        <v>214</v>
      </c>
      <c r="N2444" s="20">
        <v>3105</v>
      </c>
      <c r="P2444" s="16">
        <f>VLOOKUP(A2444,'[3]Price info'!A:H,8,FALSE)</f>
        <v>220.55</v>
      </c>
      <c r="Q2444" s="17">
        <f t="shared" si="153"/>
        <v>1</v>
      </c>
      <c r="S2444" s="16" t="e">
        <f>VLOOKUP(A2444,[4]Sales!$E:$G,3,FALSE)</f>
        <v>#N/A</v>
      </c>
      <c r="T2444" s="19" t="e">
        <f>VLOOKUP(A2444,[4]Volume!$E:$G,3,FALSE)</f>
        <v>#N/A</v>
      </c>
      <c r="U2444" s="19" t="e">
        <f>VLOOKUP(A2444,[4]Piece!$E:$G,3,FALSE)</f>
        <v>#N/A</v>
      </c>
      <c r="V2444" s="21" t="e">
        <f t="shared" si="154"/>
        <v>#N/A</v>
      </c>
      <c r="W2444" s="16" t="e">
        <f t="shared" si="155"/>
        <v>#N/A</v>
      </c>
    </row>
    <row r="2445" spans="1:23" hidden="1" x14ac:dyDescent="0.3">
      <c r="A2445" s="71" t="s">
        <v>4826</v>
      </c>
      <c r="B2445" s="71" t="s">
        <v>4826</v>
      </c>
      <c r="C2445" s="47" t="s">
        <v>33</v>
      </c>
      <c r="D2445" s="48" t="s">
        <v>34</v>
      </c>
      <c r="E2445" s="18" t="s">
        <v>4827</v>
      </c>
      <c r="F2445" s="24" t="str">
        <f t="shared" si="152"/>
        <v>PPG - WATCO ROAD PT RAP  STD COLS   5ltr</v>
      </c>
      <c r="G2445" s="20" t="s">
        <v>7315</v>
      </c>
      <c r="H2445" s="49" t="s">
        <v>213</v>
      </c>
      <c r="I2445" s="18" t="s">
        <v>37</v>
      </c>
      <c r="J2445" s="18" t="s">
        <v>38</v>
      </c>
      <c r="K2445" t="s">
        <v>39</v>
      </c>
      <c r="L2445" s="50">
        <f>VLOOKUP(A2445,'[3]Price info'!A:D,4,FALSE)</f>
        <v>112.53</v>
      </c>
      <c r="M2445" s="18" t="s">
        <v>214</v>
      </c>
      <c r="N2445" s="20">
        <v>3105</v>
      </c>
      <c r="P2445" s="16">
        <f>VLOOKUP(A2445,'[3]Price info'!A:H,8,FALSE)</f>
        <v>112.53</v>
      </c>
      <c r="Q2445" s="17">
        <f t="shared" si="153"/>
        <v>1</v>
      </c>
      <c r="S2445" s="16" t="e">
        <f>VLOOKUP(A2445,[4]Sales!$E:$G,3,FALSE)</f>
        <v>#N/A</v>
      </c>
      <c r="T2445" s="19" t="e">
        <f>VLOOKUP(A2445,[4]Volume!$E:$G,3,FALSE)</f>
        <v>#N/A</v>
      </c>
      <c r="U2445" s="19" t="e">
        <f>VLOOKUP(A2445,[4]Piece!$E:$G,3,FALSE)</f>
        <v>#N/A</v>
      </c>
      <c r="V2445" s="21" t="e">
        <f t="shared" si="154"/>
        <v>#N/A</v>
      </c>
      <c r="W2445" s="16" t="e">
        <f t="shared" si="155"/>
        <v>#N/A</v>
      </c>
    </row>
    <row r="2446" spans="1:23" hidden="1" x14ac:dyDescent="0.3">
      <c r="A2446" s="71" t="s">
        <v>4828</v>
      </c>
      <c r="B2446" s="71" t="s">
        <v>4828</v>
      </c>
      <c r="C2446" s="47" t="s">
        <v>33</v>
      </c>
      <c r="D2446" s="48" t="s">
        <v>34</v>
      </c>
      <c r="E2446" s="18" t="s">
        <v>4829</v>
      </c>
      <c r="F2446" s="24" t="str">
        <f t="shared" si="152"/>
        <v>PPG - WATCO ROOFITE                 5ltr</v>
      </c>
      <c r="G2446" s="20" t="s">
        <v>7316</v>
      </c>
      <c r="H2446" s="49" t="s">
        <v>213</v>
      </c>
      <c r="I2446" s="18" t="s">
        <v>37</v>
      </c>
      <c r="J2446" s="18" t="s">
        <v>38</v>
      </c>
      <c r="K2446" t="s">
        <v>39</v>
      </c>
      <c r="L2446" s="50">
        <f>VLOOKUP(A2446,'[3]Price info'!A:D,4,FALSE)</f>
        <v>56.57</v>
      </c>
      <c r="M2446" s="18" t="s">
        <v>214</v>
      </c>
      <c r="N2446" s="20">
        <v>3105</v>
      </c>
      <c r="P2446" s="16">
        <f>VLOOKUP(A2446,'[3]Price info'!A:H,8,FALSE)</f>
        <v>56.57</v>
      </c>
      <c r="Q2446" s="17">
        <f t="shared" si="153"/>
        <v>1</v>
      </c>
      <c r="S2446" s="16" t="e">
        <f>VLOOKUP(A2446,[4]Sales!$E:$G,3,FALSE)</f>
        <v>#N/A</v>
      </c>
      <c r="T2446" s="19" t="e">
        <f>VLOOKUP(A2446,[4]Volume!$E:$G,3,FALSE)</f>
        <v>#N/A</v>
      </c>
      <c r="U2446" s="19" t="e">
        <f>VLOOKUP(A2446,[4]Piece!$E:$G,3,FALSE)</f>
        <v>#N/A</v>
      </c>
      <c r="V2446" s="21" t="e">
        <f t="shared" si="154"/>
        <v>#N/A</v>
      </c>
      <c r="W2446" s="16" t="e">
        <f t="shared" si="155"/>
        <v>#N/A</v>
      </c>
    </row>
    <row r="2447" spans="1:23" hidden="1" x14ac:dyDescent="0.3">
      <c r="A2447" s="71" t="s">
        <v>4830</v>
      </c>
      <c r="B2447" s="71" t="s">
        <v>4830</v>
      </c>
      <c r="C2447" s="51" t="s">
        <v>33</v>
      </c>
      <c r="D2447" s="48" t="s">
        <v>34</v>
      </c>
      <c r="E2447" s="18" t="s">
        <v>4831</v>
      </c>
      <c r="F2447" s="24" t="str">
        <f t="shared" si="152"/>
        <v>PPG - WATCO ROOFITE                 25kg</v>
      </c>
      <c r="G2447" s="20" t="s">
        <v>7317</v>
      </c>
      <c r="H2447" s="49" t="s">
        <v>213</v>
      </c>
      <c r="I2447" s="18" t="s">
        <v>37</v>
      </c>
      <c r="J2447" s="18" t="s">
        <v>38</v>
      </c>
      <c r="K2447" t="s">
        <v>39</v>
      </c>
      <c r="L2447" s="50">
        <f>VLOOKUP(A2447,'[3]Price info'!A:D,4,FALSE)</f>
        <v>228.7</v>
      </c>
      <c r="M2447" s="18" t="s">
        <v>214</v>
      </c>
      <c r="N2447" s="20">
        <v>3105</v>
      </c>
      <c r="P2447" s="16">
        <f>VLOOKUP(A2447,'[3]Price info'!A:H,8,FALSE)</f>
        <v>228.7</v>
      </c>
      <c r="Q2447" s="17">
        <f t="shared" si="153"/>
        <v>1</v>
      </c>
      <c r="S2447" s="16" t="e">
        <f>VLOOKUP(A2447,[4]Sales!$E:$G,3,FALSE)</f>
        <v>#N/A</v>
      </c>
      <c r="T2447" s="19" t="e">
        <f>VLOOKUP(A2447,[4]Volume!$E:$G,3,FALSE)</f>
        <v>#N/A</v>
      </c>
      <c r="U2447" s="19" t="e">
        <f>VLOOKUP(A2447,[4]Piece!$E:$G,3,FALSE)</f>
        <v>#N/A</v>
      </c>
      <c r="V2447" s="21" t="e">
        <f t="shared" si="154"/>
        <v>#N/A</v>
      </c>
      <c r="W2447" s="16" t="e">
        <f t="shared" si="155"/>
        <v>#N/A</v>
      </c>
    </row>
    <row r="2448" spans="1:23" hidden="1" x14ac:dyDescent="0.3">
      <c r="A2448" s="71" t="s">
        <v>4832</v>
      </c>
      <c r="B2448" s="71" t="s">
        <v>4832</v>
      </c>
      <c r="C2448" s="47" t="s">
        <v>33</v>
      </c>
      <c r="D2448" s="48" t="s">
        <v>34</v>
      </c>
      <c r="E2448" s="18" t="s">
        <v>4833</v>
      </c>
      <c r="F2448" s="24" t="str">
        <f t="shared" si="152"/>
        <v>PPG - WATCO SAFETY COAT  COARSE     5ltr</v>
      </c>
      <c r="G2448" s="20" t="s">
        <v>7318</v>
      </c>
      <c r="H2448" s="49" t="s">
        <v>213</v>
      </c>
      <c r="I2448" s="18" t="s">
        <v>37</v>
      </c>
      <c r="J2448" s="18" t="s">
        <v>38</v>
      </c>
      <c r="K2448" t="s">
        <v>39</v>
      </c>
      <c r="L2448" s="50">
        <f>VLOOKUP(A2448,'[3]Price info'!A:D,4,FALSE)</f>
        <v>226.57</v>
      </c>
      <c r="M2448" s="18" t="s">
        <v>214</v>
      </c>
      <c r="N2448" s="20">
        <v>3105</v>
      </c>
      <c r="P2448" s="16">
        <f>VLOOKUP(A2448,'[3]Price info'!A:H,8,FALSE)</f>
        <v>226.57</v>
      </c>
      <c r="Q2448" s="17">
        <f t="shared" si="153"/>
        <v>1</v>
      </c>
      <c r="S2448" s="16" t="e">
        <f>VLOOKUP(A2448,[4]Sales!$E:$G,3,FALSE)</f>
        <v>#N/A</v>
      </c>
      <c r="T2448" s="19" t="e">
        <f>VLOOKUP(A2448,[4]Volume!$E:$G,3,FALSE)</f>
        <v>#N/A</v>
      </c>
      <c r="U2448" s="19" t="e">
        <f>VLOOKUP(A2448,[4]Piece!$E:$G,3,FALSE)</f>
        <v>#N/A</v>
      </c>
      <c r="V2448" s="21" t="e">
        <f t="shared" si="154"/>
        <v>#N/A</v>
      </c>
      <c r="W2448" s="16" t="e">
        <f t="shared" si="155"/>
        <v>#N/A</v>
      </c>
    </row>
    <row r="2449" spans="1:23" hidden="1" x14ac:dyDescent="0.3">
      <c r="A2449" s="71" t="s">
        <v>4834</v>
      </c>
      <c r="B2449" s="71" t="s">
        <v>4834</v>
      </c>
      <c r="C2449" s="47" t="s">
        <v>33</v>
      </c>
      <c r="D2449" s="48" t="s">
        <v>34</v>
      </c>
      <c r="E2449" s="18" t="s">
        <v>4835</v>
      </c>
      <c r="F2449" s="24" t="str">
        <f t="shared" si="152"/>
        <v>PPG - WATCO SAFETY COAT  COLD CURE  2.5ltr</v>
      </c>
      <c r="G2449" s="20" t="s">
        <v>7319</v>
      </c>
      <c r="H2449" s="49" t="s">
        <v>213</v>
      </c>
      <c r="I2449" s="18" t="s">
        <v>37</v>
      </c>
      <c r="J2449" s="18" t="s">
        <v>38</v>
      </c>
      <c r="K2449" t="s">
        <v>39</v>
      </c>
      <c r="L2449" s="50">
        <f>VLOOKUP(A2449,'[3]Price info'!A:D,4,FALSE)</f>
        <v>179.14</v>
      </c>
      <c r="M2449" s="18" t="s">
        <v>214</v>
      </c>
      <c r="N2449" s="20">
        <v>3105</v>
      </c>
      <c r="P2449" s="16">
        <f>VLOOKUP(A2449,'[3]Price info'!A:H,8,FALSE)</f>
        <v>179.14</v>
      </c>
      <c r="Q2449" s="17">
        <f t="shared" si="153"/>
        <v>1</v>
      </c>
      <c r="S2449" s="16" t="e">
        <f>VLOOKUP(A2449,[4]Sales!$E:$G,3,FALSE)</f>
        <v>#N/A</v>
      </c>
      <c r="T2449" s="19" t="e">
        <f>VLOOKUP(A2449,[4]Volume!$E:$G,3,FALSE)</f>
        <v>#N/A</v>
      </c>
      <c r="U2449" s="19" t="e">
        <f>VLOOKUP(A2449,[4]Piece!$E:$G,3,FALSE)</f>
        <v>#N/A</v>
      </c>
      <c r="V2449" s="21" t="e">
        <f t="shared" si="154"/>
        <v>#N/A</v>
      </c>
      <c r="W2449" s="16" t="e">
        <f t="shared" si="155"/>
        <v>#N/A</v>
      </c>
    </row>
    <row r="2450" spans="1:23" hidden="1" x14ac:dyDescent="0.3">
      <c r="A2450" s="71" t="s">
        <v>4836</v>
      </c>
      <c r="B2450" s="71" t="s">
        <v>4836</v>
      </c>
      <c r="C2450" s="51" t="s">
        <v>33</v>
      </c>
      <c r="D2450" s="48" t="s">
        <v>34</v>
      </c>
      <c r="E2450" s="18" t="s">
        <v>4837</v>
      </c>
      <c r="F2450" s="24" t="str">
        <f t="shared" si="152"/>
        <v>PPG - WATCO SAFETY COAT  FLOOR COAT 5ltr</v>
      </c>
      <c r="G2450" s="20" t="s">
        <v>7320</v>
      </c>
      <c r="H2450" s="49" t="s">
        <v>213</v>
      </c>
      <c r="I2450" s="18" t="s">
        <v>37</v>
      </c>
      <c r="J2450" s="18" t="s">
        <v>38</v>
      </c>
      <c r="K2450" t="s">
        <v>39</v>
      </c>
      <c r="L2450" s="50">
        <f>VLOOKUP(A2450,'[3]Price info'!A:D,4,FALSE)</f>
        <v>226.57</v>
      </c>
      <c r="M2450" s="18" t="s">
        <v>214</v>
      </c>
      <c r="N2450" s="20">
        <v>3105</v>
      </c>
      <c r="P2450" s="16">
        <f>VLOOKUP(A2450,'[3]Price info'!A:H,8,FALSE)</f>
        <v>226.57</v>
      </c>
      <c r="Q2450" s="17">
        <f t="shared" si="153"/>
        <v>1</v>
      </c>
      <c r="S2450" s="16" t="e">
        <f>VLOOKUP(A2450,[4]Sales!$E:$G,3,FALSE)</f>
        <v>#N/A</v>
      </c>
      <c r="T2450" s="19" t="e">
        <f>VLOOKUP(A2450,[4]Volume!$E:$G,3,FALSE)</f>
        <v>#N/A</v>
      </c>
      <c r="U2450" s="19" t="e">
        <f>VLOOKUP(A2450,[4]Piece!$E:$G,3,FALSE)</f>
        <v>#N/A</v>
      </c>
      <c r="V2450" s="21" t="e">
        <f t="shared" si="154"/>
        <v>#N/A</v>
      </c>
      <c r="W2450" s="16" t="e">
        <f t="shared" si="155"/>
        <v>#N/A</v>
      </c>
    </row>
    <row r="2451" spans="1:23" hidden="1" x14ac:dyDescent="0.3">
      <c r="A2451" s="71" t="s">
        <v>4838</v>
      </c>
      <c r="B2451" s="71" t="s">
        <v>4838</v>
      </c>
      <c r="C2451" s="47" t="s">
        <v>33</v>
      </c>
      <c r="D2451" s="48" t="s">
        <v>34</v>
      </c>
      <c r="E2451" s="18" t="s">
        <v>4839</v>
      </c>
      <c r="F2451" s="24" t="str">
        <f t="shared" si="152"/>
        <v>PPG - WATCO SAFETY COAT  FOOD SAFE  2.5ltr</v>
      </c>
      <c r="G2451" s="20" t="s">
        <v>7321</v>
      </c>
      <c r="H2451" s="49" t="s">
        <v>213</v>
      </c>
      <c r="I2451" s="18" t="s">
        <v>37</v>
      </c>
      <c r="J2451" s="18" t="s">
        <v>38</v>
      </c>
      <c r="K2451" t="s">
        <v>39</v>
      </c>
      <c r="L2451" s="50">
        <f>VLOOKUP(A2451,'[3]Price info'!A:D,4,FALSE)</f>
        <v>256.64999999999998</v>
      </c>
      <c r="M2451" s="18" t="s">
        <v>214</v>
      </c>
      <c r="N2451" s="20">
        <v>3105</v>
      </c>
      <c r="P2451" s="16">
        <f>VLOOKUP(A2451,'[3]Price info'!A:H,8,FALSE)</f>
        <v>256.64999999999998</v>
      </c>
      <c r="Q2451" s="17">
        <f t="shared" si="153"/>
        <v>1</v>
      </c>
      <c r="S2451" s="16" t="e">
        <f>VLOOKUP(A2451,[4]Sales!$E:$G,3,FALSE)</f>
        <v>#N/A</v>
      </c>
      <c r="T2451" s="19" t="e">
        <f>VLOOKUP(A2451,[4]Volume!$E:$G,3,FALSE)</f>
        <v>#N/A</v>
      </c>
      <c r="U2451" s="19" t="e">
        <f>VLOOKUP(A2451,[4]Piece!$E:$G,3,FALSE)</f>
        <v>#N/A</v>
      </c>
      <c r="V2451" s="21" t="e">
        <f t="shared" si="154"/>
        <v>#N/A</v>
      </c>
      <c r="W2451" s="16" t="e">
        <f t="shared" si="155"/>
        <v>#N/A</v>
      </c>
    </row>
    <row r="2452" spans="1:23" hidden="1" x14ac:dyDescent="0.3">
      <c r="A2452" s="71" t="s">
        <v>4840</v>
      </c>
      <c r="B2452" s="71" t="s">
        <v>4840</v>
      </c>
      <c r="C2452" s="47" t="s">
        <v>33</v>
      </c>
      <c r="D2452" s="48" t="s">
        <v>34</v>
      </c>
      <c r="E2452" s="18" t="s">
        <v>4841</v>
      </c>
      <c r="F2452" s="24" t="str">
        <f t="shared" si="152"/>
        <v>PPG - WATCO SAFETY COAT  LI GREY SP 5ltr</v>
      </c>
      <c r="G2452" s="20" t="s">
        <v>7322</v>
      </c>
      <c r="H2452" s="49" t="s">
        <v>213</v>
      </c>
      <c r="I2452" s="18" t="s">
        <v>37</v>
      </c>
      <c r="J2452" s="18" t="s">
        <v>38</v>
      </c>
      <c r="K2452" t="s">
        <v>39</v>
      </c>
      <c r="L2452" s="50">
        <f>VLOOKUP(A2452,'[3]Price info'!A:D,4,FALSE)</f>
        <v>167.57</v>
      </c>
      <c r="M2452" s="18" t="s">
        <v>214</v>
      </c>
      <c r="N2452" s="20">
        <v>3105</v>
      </c>
      <c r="P2452" s="16">
        <f>VLOOKUP(A2452,'[3]Price info'!A:H,8,FALSE)</f>
        <v>167.57</v>
      </c>
      <c r="Q2452" s="17">
        <f t="shared" si="153"/>
        <v>1</v>
      </c>
      <c r="S2452" s="16" t="e">
        <f>VLOOKUP(A2452,[4]Sales!$E:$G,3,FALSE)</f>
        <v>#N/A</v>
      </c>
      <c r="T2452" s="19" t="e">
        <f>VLOOKUP(A2452,[4]Volume!$E:$G,3,FALSE)</f>
        <v>#N/A</v>
      </c>
      <c r="U2452" s="19" t="e">
        <f>VLOOKUP(A2452,[4]Piece!$E:$G,3,FALSE)</f>
        <v>#N/A</v>
      </c>
      <c r="V2452" s="21" t="e">
        <f t="shared" si="154"/>
        <v>#N/A</v>
      </c>
      <c r="W2452" s="16" t="e">
        <f t="shared" si="155"/>
        <v>#N/A</v>
      </c>
    </row>
    <row r="2453" spans="1:23" hidden="1" x14ac:dyDescent="0.3">
      <c r="A2453" s="71" t="s">
        <v>4842</v>
      </c>
      <c r="B2453" s="71" t="s">
        <v>4842</v>
      </c>
      <c r="C2453" s="51" t="s">
        <v>33</v>
      </c>
      <c r="D2453" s="48" t="s">
        <v>34</v>
      </c>
      <c r="E2453" s="18" t="s">
        <v>4843</v>
      </c>
      <c r="F2453" s="24" t="str">
        <f t="shared" si="152"/>
        <v>PPG - WATCO SAFETY COAT  MID GREEN  5ltr</v>
      </c>
      <c r="G2453" s="20" t="s">
        <v>7323</v>
      </c>
      <c r="H2453" s="49" t="s">
        <v>213</v>
      </c>
      <c r="I2453" s="18" t="s">
        <v>37</v>
      </c>
      <c r="J2453" s="18" t="s">
        <v>38</v>
      </c>
      <c r="K2453" t="s">
        <v>39</v>
      </c>
      <c r="L2453" s="50">
        <f>VLOOKUP(A2453,'[3]Price info'!A:D,4,FALSE)</f>
        <v>225.41</v>
      </c>
      <c r="M2453" s="18" t="s">
        <v>214</v>
      </c>
      <c r="N2453" s="20">
        <v>3105</v>
      </c>
      <c r="P2453" s="16">
        <f>VLOOKUP(A2453,'[3]Price info'!A:H,8,FALSE)</f>
        <v>225.41</v>
      </c>
      <c r="Q2453" s="17">
        <f t="shared" si="153"/>
        <v>1</v>
      </c>
      <c r="S2453" s="16" t="e">
        <f>VLOOKUP(A2453,[4]Sales!$E:$G,3,FALSE)</f>
        <v>#N/A</v>
      </c>
      <c r="T2453" s="19" t="e">
        <f>VLOOKUP(A2453,[4]Volume!$E:$G,3,FALSE)</f>
        <v>#N/A</v>
      </c>
      <c r="U2453" s="19" t="e">
        <f>VLOOKUP(A2453,[4]Piece!$E:$G,3,FALSE)</f>
        <v>#N/A</v>
      </c>
      <c r="V2453" s="21" t="e">
        <f t="shared" si="154"/>
        <v>#N/A</v>
      </c>
      <c r="W2453" s="16" t="e">
        <f t="shared" si="155"/>
        <v>#N/A</v>
      </c>
    </row>
    <row r="2454" spans="1:23" hidden="1" x14ac:dyDescent="0.3">
      <c r="A2454" s="71" t="s">
        <v>4844</v>
      </c>
      <c r="B2454" s="71" t="s">
        <v>4844</v>
      </c>
      <c r="C2454" s="47" t="s">
        <v>33</v>
      </c>
      <c r="D2454" s="48" t="s">
        <v>34</v>
      </c>
      <c r="E2454" s="18" t="s">
        <v>4845</v>
      </c>
      <c r="F2454" s="24" t="str">
        <f t="shared" si="152"/>
        <v>PPG - WATCO SAFETY COAT  MID GREY   5ltr</v>
      </c>
      <c r="G2454" s="20" t="s">
        <v>7324</v>
      </c>
      <c r="H2454" s="49" t="s">
        <v>213</v>
      </c>
      <c r="I2454" s="18" t="s">
        <v>37</v>
      </c>
      <c r="J2454" s="18" t="s">
        <v>38</v>
      </c>
      <c r="K2454" t="s">
        <v>39</v>
      </c>
      <c r="L2454" s="50">
        <f>VLOOKUP(A2454,'[3]Price info'!A:D,4,FALSE)</f>
        <v>241.55</v>
      </c>
      <c r="M2454" s="18" t="s">
        <v>214</v>
      </c>
      <c r="N2454" s="20">
        <v>3105</v>
      </c>
      <c r="P2454" s="16">
        <f>VLOOKUP(A2454,'[3]Price info'!A:H,8,FALSE)</f>
        <v>241.55</v>
      </c>
      <c r="Q2454" s="17">
        <f t="shared" si="153"/>
        <v>1</v>
      </c>
      <c r="S2454" s="16" t="e">
        <f>VLOOKUP(A2454,[4]Sales!$E:$G,3,FALSE)</f>
        <v>#N/A</v>
      </c>
      <c r="T2454" s="19" t="e">
        <f>VLOOKUP(A2454,[4]Volume!$E:$G,3,FALSE)</f>
        <v>#N/A</v>
      </c>
      <c r="U2454" s="19" t="e">
        <f>VLOOKUP(A2454,[4]Piece!$E:$G,3,FALSE)</f>
        <v>#N/A</v>
      </c>
      <c r="V2454" s="21" t="e">
        <f t="shared" si="154"/>
        <v>#N/A</v>
      </c>
      <c r="W2454" s="16" t="e">
        <f t="shared" si="155"/>
        <v>#N/A</v>
      </c>
    </row>
    <row r="2455" spans="1:23" hidden="1" x14ac:dyDescent="0.3">
      <c r="A2455" s="71" t="s">
        <v>4846</v>
      </c>
      <c r="B2455" s="71" t="s">
        <v>4846</v>
      </c>
      <c r="C2455" s="47" t="s">
        <v>33</v>
      </c>
      <c r="D2455" s="48" t="s">
        <v>34</v>
      </c>
      <c r="E2455" s="18" t="s">
        <v>4847</v>
      </c>
      <c r="F2455" s="24" t="str">
        <f t="shared" si="152"/>
        <v>PPG - WATCO SAFETY GRIP  COLD CURE  5ltr</v>
      </c>
      <c r="G2455" s="20" t="s">
        <v>7325</v>
      </c>
      <c r="H2455" s="49" t="s">
        <v>213</v>
      </c>
      <c r="I2455" s="18" t="s">
        <v>37</v>
      </c>
      <c r="J2455" s="18" t="s">
        <v>38</v>
      </c>
      <c r="K2455" t="s">
        <v>39</v>
      </c>
      <c r="L2455" s="50">
        <f>VLOOKUP(A2455,'[3]Price info'!A:D,4,FALSE)</f>
        <v>177.46</v>
      </c>
      <c r="M2455" s="18" t="s">
        <v>214</v>
      </c>
      <c r="N2455" s="20">
        <v>3105</v>
      </c>
      <c r="P2455" s="16">
        <f>VLOOKUP(A2455,'[3]Price info'!A:H,8,FALSE)</f>
        <v>177.46</v>
      </c>
      <c r="Q2455" s="17">
        <f t="shared" si="153"/>
        <v>1</v>
      </c>
      <c r="S2455" s="16" t="e">
        <f>VLOOKUP(A2455,[4]Sales!$E:$G,3,FALSE)</f>
        <v>#N/A</v>
      </c>
      <c r="T2455" s="19" t="e">
        <f>VLOOKUP(A2455,[4]Volume!$E:$G,3,FALSE)</f>
        <v>#N/A</v>
      </c>
      <c r="U2455" s="19" t="e">
        <f>VLOOKUP(A2455,[4]Piece!$E:$G,3,FALSE)</f>
        <v>#N/A</v>
      </c>
      <c r="V2455" s="21" t="e">
        <f t="shared" si="154"/>
        <v>#N/A</v>
      </c>
      <c r="W2455" s="16" t="e">
        <f t="shared" si="155"/>
        <v>#N/A</v>
      </c>
    </row>
    <row r="2456" spans="1:23" hidden="1" x14ac:dyDescent="0.3">
      <c r="A2456" s="71" t="s">
        <v>4848</v>
      </c>
      <c r="B2456" s="71" t="s">
        <v>4848</v>
      </c>
      <c r="C2456" s="51" t="s">
        <v>33</v>
      </c>
      <c r="D2456" s="48" t="s">
        <v>34</v>
      </c>
      <c r="E2456" s="18" t="s">
        <v>4849</v>
      </c>
      <c r="F2456" s="24" t="str">
        <f t="shared" si="152"/>
        <v>PPG - WATCO SAFETY GRIP  FLEX 5M2</v>
      </c>
      <c r="G2456" s="20" t="s">
        <v>7326</v>
      </c>
      <c r="H2456" s="49" t="s">
        <v>213</v>
      </c>
      <c r="I2456" s="18" t="s">
        <v>37</v>
      </c>
      <c r="J2456" s="18" t="s">
        <v>38</v>
      </c>
      <c r="K2456" t="s">
        <v>39</v>
      </c>
      <c r="L2456" s="50">
        <f>VLOOKUP(A2456,'[3]Price info'!A:D,4,FALSE)</f>
        <v>222.59</v>
      </c>
      <c r="M2456" s="18" t="s">
        <v>214</v>
      </c>
      <c r="N2456" s="20">
        <v>3105</v>
      </c>
      <c r="P2456" s="16">
        <f>VLOOKUP(A2456,'[3]Price info'!A:H,8,FALSE)</f>
        <v>222.59</v>
      </c>
      <c r="Q2456" s="17">
        <f t="shared" si="153"/>
        <v>1</v>
      </c>
      <c r="S2456" s="16" t="e">
        <f>VLOOKUP(A2456,[4]Sales!$E:$G,3,FALSE)</f>
        <v>#N/A</v>
      </c>
      <c r="T2456" s="19" t="e">
        <f>VLOOKUP(A2456,[4]Volume!$E:$G,3,FALSE)</f>
        <v>#N/A</v>
      </c>
      <c r="U2456" s="19" t="e">
        <f>VLOOKUP(A2456,[4]Piece!$E:$G,3,FALSE)</f>
        <v>#N/A</v>
      </c>
      <c r="V2456" s="21" t="e">
        <f t="shared" si="154"/>
        <v>#N/A</v>
      </c>
      <c r="W2456" s="16" t="e">
        <f t="shared" si="155"/>
        <v>#N/A</v>
      </c>
    </row>
    <row r="2457" spans="1:23" hidden="1" x14ac:dyDescent="0.3">
      <c r="A2457" s="71" t="s">
        <v>4850</v>
      </c>
      <c r="B2457" s="71" t="s">
        <v>4850</v>
      </c>
      <c r="C2457" s="47" t="s">
        <v>33</v>
      </c>
      <c r="D2457" s="48" t="s">
        <v>34</v>
      </c>
      <c r="E2457" s="18" t="s">
        <v>4851</v>
      </c>
      <c r="F2457" s="24" t="str">
        <f t="shared" si="152"/>
        <v>PPG - WATCO SP HD A/SLIP GREEN      5ltr</v>
      </c>
      <c r="G2457" s="20" t="s">
        <v>7327</v>
      </c>
      <c r="H2457" s="49" t="s">
        <v>213</v>
      </c>
      <c r="I2457" s="18" t="s">
        <v>37</v>
      </c>
      <c r="J2457" s="18" t="s">
        <v>38</v>
      </c>
      <c r="K2457" t="s">
        <v>39</v>
      </c>
      <c r="L2457" s="50">
        <f>VLOOKUP(A2457,'[3]Price info'!A:D,4,FALSE)</f>
        <v>116.8</v>
      </c>
      <c r="M2457" s="18" t="s">
        <v>214</v>
      </c>
      <c r="N2457" s="20">
        <v>3105</v>
      </c>
      <c r="P2457" s="16">
        <f>VLOOKUP(A2457,'[3]Price info'!A:H,8,FALSE)</f>
        <v>116.8</v>
      </c>
      <c r="Q2457" s="17">
        <f t="shared" si="153"/>
        <v>1</v>
      </c>
      <c r="S2457" s="16">
        <f>VLOOKUP(A2457,[4]Sales!$E:$G,3,FALSE)</f>
        <v>0</v>
      </c>
      <c r="T2457" s="19">
        <f>VLOOKUP(A2457,[4]Volume!$E:$G,3,FALSE)</f>
        <v>0</v>
      </c>
      <c r="U2457" s="19">
        <f>VLOOKUP(A2457,[4]Piece!$E:$G,3,FALSE)</f>
        <v>0</v>
      </c>
      <c r="V2457" s="21">
        <f t="shared" si="154"/>
        <v>0</v>
      </c>
      <c r="W2457" s="16">
        <f t="shared" si="155"/>
        <v>0</v>
      </c>
    </row>
    <row r="2458" spans="1:23" hidden="1" x14ac:dyDescent="0.3">
      <c r="A2458" s="71" t="s">
        <v>4852</v>
      </c>
      <c r="B2458" s="71" t="s">
        <v>4852</v>
      </c>
      <c r="C2458" s="47" t="s">
        <v>33</v>
      </c>
      <c r="D2458" s="48" t="s">
        <v>34</v>
      </c>
      <c r="E2458" s="18" t="s">
        <v>4853</v>
      </c>
      <c r="F2458" s="24" t="str">
        <f t="shared" si="152"/>
        <v>PPG - WATCO SP HD A/SLIP TRAF BLACK 5ltr</v>
      </c>
      <c r="G2458" s="20" t="s">
        <v>7328</v>
      </c>
      <c r="H2458" s="49" t="s">
        <v>213</v>
      </c>
      <c r="I2458" s="18" t="s">
        <v>37</v>
      </c>
      <c r="J2458" s="18" t="s">
        <v>38</v>
      </c>
      <c r="K2458" t="s">
        <v>39</v>
      </c>
      <c r="L2458" s="50">
        <f>VLOOKUP(A2458,'[3]Price info'!A:D,4,FALSE)</f>
        <v>179.45</v>
      </c>
      <c r="M2458" s="18" t="s">
        <v>214</v>
      </c>
      <c r="N2458" s="20">
        <v>3105</v>
      </c>
      <c r="P2458" s="16">
        <f>VLOOKUP(A2458,'[3]Price info'!A:H,8,FALSE)</f>
        <v>179.45</v>
      </c>
      <c r="Q2458" s="17">
        <f t="shared" si="153"/>
        <v>1</v>
      </c>
      <c r="S2458" s="16" t="e">
        <f>VLOOKUP(A2458,[4]Sales!$E:$G,3,FALSE)</f>
        <v>#N/A</v>
      </c>
      <c r="T2458" s="19" t="e">
        <f>VLOOKUP(A2458,[4]Volume!$E:$G,3,FALSE)</f>
        <v>#N/A</v>
      </c>
      <c r="U2458" s="19" t="e">
        <f>VLOOKUP(A2458,[4]Piece!$E:$G,3,FALSE)</f>
        <v>#N/A</v>
      </c>
      <c r="V2458" s="21" t="e">
        <f t="shared" si="154"/>
        <v>#N/A</v>
      </c>
      <c r="W2458" s="16" t="e">
        <f t="shared" si="155"/>
        <v>#N/A</v>
      </c>
    </row>
    <row r="2459" spans="1:23" hidden="1" x14ac:dyDescent="0.3">
      <c r="A2459" s="71" t="s">
        <v>4854</v>
      </c>
      <c r="B2459" s="71" t="s">
        <v>4854</v>
      </c>
      <c r="C2459" s="51" t="s">
        <v>33</v>
      </c>
      <c r="D2459" s="48" t="s">
        <v>34</v>
      </c>
      <c r="E2459" s="18" t="s">
        <v>4855</v>
      </c>
      <c r="F2459" s="24" t="str">
        <f t="shared" si="152"/>
        <v>PPG - WATCO STELLAR      FLAKE SYST</v>
      </c>
      <c r="G2459" s="20" t="s">
        <v>7329</v>
      </c>
      <c r="H2459" s="49" t="s">
        <v>213</v>
      </c>
      <c r="I2459" s="18" t="s">
        <v>37</v>
      </c>
      <c r="J2459" s="18" t="s">
        <v>38</v>
      </c>
      <c r="K2459" t="s">
        <v>39</v>
      </c>
      <c r="L2459" s="50">
        <f>VLOOKUP(A2459,'[3]Price info'!A:D,4,FALSE)</f>
        <v>335.9</v>
      </c>
      <c r="M2459" s="18" t="s">
        <v>214</v>
      </c>
      <c r="N2459" s="20">
        <v>3105</v>
      </c>
      <c r="P2459" s="16">
        <f>VLOOKUP(A2459,'[3]Price info'!A:H,8,FALSE)</f>
        <v>335.9</v>
      </c>
      <c r="Q2459" s="17">
        <f t="shared" si="153"/>
        <v>1</v>
      </c>
      <c r="S2459" s="16" t="e">
        <f>VLOOKUP(A2459,[4]Sales!$E:$G,3,FALSE)</f>
        <v>#N/A</v>
      </c>
      <c r="T2459" s="19" t="e">
        <f>VLOOKUP(A2459,[4]Volume!$E:$G,3,FALSE)</f>
        <v>#N/A</v>
      </c>
      <c r="U2459" s="19" t="e">
        <f>VLOOKUP(A2459,[4]Piece!$E:$G,3,FALSE)</f>
        <v>#N/A</v>
      </c>
      <c r="V2459" s="21" t="e">
        <f t="shared" si="154"/>
        <v>#N/A</v>
      </c>
      <c r="W2459" s="16" t="e">
        <f t="shared" si="155"/>
        <v>#N/A</v>
      </c>
    </row>
    <row r="2460" spans="1:23" hidden="1" x14ac:dyDescent="0.3">
      <c r="A2460" s="71" t="s">
        <v>4856</v>
      </c>
      <c r="B2460" s="71" t="s">
        <v>4856</v>
      </c>
      <c r="C2460" s="47" t="s">
        <v>33</v>
      </c>
      <c r="D2460" s="48" t="s">
        <v>34</v>
      </c>
      <c r="E2460" s="18" t="s">
        <v>4857</v>
      </c>
      <c r="F2460" s="24" t="str">
        <f t="shared" si="152"/>
        <v>PPG - WATCO STEPMAKER</v>
      </c>
      <c r="G2460" s="20" t="s">
        <v>7330</v>
      </c>
      <c r="H2460" s="49" t="s">
        <v>213</v>
      </c>
      <c r="I2460" s="18" t="s">
        <v>37</v>
      </c>
      <c r="J2460" s="18" t="s">
        <v>38</v>
      </c>
      <c r="K2460" t="s">
        <v>39</v>
      </c>
      <c r="L2460" s="50">
        <f>VLOOKUP(A2460,'[3]Price info'!A:D,4,FALSE)</f>
        <v>62.1</v>
      </c>
      <c r="M2460" s="18" t="s">
        <v>214</v>
      </c>
      <c r="N2460" s="20">
        <v>3105</v>
      </c>
      <c r="P2460" s="16">
        <f>VLOOKUP(A2460,'[3]Price info'!A:H,8,FALSE)</f>
        <v>62.1</v>
      </c>
      <c r="Q2460" s="17">
        <f t="shared" si="153"/>
        <v>1</v>
      </c>
      <c r="S2460" s="16" t="e">
        <f>VLOOKUP(A2460,[4]Sales!$E:$G,3,FALSE)</f>
        <v>#N/A</v>
      </c>
      <c r="T2460" s="19" t="e">
        <f>VLOOKUP(A2460,[4]Volume!$E:$G,3,FALSE)</f>
        <v>#N/A</v>
      </c>
      <c r="U2460" s="19" t="e">
        <f>VLOOKUP(A2460,[4]Piece!$E:$G,3,FALSE)</f>
        <v>#N/A</v>
      </c>
      <c r="V2460" s="21" t="e">
        <f t="shared" si="154"/>
        <v>#N/A</v>
      </c>
      <c r="W2460" s="16" t="e">
        <f t="shared" si="155"/>
        <v>#N/A</v>
      </c>
    </row>
    <row r="2461" spans="1:23" hidden="1" x14ac:dyDescent="0.3">
      <c r="A2461" s="71" t="s">
        <v>4858</v>
      </c>
      <c r="B2461" s="71" t="s">
        <v>4858</v>
      </c>
      <c r="C2461" s="47" t="s">
        <v>33</v>
      </c>
      <c r="D2461" s="48" t="s">
        <v>34</v>
      </c>
      <c r="E2461" s="18" t="s">
        <v>4859</v>
      </c>
      <c r="F2461" s="24" t="str">
        <f t="shared" si="152"/>
        <v>PPG - WATCO TILE PRIMER             5ltr</v>
      </c>
      <c r="G2461" s="20" t="s">
        <v>7331</v>
      </c>
      <c r="H2461" s="49" t="s">
        <v>213</v>
      </c>
      <c r="I2461" s="18" t="s">
        <v>37</v>
      </c>
      <c r="J2461" s="18" t="s">
        <v>38</v>
      </c>
      <c r="K2461" t="s">
        <v>39</v>
      </c>
      <c r="L2461" s="50">
        <f>VLOOKUP(A2461,'[3]Price info'!A:D,4,FALSE)</f>
        <v>104.14</v>
      </c>
      <c r="M2461" s="18" t="s">
        <v>214</v>
      </c>
      <c r="N2461" s="20">
        <v>3105</v>
      </c>
      <c r="P2461" s="16">
        <f>VLOOKUP(A2461,'[3]Price info'!A:H,8,FALSE)</f>
        <v>104.14</v>
      </c>
      <c r="Q2461" s="17">
        <f t="shared" si="153"/>
        <v>1</v>
      </c>
      <c r="S2461" s="16" t="e">
        <f>VLOOKUP(A2461,[4]Sales!$E:$G,3,FALSE)</f>
        <v>#N/A</v>
      </c>
      <c r="T2461" s="19" t="e">
        <f>VLOOKUP(A2461,[4]Volume!$E:$G,3,FALSE)</f>
        <v>#N/A</v>
      </c>
      <c r="U2461" s="19" t="e">
        <f>VLOOKUP(A2461,[4]Piece!$E:$G,3,FALSE)</f>
        <v>#N/A</v>
      </c>
      <c r="V2461" s="21" t="e">
        <f t="shared" si="154"/>
        <v>#N/A</v>
      </c>
      <c r="W2461" s="16" t="e">
        <f t="shared" si="155"/>
        <v>#N/A</v>
      </c>
    </row>
    <row r="2462" spans="1:23" hidden="1" x14ac:dyDescent="0.3">
      <c r="A2462" s="71" t="s">
        <v>4860</v>
      </c>
      <c r="B2462" s="71" t="s">
        <v>4860</v>
      </c>
      <c r="C2462" s="51" t="s">
        <v>33</v>
      </c>
      <c r="D2462" s="48" t="s">
        <v>34</v>
      </c>
      <c r="E2462" s="18" t="s">
        <v>4861</v>
      </c>
      <c r="F2462" s="24" t="str">
        <f t="shared" si="152"/>
        <v>PPG - WATCO TRAFFICLINE  RD MARKING 5ltr</v>
      </c>
      <c r="G2462" s="20" t="s">
        <v>7332</v>
      </c>
      <c r="H2462" s="49" t="s">
        <v>213</v>
      </c>
      <c r="I2462" s="18" t="s">
        <v>37</v>
      </c>
      <c r="J2462" s="18" t="s">
        <v>38</v>
      </c>
      <c r="K2462" t="s">
        <v>39</v>
      </c>
      <c r="L2462" s="50">
        <f>VLOOKUP(A2462,'[3]Price info'!A:D,4,FALSE)</f>
        <v>109.41</v>
      </c>
      <c r="M2462" s="18" t="s">
        <v>214</v>
      </c>
      <c r="N2462" s="20">
        <v>3105</v>
      </c>
      <c r="P2462" s="16">
        <f>VLOOKUP(A2462,'[3]Price info'!A:H,8,FALSE)</f>
        <v>109.41</v>
      </c>
      <c r="Q2462" s="17">
        <f t="shared" si="153"/>
        <v>1</v>
      </c>
      <c r="S2462" s="16" t="e">
        <f>VLOOKUP(A2462,[4]Sales!$E:$G,3,FALSE)</f>
        <v>#N/A</v>
      </c>
      <c r="T2462" s="19" t="e">
        <f>VLOOKUP(A2462,[4]Volume!$E:$G,3,FALSE)</f>
        <v>#N/A</v>
      </c>
      <c r="U2462" s="19" t="e">
        <f>VLOOKUP(A2462,[4]Piece!$E:$G,3,FALSE)</f>
        <v>#N/A</v>
      </c>
      <c r="V2462" s="21" t="e">
        <f t="shared" si="154"/>
        <v>#N/A</v>
      </c>
      <c r="W2462" s="16" t="e">
        <f t="shared" si="155"/>
        <v>#N/A</v>
      </c>
    </row>
    <row r="2463" spans="1:23" hidden="1" x14ac:dyDescent="0.3">
      <c r="A2463" s="71" t="s">
        <v>4862</v>
      </c>
      <c r="B2463" s="71" t="s">
        <v>4862</v>
      </c>
      <c r="C2463" s="47" t="s">
        <v>33</v>
      </c>
      <c r="D2463" s="48" t="s">
        <v>34</v>
      </c>
      <c r="E2463" s="18" t="s">
        <v>4863</v>
      </c>
      <c r="F2463" s="24" t="str">
        <f t="shared" si="152"/>
        <v>PPG - WATCO UNI SEALER   DUSTPROOF  1ltr</v>
      </c>
      <c r="G2463" s="20" t="s">
        <v>7333</v>
      </c>
      <c r="H2463" s="49" t="s">
        <v>213</v>
      </c>
      <c r="I2463" s="18" t="s">
        <v>37</v>
      </c>
      <c r="J2463" s="18" t="s">
        <v>38</v>
      </c>
      <c r="K2463" t="s">
        <v>39</v>
      </c>
      <c r="L2463" s="50">
        <f>VLOOKUP(A2463,'[3]Price info'!A:D,4,FALSE)</f>
        <v>112.22</v>
      </c>
      <c r="M2463" s="18" t="s">
        <v>214</v>
      </c>
      <c r="N2463" s="20">
        <v>3105</v>
      </c>
      <c r="P2463" s="16">
        <f>VLOOKUP(A2463,'[3]Price info'!A:H,8,FALSE)</f>
        <v>112.22</v>
      </c>
      <c r="Q2463" s="17">
        <f t="shared" si="153"/>
        <v>1</v>
      </c>
      <c r="S2463" s="16" t="e">
        <f>VLOOKUP(A2463,[4]Sales!$E:$G,3,FALSE)</f>
        <v>#N/A</v>
      </c>
      <c r="T2463" s="19" t="e">
        <f>VLOOKUP(A2463,[4]Volume!$E:$G,3,FALSE)</f>
        <v>#N/A</v>
      </c>
      <c r="U2463" s="19" t="e">
        <f>VLOOKUP(A2463,[4]Piece!$E:$G,3,FALSE)</f>
        <v>#N/A</v>
      </c>
      <c r="V2463" s="21" t="e">
        <f t="shared" si="154"/>
        <v>#N/A</v>
      </c>
      <c r="W2463" s="16" t="e">
        <f t="shared" si="155"/>
        <v>#N/A</v>
      </c>
    </row>
    <row r="2464" spans="1:23" hidden="1" x14ac:dyDescent="0.3">
      <c r="A2464" s="71" t="s">
        <v>4864</v>
      </c>
      <c r="B2464" s="71" t="s">
        <v>4864</v>
      </c>
      <c r="C2464" s="47" t="s">
        <v>33</v>
      </c>
      <c r="D2464" s="48" t="s">
        <v>34</v>
      </c>
      <c r="E2464" s="18" t="s">
        <v>4865</v>
      </c>
      <c r="F2464" s="24" t="str">
        <f t="shared" si="152"/>
        <v>PPG - WATCO UNIV SEALER  DUSTPROOF  25ltr</v>
      </c>
      <c r="G2464" s="20" t="s">
        <v>7334</v>
      </c>
      <c r="H2464" s="49" t="s">
        <v>213</v>
      </c>
      <c r="I2464" s="18" t="s">
        <v>37</v>
      </c>
      <c r="J2464" s="18" t="s">
        <v>38</v>
      </c>
      <c r="K2464" t="s">
        <v>39</v>
      </c>
      <c r="L2464" s="50">
        <f>VLOOKUP(A2464,'[3]Price info'!A:D,4,FALSE)</f>
        <v>331.67</v>
      </c>
      <c r="M2464" s="18" t="s">
        <v>214</v>
      </c>
      <c r="N2464" s="20">
        <v>3105</v>
      </c>
      <c r="P2464" s="16">
        <f>VLOOKUP(A2464,'[3]Price info'!A:H,8,FALSE)</f>
        <v>331.67</v>
      </c>
      <c r="Q2464" s="17">
        <f t="shared" si="153"/>
        <v>1</v>
      </c>
      <c r="S2464" s="16" t="e">
        <f>VLOOKUP(A2464,[4]Sales!$E:$G,3,FALSE)</f>
        <v>#N/A</v>
      </c>
      <c r="T2464" s="19" t="e">
        <f>VLOOKUP(A2464,[4]Volume!$E:$G,3,FALSE)</f>
        <v>#N/A</v>
      </c>
      <c r="U2464" s="19" t="e">
        <f>VLOOKUP(A2464,[4]Piece!$E:$G,3,FALSE)</f>
        <v>#N/A</v>
      </c>
      <c r="V2464" s="21" t="e">
        <f t="shared" si="154"/>
        <v>#N/A</v>
      </c>
      <c r="W2464" s="16" t="e">
        <f t="shared" si="155"/>
        <v>#N/A</v>
      </c>
    </row>
    <row r="2465" spans="1:23" hidden="1" x14ac:dyDescent="0.3">
      <c r="A2465" s="71" t="s">
        <v>4866</v>
      </c>
      <c r="B2465" s="71" t="s">
        <v>4866</v>
      </c>
      <c r="C2465" s="51" t="s">
        <v>33</v>
      </c>
      <c r="D2465" s="48" t="s">
        <v>34</v>
      </c>
      <c r="E2465" s="18" t="s">
        <v>4867</v>
      </c>
      <c r="F2465" s="24" t="str">
        <f t="shared" si="152"/>
        <v>PPG - WATCO WALLGUARD    WHITE      5ltr</v>
      </c>
      <c r="G2465" s="20" t="s">
        <v>7335</v>
      </c>
      <c r="H2465" s="49" t="s">
        <v>213</v>
      </c>
      <c r="I2465" s="18" t="s">
        <v>37</v>
      </c>
      <c r="J2465" s="18" t="s">
        <v>38</v>
      </c>
      <c r="K2465" t="s">
        <v>39</v>
      </c>
      <c r="L2465" s="50">
        <f>VLOOKUP(A2465,'[3]Price info'!A:D,4,FALSE)</f>
        <v>147.16999999999999</v>
      </c>
      <c r="M2465" s="18" t="s">
        <v>214</v>
      </c>
      <c r="N2465" s="20">
        <v>3105</v>
      </c>
      <c r="P2465" s="16">
        <f>VLOOKUP(A2465,'[3]Price info'!A:H,8,FALSE)</f>
        <v>147.16999999999999</v>
      </c>
      <c r="Q2465" s="17">
        <f t="shared" si="153"/>
        <v>1</v>
      </c>
      <c r="S2465" s="16" t="e">
        <f>VLOOKUP(A2465,[4]Sales!$E:$G,3,FALSE)</f>
        <v>#N/A</v>
      </c>
      <c r="T2465" s="19" t="e">
        <f>VLOOKUP(A2465,[4]Volume!$E:$G,3,FALSE)</f>
        <v>#N/A</v>
      </c>
      <c r="U2465" s="19" t="e">
        <f>VLOOKUP(A2465,[4]Piece!$E:$G,3,FALSE)</f>
        <v>#N/A</v>
      </c>
      <c r="V2465" s="21" t="e">
        <f t="shared" si="154"/>
        <v>#N/A</v>
      </c>
      <c r="W2465" s="16" t="e">
        <f t="shared" si="155"/>
        <v>#N/A</v>
      </c>
    </row>
    <row r="2466" spans="1:23" hidden="1" x14ac:dyDescent="0.3">
      <c r="A2466" s="71" t="s">
        <v>4868</v>
      </c>
      <c r="B2466" s="71" t="s">
        <v>4868</v>
      </c>
      <c r="C2466" s="47" t="s">
        <v>33</v>
      </c>
      <c r="D2466" s="48" t="s">
        <v>34</v>
      </c>
      <c r="E2466" s="18" t="s">
        <v>4869</v>
      </c>
      <c r="F2466" s="24" t="str">
        <f t="shared" si="152"/>
        <v>PPG - WATCO WALLSEAL                5ltr</v>
      </c>
      <c r="G2466" s="20" t="s">
        <v>7336</v>
      </c>
      <c r="H2466" s="49" t="s">
        <v>213</v>
      </c>
      <c r="I2466" s="18" t="s">
        <v>37</v>
      </c>
      <c r="J2466" s="18" t="s">
        <v>38</v>
      </c>
      <c r="K2466" t="s">
        <v>39</v>
      </c>
      <c r="L2466" s="50">
        <f>VLOOKUP(A2466,'[3]Price info'!A:D,4,FALSE)</f>
        <v>99.93</v>
      </c>
      <c r="M2466" s="18" t="s">
        <v>214</v>
      </c>
      <c r="N2466" s="20">
        <v>3105</v>
      </c>
      <c r="P2466" s="16">
        <f>VLOOKUP(A2466,'[3]Price info'!A:H,8,FALSE)</f>
        <v>99.93</v>
      </c>
      <c r="Q2466" s="17">
        <f t="shared" si="153"/>
        <v>1</v>
      </c>
      <c r="S2466" s="16" t="e">
        <f>VLOOKUP(A2466,[4]Sales!$E:$G,3,FALSE)</f>
        <v>#N/A</v>
      </c>
      <c r="T2466" s="19" t="e">
        <f>VLOOKUP(A2466,[4]Volume!$E:$G,3,FALSE)</f>
        <v>#N/A</v>
      </c>
      <c r="U2466" s="19" t="e">
        <f>VLOOKUP(A2466,[4]Piece!$E:$G,3,FALSE)</f>
        <v>#N/A</v>
      </c>
      <c r="V2466" s="21" t="e">
        <f t="shared" si="154"/>
        <v>#N/A</v>
      </c>
      <c r="W2466" s="16" t="e">
        <f t="shared" si="155"/>
        <v>#N/A</v>
      </c>
    </row>
    <row r="2467" spans="1:23" hidden="1" x14ac:dyDescent="0.3">
      <c r="A2467" s="71" t="s">
        <v>4870</v>
      </c>
      <c r="B2467" s="71" t="s">
        <v>4870</v>
      </c>
      <c r="C2467" s="47" t="s">
        <v>33</v>
      </c>
      <c r="D2467" s="48" t="s">
        <v>34</v>
      </c>
      <c r="E2467" s="18" t="s">
        <v>4871</v>
      </c>
      <c r="F2467" s="24" t="str">
        <f t="shared" si="152"/>
        <v>PPG - Zinsser EXT WB SATIN BLACK 2.5ltr</v>
      </c>
      <c r="G2467" s="20" t="s">
        <v>7337</v>
      </c>
      <c r="H2467" s="49" t="s">
        <v>213</v>
      </c>
      <c r="I2467" s="18" t="s">
        <v>37</v>
      </c>
      <c r="J2467" s="18" t="s">
        <v>38</v>
      </c>
      <c r="K2467" t="s">
        <v>39</v>
      </c>
      <c r="L2467" s="50">
        <f>VLOOKUP(A2467,'[3]Price info'!A:D,4,FALSE)</f>
        <v>47.45</v>
      </c>
      <c r="M2467" s="18" t="s">
        <v>214</v>
      </c>
      <c r="N2467" s="20">
        <v>3105</v>
      </c>
      <c r="P2467" s="16">
        <f>VLOOKUP(A2467,'[3]Price info'!A:H,8,FALSE)</f>
        <v>47.45</v>
      </c>
      <c r="Q2467" s="17">
        <f t="shared" si="153"/>
        <v>1</v>
      </c>
      <c r="S2467" s="16">
        <f>VLOOKUP(A2467,[4]Sales!$E:$G,3,FALSE)</f>
        <v>86.210000000000008</v>
      </c>
      <c r="T2467" s="19">
        <f>VLOOKUP(A2467,[4]Volume!$E:$G,3,FALSE)</f>
        <v>5</v>
      </c>
      <c r="U2467" s="19">
        <f>VLOOKUP(A2467,[4]Piece!$E:$G,3,FALSE)</f>
        <v>2</v>
      </c>
      <c r="V2467" s="21">
        <f t="shared" si="154"/>
        <v>94.9</v>
      </c>
      <c r="W2467" s="16">
        <f t="shared" si="155"/>
        <v>8.6899999999999977</v>
      </c>
    </row>
    <row r="2468" spans="1:23" hidden="1" x14ac:dyDescent="0.3">
      <c r="A2468" s="71" t="s">
        <v>4872</v>
      </c>
      <c r="B2468" s="71" t="s">
        <v>4872</v>
      </c>
      <c r="C2468" s="51" t="s">
        <v>33</v>
      </c>
      <c r="D2468" s="48" t="s">
        <v>34</v>
      </c>
      <c r="E2468" s="18" t="s">
        <v>4873</v>
      </c>
      <c r="F2468" s="24" t="str">
        <f t="shared" si="152"/>
        <v>PPG - Zinsser EXT WB SATIN BLACK 5ltr</v>
      </c>
      <c r="G2468" s="20" t="s">
        <v>7338</v>
      </c>
      <c r="H2468" s="49" t="s">
        <v>213</v>
      </c>
      <c r="I2468" s="18" t="s">
        <v>37</v>
      </c>
      <c r="J2468" s="18" t="s">
        <v>38</v>
      </c>
      <c r="K2468" t="s">
        <v>39</v>
      </c>
      <c r="L2468" s="50">
        <f>VLOOKUP(A2468,'[3]Price info'!A:D,4,FALSE)</f>
        <v>89.78</v>
      </c>
      <c r="M2468" s="18" t="s">
        <v>214</v>
      </c>
      <c r="N2468" s="20">
        <v>3105</v>
      </c>
      <c r="P2468" s="16">
        <f>VLOOKUP(A2468,'[3]Price info'!A:H,8,FALSE)</f>
        <v>89.78</v>
      </c>
      <c r="Q2468" s="17">
        <f t="shared" si="153"/>
        <v>1</v>
      </c>
      <c r="S2468" s="16" t="e">
        <f>VLOOKUP(A2468,[4]Sales!$E:$G,3,FALSE)</f>
        <v>#N/A</v>
      </c>
      <c r="T2468" s="19" t="e">
        <f>VLOOKUP(A2468,[4]Volume!$E:$G,3,FALSE)</f>
        <v>#N/A</v>
      </c>
      <c r="U2468" s="19" t="e">
        <f>VLOOKUP(A2468,[4]Piece!$E:$G,3,FALSE)</f>
        <v>#N/A</v>
      </c>
      <c r="V2468" s="21" t="e">
        <f t="shared" si="154"/>
        <v>#N/A</v>
      </c>
      <c r="W2468" s="16" t="e">
        <f t="shared" si="155"/>
        <v>#N/A</v>
      </c>
    </row>
    <row r="2469" spans="1:23" hidden="1" x14ac:dyDescent="0.3">
      <c r="A2469" s="71" t="s">
        <v>4874</v>
      </c>
      <c r="B2469" s="71" t="s">
        <v>4874</v>
      </c>
      <c r="C2469" s="47" t="s">
        <v>33</v>
      </c>
      <c r="D2469" s="48" t="s">
        <v>34</v>
      </c>
      <c r="E2469" s="18" t="s">
        <v>4875</v>
      </c>
      <c r="F2469" s="24" t="str">
        <f t="shared" si="152"/>
        <v>PPG - Zinsser EXT WB SATIN WHITE 2.5ltr</v>
      </c>
      <c r="G2469" s="20" t="s">
        <v>7339</v>
      </c>
      <c r="H2469" s="49" t="s">
        <v>213</v>
      </c>
      <c r="I2469" s="18" t="s">
        <v>37</v>
      </c>
      <c r="J2469" s="18" t="s">
        <v>38</v>
      </c>
      <c r="K2469" t="s">
        <v>39</v>
      </c>
      <c r="L2469" s="50">
        <f>VLOOKUP(A2469,'[3]Price info'!A:D,4,FALSE)</f>
        <v>47.45</v>
      </c>
      <c r="M2469" s="18" t="s">
        <v>214</v>
      </c>
      <c r="N2469" s="20">
        <v>3105</v>
      </c>
      <c r="P2469" s="16">
        <f>VLOOKUP(A2469,'[3]Price info'!A:H,8,FALSE)</f>
        <v>47.45</v>
      </c>
      <c r="Q2469" s="17">
        <f t="shared" si="153"/>
        <v>1</v>
      </c>
      <c r="S2469" s="16">
        <f>VLOOKUP(A2469,[4]Sales!$E:$G,3,FALSE)</f>
        <v>96.77</v>
      </c>
      <c r="T2469" s="19">
        <f>VLOOKUP(A2469,[4]Volume!$E:$G,3,FALSE)</f>
        <v>5</v>
      </c>
      <c r="U2469" s="19">
        <f>VLOOKUP(A2469,[4]Piece!$E:$G,3,FALSE)</f>
        <v>2</v>
      </c>
      <c r="V2469" s="21">
        <f t="shared" si="154"/>
        <v>94.9</v>
      </c>
      <c r="W2469" s="16">
        <f t="shared" si="155"/>
        <v>-1.8699999999999903</v>
      </c>
    </row>
    <row r="2470" spans="1:23" hidden="1" x14ac:dyDescent="0.3">
      <c r="A2470" s="71" t="s">
        <v>4876</v>
      </c>
      <c r="B2470" s="71" t="s">
        <v>4876</v>
      </c>
      <c r="C2470" s="47" t="s">
        <v>33</v>
      </c>
      <c r="D2470" s="48" t="s">
        <v>34</v>
      </c>
      <c r="E2470" s="18" t="s">
        <v>4877</v>
      </c>
      <c r="F2470" s="24" t="str">
        <f t="shared" si="152"/>
        <v>PPG - Zinsser EXT WB SATIN WHITE 5ltr</v>
      </c>
      <c r="G2470" s="20" t="s">
        <v>7340</v>
      </c>
      <c r="H2470" s="49" t="s">
        <v>213</v>
      </c>
      <c r="I2470" s="18" t="s">
        <v>37</v>
      </c>
      <c r="J2470" s="18" t="s">
        <v>38</v>
      </c>
      <c r="K2470" t="s">
        <v>39</v>
      </c>
      <c r="L2470" s="50">
        <f>VLOOKUP(A2470,'[3]Price info'!A:D,4,FALSE)</f>
        <v>89.78</v>
      </c>
      <c r="M2470" s="18" t="s">
        <v>214</v>
      </c>
      <c r="N2470" s="20">
        <v>3105</v>
      </c>
      <c r="P2470" s="16">
        <f>VLOOKUP(A2470,'[3]Price info'!A:H,8,FALSE)</f>
        <v>89.78</v>
      </c>
      <c r="Q2470" s="17">
        <f t="shared" si="153"/>
        <v>1</v>
      </c>
      <c r="S2470" s="16">
        <f>VLOOKUP(A2470,[4]Sales!$E:$G,3,FALSE)</f>
        <v>174.78</v>
      </c>
      <c r="T2470" s="19">
        <f>VLOOKUP(A2470,[4]Volume!$E:$G,3,FALSE)</f>
        <v>10</v>
      </c>
      <c r="U2470" s="19">
        <f>VLOOKUP(A2470,[4]Piece!$E:$G,3,FALSE)</f>
        <v>2</v>
      </c>
      <c r="V2470" s="21">
        <f t="shared" si="154"/>
        <v>179.56</v>
      </c>
      <c r="W2470" s="16">
        <f t="shared" si="155"/>
        <v>4.7800000000000011</v>
      </c>
    </row>
    <row r="2471" spans="1:23" hidden="1" x14ac:dyDescent="0.3">
      <c r="A2471" s="71" t="s">
        <v>4878</v>
      </c>
      <c r="B2471" s="71" t="s">
        <v>4878</v>
      </c>
      <c r="C2471" s="51" t="s">
        <v>33</v>
      </c>
      <c r="D2471" s="48" t="s">
        <v>34</v>
      </c>
      <c r="E2471" s="18" t="s">
        <v>4879</v>
      </c>
      <c r="F2471" s="24" t="str">
        <f t="shared" si="152"/>
        <v>PPG - Zinsser GARDZ 2.5ltr</v>
      </c>
      <c r="G2471" s="20" t="s">
        <v>7341</v>
      </c>
      <c r="H2471" s="49" t="s">
        <v>213</v>
      </c>
      <c r="I2471" s="18" t="s">
        <v>37</v>
      </c>
      <c r="J2471" s="18" t="s">
        <v>38</v>
      </c>
      <c r="K2471" t="s">
        <v>39</v>
      </c>
      <c r="L2471" s="50">
        <f>VLOOKUP(A2471,'[3]Price info'!A:D,4,FALSE)</f>
        <v>20.38</v>
      </c>
      <c r="M2471" s="18" t="s">
        <v>214</v>
      </c>
      <c r="N2471" s="20">
        <v>3105</v>
      </c>
      <c r="P2471" s="16">
        <f>VLOOKUP(A2471,'[3]Price info'!A:H,8,FALSE)</f>
        <v>20.38</v>
      </c>
      <c r="Q2471" s="17">
        <f t="shared" si="153"/>
        <v>1</v>
      </c>
      <c r="S2471" s="16">
        <f>VLOOKUP(A2471,[4]Sales!$E:$G,3,FALSE)</f>
        <v>54.14</v>
      </c>
      <c r="T2471" s="19">
        <f>VLOOKUP(A2471,[4]Volume!$E:$G,3,FALSE)</f>
        <v>7.5</v>
      </c>
      <c r="U2471" s="19">
        <f>VLOOKUP(A2471,[4]Piece!$E:$G,3,FALSE)</f>
        <v>3</v>
      </c>
      <c r="V2471" s="21">
        <f t="shared" si="154"/>
        <v>61.14</v>
      </c>
      <c r="W2471" s="16">
        <f t="shared" si="155"/>
        <v>7</v>
      </c>
    </row>
    <row r="2472" spans="1:23" hidden="1" x14ac:dyDescent="0.3">
      <c r="A2472" s="71" t="s">
        <v>4880</v>
      </c>
      <c r="B2472" s="71" t="s">
        <v>4880</v>
      </c>
      <c r="C2472" s="47" t="s">
        <v>33</v>
      </c>
      <c r="D2472" s="48" t="s">
        <v>34</v>
      </c>
      <c r="E2472" s="18" t="s">
        <v>4881</v>
      </c>
      <c r="F2472" s="24" t="str">
        <f t="shared" si="152"/>
        <v>PPG - Zinsser GARDZ  5ltr</v>
      </c>
      <c r="G2472" s="20" t="s">
        <v>7342</v>
      </c>
      <c r="H2472" s="49" t="s">
        <v>213</v>
      </c>
      <c r="I2472" s="18" t="s">
        <v>37</v>
      </c>
      <c r="J2472" s="18" t="s">
        <v>38</v>
      </c>
      <c r="K2472" t="s">
        <v>39</v>
      </c>
      <c r="L2472" s="50">
        <f>VLOOKUP(A2472,'[3]Price info'!A:D,4,FALSE)</f>
        <v>36.79</v>
      </c>
      <c r="M2472" s="18" t="s">
        <v>214</v>
      </c>
      <c r="N2472" s="20">
        <v>3105</v>
      </c>
      <c r="P2472" s="16">
        <f>VLOOKUP(A2472,'[3]Price info'!A:H,8,FALSE)</f>
        <v>36.79</v>
      </c>
      <c r="Q2472" s="17">
        <f t="shared" si="153"/>
        <v>1</v>
      </c>
      <c r="S2472" s="16">
        <f>VLOOKUP(A2472,[4]Sales!$E:$G,3,FALSE)</f>
        <v>67.52</v>
      </c>
      <c r="T2472" s="19">
        <f>VLOOKUP(A2472,[4]Volume!$E:$G,3,FALSE)</f>
        <v>10</v>
      </c>
      <c r="U2472" s="19">
        <f>VLOOKUP(A2472,[4]Piece!$E:$G,3,FALSE)</f>
        <v>2</v>
      </c>
      <c r="V2472" s="21">
        <f t="shared" si="154"/>
        <v>73.58</v>
      </c>
      <c r="W2472" s="16">
        <f t="shared" si="155"/>
        <v>6.0600000000000023</v>
      </c>
    </row>
    <row r="2473" spans="1:23" hidden="1" x14ac:dyDescent="0.3">
      <c r="A2473" s="71" t="s">
        <v>4882</v>
      </c>
      <c r="B2473" s="71" t="s">
        <v>4882</v>
      </c>
      <c r="C2473" s="47" t="s">
        <v>33</v>
      </c>
      <c r="D2473" s="48" t="s">
        <v>34</v>
      </c>
      <c r="E2473" s="18" t="s">
        <v>4883</v>
      </c>
      <c r="F2473" s="24" t="str">
        <f t="shared" si="152"/>
        <v>PPG - Zinsser PEEL STOP  1ltr</v>
      </c>
      <c r="G2473" s="20" t="s">
        <v>7343</v>
      </c>
      <c r="H2473" s="49" t="s">
        <v>213</v>
      </c>
      <c r="I2473" s="18" t="s">
        <v>37</v>
      </c>
      <c r="J2473" s="18" t="s">
        <v>38</v>
      </c>
      <c r="K2473" t="s">
        <v>39</v>
      </c>
      <c r="L2473" s="50">
        <f>VLOOKUP(A2473,'[3]Price info'!A:D,4,FALSE)</f>
        <v>10.1</v>
      </c>
      <c r="M2473" s="18" t="s">
        <v>214</v>
      </c>
      <c r="N2473" s="20">
        <v>3105</v>
      </c>
      <c r="P2473" s="16">
        <f>VLOOKUP(A2473,'[3]Price info'!A:H,8,FALSE)</f>
        <v>10.1</v>
      </c>
      <c r="Q2473" s="17">
        <f t="shared" si="153"/>
        <v>1</v>
      </c>
      <c r="S2473" s="16">
        <f>VLOOKUP(A2473,[4]Sales!$E:$G,3,FALSE)</f>
        <v>20.2</v>
      </c>
      <c r="T2473" s="19">
        <f>VLOOKUP(A2473,[4]Volume!$E:$G,3,FALSE)</f>
        <v>3</v>
      </c>
      <c r="U2473" s="19">
        <f>VLOOKUP(A2473,[4]Piece!$E:$G,3,FALSE)</f>
        <v>3</v>
      </c>
      <c r="V2473" s="21">
        <f t="shared" si="154"/>
        <v>30.299999999999997</v>
      </c>
      <c r="W2473" s="16">
        <f t="shared" si="155"/>
        <v>10.099999999999998</v>
      </c>
    </row>
    <row r="2474" spans="1:23" hidden="1" x14ac:dyDescent="0.3">
      <c r="A2474" s="71" t="s">
        <v>4884</v>
      </c>
      <c r="B2474" s="71" t="s">
        <v>4884</v>
      </c>
      <c r="C2474" s="51" t="s">
        <v>33</v>
      </c>
      <c r="D2474" s="48" t="s">
        <v>34</v>
      </c>
      <c r="E2474" s="18" t="s">
        <v>4885</v>
      </c>
      <c r="F2474" s="24" t="str">
        <f t="shared" si="152"/>
        <v>PPG - Zinsser PERMA WHITE  INT MATT  1ltr</v>
      </c>
      <c r="G2474" s="20" t="s">
        <v>7344</v>
      </c>
      <c r="H2474" s="49" t="s">
        <v>213</v>
      </c>
      <c r="I2474" s="18" t="s">
        <v>37</v>
      </c>
      <c r="J2474" s="18" t="s">
        <v>38</v>
      </c>
      <c r="K2474" t="s">
        <v>39</v>
      </c>
      <c r="L2474" s="50">
        <f>VLOOKUP(A2474,'[3]Price info'!A:D,4,FALSE)</f>
        <v>19.68</v>
      </c>
      <c r="M2474" s="18" t="s">
        <v>214</v>
      </c>
      <c r="N2474" s="20">
        <v>3105</v>
      </c>
      <c r="P2474" s="16">
        <f>VLOOKUP(A2474,'[3]Price info'!A:H,8,FALSE)</f>
        <v>19.68</v>
      </c>
      <c r="Q2474" s="17">
        <f t="shared" si="153"/>
        <v>1</v>
      </c>
      <c r="S2474" s="16">
        <f>VLOOKUP(A2474,[4]Sales!$E:$G,3,FALSE)</f>
        <v>0</v>
      </c>
      <c r="T2474" s="19">
        <f>VLOOKUP(A2474,[4]Volume!$E:$G,3,FALSE)</f>
        <v>0</v>
      </c>
      <c r="U2474" s="19">
        <f>VLOOKUP(A2474,[4]Piece!$E:$G,3,FALSE)</f>
        <v>0</v>
      </c>
      <c r="V2474" s="21">
        <f t="shared" si="154"/>
        <v>0</v>
      </c>
      <c r="W2474" s="16">
        <f t="shared" si="155"/>
        <v>0</v>
      </c>
    </row>
    <row r="2475" spans="1:23" hidden="1" x14ac:dyDescent="0.3">
      <c r="A2475" s="71" t="s">
        <v>4886</v>
      </c>
      <c r="B2475" s="71" t="s">
        <v>4886</v>
      </c>
      <c r="C2475" s="47" t="s">
        <v>33</v>
      </c>
      <c r="D2475" s="48" t="s">
        <v>34</v>
      </c>
      <c r="E2475" s="18" t="s">
        <v>4887</v>
      </c>
      <c r="F2475" s="24" t="str">
        <f t="shared" si="152"/>
        <v>PPG - Zinsser PERMA WHITE  INT MATT  2.5ltr</v>
      </c>
      <c r="G2475" s="20" t="s">
        <v>7345</v>
      </c>
      <c r="H2475" s="49" t="s">
        <v>213</v>
      </c>
      <c r="I2475" s="18" t="s">
        <v>37</v>
      </c>
      <c r="J2475" s="18" t="s">
        <v>38</v>
      </c>
      <c r="K2475" t="s">
        <v>39</v>
      </c>
      <c r="L2475" s="50">
        <f>VLOOKUP(A2475,'[3]Price info'!A:D,4,FALSE)</f>
        <v>37.86</v>
      </c>
      <c r="M2475" s="18" t="s">
        <v>214</v>
      </c>
      <c r="N2475" s="20">
        <v>3105</v>
      </c>
      <c r="P2475" s="16">
        <f>VLOOKUP(A2475,'[3]Price info'!A:H,8,FALSE)</f>
        <v>37.86</v>
      </c>
      <c r="Q2475" s="17">
        <f t="shared" si="153"/>
        <v>1</v>
      </c>
      <c r="S2475" s="16">
        <f>VLOOKUP(A2475,[4]Sales!$E:$G,3,FALSE)</f>
        <v>113.58</v>
      </c>
      <c r="T2475" s="19">
        <f>VLOOKUP(A2475,[4]Volume!$E:$G,3,FALSE)</f>
        <v>7.5</v>
      </c>
      <c r="U2475" s="19">
        <f>VLOOKUP(A2475,[4]Piece!$E:$G,3,FALSE)</f>
        <v>3</v>
      </c>
      <c r="V2475" s="21">
        <f t="shared" si="154"/>
        <v>113.58</v>
      </c>
      <c r="W2475" s="16">
        <f t="shared" si="155"/>
        <v>0</v>
      </c>
    </row>
    <row r="2476" spans="1:23" hidden="1" x14ac:dyDescent="0.3">
      <c r="A2476" s="71" t="s">
        <v>4888</v>
      </c>
      <c r="B2476" s="71" t="s">
        <v>4888</v>
      </c>
      <c r="C2476" s="47" t="s">
        <v>33</v>
      </c>
      <c r="D2476" s="48" t="s">
        <v>34</v>
      </c>
      <c r="E2476" s="18" t="s">
        <v>4889</v>
      </c>
      <c r="F2476" s="24" t="str">
        <f t="shared" si="152"/>
        <v>PPG - Zinsser PERMA WHITE  INT MATT 5ltr</v>
      </c>
      <c r="G2476" s="20" t="s">
        <v>7346</v>
      </c>
      <c r="H2476" s="49" t="s">
        <v>213</v>
      </c>
      <c r="I2476" s="18" t="s">
        <v>37</v>
      </c>
      <c r="J2476" s="18" t="s">
        <v>38</v>
      </c>
      <c r="K2476" t="s">
        <v>39</v>
      </c>
      <c r="L2476" s="50">
        <f>VLOOKUP(A2476,'[3]Price info'!A:D,4,FALSE)</f>
        <v>72.87</v>
      </c>
      <c r="M2476" s="18" t="s">
        <v>214</v>
      </c>
      <c r="N2476" s="20">
        <v>3105</v>
      </c>
      <c r="P2476" s="16">
        <f>VLOOKUP(A2476,'[3]Price info'!A:H,8,FALSE)</f>
        <v>72.87</v>
      </c>
      <c r="Q2476" s="17">
        <f t="shared" si="153"/>
        <v>1</v>
      </c>
      <c r="S2476" s="16">
        <f>VLOOKUP(A2476,[4]Sales!$E:$G,3,FALSE)</f>
        <v>134.42000000000002</v>
      </c>
      <c r="T2476" s="19">
        <f>VLOOKUP(A2476,[4]Volume!$E:$G,3,FALSE)</f>
        <v>10</v>
      </c>
      <c r="U2476" s="19">
        <f>VLOOKUP(A2476,[4]Piece!$E:$G,3,FALSE)</f>
        <v>2</v>
      </c>
      <c r="V2476" s="21">
        <f t="shared" si="154"/>
        <v>145.74</v>
      </c>
      <c r="W2476" s="16">
        <f t="shared" si="155"/>
        <v>11.319999999999993</v>
      </c>
    </row>
    <row r="2477" spans="1:23" hidden="1" x14ac:dyDescent="0.3">
      <c r="A2477" s="71" t="s">
        <v>4890</v>
      </c>
      <c r="B2477" s="71" t="s">
        <v>4890</v>
      </c>
      <c r="C2477" s="51" t="s">
        <v>33</v>
      </c>
      <c r="D2477" s="48" t="s">
        <v>34</v>
      </c>
      <c r="E2477" s="18" t="s">
        <v>4891</v>
      </c>
      <c r="F2477" s="24" t="str">
        <f t="shared" si="152"/>
        <v>PPG - Zinsser PERMA WHITE  INT SATIN 1ltr</v>
      </c>
      <c r="G2477" s="20" t="s">
        <v>7347</v>
      </c>
      <c r="H2477" s="49" t="s">
        <v>213</v>
      </c>
      <c r="I2477" s="18" t="s">
        <v>37</v>
      </c>
      <c r="J2477" s="18" t="s">
        <v>38</v>
      </c>
      <c r="K2477" t="s">
        <v>39</v>
      </c>
      <c r="L2477" s="50">
        <f>VLOOKUP(A2477,'[3]Price info'!A:D,4,FALSE)</f>
        <v>19.68</v>
      </c>
      <c r="M2477" s="18" t="s">
        <v>214</v>
      </c>
      <c r="N2477" s="20">
        <v>3105</v>
      </c>
      <c r="P2477" s="16">
        <f>VLOOKUP(A2477,'[3]Price info'!A:H,8,FALSE)</f>
        <v>19.68</v>
      </c>
      <c r="Q2477" s="17">
        <f t="shared" si="153"/>
        <v>1</v>
      </c>
      <c r="S2477" s="16" t="e">
        <f>VLOOKUP(A2477,[4]Sales!$E:$G,3,FALSE)</f>
        <v>#N/A</v>
      </c>
      <c r="T2477" s="19" t="e">
        <f>VLOOKUP(A2477,[4]Volume!$E:$G,3,FALSE)</f>
        <v>#N/A</v>
      </c>
      <c r="U2477" s="19" t="e">
        <f>VLOOKUP(A2477,[4]Piece!$E:$G,3,FALSE)</f>
        <v>#N/A</v>
      </c>
      <c r="V2477" s="21" t="e">
        <f t="shared" si="154"/>
        <v>#N/A</v>
      </c>
      <c r="W2477" s="16" t="e">
        <f t="shared" si="155"/>
        <v>#N/A</v>
      </c>
    </row>
    <row r="2478" spans="1:23" hidden="1" x14ac:dyDescent="0.3">
      <c r="A2478" s="71" t="s">
        <v>4892</v>
      </c>
      <c r="B2478" s="71" t="s">
        <v>4892</v>
      </c>
      <c r="C2478" s="47" t="s">
        <v>33</v>
      </c>
      <c r="D2478" s="48" t="s">
        <v>34</v>
      </c>
      <c r="E2478" s="18" t="s">
        <v>4893</v>
      </c>
      <c r="F2478" s="24" t="str">
        <f t="shared" si="152"/>
        <v>PPG - Zinsser PERMA WHITE  INT SATIN 2.5ltr</v>
      </c>
      <c r="G2478" s="20" t="s">
        <v>7348</v>
      </c>
      <c r="H2478" s="49" t="s">
        <v>213</v>
      </c>
      <c r="I2478" s="18" t="s">
        <v>37</v>
      </c>
      <c r="J2478" s="18" t="s">
        <v>38</v>
      </c>
      <c r="K2478" t="s">
        <v>39</v>
      </c>
      <c r="L2478" s="50">
        <f>VLOOKUP(A2478,'[3]Price info'!A:D,4,FALSE)</f>
        <v>44.88</v>
      </c>
      <c r="M2478" s="18" t="s">
        <v>214</v>
      </c>
      <c r="N2478" s="20">
        <v>3105</v>
      </c>
      <c r="P2478" s="16">
        <f>VLOOKUP(A2478,'[3]Price info'!A:H,8,FALSE)</f>
        <v>44.88</v>
      </c>
      <c r="Q2478" s="17">
        <f t="shared" si="153"/>
        <v>1</v>
      </c>
      <c r="S2478" s="16" t="e">
        <f>VLOOKUP(A2478,[4]Sales!$E:$G,3,FALSE)</f>
        <v>#N/A</v>
      </c>
      <c r="T2478" s="19" t="e">
        <f>VLOOKUP(A2478,[4]Volume!$E:$G,3,FALSE)</f>
        <v>#N/A</v>
      </c>
      <c r="U2478" s="19" t="e">
        <f>VLOOKUP(A2478,[4]Piece!$E:$G,3,FALSE)</f>
        <v>#N/A</v>
      </c>
      <c r="V2478" s="21" t="e">
        <f t="shared" si="154"/>
        <v>#N/A</v>
      </c>
      <c r="W2478" s="16" t="e">
        <f t="shared" si="155"/>
        <v>#N/A</v>
      </c>
    </row>
    <row r="2479" spans="1:23" hidden="1" x14ac:dyDescent="0.3">
      <c r="A2479" s="48" t="s">
        <v>4894</v>
      </c>
      <c r="B2479" s="18" t="s">
        <v>4894</v>
      </c>
      <c r="C2479" s="47" t="s">
        <v>33</v>
      </c>
      <c r="D2479" s="48" t="s">
        <v>34</v>
      </c>
      <c r="E2479" s="18" t="s">
        <v>4895</v>
      </c>
      <c r="F2479" s="20" t="str">
        <f t="shared" si="152"/>
        <v>PPG - Johnstone's ULTRALAST BRIL WHITE 10L</v>
      </c>
      <c r="G2479" s="20" t="s">
        <v>7349</v>
      </c>
      <c r="H2479" s="49" t="s">
        <v>213</v>
      </c>
      <c r="I2479" s="18" t="s">
        <v>37</v>
      </c>
      <c r="J2479" s="18" t="s">
        <v>38</v>
      </c>
      <c r="K2479" s="72" t="s">
        <v>39</v>
      </c>
      <c r="L2479" s="50"/>
      <c r="M2479" s="18" t="s">
        <v>214</v>
      </c>
      <c r="N2479" s="20">
        <v>3105</v>
      </c>
      <c r="O2479" s="48"/>
      <c r="P2479" s="16">
        <v>68.349999999999994</v>
      </c>
      <c r="Q2479" s="17" t="e">
        <f t="shared" si="153"/>
        <v>#DIV/0!</v>
      </c>
      <c r="S2479" s="16">
        <f>VLOOKUP(A2479,[4]Sales!$E:$G,3,FALSE)</f>
        <v>0</v>
      </c>
      <c r="T2479" s="19">
        <f>VLOOKUP(A2479,[4]Volume!$E:$G,3,FALSE)</f>
        <v>20</v>
      </c>
      <c r="U2479" s="19">
        <f>VLOOKUP(A2479,[4]Piece!$E:$G,3,FALSE)</f>
        <v>2</v>
      </c>
      <c r="V2479" s="21">
        <f t="shared" si="154"/>
        <v>136.69999999999999</v>
      </c>
      <c r="W2479" s="16">
        <f t="shared" si="155"/>
        <v>136.69999999999999</v>
      </c>
    </row>
    <row r="2480" spans="1:23" hidden="1" x14ac:dyDescent="0.3">
      <c r="A2480" s="48" t="s">
        <v>4896</v>
      </c>
      <c r="B2480" s="18" t="s">
        <v>4896</v>
      </c>
      <c r="C2480" s="47" t="s">
        <v>33</v>
      </c>
      <c r="D2480" s="48" t="s">
        <v>34</v>
      </c>
      <c r="E2480" s="18" t="s">
        <v>4897</v>
      </c>
      <c r="F2480" s="20" t="str">
        <f t="shared" si="152"/>
        <v>PPG - Johnstone's ULTRALAST BRIL WHITE 5L</v>
      </c>
      <c r="G2480" s="20" t="s">
        <v>7350</v>
      </c>
      <c r="H2480" s="49" t="s">
        <v>213</v>
      </c>
      <c r="I2480" s="18" t="s">
        <v>37</v>
      </c>
      <c r="J2480" s="18" t="s">
        <v>38</v>
      </c>
      <c r="K2480" s="72" t="s">
        <v>39</v>
      </c>
      <c r="L2480" s="50"/>
      <c r="M2480" s="18" t="s">
        <v>214</v>
      </c>
      <c r="N2480" s="20">
        <v>3105</v>
      </c>
      <c r="O2480" s="48"/>
      <c r="P2480" s="16">
        <v>43.33</v>
      </c>
      <c r="Q2480" s="17" t="e">
        <f t="shared" si="153"/>
        <v>#DIV/0!</v>
      </c>
      <c r="S2480" s="16">
        <f>VLOOKUP(A2480,[4]Sales!$E:$G,3,FALSE)</f>
        <v>0</v>
      </c>
      <c r="T2480" s="19">
        <f>VLOOKUP(A2480,[4]Volume!$E:$G,3,FALSE)</f>
        <v>0</v>
      </c>
      <c r="U2480" s="19">
        <f>VLOOKUP(A2480,[4]Piece!$E:$G,3,FALSE)</f>
        <v>0</v>
      </c>
      <c r="V2480" s="21">
        <f t="shared" si="154"/>
        <v>0</v>
      </c>
      <c r="W2480" s="16">
        <f t="shared" si="155"/>
        <v>0</v>
      </c>
    </row>
    <row r="2481" spans="1:23" hidden="1" x14ac:dyDescent="0.3">
      <c r="A2481" s="48" t="s">
        <v>4898</v>
      </c>
      <c r="B2481" s="18" t="s">
        <v>4898</v>
      </c>
      <c r="C2481" s="47" t="s">
        <v>33</v>
      </c>
      <c r="D2481" s="48" t="s">
        <v>34</v>
      </c>
      <c r="E2481" s="18" t="s">
        <v>4899</v>
      </c>
      <c r="F2481" s="20" t="str">
        <f t="shared" si="152"/>
        <v>PPG - Johnstone's ULTRALAST MIXED 10L</v>
      </c>
      <c r="G2481" s="20" t="s">
        <v>7351</v>
      </c>
      <c r="H2481" s="49" t="s">
        <v>213</v>
      </c>
      <c r="I2481" s="18" t="s">
        <v>37</v>
      </c>
      <c r="J2481" s="18" t="s">
        <v>38</v>
      </c>
      <c r="K2481" s="72" t="s">
        <v>39</v>
      </c>
      <c r="L2481" s="50"/>
      <c r="M2481" s="18" t="s">
        <v>214</v>
      </c>
      <c r="N2481" s="20">
        <v>3105</v>
      </c>
      <c r="O2481" s="48"/>
      <c r="P2481" s="16">
        <v>88.7</v>
      </c>
      <c r="Q2481" s="17" t="e">
        <f t="shared" si="153"/>
        <v>#DIV/0!</v>
      </c>
      <c r="S2481" s="16" t="e">
        <f>VLOOKUP(A2481,[4]Sales!$E:$G,3,FALSE)</f>
        <v>#N/A</v>
      </c>
      <c r="T2481" s="19" t="e">
        <f>VLOOKUP(A2481,[4]Volume!$E:$G,3,FALSE)</f>
        <v>#N/A</v>
      </c>
      <c r="U2481" s="19" t="e">
        <f>VLOOKUP(A2481,[4]Piece!$E:$G,3,FALSE)</f>
        <v>#N/A</v>
      </c>
      <c r="V2481" s="21" t="e">
        <f t="shared" si="154"/>
        <v>#N/A</v>
      </c>
      <c r="W2481" s="16" t="e">
        <f t="shared" si="155"/>
        <v>#N/A</v>
      </c>
    </row>
    <row r="2482" spans="1:23" hidden="1" x14ac:dyDescent="0.3">
      <c r="A2482" s="48" t="s">
        <v>4900</v>
      </c>
      <c r="B2482" s="18" t="s">
        <v>4900</v>
      </c>
      <c r="C2482" s="47" t="s">
        <v>33</v>
      </c>
      <c r="D2482" s="48" t="s">
        <v>34</v>
      </c>
      <c r="E2482" s="18" t="s">
        <v>4901</v>
      </c>
      <c r="F2482" s="20" t="str">
        <f t="shared" si="152"/>
        <v>PPG - Johnstone's ULTRALAST MIXED 5L</v>
      </c>
      <c r="G2482" s="20" t="s">
        <v>7352</v>
      </c>
      <c r="H2482" s="49" t="s">
        <v>213</v>
      </c>
      <c r="I2482" s="18" t="s">
        <v>37</v>
      </c>
      <c r="J2482" s="18" t="s">
        <v>38</v>
      </c>
      <c r="K2482" s="72" t="s">
        <v>39</v>
      </c>
      <c r="L2482" s="50"/>
      <c r="M2482" s="18" t="s">
        <v>214</v>
      </c>
      <c r="N2482" s="20">
        <v>3105</v>
      </c>
      <c r="O2482" s="48"/>
      <c r="P2482" s="16">
        <v>53.49</v>
      </c>
      <c r="Q2482" s="17" t="e">
        <f t="shared" si="153"/>
        <v>#DIV/0!</v>
      </c>
      <c r="S2482" s="16">
        <f>VLOOKUP(A2482,[4]Sales!$E:$G,3,FALSE)</f>
        <v>213.96</v>
      </c>
      <c r="T2482" s="19">
        <f>VLOOKUP(A2482,[4]Volume!$E:$G,3,FALSE)</f>
        <v>20</v>
      </c>
      <c r="U2482" s="19">
        <f>VLOOKUP(A2482,[4]Piece!$E:$G,3,FALSE)</f>
        <v>4</v>
      </c>
      <c r="V2482" s="21">
        <f t="shared" si="154"/>
        <v>213.96</v>
      </c>
      <c r="W2482" s="16">
        <f t="shared" si="155"/>
        <v>0</v>
      </c>
    </row>
    <row r="2483" spans="1:23" hidden="1" x14ac:dyDescent="0.3">
      <c r="A2483" s="48" t="s">
        <v>7353</v>
      </c>
      <c r="B2483" s="18" t="s">
        <v>7353</v>
      </c>
      <c r="C2483" s="47" t="s">
        <v>33</v>
      </c>
      <c r="D2483" s="48" t="s">
        <v>34</v>
      </c>
      <c r="E2483" s="18" t="s">
        <v>7354</v>
      </c>
      <c r="F2483" s="20" t="str">
        <f t="shared" si="152"/>
        <v>PPG - Wooster SUPERFAB 9"X1-1/4"PILE Roller</v>
      </c>
      <c r="G2483" s="20" t="s">
        <v>7355</v>
      </c>
      <c r="H2483" s="49" t="s">
        <v>213</v>
      </c>
      <c r="I2483" s="18" t="s">
        <v>37</v>
      </c>
      <c r="J2483" s="18" t="s">
        <v>38</v>
      </c>
      <c r="K2483" s="72" t="s">
        <v>39</v>
      </c>
      <c r="L2483" s="50"/>
      <c r="M2483" s="18" t="s">
        <v>214</v>
      </c>
      <c r="N2483" s="20">
        <v>3105</v>
      </c>
      <c r="P2483" s="16">
        <v>7.67</v>
      </c>
      <c r="Q2483" s="17" t="e">
        <f t="shared" si="153"/>
        <v>#DIV/0!</v>
      </c>
      <c r="S2483" s="16">
        <f>VLOOKUP(A2483,[4]Sales!$E:$G,3,FALSE)</f>
        <v>346.96</v>
      </c>
      <c r="T2483" s="19">
        <f>VLOOKUP(A2483,[4]Volume!$E:$G,3,FALSE)</f>
        <v>44</v>
      </c>
      <c r="U2483" s="19">
        <f>VLOOKUP(A2483,[4]Piece!$E:$G,3,FALSE)</f>
        <v>44</v>
      </c>
      <c r="V2483" s="21">
        <f t="shared" si="154"/>
        <v>337.48</v>
      </c>
      <c r="W2483" s="16">
        <f t="shared" si="155"/>
        <v>-9.4799999999999613</v>
      </c>
    </row>
    <row r="2484" spans="1:23" hidden="1" x14ac:dyDescent="0.3">
      <c r="A2484" s="48" t="s">
        <v>7357</v>
      </c>
      <c r="B2484" s="18" t="s">
        <v>7357</v>
      </c>
      <c r="C2484" s="47" t="s">
        <v>33</v>
      </c>
      <c r="D2484" s="48" t="s">
        <v>34</v>
      </c>
      <c r="E2484" s="18" t="s">
        <v>7356</v>
      </c>
      <c r="F2484" s="20" t="str">
        <f t="shared" si="152"/>
        <v>PPG - Ultragrime Pro Multisurface wipes Pack x 100</v>
      </c>
      <c r="G2484" s="20" t="s">
        <v>7358</v>
      </c>
      <c r="H2484" s="49" t="s">
        <v>213</v>
      </c>
      <c r="I2484" s="18" t="s">
        <v>37</v>
      </c>
      <c r="J2484" s="18" t="s">
        <v>38</v>
      </c>
      <c r="K2484" s="72" t="s">
        <v>39</v>
      </c>
      <c r="L2484" s="50"/>
      <c r="M2484" s="18" t="s">
        <v>214</v>
      </c>
      <c r="N2484" s="20">
        <v>3105</v>
      </c>
      <c r="P2484" s="16">
        <v>7.49</v>
      </c>
      <c r="Q2484" s="17" t="e">
        <f t="shared" si="153"/>
        <v>#DIV/0!</v>
      </c>
      <c r="S2484" s="16">
        <f>VLOOKUP(A2484,[4]Sales!$E:$G,3,FALSE)</f>
        <v>836.12000000000057</v>
      </c>
      <c r="T2484" s="19">
        <f>VLOOKUP(A2484,[4]Volume!$E:$G,3,FALSE)</f>
        <v>0.11300000000000004</v>
      </c>
      <c r="U2484" s="19">
        <f>VLOOKUP(A2484,[4]Piece!$E:$G,3,FALSE)</f>
        <v>113</v>
      </c>
      <c r="V2484" s="21">
        <f t="shared" si="154"/>
        <v>846.37</v>
      </c>
      <c r="W2484" s="16">
        <f t="shared" si="155"/>
        <v>10.249999999999432</v>
      </c>
    </row>
    <row r="2485" spans="1:23" hidden="1" x14ac:dyDescent="0.3">
      <c r="A2485" s="48" t="s">
        <v>7359</v>
      </c>
      <c r="B2485" s="18" t="s">
        <v>7359</v>
      </c>
      <c r="C2485" s="47" t="s">
        <v>33</v>
      </c>
      <c r="D2485" s="48" t="s">
        <v>34</v>
      </c>
      <c r="E2485" s="18" t="s">
        <v>7362</v>
      </c>
      <c r="F2485" s="20" t="str">
        <f t="shared" si="152"/>
        <v>PPG - ZINSSER B-I-N AQUA 5L</v>
      </c>
      <c r="G2485" s="20" t="s">
        <v>7365</v>
      </c>
      <c r="H2485" s="49" t="s">
        <v>213</v>
      </c>
      <c r="I2485" s="18" t="s">
        <v>37</v>
      </c>
      <c r="J2485" s="18" t="s">
        <v>38</v>
      </c>
      <c r="K2485" s="72" t="s">
        <v>39</v>
      </c>
      <c r="L2485" s="50"/>
      <c r="M2485" s="18" t="s">
        <v>214</v>
      </c>
      <c r="N2485" s="20">
        <v>3105</v>
      </c>
      <c r="O2485" s="48"/>
      <c r="P2485" s="16">
        <v>113.14</v>
      </c>
      <c r="Q2485" s="17" t="e">
        <f t="shared" si="153"/>
        <v>#DIV/0!</v>
      </c>
      <c r="S2485" s="16">
        <f>VLOOKUP(A2485,[4]Sales!$E:$G,3,FALSE)</f>
        <v>0</v>
      </c>
      <c r="T2485" s="19">
        <f>VLOOKUP(A2485,[4]Volume!$E:$G,3,FALSE)</f>
        <v>0</v>
      </c>
      <c r="U2485" s="19">
        <f>VLOOKUP(A2485,[4]Piece!$E:$G,3,FALSE)</f>
        <v>0</v>
      </c>
      <c r="V2485" s="21">
        <f t="shared" si="154"/>
        <v>0</v>
      </c>
      <c r="W2485" s="16">
        <f t="shared" si="155"/>
        <v>0</v>
      </c>
    </row>
    <row r="2486" spans="1:23" hidden="1" x14ac:dyDescent="0.3">
      <c r="A2486" s="48" t="s">
        <v>7360</v>
      </c>
      <c r="B2486" s="18" t="s">
        <v>7360</v>
      </c>
      <c r="C2486" s="47" t="s">
        <v>33</v>
      </c>
      <c r="D2486" s="48" t="s">
        <v>34</v>
      </c>
      <c r="E2486" s="18" t="s">
        <v>7363</v>
      </c>
      <c r="F2486" s="20" t="str">
        <f t="shared" si="152"/>
        <v>PPG - ZINSSER B-I-N AQUA 2.5L</v>
      </c>
      <c r="G2486" s="20" t="s">
        <v>7366</v>
      </c>
      <c r="H2486" s="49" t="s">
        <v>213</v>
      </c>
      <c r="I2486" s="18" t="s">
        <v>37</v>
      </c>
      <c r="J2486" s="18" t="s">
        <v>38</v>
      </c>
      <c r="K2486" s="72" t="s">
        <v>39</v>
      </c>
      <c r="L2486" s="50"/>
      <c r="M2486" s="18" t="s">
        <v>214</v>
      </c>
      <c r="N2486" s="20">
        <v>3105</v>
      </c>
      <c r="O2486" s="48"/>
      <c r="P2486" s="16">
        <v>60.9</v>
      </c>
      <c r="Q2486" s="17" t="e">
        <f t="shared" si="153"/>
        <v>#DIV/0!</v>
      </c>
      <c r="S2486" s="16">
        <f>VLOOKUP(A2486,[4]Sales!$E:$G,3,FALSE)</f>
        <v>0</v>
      </c>
      <c r="T2486" s="19">
        <f>VLOOKUP(A2486,[4]Volume!$E:$G,3,FALSE)</f>
        <v>0</v>
      </c>
      <c r="U2486" s="19">
        <f>VLOOKUP(A2486,[4]Piece!$E:$G,3,FALSE)</f>
        <v>0</v>
      </c>
      <c r="V2486" s="21">
        <f t="shared" si="154"/>
        <v>0</v>
      </c>
      <c r="W2486" s="16">
        <f t="shared" si="155"/>
        <v>0</v>
      </c>
    </row>
    <row r="2487" spans="1:23" hidden="1" x14ac:dyDescent="0.3">
      <c r="A2487" s="48" t="s">
        <v>7361</v>
      </c>
      <c r="B2487" s="18" t="s">
        <v>7361</v>
      </c>
      <c r="C2487" s="47" t="s">
        <v>33</v>
      </c>
      <c r="D2487" s="48" t="s">
        <v>34</v>
      </c>
      <c r="E2487" s="18" t="s">
        <v>7364</v>
      </c>
      <c r="F2487" s="20" t="str">
        <f t="shared" si="152"/>
        <v>PPG - ZINSSER B-I-N AQUA 1L</v>
      </c>
      <c r="G2487" s="20" t="s">
        <v>7367</v>
      </c>
      <c r="H2487" s="49" t="s">
        <v>213</v>
      </c>
      <c r="I2487" s="18" t="s">
        <v>37</v>
      </c>
      <c r="J2487" s="18" t="s">
        <v>38</v>
      </c>
      <c r="K2487" s="72" t="s">
        <v>39</v>
      </c>
      <c r="L2487" s="50"/>
      <c r="M2487" s="18" t="s">
        <v>214</v>
      </c>
      <c r="N2487" s="20">
        <v>3105</v>
      </c>
      <c r="O2487" s="48"/>
      <c r="P2487" s="16">
        <v>30.05</v>
      </c>
      <c r="Q2487" s="17" t="e">
        <f t="shared" si="153"/>
        <v>#DIV/0!</v>
      </c>
      <c r="S2487" s="16">
        <f>VLOOKUP(A2487,[4]Sales!$E:$G,3,FALSE)</f>
        <v>30.05</v>
      </c>
      <c r="T2487" s="19">
        <f>VLOOKUP(A2487,[4]Volume!$E:$G,3,FALSE)</f>
        <v>1</v>
      </c>
      <c r="U2487" s="19">
        <f>VLOOKUP(A2487,[4]Piece!$E:$G,3,FALSE)</f>
        <v>1</v>
      </c>
      <c r="V2487" s="21">
        <f t="shared" si="154"/>
        <v>30.05</v>
      </c>
      <c r="W2487" s="16">
        <f t="shared" si="155"/>
        <v>0</v>
      </c>
    </row>
    <row r="2488" spans="1:23" hidden="1" x14ac:dyDescent="0.3">
      <c r="A2488" s="48" t="s">
        <v>7370</v>
      </c>
      <c r="B2488" s="18" t="s">
        <v>7370</v>
      </c>
      <c r="C2488" s="47" t="s">
        <v>33</v>
      </c>
      <c r="D2488" s="48" t="s">
        <v>34</v>
      </c>
      <c r="E2488" s="18" t="s">
        <v>7372</v>
      </c>
      <c r="F2488" s="20" t="str">
        <f t="shared" si="152"/>
        <v>PPG - TIMBABUILD EHB60 400ML (packof 10)</v>
      </c>
      <c r="G2488" s="20" t="s">
        <v>7368</v>
      </c>
      <c r="H2488" s="49" t="s">
        <v>213</v>
      </c>
      <c r="I2488" s="18" t="s">
        <v>37</v>
      </c>
      <c r="J2488" s="18" t="s">
        <v>38</v>
      </c>
      <c r="K2488" s="72" t="s">
        <v>39</v>
      </c>
      <c r="L2488" s="50"/>
      <c r="M2488" s="18" t="s">
        <v>214</v>
      </c>
      <c r="N2488" s="20">
        <v>3105</v>
      </c>
      <c r="O2488" s="48"/>
      <c r="P2488" s="16">
        <v>300</v>
      </c>
      <c r="Q2488" s="17" t="e">
        <f t="shared" si="153"/>
        <v>#DIV/0!</v>
      </c>
      <c r="S2488" s="16">
        <f>VLOOKUP(A2488,[4]Sales!$E:$G,3,FALSE)</f>
        <v>2800.7</v>
      </c>
      <c r="T2488" s="19">
        <f>VLOOKUP(A2488,[4]Volume!$E:$G,3,FALSE)</f>
        <v>36</v>
      </c>
      <c r="U2488" s="19">
        <f>VLOOKUP(A2488,[4]Piece!$E:$G,3,FALSE)</f>
        <v>90</v>
      </c>
      <c r="V2488" s="21">
        <f t="shared" si="154"/>
        <v>27000</v>
      </c>
      <c r="W2488" s="16">
        <f t="shared" si="155"/>
        <v>24199.3</v>
      </c>
    </row>
    <row r="2489" spans="1:23" hidden="1" x14ac:dyDescent="0.3">
      <c r="A2489" s="48" t="s">
        <v>7371</v>
      </c>
      <c r="B2489" s="18" t="s">
        <v>7371</v>
      </c>
      <c r="C2489" s="47" t="s">
        <v>33</v>
      </c>
      <c r="D2489" s="48" t="s">
        <v>34</v>
      </c>
      <c r="E2489" s="18" t="s">
        <v>7373</v>
      </c>
      <c r="F2489" s="20" t="str">
        <f t="shared" ref="F2489:F2491" si="156">D2489&amp;" - "&amp;E2489</f>
        <v>PPG - TIMBABUILD EXTRUSION TOOL (pack of 10)</v>
      </c>
      <c r="G2489" s="20" t="s">
        <v>7369</v>
      </c>
      <c r="H2489" s="49" t="s">
        <v>213</v>
      </c>
      <c r="I2489" s="18" t="s">
        <v>37</v>
      </c>
      <c r="J2489" s="18" t="s">
        <v>38</v>
      </c>
      <c r="K2489" s="72" t="s">
        <v>39</v>
      </c>
      <c r="L2489" s="50"/>
      <c r="M2489" s="18" t="s">
        <v>214</v>
      </c>
      <c r="N2489" s="20">
        <v>3105</v>
      </c>
      <c r="O2489" s="48"/>
      <c r="P2489" s="16">
        <v>345</v>
      </c>
      <c r="Q2489" s="17" t="e">
        <f t="shared" si="153"/>
        <v>#DIV/0!</v>
      </c>
      <c r="S2489" s="16" t="e">
        <f>VLOOKUP(A2489,[4]Sales!$E:$G,3,FALSE)</f>
        <v>#N/A</v>
      </c>
      <c r="T2489" s="19" t="e">
        <f>VLOOKUP(A2489,[4]Volume!$E:$G,3,FALSE)</f>
        <v>#N/A</v>
      </c>
      <c r="U2489" s="19" t="e">
        <f>VLOOKUP(A2489,[4]Piece!$E:$G,3,FALSE)</f>
        <v>#N/A</v>
      </c>
      <c r="V2489" s="21" t="e">
        <f t="shared" si="154"/>
        <v>#N/A</v>
      </c>
      <c r="W2489" s="16" t="e">
        <f t="shared" si="155"/>
        <v>#N/A</v>
      </c>
    </row>
    <row r="2490" spans="1:23" x14ac:dyDescent="0.3">
      <c r="A2490" t="s">
        <v>7374</v>
      </c>
      <c r="B2490" s="18" t="s">
        <v>7374</v>
      </c>
      <c r="C2490" s="47" t="s">
        <v>33</v>
      </c>
      <c r="D2490" s="48" t="s">
        <v>34</v>
      </c>
      <c r="E2490" s="18" t="s">
        <v>7376</v>
      </c>
      <c r="F2490" s="20" t="str">
        <f t="shared" si="156"/>
        <v xml:space="preserve">PPG - EASIFILL 60 10KG </v>
      </c>
      <c r="G2490" s="20" t="s">
        <v>7378</v>
      </c>
      <c r="H2490" s="49" t="s">
        <v>213</v>
      </c>
      <c r="I2490" s="18" t="s">
        <v>37</v>
      </c>
      <c r="J2490" s="18" t="s">
        <v>38</v>
      </c>
      <c r="K2490" s="72" t="s">
        <v>39</v>
      </c>
      <c r="L2490" s="50"/>
      <c r="M2490" s="18" t="s">
        <v>214</v>
      </c>
      <c r="N2490" s="20">
        <v>3105</v>
      </c>
      <c r="O2490" s="48"/>
      <c r="P2490" s="16">
        <v>17.75</v>
      </c>
      <c r="Q2490" s="17" t="e">
        <f t="shared" si="153"/>
        <v>#DIV/0!</v>
      </c>
      <c r="S2490" s="16">
        <f>VLOOKUP(A2490,[4]Sales!$E:$G,3,FALSE)</f>
        <v>468.22</v>
      </c>
      <c r="T2490" s="19">
        <f>VLOOKUP(A2490,[4]Volume!$E:$G,3,FALSE)</f>
        <v>58.75</v>
      </c>
      <c r="U2490" s="19">
        <f>VLOOKUP(A2490,[4]Piece!$E:$G,3,FALSE)</f>
        <v>47</v>
      </c>
      <c r="V2490" s="21">
        <f t="shared" si="154"/>
        <v>834.25</v>
      </c>
      <c r="W2490" s="16">
        <f t="shared" si="155"/>
        <v>366.03</v>
      </c>
    </row>
    <row r="2491" spans="1:23" hidden="1" x14ac:dyDescent="0.3">
      <c r="A2491" t="s">
        <v>7375</v>
      </c>
      <c r="B2491" s="18" t="s">
        <v>7375</v>
      </c>
      <c r="C2491" s="47" t="s">
        <v>33</v>
      </c>
      <c r="D2491" s="48" t="s">
        <v>34</v>
      </c>
      <c r="E2491" s="18" t="s">
        <v>7377</v>
      </c>
      <c r="F2491" s="20" t="str">
        <f t="shared" si="156"/>
        <v xml:space="preserve">PPG - TOUPRET WOOD FILLER 1.25KG </v>
      </c>
      <c r="G2491" s="20" t="s">
        <v>7379</v>
      </c>
      <c r="H2491" s="49" t="s">
        <v>213</v>
      </c>
      <c r="I2491" s="18" t="s">
        <v>37</v>
      </c>
      <c r="J2491" s="18" t="s">
        <v>38</v>
      </c>
      <c r="K2491" s="72" t="s">
        <v>39</v>
      </c>
      <c r="L2491" s="50"/>
      <c r="M2491" s="18" t="s">
        <v>214</v>
      </c>
      <c r="N2491" s="20">
        <v>3105</v>
      </c>
      <c r="O2491" s="48"/>
      <c r="P2491" s="16">
        <v>10.11</v>
      </c>
      <c r="Q2491" s="17" t="e">
        <f t="shared" si="153"/>
        <v>#DIV/0!</v>
      </c>
      <c r="S2491" s="16">
        <f>VLOOKUP(A2491,[4]Sales!$E:$G,3,FALSE)</f>
        <v>873.34</v>
      </c>
      <c r="T2491" s="19">
        <f>VLOOKUP(A2491,[4]Volume!$E:$G,3,FALSE)</f>
        <v>400</v>
      </c>
      <c r="U2491" s="19">
        <f>VLOOKUP(A2491,[4]Piece!$E:$G,3,FALSE)</f>
        <v>46</v>
      </c>
      <c r="V2491" s="21">
        <f t="shared" si="154"/>
        <v>465.05999999999995</v>
      </c>
      <c r="W2491" s="16">
        <f t="shared" si="155"/>
        <v>-408.28000000000009</v>
      </c>
    </row>
    <row r="2492" spans="1:23" hidden="1" x14ac:dyDescent="0.3">
      <c r="A2492" s="48" t="s">
        <v>7481</v>
      </c>
      <c r="B2492" s="18" t="s">
        <v>7481</v>
      </c>
      <c r="C2492" s="47" t="s">
        <v>33</v>
      </c>
      <c r="D2492" s="48" t="s">
        <v>7929</v>
      </c>
      <c r="E2492" s="93" t="s">
        <v>7463</v>
      </c>
      <c r="F2492" s="20" t="str">
        <f t="shared" ref="F2492:F2525" si="157">D2492&amp;" - "&amp;E2492</f>
        <v>Mirka - Mirka Rewireable Mains Cable 10.5m 230v UK</v>
      </c>
      <c r="G2492" s="20" t="s">
        <v>7464</v>
      </c>
      <c r="H2492" s="49" t="s">
        <v>213</v>
      </c>
      <c r="I2492" s="18" t="s">
        <v>37</v>
      </c>
      <c r="J2492" s="18" t="s">
        <v>38</v>
      </c>
      <c r="K2492" s="72" t="s">
        <v>39</v>
      </c>
      <c r="L2492" s="50"/>
      <c r="M2492" s="18" t="s">
        <v>214</v>
      </c>
      <c r="N2492" s="20">
        <v>3105</v>
      </c>
      <c r="O2492" s="92"/>
      <c r="P2492" s="16">
        <v>64.72</v>
      </c>
      <c r="Q2492" s="17" t="e">
        <f t="shared" si="153"/>
        <v>#DIV/0!</v>
      </c>
      <c r="S2492" s="16" t="e">
        <f>VLOOKUP(A2492,[4]Sales!$E:$G,3,FALSE)</f>
        <v>#N/A</v>
      </c>
      <c r="T2492" s="19" t="e">
        <f>VLOOKUP(A2492,[4]Volume!$E:$G,3,FALSE)</f>
        <v>#N/A</v>
      </c>
      <c r="U2492" s="19" t="e">
        <f>VLOOKUP(A2492,[4]Piece!$E:$G,3,FALSE)</f>
        <v>#N/A</v>
      </c>
      <c r="V2492" s="21" t="e">
        <f t="shared" si="154"/>
        <v>#N/A</v>
      </c>
      <c r="W2492" s="16" t="e">
        <f t="shared" si="155"/>
        <v>#N/A</v>
      </c>
    </row>
    <row r="2493" spans="1:23" hidden="1" x14ac:dyDescent="0.3">
      <c r="A2493" s="48" t="s">
        <v>7482</v>
      </c>
      <c r="B2493" s="18" t="s">
        <v>7482</v>
      </c>
      <c r="C2493" s="47" t="s">
        <v>33</v>
      </c>
      <c r="D2493" s="48" t="s">
        <v>7929</v>
      </c>
      <c r="E2493" s="93" t="s">
        <v>7465</v>
      </c>
      <c r="F2493" s="20" t="str">
        <f t="shared" si="157"/>
        <v>Mirka - Mirka Rewireable Mains Cable 4.3m 110v UK</v>
      </c>
      <c r="G2493" s="20" t="s">
        <v>7466</v>
      </c>
      <c r="H2493" s="49" t="s">
        <v>213</v>
      </c>
      <c r="I2493" s="18" t="s">
        <v>37</v>
      </c>
      <c r="J2493" s="18" t="s">
        <v>38</v>
      </c>
      <c r="K2493" s="72" t="s">
        <v>39</v>
      </c>
      <c r="L2493" s="50"/>
      <c r="M2493" s="18" t="s">
        <v>214</v>
      </c>
      <c r="N2493" s="20">
        <v>3105</v>
      </c>
      <c r="O2493" s="92"/>
      <c r="P2493" s="16">
        <v>57.1</v>
      </c>
      <c r="Q2493" s="17" t="e">
        <f t="shared" si="153"/>
        <v>#DIV/0!</v>
      </c>
      <c r="S2493" s="16" t="e">
        <f>VLOOKUP(A2493,[4]Sales!$E:$G,3,FALSE)</f>
        <v>#N/A</v>
      </c>
      <c r="T2493" s="19" t="e">
        <f>VLOOKUP(A2493,[4]Volume!$E:$G,3,FALSE)</f>
        <v>#N/A</v>
      </c>
      <c r="U2493" s="19" t="e">
        <f>VLOOKUP(A2493,[4]Piece!$E:$G,3,FALSE)</f>
        <v>#N/A</v>
      </c>
      <c r="V2493" s="21" t="e">
        <f t="shared" si="154"/>
        <v>#N/A</v>
      </c>
      <c r="W2493" s="16" t="e">
        <f t="shared" si="155"/>
        <v>#N/A</v>
      </c>
    </row>
    <row r="2494" spans="1:23" hidden="1" x14ac:dyDescent="0.3">
      <c r="A2494" s="48" t="s">
        <v>7483</v>
      </c>
      <c r="B2494" s="18" t="s">
        <v>7483</v>
      </c>
      <c r="C2494" s="47" t="s">
        <v>33</v>
      </c>
      <c r="D2494" s="48" t="s">
        <v>7929</v>
      </c>
      <c r="E2494" s="93" t="s">
        <v>7467</v>
      </c>
      <c r="F2494" s="20" t="str">
        <f t="shared" si="157"/>
        <v>Mirka - Mirka Rewireable Connector HP-9R</v>
      </c>
      <c r="G2494" s="20" t="s">
        <v>7468</v>
      </c>
      <c r="H2494" s="49" t="s">
        <v>213</v>
      </c>
      <c r="I2494" s="18" t="s">
        <v>37</v>
      </c>
      <c r="J2494" s="18" t="s">
        <v>38</v>
      </c>
      <c r="K2494" s="72" t="s">
        <v>39</v>
      </c>
      <c r="L2494" s="50"/>
      <c r="M2494" s="18" t="s">
        <v>214</v>
      </c>
      <c r="N2494" s="20">
        <v>3105</v>
      </c>
      <c r="O2494" s="92"/>
      <c r="P2494" s="16">
        <v>6.61</v>
      </c>
      <c r="Q2494" s="17" t="e">
        <f t="shared" si="153"/>
        <v>#DIV/0!</v>
      </c>
      <c r="S2494" s="16" t="e">
        <f>VLOOKUP(A2494,[4]Sales!$E:$G,3,FALSE)</f>
        <v>#N/A</v>
      </c>
      <c r="T2494" s="19" t="e">
        <f>VLOOKUP(A2494,[4]Volume!$E:$G,3,FALSE)</f>
        <v>#N/A</v>
      </c>
      <c r="U2494" s="19" t="e">
        <f>VLOOKUP(A2494,[4]Piece!$E:$G,3,FALSE)</f>
        <v>#N/A</v>
      </c>
      <c r="V2494" s="21" t="e">
        <f t="shared" si="154"/>
        <v>#N/A</v>
      </c>
      <c r="W2494" s="16" t="e">
        <f t="shared" si="155"/>
        <v>#N/A</v>
      </c>
    </row>
    <row r="2495" spans="1:23" hidden="1" x14ac:dyDescent="0.3">
      <c r="A2495" s="48" t="s">
        <v>7484</v>
      </c>
      <c r="B2495" s="18" t="s">
        <v>7484</v>
      </c>
      <c r="C2495" s="47" t="s">
        <v>33</v>
      </c>
      <c r="D2495" s="48" t="s">
        <v>7929</v>
      </c>
      <c r="E2495" s="93" t="s">
        <v>7930</v>
      </c>
      <c r="F2495" s="20" t="str">
        <f t="shared" si="157"/>
        <v>Mirka - Hose 27mm x 10m for Electric Machines</v>
      </c>
      <c r="G2495" s="20" t="s">
        <v>7469</v>
      </c>
      <c r="H2495" s="49" t="s">
        <v>213</v>
      </c>
      <c r="I2495" s="18" t="s">
        <v>37</v>
      </c>
      <c r="J2495" s="18" t="s">
        <v>38</v>
      </c>
      <c r="K2495" s="72" t="s">
        <v>39</v>
      </c>
      <c r="L2495" s="50"/>
      <c r="M2495" s="18" t="s">
        <v>214</v>
      </c>
      <c r="N2495" s="20">
        <v>3105</v>
      </c>
      <c r="O2495" s="92"/>
      <c r="P2495" s="16">
        <v>165.79</v>
      </c>
      <c r="Q2495" s="17" t="e">
        <f t="shared" si="153"/>
        <v>#DIV/0!</v>
      </c>
      <c r="S2495" s="16" t="e">
        <f>VLOOKUP(A2495,[4]Sales!$E:$G,3,FALSE)</f>
        <v>#N/A</v>
      </c>
      <c r="T2495" s="19" t="e">
        <f>VLOOKUP(A2495,[4]Volume!$E:$G,3,FALSE)</f>
        <v>#N/A</v>
      </c>
      <c r="U2495" s="19" t="e">
        <f>VLOOKUP(A2495,[4]Piece!$E:$G,3,FALSE)</f>
        <v>#N/A</v>
      </c>
      <c r="V2495" s="21" t="e">
        <f t="shared" si="154"/>
        <v>#N/A</v>
      </c>
      <c r="W2495" s="16" t="e">
        <f t="shared" si="155"/>
        <v>#N/A</v>
      </c>
    </row>
    <row r="2496" spans="1:23" hidden="1" x14ac:dyDescent="0.3">
      <c r="A2496" s="48" t="s">
        <v>7485</v>
      </c>
      <c r="B2496" s="18" t="s">
        <v>7485</v>
      </c>
      <c r="C2496" s="47" t="s">
        <v>33</v>
      </c>
      <c r="D2496" s="48" t="s">
        <v>7929</v>
      </c>
      <c r="E2496" s="93" t="s">
        <v>7471</v>
      </c>
      <c r="F2496" s="20" t="str">
        <f t="shared" si="157"/>
        <v>Mirka - Mirka Hose Sleeve 3.8m</v>
      </c>
      <c r="G2496" s="20" t="s">
        <v>7473</v>
      </c>
      <c r="H2496" s="49" t="s">
        <v>213</v>
      </c>
      <c r="I2496" s="18" t="s">
        <v>37</v>
      </c>
      <c r="J2496" s="18" t="s">
        <v>38</v>
      </c>
      <c r="K2496" s="72" t="s">
        <v>39</v>
      </c>
      <c r="L2496" s="50"/>
      <c r="M2496" s="18" t="s">
        <v>214</v>
      </c>
      <c r="N2496" s="20">
        <v>3105</v>
      </c>
      <c r="O2496" s="92"/>
      <c r="P2496" s="16">
        <v>57.47</v>
      </c>
      <c r="Q2496" s="17" t="e">
        <f t="shared" si="153"/>
        <v>#DIV/0!</v>
      </c>
      <c r="S2496" s="16" t="e">
        <f>VLOOKUP(A2496,[4]Sales!$E:$G,3,FALSE)</f>
        <v>#N/A</v>
      </c>
      <c r="T2496" s="19" t="e">
        <f>VLOOKUP(A2496,[4]Volume!$E:$G,3,FALSE)</f>
        <v>#N/A</v>
      </c>
      <c r="U2496" s="19" t="e">
        <f>VLOOKUP(A2496,[4]Piece!$E:$G,3,FALSE)</f>
        <v>#N/A</v>
      </c>
      <c r="V2496" s="21" t="e">
        <f t="shared" si="154"/>
        <v>#N/A</v>
      </c>
      <c r="W2496" s="16" t="e">
        <f t="shared" si="155"/>
        <v>#N/A</v>
      </c>
    </row>
    <row r="2497" spans="1:23" hidden="1" x14ac:dyDescent="0.3">
      <c r="A2497" s="48" t="s">
        <v>7486</v>
      </c>
      <c r="B2497" s="18" t="s">
        <v>7486</v>
      </c>
      <c r="C2497" s="47" t="s">
        <v>33</v>
      </c>
      <c r="D2497" s="48" t="s">
        <v>7929</v>
      </c>
      <c r="E2497" s="93" t="s">
        <v>7470</v>
      </c>
      <c r="F2497" s="20" t="str">
        <f t="shared" si="157"/>
        <v>Mirka - Mirka Hose Sleeve 9.8m</v>
      </c>
      <c r="G2497" s="20" t="s">
        <v>7472</v>
      </c>
      <c r="H2497" s="49" t="s">
        <v>213</v>
      </c>
      <c r="I2497" s="18" t="s">
        <v>37</v>
      </c>
      <c r="J2497" s="18" t="s">
        <v>38</v>
      </c>
      <c r="K2497" s="72" t="s">
        <v>39</v>
      </c>
      <c r="L2497" s="50"/>
      <c r="M2497" s="18" t="s">
        <v>214</v>
      </c>
      <c r="N2497" s="20">
        <v>3105</v>
      </c>
      <c r="O2497" s="92"/>
      <c r="P2497" s="16">
        <v>142.6</v>
      </c>
      <c r="Q2497" s="17" t="e">
        <f t="shared" si="153"/>
        <v>#DIV/0!</v>
      </c>
      <c r="S2497" s="16" t="e">
        <f>VLOOKUP(A2497,[4]Sales!$E:$G,3,FALSE)</f>
        <v>#N/A</v>
      </c>
      <c r="T2497" s="19" t="e">
        <f>VLOOKUP(A2497,[4]Volume!$E:$G,3,FALSE)</f>
        <v>#N/A</v>
      </c>
      <c r="U2497" s="19" t="e">
        <f>VLOOKUP(A2497,[4]Piece!$E:$G,3,FALSE)</f>
        <v>#N/A</v>
      </c>
      <c r="V2497" s="21" t="e">
        <f t="shared" si="154"/>
        <v>#N/A</v>
      </c>
      <c r="W2497" s="16" t="e">
        <f t="shared" si="155"/>
        <v>#N/A</v>
      </c>
    </row>
    <row r="2498" spans="1:23" hidden="1" x14ac:dyDescent="0.3">
      <c r="A2498" s="48" t="s">
        <v>7494</v>
      </c>
      <c r="B2498" s="18" t="s">
        <v>7494</v>
      </c>
      <c r="C2498" s="47" t="s">
        <v>33</v>
      </c>
      <c r="D2498" s="48" t="s">
        <v>7929</v>
      </c>
      <c r="E2498" s="93" t="s">
        <v>7474</v>
      </c>
      <c r="F2498" s="20" t="str">
        <f t="shared" si="157"/>
        <v>Mirka - Mirka DEOS Delta &amp; DEROS 230v Kit</v>
      </c>
      <c r="G2498" s="20" t="s">
        <v>7475</v>
      </c>
      <c r="H2498" s="49" t="s">
        <v>213</v>
      </c>
      <c r="I2498" s="18" t="s">
        <v>37</v>
      </c>
      <c r="J2498" s="18" t="s">
        <v>38</v>
      </c>
      <c r="K2498" s="72" t="s">
        <v>39</v>
      </c>
      <c r="L2498" s="50"/>
      <c r="M2498" s="18" t="s">
        <v>214</v>
      </c>
      <c r="N2498" s="20">
        <v>3105</v>
      </c>
      <c r="O2498" s="92"/>
      <c r="P2498" s="16">
        <v>953.25</v>
      </c>
      <c r="Q2498" s="17" t="e">
        <f t="shared" si="153"/>
        <v>#DIV/0!</v>
      </c>
      <c r="S2498" s="16" t="e">
        <f>VLOOKUP(A2498,[4]Sales!$E:$G,3,FALSE)</f>
        <v>#N/A</v>
      </c>
      <c r="T2498" s="19" t="e">
        <f>VLOOKUP(A2498,[4]Volume!$E:$G,3,FALSE)</f>
        <v>#N/A</v>
      </c>
      <c r="U2498" s="19" t="e">
        <f>VLOOKUP(A2498,[4]Piece!$E:$G,3,FALSE)</f>
        <v>#N/A</v>
      </c>
      <c r="V2498" s="21" t="e">
        <f t="shared" si="154"/>
        <v>#N/A</v>
      </c>
      <c r="W2498" s="16" t="e">
        <f t="shared" si="155"/>
        <v>#N/A</v>
      </c>
    </row>
    <row r="2499" spans="1:23" hidden="1" x14ac:dyDescent="0.3">
      <c r="A2499" s="48" t="s">
        <v>7504</v>
      </c>
      <c r="B2499" s="18" t="s">
        <v>7504</v>
      </c>
      <c r="C2499" s="47" t="s">
        <v>33</v>
      </c>
      <c r="D2499" s="48" t="s">
        <v>7929</v>
      </c>
      <c r="E2499" s="93" t="s">
        <v>7476</v>
      </c>
      <c r="F2499" s="20" t="str">
        <f t="shared" si="157"/>
        <v>Mirka - Mirka 70x198mm Interface Pad 10mm PK5</v>
      </c>
      <c r="G2499" s="20" t="s">
        <v>7477</v>
      </c>
      <c r="H2499" s="49" t="s">
        <v>213</v>
      </c>
      <c r="I2499" s="18" t="s">
        <v>37</v>
      </c>
      <c r="J2499" s="18" t="s">
        <v>38</v>
      </c>
      <c r="K2499" s="72" t="s">
        <v>39</v>
      </c>
      <c r="L2499" s="50"/>
      <c r="M2499" s="18" t="s">
        <v>214</v>
      </c>
      <c r="N2499" s="20">
        <v>3105</v>
      </c>
      <c r="O2499" s="92"/>
      <c r="P2499" s="16">
        <v>32.85</v>
      </c>
      <c r="Q2499" s="17" t="e">
        <f t="shared" ref="Q2499:Q2562" si="158">P2499/L2499</f>
        <v>#DIV/0!</v>
      </c>
      <c r="S2499" s="16" t="e">
        <f>VLOOKUP(A2499,[4]Sales!$E:$G,3,FALSE)</f>
        <v>#N/A</v>
      </c>
      <c r="T2499" s="19" t="e">
        <f>VLOOKUP(A2499,[4]Volume!$E:$G,3,FALSE)</f>
        <v>#N/A</v>
      </c>
      <c r="U2499" s="19" t="e">
        <f>VLOOKUP(A2499,[4]Piece!$E:$G,3,FALSE)</f>
        <v>#N/A</v>
      </c>
      <c r="V2499" s="21" t="e">
        <f t="shared" ref="V2499:V2562" si="159">U2499*P2499</f>
        <v>#N/A</v>
      </c>
      <c r="W2499" s="16" t="e">
        <f t="shared" ref="W2499:W2562" si="160">V2499-S2499</f>
        <v>#N/A</v>
      </c>
    </row>
    <row r="2500" spans="1:23" hidden="1" x14ac:dyDescent="0.3">
      <c r="A2500" s="48" t="s">
        <v>7478</v>
      </c>
      <c r="B2500" s="18" t="s">
        <v>7478</v>
      </c>
      <c r="C2500" s="47" t="s">
        <v>33</v>
      </c>
      <c r="D2500" s="48" t="s">
        <v>7929</v>
      </c>
      <c r="E2500" s="93" t="s">
        <v>7585</v>
      </c>
      <c r="F2500" s="20" t="str">
        <f t="shared" si="157"/>
        <v>Mirka - Mirka LEROS 950CV Dual Voltage Deco Kit</v>
      </c>
      <c r="G2500" s="20" t="s">
        <v>7678</v>
      </c>
      <c r="H2500" s="49" t="s">
        <v>213</v>
      </c>
      <c r="I2500" s="18" t="s">
        <v>37</v>
      </c>
      <c r="J2500" s="18" t="s">
        <v>38</v>
      </c>
      <c r="K2500" s="72" t="s">
        <v>39</v>
      </c>
      <c r="L2500" s="50"/>
      <c r="M2500" s="18" t="s">
        <v>214</v>
      </c>
      <c r="N2500" s="20">
        <v>3105</v>
      </c>
      <c r="O2500" s="92"/>
      <c r="P2500" s="16">
        <v>1299.1689000000001</v>
      </c>
      <c r="Q2500" s="17" t="e">
        <f t="shared" si="158"/>
        <v>#DIV/0!</v>
      </c>
      <c r="S2500" s="16" t="e">
        <f>VLOOKUP(A2500,[4]Sales!$E:$G,3,FALSE)</f>
        <v>#N/A</v>
      </c>
      <c r="T2500" s="19" t="e">
        <f>VLOOKUP(A2500,[4]Volume!$E:$G,3,FALSE)</f>
        <v>#N/A</v>
      </c>
      <c r="U2500" s="19" t="e">
        <f>VLOOKUP(A2500,[4]Piece!$E:$G,3,FALSE)</f>
        <v>#N/A</v>
      </c>
      <c r="V2500" s="21" t="e">
        <f t="shared" si="159"/>
        <v>#N/A</v>
      </c>
      <c r="W2500" s="16" t="e">
        <f t="shared" si="160"/>
        <v>#N/A</v>
      </c>
    </row>
    <row r="2501" spans="1:23" hidden="1" x14ac:dyDescent="0.3">
      <c r="A2501" s="48" t="s">
        <v>7479</v>
      </c>
      <c r="B2501" s="18" t="s">
        <v>7479</v>
      </c>
      <c r="C2501" s="47" t="s">
        <v>33</v>
      </c>
      <c r="D2501" s="48" t="s">
        <v>7929</v>
      </c>
      <c r="E2501" s="18" t="s">
        <v>7586</v>
      </c>
      <c r="F2501" s="20" t="str">
        <f t="shared" si="157"/>
        <v>Mirka - Mirka LEROS-S 950 CV Dual Voltage Deco Kit</v>
      </c>
      <c r="G2501" s="20" t="s">
        <v>7679</v>
      </c>
      <c r="H2501" s="49" t="s">
        <v>213</v>
      </c>
      <c r="I2501" s="18" t="s">
        <v>37</v>
      </c>
      <c r="J2501" s="18" t="s">
        <v>38</v>
      </c>
      <c r="K2501" s="72" t="s">
        <v>39</v>
      </c>
      <c r="L2501" s="50"/>
      <c r="M2501" s="18" t="s">
        <v>214</v>
      </c>
      <c r="N2501" s="20">
        <v>3105</v>
      </c>
      <c r="P2501" s="16">
        <v>1299.1689000000001</v>
      </c>
      <c r="Q2501" s="17" t="e">
        <f t="shared" si="158"/>
        <v>#DIV/0!</v>
      </c>
      <c r="S2501" s="16" t="e">
        <f>VLOOKUP(A2501,[4]Sales!$E:$G,3,FALSE)</f>
        <v>#N/A</v>
      </c>
      <c r="T2501" s="19" t="e">
        <f>VLOOKUP(A2501,[4]Volume!$E:$G,3,FALSE)</f>
        <v>#N/A</v>
      </c>
      <c r="U2501" s="19" t="e">
        <f>VLOOKUP(A2501,[4]Piece!$E:$G,3,FALSE)</f>
        <v>#N/A</v>
      </c>
      <c r="V2501" s="21" t="e">
        <f t="shared" si="159"/>
        <v>#N/A</v>
      </c>
      <c r="W2501" s="16" t="e">
        <f t="shared" si="160"/>
        <v>#N/A</v>
      </c>
    </row>
    <row r="2502" spans="1:23" hidden="1" x14ac:dyDescent="0.3">
      <c r="A2502" s="48" t="s">
        <v>7480</v>
      </c>
      <c r="B2502" s="18" t="s">
        <v>7480</v>
      </c>
      <c r="C2502" s="47" t="s">
        <v>33</v>
      </c>
      <c r="D2502" s="48" t="s">
        <v>7929</v>
      </c>
      <c r="E2502" s="18" t="s">
        <v>7587</v>
      </c>
      <c r="F2502" s="20" t="str">
        <f t="shared" si="157"/>
        <v>Mirka - Mirka LEROS 950CV Dual V + 5mm orbit &amp; bag</v>
      </c>
      <c r="G2502" s="20" t="s">
        <v>7680</v>
      </c>
      <c r="H2502" s="49" t="s">
        <v>213</v>
      </c>
      <c r="I2502" s="18" t="s">
        <v>37</v>
      </c>
      <c r="J2502" s="18" t="s">
        <v>38</v>
      </c>
      <c r="K2502" s="72" t="s">
        <v>39</v>
      </c>
      <c r="L2502" s="50"/>
      <c r="M2502" s="18" t="s">
        <v>214</v>
      </c>
      <c r="N2502" s="20">
        <v>3105</v>
      </c>
      <c r="P2502" s="16">
        <v>1246.491</v>
      </c>
      <c r="Q2502" s="17" t="e">
        <f t="shared" si="158"/>
        <v>#DIV/0!</v>
      </c>
      <c r="S2502" s="16" t="e">
        <f>VLOOKUP(A2502,[4]Sales!$E:$G,3,FALSE)</f>
        <v>#N/A</v>
      </c>
      <c r="T2502" s="19" t="e">
        <f>VLOOKUP(A2502,[4]Volume!$E:$G,3,FALSE)</f>
        <v>#N/A</v>
      </c>
      <c r="U2502" s="19" t="e">
        <f>VLOOKUP(A2502,[4]Piece!$E:$G,3,FALSE)</f>
        <v>#N/A</v>
      </c>
      <c r="V2502" s="21" t="e">
        <f t="shared" si="159"/>
        <v>#N/A</v>
      </c>
      <c r="W2502" s="16" t="e">
        <f t="shared" si="160"/>
        <v>#N/A</v>
      </c>
    </row>
    <row r="2503" spans="1:23" hidden="1" x14ac:dyDescent="0.3">
      <c r="A2503" s="48" t="s">
        <v>7487</v>
      </c>
      <c r="B2503" s="18" t="s">
        <v>7487</v>
      </c>
      <c r="C2503" s="47" t="s">
        <v>33</v>
      </c>
      <c r="D2503" s="48" t="s">
        <v>7929</v>
      </c>
      <c r="E2503" s="18" t="s">
        <v>7589</v>
      </c>
      <c r="F2503" s="20" t="str">
        <f t="shared" si="157"/>
        <v>Mirka - Mirka Carry Bag for LEROS</v>
      </c>
      <c r="G2503" s="20" t="s">
        <v>7681</v>
      </c>
      <c r="H2503" s="49" t="s">
        <v>213</v>
      </c>
      <c r="I2503" s="18" t="s">
        <v>37</v>
      </c>
      <c r="J2503" s="18" t="s">
        <v>38</v>
      </c>
      <c r="K2503" s="72" t="s">
        <v>39</v>
      </c>
      <c r="L2503" s="50"/>
      <c r="M2503" s="18" t="s">
        <v>214</v>
      </c>
      <c r="N2503" s="20">
        <v>3105</v>
      </c>
      <c r="P2503" s="16">
        <v>160.46639999999999</v>
      </c>
      <c r="Q2503" s="17" t="e">
        <f t="shared" si="158"/>
        <v>#DIV/0!</v>
      </c>
      <c r="S2503" s="16" t="e">
        <f>VLOOKUP(A2503,[4]Sales!$E:$G,3,FALSE)</f>
        <v>#N/A</v>
      </c>
      <c r="T2503" s="19" t="e">
        <f>VLOOKUP(A2503,[4]Volume!$E:$G,3,FALSE)</f>
        <v>#N/A</v>
      </c>
      <c r="U2503" s="19" t="e">
        <f>VLOOKUP(A2503,[4]Piece!$E:$G,3,FALSE)</f>
        <v>#N/A</v>
      </c>
      <c r="V2503" s="21" t="e">
        <f t="shared" si="159"/>
        <v>#N/A</v>
      </c>
      <c r="W2503" s="16" t="e">
        <f t="shared" si="160"/>
        <v>#N/A</v>
      </c>
    </row>
    <row r="2504" spans="1:23" hidden="1" x14ac:dyDescent="0.3">
      <c r="A2504" s="48" t="s">
        <v>7488</v>
      </c>
      <c r="B2504" s="18" t="s">
        <v>7488</v>
      </c>
      <c r="C2504" s="47" t="s">
        <v>33</v>
      </c>
      <c r="D2504" s="48" t="s">
        <v>7929</v>
      </c>
      <c r="E2504" s="18" t="s">
        <v>7588</v>
      </c>
      <c r="F2504" s="20" t="str">
        <f t="shared" si="157"/>
        <v>Mirka - Mirka Carry Bag for LEROS-S</v>
      </c>
      <c r="G2504" s="20" t="s">
        <v>7682</v>
      </c>
      <c r="H2504" s="49" t="s">
        <v>213</v>
      </c>
      <c r="I2504" s="18" t="s">
        <v>37</v>
      </c>
      <c r="J2504" s="18" t="s">
        <v>38</v>
      </c>
      <c r="K2504" s="72" t="s">
        <v>39</v>
      </c>
      <c r="L2504" s="50"/>
      <c r="M2504" s="18" t="s">
        <v>214</v>
      </c>
      <c r="N2504" s="20">
        <v>3105</v>
      </c>
      <c r="P2504" s="16">
        <v>160.46639999999999</v>
      </c>
      <c r="Q2504" s="17" t="e">
        <f t="shared" si="158"/>
        <v>#DIV/0!</v>
      </c>
      <c r="S2504" s="16" t="e">
        <f>VLOOKUP(A2504,[4]Sales!$E:$G,3,FALSE)</f>
        <v>#N/A</v>
      </c>
      <c r="T2504" s="19" t="e">
        <f>VLOOKUP(A2504,[4]Volume!$E:$G,3,FALSE)</f>
        <v>#N/A</v>
      </c>
      <c r="U2504" s="19" t="e">
        <f>VLOOKUP(A2504,[4]Piece!$E:$G,3,FALSE)</f>
        <v>#N/A</v>
      </c>
      <c r="V2504" s="21" t="e">
        <f t="shared" si="159"/>
        <v>#N/A</v>
      </c>
      <c r="W2504" s="16" t="e">
        <f t="shared" si="160"/>
        <v>#N/A</v>
      </c>
    </row>
    <row r="2505" spans="1:23" hidden="1" x14ac:dyDescent="0.3">
      <c r="A2505" s="48" t="s">
        <v>7489</v>
      </c>
      <c r="B2505" s="18" t="s">
        <v>7489</v>
      </c>
      <c r="C2505" s="47" t="s">
        <v>33</v>
      </c>
      <c r="D2505" s="48" t="s">
        <v>7929</v>
      </c>
      <c r="E2505" s="18" t="s">
        <v>7590</v>
      </c>
      <c r="F2505" s="20" t="str">
        <f t="shared" si="157"/>
        <v>Mirka - Mirka 225mm Interface Pad for LEROS PK3</v>
      </c>
      <c r="G2505" s="20" t="s">
        <v>7683</v>
      </c>
      <c r="H2505" s="49" t="s">
        <v>213</v>
      </c>
      <c r="I2505" s="18" t="s">
        <v>37</v>
      </c>
      <c r="J2505" s="18" t="s">
        <v>38</v>
      </c>
      <c r="K2505" s="72" t="s">
        <v>39</v>
      </c>
      <c r="L2505" s="50"/>
      <c r="M2505" s="18" t="s">
        <v>214</v>
      </c>
      <c r="N2505" s="20">
        <v>3105</v>
      </c>
      <c r="P2505" s="16">
        <v>67.90140000000001</v>
      </c>
      <c r="Q2505" s="17" t="e">
        <f t="shared" si="158"/>
        <v>#DIV/0!</v>
      </c>
      <c r="S2505" s="16" t="e">
        <f>VLOOKUP(A2505,[4]Sales!$E:$G,3,FALSE)</f>
        <v>#N/A</v>
      </c>
      <c r="T2505" s="19" t="e">
        <f>VLOOKUP(A2505,[4]Volume!$E:$G,3,FALSE)</f>
        <v>#N/A</v>
      </c>
      <c r="U2505" s="19" t="e">
        <f>VLOOKUP(A2505,[4]Piece!$E:$G,3,FALSE)</f>
        <v>#N/A</v>
      </c>
      <c r="V2505" s="21" t="e">
        <f t="shared" si="159"/>
        <v>#N/A</v>
      </c>
      <c r="W2505" s="16" t="e">
        <f t="shared" si="160"/>
        <v>#N/A</v>
      </c>
    </row>
    <row r="2506" spans="1:23" hidden="1" x14ac:dyDescent="0.3">
      <c r="A2506" s="48" t="s">
        <v>7490</v>
      </c>
      <c r="B2506" s="18" t="s">
        <v>7490</v>
      </c>
      <c r="C2506" s="47" t="s">
        <v>33</v>
      </c>
      <c r="D2506" s="48" t="s">
        <v>7929</v>
      </c>
      <c r="E2506" s="18" t="s">
        <v>7591</v>
      </c>
      <c r="F2506" s="20" t="str">
        <f t="shared" si="157"/>
        <v>Mirka - Mirka 225mm Interface Pad for LEROS PK1</v>
      </c>
      <c r="G2506" s="20" t="s">
        <v>7684</v>
      </c>
      <c r="H2506" s="49" t="s">
        <v>213</v>
      </c>
      <c r="I2506" s="18" t="s">
        <v>37</v>
      </c>
      <c r="J2506" s="18" t="s">
        <v>38</v>
      </c>
      <c r="K2506" s="72" t="s">
        <v>39</v>
      </c>
      <c r="L2506" s="50"/>
      <c r="M2506" s="18" t="s">
        <v>214</v>
      </c>
      <c r="N2506" s="20">
        <v>3105</v>
      </c>
      <c r="P2506" s="16">
        <v>25.290900000000001</v>
      </c>
      <c r="Q2506" s="17" t="e">
        <f t="shared" si="158"/>
        <v>#DIV/0!</v>
      </c>
      <c r="S2506" s="16" t="e">
        <f>VLOOKUP(A2506,[4]Sales!$E:$G,3,FALSE)</f>
        <v>#N/A</v>
      </c>
      <c r="T2506" s="19" t="e">
        <f>VLOOKUP(A2506,[4]Volume!$E:$G,3,FALSE)</f>
        <v>#N/A</v>
      </c>
      <c r="U2506" s="19" t="e">
        <f>VLOOKUP(A2506,[4]Piece!$E:$G,3,FALSE)</f>
        <v>#N/A</v>
      </c>
      <c r="V2506" s="21" t="e">
        <f t="shared" si="159"/>
        <v>#N/A</v>
      </c>
      <c r="W2506" s="16" t="e">
        <f t="shared" si="160"/>
        <v>#N/A</v>
      </c>
    </row>
    <row r="2507" spans="1:23" hidden="1" x14ac:dyDescent="0.3">
      <c r="A2507" s="48" t="s">
        <v>7491</v>
      </c>
      <c r="B2507" s="18" t="s">
        <v>7491</v>
      </c>
      <c r="C2507" s="47" t="s">
        <v>33</v>
      </c>
      <c r="D2507" s="48" t="s">
        <v>7929</v>
      </c>
      <c r="E2507" s="18" t="s">
        <v>7592</v>
      </c>
      <c r="F2507" s="20" t="str">
        <f t="shared" si="157"/>
        <v>Mirka - Mirka LEROS 50cm Extension Shaft</v>
      </c>
      <c r="G2507" s="20" t="s">
        <v>7685</v>
      </c>
      <c r="H2507" s="49" t="s">
        <v>213</v>
      </c>
      <c r="I2507" s="18" t="s">
        <v>37</v>
      </c>
      <c r="J2507" s="18" t="s">
        <v>38</v>
      </c>
      <c r="K2507" s="72" t="s">
        <v>39</v>
      </c>
      <c r="L2507" s="50"/>
      <c r="M2507" s="18" t="s">
        <v>214</v>
      </c>
      <c r="N2507" s="20">
        <v>3105</v>
      </c>
      <c r="P2507" s="16">
        <v>74.082599999999999</v>
      </c>
      <c r="Q2507" s="17" t="e">
        <f t="shared" si="158"/>
        <v>#DIV/0!</v>
      </c>
      <c r="S2507" s="16" t="e">
        <f>VLOOKUP(A2507,[4]Sales!$E:$G,3,FALSE)</f>
        <v>#N/A</v>
      </c>
      <c r="T2507" s="19" t="e">
        <f>VLOOKUP(A2507,[4]Volume!$E:$G,3,FALSE)</f>
        <v>#N/A</v>
      </c>
      <c r="U2507" s="19" t="e">
        <f>VLOOKUP(A2507,[4]Piece!$E:$G,3,FALSE)</f>
        <v>#N/A</v>
      </c>
      <c r="V2507" s="21" t="e">
        <f t="shared" si="159"/>
        <v>#N/A</v>
      </c>
      <c r="W2507" s="16" t="e">
        <f t="shared" si="160"/>
        <v>#N/A</v>
      </c>
    </row>
    <row r="2508" spans="1:23" hidden="1" x14ac:dyDescent="0.3">
      <c r="A2508" s="48" t="s">
        <v>7492</v>
      </c>
      <c r="B2508" s="18" t="s">
        <v>7492</v>
      </c>
      <c r="C2508" s="47" t="s">
        <v>33</v>
      </c>
      <c r="D2508" s="48" t="s">
        <v>7929</v>
      </c>
      <c r="E2508" s="18" t="s">
        <v>7593</v>
      </c>
      <c r="F2508" s="20" t="str">
        <f t="shared" si="157"/>
        <v>Mirka - Mirka DEROS 5650CV 125/150mm 230v Deco Kit</v>
      </c>
      <c r="G2508" s="20" t="s">
        <v>7686</v>
      </c>
      <c r="H2508" s="49" t="s">
        <v>213</v>
      </c>
      <c r="I2508" s="18" t="s">
        <v>37</v>
      </c>
      <c r="J2508" s="18" t="s">
        <v>38</v>
      </c>
      <c r="K2508" s="72" t="s">
        <v>39</v>
      </c>
      <c r="L2508" s="50"/>
      <c r="M2508" s="18" t="s">
        <v>214</v>
      </c>
      <c r="N2508" s="20">
        <v>3105</v>
      </c>
      <c r="P2508" s="16">
        <v>610.37819999999999</v>
      </c>
      <c r="Q2508" s="17" t="e">
        <f t="shared" si="158"/>
        <v>#DIV/0!</v>
      </c>
      <c r="S2508" s="16" t="e">
        <f>VLOOKUP(A2508,[4]Sales!$E:$G,3,FALSE)</f>
        <v>#N/A</v>
      </c>
      <c r="T2508" s="19" t="e">
        <f>VLOOKUP(A2508,[4]Volume!$E:$G,3,FALSE)</f>
        <v>#N/A</v>
      </c>
      <c r="U2508" s="19" t="e">
        <f>VLOOKUP(A2508,[4]Piece!$E:$G,3,FALSE)</f>
        <v>#N/A</v>
      </c>
      <c r="V2508" s="21" t="e">
        <f t="shared" si="159"/>
        <v>#N/A</v>
      </c>
      <c r="W2508" s="16" t="e">
        <f t="shared" si="160"/>
        <v>#N/A</v>
      </c>
    </row>
    <row r="2509" spans="1:23" hidden="1" x14ac:dyDescent="0.3">
      <c r="A2509" s="48" t="s">
        <v>7493</v>
      </c>
      <c r="B2509" s="18" t="s">
        <v>7493</v>
      </c>
      <c r="C2509" s="47" t="s">
        <v>33</v>
      </c>
      <c r="D2509" s="48" t="s">
        <v>7929</v>
      </c>
      <c r="E2509" s="18" t="s">
        <v>7931</v>
      </c>
      <c r="F2509" s="20" t="str">
        <f t="shared" si="157"/>
        <v>Mirka - DEROS 5650XCV 125/150mm 110v Deco Kit</v>
      </c>
      <c r="G2509" s="20" t="s">
        <v>7687</v>
      </c>
      <c r="H2509" s="49" t="s">
        <v>213</v>
      </c>
      <c r="I2509" s="18" t="s">
        <v>37</v>
      </c>
      <c r="J2509" s="18" t="s">
        <v>38</v>
      </c>
      <c r="K2509" s="72" t="s">
        <v>39</v>
      </c>
      <c r="L2509" s="50"/>
      <c r="M2509" s="18" t="s">
        <v>214</v>
      </c>
      <c r="N2509" s="20">
        <v>3105</v>
      </c>
      <c r="P2509" s="16">
        <v>632.89980000000003</v>
      </c>
      <c r="Q2509" s="17" t="e">
        <f t="shared" si="158"/>
        <v>#DIV/0!</v>
      </c>
      <c r="S2509" s="16" t="e">
        <f>VLOOKUP(A2509,[4]Sales!$E:$G,3,FALSE)</f>
        <v>#N/A</v>
      </c>
      <c r="T2509" s="19" t="e">
        <f>VLOOKUP(A2509,[4]Volume!$E:$G,3,FALSE)</f>
        <v>#N/A</v>
      </c>
      <c r="U2509" s="19" t="e">
        <f>VLOOKUP(A2509,[4]Piece!$E:$G,3,FALSE)</f>
        <v>#N/A</v>
      </c>
      <c r="V2509" s="21" t="e">
        <f t="shared" si="159"/>
        <v>#N/A</v>
      </c>
      <c r="W2509" s="16" t="e">
        <f t="shared" si="160"/>
        <v>#N/A</v>
      </c>
    </row>
    <row r="2510" spans="1:23" hidden="1" x14ac:dyDescent="0.3">
      <c r="A2510" s="48" t="s">
        <v>7495</v>
      </c>
      <c r="B2510" s="18" t="s">
        <v>7495</v>
      </c>
      <c r="C2510" s="47" t="s">
        <v>33</v>
      </c>
      <c r="D2510" s="48" t="s">
        <v>7929</v>
      </c>
      <c r="E2510" s="18" t="s">
        <v>7594</v>
      </c>
      <c r="F2510" s="20" t="str">
        <f t="shared" si="157"/>
        <v>Mirka - Mirka Case Inlay for 150mm Discs</v>
      </c>
      <c r="G2510" s="20" t="s">
        <v>7688</v>
      </c>
      <c r="H2510" s="49" t="s">
        <v>213</v>
      </c>
      <c r="I2510" s="18" t="s">
        <v>37</v>
      </c>
      <c r="J2510" s="18" t="s">
        <v>38</v>
      </c>
      <c r="K2510" s="72" t="s">
        <v>39</v>
      </c>
      <c r="L2510" s="50"/>
      <c r="M2510" s="18" t="s">
        <v>214</v>
      </c>
      <c r="N2510" s="20">
        <v>3105</v>
      </c>
      <c r="P2510" s="16">
        <v>8.3690999999999995</v>
      </c>
      <c r="Q2510" s="17" t="e">
        <f t="shared" si="158"/>
        <v>#DIV/0!</v>
      </c>
      <c r="S2510" s="16" t="e">
        <f>VLOOKUP(A2510,[4]Sales!$E:$G,3,FALSE)</f>
        <v>#N/A</v>
      </c>
      <c r="T2510" s="19" t="e">
        <f>VLOOKUP(A2510,[4]Volume!$E:$G,3,FALSE)</f>
        <v>#N/A</v>
      </c>
      <c r="U2510" s="19" t="e">
        <f>VLOOKUP(A2510,[4]Piece!$E:$G,3,FALSE)</f>
        <v>#N/A</v>
      </c>
      <c r="V2510" s="21" t="e">
        <f t="shared" si="159"/>
        <v>#N/A</v>
      </c>
      <c r="W2510" s="16" t="e">
        <f t="shared" si="160"/>
        <v>#N/A</v>
      </c>
    </row>
    <row r="2511" spans="1:23" hidden="1" x14ac:dyDescent="0.3">
      <c r="A2511" s="48" t="s">
        <v>7496</v>
      </c>
      <c r="B2511" s="18" t="s">
        <v>7496</v>
      </c>
      <c r="C2511" s="47" t="s">
        <v>33</v>
      </c>
      <c r="D2511" s="48" t="s">
        <v>7929</v>
      </c>
      <c r="E2511" s="18" t="s">
        <v>7595</v>
      </c>
      <c r="F2511" s="20" t="str">
        <f t="shared" si="157"/>
        <v>Mirka - Mirka Pad Wrench for DEROS/CEROS Sanders</v>
      </c>
      <c r="G2511" s="20" t="s">
        <v>7689</v>
      </c>
      <c r="H2511" s="49" t="s">
        <v>213</v>
      </c>
      <c r="I2511" s="18" t="s">
        <v>37</v>
      </c>
      <c r="J2511" s="18" t="s">
        <v>38</v>
      </c>
      <c r="K2511" s="72" t="s">
        <v>39</v>
      </c>
      <c r="L2511" s="50"/>
      <c r="M2511" s="18" t="s">
        <v>214</v>
      </c>
      <c r="N2511" s="20">
        <v>3105</v>
      </c>
      <c r="P2511" s="16">
        <v>5.3091000000000008</v>
      </c>
      <c r="Q2511" s="17" t="e">
        <f t="shared" si="158"/>
        <v>#DIV/0!</v>
      </c>
      <c r="S2511" s="16" t="e">
        <f>VLOOKUP(A2511,[4]Sales!$E:$G,3,FALSE)</f>
        <v>#N/A</v>
      </c>
      <c r="T2511" s="19" t="e">
        <f>VLOOKUP(A2511,[4]Volume!$E:$G,3,FALSE)</f>
        <v>#N/A</v>
      </c>
      <c r="U2511" s="19" t="e">
        <f>VLOOKUP(A2511,[4]Piece!$E:$G,3,FALSE)</f>
        <v>#N/A</v>
      </c>
      <c r="V2511" s="21" t="e">
        <f t="shared" si="159"/>
        <v>#N/A</v>
      </c>
      <c r="W2511" s="16" t="e">
        <f t="shared" si="160"/>
        <v>#N/A</v>
      </c>
    </row>
    <row r="2512" spans="1:23" hidden="1" x14ac:dyDescent="0.3">
      <c r="A2512" s="48" t="s">
        <v>7497</v>
      </c>
      <c r="B2512" s="18" t="s">
        <v>7497</v>
      </c>
      <c r="C2512" s="47" t="s">
        <v>33</v>
      </c>
      <c r="D2512" s="48" t="s">
        <v>7929</v>
      </c>
      <c r="E2512" s="18" t="s">
        <v>7596</v>
      </c>
      <c r="F2512" s="20" t="str">
        <f t="shared" si="157"/>
        <v>Mirka - Mirka 77mm Backing Pad for DEROS 350CV</v>
      </c>
      <c r="G2512" s="20" t="s">
        <v>7690</v>
      </c>
      <c r="H2512" s="49" t="s">
        <v>213</v>
      </c>
      <c r="I2512" s="18" t="s">
        <v>37</v>
      </c>
      <c r="J2512" s="18" t="s">
        <v>38</v>
      </c>
      <c r="K2512" s="72" t="s">
        <v>39</v>
      </c>
      <c r="L2512" s="50"/>
      <c r="M2512" s="18" t="s">
        <v>214</v>
      </c>
      <c r="N2512" s="20">
        <v>3105</v>
      </c>
      <c r="P2512" s="16">
        <v>32.0229</v>
      </c>
      <c r="Q2512" s="17" t="e">
        <f t="shared" si="158"/>
        <v>#DIV/0!</v>
      </c>
      <c r="S2512" s="16" t="e">
        <f>VLOOKUP(A2512,[4]Sales!$E:$G,3,FALSE)</f>
        <v>#N/A</v>
      </c>
      <c r="T2512" s="19" t="e">
        <f>VLOOKUP(A2512,[4]Volume!$E:$G,3,FALSE)</f>
        <v>#N/A</v>
      </c>
      <c r="U2512" s="19" t="e">
        <f>VLOOKUP(A2512,[4]Piece!$E:$G,3,FALSE)</f>
        <v>#N/A</v>
      </c>
      <c r="V2512" s="21" t="e">
        <f t="shared" si="159"/>
        <v>#N/A</v>
      </c>
      <c r="W2512" s="16" t="e">
        <f t="shared" si="160"/>
        <v>#N/A</v>
      </c>
    </row>
    <row r="2513" spans="1:23" hidden="1" x14ac:dyDescent="0.3">
      <c r="A2513" s="48" t="s">
        <v>7498</v>
      </c>
      <c r="B2513" s="18" t="s">
        <v>7498</v>
      </c>
      <c r="C2513" s="47" t="s">
        <v>33</v>
      </c>
      <c r="D2513" s="48" t="s">
        <v>7929</v>
      </c>
      <c r="E2513" s="18" t="s">
        <v>7597</v>
      </c>
      <c r="F2513" s="20" t="str">
        <f t="shared" si="157"/>
        <v>Mirka - Mirka 77mm Pad Saver for DEROS 350CV PK5</v>
      </c>
      <c r="G2513" s="20" t="s">
        <v>7691</v>
      </c>
      <c r="H2513" s="49" t="s">
        <v>213</v>
      </c>
      <c r="I2513" s="18" t="s">
        <v>37</v>
      </c>
      <c r="J2513" s="18" t="s">
        <v>38</v>
      </c>
      <c r="K2513" s="72" t="s">
        <v>39</v>
      </c>
      <c r="L2513" s="50"/>
      <c r="M2513" s="18" t="s">
        <v>214</v>
      </c>
      <c r="N2513" s="20">
        <v>3105</v>
      </c>
      <c r="P2513" s="16">
        <v>16.753499999999999</v>
      </c>
      <c r="Q2513" s="17" t="e">
        <f t="shared" si="158"/>
        <v>#DIV/0!</v>
      </c>
      <c r="S2513" s="16" t="e">
        <f>VLOOKUP(A2513,[4]Sales!$E:$G,3,FALSE)</f>
        <v>#N/A</v>
      </c>
      <c r="T2513" s="19" t="e">
        <f>VLOOKUP(A2513,[4]Volume!$E:$G,3,FALSE)</f>
        <v>#N/A</v>
      </c>
      <c r="U2513" s="19" t="e">
        <f>VLOOKUP(A2513,[4]Piece!$E:$G,3,FALSE)</f>
        <v>#N/A</v>
      </c>
      <c r="V2513" s="21" t="e">
        <f t="shared" si="159"/>
        <v>#N/A</v>
      </c>
      <c r="W2513" s="16" t="e">
        <f t="shared" si="160"/>
        <v>#N/A</v>
      </c>
    </row>
    <row r="2514" spans="1:23" hidden="1" x14ac:dyDescent="0.3">
      <c r="A2514" s="48" t="s">
        <v>7499</v>
      </c>
      <c r="B2514" s="18" t="s">
        <v>7499</v>
      </c>
      <c r="C2514" s="47" t="s">
        <v>33</v>
      </c>
      <c r="D2514" s="48" t="s">
        <v>7929</v>
      </c>
      <c r="E2514" s="18" t="s">
        <v>7598</v>
      </c>
      <c r="F2514" s="20" t="str">
        <f t="shared" si="157"/>
        <v>Mirka - Mirka 150mm Pad Saver for DEROS/CEROS PK5</v>
      </c>
      <c r="G2514" s="20" t="s">
        <v>7692</v>
      </c>
      <c r="H2514" s="49" t="s">
        <v>213</v>
      </c>
      <c r="I2514" s="18" t="s">
        <v>37</v>
      </c>
      <c r="J2514" s="18" t="s">
        <v>38</v>
      </c>
      <c r="K2514" s="72" t="s">
        <v>39</v>
      </c>
      <c r="L2514" s="50"/>
      <c r="M2514" s="18" t="s">
        <v>214</v>
      </c>
      <c r="N2514" s="20">
        <v>3105</v>
      </c>
      <c r="P2514" s="16">
        <v>24.342300000000002</v>
      </c>
      <c r="Q2514" s="17" t="e">
        <f t="shared" si="158"/>
        <v>#DIV/0!</v>
      </c>
      <c r="S2514" s="16" t="e">
        <f>VLOOKUP(A2514,[4]Sales!$E:$G,3,FALSE)</f>
        <v>#N/A</v>
      </c>
      <c r="T2514" s="19" t="e">
        <f>VLOOKUP(A2514,[4]Volume!$E:$G,3,FALSE)</f>
        <v>#N/A</v>
      </c>
      <c r="U2514" s="19" t="e">
        <f>VLOOKUP(A2514,[4]Piece!$E:$G,3,FALSE)</f>
        <v>#N/A</v>
      </c>
      <c r="V2514" s="21" t="e">
        <f t="shared" si="159"/>
        <v>#N/A</v>
      </c>
      <c r="W2514" s="16" t="e">
        <f t="shared" si="160"/>
        <v>#N/A</v>
      </c>
    </row>
    <row r="2515" spans="1:23" hidden="1" x14ac:dyDescent="0.3">
      <c r="A2515" s="48" t="s">
        <v>7500</v>
      </c>
      <c r="B2515" s="18" t="s">
        <v>7500</v>
      </c>
      <c r="C2515" s="47" t="s">
        <v>33</v>
      </c>
      <c r="D2515" s="48" t="s">
        <v>7929</v>
      </c>
      <c r="E2515" s="18" t="s">
        <v>7599</v>
      </c>
      <c r="F2515" s="20" t="str">
        <f t="shared" si="157"/>
        <v>Mirka - Mirka Edge Protector for DEROS 150 mm</v>
      </c>
      <c r="G2515" s="20" t="s">
        <v>7693</v>
      </c>
      <c r="H2515" s="49" t="s">
        <v>213</v>
      </c>
      <c r="I2515" s="18" t="s">
        <v>37</v>
      </c>
      <c r="J2515" s="18" t="s">
        <v>38</v>
      </c>
      <c r="K2515" s="72" t="s">
        <v>39</v>
      </c>
      <c r="L2515" s="50"/>
      <c r="M2515" s="18" t="s">
        <v>214</v>
      </c>
      <c r="N2515" s="20">
        <v>3105</v>
      </c>
      <c r="P2515" s="16">
        <v>13.1274</v>
      </c>
      <c r="Q2515" s="17" t="e">
        <f t="shared" si="158"/>
        <v>#DIV/0!</v>
      </c>
      <c r="S2515" s="16" t="e">
        <f>VLOOKUP(A2515,[4]Sales!$E:$G,3,FALSE)</f>
        <v>#N/A</v>
      </c>
      <c r="T2515" s="19" t="e">
        <f>VLOOKUP(A2515,[4]Volume!$E:$G,3,FALSE)</f>
        <v>#N/A</v>
      </c>
      <c r="U2515" s="19" t="e">
        <f>VLOOKUP(A2515,[4]Piece!$E:$G,3,FALSE)</f>
        <v>#N/A</v>
      </c>
      <c r="V2515" s="21" t="e">
        <f t="shared" si="159"/>
        <v>#N/A</v>
      </c>
      <c r="W2515" s="16" t="e">
        <f t="shared" si="160"/>
        <v>#N/A</v>
      </c>
    </row>
    <row r="2516" spans="1:23" hidden="1" x14ac:dyDescent="0.3">
      <c r="A2516" s="48" t="s">
        <v>7501</v>
      </c>
      <c r="B2516" s="18" t="s">
        <v>7501</v>
      </c>
      <c r="C2516" s="47" t="s">
        <v>33</v>
      </c>
      <c r="D2516" s="48" t="s">
        <v>7929</v>
      </c>
      <c r="E2516" s="18" t="s">
        <v>7600</v>
      </c>
      <c r="F2516" s="20" t="str">
        <f t="shared" si="157"/>
        <v>Mirka - Mirka DEOS 353CV 230v Deco Solution Kit</v>
      </c>
      <c r="G2516" s="20" t="s">
        <v>7694</v>
      </c>
      <c r="H2516" s="49" t="s">
        <v>213</v>
      </c>
      <c r="I2516" s="18" t="s">
        <v>37</v>
      </c>
      <c r="J2516" s="18" t="s">
        <v>38</v>
      </c>
      <c r="K2516" s="72" t="s">
        <v>39</v>
      </c>
      <c r="L2516" s="50"/>
      <c r="M2516" s="18" t="s">
        <v>214</v>
      </c>
      <c r="N2516" s="20">
        <v>3105</v>
      </c>
      <c r="P2516" s="16">
        <v>601.90199999999993</v>
      </c>
      <c r="Q2516" s="17" t="e">
        <f t="shared" si="158"/>
        <v>#DIV/0!</v>
      </c>
      <c r="S2516" s="16" t="e">
        <f>VLOOKUP(A2516,[4]Sales!$E:$G,3,FALSE)</f>
        <v>#N/A</v>
      </c>
      <c r="T2516" s="19" t="e">
        <f>VLOOKUP(A2516,[4]Volume!$E:$G,3,FALSE)</f>
        <v>#N/A</v>
      </c>
      <c r="U2516" s="19" t="e">
        <f>VLOOKUP(A2516,[4]Piece!$E:$G,3,FALSE)</f>
        <v>#N/A</v>
      </c>
      <c r="V2516" s="21" t="e">
        <f t="shared" si="159"/>
        <v>#N/A</v>
      </c>
      <c r="W2516" s="16" t="e">
        <f t="shared" si="160"/>
        <v>#N/A</v>
      </c>
    </row>
    <row r="2517" spans="1:23" hidden="1" x14ac:dyDescent="0.3">
      <c r="A2517" s="48" t="s">
        <v>7502</v>
      </c>
      <c r="B2517" s="18" t="s">
        <v>7502</v>
      </c>
      <c r="C2517" s="47" t="s">
        <v>33</v>
      </c>
      <c r="D2517" s="48" t="s">
        <v>7929</v>
      </c>
      <c r="E2517" s="18" t="s">
        <v>7601</v>
      </c>
      <c r="F2517" s="20" t="str">
        <f t="shared" si="157"/>
        <v>Mirka - Mirka DEOS 353CV 110v Deco Solution Kit</v>
      </c>
      <c r="G2517" s="20" t="s">
        <v>7695</v>
      </c>
      <c r="H2517" s="49" t="s">
        <v>213</v>
      </c>
      <c r="I2517" s="18" t="s">
        <v>37</v>
      </c>
      <c r="J2517" s="18" t="s">
        <v>38</v>
      </c>
      <c r="K2517" s="72" t="s">
        <v>39</v>
      </c>
      <c r="L2517" s="50"/>
      <c r="M2517" s="18" t="s">
        <v>214</v>
      </c>
      <c r="N2517" s="20">
        <v>3105</v>
      </c>
      <c r="P2517" s="16">
        <v>601.88670000000002</v>
      </c>
      <c r="Q2517" s="17" t="e">
        <f t="shared" si="158"/>
        <v>#DIV/0!</v>
      </c>
      <c r="S2517" s="16" t="e">
        <f>VLOOKUP(A2517,[4]Sales!$E:$G,3,FALSE)</f>
        <v>#N/A</v>
      </c>
      <c r="T2517" s="19" t="e">
        <f>VLOOKUP(A2517,[4]Volume!$E:$G,3,FALSE)</f>
        <v>#N/A</v>
      </c>
      <c r="U2517" s="19" t="e">
        <f>VLOOKUP(A2517,[4]Piece!$E:$G,3,FALSE)</f>
        <v>#N/A</v>
      </c>
      <c r="V2517" s="21" t="e">
        <f t="shared" si="159"/>
        <v>#N/A</v>
      </c>
      <c r="W2517" s="16" t="e">
        <f t="shared" si="160"/>
        <v>#N/A</v>
      </c>
    </row>
    <row r="2518" spans="1:23" hidden="1" x14ac:dyDescent="0.3">
      <c r="A2518" s="48" t="s">
        <v>7503</v>
      </c>
      <c r="B2518" s="18" t="s">
        <v>7503</v>
      </c>
      <c r="C2518" s="47" t="s">
        <v>33</v>
      </c>
      <c r="D2518" s="48" t="s">
        <v>7929</v>
      </c>
      <c r="E2518" s="18" t="s">
        <v>7602</v>
      </c>
      <c r="F2518" s="20" t="str">
        <f t="shared" si="157"/>
        <v>Mirka - Mirka DEOS 353CV 81 x 133mm 230v in box</v>
      </c>
      <c r="G2518" s="20" t="s">
        <v>7696</v>
      </c>
      <c r="H2518" s="49" t="s">
        <v>213</v>
      </c>
      <c r="I2518" s="18" t="s">
        <v>37</v>
      </c>
      <c r="J2518" s="18" t="s">
        <v>38</v>
      </c>
      <c r="K2518" s="72" t="s">
        <v>39</v>
      </c>
      <c r="L2518" s="50"/>
      <c r="M2518" s="18" t="s">
        <v>214</v>
      </c>
      <c r="N2518" s="20">
        <v>3105</v>
      </c>
      <c r="P2518" s="16">
        <v>531.8433</v>
      </c>
      <c r="Q2518" s="17" t="e">
        <f t="shared" si="158"/>
        <v>#DIV/0!</v>
      </c>
      <c r="S2518" s="16" t="e">
        <f>VLOOKUP(A2518,[4]Sales!$E:$G,3,FALSE)</f>
        <v>#N/A</v>
      </c>
      <c r="T2518" s="19" t="e">
        <f>VLOOKUP(A2518,[4]Volume!$E:$G,3,FALSE)</f>
        <v>#N/A</v>
      </c>
      <c r="U2518" s="19" t="e">
        <f>VLOOKUP(A2518,[4]Piece!$E:$G,3,FALSE)</f>
        <v>#N/A</v>
      </c>
      <c r="V2518" s="21" t="e">
        <f t="shared" si="159"/>
        <v>#N/A</v>
      </c>
      <c r="W2518" s="16" t="e">
        <f t="shared" si="160"/>
        <v>#N/A</v>
      </c>
    </row>
    <row r="2519" spans="1:23" hidden="1" x14ac:dyDescent="0.3">
      <c r="A2519" s="48" t="s">
        <v>7505</v>
      </c>
      <c r="B2519" s="18" t="s">
        <v>7505</v>
      </c>
      <c r="C2519" s="47" t="s">
        <v>33</v>
      </c>
      <c r="D2519" s="48" t="s">
        <v>7929</v>
      </c>
      <c r="E2519" s="18" t="s">
        <v>7603</v>
      </c>
      <c r="F2519" s="20" t="str">
        <f t="shared" si="157"/>
        <v>Mirka - Mirka 81x133mm Interface Pad DEOS 7mm PK5</v>
      </c>
      <c r="G2519" s="20" t="s">
        <v>7697</v>
      </c>
      <c r="H2519" s="49" t="s">
        <v>213</v>
      </c>
      <c r="I2519" s="18" t="s">
        <v>37</v>
      </c>
      <c r="J2519" s="18" t="s">
        <v>38</v>
      </c>
      <c r="K2519" s="72" t="s">
        <v>39</v>
      </c>
      <c r="L2519" s="50"/>
      <c r="M2519" s="18" t="s">
        <v>214</v>
      </c>
      <c r="N2519" s="20">
        <v>3105</v>
      </c>
      <c r="P2519" s="16">
        <v>33.858899999999998</v>
      </c>
      <c r="Q2519" s="17" t="e">
        <f t="shared" si="158"/>
        <v>#DIV/0!</v>
      </c>
      <c r="S2519" s="16" t="e">
        <f>VLOOKUP(A2519,[4]Sales!$E:$G,3,FALSE)</f>
        <v>#N/A</v>
      </c>
      <c r="T2519" s="19" t="e">
        <f>VLOOKUP(A2519,[4]Volume!$E:$G,3,FALSE)</f>
        <v>#N/A</v>
      </c>
      <c r="U2519" s="19" t="e">
        <f>VLOOKUP(A2519,[4]Piece!$E:$G,3,FALSE)</f>
        <v>#N/A</v>
      </c>
      <c r="V2519" s="21" t="e">
        <f t="shared" si="159"/>
        <v>#N/A</v>
      </c>
      <c r="W2519" s="16" t="e">
        <f t="shared" si="160"/>
        <v>#N/A</v>
      </c>
    </row>
    <row r="2520" spans="1:23" hidden="1" x14ac:dyDescent="0.3">
      <c r="A2520" s="48" t="s">
        <v>7506</v>
      </c>
      <c r="B2520" s="18" t="s">
        <v>7506</v>
      </c>
      <c r="C2520" s="47" t="s">
        <v>33</v>
      </c>
      <c r="D2520" s="48" t="s">
        <v>7929</v>
      </c>
      <c r="E2520" s="18" t="s">
        <v>7932</v>
      </c>
      <c r="F2520" s="20" t="str">
        <f t="shared" si="157"/>
        <v>Mirka - 81x165mm Pad Saver for Ext Backing Pad</v>
      </c>
      <c r="G2520" s="20" t="s">
        <v>7698</v>
      </c>
      <c r="H2520" s="49" t="s">
        <v>213</v>
      </c>
      <c r="I2520" s="18" t="s">
        <v>37</v>
      </c>
      <c r="J2520" s="18" t="s">
        <v>38</v>
      </c>
      <c r="K2520" s="72" t="s">
        <v>39</v>
      </c>
      <c r="L2520" s="50"/>
      <c r="M2520" s="18" t="s">
        <v>214</v>
      </c>
      <c r="N2520" s="20">
        <v>3105</v>
      </c>
      <c r="P2520" s="16">
        <v>3.9320999999999997</v>
      </c>
      <c r="Q2520" s="17" t="e">
        <f t="shared" si="158"/>
        <v>#DIV/0!</v>
      </c>
      <c r="S2520" s="16" t="e">
        <f>VLOOKUP(A2520,[4]Sales!$E:$G,3,FALSE)</f>
        <v>#N/A</v>
      </c>
      <c r="T2520" s="19" t="e">
        <f>VLOOKUP(A2520,[4]Volume!$E:$G,3,FALSE)</f>
        <v>#N/A</v>
      </c>
      <c r="U2520" s="19" t="e">
        <f>VLOOKUP(A2520,[4]Piece!$E:$G,3,FALSE)</f>
        <v>#N/A</v>
      </c>
      <c r="V2520" s="21" t="e">
        <f t="shared" si="159"/>
        <v>#N/A</v>
      </c>
      <c r="W2520" s="16" t="e">
        <f t="shared" si="160"/>
        <v>#N/A</v>
      </c>
    </row>
    <row r="2521" spans="1:23" hidden="1" x14ac:dyDescent="0.3">
      <c r="A2521" s="48" t="s">
        <v>7507</v>
      </c>
      <c r="B2521" s="18" t="s">
        <v>7507</v>
      </c>
      <c r="C2521" s="47" t="s">
        <v>33</v>
      </c>
      <c r="D2521" s="48" t="s">
        <v>7929</v>
      </c>
      <c r="E2521" s="18" t="s">
        <v>7604</v>
      </c>
      <c r="F2521" s="20" t="str">
        <f t="shared" si="157"/>
        <v>Mirka - Mirka 70x198mm Backing Pad</v>
      </c>
      <c r="G2521" s="20" t="s">
        <v>7699</v>
      </c>
      <c r="H2521" s="49" t="s">
        <v>213</v>
      </c>
      <c r="I2521" s="18" t="s">
        <v>37</v>
      </c>
      <c r="J2521" s="18" t="s">
        <v>38</v>
      </c>
      <c r="K2521" s="72" t="s">
        <v>39</v>
      </c>
      <c r="L2521" s="50"/>
      <c r="M2521" s="18" t="s">
        <v>214</v>
      </c>
      <c r="N2521" s="20">
        <v>3105</v>
      </c>
      <c r="P2521" s="16">
        <v>23.531400000000001</v>
      </c>
      <c r="Q2521" s="17" t="e">
        <f t="shared" si="158"/>
        <v>#DIV/0!</v>
      </c>
      <c r="S2521" s="16">
        <f>VLOOKUP(A2521,[4]Sales!$E:$G,3,FALSE)</f>
        <v>25</v>
      </c>
      <c r="T2521" s="19">
        <f>VLOOKUP(A2521,[4]Volume!$E:$G,3,FALSE)</f>
        <v>1</v>
      </c>
      <c r="U2521" s="19">
        <f>VLOOKUP(A2521,[4]Piece!$E:$G,3,FALSE)</f>
        <v>1</v>
      </c>
      <c r="V2521" s="21">
        <f t="shared" si="159"/>
        <v>23.531400000000001</v>
      </c>
      <c r="W2521" s="16">
        <f t="shared" si="160"/>
        <v>-1.4685999999999986</v>
      </c>
    </row>
    <row r="2522" spans="1:23" hidden="1" x14ac:dyDescent="0.3">
      <c r="A2522" s="48" t="s">
        <v>7508</v>
      </c>
      <c r="B2522" s="18" t="s">
        <v>7508</v>
      </c>
      <c r="C2522" s="47" t="s">
        <v>33</v>
      </c>
      <c r="D2522" s="48" t="s">
        <v>7929</v>
      </c>
      <c r="E2522" s="18" t="s">
        <v>7605</v>
      </c>
      <c r="F2522" s="20" t="str">
        <f t="shared" si="157"/>
        <v>Mirka - Mirka 81x165mm Extended Backing Pad</v>
      </c>
      <c r="G2522" s="20" t="s">
        <v>7700</v>
      </c>
      <c r="H2522" s="49" t="s">
        <v>213</v>
      </c>
      <c r="I2522" s="18" t="s">
        <v>37</v>
      </c>
      <c r="J2522" s="18" t="s">
        <v>38</v>
      </c>
      <c r="K2522" s="72" t="s">
        <v>39</v>
      </c>
      <c r="L2522" s="50"/>
      <c r="M2522" s="18" t="s">
        <v>214</v>
      </c>
      <c r="N2522" s="20">
        <v>3105</v>
      </c>
      <c r="P2522" s="16">
        <v>30.431700000000003</v>
      </c>
      <c r="Q2522" s="17" t="e">
        <f t="shared" si="158"/>
        <v>#DIV/0!</v>
      </c>
      <c r="S2522" s="16" t="e">
        <f>VLOOKUP(A2522,[4]Sales!$E:$G,3,FALSE)</f>
        <v>#N/A</v>
      </c>
      <c r="T2522" s="19" t="e">
        <f>VLOOKUP(A2522,[4]Volume!$E:$G,3,FALSE)</f>
        <v>#N/A</v>
      </c>
      <c r="U2522" s="19" t="e">
        <f>VLOOKUP(A2522,[4]Piece!$E:$G,3,FALSE)</f>
        <v>#N/A</v>
      </c>
      <c r="V2522" s="21" t="e">
        <f t="shared" si="159"/>
        <v>#N/A</v>
      </c>
      <c r="W2522" s="16" t="e">
        <f t="shared" si="160"/>
        <v>#N/A</v>
      </c>
    </row>
    <row r="2523" spans="1:23" hidden="1" x14ac:dyDescent="0.3">
      <c r="A2523" s="48" t="s">
        <v>7509</v>
      </c>
      <c r="B2523" s="18" t="s">
        <v>7509</v>
      </c>
      <c r="C2523" s="47" t="s">
        <v>33</v>
      </c>
      <c r="D2523" s="48" t="s">
        <v>7929</v>
      </c>
      <c r="E2523" s="18" t="s">
        <v>7606</v>
      </c>
      <c r="F2523" s="20" t="str">
        <f t="shared" si="157"/>
        <v>Mirka - Mirka DEOS Delta 230v Deco Solution Kit</v>
      </c>
      <c r="G2523" s="20" t="s">
        <v>7701</v>
      </c>
      <c r="H2523" s="49" t="s">
        <v>213</v>
      </c>
      <c r="I2523" s="18" t="s">
        <v>37</v>
      </c>
      <c r="J2523" s="18" t="s">
        <v>38</v>
      </c>
      <c r="K2523" s="72" t="s">
        <v>39</v>
      </c>
      <c r="L2523" s="50"/>
      <c r="M2523" s="18" t="s">
        <v>214</v>
      </c>
      <c r="N2523" s="20">
        <v>3105</v>
      </c>
      <c r="P2523" s="16">
        <v>558.18989999999997</v>
      </c>
      <c r="Q2523" s="17" t="e">
        <f t="shared" si="158"/>
        <v>#DIV/0!</v>
      </c>
      <c r="S2523" s="16" t="e">
        <f>VLOOKUP(A2523,[4]Sales!$E:$G,3,FALSE)</f>
        <v>#N/A</v>
      </c>
      <c r="T2523" s="19" t="e">
        <f>VLOOKUP(A2523,[4]Volume!$E:$G,3,FALSE)</f>
        <v>#N/A</v>
      </c>
      <c r="U2523" s="19" t="e">
        <f>VLOOKUP(A2523,[4]Piece!$E:$G,3,FALSE)</f>
        <v>#N/A</v>
      </c>
      <c r="V2523" s="21" t="e">
        <f t="shared" si="159"/>
        <v>#N/A</v>
      </c>
      <c r="W2523" s="16" t="e">
        <f t="shared" si="160"/>
        <v>#N/A</v>
      </c>
    </row>
    <row r="2524" spans="1:23" hidden="1" x14ac:dyDescent="0.3">
      <c r="A2524" s="48" t="s">
        <v>7510</v>
      </c>
      <c r="B2524" s="18" t="s">
        <v>7510</v>
      </c>
      <c r="C2524" s="47" t="s">
        <v>33</v>
      </c>
      <c r="D2524" s="48" t="s">
        <v>7929</v>
      </c>
      <c r="E2524" s="18" t="s">
        <v>7607</v>
      </c>
      <c r="F2524" s="20" t="str">
        <f t="shared" si="157"/>
        <v>Mirka - Mirka DEOS Delta 110v Deco Solution Kit</v>
      </c>
      <c r="G2524" s="20" t="s">
        <v>7702</v>
      </c>
      <c r="H2524" s="49" t="s">
        <v>213</v>
      </c>
      <c r="I2524" s="18" t="s">
        <v>37</v>
      </c>
      <c r="J2524" s="18" t="s">
        <v>38</v>
      </c>
      <c r="K2524" s="72" t="s">
        <v>39</v>
      </c>
      <c r="L2524" s="50"/>
      <c r="M2524" s="18" t="s">
        <v>214</v>
      </c>
      <c r="N2524" s="20">
        <v>3105</v>
      </c>
      <c r="P2524" s="16">
        <v>558.18989999999997</v>
      </c>
      <c r="Q2524" s="17" t="e">
        <f t="shared" si="158"/>
        <v>#DIV/0!</v>
      </c>
      <c r="S2524" s="16" t="e">
        <f>VLOOKUP(A2524,[4]Sales!$E:$G,3,FALSE)</f>
        <v>#N/A</v>
      </c>
      <c r="T2524" s="19" t="e">
        <f>VLOOKUP(A2524,[4]Volume!$E:$G,3,FALSE)</f>
        <v>#N/A</v>
      </c>
      <c r="U2524" s="19" t="e">
        <f>VLOOKUP(A2524,[4]Piece!$E:$G,3,FALSE)</f>
        <v>#N/A</v>
      </c>
      <c r="V2524" s="21" t="e">
        <f t="shared" si="159"/>
        <v>#N/A</v>
      </c>
      <c r="W2524" s="16" t="e">
        <f t="shared" si="160"/>
        <v>#N/A</v>
      </c>
    </row>
    <row r="2525" spans="1:23" hidden="1" x14ac:dyDescent="0.3">
      <c r="A2525" s="48" t="s">
        <v>7511</v>
      </c>
      <c r="B2525" s="18" t="s">
        <v>7511</v>
      </c>
      <c r="C2525" s="47" t="s">
        <v>33</v>
      </c>
      <c r="D2525" s="48" t="s">
        <v>7929</v>
      </c>
      <c r="E2525" s="18" t="s">
        <v>7608</v>
      </c>
      <c r="F2525" s="20" t="str">
        <f t="shared" si="157"/>
        <v>Mirka - Mirka Interface Pad DEOS Delta Sander PK5</v>
      </c>
      <c r="G2525" s="20" t="s">
        <v>7703</v>
      </c>
      <c r="H2525" s="49" t="s">
        <v>213</v>
      </c>
      <c r="I2525" s="18" t="s">
        <v>37</v>
      </c>
      <c r="J2525" s="18" t="s">
        <v>38</v>
      </c>
      <c r="K2525" s="72" t="s">
        <v>39</v>
      </c>
      <c r="L2525" s="50"/>
      <c r="M2525" s="18" t="s">
        <v>214</v>
      </c>
      <c r="N2525" s="20">
        <v>3105</v>
      </c>
      <c r="P2525" s="16">
        <v>29.085300000000004</v>
      </c>
      <c r="Q2525" s="17" t="e">
        <f t="shared" si="158"/>
        <v>#DIV/0!</v>
      </c>
      <c r="S2525" s="16" t="e">
        <f>VLOOKUP(A2525,[4]Sales!$E:$G,3,FALSE)</f>
        <v>#N/A</v>
      </c>
      <c r="T2525" s="19" t="e">
        <f>VLOOKUP(A2525,[4]Volume!$E:$G,3,FALSE)</f>
        <v>#N/A</v>
      </c>
      <c r="U2525" s="19" t="e">
        <f>VLOOKUP(A2525,[4]Piece!$E:$G,3,FALSE)</f>
        <v>#N/A</v>
      </c>
      <c r="V2525" s="21" t="e">
        <f t="shared" si="159"/>
        <v>#N/A</v>
      </c>
      <c r="W2525" s="16" t="e">
        <f t="shared" si="160"/>
        <v>#N/A</v>
      </c>
    </row>
    <row r="2526" spans="1:23" hidden="1" x14ac:dyDescent="0.3">
      <c r="A2526" s="48" t="s">
        <v>7512</v>
      </c>
      <c r="B2526" s="18" t="s">
        <v>7512</v>
      </c>
      <c r="C2526" s="47" t="s">
        <v>33</v>
      </c>
      <c r="D2526" s="48" t="s">
        <v>7929</v>
      </c>
      <c r="E2526" s="18" t="s">
        <v>7609</v>
      </c>
      <c r="F2526" s="20" t="str">
        <f t="shared" ref="F2526:F2563" si="161">D2526&amp;" - "&amp;E2526</f>
        <v>Mirka - Mirka AROS-B 150NV 32mm 10.8v Sander</v>
      </c>
      <c r="G2526" s="20" t="s">
        <v>7704</v>
      </c>
      <c r="H2526" s="49" t="s">
        <v>213</v>
      </c>
      <c r="I2526" s="18" t="s">
        <v>37</v>
      </c>
      <c r="J2526" s="18" t="s">
        <v>38</v>
      </c>
      <c r="K2526" s="72" t="s">
        <v>39</v>
      </c>
      <c r="L2526" s="50"/>
      <c r="M2526" s="18" t="s">
        <v>214</v>
      </c>
      <c r="N2526" s="20">
        <v>3105</v>
      </c>
      <c r="P2526" s="16">
        <v>587.18340000000001</v>
      </c>
      <c r="Q2526" s="17" t="e">
        <f t="shared" si="158"/>
        <v>#DIV/0!</v>
      </c>
      <c r="S2526" s="16" t="e">
        <f>VLOOKUP(A2526,[4]Sales!$E:$G,3,FALSE)</f>
        <v>#N/A</v>
      </c>
      <c r="T2526" s="19" t="e">
        <f>VLOOKUP(A2526,[4]Volume!$E:$G,3,FALSE)</f>
        <v>#N/A</v>
      </c>
      <c r="U2526" s="19" t="e">
        <f>VLOOKUP(A2526,[4]Piece!$E:$G,3,FALSE)</f>
        <v>#N/A</v>
      </c>
      <c r="V2526" s="21" t="e">
        <f t="shared" si="159"/>
        <v>#N/A</v>
      </c>
      <c r="W2526" s="16" t="e">
        <f t="shared" si="160"/>
        <v>#N/A</v>
      </c>
    </row>
    <row r="2527" spans="1:23" hidden="1" x14ac:dyDescent="0.3">
      <c r="A2527" s="48" t="s">
        <v>7513</v>
      </c>
      <c r="B2527" s="18" t="s">
        <v>7513</v>
      </c>
      <c r="C2527" s="47" t="s">
        <v>33</v>
      </c>
      <c r="D2527" s="48" t="s">
        <v>7929</v>
      </c>
      <c r="E2527" s="18" t="s">
        <v>7610</v>
      </c>
      <c r="F2527" s="20" t="str">
        <f t="shared" si="161"/>
        <v>Mirka - Mirka Hand Starter Kit</v>
      </c>
      <c r="G2527" s="20" t="s">
        <v>7705</v>
      </c>
      <c r="H2527" s="49" t="s">
        <v>213</v>
      </c>
      <c r="I2527" s="18" t="s">
        <v>37</v>
      </c>
      <c r="J2527" s="18" t="s">
        <v>38</v>
      </c>
      <c r="K2527" s="72" t="s">
        <v>39</v>
      </c>
      <c r="L2527" s="50"/>
      <c r="M2527" s="18" t="s">
        <v>214</v>
      </c>
      <c r="N2527" s="20">
        <v>3105</v>
      </c>
      <c r="P2527" s="16">
        <v>30.278700000000001</v>
      </c>
      <c r="Q2527" s="17" t="e">
        <f t="shared" si="158"/>
        <v>#DIV/0!</v>
      </c>
      <c r="S2527" s="16" t="e">
        <f>VLOOKUP(A2527,[4]Sales!$E:$G,3,FALSE)</f>
        <v>#N/A</v>
      </c>
      <c r="T2527" s="19" t="e">
        <f>VLOOKUP(A2527,[4]Volume!$E:$G,3,FALSE)</f>
        <v>#N/A</v>
      </c>
      <c r="U2527" s="19" t="e">
        <f>VLOOKUP(A2527,[4]Piece!$E:$G,3,FALSE)</f>
        <v>#N/A</v>
      </c>
      <c r="V2527" s="21" t="e">
        <f t="shared" si="159"/>
        <v>#N/A</v>
      </c>
      <c r="W2527" s="16" t="e">
        <f t="shared" si="160"/>
        <v>#N/A</v>
      </c>
    </row>
    <row r="2528" spans="1:23" hidden="1" x14ac:dyDescent="0.3">
      <c r="A2528" s="48" t="s">
        <v>7514</v>
      </c>
      <c r="B2528" s="18" t="s">
        <v>7514</v>
      </c>
      <c r="C2528" s="47" t="s">
        <v>33</v>
      </c>
      <c r="D2528" s="48" t="s">
        <v>7929</v>
      </c>
      <c r="E2528" s="18" t="s">
        <v>7611</v>
      </c>
      <c r="F2528" s="20" t="str">
        <f t="shared" si="161"/>
        <v>Mirka - Mirka Handy Kit</v>
      </c>
      <c r="G2528" s="20" t="s">
        <v>7706</v>
      </c>
      <c r="H2528" s="49" t="s">
        <v>213</v>
      </c>
      <c r="I2528" s="18" t="s">
        <v>37</v>
      </c>
      <c r="J2528" s="18" t="s">
        <v>38</v>
      </c>
      <c r="K2528" s="72" t="s">
        <v>39</v>
      </c>
      <c r="L2528" s="50"/>
      <c r="M2528" s="18" t="s">
        <v>214</v>
      </c>
      <c r="N2528" s="20">
        <v>3105</v>
      </c>
      <c r="P2528" s="16">
        <v>41.891399999999997</v>
      </c>
      <c r="Q2528" s="17" t="e">
        <f t="shared" si="158"/>
        <v>#DIV/0!</v>
      </c>
      <c r="S2528" s="16" t="e">
        <f>VLOOKUP(A2528,[4]Sales!$E:$G,3,FALSE)</f>
        <v>#N/A</v>
      </c>
      <c r="T2528" s="19" t="e">
        <f>VLOOKUP(A2528,[4]Volume!$E:$G,3,FALSE)</f>
        <v>#N/A</v>
      </c>
      <c r="U2528" s="19" t="e">
        <f>VLOOKUP(A2528,[4]Piece!$E:$G,3,FALSE)</f>
        <v>#N/A</v>
      </c>
      <c r="V2528" s="21" t="e">
        <f t="shared" si="159"/>
        <v>#N/A</v>
      </c>
      <c r="W2528" s="16" t="e">
        <f t="shared" si="160"/>
        <v>#N/A</v>
      </c>
    </row>
    <row r="2529" spans="1:23" hidden="1" x14ac:dyDescent="0.3">
      <c r="A2529" s="48" t="s">
        <v>7515</v>
      </c>
      <c r="B2529" s="18" t="s">
        <v>7515</v>
      </c>
      <c r="C2529" s="47" t="s">
        <v>33</v>
      </c>
      <c r="D2529" s="48" t="s">
        <v>7929</v>
      </c>
      <c r="E2529" s="18" t="s">
        <v>7612</v>
      </c>
      <c r="F2529" s="20" t="str">
        <f t="shared" si="161"/>
        <v>Mirka - Mirka Handy Block 80x230mm</v>
      </c>
      <c r="G2529" s="20" t="s">
        <v>7707</v>
      </c>
      <c r="H2529" s="49" t="s">
        <v>213</v>
      </c>
      <c r="I2529" s="18" t="s">
        <v>37</v>
      </c>
      <c r="J2529" s="18" t="s">
        <v>38</v>
      </c>
      <c r="K2529" s="72" t="s">
        <v>39</v>
      </c>
      <c r="L2529" s="50"/>
      <c r="M2529" s="18" t="s">
        <v>214</v>
      </c>
      <c r="N2529" s="20">
        <v>3105</v>
      </c>
      <c r="P2529" s="16">
        <v>14.718599999999999</v>
      </c>
      <c r="Q2529" s="17" t="e">
        <f t="shared" si="158"/>
        <v>#DIV/0!</v>
      </c>
      <c r="S2529" s="16" t="e">
        <f>VLOOKUP(A2529,[4]Sales!$E:$G,3,FALSE)</f>
        <v>#N/A</v>
      </c>
      <c r="T2529" s="19" t="e">
        <f>VLOOKUP(A2529,[4]Volume!$E:$G,3,FALSE)</f>
        <v>#N/A</v>
      </c>
      <c r="U2529" s="19" t="e">
        <f>VLOOKUP(A2529,[4]Piece!$E:$G,3,FALSE)</f>
        <v>#N/A</v>
      </c>
      <c r="V2529" s="21" t="e">
        <f t="shared" si="159"/>
        <v>#N/A</v>
      </c>
      <c r="W2529" s="16" t="e">
        <f t="shared" si="160"/>
        <v>#N/A</v>
      </c>
    </row>
    <row r="2530" spans="1:23" hidden="1" x14ac:dyDescent="0.3">
      <c r="A2530" s="48" t="s">
        <v>7516</v>
      </c>
      <c r="B2530" s="18" t="s">
        <v>7516</v>
      </c>
      <c r="C2530" s="47" t="s">
        <v>33</v>
      </c>
      <c r="D2530" s="48" t="s">
        <v>7929</v>
      </c>
      <c r="E2530" s="18" t="s">
        <v>7613</v>
      </c>
      <c r="F2530" s="20" t="str">
        <f t="shared" si="161"/>
        <v>Mirka - Mirka 20mm x 4m Hose for Hand Blocks</v>
      </c>
      <c r="G2530" s="20" t="s">
        <v>7708</v>
      </c>
      <c r="H2530" s="49" t="s">
        <v>213</v>
      </c>
      <c r="I2530" s="18" t="s">
        <v>37</v>
      </c>
      <c r="J2530" s="18" t="s">
        <v>38</v>
      </c>
      <c r="K2530" s="72" t="s">
        <v>39</v>
      </c>
      <c r="L2530" s="50"/>
      <c r="M2530" s="18" t="s">
        <v>214</v>
      </c>
      <c r="N2530" s="20">
        <v>3105</v>
      </c>
      <c r="P2530" s="16">
        <v>8.0937000000000001</v>
      </c>
      <c r="Q2530" s="17" t="e">
        <f t="shared" si="158"/>
        <v>#DIV/0!</v>
      </c>
      <c r="S2530" s="16" t="e">
        <f>VLOOKUP(A2530,[4]Sales!$E:$G,3,FALSE)</f>
        <v>#N/A</v>
      </c>
      <c r="T2530" s="19" t="e">
        <f>VLOOKUP(A2530,[4]Volume!$E:$G,3,FALSE)</f>
        <v>#N/A</v>
      </c>
      <c r="U2530" s="19" t="e">
        <f>VLOOKUP(A2530,[4]Piece!$E:$G,3,FALSE)</f>
        <v>#N/A</v>
      </c>
      <c r="V2530" s="21" t="e">
        <f t="shared" si="159"/>
        <v>#N/A</v>
      </c>
      <c r="W2530" s="16" t="e">
        <f t="shared" si="160"/>
        <v>#N/A</v>
      </c>
    </row>
    <row r="2531" spans="1:23" hidden="1" x14ac:dyDescent="0.3">
      <c r="A2531" s="48" t="s">
        <v>7517</v>
      </c>
      <c r="B2531" s="18" t="s">
        <v>7517</v>
      </c>
      <c r="C2531" s="47" t="s">
        <v>33</v>
      </c>
      <c r="D2531" s="48" t="s">
        <v>7929</v>
      </c>
      <c r="E2531" s="18" t="s">
        <v>7614</v>
      </c>
      <c r="F2531" s="20" t="str">
        <f t="shared" si="161"/>
        <v>Mirka - Mirka Curved Pad for 70x198mm Hand Block</v>
      </c>
      <c r="G2531" s="20" t="s">
        <v>7709</v>
      </c>
      <c r="H2531" s="49" t="s">
        <v>213</v>
      </c>
      <c r="I2531" s="18" t="s">
        <v>37</v>
      </c>
      <c r="J2531" s="18" t="s">
        <v>38</v>
      </c>
      <c r="K2531" s="72" t="s">
        <v>39</v>
      </c>
      <c r="L2531" s="50"/>
      <c r="M2531" s="18" t="s">
        <v>214</v>
      </c>
      <c r="N2531" s="20">
        <v>3105</v>
      </c>
      <c r="P2531" s="16">
        <v>10.5723</v>
      </c>
      <c r="Q2531" s="17" t="e">
        <f t="shared" si="158"/>
        <v>#DIV/0!</v>
      </c>
      <c r="S2531" s="16" t="e">
        <f>VLOOKUP(A2531,[4]Sales!$E:$G,3,FALSE)</f>
        <v>#N/A</v>
      </c>
      <c r="T2531" s="19" t="e">
        <f>VLOOKUP(A2531,[4]Volume!$E:$G,3,FALSE)</f>
        <v>#N/A</v>
      </c>
      <c r="U2531" s="19" t="e">
        <f>VLOOKUP(A2531,[4]Piece!$E:$G,3,FALSE)</f>
        <v>#N/A</v>
      </c>
      <c r="V2531" s="21" t="e">
        <f t="shared" si="159"/>
        <v>#N/A</v>
      </c>
      <c r="W2531" s="16" t="e">
        <f t="shared" si="160"/>
        <v>#N/A</v>
      </c>
    </row>
    <row r="2532" spans="1:23" hidden="1" x14ac:dyDescent="0.3">
      <c r="A2532" s="48" t="s">
        <v>7518</v>
      </c>
      <c r="B2532" s="18" t="s">
        <v>7518</v>
      </c>
      <c r="C2532" s="47" t="s">
        <v>33</v>
      </c>
      <c r="D2532" s="48" t="s">
        <v>7929</v>
      </c>
      <c r="E2532" s="18" t="s">
        <v>7615</v>
      </c>
      <c r="F2532" s="20" t="str">
        <f t="shared" si="161"/>
        <v>Mirka - Mirka DECOSANDER 70x198mm</v>
      </c>
      <c r="G2532" s="20" t="s">
        <v>7710</v>
      </c>
      <c r="H2532" s="49" t="s">
        <v>213</v>
      </c>
      <c r="I2532" s="18" t="s">
        <v>37</v>
      </c>
      <c r="J2532" s="18" t="s">
        <v>38</v>
      </c>
      <c r="K2532" s="72" t="s">
        <v>39</v>
      </c>
      <c r="L2532" s="50"/>
      <c r="M2532" s="18" t="s">
        <v>214</v>
      </c>
      <c r="N2532" s="20">
        <v>3105</v>
      </c>
      <c r="P2532" s="16">
        <v>162.47069999999999</v>
      </c>
      <c r="Q2532" s="17" t="e">
        <f t="shared" si="158"/>
        <v>#DIV/0!</v>
      </c>
      <c r="S2532" s="16" t="e">
        <f>VLOOKUP(A2532,[4]Sales!$E:$G,3,FALSE)</f>
        <v>#N/A</v>
      </c>
      <c r="T2532" s="19" t="e">
        <f>VLOOKUP(A2532,[4]Volume!$E:$G,3,FALSE)</f>
        <v>#N/A</v>
      </c>
      <c r="U2532" s="19" t="e">
        <f>VLOOKUP(A2532,[4]Piece!$E:$G,3,FALSE)</f>
        <v>#N/A</v>
      </c>
      <c r="V2532" s="21" t="e">
        <f t="shared" si="159"/>
        <v>#N/A</v>
      </c>
      <c r="W2532" s="16" t="e">
        <f t="shared" si="160"/>
        <v>#N/A</v>
      </c>
    </row>
    <row r="2533" spans="1:23" hidden="1" x14ac:dyDescent="0.3">
      <c r="A2533" s="48" t="s">
        <v>7519</v>
      </c>
      <c r="B2533" s="18" t="s">
        <v>7519</v>
      </c>
      <c r="C2533" s="47" t="s">
        <v>33</v>
      </c>
      <c r="D2533" s="48" t="s">
        <v>7929</v>
      </c>
      <c r="E2533" s="18" t="s">
        <v>7616</v>
      </c>
      <c r="F2533" s="20" t="str">
        <f t="shared" si="161"/>
        <v>Mirka - Mirka Soft Quick Change Adaptor</v>
      </c>
      <c r="G2533" s="20" t="s">
        <v>7711</v>
      </c>
      <c r="H2533" s="49" t="s">
        <v>213</v>
      </c>
      <c r="I2533" s="18" t="s">
        <v>37</v>
      </c>
      <c r="J2533" s="18" t="s">
        <v>38</v>
      </c>
      <c r="K2533" s="72" t="s">
        <v>39</v>
      </c>
      <c r="L2533" s="50"/>
      <c r="M2533" s="18" t="s">
        <v>214</v>
      </c>
      <c r="N2533" s="20">
        <v>3105</v>
      </c>
      <c r="P2533" s="16">
        <v>19.017900000000001</v>
      </c>
      <c r="Q2533" s="17" t="e">
        <f t="shared" si="158"/>
        <v>#DIV/0!</v>
      </c>
      <c r="S2533" s="16" t="e">
        <f>VLOOKUP(A2533,[4]Sales!$E:$G,3,FALSE)</f>
        <v>#N/A</v>
      </c>
      <c r="T2533" s="19" t="e">
        <f>VLOOKUP(A2533,[4]Volume!$E:$G,3,FALSE)</f>
        <v>#N/A</v>
      </c>
      <c r="U2533" s="19" t="e">
        <f>VLOOKUP(A2533,[4]Piece!$E:$G,3,FALSE)</f>
        <v>#N/A</v>
      </c>
      <c r="V2533" s="21" t="e">
        <f t="shared" si="159"/>
        <v>#N/A</v>
      </c>
      <c r="W2533" s="16" t="e">
        <f t="shared" si="160"/>
        <v>#N/A</v>
      </c>
    </row>
    <row r="2534" spans="1:23" hidden="1" x14ac:dyDescent="0.3">
      <c r="A2534" s="48" t="s">
        <v>7520</v>
      </c>
      <c r="B2534" s="18" t="s">
        <v>7520</v>
      </c>
      <c r="C2534" s="47" t="s">
        <v>33</v>
      </c>
      <c r="D2534" s="48" t="s">
        <v>7929</v>
      </c>
      <c r="E2534" s="18" t="s">
        <v>7933</v>
      </c>
      <c r="F2534" s="20" t="str">
        <f t="shared" si="161"/>
        <v>Mirka - 1230L Extractor240v Push&amp;Clean+4mHose</v>
      </c>
      <c r="G2534" s="20" t="s">
        <v>7712</v>
      </c>
      <c r="H2534" s="49" t="s">
        <v>213</v>
      </c>
      <c r="I2534" s="18" t="s">
        <v>37</v>
      </c>
      <c r="J2534" s="18" t="s">
        <v>38</v>
      </c>
      <c r="K2534" s="72" t="s">
        <v>39</v>
      </c>
      <c r="L2534" s="50"/>
      <c r="M2534" s="18" t="s">
        <v>214</v>
      </c>
      <c r="N2534" s="20">
        <v>3105</v>
      </c>
      <c r="P2534" s="16">
        <v>538.16219999999998</v>
      </c>
      <c r="Q2534" s="17" t="e">
        <f t="shared" si="158"/>
        <v>#DIV/0!</v>
      </c>
      <c r="S2534" s="16" t="e">
        <f>VLOOKUP(A2534,[4]Sales!$E:$G,3,FALSE)</f>
        <v>#N/A</v>
      </c>
      <c r="T2534" s="19" t="e">
        <f>VLOOKUP(A2534,[4]Volume!$E:$G,3,FALSE)</f>
        <v>#N/A</v>
      </c>
      <c r="U2534" s="19" t="e">
        <f>VLOOKUP(A2534,[4]Piece!$E:$G,3,FALSE)</f>
        <v>#N/A</v>
      </c>
      <c r="V2534" s="21" t="e">
        <f t="shared" si="159"/>
        <v>#N/A</v>
      </c>
      <c r="W2534" s="16" t="e">
        <f t="shared" si="160"/>
        <v>#N/A</v>
      </c>
    </row>
    <row r="2535" spans="1:23" hidden="1" x14ac:dyDescent="0.3">
      <c r="A2535" s="48" t="s">
        <v>7521</v>
      </c>
      <c r="B2535" s="18" t="s">
        <v>7521</v>
      </c>
      <c r="C2535" s="47" t="s">
        <v>33</v>
      </c>
      <c r="D2535" s="48" t="s">
        <v>7929</v>
      </c>
      <c r="E2535" s="18" t="s">
        <v>7934</v>
      </c>
      <c r="F2535" s="20" t="str">
        <f t="shared" si="161"/>
        <v>Mirka - 1230M Extractor 240v Auto Clean+4mHose</v>
      </c>
      <c r="G2535" s="20" t="s">
        <v>7713</v>
      </c>
      <c r="H2535" s="49" t="s">
        <v>213</v>
      </c>
      <c r="I2535" s="18" t="s">
        <v>37</v>
      </c>
      <c r="J2535" s="18" t="s">
        <v>38</v>
      </c>
      <c r="K2535" s="72" t="s">
        <v>39</v>
      </c>
      <c r="L2535" s="50"/>
      <c r="M2535" s="18" t="s">
        <v>214</v>
      </c>
      <c r="N2535" s="20">
        <v>3105</v>
      </c>
      <c r="P2535" s="16">
        <v>829.24470000000008</v>
      </c>
      <c r="Q2535" s="17" t="e">
        <f t="shared" si="158"/>
        <v>#DIV/0!</v>
      </c>
      <c r="S2535" s="16" t="e">
        <f>VLOOKUP(A2535,[4]Sales!$E:$G,3,FALSE)</f>
        <v>#N/A</v>
      </c>
      <c r="T2535" s="19" t="e">
        <f>VLOOKUP(A2535,[4]Volume!$E:$G,3,FALSE)</f>
        <v>#N/A</v>
      </c>
      <c r="U2535" s="19" t="e">
        <f>VLOOKUP(A2535,[4]Piece!$E:$G,3,FALSE)</f>
        <v>#N/A</v>
      </c>
      <c r="V2535" s="21" t="e">
        <f t="shared" si="159"/>
        <v>#N/A</v>
      </c>
      <c r="W2535" s="16" t="e">
        <f t="shared" si="160"/>
        <v>#N/A</v>
      </c>
    </row>
    <row r="2536" spans="1:23" hidden="1" x14ac:dyDescent="0.3">
      <c r="A2536" s="48" t="s">
        <v>7522</v>
      </c>
      <c r="B2536" s="18" t="s">
        <v>7522</v>
      </c>
      <c r="C2536" s="47" t="s">
        <v>33</v>
      </c>
      <c r="D2536" s="48" t="s">
        <v>7929</v>
      </c>
      <c r="E2536" s="18" t="s">
        <v>7935</v>
      </c>
      <c r="F2536" s="20" t="str">
        <f t="shared" si="161"/>
        <v>Mirka - 1230M Extractor 110v Push&amp;Clean+4mHose</v>
      </c>
      <c r="G2536" s="20" t="s">
        <v>7714</v>
      </c>
      <c r="H2536" s="49" t="s">
        <v>213</v>
      </c>
      <c r="I2536" s="18" t="s">
        <v>37</v>
      </c>
      <c r="J2536" s="18" t="s">
        <v>38</v>
      </c>
      <c r="K2536" s="72" t="s">
        <v>39</v>
      </c>
      <c r="L2536" s="50"/>
      <c r="M2536" s="18" t="s">
        <v>214</v>
      </c>
      <c r="N2536" s="20">
        <v>3105</v>
      </c>
      <c r="P2536" s="16">
        <v>868.94820000000004</v>
      </c>
      <c r="Q2536" s="17" t="e">
        <f t="shared" si="158"/>
        <v>#DIV/0!</v>
      </c>
      <c r="S2536" s="16" t="e">
        <f>VLOOKUP(A2536,[4]Sales!$E:$G,3,FALSE)</f>
        <v>#N/A</v>
      </c>
      <c r="T2536" s="19" t="e">
        <f>VLOOKUP(A2536,[4]Volume!$E:$G,3,FALSE)</f>
        <v>#N/A</v>
      </c>
      <c r="U2536" s="19" t="e">
        <f>VLOOKUP(A2536,[4]Piece!$E:$G,3,FALSE)</f>
        <v>#N/A</v>
      </c>
      <c r="V2536" s="21" t="e">
        <f t="shared" si="159"/>
        <v>#N/A</v>
      </c>
      <c r="W2536" s="16" t="e">
        <f t="shared" si="160"/>
        <v>#N/A</v>
      </c>
    </row>
    <row r="2537" spans="1:23" hidden="1" x14ac:dyDescent="0.3">
      <c r="A2537" s="48" t="s">
        <v>7523</v>
      </c>
      <c r="B2537" s="18" t="s">
        <v>7523</v>
      </c>
      <c r="C2537" s="47" t="s">
        <v>33</v>
      </c>
      <c r="D2537" s="48" t="s">
        <v>7929</v>
      </c>
      <c r="E2537" s="18" t="s">
        <v>7617</v>
      </c>
      <c r="F2537" s="20" t="str">
        <f t="shared" si="161"/>
        <v>Mirka - Mirka Dual Vacuum Kit</v>
      </c>
      <c r="G2537" s="20" t="s">
        <v>7715</v>
      </c>
      <c r="H2537" s="49" t="s">
        <v>213</v>
      </c>
      <c r="I2537" s="18" t="s">
        <v>37</v>
      </c>
      <c r="J2537" s="18" t="s">
        <v>38</v>
      </c>
      <c r="K2537" s="72" t="s">
        <v>39</v>
      </c>
      <c r="L2537" s="50"/>
      <c r="M2537" s="18" t="s">
        <v>214</v>
      </c>
      <c r="N2537" s="20">
        <v>3105</v>
      </c>
      <c r="P2537" s="16">
        <v>33.751799999999996</v>
      </c>
      <c r="Q2537" s="17" t="e">
        <f t="shared" si="158"/>
        <v>#DIV/0!</v>
      </c>
      <c r="S2537" s="16" t="e">
        <f>VLOOKUP(A2537,[4]Sales!$E:$G,3,FALSE)</f>
        <v>#N/A</v>
      </c>
      <c r="T2537" s="19" t="e">
        <f>VLOOKUP(A2537,[4]Volume!$E:$G,3,FALSE)</f>
        <v>#N/A</v>
      </c>
      <c r="U2537" s="19" t="e">
        <f>VLOOKUP(A2537,[4]Piece!$E:$G,3,FALSE)</f>
        <v>#N/A</v>
      </c>
      <c r="V2537" s="21" t="e">
        <f t="shared" si="159"/>
        <v>#N/A</v>
      </c>
      <c r="W2537" s="16" t="e">
        <f t="shared" si="160"/>
        <v>#N/A</v>
      </c>
    </row>
    <row r="2538" spans="1:23" hidden="1" x14ac:dyDescent="0.3">
      <c r="A2538" s="48" t="s">
        <v>7524</v>
      </c>
      <c r="B2538" s="18" t="s">
        <v>7524</v>
      </c>
      <c r="C2538" s="47" t="s">
        <v>33</v>
      </c>
      <c r="D2538" s="48" t="s">
        <v>7929</v>
      </c>
      <c r="E2538" s="18" t="s">
        <v>7618</v>
      </c>
      <c r="F2538" s="20" t="str">
        <f t="shared" si="161"/>
        <v>Mirka - Mirka Clean Up Kit</v>
      </c>
      <c r="G2538" s="20" t="s">
        <v>7716</v>
      </c>
      <c r="H2538" s="49" t="s">
        <v>213</v>
      </c>
      <c r="I2538" s="18" t="s">
        <v>37</v>
      </c>
      <c r="J2538" s="18" t="s">
        <v>38</v>
      </c>
      <c r="K2538" s="72" t="s">
        <v>39</v>
      </c>
      <c r="L2538" s="50"/>
      <c r="M2538" s="18" t="s">
        <v>214</v>
      </c>
      <c r="N2538" s="20">
        <v>3105</v>
      </c>
      <c r="P2538" s="16">
        <v>77.785200000000003</v>
      </c>
      <c r="Q2538" s="17" t="e">
        <f t="shared" si="158"/>
        <v>#DIV/0!</v>
      </c>
      <c r="S2538" s="16" t="e">
        <f>VLOOKUP(A2538,[4]Sales!$E:$G,3,FALSE)</f>
        <v>#N/A</v>
      </c>
      <c r="T2538" s="19" t="e">
        <f>VLOOKUP(A2538,[4]Volume!$E:$G,3,FALSE)</f>
        <v>#N/A</v>
      </c>
      <c r="U2538" s="19" t="e">
        <f>VLOOKUP(A2538,[4]Piece!$E:$G,3,FALSE)</f>
        <v>#N/A</v>
      </c>
      <c r="V2538" s="21" t="e">
        <f t="shared" si="159"/>
        <v>#N/A</v>
      </c>
      <c r="W2538" s="16" t="e">
        <f t="shared" si="160"/>
        <v>#N/A</v>
      </c>
    </row>
    <row r="2539" spans="1:23" hidden="1" x14ac:dyDescent="0.3">
      <c r="A2539" s="48" t="s">
        <v>7525</v>
      </c>
      <c r="B2539" s="18" t="s">
        <v>7525</v>
      </c>
      <c r="C2539" s="47" t="s">
        <v>33</v>
      </c>
      <c r="D2539" s="48" t="s">
        <v>7929</v>
      </c>
      <c r="E2539" s="18" t="s">
        <v>7619</v>
      </c>
      <c r="F2539" s="20" t="str">
        <f t="shared" si="161"/>
        <v>Mirka - Mirka Clean Up Kit without Hose</v>
      </c>
      <c r="G2539" s="20" t="s">
        <v>7717</v>
      </c>
      <c r="H2539" s="49" t="s">
        <v>213</v>
      </c>
      <c r="I2539" s="18" t="s">
        <v>37</v>
      </c>
      <c r="J2539" s="18" t="s">
        <v>38</v>
      </c>
      <c r="K2539" s="72" t="s">
        <v>39</v>
      </c>
      <c r="L2539" s="50"/>
      <c r="M2539" s="18" t="s">
        <v>214</v>
      </c>
      <c r="N2539" s="20">
        <v>3105</v>
      </c>
      <c r="P2539" s="16">
        <v>74.143799999999999</v>
      </c>
      <c r="Q2539" s="17" t="e">
        <f t="shared" si="158"/>
        <v>#DIV/0!</v>
      </c>
      <c r="S2539" s="16" t="e">
        <f>VLOOKUP(A2539,[4]Sales!$E:$G,3,FALSE)</f>
        <v>#N/A</v>
      </c>
      <c r="T2539" s="19" t="e">
        <f>VLOOKUP(A2539,[4]Volume!$E:$G,3,FALSE)</f>
        <v>#N/A</v>
      </c>
      <c r="U2539" s="19" t="e">
        <f>VLOOKUP(A2539,[4]Piece!$E:$G,3,FALSE)</f>
        <v>#N/A</v>
      </c>
      <c r="V2539" s="21" t="e">
        <f t="shared" si="159"/>
        <v>#N/A</v>
      </c>
      <c r="W2539" s="16" t="e">
        <f t="shared" si="160"/>
        <v>#N/A</v>
      </c>
    </row>
    <row r="2540" spans="1:23" hidden="1" x14ac:dyDescent="0.3">
      <c r="A2540" s="48" t="s">
        <v>7526</v>
      </c>
      <c r="B2540" s="18" t="s">
        <v>7526</v>
      </c>
      <c r="C2540" s="47" t="s">
        <v>33</v>
      </c>
      <c r="D2540" s="48" t="s">
        <v>7929</v>
      </c>
      <c r="E2540" s="18" t="s">
        <v>7620</v>
      </c>
      <c r="F2540" s="20" t="str">
        <f t="shared" si="161"/>
        <v>Mirka - Mirka Hose Bag</v>
      </c>
      <c r="G2540" s="20" t="s">
        <v>7718</v>
      </c>
      <c r="H2540" s="49" t="s">
        <v>213</v>
      </c>
      <c r="I2540" s="18" t="s">
        <v>37</v>
      </c>
      <c r="J2540" s="18" t="s">
        <v>38</v>
      </c>
      <c r="K2540" s="72" t="s">
        <v>39</v>
      </c>
      <c r="L2540" s="50"/>
      <c r="M2540" s="18" t="s">
        <v>214</v>
      </c>
      <c r="N2540" s="20">
        <v>3105</v>
      </c>
      <c r="P2540" s="16">
        <v>32.3748</v>
      </c>
      <c r="Q2540" s="17" t="e">
        <f t="shared" si="158"/>
        <v>#DIV/0!</v>
      </c>
      <c r="S2540" s="16" t="e">
        <f>VLOOKUP(A2540,[4]Sales!$E:$G,3,FALSE)</f>
        <v>#N/A</v>
      </c>
      <c r="T2540" s="19" t="e">
        <f>VLOOKUP(A2540,[4]Volume!$E:$G,3,FALSE)</f>
        <v>#N/A</v>
      </c>
      <c r="U2540" s="19" t="e">
        <f>VLOOKUP(A2540,[4]Piece!$E:$G,3,FALSE)</f>
        <v>#N/A</v>
      </c>
      <c r="V2540" s="21" t="e">
        <f t="shared" si="159"/>
        <v>#N/A</v>
      </c>
      <c r="W2540" s="16" t="e">
        <f t="shared" si="160"/>
        <v>#N/A</v>
      </c>
    </row>
    <row r="2541" spans="1:23" hidden="1" x14ac:dyDescent="0.3">
      <c r="A2541" s="48" t="s">
        <v>7527</v>
      </c>
      <c r="B2541" s="18" t="s">
        <v>7527</v>
      </c>
      <c r="C2541" s="47" t="s">
        <v>33</v>
      </c>
      <c r="D2541" s="48" t="s">
        <v>7929</v>
      </c>
      <c r="E2541" s="18" t="s">
        <v>7621</v>
      </c>
      <c r="F2541" s="20" t="str">
        <f t="shared" si="161"/>
        <v>Mirka - Mirka Handle for 1230 Dust Extractor</v>
      </c>
      <c r="G2541" s="20" t="s">
        <v>7719</v>
      </c>
      <c r="H2541" s="49" t="s">
        <v>213</v>
      </c>
      <c r="I2541" s="18" t="s">
        <v>37</v>
      </c>
      <c r="J2541" s="18" t="s">
        <v>38</v>
      </c>
      <c r="K2541" s="72" t="s">
        <v>39</v>
      </c>
      <c r="L2541" s="50"/>
      <c r="M2541" s="18" t="s">
        <v>214</v>
      </c>
      <c r="N2541" s="20">
        <v>3105</v>
      </c>
      <c r="P2541" s="16">
        <v>57.89520000000001</v>
      </c>
      <c r="Q2541" s="17" t="e">
        <f t="shared" si="158"/>
        <v>#DIV/0!</v>
      </c>
      <c r="S2541" s="16" t="e">
        <f>VLOOKUP(A2541,[4]Sales!$E:$G,3,FALSE)</f>
        <v>#N/A</v>
      </c>
      <c r="T2541" s="19" t="e">
        <f>VLOOKUP(A2541,[4]Volume!$E:$G,3,FALSE)</f>
        <v>#N/A</v>
      </c>
      <c r="U2541" s="19" t="e">
        <f>VLOOKUP(A2541,[4]Piece!$E:$G,3,FALSE)</f>
        <v>#N/A</v>
      </c>
      <c r="V2541" s="21" t="e">
        <f t="shared" si="159"/>
        <v>#N/A</v>
      </c>
      <c r="W2541" s="16" t="e">
        <f t="shared" si="160"/>
        <v>#N/A</v>
      </c>
    </row>
    <row r="2542" spans="1:23" hidden="1" x14ac:dyDescent="0.3">
      <c r="A2542" s="48" t="s">
        <v>7528</v>
      </c>
      <c r="B2542" s="18" t="s">
        <v>7528</v>
      </c>
      <c r="C2542" s="47" t="s">
        <v>33</v>
      </c>
      <c r="D2542" s="48" t="s">
        <v>7929</v>
      </c>
      <c r="E2542" s="18" t="s">
        <v>7622</v>
      </c>
      <c r="F2542" s="20" t="str">
        <f t="shared" si="161"/>
        <v>Mirka - Mirka Shark Blade 48x28mm CrN</v>
      </c>
      <c r="G2542" s="20" t="s">
        <v>7720</v>
      </c>
      <c r="H2542" s="49" t="s">
        <v>213</v>
      </c>
      <c r="I2542" s="18" t="s">
        <v>37</v>
      </c>
      <c r="J2542" s="18" t="s">
        <v>38</v>
      </c>
      <c r="K2542" s="72" t="s">
        <v>39</v>
      </c>
      <c r="L2542" s="50"/>
      <c r="M2542" s="18" t="s">
        <v>214</v>
      </c>
      <c r="N2542" s="20">
        <v>3105</v>
      </c>
      <c r="P2542" s="16">
        <v>33.522300000000001</v>
      </c>
      <c r="Q2542" s="17" t="e">
        <f t="shared" si="158"/>
        <v>#DIV/0!</v>
      </c>
      <c r="S2542" s="16" t="e">
        <f>VLOOKUP(A2542,[4]Sales!$E:$G,3,FALSE)</f>
        <v>#N/A</v>
      </c>
      <c r="T2542" s="19" t="e">
        <f>VLOOKUP(A2542,[4]Volume!$E:$G,3,FALSE)</f>
        <v>#N/A</v>
      </c>
      <c r="U2542" s="19" t="e">
        <f>VLOOKUP(A2542,[4]Piece!$E:$G,3,FALSE)</f>
        <v>#N/A</v>
      </c>
      <c r="V2542" s="21" t="e">
        <f t="shared" si="159"/>
        <v>#N/A</v>
      </c>
      <c r="W2542" s="16" t="e">
        <f t="shared" si="160"/>
        <v>#N/A</v>
      </c>
    </row>
    <row r="2543" spans="1:23" hidden="1" x14ac:dyDescent="0.3">
      <c r="A2543" s="48" t="s">
        <v>7529</v>
      </c>
      <c r="B2543" s="18" t="s">
        <v>7529</v>
      </c>
      <c r="C2543" s="47" t="s">
        <v>33</v>
      </c>
      <c r="D2543" s="48" t="s">
        <v>7929</v>
      </c>
      <c r="E2543" s="18" t="s">
        <v>7623</v>
      </c>
      <c r="F2543" s="20" t="str">
        <f t="shared" si="161"/>
        <v>Mirka - Mirka Abranet 34mm PK50 P180</v>
      </c>
      <c r="G2543" s="20" t="s">
        <v>7721</v>
      </c>
      <c r="H2543" s="49" t="s">
        <v>213</v>
      </c>
      <c r="I2543" s="18" t="s">
        <v>37</v>
      </c>
      <c r="J2543" s="18" t="s">
        <v>38</v>
      </c>
      <c r="K2543" s="72" t="s">
        <v>39</v>
      </c>
      <c r="L2543" s="50"/>
      <c r="M2543" s="18" t="s">
        <v>214</v>
      </c>
      <c r="N2543" s="20">
        <v>3105</v>
      </c>
      <c r="P2543" s="16">
        <v>10.495800000000001</v>
      </c>
      <c r="Q2543" s="17" t="e">
        <f t="shared" si="158"/>
        <v>#DIV/0!</v>
      </c>
      <c r="S2543" s="16" t="e">
        <f>VLOOKUP(A2543,[4]Sales!$E:$G,3,FALSE)</f>
        <v>#N/A</v>
      </c>
      <c r="T2543" s="19" t="e">
        <f>VLOOKUP(A2543,[4]Volume!$E:$G,3,FALSE)</f>
        <v>#N/A</v>
      </c>
      <c r="U2543" s="19" t="e">
        <f>VLOOKUP(A2543,[4]Piece!$E:$G,3,FALSE)</f>
        <v>#N/A</v>
      </c>
      <c r="V2543" s="21" t="e">
        <f t="shared" si="159"/>
        <v>#N/A</v>
      </c>
      <c r="W2543" s="16" t="e">
        <f t="shared" si="160"/>
        <v>#N/A</v>
      </c>
    </row>
    <row r="2544" spans="1:23" hidden="1" x14ac:dyDescent="0.3">
      <c r="A2544" s="48" t="s">
        <v>7530</v>
      </c>
      <c r="B2544" s="18" t="s">
        <v>7530</v>
      </c>
      <c r="C2544" s="47" t="s">
        <v>33</v>
      </c>
      <c r="D2544" s="48" t="s">
        <v>7929</v>
      </c>
      <c r="E2544" s="18" t="s">
        <v>7624</v>
      </c>
      <c r="F2544" s="20" t="str">
        <f t="shared" si="161"/>
        <v>Mirka - Mirka Abranet 125mm PK10 P80</v>
      </c>
      <c r="G2544" s="20" t="s">
        <v>7722</v>
      </c>
      <c r="H2544" s="49" t="s">
        <v>213</v>
      </c>
      <c r="I2544" s="18" t="s">
        <v>37</v>
      </c>
      <c r="J2544" s="18" t="s">
        <v>38</v>
      </c>
      <c r="K2544" s="72" t="s">
        <v>39</v>
      </c>
      <c r="L2544" s="50"/>
      <c r="M2544" s="18" t="s">
        <v>214</v>
      </c>
      <c r="N2544" s="20">
        <v>3105</v>
      </c>
      <c r="P2544" s="16">
        <v>11.260800000000001</v>
      </c>
      <c r="Q2544" s="17" t="e">
        <f t="shared" si="158"/>
        <v>#DIV/0!</v>
      </c>
      <c r="S2544" s="16">
        <f>VLOOKUP(A2544,[4]Sales!$E:$G,3,FALSE)</f>
        <v>14.68</v>
      </c>
      <c r="T2544" s="19">
        <f>VLOOKUP(A2544,[4]Volume!$E:$G,3,FALSE)</f>
        <v>1</v>
      </c>
      <c r="U2544" s="19">
        <f>VLOOKUP(A2544,[4]Piece!$E:$G,3,FALSE)</f>
        <v>1</v>
      </c>
      <c r="V2544" s="21">
        <f t="shared" si="159"/>
        <v>11.260800000000001</v>
      </c>
      <c r="W2544" s="16">
        <f t="shared" si="160"/>
        <v>-3.4191999999999982</v>
      </c>
    </row>
    <row r="2545" spans="1:23" hidden="1" x14ac:dyDescent="0.3">
      <c r="A2545" s="48" t="s">
        <v>7531</v>
      </c>
      <c r="B2545" s="18" t="s">
        <v>7531</v>
      </c>
      <c r="C2545" s="47" t="s">
        <v>33</v>
      </c>
      <c r="D2545" s="48" t="s">
        <v>7929</v>
      </c>
      <c r="E2545" s="18" t="s">
        <v>7625</v>
      </c>
      <c r="F2545" s="20" t="str">
        <f t="shared" si="161"/>
        <v>Mirka - Mirka Abranet 125mm PK10 P180</v>
      </c>
      <c r="G2545" s="20" t="s">
        <v>7723</v>
      </c>
      <c r="H2545" s="49" t="s">
        <v>213</v>
      </c>
      <c r="I2545" s="18" t="s">
        <v>37</v>
      </c>
      <c r="J2545" s="18" t="s">
        <v>38</v>
      </c>
      <c r="K2545" s="72" t="s">
        <v>39</v>
      </c>
      <c r="L2545" s="50"/>
      <c r="M2545" s="18" t="s">
        <v>214</v>
      </c>
      <c r="N2545" s="20">
        <v>3105</v>
      </c>
      <c r="P2545" s="16">
        <v>11.260800000000001</v>
      </c>
      <c r="Q2545" s="17" t="e">
        <f t="shared" si="158"/>
        <v>#DIV/0!</v>
      </c>
      <c r="S2545" s="16" t="e">
        <f>VLOOKUP(A2545,[4]Sales!$E:$G,3,FALSE)</f>
        <v>#N/A</v>
      </c>
      <c r="T2545" s="19" t="e">
        <f>VLOOKUP(A2545,[4]Volume!$E:$G,3,FALSE)</f>
        <v>#N/A</v>
      </c>
      <c r="U2545" s="19" t="e">
        <f>VLOOKUP(A2545,[4]Piece!$E:$G,3,FALSE)</f>
        <v>#N/A</v>
      </c>
      <c r="V2545" s="21" t="e">
        <f t="shared" si="159"/>
        <v>#N/A</v>
      </c>
      <c r="W2545" s="16" t="e">
        <f t="shared" si="160"/>
        <v>#N/A</v>
      </c>
    </row>
    <row r="2546" spans="1:23" hidden="1" x14ac:dyDescent="0.3">
      <c r="A2546" s="48" t="s">
        <v>7532</v>
      </c>
      <c r="B2546" s="18" t="s">
        <v>7532</v>
      </c>
      <c r="C2546" s="47" t="s">
        <v>33</v>
      </c>
      <c r="D2546" s="48" t="s">
        <v>7929</v>
      </c>
      <c r="E2546" s="18" t="s">
        <v>7626</v>
      </c>
      <c r="F2546" s="20" t="str">
        <f t="shared" si="161"/>
        <v>Mirka - Mirka Abranet 125mm PK10 P240</v>
      </c>
      <c r="G2546" s="20" t="s">
        <v>7724</v>
      </c>
      <c r="H2546" s="49" t="s">
        <v>213</v>
      </c>
      <c r="I2546" s="18" t="s">
        <v>37</v>
      </c>
      <c r="J2546" s="18" t="s">
        <v>38</v>
      </c>
      <c r="K2546" s="72" t="s">
        <v>39</v>
      </c>
      <c r="L2546" s="50"/>
      <c r="M2546" s="18" t="s">
        <v>214</v>
      </c>
      <c r="N2546" s="20">
        <v>3105</v>
      </c>
      <c r="P2546" s="16">
        <v>11.260800000000001</v>
      </c>
      <c r="Q2546" s="17" t="e">
        <f t="shared" si="158"/>
        <v>#DIV/0!</v>
      </c>
      <c r="S2546" s="16" t="e">
        <f>VLOOKUP(A2546,[4]Sales!$E:$G,3,FALSE)</f>
        <v>#N/A</v>
      </c>
      <c r="T2546" s="19" t="e">
        <f>VLOOKUP(A2546,[4]Volume!$E:$G,3,FALSE)</f>
        <v>#N/A</v>
      </c>
      <c r="U2546" s="19" t="e">
        <f>VLOOKUP(A2546,[4]Piece!$E:$G,3,FALSE)</f>
        <v>#N/A</v>
      </c>
      <c r="V2546" s="21" t="e">
        <f t="shared" si="159"/>
        <v>#N/A</v>
      </c>
      <c r="W2546" s="16" t="e">
        <f t="shared" si="160"/>
        <v>#N/A</v>
      </c>
    </row>
    <row r="2547" spans="1:23" hidden="1" x14ac:dyDescent="0.3">
      <c r="A2547" s="48" t="s">
        <v>7533</v>
      </c>
      <c r="B2547" s="18" t="s">
        <v>7533</v>
      </c>
      <c r="C2547" s="47" t="s">
        <v>33</v>
      </c>
      <c r="D2547" s="48" t="s">
        <v>7929</v>
      </c>
      <c r="E2547" s="18" t="s">
        <v>7627</v>
      </c>
      <c r="F2547" s="20" t="str">
        <f t="shared" si="161"/>
        <v>Mirka - Mirka Abranet 125mm PK10 P320</v>
      </c>
      <c r="G2547" s="20" t="s">
        <v>7725</v>
      </c>
      <c r="H2547" s="49" t="s">
        <v>213</v>
      </c>
      <c r="I2547" s="18" t="s">
        <v>37</v>
      </c>
      <c r="J2547" s="18" t="s">
        <v>38</v>
      </c>
      <c r="K2547" s="72" t="s">
        <v>39</v>
      </c>
      <c r="L2547" s="50"/>
      <c r="M2547" s="18" t="s">
        <v>214</v>
      </c>
      <c r="N2547" s="20">
        <v>3105</v>
      </c>
      <c r="P2547" s="16">
        <v>11.260800000000001</v>
      </c>
      <c r="Q2547" s="17" t="e">
        <f t="shared" si="158"/>
        <v>#DIV/0!</v>
      </c>
      <c r="S2547" s="16" t="e">
        <f>VLOOKUP(A2547,[4]Sales!$E:$G,3,FALSE)</f>
        <v>#N/A</v>
      </c>
      <c r="T2547" s="19" t="e">
        <f>VLOOKUP(A2547,[4]Volume!$E:$G,3,FALSE)</f>
        <v>#N/A</v>
      </c>
      <c r="U2547" s="19" t="e">
        <f>VLOOKUP(A2547,[4]Piece!$E:$G,3,FALSE)</f>
        <v>#N/A</v>
      </c>
      <c r="V2547" s="21" t="e">
        <f t="shared" si="159"/>
        <v>#N/A</v>
      </c>
      <c r="W2547" s="16" t="e">
        <f t="shared" si="160"/>
        <v>#N/A</v>
      </c>
    </row>
    <row r="2548" spans="1:23" hidden="1" x14ac:dyDescent="0.3">
      <c r="A2548" s="48" t="s">
        <v>7534</v>
      </c>
      <c r="B2548" s="18" t="s">
        <v>7534</v>
      </c>
      <c r="C2548" s="47" t="s">
        <v>33</v>
      </c>
      <c r="D2548" s="48" t="s">
        <v>7929</v>
      </c>
      <c r="E2548" s="18" t="s">
        <v>7628</v>
      </c>
      <c r="F2548" s="20" t="str">
        <f t="shared" si="161"/>
        <v>Mirka - Mirka Abranet 125mm PK50 P80</v>
      </c>
      <c r="G2548" s="20" t="s">
        <v>7726</v>
      </c>
      <c r="H2548" s="49" t="s">
        <v>213</v>
      </c>
      <c r="I2548" s="18" t="s">
        <v>37</v>
      </c>
      <c r="J2548" s="18" t="s">
        <v>38</v>
      </c>
      <c r="K2548" s="72" t="s">
        <v>39</v>
      </c>
      <c r="L2548" s="50"/>
      <c r="M2548" s="18" t="s">
        <v>214</v>
      </c>
      <c r="N2548" s="20">
        <v>3105</v>
      </c>
      <c r="P2548" s="16">
        <v>36.9801</v>
      </c>
      <c r="Q2548" s="17" t="e">
        <f t="shared" si="158"/>
        <v>#DIV/0!</v>
      </c>
      <c r="S2548" s="16" t="e">
        <f>VLOOKUP(A2548,[4]Sales!$E:$G,3,FALSE)</f>
        <v>#N/A</v>
      </c>
      <c r="T2548" s="19" t="e">
        <f>VLOOKUP(A2548,[4]Volume!$E:$G,3,FALSE)</f>
        <v>#N/A</v>
      </c>
      <c r="U2548" s="19" t="e">
        <f>VLOOKUP(A2548,[4]Piece!$E:$G,3,FALSE)</f>
        <v>#N/A</v>
      </c>
      <c r="V2548" s="21" t="e">
        <f t="shared" si="159"/>
        <v>#N/A</v>
      </c>
      <c r="W2548" s="16" t="e">
        <f t="shared" si="160"/>
        <v>#N/A</v>
      </c>
    </row>
    <row r="2549" spans="1:23" hidden="1" x14ac:dyDescent="0.3">
      <c r="A2549" s="48" t="s">
        <v>7535</v>
      </c>
      <c r="B2549" s="18" t="s">
        <v>7535</v>
      </c>
      <c r="C2549" s="47" t="s">
        <v>33</v>
      </c>
      <c r="D2549" s="48" t="s">
        <v>7929</v>
      </c>
      <c r="E2549" s="18" t="s">
        <v>7629</v>
      </c>
      <c r="F2549" s="20" t="str">
        <f t="shared" si="161"/>
        <v>Mirka - Mirka Abranet 125mm PK50 P100</v>
      </c>
      <c r="G2549" s="20" t="s">
        <v>7727</v>
      </c>
      <c r="H2549" s="49" t="s">
        <v>213</v>
      </c>
      <c r="I2549" s="18" t="s">
        <v>37</v>
      </c>
      <c r="J2549" s="18" t="s">
        <v>38</v>
      </c>
      <c r="K2549" s="72" t="s">
        <v>39</v>
      </c>
      <c r="L2549" s="50"/>
      <c r="M2549" s="18" t="s">
        <v>214</v>
      </c>
      <c r="N2549" s="20">
        <v>3105</v>
      </c>
      <c r="P2549" s="16">
        <v>32.971499999999999</v>
      </c>
      <c r="Q2549" s="17" t="e">
        <f t="shared" si="158"/>
        <v>#DIV/0!</v>
      </c>
      <c r="S2549" s="16" t="e">
        <f>VLOOKUP(A2549,[4]Sales!$E:$G,3,FALSE)</f>
        <v>#N/A</v>
      </c>
      <c r="T2549" s="19" t="e">
        <f>VLOOKUP(A2549,[4]Volume!$E:$G,3,FALSE)</f>
        <v>#N/A</v>
      </c>
      <c r="U2549" s="19" t="e">
        <f>VLOOKUP(A2549,[4]Piece!$E:$G,3,FALSE)</f>
        <v>#N/A</v>
      </c>
      <c r="V2549" s="21" t="e">
        <f t="shared" si="159"/>
        <v>#N/A</v>
      </c>
      <c r="W2549" s="16" t="e">
        <f t="shared" si="160"/>
        <v>#N/A</v>
      </c>
    </row>
    <row r="2550" spans="1:23" hidden="1" x14ac:dyDescent="0.3">
      <c r="A2550" s="48" t="s">
        <v>7536</v>
      </c>
      <c r="B2550" s="18" t="s">
        <v>7536</v>
      </c>
      <c r="C2550" s="47" t="s">
        <v>33</v>
      </c>
      <c r="D2550" s="48" t="s">
        <v>7929</v>
      </c>
      <c r="E2550" s="18" t="s">
        <v>7630</v>
      </c>
      <c r="F2550" s="20" t="str">
        <f t="shared" si="161"/>
        <v>Mirka - Mirka Abranet 125mm PK50 P120</v>
      </c>
      <c r="G2550" s="20" t="s">
        <v>7728</v>
      </c>
      <c r="H2550" s="49" t="s">
        <v>213</v>
      </c>
      <c r="I2550" s="18" t="s">
        <v>37</v>
      </c>
      <c r="J2550" s="18" t="s">
        <v>38</v>
      </c>
      <c r="K2550" s="72" t="s">
        <v>39</v>
      </c>
      <c r="L2550" s="50"/>
      <c r="M2550" s="18" t="s">
        <v>214</v>
      </c>
      <c r="N2550" s="20">
        <v>3105</v>
      </c>
      <c r="P2550" s="16">
        <v>32.971499999999999</v>
      </c>
      <c r="Q2550" s="17" t="e">
        <f t="shared" si="158"/>
        <v>#DIV/0!</v>
      </c>
      <c r="S2550" s="16" t="e">
        <f>VLOOKUP(A2550,[4]Sales!$E:$G,3,FALSE)</f>
        <v>#N/A</v>
      </c>
      <c r="T2550" s="19" t="e">
        <f>VLOOKUP(A2550,[4]Volume!$E:$G,3,FALSE)</f>
        <v>#N/A</v>
      </c>
      <c r="U2550" s="19" t="e">
        <f>VLOOKUP(A2550,[4]Piece!$E:$G,3,FALSE)</f>
        <v>#N/A</v>
      </c>
      <c r="V2550" s="21" t="e">
        <f t="shared" si="159"/>
        <v>#N/A</v>
      </c>
      <c r="W2550" s="16" t="e">
        <f t="shared" si="160"/>
        <v>#N/A</v>
      </c>
    </row>
    <row r="2551" spans="1:23" hidden="1" x14ac:dyDescent="0.3">
      <c r="A2551" s="48" t="s">
        <v>7537</v>
      </c>
      <c r="B2551" s="18" t="s">
        <v>7537</v>
      </c>
      <c r="C2551" s="47" t="s">
        <v>33</v>
      </c>
      <c r="D2551" s="48" t="s">
        <v>7929</v>
      </c>
      <c r="E2551" s="18" t="s">
        <v>7631</v>
      </c>
      <c r="F2551" s="20" t="str">
        <f t="shared" si="161"/>
        <v>Mirka - Mirka Abranet 125mm PK50 P150</v>
      </c>
      <c r="G2551" s="20" t="s">
        <v>7729</v>
      </c>
      <c r="H2551" s="49" t="s">
        <v>213</v>
      </c>
      <c r="I2551" s="18" t="s">
        <v>37</v>
      </c>
      <c r="J2551" s="18" t="s">
        <v>38</v>
      </c>
      <c r="K2551" s="72" t="s">
        <v>39</v>
      </c>
      <c r="L2551" s="50"/>
      <c r="M2551" s="18" t="s">
        <v>214</v>
      </c>
      <c r="N2551" s="20">
        <v>3105</v>
      </c>
      <c r="P2551" s="16">
        <v>32.97</v>
      </c>
      <c r="Q2551" s="17" t="e">
        <f t="shared" si="158"/>
        <v>#DIV/0!</v>
      </c>
      <c r="S2551" s="16" t="e">
        <f>VLOOKUP(A2551,[4]Sales!$E:$G,3,FALSE)</f>
        <v>#N/A</v>
      </c>
      <c r="T2551" s="19" t="e">
        <f>VLOOKUP(A2551,[4]Volume!$E:$G,3,FALSE)</f>
        <v>#N/A</v>
      </c>
      <c r="U2551" s="19" t="e">
        <f>VLOOKUP(A2551,[4]Piece!$E:$G,3,FALSE)</f>
        <v>#N/A</v>
      </c>
      <c r="V2551" s="21" t="e">
        <f t="shared" si="159"/>
        <v>#N/A</v>
      </c>
      <c r="W2551" s="16" t="e">
        <f t="shared" si="160"/>
        <v>#N/A</v>
      </c>
    </row>
    <row r="2552" spans="1:23" hidden="1" x14ac:dyDescent="0.3">
      <c r="A2552" s="48" t="s">
        <v>7538</v>
      </c>
      <c r="B2552" s="18" t="s">
        <v>7538</v>
      </c>
      <c r="C2552" s="47" t="s">
        <v>33</v>
      </c>
      <c r="D2552" s="48" t="s">
        <v>7929</v>
      </c>
      <c r="E2552" s="18" t="s">
        <v>7632</v>
      </c>
      <c r="F2552" s="20" t="str">
        <f t="shared" si="161"/>
        <v>Mirka - Mirka Abranet 125mm PK50 P180</v>
      </c>
      <c r="G2552" s="20" t="s">
        <v>7730</v>
      </c>
      <c r="H2552" s="49" t="s">
        <v>213</v>
      </c>
      <c r="I2552" s="18" t="s">
        <v>37</v>
      </c>
      <c r="J2552" s="18" t="s">
        <v>38</v>
      </c>
      <c r="K2552" s="72" t="s">
        <v>39</v>
      </c>
      <c r="L2552" s="50"/>
      <c r="M2552" s="18" t="s">
        <v>214</v>
      </c>
      <c r="N2552" s="20">
        <v>3105</v>
      </c>
      <c r="P2552" s="16">
        <v>32.971499999999999</v>
      </c>
      <c r="Q2552" s="17" t="e">
        <f t="shared" si="158"/>
        <v>#DIV/0!</v>
      </c>
      <c r="S2552" s="16" t="e">
        <f>VLOOKUP(A2552,[4]Sales!$E:$G,3,FALSE)</f>
        <v>#N/A</v>
      </c>
      <c r="T2552" s="19" t="e">
        <f>VLOOKUP(A2552,[4]Volume!$E:$G,3,FALSE)</f>
        <v>#N/A</v>
      </c>
      <c r="U2552" s="19" t="e">
        <f>VLOOKUP(A2552,[4]Piece!$E:$G,3,FALSE)</f>
        <v>#N/A</v>
      </c>
      <c r="V2552" s="21" t="e">
        <f t="shared" si="159"/>
        <v>#N/A</v>
      </c>
      <c r="W2552" s="16" t="e">
        <f t="shared" si="160"/>
        <v>#N/A</v>
      </c>
    </row>
    <row r="2553" spans="1:23" hidden="1" x14ac:dyDescent="0.3">
      <c r="A2553" s="48" t="s">
        <v>7539</v>
      </c>
      <c r="B2553" s="18" t="s">
        <v>7539</v>
      </c>
      <c r="C2553" s="47" t="s">
        <v>33</v>
      </c>
      <c r="D2553" s="48" t="s">
        <v>7929</v>
      </c>
      <c r="E2553" s="18" t="s">
        <v>7633</v>
      </c>
      <c r="F2553" s="20" t="str">
        <f t="shared" si="161"/>
        <v>Mirka - Mirka Abranet 125mm PK50 P240</v>
      </c>
      <c r="G2553" s="20" t="s">
        <v>7731</v>
      </c>
      <c r="H2553" s="49" t="s">
        <v>213</v>
      </c>
      <c r="I2553" s="18" t="s">
        <v>37</v>
      </c>
      <c r="J2553" s="18" t="s">
        <v>38</v>
      </c>
      <c r="K2553" s="72" t="s">
        <v>39</v>
      </c>
      <c r="L2553" s="50"/>
      <c r="M2553" s="18" t="s">
        <v>214</v>
      </c>
      <c r="N2553" s="20">
        <v>3105</v>
      </c>
      <c r="P2553" s="16">
        <v>32.97</v>
      </c>
      <c r="Q2553" s="17" t="e">
        <f t="shared" si="158"/>
        <v>#DIV/0!</v>
      </c>
      <c r="S2553" s="16" t="e">
        <f>VLOOKUP(A2553,[4]Sales!$E:$G,3,FALSE)</f>
        <v>#N/A</v>
      </c>
      <c r="T2553" s="19" t="e">
        <f>VLOOKUP(A2553,[4]Volume!$E:$G,3,FALSE)</f>
        <v>#N/A</v>
      </c>
      <c r="U2553" s="19" t="e">
        <f>VLOOKUP(A2553,[4]Piece!$E:$G,3,FALSE)</f>
        <v>#N/A</v>
      </c>
      <c r="V2553" s="21" t="e">
        <f t="shared" si="159"/>
        <v>#N/A</v>
      </c>
      <c r="W2553" s="16" t="e">
        <f t="shared" si="160"/>
        <v>#N/A</v>
      </c>
    </row>
    <row r="2554" spans="1:23" hidden="1" x14ac:dyDescent="0.3">
      <c r="A2554" s="48" t="s">
        <v>7540</v>
      </c>
      <c r="B2554" s="18" t="s">
        <v>7540</v>
      </c>
      <c r="C2554" s="47" t="s">
        <v>33</v>
      </c>
      <c r="D2554" s="48" t="s">
        <v>7929</v>
      </c>
      <c r="E2554" s="18" t="s">
        <v>7634</v>
      </c>
      <c r="F2554" s="20" t="str">
        <f t="shared" si="161"/>
        <v>Mirka - Mirka Abranet 125mm PK50 P320</v>
      </c>
      <c r="G2554" s="20" t="s">
        <v>7732</v>
      </c>
      <c r="H2554" s="49" t="s">
        <v>213</v>
      </c>
      <c r="I2554" s="18" t="s">
        <v>37</v>
      </c>
      <c r="J2554" s="18" t="s">
        <v>38</v>
      </c>
      <c r="K2554" s="72" t="s">
        <v>39</v>
      </c>
      <c r="L2554" s="50"/>
      <c r="M2554" s="18" t="s">
        <v>214</v>
      </c>
      <c r="N2554" s="20">
        <v>3105</v>
      </c>
      <c r="P2554" s="16">
        <v>32.971499999999999</v>
      </c>
      <c r="Q2554" s="17" t="e">
        <f t="shared" si="158"/>
        <v>#DIV/0!</v>
      </c>
      <c r="S2554" s="16" t="e">
        <f>VLOOKUP(A2554,[4]Sales!$E:$G,3,FALSE)</f>
        <v>#N/A</v>
      </c>
      <c r="T2554" s="19" t="e">
        <f>VLOOKUP(A2554,[4]Volume!$E:$G,3,FALSE)</f>
        <v>#N/A</v>
      </c>
      <c r="U2554" s="19" t="e">
        <f>VLOOKUP(A2554,[4]Piece!$E:$G,3,FALSE)</f>
        <v>#N/A</v>
      </c>
      <c r="V2554" s="21" t="e">
        <f t="shared" si="159"/>
        <v>#N/A</v>
      </c>
      <c r="W2554" s="16" t="e">
        <f t="shared" si="160"/>
        <v>#N/A</v>
      </c>
    </row>
    <row r="2555" spans="1:23" hidden="1" x14ac:dyDescent="0.3">
      <c r="A2555" s="48" t="s">
        <v>7541</v>
      </c>
      <c r="B2555" s="18" t="s">
        <v>7541</v>
      </c>
      <c r="C2555" s="47" t="s">
        <v>33</v>
      </c>
      <c r="D2555" s="48" t="s">
        <v>7929</v>
      </c>
      <c r="E2555" s="18" t="s">
        <v>7635</v>
      </c>
      <c r="F2555" s="20" t="str">
        <f t="shared" si="161"/>
        <v>Mirka - Mirka Abranet 150mm PK10 P240</v>
      </c>
      <c r="G2555" s="20" t="s">
        <v>7733</v>
      </c>
      <c r="H2555" s="49" t="s">
        <v>213</v>
      </c>
      <c r="I2555" s="18" t="s">
        <v>37</v>
      </c>
      <c r="J2555" s="18" t="s">
        <v>38</v>
      </c>
      <c r="K2555" s="72" t="s">
        <v>39</v>
      </c>
      <c r="L2555" s="50"/>
      <c r="M2555" s="18" t="s">
        <v>214</v>
      </c>
      <c r="N2555" s="20">
        <v>3105</v>
      </c>
      <c r="P2555" s="16">
        <v>12.438900000000002</v>
      </c>
      <c r="Q2555" s="17" t="e">
        <f t="shared" si="158"/>
        <v>#DIV/0!</v>
      </c>
      <c r="S2555" s="16" t="e">
        <f>VLOOKUP(A2555,[4]Sales!$E:$G,3,FALSE)</f>
        <v>#N/A</v>
      </c>
      <c r="T2555" s="19" t="e">
        <f>VLOOKUP(A2555,[4]Volume!$E:$G,3,FALSE)</f>
        <v>#N/A</v>
      </c>
      <c r="U2555" s="19" t="e">
        <f>VLOOKUP(A2555,[4]Piece!$E:$G,3,FALSE)</f>
        <v>#N/A</v>
      </c>
      <c r="V2555" s="21" t="e">
        <f t="shared" si="159"/>
        <v>#N/A</v>
      </c>
      <c r="W2555" s="16" t="e">
        <f t="shared" si="160"/>
        <v>#N/A</v>
      </c>
    </row>
    <row r="2556" spans="1:23" hidden="1" x14ac:dyDescent="0.3">
      <c r="A2556" s="48" t="s">
        <v>7542</v>
      </c>
      <c r="B2556" s="18" t="s">
        <v>7542</v>
      </c>
      <c r="C2556" s="47" t="s">
        <v>33</v>
      </c>
      <c r="D2556" s="48" t="s">
        <v>7929</v>
      </c>
      <c r="E2556" s="18" t="s">
        <v>7636</v>
      </c>
      <c r="F2556" s="20" t="str">
        <f t="shared" si="161"/>
        <v>Mirka - Mirka Abranet 150mm PK10 P320</v>
      </c>
      <c r="G2556" s="20" t="s">
        <v>7734</v>
      </c>
      <c r="H2556" s="49" t="s">
        <v>213</v>
      </c>
      <c r="I2556" s="18" t="s">
        <v>37</v>
      </c>
      <c r="J2556" s="18" t="s">
        <v>38</v>
      </c>
      <c r="K2556" s="72" t="s">
        <v>39</v>
      </c>
      <c r="L2556" s="50"/>
      <c r="M2556" s="18" t="s">
        <v>214</v>
      </c>
      <c r="N2556" s="20">
        <v>3105</v>
      </c>
      <c r="P2556" s="16">
        <v>12.438900000000002</v>
      </c>
      <c r="Q2556" s="17" t="e">
        <f t="shared" si="158"/>
        <v>#DIV/0!</v>
      </c>
      <c r="S2556" s="16" t="e">
        <f>VLOOKUP(A2556,[4]Sales!$E:$G,3,FALSE)</f>
        <v>#N/A</v>
      </c>
      <c r="T2556" s="19" t="e">
        <f>VLOOKUP(A2556,[4]Volume!$E:$G,3,FALSE)</f>
        <v>#N/A</v>
      </c>
      <c r="U2556" s="19" t="e">
        <f>VLOOKUP(A2556,[4]Piece!$E:$G,3,FALSE)</f>
        <v>#N/A</v>
      </c>
      <c r="V2556" s="21" t="e">
        <f t="shared" si="159"/>
        <v>#N/A</v>
      </c>
      <c r="W2556" s="16" t="e">
        <f t="shared" si="160"/>
        <v>#N/A</v>
      </c>
    </row>
    <row r="2557" spans="1:23" hidden="1" x14ac:dyDescent="0.3">
      <c r="A2557" s="48" t="s">
        <v>7543</v>
      </c>
      <c r="B2557" s="18" t="s">
        <v>7543</v>
      </c>
      <c r="C2557" s="47" t="s">
        <v>33</v>
      </c>
      <c r="D2557" s="48" t="s">
        <v>7929</v>
      </c>
      <c r="E2557" s="18" t="s">
        <v>7637</v>
      </c>
      <c r="F2557" s="20" t="str">
        <f t="shared" si="161"/>
        <v>Mirka - Mirka Abranet 150mm PK50 P150</v>
      </c>
      <c r="G2557" s="20" t="s">
        <v>7735</v>
      </c>
      <c r="H2557" s="49" t="s">
        <v>213</v>
      </c>
      <c r="I2557" s="18" t="s">
        <v>37</v>
      </c>
      <c r="J2557" s="18" t="s">
        <v>38</v>
      </c>
      <c r="K2557" s="72" t="s">
        <v>39</v>
      </c>
      <c r="L2557" s="50"/>
      <c r="M2557" s="18" t="s">
        <v>214</v>
      </c>
      <c r="N2557" s="20">
        <v>3105</v>
      </c>
      <c r="P2557" s="16">
        <v>34.9452</v>
      </c>
      <c r="Q2557" s="17" t="e">
        <f t="shared" si="158"/>
        <v>#DIV/0!</v>
      </c>
      <c r="S2557" s="16" t="e">
        <f>VLOOKUP(A2557,[4]Sales!$E:$G,3,FALSE)</f>
        <v>#N/A</v>
      </c>
      <c r="T2557" s="19" t="e">
        <f>VLOOKUP(A2557,[4]Volume!$E:$G,3,FALSE)</f>
        <v>#N/A</v>
      </c>
      <c r="U2557" s="19" t="e">
        <f>VLOOKUP(A2557,[4]Piece!$E:$G,3,FALSE)</f>
        <v>#N/A</v>
      </c>
      <c r="V2557" s="21" t="e">
        <f t="shared" si="159"/>
        <v>#N/A</v>
      </c>
      <c r="W2557" s="16" t="e">
        <f t="shared" si="160"/>
        <v>#N/A</v>
      </c>
    </row>
    <row r="2558" spans="1:23" hidden="1" x14ac:dyDescent="0.3">
      <c r="A2558" s="48" t="s">
        <v>7544</v>
      </c>
      <c r="B2558" s="18" t="s">
        <v>7544</v>
      </c>
      <c r="C2558" s="47" t="s">
        <v>33</v>
      </c>
      <c r="D2558" s="48" t="s">
        <v>7929</v>
      </c>
      <c r="E2558" s="18" t="s">
        <v>7638</v>
      </c>
      <c r="F2558" s="20" t="str">
        <f t="shared" si="161"/>
        <v>Mirka - Mirka Abranet 150mm PK50 P400</v>
      </c>
      <c r="G2558" s="20" t="s">
        <v>7736</v>
      </c>
      <c r="H2558" s="49" t="s">
        <v>213</v>
      </c>
      <c r="I2558" s="18" t="s">
        <v>37</v>
      </c>
      <c r="J2558" s="18" t="s">
        <v>38</v>
      </c>
      <c r="K2558" s="72" t="s">
        <v>39</v>
      </c>
      <c r="L2558" s="50"/>
      <c r="M2558" s="18" t="s">
        <v>214</v>
      </c>
      <c r="N2558" s="20">
        <v>3105</v>
      </c>
      <c r="P2558" s="16">
        <v>34.9452</v>
      </c>
      <c r="Q2558" s="17" t="e">
        <f t="shared" si="158"/>
        <v>#DIV/0!</v>
      </c>
      <c r="S2558" s="16" t="e">
        <f>VLOOKUP(A2558,[4]Sales!$E:$G,3,FALSE)</f>
        <v>#N/A</v>
      </c>
      <c r="T2558" s="19" t="e">
        <f>VLOOKUP(A2558,[4]Volume!$E:$G,3,FALSE)</f>
        <v>#N/A</v>
      </c>
      <c r="U2558" s="19" t="e">
        <f>VLOOKUP(A2558,[4]Piece!$E:$G,3,FALSE)</f>
        <v>#N/A</v>
      </c>
      <c r="V2558" s="21" t="e">
        <f t="shared" si="159"/>
        <v>#N/A</v>
      </c>
      <c r="W2558" s="16" t="e">
        <f t="shared" si="160"/>
        <v>#N/A</v>
      </c>
    </row>
    <row r="2559" spans="1:23" hidden="1" x14ac:dyDescent="0.3">
      <c r="A2559" s="48" t="s">
        <v>7545</v>
      </c>
      <c r="B2559" s="18" t="s">
        <v>7545</v>
      </c>
      <c r="C2559" s="47" t="s">
        <v>33</v>
      </c>
      <c r="D2559" s="48" t="s">
        <v>7929</v>
      </c>
      <c r="E2559" s="18" t="s">
        <v>7639</v>
      </c>
      <c r="F2559" s="20" t="str">
        <f t="shared" si="161"/>
        <v>Mirka - Mirka Abranet 150mm PK50 P600</v>
      </c>
      <c r="G2559" s="20" t="s">
        <v>7737</v>
      </c>
      <c r="H2559" s="49" t="s">
        <v>213</v>
      </c>
      <c r="I2559" s="18" t="s">
        <v>37</v>
      </c>
      <c r="J2559" s="18" t="s">
        <v>38</v>
      </c>
      <c r="K2559" s="72" t="s">
        <v>39</v>
      </c>
      <c r="L2559" s="50"/>
      <c r="M2559" s="18" t="s">
        <v>214</v>
      </c>
      <c r="N2559" s="20">
        <v>3105</v>
      </c>
      <c r="P2559" s="16">
        <v>34.9452</v>
      </c>
      <c r="Q2559" s="17" t="e">
        <f t="shared" si="158"/>
        <v>#DIV/0!</v>
      </c>
      <c r="S2559" s="16" t="e">
        <f>VLOOKUP(A2559,[4]Sales!$E:$G,3,FALSE)</f>
        <v>#N/A</v>
      </c>
      <c r="T2559" s="19" t="e">
        <f>VLOOKUP(A2559,[4]Volume!$E:$G,3,FALSE)</f>
        <v>#N/A</v>
      </c>
      <c r="U2559" s="19" t="e">
        <f>VLOOKUP(A2559,[4]Piece!$E:$G,3,FALSE)</f>
        <v>#N/A</v>
      </c>
      <c r="V2559" s="21" t="e">
        <f t="shared" si="159"/>
        <v>#N/A</v>
      </c>
      <c r="W2559" s="16" t="e">
        <f t="shared" si="160"/>
        <v>#N/A</v>
      </c>
    </row>
    <row r="2560" spans="1:23" hidden="1" x14ac:dyDescent="0.3">
      <c r="A2560" s="48" t="s">
        <v>7546</v>
      </c>
      <c r="B2560" s="18" t="s">
        <v>7546</v>
      </c>
      <c r="C2560" s="47" t="s">
        <v>33</v>
      </c>
      <c r="D2560" s="48" t="s">
        <v>7929</v>
      </c>
      <c r="E2560" s="18" t="s">
        <v>7640</v>
      </c>
      <c r="F2560" s="20" t="str">
        <f t="shared" si="161"/>
        <v>Mirka - Mirka Abranet 150mm PK50 P800</v>
      </c>
      <c r="G2560" s="20" t="s">
        <v>7738</v>
      </c>
      <c r="H2560" s="49" t="s">
        <v>213</v>
      </c>
      <c r="I2560" s="18" t="s">
        <v>37</v>
      </c>
      <c r="J2560" s="18" t="s">
        <v>38</v>
      </c>
      <c r="K2560" s="72" t="s">
        <v>39</v>
      </c>
      <c r="L2560" s="50"/>
      <c r="M2560" s="18" t="s">
        <v>214</v>
      </c>
      <c r="N2560" s="20">
        <v>3105</v>
      </c>
      <c r="P2560" s="16">
        <v>44.385300000000001</v>
      </c>
      <c r="Q2560" s="17" t="e">
        <f t="shared" si="158"/>
        <v>#DIV/0!</v>
      </c>
      <c r="S2560" s="16" t="e">
        <f>VLOOKUP(A2560,[4]Sales!$E:$G,3,FALSE)</f>
        <v>#N/A</v>
      </c>
      <c r="T2560" s="19" t="e">
        <f>VLOOKUP(A2560,[4]Volume!$E:$G,3,FALSE)</f>
        <v>#N/A</v>
      </c>
      <c r="U2560" s="19" t="e">
        <f>VLOOKUP(A2560,[4]Piece!$E:$G,3,FALSE)</f>
        <v>#N/A</v>
      </c>
      <c r="V2560" s="21" t="e">
        <f t="shared" si="159"/>
        <v>#N/A</v>
      </c>
      <c r="W2560" s="16" t="e">
        <f t="shared" si="160"/>
        <v>#N/A</v>
      </c>
    </row>
    <row r="2561" spans="1:23" hidden="1" x14ac:dyDescent="0.3">
      <c r="A2561" s="48" t="s">
        <v>7547</v>
      </c>
      <c r="B2561" s="18" t="s">
        <v>7547</v>
      </c>
      <c r="C2561" s="47" t="s">
        <v>33</v>
      </c>
      <c r="D2561" s="48" t="s">
        <v>7929</v>
      </c>
      <c r="E2561" s="18" t="s">
        <v>7641</v>
      </c>
      <c r="F2561" s="20" t="str">
        <f t="shared" si="161"/>
        <v>Mirka - Mirka Abranet 150mm PK50 P1000</v>
      </c>
      <c r="G2561" s="20" t="s">
        <v>7739</v>
      </c>
      <c r="H2561" s="49" t="s">
        <v>213</v>
      </c>
      <c r="I2561" s="18" t="s">
        <v>37</v>
      </c>
      <c r="J2561" s="18" t="s">
        <v>38</v>
      </c>
      <c r="K2561" s="72" t="s">
        <v>39</v>
      </c>
      <c r="L2561" s="50"/>
      <c r="M2561" s="18" t="s">
        <v>214</v>
      </c>
      <c r="N2561" s="20">
        <v>3105</v>
      </c>
      <c r="P2561" s="16">
        <v>34.9452</v>
      </c>
      <c r="Q2561" s="17" t="e">
        <f t="shared" si="158"/>
        <v>#DIV/0!</v>
      </c>
      <c r="S2561" s="16" t="e">
        <f>VLOOKUP(A2561,[4]Sales!$E:$G,3,FALSE)</f>
        <v>#N/A</v>
      </c>
      <c r="T2561" s="19" t="e">
        <f>VLOOKUP(A2561,[4]Volume!$E:$G,3,FALSE)</f>
        <v>#N/A</v>
      </c>
      <c r="U2561" s="19" t="e">
        <f>VLOOKUP(A2561,[4]Piece!$E:$G,3,FALSE)</f>
        <v>#N/A</v>
      </c>
      <c r="V2561" s="21" t="e">
        <f t="shared" si="159"/>
        <v>#N/A</v>
      </c>
      <c r="W2561" s="16" t="e">
        <f t="shared" si="160"/>
        <v>#N/A</v>
      </c>
    </row>
    <row r="2562" spans="1:23" hidden="1" x14ac:dyDescent="0.3">
      <c r="A2562" s="48" t="s">
        <v>7548</v>
      </c>
      <c r="B2562" s="18" t="s">
        <v>7548</v>
      </c>
      <c r="C2562" s="47" t="s">
        <v>33</v>
      </c>
      <c r="D2562" s="48" t="s">
        <v>7929</v>
      </c>
      <c r="E2562" s="18" t="s">
        <v>7642</v>
      </c>
      <c r="F2562" s="20" t="str">
        <f t="shared" si="161"/>
        <v>Mirka - Mirka Abranet 225mm PK10 P180</v>
      </c>
      <c r="G2562" s="20" t="s">
        <v>7740</v>
      </c>
      <c r="H2562" s="49" t="s">
        <v>213</v>
      </c>
      <c r="I2562" s="18" t="s">
        <v>37</v>
      </c>
      <c r="J2562" s="18" t="s">
        <v>38</v>
      </c>
      <c r="K2562" s="72" t="s">
        <v>39</v>
      </c>
      <c r="L2562" s="50"/>
      <c r="M2562" s="18" t="s">
        <v>214</v>
      </c>
      <c r="N2562" s="20">
        <v>3105</v>
      </c>
      <c r="P2562" s="16">
        <v>27.14</v>
      </c>
      <c r="Q2562" s="17" t="e">
        <f t="shared" si="158"/>
        <v>#DIV/0!</v>
      </c>
      <c r="S2562" s="16" t="e">
        <f>VLOOKUP(A2562,[4]Sales!$E:$G,3,FALSE)</f>
        <v>#N/A</v>
      </c>
      <c r="T2562" s="19" t="e">
        <f>VLOOKUP(A2562,[4]Volume!$E:$G,3,FALSE)</f>
        <v>#N/A</v>
      </c>
      <c r="U2562" s="19" t="e">
        <f>VLOOKUP(A2562,[4]Piece!$E:$G,3,FALSE)</f>
        <v>#N/A</v>
      </c>
      <c r="V2562" s="21" t="e">
        <f t="shared" si="159"/>
        <v>#N/A</v>
      </c>
      <c r="W2562" s="16" t="e">
        <f t="shared" si="160"/>
        <v>#N/A</v>
      </c>
    </row>
    <row r="2563" spans="1:23" hidden="1" x14ac:dyDescent="0.3">
      <c r="A2563" s="48" t="s">
        <v>7549</v>
      </c>
      <c r="B2563" s="18" t="s">
        <v>7549</v>
      </c>
      <c r="C2563" s="47" t="s">
        <v>33</v>
      </c>
      <c r="D2563" s="48" t="s">
        <v>7929</v>
      </c>
      <c r="E2563" s="18" t="s">
        <v>7643</v>
      </c>
      <c r="F2563" s="20" t="str">
        <f t="shared" si="161"/>
        <v>Mirka - Mirka Abranet 225mm PK10 P240</v>
      </c>
      <c r="G2563" s="20" t="s">
        <v>7741</v>
      </c>
      <c r="H2563" s="49" t="s">
        <v>213</v>
      </c>
      <c r="I2563" s="18" t="s">
        <v>37</v>
      </c>
      <c r="J2563" s="18" t="s">
        <v>38</v>
      </c>
      <c r="K2563" s="72" t="s">
        <v>39</v>
      </c>
      <c r="L2563" s="50"/>
      <c r="M2563" s="18" t="s">
        <v>214</v>
      </c>
      <c r="N2563" s="20">
        <v>3105</v>
      </c>
      <c r="P2563" s="16">
        <v>27.14</v>
      </c>
      <c r="Q2563" s="17" t="e">
        <f t="shared" ref="Q2563:Q2626" si="162">P2563/L2563</f>
        <v>#DIV/0!</v>
      </c>
      <c r="S2563" s="16" t="e">
        <f>VLOOKUP(A2563,[4]Sales!$E:$G,3,FALSE)</f>
        <v>#N/A</v>
      </c>
      <c r="T2563" s="19" t="e">
        <f>VLOOKUP(A2563,[4]Volume!$E:$G,3,FALSE)</f>
        <v>#N/A</v>
      </c>
      <c r="U2563" s="19" t="e">
        <f>VLOOKUP(A2563,[4]Piece!$E:$G,3,FALSE)</f>
        <v>#N/A</v>
      </c>
      <c r="V2563" s="21" t="e">
        <f t="shared" ref="V2563:V2626" si="163">U2563*P2563</f>
        <v>#N/A</v>
      </c>
      <c r="W2563" s="16" t="e">
        <f t="shared" ref="W2563:W2626" si="164">V2563-S2563</f>
        <v>#N/A</v>
      </c>
    </row>
    <row r="2564" spans="1:23" hidden="1" x14ac:dyDescent="0.3">
      <c r="A2564" s="48" t="s">
        <v>7550</v>
      </c>
      <c r="B2564" s="18" t="s">
        <v>7550</v>
      </c>
      <c r="C2564" s="47" t="s">
        <v>33</v>
      </c>
      <c r="D2564" s="48" t="s">
        <v>7929</v>
      </c>
      <c r="E2564" s="18" t="s">
        <v>7644</v>
      </c>
      <c r="F2564" s="20" t="str">
        <f t="shared" ref="F2564:F2593" si="165">D2564&amp;" - "&amp;E2564</f>
        <v>Mirka - Mirka Abranet 225mm PK25 P320</v>
      </c>
      <c r="G2564" s="20" t="s">
        <v>7742</v>
      </c>
      <c r="H2564" s="49" t="s">
        <v>213</v>
      </c>
      <c r="I2564" s="18" t="s">
        <v>37</v>
      </c>
      <c r="J2564" s="18" t="s">
        <v>38</v>
      </c>
      <c r="K2564" s="72" t="s">
        <v>39</v>
      </c>
      <c r="L2564" s="50"/>
      <c r="M2564" s="18" t="s">
        <v>214</v>
      </c>
      <c r="N2564" s="20">
        <v>3105</v>
      </c>
      <c r="P2564" s="16">
        <v>36.049999999999997</v>
      </c>
      <c r="Q2564" s="17" t="e">
        <f t="shared" si="162"/>
        <v>#DIV/0!</v>
      </c>
      <c r="S2564" s="16" t="e">
        <f>VLOOKUP(A2564,[4]Sales!$E:$G,3,FALSE)</f>
        <v>#N/A</v>
      </c>
      <c r="T2564" s="19" t="e">
        <f>VLOOKUP(A2564,[4]Volume!$E:$G,3,FALSE)</f>
        <v>#N/A</v>
      </c>
      <c r="U2564" s="19" t="e">
        <f>VLOOKUP(A2564,[4]Piece!$E:$G,3,FALSE)</f>
        <v>#N/A</v>
      </c>
      <c r="V2564" s="21" t="e">
        <f t="shared" si="163"/>
        <v>#N/A</v>
      </c>
      <c r="W2564" s="16" t="e">
        <f t="shared" si="164"/>
        <v>#N/A</v>
      </c>
    </row>
    <row r="2565" spans="1:23" hidden="1" x14ac:dyDescent="0.3">
      <c r="A2565" s="48" t="s">
        <v>7551</v>
      </c>
      <c r="B2565" s="18" t="s">
        <v>7551</v>
      </c>
      <c r="C2565" s="47" t="s">
        <v>33</v>
      </c>
      <c r="D2565" s="48" t="s">
        <v>7929</v>
      </c>
      <c r="E2565" s="18" t="s">
        <v>7645</v>
      </c>
      <c r="F2565" s="20" t="str">
        <f t="shared" si="165"/>
        <v>Mirka - Mirka Abranet Ace 77mm PK50 P80</v>
      </c>
      <c r="G2565" s="20" t="s">
        <v>7743</v>
      </c>
      <c r="H2565" s="49" t="s">
        <v>213</v>
      </c>
      <c r="I2565" s="18" t="s">
        <v>37</v>
      </c>
      <c r="J2565" s="18" t="s">
        <v>38</v>
      </c>
      <c r="K2565" s="72" t="s">
        <v>39</v>
      </c>
      <c r="L2565" s="50"/>
      <c r="M2565" s="18" t="s">
        <v>214</v>
      </c>
      <c r="N2565" s="20">
        <v>3105</v>
      </c>
      <c r="P2565" s="16">
        <v>30.921300000000002</v>
      </c>
      <c r="Q2565" s="17" t="e">
        <f t="shared" si="162"/>
        <v>#DIV/0!</v>
      </c>
      <c r="S2565" s="16" t="e">
        <f>VLOOKUP(A2565,[4]Sales!$E:$G,3,FALSE)</f>
        <v>#N/A</v>
      </c>
      <c r="T2565" s="19" t="e">
        <f>VLOOKUP(A2565,[4]Volume!$E:$G,3,FALSE)</f>
        <v>#N/A</v>
      </c>
      <c r="U2565" s="19" t="e">
        <f>VLOOKUP(A2565,[4]Piece!$E:$G,3,FALSE)</f>
        <v>#N/A</v>
      </c>
      <c r="V2565" s="21" t="e">
        <f t="shared" si="163"/>
        <v>#N/A</v>
      </c>
      <c r="W2565" s="16" t="e">
        <f t="shared" si="164"/>
        <v>#N/A</v>
      </c>
    </row>
    <row r="2566" spans="1:23" hidden="1" x14ac:dyDescent="0.3">
      <c r="A2566" s="48" t="s">
        <v>7552</v>
      </c>
      <c r="B2566" s="18" t="s">
        <v>7552</v>
      </c>
      <c r="C2566" s="47" t="s">
        <v>33</v>
      </c>
      <c r="D2566" s="48" t="s">
        <v>7929</v>
      </c>
      <c r="E2566" s="18" t="s">
        <v>7646</v>
      </c>
      <c r="F2566" s="20" t="str">
        <f t="shared" si="165"/>
        <v>Mirka - Mirka Abranet Ace 77mm PK50 P120</v>
      </c>
      <c r="G2566" s="20" t="s">
        <v>7744</v>
      </c>
      <c r="H2566" s="49" t="s">
        <v>213</v>
      </c>
      <c r="I2566" s="18" t="s">
        <v>37</v>
      </c>
      <c r="J2566" s="18" t="s">
        <v>38</v>
      </c>
      <c r="K2566" s="72" t="s">
        <v>39</v>
      </c>
      <c r="L2566" s="50"/>
      <c r="M2566" s="18" t="s">
        <v>214</v>
      </c>
      <c r="N2566" s="20">
        <v>3105</v>
      </c>
      <c r="P2566" s="16">
        <v>27.601199999999999</v>
      </c>
      <c r="Q2566" s="17" t="e">
        <f t="shared" si="162"/>
        <v>#DIV/0!</v>
      </c>
      <c r="S2566" s="16" t="e">
        <f>VLOOKUP(A2566,[4]Sales!$E:$G,3,FALSE)</f>
        <v>#N/A</v>
      </c>
      <c r="T2566" s="19" t="e">
        <f>VLOOKUP(A2566,[4]Volume!$E:$G,3,FALSE)</f>
        <v>#N/A</v>
      </c>
      <c r="U2566" s="19" t="e">
        <f>VLOOKUP(A2566,[4]Piece!$E:$G,3,FALSE)</f>
        <v>#N/A</v>
      </c>
      <c r="V2566" s="21" t="e">
        <f t="shared" si="163"/>
        <v>#N/A</v>
      </c>
      <c r="W2566" s="16" t="e">
        <f t="shared" si="164"/>
        <v>#N/A</v>
      </c>
    </row>
    <row r="2567" spans="1:23" hidden="1" x14ac:dyDescent="0.3">
      <c r="A2567" s="48" t="s">
        <v>7553</v>
      </c>
      <c r="B2567" s="18" t="s">
        <v>7553</v>
      </c>
      <c r="C2567" s="47" t="s">
        <v>33</v>
      </c>
      <c r="D2567" s="48" t="s">
        <v>7929</v>
      </c>
      <c r="E2567" s="18" t="s">
        <v>7647</v>
      </c>
      <c r="F2567" s="20" t="str">
        <f t="shared" si="165"/>
        <v>Mirka - Mirka Abranet Ace 77mm PK50 P180</v>
      </c>
      <c r="G2567" s="20" t="s">
        <v>7745</v>
      </c>
      <c r="H2567" s="49" t="s">
        <v>213</v>
      </c>
      <c r="I2567" s="18" t="s">
        <v>37</v>
      </c>
      <c r="J2567" s="18" t="s">
        <v>38</v>
      </c>
      <c r="K2567" s="72" t="s">
        <v>39</v>
      </c>
      <c r="L2567" s="50"/>
      <c r="M2567" s="18" t="s">
        <v>214</v>
      </c>
      <c r="N2567" s="20">
        <v>3105</v>
      </c>
      <c r="P2567" s="16">
        <v>27.601199999999999</v>
      </c>
      <c r="Q2567" s="17" t="e">
        <f t="shared" si="162"/>
        <v>#DIV/0!</v>
      </c>
      <c r="S2567" s="16" t="e">
        <f>VLOOKUP(A2567,[4]Sales!$E:$G,3,FALSE)</f>
        <v>#N/A</v>
      </c>
      <c r="T2567" s="19" t="e">
        <f>VLOOKUP(A2567,[4]Volume!$E:$G,3,FALSE)</f>
        <v>#N/A</v>
      </c>
      <c r="U2567" s="19" t="e">
        <f>VLOOKUP(A2567,[4]Piece!$E:$G,3,FALSE)</f>
        <v>#N/A</v>
      </c>
      <c r="V2567" s="21" t="e">
        <f t="shared" si="163"/>
        <v>#N/A</v>
      </c>
      <c r="W2567" s="16" t="e">
        <f t="shared" si="164"/>
        <v>#N/A</v>
      </c>
    </row>
    <row r="2568" spans="1:23" hidden="1" x14ac:dyDescent="0.3">
      <c r="A2568" s="48" t="s">
        <v>7554</v>
      </c>
      <c r="B2568" s="18" t="s">
        <v>7554</v>
      </c>
      <c r="C2568" s="47" t="s">
        <v>33</v>
      </c>
      <c r="D2568" s="48" t="s">
        <v>7929</v>
      </c>
      <c r="E2568" s="18" t="s">
        <v>7648</v>
      </c>
      <c r="F2568" s="20" t="str">
        <f t="shared" si="165"/>
        <v>Mirka - Mirka Abranet Ace 77mm PK50 P240</v>
      </c>
      <c r="G2568" s="20" t="s">
        <v>7746</v>
      </c>
      <c r="H2568" s="49" t="s">
        <v>213</v>
      </c>
      <c r="I2568" s="18" t="s">
        <v>37</v>
      </c>
      <c r="J2568" s="18" t="s">
        <v>38</v>
      </c>
      <c r="K2568" s="72" t="s">
        <v>39</v>
      </c>
      <c r="L2568" s="50"/>
      <c r="M2568" s="18" t="s">
        <v>214</v>
      </c>
      <c r="N2568" s="20">
        <v>3105</v>
      </c>
      <c r="P2568" s="16">
        <v>27.601199999999999</v>
      </c>
      <c r="Q2568" s="17" t="e">
        <f t="shared" si="162"/>
        <v>#DIV/0!</v>
      </c>
      <c r="S2568" s="16" t="e">
        <f>VLOOKUP(A2568,[4]Sales!$E:$G,3,FALSE)</f>
        <v>#N/A</v>
      </c>
      <c r="T2568" s="19" t="e">
        <f>VLOOKUP(A2568,[4]Volume!$E:$G,3,FALSE)</f>
        <v>#N/A</v>
      </c>
      <c r="U2568" s="19" t="e">
        <f>VLOOKUP(A2568,[4]Piece!$E:$G,3,FALSE)</f>
        <v>#N/A</v>
      </c>
      <c r="V2568" s="21" t="e">
        <f t="shared" si="163"/>
        <v>#N/A</v>
      </c>
      <c r="W2568" s="16" t="e">
        <f t="shared" si="164"/>
        <v>#N/A</v>
      </c>
    </row>
    <row r="2569" spans="1:23" hidden="1" x14ac:dyDescent="0.3">
      <c r="A2569" s="48" t="s">
        <v>7555</v>
      </c>
      <c r="B2569" s="18" t="s">
        <v>7555</v>
      </c>
      <c r="C2569" s="47" t="s">
        <v>33</v>
      </c>
      <c r="D2569" s="48" t="s">
        <v>7929</v>
      </c>
      <c r="E2569" s="18" t="s">
        <v>7649</v>
      </c>
      <c r="F2569" s="20" t="str">
        <f t="shared" si="165"/>
        <v>Mirka - Mirka Abranet ACE HD 125mm PK25 P40</v>
      </c>
      <c r="G2569" s="20" t="s">
        <v>7747</v>
      </c>
      <c r="H2569" s="49" t="s">
        <v>213</v>
      </c>
      <c r="I2569" s="18" t="s">
        <v>37</v>
      </c>
      <c r="J2569" s="18" t="s">
        <v>38</v>
      </c>
      <c r="K2569" s="72" t="s">
        <v>39</v>
      </c>
      <c r="L2569" s="50"/>
      <c r="M2569" s="18" t="s">
        <v>214</v>
      </c>
      <c r="N2569" s="20">
        <v>3105</v>
      </c>
      <c r="P2569" s="16">
        <v>23.409000000000002</v>
      </c>
      <c r="Q2569" s="17" t="e">
        <f t="shared" si="162"/>
        <v>#DIV/0!</v>
      </c>
      <c r="S2569" s="16" t="e">
        <f>VLOOKUP(A2569,[4]Sales!$E:$G,3,FALSE)</f>
        <v>#N/A</v>
      </c>
      <c r="T2569" s="19" t="e">
        <f>VLOOKUP(A2569,[4]Volume!$E:$G,3,FALSE)</f>
        <v>#N/A</v>
      </c>
      <c r="U2569" s="19" t="e">
        <f>VLOOKUP(A2569,[4]Piece!$E:$G,3,FALSE)</f>
        <v>#N/A</v>
      </c>
      <c r="V2569" s="21" t="e">
        <f t="shared" si="163"/>
        <v>#N/A</v>
      </c>
      <c r="W2569" s="16" t="e">
        <f t="shared" si="164"/>
        <v>#N/A</v>
      </c>
    </row>
    <row r="2570" spans="1:23" hidden="1" x14ac:dyDescent="0.3">
      <c r="A2570" s="48" t="s">
        <v>7556</v>
      </c>
      <c r="B2570" s="18" t="s">
        <v>7556</v>
      </c>
      <c r="C2570" s="47" t="s">
        <v>33</v>
      </c>
      <c r="D2570" s="48" t="s">
        <v>7929</v>
      </c>
      <c r="E2570" s="18" t="s">
        <v>7650</v>
      </c>
      <c r="F2570" s="20" t="str">
        <f t="shared" si="165"/>
        <v>Mirka - Mirka Abranet ACE HD 125mm PK25 P60</v>
      </c>
      <c r="G2570" s="20" t="s">
        <v>7748</v>
      </c>
      <c r="H2570" s="49" t="s">
        <v>213</v>
      </c>
      <c r="I2570" s="18" t="s">
        <v>37</v>
      </c>
      <c r="J2570" s="18" t="s">
        <v>38</v>
      </c>
      <c r="K2570" s="72" t="s">
        <v>39</v>
      </c>
      <c r="L2570" s="50"/>
      <c r="M2570" s="18" t="s">
        <v>214</v>
      </c>
      <c r="N2570" s="20">
        <v>3105</v>
      </c>
      <c r="P2570" s="16">
        <v>22.230899999999998</v>
      </c>
      <c r="Q2570" s="17" t="e">
        <f t="shared" si="162"/>
        <v>#DIV/0!</v>
      </c>
      <c r="S2570" s="16" t="e">
        <f>VLOOKUP(A2570,[4]Sales!$E:$G,3,FALSE)</f>
        <v>#N/A</v>
      </c>
      <c r="T2570" s="19" t="e">
        <f>VLOOKUP(A2570,[4]Volume!$E:$G,3,FALSE)</f>
        <v>#N/A</v>
      </c>
      <c r="U2570" s="19" t="e">
        <f>VLOOKUP(A2570,[4]Piece!$E:$G,3,FALSE)</f>
        <v>#N/A</v>
      </c>
      <c r="V2570" s="21" t="e">
        <f t="shared" si="163"/>
        <v>#N/A</v>
      </c>
      <c r="W2570" s="16" t="e">
        <f t="shared" si="164"/>
        <v>#N/A</v>
      </c>
    </row>
    <row r="2571" spans="1:23" hidden="1" x14ac:dyDescent="0.3">
      <c r="A2571" s="48" t="s">
        <v>7557</v>
      </c>
      <c r="B2571" s="18" t="s">
        <v>7557</v>
      </c>
      <c r="C2571" s="47" t="s">
        <v>33</v>
      </c>
      <c r="D2571" s="48" t="s">
        <v>7929</v>
      </c>
      <c r="E2571" s="18" t="s">
        <v>7651</v>
      </c>
      <c r="F2571" s="20" t="str">
        <f t="shared" si="165"/>
        <v>Mirka - Mirka Abranet ACE HD 125mm PK25 P80</v>
      </c>
      <c r="G2571" s="20" t="s">
        <v>7749</v>
      </c>
      <c r="H2571" s="49" t="s">
        <v>213</v>
      </c>
      <c r="I2571" s="18" t="s">
        <v>37</v>
      </c>
      <c r="J2571" s="18" t="s">
        <v>38</v>
      </c>
      <c r="K2571" s="72" t="s">
        <v>39</v>
      </c>
      <c r="L2571" s="50"/>
      <c r="M2571" s="18" t="s">
        <v>214</v>
      </c>
      <c r="N2571" s="20">
        <v>3105</v>
      </c>
      <c r="P2571" s="16">
        <v>21.068100000000001</v>
      </c>
      <c r="Q2571" s="17" t="e">
        <f t="shared" si="162"/>
        <v>#DIV/0!</v>
      </c>
      <c r="S2571" s="16" t="e">
        <f>VLOOKUP(A2571,[4]Sales!$E:$G,3,FALSE)</f>
        <v>#N/A</v>
      </c>
      <c r="T2571" s="19" t="e">
        <f>VLOOKUP(A2571,[4]Volume!$E:$G,3,FALSE)</f>
        <v>#N/A</v>
      </c>
      <c r="U2571" s="19" t="e">
        <f>VLOOKUP(A2571,[4]Piece!$E:$G,3,FALSE)</f>
        <v>#N/A</v>
      </c>
      <c r="V2571" s="21" t="e">
        <f t="shared" si="163"/>
        <v>#N/A</v>
      </c>
      <c r="W2571" s="16" t="e">
        <f t="shared" si="164"/>
        <v>#N/A</v>
      </c>
    </row>
    <row r="2572" spans="1:23" hidden="1" x14ac:dyDescent="0.3">
      <c r="A2572" s="48" t="s">
        <v>7558</v>
      </c>
      <c r="B2572" s="18" t="s">
        <v>7558</v>
      </c>
      <c r="C2572" s="47" t="s">
        <v>33</v>
      </c>
      <c r="D2572" s="48" t="s">
        <v>7929</v>
      </c>
      <c r="E2572" s="18" t="s">
        <v>7652</v>
      </c>
      <c r="F2572" s="20" t="str">
        <f t="shared" si="165"/>
        <v>Mirka - Mirka Abranet ACE HD 150mm PK25 P40</v>
      </c>
      <c r="G2572" s="20" t="s">
        <v>7750</v>
      </c>
      <c r="H2572" s="49" t="s">
        <v>213</v>
      </c>
      <c r="I2572" s="18" t="s">
        <v>37</v>
      </c>
      <c r="J2572" s="18" t="s">
        <v>38</v>
      </c>
      <c r="K2572" s="72" t="s">
        <v>39</v>
      </c>
      <c r="L2572" s="50"/>
      <c r="M2572" s="18" t="s">
        <v>214</v>
      </c>
      <c r="N2572" s="20">
        <v>3105</v>
      </c>
      <c r="P2572" s="16">
        <v>25.719299999999997</v>
      </c>
      <c r="Q2572" s="17" t="e">
        <f t="shared" si="162"/>
        <v>#DIV/0!</v>
      </c>
      <c r="S2572" s="16">
        <f>VLOOKUP(A2572,[4]Sales!$E:$G,3,FALSE)</f>
        <v>180.9</v>
      </c>
      <c r="T2572" s="19">
        <f>VLOOKUP(A2572,[4]Volume!$E:$G,3,FALSE)</f>
        <v>5</v>
      </c>
      <c r="U2572" s="19">
        <f>VLOOKUP(A2572,[4]Piece!$E:$G,3,FALSE)</f>
        <v>5</v>
      </c>
      <c r="V2572" s="21">
        <f t="shared" si="163"/>
        <v>128.59649999999999</v>
      </c>
      <c r="W2572" s="16">
        <f t="shared" si="164"/>
        <v>-52.303500000000014</v>
      </c>
    </row>
    <row r="2573" spans="1:23" hidden="1" x14ac:dyDescent="0.3">
      <c r="A2573" s="48" t="s">
        <v>7559</v>
      </c>
      <c r="B2573" s="18" t="s">
        <v>7559</v>
      </c>
      <c r="C2573" s="47" t="s">
        <v>33</v>
      </c>
      <c r="D2573" s="48" t="s">
        <v>7929</v>
      </c>
      <c r="E2573" s="18" t="s">
        <v>7653</v>
      </c>
      <c r="F2573" s="20" t="str">
        <f t="shared" si="165"/>
        <v>Mirka - Mirka Abranet ACE HD 150mm PK25 P60</v>
      </c>
      <c r="G2573" s="20" t="s">
        <v>7751</v>
      </c>
      <c r="H2573" s="49" t="s">
        <v>213</v>
      </c>
      <c r="I2573" s="18" t="s">
        <v>37</v>
      </c>
      <c r="J2573" s="18" t="s">
        <v>38</v>
      </c>
      <c r="K2573" s="72" t="s">
        <v>39</v>
      </c>
      <c r="L2573" s="50"/>
      <c r="M2573" s="18" t="s">
        <v>214</v>
      </c>
      <c r="N2573" s="20">
        <v>3105</v>
      </c>
      <c r="P2573" s="16">
        <v>24.5718</v>
      </c>
      <c r="Q2573" s="17" t="e">
        <f t="shared" si="162"/>
        <v>#DIV/0!</v>
      </c>
      <c r="S2573" s="16" t="e">
        <f>VLOOKUP(A2573,[4]Sales!$E:$G,3,FALSE)</f>
        <v>#N/A</v>
      </c>
      <c r="T2573" s="19" t="e">
        <f>VLOOKUP(A2573,[4]Volume!$E:$G,3,FALSE)</f>
        <v>#N/A</v>
      </c>
      <c r="U2573" s="19" t="e">
        <f>VLOOKUP(A2573,[4]Piece!$E:$G,3,FALSE)</f>
        <v>#N/A</v>
      </c>
      <c r="V2573" s="21" t="e">
        <f t="shared" si="163"/>
        <v>#N/A</v>
      </c>
      <c r="W2573" s="16" t="e">
        <f t="shared" si="164"/>
        <v>#N/A</v>
      </c>
    </row>
    <row r="2574" spans="1:23" hidden="1" x14ac:dyDescent="0.3">
      <c r="A2574" s="48" t="s">
        <v>7560</v>
      </c>
      <c r="B2574" s="18" t="s">
        <v>7560</v>
      </c>
      <c r="C2574" s="47" t="s">
        <v>33</v>
      </c>
      <c r="D2574" s="48" t="s">
        <v>7929</v>
      </c>
      <c r="E2574" s="18" t="s">
        <v>7654</v>
      </c>
      <c r="F2574" s="20" t="str">
        <f t="shared" si="165"/>
        <v>Mirka - Mirka Abranet ACE HD 150mm PK25 P80</v>
      </c>
      <c r="G2574" s="20" t="s">
        <v>7752</v>
      </c>
      <c r="H2574" s="49" t="s">
        <v>213</v>
      </c>
      <c r="I2574" s="18" t="s">
        <v>37</v>
      </c>
      <c r="J2574" s="18" t="s">
        <v>38</v>
      </c>
      <c r="K2574" s="72" t="s">
        <v>39</v>
      </c>
      <c r="L2574" s="50"/>
      <c r="M2574" s="18" t="s">
        <v>214</v>
      </c>
      <c r="N2574" s="20">
        <v>3105</v>
      </c>
      <c r="P2574" s="16">
        <v>23.409000000000002</v>
      </c>
      <c r="Q2574" s="17" t="e">
        <f t="shared" si="162"/>
        <v>#DIV/0!</v>
      </c>
      <c r="S2574" s="16" t="e">
        <f>VLOOKUP(A2574,[4]Sales!$E:$G,3,FALSE)</f>
        <v>#N/A</v>
      </c>
      <c r="T2574" s="19" t="e">
        <f>VLOOKUP(A2574,[4]Volume!$E:$G,3,FALSE)</f>
        <v>#N/A</v>
      </c>
      <c r="U2574" s="19" t="e">
        <f>VLOOKUP(A2574,[4]Piece!$E:$G,3,FALSE)</f>
        <v>#N/A</v>
      </c>
      <c r="V2574" s="21" t="e">
        <f t="shared" si="163"/>
        <v>#N/A</v>
      </c>
      <c r="W2574" s="16" t="e">
        <f t="shared" si="164"/>
        <v>#N/A</v>
      </c>
    </row>
    <row r="2575" spans="1:23" hidden="1" x14ac:dyDescent="0.3">
      <c r="A2575" s="48" t="s">
        <v>7561</v>
      </c>
      <c r="B2575" s="18" t="s">
        <v>7561</v>
      </c>
      <c r="C2575" s="47" t="s">
        <v>33</v>
      </c>
      <c r="D2575" s="48" t="s">
        <v>7929</v>
      </c>
      <c r="E2575" s="18" t="s">
        <v>7655</v>
      </c>
      <c r="F2575" s="20" t="str">
        <f t="shared" si="165"/>
        <v>Mirka - Mirka Abranet 70x198mm PK10 P80</v>
      </c>
      <c r="G2575" s="20" t="s">
        <v>7753</v>
      </c>
      <c r="H2575" s="49" t="s">
        <v>213</v>
      </c>
      <c r="I2575" s="18" t="s">
        <v>37</v>
      </c>
      <c r="J2575" s="18" t="s">
        <v>38</v>
      </c>
      <c r="K2575" s="72" t="s">
        <v>39</v>
      </c>
      <c r="L2575" s="50"/>
      <c r="M2575" s="18" t="s">
        <v>214</v>
      </c>
      <c r="N2575" s="20">
        <v>3105</v>
      </c>
      <c r="P2575" s="16">
        <v>7.6653000000000002</v>
      </c>
      <c r="Q2575" s="17" t="e">
        <f t="shared" si="162"/>
        <v>#DIV/0!</v>
      </c>
      <c r="S2575" s="16" t="e">
        <f>VLOOKUP(A2575,[4]Sales!$E:$G,3,FALSE)</f>
        <v>#N/A</v>
      </c>
      <c r="T2575" s="19" t="e">
        <f>VLOOKUP(A2575,[4]Volume!$E:$G,3,FALSE)</f>
        <v>#N/A</v>
      </c>
      <c r="U2575" s="19" t="e">
        <f>VLOOKUP(A2575,[4]Piece!$E:$G,3,FALSE)</f>
        <v>#N/A</v>
      </c>
      <c r="V2575" s="21" t="e">
        <f t="shared" si="163"/>
        <v>#N/A</v>
      </c>
      <c r="W2575" s="16" t="e">
        <f t="shared" si="164"/>
        <v>#N/A</v>
      </c>
    </row>
    <row r="2576" spans="1:23" hidden="1" x14ac:dyDescent="0.3">
      <c r="A2576" s="48" t="s">
        <v>7562</v>
      </c>
      <c r="B2576" s="18" t="s">
        <v>7562</v>
      </c>
      <c r="C2576" s="47" t="s">
        <v>33</v>
      </c>
      <c r="D2576" s="48" t="s">
        <v>7929</v>
      </c>
      <c r="E2576" s="18" t="s">
        <v>7656</v>
      </c>
      <c r="F2576" s="20" t="str">
        <f t="shared" si="165"/>
        <v>Mirka - Mirka Abranet 70x198mm PK10 P120</v>
      </c>
      <c r="G2576" s="20" t="s">
        <v>7754</v>
      </c>
      <c r="H2576" s="49" t="s">
        <v>213</v>
      </c>
      <c r="I2576" s="18" t="s">
        <v>37</v>
      </c>
      <c r="J2576" s="18" t="s">
        <v>38</v>
      </c>
      <c r="K2576" s="72" t="s">
        <v>39</v>
      </c>
      <c r="L2576" s="50"/>
      <c r="M2576" s="18" t="s">
        <v>214</v>
      </c>
      <c r="N2576" s="20">
        <v>3105</v>
      </c>
      <c r="P2576" s="16">
        <v>6.8849999999999998</v>
      </c>
      <c r="Q2576" s="17" t="e">
        <f t="shared" si="162"/>
        <v>#DIV/0!</v>
      </c>
      <c r="S2576" s="16">
        <f>VLOOKUP(A2576,[4]Sales!$E:$G,3,FALSE)</f>
        <v>16.27</v>
      </c>
      <c r="T2576" s="19">
        <f>VLOOKUP(A2576,[4]Volume!$E:$G,3,FALSE)</f>
        <v>1</v>
      </c>
      <c r="U2576" s="19">
        <f>VLOOKUP(A2576,[4]Piece!$E:$G,3,FALSE)</f>
        <v>1</v>
      </c>
      <c r="V2576" s="21">
        <f t="shared" si="163"/>
        <v>6.8849999999999998</v>
      </c>
      <c r="W2576" s="16">
        <f t="shared" si="164"/>
        <v>-9.3849999999999998</v>
      </c>
    </row>
    <row r="2577" spans="1:23" hidden="1" x14ac:dyDescent="0.3">
      <c r="A2577" s="48" t="s">
        <v>7563</v>
      </c>
      <c r="B2577" s="18" t="s">
        <v>7563</v>
      </c>
      <c r="C2577" s="47" t="s">
        <v>33</v>
      </c>
      <c r="D2577" s="48" t="s">
        <v>7929</v>
      </c>
      <c r="E2577" s="18" t="s">
        <v>7657</v>
      </c>
      <c r="F2577" s="20" t="str">
        <f t="shared" si="165"/>
        <v>Mirka - Mirka Abranet 70x198mm PK10 P180</v>
      </c>
      <c r="G2577" s="20" t="s">
        <v>7755</v>
      </c>
      <c r="H2577" s="49" t="s">
        <v>213</v>
      </c>
      <c r="I2577" s="18" t="s">
        <v>37</v>
      </c>
      <c r="J2577" s="18" t="s">
        <v>38</v>
      </c>
      <c r="K2577" s="72" t="s">
        <v>39</v>
      </c>
      <c r="L2577" s="50"/>
      <c r="M2577" s="18" t="s">
        <v>214</v>
      </c>
      <c r="N2577" s="20">
        <v>3105</v>
      </c>
      <c r="P2577" s="16">
        <v>6.8849999999999998</v>
      </c>
      <c r="Q2577" s="17" t="e">
        <f t="shared" si="162"/>
        <v>#DIV/0!</v>
      </c>
      <c r="S2577" s="16" t="e">
        <f>VLOOKUP(A2577,[4]Sales!$E:$G,3,FALSE)</f>
        <v>#N/A</v>
      </c>
      <c r="T2577" s="19" t="e">
        <f>VLOOKUP(A2577,[4]Volume!$E:$G,3,FALSE)</f>
        <v>#N/A</v>
      </c>
      <c r="U2577" s="19" t="e">
        <f>VLOOKUP(A2577,[4]Piece!$E:$G,3,FALSE)</f>
        <v>#N/A</v>
      </c>
      <c r="V2577" s="21" t="e">
        <f t="shared" si="163"/>
        <v>#N/A</v>
      </c>
      <c r="W2577" s="16" t="e">
        <f t="shared" si="164"/>
        <v>#N/A</v>
      </c>
    </row>
    <row r="2578" spans="1:23" hidden="1" x14ac:dyDescent="0.3">
      <c r="A2578" s="48" t="s">
        <v>7564</v>
      </c>
      <c r="B2578" s="18" t="s">
        <v>7564</v>
      </c>
      <c r="C2578" s="47" t="s">
        <v>33</v>
      </c>
      <c r="D2578" s="48" t="s">
        <v>7929</v>
      </c>
      <c r="E2578" s="18" t="s">
        <v>7658</v>
      </c>
      <c r="F2578" s="20" t="str">
        <f t="shared" si="165"/>
        <v>Mirka - Mirka Abranet 70x198mm PK10 P240</v>
      </c>
      <c r="G2578" s="20" t="s">
        <v>7756</v>
      </c>
      <c r="H2578" s="49" t="s">
        <v>213</v>
      </c>
      <c r="I2578" s="18" t="s">
        <v>37</v>
      </c>
      <c r="J2578" s="18" t="s">
        <v>38</v>
      </c>
      <c r="K2578" s="72" t="s">
        <v>39</v>
      </c>
      <c r="L2578" s="50"/>
      <c r="M2578" s="18" t="s">
        <v>214</v>
      </c>
      <c r="N2578" s="20">
        <v>3105</v>
      </c>
      <c r="P2578" s="16">
        <v>7.6653000000000002</v>
      </c>
      <c r="Q2578" s="17" t="e">
        <f t="shared" si="162"/>
        <v>#DIV/0!</v>
      </c>
      <c r="S2578" s="16" t="e">
        <f>VLOOKUP(A2578,[4]Sales!$E:$G,3,FALSE)</f>
        <v>#N/A</v>
      </c>
      <c r="T2578" s="19" t="e">
        <f>VLOOKUP(A2578,[4]Volume!$E:$G,3,FALSE)</f>
        <v>#N/A</v>
      </c>
      <c r="U2578" s="19" t="e">
        <f>VLOOKUP(A2578,[4]Piece!$E:$G,3,FALSE)</f>
        <v>#N/A</v>
      </c>
      <c r="V2578" s="21" t="e">
        <f t="shared" si="163"/>
        <v>#N/A</v>
      </c>
      <c r="W2578" s="16" t="e">
        <f t="shared" si="164"/>
        <v>#N/A</v>
      </c>
    </row>
    <row r="2579" spans="1:23" hidden="1" x14ac:dyDescent="0.3">
      <c r="A2579" s="48" t="s">
        <v>7565</v>
      </c>
      <c r="B2579" s="18" t="s">
        <v>7565</v>
      </c>
      <c r="C2579" s="47" t="s">
        <v>33</v>
      </c>
      <c r="D2579" s="48" t="s">
        <v>7929</v>
      </c>
      <c r="E2579" s="18" t="s">
        <v>7659</v>
      </c>
      <c r="F2579" s="20" t="str">
        <f t="shared" si="165"/>
        <v>Mirka - Mirka Abranet 80x230mm PK50 P80</v>
      </c>
      <c r="G2579" s="20" t="s">
        <v>7757</v>
      </c>
      <c r="H2579" s="49" t="s">
        <v>213</v>
      </c>
      <c r="I2579" s="18" t="s">
        <v>37</v>
      </c>
      <c r="J2579" s="18" t="s">
        <v>38</v>
      </c>
      <c r="K2579" s="72" t="s">
        <v>39</v>
      </c>
      <c r="L2579" s="50"/>
      <c r="M2579" s="18" t="s">
        <v>214</v>
      </c>
      <c r="N2579" s="20">
        <v>3105</v>
      </c>
      <c r="P2579" s="16">
        <v>46.802700000000002</v>
      </c>
      <c r="Q2579" s="17" t="e">
        <f t="shared" si="162"/>
        <v>#DIV/0!</v>
      </c>
      <c r="S2579" s="16" t="e">
        <f>VLOOKUP(A2579,[4]Sales!$E:$G,3,FALSE)</f>
        <v>#N/A</v>
      </c>
      <c r="T2579" s="19" t="e">
        <f>VLOOKUP(A2579,[4]Volume!$E:$G,3,FALSE)</f>
        <v>#N/A</v>
      </c>
      <c r="U2579" s="19" t="e">
        <f>VLOOKUP(A2579,[4]Piece!$E:$G,3,FALSE)</f>
        <v>#N/A</v>
      </c>
      <c r="V2579" s="21" t="e">
        <f t="shared" si="163"/>
        <v>#N/A</v>
      </c>
      <c r="W2579" s="16" t="e">
        <f t="shared" si="164"/>
        <v>#N/A</v>
      </c>
    </row>
    <row r="2580" spans="1:23" hidden="1" x14ac:dyDescent="0.3">
      <c r="A2580" s="48" t="s">
        <v>7566</v>
      </c>
      <c r="B2580" s="18" t="s">
        <v>7566</v>
      </c>
      <c r="C2580" s="47" t="s">
        <v>33</v>
      </c>
      <c r="D2580" s="48" t="s">
        <v>7929</v>
      </c>
      <c r="E2580" s="18" t="s">
        <v>7660</v>
      </c>
      <c r="F2580" s="20" t="str">
        <f t="shared" si="165"/>
        <v>Mirka - Mirka Abranet 80x230mm PK50 P180</v>
      </c>
      <c r="G2580" s="20" t="s">
        <v>7758</v>
      </c>
      <c r="H2580" s="49" t="s">
        <v>213</v>
      </c>
      <c r="I2580" s="18" t="s">
        <v>37</v>
      </c>
      <c r="J2580" s="18" t="s">
        <v>38</v>
      </c>
      <c r="K2580" s="72" t="s">
        <v>39</v>
      </c>
      <c r="L2580" s="50"/>
      <c r="M2580" s="18" t="s">
        <v>214</v>
      </c>
      <c r="N2580" s="20">
        <v>3105</v>
      </c>
      <c r="P2580" s="16">
        <v>41.799599999999998</v>
      </c>
      <c r="Q2580" s="17" t="e">
        <f t="shared" si="162"/>
        <v>#DIV/0!</v>
      </c>
      <c r="S2580" s="16" t="e">
        <f>VLOOKUP(A2580,[4]Sales!$E:$G,3,FALSE)</f>
        <v>#N/A</v>
      </c>
      <c r="T2580" s="19" t="e">
        <f>VLOOKUP(A2580,[4]Volume!$E:$G,3,FALSE)</f>
        <v>#N/A</v>
      </c>
      <c r="U2580" s="19" t="e">
        <f>VLOOKUP(A2580,[4]Piece!$E:$G,3,FALSE)</f>
        <v>#N/A</v>
      </c>
      <c r="V2580" s="21" t="e">
        <f t="shared" si="163"/>
        <v>#N/A</v>
      </c>
      <c r="W2580" s="16" t="e">
        <f t="shared" si="164"/>
        <v>#N/A</v>
      </c>
    </row>
    <row r="2581" spans="1:23" hidden="1" x14ac:dyDescent="0.3">
      <c r="A2581" s="48" t="s">
        <v>7567</v>
      </c>
      <c r="B2581" s="18" t="s">
        <v>7567</v>
      </c>
      <c r="C2581" s="47" t="s">
        <v>33</v>
      </c>
      <c r="D2581" s="48" t="s">
        <v>7929</v>
      </c>
      <c r="E2581" s="18" t="s">
        <v>7661</v>
      </c>
      <c r="F2581" s="20" t="str">
        <f t="shared" si="165"/>
        <v>Mirka - Mirka Abranet ACE HD 81x133mm PK25 P40</v>
      </c>
      <c r="G2581" s="20" t="s">
        <v>7759</v>
      </c>
      <c r="H2581" s="49" t="s">
        <v>213</v>
      </c>
      <c r="I2581" s="18" t="s">
        <v>37</v>
      </c>
      <c r="J2581" s="18" t="s">
        <v>38</v>
      </c>
      <c r="K2581" s="72" t="s">
        <v>39</v>
      </c>
      <c r="L2581" s="50"/>
      <c r="M2581" s="18" t="s">
        <v>214</v>
      </c>
      <c r="N2581" s="20">
        <v>3105</v>
      </c>
      <c r="P2581" s="16">
        <v>19.9665</v>
      </c>
      <c r="Q2581" s="17" t="e">
        <f t="shared" si="162"/>
        <v>#DIV/0!</v>
      </c>
      <c r="S2581" s="16" t="e">
        <f>VLOOKUP(A2581,[4]Sales!$E:$G,3,FALSE)</f>
        <v>#N/A</v>
      </c>
      <c r="T2581" s="19" t="e">
        <f>VLOOKUP(A2581,[4]Volume!$E:$G,3,FALSE)</f>
        <v>#N/A</v>
      </c>
      <c r="U2581" s="19" t="e">
        <f>VLOOKUP(A2581,[4]Piece!$E:$G,3,FALSE)</f>
        <v>#N/A</v>
      </c>
      <c r="V2581" s="21" t="e">
        <f t="shared" si="163"/>
        <v>#N/A</v>
      </c>
      <c r="W2581" s="16" t="e">
        <f t="shared" si="164"/>
        <v>#N/A</v>
      </c>
    </row>
    <row r="2582" spans="1:23" hidden="1" x14ac:dyDescent="0.3">
      <c r="A2582" s="48" t="s">
        <v>7568</v>
      </c>
      <c r="B2582" s="18" t="s">
        <v>7568</v>
      </c>
      <c r="C2582" s="47" t="s">
        <v>33</v>
      </c>
      <c r="D2582" s="48" t="s">
        <v>7929</v>
      </c>
      <c r="E2582" s="18" t="s">
        <v>7662</v>
      </c>
      <c r="F2582" s="20" t="str">
        <f t="shared" si="165"/>
        <v>Mirka - Mirka Abranet ACE HD 81x133mm PK25 P60</v>
      </c>
      <c r="G2582" s="20" t="s">
        <v>7760</v>
      </c>
      <c r="H2582" s="49" t="s">
        <v>213</v>
      </c>
      <c r="I2582" s="18" t="s">
        <v>37</v>
      </c>
      <c r="J2582" s="18" t="s">
        <v>38</v>
      </c>
      <c r="K2582" s="72" t="s">
        <v>39</v>
      </c>
      <c r="L2582" s="50"/>
      <c r="M2582" s="18" t="s">
        <v>214</v>
      </c>
      <c r="N2582" s="20">
        <v>3105</v>
      </c>
      <c r="P2582" s="16">
        <v>18.7425</v>
      </c>
      <c r="Q2582" s="17" t="e">
        <f t="shared" si="162"/>
        <v>#DIV/0!</v>
      </c>
      <c r="S2582" s="16" t="e">
        <f>VLOOKUP(A2582,[4]Sales!$E:$G,3,FALSE)</f>
        <v>#N/A</v>
      </c>
      <c r="T2582" s="19" t="e">
        <f>VLOOKUP(A2582,[4]Volume!$E:$G,3,FALSE)</f>
        <v>#N/A</v>
      </c>
      <c r="U2582" s="19" t="e">
        <f>VLOOKUP(A2582,[4]Piece!$E:$G,3,FALSE)</f>
        <v>#N/A</v>
      </c>
      <c r="V2582" s="21" t="e">
        <f t="shared" si="163"/>
        <v>#N/A</v>
      </c>
      <c r="W2582" s="16" t="e">
        <f t="shared" si="164"/>
        <v>#N/A</v>
      </c>
    </row>
    <row r="2583" spans="1:23" hidden="1" x14ac:dyDescent="0.3">
      <c r="A2583" s="48" t="s">
        <v>7569</v>
      </c>
      <c r="B2583" s="18" t="s">
        <v>7569</v>
      </c>
      <c r="C2583" s="47" t="s">
        <v>33</v>
      </c>
      <c r="D2583" s="48" t="s">
        <v>7929</v>
      </c>
      <c r="E2583" s="18" t="s">
        <v>7663</v>
      </c>
      <c r="F2583" s="20" t="str">
        <f t="shared" si="165"/>
        <v>Mirka - Mirka Abranet 152x152x100mm PK10 P240</v>
      </c>
      <c r="G2583" s="20" t="s">
        <v>7761</v>
      </c>
      <c r="H2583" s="49" t="s">
        <v>213</v>
      </c>
      <c r="I2583" s="18" t="s">
        <v>37</v>
      </c>
      <c r="J2583" s="18" t="s">
        <v>38</v>
      </c>
      <c r="K2583" s="72" t="s">
        <v>39</v>
      </c>
      <c r="L2583" s="50"/>
      <c r="M2583" s="18" t="s">
        <v>214</v>
      </c>
      <c r="N2583" s="20">
        <v>3105</v>
      </c>
      <c r="P2583" s="16">
        <v>11.582100000000001</v>
      </c>
      <c r="Q2583" s="17" t="e">
        <f t="shared" si="162"/>
        <v>#DIV/0!</v>
      </c>
      <c r="S2583" s="16" t="e">
        <f>VLOOKUP(A2583,[4]Sales!$E:$G,3,FALSE)</f>
        <v>#N/A</v>
      </c>
      <c r="T2583" s="19" t="e">
        <f>VLOOKUP(A2583,[4]Volume!$E:$G,3,FALSE)</f>
        <v>#N/A</v>
      </c>
      <c r="U2583" s="19" t="e">
        <f>VLOOKUP(A2583,[4]Piece!$E:$G,3,FALSE)</f>
        <v>#N/A</v>
      </c>
      <c r="V2583" s="21" t="e">
        <f t="shared" si="163"/>
        <v>#N/A</v>
      </c>
      <c r="W2583" s="16" t="e">
        <f t="shared" si="164"/>
        <v>#N/A</v>
      </c>
    </row>
    <row r="2584" spans="1:23" hidden="1" x14ac:dyDescent="0.3">
      <c r="A2584" s="48" t="s">
        <v>7570</v>
      </c>
      <c r="B2584" s="18" t="s">
        <v>7570</v>
      </c>
      <c r="C2584" s="47" t="s">
        <v>33</v>
      </c>
      <c r="D2584" s="48" t="s">
        <v>7929</v>
      </c>
      <c r="E2584" s="18" t="s">
        <v>7664</v>
      </c>
      <c r="F2584" s="20" t="str">
        <f t="shared" si="165"/>
        <v>Mirka - Mirka Abranet Ace HD 152x152x100mm PK5 P40</v>
      </c>
      <c r="G2584" s="20" t="s">
        <v>7762</v>
      </c>
      <c r="H2584" s="49" t="s">
        <v>213</v>
      </c>
      <c r="I2584" s="18" t="s">
        <v>37</v>
      </c>
      <c r="J2584" s="18" t="s">
        <v>38</v>
      </c>
      <c r="K2584" s="72" t="s">
        <v>39</v>
      </c>
      <c r="L2584" s="50"/>
      <c r="M2584" s="18" t="s">
        <v>214</v>
      </c>
      <c r="N2584" s="20">
        <v>3105</v>
      </c>
      <c r="P2584" s="16">
        <v>7.7264999999999997</v>
      </c>
      <c r="Q2584" s="17" t="e">
        <f t="shared" si="162"/>
        <v>#DIV/0!</v>
      </c>
      <c r="S2584" s="16" t="e">
        <f>VLOOKUP(A2584,[4]Sales!$E:$G,3,FALSE)</f>
        <v>#N/A</v>
      </c>
      <c r="T2584" s="19" t="e">
        <f>VLOOKUP(A2584,[4]Volume!$E:$G,3,FALSE)</f>
        <v>#N/A</v>
      </c>
      <c r="U2584" s="19" t="e">
        <f>VLOOKUP(A2584,[4]Piece!$E:$G,3,FALSE)</f>
        <v>#N/A</v>
      </c>
      <c r="V2584" s="21" t="e">
        <f t="shared" si="163"/>
        <v>#N/A</v>
      </c>
      <c r="W2584" s="16" t="e">
        <f t="shared" si="164"/>
        <v>#N/A</v>
      </c>
    </row>
    <row r="2585" spans="1:23" hidden="1" x14ac:dyDescent="0.3">
      <c r="A2585" s="48" t="s">
        <v>7571</v>
      </c>
      <c r="B2585" s="18" t="s">
        <v>7571</v>
      </c>
      <c r="C2585" s="47" t="s">
        <v>33</v>
      </c>
      <c r="D2585" s="48" t="s">
        <v>7929</v>
      </c>
      <c r="E2585" s="18" t="s">
        <v>7665</v>
      </c>
      <c r="F2585" s="20" t="str">
        <f t="shared" si="165"/>
        <v>Mirka - Mirka Abranet Ace HD 152x152x100mm PK5 P60</v>
      </c>
      <c r="G2585" s="20" t="s">
        <v>7763</v>
      </c>
      <c r="H2585" s="49" t="s">
        <v>213</v>
      </c>
      <c r="I2585" s="18" t="s">
        <v>37</v>
      </c>
      <c r="J2585" s="18" t="s">
        <v>38</v>
      </c>
      <c r="K2585" s="72" t="s">
        <v>39</v>
      </c>
      <c r="L2585" s="50"/>
      <c r="M2585" s="18" t="s">
        <v>214</v>
      </c>
      <c r="N2585" s="20">
        <v>3105</v>
      </c>
      <c r="P2585" s="16">
        <v>7.7264999999999997</v>
      </c>
      <c r="Q2585" s="17" t="e">
        <f t="shared" si="162"/>
        <v>#DIV/0!</v>
      </c>
      <c r="S2585" s="16" t="e">
        <f>VLOOKUP(A2585,[4]Sales!$E:$G,3,FALSE)</f>
        <v>#N/A</v>
      </c>
      <c r="T2585" s="19" t="e">
        <f>VLOOKUP(A2585,[4]Volume!$E:$G,3,FALSE)</f>
        <v>#N/A</v>
      </c>
      <c r="U2585" s="19" t="e">
        <f>VLOOKUP(A2585,[4]Piece!$E:$G,3,FALSE)</f>
        <v>#N/A</v>
      </c>
      <c r="V2585" s="21" t="e">
        <f t="shared" si="163"/>
        <v>#N/A</v>
      </c>
      <c r="W2585" s="16" t="e">
        <f t="shared" si="164"/>
        <v>#N/A</v>
      </c>
    </row>
    <row r="2586" spans="1:23" hidden="1" x14ac:dyDescent="0.3">
      <c r="A2586" s="48" t="s">
        <v>7572</v>
      </c>
      <c r="B2586" s="18" t="s">
        <v>7572</v>
      </c>
      <c r="C2586" s="47" t="s">
        <v>33</v>
      </c>
      <c r="D2586" s="48" t="s">
        <v>7929</v>
      </c>
      <c r="E2586" s="18" t="s">
        <v>7936</v>
      </c>
      <c r="F2586" s="20" t="str">
        <f t="shared" si="165"/>
        <v>Mirka - Abranet Ace HD 152x152x100mm PK25 P60</v>
      </c>
      <c r="G2586" s="20" t="s">
        <v>7764</v>
      </c>
      <c r="H2586" s="49" t="s">
        <v>213</v>
      </c>
      <c r="I2586" s="18" t="s">
        <v>37</v>
      </c>
      <c r="J2586" s="18" t="s">
        <v>38</v>
      </c>
      <c r="K2586" s="72" t="s">
        <v>39</v>
      </c>
      <c r="L2586" s="50"/>
      <c r="M2586" s="18" t="s">
        <v>214</v>
      </c>
      <c r="N2586" s="20">
        <v>3105</v>
      </c>
      <c r="P2586" s="16">
        <v>25.474499999999999</v>
      </c>
      <c r="Q2586" s="17" t="e">
        <f t="shared" si="162"/>
        <v>#DIV/0!</v>
      </c>
      <c r="S2586" s="16" t="e">
        <f>VLOOKUP(A2586,[4]Sales!$E:$G,3,FALSE)</f>
        <v>#N/A</v>
      </c>
      <c r="T2586" s="19" t="e">
        <f>VLOOKUP(A2586,[4]Volume!$E:$G,3,FALSE)</f>
        <v>#N/A</v>
      </c>
      <c r="U2586" s="19" t="e">
        <f>VLOOKUP(A2586,[4]Piece!$E:$G,3,FALSE)</f>
        <v>#N/A</v>
      </c>
      <c r="V2586" s="21" t="e">
        <f t="shared" si="163"/>
        <v>#N/A</v>
      </c>
      <c r="W2586" s="16" t="e">
        <f t="shared" si="164"/>
        <v>#N/A</v>
      </c>
    </row>
    <row r="2587" spans="1:23" hidden="1" x14ac:dyDescent="0.3">
      <c r="A2587" s="48" t="s">
        <v>7573</v>
      </c>
      <c r="B2587" s="18" t="s">
        <v>7573</v>
      </c>
      <c r="C2587" s="47" t="s">
        <v>33</v>
      </c>
      <c r="D2587" s="48" t="s">
        <v>7929</v>
      </c>
      <c r="E2587" s="18" t="s">
        <v>7666</v>
      </c>
      <c r="F2587" s="20" t="str">
        <f t="shared" si="165"/>
        <v>Mirka - Mirka Iridium 36H 152x152x100mm PK50 80</v>
      </c>
      <c r="G2587" s="20" t="s">
        <v>7765</v>
      </c>
      <c r="H2587" s="49" t="s">
        <v>213</v>
      </c>
      <c r="I2587" s="18" t="s">
        <v>37</v>
      </c>
      <c r="J2587" s="18" t="s">
        <v>38</v>
      </c>
      <c r="K2587" s="72" t="s">
        <v>39</v>
      </c>
      <c r="L2587" s="50"/>
      <c r="M2587" s="18" t="s">
        <v>214</v>
      </c>
      <c r="N2587" s="20">
        <v>3105</v>
      </c>
      <c r="P2587" s="16">
        <v>27.188099999999999</v>
      </c>
      <c r="Q2587" s="17" t="e">
        <f t="shared" si="162"/>
        <v>#DIV/0!</v>
      </c>
      <c r="S2587" s="16" t="e">
        <f>VLOOKUP(A2587,[4]Sales!$E:$G,3,FALSE)</f>
        <v>#N/A</v>
      </c>
      <c r="T2587" s="19" t="e">
        <f>VLOOKUP(A2587,[4]Volume!$E:$G,3,FALSE)</f>
        <v>#N/A</v>
      </c>
      <c r="U2587" s="19" t="e">
        <f>VLOOKUP(A2587,[4]Piece!$E:$G,3,FALSE)</f>
        <v>#N/A</v>
      </c>
      <c r="V2587" s="21" t="e">
        <f t="shared" si="163"/>
        <v>#N/A</v>
      </c>
      <c r="W2587" s="16" t="e">
        <f t="shared" si="164"/>
        <v>#N/A</v>
      </c>
    </row>
    <row r="2588" spans="1:23" hidden="1" x14ac:dyDescent="0.3">
      <c r="A2588" s="48" t="s">
        <v>7574</v>
      </c>
      <c r="B2588" s="18" t="s">
        <v>7574</v>
      </c>
      <c r="C2588" s="47" t="s">
        <v>33</v>
      </c>
      <c r="D2588" s="48" t="s">
        <v>7929</v>
      </c>
      <c r="E2588" s="18" t="s">
        <v>7667</v>
      </c>
      <c r="F2588" s="20" t="str">
        <f t="shared" si="165"/>
        <v>Mirka - Mirka Abranet 115mm x 10m P80</v>
      </c>
      <c r="G2588" s="20" t="s">
        <v>7766</v>
      </c>
      <c r="H2588" s="49" t="s">
        <v>213</v>
      </c>
      <c r="I2588" s="18" t="s">
        <v>37</v>
      </c>
      <c r="J2588" s="18" t="s">
        <v>38</v>
      </c>
      <c r="K2588" s="72" t="s">
        <v>39</v>
      </c>
      <c r="L2588" s="50"/>
      <c r="M2588" s="18" t="s">
        <v>214</v>
      </c>
      <c r="N2588" s="20">
        <v>3105</v>
      </c>
      <c r="P2588" s="16">
        <v>48.41</v>
      </c>
      <c r="Q2588" s="17" t="e">
        <f t="shared" si="162"/>
        <v>#DIV/0!</v>
      </c>
      <c r="S2588" s="16" t="e">
        <f>VLOOKUP(A2588,[4]Sales!$E:$G,3,FALSE)</f>
        <v>#N/A</v>
      </c>
      <c r="T2588" s="19" t="e">
        <f>VLOOKUP(A2588,[4]Volume!$E:$G,3,FALSE)</f>
        <v>#N/A</v>
      </c>
      <c r="U2588" s="19" t="e">
        <f>VLOOKUP(A2588,[4]Piece!$E:$G,3,FALSE)</f>
        <v>#N/A</v>
      </c>
      <c r="V2588" s="21" t="e">
        <f t="shared" si="163"/>
        <v>#N/A</v>
      </c>
      <c r="W2588" s="16" t="e">
        <f t="shared" si="164"/>
        <v>#N/A</v>
      </c>
    </row>
    <row r="2589" spans="1:23" hidden="1" x14ac:dyDescent="0.3">
      <c r="A2589" s="48" t="s">
        <v>7575</v>
      </c>
      <c r="B2589" s="18" t="s">
        <v>7575</v>
      </c>
      <c r="C2589" s="47" t="s">
        <v>33</v>
      </c>
      <c r="D2589" s="48" t="s">
        <v>7929</v>
      </c>
      <c r="E2589" s="18" t="s">
        <v>7668</v>
      </c>
      <c r="F2589" s="20" t="str">
        <f t="shared" si="165"/>
        <v>Mirka - Mirka Abranet 115mm x 10m P120</v>
      </c>
      <c r="G2589" s="20" t="s">
        <v>7767</v>
      </c>
      <c r="H2589" s="49" t="s">
        <v>213</v>
      </c>
      <c r="I2589" s="18" t="s">
        <v>37</v>
      </c>
      <c r="J2589" s="18" t="s">
        <v>38</v>
      </c>
      <c r="K2589" s="72" t="s">
        <v>39</v>
      </c>
      <c r="L2589" s="50"/>
      <c r="M2589" s="18" t="s">
        <v>214</v>
      </c>
      <c r="N2589" s="20">
        <v>3105</v>
      </c>
      <c r="P2589" s="16">
        <v>48.41</v>
      </c>
      <c r="Q2589" s="17" t="e">
        <f t="shared" si="162"/>
        <v>#DIV/0!</v>
      </c>
      <c r="S2589" s="16" t="e">
        <f>VLOOKUP(A2589,[4]Sales!$E:$G,3,FALSE)</f>
        <v>#N/A</v>
      </c>
      <c r="T2589" s="19" t="e">
        <f>VLOOKUP(A2589,[4]Volume!$E:$G,3,FALSE)</f>
        <v>#N/A</v>
      </c>
      <c r="U2589" s="19" t="e">
        <f>VLOOKUP(A2589,[4]Piece!$E:$G,3,FALSE)</f>
        <v>#N/A</v>
      </c>
      <c r="V2589" s="21" t="e">
        <f t="shared" si="163"/>
        <v>#N/A</v>
      </c>
      <c r="W2589" s="16" t="e">
        <f t="shared" si="164"/>
        <v>#N/A</v>
      </c>
    </row>
    <row r="2590" spans="1:23" hidden="1" x14ac:dyDescent="0.3">
      <c r="A2590" s="48" t="s">
        <v>7576</v>
      </c>
      <c r="B2590" s="18" t="s">
        <v>7576</v>
      </c>
      <c r="C2590" s="47" t="s">
        <v>33</v>
      </c>
      <c r="D2590" s="48" t="s">
        <v>7929</v>
      </c>
      <c r="E2590" s="18" t="s">
        <v>7669</v>
      </c>
      <c r="F2590" s="20" t="str">
        <f t="shared" si="165"/>
        <v>Mirka - Mirka Abranet 115mm x 10m P320</v>
      </c>
      <c r="G2590" s="20" t="s">
        <v>7768</v>
      </c>
      <c r="H2590" s="49" t="s">
        <v>213</v>
      </c>
      <c r="I2590" s="18" t="s">
        <v>37</v>
      </c>
      <c r="J2590" s="18" t="s">
        <v>38</v>
      </c>
      <c r="K2590" s="72" t="s">
        <v>39</v>
      </c>
      <c r="L2590" s="50"/>
      <c r="M2590" s="18" t="s">
        <v>214</v>
      </c>
      <c r="N2590" s="20">
        <v>3105</v>
      </c>
      <c r="P2590" s="16">
        <v>48.41</v>
      </c>
      <c r="Q2590" s="17" t="e">
        <f t="shared" si="162"/>
        <v>#DIV/0!</v>
      </c>
      <c r="S2590" s="16" t="e">
        <f>VLOOKUP(A2590,[4]Sales!$E:$G,3,FALSE)</f>
        <v>#N/A</v>
      </c>
      <c r="T2590" s="19" t="e">
        <f>VLOOKUP(A2590,[4]Volume!$E:$G,3,FALSE)</f>
        <v>#N/A</v>
      </c>
      <c r="U2590" s="19" t="e">
        <f>VLOOKUP(A2590,[4]Piece!$E:$G,3,FALSE)</f>
        <v>#N/A</v>
      </c>
      <c r="V2590" s="21" t="e">
        <f t="shared" si="163"/>
        <v>#N/A</v>
      </c>
      <c r="W2590" s="16" t="e">
        <f t="shared" si="164"/>
        <v>#N/A</v>
      </c>
    </row>
    <row r="2591" spans="1:23" hidden="1" x14ac:dyDescent="0.3">
      <c r="A2591" s="48" t="s">
        <v>7577</v>
      </c>
      <c r="B2591" s="18" t="s">
        <v>7577</v>
      </c>
      <c r="C2591" s="47" t="s">
        <v>33</v>
      </c>
      <c r="D2591" s="48" t="s">
        <v>7929</v>
      </c>
      <c r="E2591" s="18" t="s">
        <v>7670</v>
      </c>
      <c r="F2591" s="20" t="str">
        <f t="shared" si="165"/>
        <v>Mirka - Mirka Abranet 115mm x 10m P400</v>
      </c>
      <c r="G2591" s="20" t="s">
        <v>7769</v>
      </c>
      <c r="H2591" s="49" t="s">
        <v>213</v>
      </c>
      <c r="I2591" s="18" t="s">
        <v>37</v>
      </c>
      <c r="J2591" s="18" t="s">
        <v>38</v>
      </c>
      <c r="K2591" s="72" t="s">
        <v>39</v>
      </c>
      <c r="L2591" s="50"/>
      <c r="M2591" s="18" t="s">
        <v>214</v>
      </c>
      <c r="N2591" s="20">
        <v>3105</v>
      </c>
      <c r="P2591" s="16">
        <v>48.409199999999998</v>
      </c>
      <c r="Q2591" s="17" t="e">
        <f t="shared" si="162"/>
        <v>#DIV/0!</v>
      </c>
      <c r="S2591" s="16" t="e">
        <f>VLOOKUP(A2591,[4]Sales!$E:$G,3,FALSE)</f>
        <v>#N/A</v>
      </c>
      <c r="T2591" s="19" t="e">
        <f>VLOOKUP(A2591,[4]Volume!$E:$G,3,FALSE)</f>
        <v>#N/A</v>
      </c>
      <c r="U2591" s="19" t="e">
        <f>VLOOKUP(A2591,[4]Piece!$E:$G,3,FALSE)</f>
        <v>#N/A</v>
      </c>
      <c r="V2591" s="21" t="e">
        <f t="shared" si="163"/>
        <v>#N/A</v>
      </c>
      <c r="W2591" s="16" t="e">
        <f t="shared" si="164"/>
        <v>#N/A</v>
      </c>
    </row>
    <row r="2592" spans="1:23" hidden="1" x14ac:dyDescent="0.3">
      <c r="A2592" s="48" t="s">
        <v>7578</v>
      </c>
      <c r="B2592" s="18" t="s">
        <v>7578</v>
      </c>
      <c r="C2592" s="47" t="s">
        <v>33</v>
      </c>
      <c r="D2592" s="48" t="s">
        <v>7929</v>
      </c>
      <c r="E2592" s="18" t="s">
        <v>7671</v>
      </c>
      <c r="F2592" s="20" t="str">
        <f t="shared" si="165"/>
        <v>Mirka - Mirka Hiomant 115mm x 5m P40</v>
      </c>
      <c r="G2592" s="20" t="s">
        <v>7770</v>
      </c>
      <c r="H2592" s="49" t="s">
        <v>213</v>
      </c>
      <c r="I2592" s="18" t="s">
        <v>37</v>
      </c>
      <c r="J2592" s="18" t="s">
        <v>38</v>
      </c>
      <c r="K2592" s="72" t="s">
        <v>39</v>
      </c>
      <c r="L2592" s="50"/>
      <c r="M2592" s="18" t="s">
        <v>214</v>
      </c>
      <c r="N2592" s="20">
        <v>3105</v>
      </c>
      <c r="P2592" s="16">
        <v>7.7571000000000003</v>
      </c>
      <c r="Q2592" s="17" t="e">
        <f t="shared" si="162"/>
        <v>#DIV/0!</v>
      </c>
      <c r="S2592" s="16" t="e">
        <f>VLOOKUP(A2592,[4]Sales!$E:$G,3,FALSE)</f>
        <v>#N/A</v>
      </c>
      <c r="T2592" s="19" t="e">
        <f>VLOOKUP(A2592,[4]Volume!$E:$G,3,FALSE)</f>
        <v>#N/A</v>
      </c>
      <c r="U2592" s="19" t="e">
        <f>VLOOKUP(A2592,[4]Piece!$E:$G,3,FALSE)</f>
        <v>#N/A</v>
      </c>
      <c r="V2592" s="21" t="e">
        <f t="shared" si="163"/>
        <v>#N/A</v>
      </c>
      <c r="W2592" s="16" t="e">
        <f t="shared" si="164"/>
        <v>#N/A</v>
      </c>
    </row>
    <row r="2593" spans="1:23" hidden="1" x14ac:dyDescent="0.3">
      <c r="A2593" s="48" t="s">
        <v>7579</v>
      </c>
      <c r="B2593" s="18" t="s">
        <v>7579</v>
      </c>
      <c r="C2593" s="47" t="s">
        <v>33</v>
      </c>
      <c r="D2593" s="48" t="s">
        <v>7929</v>
      </c>
      <c r="E2593" s="18" t="s">
        <v>7672</v>
      </c>
      <c r="F2593" s="20" t="str">
        <f t="shared" si="165"/>
        <v>Mirka - Mirka Hiomant 115mm x 5m P120</v>
      </c>
      <c r="G2593" s="20" t="s">
        <v>7771</v>
      </c>
      <c r="H2593" s="49" t="s">
        <v>213</v>
      </c>
      <c r="I2593" s="18" t="s">
        <v>37</v>
      </c>
      <c r="J2593" s="18" t="s">
        <v>38</v>
      </c>
      <c r="K2593" s="72" t="s">
        <v>39</v>
      </c>
      <c r="L2593" s="50"/>
      <c r="M2593" s="18" t="s">
        <v>214</v>
      </c>
      <c r="N2593" s="20">
        <v>3105</v>
      </c>
      <c r="P2593" s="16">
        <v>5.0489999999999995</v>
      </c>
      <c r="Q2593" s="17" t="e">
        <f t="shared" si="162"/>
        <v>#DIV/0!</v>
      </c>
      <c r="S2593" s="16" t="e">
        <f>VLOOKUP(A2593,[4]Sales!$E:$G,3,FALSE)</f>
        <v>#N/A</v>
      </c>
      <c r="T2593" s="19" t="e">
        <f>VLOOKUP(A2593,[4]Volume!$E:$G,3,FALSE)</f>
        <v>#N/A</v>
      </c>
      <c r="U2593" s="19" t="e">
        <f>VLOOKUP(A2593,[4]Piece!$E:$G,3,FALSE)</f>
        <v>#N/A</v>
      </c>
      <c r="V2593" s="21" t="e">
        <f t="shared" si="163"/>
        <v>#N/A</v>
      </c>
      <c r="W2593" s="16" t="e">
        <f t="shared" si="164"/>
        <v>#N/A</v>
      </c>
    </row>
    <row r="2594" spans="1:23" hidden="1" x14ac:dyDescent="0.3">
      <c r="A2594" s="48" t="s">
        <v>7580</v>
      </c>
      <c r="B2594" s="18" t="s">
        <v>7580</v>
      </c>
      <c r="C2594" s="47" t="s">
        <v>33</v>
      </c>
      <c r="D2594" s="48" t="s">
        <v>7929</v>
      </c>
      <c r="E2594" s="18" t="s">
        <v>7673</v>
      </c>
      <c r="F2594" s="20" t="str">
        <f t="shared" ref="F2594:F2657" si="166">D2594&amp;" - "&amp;E2594</f>
        <v>Mirka - Mirka Hiomant 115mm x 50m P180</v>
      </c>
      <c r="G2594" s="20" t="s">
        <v>7772</v>
      </c>
      <c r="H2594" s="49" t="s">
        <v>213</v>
      </c>
      <c r="I2594" s="18" t="s">
        <v>37</v>
      </c>
      <c r="J2594" s="18" t="s">
        <v>38</v>
      </c>
      <c r="K2594" s="72" t="s">
        <v>39</v>
      </c>
      <c r="L2594" s="50"/>
      <c r="M2594" s="18" t="s">
        <v>214</v>
      </c>
      <c r="N2594" s="20">
        <v>3105</v>
      </c>
      <c r="P2594" s="16">
        <v>20.3643</v>
      </c>
      <c r="Q2594" s="17" t="e">
        <f t="shared" si="162"/>
        <v>#DIV/0!</v>
      </c>
      <c r="S2594" s="16" t="e">
        <f>VLOOKUP(A2594,[4]Sales!$E:$G,3,FALSE)</f>
        <v>#N/A</v>
      </c>
      <c r="T2594" s="19" t="e">
        <f>VLOOKUP(A2594,[4]Volume!$E:$G,3,FALSE)</f>
        <v>#N/A</v>
      </c>
      <c r="U2594" s="19" t="e">
        <f>VLOOKUP(A2594,[4]Piece!$E:$G,3,FALSE)</f>
        <v>#N/A</v>
      </c>
      <c r="V2594" s="21" t="e">
        <f t="shared" si="163"/>
        <v>#N/A</v>
      </c>
      <c r="W2594" s="16" t="e">
        <f t="shared" si="164"/>
        <v>#N/A</v>
      </c>
    </row>
    <row r="2595" spans="1:23" hidden="1" x14ac:dyDescent="0.3">
      <c r="A2595" s="48" t="s">
        <v>7581</v>
      </c>
      <c r="B2595" s="18" t="s">
        <v>7581</v>
      </c>
      <c r="C2595" s="47" t="s">
        <v>33</v>
      </c>
      <c r="D2595" s="48" t="s">
        <v>7929</v>
      </c>
      <c r="E2595" s="18" t="s">
        <v>7674</v>
      </c>
      <c r="F2595" s="20" t="str">
        <f t="shared" si="166"/>
        <v>Mirka - Mirka Goldflex-Soft Hand Pads PK10 P150</v>
      </c>
      <c r="G2595" s="20" t="s">
        <v>7773</v>
      </c>
      <c r="H2595" s="49" t="s">
        <v>213</v>
      </c>
      <c r="I2595" s="18" t="s">
        <v>37</v>
      </c>
      <c r="J2595" s="18" t="s">
        <v>38</v>
      </c>
      <c r="K2595" s="72" t="s">
        <v>39</v>
      </c>
      <c r="L2595" s="50"/>
      <c r="M2595" s="18" t="s">
        <v>214</v>
      </c>
      <c r="N2595" s="20">
        <v>3105</v>
      </c>
      <c r="P2595" s="16">
        <v>3.9474</v>
      </c>
      <c r="Q2595" s="17" t="e">
        <f t="shared" si="162"/>
        <v>#DIV/0!</v>
      </c>
      <c r="S2595" s="16" t="e">
        <f>VLOOKUP(A2595,[4]Sales!$E:$G,3,FALSE)</f>
        <v>#N/A</v>
      </c>
      <c r="T2595" s="19" t="e">
        <f>VLOOKUP(A2595,[4]Volume!$E:$G,3,FALSE)</f>
        <v>#N/A</v>
      </c>
      <c r="U2595" s="19" t="e">
        <f>VLOOKUP(A2595,[4]Piece!$E:$G,3,FALSE)</f>
        <v>#N/A</v>
      </c>
      <c r="V2595" s="21" t="e">
        <f t="shared" si="163"/>
        <v>#N/A</v>
      </c>
      <c r="W2595" s="16" t="e">
        <f t="shared" si="164"/>
        <v>#N/A</v>
      </c>
    </row>
    <row r="2596" spans="1:23" hidden="1" x14ac:dyDescent="0.3">
      <c r="A2596" s="48" t="s">
        <v>7582</v>
      </c>
      <c r="B2596" s="18" t="s">
        <v>7582</v>
      </c>
      <c r="C2596" s="47" t="s">
        <v>33</v>
      </c>
      <c r="D2596" s="48" t="s">
        <v>7929</v>
      </c>
      <c r="E2596" s="18" t="s">
        <v>7675</v>
      </c>
      <c r="F2596" s="20" t="str">
        <f t="shared" si="166"/>
        <v>Mirka - Mirka Goldflex-Soft Hand Pads PK10 P240</v>
      </c>
      <c r="G2596" s="20" t="s">
        <v>7774</v>
      </c>
      <c r="H2596" s="49" t="s">
        <v>213</v>
      </c>
      <c r="I2596" s="18" t="s">
        <v>37</v>
      </c>
      <c r="J2596" s="18" t="s">
        <v>38</v>
      </c>
      <c r="K2596" s="72" t="s">
        <v>39</v>
      </c>
      <c r="L2596" s="50"/>
      <c r="M2596" s="18" t="s">
        <v>214</v>
      </c>
      <c r="N2596" s="20">
        <v>3105</v>
      </c>
      <c r="P2596" s="16">
        <v>3.9474</v>
      </c>
      <c r="Q2596" s="17" t="e">
        <f t="shared" si="162"/>
        <v>#DIV/0!</v>
      </c>
      <c r="S2596" s="16" t="e">
        <f>VLOOKUP(A2596,[4]Sales!$E:$G,3,FALSE)</f>
        <v>#N/A</v>
      </c>
      <c r="T2596" s="19" t="e">
        <f>VLOOKUP(A2596,[4]Volume!$E:$G,3,FALSE)</f>
        <v>#N/A</v>
      </c>
      <c r="U2596" s="19" t="e">
        <f>VLOOKUP(A2596,[4]Piece!$E:$G,3,FALSE)</f>
        <v>#N/A</v>
      </c>
      <c r="V2596" s="21" t="e">
        <f t="shared" si="163"/>
        <v>#N/A</v>
      </c>
      <c r="W2596" s="16" t="e">
        <f t="shared" si="164"/>
        <v>#N/A</v>
      </c>
    </row>
    <row r="2597" spans="1:23" hidden="1" x14ac:dyDescent="0.3">
      <c r="A2597" s="48" t="s">
        <v>7583</v>
      </c>
      <c r="B2597" s="18" t="s">
        <v>7583</v>
      </c>
      <c r="C2597" s="47" t="s">
        <v>33</v>
      </c>
      <c r="D2597" s="48" t="s">
        <v>7929</v>
      </c>
      <c r="E2597" s="18" t="s">
        <v>7676</v>
      </c>
      <c r="F2597" s="20" t="str">
        <f t="shared" si="166"/>
        <v>Mirka - Mirka Goldflex-Soft Hand Pads PK10 P320</v>
      </c>
      <c r="G2597" s="20" t="s">
        <v>7775</v>
      </c>
      <c r="H2597" s="49" t="s">
        <v>213</v>
      </c>
      <c r="I2597" s="18" t="s">
        <v>37</v>
      </c>
      <c r="J2597" s="18" t="s">
        <v>38</v>
      </c>
      <c r="K2597" s="72" t="s">
        <v>39</v>
      </c>
      <c r="L2597" s="50"/>
      <c r="M2597" s="18" t="s">
        <v>214</v>
      </c>
      <c r="N2597" s="20">
        <v>3105</v>
      </c>
      <c r="P2597" s="16">
        <v>3.9474</v>
      </c>
      <c r="Q2597" s="17" t="e">
        <f t="shared" si="162"/>
        <v>#DIV/0!</v>
      </c>
      <c r="S2597" s="16" t="e">
        <f>VLOOKUP(A2597,[4]Sales!$E:$G,3,FALSE)</f>
        <v>#N/A</v>
      </c>
      <c r="T2597" s="19" t="e">
        <f>VLOOKUP(A2597,[4]Volume!$E:$G,3,FALSE)</f>
        <v>#N/A</v>
      </c>
      <c r="U2597" s="19" t="e">
        <f>VLOOKUP(A2597,[4]Piece!$E:$G,3,FALSE)</f>
        <v>#N/A</v>
      </c>
      <c r="V2597" s="21" t="e">
        <f t="shared" si="163"/>
        <v>#N/A</v>
      </c>
      <c r="W2597" s="16" t="e">
        <f t="shared" si="164"/>
        <v>#N/A</v>
      </c>
    </row>
    <row r="2598" spans="1:23" hidden="1" x14ac:dyDescent="0.3">
      <c r="A2598" s="48" t="s">
        <v>7584</v>
      </c>
      <c r="B2598" s="18" t="s">
        <v>7584</v>
      </c>
      <c r="C2598" s="47" t="s">
        <v>33</v>
      </c>
      <c r="D2598" s="48" t="s">
        <v>7929</v>
      </c>
      <c r="E2598" s="18" t="s">
        <v>7677</v>
      </c>
      <c r="F2598" s="20" t="str">
        <f t="shared" si="166"/>
        <v>Mirka - Mirka Goldflex-Soft Hand Pads PK200 P240</v>
      </c>
      <c r="G2598" s="20" t="s">
        <v>7776</v>
      </c>
      <c r="H2598" s="49" t="s">
        <v>213</v>
      </c>
      <c r="I2598" s="18" t="s">
        <v>37</v>
      </c>
      <c r="J2598" s="18" t="s">
        <v>38</v>
      </c>
      <c r="K2598" s="72" t="s">
        <v>39</v>
      </c>
      <c r="L2598" s="50"/>
      <c r="M2598" s="18" t="s">
        <v>214</v>
      </c>
      <c r="N2598" s="20">
        <v>3105</v>
      </c>
      <c r="P2598" s="16">
        <v>43.574400000000004</v>
      </c>
      <c r="Q2598" s="17" t="e">
        <f t="shared" si="162"/>
        <v>#DIV/0!</v>
      </c>
      <c r="S2598" s="16" t="e">
        <f>VLOOKUP(A2598,[4]Sales!$E:$G,3,FALSE)</f>
        <v>#N/A</v>
      </c>
      <c r="T2598" s="19" t="e">
        <f>VLOOKUP(A2598,[4]Volume!$E:$G,3,FALSE)</f>
        <v>#N/A</v>
      </c>
      <c r="U2598" s="19" t="e">
        <f>VLOOKUP(A2598,[4]Piece!$E:$G,3,FALSE)</f>
        <v>#N/A</v>
      </c>
      <c r="V2598" s="21" t="e">
        <f t="shared" si="163"/>
        <v>#N/A</v>
      </c>
      <c r="W2598" s="16" t="e">
        <f t="shared" si="164"/>
        <v>#N/A</v>
      </c>
    </row>
    <row r="2599" spans="1:23" hidden="1" x14ac:dyDescent="0.3">
      <c r="A2599" s="48" t="s">
        <v>7813</v>
      </c>
      <c r="B2599" s="18" t="s">
        <v>7813</v>
      </c>
      <c r="C2599" s="47" t="s">
        <v>33</v>
      </c>
      <c r="D2599" s="48" t="s">
        <v>34</v>
      </c>
      <c r="E2599" s="18" t="s">
        <v>7795</v>
      </c>
      <c r="F2599" s="20" t="str">
        <f t="shared" si="166"/>
        <v>PPG - JST AquaGuard Primer U/C Brill White 1ltr</v>
      </c>
      <c r="G2599" s="103" t="s">
        <v>7777</v>
      </c>
      <c r="H2599" s="49" t="s">
        <v>213</v>
      </c>
      <c r="I2599" s="18" t="s">
        <v>37</v>
      </c>
      <c r="J2599" s="18" t="s">
        <v>38</v>
      </c>
      <c r="K2599" s="72" t="s">
        <v>39</v>
      </c>
      <c r="L2599" s="50"/>
      <c r="M2599" s="18" t="s">
        <v>214</v>
      </c>
      <c r="N2599" s="20">
        <v>3105</v>
      </c>
      <c r="P2599" s="16">
        <v>12.12</v>
      </c>
      <c r="Q2599" s="17" t="e">
        <f t="shared" si="162"/>
        <v>#DIV/0!</v>
      </c>
      <c r="S2599" s="16">
        <f>VLOOKUP(A2599,[4]Sales!$E:$G,3,FALSE)</f>
        <v>0</v>
      </c>
      <c r="T2599" s="19">
        <f>VLOOKUP(A2599,[4]Volume!$E:$G,3,FALSE)</f>
        <v>0</v>
      </c>
      <c r="U2599" s="19">
        <f>VLOOKUP(A2599,[4]Piece!$E:$G,3,FALSE)</f>
        <v>0</v>
      </c>
      <c r="V2599" s="21">
        <f t="shared" si="163"/>
        <v>0</v>
      </c>
      <c r="W2599" s="16">
        <f t="shared" si="164"/>
        <v>0</v>
      </c>
    </row>
    <row r="2600" spans="1:23" hidden="1" x14ac:dyDescent="0.3">
      <c r="A2600" s="48" t="s">
        <v>7814</v>
      </c>
      <c r="B2600" s="18" t="s">
        <v>7814</v>
      </c>
      <c r="C2600" s="47" t="s">
        <v>33</v>
      </c>
      <c r="D2600" s="48" t="s">
        <v>34</v>
      </c>
      <c r="E2600" s="18" t="s">
        <v>7796</v>
      </c>
      <c r="F2600" s="20" t="str">
        <f t="shared" si="166"/>
        <v>PPG - JST AquaGuard Primer U/C Brill White 2.5ltr</v>
      </c>
      <c r="G2600" s="103" t="s">
        <v>7778</v>
      </c>
      <c r="H2600" s="49" t="s">
        <v>213</v>
      </c>
      <c r="I2600" s="18" t="s">
        <v>37</v>
      </c>
      <c r="J2600" s="18" t="s">
        <v>38</v>
      </c>
      <c r="K2600" s="72" t="s">
        <v>39</v>
      </c>
      <c r="L2600" s="50"/>
      <c r="M2600" s="18" t="s">
        <v>214</v>
      </c>
      <c r="N2600" s="20">
        <v>3105</v>
      </c>
      <c r="P2600" s="16">
        <v>24.56</v>
      </c>
      <c r="Q2600" s="17" t="e">
        <f t="shared" si="162"/>
        <v>#DIV/0!</v>
      </c>
      <c r="S2600" s="16">
        <f>VLOOKUP(A2600,[4]Sales!$E:$G,3,FALSE)</f>
        <v>0</v>
      </c>
      <c r="T2600" s="19">
        <f>VLOOKUP(A2600,[4]Volume!$E:$G,3,FALSE)</f>
        <v>0</v>
      </c>
      <c r="U2600" s="19">
        <f>VLOOKUP(A2600,[4]Piece!$E:$G,3,FALSE)</f>
        <v>0</v>
      </c>
      <c r="V2600" s="21">
        <f t="shared" si="163"/>
        <v>0</v>
      </c>
      <c r="W2600" s="16">
        <f t="shared" si="164"/>
        <v>0</v>
      </c>
    </row>
    <row r="2601" spans="1:23" hidden="1" x14ac:dyDescent="0.3">
      <c r="A2601" s="48" t="s">
        <v>7815</v>
      </c>
      <c r="B2601" s="18" t="s">
        <v>7815</v>
      </c>
      <c r="C2601" s="47" t="s">
        <v>33</v>
      </c>
      <c r="D2601" s="48" t="s">
        <v>34</v>
      </c>
      <c r="E2601" s="18" t="s">
        <v>7797</v>
      </c>
      <c r="F2601" s="20" t="str">
        <f t="shared" si="166"/>
        <v>PPG - JST AquaGuard Primer U/C Brill White 5ltr</v>
      </c>
      <c r="G2601" s="103" t="s">
        <v>7779</v>
      </c>
      <c r="H2601" s="49" t="s">
        <v>213</v>
      </c>
      <c r="I2601" s="18" t="s">
        <v>37</v>
      </c>
      <c r="J2601" s="18" t="s">
        <v>38</v>
      </c>
      <c r="K2601" s="72" t="s">
        <v>39</v>
      </c>
      <c r="L2601" s="50"/>
      <c r="M2601" s="18" t="s">
        <v>214</v>
      </c>
      <c r="N2601" s="20">
        <v>3105</v>
      </c>
      <c r="P2601" s="16">
        <v>40.98</v>
      </c>
      <c r="Q2601" s="17" t="e">
        <f t="shared" si="162"/>
        <v>#DIV/0!</v>
      </c>
      <c r="S2601" s="16">
        <f>VLOOKUP(A2601,[4]Sales!$E:$G,3,FALSE)</f>
        <v>52.17</v>
      </c>
      <c r="T2601" s="19">
        <f>VLOOKUP(A2601,[4]Volume!$E:$G,3,FALSE)</f>
        <v>5</v>
      </c>
      <c r="U2601" s="19">
        <f>VLOOKUP(A2601,[4]Piece!$E:$G,3,FALSE)</f>
        <v>1</v>
      </c>
      <c r="V2601" s="21">
        <f t="shared" si="163"/>
        <v>40.98</v>
      </c>
      <c r="W2601" s="16">
        <f t="shared" si="164"/>
        <v>-11.190000000000005</v>
      </c>
    </row>
    <row r="2602" spans="1:23" hidden="1" x14ac:dyDescent="0.3">
      <c r="A2602" s="48" t="s">
        <v>7816</v>
      </c>
      <c r="B2602" s="18" t="s">
        <v>7816</v>
      </c>
      <c r="C2602" s="47" t="s">
        <v>33</v>
      </c>
      <c r="D2602" s="48" t="s">
        <v>34</v>
      </c>
      <c r="E2602" s="18" t="s">
        <v>7798</v>
      </c>
      <c r="F2602" s="20" t="str">
        <f t="shared" si="166"/>
        <v>PPG - JST AquaGuard Matt Brilliant White 1ltr</v>
      </c>
      <c r="G2602" s="103" t="s">
        <v>7780</v>
      </c>
      <c r="H2602" s="49" t="s">
        <v>213</v>
      </c>
      <c r="I2602" s="18" t="s">
        <v>37</v>
      </c>
      <c r="J2602" s="18" t="s">
        <v>38</v>
      </c>
      <c r="K2602" s="72" t="s">
        <v>39</v>
      </c>
      <c r="L2602" s="50"/>
      <c r="M2602" s="18" t="s">
        <v>214</v>
      </c>
      <c r="N2602" s="20">
        <v>3105</v>
      </c>
      <c r="P2602" s="16">
        <v>12.12</v>
      </c>
      <c r="Q2602" s="17" t="e">
        <f t="shared" si="162"/>
        <v>#DIV/0!</v>
      </c>
      <c r="S2602" s="16" t="e">
        <f>VLOOKUP(A2602,[4]Sales!$E:$G,3,FALSE)</f>
        <v>#N/A</v>
      </c>
      <c r="T2602" s="19" t="e">
        <f>VLOOKUP(A2602,[4]Volume!$E:$G,3,FALSE)</f>
        <v>#N/A</v>
      </c>
      <c r="U2602" s="19" t="e">
        <f>VLOOKUP(A2602,[4]Piece!$E:$G,3,FALSE)</f>
        <v>#N/A</v>
      </c>
      <c r="V2602" s="21" t="e">
        <f t="shared" si="163"/>
        <v>#N/A</v>
      </c>
      <c r="W2602" s="16" t="e">
        <f t="shared" si="164"/>
        <v>#N/A</v>
      </c>
    </row>
    <row r="2603" spans="1:23" hidden="1" x14ac:dyDescent="0.3">
      <c r="A2603" s="48" t="s">
        <v>7817</v>
      </c>
      <c r="B2603" s="18" t="s">
        <v>7817</v>
      </c>
      <c r="C2603" s="47" t="s">
        <v>33</v>
      </c>
      <c r="D2603" s="48" t="s">
        <v>34</v>
      </c>
      <c r="E2603" s="18" t="s">
        <v>7799</v>
      </c>
      <c r="F2603" s="20" t="str">
        <f t="shared" si="166"/>
        <v>PPG - JST AquaGuard Matt Brilliant White 2.5ltr</v>
      </c>
      <c r="G2603" s="103" t="s">
        <v>7781</v>
      </c>
      <c r="H2603" s="49" t="s">
        <v>213</v>
      </c>
      <c r="I2603" s="18" t="s">
        <v>37</v>
      </c>
      <c r="J2603" s="18" t="s">
        <v>38</v>
      </c>
      <c r="K2603" s="72" t="s">
        <v>39</v>
      </c>
      <c r="L2603" s="50"/>
      <c r="M2603" s="18" t="s">
        <v>214</v>
      </c>
      <c r="N2603" s="20">
        <v>3105</v>
      </c>
      <c r="P2603" s="16">
        <v>24.56</v>
      </c>
      <c r="Q2603" s="17" t="e">
        <f t="shared" si="162"/>
        <v>#DIV/0!</v>
      </c>
      <c r="S2603" s="16">
        <f>VLOOKUP(A2603,[4]Sales!$E:$G,3,FALSE)</f>
        <v>0</v>
      </c>
      <c r="T2603" s="19">
        <f>VLOOKUP(A2603,[4]Volume!$E:$G,3,FALSE)</f>
        <v>0</v>
      </c>
      <c r="U2603" s="19">
        <f>VLOOKUP(A2603,[4]Piece!$E:$G,3,FALSE)</f>
        <v>0</v>
      </c>
      <c r="V2603" s="21">
        <f t="shared" si="163"/>
        <v>0</v>
      </c>
      <c r="W2603" s="16">
        <f t="shared" si="164"/>
        <v>0</v>
      </c>
    </row>
    <row r="2604" spans="1:23" hidden="1" x14ac:dyDescent="0.3">
      <c r="A2604" s="48" t="s">
        <v>7818</v>
      </c>
      <c r="B2604" s="18" t="s">
        <v>7818</v>
      </c>
      <c r="C2604" s="47" t="s">
        <v>33</v>
      </c>
      <c r="D2604" s="48" t="s">
        <v>34</v>
      </c>
      <c r="E2604" s="18" t="s">
        <v>7800</v>
      </c>
      <c r="F2604" s="20" t="str">
        <f t="shared" si="166"/>
        <v>PPG - JST AquaGuard Matt Brilliant White 5ltr</v>
      </c>
      <c r="G2604" s="103" t="s">
        <v>7782</v>
      </c>
      <c r="H2604" s="49" t="s">
        <v>213</v>
      </c>
      <c r="I2604" s="18" t="s">
        <v>37</v>
      </c>
      <c r="J2604" s="18" t="s">
        <v>38</v>
      </c>
      <c r="K2604" s="72" t="s">
        <v>39</v>
      </c>
      <c r="L2604" s="50"/>
      <c r="M2604" s="18" t="s">
        <v>214</v>
      </c>
      <c r="N2604" s="20">
        <v>3105</v>
      </c>
      <c r="P2604" s="16">
        <v>40.98</v>
      </c>
      <c r="Q2604" s="17" t="e">
        <f t="shared" si="162"/>
        <v>#DIV/0!</v>
      </c>
      <c r="S2604" s="16" t="e">
        <f>VLOOKUP(A2604,[4]Sales!$E:$G,3,FALSE)</f>
        <v>#N/A</v>
      </c>
      <c r="T2604" s="19" t="e">
        <f>VLOOKUP(A2604,[4]Volume!$E:$G,3,FALSE)</f>
        <v>#N/A</v>
      </c>
      <c r="U2604" s="19" t="e">
        <f>VLOOKUP(A2604,[4]Piece!$E:$G,3,FALSE)</f>
        <v>#N/A</v>
      </c>
      <c r="V2604" s="21" t="e">
        <f t="shared" si="163"/>
        <v>#N/A</v>
      </c>
      <c r="W2604" s="16" t="e">
        <f t="shared" si="164"/>
        <v>#N/A</v>
      </c>
    </row>
    <row r="2605" spans="1:23" hidden="1" x14ac:dyDescent="0.3">
      <c r="A2605" s="48" t="s">
        <v>7819</v>
      </c>
      <c r="B2605" s="18" t="s">
        <v>7819</v>
      </c>
      <c r="C2605" s="47" t="s">
        <v>33</v>
      </c>
      <c r="D2605" s="48" t="s">
        <v>34</v>
      </c>
      <c r="E2605" s="18" t="s">
        <v>7801</v>
      </c>
      <c r="F2605" s="20" t="str">
        <f t="shared" si="166"/>
        <v>PPG - JST AquaGuard Gloss Brilliant White 1ltr</v>
      </c>
      <c r="G2605" s="103" t="s">
        <v>7783</v>
      </c>
      <c r="H2605" s="49" t="s">
        <v>213</v>
      </c>
      <c r="I2605" s="18" t="s">
        <v>37</v>
      </c>
      <c r="J2605" s="18" t="s">
        <v>38</v>
      </c>
      <c r="K2605" s="72" t="s">
        <v>39</v>
      </c>
      <c r="L2605" s="50"/>
      <c r="M2605" s="18" t="s">
        <v>214</v>
      </c>
      <c r="N2605" s="20">
        <v>3105</v>
      </c>
      <c r="P2605" s="16">
        <v>12.12</v>
      </c>
      <c r="Q2605" s="17" t="e">
        <f t="shared" si="162"/>
        <v>#DIV/0!</v>
      </c>
      <c r="S2605" s="16" t="e">
        <f>VLOOKUP(A2605,[4]Sales!$E:$G,3,FALSE)</f>
        <v>#N/A</v>
      </c>
      <c r="T2605" s="19" t="e">
        <f>VLOOKUP(A2605,[4]Volume!$E:$G,3,FALSE)</f>
        <v>#N/A</v>
      </c>
      <c r="U2605" s="19" t="e">
        <f>VLOOKUP(A2605,[4]Piece!$E:$G,3,FALSE)</f>
        <v>#N/A</v>
      </c>
      <c r="V2605" s="21" t="e">
        <f t="shared" si="163"/>
        <v>#N/A</v>
      </c>
      <c r="W2605" s="16" t="e">
        <f t="shared" si="164"/>
        <v>#N/A</v>
      </c>
    </row>
    <row r="2606" spans="1:23" hidden="1" x14ac:dyDescent="0.3">
      <c r="A2606" s="48" t="s">
        <v>7820</v>
      </c>
      <c r="B2606" s="18" t="s">
        <v>7820</v>
      </c>
      <c r="C2606" s="47" t="s">
        <v>33</v>
      </c>
      <c r="D2606" s="48" t="s">
        <v>34</v>
      </c>
      <c r="E2606" s="18" t="s">
        <v>7802</v>
      </c>
      <c r="F2606" s="20" t="str">
        <f t="shared" si="166"/>
        <v>PPG - JST AquaGuard Gloss Brilliant White 2.5ltr</v>
      </c>
      <c r="G2606" s="103" t="s">
        <v>7784</v>
      </c>
      <c r="H2606" s="49" t="s">
        <v>213</v>
      </c>
      <c r="I2606" s="18" t="s">
        <v>37</v>
      </c>
      <c r="J2606" s="18" t="s">
        <v>38</v>
      </c>
      <c r="K2606" s="72" t="s">
        <v>39</v>
      </c>
      <c r="L2606" s="50"/>
      <c r="M2606" s="18" t="s">
        <v>214</v>
      </c>
      <c r="N2606" s="20">
        <v>3105</v>
      </c>
      <c r="P2606" s="16">
        <v>24.56</v>
      </c>
      <c r="Q2606" s="17" t="e">
        <f t="shared" si="162"/>
        <v>#DIV/0!</v>
      </c>
      <c r="S2606" s="16">
        <f>VLOOKUP(A2606,[4]Sales!$E:$G,3,FALSE)</f>
        <v>0</v>
      </c>
      <c r="T2606" s="19">
        <f>VLOOKUP(A2606,[4]Volume!$E:$G,3,FALSE)</f>
        <v>0</v>
      </c>
      <c r="U2606" s="19">
        <f>VLOOKUP(A2606,[4]Piece!$E:$G,3,FALSE)</f>
        <v>0</v>
      </c>
      <c r="V2606" s="21">
        <f t="shared" si="163"/>
        <v>0</v>
      </c>
      <c r="W2606" s="16">
        <f t="shared" si="164"/>
        <v>0</v>
      </c>
    </row>
    <row r="2607" spans="1:23" hidden="1" x14ac:dyDescent="0.3">
      <c r="A2607" s="48" t="s">
        <v>7821</v>
      </c>
      <c r="B2607" s="18" t="s">
        <v>7821</v>
      </c>
      <c r="C2607" s="47" t="s">
        <v>33</v>
      </c>
      <c r="D2607" s="48" t="s">
        <v>34</v>
      </c>
      <c r="E2607" s="18" t="s">
        <v>7803</v>
      </c>
      <c r="F2607" s="20" t="str">
        <f t="shared" si="166"/>
        <v>PPG - JST AquaGuard Gloss Brilliant White 5ltr</v>
      </c>
      <c r="G2607" s="103" t="s">
        <v>7785</v>
      </c>
      <c r="H2607" s="49" t="s">
        <v>213</v>
      </c>
      <c r="I2607" s="18" t="s">
        <v>37</v>
      </c>
      <c r="J2607" s="18" t="s">
        <v>38</v>
      </c>
      <c r="K2607" s="72" t="s">
        <v>39</v>
      </c>
      <c r="L2607" s="50"/>
      <c r="M2607" s="18" t="s">
        <v>214</v>
      </c>
      <c r="N2607" s="20">
        <v>3105</v>
      </c>
      <c r="P2607" s="16">
        <v>40.98</v>
      </c>
      <c r="Q2607" s="17" t="e">
        <f t="shared" si="162"/>
        <v>#DIV/0!</v>
      </c>
      <c r="S2607" s="16">
        <f>VLOOKUP(A2607,[4]Sales!$E:$G,3,FALSE)</f>
        <v>0</v>
      </c>
      <c r="T2607" s="19">
        <f>VLOOKUP(A2607,[4]Volume!$E:$G,3,FALSE)</f>
        <v>0</v>
      </c>
      <c r="U2607" s="19">
        <f>VLOOKUP(A2607,[4]Piece!$E:$G,3,FALSE)</f>
        <v>0</v>
      </c>
      <c r="V2607" s="21">
        <f t="shared" si="163"/>
        <v>0</v>
      </c>
      <c r="W2607" s="16">
        <f t="shared" si="164"/>
        <v>0</v>
      </c>
    </row>
    <row r="2608" spans="1:23" hidden="1" x14ac:dyDescent="0.3">
      <c r="A2608" s="48" t="s">
        <v>7822</v>
      </c>
      <c r="B2608" s="18" t="s">
        <v>7822</v>
      </c>
      <c r="C2608" s="47" t="s">
        <v>33</v>
      </c>
      <c r="D2608" s="48" t="s">
        <v>34</v>
      </c>
      <c r="E2608" s="18" t="s">
        <v>7804</v>
      </c>
      <c r="F2608" s="20" t="str">
        <f t="shared" si="166"/>
        <v>PPG - JST AquaGuard Primer U/C Mix Colour 1ltr</v>
      </c>
      <c r="G2608" s="103" t="s">
        <v>7786</v>
      </c>
      <c r="H2608" s="49" t="s">
        <v>213</v>
      </c>
      <c r="I2608" s="18" t="s">
        <v>37</v>
      </c>
      <c r="J2608" s="18" t="s">
        <v>38</v>
      </c>
      <c r="K2608" s="72" t="s">
        <v>39</v>
      </c>
      <c r="L2608" s="50"/>
      <c r="M2608" s="18" t="s">
        <v>214</v>
      </c>
      <c r="N2608" s="20">
        <v>3105</v>
      </c>
      <c r="P2608" s="16">
        <v>17.829999999999998</v>
      </c>
      <c r="Q2608" s="17" t="e">
        <f t="shared" si="162"/>
        <v>#DIV/0!</v>
      </c>
      <c r="S2608" s="16" t="e">
        <f>VLOOKUP(A2608,[4]Sales!$E:$G,3,FALSE)</f>
        <v>#N/A</v>
      </c>
      <c r="T2608" s="19" t="e">
        <f>VLOOKUP(A2608,[4]Volume!$E:$G,3,FALSE)</f>
        <v>#N/A</v>
      </c>
      <c r="U2608" s="19" t="e">
        <f>VLOOKUP(A2608,[4]Piece!$E:$G,3,FALSE)</f>
        <v>#N/A</v>
      </c>
      <c r="V2608" s="21" t="e">
        <f t="shared" si="163"/>
        <v>#N/A</v>
      </c>
      <c r="W2608" s="16" t="e">
        <f t="shared" si="164"/>
        <v>#N/A</v>
      </c>
    </row>
    <row r="2609" spans="1:23" hidden="1" x14ac:dyDescent="0.3">
      <c r="A2609" s="48" t="s">
        <v>7823</v>
      </c>
      <c r="B2609" s="18" t="s">
        <v>7823</v>
      </c>
      <c r="C2609" s="47" t="s">
        <v>33</v>
      </c>
      <c r="D2609" s="48" t="s">
        <v>34</v>
      </c>
      <c r="E2609" s="18" t="s">
        <v>7805</v>
      </c>
      <c r="F2609" s="20" t="str">
        <f t="shared" si="166"/>
        <v>PPG - JST AquaGuard Primer U/C Mix Colour 2.5ltr</v>
      </c>
      <c r="G2609" s="103" t="s">
        <v>7787</v>
      </c>
      <c r="H2609" s="49" t="s">
        <v>213</v>
      </c>
      <c r="I2609" s="18" t="s">
        <v>37</v>
      </c>
      <c r="J2609" s="18" t="s">
        <v>38</v>
      </c>
      <c r="K2609" s="72" t="s">
        <v>39</v>
      </c>
      <c r="L2609" s="50"/>
      <c r="M2609" s="18" t="s">
        <v>214</v>
      </c>
      <c r="N2609" s="20">
        <v>3105</v>
      </c>
      <c r="P2609" s="16">
        <v>36.159999999999997</v>
      </c>
      <c r="Q2609" s="17" t="e">
        <f t="shared" si="162"/>
        <v>#DIV/0!</v>
      </c>
      <c r="S2609" s="16" t="e">
        <f>VLOOKUP(A2609,[4]Sales!$E:$G,3,FALSE)</f>
        <v>#N/A</v>
      </c>
      <c r="T2609" s="19" t="e">
        <f>VLOOKUP(A2609,[4]Volume!$E:$G,3,FALSE)</f>
        <v>#N/A</v>
      </c>
      <c r="U2609" s="19" t="e">
        <f>VLOOKUP(A2609,[4]Piece!$E:$G,3,FALSE)</f>
        <v>#N/A</v>
      </c>
      <c r="V2609" s="21" t="e">
        <f t="shared" si="163"/>
        <v>#N/A</v>
      </c>
      <c r="W2609" s="16" t="e">
        <f t="shared" si="164"/>
        <v>#N/A</v>
      </c>
    </row>
    <row r="2610" spans="1:23" hidden="1" x14ac:dyDescent="0.3">
      <c r="A2610" s="48" t="s">
        <v>7824</v>
      </c>
      <c r="B2610" s="18" t="s">
        <v>7824</v>
      </c>
      <c r="C2610" s="47" t="s">
        <v>33</v>
      </c>
      <c r="D2610" s="48" t="s">
        <v>34</v>
      </c>
      <c r="E2610" s="18" t="s">
        <v>7806</v>
      </c>
      <c r="F2610" s="20" t="str">
        <f t="shared" si="166"/>
        <v>PPG - JST AquaGuard Primer U/C Mix Colour 5ltr</v>
      </c>
      <c r="G2610" s="103" t="s">
        <v>7788</v>
      </c>
      <c r="H2610" s="49" t="s">
        <v>213</v>
      </c>
      <c r="I2610" s="18" t="s">
        <v>37</v>
      </c>
      <c r="J2610" s="18" t="s">
        <v>38</v>
      </c>
      <c r="K2610" s="72" t="s">
        <v>39</v>
      </c>
      <c r="L2610" s="50"/>
      <c r="M2610" s="18" t="s">
        <v>214</v>
      </c>
      <c r="N2610" s="20">
        <v>3105</v>
      </c>
      <c r="P2610" s="16">
        <v>60.28</v>
      </c>
      <c r="Q2610" s="17" t="e">
        <f t="shared" si="162"/>
        <v>#DIV/0!</v>
      </c>
      <c r="S2610" s="16" t="e">
        <f>VLOOKUP(A2610,[4]Sales!$E:$G,3,FALSE)</f>
        <v>#N/A</v>
      </c>
      <c r="T2610" s="19" t="e">
        <f>VLOOKUP(A2610,[4]Volume!$E:$G,3,FALSE)</f>
        <v>#N/A</v>
      </c>
      <c r="U2610" s="19" t="e">
        <f>VLOOKUP(A2610,[4]Piece!$E:$G,3,FALSE)</f>
        <v>#N/A</v>
      </c>
      <c r="V2610" s="21" t="e">
        <f t="shared" si="163"/>
        <v>#N/A</v>
      </c>
      <c r="W2610" s="16" t="e">
        <f t="shared" si="164"/>
        <v>#N/A</v>
      </c>
    </row>
    <row r="2611" spans="1:23" hidden="1" x14ac:dyDescent="0.3">
      <c r="A2611" s="48" t="s">
        <v>7825</v>
      </c>
      <c r="B2611" s="18" t="s">
        <v>7825</v>
      </c>
      <c r="C2611" s="47" t="s">
        <v>33</v>
      </c>
      <c r="D2611" s="48" t="s">
        <v>34</v>
      </c>
      <c r="E2611" s="18" t="s">
        <v>7807</v>
      </c>
      <c r="F2611" s="20" t="str">
        <f t="shared" si="166"/>
        <v>PPG - JST AquaGuard Matt Mix Colour 1ltr</v>
      </c>
      <c r="G2611" s="103" t="s">
        <v>7789</v>
      </c>
      <c r="H2611" s="49" t="s">
        <v>213</v>
      </c>
      <c r="I2611" s="18" t="s">
        <v>37</v>
      </c>
      <c r="J2611" s="18" t="s">
        <v>38</v>
      </c>
      <c r="K2611" s="72" t="s">
        <v>39</v>
      </c>
      <c r="L2611" s="50"/>
      <c r="M2611" s="18" t="s">
        <v>214</v>
      </c>
      <c r="N2611" s="20">
        <v>3105</v>
      </c>
      <c r="P2611" s="16">
        <v>17.829999999999998</v>
      </c>
      <c r="Q2611" s="17" t="e">
        <f t="shared" si="162"/>
        <v>#DIV/0!</v>
      </c>
      <c r="S2611" s="16" t="e">
        <f>VLOOKUP(A2611,[4]Sales!$E:$G,3,FALSE)</f>
        <v>#N/A</v>
      </c>
      <c r="T2611" s="19" t="e">
        <f>VLOOKUP(A2611,[4]Volume!$E:$G,3,FALSE)</f>
        <v>#N/A</v>
      </c>
      <c r="U2611" s="19" t="e">
        <f>VLOOKUP(A2611,[4]Piece!$E:$G,3,FALSE)</f>
        <v>#N/A</v>
      </c>
      <c r="V2611" s="21" t="e">
        <f t="shared" si="163"/>
        <v>#N/A</v>
      </c>
      <c r="W2611" s="16" t="e">
        <f t="shared" si="164"/>
        <v>#N/A</v>
      </c>
    </row>
    <row r="2612" spans="1:23" hidden="1" x14ac:dyDescent="0.3">
      <c r="A2612" s="48" t="s">
        <v>7826</v>
      </c>
      <c r="B2612" s="18" t="s">
        <v>7826</v>
      </c>
      <c r="C2612" s="47" t="s">
        <v>33</v>
      </c>
      <c r="D2612" s="48" t="s">
        <v>34</v>
      </c>
      <c r="E2612" s="18" t="s">
        <v>7808</v>
      </c>
      <c r="F2612" s="20" t="str">
        <f t="shared" si="166"/>
        <v>PPG - JST AquaGuard Matt Mix Colour 2.5ltr</v>
      </c>
      <c r="G2612" s="103" t="s">
        <v>7790</v>
      </c>
      <c r="H2612" s="49" t="s">
        <v>213</v>
      </c>
      <c r="I2612" s="18" t="s">
        <v>37</v>
      </c>
      <c r="J2612" s="18" t="s">
        <v>38</v>
      </c>
      <c r="K2612" s="72" t="s">
        <v>39</v>
      </c>
      <c r="L2612" s="50"/>
      <c r="M2612" s="18" t="s">
        <v>214</v>
      </c>
      <c r="N2612" s="20">
        <v>3105</v>
      </c>
      <c r="P2612" s="16">
        <v>36.159999999999997</v>
      </c>
      <c r="Q2612" s="17" t="e">
        <f t="shared" si="162"/>
        <v>#DIV/0!</v>
      </c>
      <c r="S2612" s="16" t="e">
        <f>VLOOKUP(A2612,[4]Sales!$E:$G,3,FALSE)</f>
        <v>#N/A</v>
      </c>
      <c r="T2612" s="19" t="e">
        <f>VLOOKUP(A2612,[4]Volume!$E:$G,3,FALSE)</f>
        <v>#N/A</v>
      </c>
      <c r="U2612" s="19" t="e">
        <f>VLOOKUP(A2612,[4]Piece!$E:$G,3,FALSE)</f>
        <v>#N/A</v>
      </c>
      <c r="V2612" s="21" t="e">
        <f t="shared" si="163"/>
        <v>#N/A</v>
      </c>
      <c r="W2612" s="16" t="e">
        <f t="shared" si="164"/>
        <v>#N/A</v>
      </c>
    </row>
    <row r="2613" spans="1:23" hidden="1" x14ac:dyDescent="0.3">
      <c r="A2613" s="48" t="s">
        <v>7827</v>
      </c>
      <c r="B2613" s="18" t="s">
        <v>7827</v>
      </c>
      <c r="C2613" s="47" t="s">
        <v>33</v>
      </c>
      <c r="D2613" s="48" t="s">
        <v>34</v>
      </c>
      <c r="E2613" s="18" t="s">
        <v>7809</v>
      </c>
      <c r="F2613" s="20" t="str">
        <f t="shared" si="166"/>
        <v>PPG - JST AquaGuard Matt Mix Colour 5ltr</v>
      </c>
      <c r="G2613" s="103" t="s">
        <v>7791</v>
      </c>
      <c r="H2613" s="49" t="s">
        <v>213</v>
      </c>
      <c r="I2613" s="18" t="s">
        <v>37</v>
      </c>
      <c r="J2613" s="18" t="s">
        <v>38</v>
      </c>
      <c r="K2613" s="72" t="s">
        <v>39</v>
      </c>
      <c r="L2613" s="50"/>
      <c r="M2613" s="18" t="s">
        <v>214</v>
      </c>
      <c r="N2613" s="20">
        <v>3105</v>
      </c>
      <c r="P2613" s="16">
        <v>60.28</v>
      </c>
      <c r="Q2613" s="17" t="e">
        <f t="shared" si="162"/>
        <v>#DIV/0!</v>
      </c>
      <c r="S2613" s="16" t="e">
        <f>VLOOKUP(A2613,[4]Sales!$E:$G,3,FALSE)</f>
        <v>#N/A</v>
      </c>
      <c r="T2613" s="19" t="e">
        <f>VLOOKUP(A2613,[4]Volume!$E:$G,3,FALSE)</f>
        <v>#N/A</v>
      </c>
      <c r="U2613" s="19" t="e">
        <f>VLOOKUP(A2613,[4]Piece!$E:$G,3,FALSE)</f>
        <v>#N/A</v>
      </c>
      <c r="V2613" s="21" t="e">
        <f t="shared" si="163"/>
        <v>#N/A</v>
      </c>
      <c r="W2613" s="16" t="e">
        <f t="shared" si="164"/>
        <v>#N/A</v>
      </c>
    </row>
    <row r="2614" spans="1:23" hidden="1" x14ac:dyDescent="0.3">
      <c r="A2614" s="48" t="s">
        <v>7828</v>
      </c>
      <c r="B2614" s="18" t="s">
        <v>7828</v>
      </c>
      <c r="C2614" s="47" t="s">
        <v>33</v>
      </c>
      <c r="D2614" s="48" t="s">
        <v>34</v>
      </c>
      <c r="E2614" s="18" t="s">
        <v>7810</v>
      </c>
      <c r="F2614" s="20" t="str">
        <f t="shared" si="166"/>
        <v>PPG - JST AquaGuard Gloss Mix Colour 1ltr</v>
      </c>
      <c r="G2614" s="103" t="s">
        <v>7792</v>
      </c>
      <c r="H2614" s="49" t="s">
        <v>213</v>
      </c>
      <c r="I2614" s="18" t="s">
        <v>37</v>
      </c>
      <c r="J2614" s="18" t="s">
        <v>38</v>
      </c>
      <c r="K2614" s="72" t="s">
        <v>39</v>
      </c>
      <c r="L2614" s="50"/>
      <c r="M2614" s="18" t="s">
        <v>214</v>
      </c>
      <c r="N2614" s="20">
        <v>3105</v>
      </c>
      <c r="P2614" s="16">
        <v>17.829999999999998</v>
      </c>
      <c r="Q2614" s="17" t="e">
        <f t="shared" si="162"/>
        <v>#DIV/0!</v>
      </c>
      <c r="S2614" s="16" t="e">
        <f>VLOOKUP(A2614,[4]Sales!$E:$G,3,FALSE)</f>
        <v>#N/A</v>
      </c>
      <c r="T2614" s="19" t="e">
        <f>VLOOKUP(A2614,[4]Volume!$E:$G,3,FALSE)</f>
        <v>#N/A</v>
      </c>
      <c r="U2614" s="19" t="e">
        <f>VLOOKUP(A2614,[4]Piece!$E:$G,3,FALSE)</f>
        <v>#N/A</v>
      </c>
      <c r="V2614" s="21" t="e">
        <f t="shared" si="163"/>
        <v>#N/A</v>
      </c>
      <c r="W2614" s="16" t="e">
        <f t="shared" si="164"/>
        <v>#N/A</v>
      </c>
    </row>
    <row r="2615" spans="1:23" hidden="1" x14ac:dyDescent="0.3">
      <c r="A2615" s="48" t="s">
        <v>7829</v>
      </c>
      <c r="B2615" s="18" t="s">
        <v>7829</v>
      </c>
      <c r="C2615" s="47" t="s">
        <v>33</v>
      </c>
      <c r="D2615" s="48" t="s">
        <v>34</v>
      </c>
      <c r="E2615" s="18" t="s">
        <v>7811</v>
      </c>
      <c r="F2615" s="20" t="str">
        <f t="shared" si="166"/>
        <v>PPG - JST AquaGuard Gloss Mix Colour 2.5ltr</v>
      </c>
      <c r="G2615" s="103" t="s">
        <v>7793</v>
      </c>
      <c r="H2615" s="49" t="s">
        <v>213</v>
      </c>
      <c r="I2615" s="18" t="s">
        <v>37</v>
      </c>
      <c r="J2615" s="18" t="s">
        <v>38</v>
      </c>
      <c r="K2615" s="72" t="s">
        <v>39</v>
      </c>
      <c r="L2615" s="50"/>
      <c r="M2615" s="18" t="s">
        <v>214</v>
      </c>
      <c r="N2615" s="20">
        <v>3105</v>
      </c>
      <c r="P2615" s="16">
        <v>36.159999999999997</v>
      </c>
      <c r="Q2615" s="17" t="e">
        <f t="shared" si="162"/>
        <v>#DIV/0!</v>
      </c>
      <c r="S2615" s="16" t="e">
        <f>VLOOKUP(A2615,[4]Sales!$E:$G,3,FALSE)</f>
        <v>#N/A</v>
      </c>
      <c r="T2615" s="19" t="e">
        <f>VLOOKUP(A2615,[4]Volume!$E:$G,3,FALSE)</f>
        <v>#N/A</v>
      </c>
      <c r="U2615" s="19" t="e">
        <f>VLOOKUP(A2615,[4]Piece!$E:$G,3,FALSE)</f>
        <v>#N/A</v>
      </c>
      <c r="V2615" s="21" t="e">
        <f t="shared" si="163"/>
        <v>#N/A</v>
      </c>
      <c r="W2615" s="16" t="e">
        <f t="shared" si="164"/>
        <v>#N/A</v>
      </c>
    </row>
    <row r="2616" spans="1:23" hidden="1" x14ac:dyDescent="0.3">
      <c r="A2616" s="48" t="s">
        <v>7830</v>
      </c>
      <c r="B2616" s="18" t="s">
        <v>7830</v>
      </c>
      <c r="C2616" s="47" t="s">
        <v>33</v>
      </c>
      <c r="D2616" s="48" t="s">
        <v>34</v>
      </c>
      <c r="E2616" s="18" t="s">
        <v>7812</v>
      </c>
      <c r="F2616" s="20" t="str">
        <f t="shared" si="166"/>
        <v>PPG - JST AquaGuard Gloss Mix Colour 5ltr</v>
      </c>
      <c r="G2616" s="103" t="s">
        <v>7794</v>
      </c>
      <c r="H2616" s="49" t="s">
        <v>213</v>
      </c>
      <c r="I2616" s="18" t="s">
        <v>37</v>
      </c>
      <c r="J2616" s="18" t="s">
        <v>38</v>
      </c>
      <c r="K2616" s="72" t="s">
        <v>39</v>
      </c>
      <c r="L2616" s="50"/>
      <c r="M2616" s="18" t="s">
        <v>214</v>
      </c>
      <c r="N2616" s="20">
        <v>3105</v>
      </c>
      <c r="P2616" s="16">
        <v>60.28</v>
      </c>
      <c r="Q2616" s="17" t="e">
        <f t="shared" si="162"/>
        <v>#DIV/0!</v>
      </c>
      <c r="S2616" s="16" t="e">
        <f>VLOOKUP(A2616,[4]Sales!$E:$G,3,FALSE)</f>
        <v>#N/A</v>
      </c>
      <c r="T2616" s="19" t="e">
        <f>VLOOKUP(A2616,[4]Volume!$E:$G,3,FALSE)</f>
        <v>#N/A</v>
      </c>
      <c r="U2616" s="19" t="e">
        <f>VLOOKUP(A2616,[4]Piece!$E:$G,3,FALSE)</f>
        <v>#N/A</v>
      </c>
      <c r="V2616" s="21" t="e">
        <f t="shared" si="163"/>
        <v>#N/A</v>
      </c>
      <c r="W2616" s="16" t="e">
        <f t="shared" si="164"/>
        <v>#N/A</v>
      </c>
    </row>
    <row r="2617" spans="1:23" hidden="1" x14ac:dyDescent="0.3">
      <c r="A2617" s="48" t="s">
        <v>7831</v>
      </c>
      <c r="B2617" s="18" t="s">
        <v>7831</v>
      </c>
      <c r="C2617" s="47" t="s">
        <v>33</v>
      </c>
      <c r="D2617" s="48" t="s">
        <v>7937</v>
      </c>
      <c r="E2617" s="18" t="s">
        <v>7832</v>
      </c>
      <c r="F2617" s="20" t="str">
        <f t="shared" si="166"/>
        <v>Owatrol - Owatrol VC175 Mould Stop 50ml</v>
      </c>
      <c r="G2617" s="103" t="s">
        <v>7833</v>
      </c>
      <c r="H2617" s="49" t="s">
        <v>213</v>
      </c>
      <c r="I2617" s="18" t="s">
        <v>37</v>
      </c>
      <c r="J2617" s="18" t="s">
        <v>38</v>
      </c>
      <c r="K2617" s="72" t="s">
        <v>39</v>
      </c>
      <c r="L2617" s="50"/>
      <c r="M2617" s="18" t="s">
        <v>214</v>
      </c>
      <c r="N2617" s="20">
        <v>3105</v>
      </c>
      <c r="P2617" s="16">
        <v>15</v>
      </c>
      <c r="Q2617" s="17" t="e">
        <f t="shared" si="162"/>
        <v>#DIV/0!</v>
      </c>
      <c r="S2617" s="16">
        <f>VLOOKUP(A2617,[4]Sales!$E:$G,3,FALSE)</f>
        <v>44.68</v>
      </c>
      <c r="T2617" s="19">
        <f>VLOOKUP(A2617,[4]Volume!$E:$G,3,FALSE)</f>
        <v>0.1</v>
      </c>
      <c r="U2617" s="19">
        <f>VLOOKUP(A2617,[4]Piece!$E:$G,3,FALSE)</f>
        <v>2</v>
      </c>
      <c r="V2617" s="21">
        <f t="shared" si="163"/>
        <v>30</v>
      </c>
      <c r="W2617" s="16">
        <f t="shared" si="164"/>
        <v>-14.68</v>
      </c>
    </row>
    <row r="2618" spans="1:23" hidden="1" x14ac:dyDescent="0.3">
      <c r="A2618" s="48" t="s">
        <v>7834</v>
      </c>
      <c r="B2618" s="18" t="str">
        <f>A2618</f>
        <v>00682045</v>
      </c>
      <c r="C2618" s="47" t="s">
        <v>33</v>
      </c>
      <c r="D2618" s="48" t="s">
        <v>7928</v>
      </c>
      <c r="E2618" s="18" t="s">
        <v>7881</v>
      </c>
      <c r="F2618" s="20" t="str">
        <f t="shared" si="166"/>
        <v>Polyseam - FR ASF 300ml</v>
      </c>
      <c r="G2618" s="20" t="s">
        <v>7938</v>
      </c>
      <c r="H2618" s="49" t="s">
        <v>213</v>
      </c>
      <c r="I2618" s="18" t="s">
        <v>37</v>
      </c>
      <c r="J2618" s="18" t="s">
        <v>38</v>
      </c>
      <c r="K2618" s="72" t="s">
        <v>7985</v>
      </c>
      <c r="L2618" s="50"/>
      <c r="M2618" s="18" t="s">
        <v>214</v>
      </c>
      <c r="N2618" s="20">
        <v>3105</v>
      </c>
      <c r="O2618" s="92"/>
      <c r="P2618" s="16">
        <v>1.25</v>
      </c>
      <c r="Q2618" s="17" t="e">
        <f t="shared" si="162"/>
        <v>#DIV/0!</v>
      </c>
      <c r="S2618" s="16" t="e">
        <f>VLOOKUP(A2618,[4]Sales!$E:$G,3,FALSE)</f>
        <v>#N/A</v>
      </c>
      <c r="T2618" s="19" t="e">
        <f>VLOOKUP(A2618,[4]Volume!$E:$G,3,FALSE)</f>
        <v>#N/A</v>
      </c>
      <c r="U2618" s="19" t="e">
        <f>VLOOKUP(A2618,[4]Piece!$E:$G,3,FALSE)</f>
        <v>#N/A</v>
      </c>
      <c r="V2618" s="21" t="e">
        <f t="shared" si="163"/>
        <v>#N/A</v>
      </c>
      <c r="W2618" s="16" t="e">
        <f t="shared" si="164"/>
        <v>#N/A</v>
      </c>
    </row>
    <row r="2619" spans="1:23" hidden="1" x14ac:dyDescent="0.3">
      <c r="A2619" s="48" t="s">
        <v>7835</v>
      </c>
      <c r="B2619" s="18" t="str">
        <f t="shared" ref="B2619:B2664" si="167">A2619</f>
        <v>00682046</v>
      </c>
      <c r="C2619" s="47" t="s">
        <v>33</v>
      </c>
      <c r="D2619" s="48" t="s">
        <v>7928</v>
      </c>
      <c r="E2619" s="18" t="s">
        <v>7882</v>
      </c>
      <c r="F2619" s="20" t="str">
        <f t="shared" si="166"/>
        <v>Polyseam - FR ASF 290ml</v>
      </c>
      <c r="G2619" s="20" t="s">
        <v>7939</v>
      </c>
      <c r="H2619" s="49" t="s">
        <v>213</v>
      </c>
      <c r="I2619" s="18" t="s">
        <v>37</v>
      </c>
      <c r="J2619" s="18" t="s">
        <v>38</v>
      </c>
      <c r="K2619" s="72" t="s">
        <v>7985</v>
      </c>
      <c r="L2619" s="50"/>
      <c r="M2619" s="18" t="s">
        <v>214</v>
      </c>
      <c r="N2619" s="20">
        <v>3105</v>
      </c>
      <c r="O2619" s="92"/>
      <c r="P2619" s="16">
        <v>1.39</v>
      </c>
      <c r="Q2619" s="17" t="e">
        <f t="shared" si="162"/>
        <v>#DIV/0!</v>
      </c>
      <c r="S2619" s="16" t="e">
        <f>VLOOKUP(A2619,[4]Sales!$E:$G,3,FALSE)</f>
        <v>#N/A</v>
      </c>
      <c r="T2619" s="19" t="e">
        <f>VLOOKUP(A2619,[4]Volume!$E:$G,3,FALSE)</f>
        <v>#N/A</v>
      </c>
      <c r="U2619" s="19" t="e">
        <f>VLOOKUP(A2619,[4]Piece!$E:$G,3,FALSE)</f>
        <v>#N/A</v>
      </c>
      <c r="V2619" s="21" t="e">
        <f t="shared" si="163"/>
        <v>#N/A</v>
      </c>
      <c r="W2619" s="16" t="e">
        <f t="shared" si="164"/>
        <v>#N/A</v>
      </c>
    </row>
    <row r="2620" spans="1:23" hidden="1" x14ac:dyDescent="0.3">
      <c r="A2620" s="48" t="s">
        <v>7836</v>
      </c>
      <c r="B2620" s="18" t="str">
        <f t="shared" si="167"/>
        <v>00682047</v>
      </c>
      <c r="C2620" s="47" t="s">
        <v>33</v>
      </c>
      <c r="D2620" s="48" t="s">
        <v>7928</v>
      </c>
      <c r="E2620" s="18" t="s">
        <v>7883</v>
      </c>
      <c r="F2620" s="20" t="str">
        <f t="shared" si="166"/>
        <v>Polyseam - FR ASF 380ml</v>
      </c>
      <c r="G2620" s="20" t="s">
        <v>7940</v>
      </c>
      <c r="H2620" s="49" t="s">
        <v>213</v>
      </c>
      <c r="I2620" s="18" t="s">
        <v>37</v>
      </c>
      <c r="J2620" s="18" t="s">
        <v>38</v>
      </c>
      <c r="K2620" s="72" t="s">
        <v>7985</v>
      </c>
      <c r="L2620" s="50"/>
      <c r="M2620" s="18" t="s">
        <v>214</v>
      </c>
      <c r="N2620" s="20">
        <v>3105</v>
      </c>
      <c r="O2620" s="92"/>
      <c r="P2620" s="16">
        <v>1.87</v>
      </c>
      <c r="Q2620" s="17" t="e">
        <f t="shared" si="162"/>
        <v>#DIV/0!</v>
      </c>
      <c r="S2620" s="16" t="e">
        <f>VLOOKUP(A2620,[4]Sales!$E:$G,3,FALSE)</f>
        <v>#N/A</v>
      </c>
      <c r="T2620" s="19" t="e">
        <f>VLOOKUP(A2620,[4]Volume!$E:$G,3,FALSE)</f>
        <v>#N/A</v>
      </c>
      <c r="U2620" s="19" t="e">
        <f>VLOOKUP(A2620,[4]Piece!$E:$G,3,FALSE)</f>
        <v>#N/A</v>
      </c>
      <c r="V2620" s="21" t="e">
        <f t="shared" si="163"/>
        <v>#N/A</v>
      </c>
      <c r="W2620" s="16" t="e">
        <f t="shared" si="164"/>
        <v>#N/A</v>
      </c>
    </row>
    <row r="2621" spans="1:23" hidden="1" x14ac:dyDescent="0.3">
      <c r="A2621" s="48" t="s">
        <v>7837</v>
      </c>
      <c r="B2621" s="18" t="str">
        <f t="shared" si="167"/>
        <v>00682048</v>
      </c>
      <c r="C2621" s="47" t="s">
        <v>33</v>
      </c>
      <c r="D2621" s="48" t="s">
        <v>7928</v>
      </c>
      <c r="E2621" s="18" t="s">
        <v>7884</v>
      </c>
      <c r="F2621" s="20" t="str">
        <f t="shared" si="166"/>
        <v>Polyseam - FR Acrylic 300ml</v>
      </c>
      <c r="G2621" s="20" t="s">
        <v>7941</v>
      </c>
      <c r="H2621" s="49" t="s">
        <v>213</v>
      </c>
      <c r="I2621" s="18" t="s">
        <v>37</v>
      </c>
      <c r="J2621" s="18" t="s">
        <v>38</v>
      </c>
      <c r="K2621" s="72" t="s">
        <v>7985</v>
      </c>
      <c r="L2621" s="50"/>
      <c r="M2621" s="18" t="s">
        <v>214</v>
      </c>
      <c r="N2621" s="20">
        <v>3105</v>
      </c>
      <c r="O2621" s="92"/>
      <c r="P2621" s="16">
        <v>1.67</v>
      </c>
      <c r="Q2621" s="17" t="e">
        <f t="shared" si="162"/>
        <v>#DIV/0!</v>
      </c>
      <c r="S2621" s="16" t="e">
        <f>VLOOKUP(A2621,[4]Sales!$E:$G,3,FALSE)</f>
        <v>#N/A</v>
      </c>
      <c r="T2621" s="19" t="e">
        <f>VLOOKUP(A2621,[4]Volume!$E:$G,3,FALSE)</f>
        <v>#N/A</v>
      </c>
      <c r="U2621" s="19" t="e">
        <f>VLOOKUP(A2621,[4]Piece!$E:$G,3,FALSE)</f>
        <v>#N/A</v>
      </c>
      <c r="V2621" s="21" t="e">
        <f t="shared" si="163"/>
        <v>#N/A</v>
      </c>
      <c r="W2621" s="16" t="e">
        <f t="shared" si="164"/>
        <v>#N/A</v>
      </c>
    </row>
    <row r="2622" spans="1:23" hidden="1" x14ac:dyDescent="0.3">
      <c r="A2622" s="48" t="s">
        <v>7838</v>
      </c>
      <c r="B2622" s="18" t="str">
        <f t="shared" si="167"/>
        <v>00682049</v>
      </c>
      <c r="C2622" s="47" t="s">
        <v>33</v>
      </c>
      <c r="D2622" s="48" t="s">
        <v>7928</v>
      </c>
      <c r="E2622" s="18" t="s">
        <v>7885</v>
      </c>
      <c r="F2622" s="20" t="str">
        <f t="shared" si="166"/>
        <v>Polyseam - FR Acrylic 310ml</v>
      </c>
      <c r="G2622" s="20" t="s">
        <v>7942</v>
      </c>
      <c r="H2622" s="49" t="s">
        <v>213</v>
      </c>
      <c r="I2622" s="18" t="s">
        <v>37</v>
      </c>
      <c r="J2622" s="18" t="s">
        <v>38</v>
      </c>
      <c r="K2622" s="72" t="s">
        <v>7985</v>
      </c>
      <c r="L2622" s="50"/>
      <c r="M2622" s="18" t="s">
        <v>214</v>
      </c>
      <c r="N2622" s="20">
        <v>3105</v>
      </c>
      <c r="O2622" s="92"/>
      <c r="P2622" s="16">
        <v>1.85</v>
      </c>
      <c r="Q2622" s="17" t="e">
        <f t="shared" si="162"/>
        <v>#DIV/0!</v>
      </c>
      <c r="S2622" s="16" t="e">
        <f>VLOOKUP(A2622,[4]Sales!$E:$G,3,FALSE)</f>
        <v>#N/A</v>
      </c>
      <c r="T2622" s="19" t="e">
        <f>VLOOKUP(A2622,[4]Volume!$E:$G,3,FALSE)</f>
        <v>#N/A</v>
      </c>
      <c r="U2622" s="19" t="e">
        <f>VLOOKUP(A2622,[4]Piece!$E:$G,3,FALSE)</f>
        <v>#N/A</v>
      </c>
      <c r="V2622" s="21" t="e">
        <f t="shared" si="163"/>
        <v>#N/A</v>
      </c>
      <c r="W2622" s="16" t="e">
        <f t="shared" si="164"/>
        <v>#N/A</v>
      </c>
    </row>
    <row r="2623" spans="1:23" hidden="1" x14ac:dyDescent="0.3">
      <c r="A2623" s="48" t="s">
        <v>7839</v>
      </c>
      <c r="B2623" s="18" t="str">
        <f t="shared" si="167"/>
        <v>00682050</v>
      </c>
      <c r="C2623" s="47" t="s">
        <v>33</v>
      </c>
      <c r="D2623" s="48" t="s">
        <v>7928</v>
      </c>
      <c r="E2623" s="18" t="s">
        <v>7886</v>
      </c>
      <c r="F2623" s="20" t="str">
        <f t="shared" si="166"/>
        <v>Polyseam - FR Acrylic 310ml pure white</v>
      </c>
      <c r="G2623" s="20" t="s">
        <v>7943</v>
      </c>
      <c r="H2623" s="49" t="s">
        <v>213</v>
      </c>
      <c r="I2623" s="18" t="s">
        <v>37</v>
      </c>
      <c r="J2623" s="18" t="s">
        <v>38</v>
      </c>
      <c r="K2623" s="72" t="s">
        <v>7985</v>
      </c>
      <c r="L2623" s="50"/>
      <c r="M2623" s="18" t="s">
        <v>214</v>
      </c>
      <c r="N2623" s="20">
        <v>3105</v>
      </c>
      <c r="O2623" s="92"/>
      <c r="P2623" s="16">
        <v>2.25</v>
      </c>
      <c r="Q2623" s="17" t="e">
        <f t="shared" si="162"/>
        <v>#DIV/0!</v>
      </c>
      <c r="S2623" s="16" t="e">
        <f>VLOOKUP(A2623,[4]Sales!$E:$G,3,FALSE)</f>
        <v>#N/A</v>
      </c>
      <c r="T2623" s="19" t="e">
        <f>VLOOKUP(A2623,[4]Volume!$E:$G,3,FALSE)</f>
        <v>#N/A</v>
      </c>
      <c r="U2623" s="19" t="e">
        <f>VLOOKUP(A2623,[4]Piece!$E:$G,3,FALSE)</f>
        <v>#N/A</v>
      </c>
      <c r="V2623" s="21" t="e">
        <f t="shared" si="163"/>
        <v>#N/A</v>
      </c>
      <c r="W2623" s="16" t="e">
        <f t="shared" si="164"/>
        <v>#N/A</v>
      </c>
    </row>
    <row r="2624" spans="1:23" hidden="1" x14ac:dyDescent="0.3">
      <c r="A2624" s="48" t="s">
        <v>7840</v>
      </c>
      <c r="B2624" s="18" t="str">
        <f t="shared" si="167"/>
        <v>00682051</v>
      </c>
      <c r="C2624" s="47" t="s">
        <v>33</v>
      </c>
      <c r="D2624" s="48" t="s">
        <v>7928</v>
      </c>
      <c r="E2624" s="18" t="s">
        <v>7887</v>
      </c>
      <c r="F2624" s="20" t="str">
        <f t="shared" si="166"/>
        <v>Polyseam - FR Graphite 310ml</v>
      </c>
      <c r="G2624" s="20" t="s">
        <v>7944</v>
      </c>
      <c r="H2624" s="49" t="s">
        <v>213</v>
      </c>
      <c r="I2624" s="18" t="s">
        <v>37</v>
      </c>
      <c r="J2624" s="18" t="s">
        <v>38</v>
      </c>
      <c r="K2624" s="72" t="s">
        <v>7985</v>
      </c>
      <c r="L2624" s="50"/>
      <c r="M2624" s="18" t="s">
        <v>214</v>
      </c>
      <c r="N2624" s="20">
        <v>3105</v>
      </c>
      <c r="O2624" s="92"/>
      <c r="P2624" s="16">
        <v>2.4300000000000002</v>
      </c>
      <c r="Q2624" s="17" t="e">
        <f t="shared" si="162"/>
        <v>#DIV/0!</v>
      </c>
      <c r="S2624" s="16" t="e">
        <f>VLOOKUP(A2624,[4]Sales!$E:$G,3,FALSE)</f>
        <v>#N/A</v>
      </c>
      <c r="T2624" s="19" t="e">
        <f>VLOOKUP(A2624,[4]Volume!$E:$G,3,FALSE)</f>
        <v>#N/A</v>
      </c>
      <c r="U2624" s="19" t="e">
        <f>VLOOKUP(A2624,[4]Piece!$E:$G,3,FALSE)</f>
        <v>#N/A</v>
      </c>
      <c r="V2624" s="21" t="e">
        <f t="shared" si="163"/>
        <v>#N/A</v>
      </c>
      <c r="W2624" s="16" t="e">
        <f t="shared" si="164"/>
        <v>#N/A</v>
      </c>
    </row>
    <row r="2625" spans="1:23" hidden="1" x14ac:dyDescent="0.3">
      <c r="A2625" s="48" t="s">
        <v>7841</v>
      </c>
      <c r="B2625" s="18" t="str">
        <f t="shared" si="167"/>
        <v>00682052</v>
      </c>
      <c r="C2625" s="47" t="s">
        <v>33</v>
      </c>
      <c r="D2625" s="48" t="s">
        <v>7928</v>
      </c>
      <c r="E2625" s="18" t="s">
        <v>7888</v>
      </c>
      <c r="F2625" s="20" t="str">
        <f t="shared" si="166"/>
        <v>Polyseam - FR Adhesive 310ml</v>
      </c>
      <c r="G2625" s="20" t="s">
        <v>7945</v>
      </c>
      <c r="H2625" s="49" t="s">
        <v>213</v>
      </c>
      <c r="I2625" s="18" t="s">
        <v>37</v>
      </c>
      <c r="J2625" s="18" t="s">
        <v>38</v>
      </c>
      <c r="K2625" s="72" t="s">
        <v>7985</v>
      </c>
      <c r="L2625" s="50"/>
      <c r="M2625" s="18" t="s">
        <v>214</v>
      </c>
      <c r="N2625" s="20">
        <v>3105</v>
      </c>
      <c r="O2625" s="92"/>
      <c r="P2625" s="16">
        <v>2.2000000000000002</v>
      </c>
      <c r="Q2625" s="17" t="e">
        <f t="shared" si="162"/>
        <v>#DIV/0!</v>
      </c>
      <c r="S2625" s="16" t="e">
        <f>VLOOKUP(A2625,[4]Sales!$E:$G,3,FALSE)</f>
        <v>#N/A</v>
      </c>
      <c r="T2625" s="19" t="e">
        <f>VLOOKUP(A2625,[4]Volume!$E:$G,3,FALSE)</f>
        <v>#N/A</v>
      </c>
      <c r="U2625" s="19" t="e">
        <f>VLOOKUP(A2625,[4]Piece!$E:$G,3,FALSE)</f>
        <v>#N/A</v>
      </c>
      <c r="V2625" s="21" t="e">
        <f t="shared" si="163"/>
        <v>#N/A</v>
      </c>
      <c r="W2625" s="16" t="e">
        <f t="shared" si="164"/>
        <v>#N/A</v>
      </c>
    </row>
    <row r="2626" spans="1:23" hidden="1" x14ac:dyDescent="0.3">
      <c r="A2626" s="48" t="s">
        <v>7842</v>
      </c>
      <c r="B2626" s="18" t="str">
        <f t="shared" si="167"/>
        <v>00682053</v>
      </c>
      <c r="C2626" s="47" t="s">
        <v>33</v>
      </c>
      <c r="D2626" s="48" t="s">
        <v>7928</v>
      </c>
      <c r="E2626" s="18" t="s">
        <v>7889</v>
      </c>
      <c r="F2626" s="20" t="str">
        <f t="shared" si="166"/>
        <v>Polyseam - FR Backing 25/48/9000mm</v>
      </c>
      <c r="G2626" s="20" t="s">
        <v>7946</v>
      </c>
      <c r="H2626" s="49" t="s">
        <v>213</v>
      </c>
      <c r="I2626" s="18" t="s">
        <v>37</v>
      </c>
      <c r="J2626" s="18" t="s">
        <v>38</v>
      </c>
      <c r="K2626" s="72" t="s">
        <v>7985</v>
      </c>
      <c r="L2626" s="50"/>
      <c r="M2626" s="18" t="s">
        <v>214</v>
      </c>
      <c r="N2626" s="20">
        <v>3105</v>
      </c>
      <c r="O2626" s="92"/>
      <c r="P2626" s="16">
        <v>16.559999999999999</v>
      </c>
      <c r="Q2626" s="17" t="e">
        <f t="shared" si="162"/>
        <v>#DIV/0!</v>
      </c>
      <c r="S2626" s="16" t="e">
        <f>VLOOKUP(A2626,[4]Sales!$E:$G,3,FALSE)</f>
        <v>#N/A</v>
      </c>
      <c r="T2626" s="19" t="e">
        <f>VLOOKUP(A2626,[4]Volume!$E:$G,3,FALSE)</f>
        <v>#N/A</v>
      </c>
      <c r="U2626" s="19" t="e">
        <f>VLOOKUP(A2626,[4]Piece!$E:$G,3,FALSE)</f>
        <v>#N/A</v>
      </c>
      <c r="V2626" s="21" t="e">
        <f t="shared" si="163"/>
        <v>#N/A</v>
      </c>
      <c r="W2626" s="16" t="e">
        <f t="shared" si="164"/>
        <v>#N/A</v>
      </c>
    </row>
    <row r="2627" spans="1:23" hidden="1" x14ac:dyDescent="0.3">
      <c r="A2627" s="48" t="s">
        <v>7843</v>
      </c>
      <c r="B2627" s="18" t="str">
        <f t="shared" si="167"/>
        <v>00682054</v>
      </c>
      <c r="C2627" s="47" t="s">
        <v>33</v>
      </c>
      <c r="D2627" s="48" t="s">
        <v>7928</v>
      </c>
      <c r="E2627" s="18" t="s">
        <v>7890</v>
      </c>
      <c r="F2627" s="20" t="str">
        <f t="shared" si="166"/>
        <v>Polyseam - FR Backing 25/610/7200mm</v>
      </c>
      <c r="G2627" s="20" t="s">
        <v>7947</v>
      </c>
      <c r="H2627" s="49" t="s">
        <v>213</v>
      </c>
      <c r="I2627" s="18" t="s">
        <v>37</v>
      </c>
      <c r="J2627" s="18" t="s">
        <v>38</v>
      </c>
      <c r="K2627" s="72" t="s">
        <v>7985</v>
      </c>
      <c r="L2627" s="50"/>
      <c r="M2627" s="18" t="s">
        <v>214</v>
      </c>
      <c r="N2627" s="20">
        <v>3105</v>
      </c>
      <c r="O2627" s="92"/>
      <c r="P2627" s="16">
        <v>63.57</v>
      </c>
      <c r="Q2627" s="17" t="e">
        <f t="shared" ref="Q2627:Q2664" si="168">P2627/L2627</f>
        <v>#DIV/0!</v>
      </c>
      <c r="S2627" s="16" t="e">
        <f>VLOOKUP(A2627,[4]Sales!$E:$G,3,FALSE)</f>
        <v>#N/A</v>
      </c>
      <c r="T2627" s="19" t="e">
        <f>VLOOKUP(A2627,[4]Volume!$E:$G,3,FALSE)</f>
        <v>#N/A</v>
      </c>
      <c r="U2627" s="19" t="e">
        <f>VLOOKUP(A2627,[4]Piece!$E:$G,3,FALSE)</f>
        <v>#N/A</v>
      </c>
      <c r="V2627" s="21" t="e">
        <f t="shared" ref="V2627:V2664" si="169">U2627*P2627</f>
        <v>#N/A</v>
      </c>
      <c r="W2627" s="16" t="e">
        <f t="shared" ref="W2627:W2664" si="170">V2627-S2627</f>
        <v>#N/A</v>
      </c>
    </row>
    <row r="2628" spans="1:23" hidden="1" x14ac:dyDescent="0.3">
      <c r="A2628" s="48" t="s">
        <v>7844</v>
      </c>
      <c r="B2628" s="18" t="str">
        <f t="shared" si="167"/>
        <v>00682055</v>
      </c>
      <c r="C2628" s="47" t="s">
        <v>33</v>
      </c>
      <c r="D2628" s="48" t="s">
        <v>7928</v>
      </c>
      <c r="E2628" s="18" t="s">
        <v>7891</v>
      </c>
      <c r="F2628" s="20" t="str">
        <f t="shared" si="166"/>
        <v>Polyseam - Eco-Cartridge 300ml (empty)</v>
      </c>
      <c r="G2628" s="20" t="s">
        <v>7948</v>
      </c>
      <c r="H2628" s="49" t="s">
        <v>213</v>
      </c>
      <c r="I2628" s="18" t="s">
        <v>37</v>
      </c>
      <c r="J2628" s="18" t="s">
        <v>38</v>
      </c>
      <c r="K2628" s="72" t="s">
        <v>7985</v>
      </c>
      <c r="L2628" s="50"/>
      <c r="M2628" s="18" t="s">
        <v>214</v>
      </c>
      <c r="N2628" s="20">
        <v>3105</v>
      </c>
      <c r="O2628" s="92"/>
      <c r="P2628" s="16">
        <v>2.29</v>
      </c>
      <c r="Q2628" s="17" t="e">
        <f t="shared" si="168"/>
        <v>#DIV/0!</v>
      </c>
      <c r="S2628" s="16" t="e">
        <f>VLOOKUP(A2628,[4]Sales!$E:$G,3,FALSE)</f>
        <v>#N/A</v>
      </c>
      <c r="T2628" s="19" t="e">
        <f>VLOOKUP(A2628,[4]Volume!$E:$G,3,FALSE)</f>
        <v>#N/A</v>
      </c>
      <c r="U2628" s="19" t="e">
        <f>VLOOKUP(A2628,[4]Piece!$E:$G,3,FALSE)</f>
        <v>#N/A</v>
      </c>
      <c r="V2628" s="21" t="e">
        <f t="shared" si="169"/>
        <v>#N/A</v>
      </c>
      <c r="W2628" s="16" t="e">
        <f t="shared" si="170"/>
        <v>#N/A</v>
      </c>
    </row>
    <row r="2629" spans="1:23" hidden="1" x14ac:dyDescent="0.3">
      <c r="A2629" s="48" t="s">
        <v>7845</v>
      </c>
      <c r="B2629" s="18" t="str">
        <f t="shared" si="167"/>
        <v>00682056</v>
      </c>
      <c r="C2629" s="47" t="s">
        <v>33</v>
      </c>
      <c r="D2629" s="48" t="s">
        <v>7928</v>
      </c>
      <c r="E2629" s="18" t="s">
        <v>7892</v>
      </c>
      <c r="F2629" s="20" t="str">
        <f t="shared" si="166"/>
        <v>Polyseam - FR Board 50mm 1-S ribbed</v>
      </c>
      <c r="G2629" s="20" t="s">
        <v>7949</v>
      </c>
      <c r="H2629" s="49" t="s">
        <v>213</v>
      </c>
      <c r="I2629" s="18" t="s">
        <v>37</v>
      </c>
      <c r="J2629" s="18" t="s">
        <v>38</v>
      </c>
      <c r="K2629" s="72" t="s">
        <v>7985</v>
      </c>
      <c r="L2629" s="50"/>
      <c r="M2629" s="18" t="s">
        <v>214</v>
      </c>
      <c r="N2629" s="20">
        <v>3105</v>
      </c>
      <c r="O2629" s="92"/>
      <c r="P2629" s="16">
        <v>16.47</v>
      </c>
      <c r="Q2629" s="17" t="e">
        <f t="shared" si="168"/>
        <v>#DIV/0!</v>
      </c>
      <c r="S2629" s="16" t="e">
        <f>VLOOKUP(A2629,[4]Sales!$E:$G,3,FALSE)</f>
        <v>#N/A</v>
      </c>
      <c r="T2629" s="19" t="e">
        <f>VLOOKUP(A2629,[4]Volume!$E:$G,3,FALSE)</f>
        <v>#N/A</v>
      </c>
      <c r="U2629" s="19" t="e">
        <f>VLOOKUP(A2629,[4]Piece!$E:$G,3,FALSE)</f>
        <v>#N/A</v>
      </c>
      <c r="V2629" s="21" t="e">
        <f t="shared" si="169"/>
        <v>#N/A</v>
      </c>
      <c r="W2629" s="16" t="e">
        <f t="shared" si="170"/>
        <v>#N/A</v>
      </c>
    </row>
    <row r="2630" spans="1:23" hidden="1" x14ac:dyDescent="0.3">
      <c r="A2630" s="48" t="s">
        <v>7846</v>
      </c>
      <c r="B2630" s="18" t="str">
        <f t="shared" si="167"/>
        <v>00682057</v>
      </c>
      <c r="C2630" s="47" t="s">
        <v>33</v>
      </c>
      <c r="D2630" s="48" t="s">
        <v>7928</v>
      </c>
      <c r="E2630" s="18" t="s">
        <v>7893</v>
      </c>
      <c r="F2630" s="20" t="str">
        <f t="shared" si="166"/>
        <v>Polyseam - FR Board 50mm 2-S ribbed</v>
      </c>
      <c r="G2630" s="20" t="s">
        <v>7950</v>
      </c>
      <c r="H2630" s="49" t="s">
        <v>213</v>
      </c>
      <c r="I2630" s="18" t="s">
        <v>37</v>
      </c>
      <c r="J2630" s="18" t="s">
        <v>38</v>
      </c>
      <c r="K2630" s="72" t="s">
        <v>7985</v>
      </c>
      <c r="L2630" s="50"/>
      <c r="M2630" s="18" t="s">
        <v>214</v>
      </c>
      <c r="N2630" s="20">
        <v>3105</v>
      </c>
      <c r="O2630" s="92"/>
      <c r="P2630" s="16">
        <v>18.39</v>
      </c>
      <c r="Q2630" s="17" t="e">
        <f t="shared" si="168"/>
        <v>#DIV/0!</v>
      </c>
      <c r="S2630" s="16" t="e">
        <f>VLOOKUP(A2630,[4]Sales!$E:$G,3,FALSE)</f>
        <v>#N/A</v>
      </c>
      <c r="T2630" s="19" t="e">
        <f>VLOOKUP(A2630,[4]Volume!$E:$G,3,FALSE)</f>
        <v>#N/A</v>
      </c>
      <c r="U2630" s="19" t="e">
        <f>VLOOKUP(A2630,[4]Piece!$E:$G,3,FALSE)</f>
        <v>#N/A</v>
      </c>
      <c r="V2630" s="21" t="e">
        <f t="shared" si="169"/>
        <v>#N/A</v>
      </c>
      <c r="W2630" s="16" t="e">
        <f t="shared" si="170"/>
        <v>#N/A</v>
      </c>
    </row>
    <row r="2631" spans="1:23" hidden="1" x14ac:dyDescent="0.3">
      <c r="A2631" s="48" t="s">
        <v>7847</v>
      </c>
      <c r="B2631" s="18" t="str">
        <f t="shared" si="167"/>
        <v>00682058</v>
      </c>
      <c r="C2631" s="47" t="s">
        <v>33</v>
      </c>
      <c r="D2631" s="48" t="s">
        <v>7928</v>
      </c>
      <c r="E2631" s="18" t="s">
        <v>7894</v>
      </c>
      <c r="F2631" s="20" t="str">
        <f t="shared" si="166"/>
        <v>Polyseam - FR Board 60mm 2-S ribbed</v>
      </c>
      <c r="G2631" s="20" t="s">
        <v>7951</v>
      </c>
      <c r="H2631" s="49" t="s">
        <v>213</v>
      </c>
      <c r="I2631" s="18" t="s">
        <v>37</v>
      </c>
      <c r="J2631" s="18" t="s">
        <v>38</v>
      </c>
      <c r="K2631" s="72" t="s">
        <v>7985</v>
      </c>
      <c r="L2631" s="50"/>
      <c r="M2631" s="18" t="s">
        <v>214</v>
      </c>
      <c r="N2631" s="20">
        <v>3105</v>
      </c>
      <c r="O2631" s="92"/>
      <c r="P2631" s="16">
        <v>22.03</v>
      </c>
      <c r="Q2631" s="17" t="e">
        <f t="shared" si="168"/>
        <v>#DIV/0!</v>
      </c>
      <c r="S2631" s="16" t="e">
        <f>VLOOKUP(A2631,[4]Sales!$E:$G,3,FALSE)</f>
        <v>#N/A</v>
      </c>
      <c r="T2631" s="19" t="e">
        <f>VLOOKUP(A2631,[4]Volume!$E:$G,3,FALSE)</f>
        <v>#N/A</v>
      </c>
      <c r="U2631" s="19" t="e">
        <f>VLOOKUP(A2631,[4]Piece!$E:$G,3,FALSE)</f>
        <v>#N/A</v>
      </c>
      <c r="V2631" s="21" t="e">
        <f t="shared" si="169"/>
        <v>#N/A</v>
      </c>
      <c r="W2631" s="16" t="e">
        <f t="shared" si="170"/>
        <v>#N/A</v>
      </c>
    </row>
    <row r="2632" spans="1:23" hidden="1" x14ac:dyDescent="0.3">
      <c r="A2632" s="48" t="s">
        <v>7848</v>
      </c>
      <c r="B2632" s="18" t="str">
        <f t="shared" si="167"/>
        <v>00682059</v>
      </c>
      <c r="C2632" s="47" t="s">
        <v>33</v>
      </c>
      <c r="D2632" s="48" t="s">
        <v>7928</v>
      </c>
      <c r="E2632" s="18" t="s">
        <v>7895</v>
      </c>
      <c r="F2632" s="20" t="str">
        <f t="shared" si="166"/>
        <v>Polyseam - EX Mortar 10 ltr</v>
      </c>
      <c r="G2632" s="20" t="s">
        <v>7952</v>
      </c>
      <c r="H2632" s="49" t="s">
        <v>213</v>
      </c>
      <c r="I2632" s="18" t="s">
        <v>37</v>
      </c>
      <c r="J2632" s="18" t="s">
        <v>38</v>
      </c>
      <c r="K2632" s="72" t="s">
        <v>7985</v>
      </c>
      <c r="L2632" s="50"/>
      <c r="M2632" s="18" t="s">
        <v>214</v>
      </c>
      <c r="N2632" s="20">
        <v>3105</v>
      </c>
      <c r="O2632" s="92"/>
      <c r="P2632" s="16">
        <v>12.15</v>
      </c>
      <c r="Q2632" s="17" t="e">
        <f t="shared" si="168"/>
        <v>#DIV/0!</v>
      </c>
      <c r="S2632" s="16" t="e">
        <f>VLOOKUP(A2632,[4]Sales!$E:$G,3,FALSE)</f>
        <v>#N/A</v>
      </c>
      <c r="T2632" s="19" t="e">
        <f>VLOOKUP(A2632,[4]Volume!$E:$G,3,FALSE)</f>
        <v>#N/A</v>
      </c>
      <c r="U2632" s="19" t="e">
        <f>VLOOKUP(A2632,[4]Piece!$E:$G,3,FALSE)</f>
        <v>#N/A</v>
      </c>
      <c r="V2632" s="21" t="e">
        <f t="shared" si="169"/>
        <v>#N/A</v>
      </c>
      <c r="W2632" s="16" t="e">
        <f t="shared" si="170"/>
        <v>#N/A</v>
      </c>
    </row>
    <row r="2633" spans="1:23" hidden="1" x14ac:dyDescent="0.3">
      <c r="A2633" s="48" t="s">
        <v>7849</v>
      </c>
      <c r="B2633" s="18" t="str">
        <f t="shared" si="167"/>
        <v>00682060</v>
      </c>
      <c r="C2633" s="47" t="s">
        <v>33</v>
      </c>
      <c r="D2633" s="48" t="s">
        <v>7928</v>
      </c>
      <c r="E2633" s="18" t="s">
        <v>7896</v>
      </c>
      <c r="F2633" s="20" t="str">
        <f t="shared" si="166"/>
        <v>Polyseam - EX Mortar 20 ltr</v>
      </c>
      <c r="G2633" s="20" t="s">
        <v>7953</v>
      </c>
      <c r="H2633" s="49" t="s">
        <v>213</v>
      </c>
      <c r="I2633" s="18" t="s">
        <v>37</v>
      </c>
      <c r="J2633" s="18" t="s">
        <v>38</v>
      </c>
      <c r="K2633" s="72" t="s">
        <v>7985</v>
      </c>
      <c r="L2633" s="50"/>
      <c r="M2633" s="18" t="s">
        <v>214</v>
      </c>
      <c r="N2633" s="20">
        <v>3105</v>
      </c>
      <c r="O2633" s="92"/>
      <c r="P2633" s="16">
        <v>14.68</v>
      </c>
      <c r="Q2633" s="17" t="e">
        <f t="shared" si="168"/>
        <v>#DIV/0!</v>
      </c>
      <c r="S2633" s="16" t="e">
        <f>VLOOKUP(A2633,[4]Sales!$E:$G,3,FALSE)</f>
        <v>#N/A</v>
      </c>
      <c r="T2633" s="19" t="e">
        <f>VLOOKUP(A2633,[4]Volume!$E:$G,3,FALSE)</f>
        <v>#N/A</v>
      </c>
      <c r="U2633" s="19" t="e">
        <f>VLOOKUP(A2633,[4]Piece!$E:$G,3,FALSE)</f>
        <v>#N/A</v>
      </c>
      <c r="V2633" s="21" t="e">
        <f t="shared" si="169"/>
        <v>#N/A</v>
      </c>
      <c r="W2633" s="16" t="e">
        <f t="shared" si="170"/>
        <v>#N/A</v>
      </c>
    </row>
    <row r="2634" spans="1:23" hidden="1" x14ac:dyDescent="0.3">
      <c r="A2634" s="48" t="s">
        <v>7850</v>
      </c>
      <c r="B2634" s="18" t="str">
        <f t="shared" si="167"/>
        <v>00682061</v>
      </c>
      <c r="C2634" s="47" t="s">
        <v>33</v>
      </c>
      <c r="D2634" s="48" t="s">
        <v>7928</v>
      </c>
      <c r="E2634" s="18" t="s">
        <v>7897</v>
      </c>
      <c r="F2634" s="20" t="str">
        <f t="shared" si="166"/>
        <v>Polyseam - FR Collar Ø32/30mm</v>
      </c>
      <c r="G2634" s="20" t="s">
        <v>7954</v>
      </c>
      <c r="H2634" s="49" t="s">
        <v>213</v>
      </c>
      <c r="I2634" s="18" t="s">
        <v>37</v>
      </c>
      <c r="J2634" s="18" t="s">
        <v>38</v>
      </c>
      <c r="K2634" s="72" t="s">
        <v>7985</v>
      </c>
      <c r="L2634" s="50"/>
      <c r="M2634" s="18" t="s">
        <v>214</v>
      </c>
      <c r="N2634" s="20">
        <v>3105</v>
      </c>
      <c r="O2634" s="92"/>
      <c r="P2634" s="16">
        <v>4.1900000000000004</v>
      </c>
      <c r="Q2634" s="17" t="e">
        <f t="shared" si="168"/>
        <v>#DIV/0!</v>
      </c>
      <c r="S2634" s="16" t="e">
        <f>VLOOKUP(A2634,[4]Sales!$E:$G,3,FALSE)</f>
        <v>#N/A</v>
      </c>
      <c r="T2634" s="19" t="e">
        <f>VLOOKUP(A2634,[4]Volume!$E:$G,3,FALSE)</f>
        <v>#N/A</v>
      </c>
      <c r="U2634" s="19" t="e">
        <f>VLOOKUP(A2634,[4]Piece!$E:$G,3,FALSE)</f>
        <v>#N/A</v>
      </c>
      <c r="V2634" s="21" t="e">
        <f t="shared" si="169"/>
        <v>#N/A</v>
      </c>
      <c r="W2634" s="16" t="e">
        <f t="shared" si="170"/>
        <v>#N/A</v>
      </c>
    </row>
    <row r="2635" spans="1:23" hidden="1" x14ac:dyDescent="0.3">
      <c r="A2635" s="48" t="s">
        <v>7851</v>
      </c>
      <c r="B2635" s="18" t="str">
        <f t="shared" si="167"/>
        <v>00682062</v>
      </c>
      <c r="C2635" s="47" t="s">
        <v>33</v>
      </c>
      <c r="D2635" s="48" t="s">
        <v>7928</v>
      </c>
      <c r="E2635" s="18" t="s">
        <v>7898</v>
      </c>
      <c r="F2635" s="20" t="str">
        <f t="shared" si="166"/>
        <v>Polyseam - FR Collar Ø32/50mm</v>
      </c>
      <c r="G2635" s="20" t="s">
        <v>7955</v>
      </c>
      <c r="H2635" s="49" t="s">
        <v>213</v>
      </c>
      <c r="I2635" s="18" t="s">
        <v>37</v>
      </c>
      <c r="J2635" s="18" t="s">
        <v>38</v>
      </c>
      <c r="K2635" s="72" t="s">
        <v>7985</v>
      </c>
      <c r="L2635" s="50"/>
      <c r="M2635" s="18" t="s">
        <v>214</v>
      </c>
      <c r="N2635" s="20">
        <v>3105</v>
      </c>
      <c r="O2635" s="92"/>
      <c r="P2635" s="16">
        <v>4.59</v>
      </c>
      <c r="Q2635" s="17" t="e">
        <f t="shared" si="168"/>
        <v>#DIV/0!</v>
      </c>
      <c r="S2635" s="16" t="e">
        <f>VLOOKUP(A2635,[4]Sales!$E:$G,3,FALSE)</f>
        <v>#N/A</v>
      </c>
      <c r="T2635" s="19" t="e">
        <f>VLOOKUP(A2635,[4]Volume!$E:$G,3,FALSE)</f>
        <v>#N/A</v>
      </c>
      <c r="U2635" s="19" t="e">
        <f>VLOOKUP(A2635,[4]Piece!$E:$G,3,FALSE)</f>
        <v>#N/A</v>
      </c>
      <c r="V2635" s="21" t="e">
        <f t="shared" si="169"/>
        <v>#N/A</v>
      </c>
      <c r="W2635" s="16" t="e">
        <f t="shared" si="170"/>
        <v>#N/A</v>
      </c>
    </row>
    <row r="2636" spans="1:23" hidden="1" x14ac:dyDescent="0.3">
      <c r="A2636" s="48" t="s">
        <v>7852</v>
      </c>
      <c r="B2636" s="18" t="str">
        <f t="shared" si="167"/>
        <v>00682063</v>
      </c>
      <c r="C2636" s="47" t="s">
        <v>33</v>
      </c>
      <c r="D2636" s="48" t="s">
        <v>7928</v>
      </c>
      <c r="E2636" s="18" t="s">
        <v>7899</v>
      </c>
      <c r="F2636" s="20" t="str">
        <f t="shared" si="166"/>
        <v>Polyseam - FR Collar Ø40/30mm</v>
      </c>
      <c r="G2636" s="20" t="s">
        <v>7956</v>
      </c>
      <c r="H2636" s="49" t="s">
        <v>213</v>
      </c>
      <c r="I2636" s="18" t="s">
        <v>37</v>
      </c>
      <c r="J2636" s="18" t="s">
        <v>38</v>
      </c>
      <c r="K2636" s="72" t="s">
        <v>7985</v>
      </c>
      <c r="L2636" s="50"/>
      <c r="M2636" s="18" t="s">
        <v>214</v>
      </c>
      <c r="N2636" s="20">
        <v>3105</v>
      </c>
      <c r="O2636" s="92"/>
      <c r="P2636" s="16">
        <v>4.2699999999999996</v>
      </c>
      <c r="Q2636" s="17" t="e">
        <f t="shared" si="168"/>
        <v>#DIV/0!</v>
      </c>
      <c r="S2636" s="16" t="e">
        <f>VLOOKUP(A2636,[4]Sales!$E:$G,3,FALSE)</f>
        <v>#N/A</v>
      </c>
      <c r="T2636" s="19" t="e">
        <f>VLOOKUP(A2636,[4]Volume!$E:$G,3,FALSE)</f>
        <v>#N/A</v>
      </c>
      <c r="U2636" s="19" t="e">
        <f>VLOOKUP(A2636,[4]Piece!$E:$G,3,FALSE)</f>
        <v>#N/A</v>
      </c>
      <c r="V2636" s="21" t="e">
        <f t="shared" si="169"/>
        <v>#N/A</v>
      </c>
      <c r="W2636" s="16" t="e">
        <f t="shared" si="170"/>
        <v>#N/A</v>
      </c>
    </row>
    <row r="2637" spans="1:23" hidden="1" x14ac:dyDescent="0.3">
      <c r="A2637" s="48" t="s">
        <v>7853</v>
      </c>
      <c r="B2637" s="18" t="str">
        <f t="shared" si="167"/>
        <v>00682064</v>
      </c>
      <c r="C2637" s="47" t="s">
        <v>33</v>
      </c>
      <c r="D2637" s="48" t="s">
        <v>7928</v>
      </c>
      <c r="E2637" s="18" t="s">
        <v>7900</v>
      </c>
      <c r="F2637" s="20" t="str">
        <f t="shared" si="166"/>
        <v>Polyseam - FR Collar Ø40/50mm</v>
      </c>
      <c r="G2637" s="20" t="s">
        <v>7957</v>
      </c>
      <c r="H2637" s="49" t="s">
        <v>213</v>
      </c>
      <c r="I2637" s="18" t="s">
        <v>37</v>
      </c>
      <c r="J2637" s="18" t="s">
        <v>38</v>
      </c>
      <c r="K2637" s="72" t="s">
        <v>7985</v>
      </c>
      <c r="L2637" s="50"/>
      <c r="M2637" s="18" t="s">
        <v>214</v>
      </c>
      <c r="N2637" s="20">
        <v>3105</v>
      </c>
      <c r="O2637" s="92"/>
      <c r="P2637" s="16">
        <v>4.6100000000000003</v>
      </c>
      <c r="Q2637" s="17" t="e">
        <f t="shared" si="168"/>
        <v>#DIV/0!</v>
      </c>
      <c r="S2637" s="16" t="e">
        <f>VLOOKUP(A2637,[4]Sales!$E:$G,3,FALSE)</f>
        <v>#N/A</v>
      </c>
      <c r="T2637" s="19" t="e">
        <f>VLOOKUP(A2637,[4]Volume!$E:$G,3,FALSE)</f>
        <v>#N/A</v>
      </c>
      <c r="U2637" s="19" t="e">
        <f>VLOOKUP(A2637,[4]Piece!$E:$G,3,FALSE)</f>
        <v>#N/A</v>
      </c>
      <c r="V2637" s="21" t="e">
        <f t="shared" si="169"/>
        <v>#N/A</v>
      </c>
      <c r="W2637" s="16" t="e">
        <f t="shared" si="170"/>
        <v>#N/A</v>
      </c>
    </row>
    <row r="2638" spans="1:23" hidden="1" x14ac:dyDescent="0.3">
      <c r="A2638" s="48" t="s">
        <v>7854</v>
      </c>
      <c r="B2638" s="18" t="str">
        <f t="shared" si="167"/>
        <v>00915440</v>
      </c>
      <c r="C2638" s="47" t="s">
        <v>33</v>
      </c>
      <c r="D2638" s="48" t="s">
        <v>7928</v>
      </c>
      <c r="E2638" s="18" t="s">
        <v>7901</v>
      </c>
      <c r="F2638" s="20" t="str">
        <f t="shared" si="166"/>
        <v>Polyseam - FR Collar Ø55/30mm</v>
      </c>
      <c r="G2638" s="20" t="s">
        <v>7958</v>
      </c>
      <c r="H2638" s="49" t="s">
        <v>213</v>
      </c>
      <c r="I2638" s="18" t="s">
        <v>37</v>
      </c>
      <c r="J2638" s="18" t="s">
        <v>38</v>
      </c>
      <c r="K2638" s="72" t="s">
        <v>7985</v>
      </c>
      <c r="L2638" s="50"/>
      <c r="M2638" s="18" t="s">
        <v>214</v>
      </c>
      <c r="N2638" s="20">
        <v>3105</v>
      </c>
      <c r="O2638" s="92"/>
      <c r="P2638" s="16">
        <v>4.53</v>
      </c>
      <c r="Q2638" s="17" t="e">
        <f t="shared" si="168"/>
        <v>#DIV/0!</v>
      </c>
      <c r="S2638" s="16" t="e">
        <f>VLOOKUP(A2638,[4]Sales!$E:$G,3,FALSE)</f>
        <v>#N/A</v>
      </c>
      <c r="T2638" s="19" t="e">
        <f>VLOOKUP(A2638,[4]Volume!$E:$G,3,FALSE)</f>
        <v>#N/A</v>
      </c>
      <c r="U2638" s="19" t="e">
        <f>VLOOKUP(A2638,[4]Piece!$E:$G,3,FALSE)</f>
        <v>#N/A</v>
      </c>
      <c r="V2638" s="21" t="e">
        <f t="shared" si="169"/>
        <v>#N/A</v>
      </c>
      <c r="W2638" s="16" t="e">
        <f t="shared" si="170"/>
        <v>#N/A</v>
      </c>
    </row>
    <row r="2639" spans="1:23" hidden="1" x14ac:dyDescent="0.3">
      <c r="A2639" s="48" t="s">
        <v>7855</v>
      </c>
      <c r="B2639" s="18" t="str">
        <f t="shared" si="167"/>
        <v>00915441</v>
      </c>
      <c r="C2639" s="47" t="s">
        <v>33</v>
      </c>
      <c r="D2639" s="48" t="s">
        <v>7928</v>
      </c>
      <c r="E2639" s="18" t="s">
        <v>7902</v>
      </c>
      <c r="F2639" s="20" t="str">
        <f t="shared" si="166"/>
        <v>Polyseam - FR Collar Ø55/50mm</v>
      </c>
      <c r="G2639" s="20" t="s">
        <v>7959</v>
      </c>
      <c r="H2639" s="49" t="s">
        <v>213</v>
      </c>
      <c r="I2639" s="18" t="s">
        <v>37</v>
      </c>
      <c r="J2639" s="18" t="s">
        <v>38</v>
      </c>
      <c r="K2639" s="72" t="s">
        <v>7985</v>
      </c>
      <c r="L2639" s="50"/>
      <c r="M2639" s="18" t="s">
        <v>214</v>
      </c>
      <c r="N2639" s="20">
        <v>3105</v>
      </c>
      <c r="O2639" s="92"/>
      <c r="P2639" s="16">
        <v>4.7699999999999996</v>
      </c>
      <c r="Q2639" s="17" t="e">
        <f t="shared" si="168"/>
        <v>#DIV/0!</v>
      </c>
      <c r="S2639" s="16" t="e">
        <f>VLOOKUP(A2639,[4]Sales!$E:$G,3,FALSE)</f>
        <v>#N/A</v>
      </c>
      <c r="T2639" s="19" t="e">
        <f>VLOOKUP(A2639,[4]Volume!$E:$G,3,FALSE)</f>
        <v>#N/A</v>
      </c>
      <c r="U2639" s="19" t="e">
        <f>VLOOKUP(A2639,[4]Piece!$E:$G,3,FALSE)</f>
        <v>#N/A</v>
      </c>
      <c r="V2639" s="21" t="e">
        <f t="shared" si="169"/>
        <v>#N/A</v>
      </c>
      <c r="W2639" s="16" t="e">
        <f t="shared" si="170"/>
        <v>#N/A</v>
      </c>
    </row>
    <row r="2640" spans="1:23" hidden="1" x14ac:dyDescent="0.3">
      <c r="A2640" s="48" t="s">
        <v>7856</v>
      </c>
      <c r="B2640" s="18" t="str">
        <f t="shared" si="167"/>
        <v>00915442</v>
      </c>
      <c r="C2640" s="47" t="s">
        <v>33</v>
      </c>
      <c r="D2640" s="48" t="s">
        <v>7928</v>
      </c>
      <c r="E2640" s="18" t="s">
        <v>7903</v>
      </c>
      <c r="F2640" s="20" t="str">
        <f t="shared" si="166"/>
        <v>Polyseam - FR Collar Ø63/30mm</v>
      </c>
      <c r="G2640" s="20" t="s">
        <v>7960</v>
      </c>
      <c r="H2640" s="49" t="s">
        <v>213</v>
      </c>
      <c r="I2640" s="18" t="s">
        <v>37</v>
      </c>
      <c r="J2640" s="18" t="s">
        <v>38</v>
      </c>
      <c r="K2640" s="72" t="s">
        <v>7985</v>
      </c>
      <c r="L2640" s="50"/>
      <c r="M2640" s="18" t="s">
        <v>214</v>
      </c>
      <c r="N2640" s="20">
        <v>3105</v>
      </c>
      <c r="O2640" s="92"/>
      <c r="P2640" s="16">
        <v>4.6900000000000004</v>
      </c>
      <c r="Q2640" s="17" t="e">
        <f t="shared" si="168"/>
        <v>#DIV/0!</v>
      </c>
      <c r="S2640" s="16" t="e">
        <f>VLOOKUP(A2640,[4]Sales!$E:$G,3,FALSE)</f>
        <v>#N/A</v>
      </c>
      <c r="T2640" s="19" t="e">
        <f>VLOOKUP(A2640,[4]Volume!$E:$G,3,FALSE)</f>
        <v>#N/A</v>
      </c>
      <c r="U2640" s="19" t="e">
        <f>VLOOKUP(A2640,[4]Piece!$E:$G,3,FALSE)</f>
        <v>#N/A</v>
      </c>
      <c r="V2640" s="21" t="e">
        <f t="shared" si="169"/>
        <v>#N/A</v>
      </c>
      <c r="W2640" s="16" t="e">
        <f t="shared" si="170"/>
        <v>#N/A</v>
      </c>
    </row>
    <row r="2641" spans="1:23" hidden="1" x14ac:dyDescent="0.3">
      <c r="A2641" s="48" t="s">
        <v>7857</v>
      </c>
      <c r="B2641" s="18" t="str">
        <f t="shared" si="167"/>
        <v>00915443</v>
      </c>
      <c r="C2641" s="47" t="s">
        <v>33</v>
      </c>
      <c r="D2641" s="48" t="s">
        <v>7928</v>
      </c>
      <c r="E2641" s="18" t="s">
        <v>7904</v>
      </c>
      <c r="F2641" s="20" t="str">
        <f t="shared" si="166"/>
        <v>Polyseam - FR Collar Ø63/50mm</v>
      </c>
      <c r="G2641" s="20" t="s">
        <v>7961</v>
      </c>
      <c r="H2641" s="49" t="s">
        <v>213</v>
      </c>
      <c r="I2641" s="18" t="s">
        <v>37</v>
      </c>
      <c r="J2641" s="18" t="s">
        <v>38</v>
      </c>
      <c r="K2641" s="72" t="s">
        <v>7985</v>
      </c>
      <c r="L2641" s="50"/>
      <c r="M2641" s="18" t="s">
        <v>214</v>
      </c>
      <c r="N2641" s="20">
        <v>3105</v>
      </c>
      <c r="O2641" s="92"/>
      <c r="P2641" s="16">
        <v>5.33</v>
      </c>
      <c r="Q2641" s="17" t="e">
        <f t="shared" si="168"/>
        <v>#DIV/0!</v>
      </c>
      <c r="S2641" s="16" t="e">
        <f>VLOOKUP(A2641,[4]Sales!$E:$G,3,FALSE)</f>
        <v>#N/A</v>
      </c>
      <c r="T2641" s="19" t="e">
        <f>VLOOKUP(A2641,[4]Volume!$E:$G,3,FALSE)</f>
        <v>#N/A</v>
      </c>
      <c r="U2641" s="19" t="e">
        <f>VLOOKUP(A2641,[4]Piece!$E:$G,3,FALSE)</f>
        <v>#N/A</v>
      </c>
      <c r="V2641" s="21" t="e">
        <f t="shared" si="169"/>
        <v>#N/A</v>
      </c>
      <c r="W2641" s="16" t="e">
        <f t="shared" si="170"/>
        <v>#N/A</v>
      </c>
    </row>
    <row r="2642" spans="1:23" hidden="1" x14ac:dyDescent="0.3">
      <c r="A2642" s="48" t="s">
        <v>7858</v>
      </c>
      <c r="B2642" s="18" t="str">
        <f t="shared" si="167"/>
        <v>00915444</v>
      </c>
      <c r="C2642" s="47" t="s">
        <v>33</v>
      </c>
      <c r="D2642" s="48" t="s">
        <v>7928</v>
      </c>
      <c r="E2642" s="18" t="s">
        <v>7905</v>
      </c>
      <c r="F2642" s="20" t="str">
        <f t="shared" si="166"/>
        <v>Polyseam - FR Collar Ø75/30mm</v>
      </c>
      <c r="G2642" s="20" t="s">
        <v>7962</v>
      </c>
      <c r="H2642" s="49" t="s">
        <v>213</v>
      </c>
      <c r="I2642" s="18" t="s">
        <v>37</v>
      </c>
      <c r="J2642" s="18" t="s">
        <v>38</v>
      </c>
      <c r="K2642" s="72" t="s">
        <v>7985</v>
      </c>
      <c r="L2642" s="50"/>
      <c r="M2642" s="18" t="s">
        <v>214</v>
      </c>
      <c r="N2642" s="20">
        <v>3105</v>
      </c>
      <c r="O2642" s="92"/>
      <c r="P2642" s="16">
        <v>4.91</v>
      </c>
      <c r="Q2642" s="17" t="e">
        <f t="shared" si="168"/>
        <v>#DIV/0!</v>
      </c>
      <c r="S2642" s="16" t="e">
        <f>VLOOKUP(A2642,[4]Sales!$E:$G,3,FALSE)</f>
        <v>#N/A</v>
      </c>
      <c r="T2642" s="19" t="e">
        <f>VLOOKUP(A2642,[4]Volume!$E:$G,3,FALSE)</f>
        <v>#N/A</v>
      </c>
      <c r="U2642" s="19" t="e">
        <f>VLOOKUP(A2642,[4]Piece!$E:$G,3,FALSE)</f>
        <v>#N/A</v>
      </c>
      <c r="V2642" s="21" t="e">
        <f t="shared" si="169"/>
        <v>#N/A</v>
      </c>
      <c r="W2642" s="16" t="e">
        <f t="shared" si="170"/>
        <v>#N/A</v>
      </c>
    </row>
    <row r="2643" spans="1:23" hidden="1" x14ac:dyDescent="0.3">
      <c r="A2643" s="48" t="s">
        <v>7859</v>
      </c>
      <c r="B2643" s="18" t="str">
        <f t="shared" si="167"/>
        <v>00915445</v>
      </c>
      <c r="C2643" s="47" t="s">
        <v>33</v>
      </c>
      <c r="D2643" s="48" t="s">
        <v>7928</v>
      </c>
      <c r="E2643" s="18" t="s">
        <v>7906</v>
      </c>
      <c r="F2643" s="20" t="str">
        <f t="shared" si="166"/>
        <v>Polyseam - FR Collar Ø75/50mm</v>
      </c>
      <c r="G2643" s="20" t="s">
        <v>7963</v>
      </c>
      <c r="H2643" s="49" t="s">
        <v>213</v>
      </c>
      <c r="I2643" s="18" t="s">
        <v>37</v>
      </c>
      <c r="J2643" s="18" t="s">
        <v>38</v>
      </c>
      <c r="K2643" s="72" t="s">
        <v>7985</v>
      </c>
      <c r="L2643" s="50"/>
      <c r="M2643" s="18" t="s">
        <v>214</v>
      </c>
      <c r="N2643" s="20">
        <v>3105</v>
      </c>
      <c r="O2643" s="92"/>
      <c r="P2643" s="16">
        <v>5.55</v>
      </c>
      <c r="Q2643" s="17" t="e">
        <f t="shared" si="168"/>
        <v>#DIV/0!</v>
      </c>
      <c r="S2643" s="16" t="e">
        <f>VLOOKUP(A2643,[4]Sales!$E:$G,3,FALSE)</f>
        <v>#N/A</v>
      </c>
      <c r="T2643" s="19" t="e">
        <f>VLOOKUP(A2643,[4]Volume!$E:$G,3,FALSE)</f>
        <v>#N/A</v>
      </c>
      <c r="U2643" s="19" t="e">
        <f>VLOOKUP(A2643,[4]Piece!$E:$G,3,FALSE)</f>
        <v>#N/A</v>
      </c>
      <c r="V2643" s="21" t="e">
        <f t="shared" si="169"/>
        <v>#N/A</v>
      </c>
      <c r="W2643" s="16" t="e">
        <f t="shared" si="170"/>
        <v>#N/A</v>
      </c>
    </row>
    <row r="2644" spans="1:23" hidden="1" x14ac:dyDescent="0.3">
      <c r="A2644" s="48" t="s">
        <v>7860</v>
      </c>
      <c r="B2644" s="18" t="str">
        <f t="shared" si="167"/>
        <v>00915446</v>
      </c>
      <c r="C2644" s="47" t="s">
        <v>33</v>
      </c>
      <c r="D2644" s="48" t="s">
        <v>7928</v>
      </c>
      <c r="E2644" s="18" t="s">
        <v>7907</v>
      </c>
      <c r="F2644" s="20" t="str">
        <f t="shared" si="166"/>
        <v>Polyseam - FR Collar Ø82/30mm</v>
      </c>
      <c r="G2644" s="20" t="s">
        <v>7964</v>
      </c>
      <c r="H2644" s="49" t="s">
        <v>213</v>
      </c>
      <c r="I2644" s="18" t="s">
        <v>37</v>
      </c>
      <c r="J2644" s="18" t="s">
        <v>38</v>
      </c>
      <c r="K2644" s="72" t="s">
        <v>7985</v>
      </c>
      <c r="L2644" s="50"/>
      <c r="M2644" s="18" t="s">
        <v>214</v>
      </c>
      <c r="N2644" s="20">
        <v>3105</v>
      </c>
      <c r="O2644" s="92"/>
      <c r="P2644" s="16">
        <v>5.05</v>
      </c>
      <c r="Q2644" s="17" t="e">
        <f t="shared" si="168"/>
        <v>#DIV/0!</v>
      </c>
      <c r="S2644" s="16" t="e">
        <f>VLOOKUP(A2644,[4]Sales!$E:$G,3,FALSE)</f>
        <v>#N/A</v>
      </c>
      <c r="T2644" s="19" t="e">
        <f>VLOOKUP(A2644,[4]Volume!$E:$G,3,FALSE)</f>
        <v>#N/A</v>
      </c>
      <c r="U2644" s="19" t="e">
        <f>VLOOKUP(A2644,[4]Piece!$E:$G,3,FALSE)</f>
        <v>#N/A</v>
      </c>
      <c r="V2644" s="21" t="e">
        <f t="shared" si="169"/>
        <v>#N/A</v>
      </c>
      <c r="W2644" s="16" t="e">
        <f t="shared" si="170"/>
        <v>#N/A</v>
      </c>
    </row>
    <row r="2645" spans="1:23" hidden="1" x14ac:dyDescent="0.3">
      <c r="A2645" s="48" t="s">
        <v>7861</v>
      </c>
      <c r="B2645" s="18" t="str">
        <f t="shared" si="167"/>
        <v>00915447</v>
      </c>
      <c r="C2645" s="47" t="s">
        <v>33</v>
      </c>
      <c r="D2645" s="48" t="s">
        <v>7928</v>
      </c>
      <c r="E2645" s="18" t="s">
        <v>7908</v>
      </c>
      <c r="F2645" s="20" t="str">
        <f t="shared" si="166"/>
        <v>Polyseam - FR Collar Ø82/50mm</v>
      </c>
      <c r="G2645" s="20" t="s">
        <v>7965</v>
      </c>
      <c r="H2645" s="49" t="s">
        <v>213</v>
      </c>
      <c r="I2645" s="18" t="s">
        <v>37</v>
      </c>
      <c r="J2645" s="18" t="s">
        <v>38</v>
      </c>
      <c r="K2645" s="72" t="s">
        <v>7985</v>
      </c>
      <c r="L2645" s="50"/>
      <c r="M2645" s="18" t="s">
        <v>214</v>
      </c>
      <c r="N2645" s="20">
        <v>3105</v>
      </c>
      <c r="O2645" s="92"/>
      <c r="P2645" s="16">
        <v>5.57</v>
      </c>
      <c r="Q2645" s="17" t="e">
        <f t="shared" si="168"/>
        <v>#DIV/0!</v>
      </c>
      <c r="S2645" s="16" t="e">
        <f>VLOOKUP(A2645,[4]Sales!$E:$G,3,FALSE)</f>
        <v>#N/A</v>
      </c>
      <c r="T2645" s="19" t="e">
        <f>VLOOKUP(A2645,[4]Volume!$E:$G,3,FALSE)</f>
        <v>#N/A</v>
      </c>
      <c r="U2645" s="19" t="e">
        <f>VLOOKUP(A2645,[4]Piece!$E:$G,3,FALSE)</f>
        <v>#N/A</v>
      </c>
      <c r="V2645" s="21" t="e">
        <f t="shared" si="169"/>
        <v>#N/A</v>
      </c>
      <c r="W2645" s="16" t="e">
        <f t="shared" si="170"/>
        <v>#N/A</v>
      </c>
    </row>
    <row r="2646" spans="1:23" hidden="1" x14ac:dyDescent="0.3">
      <c r="A2646" s="48" t="s">
        <v>7862</v>
      </c>
      <c r="B2646" s="18" t="str">
        <f t="shared" si="167"/>
        <v>00915448</v>
      </c>
      <c r="C2646" s="47" t="s">
        <v>33</v>
      </c>
      <c r="D2646" s="48" t="s">
        <v>7928</v>
      </c>
      <c r="E2646" s="18" t="s">
        <v>7909</v>
      </c>
      <c r="F2646" s="20" t="str">
        <f t="shared" si="166"/>
        <v>Polyseam - FR Collar Ø90/30mm</v>
      </c>
      <c r="G2646" s="20" t="s">
        <v>7966</v>
      </c>
      <c r="H2646" s="49" t="s">
        <v>213</v>
      </c>
      <c r="I2646" s="18" t="s">
        <v>37</v>
      </c>
      <c r="J2646" s="18" t="s">
        <v>38</v>
      </c>
      <c r="K2646" s="72" t="s">
        <v>7985</v>
      </c>
      <c r="L2646" s="50"/>
      <c r="M2646" s="18" t="s">
        <v>214</v>
      </c>
      <c r="N2646" s="20">
        <v>3105</v>
      </c>
      <c r="O2646" s="92"/>
      <c r="P2646" s="16">
        <v>5.68</v>
      </c>
      <c r="Q2646" s="17" t="e">
        <f t="shared" si="168"/>
        <v>#DIV/0!</v>
      </c>
      <c r="S2646" s="16" t="e">
        <f>VLOOKUP(A2646,[4]Sales!$E:$G,3,FALSE)</f>
        <v>#N/A</v>
      </c>
      <c r="T2646" s="19" t="e">
        <f>VLOOKUP(A2646,[4]Volume!$E:$G,3,FALSE)</f>
        <v>#N/A</v>
      </c>
      <c r="U2646" s="19" t="e">
        <f>VLOOKUP(A2646,[4]Piece!$E:$G,3,FALSE)</f>
        <v>#N/A</v>
      </c>
      <c r="V2646" s="21" t="e">
        <f t="shared" si="169"/>
        <v>#N/A</v>
      </c>
      <c r="W2646" s="16" t="e">
        <f t="shared" si="170"/>
        <v>#N/A</v>
      </c>
    </row>
    <row r="2647" spans="1:23" hidden="1" x14ac:dyDescent="0.3">
      <c r="A2647" s="48" t="s">
        <v>7863</v>
      </c>
      <c r="B2647" s="18" t="str">
        <f t="shared" si="167"/>
        <v>00915449</v>
      </c>
      <c r="C2647" s="47" t="s">
        <v>33</v>
      </c>
      <c r="D2647" s="48" t="s">
        <v>7928</v>
      </c>
      <c r="E2647" s="18" t="s">
        <v>7910</v>
      </c>
      <c r="F2647" s="20" t="str">
        <f t="shared" si="166"/>
        <v>Polyseam - FR Collar Ø90/50mm</v>
      </c>
      <c r="G2647" s="20" t="s">
        <v>7967</v>
      </c>
      <c r="H2647" s="49" t="s">
        <v>213</v>
      </c>
      <c r="I2647" s="18" t="s">
        <v>37</v>
      </c>
      <c r="J2647" s="18" t="s">
        <v>38</v>
      </c>
      <c r="K2647" s="72" t="s">
        <v>7985</v>
      </c>
      <c r="L2647" s="50"/>
      <c r="M2647" s="18" t="s">
        <v>214</v>
      </c>
      <c r="N2647" s="20">
        <v>3105</v>
      </c>
      <c r="O2647" s="92"/>
      <c r="P2647" s="16">
        <v>6.35</v>
      </c>
      <c r="Q2647" s="17" t="e">
        <f t="shared" si="168"/>
        <v>#DIV/0!</v>
      </c>
      <c r="S2647" s="16" t="e">
        <f>VLOOKUP(A2647,[4]Sales!$E:$G,3,FALSE)</f>
        <v>#N/A</v>
      </c>
      <c r="T2647" s="19" t="e">
        <f>VLOOKUP(A2647,[4]Volume!$E:$G,3,FALSE)</f>
        <v>#N/A</v>
      </c>
      <c r="U2647" s="19" t="e">
        <f>VLOOKUP(A2647,[4]Piece!$E:$G,3,FALSE)</f>
        <v>#N/A</v>
      </c>
      <c r="V2647" s="21" t="e">
        <f t="shared" si="169"/>
        <v>#N/A</v>
      </c>
      <c r="W2647" s="16" t="e">
        <f t="shared" si="170"/>
        <v>#N/A</v>
      </c>
    </row>
    <row r="2648" spans="1:23" hidden="1" x14ac:dyDescent="0.3">
      <c r="A2648" s="48" t="s">
        <v>7864</v>
      </c>
      <c r="B2648" s="18" t="str">
        <f t="shared" si="167"/>
        <v>00915450</v>
      </c>
      <c r="C2648" s="47" t="s">
        <v>33</v>
      </c>
      <c r="D2648" s="48" t="s">
        <v>7928</v>
      </c>
      <c r="E2648" s="18" t="s">
        <v>7911</v>
      </c>
      <c r="F2648" s="20" t="str">
        <f t="shared" si="166"/>
        <v>Polyseam - FR Collar Ø110/30mm</v>
      </c>
      <c r="G2648" s="20" t="s">
        <v>7968</v>
      </c>
      <c r="H2648" s="49" t="s">
        <v>213</v>
      </c>
      <c r="I2648" s="18" t="s">
        <v>37</v>
      </c>
      <c r="J2648" s="18" t="s">
        <v>38</v>
      </c>
      <c r="K2648" s="72" t="s">
        <v>7985</v>
      </c>
      <c r="L2648" s="50"/>
      <c r="M2648" s="18" t="s">
        <v>214</v>
      </c>
      <c r="N2648" s="20">
        <v>3105</v>
      </c>
      <c r="O2648" s="92"/>
      <c r="P2648" s="16">
        <v>5.93</v>
      </c>
      <c r="Q2648" s="17" t="e">
        <f t="shared" si="168"/>
        <v>#DIV/0!</v>
      </c>
      <c r="S2648" s="16" t="e">
        <f>VLOOKUP(A2648,[4]Sales!$E:$G,3,FALSE)</f>
        <v>#N/A</v>
      </c>
      <c r="T2648" s="19" t="e">
        <f>VLOOKUP(A2648,[4]Volume!$E:$G,3,FALSE)</f>
        <v>#N/A</v>
      </c>
      <c r="U2648" s="19" t="e">
        <f>VLOOKUP(A2648,[4]Piece!$E:$G,3,FALSE)</f>
        <v>#N/A</v>
      </c>
      <c r="V2648" s="21" t="e">
        <f t="shared" si="169"/>
        <v>#N/A</v>
      </c>
      <c r="W2648" s="16" t="e">
        <f t="shared" si="170"/>
        <v>#N/A</v>
      </c>
    </row>
    <row r="2649" spans="1:23" hidden="1" x14ac:dyDescent="0.3">
      <c r="A2649" s="48" t="s">
        <v>7865</v>
      </c>
      <c r="B2649" s="18" t="str">
        <f t="shared" si="167"/>
        <v>00915451</v>
      </c>
      <c r="C2649" s="47" t="s">
        <v>33</v>
      </c>
      <c r="D2649" s="48" t="s">
        <v>7928</v>
      </c>
      <c r="E2649" s="18" t="s">
        <v>7912</v>
      </c>
      <c r="F2649" s="20" t="str">
        <f t="shared" si="166"/>
        <v>Polyseam - FR Collar Ø110/50mm</v>
      </c>
      <c r="G2649" s="20" t="s">
        <v>7969</v>
      </c>
      <c r="H2649" s="49" t="s">
        <v>213</v>
      </c>
      <c r="I2649" s="18" t="s">
        <v>37</v>
      </c>
      <c r="J2649" s="18" t="s">
        <v>38</v>
      </c>
      <c r="K2649" s="72" t="s">
        <v>7985</v>
      </c>
      <c r="L2649" s="50"/>
      <c r="M2649" s="18" t="s">
        <v>214</v>
      </c>
      <c r="N2649" s="20">
        <v>3105</v>
      </c>
      <c r="O2649" s="92"/>
      <c r="P2649" s="16">
        <v>7.56</v>
      </c>
      <c r="Q2649" s="17" t="e">
        <f t="shared" si="168"/>
        <v>#DIV/0!</v>
      </c>
      <c r="S2649" s="16" t="e">
        <f>VLOOKUP(A2649,[4]Sales!$E:$G,3,FALSE)</f>
        <v>#N/A</v>
      </c>
      <c r="T2649" s="19" t="e">
        <f>VLOOKUP(A2649,[4]Volume!$E:$G,3,FALSE)</f>
        <v>#N/A</v>
      </c>
      <c r="U2649" s="19" t="e">
        <f>VLOOKUP(A2649,[4]Piece!$E:$G,3,FALSE)</f>
        <v>#N/A</v>
      </c>
      <c r="V2649" s="21" t="e">
        <f t="shared" si="169"/>
        <v>#N/A</v>
      </c>
      <c r="W2649" s="16" t="e">
        <f t="shared" si="170"/>
        <v>#N/A</v>
      </c>
    </row>
    <row r="2650" spans="1:23" hidden="1" x14ac:dyDescent="0.3">
      <c r="A2650" s="48" t="s">
        <v>7866</v>
      </c>
      <c r="B2650" s="18" t="str">
        <f t="shared" si="167"/>
        <v>00915452</v>
      </c>
      <c r="C2650" s="47" t="s">
        <v>33</v>
      </c>
      <c r="D2650" s="48" t="s">
        <v>7928</v>
      </c>
      <c r="E2650" s="18" t="s">
        <v>7913</v>
      </c>
      <c r="F2650" s="20" t="str">
        <f t="shared" si="166"/>
        <v>Polyseam - FR Collar Ø125/60mm</v>
      </c>
      <c r="G2650" s="20" t="s">
        <v>7970</v>
      </c>
      <c r="H2650" s="49" t="s">
        <v>213</v>
      </c>
      <c r="I2650" s="18" t="s">
        <v>37</v>
      </c>
      <c r="J2650" s="18" t="s">
        <v>38</v>
      </c>
      <c r="K2650" s="72" t="s">
        <v>7985</v>
      </c>
      <c r="L2650" s="50"/>
      <c r="M2650" s="18" t="s">
        <v>214</v>
      </c>
      <c r="N2650" s="20">
        <v>3105</v>
      </c>
      <c r="O2650" s="92"/>
      <c r="P2650" s="16">
        <v>10.11</v>
      </c>
      <c r="Q2650" s="17" t="e">
        <f t="shared" si="168"/>
        <v>#DIV/0!</v>
      </c>
      <c r="S2650" s="16" t="e">
        <f>VLOOKUP(A2650,[4]Sales!$E:$G,3,FALSE)</f>
        <v>#N/A</v>
      </c>
      <c r="T2650" s="19" t="e">
        <f>VLOOKUP(A2650,[4]Volume!$E:$G,3,FALSE)</f>
        <v>#N/A</v>
      </c>
      <c r="U2650" s="19" t="e">
        <f>VLOOKUP(A2650,[4]Piece!$E:$G,3,FALSE)</f>
        <v>#N/A</v>
      </c>
      <c r="V2650" s="21" t="e">
        <f t="shared" si="169"/>
        <v>#N/A</v>
      </c>
      <c r="W2650" s="16" t="e">
        <f t="shared" si="170"/>
        <v>#N/A</v>
      </c>
    </row>
    <row r="2651" spans="1:23" hidden="1" x14ac:dyDescent="0.3">
      <c r="A2651" s="48" t="s">
        <v>7867</v>
      </c>
      <c r="B2651" s="18" t="str">
        <f t="shared" si="167"/>
        <v>00915453</v>
      </c>
      <c r="C2651" s="47" t="s">
        <v>33</v>
      </c>
      <c r="D2651" s="48" t="s">
        <v>7928</v>
      </c>
      <c r="E2651" s="18" t="s">
        <v>7914</v>
      </c>
      <c r="F2651" s="20" t="str">
        <f t="shared" si="166"/>
        <v>Polyseam - FR Collar Ø140/60mm</v>
      </c>
      <c r="G2651" s="20" t="s">
        <v>7971</v>
      </c>
      <c r="H2651" s="49" t="s">
        <v>213</v>
      </c>
      <c r="I2651" s="18" t="s">
        <v>37</v>
      </c>
      <c r="J2651" s="18" t="s">
        <v>38</v>
      </c>
      <c r="K2651" s="72" t="s">
        <v>7985</v>
      </c>
      <c r="L2651" s="50"/>
      <c r="M2651" s="18" t="s">
        <v>214</v>
      </c>
      <c r="N2651" s="20">
        <v>3105</v>
      </c>
      <c r="O2651" s="92"/>
      <c r="P2651" s="16">
        <v>12.75</v>
      </c>
      <c r="Q2651" s="17" t="e">
        <f t="shared" si="168"/>
        <v>#DIV/0!</v>
      </c>
      <c r="S2651" s="16" t="e">
        <f>VLOOKUP(A2651,[4]Sales!$E:$G,3,FALSE)</f>
        <v>#N/A</v>
      </c>
      <c r="T2651" s="19" t="e">
        <f>VLOOKUP(A2651,[4]Volume!$E:$G,3,FALSE)</f>
        <v>#N/A</v>
      </c>
      <c r="U2651" s="19" t="e">
        <f>VLOOKUP(A2651,[4]Piece!$E:$G,3,FALSE)</f>
        <v>#N/A</v>
      </c>
      <c r="V2651" s="21" t="e">
        <f t="shared" si="169"/>
        <v>#N/A</v>
      </c>
      <c r="W2651" s="16" t="e">
        <f t="shared" si="170"/>
        <v>#N/A</v>
      </c>
    </row>
    <row r="2652" spans="1:23" hidden="1" x14ac:dyDescent="0.3">
      <c r="A2652" s="48" t="s">
        <v>7868</v>
      </c>
      <c r="B2652" s="18" t="str">
        <f t="shared" si="167"/>
        <v>00915454</v>
      </c>
      <c r="C2652" s="47" t="s">
        <v>33</v>
      </c>
      <c r="D2652" s="48" t="s">
        <v>7928</v>
      </c>
      <c r="E2652" s="18" t="s">
        <v>7915</v>
      </c>
      <c r="F2652" s="20" t="str">
        <f t="shared" si="166"/>
        <v>Polyseam - FR Collar Ø160/60mm</v>
      </c>
      <c r="G2652" s="20" t="s">
        <v>7972</v>
      </c>
      <c r="H2652" s="49" t="s">
        <v>213</v>
      </c>
      <c r="I2652" s="18" t="s">
        <v>37</v>
      </c>
      <c r="J2652" s="18" t="s">
        <v>38</v>
      </c>
      <c r="K2652" s="72" t="s">
        <v>7985</v>
      </c>
      <c r="L2652" s="50"/>
      <c r="M2652" s="18" t="s">
        <v>214</v>
      </c>
      <c r="N2652" s="20">
        <v>3105</v>
      </c>
      <c r="O2652" s="92"/>
      <c r="P2652" s="16">
        <v>14.93</v>
      </c>
      <c r="Q2652" s="17" t="e">
        <f t="shared" si="168"/>
        <v>#DIV/0!</v>
      </c>
      <c r="S2652" s="16" t="e">
        <f>VLOOKUP(A2652,[4]Sales!$E:$G,3,FALSE)</f>
        <v>#N/A</v>
      </c>
      <c r="T2652" s="19" t="e">
        <f>VLOOKUP(A2652,[4]Volume!$E:$G,3,FALSE)</f>
        <v>#N/A</v>
      </c>
      <c r="U2652" s="19" t="e">
        <f>VLOOKUP(A2652,[4]Piece!$E:$G,3,FALSE)</f>
        <v>#N/A</v>
      </c>
      <c r="V2652" s="21" t="e">
        <f t="shared" si="169"/>
        <v>#N/A</v>
      </c>
      <c r="W2652" s="16" t="e">
        <f t="shared" si="170"/>
        <v>#N/A</v>
      </c>
    </row>
    <row r="2653" spans="1:23" hidden="1" x14ac:dyDescent="0.3">
      <c r="A2653" s="48" t="s">
        <v>7869</v>
      </c>
      <c r="B2653" s="18" t="str">
        <f t="shared" si="167"/>
        <v>00915455</v>
      </c>
      <c r="C2653" s="47" t="s">
        <v>33</v>
      </c>
      <c r="D2653" s="48" t="s">
        <v>7928</v>
      </c>
      <c r="E2653" s="18" t="s">
        <v>7916</v>
      </c>
      <c r="F2653" s="20" t="str">
        <f t="shared" si="166"/>
        <v>Polyseam - FR Collar Ø200/60mm</v>
      </c>
      <c r="G2653" s="20" t="s">
        <v>7973</v>
      </c>
      <c r="H2653" s="49" t="s">
        <v>213</v>
      </c>
      <c r="I2653" s="18" t="s">
        <v>37</v>
      </c>
      <c r="J2653" s="18" t="s">
        <v>38</v>
      </c>
      <c r="K2653" s="72" t="s">
        <v>7985</v>
      </c>
      <c r="L2653" s="50"/>
      <c r="M2653" s="18" t="s">
        <v>214</v>
      </c>
      <c r="N2653" s="20">
        <v>3105</v>
      </c>
      <c r="O2653" s="92"/>
      <c r="P2653" s="16">
        <v>32.119999999999997</v>
      </c>
      <c r="Q2653" s="17" t="e">
        <f t="shared" si="168"/>
        <v>#DIV/0!</v>
      </c>
      <c r="S2653" s="16" t="e">
        <f>VLOOKUP(A2653,[4]Sales!$E:$G,3,FALSE)</f>
        <v>#N/A</v>
      </c>
      <c r="T2653" s="19" t="e">
        <f>VLOOKUP(A2653,[4]Volume!$E:$G,3,FALSE)</f>
        <v>#N/A</v>
      </c>
      <c r="U2653" s="19" t="e">
        <f>VLOOKUP(A2653,[4]Piece!$E:$G,3,FALSE)</f>
        <v>#N/A</v>
      </c>
      <c r="V2653" s="21" t="e">
        <f t="shared" si="169"/>
        <v>#N/A</v>
      </c>
      <c r="W2653" s="16" t="e">
        <f t="shared" si="170"/>
        <v>#N/A</v>
      </c>
    </row>
    <row r="2654" spans="1:23" hidden="1" x14ac:dyDescent="0.3">
      <c r="A2654" s="48" t="s">
        <v>7870</v>
      </c>
      <c r="B2654" s="18" t="str">
        <f t="shared" si="167"/>
        <v>00915456</v>
      </c>
      <c r="C2654" s="47" t="s">
        <v>33</v>
      </c>
      <c r="D2654" s="48" t="s">
        <v>7928</v>
      </c>
      <c r="E2654" s="18" t="s">
        <v>7917</v>
      </c>
      <c r="F2654" s="20" t="str">
        <f t="shared" si="166"/>
        <v>Polyseam - FR Pipe Wrap 82mm</v>
      </c>
      <c r="G2654" s="20" t="s">
        <v>7974</v>
      </c>
      <c r="H2654" s="49" t="s">
        <v>213</v>
      </c>
      <c r="I2654" s="18" t="s">
        <v>37</v>
      </c>
      <c r="J2654" s="18" t="s">
        <v>38</v>
      </c>
      <c r="K2654" s="72" t="s">
        <v>7985</v>
      </c>
      <c r="L2654" s="50"/>
      <c r="M2654" s="18" t="s">
        <v>214</v>
      </c>
      <c r="N2654" s="20">
        <v>3105</v>
      </c>
      <c r="O2654" s="92"/>
      <c r="P2654" s="16">
        <v>2.36</v>
      </c>
      <c r="Q2654" s="17" t="e">
        <f t="shared" si="168"/>
        <v>#DIV/0!</v>
      </c>
      <c r="S2654" s="16" t="e">
        <f>VLOOKUP(A2654,[4]Sales!$E:$G,3,FALSE)</f>
        <v>#N/A</v>
      </c>
      <c r="T2654" s="19" t="e">
        <f>VLOOKUP(A2654,[4]Volume!$E:$G,3,FALSE)</f>
        <v>#N/A</v>
      </c>
      <c r="U2654" s="19" t="e">
        <f>VLOOKUP(A2654,[4]Piece!$E:$G,3,FALSE)</f>
        <v>#N/A</v>
      </c>
      <c r="V2654" s="21" t="e">
        <f t="shared" si="169"/>
        <v>#N/A</v>
      </c>
      <c r="W2654" s="16" t="e">
        <f t="shared" si="170"/>
        <v>#N/A</v>
      </c>
    </row>
    <row r="2655" spans="1:23" hidden="1" x14ac:dyDescent="0.3">
      <c r="A2655" s="48" t="s">
        <v>7871</v>
      </c>
      <c r="B2655" s="18" t="str">
        <f t="shared" si="167"/>
        <v>00915457</v>
      </c>
      <c r="C2655" s="47" t="s">
        <v>33</v>
      </c>
      <c r="D2655" s="48" t="s">
        <v>7928</v>
      </c>
      <c r="E2655" s="18" t="s">
        <v>7918</v>
      </c>
      <c r="F2655" s="20" t="str">
        <f t="shared" si="166"/>
        <v>Polyseam - FR Pipe Wrap 110mm</v>
      </c>
      <c r="G2655" s="20" t="s">
        <v>7975</v>
      </c>
      <c r="H2655" s="49" t="s">
        <v>213</v>
      </c>
      <c r="I2655" s="18" t="s">
        <v>37</v>
      </c>
      <c r="J2655" s="18" t="s">
        <v>38</v>
      </c>
      <c r="K2655" s="72" t="s">
        <v>7985</v>
      </c>
      <c r="L2655" s="50"/>
      <c r="M2655" s="18" t="s">
        <v>214</v>
      </c>
      <c r="N2655" s="20">
        <v>3105</v>
      </c>
      <c r="O2655" s="92"/>
      <c r="P2655" s="16">
        <v>3</v>
      </c>
      <c r="Q2655" s="17" t="e">
        <f t="shared" si="168"/>
        <v>#DIV/0!</v>
      </c>
      <c r="S2655" s="16" t="e">
        <f>VLOOKUP(A2655,[4]Sales!$E:$G,3,FALSE)</f>
        <v>#N/A</v>
      </c>
      <c r="T2655" s="19" t="e">
        <f>VLOOKUP(A2655,[4]Volume!$E:$G,3,FALSE)</f>
        <v>#N/A</v>
      </c>
      <c r="U2655" s="19" t="e">
        <f>VLOOKUP(A2655,[4]Piece!$E:$G,3,FALSE)</f>
        <v>#N/A</v>
      </c>
      <c r="V2655" s="21" t="e">
        <f t="shared" si="169"/>
        <v>#N/A</v>
      </c>
      <c r="W2655" s="16" t="e">
        <f t="shared" si="170"/>
        <v>#N/A</v>
      </c>
    </row>
    <row r="2656" spans="1:23" hidden="1" x14ac:dyDescent="0.3">
      <c r="A2656" s="48" t="s">
        <v>7872</v>
      </c>
      <c r="B2656" s="18" t="str">
        <f t="shared" si="167"/>
        <v>00915458</v>
      </c>
      <c r="C2656" s="47" t="s">
        <v>33</v>
      </c>
      <c r="D2656" s="48" t="s">
        <v>7928</v>
      </c>
      <c r="E2656" s="18" t="s">
        <v>7919</v>
      </c>
      <c r="F2656" s="20" t="str">
        <f t="shared" si="166"/>
        <v>Polyseam - FR Pipe Wrap 125mm</v>
      </c>
      <c r="G2656" s="20" t="s">
        <v>7976</v>
      </c>
      <c r="H2656" s="49" t="s">
        <v>213</v>
      </c>
      <c r="I2656" s="18" t="s">
        <v>37</v>
      </c>
      <c r="J2656" s="18" t="s">
        <v>38</v>
      </c>
      <c r="K2656" s="72" t="s">
        <v>7985</v>
      </c>
      <c r="L2656" s="50"/>
      <c r="M2656" s="18" t="s">
        <v>214</v>
      </c>
      <c r="N2656" s="20">
        <v>3105</v>
      </c>
      <c r="O2656" s="92"/>
      <c r="P2656" s="16">
        <v>6.37</v>
      </c>
      <c r="Q2656" s="17" t="e">
        <f t="shared" si="168"/>
        <v>#DIV/0!</v>
      </c>
      <c r="S2656" s="16" t="e">
        <f>VLOOKUP(A2656,[4]Sales!$E:$G,3,FALSE)</f>
        <v>#N/A</v>
      </c>
      <c r="T2656" s="19" t="e">
        <f>VLOOKUP(A2656,[4]Volume!$E:$G,3,FALSE)</f>
        <v>#N/A</v>
      </c>
      <c r="U2656" s="19" t="e">
        <f>VLOOKUP(A2656,[4]Piece!$E:$G,3,FALSE)</f>
        <v>#N/A</v>
      </c>
      <c r="V2656" s="21" t="e">
        <f t="shared" si="169"/>
        <v>#N/A</v>
      </c>
      <c r="W2656" s="16" t="e">
        <f t="shared" si="170"/>
        <v>#N/A</v>
      </c>
    </row>
    <row r="2657" spans="1:23" hidden="1" x14ac:dyDescent="0.3">
      <c r="A2657" s="48" t="s">
        <v>7873</v>
      </c>
      <c r="B2657" s="18" t="str">
        <f t="shared" si="167"/>
        <v>00915459</v>
      </c>
      <c r="C2657" s="47" t="s">
        <v>33</v>
      </c>
      <c r="D2657" s="48" t="s">
        <v>7928</v>
      </c>
      <c r="E2657" s="18" t="s">
        <v>7920</v>
      </c>
      <c r="F2657" s="20" t="str">
        <f t="shared" si="166"/>
        <v>Polyseam - FR Pipe Wrap 50mmx25m</v>
      </c>
      <c r="G2657" s="20" t="s">
        <v>7977</v>
      </c>
      <c r="H2657" s="49" t="s">
        <v>213</v>
      </c>
      <c r="I2657" s="18" t="s">
        <v>37</v>
      </c>
      <c r="J2657" s="18" t="s">
        <v>38</v>
      </c>
      <c r="K2657" s="72" t="s">
        <v>7985</v>
      </c>
      <c r="L2657" s="50"/>
      <c r="M2657" s="18" t="s">
        <v>214</v>
      </c>
      <c r="N2657" s="20">
        <v>3105</v>
      </c>
      <c r="O2657" s="92"/>
      <c r="P2657" s="16">
        <v>87.56</v>
      </c>
      <c r="Q2657" s="17" t="e">
        <f t="shared" si="168"/>
        <v>#DIV/0!</v>
      </c>
      <c r="S2657" s="16" t="e">
        <f>VLOOKUP(A2657,[4]Sales!$E:$G,3,FALSE)</f>
        <v>#N/A</v>
      </c>
      <c r="T2657" s="19" t="e">
        <f>VLOOKUP(A2657,[4]Volume!$E:$G,3,FALSE)</f>
        <v>#N/A</v>
      </c>
      <c r="U2657" s="19" t="e">
        <f>VLOOKUP(A2657,[4]Piece!$E:$G,3,FALSE)</f>
        <v>#N/A</v>
      </c>
      <c r="V2657" s="21" t="e">
        <f t="shared" si="169"/>
        <v>#N/A</v>
      </c>
      <c r="W2657" s="16" t="e">
        <f t="shared" si="170"/>
        <v>#N/A</v>
      </c>
    </row>
    <row r="2658" spans="1:23" hidden="1" x14ac:dyDescent="0.3">
      <c r="A2658" s="48" t="s">
        <v>7874</v>
      </c>
      <c r="B2658" s="18" t="str">
        <f t="shared" si="167"/>
        <v>00915460</v>
      </c>
      <c r="C2658" s="47" t="s">
        <v>33</v>
      </c>
      <c r="D2658" s="48" t="s">
        <v>7928</v>
      </c>
      <c r="E2658" s="18" t="s">
        <v>7921</v>
      </c>
      <c r="F2658" s="20" t="str">
        <f t="shared" ref="F2658:F2668" si="171">D2658&amp;" - "&amp;E2658</f>
        <v>Polyseam - FR Pipe Wrap 75mmx25m</v>
      </c>
      <c r="G2658" s="20" t="s">
        <v>7978</v>
      </c>
      <c r="H2658" s="49" t="s">
        <v>213</v>
      </c>
      <c r="I2658" s="18" t="s">
        <v>37</v>
      </c>
      <c r="J2658" s="18" t="s">
        <v>38</v>
      </c>
      <c r="K2658" s="72" t="s">
        <v>7985</v>
      </c>
      <c r="L2658" s="50"/>
      <c r="M2658" s="18" t="s">
        <v>214</v>
      </c>
      <c r="N2658" s="20">
        <v>3105</v>
      </c>
      <c r="O2658" s="92"/>
      <c r="P2658" s="16">
        <v>127.19</v>
      </c>
      <c r="Q2658" s="17" t="e">
        <f t="shared" si="168"/>
        <v>#DIV/0!</v>
      </c>
      <c r="S2658" s="16" t="e">
        <f>VLOOKUP(A2658,[4]Sales!$E:$G,3,FALSE)</f>
        <v>#N/A</v>
      </c>
      <c r="T2658" s="19" t="e">
        <f>VLOOKUP(A2658,[4]Volume!$E:$G,3,FALSE)</f>
        <v>#N/A</v>
      </c>
      <c r="U2658" s="19" t="e">
        <f>VLOOKUP(A2658,[4]Piece!$E:$G,3,FALSE)</f>
        <v>#N/A</v>
      </c>
      <c r="V2658" s="21" t="e">
        <f t="shared" si="169"/>
        <v>#N/A</v>
      </c>
      <c r="W2658" s="16" t="e">
        <f t="shared" si="170"/>
        <v>#N/A</v>
      </c>
    </row>
    <row r="2659" spans="1:23" hidden="1" x14ac:dyDescent="0.3">
      <c r="A2659" s="48" t="s">
        <v>7875</v>
      </c>
      <c r="B2659" s="18" t="str">
        <f t="shared" si="167"/>
        <v>00915461</v>
      </c>
      <c r="C2659" s="47" t="s">
        <v>33</v>
      </c>
      <c r="D2659" s="48" t="s">
        <v>7928</v>
      </c>
      <c r="E2659" s="18" t="s">
        <v>7922</v>
      </c>
      <c r="F2659" s="20" t="str">
        <f t="shared" si="171"/>
        <v>Polyseam - Wrap 50mmx25m w/adhesive</v>
      </c>
      <c r="G2659" s="20" t="s">
        <v>7979</v>
      </c>
      <c r="H2659" s="49" t="s">
        <v>213</v>
      </c>
      <c r="I2659" s="18" t="s">
        <v>37</v>
      </c>
      <c r="J2659" s="18" t="s">
        <v>38</v>
      </c>
      <c r="K2659" s="72" t="s">
        <v>7985</v>
      </c>
      <c r="L2659" s="50"/>
      <c r="M2659" s="18" t="s">
        <v>214</v>
      </c>
      <c r="N2659" s="20">
        <v>3105</v>
      </c>
      <c r="O2659" s="92"/>
      <c r="P2659" s="16">
        <v>83.68</v>
      </c>
      <c r="Q2659" s="17" t="e">
        <f t="shared" si="168"/>
        <v>#DIV/0!</v>
      </c>
      <c r="S2659" s="16" t="e">
        <f>VLOOKUP(A2659,[4]Sales!$E:$G,3,FALSE)</f>
        <v>#N/A</v>
      </c>
      <c r="T2659" s="19" t="e">
        <f>VLOOKUP(A2659,[4]Volume!$E:$G,3,FALSE)</f>
        <v>#N/A</v>
      </c>
      <c r="U2659" s="19" t="e">
        <f>VLOOKUP(A2659,[4]Piece!$E:$G,3,FALSE)</f>
        <v>#N/A</v>
      </c>
      <c r="V2659" s="21" t="e">
        <f t="shared" si="169"/>
        <v>#N/A</v>
      </c>
      <c r="W2659" s="16" t="e">
        <f t="shared" si="170"/>
        <v>#N/A</v>
      </c>
    </row>
    <row r="2660" spans="1:23" hidden="1" x14ac:dyDescent="0.3">
      <c r="A2660" s="48" t="s">
        <v>7876</v>
      </c>
      <c r="B2660" s="18" t="str">
        <f t="shared" si="167"/>
        <v>00915462</v>
      </c>
      <c r="C2660" s="47" t="s">
        <v>33</v>
      </c>
      <c r="D2660" s="48" t="s">
        <v>7928</v>
      </c>
      <c r="E2660" s="18" t="s">
        <v>7923</v>
      </c>
      <c r="F2660" s="20" t="str">
        <f t="shared" si="171"/>
        <v>Polyseam - Wrap 75mmx25m w/adhesive</v>
      </c>
      <c r="G2660" s="20" t="s">
        <v>7980</v>
      </c>
      <c r="H2660" s="49" t="s">
        <v>213</v>
      </c>
      <c r="I2660" s="18" t="s">
        <v>37</v>
      </c>
      <c r="J2660" s="18" t="s">
        <v>38</v>
      </c>
      <c r="K2660" s="72" t="s">
        <v>7985</v>
      </c>
      <c r="L2660" s="50"/>
      <c r="M2660" s="18" t="s">
        <v>214</v>
      </c>
      <c r="N2660" s="20">
        <v>3105</v>
      </c>
      <c r="O2660" s="92"/>
      <c r="P2660" s="16">
        <v>122.4</v>
      </c>
      <c r="Q2660" s="17" t="e">
        <f t="shared" si="168"/>
        <v>#DIV/0!</v>
      </c>
      <c r="S2660" s="16" t="e">
        <f>VLOOKUP(A2660,[4]Sales!$E:$G,3,FALSE)</f>
        <v>#N/A</v>
      </c>
      <c r="T2660" s="19" t="e">
        <f>VLOOKUP(A2660,[4]Volume!$E:$G,3,FALSE)</f>
        <v>#N/A</v>
      </c>
      <c r="U2660" s="19" t="e">
        <f>VLOOKUP(A2660,[4]Piece!$E:$G,3,FALSE)</f>
        <v>#N/A</v>
      </c>
      <c r="V2660" s="21" t="e">
        <f t="shared" si="169"/>
        <v>#N/A</v>
      </c>
      <c r="W2660" s="16" t="e">
        <f t="shared" si="170"/>
        <v>#N/A</v>
      </c>
    </row>
    <row r="2661" spans="1:23" hidden="1" x14ac:dyDescent="0.3">
      <c r="A2661" s="48" t="s">
        <v>7877</v>
      </c>
      <c r="B2661" s="18" t="str">
        <f t="shared" si="167"/>
        <v>00915463</v>
      </c>
      <c r="C2661" s="47" t="s">
        <v>33</v>
      </c>
      <c r="D2661" s="48" t="s">
        <v>7928</v>
      </c>
      <c r="E2661" s="18" t="s">
        <v>7924</v>
      </c>
      <c r="F2661" s="20" t="str">
        <f t="shared" si="171"/>
        <v>Polyseam - FR Coating 8 ltr</v>
      </c>
      <c r="G2661" s="20" t="s">
        <v>7981</v>
      </c>
      <c r="H2661" s="49" t="s">
        <v>213</v>
      </c>
      <c r="I2661" s="18" t="s">
        <v>37</v>
      </c>
      <c r="J2661" s="18" t="s">
        <v>38</v>
      </c>
      <c r="K2661" s="72" t="s">
        <v>7985</v>
      </c>
      <c r="L2661" s="50"/>
      <c r="M2661" s="18" t="s">
        <v>214</v>
      </c>
      <c r="N2661" s="20">
        <v>3105</v>
      </c>
      <c r="O2661" s="92"/>
      <c r="P2661" s="16">
        <v>35.200000000000003</v>
      </c>
      <c r="Q2661" s="17" t="e">
        <f t="shared" si="168"/>
        <v>#DIV/0!</v>
      </c>
      <c r="S2661" s="16" t="e">
        <f>VLOOKUP(A2661,[4]Sales!$E:$G,3,FALSE)</f>
        <v>#N/A</v>
      </c>
      <c r="T2661" s="19" t="e">
        <f>VLOOKUP(A2661,[4]Volume!$E:$G,3,FALSE)</f>
        <v>#N/A</v>
      </c>
      <c r="U2661" s="19" t="e">
        <f>VLOOKUP(A2661,[4]Piece!$E:$G,3,FALSE)</f>
        <v>#N/A</v>
      </c>
      <c r="V2661" s="21" t="e">
        <f t="shared" si="169"/>
        <v>#N/A</v>
      </c>
      <c r="W2661" s="16" t="e">
        <f t="shared" si="170"/>
        <v>#N/A</v>
      </c>
    </row>
    <row r="2662" spans="1:23" hidden="1" x14ac:dyDescent="0.3">
      <c r="A2662" s="48" t="s">
        <v>7878</v>
      </c>
      <c r="B2662" s="18" t="str">
        <f t="shared" si="167"/>
        <v>00915464</v>
      </c>
      <c r="C2662" s="47" t="s">
        <v>33</v>
      </c>
      <c r="D2662" s="48" t="s">
        <v>7928</v>
      </c>
      <c r="E2662" s="18" t="s">
        <v>7925</v>
      </c>
      <c r="F2662" s="20" t="str">
        <f t="shared" si="171"/>
        <v>Polyseam - Service Coat FR-1 3 ltr</v>
      </c>
      <c r="G2662" s="20" t="s">
        <v>7982</v>
      </c>
      <c r="H2662" s="49" t="s">
        <v>213</v>
      </c>
      <c r="I2662" s="18" t="s">
        <v>37</v>
      </c>
      <c r="J2662" s="18" t="s">
        <v>38</v>
      </c>
      <c r="K2662" s="72" t="s">
        <v>7985</v>
      </c>
      <c r="L2662" s="50"/>
      <c r="M2662" s="18" t="s">
        <v>214</v>
      </c>
      <c r="N2662" s="20">
        <v>3105</v>
      </c>
      <c r="O2662" s="92"/>
      <c r="P2662" s="16">
        <v>34.840000000000003</v>
      </c>
      <c r="Q2662" s="17" t="e">
        <f t="shared" si="168"/>
        <v>#DIV/0!</v>
      </c>
      <c r="S2662" s="16" t="e">
        <f>VLOOKUP(A2662,[4]Sales!$E:$G,3,FALSE)</f>
        <v>#N/A</v>
      </c>
      <c r="T2662" s="19" t="e">
        <f>VLOOKUP(A2662,[4]Volume!$E:$G,3,FALSE)</f>
        <v>#N/A</v>
      </c>
      <c r="U2662" s="19" t="e">
        <f>VLOOKUP(A2662,[4]Piece!$E:$G,3,FALSE)</f>
        <v>#N/A</v>
      </c>
      <c r="V2662" s="21" t="e">
        <f t="shared" si="169"/>
        <v>#N/A</v>
      </c>
      <c r="W2662" s="16" t="e">
        <f t="shared" si="170"/>
        <v>#N/A</v>
      </c>
    </row>
    <row r="2663" spans="1:23" hidden="1" x14ac:dyDescent="0.3">
      <c r="A2663" s="48" t="s">
        <v>7879</v>
      </c>
      <c r="B2663" s="18" t="str">
        <f t="shared" si="167"/>
        <v>00915465</v>
      </c>
      <c r="C2663" s="47" t="s">
        <v>33</v>
      </c>
      <c r="D2663" s="48" t="s">
        <v>7928</v>
      </c>
      <c r="E2663" s="18" t="s">
        <v>7926</v>
      </c>
      <c r="F2663" s="20" t="str">
        <f t="shared" si="171"/>
        <v>Polyseam - Interior Paint FR-1 10 ltr</v>
      </c>
      <c r="G2663" s="20" t="s">
        <v>7983</v>
      </c>
      <c r="H2663" s="49" t="s">
        <v>213</v>
      </c>
      <c r="I2663" s="18" t="s">
        <v>37</v>
      </c>
      <c r="J2663" s="18" t="s">
        <v>38</v>
      </c>
      <c r="K2663" s="72" t="s">
        <v>7985</v>
      </c>
      <c r="L2663" s="50"/>
      <c r="M2663" s="18" t="s">
        <v>214</v>
      </c>
      <c r="N2663" s="20">
        <v>3105</v>
      </c>
      <c r="O2663" s="92"/>
      <c r="P2663" s="16">
        <v>112.64</v>
      </c>
      <c r="Q2663" s="17" t="e">
        <f t="shared" si="168"/>
        <v>#DIV/0!</v>
      </c>
      <c r="S2663" s="16" t="e">
        <f>VLOOKUP(A2663,[4]Sales!$E:$G,3,FALSE)</f>
        <v>#N/A</v>
      </c>
      <c r="T2663" s="19" t="e">
        <f>VLOOKUP(A2663,[4]Volume!$E:$G,3,FALSE)</f>
        <v>#N/A</v>
      </c>
      <c r="U2663" s="19" t="e">
        <f>VLOOKUP(A2663,[4]Piece!$E:$G,3,FALSE)</f>
        <v>#N/A</v>
      </c>
      <c r="V2663" s="21" t="e">
        <f t="shared" si="169"/>
        <v>#N/A</v>
      </c>
      <c r="W2663" s="16" t="e">
        <f t="shared" si="170"/>
        <v>#N/A</v>
      </c>
    </row>
    <row r="2664" spans="1:23" hidden="1" x14ac:dyDescent="0.3">
      <c r="A2664" s="48" t="s">
        <v>7880</v>
      </c>
      <c r="B2664" s="18" t="str">
        <f t="shared" si="167"/>
        <v>00915471</v>
      </c>
      <c r="C2664" s="47" t="s">
        <v>33</v>
      </c>
      <c r="D2664" s="48" t="s">
        <v>7928</v>
      </c>
      <c r="E2664" s="18" t="s">
        <v>7927</v>
      </c>
      <c r="F2664" s="20" t="str">
        <f t="shared" si="171"/>
        <v>Polyseam - Putty Cord Ø15mm 5x20cm</v>
      </c>
      <c r="G2664" s="20" t="s">
        <v>7984</v>
      </c>
      <c r="H2664" s="49" t="s">
        <v>213</v>
      </c>
      <c r="I2664" s="18" t="s">
        <v>37</v>
      </c>
      <c r="J2664" s="18" t="s">
        <v>38</v>
      </c>
      <c r="K2664" s="72" t="s">
        <v>7985</v>
      </c>
      <c r="L2664" s="50"/>
      <c r="M2664" s="18" t="s">
        <v>214</v>
      </c>
      <c r="N2664" s="20">
        <v>3105</v>
      </c>
      <c r="O2664" s="92"/>
      <c r="P2664" s="16">
        <v>5.71</v>
      </c>
      <c r="Q2664" s="17" t="e">
        <f t="shared" si="168"/>
        <v>#DIV/0!</v>
      </c>
      <c r="S2664" s="16" t="e">
        <f>VLOOKUP(A2664,[4]Sales!$E:$G,3,FALSE)</f>
        <v>#N/A</v>
      </c>
      <c r="T2664" s="19" t="e">
        <f>VLOOKUP(A2664,[4]Volume!$E:$G,3,FALSE)</f>
        <v>#N/A</v>
      </c>
      <c r="U2664" s="19" t="e">
        <f>VLOOKUP(A2664,[4]Piece!$E:$G,3,FALSE)</f>
        <v>#N/A</v>
      </c>
      <c r="V2664" s="21" t="e">
        <f t="shared" si="169"/>
        <v>#N/A</v>
      </c>
      <c r="W2664" s="16" t="e">
        <f t="shared" si="170"/>
        <v>#N/A</v>
      </c>
    </row>
    <row r="2665" spans="1:23" hidden="1" x14ac:dyDescent="0.3">
      <c r="A2665" s="92" t="s">
        <v>7997</v>
      </c>
      <c r="B2665" s="93" t="s">
        <v>7997</v>
      </c>
      <c r="C2665" s="91" t="s">
        <v>33</v>
      </c>
      <c r="D2665" s="92" t="s">
        <v>7996</v>
      </c>
      <c r="E2665" s="93" t="s">
        <v>7995</v>
      </c>
      <c r="F2665" s="94" t="str">
        <f t="shared" si="171"/>
        <v>Artex - Habito Corner Tape</v>
      </c>
      <c r="G2665" s="94" t="s">
        <v>8001</v>
      </c>
      <c r="H2665" s="95" t="s">
        <v>213</v>
      </c>
      <c r="I2665" s="93" t="s">
        <v>37</v>
      </c>
      <c r="J2665" s="93" t="s">
        <v>38</v>
      </c>
      <c r="K2665" s="101" t="s">
        <v>39</v>
      </c>
      <c r="L2665" s="96"/>
      <c r="M2665" s="93" t="s">
        <v>214</v>
      </c>
      <c r="N2665" s="94">
        <v>3105</v>
      </c>
      <c r="O2665" s="92"/>
      <c r="P2665" s="97">
        <v>28.82</v>
      </c>
    </row>
    <row r="2666" spans="1:23" hidden="1" x14ac:dyDescent="0.3">
      <c r="A2666" s="92" t="s">
        <v>7998</v>
      </c>
      <c r="B2666" s="93" t="s">
        <v>7998</v>
      </c>
      <c r="C2666" s="91" t="s">
        <v>33</v>
      </c>
      <c r="D2666" s="92" t="s">
        <v>7996</v>
      </c>
      <c r="E2666" s="93" t="s">
        <v>8004</v>
      </c>
      <c r="F2666" s="94" t="str">
        <f t="shared" si="171"/>
        <v>Artex - Dalapro Roll Nova 12ltr</v>
      </c>
      <c r="G2666" s="94" t="s">
        <v>8005</v>
      </c>
      <c r="H2666" s="95" t="s">
        <v>213</v>
      </c>
      <c r="I2666" s="93" t="s">
        <v>37</v>
      </c>
      <c r="J2666" s="93" t="s">
        <v>38</v>
      </c>
      <c r="K2666" s="101" t="s">
        <v>39</v>
      </c>
      <c r="L2666" s="96"/>
      <c r="M2666" s="93" t="s">
        <v>214</v>
      </c>
      <c r="N2666" s="94">
        <v>3105</v>
      </c>
      <c r="O2666" s="92"/>
      <c r="P2666" s="97">
        <v>35</v>
      </c>
    </row>
    <row r="2667" spans="1:23" hidden="1" x14ac:dyDescent="0.3">
      <c r="A2667" s="92" t="s">
        <v>7999</v>
      </c>
      <c r="B2667" s="93" t="s">
        <v>7999</v>
      </c>
      <c r="C2667" s="91" t="s">
        <v>33</v>
      </c>
      <c r="D2667" s="92" t="s">
        <v>7996</v>
      </c>
      <c r="E2667" s="93" t="s">
        <v>8006</v>
      </c>
      <c r="F2667" s="94" t="str">
        <f t="shared" si="171"/>
        <v>Artex - Speed M Roller &amp; Frame 230mm</v>
      </c>
      <c r="G2667" s="94" t="s">
        <v>8002</v>
      </c>
      <c r="H2667" s="95" t="s">
        <v>213</v>
      </c>
      <c r="I2667" s="93" t="s">
        <v>37</v>
      </c>
      <c r="J2667" s="93" t="s">
        <v>38</v>
      </c>
      <c r="K2667" s="101" t="s">
        <v>39</v>
      </c>
      <c r="L2667" s="96"/>
      <c r="M2667" s="93" t="s">
        <v>214</v>
      </c>
      <c r="N2667" s="94">
        <v>3105</v>
      </c>
      <c r="O2667" s="92"/>
      <c r="P2667" s="97">
        <v>27</v>
      </c>
    </row>
    <row r="2668" spans="1:23" hidden="1" x14ac:dyDescent="0.3">
      <c r="A2668" s="92" t="s">
        <v>8000</v>
      </c>
      <c r="B2668" s="93" t="s">
        <v>8000</v>
      </c>
      <c r="C2668" s="91" t="s">
        <v>33</v>
      </c>
      <c r="D2668" s="92" t="s">
        <v>7996</v>
      </c>
      <c r="E2668" s="93" t="s">
        <v>8007</v>
      </c>
      <c r="F2668" s="94" t="str">
        <f t="shared" si="171"/>
        <v>Artex - Speed Max Roller Replacement 230mm</v>
      </c>
      <c r="G2668" s="94" t="s">
        <v>8003</v>
      </c>
      <c r="H2668" s="95" t="s">
        <v>213</v>
      </c>
      <c r="I2668" s="93" t="s">
        <v>37</v>
      </c>
      <c r="J2668" s="93" t="s">
        <v>38</v>
      </c>
      <c r="K2668" s="101" t="s">
        <v>39</v>
      </c>
      <c r="L2668" s="96"/>
      <c r="M2668" s="93" t="s">
        <v>214</v>
      </c>
      <c r="N2668" s="94">
        <v>3105</v>
      </c>
      <c r="O2668" s="92"/>
      <c r="P2668" s="97">
        <v>18</v>
      </c>
    </row>
    <row r="2669" spans="1:23" x14ac:dyDescent="0.3">
      <c r="C2669" s="47"/>
      <c r="H2669" s="49"/>
      <c r="K2669" s="72"/>
      <c r="L2669" s="50"/>
    </row>
    <row r="2670" spans="1:23" x14ac:dyDescent="0.3">
      <c r="C2670" s="47"/>
      <c r="H2670" s="49"/>
      <c r="K2670" s="72"/>
      <c r="L2670" s="50"/>
    </row>
    <row r="2671" spans="1:23" x14ac:dyDescent="0.3">
      <c r="C2671" s="47"/>
      <c r="H2671" s="49"/>
      <c r="K2671" s="72"/>
      <c r="L2671" s="50"/>
    </row>
    <row r="2672" spans="1:23" x14ac:dyDescent="0.3">
      <c r="C2672" s="47"/>
      <c r="H2672" s="49"/>
      <c r="K2672" s="72"/>
      <c r="L2672" s="50"/>
    </row>
    <row r="2673" spans="3:12" x14ac:dyDescent="0.3">
      <c r="C2673" s="47"/>
      <c r="H2673" s="49"/>
      <c r="K2673" s="72"/>
      <c r="L2673" s="50"/>
    </row>
    <row r="2674" spans="3:12" x14ac:dyDescent="0.3">
      <c r="C2674" s="47"/>
      <c r="H2674" s="49"/>
      <c r="K2674" s="72"/>
      <c r="L2674" s="50"/>
    </row>
    <row r="2675" spans="3:12" x14ac:dyDescent="0.3">
      <c r="C2675" s="47"/>
      <c r="H2675" s="49"/>
      <c r="K2675" s="72"/>
      <c r="L2675" s="50"/>
    </row>
    <row r="2676" spans="3:12" x14ac:dyDescent="0.3">
      <c r="C2676" s="47"/>
      <c r="H2676" s="49"/>
      <c r="K2676" s="72"/>
      <c r="L2676" s="50"/>
    </row>
    <row r="2677" spans="3:12" x14ac:dyDescent="0.3">
      <c r="C2677" s="47"/>
      <c r="H2677" s="49"/>
      <c r="K2677" s="72"/>
      <c r="L2677" s="50"/>
    </row>
    <row r="2678" spans="3:12" x14ac:dyDescent="0.3">
      <c r="C2678" s="47"/>
      <c r="H2678" s="49"/>
      <c r="K2678" s="72"/>
      <c r="L2678" s="50"/>
    </row>
    <row r="2679" spans="3:12" x14ac:dyDescent="0.3">
      <c r="C2679" s="47"/>
      <c r="H2679" s="49"/>
      <c r="K2679" s="72"/>
      <c r="L2679" s="50"/>
    </row>
    <row r="2680" spans="3:12" x14ac:dyDescent="0.3">
      <c r="C2680" s="47"/>
      <c r="H2680" s="49"/>
      <c r="K2680" s="72"/>
      <c r="L2680" s="50"/>
    </row>
    <row r="2681" spans="3:12" x14ac:dyDescent="0.3">
      <c r="C2681" s="47"/>
      <c r="H2681" s="49"/>
      <c r="K2681" s="72"/>
      <c r="L2681" s="50"/>
    </row>
    <row r="2682" spans="3:12" x14ac:dyDescent="0.3">
      <c r="C2682" s="47"/>
      <c r="H2682" s="49"/>
      <c r="K2682" s="72"/>
      <c r="L2682" s="50"/>
    </row>
    <row r="2683" spans="3:12" x14ac:dyDescent="0.3">
      <c r="C2683" s="47"/>
      <c r="H2683" s="49"/>
      <c r="K2683" s="72"/>
      <c r="L2683" s="50"/>
    </row>
    <row r="2684" spans="3:12" x14ac:dyDescent="0.3">
      <c r="C2684" s="47"/>
      <c r="H2684" s="49"/>
      <c r="K2684" s="72"/>
      <c r="L2684" s="50"/>
    </row>
    <row r="2685" spans="3:12" x14ac:dyDescent="0.3">
      <c r="C2685" s="47"/>
      <c r="H2685" s="49"/>
      <c r="K2685" s="72"/>
      <c r="L2685" s="50"/>
    </row>
    <row r="2686" spans="3:12" x14ac:dyDescent="0.3">
      <c r="C2686" s="47"/>
      <c r="H2686" s="49"/>
      <c r="K2686" s="72"/>
      <c r="L2686" s="50"/>
    </row>
    <row r="2687" spans="3:12" x14ac:dyDescent="0.3">
      <c r="C2687" s="47"/>
      <c r="H2687" s="49"/>
      <c r="K2687" s="72"/>
      <c r="L2687" s="50"/>
    </row>
    <row r="2688" spans="3:12" x14ac:dyDescent="0.3">
      <c r="C2688" s="47"/>
      <c r="H2688" s="49"/>
      <c r="K2688" s="72"/>
      <c r="L2688" s="50"/>
    </row>
    <row r="2689" spans="3:12" x14ac:dyDescent="0.3">
      <c r="C2689" s="47"/>
      <c r="H2689" s="49"/>
      <c r="K2689" s="72"/>
      <c r="L2689" s="50"/>
    </row>
    <row r="2690" spans="3:12" x14ac:dyDescent="0.3">
      <c r="C2690" s="47"/>
      <c r="H2690" s="49"/>
      <c r="K2690" s="72"/>
      <c r="L2690" s="50"/>
    </row>
    <row r="2691" spans="3:12" x14ac:dyDescent="0.3">
      <c r="C2691" s="47"/>
      <c r="H2691" s="49"/>
      <c r="K2691" s="72"/>
      <c r="L2691" s="50"/>
    </row>
    <row r="2692" spans="3:12" x14ac:dyDescent="0.3">
      <c r="C2692" s="47"/>
      <c r="H2692" s="49"/>
      <c r="K2692" s="72"/>
      <c r="L2692" s="50"/>
    </row>
    <row r="2693" spans="3:12" x14ac:dyDescent="0.3">
      <c r="C2693" s="47"/>
      <c r="H2693" s="49"/>
      <c r="K2693" s="72"/>
      <c r="L2693" s="50"/>
    </row>
    <row r="2694" spans="3:12" x14ac:dyDescent="0.3">
      <c r="C2694" s="47"/>
      <c r="H2694" s="49"/>
      <c r="K2694" s="72"/>
      <c r="L2694" s="50"/>
    </row>
    <row r="2695" spans="3:12" x14ac:dyDescent="0.3">
      <c r="C2695" s="47"/>
      <c r="H2695" s="49"/>
      <c r="K2695" s="72"/>
      <c r="L2695" s="50"/>
    </row>
    <row r="2696" spans="3:12" x14ac:dyDescent="0.3">
      <c r="C2696" s="47"/>
      <c r="H2696" s="49"/>
      <c r="K2696" s="72"/>
      <c r="L2696" s="50"/>
    </row>
    <row r="2697" spans="3:12" x14ac:dyDescent="0.3">
      <c r="C2697" s="47"/>
      <c r="H2697" s="49"/>
      <c r="K2697" s="72"/>
      <c r="L2697" s="50"/>
    </row>
    <row r="2698" spans="3:12" x14ac:dyDescent="0.3">
      <c r="C2698" s="47"/>
      <c r="H2698" s="49"/>
      <c r="K2698" s="72"/>
      <c r="L2698" s="50"/>
    </row>
    <row r="2699" spans="3:12" x14ac:dyDescent="0.3">
      <c r="C2699" s="47"/>
      <c r="H2699" s="49"/>
      <c r="K2699" s="72"/>
      <c r="L2699" s="50"/>
    </row>
    <row r="2700" spans="3:12" x14ac:dyDescent="0.3">
      <c r="C2700" s="47"/>
      <c r="H2700" s="49"/>
      <c r="K2700" s="72"/>
      <c r="L2700" s="50"/>
    </row>
    <row r="2701" spans="3:12" x14ac:dyDescent="0.3">
      <c r="C2701" s="47"/>
      <c r="H2701" s="49"/>
      <c r="K2701" s="72"/>
      <c r="L2701" s="50"/>
    </row>
    <row r="2702" spans="3:12" x14ac:dyDescent="0.3">
      <c r="C2702" s="47"/>
      <c r="H2702" s="49"/>
      <c r="K2702" s="72"/>
      <c r="L2702" s="50"/>
    </row>
    <row r="2703" spans="3:12" x14ac:dyDescent="0.3">
      <c r="C2703" s="47"/>
      <c r="H2703" s="49"/>
      <c r="K2703" s="72"/>
      <c r="L2703" s="50"/>
    </row>
    <row r="2704" spans="3:12" x14ac:dyDescent="0.3">
      <c r="C2704" s="47"/>
      <c r="H2704" s="49"/>
      <c r="K2704" s="72"/>
      <c r="L2704" s="50"/>
    </row>
    <row r="2705" spans="3:12" x14ac:dyDescent="0.3">
      <c r="C2705" s="47"/>
      <c r="H2705" s="49"/>
      <c r="K2705" s="72"/>
      <c r="L2705" s="50"/>
    </row>
    <row r="2706" spans="3:12" x14ac:dyDescent="0.3">
      <c r="C2706" s="47"/>
      <c r="H2706" s="49"/>
      <c r="K2706" s="72"/>
      <c r="L2706" s="50"/>
    </row>
    <row r="2707" spans="3:12" x14ac:dyDescent="0.3">
      <c r="C2707" s="47"/>
      <c r="H2707" s="49"/>
      <c r="K2707" s="72"/>
      <c r="L2707" s="50"/>
    </row>
    <row r="2708" spans="3:12" x14ac:dyDescent="0.3">
      <c r="C2708" s="47"/>
      <c r="H2708" s="49"/>
      <c r="K2708" s="72"/>
      <c r="L2708" s="50"/>
    </row>
    <row r="2709" spans="3:12" x14ac:dyDescent="0.3">
      <c r="C2709" s="47"/>
      <c r="H2709" s="49"/>
      <c r="K2709" s="72"/>
      <c r="L2709" s="50"/>
    </row>
    <row r="2710" spans="3:12" x14ac:dyDescent="0.3">
      <c r="C2710" s="47"/>
      <c r="H2710" s="49"/>
      <c r="K2710" s="72"/>
      <c r="L2710" s="50"/>
    </row>
    <row r="2711" spans="3:12" x14ac:dyDescent="0.3">
      <c r="C2711" s="47"/>
      <c r="H2711" s="49"/>
      <c r="K2711" s="72"/>
      <c r="L2711" s="50"/>
    </row>
    <row r="2712" spans="3:12" x14ac:dyDescent="0.3">
      <c r="C2712" s="47"/>
      <c r="H2712" s="49"/>
      <c r="K2712" s="72"/>
      <c r="L2712" s="50"/>
    </row>
    <row r="2713" spans="3:12" x14ac:dyDescent="0.3">
      <c r="C2713" s="47"/>
      <c r="H2713" s="49"/>
      <c r="K2713" s="72"/>
      <c r="L2713" s="50"/>
    </row>
    <row r="2714" spans="3:12" x14ac:dyDescent="0.3">
      <c r="C2714" s="47"/>
      <c r="H2714" s="49"/>
      <c r="K2714" s="72"/>
      <c r="L2714" s="50"/>
    </row>
    <row r="2715" spans="3:12" x14ac:dyDescent="0.3">
      <c r="C2715" s="47"/>
      <c r="H2715" s="49"/>
      <c r="K2715" s="72"/>
      <c r="L2715" s="50"/>
    </row>
    <row r="2716" spans="3:12" x14ac:dyDescent="0.3">
      <c r="C2716" s="47"/>
      <c r="H2716" s="49"/>
      <c r="K2716" s="72"/>
      <c r="L2716" s="50"/>
    </row>
    <row r="2717" spans="3:12" x14ac:dyDescent="0.3">
      <c r="C2717" s="47"/>
      <c r="H2717" s="49"/>
      <c r="K2717" s="72"/>
      <c r="L2717" s="50"/>
    </row>
    <row r="2718" spans="3:12" x14ac:dyDescent="0.3">
      <c r="C2718" s="47"/>
      <c r="H2718" s="49"/>
      <c r="K2718" s="72"/>
      <c r="L2718" s="50"/>
    </row>
    <row r="2719" spans="3:12" x14ac:dyDescent="0.3">
      <c r="C2719" s="47"/>
      <c r="H2719" s="49"/>
      <c r="K2719" s="72"/>
      <c r="L2719" s="50"/>
    </row>
    <row r="2720" spans="3:12" x14ac:dyDescent="0.3">
      <c r="C2720" s="47"/>
      <c r="H2720" s="49"/>
      <c r="K2720" s="72"/>
      <c r="L2720" s="50"/>
    </row>
    <row r="2721" spans="3:12" x14ac:dyDescent="0.3">
      <c r="C2721" s="47"/>
      <c r="H2721" s="49"/>
      <c r="K2721" s="72"/>
      <c r="L2721" s="50"/>
    </row>
    <row r="2722" spans="3:12" x14ac:dyDescent="0.3">
      <c r="C2722" s="47"/>
      <c r="H2722" s="49"/>
      <c r="K2722" s="72"/>
      <c r="L2722" s="50"/>
    </row>
    <row r="2723" spans="3:12" x14ac:dyDescent="0.3">
      <c r="C2723" s="47"/>
      <c r="H2723" s="49"/>
      <c r="K2723" s="72"/>
      <c r="L2723" s="50"/>
    </row>
    <row r="2724" spans="3:12" x14ac:dyDescent="0.3">
      <c r="C2724" s="47"/>
      <c r="H2724" s="49"/>
      <c r="K2724" s="72"/>
      <c r="L2724" s="50"/>
    </row>
    <row r="2725" spans="3:12" x14ac:dyDescent="0.3">
      <c r="C2725" s="47"/>
      <c r="H2725" s="49"/>
      <c r="K2725" s="72"/>
      <c r="L2725" s="50"/>
    </row>
    <row r="2726" spans="3:12" x14ac:dyDescent="0.3">
      <c r="C2726" s="47"/>
      <c r="H2726" s="49"/>
      <c r="K2726" s="72"/>
      <c r="L2726" s="50"/>
    </row>
    <row r="2727" spans="3:12" x14ac:dyDescent="0.3">
      <c r="C2727" s="47"/>
      <c r="H2727" s="49"/>
      <c r="K2727" s="72"/>
      <c r="L2727" s="50"/>
    </row>
    <row r="2728" spans="3:12" x14ac:dyDescent="0.3">
      <c r="C2728" s="47"/>
      <c r="H2728" s="49"/>
      <c r="K2728" s="72"/>
      <c r="L2728" s="50"/>
    </row>
    <row r="2729" spans="3:12" x14ac:dyDescent="0.3">
      <c r="C2729" s="47"/>
      <c r="H2729" s="49"/>
      <c r="K2729" s="72"/>
      <c r="L2729" s="50"/>
    </row>
    <row r="2730" spans="3:12" x14ac:dyDescent="0.3">
      <c r="C2730" s="47"/>
      <c r="H2730" s="49"/>
      <c r="K2730" s="72"/>
      <c r="L2730" s="50"/>
    </row>
    <row r="2731" spans="3:12" x14ac:dyDescent="0.3">
      <c r="C2731" s="47"/>
      <c r="H2731" s="49"/>
      <c r="K2731" s="72"/>
      <c r="L2731" s="50"/>
    </row>
    <row r="2732" spans="3:12" x14ac:dyDescent="0.3">
      <c r="C2732" s="47"/>
      <c r="H2732" s="49"/>
      <c r="K2732" s="72"/>
      <c r="L2732" s="50"/>
    </row>
    <row r="2733" spans="3:12" x14ac:dyDescent="0.3">
      <c r="C2733" s="47"/>
      <c r="H2733" s="49"/>
      <c r="K2733" s="72"/>
      <c r="L2733" s="50"/>
    </row>
    <row r="2734" spans="3:12" x14ac:dyDescent="0.3">
      <c r="C2734" s="47"/>
      <c r="H2734" s="49"/>
      <c r="K2734" s="72"/>
      <c r="L2734" s="50"/>
    </row>
    <row r="2735" spans="3:12" x14ac:dyDescent="0.3">
      <c r="C2735" s="47"/>
      <c r="H2735" s="49"/>
      <c r="K2735" s="72"/>
      <c r="L2735" s="50"/>
    </row>
    <row r="2736" spans="3:12" x14ac:dyDescent="0.3">
      <c r="C2736" s="47"/>
      <c r="H2736" s="49"/>
      <c r="K2736" s="72"/>
      <c r="L2736" s="50"/>
    </row>
    <row r="2737" spans="3:12" x14ac:dyDescent="0.3">
      <c r="C2737" s="47"/>
      <c r="H2737" s="49"/>
      <c r="K2737" s="72"/>
      <c r="L2737" s="50"/>
    </row>
    <row r="2738" spans="3:12" x14ac:dyDescent="0.3">
      <c r="C2738" s="47"/>
      <c r="H2738" s="49"/>
      <c r="K2738" s="72"/>
      <c r="L2738" s="50"/>
    </row>
    <row r="2739" spans="3:12" x14ac:dyDescent="0.3">
      <c r="C2739" s="47"/>
      <c r="H2739" s="49"/>
      <c r="K2739" s="72"/>
      <c r="L2739" s="50"/>
    </row>
    <row r="2740" spans="3:12" x14ac:dyDescent="0.3">
      <c r="C2740" s="47"/>
      <c r="H2740" s="49"/>
      <c r="K2740" s="72"/>
      <c r="L2740" s="50"/>
    </row>
    <row r="2741" spans="3:12" x14ac:dyDescent="0.3">
      <c r="C2741" s="47"/>
      <c r="H2741" s="49"/>
      <c r="K2741" s="72"/>
      <c r="L2741" s="50"/>
    </row>
    <row r="2742" spans="3:12" x14ac:dyDescent="0.3">
      <c r="C2742" s="47"/>
      <c r="H2742" s="49"/>
      <c r="K2742" s="72"/>
      <c r="L2742" s="50"/>
    </row>
    <row r="2743" spans="3:12" x14ac:dyDescent="0.3">
      <c r="C2743" s="47"/>
      <c r="H2743" s="49"/>
      <c r="K2743" s="72"/>
      <c r="L2743" s="50"/>
    </row>
    <row r="2744" spans="3:12" x14ac:dyDescent="0.3">
      <c r="C2744" s="47"/>
      <c r="H2744" s="49"/>
      <c r="K2744" s="72"/>
      <c r="L2744" s="50"/>
    </row>
    <row r="2745" spans="3:12" x14ac:dyDescent="0.3">
      <c r="C2745" s="47"/>
      <c r="H2745" s="49"/>
      <c r="K2745" s="72"/>
      <c r="L2745" s="50"/>
    </row>
    <row r="2746" spans="3:12" x14ac:dyDescent="0.3">
      <c r="C2746" s="47"/>
      <c r="H2746" s="49"/>
      <c r="K2746" s="72"/>
      <c r="L2746" s="50"/>
    </row>
    <row r="2747" spans="3:12" x14ac:dyDescent="0.3">
      <c r="C2747" s="47"/>
      <c r="H2747" s="49"/>
      <c r="K2747" s="72"/>
      <c r="L2747" s="50"/>
    </row>
    <row r="2748" spans="3:12" x14ac:dyDescent="0.3">
      <c r="C2748" s="47"/>
      <c r="H2748" s="49"/>
      <c r="K2748" s="72"/>
      <c r="L2748" s="50"/>
    </row>
    <row r="2749" spans="3:12" x14ac:dyDescent="0.3">
      <c r="C2749" s="47"/>
      <c r="H2749" s="49"/>
      <c r="K2749" s="72"/>
      <c r="L2749" s="50"/>
    </row>
    <row r="2750" spans="3:12" x14ac:dyDescent="0.3">
      <c r="C2750" s="47"/>
      <c r="H2750" s="49"/>
      <c r="K2750" s="72"/>
      <c r="L2750" s="50"/>
    </row>
    <row r="2751" spans="3:12" x14ac:dyDescent="0.3">
      <c r="C2751" s="47"/>
      <c r="H2751" s="49"/>
      <c r="K2751" s="72"/>
      <c r="L2751" s="50"/>
    </row>
    <row r="2752" spans="3:12" x14ac:dyDescent="0.3">
      <c r="C2752" s="47"/>
      <c r="H2752" s="49"/>
      <c r="K2752" s="72"/>
      <c r="L2752" s="50"/>
    </row>
    <row r="2753" spans="3:12" x14ac:dyDescent="0.3">
      <c r="C2753" s="47"/>
      <c r="H2753" s="49"/>
      <c r="K2753" s="72"/>
      <c r="L2753" s="50"/>
    </row>
    <row r="2754" spans="3:12" x14ac:dyDescent="0.3">
      <c r="C2754" s="47"/>
      <c r="H2754" s="49"/>
      <c r="K2754" s="72"/>
      <c r="L2754" s="50"/>
    </row>
    <row r="2755" spans="3:12" x14ac:dyDescent="0.3">
      <c r="C2755" s="47"/>
      <c r="H2755" s="49"/>
      <c r="K2755" s="72"/>
      <c r="L2755" s="50"/>
    </row>
    <row r="2756" spans="3:12" x14ac:dyDescent="0.3">
      <c r="C2756" s="47"/>
      <c r="H2756" s="49"/>
      <c r="K2756" s="72"/>
      <c r="L2756" s="50"/>
    </row>
    <row r="2757" spans="3:12" x14ac:dyDescent="0.3">
      <c r="C2757" s="47"/>
      <c r="H2757" s="49"/>
      <c r="K2757" s="72"/>
      <c r="L2757" s="50"/>
    </row>
    <row r="2758" spans="3:12" x14ac:dyDescent="0.3">
      <c r="C2758" s="47"/>
      <c r="H2758" s="49"/>
      <c r="K2758" s="72"/>
      <c r="L2758" s="50"/>
    </row>
    <row r="2759" spans="3:12" x14ac:dyDescent="0.3">
      <c r="C2759" s="47"/>
      <c r="H2759" s="49"/>
      <c r="K2759" s="72"/>
      <c r="L2759" s="50"/>
    </row>
    <row r="2760" spans="3:12" x14ac:dyDescent="0.3">
      <c r="C2760" s="47"/>
      <c r="H2760" s="49"/>
      <c r="K2760" s="72"/>
      <c r="L2760" s="50"/>
    </row>
    <row r="2761" spans="3:12" x14ac:dyDescent="0.3">
      <c r="C2761" s="47"/>
      <c r="H2761" s="49"/>
      <c r="K2761" s="72"/>
      <c r="L2761" s="50"/>
    </row>
    <row r="2762" spans="3:12" x14ac:dyDescent="0.3">
      <c r="C2762" s="47"/>
      <c r="H2762" s="49"/>
      <c r="K2762" s="72"/>
      <c r="L2762" s="50"/>
    </row>
    <row r="2763" spans="3:12" x14ac:dyDescent="0.3">
      <c r="C2763" s="47"/>
      <c r="H2763" s="49"/>
      <c r="K2763" s="72"/>
      <c r="L2763" s="50"/>
    </row>
    <row r="2764" spans="3:12" x14ac:dyDescent="0.3">
      <c r="C2764" s="47"/>
      <c r="H2764" s="49"/>
      <c r="K2764" s="72"/>
      <c r="L2764" s="50"/>
    </row>
    <row r="2765" spans="3:12" x14ac:dyDescent="0.3">
      <c r="C2765" s="47"/>
      <c r="H2765" s="49"/>
      <c r="K2765" s="72"/>
      <c r="L2765" s="50"/>
    </row>
    <row r="2766" spans="3:12" x14ac:dyDescent="0.3">
      <c r="C2766" s="47"/>
      <c r="H2766" s="49"/>
      <c r="K2766" s="72"/>
      <c r="L2766" s="50"/>
    </row>
    <row r="2767" spans="3:12" x14ac:dyDescent="0.3">
      <c r="C2767" s="47"/>
      <c r="H2767" s="49"/>
      <c r="K2767" s="72"/>
      <c r="L2767" s="50"/>
    </row>
    <row r="2768" spans="3:12" x14ac:dyDescent="0.3">
      <c r="C2768" s="47"/>
      <c r="H2768" s="49"/>
      <c r="K2768" s="72"/>
      <c r="L2768" s="50"/>
    </row>
    <row r="2769" spans="3:12" x14ac:dyDescent="0.3">
      <c r="C2769" s="47"/>
      <c r="H2769" s="49"/>
      <c r="K2769" s="72"/>
      <c r="L2769" s="50"/>
    </row>
    <row r="2770" spans="3:12" x14ac:dyDescent="0.3">
      <c r="C2770" s="47"/>
      <c r="H2770" s="49"/>
      <c r="K2770" s="72"/>
      <c r="L2770" s="50"/>
    </row>
    <row r="2771" spans="3:12" x14ac:dyDescent="0.3">
      <c r="C2771" s="47"/>
      <c r="H2771" s="49"/>
      <c r="K2771" s="72"/>
      <c r="L2771" s="50"/>
    </row>
    <row r="2772" spans="3:12" x14ac:dyDescent="0.3">
      <c r="C2772" s="47"/>
      <c r="H2772" s="49"/>
      <c r="K2772" s="72"/>
      <c r="L2772" s="50"/>
    </row>
    <row r="2773" spans="3:12" x14ac:dyDescent="0.3">
      <c r="C2773" s="47"/>
      <c r="H2773" s="49"/>
      <c r="K2773" s="72"/>
      <c r="L2773" s="50"/>
    </row>
    <row r="2774" spans="3:12" x14ac:dyDescent="0.3">
      <c r="C2774" s="47"/>
      <c r="H2774" s="49"/>
      <c r="K2774" s="72"/>
      <c r="L2774" s="50"/>
    </row>
    <row r="2775" spans="3:12" x14ac:dyDescent="0.3">
      <c r="C2775" s="47"/>
      <c r="H2775" s="49"/>
      <c r="K2775" s="72"/>
      <c r="L2775" s="50"/>
    </row>
    <row r="2776" spans="3:12" x14ac:dyDescent="0.3">
      <c r="C2776" s="47"/>
      <c r="H2776" s="49"/>
      <c r="K2776" s="72"/>
      <c r="L2776" s="50"/>
    </row>
    <row r="2777" spans="3:12" x14ac:dyDescent="0.3">
      <c r="C2777" s="47"/>
      <c r="H2777" s="49"/>
      <c r="K2777" s="72"/>
      <c r="L2777" s="50"/>
    </row>
    <row r="2778" spans="3:12" x14ac:dyDescent="0.3">
      <c r="C2778" s="47"/>
      <c r="H2778" s="49"/>
      <c r="K2778" s="72"/>
      <c r="L2778" s="50"/>
    </row>
    <row r="2779" spans="3:12" x14ac:dyDescent="0.3">
      <c r="C2779" s="47"/>
      <c r="H2779" s="49"/>
      <c r="K2779" s="72"/>
      <c r="L2779" s="50"/>
    </row>
    <row r="2780" spans="3:12" x14ac:dyDescent="0.3">
      <c r="C2780" s="47"/>
      <c r="H2780" s="49"/>
      <c r="K2780" s="72"/>
      <c r="L2780" s="50"/>
    </row>
    <row r="2781" spans="3:12" x14ac:dyDescent="0.3">
      <c r="C2781" s="47"/>
      <c r="H2781" s="49"/>
      <c r="K2781" s="72"/>
      <c r="L2781" s="50"/>
    </row>
    <row r="2782" spans="3:12" x14ac:dyDescent="0.3">
      <c r="C2782" s="47"/>
      <c r="H2782" s="49"/>
      <c r="K2782" s="72"/>
      <c r="L2782" s="50"/>
    </row>
    <row r="2783" spans="3:12" x14ac:dyDescent="0.3">
      <c r="C2783" s="47"/>
      <c r="H2783" s="49"/>
      <c r="K2783" s="72"/>
      <c r="L2783" s="50"/>
    </row>
    <row r="2784" spans="3:12" x14ac:dyDescent="0.3">
      <c r="C2784" s="47"/>
      <c r="H2784" s="49"/>
      <c r="K2784" s="72"/>
      <c r="L2784" s="50"/>
    </row>
    <row r="2785" spans="3:12" x14ac:dyDescent="0.3">
      <c r="C2785" s="47"/>
      <c r="H2785" s="49"/>
      <c r="K2785" s="72"/>
      <c r="L2785" s="50"/>
    </row>
    <row r="2786" spans="3:12" x14ac:dyDescent="0.3">
      <c r="C2786" s="47"/>
      <c r="H2786" s="49"/>
      <c r="K2786" s="72"/>
      <c r="L2786" s="50"/>
    </row>
    <row r="2787" spans="3:12" x14ac:dyDescent="0.3">
      <c r="C2787" s="47"/>
      <c r="H2787" s="49"/>
      <c r="K2787" s="72"/>
      <c r="L2787" s="50"/>
    </row>
    <row r="2788" spans="3:12" x14ac:dyDescent="0.3">
      <c r="C2788" s="47"/>
      <c r="H2788" s="49"/>
      <c r="K2788" s="72"/>
      <c r="L2788" s="50"/>
    </row>
    <row r="2789" spans="3:12" x14ac:dyDescent="0.3">
      <c r="C2789" s="47"/>
      <c r="H2789" s="49"/>
      <c r="K2789" s="72"/>
      <c r="L2789" s="50"/>
    </row>
    <row r="2790" spans="3:12" x14ac:dyDescent="0.3">
      <c r="C2790" s="47"/>
      <c r="H2790" s="49"/>
      <c r="K2790" s="72"/>
      <c r="L2790" s="50"/>
    </row>
    <row r="2791" spans="3:12" x14ac:dyDescent="0.3">
      <c r="C2791" s="47"/>
      <c r="H2791" s="49"/>
      <c r="K2791" s="72"/>
      <c r="L2791" s="50"/>
    </row>
    <row r="2792" spans="3:12" x14ac:dyDescent="0.3">
      <c r="C2792" s="47"/>
      <c r="H2792" s="49"/>
      <c r="K2792" s="72"/>
      <c r="L2792" s="50"/>
    </row>
    <row r="2793" spans="3:12" x14ac:dyDescent="0.3">
      <c r="C2793" s="47"/>
      <c r="H2793" s="49"/>
      <c r="K2793" s="72"/>
      <c r="L2793" s="50"/>
    </row>
    <row r="2794" spans="3:12" x14ac:dyDescent="0.3">
      <c r="C2794" s="47"/>
      <c r="H2794" s="49"/>
      <c r="K2794" s="72"/>
      <c r="L2794" s="50"/>
    </row>
    <row r="2795" spans="3:12" x14ac:dyDescent="0.3">
      <c r="C2795" s="47"/>
      <c r="H2795" s="49"/>
      <c r="K2795" s="72"/>
      <c r="L2795" s="50"/>
    </row>
    <row r="2796" spans="3:12" x14ac:dyDescent="0.3">
      <c r="C2796" s="47"/>
      <c r="H2796" s="49"/>
      <c r="K2796" s="72"/>
      <c r="L2796" s="50"/>
    </row>
    <row r="2797" spans="3:12" x14ac:dyDescent="0.3">
      <c r="C2797" s="47"/>
      <c r="H2797" s="49"/>
      <c r="K2797" s="72"/>
      <c r="L2797" s="50"/>
    </row>
    <row r="2798" spans="3:12" x14ac:dyDescent="0.3">
      <c r="C2798" s="47"/>
      <c r="H2798" s="49"/>
      <c r="K2798" s="72"/>
      <c r="L2798" s="50"/>
    </row>
    <row r="2799" spans="3:12" x14ac:dyDescent="0.3">
      <c r="C2799" s="47"/>
      <c r="H2799" s="49"/>
      <c r="K2799" s="72"/>
      <c r="L2799" s="50"/>
    </row>
    <row r="2800" spans="3:12" x14ac:dyDescent="0.3">
      <c r="C2800" s="47"/>
      <c r="H2800" s="49"/>
      <c r="K2800" s="72"/>
      <c r="L2800" s="50"/>
    </row>
    <row r="2801" spans="3:12" x14ac:dyDescent="0.3">
      <c r="C2801" s="47"/>
      <c r="H2801" s="49"/>
      <c r="K2801" s="72"/>
      <c r="L2801" s="50"/>
    </row>
    <row r="2802" spans="3:12" x14ac:dyDescent="0.3">
      <c r="C2802" s="47"/>
      <c r="H2802" s="49"/>
      <c r="K2802" s="72"/>
      <c r="L2802" s="50"/>
    </row>
    <row r="2803" spans="3:12" x14ac:dyDescent="0.3">
      <c r="C2803" s="47"/>
      <c r="H2803" s="49"/>
      <c r="K2803" s="72"/>
      <c r="L2803" s="50"/>
    </row>
    <row r="2804" spans="3:12" x14ac:dyDescent="0.3">
      <c r="C2804" s="47"/>
      <c r="H2804" s="49"/>
      <c r="K2804" s="72"/>
      <c r="L2804" s="50"/>
    </row>
    <row r="2805" spans="3:12" x14ac:dyDescent="0.3">
      <c r="C2805" s="47"/>
      <c r="H2805" s="49"/>
      <c r="K2805" s="72"/>
      <c r="L2805" s="50"/>
    </row>
    <row r="2806" spans="3:12" x14ac:dyDescent="0.3">
      <c r="C2806" s="47"/>
      <c r="H2806" s="49"/>
      <c r="K2806" s="72"/>
      <c r="L2806" s="50"/>
    </row>
    <row r="2807" spans="3:12" x14ac:dyDescent="0.3">
      <c r="C2807" s="47"/>
      <c r="H2807" s="49"/>
      <c r="K2807" s="72"/>
      <c r="L2807" s="50"/>
    </row>
    <row r="2808" spans="3:12" x14ac:dyDescent="0.3">
      <c r="C2808" s="47"/>
      <c r="H2808" s="49"/>
      <c r="K2808" s="72"/>
      <c r="L2808" s="50"/>
    </row>
    <row r="2809" spans="3:12" x14ac:dyDescent="0.3">
      <c r="C2809" s="47"/>
      <c r="H2809" s="49"/>
      <c r="K2809" s="72"/>
      <c r="L2809" s="50"/>
    </row>
    <row r="2810" spans="3:12" x14ac:dyDescent="0.3">
      <c r="C2810" s="47"/>
      <c r="H2810" s="49"/>
      <c r="K2810" s="72"/>
      <c r="L2810" s="50"/>
    </row>
    <row r="2811" spans="3:12" x14ac:dyDescent="0.3">
      <c r="C2811" s="47"/>
      <c r="H2811" s="49"/>
      <c r="K2811" s="72"/>
      <c r="L2811" s="50"/>
    </row>
    <row r="2812" spans="3:12" x14ac:dyDescent="0.3">
      <c r="C2812" s="47"/>
      <c r="H2812" s="49"/>
      <c r="K2812" s="72"/>
      <c r="L2812" s="50"/>
    </row>
    <row r="2813" spans="3:12" x14ac:dyDescent="0.3">
      <c r="C2813" s="47"/>
      <c r="H2813" s="49"/>
      <c r="K2813" s="72"/>
      <c r="L2813" s="50"/>
    </row>
    <row r="2814" spans="3:12" x14ac:dyDescent="0.3">
      <c r="C2814" s="47"/>
      <c r="H2814" s="49"/>
      <c r="K2814" s="72"/>
      <c r="L2814" s="50"/>
    </row>
    <row r="2815" spans="3:12" x14ac:dyDescent="0.3">
      <c r="C2815" s="47"/>
      <c r="H2815" s="49"/>
      <c r="K2815" s="72"/>
      <c r="L2815" s="50"/>
    </row>
    <row r="2816" spans="3:12" x14ac:dyDescent="0.3">
      <c r="C2816" s="47"/>
      <c r="H2816" s="49"/>
      <c r="K2816" s="72"/>
      <c r="L2816" s="50"/>
    </row>
    <row r="2817" spans="3:12" x14ac:dyDescent="0.3">
      <c r="C2817" s="47"/>
      <c r="H2817" s="49"/>
      <c r="K2817" s="72"/>
      <c r="L2817" s="50"/>
    </row>
    <row r="2818" spans="3:12" x14ac:dyDescent="0.3">
      <c r="C2818" s="47"/>
      <c r="H2818" s="49"/>
      <c r="K2818" s="72"/>
      <c r="L2818" s="50"/>
    </row>
    <row r="2819" spans="3:12" x14ac:dyDescent="0.3">
      <c r="C2819" s="47"/>
      <c r="H2819" s="49"/>
      <c r="K2819" s="72"/>
      <c r="L2819" s="50"/>
    </row>
    <row r="2820" spans="3:12" x14ac:dyDescent="0.3">
      <c r="C2820" s="47"/>
      <c r="H2820" s="49"/>
      <c r="K2820" s="72"/>
      <c r="L2820" s="50"/>
    </row>
    <row r="2821" spans="3:12" x14ac:dyDescent="0.3">
      <c r="C2821" s="47"/>
      <c r="H2821" s="49"/>
      <c r="K2821" s="72"/>
      <c r="L2821" s="50"/>
    </row>
    <row r="2822" spans="3:12" x14ac:dyDescent="0.3">
      <c r="C2822" s="47"/>
      <c r="H2822" s="49"/>
      <c r="K2822" s="72"/>
      <c r="L2822" s="50"/>
    </row>
    <row r="2823" spans="3:12" x14ac:dyDescent="0.3">
      <c r="C2823" s="47"/>
      <c r="H2823" s="49"/>
      <c r="K2823" s="72"/>
      <c r="L2823" s="50"/>
    </row>
    <row r="2824" spans="3:12" x14ac:dyDescent="0.3">
      <c r="C2824" s="47"/>
      <c r="H2824" s="49"/>
      <c r="K2824" s="72"/>
      <c r="L2824" s="50"/>
    </row>
    <row r="2825" spans="3:12" x14ac:dyDescent="0.3">
      <c r="C2825" s="47"/>
      <c r="H2825" s="49"/>
      <c r="K2825" s="72"/>
      <c r="L2825" s="50"/>
    </row>
    <row r="2826" spans="3:12" x14ac:dyDescent="0.3">
      <c r="C2826" s="47"/>
      <c r="H2826" s="49"/>
      <c r="K2826" s="72"/>
      <c r="L2826" s="50"/>
    </row>
    <row r="2827" spans="3:12" x14ac:dyDescent="0.3">
      <c r="C2827" s="47"/>
      <c r="H2827" s="49"/>
      <c r="K2827" s="72"/>
      <c r="L2827" s="50"/>
    </row>
    <row r="2828" spans="3:12" x14ac:dyDescent="0.3">
      <c r="C2828" s="47"/>
      <c r="H2828" s="49"/>
      <c r="K2828" s="72"/>
      <c r="L2828" s="50"/>
    </row>
    <row r="2829" spans="3:12" x14ac:dyDescent="0.3">
      <c r="C2829" s="47"/>
      <c r="H2829" s="49"/>
      <c r="K2829" s="72"/>
      <c r="L2829" s="50"/>
    </row>
    <row r="2830" spans="3:12" x14ac:dyDescent="0.3">
      <c r="C2830" s="47"/>
      <c r="H2830" s="49"/>
      <c r="K2830" s="72"/>
      <c r="L2830" s="50"/>
    </row>
    <row r="2831" spans="3:12" x14ac:dyDescent="0.3">
      <c r="C2831" s="47"/>
      <c r="H2831" s="49"/>
      <c r="K2831" s="72"/>
      <c r="L2831" s="50"/>
    </row>
    <row r="2832" spans="3:12" x14ac:dyDescent="0.3">
      <c r="C2832" s="47"/>
      <c r="H2832" s="49"/>
      <c r="K2832" s="72"/>
      <c r="L2832" s="50"/>
    </row>
    <row r="2833" spans="3:12" x14ac:dyDescent="0.3">
      <c r="C2833" s="47"/>
      <c r="H2833" s="49"/>
      <c r="K2833" s="72"/>
      <c r="L2833" s="50"/>
    </row>
    <row r="2834" spans="3:12" x14ac:dyDescent="0.3">
      <c r="C2834" s="47"/>
      <c r="H2834" s="49"/>
      <c r="K2834" s="72"/>
      <c r="L2834" s="50"/>
    </row>
    <row r="2835" spans="3:12" x14ac:dyDescent="0.3">
      <c r="C2835" s="47"/>
      <c r="H2835" s="49"/>
      <c r="K2835" s="72"/>
      <c r="L2835" s="50"/>
    </row>
    <row r="2836" spans="3:12" x14ac:dyDescent="0.3">
      <c r="C2836" s="47"/>
      <c r="H2836" s="49"/>
      <c r="K2836" s="72"/>
      <c r="L2836" s="50"/>
    </row>
    <row r="2837" spans="3:12" x14ac:dyDescent="0.3">
      <c r="C2837" s="47"/>
      <c r="H2837" s="49"/>
      <c r="K2837" s="72"/>
      <c r="L2837" s="50"/>
    </row>
    <row r="2838" spans="3:12" x14ac:dyDescent="0.3">
      <c r="C2838" s="47"/>
      <c r="H2838" s="49"/>
      <c r="K2838" s="72"/>
      <c r="L2838" s="50"/>
    </row>
    <row r="2839" spans="3:12" x14ac:dyDescent="0.3">
      <c r="C2839" s="47"/>
      <c r="H2839" s="49"/>
      <c r="K2839" s="72"/>
      <c r="L2839" s="50"/>
    </row>
    <row r="2840" spans="3:12" x14ac:dyDescent="0.3">
      <c r="C2840" s="47"/>
      <c r="H2840" s="49"/>
      <c r="K2840" s="72"/>
      <c r="L2840" s="50"/>
    </row>
    <row r="2841" spans="3:12" x14ac:dyDescent="0.3">
      <c r="C2841" s="47"/>
      <c r="H2841" s="49"/>
      <c r="K2841" s="72"/>
      <c r="L2841" s="50"/>
    </row>
    <row r="2842" spans="3:12" x14ac:dyDescent="0.3">
      <c r="C2842" s="47"/>
      <c r="H2842" s="49"/>
      <c r="K2842" s="72"/>
      <c r="L2842" s="50"/>
    </row>
    <row r="2843" spans="3:12" x14ac:dyDescent="0.3">
      <c r="C2843" s="47"/>
      <c r="H2843" s="49"/>
      <c r="K2843" s="72"/>
      <c r="L2843" s="50"/>
    </row>
    <row r="2844" spans="3:12" x14ac:dyDescent="0.3">
      <c r="C2844" s="47"/>
      <c r="H2844" s="49"/>
      <c r="K2844" s="72"/>
      <c r="L2844" s="50"/>
    </row>
    <row r="2845" spans="3:12" x14ac:dyDescent="0.3">
      <c r="C2845" s="47"/>
      <c r="H2845" s="49"/>
      <c r="K2845" s="72"/>
      <c r="L2845" s="50"/>
    </row>
    <row r="2846" spans="3:12" x14ac:dyDescent="0.3">
      <c r="C2846" s="47"/>
      <c r="H2846" s="49"/>
      <c r="K2846" s="72"/>
      <c r="L2846" s="50"/>
    </row>
    <row r="2847" spans="3:12" x14ac:dyDescent="0.3">
      <c r="C2847" s="47"/>
      <c r="H2847" s="49"/>
      <c r="K2847" s="72"/>
      <c r="L2847" s="50"/>
    </row>
    <row r="2848" spans="3:12" x14ac:dyDescent="0.3">
      <c r="C2848" s="47"/>
      <c r="H2848" s="49"/>
      <c r="K2848" s="72"/>
      <c r="L2848" s="50"/>
    </row>
    <row r="2849" spans="3:12" x14ac:dyDescent="0.3">
      <c r="C2849" s="47"/>
      <c r="H2849" s="49"/>
      <c r="K2849" s="72"/>
      <c r="L2849" s="50"/>
    </row>
    <row r="2850" spans="3:12" x14ac:dyDescent="0.3">
      <c r="C2850" s="47"/>
      <c r="H2850" s="49"/>
      <c r="K2850" s="72"/>
      <c r="L2850" s="50"/>
    </row>
    <row r="2851" spans="3:12" x14ac:dyDescent="0.3">
      <c r="C2851" s="47"/>
      <c r="H2851" s="49"/>
      <c r="K2851" s="72"/>
      <c r="L2851" s="50"/>
    </row>
    <row r="2852" spans="3:12" x14ac:dyDescent="0.3">
      <c r="C2852" s="47"/>
      <c r="H2852" s="49"/>
      <c r="K2852" s="72"/>
      <c r="L2852" s="50"/>
    </row>
    <row r="2853" spans="3:12" x14ac:dyDescent="0.3">
      <c r="C2853" s="47"/>
      <c r="H2853" s="49"/>
      <c r="K2853" s="72"/>
      <c r="L2853" s="50"/>
    </row>
    <row r="2854" spans="3:12" x14ac:dyDescent="0.3">
      <c r="C2854" s="47"/>
      <c r="H2854" s="49"/>
      <c r="K2854" s="72"/>
      <c r="L2854" s="50"/>
    </row>
    <row r="2855" spans="3:12" x14ac:dyDescent="0.3">
      <c r="C2855" s="47"/>
      <c r="H2855" s="49"/>
      <c r="K2855" s="72"/>
      <c r="L2855" s="50"/>
    </row>
    <row r="2856" spans="3:12" x14ac:dyDescent="0.3">
      <c r="C2856" s="47"/>
      <c r="H2856" s="49"/>
      <c r="K2856" s="72"/>
      <c r="L2856" s="50"/>
    </row>
    <row r="2857" spans="3:12" x14ac:dyDescent="0.3">
      <c r="C2857" s="47"/>
      <c r="H2857" s="49"/>
      <c r="K2857" s="72"/>
      <c r="L2857" s="50"/>
    </row>
    <row r="2858" spans="3:12" x14ac:dyDescent="0.3">
      <c r="C2858" s="47"/>
      <c r="H2858" s="49"/>
      <c r="K2858" s="72"/>
      <c r="L2858" s="50"/>
    </row>
    <row r="2859" spans="3:12" x14ac:dyDescent="0.3">
      <c r="C2859" s="47"/>
      <c r="H2859" s="49"/>
      <c r="K2859" s="72"/>
      <c r="L2859" s="50"/>
    </row>
    <row r="2860" spans="3:12" x14ac:dyDescent="0.3">
      <c r="C2860" s="47"/>
      <c r="H2860" s="49"/>
      <c r="K2860" s="72"/>
      <c r="L2860" s="50"/>
    </row>
    <row r="2861" spans="3:12" x14ac:dyDescent="0.3">
      <c r="C2861" s="47"/>
      <c r="H2861" s="49"/>
      <c r="K2861" s="72"/>
      <c r="L2861" s="50"/>
    </row>
    <row r="2862" spans="3:12" x14ac:dyDescent="0.3">
      <c r="C2862" s="47"/>
      <c r="H2862" s="49"/>
      <c r="K2862" s="72"/>
      <c r="L2862" s="50"/>
    </row>
    <row r="2863" spans="3:12" x14ac:dyDescent="0.3">
      <c r="C2863" s="47"/>
      <c r="H2863" s="49"/>
      <c r="K2863" s="72"/>
      <c r="L2863" s="50"/>
    </row>
    <row r="2864" spans="3:12" x14ac:dyDescent="0.3">
      <c r="C2864" s="47"/>
      <c r="H2864" s="49"/>
      <c r="K2864" s="72"/>
      <c r="L2864" s="50"/>
    </row>
    <row r="2865" spans="3:12" x14ac:dyDescent="0.3">
      <c r="C2865" s="47"/>
      <c r="H2865" s="49"/>
      <c r="K2865" s="72"/>
      <c r="L2865" s="50"/>
    </row>
    <row r="2866" spans="3:12" x14ac:dyDescent="0.3">
      <c r="C2866" s="47"/>
      <c r="H2866" s="49"/>
      <c r="K2866" s="72"/>
      <c r="L2866" s="50"/>
    </row>
    <row r="2867" spans="3:12" x14ac:dyDescent="0.3">
      <c r="C2867" s="47"/>
      <c r="H2867" s="49"/>
      <c r="K2867" s="72"/>
      <c r="L2867" s="50"/>
    </row>
    <row r="2868" spans="3:12" x14ac:dyDescent="0.3">
      <c r="C2868" s="47"/>
      <c r="H2868" s="49"/>
      <c r="K2868" s="72"/>
      <c r="L2868" s="50"/>
    </row>
    <row r="2869" spans="3:12" x14ac:dyDescent="0.3">
      <c r="C2869" s="47"/>
      <c r="H2869" s="49"/>
      <c r="K2869" s="72"/>
      <c r="L2869" s="50"/>
    </row>
    <row r="2870" spans="3:12" x14ac:dyDescent="0.3">
      <c r="C2870" s="47"/>
      <c r="H2870" s="49"/>
      <c r="K2870" s="72"/>
      <c r="L2870" s="50"/>
    </row>
    <row r="2871" spans="3:12" x14ac:dyDescent="0.3">
      <c r="C2871" s="47"/>
      <c r="H2871" s="49"/>
      <c r="K2871" s="72"/>
      <c r="L2871" s="50"/>
    </row>
    <row r="2872" spans="3:12" x14ac:dyDescent="0.3">
      <c r="C2872" s="47"/>
      <c r="H2872" s="49"/>
      <c r="K2872" s="72"/>
      <c r="L2872" s="50"/>
    </row>
    <row r="2873" spans="3:12" x14ac:dyDescent="0.3">
      <c r="C2873" s="47"/>
      <c r="H2873" s="49"/>
      <c r="K2873" s="72"/>
      <c r="L2873" s="50"/>
    </row>
    <row r="2874" spans="3:12" x14ac:dyDescent="0.3">
      <c r="C2874" s="47"/>
      <c r="H2874" s="49"/>
      <c r="K2874" s="72"/>
      <c r="L2874" s="50"/>
    </row>
    <row r="2875" spans="3:12" x14ac:dyDescent="0.3">
      <c r="C2875" s="47"/>
      <c r="H2875" s="49"/>
      <c r="K2875" s="72"/>
      <c r="L2875" s="50"/>
    </row>
    <row r="2876" spans="3:12" x14ac:dyDescent="0.3">
      <c r="C2876" s="47"/>
      <c r="H2876" s="49"/>
      <c r="K2876" s="72"/>
      <c r="L2876" s="50"/>
    </row>
    <row r="2877" spans="3:12" x14ac:dyDescent="0.3">
      <c r="C2877" s="47"/>
      <c r="H2877" s="49"/>
      <c r="K2877" s="72"/>
      <c r="L2877" s="50"/>
    </row>
    <row r="2878" spans="3:12" x14ac:dyDescent="0.3">
      <c r="C2878" s="47"/>
      <c r="H2878" s="49"/>
      <c r="K2878" s="72"/>
      <c r="L2878" s="50"/>
    </row>
    <row r="2879" spans="3:12" x14ac:dyDescent="0.3">
      <c r="C2879" s="47"/>
      <c r="H2879" s="49"/>
      <c r="K2879" s="72"/>
      <c r="L2879" s="50"/>
    </row>
    <row r="2880" spans="3:12" x14ac:dyDescent="0.3">
      <c r="C2880" s="47"/>
      <c r="H2880" s="49"/>
      <c r="K2880" s="72"/>
      <c r="L2880" s="50"/>
    </row>
    <row r="2881" spans="3:12" x14ac:dyDescent="0.3">
      <c r="C2881" s="47"/>
      <c r="H2881" s="49"/>
      <c r="K2881" s="72"/>
      <c r="L2881" s="50"/>
    </row>
    <row r="2882" spans="3:12" x14ac:dyDescent="0.3">
      <c r="C2882" s="47"/>
      <c r="H2882" s="49"/>
      <c r="K2882" s="72"/>
      <c r="L2882" s="50"/>
    </row>
    <row r="2883" spans="3:12" x14ac:dyDescent="0.3">
      <c r="C2883" s="47"/>
      <c r="H2883" s="49"/>
      <c r="K2883" s="72"/>
      <c r="L2883" s="50"/>
    </row>
    <row r="2884" spans="3:12" x14ac:dyDescent="0.3">
      <c r="C2884" s="47"/>
      <c r="H2884" s="49"/>
      <c r="K2884" s="72"/>
      <c r="L2884" s="50"/>
    </row>
    <row r="2885" spans="3:12" x14ac:dyDescent="0.3">
      <c r="C2885" s="47"/>
      <c r="H2885" s="49"/>
      <c r="K2885" s="72"/>
      <c r="L2885" s="50"/>
    </row>
    <row r="2886" spans="3:12" x14ac:dyDescent="0.3">
      <c r="C2886" s="47"/>
      <c r="H2886" s="49"/>
      <c r="K2886" s="72"/>
      <c r="L2886" s="50"/>
    </row>
    <row r="2887" spans="3:12" x14ac:dyDescent="0.3">
      <c r="C2887" s="47"/>
      <c r="H2887" s="49"/>
      <c r="K2887" s="72"/>
      <c r="L2887" s="50"/>
    </row>
    <row r="2888" spans="3:12" x14ac:dyDescent="0.3">
      <c r="C2888" s="47"/>
      <c r="H2888" s="49"/>
      <c r="K2888" s="72"/>
      <c r="L2888" s="50"/>
    </row>
    <row r="2889" spans="3:12" x14ac:dyDescent="0.3">
      <c r="C2889" s="47"/>
      <c r="H2889" s="49"/>
      <c r="K2889" s="72"/>
      <c r="L2889" s="50"/>
    </row>
    <row r="2890" spans="3:12" x14ac:dyDescent="0.3">
      <c r="C2890" s="47"/>
      <c r="H2890" s="49"/>
      <c r="K2890" s="72"/>
      <c r="L2890" s="50"/>
    </row>
    <row r="2891" spans="3:12" x14ac:dyDescent="0.3">
      <c r="C2891" s="47"/>
      <c r="H2891" s="49"/>
      <c r="K2891" s="72"/>
      <c r="L2891" s="50"/>
    </row>
    <row r="2892" spans="3:12" x14ac:dyDescent="0.3">
      <c r="C2892" s="47"/>
      <c r="H2892" s="49"/>
      <c r="K2892" s="72"/>
      <c r="L2892" s="50"/>
    </row>
    <row r="2893" spans="3:12" x14ac:dyDescent="0.3">
      <c r="C2893" s="47"/>
      <c r="H2893" s="49"/>
      <c r="K2893" s="72"/>
      <c r="L2893" s="50"/>
    </row>
    <row r="2894" spans="3:12" x14ac:dyDescent="0.3">
      <c r="C2894" s="47"/>
      <c r="H2894" s="49"/>
      <c r="K2894" s="72"/>
      <c r="L2894" s="50"/>
    </row>
    <row r="2895" spans="3:12" x14ac:dyDescent="0.3">
      <c r="C2895" s="47"/>
      <c r="H2895" s="49"/>
      <c r="K2895" s="72"/>
      <c r="L2895" s="50"/>
    </row>
    <row r="2896" spans="3:12" x14ac:dyDescent="0.3">
      <c r="C2896" s="47"/>
      <c r="H2896" s="49"/>
      <c r="K2896" s="72"/>
      <c r="L2896" s="50"/>
    </row>
    <row r="2897" spans="3:12" x14ac:dyDescent="0.3">
      <c r="C2897" s="47"/>
      <c r="H2897" s="49"/>
      <c r="K2897" s="72"/>
      <c r="L2897" s="50"/>
    </row>
    <row r="2898" spans="3:12" x14ac:dyDescent="0.3">
      <c r="C2898" s="47"/>
      <c r="H2898" s="49"/>
      <c r="K2898" s="72"/>
      <c r="L2898" s="50"/>
    </row>
    <row r="2899" spans="3:12" x14ac:dyDescent="0.3">
      <c r="C2899" s="47"/>
      <c r="H2899" s="49"/>
      <c r="K2899" s="72"/>
      <c r="L2899" s="50"/>
    </row>
    <row r="2900" spans="3:12" x14ac:dyDescent="0.3">
      <c r="C2900" s="47"/>
      <c r="H2900" s="49"/>
      <c r="K2900" s="72"/>
      <c r="L2900" s="50"/>
    </row>
    <row r="2901" spans="3:12" x14ac:dyDescent="0.3">
      <c r="C2901" s="47"/>
      <c r="H2901" s="49"/>
      <c r="K2901" s="72"/>
      <c r="L2901" s="50"/>
    </row>
    <row r="2902" spans="3:12" x14ac:dyDescent="0.3">
      <c r="C2902" s="47"/>
      <c r="H2902" s="49"/>
      <c r="K2902" s="72"/>
      <c r="L2902" s="50"/>
    </row>
    <row r="2903" spans="3:12" x14ac:dyDescent="0.3">
      <c r="C2903" s="47"/>
      <c r="H2903" s="49"/>
      <c r="K2903" s="72"/>
      <c r="L2903" s="50"/>
    </row>
    <row r="2904" spans="3:12" x14ac:dyDescent="0.3">
      <c r="C2904" s="47"/>
      <c r="H2904" s="49"/>
      <c r="K2904" s="72"/>
      <c r="L2904" s="50"/>
    </row>
    <row r="2905" spans="3:12" x14ac:dyDescent="0.3">
      <c r="C2905" s="47"/>
      <c r="H2905" s="49"/>
      <c r="K2905" s="72"/>
      <c r="L2905" s="50"/>
    </row>
    <row r="2906" spans="3:12" x14ac:dyDescent="0.3">
      <c r="C2906" s="47"/>
      <c r="H2906" s="49"/>
      <c r="K2906" s="72"/>
      <c r="L2906" s="50"/>
    </row>
    <row r="2907" spans="3:12" x14ac:dyDescent="0.3">
      <c r="C2907" s="47"/>
      <c r="H2907" s="49"/>
      <c r="K2907" s="72"/>
      <c r="L2907" s="50"/>
    </row>
    <row r="2908" spans="3:12" x14ac:dyDescent="0.3">
      <c r="C2908" s="47"/>
      <c r="H2908" s="49"/>
      <c r="K2908" s="72"/>
      <c r="L2908" s="50"/>
    </row>
    <row r="2909" spans="3:12" x14ac:dyDescent="0.3">
      <c r="C2909" s="47"/>
      <c r="H2909" s="49"/>
      <c r="K2909" s="72"/>
      <c r="L2909" s="50"/>
    </row>
    <row r="2910" spans="3:12" x14ac:dyDescent="0.3">
      <c r="C2910" s="47"/>
      <c r="H2910" s="49"/>
      <c r="K2910" s="72"/>
      <c r="L2910" s="50"/>
    </row>
    <row r="2911" spans="3:12" x14ac:dyDescent="0.3">
      <c r="C2911" s="47"/>
      <c r="H2911" s="49"/>
      <c r="K2911" s="72"/>
      <c r="L2911" s="50"/>
    </row>
    <row r="2912" spans="3:12" x14ac:dyDescent="0.3">
      <c r="C2912" s="47"/>
      <c r="H2912" s="49"/>
      <c r="K2912" s="72"/>
      <c r="L2912" s="50"/>
    </row>
    <row r="2913" spans="3:12" x14ac:dyDescent="0.3">
      <c r="C2913" s="47"/>
      <c r="H2913" s="49"/>
      <c r="K2913" s="72"/>
      <c r="L2913" s="50"/>
    </row>
    <row r="2914" spans="3:12" x14ac:dyDescent="0.3">
      <c r="C2914" s="47"/>
      <c r="H2914" s="49"/>
      <c r="K2914" s="72"/>
      <c r="L2914" s="50"/>
    </row>
    <row r="2915" spans="3:12" x14ac:dyDescent="0.3">
      <c r="C2915" s="47"/>
      <c r="H2915" s="49"/>
      <c r="K2915" s="72"/>
      <c r="L2915" s="50"/>
    </row>
    <row r="2916" spans="3:12" x14ac:dyDescent="0.3">
      <c r="C2916" s="47"/>
      <c r="H2916" s="49"/>
      <c r="K2916" s="72"/>
      <c r="L2916" s="50"/>
    </row>
    <row r="2917" spans="3:12" x14ac:dyDescent="0.3">
      <c r="C2917" s="47"/>
      <c r="H2917" s="49"/>
      <c r="K2917" s="72"/>
      <c r="L2917" s="50"/>
    </row>
    <row r="2918" spans="3:12" x14ac:dyDescent="0.3">
      <c r="C2918" s="47"/>
      <c r="H2918" s="49"/>
      <c r="K2918" s="72"/>
      <c r="L2918" s="50"/>
    </row>
    <row r="2919" spans="3:12" x14ac:dyDescent="0.3">
      <c r="C2919" s="47"/>
      <c r="H2919" s="49"/>
      <c r="K2919" s="72"/>
      <c r="L2919" s="50"/>
    </row>
    <row r="2920" spans="3:12" x14ac:dyDescent="0.3">
      <c r="C2920" s="47"/>
      <c r="H2920" s="49"/>
      <c r="K2920" s="72"/>
      <c r="L2920" s="50"/>
    </row>
    <row r="2921" spans="3:12" x14ac:dyDescent="0.3">
      <c r="C2921" s="47"/>
      <c r="H2921" s="49"/>
      <c r="K2921" s="72"/>
      <c r="L2921" s="50"/>
    </row>
    <row r="2922" spans="3:12" x14ac:dyDescent="0.3">
      <c r="C2922" s="47"/>
      <c r="H2922" s="49"/>
      <c r="K2922" s="72"/>
      <c r="L2922" s="50"/>
    </row>
    <row r="2923" spans="3:12" x14ac:dyDescent="0.3">
      <c r="C2923" s="47"/>
      <c r="H2923" s="49"/>
      <c r="K2923" s="72"/>
      <c r="L2923" s="50"/>
    </row>
    <row r="2924" spans="3:12" x14ac:dyDescent="0.3">
      <c r="C2924" s="47"/>
      <c r="H2924" s="49"/>
      <c r="K2924" s="72"/>
      <c r="L2924" s="50"/>
    </row>
    <row r="2925" spans="3:12" x14ac:dyDescent="0.3">
      <c r="C2925" s="47"/>
      <c r="H2925" s="49"/>
      <c r="K2925" s="72"/>
      <c r="L2925" s="50"/>
    </row>
    <row r="2926" spans="3:12" x14ac:dyDescent="0.3">
      <c r="C2926" s="47"/>
      <c r="H2926" s="49"/>
      <c r="K2926" s="72"/>
      <c r="L2926" s="50"/>
    </row>
    <row r="2927" spans="3:12" x14ac:dyDescent="0.3">
      <c r="C2927" s="47"/>
      <c r="H2927" s="49"/>
      <c r="K2927" s="72"/>
      <c r="L2927" s="50"/>
    </row>
    <row r="2928" spans="3:12" x14ac:dyDescent="0.3">
      <c r="C2928" s="47"/>
      <c r="H2928" s="49"/>
      <c r="K2928" s="72"/>
      <c r="L2928" s="50"/>
    </row>
    <row r="2929" spans="3:12" x14ac:dyDescent="0.3">
      <c r="C2929" s="47"/>
      <c r="H2929" s="49"/>
      <c r="K2929" s="72"/>
      <c r="L2929" s="50"/>
    </row>
    <row r="2930" spans="3:12" x14ac:dyDescent="0.3">
      <c r="C2930" s="47"/>
      <c r="H2930" s="49"/>
      <c r="K2930" s="72"/>
      <c r="L2930" s="50"/>
    </row>
    <row r="2931" spans="3:12" x14ac:dyDescent="0.3">
      <c r="C2931" s="47"/>
      <c r="H2931" s="49"/>
      <c r="K2931" s="72"/>
      <c r="L2931" s="50"/>
    </row>
    <row r="2932" spans="3:12" x14ac:dyDescent="0.3">
      <c r="C2932" s="47"/>
      <c r="H2932" s="49"/>
      <c r="K2932" s="72"/>
      <c r="L2932" s="50"/>
    </row>
    <row r="2933" spans="3:12" x14ac:dyDescent="0.3">
      <c r="C2933" s="47"/>
      <c r="H2933" s="49"/>
      <c r="K2933" s="72"/>
      <c r="L2933" s="50"/>
    </row>
    <row r="2934" spans="3:12" x14ac:dyDescent="0.3">
      <c r="C2934" s="47"/>
      <c r="H2934" s="49"/>
      <c r="K2934" s="72"/>
      <c r="L2934" s="50"/>
    </row>
    <row r="2935" spans="3:12" x14ac:dyDescent="0.3">
      <c r="C2935" s="47"/>
      <c r="H2935" s="49"/>
      <c r="K2935" s="72"/>
      <c r="L2935" s="50"/>
    </row>
    <row r="2936" spans="3:12" x14ac:dyDescent="0.3">
      <c r="C2936" s="47"/>
      <c r="H2936" s="49"/>
      <c r="K2936" s="72"/>
      <c r="L2936" s="50"/>
    </row>
    <row r="2937" spans="3:12" x14ac:dyDescent="0.3">
      <c r="C2937" s="47"/>
      <c r="H2937" s="49"/>
      <c r="K2937" s="72"/>
      <c r="L2937" s="50"/>
    </row>
    <row r="2938" spans="3:12" x14ac:dyDescent="0.3">
      <c r="C2938" s="47"/>
      <c r="H2938" s="49"/>
      <c r="K2938" s="72"/>
      <c r="L2938" s="50"/>
    </row>
    <row r="2939" spans="3:12" x14ac:dyDescent="0.3">
      <c r="C2939" s="47"/>
      <c r="H2939" s="49"/>
      <c r="K2939" s="72"/>
      <c r="L2939" s="50"/>
    </row>
    <row r="2940" spans="3:12" x14ac:dyDescent="0.3">
      <c r="C2940" s="47"/>
      <c r="H2940" s="49"/>
      <c r="K2940" s="72"/>
      <c r="L2940" s="50"/>
    </row>
    <row r="2941" spans="3:12" x14ac:dyDescent="0.3">
      <c r="C2941" s="47"/>
      <c r="H2941" s="49"/>
      <c r="K2941" s="72"/>
      <c r="L2941" s="50"/>
    </row>
    <row r="2942" spans="3:12" x14ac:dyDescent="0.3">
      <c r="C2942" s="47"/>
      <c r="H2942" s="49"/>
      <c r="K2942" s="72"/>
      <c r="L2942" s="50"/>
    </row>
    <row r="2943" spans="3:12" x14ac:dyDescent="0.3">
      <c r="C2943" s="47"/>
      <c r="H2943" s="49"/>
      <c r="K2943" s="72"/>
      <c r="L2943" s="50"/>
    </row>
    <row r="2944" spans="3:12" x14ac:dyDescent="0.3">
      <c r="C2944" s="47"/>
      <c r="H2944" s="49"/>
      <c r="K2944" s="72"/>
      <c r="L2944" s="50"/>
    </row>
    <row r="2945" spans="3:12" x14ac:dyDescent="0.3">
      <c r="C2945" s="47"/>
      <c r="H2945" s="49"/>
      <c r="K2945" s="72"/>
      <c r="L2945" s="50"/>
    </row>
    <row r="2946" spans="3:12" x14ac:dyDescent="0.3">
      <c r="C2946" s="47"/>
      <c r="H2946" s="49"/>
      <c r="K2946" s="72"/>
      <c r="L2946" s="50"/>
    </row>
    <row r="2947" spans="3:12" x14ac:dyDescent="0.3">
      <c r="C2947" s="47"/>
      <c r="H2947" s="49"/>
      <c r="K2947" s="72"/>
      <c r="L2947" s="50"/>
    </row>
    <row r="2948" spans="3:12" x14ac:dyDescent="0.3">
      <c r="C2948" s="47"/>
      <c r="H2948" s="49"/>
      <c r="K2948" s="72"/>
      <c r="L2948" s="50"/>
    </row>
    <row r="2949" spans="3:12" x14ac:dyDescent="0.3">
      <c r="C2949" s="47"/>
      <c r="H2949" s="49"/>
      <c r="K2949" s="72"/>
      <c r="L2949" s="50"/>
    </row>
    <row r="2950" spans="3:12" x14ac:dyDescent="0.3">
      <c r="C2950" s="47"/>
      <c r="H2950" s="49"/>
      <c r="K2950" s="72"/>
      <c r="L2950" s="50"/>
    </row>
    <row r="2951" spans="3:12" x14ac:dyDescent="0.3">
      <c r="C2951" s="47"/>
      <c r="H2951" s="49"/>
      <c r="K2951" s="72"/>
      <c r="L2951" s="50"/>
    </row>
    <row r="2952" spans="3:12" x14ac:dyDescent="0.3">
      <c r="C2952" s="47"/>
      <c r="H2952" s="49"/>
      <c r="K2952" s="72"/>
      <c r="L2952" s="50"/>
    </row>
    <row r="2953" spans="3:12" x14ac:dyDescent="0.3">
      <c r="C2953" s="47"/>
      <c r="H2953" s="49"/>
      <c r="K2953" s="72"/>
      <c r="L2953" s="50"/>
    </row>
    <row r="2954" spans="3:12" x14ac:dyDescent="0.3">
      <c r="C2954" s="47"/>
      <c r="H2954" s="49"/>
      <c r="K2954" s="72"/>
      <c r="L2954" s="50"/>
    </row>
    <row r="2955" spans="3:12" x14ac:dyDescent="0.3">
      <c r="C2955" s="47"/>
      <c r="H2955" s="49"/>
      <c r="K2955" s="72"/>
      <c r="L2955" s="50"/>
    </row>
    <row r="2956" spans="3:12" x14ac:dyDescent="0.3">
      <c r="C2956" s="47"/>
      <c r="H2956" s="49"/>
      <c r="K2956" s="72"/>
      <c r="L2956" s="50"/>
    </row>
    <row r="2957" spans="3:12" x14ac:dyDescent="0.3">
      <c r="C2957" s="47"/>
      <c r="H2957" s="49"/>
      <c r="K2957" s="72"/>
      <c r="L2957" s="50"/>
    </row>
    <row r="2958" spans="3:12" x14ac:dyDescent="0.3">
      <c r="C2958" s="47"/>
      <c r="H2958" s="49"/>
      <c r="K2958" s="72"/>
      <c r="L2958" s="50"/>
    </row>
    <row r="2959" spans="3:12" x14ac:dyDescent="0.3">
      <c r="C2959" s="47"/>
      <c r="H2959" s="49"/>
      <c r="K2959" s="72"/>
      <c r="L2959" s="50"/>
    </row>
    <row r="2960" spans="3:12" x14ac:dyDescent="0.3">
      <c r="C2960" s="47"/>
      <c r="H2960" s="49"/>
      <c r="K2960" s="72"/>
      <c r="L2960" s="50"/>
    </row>
    <row r="2961" spans="3:12" x14ac:dyDescent="0.3">
      <c r="C2961" s="47"/>
      <c r="H2961" s="49"/>
      <c r="K2961" s="72"/>
      <c r="L2961" s="50"/>
    </row>
    <row r="2962" spans="3:12" x14ac:dyDescent="0.3">
      <c r="C2962" s="47"/>
      <c r="H2962" s="49"/>
      <c r="K2962" s="72"/>
      <c r="L2962" s="50"/>
    </row>
    <row r="2963" spans="3:12" x14ac:dyDescent="0.3">
      <c r="C2963" s="47"/>
      <c r="H2963" s="49"/>
      <c r="K2963" s="72"/>
      <c r="L2963" s="50"/>
    </row>
    <row r="2964" spans="3:12" x14ac:dyDescent="0.3">
      <c r="C2964" s="47"/>
      <c r="H2964" s="49"/>
      <c r="K2964" s="72"/>
      <c r="L2964" s="50"/>
    </row>
    <row r="2965" spans="3:12" x14ac:dyDescent="0.3">
      <c r="C2965" s="47"/>
      <c r="H2965" s="49"/>
      <c r="K2965" s="72"/>
      <c r="L2965" s="50"/>
    </row>
    <row r="2966" spans="3:12" x14ac:dyDescent="0.3">
      <c r="C2966" s="47"/>
      <c r="H2966" s="49"/>
      <c r="K2966" s="72"/>
      <c r="L2966" s="50"/>
    </row>
    <row r="2967" spans="3:12" x14ac:dyDescent="0.3">
      <c r="C2967" s="47"/>
      <c r="H2967" s="49"/>
      <c r="K2967" s="72"/>
      <c r="L2967" s="50"/>
    </row>
    <row r="2968" spans="3:12" x14ac:dyDescent="0.3">
      <c r="C2968" s="47"/>
      <c r="H2968" s="49"/>
      <c r="K2968" s="72"/>
      <c r="L2968" s="50"/>
    </row>
    <row r="2969" spans="3:12" x14ac:dyDescent="0.3">
      <c r="C2969" s="47"/>
      <c r="H2969" s="49"/>
      <c r="K2969" s="72"/>
      <c r="L2969" s="50"/>
    </row>
    <row r="2970" spans="3:12" x14ac:dyDescent="0.3">
      <c r="C2970" s="47"/>
      <c r="H2970" s="49"/>
      <c r="K2970" s="72"/>
      <c r="L2970" s="50"/>
    </row>
    <row r="2971" spans="3:12" x14ac:dyDescent="0.3">
      <c r="C2971" s="47"/>
      <c r="H2971" s="49"/>
      <c r="K2971" s="72"/>
      <c r="L2971" s="50"/>
    </row>
    <row r="2972" spans="3:12" x14ac:dyDescent="0.3">
      <c r="C2972" s="47"/>
      <c r="H2972" s="49"/>
      <c r="K2972" s="72"/>
      <c r="L2972" s="50"/>
    </row>
    <row r="2973" spans="3:12" x14ac:dyDescent="0.3">
      <c r="C2973" s="47"/>
      <c r="H2973" s="49"/>
      <c r="K2973" s="72"/>
      <c r="L2973" s="50"/>
    </row>
    <row r="2974" spans="3:12" x14ac:dyDescent="0.3">
      <c r="C2974" s="47"/>
      <c r="H2974" s="49"/>
      <c r="K2974" s="72"/>
      <c r="L2974" s="50"/>
    </row>
    <row r="2975" spans="3:12" x14ac:dyDescent="0.3">
      <c r="C2975" s="47"/>
      <c r="H2975" s="49"/>
      <c r="K2975" s="72"/>
      <c r="L2975" s="50"/>
    </row>
    <row r="2976" spans="3:12" x14ac:dyDescent="0.3">
      <c r="C2976" s="47"/>
      <c r="H2976" s="49"/>
      <c r="K2976" s="72"/>
      <c r="L2976" s="50"/>
    </row>
    <row r="2977" spans="3:12" x14ac:dyDescent="0.3">
      <c r="C2977" s="47"/>
      <c r="H2977" s="49"/>
      <c r="K2977" s="72"/>
      <c r="L2977" s="50"/>
    </row>
    <row r="2978" spans="3:12" x14ac:dyDescent="0.3">
      <c r="C2978" s="47"/>
      <c r="H2978" s="49"/>
      <c r="K2978" s="72"/>
      <c r="L2978" s="50"/>
    </row>
    <row r="2979" spans="3:12" x14ac:dyDescent="0.3">
      <c r="C2979" s="47"/>
      <c r="H2979" s="49"/>
      <c r="K2979" s="72"/>
      <c r="L2979" s="50"/>
    </row>
    <row r="2980" spans="3:12" x14ac:dyDescent="0.3">
      <c r="C2980" s="47"/>
      <c r="H2980" s="49"/>
      <c r="K2980" s="72"/>
      <c r="L2980" s="50"/>
    </row>
    <row r="2981" spans="3:12" x14ac:dyDescent="0.3">
      <c r="C2981" s="47"/>
      <c r="H2981" s="49"/>
      <c r="K2981" s="72"/>
      <c r="L2981" s="50"/>
    </row>
    <row r="2982" spans="3:12" x14ac:dyDescent="0.3">
      <c r="C2982" s="47"/>
      <c r="H2982" s="49"/>
      <c r="K2982" s="72"/>
      <c r="L2982" s="50"/>
    </row>
    <row r="2983" spans="3:12" x14ac:dyDescent="0.3">
      <c r="C2983" s="47"/>
      <c r="H2983" s="49"/>
      <c r="K2983" s="72"/>
      <c r="L2983" s="50"/>
    </row>
    <row r="2984" spans="3:12" x14ac:dyDescent="0.3">
      <c r="C2984" s="47"/>
      <c r="H2984" s="49"/>
      <c r="K2984" s="72"/>
      <c r="L2984" s="50"/>
    </row>
    <row r="2985" spans="3:12" x14ac:dyDescent="0.3">
      <c r="C2985" s="47"/>
      <c r="H2985" s="49"/>
      <c r="K2985" s="72"/>
      <c r="L2985" s="50"/>
    </row>
    <row r="2986" spans="3:12" x14ac:dyDescent="0.3">
      <c r="C2986" s="47"/>
      <c r="H2986" s="49"/>
      <c r="K2986" s="72"/>
      <c r="L2986" s="50"/>
    </row>
    <row r="2987" spans="3:12" x14ac:dyDescent="0.3">
      <c r="C2987" s="47"/>
      <c r="H2987" s="49"/>
      <c r="K2987" s="72"/>
      <c r="L2987" s="50"/>
    </row>
    <row r="2988" spans="3:12" x14ac:dyDescent="0.3">
      <c r="C2988" s="47"/>
      <c r="H2988" s="49"/>
      <c r="K2988" s="72"/>
      <c r="L2988" s="50"/>
    </row>
    <row r="2989" spans="3:12" x14ac:dyDescent="0.3">
      <c r="C2989" s="47"/>
      <c r="H2989" s="49"/>
      <c r="K2989" s="72"/>
      <c r="L2989" s="50"/>
    </row>
    <row r="2990" spans="3:12" x14ac:dyDescent="0.3">
      <c r="C2990" s="47"/>
      <c r="H2990" s="49"/>
      <c r="K2990" s="72"/>
      <c r="L2990" s="50"/>
    </row>
    <row r="2991" spans="3:12" x14ac:dyDescent="0.3">
      <c r="C2991" s="47"/>
      <c r="H2991" s="49"/>
      <c r="K2991" s="72"/>
      <c r="L2991" s="50"/>
    </row>
    <row r="2992" spans="3:12" x14ac:dyDescent="0.3">
      <c r="C2992" s="47"/>
      <c r="H2992" s="49"/>
      <c r="K2992" s="72"/>
      <c r="L2992" s="50"/>
    </row>
    <row r="2993" spans="3:12" x14ac:dyDescent="0.3">
      <c r="C2993" s="47"/>
      <c r="H2993" s="49"/>
      <c r="K2993" s="72"/>
      <c r="L2993" s="50"/>
    </row>
    <row r="2994" spans="3:12" x14ac:dyDescent="0.3">
      <c r="C2994" s="47"/>
      <c r="H2994" s="49"/>
      <c r="K2994" s="72"/>
      <c r="L2994" s="50"/>
    </row>
    <row r="2995" spans="3:12" x14ac:dyDescent="0.3">
      <c r="C2995" s="47"/>
      <c r="H2995" s="49"/>
      <c r="K2995" s="72"/>
      <c r="L2995" s="50"/>
    </row>
    <row r="2996" spans="3:12" x14ac:dyDescent="0.3">
      <c r="C2996" s="47"/>
      <c r="H2996" s="49"/>
      <c r="K2996" s="72"/>
      <c r="L2996" s="50"/>
    </row>
    <row r="2997" spans="3:12" x14ac:dyDescent="0.3">
      <c r="C2997" s="47"/>
      <c r="H2997" s="49"/>
      <c r="K2997" s="72"/>
      <c r="L2997" s="50"/>
    </row>
    <row r="2998" spans="3:12" x14ac:dyDescent="0.3">
      <c r="C2998" s="47"/>
      <c r="H2998" s="49"/>
      <c r="K2998" s="72"/>
      <c r="L2998" s="50"/>
    </row>
    <row r="2999" spans="3:12" x14ac:dyDescent="0.3">
      <c r="C2999" s="47"/>
      <c r="H2999" s="49"/>
      <c r="K2999" s="72"/>
      <c r="L2999" s="50"/>
    </row>
    <row r="3000" spans="3:12" x14ac:dyDescent="0.3">
      <c r="C3000" s="47"/>
      <c r="H3000" s="49"/>
      <c r="K3000" s="72"/>
      <c r="L3000" s="50"/>
    </row>
    <row r="3001" spans="3:12" x14ac:dyDescent="0.3">
      <c r="C3001" s="47"/>
      <c r="H3001" s="49"/>
      <c r="K3001" s="72"/>
      <c r="L3001" s="50"/>
    </row>
    <row r="3002" spans="3:12" x14ac:dyDescent="0.3">
      <c r="C3002" s="47"/>
      <c r="H3002" s="49"/>
      <c r="K3002" s="72"/>
      <c r="L3002" s="50"/>
    </row>
    <row r="3003" spans="3:12" x14ac:dyDescent="0.3">
      <c r="C3003" s="47"/>
      <c r="H3003" s="49"/>
      <c r="K3003" s="72"/>
      <c r="L3003" s="50"/>
    </row>
    <row r="3004" spans="3:12" x14ac:dyDescent="0.3">
      <c r="C3004" s="47"/>
      <c r="H3004" s="49"/>
      <c r="K3004" s="72"/>
      <c r="L3004" s="50"/>
    </row>
    <row r="3005" spans="3:12" x14ac:dyDescent="0.3">
      <c r="C3005" s="47"/>
      <c r="H3005" s="49"/>
      <c r="K3005" s="72"/>
      <c r="L3005" s="50"/>
    </row>
    <row r="3006" spans="3:12" x14ac:dyDescent="0.3">
      <c r="C3006" s="47"/>
      <c r="H3006" s="49"/>
      <c r="K3006" s="72"/>
      <c r="L3006" s="50"/>
    </row>
    <row r="3007" spans="3:12" x14ac:dyDescent="0.3">
      <c r="C3007" s="47"/>
      <c r="H3007" s="49"/>
      <c r="K3007" s="72"/>
      <c r="L3007" s="50"/>
    </row>
    <row r="3008" spans="3:12" x14ac:dyDescent="0.3">
      <c r="C3008" s="47"/>
      <c r="H3008" s="49"/>
      <c r="K3008" s="72"/>
      <c r="L3008" s="50"/>
    </row>
    <row r="3009" spans="3:12" x14ac:dyDescent="0.3">
      <c r="C3009" s="47"/>
      <c r="H3009" s="49"/>
      <c r="K3009" s="72"/>
      <c r="L3009" s="50"/>
    </row>
    <row r="3010" spans="3:12" x14ac:dyDescent="0.3">
      <c r="C3010" s="47"/>
      <c r="H3010" s="49"/>
      <c r="K3010" s="72"/>
      <c r="L3010" s="50"/>
    </row>
    <row r="3011" spans="3:12" x14ac:dyDescent="0.3">
      <c r="C3011" s="47"/>
      <c r="H3011" s="49"/>
      <c r="K3011" s="72"/>
      <c r="L3011" s="50"/>
    </row>
    <row r="3012" spans="3:12" x14ac:dyDescent="0.3">
      <c r="C3012" s="47"/>
      <c r="H3012" s="49"/>
      <c r="K3012" s="72"/>
      <c r="L3012" s="50"/>
    </row>
    <row r="3013" spans="3:12" x14ac:dyDescent="0.3">
      <c r="C3013" s="47"/>
      <c r="H3013" s="49"/>
      <c r="K3013" s="72"/>
      <c r="L3013" s="50"/>
    </row>
    <row r="3014" spans="3:12" x14ac:dyDescent="0.3">
      <c r="C3014" s="47"/>
      <c r="H3014" s="49"/>
      <c r="K3014" s="72"/>
      <c r="L3014" s="50"/>
    </row>
    <row r="3015" spans="3:12" x14ac:dyDescent="0.3">
      <c r="C3015" s="47"/>
      <c r="H3015" s="49"/>
      <c r="K3015" s="72"/>
      <c r="L3015" s="50"/>
    </row>
    <row r="3016" spans="3:12" x14ac:dyDescent="0.3">
      <c r="C3016" s="47"/>
      <c r="H3016" s="49"/>
      <c r="K3016" s="72"/>
      <c r="L3016" s="50"/>
    </row>
    <row r="3017" spans="3:12" x14ac:dyDescent="0.3">
      <c r="C3017" s="47"/>
      <c r="H3017" s="49"/>
      <c r="K3017" s="72"/>
      <c r="L3017" s="50"/>
    </row>
    <row r="3018" spans="3:12" x14ac:dyDescent="0.3">
      <c r="C3018" s="47"/>
      <c r="H3018" s="49"/>
      <c r="K3018" s="72"/>
      <c r="L3018" s="50"/>
    </row>
    <row r="3019" spans="3:12" x14ac:dyDescent="0.3">
      <c r="C3019" s="47"/>
      <c r="H3019" s="49"/>
      <c r="K3019" s="72"/>
      <c r="L3019" s="50"/>
    </row>
    <row r="3020" spans="3:12" x14ac:dyDescent="0.3">
      <c r="C3020" s="47"/>
      <c r="H3020" s="49"/>
      <c r="K3020" s="72"/>
      <c r="L3020" s="50"/>
    </row>
    <row r="3021" spans="3:12" x14ac:dyDescent="0.3">
      <c r="C3021" s="47"/>
      <c r="H3021" s="49"/>
      <c r="K3021" s="72"/>
      <c r="L3021" s="50"/>
    </row>
    <row r="3022" spans="3:12" x14ac:dyDescent="0.3">
      <c r="C3022" s="47"/>
      <c r="H3022" s="49"/>
      <c r="K3022" s="72"/>
      <c r="L3022" s="50"/>
    </row>
    <row r="3023" spans="3:12" x14ac:dyDescent="0.3">
      <c r="C3023" s="47"/>
      <c r="H3023" s="49"/>
      <c r="K3023" s="72"/>
      <c r="L3023" s="50"/>
    </row>
    <row r="3024" spans="3:12" x14ac:dyDescent="0.3">
      <c r="C3024" s="47"/>
      <c r="H3024" s="49"/>
      <c r="K3024" s="72"/>
      <c r="L3024" s="50"/>
    </row>
    <row r="3025" spans="3:12" x14ac:dyDescent="0.3">
      <c r="C3025" s="47"/>
      <c r="H3025" s="49"/>
      <c r="K3025" s="72"/>
      <c r="L3025" s="50"/>
    </row>
    <row r="3026" spans="3:12" x14ac:dyDescent="0.3">
      <c r="C3026" s="47"/>
      <c r="H3026" s="49"/>
      <c r="K3026" s="72"/>
      <c r="L3026" s="50"/>
    </row>
    <row r="3027" spans="3:12" x14ac:dyDescent="0.3">
      <c r="C3027" s="47"/>
      <c r="H3027" s="49"/>
      <c r="K3027" s="72"/>
      <c r="L3027" s="50"/>
    </row>
    <row r="3028" spans="3:12" x14ac:dyDescent="0.3">
      <c r="C3028" s="47"/>
      <c r="H3028" s="49"/>
      <c r="K3028" s="72"/>
      <c r="L3028" s="50"/>
    </row>
    <row r="3029" spans="3:12" x14ac:dyDescent="0.3">
      <c r="C3029" s="47"/>
      <c r="H3029" s="49"/>
      <c r="K3029" s="72"/>
      <c r="L3029" s="50"/>
    </row>
    <row r="3030" spans="3:12" x14ac:dyDescent="0.3">
      <c r="C3030" s="47"/>
      <c r="H3030" s="49"/>
      <c r="K3030" s="72"/>
      <c r="L3030" s="50"/>
    </row>
    <row r="3031" spans="3:12" x14ac:dyDescent="0.3">
      <c r="C3031" s="47"/>
      <c r="H3031" s="49"/>
      <c r="K3031" s="72"/>
      <c r="L3031" s="50"/>
    </row>
    <row r="3032" spans="3:12" x14ac:dyDescent="0.3">
      <c r="C3032" s="47"/>
      <c r="H3032" s="49"/>
      <c r="K3032" s="72"/>
      <c r="L3032" s="50"/>
    </row>
    <row r="3033" spans="3:12" x14ac:dyDescent="0.3">
      <c r="C3033" s="47"/>
      <c r="H3033" s="49"/>
      <c r="K3033" s="72"/>
      <c r="L3033" s="50"/>
    </row>
    <row r="3034" spans="3:12" x14ac:dyDescent="0.3">
      <c r="C3034" s="47"/>
      <c r="H3034" s="49"/>
      <c r="K3034" s="72"/>
      <c r="L3034" s="50"/>
    </row>
    <row r="3035" spans="3:12" x14ac:dyDescent="0.3">
      <c r="C3035" s="47"/>
      <c r="H3035" s="49"/>
      <c r="K3035" s="72"/>
      <c r="L3035" s="50"/>
    </row>
    <row r="3036" spans="3:12" x14ac:dyDescent="0.3">
      <c r="C3036" s="47"/>
      <c r="H3036" s="49"/>
      <c r="K3036" s="72"/>
      <c r="L3036" s="50"/>
    </row>
    <row r="3037" spans="3:12" x14ac:dyDescent="0.3">
      <c r="C3037" s="47"/>
      <c r="H3037" s="49"/>
      <c r="K3037" s="72"/>
      <c r="L3037" s="50"/>
    </row>
    <row r="3038" spans="3:12" x14ac:dyDescent="0.3">
      <c r="C3038" s="47"/>
      <c r="H3038" s="49"/>
      <c r="K3038" s="72"/>
      <c r="L3038" s="50"/>
    </row>
    <row r="3039" spans="3:12" x14ac:dyDescent="0.3">
      <c r="C3039" s="47"/>
      <c r="H3039" s="49"/>
      <c r="K3039" s="72"/>
      <c r="L3039" s="50"/>
    </row>
    <row r="3040" spans="3:12" x14ac:dyDescent="0.3">
      <c r="C3040" s="47"/>
      <c r="H3040" s="49"/>
      <c r="K3040" s="72"/>
      <c r="L3040" s="50"/>
    </row>
    <row r="3041" spans="3:12" x14ac:dyDescent="0.3">
      <c r="C3041" s="47"/>
      <c r="H3041" s="49"/>
      <c r="K3041" s="72"/>
      <c r="L3041" s="50"/>
    </row>
    <row r="3042" spans="3:12" x14ac:dyDescent="0.3">
      <c r="C3042" s="47"/>
      <c r="H3042" s="49"/>
      <c r="K3042" s="72"/>
      <c r="L3042" s="50"/>
    </row>
    <row r="3043" spans="3:12" x14ac:dyDescent="0.3">
      <c r="C3043" s="47"/>
      <c r="H3043" s="49"/>
      <c r="K3043" s="72"/>
      <c r="L3043" s="50"/>
    </row>
    <row r="3044" spans="3:12" x14ac:dyDescent="0.3">
      <c r="C3044" s="47"/>
      <c r="H3044" s="49"/>
      <c r="K3044" s="72"/>
      <c r="L3044" s="50"/>
    </row>
    <row r="3045" spans="3:12" x14ac:dyDescent="0.3">
      <c r="C3045" s="47"/>
      <c r="H3045" s="49"/>
      <c r="K3045" s="72"/>
      <c r="L3045" s="50"/>
    </row>
    <row r="3046" spans="3:12" x14ac:dyDescent="0.3">
      <c r="C3046" s="47"/>
      <c r="H3046" s="49"/>
      <c r="K3046" s="72"/>
      <c r="L3046" s="50"/>
    </row>
    <row r="3047" spans="3:12" x14ac:dyDescent="0.3">
      <c r="C3047" s="47"/>
      <c r="H3047" s="49"/>
      <c r="K3047" s="72"/>
      <c r="L3047" s="50"/>
    </row>
    <row r="3048" spans="3:12" x14ac:dyDescent="0.3">
      <c r="C3048" s="47"/>
      <c r="H3048" s="49"/>
      <c r="K3048" s="72"/>
      <c r="L3048" s="50"/>
    </row>
    <row r="3049" spans="3:12" x14ac:dyDescent="0.3">
      <c r="C3049" s="47"/>
      <c r="H3049" s="49"/>
      <c r="K3049" s="72"/>
      <c r="L3049" s="50"/>
    </row>
    <row r="3050" spans="3:12" x14ac:dyDescent="0.3">
      <c r="C3050" s="47"/>
      <c r="H3050" s="49"/>
      <c r="K3050" s="72"/>
      <c r="L3050" s="50"/>
    </row>
    <row r="3051" spans="3:12" x14ac:dyDescent="0.3">
      <c r="C3051" s="47"/>
      <c r="H3051" s="49"/>
      <c r="K3051" s="72"/>
      <c r="L3051" s="50"/>
    </row>
    <row r="3052" spans="3:12" x14ac:dyDescent="0.3">
      <c r="C3052" s="47"/>
      <c r="H3052" s="49"/>
      <c r="K3052" s="72"/>
      <c r="L3052" s="50"/>
    </row>
    <row r="3053" spans="3:12" x14ac:dyDescent="0.3">
      <c r="C3053" s="47"/>
      <c r="H3053" s="49"/>
      <c r="K3053" s="72"/>
      <c r="L3053" s="50"/>
    </row>
    <row r="3054" spans="3:12" x14ac:dyDescent="0.3">
      <c r="C3054" s="47"/>
      <c r="H3054" s="49"/>
      <c r="K3054" s="72"/>
      <c r="L3054" s="50"/>
    </row>
    <row r="3055" spans="3:12" x14ac:dyDescent="0.3">
      <c r="C3055" s="47"/>
      <c r="H3055" s="49"/>
      <c r="K3055" s="72"/>
      <c r="L3055" s="50"/>
    </row>
    <row r="3056" spans="3:12" x14ac:dyDescent="0.3">
      <c r="C3056" s="47"/>
      <c r="H3056" s="49"/>
      <c r="K3056" s="72"/>
      <c r="L3056" s="50"/>
    </row>
    <row r="3057" spans="3:12" x14ac:dyDescent="0.3">
      <c r="C3057" s="47"/>
      <c r="H3057" s="49"/>
      <c r="K3057" s="72"/>
      <c r="L3057" s="50"/>
    </row>
    <row r="3058" spans="3:12" x14ac:dyDescent="0.3">
      <c r="C3058" s="47"/>
      <c r="H3058" s="49"/>
      <c r="K3058" s="72"/>
      <c r="L3058" s="50"/>
    </row>
    <row r="3059" spans="3:12" x14ac:dyDescent="0.3">
      <c r="C3059" s="47"/>
      <c r="H3059" s="49"/>
      <c r="K3059" s="72"/>
      <c r="L3059" s="50"/>
    </row>
    <row r="3060" spans="3:12" x14ac:dyDescent="0.3">
      <c r="C3060" s="47"/>
      <c r="H3060" s="49"/>
      <c r="K3060" s="72"/>
      <c r="L3060" s="50"/>
    </row>
    <row r="3061" spans="3:12" x14ac:dyDescent="0.3">
      <c r="C3061" s="47"/>
      <c r="H3061" s="49"/>
      <c r="K3061" s="72"/>
      <c r="L3061" s="50"/>
    </row>
    <row r="3062" spans="3:12" x14ac:dyDescent="0.3">
      <c r="C3062" s="47"/>
      <c r="H3062" s="49"/>
      <c r="K3062" s="72"/>
      <c r="L3062" s="50"/>
    </row>
    <row r="3063" spans="3:12" x14ac:dyDescent="0.3">
      <c r="C3063" s="47"/>
      <c r="H3063" s="49"/>
      <c r="K3063" s="72"/>
      <c r="L3063" s="50"/>
    </row>
    <row r="3064" spans="3:12" x14ac:dyDescent="0.3">
      <c r="C3064" s="47"/>
      <c r="H3064" s="49"/>
      <c r="K3064" s="72"/>
      <c r="L3064" s="50"/>
    </row>
    <row r="3065" spans="3:12" x14ac:dyDescent="0.3">
      <c r="C3065" s="47"/>
      <c r="H3065" s="49"/>
      <c r="K3065" s="72"/>
      <c r="L3065" s="50"/>
    </row>
    <row r="3066" spans="3:12" x14ac:dyDescent="0.3">
      <c r="C3066" s="47"/>
      <c r="H3066" s="49"/>
      <c r="K3066" s="72"/>
      <c r="L3066" s="50"/>
    </row>
    <row r="3067" spans="3:12" x14ac:dyDescent="0.3">
      <c r="C3067" s="47"/>
      <c r="H3067" s="49"/>
      <c r="K3067" s="72"/>
      <c r="L3067" s="50"/>
    </row>
    <row r="3068" spans="3:12" x14ac:dyDescent="0.3">
      <c r="C3068" s="47"/>
      <c r="H3068" s="49"/>
      <c r="K3068" s="72"/>
      <c r="L3068" s="50"/>
    </row>
    <row r="3069" spans="3:12" x14ac:dyDescent="0.3">
      <c r="C3069" s="47"/>
      <c r="H3069" s="49"/>
      <c r="K3069" s="72"/>
      <c r="L3069" s="50"/>
    </row>
    <row r="3070" spans="3:12" x14ac:dyDescent="0.3">
      <c r="C3070" s="47"/>
      <c r="H3070" s="49"/>
      <c r="K3070" s="72"/>
      <c r="L3070" s="50"/>
    </row>
    <row r="3071" spans="3:12" x14ac:dyDescent="0.3">
      <c r="C3071" s="47"/>
      <c r="H3071" s="49"/>
      <c r="K3071" s="72"/>
      <c r="L3071" s="50"/>
    </row>
    <row r="3072" spans="3:12" x14ac:dyDescent="0.3">
      <c r="C3072" s="47"/>
      <c r="H3072" s="49"/>
      <c r="K3072" s="72"/>
      <c r="L3072" s="50"/>
    </row>
    <row r="3073" spans="3:12" x14ac:dyDescent="0.3">
      <c r="C3073" s="47"/>
      <c r="H3073" s="49"/>
      <c r="K3073" s="72"/>
      <c r="L3073" s="50"/>
    </row>
    <row r="3074" spans="3:12" x14ac:dyDescent="0.3">
      <c r="C3074" s="47"/>
      <c r="H3074" s="49"/>
      <c r="K3074" s="72"/>
      <c r="L3074" s="50"/>
    </row>
    <row r="3075" spans="3:12" x14ac:dyDescent="0.3">
      <c r="C3075" s="47"/>
      <c r="H3075" s="49"/>
      <c r="K3075" s="72"/>
      <c r="L3075" s="50"/>
    </row>
    <row r="3076" spans="3:12" x14ac:dyDescent="0.3">
      <c r="C3076" s="47"/>
      <c r="H3076" s="49"/>
      <c r="K3076" s="72"/>
      <c r="L3076" s="50"/>
    </row>
    <row r="3077" spans="3:12" x14ac:dyDescent="0.3">
      <c r="C3077" s="47"/>
      <c r="H3077" s="49"/>
      <c r="K3077" s="72"/>
      <c r="L3077" s="50"/>
    </row>
    <row r="3078" spans="3:12" x14ac:dyDescent="0.3">
      <c r="C3078" s="47"/>
      <c r="H3078" s="49"/>
      <c r="K3078" s="72"/>
      <c r="L3078" s="50"/>
    </row>
    <row r="3079" spans="3:12" x14ac:dyDescent="0.3">
      <c r="C3079" s="47"/>
      <c r="H3079" s="49"/>
      <c r="K3079" s="72"/>
      <c r="L3079" s="50"/>
    </row>
    <row r="3080" spans="3:12" x14ac:dyDescent="0.3">
      <c r="C3080" s="47"/>
      <c r="H3080" s="49"/>
      <c r="K3080" s="72"/>
      <c r="L3080" s="50"/>
    </row>
    <row r="3081" spans="3:12" x14ac:dyDescent="0.3">
      <c r="C3081" s="47"/>
      <c r="H3081" s="49"/>
      <c r="K3081" s="72"/>
      <c r="L3081" s="50"/>
    </row>
    <row r="3082" spans="3:12" x14ac:dyDescent="0.3">
      <c r="C3082" s="47"/>
      <c r="H3082" s="49"/>
      <c r="K3082" s="72"/>
      <c r="L3082" s="50"/>
    </row>
    <row r="3083" spans="3:12" x14ac:dyDescent="0.3">
      <c r="C3083" s="47"/>
      <c r="H3083" s="49"/>
      <c r="K3083" s="72"/>
      <c r="L3083" s="50"/>
    </row>
    <row r="3084" spans="3:12" x14ac:dyDescent="0.3">
      <c r="C3084" s="47"/>
      <c r="H3084" s="49"/>
      <c r="K3084" s="72"/>
      <c r="L3084" s="50"/>
    </row>
    <row r="3085" spans="3:12" x14ac:dyDescent="0.3">
      <c r="C3085" s="47"/>
      <c r="H3085" s="49"/>
      <c r="K3085" s="72"/>
      <c r="L3085" s="50"/>
    </row>
    <row r="3086" spans="3:12" x14ac:dyDescent="0.3">
      <c r="C3086" s="47"/>
      <c r="H3086" s="49"/>
      <c r="K3086" s="72"/>
      <c r="L3086" s="50"/>
    </row>
    <row r="3087" spans="3:12" x14ac:dyDescent="0.3">
      <c r="C3087" s="47"/>
      <c r="H3087" s="49"/>
      <c r="K3087" s="72"/>
      <c r="L3087" s="50"/>
    </row>
    <row r="3088" spans="3:12" x14ac:dyDescent="0.3">
      <c r="C3088" s="47"/>
      <c r="H3088" s="49"/>
      <c r="K3088" s="72"/>
      <c r="L3088" s="50"/>
    </row>
    <row r="3089" spans="3:12" x14ac:dyDescent="0.3">
      <c r="C3089" s="47"/>
      <c r="H3089" s="49"/>
      <c r="K3089" s="72"/>
      <c r="L3089" s="50"/>
    </row>
    <row r="3090" spans="3:12" x14ac:dyDescent="0.3">
      <c r="C3090" s="47"/>
      <c r="H3090" s="49"/>
      <c r="K3090" s="72"/>
      <c r="L3090" s="50"/>
    </row>
    <row r="3091" spans="3:12" x14ac:dyDescent="0.3">
      <c r="C3091" s="47"/>
      <c r="H3091" s="49"/>
      <c r="K3091" s="72"/>
      <c r="L3091" s="50"/>
    </row>
    <row r="3092" spans="3:12" x14ac:dyDescent="0.3">
      <c r="C3092" s="47"/>
      <c r="H3092" s="49"/>
      <c r="K3092" s="72"/>
      <c r="L3092" s="50"/>
    </row>
    <row r="3093" spans="3:12" x14ac:dyDescent="0.3">
      <c r="C3093" s="47"/>
      <c r="H3093" s="49"/>
      <c r="K3093" s="72"/>
      <c r="L3093" s="50"/>
    </row>
    <row r="3094" spans="3:12" x14ac:dyDescent="0.3">
      <c r="C3094" s="47"/>
      <c r="H3094" s="49"/>
      <c r="K3094" s="72"/>
      <c r="L3094" s="50"/>
    </row>
    <row r="3095" spans="3:12" x14ac:dyDescent="0.3">
      <c r="C3095" s="47"/>
      <c r="H3095" s="49"/>
      <c r="K3095" s="72"/>
      <c r="L3095" s="50"/>
    </row>
    <row r="3096" spans="3:12" x14ac:dyDescent="0.3">
      <c r="C3096" s="47"/>
      <c r="H3096" s="49"/>
      <c r="K3096" s="72"/>
      <c r="L3096" s="50"/>
    </row>
    <row r="3097" spans="3:12" x14ac:dyDescent="0.3">
      <c r="C3097" s="47"/>
      <c r="H3097" s="49"/>
      <c r="K3097" s="72"/>
      <c r="L3097" s="50"/>
    </row>
    <row r="3098" spans="3:12" x14ac:dyDescent="0.3">
      <c r="C3098" s="47"/>
      <c r="H3098" s="49"/>
      <c r="K3098" s="72"/>
      <c r="L3098" s="50"/>
    </row>
    <row r="3099" spans="3:12" x14ac:dyDescent="0.3">
      <c r="C3099" s="47"/>
      <c r="H3099" s="49"/>
      <c r="K3099" s="72"/>
      <c r="L3099" s="50"/>
    </row>
    <row r="3100" spans="3:12" x14ac:dyDescent="0.3">
      <c r="C3100" s="47"/>
      <c r="H3100" s="49"/>
      <c r="K3100" s="72"/>
      <c r="L3100" s="50"/>
    </row>
    <row r="3101" spans="3:12" x14ac:dyDescent="0.3">
      <c r="C3101" s="47"/>
      <c r="H3101" s="49"/>
      <c r="K3101" s="72"/>
      <c r="L3101" s="50"/>
    </row>
    <row r="3102" spans="3:12" x14ac:dyDescent="0.3">
      <c r="C3102" s="47"/>
      <c r="H3102" s="49"/>
      <c r="K3102" s="72"/>
      <c r="L3102" s="50"/>
    </row>
    <row r="3103" spans="3:12" x14ac:dyDescent="0.3">
      <c r="C3103" s="47"/>
      <c r="H3103" s="49"/>
      <c r="K3103" s="72"/>
      <c r="L3103" s="50"/>
    </row>
    <row r="3104" spans="3:12" x14ac:dyDescent="0.3">
      <c r="C3104" s="47"/>
      <c r="H3104" s="49"/>
      <c r="K3104" s="72"/>
      <c r="L3104" s="50"/>
    </row>
    <row r="3105" spans="3:12" x14ac:dyDescent="0.3">
      <c r="C3105" s="47"/>
      <c r="H3105" s="49"/>
      <c r="K3105" s="72"/>
      <c r="L3105" s="50"/>
    </row>
    <row r="3106" spans="3:12" x14ac:dyDescent="0.3">
      <c r="C3106" s="47"/>
      <c r="H3106" s="49"/>
      <c r="K3106" s="72"/>
      <c r="L3106" s="50"/>
    </row>
    <row r="3107" spans="3:12" x14ac:dyDescent="0.3">
      <c r="C3107" s="47"/>
      <c r="H3107" s="49"/>
      <c r="K3107" s="72"/>
      <c r="L3107" s="50"/>
    </row>
    <row r="3108" spans="3:12" x14ac:dyDescent="0.3">
      <c r="C3108" s="47"/>
      <c r="H3108" s="49"/>
      <c r="K3108" s="72"/>
      <c r="L3108" s="50"/>
    </row>
    <row r="3109" spans="3:12" x14ac:dyDescent="0.3">
      <c r="C3109" s="47"/>
      <c r="H3109" s="49"/>
      <c r="K3109" s="72"/>
      <c r="L3109" s="50"/>
    </row>
    <row r="3110" spans="3:12" x14ac:dyDescent="0.3">
      <c r="C3110" s="47"/>
      <c r="H3110" s="49"/>
      <c r="K3110" s="72"/>
      <c r="L3110" s="50"/>
    </row>
    <row r="3111" spans="3:12" x14ac:dyDescent="0.3">
      <c r="C3111" s="47"/>
      <c r="H3111" s="49"/>
      <c r="K3111" s="72"/>
      <c r="L3111" s="50"/>
    </row>
    <row r="3112" spans="3:12" x14ac:dyDescent="0.3">
      <c r="C3112" s="47"/>
      <c r="H3112" s="49"/>
      <c r="K3112" s="72"/>
      <c r="L3112" s="50"/>
    </row>
    <row r="3113" spans="3:12" x14ac:dyDescent="0.3">
      <c r="C3113" s="47"/>
      <c r="H3113" s="49"/>
      <c r="K3113" s="72"/>
      <c r="L3113" s="50"/>
    </row>
    <row r="3114" spans="3:12" x14ac:dyDescent="0.3">
      <c r="C3114" s="47"/>
      <c r="H3114" s="49"/>
      <c r="K3114" s="72"/>
      <c r="L3114" s="50"/>
    </row>
    <row r="3115" spans="3:12" x14ac:dyDescent="0.3">
      <c r="C3115" s="47"/>
      <c r="H3115" s="49"/>
      <c r="K3115" s="72"/>
      <c r="L3115" s="50"/>
    </row>
    <row r="3116" spans="3:12" x14ac:dyDescent="0.3">
      <c r="C3116" s="47"/>
      <c r="H3116" s="49"/>
      <c r="K3116" s="72"/>
      <c r="L3116" s="50"/>
    </row>
    <row r="3117" spans="3:12" x14ac:dyDescent="0.3">
      <c r="C3117" s="47"/>
      <c r="H3117" s="49"/>
      <c r="K3117" s="72"/>
      <c r="L3117" s="50"/>
    </row>
    <row r="3118" spans="3:12" x14ac:dyDescent="0.3">
      <c r="C3118" s="47"/>
      <c r="H3118" s="49"/>
      <c r="K3118" s="72"/>
      <c r="L3118" s="50"/>
    </row>
    <row r="3119" spans="3:12" x14ac:dyDescent="0.3">
      <c r="C3119" s="47"/>
      <c r="H3119" s="49"/>
      <c r="K3119" s="72"/>
      <c r="L3119" s="50"/>
    </row>
    <row r="3120" spans="3:12" x14ac:dyDescent="0.3">
      <c r="C3120" s="47"/>
      <c r="H3120" s="49"/>
      <c r="K3120" s="72"/>
      <c r="L3120" s="50"/>
    </row>
    <row r="3121" spans="3:12" x14ac:dyDescent="0.3">
      <c r="C3121" s="47"/>
      <c r="H3121" s="49"/>
      <c r="K3121" s="72"/>
      <c r="L3121" s="50"/>
    </row>
    <row r="3122" spans="3:12" x14ac:dyDescent="0.3">
      <c r="C3122" s="47"/>
      <c r="H3122" s="49"/>
      <c r="K3122" s="72"/>
      <c r="L3122" s="50"/>
    </row>
    <row r="3123" spans="3:12" x14ac:dyDescent="0.3">
      <c r="C3123" s="47"/>
      <c r="H3123" s="49"/>
      <c r="K3123" s="72"/>
      <c r="L3123" s="50"/>
    </row>
    <row r="3124" spans="3:12" x14ac:dyDescent="0.3">
      <c r="C3124" s="47"/>
      <c r="H3124" s="49"/>
      <c r="K3124" s="72"/>
      <c r="L3124" s="50"/>
    </row>
    <row r="3125" spans="3:12" x14ac:dyDescent="0.3">
      <c r="C3125" s="47"/>
      <c r="H3125" s="49"/>
      <c r="K3125" s="72"/>
      <c r="L3125" s="50"/>
    </row>
    <row r="3126" spans="3:12" x14ac:dyDescent="0.3">
      <c r="C3126" s="47"/>
      <c r="H3126" s="49"/>
      <c r="K3126" s="72"/>
      <c r="L3126" s="50"/>
    </row>
    <row r="3127" spans="3:12" x14ac:dyDescent="0.3">
      <c r="C3127" s="47"/>
      <c r="H3127" s="49"/>
      <c r="K3127" s="72"/>
      <c r="L3127" s="50"/>
    </row>
    <row r="3128" spans="3:12" x14ac:dyDescent="0.3">
      <c r="C3128" s="47"/>
      <c r="H3128" s="49"/>
      <c r="K3128" s="72"/>
      <c r="L3128" s="50"/>
    </row>
    <row r="3129" spans="3:12" x14ac:dyDescent="0.3">
      <c r="C3129" s="47"/>
      <c r="H3129" s="49"/>
      <c r="K3129" s="72"/>
      <c r="L3129" s="50"/>
    </row>
    <row r="3130" spans="3:12" x14ac:dyDescent="0.3">
      <c r="C3130" s="47"/>
      <c r="H3130" s="49"/>
      <c r="K3130" s="72"/>
      <c r="L3130" s="50"/>
    </row>
    <row r="3131" spans="3:12" x14ac:dyDescent="0.3">
      <c r="C3131" s="47"/>
      <c r="H3131" s="49"/>
      <c r="K3131" s="72"/>
      <c r="L3131" s="50"/>
    </row>
    <row r="3132" spans="3:12" x14ac:dyDescent="0.3">
      <c r="C3132" s="47"/>
      <c r="H3132" s="49"/>
      <c r="K3132" s="72"/>
      <c r="L3132" s="50"/>
    </row>
    <row r="3133" spans="3:12" x14ac:dyDescent="0.3">
      <c r="C3133" s="47"/>
      <c r="H3133" s="49"/>
      <c r="K3133" s="72"/>
      <c r="L3133" s="50"/>
    </row>
    <row r="3134" spans="3:12" x14ac:dyDescent="0.3">
      <c r="C3134" s="47"/>
      <c r="H3134" s="49"/>
      <c r="K3134" s="72"/>
      <c r="L3134" s="50"/>
    </row>
    <row r="3135" spans="3:12" x14ac:dyDescent="0.3">
      <c r="C3135" s="47"/>
      <c r="H3135" s="49"/>
      <c r="K3135" s="72"/>
      <c r="L3135" s="50"/>
    </row>
    <row r="3136" spans="3:12" x14ac:dyDescent="0.3">
      <c r="C3136" s="47"/>
      <c r="H3136" s="49"/>
      <c r="K3136" s="72"/>
      <c r="L3136" s="50"/>
    </row>
    <row r="3137" spans="3:12" x14ac:dyDescent="0.3">
      <c r="C3137" s="47"/>
      <c r="H3137" s="49"/>
      <c r="K3137" s="72"/>
      <c r="L3137" s="50"/>
    </row>
    <row r="3138" spans="3:12" x14ac:dyDescent="0.3">
      <c r="C3138" s="47"/>
      <c r="H3138" s="49"/>
      <c r="K3138" s="72"/>
      <c r="L3138" s="50"/>
    </row>
    <row r="3139" spans="3:12" x14ac:dyDescent="0.3">
      <c r="C3139" s="47"/>
      <c r="H3139" s="49"/>
      <c r="K3139" s="72"/>
      <c r="L3139" s="50"/>
    </row>
    <row r="3140" spans="3:12" x14ac:dyDescent="0.3">
      <c r="C3140" s="47"/>
      <c r="H3140" s="49"/>
      <c r="K3140" s="72"/>
      <c r="L3140" s="50"/>
    </row>
    <row r="3141" spans="3:12" x14ac:dyDescent="0.3">
      <c r="C3141" s="47"/>
      <c r="H3141" s="49"/>
      <c r="K3141" s="72"/>
      <c r="L3141" s="50"/>
    </row>
    <row r="3142" spans="3:12" x14ac:dyDescent="0.3">
      <c r="C3142" s="47"/>
      <c r="H3142" s="49"/>
      <c r="K3142" s="72"/>
      <c r="L3142" s="50"/>
    </row>
    <row r="3143" spans="3:12" x14ac:dyDescent="0.3">
      <c r="C3143" s="47"/>
      <c r="H3143" s="49"/>
      <c r="K3143" s="72"/>
      <c r="L3143" s="50"/>
    </row>
    <row r="3144" spans="3:12" x14ac:dyDescent="0.3">
      <c r="C3144" s="47"/>
      <c r="H3144" s="49"/>
      <c r="K3144" s="72"/>
      <c r="L3144" s="50"/>
    </row>
    <row r="3145" spans="3:12" x14ac:dyDescent="0.3">
      <c r="C3145" s="47"/>
      <c r="H3145" s="49"/>
      <c r="K3145" s="72"/>
      <c r="L3145" s="50"/>
    </row>
    <row r="3146" spans="3:12" x14ac:dyDescent="0.3">
      <c r="C3146" s="47"/>
      <c r="H3146" s="49"/>
      <c r="K3146" s="72"/>
      <c r="L3146" s="50"/>
    </row>
    <row r="3147" spans="3:12" x14ac:dyDescent="0.3">
      <c r="C3147" s="47"/>
      <c r="H3147" s="49"/>
      <c r="K3147" s="72"/>
      <c r="L3147" s="50"/>
    </row>
    <row r="3148" spans="3:12" x14ac:dyDescent="0.3">
      <c r="C3148" s="47"/>
      <c r="H3148" s="49"/>
      <c r="K3148" s="72"/>
      <c r="L3148" s="50"/>
    </row>
    <row r="3149" spans="3:12" x14ac:dyDescent="0.3">
      <c r="C3149" s="47"/>
      <c r="H3149" s="49"/>
      <c r="K3149" s="72"/>
      <c r="L3149" s="50"/>
    </row>
    <row r="3150" spans="3:12" x14ac:dyDescent="0.3">
      <c r="C3150" s="47"/>
      <c r="H3150" s="49"/>
      <c r="K3150" s="72"/>
      <c r="L3150" s="50"/>
    </row>
    <row r="3151" spans="3:12" x14ac:dyDescent="0.3">
      <c r="C3151" s="47"/>
      <c r="H3151" s="49"/>
      <c r="K3151" s="72"/>
      <c r="L3151" s="50"/>
    </row>
    <row r="3152" spans="3:12" x14ac:dyDescent="0.3">
      <c r="C3152" s="47"/>
      <c r="H3152" s="49"/>
      <c r="K3152" s="72"/>
      <c r="L3152" s="50"/>
    </row>
    <row r="3153" spans="3:12" x14ac:dyDescent="0.3">
      <c r="C3153" s="47"/>
      <c r="H3153" s="49"/>
      <c r="K3153" s="72"/>
      <c r="L3153" s="50"/>
    </row>
    <row r="3154" spans="3:12" x14ac:dyDescent="0.3">
      <c r="C3154" s="47"/>
      <c r="H3154" s="49"/>
      <c r="K3154" s="72"/>
      <c r="L3154" s="50"/>
    </row>
    <row r="3155" spans="3:12" x14ac:dyDescent="0.3">
      <c r="C3155" s="47"/>
      <c r="H3155" s="49"/>
      <c r="K3155" s="72"/>
      <c r="L3155" s="50"/>
    </row>
    <row r="3156" spans="3:12" x14ac:dyDescent="0.3">
      <c r="C3156" s="47"/>
      <c r="H3156" s="49"/>
      <c r="K3156" s="72"/>
      <c r="L3156" s="50"/>
    </row>
    <row r="3157" spans="3:12" x14ac:dyDescent="0.3">
      <c r="C3157" s="47"/>
      <c r="H3157" s="49"/>
      <c r="K3157" s="72"/>
      <c r="L3157" s="50"/>
    </row>
    <row r="3158" spans="3:12" x14ac:dyDescent="0.3">
      <c r="C3158" s="47"/>
      <c r="H3158" s="49"/>
      <c r="K3158" s="72"/>
      <c r="L3158" s="50"/>
    </row>
    <row r="3159" spans="3:12" x14ac:dyDescent="0.3">
      <c r="C3159" s="47"/>
      <c r="H3159" s="49"/>
      <c r="K3159" s="72"/>
      <c r="L3159" s="50"/>
    </row>
    <row r="3160" spans="3:12" x14ac:dyDescent="0.3">
      <c r="C3160" s="47"/>
      <c r="H3160" s="49"/>
      <c r="K3160" s="72"/>
      <c r="L3160" s="50"/>
    </row>
    <row r="3161" spans="3:12" x14ac:dyDescent="0.3">
      <c r="C3161" s="47"/>
      <c r="H3161" s="49"/>
      <c r="K3161" s="72"/>
      <c r="L3161" s="50"/>
    </row>
    <row r="3162" spans="3:12" x14ac:dyDescent="0.3">
      <c r="C3162" s="47"/>
      <c r="H3162" s="49"/>
      <c r="K3162" s="72"/>
      <c r="L3162" s="50"/>
    </row>
    <row r="3163" spans="3:12" x14ac:dyDescent="0.3">
      <c r="C3163" s="47"/>
      <c r="H3163" s="49"/>
      <c r="K3163" s="72"/>
      <c r="L3163" s="50"/>
    </row>
    <row r="3164" spans="3:12" x14ac:dyDescent="0.3">
      <c r="C3164" s="47"/>
      <c r="H3164" s="49"/>
      <c r="K3164" s="72"/>
      <c r="L3164" s="50"/>
    </row>
    <row r="3165" spans="3:12" x14ac:dyDescent="0.3">
      <c r="C3165" s="47"/>
      <c r="H3165" s="49"/>
      <c r="K3165" s="72"/>
      <c r="L3165" s="50"/>
    </row>
    <row r="3166" spans="3:12" x14ac:dyDescent="0.3">
      <c r="C3166" s="47"/>
      <c r="H3166" s="49"/>
      <c r="K3166" s="72"/>
      <c r="L3166" s="50"/>
    </row>
    <row r="3167" spans="3:12" x14ac:dyDescent="0.3">
      <c r="C3167" s="47"/>
      <c r="H3167" s="49"/>
      <c r="K3167" s="72"/>
      <c r="L3167" s="50"/>
    </row>
    <row r="3168" spans="3:12" x14ac:dyDescent="0.3">
      <c r="C3168" s="47"/>
      <c r="H3168" s="49"/>
      <c r="K3168" s="72"/>
      <c r="L3168" s="50"/>
    </row>
    <row r="3169" spans="3:12" x14ac:dyDescent="0.3">
      <c r="C3169" s="47"/>
      <c r="H3169" s="49"/>
      <c r="K3169" s="72"/>
      <c r="L3169" s="50"/>
    </row>
    <row r="3170" spans="3:12" x14ac:dyDescent="0.3">
      <c r="C3170" s="47"/>
      <c r="H3170" s="49"/>
      <c r="K3170" s="72"/>
      <c r="L3170" s="50"/>
    </row>
    <row r="3171" spans="3:12" x14ac:dyDescent="0.3">
      <c r="C3171" s="47"/>
      <c r="H3171" s="49"/>
      <c r="K3171" s="72"/>
      <c r="L3171" s="50"/>
    </row>
    <row r="3172" spans="3:12" x14ac:dyDescent="0.3">
      <c r="C3172" s="47"/>
      <c r="H3172" s="49"/>
      <c r="K3172" s="72"/>
      <c r="L3172" s="50"/>
    </row>
    <row r="3173" spans="3:12" x14ac:dyDescent="0.3">
      <c r="C3173" s="47"/>
      <c r="H3173" s="49"/>
      <c r="K3173" s="72"/>
      <c r="L3173" s="50"/>
    </row>
    <row r="3174" spans="3:12" x14ac:dyDescent="0.3">
      <c r="C3174" s="47"/>
      <c r="H3174" s="49"/>
      <c r="K3174" s="72"/>
      <c r="L3174" s="50"/>
    </row>
    <row r="3175" spans="3:12" x14ac:dyDescent="0.3">
      <c r="C3175" s="47"/>
      <c r="H3175" s="49"/>
      <c r="K3175" s="72"/>
      <c r="L3175" s="50"/>
    </row>
    <row r="3176" spans="3:12" x14ac:dyDescent="0.3">
      <c r="C3176" s="47"/>
      <c r="H3176" s="49"/>
      <c r="K3176" s="72"/>
      <c r="L3176" s="50"/>
    </row>
    <row r="3177" spans="3:12" x14ac:dyDescent="0.3">
      <c r="C3177" s="47"/>
      <c r="H3177" s="49"/>
      <c r="K3177" s="72"/>
      <c r="L3177" s="50"/>
    </row>
    <row r="3178" spans="3:12" x14ac:dyDescent="0.3">
      <c r="C3178" s="47"/>
      <c r="H3178" s="49"/>
      <c r="K3178" s="72"/>
      <c r="L3178" s="50"/>
    </row>
    <row r="3179" spans="3:12" x14ac:dyDescent="0.3">
      <c r="C3179" s="47"/>
      <c r="H3179" s="49"/>
      <c r="K3179" s="72"/>
      <c r="L3179" s="50"/>
    </row>
    <row r="3180" spans="3:12" x14ac:dyDescent="0.3">
      <c r="C3180" s="47"/>
      <c r="H3180" s="49"/>
      <c r="K3180" s="72"/>
      <c r="L3180" s="50"/>
    </row>
    <row r="3181" spans="3:12" x14ac:dyDescent="0.3">
      <c r="C3181" s="47"/>
      <c r="H3181" s="49"/>
      <c r="K3181" s="72"/>
      <c r="L3181" s="50"/>
    </row>
    <row r="3182" spans="3:12" x14ac:dyDescent="0.3">
      <c r="C3182" s="47"/>
      <c r="H3182" s="49"/>
      <c r="K3182" s="72"/>
      <c r="L3182" s="50"/>
    </row>
    <row r="3183" spans="3:12" x14ac:dyDescent="0.3">
      <c r="C3183" s="47"/>
      <c r="H3183" s="49"/>
      <c r="K3183" s="72"/>
      <c r="L3183" s="50"/>
    </row>
    <row r="3184" spans="3:12" x14ac:dyDescent="0.3">
      <c r="C3184" s="47"/>
      <c r="H3184" s="49"/>
      <c r="K3184" s="72"/>
      <c r="L3184" s="50"/>
    </row>
    <row r="3185" spans="3:12" x14ac:dyDescent="0.3">
      <c r="C3185" s="47"/>
      <c r="H3185" s="49"/>
      <c r="K3185" s="72"/>
      <c r="L3185" s="50"/>
    </row>
    <row r="3186" spans="3:12" x14ac:dyDescent="0.3">
      <c r="C3186" s="47"/>
      <c r="H3186" s="49"/>
      <c r="K3186" s="72"/>
      <c r="L3186" s="50"/>
    </row>
    <row r="3187" spans="3:12" x14ac:dyDescent="0.3">
      <c r="C3187" s="47"/>
      <c r="H3187" s="49"/>
      <c r="K3187" s="72"/>
      <c r="L3187" s="50"/>
    </row>
    <row r="3188" spans="3:12" x14ac:dyDescent="0.3">
      <c r="C3188" s="47"/>
      <c r="H3188" s="49"/>
      <c r="K3188" s="72"/>
      <c r="L3188" s="50"/>
    </row>
    <row r="3189" spans="3:12" x14ac:dyDescent="0.3">
      <c r="C3189" s="47"/>
      <c r="H3189" s="49"/>
      <c r="K3189" s="72"/>
      <c r="L3189" s="50"/>
    </row>
    <row r="3190" spans="3:12" x14ac:dyDescent="0.3">
      <c r="C3190" s="47"/>
      <c r="H3190" s="49"/>
      <c r="K3190" s="72"/>
      <c r="L3190" s="50"/>
    </row>
    <row r="3191" spans="3:12" x14ac:dyDescent="0.3">
      <c r="C3191" s="47"/>
      <c r="H3191" s="49"/>
      <c r="K3191" s="72"/>
      <c r="L3191" s="50"/>
    </row>
    <row r="3192" spans="3:12" x14ac:dyDescent="0.3">
      <c r="C3192" s="47"/>
      <c r="H3192" s="49"/>
      <c r="K3192" s="72"/>
      <c r="L3192" s="50"/>
    </row>
    <row r="3193" spans="3:12" x14ac:dyDescent="0.3">
      <c r="C3193" s="47"/>
      <c r="H3193" s="49"/>
      <c r="K3193" s="72"/>
      <c r="L3193" s="50"/>
    </row>
    <row r="3194" spans="3:12" x14ac:dyDescent="0.3">
      <c r="C3194" s="47"/>
      <c r="H3194" s="49"/>
      <c r="K3194" s="72"/>
      <c r="L3194" s="50"/>
    </row>
    <row r="3195" spans="3:12" x14ac:dyDescent="0.3">
      <c r="C3195" s="47"/>
      <c r="H3195" s="49"/>
      <c r="K3195" s="72"/>
      <c r="L3195" s="50"/>
    </row>
    <row r="3196" spans="3:12" x14ac:dyDescent="0.3">
      <c r="C3196" s="47"/>
      <c r="H3196" s="49"/>
      <c r="K3196" s="72"/>
      <c r="L3196" s="50"/>
    </row>
    <row r="3197" spans="3:12" x14ac:dyDescent="0.3">
      <c r="C3197" s="47"/>
      <c r="H3197" s="49"/>
      <c r="K3197" s="72"/>
      <c r="L3197" s="50"/>
    </row>
    <row r="3198" spans="3:12" x14ac:dyDescent="0.3">
      <c r="C3198" s="47"/>
      <c r="H3198" s="49"/>
      <c r="K3198" s="72"/>
      <c r="L3198" s="50"/>
    </row>
    <row r="3199" spans="3:12" x14ac:dyDescent="0.3">
      <c r="C3199" s="47"/>
      <c r="H3199" s="49"/>
      <c r="K3199" s="72"/>
      <c r="L3199" s="50"/>
    </row>
    <row r="3200" spans="3:12" x14ac:dyDescent="0.3">
      <c r="C3200" s="47"/>
      <c r="H3200" s="49"/>
      <c r="K3200" s="72"/>
      <c r="L3200" s="50"/>
    </row>
    <row r="3201" spans="3:12" x14ac:dyDescent="0.3">
      <c r="C3201" s="47"/>
      <c r="H3201" s="49"/>
      <c r="K3201" s="72"/>
      <c r="L3201" s="50"/>
    </row>
    <row r="3202" spans="3:12" x14ac:dyDescent="0.3">
      <c r="C3202" s="47"/>
      <c r="H3202" s="49"/>
      <c r="K3202" s="72"/>
      <c r="L3202" s="50"/>
    </row>
    <row r="3203" spans="3:12" x14ac:dyDescent="0.3">
      <c r="C3203" s="47"/>
      <c r="H3203" s="49"/>
      <c r="K3203" s="72"/>
      <c r="L3203" s="50"/>
    </row>
    <row r="3204" spans="3:12" x14ac:dyDescent="0.3">
      <c r="C3204" s="47"/>
      <c r="H3204" s="49"/>
      <c r="K3204" s="72"/>
      <c r="L3204" s="50"/>
    </row>
    <row r="3205" spans="3:12" x14ac:dyDescent="0.3">
      <c r="C3205" s="47"/>
      <c r="H3205" s="49"/>
      <c r="K3205" s="72"/>
      <c r="L3205" s="50"/>
    </row>
    <row r="3206" spans="3:12" x14ac:dyDescent="0.3">
      <c r="C3206" s="47"/>
      <c r="H3206" s="49"/>
      <c r="K3206" s="72"/>
      <c r="L3206" s="50"/>
    </row>
    <row r="3207" spans="3:12" x14ac:dyDescent="0.3">
      <c r="C3207" s="47"/>
      <c r="H3207" s="49"/>
      <c r="K3207" s="72"/>
      <c r="L3207" s="50"/>
    </row>
    <row r="3208" spans="3:12" x14ac:dyDescent="0.3">
      <c r="C3208" s="47"/>
      <c r="H3208" s="49"/>
      <c r="K3208" s="72"/>
      <c r="L3208" s="50"/>
    </row>
    <row r="3209" spans="3:12" x14ac:dyDescent="0.3">
      <c r="C3209" s="47"/>
      <c r="H3209" s="49"/>
      <c r="K3209" s="72"/>
      <c r="L3209" s="50"/>
    </row>
    <row r="3210" spans="3:12" x14ac:dyDescent="0.3">
      <c r="C3210" s="47"/>
      <c r="H3210" s="49"/>
      <c r="K3210" s="72"/>
      <c r="L3210" s="50"/>
    </row>
    <row r="3211" spans="3:12" x14ac:dyDescent="0.3">
      <c r="C3211" s="47"/>
      <c r="H3211" s="49"/>
      <c r="K3211" s="72"/>
      <c r="L3211" s="50"/>
    </row>
    <row r="3212" spans="3:12" x14ac:dyDescent="0.3">
      <c r="C3212" s="47"/>
      <c r="H3212" s="49"/>
      <c r="K3212" s="72"/>
      <c r="L3212" s="50"/>
    </row>
    <row r="3213" spans="3:12" x14ac:dyDescent="0.3">
      <c r="C3213" s="47"/>
      <c r="H3213" s="49"/>
      <c r="K3213" s="72"/>
      <c r="L3213" s="50"/>
    </row>
    <row r="3214" spans="3:12" x14ac:dyDescent="0.3">
      <c r="C3214" s="47"/>
      <c r="H3214" s="49"/>
      <c r="K3214" s="72"/>
      <c r="L3214" s="50"/>
    </row>
    <row r="3215" spans="3:12" x14ac:dyDescent="0.3">
      <c r="C3215" s="47"/>
      <c r="H3215" s="49"/>
      <c r="K3215" s="72"/>
      <c r="L3215" s="50"/>
    </row>
    <row r="3216" spans="3:12" x14ac:dyDescent="0.3">
      <c r="C3216" s="47"/>
      <c r="H3216" s="49"/>
      <c r="K3216" s="72"/>
      <c r="L3216" s="50"/>
    </row>
    <row r="3217" spans="3:12" x14ac:dyDescent="0.3">
      <c r="C3217" s="47"/>
      <c r="H3217" s="49"/>
      <c r="K3217" s="72"/>
      <c r="L3217" s="50"/>
    </row>
    <row r="3218" spans="3:12" x14ac:dyDescent="0.3">
      <c r="C3218" s="47"/>
      <c r="H3218" s="49"/>
      <c r="K3218" s="72"/>
      <c r="L3218" s="50"/>
    </row>
    <row r="3219" spans="3:12" x14ac:dyDescent="0.3">
      <c r="C3219" s="47"/>
      <c r="H3219" s="49"/>
      <c r="K3219" s="72"/>
      <c r="L3219" s="50"/>
    </row>
    <row r="3220" spans="3:12" x14ac:dyDescent="0.3">
      <c r="C3220" s="47"/>
      <c r="H3220" s="49"/>
      <c r="K3220" s="72"/>
      <c r="L3220" s="50"/>
    </row>
    <row r="3221" spans="3:12" x14ac:dyDescent="0.3">
      <c r="C3221" s="47"/>
      <c r="H3221" s="49"/>
      <c r="K3221" s="72"/>
      <c r="L3221" s="50"/>
    </row>
    <row r="3222" spans="3:12" x14ac:dyDescent="0.3">
      <c r="C3222" s="47"/>
      <c r="H3222" s="49"/>
      <c r="K3222" s="72"/>
      <c r="L3222" s="50"/>
    </row>
    <row r="3223" spans="3:12" x14ac:dyDescent="0.3">
      <c r="C3223" s="47"/>
      <c r="H3223" s="49"/>
      <c r="K3223" s="72"/>
      <c r="L3223" s="50"/>
    </row>
    <row r="3224" spans="3:12" x14ac:dyDescent="0.3">
      <c r="C3224" s="47"/>
      <c r="H3224" s="49"/>
      <c r="K3224" s="72"/>
      <c r="L3224" s="50"/>
    </row>
    <row r="3225" spans="3:12" x14ac:dyDescent="0.3">
      <c r="C3225" s="47"/>
      <c r="H3225" s="49"/>
      <c r="K3225" s="72"/>
      <c r="L3225" s="50"/>
    </row>
    <row r="3226" spans="3:12" x14ac:dyDescent="0.3">
      <c r="C3226" s="47"/>
      <c r="H3226" s="49"/>
      <c r="K3226" s="72"/>
      <c r="L3226" s="50"/>
    </row>
    <row r="3227" spans="3:12" x14ac:dyDescent="0.3">
      <c r="C3227" s="47"/>
      <c r="H3227" s="49"/>
      <c r="K3227" s="72"/>
      <c r="L3227" s="50"/>
    </row>
    <row r="3228" spans="3:12" x14ac:dyDescent="0.3">
      <c r="C3228" s="47"/>
      <c r="H3228" s="49"/>
      <c r="K3228" s="72"/>
      <c r="L3228" s="50"/>
    </row>
    <row r="3229" spans="3:12" x14ac:dyDescent="0.3">
      <c r="C3229" s="47"/>
      <c r="H3229" s="49"/>
      <c r="K3229" s="72"/>
      <c r="L3229" s="50"/>
    </row>
    <row r="3230" spans="3:12" x14ac:dyDescent="0.3">
      <c r="C3230" s="47"/>
      <c r="H3230" s="49"/>
      <c r="K3230" s="72"/>
      <c r="L3230" s="50"/>
    </row>
    <row r="3231" spans="3:12" x14ac:dyDescent="0.3">
      <c r="C3231" s="47"/>
      <c r="H3231" s="49"/>
      <c r="K3231" s="72"/>
      <c r="L3231" s="50"/>
    </row>
    <row r="3232" spans="3:12" x14ac:dyDescent="0.3">
      <c r="C3232" s="47"/>
      <c r="H3232" s="49"/>
      <c r="K3232" s="72"/>
      <c r="L3232" s="50"/>
    </row>
    <row r="3233" spans="3:12" x14ac:dyDescent="0.3">
      <c r="C3233" s="47"/>
      <c r="H3233" s="49"/>
      <c r="K3233" s="72"/>
      <c r="L3233" s="50"/>
    </row>
    <row r="3234" spans="3:12" x14ac:dyDescent="0.3">
      <c r="C3234" s="47"/>
      <c r="H3234" s="49"/>
      <c r="K3234" s="72"/>
      <c r="L3234" s="50"/>
    </row>
    <row r="3235" spans="3:12" x14ac:dyDescent="0.3">
      <c r="C3235" s="47"/>
      <c r="H3235" s="49"/>
      <c r="K3235" s="72"/>
      <c r="L3235" s="50"/>
    </row>
    <row r="3236" spans="3:12" x14ac:dyDescent="0.3">
      <c r="C3236" s="47"/>
      <c r="H3236" s="49"/>
      <c r="K3236" s="72"/>
      <c r="L3236" s="50"/>
    </row>
    <row r="3237" spans="3:12" x14ac:dyDescent="0.3">
      <c r="C3237" s="47"/>
      <c r="H3237" s="49"/>
      <c r="K3237" s="72"/>
      <c r="L3237" s="50"/>
    </row>
    <row r="3238" spans="3:12" x14ac:dyDescent="0.3">
      <c r="C3238" s="47"/>
      <c r="H3238" s="49"/>
      <c r="K3238" s="72"/>
      <c r="L3238" s="50"/>
    </row>
    <row r="3239" spans="3:12" x14ac:dyDescent="0.3">
      <c r="C3239" s="47"/>
      <c r="H3239" s="49"/>
      <c r="K3239" s="72"/>
      <c r="L3239" s="50"/>
    </row>
    <row r="3240" spans="3:12" x14ac:dyDescent="0.3">
      <c r="C3240" s="47"/>
      <c r="H3240" s="49"/>
      <c r="K3240" s="72"/>
      <c r="L3240" s="50"/>
    </row>
    <row r="3241" spans="3:12" x14ac:dyDescent="0.3">
      <c r="C3241" s="47"/>
      <c r="H3241" s="49"/>
      <c r="K3241" s="72"/>
      <c r="L3241" s="50"/>
    </row>
    <row r="3242" spans="3:12" x14ac:dyDescent="0.3">
      <c r="C3242" s="47"/>
      <c r="H3242" s="49"/>
      <c r="K3242" s="72"/>
      <c r="L3242" s="50"/>
    </row>
    <row r="3243" spans="3:12" x14ac:dyDescent="0.3">
      <c r="C3243" s="47"/>
      <c r="H3243" s="49"/>
      <c r="K3243" s="72"/>
      <c r="L3243" s="50"/>
    </row>
    <row r="3244" spans="3:12" x14ac:dyDescent="0.3">
      <c r="C3244" s="47"/>
      <c r="H3244" s="49"/>
      <c r="K3244" s="72"/>
      <c r="L3244" s="50"/>
    </row>
    <row r="3245" spans="3:12" x14ac:dyDescent="0.3">
      <c r="C3245" s="47"/>
      <c r="H3245" s="49"/>
      <c r="K3245" s="72"/>
      <c r="L3245" s="50"/>
    </row>
    <row r="3246" spans="3:12" x14ac:dyDescent="0.3">
      <c r="C3246" s="47"/>
      <c r="H3246" s="49"/>
      <c r="K3246" s="72"/>
      <c r="L3246" s="50"/>
    </row>
    <row r="3247" spans="3:12" x14ac:dyDescent="0.3">
      <c r="C3247" s="47"/>
      <c r="H3247" s="49"/>
      <c r="K3247" s="72"/>
      <c r="L3247" s="50"/>
    </row>
    <row r="3248" spans="3:12" x14ac:dyDescent="0.3">
      <c r="C3248" s="47"/>
      <c r="H3248" s="49"/>
      <c r="K3248" s="72"/>
      <c r="L3248" s="50"/>
    </row>
    <row r="3249" spans="3:12" x14ac:dyDescent="0.3">
      <c r="C3249" s="47"/>
      <c r="H3249" s="49"/>
      <c r="K3249" s="72"/>
      <c r="L3249" s="50"/>
    </row>
    <row r="3250" spans="3:12" x14ac:dyDescent="0.3">
      <c r="C3250" s="47"/>
      <c r="H3250" s="49"/>
      <c r="K3250" s="72"/>
      <c r="L3250" s="50"/>
    </row>
    <row r="3251" spans="3:12" x14ac:dyDescent="0.3">
      <c r="C3251" s="47"/>
      <c r="H3251" s="49"/>
      <c r="K3251" s="72"/>
      <c r="L3251" s="50"/>
    </row>
    <row r="3252" spans="3:12" x14ac:dyDescent="0.3">
      <c r="C3252" s="47"/>
      <c r="H3252" s="49"/>
      <c r="K3252" s="72"/>
      <c r="L3252" s="50"/>
    </row>
    <row r="3253" spans="3:12" x14ac:dyDescent="0.3">
      <c r="C3253" s="47"/>
      <c r="H3253" s="49"/>
      <c r="K3253" s="72"/>
      <c r="L3253" s="50"/>
    </row>
    <row r="3254" spans="3:12" x14ac:dyDescent="0.3">
      <c r="C3254" s="47"/>
      <c r="H3254" s="49"/>
      <c r="K3254" s="72"/>
      <c r="L3254" s="50"/>
    </row>
    <row r="3255" spans="3:12" x14ac:dyDescent="0.3">
      <c r="C3255" s="47"/>
      <c r="H3255" s="49"/>
      <c r="K3255" s="72"/>
      <c r="L3255" s="50"/>
    </row>
    <row r="3256" spans="3:12" x14ac:dyDescent="0.3">
      <c r="C3256" s="47"/>
      <c r="H3256" s="49"/>
      <c r="K3256" s="72"/>
      <c r="L3256" s="50"/>
    </row>
    <row r="3257" spans="3:12" x14ac:dyDescent="0.3">
      <c r="C3257" s="47"/>
      <c r="H3257" s="49"/>
      <c r="K3257" s="72"/>
      <c r="L3257" s="50"/>
    </row>
    <row r="3258" spans="3:12" x14ac:dyDescent="0.3">
      <c r="C3258" s="47"/>
      <c r="H3258" s="49"/>
      <c r="K3258" s="72"/>
      <c r="L3258" s="50"/>
    </row>
    <row r="3259" spans="3:12" x14ac:dyDescent="0.3">
      <c r="C3259" s="47"/>
      <c r="H3259" s="49"/>
      <c r="K3259" s="72"/>
      <c r="L3259" s="50"/>
    </row>
    <row r="3260" spans="3:12" x14ac:dyDescent="0.3">
      <c r="C3260" s="47"/>
      <c r="H3260" s="49"/>
      <c r="K3260" s="72"/>
      <c r="L3260" s="50"/>
    </row>
    <row r="3261" spans="3:12" x14ac:dyDescent="0.3">
      <c r="C3261" s="47"/>
      <c r="H3261" s="49"/>
      <c r="K3261" s="72"/>
      <c r="L3261" s="50"/>
    </row>
    <row r="3262" spans="3:12" x14ac:dyDescent="0.3">
      <c r="C3262" s="47"/>
      <c r="H3262" s="49"/>
      <c r="K3262" s="72"/>
      <c r="L3262" s="50"/>
    </row>
    <row r="3263" spans="3:12" x14ac:dyDescent="0.3">
      <c r="C3263" s="47"/>
      <c r="H3263" s="49"/>
      <c r="K3263" s="72"/>
      <c r="L3263" s="50"/>
    </row>
    <row r="3264" spans="3:12" x14ac:dyDescent="0.3">
      <c r="C3264" s="47"/>
      <c r="H3264" s="49"/>
      <c r="K3264" s="72"/>
      <c r="L3264" s="50"/>
    </row>
    <row r="3265" spans="3:12" x14ac:dyDescent="0.3">
      <c r="C3265" s="47"/>
      <c r="H3265" s="49"/>
      <c r="K3265" s="72"/>
      <c r="L3265" s="50"/>
    </row>
    <row r="3266" spans="3:12" x14ac:dyDescent="0.3">
      <c r="C3266" s="47"/>
      <c r="H3266" s="49"/>
      <c r="K3266" s="72"/>
      <c r="L3266" s="50"/>
    </row>
    <row r="3267" spans="3:12" x14ac:dyDescent="0.3">
      <c r="C3267" s="47"/>
      <c r="H3267" s="49"/>
      <c r="K3267" s="72"/>
      <c r="L3267" s="50"/>
    </row>
    <row r="3268" spans="3:12" x14ac:dyDescent="0.3">
      <c r="C3268" s="47"/>
      <c r="H3268" s="49"/>
      <c r="K3268" s="72"/>
      <c r="L3268" s="50"/>
    </row>
    <row r="3269" spans="3:12" x14ac:dyDescent="0.3">
      <c r="C3269" s="47"/>
      <c r="H3269" s="49"/>
      <c r="K3269" s="72"/>
      <c r="L3269" s="50"/>
    </row>
    <row r="3270" spans="3:12" x14ac:dyDescent="0.3">
      <c r="C3270" s="47"/>
      <c r="H3270" s="49"/>
      <c r="K3270" s="72"/>
      <c r="L3270" s="50"/>
    </row>
    <row r="3271" spans="3:12" x14ac:dyDescent="0.3">
      <c r="C3271" s="47"/>
      <c r="H3271" s="49"/>
      <c r="K3271" s="72"/>
      <c r="L3271" s="50"/>
    </row>
    <row r="3272" spans="3:12" x14ac:dyDescent="0.3">
      <c r="C3272" s="47"/>
      <c r="H3272" s="49"/>
      <c r="K3272" s="72"/>
      <c r="L3272" s="50"/>
    </row>
    <row r="3273" spans="3:12" x14ac:dyDescent="0.3">
      <c r="C3273" s="47"/>
      <c r="H3273" s="49"/>
      <c r="K3273" s="72"/>
      <c r="L3273" s="50"/>
    </row>
    <row r="3274" spans="3:12" x14ac:dyDescent="0.3">
      <c r="C3274" s="47"/>
      <c r="H3274" s="49"/>
      <c r="K3274" s="72"/>
      <c r="L3274" s="50"/>
    </row>
    <row r="3275" spans="3:12" x14ac:dyDescent="0.3">
      <c r="C3275" s="47"/>
      <c r="H3275" s="49"/>
      <c r="K3275" s="72"/>
      <c r="L3275" s="50"/>
    </row>
    <row r="3276" spans="3:12" x14ac:dyDescent="0.3">
      <c r="C3276" s="47"/>
      <c r="H3276" s="49"/>
      <c r="K3276" s="72"/>
      <c r="L3276" s="50"/>
    </row>
    <row r="3277" spans="3:12" x14ac:dyDescent="0.3">
      <c r="C3277" s="47"/>
      <c r="H3277" s="49"/>
      <c r="K3277" s="72"/>
      <c r="L3277" s="50"/>
    </row>
    <row r="3278" spans="3:12" x14ac:dyDescent="0.3">
      <c r="C3278" s="47"/>
      <c r="H3278" s="49"/>
      <c r="K3278" s="72"/>
      <c r="L3278" s="50"/>
    </row>
    <row r="3279" spans="3:12" x14ac:dyDescent="0.3">
      <c r="C3279" s="47"/>
      <c r="H3279" s="49"/>
      <c r="K3279" s="72"/>
      <c r="L3279" s="50"/>
    </row>
    <row r="3280" spans="3:12" x14ac:dyDescent="0.3">
      <c r="C3280" s="47"/>
      <c r="H3280" s="49"/>
      <c r="K3280" s="72"/>
      <c r="L3280" s="50"/>
    </row>
    <row r="3281" spans="3:12" x14ac:dyDescent="0.3">
      <c r="C3281" s="47"/>
      <c r="H3281" s="49"/>
      <c r="K3281" s="72"/>
      <c r="L3281" s="50"/>
    </row>
    <row r="3282" spans="3:12" x14ac:dyDescent="0.3">
      <c r="C3282" s="47"/>
      <c r="H3282" s="49"/>
      <c r="K3282" s="72"/>
      <c r="L3282" s="50"/>
    </row>
    <row r="3283" spans="3:12" x14ac:dyDescent="0.3">
      <c r="C3283" s="47"/>
      <c r="H3283" s="49"/>
      <c r="K3283" s="72"/>
      <c r="L3283" s="50"/>
    </row>
    <row r="3284" spans="3:12" x14ac:dyDescent="0.3">
      <c r="C3284" s="47"/>
      <c r="H3284" s="49"/>
      <c r="K3284" s="72"/>
      <c r="L3284" s="50"/>
    </row>
    <row r="3285" spans="3:12" x14ac:dyDescent="0.3">
      <c r="C3285" s="47"/>
      <c r="H3285" s="49"/>
      <c r="K3285" s="72"/>
      <c r="L3285" s="50"/>
    </row>
    <row r="3286" spans="3:12" x14ac:dyDescent="0.3">
      <c r="C3286" s="47"/>
      <c r="H3286" s="49"/>
      <c r="K3286" s="72"/>
      <c r="L3286" s="50"/>
    </row>
    <row r="3287" spans="3:12" x14ac:dyDescent="0.3">
      <c r="C3287" s="47"/>
      <c r="H3287" s="49"/>
      <c r="K3287" s="72"/>
      <c r="L3287" s="50"/>
    </row>
    <row r="3288" spans="3:12" x14ac:dyDescent="0.3">
      <c r="C3288" s="47"/>
      <c r="H3288" s="49"/>
      <c r="K3288" s="72"/>
      <c r="L3288" s="50"/>
    </row>
    <row r="3289" spans="3:12" x14ac:dyDescent="0.3">
      <c r="C3289" s="47"/>
      <c r="H3289" s="49"/>
      <c r="K3289" s="72"/>
      <c r="L3289" s="50"/>
    </row>
    <row r="3290" spans="3:12" x14ac:dyDescent="0.3">
      <c r="C3290" s="47"/>
      <c r="H3290" s="49"/>
      <c r="K3290" s="72"/>
      <c r="L3290" s="50"/>
    </row>
    <row r="3291" spans="3:12" x14ac:dyDescent="0.3">
      <c r="C3291" s="47"/>
      <c r="H3291" s="49"/>
      <c r="K3291" s="72"/>
      <c r="L3291" s="50"/>
    </row>
    <row r="3292" spans="3:12" x14ac:dyDescent="0.3">
      <c r="C3292" s="47"/>
      <c r="H3292" s="49"/>
      <c r="K3292" s="72"/>
      <c r="L3292" s="50"/>
    </row>
    <row r="3293" spans="3:12" x14ac:dyDescent="0.3">
      <c r="C3293" s="47"/>
      <c r="H3293" s="49"/>
      <c r="K3293" s="72"/>
      <c r="L3293" s="50"/>
    </row>
    <row r="3294" spans="3:12" x14ac:dyDescent="0.3">
      <c r="C3294" s="47"/>
      <c r="H3294" s="49"/>
      <c r="K3294" s="72"/>
      <c r="L3294" s="50"/>
    </row>
    <row r="3295" spans="3:12" x14ac:dyDescent="0.3">
      <c r="C3295" s="47"/>
      <c r="H3295" s="49"/>
      <c r="K3295" s="72"/>
      <c r="L3295" s="50"/>
    </row>
    <row r="3296" spans="3:12" x14ac:dyDescent="0.3">
      <c r="C3296" s="47"/>
      <c r="H3296" s="49"/>
      <c r="K3296" s="72"/>
      <c r="L3296" s="50"/>
    </row>
    <row r="3297" spans="3:12" x14ac:dyDescent="0.3">
      <c r="C3297" s="47"/>
      <c r="H3297" s="49"/>
      <c r="K3297" s="72"/>
      <c r="L3297" s="50"/>
    </row>
    <row r="3298" spans="3:12" x14ac:dyDescent="0.3">
      <c r="C3298" s="47"/>
      <c r="H3298" s="49"/>
      <c r="K3298" s="72"/>
      <c r="L3298" s="50"/>
    </row>
    <row r="3299" spans="3:12" x14ac:dyDescent="0.3">
      <c r="C3299" s="47"/>
      <c r="H3299" s="49"/>
      <c r="K3299" s="72"/>
      <c r="L3299" s="50"/>
    </row>
    <row r="3300" spans="3:12" x14ac:dyDescent="0.3">
      <c r="C3300" s="47"/>
      <c r="H3300" s="49"/>
      <c r="K3300" s="72"/>
      <c r="L3300" s="50"/>
    </row>
    <row r="3301" spans="3:12" x14ac:dyDescent="0.3">
      <c r="C3301" s="47"/>
      <c r="H3301" s="49"/>
      <c r="K3301" s="72"/>
      <c r="L3301" s="50"/>
    </row>
    <row r="3302" spans="3:12" x14ac:dyDescent="0.3">
      <c r="C3302" s="47"/>
      <c r="H3302" s="49"/>
      <c r="K3302" s="72"/>
      <c r="L3302" s="50"/>
    </row>
    <row r="3303" spans="3:12" x14ac:dyDescent="0.3">
      <c r="C3303" s="47"/>
      <c r="H3303" s="49"/>
      <c r="K3303" s="72"/>
      <c r="L3303" s="50"/>
    </row>
    <row r="3304" spans="3:12" x14ac:dyDescent="0.3">
      <c r="C3304" s="47"/>
      <c r="H3304" s="49"/>
      <c r="K3304" s="72"/>
      <c r="L3304" s="50"/>
    </row>
    <row r="3305" spans="3:12" x14ac:dyDescent="0.3">
      <c r="C3305" s="47"/>
      <c r="H3305" s="49"/>
      <c r="K3305" s="72"/>
      <c r="L3305" s="50"/>
    </row>
    <row r="3306" spans="3:12" x14ac:dyDescent="0.3">
      <c r="C3306" s="47"/>
      <c r="H3306" s="49"/>
      <c r="K3306" s="72"/>
      <c r="L3306" s="50"/>
    </row>
    <row r="3307" spans="3:12" x14ac:dyDescent="0.3">
      <c r="C3307" s="47"/>
      <c r="H3307" s="49"/>
      <c r="K3307" s="72"/>
      <c r="L3307" s="50"/>
    </row>
    <row r="3308" spans="3:12" x14ac:dyDescent="0.3">
      <c r="C3308" s="47"/>
      <c r="H3308" s="49"/>
      <c r="K3308" s="72"/>
      <c r="L3308" s="50"/>
    </row>
    <row r="3309" spans="3:12" x14ac:dyDescent="0.3">
      <c r="C3309" s="47"/>
      <c r="H3309" s="49"/>
      <c r="K3309" s="72"/>
      <c r="L3309" s="50"/>
    </row>
    <row r="3310" spans="3:12" x14ac:dyDescent="0.3">
      <c r="C3310" s="47"/>
      <c r="H3310" s="49"/>
      <c r="K3310" s="72"/>
      <c r="L3310" s="50"/>
    </row>
    <row r="3311" spans="3:12" x14ac:dyDescent="0.3">
      <c r="C3311" s="47"/>
      <c r="H3311" s="49"/>
      <c r="K3311" s="72"/>
      <c r="L3311" s="50"/>
    </row>
    <row r="3312" spans="3:12" x14ac:dyDescent="0.3">
      <c r="C3312" s="47"/>
      <c r="H3312" s="49"/>
      <c r="K3312" s="72"/>
      <c r="L3312" s="50"/>
    </row>
    <row r="3313" spans="3:12" x14ac:dyDescent="0.3">
      <c r="C3313" s="47"/>
      <c r="H3313" s="49"/>
      <c r="K3313" s="72"/>
      <c r="L3313" s="50"/>
    </row>
    <row r="3314" spans="3:12" x14ac:dyDescent="0.3">
      <c r="C3314" s="47"/>
      <c r="H3314" s="49"/>
      <c r="K3314" s="72"/>
      <c r="L3314" s="50"/>
    </row>
    <row r="3315" spans="3:12" x14ac:dyDescent="0.3">
      <c r="C3315" s="47"/>
      <c r="H3315" s="49"/>
      <c r="K3315" s="72"/>
      <c r="L3315" s="50"/>
    </row>
    <row r="3316" spans="3:12" x14ac:dyDescent="0.3">
      <c r="C3316" s="47"/>
      <c r="H3316" s="49"/>
      <c r="K3316" s="72"/>
      <c r="L3316" s="50"/>
    </row>
    <row r="3317" spans="3:12" x14ac:dyDescent="0.3">
      <c r="C3317" s="47"/>
      <c r="H3317" s="49"/>
      <c r="K3317" s="72"/>
      <c r="L3317" s="50"/>
    </row>
    <row r="3318" spans="3:12" x14ac:dyDescent="0.3">
      <c r="C3318" s="47"/>
      <c r="H3318" s="49"/>
      <c r="K3318" s="72"/>
      <c r="L3318" s="50"/>
    </row>
    <row r="3319" spans="3:12" x14ac:dyDescent="0.3">
      <c r="C3319" s="47"/>
      <c r="H3319" s="49"/>
      <c r="K3319" s="72"/>
      <c r="L3319" s="50"/>
    </row>
    <row r="3320" spans="3:12" x14ac:dyDescent="0.3">
      <c r="C3320" s="47"/>
      <c r="H3320" s="49"/>
      <c r="K3320" s="72"/>
      <c r="L3320" s="50"/>
    </row>
    <row r="3321" spans="3:12" x14ac:dyDescent="0.3">
      <c r="C3321" s="47"/>
      <c r="H3321" s="49"/>
      <c r="K3321" s="72"/>
      <c r="L3321" s="50"/>
    </row>
    <row r="3322" spans="3:12" x14ac:dyDescent="0.3">
      <c r="C3322" s="47"/>
      <c r="H3322" s="49"/>
      <c r="K3322" s="72"/>
      <c r="L3322" s="50"/>
    </row>
    <row r="3323" spans="3:12" x14ac:dyDescent="0.3">
      <c r="C3323" s="47"/>
      <c r="H3323" s="49"/>
      <c r="K3323" s="72"/>
      <c r="L3323" s="50"/>
    </row>
    <row r="3324" spans="3:12" x14ac:dyDescent="0.3">
      <c r="C3324" s="47"/>
      <c r="H3324" s="49"/>
      <c r="K3324" s="72"/>
      <c r="L3324" s="50"/>
    </row>
    <row r="3325" spans="3:12" x14ac:dyDescent="0.3">
      <c r="C3325" s="47"/>
      <c r="H3325" s="49"/>
      <c r="K3325" s="72"/>
      <c r="L3325" s="50"/>
    </row>
    <row r="3326" spans="3:12" x14ac:dyDescent="0.3">
      <c r="C3326" s="47"/>
      <c r="H3326" s="49"/>
      <c r="K3326" s="72"/>
      <c r="L3326" s="50"/>
    </row>
    <row r="3327" spans="3:12" x14ac:dyDescent="0.3">
      <c r="C3327" s="47"/>
      <c r="H3327" s="49"/>
      <c r="K3327" s="72"/>
      <c r="L3327" s="50"/>
    </row>
    <row r="3328" spans="3:12" x14ac:dyDescent="0.3">
      <c r="C3328" s="47"/>
      <c r="H3328" s="49"/>
      <c r="K3328" s="72"/>
      <c r="L3328" s="50"/>
    </row>
    <row r="3329" spans="3:12" x14ac:dyDescent="0.3">
      <c r="C3329" s="47"/>
      <c r="H3329" s="49"/>
      <c r="K3329" s="72"/>
      <c r="L3329" s="50"/>
    </row>
    <row r="3330" spans="3:12" x14ac:dyDescent="0.3">
      <c r="C3330" s="47"/>
      <c r="H3330" s="49"/>
      <c r="K3330" s="72"/>
      <c r="L3330" s="50"/>
    </row>
    <row r="3331" spans="3:12" x14ac:dyDescent="0.3">
      <c r="C3331" s="47"/>
      <c r="H3331" s="49"/>
      <c r="K3331" s="72"/>
      <c r="L3331" s="50"/>
    </row>
    <row r="3332" spans="3:12" x14ac:dyDescent="0.3">
      <c r="C3332" s="47"/>
      <c r="H3332" s="49"/>
      <c r="K3332" s="72"/>
      <c r="L3332" s="50"/>
    </row>
    <row r="3333" spans="3:12" x14ac:dyDescent="0.3">
      <c r="C3333" s="47"/>
      <c r="H3333" s="49"/>
      <c r="K3333" s="72"/>
      <c r="L3333" s="50"/>
    </row>
    <row r="3334" spans="3:12" x14ac:dyDescent="0.3">
      <c r="C3334" s="47"/>
      <c r="H3334" s="49"/>
      <c r="K3334" s="72"/>
      <c r="L3334" s="50"/>
    </row>
    <row r="3335" spans="3:12" x14ac:dyDescent="0.3">
      <c r="C3335" s="47"/>
      <c r="H3335" s="49"/>
      <c r="K3335" s="72"/>
      <c r="L3335" s="50"/>
    </row>
    <row r="3336" spans="3:12" x14ac:dyDescent="0.3">
      <c r="C3336" s="47"/>
      <c r="H3336" s="49"/>
      <c r="K3336" s="72"/>
      <c r="L3336" s="50"/>
    </row>
    <row r="3337" spans="3:12" x14ac:dyDescent="0.3">
      <c r="C3337" s="47"/>
      <c r="H3337" s="49"/>
      <c r="K3337" s="72"/>
      <c r="L3337" s="50"/>
    </row>
    <row r="3338" spans="3:12" x14ac:dyDescent="0.3">
      <c r="C3338" s="47"/>
      <c r="H3338" s="49"/>
      <c r="K3338" s="72"/>
      <c r="L3338" s="50"/>
    </row>
    <row r="3339" spans="3:12" x14ac:dyDescent="0.3">
      <c r="C3339" s="47"/>
      <c r="H3339" s="49"/>
      <c r="K3339" s="72"/>
      <c r="L3339" s="50"/>
    </row>
    <row r="3340" spans="3:12" x14ac:dyDescent="0.3">
      <c r="C3340" s="47"/>
      <c r="H3340" s="49"/>
      <c r="K3340" s="72"/>
      <c r="L3340" s="50"/>
    </row>
    <row r="3341" spans="3:12" x14ac:dyDescent="0.3">
      <c r="C3341" s="47"/>
      <c r="H3341" s="49"/>
      <c r="K3341" s="72"/>
      <c r="L3341" s="50"/>
    </row>
    <row r="3342" spans="3:12" x14ac:dyDescent="0.3">
      <c r="C3342" s="47"/>
      <c r="H3342" s="49"/>
      <c r="K3342" s="72"/>
      <c r="L3342" s="50"/>
    </row>
    <row r="3343" spans="3:12" x14ac:dyDescent="0.3">
      <c r="C3343" s="47"/>
      <c r="H3343" s="49"/>
      <c r="K3343" s="72"/>
      <c r="L3343" s="50"/>
    </row>
    <row r="3344" spans="3:12" x14ac:dyDescent="0.3">
      <c r="C3344" s="47"/>
      <c r="H3344" s="49"/>
      <c r="K3344" s="72"/>
      <c r="L3344" s="50"/>
    </row>
    <row r="3345" spans="3:12" x14ac:dyDescent="0.3">
      <c r="C3345" s="47"/>
      <c r="H3345" s="49"/>
      <c r="K3345" s="72"/>
      <c r="L3345" s="50"/>
    </row>
    <row r="3346" spans="3:12" x14ac:dyDescent="0.3">
      <c r="C3346" s="47"/>
      <c r="H3346" s="49"/>
      <c r="K3346" s="72"/>
      <c r="L3346" s="50"/>
    </row>
    <row r="3347" spans="3:12" x14ac:dyDescent="0.3">
      <c r="C3347" s="47"/>
      <c r="H3347" s="49"/>
      <c r="K3347" s="72"/>
      <c r="L3347" s="50"/>
    </row>
    <row r="3348" spans="3:12" x14ac:dyDescent="0.3">
      <c r="C3348" s="47"/>
      <c r="H3348" s="49"/>
      <c r="K3348" s="72"/>
      <c r="L3348" s="50"/>
    </row>
    <row r="3349" spans="3:12" x14ac:dyDescent="0.3">
      <c r="C3349" s="47"/>
      <c r="H3349" s="49"/>
      <c r="K3349" s="72"/>
      <c r="L3349" s="50"/>
    </row>
    <row r="3350" spans="3:12" x14ac:dyDescent="0.3">
      <c r="C3350" s="47"/>
      <c r="H3350" s="49"/>
      <c r="K3350" s="72"/>
      <c r="L3350" s="50"/>
    </row>
    <row r="3351" spans="3:12" x14ac:dyDescent="0.3">
      <c r="C3351" s="47"/>
      <c r="H3351" s="49"/>
      <c r="K3351" s="72"/>
      <c r="L3351" s="50"/>
    </row>
    <row r="3352" spans="3:12" x14ac:dyDescent="0.3">
      <c r="C3352" s="47"/>
      <c r="H3352" s="49"/>
      <c r="K3352" s="72"/>
      <c r="L3352" s="50"/>
    </row>
    <row r="3353" spans="3:12" x14ac:dyDescent="0.3">
      <c r="C3353" s="47"/>
      <c r="H3353" s="49"/>
      <c r="K3353" s="72"/>
      <c r="L3353" s="50"/>
    </row>
    <row r="3354" spans="3:12" x14ac:dyDescent="0.3">
      <c r="C3354" s="47"/>
      <c r="H3354" s="49"/>
      <c r="K3354" s="72"/>
      <c r="L3354" s="50"/>
    </row>
    <row r="3355" spans="3:12" x14ac:dyDescent="0.3">
      <c r="C3355" s="47"/>
      <c r="H3355" s="49"/>
      <c r="K3355" s="72"/>
      <c r="L3355" s="50"/>
    </row>
    <row r="3356" spans="3:12" x14ac:dyDescent="0.3">
      <c r="C3356" s="47"/>
      <c r="H3356" s="49"/>
      <c r="K3356" s="72"/>
      <c r="L3356" s="50"/>
    </row>
    <row r="3357" spans="3:12" x14ac:dyDescent="0.3">
      <c r="C3357" s="47"/>
      <c r="H3357" s="49"/>
      <c r="K3357" s="72"/>
      <c r="L3357" s="50"/>
    </row>
    <row r="3358" spans="3:12" x14ac:dyDescent="0.3">
      <c r="C3358" s="47"/>
      <c r="H3358" s="49"/>
      <c r="K3358" s="72"/>
      <c r="L3358" s="50"/>
    </row>
    <row r="3359" spans="3:12" x14ac:dyDescent="0.3">
      <c r="C3359" s="47"/>
      <c r="H3359" s="49"/>
      <c r="K3359" s="72"/>
      <c r="L3359" s="50"/>
    </row>
    <row r="3360" spans="3:12" x14ac:dyDescent="0.3">
      <c r="C3360" s="47"/>
      <c r="H3360" s="49"/>
      <c r="K3360" s="72"/>
      <c r="L3360" s="50"/>
    </row>
    <row r="3361" spans="3:12" x14ac:dyDescent="0.3">
      <c r="C3361" s="47"/>
      <c r="H3361" s="49"/>
      <c r="K3361" s="72"/>
      <c r="L3361" s="50"/>
    </row>
    <row r="3362" spans="3:12" x14ac:dyDescent="0.3">
      <c r="C3362" s="47"/>
      <c r="H3362" s="49"/>
      <c r="K3362" s="72"/>
      <c r="L3362" s="50"/>
    </row>
    <row r="3363" spans="3:12" x14ac:dyDescent="0.3">
      <c r="C3363" s="47"/>
      <c r="H3363" s="49"/>
      <c r="K3363" s="72"/>
      <c r="L3363" s="50"/>
    </row>
    <row r="3364" spans="3:12" x14ac:dyDescent="0.3">
      <c r="C3364" s="47"/>
      <c r="H3364" s="49"/>
      <c r="K3364" s="72"/>
      <c r="L3364" s="50"/>
    </row>
    <row r="3365" spans="3:12" x14ac:dyDescent="0.3">
      <c r="C3365" s="47"/>
      <c r="H3365" s="49"/>
      <c r="K3365" s="72"/>
      <c r="L3365" s="50"/>
    </row>
    <row r="3366" spans="3:12" x14ac:dyDescent="0.3">
      <c r="C3366" s="47"/>
      <c r="H3366" s="49"/>
      <c r="K3366" s="72"/>
      <c r="L3366" s="50"/>
    </row>
    <row r="3367" spans="3:12" x14ac:dyDescent="0.3">
      <c r="C3367" s="47"/>
      <c r="H3367" s="49"/>
      <c r="K3367" s="72"/>
      <c r="L3367" s="50"/>
    </row>
    <row r="3368" spans="3:12" x14ac:dyDescent="0.3">
      <c r="C3368" s="47"/>
      <c r="H3368" s="49"/>
      <c r="K3368" s="72"/>
      <c r="L3368" s="50"/>
    </row>
    <row r="3369" spans="3:12" x14ac:dyDescent="0.3">
      <c r="C3369" s="47"/>
      <c r="H3369" s="49"/>
      <c r="K3369" s="72"/>
      <c r="L3369" s="50"/>
    </row>
    <row r="3370" spans="3:12" x14ac:dyDescent="0.3">
      <c r="C3370" s="47"/>
      <c r="H3370" s="49"/>
      <c r="K3370" s="72"/>
      <c r="L3370" s="50"/>
    </row>
    <row r="3371" spans="3:12" x14ac:dyDescent="0.3">
      <c r="C3371" s="47"/>
      <c r="H3371" s="49"/>
      <c r="K3371" s="72"/>
      <c r="L3371" s="50"/>
    </row>
    <row r="3372" spans="3:12" x14ac:dyDescent="0.3">
      <c r="C3372" s="47"/>
      <c r="H3372" s="49"/>
      <c r="K3372" s="72"/>
      <c r="L3372" s="50"/>
    </row>
    <row r="3373" spans="3:12" x14ac:dyDescent="0.3">
      <c r="C3373" s="47"/>
      <c r="H3373" s="49"/>
      <c r="K3373" s="72"/>
      <c r="L3373" s="50"/>
    </row>
    <row r="3374" spans="3:12" x14ac:dyDescent="0.3">
      <c r="C3374" s="47"/>
      <c r="H3374" s="49"/>
      <c r="K3374" s="72"/>
      <c r="L3374" s="50"/>
    </row>
    <row r="3375" spans="3:12" x14ac:dyDescent="0.3">
      <c r="C3375" s="47"/>
      <c r="H3375" s="49"/>
      <c r="K3375" s="72"/>
      <c r="L3375" s="50"/>
    </row>
    <row r="3376" spans="3:12" x14ac:dyDescent="0.3">
      <c r="C3376" s="47"/>
      <c r="H3376" s="49"/>
      <c r="K3376" s="72"/>
      <c r="L3376" s="50"/>
    </row>
    <row r="3377" spans="3:12" x14ac:dyDescent="0.3">
      <c r="C3377" s="47"/>
      <c r="H3377" s="49"/>
      <c r="K3377" s="72"/>
      <c r="L3377" s="50"/>
    </row>
    <row r="3378" spans="3:12" x14ac:dyDescent="0.3">
      <c r="C3378" s="47"/>
      <c r="H3378" s="49"/>
      <c r="K3378" s="72"/>
      <c r="L3378" s="50"/>
    </row>
    <row r="3379" spans="3:12" x14ac:dyDescent="0.3">
      <c r="C3379" s="47"/>
      <c r="H3379" s="49"/>
      <c r="K3379" s="72"/>
      <c r="L3379" s="50"/>
    </row>
    <row r="3380" spans="3:12" x14ac:dyDescent="0.3">
      <c r="C3380" s="47"/>
      <c r="H3380" s="49"/>
      <c r="K3380" s="72"/>
      <c r="L3380" s="50"/>
    </row>
    <row r="3381" spans="3:12" x14ac:dyDescent="0.3">
      <c r="C3381" s="47"/>
      <c r="H3381" s="49"/>
      <c r="K3381" s="72"/>
      <c r="L3381" s="50"/>
    </row>
    <row r="3382" spans="3:12" x14ac:dyDescent="0.3">
      <c r="C3382" s="47"/>
      <c r="H3382" s="49"/>
      <c r="K3382" s="72"/>
      <c r="L3382" s="50"/>
    </row>
    <row r="3383" spans="3:12" x14ac:dyDescent="0.3">
      <c r="C3383" s="47"/>
      <c r="H3383" s="49"/>
      <c r="K3383" s="72"/>
      <c r="L3383" s="50"/>
    </row>
    <row r="3384" spans="3:12" x14ac:dyDescent="0.3">
      <c r="C3384" s="47"/>
      <c r="H3384" s="49"/>
      <c r="K3384" s="72"/>
      <c r="L3384" s="50"/>
    </row>
    <row r="3385" spans="3:12" x14ac:dyDescent="0.3">
      <c r="C3385" s="47"/>
      <c r="H3385" s="49"/>
      <c r="K3385" s="72"/>
      <c r="L3385" s="50"/>
    </row>
    <row r="3386" spans="3:12" x14ac:dyDescent="0.3">
      <c r="C3386" s="47"/>
      <c r="H3386" s="49"/>
      <c r="K3386" s="72"/>
      <c r="L3386" s="50"/>
    </row>
    <row r="3387" spans="3:12" x14ac:dyDescent="0.3">
      <c r="C3387" s="47"/>
      <c r="H3387" s="49"/>
      <c r="K3387" s="72"/>
      <c r="L3387" s="50"/>
    </row>
    <row r="3388" spans="3:12" x14ac:dyDescent="0.3">
      <c r="C3388" s="47"/>
      <c r="H3388" s="49"/>
      <c r="K3388" s="72"/>
      <c r="L3388" s="50"/>
    </row>
    <row r="3389" spans="3:12" x14ac:dyDescent="0.3">
      <c r="C3389" s="47"/>
      <c r="H3389" s="49"/>
      <c r="K3389" s="72"/>
      <c r="L3389" s="50"/>
    </row>
    <row r="3390" spans="3:12" x14ac:dyDescent="0.3">
      <c r="C3390" s="47"/>
      <c r="H3390" s="49"/>
      <c r="K3390" s="72"/>
      <c r="L3390" s="50"/>
    </row>
    <row r="3391" spans="3:12" x14ac:dyDescent="0.3">
      <c r="C3391" s="47"/>
      <c r="H3391" s="49"/>
      <c r="K3391" s="72"/>
      <c r="L3391" s="50"/>
    </row>
    <row r="3392" spans="3:12" x14ac:dyDescent="0.3">
      <c r="C3392" s="47"/>
      <c r="H3392" s="49"/>
      <c r="K3392" s="72"/>
      <c r="L3392" s="50"/>
    </row>
    <row r="3393" spans="3:12" x14ac:dyDescent="0.3">
      <c r="C3393" s="47"/>
      <c r="H3393" s="49"/>
      <c r="K3393" s="72"/>
      <c r="L3393" s="50"/>
    </row>
    <row r="3394" spans="3:12" x14ac:dyDescent="0.3">
      <c r="C3394" s="47"/>
      <c r="H3394" s="49"/>
      <c r="K3394" s="72"/>
      <c r="L3394" s="50"/>
    </row>
    <row r="3395" spans="3:12" x14ac:dyDescent="0.3">
      <c r="C3395" s="47"/>
      <c r="H3395" s="49"/>
      <c r="K3395" s="72"/>
      <c r="L3395" s="50"/>
    </row>
    <row r="3396" spans="3:12" x14ac:dyDescent="0.3">
      <c r="C3396" s="47"/>
      <c r="H3396" s="49"/>
      <c r="K3396" s="72"/>
      <c r="L3396" s="50"/>
    </row>
    <row r="3397" spans="3:12" x14ac:dyDescent="0.3">
      <c r="C3397" s="47"/>
      <c r="H3397" s="49"/>
      <c r="K3397" s="72"/>
      <c r="L3397" s="50"/>
    </row>
    <row r="3398" spans="3:12" x14ac:dyDescent="0.3">
      <c r="C3398" s="47"/>
      <c r="H3398" s="49"/>
      <c r="K3398" s="72"/>
      <c r="L3398" s="50"/>
    </row>
    <row r="3399" spans="3:12" x14ac:dyDescent="0.3">
      <c r="C3399" s="47"/>
      <c r="H3399" s="49"/>
      <c r="K3399" s="72"/>
      <c r="L3399" s="50"/>
    </row>
    <row r="3400" spans="3:12" x14ac:dyDescent="0.3">
      <c r="C3400" s="47"/>
      <c r="H3400" s="49"/>
      <c r="K3400" s="72"/>
      <c r="L3400" s="50"/>
    </row>
    <row r="3401" spans="3:12" x14ac:dyDescent="0.3">
      <c r="C3401" s="47"/>
      <c r="H3401" s="49"/>
      <c r="K3401" s="72"/>
      <c r="L3401" s="50"/>
    </row>
    <row r="3402" spans="3:12" x14ac:dyDescent="0.3">
      <c r="C3402" s="47"/>
      <c r="H3402" s="49"/>
      <c r="K3402" s="72"/>
      <c r="L3402" s="50"/>
    </row>
    <row r="3403" spans="3:12" x14ac:dyDescent="0.3">
      <c r="C3403" s="47"/>
      <c r="H3403" s="49"/>
      <c r="K3403" s="72"/>
      <c r="L3403" s="50"/>
    </row>
    <row r="3404" spans="3:12" x14ac:dyDescent="0.3">
      <c r="C3404" s="47"/>
      <c r="H3404" s="49"/>
      <c r="K3404" s="72"/>
      <c r="L3404" s="50"/>
    </row>
    <row r="3405" spans="3:12" x14ac:dyDescent="0.3">
      <c r="C3405" s="47"/>
      <c r="H3405" s="49"/>
      <c r="K3405" s="72"/>
      <c r="L3405" s="50"/>
    </row>
    <row r="3406" spans="3:12" x14ac:dyDescent="0.3">
      <c r="C3406" s="47"/>
      <c r="H3406" s="49"/>
      <c r="K3406" s="72"/>
      <c r="L3406" s="50"/>
    </row>
    <row r="3407" spans="3:12" x14ac:dyDescent="0.3">
      <c r="C3407" s="47"/>
      <c r="H3407" s="49"/>
      <c r="K3407" s="72"/>
      <c r="L3407" s="50"/>
    </row>
    <row r="3408" spans="3:12" x14ac:dyDescent="0.3">
      <c r="C3408" s="47"/>
      <c r="H3408" s="49"/>
      <c r="K3408" s="72"/>
      <c r="L3408" s="50"/>
    </row>
    <row r="3409" spans="3:12" x14ac:dyDescent="0.3">
      <c r="C3409" s="47"/>
      <c r="H3409" s="49"/>
      <c r="K3409" s="72"/>
      <c r="L3409" s="50"/>
    </row>
    <row r="3410" spans="3:12" x14ac:dyDescent="0.3">
      <c r="C3410" s="47"/>
      <c r="H3410" s="49"/>
      <c r="K3410" s="72"/>
      <c r="L3410" s="50"/>
    </row>
    <row r="3411" spans="3:12" x14ac:dyDescent="0.3">
      <c r="C3411" s="47"/>
      <c r="H3411" s="49"/>
      <c r="K3411" s="72"/>
      <c r="L3411" s="50"/>
    </row>
    <row r="3412" spans="3:12" x14ac:dyDescent="0.3">
      <c r="C3412" s="47"/>
      <c r="H3412" s="49"/>
      <c r="K3412" s="72"/>
      <c r="L3412" s="50"/>
    </row>
    <row r="3413" spans="3:12" x14ac:dyDescent="0.3">
      <c r="C3413" s="47"/>
      <c r="H3413" s="49"/>
      <c r="K3413" s="72"/>
      <c r="L3413" s="50"/>
    </row>
    <row r="3414" spans="3:12" x14ac:dyDescent="0.3">
      <c r="C3414" s="47"/>
      <c r="H3414" s="49"/>
      <c r="K3414" s="72"/>
      <c r="L3414" s="50"/>
    </row>
    <row r="3415" spans="3:12" x14ac:dyDescent="0.3">
      <c r="C3415" s="47"/>
      <c r="H3415" s="49"/>
      <c r="K3415" s="72"/>
      <c r="L3415" s="50"/>
    </row>
    <row r="3416" spans="3:12" x14ac:dyDescent="0.3">
      <c r="C3416" s="47"/>
      <c r="H3416" s="49"/>
      <c r="K3416" s="72"/>
      <c r="L3416" s="50"/>
    </row>
    <row r="3417" spans="3:12" x14ac:dyDescent="0.3">
      <c r="C3417" s="47"/>
      <c r="H3417" s="49"/>
      <c r="K3417" s="72"/>
      <c r="L3417" s="50"/>
    </row>
    <row r="3418" spans="3:12" x14ac:dyDescent="0.3">
      <c r="C3418" s="47"/>
      <c r="H3418" s="49"/>
      <c r="K3418" s="72"/>
      <c r="L3418" s="50"/>
    </row>
    <row r="3419" spans="3:12" x14ac:dyDescent="0.3">
      <c r="C3419" s="47"/>
      <c r="H3419" s="49"/>
      <c r="K3419" s="72"/>
      <c r="L3419" s="50"/>
    </row>
    <row r="3420" spans="3:12" x14ac:dyDescent="0.3">
      <c r="C3420" s="47"/>
      <c r="H3420" s="49"/>
      <c r="K3420" s="72"/>
      <c r="L3420" s="50"/>
    </row>
    <row r="3421" spans="3:12" x14ac:dyDescent="0.3">
      <c r="C3421" s="47"/>
      <c r="H3421" s="49"/>
      <c r="K3421" s="72"/>
      <c r="L3421" s="50"/>
    </row>
    <row r="3422" spans="3:12" x14ac:dyDescent="0.3">
      <c r="C3422" s="47"/>
      <c r="H3422" s="49"/>
      <c r="K3422" s="72"/>
      <c r="L3422" s="50"/>
    </row>
    <row r="3423" spans="3:12" x14ac:dyDescent="0.3">
      <c r="C3423" s="47"/>
      <c r="H3423" s="49"/>
      <c r="K3423" s="72"/>
      <c r="L3423" s="50"/>
    </row>
    <row r="3424" spans="3:12" x14ac:dyDescent="0.3">
      <c r="C3424" s="47"/>
      <c r="H3424" s="49"/>
      <c r="K3424" s="72"/>
      <c r="L3424" s="50"/>
    </row>
    <row r="3425" spans="3:12" x14ac:dyDescent="0.3">
      <c r="C3425" s="47"/>
      <c r="H3425" s="49"/>
      <c r="K3425" s="72"/>
      <c r="L3425" s="50"/>
    </row>
    <row r="3426" spans="3:12" x14ac:dyDescent="0.3">
      <c r="C3426" s="47"/>
      <c r="H3426" s="49"/>
      <c r="K3426" s="72"/>
      <c r="L3426" s="50"/>
    </row>
    <row r="3427" spans="3:12" x14ac:dyDescent="0.3">
      <c r="C3427" s="47"/>
      <c r="H3427" s="49"/>
      <c r="K3427" s="72"/>
      <c r="L3427" s="50"/>
    </row>
    <row r="3428" spans="3:12" x14ac:dyDescent="0.3">
      <c r="C3428" s="47"/>
      <c r="H3428" s="49"/>
      <c r="K3428" s="72"/>
      <c r="L3428" s="50"/>
    </row>
    <row r="3429" spans="3:12" x14ac:dyDescent="0.3">
      <c r="C3429" s="47"/>
      <c r="H3429" s="49"/>
      <c r="K3429" s="72"/>
      <c r="L3429" s="50"/>
    </row>
    <row r="3430" spans="3:12" x14ac:dyDescent="0.3">
      <c r="C3430" s="47"/>
      <c r="H3430" s="49"/>
      <c r="K3430" s="72"/>
      <c r="L3430" s="50"/>
    </row>
    <row r="3431" spans="3:12" x14ac:dyDescent="0.3">
      <c r="C3431" s="47"/>
      <c r="H3431" s="49"/>
      <c r="K3431" s="72"/>
      <c r="L3431" s="50"/>
    </row>
    <row r="3432" spans="3:12" x14ac:dyDescent="0.3">
      <c r="C3432" s="47"/>
      <c r="H3432" s="49"/>
      <c r="K3432" s="72"/>
      <c r="L3432" s="50"/>
    </row>
    <row r="3433" spans="3:12" x14ac:dyDescent="0.3">
      <c r="C3433" s="47"/>
      <c r="H3433" s="49"/>
      <c r="K3433" s="72"/>
      <c r="L3433" s="50"/>
    </row>
    <row r="3434" spans="3:12" x14ac:dyDescent="0.3">
      <c r="C3434" s="47"/>
      <c r="H3434" s="49"/>
      <c r="K3434" s="72"/>
      <c r="L3434" s="50"/>
    </row>
    <row r="3435" spans="3:12" x14ac:dyDescent="0.3">
      <c r="C3435" s="47"/>
      <c r="H3435" s="49"/>
      <c r="K3435" s="72"/>
      <c r="L3435" s="50"/>
    </row>
    <row r="3436" spans="3:12" x14ac:dyDescent="0.3">
      <c r="C3436" s="47"/>
      <c r="H3436" s="49"/>
      <c r="K3436" s="72"/>
      <c r="L3436" s="50"/>
    </row>
    <row r="3437" spans="3:12" x14ac:dyDescent="0.3">
      <c r="C3437" s="47"/>
      <c r="H3437" s="49"/>
      <c r="K3437" s="72"/>
      <c r="L3437" s="50"/>
    </row>
    <row r="3438" spans="3:12" x14ac:dyDescent="0.3">
      <c r="C3438" s="47"/>
      <c r="H3438" s="49"/>
      <c r="K3438" s="72"/>
      <c r="L3438" s="50"/>
    </row>
    <row r="3439" spans="3:12" x14ac:dyDescent="0.3">
      <c r="C3439" s="47"/>
      <c r="H3439" s="49"/>
      <c r="K3439" s="72"/>
      <c r="L3439" s="50"/>
    </row>
    <row r="3440" spans="3:12" x14ac:dyDescent="0.3">
      <c r="C3440" s="47"/>
      <c r="H3440" s="49"/>
      <c r="K3440" s="72"/>
      <c r="L3440" s="50"/>
    </row>
    <row r="3441" spans="3:12" x14ac:dyDescent="0.3">
      <c r="C3441" s="47"/>
      <c r="H3441" s="49"/>
      <c r="K3441" s="72"/>
      <c r="L3441" s="50"/>
    </row>
    <row r="3442" spans="3:12" x14ac:dyDescent="0.3">
      <c r="C3442" s="47"/>
      <c r="H3442" s="49"/>
      <c r="K3442" s="72"/>
      <c r="L3442" s="50"/>
    </row>
    <row r="3443" spans="3:12" x14ac:dyDescent="0.3">
      <c r="C3443" s="47"/>
      <c r="H3443" s="49"/>
      <c r="K3443" s="72"/>
      <c r="L3443" s="50"/>
    </row>
    <row r="3444" spans="3:12" x14ac:dyDescent="0.3">
      <c r="C3444" s="47"/>
      <c r="H3444" s="49"/>
      <c r="K3444" s="72"/>
      <c r="L3444" s="50"/>
    </row>
    <row r="3445" spans="3:12" x14ac:dyDescent="0.3">
      <c r="C3445" s="47"/>
      <c r="H3445" s="49"/>
      <c r="K3445" s="72"/>
      <c r="L3445" s="50"/>
    </row>
    <row r="3446" spans="3:12" x14ac:dyDescent="0.3">
      <c r="C3446" s="47"/>
      <c r="H3446" s="49"/>
      <c r="K3446" s="72"/>
      <c r="L3446" s="50"/>
    </row>
    <row r="3447" spans="3:12" x14ac:dyDescent="0.3">
      <c r="C3447" s="47"/>
      <c r="H3447" s="49"/>
      <c r="K3447" s="72"/>
      <c r="L3447" s="50"/>
    </row>
    <row r="3448" spans="3:12" x14ac:dyDescent="0.3">
      <c r="C3448" s="47"/>
      <c r="H3448" s="49"/>
      <c r="K3448" s="72"/>
      <c r="L3448" s="50"/>
    </row>
    <row r="3449" spans="3:12" x14ac:dyDescent="0.3">
      <c r="C3449" s="47"/>
      <c r="H3449" s="49"/>
      <c r="K3449" s="72"/>
      <c r="L3449" s="50"/>
    </row>
    <row r="3450" spans="3:12" x14ac:dyDescent="0.3">
      <c r="C3450" s="47"/>
      <c r="H3450" s="49"/>
      <c r="K3450" s="72"/>
      <c r="L3450" s="50"/>
    </row>
    <row r="3451" spans="3:12" x14ac:dyDescent="0.3">
      <c r="C3451" s="47"/>
      <c r="H3451" s="49"/>
      <c r="K3451" s="72"/>
      <c r="L3451" s="50"/>
    </row>
    <row r="3452" spans="3:12" x14ac:dyDescent="0.3">
      <c r="C3452" s="47"/>
      <c r="H3452" s="49"/>
      <c r="K3452" s="72"/>
      <c r="L3452" s="50"/>
    </row>
    <row r="3453" spans="3:12" x14ac:dyDescent="0.3">
      <c r="C3453" s="47"/>
      <c r="H3453" s="49"/>
      <c r="K3453" s="72"/>
      <c r="L3453" s="50"/>
    </row>
    <row r="3454" spans="3:12" x14ac:dyDescent="0.3">
      <c r="C3454" s="47"/>
      <c r="H3454" s="49"/>
      <c r="K3454" s="72"/>
      <c r="L3454" s="50"/>
    </row>
    <row r="3455" spans="3:12" x14ac:dyDescent="0.3">
      <c r="C3455" s="47"/>
      <c r="H3455" s="49"/>
      <c r="K3455" s="72"/>
      <c r="L3455" s="50"/>
    </row>
    <row r="3456" spans="3:12" x14ac:dyDescent="0.3">
      <c r="C3456" s="47"/>
      <c r="H3456" s="49"/>
      <c r="K3456" s="72"/>
      <c r="L3456" s="50"/>
    </row>
    <row r="3457" spans="3:12" x14ac:dyDescent="0.3">
      <c r="C3457" s="47"/>
      <c r="H3457" s="49"/>
      <c r="K3457" s="72"/>
      <c r="L3457" s="50"/>
    </row>
    <row r="3458" spans="3:12" x14ac:dyDescent="0.3">
      <c r="C3458" s="47"/>
      <c r="H3458" s="49"/>
      <c r="K3458" s="72"/>
      <c r="L3458" s="50"/>
    </row>
    <row r="3459" spans="3:12" x14ac:dyDescent="0.3">
      <c r="C3459" s="47"/>
      <c r="H3459" s="49"/>
      <c r="K3459" s="72"/>
      <c r="L3459" s="50"/>
    </row>
    <row r="3460" spans="3:12" x14ac:dyDescent="0.3">
      <c r="C3460" s="47"/>
      <c r="H3460" s="49"/>
      <c r="K3460" s="72"/>
      <c r="L3460" s="50"/>
    </row>
    <row r="3461" spans="3:12" x14ac:dyDescent="0.3">
      <c r="C3461" s="47"/>
      <c r="H3461" s="49"/>
      <c r="K3461" s="72"/>
      <c r="L3461" s="50"/>
    </row>
    <row r="3462" spans="3:12" x14ac:dyDescent="0.3">
      <c r="C3462" s="47"/>
      <c r="H3462" s="49"/>
      <c r="K3462" s="72"/>
      <c r="L3462" s="50"/>
    </row>
    <row r="3463" spans="3:12" x14ac:dyDescent="0.3">
      <c r="C3463" s="47"/>
      <c r="H3463" s="49"/>
      <c r="K3463" s="72"/>
      <c r="L3463" s="50"/>
    </row>
    <row r="3464" spans="3:12" x14ac:dyDescent="0.3">
      <c r="C3464" s="47"/>
      <c r="H3464" s="49"/>
      <c r="K3464" s="72"/>
      <c r="L3464" s="50"/>
    </row>
    <row r="3465" spans="3:12" x14ac:dyDescent="0.3">
      <c r="C3465" s="47"/>
      <c r="H3465" s="49"/>
      <c r="K3465" s="72"/>
      <c r="L3465" s="50"/>
    </row>
    <row r="3466" spans="3:12" x14ac:dyDescent="0.3">
      <c r="C3466" s="47"/>
      <c r="H3466" s="49"/>
      <c r="K3466" s="72"/>
      <c r="L3466" s="50"/>
    </row>
    <row r="3467" spans="3:12" x14ac:dyDescent="0.3">
      <c r="C3467" s="47"/>
      <c r="H3467" s="49"/>
      <c r="K3467" s="72"/>
      <c r="L3467" s="50"/>
    </row>
    <row r="3468" spans="3:12" x14ac:dyDescent="0.3">
      <c r="C3468" s="47"/>
      <c r="H3468" s="49"/>
      <c r="K3468" s="72"/>
      <c r="L3468" s="50"/>
    </row>
    <row r="3469" spans="3:12" x14ac:dyDescent="0.3">
      <c r="C3469" s="47"/>
      <c r="H3469" s="49"/>
      <c r="K3469" s="72"/>
      <c r="L3469" s="50"/>
    </row>
    <row r="3470" spans="3:12" x14ac:dyDescent="0.3">
      <c r="C3470" s="47"/>
      <c r="H3470" s="49"/>
      <c r="K3470" s="72"/>
      <c r="L3470" s="50"/>
    </row>
    <row r="3471" spans="3:12" x14ac:dyDescent="0.3">
      <c r="C3471" s="47"/>
      <c r="H3471" s="49"/>
      <c r="K3471" s="72"/>
      <c r="L3471" s="50"/>
    </row>
    <row r="3472" spans="3:12" x14ac:dyDescent="0.3">
      <c r="C3472" s="47"/>
      <c r="H3472" s="49"/>
      <c r="K3472" s="72"/>
      <c r="L3472" s="50"/>
    </row>
    <row r="3473" spans="3:12" x14ac:dyDescent="0.3">
      <c r="C3473" s="47"/>
      <c r="H3473" s="49"/>
      <c r="K3473" s="72"/>
      <c r="L3473" s="50"/>
    </row>
    <row r="3474" spans="3:12" x14ac:dyDescent="0.3">
      <c r="C3474" s="47"/>
      <c r="H3474" s="49"/>
      <c r="K3474" s="72"/>
      <c r="L3474" s="50"/>
    </row>
    <row r="3475" spans="3:12" x14ac:dyDescent="0.3">
      <c r="C3475" s="47"/>
      <c r="H3475" s="49"/>
      <c r="K3475" s="72"/>
      <c r="L3475" s="50"/>
    </row>
    <row r="3476" spans="3:12" x14ac:dyDescent="0.3">
      <c r="C3476" s="47"/>
      <c r="H3476" s="49"/>
      <c r="K3476" s="72"/>
      <c r="L3476" s="50"/>
    </row>
    <row r="3477" spans="3:12" x14ac:dyDescent="0.3">
      <c r="C3477" s="47"/>
      <c r="H3477" s="49"/>
      <c r="K3477" s="72"/>
      <c r="L3477" s="50"/>
    </row>
    <row r="3478" spans="3:12" x14ac:dyDescent="0.3">
      <c r="C3478" s="47"/>
      <c r="H3478" s="49"/>
      <c r="K3478" s="72"/>
      <c r="L3478" s="50"/>
    </row>
    <row r="3479" spans="3:12" x14ac:dyDescent="0.3">
      <c r="C3479" s="47"/>
      <c r="H3479" s="49"/>
      <c r="K3479" s="72"/>
      <c r="L3479" s="50"/>
    </row>
    <row r="3480" spans="3:12" x14ac:dyDescent="0.3">
      <c r="C3480" s="47"/>
      <c r="H3480" s="49"/>
      <c r="K3480" s="72"/>
      <c r="L3480" s="50"/>
    </row>
    <row r="3481" spans="3:12" x14ac:dyDescent="0.3">
      <c r="C3481" s="47"/>
      <c r="H3481" s="49"/>
      <c r="K3481" s="72"/>
      <c r="L3481" s="50"/>
    </row>
    <row r="3482" spans="3:12" x14ac:dyDescent="0.3">
      <c r="C3482" s="47"/>
      <c r="H3482" s="49"/>
      <c r="K3482" s="72"/>
      <c r="L3482" s="50"/>
    </row>
    <row r="3483" spans="3:12" x14ac:dyDescent="0.3">
      <c r="C3483" s="47"/>
      <c r="H3483" s="49"/>
      <c r="K3483" s="72"/>
      <c r="L3483" s="50"/>
    </row>
    <row r="3484" spans="3:12" x14ac:dyDescent="0.3">
      <c r="C3484" s="47"/>
      <c r="H3484" s="49"/>
      <c r="K3484" s="72"/>
      <c r="L3484" s="50"/>
    </row>
    <row r="3485" spans="3:12" x14ac:dyDescent="0.3">
      <c r="C3485" s="47"/>
      <c r="H3485" s="49"/>
      <c r="K3485" s="72"/>
      <c r="L3485" s="50"/>
    </row>
    <row r="3486" spans="3:12" x14ac:dyDescent="0.3">
      <c r="C3486" s="47"/>
      <c r="H3486" s="49"/>
      <c r="K3486" s="72"/>
      <c r="L3486" s="50"/>
    </row>
    <row r="3487" spans="3:12" x14ac:dyDescent="0.3">
      <c r="C3487" s="47"/>
      <c r="H3487" s="49"/>
      <c r="K3487" s="72"/>
      <c r="L3487" s="50"/>
    </row>
    <row r="3488" spans="3:12" x14ac:dyDescent="0.3">
      <c r="C3488" s="47"/>
      <c r="H3488" s="49"/>
      <c r="K3488" s="72"/>
      <c r="L3488" s="50"/>
    </row>
    <row r="3489" spans="3:12" x14ac:dyDescent="0.3">
      <c r="C3489" s="47"/>
      <c r="H3489" s="49"/>
      <c r="K3489" s="72"/>
      <c r="L3489" s="50"/>
    </row>
    <row r="3490" spans="3:12" x14ac:dyDescent="0.3">
      <c r="C3490" s="47"/>
      <c r="H3490" s="49"/>
      <c r="K3490" s="72"/>
      <c r="L3490" s="50"/>
    </row>
    <row r="3491" spans="3:12" x14ac:dyDescent="0.3">
      <c r="C3491" s="47"/>
      <c r="H3491" s="49"/>
      <c r="K3491" s="72"/>
      <c r="L3491" s="50"/>
    </row>
    <row r="3492" spans="3:12" x14ac:dyDescent="0.3">
      <c r="C3492" s="47"/>
      <c r="H3492" s="49"/>
      <c r="K3492" s="72"/>
      <c r="L3492" s="50"/>
    </row>
    <row r="3493" spans="3:12" x14ac:dyDescent="0.3">
      <c r="C3493" s="47"/>
      <c r="H3493" s="49"/>
      <c r="K3493" s="72"/>
      <c r="L3493" s="50"/>
    </row>
    <row r="3494" spans="3:12" x14ac:dyDescent="0.3">
      <c r="C3494" s="47"/>
      <c r="H3494" s="49"/>
      <c r="K3494" s="72"/>
      <c r="L3494" s="50"/>
    </row>
    <row r="3495" spans="3:12" x14ac:dyDescent="0.3">
      <c r="C3495" s="47"/>
      <c r="H3495" s="49"/>
      <c r="K3495" s="72"/>
      <c r="L3495" s="50"/>
    </row>
    <row r="3496" spans="3:12" x14ac:dyDescent="0.3">
      <c r="C3496" s="47"/>
      <c r="H3496" s="49"/>
      <c r="K3496" s="72"/>
      <c r="L3496" s="50"/>
    </row>
    <row r="3497" spans="3:12" x14ac:dyDescent="0.3">
      <c r="C3497" s="47"/>
      <c r="H3497" s="49"/>
      <c r="K3497" s="72"/>
      <c r="L3497" s="50"/>
    </row>
    <row r="3498" spans="3:12" x14ac:dyDescent="0.3">
      <c r="C3498" s="47"/>
      <c r="H3498" s="49"/>
      <c r="K3498" s="72"/>
      <c r="L3498" s="50"/>
    </row>
    <row r="3499" spans="3:12" x14ac:dyDescent="0.3">
      <c r="C3499" s="47"/>
      <c r="H3499" s="49"/>
      <c r="K3499" s="72"/>
      <c r="L3499" s="50"/>
    </row>
    <row r="3500" spans="3:12" x14ac:dyDescent="0.3">
      <c r="C3500" s="47"/>
      <c r="H3500" s="49"/>
      <c r="K3500" s="72"/>
      <c r="L3500" s="50"/>
    </row>
    <row r="3501" spans="3:12" x14ac:dyDescent="0.3">
      <c r="C3501" s="47"/>
      <c r="H3501" s="49"/>
      <c r="K3501" s="72"/>
      <c r="L3501" s="50"/>
    </row>
    <row r="3502" spans="3:12" x14ac:dyDescent="0.3">
      <c r="C3502" s="47"/>
      <c r="H3502" s="49"/>
      <c r="K3502" s="72"/>
      <c r="L3502" s="50"/>
    </row>
    <row r="3503" spans="3:12" x14ac:dyDescent="0.3">
      <c r="C3503" s="47"/>
      <c r="H3503" s="49"/>
      <c r="K3503" s="72"/>
      <c r="L3503" s="50"/>
    </row>
    <row r="3504" spans="3:12" x14ac:dyDescent="0.3">
      <c r="C3504" s="47"/>
      <c r="H3504" s="49"/>
      <c r="K3504" s="72"/>
      <c r="L3504" s="50"/>
    </row>
    <row r="3505" spans="3:12" x14ac:dyDescent="0.3">
      <c r="C3505" s="47"/>
      <c r="H3505" s="49"/>
      <c r="K3505" s="72"/>
      <c r="L3505" s="50"/>
    </row>
    <row r="3506" spans="3:12" x14ac:dyDescent="0.3">
      <c r="C3506" s="47"/>
      <c r="H3506" s="49"/>
      <c r="K3506" s="72"/>
      <c r="L3506" s="50"/>
    </row>
    <row r="3507" spans="3:12" x14ac:dyDescent="0.3">
      <c r="C3507" s="47"/>
      <c r="H3507" s="49"/>
      <c r="K3507" s="72"/>
      <c r="L3507" s="50"/>
    </row>
    <row r="3508" spans="3:12" x14ac:dyDescent="0.3">
      <c r="C3508" s="47"/>
      <c r="H3508" s="49"/>
      <c r="K3508" s="72"/>
      <c r="L3508" s="50"/>
    </row>
    <row r="3509" spans="3:12" x14ac:dyDescent="0.3">
      <c r="C3509" s="47"/>
      <c r="H3509" s="49"/>
      <c r="K3509" s="72"/>
      <c r="L3509" s="50"/>
    </row>
    <row r="3510" spans="3:12" x14ac:dyDescent="0.3">
      <c r="C3510" s="47"/>
      <c r="H3510" s="49"/>
      <c r="K3510" s="72"/>
      <c r="L3510" s="50"/>
    </row>
    <row r="3511" spans="3:12" x14ac:dyDescent="0.3">
      <c r="C3511" s="47"/>
      <c r="H3511" s="49"/>
      <c r="K3511" s="72"/>
      <c r="L3511" s="50"/>
    </row>
    <row r="3512" spans="3:12" x14ac:dyDescent="0.3">
      <c r="C3512" s="47"/>
      <c r="H3512" s="49"/>
      <c r="K3512" s="72"/>
      <c r="L3512" s="50"/>
    </row>
    <row r="3513" spans="3:12" x14ac:dyDescent="0.3">
      <c r="C3513" s="47"/>
      <c r="H3513" s="49"/>
      <c r="K3513" s="72"/>
      <c r="L3513" s="50"/>
    </row>
    <row r="3514" spans="3:12" x14ac:dyDescent="0.3">
      <c r="C3514" s="47"/>
      <c r="H3514" s="49"/>
      <c r="K3514" s="72"/>
      <c r="L3514" s="50"/>
    </row>
    <row r="3515" spans="3:12" x14ac:dyDescent="0.3">
      <c r="C3515" s="47"/>
      <c r="H3515" s="49"/>
      <c r="K3515" s="72"/>
      <c r="L3515" s="50"/>
    </row>
    <row r="3516" spans="3:12" x14ac:dyDescent="0.3">
      <c r="C3516" s="47"/>
      <c r="H3516" s="49"/>
      <c r="K3516" s="72"/>
      <c r="L3516" s="50"/>
    </row>
    <row r="3517" spans="3:12" x14ac:dyDescent="0.3">
      <c r="C3517" s="47"/>
      <c r="H3517" s="49"/>
      <c r="K3517" s="72"/>
      <c r="L3517" s="50"/>
    </row>
    <row r="3518" spans="3:12" x14ac:dyDescent="0.3">
      <c r="C3518" s="47"/>
      <c r="H3518" s="49"/>
      <c r="K3518" s="72"/>
      <c r="L3518" s="50"/>
    </row>
    <row r="3519" spans="3:12" x14ac:dyDescent="0.3">
      <c r="C3519" s="47"/>
      <c r="H3519" s="49"/>
      <c r="K3519" s="72"/>
      <c r="L3519" s="50"/>
    </row>
    <row r="3520" spans="3:12" x14ac:dyDescent="0.3">
      <c r="C3520" s="47"/>
      <c r="H3520" s="49"/>
      <c r="K3520" s="72"/>
      <c r="L3520" s="50"/>
    </row>
    <row r="3521" spans="3:12" x14ac:dyDescent="0.3">
      <c r="C3521" s="47"/>
      <c r="H3521" s="49"/>
      <c r="K3521" s="72"/>
      <c r="L3521" s="50"/>
    </row>
    <row r="3522" spans="3:12" x14ac:dyDescent="0.3">
      <c r="C3522" s="47"/>
      <c r="H3522" s="49"/>
      <c r="K3522" s="72"/>
      <c r="L3522" s="50"/>
    </row>
    <row r="3523" spans="3:12" x14ac:dyDescent="0.3">
      <c r="C3523" s="47"/>
      <c r="H3523" s="49"/>
      <c r="K3523" s="72"/>
      <c r="L3523" s="50"/>
    </row>
    <row r="3524" spans="3:12" x14ac:dyDescent="0.3">
      <c r="C3524" s="47"/>
      <c r="H3524" s="49"/>
      <c r="K3524" s="72"/>
      <c r="L3524" s="50"/>
    </row>
    <row r="3525" spans="3:12" x14ac:dyDescent="0.3">
      <c r="C3525" s="47"/>
      <c r="H3525" s="49"/>
      <c r="K3525" s="72"/>
      <c r="L3525" s="50"/>
    </row>
    <row r="3526" spans="3:12" x14ac:dyDescent="0.3">
      <c r="C3526" s="47"/>
      <c r="H3526" s="49"/>
      <c r="K3526" s="72"/>
      <c r="L3526" s="50"/>
    </row>
    <row r="3527" spans="3:12" x14ac:dyDescent="0.3">
      <c r="C3527" s="47"/>
      <c r="H3527" s="49"/>
      <c r="K3527" s="72"/>
      <c r="L3527" s="50"/>
    </row>
    <row r="3528" spans="3:12" x14ac:dyDescent="0.3">
      <c r="C3528" s="47"/>
      <c r="H3528" s="49"/>
      <c r="K3528" s="72"/>
      <c r="L3528" s="50"/>
    </row>
    <row r="3529" spans="3:12" x14ac:dyDescent="0.3">
      <c r="C3529" s="47"/>
      <c r="H3529" s="49"/>
      <c r="K3529" s="72"/>
      <c r="L3529" s="50"/>
    </row>
    <row r="3530" spans="3:12" x14ac:dyDescent="0.3">
      <c r="C3530" s="47"/>
      <c r="H3530" s="49"/>
      <c r="K3530" s="72"/>
      <c r="L3530" s="50"/>
    </row>
    <row r="3531" spans="3:12" x14ac:dyDescent="0.3">
      <c r="C3531" s="47"/>
      <c r="H3531" s="49"/>
      <c r="K3531" s="72"/>
      <c r="L3531" s="50"/>
    </row>
    <row r="3532" spans="3:12" x14ac:dyDescent="0.3">
      <c r="C3532" s="47"/>
      <c r="H3532" s="49"/>
      <c r="K3532" s="72"/>
      <c r="L3532" s="50"/>
    </row>
    <row r="3533" spans="3:12" x14ac:dyDescent="0.3">
      <c r="C3533" s="47"/>
      <c r="H3533" s="49"/>
      <c r="K3533" s="72"/>
      <c r="L3533" s="50"/>
    </row>
    <row r="3534" spans="3:12" x14ac:dyDescent="0.3">
      <c r="C3534" s="47"/>
      <c r="H3534" s="49"/>
      <c r="K3534" s="72"/>
      <c r="L3534" s="50"/>
    </row>
    <row r="3535" spans="3:12" x14ac:dyDescent="0.3">
      <c r="C3535" s="47"/>
      <c r="H3535" s="49"/>
      <c r="K3535" s="72"/>
      <c r="L3535" s="50"/>
    </row>
    <row r="3536" spans="3:12" x14ac:dyDescent="0.3">
      <c r="C3536" s="47"/>
      <c r="H3536" s="49"/>
      <c r="K3536" s="72"/>
      <c r="L3536" s="50"/>
    </row>
    <row r="3537" spans="3:12" x14ac:dyDescent="0.3">
      <c r="C3537" s="47"/>
      <c r="H3537" s="49"/>
      <c r="K3537" s="72"/>
      <c r="L3537" s="50"/>
    </row>
    <row r="3538" spans="3:12" x14ac:dyDescent="0.3">
      <c r="C3538" s="47"/>
      <c r="H3538" s="49"/>
      <c r="K3538" s="72"/>
      <c r="L3538" s="50"/>
    </row>
    <row r="3539" spans="3:12" x14ac:dyDescent="0.3">
      <c r="C3539" s="47"/>
      <c r="H3539" s="49"/>
      <c r="K3539" s="72"/>
      <c r="L3539" s="50"/>
    </row>
    <row r="3540" spans="3:12" x14ac:dyDescent="0.3">
      <c r="C3540" s="47"/>
      <c r="H3540" s="49"/>
      <c r="K3540" s="72"/>
      <c r="L3540" s="50"/>
    </row>
    <row r="3541" spans="3:12" x14ac:dyDescent="0.3">
      <c r="C3541" s="47"/>
      <c r="H3541" s="49"/>
      <c r="K3541" s="72"/>
      <c r="L3541" s="50"/>
    </row>
    <row r="3542" spans="3:12" x14ac:dyDescent="0.3">
      <c r="C3542" s="47"/>
      <c r="H3542" s="49"/>
      <c r="K3542" s="72"/>
      <c r="L3542" s="50"/>
    </row>
    <row r="3543" spans="3:12" x14ac:dyDescent="0.3">
      <c r="C3543" s="47"/>
      <c r="H3543" s="49"/>
      <c r="K3543" s="72"/>
      <c r="L3543" s="50"/>
    </row>
    <row r="3544" spans="3:12" x14ac:dyDescent="0.3">
      <c r="C3544" s="47"/>
      <c r="H3544" s="49"/>
      <c r="K3544" s="72"/>
      <c r="L3544" s="50"/>
    </row>
    <row r="3545" spans="3:12" x14ac:dyDescent="0.3">
      <c r="C3545" s="47"/>
      <c r="H3545" s="49"/>
      <c r="K3545" s="72"/>
      <c r="L3545" s="50"/>
    </row>
    <row r="3546" spans="3:12" x14ac:dyDescent="0.3">
      <c r="C3546" s="47"/>
      <c r="H3546" s="49"/>
      <c r="K3546" s="72"/>
      <c r="L3546" s="50"/>
    </row>
    <row r="3547" spans="3:12" x14ac:dyDescent="0.3">
      <c r="C3547" s="47"/>
      <c r="H3547" s="49"/>
      <c r="K3547" s="72"/>
      <c r="L3547" s="50"/>
    </row>
    <row r="3548" spans="3:12" x14ac:dyDescent="0.3">
      <c r="C3548" s="47"/>
      <c r="H3548" s="49"/>
      <c r="K3548" s="72"/>
      <c r="L3548" s="50"/>
    </row>
    <row r="3549" spans="3:12" x14ac:dyDescent="0.3">
      <c r="C3549" s="47"/>
      <c r="H3549" s="49"/>
      <c r="K3549" s="72"/>
      <c r="L3549" s="50"/>
    </row>
    <row r="3550" spans="3:12" x14ac:dyDescent="0.3">
      <c r="C3550" s="47"/>
      <c r="H3550" s="49"/>
      <c r="K3550" s="72"/>
      <c r="L3550" s="50"/>
    </row>
    <row r="3551" spans="3:12" x14ac:dyDescent="0.3">
      <c r="C3551" s="47"/>
      <c r="H3551" s="49"/>
      <c r="K3551" s="72"/>
      <c r="L3551" s="50"/>
    </row>
    <row r="3552" spans="3:12" x14ac:dyDescent="0.3">
      <c r="C3552" s="47"/>
      <c r="H3552" s="49"/>
      <c r="K3552" s="72"/>
      <c r="L3552" s="50"/>
    </row>
    <row r="3553" spans="3:12" x14ac:dyDescent="0.3">
      <c r="C3553" s="47"/>
      <c r="H3553" s="49"/>
      <c r="K3553" s="72"/>
      <c r="L3553" s="50"/>
    </row>
    <row r="3554" spans="3:12" x14ac:dyDescent="0.3">
      <c r="C3554" s="47"/>
      <c r="H3554" s="49"/>
      <c r="K3554" s="72"/>
      <c r="L3554" s="50"/>
    </row>
    <row r="3555" spans="3:12" x14ac:dyDescent="0.3">
      <c r="C3555" s="47"/>
      <c r="H3555" s="49"/>
      <c r="K3555" s="72"/>
      <c r="L3555" s="50"/>
    </row>
    <row r="3556" spans="3:12" x14ac:dyDescent="0.3">
      <c r="C3556" s="47"/>
      <c r="H3556" s="49"/>
      <c r="K3556" s="72"/>
      <c r="L3556" s="50"/>
    </row>
    <row r="3557" spans="3:12" x14ac:dyDescent="0.3">
      <c r="C3557" s="47"/>
      <c r="H3557" s="49"/>
      <c r="K3557" s="72"/>
      <c r="L3557" s="50"/>
    </row>
    <row r="3558" spans="3:12" x14ac:dyDescent="0.3">
      <c r="C3558" s="47"/>
      <c r="H3558" s="49"/>
      <c r="K3558" s="72"/>
      <c r="L3558" s="50"/>
    </row>
    <row r="3559" spans="3:12" x14ac:dyDescent="0.3">
      <c r="C3559" s="47"/>
      <c r="H3559" s="49"/>
      <c r="K3559" s="72"/>
      <c r="L3559" s="50"/>
    </row>
    <row r="3560" spans="3:12" x14ac:dyDescent="0.3">
      <c r="C3560" s="47"/>
      <c r="H3560" s="49"/>
      <c r="K3560" s="72"/>
      <c r="L3560" s="50"/>
    </row>
    <row r="3561" spans="3:12" x14ac:dyDescent="0.3">
      <c r="C3561" s="47"/>
      <c r="H3561" s="49"/>
      <c r="K3561" s="72"/>
      <c r="L3561" s="50"/>
    </row>
    <row r="3562" spans="3:12" x14ac:dyDescent="0.3">
      <c r="C3562" s="47"/>
      <c r="H3562" s="49"/>
      <c r="K3562" s="72"/>
      <c r="L3562" s="50"/>
    </row>
    <row r="3563" spans="3:12" x14ac:dyDescent="0.3">
      <c r="C3563" s="47"/>
      <c r="H3563" s="49"/>
      <c r="K3563" s="72"/>
      <c r="L3563" s="50"/>
    </row>
    <row r="3564" spans="3:12" x14ac:dyDescent="0.3">
      <c r="C3564" s="47"/>
      <c r="H3564" s="49"/>
      <c r="K3564" s="72"/>
      <c r="L3564" s="50"/>
    </row>
    <row r="3565" spans="3:12" x14ac:dyDescent="0.3">
      <c r="C3565" s="47"/>
      <c r="H3565" s="49"/>
      <c r="K3565" s="72"/>
      <c r="L3565" s="50"/>
    </row>
    <row r="3566" spans="3:12" x14ac:dyDescent="0.3">
      <c r="C3566" s="47"/>
      <c r="H3566" s="49"/>
      <c r="K3566" s="72"/>
      <c r="L3566" s="50"/>
    </row>
    <row r="3567" spans="3:12" x14ac:dyDescent="0.3">
      <c r="C3567" s="47"/>
      <c r="H3567" s="49"/>
      <c r="K3567" s="72"/>
      <c r="L3567" s="50"/>
    </row>
    <row r="3568" spans="3:12" x14ac:dyDescent="0.3">
      <c r="C3568" s="47"/>
      <c r="H3568" s="49"/>
      <c r="K3568" s="72"/>
      <c r="L3568" s="50"/>
    </row>
    <row r="3569" spans="3:12" x14ac:dyDescent="0.3">
      <c r="C3569" s="47"/>
      <c r="H3569" s="49"/>
      <c r="K3569" s="72"/>
      <c r="L3569" s="50"/>
    </row>
    <row r="3570" spans="3:12" x14ac:dyDescent="0.3">
      <c r="C3570" s="47"/>
      <c r="H3570" s="49"/>
      <c r="K3570" s="72"/>
      <c r="L3570" s="50"/>
    </row>
    <row r="3571" spans="3:12" x14ac:dyDescent="0.3">
      <c r="C3571" s="47"/>
      <c r="H3571" s="49"/>
      <c r="K3571" s="72"/>
      <c r="L3571" s="50"/>
    </row>
    <row r="3572" spans="3:12" x14ac:dyDescent="0.3">
      <c r="C3572" s="47"/>
      <c r="H3572" s="49"/>
      <c r="K3572" s="72"/>
      <c r="L3572" s="50"/>
    </row>
    <row r="3573" spans="3:12" x14ac:dyDescent="0.3">
      <c r="C3573" s="47"/>
      <c r="H3573" s="49"/>
      <c r="K3573" s="72"/>
      <c r="L3573" s="50"/>
    </row>
    <row r="3574" spans="3:12" x14ac:dyDescent="0.3">
      <c r="C3574" s="47"/>
      <c r="H3574" s="49"/>
      <c r="K3574" s="72"/>
      <c r="L3574" s="50"/>
    </row>
    <row r="3575" spans="3:12" x14ac:dyDescent="0.3">
      <c r="C3575" s="47"/>
      <c r="H3575" s="49"/>
      <c r="K3575" s="72"/>
      <c r="L3575" s="50"/>
    </row>
    <row r="3576" spans="3:12" x14ac:dyDescent="0.3">
      <c r="C3576" s="47"/>
      <c r="H3576" s="49"/>
      <c r="K3576" s="72"/>
      <c r="L3576" s="50"/>
    </row>
    <row r="3577" spans="3:12" x14ac:dyDescent="0.3">
      <c r="C3577" s="47"/>
      <c r="H3577" s="49"/>
      <c r="K3577" s="72"/>
      <c r="L3577" s="50"/>
    </row>
    <row r="3578" spans="3:12" x14ac:dyDescent="0.3">
      <c r="C3578" s="47"/>
      <c r="H3578" s="49"/>
      <c r="K3578" s="72"/>
      <c r="L3578" s="50"/>
    </row>
    <row r="3579" spans="3:12" x14ac:dyDescent="0.3">
      <c r="C3579" s="47"/>
      <c r="H3579" s="49"/>
      <c r="K3579" s="72"/>
      <c r="L3579" s="50"/>
    </row>
    <row r="3580" spans="3:12" x14ac:dyDescent="0.3">
      <c r="C3580" s="47"/>
      <c r="H3580" s="49"/>
      <c r="K3580" s="72"/>
      <c r="L3580" s="50"/>
    </row>
    <row r="3581" spans="3:12" x14ac:dyDescent="0.3">
      <c r="C3581" s="47"/>
      <c r="H3581" s="49"/>
      <c r="K3581" s="72"/>
      <c r="L3581" s="50"/>
    </row>
    <row r="3582" spans="3:12" x14ac:dyDescent="0.3">
      <c r="C3582" s="47"/>
      <c r="H3582" s="49"/>
      <c r="K3582" s="72"/>
      <c r="L3582" s="50"/>
    </row>
    <row r="3583" spans="3:12" x14ac:dyDescent="0.3">
      <c r="C3583" s="47"/>
      <c r="H3583" s="49"/>
      <c r="K3583" s="72"/>
      <c r="L3583" s="50"/>
    </row>
    <row r="3584" spans="3:12" x14ac:dyDescent="0.3">
      <c r="C3584" s="47"/>
      <c r="H3584" s="49"/>
      <c r="K3584" s="72"/>
      <c r="L3584" s="50"/>
    </row>
    <row r="3585" spans="3:12" x14ac:dyDescent="0.3">
      <c r="C3585" s="47"/>
      <c r="H3585" s="49"/>
      <c r="K3585" s="72"/>
      <c r="L3585" s="50"/>
    </row>
    <row r="3586" spans="3:12" x14ac:dyDescent="0.3">
      <c r="C3586" s="47"/>
      <c r="H3586" s="49"/>
      <c r="K3586" s="72"/>
      <c r="L3586" s="50"/>
    </row>
    <row r="3587" spans="3:12" x14ac:dyDescent="0.3">
      <c r="C3587" s="47"/>
      <c r="H3587" s="49"/>
      <c r="K3587" s="72"/>
      <c r="L3587" s="50"/>
    </row>
    <row r="3588" spans="3:12" x14ac:dyDescent="0.3">
      <c r="C3588" s="47"/>
      <c r="H3588" s="49"/>
      <c r="K3588" s="72"/>
      <c r="L3588" s="50"/>
    </row>
    <row r="3589" spans="3:12" x14ac:dyDescent="0.3">
      <c r="C3589" s="47"/>
      <c r="H3589" s="49"/>
      <c r="K3589" s="72"/>
      <c r="L3589" s="50"/>
    </row>
    <row r="3590" spans="3:12" x14ac:dyDescent="0.3">
      <c r="C3590" s="47"/>
      <c r="H3590" s="49"/>
      <c r="K3590" s="72"/>
      <c r="L3590" s="50"/>
    </row>
    <row r="3591" spans="3:12" x14ac:dyDescent="0.3">
      <c r="C3591" s="47"/>
      <c r="H3591" s="49"/>
      <c r="K3591" s="72"/>
      <c r="L3591" s="50"/>
    </row>
    <row r="3592" spans="3:12" x14ac:dyDescent="0.3">
      <c r="C3592" s="47"/>
      <c r="H3592" s="49"/>
      <c r="K3592" s="72"/>
      <c r="L3592" s="50"/>
    </row>
    <row r="3593" spans="3:12" x14ac:dyDescent="0.3">
      <c r="C3593" s="47"/>
      <c r="H3593" s="49"/>
      <c r="K3593" s="72"/>
      <c r="L3593" s="50"/>
    </row>
    <row r="3594" spans="3:12" x14ac:dyDescent="0.3">
      <c r="C3594" s="47"/>
      <c r="H3594" s="49"/>
      <c r="K3594" s="72"/>
      <c r="L3594" s="50"/>
    </row>
    <row r="3595" spans="3:12" x14ac:dyDescent="0.3">
      <c r="C3595" s="47"/>
      <c r="H3595" s="49"/>
      <c r="K3595" s="72"/>
      <c r="L3595" s="50"/>
    </row>
    <row r="3596" spans="3:12" x14ac:dyDescent="0.3">
      <c r="C3596" s="47"/>
      <c r="H3596" s="49"/>
      <c r="K3596" s="72"/>
      <c r="L3596" s="50"/>
    </row>
    <row r="3597" spans="3:12" x14ac:dyDescent="0.3">
      <c r="C3597" s="47"/>
      <c r="H3597" s="49"/>
      <c r="K3597" s="72"/>
      <c r="L3597" s="50"/>
    </row>
    <row r="3598" spans="3:12" x14ac:dyDescent="0.3">
      <c r="C3598" s="47"/>
      <c r="H3598" s="49"/>
      <c r="K3598" s="72"/>
      <c r="L3598" s="50"/>
    </row>
    <row r="3599" spans="3:12" x14ac:dyDescent="0.3">
      <c r="C3599" s="47"/>
      <c r="H3599" s="49"/>
      <c r="K3599" s="72"/>
      <c r="L3599" s="50"/>
    </row>
    <row r="3600" spans="3:12" x14ac:dyDescent="0.3">
      <c r="C3600" s="47"/>
      <c r="H3600" s="49"/>
      <c r="K3600" s="72"/>
      <c r="L3600" s="50"/>
    </row>
    <row r="3601" spans="3:12" x14ac:dyDescent="0.3">
      <c r="C3601" s="47"/>
      <c r="H3601" s="49"/>
      <c r="K3601" s="72"/>
      <c r="L3601" s="50"/>
    </row>
    <row r="3602" spans="3:12" x14ac:dyDescent="0.3">
      <c r="C3602" s="47"/>
      <c r="H3602" s="49"/>
      <c r="K3602" s="72"/>
      <c r="L3602" s="50"/>
    </row>
    <row r="3603" spans="3:12" x14ac:dyDescent="0.3">
      <c r="C3603" s="47"/>
      <c r="H3603" s="49"/>
      <c r="K3603" s="72"/>
      <c r="L3603" s="50"/>
    </row>
    <row r="3604" spans="3:12" x14ac:dyDescent="0.3">
      <c r="C3604" s="47"/>
      <c r="H3604" s="49"/>
      <c r="K3604" s="72"/>
      <c r="L3604" s="50"/>
    </row>
    <row r="3605" spans="3:12" x14ac:dyDescent="0.3">
      <c r="C3605" s="47"/>
      <c r="H3605" s="49"/>
      <c r="K3605" s="72"/>
      <c r="L3605" s="50"/>
    </row>
    <row r="3606" spans="3:12" x14ac:dyDescent="0.3">
      <c r="C3606" s="47"/>
      <c r="H3606" s="49"/>
      <c r="K3606" s="72"/>
      <c r="L3606" s="50"/>
    </row>
    <row r="3607" spans="3:12" x14ac:dyDescent="0.3">
      <c r="C3607" s="47"/>
      <c r="H3607" s="49"/>
      <c r="K3607" s="72"/>
      <c r="L3607" s="50"/>
    </row>
    <row r="3608" spans="3:12" x14ac:dyDescent="0.3">
      <c r="C3608" s="47"/>
      <c r="H3608" s="49"/>
      <c r="K3608" s="72"/>
      <c r="L3608" s="50"/>
    </row>
    <row r="3609" spans="3:12" x14ac:dyDescent="0.3">
      <c r="C3609" s="47"/>
      <c r="H3609" s="49"/>
      <c r="K3609" s="72"/>
      <c r="L3609" s="50"/>
    </row>
    <row r="3610" spans="3:12" x14ac:dyDescent="0.3">
      <c r="C3610" s="47"/>
      <c r="H3610" s="49"/>
      <c r="K3610" s="72"/>
      <c r="L3610" s="50"/>
    </row>
    <row r="3611" spans="3:12" x14ac:dyDescent="0.3">
      <c r="C3611" s="47"/>
      <c r="H3611" s="49"/>
      <c r="K3611" s="72"/>
      <c r="L3611" s="50"/>
    </row>
    <row r="3612" spans="3:12" x14ac:dyDescent="0.3">
      <c r="C3612" s="47"/>
      <c r="H3612" s="49"/>
      <c r="K3612" s="72"/>
      <c r="L3612" s="50"/>
    </row>
    <row r="3613" spans="3:12" x14ac:dyDescent="0.3">
      <c r="C3613" s="47"/>
      <c r="H3613" s="49"/>
      <c r="K3613" s="72"/>
      <c r="L3613" s="50"/>
    </row>
    <row r="3614" spans="3:12" x14ac:dyDescent="0.3">
      <c r="C3614" s="47"/>
      <c r="H3614" s="49"/>
      <c r="K3614" s="72"/>
      <c r="L3614" s="50"/>
    </row>
    <row r="3615" spans="3:12" x14ac:dyDescent="0.3">
      <c r="C3615" s="47"/>
      <c r="H3615" s="49"/>
      <c r="K3615" s="72"/>
      <c r="L3615" s="50"/>
    </row>
    <row r="3616" spans="3:12" x14ac:dyDescent="0.3">
      <c r="C3616" s="47"/>
      <c r="H3616" s="49"/>
      <c r="K3616" s="72"/>
      <c r="L3616" s="50"/>
    </row>
    <row r="3617" spans="3:12" x14ac:dyDescent="0.3">
      <c r="C3617" s="47"/>
      <c r="H3617" s="49"/>
      <c r="K3617" s="72"/>
      <c r="L3617" s="50"/>
    </row>
    <row r="3618" spans="3:12" x14ac:dyDescent="0.3">
      <c r="C3618" s="47"/>
      <c r="H3618" s="49"/>
      <c r="K3618" s="72"/>
      <c r="L3618" s="50"/>
    </row>
    <row r="3619" spans="3:12" x14ac:dyDescent="0.3">
      <c r="C3619" s="47"/>
      <c r="H3619" s="49"/>
      <c r="K3619" s="72"/>
      <c r="L3619" s="50"/>
    </row>
    <row r="3620" spans="3:12" x14ac:dyDescent="0.3">
      <c r="C3620" s="47"/>
      <c r="H3620" s="49"/>
      <c r="K3620" s="72"/>
      <c r="L3620" s="50"/>
    </row>
    <row r="3621" spans="3:12" x14ac:dyDescent="0.3">
      <c r="C3621" s="47"/>
      <c r="H3621" s="49"/>
      <c r="K3621" s="72"/>
      <c r="L3621" s="50"/>
    </row>
    <row r="3622" spans="3:12" x14ac:dyDescent="0.3">
      <c r="C3622" s="47"/>
      <c r="H3622" s="49"/>
      <c r="K3622" s="72"/>
      <c r="L3622" s="50"/>
    </row>
    <row r="3623" spans="3:12" x14ac:dyDescent="0.3">
      <c r="C3623" s="47"/>
      <c r="H3623" s="49"/>
      <c r="K3623" s="72"/>
      <c r="L3623" s="50"/>
    </row>
    <row r="3624" spans="3:12" x14ac:dyDescent="0.3">
      <c r="C3624" s="47"/>
      <c r="H3624" s="49"/>
      <c r="K3624" s="72"/>
      <c r="L3624" s="50"/>
    </row>
    <row r="3625" spans="3:12" x14ac:dyDescent="0.3">
      <c r="C3625" s="47"/>
      <c r="H3625" s="49"/>
      <c r="K3625" s="72"/>
      <c r="L3625" s="50"/>
    </row>
    <row r="3626" spans="3:12" x14ac:dyDescent="0.3">
      <c r="C3626" s="47"/>
      <c r="H3626" s="49"/>
      <c r="K3626" s="72"/>
      <c r="L3626" s="50"/>
    </row>
    <row r="3627" spans="3:12" x14ac:dyDescent="0.3">
      <c r="C3627" s="47"/>
      <c r="H3627" s="49"/>
      <c r="K3627" s="72"/>
      <c r="L3627" s="50"/>
    </row>
    <row r="3628" spans="3:12" x14ac:dyDescent="0.3">
      <c r="C3628" s="47"/>
      <c r="H3628" s="49"/>
      <c r="K3628" s="72"/>
      <c r="L3628" s="50"/>
    </row>
    <row r="3629" spans="3:12" x14ac:dyDescent="0.3">
      <c r="C3629" s="47"/>
      <c r="H3629" s="49"/>
      <c r="K3629" s="72"/>
      <c r="L3629" s="50"/>
    </row>
    <row r="3630" spans="3:12" x14ac:dyDescent="0.3">
      <c r="C3630" s="47"/>
      <c r="H3630" s="49"/>
      <c r="K3630" s="72"/>
      <c r="L3630" s="50"/>
    </row>
    <row r="3631" spans="3:12" x14ac:dyDescent="0.3">
      <c r="C3631" s="47"/>
      <c r="H3631" s="49"/>
      <c r="K3631" s="72"/>
      <c r="L3631" s="50"/>
    </row>
    <row r="3632" spans="3:12" x14ac:dyDescent="0.3">
      <c r="C3632" s="47"/>
      <c r="H3632" s="49"/>
      <c r="K3632" s="72"/>
      <c r="L3632" s="50"/>
    </row>
    <row r="3633" spans="3:12" x14ac:dyDescent="0.3">
      <c r="C3633" s="47"/>
      <c r="H3633" s="49"/>
      <c r="K3633" s="72"/>
      <c r="L3633" s="50"/>
    </row>
    <row r="3634" spans="3:12" x14ac:dyDescent="0.3">
      <c r="C3634" s="47"/>
      <c r="H3634" s="49"/>
      <c r="K3634" s="72"/>
      <c r="L3634" s="50"/>
    </row>
    <row r="3635" spans="3:12" x14ac:dyDescent="0.3">
      <c r="C3635" s="47"/>
      <c r="H3635" s="49"/>
      <c r="K3635" s="72"/>
      <c r="L3635" s="50"/>
    </row>
    <row r="3636" spans="3:12" x14ac:dyDescent="0.3">
      <c r="C3636" s="47"/>
      <c r="H3636" s="49"/>
      <c r="K3636" s="72"/>
      <c r="L3636" s="50"/>
    </row>
    <row r="3637" spans="3:12" x14ac:dyDescent="0.3">
      <c r="C3637" s="47"/>
      <c r="H3637" s="49"/>
      <c r="K3637" s="72"/>
      <c r="L3637" s="50"/>
    </row>
    <row r="3638" spans="3:12" x14ac:dyDescent="0.3">
      <c r="C3638" s="47"/>
      <c r="H3638" s="49"/>
      <c r="K3638" s="72"/>
      <c r="L3638" s="50"/>
    </row>
    <row r="3639" spans="3:12" x14ac:dyDescent="0.3">
      <c r="C3639" s="47"/>
      <c r="H3639" s="49"/>
      <c r="K3639" s="72"/>
      <c r="L3639" s="50"/>
    </row>
    <row r="3640" spans="3:12" x14ac:dyDescent="0.3">
      <c r="C3640" s="47"/>
      <c r="H3640" s="49"/>
      <c r="K3640" s="72"/>
      <c r="L3640" s="50"/>
    </row>
    <row r="3641" spans="3:12" x14ac:dyDescent="0.3">
      <c r="C3641" s="47"/>
      <c r="H3641" s="49"/>
      <c r="K3641" s="72"/>
      <c r="L3641" s="50"/>
    </row>
    <row r="3642" spans="3:12" x14ac:dyDescent="0.3">
      <c r="C3642" s="47"/>
      <c r="H3642" s="49"/>
      <c r="K3642" s="72"/>
      <c r="L3642" s="50"/>
    </row>
    <row r="3643" spans="3:12" x14ac:dyDescent="0.3">
      <c r="C3643" s="47"/>
      <c r="H3643" s="49"/>
      <c r="K3643" s="72"/>
      <c r="L3643" s="50"/>
    </row>
    <row r="3644" spans="3:12" x14ac:dyDescent="0.3">
      <c r="C3644" s="47"/>
      <c r="H3644" s="49"/>
      <c r="K3644" s="72"/>
      <c r="L3644" s="50"/>
    </row>
    <row r="3645" spans="3:12" x14ac:dyDescent="0.3">
      <c r="C3645" s="47"/>
      <c r="H3645" s="49"/>
      <c r="K3645" s="72"/>
      <c r="L3645" s="50"/>
    </row>
    <row r="3646" spans="3:12" x14ac:dyDescent="0.3">
      <c r="C3646" s="47"/>
      <c r="H3646" s="49"/>
      <c r="K3646" s="72"/>
      <c r="L3646" s="50"/>
    </row>
    <row r="3647" spans="3:12" x14ac:dyDescent="0.3">
      <c r="C3647" s="47"/>
      <c r="H3647" s="49"/>
      <c r="K3647" s="72"/>
      <c r="L3647" s="50"/>
    </row>
    <row r="3648" spans="3:12" x14ac:dyDescent="0.3">
      <c r="C3648" s="47"/>
      <c r="H3648" s="49"/>
      <c r="K3648" s="72"/>
      <c r="L3648" s="50"/>
    </row>
    <row r="3649" spans="3:12" x14ac:dyDescent="0.3">
      <c r="C3649" s="47"/>
      <c r="H3649" s="49"/>
      <c r="K3649" s="72"/>
      <c r="L3649" s="50"/>
    </row>
    <row r="3650" spans="3:12" x14ac:dyDescent="0.3">
      <c r="C3650" s="47"/>
      <c r="H3650" s="49"/>
      <c r="K3650" s="72"/>
      <c r="L3650" s="50"/>
    </row>
    <row r="3651" spans="3:12" x14ac:dyDescent="0.3">
      <c r="C3651" s="47"/>
      <c r="H3651" s="49"/>
      <c r="K3651" s="72"/>
      <c r="L3651" s="50"/>
    </row>
    <row r="3652" spans="3:12" x14ac:dyDescent="0.3">
      <c r="C3652" s="47"/>
      <c r="H3652" s="49"/>
      <c r="K3652" s="72"/>
      <c r="L3652" s="50"/>
    </row>
    <row r="3653" spans="3:12" x14ac:dyDescent="0.3">
      <c r="C3653" s="47"/>
      <c r="H3653" s="49"/>
      <c r="K3653" s="72"/>
      <c r="L3653" s="50"/>
    </row>
    <row r="3654" spans="3:12" x14ac:dyDescent="0.3">
      <c r="C3654" s="47"/>
      <c r="H3654" s="49"/>
      <c r="K3654" s="72"/>
      <c r="L3654" s="50"/>
    </row>
    <row r="3655" spans="3:12" x14ac:dyDescent="0.3">
      <c r="C3655" s="47"/>
      <c r="H3655" s="49"/>
      <c r="K3655" s="72"/>
      <c r="L3655" s="50"/>
    </row>
    <row r="3656" spans="3:12" x14ac:dyDescent="0.3">
      <c r="C3656" s="47"/>
      <c r="H3656" s="49"/>
      <c r="K3656" s="72"/>
      <c r="L3656" s="50"/>
    </row>
    <row r="3657" spans="3:12" x14ac:dyDescent="0.3">
      <c r="C3657" s="47"/>
      <c r="H3657" s="49"/>
      <c r="K3657" s="72"/>
      <c r="L3657" s="50"/>
    </row>
    <row r="3658" spans="3:12" x14ac:dyDescent="0.3">
      <c r="C3658" s="47"/>
      <c r="H3658" s="49"/>
      <c r="K3658" s="72"/>
      <c r="L3658" s="50"/>
    </row>
    <row r="3659" spans="3:12" x14ac:dyDescent="0.3">
      <c r="C3659" s="47"/>
      <c r="H3659" s="49"/>
      <c r="K3659" s="72"/>
      <c r="L3659" s="50"/>
    </row>
    <row r="3660" spans="3:12" x14ac:dyDescent="0.3">
      <c r="C3660" s="47"/>
      <c r="H3660" s="49"/>
      <c r="K3660" s="72"/>
      <c r="L3660" s="50"/>
    </row>
    <row r="3661" spans="3:12" x14ac:dyDescent="0.3">
      <c r="C3661" s="47"/>
      <c r="H3661" s="49"/>
      <c r="K3661" s="72"/>
      <c r="L3661" s="50"/>
    </row>
    <row r="3662" spans="3:12" x14ac:dyDescent="0.3">
      <c r="C3662" s="47"/>
      <c r="H3662" s="49"/>
      <c r="K3662" s="72"/>
      <c r="L3662" s="50"/>
    </row>
    <row r="3663" spans="3:12" x14ac:dyDescent="0.3">
      <c r="C3663" s="47"/>
      <c r="H3663" s="49"/>
      <c r="K3663" s="72"/>
      <c r="L3663" s="50"/>
    </row>
    <row r="3664" spans="3:12" x14ac:dyDescent="0.3">
      <c r="C3664" s="47"/>
      <c r="H3664" s="49"/>
      <c r="K3664" s="72"/>
      <c r="L3664" s="50"/>
    </row>
    <row r="3665" spans="3:12" x14ac:dyDescent="0.3">
      <c r="C3665" s="47"/>
      <c r="H3665" s="49"/>
      <c r="K3665" s="72"/>
      <c r="L3665" s="50"/>
    </row>
    <row r="3666" spans="3:12" x14ac:dyDescent="0.3">
      <c r="C3666" s="47"/>
      <c r="H3666" s="49"/>
      <c r="K3666" s="72"/>
      <c r="L3666" s="50"/>
    </row>
    <row r="3667" spans="3:12" x14ac:dyDescent="0.3">
      <c r="C3667" s="47"/>
      <c r="H3667" s="49"/>
      <c r="K3667" s="72"/>
      <c r="L3667" s="50"/>
    </row>
    <row r="3668" spans="3:12" x14ac:dyDescent="0.3">
      <c r="C3668" s="47"/>
      <c r="H3668" s="49"/>
      <c r="K3668" s="72"/>
      <c r="L3668" s="50"/>
    </row>
    <row r="3669" spans="3:12" x14ac:dyDescent="0.3">
      <c r="C3669" s="47"/>
      <c r="H3669" s="49"/>
      <c r="K3669" s="72"/>
      <c r="L3669" s="50"/>
    </row>
    <row r="3670" spans="3:12" x14ac:dyDescent="0.3">
      <c r="C3670" s="47"/>
      <c r="H3670" s="49"/>
      <c r="K3670" s="72"/>
      <c r="L3670" s="50"/>
    </row>
    <row r="3671" spans="3:12" x14ac:dyDescent="0.3">
      <c r="C3671" s="47"/>
      <c r="H3671" s="49"/>
      <c r="K3671" s="72"/>
      <c r="L3671" s="50"/>
    </row>
    <row r="3672" spans="3:12" x14ac:dyDescent="0.3">
      <c r="C3672" s="47"/>
      <c r="H3672" s="49"/>
      <c r="K3672" s="72"/>
      <c r="L3672" s="50"/>
    </row>
    <row r="3673" spans="3:12" x14ac:dyDescent="0.3">
      <c r="C3673" s="47"/>
      <c r="H3673" s="49"/>
      <c r="K3673" s="72"/>
      <c r="L3673" s="50"/>
    </row>
    <row r="3674" spans="3:12" x14ac:dyDescent="0.3">
      <c r="C3674" s="47"/>
      <c r="H3674" s="49"/>
      <c r="K3674" s="72"/>
      <c r="L3674" s="50"/>
    </row>
    <row r="3675" spans="3:12" x14ac:dyDescent="0.3">
      <c r="C3675" s="47"/>
      <c r="H3675" s="49"/>
      <c r="K3675" s="72"/>
      <c r="L3675" s="50"/>
    </row>
    <row r="3676" spans="3:12" x14ac:dyDescent="0.3">
      <c r="C3676" s="47"/>
      <c r="H3676" s="49"/>
      <c r="K3676" s="72"/>
      <c r="L3676" s="50"/>
    </row>
    <row r="3677" spans="3:12" x14ac:dyDescent="0.3">
      <c r="C3677" s="47"/>
      <c r="H3677" s="49"/>
      <c r="K3677" s="72"/>
      <c r="L3677" s="50"/>
    </row>
    <row r="3678" spans="3:12" x14ac:dyDescent="0.3">
      <c r="C3678" s="47"/>
      <c r="H3678" s="49"/>
      <c r="K3678" s="72"/>
      <c r="L3678" s="50"/>
    </row>
    <row r="3679" spans="3:12" x14ac:dyDescent="0.3">
      <c r="C3679" s="47"/>
      <c r="H3679" s="49"/>
      <c r="K3679" s="72"/>
      <c r="L3679" s="50"/>
    </row>
    <row r="3680" spans="3:12" x14ac:dyDescent="0.3">
      <c r="C3680" s="47"/>
      <c r="H3680" s="49"/>
      <c r="K3680" s="72"/>
      <c r="L3680" s="50"/>
    </row>
    <row r="3681" spans="3:12" x14ac:dyDescent="0.3">
      <c r="C3681" s="47"/>
      <c r="H3681" s="49"/>
      <c r="K3681" s="72"/>
      <c r="L3681" s="50"/>
    </row>
    <row r="3682" spans="3:12" x14ac:dyDescent="0.3">
      <c r="C3682" s="47"/>
      <c r="H3682" s="49"/>
      <c r="K3682" s="72"/>
      <c r="L3682" s="50"/>
    </row>
    <row r="3683" spans="3:12" x14ac:dyDescent="0.3">
      <c r="C3683" s="47"/>
      <c r="H3683" s="49"/>
      <c r="K3683" s="72"/>
      <c r="L3683" s="50"/>
    </row>
    <row r="3684" spans="3:12" x14ac:dyDescent="0.3">
      <c r="C3684" s="47"/>
      <c r="H3684" s="49"/>
      <c r="K3684" s="72"/>
      <c r="L3684" s="50"/>
    </row>
    <row r="3685" spans="3:12" x14ac:dyDescent="0.3">
      <c r="C3685" s="47"/>
      <c r="H3685" s="49"/>
      <c r="K3685" s="72"/>
      <c r="L3685" s="50"/>
    </row>
    <row r="3686" spans="3:12" x14ac:dyDescent="0.3">
      <c r="C3686" s="47"/>
      <c r="H3686" s="49"/>
      <c r="K3686" s="72"/>
      <c r="L3686" s="50"/>
    </row>
    <row r="3687" spans="3:12" x14ac:dyDescent="0.3">
      <c r="C3687" s="47"/>
      <c r="H3687" s="49"/>
      <c r="K3687" s="72"/>
      <c r="L3687" s="50"/>
    </row>
    <row r="3688" spans="3:12" x14ac:dyDescent="0.3">
      <c r="C3688" s="47"/>
      <c r="H3688" s="49"/>
      <c r="K3688" s="72"/>
      <c r="L3688" s="50"/>
    </row>
    <row r="3689" spans="3:12" x14ac:dyDescent="0.3">
      <c r="C3689" s="47"/>
      <c r="H3689" s="49"/>
      <c r="K3689" s="72"/>
      <c r="L3689" s="50"/>
    </row>
    <row r="3690" spans="3:12" x14ac:dyDescent="0.3">
      <c r="C3690" s="47"/>
      <c r="H3690" s="49"/>
      <c r="K3690" s="72"/>
      <c r="L3690" s="50"/>
    </row>
    <row r="3691" spans="3:12" x14ac:dyDescent="0.3">
      <c r="C3691" s="47"/>
      <c r="H3691" s="49"/>
      <c r="K3691" s="72"/>
      <c r="L3691" s="50"/>
    </row>
    <row r="3692" spans="3:12" x14ac:dyDescent="0.3">
      <c r="C3692" s="47"/>
      <c r="H3692" s="49"/>
      <c r="K3692" s="72"/>
      <c r="L3692" s="50"/>
    </row>
    <row r="3693" spans="3:12" x14ac:dyDescent="0.3">
      <c r="C3693" s="47"/>
      <c r="H3693" s="49"/>
      <c r="K3693" s="72"/>
      <c r="L3693" s="50"/>
    </row>
    <row r="3694" spans="3:12" x14ac:dyDescent="0.3">
      <c r="C3694" s="47"/>
      <c r="H3694" s="49"/>
      <c r="K3694" s="72"/>
      <c r="L3694" s="50"/>
    </row>
    <row r="3695" spans="3:12" x14ac:dyDescent="0.3">
      <c r="C3695" s="47"/>
      <c r="H3695" s="49"/>
      <c r="K3695" s="72"/>
      <c r="L3695" s="50"/>
    </row>
    <row r="3696" spans="3:12" x14ac:dyDescent="0.3">
      <c r="C3696" s="47"/>
      <c r="H3696" s="49"/>
      <c r="K3696" s="72"/>
      <c r="L3696" s="50"/>
    </row>
    <row r="3697" spans="3:12" x14ac:dyDescent="0.3">
      <c r="C3697" s="47"/>
      <c r="H3697" s="49"/>
      <c r="K3697" s="72"/>
      <c r="L3697" s="50"/>
    </row>
    <row r="3698" spans="3:12" x14ac:dyDescent="0.3">
      <c r="C3698" s="47"/>
      <c r="H3698" s="49"/>
      <c r="K3698" s="72"/>
      <c r="L3698" s="50"/>
    </row>
    <row r="3699" spans="3:12" x14ac:dyDescent="0.3">
      <c r="C3699" s="47"/>
      <c r="H3699" s="49"/>
      <c r="K3699" s="72"/>
      <c r="L3699" s="50"/>
    </row>
    <row r="3700" spans="3:12" x14ac:dyDescent="0.3">
      <c r="C3700" s="47"/>
      <c r="H3700" s="49"/>
      <c r="K3700" s="72"/>
      <c r="L3700" s="50"/>
    </row>
    <row r="3701" spans="3:12" x14ac:dyDescent="0.3">
      <c r="C3701" s="47"/>
      <c r="H3701" s="49"/>
      <c r="K3701" s="72"/>
      <c r="L3701" s="50"/>
    </row>
    <row r="3702" spans="3:12" x14ac:dyDescent="0.3">
      <c r="C3702" s="47"/>
      <c r="H3702" s="49"/>
      <c r="K3702" s="72"/>
      <c r="L3702" s="50"/>
    </row>
    <row r="3703" spans="3:12" x14ac:dyDescent="0.3">
      <c r="C3703" s="47"/>
      <c r="H3703" s="49"/>
      <c r="K3703" s="72"/>
      <c r="L3703" s="50"/>
    </row>
    <row r="3704" spans="3:12" x14ac:dyDescent="0.3">
      <c r="C3704" s="47"/>
      <c r="H3704" s="49"/>
      <c r="K3704" s="72"/>
      <c r="L3704" s="50"/>
    </row>
    <row r="3705" spans="3:12" x14ac:dyDescent="0.3">
      <c r="C3705" s="47"/>
      <c r="H3705" s="49"/>
      <c r="K3705" s="72"/>
      <c r="L3705" s="50"/>
    </row>
    <row r="3706" spans="3:12" x14ac:dyDescent="0.3">
      <c r="C3706" s="47"/>
      <c r="H3706" s="49"/>
      <c r="K3706" s="72"/>
      <c r="L3706" s="50"/>
    </row>
    <row r="3707" spans="3:12" x14ac:dyDescent="0.3">
      <c r="C3707" s="47"/>
      <c r="H3707" s="49"/>
      <c r="K3707" s="72"/>
      <c r="L3707" s="50"/>
    </row>
    <row r="3708" spans="3:12" x14ac:dyDescent="0.3">
      <c r="C3708" s="47"/>
      <c r="H3708" s="49"/>
      <c r="K3708" s="72"/>
      <c r="L3708" s="50"/>
    </row>
    <row r="3709" spans="3:12" x14ac:dyDescent="0.3">
      <c r="C3709" s="47"/>
      <c r="H3709" s="49"/>
      <c r="K3709" s="72"/>
      <c r="L3709" s="50"/>
    </row>
    <row r="3710" spans="3:12" x14ac:dyDescent="0.3">
      <c r="C3710" s="47"/>
      <c r="H3710" s="49"/>
      <c r="K3710" s="72"/>
      <c r="L3710" s="50"/>
    </row>
    <row r="3711" spans="3:12" x14ac:dyDescent="0.3">
      <c r="C3711" s="47"/>
      <c r="H3711" s="49"/>
      <c r="K3711" s="72"/>
      <c r="L3711" s="50"/>
    </row>
    <row r="3712" spans="3:12" x14ac:dyDescent="0.3">
      <c r="C3712" s="47"/>
      <c r="H3712" s="49"/>
      <c r="K3712" s="72"/>
      <c r="L3712" s="50"/>
    </row>
    <row r="3713" spans="3:12" x14ac:dyDescent="0.3">
      <c r="C3713" s="47"/>
      <c r="H3713" s="49"/>
      <c r="K3713" s="72"/>
      <c r="L3713" s="50"/>
    </row>
    <row r="3714" spans="3:12" x14ac:dyDescent="0.3">
      <c r="C3714" s="47"/>
      <c r="H3714" s="49"/>
      <c r="K3714" s="72"/>
      <c r="L3714" s="50"/>
    </row>
    <row r="3715" spans="3:12" x14ac:dyDescent="0.3">
      <c r="C3715" s="47"/>
      <c r="H3715" s="49"/>
      <c r="K3715" s="72"/>
      <c r="L3715" s="50"/>
    </row>
    <row r="3716" spans="3:12" x14ac:dyDescent="0.3">
      <c r="C3716" s="47"/>
      <c r="H3716" s="49"/>
      <c r="K3716" s="72"/>
      <c r="L3716" s="50"/>
    </row>
    <row r="3717" spans="3:12" x14ac:dyDescent="0.3">
      <c r="C3717" s="47"/>
      <c r="H3717" s="49"/>
      <c r="K3717" s="72"/>
      <c r="L3717" s="50"/>
    </row>
    <row r="3718" spans="3:12" x14ac:dyDescent="0.3">
      <c r="C3718" s="47"/>
      <c r="H3718" s="49"/>
      <c r="K3718" s="72"/>
      <c r="L3718" s="50"/>
    </row>
    <row r="3719" spans="3:12" x14ac:dyDescent="0.3">
      <c r="C3719" s="47"/>
      <c r="H3719" s="49"/>
      <c r="K3719" s="72"/>
      <c r="L3719" s="50"/>
    </row>
    <row r="3720" spans="3:12" x14ac:dyDescent="0.3">
      <c r="C3720" s="47"/>
      <c r="H3720" s="49"/>
      <c r="K3720" s="72"/>
      <c r="L3720" s="50"/>
    </row>
    <row r="3721" spans="3:12" x14ac:dyDescent="0.3">
      <c r="C3721" s="47"/>
      <c r="H3721" s="49"/>
      <c r="K3721" s="72"/>
      <c r="L3721" s="50"/>
    </row>
    <row r="3722" spans="3:12" x14ac:dyDescent="0.3">
      <c r="C3722" s="47"/>
      <c r="H3722" s="49"/>
      <c r="K3722" s="72"/>
      <c r="L3722" s="50"/>
    </row>
    <row r="3723" spans="3:12" x14ac:dyDescent="0.3">
      <c r="C3723" s="47"/>
      <c r="H3723" s="49"/>
      <c r="K3723" s="72"/>
      <c r="L3723" s="50"/>
    </row>
    <row r="3724" spans="3:12" x14ac:dyDescent="0.3">
      <c r="C3724" s="47"/>
      <c r="H3724" s="49"/>
      <c r="K3724" s="72"/>
      <c r="L3724" s="50"/>
    </row>
    <row r="3725" spans="3:12" x14ac:dyDescent="0.3">
      <c r="C3725" s="47"/>
      <c r="H3725" s="49"/>
      <c r="K3725" s="72"/>
      <c r="L3725" s="50"/>
    </row>
    <row r="3726" spans="3:12" x14ac:dyDescent="0.3">
      <c r="C3726" s="47"/>
      <c r="H3726" s="49"/>
      <c r="K3726" s="72"/>
      <c r="L3726" s="50"/>
    </row>
    <row r="3727" spans="3:12" x14ac:dyDescent="0.3">
      <c r="C3727" s="47"/>
      <c r="H3727" s="49"/>
      <c r="K3727" s="72"/>
      <c r="L3727" s="50"/>
    </row>
    <row r="3728" spans="3:12" x14ac:dyDescent="0.3">
      <c r="C3728" s="47"/>
      <c r="H3728" s="49"/>
      <c r="K3728" s="72"/>
      <c r="L3728" s="50"/>
    </row>
    <row r="3729" spans="3:12" x14ac:dyDescent="0.3">
      <c r="C3729" s="47"/>
      <c r="H3729" s="49"/>
      <c r="K3729" s="72"/>
      <c r="L3729" s="50"/>
    </row>
    <row r="3730" spans="3:12" x14ac:dyDescent="0.3">
      <c r="C3730" s="47"/>
      <c r="H3730" s="49"/>
      <c r="K3730" s="72"/>
      <c r="L3730" s="50"/>
    </row>
    <row r="3731" spans="3:12" x14ac:dyDescent="0.3">
      <c r="C3731" s="47"/>
      <c r="H3731" s="49"/>
      <c r="K3731" s="72"/>
      <c r="L3731" s="50"/>
    </row>
    <row r="3732" spans="3:12" x14ac:dyDescent="0.3">
      <c r="C3732" s="47"/>
      <c r="H3732" s="49"/>
      <c r="K3732" s="72"/>
      <c r="L3732" s="50"/>
    </row>
    <row r="3733" spans="3:12" x14ac:dyDescent="0.3">
      <c r="C3733" s="47"/>
      <c r="H3733" s="49"/>
      <c r="K3733" s="72"/>
      <c r="L3733" s="50"/>
    </row>
    <row r="3734" spans="3:12" x14ac:dyDescent="0.3">
      <c r="C3734" s="47"/>
      <c r="H3734" s="49"/>
      <c r="K3734" s="72"/>
      <c r="L3734" s="50"/>
    </row>
    <row r="3735" spans="3:12" x14ac:dyDescent="0.3">
      <c r="C3735" s="47"/>
      <c r="H3735" s="49"/>
      <c r="K3735" s="72"/>
      <c r="L3735" s="50"/>
    </row>
    <row r="3736" spans="3:12" x14ac:dyDescent="0.3">
      <c r="C3736" s="47"/>
      <c r="H3736" s="49"/>
      <c r="K3736" s="72"/>
      <c r="L3736" s="50"/>
    </row>
    <row r="3737" spans="3:12" x14ac:dyDescent="0.3">
      <c r="C3737" s="47"/>
      <c r="H3737" s="49"/>
      <c r="K3737" s="72"/>
      <c r="L3737" s="50"/>
    </row>
    <row r="3738" spans="3:12" x14ac:dyDescent="0.3">
      <c r="C3738" s="47"/>
      <c r="H3738" s="49"/>
      <c r="K3738" s="72"/>
      <c r="L3738" s="50"/>
    </row>
    <row r="3739" spans="3:12" x14ac:dyDescent="0.3">
      <c r="C3739" s="47"/>
      <c r="H3739" s="49"/>
      <c r="K3739" s="72"/>
      <c r="L3739" s="50"/>
    </row>
    <row r="3740" spans="3:12" x14ac:dyDescent="0.3">
      <c r="C3740" s="47"/>
      <c r="H3740" s="49"/>
      <c r="K3740" s="72"/>
      <c r="L3740" s="50"/>
    </row>
    <row r="3741" spans="3:12" x14ac:dyDescent="0.3">
      <c r="C3741" s="47"/>
      <c r="H3741" s="49"/>
      <c r="K3741" s="72"/>
      <c r="L3741" s="50"/>
    </row>
    <row r="3742" spans="3:12" x14ac:dyDescent="0.3">
      <c r="C3742" s="47"/>
      <c r="H3742" s="49"/>
      <c r="K3742" s="72"/>
      <c r="L3742" s="50"/>
    </row>
    <row r="3743" spans="3:12" x14ac:dyDescent="0.3">
      <c r="C3743" s="47"/>
      <c r="H3743" s="49"/>
      <c r="K3743" s="72"/>
      <c r="L3743" s="50"/>
    </row>
    <row r="3744" spans="3:12" x14ac:dyDescent="0.3">
      <c r="C3744" s="47"/>
      <c r="H3744" s="49"/>
      <c r="K3744" s="72"/>
      <c r="L3744" s="50"/>
    </row>
    <row r="3745" spans="3:12" x14ac:dyDescent="0.3">
      <c r="C3745" s="47"/>
      <c r="H3745" s="49"/>
      <c r="K3745" s="72"/>
      <c r="L3745" s="50"/>
    </row>
    <row r="3746" spans="3:12" x14ac:dyDescent="0.3">
      <c r="C3746" s="47"/>
      <c r="H3746" s="49"/>
      <c r="K3746" s="72"/>
      <c r="L3746" s="50"/>
    </row>
    <row r="3747" spans="3:12" x14ac:dyDescent="0.3">
      <c r="C3747" s="47"/>
      <c r="H3747" s="49"/>
      <c r="K3747" s="72"/>
      <c r="L3747" s="50"/>
    </row>
    <row r="3748" spans="3:12" x14ac:dyDescent="0.3">
      <c r="C3748" s="47"/>
      <c r="H3748" s="49"/>
      <c r="K3748" s="72"/>
      <c r="L3748" s="50"/>
    </row>
    <row r="3749" spans="3:12" x14ac:dyDescent="0.3">
      <c r="C3749" s="47"/>
      <c r="H3749" s="49"/>
      <c r="K3749" s="72"/>
      <c r="L3749" s="50"/>
    </row>
    <row r="3750" spans="3:12" x14ac:dyDescent="0.3">
      <c r="C3750" s="47"/>
      <c r="H3750" s="49"/>
      <c r="K3750" s="72"/>
      <c r="L3750" s="50"/>
    </row>
    <row r="3751" spans="3:12" x14ac:dyDescent="0.3">
      <c r="C3751" s="47"/>
      <c r="H3751" s="49"/>
      <c r="K3751" s="72"/>
      <c r="L3751" s="50"/>
    </row>
    <row r="3752" spans="3:12" x14ac:dyDescent="0.3">
      <c r="C3752" s="47"/>
      <c r="H3752" s="49"/>
      <c r="K3752" s="72"/>
      <c r="L3752" s="50"/>
    </row>
    <row r="3753" spans="3:12" x14ac:dyDescent="0.3">
      <c r="C3753" s="47"/>
      <c r="H3753" s="49"/>
      <c r="K3753" s="72"/>
      <c r="L3753" s="50"/>
    </row>
    <row r="3754" spans="3:12" x14ac:dyDescent="0.3">
      <c r="C3754" s="47"/>
      <c r="H3754" s="49"/>
      <c r="K3754" s="72"/>
      <c r="L3754" s="50"/>
    </row>
    <row r="3755" spans="3:12" x14ac:dyDescent="0.3">
      <c r="C3755" s="47"/>
      <c r="H3755" s="49"/>
      <c r="K3755" s="72"/>
      <c r="L3755" s="50"/>
    </row>
    <row r="3756" spans="3:12" x14ac:dyDescent="0.3">
      <c r="C3756" s="47"/>
      <c r="H3756" s="49"/>
      <c r="K3756" s="72"/>
      <c r="L3756" s="50"/>
    </row>
    <row r="3757" spans="3:12" x14ac:dyDescent="0.3">
      <c r="C3757" s="47"/>
      <c r="H3757" s="49"/>
      <c r="K3757" s="72"/>
      <c r="L3757" s="50"/>
    </row>
    <row r="3758" spans="3:12" x14ac:dyDescent="0.3">
      <c r="C3758" s="47"/>
      <c r="H3758" s="49"/>
      <c r="K3758" s="72"/>
      <c r="L3758" s="50"/>
    </row>
    <row r="3759" spans="3:12" x14ac:dyDescent="0.3">
      <c r="C3759" s="47"/>
      <c r="H3759" s="49"/>
      <c r="K3759" s="72"/>
      <c r="L3759" s="50"/>
    </row>
    <row r="3760" spans="3:12" x14ac:dyDescent="0.3">
      <c r="C3760" s="47"/>
      <c r="H3760" s="49"/>
      <c r="K3760" s="72"/>
      <c r="L3760" s="50"/>
    </row>
    <row r="3761" spans="3:12" x14ac:dyDescent="0.3">
      <c r="C3761" s="47"/>
      <c r="H3761" s="49"/>
      <c r="K3761" s="72"/>
      <c r="L3761" s="50"/>
    </row>
    <row r="3762" spans="3:12" x14ac:dyDescent="0.3">
      <c r="C3762" s="47"/>
      <c r="H3762" s="49"/>
      <c r="K3762" s="72"/>
      <c r="L3762" s="50"/>
    </row>
    <row r="3763" spans="3:12" x14ac:dyDescent="0.3">
      <c r="C3763" s="47"/>
      <c r="H3763" s="49"/>
      <c r="K3763" s="72"/>
      <c r="L3763" s="50"/>
    </row>
    <row r="3764" spans="3:12" x14ac:dyDescent="0.3">
      <c r="C3764" s="47"/>
      <c r="H3764" s="49"/>
      <c r="K3764" s="72"/>
      <c r="L3764" s="50"/>
    </row>
    <row r="3765" spans="3:12" x14ac:dyDescent="0.3">
      <c r="C3765" s="47"/>
      <c r="H3765" s="49"/>
      <c r="K3765" s="72"/>
      <c r="L3765" s="50"/>
    </row>
    <row r="3766" spans="3:12" x14ac:dyDescent="0.3">
      <c r="C3766" s="47"/>
      <c r="H3766" s="49"/>
      <c r="K3766" s="72"/>
      <c r="L3766" s="50"/>
    </row>
    <row r="3767" spans="3:12" x14ac:dyDescent="0.3">
      <c r="C3767" s="47"/>
      <c r="H3767" s="49"/>
      <c r="K3767" s="72"/>
      <c r="L3767" s="50"/>
    </row>
    <row r="3768" spans="3:12" x14ac:dyDescent="0.3">
      <c r="C3768" s="47"/>
      <c r="H3768" s="49"/>
      <c r="K3768" s="72"/>
      <c r="L3768" s="50"/>
    </row>
    <row r="3769" spans="3:12" x14ac:dyDescent="0.3">
      <c r="C3769" s="47"/>
      <c r="H3769" s="49"/>
      <c r="K3769" s="72"/>
      <c r="L3769" s="50"/>
    </row>
    <row r="3770" spans="3:12" x14ac:dyDescent="0.3">
      <c r="C3770" s="47"/>
      <c r="H3770" s="49"/>
      <c r="K3770" s="72"/>
      <c r="L3770" s="50"/>
    </row>
    <row r="3771" spans="3:12" x14ac:dyDescent="0.3">
      <c r="C3771" s="47"/>
      <c r="H3771" s="49"/>
      <c r="K3771" s="72"/>
      <c r="L3771" s="50"/>
    </row>
    <row r="3772" spans="3:12" x14ac:dyDescent="0.3">
      <c r="C3772" s="47"/>
      <c r="H3772" s="49"/>
      <c r="K3772" s="72"/>
      <c r="L3772" s="50"/>
    </row>
    <row r="3773" spans="3:12" x14ac:dyDescent="0.3">
      <c r="C3773" s="47"/>
      <c r="H3773" s="49"/>
      <c r="K3773" s="72"/>
      <c r="L3773" s="50"/>
    </row>
    <row r="3774" spans="3:12" x14ac:dyDescent="0.3">
      <c r="C3774" s="47"/>
      <c r="H3774" s="49"/>
      <c r="K3774" s="72"/>
      <c r="L3774" s="50"/>
    </row>
    <row r="3775" spans="3:12" x14ac:dyDescent="0.3">
      <c r="C3775" s="47"/>
      <c r="H3775" s="49"/>
      <c r="K3775" s="72"/>
      <c r="L3775" s="50"/>
    </row>
    <row r="3776" spans="3:12" x14ac:dyDescent="0.3">
      <c r="C3776" s="47"/>
      <c r="H3776" s="49"/>
      <c r="K3776" s="72"/>
      <c r="L3776" s="50"/>
    </row>
    <row r="3777" spans="3:12" x14ac:dyDescent="0.3">
      <c r="C3777" s="47"/>
      <c r="H3777" s="49"/>
      <c r="K3777" s="72"/>
      <c r="L3777" s="50"/>
    </row>
    <row r="3778" spans="3:12" x14ac:dyDescent="0.3">
      <c r="C3778" s="47"/>
      <c r="H3778" s="49"/>
      <c r="K3778" s="72"/>
      <c r="L3778" s="50"/>
    </row>
    <row r="3779" spans="3:12" x14ac:dyDescent="0.3">
      <c r="C3779" s="47"/>
      <c r="H3779" s="49"/>
      <c r="K3779" s="72"/>
      <c r="L3779" s="50"/>
    </row>
    <row r="3780" spans="3:12" x14ac:dyDescent="0.3">
      <c r="C3780" s="47"/>
      <c r="H3780" s="49"/>
      <c r="K3780" s="72"/>
      <c r="L3780" s="50"/>
    </row>
    <row r="3781" spans="3:12" x14ac:dyDescent="0.3">
      <c r="C3781" s="47"/>
      <c r="H3781" s="49"/>
      <c r="K3781" s="72"/>
      <c r="L3781" s="50"/>
    </row>
    <row r="3782" spans="3:12" x14ac:dyDescent="0.3">
      <c r="C3782" s="47"/>
      <c r="H3782" s="49"/>
      <c r="K3782" s="72"/>
      <c r="L3782" s="50"/>
    </row>
    <row r="3783" spans="3:12" x14ac:dyDescent="0.3">
      <c r="C3783" s="47"/>
      <c r="H3783" s="49"/>
      <c r="K3783" s="72"/>
      <c r="L3783" s="50"/>
    </row>
    <row r="3784" spans="3:12" x14ac:dyDescent="0.3">
      <c r="C3784" s="47"/>
      <c r="H3784" s="49"/>
      <c r="K3784" s="72"/>
      <c r="L3784" s="50"/>
    </row>
    <row r="3785" spans="3:12" x14ac:dyDescent="0.3">
      <c r="C3785" s="47"/>
      <c r="H3785" s="49"/>
      <c r="K3785" s="72"/>
      <c r="L3785" s="50"/>
    </row>
    <row r="3786" spans="3:12" x14ac:dyDescent="0.3">
      <c r="C3786" s="47"/>
      <c r="H3786" s="49"/>
      <c r="K3786" s="72"/>
      <c r="L3786" s="50"/>
    </row>
    <row r="3787" spans="3:12" x14ac:dyDescent="0.3">
      <c r="C3787" s="47"/>
      <c r="H3787" s="49"/>
      <c r="K3787" s="72"/>
      <c r="L3787" s="50"/>
    </row>
    <row r="3788" spans="3:12" x14ac:dyDescent="0.3">
      <c r="C3788" s="47"/>
      <c r="H3788" s="49"/>
      <c r="K3788" s="72"/>
      <c r="L3788" s="50"/>
    </row>
    <row r="3789" spans="3:12" x14ac:dyDescent="0.3">
      <c r="C3789" s="47"/>
      <c r="H3789" s="49"/>
      <c r="K3789" s="72"/>
      <c r="L3789" s="50"/>
    </row>
    <row r="3790" spans="3:12" x14ac:dyDescent="0.3">
      <c r="C3790" s="47"/>
      <c r="H3790" s="49"/>
      <c r="K3790" s="72"/>
      <c r="L3790" s="50"/>
    </row>
    <row r="3791" spans="3:12" x14ac:dyDescent="0.3">
      <c r="C3791" s="47"/>
      <c r="H3791" s="49"/>
      <c r="K3791" s="72"/>
      <c r="L3791" s="50"/>
    </row>
    <row r="3792" spans="3:12" x14ac:dyDescent="0.3">
      <c r="C3792" s="47"/>
      <c r="H3792" s="49"/>
      <c r="K3792" s="72"/>
      <c r="L3792" s="50"/>
    </row>
    <row r="3793" spans="3:12" x14ac:dyDescent="0.3">
      <c r="C3793" s="47"/>
      <c r="H3793" s="49"/>
      <c r="K3793" s="72"/>
      <c r="L3793" s="50"/>
    </row>
    <row r="3794" spans="3:12" x14ac:dyDescent="0.3">
      <c r="C3794" s="47"/>
      <c r="H3794" s="49"/>
      <c r="K3794" s="72"/>
      <c r="L3794" s="50"/>
    </row>
    <row r="3795" spans="3:12" x14ac:dyDescent="0.3">
      <c r="C3795" s="47"/>
      <c r="H3795" s="49"/>
      <c r="K3795" s="72"/>
      <c r="L3795" s="50"/>
    </row>
    <row r="3796" spans="3:12" x14ac:dyDescent="0.3">
      <c r="C3796" s="47"/>
      <c r="H3796" s="49"/>
      <c r="K3796" s="72"/>
      <c r="L3796" s="50"/>
    </row>
    <row r="3797" spans="3:12" x14ac:dyDescent="0.3">
      <c r="C3797" s="47"/>
      <c r="H3797" s="49"/>
      <c r="K3797" s="72"/>
      <c r="L3797" s="50"/>
    </row>
    <row r="3798" spans="3:12" x14ac:dyDescent="0.3">
      <c r="C3798" s="47"/>
      <c r="H3798" s="49"/>
      <c r="K3798" s="72"/>
      <c r="L3798" s="50"/>
    </row>
    <row r="3799" spans="3:12" x14ac:dyDescent="0.3">
      <c r="C3799" s="47"/>
      <c r="H3799" s="49"/>
      <c r="K3799" s="72"/>
      <c r="L3799" s="50"/>
    </row>
    <row r="3800" spans="3:12" x14ac:dyDescent="0.3">
      <c r="C3800" s="47"/>
      <c r="H3800" s="49"/>
      <c r="K3800" s="72"/>
      <c r="L3800" s="50"/>
    </row>
    <row r="3801" spans="3:12" x14ac:dyDescent="0.3">
      <c r="C3801" s="47"/>
      <c r="H3801" s="49"/>
      <c r="K3801" s="72"/>
      <c r="L3801" s="50"/>
    </row>
    <row r="3802" spans="3:12" x14ac:dyDescent="0.3">
      <c r="C3802" s="47"/>
      <c r="H3802" s="49"/>
      <c r="K3802" s="72"/>
      <c r="L3802" s="50"/>
    </row>
    <row r="3803" spans="3:12" x14ac:dyDescent="0.3">
      <c r="C3803" s="47"/>
      <c r="H3803" s="49"/>
      <c r="K3803" s="72"/>
      <c r="L3803" s="50"/>
    </row>
    <row r="3804" spans="3:12" x14ac:dyDescent="0.3">
      <c r="C3804" s="47"/>
      <c r="H3804" s="49"/>
      <c r="K3804" s="72"/>
      <c r="L3804" s="50"/>
    </row>
    <row r="3805" spans="3:12" x14ac:dyDescent="0.3">
      <c r="C3805" s="47"/>
      <c r="H3805" s="49"/>
      <c r="K3805" s="72"/>
      <c r="L3805" s="50"/>
    </row>
    <row r="3806" spans="3:12" x14ac:dyDescent="0.3">
      <c r="C3806" s="47"/>
      <c r="H3806" s="49"/>
      <c r="K3806" s="72"/>
      <c r="L3806" s="50"/>
    </row>
    <row r="3807" spans="3:12" x14ac:dyDescent="0.3">
      <c r="C3807" s="47"/>
      <c r="H3807" s="49"/>
      <c r="K3807" s="72"/>
      <c r="L3807" s="50"/>
    </row>
    <row r="3808" spans="3:12" x14ac:dyDescent="0.3">
      <c r="C3808" s="47"/>
      <c r="H3808" s="49"/>
      <c r="K3808" s="72"/>
      <c r="L3808" s="50"/>
    </row>
    <row r="3809" spans="3:12" x14ac:dyDescent="0.3">
      <c r="C3809" s="47"/>
      <c r="H3809" s="49"/>
      <c r="K3809" s="72"/>
      <c r="L3809" s="50"/>
    </row>
    <row r="3810" spans="3:12" x14ac:dyDescent="0.3">
      <c r="C3810" s="47"/>
      <c r="H3810" s="49"/>
      <c r="K3810" s="72"/>
      <c r="L3810" s="50"/>
    </row>
    <row r="3811" spans="3:12" x14ac:dyDescent="0.3">
      <c r="C3811" s="47"/>
      <c r="H3811" s="49"/>
      <c r="K3811" s="72"/>
      <c r="L3811" s="50"/>
    </row>
    <row r="3812" spans="3:12" x14ac:dyDescent="0.3">
      <c r="C3812" s="47"/>
      <c r="H3812" s="49"/>
      <c r="K3812" s="72"/>
      <c r="L3812" s="50"/>
    </row>
    <row r="3813" spans="3:12" x14ac:dyDescent="0.3">
      <c r="C3813" s="47"/>
      <c r="H3813" s="49"/>
      <c r="K3813" s="72"/>
      <c r="L3813" s="50"/>
    </row>
    <row r="3814" spans="3:12" x14ac:dyDescent="0.3">
      <c r="C3814" s="47"/>
      <c r="H3814" s="49"/>
      <c r="K3814" s="72"/>
      <c r="L3814" s="50"/>
    </row>
    <row r="3815" spans="3:12" x14ac:dyDescent="0.3">
      <c r="C3815" s="47"/>
      <c r="H3815" s="49"/>
      <c r="K3815" s="72"/>
      <c r="L3815" s="50"/>
    </row>
    <row r="3816" spans="3:12" x14ac:dyDescent="0.3">
      <c r="C3816" s="47"/>
      <c r="H3816" s="49"/>
      <c r="K3816" s="72"/>
      <c r="L3816" s="50"/>
    </row>
    <row r="3817" spans="3:12" x14ac:dyDescent="0.3">
      <c r="C3817" s="47"/>
      <c r="H3817" s="49"/>
      <c r="K3817" s="72"/>
      <c r="L3817" s="50"/>
    </row>
    <row r="3818" spans="3:12" x14ac:dyDescent="0.3">
      <c r="C3818" s="47"/>
      <c r="H3818" s="49"/>
      <c r="K3818" s="72"/>
      <c r="L3818" s="50"/>
    </row>
    <row r="3819" spans="3:12" x14ac:dyDescent="0.3">
      <c r="C3819" s="47"/>
      <c r="H3819" s="49"/>
      <c r="K3819" s="72"/>
      <c r="L3819" s="50"/>
    </row>
    <row r="3820" spans="3:12" x14ac:dyDescent="0.3">
      <c r="C3820" s="47"/>
      <c r="H3820" s="49"/>
      <c r="K3820" s="72"/>
      <c r="L3820" s="50"/>
    </row>
    <row r="3821" spans="3:12" x14ac:dyDescent="0.3">
      <c r="C3821" s="47"/>
      <c r="H3821" s="49"/>
      <c r="K3821" s="72"/>
      <c r="L3821" s="50"/>
    </row>
    <row r="3822" spans="3:12" x14ac:dyDescent="0.3">
      <c r="C3822" s="47"/>
      <c r="H3822" s="49"/>
      <c r="K3822" s="72"/>
      <c r="L3822" s="50"/>
    </row>
    <row r="3823" spans="3:12" x14ac:dyDescent="0.3">
      <c r="C3823" s="47"/>
      <c r="H3823" s="49"/>
      <c r="K3823" s="72"/>
      <c r="L3823" s="50"/>
    </row>
    <row r="3824" spans="3:12" x14ac:dyDescent="0.3">
      <c r="C3824" s="47"/>
      <c r="H3824" s="49"/>
      <c r="K3824" s="72"/>
      <c r="L3824" s="50"/>
    </row>
    <row r="3825" spans="3:12" x14ac:dyDescent="0.3">
      <c r="C3825" s="47"/>
      <c r="H3825" s="49"/>
      <c r="K3825" s="72"/>
      <c r="L3825" s="50"/>
    </row>
    <row r="3826" spans="3:12" x14ac:dyDescent="0.3">
      <c r="C3826" s="47"/>
      <c r="H3826" s="49"/>
      <c r="K3826" s="72"/>
      <c r="L3826" s="50"/>
    </row>
    <row r="3827" spans="3:12" x14ac:dyDescent="0.3">
      <c r="C3827" s="47"/>
      <c r="H3827" s="49"/>
      <c r="K3827" s="72"/>
      <c r="L3827" s="50"/>
    </row>
    <row r="3828" spans="3:12" x14ac:dyDescent="0.3">
      <c r="C3828" s="47"/>
      <c r="H3828" s="49"/>
      <c r="K3828" s="72"/>
      <c r="L3828" s="50"/>
    </row>
    <row r="3829" spans="3:12" x14ac:dyDescent="0.3">
      <c r="C3829" s="47"/>
      <c r="H3829" s="49"/>
      <c r="K3829" s="72"/>
      <c r="L3829" s="50"/>
    </row>
    <row r="3830" spans="3:12" x14ac:dyDescent="0.3">
      <c r="C3830" s="47"/>
      <c r="H3830" s="49"/>
      <c r="K3830" s="72"/>
      <c r="L3830" s="50"/>
    </row>
    <row r="3831" spans="3:12" x14ac:dyDescent="0.3">
      <c r="C3831" s="47"/>
      <c r="H3831" s="49"/>
      <c r="K3831" s="72"/>
      <c r="L3831" s="50"/>
    </row>
    <row r="3832" spans="3:12" x14ac:dyDescent="0.3">
      <c r="C3832" s="47"/>
      <c r="H3832" s="49"/>
      <c r="K3832" s="72"/>
      <c r="L3832" s="50"/>
    </row>
    <row r="3833" spans="3:12" x14ac:dyDescent="0.3">
      <c r="C3833" s="47"/>
      <c r="H3833" s="49"/>
      <c r="K3833" s="72"/>
      <c r="L3833" s="50"/>
    </row>
    <row r="3834" spans="3:12" x14ac:dyDescent="0.3">
      <c r="C3834" s="47"/>
      <c r="H3834" s="49"/>
      <c r="K3834" s="72"/>
      <c r="L3834" s="50"/>
    </row>
    <row r="3835" spans="3:12" x14ac:dyDescent="0.3">
      <c r="C3835" s="47"/>
      <c r="H3835" s="49"/>
      <c r="K3835" s="72"/>
      <c r="L3835" s="50"/>
    </row>
    <row r="3836" spans="3:12" x14ac:dyDescent="0.3">
      <c r="C3836" s="47"/>
      <c r="H3836" s="49"/>
      <c r="K3836" s="72"/>
      <c r="L3836" s="50"/>
    </row>
    <row r="3837" spans="3:12" x14ac:dyDescent="0.3">
      <c r="C3837" s="47"/>
      <c r="H3837" s="49"/>
      <c r="K3837" s="72"/>
      <c r="L3837" s="50"/>
    </row>
    <row r="3838" spans="3:12" x14ac:dyDescent="0.3">
      <c r="C3838" s="47"/>
      <c r="H3838" s="49"/>
      <c r="K3838" s="72"/>
      <c r="L3838" s="50"/>
    </row>
    <row r="3839" spans="3:12" x14ac:dyDescent="0.3">
      <c r="C3839" s="47"/>
      <c r="H3839" s="49"/>
      <c r="K3839" s="72"/>
      <c r="L3839" s="50"/>
    </row>
    <row r="3840" spans="3:12" x14ac:dyDescent="0.3">
      <c r="C3840" s="47"/>
      <c r="H3840" s="49"/>
      <c r="K3840" s="72"/>
      <c r="L3840" s="50"/>
    </row>
    <row r="3841" spans="3:12" x14ac:dyDescent="0.3">
      <c r="C3841" s="47"/>
      <c r="H3841" s="49"/>
      <c r="K3841" s="72"/>
      <c r="L3841" s="50"/>
    </row>
    <row r="3842" spans="3:12" x14ac:dyDescent="0.3">
      <c r="C3842" s="47"/>
      <c r="H3842" s="49"/>
      <c r="K3842" s="72"/>
      <c r="L3842" s="50"/>
    </row>
    <row r="3843" spans="3:12" x14ac:dyDescent="0.3">
      <c r="C3843" s="47"/>
      <c r="H3843" s="49"/>
      <c r="K3843" s="72"/>
      <c r="L3843" s="50"/>
    </row>
    <row r="3844" spans="3:12" x14ac:dyDescent="0.3">
      <c r="C3844" s="47"/>
      <c r="H3844" s="49"/>
      <c r="K3844" s="72"/>
      <c r="L3844" s="50"/>
    </row>
    <row r="3845" spans="3:12" x14ac:dyDescent="0.3">
      <c r="C3845" s="47"/>
      <c r="H3845" s="49"/>
      <c r="K3845" s="72"/>
      <c r="L3845" s="50"/>
    </row>
    <row r="3846" spans="3:12" x14ac:dyDescent="0.3">
      <c r="C3846" s="47"/>
      <c r="H3846" s="49"/>
      <c r="K3846" s="72"/>
      <c r="L3846" s="50"/>
    </row>
    <row r="3847" spans="3:12" x14ac:dyDescent="0.3">
      <c r="C3847" s="47"/>
      <c r="H3847" s="49"/>
      <c r="K3847" s="72"/>
      <c r="L3847" s="50"/>
    </row>
    <row r="3848" spans="3:12" x14ac:dyDescent="0.3">
      <c r="C3848" s="47"/>
      <c r="H3848" s="49"/>
      <c r="K3848" s="72"/>
      <c r="L3848" s="50"/>
    </row>
    <row r="3849" spans="3:12" x14ac:dyDescent="0.3">
      <c r="C3849" s="47"/>
      <c r="H3849" s="49"/>
      <c r="K3849" s="72"/>
      <c r="L3849" s="50"/>
    </row>
    <row r="3850" spans="3:12" x14ac:dyDescent="0.3">
      <c r="C3850" s="47"/>
      <c r="H3850" s="49"/>
      <c r="K3850" s="72"/>
      <c r="L3850" s="50"/>
    </row>
    <row r="3851" spans="3:12" x14ac:dyDescent="0.3">
      <c r="C3851" s="47"/>
      <c r="H3851" s="49"/>
      <c r="K3851" s="72"/>
      <c r="L3851" s="50"/>
    </row>
    <row r="3852" spans="3:12" x14ac:dyDescent="0.3">
      <c r="C3852" s="47"/>
      <c r="H3852" s="49"/>
      <c r="K3852" s="72"/>
      <c r="L3852" s="50"/>
    </row>
    <row r="3853" spans="3:12" x14ac:dyDescent="0.3">
      <c r="C3853" s="47"/>
      <c r="H3853" s="49"/>
      <c r="K3853" s="72"/>
      <c r="L3853" s="50"/>
    </row>
    <row r="3854" spans="3:12" x14ac:dyDescent="0.3">
      <c r="C3854" s="47"/>
      <c r="H3854" s="49"/>
      <c r="K3854" s="72"/>
      <c r="L3854" s="50"/>
    </row>
    <row r="3855" spans="3:12" x14ac:dyDescent="0.3">
      <c r="C3855" s="47"/>
      <c r="H3855" s="49"/>
      <c r="K3855" s="72"/>
      <c r="L3855" s="50"/>
    </row>
    <row r="3856" spans="3:12" x14ac:dyDescent="0.3">
      <c r="C3856" s="47"/>
      <c r="H3856" s="49"/>
      <c r="K3856" s="72"/>
      <c r="L3856" s="50"/>
    </row>
    <row r="3857" spans="3:12" x14ac:dyDescent="0.3">
      <c r="C3857" s="47"/>
      <c r="H3857" s="49"/>
      <c r="K3857" s="72"/>
      <c r="L3857" s="50"/>
    </row>
    <row r="3858" spans="3:12" x14ac:dyDescent="0.3">
      <c r="C3858" s="47"/>
      <c r="H3858" s="49"/>
      <c r="K3858" s="72"/>
      <c r="L3858" s="50"/>
    </row>
    <row r="3859" spans="3:12" x14ac:dyDescent="0.3">
      <c r="C3859" s="47"/>
      <c r="H3859" s="49"/>
      <c r="K3859" s="72"/>
      <c r="L3859" s="50"/>
    </row>
    <row r="3860" spans="3:12" x14ac:dyDescent="0.3">
      <c r="C3860" s="47"/>
      <c r="H3860" s="49"/>
      <c r="K3860" s="72"/>
      <c r="L3860" s="50"/>
    </row>
    <row r="3861" spans="3:12" x14ac:dyDescent="0.3">
      <c r="C3861" s="47"/>
      <c r="H3861" s="49"/>
      <c r="K3861" s="72"/>
      <c r="L3861" s="50"/>
    </row>
    <row r="3862" spans="3:12" x14ac:dyDescent="0.3">
      <c r="C3862" s="47"/>
      <c r="H3862" s="49"/>
      <c r="K3862" s="72"/>
      <c r="L3862" s="50"/>
    </row>
    <row r="3863" spans="3:12" x14ac:dyDescent="0.3">
      <c r="C3863" s="47"/>
      <c r="H3863" s="49"/>
      <c r="K3863" s="72"/>
      <c r="L3863" s="50"/>
    </row>
    <row r="3864" spans="3:12" x14ac:dyDescent="0.3">
      <c r="C3864" s="47"/>
      <c r="H3864" s="49"/>
      <c r="K3864" s="72"/>
      <c r="L3864" s="50"/>
    </row>
    <row r="3865" spans="3:12" x14ac:dyDescent="0.3">
      <c r="C3865" s="47"/>
      <c r="H3865" s="49"/>
      <c r="K3865" s="72"/>
      <c r="L3865" s="50"/>
    </row>
    <row r="3866" spans="3:12" x14ac:dyDescent="0.3">
      <c r="C3866" s="47"/>
      <c r="H3866" s="49"/>
      <c r="K3866" s="72"/>
      <c r="L3866" s="50"/>
    </row>
    <row r="3867" spans="3:12" x14ac:dyDescent="0.3">
      <c r="C3867" s="47"/>
      <c r="H3867" s="49"/>
      <c r="K3867" s="72"/>
      <c r="L3867" s="50"/>
    </row>
    <row r="3868" spans="3:12" x14ac:dyDescent="0.3">
      <c r="C3868" s="47"/>
      <c r="H3868" s="49"/>
      <c r="K3868" s="72"/>
      <c r="L3868" s="50"/>
    </row>
    <row r="3869" spans="3:12" x14ac:dyDescent="0.3">
      <c r="C3869" s="47"/>
      <c r="H3869" s="49"/>
      <c r="K3869" s="72"/>
      <c r="L3869" s="50"/>
    </row>
    <row r="3870" spans="3:12" x14ac:dyDescent="0.3">
      <c r="C3870" s="47"/>
      <c r="H3870" s="49"/>
      <c r="K3870" s="72"/>
      <c r="L3870" s="50"/>
    </row>
    <row r="3871" spans="3:12" x14ac:dyDescent="0.3">
      <c r="C3871" s="47"/>
      <c r="H3871" s="49"/>
      <c r="K3871" s="72"/>
      <c r="L3871" s="50"/>
    </row>
    <row r="3872" spans="3:12" x14ac:dyDescent="0.3">
      <c r="C3872" s="47"/>
      <c r="H3872" s="49"/>
      <c r="K3872" s="72"/>
      <c r="L3872" s="50"/>
    </row>
    <row r="3873" spans="3:12" x14ac:dyDescent="0.3">
      <c r="C3873" s="47"/>
      <c r="H3873" s="49"/>
      <c r="K3873" s="72"/>
      <c r="L3873" s="50"/>
    </row>
    <row r="3874" spans="3:12" x14ac:dyDescent="0.3">
      <c r="C3874" s="47"/>
      <c r="H3874" s="49"/>
      <c r="K3874" s="72"/>
      <c r="L3874" s="50"/>
    </row>
    <row r="3875" spans="3:12" x14ac:dyDescent="0.3">
      <c r="C3875" s="47"/>
      <c r="H3875" s="49"/>
      <c r="K3875" s="72"/>
      <c r="L3875" s="50"/>
    </row>
    <row r="3876" spans="3:12" x14ac:dyDescent="0.3">
      <c r="C3876" s="47"/>
      <c r="H3876" s="49"/>
      <c r="K3876" s="72"/>
      <c r="L3876" s="50"/>
    </row>
    <row r="3877" spans="3:12" x14ac:dyDescent="0.3">
      <c r="C3877" s="47"/>
      <c r="H3877" s="49"/>
      <c r="K3877" s="72"/>
      <c r="L3877" s="50"/>
    </row>
    <row r="3878" spans="3:12" x14ac:dyDescent="0.3">
      <c r="C3878" s="47"/>
      <c r="H3878" s="49"/>
      <c r="K3878" s="72"/>
      <c r="L3878" s="50"/>
    </row>
    <row r="3879" spans="3:12" x14ac:dyDescent="0.3">
      <c r="C3879" s="47"/>
      <c r="H3879" s="49"/>
      <c r="K3879" s="72"/>
      <c r="L3879" s="50"/>
    </row>
    <row r="3880" spans="3:12" x14ac:dyDescent="0.3">
      <c r="C3880" s="47"/>
      <c r="H3880" s="49"/>
      <c r="K3880" s="72"/>
      <c r="L3880" s="50"/>
    </row>
    <row r="3881" spans="3:12" x14ac:dyDescent="0.3">
      <c r="C3881" s="47"/>
      <c r="H3881" s="49"/>
      <c r="K3881" s="72"/>
      <c r="L3881" s="50"/>
    </row>
    <row r="3882" spans="3:12" x14ac:dyDescent="0.3">
      <c r="C3882" s="47"/>
      <c r="H3882" s="49"/>
      <c r="K3882" s="72"/>
      <c r="L3882" s="50"/>
    </row>
    <row r="3883" spans="3:12" x14ac:dyDescent="0.3">
      <c r="C3883" s="47"/>
      <c r="H3883" s="49"/>
      <c r="K3883" s="72"/>
      <c r="L3883" s="50"/>
    </row>
    <row r="3884" spans="3:12" x14ac:dyDescent="0.3">
      <c r="C3884" s="47"/>
      <c r="H3884" s="49"/>
      <c r="K3884" s="72"/>
      <c r="L3884" s="50"/>
    </row>
    <row r="3885" spans="3:12" x14ac:dyDescent="0.3">
      <c r="C3885" s="47"/>
      <c r="H3885" s="49"/>
      <c r="K3885" s="72"/>
      <c r="L3885" s="50"/>
    </row>
    <row r="3886" spans="3:12" x14ac:dyDescent="0.3">
      <c r="C3886" s="47"/>
      <c r="H3886" s="49"/>
      <c r="K3886" s="72"/>
      <c r="L3886" s="50"/>
    </row>
    <row r="3887" spans="3:12" x14ac:dyDescent="0.3">
      <c r="C3887" s="47"/>
      <c r="H3887" s="49"/>
      <c r="K3887" s="72"/>
      <c r="L3887" s="50"/>
    </row>
    <row r="3888" spans="3:12" x14ac:dyDescent="0.3">
      <c r="C3888" s="47"/>
      <c r="H3888" s="49"/>
      <c r="K3888" s="72"/>
      <c r="L3888" s="50"/>
    </row>
    <row r="3889" spans="3:12" x14ac:dyDescent="0.3">
      <c r="C3889" s="47"/>
      <c r="H3889" s="49"/>
      <c r="K3889" s="72"/>
      <c r="L3889" s="50"/>
    </row>
    <row r="3890" spans="3:12" x14ac:dyDescent="0.3">
      <c r="C3890" s="47"/>
      <c r="H3890" s="49"/>
      <c r="K3890" s="72"/>
      <c r="L3890" s="50"/>
    </row>
    <row r="3891" spans="3:12" x14ac:dyDescent="0.3">
      <c r="C3891" s="47"/>
      <c r="H3891" s="49"/>
      <c r="K3891" s="72"/>
      <c r="L3891" s="50"/>
    </row>
    <row r="3892" spans="3:12" x14ac:dyDescent="0.3">
      <c r="C3892" s="47"/>
      <c r="H3892" s="49"/>
      <c r="K3892" s="72"/>
      <c r="L3892" s="50"/>
    </row>
    <row r="3893" spans="3:12" x14ac:dyDescent="0.3">
      <c r="C3893" s="47"/>
      <c r="H3893" s="49"/>
      <c r="K3893" s="72"/>
      <c r="L3893" s="50"/>
    </row>
    <row r="3894" spans="3:12" x14ac:dyDescent="0.3">
      <c r="C3894" s="47"/>
      <c r="H3894" s="49"/>
      <c r="K3894" s="72"/>
      <c r="L3894" s="50"/>
    </row>
    <row r="3895" spans="3:12" x14ac:dyDescent="0.3">
      <c r="C3895" s="47"/>
      <c r="H3895" s="49"/>
      <c r="K3895" s="72"/>
      <c r="L3895" s="50"/>
    </row>
    <row r="3896" spans="3:12" x14ac:dyDescent="0.3">
      <c r="C3896" s="47"/>
      <c r="H3896" s="49"/>
      <c r="K3896" s="72"/>
      <c r="L3896" s="50"/>
    </row>
    <row r="3897" spans="3:12" x14ac:dyDescent="0.3">
      <c r="C3897" s="47"/>
      <c r="H3897" s="49"/>
      <c r="K3897" s="72"/>
      <c r="L3897" s="50"/>
    </row>
    <row r="3898" spans="3:12" x14ac:dyDescent="0.3">
      <c r="C3898" s="47"/>
      <c r="H3898" s="49"/>
      <c r="K3898" s="72"/>
      <c r="L3898" s="50"/>
    </row>
    <row r="3899" spans="3:12" x14ac:dyDescent="0.3">
      <c r="C3899" s="47"/>
      <c r="H3899" s="49"/>
      <c r="K3899" s="72"/>
      <c r="L3899" s="50"/>
    </row>
    <row r="3900" spans="3:12" x14ac:dyDescent="0.3">
      <c r="C3900" s="47"/>
      <c r="H3900" s="49"/>
      <c r="K3900" s="72"/>
      <c r="L3900" s="50"/>
    </row>
    <row r="3901" spans="3:12" x14ac:dyDescent="0.3">
      <c r="C3901" s="47"/>
      <c r="H3901" s="49"/>
      <c r="K3901" s="72"/>
      <c r="L3901" s="50"/>
    </row>
    <row r="3902" spans="3:12" x14ac:dyDescent="0.3">
      <c r="C3902" s="47"/>
      <c r="H3902" s="49"/>
      <c r="K3902" s="72"/>
      <c r="L3902" s="50"/>
    </row>
    <row r="3903" spans="3:12" x14ac:dyDescent="0.3">
      <c r="C3903" s="47"/>
      <c r="H3903" s="49"/>
      <c r="K3903" s="72"/>
      <c r="L3903" s="50"/>
    </row>
    <row r="3904" spans="3:12" x14ac:dyDescent="0.3">
      <c r="C3904" s="47"/>
      <c r="H3904" s="49"/>
      <c r="K3904" s="72"/>
      <c r="L3904" s="50"/>
    </row>
    <row r="3905" spans="3:12" x14ac:dyDescent="0.3">
      <c r="C3905" s="47"/>
      <c r="H3905" s="49"/>
      <c r="K3905" s="72"/>
      <c r="L3905" s="50"/>
    </row>
    <row r="3906" spans="3:12" x14ac:dyDescent="0.3">
      <c r="C3906" s="47"/>
      <c r="H3906" s="49"/>
      <c r="K3906" s="72"/>
      <c r="L3906" s="50"/>
    </row>
    <row r="3907" spans="3:12" x14ac:dyDescent="0.3">
      <c r="C3907" s="47"/>
      <c r="H3907" s="49"/>
      <c r="K3907" s="72"/>
      <c r="L3907" s="50"/>
    </row>
    <row r="3908" spans="3:12" x14ac:dyDescent="0.3">
      <c r="C3908" s="47"/>
      <c r="H3908" s="49"/>
      <c r="K3908" s="72"/>
      <c r="L3908" s="50"/>
    </row>
    <row r="3909" spans="3:12" x14ac:dyDescent="0.3">
      <c r="C3909" s="47"/>
      <c r="H3909" s="49"/>
      <c r="K3909" s="72"/>
      <c r="L3909" s="50"/>
    </row>
    <row r="3910" spans="3:12" x14ac:dyDescent="0.3">
      <c r="C3910" s="47"/>
      <c r="H3910" s="49"/>
      <c r="K3910" s="72"/>
      <c r="L3910" s="50"/>
    </row>
    <row r="3911" spans="3:12" x14ac:dyDescent="0.3">
      <c r="C3911" s="47"/>
      <c r="H3911" s="49"/>
      <c r="K3911" s="72"/>
      <c r="L3911" s="50"/>
    </row>
    <row r="3912" spans="3:12" x14ac:dyDescent="0.3">
      <c r="C3912" s="47"/>
      <c r="H3912" s="49"/>
      <c r="K3912" s="72"/>
      <c r="L3912" s="50"/>
    </row>
    <row r="3913" spans="3:12" x14ac:dyDescent="0.3">
      <c r="C3913" s="47"/>
      <c r="H3913" s="49"/>
      <c r="K3913" s="72"/>
      <c r="L3913" s="50"/>
    </row>
    <row r="3914" spans="3:12" x14ac:dyDescent="0.3">
      <c r="C3914" s="47"/>
      <c r="H3914" s="49"/>
      <c r="K3914" s="72"/>
      <c r="L3914" s="50"/>
    </row>
    <row r="3915" spans="3:12" x14ac:dyDescent="0.3">
      <c r="C3915" s="47"/>
      <c r="H3915" s="49"/>
      <c r="K3915" s="72"/>
      <c r="L3915" s="50"/>
    </row>
    <row r="3916" spans="3:12" x14ac:dyDescent="0.3">
      <c r="C3916" s="47"/>
      <c r="H3916" s="49"/>
      <c r="K3916" s="72"/>
      <c r="L3916" s="50"/>
    </row>
    <row r="3917" spans="3:12" x14ac:dyDescent="0.3">
      <c r="C3917" s="47"/>
      <c r="H3917" s="49"/>
      <c r="K3917" s="72"/>
      <c r="L3917" s="50"/>
    </row>
    <row r="3918" spans="3:12" x14ac:dyDescent="0.3">
      <c r="C3918" s="47"/>
      <c r="H3918" s="49"/>
      <c r="K3918" s="72"/>
      <c r="L3918" s="50"/>
    </row>
    <row r="3919" spans="3:12" x14ac:dyDescent="0.3">
      <c r="C3919" s="47"/>
      <c r="H3919" s="49"/>
      <c r="K3919" s="72"/>
      <c r="L3919" s="50"/>
    </row>
    <row r="3920" spans="3:12" x14ac:dyDescent="0.3">
      <c r="C3920" s="47"/>
      <c r="H3920" s="49"/>
      <c r="K3920" s="72"/>
      <c r="L3920" s="50"/>
    </row>
    <row r="3921" spans="3:12" x14ac:dyDescent="0.3">
      <c r="C3921" s="47"/>
      <c r="H3921" s="49"/>
      <c r="K3921" s="72"/>
      <c r="L3921" s="50"/>
    </row>
    <row r="3922" spans="3:12" x14ac:dyDescent="0.3">
      <c r="C3922" s="47"/>
      <c r="H3922" s="49"/>
      <c r="K3922" s="72"/>
      <c r="L3922" s="50"/>
    </row>
    <row r="3923" spans="3:12" x14ac:dyDescent="0.3">
      <c r="C3923" s="47"/>
      <c r="H3923" s="49"/>
      <c r="K3923" s="72"/>
      <c r="L3923" s="50"/>
    </row>
    <row r="3924" spans="3:12" x14ac:dyDescent="0.3">
      <c r="C3924" s="47"/>
      <c r="H3924" s="49"/>
      <c r="K3924" s="72"/>
      <c r="L3924" s="50"/>
    </row>
    <row r="3925" spans="3:12" x14ac:dyDescent="0.3">
      <c r="C3925" s="47"/>
      <c r="H3925" s="49"/>
      <c r="K3925" s="72"/>
      <c r="L3925" s="50"/>
    </row>
    <row r="3926" spans="3:12" x14ac:dyDescent="0.3">
      <c r="C3926" s="47"/>
      <c r="H3926" s="49"/>
      <c r="K3926" s="72"/>
      <c r="L3926" s="50"/>
    </row>
    <row r="3927" spans="3:12" x14ac:dyDescent="0.3">
      <c r="C3927" s="47"/>
      <c r="H3927" s="49"/>
      <c r="K3927" s="72"/>
      <c r="L3927" s="50"/>
    </row>
    <row r="3928" spans="3:12" x14ac:dyDescent="0.3">
      <c r="C3928" s="47"/>
      <c r="H3928" s="49"/>
      <c r="K3928" s="72"/>
      <c r="L3928" s="50"/>
    </row>
    <row r="3929" spans="3:12" x14ac:dyDescent="0.3">
      <c r="C3929" s="47"/>
      <c r="H3929" s="49"/>
      <c r="K3929" s="72"/>
      <c r="L3929" s="50"/>
    </row>
    <row r="3930" spans="3:12" x14ac:dyDescent="0.3">
      <c r="C3930" s="47"/>
      <c r="H3930" s="49"/>
      <c r="K3930" s="72"/>
      <c r="L3930" s="50"/>
    </row>
    <row r="3931" spans="3:12" x14ac:dyDescent="0.3">
      <c r="C3931" s="47"/>
      <c r="H3931" s="49"/>
      <c r="K3931" s="72"/>
      <c r="L3931" s="50"/>
    </row>
    <row r="3932" spans="3:12" x14ac:dyDescent="0.3">
      <c r="C3932" s="47"/>
      <c r="H3932" s="49"/>
      <c r="K3932" s="72"/>
      <c r="L3932" s="50"/>
    </row>
    <row r="3933" spans="3:12" x14ac:dyDescent="0.3">
      <c r="C3933" s="47"/>
      <c r="H3933" s="49"/>
      <c r="K3933" s="72"/>
      <c r="L3933" s="50"/>
    </row>
    <row r="3934" spans="3:12" x14ac:dyDescent="0.3">
      <c r="C3934" s="47"/>
      <c r="H3934" s="49"/>
      <c r="K3934" s="72"/>
      <c r="L3934" s="50"/>
    </row>
    <row r="3935" spans="3:12" x14ac:dyDescent="0.3">
      <c r="C3935" s="47"/>
      <c r="H3935" s="49"/>
      <c r="K3935" s="72"/>
      <c r="L3935" s="50"/>
    </row>
    <row r="3936" spans="3:12" x14ac:dyDescent="0.3">
      <c r="C3936" s="47"/>
      <c r="H3936" s="49"/>
      <c r="K3936" s="72"/>
      <c r="L3936" s="50"/>
    </row>
    <row r="3937" spans="3:12" x14ac:dyDescent="0.3">
      <c r="C3937" s="47"/>
      <c r="H3937" s="49"/>
      <c r="K3937" s="72"/>
      <c r="L3937" s="50"/>
    </row>
    <row r="3938" spans="3:12" x14ac:dyDescent="0.3">
      <c r="C3938" s="47"/>
      <c r="H3938" s="49"/>
      <c r="K3938" s="72"/>
      <c r="L3938" s="50"/>
    </row>
    <row r="3939" spans="3:12" x14ac:dyDescent="0.3">
      <c r="C3939" s="47"/>
      <c r="H3939" s="49"/>
      <c r="K3939" s="72"/>
      <c r="L3939" s="50"/>
    </row>
    <row r="3940" spans="3:12" x14ac:dyDescent="0.3">
      <c r="C3940" s="47"/>
      <c r="H3940" s="49"/>
      <c r="K3940" s="72"/>
      <c r="L3940" s="50"/>
    </row>
    <row r="3941" spans="3:12" x14ac:dyDescent="0.3">
      <c r="C3941" s="47"/>
      <c r="H3941" s="49"/>
      <c r="K3941" s="72"/>
      <c r="L3941" s="50"/>
    </row>
    <row r="3942" spans="3:12" x14ac:dyDescent="0.3">
      <c r="C3942" s="47"/>
      <c r="H3942" s="49"/>
      <c r="K3942" s="72"/>
      <c r="L3942" s="50"/>
    </row>
    <row r="3943" spans="3:12" x14ac:dyDescent="0.3">
      <c r="C3943" s="47"/>
      <c r="H3943" s="49"/>
      <c r="K3943" s="72"/>
      <c r="L3943" s="50"/>
    </row>
    <row r="3944" spans="3:12" x14ac:dyDescent="0.3">
      <c r="C3944" s="47"/>
      <c r="H3944" s="49"/>
      <c r="K3944" s="72"/>
      <c r="L3944" s="50"/>
    </row>
    <row r="3945" spans="3:12" x14ac:dyDescent="0.3">
      <c r="C3945" s="47"/>
      <c r="H3945" s="49"/>
      <c r="K3945" s="72"/>
      <c r="L3945" s="50"/>
    </row>
    <row r="3946" spans="3:12" x14ac:dyDescent="0.3">
      <c r="C3946" s="47"/>
      <c r="H3946" s="49"/>
      <c r="K3946" s="72"/>
      <c r="L3946" s="50"/>
    </row>
    <row r="3947" spans="3:12" x14ac:dyDescent="0.3">
      <c r="C3947" s="47"/>
      <c r="H3947" s="49"/>
      <c r="K3947" s="72"/>
      <c r="L3947" s="50"/>
    </row>
    <row r="3948" spans="3:12" x14ac:dyDescent="0.3">
      <c r="C3948" s="47"/>
      <c r="H3948" s="49"/>
      <c r="K3948" s="72"/>
      <c r="L3948" s="50"/>
    </row>
    <row r="3949" spans="3:12" x14ac:dyDescent="0.3">
      <c r="C3949" s="47"/>
      <c r="H3949" s="49"/>
      <c r="K3949" s="72"/>
      <c r="L3949" s="50"/>
    </row>
    <row r="3950" spans="3:12" x14ac:dyDescent="0.3">
      <c r="C3950" s="47"/>
      <c r="H3950" s="49"/>
      <c r="K3950" s="72"/>
      <c r="L3950" s="50"/>
    </row>
    <row r="3951" spans="3:12" x14ac:dyDescent="0.3">
      <c r="C3951" s="47"/>
      <c r="H3951" s="49"/>
      <c r="K3951" s="72"/>
      <c r="L3951" s="50"/>
    </row>
    <row r="3952" spans="3:12" x14ac:dyDescent="0.3">
      <c r="C3952" s="47"/>
      <c r="H3952" s="49"/>
      <c r="K3952" s="72"/>
      <c r="L3952" s="50"/>
    </row>
    <row r="3953" spans="3:12" x14ac:dyDescent="0.3">
      <c r="C3953" s="47"/>
      <c r="H3953" s="49"/>
      <c r="K3953" s="72"/>
      <c r="L3953" s="50"/>
    </row>
    <row r="3954" spans="3:12" x14ac:dyDescent="0.3">
      <c r="C3954" s="47"/>
      <c r="H3954" s="49"/>
      <c r="K3954" s="72"/>
      <c r="L3954" s="50"/>
    </row>
    <row r="3955" spans="3:12" x14ac:dyDescent="0.3">
      <c r="C3955" s="47"/>
      <c r="H3955" s="49"/>
      <c r="K3955" s="72"/>
      <c r="L3955" s="50"/>
    </row>
    <row r="3956" spans="3:12" x14ac:dyDescent="0.3">
      <c r="C3956" s="47"/>
      <c r="H3956" s="49"/>
      <c r="K3956" s="72"/>
      <c r="L3956" s="50"/>
    </row>
    <row r="3957" spans="3:12" x14ac:dyDescent="0.3">
      <c r="C3957" s="47"/>
      <c r="H3957" s="49"/>
      <c r="K3957" s="72"/>
      <c r="L3957" s="50"/>
    </row>
    <row r="3958" spans="3:12" x14ac:dyDescent="0.3">
      <c r="C3958" s="47"/>
      <c r="H3958" s="49"/>
      <c r="K3958" s="72"/>
      <c r="L3958" s="50"/>
    </row>
    <row r="3959" spans="3:12" x14ac:dyDescent="0.3">
      <c r="C3959" s="47"/>
      <c r="H3959" s="49"/>
      <c r="K3959" s="72"/>
      <c r="L3959" s="50"/>
    </row>
    <row r="3960" spans="3:12" x14ac:dyDescent="0.3">
      <c r="C3960" s="47"/>
      <c r="H3960" s="49"/>
      <c r="K3960" s="72"/>
      <c r="L3960" s="50"/>
    </row>
    <row r="3961" spans="3:12" x14ac:dyDescent="0.3">
      <c r="C3961" s="47"/>
      <c r="H3961" s="49"/>
      <c r="K3961" s="72"/>
      <c r="L3961" s="50"/>
    </row>
    <row r="3962" spans="3:12" x14ac:dyDescent="0.3">
      <c r="C3962" s="47"/>
      <c r="H3962" s="49"/>
      <c r="K3962" s="72"/>
      <c r="L3962" s="50"/>
    </row>
    <row r="3963" spans="3:12" x14ac:dyDescent="0.3">
      <c r="C3963" s="47"/>
      <c r="H3963" s="49"/>
      <c r="K3963" s="72"/>
      <c r="L3963" s="50"/>
    </row>
    <row r="3964" spans="3:12" x14ac:dyDescent="0.3">
      <c r="C3964" s="47"/>
      <c r="H3964" s="49"/>
      <c r="K3964" s="72"/>
      <c r="L3964" s="50"/>
    </row>
    <row r="3965" spans="3:12" x14ac:dyDescent="0.3">
      <c r="C3965" s="47"/>
      <c r="H3965" s="49"/>
      <c r="K3965" s="72"/>
      <c r="L3965" s="50"/>
    </row>
    <row r="3966" spans="3:12" x14ac:dyDescent="0.3">
      <c r="C3966" s="47"/>
      <c r="H3966" s="49"/>
      <c r="K3966" s="72"/>
      <c r="L3966" s="50"/>
    </row>
    <row r="3967" spans="3:12" x14ac:dyDescent="0.3">
      <c r="C3967" s="47"/>
      <c r="H3967" s="49"/>
      <c r="K3967" s="72"/>
      <c r="L3967" s="50"/>
    </row>
    <row r="3968" spans="3:12" x14ac:dyDescent="0.3">
      <c r="C3968" s="47"/>
      <c r="H3968" s="49"/>
      <c r="K3968" s="72"/>
      <c r="L3968" s="50"/>
    </row>
    <row r="3969" spans="3:12" x14ac:dyDescent="0.3">
      <c r="C3969" s="47"/>
      <c r="H3969" s="49"/>
      <c r="K3969" s="72"/>
      <c r="L3969" s="50"/>
    </row>
    <row r="3970" spans="3:12" x14ac:dyDescent="0.3">
      <c r="C3970" s="47"/>
      <c r="H3970" s="49"/>
      <c r="K3970" s="72"/>
      <c r="L3970" s="50"/>
    </row>
    <row r="3971" spans="3:12" x14ac:dyDescent="0.3">
      <c r="C3971" s="47"/>
      <c r="H3971" s="49"/>
      <c r="K3971" s="72"/>
      <c r="L3971" s="50"/>
    </row>
    <row r="3972" spans="3:12" x14ac:dyDescent="0.3">
      <c r="C3972" s="47"/>
      <c r="H3972" s="49"/>
      <c r="K3972" s="72"/>
      <c r="L3972" s="50"/>
    </row>
    <row r="3973" spans="3:12" x14ac:dyDescent="0.3">
      <c r="C3973" s="47"/>
      <c r="H3973" s="49"/>
      <c r="K3973" s="72"/>
      <c r="L3973" s="50"/>
    </row>
    <row r="3974" spans="3:12" x14ac:dyDescent="0.3">
      <c r="C3974" s="47"/>
      <c r="H3974" s="49"/>
      <c r="K3974" s="72"/>
      <c r="L3974" s="50"/>
    </row>
    <row r="3975" spans="3:12" x14ac:dyDescent="0.3">
      <c r="C3975" s="47"/>
      <c r="H3975" s="49"/>
      <c r="K3975" s="72"/>
      <c r="L3975" s="50"/>
    </row>
    <row r="3976" spans="3:12" x14ac:dyDescent="0.3">
      <c r="C3976" s="47"/>
      <c r="H3976" s="49"/>
      <c r="K3976" s="72"/>
      <c r="L3976" s="50"/>
    </row>
    <row r="3977" spans="3:12" x14ac:dyDescent="0.3">
      <c r="C3977" s="47"/>
      <c r="H3977" s="49"/>
      <c r="K3977" s="72"/>
      <c r="L3977" s="50"/>
    </row>
    <row r="3978" spans="3:12" x14ac:dyDescent="0.3">
      <c r="C3978" s="47"/>
      <c r="H3978" s="49"/>
      <c r="K3978" s="72"/>
      <c r="L3978" s="50"/>
    </row>
    <row r="3979" spans="3:12" x14ac:dyDescent="0.3">
      <c r="C3979" s="47"/>
      <c r="H3979" s="49"/>
      <c r="K3979" s="72"/>
      <c r="L3979" s="50"/>
    </row>
    <row r="3980" spans="3:12" x14ac:dyDescent="0.3">
      <c r="C3980" s="47"/>
      <c r="H3980" s="49"/>
      <c r="K3980" s="72"/>
      <c r="L3980" s="50"/>
    </row>
    <row r="3981" spans="3:12" x14ac:dyDescent="0.3">
      <c r="C3981" s="47"/>
      <c r="H3981" s="49"/>
      <c r="K3981" s="72"/>
      <c r="L3981" s="50"/>
    </row>
    <row r="3982" spans="3:12" x14ac:dyDescent="0.3">
      <c r="C3982" s="47"/>
      <c r="H3982" s="49"/>
      <c r="K3982" s="72"/>
      <c r="L3982" s="50"/>
    </row>
    <row r="3983" spans="3:12" x14ac:dyDescent="0.3">
      <c r="C3983" s="47"/>
      <c r="H3983" s="49"/>
      <c r="K3983" s="72"/>
      <c r="L3983" s="50"/>
    </row>
    <row r="3984" spans="3:12" x14ac:dyDescent="0.3">
      <c r="C3984" s="47"/>
      <c r="H3984" s="49"/>
      <c r="K3984" s="72"/>
      <c r="L3984" s="50"/>
    </row>
    <row r="3985" spans="3:12" x14ac:dyDescent="0.3">
      <c r="C3985" s="47"/>
      <c r="H3985" s="49"/>
      <c r="K3985" s="72"/>
      <c r="L3985" s="50"/>
    </row>
    <row r="3986" spans="3:12" x14ac:dyDescent="0.3">
      <c r="C3986" s="47"/>
      <c r="H3986" s="49"/>
      <c r="K3986" s="72"/>
      <c r="L3986" s="50"/>
    </row>
    <row r="3987" spans="3:12" x14ac:dyDescent="0.3">
      <c r="C3987" s="47"/>
      <c r="H3987" s="49"/>
      <c r="K3987" s="72"/>
      <c r="L3987" s="50"/>
    </row>
    <row r="3988" spans="3:12" x14ac:dyDescent="0.3">
      <c r="C3988" s="47"/>
      <c r="H3988" s="49"/>
      <c r="K3988" s="72"/>
      <c r="L3988" s="50"/>
    </row>
    <row r="3989" spans="3:12" x14ac:dyDescent="0.3">
      <c r="C3989" s="47"/>
      <c r="H3989" s="49"/>
      <c r="K3989" s="72"/>
      <c r="L3989" s="50"/>
    </row>
    <row r="3990" spans="3:12" x14ac:dyDescent="0.3">
      <c r="C3990" s="47"/>
      <c r="H3990" s="49"/>
      <c r="K3990" s="72"/>
      <c r="L3990" s="50"/>
    </row>
    <row r="3991" spans="3:12" x14ac:dyDescent="0.3">
      <c r="C3991" s="47"/>
      <c r="H3991" s="49"/>
      <c r="K3991" s="72"/>
      <c r="L3991" s="50"/>
    </row>
    <row r="3992" spans="3:12" x14ac:dyDescent="0.3">
      <c r="C3992" s="47"/>
      <c r="H3992" s="49"/>
      <c r="K3992" s="72"/>
      <c r="L3992" s="50"/>
    </row>
    <row r="3993" spans="3:12" x14ac:dyDescent="0.3">
      <c r="C3993" s="47"/>
      <c r="H3993" s="49"/>
      <c r="K3993" s="72"/>
      <c r="L3993" s="50"/>
    </row>
    <row r="3994" spans="3:12" x14ac:dyDescent="0.3">
      <c r="C3994" s="47"/>
      <c r="H3994" s="49"/>
      <c r="K3994" s="72"/>
      <c r="L3994" s="50"/>
    </row>
    <row r="3995" spans="3:12" x14ac:dyDescent="0.3">
      <c r="C3995" s="47"/>
      <c r="H3995" s="49"/>
      <c r="K3995" s="72"/>
      <c r="L3995" s="50"/>
    </row>
    <row r="3996" spans="3:12" x14ac:dyDescent="0.3">
      <c r="C3996" s="47"/>
      <c r="H3996" s="49"/>
      <c r="K3996" s="72"/>
      <c r="L3996" s="50"/>
    </row>
    <row r="3997" spans="3:12" x14ac:dyDescent="0.3">
      <c r="C3997" s="47"/>
      <c r="H3997" s="49"/>
      <c r="K3997" s="72"/>
      <c r="L3997" s="50"/>
    </row>
    <row r="3998" spans="3:12" x14ac:dyDescent="0.3">
      <c r="C3998" s="47"/>
      <c r="H3998" s="49"/>
      <c r="K3998" s="72"/>
      <c r="L3998" s="50"/>
    </row>
    <row r="3999" spans="3:12" x14ac:dyDescent="0.3">
      <c r="C3999" s="47"/>
      <c r="H3999" s="49"/>
      <c r="K3999" s="72"/>
      <c r="L3999" s="50"/>
    </row>
    <row r="4000" spans="3:12" x14ac:dyDescent="0.3">
      <c r="C4000" s="47"/>
      <c r="H4000" s="49"/>
      <c r="K4000" s="72"/>
      <c r="L4000" s="50"/>
    </row>
    <row r="4001" spans="3:12" x14ac:dyDescent="0.3">
      <c r="C4001" s="47"/>
      <c r="H4001" s="49"/>
      <c r="K4001" s="72"/>
      <c r="L4001" s="50"/>
    </row>
    <row r="4002" spans="3:12" x14ac:dyDescent="0.3">
      <c r="C4002" s="47"/>
      <c r="H4002" s="49"/>
      <c r="K4002" s="72"/>
      <c r="L4002" s="50"/>
    </row>
    <row r="4003" spans="3:12" x14ac:dyDescent="0.3">
      <c r="C4003" s="47"/>
      <c r="H4003" s="49"/>
      <c r="K4003" s="72"/>
      <c r="L4003" s="50"/>
    </row>
    <row r="4004" spans="3:12" x14ac:dyDescent="0.3">
      <c r="C4004" s="47"/>
      <c r="H4004" s="49"/>
      <c r="K4004" s="72"/>
      <c r="L4004" s="50"/>
    </row>
    <row r="4005" spans="3:12" x14ac:dyDescent="0.3">
      <c r="C4005" s="47"/>
      <c r="H4005" s="49"/>
      <c r="K4005" s="72"/>
      <c r="L4005" s="50"/>
    </row>
    <row r="4006" spans="3:12" x14ac:dyDescent="0.3">
      <c r="C4006" s="47"/>
      <c r="H4006" s="49"/>
      <c r="K4006" s="72"/>
      <c r="L4006" s="50"/>
    </row>
    <row r="4007" spans="3:12" x14ac:dyDescent="0.3">
      <c r="C4007" s="47"/>
      <c r="H4007" s="49"/>
      <c r="K4007" s="72"/>
      <c r="L4007" s="50"/>
    </row>
    <row r="4008" spans="3:12" x14ac:dyDescent="0.3">
      <c r="C4008" s="47"/>
      <c r="H4008" s="49"/>
      <c r="K4008" s="72"/>
      <c r="L4008" s="50"/>
    </row>
    <row r="4009" spans="3:12" x14ac:dyDescent="0.3">
      <c r="C4009" s="47"/>
      <c r="H4009" s="49"/>
      <c r="K4009" s="72"/>
      <c r="L4009" s="50"/>
    </row>
    <row r="4010" spans="3:12" x14ac:dyDescent="0.3">
      <c r="C4010" s="47"/>
      <c r="H4010" s="49"/>
      <c r="K4010" s="72"/>
      <c r="L4010" s="50"/>
    </row>
    <row r="4011" spans="3:12" x14ac:dyDescent="0.3">
      <c r="C4011" s="47"/>
      <c r="H4011" s="49"/>
      <c r="K4011" s="72"/>
      <c r="L4011" s="50"/>
    </row>
    <row r="4012" spans="3:12" x14ac:dyDescent="0.3">
      <c r="C4012" s="47"/>
      <c r="H4012" s="49"/>
      <c r="K4012" s="72"/>
      <c r="L4012" s="50"/>
    </row>
    <row r="4013" spans="3:12" x14ac:dyDescent="0.3">
      <c r="C4013" s="47"/>
      <c r="H4013" s="49"/>
      <c r="K4013" s="72"/>
      <c r="L4013" s="50"/>
    </row>
    <row r="4014" spans="3:12" x14ac:dyDescent="0.3">
      <c r="C4014" s="47"/>
      <c r="H4014" s="49"/>
      <c r="K4014" s="72"/>
      <c r="L4014" s="50"/>
    </row>
    <row r="4015" spans="3:12" x14ac:dyDescent="0.3">
      <c r="C4015" s="47"/>
      <c r="H4015" s="49"/>
      <c r="K4015" s="72"/>
      <c r="L4015" s="50"/>
    </row>
    <row r="4016" spans="3:12" x14ac:dyDescent="0.3">
      <c r="C4016" s="47"/>
      <c r="H4016" s="49"/>
      <c r="K4016" s="72"/>
      <c r="L4016" s="50"/>
    </row>
    <row r="4017" spans="3:12" x14ac:dyDescent="0.3">
      <c r="C4017" s="47"/>
      <c r="H4017" s="49"/>
      <c r="K4017" s="72"/>
      <c r="L4017" s="50"/>
    </row>
    <row r="4018" spans="3:12" x14ac:dyDescent="0.3">
      <c r="C4018" s="47"/>
      <c r="H4018" s="49"/>
      <c r="K4018" s="72"/>
      <c r="L4018" s="50"/>
    </row>
    <row r="4019" spans="3:12" x14ac:dyDescent="0.3">
      <c r="C4019" s="47"/>
      <c r="H4019" s="49"/>
      <c r="K4019" s="72"/>
      <c r="L4019" s="50"/>
    </row>
    <row r="4020" spans="3:12" x14ac:dyDescent="0.3">
      <c r="C4020" s="47"/>
      <c r="H4020" s="49"/>
      <c r="K4020" s="72"/>
      <c r="L4020" s="50"/>
    </row>
    <row r="4021" spans="3:12" x14ac:dyDescent="0.3">
      <c r="C4021" s="47"/>
      <c r="H4021" s="49"/>
      <c r="K4021" s="72"/>
      <c r="L4021" s="50"/>
    </row>
    <row r="4022" spans="3:12" x14ac:dyDescent="0.3">
      <c r="C4022" s="47"/>
      <c r="H4022" s="49"/>
      <c r="K4022" s="72"/>
      <c r="L4022" s="50"/>
    </row>
    <row r="4023" spans="3:12" x14ac:dyDescent="0.3">
      <c r="C4023" s="47"/>
      <c r="H4023" s="49"/>
      <c r="K4023" s="72"/>
      <c r="L4023" s="50"/>
    </row>
    <row r="4024" spans="3:12" x14ac:dyDescent="0.3">
      <c r="C4024" s="47"/>
      <c r="H4024" s="49"/>
      <c r="K4024" s="72"/>
      <c r="L4024" s="50"/>
    </row>
    <row r="4025" spans="3:12" x14ac:dyDescent="0.3">
      <c r="C4025" s="47"/>
      <c r="H4025" s="49"/>
      <c r="K4025" s="72"/>
      <c r="L4025" s="50"/>
    </row>
    <row r="4026" spans="3:12" x14ac:dyDescent="0.3">
      <c r="C4026" s="47"/>
      <c r="H4026" s="49"/>
      <c r="K4026" s="72"/>
      <c r="L4026" s="50"/>
    </row>
    <row r="4027" spans="3:12" x14ac:dyDescent="0.3">
      <c r="C4027" s="47"/>
      <c r="H4027" s="49"/>
      <c r="K4027" s="72"/>
      <c r="L4027" s="50"/>
    </row>
    <row r="4028" spans="3:12" x14ac:dyDescent="0.3">
      <c r="C4028" s="47"/>
      <c r="H4028" s="49"/>
      <c r="K4028" s="72"/>
      <c r="L4028" s="50"/>
    </row>
    <row r="4029" spans="3:12" x14ac:dyDescent="0.3">
      <c r="C4029" s="47"/>
      <c r="H4029" s="49"/>
      <c r="K4029" s="72"/>
      <c r="L4029" s="50"/>
    </row>
    <row r="4030" spans="3:12" x14ac:dyDescent="0.3">
      <c r="C4030" s="47"/>
      <c r="H4030" s="49"/>
      <c r="K4030" s="72"/>
      <c r="L4030" s="50"/>
    </row>
    <row r="4031" spans="3:12" x14ac:dyDescent="0.3">
      <c r="C4031" s="47"/>
      <c r="H4031" s="49"/>
      <c r="K4031" s="72"/>
      <c r="L4031" s="50"/>
    </row>
    <row r="4032" spans="3:12" x14ac:dyDescent="0.3">
      <c r="C4032" s="47"/>
      <c r="H4032" s="49"/>
      <c r="K4032" s="72"/>
      <c r="L4032" s="50"/>
    </row>
    <row r="4033" spans="3:12" x14ac:dyDescent="0.3">
      <c r="C4033" s="47"/>
      <c r="H4033" s="49"/>
      <c r="K4033" s="72"/>
      <c r="L4033" s="50"/>
    </row>
    <row r="4034" spans="3:12" x14ac:dyDescent="0.3">
      <c r="C4034" s="47"/>
      <c r="H4034" s="49"/>
      <c r="K4034" s="72"/>
      <c r="L4034" s="50"/>
    </row>
    <row r="4035" spans="3:12" x14ac:dyDescent="0.3">
      <c r="C4035" s="47"/>
      <c r="H4035" s="49"/>
      <c r="K4035" s="72"/>
      <c r="L4035" s="50"/>
    </row>
    <row r="4036" spans="3:12" x14ac:dyDescent="0.3">
      <c r="C4036" s="47"/>
      <c r="H4036" s="49"/>
      <c r="K4036" s="72"/>
      <c r="L4036" s="50"/>
    </row>
    <row r="4037" spans="3:12" x14ac:dyDescent="0.3">
      <c r="C4037" s="47"/>
      <c r="H4037" s="49"/>
      <c r="K4037" s="72"/>
      <c r="L4037" s="50"/>
    </row>
    <row r="4038" spans="3:12" x14ac:dyDescent="0.3">
      <c r="C4038" s="47"/>
      <c r="H4038" s="49"/>
      <c r="K4038" s="72"/>
      <c r="L4038" s="50"/>
    </row>
    <row r="4039" spans="3:12" x14ac:dyDescent="0.3">
      <c r="C4039" s="47"/>
      <c r="H4039" s="49"/>
      <c r="K4039" s="72"/>
      <c r="L4039" s="50"/>
    </row>
    <row r="4040" spans="3:12" x14ac:dyDescent="0.3">
      <c r="C4040" s="47"/>
      <c r="H4040" s="49"/>
      <c r="K4040" s="72"/>
      <c r="L4040" s="50"/>
    </row>
    <row r="4041" spans="3:12" x14ac:dyDescent="0.3">
      <c r="C4041" s="47"/>
      <c r="H4041" s="49"/>
      <c r="K4041" s="72"/>
      <c r="L4041" s="50"/>
    </row>
    <row r="4042" spans="3:12" x14ac:dyDescent="0.3">
      <c r="C4042" s="47"/>
      <c r="H4042" s="49"/>
      <c r="K4042" s="72"/>
      <c r="L4042" s="50"/>
    </row>
    <row r="4043" spans="3:12" x14ac:dyDescent="0.3">
      <c r="C4043" s="47"/>
      <c r="H4043" s="49"/>
      <c r="K4043" s="72"/>
      <c r="L4043" s="50"/>
    </row>
    <row r="4044" spans="3:12" x14ac:dyDescent="0.3">
      <c r="C4044" s="47"/>
      <c r="H4044" s="49"/>
      <c r="K4044" s="72"/>
      <c r="L4044" s="50"/>
    </row>
    <row r="4045" spans="3:12" x14ac:dyDescent="0.3">
      <c r="C4045" s="47"/>
      <c r="H4045" s="49"/>
      <c r="K4045" s="72"/>
      <c r="L4045" s="50"/>
    </row>
    <row r="4046" spans="3:12" x14ac:dyDescent="0.3">
      <c r="C4046" s="47"/>
      <c r="H4046" s="49"/>
      <c r="K4046" s="72"/>
      <c r="L4046" s="50"/>
    </row>
    <row r="4047" spans="3:12" x14ac:dyDescent="0.3">
      <c r="C4047" s="47"/>
      <c r="H4047" s="49"/>
      <c r="K4047" s="72"/>
      <c r="L4047" s="50"/>
    </row>
    <row r="4048" spans="3:12" x14ac:dyDescent="0.3">
      <c r="C4048" s="47"/>
      <c r="H4048" s="49"/>
      <c r="K4048" s="72"/>
      <c r="L4048" s="50"/>
    </row>
    <row r="4049" spans="3:12" x14ac:dyDescent="0.3">
      <c r="C4049" s="47"/>
      <c r="H4049" s="49"/>
      <c r="K4049" s="72"/>
      <c r="L4049" s="50"/>
    </row>
    <row r="4050" spans="3:12" x14ac:dyDescent="0.3">
      <c r="C4050" s="47"/>
      <c r="H4050" s="49"/>
      <c r="K4050" s="72"/>
      <c r="L4050" s="50"/>
    </row>
    <row r="4051" spans="3:12" x14ac:dyDescent="0.3">
      <c r="C4051" s="47"/>
      <c r="H4051" s="49"/>
      <c r="K4051" s="72"/>
      <c r="L4051" s="50"/>
    </row>
    <row r="4052" spans="3:12" x14ac:dyDescent="0.3">
      <c r="C4052" s="47"/>
      <c r="H4052" s="49"/>
      <c r="K4052" s="72"/>
      <c r="L4052" s="50"/>
    </row>
    <row r="4053" spans="3:12" x14ac:dyDescent="0.3">
      <c r="C4053" s="47"/>
      <c r="H4053" s="49"/>
      <c r="K4053" s="72"/>
      <c r="L4053" s="50"/>
    </row>
    <row r="4054" spans="3:12" x14ac:dyDescent="0.3">
      <c r="C4054" s="47"/>
      <c r="H4054" s="49"/>
      <c r="K4054" s="72"/>
      <c r="L4054" s="50"/>
    </row>
    <row r="4055" spans="3:12" x14ac:dyDescent="0.3">
      <c r="C4055" s="47"/>
      <c r="H4055" s="49"/>
      <c r="K4055" s="72"/>
      <c r="L4055" s="50"/>
    </row>
    <row r="4056" spans="3:12" x14ac:dyDescent="0.3">
      <c r="C4056" s="47"/>
      <c r="H4056" s="49"/>
      <c r="K4056" s="72"/>
      <c r="L4056" s="50"/>
    </row>
    <row r="4057" spans="3:12" x14ac:dyDescent="0.3">
      <c r="C4057" s="47"/>
      <c r="H4057" s="49"/>
      <c r="K4057" s="72"/>
      <c r="L4057" s="50"/>
    </row>
    <row r="4058" spans="3:12" x14ac:dyDescent="0.3">
      <c r="C4058" s="47"/>
      <c r="H4058" s="49"/>
      <c r="K4058" s="72"/>
      <c r="L4058" s="50"/>
    </row>
    <row r="4059" spans="3:12" x14ac:dyDescent="0.3">
      <c r="C4059" s="47"/>
      <c r="H4059" s="49"/>
      <c r="K4059" s="72"/>
      <c r="L4059" s="50"/>
    </row>
    <row r="4060" spans="3:12" x14ac:dyDescent="0.3">
      <c r="C4060" s="47"/>
      <c r="H4060" s="49"/>
      <c r="K4060" s="72"/>
      <c r="L4060" s="50"/>
    </row>
    <row r="4061" spans="3:12" x14ac:dyDescent="0.3">
      <c r="C4061" s="47"/>
      <c r="H4061" s="49"/>
      <c r="K4061" s="72"/>
      <c r="L4061" s="50"/>
    </row>
    <row r="4062" spans="3:12" x14ac:dyDescent="0.3">
      <c r="C4062" s="47"/>
      <c r="H4062" s="49"/>
      <c r="K4062" s="72"/>
      <c r="L4062" s="50"/>
    </row>
    <row r="4063" spans="3:12" x14ac:dyDescent="0.3">
      <c r="C4063" s="47"/>
      <c r="H4063" s="49"/>
      <c r="K4063" s="72"/>
      <c r="L4063" s="50"/>
    </row>
    <row r="4064" spans="3:12" x14ac:dyDescent="0.3">
      <c r="C4064" s="47"/>
      <c r="H4064" s="49"/>
      <c r="K4064" s="72"/>
      <c r="L4064" s="50"/>
    </row>
    <row r="4065" spans="3:12" x14ac:dyDescent="0.3">
      <c r="C4065" s="47"/>
      <c r="H4065" s="49"/>
      <c r="K4065" s="72"/>
      <c r="L4065" s="50"/>
    </row>
    <row r="4066" spans="3:12" x14ac:dyDescent="0.3">
      <c r="C4066" s="47"/>
      <c r="H4066" s="49"/>
      <c r="K4066" s="72"/>
      <c r="L4066" s="50"/>
    </row>
    <row r="4067" spans="3:12" x14ac:dyDescent="0.3">
      <c r="C4067" s="47"/>
      <c r="H4067" s="49"/>
      <c r="K4067" s="72"/>
      <c r="L4067" s="50"/>
    </row>
    <row r="4068" spans="3:12" x14ac:dyDescent="0.3">
      <c r="C4068" s="47"/>
      <c r="H4068" s="49"/>
      <c r="K4068" s="72"/>
      <c r="L4068" s="50"/>
    </row>
    <row r="4069" spans="3:12" x14ac:dyDescent="0.3">
      <c r="C4069" s="47"/>
      <c r="H4069" s="49"/>
      <c r="K4069" s="72"/>
      <c r="L4069" s="50"/>
    </row>
    <row r="4070" spans="3:12" x14ac:dyDescent="0.3">
      <c r="C4070" s="47"/>
      <c r="H4070" s="49"/>
      <c r="K4070" s="72"/>
      <c r="L4070" s="50"/>
    </row>
    <row r="4071" spans="3:12" x14ac:dyDescent="0.3">
      <c r="C4071" s="47"/>
      <c r="H4071" s="49"/>
      <c r="K4071" s="72"/>
      <c r="L4071" s="50"/>
    </row>
    <row r="4072" spans="3:12" x14ac:dyDescent="0.3">
      <c r="C4072" s="47"/>
      <c r="H4072" s="49"/>
      <c r="K4072" s="72"/>
      <c r="L4072" s="50"/>
    </row>
    <row r="4073" spans="3:12" x14ac:dyDescent="0.3">
      <c r="C4073" s="47"/>
      <c r="H4073" s="49"/>
      <c r="K4073" s="72"/>
      <c r="L4073" s="50"/>
    </row>
    <row r="4074" spans="3:12" x14ac:dyDescent="0.3">
      <c r="C4074" s="47"/>
      <c r="H4074" s="49"/>
      <c r="K4074" s="72"/>
      <c r="L4074" s="50"/>
    </row>
    <row r="4075" spans="3:12" x14ac:dyDescent="0.3">
      <c r="C4075" s="47"/>
      <c r="H4075" s="49"/>
      <c r="K4075" s="72"/>
      <c r="L4075" s="50"/>
    </row>
    <row r="4076" spans="3:12" x14ac:dyDescent="0.3">
      <c r="C4076" s="47"/>
      <c r="H4076" s="49"/>
      <c r="K4076" s="72"/>
      <c r="L4076" s="50"/>
    </row>
    <row r="4077" spans="3:12" x14ac:dyDescent="0.3">
      <c r="C4077" s="47"/>
      <c r="H4077" s="49"/>
      <c r="K4077" s="72"/>
      <c r="L4077" s="50"/>
    </row>
    <row r="4078" spans="3:12" x14ac:dyDescent="0.3">
      <c r="C4078" s="47"/>
      <c r="H4078" s="49"/>
      <c r="K4078" s="72"/>
      <c r="L4078" s="50"/>
    </row>
    <row r="4079" spans="3:12" x14ac:dyDescent="0.3">
      <c r="C4079" s="47"/>
      <c r="H4079" s="49"/>
      <c r="K4079" s="72"/>
      <c r="L4079" s="50"/>
    </row>
    <row r="4080" spans="3:12" x14ac:dyDescent="0.3">
      <c r="C4080" s="47"/>
      <c r="H4080" s="49"/>
      <c r="K4080" s="72"/>
      <c r="L4080" s="50"/>
    </row>
    <row r="4081" spans="3:12" x14ac:dyDescent="0.3">
      <c r="C4081" s="47"/>
      <c r="H4081" s="49"/>
      <c r="K4081" s="72"/>
      <c r="L4081" s="50"/>
    </row>
    <row r="4082" spans="3:12" x14ac:dyDescent="0.3">
      <c r="C4082" s="47"/>
      <c r="H4082" s="49"/>
      <c r="K4082" s="72"/>
      <c r="L4082" s="50"/>
    </row>
    <row r="4083" spans="3:12" x14ac:dyDescent="0.3">
      <c r="C4083" s="47"/>
      <c r="H4083" s="49"/>
      <c r="K4083" s="72"/>
      <c r="L4083" s="50"/>
    </row>
    <row r="4084" spans="3:12" x14ac:dyDescent="0.3">
      <c r="C4084" s="47"/>
      <c r="H4084" s="49"/>
      <c r="K4084" s="72"/>
      <c r="L4084" s="50"/>
    </row>
    <row r="4085" spans="3:12" x14ac:dyDescent="0.3">
      <c r="C4085" s="47"/>
      <c r="H4085" s="49"/>
      <c r="K4085" s="72"/>
      <c r="L4085" s="50"/>
    </row>
    <row r="4086" spans="3:12" x14ac:dyDescent="0.3">
      <c r="C4086" s="47"/>
      <c r="H4086" s="49"/>
      <c r="K4086" s="72"/>
      <c r="L4086" s="50"/>
    </row>
    <row r="4087" spans="3:12" x14ac:dyDescent="0.3">
      <c r="C4087" s="47"/>
      <c r="H4087" s="49"/>
      <c r="K4087" s="72"/>
      <c r="L4087" s="50"/>
    </row>
    <row r="4088" spans="3:12" x14ac:dyDescent="0.3">
      <c r="C4088" s="47"/>
      <c r="H4088" s="49"/>
      <c r="K4088" s="72"/>
      <c r="L4088" s="50"/>
    </row>
    <row r="4089" spans="3:12" x14ac:dyDescent="0.3">
      <c r="C4089" s="47"/>
      <c r="H4089" s="49"/>
      <c r="K4089" s="72"/>
      <c r="L4089" s="50"/>
    </row>
    <row r="4090" spans="3:12" x14ac:dyDescent="0.3">
      <c r="C4090" s="47"/>
      <c r="H4090" s="49"/>
      <c r="K4090" s="72"/>
      <c r="L4090" s="50"/>
    </row>
    <row r="4091" spans="3:12" x14ac:dyDescent="0.3">
      <c r="C4091" s="47"/>
      <c r="H4091" s="49"/>
      <c r="K4091" s="72"/>
      <c r="L4091" s="50"/>
    </row>
    <row r="4092" spans="3:12" x14ac:dyDescent="0.3">
      <c r="C4092" s="47"/>
      <c r="H4092" s="49"/>
      <c r="K4092" s="72"/>
      <c r="L4092" s="50"/>
    </row>
    <row r="4093" spans="3:12" x14ac:dyDescent="0.3">
      <c r="C4093" s="47"/>
      <c r="H4093" s="49"/>
      <c r="K4093" s="72"/>
      <c r="L4093" s="50"/>
    </row>
    <row r="4094" spans="3:12" x14ac:dyDescent="0.3">
      <c r="C4094" s="47"/>
      <c r="H4094" s="49"/>
      <c r="K4094" s="72"/>
      <c r="L4094" s="50"/>
    </row>
    <row r="4095" spans="3:12" x14ac:dyDescent="0.3">
      <c r="C4095" s="47"/>
      <c r="H4095" s="49"/>
      <c r="K4095" s="72"/>
      <c r="L4095" s="50"/>
    </row>
    <row r="4096" spans="3:12" x14ac:dyDescent="0.3">
      <c r="C4096" s="47"/>
      <c r="H4096" s="49"/>
      <c r="K4096" s="72"/>
      <c r="L4096" s="50"/>
    </row>
    <row r="4097" spans="3:12" x14ac:dyDescent="0.3">
      <c r="C4097" s="47"/>
      <c r="H4097" s="49"/>
      <c r="K4097" s="72"/>
      <c r="L4097" s="50"/>
    </row>
    <row r="4098" spans="3:12" x14ac:dyDescent="0.3">
      <c r="C4098" s="47"/>
      <c r="H4098" s="49"/>
      <c r="K4098" s="72"/>
      <c r="L4098" s="50"/>
    </row>
    <row r="4099" spans="3:12" x14ac:dyDescent="0.3">
      <c r="C4099" s="47"/>
      <c r="H4099" s="49"/>
      <c r="K4099" s="72"/>
      <c r="L4099" s="50"/>
    </row>
    <row r="4100" spans="3:12" x14ac:dyDescent="0.3">
      <c r="C4100" s="47"/>
      <c r="H4100" s="49"/>
      <c r="K4100" s="72"/>
      <c r="L4100" s="50"/>
    </row>
    <row r="4101" spans="3:12" x14ac:dyDescent="0.3">
      <c r="C4101" s="47"/>
      <c r="H4101" s="49"/>
      <c r="K4101" s="72"/>
      <c r="L4101" s="50"/>
    </row>
    <row r="4102" spans="3:12" x14ac:dyDescent="0.3">
      <c r="C4102" s="47"/>
      <c r="H4102" s="49"/>
      <c r="K4102" s="72"/>
      <c r="L4102" s="50"/>
    </row>
    <row r="4103" spans="3:12" x14ac:dyDescent="0.3">
      <c r="C4103" s="47"/>
      <c r="H4103" s="49"/>
      <c r="K4103" s="72"/>
      <c r="L4103" s="50"/>
    </row>
    <row r="4104" spans="3:12" x14ac:dyDescent="0.3">
      <c r="C4104" s="47"/>
      <c r="H4104" s="49"/>
      <c r="K4104" s="72"/>
      <c r="L4104" s="50"/>
    </row>
    <row r="4105" spans="3:12" x14ac:dyDescent="0.3">
      <c r="C4105" s="47"/>
      <c r="H4105" s="49"/>
      <c r="K4105" s="72"/>
      <c r="L4105" s="50"/>
    </row>
    <row r="4106" spans="3:12" x14ac:dyDescent="0.3">
      <c r="C4106" s="47"/>
      <c r="H4106" s="49"/>
      <c r="K4106" s="72"/>
      <c r="L4106" s="50"/>
    </row>
    <row r="4107" spans="3:12" x14ac:dyDescent="0.3">
      <c r="C4107" s="47"/>
      <c r="H4107" s="49"/>
      <c r="K4107" s="72"/>
      <c r="L4107" s="50"/>
    </row>
    <row r="4108" spans="3:12" x14ac:dyDescent="0.3">
      <c r="C4108" s="47"/>
      <c r="H4108" s="49"/>
      <c r="K4108" s="72"/>
      <c r="L4108" s="50"/>
    </row>
    <row r="4109" spans="3:12" x14ac:dyDescent="0.3">
      <c r="C4109" s="47"/>
      <c r="H4109" s="49"/>
      <c r="K4109" s="72"/>
      <c r="L4109" s="50"/>
    </row>
    <row r="4110" spans="3:12" x14ac:dyDescent="0.3">
      <c r="C4110" s="47"/>
      <c r="H4110" s="49"/>
      <c r="K4110" s="72"/>
      <c r="L4110" s="50"/>
    </row>
    <row r="4111" spans="3:12" x14ac:dyDescent="0.3">
      <c r="C4111" s="47"/>
      <c r="H4111" s="49"/>
      <c r="K4111" s="72"/>
      <c r="L4111" s="50"/>
    </row>
    <row r="4112" spans="3:12" x14ac:dyDescent="0.3">
      <c r="C4112" s="47"/>
      <c r="H4112" s="49"/>
      <c r="K4112" s="72"/>
      <c r="L4112" s="50"/>
    </row>
    <row r="4113" spans="3:12" x14ac:dyDescent="0.3">
      <c r="C4113" s="47"/>
      <c r="H4113" s="49"/>
      <c r="K4113" s="72"/>
      <c r="L4113" s="50"/>
    </row>
    <row r="4114" spans="3:12" x14ac:dyDescent="0.3">
      <c r="C4114" s="47"/>
      <c r="H4114" s="49"/>
      <c r="K4114" s="72"/>
      <c r="L4114" s="50"/>
    </row>
    <row r="4115" spans="3:12" x14ac:dyDescent="0.3">
      <c r="C4115" s="47"/>
      <c r="H4115" s="49"/>
      <c r="K4115" s="72"/>
      <c r="L4115" s="50"/>
    </row>
    <row r="4116" spans="3:12" x14ac:dyDescent="0.3">
      <c r="C4116" s="47"/>
      <c r="H4116" s="49"/>
      <c r="K4116" s="72"/>
      <c r="L4116" s="50"/>
    </row>
    <row r="4117" spans="3:12" x14ac:dyDescent="0.3">
      <c r="C4117" s="47"/>
      <c r="H4117" s="49"/>
      <c r="K4117" s="72"/>
      <c r="L4117" s="50"/>
    </row>
    <row r="4118" spans="3:12" x14ac:dyDescent="0.3">
      <c r="C4118" s="47"/>
      <c r="H4118" s="49"/>
      <c r="K4118" s="72"/>
      <c r="L4118" s="50"/>
    </row>
    <row r="4119" spans="3:12" x14ac:dyDescent="0.3">
      <c r="C4119" s="47"/>
      <c r="H4119" s="49"/>
      <c r="K4119" s="72"/>
      <c r="L4119" s="50"/>
    </row>
    <row r="4120" spans="3:12" x14ac:dyDescent="0.3">
      <c r="C4120" s="47"/>
      <c r="H4120" s="49"/>
      <c r="K4120" s="72"/>
      <c r="L4120" s="50"/>
    </row>
    <row r="4121" spans="3:12" x14ac:dyDescent="0.3">
      <c r="C4121" s="47"/>
      <c r="H4121" s="49"/>
      <c r="K4121" s="72"/>
      <c r="L4121" s="50"/>
    </row>
    <row r="4122" spans="3:12" x14ac:dyDescent="0.3">
      <c r="C4122" s="47"/>
      <c r="H4122" s="49"/>
      <c r="K4122" s="72"/>
      <c r="L4122" s="50"/>
    </row>
    <row r="4123" spans="3:12" x14ac:dyDescent="0.3">
      <c r="C4123" s="47"/>
      <c r="H4123" s="49"/>
      <c r="K4123" s="72"/>
      <c r="L4123" s="50"/>
    </row>
    <row r="4124" spans="3:12" x14ac:dyDescent="0.3">
      <c r="C4124" s="47"/>
      <c r="H4124" s="49"/>
      <c r="K4124" s="72"/>
      <c r="L4124" s="50"/>
    </row>
    <row r="4125" spans="3:12" x14ac:dyDescent="0.3">
      <c r="C4125" s="47"/>
      <c r="H4125" s="49"/>
      <c r="K4125" s="72"/>
      <c r="L4125" s="50"/>
    </row>
    <row r="4126" spans="3:12" x14ac:dyDescent="0.3">
      <c r="C4126" s="47"/>
      <c r="H4126" s="49"/>
      <c r="K4126" s="72"/>
      <c r="L4126" s="50"/>
    </row>
    <row r="4127" spans="3:12" x14ac:dyDescent="0.3">
      <c r="C4127" s="47"/>
      <c r="H4127" s="49"/>
      <c r="K4127" s="72"/>
      <c r="L4127" s="50"/>
    </row>
    <row r="4128" spans="3:12" x14ac:dyDescent="0.3">
      <c r="C4128" s="47"/>
      <c r="H4128" s="49"/>
      <c r="K4128" s="72"/>
      <c r="L4128" s="50"/>
    </row>
    <row r="4129" spans="3:12" x14ac:dyDescent="0.3">
      <c r="C4129" s="47"/>
      <c r="H4129" s="49"/>
      <c r="K4129" s="72"/>
      <c r="L4129" s="50"/>
    </row>
    <row r="4130" spans="3:12" x14ac:dyDescent="0.3">
      <c r="C4130" s="47"/>
      <c r="H4130" s="49"/>
      <c r="K4130" s="72"/>
      <c r="L4130" s="50"/>
    </row>
    <row r="4131" spans="3:12" x14ac:dyDescent="0.3">
      <c r="C4131" s="47"/>
      <c r="H4131" s="49"/>
      <c r="K4131" s="72"/>
      <c r="L4131" s="50"/>
    </row>
    <row r="4132" spans="3:12" x14ac:dyDescent="0.3">
      <c r="C4132" s="47"/>
      <c r="H4132" s="49"/>
      <c r="K4132" s="72"/>
      <c r="L4132" s="50"/>
    </row>
    <row r="4133" spans="3:12" x14ac:dyDescent="0.3">
      <c r="C4133" s="47"/>
      <c r="H4133" s="49"/>
      <c r="K4133" s="72"/>
      <c r="L4133" s="50"/>
    </row>
    <row r="4134" spans="3:12" x14ac:dyDescent="0.3">
      <c r="C4134" s="47"/>
      <c r="H4134" s="49"/>
      <c r="K4134" s="72"/>
      <c r="L4134" s="50"/>
    </row>
    <row r="4135" spans="3:12" x14ac:dyDescent="0.3">
      <c r="C4135" s="47"/>
      <c r="H4135" s="49"/>
      <c r="K4135" s="72"/>
      <c r="L4135" s="50"/>
    </row>
    <row r="4136" spans="3:12" x14ac:dyDescent="0.3">
      <c r="C4136" s="47"/>
      <c r="H4136" s="49"/>
      <c r="K4136" s="72"/>
      <c r="L4136" s="50"/>
    </row>
    <row r="4137" spans="3:12" x14ac:dyDescent="0.3">
      <c r="C4137" s="47"/>
      <c r="H4137" s="49"/>
      <c r="K4137" s="72"/>
      <c r="L4137" s="50"/>
    </row>
    <row r="4138" spans="3:12" x14ac:dyDescent="0.3">
      <c r="C4138" s="47"/>
      <c r="H4138" s="49"/>
      <c r="K4138" s="72"/>
      <c r="L4138" s="50"/>
    </row>
    <row r="4139" spans="3:12" x14ac:dyDescent="0.3">
      <c r="C4139" s="47"/>
      <c r="H4139" s="49"/>
      <c r="K4139" s="72"/>
      <c r="L4139" s="50"/>
    </row>
    <row r="4140" spans="3:12" x14ac:dyDescent="0.3">
      <c r="C4140" s="47"/>
      <c r="H4140" s="49"/>
      <c r="K4140" s="72"/>
      <c r="L4140" s="50"/>
    </row>
    <row r="4141" spans="3:12" x14ac:dyDescent="0.3">
      <c r="C4141" s="47"/>
      <c r="H4141" s="49"/>
      <c r="K4141" s="72"/>
      <c r="L4141" s="50"/>
    </row>
    <row r="4142" spans="3:12" x14ac:dyDescent="0.3">
      <c r="C4142" s="47"/>
      <c r="H4142" s="49"/>
      <c r="K4142" s="72"/>
      <c r="L4142" s="50"/>
    </row>
    <row r="4143" spans="3:12" x14ac:dyDescent="0.3">
      <c r="C4143" s="47"/>
      <c r="H4143" s="49"/>
      <c r="K4143" s="72"/>
      <c r="L4143" s="50"/>
    </row>
    <row r="4144" spans="3:12" x14ac:dyDescent="0.3">
      <c r="C4144" s="47"/>
      <c r="H4144" s="49"/>
      <c r="K4144" s="72"/>
      <c r="L4144" s="50"/>
    </row>
    <row r="4145" spans="3:12" x14ac:dyDescent="0.3">
      <c r="C4145" s="47"/>
      <c r="H4145" s="49"/>
      <c r="K4145" s="72"/>
      <c r="L4145" s="50"/>
    </row>
    <row r="4146" spans="3:12" x14ac:dyDescent="0.3">
      <c r="C4146" s="47"/>
      <c r="H4146" s="49"/>
      <c r="K4146" s="72"/>
      <c r="L4146" s="50"/>
    </row>
    <row r="4147" spans="3:12" x14ac:dyDescent="0.3">
      <c r="C4147" s="47"/>
      <c r="H4147" s="49"/>
      <c r="K4147" s="72"/>
      <c r="L4147" s="50"/>
    </row>
    <row r="4148" spans="3:12" x14ac:dyDescent="0.3">
      <c r="C4148" s="47"/>
      <c r="H4148" s="49"/>
      <c r="K4148" s="72"/>
      <c r="L4148" s="50"/>
    </row>
    <row r="4149" spans="3:12" x14ac:dyDescent="0.3">
      <c r="C4149" s="47"/>
      <c r="H4149" s="49"/>
      <c r="K4149" s="72"/>
      <c r="L4149" s="50"/>
    </row>
    <row r="4150" spans="3:12" x14ac:dyDescent="0.3">
      <c r="C4150" s="47"/>
      <c r="H4150" s="49"/>
      <c r="K4150" s="72"/>
      <c r="L4150" s="50"/>
    </row>
    <row r="4151" spans="3:12" x14ac:dyDescent="0.3">
      <c r="C4151" s="47"/>
      <c r="H4151" s="49"/>
      <c r="K4151" s="72"/>
      <c r="L4151" s="50"/>
    </row>
    <row r="4152" spans="3:12" x14ac:dyDescent="0.3">
      <c r="C4152" s="47"/>
      <c r="H4152" s="49"/>
      <c r="K4152" s="72"/>
      <c r="L4152" s="50"/>
    </row>
    <row r="4153" spans="3:12" x14ac:dyDescent="0.3">
      <c r="C4153" s="47"/>
      <c r="H4153" s="49"/>
      <c r="K4153" s="72"/>
      <c r="L4153" s="50"/>
    </row>
    <row r="4154" spans="3:12" x14ac:dyDescent="0.3">
      <c r="C4154" s="47"/>
      <c r="H4154" s="49"/>
      <c r="K4154" s="72"/>
      <c r="L4154" s="50"/>
    </row>
    <row r="4155" spans="3:12" x14ac:dyDescent="0.3">
      <c r="C4155" s="47"/>
      <c r="H4155" s="49"/>
      <c r="K4155" s="72"/>
      <c r="L4155" s="50"/>
    </row>
    <row r="4156" spans="3:12" x14ac:dyDescent="0.3">
      <c r="C4156" s="47"/>
      <c r="H4156" s="49"/>
      <c r="K4156" s="72"/>
      <c r="L4156" s="50"/>
    </row>
    <row r="4157" spans="3:12" x14ac:dyDescent="0.3">
      <c r="C4157" s="47"/>
      <c r="H4157" s="49"/>
      <c r="K4157" s="72"/>
      <c r="L4157" s="50"/>
    </row>
    <row r="4158" spans="3:12" x14ac:dyDescent="0.3">
      <c r="C4158" s="47"/>
      <c r="H4158" s="49"/>
      <c r="K4158" s="72"/>
      <c r="L4158" s="50"/>
    </row>
    <row r="4159" spans="3:12" x14ac:dyDescent="0.3">
      <c r="C4159" s="47"/>
      <c r="H4159" s="49"/>
      <c r="K4159" s="72"/>
      <c r="L4159" s="50"/>
    </row>
    <row r="4160" spans="3:12" x14ac:dyDescent="0.3">
      <c r="C4160" s="47"/>
      <c r="H4160" s="49"/>
      <c r="K4160" s="72"/>
      <c r="L4160" s="50"/>
    </row>
    <row r="4161" spans="3:12" x14ac:dyDescent="0.3">
      <c r="C4161" s="47"/>
      <c r="H4161" s="49"/>
      <c r="K4161" s="72"/>
      <c r="L4161" s="50"/>
    </row>
    <row r="4162" spans="3:12" x14ac:dyDescent="0.3">
      <c r="C4162" s="47"/>
      <c r="H4162" s="49"/>
      <c r="K4162" s="72"/>
      <c r="L4162" s="50"/>
    </row>
    <row r="4163" spans="3:12" x14ac:dyDescent="0.3">
      <c r="C4163" s="47"/>
      <c r="H4163" s="49"/>
      <c r="K4163" s="72"/>
      <c r="L4163" s="50"/>
    </row>
    <row r="4164" spans="3:12" x14ac:dyDescent="0.3">
      <c r="C4164" s="47"/>
      <c r="H4164" s="49"/>
      <c r="K4164" s="72"/>
      <c r="L4164" s="50"/>
    </row>
    <row r="4165" spans="3:12" x14ac:dyDescent="0.3">
      <c r="C4165" s="47"/>
      <c r="H4165" s="49"/>
      <c r="K4165" s="72"/>
      <c r="L4165" s="50"/>
    </row>
    <row r="4166" spans="3:12" x14ac:dyDescent="0.3">
      <c r="C4166" s="47"/>
      <c r="H4166" s="49"/>
      <c r="K4166" s="72"/>
      <c r="L4166" s="50"/>
    </row>
    <row r="4167" spans="3:12" x14ac:dyDescent="0.3">
      <c r="C4167" s="47"/>
      <c r="H4167" s="49"/>
      <c r="K4167" s="72"/>
      <c r="L4167" s="50"/>
    </row>
    <row r="4168" spans="3:12" x14ac:dyDescent="0.3">
      <c r="C4168" s="47"/>
      <c r="H4168" s="49"/>
      <c r="K4168" s="72"/>
      <c r="L4168" s="50"/>
    </row>
    <row r="4169" spans="3:12" x14ac:dyDescent="0.3">
      <c r="C4169" s="47"/>
      <c r="H4169" s="49"/>
      <c r="K4169" s="72"/>
      <c r="L4169" s="50"/>
    </row>
    <row r="4170" spans="3:12" x14ac:dyDescent="0.3">
      <c r="C4170" s="47"/>
      <c r="H4170" s="49"/>
      <c r="K4170" s="72"/>
      <c r="L4170" s="50"/>
    </row>
    <row r="4171" spans="3:12" x14ac:dyDescent="0.3">
      <c r="C4171" s="47"/>
      <c r="H4171" s="49"/>
      <c r="K4171" s="72"/>
      <c r="L4171" s="50"/>
    </row>
    <row r="4172" spans="3:12" x14ac:dyDescent="0.3">
      <c r="C4172" s="47"/>
      <c r="H4172" s="49"/>
      <c r="K4172" s="72"/>
      <c r="L4172" s="50"/>
    </row>
    <row r="4173" spans="3:12" x14ac:dyDescent="0.3">
      <c r="C4173" s="47"/>
      <c r="H4173" s="49"/>
      <c r="K4173" s="72"/>
      <c r="L4173" s="50"/>
    </row>
    <row r="4174" spans="3:12" x14ac:dyDescent="0.3">
      <c r="C4174" s="47"/>
      <c r="H4174" s="49"/>
      <c r="K4174" s="72"/>
      <c r="L4174" s="50"/>
    </row>
    <row r="4175" spans="3:12" x14ac:dyDescent="0.3">
      <c r="C4175" s="47"/>
      <c r="H4175" s="49"/>
      <c r="K4175" s="72"/>
      <c r="L4175" s="50"/>
    </row>
    <row r="4176" spans="3:12" x14ac:dyDescent="0.3">
      <c r="C4176" s="47"/>
      <c r="H4176" s="49"/>
      <c r="K4176" s="72"/>
      <c r="L4176" s="50"/>
    </row>
    <row r="4177" spans="3:12" x14ac:dyDescent="0.3">
      <c r="C4177" s="47"/>
      <c r="H4177" s="49"/>
      <c r="K4177" s="72"/>
      <c r="L4177" s="50"/>
    </row>
    <row r="4178" spans="3:12" x14ac:dyDescent="0.3">
      <c r="C4178" s="47"/>
      <c r="H4178" s="49"/>
      <c r="K4178" s="72"/>
      <c r="L4178" s="50"/>
    </row>
    <row r="4179" spans="3:12" x14ac:dyDescent="0.3">
      <c r="C4179" s="47"/>
      <c r="H4179" s="49"/>
      <c r="K4179" s="72"/>
      <c r="L4179" s="50"/>
    </row>
    <row r="4180" spans="3:12" x14ac:dyDescent="0.3">
      <c r="C4180" s="47"/>
      <c r="H4180" s="49"/>
      <c r="K4180" s="72"/>
      <c r="L4180" s="50"/>
    </row>
    <row r="4181" spans="3:12" x14ac:dyDescent="0.3">
      <c r="C4181" s="47"/>
      <c r="H4181" s="49"/>
      <c r="K4181" s="72"/>
      <c r="L4181" s="50"/>
    </row>
    <row r="4182" spans="3:12" x14ac:dyDescent="0.3">
      <c r="C4182" s="47"/>
      <c r="H4182" s="49"/>
      <c r="K4182" s="72"/>
      <c r="L4182" s="50"/>
    </row>
    <row r="4183" spans="3:12" x14ac:dyDescent="0.3">
      <c r="C4183" s="47"/>
      <c r="H4183" s="49"/>
      <c r="K4183" s="72"/>
      <c r="L4183" s="50"/>
    </row>
    <row r="4184" spans="3:12" x14ac:dyDescent="0.3">
      <c r="C4184" s="47"/>
      <c r="H4184" s="49"/>
      <c r="K4184" s="72"/>
      <c r="L4184" s="50"/>
    </row>
    <row r="4185" spans="3:12" x14ac:dyDescent="0.3">
      <c r="C4185" s="47"/>
      <c r="H4185" s="49"/>
      <c r="K4185" s="72"/>
      <c r="L4185" s="50"/>
    </row>
    <row r="4186" spans="3:12" x14ac:dyDescent="0.3">
      <c r="C4186" s="47"/>
      <c r="H4186" s="49"/>
      <c r="K4186" s="72"/>
      <c r="L4186" s="50"/>
    </row>
    <row r="4187" spans="3:12" x14ac:dyDescent="0.3">
      <c r="C4187" s="47"/>
      <c r="H4187" s="49"/>
      <c r="K4187" s="72"/>
      <c r="L4187" s="50"/>
    </row>
    <row r="4188" spans="3:12" x14ac:dyDescent="0.3">
      <c r="C4188" s="47"/>
      <c r="H4188" s="49"/>
      <c r="K4188" s="72"/>
      <c r="L4188" s="50"/>
    </row>
    <row r="4189" spans="3:12" x14ac:dyDescent="0.3">
      <c r="C4189" s="47"/>
      <c r="H4189" s="49"/>
      <c r="K4189" s="72"/>
      <c r="L4189" s="50"/>
    </row>
    <row r="4190" spans="3:12" x14ac:dyDescent="0.3">
      <c r="C4190" s="47"/>
      <c r="H4190" s="49"/>
      <c r="K4190" s="72"/>
      <c r="L4190" s="50"/>
    </row>
    <row r="4191" spans="3:12" x14ac:dyDescent="0.3">
      <c r="C4191" s="47"/>
      <c r="H4191" s="49"/>
      <c r="K4191" s="72"/>
      <c r="L4191" s="50"/>
    </row>
    <row r="4192" spans="3:12" x14ac:dyDescent="0.3">
      <c r="C4192" s="47"/>
      <c r="H4192" s="49"/>
      <c r="K4192" s="72"/>
      <c r="L4192" s="50"/>
    </row>
    <row r="4193" spans="3:12" x14ac:dyDescent="0.3">
      <c r="C4193" s="47"/>
      <c r="H4193" s="49"/>
      <c r="K4193" s="72"/>
      <c r="L4193" s="50"/>
    </row>
    <row r="4194" spans="3:12" x14ac:dyDescent="0.3">
      <c r="C4194" s="47"/>
      <c r="H4194" s="49"/>
      <c r="K4194" s="72"/>
      <c r="L4194" s="50"/>
    </row>
    <row r="4195" spans="3:12" x14ac:dyDescent="0.3">
      <c r="C4195" s="47"/>
      <c r="H4195" s="49"/>
      <c r="K4195" s="72"/>
      <c r="L4195" s="50"/>
    </row>
    <row r="4196" spans="3:12" x14ac:dyDescent="0.3">
      <c r="C4196" s="47"/>
      <c r="H4196" s="49"/>
      <c r="K4196" s="72"/>
      <c r="L4196" s="50"/>
    </row>
    <row r="4197" spans="3:12" x14ac:dyDescent="0.3">
      <c r="C4197" s="47"/>
      <c r="H4197" s="49"/>
      <c r="K4197" s="72"/>
      <c r="L4197" s="50"/>
    </row>
    <row r="4198" spans="3:12" x14ac:dyDescent="0.3">
      <c r="C4198" s="47"/>
      <c r="H4198" s="49"/>
      <c r="K4198" s="72"/>
      <c r="L4198" s="50"/>
    </row>
    <row r="4199" spans="3:12" x14ac:dyDescent="0.3">
      <c r="C4199" s="47"/>
      <c r="H4199" s="49"/>
      <c r="K4199" s="72"/>
      <c r="L4199" s="50"/>
    </row>
    <row r="4200" spans="3:12" x14ac:dyDescent="0.3">
      <c r="C4200" s="47"/>
      <c r="H4200" s="49"/>
      <c r="K4200" s="72"/>
      <c r="L4200" s="50"/>
    </row>
    <row r="4201" spans="3:12" x14ac:dyDescent="0.3">
      <c r="C4201" s="47"/>
      <c r="H4201" s="49"/>
      <c r="K4201" s="72"/>
      <c r="L4201" s="50"/>
    </row>
    <row r="4202" spans="3:12" x14ac:dyDescent="0.3">
      <c r="C4202" s="47"/>
      <c r="H4202" s="49"/>
      <c r="K4202" s="72"/>
      <c r="L4202" s="50"/>
    </row>
    <row r="4203" spans="3:12" x14ac:dyDescent="0.3">
      <c r="C4203" s="47"/>
      <c r="H4203" s="49"/>
      <c r="K4203" s="72"/>
      <c r="L4203" s="50"/>
    </row>
    <row r="4204" spans="3:12" x14ac:dyDescent="0.3">
      <c r="C4204" s="47"/>
      <c r="H4204" s="49"/>
      <c r="K4204" s="72"/>
      <c r="L4204" s="50"/>
    </row>
    <row r="4205" spans="3:12" x14ac:dyDescent="0.3">
      <c r="C4205" s="47"/>
      <c r="H4205" s="49"/>
      <c r="K4205" s="72"/>
      <c r="L4205" s="50"/>
    </row>
    <row r="4206" spans="3:12" x14ac:dyDescent="0.3">
      <c r="C4206" s="47"/>
      <c r="H4206" s="49"/>
      <c r="K4206" s="72"/>
      <c r="L4206" s="50"/>
    </row>
    <row r="4207" spans="3:12" x14ac:dyDescent="0.3">
      <c r="C4207" s="47"/>
      <c r="H4207" s="49"/>
      <c r="K4207" s="72"/>
      <c r="L4207" s="50"/>
    </row>
    <row r="4208" spans="3:12" x14ac:dyDescent="0.3">
      <c r="C4208" s="47"/>
      <c r="H4208" s="49"/>
      <c r="K4208" s="72"/>
      <c r="L4208" s="50"/>
    </row>
    <row r="4209" spans="3:12" x14ac:dyDescent="0.3">
      <c r="C4209" s="47"/>
      <c r="H4209" s="49"/>
      <c r="K4209" s="72"/>
      <c r="L4209" s="50"/>
    </row>
    <row r="4210" spans="3:12" x14ac:dyDescent="0.3">
      <c r="C4210" s="47"/>
      <c r="H4210" s="49"/>
      <c r="K4210" s="72"/>
      <c r="L4210" s="50"/>
    </row>
    <row r="4211" spans="3:12" x14ac:dyDescent="0.3">
      <c r="C4211" s="47"/>
      <c r="H4211" s="49"/>
      <c r="K4211" s="72"/>
      <c r="L4211" s="50"/>
    </row>
    <row r="4212" spans="3:12" x14ac:dyDescent="0.3">
      <c r="C4212" s="47"/>
      <c r="H4212" s="49"/>
      <c r="K4212" s="72"/>
      <c r="L4212" s="50"/>
    </row>
    <row r="4213" spans="3:12" x14ac:dyDescent="0.3">
      <c r="C4213" s="47"/>
      <c r="H4213" s="49"/>
      <c r="K4213" s="72"/>
      <c r="L4213" s="50"/>
    </row>
    <row r="4214" spans="3:12" x14ac:dyDescent="0.3">
      <c r="C4214" s="47"/>
      <c r="H4214" s="49"/>
      <c r="K4214" s="72"/>
      <c r="L4214" s="50"/>
    </row>
    <row r="4215" spans="3:12" x14ac:dyDescent="0.3">
      <c r="C4215" s="47"/>
      <c r="H4215" s="49"/>
      <c r="K4215" s="72"/>
      <c r="L4215" s="50"/>
    </row>
    <row r="4216" spans="3:12" x14ac:dyDescent="0.3">
      <c r="C4216" s="47"/>
      <c r="H4216" s="49"/>
      <c r="K4216" s="72"/>
      <c r="L4216" s="50"/>
    </row>
    <row r="4217" spans="3:12" x14ac:dyDescent="0.3">
      <c r="C4217" s="47"/>
      <c r="H4217" s="49"/>
      <c r="K4217" s="72"/>
      <c r="L4217" s="50"/>
    </row>
    <row r="4218" spans="3:12" x14ac:dyDescent="0.3">
      <c r="C4218" s="47"/>
      <c r="H4218" s="49"/>
      <c r="K4218" s="72"/>
      <c r="L4218" s="50"/>
    </row>
    <row r="4219" spans="3:12" x14ac:dyDescent="0.3">
      <c r="C4219" s="47"/>
      <c r="H4219" s="49"/>
      <c r="K4219" s="72"/>
      <c r="L4219" s="50"/>
    </row>
    <row r="4220" spans="3:12" x14ac:dyDescent="0.3">
      <c r="C4220" s="47"/>
      <c r="H4220" s="49"/>
      <c r="K4220" s="72"/>
      <c r="L4220" s="50"/>
    </row>
    <row r="4221" spans="3:12" x14ac:dyDescent="0.3">
      <c r="C4221" s="47"/>
      <c r="H4221" s="49"/>
      <c r="K4221" s="72"/>
      <c r="L4221" s="50"/>
    </row>
    <row r="4222" spans="3:12" x14ac:dyDescent="0.3">
      <c r="C4222" s="47"/>
      <c r="H4222" s="49"/>
      <c r="K4222" s="72"/>
      <c r="L4222" s="50"/>
    </row>
    <row r="4223" spans="3:12" x14ac:dyDescent="0.3">
      <c r="C4223" s="47"/>
      <c r="H4223" s="49"/>
      <c r="K4223" s="72"/>
      <c r="L4223" s="50"/>
    </row>
    <row r="4224" spans="3:12" x14ac:dyDescent="0.3">
      <c r="C4224" s="47"/>
      <c r="H4224" s="49"/>
      <c r="K4224" s="72"/>
      <c r="L4224" s="50"/>
    </row>
    <row r="4225" spans="3:12" x14ac:dyDescent="0.3">
      <c r="C4225" s="47"/>
      <c r="H4225" s="49"/>
      <c r="K4225" s="72"/>
      <c r="L4225" s="50"/>
    </row>
    <row r="4226" spans="3:12" x14ac:dyDescent="0.3">
      <c r="C4226" s="47"/>
      <c r="H4226" s="49"/>
      <c r="K4226" s="72"/>
      <c r="L4226" s="50"/>
    </row>
    <row r="4227" spans="3:12" x14ac:dyDescent="0.3">
      <c r="C4227" s="47"/>
      <c r="H4227" s="49"/>
      <c r="K4227" s="72"/>
      <c r="L4227" s="50"/>
    </row>
    <row r="4228" spans="3:12" x14ac:dyDescent="0.3">
      <c r="C4228" s="47"/>
      <c r="H4228" s="49"/>
      <c r="K4228" s="72"/>
      <c r="L4228" s="50"/>
    </row>
    <row r="4229" spans="3:12" x14ac:dyDescent="0.3">
      <c r="C4229" s="47"/>
      <c r="H4229" s="49"/>
      <c r="K4229" s="72"/>
      <c r="L4229" s="50"/>
    </row>
    <row r="4230" spans="3:12" x14ac:dyDescent="0.3">
      <c r="C4230" s="47"/>
      <c r="H4230" s="49"/>
      <c r="K4230" s="72"/>
      <c r="L4230" s="50"/>
    </row>
    <row r="4231" spans="3:12" x14ac:dyDescent="0.3">
      <c r="C4231" s="47"/>
      <c r="H4231" s="49"/>
      <c r="K4231" s="72"/>
      <c r="L4231" s="50"/>
    </row>
    <row r="4232" spans="3:12" x14ac:dyDescent="0.3">
      <c r="C4232" s="47"/>
      <c r="H4232" s="49"/>
      <c r="K4232" s="72"/>
      <c r="L4232" s="50"/>
    </row>
    <row r="4233" spans="3:12" x14ac:dyDescent="0.3">
      <c r="C4233" s="47"/>
      <c r="H4233" s="49"/>
      <c r="K4233" s="72"/>
      <c r="L4233" s="50"/>
    </row>
    <row r="4234" spans="3:12" x14ac:dyDescent="0.3">
      <c r="C4234" s="47"/>
      <c r="H4234" s="49"/>
      <c r="K4234" s="72"/>
      <c r="L4234" s="50"/>
    </row>
    <row r="4235" spans="3:12" x14ac:dyDescent="0.3">
      <c r="C4235" s="47"/>
      <c r="H4235" s="49"/>
      <c r="K4235" s="72"/>
      <c r="L4235" s="50"/>
    </row>
    <row r="4236" spans="3:12" x14ac:dyDescent="0.3">
      <c r="C4236" s="47"/>
      <c r="H4236" s="49"/>
      <c r="K4236" s="72"/>
      <c r="L4236" s="50"/>
    </row>
    <row r="4237" spans="3:12" x14ac:dyDescent="0.3">
      <c r="C4237" s="47"/>
      <c r="H4237" s="49"/>
      <c r="K4237" s="72"/>
      <c r="L4237" s="50"/>
    </row>
    <row r="4238" spans="3:12" x14ac:dyDescent="0.3">
      <c r="C4238" s="47"/>
      <c r="H4238" s="49"/>
      <c r="K4238" s="72"/>
      <c r="L4238" s="50"/>
    </row>
    <row r="4239" spans="3:12" x14ac:dyDescent="0.3">
      <c r="C4239" s="47"/>
      <c r="H4239" s="49"/>
      <c r="K4239" s="72"/>
      <c r="L4239" s="50"/>
    </row>
    <row r="4240" spans="3:12" x14ac:dyDescent="0.3">
      <c r="C4240" s="47"/>
      <c r="H4240" s="49"/>
      <c r="K4240" s="72"/>
      <c r="L4240" s="50"/>
    </row>
    <row r="4241" spans="3:12" x14ac:dyDescent="0.3">
      <c r="C4241" s="47"/>
      <c r="H4241" s="49"/>
      <c r="K4241" s="72"/>
      <c r="L4241" s="50"/>
    </row>
    <row r="4242" spans="3:12" x14ac:dyDescent="0.3">
      <c r="C4242" s="47"/>
      <c r="H4242" s="49"/>
      <c r="K4242" s="72"/>
      <c r="L4242" s="50"/>
    </row>
    <row r="4243" spans="3:12" x14ac:dyDescent="0.3">
      <c r="C4243" s="47"/>
      <c r="H4243" s="49"/>
      <c r="K4243" s="72"/>
      <c r="L4243" s="50"/>
    </row>
    <row r="4244" spans="3:12" x14ac:dyDescent="0.3">
      <c r="C4244" s="47"/>
      <c r="H4244" s="49"/>
      <c r="K4244" s="72"/>
      <c r="L4244" s="50"/>
    </row>
    <row r="4245" spans="3:12" x14ac:dyDescent="0.3">
      <c r="C4245" s="47"/>
      <c r="H4245" s="49"/>
      <c r="K4245" s="72"/>
      <c r="L4245" s="50"/>
    </row>
    <row r="4246" spans="3:12" x14ac:dyDescent="0.3">
      <c r="C4246" s="47"/>
      <c r="H4246" s="49"/>
      <c r="K4246" s="72"/>
      <c r="L4246" s="50"/>
    </row>
    <row r="4247" spans="3:12" x14ac:dyDescent="0.3">
      <c r="C4247" s="47"/>
      <c r="H4247" s="49"/>
      <c r="K4247" s="72"/>
      <c r="L4247" s="50"/>
    </row>
    <row r="4248" spans="3:12" x14ac:dyDescent="0.3">
      <c r="C4248" s="47"/>
      <c r="H4248" s="49"/>
      <c r="K4248" s="72"/>
      <c r="L4248" s="50"/>
    </row>
    <row r="4249" spans="3:12" x14ac:dyDescent="0.3">
      <c r="C4249" s="47"/>
      <c r="H4249" s="49"/>
      <c r="K4249" s="72"/>
      <c r="L4249" s="50"/>
    </row>
    <row r="4250" spans="3:12" x14ac:dyDescent="0.3">
      <c r="C4250" s="47"/>
      <c r="H4250" s="49"/>
      <c r="K4250" s="72"/>
      <c r="L4250" s="50"/>
    </row>
    <row r="4251" spans="3:12" x14ac:dyDescent="0.3">
      <c r="C4251" s="47"/>
      <c r="H4251" s="49"/>
      <c r="K4251" s="72"/>
      <c r="L4251" s="50"/>
    </row>
    <row r="4252" spans="3:12" x14ac:dyDescent="0.3">
      <c r="C4252" s="47"/>
      <c r="H4252" s="49"/>
      <c r="K4252" s="72"/>
      <c r="L4252" s="50"/>
    </row>
    <row r="4253" spans="3:12" x14ac:dyDescent="0.3">
      <c r="C4253" s="47"/>
      <c r="H4253" s="49"/>
      <c r="K4253" s="72"/>
      <c r="L4253" s="50"/>
    </row>
    <row r="4254" spans="3:12" x14ac:dyDescent="0.3">
      <c r="C4254" s="47"/>
      <c r="H4254" s="49"/>
      <c r="K4254" s="72"/>
      <c r="L4254" s="50"/>
    </row>
    <row r="4255" spans="3:12" x14ac:dyDescent="0.3">
      <c r="C4255" s="47"/>
      <c r="H4255" s="49"/>
      <c r="K4255" s="72"/>
      <c r="L4255" s="50"/>
    </row>
    <row r="4256" spans="3:12" x14ac:dyDescent="0.3">
      <c r="C4256" s="47"/>
      <c r="H4256" s="49"/>
      <c r="K4256" s="72"/>
      <c r="L4256" s="50"/>
    </row>
    <row r="4257" spans="3:12" x14ac:dyDescent="0.3">
      <c r="C4257" s="47"/>
      <c r="H4257" s="49"/>
      <c r="K4257" s="72"/>
      <c r="L4257" s="50"/>
    </row>
    <row r="4258" spans="3:12" x14ac:dyDescent="0.3">
      <c r="C4258" s="47"/>
      <c r="H4258" s="49"/>
      <c r="K4258" s="72"/>
      <c r="L4258" s="50"/>
    </row>
    <row r="4259" spans="3:12" x14ac:dyDescent="0.3">
      <c r="C4259" s="47"/>
      <c r="H4259" s="49"/>
      <c r="K4259" s="72"/>
      <c r="L4259" s="50"/>
    </row>
    <row r="4260" spans="3:12" x14ac:dyDescent="0.3">
      <c r="C4260" s="47"/>
      <c r="H4260" s="49"/>
      <c r="K4260" s="72"/>
      <c r="L4260" s="50"/>
    </row>
    <row r="4261" spans="3:12" x14ac:dyDescent="0.3">
      <c r="C4261" s="47"/>
      <c r="H4261" s="49"/>
      <c r="K4261" s="72"/>
      <c r="L4261" s="50"/>
    </row>
    <row r="4262" spans="3:12" x14ac:dyDescent="0.3">
      <c r="C4262" s="47"/>
      <c r="H4262" s="49"/>
      <c r="K4262" s="72"/>
      <c r="L4262" s="50"/>
    </row>
    <row r="4263" spans="3:12" x14ac:dyDescent="0.3">
      <c r="C4263" s="47"/>
      <c r="H4263" s="49"/>
      <c r="K4263" s="72"/>
      <c r="L4263" s="50"/>
    </row>
    <row r="4264" spans="3:12" x14ac:dyDescent="0.3">
      <c r="C4264" s="47"/>
      <c r="H4264" s="49"/>
      <c r="K4264" s="72"/>
      <c r="L4264" s="50"/>
    </row>
    <row r="4265" spans="3:12" x14ac:dyDescent="0.3">
      <c r="C4265" s="47"/>
      <c r="H4265" s="49"/>
      <c r="K4265" s="72"/>
      <c r="L4265" s="50"/>
    </row>
    <row r="4266" spans="3:12" x14ac:dyDescent="0.3">
      <c r="C4266" s="47"/>
      <c r="H4266" s="49"/>
      <c r="K4266" s="72"/>
      <c r="L4266" s="50"/>
    </row>
    <row r="4267" spans="3:12" x14ac:dyDescent="0.3">
      <c r="C4267" s="47"/>
      <c r="H4267" s="49"/>
      <c r="K4267" s="72"/>
      <c r="L4267" s="50"/>
    </row>
    <row r="4268" spans="3:12" x14ac:dyDescent="0.3">
      <c r="C4268" s="47"/>
      <c r="H4268" s="49"/>
      <c r="K4268" s="72"/>
      <c r="L4268" s="50"/>
    </row>
    <row r="4269" spans="3:12" x14ac:dyDescent="0.3">
      <c r="C4269" s="47"/>
      <c r="H4269" s="49"/>
      <c r="K4269" s="72"/>
      <c r="L4269" s="50"/>
    </row>
    <row r="4270" spans="3:12" x14ac:dyDescent="0.3">
      <c r="C4270" s="47"/>
      <c r="H4270" s="49"/>
      <c r="K4270" s="72"/>
      <c r="L4270" s="50"/>
    </row>
    <row r="4271" spans="3:12" x14ac:dyDescent="0.3">
      <c r="C4271" s="47"/>
      <c r="H4271" s="49"/>
      <c r="K4271" s="72"/>
      <c r="L4271" s="50"/>
    </row>
    <row r="4272" spans="3:12" x14ac:dyDescent="0.3">
      <c r="C4272" s="47"/>
      <c r="H4272" s="49"/>
      <c r="K4272" s="72"/>
      <c r="L4272" s="50"/>
    </row>
    <row r="4273" spans="3:12" x14ac:dyDescent="0.3">
      <c r="C4273" s="47"/>
      <c r="H4273" s="49"/>
      <c r="K4273" s="72"/>
      <c r="L4273" s="50"/>
    </row>
    <row r="4274" spans="3:12" x14ac:dyDescent="0.3">
      <c r="C4274" s="47"/>
      <c r="H4274" s="49"/>
      <c r="K4274" s="72"/>
      <c r="L4274" s="50"/>
    </row>
    <row r="4275" spans="3:12" x14ac:dyDescent="0.3">
      <c r="C4275" s="47"/>
      <c r="H4275" s="49"/>
      <c r="K4275" s="72"/>
      <c r="L4275" s="50"/>
    </row>
    <row r="4276" spans="3:12" x14ac:dyDescent="0.3">
      <c r="C4276" s="47"/>
      <c r="H4276" s="49"/>
      <c r="K4276" s="72"/>
      <c r="L4276" s="50"/>
    </row>
    <row r="4277" spans="3:12" x14ac:dyDescent="0.3">
      <c r="C4277" s="47"/>
      <c r="H4277" s="49"/>
      <c r="K4277" s="72"/>
      <c r="L4277" s="50"/>
    </row>
    <row r="4278" spans="3:12" x14ac:dyDescent="0.3">
      <c r="C4278" s="47"/>
      <c r="H4278" s="49"/>
      <c r="K4278" s="72"/>
      <c r="L4278" s="50"/>
    </row>
    <row r="4279" spans="3:12" x14ac:dyDescent="0.3">
      <c r="C4279" s="47"/>
      <c r="H4279" s="49"/>
      <c r="K4279" s="72"/>
      <c r="L4279" s="50"/>
    </row>
    <row r="4280" spans="3:12" x14ac:dyDescent="0.3">
      <c r="C4280" s="47"/>
      <c r="H4280" s="49"/>
      <c r="K4280" s="72"/>
      <c r="L4280" s="50"/>
    </row>
    <row r="4281" spans="3:12" x14ac:dyDescent="0.3">
      <c r="C4281" s="47"/>
      <c r="H4281" s="49"/>
      <c r="K4281" s="72"/>
      <c r="L4281" s="50"/>
    </row>
    <row r="4282" spans="3:12" x14ac:dyDescent="0.3">
      <c r="C4282" s="47"/>
      <c r="H4282" s="49"/>
      <c r="K4282" s="72"/>
      <c r="L4282" s="50"/>
    </row>
    <row r="4283" spans="3:12" x14ac:dyDescent="0.3">
      <c r="C4283" s="47"/>
      <c r="H4283" s="49"/>
      <c r="K4283" s="72"/>
      <c r="L4283" s="50"/>
    </row>
    <row r="4284" spans="3:12" x14ac:dyDescent="0.3">
      <c r="C4284" s="47"/>
      <c r="H4284" s="49"/>
      <c r="K4284" s="72"/>
      <c r="L4284" s="50"/>
    </row>
    <row r="4285" spans="3:12" x14ac:dyDescent="0.3">
      <c r="C4285" s="47"/>
      <c r="H4285" s="49"/>
      <c r="K4285" s="72"/>
      <c r="L4285" s="50"/>
    </row>
    <row r="4286" spans="3:12" x14ac:dyDescent="0.3">
      <c r="C4286" s="47"/>
      <c r="H4286" s="49"/>
      <c r="K4286" s="72"/>
      <c r="L4286" s="50"/>
    </row>
    <row r="4287" spans="3:12" x14ac:dyDescent="0.3">
      <c r="C4287" s="47"/>
      <c r="H4287" s="49"/>
      <c r="K4287" s="72"/>
      <c r="L4287" s="50"/>
    </row>
    <row r="4288" spans="3:12" x14ac:dyDescent="0.3">
      <c r="C4288" s="47"/>
      <c r="H4288" s="49"/>
      <c r="K4288" s="72"/>
      <c r="L4288" s="50"/>
    </row>
    <row r="4289" spans="3:12" x14ac:dyDescent="0.3">
      <c r="C4289" s="47"/>
      <c r="H4289" s="49"/>
      <c r="K4289" s="72"/>
      <c r="L4289" s="50"/>
    </row>
    <row r="4290" spans="3:12" x14ac:dyDescent="0.3">
      <c r="C4290" s="47"/>
      <c r="H4290" s="49"/>
      <c r="K4290" s="72"/>
      <c r="L4290" s="50"/>
    </row>
    <row r="4291" spans="3:12" x14ac:dyDescent="0.3">
      <c r="C4291" s="47"/>
      <c r="H4291" s="49"/>
      <c r="K4291" s="72"/>
      <c r="L4291" s="50"/>
    </row>
    <row r="4292" spans="3:12" x14ac:dyDescent="0.3">
      <c r="C4292" s="47"/>
      <c r="H4292" s="49"/>
      <c r="K4292" s="72"/>
      <c r="L4292" s="50"/>
    </row>
    <row r="4293" spans="3:12" x14ac:dyDescent="0.3">
      <c r="C4293" s="47"/>
      <c r="H4293" s="49"/>
      <c r="K4293" s="72"/>
      <c r="L4293" s="50"/>
    </row>
    <row r="4294" spans="3:12" x14ac:dyDescent="0.3">
      <c r="C4294" s="47"/>
      <c r="H4294" s="49"/>
      <c r="K4294" s="72"/>
      <c r="L4294" s="50"/>
    </row>
    <row r="4295" spans="3:12" x14ac:dyDescent="0.3">
      <c r="C4295" s="47"/>
      <c r="H4295" s="49"/>
      <c r="K4295" s="72"/>
      <c r="L4295" s="50"/>
    </row>
    <row r="4296" spans="3:12" x14ac:dyDescent="0.3">
      <c r="C4296" s="47"/>
      <c r="H4296" s="49"/>
      <c r="K4296" s="72"/>
      <c r="L4296" s="50"/>
    </row>
    <row r="4297" spans="3:12" x14ac:dyDescent="0.3">
      <c r="C4297" s="47"/>
      <c r="H4297" s="49"/>
      <c r="K4297" s="72"/>
      <c r="L4297" s="50"/>
    </row>
    <row r="4298" spans="3:12" x14ac:dyDescent="0.3">
      <c r="C4298" s="47"/>
      <c r="H4298" s="49"/>
      <c r="K4298" s="72"/>
      <c r="L4298" s="50"/>
    </row>
    <row r="4299" spans="3:12" x14ac:dyDescent="0.3">
      <c r="C4299" s="47"/>
      <c r="H4299" s="49"/>
      <c r="K4299" s="72"/>
      <c r="L4299" s="50"/>
    </row>
    <row r="4300" spans="3:12" x14ac:dyDescent="0.3">
      <c r="C4300" s="47"/>
      <c r="H4300" s="49"/>
      <c r="K4300" s="72"/>
      <c r="L4300" s="50"/>
    </row>
    <row r="4301" spans="3:12" x14ac:dyDescent="0.3">
      <c r="C4301" s="47"/>
      <c r="H4301" s="49"/>
      <c r="K4301" s="72"/>
      <c r="L4301" s="50"/>
    </row>
    <row r="4302" spans="3:12" x14ac:dyDescent="0.3">
      <c r="C4302" s="47"/>
      <c r="H4302" s="49"/>
      <c r="K4302" s="72"/>
      <c r="L4302" s="50"/>
    </row>
    <row r="4303" spans="3:12" x14ac:dyDescent="0.3">
      <c r="C4303" s="47"/>
      <c r="H4303" s="49"/>
      <c r="K4303" s="72"/>
      <c r="L4303" s="50"/>
    </row>
    <row r="4304" spans="3:12" x14ac:dyDescent="0.3">
      <c r="C4304" s="47"/>
      <c r="H4304" s="49"/>
      <c r="K4304" s="72"/>
      <c r="L4304" s="50"/>
    </row>
    <row r="4305" spans="3:12" x14ac:dyDescent="0.3">
      <c r="C4305" s="47"/>
      <c r="H4305" s="49"/>
      <c r="K4305" s="72"/>
      <c r="L4305" s="50"/>
    </row>
    <row r="4306" spans="3:12" x14ac:dyDescent="0.3">
      <c r="C4306" s="47"/>
      <c r="H4306" s="49"/>
      <c r="K4306" s="72"/>
      <c r="L4306" s="50"/>
    </row>
    <row r="4307" spans="3:12" x14ac:dyDescent="0.3">
      <c r="C4307" s="47"/>
      <c r="H4307" s="49"/>
      <c r="K4307" s="72"/>
      <c r="L4307" s="50"/>
    </row>
    <row r="4308" spans="3:12" x14ac:dyDescent="0.3">
      <c r="C4308" s="47"/>
      <c r="H4308" s="49"/>
      <c r="K4308" s="72"/>
      <c r="L4308" s="50"/>
    </row>
    <row r="4309" spans="3:12" x14ac:dyDescent="0.3">
      <c r="C4309" s="47"/>
      <c r="H4309" s="49"/>
      <c r="K4309" s="72"/>
      <c r="L4309" s="50"/>
    </row>
    <row r="4310" spans="3:12" x14ac:dyDescent="0.3">
      <c r="C4310" s="47"/>
      <c r="H4310" s="49"/>
      <c r="K4310" s="72"/>
      <c r="L4310" s="50"/>
    </row>
    <row r="4311" spans="3:12" x14ac:dyDescent="0.3">
      <c r="C4311" s="47"/>
      <c r="H4311" s="49"/>
      <c r="K4311" s="72"/>
      <c r="L4311" s="50"/>
    </row>
    <row r="4312" spans="3:12" x14ac:dyDescent="0.3">
      <c r="C4312" s="47"/>
      <c r="H4312" s="49"/>
      <c r="K4312" s="72"/>
      <c r="L4312" s="50"/>
    </row>
    <row r="4313" spans="3:12" x14ac:dyDescent="0.3">
      <c r="C4313" s="47"/>
      <c r="H4313" s="49"/>
      <c r="K4313" s="72"/>
      <c r="L4313" s="50"/>
    </row>
    <row r="4314" spans="3:12" x14ac:dyDescent="0.3">
      <c r="C4314" s="47"/>
      <c r="H4314" s="49"/>
      <c r="K4314" s="72"/>
      <c r="L4314" s="50"/>
    </row>
    <row r="4315" spans="3:12" x14ac:dyDescent="0.3">
      <c r="C4315" s="47"/>
      <c r="H4315" s="49"/>
      <c r="K4315" s="72"/>
      <c r="L4315" s="50"/>
    </row>
    <row r="4316" spans="3:12" x14ac:dyDescent="0.3">
      <c r="C4316" s="47"/>
      <c r="H4316" s="49"/>
      <c r="K4316" s="72"/>
      <c r="L4316" s="50"/>
    </row>
    <row r="4317" spans="3:12" x14ac:dyDescent="0.3">
      <c r="C4317" s="47"/>
      <c r="H4317" s="49"/>
      <c r="K4317" s="72"/>
      <c r="L4317" s="50"/>
    </row>
    <row r="4318" spans="3:12" x14ac:dyDescent="0.3">
      <c r="C4318" s="47"/>
      <c r="H4318" s="49"/>
      <c r="K4318" s="72"/>
      <c r="L4318" s="50"/>
    </row>
    <row r="4319" spans="3:12" x14ac:dyDescent="0.3">
      <c r="C4319" s="47"/>
      <c r="H4319" s="49"/>
      <c r="K4319" s="72"/>
      <c r="L4319" s="50"/>
    </row>
    <row r="4320" spans="3:12" x14ac:dyDescent="0.3">
      <c r="C4320" s="47"/>
      <c r="H4320" s="49"/>
      <c r="K4320" s="72"/>
      <c r="L4320" s="50"/>
    </row>
    <row r="4321" spans="3:12" x14ac:dyDescent="0.3">
      <c r="C4321" s="47"/>
      <c r="H4321" s="49"/>
      <c r="K4321" s="72"/>
      <c r="L4321" s="50"/>
    </row>
    <row r="4322" spans="3:12" x14ac:dyDescent="0.3">
      <c r="C4322" s="47"/>
      <c r="H4322" s="49"/>
      <c r="K4322" s="72"/>
      <c r="L4322" s="50"/>
    </row>
    <row r="4323" spans="3:12" x14ac:dyDescent="0.3">
      <c r="C4323" s="47"/>
      <c r="H4323" s="49"/>
      <c r="K4323" s="72"/>
      <c r="L4323" s="50"/>
    </row>
    <row r="4324" spans="3:12" x14ac:dyDescent="0.3">
      <c r="C4324" s="47"/>
      <c r="H4324" s="49"/>
      <c r="K4324" s="72"/>
      <c r="L4324" s="50"/>
    </row>
    <row r="4325" spans="3:12" x14ac:dyDescent="0.3">
      <c r="C4325" s="47"/>
      <c r="H4325" s="49"/>
      <c r="K4325" s="72"/>
      <c r="L4325" s="50"/>
    </row>
    <row r="4326" spans="3:12" x14ac:dyDescent="0.3">
      <c r="C4326" s="47"/>
      <c r="H4326" s="49"/>
      <c r="K4326" s="72"/>
      <c r="L4326" s="50"/>
    </row>
    <row r="4327" spans="3:12" x14ac:dyDescent="0.3">
      <c r="C4327" s="47"/>
      <c r="H4327" s="49"/>
      <c r="K4327" s="72"/>
      <c r="L4327" s="50"/>
    </row>
    <row r="4328" spans="3:12" x14ac:dyDescent="0.3">
      <c r="C4328" s="47"/>
      <c r="H4328" s="49"/>
      <c r="K4328" s="72"/>
      <c r="L4328" s="50"/>
    </row>
    <row r="4329" spans="3:12" x14ac:dyDescent="0.3">
      <c r="C4329" s="47"/>
      <c r="H4329" s="49"/>
      <c r="K4329" s="72"/>
      <c r="L4329" s="50"/>
    </row>
    <row r="4330" spans="3:12" x14ac:dyDescent="0.3">
      <c r="C4330" s="47"/>
      <c r="H4330" s="49"/>
      <c r="K4330" s="72"/>
      <c r="L4330" s="50"/>
    </row>
    <row r="4331" spans="3:12" x14ac:dyDescent="0.3">
      <c r="C4331" s="47"/>
      <c r="H4331" s="49"/>
      <c r="K4331" s="72"/>
      <c r="L4331" s="50"/>
    </row>
    <row r="4332" spans="3:12" x14ac:dyDescent="0.3">
      <c r="C4332" s="47"/>
      <c r="H4332" s="49"/>
      <c r="K4332" s="72"/>
      <c r="L4332" s="50"/>
    </row>
    <row r="4333" spans="3:12" x14ac:dyDescent="0.3">
      <c r="C4333" s="47"/>
      <c r="H4333" s="49"/>
      <c r="K4333" s="72"/>
      <c r="L4333" s="50"/>
    </row>
    <row r="4334" spans="3:12" x14ac:dyDescent="0.3">
      <c r="C4334" s="47"/>
      <c r="H4334" s="49"/>
      <c r="K4334" s="72"/>
      <c r="L4334" s="50"/>
    </row>
    <row r="4335" spans="3:12" x14ac:dyDescent="0.3">
      <c r="C4335" s="47"/>
      <c r="H4335" s="49"/>
      <c r="K4335" s="72"/>
      <c r="L4335" s="50"/>
    </row>
    <row r="4336" spans="3:12" x14ac:dyDescent="0.3">
      <c r="C4336" s="47"/>
      <c r="H4336" s="49"/>
      <c r="K4336" s="72"/>
      <c r="L4336" s="50"/>
    </row>
    <row r="4337" spans="3:12" x14ac:dyDescent="0.3">
      <c r="C4337" s="47"/>
      <c r="H4337" s="49"/>
      <c r="K4337" s="72"/>
      <c r="L4337" s="50"/>
    </row>
    <row r="4338" spans="3:12" x14ac:dyDescent="0.3">
      <c r="C4338" s="47"/>
      <c r="H4338" s="49"/>
      <c r="K4338" s="72"/>
      <c r="L4338" s="50"/>
    </row>
    <row r="4339" spans="3:12" x14ac:dyDescent="0.3">
      <c r="C4339" s="47"/>
      <c r="H4339" s="49"/>
      <c r="K4339" s="72"/>
      <c r="L4339" s="50"/>
    </row>
    <row r="4340" spans="3:12" x14ac:dyDescent="0.3">
      <c r="C4340" s="47"/>
      <c r="H4340" s="49"/>
      <c r="K4340" s="72"/>
      <c r="L4340" s="50"/>
    </row>
    <row r="4341" spans="3:12" x14ac:dyDescent="0.3">
      <c r="C4341" s="47"/>
      <c r="H4341" s="49"/>
      <c r="K4341" s="72"/>
      <c r="L4341" s="50"/>
    </row>
    <row r="4342" spans="3:12" x14ac:dyDescent="0.3">
      <c r="C4342" s="47"/>
      <c r="H4342" s="49"/>
      <c r="K4342" s="72"/>
      <c r="L4342" s="50"/>
    </row>
    <row r="4343" spans="3:12" x14ac:dyDescent="0.3">
      <c r="C4343" s="47"/>
      <c r="H4343" s="49"/>
      <c r="K4343" s="72"/>
      <c r="L4343" s="50"/>
    </row>
    <row r="4344" spans="3:12" x14ac:dyDescent="0.3">
      <c r="C4344" s="47"/>
      <c r="H4344" s="49"/>
      <c r="K4344" s="72"/>
      <c r="L4344" s="50"/>
    </row>
    <row r="4345" spans="3:12" x14ac:dyDescent="0.3">
      <c r="C4345" s="47"/>
      <c r="H4345" s="49"/>
      <c r="K4345" s="72"/>
      <c r="L4345" s="50"/>
    </row>
    <row r="4346" spans="3:12" x14ac:dyDescent="0.3">
      <c r="C4346" s="47"/>
      <c r="H4346" s="49"/>
      <c r="K4346" s="72"/>
      <c r="L4346" s="50"/>
    </row>
    <row r="4347" spans="3:12" x14ac:dyDescent="0.3">
      <c r="C4347" s="47"/>
      <c r="H4347" s="49"/>
      <c r="K4347" s="72"/>
      <c r="L4347" s="50"/>
    </row>
    <row r="4348" spans="3:12" x14ac:dyDescent="0.3">
      <c r="C4348" s="47"/>
      <c r="H4348" s="49"/>
      <c r="K4348" s="72"/>
      <c r="L4348" s="50"/>
    </row>
    <row r="4349" spans="3:12" x14ac:dyDescent="0.3">
      <c r="C4349" s="47"/>
      <c r="H4349" s="49"/>
      <c r="K4349" s="72"/>
      <c r="L4349" s="50"/>
    </row>
    <row r="4350" spans="3:12" x14ac:dyDescent="0.3">
      <c r="C4350" s="47"/>
      <c r="H4350" s="49"/>
      <c r="K4350" s="72"/>
      <c r="L4350" s="50"/>
    </row>
    <row r="4351" spans="3:12" x14ac:dyDescent="0.3">
      <c r="C4351" s="47"/>
      <c r="H4351" s="49"/>
      <c r="K4351" s="72"/>
      <c r="L4351" s="50"/>
    </row>
    <row r="4352" spans="3:12" x14ac:dyDescent="0.3">
      <c r="C4352" s="47"/>
      <c r="H4352" s="49"/>
      <c r="K4352" s="72"/>
      <c r="L4352" s="50"/>
    </row>
    <row r="4353" spans="3:12" x14ac:dyDescent="0.3">
      <c r="C4353" s="47"/>
      <c r="H4353" s="49"/>
      <c r="K4353" s="72"/>
      <c r="L4353" s="50"/>
    </row>
    <row r="4354" spans="3:12" x14ac:dyDescent="0.3">
      <c r="C4354" s="47"/>
      <c r="H4354" s="49"/>
      <c r="K4354" s="72"/>
      <c r="L4354" s="50"/>
    </row>
    <row r="4355" spans="3:12" x14ac:dyDescent="0.3">
      <c r="C4355" s="47"/>
      <c r="H4355" s="49"/>
      <c r="K4355" s="72"/>
      <c r="L4355" s="50"/>
    </row>
    <row r="4356" spans="3:12" x14ac:dyDescent="0.3">
      <c r="C4356" s="47"/>
      <c r="H4356" s="49"/>
      <c r="K4356" s="72"/>
      <c r="L4356" s="50"/>
    </row>
    <row r="4357" spans="3:12" x14ac:dyDescent="0.3">
      <c r="C4357" s="47"/>
      <c r="H4357" s="49"/>
      <c r="K4357" s="72"/>
      <c r="L4357" s="50"/>
    </row>
    <row r="4358" spans="3:12" x14ac:dyDescent="0.3">
      <c r="C4358" s="47"/>
      <c r="H4358" s="49"/>
      <c r="K4358" s="72"/>
      <c r="L4358" s="50"/>
    </row>
    <row r="4359" spans="3:12" x14ac:dyDescent="0.3">
      <c r="C4359" s="47"/>
      <c r="H4359" s="49"/>
      <c r="K4359" s="72"/>
      <c r="L4359" s="50"/>
    </row>
    <row r="4360" spans="3:12" x14ac:dyDescent="0.3">
      <c r="C4360" s="47"/>
      <c r="H4360" s="49"/>
      <c r="K4360" s="72"/>
      <c r="L4360" s="50"/>
    </row>
    <row r="4361" spans="3:12" x14ac:dyDescent="0.3">
      <c r="C4361" s="47"/>
      <c r="H4361" s="49"/>
      <c r="K4361" s="72"/>
      <c r="L4361" s="50"/>
    </row>
    <row r="4362" spans="3:12" x14ac:dyDescent="0.3">
      <c r="C4362" s="47"/>
      <c r="H4362" s="49"/>
      <c r="K4362" s="72"/>
      <c r="L4362" s="50"/>
    </row>
    <row r="4363" spans="3:12" x14ac:dyDescent="0.3">
      <c r="C4363" s="47"/>
      <c r="H4363" s="49"/>
      <c r="K4363" s="72"/>
      <c r="L4363" s="50"/>
    </row>
    <row r="4364" spans="3:12" x14ac:dyDescent="0.3">
      <c r="C4364" s="47"/>
      <c r="H4364" s="49"/>
      <c r="K4364" s="72"/>
      <c r="L4364" s="50"/>
    </row>
    <row r="4365" spans="3:12" x14ac:dyDescent="0.3">
      <c r="C4365" s="47"/>
      <c r="H4365" s="49"/>
      <c r="K4365" s="72"/>
      <c r="L4365" s="50"/>
    </row>
    <row r="4366" spans="3:12" x14ac:dyDescent="0.3">
      <c r="C4366" s="47"/>
      <c r="H4366" s="49"/>
      <c r="K4366" s="72"/>
      <c r="L4366" s="50"/>
    </row>
    <row r="4367" spans="3:12" x14ac:dyDescent="0.3">
      <c r="C4367" s="47"/>
      <c r="H4367" s="49"/>
      <c r="K4367" s="72"/>
      <c r="L4367" s="50"/>
    </row>
    <row r="4368" spans="3:12" x14ac:dyDescent="0.3">
      <c r="C4368" s="47"/>
      <c r="H4368" s="49"/>
      <c r="K4368" s="72"/>
      <c r="L4368" s="50"/>
    </row>
    <row r="4369" spans="3:12" x14ac:dyDescent="0.3">
      <c r="C4369" s="47"/>
      <c r="H4369" s="49"/>
      <c r="K4369" s="72"/>
      <c r="L4369" s="50"/>
    </row>
    <row r="4370" spans="3:12" x14ac:dyDescent="0.3">
      <c r="C4370" s="47"/>
      <c r="H4370" s="49"/>
      <c r="K4370" s="72"/>
      <c r="L4370" s="50"/>
    </row>
    <row r="4371" spans="3:12" x14ac:dyDescent="0.3">
      <c r="C4371" s="47"/>
      <c r="H4371" s="49"/>
      <c r="K4371" s="72"/>
      <c r="L4371" s="50"/>
    </row>
    <row r="4372" spans="3:12" x14ac:dyDescent="0.3">
      <c r="C4372" s="47"/>
      <c r="H4372" s="49"/>
      <c r="K4372" s="72"/>
      <c r="L4372" s="50"/>
    </row>
    <row r="4373" spans="3:12" x14ac:dyDescent="0.3">
      <c r="C4373" s="47"/>
      <c r="H4373" s="49"/>
      <c r="K4373" s="72"/>
      <c r="L4373" s="50"/>
    </row>
    <row r="4374" spans="3:12" x14ac:dyDescent="0.3">
      <c r="C4374" s="47"/>
      <c r="H4374" s="49"/>
      <c r="K4374" s="72"/>
      <c r="L4374" s="50"/>
    </row>
    <row r="4375" spans="3:12" x14ac:dyDescent="0.3">
      <c r="C4375" s="47"/>
      <c r="H4375" s="49"/>
      <c r="K4375" s="72"/>
      <c r="L4375" s="50"/>
    </row>
    <row r="4376" spans="3:12" x14ac:dyDescent="0.3">
      <c r="C4376" s="47"/>
      <c r="H4376" s="49"/>
      <c r="K4376" s="72"/>
      <c r="L4376" s="50"/>
    </row>
    <row r="4377" spans="3:12" x14ac:dyDescent="0.3">
      <c r="C4377" s="47"/>
      <c r="H4377" s="49"/>
      <c r="K4377" s="72"/>
      <c r="L4377" s="50"/>
    </row>
    <row r="4378" spans="3:12" x14ac:dyDescent="0.3">
      <c r="C4378" s="47"/>
      <c r="H4378" s="49"/>
      <c r="K4378" s="72"/>
      <c r="L4378" s="50"/>
    </row>
    <row r="4379" spans="3:12" x14ac:dyDescent="0.3">
      <c r="C4379" s="47"/>
      <c r="H4379" s="49"/>
      <c r="K4379" s="72"/>
      <c r="L4379" s="50"/>
    </row>
    <row r="4380" spans="3:12" x14ac:dyDescent="0.3">
      <c r="C4380" s="47"/>
      <c r="H4380" s="49"/>
      <c r="K4380" s="72"/>
      <c r="L4380" s="50"/>
    </row>
    <row r="4381" spans="3:12" x14ac:dyDescent="0.3">
      <c r="C4381" s="47"/>
      <c r="H4381" s="49"/>
      <c r="K4381" s="72"/>
      <c r="L4381" s="50"/>
    </row>
    <row r="4382" spans="3:12" x14ac:dyDescent="0.3">
      <c r="C4382" s="47"/>
      <c r="H4382" s="49"/>
      <c r="K4382" s="72"/>
      <c r="L4382" s="50"/>
    </row>
    <row r="4383" spans="3:12" x14ac:dyDescent="0.3">
      <c r="C4383" s="47"/>
      <c r="H4383" s="49"/>
      <c r="K4383" s="72"/>
      <c r="L4383" s="50"/>
    </row>
    <row r="4384" spans="3:12" x14ac:dyDescent="0.3">
      <c r="C4384" s="47"/>
      <c r="H4384" s="49"/>
      <c r="K4384" s="72"/>
      <c r="L4384" s="50"/>
    </row>
    <row r="4385" spans="3:12" x14ac:dyDescent="0.3">
      <c r="C4385" s="47"/>
      <c r="H4385" s="49"/>
      <c r="K4385" s="72"/>
      <c r="L4385" s="50"/>
    </row>
    <row r="4386" spans="3:12" x14ac:dyDescent="0.3">
      <c r="C4386" s="47"/>
      <c r="H4386" s="49"/>
      <c r="K4386" s="72"/>
      <c r="L4386" s="50"/>
    </row>
    <row r="4387" spans="3:12" x14ac:dyDescent="0.3">
      <c r="C4387" s="47"/>
      <c r="H4387" s="49"/>
      <c r="K4387" s="72"/>
      <c r="L4387" s="50"/>
    </row>
    <row r="4388" spans="3:12" x14ac:dyDescent="0.3">
      <c r="C4388" s="47"/>
      <c r="H4388" s="49"/>
      <c r="K4388" s="72"/>
      <c r="L4388" s="50"/>
    </row>
    <row r="4389" spans="3:12" x14ac:dyDescent="0.3">
      <c r="C4389" s="47"/>
      <c r="H4389" s="49"/>
      <c r="K4389" s="72"/>
      <c r="L4389" s="50"/>
    </row>
    <row r="4390" spans="3:12" x14ac:dyDescent="0.3">
      <c r="C4390" s="47"/>
      <c r="H4390" s="49"/>
      <c r="K4390" s="72"/>
      <c r="L4390" s="50"/>
    </row>
    <row r="4391" spans="3:12" x14ac:dyDescent="0.3">
      <c r="C4391" s="47"/>
      <c r="H4391" s="49"/>
      <c r="K4391" s="72"/>
      <c r="L4391" s="50"/>
    </row>
    <row r="4392" spans="3:12" x14ac:dyDescent="0.3">
      <c r="C4392" s="47"/>
      <c r="H4392" s="49"/>
      <c r="K4392" s="72"/>
      <c r="L4392" s="50"/>
    </row>
    <row r="4393" spans="3:12" x14ac:dyDescent="0.3">
      <c r="C4393" s="47"/>
      <c r="H4393" s="49"/>
      <c r="K4393" s="72"/>
      <c r="L4393" s="50"/>
    </row>
    <row r="4394" spans="3:12" x14ac:dyDescent="0.3">
      <c r="C4394" s="47"/>
      <c r="H4394" s="49"/>
      <c r="K4394" s="72"/>
      <c r="L4394" s="50"/>
    </row>
    <row r="4395" spans="3:12" x14ac:dyDescent="0.3">
      <c r="C4395" s="47"/>
      <c r="H4395" s="49"/>
      <c r="K4395" s="72"/>
      <c r="L4395" s="50"/>
    </row>
    <row r="4396" spans="3:12" x14ac:dyDescent="0.3">
      <c r="C4396" s="47"/>
      <c r="H4396" s="49"/>
      <c r="K4396" s="72"/>
      <c r="L4396" s="50"/>
    </row>
    <row r="4397" spans="3:12" x14ac:dyDescent="0.3">
      <c r="C4397" s="47"/>
      <c r="H4397" s="49"/>
      <c r="K4397" s="72"/>
      <c r="L4397" s="50"/>
    </row>
    <row r="4398" spans="3:12" x14ac:dyDescent="0.3">
      <c r="C4398" s="47"/>
      <c r="H4398" s="49"/>
      <c r="K4398" s="72"/>
      <c r="L4398" s="50"/>
    </row>
    <row r="4399" spans="3:12" x14ac:dyDescent="0.3">
      <c r="C4399" s="47"/>
      <c r="H4399" s="49"/>
      <c r="K4399" s="72"/>
      <c r="L4399" s="50"/>
    </row>
    <row r="4400" spans="3:12" x14ac:dyDescent="0.3">
      <c r="C4400" s="47"/>
      <c r="H4400" s="49"/>
      <c r="K4400" s="72"/>
      <c r="L4400" s="50"/>
    </row>
    <row r="4401" spans="3:12" x14ac:dyDescent="0.3">
      <c r="C4401" s="47"/>
      <c r="H4401" s="49"/>
      <c r="K4401" s="72"/>
      <c r="L4401" s="50"/>
    </row>
    <row r="4402" spans="3:12" x14ac:dyDescent="0.3">
      <c r="C4402" s="47"/>
      <c r="H4402" s="49"/>
      <c r="K4402" s="72"/>
      <c r="L4402" s="50"/>
    </row>
    <row r="4403" spans="3:12" x14ac:dyDescent="0.3">
      <c r="C4403" s="47"/>
      <c r="H4403" s="49"/>
      <c r="K4403" s="72"/>
      <c r="L4403" s="50"/>
    </row>
    <row r="4404" spans="3:12" x14ac:dyDescent="0.3">
      <c r="C4404" s="47"/>
      <c r="H4404" s="49"/>
      <c r="K4404" s="72"/>
      <c r="L4404" s="50"/>
    </row>
    <row r="4405" spans="3:12" x14ac:dyDescent="0.3">
      <c r="C4405" s="47"/>
      <c r="H4405" s="49"/>
      <c r="K4405" s="72"/>
      <c r="L4405" s="50"/>
    </row>
    <row r="4406" spans="3:12" x14ac:dyDescent="0.3">
      <c r="C4406" s="47"/>
      <c r="H4406" s="49"/>
      <c r="K4406" s="72"/>
      <c r="L4406" s="50"/>
    </row>
    <row r="4407" spans="3:12" x14ac:dyDescent="0.3">
      <c r="C4407" s="47"/>
      <c r="H4407" s="49"/>
      <c r="K4407" s="72"/>
      <c r="L4407" s="50"/>
    </row>
    <row r="4408" spans="3:12" x14ac:dyDescent="0.3">
      <c r="C4408" s="47"/>
      <c r="H4408" s="49"/>
      <c r="K4408" s="72"/>
      <c r="L4408" s="50"/>
    </row>
    <row r="4409" spans="3:12" x14ac:dyDescent="0.3">
      <c r="C4409" s="47"/>
      <c r="H4409" s="49"/>
      <c r="K4409" s="72"/>
      <c r="L4409" s="50"/>
    </row>
    <row r="4410" spans="3:12" x14ac:dyDescent="0.3">
      <c r="C4410" s="47"/>
      <c r="H4410" s="49"/>
      <c r="K4410" s="72"/>
      <c r="L4410" s="50"/>
    </row>
    <row r="4411" spans="3:12" x14ac:dyDescent="0.3">
      <c r="C4411" s="47"/>
      <c r="H4411" s="49"/>
      <c r="K4411" s="72"/>
      <c r="L4411" s="50"/>
    </row>
    <row r="4412" spans="3:12" x14ac:dyDescent="0.3">
      <c r="C4412" s="47"/>
      <c r="H4412" s="49"/>
      <c r="K4412" s="72"/>
      <c r="L4412" s="50"/>
    </row>
    <row r="4413" spans="3:12" x14ac:dyDescent="0.3">
      <c r="C4413" s="47"/>
      <c r="H4413" s="49"/>
      <c r="K4413" s="72"/>
      <c r="L4413" s="50"/>
    </row>
    <row r="4414" spans="3:12" x14ac:dyDescent="0.3">
      <c r="C4414" s="47"/>
      <c r="H4414" s="49"/>
      <c r="K4414" s="72"/>
      <c r="L4414" s="50"/>
    </row>
    <row r="4415" spans="3:12" x14ac:dyDescent="0.3">
      <c r="C4415" s="47"/>
      <c r="H4415" s="49"/>
      <c r="K4415" s="72"/>
      <c r="L4415" s="50"/>
    </row>
    <row r="4416" spans="3:12" x14ac:dyDescent="0.3">
      <c r="C4416" s="47"/>
      <c r="H4416" s="49"/>
      <c r="K4416" s="72"/>
      <c r="L4416" s="50"/>
    </row>
    <row r="4417" spans="3:12" x14ac:dyDescent="0.3">
      <c r="C4417" s="47"/>
      <c r="H4417" s="49"/>
      <c r="K4417" s="72"/>
      <c r="L4417" s="50"/>
    </row>
    <row r="4418" spans="3:12" x14ac:dyDescent="0.3">
      <c r="C4418" s="47"/>
      <c r="H4418" s="49"/>
      <c r="K4418" s="72"/>
      <c r="L4418" s="50"/>
    </row>
    <row r="4419" spans="3:12" x14ac:dyDescent="0.3">
      <c r="C4419" s="47"/>
      <c r="H4419" s="49"/>
      <c r="K4419" s="72"/>
      <c r="L4419" s="50"/>
    </row>
    <row r="4420" spans="3:12" x14ac:dyDescent="0.3">
      <c r="C4420" s="47"/>
      <c r="H4420" s="49"/>
      <c r="K4420" s="72"/>
      <c r="L4420" s="50"/>
    </row>
    <row r="4421" spans="3:12" x14ac:dyDescent="0.3">
      <c r="C4421" s="47"/>
      <c r="H4421" s="49"/>
      <c r="K4421" s="72"/>
      <c r="L4421" s="50"/>
    </row>
    <row r="4422" spans="3:12" x14ac:dyDescent="0.3">
      <c r="C4422" s="47"/>
      <c r="H4422" s="49"/>
      <c r="K4422" s="72"/>
      <c r="L4422" s="50"/>
    </row>
    <row r="4423" spans="3:12" x14ac:dyDescent="0.3">
      <c r="C4423" s="47"/>
      <c r="H4423" s="49"/>
      <c r="K4423" s="72"/>
      <c r="L4423" s="50"/>
    </row>
    <row r="4424" spans="3:12" x14ac:dyDescent="0.3">
      <c r="C4424" s="47"/>
      <c r="H4424" s="49"/>
      <c r="K4424" s="72"/>
      <c r="L4424" s="50"/>
    </row>
    <row r="4425" spans="3:12" x14ac:dyDescent="0.3">
      <c r="C4425" s="47"/>
      <c r="H4425" s="49"/>
      <c r="K4425" s="72"/>
      <c r="L4425" s="50"/>
    </row>
    <row r="4426" spans="3:12" x14ac:dyDescent="0.3">
      <c r="C4426" s="47"/>
      <c r="H4426" s="49"/>
      <c r="K4426" s="72"/>
      <c r="L4426" s="50"/>
    </row>
    <row r="4427" spans="3:12" x14ac:dyDescent="0.3">
      <c r="C4427" s="47"/>
      <c r="H4427" s="49"/>
      <c r="K4427" s="72"/>
      <c r="L4427" s="50"/>
    </row>
    <row r="4428" spans="3:12" x14ac:dyDescent="0.3">
      <c r="C4428" s="47"/>
      <c r="H4428" s="49"/>
      <c r="K4428" s="72"/>
      <c r="L4428" s="50"/>
    </row>
    <row r="4429" spans="3:12" x14ac:dyDescent="0.3">
      <c r="C4429" s="47"/>
      <c r="H4429" s="49"/>
      <c r="K4429" s="72"/>
      <c r="L4429" s="50"/>
    </row>
    <row r="4430" spans="3:12" x14ac:dyDescent="0.3">
      <c r="C4430" s="47"/>
      <c r="H4430" s="49"/>
      <c r="K4430" s="72"/>
      <c r="L4430" s="50"/>
    </row>
    <row r="4431" spans="3:12" x14ac:dyDescent="0.3">
      <c r="C4431" s="47"/>
      <c r="H4431" s="49"/>
      <c r="K4431" s="72"/>
      <c r="L4431" s="50"/>
    </row>
    <row r="4432" spans="3:12" x14ac:dyDescent="0.3">
      <c r="C4432" s="47"/>
      <c r="H4432" s="49"/>
      <c r="K4432" s="72"/>
      <c r="L4432" s="50"/>
    </row>
    <row r="4433" spans="3:12" x14ac:dyDescent="0.3">
      <c r="C4433" s="47"/>
      <c r="H4433" s="49"/>
      <c r="K4433" s="72"/>
      <c r="L4433" s="50"/>
    </row>
    <row r="4434" spans="3:12" x14ac:dyDescent="0.3">
      <c r="C4434" s="47"/>
      <c r="H4434" s="49"/>
      <c r="K4434" s="72"/>
      <c r="L4434" s="50"/>
    </row>
    <row r="4435" spans="3:12" x14ac:dyDescent="0.3">
      <c r="C4435" s="47"/>
      <c r="H4435" s="49"/>
      <c r="K4435" s="72"/>
      <c r="L4435" s="50"/>
    </row>
    <row r="4436" spans="3:12" x14ac:dyDescent="0.3">
      <c r="C4436" s="47"/>
      <c r="H4436" s="49"/>
      <c r="K4436" s="72"/>
      <c r="L4436" s="50"/>
    </row>
    <row r="4437" spans="3:12" x14ac:dyDescent="0.3">
      <c r="C4437" s="47"/>
      <c r="H4437" s="49"/>
      <c r="K4437" s="72"/>
      <c r="L4437" s="50"/>
    </row>
    <row r="4438" spans="3:12" x14ac:dyDescent="0.3">
      <c r="C4438" s="47"/>
      <c r="H4438" s="49"/>
      <c r="K4438" s="72"/>
      <c r="L4438" s="50"/>
    </row>
    <row r="4439" spans="3:12" x14ac:dyDescent="0.3">
      <c r="C4439" s="47"/>
      <c r="H4439" s="49"/>
      <c r="K4439" s="72"/>
      <c r="L4439" s="50"/>
    </row>
    <row r="4440" spans="3:12" x14ac:dyDescent="0.3">
      <c r="C4440" s="47"/>
      <c r="H4440" s="49"/>
      <c r="K4440" s="72"/>
      <c r="L4440" s="50"/>
    </row>
    <row r="4441" spans="3:12" x14ac:dyDescent="0.3">
      <c r="C4441" s="47"/>
      <c r="H4441" s="49"/>
      <c r="K4441" s="72"/>
      <c r="L4441" s="50"/>
    </row>
    <row r="4442" spans="3:12" x14ac:dyDescent="0.3">
      <c r="C4442" s="47"/>
      <c r="H4442" s="49"/>
      <c r="K4442" s="72"/>
      <c r="L4442" s="50"/>
    </row>
    <row r="4443" spans="3:12" x14ac:dyDescent="0.3">
      <c r="C4443" s="47"/>
      <c r="H4443" s="49"/>
      <c r="K4443" s="72"/>
      <c r="L4443" s="50"/>
    </row>
    <row r="4444" spans="3:12" x14ac:dyDescent="0.3">
      <c r="C4444" s="47"/>
      <c r="H4444" s="49"/>
      <c r="K4444" s="72"/>
      <c r="L4444" s="50"/>
    </row>
    <row r="4445" spans="3:12" x14ac:dyDescent="0.3">
      <c r="C4445" s="47"/>
      <c r="H4445" s="49"/>
      <c r="K4445" s="72"/>
      <c r="L4445" s="50"/>
    </row>
    <row r="4446" spans="3:12" x14ac:dyDescent="0.3">
      <c r="C4446" s="47"/>
      <c r="H4446" s="49"/>
      <c r="K4446" s="72"/>
      <c r="L4446" s="50"/>
    </row>
    <row r="4447" spans="3:12" x14ac:dyDescent="0.3">
      <c r="C4447" s="47"/>
      <c r="H4447" s="49"/>
      <c r="K4447" s="72"/>
      <c r="L4447" s="50"/>
    </row>
    <row r="4448" spans="3:12" x14ac:dyDescent="0.3">
      <c r="C4448" s="47"/>
      <c r="H4448" s="49"/>
      <c r="K4448" s="72"/>
      <c r="L4448" s="50"/>
    </row>
    <row r="4449" spans="3:12" x14ac:dyDescent="0.3">
      <c r="C4449" s="47"/>
      <c r="H4449" s="49"/>
      <c r="K4449" s="72"/>
      <c r="L4449" s="50"/>
    </row>
    <row r="4450" spans="3:12" x14ac:dyDescent="0.3">
      <c r="C4450" s="47"/>
      <c r="H4450" s="49"/>
      <c r="K4450" s="72"/>
      <c r="L4450" s="50"/>
    </row>
    <row r="4451" spans="3:12" x14ac:dyDescent="0.3">
      <c r="C4451" s="47"/>
      <c r="H4451" s="49"/>
      <c r="K4451" s="72"/>
      <c r="L4451" s="50"/>
    </row>
    <row r="4452" spans="3:12" x14ac:dyDescent="0.3">
      <c r="C4452" s="47"/>
      <c r="H4452" s="49"/>
      <c r="K4452" s="72"/>
      <c r="L4452" s="50"/>
    </row>
    <row r="4453" spans="3:12" x14ac:dyDescent="0.3">
      <c r="C4453" s="47"/>
      <c r="H4453" s="49"/>
      <c r="K4453" s="72"/>
      <c r="L4453" s="50"/>
    </row>
    <row r="4454" spans="3:12" x14ac:dyDescent="0.3">
      <c r="C4454" s="47"/>
      <c r="H4454" s="49"/>
      <c r="K4454" s="72"/>
      <c r="L4454" s="50"/>
    </row>
    <row r="4455" spans="3:12" x14ac:dyDescent="0.3">
      <c r="C4455" s="47"/>
      <c r="H4455" s="49"/>
      <c r="K4455" s="72"/>
      <c r="L4455" s="50"/>
    </row>
    <row r="4456" spans="3:12" x14ac:dyDescent="0.3">
      <c r="C4456" s="47"/>
      <c r="H4456" s="49"/>
      <c r="K4456" s="72"/>
      <c r="L4456" s="50"/>
    </row>
    <row r="4457" spans="3:12" x14ac:dyDescent="0.3">
      <c r="C4457" s="47"/>
      <c r="H4457" s="49"/>
      <c r="K4457" s="72"/>
      <c r="L4457" s="50"/>
    </row>
    <row r="4458" spans="3:12" x14ac:dyDescent="0.3">
      <c r="C4458" s="47"/>
      <c r="H4458" s="49"/>
      <c r="K4458" s="72"/>
      <c r="L4458" s="50"/>
    </row>
    <row r="4459" spans="3:12" x14ac:dyDescent="0.3">
      <c r="C4459" s="47"/>
      <c r="H4459" s="49"/>
      <c r="K4459" s="72"/>
      <c r="L4459" s="50"/>
    </row>
    <row r="4460" spans="3:12" x14ac:dyDescent="0.3">
      <c r="C4460" s="47"/>
      <c r="H4460" s="49"/>
      <c r="K4460" s="72"/>
      <c r="L4460" s="50"/>
    </row>
    <row r="4461" spans="3:12" x14ac:dyDescent="0.3">
      <c r="C4461" s="47"/>
      <c r="H4461" s="49"/>
      <c r="K4461" s="72"/>
      <c r="L4461" s="50"/>
    </row>
    <row r="4462" spans="3:12" x14ac:dyDescent="0.3">
      <c r="C4462" s="47"/>
      <c r="H4462" s="49"/>
      <c r="K4462" s="72"/>
      <c r="L4462" s="50"/>
    </row>
    <row r="4463" spans="3:12" x14ac:dyDescent="0.3">
      <c r="C4463" s="47"/>
      <c r="H4463" s="49"/>
      <c r="K4463" s="72"/>
      <c r="L4463" s="50"/>
    </row>
    <row r="4464" spans="3:12" x14ac:dyDescent="0.3">
      <c r="C4464" s="47"/>
      <c r="H4464" s="49"/>
      <c r="K4464" s="72"/>
      <c r="L4464" s="50"/>
    </row>
    <row r="4465" spans="3:12" x14ac:dyDescent="0.3">
      <c r="C4465" s="47"/>
      <c r="H4465" s="49"/>
      <c r="K4465" s="72"/>
      <c r="L4465" s="50"/>
    </row>
    <row r="4466" spans="3:12" x14ac:dyDescent="0.3">
      <c r="C4466" s="47"/>
      <c r="H4466" s="49"/>
      <c r="K4466" s="72"/>
      <c r="L4466" s="50"/>
    </row>
    <row r="4467" spans="3:12" x14ac:dyDescent="0.3">
      <c r="C4467" s="47"/>
      <c r="H4467" s="49"/>
      <c r="K4467" s="72"/>
      <c r="L4467" s="50"/>
    </row>
    <row r="4468" spans="3:12" x14ac:dyDescent="0.3">
      <c r="C4468" s="47"/>
      <c r="H4468" s="49"/>
      <c r="K4468" s="72"/>
      <c r="L4468" s="50"/>
    </row>
    <row r="4469" spans="3:12" x14ac:dyDescent="0.3">
      <c r="C4469" s="47"/>
      <c r="H4469" s="49"/>
      <c r="K4469" s="72"/>
      <c r="L4469" s="50"/>
    </row>
    <row r="4470" spans="3:12" x14ac:dyDescent="0.3">
      <c r="C4470" s="47"/>
      <c r="H4470" s="49"/>
      <c r="K4470" s="72"/>
      <c r="L4470" s="50"/>
    </row>
    <row r="4471" spans="3:12" x14ac:dyDescent="0.3">
      <c r="C4471" s="47"/>
      <c r="H4471" s="49"/>
      <c r="K4471" s="72"/>
      <c r="L4471" s="50"/>
    </row>
    <row r="4472" spans="3:12" x14ac:dyDescent="0.3">
      <c r="C4472" s="47"/>
      <c r="H4472" s="49"/>
      <c r="K4472" s="72"/>
      <c r="L4472" s="50"/>
    </row>
    <row r="4473" spans="3:12" x14ac:dyDescent="0.3">
      <c r="C4473" s="47"/>
      <c r="H4473" s="49"/>
      <c r="K4473" s="72"/>
      <c r="L4473" s="50"/>
    </row>
    <row r="4474" spans="3:12" x14ac:dyDescent="0.3">
      <c r="C4474" s="47"/>
      <c r="H4474" s="49"/>
      <c r="K4474" s="72"/>
      <c r="L4474" s="50"/>
    </row>
    <row r="4475" spans="3:12" x14ac:dyDescent="0.3">
      <c r="C4475" s="47"/>
      <c r="H4475" s="49"/>
      <c r="K4475" s="72"/>
      <c r="L4475" s="50"/>
    </row>
    <row r="4476" spans="3:12" x14ac:dyDescent="0.3">
      <c r="C4476" s="47"/>
      <c r="H4476" s="49"/>
      <c r="K4476" s="72"/>
      <c r="L4476" s="50"/>
    </row>
    <row r="4477" spans="3:12" x14ac:dyDescent="0.3">
      <c r="C4477" s="47"/>
      <c r="H4477" s="49"/>
      <c r="K4477" s="72"/>
      <c r="L4477" s="50"/>
    </row>
    <row r="4478" spans="3:12" x14ac:dyDescent="0.3">
      <c r="C4478" s="47"/>
      <c r="H4478" s="49"/>
      <c r="K4478" s="72"/>
      <c r="L4478" s="50"/>
    </row>
    <row r="4479" spans="3:12" x14ac:dyDescent="0.3">
      <c r="C4479" s="47"/>
      <c r="H4479" s="49"/>
      <c r="K4479" s="72"/>
      <c r="L4479" s="50"/>
    </row>
    <row r="4480" spans="3:12" x14ac:dyDescent="0.3">
      <c r="C4480" s="47"/>
      <c r="H4480" s="49"/>
      <c r="K4480" s="72"/>
      <c r="L4480" s="50"/>
    </row>
    <row r="4481" spans="3:12" x14ac:dyDescent="0.3">
      <c r="C4481" s="47"/>
      <c r="H4481" s="49"/>
      <c r="K4481" s="72"/>
      <c r="L4481" s="50"/>
    </row>
    <row r="4482" spans="3:12" x14ac:dyDescent="0.3">
      <c r="C4482" s="47"/>
      <c r="H4482" s="49"/>
      <c r="K4482" s="72"/>
      <c r="L4482" s="50"/>
    </row>
    <row r="4483" spans="3:12" x14ac:dyDescent="0.3">
      <c r="C4483" s="47"/>
      <c r="H4483" s="49"/>
      <c r="K4483" s="72"/>
      <c r="L4483" s="50"/>
    </row>
    <row r="4484" spans="3:12" x14ac:dyDescent="0.3">
      <c r="C4484" s="47"/>
      <c r="H4484" s="49"/>
      <c r="K4484" s="72"/>
      <c r="L4484" s="50"/>
    </row>
    <row r="4485" spans="3:12" x14ac:dyDescent="0.3">
      <c r="C4485" s="47"/>
      <c r="H4485" s="49"/>
      <c r="K4485" s="72"/>
      <c r="L4485" s="50"/>
    </row>
    <row r="4486" spans="3:12" x14ac:dyDescent="0.3">
      <c r="C4486" s="47"/>
      <c r="H4486" s="49"/>
      <c r="K4486" s="72"/>
      <c r="L4486" s="50"/>
    </row>
    <row r="4487" spans="3:12" x14ac:dyDescent="0.3">
      <c r="C4487" s="47"/>
      <c r="H4487" s="49"/>
      <c r="K4487" s="72"/>
      <c r="L4487" s="50"/>
    </row>
    <row r="4488" spans="3:12" x14ac:dyDescent="0.3">
      <c r="C4488" s="47"/>
      <c r="H4488" s="49"/>
      <c r="K4488" s="72"/>
      <c r="L4488" s="50"/>
    </row>
    <row r="4489" spans="3:12" x14ac:dyDescent="0.3">
      <c r="C4489" s="47"/>
      <c r="H4489" s="49"/>
      <c r="K4489" s="72"/>
      <c r="L4489" s="50"/>
    </row>
    <row r="4490" spans="3:12" x14ac:dyDescent="0.3">
      <c r="C4490" s="47"/>
      <c r="H4490" s="49"/>
      <c r="K4490" s="72"/>
      <c r="L4490" s="50"/>
    </row>
    <row r="4491" spans="3:12" x14ac:dyDescent="0.3">
      <c r="C4491" s="47"/>
      <c r="H4491" s="49"/>
      <c r="K4491" s="72"/>
      <c r="L4491" s="50"/>
    </row>
    <row r="4492" spans="3:12" x14ac:dyDescent="0.3">
      <c r="C4492" s="47"/>
      <c r="H4492" s="49"/>
      <c r="K4492" s="72"/>
      <c r="L4492" s="50"/>
    </row>
    <row r="4493" spans="3:12" x14ac:dyDescent="0.3">
      <c r="C4493" s="47"/>
      <c r="H4493" s="49"/>
      <c r="K4493" s="72"/>
      <c r="L4493" s="50"/>
    </row>
    <row r="4494" spans="3:12" x14ac:dyDescent="0.3">
      <c r="C4494" s="47"/>
      <c r="H4494" s="49"/>
      <c r="K4494" s="72"/>
      <c r="L4494" s="50"/>
    </row>
    <row r="4495" spans="3:12" x14ac:dyDescent="0.3">
      <c r="C4495" s="47"/>
      <c r="H4495" s="49"/>
      <c r="K4495" s="72"/>
      <c r="L4495" s="50"/>
    </row>
    <row r="4496" spans="3:12" x14ac:dyDescent="0.3">
      <c r="C4496" s="47"/>
      <c r="H4496" s="49"/>
      <c r="K4496" s="72"/>
      <c r="L4496" s="50"/>
    </row>
    <row r="4497" spans="3:12" x14ac:dyDescent="0.3">
      <c r="C4497" s="47"/>
      <c r="H4497" s="49"/>
      <c r="K4497" s="72"/>
      <c r="L4497" s="50"/>
    </row>
    <row r="4498" spans="3:12" x14ac:dyDescent="0.3">
      <c r="C4498" s="47"/>
      <c r="H4498" s="49"/>
      <c r="K4498" s="72"/>
      <c r="L4498" s="50"/>
    </row>
    <row r="4499" spans="3:12" x14ac:dyDescent="0.3">
      <c r="C4499" s="47"/>
      <c r="H4499" s="49"/>
      <c r="K4499" s="72"/>
      <c r="L4499" s="50"/>
    </row>
    <row r="4500" spans="3:12" x14ac:dyDescent="0.3">
      <c r="C4500" s="47"/>
      <c r="H4500" s="49"/>
      <c r="K4500" s="72"/>
      <c r="L4500" s="50"/>
    </row>
    <row r="4501" spans="3:12" x14ac:dyDescent="0.3">
      <c r="C4501" s="47"/>
      <c r="H4501" s="49"/>
      <c r="K4501" s="72"/>
      <c r="L4501" s="50"/>
    </row>
    <row r="4502" spans="3:12" x14ac:dyDescent="0.3">
      <c r="C4502" s="47"/>
      <c r="H4502" s="49"/>
      <c r="K4502" s="72"/>
      <c r="L4502" s="50"/>
    </row>
    <row r="4503" spans="3:12" x14ac:dyDescent="0.3">
      <c r="C4503" s="47"/>
      <c r="H4503" s="49"/>
      <c r="K4503" s="72"/>
      <c r="L4503" s="50"/>
    </row>
    <row r="4504" spans="3:12" x14ac:dyDescent="0.3">
      <c r="C4504" s="47"/>
      <c r="H4504" s="49"/>
      <c r="K4504" s="72"/>
      <c r="L4504" s="50"/>
    </row>
    <row r="4505" spans="3:12" x14ac:dyDescent="0.3">
      <c r="C4505" s="47"/>
      <c r="H4505" s="49"/>
      <c r="K4505" s="72"/>
      <c r="L4505" s="50"/>
    </row>
    <row r="4506" spans="3:12" x14ac:dyDescent="0.3">
      <c r="C4506" s="47"/>
      <c r="H4506" s="49"/>
      <c r="K4506" s="72"/>
      <c r="L4506" s="50"/>
    </row>
    <row r="4507" spans="3:12" x14ac:dyDescent="0.3">
      <c r="C4507" s="47"/>
      <c r="H4507" s="49"/>
      <c r="K4507" s="72"/>
      <c r="L4507" s="50"/>
    </row>
    <row r="4508" spans="3:12" x14ac:dyDescent="0.3">
      <c r="C4508" s="47"/>
      <c r="H4508" s="49"/>
      <c r="K4508" s="72"/>
      <c r="L4508" s="50"/>
    </row>
    <row r="4509" spans="3:12" x14ac:dyDescent="0.3">
      <c r="C4509" s="47"/>
      <c r="H4509" s="49"/>
      <c r="K4509" s="72"/>
      <c r="L4509" s="50"/>
    </row>
    <row r="4510" spans="3:12" x14ac:dyDescent="0.3">
      <c r="C4510" s="47"/>
      <c r="H4510" s="49"/>
      <c r="K4510" s="72"/>
      <c r="L4510" s="50"/>
    </row>
    <row r="4511" spans="3:12" x14ac:dyDescent="0.3">
      <c r="C4511" s="47"/>
      <c r="H4511" s="49"/>
      <c r="K4511" s="72"/>
      <c r="L4511" s="50"/>
    </row>
    <row r="4512" spans="3:12" x14ac:dyDescent="0.3">
      <c r="C4512" s="47"/>
      <c r="H4512" s="49"/>
      <c r="K4512" s="72"/>
      <c r="L4512" s="50"/>
    </row>
    <row r="4513" spans="3:12" x14ac:dyDescent="0.3">
      <c r="C4513" s="47"/>
      <c r="H4513" s="49"/>
      <c r="K4513" s="72"/>
      <c r="L4513" s="50"/>
    </row>
    <row r="4514" spans="3:12" x14ac:dyDescent="0.3">
      <c r="C4514" s="47"/>
      <c r="H4514" s="49"/>
      <c r="K4514" s="72"/>
      <c r="L4514" s="50"/>
    </row>
    <row r="4515" spans="3:12" x14ac:dyDescent="0.3">
      <c r="C4515" s="47"/>
      <c r="H4515" s="49"/>
      <c r="K4515" s="72"/>
      <c r="L4515" s="50"/>
    </row>
    <row r="4516" spans="3:12" x14ac:dyDescent="0.3">
      <c r="C4516" s="47"/>
      <c r="H4516" s="49"/>
      <c r="K4516" s="72"/>
      <c r="L4516" s="50"/>
    </row>
    <row r="4517" spans="3:12" x14ac:dyDescent="0.3">
      <c r="C4517" s="47"/>
      <c r="H4517" s="49"/>
      <c r="K4517" s="72"/>
      <c r="L4517" s="50"/>
    </row>
    <row r="4518" spans="3:12" x14ac:dyDescent="0.3">
      <c r="C4518" s="47"/>
      <c r="H4518" s="49"/>
      <c r="K4518" s="72"/>
      <c r="L4518" s="50"/>
    </row>
    <row r="4519" spans="3:12" x14ac:dyDescent="0.3">
      <c r="C4519" s="47"/>
      <c r="H4519" s="49"/>
      <c r="K4519" s="72"/>
      <c r="L4519" s="50"/>
    </row>
    <row r="4520" spans="3:12" x14ac:dyDescent="0.3">
      <c r="C4520" s="47"/>
      <c r="H4520" s="49"/>
      <c r="K4520" s="72"/>
      <c r="L4520" s="50"/>
    </row>
    <row r="4521" spans="3:12" x14ac:dyDescent="0.3">
      <c r="C4521" s="47"/>
      <c r="H4521" s="49"/>
      <c r="K4521" s="72"/>
      <c r="L4521" s="50"/>
    </row>
    <row r="4522" spans="3:12" x14ac:dyDescent="0.3">
      <c r="C4522" s="47"/>
      <c r="H4522" s="49"/>
      <c r="K4522" s="72"/>
      <c r="L4522" s="50"/>
    </row>
    <row r="4523" spans="3:12" x14ac:dyDescent="0.3">
      <c r="C4523" s="47"/>
      <c r="H4523" s="49"/>
      <c r="K4523" s="72"/>
      <c r="L4523" s="50"/>
    </row>
    <row r="4524" spans="3:12" x14ac:dyDescent="0.3">
      <c r="C4524" s="47"/>
      <c r="H4524" s="49"/>
      <c r="K4524" s="72"/>
      <c r="L4524" s="50"/>
    </row>
    <row r="4525" spans="3:12" x14ac:dyDescent="0.3">
      <c r="C4525" s="47"/>
      <c r="H4525" s="49"/>
      <c r="K4525" s="72"/>
      <c r="L4525" s="50"/>
    </row>
    <row r="4526" spans="3:12" x14ac:dyDescent="0.3">
      <c r="C4526" s="47"/>
      <c r="H4526" s="49"/>
      <c r="K4526" s="72"/>
      <c r="L4526" s="50"/>
    </row>
    <row r="4527" spans="3:12" x14ac:dyDescent="0.3">
      <c r="C4527" s="47"/>
      <c r="H4527" s="49"/>
      <c r="K4527" s="72"/>
      <c r="L4527" s="50"/>
    </row>
    <row r="4528" spans="3:12" x14ac:dyDescent="0.3">
      <c r="C4528" s="47"/>
      <c r="H4528" s="49"/>
      <c r="K4528" s="72"/>
      <c r="L4528" s="50"/>
    </row>
    <row r="4529" spans="3:12" x14ac:dyDescent="0.3">
      <c r="C4529" s="47"/>
      <c r="H4529" s="49"/>
      <c r="K4529" s="72"/>
      <c r="L4529" s="50"/>
    </row>
    <row r="4530" spans="3:12" x14ac:dyDescent="0.3">
      <c r="C4530" s="47"/>
      <c r="H4530" s="49"/>
      <c r="K4530" s="72"/>
      <c r="L4530" s="50"/>
    </row>
    <row r="4531" spans="3:12" x14ac:dyDescent="0.3">
      <c r="C4531" s="47"/>
      <c r="H4531" s="49"/>
      <c r="K4531" s="72"/>
      <c r="L4531" s="50"/>
    </row>
    <row r="4532" spans="3:12" x14ac:dyDescent="0.3">
      <c r="C4532" s="47"/>
      <c r="H4532" s="49"/>
      <c r="K4532" s="72"/>
      <c r="L4532" s="50"/>
    </row>
    <row r="4533" spans="3:12" x14ac:dyDescent="0.3">
      <c r="C4533" s="47"/>
      <c r="H4533" s="49"/>
      <c r="K4533" s="72"/>
      <c r="L4533" s="50"/>
    </row>
    <row r="4534" spans="3:12" x14ac:dyDescent="0.3">
      <c r="C4534" s="47"/>
      <c r="H4534" s="49"/>
      <c r="K4534" s="72"/>
      <c r="L4534" s="50"/>
    </row>
    <row r="4535" spans="3:12" x14ac:dyDescent="0.3">
      <c r="C4535" s="47"/>
      <c r="H4535" s="49"/>
      <c r="K4535" s="72"/>
      <c r="L4535" s="50"/>
    </row>
    <row r="4536" spans="3:12" x14ac:dyDescent="0.3">
      <c r="C4536" s="47"/>
      <c r="H4536" s="49"/>
      <c r="K4536" s="72"/>
      <c r="L4536" s="50"/>
    </row>
    <row r="4537" spans="3:12" x14ac:dyDescent="0.3">
      <c r="C4537" s="47"/>
      <c r="H4537" s="49"/>
      <c r="K4537" s="72"/>
      <c r="L4537" s="50"/>
    </row>
    <row r="4538" spans="3:12" x14ac:dyDescent="0.3">
      <c r="C4538" s="47"/>
      <c r="H4538" s="49"/>
      <c r="K4538" s="72"/>
      <c r="L4538" s="50"/>
    </row>
    <row r="4539" spans="3:12" x14ac:dyDescent="0.3">
      <c r="C4539" s="47"/>
      <c r="H4539" s="49"/>
      <c r="K4539" s="72"/>
      <c r="L4539" s="50"/>
    </row>
    <row r="4540" spans="3:12" x14ac:dyDescent="0.3">
      <c r="C4540" s="47"/>
      <c r="H4540" s="49"/>
      <c r="K4540" s="72"/>
      <c r="L4540" s="50"/>
    </row>
    <row r="4541" spans="3:12" x14ac:dyDescent="0.3">
      <c r="C4541" s="47"/>
      <c r="H4541" s="49"/>
      <c r="K4541" s="72"/>
      <c r="L4541" s="50"/>
    </row>
    <row r="4542" spans="3:12" x14ac:dyDescent="0.3">
      <c r="C4542" s="47"/>
      <c r="H4542" s="49"/>
      <c r="K4542" s="72"/>
      <c r="L4542" s="50"/>
    </row>
    <row r="4543" spans="3:12" x14ac:dyDescent="0.3">
      <c r="C4543" s="47"/>
      <c r="H4543" s="49"/>
      <c r="K4543" s="72"/>
      <c r="L4543" s="50"/>
    </row>
    <row r="4544" spans="3:12" x14ac:dyDescent="0.3">
      <c r="C4544" s="47"/>
      <c r="H4544" s="49"/>
      <c r="K4544" s="72"/>
      <c r="L4544" s="50"/>
    </row>
    <row r="4545" spans="3:12" x14ac:dyDescent="0.3">
      <c r="C4545" s="47"/>
      <c r="H4545" s="49"/>
      <c r="K4545" s="72"/>
      <c r="L4545" s="50"/>
    </row>
    <row r="4546" spans="3:12" x14ac:dyDescent="0.3">
      <c r="C4546" s="47"/>
      <c r="H4546" s="49"/>
      <c r="K4546" s="72"/>
      <c r="L4546" s="50"/>
    </row>
    <row r="4547" spans="3:12" x14ac:dyDescent="0.3">
      <c r="C4547" s="47"/>
      <c r="H4547" s="49"/>
      <c r="K4547" s="72"/>
      <c r="L4547" s="50"/>
    </row>
    <row r="4548" spans="3:12" x14ac:dyDescent="0.3">
      <c r="C4548" s="47"/>
      <c r="H4548" s="49"/>
      <c r="K4548" s="72"/>
      <c r="L4548" s="50"/>
    </row>
    <row r="4549" spans="3:12" x14ac:dyDescent="0.3">
      <c r="C4549" s="47"/>
      <c r="H4549" s="49"/>
      <c r="K4549" s="72"/>
      <c r="L4549" s="50"/>
    </row>
    <row r="4550" spans="3:12" x14ac:dyDescent="0.3">
      <c r="C4550" s="47"/>
      <c r="H4550" s="49"/>
      <c r="K4550" s="72"/>
      <c r="L4550" s="50"/>
    </row>
    <row r="4551" spans="3:12" x14ac:dyDescent="0.3">
      <c r="C4551" s="47"/>
      <c r="H4551" s="49"/>
      <c r="K4551" s="72"/>
      <c r="L4551" s="50"/>
    </row>
    <row r="4552" spans="3:12" x14ac:dyDescent="0.3">
      <c r="C4552" s="47"/>
      <c r="H4552" s="49"/>
      <c r="K4552" s="72"/>
      <c r="L4552" s="50"/>
    </row>
    <row r="4553" spans="3:12" x14ac:dyDescent="0.3">
      <c r="C4553" s="47"/>
      <c r="H4553" s="49"/>
      <c r="K4553" s="72"/>
      <c r="L4553" s="50"/>
    </row>
    <row r="4554" spans="3:12" x14ac:dyDescent="0.3">
      <c r="C4554" s="47"/>
      <c r="H4554" s="49"/>
      <c r="K4554" s="72"/>
      <c r="L4554" s="50"/>
    </row>
    <row r="4555" spans="3:12" x14ac:dyDescent="0.3">
      <c r="C4555" s="47"/>
      <c r="H4555" s="49"/>
      <c r="K4555" s="72"/>
      <c r="L4555" s="50"/>
    </row>
    <row r="4556" spans="3:12" x14ac:dyDescent="0.3">
      <c r="C4556" s="47"/>
      <c r="H4556" s="49"/>
      <c r="K4556" s="72"/>
      <c r="L4556" s="50"/>
    </row>
    <row r="4557" spans="3:12" x14ac:dyDescent="0.3">
      <c r="C4557" s="47"/>
      <c r="H4557" s="49"/>
      <c r="K4557" s="72"/>
      <c r="L4557" s="50"/>
    </row>
    <row r="4558" spans="3:12" x14ac:dyDescent="0.3">
      <c r="C4558" s="47"/>
      <c r="H4558" s="49"/>
      <c r="K4558" s="72"/>
      <c r="L4558" s="50"/>
    </row>
    <row r="4559" spans="3:12" x14ac:dyDescent="0.3">
      <c r="C4559" s="47"/>
      <c r="H4559" s="49"/>
      <c r="K4559" s="72"/>
      <c r="L4559" s="50"/>
    </row>
    <row r="4560" spans="3:12" x14ac:dyDescent="0.3">
      <c r="C4560" s="47"/>
      <c r="H4560" s="49"/>
      <c r="K4560" s="72"/>
      <c r="L4560" s="50"/>
    </row>
    <row r="4561" spans="3:12" x14ac:dyDescent="0.3">
      <c r="C4561" s="47"/>
      <c r="H4561" s="49"/>
      <c r="K4561" s="72"/>
      <c r="L4561" s="50"/>
    </row>
    <row r="4562" spans="3:12" x14ac:dyDescent="0.3">
      <c r="C4562" s="47"/>
      <c r="H4562" s="49"/>
      <c r="K4562" s="72"/>
      <c r="L4562" s="50"/>
    </row>
    <row r="4563" spans="3:12" x14ac:dyDescent="0.3">
      <c r="C4563" s="47"/>
      <c r="H4563" s="49"/>
      <c r="K4563" s="72"/>
      <c r="L4563" s="50"/>
    </row>
    <row r="4564" spans="3:12" x14ac:dyDescent="0.3">
      <c r="C4564" s="47"/>
      <c r="H4564" s="49"/>
      <c r="K4564" s="72"/>
      <c r="L4564" s="50"/>
    </row>
    <row r="4565" spans="3:12" x14ac:dyDescent="0.3">
      <c r="C4565" s="47"/>
      <c r="H4565" s="49"/>
      <c r="K4565" s="72"/>
      <c r="L4565" s="50"/>
    </row>
    <row r="4566" spans="3:12" x14ac:dyDescent="0.3">
      <c r="C4566" s="47"/>
      <c r="H4566" s="49"/>
      <c r="K4566" s="72"/>
      <c r="L4566" s="50"/>
    </row>
    <row r="4567" spans="3:12" x14ac:dyDescent="0.3">
      <c r="C4567" s="47"/>
      <c r="H4567" s="49"/>
      <c r="K4567" s="72"/>
      <c r="L4567" s="50"/>
    </row>
    <row r="4568" spans="3:12" x14ac:dyDescent="0.3">
      <c r="C4568" s="47"/>
      <c r="H4568" s="49"/>
      <c r="K4568" s="72"/>
      <c r="L4568" s="50"/>
    </row>
    <row r="4569" spans="3:12" x14ac:dyDescent="0.3">
      <c r="C4569" s="47"/>
      <c r="H4569" s="49"/>
      <c r="K4569" s="72"/>
      <c r="L4569" s="50"/>
    </row>
    <row r="4570" spans="3:12" x14ac:dyDescent="0.3">
      <c r="C4570" s="47"/>
      <c r="H4570" s="49"/>
      <c r="K4570" s="72"/>
      <c r="L4570" s="50"/>
    </row>
    <row r="4571" spans="3:12" x14ac:dyDescent="0.3">
      <c r="C4571" s="47"/>
      <c r="H4571" s="49"/>
      <c r="K4571" s="72"/>
      <c r="L4571" s="50"/>
    </row>
    <row r="4572" spans="3:12" x14ac:dyDescent="0.3">
      <c r="C4572" s="47"/>
      <c r="H4572" s="49"/>
      <c r="K4572" s="72"/>
      <c r="L4572" s="50"/>
    </row>
    <row r="4573" spans="3:12" x14ac:dyDescent="0.3">
      <c r="C4573" s="47"/>
      <c r="H4573" s="49"/>
      <c r="K4573" s="72"/>
      <c r="L4573" s="50"/>
    </row>
    <row r="4574" spans="3:12" x14ac:dyDescent="0.3">
      <c r="C4574" s="47"/>
      <c r="H4574" s="49"/>
      <c r="K4574" s="72"/>
      <c r="L4574" s="50"/>
    </row>
    <row r="4575" spans="3:12" x14ac:dyDescent="0.3">
      <c r="C4575" s="47"/>
      <c r="H4575" s="49"/>
      <c r="K4575" s="72"/>
      <c r="L4575" s="50"/>
    </row>
    <row r="4576" spans="3:12" x14ac:dyDescent="0.3">
      <c r="C4576" s="47"/>
      <c r="H4576" s="49"/>
      <c r="K4576" s="72"/>
      <c r="L4576" s="50"/>
    </row>
    <row r="4577" spans="3:12" x14ac:dyDescent="0.3">
      <c r="C4577" s="47"/>
      <c r="H4577" s="49"/>
      <c r="K4577" s="72"/>
      <c r="L4577" s="50"/>
    </row>
    <row r="4578" spans="3:12" x14ac:dyDescent="0.3">
      <c r="C4578" s="47"/>
      <c r="H4578" s="49"/>
      <c r="K4578" s="72"/>
      <c r="L4578" s="50"/>
    </row>
    <row r="4579" spans="3:12" x14ac:dyDescent="0.3">
      <c r="C4579" s="47"/>
      <c r="H4579" s="49"/>
      <c r="K4579" s="72"/>
      <c r="L4579" s="50"/>
    </row>
    <row r="4580" spans="3:12" x14ac:dyDescent="0.3">
      <c r="C4580" s="47"/>
      <c r="H4580" s="49"/>
      <c r="K4580" s="72"/>
      <c r="L4580" s="50"/>
    </row>
    <row r="4581" spans="3:12" x14ac:dyDescent="0.3">
      <c r="C4581" s="47"/>
      <c r="H4581" s="49"/>
      <c r="K4581" s="72"/>
      <c r="L4581" s="50"/>
    </row>
    <row r="4582" spans="3:12" x14ac:dyDescent="0.3">
      <c r="C4582" s="47"/>
      <c r="H4582" s="49"/>
      <c r="K4582" s="72"/>
      <c r="L4582" s="50"/>
    </row>
    <row r="4583" spans="3:12" x14ac:dyDescent="0.3">
      <c r="C4583" s="47"/>
      <c r="H4583" s="49"/>
      <c r="K4583" s="72"/>
      <c r="L4583" s="50"/>
    </row>
    <row r="4584" spans="3:12" x14ac:dyDescent="0.3">
      <c r="C4584" s="47"/>
      <c r="H4584" s="49"/>
      <c r="K4584" s="72"/>
      <c r="L4584" s="50"/>
    </row>
    <row r="4585" spans="3:12" x14ac:dyDescent="0.3">
      <c r="C4585" s="47"/>
      <c r="H4585" s="49"/>
      <c r="K4585" s="72"/>
      <c r="L4585" s="50"/>
    </row>
    <row r="4586" spans="3:12" x14ac:dyDescent="0.3">
      <c r="C4586" s="47"/>
      <c r="H4586" s="49"/>
      <c r="K4586" s="72"/>
      <c r="L4586" s="50"/>
    </row>
    <row r="4587" spans="3:12" x14ac:dyDescent="0.3">
      <c r="C4587" s="47"/>
      <c r="H4587" s="49"/>
      <c r="K4587" s="72"/>
      <c r="L4587" s="50"/>
    </row>
    <row r="4588" spans="3:12" x14ac:dyDescent="0.3">
      <c r="C4588" s="47"/>
      <c r="H4588" s="49"/>
      <c r="K4588" s="72"/>
      <c r="L4588" s="50"/>
    </row>
    <row r="4589" spans="3:12" x14ac:dyDescent="0.3">
      <c r="C4589" s="47"/>
      <c r="H4589" s="49"/>
      <c r="K4589" s="72"/>
      <c r="L4589" s="50"/>
    </row>
    <row r="4590" spans="3:12" x14ac:dyDescent="0.3">
      <c r="C4590" s="47"/>
      <c r="H4590" s="49"/>
      <c r="K4590" s="72"/>
      <c r="L4590" s="50"/>
    </row>
    <row r="4591" spans="3:12" x14ac:dyDescent="0.3">
      <c r="C4591" s="47"/>
      <c r="H4591" s="49"/>
      <c r="K4591" s="72"/>
      <c r="L4591" s="50"/>
    </row>
    <row r="4592" spans="3:12" x14ac:dyDescent="0.3">
      <c r="C4592" s="47"/>
      <c r="H4592" s="49"/>
      <c r="K4592" s="72"/>
      <c r="L4592" s="50"/>
    </row>
    <row r="4593" spans="3:12" x14ac:dyDescent="0.3">
      <c r="C4593" s="47"/>
      <c r="H4593" s="49"/>
      <c r="K4593" s="72"/>
      <c r="L4593" s="50"/>
    </row>
    <row r="4594" spans="3:12" x14ac:dyDescent="0.3">
      <c r="C4594" s="47"/>
      <c r="H4594" s="49"/>
      <c r="K4594" s="72"/>
      <c r="L4594" s="50"/>
    </row>
    <row r="4595" spans="3:12" x14ac:dyDescent="0.3">
      <c r="C4595" s="47"/>
      <c r="H4595" s="49"/>
      <c r="K4595" s="72"/>
      <c r="L4595" s="50"/>
    </row>
    <row r="4596" spans="3:12" x14ac:dyDescent="0.3">
      <c r="C4596" s="47"/>
      <c r="H4596" s="49"/>
      <c r="K4596" s="72"/>
      <c r="L4596" s="50"/>
    </row>
    <row r="4597" spans="3:12" x14ac:dyDescent="0.3">
      <c r="C4597" s="47"/>
      <c r="H4597" s="49"/>
      <c r="K4597" s="72"/>
      <c r="L4597" s="50"/>
    </row>
    <row r="4598" spans="3:12" x14ac:dyDescent="0.3">
      <c r="C4598" s="47"/>
      <c r="H4598" s="49"/>
      <c r="K4598" s="72"/>
      <c r="L4598" s="50"/>
    </row>
    <row r="4599" spans="3:12" x14ac:dyDescent="0.3">
      <c r="C4599" s="47"/>
      <c r="H4599" s="49"/>
      <c r="K4599" s="72"/>
      <c r="L4599" s="50"/>
    </row>
    <row r="4600" spans="3:12" x14ac:dyDescent="0.3">
      <c r="C4600" s="47"/>
      <c r="H4600" s="49"/>
      <c r="K4600" s="72"/>
      <c r="L4600" s="50"/>
    </row>
    <row r="4601" spans="3:12" x14ac:dyDescent="0.3">
      <c r="C4601" s="47"/>
      <c r="H4601" s="49"/>
      <c r="K4601" s="72"/>
      <c r="L4601" s="50"/>
    </row>
    <row r="4602" spans="3:12" x14ac:dyDescent="0.3">
      <c r="C4602" s="47"/>
      <c r="H4602" s="49"/>
      <c r="K4602" s="72"/>
      <c r="L4602" s="50"/>
    </row>
    <row r="4603" spans="3:12" x14ac:dyDescent="0.3">
      <c r="C4603" s="47"/>
      <c r="H4603" s="49"/>
      <c r="K4603" s="72"/>
      <c r="L4603" s="50"/>
    </row>
    <row r="4604" spans="3:12" x14ac:dyDescent="0.3">
      <c r="C4604" s="47"/>
      <c r="H4604" s="49"/>
      <c r="K4604" s="72"/>
      <c r="L4604" s="50"/>
    </row>
    <row r="4605" spans="3:12" x14ac:dyDescent="0.3">
      <c r="C4605" s="47"/>
      <c r="H4605" s="49"/>
      <c r="K4605" s="72"/>
      <c r="L4605" s="50"/>
    </row>
    <row r="4606" spans="3:12" x14ac:dyDescent="0.3">
      <c r="C4606" s="47"/>
      <c r="H4606" s="49"/>
      <c r="K4606" s="72"/>
      <c r="L4606" s="50"/>
    </row>
    <row r="4607" spans="3:12" x14ac:dyDescent="0.3">
      <c r="C4607" s="47"/>
      <c r="H4607" s="49"/>
      <c r="K4607" s="72"/>
      <c r="L4607" s="50"/>
    </row>
    <row r="4608" spans="3:12" x14ac:dyDescent="0.3">
      <c r="C4608" s="47"/>
      <c r="H4608" s="49"/>
      <c r="K4608" s="72"/>
      <c r="L4608" s="50"/>
    </row>
    <row r="4609" spans="3:12" x14ac:dyDescent="0.3">
      <c r="C4609" s="47"/>
      <c r="H4609" s="49"/>
      <c r="K4609" s="72"/>
      <c r="L4609" s="50"/>
    </row>
    <row r="4610" spans="3:12" x14ac:dyDescent="0.3">
      <c r="C4610" s="47"/>
      <c r="H4610" s="49"/>
      <c r="K4610" s="72"/>
      <c r="L4610" s="50"/>
    </row>
    <row r="4611" spans="3:12" x14ac:dyDescent="0.3">
      <c r="C4611" s="47"/>
      <c r="H4611" s="49"/>
      <c r="K4611" s="72"/>
      <c r="L4611" s="50"/>
    </row>
    <row r="4612" spans="3:12" x14ac:dyDescent="0.3">
      <c r="C4612" s="47"/>
      <c r="H4612" s="49"/>
      <c r="K4612" s="72"/>
      <c r="L4612" s="50"/>
    </row>
    <row r="4613" spans="3:12" x14ac:dyDescent="0.3">
      <c r="C4613" s="47"/>
      <c r="H4613" s="49"/>
      <c r="K4613" s="72"/>
      <c r="L4613" s="50"/>
    </row>
    <row r="4614" spans="3:12" x14ac:dyDescent="0.3">
      <c r="C4614" s="47"/>
      <c r="H4614" s="49"/>
      <c r="K4614" s="72"/>
      <c r="L4614" s="50"/>
    </row>
    <row r="4615" spans="3:12" x14ac:dyDescent="0.3">
      <c r="C4615" s="47"/>
      <c r="H4615" s="49"/>
      <c r="K4615" s="72"/>
      <c r="L4615" s="50"/>
    </row>
    <row r="4616" spans="3:12" x14ac:dyDescent="0.3">
      <c r="C4616" s="47"/>
      <c r="H4616" s="49"/>
      <c r="K4616" s="72"/>
      <c r="L4616" s="50"/>
    </row>
    <row r="4617" spans="3:12" x14ac:dyDescent="0.3">
      <c r="C4617" s="47"/>
      <c r="H4617" s="49"/>
      <c r="K4617" s="72"/>
      <c r="L4617" s="50"/>
    </row>
    <row r="4618" spans="3:12" x14ac:dyDescent="0.3">
      <c r="C4618" s="47"/>
      <c r="H4618" s="49"/>
      <c r="K4618" s="72"/>
      <c r="L4618" s="50"/>
    </row>
    <row r="4619" spans="3:12" x14ac:dyDescent="0.3">
      <c r="C4619" s="47"/>
      <c r="H4619" s="49"/>
      <c r="K4619" s="72"/>
      <c r="L4619" s="50"/>
    </row>
    <row r="4620" spans="3:12" x14ac:dyDescent="0.3">
      <c r="C4620" s="47"/>
      <c r="H4620" s="49"/>
      <c r="K4620" s="72"/>
      <c r="L4620" s="50"/>
    </row>
    <row r="4621" spans="3:12" x14ac:dyDescent="0.3">
      <c r="C4621" s="47"/>
      <c r="H4621" s="49"/>
      <c r="K4621" s="72"/>
      <c r="L4621" s="50"/>
    </row>
    <row r="4622" spans="3:12" x14ac:dyDescent="0.3">
      <c r="C4622" s="47"/>
      <c r="H4622" s="49"/>
      <c r="K4622" s="72"/>
      <c r="L4622" s="50"/>
    </row>
    <row r="4623" spans="3:12" x14ac:dyDescent="0.3">
      <c r="C4623" s="47"/>
      <c r="H4623" s="49"/>
      <c r="K4623" s="72"/>
      <c r="L4623" s="50"/>
    </row>
    <row r="4624" spans="3:12" x14ac:dyDescent="0.3">
      <c r="C4624" s="47"/>
      <c r="H4624" s="49"/>
      <c r="K4624" s="72"/>
      <c r="L4624" s="50"/>
    </row>
    <row r="4625" spans="3:12" x14ac:dyDescent="0.3">
      <c r="C4625" s="47"/>
      <c r="H4625" s="49"/>
      <c r="K4625" s="72"/>
      <c r="L4625" s="50"/>
    </row>
    <row r="4626" spans="3:12" x14ac:dyDescent="0.3">
      <c r="C4626" s="47"/>
      <c r="H4626" s="49"/>
      <c r="K4626" s="72"/>
      <c r="L4626" s="50"/>
    </row>
    <row r="4627" spans="3:12" x14ac:dyDescent="0.3">
      <c r="C4627" s="47"/>
      <c r="H4627" s="49"/>
      <c r="K4627" s="72"/>
      <c r="L4627" s="50"/>
    </row>
    <row r="4628" spans="3:12" x14ac:dyDescent="0.3">
      <c r="C4628" s="47"/>
      <c r="H4628" s="49"/>
      <c r="K4628" s="72"/>
      <c r="L4628" s="50"/>
    </row>
    <row r="4629" spans="3:12" x14ac:dyDescent="0.3">
      <c r="C4629" s="47"/>
      <c r="H4629" s="49"/>
      <c r="K4629" s="72"/>
      <c r="L4629" s="50"/>
    </row>
    <row r="4630" spans="3:12" x14ac:dyDescent="0.3">
      <c r="C4630" s="47"/>
      <c r="H4630" s="49"/>
      <c r="K4630" s="72"/>
      <c r="L4630" s="50"/>
    </row>
    <row r="4631" spans="3:12" x14ac:dyDescent="0.3">
      <c r="C4631" s="47"/>
      <c r="H4631" s="49"/>
      <c r="K4631" s="72"/>
      <c r="L4631" s="50"/>
    </row>
    <row r="4632" spans="3:12" x14ac:dyDescent="0.3">
      <c r="C4632" s="47"/>
      <c r="H4632" s="49"/>
      <c r="K4632" s="72"/>
      <c r="L4632" s="50"/>
    </row>
    <row r="4633" spans="3:12" x14ac:dyDescent="0.3">
      <c r="C4633" s="47"/>
      <c r="H4633" s="49"/>
      <c r="K4633" s="72"/>
      <c r="L4633" s="50"/>
    </row>
    <row r="4634" spans="3:12" x14ac:dyDescent="0.3">
      <c r="C4634" s="47"/>
      <c r="H4634" s="49"/>
      <c r="K4634" s="72"/>
      <c r="L4634" s="50"/>
    </row>
    <row r="4635" spans="3:12" x14ac:dyDescent="0.3">
      <c r="C4635" s="47"/>
      <c r="H4635" s="49"/>
      <c r="K4635" s="72"/>
      <c r="L4635" s="50"/>
    </row>
    <row r="4636" spans="3:12" x14ac:dyDescent="0.3">
      <c r="C4636" s="47"/>
      <c r="H4636" s="49"/>
      <c r="K4636" s="72"/>
      <c r="L4636" s="50"/>
    </row>
    <row r="4637" spans="3:12" x14ac:dyDescent="0.3">
      <c r="C4637" s="47"/>
      <c r="H4637" s="49"/>
      <c r="K4637" s="72"/>
      <c r="L4637" s="50"/>
    </row>
    <row r="4638" spans="3:12" x14ac:dyDescent="0.3">
      <c r="C4638" s="47"/>
      <c r="H4638" s="49"/>
      <c r="K4638" s="72"/>
      <c r="L4638" s="50"/>
    </row>
    <row r="4639" spans="3:12" x14ac:dyDescent="0.3">
      <c r="C4639" s="47"/>
      <c r="H4639" s="49"/>
      <c r="K4639" s="72"/>
      <c r="L4639" s="50"/>
    </row>
    <row r="4640" spans="3:12" x14ac:dyDescent="0.3">
      <c r="C4640" s="47"/>
      <c r="H4640" s="49"/>
      <c r="K4640" s="72"/>
      <c r="L4640" s="50"/>
    </row>
    <row r="4641" spans="3:12" x14ac:dyDescent="0.3">
      <c r="C4641" s="47"/>
      <c r="H4641" s="49"/>
      <c r="K4641" s="72"/>
      <c r="L4641" s="50"/>
    </row>
    <row r="4642" spans="3:12" x14ac:dyDescent="0.3">
      <c r="C4642" s="47"/>
      <c r="H4642" s="49"/>
      <c r="K4642" s="72"/>
      <c r="L4642" s="50"/>
    </row>
    <row r="4643" spans="3:12" x14ac:dyDescent="0.3">
      <c r="C4643" s="47"/>
      <c r="H4643" s="49"/>
      <c r="K4643" s="72"/>
      <c r="L4643" s="50"/>
    </row>
    <row r="4644" spans="3:12" x14ac:dyDescent="0.3">
      <c r="C4644" s="47"/>
      <c r="H4644" s="49"/>
      <c r="K4644" s="72"/>
      <c r="L4644" s="50"/>
    </row>
    <row r="4645" spans="3:12" x14ac:dyDescent="0.3">
      <c r="C4645" s="47"/>
      <c r="H4645" s="49"/>
      <c r="K4645" s="72"/>
      <c r="L4645" s="50"/>
    </row>
    <row r="4646" spans="3:12" x14ac:dyDescent="0.3">
      <c r="C4646" s="47"/>
      <c r="H4646" s="49"/>
      <c r="K4646" s="72"/>
      <c r="L4646" s="50"/>
    </row>
    <row r="4647" spans="3:12" x14ac:dyDescent="0.3">
      <c r="C4647" s="47"/>
      <c r="H4647" s="49"/>
      <c r="K4647" s="72"/>
      <c r="L4647" s="50"/>
    </row>
    <row r="4648" spans="3:12" x14ac:dyDescent="0.3">
      <c r="C4648" s="47"/>
      <c r="H4648" s="49"/>
      <c r="K4648" s="72"/>
      <c r="L4648" s="50"/>
    </row>
    <row r="4649" spans="3:12" x14ac:dyDescent="0.3">
      <c r="C4649" s="47"/>
      <c r="H4649" s="49"/>
      <c r="K4649" s="72"/>
      <c r="L4649" s="50"/>
    </row>
    <row r="4650" spans="3:12" x14ac:dyDescent="0.3">
      <c r="C4650" s="47"/>
      <c r="H4650" s="49"/>
      <c r="K4650" s="72"/>
      <c r="L4650" s="50"/>
    </row>
    <row r="4651" spans="3:12" x14ac:dyDescent="0.3">
      <c r="C4651" s="47"/>
      <c r="H4651" s="49"/>
      <c r="K4651" s="72"/>
      <c r="L4651" s="50"/>
    </row>
    <row r="4652" spans="3:12" x14ac:dyDescent="0.3">
      <c r="C4652" s="47"/>
      <c r="H4652" s="49"/>
      <c r="K4652" s="72"/>
      <c r="L4652" s="50"/>
    </row>
    <row r="4653" spans="3:12" x14ac:dyDescent="0.3">
      <c r="C4653" s="47"/>
      <c r="H4653" s="49"/>
      <c r="K4653" s="72"/>
      <c r="L4653" s="50"/>
    </row>
    <row r="4654" spans="3:12" x14ac:dyDescent="0.3">
      <c r="C4654" s="47"/>
      <c r="H4654" s="49"/>
      <c r="K4654" s="72"/>
      <c r="L4654" s="50"/>
    </row>
    <row r="4655" spans="3:12" x14ac:dyDescent="0.3">
      <c r="C4655" s="47"/>
      <c r="H4655" s="49"/>
      <c r="K4655" s="72"/>
      <c r="L4655" s="50"/>
    </row>
    <row r="4656" spans="3:12" x14ac:dyDescent="0.3">
      <c r="C4656" s="47"/>
      <c r="H4656" s="49"/>
      <c r="K4656" s="72"/>
      <c r="L4656" s="50"/>
    </row>
    <row r="4657" spans="3:12" x14ac:dyDescent="0.3">
      <c r="C4657" s="47"/>
      <c r="H4657" s="49"/>
      <c r="K4657" s="72"/>
      <c r="L4657" s="50"/>
    </row>
    <row r="4658" spans="3:12" x14ac:dyDescent="0.3">
      <c r="C4658" s="47"/>
      <c r="H4658" s="49"/>
      <c r="K4658" s="72"/>
      <c r="L4658" s="50"/>
    </row>
    <row r="4659" spans="3:12" x14ac:dyDescent="0.3">
      <c r="C4659" s="47"/>
      <c r="H4659" s="49"/>
      <c r="K4659" s="72"/>
      <c r="L4659" s="50"/>
    </row>
    <row r="4660" spans="3:12" x14ac:dyDescent="0.3">
      <c r="C4660" s="47"/>
      <c r="H4660" s="49"/>
      <c r="K4660" s="72"/>
      <c r="L4660" s="50"/>
    </row>
    <row r="4661" spans="3:12" x14ac:dyDescent="0.3">
      <c r="C4661" s="47"/>
      <c r="H4661" s="49"/>
      <c r="K4661" s="72"/>
      <c r="L4661" s="50"/>
    </row>
    <row r="4662" spans="3:12" x14ac:dyDescent="0.3">
      <c r="C4662" s="47"/>
      <c r="H4662" s="49"/>
      <c r="K4662" s="72"/>
      <c r="L4662" s="50"/>
    </row>
    <row r="4663" spans="3:12" x14ac:dyDescent="0.3">
      <c r="C4663" s="47"/>
      <c r="H4663" s="49"/>
      <c r="K4663" s="72"/>
      <c r="L4663" s="50"/>
    </row>
    <row r="4664" spans="3:12" x14ac:dyDescent="0.3">
      <c r="C4664" s="47"/>
      <c r="H4664" s="49"/>
      <c r="K4664" s="72"/>
      <c r="L4664" s="50"/>
    </row>
    <row r="4665" spans="3:12" x14ac:dyDescent="0.3">
      <c r="C4665" s="47"/>
      <c r="H4665" s="49"/>
      <c r="K4665" s="72"/>
      <c r="L4665" s="50"/>
    </row>
    <row r="4666" spans="3:12" x14ac:dyDescent="0.3">
      <c r="C4666" s="47"/>
      <c r="H4666" s="49"/>
      <c r="K4666" s="72"/>
      <c r="L4666" s="50"/>
    </row>
    <row r="4667" spans="3:12" x14ac:dyDescent="0.3">
      <c r="C4667" s="47"/>
      <c r="H4667" s="49"/>
      <c r="K4667" s="72"/>
      <c r="L4667" s="50"/>
    </row>
    <row r="4668" spans="3:12" x14ac:dyDescent="0.3">
      <c r="C4668" s="47"/>
      <c r="H4668" s="49"/>
      <c r="K4668" s="72"/>
      <c r="L4668" s="50"/>
    </row>
    <row r="4669" spans="3:12" x14ac:dyDescent="0.3">
      <c r="C4669" s="47"/>
      <c r="H4669" s="49"/>
      <c r="K4669" s="72"/>
      <c r="L4669" s="50"/>
    </row>
    <row r="4670" spans="3:12" x14ac:dyDescent="0.3">
      <c r="C4670" s="47"/>
      <c r="H4670" s="49"/>
      <c r="K4670" s="72"/>
      <c r="L4670" s="50"/>
    </row>
    <row r="4671" spans="3:12" x14ac:dyDescent="0.3">
      <c r="C4671" s="47"/>
      <c r="H4671" s="49"/>
      <c r="K4671" s="72"/>
      <c r="L4671" s="50"/>
    </row>
    <row r="4672" spans="3:12" x14ac:dyDescent="0.3">
      <c r="C4672" s="47"/>
      <c r="H4672" s="49"/>
      <c r="K4672" s="72"/>
      <c r="L4672" s="50"/>
    </row>
    <row r="4673" spans="3:12" x14ac:dyDescent="0.3">
      <c r="C4673" s="47"/>
      <c r="H4673" s="49"/>
      <c r="K4673" s="72"/>
      <c r="L4673" s="50"/>
    </row>
    <row r="4674" spans="3:12" x14ac:dyDescent="0.3">
      <c r="C4674" s="47"/>
      <c r="H4674" s="49"/>
      <c r="K4674" s="72"/>
      <c r="L4674" s="50"/>
    </row>
    <row r="4675" spans="3:12" x14ac:dyDescent="0.3">
      <c r="C4675" s="47"/>
      <c r="H4675" s="49"/>
      <c r="K4675" s="72"/>
      <c r="L4675" s="50"/>
    </row>
    <row r="4676" spans="3:12" x14ac:dyDescent="0.3">
      <c r="C4676" s="47"/>
      <c r="H4676" s="49"/>
      <c r="K4676" s="72"/>
      <c r="L4676" s="50"/>
    </row>
    <row r="4677" spans="3:12" x14ac:dyDescent="0.3">
      <c r="C4677" s="47"/>
      <c r="H4677" s="49"/>
      <c r="K4677" s="72"/>
      <c r="L4677" s="50"/>
    </row>
    <row r="4678" spans="3:12" x14ac:dyDescent="0.3">
      <c r="C4678" s="47"/>
      <c r="H4678" s="49"/>
      <c r="K4678" s="72"/>
      <c r="L4678" s="50"/>
    </row>
    <row r="4679" spans="3:12" x14ac:dyDescent="0.3">
      <c r="C4679" s="47"/>
      <c r="H4679" s="49"/>
      <c r="K4679" s="72"/>
      <c r="L4679" s="50"/>
    </row>
    <row r="4680" spans="3:12" x14ac:dyDescent="0.3">
      <c r="C4680" s="47"/>
      <c r="H4680" s="49"/>
      <c r="K4680" s="72"/>
      <c r="L4680" s="50"/>
    </row>
    <row r="4681" spans="3:12" x14ac:dyDescent="0.3">
      <c r="C4681" s="47"/>
      <c r="H4681" s="49"/>
      <c r="K4681" s="72"/>
      <c r="L4681" s="50"/>
    </row>
    <row r="4682" spans="3:12" x14ac:dyDescent="0.3">
      <c r="C4682" s="47"/>
      <c r="H4682" s="49"/>
      <c r="K4682" s="72"/>
      <c r="L4682" s="50"/>
    </row>
    <row r="4683" spans="3:12" x14ac:dyDescent="0.3">
      <c r="C4683" s="47"/>
      <c r="H4683" s="49"/>
      <c r="K4683" s="72"/>
      <c r="L4683" s="50"/>
    </row>
    <row r="4684" spans="3:12" x14ac:dyDescent="0.3">
      <c r="C4684" s="47"/>
      <c r="H4684" s="49"/>
      <c r="K4684" s="72"/>
      <c r="L4684" s="50"/>
    </row>
    <row r="4685" spans="3:12" x14ac:dyDescent="0.3">
      <c r="C4685" s="47"/>
      <c r="H4685" s="49"/>
      <c r="K4685" s="72"/>
      <c r="L4685" s="50"/>
    </row>
    <row r="4686" spans="3:12" x14ac:dyDescent="0.3">
      <c r="C4686" s="47"/>
      <c r="H4686" s="49"/>
      <c r="K4686" s="72"/>
      <c r="L4686" s="50"/>
    </row>
    <row r="4687" spans="3:12" x14ac:dyDescent="0.3">
      <c r="C4687" s="47"/>
      <c r="H4687" s="49"/>
      <c r="K4687" s="72"/>
      <c r="L4687" s="50"/>
    </row>
    <row r="4688" spans="3:12" x14ac:dyDescent="0.3">
      <c r="C4688" s="47"/>
      <c r="H4688" s="49"/>
      <c r="K4688" s="72"/>
      <c r="L4688" s="50"/>
    </row>
    <row r="4689" spans="3:12" x14ac:dyDescent="0.3">
      <c r="C4689" s="47"/>
      <c r="H4689" s="49"/>
      <c r="K4689" s="72"/>
      <c r="L4689" s="50"/>
    </row>
    <row r="4690" spans="3:12" x14ac:dyDescent="0.3">
      <c r="C4690" s="47"/>
      <c r="H4690" s="49"/>
      <c r="K4690" s="72"/>
      <c r="L4690" s="50"/>
    </row>
    <row r="4691" spans="3:12" x14ac:dyDescent="0.3">
      <c r="C4691" s="47"/>
      <c r="H4691" s="49"/>
      <c r="K4691" s="72"/>
      <c r="L4691" s="50"/>
    </row>
    <row r="4692" spans="3:12" x14ac:dyDescent="0.3">
      <c r="C4692" s="47"/>
      <c r="H4692" s="49"/>
      <c r="K4692" s="72"/>
      <c r="L4692" s="50"/>
    </row>
    <row r="4693" spans="3:12" x14ac:dyDescent="0.3">
      <c r="C4693" s="47"/>
      <c r="H4693" s="49"/>
      <c r="K4693" s="72"/>
      <c r="L4693" s="50"/>
    </row>
    <row r="4694" spans="3:12" x14ac:dyDescent="0.3">
      <c r="C4694" s="47"/>
      <c r="H4694" s="49"/>
      <c r="K4694" s="72"/>
      <c r="L4694" s="50"/>
    </row>
    <row r="4695" spans="3:12" x14ac:dyDescent="0.3">
      <c r="C4695" s="47"/>
      <c r="H4695" s="49"/>
      <c r="K4695" s="72"/>
      <c r="L4695" s="50"/>
    </row>
    <row r="4696" spans="3:12" x14ac:dyDescent="0.3">
      <c r="C4696" s="47"/>
      <c r="H4696" s="49"/>
      <c r="K4696" s="72"/>
      <c r="L4696" s="50"/>
    </row>
    <row r="4697" spans="3:12" x14ac:dyDescent="0.3">
      <c r="C4697" s="47"/>
      <c r="H4697" s="49"/>
      <c r="K4697" s="72"/>
      <c r="L4697" s="50"/>
    </row>
    <row r="4698" spans="3:12" x14ac:dyDescent="0.3">
      <c r="C4698" s="47"/>
      <c r="H4698" s="49"/>
      <c r="K4698" s="72"/>
      <c r="L4698" s="50"/>
    </row>
    <row r="4699" spans="3:12" x14ac:dyDescent="0.3">
      <c r="C4699" s="47"/>
      <c r="H4699" s="49"/>
      <c r="K4699" s="72"/>
      <c r="L4699" s="50"/>
    </row>
    <row r="4700" spans="3:12" x14ac:dyDescent="0.3">
      <c r="C4700" s="47"/>
      <c r="H4700" s="49"/>
      <c r="K4700" s="72"/>
      <c r="L4700" s="50"/>
    </row>
    <row r="4701" spans="3:12" x14ac:dyDescent="0.3">
      <c r="C4701" s="47"/>
      <c r="H4701" s="49"/>
      <c r="K4701" s="72"/>
      <c r="L4701" s="50"/>
    </row>
    <row r="4702" spans="3:12" x14ac:dyDescent="0.3">
      <c r="C4702" s="47"/>
      <c r="H4702" s="49"/>
      <c r="K4702" s="72"/>
      <c r="L4702" s="50"/>
    </row>
    <row r="4703" spans="3:12" x14ac:dyDescent="0.3">
      <c r="C4703" s="47"/>
      <c r="H4703" s="49"/>
      <c r="K4703" s="72"/>
      <c r="L4703" s="50"/>
    </row>
    <row r="4704" spans="3:12" x14ac:dyDescent="0.3">
      <c r="C4704" s="47"/>
      <c r="H4704" s="49"/>
      <c r="K4704" s="72"/>
      <c r="L4704" s="50"/>
    </row>
    <row r="4705" spans="3:12" x14ac:dyDescent="0.3">
      <c r="C4705" s="47"/>
      <c r="H4705" s="49"/>
      <c r="K4705" s="72"/>
      <c r="L4705" s="50"/>
    </row>
    <row r="4706" spans="3:12" x14ac:dyDescent="0.3">
      <c r="C4706" s="47"/>
      <c r="H4706" s="49"/>
      <c r="K4706" s="72"/>
      <c r="L4706" s="50"/>
    </row>
    <row r="4707" spans="3:12" x14ac:dyDescent="0.3">
      <c r="C4707" s="47"/>
      <c r="H4707" s="49"/>
      <c r="K4707" s="72"/>
      <c r="L4707" s="50"/>
    </row>
    <row r="4708" spans="3:12" x14ac:dyDescent="0.3">
      <c r="C4708" s="47"/>
      <c r="H4708" s="49"/>
      <c r="K4708" s="72"/>
      <c r="L4708" s="50"/>
    </row>
    <row r="4709" spans="3:12" x14ac:dyDescent="0.3">
      <c r="C4709" s="47"/>
      <c r="H4709" s="49"/>
      <c r="K4709" s="72"/>
      <c r="L4709" s="50"/>
    </row>
    <row r="4710" spans="3:12" x14ac:dyDescent="0.3">
      <c r="C4710" s="47"/>
      <c r="H4710" s="49"/>
      <c r="K4710" s="72"/>
      <c r="L4710" s="50"/>
    </row>
    <row r="4711" spans="3:12" x14ac:dyDescent="0.3">
      <c r="C4711" s="47"/>
      <c r="H4711" s="49"/>
      <c r="K4711" s="72"/>
      <c r="L4711" s="50"/>
    </row>
    <row r="4712" spans="3:12" x14ac:dyDescent="0.3">
      <c r="C4712" s="47"/>
      <c r="H4712" s="49"/>
      <c r="K4712" s="72"/>
      <c r="L4712" s="50"/>
    </row>
    <row r="4713" spans="3:12" x14ac:dyDescent="0.3">
      <c r="C4713" s="47"/>
      <c r="H4713" s="49"/>
      <c r="K4713" s="72"/>
      <c r="L4713" s="50"/>
    </row>
    <row r="4714" spans="3:12" x14ac:dyDescent="0.3">
      <c r="C4714" s="47"/>
      <c r="H4714" s="49"/>
      <c r="K4714" s="72"/>
      <c r="L4714" s="50"/>
    </row>
    <row r="4715" spans="3:12" x14ac:dyDescent="0.3">
      <c r="C4715" s="47"/>
      <c r="H4715" s="49"/>
      <c r="K4715" s="72"/>
      <c r="L4715" s="50"/>
    </row>
    <row r="4716" spans="3:12" x14ac:dyDescent="0.3">
      <c r="C4716" s="47"/>
      <c r="H4716" s="49"/>
      <c r="K4716" s="72"/>
      <c r="L4716" s="50"/>
    </row>
    <row r="4717" spans="3:12" x14ac:dyDescent="0.3">
      <c r="C4717" s="47"/>
      <c r="H4717" s="49"/>
      <c r="K4717" s="72"/>
      <c r="L4717" s="50"/>
    </row>
    <row r="4718" spans="3:12" x14ac:dyDescent="0.3">
      <c r="C4718" s="47"/>
      <c r="H4718" s="49"/>
      <c r="K4718" s="72"/>
      <c r="L4718" s="50"/>
    </row>
    <row r="4719" spans="3:12" x14ac:dyDescent="0.3">
      <c r="C4719" s="47"/>
      <c r="H4719" s="49"/>
      <c r="K4719" s="72"/>
      <c r="L4719" s="50"/>
    </row>
    <row r="4720" spans="3:12" x14ac:dyDescent="0.3">
      <c r="C4720" s="47"/>
      <c r="H4720" s="49"/>
      <c r="K4720" s="72"/>
      <c r="L4720" s="50"/>
    </row>
    <row r="4721" spans="3:12" x14ac:dyDescent="0.3">
      <c r="C4721" s="47"/>
      <c r="H4721" s="49"/>
      <c r="K4721" s="72"/>
      <c r="L4721" s="50"/>
    </row>
    <row r="4722" spans="3:12" x14ac:dyDescent="0.3">
      <c r="C4722" s="47"/>
      <c r="H4722" s="49"/>
      <c r="K4722" s="72"/>
      <c r="L4722" s="50"/>
    </row>
    <row r="4723" spans="3:12" x14ac:dyDescent="0.3">
      <c r="C4723" s="47"/>
      <c r="H4723" s="49"/>
      <c r="K4723" s="72"/>
      <c r="L4723" s="50"/>
    </row>
    <row r="4724" spans="3:12" x14ac:dyDescent="0.3">
      <c r="C4724" s="47"/>
      <c r="H4724" s="49"/>
      <c r="K4724" s="72"/>
      <c r="L4724" s="50"/>
    </row>
    <row r="4725" spans="3:12" x14ac:dyDescent="0.3">
      <c r="C4725" s="47"/>
      <c r="H4725" s="49"/>
      <c r="K4725" s="72"/>
      <c r="L4725" s="50"/>
    </row>
    <row r="4726" spans="3:12" x14ac:dyDescent="0.3">
      <c r="C4726" s="47"/>
      <c r="H4726" s="49"/>
      <c r="K4726" s="72"/>
      <c r="L4726" s="50"/>
    </row>
    <row r="4727" spans="3:12" x14ac:dyDescent="0.3">
      <c r="C4727" s="47"/>
      <c r="H4727" s="49"/>
      <c r="K4727" s="72"/>
      <c r="L4727" s="50"/>
    </row>
    <row r="4728" spans="3:12" x14ac:dyDescent="0.3">
      <c r="C4728" s="47"/>
      <c r="H4728" s="49"/>
      <c r="K4728" s="72"/>
      <c r="L4728" s="50"/>
    </row>
    <row r="4729" spans="3:12" x14ac:dyDescent="0.3">
      <c r="C4729" s="47"/>
      <c r="H4729" s="49"/>
      <c r="K4729" s="72"/>
      <c r="L4729" s="50"/>
    </row>
    <row r="4730" spans="3:12" x14ac:dyDescent="0.3">
      <c r="C4730" s="47"/>
      <c r="H4730" s="49"/>
      <c r="K4730" s="72"/>
      <c r="L4730" s="50"/>
    </row>
    <row r="4731" spans="3:12" x14ac:dyDescent="0.3">
      <c r="C4731" s="47"/>
      <c r="H4731" s="49"/>
      <c r="K4731" s="72"/>
      <c r="L4731" s="50"/>
    </row>
    <row r="4732" spans="3:12" x14ac:dyDescent="0.3">
      <c r="C4732" s="47"/>
      <c r="H4732" s="49"/>
      <c r="K4732" s="72"/>
      <c r="L4732" s="50"/>
    </row>
    <row r="4733" spans="3:12" x14ac:dyDescent="0.3">
      <c r="C4733" s="47"/>
      <c r="H4733" s="49"/>
      <c r="K4733" s="72"/>
      <c r="L4733" s="50"/>
    </row>
    <row r="4734" spans="3:12" x14ac:dyDescent="0.3">
      <c r="C4734" s="47"/>
      <c r="H4734" s="49"/>
      <c r="K4734" s="72"/>
      <c r="L4734" s="50"/>
    </row>
    <row r="4735" spans="3:12" x14ac:dyDescent="0.3">
      <c r="C4735" s="47"/>
      <c r="H4735" s="49"/>
      <c r="K4735" s="72"/>
      <c r="L4735" s="50"/>
    </row>
    <row r="4736" spans="3:12" x14ac:dyDescent="0.3">
      <c r="C4736" s="47"/>
      <c r="H4736" s="49"/>
      <c r="K4736" s="72"/>
      <c r="L4736" s="50"/>
    </row>
    <row r="4737" spans="3:12" x14ac:dyDescent="0.3">
      <c r="C4737" s="47"/>
      <c r="H4737" s="49"/>
      <c r="K4737" s="72"/>
      <c r="L4737" s="50"/>
    </row>
    <row r="4738" spans="3:12" x14ac:dyDescent="0.3">
      <c r="C4738" s="47"/>
      <c r="H4738" s="49"/>
      <c r="K4738" s="72"/>
      <c r="L4738" s="50"/>
    </row>
    <row r="4739" spans="3:12" x14ac:dyDescent="0.3">
      <c r="C4739" s="47"/>
      <c r="H4739" s="49"/>
      <c r="K4739" s="72"/>
      <c r="L4739" s="50"/>
    </row>
    <row r="4740" spans="3:12" x14ac:dyDescent="0.3">
      <c r="C4740" s="47"/>
      <c r="H4740" s="49"/>
      <c r="K4740" s="72"/>
      <c r="L4740" s="50"/>
    </row>
    <row r="4741" spans="3:12" x14ac:dyDescent="0.3">
      <c r="C4741" s="47"/>
      <c r="H4741" s="49"/>
      <c r="K4741" s="72"/>
      <c r="L4741" s="50"/>
    </row>
    <row r="4742" spans="3:12" x14ac:dyDescent="0.3">
      <c r="C4742" s="47"/>
      <c r="H4742" s="49"/>
      <c r="K4742" s="72"/>
      <c r="L4742" s="50"/>
    </row>
    <row r="4743" spans="3:12" x14ac:dyDescent="0.3">
      <c r="C4743" s="47"/>
      <c r="H4743" s="49"/>
      <c r="K4743" s="72"/>
      <c r="L4743" s="50"/>
    </row>
    <row r="4744" spans="3:12" x14ac:dyDescent="0.3">
      <c r="C4744" s="47"/>
      <c r="H4744" s="49"/>
      <c r="K4744" s="72"/>
      <c r="L4744" s="50"/>
    </row>
    <row r="4745" spans="3:12" x14ac:dyDescent="0.3">
      <c r="C4745" s="47"/>
      <c r="H4745" s="49"/>
      <c r="K4745" s="72"/>
      <c r="L4745" s="50"/>
    </row>
    <row r="4746" spans="3:12" x14ac:dyDescent="0.3">
      <c r="C4746" s="47"/>
      <c r="H4746" s="49"/>
      <c r="K4746" s="72"/>
      <c r="L4746" s="50"/>
    </row>
    <row r="4747" spans="3:12" x14ac:dyDescent="0.3">
      <c r="C4747" s="47"/>
      <c r="H4747" s="49"/>
      <c r="K4747" s="72"/>
      <c r="L4747" s="50"/>
    </row>
    <row r="4748" spans="3:12" x14ac:dyDescent="0.3">
      <c r="C4748" s="47"/>
      <c r="H4748" s="49"/>
      <c r="K4748" s="72"/>
      <c r="L4748" s="50"/>
    </row>
    <row r="4749" spans="3:12" x14ac:dyDescent="0.3">
      <c r="C4749" s="47"/>
      <c r="H4749" s="49"/>
      <c r="K4749" s="72"/>
      <c r="L4749" s="50"/>
    </row>
    <row r="4750" spans="3:12" x14ac:dyDescent="0.3">
      <c r="C4750" s="47"/>
      <c r="H4750" s="49"/>
      <c r="K4750" s="72"/>
      <c r="L4750" s="50"/>
    </row>
    <row r="4751" spans="3:12" x14ac:dyDescent="0.3">
      <c r="C4751" s="47"/>
      <c r="H4751" s="49"/>
      <c r="K4751" s="72"/>
      <c r="L4751" s="50"/>
    </row>
    <row r="4752" spans="3:12" x14ac:dyDescent="0.3">
      <c r="C4752" s="47"/>
      <c r="H4752" s="49"/>
      <c r="K4752" s="72"/>
      <c r="L4752" s="50"/>
    </row>
    <row r="4753" spans="3:12" x14ac:dyDescent="0.3">
      <c r="C4753" s="47"/>
      <c r="H4753" s="49"/>
      <c r="K4753" s="72"/>
      <c r="L4753" s="50"/>
    </row>
    <row r="4754" spans="3:12" x14ac:dyDescent="0.3">
      <c r="C4754" s="47"/>
      <c r="H4754" s="49"/>
      <c r="K4754" s="72"/>
      <c r="L4754" s="50"/>
    </row>
    <row r="4755" spans="3:12" x14ac:dyDescent="0.3">
      <c r="C4755" s="47"/>
      <c r="H4755" s="49"/>
      <c r="K4755" s="72"/>
      <c r="L4755" s="50"/>
    </row>
    <row r="4756" spans="3:12" x14ac:dyDescent="0.3">
      <c r="C4756" s="47"/>
      <c r="H4756" s="49"/>
      <c r="K4756" s="72"/>
      <c r="L4756" s="50"/>
    </row>
    <row r="4757" spans="3:12" x14ac:dyDescent="0.3">
      <c r="C4757" s="47"/>
      <c r="H4757" s="49"/>
      <c r="K4757" s="72"/>
      <c r="L4757" s="50"/>
    </row>
    <row r="4758" spans="3:12" x14ac:dyDescent="0.3">
      <c r="C4758" s="47"/>
      <c r="H4758" s="49"/>
      <c r="K4758" s="72"/>
      <c r="L4758" s="50"/>
    </row>
    <row r="4759" spans="3:12" x14ac:dyDescent="0.3">
      <c r="C4759" s="47"/>
      <c r="H4759" s="49"/>
      <c r="K4759" s="72"/>
      <c r="L4759" s="50"/>
    </row>
    <row r="4760" spans="3:12" x14ac:dyDescent="0.3">
      <c r="C4760" s="47"/>
      <c r="H4760" s="49"/>
      <c r="K4760" s="72"/>
      <c r="L4760" s="50"/>
    </row>
    <row r="4761" spans="3:12" x14ac:dyDescent="0.3">
      <c r="C4761" s="47"/>
      <c r="H4761" s="49"/>
      <c r="K4761" s="72"/>
      <c r="L4761" s="50"/>
    </row>
    <row r="4762" spans="3:12" x14ac:dyDescent="0.3">
      <c r="C4762" s="47"/>
      <c r="H4762" s="49"/>
      <c r="K4762" s="72"/>
      <c r="L4762" s="50"/>
    </row>
    <row r="4763" spans="3:12" x14ac:dyDescent="0.3">
      <c r="C4763" s="47"/>
      <c r="H4763" s="49"/>
      <c r="K4763" s="72"/>
      <c r="L4763" s="50"/>
    </row>
    <row r="4764" spans="3:12" x14ac:dyDescent="0.3">
      <c r="C4764" s="47"/>
      <c r="H4764" s="49"/>
      <c r="K4764" s="72"/>
      <c r="L4764" s="50"/>
    </row>
    <row r="4765" spans="3:12" x14ac:dyDescent="0.3">
      <c r="C4765" s="47"/>
      <c r="H4765" s="49"/>
      <c r="K4765" s="72"/>
      <c r="L4765" s="50"/>
    </row>
    <row r="4766" spans="3:12" x14ac:dyDescent="0.3">
      <c r="C4766" s="47"/>
      <c r="H4766" s="49"/>
      <c r="K4766" s="72"/>
      <c r="L4766" s="50"/>
    </row>
    <row r="4767" spans="3:12" x14ac:dyDescent="0.3">
      <c r="C4767" s="47"/>
      <c r="H4767" s="49"/>
      <c r="K4767" s="72"/>
      <c r="L4767" s="50"/>
    </row>
    <row r="4768" spans="3:12" x14ac:dyDescent="0.3">
      <c r="C4768" s="47"/>
      <c r="H4768" s="49"/>
      <c r="K4768" s="72"/>
      <c r="L4768" s="50"/>
    </row>
    <row r="4769" spans="3:12" x14ac:dyDescent="0.3">
      <c r="C4769" s="47"/>
      <c r="H4769" s="49"/>
      <c r="K4769" s="72"/>
      <c r="L4769" s="50"/>
    </row>
    <row r="4770" spans="3:12" x14ac:dyDescent="0.3">
      <c r="C4770" s="47"/>
      <c r="H4770" s="49"/>
      <c r="K4770" s="72"/>
      <c r="L4770" s="50"/>
    </row>
    <row r="4771" spans="3:12" x14ac:dyDescent="0.3">
      <c r="C4771" s="47"/>
      <c r="H4771" s="49"/>
      <c r="K4771" s="72"/>
      <c r="L4771" s="50"/>
    </row>
    <row r="4772" spans="3:12" x14ac:dyDescent="0.3">
      <c r="C4772" s="47"/>
      <c r="H4772" s="49"/>
      <c r="K4772" s="72"/>
      <c r="L4772" s="50"/>
    </row>
    <row r="4773" spans="3:12" x14ac:dyDescent="0.3">
      <c r="C4773" s="47"/>
      <c r="H4773" s="49"/>
      <c r="K4773" s="72"/>
      <c r="L4773" s="50"/>
    </row>
    <row r="4774" spans="3:12" x14ac:dyDescent="0.3">
      <c r="C4774" s="47"/>
      <c r="H4774" s="49"/>
      <c r="K4774" s="72"/>
      <c r="L4774" s="50"/>
    </row>
    <row r="4775" spans="3:12" x14ac:dyDescent="0.3">
      <c r="C4775" s="47"/>
      <c r="H4775" s="49"/>
      <c r="K4775" s="72"/>
      <c r="L4775" s="50"/>
    </row>
    <row r="4776" spans="3:12" x14ac:dyDescent="0.3">
      <c r="C4776" s="47"/>
      <c r="H4776" s="49"/>
      <c r="K4776" s="72"/>
      <c r="L4776" s="50"/>
    </row>
    <row r="4777" spans="3:12" x14ac:dyDescent="0.3">
      <c r="C4777" s="47"/>
      <c r="H4777" s="49"/>
      <c r="K4777" s="72"/>
      <c r="L4777" s="50"/>
    </row>
    <row r="4778" spans="3:12" x14ac:dyDescent="0.3">
      <c r="C4778" s="47"/>
      <c r="H4778" s="49"/>
      <c r="K4778" s="72"/>
      <c r="L4778" s="50"/>
    </row>
    <row r="4779" spans="3:12" x14ac:dyDescent="0.3">
      <c r="C4779" s="47"/>
      <c r="H4779" s="49"/>
      <c r="K4779" s="72"/>
      <c r="L4779" s="50"/>
    </row>
    <row r="4780" spans="3:12" x14ac:dyDescent="0.3">
      <c r="C4780" s="47"/>
      <c r="H4780" s="49"/>
      <c r="K4780" s="72"/>
      <c r="L4780" s="50"/>
    </row>
    <row r="4781" spans="3:12" x14ac:dyDescent="0.3">
      <c r="C4781" s="47"/>
      <c r="H4781" s="49"/>
      <c r="K4781" s="72"/>
      <c r="L4781" s="50"/>
    </row>
    <row r="4782" spans="3:12" x14ac:dyDescent="0.3">
      <c r="C4782" s="47"/>
      <c r="H4782" s="49"/>
      <c r="K4782" s="72"/>
      <c r="L4782" s="50"/>
    </row>
    <row r="4783" spans="3:12" x14ac:dyDescent="0.3">
      <c r="C4783" s="47"/>
      <c r="H4783" s="49"/>
      <c r="K4783" s="72"/>
      <c r="L4783" s="50"/>
    </row>
    <row r="4784" spans="3:12" x14ac:dyDescent="0.3">
      <c r="C4784" s="47"/>
      <c r="H4784" s="49"/>
      <c r="K4784" s="72"/>
      <c r="L4784" s="50"/>
    </row>
    <row r="4785" spans="3:12" x14ac:dyDescent="0.3">
      <c r="C4785" s="47"/>
      <c r="H4785" s="49"/>
      <c r="K4785" s="72"/>
      <c r="L4785" s="50"/>
    </row>
    <row r="4786" spans="3:12" x14ac:dyDescent="0.3">
      <c r="C4786" s="47"/>
      <c r="H4786" s="49"/>
      <c r="K4786" s="72"/>
      <c r="L4786" s="50"/>
    </row>
    <row r="4787" spans="3:12" x14ac:dyDescent="0.3">
      <c r="C4787" s="47"/>
      <c r="H4787" s="49"/>
      <c r="K4787" s="72"/>
      <c r="L4787" s="50"/>
    </row>
    <row r="4788" spans="3:12" x14ac:dyDescent="0.3">
      <c r="C4788" s="47"/>
      <c r="H4788" s="49"/>
      <c r="K4788" s="72"/>
      <c r="L4788" s="50"/>
    </row>
    <row r="4789" spans="3:12" x14ac:dyDescent="0.3">
      <c r="C4789" s="47"/>
      <c r="H4789" s="49"/>
      <c r="K4789" s="72"/>
      <c r="L4789" s="50"/>
    </row>
    <row r="4790" spans="3:12" x14ac:dyDescent="0.3">
      <c r="C4790" s="47"/>
      <c r="H4790" s="49"/>
      <c r="K4790" s="72"/>
      <c r="L4790" s="50"/>
    </row>
    <row r="4791" spans="3:12" x14ac:dyDescent="0.3">
      <c r="C4791" s="47"/>
      <c r="H4791" s="49"/>
      <c r="K4791" s="72"/>
      <c r="L4791" s="50"/>
    </row>
    <row r="4792" spans="3:12" x14ac:dyDescent="0.3">
      <c r="C4792" s="47"/>
      <c r="H4792" s="49"/>
      <c r="K4792" s="72"/>
      <c r="L4792" s="50"/>
    </row>
    <row r="4793" spans="3:12" x14ac:dyDescent="0.3">
      <c r="C4793" s="47"/>
      <c r="H4793" s="49"/>
      <c r="K4793" s="72"/>
      <c r="L4793" s="50"/>
    </row>
    <row r="4794" spans="3:12" x14ac:dyDescent="0.3">
      <c r="C4794" s="47"/>
      <c r="H4794" s="49"/>
      <c r="K4794" s="72"/>
      <c r="L4794" s="50"/>
    </row>
    <row r="4795" spans="3:12" x14ac:dyDescent="0.3">
      <c r="C4795" s="47"/>
      <c r="H4795" s="49"/>
      <c r="K4795" s="72"/>
      <c r="L4795" s="50"/>
    </row>
    <row r="4796" spans="3:12" x14ac:dyDescent="0.3">
      <c r="C4796" s="47"/>
      <c r="H4796" s="49"/>
      <c r="K4796" s="72"/>
      <c r="L4796" s="50"/>
    </row>
    <row r="4797" spans="3:12" x14ac:dyDescent="0.3">
      <c r="C4797" s="47"/>
      <c r="H4797" s="49"/>
      <c r="K4797" s="72"/>
      <c r="L4797" s="50"/>
    </row>
    <row r="4798" spans="3:12" x14ac:dyDescent="0.3">
      <c r="C4798" s="47"/>
      <c r="H4798" s="49"/>
      <c r="K4798" s="72"/>
      <c r="L4798" s="50"/>
    </row>
    <row r="4799" spans="3:12" x14ac:dyDescent="0.3">
      <c r="C4799" s="47"/>
      <c r="H4799" s="49"/>
      <c r="K4799" s="72"/>
      <c r="L4799" s="50"/>
    </row>
    <row r="4800" spans="3:12" x14ac:dyDescent="0.3">
      <c r="C4800" s="47"/>
      <c r="H4800" s="49"/>
      <c r="K4800" s="72"/>
      <c r="L4800" s="50"/>
    </row>
    <row r="4801" spans="3:12" x14ac:dyDescent="0.3">
      <c r="C4801" s="47"/>
      <c r="H4801" s="49"/>
      <c r="K4801" s="72"/>
      <c r="L4801" s="50"/>
    </row>
    <row r="4802" spans="3:12" x14ac:dyDescent="0.3">
      <c r="C4802" s="47"/>
      <c r="H4802" s="49"/>
      <c r="K4802" s="72"/>
      <c r="L4802" s="50"/>
    </row>
    <row r="4803" spans="3:12" x14ac:dyDescent="0.3">
      <c r="C4803" s="47"/>
      <c r="H4803" s="49"/>
      <c r="K4803" s="72"/>
      <c r="L4803" s="50"/>
    </row>
    <row r="4804" spans="3:12" x14ac:dyDescent="0.3">
      <c r="C4804" s="47"/>
      <c r="H4804" s="49"/>
      <c r="K4804" s="72"/>
      <c r="L4804" s="50"/>
    </row>
    <row r="4805" spans="3:12" x14ac:dyDescent="0.3">
      <c r="C4805" s="47"/>
      <c r="H4805" s="49"/>
      <c r="K4805" s="72"/>
      <c r="L4805" s="50"/>
    </row>
    <row r="4806" spans="3:12" x14ac:dyDescent="0.3">
      <c r="C4806" s="47"/>
      <c r="H4806" s="49"/>
      <c r="K4806" s="72"/>
      <c r="L4806" s="50"/>
    </row>
    <row r="4807" spans="3:12" x14ac:dyDescent="0.3">
      <c r="C4807" s="47"/>
      <c r="H4807" s="49"/>
      <c r="K4807" s="72"/>
      <c r="L4807" s="50"/>
    </row>
    <row r="4808" spans="3:12" x14ac:dyDescent="0.3">
      <c r="C4808" s="47"/>
      <c r="H4808" s="49"/>
      <c r="K4808" s="72"/>
      <c r="L4808" s="50"/>
    </row>
    <row r="4809" spans="3:12" x14ac:dyDescent="0.3">
      <c r="C4809" s="47"/>
      <c r="H4809" s="49"/>
      <c r="K4809" s="72"/>
      <c r="L4809" s="50"/>
    </row>
    <row r="4810" spans="3:12" x14ac:dyDescent="0.3">
      <c r="C4810" s="47"/>
      <c r="H4810" s="49"/>
      <c r="K4810" s="72"/>
      <c r="L4810" s="50"/>
    </row>
    <row r="4811" spans="3:12" x14ac:dyDescent="0.3">
      <c r="C4811" s="47"/>
      <c r="H4811" s="49"/>
      <c r="K4811" s="72"/>
      <c r="L4811" s="50"/>
    </row>
    <row r="4812" spans="3:12" x14ac:dyDescent="0.3">
      <c r="C4812" s="47"/>
      <c r="H4812" s="49"/>
      <c r="K4812" s="72"/>
      <c r="L4812" s="50"/>
    </row>
    <row r="4813" spans="3:12" x14ac:dyDescent="0.3">
      <c r="C4813" s="47"/>
      <c r="H4813" s="49"/>
      <c r="K4813" s="72"/>
      <c r="L4813" s="50"/>
    </row>
    <row r="4814" spans="3:12" x14ac:dyDescent="0.3">
      <c r="C4814" s="47"/>
      <c r="H4814" s="49"/>
      <c r="K4814" s="72"/>
      <c r="L4814" s="50"/>
    </row>
    <row r="4815" spans="3:12" x14ac:dyDescent="0.3">
      <c r="C4815" s="47"/>
      <c r="H4815" s="49"/>
      <c r="K4815" s="72"/>
      <c r="L4815" s="50"/>
    </row>
    <row r="4816" spans="3:12" x14ac:dyDescent="0.3">
      <c r="C4816" s="47"/>
      <c r="H4816" s="49"/>
      <c r="K4816" s="72"/>
      <c r="L4816" s="50"/>
    </row>
    <row r="4817" spans="3:12" x14ac:dyDescent="0.3">
      <c r="C4817" s="47"/>
      <c r="H4817" s="49"/>
      <c r="K4817" s="72"/>
      <c r="L4817" s="50"/>
    </row>
    <row r="4818" spans="3:12" x14ac:dyDescent="0.3">
      <c r="C4818" s="47"/>
      <c r="H4818" s="49"/>
      <c r="K4818" s="72"/>
      <c r="L4818" s="50"/>
    </row>
    <row r="4819" spans="3:12" x14ac:dyDescent="0.3">
      <c r="C4819" s="47"/>
      <c r="H4819" s="49"/>
      <c r="K4819" s="72"/>
      <c r="L4819" s="50"/>
    </row>
    <row r="4820" spans="3:12" x14ac:dyDescent="0.3">
      <c r="C4820" s="47"/>
      <c r="H4820" s="49"/>
      <c r="K4820" s="72"/>
      <c r="L4820" s="50"/>
    </row>
    <row r="4821" spans="3:12" x14ac:dyDescent="0.3">
      <c r="C4821" s="47"/>
      <c r="H4821" s="49"/>
      <c r="K4821" s="72"/>
      <c r="L4821" s="50"/>
    </row>
    <row r="4822" spans="3:12" x14ac:dyDescent="0.3">
      <c r="C4822" s="47"/>
      <c r="H4822" s="49"/>
      <c r="K4822" s="72"/>
      <c r="L4822" s="50"/>
    </row>
    <row r="4823" spans="3:12" x14ac:dyDescent="0.3">
      <c r="C4823" s="47"/>
      <c r="H4823" s="49"/>
      <c r="K4823" s="72"/>
      <c r="L4823" s="50"/>
    </row>
    <row r="4824" spans="3:12" x14ac:dyDescent="0.3">
      <c r="C4824" s="47"/>
      <c r="H4824" s="49"/>
      <c r="K4824" s="72"/>
      <c r="L4824" s="50"/>
    </row>
    <row r="4825" spans="3:12" x14ac:dyDescent="0.3">
      <c r="C4825" s="47"/>
      <c r="H4825" s="49"/>
      <c r="K4825" s="72"/>
      <c r="L4825" s="50"/>
    </row>
    <row r="4826" spans="3:12" x14ac:dyDescent="0.3">
      <c r="C4826" s="47"/>
      <c r="H4826" s="49"/>
      <c r="K4826" s="72"/>
      <c r="L4826" s="50"/>
    </row>
    <row r="4827" spans="3:12" x14ac:dyDescent="0.3">
      <c r="C4827" s="47"/>
      <c r="H4827" s="49"/>
      <c r="K4827" s="72"/>
      <c r="L4827" s="50"/>
    </row>
    <row r="4828" spans="3:12" x14ac:dyDescent="0.3">
      <c r="C4828" s="47"/>
      <c r="H4828" s="49"/>
      <c r="K4828" s="72"/>
      <c r="L4828" s="50"/>
    </row>
    <row r="4829" spans="3:12" x14ac:dyDescent="0.3">
      <c r="C4829" s="47"/>
      <c r="H4829" s="49"/>
      <c r="K4829" s="72"/>
      <c r="L4829" s="50"/>
    </row>
    <row r="4830" spans="3:12" x14ac:dyDescent="0.3">
      <c r="C4830" s="47"/>
      <c r="H4830" s="49"/>
      <c r="K4830" s="72"/>
      <c r="L4830" s="50"/>
    </row>
    <row r="4831" spans="3:12" x14ac:dyDescent="0.3">
      <c r="C4831" s="47"/>
      <c r="H4831" s="49"/>
      <c r="K4831" s="72"/>
      <c r="L4831" s="50"/>
    </row>
    <row r="4832" spans="3:12" x14ac:dyDescent="0.3">
      <c r="C4832" s="47"/>
      <c r="H4832" s="49"/>
      <c r="K4832" s="72"/>
      <c r="L4832" s="50"/>
    </row>
    <row r="4833" spans="3:12" x14ac:dyDescent="0.3">
      <c r="C4833" s="47"/>
      <c r="H4833" s="49"/>
      <c r="K4833" s="72"/>
      <c r="L4833" s="50"/>
    </row>
    <row r="4834" spans="3:12" x14ac:dyDescent="0.3">
      <c r="C4834" s="47"/>
      <c r="H4834" s="49"/>
      <c r="K4834" s="72"/>
      <c r="L4834" s="50"/>
    </row>
    <row r="4835" spans="3:12" x14ac:dyDescent="0.3">
      <c r="C4835" s="47"/>
      <c r="H4835" s="49"/>
      <c r="K4835" s="72"/>
      <c r="L4835" s="50"/>
    </row>
    <row r="4836" spans="3:12" x14ac:dyDescent="0.3">
      <c r="C4836" s="47"/>
      <c r="H4836" s="49"/>
      <c r="K4836" s="72"/>
      <c r="L4836" s="50"/>
    </row>
    <row r="4837" spans="3:12" x14ac:dyDescent="0.3">
      <c r="C4837" s="47"/>
      <c r="H4837" s="49"/>
      <c r="K4837" s="72"/>
      <c r="L4837" s="50"/>
    </row>
    <row r="4838" spans="3:12" x14ac:dyDescent="0.3">
      <c r="C4838" s="47"/>
      <c r="H4838" s="49"/>
      <c r="K4838" s="72"/>
      <c r="L4838" s="50"/>
    </row>
    <row r="4839" spans="3:12" x14ac:dyDescent="0.3">
      <c r="C4839" s="47"/>
      <c r="H4839" s="49"/>
      <c r="K4839" s="72"/>
      <c r="L4839" s="50"/>
    </row>
    <row r="4840" spans="3:12" x14ac:dyDescent="0.3">
      <c r="C4840" s="47"/>
      <c r="H4840" s="49"/>
      <c r="K4840" s="72"/>
      <c r="L4840" s="50"/>
    </row>
    <row r="4841" spans="3:12" x14ac:dyDescent="0.3">
      <c r="C4841" s="47"/>
      <c r="H4841" s="49"/>
      <c r="K4841" s="72"/>
      <c r="L4841" s="50"/>
    </row>
    <row r="4842" spans="3:12" x14ac:dyDescent="0.3">
      <c r="C4842" s="47"/>
      <c r="H4842" s="49"/>
      <c r="K4842" s="72"/>
      <c r="L4842" s="50"/>
    </row>
    <row r="4843" spans="3:12" x14ac:dyDescent="0.3">
      <c r="C4843" s="47"/>
      <c r="H4843" s="49"/>
      <c r="K4843" s="72"/>
      <c r="L4843" s="50"/>
    </row>
    <row r="4844" spans="3:12" x14ac:dyDescent="0.3">
      <c r="C4844" s="47"/>
      <c r="H4844" s="49"/>
      <c r="K4844" s="72"/>
      <c r="L4844" s="50"/>
    </row>
    <row r="4845" spans="3:12" x14ac:dyDescent="0.3">
      <c r="C4845" s="47"/>
      <c r="H4845" s="49"/>
      <c r="K4845" s="72"/>
      <c r="L4845" s="50"/>
    </row>
    <row r="4846" spans="3:12" x14ac:dyDescent="0.3">
      <c r="C4846" s="47"/>
      <c r="H4846" s="49"/>
      <c r="K4846" s="72"/>
      <c r="L4846" s="50"/>
    </row>
    <row r="4847" spans="3:12" x14ac:dyDescent="0.3">
      <c r="C4847" s="47"/>
      <c r="H4847" s="49"/>
      <c r="K4847" s="72"/>
      <c r="L4847" s="50"/>
    </row>
    <row r="4848" spans="3:12" x14ac:dyDescent="0.3">
      <c r="C4848" s="47"/>
      <c r="H4848" s="49"/>
      <c r="K4848" s="72"/>
      <c r="L4848" s="50"/>
    </row>
    <row r="4849" spans="3:12" x14ac:dyDescent="0.3">
      <c r="C4849" s="47"/>
      <c r="H4849" s="49"/>
      <c r="K4849" s="72"/>
      <c r="L4849" s="50"/>
    </row>
    <row r="4850" spans="3:12" x14ac:dyDescent="0.3">
      <c r="C4850" s="47"/>
      <c r="H4850" s="49"/>
      <c r="K4850" s="72"/>
      <c r="L4850" s="50"/>
    </row>
    <row r="4851" spans="3:12" x14ac:dyDescent="0.3">
      <c r="C4851" s="47"/>
      <c r="H4851" s="49"/>
      <c r="K4851" s="72"/>
      <c r="L4851" s="50"/>
    </row>
    <row r="4852" spans="3:12" x14ac:dyDescent="0.3">
      <c r="C4852" s="47"/>
      <c r="H4852" s="49"/>
      <c r="K4852" s="72"/>
      <c r="L4852" s="50"/>
    </row>
    <row r="4853" spans="3:12" x14ac:dyDescent="0.3">
      <c r="C4853" s="47"/>
      <c r="H4853" s="49"/>
      <c r="K4853" s="72"/>
      <c r="L4853" s="50"/>
    </row>
    <row r="4854" spans="3:12" x14ac:dyDescent="0.3">
      <c r="C4854" s="47"/>
      <c r="H4854" s="49"/>
      <c r="K4854" s="72"/>
      <c r="L4854" s="50"/>
    </row>
    <row r="4855" spans="3:12" x14ac:dyDescent="0.3">
      <c r="C4855" s="47"/>
      <c r="H4855" s="49"/>
      <c r="K4855" s="72"/>
      <c r="L4855" s="50"/>
    </row>
    <row r="4856" spans="3:12" x14ac:dyDescent="0.3">
      <c r="C4856" s="47"/>
      <c r="H4856" s="49"/>
      <c r="K4856" s="72"/>
      <c r="L4856" s="50"/>
    </row>
    <row r="4857" spans="3:12" x14ac:dyDescent="0.3">
      <c r="C4857" s="47"/>
      <c r="H4857" s="49"/>
      <c r="K4857" s="72"/>
      <c r="L4857" s="50"/>
    </row>
    <row r="4858" spans="3:12" x14ac:dyDescent="0.3">
      <c r="C4858" s="47"/>
      <c r="H4858" s="49"/>
      <c r="K4858" s="72"/>
      <c r="L4858" s="50"/>
    </row>
    <row r="4859" spans="3:12" x14ac:dyDescent="0.3">
      <c r="C4859" s="47"/>
      <c r="H4859" s="49"/>
      <c r="K4859" s="72"/>
      <c r="L4859" s="50"/>
    </row>
    <row r="4860" spans="3:12" x14ac:dyDescent="0.3">
      <c r="C4860" s="47"/>
      <c r="H4860" s="49"/>
      <c r="K4860" s="72"/>
      <c r="L4860" s="50"/>
    </row>
    <row r="4861" spans="3:12" x14ac:dyDescent="0.3">
      <c r="C4861" s="47"/>
      <c r="H4861" s="49"/>
      <c r="K4861" s="72"/>
      <c r="L4861" s="50"/>
    </row>
    <row r="4862" spans="3:12" x14ac:dyDescent="0.3">
      <c r="C4862" s="47"/>
      <c r="H4862" s="49"/>
      <c r="K4862" s="72"/>
      <c r="L4862" s="50"/>
    </row>
    <row r="4863" spans="3:12" x14ac:dyDescent="0.3">
      <c r="C4863" s="47"/>
      <c r="H4863" s="49"/>
      <c r="K4863" s="72"/>
      <c r="L4863" s="50"/>
    </row>
    <row r="4864" spans="3:12" x14ac:dyDescent="0.3">
      <c r="C4864" s="47"/>
      <c r="H4864" s="49"/>
      <c r="K4864" s="72"/>
      <c r="L4864" s="50"/>
    </row>
    <row r="4865" spans="3:12" x14ac:dyDescent="0.3">
      <c r="C4865" s="47"/>
      <c r="H4865" s="49"/>
      <c r="K4865" s="72"/>
      <c r="L4865" s="50"/>
    </row>
    <row r="4866" spans="3:12" x14ac:dyDescent="0.3">
      <c r="C4866" s="47"/>
      <c r="H4866" s="49"/>
      <c r="K4866" s="72"/>
      <c r="L4866" s="50"/>
    </row>
    <row r="4867" spans="3:12" x14ac:dyDescent="0.3">
      <c r="C4867" s="47"/>
      <c r="H4867" s="49"/>
      <c r="K4867" s="72"/>
      <c r="L4867" s="50"/>
    </row>
    <row r="4868" spans="3:12" x14ac:dyDescent="0.3">
      <c r="C4868" s="47"/>
      <c r="H4868" s="49"/>
      <c r="K4868" s="72"/>
      <c r="L4868" s="50"/>
    </row>
    <row r="4869" spans="3:12" x14ac:dyDescent="0.3">
      <c r="C4869" s="47"/>
      <c r="H4869" s="49"/>
      <c r="K4869" s="72"/>
      <c r="L4869" s="50"/>
    </row>
    <row r="4870" spans="3:12" x14ac:dyDescent="0.3">
      <c r="C4870" s="47"/>
      <c r="H4870" s="49"/>
      <c r="K4870" s="72"/>
      <c r="L4870" s="50"/>
    </row>
    <row r="4871" spans="3:12" x14ac:dyDescent="0.3">
      <c r="C4871" s="47"/>
      <c r="H4871" s="49"/>
      <c r="K4871" s="72"/>
      <c r="L4871" s="50"/>
    </row>
    <row r="4872" spans="3:12" x14ac:dyDescent="0.3">
      <c r="C4872" s="47"/>
      <c r="H4872" s="49"/>
      <c r="K4872" s="72"/>
      <c r="L4872" s="50"/>
    </row>
    <row r="4873" spans="3:12" x14ac:dyDescent="0.3">
      <c r="C4873" s="47"/>
      <c r="H4873" s="49"/>
      <c r="K4873" s="72"/>
      <c r="L4873" s="50"/>
    </row>
    <row r="4874" spans="3:12" x14ac:dyDescent="0.3">
      <c r="C4874" s="47"/>
      <c r="H4874" s="49"/>
      <c r="K4874" s="72"/>
      <c r="L4874" s="50"/>
    </row>
    <row r="4875" spans="3:12" x14ac:dyDescent="0.3">
      <c r="C4875" s="47"/>
      <c r="H4875" s="49"/>
      <c r="K4875" s="72"/>
      <c r="L4875" s="50"/>
    </row>
    <row r="4876" spans="3:12" x14ac:dyDescent="0.3">
      <c r="C4876" s="47"/>
      <c r="H4876" s="49"/>
      <c r="K4876" s="72"/>
      <c r="L4876" s="50"/>
    </row>
    <row r="4877" spans="3:12" x14ac:dyDescent="0.3">
      <c r="C4877" s="47"/>
      <c r="H4877" s="49"/>
      <c r="K4877" s="72"/>
      <c r="L4877" s="50"/>
    </row>
    <row r="4878" spans="3:12" x14ac:dyDescent="0.3">
      <c r="C4878" s="47"/>
      <c r="H4878" s="49"/>
      <c r="K4878" s="72"/>
      <c r="L4878" s="50"/>
    </row>
    <row r="4879" spans="3:12" x14ac:dyDescent="0.3">
      <c r="C4879" s="47"/>
      <c r="H4879" s="49"/>
      <c r="K4879" s="72"/>
      <c r="L4879" s="50"/>
    </row>
    <row r="4880" spans="3:12" x14ac:dyDescent="0.3">
      <c r="C4880" s="47"/>
      <c r="H4880" s="49"/>
      <c r="K4880" s="72"/>
      <c r="L4880" s="50"/>
    </row>
    <row r="4881" spans="3:12" x14ac:dyDescent="0.3">
      <c r="C4881" s="47"/>
      <c r="H4881" s="49"/>
      <c r="K4881" s="72"/>
      <c r="L4881" s="50"/>
    </row>
    <row r="4882" spans="3:12" x14ac:dyDescent="0.3">
      <c r="C4882" s="47"/>
      <c r="H4882" s="49"/>
      <c r="K4882" s="72"/>
      <c r="L4882" s="50"/>
    </row>
    <row r="4883" spans="3:12" x14ac:dyDescent="0.3">
      <c r="C4883" s="47"/>
      <c r="H4883" s="49"/>
      <c r="K4883" s="72"/>
      <c r="L4883" s="50"/>
    </row>
    <row r="4884" spans="3:12" x14ac:dyDescent="0.3">
      <c r="C4884" s="47"/>
      <c r="H4884" s="49"/>
      <c r="K4884" s="72"/>
      <c r="L4884" s="50"/>
    </row>
    <row r="4885" spans="3:12" x14ac:dyDescent="0.3">
      <c r="C4885" s="47"/>
      <c r="H4885" s="49"/>
      <c r="K4885" s="72"/>
      <c r="L4885" s="50"/>
    </row>
    <row r="4886" spans="3:12" x14ac:dyDescent="0.3">
      <c r="C4886" s="47"/>
      <c r="H4886" s="49"/>
      <c r="K4886" s="72"/>
      <c r="L4886" s="50"/>
    </row>
    <row r="4887" spans="3:12" x14ac:dyDescent="0.3">
      <c r="C4887" s="47"/>
      <c r="H4887" s="49"/>
      <c r="K4887" s="72"/>
      <c r="L4887" s="50"/>
    </row>
    <row r="4888" spans="3:12" x14ac:dyDescent="0.3">
      <c r="C4888" s="47"/>
      <c r="H4888" s="49"/>
      <c r="K4888" s="72"/>
      <c r="L4888" s="50"/>
    </row>
    <row r="4889" spans="3:12" x14ac:dyDescent="0.3">
      <c r="C4889" s="47"/>
      <c r="H4889" s="49"/>
      <c r="K4889" s="72"/>
      <c r="L4889" s="50"/>
    </row>
    <row r="4890" spans="3:12" x14ac:dyDescent="0.3">
      <c r="C4890" s="47"/>
      <c r="H4890" s="49"/>
      <c r="K4890" s="72"/>
      <c r="L4890" s="50"/>
    </row>
    <row r="4891" spans="3:12" x14ac:dyDescent="0.3">
      <c r="C4891" s="47"/>
      <c r="H4891" s="49"/>
      <c r="K4891" s="72"/>
      <c r="L4891" s="50"/>
    </row>
    <row r="4892" spans="3:12" x14ac:dyDescent="0.3">
      <c r="C4892" s="47"/>
      <c r="H4892" s="49"/>
      <c r="K4892" s="72"/>
      <c r="L4892" s="50"/>
    </row>
    <row r="4893" spans="3:12" x14ac:dyDescent="0.3">
      <c r="C4893" s="47"/>
      <c r="H4893" s="49"/>
      <c r="K4893" s="72"/>
      <c r="L4893" s="50"/>
    </row>
    <row r="4894" spans="3:12" x14ac:dyDescent="0.3">
      <c r="C4894" s="47"/>
      <c r="H4894" s="49"/>
      <c r="K4894" s="72"/>
      <c r="L4894" s="50"/>
    </row>
    <row r="4895" spans="3:12" x14ac:dyDescent="0.3">
      <c r="C4895" s="47"/>
      <c r="H4895" s="49"/>
      <c r="K4895" s="72"/>
      <c r="L4895" s="50"/>
    </row>
    <row r="4896" spans="3:12" x14ac:dyDescent="0.3">
      <c r="C4896" s="47"/>
      <c r="H4896" s="49"/>
      <c r="K4896" s="72"/>
      <c r="L4896" s="50"/>
    </row>
    <row r="4897" spans="3:12" x14ac:dyDescent="0.3">
      <c r="C4897" s="47"/>
      <c r="H4897" s="49"/>
      <c r="K4897" s="72"/>
      <c r="L4897" s="50"/>
    </row>
    <row r="4898" spans="3:12" x14ac:dyDescent="0.3">
      <c r="C4898" s="47"/>
      <c r="H4898" s="49"/>
      <c r="K4898" s="72"/>
      <c r="L4898" s="50"/>
    </row>
    <row r="4899" spans="3:12" x14ac:dyDescent="0.3">
      <c r="C4899" s="47"/>
      <c r="H4899" s="49"/>
      <c r="K4899" s="72"/>
      <c r="L4899" s="50"/>
    </row>
    <row r="4900" spans="3:12" x14ac:dyDescent="0.3">
      <c r="C4900" s="47"/>
      <c r="H4900" s="49"/>
      <c r="K4900" s="72"/>
      <c r="L4900" s="50"/>
    </row>
    <row r="4901" spans="3:12" x14ac:dyDescent="0.3">
      <c r="C4901" s="47"/>
      <c r="H4901" s="49"/>
      <c r="K4901" s="72"/>
      <c r="L4901" s="50"/>
    </row>
    <row r="4902" spans="3:12" x14ac:dyDescent="0.3">
      <c r="C4902" s="47"/>
      <c r="H4902" s="49"/>
      <c r="K4902" s="72"/>
      <c r="L4902" s="50"/>
    </row>
    <row r="4903" spans="3:12" x14ac:dyDescent="0.3">
      <c r="C4903" s="47"/>
      <c r="H4903" s="49"/>
      <c r="K4903" s="72"/>
      <c r="L4903" s="50"/>
    </row>
    <row r="4904" spans="3:12" x14ac:dyDescent="0.3">
      <c r="C4904" s="47"/>
      <c r="H4904" s="49"/>
      <c r="K4904" s="72"/>
      <c r="L4904" s="50"/>
    </row>
    <row r="4905" spans="3:12" x14ac:dyDescent="0.3">
      <c r="C4905" s="47"/>
      <c r="H4905" s="49"/>
      <c r="K4905" s="72"/>
      <c r="L4905" s="50"/>
    </row>
    <row r="4906" spans="3:12" x14ac:dyDescent="0.3">
      <c r="C4906" s="47"/>
      <c r="H4906" s="49"/>
      <c r="K4906" s="72"/>
      <c r="L4906" s="50"/>
    </row>
    <row r="4907" spans="3:12" x14ac:dyDescent="0.3">
      <c r="C4907" s="47"/>
      <c r="H4907" s="49"/>
      <c r="K4907" s="72"/>
      <c r="L4907" s="50"/>
    </row>
    <row r="4908" spans="3:12" x14ac:dyDescent="0.3">
      <c r="C4908" s="47"/>
      <c r="H4908" s="49"/>
      <c r="K4908" s="72"/>
      <c r="L4908" s="50"/>
    </row>
    <row r="4909" spans="3:12" x14ac:dyDescent="0.3">
      <c r="C4909" s="47"/>
      <c r="H4909" s="49"/>
      <c r="K4909" s="72"/>
      <c r="L4909" s="50"/>
    </row>
    <row r="4910" spans="3:12" x14ac:dyDescent="0.3">
      <c r="C4910" s="47"/>
      <c r="H4910" s="49"/>
      <c r="K4910" s="72"/>
      <c r="L4910" s="50"/>
    </row>
    <row r="4911" spans="3:12" x14ac:dyDescent="0.3">
      <c r="C4911" s="47"/>
      <c r="H4911" s="49"/>
      <c r="K4911" s="72"/>
      <c r="L4911" s="50"/>
    </row>
    <row r="4912" spans="3:12" x14ac:dyDescent="0.3">
      <c r="C4912" s="47"/>
      <c r="H4912" s="49"/>
      <c r="K4912" s="72"/>
      <c r="L4912" s="50"/>
    </row>
    <row r="4913" spans="3:12" x14ac:dyDescent="0.3">
      <c r="C4913" s="47"/>
      <c r="H4913" s="49"/>
      <c r="K4913" s="72"/>
      <c r="L4913" s="50"/>
    </row>
    <row r="4914" spans="3:12" x14ac:dyDescent="0.3">
      <c r="C4914" s="47"/>
      <c r="H4914" s="49"/>
      <c r="K4914" s="72"/>
      <c r="L4914" s="50"/>
    </row>
    <row r="4915" spans="3:12" x14ac:dyDescent="0.3">
      <c r="C4915" s="47"/>
      <c r="H4915" s="49"/>
      <c r="K4915" s="72"/>
      <c r="L4915" s="50"/>
    </row>
    <row r="4916" spans="3:12" x14ac:dyDescent="0.3">
      <c r="C4916" s="47"/>
      <c r="H4916" s="49"/>
      <c r="K4916" s="72"/>
      <c r="L4916" s="50"/>
    </row>
    <row r="4917" spans="3:12" x14ac:dyDescent="0.3">
      <c r="C4917" s="47"/>
      <c r="H4917" s="49"/>
      <c r="K4917" s="72"/>
      <c r="L4917" s="50"/>
    </row>
    <row r="4918" spans="3:12" x14ac:dyDescent="0.3">
      <c r="C4918" s="47"/>
      <c r="H4918" s="49"/>
      <c r="K4918" s="72"/>
      <c r="L4918" s="50"/>
    </row>
    <row r="4919" spans="3:12" x14ac:dyDescent="0.3">
      <c r="C4919" s="47"/>
      <c r="H4919" s="49"/>
      <c r="K4919" s="72"/>
      <c r="L4919" s="50"/>
    </row>
    <row r="4920" spans="3:12" x14ac:dyDescent="0.3">
      <c r="C4920" s="47"/>
      <c r="H4920" s="49"/>
      <c r="K4920" s="72"/>
      <c r="L4920" s="50"/>
    </row>
    <row r="4921" spans="3:12" x14ac:dyDescent="0.3">
      <c r="C4921" s="47"/>
      <c r="H4921" s="49"/>
      <c r="K4921" s="72"/>
      <c r="L4921" s="50"/>
    </row>
    <row r="4922" spans="3:12" x14ac:dyDescent="0.3">
      <c r="C4922" s="47"/>
      <c r="H4922" s="49"/>
      <c r="K4922" s="72"/>
      <c r="L4922" s="50"/>
    </row>
    <row r="4923" spans="3:12" x14ac:dyDescent="0.3">
      <c r="C4923" s="47"/>
      <c r="H4923" s="49"/>
      <c r="K4923" s="72"/>
      <c r="L4923" s="50"/>
    </row>
    <row r="4924" spans="3:12" x14ac:dyDescent="0.3">
      <c r="C4924" s="47"/>
      <c r="H4924" s="49"/>
      <c r="K4924" s="72"/>
      <c r="L4924" s="50"/>
    </row>
    <row r="4925" spans="3:12" x14ac:dyDescent="0.3">
      <c r="C4925" s="47"/>
      <c r="H4925" s="49"/>
      <c r="K4925" s="72"/>
      <c r="L4925" s="50"/>
    </row>
    <row r="4926" spans="3:12" x14ac:dyDescent="0.3">
      <c r="C4926" s="47"/>
      <c r="H4926" s="49"/>
      <c r="K4926" s="72"/>
      <c r="L4926" s="50"/>
    </row>
    <row r="4927" spans="3:12" x14ac:dyDescent="0.3">
      <c r="C4927" s="47"/>
      <c r="H4927" s="49"/>
      <c r="K4927" s="72"/>
      <c r="L4927" s="50"/>
    </row>
    <row r="4928" spans="3:12" x14ac:dyDescent="0.3">
      <c r="C4928" s="47"/>
      <c r="H4928" s="49"/>
      <c r="K4928" s="72"/>
      <c r="L4928" s="50"/>
    </row>
    <row r="4929" spans="3:12" x14ac:dyDescent="0.3">
      <c r="C4929" s="47"/>
      <c r="H4929" s="49"/>
      <c r="K4929" s="72"/>
      <c r="L4929" s="50"/>
    </row>
    <row r="4930" spans="3:12" x14ac:dyDescent="0.3">
      <c r="C4930" s="47"/>
      <c r="H4930" s="49"/>
      <c r="K4930" s="72"/>
      <c r="L4930" s="50"/>
    </row>
    <row r="4931" spans="3:12" x14ac:dyDescent="0.3">
      <c r="C4931" s="47"/>
      <c r="H4931" s="49"/>
      <c r="K4931" s="72"/>
      <c r="L4931" s="50"/>
    </row>
    <row r="4932" spans="3:12" x14ac:dyDescent="0.3">
      <c r="C4932" s="47"/>
      <c r="H4932" s="49"/>
      <c r="K4932" s="72"/>
      <c r="L4932" s="50"/>
    </row>
    <row r="4933" spans="3:12" x14ac:dyDescent="0.3">
      <c r="C4933" s="47"/>
      <c r="H4933" s="49"/>
      <c r="K4933" s="72"/>
      <c r="L4933" s="50"/>
    </row>
    <row r="4934" spans="3:12" x14ac:dyDescent="0.3">
      <c r="C4934" s="47"/>
      <c r="H4934" s="49"/>
      <c r="K4934" s="72"/>
      <c r="L4934" s="50"/>
    </row>
    <row r="4935" spans="3:12" x14ac:dyDescent="0.3">
      <c r="C4935" s="47"/>
      <c r="H4935" s="49"/>
      <c r="K4935" s="72"/>
      <c r="L4935" s="50"/>
    </row>
    <row r="4936" spans="3:12" x14ac:dyDescent="0.3">
      <c r="C4936" s="47"/>
      <c r="H4936" s="49"/>
      <c r="K4936" s="72"/>
      <c r="L4936" s="50"/>
    </row>
    <row r="4937" spans="3:12" x14ac:dyDescent="0.3">
      <c r="C4937" s="47"/>
      <c r="H4937" s="49"/>
      <c r="K4937" s="72"/>
      <c r="L4937" s="50"/>
    </row>
    <row r="4938" spans="3:12" x14ac:dyDescent="0.3">
      <c r="C4938" s="47"/>
      <c r="H4938" s="49"/>
      <c r="K4938" s="72"/>
      <c r="L4938" s="50"/>
    </row>
    <row r="4939" spans="3:12" x14ac:dyDescent="0.3">
      <c r="C4939" s="47"/>
      <c r="H4939" s="49"/>
      <c r="K4939" s="72"/>
      <c r="L4939" s="50"/>
    </row>
    <row r="4940" spans="3:12" x14ac:dyDescent="0.3">
      <c r="C4940" s="47"/>
      <c r="H4940" s="49"/>
      <c r="K4940" s="72"/>
      <c r="L4940" s="50"/>
    </row>
    <row r="4941" spans="3:12" x14ac:dyDescent="0.3">
      <c r="C4941" s="47"/>
      <c r="H4941" s="49"/>
      <c r="K4941" s="72"/>
      <c r="L4941" s="50"/>
    </row>
    <row r="4942" spans="3:12" x14ac:dyDescent="0.3">
      <c r="C4942" s="47"/>
      <c r="H4942" s="49"/>
      <c r="K4942" s="72"/>
      <c r="L4942" s="50"/>
    </row>
    <row r="4943" spans="3:12" x14ac:dyDescent="0.3">
      <c r="C4943" s="47"/>
      <c r="H4943" s="49"/>
      <c r="K4943" s="72"/>
      <c r="L4943" s="50"/>
    </row>
    <row r="4944" spans="3:12" x14ac:dyDescent="0.3">
      <c r="C4944" s="47"/>
      <c r="H4944" s="49"/>
      <c r="K4944" s="72"/>
      <c r="L4944" s="50"/>
    </row>
    <row r="4945" spans="3:12" x14ac:dyDescent="0.3">
      <c r="C4945" s="47"/>
      <c r="H4945" s="49"/>
      <c r="K4945" s="72"/>
      <c r="L4945" s="50"/>
    </row>
    <row r="4946" spans="3:12" x14ac:dyDescent="0.3">
      <c r="C4946" s="47"/>
      <c r="H4946" s="49"/>
      <c r="K4946" s="72"/>
      <c r="L4946" s="50"/>
    </row>
    <row r="4947" spans="3:12" x14ac:dyDescent="0.3">
      <c r="C4947" s="47"/>
      <c r="H4947" s="49"/>
      <c r="K4947" s="72"/>
      <c r="L4947" s="50"/>
    </row>
    <row r="4948" spans="3:12" x14ac:dyDescent="0.3">
      <c r="C4948" s="47"/>
      <c r="H4948" s="49"/>
      <c r="K4948" s="72"/>
      <c r="L4948" s="50"/>
    </row>
    <row r="4949" spans="3:12" x14ac:dyDescent="0.3">
      <c r="C4949" s="47"/>
      <c r="H4949" s="49"/>
      <c r="K4949" s="72"/>
      <c r="L4949" s="50"/>
    </row>
    <row r="4950" spans="3:12" x14ac:dyDescent="0.3">
      <c r="C4950" s="47"/>
      <c r="H4950" s="49"/>
      <c r="K4950" s="72"/>
      <c r="L4950" s="50"/>
    </row>
    <row r="4951" spans="3:12" x14ac:dyDescent="0.3">
      <c r="C4951" s="47"/>
      <c r="H4951" s="49"/>
      <c r="K4951" s="72"/>
      <c r="L4951" s="50"/>
    </row>
    <row r="4952" spans="3:12" x14ac:dyDescent="0.3">
      <c r="C4952" s="47"/>
      <c r="H4952" s="49"/>
      <c r="K4952" s="72"/>
      <c r="L4952" s="50"/>
    </row>
    <row r="4953" spans="3:12" x14ac:dyDescent="0.3">
      <c r="C4953" s="47"/>
      <c r="H4953" s="49"/>
      <c r="K4953" s="72"/>
      <c r="L4953" s="50"/>
    </row>
    <row r="4954" spans="3:12" x14ac:dyDescent="0.3">
      <c r="C4954" s="47"/>
      <c r="H4954" s="49"/>
      <c r="K4954" s="72"/>
      <c r="L4954" s="50"/>
    </row>
    <row r="4955" spans="3:12" x14ac:dyDescent="0.3">
      <c r="C4955" s="47"/>
      <c r="H4955" s="49"/>
      <c r="K4955" s="72"/>
      <c r="L4955" s="50"/>
    </row>
    <row r="4956" spans="3:12" x14ac:dyDescent="0.3">
      <c r="C4956" s="47"/>
      <c r="H4956" s="49"/>
      <c r="K4956" s="72"/>
      <c r="L4956" s="50"/>
    </row>
    <row r="4957" spans="3:12" x14ac:dyDescent="0.3">
      <c r="C4957" s="47"/>
      <c r="H4957" s="49"/>
      <c r="K4957" s="72"/>
      <c r="L4957" s="50"/>
    </row>
    <row r="4958" spans="3:12" x14ac:dyDescent="0.3">
      <c r="C4958" s="47"/>
      <c r="H4958" s="49"/>
      <c r="K4958" s="72"/>
      <c r="L4958" s="50"/>
    </row>
    <row r="4959" spans="3:12" x14ac:dyDescent="0.3">
      <c r="C4959" s="47"/>
      <c r="H4959" s="49"/>
      <c r="K4959" s="72"/>
      <c r="L4959" s="50"/>
    </row>
    <row r="4960" spans="3:12" x14ac:dyDescent="0.3">
      <c r="C4960" s="47"/>
      <c r="H4960" s="49"/>
      <c r="K4960" s="72"/>
      <c r="L4960" s="50"/>
    </row>
    <row r="4961" spans="3:12" x14ac:dyDescent="0.3">
      <c r="C4961" s="47"/>
      <c r="H4961" s="49"/>
      <c r="K4961" s="72"/>
      <c r="L4961" s="50"/>
    </row>
    <row r="4962" spans="3:12" x14ac:dyDescent="0.3">
      <c r="C4962" s="47"/>
      <c r="H4962" s="49"/>
      <c r="K4962" s="72"/>
      <c r="L4962" s="50"/>
    </row>
    <row r="4963" spans="3:12" x14ac:dyDescent="0.3">
      <c r="C4963" s="47"/>
      <c r="H4963" s="49"/>
      <c r="K4963" s="72"/>
      <c r="L4963" s="50"/>
    </row>
    <row r="4964" spans="3:12" x14ac:dyDescent="0.3">
      <c r="C4964" s="47"/>
      <c r="H4964" s="49"/>
      <c r="K4964" s="72"/>
      <c r="L4964" s="50"/>
    </row>
    <row r="4965" spans="3:12" x14ac:dyDescent="0.3">
      <c r="C4965" s="47"/>
      <c r="H4965" s="49"/>
      <c r="K4965" s="72"/>
      <c r="L4965" s="50"/>
    </row>
    <row r="4966" spans="3:12" x14ac:dyDescent="0.3">
      <c r="C4966" s="47"/>
      <c r="H4966" s="49"/>
      <c r="K4966" s="72"/>
      <c r="L4966" s="50"/>
    </row>
    <row r="4967" spans="3:12" x14ac:dyDescent="0.3">
      <c r="C4967" s="47"/>
      <c r="H4967" s="49"/>
      <c r="K4967" s="72"/>
      <c r="L4967" s="50"/>
    </row>
    <row r="4968" spans="3:12" x14ac:dyDescent="0.3">
      <c r="C4968" s="47"/>
      <c r="H4968" s="49"/>
      <c r="K4968" s="72"/>
      <c r="L4968" s="50"/>
    </row>
    <row r="4969" spans="3:12" x14ac:dyDescent="0.3">
      <c r="C4969" s="47"/>
      <c r="H4969" s="49"/>
      <c r="K4969" s="72"/>
      <c r="L4969" s="50"/>
    </row>
    <row r="4970" spans="3:12" x14ac:dyDescent="0.3">
      <c r="C4970" s="47"/>
      <c r="H4970" s="49"/>
      <c r="K4970" s="72"/>
      <c r="L4970" s="50"/>
    </row>
    <row r="4971" spans="3:12" x14ac:dyDescent="0.3">
      <c r="C4971" s="47"/>
      <c r="H4971" s="49"/>
      <c r="K4971" s="72"/>
      <c r="L4971" s="50"/>
    </row>
    <row r="4972" spans="3:12" x14ac:dyDescent="0.3">
      <c r="C4972" s="47"/>
      <c r="H4972" s="49"/>
      <c r="K4972" s="72"/>
      <c r="L4972" s="50"/>
    </row>
    <row r="4973" spans="3:12" x14ac:dyDescent="0.3">
      <c r="C4973" s="47"/>
      <c r="H4973" s="49"/>
      <c r="K4973" s="72"/>
      <c r="L4973" s="50"/>
    </row>
    <row r="4974" spans="3:12" x14ac:dyDescent="0.3">
      <c r="C4974" s="47"/>
      <c r="H4974" s="49"/>
      <c r="K4974" s="72"/>
      <c r="L4974" s="50"/>
    </row>
    <row r="4975" spans="3:12" x14ac:dyDescent="0.3">
      <c r="C4975" s="47"/>
      <c r="H4975" s="49"/>
      <c r="K4975" s="72"/>
      <c r="L4975" s="50"/>
    </row>
    <row r="4976" spans="3:12" x14ac:dyDescent="0.3">
      <c r="C4976" s="47"/>
      <c r="H4976" s="49"/>
      <c r="K4976" s="72"/>
      <c r="L4976" s="50"/>
    </row>
    <row r="4977" spans="3:12" x14ac:dyDescent="0.3">
      <c r="C4977" s="47"/>
      <c r="H4977" s="49"/>
      <c r="K4977" s="72"/>
      <c r="L4977" s="50"/>
    </row>
    <row r="4978" spans="3:12" x14ac:dyDescent="0.3">
      <c r="C4978" s="47"/>
      <c r="H4978" s="49"/>
      <c r="K4978" s="72"/>
      <c r="L4978" s="50"/>
    </row>
    <row r="4979" spans="3:12" x14ac:dyDescent="0.3">
      <c r="C4979" s="47"/>
      <c r="H4979" s="49"/>
      <c r="K4979" s="72"/>
      <c r="L4979" s="50"/>
    </row>
    <row r="4980" spans="3:12" x14ac:dyDescent="0.3">
      <c r="C4980" s="47"/>
      <c r="H4980" s="49"/>
      <c r="K4980" s="72"/>
      <c r="L4980" s="50"/>
    </row>
    <row r="4981" spans="3:12" x14ac:dyDescent="0.3">
      <c r="C4981" s="47"/>
      <c r="H4981" s="49"/>
      <c r="K4981" s="72"/>
      <c r="L4981" s="50"/>
    </row>
    <row r="4982" spans="3:12" x14ac:dyDescent="0.3">
      <c r="C4982" s="47"/>
      <c r="H4982" s="49"/>
      <c r="K4982" s="72"/>
      <c r="L4982" s="50"/>
    </row>
    <row r="4983" spans="3:12" x14ac:dyDescent="0.3">
      <c r="C4983" s="47"/>
      <c r="H4983" s="49"/>
      <c r="K4983" s="72"/>
      <c r="L4983" s="50"/>
    </row>
    <row r="4984" spans="3:12" x14ac:dyDescent="0.3">
      <c r="C4984" s="47"/>
      <c r="H4984" s="49"/>
      <c r="K4984" s="72"/>
      <c r="L4984" s="50"/>
    </row>
    <row r="4985" spans="3:12" x14ac:dyDescent="0.3">
      <c r="C4985" s="47"/>
      <c r="H4985" s="49"/>
      <c r="K4985" s="72"/>
      <c r="L4985" s="50"/>
    </row>
    <row r="4986" spans="3:12" x14ac:dyDescent="0.3">
      <c r="C4986" s="47"/>
      <c r="H4986" s="49"/>
      <c r="K4986" s="72"/>
      <c r="L4986" s="50"/>
    </row>
    <row r="4987" spans="3:12" x14ac:dyDescent="0.3">
      <c r="C4987" s="47"/>
      <c r="H4987" s="49"/>
      <c r="K4987" s="72"/>
      <c r="L4987" s="50"/>
    </row>
    <row r="4988" spans="3:12" x14ac:dyDescent="0.3">
      <c r="C4988" s="47"/>
      <c r="H4988" s="49"/>
      <c r="K4988" s="72"/>
      <c r="L4988" s="50"/>
    </row>
    <row r="4989" spans="3:12" x14ac:dyDescent="0.3">
      <c r="C4989" s="47"/>
      <c r="H4989" s="49"/>
      <c r="K4989" s="72"/>
      <c r="L4989" s="50"/>
    </row>
    <row r="4990" spans="3:12" x14ac:dyDescent="0.3">
      <c r="C4990" s="47"/>
      <c r="H4990" s="49"/>
      <c r="K4990" s="72"/>
      <c r="L4990" s="50"/>
    </row>
    <row r="4991" spans="3:12" x14ac:dyDescent="0.3">
      <c r="C4991" s="47"/>
      <c r="H4991" s="49"/>
      <c r="K4991" s="72"/>
      <c r="L4991" s="50"/>
    </row>
    <row r="4992" spans="3:12" x14ac:dyDescent="0.3">
      <c r="C4992" s="47"/>
      <c r="H4992" s="49"/>
      <c r="K4992" s="72"/>
      <c r="L4992" s="50"/>
    </row>
    <row r="4993" spans="3:12" x14ac:dyDescent="0.3">
      <c r="C4993" s="47"/>
      <c r="H4993" s="49"/>
      <c r="K4993" s="72"/>
      <c r="L4993" s="50"/>
    </row>
    <row r="4994" spans="3:12" x14ac:dyDescent="0.3">
      <c r="C4994" s="47"/>
      <c r="H4994" s="49"/>
      <c r="K4994" s="72"/>
      <c r="L4994" s="50"/>
    </row>
    <row r="4995" spans="3:12" x14ac:dyDescent="0.3">
      <c r="C4995" s="47"/>
      <c r="H4995" s="49"/>
      <c r="K4995" s="72"/>
      <c r="L4995" s="50"/>
    </row>
    <row r="4996" spans="3:12" x14ac:dyDescent="0.3">
      <c r="C4996" s="47"/>
      <c r="H4996" s="49"/>
      <c r="K4996" s="72"/>
      <c r="L4996" s="50"/>
    </row>
    <row r="4997" spans="3:12" x14ac:dyDescent="0.3">
      <c r="C4997" s="47"/>
      <c r="H4997" s="49"/>
      <c r="K4997" s="72"/>
      <c r="L4997" s="50"/>
    </row>
    <row r="4998" spans="3:12" x14ac:dyDescent="0.3">
      <c r="C4998" s="47"/>
      <c r="H4998" s="49"/>
      <c r="K4998" s="72"/>
      <c r="L4998" s="50"/>
    </row>
    <row r="4999" spans="3:12" x14ac:dyDescent="0.3">
      <c r="C4999" s="47"/>
      <c r="H4999" s="49"/>
      <c r="K4999" s="72"/>
      <c r="L4999" s="50"/>
    </row>
    <row r="5000" spans="3:12" x14ac:dyDescent="0.3">
      <c r="C5000" s="47"/>
      <c r="H5000" s="49"/>
      <c r="K5000" s="72"/>
      <c r="L5000" s="50"/>
    </row>
    <row r="5001" spans="3:12" x14ac:dyDescent="0.3">
      <c r="C5001" s="47"/>
      <c r="H5001" s="49"/>
      <c r="K5001" s="72"/>
      <c r="L5001" s="50"/>
    </row>
    <row r="5002" spans="3:12" x14ac:dyDescent="0.3">
      <c r="C5002" s="47"/>
      <c r="H5002" s="49"/>
      <c r="K5002" s="72"/>
      <c r="L5002" s="50"/>
    </row>
    <row r="5003" spans="3:12" x14ac:dyDescent="0.3">
      <c r="C5003" s="47"/>
      <c r="H5003" s="49"/>
      <c r="K5003" s="72"/>
      <c r="L5003" s="50"/>
    </row>
    <row r="5004" spans="3:12" x14ac:dyDescent="0.3">
      <c r="C5004" s="47"/>
      <c r="H5004" s="49"/>
      <c r="K5004" s="72"/>
      <c r="L5004" s="50"/>
    </row>
    <row r="5005" spans="3:12" x14ac:dyDescent="0.3">
      <c r="C5005" s="47"/>
      <c r="H5005" s="49"/>
      <c r="K5005" s="72"/>
      <c r="L5005" s="50"/>
    </row>
    <row r="5006" spans="3:12" x14ac:dyDescent="0.3">
      <c r="C5006" s="47"/>
      <c r="H5006" s="49"/>
      <c r="K5006" s="72"/>
      <c r="L5006" s="50"/>
    </row>
    <row r="5007" spans="3:12" x14ac:dyDescent="0.3">
      <c r="C5007" s="47"/>
      <c r="H5007" s="49"/>
      <c r="K5007" s="72"/>
      <c r="L5007" s="50"/>
    </row>
    <row r="5008" spans="3:12" x14ac:dyDescent="0.3">
      <c r="C5008" s="47"/>
      <c r="H5008" s="49"/>
      <c r="K5008" s="72"/>
      <c r="L5008" s="50"/>
    </row>
    <row r="5009" spans="3:12" x14ac:dyDescent="0.3">
      <c r="C5009" s="47"/>
      <c r="H5009" s="49"/>
      <c r="K5009" s="72"/>
      <c r="L5009" s="50"/>
    </row>
    <row r="5010" spans="3:12" x14ac:dyDescent="0.3">
      <c r="C5010" s="47"/>
      <c r="H5010" s="49"/>
      <c r="K5010" s="72"/>
      <c r="L5010" s="50"/>
    </row>
    <row r="5011" spans="3:12" x14ac:dyDescent="0.3">
      <c r="C5011" s="47"/>
      <c r="H5011" s="49"/>
      <c r="K5011" s="72"/>
      <c r="L5011" s="50"/>
    </row>
    <row r="5012" spans="3:12" x14ac:dyDescent="0.3">
      <c r="C5012" s="47"/>
      <c r="H5012" s="49"/>
      <c r="K5012" s="72"/>
      <c r="L5012" s="50"/>
    </row>
    <row r="5013" spans="3:12" x14ac:dyDescent="0.3">
      <c r="C5013" s="47"/>
      <c r="H5013" s="49"/>
      <c r="K5013" s="72"/>
      <c r="L5013" s="50"/>
    </row>
    <row r="5014" spans="3:12" x14ac:dyDescent="0.3">
      <c r="C5014" s="47"/>
      <c r="H5014" s="49"/>
      <c r="K5014" s="72"/>
      <c r="L5014" s="50"/>
    </row>
    <row r="5015" spans="3:12" x14ac:dyDescent="0.3">
      <c r="C5015" s="47"/>
      <c r="H5015" s="49"/>
      <c r="K5015" s="72"/>
      <c r="L5015" s="50"/>
    </row>
    <row r="5016" spans="3:12" x14ac:dyDescent="0.3">
      <c r="C5016" s="47"/>
      <c r="H5016" s="49"/>
      <c r="K5016" s="72"/>
      <c r="L5016" s="50"/>
    </row>
    <row r="5017" spans="3:12" x14ac:dyDescent="0.3">
      <c r="C5017" s="47"/>
      <c r="H5017" s="49"/>
      <c r="K5017" s="72"/>
      <c r="L5017" s="50"/>
    </row>
    <row r="5018" spans="3:12" x14ac:dyDescent="0.3">
      <c r="C5018" s="47"/>
      <c r="H5018" s="49"/>
      <c r="K5018" s="72"/>
      <c r="L5018" s="50"/>
    </row>
    <row r="5019" spans="3:12" x14ac:dyDescent="0.3">
      <c r="C5019" s="47"/>
      <c r="H5019" s="49"/>
      <c r="K5019" s="72"/>
      <c r="L5019" s="50"/>
    </row>
    <row r="5020" spans="3:12" x14ac:dyDescent="0.3">
      <c r="C5020" s="47"/>
      <c r="H5020" s="49"/>
      <c r="K5020" s="72"/>
      <c r="L5020" s="50"/>
    </row>
    <row r="5021" spans="3:12" x14ac:dyDescent="0.3">
      <c r="C5021" s="47"/>
      <c r="H5021" s="49"/>
      <c r="K5021" s="72"/>
      <c r="L5021" s="50"/>
    </row>
    <row r="5022" spans="3:12" x14ac:dyDescent="0.3">
      <c r="C5022" s="47"/>
      <c r="H5022" s="49"/>
      <c r="K5022" s="72"/>
      <c r="L5022" s="50"/>
    </row>
    <row r="5023" spans="3:12" x14ac:dyDescent="0.3">
      <c r="C5023" s="47"/>
      <c r="H5023" s="49"/>
      <c r="K5023" s="72"/>
      <c r="L5023" s="50"/>
    </row>
    <row r="5024" spans="3:12" x14ac:dyDescent="0.3">
      <c r="C5024" s="47"/>
      <c r="H5024" s="49"/>
      <c r="K5024" s="72"/>
      <c r="L5024" s="50"/>
    </row>
    <row r="5025" spans="3:12" x14ac:dyDescent="0.3">
      <c r="C5025" s="47"/>
      <c r="H5025" s="49"/>
      <c r="K5025" s="72"/>
      <c r="L5025" s="50"/>
    </row>
    <row r="5026" spans="3:12" x14ac:dyDescent="0.3">
      <c r="C5026" s="47"/>
      <c r="H5026" s="49"/>
      <c r="K5026" s="72"/>
      <c r="L5026" s="50"/>
    </row>
    <row r="5027" spans="3:12" x14ac:dyDescent="0.3">
      <c r="C5027" s="47"/>
      <c r="H5027" s="49"/>
      <c r="K5027" s="72"/>
      <c r="L5027" s="50"/>
    </row>
    <row r="5028" spans="3:12" x14ac:dyDescent="0.3">
      <c r="C5028" s="47"/>
      <c r="H5028" s="49"/>
      <c r="K5028" s="72"/>
      <c r="L5028" s="50"/>
    </row>
    <row r="5029" spans="3:12" x14ac:dyDescent="0.3">
      <c r="C5029" s="47"/>
      <c r="H5029" s="49"/>
      <c r="K5029" s="72"/>
      <c r="L5029" s="50"/>
    </row>
    <row r="5030" spans="3:12" x14ac:dyDescent="0.3">
      <c r="C5030" s="47"/>
      <c r="H5030" s="49"/>
      <c r="K5030" s="72"/>
      <c r="L5030" s="50"/>
    </row>
    <row r="5031" spans="3:12" x14ac:dyDescent="0.3">
      <c r="C5031" s="47"/>
      <c r="H5031" s="49"/>
      <c r="K5031" s="72"/>
      <c r="L5031" s="50"/>
    </row>
    <row r="5032" spans="3:12" x14ac:dyDescent="0.3">
      <c r="C5032" s="47"/>
      <c r="H5032" s="49"/>
      <c r="K5032" s="72"/>
      <c r="L5032" s="50"/>
    </row>
    <row r="5033" spans="3:12" x14ac:dyDescent="0.3">
      <c r="C5033" s="47"/>
      <c r="H5033" s="49"/>
      <c r="K5033" s="72"/>
      <c r="L5033" s="50"/>
    </row>
    <row r="5034" spans="3:12" x14ac:dyDescent="0.3">
      <c r="C5034" s="47"/>
      <c r="H5034" s="49"/>
      <c r="K5034" s="72"/>
      <c r="L5034" s="50"/>
    </row>
    <row r="5035" spans="3:12" x14ac:dyDescent="0.3">
      <c r="C5035" s="47"/>
      <c r="H5035" s="49"/>
      <c r="K5035" s="72"/>
      <c r="L5035" s="50"/>
    </row>
    <row r="5036" spans="3:12" x14ac:dyDescent="0.3">
      <c r="C5036" s="47"/>
      <c r="H5036" s="49"/>
      <c r="K5036" s="72"/>
      <c r="L5036" s="50"/>
    </row>
    <row r="5037" spans="3:12" x14ac:dyDescent="0.3">
      <c r="C5037" s="47"/>
      <c r="H5037" s="49"/>
      <c r="K5037" s="72"/>
      <c r="L5037" s="50"/>
    </row>
    <row r="5038" spans="3:12" x14ac:dyDescent="0.3">
      <c r="C5038" s="47"/>
      <c r="H5038" s="49"/>
      <c r="K5038" s="72"/>
      <c r="L5038" s="50"/>
    </row>
    <row r="5039" spans="3:12" x14ac:dyDescent="0.3">
      <c r="C5039" s="47"/>
      <c r="H5039" s="49"/>
      <c r="K5039" s="72"/>
      <c r="L5039" s="50"/>
    </row>
    <row r="5040" spans="3:12" x14ac:dyDescent="0.3">
      <c r="C5040" s="47"/>
      <c r="H5040" s="49"/>
      <c r="K5040" s="72"/>
      <c r="L5040" s="50"/>
    </row>
    <row r="5041" spans="3:12" x14ac:dyDescent="0.3">
      <c r="C5041" s="47"/>
      <c r="H5041" s="49"/>
      <c r="K5041" s="72"/>
      <c r="L5041" s="50"/>
    </row>
    <row r="5042" spans="3:12" x14ac:dyDescent="0.3">
      <c r="C5042" s="47"/>
      <c r="H5042" s="49"/>
      <c r="K5042" s="72"/>
      <c r="L5042" s="50"/>
    </row>
    <row r="5043" spans="3:12" x14ac:dyDescent="0.3">
      <c r="C5043" s="47"/>
      <c r="H5043" s="49"/>
      <c r="K5043" s="72"/>
      <c r="L5043" s="50"/>
    </row>
    <row r="5044" spans="3:12" x14ac:dyDescent="0.3">
      <c r="C5044" s="47"/>
      <c r="H5044" s="49"/>
      <c r="K5044" s="72"/>
      <c r="L5044" s="50"/>
    </row>
    <row r="5045" spans="3:12" x14ac:dyDescent="0.3">
      <c r="C5045" s="47"/>
      <c r="H5045" s="49"/>
      <c r="K5045" s="72"/>
      <c r="L5045" s="50"/>
    </row>
    <row r="5046" spans="3:12" x14ac:dyDescent="0.3">
      <c r="C5046" s="47"/>
      <c r="H5046" s="49"/>
      <c r="K5046" s="72"/>
      <c r="L5046" s="50"/>
    </row>
    <row r="5047" spans="3:12" x14ac:dyDescent="0.3">
      <c r="C5047" s="47"/>
      <c r="H5047" s="49"/>
      <c r="K5047" s="72"/>
      <c r="L5047" s="50"/>
    </row>
    <row r="5048" spans="3:12" x14ac:dyDescent="0.3">
      <c r="C5048" s="47"/>
      <c r="H5048" s="49"/>
      <c r="K5048" s="72"/>
      <c r="L5048" s="50"/>
    </row>
    <row r="5049" spans="3:12" x14ac:dyDescent="0.3">
      <c r="C5049" s="47"/>
      <c r="H5049" s="49"/>
      <c r="K5049" s="72"/>
      <c r="L5049" s="50"/>
    </row>
    <row r="5050" spans="3:12" x14ac:dyDescent="0.3">
      <c r="C5050" s="47"/>
      <c r="H5050" s="49"/>
      <c r="K5050" s="72"/>
      <c r="L5050" s="50"/>
    </row>
    <row r="5051" spans="3:12" x14ac:dyDescent="0.3">
      <c r="C5051" s="47"/>
      <c r="H5051" s="49"/>
      <c r="K5051" s="72"/>
      <c r="L5051" s="50"/>
    </row>
    <row r="5052" spans="3:12" x14ac:dyDescent="0.3">
      <c r="C5052" s="47"/>
      <c r="H5052" s="49"/>
      <c r="K5052" s="72"/>
      <c r="L5052" s="50"/>
    </row>
    <row r="5053" spans="3:12" x14ac:dyDescent="0.3">
      <c r="C5053" s="47"/>
      <c r="H5053" s="49"/>
      <c r="K5053" s="72"/>
      <c r="L5053" s="50"/>
    </row>
    <row r="5054" spans="3:12" x14ac:dyDescent="0.3">
      <c r="C5054" s="47"/>
      <c r="H5054" s="49"/>
      <c r="K5054" s="72"/>
      <c r="L5054" s="50"/>
    </row>
    <row r="5055" spans="3:12" x14ac:dyDescent="0.3">
      <c r="C5055" s="47"/>
      <c r="H5055" s="49"/>
      <c r="K5055" s="72"/>
      <c r="L5055" s="50"/>
    </row>
    <row r="5056" spans="3:12" x14ac:dyDescent="0.3">
      <c r="C5056" s="47"/>
      <c r="H5056" s="49"/>
      <c r="K5056" s="72"/>
      <c r="L5056" s="50"/>
    </row>
    <row r="5057" spans="3:12" x14ac:dyDescent="0.3">
      <c r="C5057" s="47"/>
      <c r="H5057" s="49"/>
      <c r="K5057" s="72"/>
      <c r="L5057" s="50"/>
    </row>
    <row r="5058" spans="3:12" x14ac:dyDescent="0.3">
      <c r="C5058" s="47"/>
      <c r="H5058" s="49"/>
      <c r="K5058" s="72"/>
      <c r="L5058" s="50"/>
    </row>
    <row r="5059" spans="3:12" x14ac:dyDescent="0.3">
      <c r="C5059" s="47"/>
      <c r="H5059" s="49"/>
      <c r="K5059" s="72"/>
      <c r="L5059" s="50"/>
    </row>
    <row r="5060" spans="3:12" x14ac:dyDescent="0.3">
      <c r="C5060" s="47"/>
      <c r="H5060" s="49"/>
      <c r="K5060" s="72"/>
      <c r="L5060" s="50"/>
    </row>
    <row r="5061" spans="3:12" x14ac:dyDescent="0.3">
      <c r="C5061" s="47"/>
      <c r="H5061" s="49"/>
      <c r="K5061" s="72"/>
      <c r="L5061" s="50"/>
    </row>
    <row r="5062" spans="3:12" x14ac:dyDescent="0.3">
      <c r="C5062" s="47"/>
      <c r="H5062" s="49"/>
      <c r="K5062" s="72"/>
      <c r="L5062" s="50"/>
    </row>
    <row r="5063" spans="3:12" x14ac:dyDescent="0.3">
      <c r="C5063" s="47"/>
      <c r="H5063" s="49"/>
      <c r="K5063" s="72"/>
      <c r="L5063" s="50"/>
    </row>
    <row r="5064" spans="3:12" x14ac:dyDescent="0.3">
      <c r="C5064" s="47"/>
      <c r="H5064" s="49"/>
      <c r="K5064" s="72"/>
      <c r="L5064" s="50"/>
    </row>
    <row r="5065" spans="3:12" x14ac:dyDescent="0.3">
      <c r="C5065" s="47"/>
      <c r="H5065" s="49"/>
      <c r="K5065" s="72"/>
      <c r="L5065" s="50"/>
    </row>
    <row r="5066" spans="3:12" x14ac:dyDescent="0.3">
      <c r="C5066" s="47"/>
      <c r="H5066" s="49"/>
      <c r="K5066" s="72"/>
      <c r="L5066" s="50"/>
    </row>
    <row r="5067" spans="3:12" x14ac:dyDescent="0.3">
      <c r="C5067" s="47"/>
      <c r="H5067" s="49"/>
      <c r="K5067" s="72"/>
      <c r="L5067" s="50"/>
    </row>
    <row r="5068" spans="3:12" x14ac:dyDescent="0.3">
      <c r="C5068" s="47"/>
      <c r="H5068" s="49"/>
      <c r="K5068" s="72"/>
      <c r="L5068" s="50"/>
    </row>
    <row r="5069" spans="3:12" x14ac:dyDescent="0.3">
      <c r="C5069" s="47"/>
      <c r="H5069" s="49"/>
      <c r="K5069" s="72"/>
      <c r="L5069" s="50"/>
    </row>
    <row r="5070" spans="3:12" x14ac:dyDescent="0.3">
      <c r="C5070" s="47"/>
      <c r="H5070" s="49"/>
      <c r="K5070" s="72"/>
      <c r="L5070" s="50"/>
    </row>
    <row r="5071" spans="3:12" x14ac:dyDescent="0.3">
      <c r="C5071" s="47"/>
      <c r="H5071" s="49"/>
      <c r="K5071" s="72"/>
      <c r="L5071" s="50"/>
    </row>
    <row r="5072" spans="3:12" x14ac:dyDescent="0.3">
      <c r="C5072" s="47"/>
      <c r="H5072" s="49"/>
      <c r="K5072" s="72"/>
      <c r="L5072" s="50"/>
    </row>
    <row r="5073" spans="3:12" x14ac:dyDescent="0.3">
      <c r="C5073" s="47"/>
      <c r="H5073" s="49"/>
      <c r="K5073" s="72"/>
      <c r="L5073" s="50"/>
    </row>
    <row r="5074" spans="3:12" x14ac:dyDescent="0.3">
      <c r="C5074" s="47"/>
      <c r="H5074" s="49"/>
      <c r="K5074" s="72"/>
      <c r="L5074" s="50"/>
    </row>
    <row r="5075" spans="3:12" x14ac:dyDescent="0.3">
      <c r="C5075" s="47"/>
      <c r="H5075" s="49"/>
      <c r="K5075" s="72"/>
      <c r="L5075" s="50"/>
    </row>
    <row r="5076" spans="3:12" x14ac:dyDescent="0.3">
      <c r="C5076" s="47"/>
      <c r="H5076" s="49"/>
      <c r="K5076" s="72"/>
      <c r="L5076" s="50"/>
    </row>
    <row r="5077" spans="3:12" x14ac:dyDescent="0.3">
      <c r="C5077" s="47"/>
      <c r="H5077" s="49"/>
      <c r="K5077" s="72"/>
      <c r="L5077" s="50"/>
    </row>
    <row r="5078" spans="3:12" x14ac:dyDescent="0.3">
      <c r="C5078" s="47"/>
      <c r="H5078" s="49"/>
      <c r="K5078" s="72"/>
      <c r="L5078" s="50"/>
    </row>
    <row r="5079" spans="3:12" x14ac:dyDescent="0.3">
      <c r="C5079" s="47"/>
      <c r="H5079" s="49"/>
      <c r="K5079" s="72"/>
      <c r="L5079" s="50"/>
    </row>
    <row r="5080" spans="3:12" x14ac:dyDescent="0.3">
      <c r="C5080" s="47"/>
      <c r="H5080" s="49"/>
      <c r="K5080" s="72"/>
      <c r="L5080" s="50"/>
    </row>
    <row r="5081" spans="3:12" x14ac:dyDescent="0.3">
      <c r="C5081" s="47"/>
      <c r="H5081" s="49"/>
      <c r="K5081" s="72"/>
      <c r="L5081" s="50"/>
    </row>
    <row r="5082" spans="3:12" x14ac:dyDescent="0.3">
      <c r="C5082" s="47"/>
      <c r="H5082" s="49"/>
      <c r="K5082" s="72"/>
      <c r="L5082" s="50"/>
    </row>
    <row r="5083" spans="3:12" x14ac:dyDescent="0.3">
      <c r="C5083" s="47"/>
      <c r="H5083" s="49"/>
      <c r="K5083" s="72"/>
      <c r="L5083" s="50"/>
    </row>
    <row r="5084" spans="3:12" x14ac:dyDescent="0.3">
      <c r="C5084" s="47"/>
      <c r="H5084" s="49"/>
      <c r="K5084" s="72"/>
      <c r="L5084" s="50"/>
    </row>
    <row r="5085" spans="3:12" x14ac:dyDescent="0.3">
      <c r="C5085" s="47"/>
      <c r="H5085" s="49"/>
      <c r="K5085" s="72"/>
      <c r="L5085" s="50"/>
    </row>
    <row r="5086" spans="3:12" x14ac:dyDescent="0.3">
      <c r="C5086" s="47"/>
      <c r="H5086" s="49"/>
      <c r="K5086" s="72"/>
      <c r="L5086" s="50"/>
    </row>
    <row r="5087" spans="3:12" x14ac:dyDescent="0.3">
      <c r="C5087" s="47"/>
      <c r="H5087" s="49"/>
      <c r="K5087" s="72"/>
      <c r="L5087" s="50"/>
    </row>
    <row r="5088" spans="3:12" x14ac:dyDescent="0.3">
      <c r="C5088" s="47"/>
      <c r="H5088" s="49"/>
      <c r="K5088" s="72"/>
      <c r="L5088" s="50"/>
    </row>
    <row r="5089" spans="3:12" x14ac:dyDescent="0.3">
      <c r="C5089" s="47"/>
      <c r="H5089" s="49"/>
      <c r="K5089" s="72"/>
      <c r="L5089" s="50"/>
    </row>
    <row r="5090" spans="3:12" x14ac:dyDescent="0.3">
      <c r="C5090" s="47"/>
      <c r="H5090" s="49"/>
      <c r="K5090" s="72"/>
      <c r="L5090" s="50"/>
    </row>
    <row r="5091" spans="3:12" x14ac:dyDescent="0.3">
      <c r="C5091" s="47"/>
      <c r="H5091" s="49"/>
      <c r="K5091" s="72"/>
      <c r="L5091" s="50"/>
    </row>
    <row r="5092" spans="3:12" x14ac:dyDescent="0.3">
      <c r="C5092" s="47"/>
      <c r="H5092" s="49"/>
      <c r="K5092" s="72"/>
      <c r="L5092" s="50"/>
    </row>
    <row r="5093" spans="3:12" x14ac:dyDescent="0.3">
      <c r="C5093" s="47"/>
      <c r="H5093" s="49"/>
      <c r="K5093" s="72"/>
      <c r="L5093" s="50"/>
    </row>
    <row r="5094" spans="3:12" x14ac:dyDescent="0.3">
      <c r="C5094" s="47"/>
      <c r="H5094" s="49"/>
      <c r="K5094" s="72"/>
      <c r="L5094" s="50"/>
    </row>
    <row r="5095" spans="3:12" x14ac:dyDescent="0.3">
      <c r="C5095" s="47"/>
      <c r="H5095" s="49"/>
      <c r="K5095" s="72"/>
      <c r="L5095" s="50"/>
    </row>
    <row r="5096" spans="3:12" x14ac:dyDescent="0.3">
      <c r="C5096" s="47"/>
      <c r="H5096" s="49"/>
      <c r="K5096" s="72"/>
      <c r="L5096" s="50"/>
    </row>
    <row r="5097" spans="3:12" x14ac:dyDescent="0.3">
      <c r="C5097" s="47"/>
      <c r="H5097" s="49"/>
      <c r="K5097" s="72"/>
      <c r="L5097" s="50"/>
    </row>
    <row r="5098" spans="3:12" x14ac:dyDescent="0.3">
      <c r="C5098" s="47"/>
      <c r="H5098" s="49"/>
      <c r="K5098" s="72"/>
      <c r="L5098" s="50"/>
    </row>
    <row r="5099" spans="3:12" x14ac:dyDescent="0.3">
      <c r="C5099" s="47"/>
      <c r="H5099" s="49"/>
      <c r="K5099" s="72"/>
      <c r="L5099" s="50"/>
    </row>
    <row r="5100" spans="3:12" x14ac:dyDescent="0.3">
      <c r="C5100" s="47"/>
      <c r="H5100" s="49"/>
      <c r="K5100" s="72"/>
      <c r="L5100" s="50"/>
    </row>
    <row r="5101" spans="3:12" x14ac:dyDescent="0.3">
      <c r="C5101" s="47"/>
      <c r="H5101" s="49"/>
      <c r="K5101" s="72"/>
      <c r="L5101" s="50"/>
    </row>
    <row r="5102" spans="3:12" x14ac:dyDescent="0.3">
      <c r="C5102" s="47"/>
      <c r="H5102" s="49"/>
      <c r="K5102" s="72"/>
      <c r="L5102" s="50"/>
    </row>
    <row r="5103" spans="3:12" x14ac:dyDescent="0.3">
      <c r="C5103" s="47"/>
      <c r="H5103" s="49"/>
      <c r="K5103" s="72"/>
      <c r="L5103" s="50"/>
    </row>
    <row r="5104" spans="3:12" x14ac:dyDescent="0.3">
      <c r="C5104" s="47"/>
      <c r="H5104" s="49"/>
      <c r="K5104" s="72"/>
      <c r="L5104" s="50"/>
    </row>
    <row r="5105" spans="3:12" x14ac:dyDescent="0.3">
      <c r="C5105" s="47"/>
      <c r="H5105" s="49"/>
      <c r="K5105" s="72"/>
      <c r="L5105" s="50"/>
    </row>
    <row r="5106" spans="3:12" x14ac:dyDescent="0.3">
      <c r="C5106" s="47"/>
      <c r="H5106" s="49"/>
      <c r="K5106" s="72"/>
      <c r="L5106" s="50"/>
    </row>
    <row r="5107" spans="3:12" x14ac:dyDescent="0.3">
      <c r="C5107" s="47"/>
      <c r="H5107" s="49"/>
      <c r="K5107" s="72"/>
      <c r="L5107" s="50"/>
    </row>
    <row r="5108" spans="3:12" x14ac:dyDescent="0.3">
      <c r="C5108" s="47"/>
      <c r="H5108" s="49"/>
      <c r="K5108" s="72"/>
      <c r="L5108" s="50"/>
    </row>
    <row r="5109" spans="3:12" x14ac:dyDescent="0.3">
      <c r="C5109" s="47"/>
      <c r="H5109" s="49"/>
      <c r="K5109" s="72"/>
      <c r="L5109" s="50"/>
    </row>
    <row r="5110" spans="3:12" x14ac:dyDescent="0.3">
      <c r="C5110" s="47"/>
      <c r="H5110" s="49"/>
      <c r="K5110" s="72"/>
      <c r="L5110" s="50"/>
    </row>
    <row r="5111" spans="3:12" x14ac:dyDescent="0.3">
      <c r="C5111" s="47"/>
      <c r="H5111" s="49"/>
      <c r="K5111" s="72"/>
      <c r="L5111" s="50"/>
    </row>
    <row r="5112" spans="3:12" x14ac:dyDescent="0.3">
      <c r="C5112" s="47"/>
      <c r="H5112" s="49"/>
      <c r="K5112" s="72"/>
      <c r="L5112" s="50"/>
    </row>
    <row r="5113" spans="3:12" x14ac:dyDescent="0.3">
      <c r="C5113" s="47"/>
      <c r="H5113" s="49"/>
      <c r="K5113" s="72"/>
      <c r="L5113" s="50"/>
    </row>
    <row r="5114" spans="3:12" x14ac:dyDescent="0.3">
      <c r="C5114" s="47"/>
      <c r="H5114" s="49"/>
      <c r="K5114" s="72"/>
      <c r="L5114" s="50"/>
    </row>
    <row r="5115" spans="3:12" x14ac:dyDescent="0.3">
      <c r="C5115" s="47"/>
      <c r="H5115" s="49"/>
      <c r="K5115" s="72"/>
      <c r="L5115" s="50"/>
    </row>
    <row r="5116" spans="3:12" x14ac:dyDescent="0.3">
      <c r="C5116" s="47"/>
      <c r="H5116" s="49"/>
      <c r="K5116" s="72"/>
      <c r="L5116" s="50"/>
    </row>
    <row r="5117" spans="3:12" x14ac:dyDescent="0.3">
      <c r="C5117" s="47"/>
      <c r="H5117" s="49"/>
      <c r="K5117" s="72"/>
      <c r="L5117" s="50"/>
    </row>
    <row r="5118" spans="3:12" x14ac:dyDescent="0.3">
      <c r="C5118" s="47"/>
      <c r="H5118" s="49"/>
      <c r="K5118" s="72"/>
      <c r="L5118" s="50"/>
    </row>
    <row r="5119" spans="3:12" x14ac:dyDescent="0.3">
      <c r="C5119" s="47"/>
      <c r="H5119" s="49"/>
      <c r="K5119" s="72"/>
      <c r="L5119" s="50"/>
    </row>
    <row r="5120" spans="3:12" x14ac:dyDescent="0.3">
      <c r="C5120" s="47"/>
      <c r="H5120" s="49"/>
      <c r="K5120" s="72"/>
      <c r="L5120" s="50"/>
    </row>
    <row r="5121" spans="3:12" x14ac:dyDescent="0.3">
      <c r="C5121" s="47"/>
      <c r="H5121" s="49"/>
      <c r="K5121" s="72"/>
      <c r="L5121" s="50"/>
    </row>
    <row r="5122" spans="3:12" x14ac:dyDescent="0.3">
      <c r="C5122" s="47"/>
      <c r="H5122" s="49"/>
      <c r="K5122" s="72"/>
      <c r="L5122" s="50"/>
    </row>
    <row r="5123" spans="3:12" x14ac:dyDescent="0.3">
      <c r="C5123" s="47"/>
      <c r="H5123" s="49"/>
      <c r="K5123" s="72"/>
      <c r="L5123" s="50"/>
    </row>
    <row r="5124" spans="3:12" x14ac:dyDescent="0.3">
      <c r="C5124" s="47"/>
      <c r="H5124" s="49"/>
      <c r="K5124" s="72"/>
      <c r="L5124" s="50"/>
    </row>
    <row r="5125" spans="3:12" x14ac:dyDescent="0.3">
      <c r="C5125" s="47"/>
      <c r="H5125" s="49"/>
      <c r="K5125" s="72"/>
      <c r="L5125" s="50"/>
    </row>
    <row r="5126" spans="3:12" x14ac:dyDescent="0.3">
      <c r="C5126" s="47"/>
      <c r="H5126" s="49"/>
      <c r="K5126" s="72"/>
      <c r="L5126" s="50"/>
    </row>
    <row r="5127" spans="3:12" x14ac:dyDescent="0.3">
      <c r="C5127" s="47"/>
      <c r="H5127" s="49"/>
      <c r="K5127" s="72"/>
      <c r="L5127" s="50"/>
    </row>
    <row r="5128" spans="3:12" x14ac:dyDescent="0.3">
      <c r="C5128" s="47"/>
      <c r="H5128" s="49"/>
      <c r="K5128" s="72"/>
      <c r="L5128" s="50"/>
    </row>
    <row r="5129" spans="3:12" x14ac:dyDescent="0.3">
      <c r="C5129" s="47"/>
      <c r="H5129" s="49"/>
      <c r="K5129" s="72"/>
      <c r="L5129" s="50"/>
    </row>
    <row r="5130" spans="3:12" x14ac:dyDescent="0.3">
      <c r="C5130" s="47"/>
      <c r="H5130" s="49"/>
      <c r="K5130" s="72"/>
      <c r="L5130" s="50"/>
    </row>
    <row r="5131" spans="3:12" x14ac:dyDescent="0.3">
      <c r="C5131" s="47"/>
      <c r="H5131" s="49"/>
      <c r="K5131" s="72"/>
      <c r="L5131" s="50"/>
    </row>
    <row r="5132" spans="3:12" x14ac:dyDescent="0.3">
      <c r="C5132" s="47"/>
      <c r="H5132" s="49"/>
      <c r="K5132" s="72"/>
      <c r="L5132" s="50"/>
    </row>
    <row r="5133" spans="3:12" x14ac:dyDescent="0.3">
      <c r="C5133" s="47"/>
      <c r="H5133" s="49"/>
      <c r="K5133" s="72"/>
      <c r="L5133" s="50"/>
    </row>
    <row r="5134" spans="3:12" x14ac:dyDescent="0.3">
      <c r="C5134" s="47"/>
      <c r="H5134" s="49"/>
      <c r="K5134" s="72"/>
      <c r="L5134" s="50"/>
    </row>
    <row r="5135" spans="3:12" x14ac:dyDescent="0.3">
      <c r="C5135" s="47"/>
      <c r="H5135" s="49"/>
      <c r="K5135" s="72"/>
      <c r="L5135" s="50"/>
    </row>
    <row r="5136" spans="3:12" x14ac:dyDescent="0.3">
      <c r="C5136" s="47"/>
      <c r="H5136" s="49"/>
      <c r="K5136" s="72"/>
      <c r="L5136" s="50"/>
    </row>
    <row r="5137" spans="3:12" x14ac:dyDescent="0.3">
      <c r="C5137" s="47"/>
      <c r="H5137" s="49"/>
      <c r="K5137" s="72"/>
      <c r="L5137" s="50"/>
    </row>
    <row r="5138" spans="3:12" x14ac:dyDescent="0.3">
      <c r="C5138" s="47"/>
      <c r="H5138" s="49"/>
      <c r="K5138" s="72"/>
      <c r="L5138" s="50"/>
    </row>
    <row r="5139" spans="3:12" x14ac:dyDescent="0.3">
      <c r="C5139" s="47"/>
      <c r="H5139" s="49"/>
      <c r="K5139" s="72"/>
      <c r="L5139" s="50"/>
    </row>
    <row r="5140" spans="3:12" x14ac:dyDescent="0.3">
      <c r="C5140" s="47"/>
      <c r="H5140" s="49"/>
      <c r="K5140" s="72"/>
      <c r="L5140" s="50"/>
    </row>
    <row r="5141" spans="3:12" x14ac:dyDescent="0.3">
      <c r="C5141" s="47"/>
      <c r="H5141" s="49"/>
      <c r="K5141" s="72"/>
      <c r="L5141" s="50"/>
    </row>
    <row r="5142" spans="3:12" x14ac:dyDescent="0.3">
      <c r="C5142" s="47"/>
      <c r="H5142" s="49"/>
      <c r="K5142" s="72"/>
      <c r="L5142" s="50"/>
    </row>
    <row r="5143" spans="3:12" x14ac:dyDescent="0.3">
      <c r="C5143" s="47"/>
      <c r="H5143" s="49"/>
      <c r="K5143" s="72"/>
      <c r="L5143" s="50"/>
    </row>
    <row r="5144" spans="3:12" x14ac:dyDescent="0.3">
      <c r="C5144" s="47"/>
      <c r="H5144" s="49"/>
      <c r="K5144" s="72"/>
      <c r="L5144" s="50"/>
    </row>
    <row r="5145" spans="3:12" x14ac:dyDescent="0.3">
      <c r="C5145" s="47"/>
      <c r="H5145" s="49"/>
      <c r="K5145" s="72"/>
      <c r="L5145" s="50"/>
    </row>
    <row r="5146" spans="3:12" x14ac:dyDescent="0.3">
      <c r="C5146" s="47"/>
      <c r="H5146" s="49"/>
      <c r="K5146" s="72"/>
      <c r="L5146" s="50"/>
    </row>
    <row r="5147" spans="3:12" x14ac:dyDescent="0.3">
      <c r="C5147" s="47"/>
      <c r="H5147" s="49"/>
      <c r="K5147" s="72"/>
      <c r="L5147" s="50"/>
    </row>
    <row r="5148" spans="3:12" x14ac:dyDescent="0.3">
      <c r="C5148" s="47"/>
      <c r="H5148" s="49"/>
      <c r="K5148" s="72"/>
      <c r="L5148" s="50"/>
    </row>
    <row r="5149" spans="3:12" x14ac:dyDescent="0.3">
      <c r="C5149" s="47"/>
      <c r="H5149" s="49"/>
      <c r="K5149" s="72"/>
      <c r="L5149" s="50"/>
    </row>
    <row r="5150" spans="3:12" x14ac:dyDescent="0.3">
      <c r="C5150" s="47"/>
      <c r="H5150" s="49"/>
      <c r="K5150" s="72"/>
      <c r="L5150" s="50"/>
    </row>
    <row r="5151" spans="3:12" x14ac:dyDescent="0.3">
      <c r="C5151" s="47"/>
      <c r="H5151" s="49"/>
      <c r="K5151" s="72"/>
      <c r="L5151" s="50"/>
    </row>
    <row r="5152" spans="3:12" x14ac:dyDescent="0.3">
      <c r="C5152" s="47"/>
      <c r="H5152" s="49"/>
      <c r="K5152" s="72"/>
      <c r="L5152" s="50"/>
    </row>
    <row r="5153" spans="3:12" x14ac:dyDescent="0.3">
      <c r="C5153" s="47"/>
      <c r="H5153" s="49"/>
      <c r="K5153" s="72"/>
      <c r="L5153" s="50"/>
    </row>
    <row r="5154" spans="3:12" x14ac:dyDescent="0.3">
      <c r="C5154" s="47"/>
      <c r="H5154" s="49"/>
      <c r="K5154" s="72"/>
      <c r="L5154" s="50"/>
    </row>
    <row r="5155" spans="3:12" x14ac:dyDescent="0.3">
      <c r="C5155" s="47"/>
      <c r="H5155" s="49"/>
      <c r="K5155" s="72"/>
      <c r="L5155" s="50"/>
    </row>
    <row r="5156" spans="3:12" x14ac:dyDescent="0.3">
      <c r="C5156" s="47"/>
      <c r="H5156" s="49"/>
      <c r="K5156" s="72"/>
      <c r="L5156" s="50"/>
    </row>
    <row r="5157" spans="3:12" x14ac:dyDescent="0.3">
      <c r="C5157" s="47"/>
      <c r="H5157" s="49"/>
      <c r="K5157" s="72"/>
      <c r="L5157" s="50"/>
    </row>
    <row r="5158" spans="3:12" x14ac:dyDescent="0.3">
      <c r="C5158" s="47"/>
      <c r="H5158" s="49"/>
      <c r="K5158" s="72"/>
      <c r="L5158" s="50"/>
    </row>
    <row r="5159" spans="3:12" x14ac:dyDescent="0.3">
      <c r="C5159" s="47"/>
      <c r="H5159" s="49"/>
      <c r="K5159" s="72"/>
      <c r="L5159" s="50"/>
    </row>
    <row r="5160" spans="3:12" x14ac:dyDescent="0.3">
      <c r="C5160" s="47"/>
      <c r="H5160" s="49"/>
      <c r="K5160" s="72"/>
      <c r="L5160" s="50"/>
    </row>
    <row r="5161" spans="3:12" x14ac:dyDescent="0.3">
      <c r="C5161" s="47"/>
      <c r="H5161" s="49"/>
      <c r="K5161" s="72"/>
      <c r="L5161" s="50"/>
    </row>
    <row r="5162" spans="3:12" x14ac:dyDescent="0.3">
      <c r="C5162" s="47"/>
      <c r="H5162" s="49"/>
      <c r="K5162" s="72"/>
      <c r="L5162" s="50"/>
    </row>
    <row r="5163" spans="3:12" x14ac:dyDescent="0.3">
      <c r="C5163" s="47"/>
      <c r="H5163" s="49"/>
      <c r="K5163" s="72"/>
      <c r="L5163" s="50"/>
    </row>
    <row r="5164" spans="3:12" x14ac:dyDescent="0.3">
      <c r="C5164" s="47"/>
      <c r="H5164" s="49"/>
      <c r="K5164" s="72"/>
      <c r="L5164" s="50"/>
    </row>
    <row r="5165" spans="3:12" x14ac:dyDescent="0.3">
      <c r="C5165" s="47"/>
      <c r="H5165" s="49"/>
      <c r="K5165" s="72"/>
      <c r="L5165" s="50"/>
    </row>
    <row r="5166" spans="3:12" x14ac:dyDescent="0.3">
      <c r="C5166" s="47"/>
      <c r="H5166" s="49"/>
      <c r="K5166" s="72"/>
      <c r="L5166" s="50"/>
    </row>
    <row r="5167" spans="3:12" x14ac:dyDescent="0.3">
      <c r="C5167" s="47"/>
      <c r="H5167" s="49"/>
      <c r="K5167" s="72"/>
      <c r="L5167" s="50"/>
    </row>
    <row r="5168" spans="3:12" x14ac:dyDescent="0.3">
      <c r="C5168" s="47"/>
      <c r="H5168" s="49"/>
      <c r="K5168" s="72"/>
      <c r="L5168" s="50"/>
    </row>
    <row r="5169" spans="3:12" x14ac:dyDescent="0.3">
      <c r="C5169" s="47"/>
      <c r="H5169" s="49"/>
      <c r="K5169" s="72"/>
      <c r="L5169" s="50"/>
    </row>
    <row r="5170" spans="3:12" x14ac:dyDescent="0.3">
      <c r="C5170" s="47"/>
      <c r="H5170" s="49"/>
      <c r="K5170" s="72"/>
      <c r="L5170" s="50"/>
    </row>
    <row r="5171" spans="3:12" x14ac:dyDescent="0.3">
      <c r="C5171" s="47"/>
      <c r="H5171" s="49"/>
      <c r="K5171" s="72"/>
      <c r="L5171" s="50"/>
    </row>
    <row r="5172" spans="3:12" x14ac:dyDescent="0.3">
      <c r="C5172" s="47"/>
      <c r="H5172" s="49"/>
      <c r="K5172" s="72"/>
      <c r="L5172" s="50"/>
    </row>
    <row r="5173" spans="3:12" x14ac:dyDescent="0.3">
      <c r="C5173" s="47"/>
      <c r="H5173" s="49"/>
      <c r="K5173" s="72"/>
      <c r="L5173" s="50"/>
    </row>
    <row r="5174" spans="3:12" x14ac:dyDescent="0.3">
      <c r="C5174" s="47"/>
      <c r="H5174" s="49"/>
      <c r="K5174" s="72"/>
      <c r="L5174" s="50"/>
    </row>
    <row r="5175" spans="3:12" x14ac:dyDescent="0.3">
      <c r="C5175" s="47"/>
      <c r="H5175" s="49"/>
      <c r="K5175" s="72"/>
      <c r="L5175" s="50"/>
    </row>
    <row r="5176" spans="3:12" x14ac:dyDescent="0.3">
      <c r="C5176" s="47"/>
      <c r="H5176" s="49"/>
      <c r="K5176" s="72"/>
      <c r="L5176" s="50"/>
    </row>
    <row r="5177" spans="3:12" x14ac:dyDescent="0.3">
      <c r="C5177" s="47"/>
      <c r="H5177" s="49"/>
      <c r="K5177" s="72"/>
      <c r="L5177" s="50"/>
    </row>
    <row r="5178" spans="3:12" x14ac:dyDescent="0.3">
      <c r="C5178" s="47"/>
      <c r="H5178" s="49"/>
      <c r="K5178" s="72"/>
      <c r="L5178" s="50"/>
    </row>
    <row r="5179" spans="3:12" x14ac:dyDescent="0.3">
      <c r="C5179" s="47"/>
      <c r="H5179" s="49"/>
      <c r="K5179" s="72"/>
      <c r="L5179" s="50"/>
    </row>
    <row r="5180" spans="3:12" x14ac:dyDescent="0.3">
      <c r="C5180" s="47"/>
      <c r="H5180" s="49"/>
      <c r="K5180" s="72"/>
      <c r="L5180" s="50"/>
    </row>
    <row r="5181" spans="3:12" x14ac:dyDescent="0.3">
      <c r="C5181" s="47"/>
      <c r="H5181" s="49"/>
      <c r="K5181" s="72"/>
      <c r="L5181" s="50"/>
    </row>
    <row r="5182" spans="3:12" x14ac:dyDescent="0.3">
      <c r="C5182" s="47"/>
      <c r="H5182" s="49"/>
      <c r="K5182" s="72"/>
      <c r="L5182" s="50"/>
    </row>
    <row r="5183" spans="3:12" x14ac:dyDescent="0.3">
      <c r="C5183" s="47"/>
      <c r="H5183" s="49"/>
      <c r="K5183" s="72"/>
      <c r="L5183" s="50"/>
    </row>
    <row r="5184" spans="3:12" x14ac:dyDescent="0.3">
      <c r="C5184" s="47"/>
      <c r="H5184" s="49"/>
      <c r="K5184" s="72"/>
      <c r="L5184" s="50"/>
    </row>
    <row r="5185" spans="3:12" x14ac:dyDescent="0.3">
      <c r="C5185" s="47"/>
      <c r="H5185" s="49"/>
      <c r="K5185" s="72"/>
      <c r="L5185" s="50"/>
    </row>
    <row r="5186" spans="3:12" x14ac:dyDescent="0.3">
      <c r="C5186" s="47"/>
      <c r="H5186" s="49"/>
      <c r="K5186" s="72"/>
      <c r="L5186" s="50"/>
    </row>
    <row r="5187" spans="3:12" x14ac:dyDescent="0.3">
      <c r="C5187" s="47"/>
      <c r="H5187" s="49"/>
      <c r="K5187" s="72"/>
      <c r="L5187" s="50"/>
    </row>
    <row r="5188" spans="3:12" x14ac:dyDescent="0.3">
      <c r="C5188" s="47"/>
      <c r="H5188" s="49"/>
      <c r="K5188" s="72"/>
      <c r="L5188" s="50"/>
    </row>
    <row r="5189" spans="3:12" x14ac:dyDescent="0.3">
      <c r="C5189" s="47"/>
      <c r="H5189" s="49"/>
      <c r="K5189" s="72"/>
      <c r="L5189" s="50"/>
    </row>
    <row r="5190" spans="3:12" x14ac:dyDescent="0.3">
      <c r="C5190" s="47"/>
      <c r="H5190" s="49"/>
      <c r="K5190" s="72"/>
      <c r="L5190" s="50"/>
    </row>
    <row r="5191" spans="3:12" x14ac:dyDescent="0.3">
      <c r="C5191" s="47"/>
      <c r="H5191" s="49"/>
      <c r="K5191" s="72"/>
      <c r="L5191" s="50"/>
    </row>
    <row r="5192" spans="3:12" x14ac:dyDescent="0.3">
      <c r="C5192" s="47"/>
      <c r="H5192" s="49"/>
      <c r="K5192" s="72"/>
      <c r="L5192" s="50"/>
    </row>
    <row r="5193" spans="3:12" x14ac:dyDescent="0.3">
      <c r="C5193" s="47"/>
      <c r="H5193" s="49"/>
      <c r="K5193" s="72"/>
      <c r="L5193" s="50"/>
    </row>
    <row r="5194" spans="3:12" x14ac:dyDescent="0.3">
      <c r="C5194" s="47"/>
      <c r="H5194" s="49"/>
      <c r="K5194" s="72"/>
      <c r="L5194" s="50"/>
    </row>
    <row r="5195" spans="3:12" x14ac:dyDescent="0.3">
      <c r="C5195" s="47"/>
      <c r="H5195" s="49"/>
      <c r="K5195" s="72"/>
      <c r="L5195" s="50"/>
    </row>
    <row r="5196" spans="3:12" x14ac:dyDescent="0.3">
      <c r="C5196" s="47"/>
      <c r="H5196" s="49"/>
      <c r="K5196" s="72"/>
      <c r="L5196" s="50"/>
    </row>
    <row r="5197" spans="3:12" x14ac:dyDescent="0.3">
      <c r="C5197" s="47"/>
      <c r="H5197" s="49"/>
      <c r="K5197" s="72"/>
      <c r="L5197" s="50"/>
    </row>
    <row r="5198" spans="3:12" x14ac:dyDescent="0.3">
      <c r="C5198" s="47"/>
      <c r="H5198" s="49"/>
      <c r="K5198" s="72"/>
      <c r="L5198" s="50"/>
    </row>
    <row r="5199" spans="3:12" x14ac:dyDescent="0.3">
      <c r="C5199" s="47"/>
      <c r="H5199" s="49"/>
      <c r="K5199" s="72"/>
      <c r="L5199" s="50"/>
    </row>
    <row r="5200" spans="3:12" x14ac:dyDescent="0.3">
      <c r="C5200" s="47"/>
      <c r="H5200" s="49"/>
      <c r="K5200" s="72"/>
      <c r="L5200" s="50"/>
    </row>
    <row r="5201" spans="3:12" x14ac:dyDescent="0.3">
      <c r="C5201" s="47"/>
      <c r="H5201" s="49"/>
      <c r="K5201" s="72"/>
      <c r="L5201" s="50"/>
    </row>
    <row r="5202" spans="3:12" x14ac:dyDescent="0.3">
      <c r="C5202" s="47"/>
      <c r="H5202" s="49"/>
      <c r="K5202" s="72"/>
      <c r="L5202" s="50"/>
    </row>
    <row r="5203" spans="3:12" x14ac:dyDescent="0.3">
      <c r="C5203" s="47"/>
      <c r="H5203" s="49"/>
      <c r="K5203" s="72"/>
      <c r="L5203" s="50"/>
    </row>
    <row r="5204" spans="3:12" x14ac:dyDescent="0.3">
      <c r="C5204" s="47"/>
      <c r="H5204" s="49"/>
      <c r="K5204" s="72"/>
      <c r="L5204" s="50"/>
    </row>
    <row r="5205" spans="3:12" x14ac:dyDescent="0.3">
      <c r="C5205" s="47"/>
      <c r="H5205" s="49"/>
      <c r="K5205" s="72"/>
      <c r="L5205" s="50"/>
    </row>
    <row r="5206" spans="3:12" x14ac:dyDescent="0.3">
      <c r="C5206" s="47"/>
      <c r="H5206" s="49"/>
      <c r="K5206" s="72"/>
      <c r="L5206" s="50"/>
    </row>
    <row r="5207" spans="3:12" x14ac:dyDescent="0.3">
      <c r="C5207" s="47"/>
      <c r="H5207" s="49"/>
      <c r="K5207" s="72"/>
      <c r="L5207" s="50"/>
    </row>
    <row r="5208" spans="3:12" x14ac:dyDescent="0.3">
      <c r="C5208" s="47"/>
      <c r="H5208" s="49"/>
      <c r="K5208" s="72"/>
      <c r="L5208" s="50"/>
    </row>
    <row r="5209" spans="3:12" x14ac:dyDescent="0.3">
      <c r="C5209" s="47"/>
      <c r="H5209" s="49"/>
      <c r="K5209" s="72"/>
      <c r="L5209" s="50"/>
    </row>
    <row r="5210" spans="3:12" x14ac:dyDescent="0.3">
      <c r="C5210" s="47"/>
      <c r="H5210" s="49"/>
      <c r="K5210" s="72"/>
      <c r="L5210" s="50"/>
    </row>
    <row r="5211" spans="3:12" x14ac:dyDescent="0.3">
      <c r="C5211" s="47"/>
      <c r="H5211" s="49"/>
      <c r="K5211" s="72"/>
      <c r="L5211" s="50"/>
    </row>
    <row r="5212" spans="3:12" x14ac:dyDescent="0.3">
      <c r="C5212" s="47"/>
      <c r="H5212" s="49"/>
      <c r="K5212" s="72"/>
      <c r="L5212" s="50"/>
    </row>
    <row r="5213" spans="3:12" x14ac:dyDescent="0.3">
      <c r="C5213" s="47"/>
      <c r="H5213" s="49"/>
      <c r="K5213" s="72"/>
      <c r="L5213" s="50"/>
    </row>
    <row r="5214" spans="3:12" x14ac:dyDescent="0.3">
      <c r="C5214" s="47"/>
      <c r="H5214" s="49"/>
      <c r="K5214" s="72"/>
      <c r="L5214" s="50"/>
    </row>
    <row r="5215" spans="3:12" x14ac:dyDescent="0.3">
      <c r="C5215" s="47"/>
      <c r="H5215" s="49"/>
      <c r="K5215" s="72"/>
      <c r="L5215" s="50"/>
    </row>
    <row r="5216" spans="3:12" x14ac:dyDescent="0.3">
      <c r="C5216" s="47"/>
      <c r="H5216" s="49"/>
      <c r="K5216" s="72"/>
      <c r="L5216" s="50"/>
    </row>
    <row r="5217" spans="3:12" x14ac:dyDescent="0.3">
      <c r="C5217" s="47"/>
      <c r="H5217" s="49"/>
      <c r="K5217" s="72"/>
      <c r="L5217" s="50"/>
    </row>
    <row r="5218" spans="3:12" x14ac:dyDescent="0.3">
      <c r="C5218" s="47"/>
      <c r="H5218" s="49"/>
      <c r="K5218" s="72"/>
      <c r="L5218" s="50"/>
    </row>
    <row r="5219" spans="3:12" x14ac:dyDescent="0.3">
      <c r="C5219" s="47"/>
      <c r="H5219" s="49"/>
      <c r="K5219" s="72"/>
      <c r="L5219" s="50"/>
    </row>
    <row r="5220" spans="3:12" x14ac:dyDescent="0.3">
      <c r="C5220" s="47"/>
      <c r="H5220" s="49"/>
      <c r="K5220" s="72"/>
      <c r="L5220" s="50"/>
    </row>
    <row r="5221" spans="3:12" x14ac:dyDescent="0.3">
      <c r="C5221" s="47"/>
      <c r="H5221" s="49"/>
      <c r="K5221" s="72"/>
      <c r="L5221" s="50"/>
    </row>
    <row r="5222" spans="3:12" x14ac:dyDescent="0.3">
      <c r="C5222" s="47"/>
      <c r="H5222" s="49"/>
      <c r="K5222" s="72"/>
      <c r="L5222" s="50"/>
    </row>
    <row r="5223" spans="3:12" x14ac:dyDescent="0.3">
      <c r="C5223" s="47"/>
      <c r="H5223" s="49"/>
      <c r="K5223" s="72"/>
      <c r="L5223" s="50"/>
    </row>
    <row r="5224" spans="3:12" x14ac:dyDescent="0.3">
      <c r="C5224" s="47"/>
      <c r="H5224" s="49"/>
      <c r="K5224" s="72"/>
      <c r="L5224" s="50"/>
    </row>
    <row r="5225" spans="3:12" x14ac:dyDescent="0.3">
      <c r="C5225" s="47"/>
      <c r="H5225" s="49"/>
      <c r="K5225" s="72"/>
      <c r="L5225" s="50"/>
    </row>
    <row r="5226" spans="3:12" x14ac:dyDescent="0.3">
      <c r="C5226" s="47"/>
      <c r="H5226" s="49"/>
      <c r="K5226" s="72"/>
      <c r="L5226" s="50"/>
    </row>
    <row r="5227" spans="3:12" x14ac:dyDescent="0.3">
      <c r="C5227" s="47"/>
      <c r="H5227" s="49"/>
      <c r="K5227" s="72"/>
      <c r="L5227" s="50"/>
    </row>
    <row r="5228" spans="3:12" x14ac:dyDescent="0.3">
      <c r="C5228" s="47"/>
      <c r="H5228" s="49"/>
      <c r="K5228" s="72"/>
      <c r="L5228" s="50"/>
    </row>
    <row r="5229" spans="3:12" x14ac:dyDescent="0.3">
      <c r="C5229" s="47"/>
      <c r="H5229" s="49"/>
      <c r="K5229" s="72"/>
      <c r="L5229" s="50"/>
    </row>
    <row r="5230" spans="3:12" x14ac:dyDescent="0.3">
      <c r="C5230" s="47"/>
      <c r="H5230" s="49"/>
      <c r="K5230" s="72"/>
      <c r="L5230" s="50"/>
    </row>
    <row r="5231" spans="3:12" x14ac:dyDescent="0.3">
      <c r="C5231" s="47"/>
      <c r="H5231" s="49"/>
      <c r="K5231" s="72"/>
      <c r="L5231" s="50"/>
    </row>
    <row r="5232" spans="3:12" x14ac:dyDescent="0.3">
      <c r="C5232" s="47"/>
      <c r="H5232" s="49"/>
      <c r="K5232" s="72"/>
      <c r="L5232" s="50"/>
    </row>
    <row r="5233" spans="3:12" x14ac:dyDescent="0.3">
      <c r="C5233" s="47"/>
      <c r="H5233" s="49"/>
      <c r="K5233" s="72"/>
      <c r="L5233" s="50"/>
    </row>
    <row r="5234" spans="3:12" x14ac:dyDescent="0.3">
      <c r="C5234" s="47"/>
      <c r="H5234" s="49"/>
      <c r="K5234" s="72"/>
      <c r="L5234" s="50"/>
    </row>
    <row r="5235" spans="3:12" x14ac:dyDescent="0.3">
      <c r="C5235" s="47"/>
      <c r="H5235" s="49"/>
      <c r="K5235" s="72"/>
      <c r="L5235" s="50"/>
    </row>
    <row r="5236" spans="3:12" x14ac:dyDescent="0.3">
      <c r="C5236" s="47"/>
      <c r="H5236" s="49"/>
      <c r="K5236" s="72"/>
      <c r="L5236" s="50"/>
    </row>
    <row r="5237" spans="3:12" x14ac:dyDescent="0.3">
      <c r="C5237" s="47"/>
      <c r="H5237" s="49"/>
      <c r="K5237" s="72"/>
      <c r="L5237" s="50"/>
    </row>
    <row r="5238" spans="3:12" x14ac:dyDescent="0.3">
      <c r="C5238" s="47"/>
      <c r="H5238" s="49"/>
      <c r="K5238" s="72"/>
      <c r="L5238" s="50"/>
    </row>
    <row r="5239" spans="3:12" x14ac:dyDescent="0.3">
      <c r="C5239" s="47"/>
      <c r="H5239" s="49"/>
      <c r="K5239" s="72"/>
      <c r="L5239" s="50"/>
    </row>
    <row r="5240" spans="3:12" x14ac:dyDescent="0.3">
      <c r="C5240" s="47"/>
      <c r="H5240" s="49"/>
      <c r="K5240" s="72"/>
      <c r="L5240" s="50"/>
    </row>
    <row r="5241" spans="3:12" x14ac:dyDescent="0.3">
      <c r="C5241" s="47"/>
      <c r="H5241" s="49"/>
      <c r="K5241" s="72"/>
      <c r="L5241" s="50"/>
    </row>
    <row r="5242" spans="3:12" x14ac:dyDescent="0.3">
      <c r="C5242" s="47"/>
      <c r="H5242" s="49"/>
      <c r="K5242" s="72"/>
      <c r="L5242" s="50"/>
    </row>
    <row r="5243" spans="3:12" x14ac:dyDescent="0.3">
      <c r="C5243" s="47"/>
      <c r="H5243" s="49"/>
      <c r="K5243" s="72"/>
      <c r="L5243" s="50"/>
    </row>
    <row r="5244" spans="3:12" x14ac:dyDescent="0.3">
      <c r="C5244" s="47"/>
      <c r="H5244" s="49"/>
      <c r="K5244" s="72"/>
      <c r="L5244" s="50"/>
    </row>
    <row r="5245" spans="3:12" x14ac:dyDescent="0.3">
      <c r="C5245" s="47"/>
      <c r="H5245" s="49"/>
      <c r="K5245" s="72"/>
      <c r="L5245" s="50"/>
    </row>
    <row r="5246" spans="3:12" x14ac:dyDescent="0.3">
      <c r="C5246" s="47"/>
      <c r="H5246" s="49"/>
      <c r="K5246" s="72"/>
      <c r="L5246" s="50"/>
    </row>
    <row r="5247" spans="3:12" x14ac:dyDescent="0.3">
      <c r="C5247" s="47"/>
      <c r="H5247" s="49"/>
      <c r="K5247" s="72"/>
      <c r="L5247" s="50"/>
    </row>
    <row r="5248" spans="3:12" x14ac:dyDescent="0.3">
      <c r="C5248" s="47"/>
      <c r="H5248" s="49"/>
      <c r="K5248" s="72"/>
      <c r="L5248" s="50"/>
    </row>
    <row r="5249" spans="3:12" x14ac:dyDescent="0.3">
      <c r="C5249" s="47"/>
      <c r="H5249" s="49"/>
      <c r="K5249" s="72"/>
      <c r="L5249" s="50"/>
    </row>
    <row r="5250" spans="3:12" x14ac:dyDescent="0.3">
      <c r="C5250" s="47"/>
      <c r="H5250" s="49"/>
      <c r="K5250" s="72"/>
      <c r="L5250" s="50"/>
    </row>
    <row r="5251" spans="3:12" x14ac:dyDescent="0.3">
      <c r="C5251" s="47"/>
      <c r="H5251" s="49"/>
      <c r="K5251" s="72"/>
      <c r="L5251" s="50"/>
    </row>
    <row r="5252" spans="3:12" x14ac:dyDescent="0.3">
      <c r="C5252" s="47"/>
      <c r="H5252" s="49"/>
      <c r="K5252" s="72"/>
      <c r="L5252" s="50"/>
    </row>
    <row r="5253" spans="3:12" x14ac:dyDescent="0.3">
      <c r="C5253" s="47"/>
      <c r="H5253" s="49"/>
      <c r="K5253" s="72"/>
      <c r="L5253" s="50"/>
    </row>
    <row r="5254" spans="3:12" x14ac:dyDescent="0.3">
      <c r="C5254" s="47"/>
      <c r="H5254" s="49"/>
      <c r="K5254" s="72"/>
      <c r="L5254" s="50"/>
    </row>
    <row r="5255" spans="3:12" x14ac:dyDescent="0.3">
      <c r="C5255" s="47"/>
      <c r="H5255" s="49"/>
      <c r="K5255" s="72"/>
      <c r="L5255" s="50"/>
    </row>
    <row r="5256" spans="3:12" x14ac:dyDescent="0.3">
      <c r="C5256" s="47"/>
      <c r="H5256" s="49"/>
      <c r="K5256" s="72"/>
      <c r="L5256" s="50"/>
    </row>
    <row r="5257" spans="3:12" x14ac:dyDescent="0.3">
      <c r="C5257" s="47"/>
      <c r="H5257" s="49"/>
      <c r="K5257" s="72"/>
      <c r="L5257" s="50"/>
    </row>
    <row r="5258" spans="3:12" x14ac:dyDescent="0.3">
      <c r="C5258" s="47"/>
      <c r="H5258" s="49"/>
      <c r="K5258" s="72"/>
      <c r="L5258" s="50"/>
    </row>
    <row r="5259" spans="3:12" x14ac:dyDescent="0.3">
      <c r="C5259" s="47"/>
      <c r="H5259" s="49"/>
      <c r="K5259" s="72"/>
      <c r="L5259" s="50"/>
    </row>
    <row r="5260" spans="3:12" x14ac:dyDescent="0.3">
      <c r="C5260" s="47"/>
      <c r="H5260" s="49"/>
      <c r="K5260" s="72"/>
      <c r="L5260" s="50"/>
    </row>
    <row r="5261" spans="3:12" x14ac:dyDescent="0.3">
      <c r="C5261" s="47"/>
      <c r="H5261" s="49"/>
      <c r="K5261" s="72"/>
      <c r="L5261" s="50"/>
    </row>
    <row r="5262" spans="3:12" x14ac:dyDescent="0.3">
      <c r="C5262" s="47"/>
      <c r="H5262" s="49"/>
      <c r="K5262" s="72"/>
      <c r="L5262" s="50"/>
    </row>
    <row r="5263" spans="3:12" x14ac:dyDescent="0.3">
      <c r="C5263" s="47"/>
      <c r="H5263" s="49"/>
      <c r="K5263" s="72"/>
      <c r="L5263" s="50"/>
    </row>
    <row r="5264" spans="3:12" x14ac:dyDescent="0.3">
      <c r="C5264" s="47"/>
      <c r="H5264" s="49"/>
      <c r="K5264" s="72"/>
      <c r="L5264" s="50"/>
    </row>
    <row r="5265" spans="3:12" x14ac:dyDescent="0.3">
      <c r="C5265" s="47"/>
      <c r="H5265" s="49"/>
      <c r="K5265" s="72"/>
      <c r="L5265" s="50"/>
    </row>
    <row r="5266" spans="3:12" x14ac:dyDescent="0.3">
      <c r="C5266" s="47"/>
      <c r="H5266" s="49"/>
      <c r="K5266" s="72"/>
      <c r="L5266" s="50"/>
    </row>
    <row r="5267" spans="3:12" x14ac:dyDescent="0.3">
      <c r="C5267" s="47"/>
      <c r="H5267" s="49"/>
      <c r="K5267" s="72"/>
      <c r="L5267" s="50"/>
    </row>
    <row r="5268" spans="3:12" x14ac:dyDescent="0.3">
      <c r="C5268" s="47"/>
      <c r="H5268" s="49"/>
      <c r="K5268" s="72"/>
      <c r="L5268" s="50"/>
    </row>
    <row r="5269" spans="3:12" x14ac:dyDescent="0.3">
      <c r="C5269" s="47"/>
      <c r="H5269" s="49"/>
      <c r="K5269" s="72"/>
      <c r="L5269" s="50"/>
    </row>
    <row r="5270" spans="3:12" x14ac:dyDescent="0.3">
      <c r="C5270" s="47"/>
      <c r="H5270" s="49"/>
      <c r="K5270" s="72"/>
      <c r="L5270" s="50"/>
    </row>
    <row r="5271" spans="3:12" x14ac:dyDescent="0.3">
      <c r="C5271" s="47"/>
      <c r="H5271" s="49"/>
      <c r="K5271" s="72"/>
      <c r="L5271" s="50"/>
    </row>
    <row r="5272" spans="3:12" x14ac:dyDescent="0.3">
      <c r="C5272" s="47"/>
      <c r="H5272" s="49"/>
      <c r="K5272" s="72"/>
      <c r="L5272" s="50"/>
    </row>
    <row r="5273" spans="3:12" x14ac:dyDescent="0.3">
      <c r="C5273" s="47"/>
      <c r="H5273" s="49"/>
      <c r="K5273" s="72"/>
      <c r="L5273" s="50"/>
    </row>
    <row r="5274" spans="3:12" x14ac:dyDescent="0.3">
      <c r="C5274" s="47"/>
      <c r="H5274" s="49"/>
      <c r="K5274" s="72"/>
      <c r="L5274" s="50"/>
    </row>
    <row r="5275" spans="3:12" x14ac:dyDescent="0.3">
      <c r="C5275" s="47"/>
      <c r="H5275" s="49"/>
      <c r="K5275" s="72"/>
      <c r="L5275" s="50"/>
    </row>
    <row r="5276" spans="3:12" x14ac:dyDescent="0.3">
      <c r="C5276" s="47"/>
      <c r="H5276" s="49"/>
      <c r="K5276" s="72"/>
      <c r="L5276" s="50"/>
    </row>
    <row r="5277" spans="3:12" x14ac:dyDescent="0.3">
      <c r="C5277" s="47"/>
      <c r="H5277" s="49"/>
      <c r="K5277" s="72"/>
      <c r="L5277" s="50"/>
    </row>
    <row r="5278" spans="3:12" x14ac:dyDescent="0.3">
      <c r="C5278" s="47"/>
      <c r="H5278" s="49"/>
      <c r="K5278" s="72"/>
      <c r="L5278" s="50"/>
    </row>
    <row r="5279" spans="3:12" x14ac:dyDescent="0.3">
      <c r="C5279" s="47"/>
      <c r="H5279" s="49"/>
      <c r="K5279" s="72"/>
      <c r="L5279" s="50"/>
    </row>
    <row r="5280" spans="3:12" x14ac:dyDescent="0.3">
      <c r="C5280" s="47"/>
      <c r="H5280" s="49"/>
      <c r="K5280" s="72"/>
      <c r="L5280" s="50"/>
    </row>
    <row r="5281" spans="3:12" x14ac:dyDescent="0.3">
      <c r="C5281" s="47"/>
      <c r="H5281" s="49"/>
      <c r="K5281" s="72"/>
      <c r="L5281" s="50"/>
    </row>
    <row r="5282" spans="3:12" x14ac:dyDescent="0.3">
      <c r="C5282" s="47"/>
      <c r="H5282" s="49"/>
      <c r="K5282" s="72"/>
      <c r="L5282" s="50"/>
    </row>
    <row r="5283" spans="3:12" x14ac:dyDescent="0.3">
      <c r="C5283" s="47"/>
      <c r="H5283" s="49"/>
      <c r="K5283" s="72"/>
      <c r="L5283" s="50"/>
    </row>
    <row r="5284" spans="3:12" x14ac:dyDescent="0.3">
      <c r="C5284" s="47"/>
      <c r="H5284" s="49"/>
      <c r="K5284" s="72"/>
      <c r="L5284" s="50"/>
    </row>
    <row r="5285" spans="3:12" x14ac:dyDescent="0.3">
      <c r="C5285" s="47"/>
      <c r="H5285" s="49"/>
      <c r="K5285" s="72"/>
      <c r="L5285" s="50"/>
    </row>
    <row r="5286" spans="3:12" x14ac:dyDescent="0.3">
      <c r="C5286" s="47"/>
      <c r="H5286" s="49"/>
      <c r="K5286" s="72"/>
      <c r="L5286" s="50"/>
    </row>
    <row r="5287" spans="3:12" x14ac:dyDescent="0.3">
      <c r="C5287" s="47"/>
      <c r="H5287" s="49"/>
      <c r="K5287" s="72"/>
      <c r="L5287" s="50"/>
    </row>
    <row r="5288" spans="3:12" x14ac:dyDescent="0.3">
      <c r="C5288" s="47"/>
      <c r="H5288" s="49"/>
      <c r="K5288" s="72"/>
      <c r="L5288" s="50"/>
    </row>
    <row r="5289" spans="3:12" x14ac:dyDescent="0.3">
      <c r="C5289" s="47"/>
      <c r="H5289" s="49"/>
      <c r="K5289" s="72"/>
      <c r="L5289" s="50"/>
    </row>
    <row r="5290" spans="3:12" x14ac:dyDescent="0.3">
      <c r="C5290" s="47"/>
      <c r="H5290" s="49"/>
      <c r="K5290" s="72"/>
      <c r="L5290" s="50"/>
    </row>
    <row r="5291" spans="3:12" x14ac:dyDescent="0.3">
      <c r="C5291" s="47"/>
      <c r="H5291" s="49"/>
      <c r="K5291" s="72"/>
      <c r="L5291" s="50"/>
    </row>
    <row r="5292" spans="3:12" x14ac:dyDescent="0.3">
      <c r="C5292" s="47"/>
      <c r="H5292" s="49"/>
      <c r="K5292" s="72"/>
      <c r="L5292" s="50"/>
    </row>
    <row r="5293" spans="3:12" x14ac:dyDescent="0.3">
      <c r="C5293" s="47"/>
      <c r="H5293" s="49"/>
      <c r="K5293" s="72"/>
      <c r="L5293" s="50"/>
    </row>
    <row r="5294" spans="3:12" x14ac:dyDescent="0.3">
      <c r="C5294" s="47"/>
      <c r="H5294" s="49"/>
      <c r="K5294" s="72"/>
      <c r="L5294" s="50"/>
    </row>
    <row r="5295" spans="3:12" x14ac:dyDescent="0.3">
      <c r="C5295" s="47"/>
      <c r="H5295" s="49"/>
      <c r="K5295" s="72"/>
      <c r="L5295" s="50"/>
    </row>
    <row r="5296" spans="3:12" x14ac:dyDescent="0.3">
      <c r="C5296" s="47"/>
      <c r="H5296" s="49"/>
      <c r="K5296" s="72"/>
      <c r="L5296" s="50"/>
    </row>
    <row r="5297" spans="3:12" x14ac:dyDescent="0.3">
      <c r="C5297" s="47"/>
      <c r="H5297" s="49"/>
      <c r="K5297" s="72"/>
      <c r="L5297" s="50"/>
    </row>
    <row r="5298" spans="3:12" x14ac:dyDescent="0.3">
      <c r="C5298" s="47"/>
      <c r="H5298" s="49"/>
      <c r="K5298" s="72"/>
      <c r="L5298" s="50"/>
    </row>
    <row r="5299" spans="3:12" x14ac:dyDescent="0.3">
      <c r="C5299" s="47"/>
      <c r="H5299" s="49"/>
      <c r="K5299" s="72"/>
      <c r="L5299" s="50"/>
    </row>
    <row r="5300" spans="3:12" x14ac:dyDescent="0.3">
      <c r="C5300" s="47"/>
      <c r="H5300" s="49"/>
      <c r="K5300" s="72"/>
      <c r="L5300" s="50"/>
    </row>
    <row r="5301" spans="3:12" x14ac:dyDescent="0.3">
      <c r="C5301" s="47"/>
      <c r="H5301" s="49"/>
      <c r="K5301" s="72"/>
      <c r="L5301" s="50"/>
    </row>
    <row r="5302" spans="3:12" x14ac:dyDescent="0.3">
      <c r="C5302" s="47"/>
      <c r="H5302" s="49"/>
      <c r="K5302" s="72"/>
      <c r="L5302" s="50"/>
    </row>
    <row r="5303" spans="3:12" x14ac:dyDescent="0.3">
      <c r="C5303" s="47"/>
      <c r="H5303" s="49"/>
      <c r="K5303" s="72"/>
      <c r="L5303" s="50"/>
    </row>
    <row r="5304" spans="3:12" x14ac:dyDescent="0.3">
      <c r="C5304" s="47"/>
      <c r="H5304" s="49"/>
      <c r="K5304" s="72"/>
      <c r="L5304" s="50"/>
    </row>
    <row r="5305" spans="3:12" x14ac:dyDescent="0.3">
      <c r="C5305" s="47"/>
      <c r="H5305" s="49"/>
      <c r="K5305" s="72"/>
      <c r="L5305" s="50"/>
    </row>
    <row r="5306" spans="3:12" x14ac:dyDescent="0.3">
      <c r="C5306" s="47"/>
      <c r="H5306" s="49"/>
      <c r="K5306" s="72"/>
      <c r="L5306" s="50"/>
    </row>
    <row r="5307" spans="3:12" x14ac:dyDescent="0.3">
      <c r="C5307" s="47"/>
      <c r="H5307" s="49"/>
      <c r="K5307" s="72"/>
      <c r="L5307" s="50"/>
    </row>
    <row r="5308" spans="3:12" x14ac:dyDescent="0.3">
      <c r="C5308" s="47"/>
      <c r="H5308" s="49"/>
      <c r="K5308" s="72"/>
      <c r="L5308" s="50"/>
    </row>
    <row r="5309" spans="3:12" x14ac:dyDescent="0.3">
      <c r="C5309" s="47"/>
      <c r="H5309" s="49"/>
      <c r="K5309" s="72"/>
      <c r="L5309" s="50"/>
    </row>
    <row r="5310" spans="3:12" x14ac:dyDescent="0.3">
      <c r="C5310" s="47"/>
      <c r="H5310" s="49"/>
      <c r="K5310" s="72"/>
      <c r="L5310" s="50"/>
    </row>
    <row r="5311" spans="3:12" x14ac:dyDescent="0.3">
      <c r="C5311" s="47"/>
      <c r="H5311" s="49"/>
      <c r="K5311" s="72"/>
      <c r="L5311" s="50"/>
    </row>
    <row r="5312" spans="3:12" x14ac:dyDescent="0.3">
      <c r="C5312" s="47"/>
      <c r="H5312" s="49"/>
      <c r="K5312" s="72"/>
      <c r="L5312" s="50"/>
    </row>
    <row r="5313" spans="3:12" x14ac:dyDescent="0.3">
      <c r="C5313" s="47"/>
      <c r="H5313" s="49"/>
      <c r="K5313" s="72"/>
      <c r="L5313" s="50"/>
    </row>
    <row r="5314" spans="3:12" x14ac:dyDescent="0.3">
      <c r="C5314" s="47"/>
      <c r="H5314" s="49"/>
      <c r="K5314" s="72"/>
      <c r="L5314" s="50"/>
    </row>
    <row r="5315" spans="3:12" x14ac:dyDescent="0.3">
      <c r="C5315" s="47"/>
      <c r="H5315" s="49"/>
      <c r="K5315" s="72"/>
      <c r="L5315" s="50"/>
    </row>
    <row r="5316" spans="3:12" x14ac:dyDescent="0.3">
      <c r="C5316" s="47"/>
      <c r="H5316" s="49"/>
      <c r="K5316" s="72"/>
      <c r="L5316" s="50"/>
    </row>
    <row r="5317" spans="3:12" x14ac:dyDescent="0.3">
      <c r="C5317" s="47"/>
      <c r="H5317" s="49"/>
      <c r="K5317" s="72"/>
      <c r="L5317" s="50"/>
    </row>
    <row r="5318" spans="3:12" x14ac:dyDescent="0.3">
      <c r="C5318" s="47"/>
      <c r="H5318" s="49"/>
      <c r="K5318" s="72"/>
      <c r="L5318" s="50"/>
    </row>
    <row r="5319" spans="3:12" x14ac:dyDescent="0.3">
      <c r="C5319" s="47"/>
      <c r="H5319" s="49"/>
      <c r="K5319" s="72"/>
      <c r="L5319" s="50"/>
    </row>
    <row r="5320" spans="3:12" x14ac:dyDescent="0.3">
      <c r="C5320" s="47"/>
      <c r="H5320" s="49"/>
      <c r="K5320" s="72"/>
      <c r="L5320" s="50"/>
    </row>
    <row r="5321" spans="3:12" x14ac:dyDescent="0.3">
      <c r="C5321" s="47"/>
      <c r="H5321" s="49"/>
      <c r="K5321" s="72"/>
      <c r="L5321" s="50"/>
    </row>
    <row r="5322" spans="3:12" x14ac:dyDescent="0.3">
      <c r="C5322" s="47"/>
      <c r="H5322" s="49"/>
      <c r="K5322" s="72"/>
      <c r="L5322" s="50"/>
    </row>
    <row r="5323" spans="3:12" x14ac:dyDescent="0.3">
      <c r="C5323" s="47"/>
      <c r="H5323" s="49"/>
      <c r="K5323" s="72"/>
      <c r="L5323" s="50"/>
    </row>
    <row r="5324" spans="3:12" x14ac:dyDescent="0.3">
      <c r="C5324" s="47"/>
      <c r="H5324" s="49"/>
      <c r="K5324" s="72"/>
      <c r="L5324" s="50"/>
    </row>
    <row r="5325" spans="3:12" x14ac:dyDescent="0.3">
      <c r="C5325" s="47"/>
      <c r="H5325" s="49"/>
      <c r="K5325" s="72"/>
      <c r="L5325" s="50"/>
    </row>
    <row r="5326" spans="3:12" x14ac:dyDescent="0.3">
      <c r="C5326" s="47"/>
      <c r="H5326" s="49"/>
      <c r="K5326" s="72"/>
      <c r="L5326" s="50"/>
    </row>
    <row r="5327" spans="3:12" x14ac:dyDescent="0.3">
      <c r="C5327" s="47"/>
      <c r="H5327" s="49"/>
      <c r="K5327" s="72"/>
      <c r="L5327" s="50"/>
    </row>
    <row r="5328" spans="3:12" x14ac:dyDescent="0.3">
      <c r="C5328" s="47"/>
      <c r="H5328" s="49"/>
      <c r="K5328" s="72"/>
      <c r="L5328" s="50"/>
    </row>
    <row r="5329" spans="3:12" x14ac:dyDescent="0.3">
      <c r="C5329" s="47"/>
      <c r="H5329" s="49"/>
      <c r="K5329" s="72"/>
      <c r="L5329" s="50"/>
    </row>
    <row r="5330" spans="3:12" x14ac:dyDescent="0.3">
      <c r="C5330" s="47"/>
      <c r="H5330" s="49"/>
      <c r="K5330" s="72"/>
      <c r="L5330" s="50"/>
    </row>
    <row r="5331" spans="3:12" x14ac:dyDescent="0.3">
      <c r="C5331" s="47"/>
      <c r="H5331" s="49"/>
      <c r="K5331" s="72"/>
      <c r="L5331" s="50"/>
    </row>
    <row r="5332" spans="3:12" x14ac:dyDescent="0.3">
      <c r="C5332" s="47"/>
      <c r="H5332" s="49"/>
      <c r="K5332" s="72"/>
      <c r="L5332" s="50"/>
    </row>
    <row r="5333" spans="3:12" x14ac:dyDescent="0.3">
      <c r="C5333" s="47"/>
      <c r="H5333" s="49"/>
      <c r="K5333" s="72"/>
      <c r="L5333" s="50"/>
    </row>
    <row r="5334" spans="3:12" x14ac:dyDescent="0.3">
      <c r="C5334" s="47"/>
      <c r="H5334" s="49"/>
      <c r="K5334" s="72"/>
      <c r="L5334" s="50"/>
    </row>
    <row r="5335" spans="3:12" x14ac:dyDescent="0.3">
      <c r="C5335" s="47"/>
      <c r="H5335" s="49"/>
      <c r="K5335" s="72"/>
      <c r="L5335" s="50"/>
    </row>
    <row r="5336" spans="3:12" x14ac:dyDescent="0.3">
      <c r="C5336" s="47"/>
      <c r="H5336" s="49"/>
      <c r="K5336" s="72"/>
      <c r="L5336" s="50"/>
    </row>
    <row r="5337" spans="3:12" x14ac:dyDescent="0.3">
      <c r="C5337" s="47"/>
      <c r="H5337" s="49"/>
      <c r="K5337" s="72"/>
      <c r="L5337" s="50"/>
    </row>
    <row r="5338" spans="3:12" x14ac:dyDescent="0.3">
      <c r="C5338" s="47"/>
      <c r="H5338" s="49"/>
      <c r="K5338" s="72"/>
      <c r="L5338" s="50"/>
    </row>
    <row r="5339" spans="3:12" x14ac:dyDescent="0.3">
      <c r="C5339" s="47"/>
      <c r="H5339" s="49"/>
      <c r="K5339" s="72"/>
      <c r="L5339" s="50"/>
    </row>
    <row r="5340" spans="3:12" x14ac:dyDescent="0.3">
      <c r="C5340" s="47"/>
      <c r="H5340" s="49"/>
      <c r="K5340" s="72"/>
      <c r="L5340" s="50"/>
    </row>
    <row r="5341" spans="3:12" x14ac:dyDescent="0.3">
      <c r="C5341" s="47"/>
      <c r="H5341" s="49"/>
      <c r="K5341" s="72"/>
      <c r="L5341" s="50"/>
    </row>
    <row r="5342" spans="3:12" x14ac:dyDescent="0.3">
      <c r="C5342" s="47"/>
      <c r="H5342" s="49"/>
      <c r="K5342" s="72"/>
      <c r="L5342" s="50"/>
    </row>
    <row r="5343" spans="3:12" x14ac:dyDescent="0.3">
      <c r="C5343" s="47"/>
      <c r="H5343" s="49"/>
      <c r="K5343" s="72"/>
      <c r="L5343" s="50"/>
    </row>
    <row r="5344" spans="3:12" x14ac:dyDescent="0.3">
      <c r="C5344" s="47"/>
      <c r="H5344" s="49"/>
      <c r="K5344" s="72"/>
      <c r="L5344" s="50"/>
    </row>
    <row r="5345" spans="3:12" x14ac:dyDescent="0.3">
      <c r="C5345" s="47"/>
      <c r="H5345" s="49"/>
      <c r="K5345" s="72"/>
      <c r="L5345" s="50"/>
    </row>
    <row r="5346" spans="3:12" x14ac:dyDescent="0.3">
      <c r="C5346" s="47"/>
      <c r="H5346" s="49"/>
      <c r="K5346" s="72"/>
      <c r="L5346" s="50"/>
    </row>
    <row r="5347" spans="3:12" x14ac:dyDescent="0.3">
      <c r="C5347" s="47"/>
      <c r="H5347" s="49"/>
      <c r="K5347" s="72"/>
      <c r="L5347" s="50"/>
    </row>
    <row r="5348" spans="3:12" x14ac:dyDescent="0.3">
      <c r="C5348" s="47"/>
      <c r="H5348" s="49"/>
      <c r="K5348" s="72"/>
      <c r="L5348" s="50"/>
    </row>
    <row r="5349" spans="3:12" x14ac:dyDescent="0.3">
      <c r="C5349" s="47"/>
      <c r="H5349" s="49"/>
      <c r="K5349" s="72"/>
      <c r="L5349" s="50"/>
    </row>
    <row r="5350" spans="3:12" x14ac:dyDescent="0.3">
      <c r="C5350" s="47"/>
      <c r="H5350" s="49"/>
      <c r="K5350" s="72"/>
      <c r="L5350" s="50"/>
    </row>
    <row r="5351" spans="3:12" x14ac:dyDescent="0.3">
      <c r="C5351" s="47"/>
      <c r="H5351" s="49"/>
      <c r="K5351" s="72"/>
      <c r="L5351" s="50"/>
    </row>
    <row r="5352" spans="3:12" x14ac:dyDescent="0.3">
      <c r="C5352" s="47"/>
      <c r="H5352" s="49"/>
      <c r="K5352" s="72"/>
      <c r="L5352" s="50"/>
    </row>
    <row r="5353" spans="3:12" x14ac:dyDescent="0.3">
      <c r="C5353" s="47"/>
      <c r="H5353" s="49"/>
      <c r="K5353" s="72"/>
      <c r="L5353" s="50"/>
    </row>
    <row r="5354" spans="3:12" x14ac:dyDescent="0.3">
      <c r="C5354" s="47"/>
      <c r="H5354" s="49"/>
      <c r="K5354" s="72"/>
      <c r="L5354" s="50"/>
    </row>
    <row r="5355" spans="3:12" x14ac:dyDescent="0.3">
      <c r="C5355" s="47"/>
      <c r="H5355" s="49"/>
      <c r="K5355" s="72"/>
      <c r="L5355" s="50"/>
    </row>
    <row r="5356" spans="3:12" x14ac:dyDescent="0.3">
      <c r="C5356" s="47"/>
      <c r="H5356" s="49"/>
      <c r="K5356" s="72"/>
      <c r="L5356" s="50"/>
    </row>
    <row r="5357" spans="3:12" x14ac:dyDescent="0.3">
      <c r="C5357" s="47"/>
      <c r="H5357" s="49"/>
      <c r="K5357" s="72"/>
      <c r="L5357" s="50"/>
    </row>
    <row r="5358" spans="3:12" x14ac:dyDescent="0.3">
      <c r="C5358" s="47"/>
      <c r="H5358" s="49"/>
      <c r="K5358" s="72"/>
      <c r="L5358" s="50"/>
    </row>
    <row r="5359" spans="3:12" x14ac:dyDescent="0.3">
      <c r="C5359" s="47"/>
      <c r="H5359" s="49"/>
      <c r="K5359" s="72"/>
      <c r="L5359" s="50"/>
    </row>
    <row r="5360" spans="3:12" x14ac:dyDescent="0.3">
      <c r="C5360" s="47"/>
      <c r="H5360" s="49"/>
      <c r="K5360" s="72"/>
      <c r="L5360" s="50"/>
    </row>
    <row r="5361" spans="3:12" x14ac:dyDescent="0.3">
      <c r="C5361" s="47"/>
      <c r="H5361" s="49"/>
      <c r="K5361" s="72"/>
      <c r="L5361" s="50"/>
    </row>
    <row r="5362" spans="3:12" x14ac:dyDescent="0.3">
      <c r="C5362" s="47"/>
      <c r="H5362" s="49"/>
      <c r="K5362" s="72"/>
      <c r="L5362" s="50"/>
    </row>
    <row r="5363" spans="3:12" x14ac:dyDescent="0.3">
      <c r="C5363" s="47"/>
      <c r="H5363" s="49"/>
      <c r="K5363" s="72"/>
      <c r="L5363" s="50"/>
    </row>
    <row r="5364" spans="3:12" x14ac:dyDescent="0.3">
      <c r="C5364" s="47"/>
      <c r="H5364" s="49"/>
      <c r="K5364" s="72"/>
      <c r="L5364" s="50"/>
    </row>
    <row r="5365" spans="3:12" x14ac:dyDescent="0.3">
      <c r="C5365" s="47"/>
      <c r="H5365" s="49"/>
      <c r="K5365" s="72"/>
      <c r="L5365" s="50"/>
    </row>
    <row r="5366" spans="3:12" x14ac:dyDescent="0.3">
      <c r="C5366" s="47"/>
      <c r="H5366" s="49"/>
      <c r="K5366" s="72"/>
      <c r="L5366" s="50"/>
    </row>
    <row r="5367" spans="3:12" x14ac:dyDescent="0.3">
      <c r="C5367" s="47"/>
      <c r="H5367" s="49"/>
      <c r="K5367" s="72"/>
      <c r="L5367" s="50"/>
    </row>
    <row r="5368" spans="3:12" x14ac:dyDescent="0.3">
      <c r="C5368" s="47"/>
      <c r="H5368" s="49"/>
      <c r="K5368" s="72"/>
      <c r="L5368" s="50"/>
    </row>
    <row r="5369" spans="3:12" x14ac:dyDescent="0.3">
      <c r="C5369" s="47"/>
      <c r="H5369" s="49"/>
      <c r="K5369" s="72"/>
      <c r="L5369" s="50"/>
    </row>
    <row r="5370" spans="3:12" x14ac:dyDescent="0.3">
      <c r="C5370" s="47"/>
      <c r="H5370" s="49"/>
      <c r="K5370" s="72"/>
      <c r="L5370" s="50"/>
    </row>
    <row r="5371" spans="3:12" x14ac:dyDescent="0.3">
      <c r="C5371" s="47"/>
      <c r="H5371" s="49"/>
      <c r="K5371" s="72"/>
      <c r="L5371" s="50"/>
    </row>
    <row r="5372" spans="3:12" x14ac:dyDescent="0.3">
      <c r="C5372" s="47"/>
      <c r="H5372" s="49"/>
      <c r="K5372" s="72"/>
      <c r="L5372" s="50"/>
    </row>
    <row r="5373" spans="3:12" x14ac:dyDescent="0.3">
      <c r="C5373" s="47"/>
      <c r="H5373" s="49"/>
      <c r="K5373" s="72"/>
      <c r="L5373" s="50"/>
    </row>
    <row r="5374" spans="3:12" x14ac:dyDescent="0.3">
      <c r="C5374" s="47"/>
      <c r="H5374" s="49"/>
      <c r="K5374" s="72"/>
      <c r="L5374" s="50"/>
    </row>
    <row r="5375" spans="3:12" x14ac:dyDescent="0.3">
      <c r="C5375" s="47"/>
      <c r="H5375" s="49"/>
      <c r="K5375" s="72"/>
      <c r="L5375" s="50"/>
    </row>
    <row r="5376" spans="3:12" x14ac:dyDescent="0.3">
      <c r="C5376" s="47"/>
      <c r="H5376" s="49"/>
      <c r="K5376" s="72"/>
      <c r="L5376" s="50"/>
    </row>
    <row r="5377" spans="3:12" x14ac:dyDescent="0.3">
      <c r="C5377" s="47"/>
      <c r="H5377" s="49"/>
      <c r="K5377" s="72"/>
      <c r="L5377" s="50"/>
    </row>
    <row r="5378" spans="3:12" x14ac:dyDescent="0.3">
      <c r="C5378" s="47"/>
      <c r="H5378" s="49"/>
      <c r="K5378" s="72"/>
      <c r="L5378" s="50"/>
    </row>
    <row r="5379" spans="3:12" x14ac:dyDescent="0.3">
      <c r="C5379" s="47"/>
      <c r="H5379" s="49"/>
      <c r="K5379" s="72"/>
      <c r="L5379" s="50"/>
    </row>
    <row r="5380" spans="3:12" x14ac:dyDescent="0.3">
      <c r="C5380" s="47"/>
      <c r="H5380" s="49"/>
      <c r="K5380" s="72"/>
      <c r="L5380" s="50"/>
    </row>
    <row r="5381" spans="3:12" x14ac:dyDescent="0.3">
      <c r="C5381" s="47"/>
      <c r="H5381" s="49"/>
      <c r="K5381" s="72"/>
      <c r="L5381" s="50"/>
    </row>
    <row r="5382" spans="3:12" x14ac:dyDescent="0.3">
      <c r="C5382" s="47"/>
      <c r="H5382" s="49"/>
      <c r="K5382" s="72"/>
      <c r="L5382" s="50"/>
    </row>
    <row r="5383" spans="3:12" x14ac:dyDescent="0.3">
      <c r="C5383" s="47"/>
      <c r="H5383" s="49"/>
      <c r="K5383" s="72"/>
      <c r="L5383" s="50"/>
    </row>
    <row r="5384" spans="3:12" x14ac:dyDescent="0.3">
      <c r="C5384" s="47"/>
      <c r="H5384" s="49"/>
      <c r="K5384" s="72"/>
      <c r="L5384" s="50"/>
    </row>
    <row r="5385" spans="3:12" x14ac:dyDescent="0.3">
      <c r="C5385" s="47"/>
      <c r="H5385" s="49"/>
      <c r="K5385" s="72"/>
      <c r="L5385" s="50"/>
    </row>
    <row r="5386" spans="3:12" x14ac:dyDescent="0.3">
      <c r="C5386" s="47"/>
      <c r="H5386" s="49"/>
      <c r="K5386" s="72"/>
      <c r="L5386" s="50"/>
    </row>
    <row r="5387" spans="3:12" x14ac:dyDescent="0.3">
      <c r="C5387" s="47"/>
      <c r="H5387" s="49"/>
      <c r="K5387" s="72"/>
      <c r="L5387" s="50"/>
    </row>
    <row r="5388" spans="3:12" x14ac:dyDescent="0.3">
      <c r="C5388" s="47"/>
      <c r="H5388" s="49"/>
      <c r="K5388" s="72"/>
      <c r="L5388" s="50"/>
    </row>
    <row r="5389" spans="3:12" x14ac:dyDescent="0.3">
      <c r="C5389" s="47"/>
      <c r="H5389" s="49"/>
      <c r="K5389" s="72"/>
      <c r="L5389" s="50"/>
    </row>
    <row r="5390" spans="3:12" x14ac:dyDescent="0.3">
      <c r="C5390" s="47"/>
      <c r="H5390" s="49"/>
      <c r="K5390" s="72"/>
      <c r="L5390" s="50"/>
    </row>
    <row r="5391" spans="3:12" x14ac:dyDescent="0.3">
      <c r="C5391" s="47"/>
      <c r="H5391" s="49"/>
      <c r="K5391" s="72"/>
      <c r="L5391" s="50"/>
    </row>
    <row r="5392" spans="3:12" x14ac:dyDescent="0.3">
      <c r="C5392" s="47"/>
      <c r="H5392" s="49"/>
      <c r="K5392" s="72"/>
      <c r="L5392" s="50"/>
    </row>
    <row r="5393" spans="3:12" x14ac:dyDescent="0.3">
      <c r="C5393" s="47"/>
      <c r="H5393" s="49"/>
      <c r="K5393" s="72"/>
      <c r="L5393" s="50"/>
    </row>
    <row r="5394" spans="3:12" x14ac:dyDescent="0.3">
      <c r="C5394" s="47"/>
      <c r="H5394" s="49"/>
      <c r="K5394" s="72"/>
      <c r="L5394" s="50"/>
    </row>
    <row r="5395" spans="3:12" x14ac:dyDescent="0.3">
      <c r="C5395" s="47"/>
      <c r="H5395" s="49"/>
      <c r="K5395" s="72"/>
      <c r="L5395" s="50"/>
    </row>
    <row r="5396" spans="3:12" x14ac:dyDescent="0.3">
      <c r="C5396" s="47"/>
      <c r="H5396" s="49"/>
      <c r="K5396" s="72"/>
      <c r="L5396" s="50"/>
    </row>
    <row r="5397" spans="3:12" x14ac:dyDescent="0.3">
      <c r="C5397" s="47"/>
      <c r="H5397" s="49"/>
      <c r="K5397" s="72"/>
      <c r="L5397" s="50"/>
    </row>
    <row r="5398" spans="3:12" x14ac:dyDescent="0.3">
      <c r="C5398" s="47"/>
      <c r="H5398" s="49"/>
      <c r="K5398" s="72"/>
      <c r="L5398" s="50"/>
    </row>
    <row r="5399" spans="3:12" x14ac:dyDescent="0.3">
      <c r="C5399" s="47"/>
      <c r="H5399" s="49"/>
      <c r="K5399" s="72"/>
      <c r="L5399" s="50"/>
    </row>
    <row r="5400" spans="3:12" x14ac:dyDescent="0.3">
      <c r="C5400" s="47"/>
      <c r="H5400" s="49"/>
      <c r="K5400" s="72"/>
      <c r="L5400" s="50"/>
    </row>
    <row r="5401" spans="3:12" x14ac:dyDescent="0.3">
      <c r="C5401" s="47"/>
      <c r="H5401" s="49"/>
      <c r="K5401" s="72"/>
      <c r="L5401" s="50"/>
    </row>
    <row r="5402" spans="3:12" x14ac:dyDescent="0.3">
      <c r="C5402" s="47"/>
      <c r="H5402" s="49"/>
      <c r="K5402" s="72"/>
      <c r="L5402" s="50"/>
    </row>
    <row r="5403" spans="3:12" x14ac:dyDescent="0.3">
      <c r="C5403" s="47"/>
      <c r="H5403" s="49"/>
      <c r="K5403" s="72"/>
      <c r="L5403" s="50"/>
    </row>
    <row r="5404" spans="3:12" x14ac:dyDescent="0.3">
      <c r="C5404" s="47"/>
      <c r="H5404" s="49"/>
      <c r="K5404" s="72"/>
      <c r="L5404" s="50"/>
    </row>
    <row r="5405" spans="3:12" x14ac:dyDescent="0.3">
      <c r="C5405" s="47"/>
      <c r="H5405" s="49"/>
      <c r="K5405" s="72"/>
      <c r="L5405" s="50"/>
    </row>
    <row r="5406" spans="3:12" x14ac:dyDescent="0.3">
      <c r="C5406" s="47"/>
      <c r="H5406" s="49"/>
      <c r="K5406" s="72"/>
      <c r="L5406" s="50"/>
    </row>
    <row r="5407" spans="3:12" x14ac:dyDescent="0.3">
      <c r="C5407" s="47"/>
      <c r="H5407" s="49"/>
      <c r="K5407" s="72"/>
      <c r="L5407" s="50"/>
    </row>
    <row r="5408" spans="3:12" x14ac:dyDescent="0.3">
      <c r="C5408" s="47"/>
      <c r="H5408" s="49"/>
      <c r="K5408" s="72"/>
      <c r="L5408" s="50"/>
    </row>
    <row r="5409" spans="3:12" x14ac:dyDescent="0.3">
      <c r="C5409" s="47"/>
      <c r="H5409" s="49"/>
      <c r="K5409" s="72"/>
      <c r="L5409" s="50"/>
    </row>
    <row r="5410" spans="3:12" x14ac:dyDescent="0.3">
      <c r="C5410" s="47"/>
      <c r="H5410" s="49"/>
      <c r="K5410" s="72"/>
      <c r="L5410" s="50"/>
    </row>
    <row r="5411" spans="3:12" x14ac:dyDescent="0.3">
      <c r="C5411" s="47"/>
      <c r="H5411" s="49"/>
      <c r="K5411" s="72"/>
      <c r="L5411" s="50"/>
    </row>
    <row r="5412" spans="3:12" x14ac:dyDescent="0.3">
      <c r="C5412" s="47"/>
      <c r="H5412" s="49"/>
      <c r="K5412" s="72"/>
      <c r="L5412" s="50"/>
    </row>
    <row r="5413" spans="3:12" x14ac:dyDescent="0.3">
      <c r="C5413" s="47"/>
      <c r="H5413" s="49"/>
      <c r="K5413" s="72"/>
      <c r="L5413" s="50"/>
    </row>
    <row r="5414" spans="3:12" x14ac:dyDescent="0.3">
      <c r="C5414" s="47"/>
      <c r="H5414" s="49"/>
      <c r="K5414" s="72"/>
      <c r="L5414" s="50"/>
    </row>
    <row r="5415" spans="3:12" x14ac:dyDescent="0.3">
      <c r="C5415" s="47"/>
      <c r="H5415" s="49"/>
      <c r="K5415" s="72"/>
      <c r="L5415" s="50"/>
    </row>
    <row r="5416" spans="3:12" x14ac:dyDescent="0.3">
      <c r="C5416" s="47"/>
      <c r="H5416" s="49"/>
      <c r="K5416" s="72"/>
      <c r="L5416" s="50"/>
    </row>
    <row r="5417" spans="3:12" x14ac:dyDescent="0.3">
      <c r="C5417" s="47"/>
      <c r="H5417" s="49"/>
      <c r="K5417" s="72"/>
      <c r="L5417" s="50"/>
    </row>
    <row r="5418" spans="3:12" x14ac:dyDescent="0.3">
      <c r="C5418" s="47"/>
      <c r="H5418" s="49"/>
      <c r="K5418" s="72"/>
      <c r="L5418" s="50"/>
    </row>
    <row r="5419" spans="3:12" x14ac:dyDescent="0.3">
      <c r="C5419" s="47"/>
      <c r="H5419" s="49"/>
      <c r="K5419" s="72"/>
      <c r="L5419" s="50"/>
    </row>
    <row r="5420" spans="3:12" x14ac:dyDescent="0.3">
      <c r="C5420" s="47"/>
      <c r="H5420" s="49"/>
      <c r="K5420" s="72"/>
      <c r="L5420" s="50"/>
    </row>
    <row r="5421" spans="3:12" x14ac:dyDescent="0.3">
      <c r="C5421" s="47"/>
      <c r="H5421" s="49"/>
      <c r="K5421" s="72"/>
      <c r="L5421" s="50"/>
    </row>
    <row r="5422" spans="3:12" x14ac:dyDescent="0.3">
      <c r="C5422" s="47"/>
      <c r="H5422" s="49"/>
      <c r="K5422" s="72"/>
      <c r="L5422" s="50"/>
    </row>
    <row r="5423" spans="3:12" x14ac:dyDescent="0.3">
      <c r="C5423" s="47"/>
      <c r="H5423" s="49"/>
      <c r="K5423" s="72"/>
      <c r="L5423" s="50"/>
    </row>
    <row r="5424" spans="3:12" x14ac:dyDescent="0.3">
      <c r="C5424" s="47"/>
      <c r="H5424" s="49"/>
      <c r="K5424" s="72"/>
      <c r="L5424" s="50"/>
    </row>
    <row r="5425" spans="3:12" x14ac:dyDescent="0.3">
      <c r="C5425" s="47"/>
      <c r="H5425" s="49"/>
      <c r="K5425" s="72"/>
      <c r="L5425" s="50"/>
    </row>
    <row r="5426" spans="3:12" x14ac:dyDescent="0.3">
      <c r="C5426" s="47"/>
      <c r="H5426" s="49"/>
      <c r="K5426" s="72"/>
      <c r="L5426" s="50"/>
    </row>
    <row r="5427" spans="3:12" x14ac:dyDescent="0.3">
      <c r="C5427" s="47"/>
      <c r="H5427" s="49"/>
      <c r="K5427" s="72"/>
      <c r="L5427" s="50"/>
    </row>
    <row r="5428" spans="3:12" x14ac:dyDescent="0.3">
      <c r="C5428" s="47"/>
      <c r="H5428" s="49"/>
      <c r="K5428" s="72"/>
      <c r="L5428" s="50"/>
    </row>
    <row r="5429" spans="3:12" x14ac:dyDescent="0.3">
      <c r="C5429" s="47"/>
      <c r="H5429" s="49"/>
      <c r="K5429" s="72"/>
      <c r="L5429" s="50"/>
    </row>
    <row r="5430" spans="3:12" x14ac:dyDescent="0.3">
      <c r="C5430" s="47"/>
      <c r="H5430" s="49"/>
      <c r="K5430" s="72"/>
      <c r="L5430" s="50"/>
    </row>
    <row r="5431" spans="3:12" x14ac:dyDescent="0.3">
      <c r="C5431" s="47"/>
      <c r="H5431" s="49"/>
      <c r="K5431" s="72"/>
      <c r="L5431" s="50"/>
    </row>
    <row r="5432" spans="3:12" x14ac:dyDescent="0.3">
      <c r="C5432" s="47"/>
      <c r="H5432" s="49"/>
      <c r="K5432" s="72"/>
      <c r="L5432" s="50"/>
    </row>
    <row r="5433" spans="3:12" x14ac:dyDescent="0.3">
      <c r="C5433" s="47"/>
      <c r="H5433" s="49"/>
      <c r="K5433" s="72"/>
      <c r="L5433" s="50"/>
    </row>
    <row r="5434" spans="3:12" x14ac:dyDescent="0.3">
      <c r="C5434" s="47"/>
      <c r="H5434" s="49"/>
      <c r="K5434" s="72"/>
      <c r="L5434" s="50"/>
    </row>
    <row r="5435" spans="3:12" x14ac:dyDescent="0.3">
      <c r="C5435" s="47"/>
      <c r="H5435" s="49"/>
      <c r="K5435" s="72"/>
      <c r="L5435" s="50"/>
    </row>
    <row r="5436" spans="3:12" x14ac:dyDescent="0.3">
      <c r="C5436" s="47"/>
      <c r="H5436" s="49"/>
      <c r="K5436" s="72"/>
      <c r="L5436" s="50"/>
    </row>
    <row r="5437" spans="3:12" x14ac:dyDescent="0.3">
      <c r="C5437" s="47"/>
      <c r="H5437" s="49"/>
      <c r="K5437" s="72"/>
      <c r="L5437" s="50"/>
    </row>
    <row r="5438" spans="3:12" x14ac:dyDescent="0.3">
      <c r="C5438" s="47"/>
      <c r="H5438" s="49"/>
      <c r="K5438" s="72"/>
      <c r="L5438" s="50"/>
    </row>
    <row r="5439" spans="3:12" x14ac:dyDescent="0.3">
      <c r="C5439" s="47"/>
      <c r="H5439" s="49"/>
      <c r="K5439" s="72"/>
      <c r="L5439" s="50"/>
    </row>
    <row r="5440" spans="3:12" x14ac:dyDescent="0.3">
      <c r="C5440" s="47"/>
      <c r="H5440" s="49"/>
      <c r="K5440" s="72"/>
      <c r="L5440" s="50"/>
    </row>
    <row r="5441" spans="3:12" x14ac:dyDescent="0.3">
      <c r="C5441" s="47"/>
      <c r="H5441" s="49"/>
      <c r="K5441" s="72"/>
      <c r="L5441" s="50"/>
    </row>
    <row r="5442" spans="3:12" x14ac:dyDescent="0.3">
      <c r="C5442" s="47"/>
      <c r="H5442" s="49"/>
      <c r="K5442" s="72"/>
      <c r="L5442" s="50"/>
    </row>
    <row r="5443" spans="3:12" x14ac:dyDescent="0.3">
      <c r="C5443" s="47"/>
      <c r="H5443" s="49"/>
      <c r="K5443" s="72"/>
      <c r="L5443" s="50"/>
    </row>
    <row r="5444" spans="3:12" x14ac:dyDescent="0.3">
      <c r="C5444" s="47"/>
      <c r="H5444" s="49"/>
      <c r="K5444" s="72"/>
      <c r="L5444" s="50"/>
    </row>
    <row r="5445" spans="3:12" x14ac:dyDescent="0.3">
      <c r="C5445" s="47"/>
      <c r="H5445" s="49"/>
      <c r="K5445" s="72"/>
      <c r="L5445" s="50"/>
    </row>
    <row r="5446" spans="3:12" x14ac:dyDescent="0.3">
      <c r="C5446" s="47"/>
      <c r="H5446" s="49"/>
      <c r="K5446" s="72"/>
      <c r="L5446" s="50"/>
    </row>
    <row r="5447" spans="3:12" x14ac:dyDescent="0.3">
      <c r="C5447" s="47"/>
      <c r="H5447" s="49"/>
      <c r="K5447" s="72"/>
      <c r="L5447" s="50"/>
    </row>
    <row r="5448" spans="3:12" x14ac:dyDescent="0.3">
      <c r="C5448" s="47"/>
      <c r="H5448" s="49"/>
      <c r="K5448" s="72"/>
      <c r="L5448" s="50"/>
    </row>
    <row r="5449" spans="3:12" x14ac:dyDescent="0.3">
      <c r="C5449" s="47"/>
      <c r="H5449" s="49"/>
      <c r="K5449" s="72"/>
      <c r="L5449" s="50"/>
    </row>
    <row r="5450" spans="3:12" x14ac:dyDescent="0.3">
      <c r="C5450" s="47"/>
      <c r="H5450" s="49"/>
      <c r="K5450" s="72"/>
      <c r="L5450" s="50"/>
    </row>
    <row r="5451" spans="3:12" x14ac:dyDescent="0.3">
      <c r="C5451" s="47"/>
      <c r="H5451" s="49"/>
      <c r="K5451" s="72"/>
      <c r="L5451" s="50"/>
    </row>
    <row r="5452" spans="3:12" x14ac:dyDescent="0.3">
      <c r="C5452" s="47"/>
      <c r="H5452" s="49"/>
      <c r="K5452" s="72"/>
      <c r="L5452" s="50"/>
    </row>
    <row r="5453" spans="3:12" x14ac:dyDescent="0.3">
      <c r="C5453" s="47"/>
      <c r="H5453" s="49"/>
      <c r="K5453" s="72"/>
      <c r="L5453" s="50"/>
    </row>
    <row r="5454" spans="3:12" x14ac:dyDescent="0.3">
      <c r="C5454" s="47"/>
      <c r="H5454" s="49"/>
      <c r="K5454" s="72"/>
      <c r="L5454" s="50"/>
    </row>
    <row r="5455" spans="3:12" x14ac:dyDescent="0.3">
      <c r="C5455" s="47"/>
      <c r="H5455" s="49"/>
      <c r="K5455" s="72"/>
      <c r="L5455" s="50"/>
    </row>
    <row r="5456" spans="3:12" x14ac:dyDescent="0.3">
      <c r="C5456" s="47"/>
      <c r="H5456" s="49"/>
      <c r="K5456" s="72"/>
      <c r="L5456" s="50"/>
    </row>
    <row r="5457" spans="3:12" x14ac:dyDescent="0.3">
      <c r="C5457" s="47"/>
      <c r="H5457" s="49"/>
      <c r="K5457" s="72"/>
      <c r="L5457" s="50"/>
    </row>
    <row r="5458" spans="3:12" x14ac:dyDescent="0.3">
      <c r="C5458" s="47"/>
      <c r="H5458" s="49"/>
      <c r="K5458" s="72"/>
      <c r="L5458" s="50"/>
    </row>
    <row r="5459" spans="3:12" x14ac:dyDescent="0.3">
      <c r="C5459" s="47"/>
      <c r="H5459" s="49"/>
      <c r="K5459" s="72"/>
      <c r="L5459" s="50"/>
    </row>
    <row r="5460" spans="3:12" x14ac:dyDescent="0.3">
      <c r="C5460" s="47"/>
      <c r="H5460" s="49"/>
      <c r="K5460" s="72"/>
      <c r="L5460" s="50"/>
    </row>
    <row r="5461" spans="3:12" x14ac:dyDescent="0.3">
      <c r="C5461" s="47"/>
      <c r="H5461" s="49"/>
      <c r="K5461" s="72"/>
      <c r="L5461" s="50"/>
    </row>
    <row r="5462" spans="3:12" x14ac:dyDescent="0.3">
      <c r="C5462" s="47"/>
      <c r="H5462" s="49"/>
      <c r="K5462" s="72"/>
      <c r="L5462" s="50"/>
    </row>
    <row r="5463" spans="3:12" x14ac:dyDescent="0.3">
      <c r="C5463" s="47"/>
      <c r="H5463" s="49"/>
      <c r="K5463" s="72"/>
      <c r="L5463" s="50"/>
    </row>
    <row r="5464" spans="3:12" x14ac:dyDescent="0.3">
      <c r="C5464" s="47"/>
      <c r="H5464" s="49"/>
      <c r="K5464" s="72"/>
      <c r="L5464" s="50"/>
    </row>
    <row r="5465" spans="3:12" x14ac:dyDescent="0.3">
      <c r="C5465" s="47"/>
      <c r="H5465" s="49"/>
      <c r="K5465" s="72"/>
      <c r="L5465" s="50"/>
    </row>
    <row r="5466" spans="3:12" x14ac:dyDescent="0.3">
      <c r="C5466" s="47"/>
      <c r="H5466" s="49"/>
      <c r="K5466" s="72"/>
      <c r="L5466" s="50"/>
    </row>
    <row r="5467" spans="3:12" x14ac:dyDescent="0.3">
      <c r="C5467" s="47"/>
      <c r="H5467" s="49"/>
      <c r="K5467" s="72"/>
      <c r="L5467" s="50"/>
    </row>
    <row r="5468" spans="3:12" x14ac:dyDescent="0.3">
      <c r="C5468" s="47"/>
      <c r="H5468" s="49"/>
      <c r="K5468" s="72"/>
      <c r="L5468" s="50"/>
    </row>
    <row r="5469" spans="3:12" x14ac:dyDescent="0.3">
      <c r="C5469" s="47"/>
      <c r="H5469" s="49"/>
      <c r="K5469" s="72"/>
      <c r="L5469" s="50"/>
    </row>
    <row r="5470" spans="3:12" x14ac:dyDescent="0.3">
      <c r="C5470" s="47"/>
      <c r="H5470" s="49"/>
      <c r="K5470" s="72"/>
      <c r="L5470" s="50"/>
    </row>
    <row r="5471" spans="3:12" x14ac:dyDescent="0.3">
      <c r="C5471" s="47"/>
      <c r="H5471" s="49"/>
      <c r="K5471" s="72"/>
      <c r="L5471" s="50"/>
    </row>
    <row r="5472" spans="3:12" x14ac:dyDescent="0.3">
      <c r="C5472" s="47"/>
      <c r="H5472" s="49"/>
      <c r="K5472" s="72"/>
      <c r="L5472" s="50"/>
    </row>
    <row r="5473" spans="3:12" x14ac:dyDescent="0.3">
      <c r="C5473" s="47"/>
      <c r="H5473" s="49"/>
      <c r="K5473" s="72"/>
      <c r="L5473" s="50"/>
    </row>
    <row r="5474" spans="3:12" x14ac:dyDescent="0.3">
      <c r="C5474" s="47"/>
      <c r="H5474" s="49"/>
      <c r="K5474" s="72"/>
      <c r="L5474" s="50"/>
    </row>
    <row r="5475" spans="3:12" x14ac:dyDescent="0.3">
      <c r="C5475" s="47"/>
      <c r="H5475" s="49"/>
      <c r="K5475" s="72"/>
      <c r="L5475" s="50"/>
    </row>
    <row r="5476" spans="3:12" x14ac:dyDescent="0.3">
      <c r="C5476" s="47"/>
      <c r="H5476" s="49"/>
      <c r="K5476" s="72"/>
      <c r="L5476" s="50"/>
    </row>
    <row r="5477" spans="3:12" x14ac:dyDescent="0.3">
      <c r="C5477" s="47"/>
      <c r="H5477" s="49"/>
      <c r="K5477" s="72"/>
      <c r="L5477" s="50"/>
    </row>
    <row r="5478" spans="3:12" x14ac:dyDescent="0.3">
      <c r="C5478" s="47"/>
      <c r="H5478" s="49"/>
      <c r="K5478" s="72"/>
      <c r="L5478" s="50"/>
    </row>
    <row r="5479" spans="3:12" x14ac:dyDescent="0.3">
      <c r="C5479" s="47"/>
      <c r="H5479" s="49"/>
      <c r="K5479" s="72"/>
      <c r="L5479" s="50"/>
    </row>
    <row r="5480" spans="3:12" x14ac:dyDescent="0.3">
      <c r="C5480" s="47"/>
      <c r="H5480" s="49"/>
      <c r="K5480" s="72"/>
      <c r="L5480" s="50"/>
    </row>
    <row r="5481" spans="3:12" x14ac:dyDescent="0.3">
      <c r="C5481" s="47"/>
      <c r="H5481" s="49"/>
      <c r="K5481" s="72"/>
      <c r="L5481" s="50"/>
    </row>
    <row r="5482" spans="3:12" x14ac:dyDescent="0.3">
      <c r="C5482" s="47"/>
      <c r="H5482" s="49"/>
      <c r="K5482" s="72"/>
      <c r="L5482" s="50"/>
    </row>
    <row r="5483" spans="3:12" x14ac:dyDescent="0.3">
      <c r="C5483" s="47"/>
      <c r="H5483" s="49"/>
      <c r="K5483" s="72"/>
      <c r="L5483" s="50"/>
    </row>
    <row r="5484" spans="3:12" x14ac:dyDescent="0.3">
      <c r="C5484" s="47"/>
      <c r="H5484" s="49"/>
      <c r="K5484" s="72"/>
      <c r="L5484" s="50"/>
    </row>
    <row r="5485" spans="3:12" x14ac:dyDescent="0.3">
      <c r="C5485" s="47"/>
      <c r="H5485" s="49"/>
      <c r="K5485" s="72"/>
      <c r="L5485" s="50"/>
    </row>
    <row r="5486" spans="3:12" x14ac:dyDescent="0.3">
      <c r="C5486" s="47"/>
      <c r="H5486" s="49"/>
      <c r="K5486" s="72"/>
      <c r="L5486" s="50"/>
    </row>
    <row r="5487" spans="3:12" x14ac:dyDescent="0.3">
      <c r="C5487" s="47"/>
      <c r="H5487" s="49"/>
      <c r="K5487" s="72"/>
      <c r="L5487" s="50"/>
    </row>
    <row r="5488" spans="3:12" x14ac:dyDescent="0.3">
      <c r="C5488" s="47"/>
      <c r="H5488" s="49"/>
      <c r="K5488" s="72"/>
      <c r="L5488" s="50"/>
    </row>
    <row r="5489" spans="3:12" x14ac:dyDescent="0.3">
      <c r="C5489" s="47"/>
      <c r="H5489" s="49"/>
      <c r="K5489" s="72"/>
      <c r="L5489" s="50"/>
    </row>
    <row r="5490" spans="3:12" x14ac:dyDescent="0.3">
      <c r="C5490" s="47"/>
      <c r="H5490" s="49"/>
      <c r="K5490" s="72"/>
      <c r="L5490" s="50"/>
    </row>
    <row r="5491" spans="3:12" x14ac:dyDescent="0.3">
      <c r="C5491" s="47"/>
      <c r="H5491" s="49"/>
      <c r="K5491" s="72"/>
      <c r="L5491" s="50"/>
    </row>
    <row r="5492" spans="3:12" x14ac:dyDescent="0.3">
      <c r="C5492" s="47"/>
      <c r="H5492" s="49"/>
      <c r="K5492" s="72"/>
      <c r="L5492" s="50"/>
    </row>
    <row r="5493" spans="3:12" x14ac:dyDescent="0.3">
      <c r="C5493" s="47"/>
      <c r="H5493" s="49"/>
      <c r="K5493" s="72"/>
      <c r="L5493" s="50"/>
    </row>
    <row r="5494" spans="3:12" x14ac:dyDescent="0.3">
      <c r="C5494" s="47"/>
      <c r="H5494" s="49"/>
      <c r="K5494" s="72"/>
      <c r="L5494" s="50"/>
    </row>
    <row r="5495" spans="3:12" x14ac:dyDescent="0.3">
      <c r="C5495" s="47"/>
      <c r="H5495" s="49"/>
      <c r="K5495" s="72"/>
      <c r="L5495" s="50"/>
    </row>
    <row r="5496" spans="3:12" x14ac:dyDescent="0.3">
      <c r="C5496" s="47"/>
      <c r="H5496" s="49"/>
      <c r="K5496" s="72"/>
      <c r="L5496" s="50"/>
    </row>
    <row r="5497" spans="3:12" x14ac:dyDescent="0.3">
      <c r="C5497" s="47"/>
      <c r="H5497" s="49"/>
      <c r="K5497" s="72"/>
      <c r="L5497" s="50"/>
    </row>
    <row r="5498" spans="3:12" x14ac:dyDescent="0.3">
      <c r="C5498" s="47"/>
      <c r="H5498" s="49"/>
      <c r="K5498" s="72"/>
      <c r="L5498" s="50"/>
    </row>
    <row r="5499" spans="3:12" x14ac:dyDescent="0.3">
      <c r="C5499" s="47"/>
      <c r="H5499" s="49"/>
      <c r="K5499" s="72"/>
      <c r="L5499" s="50"/>
    </row>
    <row r="5500" spans="3:12" x14ac:dyDescent="0.3">
      <c r="C5500" s="47"/>
      <c r="H5500" s="49"/>
      <c r="K5500" s="72"/>
      <c r="L5500" s="50"/>
    </row>
    <row r="5501" spans="3:12" x14ac:dyDescent="0.3">
      <c r="C5501" s="47"/>
      <c r="H5501" s="49"/>
      <c r="K5501" s="72"/>
      <c r="L5501" s="50"/>
    </row>
    <row r="5502" spans="3:12" x14ac:dyDescent="0.3">
      <c r="C5502" s="47"/>
      <c r="H5502" s="49"/>
      <c r="K5502" s="72"/>
      <c r="L5502" s="50"/>
    </row>
    <row r="5503" spans="3:12" x14ac:dyDescent="0.3">
      <c r="C5503" s="47"/>
      <c r="H5503" s="49"/>
      <c r="K5503" s="72"/>
      <c r="L5503" s="50"/>
    </row>
    <row r="5504" spans="3:12" x14ac:dyDescent="0.3">
      <c r="C5504" s="47"/>
      <c r="H5504" s="49"/>
      <c r="K5504" s="72"/>
      <c r="L5504" s="50"/>
    </row>
    <row r="5505" spans="3:12" x14ac:dyDescent="0.3">
      <c r="C5505" s="47"/>
      <c r="H5505" s="49"/>
      <c r="K5505" s="72"/>
      <c r="L5505" s="50"/>
    </row>
    <row r="5506" spans="3:12" x14ac:dyDescent="0.3">
      <c r="C5506" s="47"/>
      <c r="H5506" s="49"/>
      <c r="K5506" s="72"/>
      <c r="L5506" s="50"/>
    </row>
    <row r="5507" spans="3:12" x14ac:dyDescent="0.3">
      <c r="C5507" s="47"/>
      <c r="H5507" s="49"/>
      <c r="K5507" s="72"/>
      <c r="L5507" s="50"/>
    </row>
    <row r="5508" spans="3:12" x14ac:dyDescent="0.3">
      <c r="C5508" s="47"/>
      <c r="H5508" s="49"/>
      <c r="K5508" s="72"/>
      <c r="L5508" s="50"/>
    </row>
    <row r="5509" spans="3:12" x14ac:dyDescent="0.3">
      <c r="C5509" s="47"/>
      <c r="H5509" s="49"/>
      <c r="K5509" s="72"/>
      <c r="L5509" s="50"/>
    </row>
    <row r="5510" spans="3:12" x14ac:dyDescent="0.3">
      <c r="C5510" s="47"/>
      <c r="H5510" s="49"/>
      <c r="K5510" s="72"/>
      <c r="L5510" s="50"/>
    </row>
    <row r="5511" spans="3:12" x14ac:dyDescent="0.3">
      <c r="C5511" s="47"/>
      <c r="H5511" s="49"/>
      <c r="K5511" s="72"/>
      <c r="L5511" s="50"/>
    </row>
    <row r="5512" spans="3:12" x14ac:dyDescent="0.3">
      <c r="C5512" s="47"/>
      <c r="H5512" s="49"/>
      <c r="K5512" s="72"/>
      <c r="L5512" s="50"/>
    </row>
    <row r="5513" spans="3:12" x14ac:dyDescent="0.3">
      <c r="C5513" s="47"/>
      <c r="H5513" s="49"/>
      <c r="K5513" s="72"/>
      <c r="L5513" s="50"/>
    </row>
    <row r="5514" spans="3:12" x14ac:dyDescent="0.3">
      <c r="C5514" s="47"/>
      <c r="H5514" s="49"/>
      <c r="K5514" s="72"/>
      <c r="L5514" s="50"/>
    </row>
    <row r="5515" spans="3:12" x14ac:dyDescent="0.3">
      <c r="C5515" s="47"/>
      <c r="H5515" s="49"/>
      <c r="K5515" s="72"/>
      <c r="L5515" s="50"/>
    </row>
    <row r="5516" spans="3:12" x14ac:dyDescent="0.3">
      <c r="C5516" s="47"/>
      <c r="H5516" s="49"/>
      <c r="K5516" s="72"/>
      <c r="L5516" s="50"/>
    </row>
    <row r="5517" spans="3:12" x14ac:dyDescent="0.3">
      <c r="C5517" s="47"/>
      <c r="H5517" s="49"/>
      <c r="K5517" s="72"/>
      <c r="L5517" s="50"/>
    </row>
    <row r="5518" spans="3:12" x14ac:dyDescent="0.3">
      <c r="C5518" s="47"/>
      <c r="H5518" s="49"/>
      <c r="K5518" s="72"/>
      <c r="L5518" s="50"/>
    </row>
    <row r="5519" spans="3:12" x14ac:dyDescent="0.3">
      <c r="C5519" s="47"/>
      <c r="H5519" s="49"/>
      <c r="K5519" s="72"/>
      <c r="L5519" s="50"/>
    </row>
    <row r="5520" spans="3:12" x14ac:dyDescent="0.3">
      <c r="C5520" s="47"/>
      <c r="H5520" s="49"/>
      <c r="K5520" s="72"/>
      <c r="L5520" s="50"/>
    </row>
    <row r="5521" spans="3:12" x14ac:dyDescent="0.3">
      <c r="C5521" s="47"/>
      <c r="H5521" s="49"/>
      <c r="K5521" s="72"/>
      <c r="L5521" s="50"/>
    </row>
    <row r="5522" spans="3:12" x14ac:dyDescent="0.3">
      <c r="C5522" s="47"/>
      <c r="H5522" s="49"/>
      <c r="K5522" s="72"/>
      <c r="L5522" s="50"/>
    </row>
    <row r="5523" spans="3:12" x14ac:dyDescent="0.3">
      <c r="C5523" s="47"/>
      <c r="H5523" s="49"/>
      <c r="K5523" s="72"/>
      <c r="L5523" s="50"/>
    </row>
    <row r="5524" spans="3:12" x14ac:dyDescent="0.3">
      <c r="C5524" s="47"/>
      <c r="H5524" s="49"/>
      <c r="K5524" s="72"/>
      <c r="L5524" s="50"/>
    </row>
    <row r="5525" spans="3:12" x14ac:dyDescent="0.3">
      <c r="C5525" s="47"/>
      <c r="H5525" s="49"/>
      <c r="K5525" s="72"/>
      <c r="L5525" s="50"/>
    </row>
    <row r="5526" spans="3:12" x14ac:dyDescent="0.3">
      <c r="C5526" s="47"/>
      <c r="H5526" s="49"/>
      <c r="K5526" s="72"/>
      <c r="L5526" s="50"/>
    </row>
    <row r="5527" spans="3:12" x14ac:dyDescent="0.3">
      <c r="C5527" s="47"/>
      <c r="H5527" s="49"/>
      <c r="K5527" s="72"/>
      <c r="L5527" s="50"/>
    </row>
    <row r="5528" spans="3:12" x14ac:dyDescent="0.3">
      <c r="C5528" s="47"/>
      <c r="H5528" s="49"/>
      <c r="K5528" s="72"/>
      <c r="L5528" s="50"/>
    </row>
    <row r="5529" spans="3:12" x14ac:dyDescent="0.3">
      <c r="C5529" s="47"/>
      <c r="H5529" s="49"/>
      <c r="K5529" s="72"/>
      <c r="L5529" s="50"/>
    </row>
    <row r="5530" spans="3:12" x14ac:dyDescent="0.3">
      <c r="C5530" s="47"/>
      <c r="H5530" s="49"/>
      <c r="K5530" s="72"/>
      <c r="L5530" s="50"/>
    </row>
    <row r="5531" spans="3:12" x14ac:dyDescent="0.3">
      <c r="C5531" s="47"/>
      <c r="H5531" s="49"/>
      <c r="K5531" s="72"/>
      <c r="L5531" s="50"/>
    </row>
    <row r="5532" spans="3:12" x14ac:dyDescent="0.3">
      <c r="C5532" s="47"/>
      <c r="H5532" s="49"/>
      <c r="K5532" s="72"/>
      <c r="L5532" s="50"/>
    </row>
    <row r="5533" spans="3:12" x14ac:dyDescent="0.3">
      <c r="C5533" s="47"/>
      <c r="H5533" s="49"/>
      <c r="K5533" s="72"/>
      <c r="L5533" s="50"/>
    </row>
    <row r="5534" spans="3:12" x14ac:dyDescent="0.3">
      <c r="C5534" s="47"/>
      <c r="H5534" s="49"/>
      <c r="K5534" s="72"/>
      <c r="L5534" s="50"/>
    </row>
    <row r="5535" spans="3:12" x14ac:dyDescent="0.3">
      <c r="C5535" s="47"/>
      <c r="H5535" s="49"/>
      <c r="K5535" s="72"/>
      <c r="L5535" s="50"/>
    </row>
    <row r="5536" spans="3:12" x14ac:dyDescent="0.3">
      <c r="C5536" s="47"/>
      <c r="H5536" s="49"/>
      <c r="K5536" s="72"/>
      <c r="L5536" s="50"/>
    </row>
    <row r="5537" spans="3:12" x14ac:dyDescent="0.3">
      <c r="C5537" s="47"/>
      <c r="H5537" s="49"/>
      <c r="K5537" s="72"/>
      <c r="L5537" s="50"/>
    </row>
    <row r="5538" spans="3:12" x14ac:dyDescent="0.3">
      <c r="C5538" s="47"/>
      <c r="H5538" s="49"/>
      <c r="K5538" s="72"/>
      <c r="L5538" s="50"/>
    </row>
    <row r="5539" spans="3:12" x14ac:dyDescent="0.3">
      <c r="C5539" s="47"/>
      <c r="H5539" s="49"/>
      <c r="K5539" s="72"/>
      <c r="L5539" s="50"/>
    </row>
    <row r="5540" spans="3:12" x14ac:dyDescent="0.3">
      <c r="C5540" s="47"/>
      <c r="H5540" s="49"/>
      <c r="K5540" s="72"/>
      <c r="L5540" s="50"/>
    </row>
    <row r="5541" spans="3:12" x14ac:dyDescent="0.3">
      <c r="C5541" s="47"/>
      <c r="H5541" s="49"/>
      <c r="K5541" s="72"/>
      <c r="L5541" s="50"/>
    </row>
    <row r="5542" spans="3:12" x14ac:dyDescent="0.3">
      <c r="C5542" s="47"/>
      <c r="H5542" s="49"/>
      <c r="K5542" s="72"/>
      <c r="L5542" s="50"/>
    </row>
    <row r="5543" spans="3:12" x14ac:dyDescent="0.3">
      <c r="C5543" s="47"/>
      <c r="H5543" s="49"/>
      <c r="K5543" s="72"/>
      <c r="L5543" s="50"/>
    </row>
    <row r="5544" spans="3:12" x14ac:dyDescent="0.3">
      <c r="C5544" s="47"/>
      <c r="H5544" s="49"/>
      <c r="K5544" s="72"/>
      <c r="L5544" s="50"/>
    </row>
    <row r="5545" spans="3:12" x14ac:dyDescent="0.3">
      <c r="C5545" s="47"/>
      <c r="H5545" s="49"/>
      <c r="K5545" s="72"/>
      <c r="L5545" s="50"/>
    </row>
    <row r="5546" spans="3:12" x14ac:dyDescent="0.3">
      <c r="C5546" s="47"/>
      <c r="H5546" s="49"/>
      <c r="K5546" s="72"/>
      <c r="L5546" s="50"/>
    </row>
    <row r="5547" spans="3:12" x14ac:dyDescent="0.3">
      <c r="C5547" s="47"/>
      <c r="H5547" s="49"/>
      <c r="K5547" s="72"/>
      <c r="L5547" s="50"/>
    </row>
    <row r="5548" spans="3:12" x14ac:dyDescent="0.3">
      <c r="C5548" s="47"/>
      <c r="H5548" s="49"/>
      <c r="K5548" s="72"/>
      <c r="L5548" s="50"/>
    </row>
    <row r="5549" spans="3:12" x14ac:dyDescent="0.3">
      <c r="C5549" s="47"/>
      <c r="H5549" s="49"/>
      <c r="K5549" s="72"/>
      <c r="L5549" s="50"/>
    </row>
    <row r="5550" spans="3:12" x14ac:dyDescent="0.3">
      <c r="C5550" s="47"/>
      <c r="H5550" s="49"/>
      <c r="K5550" s="72"/>
      <c r="L5550" s="50"/>
    </row>
    <row r="5551" spans="3:12" x14ac:dyDescent="0.3">
      <c r="C5551" s="47"/>
      <c r="H5551" s="49"/>
      <c r="K5551" s="72"/>
      <c r="L5551" s="50"/>
    </row>
    <row r="5552" spans="3:12" x14ac:dyDescent="0.3">
      <c r="C5552" s="47"/>
      <c r="H5552" s="49"/>
      <c r="K5552" s="72"/>
      <c r="L5552" s="50"/>
    </row>
    <row r="5553" spans="3:12" x14ac:dyDescent="0.3">
      <c r="C5553" s="47"/>
      <c r="H5553" s="49"/>
      <c r="K5553" s="72"/>
      <c r="L5553" s="50"/>
    </row>
    <row r="5554" spans="3:12" x14ac:dyDescent="0.3">
      <c r="C5554" s="47"/>
      <c r="H5554" s="49"/>
      <c r="K5554" s="72"/>
      <c r="L5554" s="50"/>
    </row>
    <row r="5555" spans="3:12" x14ac:dyDescent="0.3">
      <c r="C5555" s="47"/>
      <c r="H5555" s="49"/>
      <c r="K5555" s="72"/>
      <c r="L5555" s="50"/>
    </row>
    <row r="5556" spans="3:12" x14ac:dyDescent="0.3">
      <c r="C5556" s="47"/>
      <c r="H5556" s="49"/>
      <c r="K5556" s="72"/>
      <c r="L5556" s="50"/>
    </row>
    <row r="5557" spans="3:12" x14ac:dyDescent="0.3">
      <c r="C5557" s="47"/>
      <c r="H5557" s="49"/>
      <c r="K5557" s="72"/>
      <c r="L5557" s="50"/>
    </row>
    <row r="5558" spans="3:12" x14ac:dyDescent="0.3">
      <c r="C5558" s="47"/>
      <c r="H5558" s="49"/>
      <c r="K5558" s="72"/>
      <c r="L5558" s="50"/>
    </row>
    <row r="5559" spans="3:12" x14ac:dyDescent="0.3">
      <c r="C5559" s="47"/>
      <c r="H5559" s="49"/>
      <c r="K5559" s="72"/>
      <c r="L5559" s="50"/>
    </row>
    <row r="5560" spans="3:12" x14ac:dyDescent="0.3">
      <c r="C5560" s="47"/>
      <c r="H5560" s="49"/>
      <c r="K5560" s="72"/>
      <c r="L5560" s="50"/>
    </row>
    <row r="5561" spans="3:12" x14ac:dyDescent="0.3">
      <c r="C5561" s="47"/>
      <c r="H5561" s="49"/>
      <c r="K5561" s="72"/>
      <c r="L5561" s="50"/>
    </row>
    <row r="5562" spans="3:12" x14ac:dyDescent="0.3">
      <c r="C5562" s="47"/>
      <c r="H5562" s="49"/>
      <c r="K5562" s="72"/>
      <c r="L5562" s="50"/>
    </row>
    <row r="5563" spans="3:12" x14ac:dyDescent="0.3">
      <c r="C5563" s="47"/>
      <c r="H5563" s="49"/>
      <c r="K5563" s="72"/>
      <c r="L5563" s="50"/>
    </row>
    <row r="5564" spans="3:12" x14ac:dyDescent="0.3">
      <c r="C5564" s="47"/>
      <c r="H5564" s="49"/>
      <c r="K5564" s="72"/>
      <c r="L5564" s="50"/>
    </row>
    <row r="5565" spans="3:12" x14ac:dyDescent="0.3">
      <c r="C5565" s="47"/>
      <c r="H5565" s="49"/>
      <c r="K5565" s="72"/>
      <c r="L5565" s="50"/>
    </row>
    <row r="5566" spans="3:12" x14ac:dyDescent="0.3">
      <c r="C5566" s="47"/>
      <c r="H5566" s="49"/>
      <c r="K5566" s="72"/>
      <c r="L5566" s="50"/>
    </row>
    <row r="5567" spans="3:12" x14ac:dyDescent="0.3">
      <c r="C5567" s="47"/>
      <c r="H5567" s="49"/>
      <c r="K5567" s="72"/>
      <c r="L5567" s="50"/>
    </row>
    <row r="5568" spans="3:12" x14ac:dyDescent="0.3">
      <c r="C5568" s="47"/>
      <c r="H5568" s="49"/>
      <c r="K5568" s="72"/>
      <c r="L5568" s="50"/>
    </row>
    <row r="5569" spans="3:12" x14ac:dyDescent="0.3">
      <c r="C5569" s="47"/>
      <c r="H5569" s="49"/>
      <c r="K5569" s="72"/>
      <c r="L5569" s="50"/>
    </row>
    <row r="5570" spans="3:12" x14ac:dyDescent="0.3">
      <c r="C5570" s="47"/>
      <c r="H5570" s="49"/>
      <c r="K5570" s="72"/>
      <c r="L5570" s="50"/>
    </row>
    <row r="5571" spans="3:12" x14ac:dyDescent="0.3">
      <c r="C5571" s="47"/>
      <c r="H5571" s="49"/>
      <c r="K5571" s="72"/>
      <c r="L5571" s="50"/>
    </row>
    <row r="5572" spans="3:12" x14ac:dyDescent="0.3">
      <c r="C5572" s="47"/>
      <c r="H5572" s="49"/>
      <c r="K5572" s="72"/>
      <c r="L5572" s="50"/>
    </row>
    <row r="5573" spans="3:12" x14ac:dyDescent="0.3">
      <c r="C5573" s="47"/>
      <c r="H5573" s="49"/>
      <c r="K5573" s="72"/>
      <c r="L5573" s="50"/>
    </row>
    <row r="5574" spans="3:12" x14ac:dyDescent="0.3">
      <c r="C5574" s="47"/>
      <c r="H5574" s="49"/>
      <c r="K5574" s="72"/>
      <c r="L5574" s="50"/>
    </row>
    <row r="5575" spans="3:12" x14ac:dyDescent="0.3">
      <c r="C5575" s="47"/>
      <c r="H5575" s="49"/>
      <c r="K5575" s="72"/>
      <c r="L5575" s="50"/>
    </row>
    <row r="5576" spans="3:12" x14ac:dyDescent="0.3">
      <c r="C5576" s="47"/>
      <c r="H5576" s="49"/>
      <c r="K5576" s="72"/>
      <c r="L5576" s="50"/>
    </row>
    <row r="5577" spans="3:12" x14ac:dyDescent="0.3">
      <c r="C5577" s="47"/>
      <c r="H5577" s="49"/>
      <c r="K5577" s="72"/>
      <c r="L5577" s="50"/>
    </row>
    <row r="5578" spans="3:12" x14ac:dyDescent="0.3">
      <c r="C5578" s="47"/>
      <c r="H5578" s="49"/>
      <c r="K5578" s="72"/>
      <c r="L5578" s="50"/>
    </row>
    <row r="5579" spans="3:12" x14ac:dyDescent="0.3">
      <c r="C5579" s="47"/>
      <c r="H5579" s="49"/>
      <c r="K5579" s="72"/>
      <c r="L5579" s="50"/>
    </row>
    <row r="5580" spans="3:12" x14ac:dyDescent="0.3">
      <c r="C5580" s="47"/>
      <c r="H5580" s="49"/>
      <c r="K5580" s="72"/>
      <c r="L5580" s="50"/>
    </row>
    <row r="5581" spans="3:12" x14ac:dyDescent="0.3">
      <c r="C5581" s="47"/>
      <c r="H5581" s="49"/>
      <c r="K5581" s="72"/>
      <c r="L5581" s="50"/>
    </row>
    <row r="5582" spans="3:12" x14ac:dyDescent="0.3">
      <c r="C5582" s="47"/>
      <c r="H5582" s="49"/>
      <c r="K5582" s="72"/>
      <c r="L5582" s="50"/>
    </row>
    <row r="5583" spans="3:12" x14ac:dyDescent="0.3">
      <c r="C5583" s="47"/>
      <c r="H5583" s="49"/>
      <c r="K5583" s="72"/>
      <c r="L5583" s="50"/>
    </row>
    <row r="5584" spans="3:12" x14ac:dyDescent="0.3">
      <c r="C5584" s="47"/>
      <c r="H5584" s="49"/>
      <c r="K5584" s="72"/>
      <c r="L5584" s="50"/>
    </row>
    <row r="5585" spans="3:12" x14ac:dyDescent="0.3">
      <c r="C5585" s="47"/>
      <c r="H5585" s="49"/>
      <c r="K5585" s="72"/>
      <c r="L5585" s="50"/>
    </row>
    <row r="5586" spans="3:12" x14ac:dyDescent="0.3">
      <c r="C5586" s="47"/>
      <c r="H5586" s="49"/>
      <c r="K5586" s="72"/>
      <c r="L5586" s="50"/>
    </row>
    <row r="5587" spans="3:12" x14ac:dyDescent="0.3">
      <c r="C5587" s="47"/>
      <c r="H5587" s="49"/>
      <c r="K5587" s="72"/>
      <c r="L5587" s="50"/>
    </row>
    <row r="5588" spans="3:12" x14ac:dyDescent="0.3">
      <c r="C5588" s="47"/>
      <c r="H5588" s="49"/>
      <c r="K5588" s="72"/>
      <c r="L5588" s="50"/>
    </row>
    <row r="5589" spans="3:12" x14ac:dyDescent="0.3">
      <c r="C5589" s="47"/>
      <c r="H5589" s="49"/>
      <c r="K5589" s="72"/>
      <c r="L5589" s="50"/>
    </row>
    <row r="5590" spans="3:12" x14ac:dyDescent="0.3">
      <c r="C5590" s="47"/>
      <c r="H5590" s="49"/>
      <c r="K5590" s="72"/>
      <c r="L5590" s="50"/>
    </row>
    <row r="5591" spans="3:12" x14ac:dyDescent="0.3">
      <c r="C5591" s="47"/>
      <c r="H5591" s="49"/>
      <c r="K5591" s="72"/>
      <c r="L5591" s="50"/>
    </row>
    <row r="5592" spans="3:12" x14ac:dyDescent="0.3">
      <c r="C5592" s="47"/>
      <c r="H5592" s="49"/>
      <c r="K5592" s="72"/>
      <c r="L5592" s="50"/>
    </row>
    <row r="5593" spans="3:12" x14ac:dyDescent="0.3">
      <c r="C5593" s="47"/>
      <c r="H5593" s="49"/>
      <c r="K5593" s="72"/>
      <c r="L5593" s="50"/>
    </row>
    <row r="5594" spans="3:12" x14ac:dyDescent="0.3">
      <c r="C5594" s="47"/>
      <c r="H5594" s="49"/>
      <c r="K5594" s="72"/>
      <c r="L5594" s="50"/>
    </row>
    <row r="5595" spans="3:12" x14ac:dyDescent="0.3">
      <c r="C5595" s="47"/>
      <c r="H5595" s="49"/>
      <c r="K5595" s="72"/>
      <c r="L5595" s="50"/>
    </row>
    <row r="5596" spans="3:12" x14ac:dyDescent="0.3">
      <c r="C5596" s="47"/>
      <c r="H5596" s="49"/>
      <c r="K5596" s="72"/>
      <c r="L5596" s="50"/>
    </row>
    <row r="5597" spans="3:12" x14ac:dyDescent="0.3">
      <c r="C5597" s="47"/>
      <c r="H5597" s="49"/>
      <c r="K5597" s="72"/>
      <c r="L5597" s="50"/>
    </row>
    <row r="5598" spans="3:12" x14ac:dyDescent="0.3">
      <c r="C5598" s="47"/>
      <c r="H5598" s="49"/>
      <c r="K5598" s="72"/>
      <c r="L5598" s="50"/>
    </row>
    <row r="5599" spans="3:12" x14ac:dyDescent="0.3">
      <c r="C5599" s="47"/>
      <c r="H5599" s="49"/>
      <c r="K5599" s="72"/>
      <c r="L5599" s="50"/>
    </row>
    <row r="5600" spans="3:12" x14ac:dyDescent="0.3">
      <c r="C5600" s="47"/>
      <c r="H5600" s="49"/>
      <c r="K5600" s="72"/>
      <c r="L5600" s="50"/>
    </row>
    <row r="5601" spans="3:12" x14ac:dyDescent="0.3">
      <c r="C5601" s="47"/>
      <c r="H5601" s="49"/>
      <c r="K5601" s="72"/>
      <c r="L5601" s="50"/>
    </row>
    <row r="5602" spans="3:12" x14ac:dyDescent="0.3">
      <c r="C5602" s="47"/>
      <c r="H5602" s="49"/>
      <c r="K5602" s="72"/>
      <c r="L5602" s="50"/>
    </row>
    <row r="5603" spans="3:12" x14ac:dyDescent="0.3">
      <c r="C5603" s="47"/>
      <c r="H5603" s="49"/>
      <c r="K5603" s="72"/>
      <c r="L5603" s="50"/>
    </row>
    <row r="5604" spans="3:12" x14ac:dyDescent="0.3">
      <c r="C5604" s="47"/>
      <c r="H5604" s="49"/>
      <c r="K5604" s="72"/>
      <c r="L5604" s="50"/>
    </row>
    <row r="5605" spans="3:12" x14ac:dyDescent="0.3">
      <c r="C5605" s="47"/>
      <c r="H5605" s="49"/>
      <c r="K5605" s="72"/>
      <c r="L5605" s="50"/>
    </row>
    <row r="5606" spans="3:12" x14ac:dyDescent="0.3">
      <c r="C5606" s="47"/>
      <c r="H5606" s="49"/>
      <c r="K5606" s="72"/>
      <c r="L5606" s="50"/>
    </row>
    <row r="5607" spans="3:12" x14ac:dyDescent="0.3">
      <c r="C5607" s="47"/>
      <c r="H5607" s="49"/>
      <c r="K5607" s="72"/>
      <c r="L5607" s="50"/>
    </row>
    <row r="5608" spans="3:12" x14ac:dyDescent="0.3">
      <c r="C5608" s="47"/>
      <c r="H5608" s="49"/>
      <c r="K5608" s="72"/>
      <c r="L5608" s="50"/>
    </row>
    <row r="5609" spans="3:12" x14ac:dyDescent="0.3">
      <c r="C5609" s="47"/>
      <c r="H5609" s="49"/>
      <c r="K5609" s="72"/>
      <c r="L5609" s="50"/>
    </row>
    <row r="5610" spans="3:12" x14ac:dyDescent="0.3">
      <c r="C5610" s="47"/>
      <c r="H5610" s="49"/>
      <c r="K5610" s="72"/>
      <c r="L5610" s="50"/>
    </row>
    <row r="5611" spans="3:12" x14ac:dyDescent="0.3">
      <c r="C5611" s="47"/>
      <c r="H5611" s="49"/>
      <c r="K5611" s="72"/>
      <c r="L5611" s="50"/>
    </row>
    <row r="5612" spans="3:12" x14ac:dyDescent="0.3">
      <c r="C5612" s="47"/>
      <c r="H5612" s="49"/>
      <c r="K5612" s="72"/>
      <c r="L5612" s="50"/>
    </row>
    <row r="5613" spans="3:12" x14ac:dyDescent="0.3">
      <c r="C5613" s="47"/>
      <c r="H5613" s="49"/>
      <c r="K5613" s="72"/>
      <c r="L5613" s="50"/>
    </row>
    <row r="5614" spans="3:12" x14ac:dyDescent="0.3">
      <c r="C5614" s="47"/>
      <c r="H5614" s="49"/>
      <c r="K5614" s="72"/>
      <c r="L5614" s="50"/>
    </row>
    <row r="5615" spans="3:12" x14ac:dyDescent="0.3">
      <c r="C5615" s="47"/>
      <c r="H5615" s="49"/>
      <c r="K5615" s="72"/>
      <c r="L5615" s="50"/>
    </row>
    <row r="5616" spans="3:12" x14ac:dyDescent="0.3">
      <c r="C5616" s="47"/>
      <c r="H5616" s="49"/>
      <c r="K5616" s="72"/>
      <c r="L5616" s="50"/>
    </row>
    <row r="5617" spans="3:12" x14ac:dyDescent="0.3">
      <c r="C5617" s="47"/>
      <c r="H5617" s="49"/>
      <c r="K5617" s="72"/>
      <c r="L5617" s="50"/>
    </row>
    <row r="5618" spans="3:12" x14ac:dyDescent="0.3">
      <c r="C5618" s="47"/>
      <c r="H5618" s="49"/>
      <c r="K5618" s="72"/>
      <c r="L5618" s="50"/>
    </row>
    <row r="5619" spans="3:12" x14ac:dyDescent="0.3">
      <c r="C5619" s="47"/>
      <c r="H5619" s="49"/>
      <c r="K5619" s="72"/>
      <c r="L5619" s="50"/>
    </row>
    <row r="5620" spans="3:12" x14ac:dyDescent="0.3">
      <c r="C5620" s="47"/>
      <c r="H5620" s="49"/>
      <c r="K5620" s="72"/>
      <c r="L5620" s="50"/>
    </row>
    <row r="5621" spans="3:12" x14ac:dyDescent="0.3">
      <c r="C5621" s="47"/>
      <c r="H5621" s="49"/>
      <c r="K5621" s="72"/>
      <c r="L5621" s="50"/>
    </row>
    <row r="5622" spans="3:12" x14ac:dyDescent="0.3">
      <c r="C5622" s="47"/>
      <c r="H5622" s="49"/>
      <c r="K5622" s="72"/>
      <c r="L5622" s="50"/>
    </row>
    <row r="5623" spans="3:12" x14ac:dyDescent="0.3">
      <c r="C5623" s="47"/>
      <c r="H5623" s="49"/>
      <c r="K5623" s="72"/>
      <c r="L5623" s="50"/>
    </row>
    <row r="5624" spans="3:12" x14ac:dyDescent="0.3">
      <c r="C5624" s="47"/>
      <c r="H5624" s="49"/>
      <c r="K5624" s="72"/>
      <c r="L5624" s="50"/>
    </row>
    <row r="5625" spans="3:12" x14ac:dyDescent="0.3">
      <c r="C5625" s="47"/>
      <c r="H5625" s="49"/>
      <c r="K5625" s="72"/>
      <c r="L5625" s="50"/>
    </row>
    <row r="5626" spans="3:12" x14ac:dyDescent="0.3">
      <c r="C5626" s="47"/>
      <c r="H5626" s="49"/>
      <c r="K5626" s="72"/>
      <c r="L5626" s="50"/>
    </row>
    <row r="5627" spans="3:12" x14ac:dyDescent="0.3">
      <c r="C5627" s="47"/>
      <c r="H5627" s="49"/>
      <c r="K5627" s="72"/>
      <c r="L5627" s="50"/>
    </row>
    <row r="5628" spans="3:12" x14ac:dyDescent="0.3">
      <c r="C5628" s="47"/>
      <c r="H5628" s="49"/>
      <c r="K5628" s="72"/>
      <c r="L5628" s="50"/>
    </row>
    <row r="5629" spans="3:12" x14ac:dyDescent="0.3">
      <c r="C5629" s="47"/>
      <c r="H5629" s="49"/>
      <c r="K5629" s="72"/>
      <c r="L5629" s="50"/>
    </row>
    <row r="5630" spans="3:12" x14ac:dyDescent="0.3">
      <c r="C5630" s="47"/>
      <c r="H5630" s="49"/>
      <c r="K5630" s="72"/>
      <c r="L5630" s="50"/>
    </row>
    <row r="5631" spans="3:12" x14ac:dyDescent="0.3">
      <c r="C5631" s="47"/>
      <c r="H5631" s="49"/>
      <c r="K5631" s="72"/>
      <c r="L5631" s="50"/>
    </row>
    <row r="5632" spans="3:12" x14ac:dyDescent="0.3">
      <c r="C5632" s="47"/>
      <c r="H5632" s="49"/>
      <c r="K5632" s="72"/>
      <c r="L5632" s="50"/>
    </row>
    <row r="5633" spans="3:12" x14ac:dyDescent="0.3">
      <c r="C5633" s="47"/>
      <c r="H5633" s="49"/>
      <c r="K5633" s="72"/>
      <c r="L5633" s="50"/>
    </row>
    <row r="5634" spans="3:12" x14ac:dyDescent="0.3">
      <c r="C5634" s="47"/>
      <c r="H5634" s="49"/>
      <c r="K5634" s="72"/>
      <c r="L5634" s="50"/>
    </row>
    <row r="5635" spans="3:12" x14ac:dyDescent="0.3">
      <c r="C5635" s="47"/>
      <c r="H5635" s="49"/>
      <c r="K5635" s="72"/>
      <c r="L5635" s="50"/>
    </row>
    <row r="5636" spans="3:12" x14ac:dyDescent="0.3">
      <c r="C5636" s="47"/>
      <c r="H5636" s="49"/>
      <c r="K5636" s="72"/>
      <c r="L5636" s="50"/>
    </row>
    <row r="5637" spans="3:12" x14ac:dyDescent="0.3">
      <c r="C5637" s="47"/>
      <c r="H5637" s="49"/>
      <c r="K5637" s="72"/>
      <c r="L5637" s="50"/>
    </row>
    <row r="5638" spans="3:12" x14ac:dyDescent="0.3">
      <c r="C5638" s="47"/>
      <c r="H5638" s="49"/>
      <c r="K5638" s="72"/>
      <c r="L5638" s="50"/>
    </row>
    <row r="5639" spans="3:12" x14ac:dyDescent="0.3">
      <c r="C5639" s="47"/>
      <c r="H5639" s="49"/>
      <c r="K5639" s="72"/>
      <c r="L5639" s="50"/>
    </row>
    <row r="5640" spans="3:12" x14ac:dyDescent="0.3">
      <c r="C5640" s="47"/>
      <c r="H5640" s="49"/>
      <c r="K5640" s="72"/>
      <c r="L5640" s="50"/>
    </row>
    <row r="5641" spans="3:12" x14ac:dyDescent="0.3">
      <c r="C5641" s="47"/>
      <c r="H5641" s="49"/>
      <c r="K5641" s="72"/>
      <c r="L5641" s="50"/>
    </row>
    <row r="5642" spans="3:12" x14ac:dyDescent="0.3">
      <c r="C5642" s="47"/>
      <c r="H5642" s="49"/>
      <c r="K5642" s="72"/>
      <c r="L5642" s="50"/>
    </row>
    <row r="5643" spans="3:12" x14ac:dyDescent="0.3">
      <c r="C5643" s="47"/>
      <c r="H5643" s="49"/>
      <c r="K5643" s="72"/>
      <c r="L5643" s="50"/>
    </row>
    <row r="5644" spans="3:12" x14ac:dyDescent="0.3">
      <c r="C5644" s="47"/>
      <c r="H5644" s="49"/>
      <c r="K5644" s="72"/>
      <c r="L5644" s="50"/>
    </row>
    <row r="5645" spans="3:12" x14ac:dyDescent="0.3">
      <c r="C5645" s="47"/>
      <c r="H5645" s="49"/>
      <c r="K5645" s="72"/>
      <c r="L5645" s="50"/>
    </row>
    <row r="5646" spans="3:12" x14ac:dyDescent="0.3">
      <c r="C5646" s="47"/>
      <c r="H5646" s="49"/>
      <c r="K5646" s="72"/>
      <c r="L5646" s="50"/>
    </row>
    <row r="5647" spans="3:12" x14ac:dyDescent="0.3">
      <c r="C5647" s="47"/>
      <c r="H5647" s="49"/>
      <c r="K5647" s="72"/>
      <c r="L5647" s="50"/>
    </row>
    <row r="5648" spans="3:12" x14ac:dyDescent="0.3">
      <c r="C5648" s="47"/>
      <c r="H5648" s="49"/>
      <c r="K5648" s="72"/>
      <c r="L5648" s="50"/>
    </row>
    <row r="5649" spans="3:12" x14ac:dyDescent="0.3">
      <c r="C5649" s="47"/>
      <c r="H5649" s="49"/>
      <c r="K5649" s="72"/>
      <c r="L5649" s="50"/>
    </row>
    <row r="5650" spans="3:12" x14ac:dyDescent="0.3">
      <c r="C5650" s="47"/>
      <c r="H5650" s="49"/>
      <c r="K5650" s="72"/>
      <c r="L5650" s="50"/>
    </row>
    <row r="5651" spans="3:12" x14ac:dyDescent="0.3">
      <c r="C5651" s="47"/>
      <c r="H5651" s="49"/>
      <c r="K5651" s="72"/>
      <c r="L5651" s="50"/>
    </row>
    <row r="5652" spans="3:12" x14ac:dyDescent="0.3">
      <c r="C5652" s="47"/>
      <c r="H5652" s="49"/>
      <c r="K5652" s="72"/>
      <c r="L5652" s="50"/>
    </row>
    <row r="5653" spans="3:12" x14ac:dyDescent="0.3">
      <c r="C5653" s="47"/>
      <c r="H5653" s="49"/>
      <c r="K5653" s="72"/>
      <c r="L5653" s="50"/>
    </row>
    <row r="5654" spans="3:12" x14ac:dyDescent="0.3">
      <c r="C5654" s="47"/>
      <c r="H5654" s="49"/>
      <c r="K5654" s="72"/>
      <c r="L5654" s="50"/>
    </row>
    <row r="5655" spans="3:12" x14ac:dyDescent="0.3">
      <c r="C5655" s="47"/>
      <c r="H5655" s="49"/>
      <c r="K5655" s="72"/>
      <c r="L5655" s="50"/>
    </row>
    <row r="5656" spans="3:12" x14ac:dyDescent="0.3">
      <c r="C5656" s="47"/>
      <c r="H5656" s="49"/>
      <c r="K5656" s="72"/>
      <c r="L5656" s="50"/>
    </row>
    <row r="5657" spans="3:12" x14ac:dyDescent="0.3">
      <c r="C5657" s="47"/>
      <c r="H5657" s="49"/>
      <c r="K5657" s="72"/>
      <c r="L5657" s="50"/>
    </row>
    <row r="5658" spans="3:12" x14ac:dyDescent="0.3">
      <c r="C5658" s="47"/>
      <c r="H5658" s="49"/>
      <c r="K5658" s="72"/>
      <c r="L5658" s="50"/>
    </row>
    <row r="5659" spans="3:12" x14ac:dyDescent="0.3">
      <c r="C5659" s="47"/>
      <c r="H5659" s="49"/>
      <c r="K5659" s="72"/>
      <c r="L5659" s="50"/>
    </row>
    <row r="5660" spans="3:12" x14ac:dyDescent="0.3">
      <c r="C5660" s="47"/>
      <c r="H5660" s="49"/>
      <c r="K5660" s="72"/>
      <c r="L5660" s="50"/>
    </row>
    <row r="5661" spans="3:12" x14ac:dyDescent="0.3">
      <c r="C5661" s="47"/>
      <c r="H5661" s="49"/>
      <c r="K5661" s="72"/>
      <c r="L5661" s="50"/>
    </row>
    <row r="5662" spans="3:12" x14ac:dyDescent="0.3">
      <c r="C5662" s="47"/>
      <c r="H5662" s="49"/>
      <c r="K5662" s="72"/>
      <c r="L5662" s="50"/>
    </row>
    <row r="5663" spans="3:12" x14ac:dyDescent="0.3">
      <c r="C5663" s="47"/>
      <c r="H5663" s="49"/>
      <c r="K5663" s="72"/>
      <c r="L5663" s="50"/>
    </row>
    <row r="5664" spans="3:12" x14ac:dyDescent="0.3">
      <c r="C5664" s="47"/>
      <c r="H5664" s="49"/>
      <c r="K5664" s="72"/>
      <c r="L5664" s="50"/>
    </row>
    <row r="5665" spans="3:12" x14ac:dyDescent="0.3">
      <c r="C5665" s="47"/>
      <c r="H5665" s="49"/>
      <c r="K5665" s="72"/>
      <c r="L5665" s="50"/>
    </row>
    <row r="5666" spans="3:12" x14ac:dyDescent="0.3">
      <c r="C5666" s="47"/>
      <c r="H5666" s="49"/>
      <c r="K5666" s="72"/>
      <c r="L5666" s="50"/>
    </row>
    <row r="5667" spans="3:12" x14ac:dyDescent="0.3">
      <c r="C5667" s="47"/>
      <c r="H5667" s="49"/>
      <c r="K5667" s="72"/>
      <c r="L5667" s="50"/>
    </row>
    <row r="5668" spans="3:12" x14ac:dyDescent="0.3">
      <c r="C5668" s="47"/>
      <c r="H5668" s="49"/>
      <c r="K5668" s="72"/>
      <c r="L5668" s="50"/>
    </row>
    <row r="5669" spans="3:12" x14ac:dyDescent="0.3">
      <c r="C5669" s="47"/>
      <c r="H5669" s="49"/>
      <c r="K5669" s="72"/>
      <c r="L5669" s="50"/>
    </row>
    <row r="5670" spans="3:12" x14ac:dyDescent="0.3">
      <c r="C5670" s="47"/>
      <c r="H5670" s="49"/>
      <c r="K5670" s="72"/>
      <c r="L5670" s="50"/>
    </row>
    <row r="5671" spans="3:12" x14ac:dyDescent="0.3">
      <c r="C5671" s="47"/>
      <c r="H5671" s="49"/>
      <c r="K5671" s="72"/>
      <c r="L5671" s="50"/>
    </row>
    <row r="5672" spans="3:12" x14ac:dyDescent="0.3">
      <c r="C5672" s="47"/>
      <c r="H5672" s="49"/>
      <c r="K5672" s="72"/>
      <c r="L5672" s="50"/>
    </row>
    <row r="5673" spans="3:12" x14ac:dyDescent="0.3">
      <c r="C5673" s="47"/>
      <c r="H5673" s="49"/>
      <c r="K5673" s="72"/>
      <c r="L5673" s="50"/>
    </row>
    <row r="5674" spans="3:12" x14ac:dyDescent="0.3">
      <c r="C5674" s="47"/>
      <c r="H5674" s="49"/>
      <c r="K5674" s="72"/>
      <c r="L5674" s="50"/>
    </row>
    <row r="5675" spans="3:12" x14ac:dyDescent="0.3">
      <c r="C5675" s="47"/>
      <c r="H5675" s="49"/>
      <c r="K5675" s="72"/>
      <c r="L5675" s="50"/>
    </row>
    <row r="5676" spans="3:12" x14ac:dyDescent="0.3">
      <c r="C5676" s="47"/>
      <c r="H5676" s="49"/>
      <c r="K5676" s="72"/>
      <c r="L5676" s="50"/>
    </row>
    <row r="5677" spans="3:12" x14ac:dyDescent="0.3">
      <c r="C5677" s="47"/>
      <c r="H5677" s="49"/>
      <c r="K5677" s="72"/>
      <c r="L5677" s="50"/>
    </row>
    <row r="5678" spans="3:12" x14ac:dyDescent="0.3">
      <c r="C5678" s="47"/>
      <c r="H5678" s="49"/>
      <c r="K5678" s="72"/>
      <c r="L5678" s="50"/>
    </row>
    <row r="5679" spans="3:12" x14ac:dyDescent="0.3">
      <c r="C5679" s="47"/>
      <c r="H5679" s="49"/>
      <c r="K5679" s="72"/>
      <c r="L5679" s="50"/>
    </row>
    <row r="5680" spans="3:12" x14ac:dyDescent="0.3">
      <c r="C5680" s="47"/>
      <c r="H5680" s="49"/>
      <c r="K5680" s="72"/>
      <c r="L5680" s="50"/>
    </row>
    <row r="5681" spans="3:12" x14ac:dyDescent="0.3">
      <c r="C5681" s="47"/>
      <c r="H5681" s="49"/>
      <c r="K5681" s="72"/>
      <c r="L5681" s="50"/>
    </row>
    <row r="5682" spans="3:12" x14ac:dyDescent="0.3">
      <c r="C5682" s="47"/>
      <c r="H5682" s="49"/>
      <c r="K5682" s="72"/>
      <c r="L5682" s="50"/>
    </row>
    <row r="5683" spans="3:12" x14ac:dyDescent="0.3">
      <c r="C5683" s="47"/>
      <c r="H5683" s="49"/>
      <c r="K5683" s="72"/>
      <c r="L5683" s="50"/>
    </row>
    <row r="5684" spans="3:12" x14ac:dyDescent="0.3">
      <c r="C5684" s="47"/>
      <c r="H5684" s="49"/>
      <c r="K5684" s="72"/>
      <c r="L5684" s="50"/>
    </row>
    <row r="5685" spans="3:12" x14ac:dyDescent="0.3">
      <c r="C5685" s="47"/>
      <c r="H5685" s="49"/>
      <c r="K5685" s="72"/>
      <c r="L5685" s="50"/>
    </row>
    <row r="5686" spans="3:12" x14ac:dyDescent="0.3">
      <c r="C5686" s="47"/>
      <c r="H5686" s="49"/>
      <c r="K5686" s="72"/>
      <c r="L5686" s="50"/>
    </row>
    <row r="5687" spans="3:12" x14ac:dyDescent="0.3">
      <c r="C5687" s="47"/>
      <c r="H5687" s="49"/>
      <c r="K5687" s="72"/>
      <c r="L5687" s="50"/>
    </row>
    <row r="5688" spans="3:12" x14ac:dyDescent="0.3">
      <c r="C5688" s="47"/>
      <c r="H5688" s="49"/>
      <c r="K5688" s="72"/>
      <c r="L5688" s="50"/>
    </row>
    <row r="5689" spans="3:12" x14ac:dyDescent="0.3">
      <c r="C5689" s="47"/>
      <c r="H5689" s="49"/>
      <c r="K5689" s="72"/>
      <c r="L5689" s="50"/>
    </row>
    <row r="5690" spans="3:12" x14ac:dyDescent="0.3">
      <c r="C5690" s="47"/>
      <c r="H5690" s="49"/>
      <c r="K5690" s="72"/>
      <c r="L5690" s="50"/>
    </row>
    <row r="5691" spans="3:12" x14ac:dyDescent="0.3">
      <c r="C5691" s="47"/>
      <c r="H5691" s="49"/>
      <c r="K5691" s="72"/>
      <c r="L5691" s="50"/>
    </row>
    <row r="5692" spans="3:12" x14ac:dyDescent="0.3">
      <c r="C5692" s="47"/>
      <c r="H5692" s="49"/>
      <c r="K5692" s="72"/>
      <c r="L5692" s="50"/>
    </row>
    <row r="5693" spans="3:12" x14ac:dyDescent="0.3">
      <c r="C5693" s="47"/>
      <c r="H5693" s="49"/>
      <c r="K5693" s="72"/>
      <c r="L5693" s="50"/>
    </row>
    <row r="5694" spans="3:12" x14ac:dyDescent="0.3">
      <c r="C5694" s="47"/>
      <c r="H5694" s="49"/>
      <c r="K5694" s="72"/>
      <c r="L5694" s="50"/>
    </row>
    <row r="5695" spans="3:12" x14ac:dyDescent="0.3">
      <c r="C5695" s="47"/>
      <c r="H5695" s="49"/>
      <c r="K5695" s="72"/>
      <c r="L5695" s="50"/>
    </row>
    <row r="5696" spans="3:12" x14ac:dyDescent="0.3">
      <c r="C5696" s="47"/>
      <c r="H5696" s="49"/>
      <c r="K5696" s="72"/>
      <c r="L5696" s="50"/>
    </row>
    <row r="5697" spans="3:12" x14ac:dyDescent="0.3">
      <c r="C5697" s="47"/>
      <c r="H5697" s="49"/>
      <c r="K5697" s="72"/>
      <c r="L5697" s="50"/>
    </row>
    <row r="5698" spans="3:12" x14ac:dyDescent="0.3">
      <c r="C5698" s="47"/>
      <c r="H5698" s="49"/>
      <c r="K5698" s="72"/>
      <c r="L5698" s="50"/>
    </row>
    <row r="5699" spans="3:12" x14ac:dyDescent="0.3">
      <c r="C5699" s="47"/>
      <c r="H5699" s="49"/>
      <c r="K5699" s="72"/>
      <c r="L5699" s="50"/>
    </row>
    <row r="5700" spans="3:12" x14ac:dyDescent="0.3">
      <c r="C5700" s="47"/>
      <c r="H5700" s="49"/>
      <c r="K5700" s="72"/>
      <c r="L5700" s="50"/>
    </row>
    <row r="5701" spans="3:12" x14ac:dyDescent="0.3">
      <c r="C5701" s="47"/>
      <c r="H5701" s="49"/>
      <c r="K5701" s="72"/>
      <c r="L5701" s="50"/>
    </row>
    <row r="5702" spans="3:12" x14ac:dyDescent="0.3">
      <c r="C5702" s="47"/>
      <c r="H5702" s="49"/>
      <c r="K5702" s="72"/>
      <c r="L5702" s="50"/>
    </row>
    <row r="5703" spans="3:12" x14ac:dyDescent="0.3">
      <c r="C5703" s="47"/>
      <c r="H5703" s="49"/>
      <c r="K5703" s="72"/>
      <c r="L5703" s="50"/>
    </row>
    <row r="5704" spans="3:12" x14ac:dyDescent="0.3">
      <c r="C5704" s="47"/>
      <c r="H5704" s="49"/>
      <c r="K5704" s="72"/>
      <c r="L5704" s="50"/>
    </row>
    <row r="5705" spans="3:12" x14ac:dyDescent="0.3">
      <c r="C5705" s="47"/>
      <c r="H5705" s="49"/>
      <c r="K5705" s="72"/>
      <c r="L5705" s="50"/>
    </row>
    <row r="5706" spans="3:12" x14ac:dyDescent="0.3">
      <c r="C5706" s="47"/>
      <c r="H5706" s="49"/>
      <c r="K5706" s="72"/>
      <c r="L5706" s="50"/>
    </row>
    <row r="5707" spans="3:12" x14ac:dyDescent="0.3">
      <c r="C5707" s="47"/>
      <c r="H5707" s="49"/>
      <c r="K5707" s="72"/>
      <c r="L5707" s="50"/>
    </row>
    <row r="5708" spans="3:12" x14ac:dyDescent="0.3">
      <c r="C5708" s="47"/>
      <c r="H5708" s="49"/>
      <c r="K5708" s="72"/>
      <c r="L5708" s="50"/>
    </row>
    <row r="5709" spans="3:12" x14ac:dyDescent="0.3">
      <c r="C5709" s="47"/>
      <c r="H5709" s="49"/>
      <c r="K5709" s="72"/>
      <c r="L5709" s="50"/>
    </row>
    <row r="5710" spans="3:12" x14ac:dyDescent="0.3">
      <c r="C5710" s="47"/>
      <c r="H5710" s="49"/>
      <c r="K5710" s="72"/>
      <c r="L5710" s="50"/>
    </row>
    <row r="5711" spans="3:12" x14ac:dyDescent="0.3">
      <c r="C5711" s="47"/>
      <c r="H5711" s="49"/>
      <c r="K5711" s="72"/>
      <c r="L5711" s="50"/>
    </row>
    <row r="5712" spans="3:12" x14ac:dyDescent="0.3">
      <c r="C5712" s="47"/>
      <c r="H5712" s="49"/>
      <c r="K5712" s="72"/>
      <c r="L5712" s="50"/>
    </row>
    <row r="5713" spans="3:12" x14ac:dyDescent="0.3">
      <c r="C5713" s="47"/>
      <c r="H5713" s="49"/>
      <c r="K5713" s="72"/>
      <c r="L5713" s="50"/>
    </row>
    <row r="5714" spans="3:12" x14ac:dyDescent="0.3">
      <c r="C5714" s="47"/>
      <c r="H5714" s="49"/>
      <c r="K5714" s="72"/>
      <c r="L5714" s="50"/>
    </row>
    <row r="5715" spans="3:12" x14ac:dyDescent="0.3">
      <c r="C5715" s="47"/>
      <c r="H5715" s="49"/>
      <c r="K5715" s="72"/>
      <c r="L5715" s="50"/>
    </row>
    <row r="5716" spans="3:12" x14ac:dyDescent="0.3">
      <c r="C5716" s="47"/>
      <c r="H5716" s="49"/>
      <c r="K5716" s="72"/>
      <c r="L5716" s="50"/>
    </row>
    <row r="5717" spans="3:12" x14ac:dyDescent="0.3">
      <c r="C5717" s="47"/>
      <c r="H5717" s="49"/>
      <c r="K5717" s="72"/>
      <c r="L5717" s="50"/>
    </row>
    <row r="5718" spans="3:12" x14ac:dyDescent="0.3">
      <c r="C5718" s="47"/>
      <c r="H5718" s="49"/>
      <c r="K5718" s="72"/>
      <c r="L5718" s="50"/>
    </row>
    <row r="5719" spans="3:12" x14ac:dyDescent="0.3">
      <c r="C5719" s="47"/>
      <c r="H5719" s="49"/>
      <c r="K5719" s="72"/>
      <c r="L5719" s="50"/>
    </row>
    <row r="5720" spans="3:12" x14ac:dyDescent="0.3">
      <c r="C5720" s="47"/>
      <c r="H5720" s="49"/>
      <c r="K5720" s="72"/>
      <c r="L5720" s="50"/>
    </row>
    <row r="5721" spans="3:12" x14ac:dyDescent="0.3">
      <c r="C5721" s="47"/>
      <c r="H5721" s="49"/>
      <c r="K5721" s="72"/>
      <c r="L5721" s="50"/>
    </row>
    <row r="5722" spans="3:12" x14ac:dyDescent="0.3">
      <c r="C5722" s="47"/>
      <c r="H5722" s="49"/>
      <c r="K5722" s="72"/>
      <c r="L5722" s="50"/>
    </row>
    <row r="5723" spans="3:12" x14ac:dyDescent="0.3">
      <c r="C5723" s="47"/>
      <c r="H5723" s="49"/>
      <c r="K5723" s="72"/>
      <c r="L5723" s="50"/>
    </row>
    <row r="5724" spans="3:12" x14ac:dyDescent="0.3">
      <c r="C5724" s="47"/>
      <c r="H5724" s="49"/>
      <c r="K5724" s="72"/>
      <c r="L5724" s="50"/>
    </row>
    <row r="5725" spans="3:12" x14ac:dyDescent="0.3">
      <c r="C5725" s="47"/>
      <c r="H5725" s="49"/>
      <c r="K5725" s="72"/>
      <c r="L5725" s="50"/>
    </row>
    <row r="5726" spans="3:12" x14ac:dyDescent="0.3">
      <c r="C5726" s="47"/>
      <c r="H5726" s="49"/>
      <c r="K5726" s="72"/>
      <c r="L5726" s="50"/>
    </row>
    <row r="5727" spans="3:12" x14ac:dyDescent="0.3">
      <c r="C5727" s="47"/>
      <c r="H5727" s="49"/>
      <c r="K5727" s="72"/>
      <c r="L5727" s="50"/>
    </row>
    <row r="5728" spans="3:12" x14ac:dyDescent="0.3">
      <c r="C5728" s="47"/>
      <c r="H5728" s="49"/>
      <c r="K5728" s="72"/>
      <c r="L5728" s="50"/>
    </row>
    <row r="5729" spans="3:12" x14ac:dyDescent="0.3">
      <c r="C5729" s="47"/>
      <c r="H5729" s="49"/>
      <c r="K5729" s="72"/>
      <c r="L5729" s="50"/>
    </row>
    <row r="5730" spans="3:12" x14ac:dyDescent="0.3">
      <c r="C5730" s="47"/>
      <c r="H5730" s="49"/>
      <c r="K5730" s="72"/>
      <c r="L5730" s="50"/>
    </row>
    <row r="5731" spans="3:12" x14ac:dyDescent="0.3">
      <c r="C5731" s="47"/>
      <c r="H5731" s="49"/>
      <c r="K5731" s="72"/>
      <c r="L5731" s="50"/>
    </row>
    <row r="5732" spans="3:12" x14ac:dyDescent="0.3">
      <c r="C5732" s="47"/>
      <c r="H5732" s="49"/>
      <c r="K5732" s="72"/>
      <c r="L5732" s="50"/>
    </row>
    <row r="5733" spans="3:12" x14ac:dyDescent="0.3">
      <c r="C5733" s="47"/>
      <c r="H5733" s="49"/>
      <c r="K5733" s="72"/>
      <c r="L5733" s="50"/>
    </row>
    <row r="5734" spans="3:12" x14ac:dyDescent="0.3">
      <c r="C5734" s="47"/>
      <c r="H5734" s="49"/>
      <c r="K5734" s="72"/>
      <c r="L5734" s="50"/>
    </row>
    <row r="5735" spans="3:12" x14ac:dyDescent="0.3">
      <c r="C5735" s="47"/>
      <c r="H5735" s="49"/>
      <c r="K5735" s="72"/>
      <c r="L5735" s="50"/>
    </row>
    <row r="5736" spans="3:12" x14ac:dyDescent="0.3">
      <c r="C5736" s="47"/>
      <c r="H5736" s="49"/>
      <c r="K5736" s="72"/>
      <c r="L5736" s="50"/>
    </row>
    <row r="5737" spans="3:12" x14ac:dyDescent="0.3">
      <c r="C5737" s="47"/>
      <c r="H5737" s="49"/>
      <c r="K5737" s="72"/>
      <c r="L5737" s="50"/>
    </row>
    <row r="5738" spans="3:12" x14ac:dyDescent="0.3">
      <c r="C5738" s="47"/>
      <c r="H5738" s="49"/>
      <c r="K5738" s="72"/>
      <c r="L5738" s="50"/>
    </row>
    <row r="5739" spans="3:12" x14ac:dyDescent="0.3">
      <c r="C5739" s="47"/>
      <c r="H5739" s="49"/>
      <c r="K5739" s="72"/>
      <c r="L5739" s="50"/>
    </row>
    <row r="5740" spans="3:12" x14ac:dyDescent="0.3">
      <c r="C5740" s="47"/>
      <c r="H5740" s="49"/>
      <c r="K5740" s="72"/>
      <c r="L5740" s="50"/>
    </row>
    <row r="5741" spans="3:12" x14ac:dyDescent="0.3">
      <c r="C5741" s="47"/>
      <c r="H5741" s="49"/>
      <c r="K5741" s="72"/>
      <c r="L5741" s="50"/>
    </row>
    <row r="5742" spans="3:12" x14ac:dyDescent="0.3">
      <c r="C5742" s="47"/>
      <c r="H5742" s="49"/>
      <c r="K5742" s="72"/>
      <c r="L5742" s="50"/>
    </row>
    <row r="5743" spans="3:12" x14ac:dyDescent="0.3">
      <c r="C5743" s="47"/>
      <c r="H5743" s="49"/>
      <c r="K5743" s="72"/>
      <c r="L5743" s="50"/>
    </row>
    <row r="5744" spans="3:12" x14ac:dyDescent="0.3">
      <c r="C5744" s="47"/>
      <c r="H5744" s="49"/>
      <c r="K5744" s="72"/>
      <c r="L5744" s="50"/>
    </row>
    <row r="5745" spans="3:12" x14ac:dyDescent="0.3">
      <c r="C5745" s="47"/>
      <c r="H5745" s="49"/>
      <c r="K5745" s="72"/>
      <c r="L5745" s="50"/>
    </row>
    <row r="5746" spans="3:12" x14ac:dyDescent="0.3">
      <c r="C5746" s="47"/>
      <c r="H5746" s="49"/>
      <c r="K5746" s="72"/>
      <c r="L5746" s="50"/>
    </row>
    <row r="5747" spans="3:12" x14ac:dyDescent="0.3">
      <c r="C5747" s="47"/>
      <c r="H5747" s="49"/>
      <c r="K5747" s="72"/>
      <c r="L5747" s="50"/>
    </row>
    <row r="5748" spans="3:12" x14ac:dyDescent="0.3">
      <c r="C5748" s="47"/>
      <c r="H5748" s="49"/>
      <c r="K5748" s="72"/>
      <c r="L5748" s="50"/>
    </row>
    <row r="5749" spans="3:12" x14ac:dyDescent="0.3">
      <c r="C5749" s="47"/>
      <c r="H5749" s="49"/>
      <c r="K5749" s="72"/>
      <c r="L5749" s="50"/>
    </row>
    <row r="5750" spans="3:12" x14ac:dyDescent="0.3">
      <c r="C5750" s="47"/>
      <c r="H5750" s="49"/>
      <c r="K5750" s="72"/>
      <c r="L5750" s="50"/>
    </row>
    <row r="5751" spans="3:12" x14ac:dyDescent="0.3">
      <c r="C5751" s="47"/>
      <c r="H5751" s="49"/>
      <c r="K5751" s="72"/>
      <c r="L5751" s="50"/>
    </row>
    <row r="5752" spans="3:12" x14ac:dyDescent="0.3">
      <c r="C5752" s="47"/>
      <c r="H5752" s="49"/>
      <c r="K5752" s="72"/>
      <c r="L5752" s="50"/>
    </row>
    <row r="5753" spans="3:12" x14ac:dyDescent="0.3">
      <c r="C5753" s="47"/>
      <c r="H5753" s="49"/>
      <c r="K5753" s="72"/>
      <c r="L5753" s="50"/>
    </row>
    <row r="5754" spans="3:12" x14ac:dyDescent="0.3">
      <c r="C5754" s="47"/>
      <c r="H5754" s="49"/>
      <c r="K5754" s="72"/>
      <c r="L5754" s="50"/>
    </row>
    <row r="5755" spans="3:12" x14ac:dyDescent="0.3">
      <c r="C5755" s="47"/>
      <c r="H5755" s="49"/>
      <c r="K5755" s="72"/>
      <c r="L5755" s="50"/>
    </row>
    <row r="5756" spans="3:12" x14ac:dyDescent="0.3">
      <c r="C5756" s="47"/>
      <c r="H5756" s="49"/>
      <c r="K5756" s="72"/>
      <c r="L5756" s="50"/>
    </row>
    <row r="5757" spans="3:12" x14ac:dyDescent="0.3">
      <c r="C5757" s="47"/>
      <c r="H5757" s="49"/>
      <c r="K5757" s="72"/>
      <c r="L5757" s="50"/>
    </row>
    <row r="5758" spans="3:12" x14ac:dyDescent="0.3">
      <c r="C5758" s="47"/>
      <c r="H5758" s="49"/>
      <c r="K5758" s="72"/>
      <c r="L5758" s="50"/>
    </row>
    <row r="5759" spans="3:12" x14ac:dyDescent="0.3">
      <c r="C5759" s="47"/>
      <c r="H5759" s="49"/>
      <c r="K5759" s="72"/>
      <c r="L5759" s="50"/>
    </row>
    <row r="5760" spans="3:12" x14ac:dyDescent="0.3">
      <c r="C5760" s="47"/>
      <c r="H5760" s="49"/>
      <c r="K5760" s="72"/>
      <c r="L5760" s="50"/>
    </row>
    <row r="5761" spans="3:12" x14ac:dyDescent="0.3">
      <c r="C5761" s="47"/>
      <c r="H5761" s="49"/>
      <c r="K5761" s="72"/>
      <c r="L5761" s="50"/>
    </row>
    <row r="5762" spans="3:12" x14ac:dyDescent="0.3">
      <c r="C5762" s="47"/>
      <c r="H5762" s="49"/>
      <c r="K5762" s="72"/>
      <c r="L5762" s="50"/>
    </row>
    <row r="5763" spans="3:12" x14ac:dyDescent="0.3">
      <c r="C5763" s="47"/>
      <c r="H5763" s="49"/>
      <c r="K5763" s="72"/>
      <c r="L5763" s="50"/>
    </row>
    <row r="5764" spans="3:12" x14ac:dyDescent="0.3">
      <c r="C5764" s="47"/>
      <c r="H5764" s="49"/>
      <c r="K5764" s="72"/>
      <c r="L5764" s="50"/>
    </row>
    <row r="5765" spans="3:12" x14ac:dyDescent="0.3">
      <c r="C5765" s="47"/>
      <c r="H5765" s="49"/>
      <c r="K5765" s="72"/>
      <c r="L5765" s="50"/>
    </row>
    <row r="5766" spans="3:12" x14ac:dyDescent="0.3">
      <c r="C5766" s="47"/>
      <c r="H5766" s="49"/>
      <c r="K5766" s="72"/>
      <c r="L5766" s="50"/>
    </row>
    <row r="5767" spans="3:12" x14ac:dyDescent="0.3">
      <c r="C5767" s="47"/>
      <c r="H5767" s="49"/>
      <c r="K5767" s="72"/>
      <c r="L5767" s="50"/>
    </row>
    <row r="5768" spans="3:12" x14ac:dyDescent="0.3">
      <c r="C5768" s="47"/>
      <c r="H5768" s="49"/>
      <c r="K5768" s="72"/>
      <c r="L5768" s="50"/>
    </row>
    <row r="5769" spans="3:12" x14ac:dyDescent="0.3">
      <c r="C5769" s="47"/>
      <c r="H5769" s="49"/>
      <c r="K5769" s="72"/>
      <c r="L5769" s="50"/>
    </row>
    <row r="5770" spans="3:12" x14ac:dyDescent="0.3">
      <c r="C5770" s="47"/>
      <c r="H5770" s="49"/>
      <c r="K5770" s="72"/>
      <c r="L5770" s="50"/>
    </row>
    <row r="5771" spans="3:12" x14ac:dyDescent="0.3">
      <c r="C5771" s="47"/>
      <c r="H5771" s="49"/>
      <c r="K5771" s="72"/>
      <c r="L5771" s="50"/>
    </row>
    <row r="5772" spans="3:12" x14ac:dyDescent="0.3">
      <c r="C5772" s="47"/>
      <c r="H5772" s="49"/>
      <c r="K5772" s="72"/>
      <c r="L5772" s="50"/>
    </row>
    <row r="5773" spans="3:12" x14ac:dyDescent="0.3">
      <c r="C5773" s="47"/>
      <c r="H5773" s="49"/>
      <c r="K5773" s="72"/>
      <c r="L5773" s="50"/>
    </row>
    <row r="5774" spans="3:12" x14ac:dyDescent="0.3">
      <c r="C5774" s="47"/>
      <c r="H5774" s="49"/>
      <c r="K5774" s="72"/>
      <c r="L5774" s="50"/>
    </row>
    <row r="5775" spans="3:12" x14ac:dyDescent="0.3">
      <c r="C5775" s="47"/>
      <c r="H5775" s="49"/>
      <c r="K5775" s="72"/>
      <c r="L5775" s="50"/>
    </row>
    <row r="5776" spans="3:12" x14ac:dyDescent="0.3">
      <c r="C5776" s="47"/>
      <c r="H5776" s="49"/>
      <c r="K5776" s="72"/>
      <c r="L5776" s="50"/>
    </row>
    <row r="5777" spans="3:12" x14ac:dyDescent="0.3">
      <c r="C5777" s="47"/>
      <c r="H5777" s="49"/>
      <c r="K5777" s="72"/>
      <c r="L5777" s="50"/>
    </row>
    <row r="5778" spans="3:12" x14ac:dyDescent="0.3">
      <c r="C5778" s="47"/>
      <c r="H5778" s="49"/>
      <c r="K5778" s="72"/>
      <c r="L5778" s="50"/>
    </row>
    <row r="5779" spans="3:12" x14ac:dyDescent="0.3">
      <c r="C5779" s="47"/>
      <c r="H5779" s="49"/>
      <c r="K5779" s="72"/>
      <c r="L5779" s="50"/>
    </row>
    <row r="5780" spans="3:12" x14ac:dyDescent="0.3">
      <c r="C5780" s="47"/>
      <c r="H5780" s="49"/>
      <c r="K5780" s="72"/>
      <c r="L5780" s="50"/>
    </row>
    <row r="5781" spans="3:12" x14ac:dyDescent="0.3">
      <c r="C5781" s="47"/>
      <c r="H5781" s="49"/>
      <c r="K5781" s="72"/>
      <c r="L5781" s="50"/>
    </row>
    <row r="5782" spans="3:12" x14ac:dyDescent="0.3">
      <c r="C5782" s="47"/>
      <c r="H5782" s="49"/>
      <c r="K5782" s="72"/>
      <c r="L5782" s="50"/>
    </row>
    <row r="5783" spans="3:12" x14ac:dyDescent="0.3">
      <c r="C5783" s="47"/>
      <c r="H5783" s="49"/>
      <c r="K5783" s="72"/>
      <c r="L5783" s="50"/>
    </row>
    <row r="5784" spans="3:12" x14ac:dyDescent="0.3">
      <c r="C5784" s="47"/>
      <c r="H5784" s="49"/>
      <c r="K5784" s="72"/>
      <c r="L5784" s="50"/>
    </row>
    <row r="5785" spans="3:12" x14ac:dyDescent="0.3">
      <c r="C5785" s="47"/>
      <c r="H5785" s="49"/>
      <c r="K5785" s="72"/>
      <c r="L5785" s="50"/>
    </row>
    <row r="5786" spans="3:12" x14ac:dyDescent="0.3">
      <c r="C5786" s="47"/>
      <c r="H5786" s="49"/>
      <c r="K5786" s="72"/>
      <c r="L5786" s="50"/>
    </row>
    <row r="5787" spans="3:12" x14ac:dyDescent="0.3">
      <c r="C5787" s="47"/>
      <c r="H5787" s="49"/>
      <c r="K5787" s="72"/>
      <c r="L5787" s="50"/>
    </row>
    <row r="5788" spans="3:12" x14ac:dyDescent="0.3">
      <c r="C5788" s="47"/>
      <c r="H5788" s="49"/>
      <c r="K5788" s="72"/>
      <c r="L5788" s="50"/>
    </row>
    <row r="5789" spans="3:12" x14ac:dyDescent="0.3">
      <c r="C5789" s="47"/>
      <c r="H5789" s="49"/>
      <c r="K5789" s="72"/>
      <c r="L5789" s="50"/>
    </row>
    <row r="5790" spans="3:12" x14ac:dyDescent="0.3">
      <c r="C5790" s="47"/>
      <c r="H5790" s="49"/>
      <c r="K5790" s="72"/>
      <c r="L5790" s="50"/>
    </row>
    <row r="5791" spans="3:12" x14ac:dyDescent="0.3">
      <c r="C5791" s="47"/>
      <c r="H5791" s="49"/>
      <c r="K5791" s="72"/>
      <c r="L5791" s="50"/>
    </row>
    <row r="5792" spans="3:12" x14ac:dyDescent="0.3">
      <c r="C5792" s="47"/>
      <c r="H5792" s="49"/>
      <c r="K5792" s="72"/>
      <c r="L5792" s="50"/>
    </row>
    <row r="5793" spans="3:12" x14ac:dyDescent="0.3">
      <c r="C5793" s="47"/>
      <c r="H5793" s="49"/>
      <c r="K5793" s="72"/>
      <c r="L5793" s="50"/>
    </row>
    <row r="5794" spans="3:12" x14ac:dyDescent="0.3">
      <c r="C5794" s="47"/>
      <c r="H5794" s="49"/>
      <c r="K5794" s="72"/>
      <c r="L5794" s="50"/>
    </row>
    <row r="5795" spans="3:12" x14ac:dyDescent="0.3">
      <c r="C5795" s="47"/>
      <c r="H5795" s="49"/>
      <c r="K5795" s="72"/>
      <c r="L5795" s="50"/>
    </row>
    <row r="5796" spans="3:12" x14ac:dyDescent="0.3">
      <c r="C5796" s="47"/>
      <c r="H5796" s="49"/>
      <c r="K5796" s="72"/>
      <c r="L5796" s="50"/>
    </row>
    <row r="5797" spans="3:12" x14ac:dyDescent="0.3">
      <c r="C5797" s="47"/>
      <c r="H5797" s="49"/>
      <c r="K5797" s="72"/>
      <c r="L5797" s="50"/>
    </row>
    <row r="5798" spans="3:12" x14ac:dyDescent="0.3">
      <c r="C5798" s="47"/>
      <c r="H5798" s="49"/>
      <c r="K5798" s="72"/>
      <c r="L5798" s="50"/>
    </row>
    <row r="5799" spans="3:12" x14ac:dyDescent="0.3">
      <c r="C5799" s="47"/>
      <c r="H5799" s="49"/>
      <c r="K5799" s="72"/>
      <c r="L5799" s="50"/>
    </row>
    <row r="5800" spans="3:12" x14ac:dyDescent="0.3">
      <c r="C5800" s="47"/>
      <c r="H5800" s="49"/>
      <c r="K5800" s="72"/>
      <c r="L5800" s="50"/>
    </row>
    <row r="5801" spans="3:12" x14ac:dyDescent="0.3">
      <c r="C5801" s="47"/>
      <c r="H5801" s="49"/>
      <c r="K5801" s="72"/>
      <c r="L5801" s="50"/>
    </row>
    <row r="5802" spans="3:12" x14ac:dyDescent="0.3">
      <c r="C5802" s="47"/>
      <c r="H5802" s="49"/>
      <c r="K5802" s="72"/>
      <c r="L5802" s="50"/>
    </row>
    <row r="5803" spans="3:12" x14ac:dyDescent="0.3">
      <c r="C5803" s="47"/>
      <c r="H5803" s="49"/>
      <c r="K5803" s="72"/>
      <c r="L5803" s="50"/>
    </row>
    <row r="5804" spans="3:12" x14ac:dyDescent="0.3">
      <c r="C5804" s="47"/>
      <c r="H5804" s="49"/>
      <c r="K5804" s="72"/>
      <c r="L5804" s="50"/>
    </row>
    <row r="5805" spans="3:12" x14ac:dyDescent="0.3">
      <c r="C5805" s="47"/>
      <c r="H5805" s="49"/>
      <c r="K5805" s="72"/>
      <c r="L5805" s="50"/>
    </row>
    <row r="5806" spans="3:12" x14ac:dyDescent="0.3">
      <c r="C5806" s="47"/>
      <c r="H5806" s="49"/>
      <c r="K5806" s="72"/>
      <c r="L5806" s="50"/>
    </row>
    <row r="5807" spans="3:12" x14ac:dyDescent="0.3">
      <c r="C5807" s="47"/>
      <c r="H5807" s="49"/>
      <c r="K5807" s="72"/>
      <c r="L5807" s="50"/>
    </row>
    <row r="5808" spans="3:12" x14ac:dyDescent="0.3">
      <c r="C5808" s="47"/>
      <c r="H5808" s="49"/>
      <c r="K5808" s="72"/>
      <c r="L5808" s="50"/>
    </row>
    <row r="5809" spans="3:12" x14ac:dyDescent="0.3">
      <c r="C5809" s="47"/>
      <c r="H5809" s="49"/>
      <c r="K5809" s="72"/>
      <c r="L5809" s="50"/>
    </row>
    <row r="5810" spans="3:12" x14ac:dyDescent="0.3">
      <c r="C5810" s="47"/>
      <c r="H5810" s="49"/>
      <c r="K5810" s="72"/>
      <c r="L5810" s="50"/>
    </row>
    <row r="5811" spans="3:12" x14ac:dyDescent="0.3">
      <c r="C5811" s="47"/>
      <c r="H5811" s="49"/>
      <c r="K5811" s="72"/>
      <c r="L5811" s="50"/>
    </row>
    <row r="5812" spans="3:12" x14ac:dyDescent="0.3">
      <c r="C5812" s="47"/>
      <c r="H5812" s="49"/>
      <c r="K5812" s="72"/>
      <c r="L5812" s="50"/>
    </row>
    <row r="5813" spans="3:12" x14ac:dyDescent="0.3">
      <c r="C5813" s="47"/>
      <c r="H5813" s="49"/>
      <c r="K5813" s="72"/>
      <c r="L5813" s="50"/>
    </row>
    <row r="5814" spans="3:12" x14ac:dyDescent="0.3">
      <c r="C5814" s="47"/>
      <c r="H5814" s="49"/>
      <c r="K5814" s="72"/>
      <c r="L5814" s="50"/>
    </row>
    <row r="5815" spans="3:12" x14ac:dyDescent="0.3">
      <c r="C5815" s="47"/>
      <c r="H5815" s="49"/>
      <c r="K5815" s="72"/>
      <c r="L5815" s="50"/>
    </row>
    <row r="5816" spans="3:12" x14ac:dyDescent="0.3">
      <c r="C5816" s="47"/>
      <c r="H5816" s="49"/>
      <c r="K5816" s="72"/>
      <c r="L5816" s="50"/>
    </row>
    <row r="5817" spans="3:12" x14ac:dyDescent="0.3">
      <c r="C5817" s="47"/>
      <c r="H5817" s="49"/>
      <c r="K5817" s="72"/>
      <c r="L5817" s="50"/>
    </row>
    <row r="5818" spans="3:12" x14ac:dyDescent="0.3">
      <c r="C5818" s="47"/>
      <c r="H5818" s="49"/>
      <c r="K5818" s="72"/>
      <c r="L5818" s="50"/>
    </row>
    <row r="5819" spans="3:12" x14ac:dyDescent="0.3">
      <c r="C5819" s="47"/>
      <c r="H5819" s="49"/>
      <c r="K5819" s="72"/>
      <c r="L5819" s="50"/>
    </row>
    <row r="5820" spans="3:12" x14ac:dyDescent="0.3">
      <c r="C5820" s="47"/>
      <c r="H5820" s="49"/>
      <c r="K5820" s="72"/>
      <c r="L5820" s="50"/>
    </row>
    <row r="5821" spans="3:12" x14ac:dyDescent="0.3">
      <c r="C5821" s="47"/>
      <c r="H5821" s="49"/>
      <c r="K5821" s="72"/>
      <c r="L5821" s="50"/>
    </row>
    <row r="5822" spans="3:12" x14ac:dyDescent="0.3">
      <c r="C5822" s="47"/>
      <c r="H5822" s="49"/>
      <c r="K5822" s="72"/>
      <c r="L5822" s="50"/>
    </row>
    <row r="5823" spans="3:12" x14ac:dyDescent="0.3">
      <c r="C5823" s="47"/>
      <c r="H5823" s="49"/>
      <c r="K5823" s="72"/>
      <c r="L5823" s="50"/>
    </row>
    <row r="5824" spans="3:12" x14ac:dyDescent="0.3">
      <c r="C5824" s="47"/>
      <c r="H5824" s="49"/>
      <c r="K5824" s="72"/>
      <c r="L5824" s="50"/>
    </row>
    <row r="5825" spans="3:12" x14ac:dyDescent="0.3">
      <c r="C5825" s="47"/>
      <c r="H5825" s="49"/>
      <c r="K5825" s="72"/>
      <c r="L5825" s="50"/>
    </row>
    <row r="5826" spans="3:12" x14ac:dyDescent="0.3">
      <c r="C5826" s="47"/>
      <c r="H5826" s="49"/>
      <c r="K5826" s="72"/>
      <c r="L5826" s="50"/>
    </row>
    <row r="5827" spans="3:12" x14ac:dyDescent="0.3">
      <c r="C5827" s="47"/>
      <c r="H5827" s="49"/>
      <c r="K5827" s="72"/>
      <c r="L5827" s="50"/>
    </row>
    <row r="5828" spans="3:12" x14ac:dyDescent="0.3">
      <c r="C5828" s="47"/>
      <c r="H5828" s="49"/>
      <c r="K5828" s="72"/>
      <c r="L5828" s="50"/>
    </row>
    <row r="5829" spans="3:12" x14ac:dyDescent="0.3">
      <c r="C5829" s="47"/>
      <c r="H5829" s="49"/>
      <c r="K5829" s="72"/>
      <c r="L5829" s="50"/>
    </row>
    <row r="5830" spans="3:12" x14ac:dyDescent="0.3">
      <c r="C5830" s="47"/>
      <c r="H5830" s="49"/>
      <c r="K5830" s="72"/>
      <c r="L5830" s="50"/>
    </row>
    <row r="5831" spans="3:12" x14ac:dyDescent="0.3">
      <c r="C5831" s="47"/>
      <c r="H5831" s="49"/>
      <c r="K5831" s="72"/>
      <c r="L5831" s="50"/>
    </row>
    <row r="5832" spans="3:12" x14ac:dyDescent="0.3">
      <c r="C5832" s="47"/>
      <c r="H5832" s="49"/>
      <c r="K5832" s="72"/>
      <c r="L5832" s="50"/>
    </row>
    <row r="5833" spans="3:12" x14ac:dyDescent="0.3">
      <c r="C5833" s="47"/>
      <c r="H5833" s="49"/>
      <c r="K5833" s="72"/>
      <c r="L5833" s="50"/>
    </row>
    <row r="5834" spans="3:12" x14ac:dyDescent="0.3">
      <c r="C5834" s="47"/>
      <c r="H5834" s="49"/>
      <c r="K5834" s="72"/>
      <c r="L5834" s="50"/>
    </row>
    <row r="5835" spans="3:12" x14ac:dyDescent="0.3">
      <c r="C5835" s="47"/>
      <c r="H5835" s="49"/>
      <c r="K5835" s="72"/>
      <c r="L5835" s="50"/>
    </row>
    <row r="5836" spans="3:12" x14ac:dyDescent="0.3">
      <c r="C5836" s="47"/>
      <c r="H5836" s="49"/>
      <c r="K5836" s="72"/>
      <c r="L5836" s="50"/>
    </row>
    <row r="5837" spans="3:12" x14ac:dyDescent="0.3">
      <c r="C5837" s="47"/>
      <c r="H5837" s="49"/>
      <c r="K5837" s="72"/>
      <c r="L5837" s="50"/>
    </row>
    <row r="5838" spans="3:12" x14ac:dyDescent="0.3">
      <c r="C5838" s="47"/>
      <c r="H5838" s="49"/>
      <c r="K5838" s="72"/>
      <c r="L5838" s="50"/>
    </row>
    <row r="5839" spans="3:12" x14ac:dyDescent="0.3">
      <c r="C5839" s="47"/>
      <c r="H5839" s="49"/>
      <c r="K5839" s="72"/>
      <c r="L5839" s="50"/>
    </row>
    <row r="5840" spans="3:12" x14ac:dyDescent="0.3">
      <c r="C5840" s="47"/>
      <c r="H5840" s="49"/>
      <c r="K5840" s="72"/>
      <c r="L5840" s="50"/>
    </row>
    <row r="5841" spans="3:12" x14ac:dyDescent="0.3">
      <c r="C5841" s="47"/>
      <c r="H5841" s="49"/>
      <c r="K5841" s="72"/>
      <c r="L5841" s="50"/>
    </row>
    <row r="5842" spans="3:12" x14ac:dyDescent="0.3">
      <c r="C5842" s="47"/>
      <c r="H5842" s="49"/>
      <c r="K5842" s="72"/>
      <c r="L5842" s="50"/>
    </row>
    <row r="5843" spans="3:12" x14ac:dyDescent="0.3">
      <c r="C5843" s="47"/>
      <c r="H5843" s="49"/>
      <c r="K5843" s="72"/>
      <c r="L5843" s="50"/>
    </row>
    <row r="5844" spans="3:12" x14ac:dyDescent="0.3">
      <c r="C5844" s="47"/>
      <c r="H5844" s="49"/>
      <c r="K5844" s="72"/>
      <c r="L5844" s="50"/>
    </row>
    <row r="5845" spans="3:12" x14ac:dyDescent="0.3">
      <c r="C5845" s="47"/>
      <c r="H5845" s="49"/>
      <c r="K5845" s="72"/>
      <c r="L5845" s="50"/>
    </row>
    <row r="5846" spans="3:12" x14ac:dyDescent="0.3">
      <c r="C5846" s="47"/>
      <c r="H5846" s="49"/>
      <c r="K5846" s="72"/>
      <c r="L5846" s="50"/>
    </row>
    <row r="5847" spans="3:12" x14ac:dyDescent="0.3">
      <c r="C5847" s="47"/>
      <c r="H5847" s="49"/>
      <c r="K5847" s="72"/>
      <c r="L5847" s="50"/>
    </row>
    <row r="5848" spans="3:12" x14ac:dyDescent="0.3">
      <c r="C5848" s="47"/>
      <c r="H5848" s="49"/>
      <c r="K5848" s="72"/>
      <c r="L5848" s="50"/>
    </row>
    <row r="5849" spans="3:12" x14ac:dyDescent="0.3">
      <c r="C5849" s="47"/>
      <c r="H5849" s="49"/>
      <c r="K5849" s="72"/>
      <c r="L5849" s="50"/>
    </row>
    <row r="5850" spans="3:12" x14ac:dyDescent="0.3">
      <c r="C5850" s="47"/>
      <c r="H5850" s="49"/>
      <c r="K5850" s="72"/>
      <c r="L5850" s="50"/>
    </row>
    <row r="5851" spans="3:12" x14ac:dyDescent="0.3">
      <c r="C5851" s="47"/>
      <c r="H5851" s="49"/>
      <c r="K5851" s="72"/>
      <c r="L5851" s="50"/>
    </row>
    <row r="5852" spans="3:12" x14ac:dyDescent="0.3">
      <c r="C5852" s="47"/>
      <c r="H5852" s="49"/>
      <c r="K5852" s="72"/>
      <c r="L5852" s="50"/>
    </row>
    <row r="5853" spans="3:12" x14ac:dyDescent="0.3">
      <c r="C5853" s="47"/>
      <c r="H5853" s="49"/>
      <c r="K5853" s="72"/>
      <c r="L5853" s="50"/>
    </row>
    <row r="5854" spans="3:12" x14ac:dyDescent="0.3">
      <c r="C5854" s="47"/>
      <c r="H5854" s="49"/>
      <c r="K5854" s="72"/>
      <c r="L5854" s="50"/>
    </row>
    <row r="5855" spans="3:12" x14ac:dyDescent="0.3">
      <c r="C5855" s="47"/>
      <c r="H5855" s="49"/>
      <c r="K5855" s="72"/>
      <c r="L5855" s="50"/>
    </row>
    <row r="5856" spans="3:12" x14ac:dyDescent="0.3">
      <c r="C5856" s="47"/>
      <c r="H5856" s="49"/>
      <c r="K5856" s="72"/>
      <c r="L5856" s="50"/>
    </row>
    <row r="5857" spans="3:12" x14ac:dyDescent="0.3">
      <c r="C5857" s="47"/>
      <c r="H5857" s="49"/>
      <c r="K5857" s="72"/>
      <c r="L5857" s="50"/>
    </row>
    <row r="5858" spans="3:12" x14ac:dyDescent="0.3">
      <c r="C5858" s="47"/>
      <c r="H5858" s="49"/>
      <c r="K5858" s="72"/>
      <c r="L5858" s="50"/>
    </row>
    <row r="5859" spans="3:12" x14ac:dyDescent="0.3">
      <c r="C5859" s="47"/>
      <c r="H5859" s="49"/>
      <c r="K5859" s="72"/>
      <c r="L5859" s="50"/>
    </row>
    <row r="5860" spans="3:12" x14ac:dyDescent="0.3">
      <c r="C5860" s="47"/>
      <c r="H5860" s="49"/>
      <c r="K5860" s="72"/>
      <c r="L5860" s="50"/>
    </row>
    <row r="5861" spans="3:12" x14ac:dyDescent="0.3">
      <c r="C5861" s="47"/>
      <c r="H5861" s="49"/>
      <c r="K5861" s="72"/>
      <c r="L5861" s="50"/>
    </row>
    <row r="5862" spans="3:12" x14ac:dyDescent="0.3">
      <c r="C5862" s="47"/>
      <c r="H5862" s="49"/>
      <c r="K5862" s="72"/>
      <c r="L5862" s="50"/>
    </row>
    <row r="5863" spans="3:12" x14ac:dyDescent="0.3">
      <c r="C5863" s="47"/>
      <c r="H5863" s="49"/>
      <c r="K5863" s="72"/>
      <c r="L5863" s="50"/>
    </row>
    <row r="5864" spans="3:12" x14ac:dyDescent="0.3">
      <c r="C5864" s="47"/>
      <c r="H5864" s="49"/>
      <c r="K5864" s="72"/>
      <c r="L5864" s="50"/>
    </row>
    <row r="5865" spans="3:12" x14ac:dyDescent="0.3">
      <c r="C5865" s="47"/>
      <c r="H5865" s="49"/>
      <c r="K5865" s="72"/>
      <c r="L5865" s="50"/>
    </row>
    <row r="5866" spans="3:12" x14ac:dyDescent="0.3">
      <c r="C5866" s="47"/>
      <c r="H5866" s="49"/>
      <c r="K5866" s="72"/>
      <c r="L5866" s="50"/>
    </row>
    <row r="5867" spans="3:12" x14ac:dyDescent="0.3">
      <c r="C5867" s="47"/>
      <c r="H5867" s="49"/>
      <c r="K5867" s="72"/>
      <c r="L5867" s="50"/>
    </row>
    <row r="5868" spans="3:12" x14ac:dyDescent="0.3">
      <c r="C5868" s="47"/>
      <c r="H5868" s="49"/>
      <c r="K5868" s="72"/>
      <c r="L5868" s="50"/>
    </row>
    <row r="5869" spans="3:12" x14ac:dyDescent="0.3">
      <c r="C5869" s="47"/>
      <c r="H5869" s="49"/>
      <c r="K5869" s="72"/>
      <c r="L5869" s="50"/>
    </row>
    <row r="5870" spans="3:12" x14ac:dyDescent="0.3">
      <c r="C5870" s="47"/>
      <c r="H5870" s="49"/>
      <c r="K5870" s="72"/>
      <c r="L5870" s="50"/>
    </row>
    <row r="5871" spans="3:12" x14ac:dyDescent="0.3">
      <c r="C5871" s="47"/>
      <c r="H5871" s="49"/>
      <c r="K5871" s="72"/>
      <c r="L5871" s="50"/>
    </row>
    <row r="5872" spans="3:12" x14ac:dyDescent="0.3">
      <c r="C5872" s="47"/>
      <c r="H5872" s="49"/>
      <c r="K5872" s="72"/>
      <c r="L5872" s="50"/>
    </row>
    <row r="5873" spans="3:12" x14ac:dyDescent="0.3">
      <c r="C5873" s="47"/>
      <c r="H5873" s="49"/>
      <c r="K5873" s="72"/>
      <c r="L5873" s="50"/>
    </row>
    <row r="5874" spans="3:12" x14ac:dyDescent="0.3">
      <c r="C5874" s="47"/>
      <c r="H5874" s="49"/>
      <c r="K5874" s="72"/>
      <c r="L5874" s="50"/>
    </row>
    <row r="5875" spans="3:12" x14ac:dyDescent="0.3">
      <c r="C5875" s="47"/>
      <c r="H5875" s="49"/>
      <c r="K5875" s="72"/>
      <c r="L5875" s="50"/>
    </row>
    <row r="5876" spans="3:12" x14ac:dyDescent="0.3">
      <c r="C5876" s="47"/>
      <c r="H5876" s="49"/>
      <c r="K5876" s="72"/>
      <c r="L5876" s="50"/>
    </row>
    <row r="5877" spans="3:12" x14ac:dyDescent="0.3">
      <c r="C5877" s="47"/>
      <c r="H5877" s="49"/>
      <c r="K5877" s="72"/>
      <c r="L5877" s="50"/>
    </row>
    <row r="5878" spans="3:12" x14ac:dyDescent="0.3">
      <c r="C5878" s="47"/>
      <c r="H5878" s="49"/>
      <c r="K5878" s="72"/>
      <c r="L5878" s="50"/>
    </row>
    <row r="5879" spans="3:12" x14ac:dyDescent="0.3">
      <c r="C5879" s="47"/>
      <c r="H5879" s="49"/>
      <c r="K5879" s="72"/>
      <c r="L5879" s="50"/>
    </row>
    <row r="5880" spans="3:12" x14ac:dyDescent="0.3">
      <c r="C5880" s="47"/>
      <c r="H5880" s="49"/>
      <c r="K5880" s="72"/>
      <c r="L5880" s="50"/>
    </row>
    <row r="5881" spans="3:12" x14ac:dyDescent="0.3">
      <c r="C5881" s="47"/>
      <c r="H5881" s="49"/>
      <c r="K5881" s="72"/>
      <c r="L5881" s="50"/>
    </row>
    <row r="5882" spans="3:12" x14ac:dyDescent="0.3">
      <c r="C5882" s="47"/>
      <c r="H5882" s="49"/>
      <c r="K5882" s="72"/>
      <c r="L5882" s="50"/>
    </row>
    <row r="5883" spans="3:12" x14ac:dyDescent="0.3">
      <c r="C5883" s="47"/>
      <c r="H5883" s="49"/>
      <c r="K5883" s="72"/>
      <c r="L5883" s="50"/>
    </row>
    <row r="5884" spans="3:12" x14ac:dyDescent="0.3">
      <c r="C5884" s="47"/>
      <c r="H5884" s="49"/>
      <c r="K5884" s="72"/>
      <c r="L5884" s="50"/>
    </row>
    <row r="5885" spans="3:12" x14ac:dyDescent="0.3">
      <c r="C5885" s="47"/>
      <c r="H5885" s="49"/>
      <c r="K5885" s="72"/>
      <c r="L5885" s="50"/>
    </row>
    <row r="5886" spans="3:12" x14ac:dyDescent="0.3">
      <c r="C5886" s="47"/>
      <c r="H5886" s="49"/>
      <c r="K5886" s="72"/>
      <c r="L5886" s="50"/>
    </row>
    <row r="5887" spans="3:12" x14ac:dyDescent="0.3">
      <c r="C5887" s="47"/>
      <c r="H5887" s="49"/>
      <c r="K5887" s="72"/>
      <c r="L5887" s="50"/>
    </row>
    <row r="5888" spans="3:12" x14ac:dyDescent="0.3">
      <c r="C5888" s="47"/>
      <c r="H5888" s="49"/>
      <c r="K5888" s="72"/>
      <c r="L5888" s="50"/>
    </row>
    <row r="5889" spans="3:12" x14ac:dyDescent="0.3">
      <c r="C5889" s="47"/>
      <c r="H5889" s="49"/>
      <c r="K5889" s="72"/>
      <c r="L5889" s="50"/>
    </row>
    <row r="5890" spans="3:12" x14ac:dyDescent="0.3">
      <c r="C5890" s="47"/>
      <c r="H5890" s="49"/>
      <c r="K5890" s="72"/>
      <c r="L5890" s="50"/>
    </row>
    <row r="5891" spans="3:12" x14ac:dyDescent="0.3">
      <c r="C5891" s="47"/>
      <c r="H5891" s="49"/>
      <c r="K5891" s="72"/>
      <c r="L5891" s="50"/>
    </row>
    <row r="5892" spans="3:12" x14ac:dyDescent="0.3">
      <c r="C5892" s="47"/>
      <c r="H5892" s="49"/>
      <c r="K5892" s="72"/>
      <c r="L5892" s="50"/>
    </row>
    <row r="5893" spans="3:12" x14ac:dyDescent="0.3">
      <c r="C5893" s="47"/>
      <c r="H5893" s="49"/>
      <c r="K5893" s="72"/>
      <c r="L5893" s="50"/>
    </row>
    <row r="5894" spans="3:12" x14ac:dyDescent="0.3">
      <c r="C5894" s="47"/>
      <c r="H5894" s="49"/>
      <c r="K5894" s="72"/>
      <c r="L5894" s="50"/>
    </row>
    <row r="5895" spans="3:12" x14ac:dyDescent="0.3">
      <c r="C5895" s="47"/>
      <c r="H5895" s="49"/>
      <c r="K5895" s="72"/>
      <c r="L5895" s="50"/>
    </row>
    <row r="5896" spans="3:12" x14ac:dyDescent="0.3">
      <c r="C5896" s="47"/>
      <c r="H5896" s="49"/>
      <c r="K5896" s="72"/>
      <c r="L5896" s="50"/>
    </row>
    <row r="5897" spans="3:12" x14ac:dyDescent="0.3">
      <c r="C5897" s="47"/>
      <c r="H5897" s="49"/>
      <c r="K5897" s="72"/>
      <c r="L5897" s="50"/>
    </row>
    <row r="5898" spans="3:12" x14ac:dyDescent="0.3">
      <c r="C5898" s="47"/>
      <c r="H5898" s="49"/>
      <c r="K5898" s="72"/>
      <c r="L5898" s="50"/>
    </row>
    <row r="5899" spans="3:12" x14ac:dyDescent="0.3">
      <c r="C5899" s="47"/>
      <c r="H5899" s="49"/>
      <c r="K5899" s="72"/>
      <c r="L5899" s="50"/>
    </row>
    <row r="5900" spans="3:12" x14ac:dyDescent="0.3">
      <c r="C5900" s="47"/>
      <c r="H5900" s="49"/>
      <c r="K5900" s="72"/>
      <c r="L5900" s="50"/>
    </row>
    <row r="5901" spans="3:12" x14ac:dyDescent="0.3">
      <c r="C5901" s="47"/>
      <c r="H5901" s="49"/>
      <c r="K5901" s="72"/>
      <c r="L5901" s="50"/>
    </row>
    <row r="5902" spans="3:12" x14ac:dyDescent="0.3">
      <c r="C5902" s="47"/>
      <c r="H5902" s="49"/>
      <c r="K5902" s="72"/>
      <c r="L5902" s="50"/>
    </row>
    <row r="5903" spans="3:12" x14ac:dyDescent="0.3">
      <c r="C5903" s="47"/>
      <c r="H5903" s="49"/>
      <c r="K5903" s="72"/>
      <c r="L5903" s="50"/>
    </row>
    <row r="5904" spans="3:12" x14ac:dyDescent="0.3">
      <c r="C5904" s="47"/>
      <c r="H5904" s="49"/>
      <c r="K5904" s="72"/>
      <c r="L5904" s="50"/>
    </row>
    <row r="5905" spans="3:12" x14ac:dyDescent="0.3">
      <c r="C5905" s="47"/>
      <c r="H5905" s="49"/>
      <c r="K5905" s="72"/>
      <c r="L5905" s="50"/>
    </row>
    <row r="5906" spans="3:12" x14ac:dyDescent="0.3">
      <c r="C5906" s="47"/>
      <c r="H5906" s="49"/>
      <c r="K5906" s="72"/>
      <c r="L5906" s="50"/>
    </row>
    <row r="5907" spans="3:12" x14ac:dyDescent="0.3">
      <c r="C5907" s="47"/>
      <c r="H5907" s="49"/>
      <c r="K5907" s="72"/>
      <c r="L5907" s="50"/>
    </row>
    <row r="5908" spans="3:12" x14ac:dyDescent="0.3">
      <c r="C5908" s="47"/>
      <c r="H5908" s="49"/>
      <c r="K5908" s="72"/>
      <c r="L5908" s="50"/>
    </row>
    <row r="5909" spans="3:12" x14ac:dyDescent="0.3">
      <c r="C5909" s="47"/>
      <c r="H5909" s="49"/>
      <c r="K5909" s="72"/>
      <c r="L5909" s="50"/>
    </row>
    <row r="5910" spans="3:12" x14ac:dyDescent="0.3">
      <c r="C5910" s="47"/>
      <c r="H5910" s="49"/>
      <c r="K5910" s="72"/>
      <c r="L5910" s="50"/>
    </row>
    <row r="5911" spans="3:12" x14ac:dyDescent="0.3">
      <c r="C5911" s="47"/>
      <c r="H5911" s="49"/>
      <c r="K5911" s="72"/>
      <c r="L5911" s="50"/>
    </row>
    <row r="5912" spans="3:12" x14ac:dyDescent="0.3">
      <c r="C5912" s="47"/>
      <c r="H5912" s="49"/>
      <c r="K5912" s="72"/>
      <c r="L5912" s="50"/>
    </row>
    <row r="5913" spans="3:12" x14ac:dyDescent="0.3">
      <c r="C5913" s="47"/>
      <c r="H5913" s="49"/>
      <c r="K5913" s="72"/>
      <c r="L5913" s="50"/>
    </row>
    <row r="5914" spans="3:12" x14ac:dyDescent="0.3">
      <c r="C5914" s="47"/>
      <c r="H5914" s="49"/>
      <c r="K5914" s="72"/>
      <c r="L5914" s="50"/>
    </row>
    <row r="5915" spans="3:12" x14ac:dyDescent="0.3">
      <c r="C5915" s="47"/>
      <c r="H5915" s="49"/>
      <c r="K5915" s="72"/>
      <c r="L5915" s="50"/>
    </row>
    <row r="5916" spans="3:12" x14ac:dyDescent="0.3">
      <c r="C5916" s="47"/>
      <c r="H5916" s="49"/>
      <c r="K5916" s="72"/>
      <c r="L5916" s="50"/>
    </row>
    <row r="5917" spans="3:12" x14ac:dyDescent="0.3">
      <c r="C5917" s="47"/>
      <c r="H5917" s="49"/>
      <c r="K5917" s="72"/>
      <c r="L5917" s="50"/>
    </row>
    <row r="5918" spans="3:12" x14ac:dyDescent="0.3">
      <c r="C5918" s="47"/>
      <c r="H5918" s="49"/>
      <c r="K5918" s="72"/>
      <c r="L5918" s="50"/>
    </row>
    <row r="5919" spans="3:12" x14ac:dyDescent="0.3">
      <c r="C5919" s="47"/>
      <c r="H5919" s="49"/>
      <c r="K5919" s="72"/>
      <c r="L5919" s="50"/>
    </row>
    <row r="5920" spans="3:12" x14ac:dyDescent="0.3">
      <c r="C5920" s="47"/>
      <c r="H5920" s="49"/>
      <c r="K5920" s="72"/>
      <c r="L5920" s="50"/>
    </row>
    <row r="5921" spans="3:12" x14ac:dyDescent="0.3">
      <c r="C5921" s="47"/>
      <c r="H5921" s="49"/>
      <c r="K5921" s="72"/>
      <c r="L5921" s="50"/>
    </row>
    <row r="5922" spans="3:12" x14ac:dyDescent="0.3">
      <c r="C5922" s="47"/>
      <c r="H5922" s="49"/>
      <c r="K5922" s="72"/>
      <c r="L5922" s="50"/>
    </row>
    <row r="5923" spans="3:12" x14ac:dyDescent="0.3">
      <c r="C5923" s="47"/>
      <c r="H5923" s="49"/>
      <c r="K5923" s="72"/>
      <c r="L5923" s="50"/>
    </row>
    <row r="5924" spans="3:12" x14ac:dyDescent="0.3">
      <c r="C5924" s="47"/>
      <c r="H5924" s="49"/>
      <c r="K5924" s="72"/>
      <c r="L5924" s="50"/>
    </row>
    <row r="5925" spans="3:12" x14ac:dyDescent="0.3">
      <c r="C5925" s="47"/>
      <c r="H5925" s="49"/>
      <c r="K5925" s="72"/>
      <c r="L5925" s="50"/>
    </row>
    <row r="5926" spans="3:12" x14ac:dyDescent="0.3">
      <c r="C5926" s="47"/>
      <c r="H5926" s="49"/>
      <c r="K5926" s="72"/>
      <c r="L5926" s="50"/>
    </row>
    <row r="5927" spans="3:12" x14ac:dyDescent="0.3">
      <c r="C5927" s="47"/>
      <c r="H5927" s="49"/>
      <c r="K5927" s="72"/>
      <c r="L5927" s="50"/>
    </row>
    <row r="5928" spans="3:12" x14ac:dyDescent="0.3">
      <c r="C5928" s="47"/>
      <c r="H5928" s="49"/>
      <c r="K5928" s="72"/>
      <c r="L5928" s="50"/>
    </row>
    <row r="5929" spans="3:12" x14ac:dyDescent="0.3">
      <c r="C5929" s="47"/>
      <c r="H5929" s="49"/>
      <c r="K5929" s="72"/>
      <c r="L5929" s="50"/>
    </row>
    <row r="5930" spans="3:12" x14ac:dyDescent="0.3">
      <c r="C5930" s="47"/>
      <c r="H5930" s="49"/>
      <c r="K5930" s="72"/>
      <c r="L5930" s="50"/>
    </row>
    <row r="5931" spans="3:12" x14ac:dyDescent="0.3">
      <c r="C5931" s="47"/>
      <c r="H5931" s="49"/>
      <c r="K5931" s="72"/>
      <c r="L5931" s="50"/>
    </row>
    <row r="5932" spans="3:12" x14ac:dyDescent="0.3">
      <c r="C5932" s="47"/>
      <c r="H5932" s="49"/>
      <c r="K5932" s="72"/>
      <c r="L5932" s="50"/>
    </row>
    <row r="5933" spans="3:12" x14ac:dyDescent="0.3">
      <c r="C5933" s="47"/>
      <c r="H5933" s="49"/>
      <c r="K5933" s="72"/>
      <c r="L5933" s="50"/>
    </row>
    <row r="5934" spans="3:12" x14ac:dyDescent="0.3">
      <c r="C5934" s="47"/>
      <c r="H5934" s="49"/>
      <c r="K5934" s="72"/>
      <c r="L5934" s="50"/>
    </row>
    <row r="5935" spans="3:12" x14ac:dyDescent="0.3">
      <c r="C5935" s="47"/>
      <c r="H5935" s="49"/>
      <c r="K5935" s="72"/>
      <c r="L5935" s="50"/>
    </row>
    <row r="5936" spans="3:12" x14ac:dyDescent="0.3">
      <c r="C5936" s="47"/>
      <c r="H5936" s="49"/>
      <c r="K5936" s="72"/>
      <c r="L5936" s="50"/>
    </row>
    <row r="5937" spans="3:12" x14ac:dyDescent="0.3">
      <c r="C5937" s="47"/>
      <c r="H5937" s="49"/>
      <c r="K5937" s="72"/>
      <c r="L5937" s="50"/>
    </row>
    <row r="5938" spans="3:12" x14ac:dyDescent="0.3">
      <c r="C5938" s="47"/>
      <c r="H5938" s="49"/>
      <c r="K5938" s="72"/>
      <c r="L5938" s="50"/>
    </row>
    <row r="5939" spans="3:12" x14ac:dyDescent="0.3">
      <c r="C5939" s="47"/>
      <c r="H5939" s="49"/>
      <c r="K5939" s="72"/>
      <c r="L5939" s="50"/>
    </row>
    <row r="5940" spans="3:12" x14ac:dyDescent="0.3">
      <c r="C5940" s="47"/>
      <c r="H5940" s="49"/>
      <c r="K5940" s="72"/>
      <c r="L5940" s="50"/>
    </row>
    <row r="5941" spans="3:12" x14ac:dyDescent="0.3">
      <c r="C5941" s="47"/>
      <c r="H5941" s="49"/>
      <c r="K5941" s="72"/>
      <c r="L5941" s="50"/>
    </row>
    <row r="5942" spans="3:12" x14ac:dyDescent="0.3">
      <c r="C5942" s="47"/>
      <c r="H5942" s="49"/>
      <c r="K5942" s="72"/>
      <c r="L5942" s="50"/>
    </row>
    <row r="5943" spans="3:12" x14ac:dyDescent="0.3">
      <c r="C5943" s="47"/>
      <c r="H5943" s="49"/>
      <c r="K5943" s="72"/>
      <c r="L5943" s="50"/>
    </row>
    <row r="5944" spans="3:12" x14ac:dyDescent="0.3">
      <c r="C5944" s="47"/>
      <c r="H5944" s="49"/>
      <c r="K5944" s="72"/>
      <c r="L5944" s="50"/>
    </row>
    <row r="5945" spans="3:12" x14ac:dyDescent="0.3">
      <c r="C5945" s="47"/>
      <c r="H5945" s="49"/>
      <c r="K5945" s="72"/>
      <c r="L5945" s="50"/>
    </row>
    <row r="5946" spans="3:12" x14ac:dyDescent="0.3">
      <c r="C5946" s="47"/>
      <c r="H5946" s="49"/>
      <c r="K5946" s="72"/>
      <c r="L5946" s="50"/>
    </row>
    <row r="5947" spans="3:12" x14ac:dyDescent="0.3">
      <c r="C5947" s="47"/>
      <c r="H5947" s="49"/>
      <c r="K5947" s="72"/>
      <c r="L5947" s="50"/>
    </row>
    <row r="5948" spans="3:12" x14ac:dyDescent="0.3">
      <c r="C5948" s="47"/>
      <c r="H5948" s="49"/>
      <c r="K5948" s="72"/>
      <c r="L5948" s="50"/>
    </row>
    <row r="5949" spans="3:12" x14ac:dyDescent="0.3">
      <c r="C5949" s="47"/>
      <c r="H5949" s="49"/>
      <c r="K5949" s="72"/>
      <c r="L5949" s="50"/>
    </row>
    <row r="5950" spans="3:12" x14ac:dyDescent="0.3">
      <c r="C5950" s="47"/>
      <c r="H5950" s="49"/>
      <c r="K5950" s="72"/>
      <c r="L5950" s="50"/>
    </row>
    <row r="5951" spans="3:12" x14ac:dyDescent="0.3">
      <c r="C5951" s="47"/>
      <c r="H5951" s="49"/>
      <c r="K5951" s="72"/>
      <c r="L5951" s="50"/>
    </row>
    <row r="5952" spans="3:12" x14ac:dyDescent="0.3">
      <c r="C5952" s="47"/>
      <c r="H5952" s="49"/>
      <c r="K5952" s="72"/>
      <c r="L5952" s="50"/>
    </row>
    <row r="5953" spans="3:12" x14ac:dyDescent="0.3">
      <c r="C5953" s="47"/>
      <c r="H5953" s="49"/>
      <c r="K5953" s="72"/>
      <c r="L5953" s="50"/>
    </row>
    <row r="5954" spans="3:12" x14ac:dyDescent="0.3">
      <c r="C5954" s="47"/>
      <c r="H5954" s="49"/>
      <c r="K5954" s="72"/>
      <c r="L5954" s="50"/>
    </row>
    <row r="5955" spans="3:12" x14ac:dyDescent="0.3">
      <c r="C5955" s="47"/>
      <c r="H5955" s="49"/>
      <c r="K5955" s="72"/>
      <c r="L5955" s="50"/>
    </row>
    <row r="5956" spans="3:12" x14ac:dyDescent="0.3">
      <c r="C5956" s="47"/>
      <c r="H5956" s="49"/>
      <c r="K5956" s="72"/>
      <c r="L5956" s="50"/>
    </row>
    <row r="5957" spans="3:12" x14ac:dyDescent="0.3">
      <c r="C5957" s="47"/>
      <c r="H5957" s="49"/>
      <c r="K5957" s="72"/>
      <c r="L5957" s="50"/>
    </row>
    <row r="5958" spans="3:12" x14ac:dyDescent="0.3">
      <c r="C5958" s="47"/>
      <c r="H5958" s="49"/>
      <c r="K5958" s="72"/>
      <c r="L5958" s="50"/>
    </row>
    <row r="5959" spans="3:12" x14ac:dyDescent="0.3">
      <c r="C5959" s="47"/>
      <c r="H5959" s="49"/>
      <c r="K5959" s="72"/>
      <c r="L5959" s="50"/>
    </row>
    <row r="5960" spans="3:12" x14ac:dyDescent="0.3">
      <c r="C5960" s="47"/>
      <c r="H5960" s="49"/>
      <c r="K5960" s="72"/>
      <c r="L5960" s="50"/>
    </row>
    <row r="5961" spans="3:12" x14ac:dyDescent="0.3">
      <c r="C5961" s="47"/>
      <c r="H5961" s="49"/>
      <c r="K5961" s="72"/>
      <c r="L5961" s="50"/>
    </row>
    <row r="5962" spans="3:12" x14ac:dyDescent="0.3">
      <c r="C5962" s="47"/>
      <c r="H5962" s="49"/>
      <c r="K5962" s="72"/>
      <c r="L5962" s="50"/>
    </row>
    <row r="5963" spans="3:12" x14ac:dyDescent="0.3">
      <c r="C5963" s="47"/>
      <c r="H5963" s="49"/>
      <c r="K5963" s="72"/>
      <c r="L5963" s="50"/>
    </row>
    <row r="5964" spans="3:12" x14ac:dyDescent="0.3">
      <c r="C5964" s="47"/>
      <c r="H5964" s="49"/>
      <c r="K5964" s="72"/>
      <c r="L5964" s="50"/>
    </row>
    <row r="5965" spans="3:12" x14ac:dyDescent="0.3">
      <c r="C5965" s="47"/>
      <c r="H5965" s="49"/>
      <c r="K5965" s="72"/>
      <c r="L5965" s="50"/>
    </row>
    <row r="5966" spans="3:12" x14ac:dyDescent="0.3">
      <c r="C5966" s="47"/>
      <c r="H5966" s="49"/>
      <c r="K5966" s="72"/>
      <c r="L5966" s="50"/>
    </row>
    <row r="5967" spans="3:12" x14ac:dyDescent="0.3">
      <c r="C5967" s="47"/>
      <c r="H5967" s="49"/>
      <c r="K5967" s="72"/>
      <c r="L5967" s="50"/>
    </row>
    <row r="5968" spans="3:12" x14ac:dyDescent="0.3">
      <c r="C5968" s="47"/>
      <c r="H5968" s="49"/>
      <c r="K5968" s="72"/>
      <c r="L5968" s="50"/>
    </row>
    <row r="5969" spans="3:12" x14ac:dyDescent="0.3">
      <c r="C5969" s="47"/>
      <c r="H5969" s="49"/>
      <c r="K5969" s="72"/>
      <c r="L5969" s="50"/>
    </row>
    <row r="5970" spans="3:12" x14ac:dyDescent="0.3">
      <c r="C5970" s="47"/>
      <c r="H5970" s="49"/>
      <c r="K5970" s="72"/>
      <c r="L5970" s="50"/>
    </row>
    <row r="5971" spans="3:12" x14ac:dyDescent="0.3">
      <c r="C5971" s="47"/>
      <c r="H5971" s="49"/>
      <c r="K5971" s="72"/>
      <c r="L5971" s="50"/>
    </row>
    <row r="5972" spans="3:12" x14ac:dyDescent="0.3">
      <c r="C5972" s="47"/>
      <c r="H5972" s="49"/>
      <c r="K5972" s="72"/>
      <c r="L5972" s="50"/>
    </row>
    <row r="5973" spans="3:12" x14ac:dyDescent="0.3">
      <c r="C5973" s="47"/>
      <c r="H5973" s="49"/>
      <c r="K5973" s="72"/>
      <c r="L5973" s="50"/>
    </row>
    <row r="5974" spans="3:12" x14ac:dyDescent="0.3">
      <c r="C5974" s="47"/>
      <c r="H5974" s="49"/>
      <c r="K5974" s="72"/>
      <c r="L5974" s="50"/>
    </row>
    <row r="5975" spans="3:12" x14ac:dyDescent="0.3">
      <c r="C5975" s="47"/>
      <c r="H5975" s="49"/>
      <c r="K5975" s="72"/>
      <c r="L5975" s="50"/>
    </row>
    <row r="5976" spans="3:12" x14ac:dyDescent="0.3">
      <c r="C5976" s="47"/>
      <c r="H5976" s="49"/>
      <c r="K5976" s="72"/>
      <c r="L5976" s="50"/>
    </row>
    <row r="5977" spans="3:12" x14ac:dyDescent="0.3">
      <c r="C5977" s="47"/>
      <c r="H5977" s="49"/>
      <c r="K5977" s="72"/>
      <c r="L5977" s="50"/>
    </row>
    <row r="5978" spans="3:12" x14ac:dyDescent="0.3">
      <c r="C5978" s="47"/>
      <c r="H5978" s="49"/>
      <c r="K5978" s="72"/>
      <c r="L5978" s="50"/>
    </row>
    <row r="5979" spans="3:12" x14ac:dyDescent="0.3">
      <c r="C5979" s="47"/>
      <c r="H5979" s="49"/>
      <c r="K5979" s="72"/>
      <c r="L5979" s="50"/>
    </row>
    <row r="5980" spans="3:12" x14ac:dyDescent="0.3">
      <c r="C5980" s="47"/>
      <c r="H5980" s="49"/>
      <c r="K5980" s="72"/>
      <c r="L5980" s="50"/>
    </row>
    <row r="5981" spans="3:12" x14ac:dyDescent="0.3">
      <c r="C5981" s="47"/>
      <c r="H5981" s="49"/>
      <c r="K5981" s="72"/>
      <c r="L5981" s="50"/>
    </row>
    <row r="5982" spans="3:12" x14ac:dyDescent="0.3">
      <c r="C5982" s="47"/>
      <c r="H5982" s="49"/>
      <c r="K5982" s="72"/>
      <c r="L5982" s="50"/>
    </row>
    <row r="5983" spans="3:12" x14ac:dyDescent="0.3">
      <c r="C5983" s="47"/>
      <c r="H5983" s="49"/>
      <c r="K5983" s="72"/>
      <c r="L5983" s="50"/>
    </row>
    <row r="5984" spans="3:12" x14ac:dyDescent="0.3">
      <c r="C5984" s="47"/>
      <c r="H5984" s="49"/>
      <c r="K5984" s="72"/>
      <c r="L5984" s="50"/>
    </row>
    <row r="5985" spans="3:12" x14ac:dyDescent="0.3">
      <c r="C5985" s="47"/>
      <c r="H5985" s="49"/>
      <c r="K5985" s="72"/>
      <c r="L5985" s="50"/>
    </row>
    <row r="5986" spans="3:12" x14ac:dyDescent="0.3">
      <c r="C5986" s="47"/>
      <c r="H5986" s="49"/>
      <c r="K5986" s="72"/>
      <c r="L5986" s="50"/>
    </row>
    <row r="5987" spans="3:12" x14ac:dyDescent="0.3">
      <c r="C5987" s="47"/>
      <c r="H5987" s="49"/>
      <c r="K5987" s="72"/>
      <c r="L5987" s="50"/>
    </row>
    <row r="5988" spans="3:12" x14ac:dyDescent="0.3">
      <c r="C5988" s="47"/>
      <c r="H5988" s="49"/>
      <c r="K5988" s="72"/>
      <c r="L5988" s="50"/>
    </row>
    <row r="5989" spans="3:12" x14ac:dyDescent="0.3">
      <c r="C5989" s="47"/>
      <c r="H5989" s="49"/>
      <c r="K5989" s="72"/>
      <c r="L5989" s="50"/>
    </row>
    <row r="5990" spans="3:12" x14ac:dyDescent="0.3">
      <c r="C5990" s="47"/>
      <c r="H5990" s="49"/>
      <c r="K5990" s="72"/>
      <c r="L5990" s="50"/>
    </row>
    <row r="5991" spans="3:12" x14ac:dyDescent="0.3">
      <c r="C5991" s="47"/>
      <c r="H5991" s="49"/>
      <c r="K5991" s="72"/>
      <c r="L5991" s="50"/>
    </row>
    <row r="5992" spans="3:12" x14ac:dyDescent="0.3">
      <c r="C5992" s="47"/>
      <c r="H5992" s="49"/>
      <c r="K5992" s="72"/>
      <c r="L5992" s="50"/>
    </row>
    <row r="5993" spans="3:12" x14ac:dyDescent="0.3">
      <c r="C5993" s="47"/>
      <c r="H5993" s="49"/>
      <c r="K5993" s="72"/>
      <c r="L5993" s="50"/>
    </row>
    <row r="5994" spans="3:12" x14ac:dyDescent="0.3">
      <c r="C5994" s="47"/>
      <c r="H5994" s="49"/>
      <c r="K5994" s="72"/>
      <c r="L5994" s="50"/>
    </row>
    <row r="5995" spans="3:12" x14ac:dyDescent="0.3">
      <c r="C5995" s="47"/>
      <c r="H5995" s="49"/>
      <c r="K5995" s="72"/>
      <c r="L5995" s="50"/>
    </row>
    <row r="5996" spans="3:12" x14ac:dyDescent="0.3">
      <c r="C5996" s="47"/>
      <c r="H5996" s="49"/>
      <c r="K5996" s="72"/>
      <c r="L5996" s="50"/>
    </row>
    <row r="5997" spans="3:12" x14ac:dyDescent="0.3">
      <c r="C5997" s="47"/>
      <c r="H5997" s="49"/>
      <c r="K5997" s="72"/>
      <c r="L5997" s="50"/>
    </row>
    <row r="5998" spans="3:12" x14ac:dyDescent="0.3">
      <c r="C5998" s="47"/>
      <c r="H5998" s="49"/>
      <c r="K5998" s="72"/>
      <c r="L5998" s="50"/>
    </row>
    <row r="5999" spans="3:12" x14ac:dyDescent="0.3">
      <c r="C5999" s="47"/>
      <c r="H5999" s="49"/>
      <c r="K5999" s="72"/>
      <c r="L5999" s="50"/>
    </row>
    <row r="6000" spans="3:12" x14ac:dyDescent="0.3">
      <c r="C6000" s="47"/>
      <c r="H6000" s="49"/>
      <c r="K6000" s="72"/>
      <c r="L6000" s="50"/>
    </row>
    <row r="6001" spans="3:12" x14ac:dyDescent="0.3">
      <c r="C6001" s="47"/>
      <c r="H6001" s="49"/>
      <c r="K6001" s="72"/>
      <c r="L6001" s="50"/>
    </row>
    <row r="6002" spans="3:12" x14ac:dyDescent="0.3">
      <c r="C6002" s="47"/>
      <c r="H6002" s="49"/>
      <c r="K6002" s="72"/>
      <c r="L6002" s="50"/>
    </row>
    <row r="6003" spans="3:12" x14ac:dyDescent="0.3">
      <c r="C6003" s="47"/>
      <c r="H6003" s="49"/>
      <c r="K6003" s="72"/>
      <c r="L6003" s="50"/>
    </row>
    <row r="6004" spans="3:12" x14ac:dyDescent="0.3">
      <c r="C6004" s="47"/>
      <c r="H6004" s="49"/>
      <c r="K6004" s="72"/>
      <c r="L6004" s="50"/>
    </row>
    <row r="6005" spans="3:12" x14ac:dyDescent="0.3">
      <c r="C6005" s="47"/>
      <c r="H6005" s="49"/>
      <c r="K6005" s="72"/>
      <c r="L6005" s="50"/>
    </row>
    <row r="6006" spans="3:12" x14ac:dyDescent="0.3">
      <c r="C6006" s="47"/>
      <c r="H6006" s="49"/>
      <c r="K6006" s="72"/>
      <c r="L6006" s="50"/>
    </row>
    <row r="6007" spans="3:12" x14ac:dyDescent="0.3">
      <c r="C6007" s="47"/>
      <c r="H6007" s="49"/>
      <c r="K6007" s="72"/>
      <c r="L6007" s="50"/>
    </row>
    <row r="6008" spans="3:12" x14ac:dyDescent="0.3">
      <c r="C6008" s="47"/>
      <c r="H6008" s="49"/>
      <c r="K6008" s="72"/>
      <c r="L6008" s="50"/>
    </row>
    <row r="6009" spans="3:12" x14ac:dyDescent="0.3">
      <c r="C6009" s="47"/>
      <c r="H6009" s="49"/>
      <c r="K6009" s="72"/>
      <c r="L6009" s="50"/>
    </row>
    <row r="6010" spans="3:12" x14ac:dyDescent="0.3">
      <c r="C6010" s="47"/>
      <c r="H6010" s="49"/>
      <c r="K6010" s="72"/>
      <c r="L6010" s="50"/>
    </row>
    <row r="6011" spans="3:12" x14ac:dyDescent="0.3">
      <c r="C6011" s="47"/>
      <c r="H6011" s="49"/>
      <c r="K6011" s="72"/>
      <c r="L6011" s="50"/>
    </row>
    <row r="6012" spans="3:12" x14ac:dyDescent="0.3">
      <c r="C6012" s="47"/>
      <c r="H6012" s="49"/>
      <c r="K6012" s="72"/>
      <c r="L6012" s="50"/>
    </row>
    <row r="6013" spans="3:12" x14ac:dyDescent="0.3">
      <c r="C6013" s="47"/>
      <c r="H6013" s="49"/>
      <c r="K6013" s="72"/>
      <c r="L6013" s="50"/>
    </row>
    <row r="6014" spans="3:12" x14ac:dyDescent="0.3">
      <c r="C6014" s="47"/>
      <c r="H6014" s="49"/>
      <c r="K6014" s="72"/>
      <c r="L6014" s="50"/>
    </row>
    <row r="6015" spans="3:12" x14ac:dyDescent="0.3">
      <c r="C6015" s="47"/>
      <c r="H6015" s="49"/>
      <c r="K6015" s="72"/>
      <c r="L6015" s="50"/>
    </row>
    <row r="6016" spans="3:12" x14ac:dyDescent="0.3">
      <c r="C6016" s="47"/>
      <c r="H6016" s="49"/>
      <c r="K6016" s="72"/>
      <c r="L6016" s="50"/>
    </row>
    <row r="6017" spans="3:12" x14ac:dyDescent="0.3">
      <c r="C6017" s="47"/>
      <c r="H6017" s="49"/>
      <c r="K6017" s="72"/>
      <c r="L6017" s="50"/>
    </row>
    <row r="6018" spans="3:12" x14ac:dyDescent="0.3">
      <c r="C6018" s="47"/>
      <c r="H6018" s="49"/>
      <c r="K6018" s="72"/>
      <c r="L6018" s="50"/>
    </row>
    <row r="6019" spans="3:12" x14ac:dyDescent="0.3">
      <c r="C6019" s="47"/>
      <c r="H6019" s="49"/>
      <c r="K6019" s="72"/>
      <c r="L6019" s="50"/>
    </row>
    <row r="6020" spans="3:12" x14ac:dyDescent="0.3">
      <c r="C6020" s="47"/>
      <c r="H6020" s="49"/>
      <c r="K6020" s="72"/>
      <c r="L6020" s="50"/>
    </row>
    <row r="6021" spans="3:12" x14ac:dyDescent="0.3">
      <c r="C6021" s="47"/>
      <c r="H6021" s="49"/>
      <c r="K6021" s="72"/>
      <c r="L6021" s="50"/>
    </row>
    <row r="6022" spans="3:12" x14ac:dyDescent="0.3">
      <c r="C6022" s="47"/>
      <c r="H6022" s="49"/>
      <c r="K6022" s="72"/>
      <c r="L6022" s="50"/>
    </row>
    <row r="6023" spans="3:12" x14ac:dyDescent="0.3">
      <c r="C6023" s="47"/>
      <c r="H6023" s="49"/>
      <c r="K6023" s="72"/>
      <c r="L6023" s="50"/>
    </row>
    <row r="6024" spans="3:12" x14ac:dyDescent="0.3">
      <c r="C6024" s="47"/>
      <c r="H6024" s="49"/>
      <c r="K6024" s="72"/>
      <c r="L6024" s="50"/>
    </row>
    <row r="6025" spans="3:12" x14ac:dyDescent="0.3">
      <c r="C6025" s="47"/>
      <c r="H6025" s="49"/>
      <c r="K6025" s="72"/>
      <c r="L6025" s="50"/>
    </row>
    <row r="6026" spans="3:12" x14ac:dyDescent="0.3">
      <c r="C6026" s="47"/>
      <c r="H6026" s="49"/>
      <c r="K6026" s="72"/>
      <c r="L6026" s="50"/>
    </row>
    <row r="6027" spans="3:12" x14ac:dyDescent="0.3">
      <c r="C6027" s="47"/>
      <c r="H6027" s="49"/>
      <c r="K6027" s="72"/>
      <c r="L6027" s="50"/>
    </row>
    <row r="6028" spans="3:12" x14ac:dyDescent="0.3">
      <c r="C6028" s="47"/>
      <c r="H6028" s="49"/>
      <c r="K6028" s="72"/>
      <c r="L6028" s="50"/>
    </row>
    <row r="6029" spans="3:12" x14ac:dyDescent="0.3">
      <c r="C6029" s="47"/>
      <c r="H6029" s="49"/>
      <c r="K6029" s="72"/>
      <c r="L6029" s="50"/>
    </row>
    <row r="6030" spans="3:12" x14ac:dyDescent="0.3">
      <c r="C6030" s="47"/>
      <c r="H6030" s="49"/>
      <c r="K6030" s="72"/>
      <c r="L6030" s="50"/>
    </row>
    <row r="6031" spans="3:12" x14ac:dyDescent="0.3">
      <c r="C6031" s="47"/>
      <c r="H6031" s="49"/>
      <c r="K6031" s="72"/>
      <c r="L6031" s="50"/>
    </row>
    <row r="6032" spans="3:12" x14ac:dyDescent="0.3">
      <c r="C6032" s="47"/>
      <c r="H6032" s="49"/>
      <c r="K6032" s="72"/>
      <c r="L6032" s="50"/>
    </row>
    <row r="6033" spans="3:12" x14ac:dyDescent="0.3">
      <c r="C6033" s="47"/>
      <c r="H6033" s="49"/>
      <c r="K6033" s="72"/>
      <c r="L6033" s="50"/>
    </row>
    <row r="6034" spans="3:12" x14ac:dyDescent="0.3">
      <c r="C6034" s="47"/>
      <c r="H6034" s="49"/>
      <c r="K6034" s="72"/>
      <c r="L6034" s="50"/>
    </row>
    <row r="6035" spans="3:12" x14ac:dyDescent="0.3">
      <c r="C6035" s="47"/>
      <c r="H6035" s="49"/>
      <c r="K6035" s="72"/>
      <c r="L6035" s="50"/>
    </row>
    <row r="6036" spans="3:12" x14ac:dyDescent="0.3">
      <c r="C6036" s="47"/>
      <c r="H6036" s="49"/>
      <c r="K6036" s="72"/>
      <c r="L6036" s="50"/>
    </row>
    <row r="6037" spans="3:12" x14ac:dyDescent="0.3">
      <c r="C6037" s="47"/>
      <c r="H6037" s="49"/>
      <c r="K6037" s="72"/>
      <c r="L6037" s="50"/>
    </row>
    <row r="6038" spans="3:12" x14ac:dyDescent="0.3">
      <c r="C6038" s="47"/>
      <c r="H6038" s="49"/>
      <c r="K6038" s="72"/>
      <c r="L6038" s="50"/>
    </row>
    <row r="6039" spans="3:12" x14ac:dyDescent="0.3">
      <c r="C6039" s="47"/>
      <c r="H6039" s="49"/>
      <c r="K6039" s="72"/>
      <c r="L6039" s="50"/>
    </row>
    <row r="6040" spans="3:12" x14ac:dyDescent="0.3">
      <c r="C6040" s="47"/>
      <c r="H6040" s="49"/>
      <c r="K6040" s="72"/>
      <c r="L6040" s="50"/>
    </row>
    <row r="6041" spans="3:12" x14ac:dyDescent="0.3">
      <c r="C6041" s="47"/>
      <c r="H6041" s="49"/>
      <c r="K6041" s="72"/>
      <c r="L6041" s="50"/>
    </row>
    <row r="6042" spans="3:12" x14ac:dyDescent="0.3">
      <c r="C6042" s="47"/>
      <c r="H6042" s="49"/>
      <c r="K6042" s="72"/>
      <c r="L6042" s="50"/>
    </row>
    <row r="6043" spans="3:12" x14ac:dyDescent="0.3">
      <c r="C6043" s="47"/>
      <c r="H6043" s="49"/>
      <c r="K6043" s="72"/>
      <c r="L6043" s="50"/>
    </row>
    <row r="6044" spans="3:12" x14ac:dyDescent="0.3">
      <c r="C6044" s="47"/>
      <c r="H6044" s="49"/>
      <c r="K6044" s="72"/>
      <c r="L6044" s="50"/>
    </row>
    <row r="6045" spans="3:12" x14ac:dyDescent="0.3">
      <c r="C6045" s="47"/>
      <c r="H6045" s="49"/>
      <c r="K6045" s="72"/>
      <c r="L6045" s="50"/>
    </row>
    <row r="6046" spans="3:12" x14ac:dyDescent="0.3">
      <c r="C6046" s="47"/>
      <c r="H6046" s="49"/>
      <c r="K6046" s="72"/>
      <c r="L6046" s="50"/>
    </row>
    <row r="6047" spans="3:12" x14ac:dyDescent="0.3">
      <c r="C6047" s="47"/>
      <c r="H6047" s="49"/>
      <c r="K6047" s="72"/>
      <c r="L6047" s="50"/>
    </row>
    <row r="6048" spans="3:12" x14ac:dyDescent="0.3">
      <c r="C6048" s="47"/>
      <c r="H6048" s="49"/>
      <c r="K6048" s="72"/>
      <c r="L6048" s="50"/>
    </row>
    <row r="6049" spans="3:12" x14ac:dyDescent="0.3">
      <c r="C6049" s="47"/>
      <c r="H6049" s="49"/>
      <c r="K6049" s="72"/>
      <c r="L6049" s="50"/>
    </row>
    <row r="6050" spans="3:12" x14ac:dyDescent="0.3">
      <c r="C6050" s="47"/>
      <c r="H6050" s="49"/>
      <c r="K6050" s="72"/>
      <c r="L6050" s="50"/>
    </row>
    <row r="6051" spans="3:12" x14ac:dyDescent="0.3">
      <c r="C6051" s="47"/>
      <c r="H6051" s="49"/>
      <c r="K6051" s="72"/>
      <c r="L6051" s="50"/>
    </row>
    <row r="6052" spans="3:12" x14ac:dyDescent="0.3">
      <c r="C6052" s="47"/>
      <c r="H6052" s="49"/>
      <c r="K6052" s="72"/>
      <c r="L6052" s="50"/>
    </row>
    <row r="6053" spans="3:12" x14ac:dyDescent="0.3">
      <c r="C6053" s="47"/>
      <c r="H6053" s="49"/>
      <c r="K6053" s="72"/>
      <c r="L6053" s="50"/>
    </row>
    <row r="6054" spans="3:12" x14ac:dyDescent="0.3">
      <c r="C6054" s="47"/>
      <c r="H6054" s="49"/>
      <c r="K6054" s="72"/>
      <c r="L6054" s="50"/>
    </row>
    <row r="6055" spans="3:12" x14ac:dyDescent="0.3">
      <c r="C6055" s="47"/>
      <c r="H6055" s="49"/>
      <c r="K6055" s="72"/>
      <c r="L6055" s="50"/>
    </row>
    <row r="6056" spans="3:12" x14ac:dyDescent="0.3">
      <c r="C6056" s="47"/>
      <c r="H6056" s="49"/>
      <c r="K6056" s="72"/>
      <c r="L6056" s="50"/>
    </row>
    <row r="6057" spans="3:12" x14ac:dyDescent="0.3">
      <c r="C6057" s="47"/>
      <c r="H6057" s="49"/>
      <c r="K6057" s="72"/>
      <c r="L6057" s="50"/>
    </row>
    <row r="6058" spans="3:12" x14ac:dyDescent="0.3">
      <c r="C6058" s="47"/>
      <c r="H6058" s="49"/>
      <c r="K6058" s="72"/>
      <c r="L6058" s="50"/>
    </row>
    <row r="6059" spans="3:12" x14ac:dyDescent="0.3">
      <c r="C6059" s="47"/>
      <c r="H6059" s="49"/>
      <c r="K6059" s="72"/>
      <c r="L6059" s="50"/>
    </row>
    <row r="6060" spans="3:12" x14ac:dyDescent="0.3">
      <c r="C6060" s="47"/>
      <c r="H6060" s="49"/>
      <c r="K6060" s="72"/>
      <c r="L6060" s="50"/>
    </row>
    <row r="6061" spans="3:12" x14ac:dyDescent="0.3">
      <c r="C6061" s="47"/>
      <c r="H6061" s="49"/>
      <c r="K6061" s="72"/>
      <c r="L6061" s="50"/>
    </row>
    <row r="6062" spans="3:12" x14ac:dyDescent="0.3">
      <c r="C6062" s="47"/>
      <c r="H6062" s="49"/>
      <c r="K6062" s="72"/>
      <c r="L6062" s="50"/>
    </row>
    <row r="6063" spans="3:12" x14ac:dyDescent="0.3">
      <c r="C6063" s="47"/>
      <c r="H6063" s="49"/>
      <c r="K6063" s="72"/>
      <c r="L6063" s="50"/>
    </row>
    <row r="6064" spans="3:12" x14ac:dyDescent="0.3">
      <c r="C6064" s="47"/>
      <c r="H6064" s="49"/>
      <c r="K6064" s="72"/>
      <c r="L6064" s="50"/>
    </row>
    <row r="6065" spans="3:12" x14ac:dyDescent="0.3">
      <c r="C6065" s="47"/>
      <c r="H6065" s="49"/>
      <c r="K6065" s="72"/>
      <c r="L6065" s="50"/>
    </row>
    <row r="6066" spans="3:12" x14ac:dyDescent="0.3">
      <c r="C6066" s="47"/>
      <c r="H6066" s="49"/>
      <c r="K6066" s="72"/>
      <c r="L6066" s="50"/>
    </row>
    <row r="6067" spans="3:12" x14ac:dyDescent="0.3">
      <c r="C6067" s="47"/>
      <c r="H6067" s="49"/>
      <c r="K6067" s="72"/>
      <c r="L6067" s="50"/>
    </row>
    <row r="6068" spans="3:12" x14ac:dyDescent="0.3">
      <c r="C6068" s="47"/>
      <c r="H6068" s="49"/>
      <c r="K6068" s="72"/>
      <c r="L6068" s="50"/>
    </row>
    <row r="6069" spans="3:12" x14ac:dyDescent="0.3">
      <c r="C6069" s="47"/>
      <c r="H6069" s="49"/>
      <c r="K6069" s="72"/>
      <c r="L6069" s="50"/>
    </row>
    <row r="6070" spans="3:12" x14ac:dyDescent="0.3">
      <c r="C6070" s="47"/>
      <c r="H6070" s="49"/>
      <c r="K6070" s="72"/>
      <c r="L6070" s="50"/>
    </row>
    <row r="6071" spans="3:12" x14ac:dyDescent="0.3">
      <c r="C6071" s="47"/>
      <c r="H6071" s="49"/>
      <c r="K6071" s="72"/>
      <c r="L6071" s="50"/>
    </row>
    <row r="6072" spans="3:12" x14ac:dyDescent="0.3">
      <c r="C6072" s="47"/>
      <c r="H6072" s="49"/>
      <c r="K6072" s="72"/>
      <c r="L6072" s="50"/>
    </row>
    <row r="6073" spans="3:12" x14ac:dyDescent="0.3">
      <c r="C6073" s="47"/>
      <c r="H6073" s="49"/>
      <c r="K6073" s="72"/>
      <c r="L6073" s="50"/>
    </row>
    <row r="6074" spans="3:12" x14ac:dyDescent="0.3">
      <c r="C6074" s="47"/>
      <c r="H6074" s="49"/>
      <c r="K6074" s="72"/>
      <c r="L6074" s="50"/>
    </row>
    <row r="6075" spans="3:12" x14ac:dyDescent="0.3">
      <c r="C6075" s="47"/>
      <c r="H6075" s="49"/>
      <c r="K6075" s="72"/>
      <c r="L6075" s="50"/>
    </row>
    <row r="6076" spans="3:12" x14ac:dyDescent="0.3">
      <c r="C6076" s="47"/>
      <c r="H6076" s="49"/>
      <c r="K6076" s="72"/>
      <c r="L6076" s="50"/>
    </row>
    <row r="6077" spans="3:12" x14ac:dyDescent="0.3">
      <c r="C6077" s="47"/>
      <c r="H6077" s="49"/>
      <c r="K6077" s="72"/>
      <c r="L6077" s="50"/>
    </row>
    <row r="6078" spans="3:12" x14ac:dyDescent="0.3">
      <c r="C6078" s="47"/>
      <c r="H6078" s="49"/>
      <c r="K6078" s="72"/>
      <c r="L6078" s="50"/>
    </row>
    <row r="6079" spans="3:12" x14ac:dyDescent="0.3">
      <c r="C6079" s="47"/>
      <c r="H6079" s="49"/>
      <c r="K6079" s="72"/>
      <c r="L6079" s="50"/>
    </row>
    <row r="6080" spans="3:12" x14ac:dyDescent="0.3">
      <c r="C6080" s="47"/>
      <c r="H6080" s="49"/>
      <c r="K6080" s="72"/>
      <c r="L6080" s="50"/>
    </row>
    <row r="6081" spans="3:12" x14ac:dyDescent="0.3">
      <c r="C6081" s="47"/>
      <c r="H6081" s="49"/>
      <c r="K6081" s="72"/>
      <c r="L6081" s="50"/>
    </row>
    <row r="6082" spans="3:12" x14ac:dyDescent="0.3">
      <c r="C6082" s="47"/>
      <c r="H6082" s="49"/>
      <c r="K6082" s="72"/>
      <c r="L6082" s="50"/>
    </row>
    <row r="6083" spans="3:12" x14ac:dyDescent="0.3">
      <c r="C6083" s="47"/>
      <c r="H6083" s="49"/>
      <c r="K6083" s="72"/>
      <c r="L6083" s="50"/>
    </row>
    <row r="6084" spans="3:12" x14ac:dyDescent="0.3">
      <c r="C6084" s="47"/>
      <c r="H6084" s="49"/>
      <c r="K6084" s="72"/>
      <c r="L6084" s="50"/>
    </row>
    <row r="6085" spans="3:12" x14ac:dyDescent="0.3">
      <c r="C6085" s="47"/>
      <c r="H6085" s="49"/>
      <c r="K6085" s="72"/>
      <c r="L6085" s="50"/>
    </row>
    <row r="6086" spans="3:12" x14ac:dyDescent="0.3">
      <c r="C6086" s="47"/>
      <c r="H6086" s="49"/>
      <c r="K6086" s="72"/>
      <c r="L6086" s="50"/>
    </row>
    <row r="6087" spans="3:12" x14ac:dyDescent="0.3">
      <c r="C6087" s="47"/>
      <c r="H6087" s="49"/>
      <c r="K6087" s="72"/>
      <c r="L6087" s="50"/>
    </row>
    <row r="6088" spans="3:12" x14ac:dyDescent="0.3">
      <c r="C6088" s="47"/>
      <c r="H6088" s="49"/>
      <c r="K6088" s="72"/>
      <c r="L6088" s="50"/>
    </row>
    <row r="6089" spans="3:12" x14ac:dyDescent="0.3">
      <c r="C6089" s="47"/>
      <c r="H6089" s="49"/>
      <c r="K6089" s="72"/>
      <c r="L6089" s="50"/>
    </row>
    <row r="6090" spans="3:12" x14ac:dyDescent="0.3">
      <c r="C6090" s="47"/>
      <c r="H6090" s="49"/>
      <c r="K6090" s="72"/>
      <c r="L6090" s="50"/>
    </row>
    <row r="6091" spans="3:12" x14ac:dyDescent="0.3">
      <c r="C6091" s="47"/>
      <c r="H6091" s="49"/>
      <c r="K6091" s="72"/>
      <c r="L6091" s="50"/>
    </row>
    <row r="6092" spans="3:12" x14ac:dyDescent="0.3">
      <c r="C6092" s="47"/>
      <c r="H6092" s="49"/>
      <c r="K6092" s="72"/>
      <c r="L6092" s="50"/>
    </row>
    <row r="6093" spans="3:12" x14ac:dyDescent="0.3">
      <c r="C6093" s="47"/>
      <c r="H6093" s="49"/>
      <c r="K6093" s="72"/>
      <c r="L6093" s="50"/>
    </row>
    <row r="6094" spans="3:12" x14ac:dyDescent="0.3">
      <c r="C6094" s="47"/>
      <c r="H6094" s="49"/>
      <c r="K6094" s="72"/>
      <c r="L6094" s="50"/>
    </row>
    <row r="6095" spans="3:12" x14ac:dyDescent="0.3">
      <c r="C6095" s="47"/>
      <c r="H6095" s="49"/>
      <c r="K6095" s="72"/>
      <c r="L6095" s="50"/>
    </row>
    <row r="6096" spans="3:12" x14ac:dyDescent="0.3">
      <c r="C6096" s="47"/>
      <c r="H6096" s="49"/>
      <c r="K6096" s="72"/>
      <c r="L6096" s="50"/>
    </row>
    <row r="6097" spans="3:12" x14ac:dyDescent="0.3">
      <c r="C6097" s="47"/>
      <c r="H6097" s="49"/>
      <c r="K6097" s="72"/>
      <c r="L6097" s="50"/>
    </row>
    <row r="6098" spans="3:12" x14ac:dyDescent="0.3">
      <c r="C6098" s="47"/>
      <c r="H6098" s="49"/>
      <c r="K6098" s="72"/>
      <c r="L6098" s="50"/>
    </row>
    <row r="6099" spans="3:12" x14ac:dyDescent="0.3">
      <c r="C6099" s="47"/>
      <c r="H6099" s="49"/>
      <c r="K6099" s="72"/>
      <c r="L6099" s="50"/>
    </row>
    <row r="6100" spans="3:12" x14ac:dyDescent="0.3">
      <c r="C6100" s="47"/>
      <c r="H6100" s="49"/>
      <c r="K6100" s="72"/>
      <c r="L6100" s="50"/>
    </row>
    <row r="6101" spans="3:12" x14ac:dyDescent="0.3">
      <c r="C6101" s="47"/>
      <c r="H6101" s="49"/>
      <c r="K6101" s="72"/>
      <c r="L6101" s="50"/>
    </row>
    <row r="6102" spans="3:12" x14ac:dyDescent="0.3">
      <c r="C6102" s="47"/>
      <c r="H6102" s="49"/>
      <c r="K6102" s="72"/>
      <c r="L6102" s="50"/>
    </row>
    <row r="6103" spans="3:12" x14ac:dyDescent="0.3">
      <c r="C6103" s="47"/>
      <c r="H6103" s="49"/>
      <c r="K6103" s="72"/>
      <c r="L6103" s="50"/>
    </row>
    <row r="6104" spans="3:12" x14ac:dyDescent="0.3">
      <c r="C6104" s="47"/>
      <c r="H6104" s="49"/>
      <c r="K6104" s="72"/>
      <c r="L6104" s="50"/>
    </row>
    <row r="6105" spans="3:12" x14ac:dyDescent="0.3">
      <c r="C6105" s="47"/>
      <c r="H6105" s="49"/>
      <c r="K6105" s="72"/>
      <c r="L6105" s="50"/>
    </row>
    <row r="6106" spans="3:12" x14ac:dyDescent="0.3">
      <c r="C6106" s="47"/>
      <c r="H6106" s="49"/>
      <c r="K6106" s="72"/>
      <c r="L6106" s="50"/>
    </row>
    <row r="6107" spans="3:12" x14ac:dyDescent="0.3">
      <c r="C6107" s="47"/>
      <c r="H6107" s="49"/>
      <c r="K6107" s="72"/>
      <c r="L6107" s="50"/>
    </row>
    <row r="6108" spans="3:12" x14ac:dyDescent="0.3">
      <c r="C6108" s="47"/>
      <c r="H6108" s="49"/>
      <c r="K6108" s="72"/>
      <c r="L6108" s="50"/>
    </row>
    <row r="6109" spans="3:12" x14ac:dyDescent="0.3">
      <c r="C6109" s="47"/>
      <c r="H6109" s="49"/>
      <c r="K6109" s="72"/>
      <c r="L6109" s="50"/>
    </row>
    <row r="6110" spans="3:12" x14ac:dyDescent="0.3">
      <c r="C6110" s="47"/>
      <c r="H6110" s="49"/>
      <c r="K6110" s="72"/>
      <c r="L6110" s="50"/>
    </row>
    <row r="6111" spans="3:12" x14ac:dyDescent="0.3">
      <c r="C6111" s="47"/>
      <c r="H6111" s="49"/>
      <c r="K6111" s="72"/>
      <c r="L6111" s="50"/>
    </row>
    <row r="6112" spans="3:12" x14ac:dyDescent="0.3">
      <c r="C6112" s="47"/>
      <c r="H6112" s="49"/>
      <c r="K6112" s="72"/>
      <c r="L6112" s="50"/>
    </row>
    <row r="6113" spans="3:12" x14ac:dyDescent="0.3">
      <c r="C6113" s="47"/>
      <c r="H6113" s="49"/>
      <c r="K6113" s="72"/>
      <c r="L6113" s="50"/>
    </row>
    <row r="6114" spans="3:12" x14ac:dyDescent="0.3">
      <c r="C6114" s="47"/>
      <c r="H6114" s="49"/>
      <c r="K6114" s="72"/>
      <c r="L6114" s="50"/>
    </row>
    <row r="6115" spans="3:12" x14ac:dyDescent="0.3">
      <c r="C6115" s="47"/>
      <c r="H6115" s="49"/>
      <c r="K6115" s="72"/>
      <c r="L6115" s="50"/>
    </row>
    <row r="6116" spans="3:12" x14ac:dyDescent="0.3">
      <c r="C6116" s="47"/>
      <c r="H6116" s="49"/>
      <c r="K6116" s="72"/>
      <c r="L6116" s="50"/>
    </row>
    <row r="6117" spans="3:12" x14ac:dyDescent="0.3">
      <c r="C6117" s="47"/>
      <c r="H6117" s="49"/>
      <c r="K6117" s="72"/>
      <c r="L6117" s="50"/>
    </row>
    <row r="6118" spans="3:12" x14ac:dyDescent="0.3">
      <c r="C6118" s="47"/>
      <c r="H6118" s="49"/>
      <c r="K6118" s="72"/>
      <c r="L6118" s="50"/>
    </row>
    <row r="6119" spans="3:12" x14ac:dyDescent="0.3">
      <c r="C6119" s="47"/>
      <c r="H6119" s="49"/>
      <c r="K6119" s="72"/>
      <c r="L6119" s="50"/>
    </row>
    <row r="6120" spans="3:12" x14ac:dyDescent="0.3">
      <c r="C6120" s="47"/>
      <c r="H6120" s="49"/>
      <c r="K6120" s="72"/>
      <c r="L6120" s="50"/>
    </row>
    <row r="6121" spans="3:12" x14ac:dyDescent="0.3">
      <c r="C6121" s="47"/>
      <c r="H6121" s="49"/>
      <c r="K6121" s="72"/>
      <c r="L6121" s="50"/>
    </row>
    <row r="6122" spans="3:12" x14ac:dyDescent="0.3">
      <c r="C6122" s="47"/>
      <c r="H6122" s="49"/>
      <c r="K6122" s="72"/>
      <c r="L6122" s="50"/>
    </row>
    <row r="6123" spans="3:12" x14ac:dyDescent="0.3">
      <c r="C6123" s="47"/>
      <c r="H6123" s="49"/>
      <c r="K6123" s="72"/>
      <c r="L6123" s="50"/>
    </row>
    <row r="6124" spans="3:12" x14ac:dyDescent="0.3">
      <c r="C6124" s="47"/>
      <c r="H6124" s="49"/>
      <c r="K6124" s="72"/>
      <c r="L6124" s="50"/>
    </row>
    <row r="6125" spans="3:12" x14ac:dyDescent="0.3">
      <c r="C6125" s="47"/>
      <c r="H6125" s="49"/>
      <c r="K6125" s="72"/>
      <c r="L6125" s="50"/>
    </row>
    <row r="6126" spans="3:12" x14ac:dyDescent="0.3">
      <c r="C6126" s="47"/>
      <c r="H6126" s="49"/>
      <c r="K6126" s="72"/>
      <c r="L6126" s="50"/>
    </row>
    <row r="6127" spans="3:12" x14ac:dyDescent="0.3">
      <c r="C6127" s="47"/>
      <c r="H6127" s="49"/>
      <c r="K6127" s="72"/>
      <c r="L6127" s="50"/>
    </row>
    <row r="6128" spans="3:12" x14ac:dyDescent="0.3">
      <c r="C6128" s="47"/>
      <c r="H6128" s="49"/>
      <c r="K6128" s="72"/>
      <c r="L6128" s="50"/>
    </row>
    <row r="6129" spans="3:12" x14ac:dyDescent="0.3">
      <c r="C6129" s="47"/>
      <c r="H6129" s="49"/>
      <c r="K6129" s="72"/>
      <c r="L6129" s="50"/>
    </row>
    <row r="6130" spans="3:12" x14ac:dyDescent="0.3">
      <c r="C6130" s="47"/>
      <c r="H6130" s="49"/>
      <c r="K6130" s="72"/>
      <c r="L6130" s="50"/>
    </row>
    <row r="6131" spans="3:12" x14ac:dyDescent="0.3">
      <c r="C6131" s="47"/>
      <c r="H6131" s="49"/>
      <c r="K6131" s="72"/>
      <c r="L6131" s="50"/>
    </row>
    <row r="6132" spans="3:12" x14ac:dyDescent="0.3">
      <c r="C6132" s="47"/>
      <c r="H6132" s="49"/>
      <c r="K6132" s="72"/>
      <c r="L6132" s="50"/>
    </row>
    <row r="6133" spans="3:12" x14ac:dyDescent="0.3">
      <c r="C6133" s="47"/>
      <c r="H6133" s="49"/>
      <c r="K6133" s="72"/>
      <c r="L6133" s="50"/>
    </row>
    <row r="6134" spans="3:12" x14ac:dyDescent="0.3">
      <c r="C6134" s="47"/>
      <c r="H6134" s="49"/>
      <c r="K6134" s="72"/>
      <c r="L6134" s="50"/>
    </row>
    <row r="6135" spans="3:12" x14ac:dyDescent="0.3">
      <c r="C6135" s="47"/>
      <c r="H6135" s="49"/>
      <c r="K6135" s="72"/>
      <c r="L6135" s="50"/>
    </row>
    <row r="6136" spans="3:12" x14ac:dyDescent="0.3">
      <c r="C6136" s="47"/>
      <c r="H6136" s="49"/>
      <c r="K6136" s="72"/>
      <c r="L6136" s="50"/>
    </row>
    <row r="6137" spans="3:12" x14ac:dyDescent="0.3">
      <c r="C6137" s="47"/>
      <c r="H6137" s="49"/>
      <c r="K6137" s="72"/>
      <c r="L6137" s="50"/>
    </row>
    <row r="6138" spans="3:12" x14ac:dyDescent="0.3">
      <c r="C6138" s="47"/>
      <c r="H6138" s="49"/>
      <c r="K6138" s="72"/>
      <c r="L6138" s="50"/>
    </row>
    <row r="6139" spans="3:12" x14ac:dyDescent="0.3">
      <c r="C6139" s="47"/>
      <c r="H6139" s="49"/>
      <c r="K6139" s="72"/>
      <c r="L6139" s="50"/>
    </row>
    <row r="6140" spans="3:12" x14ac:dyDescent="0.3">
      <c r="C6140" s="47"/>
      <c r="H6140" s="49"/>
      <c r="K6140" s="72"/>
      <c r="L6140" s="50"/>
    </row>
    <row r="6141" spans="3:12" x14ac:dyDescent="0.3">
      <c r="C6141" s="47"/>
      <c r="H6141" s="49"/>
      <c r="K6141" s="72"/>
      <c r="L6141" s="50"/>
    </row>
    <row r="6142" spans="3:12" x14ac:dyDescent="0.3">
      <c r="C6142" s="47"/>
      <c r="H6142" s="49"/>
      <c r="K6142" s="72"/>
      <c r="L6142" s="50"/>
    </row>
    <row r="6143" spans="3:12" x14ac:dyDescent="0.3">
      <c r="C6143" s="47"/>
      <c r="H6143" s="49"/>
      <c r="K6143" s="72"/>
      <c r="L6143" s="50"/>
    </row>
    <row r="6144" spans="3:12" x14ac:dyDescent="0.3">
      <c r="C6144" s="47"/>
      <c r="H6144" s="49"/>
      <c r="K6144" s="72"/>
      <c r="L6144" s="50"/>
    </row>
    <row r="6145" spans="3:12" x14ac:dyDescent="0.3">
      <c r="C6145" s="47"/>
      <c r="H6145" s="49"/>
      <c r="K6145" s="72"/>
      <c r="L6145" s="50"/>
    </row>
    <row r="6146" spans="3:12" x14ac:dyDescent="0.3">
      <c r="C6146" s="47"/>
      <c r="H6146" s="49"/>
      <c r="K6146" s="72"/>
      <c r="L6146" s="50"/>
    </row>
    <row r="6147" spans="3:12" x14ac:dyDescent="0.3">
      <c r="C6147" s="47"/>
      <c r="H6147" s="49"/>
      <c r="K6147" s="72"/>
      <c r="L6147" s="50"/>
    </row>
    <row r="6148" spans="3:12" x14ac:dyDescent="0.3">
      <c r="C6148" s="47"/>
      <c r="H6148" s="49"/>
      <c r="K6148" s="72"/>
      <c r="L6148" s="50"/>
    </row>
    <row r="6149" spans="3:12" x14ac:dyDescent="0.3">
      <c r="C6149" s="47"/>
      <c r="H6149" s="49"/>
      <c r="K6149" s="72"/>
      <c r="L6149" s="50"/>
    </row>
    <row r="6150" spans="3:12" x14ac:dyDescent="0.3">
      <c r="C6150" s="47"/>
      <c r="H6150" s="49"/>
      <c r="K6150" s="72"/>
      <c r="L6150" s="50"/>
    </row>
    <row r="6151" spans="3:12" x14ac:dyDescent="0.3">
      <c r="C6151" s="47"/>
      <c r="H6151" s="49"/>
      <c r="K6151" s="72"/>
      <c r="L6151" s="50"/>
    </row>
    <row r="6152" spans="3:12" x14ac:dyDescent="0.3">
      <c r="C6152" s="47"/>
      <c r="H6152" s="49"/>
      <c r="K6152" s="72"/>
      <c r="L6152" s="50"/>
    </row>
    <row r="6153" spans="3:12" x14ac:dyDescent="0.3">
      <c r="C6153" s="47"/>
      <c r="H6153" s="49"/>
      <c r="K6153" s="72"/>
      <c r="L6153" s="50"/>
    </row>
    <row r="6154" spans="3:12" x14ac:dyDescent="0.3">
      <c r="C6154" s="47"/>
      <c r="H6154" s="49"/>
      <c r="K6154" s="72"/>
      <c r="L6154" s="50"/>
    </row>
    <row r="6155" spans="3:12" x14ac:dyDescent="0.3">
      <c r="C6155" s="47"/>
      <c r="H6155" s="49"/>
      <c r="K6155" s="72"/>
      <c r="L6155" s="50"/>
    </row>
    <row r="6156" spans="3:12" x14ac:dyDescent="0.3">
      <c r="C6156" s="47"/>
      <c r="H6156" s="49"/>
      <c r="K6156" s="72"/>
      <c r="L6156" s="50"/>
    </row>
    <row r="6157" spans="3:12" x14ac:dyDescent="0.3">
      <c r="C6157" s="47"/>
      <c r="H6157" s="49"/>
      <c r="K6157" s="72"/>
      <c r="L6157" s="50"/>
    </row>
    <row r="6158" spans="3:12" x14ac:dyDescent="0.3">
      <c r="C6158" s="47"/>
      <c r="H6158" s="49"/>
      <c r="K6158" s="72"/>
      <c r="L6158" s="50"/>
    </row>
    <row r="6159" spans="3:12" x14ac:dyDescent="0.3">
      <c r="C6159" s="47"/>
      <c r="H6159" s="49"/>
      <c r="K6159" s="72"/>
      <c r="L6159" s="50"/>
    </row>
    <row r="6160" spans="3:12" x14ac:dyDescent="0.3">
      <c r="C6160" s="47"/>
      <c r="H6160" s="49"/>
      <c r="K6160" s="72"/>
      <c r="L6160" s="50"/>
    </row>
    <row r="6161" spans="3:12" x14ac:dyDescent="0.3">
      <c r="C6161" s="47"/>
      <c r="H6161" s="49"/>
      <c r="K6161" s="72"/>
      <c r="L6161" s="50"/>
    </row>
    <row r="6162" spans="3:12" x14ac:dyDescent="0.3">
      <c r="C6162" s="47"/>
      <c r="H6162" s="49"/>
      <c r="K6162" s="72"/>
      <c r="L6162" s="50"/>
    </row>
    <row r="6163" spans="3:12" x14ac:dyDescent="0.3">
      <c r="C6163" s="47"/>
      <c r="H6163" s="49"/>
      <c r="K6163" s="72"/>
      <c r="L6163" s="50"/>
    </row>
    <row r="6164" spans="3:12" x14ac:dyDescent="0.3">
      <c r="C6164" s="47"/>
      <c r="H6164" s="49"/>
      <c r="K6164" s="72"/>
      <c r="L6164" s="50"/>
    </row>
    <row r="6165" spans="3:12" x14ac:dyDescent="0.3">
      <c r="C6165" s="47"/>
      <c r="H6165" s="49"/>
      <c r="K6165" s="72"/>
      <c r="L6165" s="50"/>
    </row>
    <row r="6166" spans="3:12" x14ac:dyDescent="0.3">
      <c r="C6166" s="47"/>
      <c r="H6166" s="49"/>
      <c r="K6166" s="72"/>
      <c r="L6166" s="50"/>
    </row>
    <row r="6167" spans="3:12" x14ac:dyDescent="0.3">
      <c r="C6167" s="47"/>
      <c r="H6167" s="49"/>
      <c r="K6167" s="72"/>
      <c r="L6167" s="50"/>
    </row>
    <row r="6168" spans="3:12" x14ac:dyDescent="0.3">
      <c r="C6168" s="47"/>
      <c r="H6168" s="49"/>
      <c r="K6168" s="72"/>
      <c r="L6168" s="50"/>
    </row>
    <row r="6169" spans="3:12" x14ac:dyDescent="0.3">
      <c r="C6169" s="47"/>
      <c r="H6169" s="49"/>
      <c r="K6169" s="72"/>
      <c r="L6169" s="50"/>
    </row>
    <row r="6170" spans="3:12" x14ac:dyDescent="0.3">
      <c r="C6170" s="47"/>
      <c r="H6170" s="49"/>
      <c r="K6170" s="72"/>
      <c r="L6170" s="50"/>
    </row>
    <row r="6171" spans="3:12" x14ac:dyDescent="0.3">
      <c r="C6171" s="47"/>
      <c r="H6171" s="49"/>
      <c r="K6171" s="72"/>
      <c r="L6171" s="50"/>
    </row>
    <row r="6172" spans="3:12" x14ac:dyDescent="0.3">
      <c r="C6172" s="47"/>
      <c r="H6172" s="49"/>
      <c r="K6172" s="72"/>
      <c r="L6172" s="50"/>
    </row>
    <row r="6173" spans="3:12" x14ac:dyDescent="0.3">
      <c r="C6173" s="47"/>
      <c r="H6173" s="49"/>
      <c r="K6173" s="72"/>
      <c r="L6173" s="50"/>
    </row>
    <row r="6174" spans="3:12" x14ac:dyDescent="0.3">
      <c r="C6174" s="47"/>
      <c r="H6174" s="49"/>
      <c r="K6174" s="72"/>
      <c r="L6174" s="50"/>
    </row>
    <row r="6175" spans="3:12" x14ac:dyDescent="0.3">
      <c r="C6175" s="47"/>
      <c r="H6175" s="49"/>
      <c r="K6175" s="72"/>
      <c r="L6175" s="50"/>
    </row>
    <row r="6176" spans="3:12" x14ac:dyDescent="0.3">
      <c r="C6176" s="47"/>
      <c r="H6176" s="49"/>
      <c r="K6176" s="72"/>
      <c r="L6176" s="50"/>
    </row>
    <row r="6177" spans="3:12" x14ac:dyDescent="0.3">
      <c r="C6177" s="47"/>
      <c r="H6177" s="49"/>
      <c r="K6177" s="72"/>
      <c r="L6177" s="50"/>
    </row>
    <row r="6178" spans="3:12" x14ac:dyDescent="0.3">
      <c r="C6178" s="47"/>
      <c r="H6178" s="49"/>
      <c r="K6178" s="72"/>
      <c r="L6178" s="50"/>
    </row>
    <row r="6179" spans="3:12" x14ac:dyDescent="0.3">
      <c r="C6179" s="47"/>
      <c r="H6179" s="49"/>
      <c r="K6179" s="72"/>
      <c r="L6179" s="50"/>
    </row>
    <row r="6180" spans="3:12" x14ac:dyDescent="0.3">
      <c r="C6180" s="47"/>
      <c r="H6180" s="49"/>
      <c r="K6180" s="72"/>
      <c r="L6180" s="50"/>
    </row>
    <row r="6181" spans="3:12" x14ac:dyDescent="0.3">
      <c r="C6181" s="47"/>
      <c r="H6181" s="49"/>
      <c r="K6181" s="72"/>
      <c r="L6181" s="50"/>
    </row>
    <row r="6182" spans="3:12" x14ac:dyDescent="0.3">
      <c r="C6182" s="47"/>
      <c r="H6182" s="49"/>
      <c r="K6182" s="72"/>
      <c r="L6182" s="50"/>
    </row>
    <row r="6183" spans="3:12" x14ac:dyDescent="0.3">
      <c r="C6183" s="47"/>
      <c r="H6183" s="49"/>
      <c r="K6183" s="72"/>
      <c r="L6183" s="50"/>
    </row>
    <row r="6184" spans="3:12" x14ac:dyDescent="0.3">
      <c r="C6184" s="47"/>
      <c r="H6184" s="49"/>
      <c r="K6184" s="72"/>
      <c r="L6184" s="50"/>
    </row>
    <row r="6185" spans="3:12" x14ac:dyDescent="0.3">
      <c r="C6185" s="47"/>
      <c r="H6185" s="49"/>
      <c r="K6185" s="72"/>
      <c r="L6185" s="50"/>
    </row>
    <row r="6186" spans="3:12" x14ac:dyDescent="0.3">
      <c r="C6186" s="47"/>
      <c r="H6186" s="49"/>
      <c r="K6186" s="72"/>
      <c r="L6186" s="50"/>
    </row>
    <row r="6187" spans="3:12" x14ac:dyDescent="0.3">
      <c r="C6187" s="47"/>
      <c r="H6187" s="49"/>
      <c r="K6187" s="72"/>
      <c r="L6187" s="50"/>
    </row>
    <row r="6188" spans="3:12" x14ac:dyDescent="0.3">
      <c r="C6188" s="47"/>
      <c r="H6188" s="49"/>
      <c r="K6188" s="72"/>
      <c r="L6188" s="50"/>
    </row>
    <row r="6189" spans="3:12" x14ac:dyDescent="0.3">
      <c r="C6189" s="47"/>
      <c r="H6189" s="49"/>
      <c r="K6189" s="72"/>
      <c r="L6189" s="50"/>
    </row>
    <row r="6190" spans="3:12" x14ac:dyDescent="0.3">
      <c r="C6190" s="47"/>
      <c r="H6190" s="49"/>
      <c r="K6190" s="72"/>
      <c r="L6190" s="50"/>
    </row>
    <row r="6191" spans="3:12" x14ac:dyDescent="0.3">
      <c r="C6191" s="47"/>
      <c r="H6191" s="49"/>
      <c r="K6191" s="72"/>
      <c r="L6191" s="50"/>
    </row>
    <row r="6192" spans="3:12" x14ac:dyDescent="0.3">
      <c r="C6192" s="47"/>
      <c r="H6192" s="49"/>
      <c r="K6192" s="72"/>
      <c r="L6192" s="50"/>
    </row>
    <row r="6193" spans="3:12" x14ac:dyDescent="0.3">
      <c r="C6193" s="47"/>
      <c r="H6193" s="49"/>
      <c r="K6193" s="72"/>
      <c r="L6193" s="50"/>
    </row>
    <row r="6194" spans="3:12" x14ac:dyDescent="0.3">
      <c r="C6194" s="47"/>
      <c r="H6194" s="49"/>
      <c r="K6194" s="72"/>
      <c r="L6194" s="50"/>
    </row>
    <row r="6195" spans="3:12" x14ac:dyDescent="0.3">
      <c r="C6195" s="47"/>
      <c r="H6195" s="49"/>
      <c r="K6195" s="72"/>
      <c r="L6195" s="50"/>
    </row>
    <row r="6196" spans="3:12" x14ac:dyDescent="0.3">
      <c r="C6196" s="47"/>
      <c r="H6196" s="49"/>
      <c r="K6196" s="72"/>
      <c r="L6196" s="50"/>
    </row>
    <row r="6197" spans="3:12" x14ac:dyDescent="0.3">
      <c r="C6197" s="47"/>
      <c r="H6197" s="49"/>
      <c r="K6197" s="72"/>
      <c r="L6197" s="50"/>
    </row>
    <row r="6198" spans="3:12" x14ac:dyDescent="0.3">
      <c r="C6198" s="47"/>
      <c r="H6198" s="49"/>
      <c r="K6198" s="72"/>
      <c r="L6198" s="50"/>
    </row>
    <row r="6199" spans="3:12" x14ac:dyDescent="0.3">
      <c r="C6199" s="47"/>
      <c r="H6199" s="49"/>
      <c r="K6199" s="72"/>
      <c r="L6199" s="50"/>
    </row>
    <row r="6200" spans="3:12" x14ac:dyDescent="0.3">
      <c r="C6200" s="47"/>
      <c r="H6200" s="49"/>
      <c r="K6200" s="72"/>
      <c r="L6200" s="50"/>
    </row>
    <row r="6201" spans="3:12" x14ac:dyDescent="0.3">
      <c r="C6201" s="47"/>
      <c r="H6201" s="49"/>
      <c r="K6201" s="72"/>
      <c r="L6201" s="50"/>
    </row>
    <row r="6202" spans="3:12" x14ac:dyDescent="0.3">
      <c r="C6202" s="47"/>
      <c r="H6202" s="49"/>
      <c r="K6202" s="72"/>
      <c r="L6202" s="50"/>
    </row>
    <row r="6203" spans="3:12" x14ac:dyDescent="0.3">
      <c r="C6203" s="47"/>
      <c r="H6203" s="49"/>
      <c r="K6203" s="72"/>
      <c r="L6203" s="50"/>
    </row>
    <row r="6204" spans="3:12" x14ac:dyDescent="0.3">
      <c r="C6204" s="47"/>
      <c r="H6204" s="49"/>
      <c r="K6204" s="72"/>
      <c r="L6204" s="50"/>
    </row>
    <row r="6205" spans="3:12" x14ac:dyDescent="0.3">
      <c r="C6205" s="47"/>
      <c r="H6205" s="49"/>
      <c r="K6205" s="72"/>
      <c r="L6205" s="50"/>
    </row>
    <row r="6206" spans="3:12" x14ac:dyDescent="0.3">
      <c r="C6206" s="47"/>
      <c r="H6206" s="49"/>
      <c r="K6206" s="72"/>
      <c r="L6206" s="50"/>
    </row>
    <row r="6207" spans="3:12" x14ac:dyDescent="0.3">
      <c r="C6207" s="47"/>
      <c r="H6207" s="49"/>
      <c r="K6207" s="72"/>
      <c r="L6207" s="50"/>
    </row>
    <row r="6208" spans="3:12" x14ac:dyDescent="0.3">
      <c r="C6208" s="47"/>
      <c r="H6208" s="49"/>
      <c r="K6208" s="72"/>
      <c r="L6208" s="50"/>
    </row>
    <row r="6209" spans="3:12" x14ac:dyDescent="0.3">
      <c r="C6209" s="47"/>
      <c r="H6209" s="49"/>
      <c r="K6209" s="72"/>
      <c r="L6209" s="50"/>
    </row>
    <row r="6210" spans="3:12" x14ac:dyDescent="0.3">
      <c r="C6210" s="47"/>
      <c r="H6210" s="49"/>
      <c r="K6210" s="72"/>
      <c r="L6210" s="50"/>
    </row>
    <row r="6211" spans="3:12" x14ac:dyDescent="0.3">
      <c r="C6211" s="47"/>
      <c r="H6211" s="49"/>
      <c r="K6211" s="72"/>
      <c r="L6211" s="50"/>
    </row>
    <row r="6212" spans="3:12" x14ac:dyDescent="0.3">
      <c r="C6212" s="47"/>
      <c r="H6212" s="49"/>
      <c r="K6212" s="72"/>
      <c r="L6212" s="50"/>
    </row>
    <row r="6213" spans="3:12" x14ac:dyDescent="0.3">
      <c r="C6213" s="47"/>
      <c r="H6213" s="49"/>
      <c r="K6213" s="72"/>
      <c r="L6213" s="50"/>
    </row>
    <row r="6214" spans="3:12" x14ac:dyDescent="0.3">
      <c r="C6214" s="47"/>
      <c r="H6214" s="49"/>
      <c r="K6214" s="72"/>
      <c r="L6214" s="50"/>
    </row>
    <row r="6215" spans="3:12" x14ac:dyDescent="0.3">
      <c r="C6215" s="47"/>
      <c r="H6215" s="49"/>
      <c r="K6215" s="72"/>
      <c r="L6215" s="50"/>
    </row>
    <row r="6216" spans="3:12" x14ac:dyDescent="0.3">
      <c r="C6216" s="47"/>
      <c r="H6216" s="49"/>
      <c r="K6216" s="72"/>
      <c r="L6216" s="50"/>
    </row>
    <row r="6217" spans="3:12" x14ac:dyDescent="0.3">
      <c r="C6217" s="47"/>
      <c r="H6217" s="49"/>
      <c r="K6217" s="72"/>
      <c r="L6217" s="50"/>
    </row>
    <row r="6218" spans="3:12" x14ac:dyDescent="0.3">
      <c r="C6218" s="47"/>
      <c r="H6218" s="49"/>
      <c r="K6218" s="72"/>
      <c r="L6218" s="50"/>
    </row>
    <row r="6219" spans="3:12" x14ac:dyDescent="0.3">
      <c r="C6219" s="47"/>
      <c r="H6219" s="49"/>
      <c r="K6219" s="72"/>
      <c r="L6219" s="50"/>
    </row>
    <row r="6220" spans="3:12" x14ac:dyDescent="0.3">
      <c r="C6220" s="47"/>
      <c r="H6220" s="49"/>
      <c r="K6220" s="72"/>
      <c r="L6220" s="50"/>
    </row>
    <row r="6221" spans="3:12" x14ac:dyDescent="0.3">
      <c r="C6221" s="47"/>
      <c r="H6221" s="49"/>
      <c r="K6221" s="72"/>
      <c r="L6221" s="50"/>
    </row>
    <row r="6222" spans="3:12" x14ac:dyDescent="0.3">
      <c r="C6222" s="47"/>
      <c r="H6222" s="49"/>
      <c r="K6222" s="72"/>
      <c r="L6222" s="50"/>
    </row>
    <row r="6223" spans="3:12" x14ac:dyDescent="0.3">
      <c r="C6223" s="47"/>
      <c r="H6223" s="49"/>
      <c r="K6223" s="72"/>
      <c r="L6223" s="50"/>
    </row>
    <row r="6224" spans="3:12" x14ac:dyDescent="0.3">
      <c r="C6224" s="47"/>
      <c r="H6224" s="49"/>
      <c r="K6224" s="72"/>
      <c r="L6224" s="50"/>
    </row>
    <row r="6225" spans="3:12" x14ac:dyDescent="0.3">
      <c r="C6225" s="47"/>
      <c r="H6225" s="49"/>
      <c r="K6225" s="72"/>
      <c r="L6225" s="50"/>
    </row>
    <row r="6226" spans="3:12" x14ac:dyDescent="0.3">
      <c r="C6226" s="47"/>
      <c r="H6226" s="49"/>
      <c r="K6226" s="72"/>
      <c r="L6226" s="50"/>
    </row>
    <row r="6227" spans="3:12" x14ac:dyDescent="0.3">
      <c r="C6227" s="47"/>
      <c r="H6227" s="49"/>
      <c r="K6227" s="72"/>
      <c r="L6227" s="50"/>
    </row>
    <row r="6228" spans="3:12" x14ac:dyDescent="0.3">
      <c r="C6228" s="47"/>
      <c r="H6228" s="49"/>
      <c r="K6228" s="72"/>
      <c r="L6228" s="50"/>
    </row>
    <row r="6229" spans="3:12" x14ac:dyDescent="0.3">
      <c r="C6229" s="47"/>
      <c r="H6229" s="49"/>
      <c r="K6229" s="72"/>
      <c r="L6229" s="50"/>
    </row>
    <row r="6230" spans="3:12" x14ac:dyDescent="0.3">
      <c r="C6230" s="47"/>
      <c r="H6230" s="49"/>
      <c r="K6230" s="72"/>
      <c r="L6230" s="50"/>
    </row>
    <row r="6231" spans="3:12" x14ac:dyDescent="0.3">
      <c r="C6231" s="47"/>
      <c r="H6231" s="49"/>
      <c r="K6231" s="72"/>
      <c r="L6231" s="50"/>
    </row>
    <row r="6232" spans="3:12" x14ac:dyDescent="0.3">
      <c r="C6232" s="47"/>
      <c r="H6232" s="49"/>
      <c r="K6232" s="72"/>
      <c r="L6232" s="50"/>
    </row>
    <row r="6233" spans="3:12" x14ac:dyDescent="0.3">
      <c r="C6233" s="47"/>
      <c r="H6233" s="49"/>
      <c r="K6233" s="72"/>
      <c r="L6233" s="50"/>
    </row>
    <row r="6234" spans="3:12" x14ac:dyDescent="0.3">
      <c r="C6234" s="47"/>
      <c r="H6234" s="49"/>
      <c r="K6234" s="72"/>
      <c r="L6234" s="50"/>
    </row>
    <row r="6235" spans="3:12" x14ac:dyDescent="0.3">
      <c r="C6235" s="47"/>
      <c r="H6235" s="49"/>
      <c r="K6235" s="72"/>
      <c r="L6235" s="50"/>
    </row>
    <row r="6236" spans="3:12" x14ac:dyDescent="0.3">
      <c r="C6236" s="47"/>
      <c r="H6236" s="49"/>
      <c r="K6236" s="72"/>
      <c r="L6236" s="50"/>
    </row>
    <row r="6237" spans="3:12" x14ac:dyDescent="0.3">
      <c r="C6237" s="47"/>
      <c r="H6237" s="49"/>
      <c r="K6237" s="72"/>
      <c r="L6237" s="50"/>
    </row>
    <row r="6238" spans="3:12" x14ac:dyDescent="0.3">
      <c r="C6238" s="47"/>
      <c r="H6238" s="49"/>
      <c r="K6238" s="72"/>
      <c r="L6238" s="50"/>
    </row>
    <row r="6239" spans="3:12" x14ac:dyDescent="0.3">
      <c r="C6239" s="47"/>
      <c r="H6239" s="49"/>
      <c r="K6239" s="72"/>
      <c r="L6239" s="50"/>
    </row>
    <row r="6240" spans="3:12" x14ac:dyDescent="0.3">
      <c r="C6240" s="47"/>
      <c r="H6240" s="49"/>
      <c r="K6240" s="72"/>
      <c r="L6240" s="50"/>
    </row>
    <row r="6241" spans="3:12" x14ac:dyDescent="0.3">
      <c r="C6241" s="47"/>
      <c r="H6241" s="49"/>
      <c r="K6241" s="72"/>
      <c r="L6241" s="50"/>
    </row>
    <row r="6242" spans="3:12" x14ac:dyDescent="0.3">
      <c r="C6242" s="47"/>
      <c r="H6242" s="49"/>
      <c r="K6242" s="72"/>
      <c r="L6242" s="50"/>
    </row>
    <row r="6243" spans="3:12" x14ac:dyDescent="0.3">
      <c r="C6243" s="47"/>
      <c r="H6243" s="49"/>
      <c r="K6243" s="72"/>
      <c r="L6243" s="50"/>
    </row>
    <row r="6244" spans="3:12" x14ac:dyDescent="0.3">
      <c r="C6244" s="47"/>
      <c r="H6244" s="49"/>
      <c r="K6244" s="72"/>
      <c r="L6244" s="50"/>
    </row>
    <row r="6245" spans="3:12" x14ac:dyDescent="0.3">
      <c r="C6245" s="47"/>
      <c r="H6245" s="49"/>
      <c r="K6245" s="72"/>
      <c r="L6245" s="50"/>
    </row>
    <row r="6246" spans="3:12" x14ac:dyDescent="0.3">
      <c r="C6246" s="47"/>
      <c r="H6246" s="49"/>
      <c r="K6246" s="72"/>
      <c r="L6246" s="50"/>
    </row>
    <row r="6247" spans="3:12" x14ac:dyDescent="0.3">
      <c r="C6247" s="47"/>
      <c r="H6247" s="49"/>
      <c r="K6247" s="72"/>
      <c r="L6247" s="50"/>
    </row>
    <row r="6248" spans="3:12" x14ac:dyDescent="0.3">
      <c r="C6248" s="47"/>
      <c r="H6248" s="49"/>
      <c r="K6248" s="72"/>
      <c r="L6248" s="50"/>
    </row>
    <row r="6249" spans="3:12" x14ac:dyDescent="0.3">
      <c r="C6249" s="47"/>
      <c r="H6249" s="49"/>
      <c r="K6249" s="72"/>
      <c r="L6249" s="50"/>
    </row>
    <row r="6250" spans="3:12" x14ac:dyDescent="0.3">
      <c r="C6250" s="47"/>
      <c r="H6250" s="49"/>
      <c r="K6250" s="72"/>
      <c r="L6250" s="50"/>
    </row>
    <row r="6251" spans="3:12" x14ac:dyDescent="0.3">
      <c r="C6251" s="47"/>
      <c r="H6251" s="49"/>
      <c r="K6251" s="72"/>
      <c r="L6251" s="50"/>
    </row>
    <row r="6252" spans="3:12" x14ac:dyDescent="0.3">
      <c r="C6252" s="47"/>
      <c r="H6252" s="49"/>
      <c r="K6252" s="72"/>
      <c r="L6252" s="50"/>
    </row>
    <row r="6253" spans="3:12" x14ac:dyDescent="0.3">
      <c r="C6253" s="47"/>
      <c r="H6253" s="49"/>
      <c r="K6253" s="72"/>
      <c r="L6253" s="50"/>
    </row>
    <row r="6254" spans="3:12" x14ac:dyDescent="0.3">
      <c r="C6254" s="47"/>
      <c r="H6254" s="49"/>
      <c r="K6254" s="72"/>
      <c r="L6254" s="50"/>
    </row>
    <row r="6255" spans="3:12" x14ac:dyDescent="0.3">
      <c r="C6255" s="47"/>
      <c r="H6255" s="49"/>
      <c r="K6255" s="72"/>
      <c r="L6255" s="50"/>
    </row>
    <row r="6256" spans="3:12" x14ac:dyDescent="0.3">
      <c r="C6256" s="47"/>
      <c r="H6256" s="49"/>
      <c r="K6256" s="72"/>
      <c r="L6256" s="50"/>
    </row>
    <row r="6257" spans="3:12" x14ac:dyDescent="0.3">
      <c r="C6257" s="47"/>
      <c r="H6257" s="49"/>
      <c r="K6257" s="72"/>
      <c r="L6257" s="50"/>
    </row>
    <row r="6258" spans="3:12" x14ac:dyDescent="0.3">
      <c r="C6258" s="47"/>
      <c r="H6258" s="49"/>
      <c r="K6258" s="72"/>
      <c r="L6258" s="50"/>
    </row>
    <row r="6259" spans="3:12" x14ac:dyDescent="0.3">
      <c r="C6259" s="47"/>
      <c r="H6259" s="49"/>
      <c r="K6259" s="72"/>
      <c r="L6259" s="50"/>
    </row>
    <row r="6260" spans="3:12" x14ac:dyDescent="0.3">
      <c r="C6260" s="47"/>
      <c r="H6260" s="49"/>
      <c r="K6260" s="72"/>
      <c r="L6260" s="50"/>
    </row>
    <row r="6261" spans="3:12" x14ac:dyDescent="0.3">
      <c r="C6261" s="47"/>
      <c r="H6261" s="49"/>
      <c r="K6261" s="72"/>
      <c r="L6261" s="50"/>
    </row>
    <row r="6262" spans="3:12" x14ac:dyDescent="0.3">
      <c r="C6262" s="47"/>
      <c r="H6262" s="49"/>
      <c r="K6262" s="72"/>
      <c r="L6262" s="50"/>
    </row>
    <row r="6263" spans="3:12" x14ac:dyDescent="0.3">
      <c r="C6263" s="47"/>
      <c r="H6263" s="49"/>
      <c r="K6263" s="72"/>
      <c r="L6263" s="50"/>
    </row>
    <row r="6264" spans="3:12" x14ac:dyDescent="0.3">
      <c r="C6264" s="47"/>
      <c r="H6264" s="49"/>
      <c r="K6264" s="72"/>
      <c r="L6264" s="50"/>
    </row>
    <row r="6265" spans="3:12" x14ac:dyDescent="0.3">
      <c r="C6265" s="47"/>
      <c r="H6265" s="49"/>
      <c r="K6265" s="72"/>
      <c r="L6265" s="50"/>
    </row>
    <row r="6266" spans="3:12" x14ac:dyDescent="0.3">
      <c r="C6266" s="47"/>
      <c r="H6266" s="49"/>
      <c r="K6266" s="72"/>
      <c r="L6266" s="50"/>
    </row>
    <row r="6267" spans="3:12" x14ac:dyDescent="0.3">
      <c r="C6267" s="47"/>
      <c r="H6267" s="49"/>
      <c r="K6267" s="72"/>
      <c r="L6267" s="50"/>
    </row>
    <row r="6268" spans="3:12" x14ac:dyDescent="0.3">
      <c r="C6268" s="47"/>
      <c r="H6268" s="49"/>
      <c r="K6268" s="72"/>
      <c r="L6268" s="50"/>
    </row>
    <row r="6269" spans="3:12" x14ac:dyDescent="0.3">
      <c r="C6269" s="47"/>
      <c r="H6269" s="49"/>
      <c r="K6269" s="72"/>
      <c r="L6269" s="50"/>
    </row>
    <row r="6270" spans="3:12" x14ac:dyDescent="0.3">
      <c r="C6270" s="47"/>
      <c r="H6270" s="49"/>
      <c r="K6270" s="72"/>
      <c r="L6270" s="50"/>
    </row>
    <row r="6271" spans="3:12" x14ac:dyDescent="0.3">
      <c r="C6271" s="47"/>
      <c r="H6271" s="49"/>
      <c r="K6271" s="72"/>
      <c r="L6271" s="50"/>
    </row>
    <row r="6272" spans="3:12" x14ac:dyDescent="0.3">
      <c r="C6272" s="47"/>
      <c r="H6272" s="49"/>
      <c r="K6272" s="72"/>
      <c r="L6272" s="50"/>
    </row>
    <row r="6273" spans="3:12" x14ac:dyDescent="0.3">
      <c r="C6273" s="47"/>
      <c r="H6273" s="49"/>
      <c r="K6273" s="72"/>
      <c r="L6273" s="50"/>
    </row>
    <row r="6274" spans="3:12" x14ac:dyDescent="0.3">
      <c r="C6274" s="47"/>
      <c r="H6274" s="49"/>
      <c r="K6274" s="72"/>
      <c r="L6274" s="50"/>
    </row>
    <row r="6275" spans="3:12" x14ac:dyDescent="0.3">
      <c r="C6275" s="47"/>
      <c r="H6275" s="49"/>
      <c r="K6275" s="72"/>
      <c r="L6275" s="50"/>
    </row>
    <row r="6276" spans="3:12" x14ac:dyDescent="0.3">
      <c r="C6276" s="47"/>
      <c r="H6276" s="49"/>
      <c r="K6276" s="72"/>
      <c r="L6276" s="50"/>
    </row>
    <row r="6277" spans="3:12" x14ac:dyDescent="0.3">
      <c r="C6277" s="47"/>
      <c r="H6277" s="49"/>
      <c r="K6277" s="72"/>
      <c r="L6277" s="50"/>
    </row>
    <row r="6278" spans="3:12" x14ac:dyDescent="0.3">
      <c r="C6278" s="47"/>
      <c r="H6278" s="49"/>
      <c r="K6278" s="72"/>
      <c r="L6278" s="50"/>
    </row>
    <row r="6279" spans="3:12" x14ac:dyDescent="0.3">
      <c r="C6279" s="47"/>
      <c r="H6279" s="49"/>
      <c r="K6279" s="72"/>
      <c r="L6279" s="50"/>
    </row>
    <row r="6280" spans="3:12" x14ac:dyDescent="0.3">
      <c r="C6280" s="47"/>
      <c r="H6280" s="49"/>
      <c r="K6280" s="72"/>
      <c r="L6280" s="50"/>
    </row>
    <row r="6281" spans="3:12" x14ac:dyDescent="0.3">
      <c r="C6281" s="47"/>
      <c r="H6281" s="49"/>
      <c r="K6281" s="72"/>
      <c r="L6281" s="50"/>
    </row>
    <row r="6282" spans="3:12" x14ac:dyDescent="0.3">
      <c r="C6282" s="47"/>
      <c r="H6282" s="49"/>
      <c r="K6282" s="72"/>
      <c r="L6282" s="50"/>
    </row>
    <row r="6283" spans="3:12" x14ac:dyDescent="0.3">
      <c r="C6283" s="47"/>
      <c r="H6283" s="49"/>
      <c r="K6283" s="72"/>
      <c r="L6283" s="50"/>
    </row>
    <row r="6284" spans="3:12" x14ac:dyDescent="0.3">
      <c r="C6284" s="47"/>
      <c r="H6284" s="49"/>
      <c r="K6284" s="72"/>
      <c r="L6284" s="50"/>
    </row>
    <row r="6285" spans="3:12" x14ac:dyDescent="0.3">
      <c r="C6285" s="47"/>
      <c r="H6285" s="49"/>
      <c r="K6285" s="72"/>
      <c r="L6285" s="50"/>
    </row>
    <row r="6286" spans="3:12" x14ac:dyDescent="0.3">
      <c r="C6286" s="47"/>
      <c r="H6286" s="49"/>
      <c r="K6286" s="72"/>
      <c r="L6286" s="50"/>
    </row>
    <row r="6287" spans="3:12" x14ac:dyDescent="0.3">
      <c r="C6287" s="47"/>
      <c r="H6287" s="49"/>
      <c r="K6287" s="72"/>
      <c r="L6287" s="50"/>
    </row>
    <row r="6288" spans="3:12" x14ac:dyDescent="0.3">
      <c r="C6288" s="47"/>
      <c r="H6288" s="49"/>
      <c r="K6288" s="72"/>
      <c r="L6288" s="50"/>
    </row>
    <row r="6289" spans="3:12" x14ac:dyDescent="0.3">
      <c r="C6289" s="47"/>
      <c r="H6289" s="49"/>
      <c r="K6289" s="72"/>
      <c r="L6289" s="50"/>
    </row>
    <row r="6290" spans="3:12" x14ac:dyDescent="0.3">
      <c r="C6290" s="47"/>
      <c r="H6290" s="49"/>
      <c r="K6290" s="72"/>
      <c r="L6290" s="50"/>
    </row>
    <row r="6291" spans="3:12" x14ac:dyDescent="0.3">
      <c r="C6291" s="47"/>
      <c r="H6291" s="49"/>
      <c r="K6291" s="72"/>
      <c r="L6291" s="50"/>
    </row>
    <row r="6292" spans="3:12" x14ac:dyDescent="0.3">
      <c r="C6292" s="47"/>
      <c r="H6292" s="49"/>
      <c r="K6292" s="72"/>
      <c r="L6292" s="50"/>
    </row>
    <row r="6293" spans="3:12" x14ac:dyDescent="0.3">
      <c r="C6293" s="47"/>
      <c r="H6293" s="49"/>
      <c r="K6293" s="72"/>
      <c r="L6293" s="50"/>
    </row>
    <row r="6294" spans="3:12" x14ac:dyDescent="0.3">
      <c r="C6294" s="47"/>
      <c r="H6294" s="49"/>
      <c r="K6294" s="72"/>
      <c r="L6294" s="50"/>
    </row>
    <row r="6295" spans="3:12" x14ac:dyDescent="0.3">
      <c r="C6295" s="47"/>
      <c r="H6295" s="49"/>
      <c r="K6295" s="72"/>
      <c r="L6295" s="50"/>
    </row>
    <row r="6296" spans="3:12" x14ac:dyDescent="0.3">
      <c r="C6296" s="47"/>
      <c r="H6296" s="49"/>
      <c r="K6296" s="72"/>
      <c r="L6296" s="50"/>
    </row>
    <row r="6297" spans="3:12" x14ac:dyDescent="0.3">
      <c r="C6297" s="47"/>
      <c r="H6297" s="49"/>
      <c r="K6297" s="72"/>
      <c r="L6297" s="50"/>
    </row>
    <row r="6298" spans="3:12" x14ac:dyDescent="0.3">
      <c r="C6298" s="47"/>
      <c r="H6298" s="49"/>
      <c r="K6298" s="72"/>
      <c r="L6298" s="50"/>
    </row>
    <row r="6299" spans="3:12" x14ac:dyDescent="0.3">
      <c r="C6299" s="47"/>
      <c r="H6299" s="49"/>
      <c r="K6299" s="72"/>
      <c r="L6299" s="50"/>
    </row>
    <row r="6300" spans="3:12" x14ac:dyDescent="0.3">
      <c r="C6300" s="47"/>
      <c r="H6300" s="49"/>
      <c r="K6300" s="72"/>
      <c r="L6300" s="50"/>
    </row>
    <row r="6301" spans="3:12" x14ac:dyDescent="0.3">
      <c r="C6301" s="47"/>
      <c r="H6301" s="49"/>
      <c r="K6301" s="72"/>
      <c r="L6301" s="50"/>
    </row>
    <row r="6302" spans="3:12" x14ac:dyDescent="0.3">
      <c r="C6302" s="47"/>
      <c r="H6302" s="49"/>
      <c r="K6302" s="72"/>
      <c r="L6302" s="50"/>
    </row>
    <row r="6303" spans="3:12" x14ac:dyDescent="0.3">
      <c r="C6303" s="47"/>
      <c r="H6303" s="49"/>
      <c r="K6303" s="72"/>
      <c r="L6303" s="50"/>
    </row>
    <row r="6304" spans="3:12" x14ac:dyDescent="0.3">
      <c r="C6304" s="47"/>
      <c r="H6304" s="49"/>
      <c r="K6304" s="72"/>
      <c r="L6304" s="50"/>
    </row>
    <row r="6305" spans="3:12" x14ac:dyDescent="0.3">
      <c r="C6305" s="47"/>
      <c r="H6305" s="49"/>
      <c r="K6305" s="72"/>
      <c r="L6305" s="50"/>
    </row>
    <row r="6306" spans="3:12" x14ac:dyDescent="0.3">
      <c r="C6306" s="47"/>
      <c r="H6306" s="49"/>
      <c r="K6306" s="72"/>
      <c r="L6306" s="50"/>
    </row>
    <row r="6307" spans="3:12" x14ac:dyDescent="0.3">
      <c r="C6307" s="47"/>
      <c r="H6307" s="49"/>
      <c r="K6307" s="72"/>
      <c r="L6307" s="50"/>
    </row>
    <row r="6308" spans="3:12" x14ac:dyDescent="0.3">
      <c r="C6308" s="47"/>
      <c r="H6308" s="49"/>
      <c r="K6308" s="72"/>
      <c r="L6308" s="50"/>
    </row>
    <row r="6309" spans="3:12" x14ac:dyDescent="0.3">
      <c r="C6309" s="47"/>
      <c r="H6309" s="49"/>
      <c r="K6309" s="72"/>
      <c r="L6309" s="50"/>
    </row>
    <row r="6310" spans="3:12" x14ac:dyDescent="0.3">
      <c r="C6310" s="47"/>
      <c r="H6310" s="49"/>
      <c r="K6310" s="72"/>
      <c r="L6310" s="50"/>
    </row>
    <row r="6311" spans="3:12" x14ac:dyDescent="0.3">
      <c r="C6311" s="47"/>
      <c r="H6311" s="49"/>
      <c r="K6311" s="72"/>
      <c r="L6311" s="50"/>
    </row>
    <row r="6312" spans="3:12" x14ac:dyDescent="0.3">
      <c r="C6312" s="47"/>
      <c r="H6312" s="49"/>
      <c r="K6312" s="72"/>
      <c r="L6312" s="50"/>
    </row>
    <row r="6313" spans="3:12" x14ac:dyDescent="0.3">
      <c r="C6313" s="47"/>
      <c r="H6313" s="49"/>
      <c r="K6313" s="72"/>
      <c r="L6313" s="50"/>
    </row>
    <row r="6314" spans="3:12" x14ac:dyDescent="0.3">
      <c r="C6314" s="47"/>
      <c r="H6314" s="49"/>
      <c r="K6314" s="72"/>
      <c r="L6314" s="50"/>
    </row>
    <row r="6315" spans="3:12" x14ac:dyDescent="0.3">
      <c r="C6315" s="47"/>
      <c r="H6315" s="49"/>
      <c r="K6315" s="72"/>
      <c r="L6315" s="50"/>
    </row>
    <row r="6316" spans="3:12" x14ac:dyDescent="0.3">
      <c r="C6316" s="47"/>
      <c r="H6316" s="49"/>
      <c r="K6316" s="72"/>
      <c r="L6316" s="50"/>
    </row>
    <row r="6317" spans="3:12" x14ac:dyDescent="0.3">
      <c r="C6317" s="47"/>
      <c r="H6317" s="49"/>
      <c r="K6317" s="72"/>
      <c r="L6317" s="50"/>
    </row>
    <row r="6318" spans="3:12" x14ac:dyDescent="0.3">
      <c r="C6318" s="47"/>
      <c r="H6318" s="49"/>
      <c r="K6318" s="72"/>
      <c r="L6318" s="50"/>
    </row>
    <row r="6319" spans="3:12" x14ac:dyDescent="0.3">
      <c r="C6319" s="47"/>
      <c r="H6319" s="49"/>
      <c r="K6319" s="72"/>
      <c r="L6319" s="50"/>
    </row>
    <row r="6320" spans="3:12" x14ac:dyDescent="0.3">
      <c r="C6320" s="47"/>
      <c r="H6320" s="49"/>
      <c r="K6320" s="72"/>
      <c r="L6320" s="50"/>
    </row>
    <row r="6321" spans="3:12" x14ac:dyDescent="0.3">
      <c r="C6321" s="47"/>
      <c r="H6321" s="49"/>
      <c r="K6321" s="72"/>
      <c r="L6321" s="50"/>
    </row>
    <row r="6322" spans="3:12" x14ac:dyDescent="0.3">
      <c r="C6322" s="47"/>
      <c r="H6322" s="49"/>
      <c r="K6322" s="72"/>
      <c r="L6322" s="50"/>
    </row>
    <row r="6323" spans="3:12" x14ac:dyDescent="0.3">
      <c r="C6323" s="47"/>
      <c r="H6323" s="49"/>
      <c r="K6323" s="72"/>
      <c r="L6323" s="50"/>
    </row>
    <row r="6324" spans="3:12" x14ac:dyDescent="0.3">
      <c r="C6324" s="47"/>
      <c r="H6324" s="49"/>
      <c r="K6324" s="72"/>
      <c r="L6324" s="50"/>
    </row>
    <row r="6325" spans="3:12" x14ac:dyDescent="0.3">
      <c r="C6325" s="47"/>
      <c r="H6325" s="49"/>
      <c r="K6325" s="72"/>
      <c r="L6325" s="50"/>
    </row>
    <row r="6326" spans="3:12" x14ac:dyDescent="0.3">
      <c r="C6326" s="47"/>
      <c r="H6326" s="49"/>
      <c r="K6326" s="72"/>
      <c r="L6326" s="50"/>
    </row>
    <row r="6327" spans="3:12" x14ac:dyDescent="0.3">
      <c r="C6327" s="47"/>
      <c r="H6327" s="49"/>
      <c r="K6327" s="72"/>
      <c r="L6327" s="50"/>
    </row>
    <row r="6328" spans="3:12" x14ac:dyDescent="0.3">
      <c r="C6328" s="47"/>
      <c r="H6328" s="49"/>
      <c r="K6328" s="72"/>
      <c r="L6328" s="50"/>
    </row>
    <row r="6329" spans="3:12" x14ac:dyDescent="0.3">
      <c r="C6329" s="47"/>
      <c r="H6329" s="49"/>
      <c r="K6329" s="72"/>
      <c r="L6329" s="50"/>
    </row>
    <row r="6330" spans="3:12" x14ac:dyDescent="0.3">
      <c r="C6330" s="47"/>
      <c r="H6330" s="49"/>
      <c r="K6330" s="72"/>
      <c r="L6330" s="50"/>
    </row>
    <row r="6331" spans="3:12" x14ac:dyDescent="0.3">
      <c r="C6331" s="47"/>
      <c r="H6331" s="49"/>
      <c r="K6331" s="72"/>
      <c r="L6331" s="50"/>
    </row>
    <row r="6332" spans="3:12" x14ac:dyDescent="0.3">
      <c r="C6332" s="47"/>
      <c r="H6332" s="49"/>
      <c r="K6332" s="72"/>
      <c r="L6332" s="50"/>
    </row>
    <row r="6333" spans="3:12" x14ac:dyDescent="0.3">
      <c r="C6333" s="47"/>
      <c r="H6333" s="49"/>
      <c r="K6333" s="72"/>
      <c r="L6333" s="50"/>
    </row>
    <row r="6334" spans="3:12" x14ac:dyDescent="0.3">
      <c r="C6334" s="47"/>
      <c r="H6334" s="49"/>
      <c r="K6334" s="72"/>
      <c r="L6334" s="50"/>
    </row>
    <row r="6335" spans="3:12" x14ac:dyDescent="0.3">
      <c r="C6335" s="47"/>
      <c r="H6335" s="49"/>
      <c r="K6335" s="72"/>
      <c r="L6335" s="50"/>
    </row>
    <row r="6336" spans="3:12" x14ac:dyDescent="0.3">
      <c r="C6336" s="47"/>
      <c r="H6336" s="49"/>
      <c r="K6336" s="72"/>
      <c r="L6336" s="50"/>
    </row>
    <row r="6337" spans="3:12" x14ac:dyDescent="0.3">
      <c r="C6337" s="47"/>
      <c r="H6337" s="49"/>
      <c r="K6337" s="72"/>
      <c r="L6337" s="50"/>
    </row>
    <row r="6338" spans="3:12" x14ac:dyDescent="0.3">
      <c r="C6338" s="47"/>
      <c r="H6338" s="49"/>
      <c r="K6338" s="72"/>
      <c r="L6338" s="50"/>
    </row>
    <row r="6339" spans="3:12" x14ac:dyDescent="0.3">
      <c r="C6339" s="47"/>
      <c r="H6339" s="49"/>
      <c r="K6339" s="72"/>
      <c r="L6339" s="50"/>
    </row>
    <row r="6340" spans="3:12" x14ac:dyDescent="0.3">
      <c r="C6340" s="47"/>
      <c r="H6340" s="49"/>
      <c r="K6340" s="72"/>
      <c r="L6340" s="50"/>
    </row>
    <row r="6341" spans="3:12" x14ac:dyDescent="0.3">
      <c r="C6341" s="47"/>
      <c r="H6341" s="49"/>
      <c r="K6341" s="72"/>
      <c r="L6341" s="50"/>
    </row>
    <row r="6342" spans="3:12" x14ac:dyDescent="0.3">
      <c r="C6342" s="47"/>
      <c r="H6342" s="49"/>
      <c r="K6342" s="72"/>
      <c r="L6342" s="50"/>
    </row>
    <row r="6343" spans="3:12" x14ac:dyDescent="0.3">
      <c r="C6343" s="47"/>
      <c r="H6343" s="49"/>
      <c r="K6343" s="72"/>
      <c r="L6343" s="50"/>
    </row>
    <row r="6344" spans="3:12" x14ac:dyDescent="0.3">
      <c r="C6344" s="47"/>
      <c r="H6344" s="49"/>
      <c r="K6344" s="72"/>
      <c r="L6344" s="50"/>
    </row>
    <row r="6345" spans="3:12" x14ac:dyDescent="0.3">
      <c r="C6345" s="47"/>
      <c r="H6345" s="49"/>
      <c r="K6345" s="72"/>
      <c r="L6345" s="50"/>
    </row>
    <row r="6346" spans="3:12" x14ac:dyDescent="0.3">
      <c r="C6346" s="47"/>
      <c r="H6346" s="49"/>
      <c r="K6346" s="72"/>
      <c r="L6346" s="50"/>
    </row>
    <row r="6347" spans="3:12" x14ac:dyDescent="0.3">
      <c r="C6347" s="47"/>
      <c r="H6347" s="49"/>
      <c r="K6347" s="72"/>
      <c r="L6347" s="50"/>
    </row>
    <row r="6348" spans="3:12" x14ac:dyDescent="0.3">
      <c r="C6348" s="47"/>
      <c r="H6348" s="49"/>
      <c r="K6348" s="72"/>
      <c r="L6348" s="50"/>
    </row>
    <row r="6349" spans="3:12" x14ac:dyDescent="0.3">
      <c r="C6349" s="47"/>
      <c r="H6349" s="49"/>
      <c r="K6349" s="72"/>
      <c r="L6349" s="50"/>
    </row>
    <row r="6350" spans="3:12" x14ac:dyDescent="0.3">
      <c r="C6350" s="47"/>
      <c r="H6350" s="49"/>
      <c r="K6350" s="72"/>
      <c r="L6350" s="50"/>
    </row>
    <row r="6351" spans="3:12" x14ac:dyDescent="0.3">
      <c r="C6351" s="47"/>
      <c r="H6351" s="49"/>
      <c r="K6351" s="72"/>
      <c r="L6351" s="50"/>
    </row>
    <row r="6352" spans="3:12" x14ac:dyDescent="0.3">
      <c r="C6352" s="47"/>
      <c r="H6352" s="49"/>
      <c r="K6352" s="72"/>
      <c r="L6352" s="50"/>
    </row>
    <row r="6353" spans="3:12" x14ac:dyDescent="0.3">
      <c r="C6353" s="47"/>
      <c r="H6353" s="49"/>
      <c r="K6353" s="72"/>
      <c r="L6353" s="50"/>
    </row>
    <row r="6354" spans="3:12" x14ac:dyDescent="0.3">
      <c r="C6354" s="47"/>
      <c r="H6354" s="49"/>
      <c r="K6354" s="72"/>
      <c r="L6354" s="50"/>
    </row>
    <row r="6355" spans="3:12" x14ac:dyDescent="0.3">
      <c r="C6355" s="47"/>
      <c r="H6355" s="49"/>
      <c r="K6355" s="72"/>
      <c r="L6355" s="50"/>
    </row>
    <row r="6356" spans="3:12" x14ac:dyDescent="0.3">
      <c r="C6356" s="47"/>
      <c r="H6356" s="49"/>
      <c r="K6356" s="72"/>
      <c r="L6356" s="50"/>
    </row>
    <row r="6357" spans="3:12" x14ac:dyDescent="0.3">
      <c r="C6357" s="47"/>
      <c r="H6357" s="49"/>
      <c r="K6357" s="72"/>
      <c r="L6357" s="50"/>
    </row>
    <row r="6358" spans="3:12" x14ac:dyDescent="0.3">
      <c r="C6358" s="47"/>
      <c r="H6358" s="49"/>
      <c r="K6358" s="72"/>
      <c r="L6358" s="50"/>
    </row>
    <row r="6359" spans="3:12" x14ac:dyDescent="0.3">
      <c r="C6359" s="47"/>
      <c r="H6359" s="49"/>
      <c r="K6359" s="72"/>
      <c r="L6359" s="50"/>
    </row>
    <row r="6360" spans="3:12" x14ac:dyDescent="0.3">
      <c r="C6360" s="47"/>
      <c r="H6360" s="49"/>
      <c r="K6360" s="72"/>
      <c r="L6360" s="50"/>
    </row>
    <row r="6361" spans="3:12" x14ac:dyDescent="0.3">
      <c r="C6361" s="47"/>
      <c r="H6361" s="49"/>
      <c r="K6361" s="72"/>
      <c r="L6361" s="50"/>
    </row>
    <row r="6362" spans="3:12" x14ac:dyDescent="0.3">
      <c r="C6362" s="47"/>
      <c r="H6362" s="49"/>
      <c r="K6362" s="72"/>
      <c r="L6362" s="50"/>
    </row>
    <row r="6363" spans="3:12" x14ac:dyDescent="0.3">
      <c r="C6363" s="47"/>
      <c r="H6363" s="49"/>
      <c r="K6363" s="72"/>
      <c r="L6363" s="50"/>
    </row>
    <row r="6364" spans="3:12" x14ac:dyDescent="0.3">
      <c r="C6364" s="47"/>
      <c r="H6364" s="49"/>
      <c r="K6364" s="72"/>
      <c r="L6364" s="50"/>
    </row>
    <row r="6365" spans="3:12" x14ac:dyDescent="0.3">
      <c r="C6365" s="47"/>
      <c r="H6365" s="49"/>
      <c r="K6365" s="72"/>
      <c r="L6365" s="50"/>
    </row>
    <row r="6366" spans="3:12" x14ac:dyDescent="0.3">
      <c r="C6366" s="47"/>
      <c r="H6366" s="49"/>
      <c r="K6366" s="72"/>
      <c r="L6366" s="50"/>
    </row>
    <row r="6367" spans="3:12" x14ac:dyDescent="0.3">
      <c r="C6367" s="47"/>
      <c r="H6367" s="49"/>
      <c r="K6367" s="72"/>
      <c r="L6367" s="50"/>
    </row>
    <row r="6368" spans="3:12" x14ac:dyDescent="0.3">
      <c r="C6368" s="47"/>
      <c r="H6368" s="49"/>
      <c r="K6368" s="72"/>
      <c r="L6368" s="50"/>
    </row>
    <row r="6369" spans="3:12" x14ac:dyDescent="0.3">
      <c r="C6369" s="47"/>
      <c r="H6369" s="49"/>
      <c r="K6369" s="72"/>
      <c r="L6369" s="50"/>
    </row>
    <row r="6370" spans="3:12" x14ac:dyDescent="0.3">
      <c r="C6370" s="47"/>
      <c r="H6370" s="49"/>
      <c r="K6370" s="72"/>
      <c r="L6370" s="50"/>
    </row>
    <row r="6371" spans="3:12" x14ac:dyDescent="0.3">
      <c r="C6371" s="47"/>
      <c r="H6371" s="49"/>
      <c r="K6371" s="72"/>
      <c r="L6371" s="50"/>
    </row>
    <row r="6372" spans="3:12" x14ac:dyDescent="0.3">
      <c r="C6372" s="47"/>
      <c r="H6372" s="49"/>
      <c r="K6372" s="72"/>
      <c r="L6372" s="50"/>
    </row>
    <row r="6373" spans="3:12" x14ac:dyDescent="0.3">
      <c r="C6373" s="47"/>
      <c r="H6373" s="49"/>
      <c r="K6373" s="72"/>
      <c r="L6373" s="50"/>
    </row>
    <row r="6374" spans="3:12" x14ac:dyDescent="0.3">
      <c r="C6374" s="47"/>
      <c r="H6374" s="49"/>
      <c r="K6374" s="72"/>
      <c r="L6374" s="50"/>
    </row>
    <row r="6375" spans="3:12" x14ac:dyDescent="0.3">
      <c r="C6375" s="47"/>
      <c r="H6375" s="49"/>
      <c r="K6375" s="72"/>
      <c r="L6375" s="50"/>
    </row>
    <row r="6376" spans="3:12" x14ac:dyDescent="0.3">
      <c r="C6376" s="47"/>
      <c r="H6376" s="49"/>
      <c r="K6376" s="72"/>
      <c r="L6376" s="50"/>
    </row>
    <row r="6377" spans="3:12" x14ac:dyDescent="0.3">
      <c r="C6377" s="47"/>
      <c r="H6377" s="49"/>
      <c r="K6377" s="72"/>
      <c r="L6377" s="50"/>
    </row>
    <row r="6378" spans="3:12" x14ac:dyDescent="0.3">
      <c r="C6378" s="47"/>
      <c r="H6378" s="49"/>
      <c r="K6378" s="72"/>
      <c r="L6378" s="50"/>
    </row>
    <row r="6379" spans="3:12" x14ac:dyDescent="0.3">
      <c r="C6379" s="47"/>
      <c r="H6379" s="49"/>
      <c r="K6379" s="72"/>
      <c r="L6379" s="50"/>
    </row>
    <row r="6380" spans="3:12" x14ac:dyDescent="0.3">
      <c r="C6380" s="47"/>
      <c r="H6380" s="49"/>
      <c r="K6380" s="72"/>
      <c r="L6380" s="50"/>
    </row>
    <row r="6381" spans="3:12" x14ac:dyDescent="0.3">
      <c r="C6381" s="47"/>
      <c r="H6381" s="49"/>
      <c r="K6381" s="72"/>
      <c r="L6381" s="50"/>
    </row>
    <row r="6382" spans="3:12" x14ac:dyDescent="0.3">
      <c r="C6382" s="47"/>
      <c r="H6382" s="49"/>
      <c r="K6382" s="72"/>
      <c r="L6382" s="50"/>
    </row>
    <row r="6383" spans="3:12" x14ac:dyDescent="0.3">
      <c r="C6383" s="47"/>
      <c r="H6383" s="49"/>
      <c r="K6383" s="72"/>
      <c r="L6383" s="50"/>
    </row>
    <row r="6384" spans="3:12" x14ac:dyDescent="0.3">
      <c r="C6384" s="47"/>
      <c r="H6384" s="49"/>
      <c r="K6384" s="72"/>
      <c r="L6384" s="50"/>
    </row>
    <row r="6385" spans="3:12" x14ac:dyDescent="0.3">
      <c r="C6385" s="47"/>
      <c r="H6385" s="49"/>
      <c r="K6385" s="72"/>
      <c r="L6385" s="50"/>
    </row>
    <row r="6386" spans="3:12" x14ac:dyDescent="0.3">
      <c r="C6386" s="47"/>
      <c r="H6386" s="49"/>
      <c r="K6386" s="72"/>
      <c r="L6386" s="50"/>
    </row>
    <row r="6387" spans="3:12" x14ac:dyDescent="0.3">
      <c r="C6387" s="47"/>
      <c r="H6387" s="49"/>
      <c r="K6387" s="72"/>
      <c r="L6387" s="50"/>
    </row>
    <row r="6388" spans="3:12" x14ac:dyDescent="0.3">
      <c r="C6388" s="47"/>
      <c r="H6388" s="49"/>
      <c r="K6388" s="72"/>
      <c r="L6388" s="50"/>
    </row>
    <row r="6389" spans="3:12" x14ac:dyDescent="0.3">
      <c r="C6389" s="47"/>
      <c r="H6389" s="49"/>
      <c r="K6389" s="72"/>
      <c r="L6389" s="50"/>
    </row>
    <row r="6390" spans="3:12" x14ac:dyDescent="0.3">
      <c r="C6390" s="47"/>
      <c r="H6390" s="49"/>
      <c r="K6390" s="72"/>
      <c r="L6390" s="50"/>
    </row>
    <row r="6391" spans="3:12" x14ac:dyDescent="0.3">
      <c r="C6391" s="47"/>
      <c r="H6391" s="49"/>
      <c r="K6391" s="72"/>
      <c r="L6391" s="50"/>
    </row>
    <row r="6392" spans="3:12" x14ac:dyDescent="0.3">
      <c r="C6392" s="47"/>
      <c r="H6392" s="49"/>
      <c r="K6392" s="72"/>
      <c r="L6392" s="50"/>
    </row>
    <row r="6393" spans="3:12" x14ac:dyDescent="0.3">
      <c r="C6393" s="47"/>
      <c r="H6393" s="49"/>
      <c r="K6393" s="72"/>
      <c r="L6393" s="50"/>
    </row>
    <row r="6394" spans="3:12" x14ac:dyDescent="0.3">
      <c r="C6394" s="47"/>
      <c r="H6394" s="49"/>
      <c r="K6394" s="72"/>
      <c r="L6394" s="50"/>
    </row>
    <row r="6395" spans="3:12" x14ac:dyDescent="0.3">
      <c r="C6395" s="47"/>
      <c r="H6395" s="49"/>
      <c r="K6395" s="72"/>
      <c r="L6395" s="50"/>
    </row>
    <row r="6396" spans="3:12" x14ac:dyDescent="0.3">
      <c r="C6396" s="47"/>
      <c r="H6396" s="49"/>
      <c r="K6396" s="72"/>
      <c r="L6396" s="50"/>
    </row>
    <row r="6397" spans="3:12" x14ac:dyDescent="0.3">
      <c r="C6397" s="47"/>
      <c r="H6397" s="49"/>
      <c r="K6397" s="72"/>
      <c r="L6397" s="50"/>
    </row>
    <row r="6398" spans="3:12" x14ac:dyDescent="0.3">
      <c r="C6398" s="47"/>
      <c r="H6398" s="49"/>
      <c r="K6398" s="72"/>
      <c r="L6398" s="50"/>
    </row>
    <row r="6399" spans="3:12" x14ac:dyDescent="0.3">
      <c r="C6399" s="47"/>
      <c r="H6399" s="49"/>
      <c r="K6399" s="72"/>
      <c r="L6399" s="50"/>
    </row>
    <row r="6400" spans="3:12" x14ac:dyDescent="0.3">
      <c r="C6400" s="47"/>
      <c r="H6400" s="49"/>
      <c r="K6400" s="72"/>
      <c r="L6400" s="50"/>
    </row>
    <row r="6401" spans="3:12" x14ac:dyDescent="0.3">
      <c r="C6401" s="47"/>
      <c r="H6401" s="49"/>
      <c r="K6401" s="72"/>
      <c r="L6401" s="50"/>
    </row>
    <row r="6402" spans="3:12" x14ac:dyDescent="0.3">
      <c r="C6402" s="47"/>
      <c r="H6402" s="49"/>
      <c r="K6402" s="72"/>
      <c r="L6402" s="50"/>
    </row>
    <row r="6403" spans="3:12" x14ac:dyDescent="0.3">
      <c r="C6403" s="47"/>
      <c r="H6403" s="49"/>
      <c r="K6403" s="72"/>
      <c r="L6403" s="50"/>
    </row>
    <row r="6404" spans="3:12" x14ac:dyDescent="0.3">
      <c r="C6404" s="47"/>
      <c r="H6404" s="49"/>
      <c r="K6404" s="72"/>
      <c r="L6404" s="50"/>
    </row>
    <row r="6405" spans="3:12" x14ac:dyDescent="0.3">
      <c r="C6405" s="47"/>
      <c r="H6405" s="49"/>
      <c r="K6405" s="72"/>
      <c r="L6405" s="50"/>
    </row>
    <row r="6406" spans="3:12" x14ac:dyDescent="0.3">
      <c r="C6406" s="47"/>
      <c r="H6406" s="49"/>
      <c r="K6406" s="72"/>
      <c r="L6406" s="50"/>
    </row>
    <row r="6407" spans="3:12" x14ac:dyDescent="0.3">
      <c r="C6407" s="47"/>
      <c r="H6407" s="49"/>
      <c r="K6407" s="72"/>
      <c r="L6407" s="50"/>
    </row>
    <row r="6408" spans="3:12" x14ac:dyDescent="0.3">
      <c r="C6408" s="47"/>
      <c r="H6408" s="49"/>
      <c r="K6408" s="72"/>
      <c r="L6408" s="50"/>
    </row>
    <row r="6409" spans="3:12" x14ac:dyDescent="0.3">
      <c r="C6409" s="47"/>
      <c r="H6409" s="49"/>
      <c r="K6409" s="72"/>
      <c r="L6409" s="50"/>
    </row>
    <row r="6410" spans="3:12" x14ac:dyDescent="0.3">
      <c r="C6410" s="47"/>
      <c r="H6410" s="49"/>
      <c r="K6410" s="72"/>
      <c r="L6410" s="50"/>
    </row>
    <row r="6411" spans="3:12" x14ac:dyDescent="0.3">
      <c r="C6411" s="47"/>
      <c r="H6411" s="49"/>
      <c r="K6411" s="72"/>
      <c r="L6411" s="50"/>
    </row>
    <row r="6412" spans="3:12" x14ac:dyDescent="0.3">
      <c r="C6412" s="47"/>
      <c r="H6412" s="49"/>
      <c r="K6412" s="72"/>
      <c r="L6412" s="50"/>
    </row>
    <row r="6413" spans="3:12" x14ac:dyDescent="0.3">
      <c r="C6413" s="47"/>
      <c r="H6413" s="49"/>
      <c r="K6413" s="72"/>
      <c r="L6413" s="50"/>
    </row>
    <row r="6414" spans="3:12" x14ac:dyDescent="0.3">
      <c r="C6414" s="47"/>
      <c r="H6414" s="49"/>
      <c r="K6414" s="72"/>
      <c r="L6414" s="50"/>
    </row>
    <row r="6415" spans="3:12" x14ac:dyDescent="0.3">
      <c r="C6415" s="47"/>
      <c r="H6415" s="49"/>
      <c r="K6415" s="72"/>
      <c r="L6415" s="50"/>
    </row>
    <row r="6416" spans="3:12" x14ac:dyDescent="0.3">
      <c r="C6416" s="47"/>
      <c r="H6416" s="49"/>
      <c r="K6416" s="72"/>
      <c r="L6416" s="50"/>
    </row>
    <row r="6417" spans="3:12" x14ac:dyDescent="0.3">
      <c r="C6417" s="47"/>
      <c r="H6417" s="49"/>
      <c r="K6417" s="72"/>
      <c r="L6417" s="50"/>
    </row>
    <row r="6418" spans="3:12" x14ac:dyDescent="0.3">
      <c r="C6418" s="47"/>
      <c r="H6418" s="49"/>
      <c r="K6418" s="72"/>
      <c r="L6418" s="50"/>
    </row>
    <row r="6419" spans="3:12" x14ac:dyDescent="0.3">
      <c r="C6419" s="47"/>
      <c r="H6419" s="49"/>
      <c r="K6419" s="72"/>
      <c r="L6419" s="50"/>
    </row>
    <row r="6420" spans="3:12" x14ac:dyDescent="0.3">
      <c r="C6420" s="47"/>
      <c r="H6420" s="49"/>
      <c r="K6420" s="72"/>
      <c r="L6420" s="50"/>
    </row>
    <row r="6421" spans="3:12" x14ac:dyDescent="0.3">
      <c r="C6421" s="47"/>
      <c r="H6421" s="49"/>
      <c r="K6421" s="72"/>
      <c r="L6421" s="50"/>
    </row>
    <row r="6422" spans="3:12" x14ac:dyDescent="0.3">
      <c r="C6422" s="47"/>
      <c r="H6422" s="49"/>
      <c r="K6422" s="72"/>
      <c r="L6422" s="50"/>
    </row>
    <row r="6423" spans="3:12" x14ac:dyDescent="0.3">
      <c r="C6423" s="47"/>
      <c r="H6423" s="49"/>
      <c r="K6423" s="72"/>
      <c r="L6423" s="50"/>
    </row>
    <row r="6424" spans="3:12" x14ac:dyDescent="0.3">
      <c r="C6424" s="47"/>
      <c r="H6424" s="49"/>
      <c r="K6424" s="72"/>
      <c r="L6424" s="50"/>
    </row>
    <row r="6425" spans="3:12" x14ac:dyDescent="0.3">
      <c r="C6425" s="47"/>
      <c r="H6425" s="49"/>
      <c r="K6425" s="72"/>
      <c r="L6425" s="50"/>
    </row>
    <row r="6426" spans="3:12" x14ac:dyDescent="0.3">
      <c r="C6426" s="47"/>
      <c r="H6426" s="49"/>
      <c r="K6426" s="72"/>
      <c r="L6426" s="50"/>
    </row>
    <row r="6427" spans="3:12" x14ac:dyDescent="0.3">
      <c r="C6427" s="47"/>
      <c r="H6427" s="49"/>
      <c r="K6427" s="72"/>
      <c r="L6427" s="50"/>
    </row>
    <row r="6428" spans="3:12" x14ac:dyDescent="0.3">
      <c r="C6428" s="47"/>
      <c r="H6428" s="49"/>
      <c r="K6428" s="72"/>
      <c r="L6428" s="50"/>
    </row>
    <row r="6429" spans="3:12" x14ac:dyDescent="0.3">
      <c r="C6429" s="47"/>
      <c r="H6429" s="49"/>
      <c r="K6429" s="72"/>
      <c r="L6429" s="50"/>
    </row>
    <row r="6430" spans="3:12" x14ac:dyDescent="0.3">
      <c r="C6430" s="47"/>
      <c r="H6430" s="49"/>
      <c r="K6430" s="72"/>
      <c r="L6430" s="50"/>
    </row>
    <row r="6431" spans="3:12" x14ac:dyDescent="0.3">
      <c r="C6431" s="47"/>
      <c r="H6431" s="49"/>
      <c r="K6431" s="72"/>
      <c r="L6431" s="50"/>
    </row>
    <row r="6432" spans="3:12" x14ac:dyDescent="0.3">
      <c r="C6432" s="47"/>
      <c r="H6432" s="49"/>
      <c r="K6432" s="72"/>
      <c r="L6432" s="50"/>
    </row>
    <row r="6433" spans="3:12" x14ac:dyDescent="0.3">
      <c r="C6433" s="47"/>
      <c r="H6433" s="49"/>
      <c r="K6433" s="72"/>
      <c r="L6433" s="50"/>
    </row>
    <row r="6434" spans="3:12" x14ac:dyDescent="0.3">
      <c r="C6434" s="47"/>
      <c r="H6434" s="49"/>
      <c r="K6434" s="72"/>
      <c r="L6434" s="50"/>
    </row>
    <row r="6435" spans="3:12" x14ac:dyDescent="0.3">
      <c r="C6435" s="47"/>
      <c r="H6435" s="49"/>
      <c r="K6435" s="72"/>
      <c r="L6435" s="50"/>
    </row>
    <row r="6436" spans="3:12" x14ac:dyDescent="0.3">
      <c r="C6436" s="47"/>
      <c r="H6436" s="49"/>
      <c r="K6436" s="72"/>
      <c r="L6436" s="50"/>
    </row>
    <row r="6437" spans="3:12" x14ac:dyDescent="0.3">
      <c r="C6437" s="47"/>
      <c r="H6437" s="49"/>
      <c r="K6437" s="72"/>
      <c r="L6437" s="50"/>
    </row>
    <row r="6438" spans="3:12" x14ac:dyDescent="0.3">
      <c r="C6438" s="47"/>
      <c r="H6438" s="49"/>
      <c r="K6438" s="72"/>
      <c r="L6438" s="50"/>
    </row>
    <row r="6439" spans="3:12" x14ac:dyDescent="0.3">
      <c r="C6439" s="47"/>
      <c r="H6439" s="49"/>
      <c r="K6439" s="72"/>
      <c r="L6439" s="50"/>
    </row>
    <row r="6440" spans="3:12" x14ac:dyDescent="0.3">
      <c r="C6440" s="47"/>
      <c r="H6440" s="49"/>
      <c r="K6440" s="72"/>
      <c r="L6440" s="50"/>
    </row>
    <row r="6441" spans="3:12" x14ac:dyDescent="0.3">
      <c r="C6441" s="47"/>
      <c r="H6441" s="49"/>
      <c r="K6441" s="72"/>
      <c r="L6441" s="50"/>
    </row>
    <row r="6442" spans="3:12" x14ac:dyDescent="0.3">
      <c r="C6442" s="47"/>
      <c r="H6442" s="49"/>
      <c r="K6442" s="72"/>
      <c r="L6442" s="50"/>
    </row>
    <row r="6443" spans="3:12" x14ac:dyDescent="0.3">
      <c r="C6443" s="47"/>
      <c r="H6443" s="49"/>
      <c r="K6443" s="72"/>
      <c r="L6443" s="50"/>
    </row>
    <row r="6444" spans="3:12" x14ac:dyDescent="0.3">
      <c r="C6444" s="47"/>
      <c r="H6444" s="49"/>
      <c r="K6444" s="72"/>
      <c r="L6444" s="50"/>
    </row>
    <row r="6445" spans="3:12" x14ac:dyDescent="0.3">
      <c r="C6445" s="47"/>
      <c r="H6445" s="49"/>
      <c r="K6445" s="72"/>
      <c r="L6445" s="50"/>
    </row>
    <row r="6446" spans="3:12" x14ac:dyDescent="0.3">
      <c r="C6446" s="47"/>
      <c r="H6446" s="49"/>
      <c r="K6446" s="72"/>
      <c r="L6446" s="50"/>
    </row>
    <row r="6447" spans="3:12" x14ac:dyDescent="0.3">
      <c r="C6447" s="47"/>
      <c r="H6447" s="49"/>
      <c r="K6447" s="72"/>
      <c r="L6447" s="50"/>
    </row>
    <row r="6448" spans="3:12" x14ac:dyDescent="0.3">
      <c r="C6448" s="47"/>
      <c r="H6448" s="49"/>
      <c r="K6448" s="72"/>
      <c r="L6448" s="50"/>
    </row>
    <row r="6449" spans="3:12" x14ac:dyDescent="0.3">
      <c r="C6449" s="47"/>
      <c r="H6449" s="49"/>
      <c r="K6449" s="72"/>
      <c r="L6449" s="50"/>
    </row>
    <row r="6450" spans="3:12" x14ac:dyDescent="0.3">
      <c r="C6450" s="47"/>
      <c r="H6450" s="49"/>
      <c r="K6450" s="72"/>
      <c r="L6450" s="50"/>
    </row>
    <row r="6451" spans="3:12" x14ac:dyDescent="0.3">
      <c r="C6451" s="47"/>
      <c r="H6451" s="49"/>
      <c r="K6451" s="72"/>
      <c r="L6451" s="50"/>
    </row>
    <row r="6452" spans="3:12" x14ac:dyDescent="0.3">
      <c r="C6452" s="47"/>
      <c r="H6452" s="49"/>
      <c r="K6452" s="72"/>
      <c r="L6452" s="50"/>
    </row>
    <row r="6453" spans="3:12" x14ac:dyDescent="0.3">
      <c r="C6453" s="47"/>
      <c r="H6453" s="49"/>
      <c r="K6453" s="72"/>
      <c r="L6453" s="50"/>
    </row>
    <row r="6454" spans="3:12" x14ac:dyDescent="0.3">
      <c r="C6454" s="47"/>
      <c r="H6454" s="49"/>
      <c r="K6454" s="72"/>
      <c r="L6454" s="50"/>
    </row>
    <row r="6455" spans="3:12" x14ac:dyDescent="0.3">
      <c r="C6455" s="47"/>
      <c r="H6455" s="49"/>
      <c r="K6455" s="72"/>
      <c r="L6455" s="50"/>
    </row>
    <row r="6456" spans="3:12" x14ac:dyDescent="0.3">
      <c r="C6456" s="47"/>
      <c r="H6456" s="49"/>
      <c r="K6456" s="72"/>
      <c r="L6456" s="50"/>
    </row>
    <row r="6457" spans="3:12" x14ac:dyDescent="0.3">
      <c r="C6457" s="47"/>
      <c r="H6457" s="49"/>
      <c r="K6457" s="72"/>
      <c r="L6457" s="50"/>
    </row>
    <row r="6458" spans="3:12" x14ac:dyDescent="0.3">
      <c r="C6458" s="47"/>
      <c r="H6458" s="49"/>
      <c r="K6458" s="72"/>
      <c r="L6458" s="50"/>
    </row>
    <row r="6459" spans="3:12" x14ac:dyDescent="0.3">
      <c r="C6459" s="47"/>
      <c r="H6459" s="49"/>
      <c r="K6459" s="72"/>
      <c r="L6459" s="50"/>
    </row>
    <row r="6460" spans="3:12" x14ac:dyDescent="0.3">
      <c r="C6460" s="47"/>
      <c r="H6460" s="49"/>
      <c r="K6460" s="72"/>
      <c r="L6460" s="50"/>
    </row>
    <row r="6461" spans="3:12" x14ac:dyDescent="0.3">
      <c r="C6461" s="47"/>
      <c r="H6461" s="49"/>
      <c r="K6461" s="72"/>
      <c r="L6461" s="50"/>
    </row>
    <row r="6462" spans="3:12" x14ac:dyDescent="0.3">
      <c r="C6462" s="47"/>
      <c r="H6462" s="49"/>
      <c r="K6462" s="72"/>
      <c r="L6462" s="50"/>
    </row>
    <row r="6463" spans="3:12" x14ac:dyDescent="0.3">
      <c r="C6463" s="47"/>
      <c r="H6463" s="49"/>
      <c r="K6463" s="72"/>
      <c r="L6463" s="50"/>
    </row>
    <row r="6464" spans="3:12" x14ac:dyDescent="0.3">
      <c r="C6464" s="47"/>
      <c r="H6464" s="49"/>
      <c r="K6464" s="72"/>
      <c r="L6464" s="50"/>
    </row>
    <row r="6465" spans="3:12" x14ac:dyDescent="0.3">
      <c r="C6465" s="47"/>
      <c r="H6465" s="49"/>
      <c r="K6465" s="72"/>
      <c r="L6465" s="50"/>
    </row>
    <row r="6466" spans="3:12" x14ac:dyDescent="0.3">
      <c r="C6466" s="47"/>
      <c r="H6466" s="49"/>
      <c r="K6466" s="72"/>
      <c r="L6466" s="50"/>
    </row>
    <row r="6467" spans="3:12" x14ac:dyDescent="0.3">
      <c r="C6467" s="47"/>
      <c r="H6467" s="49"/>
      <c r="K6467" s="72"/>
      <c r="L6467" s="50"/>
    </row>
    <row r="6468" spans="3:12" x14ac:dyDescent="0.3">
      <c r="C6468" s="47"/>
      <c r="H6468" s="49"/>
      <c r="K6468" s="72"/>
      <c r="L6468" s="50"/>
    </row>
    <row r="6469" spans="3:12" x14ac:dyDescent="0.3">
      <c r="C6469" s="47"/>
      <c r="H6469" s="49"/>
      <c r="K6469" s="72"/>
      <c r="L6469" s="50"/>
    </row>
    <row r="6470" spans="3:12" x14ac:dyDescent="0.3">
      <c r="C6470" s="47"/>
      <c r="H6470" s="49"/>
      <c r="K6470" s="72"/>
      <c r="L6470" s="50"/>
    </row>
    <row r="6471" spans="3:12" x14ac:dyDescent="0.3">
      <c r="C6471" s="47"/>
      <c r="H6471" s="49"/>
      <c r="K6471" s="72"/>
      <c r="L6471" s="50"/>
    </row>
    <row r="6472" spans="3:12" x14ac:dyDescent="0.3">
      <c r="C6472" s="47"/>
      <c r="H6472" s="49"/>
      <c r="K6472" s="72"/>
      <c r="L6472" s="50"/>
    </row>
    <row r="6473" spans="3:12" x14ac:dyDescent="0.3">
      <c r="C6473" s="47"/>
      <c r="H6473" s="49"/>
      <c r="K6473" s="72"/>
      <c r="L6473" s="50"/>
    </row>
    <row r="6474" spans="3:12" x14ac:dyDescent="0.3">
      <c r="C6474" s="47"/>
      <c r="H6474" s="49"/>
      <c r="K6474" s="72"/>
      <c r="L6474" s="50"/>
    </row>
    <row r="6475" spans="3:12" x14ac:dyDescent="0.3">
      <c r="C6475" s="47"/>
      <c r="H6475" s="49"/>
      <c r="K6475" s="72"/>
      <c r="L6475" s="50"/>
    </row>
    <row r="6476" spans="3:12" x14ac:dyDescent="0.3">
      <c r="C6476" s="47"/>
      <c r="H6476" s="49"/>
      <c r="K6476" s="72"/>
      <c r="L6476" s="50"/>
    </row>
    <row r="6477" spans="3:12" x14ac:dyDescent="0.3">
      <c r="C6477" s="47"/>
      <c r="H6477" s="49"/>
      <c r="K6477" s="72"/>
      <c r="L6477" s="50"/>
    </row>
    <row r="6478" spans="3:12" x14ac:dyDescent="0.3">
      <c r="C6478" s="47"/>
      <c r="H6478" s="49"/>
      <c r="K6478" s="72"/>
      <c r="L6478" s="50"/>
    </row>
    <row r="6479" spans="3:12" x14ac:dyDescent="0.3">
      <c r="C6479" s="47"/>
      <c r="H6479" s="49"/>
      <c r="K6479" s="72"/>
      <c r="L6479" s="50"/>
    </row>
    <row r="6480" spans="3:12" x14ac:dyDescent="0.3">
      <c r="C6480" s="47"/>
      <c r="H6480" s="49"/>
      <c r="K6480" s="72"/>
      <c r="L6480" s="50"/>
    </row>
    <row r="6481" spans="3:12" x14ac:dyDescent="0.3">
      <c r="C6481" s="47"/>
      <c r="H6481" s="49"/>
      <c r="K6481" s="72"/>
      <c r="L6481" s="50"/>
    </row>
    <row r="6482" spans="3:12" x14ac:dyDescent="0.3">
      <c r="C6482" s="47"/>
      <c r="H6482" s="49"/>
      <c r="K6482" s="72"/>
      <c r="L6482" s="50"/>
    </row>
    <row r="6483" spans="3:12" x14ac:dyDescent="0.3">
      <c r="C6483" s="47"/>
      <c r="H6483" s="49"/>
      <c r="K6483" s="72"/>
      <c r="L6483" s="50"/>
    </row>
    <row r="6484" spans="3:12" x14ac:dyDescent="0.3">
      <c r="C6484" s="47"/>
      <c r="H6484" s="49"/>
      <c r="K6484" s="72"/>
      <c r="L6484" s="50"/>
    </row>
    <row r="6485" spans="3:12" x14ac:dyDescent="0.3">
      <c r="C6485" s="47"/>
      <c r="H6485" s="49"/>
      <c r="K6485" s="72"/>
      <c r="L6485" s="50"/>
    </row>
    <row r="6486" spans="3:12" x14ac:dyDescent="0.3">
      <c r="C6486" s="47"/>
      <c r="H6486" s="49"/>
      <c r="K6486" s="72"/>
      <c r="L6486" s="50"/>
    </row>
    <row r="6487" spans="3:12" x14ac:dyDescent="0.3">
      <c r="C6487" s="47"/>
      <c r="H6487" s="49"/>
      <c r="K6487" s="72"/>
      <c r="L6487" s="50"/>
    </row>
    <row r="6488" spans="3:12" x14ac:dyDescent="0.3">
      <c r="C6488" s="47"/>
      <c r="H6488" s="49"/>
      <c r="K6488" s="72"/>
      <c r="L6488" s="50"/>
    </row>
    <row r="6489" spans="3:12" x14ac:dyDescent="0.3">
      <c r="C6489" s="47"/>
      <c r="H6489" s="49"/>
      <c r="K6489" s="72"/>
      <c r="L6489" s="50"/>
    </row>
    <row r="6490" spans="3:12" x14ac:dyDescent="0.3">
      <c r="C6490" s="47"/>
      <c r="H6490" s="49"/>
      <c r="K6490" s="72"/>
      <c r="L6490" s="50"/>
    </row>
    <row r="6491" spans="3:12" x14ac:dyDescent="0.3">
      <c r="C6491" s="47"/>
      <c r="H6491" s="49"/>
      <c r="K6491" s="72"/>
      <c r="L6491" s="50"/>
    </row>
    <row r="6492" spans="3:12" x14ac:dyDescent="0.3">
      <c r="C6492" s="47"/>
      <c r="H6492" s="49"/>
      <c r="K6492" s="72"/>
      <c r="L6492" s="50"/>
    </row>
    <row r="6493" spans="3:12" x14ac:dyDescent="0.3">
      <c r="C6493" s="47"/>
      <c r="H6493" s="49"/>
      <c r="K6493" s="72"/>
      <c r="L6493" s="50"/>
    </row>
    <row r="6494" spans="3:12" x14ac:dyDescent="0.3">
      <c r="C6494" s="47"/>
      <c r="H6494" s="49"/>
      <c r="K6494" s="72"/>
      <c r="L6494" s="50"/>
    </row>
    <row r="6495" spans="3:12" x14ac:dyDescent="0.3">
      <c r="C6495" s="47"/>
      <c r="H6495" s="49"/>
      <c r="K6495" s="72"/>
      <c r="L6495" s="50"/>
    </row>
    <row r="6496" spans="3:12" x14ac:dyDescent="0.3">
      <c r="C6496" s="47"/>
      <c r="H6496" s="49"/>
      <c r="K6496" s="72"/>
      <c r="L6496" s="50"/>
    </row>
    <row r="6497" spans="3:12" x14ac:dyDescent="0.3">
      <c r="C6497" s="47"/>
      <c r="H6497" s="49"/>
      <c r="K6497" s="72"/>
      <c r="L6497" s="50"/>
    </row>
    <row r="6498" spans="3:12" x14ac:dyDescent="0.3">
      <c r="C6498" s="47"/>
      <c r="H6498" s="49"/>
      <c r="K6498" s="72"/>
      <c r="L6498" s="50"/>
    </row>
    <row r="6499" spans="3:12" x14ac:dyDescent="0.3">
      <c r="C6499" s="47"/>
      <c r="H6499" s="49"/>
      <c r="K6499" s="72"/>
      <c r="L6499" s="50"/>
    </row>
    <row r="6500" spans="3:12" x14ac:dyDescent="0.3">
      <c r="C6500" s="47"/>
      <c r="H6500" s="49"/>
      <c r="K6500" s="72"/>
      <c r="L6500" s="50"/>
    </row>
    <row r="6501" spans="3:12" x14ac:dyDescent="0.3">
      <c r="C6501" s="47"/>
      <c r="H6501" s="49"/>
      <c r="K6501" s="72"/>
      <c r="L6501" s="50"/>
    </row>
    <row r="6502" spans="3:12" x14ac:dyDescent="0.3">
      <c r="C6502" s="47"/>
      <c r="H6502" s="49"/>
      <c r="K6502" s="72"/>
      <c r="L6502" s="50"/>
    </row>
    <row r="6503" spans="3:12" x14ac:dyDescent="0.3">
      <c r="C6503" s="47"/>
      <c r="H6503" s="49"/>
      <c r="K6503" s="72"/>
      <c r="L6503" s="50"/>
    </row>
    <row r="6504" spans="3:12" x14ac:dyDescent="0.3">
      <c r="C6504" s="47"/>
      <c r="H6504" s="49"/>
      <c r="K6504" s="72"/>
      <c r="L6504" s="50"/>
    </row>
    <row r="6505" spans="3:12" x14ac:dyDescent="0.3">
      <c r="C6505" s="47"/>
      <c r="H6505" s="49"/>
      <c r="K6505" s="72"/>
      <c r="L6505" s="50"/>
    </row>
    <row r="6506" spans="3:12" x14ac:dyDescent="0.3">
      <c r="C6506" s="47"/>
      <c r="H6506" s="49"/>
      <c r="K6506" s="72"/>
      <c r="L6506" s="50"/>
    </row>
    <row r="6507" spans="3:12" x14ac:dyDescent="0.3">
      <c r="C6507" s="47"/>
      <c r="H6507" s="49"/>
      <c r="K6507" s="72"/>
      <c r="L6507" s="50"/>
    </row>
    <row r="6508" spans="3:12" x14ac:dyDescent="0.3">
      <c r="C6508" s="47"/>
      <c r="H6508" s="49"/>
      <c r="K6508" s="72"/>
      <c r="L6508" s="50"/>
    </row>
    <row r="6509" spans="3:12" x14ac:dyDescent="0.3">
      <c r="C6509" s="47"/>
      <c r="H6509" s="49"/>
      <c r="K6509" s="72"/>
      <c r="L6509" s="50"/>
    </row>
    <row r="6510" spans="3:12" x14ac:dyDescent="0.3">
      <c r="C6510" s="47"/>
      <c r="H6510" s="49"/>
      <c r="K6510" s="72"/>
      <c r="L6510" s="50"/>
    </row>
    <row r="6511" spans="3:12" x14ac:dyDescent="0.3">
      <c r="C6511" s="47"/>
      <c r="H6511" s="49"/>
      <c r="K6511" s="72"/>
      <c r="L6511" s="50"/>
    </row>
    <row r="6512" spans="3:12" x14ac:dyDescent="0.3">
      <c r="C6512" s="47"/>
      <c r="H6512" s="49"/>
      <c r="K6512" s="72"/>
      <c r="L6512" s="50"/>
    </row>
    <row r="6513" spans="3:12" x14ac:dyDescent="0.3">
      <c r="C6513" s="47"/>
      <c r="H6513" s="49"/>
      <c r="K6513" s="72"/>
      <c r="L6513" s="50"/>
    </row>
    <row r="6514" spans="3:12" x14ac:dyDescent="0.3">
      <c r="C6514" s="47"/>
      <c r="H6514" s="49"/>
      <c r="K6514" s="72"/>
      <c r="L6514" s="50"/>
    </row>
    <row r="6515" spans="3:12" x14ac:dyDescent="0.3">
      <c r="C6515" s="47"/>
      <c r="H6515" s="49"/>
      <c r="K6515" s="72"/>
      <c r="L6515" s="50"/>
    </row>
    <row r="6516" spans="3:12" x14ac:dyDescent="0.3">
      <c r="C6516" s="47"/>
      <c r="H6516" s="49"/>
      <c r="K6516" s="72"/>
      <c r="L6516" s="50"/>
    </row>
    <row r="6517" spans="3:12" x14ac:dyDescent="0.3">
      <c r="C6517" s="47"/>
      <c r="H6517" s="49"/>
      <c r="K6517" s="72"/>
      <c r="L6517" s="50"/>
    </row>
    <row r="6518" spans="3:12" x14ac:dyDescent="0.3">
      <c r="C6518" s="47"/>
      <c r="H6518" s="49"/>
      <c r="K6518" s="72"/>
      <c r="L6518" s="50"/>
    </row>
    <row r="6519" spans="3:12" x14ac:dyDescent="0.3">
      <c r="C6519" s="47"/>
      <c r="H6519" s="49"/>
      <c r="K6519" s="72"/>
      <c r="L6519" s="50"/>
    </row>
    <row r="6520" spans="3:12" x14ac:dyDescent="0.3">
      <c r="C6520" s="47"/>
      <c r="H6520" s="49"/>
      <c r="K6520" s="72"/>
      <c r="L6520" s="50"/>
    </row>
    <row r="6521" spans="3:12" x14ac:dyDescent="0.3">
      <c r="C6521" s="47"/>
      <c r="H6521" s="49"/>
      <c r="K6521" s="72"/>
      <c r="L6521" s="50"/>
    </row>
    <row r="6522" spans="3:12" x14ac:dyDescent="0.3">
      <c r="C6522" s="47"/>
      <c r="H6522" s="49"/>
      <c r="K6522" s="72"/>
      <c r="L6522" s="50"/>
    </row>
    <row r="6523" spans="3:12" x14ac:dyDescent="0.3">
      <c r="C6523" s="47"/>
      <c r="H6523" s="49"/>
      <c r="K6523" s="72"/>
      <c r="L6523" s="50"/>
    </row>
    <row r="6524" spans="3:12" x14ac:dyDescent="0.3">
      <c r="C6524" s="47"/>
      <c r="H6524" s="49"/>
      <c r="K6524" s="72"/>
      <c r="L6524" s="50"/>
    </row>
    <row r="6525" spans="3:12" x14ac:dyDescent="0.3">
      <c r="C6525" s="47"/>
      <c r="H6525" s="49"/>
      <c r="K6525" s="72"/>
      <c r="L6525" s="50"/>
    </row>
    <row r="6526" spans="3:12" x14ac:dyDescent="0.3">
      <c r="C6526" s="47"/>
      <c r="H6526" s="49"/>
      <c r="K6526" s="72"/>
      <c r="L6526" s="50"/>
    </row>
    <row r="6527" spans="3:12" x14ac:dyDescent="0.3">
      <c r="C6527" s="47"/>
      <c r="H6527" s="49"/>
      <c r="K6527" s="72"/>
      <c r="L6527" s="50"/>
    </row>
    <row r="6528" spans="3:12" x14ac:dyDescent="0.3">
      <c r="C6528" s="47"/>
      <c r="H6528" s="49"/>
      <c r="K6528" s="72"/>
      <c r="L6528" s="50"/>
    </row>
    <row r="6529" spans="3:12" x14ac:dyDescent="0.3">
      <c r="C6529" s="47"/>
      <c r="H6529" s="49"/>
      <c r="K6529" s="72"/>
      <c r="L6529" s="50"/>
    </row>
    <row r="6530" spans="3:12" x14ac:dyDescent="0.3">
      <c r="C6530" s="47"/>
      <c r="H6530" s="49"/>
      <c r="K6530" s="72"/>
      <c r="L6530" s="50"/>
    </row>
    <row r="6531" spans="3:12" x14ac:dyDescent="0.3">
      <c r="C6531" s="47"/>
      <c r="H6531" s="49"/>
      <c r="K6531" s="72"/>
      <c r="L6531" s="50"/>
    </row>
    <row r="6532" spans="3:12" x14ac:dyDescent="0.3">
      <c r="C6532" s="47"/>
      <c r="H6532" s="49"/>
      <c r="K6532" s="72"/>
      <c r="L6532" s="50"/>
    </row>
    <row r="6533" spans="3:12" x14ac:dyDescent="0.3">
      <c r="C6533" s="47"/>
      <c r="H6533" s="49"/>
      <c r="K6533" s="72"/>
      <c r="L6533" s="50"/>
    </row>
    <row r="6534" spans="3:12" x14ac:dyDescent="0.3">
      <c r="C6534" s="47"/>
      <c r="H6534" s="49"/>
      <c r="K6534" s="72"/>
      <c r="L6534" s="50"/>
    </row>
    <row r="6535" spans="3:12" x14ac:dyDescent="0.3">
      <c r="C6535" s="47"/>
      <c r="H6535" s="49"/>
      <c r="K6535" s="72"/>
      <c r="L6535" s="50"/>
    </row>
    <row r="6536" spans="3:12" x14ac:dyDescent="0.3">
      <c r="C6536" s="47"/>
      <c r="H6536" s="49"/>
      <c r="K6536" s="72"/>
      <c r="L6536" s="50"/>
    </row>
    <row r="6537" spans="3:12" x14ac:dyDescent="0.3">
      <c r="C6537" s="47"/>
      <c r="H6537" s="49"/>
      <c r="K6537" s="72"/>
      <c r="L6537" s="50"/>
    </row>
    <row r="6538" spans="3:12" x14ac:dyDescent="0.3">
      <c r="C6538" s="47"/>
      <c r="H6538" s="49"/>
      <c r="K6538" s="72"/>
      <c r="L6538" s="50"/>
    </row>
    <row r="6539" spans="3:12" x14ac:dyDescent="0.3">
      <c r="C6539" s="47"/>
      <c r="H6539" s="49"/>
      <c r="K6539" s="72"/>
      <c r="L6539" s="50"/>
    </row>
    <row r="6540" spans="3:12" x14ac:dyDescent="0.3">
      <c r="C6540" s="47"/>
      <c r="H6540" s="49"/>
      <c r="K6540" s="72"/>
      <c r="L6540" s="50"/>
    </row>
    <row r="6541" spans="3:12" x14ac:dyDescent="0.3">
      <c r="C6541" s="47"/>
      <c r="H6541" s="49"/>
      <c r="K6541" s="72"/>
      <c r="L6541" s="50"/>
    </row>
    <row r="6542" spans="3:12" x14ac:dyDescent="0.3">
      <c r="C6542" s="47"/>
      <c r="H6542" s="49"/>
      <c r="K6542" s="72"/>
      <c r="L6542" s="50"/>
    </row>
    <row r="6543" spans="3:12" x14ac:dyDescent="0.3">
      <c r="C6543" s="47"/>
      <c r="H6543" s="49"/>
      <c r="K6543" s="72"/>
      <c r="L6543" s="50"/>
    </row>
    <row r="6544" spans="3:12" x14ac:dyDescent="0.3">
      <c r="C6544" s="47"/>
      <c r="H6544" s="49"/>
      <c r="K6544" s="72"/>
      <c r="L6544" s="50"/>
    </row>
    <row r="6545" spans="3:12" x14ac:dyDescent="0.3">
      <c r="C6545" s="47"/>
      <c r="H6545" s="49"/>
      <c r="K6545" s="72"/>
      <c r="L6545" s="50"/>
    </row>
    <row r="6546" spans="3:12" x14ac:dyDescent="0.3">
      <c r="C6546" s="47"/>
      <c r="H6546" s="49"/>
      <c r="K6546" s="72"/>
      <c r="L6546" s="50"/>
    </row>
    <row r="6547" spans="3:12" x14ac:dyDescent="0.3">
      <c r="C6547" s="47"/>
      <c r="H6547" s="49"/>
      <c r="K6547" s="72"/>
      <c r="L6547" s="50"/>
    </row>
    <row r="6548" spans="3:12" x14ac:dyDescent="0.3">
      <c r="C6548" s="47"/>
      <c r="H6548" s="49"/>
      <c r="K6548" s="72"/>
      <c r="L6548" s="50"/>
    </row>
    <row r="6549" spans="3:12" x14ac:dyDescent="0.3">
      <c r="C6549" s="47"/>
      <c r="H6549" s="49"/>
      <c r="K6549" s="72"/>
      <c r="L6549" s="50"/>
    </row>
    <row r="6550" spans="3:12" x14ac:dyDescent="0.3">
      <c r="C6550" s="47"/>
      <c r="H6550" s="49"/>
      <c r="K6550" s="72"/>
      <c r="L6550" s="50"/>
    </row>
    <row r="6551" spans="3:12" x14ac:dyDescent="0.3">
      <c r="C6551" s="47"/>
      <c r="H6551" s="49"/>
      <c r="K6551" s="72"/>
      <c r="L6551" s="50"/>
    </row>
    <row r="6552" spans="3:12" x14ac:dyDescent="0.3">
      <c r="C6552" s="47"/>
      <c r="H6552" s="49"/>
      <c r="K6552" s="72"/>
      <c r="L6552" s="50"/>
    </row>
    <row r="6553" spans="3:12" x14ac:dyDescent="0.3">
      <c r="C6553" s="47"/>
      <c r="H6553" s="49"/>
      <c r="K6553" s="72"/>
      <c r="L6553" s="50"/>
    </row>
    <row r="6554" spans="3:12" x14ac:dyDescent="0.3">
      <c r="C6554" s="47"/>
      <c r="H6554" s="49"/>
      <c r="K6554" s="72"/>
      <c r="L6554" s="50"/>
    </row>
    <row r="6555" spans="3:12" x14ac:dyDescent="0.3">
      <c r="C6555" s="47"/>
      <c r="H6555" s="49"/>
      <c r="K6555" s="72"/>
      <c r="L6555" s="50"/>
    </row>
    <row r="6556" spans="3:12" x14ac:dyDescent="0.3">
      <c r="C6556" s="47"/>
      <c r="H6556" s="49"/>
      <c r="K6556" s="72"/>
      <c r="L6556" s="50"/>
    </row>
    <row r="6557" spans="3:12" x14ac:dyDescent="0.3">
      <c r="C6557" s="47"/>
      <c r="H6557" s="49"/>
      <c r="K6557" s="72"/>
      <c r="L6557" s="50"/>
    </row>
    <row r="6558" spans="3:12" x14ac:dyDescent="0.3">
      <c r="C6558" s="47"/>
      <c r="H6558" s="49"/>
      <c r="K6558" s="72"/>
      <c r="L6558" s="50"/>
    </row>
    <row r="6559" spans="3:12" x14ac:dyDescent="0.3">
      <c r="C6559" s="47"/>
      <c r="H6559" s="49"/>
      <c r="K6559" s="72"/>
      <c r="L6559" s="50"/>
    </row>
    <row r="6560" spans="3:12" x14ac:dyDescent="0.3">
      <c r="C6560" s="47"/>
      <c r="H6560" s="49"/>
      <c r="K6560" s="72"/>
      <c r="L6560" s="50"/>
    </row>
    <row r="6561" spans="3:12" x14ac:dyDescent="0.3">
      <c r="C6561" s="47"/>
      <c r="H6561" s="49"/>
      <c r="K6561" s="72"/>
      <c r="L6561" s="50"/>
    </row>
    <row r="6562" spans="3:12" x14ac:dyDescent="0.3">
      <c r="C6562" s="47"/>
      <c r="H6562" s="49"/>
      <c r="K6562" s="72"/>
      <c r="L6562" s="50"/>
    </row>
    <row r="6563" spans="3:12" x14ac:dyDescent="0.3">
      <c r="C6563" s="47"/>
      <c r="H6563" s="49"/>
      <c r="K6563" s="72"/>
      <c r="L6563" s="50"/>
    </row>
    <row r="6564" spans="3:12" x14ac:dyDescent="0.3">
      <c r="C6564" s="47"/>
      <c r="H6564" s="49"/>
      <c r="K6564" s="72"/>
      <c r="L6564" s="50"/>
    </row>
    <row r="6565" spans="3:12" x14ac:dyDescent="0.3">
      <c r="C6565" s="47"/>
      <c r="H6565" s="49"/>
      <c r="K6565" s="72"/>
      <c r="L6565" s="50"/>
    </row>
    <row r="6566" spans="3:12" x14ac:dyDescent="0.3">
      <c r="C6566" s="47"/>
      <c r="H6566" s="49"/>
      <c r="K6566" s="72"/>
      <c r="L6566" s="50"/>
    </row>
    <row r="6567" spans="3:12" x14ac:dyDescent="0.3">
      <c r="C6567" s="47"/>
      <c r="H6567" s="49"/>
      <c r="K6567" s="72"/>
      <c r="L6567" s="50"/>
    </row>
    <row r="6568" spans="3:12" x14ac:dyDescent="0.3">
      <c r="C6568" s="47"/>
      <c r="H6568" s="49"/>
      <c r="K6568" s="72"/>
      <c r="L6568" s="50"/>
    </row>
    <row r="6569" spans="3:12" x14ac:dyDescent="0.3">
      <c r="C6569" s="47"/>
      <c r="H6569" s="49"/>
      <c r="K6569" s="72"/>
      <c r="L6569" s="50"/>
    </row>
    <row r="6570" spans="3:12" x14ac:dyDescent="0.3">
      <c r="C6570" s="47"/>
      <c r="H6570" s="49"/>
      <c r="K6570" s="72"/>
      <c r="L6570" s="50"/>
    </row>
    <row r="6571" spans="3:12" x14ac:dyDescent="0.3">
      <c r="C6571" s="47"/>
      <c r="H6571" s="49"/>
      <c r="K6571" s="72"/>
      <c r="L6571" s="50"/>
    </row>
    <row r="6572" spans="3:12" x14ac:dyDescent="0.3">
      <c r="C6572" s="47"/>
      <c r="H6572" s="49"/>
      <c r="K6572" s="72"/>
      <c r="L6572" s="50"/>
    </row>
    <row r="6573" spans="3:12" x14ac:dyDescent="0.3">
      <c r="C6573" s="47"/>
      <c r="H6573" s="49"/>
      <c r="K6573" s="72"/>
      <c r="L6573" s="50"/>
    </row>
    <row r="6574" spans="3:12" x14ac:dyDescent="0.3">
      <c r="C6574" s="47"/>
      <c r="H6574" s="49"/>
      <c r="K6574" s="72"/>
      <c r="L6574" s="50"/>
    </row>
    <row r="6575" spans="3:12" x14ac:dyDescent="0.3">
      <c r="C6575" s="47"/>
      <c r="H6575" s="49"/>
      <c r="K6575" s="72"/>
      <c r="L6575" s="50"/>
    </row>
    <row r="6576" spans="3:12" x14ac:dyDescent="0.3">
      <c r="C6576" s="47"/>
      <c r="H6576" s="49"/>
      <c r="K6576" s="72"/>
      <c r="L6576" s="50"/>
    </row>
    <row r="6577" spans="3:12" x14ac:dyDescent="0.3">
      <c r="C6577" s="47"/>
      <c r="H6577" s="49"/>
      <c r="K6577" s="72"/>
      <c r="L6577" s="50"/>
    </row>
    <row r="6578" spans="3:12" x14ac:dyDescent="0.3">
      <c r="C6578" s="47"/>
      <c r="H6578" s="49"/>
      <c r="K6578" s="72"/>
      <c r="L6578" s="50"/>
    </row>
    <row r="6579" spans="3:12" x14ac:dyDescent="0.3">
      <c r="C6579" s="47"/>
      <c r="H6579" s="49"/>
      <c r="K6579" s="72"/>
      <c r="L6579" s="50"/>
    </row>
    <row r="6580" spans="3:12" x14ac:dyDescent="0.3">
      <c r="C6580" s="47"/>
      <c r="H6580" s="49"/>
      <c r="K6580" s="72"/>
      <c r="L6580" s="50"/>
    </row>
    <row r="6581" spans="3:12" x14ac:dyDescent="0.3">
      <c r="C6581" s="47"/>
      <c r="H6581" s="49"/>
      <c r="K6581" s="72"/>
      <c r="L6581" s="50"/>
    </row>
    <row r="6582" spans="3:12" x14ac:dyDescent="0.3">
      <c r="C6582" s="47"/>
      <c r="H6582" s="49"/>
      <c r="K6582" s="72"/>
      <c r="L6582" s="50"/>
    </row>
    <row r="6583" spans="3:12" x14ac:dyDescent="0.3">
      <c r="C6583" s="47"/>
      <c r="H6583" s="49"/>
      <c r="K6583" s="72"/>
      <c r="L6583" s="50"/>
    </row>
    <row r="6584" spans="3:12" x14ac:dyDescent="0.3">
      <c r="C6584" s="47"/>
      <c r="H6584" s="49"/>
      <c r="K6584" s="72"/>
      <c r="L6584" s="50"/>
    </row>
    <row r="6585" spans="3:12" x14ac:dyDescent="0.3">
      <c r="C6585" s="47"/>
      <c r="H6585" s="49"/>
      <c r="K6585" s="72"/>
      <c r="L6585" s="50"/>
    </row>
    <row r="6586" spans="3:12" x14ac:dyDescent="0.3">
      <c r="C6586" s="47"/>
      <c r="H6586" s="49"/>
      <c r="K6586" s="72"/>
      <c r="L6586" s="50"/>
    </row>
    <row r="6587" spans="3:12" x14ac:dyDescent="0.3">
      <c r="C6587" s="47"/>
      <c r="H6587" s="49"/>
      <c r="K6587" s="72"/>
      <c r="L6587" s="50"/>
    </row>
    <row r="6588" spans="3:12" x14ac:dyDescent="0.3">
      <c r="C6588" s="47"/>
      <c r="H6588" s="49"/>
      <c r="K6588" s="72"/>
      <c r="L6588" s="50"/>
    </row>
    <row r="6589" spans="3:12" x14ac:dyDescent="0.3">
      <c r="C6589" s="47"/>
      <c r="H6589" s="49"/>
      <c r="K6589" s="72"/>
      <c r="L6589" s="50"/>
    </row>
    <row r="6590" spans="3:12" x14ac:dyDescent="0.3">
      <c r="C6590" s="47"/>
      <c r="H6590" s="49"/>
      <c r="K6590" s="72"/>
      <c r="L6590" s="50"/>
    </row>
    <row r="6591" spans="3:12" x14ac:dyDescent="0.3">
      <c r="C6591" s="47"/>
      <c r="H6591" s="49"/>
      <c r="K6591" s="72"/>
      <c r="L6591" s="50"/>
    </row>
    <row r="6592" spans="3:12" x14ac:dyDescent="0.3">
      <c r="C6592" s="47"/>
      <c r="H6592" s="49"/>
      <c r="K6592" s="72"/>
      <c r="L6592" s="50"/>
    </row>
    <row r="6593" spans="3:12" x14ac:dyDescent="0.3">
      <c r="C6593" s="47"/>
      <c r="H6593" s="49"/>
      <c r="K6593" s="72"/>
      <c r="L6593" s="50"/>
    </row>
    <row r="6594" spans="3:12" x14ac:dyDescent="0.3">
      <c r="C6594" s="47"/>
      <c r="H6594" s="49"/>
      <c r="K6594" s="72"/>
      <c r="L6594" s="50"/>
    </row>
    <row r="6595" spans="3:12" x14ac:dyDescent="0.3">
      <c r="C6595" s="47"/>
      <c r="H6595" s="49"/>
      <c r="K6595" s="72"/>
      <c r="L6595" s="50"/>
    </row>
    <row r="6596" spans="3:12" x14ac:dyDescent="0.3">
      <c r="C6596" s="47"/>
      <c r="H6596" s="49"/>
      <c r="K6596" s="72"/>
      <c r="L6596" s="50"/>
    </row>
    <row r="6597" spans="3:12" x14ac:dyDescent="0.3">
      <c r="C6597" s="47"/>
      <c r="H6597" s="49"/>
      <c r="K6597" s="72"/>
      <c r="L6597" s="50"/>
    </row>
    <row r="6598" spans="3:12" x14ac:dyDescent="0.3">
      <c r="C6598" s="47"/>
      <c r="H6598" s="49"/>
      <c r="K6598" s="72"/>
      <c r="L6598" s="50"/>
    </row>
    <row r="6599" spans="3:12" x14ac:dyDescent="0.3">
      <c r="C6599" s="47"/>
      <c r="H6599" s="49"/>
      <c r="K6599" s="72"/>
      <c r="L6599" s="50"/>
    </row>
    <row r="6600" spans="3:12" x14ac:dyDescent="0.3">
      <c r="C6600" s="47"/>
      <c r="H6600" s="49"/>
      <c r="K6600" s="72"/>
      <c r="L6600" s="50"/>
    </row>
    <row r="6601" spans="3:12" x14ac:dyDescent="0.3">
      <c r="C6601" s="47"/>
      <c r="H6601" s="49"/>
      <c r="K6601" s="72"/>
      <c r="L6601" s="50"/>
    </row>
    <row r="6602" spans="3:12" x14ac:dyDescent="0.3">
      <c r="C6602" s="47"/>
      <c r="H6602" s="49"/>
      <c r="K6602" s="72"/>
      <c r="L6602" s="50"/>
    </row>
    <row r="6603" spans="3:12" x14ac:dyDescent="0.3">
      <c r="C6603" s="47"/>
      <c r="H6603" s="49"/>
      <c r="K6603" s="72"/>
      <c r="L6603" s="50"/>
    </row>
    <row r="6604" spans="3:12" x14ac:dyDescent="0.3">
      <c r="C6604" s="47"/>
      <c r="H6604" s="49"/>
      <c r="K6604" s="72"/>
      <c r="L6604" s="50"/>
    </row>
    <row r="6605" spans="3:12" x14ac:dyDescent="0.3">
      <c r="C6605" s="47"/>
      <c r="H6605" s="49"/>
      <c r="K6605" s="72"/>
      <c r="L6605" s="50"/>
    </row>
    <row r="6606" spans="3:12" x14ac:dyDescent="0.3">
      <c r="C6606" s="47"/>
      <c r="H6606" s="49"/>
      <c r="K6606" s="72"/>
      <c r="L6606" s="50"/>
    </row>
    <row r="6607" spans="3:12" x14ac:dyDescent="0.3">
      <c r="C6607" s="47"/>
      <c r="H6607" s="49"/>
      <c r="K6607" s="72"/>
      <c r="L6607" s="50"/>
    </row>
    <row r="6608" spans="3:12" x14ac:dyDescent="0.3">
      <c r="C6608" s="47"/>
      <c r="H6608" s="49"/>
      <c r="K6608" s="72"/>
      <c r="L6608" s="50"/>
    </row>
    <row r="6609" spans="3:12" x14ac:dyDescent="0.3">
      <c r="C6609" s="47"/>
      <c r="H6609" s="49"/>
      <c r="K6609" s="72"/>
      <c r="L6609" s="50"/>
    </row>
    <row r="6610" spans="3:12" x14ac:dyDescent="0.3">
      <c r="C6610" s="47"/>
      <c r="H6610" s="49"/>
      <c r="K6610" s="72"/>
      <c r="L6610" s="50"/>
    </row>
    <row r="6611" spans="3:12" x14ac:dyDescent="0.3">
      <c r="C6611" s="47"/>
      <c r="H6611" s="49"/>
      <c r="K6611" s="72"/>
      <c r="L6611" s="50"/>
    </row>
    <row r="6612" spans="3:12" x14ac:dyDescent="0.3">
      <c r="C6612" s="47"/>
      <c r="H6612" s="49"/>
      <c r="K6612" s="72"/>
      <c r="L6612" s="50"/>
    </row>
    <row r="6613" spans="3:12" x14ac:dyDescent="0.3">
      <c r="C6613" s="47"/>
      <c r="H6613" s="49"/>
      <c r="K6613" s="72"/>
      <c r="L6613" s="50"/>
    </row>
    <row r="6614" spans="3:12" x14ac:dyDescent="0.3">
      <c r="C6614" s="47"/>
      <c r="H6614" s="49"/>
      <c r="K6614" s="72"/>
      <c r="L6614" s="50"/>
    </row>
    <row r="6615" spans="3:12" x14ac:dyDescent="0.3">
      <c r="C6615" s="47"/>
      <c r="H6615" s="49"/>
      <c r="K6615" s="72"/>
      <c r="L6615" s="50"/>
    </row>
    <row r="6616" spans="3:12" x14ac:dyDescent="0.3">
      <c r="C6616" s="47"/>
      <c r="H6616" s="49"/>
      <c r="K6616" s="72"/>
      <c r="L6616" s="50"/>
    </row>
    <row r="6617" spans="3:12" x14ac:dyDescent="0.3">
      <c r="C6617" s="47"/>
      <c r="H6617" s="49"/>
      <c r="K6617" s="72"/>
      <c r="L6617" s="50"/>
    </row>
    <row r="6618" spans="3:12" x14ac:dyDescent="0.3">
      <c r="C6618" s="47"/>
      <c r="H6618" s="49"/>
      <c r="K6618" s="72"/>
      <c r="L6618" s="50"/>
    </row>
    <row r="6619" spans="3:12" x14ac:dyDescent="0.3">
      <c r="C6619" s="47"/>
      <c r="H6619" s="49"/>
      <c r="K6619" s="72"/>
      <c r="L6619" s="50"/>
    </row>
    <row r="6620" spans="3:12" x14ac:dyDescent="0.3">
      <c r="C6620" s="47"/>
      <c r="H6620" s="49"/>
      <c r="K6620" s="72"/>
      <c r="L6620" s="50"/>
    </row>
    <row r="6621" spans="3:12" x14ac:dyDescent="0.3">
      <c r="C6621" s="47"/>
      <c r="H6621" s="49"/>
      <c r="K6621" s="72"/>
      <c r="L6621" s="50"/>
    </row>
    <row r="6622" spans="3:12" x14ac:dyDescent="0.3">
      <c r="C6622" s="47"/>
      <c r="H6622" s="49"/>
      <c r="K6622" s="72"/>
      <c r="L6622" s="50"/>
    </row>
    <row r="6623" spans="3:12" x14ac:dyDescent="0.3">
      <c r="C6623" s="47"/>
      <c r="H6623" s="49"/>
      <c r="K6623" s="72"/>
      <c r="L6623" s="50"/>
    </row>
    <row r="6624" spans="3:12" x14ac:dyDescent="0.3">
      <c r="C6624" s="47"/>
      <c r="H6624" s="49"/>
      <c r="K6624" s="72"/>
      <c r="L6624" s="50"/>
    </row>
    <row r="6625" spans="3:12" x14ac:dyDescent="0.3">
      <c r="C6625" s="47"/>
      <c r="H6625" s="49"/>
      <c r="K6625" s="72"/>
      <c r="L6625" s="50"/>
    </row>
    <row r="6626" spans="3:12" x14ac:dyDescent="0.3">
      <c r="C6626" s="47"/>
      <c r="H6626" s="49"/>
      <c r="K6626" s="72"/>
      <c r="L6626" s="50"/>
    </row>
    <row r="6627" spans="3:12" x14ac:dyDescent="0.3">
      <c r="C6627" s="47"/>
      <c r="H6627" s="49"/>
      <c r="K6627" s="72"/>
      <c r="L6627" s="50"/>
    </row>
    <row r="6628" spans="3:12" x14ac:dyDescent="0.3">
      <c r="C6628" s="47"/>
      <c r="H6628" s="49"/>
      <c r="K6628" s="72"/>
      <c r="L6628" s="50"/>
    </row>
    <row r="6629" spans="3:12" x14ac:dyDescent="0.3">
      <c r="C6629" s="47"/>
      <c r="H6629" s="49"/>
      <c r="K6629" s="72"/>
      <c r="L6629" s="50"/>
    </row>
    <row r="6630" spans="3:12" x14ac:dyDescent="0.3">
      <c r="C6630" s="47"/>
      <c r="H6630" s="49"/>
      <c r="K6630" s="72"/>
      <c r="L6630" s="50"/>
    </row>
    <row r="6631" spans="3:12" x14ac:dyDescent="0.3">
      <c r="C6631" s="47"/>
      <c r="H6631" s="49"/>
      <c r="K6631" s="72"/>
      <c r="L6631" s="50"/>
    </row>
    <row r="6632" spans="3:12" x14ac:dyDescent="0.3">
      <c r="C6632" s="47"/>
      <c r="H6632" s="49"/>
      <c r="K6632" s="72"/>
      <c r="L6632" s="50"/>
    </row>
    <row r="6633" spans="3:12" x14ac:dyDescent="0.3">
      <c r="C6633" s="47"/>
      <c r="H6633" s="49"/>
      <c r="K6633" s="72"/>
      <c r="L6633" s="50"/>
    </row>
    <row r="6634" spans="3:12" x14ac:dyDescent="0.3">
      <c r="C6634" s="47"/>
      <c r="H6634" s="49"/>
      <c r="K6634" s="72"/>
      <c r="L6634" s="50"/>
    </row>
    <row r="6635" spans="3:12" x14ac:dyDescent="0.3">
      <c r="C6635" s="47"/>
      <c r="H6635" s="49"/>
      <c r="K6635" s="72"/>
      <c r="L6635" s="50"/>
    </row>
    <row r="6636" spans="3:12" x14ac:dyDescent="0.3">
      <c r="C6636" s="47"/>
      <c r="H6636" s="49"/>
      <c r="K6636" s="72"/>
      <c r="L6636" s="50"/>
    </row>
    <row r="6637" spans="3:12" x14ac:dyDescent="0.3">
      <c r="C6637" s="47"/>
      <c r="H6637" s="49"/>
      <c r="K6637" s="72"/>
      <c r="L6637" s="50"/>
    </row>
    <row r="6638" spans="3:12" x14ac:dyDescent="0.3">
      <c r="C6638" s="47"/>
      <c r="H6638" s="49"/>
      <c r="K6638" s="72"/>
      <c r="L6638" s="50"/>
    </row>
    <row r="6639" spans="3:12" x14ac:dyDescent="0.3">
      <c r="C6639" s="47"/>
      <c r="H6639" s="49"/>
      <c r="K6639" s="72"/>
      <c r="L6639" s="50"/>
    </row>
    <row r="6640" spans="3:12" x14ac:dyDescent="0.3">
      <c r="C6640" s="47"/>
      <c r="H6640" s="49"/>
      <c r="K6640" s="72"/>
      <c r="L6640" s="50"/>
    </row>
    <row r="6641" spans="3:12" x14ac:dyDescent="0.3">
      <c r="C6641" s="47"/>
      <c r="H6641" s="49"/>
      <c r="K6641" s="72"/>
      <c r="L6641" s="50"/>
    </row>
    <row r="6642" spans="3:12" x14ac:dyDescent="0.3">
      <c r="C6642" s="47"/>
      <c r="H6642" s="49"/>
      <c r="K6642" s="72"/>
      <c r="L6642" s="50"/>
    </row>
    <row r="6643" spans="3:12" x14ac:dyDescent="0.3">
      <c r="C6643" s="47"/>
      <c r="H6643" s="49"/>
      <c r="K6643" s="72"/>
      <c r="L6643" s="50"/>
    </row>
    <row r="6644" spans="3:12" x14ac:dyDescent="0.3">
      <c r="C6644" s="47"/>
      <c r="H6644" s="49"/>
      <c r="K6644" s="72"/>
      <c r="L6644" s="50"/>
    </row>
    <row r="6645" spans="3:12" x14ac:dyDescent="0.3">
      <c r="C6645" s="47"/>
      <c r="H6645" s="49"/>
      <c r="K6645" s="72"/>
      <c r="L6645" s="50"/>
    </row>
    <row r="6646" spans="3:12" x14ac:dyDescent="0.3">
      <c r="C6646" s="47"/>
      <c r="H6646" s="49"/>
      <c r="K6646" s="72"/>
      <c r="L6646" s="50"/>
    </row>
    <row r="6647" spans="3:12" x14ac:dyDescent="0.3">
      <c r="C6647" s="47"/>
      <c r="H6647" s="49"/>
      <c r="K6647" s="72"/>
      <c r="L6647" s="50"/>
    </row>
    <row r="6648" spans="3:12" x14ac:dyDescent="0.3">
      <c r="C6648" s="47"/>
      <c r="H6648" s="49"/>
      <c r="K6648" s="72"/>
      <c r="L6648" s="50"/>
    </row>
    <row r="6649" spans="3:12" x14ac:dyDescent="0.3">
      <c r="C6649" s="47"/>
      <c r="H6649" s="49"/>
      <c r="K6649" s="72"/>
      <c r="L6649" s="50"/>
    </row>
    <row r="6650" spans="3:12" x14ac:dyDescent="0.3">
      <c r="C6650" s="47"/>
      <c r="H6650" s="49"/>
      <c r="K6650" s="72"/>
      <c r="L6650" s="50"/>
    </row>
    <row r="6651" spans="3:12" x14ac:dyDescent="0.3">
      <c r="C6651" s="47"/>
      <c r="H6651" s="49"/>
      <c r="K6651" s="72"/>
      <c r="L6651" s="50"/>
    </row>
    <row r="6652" spans="3:12" x14ac:dyDescent="0.3">
      <c r="C6652" s="47"/>
      <c r="H6652" s="49"/>
      <c r="K6652" s="72"/>
      <c r="L6652" s="50"/>
    </row>
    <row r="6653" spans="3:12" x14ac:dyDescent="0.3">
      <c r="C6653" s="47"/>
      <c r="H6653" s="49"/>
      <c r="K6653" s="72"/>
      <c r="L6653" s="50"/>
    </row>
    <row r="6654" spans="3:12" x14ac:dyDescent="0.3">
      <c r="C6654" s="47"/>
      <c r="H6654" s="49"/>
      <c r="K6654" s="72"/>
      <c r="L6654" s="50"/>
    </row>
    <row r="6655" spans="3:12" x14ac:dyDescent="0.3">
      <c r="C6655" s="47"/>
      <c r="H6655" s="49"/>
      <c r="K6655" s="72"/>
      <c r="L6655" s="50"/>
    </row>
    <row r="6656" spans="3:12" x14ac:dyDescent="0.3">
      <c r="C6656" s="47"/>
      <c r="H6656" s="49"/>
      <c r="K6656" s="72"/>
      <c r="L6656" s="50"/>
    </row>
    <row r="6657" spans="3:12" x14ac:dyDescent="0.3">
      <c r="C6657" s="47"/>
      <c r="H6657" s="49"/>
      <c r="K6657" s="72"/>
      <c r="L6657" s="50"/>
    </row>
    <row r="6658" spans="3:12" x14ac:dyDescent="0.3">
      <c r="C6658" s="47"/>
      <c r="H6658" s="49"/>
      <c r="K6658" s="72"/>
      <c r="L6658" s="50"/>
    </row>
    <row r="6659" spans="3:12" x14ac:dyDescent="0.3">
      <c r="C6659" s="47"/>
      <c r="H6659" s="49"/>
      <c r="K6659" s="72"/>
      <c r="L6659" s="50"/>
    </row>
    <row r="6660" spans="3:12" x14ac:dyDescent="0.3">
      <c r="C6660" s="47"/>
      <c r="H6660" s="49"/>
      <c r="K6660" s="72"/>
      <c r="L6660" s="50"/>
    </row>
    <row r="6661" spans="3:12" x14ac:dyDescent="0.3">
      <c r="C6661" s="47"/>
      <c r="H6661" s="49"/>
      <c r="K6661" s="72"/>
      <c r="L6661" s="50"/>
    </row>
    <row r="6662" spans="3:12" x14ac:dyDescent="0.3">
      <c r="C6662" s="47"/>
      <c r="H6662" s="49"/>
      <c r="K6662" s="72"/>
      <c r="L6662" s="50"/>
    </row>
    <row r="6663" spans="3:12" x14ac:dyDescent="0.3">
      <c r="C6663" s="47"/>
      <c r="H6663" s="49"/>
      <c r="K6663" s="72"/>
      <c r="L6663" s="50"/>
    </row>
    <row r="6664" spans="3:12" x14ac:dyDescent="0.3">
      <c r="C6664" s="47"/>
      <c r="H6664" s="49"/>
      <c r="K6664" s="72"/>
      <c r="L6664" s="50"/>
    </row>
    <row r="6665" spans="3:12" x14ac:dyDescent="0.3">
      <c r="C6665" s="47"/>
      <c r="H6665" s="49"/>
      <c r="K6665" s="72"/>
      <c r="L6665" s="50"/>
    </row>
    <row r="6666" spans="3:12" x14ac:dyDescent="0.3">
      <c r="C6666" s="47"/>
      <c r="H6666" s="49"/>
      <c r="K6666" s="72"/>
      <c r="L6666" s="50"/>
    </row>
    <row r="6667" spans="3:12" x14ac:dyDescent="0.3">
      <c r="C6667" s="47"/>
      <c r="H6667" s="49"/>
      <c r="K6667" s="72"/>
      <c r="L6667" s="50"/>
    </row>
    <row r="6668" spans="3:12" x14ac:dyDescent="0.3">
      <c r="C6668" s="47"/>
      <c r="H6668" s="49"/>
      <c r="K6668" s="72"/>
      <c r="L6668" s="50"/>
    </row>
    <row r="6669" spans="3:12" x14ac:dyDescent="0.3">
      <c r="C6669" s="47"/>
      <c r="H6669" s="49"/>
      <c r="K6669" s="72"/>
      <c r="L6669" s="50"/>
    </row>
    <row r="6670" spans="3:12" x14ac:dyDescent="0.3">
      <c r="C6670" s="47"/>
      <c r="H6670" s="49"/>
      <c r="K6670" s="72"/>
      <c r="L6670" s="50"/>
    </row>
    <row r="6671" spans="3:12" x14ac:dyDescent="0.3">
      <c r="C6671" s="47"/>
      <c r="H6671" s="49"/>
      <c r="K6671" s="72"/>
      <c r="L6671" s="50"/>
    </row>
    <row r="6672" spans="3:12" x14ac:dyDescent="0.3">
      <c r="C6672" s="47"/>
      <c r="H6672" s="49"/>
      <c r="K6672" s="72"/>
      <c r="L6672" s="50"/>
    </row>
    <row r="6673" spans="3:12" x14ac:dyDescent="0.3">
      <c r="C6673" s="47"/>
      <c r="H6673" s="49"/>
      <c r="K6673" s="72"/>
      <c r="L6673" s="50"/>
    </row>
    <row r="6674" spans="3:12" x14ac:dyDescent="0.3">
      <c r="C6674" s="47"/>
      <c r="H6674" s="49"/>
      <c r="K6674" s="72"/>
      <c r="L6674" s="50"/>
    </row>
    <row r="6675" spans="3:12" x14ac:dyDescent="0.3">
      <c r="C6675" s="47"/>
      <c r="H6675" s="49"/>
      <c r="K6675" s="72"/>
      <c r="L6675" s="50"/>
    </row>
    <row r="6676" spans="3:12" x14ac:dyDescent="0.3">
      <c r="C6676" s="47"/>
      <c r="H6676" s="49"/>
      <c r="K6676" s="72"/>
      <c r="L6676" s="50"/>
    </row>
    <row r="6677" spans="3:12" x14ac:dyDescent="0.3">
      <c r="C6677" s="47"/>
      <c r="H6677" s="49"/>
      <c r="K6677" s="72"/>
      <c r="L6677" s="50"/>
    </row>
    <row r="6678" spans="3:12" x14ac:dyDescent="0.3">
      <c r="C6678" s="47"/>
      <c r="H6678" s="49"/>
      <c r="K6678" s="72"/>
      <c r="L6678" s="50"/>
    </row>
    <row r="6679" spans="3:12" x14ac:dyDescent="0.3">
      <c r="C6679" s="47"/>
      <c r="H6679" s="49"/>
      <c r="K6679" s="72"/>
      <c r="L6679" s="50"/>
    </row>
    <row r="6680" spans="3:12" x14ac:dyDescent="0.3">
      <c r="C6680" s="47"/>
      <c r="H6680" s="49"/>
      <c r="K6680" s="72"/>
      <c r="L6680" s="50"/>
    </row>
    <row r="6681" spans="3:12" x14ac:dyDescent="0.3">
      <c r="C6681" s="47"/>
      <c r="H6681" s="49"/>
      <c r="K6681" s="72"/>
      <c r="L6681" s="50"/>
    </row>
    <row r="6682" spans="3:12" x14ac:dyDescent="0.3">
      <c r="C6682" s="47"/>
      <c r="H6682" s="49"/>
      <c r="K6682" s="72"/>
      <c r="L6682" s="50"/>
    </row>
    <row r="6683" spans="3:12" x14ac:dyDescent="0.3">
      <c r="C6683" s="47"/>
      <c r="H6683" s="49"/>
      <c r="K6683" s="72"/>
      <c r="L6683" s="50"/>
    </row>
    <row r="6684" spans="3:12" x14ac:dyDescent="0.3">
      <c r="C6684" s="47"/>
      <c r="H6684" s="49"/>
      <c r="K6684" s="72"/>
      <c r="L6684" s="50"/>
    </row>
    <row r="6685" spans="3:12" x14ac:dyDescent="0.3">
      <c r="C6685" s="47"/>
      <c r="H6685" s="49"/>
      <c r="K6685" s="72"/>
      <c r="L6685" s="50"/>
    </row>
    <row r="6686" spans="3:12" x14ac:dyDescent="0.3">
      <c r="C6686" s="47"/>
      <c r="H6686" s="49"/>
      <c r="K6686" s="72"/>
      <c r="L6686" s="50"/>
    </row>
    <row r="6687" spans="3:12" x14ac:dyDescent="0.3">
      <c r="C6687" s="47"/>
      <c r="H6687" s="49"/>
      <c r="K6687" s="72"/>
      <c r="L6687" s="50"/>
    </row>
    <row r="6688" spans="3:12" x14ac:dyDescent="0.3">
      <c r="C6688" s="47"/>
      <c r="H6688" s="49"/>
      <c r="K6688" s="72"/>
      <c r="L6688" s="50"/>
    </row>
    <row r="6689" spans="3:12" x14ac:dyDescent="0.3">
      <c r="C6689" s="47"/>
      <c r="H6689" s="49"/>
      <c r="K6689" s="72"/>
      <c r="L6689" s="50"/>
    </row>
    <row r="6690" spans="3:12" x14ac:dyDescent="0.3">
      <c r="C6690" s="47"/>
      <c r="H6690" s="49"/>
      <c r="K6690" s="72"/>
      <c r="L6690" s="50"/>
    </row>
    <row r="6691" spans="3:12" x14ac:dyDescent="0.3">
      <c r="C6691" s="47"/>
      <c r="H6691" s="49"/>
      <c r="K6691" s="72"/>
      <c r="L6691" s="50"/>
    </row>
    <row r="6692" spans="3:12" x14ac:dyDescent="0.3">
      <c r="C6692" s="47"/>
      <c r="H6692" s="49"/>
      <c r="K6692" s="72"/>
      <c r="L6692" s="50"/>
    </row>
    <row r="6693" spans="3:12" x14ac:dyDescent="0.3">
      <c r="C6693" s="47"/>
      <c r="H6693" s="49"/>
      <c r="K6693" s="72"/>
      <c r="L6693" s="50"/>
    </row>
    <row r="6694" spans="3:12" x14ac:dyDescent="0.3">
      <c r="C6694" s="47"/>
      <c r="H6694" s="49"/>
      <c r="K6694" s="72"/>
      <c r="L6694" s="50"/>
    </row>
    <row r="6695" spans="3:12" x14ac:dyDescent="0.3">
      <c r="C6695" s="47"/>
      <c r="H6695" s="49"/>
      <c r="K6695" s="72"/>
      <c r="L6695" s="50"/>
    </row>
    <row r="6696" spans="3:12" x14ac:dyDescent="0.3">
      <c r="C6696" s="47"/>
      <c r="H6696" s="49"/>
      <c r="K6696" s="72"/>
      <c r="L6696" s="50"/>
    </row>
    <row r="6697" spans="3:12" x14ac:dyDescent="0.3">
      <c r="C6697" s="47"/>
      <c r="H6697" s="49"/>
      <c r="K6697" s="72"/>
      <c r="L6697" s="50"/>
    </row>
    <row r="6698" spans="3:12" x14ac:dyDescent="0.3">
      <c r="C6698" s="47"/>
      <c r="H6698" s="49"/>
      <c r="K6698" s="72"/>
      <c r="L6698" s="50"/>
    </row>
    <row r="6699" spans="3:12" x14ac:dyDescent="0.3">
      <c r="C6699" s="47"/>
      <c r="H6699" s="49"/>
      <c r="K6699" s="72"/>
      <c r="L6699" s="50"/>
    </row>
    <row r="6700" spans="3:12" x14ac:dyDescent="0.3">
      <c r="C6700" s="47"/>
      <c r="H6700" s="49"/>
      <c r="K6700" s="72"/>
      <c r="L6700" s="50"/>
    </row>
    <row r="6701" spans="3:12" x14ac:dyDescent="0.3">
      <c r="C6701" s="47"/>
      <c r="H6701" s="49"/>
      <c r="K6701" s="72"/>
      <c r="L6701" s="50"/>
    </row>
    <row r="6702" spans="3:12" x14ac:dyDescent="0.3">
      <c r="C6702" s="47"/>
      <c r="H6702" s="49"/>
      <c r="K6702" s="72"/>
      <c r="L6702" s="50"/>
    </row>
    <row r="6703" spans="3:12" x14ac:dyDescent="0.3">
      <c r="C6703" s="47"/>
      <c r="H6703" s="49"/>
      <c r="K6703" s="72"/>
      <c r="L6703" s="50"/>
    </row>
    <row r="6704" spans="3:12" x14ac:dyDescent="0.3">
      <c r="C6704" s="47"/>
      <c r="H6704" s="49"/>
      <c r="K6704" s="72"/>
      <c r="L6704" s="50"/>
    </row>
    <row r="6705" spans="3:12" x14ac:dyDescent="0.3">
      <c r="C6705" s="47"/>
      <c r="H6705" s="49"/>
      <c r="K6705" s="72"/>
      <c r="L6705" s="50"/>
    </row>
    <row r="6706" spans="3:12" x14ac:dyDescent="0.3">
      <c r="C6706" s="47"/>
      <c r="H6706" s="49"/>
      <c r="K6706" s="72"/>
      <c r="L6706" s="50"/>
    </row>
    <row r="6707" spans="3:12" x14ac:dyDescent="0.3">
      <c r="C6707" s="47"/>
      <c r="H6707" s="49"/>
      <c r="K6707" s="72"/>
      <c r="L6707" s="50"/>
    </row>
    <row r="6708" spans="3:12" x14ac:dyDescent="0.3">
      <c r="C6708" s="47"/>
      <c r="H6708" s="49"/>
      <c r="K6708" s="72"/>
      <c r="L6708" s="50"/>
    </row>
    <row r="6709" spans="3:12" x14ac:dyDescent="0.3">
      <c r="C6709" s="47"/>
      <c r="H6709" s="49"/>
      <c r="K6709" s="72"/>
      <c r="L6709" s="50"/>
    </row>
    <row r="6710" spans="3:12" x14ac:dyDescent="0.3">
      <c r="C6710" s="47"/>
      <c r="H6710" s="49"/>
      <c r="K6710" s="72"/>
      <c r="L6710" s="50"/>
    </row>
    <row r="6711" spans="3:12" x14ac:dyDescent="0.3">
      <c r="C6711" s="47"/>
      <c r="H6711" s="49"/>
      <c r="K6711" s="72"/>
      <c r="L6711" s="50"/>
    </row>
    <row r="6712" spans="3:12" x14ac:dyDescent="0.3">
      <c r="C6712" s="47"/>
      <c r="H6712" s="49"/>
      <c r="K6712" s="72"/>
      <c r="L6712" s="50"/>
    </row>
    <row r="6713" spans="3:12" x14ac:dyDescent="0.3">
      <c r="C6713" s="47"/>
      <c r="H6713" s="49"/>
      <c r="K6713" s="72"/>
      <c r="L6713" s="50"/>
    </row>
    <row r="6714" spans="3:12" x14ac:dyDescent="0.3">
      <c r="C6714" s="47"/>
      <c r="H6714" s="49"/>
      <c r="K6714" s="72"/>
      <c r="L6714" s="50"/>
    </row>
    <row r="6715" spans="3:12" x14ac:dyDescent="0.3">
      <c r="C6715" s="47"/>
      <c r="H6715" s="49"/>
      <c r="K6715" s="72"/>
      <c r="L6715" s="50"/>
    </row>
    <row r="6716" spans="3:12" x14ac:dyDescent="0.3">
      <c r="C6716" s="47"/>
      <c r="H6716" s="49"/>
      <c r="K6716" s="72"/>
      <c r="L6716" s="50"/>
    </row>
    <row r="6717" spans="3:12" x14ac:dyDescent="0.3">
      <c r="C6717" s="47"/>
      <c r="H6717" s="49"/>
      <c r="K6717" s="72"/>
      <c r="L6717" s="50"/>
    </row>
    <row r="6718" spans="3:12" x14ac:dyDescent="0.3">
      <c r="C6718" s="47"/>
      <c r="H6718" s="49"/>
      <c r="K6718" s="72"/>
      <c r="L6718" s="50"/>
    </row>
    <row r="6719" spans="3:12" x14ac:dyDescent="0.3">
      <c r="C6719" s="47"/>
      <c r="H6719" s="49"/>
      <c r="K6719" s="72"/>
      <c r="L6719" s="50"/>
    </row>
    <row r="6720" spans="3:12" x14ac:dyDescent="0.3">
      <c r="C6720" s="47"/>
      <c r="H6720" s="49"/>
      <c r="K6720" s="72"/>
      <c r="L6720" s="50"/>
    </row>
    <row r="6721" spans="3:12" x14ac:dyDescent="0.3">
      <c r="C6721" s="47"/>
      <c r="H6721" s="49"/>
      <c r="K6721" s="72"/>
      <c r="L6721" s="50"/>
    </row>
    <row r="6722" spans="3:12" x14ac:dyDescent="0.3">
      <c r="C6722" s="47"/>
      <c r="H6722" s="49"/>
      <c r="K6722" s="72"/>
      <c r="L6722" s="50"/>
    </row>
    <row r="6723" spans="3:12" x14ac:dyDescent="0.3">
      <c r="C6723" s="47"/>
      <c r="H6723" s="49"/>
      <c r="K6723" s="72"/>
      <c r="L6723" s="50"/>
    </row>
    <row r="6724" spans="3:12" x14ac:dyDescent="0.3">
      <c r="C6724" s="47"/>
      <c r="H6724" s="49"/>
      <c r="K6724" s="72"/>
      <c r="L6724" s="50"/>
    </row>
    <row r="6725" spans="3:12" x14ac:dyDescent="0.3">
      <c r="C6725" s="47"/>
      <c r="H6725" s="49"/>
      <c r="K6725" s="72"/>
      <c r="L6725" s="50"/>
    </row>
    <row r="6726" spans="3:12" x14ac:dyDescent="0.3">
      <c r="C6726" s="47"/>
      <c r="H6726" s="49"/>
      <c r="K6726" s="72"/>
      <c r="L6726" s="50"/>
    </row>
    <row r="6727" spans="3:12" x14ac:dyDescent="0.3">
      <c r="C6727" s="47"/>
      <c r="H6727" s="49"/>
      <c r="K6727" s="72"/>
      <c r="L6727" s="50"/>
    </row>
    <row r="6728" spans="3:12" x14ac:dyDescent="0.3">
      <c r="C6728" s="47"/>
      <c r="H6728" s="49"/>
      <c r="K6728" s="72"/>
      <c r="L6728" s="50"/>
    </row>
    <row r="6729" spans="3:12" x14ac:dyDescent="0.3">
      <c r="C6729" s="47"/>
      <c r="H6729" s="49"/>
      <c r="K6729" s="72"/>
      <c r="L6729" s="50"/>
    </row>
    <row r="6730" spans="3:12" x14ac:dyDescent="0.3">
      <c r="C6730" s="47"/>
      <c r="H6730" s="49"/>
      <c r="K6730" s="72"/>
      <c r="L6730" s="50"/>
    </row>
    <row r="6731" spans="3:12" x14ac:dyDescent="0.3">
      <c r="C6731" s="47"/>
      <c r="H6731" s="49"/>
      <c r="K6731" s="72"/>
      <c r="L6731" s="50"/>
    </row>
    <row r="6732" spans="3:12" x14ac:dyDescent="0.3">
      <c r="C6732" s="47"/>
      <c r="H6732" s="49"/>
      <c r="K6732" s="72"/>
      <c r="L6732" s="50"/>
    </row>
    <row r="6733" spans="3:12" x14ac:dyDescent="0.3">
      <c r="C6733" s="47"/>
      <c r="H6733" s="49"/>
      <c r="K6733" s="72"/>
      <c r="L6733" s="50"/>
    </row>
    <row r="6734" spans="3:12" x14ac:dyDescent="0.3">
      <c r="C6734" s="47"/>
      <c r="H6734" s="49"/>
      <c r="K6734" s="72"/>
      <c r="L6734" s="50"/>
    </row>
    <row r="6735" spans="3:12" x14ac:dyDescent="0.3">
      <c r="C6735" s="47"/>
      <c r="H6735" s="49"/>
      <c r="K6735" s="72"/>
      <c r="L6735" s="50"/>
    </row>
    <row r="6736" spans="3:12" x14ac:dyDescent="0.3">
      <c r="C6736" s="47"/>
      <c r="H6736" s="49"/>
      <c r="K6736" s="72"/>
      <c r="L6736" s="50"/>
    </row>
    <row r="6737" spans="3:12" x14ac:dyDescent="0.3">
      <c r="C6737" s="47"/>
      <c r="H6737" s="49"/>
      <c r="K6737" s="72"/>
      <c r="L6737" s="50"/>
    </row>
    <row r="6738" spans="3:12" x14ac:dyDescent="0.3">
      <c r="C6738" s="47"/>
      <c r="H6738" s="49"/>
      <c r="K6738" s="72"/>
      <c r="L6738" s="50"/>
    </row>
    <row r="6739" spans="3:12" x14ac:dyDescent="0.3">
      <c r="C6739" s="47"/>
      <c r="H6739" s="49"/>
      <c r="K6739" s="72"/>
      <c r="L6739" s="50"/>
    </row>
    <row r="6740" spans="3:12" x14ac:dyDescent="0.3">
      <c r="C6740" s="47"/>
      <c r="H6740" s="49"/>
      <c r="K6740" s="72"/>
      <c r="L6740" s="50"/>
    </row>
    <row r="6741" spans="3:12" x14ac:dyDescent="0.3">
      <c r="C6741" s="47"/>
      <c r="H6741" s="49"/>
      <c r="K6741" s="72"/>
      <c r="L6741" s="50"/>
    </row>
    <row r="6742" spans="3:12" x14ac:dyDescent="0.3">
      <c r="C6742" s="47"/>
      <c r="H6742" s="49"/>
      <c r="K6742" s="72"/>
      <c r="L6742" s="50"/>
    </row>
    <row r="6743" spans="3:12" x14ac:dyDescent="0.3">
      <c r="C6743" s="47"/>
      <c r="H6743" s="49"/>
      <c r="K6743" s="72"/>
      <c r="L6743" s="50"/>
    </row>
    <row r="6744" spans="3:12" x14ac:dyDescent="0.3">
      <c r="C6744" s="47"/>
      <c r="H6744" s="49"/>
      <c r="K6744" s="72"/>
      <c r="L6744" s="50"/>
    </row>
    <row r="6745" spans="3:12" x14ac:dyDescent="0.3">
      <c r="C6745" s="47"/>
      <c r="H6745" s="49"/>
      <c r="K6745" s="72"/>
      <c r="L6745" s="50"/>
    </row>
    <row r="6746" spans="3:12" x14ac:dyDescent="0.3">
      <c r="C6746" s="47"/>
      <c r="H6746" s="49"/>
      <c r="K6746" s="72"/>
      <c r="L6746" s="50"/>
    </row>
    <row r="6747" spans="3:12" x14ac:dyDescent="0.3">
      <c r="C6747" s="47"/>
      <c r="H6747" s="49"/>
      <c r="K6747" s="72"/>
      <c r="L6747" s="50"/>
    </row>
    <row r="6748" spans="3:12" x14ac:dyDescent="0.3">
      <c r="C6748" s="47"/>
      <c r="H6748" s="49"/>
      <c r="K6748" s="72"/>
      <c r="L6748" s="50"/>
    </row>
    <row r="6749" spans="3:12" x14ac:dyDescent="0.3">
      <c r="C6749" s="47"/>
      <c r="H6749" s="49"/>
      <c r="K6749" s="72"/>
      <c r="L6749" s="50"/>
    </row>
    <row r="6750" spans="3:12" x14ac:dyDescent="0.3">
      <c r="C6750" s="47"/>
      <c r="H6750" s="49"/>
      <c r="K6750" s="72"/>
      <c r="L6750" s="50"/>
    </row>
    <row r="6751" spans="3:12" x14ac:dyDescent="0.3">
      <c r="C6751" s="47"/>
      <c r="H6751" s="49"/>
      <c r="K6751" s="72"/>
      <c r="L6751" s="50"/>
    </row>
    <row r="6752" spans="3:12" x14ac:dyDescent="0.3">
      <c r="C6752" s="47"/>
      <c r="H6752" s="49"/>
      <c r="K6752" s="72"/>
      <c r="L6752" s="50"/>
    </row>
    <row r="6753" spans="3:12" x14ac:dyDescent="0.3">
      <c r="C6753" s="47"/>
      <c r="H6753" s="49"/>
      <c r="K6753" s="72"/>
      <c r="L6753" s="50"/>
    </row>
    <row r="6754" spans="3:12" x14ac:dyDescent="0.3">
      <c r="C6754" s="47"/>
      <c r="H6754" s="49"/>
      <c r="K6754" s="72"/>
      <c r="L6754" s="50"/>
    </row>
    <row r="6755" spans="3:12" x14ac:dyDescent="0.3">
      <c r="C6755" s="47"/>
      <c r="H6755" s="49"/>
      <c r="K6755" s="72"/>
      <c r="L6755" s="50"/>
    </row>
    <row r="6756" spans="3:12" x14ac:dyDescent="0.3">
      <c r="C6756" s="47"/>
      <c r="H6756" s="49"/>
      <c r="K6756" s="72"/>
      <c r="L6756" s="50"/>
    </row>
    <row r="6757" spans="3:12" x14ac:dyDescent="0.3">
      <c r="C6757" s="47"/>
      <c r="H6757" s="49"/>
      <c r="K6757" s="72"/>
      <c r="L6757" s="50"/>
    </row>
    <row r="6758" spans="3:12" x14ac:dyDescent="0.3">
      <c r="C6758" s="47"/>
      <c r="H6758" s="49"/>
      <c r="K6758" s="72"/>
      <c r="L6758" s="50"/>
    </row>
    <row r="6759" spans="3:12" x14ac:dyDescent="0.3">
      <c r="C6759" s="47"/>
      <c r="H6759" s="49"/>
      <c r="K6759" s="72"/>
      <c r="L6759" s="50"/>
    </row>
    <row r="6760" spans="3:12" x14ac:dyDescent="0.3">
      <c r="C6760" s="47"/>
      <c r="H6760" s="49"/>
      <c r="K6760" s="72"/>
      <c r="L6760" s="50"/>
    </row>
    <row r="6761" spans="3:12" x14ac:dyDescent="0.3">
      <c r="C6761" s="47"/>
      <c r="H6761" s="49"/>
      <c r="K6761" s="72"/>
      <c r="L6761" s="50"/>
    </row>
    <row r="6762" spans="3:12" x14ac:dyDescent="0.3">
      <c r="C6762" s="47"/>
      <c r="H6762" s="49"/>
      <c r="K6762" s="72"/>
      <c r="L6762" s="50"/>
    </row>
    <row r="6763" spans="3:12" x14ac:dyDescent="0.3">
      <c r="C6763" s="47"/>
      <c r="H6763" s="49"/>
      <c r="K6763" s="72"/>
      <c r="L6763" s="50"/>
    </row>
    <row r="6764" spans="3:12" x14ac:dyDescent="0.3">
      <c r="C6764" s="47"/>
      <c r="H6764" s="49"/>
      <c r="K6764" s="72"/>
      <c r="L6764" s="50"/>
    </row>
    <row r="6765" spans="3:12" x14ac:dyDescent="0.3">
      <c r="C6765" s="47"/>
      <c r="H6765" s="49"/>
      <c r="K6765" s="72"/>
      <c r="L6765" s="50"/>
    </row>
    <row r="6766" spans="3:12" x14ac:dyDescent="0.3">
      <c r="C6766" s="47"/>
      <c r="H6766" s="49"/>
      <c r="K6766" s="72"/>
      <c r="L6766" s="50"/>
    </row>
    <row r="6767" spans="3:12" x14ac:dyDescent="0.3">
      <c r="C6767" s="47"/>
      <c r="H6767" s="49"/>
      <c r="K6767" s="72"/>
      <c r="L6767" s="50"/>
    </row>
    <row r="6768" spans="3:12" x14ac:dyDescent="0.3">
      <c r="C6768" s="47"/>
      <c r="H6768" s="49"/>
      <c r="K6768" s="72"/>
      <c r="L6768" s="50"/>
    </row>
    <row r="6769" spans="3:12" x14ac:dyDescent="0.3">
      <c r="C6769" s="47"/>
      <c r="H6769" s="49"/>
      <c r="K6769" s="72"/>
      <c r="L6769" s="50"/>
    </row>
    <row r="6770" spans="3:12" x14ac:dyDescent="0.3">
      <c r="C6770" s="47"/>
      <c r="H6770" s="49"/>
      <c r="K6770" s="72"/>
      <c r="L6770" s="50"/>
    </row>
    <row r="6771" spans="3:12" x14ac:dyDescent="0.3">
      <c r="C6771" s="47"/>
      <c r="H6771" s="49"/>
      <c r="K6771" s="72"/>
      <c r="L6771" s="50"/>
    </row>
    <row r="6772" spans="3:12" x14ac:dyDescent="0.3">
      <c r="C6772" s="47"/>
      <c r="H6772" s="49"/>
      <c r="K6772" s="72"/>
      <c r="L6772" s="50"/>
    </row>
    <row r="6773" spans="3:12" x14ac:dyDescent="0.3">
      <c r="C6773" s="47"/>
      <c r="H6773" s="49"/>
      <c r="K6773" s="72"/>
      <c r="L6773" s="50"/>
    </row>
    <row r="6774" spans="3:12" x14ac:dyDescent="0.3">
      <c r="C6774" s="47"/>
      <c r="H6774" s="49"/>
      <c r="K6774" s="72"/>
      <c r="L6774" s="50"/>
    </row>
    <row r="6775" spans="3:12" x14ac:dyDescent="0.3">
      <c r="C6775" s="47"/>
      <c r="H6775" s="49"/>
      <c r="K6775" s="72"/>
      <c r="L6775" s="50"/>
    </row>
    <row r="6776" spans="3:12" x14ac:dyDescent="0.3">
      <c r="C6776" s="47"/>
      <c r="H6776" s="49"/>
      <c r="K6776" s="72"/>
      <c r="L6776" s="50"/>
    </row>
    <row r="6777" spans="3:12" x14ac:dyDescent="0.3">
      <c r="C6777" s="47"/>
      <c r="H6777" s="49"/>
      <c r="K6777" s="72"/>
      <c r="L6777" s="50"/>
    </row>
    <row r="6778" spans="3:12" x14ac:dyDescent="0.3">
      <c r="C6778" s="47"/>
      <c r="H6778" s="49"/>
      <c r="K6778" s="72"/>
      <c r="L6778" s="50"/>
    </row>
    <row r="6779" spans="3:12" x14ac:dyDescent="0.3">
      <c r="C6779" s="47"/>
      <c r="H6779" s="49"/>
      <c r="K6779" s="72"/>
      <c r="L6779" s="50"/>
    </row>
    <row r="6780" spans="3:12" x14ac:dyDescent="0.3">
      <c r="C6780" s="47"/>
      <c r="H6780" s="49"/>
      <c r="K6780" s="72"/>
      <c r="L6780" s="50"/>
    </row>
    <row r="6781" spans="3:12" x14ac:dyDescent="0.3">
      <c r="C6781" s="47"/>
      <c r="H6781" s="49"/>
      <c r="K6781" s="72"/>
      <c r="L6781" s="50"/>
    </row>
    <row r="6782" spans="3:12" x14ac:dyDescent="0.3">
      <c r="C6782" s="47"/>
      <c r="H6782" s="49"/>
      <c r="K6782" s="72"/>
      <c r="L6782" s="50"/>
    </row>
    <row r="6783" spans="3:12" x14ac:dyDescent="0.3">
      <c r="C6783" s="47"/>
      <c r="H6783" s="49"/>
      <c r="K6783" s="72"/>
      <c r="L6783" s="50"/>
    </row>
    <row r="6784" spans="3:12" x14ac:dyDescent="0.3">
      <c r="C6784" s="47"/>
      <c r="H6784" s="49"/>
      <c r="K6784" s="72"/>
      <c r="L6784" s="50"/>
    </row>
    <row r="6785" spans="3:12" x14ac:dyDescent="0.3">
      <c r="C6785" s="47"/>
      <c r="H6785" s="49"/>
      <c r="K6785" s="72"/>
      <c r="L6785" s="50"/>
    </row>
    <row r="6786" spans="3:12" x14ac:dyDescent="0.3">
      <c r="C6786" s="47"/>
      <c r="H6786" s="49"/>
      <c r="K6786" s="72"/>
      <c r="L6786" s="50"/>
    </row>
    <row r="6787" spans="3:12" x14ac:dyDescent="0.3">
      <c r="C6787" s="47"/>
      <c r="H6787" s="49"/>
      <c r="K6787" s="72"/>
      <c r="L6787" s="50"/>
    </row>
    <row r="6788" spans="3:12" x14ac:dyDescent="0.3">
      <c r="C6788" s="47"/>
      <c r="H6788" s="49"/>
      <c r="K6788" s="72"/>
      <c r="L6788" s="50"/>
    </row>
    <row r="6789" spans="3:12" x14ac:dyDescent="0.3">
      <c r="C6789" s="47"/>
      <c r="H6789" s="49"/>
      <c r="K6789" s="72"/>
      <c r="L6789" s="50"/>
    </row>
    <row r="6790" spans="3:12" x14ac:dyDescent="0.3">
      <c r="C6790" s="47"/>
      <c r="H6790" s="49"/>
      <c r="K6790" s="72"/>
      <c r="L6790" s="50"/>
    </row>
    <row r="6791" spans="3:12" x14ac:dyDescent="0.3">
      <c r="C6791" s="47"/>
      <c r="H6791" s="49"/>
      <c r="K6791" s="72"/>
      <c r="L6791" s="50"/>
    </row>
    <row r="6792" spans="3:12" x14ac:dyDescent="0.3">
      <c r="C6792" s="47"/>
      <c r="H6792" s="49"/>
      <c r="K6792" s="72"/>
      <c r="L6792" s="50"/>
    </row>
    <row r="6793" spans="3:12" x14ac:dyDescent="0.3">
      <c r="C6793" s="47"/>
      <c r="H6793" s="49"/>
      <c r="K6793" s="72"/>
      <c r="L6793" s="50"/>
    </row>
    <row r="6794" spans="3:12" x14ac:dyDescent="0.3">
      <c r="C6794" s="47"/>
      <c r="H6794" s="49"/>
      <c r="K6794" s="72"/>
      <c r="L6794" s="50"/>
    </row>
    <row r="6795" spans="3:12" x14ac:dyDescent="0.3">
      <c r="C6795" s="47"/>
      <c r="H6795" s="49"/>
      <c r="K6795" s="72"/>
      <c r="L6795" s="50"/>
    </row>
    <row r="6796" spans="3:12" x14ac:dyDescent="0.3">
      <c r="C6796" s="47"/>
      <c r="H6796" s="49"/>
      <c r="K6796" s="72"/>
      <c r="L6796" s="50"/>
    </row>
    <row r="6797" spans="3:12" x14ac:dyDescent="0.3">
      <c r="C6797" s="47"/>
      <c r="H6797" s="49"/>
      <c r="K6797" s="72"/>
      <c r="L6797" s="50"/>
    </row>
    <row r="6798" spans="3:12" x14ac:dyDescent="0.3">
      <c r="C6798" s="47"/>
      <c r="H6798" s="49"/>
      <c r="K6798" s="72"/>
      <c r="L6798" s="50"/>
    </row>
    <row r="6799" spans="3:12" x14ac:dyDescent="0.3">
      <c r="C6799" s="47"/>
      <c r="H6799" s="49"/>
      <c r="K6799" s="72"/>
      <c r="L6799" s="50"/>
    </row>
    <row r="6800" spans="3:12" x14ac:dyDescent="0.3">
      <c r="C6800" s="47"/>
      <c r="H6800" s="49"/>
      <c r="K6800" s="72"/>
      <c r="L6800" s="50"/>
    </row>
    <row r="6801" spans="3:12" x14ac:dyDescent="0.3">
      <c r="C6801" s="47"/>
      <c r="H6801" s="49"/>
      <c r="K6801" s="72"/>
      <c r="L6801" s="50"/>
    </row>
    <row r="6802" spans="3:12" x14ac:dyDescent="0.3">
      <c r="C6802" s="47"/>
      <c r="H6802" s="49"/>
      <c r="K6802" s="72"/>
      <c r="L6802" s="50"/>
    </row>
    <row r="6803" spans="3:12" x14ac:dyDescent="0.3">
      <c r="C6803" s="47"/>
      <c r="H6803" s="49"/>
      <c r="K6803" s="72"/>
      <c r="L6803" s="50"/>
    </row>
    <row r="6804" spans="3:12" x14ac:dyDescent="0.3">
      <c r="C6804" s="47"/>
      <c r="H6804" s="49"/>
      <c r="K6804" s="72"/>
      <c r="L6804" s="50"/>
    </row>
    <row r="6805" spans="3:12" x14ac:dyDescent="0.3">
      <c r="C6805" s="47"/>
      <c r="H6805" s="49"/>
      <c r="K6805" s="72"/>
      <c r="L6805" s="50"/>
    </row>
    <row r="6806" spans="3:12" x14ac:dyDescent="0.3">
      <c r="C6806" s="47"/>
      <c r="H6806" s="49"/>
      <c r="K6806" s="72"/>
      <c r="L6806" s="50"/>
    </row>
    <row r="6807" spans="3:12" x14ac:dyDescent="0.3">
      <c r="C6807" s="47"/>
      <c r="H6807" s="49"/>
      <c r="K6807" s="72"/>
      <c r="L6807" s="50"/>
    </row>
    <row r="6808" spans="3:12" x14ac:dyDescent="0.3">
      <c r="C6808" s="47"/>
      <c r="H6808" s="49"/>
      <c r="K6808" s="72"/>
      <c r="L6808" s="50"/>
    </row>
    <row r="6809" spans="3:12" x14ac:dyDescent="0.3">
      <c r="C6809" s="47"/>
      <c r="H6809" s="49"/>
      <c r="K6809" s="72"/>
      <c r="L6809" s="50"/>
    </row>
    <row r="6810" spans="3:12" x14ac:dyDescent="0.3">
      <c r="C6810" s="47"/>
      <c r="H6810" s="49"/>
      <c r="K6810" s="72"/>
      <c r="L6810" s="50"/>
    </row>
    <row r="6811" spans="3:12" x14ac:dyDescent="0.3">
      <c r="C6811" s="47"/>
      <c r="H6811" s="49"/>
      <c r="K6811" s="72"/>
      <c r="L6811" s="50"/>
    </row>
    <row r="6812" spans="3:12" x14ac:dyDescent="0.3">
      <c r="C6812" s="47"/>
      <c r="H6812" s="49"/>
      <c r="K6812" s="72"/>
      <c r="L6812" s="50"/>
    </row>
    <row r="6813" spans="3:12" x14ac:dyDescent="0.3">
      <c r="C6813" s="47"/>
      <c r="H6813" s="49"/>
      <c r="K6813" s="72"/>
      <c r="L6813" s="50"/>
    </row>
    <row r="6814" spans="3:12" x14ac:dyDescent="0.3">
      <c r="C6814" s="47"/>
      <c r="H6814" s="49"/>
      <c r="K6814" s="72"/>
      <c r="L6814" s="50"/>
    </row>
    <row r="6815" spans="3:12" x14ac:dyDescent="0.3">
      <c r="C6815" s="47"/>
      <c r="H6815" s="49"/>
      <c r="K6815" s="72"/>
      <c r="L6815" s="50"/>
    </row>
    <row r="6816" spans="3:12" x14ac:dyDescent="0.3">
      <c r="C6816" s="47"/>
      <c r="H6816" s="49"/>
      <c r="K6816" s="72"/>
      <c r="L6816" s="50"/>
    </row>
    <row r="6817" spans="3:12" x14ac:dyDescent="0.3">
      <c r="C6817" s="47"/>
      <c r="H6817" s="49"/>
      <c r="K6817" s="72"/>
      <c r="L6817" s="50"/>
    </row>
    <row r="6818" spans="3:12" x14ac:dyDescent="0.3">
      <c r="C6818" s="47"/>
      <c r="H6818" s="49"/>
      <c r="K6818" s="72"/>
      <c r="L6818" s="50"/>
    </row>
    <row r="6819" spans="3:12" x14ac:dyDescent="0.3">
      <c r="C6819" s="47"/>
      <c r="H6819" s="49"/>
      <c r="K6819" s="72"/>
      <c r="L6819" s="50"/>
    </row>
    <row r="6820" spans="3:12" x14ac:dyDescent="0.3">
      <c r="C6820" s="47"/>
      <c r="H6820" s="49"/>
      <c r="K6820" s="72"/>
      <c r="L6820" s="50"/>
    </row>
    <row r="6821" spans="3:12" x14ac:dyDescent="0.3">
      <c r="C6821" s="47"/>
      <c r="H6821" s="49"/>
      <c r="K6821" s="72"/>
      <c r="L6821" s="50"/>
    </row>
    <row r="6822" spans="3:12" x14ac:dyDescent="0.3">
      <c r="C6822" s="47"/>
      <c r="H6822" s="49"/>
      <c r="K6822" s="72"/>
      <c r="L6822" s="50"/>
    </row>
    <row r="6823" spans="3:12" x14ac:dyDescent="0.3">
      <c r="C6823" s="47"/>
      <c r="H6823" s="49"/>
      <c r="K6823" s="72"/>
      <c r="L6823" s="50"/>
    </row>
    <row r="6824" spans="3:12" x14ac:dyDescent="0.3">
      <c r="C6824" s="47"/>
      <c r="H6824" s="49"/>
      <c r="K6824" s="72"/>
      <c r="L6824" s="50"/>
    </row>
    <row r="6825" spans="3:12" x14ac:dyDescent="0.3">
      <c r="C6825" s="47"/>
      <c r="H6825" s="49"/>
      <c r="K6825" s="72"/>
      <c r="L6825" s="50"/>
    </row>
    <row r="6826" spans="3:12" x14ac:dyDescent="0.3">
      <c r="C6826" s="47"/>
      <c r="H6826" s="49"/>
      <c r="K6826" s="72"/>
      <c r="L6826" s="50"/>
    </row>
    <row r="6827" spans="3:12" x14ac:dyDescent="0.3">
      <c r="C6827" s="47"/>
      <c r="H6827" s="49"/>
      <c r="K6827" s="72"/>
      <c r="L6827" s="50"/>
    </row>
    <row r="6828" spans="3:12" x14ac:dyDescent="0.3">
      <c r="C6828" s="47"/>
      <c r="H6828" s="49"/>
      <c r="K6828" s="72"/>
      <c r="L6828" s="50"/>
    </row>
    <row r="6829" spans="3:12" x14ac:dyDescent="0.3">
      <c r="C6829" s="47"/>
      <c r="H6829" s="49"/>
      <c r="K6829" s="72"/>
      <c r="L6829" s="50"/>
    </row>
    <row r="6830" spans="3:12" x14ac:dyDescent="0.3">
      <c r="C6830" s="47"/>
      <c r="H6830" s="49"/>
      <c r="K6830" s="72"/>
      <c r="L6830" s="50"/>
    </row>
    <row r="6831" spans="3:12" x14ac:dyDescent="0.3">
      <c r="C6831" s="47"/>
      <c r="H6831" s="49"/>
      <c r="K6831" s="72"/>
      <c r="L6831" s="50"/>
    </row>
    <row r="6832" spans="3:12" x14ac:dyDescent="0.3">
      <c r="C6832" s="47"/>
      <c r="H6832" s="49"/>
      <c r="K6832" s="72"/>
      <c r="L6832" s="50"/>
    </row>
    <row r="6833" spans="3:12" x14ac:dyDescent="0.3">
      <c r="C6833" s="47"/>
      <c r="H6833" s="49"/>
      <c r="K6833" s="72"/>
      <c r="L6833" s="50"/>
    </row>
    <row r="6834" spans="3:12" x14ac:dyDescent="0.3">
      <c r="C6834" s="47"/>
      <c r="H6834" s="49"/>
      <c r="K6834" s="72"/>
      <c r="L6834" s="50"/>
    </row>
    <row r="6835" spans="3:12" x14ac:dyDescent="0.3">
      <c r="C6835" s="47"/>
      <c r="H6835" s="49"/>
      <c r="K6835" s="72"/>
      <c r="L6835" s="50"/>
    </row>
    <row r="6836" spans="3:12" x14ac:dyDescent="0.3">
      <c r="C6836" s="47"/>
      <c r="H6836" s="49"/>
      <c r="K6836" s="72"/>
      <c r="L6836" s="50"/>
    </row>
    <row r="6837" spans="3:12" x14ac:dyDescent="0.3">
      <c r="C6837" s="47"/>
      <c r="H6837" s="49"/>
      <c r="K6837" s="72"/>
      <c r="L6837" s="50"/>
    </row>
    <row r="6838" spans="3:12" x14ac:dyDescent="0.3">
      <c r="C6838" s="47"/>
      <c r="H6838" s="49"/>
      <c r="K6838" s="72"/>
      <c r="L6838" s="50"/>
    </row>
    <row r="6839" spans="3:12" x14ac:dyDescent="0.3">
      <c r="C6839" s="47"/>
      <c r="H6839" s="49"/>
      <c r="K6839" s="72"/>
      <c r="L6839" s="50"/>
    </row>
    <row r="6840" spans="3:12" x14ac:dyDescent="0.3">
      <c r="C6840" s="47"/>
      <c r="H6840" s="49"/>
      <c r="K6840" s="72"/>
      <c r="L6840" s="50"/>
    </row>
    <row r="6841" spans="3:12" x14ac:dyDescent="0.3">
      <c r="C6841" s="47"/>
      <c r="H6841" s="49"/>
      <c r="K6841" s="72"/>
      <c r="L6841" s="50"/>
    </row>
    <row r="6842" spans="3:12" x14ac:dyDescent="0.3">
      <c r="C6842" s="47"/>
      <c r="H6842" s="49"/>
      <c r="K6842" s="72"/>
      <c r="L6842" s="50"/>
    </row>
    <row r="6843" spans="3:12" x14ac:dyDescent="0.3">
      <c r="C6843" s="47"/>
      <c r="H6843" s="49"/>
      <c r="K6843" s="72"/>
      <c r="L6843" s="50"/>
    </row>
    <row r="6844" spans="3:12" x14ac:dyDescent="0.3">
      <c r="C6844" s="47"/>
      <c r="H6844" s="49"/>
      <c r="K6844" s="72"/>
      <c r="L6844" s="50"/>
    </row>
    <row r="6845" spans="3:12" x14ac:dyDescent="0.3">
      <c r="C6845" s="47"/>
      <c r="H6845" s="49"/>
      <c r="K6845" s="72"/>
      <c r="L6845" s="50"/>
    </row>
    <row r="6846" spans="3:12" x14ac:dyDescent="0.3">
      <c r="C6846" s="47"/>
      <c r="H6846" s="49"/>
      <c r="K6846" s="72"/>
      <c r="L6846" s="50"/>
    </row>
    <row r="6847" spans="3:12" x14ac:dyDescent="0.3">
      <c r="C6847" s="47"/>
      <c r="H6847" s="49"/>
      <c r="K6847" s="72"/>
      <c r="L6847" s="50"/>
    </row>
    <row r="6848" spans="3:12" x14ac:dyDescent="0.3">
      <c r="C6848" s="47"/>
      <c r="H6848" s="49"/>
      <c r="K6848" s="72"/>
      <c r="L6848" s="50"/>
    </row>
    <row r="6849" spans="3:12" x14ac:dyDescent="0.3">
      <c r="C6849" s="47"/>
      <c r="H6849" s="49"/>
      <c r="K6849" s="72"/>
      <c r="L6849" s="50"/>
    </row>
    <row r="6850" spans="3:12" x14ac:dyDescent="0.3">
      <c r="C6850" s="47"/>
      <c r="H6850" s="49"/>
      <c r="K6850" s="72"/>
      <c r="L6850" s="50"/>
    </row>
    <row r="6851" spans="3:12" x14ac:dyDescent="0.3">
      <c r="C6851" s="47"/>
      <c r="H6851" s="49"/>
      <c r="K6851" s="72"/>
      <c r="L6851" s="50"/>
    </row>
    <row r="6852" spans="3:12" x14ac:dyDescent="0.3">
      <c r="C6852" s="47"/>
      <c r="H6852" s="49"/>
      <c r="K6852" s="72"/>
      <c r="L6852" s="50"/>
    </row>
    <row r="6853" spans="3:12" x14ac:dyDescent="0.3">
      <c r="C6853" s="47"/>
      <c r="H6853" s="49"/>
      <c r="K6853" s="72"/>
      <c r="L6853" s="50"/>
    </row>
    <row r="6854" spans="3:12" x14ac:dyDescent="0.3">
      <c r="C6854" s="47"/>
      <c r="H6854" s="49"/>
      <c r="K6854" s="72"/>
      <c r="L6854" s="50"/>
    </row>
    <row r="6855" spans="3:12" x14ac:dyDescent="0.3">
      <c r="C6855" s="47"/>
      <c r="H6855" s="49"/>
      <c r="K6855" s="72"/>
      <c r="L6855" s="50"/>
    </row>
    <row r="6856" spans="3:12" x14ac:dyDescent="0.3">
      <c r="C6856" s="47"/>
      <c r="H6856" s="49"/>
      <c r="K6856" s="72"/>
      <c r="L6856" s="50"/>
    </row>
    <row r="6857" spans="3:12" x14ac:dyDescent="0.3">
      <c r="C6857" s="47"/>
      <c r="H6857" s="49"/>
      <c r="K6857" s="72"/>
      <c r="L6857" s="50"/>
    </row>
    <row r="6858" spans="3:12" x14ac:dyDescent="0.3">
      <c r="C6858" s="47"/>
      <c r="H6858" s="49"/>
      <c r="K6858" s="72"/>
      <c r="L6858" s="50"/>
    </row>
    <row r="6859" spans="3:12" x14ac:dyDescent="0.3">
      <c r="C6859" s="47"/>
      <c r="H6859" s="49"/>
      <c r="K6859" s="72"/>
      <c r="L6859" s="50"/>
    </row>
    <row r="6860" spans="3:12" x14ac:dyDescent="0.3">
      <c r="C6860" s="47"/>
      <c r="H6860" s="49"/>
      <c r="K6860" s="72"/>
      <c r="L6860" s="50"/>
    </row>
    <row r="6861" spans="3:12" x14ac:dyDescent="0.3">
      <c r="C6861" s="47"/>
      <c r="H6861" s="49"/>
      <c r="K6861" s="72"/>
      <c r="L6861" s="50"/>
    </row>
    <row r="6862" spans="3:12" x14ac:dyDescent="0.3">
      <c r="C6862" s="47"/>
      <c r="H6862" s="49"/>
      <c r="K6862" s="72"/>
      <c r="L6862" s="50"/>
    </row>
    <row r="6863" spans="3:12" x14ac:dyDescent="0.3">
      <c r="C6863" s="47"/>
      <c r="H6863" s="49"/>
      <c r="K6863" s="72"/>
      <c r="L6863" s="50"/>
    </row>
    <row r="6864" spans="3:12" x14ac:dyDescent="0.3">
      <c r="C6864" s="47"/>
      <c r="H6864" s="49"/>
      <c r="K6864" s="72"/>
      <c r="L6864" s="50"/>
    </row>
    <row r="6865" spans="3:12" x14ac:dyDescent="0.3">
      <c r="C6865" s="47"/>
      <c r="H6865" s="49"/>
      <c r="K6865" s="72"/>
      <c r="L6865" s="50"/>
    </row>
    <row r="6866" spans="3:12" x14ac:dyDescent="0.3">
      <c r="C6866" s="47"/>
      <c r="H6866" s="49"/>
      <c r="K6866" s="72"/>
      <c r="L6866" s="50"/>
    </row>
    <row r="6867" spans="3:12" x14ac:dyDescent="0.3">
      <c r="C6867" s="47"/>
      <c r="H6867" s="49"/>
      <c r="K6867" s="72"/>
      <c r="L6867" s="50"/>
    </row>
    <row r="6868" spans="3:12" x14ac:dyDescent="0.3">
      <c r="C6868" s="47"/>
      <c r="H6868" s="49"/>
      <c r="K6868" s="72"/>
      <c r="L6868" s="50"/>
    </row>
    <row r="6869" spans="3:12" x14ac:dyDescent="0.3">
      <c r="C6869" s="47"/>
      <c r="H6869" s="49"/>
      <c r="K6869" s="72"/>
      <c r="L6869" s="50"/>
    </row>
    <row r="6870" spans="3:12" x14ac:dyDescent="0.3">
      <c r="C6870" s="47"/>
      <c r="H6870" s="49"/>
      <c r="K6870" s="72"/>
      <c r="L6870" s="50"/>
    </row>
    <row r="6871" spans="3:12" x14ac:dyDescent="0.3">
      <c r="C6871" s="47"/>
      <c r="H6871" s="49"/>
      <c r="K6871" s="72"/>
      <c r="L6871" s="50"/>
    </row>
    <row r="6872" spans="3:12" x14ac:dyDescent="0.3">
      <c r="C6872" s="47"/>
      <c r="H6872" s="49"/>
      <c r="K6872" s="72"/>
      <c r="L6872" s="50"/>
    </row>
    <row r="6873" spans="3:12" x14ac:dyDescent="0.3">
      <c r="C6873" s="47"/>
      <c r="H6873" s="49"/>
      <c r="K6873" s="72"/>
      <c r="L6873" s="50"/>
    </row>
    <row r="6874" spans="3:12" x14ac:dyDescent="0.3">
      <c r="C6874" s="47"/>
      <c r="H6874" s="49"/>
      <c r="K6874" s="72"/>
      <c r="L6874" s="50"/>
    </row>
    <row r="6875" spans="3:12" x14ac:dyDescent="0.3">
      <c r="C6875" s="47"/>
      <c r="H6875" s="49"/>
      <c r="K6875" s="72"/>
      <c r="L6875" s="50"/>
    </row>
    <row r="6876" spans="3:12" x14ac:dyDescent="0.3">
      <c r="C6876" s="47"/>
      <c r="H6876" s="49"/>
      <c r="K6876" s="72"/>
      <c r="L6876" s="50"/>
    </row>
    <row r="6877" spans="3:12" x14ac:dyDescent="0.3">
      <c r="C6877" s="47"/>
      <c r="H6877" s="49"/>
      <c r="K6877" s="72"/>
      <c r="L6877" s="50"/>
    </row>
    <row r="6878" spans="3:12" x14ac:dyDescent="0.3">
      <c r="C6878" s="47"/>
      <c r="H6878" s="49"/>
      <c r="K6878" s="72"/>
      <c r="L6878" s="50"/>
    </row>
    <row r="6879" spans="3:12" x14ac:dyDescent="0.3">
      <c r="C6879" s="47"/>
      <c r="H6879" s="49"/>
      <c r="K6879" s="72"/>
      <c r="L6879" s="50"/>
    </row>
    <row r="6880" spans="3:12" x14ac:dyDescent="0.3">
      <c r="C6880" s="47"/>
      <c r="H6880" s="49"/>
      <c r="K6880" s="72"/>
      <c r="L6880" s="50"/>
    </row>
    <row r="6881" spans="3:12" x14ac:dyDescent="0.3">
      <c r="C6881" s="47"/>
      <c r="H6881" s="49"/>
      <c r="K6881" s="72"/>
      <c r="L6881" s="50"/>
    </row>
    <row r="6882" spans="3:12" x14ac:dyDescent="0.3">
      <c r="C6882" s="47"/>
      <c r="H6882" s="49"/>
      <c r="K6882" s="72"/>
      <c r="L6882" s="50"/>
    </row>
    <row r="6883" spans="3:12" x14ac:dyDescent="0.3">
      <c r="C6883" s="47"/>
      <c r="H6883" s="49"/>
      <c r="K6883" s="72"/>
      <c r="L6883" s="50"/>
    </row>
    <row r="6884" spans="3:12" x14ac:dyDescent="0.3">
      <c r="C6884" s="47"/>
      <c r="H6884" s="49"/>
      <c r="K6884" s="72"/>
      <c r="L6884" s="50"/>
    </row>
    <row r="6885" spans="3:12" x14ac:dyDescent="0.3">
      <c r="C6885" s="47"/>
      <c r="H6885" s="49"/>
      <c r="K6885" s="72"/>
      <c r="L6885" s="50"/>
    </row>
    <row r="6886" spans="3:12" x14ac:dyDescent="0.3">
      <c r="C6886" s="47"/>
      <c r="H6886" s="49"/>
      <c r="K6886" s="72"/>
      <c r="L6886" s="50"/>
    </row>
    <row r="6887" spans="3:12" x14ac:dyDescent="0.3">
      <c r="C6887" s="47"/>
      <c r="H6887" s="49"/>
      <c r="K6887" s="72"/>
      <c r="L6887" s="50"/>
    </row>
    <row r="6888" spans="3:12" x14ac:dyDescent="0.3">
      <c r="C6888" s="47"/>
      <c r="H6888" s="49"/>
      <c r="K6888" s="72"/>
      <c r="L6888" s="50"/>
    </row>
    <row r="6889" spans="3:12" x14ac:dyDescent="0.3">
      <c r="C6889" s="47"/>
      <c r="H6889" s="49"/>
      <c r="K6889" s="72"/>
      <c r="L6889" s="50"/>
    </row>
    <row r="6890" spans="3:12" x14ac:dyDescent="0.3">
      <c r="C6890" s="47"/>
      <c r="H6890" s="49"/>
      <c r="K6890" s="72"/>
      <c r="L6890" s="50"/>
    </row>
    <row r="6891" spans="3:12" x14ac:dyDescent="0.3">
      <c r="C6891" s="47"/>
      <c r="H6891" s="49"/>
      <c r="K6891" s="72"/>
      <c r="L6891" s="50"/>
    </row>
    <row r="6892" spans="3:12" x14ac:dyDescent="0.3">
      <c r="C6892" s="47"/>
      <c r="H6892" s="49"/>
      <c r="K6892" s="72"/>
      <c r="L6892" s="50"/>
    </row>
    <row r="6893" spans="3:12" x14ac:dyDescent="0.3">
      <c r="C6893" s="47"/>
      <c r="H6893" s="49"/>
      <c r="K6893" s="72"/>
      <c r="L6893" s="50"/>
    </row>
    <row r="6894" spans="3:12" x14ac:dyDescent="0.3">
      <c r="C6894" s="47"/>
      <c r="H6894" s="49"/>
      <c r="K6894" s="72"/>
      <c r="L6894" s="50"/>
    </row>
    <row r="6895" spans="3:12" x14ac:dyDescent="0.3">
      <c r="C6895" s="47"/>
      <c r="H6895" s="49"/>
      <c r="K6895" s="72"/>
      <c r="L6895" s="50"/>
    </row>
    <row r="6896" spans="3:12" x14ac:dyDescent="0.3">
      <c r="C6896" s="47"/>
      <c r="H6896" s="49"/>
      <c r="K6896" s="72"/>
      <c r="L6896" s="50"/>
    </row>
    <row r="6897" spans="3:12" x14ac:dyDescent="0.3">
      <c r="C6897" s="47"/>
      <c r="H6897" s="49"/>
      <c r="K6897" s="72"/>
      <c r="L6897" s="50"/>
    </row>
    <row r="6898" spans="3:12" x14ac:dyDescent="0.3">
      <c r="C6898" s="47"/>
      <c r="H6898" s="49"/>
      <c r="K6898" s="72"/>
      <c r="L6898" s="50"/>
    </row>
    <row r="6899" spans="3:12" x14ac:dyDescent="0.3">
      <c r="C6899" s="47"/>
      <c r="H6899" s="49"/>
      <c r="K6899" s="72"/>
      <c r="L6899" s="50"/>
    </row>
    <row r="6900" spans="3:12" x14ac:dyDescent="0.3">
      <c r="C6900" s="47"/>
      <c r="H6900" s="49"/>
      <c r="K6900" s="72"/>
      <c r="L6900" s="50"/>
    </row>
    <row r="6901" spans="3:12" x14ac:dyDescent="0.3">
      <c r="C6901" s="47"/>
      <c r="H6901" s="49"/>
      <c r="K6901" s="72"/>
      <c r="L6901" s="50"/>
    </row>
    <row r="6902" spans="3:12" x14ac:dyDescent="0.3">
      <c r="C6902" s="47"/>
      <c r="H6902" s="49"/>
      <c r="K6902" s="72"/>
      <c r="L6902" s="50"/>
    </row>
    <row r="6903" spans="3:12" x14ac:dyDescent="0.3">
      <c r="C6903" s="47"/>
      <c r="H6903" s="49"/>
      <c r="K6903" s="72"/>
      <c r="L6903" s="50"/>
    </row>
    <row r="6904" spans="3:12" x14ac:dyDescent="0.3">
      <c r="C6904" s="47"/>
      <c r="H6904" s="49"/>
      <c r="K6904" s="72"/>
      <c r="L6904" s="50"/>
    </row>
    <row r="6905" spans="3:12" x14ac:dyDescent="0.3">
      <c r="C6905" s="47"/>
      <c r="H6905" s="49"/>
      <c r="K6905" s="72"/>
      <c r="L6905" s="50"/>
    </row>
    <row r="6906" spans="3:12" x14ac:dyDescent="0.3">
      <c r="C6906" s="47"/>
      <c r="H6906" s="49"/>
      <c r="K6906" s="72"/>
      <c r="L6906" s="50"/>
    </row>
    <row r="6907" spans="3:12" x14ac:dyDescent="0.3">
      <c r="C6907" s="47"/>
      <c r="H6907" s="49"/>
      <c r="K6907" s="72"/>
      <c r="L6907" s="50"/>
    </row>
    <row r="6908" spans="3:12" x14ac:dyDescent="0.3">
      <c r="C6908" s="47"/>
      <c r="H6908" s="49"/>
      <c r="K6908" s="72"/>
      <c r="L6908" s="50"/>
    </row>
    <row r="6909" spans="3:12" x14ac:dyDescent="0.3">
      <c r="C6909" s="47"/>
      <c r="H6909" s="49"/>
      <c r="K6909" s="72"/>
      <c r="L6909" s="50"/>
    </row>
    <row r="6910" spans="3:12" x14ac:dyDescent="0.3">
      <c r="C6910" s="47"/>
      <c r="H6910" s="49"/>
      <c r="K6910" s="72"/>
      <c r="L6910" s="50"/>
    </row>
    <row r="6911" spans="3:12" x14ac:dyDescent="0.3">
      <c r="C6911" s="47"/>
      <c r="H6911" s="49"/>
      <c r="K6911" s="72"/>
      <c r="L6911" s="50"/>
    </row>
    <row r="6912" spans="3:12" x14ac:dyDescent="0.3">
      <c r="C6912" s="47"/>
      <c r="H6912" s="49"/>
      <c r="K6912" s="72"/>
      <c r="L6912" s="50"/>
    </row>
    <row r="6913" spans="3:12" x14ac:dyDescent="0.3">
      <c r="C6913" s="47"/>
      <c r="H6913" s="49"/>
      <c r="K6913" s="72"/>
      <c r="L6913" s="50"/>
    </row>
    <row r="6914" spans="3:12" x14ac:dyDescent="0.3">
      <c r="C6914" s="47"/>
      <c r="H6914" s="49"/>
      <c r="K6914" s="72"/>
      <c r="L6914" s="50"/>
    </row>
    <row r="6915" spans="3:12" x14ac:dyDescent="0.3">
      <c r="C6915" s="47"/>
      <c r="H6915" s="49"/>
      <c r="K6915" s="72"/>
      <c r="L6915" s="50"/>
    </row>
    <row r="6916" spans="3:12" x14ac:dyDescent="0.3">
      <c r="C6916" s="47"/>
      <c r="H6916" s="49"/>
      <c r="K6916" s="72"/>
      <c r="L6916" s="50"/>
    </row>
    <row r="6917" spans="3:12" x14ac:dyDescent="0.3">
      <c r="C6917" s="47"/>
      <c r="H6917" s="49"/>
      <c r="K6917" s="72"/>
      <c r="L6917" s="50"/>
    </row>
    <row r="6918" spans="3:12" x14ac:dyDescent="0.3">
      <c r="C6918" s="47"/>
      <c r="H6918" s="49"/>
      <c r="K6918" s="72"/>
      <c r="L6918" s="50"/>
    </row>
    <row r="6919" spans="3:12" x14ac:dyDescent="0.3">
      <c r="C6919" s="47"/>
      <c r="H6919" s="49"/>
      <c r="K6919" s="72"/>
      <c r="L6919" s="50"/>
    </row>
    <row r="6920" spans="3:12" x14ac:dyDescent="0.3">
      <c r="C6920" s="47"/>
      <c r="H6920" s="49"/>
      <c r="K6920" s="72"/>
      <c r="L6920" s="50"/>
    </row>
    <row r="6921" spans="3:12" x14ac:dyDescent="0.3">
      <c r="C6921" s="47"/>
      <c r="H6921" s="49"/>
      <c r="K6921" s="72"/>
      <c r="L6921" s="50"/>
    </row>
    <row r="6922" spans="3:12" x14ac:dyDescent="0.3">
      <c r="C6922" s="47"/>
      <c r="H6922" s="49"/>
      <c r="K6922" s="72"/>
      <c r="L6922" s="50"/>
    </row>
    <row r="6923" spans="3:12" x14ac:dyDescent="0.3">
      <c r="C6923" s="47"/>
      <c r="H6923" s="49"/>
      <c r="K6923" s="72"/>
      <c r="L6923" s="50"/>
    </row>
    <row r="6924" spans="3:12" x14ac:dyDescent="0.3">
      <c r="C6924" s="47"/>
      <c r="H6924" s="49"/>
      <c r="K6924" s="72"/>
      <c r="L6924" s="50"/>
    </row>
    <row r="6925" spans="3:12" x14ac:dyDescent="0.3">
      <c r="C6925" s="47"/>
      <c r="H6925" s="49"/>
      <c r="K6925" s="72"/>
      <c r="L6925" s="50"/>
    </row>
    <row r="6926" spans="3:12" x14ac:dyDescent="0.3">
      <c r="C6926" s="47"/>
      <c r="H6926" s="49"/>
      <c r="K6926" s="72"/>
      <c r="L6926" s="50"/>
    </row>
    <row r="6927" spans="3:12" x14ac:dyDescent="0.3">
      <c r="C6927" s="47"/>
      <c r="H6927" s="49"/>
      <c r="K6927" s="72"/>
      <c r="L6927" s="50"/>
    </row>
    <row r="6928" spans="3:12" x14ac:dyDescent="0.3">
      <c r="C6928" s="47"/>
      <c r="H6928" s="49"/>
      <c r="K6928" s="72"/>
      <c r="L6928" s="50"/>
    </row>
    <row r="6929" spans="3:12" x14ac:dyDescent="0.3">
      <c r="C6929" s="47"/>
      <c r="H6929" s="49"/>
      <c r="K6929" s="72"/>
      <c r="L6929" s="50"/>
    </row>
    <row r="6930" spans="3:12" x14ac:dyDescent="0.3">
      <c r="C6930" s="47"/>
      <c r="H6930" s="49"/>
      <c r="K6930" s="72"/>
      <c r="L6930" s="50"/>
    </row>
    <row r="6931" spans="3:12" x14ac:dyDescent="0.3">
      <c r="C6931" s="47"/>
      <c r="H6931" s="49"/>
      <c r="K6931" s="72"/>
      <c r="L6931" s="50"/>
    </row>
    <row r="6932" spans="3:12" x14ac:dyDescent="0.3">
      <c r="C6932" s="47"/>
      <c r="H6932" s="49"/>
      <c r="K6932" s="72"/>
      <c r="L6932" s="50"/>
    </row>
    <row r="6933" spans="3:12" x14ac:dyDescent="0.3">
      <c r="C6933" s="47"/>
      <c r="H6933" s="49"/>
      <c r="K6933" s="72"/>
      <c r="L6933" s="50"/>
    </row>
    <row r="6934" spans="3:12" x14ac:dyDescent="0.3">
      <c r="C6934" s="47"/>
      <c r="H6934" s="49"/>
      <c r="K6934" s="72"/>
      <c r="L6934" s="50"/>
    </row>
    <row r="6935" spans="3:12" x14ac:dyDescent="0.3">
      <c r="C6935" s="47"/>
      <c r="H6935" s="49"/>
      <c r="K6935" s="72"/>
      <c r="L6935" s="50"/>
    </row>
    <row r="6936" spans="3:12" x14ac:dyDescent="0.3">
      <c r="C6936" s="47"/>
      <c r="H6936" s="49"/>
      <c r="K6936" s="72"/>
      <c r="L6936" s="50"/>
    </row>
    <row r="6937" spans="3:12" x14ac:dyDescent="0.3">
      <c r="C6937" s="47"/>
      <c r="H6937" s="49"/>
      <c r="K6937" s="72"/>
      <c r="L6937" s="50"/>
    </row>
    <row r="6938" spans="3:12" x14ac:dyDescent="0.3">
      <c r="C6938" s="47"/>
      <c r="H6938" s="49"/>
      <c r="K6938" s="72"/>
      <c r="L6938" s="50"/>
    </row>
    <row r="6939" spans="3:12" x14ac:dyDescent="0.3">
      <c r="C6939" s="47"/>
      <c r="H6939" s="49"/>
      <c r="K6939" s="72"/>
      <c r="L6939" s="50"/>
    </row>
    <row r="6940" spans="3:12" x14ac:dyDescent="0.3">
      <c r="C6940" s="47"/>
      <c r="H6940" s="49"/>
      <c r="K6940" s="72"/>
      <c r="L6940" s="50"/>
    </row>
    <row r="6941" spans="3:12" x14ac:dyDescent="0.3">
      <c r="C6941" s="47"/>
      <c r="H6941" s="49"/>
      <c r="K6941" s="72"/>
      <c r="L6941" s="50"/>
    </row>
    <row r="6942" spans="3:12" x14ac:dyDescent="0.3">
      <c r="C6942" s="47"/>
      <c r="H6942" s="49"/>
      <c r="K6942" s="72"/>
      <c r="L6942" s="50"/>
    </row>
    <row r="6943" spans="3:12" x14ac:dyDescent="0.3">
      <c r="C6943" s="47"/>
      <c r="H6943" s="49"/>
      <c r="K6943" s="72"/>
      <c r="L6943" s="50"/>
    </row>
    <row r="6944" spans="3:12" x14ac:dyDescent="0.3">
      <c r="C6944" s="47"/>
      <c r="H6944" s="49"/>
      <c r="K6944" s="72"/>
      <c r="L6944" s="50"/>
    </row>
    <row r="6945" spans="3:12" x14ac:dyDescent="0.3">
      <c r="C6945" s="47"/>
      <c r="H6945" s="49"/>
      <c r="K6945" s="72"/>
      <c r="L6945" s="50"/>
    </row>
    <row r="6946" spans="3:12" x14ac:dyDescent="0.3">
      <c r="C6946" s="47"/>
      <c r="H6946" s="49"/>
      <c r="K6946" s="72"/>
      <c r="L6946" s="50"/>
    </row>
    <row r="6947" spans="3:12" x14ac:dyDescent="0.3">
      <c r="C6947" s="47"/>
      <c r="H6947" s="49"/>
      <c r="K6947" s="72"/>
      <c r="L6947" s="50"/>
    </row>
    <row r="6948" spans="3:12" x14ac:dyDescent="0.3">
      <c r="C6948" s="47"/>
      <c r="H6948" s="49"/>
      <c r="K6948" s="72"/>
      <c r="L6948" s="50"/>
    </row>
    <row r="6949" spans="3:12" x14ac:dyDescent="0.3">
      <c r="C6949" s="47"/>
      <c r="H6949" s="49"/>
      <c r="K6949" s="72"/>
      <c r="L6949" s="50"/>
    </row>
    <row r="6950" spans="3:12" x14ac:dyDescent="0.3">
      <c r="C6950" s="47"/>
      <c r="H6950" s="49"/>
      <c r="K6950" s="72"/>
      <c r="L6950" s="50"/>
    </row>
    <row r="6951" spans="3:12" x14ac:dyDescent="0.3">
      <c r="C6951" s="47"/>
      <c r="H6951" s="49"/>
      <c r="K6951" s="72"/>
      <c r="L6951" s="50"/>
    </row>
    <row r="6952" spans="3:12" x14ac:dyDescent="0.3">
      <c r="C6952" s="47"/>
      <c r="H6952" s="49"/>
      <c r="K6952" s="72"/>
      <c r="L6952" s="50"/>
    </row>
    <row r="6953" spans="3:12" x14ac:dyDescent="0.3">
      <c r="C6953" s="47"/>
      <c r="H6953" s="49"/>
      <c r="K6953" s="72"/>
      <c r="L6953" s="50"/>
    </row>
    <row r="6954" spans="3:12" x14ac:dyDescent="0.3">
      <c r="C6954" s="47"/>
      <c r="H6954" s="49"/>
      <c r="K6954" s="72"/>
      <c r="L6954" s="50"/>
    </row>
    <row r="6955" spans="3:12" x14ac:dyDescent="0.3">
      <c r="C6955" s="47"/>
      <c r="H6955" s="49"/>
      <c r="K6955" s="72"/>
      <c r="L6955" s="50"/>
    </row>
    <row r="6956" spans="3:12" x14ac:dyDescent="0.3">
      <c r="C6956" s="47"/>
      <c r="H6956" s="49"/>
      <c r="K6956" s="72"/>
      <c r="L6956" s="50"/>
    </row>
    <row r="6957" spans="3:12" x14ac:dyDescent="0.3">
      <c r="C6957" s="47"/>
      <c r="H6957" s="49"/>
      <c r="K6957" s="72"/>
      <c r="L6957" s="50"/>
    </row>
    <row r="6958" spans="3:12" x14ac:dyDescent="0.3">
      <c r="C6958" s="47"/>
      <c r="H6958" s="49"/>
      <c r="K6958" s="72"/>
      <c r="L6958" s="50"/>
    </row>
    <row r="6959" spans="3:12" x14ac:dyDescent="0.3">
      <c r="C6959" s="47"/>
      <c r="H6959" s="49"/>
      <c r="K6959" s="72"/>
      <c r="L6959" s="50"/>
    </row>
    <row r="6960" spans="3:12" x14ac:dyDescent="0.3">
      <c r="C6960" s="47"/>
      <c r="H6960" s="49"/>
      <c r="K6960" s="72"/>
      <c r="L6960" s="50"/>
    </row>
    <row r="6961" spans="3:12" x14ac:dyDescent="0.3">
      <c r="C6961" s="47"/>
      <c r="H6961" s="49"/>
      <c r="K6961" s="72"/>
      <c r="L6961" s="50"/>
    </row>
    <row r="6962" spans="3:12" x14ac:dyDescent="0.3">
      <c r="C6962" s="47"/>
      <c r="H6962" s="49"/>
      <c r="K6962" s="72"/>
      <c r="L6962" s="50"/>
    </row>
    <row r="6963" spans="3:12" x14ac:dyDescent="0.3">
      <c r="C6963" s="47"/>
      <c r="H6963" s="49"/>
      <c r="K6963" s="72"/>
      <c r="L6963" s="50"/>
    </row>
    <row r="6964" spans="3:12" x14ac:dyDescent="0.3">
      <c r="C6964" s="47"/>
      <c r="H6964" s="49"/>
      <c r="K6964" s="72"/>
      <c r="L6964" s="50"/>
    </row>
    <row r="6965" spans="3:12" x14ac:dyDescent="0.3">
      <c r="C6965" s="47"/>
      <c r="H6965" s="49"/>
      <c r="K6965" s="72"/>
      <c r="L6965" s="50"/>
    </row>
    <row r="6966" spans="3:12" x14ac:dyDescent="0.3">
      <c r="C6966" s="47"/>
      <c r="H6966" s="49"/>
      <c r="K6966" s="72"/>
      <c r="L6966" s="50"/>
    </row>
    <row r="6967" spans="3:12" x14ac:dyDescent="0.3">
      <c r="C6967" s="47"/>
      <c r="H6967" s="49"/>
      <c r="K6967" s="72"/>
      <c r="L6967" s="50"/>
    </row>
    <row r="6968" spans="3:12" x14ac:dyDescent="0.3">
      <c r="C6968" s="47"/>
      <c r="H6968" s="49"/>
      <c r="K6968" s="72"/>
      <c r="L6968" s="50"/>
    </row>
    <row r="6969" spans="3:12" x14ac:dyDescent="0.3">
      <c r="C6969" s="47"/>
      <c r="H6969" s="49"/>
      <c r="K6969" s="72"/>
      <c r="L6969" s="50"/>
    </row>
    <row r="6970" spans="3:12" x14ac:dyDescent="0.3">
      <c r="C6970" s="47"/>
      <c r="H6970" s="49"/>
      <c r="K6970" s="72"/>
      <c r="L6970" s="50"/>
    </row>
    <row r="6971" spans="3:12" x14ac:dyDescent="0.3">
      <c r="C6971" s="47"/>
      <c r="H6971" s="49"/>
      <c r="K6971" s="72"/>
      <c r="L6971" s="50"/>
    </row>
    <row r="6972" spans="3:12" x14ac:dyDescent="0.3">
      <c r="C6972" s="47"/>
      <c r="H6972" s="49"/>
      <c r="K6972" s="72"/>
      <c r="L6972" s="50"/>
    </row>
    <row r="6973" spans="3:12" x14ac:dyDescent="0.3">
      <c r="C6973" s="47"/>
      <c r="H6973" s="49"/>
      <c r="K6973" s="72"/>
      <c r="L6973" s="50"/>
    </row>
    <row r="6974" spans="3:12" x14ac:dyDescent="0.3">
      <c r="C6974" s="47"/>
      <c r="H6974" s="49"/>
      <c r="K6974" s="72"/>
      <c r="L6974" s="50"/>
    </row>
    <row r="6975" spans="3:12" x14ac:dyDescent="0.3">
      <c r="C6975" s="47"/>
      <c r="H6975" s="49"/>
      <c r="K6975" s="72"/>
      <c r="L6975" s="50"/>
    </row>
    <row r="6976" spans="3:12" x14ac:dyDescent="0.3">
      <c r="C6976" s="47"/>
      <c r="H6976" s="49"/>
      <c r="K6976" s="72"/>
      <c r="L6976" s="50"/>
    </row>
    <row r="6977" spans="3:12" x14ac:dyDescent="0.3">
      <c r="C6977" s="47"/>
      <c r="H6977" s="49"/>
      <c r="K6977" s="72"/>
      <c r="L6977" s="50"/>
    </row>
    <row r="6978" spans="3:12" x14ac:dyDescent="0.3">
      <c r="C6978" s="47"/>
      <c r="H6978" s="49"/>
      <c r="K6978" s="72"/>
      <c r="L6978" s="50"/>
    </row>
    <row r="6979" spans="3:12" x14ac:dyDescent="0.3">
      <c r="C6979" s="47"/>
      <c r="H6979" s="49"/>
      <c r="K6979" s="72"/>
      <c r="L6979" s="50"/>
    </row>
    <row r="6980" spans="3:12" x14ac:dyDescent="0.3">
      <c r="C6980" s="47"/>
      <c r="H6980" s="49"/>
      <c r="K6980" s="72"/>
      <c r="L6980" s="50"/>
    </row>
    <row r="6981" spans="3:12" x14ac:dyDescent="0.3">
      <c r="C6981" s="47"/>
      <c r="H6981" s="49"/>
      <c r="K6981" s="72"/>
      <c r="L6981" s="50"/>
    </row>
    <row r="6982" spans="3:12" x14ac:dyDescent="0.3">
      <c r="C6982" s="47"/>
      <c r="H6982" s="49"/>
      <c r="K6982" s="72"/>
      <c r="L6982" s="50"/>
    </row>
    <row r="6983" spans="3:12" x14ac:dyDescent="0.3">
      <c r="C6983" s="47"/>
      <c r="H6983" s="49"/>
      <c r="K6983" s="72"/>
      <c r="L6983" s="50"/>
    </row>
    <row r="6984" spans="3:12" x14ac:dyDescent="0.3">
      <c r="C6984" s="47"/>
      <c r="H6984" s="49"/>
      <c r="K6984" s="72"/>
      <c r="L6984" s="50"/>
    </row>
    <row r="6985" spans="3:12" x14ac:dyDescent="0.3">
      <c r="C6985" s="47"/>
      <c r="H6985" s="49"/>
      <c r="K6985" s="72"/>
      <c r="L6985" s="50"/>
    </row>
    <row r="6986" spans="3:12" x14ac:dyDescent="0.3">
      <c r="C6986" s="47"/>
      <c r="H6986" s="49"/>
      <c r="K6986" s="72"/>
      <c r="L6986" s="50"/>
    </row>
    <row r="6987" spans="3:12" x14ac:dyDescent="0.3">
      <c r="C6987" s="47"/>
      <c r="H6987" s="49"/>
      <c r="K6987" s="72"/>
      <c r="L6987" s="50"/>
    </row>
    <row r="6988" spans="3:12" x14ac:dyDescent="0.3">
      <c r="C6988" s="47"/>
      <c r="H6988" s="49"/>
      <c r="K6988" s="72"/>
      <c r="L6988" s="50"/>
    </row>
    <row r="6989" spans="3:12" x14ac:dyDescent="0.3">
      <c r="C6989" s="47"/>
      <c r="H6989" s="49"/>
      <c r="K6989" s="72"/>
      <c r="L6989" s="50"/>
    </row>
    <row r="6990" spans="3:12" x14ac:dyDescent="0.3">
      <c r="C6990" s="47"/>
      <c r="H6990" s="49"/>
      <c r="K6990" s="72"/>
      <c r="L6990" s="50"/>
    </row>
    <row r="6991" spans="3:12" x14ac:dyDescent="0.3">
      <c r="C6991" s="47"/>
      <c r="H6991" s="49"/>
      <c r="K6991" s="72"/>
      <c r="L6991" s="50"/>
    </row>
    <row r="6992" spans="3:12" x14ac:dyDescent="0.3">
      <c r="C6992" s="47"/>
      <c r="H6992" s="49"/>
      <c r="K6992" s="72"/>
      <c r="L6992" s="50"/>
    </row>
    <row r="6993" spans="3:12" x14ac:dyDescent="0.3">
      <c r="C6993" s="47"/>
      <c r="H6993" s="49"/>
      <c r="K6993" s="72"/>
      <c r="L6993" s="50"/>
    </row>
    <row r="6994" spans="3:12" x14ac:dyDescent="0.3">
      <c r="C6994" s="47"/>
      <c r="H6994" s="49"/>
      <c r="K6994" s="72"/>
      <c r="L6994" s="50"/>
    </row>
    <row r="6995" spans="3:12" x14ac:dyDescent="0.3">
      <c r="C6995" s="47"/>
      <c r="H6995" s="49"/>
      <c r="K6995" s="72"/>
      <c r="L6995" s="50"/>
    </row>
    <row r="6996" spans="3:12" x14ac:dyDescent="0.3">
      <c r="C6996" s="47"/>
      <c r="H6996" s="49"/>
      <c r="K6996" s="72"/>
      <c r="L6996" s="50"/>
    </row>
    <row r="6997" spans="3:12" x14ac:dyDescent="0.3">
      <c r="C6997" s="47"/>
      <c r="H6997" s="49"/>
      <c r="K6997" s="72"/>
      <c r="L6997" s="50"/>
    </row>
    <row r="6998" spans="3:12" x14ac:dyDescent="0.3">
      <c r="C6998" s="47"/>
      <c r="H6998" s="49"/>
      <c r="K6998" s="72"/>
      <c r="L6998" s="50"/>
    </row>
    <row r="6999" spans="3:12" x14ac:dyDescent="0.3">
      <c r="C6999" s="47"/>
      <c r="H6999" s="49"/>
      <c r="K6999" s="72"/>
      <c r="L6999" s="50"/>
    </row>
    <row r="7000" spans="3:12" x14ac:dyDescent="0.3">
      <c r="C7000" s="47"/>
      <c r="H7000" s="49"/>
      <c r="K7000" s="72"/>
      <c r="L7000" s="50"/>
    </row>
    <row r="7001" spans="3:12" x14ac:dyDescent="0.3">
      <c r="C7001" s="47"/>
      <c r="H7001" s="49"/>
      <c r="K7001" s="72"/>
      <c r="L7001" s="50"/>
    </row>
    <row r="7002" spans="3:12" x14ac:dyDescent="0.3">
      <c r="C7002" s="47"/>
      <c r="H7002" s="49"/>
      <c r="K7002" s="72"/>
      <c r="L7002" s="50"/>
    </row>
    <row r="7003" spans="3:12" x14ac:dyDescent="0.3">
      <c r="C7003" s="47"/>
      <c r="H7003" s="49"/>
      <c r="K7003" s="72"/>
      <c r="L7003" s="50"/>
    </row>
    <row r="7004" spans="3:12" x14ac:dyDescent="0.3">
      <c r="C7004" s="47"/>
      <c r="H7004" s="49"/>
      <c r="K7004" s="72"/>
      <c r="L7004" s="50"/>
    </row>
    <row r="7005" spans="3:12" x14ac:dyDescent="0.3">
      <c r="C7005" s="47"/>
      <c r="H7005" s="49"/>
      <c r="K7005" s="72"/>
      <c r="L7005" s="50"/>
    </row>
    <row r="7006" spans="3:12" x14ac:dyDescent="0.3">
      <c r="C7006" s="47"/>
      <c r="H7006" s="49"/>
      <c r="K7006" s="72"/>
      <c r="L7006" s="50"/>
    </row>
    <row r="7007" spans="3:12" x14ac:dyDescent="0.3">
      <c r="C7007" s="47"/>
      <c r="H7007" s="49"/>
      <c r="K7007" s="72"/>
      <c r="L7007" s="50"/>
    </row>
    <row r="7008" spans="3:12" x14ac:dyDescent="0.3">
      <c r="C7008" s="47"/>
      <c r="H7008" s="49"/>
      <c r="K7008" s="72"/>
      <c r="L7008" s="50"/>
    </row>
    <row r="7009" spans="3:12" x14ac:dyDescent="0.3">
      <c r="C7009" s="47"/>
      <c r="H7009" s="49"/>
      <c r="K7009" s="72"/>
      <c r="L7009" s="50"/>
    </row>
    <row r="7010" spans="3:12" x14ac:dyDescent="0.3">
      <c r="C7010" s="47"/>
      <c r="H7010" s="49"/>
      <c r="K7010" s="72"/>
      <c r="L7010" s="50"/>
    </row>
    <row r="7011" spans="3:12" x14ac:dyDescent="0.3">
      <c r="C7011" s="47"/>
      <c r="H7011" s="49"/>
      <c r="K7011" s="72"/>
      <c r="L7011" s="50"/>
    </row>
    <row r="7012" spans="3:12" x14ac:dyDescent="0.3">
      <c r="C7012" s="47"/>
      <c r="H7012" s="49"/>
      <c r="K7012" s="72"/>
      <c r="L7012" s="50"/>
    </row>
    <row r="7013" spans="3:12" x14ac:dyDescent="0.3">
      <c r="C7013" s="47"/>
      <c r="H7013" s="49"/>
      <c r="K7013" s="72"/>
      <c r="L7013" s="50"/>
    </row>
    <row r="7014" spans="3:12" x14ac:dyDescent="0.3">
      <c r="C7014" s="47"/>
      <c r="H7014" s="49"/>
      <c r="K7014" s="72"/>
      <c r="L7014" s="50"/>
    </row>
    <row r="7015" spans="3:12" x14ac:dyDescent="0.3">
      <c r="C7015" s="47"/>
      <c r="H7015" s="49"/>
      <c r="K7015" s="72"/>
      <c r="L7015" s="50"/>
    </row>
    <row r="7016" spans="3:12" x14ac:dyDescent="0.3">
      <c r="C7016" s="47"/>
      <c r="H7016" s="49"/>
      <c r="K7016" s="72"/>
      <c r="L7016" s="50"/>
    </row>
    <row r="7017" spans="3:12" x14ac:dyDescent="0.3">
      <c r="C7017" s="47"/>
      <c r="H7017" s="49"/>
      <c r="K7017" s="72"/>
      <c r="L7017" s="50"/>
    </row>
    <row r="7018" spans="3:12" x14ac:dyDescent="0.3">
      <c r="C7018" s="47"/>
      <c r="H7018" s="49"/>
      <c r="K7018" s="72"/>
      <c r="L7018" s="50"/>
    </row>
    <row r="7019" spans="3:12" x14ac:dyDescent="0.3">
      <c r="C7019" s="47"/>
      <c r="H7019" s="49"/>
      <c r="K7019" s="72"/>
      <c r="L7019" s="50"/>
    </row>
    <row r="7020" spans="3:12" x14ac:dyDescent="0.3">
      <c r="C7020" s="47"/>
      <c r="H7020" s="49"/>
      <c r="K7020" s="72"/>
      <c r="L7020" s="50"/>
    </row>
    <row r="7021" spans="3:12" x14ac:dyDescent="0.3">
      <c r="C7021" s="47"/>
      <c r="H7021" s="49"/>
      <c r="K7021" s="72"/>
      <c r="L7021" s="50"/>
    </row>
    <row r="7022" spans="3:12" x14ac:dyDescent="0.3">
      <c r="C7022" s="47"/>
      <c r="H7022" s="49"/>
      <c r="K7022" s="72"/>
      <c r="L7022" s="50"/>
    </row>
    <row r="7023" spans="3:12" x14ac:dyDescent="0.3">
      <c r="C7023" s="47"/>
      <c r="H7023" s="49"/>
      <c r="K7023" s="72"/>
      <c r="L7023" s="50"/>
    </row>
    <row r="7024" spans="3:12" x14ac:dyDescent="0.3">
      <c r="C7024" s="47"/>
      <c r="H7024" s="49"/>
      <c r="K7024" s="72"/>
      <c r="L7024" s="50"/>
    </row>
    <row r="7025" spans="3:12" x14ac:dyDescent="0.3">
      <c r="C7025" s="47"/>
      <c r="H7025" s="49"/>
      <c r="K7025" s="72"/>
      <c r="L7025" s="50"/>
    </row>
    <row r="7026" spans="3:12" x14ac:dyDescent="0.3">
      <c r="C7026" s="47"/>
      <c r="H7026" s="49"/>
      <c r="K7026" s="72"/>
      <c r="L7026" s="50"/>
    </row>
    <row r="7027" spans="3:12" x14ac:dyDescent="0.3">
      <c r="C7027" s="47"/>
      <c r="H7027" s="49"/>
      <c r="K7027" s="72"/>
      <c r="L7027" s="50"/>
    </row>
    <row r="7028" spans="3:12" x14ac:dyDescent="0.3">
      <c r="C7028" s="47"/>
      <c r="H7028" s="49"/>
      <c r="K7028" s="72"/>
      <c r="L7028" s="50"/>
    </row>
    <row r="7029" spans="3:12" x14ac:dyDescent="0.3">
      <c r="C7029" s="47"/>
      <c r="H7029" s="49"/>
      <c r="K7029" s="72"/>
      <c r="L7029" s="50"/>
    </row>
    <row r="7030" spans="3:12" x14ac:dyDescent="0.3">
      <c r="C7030" s="47"/>
      <c r="H7030" s="49"/>
      <c r="K7030" s="72"/>
      <c r="L7030" s="50"/>
    </row>
    <row r="7031" spans="3:12" x14ac:dyDescent="0.3">
      <c r="C7031" s="47"/>
      <c r="H7031" s="49"/>
      <c r="K7031" s="72"/>
      <c r="L7031" s="50"/>
    </row>
    <row r="7032" spans="3:12" x14ac:dyDescent="0.3">
      <c r="C7032" s="47"/>
      <c r="H7032" s="49"/>
      <c r="K7032" s="72"/>
      <c r="L7032" s="50"/>
    </row>
    <row r="7033" spans="3:12" x14ac:dyDescent="0.3">
      <c r="C7033" s="47"/>
      <c r="H7033" s="49"/>
      <c r="K7033" s="72"/>
      <c r="L7033" s="50"/>
    </row>
    <row r="7034" spans="3:12" x14ac:dyDescent="0.3">
      <c r="C7034" s="47"/>
      <c r="H7034" s="49"/>
      <c r="K7034" s="72"/>
      <c r="L7034" s="50"/>
    </row>
    <row r="7035" spans="3:12" x14ac:dyDescent="0.3">
      <c r="C7035" s="47"/>
      <c r="H7035" s="49"/>
      <c r="K7035" s="72"/>
      <c r="L7035" s="50"/>
    </row>
    <row r="7036" spans="3:12" x14ac:dyDescent="0.3">
      <c r="C7036" s="47"/>
      <c r="H7036" s="49"/>
      <c r="K7036" s="72"/>
      <c r="L7036" s="50"/>
    </row>
    <row r="7037" spans="3:12" x14ac:dyDescent="0.3">
      <c r="C7037" s="47"/>
      <c r="H7037" s="49"/>
      <c r="K7037" s="72"/>
      <c r="L7037" s="50"/>
    </row>
    <row r="7038" spans="3:12" x14ac:dyDescent="0.3">
      <c r="C7038" s="47"/>
      <c r="H7038" s="49"/>
      <c r="K7038" s="72"/>
      <c r="L7038" s="50"/>
    </row>
    <row r="7039" spans="3:12" x14ac:dyDescent="0.3">
      <c r="C7039" s="47"/>
      <c r="H7039" s="49"/>
      <c r="K7039" s="72"/>
      <c r="L7039" s="50"/>
    </row>
    <row r="7040" spans="3:12" x14ac:dyDescent="0.3">
      <c r="C7040" s="47"/>
      <c r="H7040" s="49"/>
      <c r="K7040" s="72"/>
      <c r="L7040" s="50"/>
    </row>
    <row r="7041" spans="3:12" x14ac:dyDescent="0.3">
      <c r="C7041" s="47"/>
      <c r="H7041" s="49"/>
      <c r="K7041" s="72"/>
      <c r="L7041" s="50"/>
    </row>
    <row r="7042" spans="3:12" x14ac:dyDescent="0.3">
      <c r="C7042" s="47"/>
      <c r="H7042" s="49"/>
      <c r="K7042" s="72"/>
      <c r="L7042" s="50"/>
    </row>
    <row r="7043" spans="3:12" x14ac:dyDescent="0.3">
      <c r="C7043" s="47"/>
      <c r="H7043" s="49"/>
      <c r="K7043" s="72"/>
      <c r="L7043" s="50"/>
    </row>
    <row r="7044" spans="3:12" x14ac:dyDescent="0.3">
      <c r="C7044" s="47"/>
      <c r="H7044" s="49"/>
      <c r="K7044" s="72"/>
      <c r="L7044" s="50"/>
    </row>
    <row r="7045" spans="3:12" x14ac:dyDescent="0.3">
      <c r="C7045" s="47"/>
      <c r="H7045" s="49"/>
      <c r="K7045" s="72"/>
      <c r="L7045" s="50"/>
    </row>
    <row r="7046" spans="3:12" x14ac:dyDescent="0.3">
      <c r="C7046" s="47"/>
      <c r="H7046" s="49"/>
      <c r="K7046" s="72"/>
      <c r="L7046" s="50"/>
    </row>
    <row r="7047" spans="3:12" x14ac:dyDescent="0.3">
      <c r="C7047" s="47"/>
      <c r="H7047" s="49"/>
      <c r="K7047" s="72"/>
      <c r="L7047" s="50"/>
    </row>
    <row r="7048" spans="3:12" x14ac:dyDescent="0.3">
      <c r="C7048" s="47"/>
      <c r="H7048" s="49"/>
      <c r="K7048" s="72"/>
      <c r="L7048" s="50"/>
    </row>
    <row r="7049" spans="3:12" x14ac:dyDescent="0.3">
      <c r="C7049" s="47"/>
      <c r="H7049" s="49"/>
      <c r="K7049" s="72"/>
      <c r="L7049" s="50"/>
    </row>
    <row r="7050" spans="3:12" x14ac:dyDescent="0.3">
      <c r="C7050" s="47"/>
      <c r="H7050" s="49"/>
      <c r="K7050" s="72"/>
      <c r="L7050" s="50"/>
    </row>
    <row r="7051" spans="3:12" x14ac:dyDescent="0.3">
      <c r="C7051" s="47"/>
      <c r="H7051" s="49"/>
      <c r="K7051" s="72"/>
      <c r="L7051" s="50"/>
    </row>
    <row r="7052" spans="3:12" x14ac:dyDescent="0.3">
      <c r="C7052" s="47"/>
      <c r="H7052" s="49"/>
      <c r="K7052" s="72"/>
      <c r="L7052" s="50"/>
    </row>
    <row r="7053" spans="3:12" x14ac:dyDescent="0.3">
      <c r="C7053" s="47"/>
      <c r="H7053" s="49"/>
      <c r="K7053" s="72"/>
      <c r="L7053" s="50"/>
    </row>
    <row r="7054" spans="3:12" x14ac:dyDescent="0.3">
      <c r="C7054" s="47"/>
      <c r="H7054" s="49"/>
      <c r="K7054" s="72"/>
      <c r="L7054" s="50"/>
    </row>
    <row r="7055" spans="3:12" x14ac:dyDescent="0.3">
      <c r="C7055" s="47"/>
      <c r="H7055" s="49"/>
      <c r="K7055" s="72"/>
      <c r="L7055" s="50"/>
    </row>
    <row r="7056" spans="3:12" x14ac:dyDescent="0.3">
      <c r="C7056" s="47"/>
      <c r="H7056" s="49"/>
      <c r="K7056" s="72"/>
      <c r="L7056" s="50"/>
    </row>
    <row r="7057" spans="3:12" x14ac:dyDescent="0.3">
      <c r="C7057" s="47"/>
      <c r="H7057" s="49"/>
      <c r="K7057" s="72"/>
      <c r="L7057" s="50"/>
    </row>
    <row r="7058" spans="3:12" x14ac:dyDescent="0.3">
      <c r="C7058" s="47"/>
      <c r="H7058" s="49"/>
      <c r="K7058" s="72"/>
      <c r="L7058" s="50"/>
    </row>
    <row r="7059" spans="3:12" x14ac:dyDescent="0.3">
      <c r="C7059" s="47"/>
      <c r="H7059" s="49"/>
      <c r="K7059" s="72"/>
      <c r="L7059" s="50"/>
    </row>
    <row r="7060" spans="3:12" x14ac:dyDescent="0.3">
      <c r="C7060" s="47"/>
      <c r="H7060" s="49"/>
      <c r="K7060" s="72"/>
      <c r="L7060" s="50"/>
    </row>
    <row r="7061" spans="3:12" x14ac:dyDescent="0.3">
      <c r="C7061" s="47"/>
      <c r="H7061" s="49"/>
      <c r="K7061" s="72"/>
      <c r="L7061" s="50"/>
    </row>
    <row r="7062" spans="3:12" x14ac:dyDescent="0.3">
      <c r="C7062" s="47"/>
      <c r="H7062" s="49"/>
      <c r="K7062" s="72"/>
      <c r="L7062" s="50"/>
    </row>
    <row r="7063" spans="3:12" x14ac:dyDescent="0.3">
      <c r="C7063" s="47"/>
      <c r="H7063" s="49"/>
      <c r="K7063" s="72"/>
      <c r="L7063" s="50"/>
    </row>
    <row r="7064" spans="3:12" x14ac:dyDescent="0.3">
      <c r="C7064" s="47"/>
      <c r="H7064" s="49"/>
      <c r="K7064" s="72"/>
      <c r="L7064" s="50"/>
    </row>
    <row r="7065" spans="3:12" x14ac:dyDescent="0.3">
      <c r="C7065" s="47"/>
      <c r="H7065" s="49"/>
      <c r="K7065" s="72"/>
      <c r="L7065" s="50"/>
    </row>
    <row r="7066" spans="3:12" x14ac:dyDescent="0.3">
      <c r="C7066" s="47"/>
      <c r="H7066" s="49"/>
      <c r="K7066" s="72"/>
      <c r="L7066" s="50"/>
    </row>
    <row r="7067" spans="3:12" x14ac:dyDescent="0.3">
      <c r="C7067" s="47"/>
      <c r="H7067" s="49"/>
      <c r="K7067" s="72"/>
      <c r="L7067" s="50"/>
    </row>
    <row r="7068" spans="3:12" x14ac:dyDescent="0.3">
      <c r="C7068" s="47"/>
      <c r="H7068" s="49"/>
      <c r="K7068" s="72"/>
      <c r="L7068" s="50"/>
    </row>
    <row r="7069" spans="3:12" x14ac:dyDescent="0.3">
      <c r="C7069" s="47"/>
      <c r="H7069" s="49"/>
      <c r="K7069" s="72"/>
      <c r="L7069" s="50"/>
    </row>
    <row r="7070" spans="3:12" x14ac:dyDescent="0.3">
      <c r="C7070" s="47"/>
      <c r="H7070" s="49"/>
      <c r="K7070" s="72"/>
      <c r="L7070" s="50"/>
    </row>
    <row r="7071" spans="3:12" x14ac:dyDescent="0.3">
      <c r="C7071" s="47"/>
      <c r="H7071" s="49"/>
      <c r="K7071" s="72"/>
      <c r="L7071" s="50"/>
    </row>
    <row r="7072" spans="3:12" x14ac:dyDescent="0.3">
      <c r="C7072" s="47"/>
      <c r="H7072" s="49"/>
      <c r="K7072" s="72"/>
      <c r="L7072" s="50"/>
    </row>
    <row r="7073" spans="3:12" x14ac:dyDescent="0.3">
      <c r="C7073" s="47"/>
      <c r="H7073" s="49"/>
      <c r="K7073" s="72"/>
      <c r="L7073" s="50"/>
    </row>
    <row r="7074" spans="3:12" x14ac:dyDescent="0.3">
      <c r="C7074" s="47"/>
      <c r="H7074" s="49"/>
      <c r="K7074" s="72"/>
      <c r="L7074" s="50"/>
    </row>
    <row r="7075" spans="3:12" x14ac:dyDescent="0.3">
      <c r="C7075" s="47"/>
      <c r="H7075" s="49"/>
      <c r="K7075" s="72"/>
      <c r="L7075" s="50"/>
    </row>
    <row r="7076" spans="3:12" x14ac:dyDescent="0.3">
      <c r="C7076" s="47"/>
      <c r="H7076" s="49"/>
      <c r="K7076" s="72"/>
      <c r="L7076" s="50"/>
    </row>
    <row r="7077" spans="3:12" x14ac:dyDescent="0.3">
      <c r="C7077" s="47"/>
      <c r="H7077" s="49"/>
      <c r="K7077" s="72"/>
      <c r="L7077" s="50"/>
    </row>
    <row r="7078" spans="3:12" x14ac:dyDescent="0.3">
      <c r="C7078" s="47"/>
      <c r="H7078" s="49"/>
      <c r="K7078" s="72"/>
      <c r="L7078" s="50"/>
    </row>
    <row r="7079" spans="3:12" x14ac:dyDescent="0.3">
      <c r="C7079" s="47"/>
      <c r="H7079" s="49"/>
      <c r="K7079" s="72"/>
      <c r="L7079" s="50"/>
    </row>
    <row r="7080" spans="3:12" x14ac:dyDescent="0.3">
      <c r="C7080" s="47"/>
      <c r="H7080" s="49"/>
      <c r="K7080" s="72"/>
      <c r="L7080" s="50"/>
    </row>
    <row r="7081" spans="3:12" x14ac:dyDescent="0.3">
      <c r="C7081" s="47"/>
      <c r="H7081" s="49"/>
      <c r="K7081" s="72"/>
      <c r="L7081" s="50"/>
    </row>
    <row r="7082" spans="3:12" x14ac:dyDescent="0.3">
      <c r="C7082" s="47"/>
      <c r="H7082" s="49"/>
      <c r="K7082" s="72"/>
      <c r="L7082" s="50"/>
    </row>
    <row r="7083" spans="3:12" x14ac:dyDescent="0.3">
      <c r="C7083" s="47"/>
      <c r="H7083" s="49"/>
      <c r="K7083" s="72"/>
      <c r="L7083" s="50"/>
    </row>
    <row r="7084" spans="3:12" x14ac:dyDescent="0.3">
      <c r="C7084" s="47"/>
      <c r="H7084" s="49"/>
      <c r="K7084" s="72"/>
      <c r="L7084" s="50"/>
    </row>
    <row r="7085" spans="3:12" x14ac:dyDescent="0.3">
      <c r="C7085" s="47"/>
      <c r="H7085" s="49"/>
      <c r="K7085" s="72"/>
      <c r="L7085" s="50"/>
    </row>
    <row r="7086" spans="3:12" x14ac:dyDescent="0.3">
      <c r="C7086" s="47"/>
      <c r="H7086" s="49"/>
      <c r="K7086" s="72"/>
      <c r="L7086" s="50"/>
    </row>
    <row r="7087" spans="3:12" x14ac:dyDescent="0.3">
      <c r="C7087" s="47"/>
      <c r="H7087" s="49"/>
      <c r="K7087" s="72"/>
      <c r="L7087" s="50"/>
    </row>
    <row r="7088" spans="3:12" x14ac:dyDescent="0.3">
      <c r="C7088" s="47"/>
      <c r="H7088" s="49"/>
      <c r="K7088" s="72"/>
      <c r="L7088" s="50"/>
    </row>
    <row r="7089" spans="3:12" x14ac:dyDescent="0.3">
      <c r="C7089" s="47"/>
      <c r="H7089" s="49"/>
      <c r="K7089" s="72"/>
      <c r="L7089" s="50"/>
    </row>
    <row r="7090" spans="3:12" x14ac:dyDescent="0.3">
      <c r="C7090" s="47"/>
      <c r="H7090" s="49"/>
      <c r="K7090" s="72"/>
      <c r="L7090" s="50"/>
    </row>
    <row r="7091" spans="3:12" x14ac:dyDescent="0.3">
      <c r="C7091" s="47"/>
      <c r="H7091" s="49"/>
      <c r="K7091" s="72"/>
      <c r="L7091" s="50"/>
    </row>
    <row r="7092" spans="3:12" x14ac:dyDescent="0.3">
      <c r="C7092" s="47"/>
      <c r="H7092" s="49"/>
      <c r="K7092" s="72"/>
      <c r="L7092" s="50"/>
    </row>
    <row r="7093" spans="3:12" x14ac:dyDescent="0.3">
      <c r="C7093" s="47"/>
      <c r="H7093" s="49"/>
      <c r="K7093" s="72"/>
      <c r="L7093" s="50"/>
    </row>
    <row r="7094" spans="3:12" x14ac:dyDescent="0.3">
      <c r="C7094" s="47"/>
      <c r="H7094" s="49"/>
      <c r="K7094" s="72"/>
      <c r="L7094" s="50"/>
    </row>
    <row r="7095" spans="3:12" x14ac:dyDescent="0.3">
      <c r="C7095" s="47"/>
      <c r="H7095" s="49"/>
      <c r="K7095" s="72"/>
      <c r="L7095" s="50"/>
    </row>
    <row r="7096" spans="3:12" x14ac:dyDescent="0.3">
      <c r="C7096" s="47"/>
      <c r="H7096" s="49"/>
      <c r="K7096" s="72"/>
      <c r="L7096" s="50"/>
    </row>
    <row r="7097" spans="3:12" x14ac:dyDescent="0.3">
      <c r="C7097" s="47"/>
      <c r="H7097" s="49"/>
      <c r="K7097" s="72"/>
      <c r="L7097" s="50"/>
    </row>
    <row r="7098" spans="3:12" x14ac:dyDescent="0.3">
      <c r="C7098" s="47"/>
      <c r="H7098" s="49"/>
      <c r="K7098" s="72"/>
      <c r="L7098" s="50"/>
    </row>
    <row r="7099" spans="3:12" x14ac:dyDescent="0.3">
      <c r="C7099" s="47"/>
      <c r="H7099" s="49"/>
      <c r="K7099" s="72"/>
      <c r="L7099" s="50"/>
    </row>
    <row r="7100" spans="3:12" x14ac:dyDescent="0.3">
      <c r="C7100" s="47"/>
      <c r="H7100" s="49"/>
      <c r="K7100" s="72"/>
      <c r="L7100" s="50"/>
    </row>
    <row r="7101" spans="3:12" x14ac:dyDescent="0.3">
      <c r="C7101" s="47"/>
      <c r="H7101" s="49"/>
      <c r="K7101" s="72"/>
      <c r="L7101" s="50"/>
    </row>
    <row r="7102" spans="3:12" x14ac:dyDescent="0.3">
      <c r="C7102" s="47"/>
      <c r="H7102" s="49"/>
      <c r="K7102" s="72"/>
      <c r="L7102" s="50"/>
    </row>
    <row r="7103" spans="3:12" x14ac:dyDescent="0.3">
      <c r="C7103" s="47"/>
      <c r="H7103" s="49"/>
      <c r="K7103" s="72"/>
      <c r="L7103" s="50"/>
    </row>
    <row r="7104" spans="3:12" x14ac:dyDescent="0.3">
      <c r="C7104" s="47"/>
      <c r="H7104" s="49"/>
      <c r="K7104" s="72"/>
      <c r="L7104" s="50"/>
    </row>
    <row r="7105" spans="3:12" x14ac:dyDescent="0.3">
      <c r="C7105" s="47"/>
      <c r="H7105" s="49"/>
      <c r="K7105" s="72"/>
      <c r="L7105" s="50"/>
    </row>
    <row r="7106" spans="3:12" x14ac:dyDescent="0.3">
      <c r="C7106" s="47"/>
      <c r="H7106" s="49"/>
      <c r="K7106" s="72"/>
      <c r="L7106" s="50"/>
    </row>
    <row r="7107" spans="3:12" x14ac:dyDescent="0.3">
      <c r="C7107" s="47"/>
      <c r="H7107" s="49"/>
      <c r="K7107" s="72"/>
      <c r="L7107" s="50"/>
    </row>
    <row r="7108" spans="3:12" x14ac:dyDescent="0.3">
      <c r="C7108" s="47"/>
      <c r="H7108" s="49"/>
      <c r="K7108" s="72"/>
      <c r="L7108" s="50"/>
    </row>
    <row r="7109" spans="3:12" x14ac:dyDescent="0.3">
      <c r="C7109" s="47"/>
      <c r="H7109" s="49"/>
      <c r="K7109" s="72"/>
      <c r="L7109" s="50"/>
    </row>
    <row r="7110" spans="3:12" x14ac:dyDescent="0.3">
      <c r="C7110" s="47"/>
      <c r="H7110" s="49"/>
      <c r="K7110" s="72"/>
      <c r="L7110" s="50"/>
    </row>
    <row r="7111" spans="3:12" x14ac:dyDescent="0.3">
      <c r="C7111" s="47"/>
      <c r="H7111" s="49"/>
      <c r="K7111" s="72"/>
      <c r="L7111" s="50"/>
    </row>
    <row r="7112" spans="3:12" x14ac:dyDescent="0.3">
      <c r="C7112" s="47"/>
      <c r="H7112" s="49"/>
      <c r="K7112" s="72"/>
      <c r="L7112" s="50"/>
    </row>
    <row r="7113" spans="3:12" x14ac:dyDescent="0.3">
      <c r="C7113" s="47"/>
      <c r="H7113" s="49"/>
      <c r="K7113" s="72"/>
      <c r="L7113" s="50"/>
    </row>
    <row r="7114" spans="3:12" x14ac:dyDescent="0.3">
      <c r="C7114" s="47"/>
      <c r="H7114" s="49"/>
      <c r="K7114" s="72"/>
      <c r="L7114" s="50"/>
    </row>
    <row r="7115" spans="3:12" x14ac:dyDescent="0.3">
      <c r="C7115" s="47"/>
      <c r="H7115" s="49"/>
      <c r="K7115" s="72"/>
      <c r="L7115" s="50"/>
    </row>
    <row r="7116" spans="3:12" x14ac:dyDescent="0.3">
      <c r="C7116" s="47"/>
      <c r="H7116" s="49"/>
      <c r="K7116" s="72"/>
      <c r="L7116" s="50"/>
    </row>
    <row r="7117" spans="3:12" x14ac:dyDescent="0.3">
      <c r="C7117" s="47"/>
      <c r="H7117" s="49"/>
      <c r="K7117" s="72"/>
      <c r="L7117" s="50"/>
    </row>
    <row r="7118" spans="3:12" x14ac:dyDescent="0.3">
      <c r="C7118" s="47"/>
      <c r="H7118" s="49"/>
      <c r="K7118" s="72"/>
      <c r="L7118" s="50"/>
    </row>
    <row r="7119" spans="3:12" x14ac:dyDescent="0.3">
      <c r="C7119" s="47"/>
      <c r="H7119" s="49"/>
      <c r="K7119" s="72"/>
      <c r="L7119" s="50"/>
    </row>
    <row r="7120" spans="3:12" x14ac:dyDescent="0.3">
      <c r="C7120" s="47"/>
      <c r="H7120" s="49"/>
      <c r="K7120" s="72"/>
      <c r="L7120" s="50"/>
    </row>
    <row r="7121" spans="3:12" x14ac:dyDescent="0.3">
      <c r="C7121" s="47"/>
      <c r="H7121" s="49"/>
      <c r="K7121" s="72"/>
      <c r="L7121" s="50"/>
    </row>
    <row r="7122" spans="3:12" x14ac:dyDescent="0.3">
      <c r="C7122" s="47"/>
      <c r="H7122" s="49"/>
      <c r="K7122" s="72"/>
      <c r="L7122" s="50"/>
    </row>
    <row r="7123" spans="3:12" x14ac:dyDescent="0.3">
      <c r="C7123" s="47"/>
      <c r="H7123" s="49"/>
      <c r="K7123" s="72"/>
      <c r="L7123" s="50"/>
    </row>
    <row r="7124" spans="3:12" x14ac:dyDescent="0.3">
      <c r="C7124" s="47"/>
      <c r="H7124" s="49"/>
      <c r="K7124" s="72"/>
      <c r="L7124" s="50"/>
    </row>
    <row r="7125" spans="3:12" x14ac:dyDescent="0.3">
      <c r="C7125" s="47"/>
      <c r="H7125" s="49"/>
      <c r="K7125" s="72"/>
      <c r="L7125" s="50"/>
    </row>
    <row r="7126" spans="3:12" x14ac:dyDescent="0.3">
      <c r="C7126" s="47"/>
      <c r="H7126" s="49"/>
      <c r="K7126" s="72"/>
      <c r="L7126" s="50"/>
    </row>
    <row r="7127" spans="3:12" x14ac:dyDescent="0.3">
      <c r="C7127" s="47"/>
      <c r="H7127" s="49"/>
      <c r="K7127" s="72"/>
      <c r="L7127" s="50"/>
    </row>
    <row r="7128" spans="3:12" x14ac:dyDescent="0.3">
      <c r="C7128" s="47"/>
      <c r="H7128" s="49"/>
      <c r="K7128" s="72"/>
      <c r="L7128" s="50"/>
    </row>
    <row r="7129" spans="3:12" x14ac:dyDescent="0.3">
      <c r="C7129" s="47"/>
      <c r="H7129" s="49"/>
      <c r="K7129" s="72"/>
      <c r="L7129" s="50"/>
    </row>
    <row r="7130" spans="3:12" x14ac:dyDescent="0.3">
      <c r="C7130" s="47"/>
      <c r="H7130" s="49"/>
      <c r="K7130" s="72"/>
      <c r="L7130" s="50"/>
    </row>
    <row r="7131" spans="3:12" x14ac:dyDescent="0.3">
      <c r="C7131" s="47"/>
      <c r="H7131" s="49"/>
      <c r="K7131" s="72"/>
      <c r="L7131" s="50"/>
    </row>
    <row r="7132" spans="3:12" x14ac:dyDescent="0.3">
      <c r="C7132" s="47"/>
      <c r="H7132" s="49"/>
      <c r="K7132" s="72"/>
      <c r="L7132" s="50"/>
    </row>
    <row r="7133" spans="3:12" x14ac:dyDescent="0.3">
      <c r="C7133" s="47"/>
      <c r="H7133" s="49"/>
      <c r="K7133" s="72"/>
      <c r="L7133" s="50"/>
    </row>
    <row r="7134" spans="3:12" x14ac:dyDescent="0.3">
      <c r="C7134" s="47"/>
      <c r="H7134" s="49"/>
      <c r="K7134" s="72"/>
      <c r="L7134" s="50"/>
    </row>
    <row r="7135" spans="3:12" x14ac:dyDescent="0.3">
      <c r="C7135" s="47"/>
      <c r="H7135" s="49"/>
      <c r="K7135" s="72"/>
      <c r="L7135" s="50"/>
    </row>
    <row r="7136" spans="3:12" x14ac:dyDescent="0.3">
      <c r="C7136" s="47"/>
      <c r="H7136" s="49"/>
      <c r="K7136" s="72"/>
      <c r="L7136" s="50"/>
    </row>
    <row r="7137" spans="3:12" x14ac:dyDescent="0.3">
      <c r="C7137" s="47"/>
      <c r="H7137" s="49"/>
      <c r="K7137" s="72"/>
      <c r="L7137" s="50"/>
    </row>
    <row r="7138" spans="3:12" x14ac:dyDescent="0.3">
      <c r="C7138" s="47"/>
      <c r="H7138" s="49"/>
      <c r="K7138" s="72"/>
      <c r="L7138" s="50"/>
    </row>
    <row r="7139" spans="3:12" x14ac:dyDescent="0.3">
      <c r="C7139" s="47"/>
      <c r="H7139" s="49"/>
      <c r="K7139" s="72"/>
      <c r="L7139" s="50"/>
    </row>
    <row r="7140" spans="3:12" x14ac:dyDescent="0.3">
      <c r="C7140" s="47"/>
      <c r="H7140" s="49"/>
      <c r="K7140" s="72"/>
      <c r="L7140" s="50"/>
    </row>
    <row r="7141" spans="3:12" x14ac:dyDescent="0.3">
      <c r="C7141" s="47"/>
      <c r="H7141" s="49"/>
      <c r="K7141" s="72"/>
      <c r="L7141" s="50"/>
    </row>
    <row r="7142" spans="3:12" x14ac:dyDescent="0.3">
      <c r="C7142" s="47"/>
      <c r="H7142" s="49"/>
      <c r="K7142" s="72"/>
      <c r="L7142" s="50"/>
    </row>
    <row r="7143" spans="3:12" x14ac:dyDescent="0.3">
      <c r="C7143" s="47"/>
      <c r="H7143" s="49"/>
      <c r="K7143" s="72"/>
      <c r="L7143" s="50"/>
    </row>
    <row r="7144" spans="3:12" x14ac:dyDescent="0.3">
      <c r="C7144" s="47"/>
      <c r="H7144" s="49"/>
      <c r="K7144" s="72"/>
      <c r="L7144" s="50"/>
    </row>
    <row r="7145" spans="3:12" x14ac:dyDescent="0.3">
      <c r="C7145" s="47"/>
      <c r="H7145" s="49"/>
      <c r="K7145" s="72"/>
      <c r="L7145" s="50"/>
    </row>
    <row r="7146" spans="3:12" x14ac:dyDescent="0.3">
      <c r="C7146" s="47"/>
      <c r="H7146" s="49"/>
      <c r="K7146" s="72"/>
      <c r="L7146" s="50"/>
    </row>
    <row r="7147" spans="3:12" x14ac:dyDescent="0.3">
      <c r="C7147" s="47"/>
      <c r="H7147" s="49"/>
      <c r="K7147" s="72"/>
      <c r="L7147" s="50"/>
    </row>
    <row r="7148" spans="3:12" x14ac:dyDescent="0.3">
      <c r="C7148" s="47"/>
      <c r="H7148" s="49"/>
      <c r="K7148" s="72"/>
      <c r="L7148" s="50"/>
    </row>
    <row r="7149" spans="3:12" x14ac:dyDescent="0.3">
      <c r="C7149" s="47"/>
      <c r="H7149" s="49"/>
      <c r="K7149" s="72"/>
      <c r="L7149" s="50"/>
    </row>
    <row r="7150" spans="3:12" x14ac:dyDescent="0.3">
      <c r="C7150" s="47"/>
      <c r="H7150" s="49"/>
      <c r="K7150" s="72"/>
      <c r="L7150" s="50"/>
    </row>
    <row r="7151" spans="3:12" x14ac:dyDescent="0.3">
      <c r="C7151" s="47"/>
      <c r="H7151" s="49"/>
      <c r="K7151" s="72"/>
      <c r="L7151" s="50"/>
    </row>
    <row r="7152" spans="3:12" x14ac:dyDescent="0.3">
      <c r="C7152" s="47"/>
      <c r="H7152" s="49"/>
      <c r="K7152" s="72"/>
      <c r="L7152" s="50"/>
    </row>
    <row r="7153" spans="3:12" x14ac:dyDescent="0.3">
      <c r="C7153" s="47"/>
      <c r="H7153" s="49"/>
      <c r="K7153" s="72"/>
      <c r="L7153" s="50"/>
    </row>
    <row r="7154" spans="3:12" x14ac:dyDescent="0.3">
      <c r="C7154" s="47"/>
      <c r="H7154" s="49"/>
      <c r="K7154" s="72"/>
      <c r="L7154" s="50"/>
    </row>
    <row r="7155" spans="3:12" x14ac:dyDescent="0.3">
      <c r="C7155" s="47"/>
      <c r="H7155" s="49"/>
      <c r="K7155" s="72"/>
      <c r="L7155" s="50"/>
    </row>
    <row r="7156" spans="3:12" x14ac:dyDescent="0.3">
      <c r="C7156" s="47"/>
      <c r="H7156" s="49"/>
      <c r="K7156" s="72"/>
      <c r="L7156" s="50"/>
    </row>
    <row r="7157" spans="3:12" x14ac:dyDescent="0.3">
      <c r="C7157" s="47"/>
      <c r="H7157" s="49"/>
      <c r="K7157" s="72"/>
      <c r="L7157" s="50"/>
    </row>
    <row r="7158" spans="3:12" x14ac:dyDescent="0.3">
      <c r="C7158" s="47"/>
      <c r="H7158" s="49"/>
      <c r="K7158" s="72"/>
      <c r="L7158" s="50"/>
    </row>
    <row r="7159" spans="3:12" x14ac:dyDescent="0.3">
      <c r="C7159" s="47"/>
      <c r="H7159" s="49"/>
      <c r="K7159" s="72"/>
      <c r="L7159" s="50"/>
    </row>
    <row r="7160" spans="3:12" x14ac:dyDescent="0.3">
      <c r="C7160" s="47"/>
      <c r="H7160" s="49"/>
      <c r="K7160" s="72"/>
      <c r="L7160" s="50"/>
    </row>
    <row r="7161" spans="3:12" x14ac:dyDescent="0.3">
      <c r="C7161" s="47"/>
      <c r="H7161" s="49"/>
      <c r="K7161" s="72"/>
      <c r="L7161" s="50"/>
    </row>
    <row r="7162" spans="3:12" x14ac:dyDescent="0.3">
      <c r="C7162" s="47"/>
      <c r="H7162" s="49"/>
      <c r="K7162" s="72"/>
      <c r="L7162" s="50"/>
    </row>
    <row r="7163" spans="3:12" x14ac:dyDescent="0.3">
      <c r="C7163" s="47"/>
      <c r="H7163" s="49"/>
      <c r="K7163" s="72"/>
      <c r="L7163" s="50"/>
    </row>
    <row r="7164" spans="3:12" x14ac:dyDescent="0.3">
      <c r="C7164" s="47"/>
      <c r="H7164" s="49"/>
      <c r="K7164" s="72"/>
      <c r="L7164" s="50"/>
    </row>
    <row r="7165" spans="3:12" x14ac:dyDescent="0.3">
      <c r="C7165" s="47"/>
      <c r="H7165" s="49"/>
      <c r="K7165" s="72"/>
      <c r="L7165" s="50"/>
    </row>
    <row r="7166" spans="3:12" x14ac:dyDescent="0.3">
      <c r="C7166" s="47"/>
      <c r="H7166" s="49"/>
      <c r="K7166" s="72"/>
      <c r="L7166" s="50"/>
    </row>
    <row r="7167" spans="3:12" x14ac:dyDescent="0.3">
      <c r="C7167" s="47"/>
      <c r="H7167" s="49"/>
      <c r="K7167" s="72"/>
      <c r="L7167" s="50"/>
    </row>
    <row r="7168" spans="3:12" x14ac:dyDescent="0.3">
      <c r="C7168" s="47"/>
      <c r="H7168" s="49"/>
      <c r="K7168" s="72"/>
      <c r="L7168" s="50"/>
    </row>
    <row r="7169" spans="3:12" x14ac:dyDescent="0.3">
      <c r="C7169" s="47"/>
      <c r="H7169" s="49"/>
      <c r="K7169" s="72"/>
      <c r="L7169" s="50"/>
    </row>
    <row r="7170" spans="3:12" x14ac:dyDescent="0.3">
      <c r="C7170" s="47"/>
      <c r="H7170" s="49"/>
      <c r="K7170" s="72"/>
      <c r="L7170" s="50"/>
    </row>
    <row r="7171" spans="3:12" x14ac:dyDescent="0.3">
      <c r="C7171" s="47"/>
      <c r="H7171" s="49"/>
      <c r="K7171" s="72"/>
      <c r="L7171" s="50"/>
    </row>
    <row r="7172" spans="3:12" x14ac:dyDescent="0.3">
      <c r="C7172" s="47"/>
      <c r="H7172" s="49"/>
      <c r="K7172" s="72"/>
      <c r="L7172" s="50"/>
    </row>
    <row r="7173" spans="3:12" x14ac:dyDescent="0.3">
      <c r="C7173" s="47"/>
      <c r="H7173" s="49"/>
      <c r="K7173" s="72"/>
      <c r="L7173" s="50"/>
    </row>
    <row r="7174" spans="3:12" x14ac:dyDescent="0.3">
      <c r="C7174" s="47"/>
      <c r="H7174" s="49"/>
      <c r="K7174" s="72"/>
      <c r="L7174" s="50"/>
    </row>
    <row r="7175" spans="3:12" x14ac:dyDescent="0.3">
      <c r="C7175" s="47"/>
      <c r="H7175" s="49"/>
      <c r="K7175" s="72"/>
      <c r="L7175" s="50"/>
    </row>
    <row r="7176" spans="3:12" x14ac:dyDescent="0.3">
      <c r="C7176" s="47"/>
      <c r="H7176" s="49"/>
      <c r="K7176" s="72"/>
      <c r="L7176" s="50"/>
    </row>
    <row r="7177" spans="3:12" x14ac:dyDescent="0.3">
      <c r="C7177" s="47"/>
      <c r="H7177" s="49"/>
      <c r="K7177" s="72"/>
      <c r="L7177" s="50"/>
    </row>
    <row r="7178" spans="3:12" x14ac:dyDescent="0.3">
      <c r="C7178" s="47"/>
      <c r="H7178" s="49"/>
      <c r="K7178" s="72"/>
      <c r="L7178" s="50"/>
    </row>
    <row r="7179" spans="3:12" x14ac:dyDescent="0.3">
      <c r="C7179" s="47"/>
      <c r="H7179" s="49"/>
      <c r="K7179" s="72"/>
      <c r="L7179" s="50"/>
    </row>
    <row r="7180" spans="3:12" x14ac:dyDescent="0.3">
      <c r="C7180" s="47"/>
      <c r="H7180" s="49"/>
      <c r="K7180" s="72"/>
      <c r="L7180" s="50"/>
    </row>
    <row r="7181" spans="3:12" x14ac:dyDescent="0.3">
      <c r="C7181" s="47"/>
      <c r="H7181" s="49"/>
      <c r="K7181" s="72"/>
      <c r="L7181" s="50"/>
    </row>
    <row r="7182" spans="3:12" x14ac:dyDescent="0.3">
      <c r="C7182" s="47"/>
      <c r="H7182" s="49"/>
      <c r="K7182" s="72"/>
      <c r="L7182" s="50"/>
    </row>
    <row r="7183" spans="3:12" x14ac:dyDescent="0.3">
      <c r="C7183" s="47"/>
      <c r="H7183" s="49"/>
      <c r="K7183" s="72"/>
      <c r="L7183" s="50"/>
    </row>
    <row r="7184" spans="3:12" x14ac:dyDescent="0.3">
      <c r="C7184" s="47"/>
      <c r="H7184" s="49"/>
      <c r="K7184" s="72"/>
      <c r="L7184" s="50"/>
    </row>
    <row r="7185" spans="3:12" x14ac:dyDescent="0.3">
      <c r="C7185" s="47"/>
      <c r="H7185" s="49"/>
      <c r="K7185" s="72"/>
      <c r="L7185" s="50"/>
    </row>
    <row r="7186" spans="3:12" x14ac:dyDescent="0.3">
      <c r="C7186" s="47"/>
      <c r="H7186" s="49"/>
      <c r="K7186" s="72"/>
      <c r="L7186" s="50"/>
    </row>
    <row r="7187" spans="3:12" x14ac:dyDescent="0.3">
      <c r="C7187" s="47"/>
      <c r="H7187" s="49"/>
      <c r="K7187" s="72"/>
      <c r="L7187" s="50"/>
    </row>
    <row r="7188" spans="3:12" x14ac:dyDescent="0.3">
      <c r="C7188" s="47"/>
      <c r="H7188" s="49"/>
      <c r="K7188" s="72"/>
      <c r="L7188" s="50"/>
    </row>
    <row r="7189" spans="3:12" x14ac:dyDescent="0.3">
      <c r="C7189" s="47"/>
      <c r="H7189" s="49"/>
      <c r="K7189" s="72"/>
      <c r="L7189" s="50"/>
    </row>
    <row r="7190" spans="3:12" x14ac:dyDescent="0.3">
      <c r="C7190" s="47"/>
      <c r="H7190" s="49"/>
      <c r="K7190" s="72"/>
      <c r="L7190" s="50"/>
    </row>
    <row r="7191" spans="3:12" x14ac:dyDescent="0.3">
      <c r="C7191" s="47"/>
      <c r="H7191" s="49"/>
      <c r="K7191" s="72"/>
      <c r="L7191" s="50"/>
    </row>
    <row r="7192" spans="3:12" x14ac:dyDescent="0.3">
      <c r="C7192" s="47"/>
      <c r="H7192" s="49"/>
      <c r="K7192" s="72"/>
      <c r="L7192" s="50"/>
    </row>
    <row r="7193" spans="3:12" x14ac:dyDescent="0.3">
      <c r="C7193" s="47"/>
      <c r="H7193" s="49"/>
      <c r="K7193" s="72"/>
      <c r="L7193" s="50"/>
    </row>
    <row r="7194" spans="3:12" x14ac:dyDescent="0.3">
      <c r="C7194" s="47"/>
      <c r="H7194" s="49"/>
      <c r="K7194" s="72"/>
      <c r="L7194" s="50"/>
    </row>
    <row r="7195" spans="3:12" x14ac:dyDescent="0.3">
      <c r="C7195" s="47"/>
      <c r="H7195" s="49"/>
      <c r="K7195" s="72"/>
      <c r="L7195" s="50"/>
    </row>
    <row r="7196" spans="3:12" x14ac:dyDescent="0.3">
      <c r="C7196" s="47"/>
      <c r="H7196" s="49"/>
      <c r="K7196" s="72"/>
      <c r="L7196" s="50"/>
    </row>
    <row r="7197" spans="3:12" x14ac:dyDescent="0.3">
      <c r="C7197" s="47"/>
      <c r="H7197" s="49"/>
      <c r="K7197" s="72"/>
      <c r="L7197" s="50"/>
    </row>
    <row r="7198" spans="3:12" x14ac:dyDescent="0.3">
      <c r="C7198" s="47"/>
      <c r="H7198" s="49"/>
      <c r="K7198" s="72"/>
      <c r="L7198" s="50"/>
    </row>
    <row r="7199" spans="3:12" x14ac:dyDescent="0.3">
      <c r="C7199" s="47"/>
      <c r="H7199" s="49"/>
      <c r="K7199" s="72"/>
      <c r="L7199" s="50"/>
    </row>
    <row r="7200" spans="3:12" x14ac:dyDescent="0.3">
      <c r="C7200" s="47"/>
      <c r="H7200" s="49"/>
      <c r="K7200" s="72"/>
      <c r="L7200" s="50"/>
    </row>
    <row r="7201" spans="3:12" x14ac:dyDescent="0.3">
      <c r="C7201" s="47"/>
      <c r="H7201" s="49"/>
      <c r="K7201" s="72"/>
      <c r="L7201" s="50"/>
    </row>
    <row r="7202" spans="3:12" x14ac:dyDescent="0.3">
      <c r="C7202" s="47"/>
      <c r="H7202" s="49"/>
      <c r="K7202" s="72"/>
      <c r="L7202" s="50"/>
    </row>
    <row r="7203" spans="3:12" x14ac:dyDescent="0.3">
      <c r="C7203" s="47"/>
      <c r="H7203" s="49"/>
      <c r="K7203" s="72"/>
      <c r="L7203" s="50"/>
    </row>
    <row r="7204" spans="3:12" x14ac:dyDescent="0.3">
      <c r="C7204" s="47"/>
      <c r="H7204" s="49"/>
      <c r="K7204" s="72"/>
      <c r="L7204" s="50"/>
    </row>
    <row r="7205" spans="3:12" x14ac:dyDescent="0.3">
      <c r="C7205" s="47"/>
      <c r="H7205" s="49"/>
      <c r="K7205" s="72"/>
      <c r="L7205" s="50"/>
    </row>
    <row r="7206" spans="3:12" x14ac:dyDescent="0.3">
      <c r="C7206" s="47"/>
      <c r="H7206" s="49"/>
      <c r="K7206" s="72"/>
      <c r="L7206" s="50"/>
    </row>
    <row r="7207" spans="3:12" x14ac:dyDescent="0.3">
      <c r="C7207" s="47"/>
      <c r="H7207" s="49"/>
      <c r="K7207" s="72"/>
      <c r="L7207" s="50"/>
    </row>
    <row r="7208" spans="3:12" x14ac:dyDescent="0.3">
      <c r="C7208" s="47"/>
      <c r="H7208" s="49"/>
      <c r="K7208" s="72"/>
      <c r="L7208" s="50"/>
    </row>
    <row r="7209" spans="3:12" x14ac:dyDescent="0.3">
      <c r="C7209" s="47"/>
      <c r="H7209" s="49"/>
      <c r="K7209" s="72"/>
      <c r="L7209" s="50"/>
    </row>
    <row r="7210" spans="3:12" x14ac:dyDescent="0.3">
      <c r="C7210" s="47"/>
      <c r="H7210" s="49"/>
      <c r="K7210" s="72"/>
      <c r="L7210" s="50"/>
    </row>
    <row r="7211" spans="3:12" x14ac:dyDescent="0.3">
      <c r="C7211" s="47"/>
      <c r="H7211" s="49"/>
      <c r="K7211" s="72"/>
      <c r="L7211" s="50"/>
    </row>
    <row r="7212" spans="3:12" x14ac:dyDescent="0.3">
      <c r="C7212" s="47"/>
      <c r="H7212" s="49"/>
      <c r="K7212" s="72"/>
      <c r="L7212" s="50"/>
    </row>
    <row r="7213" spans="3:12" x14ac:dyDescent="0.3">
      <c r="C7213" s="47"/>
      <c r="H7213" s="49"/>
      <c r="K7213" s="72"/>
      <c r="L7213" s="50"/>
    </row>
    <row r="7214" spans="3:12" x14ac:dyDescent="0.3">
      <c r="C7214" s="47"/>
      <c r="H7214" s="49"/>
      <c r="K7214" s="72"/>
      <c r="L7214" s="50"/>
    </row>
    <row r="7215" spans="3:12" x14ac:dyDescent="0.3">
      <c r="C7215" s="47"/>
      <c r="H7215" s="49"/>
      <c r="K7215" s="72"/>
      <c r="L7215" s="50"/>
    </row>
    <row r="7216" spans="3:12" x14ac:dyDescent="0.3">
      <c r="C7216" s="47"/>
      <c r="H7216" s="49"/>
      <c r="K7216" s="72"/>
      <c r="L7216" s="50"/>
    </row>
    <row r="7217" spans="3:12" x14ac:dyDescent="0.3">
      <c r="C7217" s="47"/>
      <c r="H7217" s="49"/>
      <c r="K7217" s="72"/>
      <c r="L7217" s="50"/>
    </row>
    <row r="7218" spans="3:12" x14ac:dyDescent="0.3">
      <c r="C7218" s="47"/>
      <c r="H7218" s="49"/>
      <c r="K7218" s="72"/>
      <c r="L7218" s="50"/>
    </row>
    <row r="7219" spans="3:12" x14ac:dyDescent="0.3">
      <c r="C7219" s="47"/>
      <c r="H7219" s="49"/>
      <c r="K7219" s="72"/>
      <c r="L7219" s="50"/>
    </row>
    <row r="7220" spans="3:12" x14ac:dyDescent="0.3">
      <c r="C7220" s="47"/>
      <c r="H7220" s="49"/>
      <c r="K7220" s="72"/>
      <c r="L7220" s="50"/>
    </row>
    <row r="7221" spans="3:12" x14ac:dyDescent="0.3">
      <c r="C7221" s="47"/>
      <c r="H7221" s="49"/>
      <c r="K7221" s="72"/>
      <c r="L7221" s="50"/>
    </row>
    <row r="7222" spans="3:12" x14ac:dyDescent="0.3">
      <c r="C7222" s="47"/>
      <c r="H7222" s="49"/>
      <c r="K7222" s="72"/>
      <c r="L7222" s="50"/>
    </row>
    <row r="7223" spans="3:12" x14ac:dyDescent="0.3">
      <c r="C7223" s="47"/>
      <c r="H7223" s="49"/>
      <c r="K7223" s="72"/>
      <c r="L7223" s="50"/>
    </row>
    <row r="7224" spans="3:12" x14ac:dyDescent="0.3">
      <c r="C7224" s="47"/>
      <c r="H7224" s="49"/>
      <c r="K7224" s="72"/>
      <c r="L7224" s="50"/>
    </row>
    <row r="7225" spans="3:12" x14ac:dyDescent="0.3">
      <c r="C7225" s="47"/>
      <c r="H7225" s="49"/>
      <c r="K7225" s="72"/>
      <c r="L7225" s="50"/>
    </row>
    <row r="7226" spans="3:12" x14ac:dyDescent="0.3">
      <c r="C7226" s="47"/>
      <c r="H7226" s="49"/>
      <c r="K7226" s="72"/>
      <c r="L7226" s="50"/>
    </row>
    <row r="7227" spans="3:12" x14ac:dyDescent="0.3">
      <c r="C7227" s="47"/>
      <c r="H7227" s="49"/>
      <c r="K7227" s="72"/>
      <c r="L7227" s="50"/>
    </row>
    <row r="7228" spans="3:12" x14ac:dyDescent="0.3">
      <c r="C7228" s="47"/>
      <c r="H7228" s="49"/>
      <c r="K7228" s="72"/>
      <c r="L7228" s="50"/>
    </row>
    <row r="7229" spans="3:12" x14ac:dyDescent="0.3">
      <c r="C7229" s="47"/>
      <c r="H7229" s="49"/>
      <c r="K7229" s="72"/>
      <c r="L7229" s="50"/>
    </row>
    <row r="7230" spans="3:12" x14ac:dyDescent="0.3">
      <c r="C7230" s="47"/>
      <c r="H7230" s="49"/>
      <c r="K7230" s="72"/>
      <c r="L7230" s="50"/>
    </row>
    <row r="7231" spans="3:12" x14ac:dyDescent="0.3">
      <c r="C7231" s="47"/>
      <c r="H7231" s="49"/>
      <c r="K7231" s="72"/>
      <c r="L7231" s="50"/>
    </row>
    <row r="7232" spans="3:12" x14ac:dyDescent="0.3">
      <c r="C7232" s="47"/>
      <c r="H7232" s="49"/>
      <c r="K7232" s="72"/>
      <c r="L7232" s="50"/>
    </row>
    <row r="7233" spans="3:12" x14ac:dyDescent="0.3">
      <c r="C7233" s="47"/>
      <c r="H7233" s="49"/>
      <c r="K7233" s="72"/>
      <c r="L7233" s="50"/>
    </row>
    <row r="7234" spans="3:12" x14ac:dyDescent="0.3">
      <c r="C7234" s="47"/>
      <c r="H7234" s="49"/>
      <c r="K7234" s="72"/>
      <c r="L7234" s="50"/>
    </row>
    <row r="7235" spans="3:12" x14ac:dyDescent="0.3">
      <c r="C7235" s="47"/>
      <c r="H7235" s="49"/>
      <c r="K7235" s="72"/>
      <c r="L7235" s="50"/>
    </row>
    <row r="7236" spans="3:12" x14ac:dyDescent="0.3">
      <c r="C7236" s="47"/>
      <c r="H7236" s="49"/>
      <c r="K7236" s="72"/>
      <c r="L7236" s="50"/>
    </row>
    <row r="7237" spans="3:12" x14ac:dyDescent="0.3">
      <c r="C7237" s="47"/>
      <c r="H7237" s="49"/>
      <c r="K7237" s="72"/>
      <c r="L7237" s="50"/>
    </row>
    <row r="7238" spans="3:12" x14ac:dyDescent="0.3">
      <c r="C7238" s="47"/>
      <c r="H7238" s="49"/>
      <c r="K7238" s="72"/>
      <c r="L7238" s="50"/>
    </row>
    <row r="7239" spans="3:12" x14ac:dyDescent="0.3">
      <c r="C7239" s="47"/>
      <c r="H7239" s="49"/>
      <c r="K7239" s="72"/>
      <c r="L7239" s="50"/>
    </row>
    <row r="7240" spans="3:12" x14ac:dyDescent="0.3">
      <c r="C7240" s="47"/>
      <c r="H7240" s="49"/>
      <c r="K7240" s="72"/>
      <c r="L7240" s="50"/>
    </row>
    <row r="7241" spans="3:12" x14ac:dyDescent="0.3">
      <c r="C7241" s="47"/>
      <c r="H7241" s="49"/>
      <c r="K7241" s="72"/>
      <c r="L7241" s="50"/>
    </row>
    <row r="7242" spans="3:12" x14ac:dyDescent="0.3">
      <c r="C7242" s="47"/>
      <c r="H7242" s="49"/>
      <c r="K7242" s="72"/>
      <c r="L7242" s="50"/>
    </row>
    <row r="7243" spans="3:12" x14ac:dyDescent="0.3">
      <c r="C7243" s="47"/>
      <c r="H7243" s="49"/>
      <c r="K7243" s="72"/>
      <c r="L7243" s="50"/>
    </row>
    <row r="7244" spans="3:12" x14ac:dyDescent="0.3">
      <c r="C7244" s="47"/>
      <c r="H7244" s="49"/>
      <c r="K7244" s="72"/>
      <c r="L7244" s="50"/>
    </row>
    <row r="7245" spans="3:12" x14ac:dyDescent="0.3">
      <c r="C7245" s="47"/>
      <c r="H7245" s="49"/>
      <c r="K7245" s="72"/>
      <c r="L7245" s="50"/>
    </row>
    <row r="7246" spans="3:12" x14ac:dyDescent="0.3">
      <c r="C7246" s="47"/>
      <c r="H7246" s="49"/>
      <c r="K7246" s="72"/>
      <c r="L7246" s="50"/>
    </row>
    <row r="7247" spans="3:12" x14ac:dyDescent="0.3">
      <c r="C7247" s="47"/>
      <c r="H7247" s="49"/>
      <c r="K7247" s="72"/>
      <c r="L7247" s="50"/>
    </row>
    <row r="7248" spans="3:12" x14ac:dyDescent="0.3">
      <c r="C7248" s="47"/>
      <c r="H7248" s="49"/>
      <c r="K7248" s="72"/>
      <c r="L7248" s="50"/>
    </row>
    <row r="7249" spans="3:12" x14ac:dyDescent="0.3">
      <c r="C7249" s="47"/>
      <c r="H7249" s="49"/>
      <c r="K7249" s="72"/>
      <c r="L7249" s="50"/>
    </row>
    <row r="7250" spans="3:12" x14ac:dyDescent="0.3">
      <c r="C7250" s="47"/>
      <c r="H7250" s="49"/>
      <c r="K7250" s="72"/>
      <c r="L7250" s="50"/>
    </row>
    <row r="7251" spans="3:12" x14ac:dyDescent="0.3">
      <c r="C7251" s="47"/>
      <c r="H7251" s="49"/>
      <c r="K7251" s="72"/>
      <c r="L7251" s="50"/>
    </row>
    <row r="7252" spans="3:12" x14ac:dyDescent="0.3">
      <c r="C7252" s="47"/>
      <c r="H7252" s="49"/>
      <c r="K7252" s="72"/>
      <c r="L7252" s="50"/>
    </row>
    <row r="7253" spans="3:12" x14ac:dyDescent="0.3">
      <c r="C7253" s="47"/>
      <c r="H7253" s="49"/>
      <c r="K7253" s="72"/>
      <c r="L7253" s="50"/>
    </row>
    <row r="7254" spans="3:12" x14ac:dyDescent="0.3">
      <c r="C7254" s="47"/>
      <c r="H7254" s="49"/>
      <c r="K7254" s="72"/>
      <c r="L7254" s="50"/>
    </row>
    <row r="7255" spans="3:12" x14ac:dyDescent="0.3">
      <c r="C7255" s="47"/>
      <c r="H7255" s="49"/>
      <c r="K7255" s="72"/>
      <c r="L7255" s="50"/>
    </row>
    <row r="7256" spans="3:12" x14ac:dyDescent="0.3">
      <c r="C7256" s="47"/>
      <c r="H7256" s="49"/>
      <c r="K7256" s="72"/>
      <c r="L7256" s="50"/>
    </row>
    <row r="7257" spans="3:12" x14ac:dyDescent="0.3">
      <c r="C7257" s="47"/>
      <c r="H7257" s="49"/>
      <c r="K7257" s="72"/>
      <c r="L7257" s="50"/>
    </row>
    <row r="7258" spans="3:12" x14ac:dyDescent="0.3">
      <c r="C7258" s="47"/>
      <c r="H7258" s="49"/>
      <c r="K7258" s="72"/>
      <c r="L7258" s="50"/>
    </row>
    <row r="7259" spans="3:12" x14ac:dyDescent="0.3">
      <c r="C7259" s="47"/>
      <c r="H7259" s="49"/>
      <c r="K7259" s="72"/>
      <c r="L7259" s="50"/>
    </row>
    <row r="7260" spans="3:12" x14ac:dyDescent="0.3">
      <c r="C7260" s="47"/>
      <c r="H7260" s="49"/>
      <c r="K7260" s="72"/>
      <c r="L7260" s="50"/>
    </row>
    <row r="7261" spans="3:12" x14ac:dyDescent="0.3">
      <c r="C7261" s="47"/>
      <c r="H7261" s="49"/>
      <c r="K7261" s="72"/>
      <c r="L7261" s="50"/>
    </row>
    <row r="7262" spans="3:12" x14ac:dyDescent="0.3">
      <c r="C7262" s="47"/>
      <c r="H7262" s="49"/>
      <c r="K7262" s="72"/>
      <c r="L7262" s="50"/>
    </row>
    <row r="7263" spans="3:12" x14ac:dyDescent="0.3">
      <c r="C7263" s="47"/>
      <c r="H7263" s="49"/>
      <c r="K7263" s="72"/>
      <c r="L7263" s="50"/>
    </row>
    <row r="7264" spans="3:12" x14ac:dyDescent="0.3">
      <c r="C7264" s="47"/>
      <c r="H7264" s="49"/>
      <c r="K7264" s="72"/>
      <c r="L7264" s="50"/>
    </row>
    <row r="7265" spans="3:12" x14ac:dyDescent="0.3">
      <c r="C7265" s="47"/>
      <c r="H7265" s="49"/>
      <c r="K7265" s="72"/>
      <c r="L7265" s="50"/>
    </row>
    <row r="7266" spans="3:12" x14ac:dyDescent="0.3">
      <c r="C7266" s="47"/>
      <c r="H7266" s="49"/>
      <c r="K7266" s="72"/>
      <c r="L7266" s="50"/>
    </row>
    <row r="7267" spans="3:12" x14ac:dyDescent="0.3">
      <c r="C7267" s="47"/>
      <c r="H7267" s="49"/>
      <c r="K7267" s="72"/>
      <c r="L7267" s="50"/>
    </row>
    <row r="7268" spans="3:12" x14ac:dyDescent="0.3">
      <c r="C7268" s="47"/>
      <c r="H7268" s="49"/>
      <c r="K7268" s="72"/>
      <c r="L7268" s="50"/>
    </row>
    <row r="7269" spans="3:12" x14ac:dyDescent="0.3">
      <c r="C7269" s="47"/>
      <c r="H7269" s="49"/>
      <c r="K7269" s="72"/>
      <c r="L7269" s="50"/>
    </row>
    <row r="7270" spans="3:12" x14ac:dyDescent="0.3">
      <c r="C7270" s="47"/>
      <c r="H7270" s="49"/>
      <c r="K7270" s="72"/>
      <c r="L7270" s="50"/>
    </row>
    <row r="7271" spans="3:12" x14ac:dyDescent="0.3">
      <c r="C7271" s="47"/>
      <c r="H7271" s="49"/>
      <c r="K7271" s="72"/>
      <c r="L7271" s="50"/>
    </row>
    <row r="7272" spans="3:12" x14ac:dyDescent="0.3">
      <c r="C7272" s="47"/>
      <c r="H7272" s="49"/>
      <c r="K7272" s="72"/>
      <c r="L7272" s="50"/>
    </row>
    <row r="7273" spans="3:12" x14ac:dyDescent="0.3">
      <c r="C7273" s="47"/>
      <c r="H7273" s="49"/>
      <c r="K7273" s="72"/>
      <c r="L7273" s="50"/>
    </row>
    <row r="7274" spans="3:12" x14ac:dyDescent="0.3">
      <c r="C7274" s="47"/>
      <c r="H7274" s="49"/>
      <c r="K7274" s="72"/>
      <c r="L7274" s="50"/>
    </row>
    <row r="7275" spans="3:12" x14ac:dyDescent="0.3">
      <c r="C7275" s="47"/>
      <c r="H7275" s="49"/>
      <c r="K7275" s="72"/>
      <c r="L7275" s="50"/>
    </row>
    <row r="7276" spans="3:12" x14ac:dyDescent="0.3">
      <c r="C7276" s="47"/>
      <c r="H7276" s="49"/>
      <c r="K7276" s="72"/>
      <c r="L7276" s="50"/>
    </row>
    <row r="7277" spans="3:12" x14ac:dyDescent="0.3">
      <c r="C7277" s="47"/>
      <c r="H7277" s="49"/>
      <c r="K7277" s="72"/>
      <c r="L7277" s="50"/>
    </row>
    <row r="7278" spans="3:12" x14ac:dyDescent="0.3">
      <c r="C7278" s="47"/>
      <c r="H7278" s="49"/>
      <c r="K7278" s="72"/>
      <c r="L7278" s="50"/>
    </row>
    <row r="7279" spans="3:12" x14ac:dyDescent="0.3">
      <c r="C7279" s="47"/>
      <c r="H7279" s="49"/>
      <c r="K7279" s="72"/>
      <c r="L7279" s="50"/>
    </row>
    <row r="7280" spans="3:12" x14ac:dyDescent="0.3">
      <c r="C7280" s="47"/>
      <c r="H7280" s="49"/>
      <c r="K7280" s="72"/>
      <c r="L7280" s="50"/>
    </row>
    <row r="7281" spans="3:12" x14ac:dyDescent="0.3">
      <c r="C7281" s="47"/>
      <c r="H7281" s="49"/>
      <c r="K7281" s="72"/>
      <c r="L7281" s="50"/>
    </row>
    <row r="7282" spans="3:12" x14ac:dyDescent="0.3">
      <c r="C7282" s="47"/>
      <c r="H7282" s="49"/>
      <c r="K7282" s="72"/>
      <c r="L7282" s="50"/>
    </row>
    <row r="7283" spans="3:12" x14ac:dyDescent="0.3">
      <c r="C7283" s="47"/>
      <c r="H7283" s="49"/>
      <c r="K7283" s="72"/>
      <c r="L7283" s="50"/>
    </row>
    <row r="7284" spans="3:12" x14ac:dyDescent="0.3">
      <c r="C7284" s="47"/>
      <c r="H7284" s="49"/>
      <c r="K7284" s="72"/>
      <c r="L7284" s="50"/>
    </row>
    <row r="7285" spans="3:12" x14ac:dyDescent="0.3">
      <c r="C7285" s="47"/>
      <c r="H7285" s="49"/>
      <c r="K7285" s="72"/>
      <c r="L7285" s="50"/>
    </row>
    <row r="7286" spans="3:12" x14ac:dyDescent="0.3">
      <c r="C7286" s="47"/>
      <c r="H7286" s="49"/>
      <c r="K7286" s="72"/>
      <c r="L7286" s="50"/>
    </row>
    <row r="7287" spans="3:12" x14ac:dyDescent="0.3">
      <c r="C7287" s="47"/>
      <c r="H7287" s="49"/>
      <c r="K7287" s="72"/>
      <c r="L7287" s="50"/>
    </row>
    <row r="7288" spans="3:12" x14ac:dyDescent="0.3">
      <c r="C7288" s="47"/>
      <c r="H7288" s="49"/>
      <c r="K7288" s="72"/>
      <c r="L7288" s="50"/>
    </row>
    <row r="7289" spans="3:12" x14ac:dyDescent="0.3">
      <c r="C7289" s="47"/>
      <c r="H7289" s="49"/>
      <c r="K7289" s="72"/>
      <c r="L7289" s="50"/>
    </row>
    <row r="7290" spans="3:12" x14ac:dyDescent="0.3">
      <c r="C7290" s="47"/>
      <c r="H7290" s="49"/>
      <c r="K7290" s="72"/>
      <c r="L7290" s="50"/>
    </row>
    <row r="7291" spans="3:12" x14ac:dyDescent="0.3">
      <c r="C7291" s="47"/>
      <c r="H7291" s="49"/>
      <c r="K7291" s="72"/>
      <c r="L7291" s="50"/>
    </row>
    <row r="7292" spans="3:12" x14ac:dyDescent="0.3">
      <c r="C7292" s="47"/>
      <c r="H7292" s="49"/>
      <c r="K7292" s="72"/>
      <c r="L7292" s="50"/>
    </row>
    <row r="7293" spans="3:12" x14ac:dyDescent="0.3">
      <c r="C7293" s="47"/>
      <c r="H7293" s="49"/>
      <c r="K7293" s="72"/>
      <c r="L7293" s="50"/>
    </row>
    <row r="7294" spans="3:12" x14ac:dyDescent="0.3">
      <c r="C7294" s="47"/>
      <c r="H7294" s="49"/>
      <c r="K7294" s="72"/>
      <c r="L7294" s="50"/>
    </row>
    <row r="7295" spans="3:12" x14ac:dyDescent="0.3">
      <c r="C7295" s="47"/>
      <c r="H7295" s="49"/>
      <c r="K7295" s="72"/>
      <c r="L7295" s="50"/>
    </row>
    <row r="7296" spans="3:12" x14ac:dyDescent="0.3">
      <c r="C7296" s="47"/>
      <c r="H7296" s="49"/>
      <c r="K7296" s="72"/>
      <c r="L7296" s="50"/>
    </row>
    <row r="7297" spans="3:12" x14ac:dyDescent="0.3">
      <c r="C7297" s="47"/>
      <c r="H7297" s="49"/>
      <c r="K7297" s="72"/>
      <c r="L7297" s="50"/>
    </row>
    <row r="7298" spans="3:12" x14ac:dyDescent="0.3">
      <c r="C7298" s="47"/>
      <c r="H7298" s="49"/>
      <c r="K7298" s="72"/>
      <c r="L7298" s="50"/>
    </row>
    <row r="7299" spans="3:12" x14ac:dyDescent="0.3">
      <c r="C7299" s="47"/>
      <c r="H7299" s="49"/>
      <c r="K7299" s="72"/>
      <c r="L7299" s="50"/>
    </row>
    <row r="7300" spans="3:12" x14ac:dyDescent="0.3">
      <c r="C7300" s="47"/>
      <c r="H7300" s="49"/>
      <c r="K7300" s="72"/>
      <c r="L7300" s="50"/>
    </row>
    <row r="7301" spans="3:12" x14ac:dyDescent="0.3">
      <c r="C7301" s="47"/>
      <c r="H7301" s="49"/>
      <c r="K7301" s="72"/>
      <c r="L7301" s="50"/>
    </row>
    <row r="7302" spans="3:12" x14ac:dyDescent="0.3">
      <c r="C7302" s="47"/>
      <c r="H7302" s="49"/>
      <c r="K7302" s="72"/>
      <c r="L7302" s="50"/>
    </row>
    <row r="7303" spans="3:12" x14ac:dyDescent="0.3">
      <c r="C7303" s="47"/>
      <c r="H7303" s="49"/>
      <c r="K7303" s="72"/>
      <c r="L7303" s="50"/>
    </row>
    <row r="7304" spans="3:12" x14ac:dyDescent="0.3">
      <c r="C7304" s="47"/>
      <c r="H7304" s="49"/>
      <c r="K7304" s="72"/>
      <c r="L7304" s="50"/>
    </row>
    <row r="7305" spans="3:12" x14ac:dyDescent="0.3">
      <c r="C7305" s="47"/>
      <c r="H7305" s="49"/>
      <c r="K7305" s="72"/>
      <c r="L7305" s="50"/>
    </row>
    <row r="7306" spans="3:12" x14ac:dyDescent="0.3">
      <c r="C7306" s="47"/>
      <c r="H7306" s="49"/>
      <c r="K7306" s="72"/>
      <c r="L7306" s="50"/>
    </row>
    <row r="7307" spans="3:12" x14ac:dyDescent="0.3">
      <c r="C7307" s="47"/>
      <c r="H7307" s="49"/>
      <c r="K7307" s="72"/>
      <c r="L7307" s="50"/>
    </row>
    <row r="7308" spans="3:12" x14ac:dyDescent="0.3">
      <c r="C7308" s="47"/>
      <c r="H7308" s="49"/>
      <c r="K7308" s="72"/>
      <c r="L7308" s="50"/>
    </row>
    <row r="7309" spans="3:12" x14ac:dyDescent="0.3">
      <c r="C7309" s="47"/>
      <c r="H7309" s="49"/>
      <c r="K7309" s="72"/>
      <c r="L7309" s="50"/>
    </row>
    <row r="7310" spans="3:12" x14ac:dyDescent="0.3">
      <c r="C7310" s="47"/>
      <c r="H7310" s="49"/>
      <c r="K7310" s="72"/>
      <c r="L7310" s="50"/>
    </row>
    <row r="7311" spans="3:12" x14ac:dyDescent="0.3">
      <c r="C7311" s="47"/>
      <c r="H7311" s="49"/>
      <c r="K7311" s="72"/>
      <c r="L7311" s="50"/>
    </row>
    <row r="7312" spans="3:12" x14ac:dyDescent="0.3">
      <c r="C7312" s="47"/>
      <c r="H7312" s="49"/>
      <c r="K7312" s="72"/>
      <c r="L7312" s="50"/>
    </row>
    <row r="7313" spans="3:12" x14ac:dyDescent="0.3">
      <c r="C7313" s="47"/>
      <c r="H7313" s="49"/>
      <c r="K7313" s="72"/>
      <c r="L7313" s="50"/>
    </row>
    <row r="7314" spans="3:12" x14ac:dyDescent="0.3">
      <c r="C7314" s="47"/>
      <c r="H7314" s="49"/>
      <c r="K7314" s="72"/>
      <c r="L7314" s="50"/>
    </row>
    <row r="7315" spans="3:12" x14ac:dyDescent="0.3">
      <c r="C7315" s="47"/>
      <c r="H7315" s="49"/>
      <c r="K7315" s="72"/>
      <c r="L7315" s="50"/>
    </row>
    <row r="7316" spans="3:12" x14ac:dyDescent="0.3">
      <c r="C7316" s="47"/>
      <c r="H7316" s="49"/>
      <c r="K7316" s="72"/>
      <c r="L7316" s="50"/>
    </row>
    <row r="7317" spans="3:12" x14ac:dyDescent="0.3">
      <c r="C7317" s="47"/>
      <c r="H7317" s="49"/>
      <c r="K7317" s="72"/>
      <c r="L7317" s="50"/>
    </row>
    <row r="7318" spans="3:12" x14ac:dyDescent="0.3">
      <c r="C7318" s="47"/>
      <c r="H7318" s="49"/>
      <c r="K7318" s="72"/>
      <c r="L7318" s="50"/>
    </row>
    <row r="7319" spans="3:12" x14ac:dyDescent="0.3">
      <c r="C7319" s="47"/>
      <c r="H7319" s="49"/>
      <c r="K7319" s="72"/>
      <c r="L7319" s="50"/>
    </row>
    <row r="7320" spans="3:12" x14ac:dyDescent="0.3">
      <c r="C7320" s="47"/>
      <c r="H7320" s="49"/>
      <c r="K7320" s="72"/>
      <c r="L7320" s="50"/>
    </row>
    <row r="7321" spans="3:12" x14ac:dyDescent="0.3">
      <c r="C7321" s="47"/>
      <c r="H7321" s="49"/>
      <c r="K7321" s="72"/>
      <c r="L7321" s="50"/>
    </row>
    <row r="7322" spans="3:12" x14ac:dyDescent="0.3">
      <c r="C7322" s="47"/>
      <c r="H7322" s="49"/>
      <c r="K7322" s="72"/>
      <c r="L7322" s="50"/>
    </row>
    <row r="7323" spans="3:12" x14ac:dyDescent="0.3">
      <c r="C7323" s="47"/>
      <c r="H7323" s="49"/>
      <c r="K7323" s="72"/>
      <c r="L7323" s="50"/>
    </row>
    <row r="7324" spans="3:12" x14ac:dyDescent="0.3">
      <c r="C7324" s="47"/>
      <c r="H7324" s="49"/>
      <c r="K7324" s="72"/>
      <c r="L7324" s="50"/>
    </row>
    <row r="7325" spans="3:12" x14ac:dyDescent="0.3">
      <c r="C7325" s="47"/>
      <c r="H7325" s="49"/>
      <c r="K7325" s="72"/>
      <c r="L7325" s="50"/>
    </row>
    <row r="7326" spans="3:12" x14ac:dyDescent="0.3">
      <c r="C7326" s="47"/>
      <c r="H7326" s="49"/>
      <c r="K7326" s="72"/>
      <c r="L7326" s="50"/>
    </row>
    <row r="7327" spans="3:12" x14ac:dyDescent="0.3">
      <c r="C7327" s="47"/>
      <c r="H7327" s="49"/>
      <c r="K7327" s="72"/>
      <c r="L7327" s="50"/>
    </row>
    <row r="7328" spans="3:12" x14ac:dyDescent="0.3">
      <c r="C7328" s="47"/>
      <c r="H7328" s="49"/>
      <c r="K7328" s="72"/>
      <c r="L7328" s="50"/>
    </row>
    <row r="7329" spans="3:12" x14ac:dyDescent="0.3">
      <c r="C7329" s="47"/>
      <c r="H7329" s="49"/>
      <c r="K7329" s="72"/>
      <c r="L7329" s="50"/>
    </row>
    <row r="7330" spans="3:12" x14ac:dyDescent="0.3">
      <c r="C7330" s="47"/>
      <c r="H7330" s="49"/>
      <c r="K7330" s="72"/>
      <c r="L7330" s="50"/>
    </row>
    <row r="7331" spans="3:12" x14ac:dyDescent="0.3">
      <c r="C7331" s="47"/>
      <c r="H7331" s="49"/>
      <c r="K7331" s="72"/>
      <c r="L7331" s="50"/>
    </row>
    <row r="7332" spans="3:12" x14ac:dyDescent="0.3">
      <c r="C7332" s="47"/>
      <c r="H7332" s="49"/>
      <c r="K7332" s="72"/>
      <c r="L7332" s="50"/>
    </row>
    <row r="7333" spans="3:12" x14ac:dyDescent="0.3">
      <c r="C7333" s="47"/>
      <c r="H7333" s="49"/>
      <c r="K7333" s="72"/>
      <c r="L7333" s="50"/>
    </row>
    <row r="7334" spans="3:12" x14ac:dyDescent="0.3">
      <c r="C7334" s="47"/>
      <c r="H7334" s="49"/>
      <c r="K7334" s="72"/>
      <c r="L7334" s="50"/>
    </row>
    <row r="7335" spans="3:12" x14ac:dyDescent="0.3">
      <c r="C7335" s="47"/>
      <c r="H7335" s="49"/>
      <c r="K7335" s="72"/>
      <c r="L7335" s="50"/>
    </row>
    <row r="7336" spans="3:12" x14ac:dyDescent="0.3">
      <c r="C7336" s="47"/>
      <c r="H7336" s="49"/>
      <c r="K7336" s="72"/>
      <c r="L7336" s="50"/>
    </row>
    <row r="7337" spans="3:12" x14ac:dyDescent="0.3">
      <c r="C7337" s="47"/>
      <c r="H7337" s="49"/>
      <c r="K7337" s="72"/>
      <c r="L7337" s="50"/>
    </row>
    <row r="7338" spans="3:12" x14ac:dyDescent="0.3">
      <c r="C7338" s="47"/>
      <c r="H7338" s="49"/>
      <c r="K7338" s="72"/>
      <c r="L7338" s="50"/>
    </row>
    <row r="7339" spans="3:12" x14ac:dyDescent="0.3">
      <c r="C7339" s="47"/>
      <c r="H7339" s="49"/>
      <c r="K7339" s="72"/>
      <c r="L7339" s="50"/>
    </row>
    <row r="7340" spans="3:12" x14ac:dyDescent="0.3">
      <c r="C7340" s="47"/>
      <c r="H7340" s="49"/>
      <c r="K7340" s="72"/>
      <c r="L7340" s="50"/>
    </row>
    <row r="7341" spans="3:12" x14ac:dyDescent="0.3">
      <c r="C7341" s="47"/>
      <c r="H7341" s="49"/>
      <c r="K7341" s="72"/>
      <c r="L7341" s="50"/>
    </row>
    <row r="7342" spans="3:12" x14ac:dyDescent="0.3">
      <c r="C7342" s="47"/>
      <c r="H7342" s="49"/>
      <c r="K7342" s="72"/>
      <c r="L7342" s="50"/>
    </row>
    <row r="7343" spans="3:12" x14ac:dyDescent="0.3">
      <c r="C7343" s="47"/>
      <c r="H7343" s="49"/>
      <c r="K7343" s="72"/>
      <c r="L7343" s="50"/>
    </row>
    <row r="7344" spans="3:12" x14ac:dyDescent="0.3">
      <c r="C7344" s="47"/>
      <c r="H7344" s="49"/>
      <c r="K7344" s="72"/>
      <c r="L7344" s="50"/>
    </row>
    <row r="7345" spans="3:12" x14ac:dyDescent="0.3">
      <c r="C7345" s="47"/>
      <c r="H7345" s="49"/>
      <c r="K7345" s="72"/>
      <c r="L7345" s="50"/>
    </row>
    <row r="7346" spans="3:12" x14ac:dyDescent="0.3">
      <c r="C7346" s="47"/>
      <c r="H7346" s="49"/>
      <c r="K7346" s="72"/>
      <c r="L7346" s="50"/>
    </row>
    <row r="7347" spans="3:12" x14ac:dyDescent="0.3">
      <c r="C7347" s="47"/>
      <c r="H7347" s="49"/>
      <c r="K7347" s="72"/>
      <c r="L7347" s="50"/>
    </row>
    <row r="7348" spans="3:12" x14ac:dyDescent="0.3">
      <c r="C7348" s="47"/>
      <c r="H7348" s="49"/>
      <c r="K7348" s="72"/>
      <c r="L7348" s="50"/>
    </row>
    <row r="7349" spans="3:12" x14ac:dyDescent="0.3">
      <c r="C7349" s="47"/>
      <c r="H7349" s="49"/>
      <c r="K7349" s="72"/>
      <c r="L7349" s="50"/>
    </row>
    <row r="7350" spans="3:12" x14ac:dyDescent="0.3">
      <c r="C7350" s="47"/>
      <c r="H7350" s="49"/>
      <c r="K7350" s="72"/>
      <c r="L7350" s="50"/>
    </row>
    <row r="7351" spans="3:12" x14ac:dyDescent="0.3">
      <c r="C7351" s="47"/>
      <c r="H7351" s="49"/>
      <c r="K7351" s="72"/>
      <c r="L7351" s="50"/>
    </row>
    <row r="7352" spans="3:12" x14ac:dyDescent="0.3">
      <c r="C7352" s="47"/>
      <c r="H7352" s="49"/>
      <c r="K7352" s="72"/>
      <c r="L7352" s="50"/>
    </row>
    <row r="7353" spans="3:12" x14ac:dyDescent="0.3">
      <c r="C7353" s="47"/>
      <c r="H7353" s="49"/>
      <c r="K7353" s="72"/>
      <c r="L7353" s="50"/>
    </row>
    <row r="7354" spans="3:12" x14ac:dyDescent="0.3">
      <c r="C7354" s="47"/>
      <c r="H7354" s="49"/>
      <c r="K7354" s="72"/>
      <c r="L7354" s="50"/>
    </row>
    <row r="7355" spans="3:12" x14ac:dyDescent="0.3">
      <c r="C7355" s="47"/>
      <c r="H7355" s="49"/>
      <c r="K7355" s="72"/>
      <c r="L7355" s="50"/>
    </row>
    <row r="7356" spans="3:12" x14ac:dyDescent="0.3">
      <c r="C7356" s="47"/>
      <c r="H7356" s="49"/>
      <c r="K7356" s="72"/>
      <c r="L7356" s="50"/>
    </row>
    <row r="7357" spans="3:12" x14ac:dyDescent="0.3">
      <c r="C7357" s="47"/>
      <c r="H7357" s="49"/>
      <c r="K7357" s="72"/>
      <c r="L7357" s="50"/>
    </row>
    <row r="7358" spans="3:12" x14ac:dyDescent="0.3">
      <c r="C7358" s="47"/>
      <c r="H7358" s="49"/>
      <c r="K7358" s="72"/>
      <c r="L7358" s="50"/>
    </row>
    <row r="7359" spans="3:12" x14ac:dyDescent="0.3">
      <c r="C7359" s="47"/>
      <c r="H7359" s="49"/>
      <c r="K7359" s="72"/>
      <c r="L7359" s="50"/>
    </row>
    <row r="7360" spans="3:12" x14ac:dyDescent="0.3">
      <c r="C7360" s="47"/>
      <c r="H7360" s="49"/>
      <c r="K7360" s="72"/>
      <c r="L7360" s="50"/>
    </row>
    <row r="7361" spans="3:12" x14ac:dyDescent="0.3">
      <c r="C7361" s="47"/>
      <c r="H7361" s="49"/>
      <c r="K7361" s="72"/>
      <c r="L7361" s="50"/>
    </row>
    <row r="7362" spans="3:12" x14ac:dyDescent="0.3">
      <c r="C7362" s="47"/>
      <c r="H7362" s="49"/>
      <c r="K7362" s="72"/>
      <c r="L7362" s="50"/>
    </row>
    <row r="7363" spans="3:12" x14ac:dyDescent="0.3">
      <c r="C7363" s="47"/>
      <c r="H7363" s="49"/>
      <c r="K7363" s="72"/>
      <c r="L7363" s="50"/>
    </row>
    <row r="7364" spans="3:12" x14ac:dyDescent="0.3">
      <c r="C7364" s="47"/>
      <c r="H7364" s="49"/>
      <c r="K7364" s="72"/>
      <c r="L7364" s="50"/>
    </row>
    <row r="7365" spans="3:12" x14ac:dyDescent="0.3">
      <c r="C7365" s="47"/>
      <c r="H7365" s="49"/>
      <c r="K7365" s="72"/>
      <c r="L7365" s="50"/>
    </row>
    <row r="7366" spans="3:12" x14ac:dyDescent="0.3">
      <c r="C7366" s="47"/>
      <c r="H7366" s="49"/>
      <c r="K7366" s="72"/>
      <c r="L7366" s="50"/>
    </row>
    <row r="7367" spans="3:12" x14ac:dyDescent="0.3">
      <c r="C7367" s="47"/>
      <c r="H7367" s="49"/>
      <c r="K7367" s="72"/>
      <c r="L7367" s="50"/>
    </row>
    <row r="7368" spans="3:12" x14ac:dyDescent="0.3">
      <c r="C7368" s="47"/>
      <c r="H7368" s="49"/>
      <c r="K7368" s="72"/>
      <c r="L7368" s="50"/>
    </row>
    <row r="7369" spans="3:12" x14ac:dyDescent="0.3">
      <c r="C7369" s="47"/>
      <c r="H7369" s="49"/>
      <c r="K7369" s="72"/>
      <c r="L7369" s="50"/>
    </row>
    <row r="7370" spans="3:12" x14ac:dyDescent="0.3">
      <c r="C7370" s="47"/>
      <c r="H7370" s="49"/>
      <c r="K7370" s="72"/>
      <c r="L7370" s="50"/>
    </row>
    <row r="7371" spans="3:12" x14ac:dyDescent="0.3">
      <c r="C7371" s="47"/>
      <c r="H7371" s="49"/>
      <c r="K7371" s="72"/>
      <c r="L7371" s="50"/>
    </row>
    <row r="7372" spans="3:12" x14ac:dyDescent="0.3">
      <c r="C7372" s="47"/>
      <c r="H7372" s="49"/>
      <c r="K7372" s="72"/>
      <c r="L7372" s="50"/>
    </row>
    <row r="7373" spans="3:12" x14ac:dyDescent="0.3">
      <c r="C7373" s="47"/>
      <c r="H7373" s="49"/>
      <c r="K7373" s="72"/>
      <c r="L7373" s="50"/>
    </row>
    <row r="7374" spans="3:12" x14ac:dyDescent="0.3">
      <c r="C7374" s="47"/>
      <c r="H7374" s="49"/>
      <c r="K7374" s="72"/>
      <c r="L7374" s="50"/>
    </row>
    <row r="7375" spans="3:12" x14ac:dyDescent="0.3">
      <c r="C7375" s="47"/>
      <c r="H7375" s="49"/>
      <c r="K7375" s="72"/>
      <c r="L7375" s="50"/>
    </row>
    <row r="7376" spans="3:12" x14ac:dyDescent="0.3">
      <c r="C7376" s="47"/>
      <c r="H7376" s="49"/>
      <c r="K7376" s="72"/>
      <c r="L7376" s="50"/>
    </row>
    <row r="7377" spans="3:12" x14ac:dyDescent="0.3">
      <c r="C7377" s="47"/>
      <c r="H7377" s="49"/>
      <c r="K7377" s="72"/>
      <c r="L7377" s="50"/>
    </row>
    <row r="7378" spans="3:12" x14ac:dyDescent="0.3">
      <c r="C7378" s="47"/>
      <c r="H7378" s="49"/>
      <c r="K7378" s="72"/>
      <c r="L7378" s="50"/>
    </row>
    <row r="7379" spans="3:12" x14ac:dyDescent="0.3">
      <c r="C7379" s="47"/>
      <c r="H7379" s="49"/>
      <c r="K7379" s="72"/>
      <c r="L7379" s="50"/>
    </row>
    <row r="7380" spans="3:12" x14ac:dyDescent="0.3">
      <c r="C7380" s="47"/>
      <c r="H7380" s="49"/>
      <c r="K7380" s="72"/>
      <c r="L7380" s="50"/>
    </row>
    <row r="7381" spans="3:12" x14ac:dyDescent="0.3">
      <c r="C7381" s="47"/>
      <c r="H7381" s="49"/>
      <c r="K7381" s="72"/>
      <c r="L7381" s="50"/>
    </row>
    <row r="7382" spans="3:12" x14ac:dyDescent="0.3">
      <c r="C7382" s="47"/>
      <c r="H7382" s="49"/>
      <c r="K7382" s="72"/>
      <c r="L7382" s="50"/>
    </row>
    <row r="7383" spans="3:12" x14ac:dyDescent="0.3">
      <c r="C7383" s="47"/>
      <c r="H7383" s="49"/>
      <c r="K7383" s="72"/>
      <c r="L7383" s="50"/>
    </row>
    <row r="7384" spans="3:12" x14ac:dyDescent="0.3">
      <c r="C7384" s="47"/>
      <c r="H7384" s="49"/>
      <c r="K7384" s="72"/>
      <c r="L7384" s="50"/>
    </row>
    <row r="7385" spans="3:12" x14ac:dyDescent="0.3">
      <c r="C7385" s="47"/>
      <c r="H7385" s="49"/>
      <c r="K7385" s="72"/>
      <c r="L7385" s="50"/>
    </row>
    <row r="7386" spans="3:12" x14ac:dyDescent="0.3">
      <c r="C7386" s="47"/>
      <c r="H7386" s="49"/>
      <c r="K7386" s="72"/>
      <c r="L7386" s="50"/>
    </row>
    <row r="7387" spans="3:12" x14ac:dyDescent="0.3">
      <c r="C7387" s="47"/>
      <c r="H7387" s="49"/>
      <c r="K7387" s="72"/>
      <c r="L7387" s="50"/>
    </row>
    <row r="7388" spans="3:12" x14ac:dyDescent="0.3">
      <c r="C7388" s="47"/>
      <c r="H7388" s="49"/>
      <c r="K7388" s="72"/>
      <c r="L7388" s="50"/>
    </row>
    <row r="7389" spans="3:12" x14ac:dyDescent="0.3">
      <c r="C7389" s="47"/>
      <c r="H7389" s="49"/>
      <c r="K7389" s="72"/>
      <c r="L7389" s="50"/>
    </row>
    <row r="7390" spans="3:12" x14ac:dyDescent="0.3">
      <c r="C7390" s="47"/>
      <c r="H7390" s="49"/>
      <c r="K7390" s="72"/>
      <c r="L7390" s="50"/>
    </row>
    <row r="7391" spans="3:12" x14ac:dyDescent="0.3">
      <c r="C7391" s="47"/>
      <c r="H7391" s="49"/>
      <c r="K7391" s="72"/>
      <c r="L7391" s="50"/>
    </row>
    <row r="7392" spans="3:12" x14ac:dyDescent="0.3">
      <c r="C7392" s="47"/>
      <c r="H7392" s="49"/>
      <c r="K7392" s="72"/>
      <c r="L7392" s="50"/>
    </row>
    <row r="7393" spans="3:12" x14ac:dyDescent="0.3">
      <c r="C7393" s="47"/>
      <c r="H7393" s="49"/>
      <c r="K7393" s="72"/>
      <c r="L7393" s="50"/>
    </row>
    <row r="7394" spans="3:12" x14ac:dyDescent="0.3">
      <c r="C7394" s="47"/>
      <c r="H7394" s="49"/>
      <c r="K7394" s="72"/>
      <c r="L7394" s="50"/>
    </row>
    <row r="7395" spans="3:12" x14ac:dyDescent="0.3">
      <c r="C7395" s="47"/>
      <c r="H7395" s="49"/>
      <c r="K7395" s="72"/>
      <c r="L7395" s="50"/>
    </row>
    <row r="7396" spans="3:12" x14ac:dyDescent="0.3">
      <c r="C7396" s="47"/>
      <c r="H7396" s="49"/>
      <c r="K7396" s="72"/>
      <c r="L7396" s="50"/>
    </row>
    <row r="7397" spans="3:12" x14ac:dyDescent="0.3">
      <c r="C7397" s="47"/>
      <c r="H7397" s="49"/>
      <c r="K7397" s="72"/>
      <c r="L7397" s="50"/>
    </row>
    <row r="7398" spans="3:12" x14ac:dyDescent="0.3">
      <c r="C7398" s="47"/>
      <c r="H7398" s="49"/>
      <c r="K7398" s="72"/>
      <c r="L7398" s="50"/>
    </row>
    <row r="7399" spans="3:12" x14ac:dyDescent="0.3">
      <c r="C7399" s="47"/>
      <c r="H7399" s="49"/>
      <c r="K7399" s="72"/>
      <c r="L7399" s="50"/>
    </row>
    <row r="7400" spans="3:12" x14ac:dyDescent="0.3">
      <c r="C7400" s="47"/>
      <c r="H7400" s="49"/>
      <c r="K7400" s="72"/>
      <c r="L7400" s="50"/>
    </row>
    <row r="7401" spans="3:12" x14ac:dyDescent="0.3">
      <c r="C7401" s="47"/>
      <c r="H7401" s="49"/>
      <c r="K7401" s="72"/>
      <c r="L7401" s="50"/>
    </row>
    <row r="7402" spans="3:12" x14ac:dyDescent="0.3">
      <c r="C7402" s="47"/>
      <c r="H7402" s="49"/>
      <c r="K7402" s="72"/>
      <c r="L7402" s="50"/>
    </row>
    <row r="7403" spans="3:12" x14ac:dyDescent="0.3">
      <c r="C7403" s="47"/>
      <c r="H7403" s="49"/>
      <c r="K7403" s="72"/>
      <c r="L7403" s="50"/>
    </row>
    <row r="7404" spans="3:12" x14ac:dyDescent="0.3">
      <c r="C7404" s="47"/>
      <c r="H7404" s="49"/>
      <c r="K7404" s="72"/>
      <c r="L7404" s="50"/>
    </row>
    <row r="7405" spans="3:12" x14ac:dyDescent="0.3">
      <c r="C7405" s="47"/>
      <c r="H7405" s="49"/>
      <c r="K7405" s="72"/>
      <c r="L7405" s="50"/>
    </row>
    <row r="7406" spans="3:12" x14ac:dyDescent="0.3">
      <c r="C7406" s="47"/>
      <c r="H7406" s="49"/>
      <c r="K7406" s="72"/>
      <c r="L7406" s="50"/>
    </row>
    <row r="7407" spans="3:12" x14ac:dyDescent="0.3">
      <c r="C7407" s="47"/>
      <c r="H7407" s="49"/>
      <c r="K7407" s="72"/>
      <c r="L7407" s="50"/>
    </row>
    <row r="7408" spans="3:12" x14ac:dyDescent="0.3">
      <c r="C7408" s="47"/>
      <c r="H7408" s="49"/>
      <c r="K7408" s="72"/>
      <c r="L7408" s="50"/>
    </row>
    <row r="7409" spans="3:12" x14ac:dyDescent="0.3">
      <c r="C7409" s="47"/>
      <c r="H7409" s="49"/>
      <c r="K7409" s="72"/>
      <c r="L7409" s="50"/>
    </row>
    <row r="7410" spans="3:12" x14ac:dyDescent="0.3">
      <c r="C7410" s="47"/>
      <c r="H7410" s="49"/>
      <c r="K7410" s="72"/>
      <c r="L7410" s="50"/>
    </row>
    <row r="7411" spans="3:12" x14ac:dyDescent="0.3">
      <c r="C7411" s="47"/>
      <c r="H7411" s="49"/>
      <c r="K7411" s="72"/>
      <c r="L7411" s="50"/>
    </row>
    <row r="7412" spans="3:12" x14ac:dyDescent="0.3">
      <c r="C7412" s="47"/>
      <c r="H7412" s="49"/>
      <c r="K7412" s="72"/>
      <c r="L7412" s="50"/>
    </row>
    <row r="7413" spans="3:12" x14ac:dyDescent="0.3">
      <c r="C7413" s="47"/>
      <c r="H7413" s="49"/>
      <c r="K7413" s="72"/>
      <c r="L7413" s="50"/>
    </row>
    <row r="7414" spans="3:12" x14ac:dyDescent="0.3">
      <c r="C7414" s="47"/>
      <c r="H7414" s="49"/>
      <c r="K7414" s="72"/>
      <c r="L7414" s="50"/>
    </row>
    <row r="7415" spans="3:12" x14ac:dyDescent="0.3">
      <c r="C7415" s="47"/>
      <c r="H7415" s="49"/>
      <c r="K7415" s="72"/>
      <c r="L7415" s="50"/>
    </row>
    <row r="7416" spans="3:12" x14ac:dyDescent="0.3">
      <c r="C7416" s="47"/>
      <c r="H7416" s="49"/>
      <c r="K7416" s="72"/>
      <c r="L7416" s="50"/>
    </row>
    <row r="7417" spans="3:12" x14ac:dyDescent="0.3">
      <c r="C7417" s="47"/>
      <c r="H7417" s="49"/>
      <c r="K7417" s="72"/>
      <c r="L7417" s="50"/>
    </row>
    <row r="7418" spans="3:12" x14ac:dyDescent="0.3">
      <c r="C7418" s="47"/>
      <c r="H7418" s="49"/>
      <c r="K7418" s="72"/>
      <c r="L7418" s="50"/>
    </row>
    <row r="7419" spans="3:12" x14ac:dyDescent="0.3">
      <c r="C7419" s="47"/>
      <c r="H7419" s="49"/>
      <c r="K7419" s="72"/>
      <c r="L7419" s="50"/>
    </row>
    <row r="7420" spans="3:12" x14ac:dyDescent="0.3">
      <c r="C7420" s="47"/>
      <c r="H7420" s="49"/>
      <c r="K7420" s="72"/>
      <c r="L7420" s="50"/>
    </row>
    <row r="7421" spans="3:12" x14ac:dyDescent="0.3">
      <c r="C7421" s="47"/>
      <c r="H7421" s="49"/>
      <c r="K7421" s="72"/>
      <c r="L7421" s="50"/>
    </row>
    <row r="7422" spans="3:12" x14ac:dyDescent="0.3">
      <c r="C7422" s="47"/>
      <c r="H7422" s="49"/>
      <c r="K7422" s="72"/>
      <c r="L7422" s="50"/>
    </row>
    <row r="7423" spans="3:12" x14ac:dyDescent="0.3">
      <c r="C7423" s="47"/>
      <c r="H7423" s="49"/>
      <c r="K7423" s="72"/>
      <c r="L7423" s="50"/>
    </row>
    <row r="7424" spans="3:12" x14ac:dyDescent="0.3">
      <c r="C7424" s="47"/>
      <c r="H7424" s="49"/>
      <c r="K7424" s="72"/>
      <c r="L7424" s="50"/>
    </row>
    <row r="7425" spans="3:12" x14ac:dyDescent="0.3">
      <c r="C7425" s="47"/>
      <c r="H7425" s="49"/>
      <c r="K7425" s="72"/>
      <c r="L7425" s="50"/>
    </row>
    <row r="7426" spans="3:12" x14ac:dyDescent="0.3">
      <c r="C7426" s="47"/>
      <c r="H7426" s="49"/>
      <c r="K7426" s="72"/>
      <c r="L7426" s="50"/>
    </row>
    <row r="7427" spans="3:12" x14ac:dyDescent="0.3">
      <c r="C7427" s="47"/>
      <c r="H7427" s="49"/>
      <c r="K7427" s="72"/>
      <c r="L7427" s="50"/>
    </row>
    <row r="7428" spans="3:12" x14ac:dyDescent="0.3">
      <c r="C7428" s="47"/>
      <c r="H7428" s="49"/>
      <c r="K7428" s="72"/>
      <c r="L7428" s="50"/>
    </row>
    <row r="7429" spans="3:12" x14ac:dyDescent="0.3">
      <c r="C7429" s="47"/>
      <c r="H7429" s="49"/>
      <c r="K7429" s="72"/>
      <c r="L7429" s="50"/>
    </row>
    <row r="7430" spans="3:12" x14ac:dyDescent="0.3">
      <c r="C7430" s="47"/>
      <c r="H7430" s="49"/>
      <c r="K7430" s="72"/>
      <c r="L7430" s="50"/>
    </row>
    <row r="7431" spans="3:12" x14ac:dyDescent="0.3">
      <c r="C7431" s="47"/>
      <c r="H7431" s="49"/>
      <c r="K7431" s="72"/>
      <c r="L7431" s="50"/>
    </row>
    <row r="7432" spans="3:12" x14ac:dyDescent="0.3">
      <c r="C7432" s="47"/>
      <c r="H7432" s="49"/>
      <c r="K7432" s="72"/>
      <c r="L7432" s="50"/>
    </row>
    <row r="7433" spans="3:12" x14ac:dyDescent="0.3">
      <c r="C7433" s="47"/>
      <c r="H7433" s="49"/>
      <c r="K7433" s="72"/>
      <c r="L7433" s="50"/>
    </row>
    <row r="7434" spans="3:12" x14ac:dyDescent="0.3">
      <c r="C7434" s="47"/>
      <c r="H7434" s="49"/>
      <c r="K7434" s="72"/>
      <c r="L7434" s="50"/>
    </row>
    <row r="7435" spans="3:12" x14ac:dyDescent="0.3">
      <c r="C7435" s="47"/>
      <c r="H7435" s="49"/>
      <c r="K7435" s="72"/>
      <c r="L7435" s="50"/>
    </row>
    <row r="7436" spans="3:12" x14ac:dyDescent="0.3">
      <c r="C7436" s="47"/>
      <c r="H7436" s="49"/>
      <c r="K7436" s="72"/>
      <c r="L7436" s="50"/>
    </row>
    <row r="7437" spans="3:12" x14ac:dyDescent="0.3">
      <c r="C7437" s="47"/>
      <c r="H7437" s="49"/>
      <c r="K7437" s="72"/>
      <c r="L7437" s="50"/>
    </row>
    <row r="7438" spans="3:12" x14ac:dyDescent="0.3">
      <c r="C7438" s="47"/>
      <c r="H7438" s="49"/>
      <c r="K7438" s="72"/>
      <c r="L7438" s="50"/>
    </row>
    <row r="7439" spans="3:12" x14ac:dyDescent="0.3">
      <c r="C7439" s="47"/>
      <c r="H7439" s="49"/>
      <c r="K7439" s="72"/>
      <c r="L7439" s="50"/>
    </row>
    <row r="7440" spans="3:12" x14ac:dyDescent="0.3">
      <c r="C7440" s="47"/>
      <c r="H7440" s="49"/>
      <c r="K7440" s="72"/>
      <c r="L7440" s="50"/>
    </row>
    <row r="7441" spans="3:12" x14ac:dyDescent="0.3">
      <c r="C7441" s="47"/>
      <c r="H7441" s="49"/>
      <c r="K7441" s="72"/>
      <c r="L7441" s="50"/>
    </row>
    <row r="7442" spans="3:12" x14ac:dyDescent="0.3">
      <c r="C7442" s="47"/>
      <c r="H7442" s="49"/>
      <c r="K7442" s="72"/>
      <c r="L7442" s="50"/>
    </row>
    <row r="7443" spans="3:12" x14ac:dyDescent="0.3">
      <c r="C7443" s="47"/>
      <c r="H7443" s="49"/>
      <c r="K7443" s="72"/>
      <c r="L7443" s="50"/>
    </row>
    <row r="7444" spans="3:12" x14ac:dyDescent="0.3">
      <c r="C7444" s="47"/>
      <c r="H7444" s="49"/>
      <c r="K7444" s="72"/>
      <c r="L7444" s="50"/>
    </row>
    <row r="7445" spans="3:12" x14ac:dyDescent="0.3">
      <c r="C7445" s="47"/>
      <c r="H7445" s="49"/>
      <c r="K7445" s="72"/>
      <c r="L7445" s="50"/>
    </row>
    <row r="7446" spans="3:12" x14ac:dyDescent="0.3">
      <c r="C7446" s="47"/>
      <c r="H7446" s="49"/>
      <c r="K7446" s="72"/>
      <c r="L7446" s="50"/>
    </row>
    <row r="7447" spans="3:12" x14ac:dyDescent="0.3">
      <c r="C7447" s="47"/>
      <c r="H7447" s="49"/>
      <c r="K7447" s="72"/>
      <c r="L7447" s="50"/>
    </row>
    <row r="7448" spans="3:12" x14ac:dyDescent="0.3">
      <c r="C7448" s="47"/>
      <c r="H7448" s="49"/>
      <c r="K7448" s="72"/>
      <c r="L7448" s="50"/>
    </row>
    <row r="7449" spans="3:12" x14ac:dyDescent="0.3">
      <c r="C7449" s="47"/>
      <c r="H7449" s="49"/>
      <c r="K7449" s="72"/>
      <c r="L7449" s="50"/>
    </row>
    <row r="7450" spans="3:12" x14ac:dyDescent="0.3">
      <c r="C7450" s="47"/>
      <c r="H7450" s="49"/>
      <c r="K7450" s="72"/>
      <c r="L7450" s="50"/>
    </row>
    <row r="7451" spans="3:12" x14ac:dyDescent="0.3">
      <c r="C7451" s="47"/>
      <c r="H7451" s="49"/>
      <c r="K7451" s="72"/>
      <c r="L7451" s="50"/>
    </row>
    <row r="7452" spans="3:12" x14ac:dyDescent="0.3">
      <c r="C7452" s="47"/>
      <c r="H7452" s="49"/>
      <c r="K7452" s="72"/>
      <c r="L7452" s="50"/>
    </row>
    <row r="7453" spans="3:12" x14ac:dyDescent="0.3">
      <c r="C7453" s="47"/>
      <c r="H7453" s="49"/>
      <c r="K7453" s="72"/>
      <c r="L7453" s="50"/>
    </row>
    <row r="7454" spans="3:12" x14ac:dyDescent="0.3">
      <c r="C7454" s="47"/>
      <c r="H7454" s="49"/>
      <c r="K7454" s="72"/>
      <c r="L7454" s="50"/>
    </row>
    <row r="7455" spans="3:12" x14ac:dyDescent="0.3">
      <c r="C7455" s="47"/>
      <c r="H7455" s="49"/>
      <c r="K7455" s="72"/>
      <c r="L7455" s="50"/>
    </row>
    <row r="7456" spans="3:12" x14ac:dyDescent="0.3">
      <c r="C7456" s="47"/>
      <c r="H7456" s="49"/>
      <c r="K7456" s="72"/>
      <c r="L7456" s="50"/>
    </row>
    <row r="7457" spans="3:12" x14ac:dyDescent="0.3">
      <c r="C7457" s="47"/>
      <c r="H7457" s="49"/>
      <c r="K7457" s="72"/>
      <c r="L7457" s="50"/>
    </row>
    <row r="7458" spans="3:12" x14ac:dyDescent="0.3">
      <c r="C7458" s="47"/>
      <c r="H7458" s="49"/>
      <c r="K7458" s="72"/>
      <c r="L7458" s="50"/>
    </row>
    <row r="7459" spans="3:12" x14ac:dyDescent="0.3">
      <c r="C7459" s="47"/>
      <c r="H7459" s="49"/>
      <c r="K7459" s="72"/>
      <c r="L7459" s="50"/>
    </row>
    <row r="7460" spans="3:12" x14ac:dyDescent="0.3">
      <c r="C7460" s="47"/>
      <c r="H7460" s="49"/>
      <c r="K7460" s="72"/>
      <c r="L7460" s="50"/>
    </row>
    <row r="7461" spans="3:12" x14ac:dyDescent="0.3">
      <c r="C7461" s="47"/>
      <c r="H7461" s="49"/>
      <c r="K7461" s="72"/>
      <c r="L7461" s="50"/>
    </row>
    <row r="7462" spans="3:12" x14ac:dyDescent="0.3">
      <c r="C7462" s="47"/>
      <c r="H7462" s="49"/>
      <c r="K7462" s="72"/>
      <c r="L7462" s="50"/>
    </row>
    <row r="7463" spans="3:12" x14ac:dyDescent="0.3">
      <c r="C7463" s="47"/>
      <c r="H7463" s="49"/>
      <c r="K7463" s="72"/>
      <c r="L7463" s="50"/>
    </row>
    <row r="7464" spans="3:12" x14ac:dyDescent="0.3">
      <c r="C7464" s="47"/>
      <c r="H7464" s="49"/>
      <c r="K7464" s="72"/>
      <c r="L7464" s="50"/>
    </row>
    <row r="7465" spans="3:12" x14ac:dyDescent="0.3">
      <c r="C7465" s="47"/>
      <c r="H7465" s="49"/>
      <c r="K7465" s="72"/>
      <c r="L7465" s="50"/>
    </row>
    <row r="7466" spans="3:12" x14ac:dyDescent="0.3">
      <c r="C7466" s="47"/>
      <c r="H7466" s="49"/>
      <c r="K7466" s="72"/>
      <c r="L7466" s="50"/>
    </row>
    <row r="7467" spans="3:12" x14ac:dyDescent="0.3">
      <c r="C7467" s="47"/>
      <c r="H7467" s="49"/>
      <c r="K7467" s="72"/>
      <c r="L7467" s="50"/>
    </row>
    <row r="7468" spans="3:12" x14ac:dyDescent="0.3">
      <c r="C7468" s="47"/>
      <c r="H7468" s="49"/>
      <c r="K7468" s="72"/>
      <c r="L7468" s="50"/>
    </row>
    <row r="7469" spans="3:12" x14ac:dyDescent="0.3">
      <c r="C7469" s="47"/>
      <c r="H7469" s="49"/>
      <c r="K7469" s="72"/>
      <c r="L7469" s="50"/>
    </row>
    <row r="7470" spans="3:12" x14ac:dyDescent="0.3">
      <c r="C7470" s="47"/>
      <c r="H7470" s="49"/>
      <c r="K7470" s="72"/>
      <c r="L7470" s="50"/>
    </row>
    <row r="7471" spans="3:12" x14ac:dyDescent="0.3">
      <c r="C7471" s="47"/>
      <c r="H7471" s="49"/>
      <c r="K7471" s="72"/>
      <c r="L7471" s="50"/>
    </row>
    <row r="7472" spans="3:12" x14ac:dyDescent="0.3">
      <c r="C7472" s="47"/>
      <c r="H7472" s="49"/>
      <c r="K7472" s="72"/>
      <c r="L7472" s="50"/>
    </row>
    <row r="7473" spans="3:12" x14ac:dyDescent="0.3">
      <c r="C7473" s="47"/>
      <c r="H7473" s="49"/>
      <c r="K7473" s="72"/>
      <c r="L7473" s="50"/>
    </row>
    <row r="7474" spans="3:12" x14ac:dyDescent="0.3">
      <c r="C7474" s="47"/>
      <c r="H7474" s="49"/>
      <c r="K7474" s="72"/>
      <c r="L7474" s="50"/>
    </row>
    <row r="7475" spans="3:12" x14ac:dyDescent="0.3">
      <c r="C7475" s="47"/>
      <c r="H7475" s="49"/>
      <c r="K7475" s="72"/>
      <c r="L7475" s="50"/>
    </row>
    <row r="7476" spans="3:12" x14ac:dyDescent="0.3">
      <c r="C7476" s="47"/>
      <c r="H7476" s="49"/>
      <c r="K7476" s="72"/>
      <c r="L7476" s="50"/>
    </row>
    <row r="7477" spans="3:12" x14ac:dyDescent="0.3">
      <c r="C7477" s="47"/>
      <c r="H7477" s="49"/>
      <c r="K7477" s="72"/>
      <c r="L7477" s="50"/>
    </row>
    <row r="7478" spans="3:12" x14ac:dyDescent="0.3">
      <c r="C7478" s="47"/>
      <c r="H7478" s="49"/>
      <c r="K7478" s="72"/>
      <c r="L7478" s="50"/>
    </row>
    <row r="7479" spans="3:12" x14ac:dyDescent="0.3">
      <c r="C7479" s="47"/>
      <c r="H7479" s="49"/>
      <c r="K7479" s="72"/>
      <c r="L7479" s="50"/>
    </row>
    <row r="7480" spans="3:12" x14ac:dyDescent="0.3">
      <c r="C7480" s="47"/>
      <c r="H7480" s="49"/>
      <c r="K7480" s="72"/>
      <c r="L7480" s="50"/>
    </row>
    <row r="7481" spans="3:12" x14ac:dyDescent="0.3">
      <c r="C7481" s="47"/>
      <c r="H7481" s="49"/>
      <c r="K7481" s="72"/>
      <c r="L7481" s="50"/>
    </row>
    <row r="7482" spans="3:12" x14ac:dyDescent="0.3">
      <c r="C7482" s="47"/>
      <c r="H7482" s="49"/>
      <c r="K7482" s="72"/>
      <c r="L7482" s="50"/>
    </row>
    <row r="7483" spans="3:12" x14ac:dyDescent="0.3">
      <c r="C7483" s="47"/>
      <c r="H7483" s="49"/>
      <c r="K7483" s="72"/>
      <c r="L7483" s="50"/>
    </row>
    <row r="7484" spans="3:12" x14ac:dyDescent="0.3">
      <c r="C7484" s="47"/>
      <c r="H7484" s="49"/>
      <c r="K7484" s="72"/>
      <c r="L7484" s="50"/>
    </row>
    <row r="7485" spans="3:12" x14ac:dyDescent="0.3">
      <c r="C7485" s="47"/>
      <c r="H7485" s="49"/>
      <c r="K7485" s="72"/>
      <c r="L7485" s="50"/>
    </row>
    <row r="7486" spans="3:12" x14ac:dyDescent="0.3">
      <c r="C7486" s="47"/>
      <c r="H7486" s="49"/>
      <c r="K7486" s="72"/>
      <c r="L7486" s="50"/>
    </row>
    <row r="7487" spans="3:12" x14ac:dyDescent="0.3">
      <c r="C7487" s="47"/>
      <c r="H7487" s="49"/>
      <c r="K7487" s="72"/>
      <c r="L7487" s="50"/>
    </row>
    <row r="7488" spans="3:12" x14ac:dyDescent="0.3">
      <c r="C7488" s="47"/>
      <c r="H7488" s="49"/>
      <c r="K7488" s="72"/>
      <c r="L7488" s="50"/>
    </row>
    <row r="7489" spans="3:12" x14ac:dyDescent="0.3">
      <c r="C7489" s="47"/>
      <c r="H7489" s="49"/>
      <c r="K7489" s="72"/>
      <c r="L7489" s="50"/>
    </row>
    <row r="7490" spans="3:12" x14ac:dyDescent="0.3">
      <c r="C7490" s="47"/>
      <c r="H7490" s="49"/>
      <c r="K7490" s="72"/>
      <c r="L7490" s="50"/>
    </row>
    <row r="7491" spans="3:12" x14ac:dyDescent="0.3">
      <c r="C7491" s="47"/>
      <c r="H7491" s="49"/>
      <c r="K7491" s="72"/>
      <c r="L7491" s="50"/>
    </row>
    <row r="7492" spans="3:12" x14ac:dyDescent="0.3">
      <c r="C7492" s="47"/>
      <c r="H7492" s="49"/>
      <c r="K7492" s="72"/>
      <c r="L7492" s="50"/>
    </row>
    <row r="7493" spans="3:12" x14ac:dyDescent="0.3">
      <c r="C7493" s="47"/>
      <c r="H7493" s="49"/>
      <c r="K7493" s="72"/>
      <c r="L7493" s="50"/>
    </row>
    <row r="7494" spans="3:12" x14ac:dyDescent="0.3">
      <c r="C7494" s="47"/>
      <c r="H7494" s="49"/>
      <c r="K7494" s="72"/>
      <c r="L7494" s="50"/>
    </row>
    <row r="7495" spans="3:12" x14ac:dyDescent="0.3">
      <c r="C7495" s="47"/>
      <c r="H7495" s="49"/>
      <c r="K7495" s="72"/>
      <c r="L7495" s="50"/>
    </row>
    <row r="7496" spans="3:12" x14ac:dyDescent="0.3">
      <c r="C7496" s="47"/>
      <c r="H7496" s="49"/>
      <c r="K7496" s="72"/>
      <c r="L7496" s="50"/>
    </row>
    <row r="7497" spans="3:12" x14ac:dyDescent="0.3">
      <c r="C7497" s="47"/>
      <c r="H7497" s="49"/>
      <c r="K7497" s="72"/>
      <c r="L7497" s="50"/>
    </row>
    <row r="7498" spans="3:12" x14ac:dyDescent="0.3">
      <c r="C7498" s="47"/>
      <c r="H7498" s="49"/>
      <c r="K7498" s="72"/>
      <c r="L7498" s="50"/>
    </row>
    <row r="7499" spans="3:12" x14ac:dyDescent="0.3">
      <c r="C7499" s="47"/>
      <c r="H7499" s="49"/>
      <c r="K7499" s="72"/>
      <c r="L7499" s="50"/>
    </row>
    <row r="7500" spans="3:12" x14ac:dyDescent="0.3">
      <c r="C7500" s="47"/>
      <c r="H7500" s="49"/>
      <c r="K7500" s="72"/>
      <c r="L7500" s="50"/>
    </row>
    <row r="7501" spans="3:12" x14ac:dyDescent="0.3">
      <c r="C7501" s="47"/>
      <c r="H7501" s="49"/>
      <c r="K7501" s="72"/>
      <c r="L7501" s="50"/>
    </row>
    <row r="7502" spans="3:12" x14ac:dyDescent="0.3">
      <c r="C7502" s="47"/>
      <c r="H7502" s="49"/>
      <c r="K7502" s="72"/>
      <c r="L7502" s="50"/>
    </row>
    <row r="7503" spans="3:12" x14ac:dyDescent="0.3">
      <c r="C7503" s="47"/>
      <c r="H7503" s="49"/>
      <c r="K7503" s="72"/>
      <c r="L7503" s="50"/>
    </row>
    <row r="7504" spans="3:12" x14ac:dyDescent="0.3">
      <c r="C7504" s="47"/>
      <c r="H7504" s="49"/>
      <c r="K7504" s="72"/>
      <c r="L7504" s="50"/>
    </row>
    <row r="7505" spans="3:12" x14ac:dyDescent="0.3">
      <c r="C7505" s="47"/>
      <c r="H7505" s="49"/>
      <c r="K7505" s="72"/>
      <c r="L7505" s="50"/>
    </row>
    <row r="7506" spans="3:12" x14ac:dyDescent="0.3">
      <c r="C7506" s="47"/>
      <c r="H7506" s="49"/>
      <c r="K7506" s="72"/>
      <c r="L7506" s="50"/>
    </row>
    <row r="7507" spans="3:12" x14ac:dyDescent="0.3">
      <c r="C7507" s="47"/>
      <c r="H7507" s="49"/>
      <c r="K7507" s="72"/>
      <c r="L7507" s="50"/>
    </row>
    <row r="7508" spans="3:12" x14ac:dyDescent="0.3">
      <c r="C7508" s="47"/>
      <c r="H7508" s="49"/>
      <c r="K7508" s="72"/>
      <c r="L7508" s="50"/>
    </row>
    <row r="7509" spans="3:12" x14ac:dyDescent="0.3">
      <c r="C7509" s="47"/>
      <c r="H7509" s="49"/>
      <c r="K7509" s="72"/>
      <c r="L7509" s="50"/>
    </row>
    <row r="7510" spans="3:12" x14ac:dyDescent="0.3">
      <c r="C7510" s="47"/>
      <c r="H7510" s="49"/>
      <c r="K7510" s="72"/>
      <c r="L7510" s="50"/>
    </row>
    <row r="7511" spans="3:12" x14ac:dyDescent="0.3">
      <c r="C7511" s="47"/>
      <c r="H7511" s="49"/>
      <c r="K7511" s="72"/>
      <c r="L7511" s="50"/>
    </row>
    <row r="7512" spans="3:12" x14ac:dyDescent="0.3">
      <c r="C7512" s="47"/>
      <c r="H7512" s="49"/>
      <c r="K7512" s="72"/>
      <c r="L7512" s="50"/>
    </row>
    <row r="7513" spans="3:12" x14ac:dyDescent="0.3">
      <c r="C7513" s="47"/>
      <c r="H7513" s="49"/>
      <c r="K7513" s="72"/>
      <c r="L7513" s="50"/>
    </row>
    <row r="7514" spans="3:12" x14ac:dyDescent="0.3">
      <c r="C7514" s="47"/>
      <c r="H7514" s="49"/>
      <c r="K7514" s="72"/>
      <c r="L7514" s="50"/>
    </row>
    <row r="7515" spans="3:12" x14ac:dyDescent="0.3">
      <c r="C7515" s="47"/>
      <c r="H7515" s="49"/>
      <c r="K7515" s="72"/>
      <c r="L7515" s="50"/>
    </row>
    <row r="7516" spans="3:12" x14ac:dyDescent="0.3">
      <c r="C7516" s="47"/>
      <c r="H7516" s="49"/>
      <c r="K7516" s="72"/>
      <c r="L7516" s="50"/>
    </row>
    <row r="7517" spans="3:12" x14ac:dyDescent="0.3">
      <c r="C7517" s="47"/>
      <c r="H7517" s="49"/>
      <c r="K7517" s="72"/>
      <c r="L7517" s="50"/>
    </row>
    <row r="7518" spans="3:12" x14ac:dyDescent="0.3">
      <c r="C7518" s="47"/>
      <c r="H7518" s="49"/>
      <c r="K7518" s="72"/>
      <c r="L7518" s="50"/>
    </row>
    <row r="7519" spans="3:12" x14ac:dyDescent="0.3">
      <c r="C7519" s="47"/>
      <c r="H7519" s="49"/>
      <c r="K7519" s="72"/>
      <c r="L7519" s="50"/>
    </row>
    <row r="7520" spans="3:12" x14ac:dyDescent="0.3">
      <c r="C7520" s="47"/>
      <c r="H7520" s="49"/>
      <c r="K7520" s="72"/>
      <c r="L7520" s="50"/>
    </row>
    <row r="7521" spans="3:12" x14ac:dyDescent="0.3">
      <c r="C7521" s="47"/>
      <c r="H7521" s="49"/>
      <c r="K7521" s="72"/>
      <c r="L7521" s="50"/>
    </row>
    <row r="7522" spans="3:12" x14ac:dyDescent="0.3">
      <c r="C7522" s="47"/>
      <c r="H7522" s="49"/>
      <c r="K7522" s="72"/>
      <c r="L7522" s="50"/>
    </row>
    <row r="7523" spans="3:12" x14ac:dyDescent="0.3">
      <c r="C7523" s="47"/>
      <c r="H7523" s="49"/>
      <c r="K7523" s="72"/>
      <c r="L7523" s="50"/>
    </row>
    <row r="7524" spans="3:12" x14ac:dyDescent="0.3">
      <c r="C7524" s="47"/>
      <c r="H7524" s="49"/>
      <c r="K7524" s="72"/>
      <c r="L7524" s="50"/>
    </row>
    <row r="7525" spans="3:12" x14ac:dyDescent="0.3">
      <c r="C7525" s="47"/>
      <c r="H7525" s="49"/>
      <c r="K7525" s="72"/>
      <c r="L7525" s="50"/>
    </row>
    <row r="7526" spans="3:12" x14ac:dyDescent="0.3">
      <c r="C7526" s="47"/>
      <c r="H7526" s="49"/>
      <c r="K7526" s="72"/>
      <c r="L7526" s="50"/>
    </row>
    <row r="7527" spans="3:12" x14ac:dyDescent="0.3">
      <c r="C7527" s="47"/>
      <c r="H7527" s="49"/>
      <c r="K7527" s="72"/>
      <c r="L7527" s="50"/>
    </row>
    <row r="7528" spans="3:12" x14ac:dyDescent="0.3">
      <c r="C7528" s="47"/>
      <c r="H7528" s="49"/>
      <c r="K7528" s="72"/>
      <c r="L7528" s="50"/>
    </row>
    <row r="7529" spans="3:12" x14ac:dyDescent="0.3">
      <c r="C7529" s="47"/>
      <c r="H7529" s="49"/>
      <c r="K7529" s="72"/>
      <c r="L7529" s="50"/>
    </row>
    <row r="7530" spans="3:12" x14ac:dyDescent="0.3">
      <c r="C7530" s="47"/>
      <c r="H7530" s="49"/>
      <c r="K7530" s="72"/>
      <c r="L7530" s="50"/>
    </row>
    <row r="7531" spans="3:12" x14ac:dyDescent="0.3">
      <c r="C7531" s="47"/>
      <c r="H7531" s="49"/>
      <c r="K7531" s="72"/>
      <c r="L7531" s="50"/>
    </row>
    <row r="7532" spans="3:12" x14ac:dyDescent="0.3">
      <c r="C7532" s="47"/>
      <c r="H7532" s="49"/>
      <c r="K7532" s="72"/>
      <c r="L7532" s="50"/>
    </row>
    <row r="7533" spans="3:12" x14ac:dyDescent="0.3">
      <c r="C7533" s="47"/>
      <c r="H7533" s="49"/>
      <c r="K7533" s="72"/>
      <c r="L7533" s="50"/>
    </row>
    <row r="7534" spans="3:12" x14ac:dyDescent="0.3">
      <c r="C7534" s="47"/>
      <c r="H7534" s="49"/>
      <c r="K7534" s="72"/>
      <c r="L7534" s="50"/>
    </row>
    <row r="7535" spans="3:12" x14ac:dyDescent="0.3">
      <c r="C7535" s="47"/>
      <c r="H7535" s="49"/>
      <c r="K7535" s="72"/>
      <c r="L7535" s="50"/>
    </row>
    <row r="7536" spans="3:12" x14ac:dyDescent="0.3">
      <c r="C7536" s="47"/>
      <c r="H7536" s="49"/>
      <c r="K7536" s="72"/>
      <c r="L7536" s="50"/>
    </row>
    <row r="7537" spans="3:12" x14ac:dyDescent="0.3">
      <c r="C7537" s="47"/>
      <c r="H7537" s="49"/>
      <c r="K7537" s="72"/>
      <c r="L7537" s="50"/>
    </row>
    <row r="7538" spans="3:12" x14ac:dyDescent="0.3">
      <c r="C7538" s="47"/>
      <c r="H7538" s="49"/>
      <c r="K7538" s="72"/>
      <c r="L7538" s="50"/>
    </row>
    <row r="7539" spans="3:12" x14ac:dyDescent="0.3">
      <c r="C7539" s="47"/>
      <c r="H7539" s="49"/>
      <c r="K7539" s="72"/>
      <c r="L7539" s="50"/>
    </row>
    <row r="7540" spans="3:12" x14ac:dyDescent="0.3">
      <c r="C7540" s="47"/>
      <c r="H7540" s="49"/>
      <c r="K7540" s="72"/>
      <c r="L7540" s="50"/>
    </row>
    <row r="7541" spans="3:12" x14ac:dyDescent="0.3">
      <c r="C7541" s="47"/>
      <c r="H7541" s="49"/>
      <c r="K7541" s="72"/>
      <c r="L7541" s="50"/>
    </row>
    <row r="7542" spans="3:12" x14ac:dyDescent="0.3">
      <c r="C7542" s="47"/>
      <c r="H7542" s="49"/>
      <c r="K7542" s="72"/>
      <c r="L7542" s="50"/>
    </row>
    <row r="7543" spans="3:12" x14ac:dyDescent="0.3">
      <c r="C7543" s="47"/>
      <c r="H7543" s="49"/>
      <c r="K7543" s="72"/>
      <c r="L7543" s="50"/>
    </row>
    <row r="7544" spans="3:12" x14ac:dyDescent="0.3">
      <c r="C7544" s="47"/>
      <c r="H7544" s="49"/>
      <c r="K7544" s="72"/>
      <c r="L7544" s="50"/>
    </row>
    <row r="7545" spans="3:12" x14ac:dyDescent="0.3">
      <c r="C7545" s="47"/>
      <c r="H7545" s="49"/>
      <c r="K7545" s="72"/>
      <c r="L7545" s="50"/>
    </row>
    <row r="7546" spans="3:12" x14ac:dyDescent="0.3">
      <c r="C7546" s="47"/>
      <c r="H7546" s="49"/>
      <c r="K7546" s="72"/>
      <c r="L7546" s="50"/>
    </row>
    <row r="7547" spans="3:12" x14ac:dyDescent="0.3">
      <c r="C7547" s="47"/>
      <c r="H7547" s="49"/>
      <c r="K7547" s="72"/>
      <c r="L7547" s="50"/>
    </row>
    <row r="7548" spans="3:12" x14ac:dyDescent="0.3">
      <c r="C7548" s="47"/>
      <c r="H7548" s="49"/>
      <c r="K7548" s="72"/>
      <c r="L7548" s="50"/>
    </row>
    <row r="7549" spans="3:12" x14ac:dyDescent="0.3">
      <c r="C7549" s="47"/>
      <c r="H7549" s="49"/>
      <c r="K7549" s="72"/>
      <c r="L7549" s="50"/>
    </row>
    <row r="7550" spans="3:12" x14ac:dyDescent="0.3">
      <c r="C7550" s="47"/>
      <c r="H7550" s="49"/>
      <c r="K7550" s="72"/>
      <c r="L7550" s="50"/>
    </row>
    <row r="7551" spans="3:12" x14ac:dyDescent="0.3">
      <c r="C7551" s="47"/>
      <c r="H7551" s="49"/>
      <c r="K7551" s="72"/>
      <c r="L7551" s="50"/>
    </row>
    <row r="7552" spans="3:12" x14ac:dyDescent="0.3">
      <c r="C7552" s="47"/>
      <c r="H7552" s="49"/>
      <c r="K7552" s="72"/>
      <c r="L7552" s="50"/>
    </row>
    <row r="7553" spans="3:12" x14ac:dyDescent="0.3">
      <c r="C7553" s="47"/>
      <c r="H7553" s="49"/>
      <c r="K7553" s="72"/>
      <c r="L7553" s="50"/>
    </row>
    <row r="7554" spans="3:12" x14ac:dyDescent="0.3">
      <c r="C7554" s="47"/>
      <c r="H7554" s="49"/>
      <c r="K7554" s="72"/>
      <c r="L7554" s="50"/>
    </row>
    <row r="7555" spans="3:12" x14ac:dyDescent="0.3">
      <c r="C7555" s="47"/>
      <c r="H7555" s="49"/>
      <c r="K7555" s="72"/>
      <c r="L7555" s="50"/>
    </row>
    <row r="7556" spans="3:12" x14ac:dyDescent="0.3">
      <c r="C7556" s="47"/>
      <c r="H7556" s="49"/>
      <c r="K7556" s="72"/>
      <c r="L7556" s="50"/>
    </row>
    <row r="7557" spans="3:12" x14ac:dyDescent="0.3">
      <c r="C7557" s="47"/>
      <c r="H7557" s="49"/>
      <c r="K7557" s="72"/>
      <c r="L7557" s="50"/>
    </row>
    <row r="7558" spans="3:12" x14ac:dyDescent="0.3">
      <c r="C7558" s="47"/>
      <c r="H7558" s="49"/>
      <c r="K7558" s="72"/>
      <c r="L7558" s="50"/>
    </row>
    <row r="7559" spans="3:12" x14ac:dyDescent="0.3">
      <c r="C7559" s="47"/>
      <c r="H7559" s="49"/>
      <c r="K7559" s="72"/>
      <c r="L7559" s="50"/>
    </row>
    <row r="7560" spans="3:12" x14ac:dyDescent="0.3">
      <c r="C7560" s="47"/>
      <c r="H7560" s="49"/>
      <c r="K7560" s="72"/>
      <c r="L7560" s="50"/>
    </row>
    <row r="7561" spans="3:12" x14ac:dyDescent="0.3">
      <c r="C7561" s="47"/>
      <c r="H7561" s="49"/>
      <c r="K7561" s="72"/>
      <c r="L7561" s="50"/>
    </row>
    <row r="7562" spans="3:12" x14ac:dyDescent="0.3">
      <c r="C7562" s="47"/>
      <c r="H7562" s="49"/>
      <c r="K7562" s="72"/>
      <c r="L7562" s="50"/>
    </row>
    <row r="7563" spans="3:12" x14ac:dyDescent="0.3">
      <c r="C7563" s="47"/>
      <c r="H7563" s="49"/>
      <c r="K7563" s="72"/>
      <c r="L7563" s="50"/>
    </row>
    <row r="7564" spans="3:12" x14ac:dyDescent="0.3">
      <c r="C7564" s="47"/>
      <c r="H7564" s="49"/>
      <c r="K7564" s="72"/>
      <c r="L7564" s="50"/>
    </row>
    <row r="7565" spans="3:12" x14ac:dyDescent="0.3">
      <c r="C7565" s="47"/>
      <c r="H7565" s="49"/>
      <c r="K7565" s="72"/>
      <c r="L7565" s="50"/>
    </row>
    <row r="7566" spans="3:12" x14ac:dyDescent="0.3">
      <c r="C7566" s="47"/>
      <c r="H7566" s="49"/>
      <c r="K7566" s="72"/>
      <c r="L7566" s="50"/>
    </row>
    <row r="7567" spans="3:12" x14ac:dyDescent="0.3">
      <c r="C7567" s="47"/>
      <c r="H7567" s="49"/>
      <c r="K7567" s="72"/>
      <c r="L7567" s="50"/>
    </row>
    <row r="7568" spans="3:12" x14ac:dyDescent="0.3">
      <c r="C7568" s="47"/>
      <c r="H7568" s="49"/>
      <c r="K7568" s="72"/>
      <c r="L7568" s="50"/>
    </row>
    <row r="7569" spans="3:12" x14ac:dyDescent="0.3">
      <c r="C7569" s="47"/>
      <c r="H7569" s="49"/>
      <c r="K7569" s="72"/>
      <c r="L7569" s="50"/>
    </row>
    <row r="7570" spans="3:12" x14ac:dyDescent="0.3">
      <c r="C7570" s="47"/>
      <c r="H7570" s="49"/>
      <c r="K7570" s="72"/>
      <c r="L7570" s="50"/>
    </row>
    <row r="7571" spans="3:12" x14ac:dyDescent="0.3">
      <c r="C7571" s="47"/>
      <c r="H7571" s="49"/>
      <c r="K7571" s="72"/>
      <c r="L7571" s="50"/>
    </row>
    <row r="7572" spans="3:12" x14ac:dyDescent="0.3">
      <c r="C7572" s="47"/>
      <c r="H7572" s="49"/>
      <c r="K7572" s="72"/>
      <c r="L7572" s="50"/>
    </row>
    <row r="7573" spans="3:12" x14ac:dyDescent="0.3">
      <c r="C7573" s="47"/>
      <c r="H7573" s="49"/>
      <c r="K7573" s="72"/>
      <c r="L7573" s="50"/>
    </row>
    <row r="7574" spans="3:12" x14ac:dyDescent="0.3">
      <c r="C7574" s="47"/>
      <c r="H7574" s="49"/>
      <c r="K7574" s="72"/>
      <c r="L7574" s="50"/>
    </row>
    <row r="7575" spans="3:12" x14ac:dyDescent="0.3">
      <c r="C7575" s="47"/>
      <c r="H7575" s="49"/>
      <c r="K7575" s="72"/>
      <c r="L7575" s="50"/>
    </row>
    <row r="7576" spans="3:12" x14ac:dyDescent="0.3">
      <c r="C7576" s="47"/>
      <c r="H7576" s="49"/>
      <c r="K7576" s="72"/>
      <c r="L7576" s="50"/>
    </row>
    <row r="7577" spans="3:12" x14ac:dyDescent="0.3">
      <c r="C7577" s="47"/>
      <c r="H7577" s="49"/>
      <c r="K7577" s="72"/>
      <c r="L7577" s="50"/>
    </row>
    <row r="7578" spans="3:12" x14ac:dyDescent="0.3">
      <c r="C7578" s="47"/>
      <c r="H7578" s="49"/>
      <c r="K7578" s="72"/>
      <c r="L7578" s="50"/>
    </row>
    <row r="7579" spans="3:12" x14ac:dyDescent="0.3">
      <c r="C7579" s="47"/>
      <c r="H7579" s="49"/>
      <c r="K7579" s="72"/>
      <c r="L7579" s="50"/>
    </row>
    <row r="7580" spans="3:12" x14ac:dyDescent="0.3">
      <c r="C7580" s="47"/>
      <c r="H7580" s="49"/>
      <c r="K7580" s="72"/>
      <c r="L7580" s="50"/>
    </row>
    <row r="7581" spans="3:12" x14ac:dyDescent="0.3">
      <c r="C7581" s="47"/>
      <c r="H7581" s="49"/>
      <c r="K7581" s="72"/>
      <c r="L7581" s="50"/>
    </row>
    <row r="7582" spans="3:12" x14ac:dyDescent="0.3">
      <c r="C7582" s="47"/>
      <c r="H7582" s="49"/>
      <c r="K7582" s="72"/>
      <c r="L7582" s="50"/>
    </row>
    <row r="7583" spans="3:12" x14ac:dyDescent="0.3">
      <c r="C7583" s="47"/>
      <c r="H7583" s="49"/>
      <c r="K7583" s="72"/>
      <c r="L7583" s="50"/>
    </row>
    <row r="7584" spans="3:12" x14ac:dyDescent="0.3">
      <c r="C7584" s="47"/>
      <c r="H7584" s="49"/>
      <c r="K7584" s="72"/>
      <c r="L7584" s="50"/>
    </row>
    <row r="7585" spans="3:12" x14ac:dyDescent="0.3">
      <c r="C7585" s="47"/>
      <c r="H7585" s="49"/>
      <c r="K7585" s="72"/>
      <c r="L7585" s="50"/>
    </row>
    <row r="7586" spans="3:12" x14ac:dyDescent="0.3">
      <c r="C7586" s="47"/>
      <c r="H7586" s="49"/>
      <c r="K7586" s="72"/>
      <c r="L7586" s="50"/>
    </row>
    <row r="7587" spans="3:12" x14ac:dyDescent="0.3">
      <c r="C7587" s="47"/>
      <c r="H7587" s="49"/>
      <c r="K7587" s="72"/>
      <c r="L7587" s="50"/>
    </row>
    <row r="7588" spans="3:12" x14ac:dyDescent="0.3">
      <c r="C7588" s="47"/>
      <c r="H7588" s="49"/>
      <c r="K7588" s="72"/>
      <c r="L7588" s="50"/>
    </row>
    <row r="7589" spans="3:12" x14ac:dyDescent="0.3">
      <c r="C7589" s="47"/>
      <c r="H7589" s="49"/>
      <c r="K7589" s="72"/>
      <c r="L7589" s="50"/>
    </row>
    <row r="7590" spans="3:12" x14ac:dyDescent="0.3">
      <c r="C7590" s="47"/>
      <c r="H7590" s="49"/>
      <c r="K7590" s="72"/>
      <c r="L7590" s="50"/>
    </row>
    <row r="7591" spans="3:12" x14ac:dyDescent="0.3">
      <c r="C7591" s="47"/>
      <c r="H7591" s="49"/>
      <c r="K7591" s="72"/>
      <c r="L7591" s="50"/>
    </row>
    <row r="7592" spans="3:12" x14ac:dyDescent="0.3">
      <c r="C7592" s="47"/>
      <c r="H7592" s="49"/>
      <c r="K7592" s="72"/>
      <c r="L7592" s="50"/>
    </row>
    <row r="7593" spans="3:12" x14ac:dyDescent="0.3">
      <c r="C7593" s="47"/>
      <c r="H7593" s="49"/>
      <c r="K7593" s="72"/>
      <c r="L7593" s="50"/>
    </row>
    <row r="7594" spans="3:12" x14ac:dyDescent="0.3">
      <c r="C7594" s="47"/>
      <c r="H7594" s="49"/>
      <c r="K7594" s="72"/>
      <c r="L7594" s="50"/>
    </row>
    <row r="7595" spans="3:12" x14ac:dyDescent="0.3">
      <c r="C7595" s="47"/>
      <c r="H7595" s="49"/>
      <c r="K7595" s="72"/>
      <c r="L7595" s="50"/>
    </row>
    <row r="7596" spans="3:12" x14ac:dyDescent="0.3">
      <c r="C7596" s="47"/>
      <c r="H7596" s="49"/>
      <c r="K7596" s="72"/>
      <c r="L7596" s="50"/>
    </row>
    <row r="7597" spans="3:12" x14ac:dyDescent="0.3">
      <c r="C7597" s="47"/>
      <c r="H7597" s="49"/>
      <c r="K7597" s="72"/>
      <c r="L7597" s="50"/>
    </row>
    <row r="7598" spans="3:12" x14ac:dyDescent="0.3">
      <c r="C7598" s="47"/>
      <c r="H7598" s="49"/>
      <c r="K7598" s="72"/>
      <c r="L7598" s="50"/>
    </row>
    <row r="7599" spans="3:12" x14ac:dyDescent="0.3">
      <c r="C7599" s="47"/>
      <c r="H7599" s="49"/>
      <c r="K7599" s="72"/>
      <c r="L7599" s="50"/>
    </row>
    <row r="7600" spans="3:12" x14ac:dyDescent="0.3">
      <c r="C7600" s="47"/>
      <c r="H7600" s="49"/>
      <c r="K7600" s="72"/>
      <c r="L7600" s="50"/>
    </row>
    <row r="7601" spans="3:12" x14ac:dyDescent="0.3">
      <c r="C7601" s="47"/>
      <c r="H7601" s="49"/>
      <c r="K7601" s="72"/>
      <c r="L7601" s="50"/>
    </row>
    <row r="7602" spans="3:12" x14ac:dyDescent="0.3">
      <c r="C7602" s="47"/>
      <c r="H7602" s="49"/>
      <c r="K7602" s="72"/>
      <c r="L7602" s="50"/>
    </row>
    <row r="7603" spans="3:12" x14ac:dyDescent="0.3">
      <c r="C7603" s="47"/>
      <c r="H7603" s="49"/>
      <c r="K7603" s="72"/>
      <c r="L7603" s="50"/>
    </row>
    <row r="7604" spans="3:12" x14ac:dyDescent="0.3">
      <c r="C7604" s="47"/>
      <c r="H7604" s="49"/>
      <c r="K7604" s="72"/>
      <c r="L7604" s="50"/>
    </row>
    <row r="7605" spans="3:12" x14ac:dyDescent="0.3">
      <c r="C7605" s="47"/>
      <c r="H7605" s="49"/>
      <c r="K7605" s="72"/>
      <c r="L7605" s="50"/>
    </row>
    <row r="7606" spans="3:12" x14ac:dyDescent="0.3">
      <c r="C7606" s="47"/>
      <c r="H7606" s="49"/>
      <c r="K7606" s="72"/>
      <c r="L7606" s="50"/>
    </row>
    <row r="7607" spans="3:12" x14ac:dyDescent="0.3">
      <c r="C7607" s="47"/>
      <c r="H7607" s="49"/>
      <c r="K7607" s="72"/>
      <c r="L7607" s="50"/>
    </row>
    <row r="7608" spans="3:12" x14ac:dyDescent="0.3">
      <c r="C7608" s="47"/>
      <c r="H7608" s="49"/>
      <c r="K7608" s="72"/>
      <c r="L7608" s="50"/>
    </row>
    <row r="7609" spans="3:12" x14ac:dyDescent="0.3">
      <c r="C7609" s="47"/>
      <c r="H7609" s="49"/>
      <c r="K7609" s="72"/>
      <c r="L7609" s="50"/>
    </row>
    <row r="7610" spans="3:12" x14ac:dyDescent="0.3">
      <c r="C7610" s="47"/>
      <c r="H7610" s="49"/>
      <c r="K7610" s="72"/>
      <c r="L7610" s="50"/>
    </row>
    <row r="7611" spans="3:12" x14ac:dyDescent="0.3">
      <c r="C7611" s="47"/>
      <c r="H7611" s="49"/>
      <c r="K7611" s="72"/>
      <c r="L7611" s="50"/>
    </row>
    <row r="7612" spans="3:12" x14ac:dyDescent="0.3">
      <c r="C7612" s="47"/>
      <c r="H7612" s="49"/>
      <c r="K7612" s="72"/>
      <c r="L7612" s="50"/>
    </row>
    <row r="7613" spans="3:12" x14ac:dyDescent="0.3">
      <c r="C7613" s="47"/>
      <c r="H7613" s="49"/>
      <c r="K7613" s="72"/>
      <c r="L7613" s="50"/>
    </row>
    <row r="7614" spans="3:12" x14ac:dyDescent="0.3">
      <c r="C7614" s="47"/>
      <c r="H7614" s="49"/>
      <c r="K7614" s="72"/>
      <c r="L7614" s="50"/>
    </row>
    <row r="7615" spans="3:12" x14ac:dyDescent="0.3">
      <c r="C7615" s="47"/>
      <c r="H7615" s="49"/>
      <c r="K7615" s="72"/>
      <c r="L7615" s="50"/>
    </row>
    <row r="7616" spans="3:12" x14ac:dyDescent="0.3">
      <c r="C7616" s="47"/>
      <c r="H7616" s="49"/>
      <c r="K7616" s="72"/>
      <c r="L7616" s="50"/>
    </row>
    <row r="7617" spans="3:12" x14ac:dyDescent="0.3">
      <c r="C7617" s="47"/>
      <c r="H7617" s="49"/>
      <c r="K7617" s="72"/>
      <c r="L7617" s="50"/>
    </row>
    <row r="7618" spans="3:12" x14ac:dyDescent="0.3">
      <c r="C7618" s="47"/>
      <c r="H7618" s="49"/>
      <c r="K7618" s="72"/>
      <c r="L7618" s="50"/>
    </row>
    <row r="7619" spans="3:12" x14ac:dyDescent="0.3">
      <c r="C7619" s="47"/>
      <c r="H7619" s="49"/>
      <c r="K7619" s="72"/>
      <c r="L7619" s="50"/>
    </row>
    <row r="7620" spans="3:12" x14ac:dyDescent="0.3">
      <c r="C7620" s="47"/>
      <c r="H7620" s="49"/>
      <c r="K7620" s="72"/>
      <c r="L7620" s="50"/>
    </row>
    <row r="7621" spans="3:12" x14ac:dyDescent="0.3">
      <c r="C7621" s="47"/>
      <c r="H7621" s="49"/>
      <c r="K7621" s="72"/>
      <c r="L7621" s="50"/>
    </row>
    <row r="7622" spans="3:12" x14ac:dyDescent="0.3">
      <c r="C7622" s="47"/>
      <c r="H7622" s="49"/>
      <c r="K7622" s="72"/>
      <c r="L7622" s="50"/>
    </row>
    <row r="7623" spans="3:12" x14ac:dyDescent="0.3">
      <c r="C7623" s="47"/>
      <c r="H7623" s="49"/>
      <c r="K7623" s="72"/>
      <c r="L7623" s="50"/>
    </row>
    <row r="7624" spans="3:12" x14ac:dyDescent="0.3">
      <c r="C7624" s="47"/>
      <c r="H7624" s="49"/>
      <c r="K7624" s="72"/>
      <c r="L7624" s="50"/>
    </row>
    <row r="7625" spans="3:12" x14ac:dyDescent="0.3">
      <c r="C7625" s="47"/>
      <c r="H7625" s="49"/>
      <c r="K7625" s="72"/>
      <c r="L7625" s="50"/>
    </row>
    <row r="7626" spans="3:12" x14ac:dyDescent="0.3">
      <c r="C7626" s="47"/>
      <c r="H7626" s="49"/>
      <c r="K7626" s="72"/>
      <c r="L7626" s="50"/>
    </row>
    <row r="7627" spans="3:12" x14ac:dyDescent="0.3">
      <c r="C7627" s="47"/>
      <c r="H7627" s="49"/>
      <c r="K7627" s="72"/>
      <c r="L7627" s="50"/>
    </row>
    <row r="7628" spans="3:12" x14ac:dyDescent="0.3">
      <c r="C7628" s="47"/>
      <c r="H7628" s="49"/>
      <c r="K7628" s="72"/>
      <c r="L7628" s="50"/>
    </row>
    <row r="7629" spans="3:12" x14ac:dyDescent="0.3">
      <c r="C7629" s="47"/>
      <c r="H7629" s="49"/>
      <c r="K7629" s="72"/>
      <c r="L7629" s="50"/>
    </row>
    <row r="7630" spans="3:12" x14ac:dyDescent="0.3">
      <c r="C7630" s="47"/>
      <c r="H7630" s="49"/>
      <c r="K7630" s="72"/>
      <c r="L7630" s="50"/>
    </row>
    <row r="7631" spans="3:12" x14ac:dyDescent="0.3">
      <c r="C7631" s="47"/>
      <c r="H7631" s="49"/>
      <c r="K7631" s="72"/>
      <c r="L7631" s="50"/>
    </row>
    <row r="7632" spans="3:12" x14ac:dyDescent="0.3">
      <c r="C7632" s="47"/>
      <c r="H7632" s="49"/>
      <c r="K7632" s="72"/>
      <c r="L7632" s="50"/>
    </row>
    <row r="7633" spans="3:12" x14ac:dyDescent="0.3">
      <c r="C7633" s="47"/>
      <c r="H7633" s="49"/>
      <c r="K7633" s="72"/>
      <c r="L7633" s="50"/>
    </row>
    <row r="7634" spans="3:12" x14ac:dyDescent="0.3">
      <c r="C7634" s="47"/>
      <c r="H7634" s="49"/>
      <c r="K7634" s="72"/>
      <c r="L7634" s="50"/>
    </row>
    <row r="7635" spans="3:12" x14ac:dyDescent="0.3">
      <c r="C7635" s="47"/>
      <c r="H7635" s="49"/>
      <c r="K7635" s="72"/>
      <c r="L7635" s="50"/>
    </row>
    <row r="7636" spans="3:12" x14ac:dyDescent="0.3">
      <c r="C7636" s="47"/>
      <c r="H7636" s="49"/>
      <c r="K7636" s="72"/>
      <c r="L7636" s="50"/>
    </row>
    <row r="7637" spans="3:12" x14ac:dyDescent="0.3">
      <c r="C7637" s="47"/>
      <c r="H7637" s="49"/>
      <c r="K7637" s="72"/>
      <c r="L7637" s="50"/>
    </row>
    <row r="7638" spans="3:12" x14ac:dyDescent="0.3">
      <c r="C7638" s="47"/>
      <c r="H7638" s="49"/>
      <c r="K7638" s="72"/>
      <c r="L7638" s="50"/>
    </row>
    <row r="7639" spans="3:12" x14ac:dyDescent="0.3">
      <c r="C7639" s="47"/>
      <c r="H7639" s="49"/>
      <c r="K7639" s="72"/>
      <c r="L7639" s="50"/>
    </row>
    <row r="7640" spans="3:12" x14ac:dyDescent="0.3">
      <c r="C7640" s="47"/>
      <c r="H7640" s="49"/>
      <c r="K7640" s="72"/>
      <c r="L7640" s="50"/>
    </row>
    <row r="7641" spans="3:12" x14ac:dyDescent="0.3">
      <c r="C7641" s="47"/>
      <c r="H7641" s="49"/>
      <c r="K7641" s="72"/>
      <c r="L7641" s="50"/>
    </row>
    <row r="7642" spans="3:12" x14ac:dyDescent="0.3">
      <c r="C7642" s="47"/>
      <c r="H7642" s="49"/>
      <c r="K7642" s="72"/>
      <c r="L7642" s="50"/>
    </row>
    <row r="7643" spans="3:12" x14ac:dyDescent="0.3">
      <c r="C7643" s="47"/>
      <c r="H7643" s="49"/>
      <c r="K7643" s="72"/>
      <c r="L7643" s="50"/>
    </row>
    <row r="7644" spans="3:12" x14ac:dyDescent="0.3">
      <c r="C7644" s="47"/>
      <c r="H7644" s="49"/>
      <c r="K7644" s="72"/>
      <c r="L7644" s="50"/>
    </row>
    <row r="7645" spans="3:12" x14ac:dyDescent="0.3">
      <c r="C7645" s="47"/>
      <c r="H7645" s="49"/>
      <c r="K7645" s="72"/>
      <c r="L7645" s="50"/>
    </row>
    <row r="7646" spans="3:12" x14ac:dyDescent="0.3">
      <c r="C7646" s="47"/>
      <c r="H7646" s="49"/>
      <c r="K7646" s="72"/>
      <c r="L7646" s="50"/>
    </row>
    <row r="7647" spans="3:12" x14ac:dyDescent="0.3">
      <c r="C7647" s="47"/>
      <c r="H7647" s="49"/>
      <c r="K7647" s="72"/>
      <c r="L7647" s="50"/>
    </row>
    <row r="7648" spans="3:12" x14ac:dyDescent="0.3">
      <c r="C7648" s="47"/>
      <c r="H7648" s="49"/>
      <c r="K7648" s="72"/>
      <c r="L7648" s="50"/>
    </row>
    <row r="7649" spans="3:12" x14ac:dyDescent="0.3">
      <c r="C7649" s="47"/>
      <c r="H7649" s="49"/>
      <c r="K7649" s="72"/>
      <c r="L7649" s="50"/>
    </row>
    <row r="7650" spans="3:12" x14ac:dyDescent="0.3">
      <c r="C7650" s="47"/>
      <c r="H7650" s="49"/>
      <c r="K7650" s="72"/>
      <c r="L7650" s="50"/>
    </row>
    <row r="7651" spans="3:12" x14ac:dyDescent="0.3">
      <c r="C7651" s="47"/>
      <c r="H7651" s="49"/>
      <c r="K7651" s="72"/>
      <c r="L7651" s="50"/>
    </row>
    <row r="7652" spans="3:12" x14ac:dyDescent="0.3">
      <c r="C7652" s="47"/>
      <c r="H7652" s="49"/>
      <c r="K7652" s="72"/>
      <c r="L7652" s="50"/>
    </row>
    <row r="7653" spans="3:12" x14ac:dyDescent="0.3">
      <c r="C7653" s="47"/>
      <c r="H7653" s="49"/>
      <c r="K7653" s="72"/>
      <c r="L7653" s="50"/>
    </row>
    <row r="7654" spans="3:12" x14ac:dyDescent="0.3">
      <c r="C7654" s="47"/>
      <c r="H7654" s="49"/>
      <c r="K7654" s="72"/>
      <c r="L7654" s="50"/>
    </row>
    <row r="7655" spans="3:12" x14ac:dyDescent="0.3">
      <c r="C7655" s="47"/>
      <c r="H7655" s="49"/>
      <c r="K7655" s="72"/>
      <c r="L7655" s="50"/>
    </row>
    <row r="7656" spans="3:12" x14ac:dyDescent="0.3">
      <c r="C7656" s="47"/>
      <c r="H7656" s="49"/>
      <c r="K7656" s="72"/>
      <c r="L7656" s="50"/>
    </row>
    <row r="7657" spans="3:12" x14ac:dyDescent="0.3">
      <c r="C7657" s="47"/>
      <c r="H7657" s="49"/>
      <c r="K7657" s="72"/>
      <c r="L7657" s="50"/>
    </row>
    <row r="7658" spans="3:12" x14ac:dyDescent="0.3">
      <c r="C7658" s="47"/>
      <c r="H7658" s="49"/>
      <c r="K7658" s="72"/>
      <c r="L7658" s="50"/>
    </row>
    <row r="7659" spans="3:12" x14ac:dyDescent="0.3">
      <c r="C7659" s="47"/>
      <c r="H7659" s="49"/>
      <c r="K7659" s="72"/>
      <c r="L7659" s="50"/>
    </row>
    <row r="7660" spans="3:12" x14ac:dyDescent="0.3">
      <c r="C7660" s="47"/>
      <c r="H7660" s="49"/>
      <c r="K7660" s="72"/>
      <c r="L7660" s="50"/>
    </row>
    <row r="7661" spans="3:12" x14ac:dyDescent="0.3">
      <c r="C7661" s="47"/>
      <c r="H7661" s="49"/>
      <c r="K7661" s="72"/>
      <c r="L7661" s="50"/>
    </row>
    <row r="7662" spans="3:12" x14ac:dyDescent="0.3">
      <c r="C7662" s="47"/>
      <c r="H7662" s="49"/>
      <c r="K7662" s="72"/>
      <c r="L7662" s="50"/>
    </row>
    <row r="7663" spans="3:12" x14ac:dyDescent="0.3">
      <c r="C7663" s="47"/>
      <c r="H7663" s="49"/>
      <c r="K7663" s="72"/>
      <c r="L7663" s="50"/>
    </row>
    <row r="7664" spans="3:12" x14ac:dyDescent="0.3">
      <c r="C7664" s="47"/>
      <c r="H7664" s="49"/>
      <c r="K7664" s="72"/>
      <c r="L7664" s="50"/>
    </row>
    <row r="7665" spans="3:12" x14ac:dyDescent="0.3">
      <c r="C7665" s="47"/>
      <c r="H7665" s="49"/>
      <c r="K7665" s="72"/>
      <c r="L7665" s="50"/>
    </row>
    <row r="7666" spans="3:12" x14ac:dyDescent="0.3">
      <c r="C7666" s="47"/>
      <c r="H7666" s="49"/>
      <c r="K7666" s="72"/>
      <c r="L7666" s="50"/>
    </row>
    <row r="7667" spans="3:12" x14ac:dyDescent="0.3">
      <c r="C7667" s="47"/>
      <c r="H7667" s="49"/>
      <c r="K7667" s="72"/>
      <c r="L7667" s="50"/>
    </row>
    <row r="7668" spans="3:12" x14ac:dyDescent="0.3">
      <c r="C7668" s="47"/>
      <c r="H7668" s="49"/>
      <c r="K7668" s="72"/>
      <c r="L7668" s="50"/>
    </row>
    <row r="7669" spans="3:12" x14ac:dyDescent="0.3">
      <c r="C7669" s="47"/>
      <c r="H7669" s="49"/>
      <c r="K7669" s="72"/>
      <c r="L7669" s="50"/>
    </row>
    <row r="7670" spans="3:12" x14ac:dyDescent="0.3">
      <c r="C7670" s="47"/>
      <c r="H7670" s="49"/>
      <c r="K7670" s="72"/>
      <c r="L7670" s="50"/>
    </row>
    <row r="7671" spans="3:12" x14ac:dyDescent="0.3">
      <c r="C7671" s="47"/>
      <c r="H7671" s="49"/>
      <c r="K7671" s="72"/>
      <c r="L7671" s="50"/>
    </row>
    <row r="7672" spans="3:12" x14ac:dyDescent="0.3">
      <c r="C7672" s="47"/>
      <c r="H7672" s="49"/>
      <c r="K7672" s="72"/>
      <c r="L7672" s="50"/>
    </row>
    <row r="7673" spans="3:12" x14ac:dyDescent="0.3">
      <c r="C7673" s="47"/>
      <c r="H7673" s="49"/>
      <c r="K7673" s="72"/>
      <c r="L7673" s="50"/>
    </row>
    <row r="7674" spans="3:12" x14ac:dyDescent="0.3">
      <c r="C7674" s="47"/>
      <c r="H7674" s="49"/>
      <c r="K7674" s="72"/>
      <c r="L7674" s="50"/>
    </row>
    <row r="7675" spans="3:12" x14ac:dyDescent="0.3">
      <c r="C7675" s="47"/>
      <c r="H7675" s="49"/>
      <c r="K7675" s="72"/>
      <c r="L7675" s="50"/>
    </row>
    <row r="7676" spans="3:12" x14ac:dyDescent="0.3">
      <c r="C7676" s="47"/>
      <c r="H7676" s="49"/>
      <c r="K7676" s="72"/>
      <c r="L7676" s="50"/>
    </row>
    <row r="7677" spans="3:12" x14ac:dyDescent="0.3">
      <c r="C7677" s="47"/>
      <c r="H7677" s="49"/>
      <c r="K7677" s="72"/>
      <c r="L7677" s="50"/>
    </row>
    <row r="7678" spans="3:12" x14ac:dyDescent="0.3">
      <c r="C7678" s="47"/>
      <c r="H7678" s="49"/>
      <c r="K7678" s="72"/>
      <c r="L7678" s="50"/>
    </row>
    <row r="7679" spans="3:12" x14ac:dyDescent="0.3">
      <c r="C7679" s="47"/>
      <c r="H7679" s="49"/>
      <c r="K7679" s="72"/>
      <c r="L7679" s="50"/>
    </row>
    <row r="7680" spans="3:12" x14ac:dyDescent="0.3">
      <c r="C7680" s="47"/>
      <c r="H7680" s="49"/>
      <c r="K7680" s="72"/>
      <c r="L7680" s="50"/>
    </row>
    <row r="7681" spans="3:12" x14ac:dyDescent="0.3">
      <c r="C7681" s="47"/>
      <c r="H7681" s="49"/>
      <c r="K7681" s="72"/>
      <c r="L7681" s="50"/>
    </row>
    <row r="7682" spans="3:12" x14ac:dyDescent="0.3">
      <c r="C7682" s="47"/>
      <c r="H7682" s="49"/>
      <c r="K7682" s="72"/>
      <c r="L7682" s="50"/>
    </row>
    <row r="7683" spans="3:12" x14ac:dyDescent="0.3">
      <c r="C7683" s="47"/>
      <c r="H7683" s="49"/>
      <c r="K7683" s="72"/>
      <c r="L7683" s="50"/>
    </row>
    <row r="7684" spans="3:12" x14ac:dyDescent="0.3">
      <c r="C7684" s="47"/>
      <c r="H7684" s="49"/>
      <c r="K7684" s="72"/>
      <c r="L7684" s="50"/>
    </row>
    <row r="7685" spans="3:12" x14ac:dyDescent="0.3">
      <c r="C7685" s="47"/>
      <c r="H7685" s="49"/>
      <c r="K7685" s="72"/>
      <c r="L7685" s="50"/>
    </row>
    <row r="7686" spans="3:12" x14ac:dyDescent="0.3">
      <c r="C7686" s="47"/>
      <c r="H7686" s="49"/>
      <c r="K7686" s="72"/>
      <c r="L7686" s="50"/>
    </row>
    <row r="7687" spans="3:12" x14ac:dyDescent="0.3">
      <c r="C7687" s="47"/>
      <c r="H7687" s="49"/>
      <c r="K7687" s="72"/>
      <c r="L7687" s="50"/>
    </row>
    <row r="7688" spans="3:12" x14ac:dyDescent="0.3">
      <c r="C7688" s="47"/>
      <c r="H7688" s="49"/>
      <c r="K7688" s="72"/>
      <c r="L7688" s="50"/>
    </row>
    <row r="7689" spans="3:12" x14ac:dyDescent="0.3">
      <c r="C7689" s="47"/>
      <c r="H7689" s="49"/>
      <c r="K7689" s="72"/>
      <c r="L7689" s="50"/>
    </row>
    <row r="7690" spans="3:12" x14ac:dyDescent="0.3">
      <c r="C7690" s="47"/>
      <c r="H7690" s="49"/>
      <c r="K7690" s="72"/>
      <c r="L7690" s="50"/>
    </row>
    <row r="7691" spans="3:12" x14ac:dyDescent="0.3">
      <c r="C7691" s="47"/>
      <c r="H7691" s="49"/>
      <c r="K7691" s="72"/>
      <c r="L7691" s="50"/>
    </row>
    <row r="7692" spans="3:12" x14ac:dyDescent="0.3">
      <c r="C7692" s="47"/>
      <c r="H7692" s="49"/>
      <c r="K7692" s="72"/>
      <c r="L7692" s="50"/>
    </row>
    <row r="7693" spans="3:12" x14ac:dyDescent="0.3">
      <c r="C7693" s="47"/>
      <c r="H7693" s="49"/>
      <c r="K7693" s="72"/>
      <c r="L7693" s="50"/>
    </row>
    <row r="7694" spans="3:12" x14ac:dyDescent="0.3">
      <c r="C7694" s="47"/>
      <c r="H7694" s="49"/>
      <c r="K7694" s="72"/>
      <c r="L7694" s="50"/>
    </row>
    <row r="7695" spans="3:12" x14ac:dyDescent="0.3">
      <c r="C7695" s="47"/>
      <c r="H7695" s="49"/>
      <c r="K7695" s="72"/>
      <c r="L7695" s="50"/>
    </row>
    <row r="7696" spans="3:12" x14ac:dyDescent="0.3">
      <c r="C7696" s="47"/>
      <c r="H7696" s="49"/>
      <c r="K7696" s="72"/>
      <c r="L7696" s="50"/>
    </row>
    <row r="7697" spans="3:12" x14ac:dyDescent="0.3">
      <c r="C7697" s="47"/>
      <c r="H7697" s="49"/>
      <c r="K7697" s="72"/>
      <c r="L7697" s="50"/>
    </row>
    <row r="7698" spans="3:12" x14ac:dyDescent="0.3">
      <c r="C7698" s="47"/>
      <c r="H7698" s="49"/>
      <c r="K7698" s="72"/>
      <c r="L7698" s="50"/>
    </row>
    <row r="7699" spans="3:12" x14ac:dyDescent="0.3">
      <c r="C7699" s="47"/>
      <c r="H7699" s="49"/>
      <c r="K7699" s="72"/>
      <c r="L7699" s="50"/>
    </row>
    <row r="7700" spans="3:12" x14ac:dyDescent="0.3">
      <c r="C7700" s="47"/>
      <c r="H7700" s="49"/>
      <c r="K7700" s="72"/>
      <c r="L7700" s="50"/>
    </row>
    <row r="7701" spans="3:12" x14ac:dyDescent="0.3">
      <c r="C7701" s="47"/>
      <c r="H7701" s="49"/>
      <c r="K7701" s="72"/>
      <c r="L7701" s="50"/>
    </row>
    <row r="7702" spans="3:12" x14ac:dyDescent="0.3">
      <c r="C7702" s="47"/>
      <c r="H7702" s="49"/>
      <c r="K7702" s="72"/>
      <c r="L7702" s="50"/>
    </row>
    <row r="7703" spans="3:12" x14ac:dyDescent="0.3">
      <c r="C7703" s="47"/>
      <c r="H7703" s="49"/>
      <c r="K7703" s="72"/>
      <c r="L7703" s="50"/>
    </row>
    <row r="7704" spans="3:12" x14ac:dyDescent="0.3">
      <c r="C7704" s="47"/>
      <c r="H7704" s="49"/>
      <c r="K7704" s="72"/>
      <c r="L7704" s="50"/>
    </row>
    <row r="7705" spans="3:12" x14ac:dyDescent="0.3">
      <c r="C7705" s="47"/>
      <c r="H7705" s="49"/>
      <c r="K7705" s="72"/>
      <c r="L7705" s="50"/>
    </row>
    <row r="7706" spans="3:12" x14ac:dyDescent="0.3">
      <c r="C7706" s="47"/>
      <c r="H7706" s="49"/>
      <c r="K7706" s="72"/>
      <c r="L7706" s="50"/>
    </row>
    <row r="7707" spans="3:12" x14ac:dyDescent="0.3">
      <c r="C7707" s="47"/>
      <c r="H7707" s="49"/>
      <c r="K7707" s="72"/>
      <c r="L7707" s="50"/>
    </row>
    <row r="7708" spans="3:12" x14ac:dyDescent="0.3">
      <c r="C7708" s="47"/>
      <c r="H7708" s="49"/>
      <c r="K7708" s="72"/>
      <c r="L7708" s="50"/>
    </row>
    <row r="7709" spans="3:12" x14ac:dyDescent="0.3">
      <c r="C7709" s="47"/>
      <c r="H7709" s="49"/>
      <c r="K7709" s="72"/>
      <c r="L7709" s="50"/>
    </row>
    <row r="7710" spans="3:12" x14ac:dyDescent="0.3">
      <c r="C7710" s="47"/>
      <c r="H7710" s="49"/>
      <c r="K7710" s="72"/>
      <c r="L7710" s="50"/>
    </row>
    <row r="7711" spans="3:12" x14ac:dyDescent="0.3">
      <c r="C7711" s="47"/>
      <c r="H7711" s="49"/>
      <c r="K7711" s="72"/>
      <c r="L7711" s="50"/>
    </row>
    <row r="7712" spans="3:12" x14ac:dyDescent="0.3">
      <c r="C7712" s="47"/>
      <c r="H7712" s="49"/>
      <c r="K7712" s="72"/>
      <c r="L7712" s="50"/>
    </row>
    <row r="7713" spans="3:12" x14ac:dyDescent="0.3">
      <c r="C7713" s="47"/>
      <c r="H7713" s="49"/>
      <c r="K7713" s="72"/>
      <c r="L7713" s="50"/>
    </row>
    <row r="7714" spans="3:12" x14ac:dyDescent="0.3">
      <c r="C7714" s="47"/>
      <c r="H7714" s="49"/>
      <c r="K7714" s="72"/>
      <c r="L7714" s="50"/>
    </row>
    <row r="7715" spans="3:12" x14ac:dyDescent="0.3">
      <c r="C7715" s="47"/>
      <c r="H7715" s="49"/>
      <c r="K7715" s="72"/>
      <c r="L7715" s="50"/>
    </row>
    <row r="7716" spans="3:12" x14ac:dyDescent="0.3">
      <c r="C7716" s="47"/>
      <c r="H7716" s="49"/>
      <c r="K7716" s="72"/>
      <c r="L7716" s="50"/>
    </row>
    <row r="7717" spans="3:12" x14ac:dyDescent="0.3">
      <c r="C7717" s="47"/>
      <c r="H7717" s="49"/>
      <c r="K7717" s="72"/>
      <c r="L7717" s="50"/>
    </row>
    <row r="7718" spans="3:12" x14ac:dyDescent="0.3">
      <c r="C7718" s="47"/>
      <c r="H7718" s="49"/>
      <c r="K7718" s="72"/>
      <c r="L7718" s="50"/>
    </row>
    <row r="7719" spans="3:12" x14ac:dyDescent="0.3">
      <c r="C7719" s="47"/>
      <c r="H7719" s="49"/>
      <c r="K7719" s="72"/>
      <c r="L7719" s="50"/>
    </row>
    <row r="7720" spans="3:12" x14ac:dyDescent="0.3">
      <c r="C7720" s="47"/>
      <c r="H7720" s="49"/>
      <c r="K7720" s="72"/>
      <c r="L7720" s="50"/>
    </row>
    <row r="7721" spans="3:12" x14ac:dyDescent="0.3">
      <c r="C7721" s="47"/>
      <c r="H7721" s="49"/>
      <c r="K7721" s="72"/>
      <c r="L7721" s="50"/>
    </row>
    <row r="7722" spans="3:12" x14ac:dyDescent="0.3">
      <c r="C7722" s="47"/>
      <c r="H7722" s="49"/>
      <c r="K7722" s="72"/>
      <c r="L7722" s="50"/>
    </row>
    <row r="7723" spans="3:12" x14ac:dyDescent="0.3">
      <c r="C7723" s="47"/>
      <c r="H7723" s="49"/>
      <c r="K7723" s="72"/>
      <c r="L7723" s="50"/>
    </row>
    <row r="7724" spans="3:12" x14ac:dyDescent="0.3">
      <c r="C7724" s="47"/>
      <c r="H7724" s="49"/>
      <c r="K7724" s="72"/>
      <c r="L7724" s="50"/>
    </row>
    <row r="7725" spans="3:12" x14ac:dyDescent="0.3">
      <c r="C7725" s="47"/>
      <c r="H7725" s="49"/>
      <c r="K7725" s="72"/>
      <c r="L7725" s="50"/>
    </row>
    <row r="7726" spans="3:12" x14ac:dyDescent="0.3">
      <c r="C7726" s="47"/>
      <c r="H7726" s="49"/>
      <c r="K7726" s="72"/>
      <c r="L7726" s="50"/>
    </row>
    <row r="7727" spans="3:12" x14ac:dyDescent="0.3">
      <c r="C7727" s="47"/>
      <c r="H7727" s="49"/>
      <c r="K7727" s="72"/>
      <c r="L7727" s="50"/>
    </row>
    <row r="7728" spans="3:12" x14ac:dyDescent="0.3">
      <c r="C7728" s="47"/>
      <c r="H7728" s="49"/>
      <c r="K7728" s="72"/>
      <c r="L7728" s="50"/>
    </row>
    <row r="7729" spans="3:12" x14ac:dyDescent="0.3">
      <c r="C7729" s="47"/>
      <c r="H7729" s="49"/>
      <c r="K7729" s="72"/>
      <c r="L7729" s="50"/>
    </row>
    <row r="7730" spans="3:12" x14ac:dyDescent="0.3">
      <c r="C7730" s="47"/>
      <c r="H7730" s="49"/>
      <c r="K7730" s="72"/>
      <c r="L7730" s="50"/>
    </row>
    <row r="7731" spans="3:12" x14ac:dyDescent="0.3">
      <c r="C7731" s="47"/>
      <c r="H7731" s="49"/>
      <c r="K7731" s="72"/>
      <c r="L7731" s="50"/>
    </row>
    <row r="7732" spans="3:12" x14ac:dyDescent="0.3">
      <c r="C7732" s="47"/>
      <c r="H7732" s="49"/>
      <c r="K7732" s="72"/>
      <c r="L7732" s="50"/>
    </row>
    <row r="7733" spans="3:12" x14ac:dyDescent="0.3">
      <c r="C7733" s="47"/>
      <c r="H7733" s="49"/>
      <c r="K7733" s="72"/>
      <c r="L7733" s="50"/>
    </row>
    <row r="7734" spans="3:12" x14ac:dyDescent="0.3">
      <c r="C7734" s="47"/>
      <c r="H7734" s="49"/>
      <c r="K7734" s="72"/>
      <c r="L7734" s="50"/>
    </row>
    <row r="7735" spans="3:12" x14ac:dyDescent="0.3">
      <c r="C7735" s="47"/>
      <c r="H7735" s="49"/>
      <c r="K7735" s="72"/>
      <c r="L7735" s="50"/>
    </row>
    <row r="7736" spans="3:12" x14ac:dyDescent="0.3">
      <c r="C7736" s="47"/>
      <c r="H7736" s="49"/>
      <c r="K7736" s="72"/>
      <c r="L7736" s="50"/>
    </row>
    <row r="7737" spans="3:12" x14ac:dyDescent="0.3">
      <c r="C7737" s="47"/>
      <c r="H7737" s="49"/>
      <c r="K7737" s="72"/>
      <c r="L7737" s="50"/>
    </row>
    <row r="7738" spans="3:12" x14ac:dyDescent="0.3">
      <c r="C7738" s="47"/>
      <c r="H7738" s="49"/>
      <c r="K7738" s="72"/>
      <c r="L7738" s="50"/>
    </row>
    <row r="7739" spans="3:12" x14ac:dyDescent="0.3">
      <c r="C7739" s="47"/>
      <c r="H7739" s="49"/>
      <c r="K7739" s="72"/>
      <c r="L7739" s="50"/>
    </row>
    <row r="7740" spans="3:12" x14ac:dyDescent="0.3">
      <c r="C7740" s="47"/>
      <c r="H7740" s="49"/>
      <c r="K7740" s="72"/>
      <c r="L7740" s="50"/>
    </row>
    <row r="7741" spans="3:12" x14ac:dyDescent="0.3">
      <c r="C7741" s="47"/>
      <c r="H7741" s="49"/>
      <c r="K7741" s="72"/>
      <c r="L7741" s="50"/>
    </row>
    <row r="7742" spans="3:12" x14ac:dyDescent="0.3">
      <c r="C7742" s="47"/>
      <c r="H7742" s="49"/>
      <c r="K7742" s="72"/>
      <c r="L7742" s="50"/>
    </row>
    <row r="7743" spans="3:12" x14ac:dyDescent="0.3">
      <c r="C7743" s="47"/>
      <c r="H7743" s="49"/>
      <c r="K7743" s="72"/>
      <c r="L7743" s="50"/>
    </row>
    <row r="7744" spans="3:12" x14ac:dyDescent="0.3">
      <c r="C7744" s="47"/>
      <c r="H7744" s="49"/>
      <c r="K7744" s="72"/>
      <c r="L7744" s="50"/>
    </row>
    <row r="7745" spans="3:12" x14ac:dyDescent="0.3">
      <c r="C7745" s="47"/>
      <c r="H7745" s="49"/>
      <c r="K7745" s="72"/>
      <c r="L7745" s="50"/>
    </row>
    <row r="7746" spans="3:12" x14ac:dyDescent="0.3">
      <c r="C7746" s="47"/>
      <c r="H7746" s="49"/>
      <c r="K7746" s="72"/>
      <c r="L7746" s="50"/>
    </row>
    <row r="7747" spans="3:12" x14ac:dyDescent="0.3">
      <c r="C7747" s="47"/>
      <c r="H7747" s="49"/>
      <c r="K7747" s="72"/>
      <c r="L7747" s="50"/>
    </row>
    <row r="7748" spans="3:12" x14ac:dyDescent="0.3">
      <c r="C7748" s="47"/>
      <c r="H7748" s="49"/>
      <c r="K7748" s="72"/>
      <c r="L7748" s="50"/>
    </row>
    <row r="7749" spans="3:12" x14ac:dyDescent="0.3">
      <c r="C7749" s="47"/>
      <c r="H7749" s="49"/>
      <c r="K7749" s="72"/>
      <c r="L7749" s="50"/>
    </row>
    <row r="7750" spans="3:12" x14ac:dyDescent="0.3">
      <c r="C7750" s="47"/>
      <c r="H7750" s="49"/>
      <c r="K7750" s="72"/>
      <c r="L7750" s="50"/>
    </row>
    <row r="7751" spans="3:12" x14ac:dyDescent="0.3">
      <c r="C7751" s="47"/>
      <c r="H7751" s="49"/>
      <c r="K7751" s="72"/>
      <c r="L7751" s="50"/>
    </row>
    <row r="7752" spans="3:12" x14ac:dyDescent="0.3">
      <c r="C7752" s="47"/>
      <c r="H7752" s="49"/>
      <c r="K7752" s="72"/>
      <c r="L7752" s="50"/>
    </row>
    <row r="7753" spans="3:12" x14ac:dyDescent="0.3">
      <c r="C7753" s="47"/>
      <c r="H7753" s="49"/>
      <c r="K7753" s="72"/>
      <c r="L7753" s="50"/>
    </row>
    <row r="7754" spans="3:12" x14ac:dyDescent="0.3">
      <c r="C7754" s="47"/>
      <c r="H7754" s="49"/>
      <c r="K7754" s="72"/>
      <c r="L7754" s="50"/>
    </row>
    <row r="7755" spans="3:12" x14ac:dyDescent="0.3">
      <c r="C7755" s="47"/>
      <c r="H7755" s="49"/>
      <c r="K7755" s="72"/>
      <c r="L7755" s="50"/>
    </row>
    <row r="7756" spans="3:12" x14ac:dyDescent="0.3">
      <c r="C7756" s="47"/>
      <c r="H7756" s="49"/>
      <c r="K7756" s="72"/>
      <c r="L7756" s="50"/>
    </row>
    <row r="7757" spans="3:12" x14ac:dyDescent="0.3">
      <c r="C7757" s="47"/>
      <c r="H7757" s="49"/>
      <c r="K7757" s="72"/>
      <c r="L7757" s="50"/>
    </row>
    <row r="7758" spans="3:12" x14ac:dyDescent="0.3">
      <c r="C7758" s="47"/>
      <c r="H7758" s="49"/>
      <c r="K7758" s="72"/>
      <c r="L7758" s="50"/>
    </row>
    <row r="7759" spans="3:12" x14ac:dyDescent="0.3">
      <c r="C7759" s="47"/>
      <c r="H7759" s="49"/>
      <c r="K7759" s="72"/>
      <c r="L7759" s="50"/>
    </row>
    <row r="7760" spans="3:12" x14ac:dyDescent="0.3">
      <c r="C7760" s="47"/>
      <c r="H7760" s="49"/>
      <c r="K7760" s="72"/>
      <c r="L7760" s="50"/>
    </row>
    <row r="7761" spans="3:12" x14ac:dyDescent="0.3">
      <c r="C7761" s="47"/>
      <c r="H7761" s="49"/>
      <c r="K7761" s="72"/>
      <c r="L7761" s="50"/>
    </row>
    <row r="7762" spans="3:12" x14ac:dyDescent="0.3">
      <c r="C7762" s="47"/>
      <c r="H7762" s="49"/>
      <c r="K7762" s="72"/>
      <c r="L7762" s="50"/>
    </row>
    <row r="7763" spans="3:12" x14ac:dyDescent="0.3">
      <c r="C7763" s="47"/>
      <c r="H7763" s="49"/>
      <c r="K7763" s="72"/>
      <c r="L7763" s="50"/>
    </row>
    <row r="7764" spans="3:12" x14ac:dyDescent="0.3">
      <c r="C7764" s="47"/>
      <c r="H7764" s="49"/>
      <c r="K7764" s="72"/>
      <c r="L7764" s="50"/>
    </row>
    <row r="7765" spans="3:12" x14ac:dyDescent="0.3">
      <c r="C7765" s="47"/>
      <c r="H7765" s="49"/>
      <c r="K7765" s="72"/>
      <c r="L7765" s="50"/>
    </row>
    <row r="7766" spans="3:12" x14ac:dyDescent="0.3">
      <c r="C7766" s="47"/>
      <c r="H7766" s="49"/>
      <c r="K7766" s="72"/>
      <c r="L7766" s="50"/>
    </row>
    <row r="7767" spans="3:12" x14ac:dyDescent="0.3">
      <c r="C7767" s="47"/>
      <c r="H7767" s="49"/>
      <c r="K7767" s="72"/>
      <c r="L7767" s="50"/>
    </row>
    <row r="7768" spans="3:12" x14ac:dyDescent="0.3">
      <c r="C7768" s="47"/>
      <c r="H7768" s="49"/>
      <c r="K7768" s="72"/>
      <c r="L7768" s="50"/>
    </row>
    <row r="7769" spans="3:12" x14ac:dyDescent="0.3">
      <c r="C7769" s="47"/>
      <c r="H7769" s="49"/>
      <c r="K7769" s="72"/>
      <c r="L7769" s="50"/>
    </row>
    <row r="7770" spans="3:12" x14ac:dyDescent="0.3">
      <c r="C7770" s="47"/>
      <c r="H7770" s="49"/>
      <c r="K7770" s="72"/>
      <c r="L7770" s="50"/>
    </row>
    <row r="7771" spans="3:12" x14ac:dyDescent="0.3">
      <c r="C7771" s="47"/>
      <c r="H7771" s="49"/>
      <c r="K7771" s="72"/>
      <c r="L7771" s="50"/>
    </row>
    <row r="7772" spans="3:12" x14ac:dyDescent="0.3">
      <c r="C7772" s="47"/>
      <c r="H7772" s="49"/>
      <c r="K7772" s="72"/>
      <c r="L7772" s="50"/>
    </row>
    <row r="7773" spans="3:12" x14ac:dyDescent="0.3">
      <c r="C7773" s="47"/>
      <c r="H7773" s="49"/>
      <c r="K7773" s="72"/>
      <c r="L7773" s="50"/>
    </row>
    <row r="7774" spans="3:12" x14ac:dyDescent="0.3">
      <c r="C7774" s="47"/>
      <c r="H7774" s="49"/>
      <c r="K7774" s="72"/>
      <c r="L7774" s="50"/>
    </row>
    <row r="7775" spans="3:12" x14ac:dyDescent="0.3">
      <c r="C7775" s="47"/>
      <c r="H7775" s="49"/>
      <c r="K7775" s="72"/>
      <c r="L7775" s="50"/>
    </row>
    <row r="7776" spans="3:12" x14ac:dyDescent="0.3">
      <c r="C7776" s="47"/>
      <c r="H7776" s="49"/>
      <c r="K7776" s="72"/>
      <c r="L7776" s="50"/>
    </row>
    <row r="7777" spans="3:12" x14ac:dyDescent="0.3">
      <c r="C7777" s="47"/>
      <c r="H7777" s="49"/>
      <c r="K7777" s="72"/>
      <c r="L7777" s="50"/>
    </row>
    <row r="7778" spans="3:12" x14ac:dyDescent="0.3">
      <c r="C7778" s="47"/>
      <c r="H7778" s="49"/>
      <c r="K7778" s="72"/>
      <c r="L7778" s="50"/>
    </row>
    <row r="7779" spans="3:12" x14ac:dyDescent="0.3">
      <c r="C7779" s="47"/>
      <c r="H7779" s="49"/>
      <c r="K7779" s="72"/>
      <c r="L7779" s="50"/>
    </row>
    <row r="7780" spans="3:12" x14ac:dyDescent="0.3">
      <c r="C7780" s="47"/>
      <c r="H7780" s="49"/>
      <c r="K7780" s="72"/>
      <c r="L7780" s="50"/>
    </row>
    <row r="7781" spans="3:12" x14ac:dyDescent="0.3">
      <c r="C7781" s="47"/>
      <c r="H7781" s="49"/>
      <c r="K7781" s="72"/>
      <c r="L7781" s="50"/>
    </row>
    <row r="7782" spans="3:12" x14ac:dyDescent="0.3">
      <c r="C7782" s="47"/>
      <c r="H7782" s="49"/>
      <c r="K7782" s="72"/>
      <c r="L7782" s="50"/>
    </row>
    <row r="7783" spans="3:12" x14ac:dyDescent="0.3">
      <c r="C7783" s="47"/>
      <c r="H7783" s="49"/>
      <c r="K7783" s="72"/>
      <c r="L7783" s="50"/>
    </row>
    <row r="7784" spans="3:12" x14ac:dyDescent="0.3">
      <c r="C7784" s="47"/>
      <c r="H7784" s="49"/>
      <c r="K7784" s="72"/>
      <c r="L7784" s="50"/>
    </row>
    <row r="7785" spans="3:12" x14ac:dyDescent="0.3">
      <c r="C7785" s="47"/>
      <c r="H7785" s="49"/>
      <c r="K7785" s="72"/>
      <c r="L7785" s="50"/>
    </row>
    <row r="7786" spans="3:12" x14ac:dyDescent="0.3">
      <c r="C7786" s="47"/>
      <c r="H7786" s="49"/>
      <c r="K7786" s="72"/>
      <c r="L7786" s="50"/>
    </row>
    <row r="7787" spans="3:12" x14ac:dyDescent="0.3">
      <c r="C7787" s="47"/>
      <c r="H7787" s="49"/>
      <c r="K7787" s="72"/>
      <c r="L7787" s="50"/>
    </row>
    <row r="7788" spans="3:12" x14ac:dyDescent="0.3">
      <c r="C7788" s="47"/>
      <c r="H7788" s="49"/>
      <c r="K7788" s="72"/>
      <c r="L7788" s="50"/>
    </row>
    <row r="7789" spans="3:12" x14ac:dyDescent="0.3">
      <c r="C7789" s="47"/>
      <c r="H7789" s="49"/>
      <c r="K7789" s="72"/>
      <c r="L7789" s="50"/>
    </row>
    <row r="7790" spans="3:12" x14ac:dyDescent="0.3">
      <c r="C7790" s="47"/>
      <c r="H7790" s="49"/>
      <c r="K7790" s="72"/>
      <c r="L7790" s="50"/>
    </row>
    <row r="7791" spans="3:12" x14ac:dyDescent="0.3">
      <c r="C7791" s="47"/>
      <c r="H7791" s="49"/>
      <c r="K7791" s="72"/>
      <c r="L7791" s="50"/>
    </row>
    <row r="7792" spans="3:12" x14ac:dyDescent="0.3">
      <c r="C7792" s="47"/>
      <c r="H7792" s="49"/>
      <c r="K7792" s="72"/>
      <c r="L7792" s="50"/>
    </row>
    <row r="7793" spans="3:12" x14ac:dyDescent="0.3">
      <c r="C7793" s="47"/>
      <c r="H7793" s="49"/>
      <c r="K7793" s="72"/>
      <c r="L7793" s="50"/>
    </row>
    <row r="7794" spans="3:12" x14ac:dyDescent="0.3">
      <c r="C7794" s="47"/>
      <c r="H7794" s="49"/>
      <c r="K7794" s="72"/>
      <c r="L7794" s="50"/>
    </row>
    <row r="7795" spans="3:12" x14ac:dyDescent="0.3">
      <c r="C7795" s="47"/>
      <c r="H7795" s="49"/>
      <c r="K7795" s="72"/>
      <c r="L7795" s="50"/>
    </row>
    <row r="7796" spans="3:12" x14ac:dyDescent="0.3">
      <c r="C7796" s="47"/>
      <c r="H7796" s="49"/>
      <c r="K7796" s="72"/>
      <c r="L7796" s="50"/>
    </row>
    <row r="7797" spans="3:12" x14ac:dyDescent="0.3">
      <c r="C7797" s="47"/>
      <c r="H7797" s="49"/>
      <c r="K7797" s="72"/>
      <c r="L7797" s="50"/>
    </row>
    <row r="7798" spans="3:12" x14ac:dyDescent="0.3">
      <c r="C7798" s="47"/>
      <c r="H7798" s="49"/>
      <c r="K7798" s="72"/>
      <c r="L7798" s="50"/>
    </row>
    <row r="7799" spans="3:12" x14ac:dyDescent="0.3">
      <c r="C7799" s="47"/>
      <c r="H7799" s="49"/>
      <c r="K7799" s="72"/>
      <c r="L7799" s="50"/>
    </row>
    <row r="7800" spans="3:12" x14ac:dyDescent="0.3">
      <c r="C7800" s="47"/>
      <c r="H7800" s="49"/>
      <c r="K7800" s="72"/>
      <c r="L7800" s="50"/>
    </row>
    <row r="7801" spans="3:12" x14ac:dyDescent="0.3">
      <c r="C7801" s="47"/>
      <c r="H7801" s="49"/>
      <c r="K7801" s="72"/>
      <c r="L7801" s="50"/>
    </row>
    <row r="7802" spans="3:12" x14ac:dyDescent="0.3">
      <c r="C7802" s="47"/>
      <c r="H7802" s="49"/>
      <c r="K7802" s="72"/>
      <c r="L7802" s="50"/>
    </row>
    <row r="7803" spans="3:12" x14ac:dyDescent="0.3">
      <c r="C7803" s="47"/>
      <c r="H7803" s="49"/>
      <c r="K7803" s="72"/>
      <c r="L7803" s="50"/>
    </row>
    <row r="7804" spans="3:12" x14ac:dyDescent="0.3">
      <c r="C7804" s="47"/>
      <c r="H7804" s="49"/>
      <c r="K7804" s="72"/>
      <c r="L7804" s="50"/>
    </row>
    <row r="7805" spans="3:12" x14ac:dyDescent="0.3">
      <c r="C7805" s="47"/>
      <c r="H7805" s="49"/>
      <c r="K7805" s="72"/>
      <c r="L7805" s="50"/>
    </row>
    <row r="7806" spans="3:12" x14ac:dyDescent="0.3">
      <c r="C7806" s="47"/>
      <c r="H7806" s="49"/>
      <c r="K7806" s="72"/>
      <c r="L7806" s="50"/>
    </row>
    <row r="7807" spans="3:12" x14ac:dyDescent="0.3">
      <c r="C7807" s="47"/>
      <c r="H7807" s="49"/>
      <c r="K7807" s="72"/>
      <c r="L7807" s="50"/>
    </row>
    <row r="7808" spans="3:12" x14ac:dyDescent="0.3">
      <c r="C7808" s="47"/>
      <c r="H7808" s="49"/>
      <c r="K7808" s="72"/>
      <c r="L7808" s="50"/>
    </row>
    <row r="7809" spans="3:12" x14ac:dyDescent="0.3">
      <c r="C7809" s="47"/>
      <c r="H7809" s="49"/>
      <c r="K7809" s="72"/>
      <c r="L7809" s="50"/>
    </row>
    <row r="7810" spans="3:12" x14ac:dyDescent="0.3">
      <c r="C7810" s="47"/>
      <c r="H7810" s="49"/>
      <c r="K7810" s="72"/>
      <c r="L7810" s="50"/>
    </row>
    <row r="7811" spans="3:12" x14ac:dyDescent="0.3">
      <c r="C7811" s="47"/>
      <c r="H7811" s="49"/>
      <c r="K7811" s="72"/>
      <c r="L7811" s="50"/>
    </row>
    <row r="7812" spans="3:12" x14ac:dyDescent="0.3">
      <c r="C7812" s="47"/>
      <c r="H7812" s="49"/>
      <c r="K7812" s="72"/>
      <c r="L7812" s="50"/>
    </row>
    <row r="7813" spans="3:12" x14ac:dyDescent="0.3">
      <c r="C7813" s="47"/>
      <c r="H7813" s="49"/>
      <c r="K7813" s="72"/>
      <c r="L7813" s="50"/>
    </row>
    <row r="7814" spans="3:12" x14ac:dyDescent="0.3">
      <c r="C7814" s="47"/>
      <c r="H7814" s="49"/>
      <c r="K7814" s="72"/>
      <c r="L7814" s="50"/>
    </row>
    <row r="7815" spans="3:12" x14ac:dyDescent="0.3">
      <c r="C7815" s="47"/>
      <c r="H7815" s="49"/>
      <c r="K7815" s="72"/>
      <c r="L7815" s="50"/>
    </row>
    <row r="7816" spans="3:12" x14ac:dyDescent="0.3">
      <c r="C7816" s="47"/>
      <c r="H7816" s="49"/>
      <c r="K7816" s="72"/>
      <c r="L7816" s="50"/>
    </row>
    <row r="7817" spans="3:12" x14ac:dyDescent="0.3">
      <c r="C7817" s="47"/>
      <c r="H7817" s="49"/>
      <c r="K7817" s="72"/>
      <c r="L7817" s="50"/>
    </row>
    <row r="7818" spans="3:12" x14ac:dyDescent="0.3">
      <c r="C7818" s="47"/>
      <c r="H7818" s="49"/>
      <c r="K7818" s="72"/>
      <c r="L7818" s="50"/>
    </row>
    <row r="7819" spans="3:12" x14ac:dyDescent="0.3">
      <c r="C7819" s="47"/>
      <c r="H7819" s="49"/>
      <c r="K7819" s="72"/>
      <c r="L7819" s="50"/>
    </row>
    <row r="7820" spans="3:12" x14ac:dyDescent="0.3">
      <c r="C7820" s="47"/>
      <c r="H7820" s="49"/>
      <c r="K7820" s="72"/>
      <c r="L7820" s="50"/>
    </row>
    <row r="7821" spans="3:12" x14ac:dyDescent="0.3">
      <c r="C7821" s="47"/>
      <c r="H7821" s="49"/>
      <c r="K7821" s="72"/>
      <c r="L7821" s="50"/>
    </row>
    <row r="7822" spans="3:12" x14ac:dyDescent="0.3">
      <c r="C7822" s="47"/>
      <c r="H7822" s="49"/>
      <c r="K7822" s="72"/>
      <c r="L7822" s="50"/>
    </row>
    <row r="7823" spans="3:12" x14ac:dyDescent="0.3">
      <c r="C7823" s="47"/>
      <c r="H7823" s="49"/>
      <c r="K7823" s="72"/>
      <c r="L7823" s="50"/>
    </row>
    <row r="7824" spans="3:12" x14ac:dyDescent="0.3">
      <c r="C7824" s="47"/>
      <c r="H7824" s="49"/>
      <c r="K7824" s="72"/>
      <c r="L7824" s="50"/>
    </row>
    <row r="7825" spans="3:12" x14ac:dyDescent="0.3">
      <c r="C7825" s="47"/>
      <c r="H7825" s="49"/>
      <c r="K7825" s="72"/>
      <c r="L7825" s="50"/>
    </row>
    <row r="7826" spans="3:12" x14ac:dyDescent="0.3">
      <c r="C7826" s="47"/>
      <c r="H7826" s="49"/>
      <c r="K7826" s="72"/>
      <c r="L7826" s="50"/>
    </row>
    <row r="7827" spans="3:12" x14ac:dyDescent="0.3">
      <c r="C7827" s="47"/>
      <c r="H7827" s="49"/>
      <c r="K7827" s="72"/>
      <c r="L7827" s="50"/>
    </row>
    <row r="7828" spans="3:12" x14ac:dyDescent="0.3">
      <c r="C7828" s="47"/>
      <c r="H7828" s="49"/>
      <c r="K7828" s="72"/>
      <c r="L7828" s="50"/>
    </row>
    <row r="7829" spans="3:12" x14ac:dyDescent="0.3">
      <c r="C7829" s="47"/>
      <c r="H7829" s="49"/>
      <c r="K7829" s="72"/>
      <c r="L7829" s="50"/>
    </row>
    <row r="7830" spans="3:12" x14ac:dyDescent="0.3">
      <c r="C7830" s="47"/>
      <c r="H7830" s="49"/>
      <c r="K7830" s="72"/>
      <c r="L7830" s="50"/>
    </row>
    <row r="7831" spans="3:12" x14ac:dyDescent="0.3">
      <c r="C7831" s="47"/>
      <c r="H7831" s="49"/>
      <c r="K7831" s="72"/>
      <c r="L7831" s="50"/>
    </row>
    <row r="7832" spans="3:12" x14ac:dyDescent="0.3">
      <c r="C7832" s="47"/>
      <c r="H7832" s="49"/>
      <c r="K7832" s="72"/>
      <c r="L7832" s="50"/>
    </row>
    <row r="7833" spans="3:12" x14ac:dyDescent="0.3">
      <c r="C7833" s="47"/>
      <c r="H7833" s="49"/>
      <c r="K7833" s="72"/>
      <c r="L7833" s="50"/>
    </row>
    <row r="7834" spans="3:12" x14ac:dyDescent="0.3">
      <c r="C7834" s="47"/>
      <c r="H7834" s="49"/>
      <c r="K7834" s="72"/>
      <c r="L7834" s="50"/>
    </row>
    <row r="7835" spans="3:12" x14ac:dyDescent="0.3">
      <c r="C7835" s="47"/>
      <c r="H7835" s="49"/>
      <c r="K7835" s="72"/>
      <c r="L7835" s="50"/>
    </row>
    <row r="7836" spans="3:12" x14ac:dyDescent="0.3">
      <c r="C7836" s="47"/>
      <c r="H7836" s="49"/>
      <c r="K7836" s="72"/>
      <c r="L7836" s="50"/>
    </row>
    <row r="7837" spans="3:12" x14ac:dyDescent="0.3">
      <c r="C7837" s="47"/>
      <c r="H7837" s="49"/>
      <c r="K7837" s="72"/>
      <c r="L7837" s="50"/>
    </row>
    <row r="7838" spans="3:12" x14ac:dyDescent="0.3">
      <c r="C7838" s="47"/>
      <c r="H7838" s="49"/>
      <c r="K7838" s="72"/>
      <c r="L7838" s="50"/>
    </row>
    <row r="7839" spans="3:12" x14ac:dyDescent="0.3">
      <c r="C7839" s="47"/>
      <c r="H7839" s="49"/>
      <c r="K7839" s="72"/>
      <c r="L7839" s="50"/>
    </row>
    <row r="7840" spans="3:12" x14ac:dyDescent="0.3">
      <c r="C7840" s="47"/>
      <c r="H7840" s="49"/>
      <c r="K7840" s="72"/>
      <c r="L7840" s="50"/>
    </row>
    <row r="7841" spans="3:12" x14ac:dyDescent="0.3">
      <c r="C7841" s="47"/>
      <c r="H7841" s="49"/>
      <c r="K7841" s="72"/>
      <c r="L7841" s="50"/>
    </row>
    <row r="7842" spans="3:12" x14ac:dyDescent="0.3">
      <c r="C7842" s="47"/>
      <c r="H7842" s="49"/>
      <c r="K7842" s="72"/>
      <c r="L7842" s="50"/>
    </row>
    <row r="7843" spans="3:12" x14ac:dyDescent="0.3">
      <c r="C7843" s="47"/>
      <c r="H7843" s="49"/>
      <c r="K7843" s="72"/>
      <c r="L7843" s="50"/>
    </row>
    <row r="7844" spans="3:12" x14ac:dyDescent="0.3">
      <c r="C7844" s="47"/>
      <c r="H7844" s="49"/>
      <c r="K7844" s="72"/>
      <c r="L7844" s="50"/>
    </row>
    <row r="7845" spans="3:12" x14ac:dyDescent="0.3">
      <c r="C7845" s="47"/>
      <c r="H7845" s="49"/>
      <c r="K7845" s="72"/>
      <c r="L7845" s="50"/>
    </row>
    <row r="7846" spans="3:12" x14ac:dyDescent="0.3">
      <c r="C7846" s="47"/>
      <c r="H7846" s="49"/>
      <c r="K7846" s="72"/>
      <c r="L7846" s="50"/>
    </row>
    <row r="7847" spans="3:12" x14ac:dyDescent="0.3">
      <c r="C7847" s="47"/>
      <c r="H7847" s="49"/>
      <c r="K7847" s="72"/>
      <c r="L7847" s="50"/>
    </row>
    <row r="7848" spans="3:12" x14ac:dyDescent="0.3">
      <c r="C7848" s="47"/>
      <c r="H7848" s="49"/>
      <c r="K7848" s="72"/>
      <c r="L7848" s="50"/>
    </row>
    <row r="7849" spans="3:12" x14ac:dyDescent="0.3">
      <c r="C7849" s="47"/>
      <c r="H7849" s="49"/>
      <c r="K7849" s="72"/>
      <c r="L7849" s="50"/>
    </row>
    <row r="7850" spans="3:12" x14ac:dyDescent="0.3">
      <c r="C7850" s="47"/>
      <c r="H7850" s="49"/>
      <c r="K7850" s="72"/>
      <c r="L7850" s="50"/>
    </row>
    <row r="7851" spans="3:12" x14ac:dyDescent="0.3">
      <c r="C7851" s="47"/>
      <c r="H7851" s="49"/>
      <c r="K7851" s="72"/>
      <c r="L7851" s="50"/>
    </row>
    <row r="7852" spans="3:12" x14ac:dyDescent="0.3">
      <c r="C7852" s="47"/>
      <c r="H7852" s="49"/>
      <c r="K7852" s="72"/>
      <c r="L7852" s="50"/>
    </row>
    <row r="7853" spans="3:12" x14ac:dyDescent="0.3">
      <c r="C7853" s="47"/>
      <c r="H7853" s="49"/>
      <c r="K7853" s="72"/>
      <c r="L7853" s="50"/>
    </row>
    <row r="7854" spans="3:12" x14ac:dyDescent="0.3">
      <c r="C7854" s="47"/>
      <c r="H7854" s="49"/>
      <c r="K7854" s="72"/>
      <c r="L7854" s="50"/>
    </row>
    <row r="7855" spans="3:12" x14ac:dyDescent="0.3">
      <c r="C7855" s="47"/>
      <c r="H7855" s="49"/>
      <c r="K7855" s="72"/>
      <c r="L7855" s="50"/>
    </row>
    <row r="7856" spans="3:12" x14ac:dyDescent="0.3">
      <c r="C7856" s="47"/>
      <c r="H7856" s="49"/>
      <c r="K7856" s="72"/>
      <c r="L7856" s="50"/>
    </row>
    <row r="7857" spans="3:12" x14ac:dyDescent="0.3">
      <c r="C7857" s="47"/>
      <c r="H7857" s="49"/>
      <c r="K7857" s="72"/>
      <c r="L7857" s="50"/>
    </row>
    <row r="7858" spans="3:12" x14ac:dyDescent="0.3">
      <c r="C7858" s="47"/>
      <c r="H7858" s="49"/>
      <c r="K7858" s="72"/>
      <c r="L7858" s="50"/>
    </row>
    <row r="7859" spans="3:12" x14ac:dyDescent="0.3">
      <c r="C7859" s="47"/>
      <c r="H7859" s="49"/>
      <c r="K7859" s="72"/>
      <c r="L7859" s="50"/>
    </row>
    <row r="7860" spans="3:12" x14ac:dyDescent="0.3">
      <c r="C7860" s="47"/>
      <c r="H7860" s="49"/>
      <c r="K7860" s="72"/>
      <c r="L7860" s="50"/>
    </row>
    <row r="7861" spans="3:12" x14ac:dyDescent="0.3">
      <c r="C7861" s="47"/>
      <c r="H7861" s="49"/>
      <c r="K7861" s="72"/>
      <c r="L7861" s="50"/>
    </row>
    <row r="7862" spans="3:12" x14ac:dyDescent="0.3">
      <c r="C7862" s="47"/>
      <c r="H7862" s="49"/>
      <c r="K7862" s="72"/>
      <c r="L7862" s="50"/>
    </row>
    <row r="7863" spans="3:12" x14ac:dyDescent="0.3">
      <c r="C7863" s="47"/>
      <c r="H7863" s="49"/>
      <c r="K7863" s="72"/>
      <c r="L7863" s="50"/>
    </row>
    <row r="7864" spans="3:12" x14ac:dyDescent="0.3">
      <c r="C7864" s="47"/>
      <c r="H7864" s="49"/>
      <c r="K7864" s="72"/>
      <c r="L7864" s="50"/>
    </row>
    <row r="7865" spans="3:12" x14ac:dyDescent="0.3">
      <c r="C7865" s="47"/>
      <c r="H7865" s="49"/>
      <c r="K7865" s="72"/>
      <c r="L7865" s="50"/>
    </row>
    <row r="7866" spans="3:12" x14ac:dyDescent="0.3">
      <c r="C7866" s="47"/>
      <c r="H7866" s="49"/>
      <c r="K7866" s="72"/>
      <c r="L7866" s="50"/>
    </row>
    <row r="7867" spans="3:12" x14ac:dyDescent="0.3">
      <c r="C7867" s="47"/>
      <c r="H7867" s="49"/>
      <c r="K7867" s="72"/>
      <c r="L7867" s="50"/>
    </row>
    <row r="7868" spans="3:12" x14ac:dyDescent="0.3">
      <c r="C7868" s="47"/>
      <c r="H7868" s="49"/>
      <c r="K7868" s="72"/>
      <c r="L7868" s="50"/>
    </row>
    <row r="7869" spans="3:12" x14ac:dyDescent="0.3">
      <c r="C7869" s="47"/>
      <c r="H7869" s="49"/>
      <c r="K7869" s="72"/>
      <c r="L7869" s="50"/>
    </row>
    <row r="7870" spans="3:12" x14ac:dyDescent="0.3">
      <c r="C7870" s="47"/>
      <c r="H7870" s="49"/>
      <c r="K7870" s="72"/>
      <c r="L7870" s="50"/>
    </row>
    <row r="7871" spans="3:12" x14ac:dyDescent="0.3">
      <c r="C7871" s="47"/>
      <c r="H7871" s="49"/>
      <c r="K7871" s="72"/>
      <c r="L7871" s="50"/>
    </row>
    <row r="7872" spans="3:12" x14ac:dyDescent="0.3">
      <c r="C7872" s="47"/>
      <c r="H7872" s="49"/>
      <c r="K7872" s="72"/>
      <c r="L7872" s="50"/>
    </row>
    <row r="7873" spans="3:12" x14ac:dyDescent="0.3">
      <c r="C7873" s="47"/>
      <c r="H7873" s="49"/>
      <c r="K7873" s="72"/>
      <c r="L7873" s="50"/>
    </row>
    <row r="7874" spans="3:12" x14ac:dyDescent="0.3">
      <c r="C7874" s="47"/>
      <c r="H7874" s="49"/>
      <c r="K7874" s="72"/>
      <c r="L7874" s="50"/>
    </row>
    <row r="7875" spans="3:12" x14ac:dyDescent="0.3">
      <c r="C7875" s="47"/>
      <c r="H7875" s="49"/>
      <c r="K7875" s="72"/>
      <c r="L7875" s="50"/>
    </row>
    <row r="7876" spans="3:12" x14ac:dyDescent="0.3">
      <c r="C7876" s="47"/>
      <c r="H7876" s="49"/>
      <c r="K7876" s="72"/>
      <c r="L7876" s="50"/>
    </row>
    <row r="7877" spans="3:12" x14ac:dyDescent="0.3">
      <c r="C7877" s="47"/>
      <c r="H7877" s="49"/>
      <c r="K7877" s="72"/>
      <c r="L7877" s="50"/>
    </row>
    <row r="7878" spans="3:12" x14ac:dyDescent="0.3">
      <c r="C7878" s="47"/>
      <c r="H7878" s="49"/>
      <c r="K7878" s="72"/>
      <c r="L7878" s="50"/>
    </row>
    <row r="7879" spans="3:12" x14ac:dyDescent="0.3">
      <c r="C7879" s="47"/>
      <c r="H7879" s="49"/>
      <c r="K7879" s="72"/>
      <c r="L7879" s="50"/>
    </row>
    <row r="7880" spans="3:12" x14ac:dyDescent="0.3">
      <c r="C7880" s="47"/>
      <c r="H7880" s="49"/>
      <c r="K7880" s="72"/>
      <c r="L7880" s="50"/>
    </row>
    <row r="7881" spans="3:12" x14ac:dyDescent="0.3">
      <c r="C7881" s="47"/>
      <c r="H7881" s="49"/>
      <c r="K7881" s="72"/>
      <c r="L7881" s="50"/>
    </row>
    <row r="7882" spans="3:12" x14ac:dyDescent="0.3">
      <c r="C7882" s="47"/>
      <c r="H7882" s="49"/>
      <c r="K7882" s="72"/>
      <c r="L7882" s="50"/>
    </row>
    <row r="7883" spans="3:12" x14ac:dyDescent="0.3">
      <c r="C7883" s="47"/>
      <c r="H7883" s="49"/>
      <c r="K7883" s="72"/>
      <c r="L7883" s="50"/>
    </row>
    <row r="7884" spans="3:12" x14ac:dyDescent="0.3">
      <c r="C7884" s="47"/>
      <c r="H7884" s="49"/>
      <c r="K7884" s="72"/>
      <c r="L7884" s="50"/>
    </row>
    <row r="7885" spans="3:12" x14ac:dyDescent="0.3">
      <c r="C7885" s="47"/>
      <c r="H7885" s="49"/>
      <c r="K7885" s="72"/>
      <c r="L7885" s="50"/>
    </row>
    <row r="7886" spans="3:12" x14ac:dyDescent="0.3">
      <c r="C7886" s="47"/>
      <c r="H7886" s="49"/>
      <c r="K7886" s="72"/>
      <c r="L7886" s="50"/>
    </row>
    <row r="7887" spans="3:12" x14ac:dyDescent="0.3">
      <c r="C7887" s="47"/>
      <c r="H7887" s="49"/>
      <c r="K7887" s="72"/>
      <c r="L7887" s="50"/>
    </row>
    <row r="7888" spans="3:12" x14ac:dyDescent="0.3">
      <c r="C7888" s="47"/>
      <c r="H7888" s="49"/>
      <c r="K7888" s="72"/>
      <c r="L7888" s="50"/>
    </row>
    <row r="7889" spans="3:12" x14ac:dyDescent="0.3">
      <c r="C7889" s="47"/>
      <c r="H7889" s="49"/>
      <c r="K7889" s="72"/>
      <c r="L7889" s="50"/>
    </row>
    <row r="7890" spans="3:12" x14ac:dyDescent="0.3">
      <c r="C7890" s="47"/>
      <c r="H7890" s="49"/>
      <c r="K7890" s="72"/>
      <c r="L7890" s="50"/>
    </row>
    <row r="7891" spans="3:12" x14ac:dyDescent="0.3">
      <c r="C7891" s="47"/>
      <c r="H7891" s="49"/>
      <c r="K7891" s="72"/>
      <c r="L7891" s="50"/>
    </row>
    <row r="7892" spans="3:12" x14ac:dyDescent="0.3">
      <c r="C7892" s="47"/>
      <c r="H7892" s="49"/>
      <c r="K7892" s="72"/>
      <c r="L7892" s="50"/>
    </row>
    <row r="7893" spans="3:12" x14ac:dyDescent="0.3">
      <c r="C7893" s="47"/>
      <c r="H7893" s="49"/>
      <c r="K7893" s="72"/>
      <c r="L7893" s="50"/>
    </row>
    <row r="7894" spans="3:12" x14ac:dyDescent="0.3">
      <c r="C7894" s="47"/>
      <c r="H7894" s="49"/>
      <c r="K7894" s="72"/>
      <c r="L7894" s="50"/>
    </row>
    <row r="7895" spans="3:12" x14ac:dyDescent="0.3">
      <c r="C7895" s="47"/>
      <c r="H7895" s="49"/>
      <c r="K7895" s="72"/>
      <c r="L7895" s="50"/>
    </row>
    <row r="7896" spans="3:12" x14ac:dyDescent="0.3">
      <c r="C7896" s="47"/>
      <c r="H7896" s="49"/>
      <c r="K7896" s="72"/>
      <c r="L7896" s="50"/>
    </row>
    <row r="7897" spans="3:12" x14ac:dyDescent="0.3">
      <c r="C7897" s="47"/>
      <c r="H7897" s="49"/>
      <c r="K7897" s="72"/>
      <c r="L7897" s="50"/>
    </row>
    <row r="7898" spans="3:12" x14ac:dyDescent="0.3">
      <c r="C7898" s="47"/>
      <c r="H7898" s="49"/>
      <c r="K7898" s="72"/>
      <c r="L7898" s="50"/>
    </row>
    <row r="7899" spans="3:12" x14ac:dyDescent="0.3">
      <c r="C7899" s="47"/>
      <c r="H7899" s="49"/>
      <c r="K7899" s="72"/>
      <c r="L7899" s="50"/>
    </row>
    <row r="7900" spans="3:12" x14ac:dyDescent="0.3">
      <c r="C7900" s="47"/>
      <c r="H7900" s="49"/>
      <c r="K7900" s="72"/>
      <c r="L7900" s="50"/>
    </row>
    <row r="7901" spans="3:12" x14ac:dyDescent="0.3">
      <c r="C7901" s="47"/>
      <c r="H7901" s="49"/>
      <c r="K7901" s="72"/>
      <c r="L7901" s="50"/>
    </row>
    <row r="7902" spans="3:12" x14ac:dyDescent="0.3">
      <c r="C7902" s="47"/>
      <c r="H7902" s="49"/>
      <c r="K7902" s="72"/>
      <c r="L7902" s="50"/>
    </row>
    <row r="7903" spans="3:12" x14ac:dyDescent="0.3">
      <c r="C7903" s="47"/>
      <c r="H7903" s="49"/>
      <c r="K7903" s="72"/>
      <c r="L7903" s="50"/>
    </row>
    <row r="7904" spans="3:12" x14ac:dyDescent="0.3">
      <c r="C7904" s="47"/>
      <c r="H7904" s="49"/>
      <c r="K7904" s="72"/>
      <c r="L7904" s="50"/>
    </row>
    <row r="7905" spans="3:12" x14ac:dyDescent="0.3">
      <c r="C7905" s="47"/>
      <c r="H7905" s="49"/>
      <c r="K7905" s="72"/>
      <c r="L7905" s="50"/>
    </row>
    <row r="7906" spans="3:12" x14ac:dyDescent="0.3">
      <c r="C7906" s="47"/>
      <c r="H7906" s="49"/>
      <c r="K7906" s="72"/>
      <c r="L7906" s="50"/>
    </row>
    <row r="7907" spans="3:12" x14ac:dyDescent="0.3">
      <c r="C7907" s="47"/>
      <c r="H7907" s="49"/>
      <c r="K7907" s="72"/>
      <c r="L7907" s="50"/>
    </row>
    <row r="7908" spans="3:12" x14ac:dyDescent="0.3">
      <c r="C7908" s="47"/>
      <c r="H7908" s="49"/>
      <c r="K7908" s="72"/>
      <c r="L7908" s="50"/>
    </row>
    <row r="7909" spans="3:12" x14ac:dyDescent="0.3">
      <c r="C7909" s="47"/>
      <c r="H7909" s="49"/>
      <c r="K7909" s="72"/>
      <c r="L7909" s="50"/>
    </row>
    <row r="7910" spans="3:12" x14ac:dyDescent="0.3">
      <c r="C7910" s="47"/>
      <c r="H7910" s="49"/>
      <c r="K7910" s="72"/>
      <c r="L7910" s="50"/>
    </row>
    <row r="7911" spans="3:12" x14ac:dyDescent="0.3">
      <c r="C7911" s="47"/>
      <c r="H7911" s="49"/>
      <c r="K7911" s="72"/>
      <c r="L7911" s="50"/>
    </row>
    <row r="7912" spans="3:12" x14ac:dyDescent="0.3">
      <c r="C7912" s="47"/>
      <c r="H7912" s="49"/>
      <c r="K7912" s="72"/>
      <c r="L7912" s="50"/>
    </row>
    <row r="7913" spans="3:12" x14ac:dyDescent="0.3">
      <c r="C7913" s="47"/>
      <c r="H7913" s="49"/>
      <c r="K7913" s="72"/>
      <c r="L7913" s="50"/>
    </row>
    <row r="7914" spans="3:12" x14ac:dyDescent="0.3">
      <c r="C7914" s="47"/>
      <c r="H7914" s="49"/>
      <c r="K7914" s="72"/>
      <c r="L7914" s="50"/>
    </row>
    <row r="7915" spans="3:12" x14ac:dyDescent="0.3">
      <c r="C7915" s="47"/>
      <c r="H7915" s="49"/>
      <c r="K7915" s="72"/>
      <c r="L7915" s="50"/>
    </row>
    <row r="7916" spans="3:12" x14ac:dyDescent="0.3">
      <c r="C7916" s="47"/>
      <c r="H7916" s="49"/>
      <c r="K7916" s="72"/>
      <c r="L7916" s="50"/>
    </row>
    <row r="7917" spans="3:12" x14ac:dyDescent="0.3">
      <c r="C7917" s="47"/>
      <c r="H7917" s="49"/>
      <c r="K7917" s="72"/>
      <c r="L7917" s="50"/>
    </row>
    <row r="7918" spans="3:12" x14ac:dyDescent="0.3">
      <c r="C7918" s="47"/>
      <c r="H7918" s="49"/>
      <c r="K7918" s="72"/>
      <c r="L7918" s="50"/>
    </row>
    <row r="7919" spans="3:12" x14ac:dyDescent="0.3">
      <c r="C7919" s="47"/>
      <c r="H7919" s="49"/>
      <c r="K7919" s="72"/>
      <c r="L7919" s="50"/>
    </row>
    <row r="7920" spans="3:12" x14ac:dyDescent="0.3">
      <c r="C7920" s="47"/>
      <c r="H7920" s="49"/>
      <c r="K7920" s="72"/>
      <c r="L7920" s="50"/>
    </row>
    <row r="7921" spans="3:12" x14ac:dyDescent="0.3">
      <c r="C7921" s="47"/>
      <c r="H7921" s="49"/>
      <c r="K7921" s="72"/>
      <c r="L7921" s="50"/>
    </row>
    <row r="7922" spans="3:12" x14ac:dyDescent="0.3">
      <c r="C7922" s="47"/>
      <c r="H7922" s="49"/>
      <c r="K7922" s="72"/>
      <c r="L7922" s="50"/>
    </row>
    <row r="7923" spans="3:12" x14ac:dyDescent="0.3">
      <c r="C7923" s="47"/>
      <c r="H7923" s="49"/>
      <c r="K7923" s="72"/>
      <c r="L7923" s="50"/>
    </row>
    <row r="7924" spans="3:12" x14ac:dyDescent="0.3">
      <c r="C7924" s="47"/>
      <c r="H7924" s="49"/>
      <c r="K7924" s="72"/>
      <c r="L7924" s="50"/>
    </row>
    <row r="7925" spans="3:12" x14ac:dyDescent="0.3">
      <c r="C7925" s="47"/>
      <c r="H7925" s="49"/>
      <c r="K7925" s="72"/>
      <c r="L7925" s="50"/>
    </row>
    <row r="7926" spans="3:12" x14ac:dyDescent="0.3">
      <c r="C7926" s="47"/>
      <c r="H7926" s="49"/>
      <c r="K7926" s="72"/>
      <c r="L7926" s="50"/>
    </row>
    <row r="7927" spans="3:12" x14ac:dyDescent="0.3">
      <c r="C7927" s="47"/>
      <c r="H7927" s="49"/>
      <c r="K7927" s="72"/>
      <c r="L7927" s="50"/>
    </row>
    <row r="7928" spans="3:12" x14ac:dyDescent="0.3">
      <c r="C7928" s="47"/>
      <c r="H7928" s="49"/>
      <c r="K7928" s="72"/>
      <c r="L7928" s="50"/>
    </row>
    <row r="7929" spans="3:12" x14ac:dyDescent="0.3">
      <c r="C7929" s="47"/>
      <c r="H7929" s="49"/>
      <c r="K7929" s="72"/>
      <c r="L7929" s="50"/>
    </row>
    <row r="7930" spans="3:12" x14ac:dyDescent="0.3">
      <c r="C7930" s="47"/>
      <c r="H7930" s="49"/>
      <c r="K7930" s="72"/>
      <c r="L7930" s="50"/>
    </row>
    <row r="7931" spans="3:12" x14ac:dyDescent="0.3">
      <c r="C7931" s="47"/>
      <c r="H7931" s="49"/>
      <c r="K7931" s="72"/>
      <c r="L7931" s="50"/>
    </row>
    <row r="7932" spans="3:12" x14ac:dyDescent="0.3">
      <c r="C7932" s="47"/>
      <c r="H7932" s="49"/>
      <c r="K7932" s="72"/>
      <c r="L7932" s="50"/>
    </row>
    <row r="7933" spans="3:12" x14ac:dyDescent="0.3">
      <c r="C7933" s="47"/>
      <c r="H7933" s="49"/>
      <c r="K7933" s="72"/>
      <c r="L7933" s="50"/>
    </row>
    <row r="7934" spans="3:12" x14ac:dyDescent="0.3">
      <c r="C7934" s="47"/>
      <c r="H7934" s="49"/>
      <c r="K7934" s="72"/>
      <c r="L7934" s="50"/>
    </row>
    <row r="7935" spans="3:12" x14ac:dyDescent="0.3">
      <c r="C7935" s="47"/>
      <c r="H7935" s="49"/>
      <c r="K7935" s="72"/>
      <c r="L7935" s="50"/>
    </row>
    <row r="7936" spans="3:12" x14ac:dyDescent="0.3">
      <c r="C7936" s="47"/>
      <c r="H7936" s="49"/>
      <c r="K7936" s="72"/>
      <c r="L7936" s="50"/>
    </row>
    <row r="7937" spans="3:12" x14ac:dyDescent="0.3">
      <c r="C7937" s="47"/>
      <c r="H7937" s="49"/>
      <c r="K7937" s="72"/>
      <c r="L7937" s="50"/>
    </row>
    <row r="7938" spans="3:12" x14ac:dyDescent="0.3">
      <c r="C7938" s="47"/>
      <c r="H7938" s="49"/>
      <c r="K7938" s="72"/>
      <c r="L7938" s="50"/>
    </row>
    <row r="7939" spans="3:12" x14ac:dyDescent="0.3">
      <c r="C7939" s="47"/>
      <c r="H7939" s="49"/>
      <c r="K7939" s="72"/>
      <c r="L7939" s="50"/>
    </row>
    <row r="7940" spans="3:12" x14ac:dyDescent="0.3">
      <c r="C7940" s="47"/>
      <c r="H7940" s="49"/>
      <c r="K7940" s="72"/>
      <c r="L7940" s="50"/>
    </row>
    <row r="7941" spans="3:12" x14ac:dyDescent="0.3">
      <c r="C7941" s="47"/>
      <c r="H7941" s="49"/>
      <c r="K7941" s="72"/>
      <c r="L7941" s="50"/>
    </row>
    <row r="7942" spans="3:12" x14ac:dyDescent="0.3">
      <c r="C7942" s="47"/>
      <c r="H7942" s="49"/>
      <c r="K7942" s="72"/>
      <c r="L7942" s="50"/>
    </row>
    <row r="7943" spans="3:12" x14ac:dyDescent="0.3">
      <c r="C7943" s="47"/>
      <c r="H7943" s="49"/>
      <c r="K7943" s="72"/>
      <c r="L7943" s="50"/>
    </row>
    <row r="7944" spans="3:12" x14ac:dyDescent="0.3">
      <c r="C7944" s="47"/>
      <c r="H7944" s="49"/>
      <c r="K7944" s="72"/>
      <c r="L7944" s="50"/>
    </row>
    <row r="7945" spans="3:12" x14ac:dyDescent="0.3">
      <c r="C7945" s="47"/>
      <c r="H7945" s="49"/>
      <c r="K7945" s="72"/>
      <c r="L7945" s="50"/>
    </row>
    <row r="7946" spans="3:12" x14ac:dyDescent="0.3">
      <c r="C7946" s="47"/>
      <c r="H7946" s="49"/>
      <c r="K7946" s="72"/>
      <c r="L7946" s="50"/>
    </row>
    <row r="7947" spans="3:12" x14ac:dyDescent="0.3">
      <c r="C7947" s="47"/>
      <c r="H7947" s="49"/>
      <c r="K7947" s="72"/>
      <c r="L7947" s="50"/>
    </row>
    <row r="7948" spans="3:12" x14ac:dyDescent="0.3">
      <c r="C7948" s="47"/>
      <c r="H7948" s="49"/>
      <c r="K7948" s="72"/>
      <c r="L7948" s="50"/>
    </row>
    <row r="7949" spans="3:12" x14ac:dyDescent="0.3">
      <c r="C7949" s="47"/>
      <c r="H7949" s="49"/>
      <c r="K7949" s="72"/>
      <c r="L7949" s="50"/>
    </row>
    <row r="7950" spans="3:12" x14ac:dyDescent="0.3">
      <c r="C7950" s="47"/>
      <c r="H7950" s="49"/>
      <c r="K7950" s="72"/>
      <c r="L7950" s="50"/>
    </row>
    <row r="7951" spans="3:12" x14ac:dyDescent="0.3">
      <c r="C7951" s="47"/>
      <c r="H7951" s="49"/>
      <c r="K7951" s="72"/>
      <c r="L7951" s="50"/>
    </row>
    <row r="7952" spans="3:12" x14ac:dyDescent="0.3">
      <c r="C7952" s="47"/>
      <c r="H7952" s="49"/>
      <c r="K7952" s="72"/>
      <c r="L7952" s="50"/>
    </row>
    <row r="7953" spans="3:12" x14ac:dyDescent="0.3">
      <c r="C7953" s="47"/>
      <c r="H7953" s="49"/>
      <c r="K7953" s="72"/>
      <c r="L7953" s="50"/>
    </row>
    <row r="7954" spans="3:12" x14ac:dyDescent="0.3">
      <c r="C7954" s="47"/>
      <c r="H7954" s="49"/>
      <c r="K7954" s="72"/>
      <c r="L7954" s="50"/>
    </row>
    <row r="7955" spans="3:12" x14ac:dyDescent="0.3">
      <c r="C7955" s="47"/>
      <c r="H7955" s="49"/>
      <c r="K7955" s="72"/>
      <c r="L7955" s="50"/>
    </row>
    <row r="7956" spans="3:12" x14ac:dyDescent="0.3">
      <c r="C7956" s="47"/>
      <c r="H7956" s="49"/>
      <c r="K7956" s="72"/>
      <c r="L7956" s="50"/>
    </row>
    <row r="7957" spans="3:12" x14ac:dyDescent="0.3">
      <c r="C7957" s="47"/>
      <c r="H7957" s="49"/>
      <c r="K7957" s="72"/>
      <c r="L7957" s="50"/>
    </row>
    <row r="7958" spans="3:12" x14ac:dyDescent="0.3">
      <c r="C7958" s="47"/>
      <c r="H7958" s="49"/>
      <c r="K7958" s="72"/>
      <c r="L7958" s="50"/>
    </row>
    <row r="7959" spans="3:12" x14ac:dyDescent="0.3">
      <c r="C7959" s="47"/>
      <c r="H7959" s="49"/>
      <c r="K7959" s="72"/>
      <c r="L7959" s="50"/>
    </row>
    <row r="7960" spans="3:12" x14ac:dyDescent="0.3">
      <c r="C7960" s="47"/>
      <c r="H7960" s="49"/>
      <c r="K7960" s="72"/>
      <c r="L7960" s="50"/>
    </row>
    <row r="7961" spans="3:12" x14ac:dyDescent="0.3">
      <c r="C7961" s="47"/>
      <c r="H7961" s="49"/>
      <c r="K7961" s="72"/>
      <c r="L7961" s="50"/>
    </row>
    <row r="7962" spans="3:12" x14ac:dyDescent="0.3">
      <c r="C7962" s="47"/>
      <c r="H7962" s="49"/>
      <c r="K7962" s="72"/>
      <c r="L7962" s="50"/>
    </row>
    <row r="7963" spans="3:12" x14ac:dyDescent="0.3">
      <c r="C7963" s="47"/>
      <c r="H7963" s="49"/>
      <c r="K7963" s="72"/>
      <c r="L7963" s="50"/>
    </row>
    <row r="7964" spans="3:12" x14ac:dyDescent="0.3">
      <c r="C7964" s="47"/>
      <c r="H7964" s="49"/>
      <c r="K7964" s="72"/>
      <c r="L7964" s="50"/>
    </row>
    <row r="7965" spans="3:12" x14ac:dyDescent="0.3">
      <c r="C7965" s="47"/>
      <c r="H7965" s="49"/>
      <c r="K7965" s="72"/>
      <c r="L7965" s="50"/>
    </row>
    <row r="7966" spans="3:12" x14ac:dyDescent="0.3">
      <c r="C7966" s="47"/>
      <c r="H7966" s="49"/>
      <c r="K7966" s="72"/>
      <c r="L7966" s="50"/>
    </row>
    <row r="7967" spans="3:12" x14ac:dyDescent="0.3">
      <c r="C7967" s="47"/>
      <c r="H7967" s="49"/>
      <c r="K7967" s="72"/>
      <c r="L7967" s="50"/>
    </row>
    <row r="7968" spans="3:12" x14ac:dyDescent="0.3">
      <c r="C7968" s="47"/>
      <c r="H7968" s="49"/>
      <c r="K7968" s="72"/>
      <c r="L7968" s="50"/>
    </row>
    <row r="7969" spans="3:12" x14ac:dyDescent="0.3">
      <c r="C7969" s="47"/>
      <c r="H7969" s="49"/>
      <c r="K7969" s="72"/>
      <c r="L7969" s="50"/>
    </row>
    <row r="7970" spans="3:12" x14ac:dyDescent="0.3">
      <c r="C7970" s="47"/>
      <c r="H7970" s="49"/>
      <c r="K7970" s="72"/>
      <c r="L7970" s="50"/>
    </row>
    <row r="7971" spans="3:12" x14ac:dyDescent="0.3">
      <c r="C7971" s="47"/>
      <c r="H7971" s="49"/>
      <c r="K7971" s="72"/>
      <c r="L7971" s="50"/>
    </row>
    <row r="7972" spans="3:12" x14ac:dyDescent="0.3">
      <c r="C7972" s="47"/>
      <c r="H7972" s="49"/>
      <c r="K7972" s="72"/>
      <c r="L7972" s="50"/>
    </row>
    <row r="7973" spans="3:12" x14ac:dyDescent="0.3">
      <c r="C7973" s="47"/>
      <c r="H7973" s="49"/>
      <c r="K7973" s="72"/>
      <c r="L7973" s="50"/>
    </row>
    <row r="7974" spans="3:12" x14ac:dyDescent="0.3">
      <c r="C7974" s="47"/>
      <c r="H7974" s="49"/>
      <c r="K7974" s="72"/>
      <c r="L7974" s="50"/>
    </row>
    <row r="7975" spans="3:12" x14ac:dyDescent="0.3">
      <c r="C7975" s="47"/>
      <c r="H7975" s="49"/>
      <c r="K7975" s="72"/>
      <c r="L7975" s="50"/>
    </row>
    <row r="7976" spans="3:12" x14ac:dyDescent="0.3">
      <c r="C7976" s="47"/>
      <c r="H7976" s="49"/>
      <c r="K7976" s="72"/>
      <c r="L7976" s="50"/>
    </row>
    <row r="7977" spans="3:12" x14ac:dyDescent="0.3">
      <c r="C7977" s="47"/>
      <c r="H7977" s="49"/>
      <c r="K7977" s="72"/>
      <c r="L7977" s="50"/>
    </row>
    <row r="7978" spans="3:12" x14ac:dyDescent="0.3">
      <c r="C7978" s="47"/>
      <c r="H7978" s="49"/>
      <c r="K7978" s="72"/>
      <c r="L7978" s="50"/>
    </row>
    <row r="7979" spans="3:12" x14ac:dyDescent="0.3">
      <c r="C7979" s="47"/>
      <c r="H7979" s="49"/>
      <c r="K7979" s="72"/>
      <c r="L7979" s="50"/>
    </row>
    <row r="7980" spans="3:12" x14ac:dyDescent="0.3">
      <c r="C7980" s="47"/>
      <c r="H7980" s="49"/>
      <c r="K7980" s="72"/>
      <c r="L7980" s="50"/>
    </row>
    <row r="7981" spans="3:12" x14ac:dyDescent="0.3">
      <c r="C7981" s="47"/>
      <c r="H7981" s="49"/>
      <c r="K7981" s="72"/>
      <c r="L7981" s="50"/>
    </row>
    <row r="7982" spans="3:12" x14ac:dyDescent="0.3">
      <c r="C7982" s="47"/>
      <c r="H7982" s="49"/>
      <c r="K7982" s="72"/>
      <c r="L7982" s="50"/>
    </row>
    <row r="7983" spans="3:12" x14ac:dyDescent="0.3">
      <c r="C7983" s="47"/>
      <c r="H7983" s="49"/>
      <c r="K7983" s="72"/>
      <c r="L7983" s="50"/>
    </row>
    <row r="7984" spans="3:12" x14ac:dyDescent="0.3">
      <c r="C7984" s="47"/>
      <c r="H7984" s="49"/>
      <c r="K7984" s="72"/>
      <c r="L7984" s="50"/>
    </row>
    <row r="7985" spans="3:12" x14ac:dyDescent="0.3">
      <c r="C7985" s="47"/>
      <c r="H7985" s="49"/>
      <c r="K7985" s="72"/>
      <c r="L7985" s="50"/>
    </row>
    <row r="7986" spans="3:12" x14ac:dyDescent="0.3">
      <c r="C7986" s="47"/>
      <c r="H7986" s="49"/>
      <c r="K7986" s="72"/>
      <c r="L7986" s="50"/>
    </row>
    <row r="7987" spans="3:12" x14ac:dyDescent="0.3">
      <c r="C7987" s="47"/>
      <c r="H7987" s="49"/>
      <c r="K7987" s="72"/>
      <c r="L7987" s="50"/>
    </row>
    <row r="7988" spans="3:12" x14ac:dyDescent="0.3">
      <c r="C7988" s="47"/>
      <c r="H7988" s="49"/>
      <c r="K7988" s="72"/>
      <c r="L7988" s="50"/>
    </row>
    <row r="7989" spans="3:12" x14ac:dyDescent="0.3">
      <c r="C7989" s="47"/>
      <c r="H7989" s="49"/>
      <c r="K7989" s="72"/>
      <c r="L7989" s="50"/>
    </row>
    <row r="7990" spans="3:12" x14ac:dyDescent="0.3">
      <c r="C7990" s="47"/>
      <c r="H7990" s="49"/>
      <c r="K7990" s="72"/>
      <c r="L7990" s="50"/>
    </row>
    <row r="7991" spans="3:12" x14ac:dyDescent="0.3">
      <c r="C7991" s="47"/>
      <c r="H7991" s="49"/>
      <c r="K7991" s="72"/>
      <c r="L7991" s="50"/>
    </row>
    <row r="7992" spans="3:12" x14ac:dyDescent="0.3">
      <c r="C7992" s="47"/>
      <c r="H7992" s="49"/>
      <c r="K7992" s="72"/>
      <c r="L7992" s="50"/>
    </row>
    <row r="7993" spans="3:12" x14ac:dyDescent="0.3">
      <c r="C7993" s="47"/>
      <c r="H7993" s="49"/>
      <c r="K7993" s="72"/>
      <c r="L7993" s="50"/>
    </row>
    <row r="7994" spans="3:12" x14ac:dyDescent="0.3">
      <c r="C7994" s="47"/>
      <c r="H7994" s="49"/>
      <c r="K7994" s="72"/>
      <c r="L7994" s="50"/>
    </row>
    <row r="7995" spans="3:12" x14ac:dyDescent="0.3">
      <c r="C7995" s="47"/>
      <c r="H7995" s="49"/>
      <c r="K7995" s="72"/>
      <c r="L7995" s="50"/>
    </row>
    <row r="7996" spans="3:12" x14ac:dyDescent="0.3">
      <c r="C7996" s="47"/>
      <c r="H7996" s="49"/>
      <c r="K7996" s="72"/>
      <c r="L7996" s="50"/>
    </row>
    <row r="7997" spans="3:12" x14ac:dyDescent="0.3">
      <c r="C7997" s="47"/>
      <c r="H7997" s="49"/>
      <c r="K7997" s="72"/>
      <c r="L7997" s="50"/>
    </row>
    <row r="7998" spans="3:12" x14ac:dyDescent="0.3">
      <c r="C7998" s="47"/>
      <c r="H7998" s="49"/>
      <c r="K7998" s="72"/>
      <c r="L7998" s="50"/>
    </row>
    <row r="7999" spans="3:12" x14ac:dyDescent="0.3">
      <c r="C7999" s="47"/>
      <c r="H7999" s="49"/>
      <c r="K7999" s="72"/>
      <c r="L7999" s="50"/>
    </row>
    <row r="8000" spans="3:12" x14ac:dyDescent="0.3">
      <c r="C8000" s="47"/>
      <c r="H8000" s="49"/>
      <c r="K8000" s="72"/>
      <c r="L8000" s="50"/>
    </row>
    <row r="8001" spans="3:12" x14ac:dyDescent="0.3">
      <c r="C8001" s="47"/>
      <c r="H8001" s="49"/>
      <c r="K8001" s="72"/>
      <c r="L8001" s="50"/>
    </row>
    <row r="8002" spans="3:12" x14ac:dyDescent="0.3">
      <c r="C8002" s="47"/>
      <c r="H8002" s="49"/>
      <c r="K8002" s="72"/>
      <c r="L8002" s="50"/>
    </row>
    <row r="8003" spans="3:12" x14ac:dyDescent="0.3">
      <c r="C8003" s="47"/>
      <c r="H8003" s="49"/>
      <c r="K8003" s="72"/>
      <c r="L8003" s="50"/>
    </row>
    <row r="8004" spans="3:12" x14ac:dyDescent="0.3">
      <c r="C8004" s="47"/>
      <c r="H8004" s="49"/>
      <c r="K8004" s="72"/>
      <c r="L8004" s="50"/>
    </row>
    <row r="8005" spans="3:12" x14ac:dyDescent="0.3">
      <c r="C8005" s="47"/>
      <c r="H8005" s="49"/>
      <c r="K8005" s="72"/>
      <c r="L8005" s="50"/>
    </row>
    <row r="8006" spans="3:12" x14ac:dyDescent="0.3">
      <c r="C8006" s="47"/>
      <c r="H8006" s="49"/>
      <c r="K8006" s="72"/>
      <c r="L8006" s="50"/>
    </row>
    <row r="8007" spans="3:12" x14ac:dyDescent="0.3">
      <c r="C8007" s="47"/>
      <c r="H8007" s="49"/>
      <c r="K8007" s="72"/>
      <c r="L8007" s="50"/>
    </row>
    <row r="8008" spans="3:12" x14ac:dyDescent="0.3">
      <c r="C8008" s="47"/>
      <c r="H8008" s="49"/>
      <c r="K8008" s="72"/>
      <c r="L8008" s="50"/>
    </row>
    <row r="8009" spans="3:12" x14ac:dyDescent="0.3">
      <c r="C8009" s="47"/>
      <c r="H8009" s="49"/>
      <c r="K8009" s="72"/>
      <c r="L8009" s="50"/>
    </row>
    <row r="8010" spans="3:12" x14ac:dyDescent="0.3">
      <c r="C8010" s="47"/>
      <c r="H8010" s="49"/>
      <c r="K8010" s="72"/>
      <c r="L8010" s="50"/>
    </row>
    <row r="8011" spans="3:12" x14ac:dyDescent="0.3">
      <c r="C8011" s="47"/>
      <c r="H8011" s="49"/>
      <c r="K8011" s="72"/>
      <c r="L8011" s="50"/>
    </row>
    <row r="8012" spans="3:12" x14ac:dyDescent="0.3">
      <c r="C8012" s="47"/>
      <c r="H8012" s="49"/>
      <c r="K8012" s="72"/>
      <c r="L8012" s="50"/>
    </row>
    <row r="8013" spans="3:12" x14ac:dyDescent="0.3">
      <c r="C8013" s="47"/>
      <c r="H8013" s="49"/>
      <c r="K8013" s="72"/>
      <c r="L8013" s="50"/>
    </row>
    <row r="8014" spans="3:12" x14ac:dyDescent="0.3">
      <c r="C8014" s="47"/>
      <c r="H8014" s="49"/>
      <c r="K8014" s="72"/>
      <c r="L8014" s="50"/>
    </row>
    <row r="8015" spans="3:12" x14ac:dyDescent="0.3">
      <c r="C8015" s="47"/>
      <c r="H8015" s="49"/>
      <c r="K8015" s="72"/>
      <c r="L8015" s="50"/>
    </row>
    <row r="8016" spans="3:12" x14ac:dyDescent="0.3">
      <c r="C8016" s="47"/>
      <c r="H8016" s="49"/>
      <c r="K8016" s="72"/>
      <c r="L8016" s="50"/>
    </row>
    <row r="8017" spans="3:12" x14ac:dyDescent="0.3">
      <c r="C8017" s="47"/>
      <c r="H8017" s="49"/>
      <c r="K8017" s="72"/>
      <c r="L8017" s="50"/>
    </row>
    <row r="8018" spans="3:12" x14ac:dyDescent="0.3">
      <c r="C8018" s="47"/>
      <c r="H8018" s="49"/>
      <c r="K8018" s="72"/>
      <c r="L8018" s="50"/>
    </row>
    <row r="8019" spans="3:12" x14ac:dyDescent="0.3">
      <c r="C8019" s="47"/>
      <c r="H8019" s="49"/>
      <c r="K8019" s="72"/>
      <c r="L8019" s="50"/>
    </row>
    <row r="8020" spans="3:12" x14ac:dyDescent="0.3">
      <c r="C8020" s="47"/>
      <c r="H8020" s="49"/>
      <c r="K8020" s="72"/>
      <c r="L8020" s="50"/>
    </row>
    <row r="8021" spans="3:12" x14ac:dyDescent="0.3">
      <c r="C8021" s="47"/>
      <c r="H8021" s="49"/>
      <c r="K8021" s="72"/>
      <c r="L8021" s="50"/>
    </row>
    <row r="8022" spans="3:12" x14ac:dyDescent="0.3">
      <c r="C8022" s="47"/>
      <c r="H8022" s="49"/>
      <c r="K8022" s="72"/>
      <c r="L8022" s="50"/>
    </row>
    <row r="8023" spans="3:12" x14ac:dyDescent="0.3">
      <c r="C8023" s="47"/>
      <c r="H8023" s="49"/>
      <c r="K8023" s="72"/>
      <c r="L8023" s="50"/>
    </row>
    <row r="8024" spans="3:12" x14ac:dyDescent="0.3">
      <c r="C8024" s="47"/>
      <c r="H8024" s="49"/>
      <c r="K8024" s="72"/>
      <c r="L8024" s="50"/>
    </row>
    <row r="8025" spans="3:12" x14ac:dyDescent="0.3">
      <c r="C8025" s="47"/>
      <c r="H8025" s="49"/>
      <c r="K8025" s="72"/>
      <c r="L8025" s="50"/>
    </row>
    <row r="8026" spans="3:12" x14ac:dyDescent="0.3">
      <c r="C8026" s="47"/>
      <c r="H8026" s="49"/>
      <c r="K8026" s="72"/>
      <c r="L8026" s="50"/>
    </row>
    <row r="8027" spans="3:12" x14ac:dyDescent="0.3">
      <c r="C8027" s="47"/>
      <c r="H8027" s="49"/>
      <c r="K8027" s="72"/>
      <c r="L8027" s="50"/>
    </row>
    <row r="8028" spans="3:12" x14ac:dyDescent="0.3">
      <c r="C8028" s="47"/>
      <c r="H8028" s="49"/>
      <c r="K8028" s="72"/>
      <c r="L8028" s="50"/>
    </row>
    <row r="8029" spans="3:12" x14ac:dyDescent="0.3">
      <c r="C8029" s="47"/>
      <c r="H8029" s="49"/>
      <c r="K8029" s="72"/>
      <c r="L8029" s="50"/>
    </row>
    <row r="8030" spans="3:12" x14ac:dyDescent="0.3">
      <c r="C8030" s="47"/>
      <c r="H8030" s="49"/>
      <c r="K8030" s="72"/>
      <c r="L8030" s="50"/>
    </row>
    <row r="8031" spans="3:12" x14ac:dyDescent="0.3">
      <c r="C8031" s="47"/>
      <c r="H8031" s="49"/>
      <c r="K8031" s="72"/>
      <c r="L8031" s="50"/>
    </row>
    <row r="8032" spans="3:12" x14ac:dyDescent="0.3">
      <c r="C8032" s="47"/>
      <c r="H8032" s="49"/>
      <c r="K8032" s="72"/>
      <c r="L8032" s="50"/>
    </row>
    <row r="8033" spans="3:12" x14ac:dyDescent="0.3">
      <c r="C8033" s="47"/>
      <c r="H8033" s="49"/>
      <c r="K8033" s="72"/>
      <c r="L8033" s="50"/>
    </row>
    <row r="8034" spans="3:12" x14ac:dyDescent="0.3">
      <c r="C8034" s="47"/>
      <c r="H8034" s="49"/>
      <c r="K8034" s="72"/>
      <c r="L8034" s="50"/>
    </row>
    <row r="8035" spans="3:12" x14ac:dyDescent="0.3">
      <c r="C8035" s="47"/>
      <c r="H8035" s="49"/>
      <c r="K8035" s="72"/>
      <c r="L8035" s="50"/>
    </row>
    <row r="8036" spans="3:12" x14ac:dyDescent="0.3">
      <c r="C8036" s="47"/>
      <c r="H8036" s="49"/>
      <c r="K8036" s="72"/>
      <c r="L8036" s="50"/>
    </row>
    <row r="8037" spans="3:12" x14ac:dyDescent="0.3">
      <c r="C8037" s="47"/>
      <c r="H8037" s="49"/>
      <c r="K8037" s="72"/>
      <c r="L8037" s="50"/>
    </row>
    <row r="8038" spans="3:12" x14ac:dyDescent="0.3">
      <c r="C8038" s="47"/>
      <c r="H8038" s="49"/>
      <c r="K8038" s="72"/>
      <c r="L8038" s="50"/>
    </row>
    <row r="8039" spans="3:12" x14ac:dyDescent="0.3">
      <c r="C8039" s="47"/>
      <c r="H8039" s="49"/>
      <c r="K8039" s="72"/>
      <c r="L8039" s="50"/>
    </row>
    <row r="8040" spans="3:12" x14ac:dyDescent="0.3">
      <c r="C8040" s="47"/>
      <c r="H8040" s="49"/>
      <c r="K8040" s="72"/>
      <c r="L8040" s="50"/>
    </row>
    <row r="8041" spans="3:12" x14ac:dyDescent="0.3">
      <c r="C8041" s="47"/>
      <c r="H8041" s="49"/>
      <c r="K8041" s="72"/>
      <c r="L8041" s="50"/>
    </row>
    <row r="8042" spans="3:12" x14ac:dyDescent="0.3">
      <c r="C8042" s="47"/>
      <c r="H8042" s="49"/>
      <c r="K8042" s="72"/>
      <c r="L8042" s="50"/>
    </row>
    <row r="8043" spans="3:12" x14ac:dyDescent="0.3">
      <c r="C8043" s="47"/>
      <c r="H8043" s="49"/>
      <c r="K8043" s="72"/>
      <c r="L8043" s="50"/>
    </row>
    <row r="8044" spans="3:12" x14ac:dyDescent="0.3">
      <c r="C8044" s="47"/>
      <c r="H8044" s="49"/>
      <c r="K8044" s="72"/>
      <c r="L8044" s="50"/>
    </row>
    <row r="8045" spans="3:12" x14ac:dyDescent="0.3">
      <c r="C8045" s="47"/>
      <c r="H8045" s="49"/>
      <c r="K8045" s="72"/>
      <c r="L8045" s="50"/>
    </row>
    <row r="8046" spans="3:12" x14ac:dyDescent="0.3">
      <c r="C8046" s="47"/>
      <c r="H8046" s="49"/>
      <c r="K8046" s="72"/>
      <c r="L8046" s="50"/>
    </row>
    <row r="8047" spans="3:12" x14ac:dyDescent="0.3">
      <c r="C8047" s="47"/>
      <c r="H8047" s="49"/>
      <c r="K8047" s="72"/>
      <c r="L8047" s="50"/>
    </row>
    <row r="8048" spans="3:12" x14ac:dyDescent="0.3">
      <c r="C8048" s="47"/>
      <c r="H8048" s="49"/>
      <c r="K8048" s="72"/>
      <c r="L8048" s="50"/>
    </row>
    <row r="8049" spans="3:12" x14ac:dyDescent="0.3">
      <c r="C8049" s="47"/>
      <c r="H8049" s="49"/>
      <c r="K8049" s="72"/>
      <c r="L8049" s="50"/>
    </row>
    <row r="8050" spans="3:12" x14ac:dyDescent="0.3">
      <c r="C8050" s="47"/>
      <c r="H8050" s="49"/>
      <c r="K8050" s="72"/>
      <c r="L8050" s="50"/>
    </row>
    <row r="8051" spans="3:12" x14ac:dyDescent="0.3">
      <c r="C8051" s="47"/>
      <c r="H8051" s="49"/>
      <c r="K8051" s="72"/>
      <c r="L8051" s="50"/>
    </row>
    <row r="8052" spans="3:12" x14ac:dyDescent="0.3">
      <c r="C8052" s="47"/>
      <c r="H8052" s="49"/>
      <c r="K8052" s="72"/>
      <c r="L8052" s="50"/>
    </row>
    <row r="8053" spans="3:12" x14ac:dyDescent="0.3">
      <c r="C8053" s="47"/>
      <c r="H8053" s="49"/>
      <c r="K8053" s="72"/>
      <c r="L8053" s="50"/>
    </row>
    <row r="8054" spans="3:12" x14ac:dyDescent="0.3">
      <c r="C8054" s="47"/>
      <c r="H8054" s="49"/>
      <c r="K8054" s="72"/>
      <c r="L8054" s="50"/>
    </row>
    <row r="8055" spans="3:12" x14ac:dyDescent="0.3">
      <c r="C8055" s="47"/>
      <c r="H8055" s="49"/>
      <c r="K8055" s="72"/>
      <c r="L8055" s="50"/>
    </row>
    <row r="8056" spans="3:12" x14ac:dyDescent="0.3">
      <c r="C8056" s="47"/>
      <c r="H8056" s="49"/>
      <c r="K8056" s="72"/>
      <c r="L8056" s="50"/>
    </row>
    <row r="8057" spans="3:12" x14ac:dyDescent="0.3">
      <c r="C8057" s="47"/>
      <c r="H8057" s="49"/>
      <c r="K8057" s="72"/>
      <c r="L8057" s="50"/>
    </row>
    <row r="8058" spans="3:12" x14ac:dyDescent="0.3">
      <c r="C8058" s="47"/>
      <c r="H8058" s="49"/>
      <c r="K8058" s="72"/>
      <c r="L8058" s="50"/>
    </row>
    <row r="8059" spans="3:12" x14ac:dyDescent="0.3">
      <c r="C8059" s="47"/>
      <c r="H8059" s="49"/>
      <c r="K8059" s="72"/>
      <c r="L8059" s="50"/>
    </row>
    <row r="8060" spans="3:12" x14ac:dyDescent="0.3">
      <c r="C8060" s="47"/>
      <c r="H8060" s="49"/>
      <c r="K8060" s="72"/>
      <c r="L8060" s="50"/>
    </row>
    <row r="8061" spans="3:12" x14ac:dyDescent="0.3">
      <c r="C8061" s="47"/>
      <c r="H8061" s="49"/>
      <c r="K8061" s="72"/>
      <c r="L8061" s="50"/>
    </row>
    <row r="8062" spans="3:12" x14ac:dyDescent="0.3">
      <c r="C8062" s="47"/>
      <c r="H8062" s="49"/>
      <c r="K8062" s="72"/>
      <c r="L8062" s="50"/>
    </row>
    <row r="8063" spans="3:12" x14ac:dyDescent="0.3">
      <c r="C8063" s="47"/>
      <c r="H8063" s="49"/>
      <c r="K8063" s="72"/>
      <c r="L8063" s="50"/>
    </row>
    <row r="8064" spans="3:12" x14ac:dyDescent="0.3">
      <c r="C8064" s="47"/>
      <c r="H8064" s="49"/>
      <c r="K8064" s="72"/>
      <c r="L8064" s="50"/>
    </row>
    <row r="8065" spans="3:12" x14ac:dyDescent="0.3">
      <c r="C8065" s="47"/>
      <c r="H8065" s="49"/>
      <c r="K8065" s="72"/>
      <c r="L8065" s="50"/>
    </row>
    <row r="8066" spans="3:12" x14ac:dyDescent="0.3">
      <c r="C8066" s="47"/>
      <c r="H8066" s="49"/>
      <c r="K8066" s="72"/>
      <c r="L8066" s="50"/>
    </row>
    <row r="8067" spans="3:12" x14ac:dyDescent="0.3">
      <c r="C8067" s="47"/>
      <c r="H8067" s="49"/>
      <c r="K8067" s="72"/>
      <c r="L8067" s="50"/>
    </row>
    <row r="8068" spans="3:12" x14ac:dyDescent="0.3">
      <c r="C8068" s="47"/>
      <c r="H8068" s="49"/>
      <c r="K8068" s="72"/>
      <c r="L8068" s="50"/>
    </row>
    <row r="8069" spans="3:12" x14ac:dyDescent="0.3">
      <c r="C8069" s="47"/>
      <c r="H8069" s="49"/>
      <c r="K8069" s="72"/>
      <c r="L8069" s="50"/>
    </row>
    <row r="8070" spans="3:12" x14ac:dyDescent="0.3">
      <c r="C8070" s="47"/>
      <c r="H8070" s="49"/>
      <c r="K8070" s="72"/>
      <c r="L8070" s="50"/>
    </row>
    <row r="8071" spans="3:12" x14ac:dyDescent="0.3">
      <c r="C8071" s="47"/>
      <c r="H8071" s="49"/>
      <c r="K8071" s="72"/>
      <c r="L8071" s="50"/>
    </row>
    <row r="8072" spans="3:12" x14ac:dyDescent="0.3">
      <c r="C8072" s="47"/>
      <c r="H8072" s="49"/>
      <c r="K8072" s="72"/>
      <c r="L8072" s="50"/>
    </row>
    <row r="8073" spans="3:12" x14ac:dyDescent="0.3">
      <c r="C8073" s="47"/>
      <c r="H8073" s="49"/>
      <c r="K8073" s="72"/>
      <c r="L8073" s="50"/>
    </row>
    <row r="8074" spans="3:12" x14ac:dyDescent="0.3">
      <c r="C8074" s="47"/>
      <c r="H8074" s="49"/>
      <c r="K8074" s="72"/>
      <c r="L8074" s="50"/>
    </row>
    <row r="8075" spans="3:12" x14ac:dyDescent="0.3">
      <c r="C8075" s="47"/>
      <c r="H8075" s="49"/>
      <c r="K8075" s="72"/>
      <c r="L8075" s="50"/>
    </row>
    <row r="8076" spans="3:12" x14ac:dyDescent="0.3">
      <c r="C8076" s="47"/>
      <c r="H8076" s="49"/>
      <c r="K8076" s="72"/>
      <c r="L8076" s="50"/>
    </row>
    <row r="8077" spans="3:12" x14ac:dyDescent="0.3">
      <c r="C8077" s="47"/>
      <c r="H8077" s="49"/>
      <c r="K8077" s="72"/>
      <c r="L8077" s="50"/>
    </row>
    <row r="8078" spans="3:12" x14ac:dyDescent="0.3">
      <c r="C8078" s="47"/>
      <c r="H8078" s="49"/>
      <c r="K8078" s="72"/>
      <c r="L8078" s="50"/>
    </row>
    <row r="8079" spans="3:12" x14ac:dyDescent="0.3">
      <c r="C8079" s="47"/>
      <c r="H8079" s="49"/>
      <c r="K8079" s="72"/>
      <c r="L8079" s="50"/>
    </row>
    <row r="8080" spans="3:12" x14ac:dyDescent="0.3">
      <c r="C8080" s="47"/>
      <c r="H8080" s="49"/>
      <c r="K8080" s="72"/>
      <c r="L8080" s="50"/>
    </row>
    <row r="8081" spans="3:12" x14ac:dyDescent="0.3">
      <c r="C8081" s="47"/>
      <c r="H8081" s="49"/>
      <c r="K8081" s="72"/>
      <c r="L8081" s="50"/>
    </row>
    <row r="8082" spans="3:12" x14ac:dyDescent="0.3">
      <c r="C8082" s="47"/>
      <c r="H8082" s="49"/>
      <c r="K8082" s="72"/>
      <c r="L8082" s="50"/>
    </row>
    <row r="8083" spans="3:12" x14ac:dyDescent="0.3">
      <c r="C8083" s="47"/>
      <c r="H8083" s="49"/>
      <c r="K8083" s="72"/>
      <c r="L8083" s="50"/>
    </row>
    <row r="8084" spans="3:12" x14ac:dyDescent="0.3">
      <c r="C8084" s="47"/>
      <c r="H8084" s="49"/>
      <c r="K8084" s="72"/>
      <c r="L8084" s="50"/>
    </row>
    <row r="8085" spans="3:12" x14ac:dyDescent="0.3">
      <c r="C8085" s="47"/>
      <c r="H8085" s="49"/>
      <c r="K8085" s="72"/>
      <c r="L8085" s="50"/>
    </row>
    <row r="8086" spans="3:12" x14ac:dyDescent="0.3">
      <c r="C8086" s="47"/>
      <c r="H8086" s="49"/>
      <c r="K8086" s="72"/>
      <c r="L8086" s="50"/>
    </row>
    <row r="8087" spans="3:12" x14ac:dyDescent="0.3">
      <c r="C8087" s="47"/>
      <c r="H8087" s="49"/>
      <c r="K8087" s="72"/>
      <c r="L8087" s="50"/>
    </row>
    <row r="8088" spans="3:12" x14ac:dyDescent="0.3">
      <c r="C8088" s="47"/>
      <c r="H8088" s="49"/>
      <c r="K8088" s="72"/>
      <c r="L8088" s="50"/>
    </row>
    <row r="8089" spans="3:12" x14ac:dyDescent="0.3">
      <c r="C8089" s="47"/>
      <c r="H8089" s="49"/>
      <c r="K8089" s="72"/>
      <c r="L8089" s="50"/>
    </row>
    <row r="8090" spans="3:12" x14ac:dyDescent="0.3">
      <c r="C8090" s="47"/>
      <c r="H8090" s="49"/>
      <c r="K8090" s="72"/>
      <c r="L8090" s="50"/>
    </row>
    <row r="8091" spans="3:12" x14ac:dyDescent="0.3">
      <c r="C8091" s="47"/>
      <c r="H8091" s="49"/>
      <c r="K8091" s="72"/>
      <c r="L8091" s="50"/>
    </row>
    <row r="8092" spans="3:12" x14ac:dyDescent="0.3">
      <c r="C8092" s="47"/>
      <c r="H8092" s="49"/>
      <c r="K8092" s="72"/>
      <c r="L8092" s="50"/>
    </row>
    <row r="8093" spans="3:12" x14ac:dyDescent="0.3">
      <c r="C8093" s="47"/>
      <c r="H8093" s="49"/>
      <c r="K8093" s="72"/>
      <c r="L8093" s="50"/>
    </row>
    <row r="8094" spans="3:12" x14ac:dyDescent="0.3">
      <c r="C8094" s="47"/>
      <c r="H8094" s="49"/>
      <c r="K8094" s="72"/>
      <c r="L8094" s="50"/>
    </row>
    <row r="8095" spans="3:12" x14ac:dyDescent="0.3">
      <c r="C8095" s="47"/>
      <c r="H8095" s="49"/>
      <c r="K8095" s="72"/>
      <c r="L8095" s="50"/>
    </row>
    <row r="8096" spans="3:12" x14ac:dyDescent="0.3">
      <c r="C8096" s="47"/>
      <c r="H8096" s="49"/>
      <c r="K8096" s="72"/>
      <c r="L8096" s="50"/>
    </row>
    <row r="8097" spans="3:12" x14ac:dyDescent="0.3">
      <c r="C8097" s="47"/>
      <c r="H8097" s="49"/>
      <c r="K8097" s="72"/>
      <c r="L8097" s="50"/>
    </row>
    <row r="8098" spans="3:12" x14ac:dyDescent="0.3">
      <c r="C8098" s="47"/>
      <c r="H8098" s="49"/>
      <c r="K8098" s="72"/>
      <c r="L8098" s="50"/>
    </row>
    <row r="8099" spans="3:12" x14ac:dyDescent="0.3">
      <c r="C8099" s="47"/>
      <c r="H8099" s="49"/>
      <c r="K8099" s="72"/>
      <c r="L8099" s="50"/>
    </row>
    <row r="8100" spans="3:12" x14ac:dyDescent="0.3">
      <c r="C8100" s="47"/>
      <c r="H8100" s="49"/>
      <c r="K8100" s="72"/>
      <c r="L8100" s="50"/>
    </row>
    <row r="8101" spans="3:12" x14ac:dyDescent="0.3">
      <c r="C8101" s="47"/>
      <c r="H8101" s="49"/>
      <c r="K8101" s="72"/>
      <c r="L8101" s="50"/>
    </row>
    <row r="8102" spans="3:12" x14ac:dyDescent="0.3">
      <c r="C8102" s="47"/>
      <c r="H8102" s="49"/>
      <c r="K8102" s="72"/>
      <c r="L8102" s="50"/>
    </row>
    <row r="8103" spans="3:12" x14ac:dyDescent="0.3">
      <c r="C8103" s="47"/>
      <c r="H8103" s="49"/>
      <c r="K8103" s="72"/>
      <c r="L8103" s="50"/>
    </row>
    <row r="8104" spans="3:12" x14ac:dyDescent="0.3">
      <c r="C8104" s="47"/>
      <c r="H8104" s="49"/>
      <c r="K8104" s="72"/>
      <c r="L8104" s="50"/>
    </row>
    <row r="8105" spans="3:12" x14ac:dyDescent="0.3">
      <c r="C8105" s="47"/>
      <c r="H8105" s="49"/>
      <c r="K8105" s="72"/>
      <c r="L8105" s="50"/>
    </row>
    <row r="8106" spans="3:12" x14ac:dyDescent="0.3">
      <c r="C8106" s="47"/>
      <c r="H8106" s="49"/>
      <c r="K8106" s="72"/>
      <c r="L8106" s="50"/>
    </row>
    <row r="8107" spans="3:12" x14ac:dyDescent="0.3">
      <c r="C8107" s="47"/>
      <c r="H8107" s="49"/>
      <c r="K8107" s="72"/>
      <c r="L8107" s="50"/>
    </row>
    <row r="8108" spans="3:12" x14ac:dyDescent="0.3">
      <c r="C8108" s="47"/>
      <c r="H8108" s="49"/>
      <c r="K8108" s="72"/>
      <c r="L8108" s="50"/>
    </row>
    <row r="8109" spans="3:12" x14ac:dyDescent="0.3">
      <c r="C8109" s="47"/>
      <c r="H8109" s="49"/>
      <c r="K8109" s="72"/>
      <c r="L8109" s="50"/>
    </row>
    <row r="8110" spans="3:12" x14ac:dyDescent="0.3">
      <c r="C8110" s="47"/>
      <c r="H8110" s="49"/>
      <c r="K8110" s="72"/>
      <c r="L8110" s="50"/>
    </row>
    <row r="8111" spans="3:12" x14ac:dyDescent="0.3">
      <c r="C8111" s="47"/>
      <c r="H8111" s="49"/>
      <c r="K8111" s="72"/>
      <c r="L8111" s="50"/>
    </row>
    <row r="8112" spans="3:12" x14ac:dyDescent="0.3">
      <c r="C8112" s="47"/>
      <c r="H8112" s="49"/>
      <c r="K8112" s="72"/>
      <c r="L8112" s="50"/>
    </row>
    <row r="8113" spans="3:12" x14ac:dyDescent="0.3">
      <c r="C8113" s="47"/>
      <c r="H8113" s="49"/>
      <c r="K8113" s="72"/>
      <c r="L8113" s="50"/>
    </row>
    <row r="8114" spans="3:12" x14ac:dyDescent="0.3">
      <c r="C8114" s="47"/>
      <c r="H8114" s="49"/>
      <c r="K8114" s="72"/>
      <c r="L8114" s="50"/>
    </row>
    <row r="8115" spans="3:12" x14ac:dyDescent="0.3">
      <c r="C8115" s="47"/>
      <c r="H8115" s="49"/>
      <c r="K8115" s="72"/>
      <c r="L8115" s="50"/>
    </row>
    <row r="8116" spans="3:12" x14ac:dyDescent="0.3">
      <c r="C8116" s="47"/>
      <c r="H8116" s="49"/>
      <c r="K8116" s="72"/>
      <c r="L8116" s="50"/>
    </row>
    <row r="8117" spans="3:12" x14ac:dyDescent="0.3">
      <c r="C8117" s="47"/>
      <c r="H8117" s="49"/>
      <c r="K8117" s="72"/>
      <c r="L8117" s="50"/>
    </row>
    <row r="8118" spans="3:12" x14ac:dyDescent="0.3">
      <c r="C8118" s="47"/>
      <c r="H8118" s="49"/>
      <c r="K8118" s="72"/>
      <c r="L8118" s="50"/>
    </row>
    <row r="8119" spans="3:12" x14ac:dyDescent="0.3">
      <c r="C8119" s="47"/>
      <c r="H8119" s="49"/>
      <c r="K8119" s="72"/>
      <c r="L8119" s="50"/>
    </row>
    <row r="8120" spans="3:12" x14ac:dyDescent="0.3">
      <c r="C8120" s="47"/>
      <c r="H8120" s="49"/>
      <c r="K8120" s="72"/>
      <c r="L8120" s="50"/>
    </row>
    <row r="8121" spans="3:12" x14ac:dyDescent="0.3">
      <c r="C8121" s="47"/>
      <c r="H8121" s="49"/>
      <c r="K8121" s="72"/>
      <c r="L8121" s="50"/>
    </row>
    <row r="8122" spans="3:12" x14ac:dyDescent="0.3">
      <c r="C8122" s="47"/>
      <c r="H8122" s="49"/>
      <c r="K8122" s="72"/>
      <c r="L8122" s="50"/>
    </row>
    <row r="8123" spans="3:12" x14ac:dyDescent="0.3">
      <c r="C8123" s="47"/>
      <c r="H8123" s="49"/>
      <c r="K8123" s="72"/>
      <c r="L8123" s="50"/>
    </row>
    <row r="8124" spans="3:12" x14ac:dyDescent="0.3">
      <c r="C8124" s="47"/>
      <c r="H8124" s="49"/>
      <c r="K8124" s="72"/>
      <c r="L8124" s="50"/>
    </row>
    <row r="8125" spans="3:12" x14ac:dyDescent="0.3">
      <c r="C8125" s="47"/>
      <c r="H8125" s="49"/>
      <c r="K8125" s="72"/>
      <c r="L8125" s="50"/>
    </row>
    <row r="8126" spans="3:12" x14ac:dyDescent="0.3">
      <c r="C8126" s="47"/>
      <c r="H8126" s="49"/>
      <c r="K8126" s="72"/>
      <c r="L8126" s="50"/>
    </row>
    <row r="8127" spans="3:12" x14ac:dyDescent="0.3">
      <c r="C8127" s="47"/>
      <c r="H8127" s="49"/>
      <c r="K8127" s="72"/>
      <c r="L8127" s="50"/>
    </row>
    <row r="8128" spans="3:12" x14ac:dyDescent="0.3">
      <c r="C8128" s="47"/>
      <c r="H8128" s="49"/>
      <c r="K8128" s="72"/>
      <c r="L8128" s="50"/>
    </row>
    <row r="8129" spans="3:12" x14ac:dyDescent="0.3">
      <c r="C8129" s="47"/>
      <c r="H8129" s="49"/>
      <c r="K8129" s="72"/>
      <c r="L8129" s="50"/>
    </row>
    <row r="8130" spans="3:12" x14ac:dyDescent="0.3">
      <c r="C8130" s="47"/>
      <c r="H8130" s="49"/>
      <c r="K8130" s="72"/>
      <c r="L8130" s="50"/>
    </row>
    <row r="8131" spans="3:12" x14ac:dyDescent="0.3">
      <c r="C8131" s="47"/>
      <c r="H8131" s="49"/>
      <c r="K8131" s="72"/>
      <c r="L8131" s="50"/>
    </row>
    <row r="8132" spans="3:12" x14ac:dyDescent="0.3">
      <c r="C8132" s="47"/>
      <c r="H8132" s="49"/>
      <c r="K8132" s="72"/>
      <c r="L8132" s="50"/>
    </row>
    <row r="8133" spans="3:12" x14ac:dyDescent="0.3">
      <c r="C8133" s="47"/>
      <c r="H8133" s="49"/>
      <c r="K8133" s="72"/>
      <c r="L8133" s="50"/>
    </row>
    <row r="8134" spans="3:12" x14ac:dyDescent="0.3">
      <c r="C8134" s="47"/>
      <c r="H8134" s="49"/>
      <c r="K8134" s="72"/>
      <c r="L8134" s="50"/>
    </row>
    <row r="8135" spans="3:12" x14ac:dyDescent="0.3">
      <c r="C8135" s="47"/>
      <c r="H8135" s="49"/>
      <c r="K8135" s="72"/>
      <c r="L8135" s="50"/>
    </row>
    <row r="8136" spans="3:12" x14ac:dyDescent="0.3">
      <c r="C8136" s="47"/>
      <c r="H8136" s="49"/>
      <c r="K8136" s="72"/>
      <c r="L8136" s="50"/>
    </row>
    <row r="8137" spans="3:12" x14ac:dyDescent="0.3">
      <c r="C8137" s="47"/>
      <c r="H8137" s="49"/>
      <c r="K8137" s="72"/>
      <c r="L8137" s="50"/>
    </row>
    <row r="8138" spans="3:12" x14ac:dyDescent="0.3">
      <c r="C8138" s="47"/>
      <c r="H8138" s="49"/>
      <c r="K8138" s="72"/>
      <c r="L8138" s="50"/>
    </row>
    <row r="8139" spans="3:12" x14ac:dyDescent="0.3">
      <c r="C8139" s="47"/>
      <c r="H8139" s="49"/>
      <c r="K8139" s="72"/>
      <c r="L8139" s="50"/>
    </row>
    <row r="8140" spans="3:12" x14ac:dyDescent="0.3">
      <c r="C8140" s="47"/>
      <c r="H8140" s="49"/>
      <c r="K8140" s="72"/>
      <c r="L8140" s="50"/>
    </row>
    <row r="8141" spans="3:12" x14ac:dyDescent="0.3">
      <c r="C8141" s="47"/>
      <c r="H8141" s="49"/>
      <c r="K8141" s="72"/>
      <c r="L8141" s="50"/>
    </row>
    <row r="8142" spans="3:12" x14ac:dyDescent="0.3">
      <c r="C8142" s="47"/>
      <c r="H8142" s="49"/>
      <c r="K8142" s="72"/>
      <c r="L8142" s="50"/>
    </row>
    <row r="8143" spans="3:12" x14ac:dyDescent="0.3">
      <c r="C8143" s="47"/>
      <c r="H8143" s="49"/>
      <c r="K8143" s="72"/>
      <c r="L8143" s="50"/>
    </row>
    <row r="8144" spans="3:12" x14ac:dyDescent="0.3">
      <c r="C8144" s="47"/>
      <c r="H8144" s="49"/>
      <c r="K8144" s="72"/>
      <c r="L8144" s="50"/>
    </row>
    <row r="8145" spans="3:12" x14ac:dyDescent="0.3">
      <c r="C8145" s="47"/>
      <c r="H8145" s="49"/>
      <c r="K8145" s="72"/>
      <c r="L8145" s="50"/>
    </row>
    <row r="8146" spans="3:12" x14ac:dyDescent="0.3">
      <c r="C8146" s="47"/>
      <c r="H8146" s="49"/>
      <c r="K8146" s="72"/>
      <c r="L8146" s="50"/>
    </row>
    <row r="8147" spans="3:12" x14ac:dyDescent="0.3">
      <c r="C8147" s="47"/>
      <c r="H8147" s="49"/>
      <c r="K8147" s="72"/>
      <c r="L8147" s="50"/>
    </row>
    <row r="8148" spans="3:12" x14ac:dyDescent="0.3">
      <c r="C8148" s="47"/>
      <c r="H8148" s="49"/>
      <c r="K8148" s="72"/>
      <c r="L8148" s="50"/>
    </row>
    <row r="8149" spans="3:12" x14ac:dyDescent="0.3">
      <c r="C8149" s="47"/>
      <c r="H8149" s="49"/>
      <c r="K8149" s="72"/>
      <c r="L8149" s="50"/>
    </row>
    <row r="8150" spans="3:12" x14ac:dyDescent="0.3">
      <c r="C8150" s="47"/>
      <c r="H8150" s="49"/>
      <c r="K8150" s="72"/>
      <c r="L8150" s="50"/>
    </row>
    <row r="8151" spans="3:12" x14ac:dyDescent="0.3">
      <c r="C8151" s="47"/>
      <c r="H8151" s="49"/>
      <c r="K8151" s="72"/>
      <c r="L8151" s="50"/>
    </row>
    <row r="8152" spans="3:12" x14ac:dyDescent="0.3">
      <c r="C8152" s="47"/>
      <c r="H8152" s="49"/>
      <c r="K8152" s="72"/>
      <c r="L8152" s="50"/>
    </row>
    <row r="8153" spans="3:12" x14ac:dyDescent="0.3">
      <c r="C8153" s="47"/>
      <c r="H8153" s="49"/>
      <c r="K8153" s="72"/>
      <c r="L8153" s="50"/>
    </row>
    <row r="8154" spans="3:12" x14ac:dyDescent="0.3">
      <c r="C8154" s="47"/>
      <c r="H8154" s="49"/>
      <c r="K8154" s="72"/>
      <c r="L8154" s="50"/>
    </row>
    <row r="8155" spans="3:12" x14ac:dyDescent="0.3">
      <c r="C8155" s="47"/>
      <c r="H8155" s="49"/>
      <c r="K8155" s="72"/>
      <c r="L8155" s="50"/>
    </row>
    <row r="8156" spans="3:12" x14ac:dyDescent="0.3">
      <c r="C8156" s="47"/>
      <c r="H8156" s="49"/>
      <c r="K8156" s="72"/>
      <c r="L8156" s="50"/>
    </row>
    <row r="8157" spans="3:12" x14ac:dyDescent="0.3">
      <c r="C8157" s="47"/>
      <c r="H8157" s="49"/>
      <c r="K8157" s="72"/>
      <c r="L8157" s="50"/>
    </row>
    <row r="8158" spans="3:12" x14ac:dyDescent="0.3">
      <c r="C8158" s="47"/>
      <c r="H8158" s="49"/>
      <c r="K8158" s="72"/>
      <c r="L8158" s="50"/>
    </row>
    <row r="8159" spans="3:12" x14ac:dyDescent="0.3">
      <c r="C8159" s="47"/>
      <c r="H8159" s="49"/>
      <c r="K8159" s="72"/>
      <c r="L8159" s="50"/>
    </row>
    <row r="8160" spans="3:12" x14ac:dyDescent="0.3">
      <c r="C8160" s="47"/>
      <c r="H8160" s="49"/>
      <c r="K8160" s="72"/>
      <c r="L8160" s="50"/>
    </row>
    <row r="8161" spans="3:12" x14ac:dyDescent="0.3">
      <c r="C8161" s="47"/>
      <c r="H8161" s="49"/>
      <c r="K8161" s="72"/>
      <c r="L8161" s="50"/>
    </row>
    <row r="8162" spans="3:12" x14ac:dyDescent="0.3">
      <c r="C8162" s="47"/>
      <c r="H8162" s="49"/>
      <c r="K8162" s="72"/>
      <c r="L8162" s="50"/>
    </row>
    <row r="8163" spans="3:12" x14ac:dyDescent="0.3">
      <c r="C8163" s="47"/>
      <c r="H8163" s="49"/>
      <c r="K8163" s="72"/>
      <c r="L8163" s="50"/>
    </row>
    <row r="8164" spans="3:12" x14ac:dyDescent="0.3">
      <c r="C8164" s="47"/>
      <c r="H8164" s="49"/>
      <c r="K8164" s="72"/>
      <c r="L8164" s="50"/>
    </row>
    <row r="8165" spans="3:12" x14ac:dyDescent="0.3">
      <c r="C8165" s="47"/>
      <c r="H8165" s="49"/>
      <c r="K8165" s="72"/>
      <c r="L8165" s="50"/>
    </row>
    <row r="8166" spans="3:12" x14ac:dyDescent="0.3">
      <c r="C8166" s="47"/>
      <c r="H8166" s="49"/>
      <c r="K8166" s="72"/>
      <c r="L8166" s="50"/>
    </row>
    <row r="8167" spans="3:12" x14ac:dyDescent="0.3">
      <c r="C8167" s="47"/>
      <c r="H8167" s="49"/>
      <c r="K8167" s="72"/>
      <c r="L8167" s="50"/>
    </row>
    <row r="8168" spans="3:12" x14ac:dyDescent="0.3">
      <c r="C8168" s="47"/>
      <c r="H8168" s="49"/>
      <c r="K8168" s="72"/>
      <c r="L8168" s="50"/>
    </row>
    <row r="8169" spans="3:12" x14ac:dyDescent="0.3">
      <c r="C8169" s="47"/>
      <c r="H8169" s="49"/>
      <c r="K8169" s="72"/>
      <c r="L8169" s="50"/>
    </row>
    <row r="8170" spans="3:12" x14ac:dyDescent="0.3">
      <c r="C8170" s="47"/>
      <c r="H8170" s="49"/>
      <c r="K8170" s="72"/>
      <c r="L8170" s="50"/>
    </row>
    <row r="8171" spans="3:12" x14ac:dyDescent="0.3">
      <c r="C8171" s="47"/>
      <c r="H8171" s="49"/>
      <c r="K8171" s="72"/>
      <c r="L8171" s="50"/>
    </row>
    <row r="8172" spans="3:12" x14ac:dyDescent="0.3">
      <c r="C8172" s="47"/>
      <c r="H8172" s="49"/>
      <c r="K8172" s="72"/>
      <c r="L8172" s="50"/>
    </row>
    <row r="8173" spans="3:12" x14ac:dyDescent="0.3">
      <c r="C8173" s="47"/>
      <c r="H8173" s="49"/>
      <c r="K8173" s="72"/>
      <c r="L8173" s="50"/>
    </row>
    <row r="8174" spans="3:12" x14ac:dyDescent="0.3">
      <c r="C8174" s="47"/>
      <c r="H8174" s="49"/>
      <c r="K8174" s="72"/>
      <c r="L8174" s="50"/>
    </row>
    <row r="8175" spans="3:12" x14ac:dyDescent="0.3">
      <c r="C8175" s="47"/>
      <c r="H8175" s="49"/>
      <c r="K8175" s="72"/>
      <c r="L8175" s="50"/>
    </row>
    <row r="8176" spans="3:12" x14ac:dyDescent="0.3">
      <c r="C8176" s="47"/>
      <c r="H8176" s="49"/>
      <c r="K8176" s="72"/>
      <c r="L8176" s="50"/>
    </row>
    <row r="8177" spans="3:12" x14ac:dyDescent="0.3">
      <c r="C8177" s="47"/>
      <c r="H8177" s="49"/>
      <c r="K8177" s="72"/>
      <c r="L8177" s="50"/>
    </row>
    <row r="8178" spans="3:12" x14ac:dyDescent="0.3">
      <c r="C8178" s="47"/>
      <c r="H8178" s="49"/>
      <c r="K8178" s="72"/>
      <c r="L8178" s="50"/>
    </row>
    <row r="8179" spans="3:12" x14ac:dyDescent="0.3">
      <c r="C8179" s="47"/>
      <c r="H8179" s="49"/>
      <c r="K8179" s="72"/>
      <c r="L8179" s="50"/>
    </row>
    <row r="8180" spans="3:12" x14ac:dyDescent="0.3">
      <c r="C8180" s="47"/>
      <c r="H8180" s="49"/>
      <c r="K8180" s="72"/>
      <c r="L8180" s="50"/>
    </row>
    <row r="8181" spans="3:12" x14ac:dyDescent="0.3">
      <c r="C8181" s="47"/>
      <c r="H8181" s="49"/>
      <c r="K8181" s="72"/>
      <c r="L8181" s="50"/>
    </row>
    <row r="8182" spans="3:12" x14ac:dyDescent="0.3">
      <c r="C8182" s="47"/>
      <c r="H8182" s="49"/>
      <c r="K8182" s="72"/>
      <c r="L8182" s="50"/>
    </row>
    <row r="8183" spans="3:12" x14ac:dyDescent="0.3">
      <c r="C8183" s="47"/>
      <c r="H8183" s="49"/>
      <c r="K8183" s="72"/>
      <c r="L8183" s="50"/>
    </row>
    <row r="8184" spans="3:12" x14ac:dyDescent="0.3">
      <c r="C8184" s="47"/>
      <c r="H8184" s="49"/>
      <c r="K8184" s="72"/>
      <c r="L8184" s="50"/>
    </row>
    <row r="8185" spans="3:12" x14ac:dyDescent="0.3">
      <c r="C8185" s="47"/>
      <c r="H8185" s="49"/>
      <c r="K8185" s="72"/>
      <c r="L8185" s="50"/>
    </row>
    <row r="8186" spans="3:12" x14ac:dyDescent="0.3">
      <c r="C8186" s="47"/>
      <c r="H8186" s="49"/>
      <c r="K8186" s="72"/>
      <c r="L8186" s="50"/>
    </row>
    <row r="8187" spans="3:12" x14ac:dyDescent="0.3">
      <c r="C8187" s="47"/>
      <c r="H8187" s="49"/>
      <c r="K8187" s="72"/>
      <c r="L8187" s="50"/>
    </row>
    <row r="8188" spans="3:12" x14ac:dyDescent="0.3">
      <c r="C8188" s="47"/>
      <c r="H8188" s="49"/>
      <c r="K8188" s="72"/>
      <c r="L8188" s="50"/>
    </row>
    <row r="8189" spans="3:12" x14ac:dyDescent="0.3">
      <c r="C8189" s="47"/>
      <c r="H8189" s="49"/>
      <c r="K8189" s="72"/>
      <c r="L8189" s="50"/>
    </row>
    <row r="8190" spans="3:12" x14ac:dyDescent="0.3">
      <c r="C8190" s="47"/>
      <c r="H8190" s="49"/>
      <c r="K8190" s="72"/>
      <c r="L8190" s="50"/>
    </row>
    <row r="8191" spans="3:12" x14ac:dyDescent="0.3">
      <c r="C8191" s="47"/>
      <c r="H8191" s="49"/>
      <c r="K8191" s="72"/>
      <c r="L8191" s="50"/>
    </row>
    <row r="8192" spans="3:12" x14ac:dyDescent="0.3">
      <c r="C8192" s="47"/>
      <c r="H8192" s="49"/>
      <c r="K8192" s="72"/>
      <c r="L8192" s="50"/>
    </row>
    <row r="8193" spans="3:12" x14ac:dyDescent="0.3">
      <c r="C8193" s="47"/>
      <c r="H8193" s="49"/>
      <c r="K8193" s="72"/>
      <c r="L8193" s="50"/>
    </row>
    <row r="8194" spans="3:12" x14ac:dyDescent="0.3">
      <c r="C8194" s="47"/>
      <c r="H8194" s="49"/>
      <c r="K8194" s="72"/>
      <c r="L8194" s="50"/>
    </row>
    <row r="8195" spans="3:12" x14ac:dyDescent="0.3">
      <c r="C8195" s="47"/>
      <c r="H8195" s="49"/>
      <c r="K8195" s="72"/>
      <c r="L8195" s="50"/>
    </row>
    <row r="8196" spans="3:12" x14ac:dyDescent="0.3">
      <c r="C8196" s="47"/>
      <c r="H8196" s="49"/>
      <c r="K8196" s="72"/>
      <c r="L8196" s="50"/>
    </row>
    <row r="8197" spans="3:12" x14ac:dyDescent="0.3">
      <c r="C8197" s="47"/>
      <c r="H8197" s="49"/>
      <c r="K8197" s="72"/>
      <c r="L8197" s="50"/>
    </row>
    <row r="8198" spans="3:12" x14ac:dyDescent="0.3">
      <c r="C8198" s="47"/>
      <c r="H8198" s="49"/>
      <c r="K8198" s="72"/>
      <c r="L8198" s="50"/>
    </row>
    <row r="8199" spans="3:12" x14ac:dyDescent="0.3">
      <c r="C8199" s="47"/>
      <c r="H8199" s="49"/>
      <c r="K8199" s="72"/>
      <c r="L8199" s="50"/>
    </row>
    <row r="8200" spans="3:12" x14ac:dyDescent="0.3">
      <c r="C8200" s="47"/>
      <c r="H8200" s="49"/>
      <c r="K8200" s="72"/>
      <c r="L8200" s="50"/>
    </row>
    <row r="8201" spans="3:12" x14ac:dyDescent="0.3">
      <c r="C8201" s="47"/>
      <c r="H8201" s="49"/>
      <c r="K8201" s="72"/>
      <c r="L8201" s="50"/>
    </row>
    <row r="8202" spans="3:12" x14ac:dyDescent="0.3">
      <c r="C8202" s="47"/>
      <c r="H8202" s="49"/>
      <c r="K8202" s="72"/>
      <c r="L8202" s="50"/>
    </row>
    <row r="8203" spans="3:12" x14ac:dyDescent="0.3">
      <c r="C8203" s="47"/>
      <c r="H8203" s="49"/>
      <c r="K8203" s="72"/>
      <c r="L8203" s="50"/>
    </row>
    <row r="8204" spans="3:12" x14ac:dyDescent="0.3">
      <c r="C8204" s="47"/>
      <c r="H8204" s="49"/>
      <c r="K8204" s="72"/>
      <c r="L8204" s="50"/>
    </row>
    <row r="8205" spans="3:12" x14ac:dyDescent="0.3">
      <c r="C8205" s="47"/>
      <c r="H8205" s="49"/>
      <c r="K8205" s="72"/>
      <c r="L8205" s="50"/>
    </row>
    <row r="8206" spans="3:12" x14ac:dyDescent="0.3">
      <c r="C8206" s="47"/>
      <c r="H8206" s="49"/>
      <c r="K8206" s="72"/>
      <c r="L8206" s="50"/>
    </row>
    <row r="8207" spans="3:12" x14ac:dyDescent="0.3">
      <c r="C8207" s="47"/>
      <c r="H8207" s="49"/>
      <c r="K8207" s="72"/>
      <c r="L8207" s="50"/>
    </row>
    <row r="8208" spans="3:12" x14ac:dyDescent="0.3">
      <c r="C8208" s="47"/>
      <c r="H8208" s="49"/>
      <c r="K8208" s="72"/>
      <c r="L8208" s="50"/>
    </row>
    <row r="8209" spans="3:12" x14ac:dyDescent="0.3">
      <c r="C8209" s="47"/>
      <c r="H8209" s="49"/>
      <c r="K8209" s="72"/>
      <c r="L8209" s="50"/>
    </row>
    <row r="8210" spans="3:12" x14ac:dyDescent="0.3">
      <c r="C8210" s="47"/>
      <c r="H8210" s="49"/>
      <c r="K8210" s="72"/>
      <c r="L8210" s="50"/>
    </row>
    <row r="8211" spans="3:12" x14ac:dyDescent="0.3">
      <c r="C8211" s="47"/>
      <c r="H8211" s="49"/>
      <c r="K8211" s="72"/>
      <c r="L8211" s="50"/>
    </row>
    <row r="8212" spans="3:12" x14ac:dyDescent="0.3">
      <c r="C8212" s="47"/>
      <c r="H8212" s="49"/>
      <c r="K8212" s="72"/>
      <c r="L8212" s="50"/>
    </row>
    <row r="8213" spans="3:12" x14ac:dyDescent="0.3">
      <c r="C8213" s="47"/>
      <c r="H8213" s="49"/>
      <c r="K8213" s="72"/>
      <c r="L8213" s="50"/>
    </row>
    <row r="8214" spans="3:12" x14ac:dyDescent="0.3">
      <c r="C8214" s="47"/>
      <c r="H8214" s="49"/>
      <c r="K8214" s="72"/>
      <c r="L8214" s="50"/>
    </row>
    <row r="8215" spans="3:12" x14ac:dyDescent="0.3">
      <c r="C8215" s="47"/>
      <c r="H8215" s="49"/>
      <c r="K8215" s="72"/>
      <c r="L8215" s="50"/>
    </row>
    <row r="8216" spans="3:12" x14ac:dyDescent="0.3">
      <c r="C8216" s="47"/>
      <c r="H8216" s="49"/>
      <c r="K8216" s="72"/>
      <c r="L8216" s="50"/>
    </row>
    <row r="8217" spans="3:12" x14ac:dyDescent="0.3">
      <c r="C8217" s="47"/>
      <c r="H8217" s="49"/>
      <c r="K8217" s="72"/>
      <c r="L8217" s="50"/>
    </row>
    <row r="8218" spans="3:12" x14ac:dyDescent="0.3">
      <c r="C8218" s="47"/>
      <c r="H8218" s="49"/>
      <c r="K8218" s="72"/>
      <c r="L8218" s="50"/>
    </row>
    <row r="8219" spans="3:12" x14ac:dyDescent="0.3">
      <c r="C8219" s="47"/>
      <c r="H8219" s="49"/>
      <c r="K8219" s="72"/>
      <c r="L8219" s="50"/>
    </row>
    <row r="8220" spans="3:12" x14ac:dyDescent="0.3">
      <c r="C8220" s="47"/>
      <c r="H8220" s="49"/>
      <c r="K8220" s="72"/>
      <c r="L8220" s="50"/>
    </row>
    <row r="8221" spans="3:12" x14ac:dyDescent="0.3">
      <c r="C8221" s="47"/>
      <c r="H8221" s="49"/>
      <c r="K8221" s="72"/>
      <c r="L8221" s="50"/>
    </row>
    <row r="8222" spans="3:12" x14ac:dyDescent="0.3">
      <c r="C8222" s="47"/>
      <c r="H8222" s="49"/>
      <c r="K8222" s="72"/>
      <c r="L8222" s="50"/>
    </row>
    <row r="8223" spans="3:12" x14ac:dyDescent="0.3">
      <c r="C8223" s="47"/>
      <c r="H8223" s="49"/>
      <c r="K8223" s="72"/>
      <c r="L8223" s="50"/>
    </row>
    <row r="8224" spans="3:12" x14ac:dyDescent="0.3">
      <c r="C8224" s="47"/>
      <c r="H8224" s="49"/>
      <c r="K8224" s="72"/>
      <c r="L8224" s="50"/>
    </row>
    <row r="8225" spans="3:12" x14ac:dyDescent="0.3">
      <c r="C8225" s="47"/>
      <c r="H8225" s="49"/>
      <c r="K8225" s="72"/>
      <c r="L8225" s="50"/>
    </row>
    <row r="8226" spans="3:12" x14ac:dyDescent="0.3">
      <c r="C8226" s="47"/>
      <c r="H8226" s="49"/>
      <c r="K8226" s="72"/>
      <c r="L8226" s="50"/>
    </row>
    <row r="8227" spans="3:12" x14ac:dyDescent="0.3">
      <c r="C8227" s="47"/>
      <c r="H8227" s="49"/>
      <c r="K8227" s="72"/>
      <c r="L8227" s="50"/>
    </row>
    <row r="8228" spans="3:12" x14ac:dyDescent="0.3">
      <c r="C8228" s="47"/>
      <c r="H8228" s="49"/>
      <c r="K8228" s="72"/>
      <c r="L8228" s="50"/>
    </row>
    <row r="8229" spans="3:12" x14ac:dyDescent="0.3">
      <c r="C8229" s="47"/>
      <c r="H8229" s="49"/>
      <c r="K8229" s="72"/>
      <c r="L8229" s="50"/>
    </row>
    <row r="8230" spans="3:12" x14ac:dyDescent="0.3">
      <c r="C8230" s="47"/>
      <c r="H8230" s="49"/>
      <c r="K8230" s="72"/>
      <c r="L8230" s="50"/>
    </row>
    <row r="8231" spans="3:12" x14ac:dyDescent="0.3">
      <c r="C8231" s="47"/>
      <c r="H8231" s="49"/>
      <c r="K8231" s="72"/>
      <c r="L8231" s="50"/>
    </row>
    <row r="8232" spans="3:12" x14ac:dyDescent="0.3">
      <c r="C8232" s="47"/>
      <c r="H8232" s="49"/>
      <c r="K8232" s="72"/>
      <c r="L8232" s="50"/>
    </row>
    <row r="8233" spans="3:12" x14ac:dyDescent="0.3">
      <c r="C8233" s="47"/>
      <c r="H8233" s="49"/>
      <c r="K8233" s="72"/>
      <c r="L8233" s="50"/>
    </row>
    <row r="8234" spans="3:12" x14ac:dyDescent="0.3">
      <c r="C8234" s="47"/>
      <c r="H8234" s="49"/>
      <c r="K8234" s="72"/>
      <c r="L8234" s="50"/>
    </row>
    <row r="8235" spans="3:12" x14ac:dyDescent="0.3">
      <c r="C8235" s="47"/>
      <c r="H8235" s="49"/>
      <c r="K8235" s="72"/>
      <c r="L8235" s="50"/>
    </row>
    <row r="8236" spans="3:12" x14ac:dyDescent="0.3">
      <c r="C8236" s="47"/>
      <c r="H8236" s="49"/>
      <c r="K8236" s="72"/>
      <c r="L8236" s="50"/>
    </row>
    <row r="8237" spans="3:12" x14ac:dyDescent="0.3">
      <c r="C8237" s="47"/>
      <c r="H8237" s="49"/>
      <c r="K8237" s="72"/>
      <c r="L8237" s="50"/>
    </row>
    <row r="8238" spans="3:12" x14ac:dyDescent="0.3">
      <c r="C8238" s="47"/>
      <c r="H8238" s="49"/>
      <c r="K8238" s="72"/>
      <c r="L8238" s="50"/>
    </row>
    <row r="8239" spans="3:12" x14ac:dyDescent="0.3">
      <c r="C8239" s="47"/>
      <c r="H8239" s="49"/>
      <c r="K8239" s="72"/>
      <c r="L8239" s="50"/>
    </row>
    <row r="8240" spans="3:12" x14ac:dyDescent="0.3">
      <c r="C8240" s="47"/>
      <c r="H8240" s="49"/>
      <c r="K8240" s="72"/>
      <c r="L8240" s="50"/>
    </row>
    <row r="8241" spans="3:12" x14ac:dyDescent="0.3">
      <c r="C8241" s="47"/>
      <c r="H8241" s="49"/>
      <c r="K8241" s="72"/>
      <c r="L8241" s="50"/>
    </row>
    <row r="8242" spans="3:12" x14ac:dyDescent="0.3">
      <c r="C8242" s="47"/>
      <c r="H8242" s="49"/>
      <c r="K8242" s="72"/>
      <c r="L8242" s="50"/>
    </row>
    <row r="8243" spans="3:12" x14ac:dyDescent="0.3">
      <c r="C8243" s="47"/>
      <c r="H8243" s="49"/>
      <c r="K8243" s="72"/>
      <c r="L8243" s="50"/>
    </row>
    <row r="8244" spans="3:12" x14ac:dyDescent="0.3">
      <c r="C8244" s="47"/>
      <c r="H8244" s="49"/>
      <c r="K8244" s="72"/>
      <c r="L8244" s="50"/>
    </row>
    <row r="8245" spans="3:12" x14ac:dyDescent="0.3">
      <c r="C8245" s="47"/>
      <c r="H8245" s="49"/>
      <c r="K8245" s="72"/>
      <c r="L8245" s="50"/>
    </row>
    <row r="8246" spans="3:12" x14ac:dyDescent="0.3">
      <c r="C8246" s="47"/>
      <c r="H8246" s="49"/>
      <c r="K8246" s="72"/>
      <c r="L8246" s="50"/>
    </row>
    <row r="8247" spans="3:12" x14ac:dyDescent="0.3">
      <c r="C8247" s="47"/>
      <c r="H8247" s="49"/>
      <c r="K8247" s="72"/>
      <c r="L8247" s="50"/>
    </row>
    <row r="8248" spans="3:12" x14ac:dyDescent="0.3">
      <c r="C8248" s="47"/>
      <c r="H8248" s="49"/>
      <c r="K8248" s="72"/>
      <c r="L8248" s="50"/>
    </row>
    <row r="8249" spans="3:12" x14ac:dyDescent="0.3">
      <c r="C8249" s="47"/>
      <c r="H8249" s="49"/>
      <c r="K8249" s="72"/>
      <c r="L8249" s="50"/>
    </row>
    <row r="8250" spans="3:12" x14ac:dyDescent="0.3">
      <c r="C8250" s="47"/>
      <c r="H8250" s="49"/>
      <c r="K8250" s="72"/>
      <c r="L8250" s="50"/>
    </row>
    <row r="8251" spans="3:12" x14ac:dyDescent="0.3">
      <c r="C8251" s="47"/>
      <c r="H8251" s="49"/>
      <c r="K8251" s="72"/>
      <c r="L8251" s="50"/>
    </row>
    <row r="8252" spans="3:12" x14ac:dyDescent="0.3">
      <c r="C8252" s="47"/>
      <c r="H8252" s="49"/>
      <c r="K8252" s="72"/>
      <c r="L8252" s="50"/>
    </row>
    <row r="8253" spans="3:12" x14ac:dyDescent="0.3">
      <c r="C8253" s="47"/>
      <c r="H8253" s="49"/>
      <c r="K8253" s="72"/>
      <c r="L8253" s="50"/>
    </row>
    <row r="8254" spans="3:12" x14ac:dyDescent="0.3">
      <c r="C8254" s="47"/>
      <c r="H8254" s="49"/>
      <c r="K8254" s="72"/>
      <c r="L8254" s="50"/>
    </row>
    <row r="8255" spans="3:12" x14ac:dyDescent="0.3">
      <c r="C8255" s="47"/>
      <c r="H8255" s="49"/>
      <c r="K8255" s="72"/>
      <c r="L8255" s="50"/>
    </row>
    <row r="8256" spans="3:12" x14ac:dyDescent="0.3">
      <c r="C8256" s="47"/>
      <c r="H8256" s="49"/>
      <c r="K8256" s="72"/>
      <c r="L8256" s="50"/>
    </row>
    <row r="8257" spans="3:12" x14ac:dyDescent="0.3">
      <c r="C8257" s="47"/>
      <c r="H8257" s="49"/>
      <c r="K8257" s="72"/>
      <c r="L8257" s="50"/>
    </row>
    <row r="8258" spans="3:12" x14ac:dyDescent="0.3">
      <c r="C8258" s="47"/>
      <c r="H8258" s="49"/>
      <c r="K8258" s="72"/>
      <c r="L8258" s="50"/>
    </row>
    <row r="8259" spans="3:12" x14ac:dyDescent="0.3">
      <c r="C8259" s="47"/>
      <c r="H8259" s="49"/>
      <c r="K8259" s="72"/>
      <c r="L8259" s="50"/>
    </row>
    <row r="8260" spans="3:12" x14ac:dyDescent="0.3">
      <c r="C8260" s="47"/>
      <c r="H8260" s="49"/>
      <c r="K8260" s="72"/>
      <c r="L8260" s="50"/>
    </row>
    <row r="8261" spans="3:12" x14ac:dyDescent="0.3">
      <c r="C8261" s="47"/>
      <c r="H8261" s="49"/>
      <c r="K8261" s="72"/>
      <c r="L8261" s="50"/>
    </row>
    <row r="8262" spans="3:12" x14ac:dyDescent="0.3">
      <c r="C8262" s="47"/>
      <c r="H8262" s="49"/>
      <c r="K8262" s="72"/>
      <c r="L8262" s="50"/>
    </row>
    <row r="8263" spans="3:12" x14ac:dyDescent="0.3">
      <c r="C8263" s="47"/>
      <c r="H8263" s="49"/>
      <c r="K8263" s="72"/>
      <c r="L8263" s="50"/>
    </row>
    <row r="8264" spans="3:12" x14ac:dyDescent="0.3">
      <c r="C8264" s="47"/>
      <c r="H8264" s="49"/>
      <c r="K8264" s="72"/>
      <c r="L8264" s="50"/>
    </row>
    <row r="8265" spans="3:12" x14ac:dyDescent="0.3">
      <c r="C8265" s="47"/>
      <c r="H8265" s="49"/>
      <c r="K8265" s="72"/>
      <c r="L8265" s="50"/>
    </row>
    <row r="8266" spans="3:12" x14ac:dyDescent="0.3">
      <c r="C8266" s="47"/>
      <c r="H8266" s="49"/>
      <c r="K8266" s="72"/>
      <c r="L8266" s="50"/>
    </row>
    <row r="8267" spans="3:12" x14ac:dyDescent="0.3">
      <c r="C8267" s="47"/>
      <c r="H8267" s="49"/>
      <c r="K8267" s="72"/>
      <c r="L8267" s="50"/>
    </row>
    <row r="8268" spans="3:12" x14ac:dyDescent="0.3">
      <c r="C8268" s="47"/>
      <c r="H8268" s="49"/>
      <c r="K8268" s="72"/>
      <c r="L8268" s="50"/>
    </row>
    <row r="8269" spans="3:12" x14ac:dyDescent="0.3">
      <c r="C8269" s="47"/>
      <c r="H8269" s="49"/>
      <c r="K8269" s="72"/>
      <c r="L8269" s="50"/>
    </row>
    <row r="8270" spans="3:12" x14ac:dyDescent="0.3">
      <c r="C8270" s="47"/>
      <c r="H8270" s="49"/>
      <c r="K8270" s="72"/>
      <c r="L8270" s="50"/>
    </row>
    <row r="8271" spans="3:12" x14ac:dyDescent="0.3">
      <c r="C8271" s="47"/>
      <c r="H8271" s="49"/>
      <c r="K8271" s="72"/>
      <c r="L8271" s="50"/>
    </row>
    <row r="8272" spans="3:12" x14ac:dyDescent="0.3">
      <c r="C8272" s="47"/>
      <c r="H8272" s="49"/>
      <c r="K8272" s="72"/>
      <c r="L8272" s="50"/>
    </row>
    <row r="8273" spans="3:12" x14ac:dyDescent="0.3">
      <c r="C8273" s="47"/>
      <c r="H8273" s="49"/>
      <c r="K8273" s="72"/>
      <c r="L8273" s="50"/>
    </row>
    <row r="8274" spans="3:12" x14ac:dyDescent="0.3">
      <c r="C8274" s="47"/>
      <c r="H8274" s="49"/>
      <c r="K8274" s="72"/>
      <c r="L8274" s="50"/>
    </row>
    <row r="8275" spans="3:12" x14ac:dyDescent="0.3">
      <c r="C8275" s="47"/>
      <c r="H8275" s="49"/>
      <c r="K8275" s="72"/>
      <c r="L8275" s="50"/>
    </row>
    <row r="8276" spans="3:12" x14ac:dyDescent="0.3">
      <c r="C8276" s="47"/>
      <c r="H8276" s="49"/>
      <c r="K8276" s="72"/>
      <c r="L8276" s="50"/>
    </row>
    <row r="8277" spans="3:12" x14ac:dyDescent="0.3">
      <c r="C8277" s="47"/>
      <c r="H8277" s="49"/>
      <c r="K8277" s="72"/>
      <c r="L8277" s="50"/>
    </row>
    <row r="8278" spans="3:12" x14ac:dyDescent="0.3">
      <c r="C8278" s="47"/>
      <c r="H8278" s="49"/>
      <c r="K8278" s="72"/>
      <c r="L8278" s="50"/>
    </row>
    <row r="8279" spans="3:12" x14ac:dyDescent="0.3">
      <c r="C8279" s="47"/>
      <c r="H8279" s="49"/>
      <c r="K8279" s="72"/>
      <c r="L8279" s="50"/>
    </row>
    <row r="8280" spans="3:12" x14ac:dyDescent="0.3">
      <c r="C8280" s="47"/>
      <c r="H8280" s="49"/>
      <c r="K8280" s="72"/>
      <c r="L8280" s="50"/>
    </row>
    <row r="8281" spans="3:12" x14ac:dyDescent="0.3">
      <c r="C8281" s="47"/>
      <c r="H8281" s="49"/>
      <c r="K8281" s="72"/>
      <c r="L8281" s="50"/>
    </row>
    <row r="8282" spans="3:12" x14ac:dyDescent="0.3">
      <c r="C8282" s="47"/>
      <c r="H8282" s="49"/>
      <c r="K8282" s="72"/>
      <c r="L8282" s="50"/>
    </row>
    <row r="8283" spans="3:12" x14ac:dyDescent="0.3">
      <c r="C8283" s="47"/>
      <c r="H8283" s="49"/>
      <c r="K8283" s="72"/>
      <c r="L8283" s="50"/>
    </row>
    <row r="8284" spans="3:12" x14ac:dyDescent="0.3">
      <c r="C8284" s="47"/>
      <c r="H8284" s="49"/>
      <c r="K8284" s="72"/>
      <c r="L8284" s="50"/>
    </row>
    <row r="8285" spans="3:12" x14ac:dyDescent="0.3">
      <c r="C8285" s="47"/>
      <c r="H8285" s="49"/>
      <c r="K8285" s="72"/>
      <c r="L8285" s="50"/>
    </row>
    <row r="8286" spans="3:12" x14ac:dyDescent="0.3">
      <c r="C8286" s="47"/>
      <c r="H8286" s="49"/>
      <c r="K8286" s="72"/>
      <c r="L8286" s="50"/>
    </row>
    <row r="8287" spans="3:12" x14ac:dyDescent="0.3">
      <c r="C8287" s="47"/>
      <c r="H8287" s="49"/>
      <c r="K8287" s="72"/>
      <c r="L8287" s="50"/>
    </row>
    <row r="8288" spans="3:12" x14ac:dyDescent="0.3">
      <c r="C8288" s="47"/>
      <c r="H8288" s="49"/>
      <c r="K8288" s="72"/>
      <c r="L8288" s="50"/>
    </row>
    <row r="8289" spans="3:12" x14ac:dyDescent="0.3">
      <c r="C8289" s="47"/>
      <c r="H8289" s="49"/>
      <c r="K8289" s="72"/>
      <c r="L8289" s="50"/>
    </row>
    <row r="8290" spans="3:12" x14ac:dyDescent="0.3">
      <c r="C8290" s="47"/>
      <c r="H8290" s="49"/>
      <c r="K8290" s="72"/>
      <c r="L8290" s="50"/>
    </row>
    <row r="8291" spans="3:12" x14ac:dyDescent="0.3">
      <c r="C8291" s="47"/>
      <c r="H8291" s="49"/>
      <c r="K8291" s="72"/>
      <c r="L8291" s="50"/>
    </row>
    <row r="8292" spans="3:12" x14ac:dyDescent="0.3">
      <c r="C8292" s="47"/>
      <c r="H8292" s="49"/>
      <c r="K8292" s="72"/>
      <c r="L8292" s="50"/>
    </row>
    <row r="8293" spans="3:12" x14ac:dyDescent="0.3">
      <c r="C8293" s="47"/>
      <c r="H8293" s="49"/>
      <c r="K8293" s="72"/>
      <c r="L8293" s="50"/>
    </row>
    <row r="8294" spans="3:12" x14ac:dyDescent="0.3">
      <c r="C8294" s="47"/>
      <c r="H8294" s="49"/>
      <c r="K8294" s="72"/>
      <c r="L8294" s="50"/>
    </row>
    <row r="8295" spans="3:12" x14ac:dyDescent="0.3">
      <c r="C8295" s="47"/>
      <c r="H8295" s="49"/>
      <c r="K8295" s="72"/>
      <c r="L8295" s="50"/>
    </row>
    <row r="8296" spans="3:12" x14ac:dyDescent="0.3">
      <c r="C8296" s="47"/>
      <c r="H8296" s="49"/>
      <c r="K8296" s="72"/>
      <c r="L8296" s="50"/>
    </row>
    <row r="8297" spans="3:12" x14ac:dyDescent="0.3">
      <c r="C8297" s="47"/>
      <c r="H8297" s="49"/>
      <c r="K8297" s="72"/>
      <c r="L8297" s="50"/>
    </row>
    <row r="8298" spans="3:12" x14ac:dyDescent="0.3">
      <c r="C8298" s="47"/>
      <c r="H8298" s="49"/>
      <c r="K8298" s="72"/>
      <c r="L8298" s="50"/>
    </row>
    <row r="8299" spans="3:12" x14ac:dyDescent="0.3">
      <c r="C8299" s="47"/>
      <c r="H8299" s="49"/>
      <c r="K8299" s="72"/>
      <c r="L8299" s="50"/>
    </row>
    <row r="8300" spans="3:12" x14ac:dyDescent="0.3">
      <c r="C8300" s="47"/>
      <c r="H8300" s="49"/>
      <c r="K8300" s="72"/>
      <c r="L8300" s="50"/>
    </row>
    <row r="8301" spans="3:12" x14ac:dyDescent="0.3">
      <c r="C8301" s="47"/>
      <c r="H8301" s="49"/>
      <c r="K8301" s="72"/>
      <c r="L8301" s="50"/>
    </row>
    <row r="8302" spans="3:12" x14ac:dyDescent="0.3">
      <c r="C8302" s="47"/>
      <c r="H8302" s="49"/>
      <c r="K8302" s="72"/>
      <c r="L8302" s="50"/>
    </row>
    <row r="8303" spans="3:12" x14ac:dyDescent="0.3">
      <c r="C8303" s="47"/>
      <c r="H8303" s="49"/>
      <c r="K8303" s="72"/>
      <c r="L8303" s="50"/>
    </row>
    <row r="8304" spans="3:12" x14ac:dyDescent="0.3">
      <c r="C8304" s="47"/>
      <c r="H8304" s="49"/>
      <c r="K8304" s="72"/>
      <c r="L8304" s="50"/>
    </row>
    <row r="8305" spans="3:12" x14ac:dyDescent="0.3">
      <c r="C8305" s="47"/>
      <c r="H8305" s="49"/>
      <c r="K8305" s="72"/>
      <c r="L8305" s="50"/>
    </row>
    <row r="8306" spans="3:12" x14ac:dyDescent="0.3">
      <c r="C8306" s="47"/>
      <c r="H8306" s="49"/>
      <c r="K8306" s="72"/>
      <c r="L8306" s="50"/>
    </row>
    <row r="8307" spans="3:12" x14ac:dyDescent="0.3">
      <c r="C8307" s="47"/>
      <c r="H8307" s="49"/>
      <c r="K8307" s="72"/>
      <c r="L8307" s="50"/>
    </row>
    <row r="8308" spans="3:12" x14ac:dyDescent="0.3">
      <c r="C8308" s="47"/>
      <c r="H8308" s="49"/>
      <c r="K8308" s="72"/>
      <c r="L8308" s="50"/>
    </row>
    <row r="8309" spans="3:12" x14ac:dyDescent="0.3">
      <c r="C8309" s="47"/>
      <c r="H8309" s="49"/>
      <c r="K8309" s="72"/>
      <c r="L8309" s="50"/>
    </row>
    <row r="8310" spans="3:12" x14ac:dyDescent="0.3">
      <c r="C8310" s="47"/>
      <c r="H8310" s="49"/>
      <c r="K8310" s="72"/>
      <c r="L8310" s="50"/>
    </row>
    <row r="8311" spans="3:12" x14ac:dyDescent="0.3">
      <c r="C8311" s="47"/>
      <c r="H8311" s="49"/>
      <c r="K8311" s="72"/>
      <c r="L8311" s="50"/>
    </row>
    <row r="8312" spans="3:12" x14ac:dyDescent="0.3">
      <c r="C8312" s="47"/>
      <c r="H8312" s="49"/>
      <c r="K8312" s="72"/>
      <c r="L8312" s="50"/>
    </row>
    <row r="8313" spans="3:12" x14ac:dyDescent="0.3">
      <c r="C8313" s="47"/>
      <c r="H8313" s="49"/>
      <c r="K8313" s="72"/>
      <c r="L8313" s="50"/>
    </row>
    <row r="8314" spans="3:12" x14ac:dyDescent="0.3">
      <c r="C8314" s="47"/>
      <c r="H8314" s="49"/>
      <c r="K8314" s="72"/>
      <c r="L8314" s="50"/>
    </row>
    <row r="8315" spans="3:12" x14ac:dyDescent="0.3">
      <c r="C8315" s="47"/>
      <c r="H8315" s="49"/>
      <c r="K8315" s="72"/>
      <c r="L8315" s="50"/>
    </row>
    <row r="8316" spans="3:12" x14ac:dyDescent="0.3">
      <c r="C8316" s="47"/>
      <c r="H8316" s="49"/>
      <c r="K8316" s="72"/>
      <c r="L8316" s="50"/>
    </row>
    <row r="8317" spans="3:12" x14ac:dyDescent="0.3">
      <c r="C8317" s="47"/>
      <c r="H8317" s="49"/>
      <c r="K8317" s="72"/>
      <c r="L8317" s="50"/>
    </row>
    <row r="8318" spans="3:12" x14ac:dyDescent="0.3">
      <c r="C8318" s="47"/>
      <c r="H8318" s="49"/>
      <c r="K8318" s="72"/>
      <c r="L8318" s="50"/>
    </row>
    <row r="8319" spans="3:12" x14ac:dyDescent="0.3">
      <c r="C8319" s="47"/>
      <c r="H8319" s="49"/>
      <c r="K8319" s="72"/>
      <c r="L8319" s="50"/>
    </row>
    <row r="8320" spans="3:12" x14ac:dyDescent="0.3">
      <c r="C8320" s="47"/>
      <c r="H8320" s="49"/>
      <c r="K8320" s="72"/>
      <c r="L8320" s="50"/>
    </row>
    <row r="8321" spans="3:12" x14ac:dyDescent="0.3">
      <c r="C8321" s="47"/>
      <c r="H8321" s="49"/>
      <c r="K8321" s="72"/>
      <c r="L8321" s="50"/>
    </row>
    <row r="8322" spans="3:12" x14ac:dyDescent="0.3">
      <c r="C8322" s="47"/>
      <c r="H8322" s="49"/>
      <c r="K8322" s="72"/>
      <c r="L8322" s="50"/>
    </row>
    <row r="8323" spans="3:12" x14ac:dyDescent="0.3">
      <c r="C8323" s="47"/>
      <c r="H8323" s="49"/>
      <c r="K8323" s="72"/>
      <c r="L8323" s="50"/>
    </row>
    <row r="8324" spans="3:12" x14ac:dyDescent="0.3">
      <c r="C8324" s="47"/>
      <c r="H8324" s="49"/>
      <c r="K8324" s="72"/>
      <c r="L8324" s="50"/>
    </row>
    <row r="8325" spans="3:12" x14ac:dyDescent="0.3">
      <c r="C8325" s="47"/>
      <c r="H8325" s="49"/>
      <c r="K8325" s="72"/>
      <c r="L8325" s="50"/>
    </row>
    <row r="8326" spans="3:12" x14ac:dyDescent="0.3">
      <c r="C8326" s="47"/>
      <c r="H8326" s="49"/>
      <c r="K8326" s="72"/>
      <c r="L8326" s="50"/>
    </row>
    <row r="8327" spans="3:12" x14ac:dyDescent="0.3">
      <c r="C8327" s="47"/>
      <c r="H8327" s="49"/>
      <c r="K8327" s="72"/>
      <c r="L8327" s="50"/>
    </row>
    <row r="8328" spans="3:12" x14ac:dyDescent="0.3">
      <c r="C8328" s="47"/>
      <c r="H8328" s="49"/>
      <c r="K8328" s="72"/>
      <c r="L8328" s="50"/>
    </row>
    <row r="8329" spans="3:12" x14ac:dyDescent="0.3">
      <c r="C8329" s="47"/>
      <c r="H8329" s="49"/>
      <c r="K8329" s="72"/>
      <c r="L8329" s="50"/>
    </row>
    <row r="8330" spans="3:12" x14ac:dyDescent="0.3">
      <c r="C8330" s="47"/>
      <c r="H8330" s="49"/>
      <c r="K8330" s="72"/>
      <c r="L8330" s="50"/>
    </row>
    <row r="8331" spans="3:12" x14ac:dyDescent="0.3">
      <c r="C8331" s="47"/>
      <c r="H8331" s="49"/>
      <c r="K8331" s="72"/>
      <c r="L8331" s="50"/>
    </row>
    <row r="8332" spans="3:12" x14ac:dyDescent="0.3">
      <c r="C8332" s="47"/>
      <c r="H8332" s="49"/>
      <c r="K8332" s="72"/>
      <c r="L8332" s="50"/>
    </row>
    <row r="8333" spans="3:12" x14ac:dyDescent="0.3">
      <c r="C8333" s="47"/>
      <c r="H8333" s="49"/>
      <c r="K8333" s="72"/>
      <c r="L8333" s="50"/>
    </row>
    <row r="8334" spans="3:12" x14ac:dyDescent="0.3">
      <c r="C8334" s="47"/>
      <c r="H8334" s="49"/>
      <c r="K8334" s="72"/>
      <c r="L8334" s="50"/>
    </row>
    <row r="8335" spans="3:12" x14ac:dyDescent="0.3">
      <c r="C8335" s="47"/>
      <c r="H8335" s="49"/>
      <c r="K8335" s="72"/>
      <c r="L8335" s="50"/>
    </row>
    <row r="8336" spans="3:12" x14ac:dyDescent="0.3">
      <c r="C8336" s="47"/>
      <c r="H8336" s="49"/>
      <c r="K8336" s="72"/>
      <c r="L8336" s="50"/>
    </row>
    <row r="8337" spans="3:12" x14ac:dyDescent="0.3">
      <c r="C8337" s="47"/>
      <c r="H8337" s="49"/>
      <c r="K8337" s="72"/>
      <c r="L8337" s="50"/>
    </row>
    <row r="8338" spans="3:12" x14ac:dyDescent="0.3">
      <c r="C8338" s="47"/>
      <c r="H8338" s="49"/>
      <c r="K8338" s="72"/>
      <c r="L8338" s="50"/>
    </row>
    <row r="8339" spans="3:12" x14ac:dyDescent="0.3">
      <c r="C8339" s="47"/>
      <c r="H8339" s="49"/>
      <c r="K8339" s="72"/>
      <c r="L8339" s="50"/>
    </row>
    <row r="8340" spans="3:12" x14ac:dyDescent="0.3">
      <c r="C8340" s="47"/>
      <c r="H8340" s="49"/>
      <c r="K8340" s="72"/>
      <c r="L8340" s="50"/>
    </row>
    <row r="8341" spans="3:12" x14ac:dyDescent="0.3">
      <c r="C8341" s="47"/>
      <c r="H8341" s="49"/>
      <c r="K8341" s="72"/>
      <c r="L8341" s="50"/>
    </row>
    <row r="8342" spans="3:12" x14ac:dyDescent="0.3">
      <c r="C8342" s="47"/>
      <c r="H8342" s="49"/>
      <c r="K8342" s="72"/>
      <c r="L8342" s="50"/>
    </row>
    <row r="8343" spans="3:12" x14ac:dyDescent="0.3">
      <c r="C8343" s="47"/>
      <c r="H8343" s="49"/>
      <c r="K8343" s="72"/>
      <c r="L8343" s="50"/>
    </row>
    <row r="8344" spans="3:12" x14ac:dyDescent="0.3">
      <c r="C8344" s="47"/>
      <c r="H8344" s="49"/>
      <c r="K8344" s="72"/>
      <c r="L8344" s="50"/>
    </row>
    <row r="8345" spans="3:12" x14ac:dyDescent="0.3">
      <c r="C8345" s="47"/>
      <c r="H8345" s="49"/>
      <c r="K8345" s="72"/>
      <c r="L8345" s="50"/>
    </row>
    <row r="8346" spans="3:12" x14ac:dyDescent="0.3">
      <c r="C8346" s="47"/>
      <c r="H8346" s="49"/>
      <c r="K8346" s="72"/>
      <c r="L8346" s="50"/>
    </row>
    <row r="8347" spans="3:12" x14ac:dyDescent="0.3">
      <c r="C8347" s="47"/>
      <c r="H8347" s="49"/>
      <c r="K8347" s="72"/>
      <c r="L8347" s="50"/>
    </row>
    <row r="8348" spans="3:12" x14ac:dyDescent="0.3">
      <c r="C8348" s="47"/>
      <c r="H8348" s="49"/>
      <c r="K8348" s="72"/>
      <c r="L8348" s="50"/>
    </row>
    <row r="8349" spans="3:12" x14ac:dyDescent="0.3">
      <c r="C8349" s="47"/>
      <c r="H8349" s="49"/>
      <c r="K8349" s="72"/>
      <c r="L8349" s="50"/>
    </row>
    <row r="8350" spans="3:12" x14ac:dyDescent="0.3">
      <c r="C8350" s="47"/>
      <c r="H8350" s="49"/>
      <c r="K8350" s="72"/>
      <c r="L8350" s="50"/>
    </row>
    <row r="8351" spans="3:12" x14ac:dyDescent="0.3">
      <c r="C8351" s="47"/>
      <c r="H8351" s="49"/>
      <c r="K8351" s="72"/>
      <c r="L8351" s="50"/>
    </row>
    <row r="8352" spans="3:12" x14ac:dyDescent="0.3">
      <c r="C8352" s="47"/>
      <c r="H8352" s="49"/>
      <c r="K8352" s="72"/>
      <c r="L8352" s="50"/>
    </row>
    <row r="8353" spans="3:12" x14ac:dyDescent="0.3">
      <c r="C8353" s="47"/>
      <c r="H8353" s="49"/>
      <c r="K8353" s="72"/>
      <c r="L8353" s="50"/>
    </row>
    <row r="8354" spans="3:12" x14ac:dyDescent="0.3">
      <c r="C8354" s="47"/>
      <c r="H8354" s="49"/>
      <c r="K8354" s="72"/>
      <c r="L8354" s="50"/>
    </row>
    <row r="8355" spans="3:12" x14ac:dyDescent="0.3">
      <c r="C8355" s="47"/>
      <c r="H8355" s="49"/>
      <c r="K8355" s="72"/>
      <c r="L8355" s="50"/>
    </row>
    <row r="8356" spans="3:12" x14ac:dyDescent="0.3">
      <c r="C8356" s="47"/>
      <c r="H8356" s="49"/>
      <c r="K8356" s="72"/>
      <c r="L8356" s="50"/>
    </row>
    <row r="8357" spans="3:12" x14ac:dyDescent="0.3">
      <c r="C8357" s="47"/>
      <c r="H8357" s="49"/>
      <c r="K8357" s="72"/>
      <c r="L8357" s="50"/>
    </row>
    <row r="8358" spans="3:12" x14ac:dyDescent="0.3">
      <c r="C8358" s="47"/>
      <c r="H8358" s="49"/>
      <c r="K8358" s="72"/>
      <c r="L8358" s="50"/>
    </row>
    <row r="8359" spans="3:12" x14ac:dyDescent="0.3">
      <c r="C8359" s="47"/>
      <c r="H8359" s="49"/>
      <c r="K8359" s="72"/>
      <c r="L8359" s="50"/>
    </row>
    <row r="8360" spans="3:12" x14ac:dyDescent="0.3">
      <c r="C8360" s="47"/>
      <c r="H8360" s="49"/>
      <c r="K8360" s="72"/>
      <c r="L8360" s="50"/>
    </row>
    <row r="8361" spans="3:12" x14ac:dyDescent="0.3">
      <c r="C8361" s="47"/>
      <c r="H8361" s="49"/>
      <c r="K8361" s="72"/>
      <c r="L8361" s="50"/>
    </row>
    <row r="8362" spans="3:12" x14ac:dyDescent="0.3">
      <c r="C8362" s="47"/>
      <c r="H8362" s="49"/>
      <c r="K8362" s="72"/>
      <c r="L8362" s="50"/>
    </row>
    <row r="8363" spans="3:12" x14ac:dyDescent="0.3">
      <c r="C8363" s="47"/>
      <c r="H8363" s="49"/>
      <c r="K8363" s="72"/>
      <c r="L8363" s="50"/>
    </row>
    <row r="8364" spans="3:12" x14ac:dyDescent="0.3">
      <c r="C8364" s="47"/>
      <c r="H8364" s="49"/>
      <c r="K8364" s="72"/>
      <c r="L8364" s="50"/>
    </row>
    <row r="8365" spans="3:12" x14ac:dyDescent="0.3">
      <c r="C8365" s="47"/>
      <c r="H8365" s="49"/>
      <c r="K8365" s="72"/>
      <c r="L8365" s="50"/>
    </row>
    <row r="8366" spans="3:12" x14ac:dyDescent="0.3">
      <c r="C8366" s="47"/>
      <c r="H8366" s="49"/>
      <c r="K8366" s="72"/>
      <c r="L8366" s="50"/>
    </row>
    <row r="8367" spans="3:12" x14ac:dyDescent="0.3">
      <c r="C8367" s="47"/>
      <c r="H8367" s="49"/>
      <c r="K8367" s="72"/>
      <c r="L8367" s="50"/>
    </row>
    <row r="8368" spans="3:12" x14ac:dyDescent="0.3">
      <c r="C8368" s="47"/>
      <c r="H8368" s="49"/>
      <c r="K8368" s="72"/>
      <c r="L8368" s="50"/>
    </row>
    <row r="8369" spans="3:12" x14ac:dyDescent="0.3">
      <c r="C8369" s="47"/>
      <c r="H8369" s="49"/>
      <c r="K8369" s="72"/>
      <c r="L8369" s="50"/>
    </row>
    <row r="8370" spans="3:12" x14ac:dyDescent="0.3">
      <c r="C8370" s="47"/>
      <c r="H8370" s="49"/>
      <c r="K8370" s="72"/>
      <c r="L8370" s="50"/>
    </row>
    <row r="8371" spans="3:12" x14ac:dyDescent="0.3">
      <c r="C8371" s="47"/>
      <c r="H8371" s="49"/>
      <c r="K8371" s="72"/>
      <c r="L8371" s="50"/>
    </row>
    <row r="8372" spans="3:12" x14ac:dyDescent="0.3">
      <c r="C8372" s="47"/>
      <c r="H8372" s="49"/>
      <c r="K8372" s="72"/>
      <c r="L8372" s="50"/>
    </row>
    <row r="8373" spans="3:12" x14ac:dyDescent="0.3">
      <c r="C8373" s="47"/>
      <c r="H8373" s="49"/>
      <c r="K8373" s="72"/>
      <c r="L8373" s="50"/>
    </row>
    <row r="8374" spans="3:12" x14ac:dyDescent="0.3">
      <c r="C8374" s="47"/>
      <c r="H8374" s="49"/>
      <c r="K8374" s="72"/>
      <c r="L8374" s="50"/>
    </row>
    <row r="8375" spans="3:12" x14ac:dyDescent="0.3">
      <c r="C8375" s="47"/>
      <c r="H8375" s="49"/>
      <c r="K8375" s="72"/>
      <c r="L8375" s="50"/>
    </row>
    <row r="8376" spans="3:12" x14ac:dyDescent="0.3">
      <c r="C8376" s="47"/>
      <c r="H8376" s="49"/>
      <c r="K8376" s="72"/>
      <c r="L8376" s="50"/>
    </row>
    <row r="8377" spans="3:12" x14ac:dyDescent="0.3">
      <c r="C8377" s="47"/>
      <c r="H8377" s="49"/>
      <c r="K8377" s="72"/>
      <c r="L8377" s="50"/>
    </row>
    <row r="8378" spans="3:12" x14ac:dyDescent="0.3">
      <c r="C8378" s="47"/>
      <c r="H8378" s="49"/>
      <c r="K8378" s="72"/>
      <c r="L8378" s="50"/>
    </row>
    <row r="8379" spans="3:12" x14ac:dyDescent="0.3">
      <c r="C8379" s="47"/>
      <c r="H8379" s="49"/>
      <c r="K8379" s="72"/>
      <c r="L8379" s="50"/>
    </row>
    <row r="8380" spans="3:12" x14ac:dyDescent="0.3">
      <c r="C8380" s="47"/>
      <c r="H8380" s="49"/>
      <c r="K8380" s="72"/>
      <c r="L8380" s="50"/>
    </row>
    <row r="8381" spans="3:12" x14ac:dyDescent="0.3">
      <c r="C8381" s="47"/>
      <c r="H8381" s="49"/>
      <c r="K8381" s="72"/>
      <c r="L8381" s="50"/>
    </row>
    <row r="8382" spans="3:12" x14ac:dyDescent="0.3">
      <c r="C8382" s="47"/>
      <c r="H8382" s="49"/>
      <c r="K8382" s="72"/>
      <c r="L8382" s="50"/>
    </row>
    <row r="8383" spans="3:12" x14ac:dyDescent="0.3">
      <c r="C8383" s="47"/>
      <c r="H8383" s="49"/>
      <c r="K8383" s="72"/>
      <c r="L8383" s="50"/>
    </row>
    <row r="8384" spans="3:12" x14ac:dyDescent="0.3">
      <c r="C8384" s="47"/>
      <c r="H8384" s="49"/>
      <c r="K8384" s="72"/>
      <c r="L8384" s="50"/>
    </row>
    <row r="8385" spans="3:12" x14ac:dyDescent="0.3">
      <c r="C8385" s="47"/>
      <c r="H8385" s="49"/>
      <c r="K8385" s="72"/>
      <c r="L8385" s="50"/>
    </row>
    <row r="8386" spans="3:12" x14ac:dyDescent="0.3">
      <c r="C8386" s="47"/>
      <c r="H8386" s="49"/>
      <c r="K8386" s="72"/>
      <c r="L8386" s="50"/>
    </row>
    <row r="8387" spans="3:12" x14ac:dyDescent="0.3">
      <c r="C8387" s="47"/>
      <c r="H8387" s="49"/>
      <c r="K8387" s="72"/>
      <c r="L8387" s="50"/>
    </row>
    <row r="8388" spans="3:12" x14ac:dyDescent="0.3">
      <c r="C8388" s="47"/>
      <c r="H8388" s="49"/>
      <c r="K8388" s="72"/>
      <c r="L8388" s="50"/>
    </row>
    <row r="8389" spans="3:12" x14ac:dyDescent="0.3">
      <c r="C8389" s="47"/>
      <c r="H8389" s="49"/>
      <c r="K8389" s="72"/>
      <c r="L8389" s="50"/>
    </row>
    <row r="8390" spans="3:12" x14ac:dyDescent="0.3">
      <c r="C8390" s="47"/>
      <c r="H8390" s="49"/>
      <c r="K8390" s="72"/>
      <c r="L8390" s="50"/>
    </row>
    <row r="8391" spans="3:12" x14ac:dyDescent="0.3">
      <c r="C8391" s="47"/>
      <c r="H8391" s="49"/>
      <c r="K8391" s="72"/>
      <c r="L8391" s="50"/>
    </row>
    <row r="8392" spans="3:12" x14ac:dyDescent="0.3">
      <c r="C8392" s="47"/>
      <c r="H8392" s="49"/>
      <c r="K8392" s="72"/>
      <c r="L8392" s="50"/>
    </row>
    <row r="8393" spans="3:12" x14ac:dyDescent="0.3">
      <c r="C8393" s="47"/>
      <c r="H8393" s="49"/>
      <c r="K8393" s="72"/>
      <c r="L8393" s="50"/>
    </row>
    <row r="8394" spans="3:12" x14ac:dyDescent="0.3">
      <c r="C8394" s="47"/>
      <c r="H8394" s="49"/>
      <c r="K8394" s="72"/>
      <c r="L8394" s="50"/>
    </row>
    <row r="8395" spans="3:12" x14ac:dyDescent="0.3">
      <c r="C8395" s="47"/>
      <c r="H8395" s="49"/>
      <c r="K8395" s="72"/>
      <c r="L8395" s="50"/>
    </row>
    <row r="8396" spans="3:12" x14ac:dyDescent="0.3">
      <c r="C8396" s="47"/>
      <c r="H8396" s="49"/>
      <c r="K8396" s="72"/>
      <c r="L8396" s="50"/>
    </row>
    <row r="8397" spans="3:12" x14ac:dyDescent="0.3">
      <c r="C8397" s="47"/>
      <c r="H8397" s="49"/>
      <c r="K8397" s="72"/>
      <c r="L8397" s="50"/>
    </row>
    <row r="8398" spans="3:12" x14ac:dyDescent="0.3">
      <c r="C8398" s="47"/>
      <c r="H8398" s="49"/>
      <c r="K8398" s="72"/>
      <c r="L8398" s="50"/>
    </row>
    <row r="8399" spans="3:12" x14ac:dyDescent="0.3">
      <c r="C8399" s="47"/>
      <c r="H8399" s="49"/>
      <c r="K8399" s="72"/>
      <c r="L8399" s="50"/>
    </row>
    <row r="8400" spans="3:12" x14ac:dyDescent="0.3">
      <c r="C8400" s="47"/>
      <c r="H8400" s="49"/>
      <c r="K8400" s="72"/>
      <c r="L8400" s="50"/>
    </row>
    <row r="8401" spans="1:12" x14ac:dyDescent="0.3">
      <c r="C8401" s="47"/>
      <c r="H8401" s="49"/>
      <c r="K8401" s="72"/>
      <c r="L8401" s="50"/>
    </row>
    <row r="8402" spans="1:12" x14ac:dyDescent="0.3">
      <c r="C8402" s="47"/>
      <c r="H8402" s="49"/>
      <c r="K8402" s="72"/>
      <c r="L8402" s="50"/>
    </row>
    <row r="8403" spans="1:12" x14ac:dyDescent="0.3">
      <c r="C8403" s="47"/>
      <c r="H8403" s="49"/>
      <c r="K8403" s="72"/>
      <c r="L8403" s="50"/>
    </row>
    <row r="8404" spans="1:12" x14ac:dyDescent="0.3">
      <c r="C8404" s="47"/>
      <c r="H8404" s="49"/>
      <c r="K8404" s="72"/>
      <c r="L8404" s="50"/>
    </row>
    <row r="8405" spans="1:12" x14ac:dyDescent="0.3">
      <c r="C8405" s="47"/>
      <c r="H8405" s="49"/>
      <c r="K8405" s="72"/>
      <c r="L8405" s="50"/>
    </row>
    <row r="8406" spans="1:12" x14ac:dyDescent="0.3">
      <c r="A8406"/>
      <c r="B8406" s="72"/>
      <c r="E8406" s="72"/>
      <c r="H8406" s="49"/>
      <c r="K8406"/>
      <c r="L8406" s="73"/>
    </row>
    <row r="8407" spans="1:12" x14ac:dyDescent="0.3">
      <c r="A8407"/>
      <c r="B8407" s="72"/>
      <c r="E8407" s="72"/>
      <c r="H8407" s="49"/>
      <c r="K8407"/>
      <c r="L8407" s="73"/>
    </row>
    <row r="8408" spans="1:12" x14ac:dyDescent="0.3">
      <c r="A8408"/>
      <c r="B8408" s="72"/>
      <c r="E8408" s="72"/>
      <c r="H8408" s="49"/>
      <c r="K8408"/>
      <c r="L8408" s="73"/>
    </row>
    <row r="8409" spans="1:12" x14ac:dyDescent="0.3">
      <c r="A8409"/>
      <c r="B8409" s="72"/>
      <c r="E8409" s="72"/>
      <c r="H8409" s="49"/>
      <c r="K8409"/>
      <c r="L8409" s="73"/>
    </row>
    <row r="8410" spans="1:12" x14ac:dyDescent="0.3">
      <c r="A8410"/>
      <c r="B8410" s="72"/>
      <c r="E8410" s="72"/>
      <c r="H8410" s="49"/>
      <c r="K8410"/>
      <c r="L8410" s="73"/>
    </row>
    <row r="8411" spans="1:12" x14ac:dyDescent="0.3">
      <c r="A8411"/>
      <c r="B8411" s="72"/>
      <c r="E8411" s="72"/>
      <c r="H8411" s="49"/>
      <c r="K8411"/>
      <c r="L8411" s="73"/>
    </row>
    <row r="8412" spans="1:12" x14ac:dyDescent="0.3">
      <c r="A8412"/>
      <c r="B8412" s="72"/>
      <c r="E8412" s="72"/>
      <c r="H8412" s="49"/>
      <c r="K8412"/>
      <c r="L8412" s="73"/>
    </row>
    <row r="8413" spans="1:12" x14ac:dyDescent="0.3">
      <c r="A8413"/>
      <c r="B8413" s="72"/>
      <c r="E8413" s="72"/>
      <c r="H8413" s="49"/>
      <c r="K8413"/>
      <c r="L8413" s="73"/>
    </row>
    <row r="8414" spans="1:12" x14ac:dyDescent="0.3">
      <c r="A8414"/>
      <c r="B8414" s="72"/>
      <c r="E8414" s="72"/>
      <c r="H8414" s="49"/>
      <c r="K8414"/>
      <c r="L8414" s="73"/>
    </row>
    <row r="8415" spans="1:12" x14ac:dyDescent="0.3">
      <c r="A8415"/>
      <c r="B8415" s="72"/>
      <c r="E8415" s="72"/>
      <c r="H8415" s="49"/>
      <c r="K8415"/>
      <c r="L8415" s="73"/>
    </row>
    <row r="8416" spans="1:12" x14ac:dyDescent="0.3">
      <c r="A8416"/>
      <c r="B8416" s="72"/>
      <c r="E8416" s="72"/>
      <c r="H8416" s="49"/>
      <c r="K8416"/>
      <c r="L8416" s="73"/>
    </row>
    <row r="8417" spans="1:12" x14ac:dyDescent="0.3">
      <c r="A8417"/>
      <c r="B8417" s="72"/>
      <c r="E8417" s="72"/>
      <c r="H8417" s="49"/>
      <c r="K8417"/>
      <c r="L8417" s="73"/>
    </row>
    <row r="8418" spans="1:12" x14ac:dyDescent="0.3">
      <c r="A8418"/>
      <c r="B8418" s="72"/>
      <c r="E8418" s="72"/>
      <c r="H8418" s="49"/>
      <c r="K8418"/>
      <c r="L8418" s="73"/>
    </row>
    <row r="8419" spans="1:12" x14ac:dyDescent="0.3">
      <c r="A8419"/>
      <c r="B8419" s="72"/>
      <c r="E8419" s="72"/>
      <c r="H8419" s="49"/>
      <c r="K8419"/>
      <c r="L8419" s="73"/>
    </row>
    <row r="8420" spans="1:12" x14ac:dyDescent="0.3">
      <c r="A8420"/>
      <c r="B8420" s="72"/>
      <c r="E8420" s="72"/>
      <c r="H8420" s="49"/>
      <c r="K8420"/>
      <c r="L8420" s="73"/>
    </row>
    <row r="8421" spans="1:12" x14ac:dyDescent="0.3">
      <c r="A8421"/>
      <c r="B8421" s="72"/>
      <c r="E8421" s="72"/>
      <c r="H8421" s="49"/>
      <c r="K8421"/>
      <c r="L8421" s="73"/>
    </row>
    <row r="8422" spans="1:12" x14ac:dyDescent="0.3">
      <c r="A8422"/>
      <c r="B8422" s="72"/>
      <c r="E8422" s="72"/>
      <c r="H8422" s="49"/>
      <c r="K8422"/>
      <c r="L8422" s="73"/>
    </row>
    <row r="8423" spans="1:12" x14ac:dyDescent="0.3">
      <c r="A8423"/>
      <c r="B8423" s="72"/>
      <c r="E8423" s="72"/>
      <c r="H8423" s="49"/>
      <c r="K8423"/>
      <c r="L8423" s="73"/>
    </row>
    <row r="8424" spans="1:12" x14ac:dyDescent="0.3">
      <c r="A8424"/>
      <c r="B8424" s="72"/>
      <c r="E8424" s="72"/>
      <c r="H8424" s="49"/>
      <c r="K8424"/>
      <c r="L8424" s="73"/>
    </row>
    <row r="8425" spans="1:12" x14ac:dyDescent="0.3">
      <c r="A8425"/>
      <c r="B8425" s="72"/>
      <c r="E8425" s="72"/>
      <c r="H8425" s="49"/>
      <c r="K8425"/>
      <c r="L8425" s="73"/>
    </row>
    <row r="8426" spans="1:12" x14ac:dyDescent="0.3">
      <c r="A8426"/>
      <c r="B8426" s="72"/>
      <c r="E8426" s="72"/>
      <c r="H8426" s="49"/>
      <c r="K8426"/>
      <c r="L8426" s="73"/>
    </row>
    <row r="8427" spans="1:12" x14ac:dyDescent="0.3">
      <c r="A8427"/>
      <c r="B8427" s="72"/>
      <c r="E8427" s="72"/>
      <c r="H8427" s="49"/>
      <c r="K8427"/>
      <c r="L8427" s="73"/>
    </row>
    <row r="8428" spans="1:12" x14ac:dyDescent="0.3">
      <c r="A8428"/>
      <c r="B8428" s="72"/>
      <c r="E8428" s="72"/>
      <c r="H8428" s="49"/>
      <c r="K8428"/>
      <c r="L8428" s="73"/>
    </row>
    <row r="8429" spans="1:12" x14ac:dyDescent="0.3">
      <c r="A8429"/>
      <c r="B8429" s="72"/>
      <c r="E8429" s="72"/>
      <c r="H8429" s="49"/>
      <c r="K8429"/>
      <c r="L8429" s="73"/>
    </row>
    <row r="8430" spans="1:12" x14ac:dyDescent="0.3">
      <c r="A8430"/>
      <c r="B8430" s="72"/>
      <c r="E8430" s="72"/>
      <c r="H8430" s="49"/>
      <c r="K8430"/>
      <c r="L8430" s="73"/>
    </row>
    <row r="8431" spans="1:12" x14ac:dyDescent="0.3">
      <c r="A8431"/>
      <c r="B8431" s="72"/>
      <c r="E8431" s="72"/>
      <c r="H8431" s="49"/>
      <c r="K8431"/>
      <c r="L8431" s="73"/>
    </row>
    <row r="8432" spans="1:12" x14ac:dyDescent="0.3">
      <c r="A8432"/>
      <c r="B8432" s="72"/>
      <c r="E8432" s="72"/>
      <c r="H8432" s="49"/>
      <c r="K8432"/>
      <c r="L8432" s="73"/>
    </row>
    <row r="8433" spans="1:12" x14ac:dyDescent="0.3">
      <c r="A8433"/>
      <c r="B8433" s="72"/>
      <c r="E8433" s="72"/>
      <c r="H8433" s="49"/>
      <c r="K8433"/>
      <c r="L8433" s="73"/>
    </row>
    <row r="8434" spans="1:12" x14ac:dyDescent="0.3">
      <c r="A8434"/>
      <c r="B8434" s="72"/>
      <c r="E8434" s="72"/>
      <c r="H8434" s="49"/>
      <c r="K8434"/>
      <c r="L8434" s="73"/>
    </row>
    <row r="8435" spans="1:12" x14ac:dyDescent="0.3">
      <c r="A8435"/>
      <c r="B8435" s="72"/>
      <c r="E8435" s="72"/>
      <c r="H8435" s="49"/>
      <c r="K8435"/>
      <c r="L8435" s="73"/>
    </row>
    <row r="8436" spans="1:12" x14ac:dyDescent="0.3">
      <c r="A8436"/>
      <c r="B8436" s="72"/>
      <c r="E8436" s="72"/>
      <c r="H8436" s="49"/>
      <c r="K8436"/>
      <c r="L8436" s="73"/>
    </row>
    <row r="8437" spans="1:12" x14ac:dyDescent="0.3">
      <c r="A8437"/>
      <c r="B8437" s="72"/>
      <c r="E8437" s="72"/>
      <c r="H8437" s="49"/>
      <c r="K8437"/>
      <c r="L8437" s="73"/>
    </row>
    <row r="8438" spans="1:12" x14ac:dyDescent="0.3">
      <c r="A8438"/>
      <c r="B8438" s="72"/>
      <c r="E8438" s="72"/>
      <c r="H8438" s="49"/>
      <c r="K8438"/>
      <c r="L8438" s="73"/>
    </row>
    <row r="8439" spans="1:12" x14ac:dyDescent="0.3">
      <c r="A8439"/>
      <c r="B8439" s="72"/>
      <c r="E8439" s="72"/>
      <c r="H8439" s="49"/>
      <c r="K8439"/>
      <c r="L8439" s="73"/>
    </row>
    <row r="8440" spans="1:12" x14ac:dyDescent="0.3">
      <c r="A8440"/>
      <c r="B8440" s="72"/>
      <c r="E8440" s="72"/>
      <c r="H8440" s="49"/>
      <c r="K8440"/>
      <c r="L8440" s="73"/>
    </row>
    <row r="8441" spans="1:12" x14ac:dyDescent="0.3">
      <c r="A8441"/>
      <c r="B8441" s="72"/>
      <c r="E8441" s="72"/>
      <c r="H8441" s="49"/>
      <c r="K8441"/>
      <c r="L8441" s="73"/>
    </row>
    <row r="8442" spans="1:12" x14ac:dyDescent="0.3">
      <c r="A8442"/>
      <c r="B8442" s="72"/>
      <c r="E8442" s="72"/>
      <c r="H8442" s="49"/>
      <c r="K8442"/>
      <c r="L8442" s="73"/>
    </row>
    <row r="8443" spans="1:12" x14ac:dyDescent="0.3">
      <c r="A8443"/>
      <c r="B8443" s="72"/>
      <c r="E8443" s="72"/>
      <c r="H8443" s="49"/>
      <c r="K8443"/>
      <c r="L8443" s="73"/>
    </row>
    <row r="8444" spans="1:12" x14ac:dyDescent="0.3">
      <c r="A8444"/>
      <c r="B8444" s="72"/>
      <c r="E8444" s="72"/>
      <c r="H8444" s="49"/>
      <c r="K8444"/>
      <c r="L8444" s="73"/>
    </row>
    <row r="8445" spans="1:12" x14ac:dyDescent="0.3">
      <c r="A8445"/>
      <c r="B8445" s="72"/>
      <c r="E8445" s="72"/>
      <c r="H8445" s="49"/>
      <c r="K8445"/>
      <c r="L8445" s="73"/>
    </row>
    <row r="8446" spans="1:12" x14ac:dyDescent="0.3">
      <c r="A8446"/>
      <c r="B8446" s="72"/>
      <c r="E8446" s="72"/>
      <c r="H8446" s="49"/>
      <c r="K8446"/>
      <c r="L8446" s="73"/>
    </row>
    <row r="8447" spans="1:12" x14ac:dyDescent="0.3">
      <c r="A8447"/>
      <c r="B8447" s="72"/>
      <c r="E8447" s="72"/>
      <c r="H8447" s="49"/>
      <c r="K8447"/>
      <c r="L8447" s="73"/>
    </row>
    <row r="8448" spans="1:12" x14ac:dyDescent="0.3">
      <c r="A8448"/>
      <c r="B8448" s="72"/>
      <c r="E8448" s="72"/>
      <c r="H8448" s="49"/>
      <c r="K8448"/>
      <c r="L8448" s="73"/>
    </row>
    <row r="8449" spans="1:12" x14ac:dyDescent="0.3">
      <c r="A8449"/>
      <c r="B8449" s="72"/>
      <c r="E8449" s="72"/>
      <c r="H8449" s="49"/>
      <c r="K8449"/>
      <c r="L8449" s="73"/>
    </row>
    <row r="8450" spans="1:12" x14ac:dyDescent="0.3">
      <c r="A8450"/>
      <c r="B8450" s="72"/>
      <c r="E8450" s="72"/>
      <c r="H8450" s="49"/>
      <c r="K8450"/>
      <c r="L8450" s="73"/>
    </row>
    <row r="8451" spans="1:12" x14ac:dyDescent="0.3">
      <c r="A8451"/>
      <c r="B8451" s="72"/>
      <c r="E8451" s="72"/>
      <c r="H8451" s="49"/>
      <c r="K8451"/>
      <c r="L8451" s="73"/>
    </row>
    <row r="8452" spans="1:12" x14ac:dyDescent="0.3">
      <c r="A8452"/>
      <c r="B8452" s="72"/>
      <c r="E8452" s="72"/>
      <c r="H8452" s="49"/>
      <c r="K8452"/>
      <c r="L8452" s="73"/>
    </row>
    <row r="8453" spans="1:12" x14ac:dyDescent="0.3">
      <c r="A8453"/>
      <c r="B8453" s="72"/>
      <c r="E8453" s="72"/>
      <c r="H8453" s="49"/>
      <c r="K8453"/>
      <c r="L8453" s="73"/>
    </row>
    <row r="8454" spans="1:12" x14ac:dyDescent="0.3">
      <c r="A8454"/>
      <c r="B8454" s="72"/>
      <c r="E8454" s="72"/>
      <c r="H8454" s="49"/>
      <c r="K8454"/>
      <c r="L8454" s="73"/>
    </row>
    <row r="8455" spans="1:12" x14ac:dyDescent="0.3">
      <c r="A8455"/>
      <c r="B8455" s="72"/>
      <c r="E8455" s="72"/>
      <c r="H8455" s="49"/>
      <c r="K8455"/>
      <c r="L8455" s="73"/>
    </row>
    <row r="8456" spans="1:12" x14ac:dyDescent="0.3">
      <c r="A8456"/>
      <c r="B8456" s="72"/>
      <c r="E8456" s="72"/>
      <c r="H8456" s="49"/>
      <c r="K8456"/>
      <c r="L8456" s="73"/>
    </row>
    <row r="8457" spans="1:12" x14ac:dyDescent="0.3">
      <c r="A8457"/>
      <c r="B8457" s="72"/>
      <c r="E8457" s="72"/>
      <c r="H8457" s="49"/>
      <c r="K8457"/>
      <c r="L8457" s="73"/>
    </row>
    <row r="8458" spans="1:12" x14ac:dyDescent="0.3">
      <c r="A8458"/>
      <c r="B8458" s="72"/>
      <c r="E8458" s="72"/>
      <c r="H8458" s="49"/>
      <c r="K8458"/>
      <c r="L8458" s="73"/>
    </row>
    <row r="8459" spans="1:12" x14ac:dyDescent="0.3">
      <c r="A8459"/>
      <c r="B8459" s="72"/>
      <c r="E8459" s="72"/>
      <c r="H8459" s="49"/>
      <c r="K8459"/>
      <c r="L8459" s="73"/>
    </row>
    <row r="8460" spans="1:12" x14ac:dyDescent="0.3">
      <c r="A8460"/>
      <c r="B8460" s="72"/>
      <c r="E8460" s="72"/>
      <c r="H8460" s="49"/>
      <c r="K8460"/>
      <c r="L8460" s="73"/>
    </row>
    <row r="8461" spans="1:12" x14ac:dyDescent="0.3">
      <c r="A8461"/>
      <c r="B8461" s="72"/>
      <c r="E8461" s="72"/>
      <c r="H8461" s="49"/>
      <c r="K8461"/>
      <c r="L8461" s="73"/>
    </row>
    <row r="8462" spans="1:12" x14ac:dyDescent="0.3">
      <c r="A8462"/>
      <c r="B8462" s="72"/>
      <c r="E8462" s="72"/>
      <c r="H8462" s="49"/>
      <c r="K8462"/>
      <c r="L8462" s="73"/>
    </row>
    <row r="8463" spans="1:12" x14ac:dyDescent="0.3">
      <c r="A8463"/>
      <c r="B8463" s="72"/>
      <c r="E8463" s="72"/>
      <c r="H8463" s="49"/>
      <c r="K8463"/>
      <c r="L8463" s="73"/>
    </row>
    <row r="8464" spans="1:12" x14ac:dyDescent="0.3">
      <c r="A8464"/>
      <c r="B8464" s="72"/>
      <c r="E8464" s="72"/>
      <c r="H8464" s="49"/>
      <c r="K8464"/>
      <c r="L8464" s="73"/>
    </row>
    <row r="8465" spans="1:12" x14ac:dyDescent="0.3">
      <c r="A8465"/>
      <c r="B8465" s="72"/>
      <c r="E8465" s="72"/>
      <c r="H8465" s="49"/>
      <c r="K8465"/>
      <c r="L8465" s="73"/>
    </row>
    <row r="8466" spans="1:12" x14ac:dyDescent="0.3">
      <c r="A8466"/>
      <c r="B8466" s="72"/>
      <c r="E8466" s="72"/>
      <c r="H8466" s="49"/>
      <c r="K8466"/>
      <c r="L8466" s="73"/>
    </row>
    <row r="8467" spans="1:12" x14ac:dyDescent="0.3">
      <c r="A8467"/>
      <c r="B8467" s="72"/>
      <c r="E8467" s="72"/>
      <c r="H8467" s="49"/>
      <c r="K8467"/>
      <c r="L8467" s="73"/>
    </row>
    <row r="8468" spans="1:12" x14ac:dyDescent="0.3">
      <c r="A8468"/>
      <c r="B8468" s="72"/>
      <c r="E8468" s="72"/>
      <c r="H8468" s="49"/>
      <c r="K8468"/>
      <c r="L8468" s="73"/>
    </row>
    <row r="8469" spans="1:12" x14ac:dyDescent="0.3">
      <c r="A8469"/>
      <c r="B8469" s="72"/>
      <c r="E8469" s="72"/>
      <c r="H8469" s="49"/>
      <c r="K8469"/>
      <c r="L8469" s="73"/>
    </row>
    <row r="8470" spans="1:12" x14ac:dyDescent="0.3">
      <c r="A8470"/>
      <c r="B8470" s="72"/>
      <c r="E8470" s="72"/>
      <c r="H8470" s="49"/>
      <c r="K8470"/>
      <c r="L8470" s="73"/>
    </row>
    <row r="8471" spans="1:12" x14ac:dyDescent="0.3">
      <c r="A8471"/>
      <c r="B8471" s="72"/>
      <c r="E8471" s="72"/>
      <c r="H8471" s="49"/>
      <c r="K8471"/>
      <c r="L8471" s="73"/>
    </row>
    <row r="8472" spans="1:12" x14ac:dyDescent="0.3">
      <c r="A8472"/>
      <c r="B8472" s="72"/>
      <c r="E8472" s="72"/>
      <c r="H8472" s="49"/>
      <c r="K8472"/>
      <c r="L8472" s="73"/>
    </row>
    <row r="8473" spans="1:12" x14ac:dyDescent="0.3">
      <c r="A8473"/>
      <c r="B8473" s="72"/>
      <c r="E8473" s="72"/>
      <c r="H8473" s="49"/>
      <c r="K8473"/>
      <c r="L8473" s="73"/>
    </row>
    <row r="8474" spans="1:12" x14ac:dyDescent="0.3">
      <c r="A8474"/>
      <c r="B8474" s="72"/>
      <c r="E8474" s="72"/>
      <c r="H8474" s="49"/>
      <c r="K8474"/>
      <c r="L8474" s="73"/>
    </row>
    <row r="8475" spans="1:12" x14ac:dyDescent="0.3">
      <c r="A8475"/>
      <c r="B8475" s="72"/>
      <c r="E8475" s="72"/>
      <c r="H8475" s="49"/>
      <c r="K8475"/>
      <c r="L8475" s="73"/>
    </row>
    <row r="8476" spans="1:12" x14ac:dyDescent="0.3">
      <c r="A8476"/>
      <c r="B8476" s="72"/>
      <c r="E8476" s="72"/>
      <c r="H8476" s="49"/>
      <c r="K8476"/>
      <c r="L8476" s="73"/>
    </row>
    <row r="8477" spans="1:12" x14ac:dyDescent="0.3">
      <c r="A8477"/>
      <c r="B8477" s="72"/>
      <c r="E8477" s="72"/>
      <c r="H8477" s="49"/>
      <c r="K8477"/>
      <c r="L8477" s="73"/>
    </row>
    <row r="8478" spans="1:12" x14ac:dyDescent="0.3">
      <c r="A8478"/>
      <c r="B8478" s="72"/>
      <c r="E8478" s="72"/>
      <c r="H8478" s="49"/>
      <c r="K8478"/>
      <c r="L8478" s="73"/>
    </row>
    <row r="8479" spans="1:12" x14ac:dyDescent="0.3">
      <c r="A8479"/>
      <c r="B8479" s="72"/>
      <c r="E8479" s="72"/>
      <c r="H8479" s="49"/>
      <c r="K8479"/>
      <c r="L8479" s="73"/>
    </row>
    <row r="8480" spans="1:12" x14ac:dyDescent="0.3">
      <c r="A8480"/>
      <c r="B8480" s="72"/>
      <c r="E8480" s="72"/>
      <c r="H8480" s="49"/>
      <c r="K8480"/>
      <c r="L8480" s="73"/>
    </row>
    <row r="8481" spans="1:12" x14ac:dyDescent="0.3">
      <c r="A8481"/>
      <c r="B8481" s="72"/>
      <c r="E8481" s="72"/>
      <c r="H8481" s="49"/>
      <c r="K8481"/>
      <c r="L8481" s="73"/>
    </row>
    <row r="8482" spans="1:12" x14ac:dyDescent="0.3">
      <c r="A8482"/>
      <c r="B8482" s="72"/>
      <c r="E8482" s="72"/>
      <c r="H8482" s="49"/>
      <c r="K8482"/>
      <c r="L8482" s="73"/>
    </row>
    <row r="8483" spans="1:12" x14ac:dyDescent="0.3">
      <c r="A8483"/>
      <c r="B8483" s="72"/>
      <c r="E8483" s="72"/>
      <c r="H8483" s="49"/>
      <c r="K8483"/>
      <c r="L8483" s="73"/>
    </row>
    <row r="8484" spans="1:12" x14ac:dyDescent="0.3">
      <c r="A8484"/>
      <c r="B8484" s="72"/>
      <c r="E8484" s="72"/>
      <c r="H8484" s="49"/>
      <c r="K8484"/>
      <c r="L8484" s="73"/>
    </row>
    <row r="8485" spans="1:12" x14ac:dyDescent="0.3">
      <c r="A8485"/>
      <c r="B8485" s="72"/>
      <c r="E8485" s="72"/>
      <c r="H8485" s="49"/>
      <c r="K8485"/>
      <c r="L8485" s="73"/>
    </row>
    <row r="8486" spans="1:12" x14ac:dyDescent="0.3">
      <c r="A8486"/>
      <c r="B8486" s="72"/>
      <c r="E8486" s="72"/>
      <c r="H8486" s="49"/>
      <c r="K8486"/>
      <c r="L8486" s="73"/>
    </row>
    <row r="8487" spans="1:12" x14ac:dyDescent="0.3">
      <c r="A8487"/>
      <c r="B8487" s="72"/>
      <c r="E8487" s="72"/>
      <c r="H8487" s="49"/>
      <c r="K8487"/>
      <c r="L8487" s="73"/>
    </row>
    <row r="8488" spans="1:12" x14ac:dyDescent="0.3">
      <c r="A8488"/>
      <c r="B8488" s="72"/>
      <c r="E8488" s="72"/>
      <c r="H8488" s="49"/>
      <c r="K8488"/>
      <c r="L8488" s="73"/>
    </row>
    <row r="8489" spans="1:12" x14ac:dyDescent="0.3">
      <c r="A8489"/>
      <c r="B8489" s="72"/>
      <c r="E8489" s="72"/>
      <c r="H8489" s="49"/>
      <c r="K8489"/>
      <c r="L8489" s="73"/>
    </row>
    <row r="8490" spans="1:12" x14ac:dyDescent="0.3">
      <c r="A8490"/>
      <c r="B8490" s="72"/>
      <c r="E8490" s="72"/>
      <c r="H8490" s="49"/>
      <c r="K8490"/>
      <c r="L8490" s="73"/>
    </row>
    <row r="8491" spans="1:12" x14ac:dyDescent="0.3">
      <c r="A8491"/>
      <c r="B8491" s="72"/>
      <c r="E8491" s="72"/>
      <c r="H8491" s="49"/>
      <c r="K8491"/>
      <c r="L8491" s="73"/>
    </row>
    <row r="8492" spans="1:12" x14ac:dyDescent="0.3">
      <c r="A8492"/>
      <c r="B8492" s="72"/>
      <c r="E8492" s="72"/>
      <c r="H8492" s="49"/>
      <c r="K8492"/>
      <c r="L8492" s="73"/>
    </row>
    <row r="8493" spans="1:12" x14ac:dyDescent="0.3">
      <c r="A8493"/>
      <c r="B8493" s="72"/>
      <c r="E8493" s="72"/>
      <c r="H8493" s="49"/>
      <c r="K8493"/>
      <c r="L8493" s="73"/>
    </row>
    <row r="8494" spans="1:12" x14ac:dyDescent="0.3">
      <c r="A8494"/>
      <c r="B8494" s="72"/>
      <c r="E8494" s="72"/>
      <c r="H8494" s="49"/>
      <c r="K8494"/>
      <c r="L8494" s="73"/>
    </row>
    <row r="8495" spans="1:12" x14ac:dyDescent="0.3">
      <c r="A8495"/>
      <c r="B8495" s="72"/>
      <c r="E8495" s="72"/>
      <c r="H8495" s="49"/>
      <c r="K8495"/>
      <c r="L8495" s="73"/>
    </row>
    <row r="8496" spans="1:12" x14ac:dyDescent="0.3">
      <c r="A8496"/>
      <c r="B8496" s="72"/>
      <c r="E8496" s="72"/>
      <c r="H8496" s="49"/>
      <c r="K8496"/>
      <c r="L8496" s="73"/>
    </row>
    <row r="8497" spans="1:12" x14ac:dyDescent="0.3">
      <c r="A8497"/>
      <c r="B8497" s="72"/>
      <c r="E8497" s="72"/>
      <c r="H8497" s="49"/>
      <c r="K8497"/>
      <c r="L8497" s="73"/>
    </row>
    <row r="8498" spans="1:12" x14ac:dyDescent="0.3">
      <c r="A8498"/>
      <c r="B8498" s="72"/>
      <c r="E8498" s="72"/>
      <c r="H8498" s="49"/>
      <c r="K8498"/>
      <c r="L8498" s="73"/>
    </row>
    <row r="8499" spans="1:12" x14ac:dyDescent="0.3">
      <c r="A8499"/>
      <c r="B8499" s="72"/>
      <c r="E8499" s="72"/>
      <c r="H8499" s="49"/>
      <c r="K8499"/>
      <c r="L8499" s="73"/>
    </row>
    <row r="8500" spans="1:12" x14ac:dyDescent="0.3">
      <c r="A8500"/>
      <c r="B8500" s="72"/>
      <c r="E8500" s="72"/>
      <c r="H8500" s="49"/>
      <c r="K8500"/>
      <c r="L8500" s="73"/>
    </row>
    <row r="8501" spans="1:12" x14ac:dyDescent="0.3">
      <c r="A8501"/>
      <c r="B8501" s="72"/>
      <c r="E8501" s="72"/>
      <c r="H8501" s="49"/>
      <c r="K8501"/>
      <c r="L8501" s="73"/>
    </row>
    <row r="8502" spans="1:12" x14ac:dyDescent="0.3">
      <c r="A8502"/>
      <c r="B8502" s="72"/>
      <c r="E8502" s="72"/>
      <c r="H8502" s="49"/>
      <c r="K8502"/>
      <c r="L8502" s="73"/>
    </row>
    <row r="8503" spans="1:12" x14ac:dyDescent="0.3">
      <c r="A8503"/>
      <c r="B8503" s="72"/>
      <c r="E8503" s="72"/>
      <c r="H8503" s="49"/>
      <c r="K8503"/>
      <c r="L8503" s="73"/>
    </row>
    <row r="8504" spans="1:12" x14ac:dyDescent="0.3">
      <c r="A8504"/>
      <c r="B8504" s="72"/>
      <c r="E8504" s="72"/>
      <c r="H8504" s="49"/>
      <c r="K8504"/>
      <c r="L8504" s="73"/>
    </row>
    <row r="8505" spans="1:12" x14ac:dyDescent="0.3">
      <c r="A8505"/>
      <c r="B8505" s="72"/>
      <c r="E8505" s="72"/>
      <c r="H8505" s="49"/>
      <c r="K8505"/>
      <c r="L8505" s="73"/>
    </row>
    <row r="8506" spans="1:12" x14ac:dyDescent="0.3">
      <c r="A8506"/>
      <c r="B8506" s="72"/>
      <c r="E8506" s="72"/>
      <c r="H8506" s="49"/>
      <c r="K8506"/>
      <c r="L8506" s="73"/>
    </row>
    <row r="8507" spans="1:12" x14ac:dyDescent="0.3">
      <c r="A8507"/>
      <c r="B8507" s="72"/>
      <c r="E8507" s="72"/>
      <c r="H8507" s="49"/>
      <c r="K8507"/>
      <c r="L8507" s="73"/>
    </row>
    <row r="8508" spans="1:12" x14ac:dyDescent="0.3">
      <c r="A8508"/>
      <c r="B8508" s="72"/>
      <c r="E8508" s="72"/>
      <c r="H8508" s="49"/>
      <c r="K8508"/>
      <c r="L8508" s="73"/>
    </row>
    <row r="8509" spans="1:12" x14ac:dyDescent="0.3">
      <c r="A8509"/>
      <c r="B8509" s="72"/>
      <c r="E8509" s="72"/>
      <c r="H8509" s="49"/>
      <c r="K8509"/>
      <c r="L8509" s="73"/>
    </row>
    <row r="8510" spans="1:12" x14ac:dyDescent="0.3">
      <c r="A8510"/>
      <c r="B8510" s="72"/>
      <c r="E8510" s="72"/>
      <c r="H8510" s="49"/>
      <c r="K8510"/>
      <c r="L8510" s="73"/>
    </row>
    <row r="8511" spans="1:12" x14ac:dyDescent="0.3">
      <c r="A8511"/>
      <c r="B8511" s="72"/>
      <c r="E8511" s="72"/>
      <c r="H8511" s="49"/>
      <c r="K8511"/>
      <c r="L8511" s="73"/>
    </row>
    <row r="8512" spans="1:12" x14ac:dyDescent="0.3">
      <c r="A8512"/>
      <c r="B8512" s="72"/>
      <c r="E8512" s="72"/>
      <c r="H8512" s="49"/>
      <c r="K8512"/>
      <c r="L8512" s="73"/>
    </row>
    <row r="8513" spans="1:12" x14ac:dyDescent="0.3">
      <c r="A8513"/>
      <c r="B8513" s="72"/>
      <c r="E8513" s="72"/>
      <c r="H8513" s="49"/>
      <c r="K8513"/>
      <c r="L8513" s="73"/>
    </row>
    <row r="8514" spans="1:12" x14ac:dyDescent="0.3">
      <c r="A8514"/>
      <c r="B8514" s="72"/>
      <c r="E8514" s="72"/>
      <c r="H8514" s="49"/>
      <c r="K8514"/>
      <c r="L8514" s="73"/>
    </row>
    <row r="8515" spans="1:12" x14ac:dyDescent="0.3">
      <c r="A8515"/>
      <c r="B8515" s="72"/>
      <c r="E8515" s="72"/>
      <c r="H8515" s="49"/>
      <c r="K8515"/>
      <c r="L8515" s="73"/>
    </row>
    <row r="8516" spans="1:12" x14ac:dyDescent="0.3">
      <c r="A8516"/>
      <c r="B8516" s="72"/>
      <c r="E8516" s="72"/>
      <c r="H8516" s="49"/>
      <c r="K8516"/>
      <c r="L8516" s="73"/>
    </row>
    <row r="8517" spans="1:12" x14ac:dyDescent="0.3">
      <c r="A8517"/>
      <c r="B8517" s="72"/>
      <c r="E8517" s="72"/>
      <c r="H8517" s="49"/>
      <c r="K8517"/>
      <c r="L8517" s="73"/>
    </row>
    <row r="8518" spans="1:12" x14ac:dyDescent="0.3">
      <c r="A8518"/>
      <c r="B8518" s="72"/>
      <c r="E8518" s="72"/>
      <c r="H8518" s="49"/>
      <c r="K8518"/>
      <c r="L8518" s="73"/>
    </row>
    <row r="8519" spans="1:12" x14ac:dyDescent="0.3">
      <c r="A8519"/>
      <c r="B8519" s="72"/>
      <c r="E8519" s="72"/>
      <c r="H8519" s="49"/>
      <c r="K8519"/>
      <c r="L8519" s="73"/>
    </row>
    <row r="8520" spans="1:12" x14ac:dyDescent="0.3">
      <c r="A8520"/>
      <c r="B8520" s="72"/>
      <c r="E8520" s="72"/>
      <c r="H8520" s="49"/>
      <c r="K8520"/>
      <c r="L8520" s="73"/>
    </row>
    <row r="8521" spans="1:12" x14ac:dyDescent="0.3">
      <c r="A8521"/>
      <c r="B8521" s="72"/>
      <c r="E8521" s="72"/>
      <c r="H8521" s="49"/>
      <c r="K8521"/>
      <c r="L8521" s="73"/>
    </row>
    <row r="8522" spans="1:12" x14ac:dyDescent="0.3">
      <c r="A8522"/>
      <c r="B8522" s="72"/>
      <c r="E8522" s="72"/>
      <c r="H8522" s="49"/>
      <c r="K8522"/>
      <c r="L8522" s="73"/>
    </row>
    <row r="8523" spans="1:12" x14ac:dyDescent="0.3">
      <c r="A8523"/>
      <c r="B8523" s="72"/>
      <c r="E8523" s="72"/>
      <c r="H8523" s="49"/>
      <c r="K8523"/>
      <c r="L8523" s="73"/>
    </row>
    <row r="8524" spans="1:12" x14ac:dyDescent="0.3">
      <c r="A8524"/>
      <c r="B8524" s="72"/>
      <c r="E8524" s="72"/>
      <c r="H8524" s="49"/>
      <c r="K8524"/>
      <c r="L8524" s="73"/>
    </row>
    <row r="8525" spans="1:12" x14ac:dyDescent="0.3">
      <c r="A8525"/>
      <c r="B8525" s="72"/>
      <c r="E8525" s="72"/>
      <c r="H8525" s="49"/>
      <c r="K8525"/>
      <c r="L8525" s="73"/>
    </row>
    <row r="8526" spans="1:12" x14ac:dyDescent="0.3">
      <c r="A8526"/>
      <c r="B8526" s="72"/>
      <c r="E8526" s="72"/>
      <c r="H8526" s="49"/>
      <c r="K8526"/>
      <c r="L8526" s="73"/>
    </row>
    <row r="8527" spans="1:12" x14ac:dyDescent="0.3">
      <c r="A8527"/>
      <c r="B8527" s="72"/>
      <c r="E8527" s="72"/>
      <c r="H8527" s="49"/>
      <c r="K8527"/>
      <c r="L8527" s="73"/>
    </row>
    <row r="8528" spans="1:12" x14ac:dyDescent="0.3">
      <c r="A8528"/>
      <c r="B8528" s="72"/>
      <c r="E8528" s="72"/>
      <c r="H8528" s="49"/>
      <c r="K8528"/>
      <c r="L8528" s="73"/>
    </row>
    <row r="8529" spans="1:12" x14ac:dyDescent="0.3">
      <c r="A8529"/>
      <c r="B8529" s="72"/>
      <c r="E8529" s="72"/>
      <c r="H8529" s="49"/>
      <c r="K8529"/>
      <c r="L8529" s="73"/>
    </row>
    <row r="8530" spans="1:12" x14ac:dyDescent="0.3">
      <c r="A8530"/>
      <c r="B8530" s="72"/>
      <c r="E8530" s="72"/>
      <c r="H8530" s="49"/>
      <c r="K8530"/>
      <c r="L8530" s="73"/>
    </row>
    <row r="8531" spans="1:12" x14ac:dyDescent="0.3">
      <c r="A8531"/>
      <c r="B8531" s="72"/>
      <c r="E8531" s="72"/>
      <c r="H8531" s="49"/>
      <c r="K8531"/>
      <c r="L8531" s="73"/>
    </row>
    <row r="8532" spans="1:12" x14ac:dyDescent="0.3">
      <c r="A8532"/>
      <c r="B8532" s="72"/>
      <c r="E8532" s="72"/>
      <c r="H8532" s="49"/>
      <c r="K8532"/>
      <c r="L8532" s="73"/>
    </row>
    <row r="8533" spans="1:12" x14ac:dyDescent="0.3">
      <c r="A8533"/>
      <c r="B8533" s="72"/>
      <c r="E8533" s="72"/>
      <c r="H8533" s="49"/>
      <c r="K8533"/>
      <c r="L8533" s="73"/>
    </row>
    <row r="8534" spans="1:12" x14ac:dyDescent="0.3">
      <c r="A8534"/>
      <c r="B8534" s="72"/>
      <c r="E8534" s="72"/>
      <c r="H8534" s="49"/>
      <c r="K8534"/>
      <c r="L8534" s="73"/>
    </row>
    <row r="8535" spans="1:12" x14ac:dyDescent="0.3">
      <c r="A8535"/>
      <c r="B8535" s="72"/>
      <c r="E8535" s="72"/>
      <c r="H8535" s="49"/>
      <c r="K8535"/>
      <c r="L8535" s="73"/>
    </row>
    <row r="8536" spans="1:12" x14ac:dyDescent="0.3">
      <c r="A8536"/>
      <c r="B8536" s="72"/>
      <c r="E8536" s="72"/>
      <c r="H8536" s="49"/>
      <c r="K8536"/>
      <c r="L8536" s="73"/>
    </row>
    <row r="8537" spans="1:12" x14ac:dyDescent="0.3">
      <c r="A8537"/>
      <c r="B8537" s="72"/>
      <c r="E8537" s="72"/>
      <c r="H8537" s="49"/>
      <c r="K8537"/>
      <c r="L8537" s="73"/>
    </row>
    <row r="8538" spans="1:12" x14ac:dyDescent="0.3">
      <c r="A8538"/>
      <c r="B8538" s="72"/>
      <c r="E8538" s="72"/>
      <c r="H8538" s="49"/>
      <c r="K8538"/>
      <c r="L8538" s="73"/>
    </row>
    <row r="8539" spans="1:12" x14ac:dyDescent="0.3">
      <c r="A8539"/>
      <c r="B8539" s="72"/>
      <c r="E8539" s="72"/>
      <c r="H8539" s="49"/>
      <c r="K8539"/>
      <c r="L8539" s="73"/>
    </row>
    <row r="8540" spans="1:12" x14ac:dyDescent="0.3">
      <c r="A8540"/>
      <c r="B8540" s="72"/>
      <c r="E8540" s="72"/>
      <c r="H8540" s="49"/>
      <c r="K8540"/>
      <c r="L8540" s="73"/>
    </row>
    <row r="8541" spans="1:12" x14ac:dyDescent="0.3">
      <c r="A8541"/>
      <c r="B8541" s="72"/>
      <c r="E8541" s="72"/>
      <c r="H8541" s="49"/>
      <c r="K8541"/>
      <c r="L8541" s="73"/>
    </row>
    <row r="8542" spans="1:12" x14ac:dyDescent="0.3">
      <c r="A8542"/>
      <c r="B8542" s="72"/>
      <c r="E8542" s="72"/>
      <c r="H8542" s="49"/>
      <c r="K8542"/>
      <c r="L8542" s="73"/>
    </row>
    <row r="8543" spans="1:12" x14ac:dyDescent="0.3">
      <c r="A8543"/>
      <c r="B8543" s="72"/>
      <c r="E8543" s="72"/>
      <c r="H8543" s="49"/>
      <c r="K8543"/>
      <c r="L8543" s="73"/>
    </row>
    <row r="8544" spans="1:12" x14ac:dyDescent="0.3">
      <c r="A8544"/>
      <c r="B8544" s="72"/>
      <c r="E8544" s="72"/>
      <c r="H8544" s="49"/>
      <c r="K8544"/>
      <c r="L8544" s="73"/>
    </row>
    <row r="8545" spans="1:12" x14ac:dyDescent="0.3">
      <c r="A8545"/>
      <c r="B8545" s="72"/>
      <c r="E8545" s="72"/>
      <c r="H8545" s="49"/>
      <c r="K8545"/>
      <c r="L8545" s="73"/>
    </row>
    <row r="8546" spans="1:12" x14ac:dyDescent="0.3">
      <c r="A8546"/>
      <c r="B8546" s="72"/>
      <c r="E8546" s="72"/>
      <c r="H8546" s="49"/>
      <c r="K8546"/>
      <c r="L8546" s="73"/>
    </row>
    <row r="8547" spans="1:12" x14ac:dyDescent="0.3">
      <c r="A8547"/>
      <c r="B8547" s="72"/>
      <c r="E8547" s="72"/>
      <c r="H8547" s="49"/>
      <c r="K8547"/>
      <c r="L8547" s="73"/>
    </row>
    <row r="8548" spans="1:12" x14ac:dyDescent="0.3">
      <c r="A8548"/>
      <c r="B8548" s="72"/>
      <c r="E8548" s="72"/>
      <c r="H8548" s="49"/>
      <c r="K8548"/>
      <c r="L8548" s="73"/>
    </row>
    <row r="8549" spans="1:12" x14ac:dyDescent="0.3">
      <c r="A8549"/>
      <c r="B8549" s="72"/>
      <c r="E8549" s="72"/>
      <c r="H8549" s="49"/>
      <c r="K8549"/>
      <c r="L8549" s="73"/>
    </row>
    <row r="8550" spans="1:12" x14ac:dyDescent="0.3">
      <c r="A8550"/>
      <c r="B8550" s="72"/>
      <c r="E8550" s="72"/>
      <c r="H8550" s="49"/>
      <c r="K8550"/>
      <c r="L8550" s="73"/>
    </row>
    <row r="8551" spans="1:12" x14ac:dyDescent="0.3">
      <c r="A8551"/>
      <c r="B8551" s="72"/>
      <c r="E8551" s="72"/>
      <c r="H8551" s="49"/>
      <c r="K8551"/>
      <c r="L8551" s="73"/>
    </row>
    <row r="8552" spans="1:12" x14ac:dyDescent="0.3">
      <c r="A8552"/>
      <c r="B8552" s="72"/>
      <c r="E8552" s="72"/>
      <c r="H8552" s="49"/>
      <c r="K8552"/>
      <c r="L8552" s="73"/>
    </row>
    <row r="8553" spans="1:12" x14ac:dyDescent="0.3">
      <c r="A8553"/>
      <c r="B8553" s="72"/>
      <c r="E8553" s="72"/>
      <c r="H8553" s="49"/>
      <c r="K8553"/>
      <c r="L8553" s="73"/>
    </row>
    <row r="8554" spans="1:12" x14ac:dyDescent="0.3">
      <c r="A8554"/>
      <c r="B8554" s="72"/>
      <c r="E8554" s="72"/>
      <c r="H8554" s="49"/>
      <c r="K8554"/>
      <c r="L8554" s="73"/>
    </row>
    <row r="8555" spans="1:12" x14ac:dyDescent="0.3">
      <c r="A8555"/>
      <c r="B8555" s="72"/>
      <c r="E8555" s="72"/>
      <c r="H8555" s="49"/>
      <c r="K8555"/>
      <c r="L8555" s="73"/>
    </row>
    <row r="8556" spans="1:12" x14ac:dyDescent="0.3">
      <c r="A8556"/>
      <c r="B8556" s="72"/>
      <c r="E8556" s="72"/>
      <c r="H8556" s="49"/>
      <c r="K8556"/>
      <c r="L8556" s="73"/>
    </row>
    <row r="8557" spans="1:12" x14ac:dyDescent="0.3">
      <c r="A8557"/>
      <c r="B8557" s="72"/>
      <c r="E8557" s="72"/>
      <c r="H8557" s="49"/>
      <c r="K8557"/>
      <c r="L8557" s="73"/>
    </row>
    <row r="8558" spans="1:12" x14ac:dyDescent="0.3">
      <c r="A8558"/>
      <c r="B8558" s="72"/>
      <c r="E8558" s="72"/>
      <c r="H8558" s="49"/>
      <c r="K8558"/>
      <c r="L8558" s="73"/>
    </row>
    <row r="8559" spans="1:12" x14ac:dyDescent="0.3">
      <c r="A8559"/>
      <c r="B8559" s="72"/>
      <c r="E8559" s="72"/>
      <c r="H8559" s="49"/>
      <c r="K8559"/>
      <c r="L8559" s="73"/>
    </row>
    <row r="8560" spans="1:12" x14ac:dyDescent="0.3">
      <c r="A8560"/>
      <c r="B8560" s="72"/>
      <c r="E8560" s="72"/>
      <c r="H8560" s="49"/>
      <c r="K8560"/>
      <c r="L8560" s="73"/>
    </row>
    <row r="8561" spans="1:12" x14ac:dyDescent="0.3">
      <c r="A8561"/>
      <c r="B8561" s="72"/>
      <c r="E8561" s="72"/>
      <c r="H8561" s="49"/>
      <c r="K8561"/>
      <c r="L8561" s="73"/>
    </row>
    <row r="8562" spans="1:12" x14ac:dyDescent="0.3">
      <c r="A8562"/>
      <c r="B8562" s="72"/>
      <c r="E8562" s="72"/>
      <c r="H8562" s="49"/>
      <c r="K8562"/>
      <c r="L8562" s="73"/>
    </row>
    <row r="8563" spans="1:12" x14ac:dyDescent="0.3">
      <c r="A8563"/>
      <c r="B8563" s="72"/>
      <c r="E8563" s="72"/>
      <c r="H8563" s="49"/>
      <c r="K8563"/>
      <c r="L8563" s="73"/>
    </row>
    <row r="8564" spans="1:12" x14ac:dyDescent="0.3">
      <c r="A8564"/>
      <c r="B8564" s="72"/>
      <c r="E8564" s="72"/>
      <c r="H8564" s="49"/>
      <c r="K8564"/>
      <c r="L8564" s="73"/>
    </row>
    <row r="8565" spans="1:12" x14ac:dyDescent="0.3">
      <c r="A8565"/>
      <c r="B8565" s="72"/>
      <c r="E8565" s="72"/>
      <c r="H8565" s="49"/>
      <c r="K8565"/>
      <c r="L8565" s="73"/>
    </row>
    <row r="8566" spans="1:12" x14ac:dyDescent="0.3">
      <c r="A8566"/>
      <c r="B8566" s="72"/>
      <c r="E8566" s="72"/>
      <c r="H8566" s="49"/>
      <c r="K8566"/>
      <c r="L8566" s="73"/>
    </row>
    <row r="8567" spans="1:12" x14ac:dyDescent="0.3">
      <c r="A8567"/>
      <c r="B8567" s="72"/>
      <c r="E8567" s="72"/>
      <c r="H8567" s="49"/>
      <c r="K8567"/>
      <c r="L8567" s="73"/>
    </row>
    <row r="8568" spans="1:12" x14ac:dyDescent="0.3">
      <c r="A8568"/>
      <c r="B8568" s="72"/>
      <c r="E8568" s="72"/>
      <c r="H8568" s="49"/>
      <c r="K8568"/>
      <c r="L8568" s="73"/>
    </row>
    <row r="8569" spans="1:12" x14ac:dyDescent="0.3">
      <c r="A8569"/>
      <c r="B8569" s="72"/>
      <c r="E8569" s="72"/>
      <c r="H8569" s="49"/>
      <c r="K8569"/>
      <c r="L8569" s="73"/>
    </row>
    <row r="8570" spans="1:12" x14ac:dyDescent="0.3">
      <c r="A8570"/>
      <c r="B8570" s="72"/>
      <c r="E8570" s="72"/>
      <c r="H8570" s="49"/>
      <c r="K8570"/>
      <c r="L8570" s="73"/>
    </row>
    <row r="8571" spans="1:12" x14ac:dyDescent="0.3">
      <c r="A8571"/>
      <c r="B8571" s="72"/>
      <c r="E8571" s="72"/>
      <c r="H8571" s="49"/>
      <c r="K8571"/>
      <c r="L8571" s="73"/>
    </row>
    <row r="8572" spans="1:12" x14ac:dyDescent="0.3">
      <c r="A8572"/>
      <c r="B8572" s="72"/>
      <c r="E8572" s="72"/>
      <c r="H8572" s="49"/>
      <c r="K8572"/>
      <c r="L8572" s="73"/>
    </row>
    <row r="8573" spans="1:12" x14ac:dyDescent="0.3">
      <c r="A8573"/>
      <c r="B8573" s="72"/>
      <c r="E8573" s="72"/>
      <c r="H8573" s="49"/>
      <c r="K8573"/>
      <c r="L8573" s="73"/>
    </row>
    <row r="8574" spans="1:12" x14ac:dyDescent="0.3">
      <c r="A8574"/>
      <c r="B8574" s="72"/>
      <c r="E8574" s="72"/>
      <c r="H8574" s="49"/>
      <c r="K8574"/>
      <c r="L8574" s="73"/>
    </row>
    <row r="8575" spans="1:12" x14ac:dyDescent="0.3">
      <c r="A8575"/>
      <c r="B8575" s="72"/>
      <c r="E8575" s="72"/>
      <c r="H8575" s="49"/>
      <c r="K8575"/>
      <c r="L8575" s="73"/>
    </row>
    <row r="8576" spans="1:12" x14ac:dyDescent="0.3">
      <c r="A8576"/>
      <c r="B8576" s="72"/>
      <c r="E8576" s="72"/>
      <c r="H8576" s="49"/>
      <c r="K8576"/>
      <c r="L8576" s="73"/>
    </row>
    <row r="8577" spans="1:12" x14ac:dyDescent="0.3">
      <c r="A8577"/>
      <c r="B8577" s="72"/>
      <c r="E8577" s="72"/>
      <c r="H8577" s="49"/>
      <c r="K8577"/>
      <c r="L8577" s="73"/>
    </row>
    <row r="8578" spans="1:12" x14ac:dyDescent="0.3">
      <c r="A8578"/>
      <c r="B8578" s="72"/>
      <c r="E8578" s="72"/>
      <c r="H8578" s="49"/>
      <c r="K8578"/>
      <c r="L8578" s="73"/>
    </row>
    <row r="8579" spans="1:12" x14ac:dyDescent="0.3">
      <c r="A8579"/>
      <c r="B8579" s="72"/>
      <c r="E8579" s="72"/>
      <c r="H8579" s="49"/>
      <c r="K8579"/>
      <c r="L8579" s="73"/>
    </row>
    <row r="8580" spans="1:12" x14ac:dyDescent="0.3">
      <c r="A8580"/>
      <c r="B8580" s="72"/>
      <c r="E8580" s="72"/>
      <c r="H8580" s="49"/>
      <c r="K8580"/>
      <c r="L8580" s="73"/>
    </row>
    <row r="8581" spans="1:12" x14ac:dyDescent="0.3">
      <c r="A8581"/>
      <c r="B8581" s="72"/>
      <c r="E8581" s="72"/>
      <c r="H8581" s="49"/>
      <c r="K8581"/>
      <c r="L8581" s="73"/>
    </row>
    <row r="8582" spans="1:12" x14ac:dyDescent="0.3">
      <c r="A8582"/>
      <c r="B8582" s="72"/>
      <c r="E8582" s="72"/>
      <c r="H8582" s="49"/>
      <c r="K8582"/>
      <c r="L8582" s="73"/>
    </row>
    <row r="8583" spans="1:12" x14ac:dyDescent="0.3">
      <c r="A8583"/>
      <c r="B8583" s="72"/>
      <c r="E8583" s="72"/>
      <c r="H8583" s="49"/>
      <c r="K8583"/>
      <c r="L8583" s="73"/>
    </row>
    <row r="8584" spans="1:12" x14ac:dyDescent="0.3">
      <c r="A8584"/>
      <c r="B8584" s="72"/>
      <c r="E8584" s="72"/>
      <c r="H8584" s="49"/>
      <c r="K8584"/>
      <c r="L8584" s="73"/>
    </row>
    <row r="8585" spans="1:12" x14ac:dyDescent="0.3">
      <c r="A8585"/>
      <c r="B8585" s="72"/>
      <c r="E8585" s="72"/>
      <c r="H8585" s="49"/>
      <c r="K8585"/>
      <c r="L8585" s="73"/>
    </row>
    <row r="8586" spans="1:12" x14ac:dyDescent="0.3">
      <c r="A8586"/>
      <c r="B8586" s="72"/>
      <c r="E8586" s="72"/>
      <c r="H8586" s="49"/>
      <c r="K8586"/>
      <c r="L8586" s="73"/>
    </row>
    <row r="8587" spans="1:12" x14ac:dyDescent="0.3">
      <c r="A8587"/>
      <c r="B8587" s="72"/>
      <c r="E8587" s="72"/>
      <c r="H8587" s="49"/>
      <c r="K8587"/>
      <c r="L8587" s="73"/>
    </row>
    <row r="8588" spans="1:12" x14ac:dyDescent="0.3">
      <c r="A8588"/>
      <c r="B8588" s="72"/>
      <c r="E8588" s="72"/>
      <c r="H8588" s="49"/>
      <c r="K8588"/>
      <c r="L8588" s="73"/>
    </row>
    <row r="8589" spans="1:12" x14ac:dyDescent="0.3">
      <c r="A8589"/>
      <c r="B8589" s="72"/>
      <c r="E8589" s="72"/>
      <c r="H8589" s="49"/>
      <c r="K8589"/>
      <c r="L8589" s="73"/>
    </row>
    <row r="8590" spans="1:12" x14ac:dyDescent="0.3">
      <c r="A8590"/>
      <c r="B8590" s="72"/>
      <c r="E8590" s="72"/>
      <c r="H8590" s="49"/>
      <c r="K8590"/>
      <c r="L8590" s="73"/>
    </row>
    <row r="8591" spans="1:12" x14ac:dyDescent="0.3">
      <c r="A8591"/>
      <c r="B8591" s="72"/>
      <c r="E8591" s="72"/>
      <c r="H8591" s="49"/>
      <c r="K8591"/>
      <c r="L8591" s="73"/>
    </row>
    <row r="8592" spans="1:12" x14ac:dyDescent="0.3">
      <c r="A8592"/>
      <c r="B8592" s="72"/>
      <c r="E8592" s="72"/>
      <c r="H8592" s="49"/>
      <c r="K8592"/>
      <c r="L8592" s="73"/>
    </row>
    <row r="8593" spans="1:12" x14ac:dyDescent="0.3">
      <c r="A8593"/>
      <c r="B8593" s="72"/>
      <c r="E8593" s="72"/>
      <c r="H8593" s="49"/>
      <c r="K8593"/>
      <c r="L8593" s="73"/>
    </row>
    <row r="8594" spans="1:12" x14ac:dyDescent="0.3">
      <c r="A8594"/>
      <c r="B8594" s="72"/>
      <c r="E8594" s="72"/>
      <c r="H8594" s="49"/>
      <c r="K8594"/>
      <c r="L8594" s="73"/>
    </row>
    <row r="8595" spans="1:12" x14ac:dyDescent="0.3">
      <c r="A8595"/>
      <c r="B8595" s="72"/>
      <c r="E8595" s="72"/>
      <c r="H8595" s="49"/>
      <c r="K8595"/>
      <c r="L8595" s="73"/>
    </row>
    <row r="8596" spans="1:12" x14ac:dyDescent="0.3">
      <c r="A8596"/>
      <c r="B8596" s="72"/>
      <c r="E8596" s="72"/>
      <c r="H8596" s="49"/>
      <c r="K8596"/>
      <c r="L8596" s="73"/>
    </row>
    <row r="8597" spans="1:12" x14ac:dyDescent="0.3">
      <c r="A8597"/>
      <c r="B8597" s="72"/>
      <c r="E8597" s="72"/>
      <c r="H8597" s="49"/>
      <c r="K8597"/>
      <c r="L8597" s="73"/>
    </row>
    <row r="8598" spans="1:12" x14ac:dyDescent="0.3">
      <c r="A8598"/>
      <c r="B8598" s="72"/>
      <c r="E8598" s="72"/>
      <c r="H8598" s="49"/>
      <c r="K8598"/>
      <c r="L8598" s="73"/>
    </row>
    <row r="8599" spans="1:12" x14ac:dyDescent="0.3">
      <c r="A8599"/>
      <c r="B8599" s="72"/>
      <c r="E8599" s="72"/>
      <c r="H8599" s="49"/>
      <c r="K8599"/>
      <c r="L8599" s="73"/>
    </row>
    <row r="8600" spans="1:12" x14ac:dyDescent="0.3">
      <c r="A8600"/>
      <c r="B8600" s="72"/>
      <c r="E8600" s="72"/>
      <c r="H8600" s="49"/>
      <c r="K8600"/>
      <c r="L8600" s="73"/>
    </row>
    <row r="8601" spans="1:12" x14ac:dyDescent="0.3">
      <c r="A8601"/>
      <c r="B8601" s="72"/>
      <c r="E8601" s="72"/>
      <c r="H8601" s="49"/>
      <c r="K8601"/>
      <c r="L8601" s="73"/>
    </row>
    <row r="8602" spans="1:12" x14ac:dyDescent="0.3">
      <c r="A8602"/>
      <c r="B8602" s="72"/>
      <c r="E8602" s="72"/>
      <c r="H8602" s="49"/>
      <c r="K8602"/>
      <c r="L8602" s="73"/>
    </row>
    <row r="8603" spans="1:12" x14ac:dyDescent="0.3">
      <c r="A8603"/>
      <c r="B8603" s="72"/>
      <c r="E8603" s="72"/>
      <c r="H8603" s="49"/>
      <c r="K8603"/>
      <c r="L8603" s="73"/>
    </row>
    <row r="8604" spans="1:12" x14ac:dyDescent="0.3">
      <c r="A8604"/>
      <c r="B8604" s="72"/>
      <c r="E8604" s="72"/>
      <c r="H8604" s="49"/>
      <c r="K8604"/>
      <c r="L8604" s="73"/>
    </row>
    <row r="8605" spans="1:12" x14ac:dyDescent="0.3">
      <c r="A8605"/>
      <c r="B8605" s="72"/>
      <c r="E8605" s="72"/>
      <c r="H8605" s="49"/>
      <c r="K8605"/>
      <c r="L8605" s="73"/>
    </row>
    <row r="8606" spans="1:12" x14ac:dyDescent="0.3">
      <c r="A8606"/>
      <c r="B8606" s="72"/>
      <c r="E8606" s="72"/>
      <c r="H8606" s="49"/>
      <c r="K8606"/>
      <c r="L8606" s="73"/>
    </row>
    <row r="8607" spans="1:12" x14ac:dyDescent="0.3">
      <c r="A8607"/>
      <c r="B8607" s="72"/>
      <c r="E8607" s="72"/>
      <c r="H8607" s="49"/>
      <c r="K8607"/>
      <c r="L8607" s="73"/>
    </row>
    <row r="8608" spans="1:12" x14ac:dyDescent="0.3">
      <c r="A8608"/>
      <c r="B8608" s="72"/>
      <c r="E8608" s="72"/>
      <c r="H8608" s="49"/>
      <c r="K8608"/>
      <c r="L8608" s="73"/>
    </row>
    <row r="8609" spans="1:12" x14ac:dyDescent="0.3">
      <c r="A8609"/>
      <c r="B8609" s="72"/>
      <c r="E8609" s="72"/>
      <c r="H8609" s="49"/>
      <c r="K8609"/>
      <c r="L8609" s="73"/>
    </row>
    <row r="8610" spans="1:12" x14ac:dyDescent="0.3">
      <c r="A8610"/>
      <c r="B8610" s="72"/>
      <c r="E8610" s="72"/>
      <c r="H8610" s="49"/>
      <c r="K8610"/>
      <c r="L8610" s="73"/>
    </row>
    <row r="8611" spans="1:12" x14ac:dyDescent="0.3">
      <c r="A8611"/>
      <c r="B8611" s="72"/>
      <c r="E8611" s="72"/>
      <c r="H8611" s="49"/>
      <c r="K8611"/>
      <c r="L8611" s="73"/>
    </row>
    <row r="8612" spans="1:12" x14ac:dyDescent="0.3">
      <c r="A8612"/>
      <c r="B8612" s="72"/>
      <c r="E8612" s="72"/>
      <c r="H8612" s="49"/>
      <c r="K8612"/>
      <c r="L8612" s="73"/>
    </row>
    <row r="8613" spans="1:12" x14ac:dyDescent="0.3">
      <c r="A8613"/>
      <c r="B8613" s="72"/>
      <c r="E8613" s="72"/>
      <c r="H8613" s="49"/>
      <c r="K8613"/>
      <c r="L8613" s="73"/>
    </row>
    <row r="8614" spans="1:12" x14ac:dyDescent="0.3">
      <c r="A8614"/>
      <c r="B8614" s="72"/>
      <c r="E8614" s="72"/>
      <c r="H8614" s="49"/>
      <c r="K8614"/>
      <c r="L8614" s="73"/>
    </row>
    <row r="8615" spans="1:12" x14ac:dyDescent="0.3">
      <c r="A8615"/>
      <c r="B8615" s="72"/>
      <c r="E8615" s="72"/>
      <c r="H8615" s="49"/>
      <c r="K8615"/>
      <c r="L8615" s="73"/>
    </row>
    <row r="8616" spans="1:12" x14ac:dyDescent="0.3">
      <c r="A8616"/>
      <c r="B8616" s="72"/>
      <c r="E8616" s="72"/>
      <c r="H8616" s="49"/>
      <c r="K8616"/>
      <c r="L8616" s="73"/>
    </row>
    <row r="8617" spans="1:12" x14ac:dyDescent="0.3">
      <c r="A8617"/>
      <c r="B8617" s="72"/>
      <c r="E8617" s="72"/>
      <c r="H8617" s="49"/>
      <c r="K8617"/>
      <c r="L8617" s="73"/>
    </row>
    <row r="8618" spans="1:12" x14ac:dyDescent="0.3">
      <c r="A8618"/>
      <c r="B8618" s="72"/>
      <c r="E8618" s="72"/>
      <c r="H8618" s="49"/>
      <c r="K8618"/>
      <c r="L8618" s="73"/>
    </row>
    <row r="8619" spans="1:12" x14ac:dyDescent="0.3">
      <c r="A8619"/>
      <c r="B8619" s="72"/>
      <c r="E8619" s="72"/>
      <c r="H8619" s="49"/>
      <c r="K8619"/>
      <c r="L8619" s="73"/>
    </row>
    <row r="8620" spans="1:12" x14ac:dyDescent="0.3">
      <c r="A8620"/>
      <c r="B8620" s="72"/>
      <c r="E8620" s="72"/>
      <c r="H8620" s="49"/>
      <c r="K8620"/>
      <c r="L8620" s="73"/>
    </row>
    <row r="8621" spans="1:12" x14ac:dyDescent="0.3">
      <c r="A8621"/>
      <c r="B8621" s="72"/>
      <c r="E8621" s="72"/>
      <c r="H8621" s="49"/>
      <c r="K8621"/>
      <c r="L8621" s="73"/>
    </row>
    <row r="8622" spans="1:12" x14ac:dyDescent="0.3">
      <c r="A8622"/>
      <c r="B8622" s="72"/>
      <c r="E8622" s="72"/>
      <c r="H8622" s="49"/>
      <c r="K8622"/>
      <c r="L8622" s="73"/>
    </row>
    <row r="8623" spans="1:12" x14ac:dyDescent="0.3">
      <c r="A8623"/>
      <c r="B8623" s="72"/>
      <c r="E8623" s="72"/>
      <c r="H8623" s="49"/>
      <c r="K8623"/>
      <c r="L8623" s="73"/>
    </row>
    <row r="8624" spans="1:12" x14ac:dyDescent="0.3">
      <c r="A8624"/>
      <c r="B8624" s="72"/>
      <c r="E8624" s="72"/>
      <c r="H8624" s="49"/>
      <c r="K8624"/>
      <c r="L8624" s="73"/>
    </row>
    <row r="8625" spans="1:12" x14ac:dyDescent="0.3">
      <c r="A8625"/>
      <c r="B8625" s="72"/>
      <c r="E8625" s="72"/>
      <c r="H8625" s="49"/>
      <c r="K8625"/>
      <c r="L8625" s="73"/>
    </row>
    <row r="8626" spans="1:12" x14ac:dyDescent="0.3">
      <c r="A8626"/>
      <c r="B8626" s="72"/>
      <c r="E8626" s="72"/>
      <c r="H8626" s="49"/>
      <c r="K8626"/>
      <c r="L8626" s="73"/>
    </row>
    <row r="8627" spans="1:12" x14ac:dyDescent="0.3">
      <c r="A8627"/>
      <c r="B8627" s="72"/>
      <c r="E8627" s="72"/>
      <c r="H8627" s="49"/>
      <c r="K8627"/>
      <c r="L8627" s="73"/>
    </row>
    <row r="8628" spans="1:12" x14ac:dyDescent="0.3">
      <c r="A8628"/>
      <c r="B8628" s="72"/>
      <c r="E8628" s="72"/>
      <c r="H8628" s="49"/>
      <c r="K8628"/>
      <c r="L8628" s="73"/>
    </row>
    <row r="8629" spans="1:12" x14ac:dyDescent="0.3">
      <c r="A8629"/>
      <c r="B8629" s="72"/>
      <c r="E8629" s="72"/>
      <c r="H8629" s="49"/>
      <c r="K8629"/>
      <c r="L8629" s="73"/>
    </row>
    <row r="8630" spans="1:12" x14ac:dyDescent="0.3">
      <c r="A8630"/>
      <c r="B8630" s="72"/>
      <c r="E8630" s="72"/>
      <c r="H8630" s="49"/>
      <c r="K8630"/>
      <c r="L8630" s="73"/>
    </row>
    <row r="8631" spans="1:12" x14ac:dyDescent="0.3">
      <c r="A8631"/>
      <c r="B8631" s="72"/>
      <c r="E8631" s="72"/>
      <c r="H8631" s="49"/>
      <c r="K8631"/>
      <c r="L8631" s="73"/>
    </row>
    <row r="8632" spans="1:12" x14ac:dyDescent="0.3">
      <c r="A8632"/>
      <c r="B8632" s="72"/>
      <c r="E8632" s="72"/>
      <c r="H8632" s="49"/>
      <c r="K8632"/>
      <c r="L8632" s="73"/>
    </row>
    <row r="8633" spans="1:12" x14ac:dyDescent="0.3">
      <c r="A8633"/>
      <c r="B8633" s="72"/>
      <c r="E8633" s="72"/>
      <c r="H8633" s="49"/>
      <c r="K8633"/>
      <c r="L8633" s="73"/>
    </row>
    <row r="8634" spans="1:12" x14ac:dyDescent="0.3">
      <c r="A8634"/>
      <c r="B8634" s="72"/>
      <c r="E8634" s="72"/>
      <c r="H8634" s="49"/>
      <c r="K8634"/>
      <c r="L8634" s="73"/>
    </row>
    <row r="8635" spans="1:12" x14ac:dyDescent="0.3">
      <c r="A8635"/>
      <c r="B8635" s="72"/>
      <c r="E8635" s="72"/>
      <c r="H8635" s="49"/>
      <c r="K8635"/>
      <c r="L8635" s="73"/>
    </row>
    <row r="8636" spans="1:12" x14ac:dyDescent="0.3">
      <c r="A8636"/>
      <c r="B8636" s="72"/>
      <c r="E8636" s="72"/>
      <c r="H8636" s="49"/>
      <c r="K8636"/>
      <c r="L8636" s="73"/>
    </row>
    <row r="8637" spans="1:12" x14ac:dyDescent="0.3">
      <c r="A8637"/>
      <c r="B8637" s="72"/>
      <c r="E8637" s="72"/>
      <c r="H8637" s="49"/>
      <c r="K8637"/>
      <c r="L8637" s="73"/>
    </row>
    <row r="8638" spans="1:12" x14ac:dyDescent="0.3">
      <c r="A8638"/>
      <c r="B8638" s="72"/>
      <c r="E8638" s="72"/>
      <c r="H8638" s="49"/>
      <c r="K8638"/>
      <c r="L8638" s="73"/>
    </row>
    <row r="8639" spans="1:12" x14ac:dyDescent="0.3">
      <c r="A8639"/>
      <c r="B8639" s="72"/>
      <c r="E8639" s="72"/>
      <c r="H8639" s="49"/>
      <c r="K8639"/>
      <c r="L8639" s="73"/>
    </row>
    <row r="8640" spans="1:12" x14ac:dyDescent="0.3">
      <c r="A8640"/>
      <c r="B8640" s="72"/>
      <c r="E8640" s="72"/>
      <c r="H8640" s="49"/>
      <c r="K8640"/>
      <c r="L8640" s="73"/>
    </row>
    <row r="8641" spans="1:12" x14ac:dyDescent="0.3">
      <c r="A8641"/>
      <c r="B8641" s="72"/>
      <c r="E8641" s="72"/>
      <c r="H8641" s="49"/>
      <c r="K8641"/>
      <c r="L8641" s="73"/>
    </row>
    <row r="8642" spans="1:12" x14ac:dyDescent="0.3">
      <c r="A8642"/>
      <c r="B8642" s="72"/>
      <c r="E8642" s="72"/>
      <c r="H8642" s="49"/>
      <c r="K8642"/>
      <c r="L8642" s="73"/>
    </row>
    <row r="8643" spans="1:12" x14ac:dyDescent="0.3">
      <c r="A8643"/>
      <c r="B8643" s="72"/>
      <c r="E8643" s="72"/>
      <c r="H8643" s="49"/>
      <c r="K8643"/>
      <c r="L8643" s="73"/>
    </row>
    <row r="8644" spans="1:12" x14ac:dyDescent="0.3">
      <c r="A8644"/>
      <c r="B8644" s="72"/>
      <c r="E8644" s="72"/>
      <c r="H8644" s="49"/>
      <c r="K8644"/>
      <c r="L8644" s="73"/>
    </row>
    <row r="8645" spans="1:12" x14ac:dyDescent="0.3">
      <c r="A8645"/>
      <c r="B8645" s="72"/>
      <c r="E8645" s="72"/>
      <c r="H8645" s="49"/>
      <c r="K8645"/>
      <c r="L8645" s="73"/>
    </row>
    <row r="8646" spans="1:12" x14ac:dyDescent="0.3">
      <c r="A8646"/>
      <c r="B8646" s="72"/>
      <c r="E8646" s="72"/>
      <c r="H8646" s="49"/>
      <c r="K8646"/>
      <c r="L8646" s="73"/>
    </row>
    <row r="8647" spans="1:12" x14ac:dyDescent="0.3">
      <c r="A8647"/>
      <c r="B8647" s="72"/>
      <c r="E8647" s="72"/>
      <c r="H8647" s="49"/>
      <c r="K8647"/>
      <c r="L8647" s="73"/>
    </row>
    <row r="8648" spans="1:12" x14ac:dyDescent="0.3">
      <c r="A8648"/>
      <c r="B8648" s="72"/>
      <c r="E8648" s="72"/>
      <c r="H8648" s="49"/>
      <c r="K8648"/>
      <c r="L8648" s="73"/>
    </row>
    <row r="8649" spans="1:12" x14ac:dyDescent="0.3">
      <c r="A8649"/>
      <c r="B8649" s="72"/>
      <c r="E8649" s="72"/>
      <c r="H8649" s="49"/>
      <c r="K8649"/>
      <c r="L8649" s="73"/>
    </row>
    <row r="8650" spans="1:12" x14ac:dyDescent="0.3">
      <c r="A8650"/>
      <c r="B8650" s="72"/>
      <c r="E8650" s="72"/>
      <c r="H8650" s="49"/>
      <c r="K8650"/>
      <c r="L8650" s="73"/>
    </row>
    <row r="8651" spans="1:12" x14ac:dyDescent="0.3">
      <c r="A8651"/>
      <c r="B8651" s="72"/>
      <c r="E8651" s="72"/>
      <c r="H8651" s="49"/>
      <c r="K8651"/>
      <c r="L8651" s="73"/>
    </row>
    <row r="8652" spans="1:12" x14ac:dyDescent="0.3">
      <c r="A8652"/>
      <c r="B8652" s="72"/>
      <c r="E8652" s="72"/>
      <c r="H8652" s="49"/>
      <c r="K8652"/>
      <c r="L8652" s="73"/>
    </row>
    <row r="8653" spans="1:12" x14ac:dyDescent="0.3">
      <c r="A8653"/>
      <c r="B8653" s="72"/>
      <c r="E8653" s="72"/>
      <c r="H8653" s="49"/>
      <c r="K8653"/>
      <c r="L8653" s="73"/>
    </row>
    <row r="8654" spans="1:12" x14ac:dyDescent="0.3">
      <c r="A8654"/>
      <c r="B8654" s="72"/>
      <c r="E8654" s="72"/>
      <c r="H8654" s="49"/>
      <c r="K8654"/>
      <c r="L8654" s="73"/>
    </row>
    <row r="8655" spans="1:12" x14ac:dyDescent="0.3">
      <c r="A8655"/>
      <c r="B8655" s="72"/>
      <c r="E8655" s="72"/>
      <c r="H8655" s="49"/>
      <c r="K8655"/>
      <c r="L8655" s="73"/>
    </row>
    <row r="8656" spans="1:12" x14ac:dyDescent="0.3">
      <c r="A8656"/>
      <c r="B8656" s="72"/>
      <c r="E8656" s="72"/>
      <c r="H8656" s="49"/>
      <c r="K8656"/>
      <c r="L8656" s="73"/>
    </row>
    <row r="8657" spans="1:12" x14ac:dyDescent="0.3">
      <c r="A8657"/>
      <c r="B8657" s="72"/>
      <c r="E8657" s="72"/>
      <c r="H8657" s="49"/>
      <c r="K8657"/>
      <c r="L8657" s="73"/>
    </row>
    <row r="8658" spans="1:12" x14ac:dyDescent="0.3">
      <c r="A8658"/>
      <c r="B8658" s="72"/>
      <c r="E8658" s="72"/>
      <c r="H8658" s="49"/>
      <c r="K8658"/>
      <c r="L8658" s="73"/>
    </row>
    <row r="8659" spans="1:12" x14ac:dyDescent="0.3">
      <c r="A8659"/>
      <c r="B8659" s="72"/>
      <c r="E8659" s="72"/>
      <c r="H8659" s="49"/>
      <c r="K8659"/>
      <c r="L8659" s="73"/>
    </row>
    <row r="8660" spans="1:12" x14ac:dyDescent="0.3">
      <c r="A8660"/>
      <c r="B8660" s="72"/>
      <c r="E8660" s="72"/>
      <c r="H8660" s="49"/>
      <c r="K8660"/>
      <c r="L8660" s="73"/>
    </row>
    <row r="8661" spans="1:12" x14ac:dyDescent="0.3">
      <c r="A8661"/>
      <c r="B8661" s="72"/>
      <c r="E8661" s="72"/>
      <c r="H8661" s="49"/>
      <c r="K8661"/>
      <c r="L8661" s="73"/>
    </row>
    <row r="8662" spans="1:12" x14ac:dyDescent="0.3">
      <c r="A8662"/>
      <c r="B8662" s="72"/>
      <c r="E8662" s="72"/>
      <c r="H8662" s="49"/>
      <c r="K8662"/>
      <c r="L8662" s="73"/>
    </row>
    <row r="8663" spans="1:12" x14ac:dyDescent="0.3">
      <c r="A8663"/>
      <c r="B8663" s="72"/>
      <c r="E8663" s="72"/>
      <c r="H8663" s="49"/>
      <c r="K8663"/>
      <c r="L8663" s="73"/>
    </row>
    <row r="8664" spans="1:12" x14ac:dyDescent="0.3">
      <c r="A8664"/>
      <c r="B8664" s="72"/>
      <c r="E8664" s="72"/>
      <c r="H8664" s="49"/>
      <c r="K8664"/>
      <c r="L8664" s="73"/>
    </row>
    <row r="8665" spans="1:12" x14ac:dyDescent="0.3">
      <c r="A8665"/>
      <c r="B8665" s="72"/>
      <c r="E8665" s="72"/>
      <c r="H8665" s="49"/>
      <c r="K8665"/>
      <c r="L8665" s="73"/>
    </row>
    <row r="8666" spans="1:12" x14ac:dyDescent="0.3">
      <c r="A8666"/>
      <c r="B8666" s="72"/>
      <c r="E8666" s="72"/>
      <c r="H8666" s="49"/>
      <c r="K8666"/>
      <c r="L8666" s="73"/>
    </row>
    <row r="8667" spans="1:12" x14ac:dyDescent="0.3">
      <c r="A8667"/>
      <c r="B8667" s="72"/>
      <c r="E8667" s="72"/>
      <c r="H8667" s="49"/>
      <c r="K8667"/>
      <c r="L8667" s="73"/>
    </row>
    <row r="8668" spans="1:12" x14ac:dyDescent="0.3">
      <c r="A8668"/>
      <c r="B8668" s="72"/>
      <c r="E8668" s="72"/>
      <c r="H8668" s="49"/>
      <c r="K8668"/>
      <c r="L8668" s="73"/>
    </row>
    <row r="8669" spans="1:12" x14ac:dyDescent="0.3">
      <c r="A8669"/>
      <c r="B8669" s="72"/>
      <c r="E8669" s="72"/>
      <c r="H8669" s="49"/>
      <c r="K8669"/>
      <c r="L8669" s="73"/>
    </row>
    <row r="8670" spans="1:12" x14ac:dyDescent="0.3">
      <c r="A8670"/>
      <c r="B8670" s="72"/>
      <c r="E8670" s="72"/>
      <c r="H8670" s="49"/>
      <c r="K8670"/>
      <c r="L8670" s="73"/>
    </row>
    <row r="8671" spans="1:12" x14ac:dyDescent="0.3">
      <c r="A8671"/>
      <c r="B8671" s="72"/>
      <c r="E8671" s="72"/>
      <c r="H8671" s="49"/>
      <c r="K8671"/>
      <c r="L8671" s="73"/>
    </row>
    <row r="8672" spans="1:12" x14ac:dyDescent="0.3">
      <c r="A8672"/>
      <c r="B8672" s="72"/>
      <c r="E8672" s="72"/>
      <c r="H8672" s="49"/>
      <c r="K8672"/>
      <c r="L8672" s="73"/>
    </row>
    <row r="8673" spans="1:12" x14ac:dyDescent="0.3">
      <c r="A8673"/>
      <c r="B8673" s="72"/>
      <c r="E8673" s="72"/>
      <c r="H8673" s="49"/>
      <c r="K8673"/>
      <c r="L8673" s="73"/>
    </row>
    <row r="8674" spans="1:12" x14ac:dyDescent="0.3">
      <c r="A8674"/>
      <c r="B8674" s="72"/>
      <c r="E8674" s="72"/>
      <c r="H8674" s="49"/>
      <c r="K8674"/>
      <c r="L8674" s="73"/>
    </row>
    <row r="8675" spans="1:12" x14ac:dyDescent="0.3">
      <c r="A8675"/>
      <c r="B8675" s="72"/>
      <c r="E8675" s="72"/>
      <c r="H8675" s="49"/>
      <c r="K8675"/>
      <c r="L8675" s="73"/>
    </row>
    <row r="8676" spans="1:12" x14ac:dyDescent="0.3">
      <c r="A8676"/>
      <c r="B8676" s="72"/>
      <c r="E8676" s="72"/>
      <c r="H8676" s="49"/>
      <c r="K8676"/>
      <c r="L8676" s="73"/>
    </row>
    <row r="8677" spans="1:12" x14ac:dyDescent="0.3">
      <c r="A8677"/>
      <c r="B8677" s="72"/>
      <c r="E8677" s="72"/>
      <c r="H8677" s="49"/>
      <c r="K8677"/>
      <c r="L8677" s="73"/>
    </row>
    <row r="8678" spans="1:12" x14ac:dyDescent="0.3">
      <c r="A8678"/>
      <c r="B8678" s="72"/>
      <c r="E8678" s="72"/>
      <c r="H8678" s="49"/>
      <c r="K8678"/>
      <c r="L8678" s="73"/>
    </row>
    <row r="8679" spans="1:12" x14ac:dyDescent="0.3">
      <c r="A8679"/>
      <c r="B8679" s="72"/>
      <c r="E8679" s="72"/>
      <c r="H8679" s="49"/>
      <c r="K8679"/>
      <c r="L8679" s="73"/>
    </row>
    <row r="8680" spans="1:12" x14ac:dyDescent="0.3">
      <c r="A8680"/>
      <c r="B8680" s="72"/>
      <c r="E8680" s="72"/>
      <c r="H8680" s="49"/>
      <c r="K8680"/>
      <c r="L8680" s="73"/>
    </row>
    <row r="8681" spans="1:12" x14ac:dyDescent="0.3">
      <c r="A8681"/>
      <c r="B8681" s="72"/>
      <c r="E8681" s="72"/>
      <c r="H8681" s="49"/>
      <c r="K8681"/>
      <c r="L8681" s="73"/>
    </row>
    <row r="8682" spans="1:12" x14ac:dyDescent="0.3">
      <c r="A8682"/>
      <c r="B8682" s="72"/>
      <c r="E8682" s="72"/>
      <c r="H8682" s="49"/>
      <c r="K8682"/>
      <c r="L8682" s="73"/>
    </row>
    <row r="8683" spans="1:12" x14ac:dyDescent="0.3">
      <c r="A8683"/>
      <c r="B8683" s="72"/>
      <c r="E8683" s="72"/>
      <c r="H8683" s="49"/>
      <c r="K8683"/>
      <c r="L8683" s="73"/>
    </row>
    <row r="8684" spans="1:12" x14ac:dyDescent="0.3">
      <c r="A8684"/>
      <c r="B8684" s="72"/>
      <c r="E8684" s="72"/>
      <c r="H8684" s="49"/>
      <c r="K8684"/>
      <c r="L8684" s="73"/>
    </row>
    <row r="8685" spans="1:12" x14ac:dyDescent="0.3">
      <c r="A8685"/>
      <c r="B8685" s="72"/>
      <c r="E8685" s="72"/>
      <c r="H8685" s="49"/>
      <c r="K8685"/>
      <c r="L8685" s="73"/>
    </row>
    <row r="8686" spans="1:12" x14ac:dyDescent="0.3">
      <c r="A8686"/>
      <c r="B8686" s="72"/>
      <c r="E8686" s="72"/>
      <c r="H8686" s="49"/>
      <c r="K8686"/>
      <c r="L8686" s="73"/>
    </row>
    <row r="8687" spans="1:12" x14ac:dyDescent="0.3">
      <c r="A8687"/>
      <c r="B8687" s="72"/>
      <c r="E8687" s="72"/>
      <c r="H8687" s="49"/>
      <c r="K8687"/>
      <c r="L8687" s="73"/>
    </row>
    <row r="8688" spans="1:12" x14ac:dyDescent="0.3">
      <c r="A8688"/>
      <c r="B8688" s="72"/>
      <c r="E8688" s="72"/>
      <c r="H8688" s="49"/>
      <c r="K8688"/>
      <c r="L8688" s="73"/>
    </row>
    <row r="8689" spans="1:12" x14ac:dyDescent="0.3">
      <c r="A8689"/>
      <c r="B8689" s="72"/>
      <c r="E8689" s="72"/>
      <c r="H8689" s="49"/>
      <c r="K8689"/>
      <c r="L8689" s="73"/>
    </row>
    <row r="8690" spans="1:12" x14ac:dyDescent="0.3">
      <c r="A8690"/>
      <c r="B8690" s="72"/>
      <c r="E8690" s="72"/>
      <c r="H8690" s="49"/>
      <c r="K8690"/>
      <c r="L8690" s="73"/>
    </row>
    <row r="8691" spans="1:12" x14ac:dyDescent="0.3">
      <c r="A8691"/>
      <c r="B8691" s="72"/>
      <c r="E8691" s="72"/>
      <c r="H8691" s="49"/>
      <c r="K8691"/>
      <c r="L8691" s="73"/>
    </row>
    <row r="8692" spans="1:12" x14ac:dyDescent="0.3">
      <c r="A8692"/>
      <c r="B8692" s="72"/>
      <c r="E8692" s="72"/>
      <c r="H8692" s="49"/>
      <c r="K8692"/>
      <c r="L8692" s="73"/>
    </row>
    <row r="8693" spans="1:12" x14ac:dyDescent="0.3">
      <c r="A8693"/>
      <c r="B8693" s="72"/>
      <c r="E8693" s="72"/>
      <c r="H8693" s="49"/>
      <c r="K8693"/>
      <c r="L8693" s="73"/>
    </row>
    <row r="8694" spans="1:12" x14ac:dyDescent="0.3">
      <c r="A8694"/>
      <c r="B8694" s="72"/>
      <c r="E8694" s="72"/>
      <c r="H8694" s="49"/>
      <c r="K8694"/>
      <c r="L8694" s="73"/>
    </row>
    <row r="8695" spans="1:12" x14ac:dyDescent="0.3">
      <c r="A8695"/>
      <c r="B8695" s="72"/>
      <c r="E8695" s="72"/>
      <c r="H8695" s="49"/>
      <c r="K8695"/>
      <c r="L8695" s="73"/>
    </row>
    <row r="8696" spans="1:12" x14ac:dyDescent="0.3">
      <c r="A8696"/>
      <c r="B8696" s="72"/>
      <c r="E8696" s="72"/>
      <c r="H8696" s="49"/>
      <c r="K8696"/>
      <c r="L8696" s="73"/>
    </row>
    <row r="8697" spans="1:12" x14ac:dyDescent="0.3">
      <c r="A8697"/>
      <c r="B8697" s="72"/>
      <c r="E8697" s="72"/>
      <c r="H8697" s="49"/>
      <c r="K8697"/>
      <c r="L8697" s="73"/>
    </row>
    <row r="8698" spans="1:12" x14ac:dyDescent="0.3">
      <c r="A8698"/>
      <c r="B8698" s="72"/>
      <c r="E8698" s="72"/>
      <c r="H8698" s="49"/>
      <c r="K8698"/>
      <c r="L8698" s="73"/>
    </row>
    <row r="8699" spans="1:12" x14ac:dyDescent="0.3">
      <c r="A8699"/>
      <c r="B8699" s="72"/>
      <c r="E8699" s="72"/>
      <c r="H8699" s="49"/>
      <c r="K8699"/>
      <c r="L8699" s="73"/>
    </row>
    <row r="8700" spans="1:12" x14ac:dyDescent="0.3">
      <c r="A8700"/>
      <c r="B8700" s="72"/>
      <c r="E8700" s="72"/>
      <c r="H8700" s="49"/>
      <c r="K8700"/>
      <c r="L8700" s="73"/>
    </row>
    <row r="8701" spans="1:12" x14ac:dyDescent="0.3">
      <c r="A8701"/>
      <c r="B8701" s="72"/>
      <c r="E8701" s="72"/>
      <c r="H8701" s="49"/>
      <c r="K8701"/>
      <c r="L8701" s="73"/>
    </row>
    <row r="8702" spans="1:12" x14ac:dyDescent="0.3">
      <c r="A8702"/>
      <c r="B8702" s="72"/>
      <c r="E8702" s="72"/>
      <c r="H8702" s="49"/>
      <c r="K8702"/>
      <c r="L8702" s="73"/>
    </row>
    <row r="8703" spans="1:12" x14ac:dyDescent="0.3">
      <c r="A8703"/>
      <c r="B8703" s="72"/>
      <c r="E8703" s="72"/>
      <c r="H8703" s="49"/>
      <c r="K8703"/>
      <c r="L8703" s="73"/>
    </row>
    <row r="8704" spans="1:12" x14ac:dyDescent="0.3">
      <c r="A8704"/>
      <c r="B8704" s="72"/>
      <c r="E8704" s="72"/>
      <c r="H8704" s="49"/>
      <c r="K8704"/>
      <c r="L8704" s="73"/>
    </row>
    <row r="8705" spans="1:12" x14ac:dyDescent="0.3">
      <c r="A8705"/>
      <c r="B8705" s="72"/>
      <c r="E8705" s="72"/>
      <c r="H8705" s="49"/>
      <c r="K8705"/>
      <c r="L8705" s="73"/>
    </row>
    <row r="8706" spans="1:12" x14ac:dyDescent="0.3">
      <c r="A8706"/>
      <c r="B8706" s="72"/>
      <c r="E8706" s="72"/>
      <c r="H8706" s="49"/>
      <c r="K8706"/>
      <c r="L8706" s="73"/>
    </row>
    <row r="8707" spans="1:12" x14ac:dyDescent="0.3">
      <c r="A8707"/>
      <c r="B8707" s="72"/>
      <c r="E8707" s="72"/>
      <c r="H8707" s="49"/>
      <c r="K8707"/>
      <c r="L8707" s="73"/>
    </row>
    <row r="8708" spans="1:12" x14ac:dyDescent="0.3">
      <c r="A8708"/>
      <c r="B8708" s="72"/>
      <c r="E8708" s="72"/>
      <c r="H8708" s="49"/>
      <c r="K8708"/>
      <c r="L8708" s="73"/>
    </row>
    <row r="8709" spans="1:12" x14ac:dyDescent="0.3">
      <c r="A8709"/>
      <c r="B8709" s="72"/>
      <c r="E8709" s="72"/>
      <c r="H8709" s="49"/>
      <c r="K8709"/>
      <c r="L8709" s="73"/>
    </row>
    <row r="8710" spans="1:12" x14ac:dyDescent="0.3">
      <c r="A8710"/>
      <c r="B8710" s="72"/>
      <c r="E8710" s="72"/>
      <c r="H8710" s="49"/>
      <c r="K8710"/>
      <c r="L8710" s="73"/>
    </row>
    <row r="8711" spans="1:12" x14ac:dyDescent="0.3">
      <c r="A8711"/>
      <c r="B8711" s="72"/>
      <c r="E8711" s="72"/>
      <c r="H8711" s="49"/>
      <c r="K8711"/>
      <c r="L8711" s="73"/>
    </row>
    <row r="8712" spans="1:12" x14ac:dyDescent="0.3">
      <c r="A8712"/>
      <c r="B8712" s="72"/>
      <c r="E8712" s="72"/>
      <c r="H8712" s="49"/>
      <c r="K8712"/>
      <c r="L8712" s="73"/>
    </row>
    <row r="8713" spans="1:12" x14ac:dyDescent="0.3">
      <c r="A8713"/>
      <c r="B8713" s="72"/>
      <c r="E8713" s="72"/>
      <c r="H8713" s="49"/>
      <c r="K8713"/>
      <c r="L8713" s="73"/>
    </row>
    <row r="8714" spans="1:12" x14ac:dyDescent="0.3">
      <c r="A8714"/>
      <c r="B8714" s="72"/>
      <c r="E8714" s="72"/>
      <c r="H8714" s="49"/>
      <c r="K8714"/>
      <c r="L8714" s="73"/>
    </row>
    <row r="8715" spans="1:12" x14ac:dyDescent="0.3">
      <c r="A8715"/>
      <c r="B8715" s="72"/>
      <c r="E8715" s="72"/>
      <c r="H8715" s="49"/>
      <c r="K8715"/>
      <c r="L8715" s="73"/>
    </row>
    <row r="8716" spans="1:12" x14ac:dyDescent="0.3">
      <c r="A8716"/>
      <c r="B8716" s="72"/>
      <c r="E8716" s="72"/>
      <c r="H8716" s="49"/>
      <c r="K8716"/>
      <c r="L8716" s="73"/>
    </row>
    <row r="8717" spans="1:12" x14ac:dyDescent="0.3">
      <c r="A8717"/>
      <c r="B8717" s="72"/>
      <c r="E8717" s="72"/>
      <c r="H8717" s="49"/>
      <c r="K8717"/>
      <c r="L8717" s="73"/>
    </row>
    <row r="8718" spans="1:12" x14ac:dyDescent="0.3">
      <c r="A8718"/>
      <c r="B8718" s="72"/>
      <c r="E8718" s="72"/>
      <c r="H8718" s="49"/>
      <c r="K8718"/>
      <c r="L8718" s="73"/>
    </row>
    <row r="8719" spans="1:12" x14ac:dyDescent="0.3">
      <c r="A8719"/>
      <c r="B8719" s="72"/>
      <c r="E8719" s="72"/>
      <c r="H8719" s="49"/>
      <c r="K8719"/>
      <c r="L8719" s="73"/>
    </row>
    <row r="8720" spans="1:12" x14ac:dyDescent="0.3">
      <c r="A8720"/>
      <c r="B8720" s="72"/>
      <c r="E8720" s="72"/>
      <c r="H8720" s="49"/>
      <c r="K8720"/>
      <c r="L8720" s="73"/>
    </row>
    <row r="8721" spans="1:12" x14ac:dyDescent="0.3">
      <c r="A8721"/>
      <c r="B8721" s="72"/>
      <c r="E8721" s="72"/>
      <c r="H8721" s="49"/>
      <c r="K8721"/>
      <c r="L8721" s="73"/>
    </row>
    <row r="8722" spans="1:12" x14ac:dyDescent="0.3">
      <c r="A8722"/>
      <c r="B8722" s="72"/>
      <c r="E8722" s="72"/>
      <c r="H8722" s="49"/>
      <c r="K8722"/>
      <c r="L8722" s="73"/>
    </row>
    <row r="8723" spans="1:12" x14ac:dyDescent="0.3">
      <c r="A8723"/>
      <c r="B8723" s="72"/>
      <c r="E8723" s="72"/>
      <c r="H8723" s="49"/>
      <c r="K8723"/>
      <c r="L8723" s="73"/>
    </row>
    <row r="8724" spans="1:12" x14ac:dyDescent="0.3">
      <c r="A8724"/>
      <c r="B8724" s="72"/>
      <c r="E8724" s="72"/>
      <c r="H8724" s="49"/>
      <c r="K8724"/>
      <c r="L8724" s="73"/>
    </row>
    <row r="8725" spans="1:12" x14ac:dyDescent="0.3">
      <c r="A8725"/>
      <c r="B8725" s="72"/>
      <c r="E8725" s="72"/>
      <c r="H8725" s="49"/>
      <c r="K8725"/>
      <c r="L8725" s="73"/>
    </row>
    <row r="8726" spans="1:12" x14ac:dyDescent="0.3">
      <c r="A8726"/>
      <c r="B8726" s="72"/>
      <c r="E8726" s="72"/>
      <c r="H8726" s="49"/>
      <c r="K8726"/>
      <c r="L8726" s="73"/>
    </row>
    <row r="8727" spans="1:12" x14ac:dyDescent="0.3">
      <c r="A8727"/>
      <c r="B8727" s="72"/>
      <c r="E8727" s="72"/>
      <c r="H8727" s="49"/>
      <c r="K8727"/>
      <c r="L8727" s="73"/>
    </row>
    <row r="8728" spans="1:12" x14ac:dyDescent="0.3">
      <c r="A8728"/>
      <c r="B8728" s="72"/>
      <c r="E8728" s="72"/>
      <c r="H8728" s="49"/>
      <c r="K8728"/>
      <c r="L8728" s="73"/>
    </row>
    <row r="8729" spans="1:12" x14ac:dyDescent="0.3">
      <c r="A8729"/>
      <c r="B8729" s="72"/>
      <c r="E8729" s="72"/>
      <c r="H8729" s="49"/>
      <c r="K8729"/>
      <c r="L8729" s="73"/>
    </row>
    <row r="8730" spans="1:12" x14ac:dyDescent="0.3">
      <c r="A8730"/>
      <c r="B8730" s="72"/>
      <c r="E8730" s="72"/>
      <c r="H8730" s="49"/>
      <c r="K8730"/>
      <c r="L8730" s="73"/>
    </row>
    <row r="8731" spans="1:12" x14ac:dyDescent="0.3">
      <c r="A8731"/>
      <c r="B8731" s="72"/>
      <c r="E8731" s="72"/>
      <c r="H8731" s="49"/>
      <c r="K8731"/>
      <c r="L8731" s="73"/>
    </row>
    <row r="8732" spans="1:12" x14ac:dyDescent="0.3">
      <c r="A8732"/>
      <c r="B8732" s="72"/>
      <c r="E8732" s="72"/>
      <c r="H8732" s="49"/>
      <c r="K8732"/>
      <c r="L8732" s="73"/>
    </row>
    <row r="8733" spans="1:12" x14ac:dyDescent="0.3">
      <c r="A8733"/>
      <c r="B8733" s="72"/>
      <c r="E8733" s="72"/>
      <c r="H8733" s="49"/>
      <c r="K8733"/>
      <c r="L8733" s="73"/>
    </row>
    <row r="8734" spans="1:12" x14ac:dyDescent="0.3">
      <c r="A8734"/>
      <c r="B8734" s="72"/>
      <c r="E8734" s="72"/>
      <c r="H8734" s="49"/>
      <c r="K8734"/>
      <c r="L8734" s="73"/>
    </row>
    <row r="8735" spans="1:12" x14ac:dyDescent="0.3">
      <c r="A8735"/>
      <c r="B8735" s="72"/>
      <c r="E8735" s="72"/>
      <c r="H8735" s="49"/>
      <c r="K8735"/>
      <c r="L8735" s="73"/>
    </row>
    <row r="8736" spans="1:12" x14ac:dyDescent="0.3">
      <c r="A8736"/>
      <c r="B8736" s="72"/>
      <c r="E8736" s="72"/>
      <c r="H8736" s="49"/>
      <c r="K8736"/>
      <c r="L8736" s="73"/>
    </row>
    <row r="8737" spans="1:12" x14ac:dyDescent="0.3">
      <c r="A8737"/>
      <c r="B8737" s="72"/>
      <c r="E8737" s="72"/>
      <c r="H8737" s="49"/>
      <c r="K8737"/>
      <c r="L8737" s="73"/>
    </row>
    <row r="8738" spans="1:12" x14ac:dyDescent="0.3">
      <c r="A8738"/>
      <c r="B8738" s="72"/>
      <c r="E8738" s="72"/>
      <c r="H8738" s="49"/>
      <c r="K8738"/>
      <c r="L8738" s="73"/>
    </row>
    <row r="8739" spans="1:12" x14ac:dyDescent="0.3">
      <c r="A8739"/>
      <c r="B8739" s="72"/>
      <c r="E8739" s="72"/>
      <c r="H8739" s="49"/>
      <c r="K8739"/>
      <c r="L8739" s="73"/>
    </row>
    <row r="8740" spans="1:12" x14ac:dyDescent="0.3">
      <c r="A8740"/>
      <c r="B8740" s="72"/>
      <c r="E8740" s="72"/>
      <c r="H8740" s="49"/>
      <c r="K8740"/>
      <c r="L8740" s="73"/>
    </row>
    <row r="8741" spans="1:12" x14ac:dyDescent="0.3">
      <c r="A8741"/>
      <c r="B8741" s="72"/>
      <c r="E8741" s="72"/>
      <c r="H8741" s="49"/>
      <c r="K8741"/>
      <c r="L8741" s="73"/>
    </row>
    <row r="8742" spans="1:12" x14ac:dyDescent="0.3">
      <c r="A8742"/>
      <c r="B8742" s="72"/>
      <c r="E8742" s="72"/>
      <c r="H8742" s="49"/>
      <c r="K8742"/>
      <c r="L8742" s="73"/>
    </row>
    <row r="8743" spans="1:12" x14ac:dyDescent="0.3">
      <c r="A8743"/>
      <c r="B8743" s="72"/>
      <c r="E8743" s="72"/>
      <c r="H8743" s="49"/>
      <c r="K8743"/>
      <c r="L8743" s="73"/>
    </row>
    <row r="8744" spans="1:12" x14ac:dyDescent="0.3">
      <c r="A8744"/>
      <c r="B8744" s="72"/>
      <c r="E8744" s="72"/>
      <c r="H8744" s="49"/>
      <c r="K8744"/>
      <c r="L8744" s="73"/>
    </row>
    <row r="8745" spans="1:12" x14ac:dyDescent="0.3">
      <c r="A8745"/>
      <c r="B8745" s="72"/>
      <c r="E8745" s="72"/>
      <c r="H8745" s="49"/>
      <c r="K8745"/>
      <c r="L8745" s="73"/>
    </row>
    <row r="8746" spans="1:12" x14ac:dyDescent="0.3">
      <c r="A8746"/>
      <c r="B8746" s="72"/>
      <c r="E8746" s="72"/>
      <c r="H8746" s="49"/>
      <c r="K8746"/>
      <c r="L8746" s="73"/>
    </row>
    <row r="8747" spans="1:12" x14ac:dyDescent="0.3">
      <c r="A8747"/>
      <c r="B8747" s="72"/>
      <c r="E8747" s="72"/>
      <c r="H8747" s="49"/>
      <c r="K8747"/>
      <c r="L8747" s="73"/>
    </row>
    <row r="8748" spans="1:12" x14ac:dyDescent="0.3">
      <c r="A8748"/>
      <c r="B8748" s="72"/>
      <c r="E8748" s="72"/>
      <c r="H8748" s="49"/>
      <c r="K8748"/>
      <c r="L8748" s="73"/>
    </row>
    <row r="8749" spans="1:12" x14ac:dyDescent="0.3">
      <c r="A8749"/>
      <c r="B8749" s="72"/>
      <c r="E8749" s="72"/>
      <c r="H8749" s="49"/>
      <c r="K8749"/>
      <c r="L8749" s="73"/>
    </row>
    <row r="8750" spans="1:12" x14ac:dyDescent="0.3">
      <c r="A8750"/>
      <c r="B8750" s="72"/>
      <c r="E8750" s="72"/>
      <c r="H8750" s="49"/>
      <c r="K8750"/>
      <c r="L8750" s="73"/>
    </row>
    <row r="8751" spans="1:12" x14ac:dyDescent="0.3">
      <c r="A8751"/>
      <c r="B8751" s="72"/>
      <c r="E8751" s="72"/>
      <c r="H8751" s="49"/>
      <c r="K8751"/>
      <c r="L8751" s="73"/>
    </row>
    <row r="8752" spans="1:12" x14ac:dyDescent="0.3">
      <c r="A8752"/>
      <c r="B8752" s="72"/>
      <c r="E8752" s="72"/>
      <c r="H8752" s="49"/>
      <c r="K8752"/>
      <c r="L8752" s="73"/>
    </row>
    <row r="8753" spans="1:12" x14ac:dyDescent="0.3">
      <c r="A8753"/>
      <c r="B8753" s="72"/>
      <c r="E8753" s="72"/>
      <c r="H8753" s="49"/>
      <c r="K8753"/>
      <c r="L8753" s="73"/>
    </row>
    <row r="8754" spans="1:12" x14ac:dyDescent="0.3">
      <c r="A8754"/>
      <c r="B8754" s="72"/>
      <c r="E8754" s="72"/>
      <c r="H8754" s="49"/>
      <c r="K8754"/>
      <c r="L8754" s="73"/>
    </row>
    <row r="8755" spans="1:12" x14ac:dyDescent="0.3">
      <c r="A8755"/>
      <c r="B8755" s="72"/>
      <c r="E8755" s="72"/>
      <c r="H8755" s="49"/>
      <c r="K8755"/>
      <c r="L8755" s="73"/>
    </row>
    <row r="8756" spans="1:12" x14ac:dyDescent="0.3">
      <c r="A8756"/>
      <c r="B8756" s="72"/>
      <c r="E8756" s="72"/>
      <c r="H8756" s="49"/>
      <c r="K8756"/>
      <c r="L8756" s="73"/>
    </row>
    <row r="8757" spans="1:12" x14ac:dyDescent="0.3">
      <c r="A8757"/>
      <c r="B8757" s="72"/>
      <c r="E8757" s="72"/>
      <c r="H8757" s="49"/>
      <c r="K8757"/>
      <c r="L8757" s="73"/>
    </row>
    <row r="8758" spans="1:12" x14ac:dyDescent="0.3">
      <c r="A8758"/>
      <c r="B8758" s="72"/>
      <c r="E8758" s="72"/>
      <c r="H8758" s="49"/>
      <c r="K8758"/>
      <c r="L8758" s="73"/>
    </row>
    <row r="8759" spans="1:12" x14ac:dyDescent="0.3">
      <c r="A8759"/>
      <c r="B8759" s="72"/>
      <c r="E8759" s="72"/>
      <c r="H8759" s="49"/>
      <c r="K8759"/>
      <c r="L8759" s="73"/>
    </row>
    <row r="8760" spans="1:12" x14ac:dyDescent="0.3">
      <c r="A8760"/>
      <c r="B8760" s="72"/>
      <c r="E8760" s="72"/>
      <c r="H8760" s="49"/>
      <c r="K8760"/>
      <c r="L8760" s="73"/>
    </row>
    <row r="8761" spans="1:12" x14ac:dyDescent="0.3">
      <c r="A8761"/>
      <c r="B8761" s="72"/>
      <c r="E8761" s="72"/>
      <c r="H8761" s="49"/>
      <c r="K8761"/>
      <c r="L8761" s="73"/>
    </row>
    <row r="8762" spans="1:12" x14ac:dyDescent="0.3">
      <c r="A8762"/>
      <c r="B8762" s="72"/>
      <c r="E8762" s="72"/>
      <c r="H8762" s="49"/>
      <c r="K8762"/>
      <c r="L8762" s="73"/>
    </row>
    <row r="8763" spans="1:12" x14ac:dyDescent="0.3">
      <c r="A8763"/>
      <c r="B8763" s="72"/>
      <c r="E8763" s="72"/>
      <c r="H8763" s="49"/>
      <c r="K8763"/>
      <c r="L8763" s="73"/>
    </row>
    <row r="8764" spans="1:12" x14ac:dyDescent="0.3">
      <c r="A8764"/>
      <c r="B8764" s="72"/>
      <c r="E8764" s="72"/>
      <c r="H8764" s="49"/>
      <c r="K8764"/>
      <c r="L8764" s="73"/>
    </row>
    <row r="8765" spans="1:12" x14ac:dyDescent="0.3">
      <c r="A8765"/>
      <c r="B8765" s="72"/>
      <c r="E8765" s="72"/>
      <c r="H8765" s="49"/>
      <c r="K8765"/>
      <c r="L8765" s="73"/>
    </row>
    <row r="8766" spans="1:12" x14ac:dyDescent="0.3">
      <c r="A8766"/>
      <c r="B8766" s="72"/>
      <c r="E8766" s="72"/>
      <c r="H8766" s="49"/>
      <c r="K8766"/>
      <c r="L8766" s="73"/>
    </row>
    <row r="8767" spans="1:12" x14ac:dyDescent="0.3">
      <c r="A8767"/>
      <c r="B8767" s="72"/>
      <c r="E8767" s="72"/>
      <c r="H8767" s="49"/>
      <c r="K8767"/>
      <c r="L8767" s="73"/>
    </row>
    <row r="8768" spans="1:12" x14ac:dyDescent="0.3">
      <c r="A8768"/>
      <c r="B8768" s="72"/>
      <c r="E8768" s="72"/>
      <c r="H8768" s="49"/>
      <c r="K8768"/>
      <c r="L8768" s="73"/>
    </row>
    <row r="8769" spans="1:12" x14ac:dyDescent="0.3">
      <c r="A8769"/>
      <c r="B8769" s="72"/>
      <c r="E8769" s="72"/>
      <c r="H8769" s="49"/>
      <c r="K8769"/>
      <c r="L8769" s="73"/>
    </row>
    <row r="8770" spans="1:12" x14ac:dyDescent="0.3">
      <c r="A8770"/>
      <c r="B8770" s="72"/>
      <c r="E8770" s="72"/>
      <c r="H8770" s="49"/>
      <c r="K8770"/>
      <c r="L8770" s="73"/>
    </row>
    <row r="8771" spans="1:12" x14ac:dyDescent="0.3">
      <c r="A8771"/>
      <c r="B8771" s="72"/>
      <c r="E8771" s="72"/>
      <c r="H8771" s="49"/>
      <c r="K8771"/>
      <c r="L8771" s="73"/>
    </row>
    <row r="8772" spans="1:12" x14ac:dyDescent="0.3">
      <c r="A8772"/>
      <c r="B8772" s="72"/>
      <c r="E8772" s="72"/>
      <c r="H8772" s="49"/>
      <c r="K8772"/>
      <c r="L8772" s="73"/>
    </row>
    <row r="8773" spans="1:12" x14ac:dyDescent="0.3">
      <c r="A8773"/>
      <c r="B8773" s="72"/>
      <c r="E8773" s="72"/>
      <c r="H8773" s="49"/>
      <c r="K8773"/>
      <c r="L8773" s="73"/>
    </row>
    <row r="8774" spans="1:12" x14ac:dyDescent="0.3">
      <c r="A8774"/>
      <c r="B8774" s="72"/>
      <c r="E8774" s="72"/>
      <c r="H8774" s="49"/>
      <c r="K8774"/>
      <c r="L8774" s="73"/>
    </row>
    <row r="8775" spans="1:12" x14ac:dyDescent="0.3">
      <c r="A8775"/>
      <c r="B8775" s="72"/>
      <c r="E8775" s="72"/>
      <c r="H8775" s="49"/>
      <c r="K8775"/>
      <c r="L8775" s="73"/>
    </row>
    <row r="8776" spans="1:12" x14ac:dyDescent="0.3">
      <c r="A8776"/>
      <c r="B8776" s="72"/>
      <c r="E8776" s="72"/>
      <c r="H8776" s="49"/>
      <c r="K8776"/>
      <c r="L8776" s="73"/>
    </row>
    <row r="8777" spans="1:12" x14ac:dyDescent="0.3">
      <c r="A8777"/>
      <c r="B8777" s="72"/>
      <c r="E8777" s="72"/>
      <c r="H8777" s="49"/>
      <c r="K8777"/>
      <c r="L8777" s="73"/>
    </row>
    <row r="8778" spans="1:12" x14ac:dyDescent="0.3">
      <c r="A8778"/>
      <c r="B8778" s="72"/>
      <c r="E8778" s="72"/>
      <c r="H8778" s="49"/>
      <c r="K8778"/>
      <c r="L8778" s="73"/>
    </row>
    <row r="8779" spans="1:12" x14ac:dyDescent="0.3">
      <c r="A8779"/>
      <c r="B8779" s="72"/>
      <c r="E8779" s="72"/>
      <c r="H8779" s="49"/>
      <c r="K8779"/>
      <c r="L8779" s="73"/>
    </row>
    <row r="8780" spans="1:12" x14ac:dyDescent="0.3">
      <c r="A8780"/>
      <c r="B8780" s="72"/>
      <c r="E8780" s="72"/>
      <c r="H8780" s="49"/>
      <c r="K8780"/>
      <c r="L8780" s="73"/>
    </row>
    <row r="8781" spans="1:12" x14ac:dyDescent="0.3">
      <c r="A8781"/>
      <c r="B8781" s="72"/>
      <c r="E8781" s="72"/>
      <c r="H8781" s="49"/>
      <c r="K8781"/>
      <c r="L8781" s="73"/>
    </row>
    <row r="8782" spans="1:12" x14ac:dyDescent="0.3">
      <c r="A8782"/>
      <c r="B8782" s="72"/>
      <c r="E8782" s="72"/>
      <c r="H8782" s="49"/>
      <c r="K8782"/>
      <c r="L8782" s="73"/>
    </row>
    <row r="8783" spans="1:12" x14ac:dyDescent="0.3">
      <c r="A8783"/>
      <c r="B8783" s="72"/>
      <c r="E8783" s="72"/>
      <c r="H8783" s="49"/>
      <c r="K8783"/>
      <c r="L8783" s="73"/>
    </row>
    <row r="8784" spans="1:12" x14ac:dyDescent="0.3">
      <c r="A8784"/>
      <c r="B8784" s="72"/>
      <c r="E8784" s="72"/>
      <c r="H8784" s="49"/>
      <c r="K8784"/>
      <c r="L8784" s="73"/>
    </row>
    <row r="8785" spans="1:12" x14ac:dyDescent="0.3">
      <c r="A8785"/>
      <c r="B8785" s="72"/>
      <c r="E8785" s="72"/>
      <c r="H8785" s="49"/>
      <c r="K8785"/>
      <c r="L8785" s="73"/>
    </row>
    <row r="8786" spans="1:12" x14ac:dyDescent="0.3">
      <c r="A8786"/>
      <c r="B8786" s="72"/>
      <c r="E8786" s="72"/>
      <c r="H8786" s="49"/>
      <c r="K8786"/>
      <c r="L8786" s="73"/>
    </row>
    <row r="8787" spans="1:12" x14ac:dyDescent="0.3">
      <c r="A8787"/>
      <c r="B8787" s="72"/>
      <c r="E8787" s="72"/>
      <c r="H8787" s="49"/>
      <c r="K8787"/>
      <c r="L8787" s="73"/>
    </row>
    <row r="8788" spans="1:12" x14ac:dyDescent="0.3">
      <c r="A8788"/>
      <c r="B8788" s="72"/>
      <c r="E8788" s="72"/>
      <c r="H8788" s="49"/>
      <c r="K8788"/>
      <c r="L8788" s="73"/>
    </row>
    <row r="8789" spans="1:12" x14ac:dyDescent="0.3">
      <c r="A8789"/>
      <c r="B8789" s="72"/>
      <c r="E8789" s="72"/>
      <c r="H8789" s="49"/>
      <c r="K8789"/>
      <c r="L8789" s="73"/>
    </row>
    <row r="8790" spans="1:12" x14ac:dyDescent="0.3">
      <c r="A8790"/>
      <c r="B8790" s="72"/>
      <c r="E8790" s="72"/>
      <c r="H8790" s="49"/>
      <c r="K8790"/>
      <c r="L8790" s="73"/>
    </row>
    <row r="8791" spans="1:12" x14ac:dyDescent="0.3">
      <c r="A8791"/>
      <c r="B8791" s="72"/>
      <c r="E8791" s="72"/>
      <c r="H8791" s="49"/>
      <c r="K8791"/>
      <c r="L8791" s="73"/>
    </row>
    <row r="8792" spans="1:12" x14ac:dyDescent="0.3">
      <c r="A8792"/>
      <c r="B8792" s="72"/>
      <c r="E8792" s="72"/>
      <c r="H8792" s="49"/>
      <c r="K8792"/>
      <c r="L8792" s="73"/>
    </row>
    <row r="8793" spans="1:12" x14ac:dyDescent="0.3">
      <c r="A8793"/>
      <c r="B8793" s="72"/>
      <c r="E8793" s="72"/>
      <c r="H8793" s="49"/>
      <c r="K8793"/>
      <c r="L8793" s="73"/>
    </row>
    <row r="8794" spans="1:12" x14ac:dyDescent="0.3">
      <c r="A8794"/>
      <c r="B8794" s="72"/>
      <c r="E8794" s="72"/>
      <c r="H8794" s="49"/>
      <c r="K8794"/>
      <c r="L8794" s="73"/>
    </row>
    <row r="8795" spans="1:12" x14ac:dyDescent="0.3">
      <c r="A8795"/>
      <c r="B8795" s="72"/>
      <c r="E8795" s="72"/>
      <c r="H8795" s="49"/>
      <c r="K8795"/>
      <c r="L8795" s="73"/>
    </row>
    <row r="8796" spans="1:12" x14ac:dyDescent="0.3">
      <c r="A8796"/>
      <c r="B8796" s="72"/>
      <c r="E8796" s="72"/>
      <c r="H8796" s="49"/>
      <c r="K8796"/>
      <c r="L8796" s="73"/>
    </row>
    <row r="8797" spans="1:12" x14ac:dyDescent="0.3">
      <c r="A8797"/>
      <c r="B8797" s="72"/>
      <c r="E8797" s="72"/>
      <c r="H8797" s="49"/>
      <c r="K8797"/>
      <c r="L8797" s="73"/>
    </row>
    <row r="8798" spans="1:12" x14ac:dyDescent="0.3">
      <c r="A8798"/>
      <c r="B8798" s="72"/>
      <c r="E8798" s="72"/>
      <c r="H8798" s="49"/>
      <c r="K8798"/>
      <c r="L8798" s="73"/>
    </row>
    <row r="8799" spans="1:12" x14ac:dyDescent="0.3">
      <c r="A8799"/>
      <c r="B8799" s="72"/>
      <c r="E8799" s="72"/>
      <c r="H8799" s="49"/>
      <c r="K8799"/>
      <c r="L8799" s="73"/>
    </row>
    <row r="8800" spans="1:12" x14ac:dyDescent="0.3">
      <c r="A8800"/>
      <c r="B8800" s="72"/>
      <c r="E8800" s="72"/>
      <c r="H8800" s="49"/>
      <c r="K8800"/>
      <c r="L8800" s="73"/>
    </row>
    <row r="8801" spans="1:12" x14ac:dyDescent="0.3">
      <c r="A8801"/>
      <c r="B8801" s="72"/>
      <c r="E8801" s="72"/>
      <c r="H8801" s="49"/>
      <c r="K8801"/>
      <c r="L8801" s="73"/>
    </row>
    <row r="8802" spans="1:12" x14ac:dyDescent="0.3">
      <c r="A8802"/>
      <c r="B8802" s="72"/>
      <c r="E8802" s="72"/>
      <c r="H8802" s="49"/>
      <c r="K8802"/>
      <c r="L8802" s="73"/>
    </row>
    <row r="8803" spans="1:12" x14ac:dyDescent="0.3">
      <c r="A8803"/>
      <c r="B8803" s="72"/>
      <c r="E8803" s="72"/>
      <c r="H8803" s="49"/>
      <c r="K8803"/>
      <c r="L8803" s="73"/>
    </row>
    <row r="8804" spans="1:12" x14ac:dyDescent="0.3">
      <c r="A8804"/>
      <c r="B8804" s="72"/>
      <c r="E8804" s="72"/>
      <c r="H8804" s="49"/>
      <c r="K8804"/>
      <c r="L8804" s="73"/>
    </row>
    <row r="8805" spans="1:12" x14ac:dyDescent="0.3">
      <c r="A8805"/>
      <c r="B8805" s="72"/>
      <c r="E8805" s="72"/>
      <c r="H8805" s="49"/>
      <c r="K8805"/>
      <c r="L8805" s="73"/>
    </row>
    <row r="8806" spans="1:12" x14ac:dyDescent="0.3">
      <c r="A8806"/>
      <c r="B8806" s="72"/>
      <c r="E8806" s="72"/>
      <c r="H8806" s="49"/>
      <c r="K8806"/>
      <c r="L8806" s="73"/>
    </row>
    <row r="8807" spans="1:12" x14ac:dyDescent="0.3">
      <c r="A8807"/>
      <c r="B8807" s="72"/>
      <c r="E8807" s="72"/>
      <c r="H8807" s="49"/>
      <c r="K8807"/>
      <c r="L8807" s="73"/>
    </row>
    <row r="8808" spans="1:12" x14ac:dyDescent="0.3">
      <c r="A8808"/>
      <c r="B8808" s="72"/>
      <c r="E8808" s="72"/>
      <c r="H8808" s="49"/>
      <c r="K8808"/>
      <c r="L8808" s="73"/>
    </row>
    <row r="8809" spans="1:12" x14ac:dyDescent="0.3">
      <c r="A8809"/>
      <c r="B8809" s="72"/>
      <c r="E8809" s="72"/>
      <c r="H8809" s="49"/>
      <c r="K8809"/>
      <c r="L8809" s="73"/>
    </row>
    <row r="8810" spans="1:12" x14ac:dyDescent="0.3">
      <c r="A8810"/>
      <c r="B8810" s="72"/>
      <c r="E8810" s="72"/>
      <c r="H8810" s="49"/>
      <c r="K8810"/>
      <c r="L8810" s="73"/>
    </row>
    <row r="8811" spans="1:12" x14ac:dyDescent="0.3">
      <c r="A8811"/>
      <c r="B8811" s="72"/>
      <c r="E8811" s="72"/>
      <c r="H8811" s="49"/>
      <c r="K8811"/>
      <c r="L8811" s="73"/>
    </row>
    <row r="8812" spans="1:12" x14ac:dyDescent="0.3">
      <c r="A8812"/>
      <c r="B8812" s="72"/>
      <c r="E8812" s="72"/>
      <c r="H8812" s="49"/>
      <c r="K8812"/>
      <c r="L8812" s="73"/>
    </row>
    <row r="8813" spans="1:12" x14ac:dyDescent="0.3">
      <c r="A8813"/>
      <c r="B8813" s="72"/>
      <c r="E8813" s="72"/>
      <c r="H8813" s="49"/>
      <c r="K8813"/>
      <c r="L8813" s="73"/>
    </row>
    <row r="8814" spans="1:12" x14ac:dyDescent="0.3">
      <c r="A8814"/>
      <c r="B8814" s="72"/>
      <c r="E8814" s="72"/>
      <c r="H8814" s="49"/>
      <c r="K8814"/>
      <c r="L8814" s="73"/>
    </row>
    <row r="8815" spans="1:12" x14ac:dyDescent="0.3">
      <c r="A8815"/>
      <c r="B8815" s="72"/>
      <c r="E8815" s="72"/>
      <c r="H8815" s="49"/>
      <c r="K8815"/>
      <c r="L8815" s="73"/>
    </row>
    <row r="8816" spans="1:12" x14ac:dyDescent="0.3">
      <c r="A8816"/>
      <c r="B8816" s="72"/>
      <c r="E8816" s="72"/>
      <c r="H8816" s="49"/>
      <c r="K8816"/>
      <c r="L8816" s="73"/>
    </row>
    <row r="8817" spans="1:12" x14ac:dyDescent="0.3">
      <c r="A8817"/>
      <c r="B8817" s="72"/>
      <c r="E8817" s="72"/>
      <c r="H8817" s="49"/>
      <c r="K8817"/>
      <c r="L8817" s="73"/>
    </row>
    <row r="8818" spans="1:12" x14ac:dyDescent="0.3">
      <c r="A8818"/>
      <c r="B8818" s="72"/>
      <c r="E8818" s="72"/>
      <c r="H8818" s="49"/>
      <c r="K8818"/>
      <c r="L8818" s="73"/>
    </row>
    <row r="8819" spans="1:12" x14ac:dyDescent="0.3">
      <c r="A8819"/>
      <c r="B8819" s="72"/>
      <c r="E8819" s="72"/>
      <c r="H8819" s="49"/>
      <c r="K8819"/>
      <c r="L8819" s="73"/>
    </row>
    <row r="8820" spans="1:12" x14ac:dyDescent="0.3">
      <c r="A8820"/>
      <c r="B8820" s="72"/>
      <c r="E8820" s="72"/>
      <c r="H8820" s="49"/>
      <c r="K8820"/>
      <c r="L8820" s="73"/>
    </row>
    <row r="8821" spans="1:12" x14ac:dyDescent="0.3">
      <c r="A8821"/>
      <c r="B8821" s="72"/>
      <c r="E8821" s="72"/>
      <c r="H8821" s="49"/>
      <c r="K8821"/>
      <c r="L8821" s="73"/>
    </row>
    <row r="8822" spans="1:12" x14ac:dyDescent="0.3">
      <c r="A8822"/>
      <c r="B8822" s="72"/>
      <c r="E8822" s="72"/>
      <c r="H8822" s="49"/>
      <c r="K8822"/>
      <c r="L8822" s="73"/>
    </row>
    <row r="8823" spans="1:12" x14ac:dyDescent="0.3">
      <c r="A8823"/>
      <c r="B8823" s="72"/>
      <c r="E8823" s="72"/>
      <c r="H8823" s="49"/>
      <c r="K8823"/>
      <c r="L8823" s="73"/>
    </row>
    <row r="8824" spans="1:12" x14ac:dyDescent="0.3">
      <c r="A8824"/>
      <c r="B8824" s="72"/>
      <c r="E8824" s="72"/>
      <c r="H8824" s="49"/>
      <c r="K8824"/>
      <c r="L8824" s="73"/>
    </row>
    <row r="8825" spans="1:12" x14ac:dyDescent="0.3">
      <c r="A8825"/>
      <c r="B8825" s="72"/>
      <c r="E8825" s="72"/>
      <c r="H8825" s="49"/>
      <c r="K8825"/>
      <c r="L8825" s="73"/>
    </row>
    <row r="8826" spans="1:12" x14ac:dyDescent="0.3">
      <c r="A8826"/>
      <c r="B8826" s="72"/>
      <c r="E8826" s="72"/>
      <c r="H8826" s="49"/>
      <c r="K8826"/>
      <c r="L8826" s="73"/>
    </row>
    <row r="8827" spans="1:12" x14ac:dyDescent="0.3">
      <c r="A8827"/>
      <c r="B8827" s="72"/>
      <c r="E8827" s="72"/>
      <c r="H8827" s="49"/>
      <c r="K8827"/>
      <c r="L8827" s="73"/>
    </row>
    <row r="8828" spans="1:12" x14ac:dyDescent="0.3">
      <c r="A8828"/>
      <c r="B8828" s="72"/>
      <c r="E8828" s="72"/>
      <c r="H8828" s="49"/>
      <c r="K8828"/>
      <c r="L8828" s="73"/>
    </row>
    <row r="8829" spans="1:12" x14ac:dyDescent="0.3">
      <c r="A8829"/>
      <c r="B8829" s="72"/>
      <c r="E8829" s="72"/>
      <c r="H8829" s="49"/>
      <c r="K8829"/>
      <c r="L8829" s="73"/>
    </row>
    <row r="8830" spans="1:12" x14ac:dyDescent="0.3">
      <c r="A8830"/>
      <c r="B8830" s="72"/>
      <c r="E8830" s="72"/>
      <c r="H8830" s="49"/>
      <c r="K8830"/>
      <c r="L8830" s="73"/>
    </row>
    <row r="8831" spans="1:12" x14ac:dyDescent="0.3">
      <c r="A8831"/>
      <c r="B8831" s="72"/>
      <c r="E8831" s="72"/>
      <c r="H8831" s="49"/>
      <c r="K8831"/>
      <c r="L8831" s="73"/>
    </row>
    <row r="8832" spans="1:12" x14ac:dyDescent="0.3">
      <c r="A8832"/>
      <c r="B8832" s="72"/>
      <c r="E8832" s="72"/>
      <c r="H8832" s="49"/>
      <c r="K8832"/>
      <c r="L8832" s="73"/>
    </row>
    <row r="8833" spans="1:12" x14ac:dyDescent="0.3">
      <c r="A8833"/>
      <c r="B8833" s="72"/>
      <c r="E8833" s="72"/>
      <c r="H8833" s="49"/>
      <c r="K8833"/>
      <c r="L8833" s="73"/>
    </row>
    <row r="8834" spans="1:12" x14ac:dyDescent="0.3">
      <c r="A8834"/>
      <c r="B8834" s="72"/>
      <c r="E8834" s="72"/>
      <c r="H8834" s="49"/>
      <c r="K8834"/>
      <c r="L8834" s="73"/>
    </row>
    <row r="8835" spans="1:12" x14ac:dyDescent="0.3">
      <c r="A8835"/>
      <c r="B8835" s="72"/>
      <c r="E8835" s="72"/>
      <c r="H8835" s="49"/>
      <c r="K8835"/>
      <c r="L8835" s="73"/>
    </row>
    <row r="8836" spans="1:12" x14ac:dyDescent="0.3">
      <c r="A8836"/>
      <c r="B8836" s="72"/>
      <c r="E8836" s="72"/>
      <c r="H8836" s="49"/>
      <c r="K8836"/>
      <c r="L8836" s="73"/>
    </row>
    <row r="8837" spans="1:12" x14ac:dyDescent="0.3">
      <c r="A8837"/>
      <c r="B8837" s="72"/>
      <c r="E8837" s="72"/>
      <c r="H8837" s="49"/>
      <c r="K8837"/>
      <c r="L8837" s="73"/>
    </row>
    <row r="8838" spans="1:12" x14ac:dyDescent="0.3">
      <c r="A8838"/>
      <c r="B8838" s="72"/>
      <c r="E8838" s="72"/>
      <c r="H8838" s="49"/>
      <c r="K8838"/>
      <c r="L8838" s="73"/>
    </row>
    <row r="8839" spans="1:12" x14ac:dyDescent="0.3">
      <c r="A8839"/>
      <c r="B8839" s="72"/>
      <c r="E8839" s="72"/>
      <c r="H8839" s="49"/>
      <c r="K8839"/>
      <c r="L8839" s="73"/>
    </row>
    <row r="8840" spans="1:12" x14ac:dyDescent="0.3">
      <c r="A8840"/>
      <c r="B8840" s="72"/>
      <c r="E8840" s="72"/>
      <c r="H8840" s="49"/>
      <c r="K8840"/>
      <c r="L8840" s="73"/>
    </row>
    <row r="8841" spans="1:12" x14ac:dyDescent="0.3">
      <c r="A8841"/>
      <c r="B8841" s="72"/>
      <c r="E8841" s="72"/>
      <c r="H8841" s="49"/>
      <c r="K8841"/>
      <c r="L8841" s="73"/>
    </row>
    <row r="8842" spans="1:12" x14ac:dyDescent="0.3">
      <c r="A8842"/>
      <c r="B8842" s="72"/>
      <c r="E8842" s="72"/>
      <c r="H8842" s="49"/>
      <c r="K8842"/>
      <c r="L8842" s="73"/>
    </row>
    <row r="8843" spans="1:12" x14ac:dyDescent="0.3">
      <c r="A8843"/>
      <c r="B8843" s="72"/>
      <c r="E8843" s="72"/>
      <c r="H8843" s="49"/>
      <c r="K8843"/>
      <c r="L8843" s="73"/>
    </row>
    <row r="8844" spans="1:12" x14ac:dyDescent="0.3">
      <c r="A8844"/>
      <c r="B8844" s="72"/>
      <c r="E8844" s="72"/>
      <c r="H8844" s="49"/>
      <c r="K8844"/>
      <c r="L8844" s="73"/>
    </row>
    <row r="8845" spans="1:12" x14ac:dyDescent="0.3">
      <c r="A8845"/>
      <c r="B8845" s="72"/>
      <c r="E8845" s="72"/>
      <c r="H8845" s="49"/>
      <c r="K8845"/>
      <c r="L8845" s="73"/>
    </row>
    <row r="8846" spans="1:12" x14ac:dyDescent="0.3">
      <c r="A8846"/>
      <c r="B8846" s="72"/>
      <c r="E8846" s="72"/>
      <c r="H8846" s="49"/>
      <c r="K8846"/>
      <c r="L8846" s="73"/>
    </row>
    <row r="8847" spans="1:12" x14ac:dyDescent="0.3">
      <c r="A8847"/>
      <c r="B8847" s="72"/>
      <c r="E8847" s="72"/>
      <c r="H8847" s="49"/>
      <c r="K8847"/>
      <c r="L8847" s="73"/>
    </row>
    <row r="8848" spans="1:12" x14ac:dyDescent="0.3">
      <c r="A8848"/>
      <c r="B8848" s="72"/>
      <c r="E8848" s="72"/>
      <c r="H8848" s="49"/>
      <c r="K8848"/>
      <c r="L8848" s="73"/>
    </row>
    <row r="8849" spans="1:12" x14ac:dyDescent="0.3">
      <c r="A8849"/>
      <c r="B8849" s="72"/>
      <c r="E8849" s="72"/>
      <c r="H8849" s="49"/>
      <c r="K8849"/>
      <c r="L8849" s="73"/>
    </row>
    <row r="8850" spans="1:12" x14ac:dyDescent="0.3">
      <c r="A8850"/>
      <c r="B8850" s="72"/>
      <c r="E8850" s="72"/>
      <c r="H8850" s="49"/>
      <c r="K8850"/>
      <c r="L8850" s="73"/>
    </row>
    <row r="8851" spans="1:12" x14ac:dyDescent="0.3">
      <c r="A8851"/>
      <c r="B8851" s="72"/>
      <c r="E8851" s="72"/>
      <c r="H8851" s="49"/>
      <c r="K8851"/>
      <c r="L8851" s="73"/>
    </row>
    <row r="8852" spans="1:12" x14ac:dyDescent="0.3">
      <c r="A8852"/>
      <c r="B8852" s="72"/>
      <c r="E8852" s="72"/>
      <c r="H8852" s="49"/>
      <c r="K8852"/>
      <c r="L8852" s="73"/>
    </row>
    <row r="8853" spans="1:12" x14ac:dyDescent="0.3">
      <c r="A8853"/>
      <c r="B8853" s="72"/>
      <c r="E8853" s="72"/>
      <c r="H8853" s="49"/>
      <c r="K8853"/>
      <c r="L8853" s="73"/>
    </row>
    <row r="8854" spans="1:12" x14ac:dyDescent="0.3">
      <c r="A8854"/>
      <c r="B8854" s="72"/>
      <c r="E8854" s="72"/>
      <c r="H8854" s="49"/>
      <c r="K8854"/>
      <c r="L8854" s="73"/>
    </row>
    <row r="8855" spans="1:12" x14ac:dyDescent="0.3">
      <c r="A8855"/>
      <c r="B8855" s="72"/>
      <c r="E8855" s="72"/>
      <c r="H8855" s="49"/>
      <c r="K8855"/>
      <c r="L8855" s="73"/>
    </row>
    <row r="8856" spans="1:12" x14ac:dyDescent="0.3">
      <c r="A8856"/>
      <c r="B8856" s="72"/>
      <c r="E8856" s="72"/>
      <c r="H8856" s="49"/>
      <c r="K8856"/>
      <c r="L8856" s="73"/>
    </row>
    <row r="8857" spans="1:12" x14ac:dyDescent="0.3">
      <c r="A8857"/>
      <c r="B8857" s="72"/>
      <c r="E8857" s="72"/>
      <c r="H8857" s="49"/>
      <c r="K8857"/>
      <c r="L8857" s="73"/>
    </row>
    <row r="8858" spans="1:12" x14ac:dyDescent="0.3">
      <c r="A8858"/>
      <c r="B8858" s="72"/>
      <c r="E8858" s="72"/>
      <c r="H8858" s="49"/>
      <c r="K8858"/>
      <c r="L8858" s="73"/>
    </row>
    <row r="8859" spans="1:12" x14ac:dyDescent="0.3">
      <c r="A8859"/>
      <c r="B8859" s="72"/>
      <c r="E8859" s="72"/>
      <c r="H8859" s="49"/>
      <c r="K8859"/>
      <c r="L8859" s="73"/>
    </row>
    <row r="8860" spans="1:12" x14ac:dyDescent="0.3">
      <c r="A8860"/>
      <c r="B8860" s="72"/>
      <c r="E8860" s="72"/>
      <c r="H8860" s="49"/>
      <c r="K8860"/>
      <c r="L8860" s="73"/>
    </row>
    <row r="8861" spans="1:12" x14ac:dyDescent="0.3">
      <c r="A8861"/>
      <c r="B8861" s="72"/>
      <c r="E8861" s="72"/>
      <c r="H8861" s="49"/>
      <c r="K8861"/>
      <c r="L8861" s="73"/>
    </row>
    <row r="8862" spans="1:12" x14ac:dyDescent="0.3">
      <c r="A8862"/>
      <c r="B8862" s="72"/>
      <c r="E8862" s="72"/>
      <c r="H8862" s="49"/>
      <c r="K8862"/>
      <c r="L8862" s="73"/>
    </row>
    <row r="8863" spans="1:12" x14ac:dyDescent="0.3">
      <c r="A8863"/>
      <c r="B8863" s="72"/>
      <c r="E8863" s="72"/>
      <c r="H8863" s="49"/>
      <c r="K8863"/>
      <c r="L8863" s="73"/>
    </row>
    <row r="8864" spans="1:12" x14ac:dyDescent="0.3">
      <c r="A8864"/>
      <c r="B8864" s="72"/>
      <c r="E8864" s="72"/>
      <c r="H8864" s="49"/>
      <c r="K8864"/>
      <c r="L8864" s="73"/>
    </row>
    <row r="8865" spans="1:12" x14ac:dyDescent="0.3">
      <c r="A8865"/>
      <c r="B8865" s="72"/>
      <c r="E8865" s="72"/>
      <c r="H8865" s="49"/>
      <c r="K8865"/>
      <c r="L8865" s="73"/>
    </row>
    <row r="8866" spans="1:12" x14ac:dyDescent="0.3">
      <c r="A8866"/>
      <c r="B8866" s="72"/>
      <c r="E8866" s="72"/>
      <c r="H8866" s="49"/>
      <c r="K8866"/>
      <c r="L8866" s="73"/>
    </row>
    <row r="8867" spans="1:12" x14ac:dyDescent="0.3">
      <c r="A8867"/>
      <c r="B8867" s="72"/>
      <c r="E8867" s="72"/>
      <c r="H8867" s="49"/>
      <c r="K8867"/>
      <c r="L8867" s="73"/>
    </row>
    <row r="8868" spans="1:12" x14ac:dyDescent="0.3">
      <c r="A8868"/>
      <c r="B8868" s="72"/>
      <c r="E8868" s="72"/>
      <c r="H8868" s="49"/>
      <c r="K8868"/>
      <c r="L8868" s="73"/>
    </row>
    <row r="8869" spans="1:12" x14ac:dyDescent="0.3">
      <c r="A8869"/>
      <c r="B8869" s="72"/>
      <c r="E8869" s="72"/>
      <c r="H8869" s="49"/>
      <c r="K8869"/>
      <c r="L8869" s="73"/>
    </row>
    <row r="8870" spans="1:12" x14ac:dyDescent="0.3">
      <c r="A8870"/>
      <c r="B8870" s="72"/>
      <c r="E8870" s="72"/>
      <c r="H8870" s="49"/>
      <c r="K8870"/>
      <c r="L8870" s="73"/>
    </row>
    <row r="8871" spans="1:12" x14ac:dyDescent="0.3">
      <c r="A8871"/>
      <c r="B8871" s="72"/>
      <c r="E8871" s="72"/>
      <c r="H8871" s="49"/>
      <c r="K8871"/>
      <c r="L8871" s="73"/>
    </row>
    <row r="8872" spans="1:12" x14ac:dyDescent="0.3">
      <c r="A8872"/>
      <c r="B8872" s="72"/>
      <c r="E8872" s="72"/>
      <c r="H8872" s="49"/>
      <c r="K8872"/>
      <c r="L8872" s="73"/>
    </row>
    <row r="8873" spans="1:12" x14ac:dyDescent="0.3">
      <c r="A8873"/>
      <c r="B8873" s="72"/>
      <c r="E8873" s="72"/>
      <c r="H8873" s="49"/>
      <c r="K8873"/>
      <c r="L8873" s="73"/>
    </row>
    <row r="8874" spans="1:12" x14ac:dyDescent="0.3">
      <c r="A8874"/>
      <c r="B8874" s="72"/>
      <c r="E8874" s="72"/>
      <c r="H8874" s="49"/>
      <c r="K8874"/>
      <c r="L8874" s="73"/>
    </row>
    <row r="8875" spans="1:12" x14ac:dyDescent="0.3">
      <c r="A8875"/>
      <c r="B8875" s="72"/>
      <c r="E8875" s="72"/>
      <c r="H8875" s="49"/>
      <c r="K8875"/>
      <c r="L8875" s="73"/>
    </row>
    <row r="8876" spans="1:12" x14ac:dyDescent="0.3">
      <c r="A8876"/>
      <c r="B8876" s="72"/>
      <c r="E8876" s="72"/>
      <c r="H8876" s="49"/>
      <c r="K8876"/>
      <c r="L8876" s="73"/>
    </row>
    <row r="8877" spans="1:12" x14ac:dyDescent="0.3">
      <c r="A8877"/>
      <c r="B8877" s="72"/>
      <c r="E8877" s="72"/>
      <c r="H8877" s="49"/>
      <c r="K8877"/>
      <c r="L8877" s="73"/>
    </row>
    <row r="8878" spans="1:12" x14ac:dyDescent="0.3">
      <c r="A8878"/>
      <c r="B8878" s="72"/>
      <c r="E8878" s="72"/>
      <c r="H8878" s="49"/>
      <c r="K8878"/>
      <c r="L8878" s="73"/>
    </row>
    <row r="8879" spans="1:12" x14ac:dyDescent="0.3">
      <c r="A8879"/>
      <c r="B8879" s="72"/>
      <c r="E8879" s="72"/>
      <c r="H8879" s="49"/>
      <c r="K8879"/>
      <c r="L8879" s="73"/>
    </row>
    <row r="8880" spans="1:12" x14ac:dyDescent="0.3">
      <c r="A8880"/>
      <c r="B8880" s="72"/>
      <c r="E8880" s="72"/>
      <c r="H8880" s="49"/>
      <c r="K8880"/>
      <c r="L8880" s="73"/>
    </row>
    <row r="8881" spans="1:12" x14ac:dyDescent="0.3">
      <c r="A8881"/>
      <c r="B8881" s="72"/>
      <c r="E8881" s="72"/>
      <c r="H8881" s="49"/>
      <c r="K8881"/>
      <c r="L8881" s="73"/>
    </row>
    <row r="8882" spans="1:12" x14ac:dyDescent="0.3">
      <c r="A8882"/>
      <c r="B8882" s="72"/>
      <c r="E8882" s="72"/>
      <c r="H8882" s="49"/>
      <c r="K8882"/>
      <c r="L8882" s="73"/>
    </row>
    <row r="8883" spans="1:12" x14ac:dyDescent="0.3">
      <c r="A8883"/>
      <c r="B8883" s="72"/>
      <c r="E8883" s="72"/>
      <c r="H8883" s="49"/>
      <c r="K8883"/>
      <c r="L8883" s="73"/>
    </row>
    <row r="8884" spans="1:12" x14ac:dyDescent="0.3">
      <c r="A8884"/>
      <c r="B8884" s="72"/>
      <c r="E8884" s="72"/>
      <c r="H8884" s="49"/>
      <c r="K8884"/>
      <c r="L8884" s="73"/>
    </row>
    <row r="8885" spans="1:12" x14ac:dyDescent="0.3">
      <c r="A8885"/>
      <c r="B8885" s="72"/>
      <c r="E8885" s="72"/>
      <c r="H8885" s="49"/>
      <c r="K8885"/>
      <c r="L8885" s="73"/>
    </row>
    <row r="8886" spans="1:12" x14ac:dyDescent="0.3">
      <c r="A8886"/>
      <c r="B8886" s="72"/>
      <c r="E8886" s="72"/>
      <c r="H8886" s="49"/>
      <c r="K8886"/>
      <c r="L8886" s="73"/>
    </row>
    <row r="8887" spans="1:12" x14ac:dyDescent="0.3">
      <c r="A8887"/>
      <c r="B8887" s="72"/>
      <c r="E8887" s="72"/>
      <c r="H8887" s="49"/>
      <c r="K8887"/>
      <c r="L8887" s="73"/>
    </row>
    <row r="8888" spans="1:12" x14ac:dyDescent="0.3">
      <c r="A8888"/>
      <c r="B8888" s="72"/>
      <c r="E8888" s="72"/>
      <c r="H8888" s="49"/>
      <c r="K8888"/>
      <c r="L8888" s="73"/>
    </row>
    <row r="8889" spans="1:12" x14ac:dyDescent="0.3">
      <c r="A8889"/>
      <c r="B8889" s="72"/>
      <c r="E8889" s="72"/>
      <c r="H8889" s="49"/>
      <c r="K8889"/>
      <c r="L8889" s="73"/>
    </row>
    <row r="8890" spans="1:12" x14ac:dyDescent="0.3">
      <c r="A8890"/>
      <c r="B8890" s="72"/>
      <c r="E8890" s="72"/>
      <c r="H8890" s="49"/>
      <c r="K8890"/>
      <c r="L8890" s="73"/>
    </row>
    <row r="8891" spans="1:12" x14ac:dyDescent="0.3">
      <c r="A8891"/>
      <c r="B8891" s="72"/>
      <c r="E8891" s="72"/>
      <c r="H8891" s="49"/>
      <c r="K8891"/>
      <c r="L8891" s="73"/>
    </row>
    <row r="8892" spans="1:12" x14ac:dyDescent="0.3">
      <c r="A8892"/>
      <c r="B8892" s="72"/>
      <c r="E8892" s="72"/>
      <c r="H8892" s="49"/>
      <c r="K8892"/>
      <c r="L8892" s="73"/>
    </row>
    <row r="8893" spans="1:12" x14ac:dyDescent="0.3">
      <c r="A8893"/>
      <c r="B8893" s="72"/>
      <c r="E8893" s="72"/>
      <c r="H8893" s="49"/>
      <c r="K8893"/>
      <c r="L8893" s="73"/>
    </row>
    <row r="8894" spans="1:12" x14ac:dyDescent="0.3">
      <c r="A8894"/>
      <c r="B8894" s="72"/>
      <c r="E8894" s="72"/>
      <c r="H8894" s="49"/>
      <c r="K8894"/>
      <c r="L8894" s="73"/>
    </row>
    <row r="8895" spans="1:12" x14ac:dyDescent="0.3">
      <c r="A8895"/>
      <c r="B8895" s="72"/>
      <c r="E8895" s="72"/>
      <c r="H8895" s="49"/>
      <c r="K8895"/>
      <c r="L8895" s="73"/>
    </row>
    <row r="8896" spans="1:12" x14ac:dyDescent="0.3">
      <c r="A8896"/>
      <c r="B8896" s="72"/>
      <c r="E8896" s="72"/>
      <c r="H8896" s="49"/>
      <c r="K8896"/>
      <c r="L8896" s="73"/>
    </row>
    <row r="8897" spans="1:12" x14ac:dyDescent="0.3">
      <c r="A8897"/>
      <c r="B8897" s="72"/>
      <c r="E8897" s="72"/>
      <c r="H8897" s="49"/>
      <c r="K8897"/>
      <c r="L8897" s="73"/>
    </row>
    <row r="8898" spans="1:12" x14ac:dyDescent="0.3">
      <c r="A8898"/>
      <c r="B8898" s="72"/>
      <c r="E8898" s="72"/>
      <c r="H8898" s="49"/>
      <c r="K8898"/>
      <c r="L8898" s="73"/>
    </row>
    <row r="8899" spans="1:12" x14ac:dyDescent="0.3">
      <c r="A8899"/>
      <c r="B8899" s="72"/>
      <c r="E8899" s="72"/>
      <c r="H8899" s="49"/>
      <c r="K8899"/>
      <c r="L8899" s="73"/>
    </row>
    <row r="8900" spans="1:12" x14ac:dyDescent="0.3">
      <c r="A8900"/>
      <c r="B8900" s="72"/>
      <c r="E8900" s="72"/>
      <c r="H8900" s="49"/>
      <c r="K8900"/>
      <c r="L8900" s="73"/>
    </row>
    <row r="8901" spans="1:12" x14ac:dyDescent="0.3">
      <c r="A8901"/>
      <c r="B8901" s="72"/>
      <c r="E8901" s="72"/>
      <c r="H8901" s="49"/>
      <c r="K8901"/>
      <c r="L8901" s="73"/>
    </row>
    <row r="8902" spans="1:12" x14ac:dyDescent="0.3">
      <c r="A8902"/>
      <c r="B8902" s="72"/>
      <c r="E8902" s="72"/>
      <c r="H8902" s="49"/>
      <c r="K8902"/>
      <c r="L8902" s="73"/>
    </row>
    <row r="8903" spans="1:12" x14ac:dyDescent="0.3">
      <c r="A8903"/>
      <c r="B8903" s="72"/>
      <c r="E8903" s="72"/>
      <c r="H8903" s="49"/>
      <c r="K8903"/>
      <c r="L8903" s="73"/>
    </row>
    <row r="8904" spans="1:12" x14ac:dyDescent="0.3">
      <c r="A8904"/>
      <c r="B8904" s="72"/>
      <c r="E8904" s="72"/>
      <c r="H8904" s="49"/>
      <c r="K8904"/>
      <c r="L8904" s="73"/>
    </row>
    <row r="8905" spans="1:12" x14ac:dyDescent="0.3">
      <c r="A8905"/>
      <c r="B8905" s="72"/>
      <c r="E8905" s="72"/>
      <c r="H8905" s="49"/>
      <c r="K8905"/>
      <c r="L8905" s="73"/>
    </row>
    <row r="8906" spans="1:12" x14ac:dyDescent="0.3">
      <c r="A8906"/>
      <c r="B8906" s="72"/>
      <c r="E8906" s="72"/>
      <c r="H8906" s="49"/>
      <c r="K8906"/>
      <c r="L8906" s="73"/>
    </row>
    <row r="8907" spans="1:12" x14ac:dyDescent="0.3">
      <c r="A8907"/>
      <c r="B8907" s="72"/>
      <c r="E8907" s="72"/>
      <c r="H8907" s="49"/>
      <c r="K8907"/>
      <c r="L8907" s="73"/>
    </row>
    <row r="8908" spans="1:12" x14ac:dyDescent="0.3">
      <c r="A8908"/>
      <c r="B8908" s="72"/>
      <c r="E8908" s="72"/>
      <c r="H8908" s="49"/>
      <c r="K8908"/>
      <c r="L8908" s="73"/>
    </row>
    <row r="8909" spans="1:12" x14ac:dyDescent="0.3">
      <c r="A8909"/>
      <c r="B8909" s="72"/>
      <c r="E8909" s="72"/>
      <c r="H8909" s="49"/>
      <c r="K8909"/>
      <c r="L8909" s="73"/>
    </row>
    <row r="8910" spans="1:12" x14ac:dyDescent="0.3">
      <c r="A8910"/>
      <c r="B8910" s="72"/>
      <c r="E8910" s="72"/>
      <c r="H8910" s="49"/>
      <c r="K8910"/>
      <c r="L8910" s="73"/>
    </row>
    <row r="8911" spans="1:12" x14ac:dyDescent="0.3">
      <c r="A8911"/>
      <c r="B8911" s="72"/>
      <c r="E8911" s="72"/>
      <c r="H8911" s="49"/>
      <c r="K8911"/>
      <c r="L8911" s="73"/>
    </row>
    <row r="8912" spans="1:12" x14ac:dyDescent="0.3">
      <c r="A8912"/>
      <c r="B8912" s="72"/>
      <c r="E8912" s="72"/>
      <c r="H8912" s="49"/>
      <c r="K8912"/>
      <c r="L8912" s="73"/>
    </row>
    <row r="8913" spans="1:12" x14ac:dyDescent="0.3">
      <c r="A8913"/>
      <c r="B8913" s="72"/>
      <c r="E8913" s="72"/>
      <c r="H8913" s="49"/>
      <c r="K8913"/>
      <c r="L8913" s="73"/>
    </row>
    <row r="8914" spans="1:12" x14ac:dyDescent="0.3">
      <c r="A8914"/>
      <c r="B8914" s="72"/>
      <c r="E8914" s="72"/>
      <c r="H8914" s="49"/>
      <c r="K8914"/>
      <c r="L8914" s="73"/>
    </row>
    <row r="8915" spans="1:12" x14ac:dyDescent="0.3">
      <c r="A8915"/>
      <c r="B8915" s="72"/>
      <c r="E8915" s="72"/>
      <c r="H8915" s="49"/>
      <c r="K8915"/>
      <c r="L8915" s="73"/>
    </row>
    <row r="8916" spans="1:12" x14ac:dyDescent="0.3">
      <c r="A8916"/>
      <c r="B8916" s="72"/>
      <c r="E8916" s="72"/>
      <c r="H8916" s="49"/>
      <c r="K8916"/>
      <c r="L8916" s="73"/>
    </row>
    <row r="8917" spans="1:12" x14ac:dyDescent="0.3">
      <c r="A8917"/>
      <c r="B8917" s="72"/>
      <c r="E8917" s="72"/>
      <c r="H8917" s="49"/>
      <c r="K8917"/>
      <c r="L8917" s="73"/>
    </row>
    <row r="8918" spans="1:12" x14ac:dyDescent="0.3">
      <c r="A8918"/>
      <c r="B8918" s="72"/>
      <c r="E8918" s="72"/>
      <c r="H8918" s="49"/>
      <c r="K8918"/>
      <c r="L8918" s="73"/>
    </row>
    <row r="8919" spans="1:12" x14ac:dyDescent="0.3">
      <c r="A8919"/>
      <c r="B8919" s="72"/>
      <c r="E8919" s="72"/>
      <c r="H8919" s="49"/>
      <c r="K8919"/>
      <c r="L8919" s="73"/>
    </row>
    <row r="8920" spans="1:12" x14ac:dyDescent="0.3">
      <c r="A8920"/>
      <c r="B8920" s="72"/>
      <c r="E8920" s="72"/>
      <c r="H8920" s="49"/>
      <c r="K8920"/>
      <c r="L8920" s="73"/>
    </row>
    <row r="8921" spans="1:12" x14ac:dyDescent="0.3">
      <c r="A8921"/>
      <c r="B8921" s="72"/>
      <c r="E8921" s="72"/>
      <c r="H8921" s="49"/>
      <c r="K8921"/>
      <c r="L8921" s="73"/>
    </row>
    <row r="8922" spans="1:12" x14ac:dyDescent="0.3">
      <c r="A8922"/>
      <c r="B8922" s="72"/>
      <c r="E8922" s="72"/>
      <c r="H8922" s="49"/>
      <c r="K8922"/>
      <c r="L8922" s="73"/>
    </row>
    <row r="8923" spans="1:12" x14ac:dyDescent="0.3">
      <c r="A8923"/>
      <c r="B8923" s="72"/>
      <c r="E8923" s="72"/>
      <c r="H8923" s="49"/>
      <c r="K8923"/>
      <c r="L8923" s="73"/>
    </row>
    <row r="8924" spans="1:12" x14ac:dyDescent="0.3">
      <c r="A8924"/>
      <c r="B8924" s="72"/>
      <c r="E8924" s="72"/>
      <c r="H8924" s="49"/>
      <c r="K8924"/>
      <c r="L8924" s="73"/>
    </row>
    <row r="8925" spans="1:12" x14ac:dyDescent="0.3">
      <c r="A8925"/>
      <c r="B8925" s="72"/>
      <c r="E8925" s="72"/>
      <c r="H8925" s="49"/>
      <c r="K8925"/>
      <c r="L8925" s="73"/>
    </row>
    <row r="8926" spans="1:12" x14ac:dyDescent="0.3">
      <c r="A8926"/>
      <c r="B8926" s="72"/>
      <c r="E8926" s="72"/>
      <c r="H8926" s="49"/>
      <c r="K8926"/>
      <c r="L8926" s="73"/>
    </row>
    <row r="8927" spans="1:12" x14ac:dyDescent="0.3">
      <c r="A8927"/>
      <c r="B8927" s="72"/>
      <c r="E8927" s="72"/>
      <c r="H8927" s="49"/>
      <c r="K8927"/>
      <c r="L8927" s="73"/>
    </row>
    <row r="8928" spans="1:12" x14ac:dyDescent="0.3">
      <c r="A8928"/>
      <c r="B8928" s="72"/>
      <c r="E8928" s="72"/>
      <c r="H8928" s="49"/>
      <c r="K8928"/>
      <c r="L8928" s="73"/>
    </row>
    <row r="8929" spans="1:12" x14ac:dyDescent="0.3">
      <c r="A8929"/>
      <c r="B8929" s="72"/>
      <c r="E8929" s="72"/>
      <c r="H8929" s="49"/>
      <c r="K8929"/>
      <c r="L8929" s="73"/>
    </row>
    <row r="8930" spans="1:12" x14ac:dyDescent="0.3">
      <c r="A8930"/>
      <c r="B8930" s="72"/>
      <c r="E8930" s="72"/>
      <c r="H8930" s="49"/>
      <c r="K8930"/>
      <c r="L8930" s="73"/>
    </row>
    <row r="8931" spans="1:12" x14ac:dyDescent="0.3">
      <c r="A8931"/>
      <c r="B8931" s="72"/>
      <c r="E8931" s="72"/>
      <c r="H8931" s="49"/>
      <c r="K8931"/>
      <c r="L8931" s="73"/>
    </row>
    <row r="8932" spans="1:12" x14ac:dyDescent="0.3">
      <c r="A8932"/>
      <c r="B8932" s="72"/>
      <c r="E8932" s="72"/>
      <c r="H8932" s="49"/>
      <c r="K8932"/>
      <c r="L8932" s="73"/>
    </row>
    <row r="8933" spans="1:12" x14ac:dyDescent="0.3">
      <c r="A8933"/>
      <c r="B8933" s="72"/>
      <c r="E8933" s="72"/>
      <c r="H8933" s="49"/>
      <c r="K8933"/>
      <c r="L8933" s="73"/>
    </row>
    <row r="8934" spans="1:12" x14ac:dyDescent="0.3">
      <c r="A8934"/>
      <c r="B8934" s="72"/>
      <c r="E8934" s="72"/>
      <c r="H8934" s="49"/>
      <c r="K8934"/>
      <c r="L8934" s="73"/>
    </row>
    <row r="8935" spans="1:12" x14ac:dyDescent="0.3">
      <c r="A8935"/>
      <c r="B8935" s="72"/>
      <c r="E8935" s="72"/>
      <c r="H8935" s="49"/>
      <c r="K8935"/>
      <c r="L8935" s="73"/>
    </row>
    <row r="8936" spans="1:12" x14ac:dyDescent="0.3">
      <c r="A8936"/>
      <c r="B8936" s="72"/>
      <c r="E8936" s="72"/>
      <c r="H8936" s="49"/>
      <c r="K8936"/>
      <c r="L8936" s="73"/>
    </row>
    <row r="8937" spans="1:12" x14ac:dyDescent="0.3">
      <c r="A8937"/>
      <c r="B8937" s="72"/>
      <c r="E8937" s="72"/>
      <c r="H8937" s="49"/>
      <c r="K8937"/>
      <c r="L8937" s="73"/>
    </row>
    <row r="8938" spans="1:12" x14ac:dyDescent="0.3">
      <c r="A8938"/>
      <c r="B8938" s="72"/>
      <c r="E8938" s="72"/>
      <c r="H8938" s="49"/>
      <c r="K8938"/>
      <c r="L8938" s="73"/>
    </row>
    <row r="8939" spans="1:12" x14ac:dyDescent="0.3">
      <c r="A8939"/>
      <c r="B8939" s="72"/>
      <c r="E8939" s="72"/>
      <c r="H8939" s="49"/>
      <c r="K8939"/>
      <c r="L8939" s="73"/>
    </row>
    <row r="8940" spans="1:12" x14ac:dyDescent="0.3">
      <c r="A8940"/>
      <c r="B8940" s="72"/>
      <c r="E8940" s="72"/>
      <c r="H8940" s="49"/>
      <c r="K8940"/>
      <c r="L8940" s="73"/>
    </row>
    <row r="8941" spans="1:12" x14ac:dyDescent="0.3">
      <c r="A8941"/>
      <c r="B8941" s="72"/>
      <c r="E8941" s="72"/>
      <c r="H8941" s="49"/>
      <c r="K8941"/>
      <c r="L8941" s="73"/>
    </row>
    <row r="8942" spans="1:12" x14ac:dyDescent="0.3">
      <c r="A8942"/>
      <c r="B8942" s="72"/>
      <c r="E8942" s="72"/>
      <c r="H8942" s="49"/>
      <c r="K8942"/>
      <c r="L8942" s="73"/>
    </row>
    <row r="8943" spans="1:12" x14ac:dyDescent="0.3">
      <c r="A8943"/>
      <c r="B8943" s="72"/>
      <c r="E8943" s="72"/>
      <c r="H8943" s="49"/>
      <c r="K8943"/>
      <c r="L8943" s="73"/>
    </row>
    <row r="8944" spans="1:12" x14ac:dyDescent="0.3">
      <c r="A8944"/>
      <c r="B8944" s="72"/>
      <c r="E8944" s="72"/>
      <c r="H8944" s="49"/>
      <c r="K8944"/>
      <c r="L8944" s="73"/>
    </row>
    <row r="8945" spans="1:12" x14ac:dyDescent="0.3">
      <c r="A8945"/>
      <c r="B8945" s="72"/>
      <c r="E8945" s="72"/>
      <c r="H8945" s="49"/>
      <c r="K8945"/>
      <c r="L8945" s="73"/>
    </row>
    <row r="8946" spans="1:12" x14ac:dyDescent="0.3">
      <c r="A8946"/>
      <c r="B8946" s="72"/>
      <c r="E8946" s="72"/>
      <c r="H8946" s="49"/>
      <c r="K8946"/>
      <c r="L8946" s="73"/>
    </row>
    <row r="8947" spans="1:12" x14ac:dyDescent="0.3">
      <c r="A8947"/>
      <c r="B8947" s="72"/>
      <c r="E8947" s="72"/>
      <c r="H8947" s="49"/>
      <c r="K8947"/>
      <c r="L8947" s="73"/>
    </row>
    <row r="8948" spans="1:12" x14ac:dyDescent="0.3">
      <c r="A8948"/>
      <c r="B8948" s="72"/>
      <c r="E8948" s="72"/>
      <c r="H8948" s="49"/>
      <c r="K8948"/>
      <c r="L8948" s="73"/>
    </row>
    <row r="8949" spans="1:12" x14ac:dyDescent="0.3">
      <c r="A8949"/>
      <c r="B8949" s="72"/>
      <c r="E8949" s="72"/>
      <c r="H8949" s="49"/>
      <c r="K8949"/>
      <c r="L8949" s="73"/>
    </row>
    <row r="8950" spans="1:12" x14ac:dyDescent="0.3">
      <c r="A8950"/>
      <c r="B8950" s="72"/>
      <c r="E8950" s="72"/>
      <c r="H8950" s="49"/>
      <c r="K8950"/>
      <c r="L8950" s="73"/>
    </row>
    <row r="8951" spans="1:12" x14ac:dyDescent="0.3">
      <c r="A8951"/>
      <c r="B8951" s="72"/>
      <c r="E8951" s="72"/>
      <c r="H8951" s="49"/>
      <c r="K8951"/>
      <c r="L8951" s="73"/>
    </row>
    <row r="8952" spans="1:12" x14ac:dyDescent="0.3">
      <c r="A8952"/>
      <c r="B8952" s="72"/>
      <c r="E8952" s="72"/>
      <c r="H8952" s="49"/>
      <c r="K8952"/>
      <c r="L8952" s="73"/>
    </row>
    <row r="8953" spans="1:12" x14ac:dyDescent="0.3">
      <c r="A8953"/>
      <c r="B8953" s="72"/>
      <c r="E8953" s="72"/>
      <c r="H8953" s="49"/>
      <c r="K8953"/>
      <c r="L8953" s="73"/>
    </row>
    <row r="8954" spans="1:12" x14ac:dyDescent="0.3">
      <c r="A8954"/>
      <c r="B8954" s="72"/>
      <c r="E8954" s="72"/>
      <c r="H8954" s="49"/>
      <c r="K8954"/>
      <c r="L8954" s="73"/>
    </row>
    <row r="8955" spans="1:12" x14ac:dyDescent="0.3">
      <c r="A8955"/>
      <c r="B8955" s="72"/>
      <c r="E8955" s="72"/>
      <c r="H8955" s="49"/>
      <c r="K8955"/>
      <c r="L8955" s="73"/>
    </row>
    <row r="8956" spans="1:12" x14ac:dyDescent="0.3">
      <c r="A8956"/>
      <c r="B8956" s="72"/>
      <c r="E8956" s="72"/>
      <c r="H8956" s="49"/>
      <c r="K8956"/>
      <c r="L8956" s="73"/>
    </row>
    <row r="8957" spans="1:12" x14ac:dyDescent="0.3">
      <c r="A8957"/>
      <c r="B8957" s="72"/>
      <c r="E8957" s="72"/>
      <c r="H8957" s="49"/>
      <c r="K8957"/>
      <c r="L8957" s="73"/>
    </row>
    <row r="8958" spans="1:12" x14ac:dyDescent="0.3">
      <c r="A8958"/>
      <c r="B8958" s="72"/>
      <c r="E8958" s="72"/>
      <c r="H8958" s="49"/>
      <c r="K8958"/>
      <c r="L8958" s="73"/>
    </row>
    <row r="8959" spans="1:12" x14ac:dyDescent="0.3">
      <c r="A8959"/>
      <c r="B8959" s="72"/>
      <c r="E8959" s="72"/>
      <c r="H8959" s="49"/>
      <c r="K8959"/>
      <c r="L8959" s="73"/>
    </row>
    <row r="8960" spans="1:12" x14ac:dyDescent="0.3">
      <c r="A8960"/>
      <c r="B8960" s="72"/>
      <c r="E8960" s="72"/>
      <c r="H8960" s="49"/>
      <c r="K8960"/>
      <c r="L8960" s="73"/>
    </row>
    <row r="8961" spans="1:12" x14ac:dyDescent="0.3">
      <c r="A8961"/>
      <c r="B8961" s="72"/>
      <c r="E8961" s="72"/>
      <c r="H8961" s="49"/>
      <c r="K8961"/>
      <c r="L8961" s="73"/>
    </row>
    <row r="8962" spans="1:12" x14ac:dyDescent="0.3">
      <c r="A8962"/>
      <c r="B8962" s="72"/>
      <c r="E8962" s="72"/>
      <c r="H8962" s="49"/>
      <c r="K8962"/>
      <c r="L8962" s="73"/>
    </row>
    <row r="8963" spans="1:12" x14ac:dyDescent="0.3">
      <c r="A8963"/>
      <c r="B8963" s="72"/>
      <c r="E8963" s="72"/>
      <c r="H8963" s="49"/>
      <c r="K8963"/>
      <c r="L8963" s="73"/>
    </row>
    <row r="8964" spans="1:12" x14ac:dyDescent="0.3">
      <c r="A8964"/>
      <c r="B8964" s="72"/>
      <c r="E8964" s="72"/>
      <c r="H8964" s="49"/>
      <c r="K8964"/>
      <c r="L8964" s="73"/>
    </row>
    <row r="8965" spans="1:12" x14ac:dyDescent="0.3">
      <c r="A8965"/>
      <c r="B8965" s="72"/>
      <c r="E8965" s="72"/>
      <c r="H8965" s="49"/>
      <c r="K8965"/>
      <c r="L8965" s="73"/>
    </row>
    <row r="8966" spans="1:12" x14ac:dyDescent="0.3">
      <c r="A8966"/>
      <c r="B8966" s="72"/>
      <c r="E8966" s="72"/>
      <c r="H8966" s="49"/>
      <c r="K8966"/>
      <c r="L8966" s="73"/>
    </row>
    <row r="8967" spans="1:12" x14ac:dyDescent="0.3">
      <c r="A8967"/>
      <c r="B8967" s="72"/>
      <c r="E8967" s="72"/>
      <c r="H8967" s="49"/>
      <c r="K8967"/>
      <c r="L8967" s="73"/>
    </row>
    <row r="8968" spans="1:12" x14ac:dyDescent="0.3">
      <c r="A8968"/>
      <c r="B8968" s="72"/>
      <c r="E8968" s="72"/>
      <c r="H8968" s="49"/>
      <c r="K8968"/>
      <c r="L8968" s="73"/>
    </row>
    <row r="8969" spans="1:12" x14ac:dyDescent="0.3">
      <c r="A8969"/>
      <c r="B8969" s="72"/>
      <c r="E8969" s="72"/>
      <c r="H8969" s="49"/>
      <c r="K8969"/>
      <c r="L8969" s="73"/>
    </row>
    <row r="8970" spans="1:12" x14ac:dyDescent="0.3">
      <c r="A8970"/>
      <c r="B8970" s="72"/>
      <c r="E8970" s="72"/>
      <c r="H8970" s="49"/>
      <c r="K8970"/>
      <c r="L8970" s="73"/>
    </row>
    <row r="8971" spans="1:12" x14ac:dyDescent="0.3">
      <c r="A8971"/>
      <c r="B8971" s="72"/>
      <c r="E8971" s="72"/>
      <c r="H8971" s="49"/>
      <c r="K8971"/>
      <c r="L8971" s="73"/>
    </row>
    <row r="8972" spans="1:12" x14ac:dyDescent="0.3">
      <c r="A8972"/>
      <c r="B8972" s="72"/>
      <c r="E8972" s="72"/>
      <c r="H8972" s="49"/>
      <c r="K8972"/>
      <c r="L8972" s="73"/>
    </row>
    <row r="8973" spans="1:12" x14ac:dyDescent="0.3">
      <c r="A8973"/>
      <c r="B8973" s="72"/>
      <c r="E8973" s="72"/>
      <c r="H8973" s="49"/>
      <c r="K8973"/>
      <c r="L8973" s="73"/>
    </row>
    <row r="8974" spans="1:12" x14ac:dyDescent="0.3">
      <c r="A8974"/>
      <c r="B8974" s="72"/>
      <c r="E8974" s="72"/>
      <c r="H8974" s="49"/>
      <c r="K8974"/>
      <c r="L8974" s="73"/>
    </row>
    <row r="8975" spans="1:12" x14ac:dyDescent="0.3">
      <c r="A8975"/>
      <c r="B8975" s="72"/>
      <c r="E8975" s="72"/>
      <c r="H8975" s="49"/>
      <c r="K8975"/>
      <c r="L8975" s="73"/>
    </row>
    <row r="8976" spans="1:12" x14ac:dyDescent="0.3">
      <c r="A8976"/>
      <c r="B8976" s="72"/>
      <c r="E8976" s="72"/>
      <c r="H8976" s="49"/>
      <c r="K8976"/>
      <c r="L8976" s="73"/>
    </row>
    <row r="8977" spans="1:12" x14ac:dyDescent="0.3">
      <c r="A8977"/>
      <c r="B8977" s="72"/>
      <c r="E8977" s="72"/>
      <c r="H8977" s="49"/>
      <c r="K8977"/>
      <c r="L8977" s="73"/>
    </row>
    <row r="8978" spans="1:12" x14ac:dyDescent="0.3">
      <c r="A8978"/>
      <c r="B8978" s="72"/>
      <c r="E8978" s="72"/>
      <c r="H8978" s="49"/>
      <c r="K8978"/>
      <c r="L8978" s="73"/>
    </row>
    <row r="8979" spans="1:12" x14ac:dyDescent="0.3">
      <c r="A8979"/>
      <c r="B8979" s="72"/>
      <c r="E8979" s="72"/>
      <c r="H8979" s="49"/>
      <c r="K8979"/>
      <c r="L8979" s="73"/>
    </row>
    <row r="8980" spans="1:12" x14ac:dyDescent="0.3">
      <c r="A8980"/>
      <c r="B8980" s="72"/>
      <c r="E8980" s="72"/>
      <c r="H8980" s="49"/>
      <c r="K8980"/>
      <c r="L8980" s="73"/>
    </row>
    <row r="8981" spans="1:12" x14ac:dyDescent="0.3">
      <c r="A8981"/>
      <c r="B8981" s="72"/>
      <c r="E8981" s="72"/>
      <c r="H8981" s="49"/>
      <c r="K8981"/>
      <c r="L8981" s="73"/>
    </row>
    <row r="8982" spans="1:12" x14ac:dyDescent="0.3">
      <c r="A8982"/>
      <c r="B8982" s="72"/>
      <c r="E8982" s="72"/>
      <c r="H8982" s="49"/>
      <c r="K8982"/>
      <c r="L8982" s="73"/>
    </row>
    <row r="8983" spans="1:12" x14ac:dyDescent="0.3">
      <c r="A8983"/>
      <c r="B8983" s="72"/>
      <c r="E8983" s="72"/>
      <c r="H8983" s="49"/>
      <c r="K8983"/>
      <c r="L8983" s="73"/>
    </row>
    <row r="8984" spans="1:12" x14ac:dyDescent="0.3">
      <c r="A8984"/>
      <c r="B8984" s="72"/>
      <c r="E8984" s="72"/>
      <c r="H8984" s="49"/>
      <c r="K8984"/>
      <c r="L8984" s="73"/>
    </row>
    <row r="8985" spans="1:12" x14ac:dyDescent="0.3">
      <c r="A8985"/>
      <c r="B8985" s="72"/>
      <c r="E8985" s="72"/>
      <c r="H8985" s="49"/>
      <c r="K8985"/>
      <c r="L8985" s="73"/>
    </row>
    <row r="8986" spans="1:12" x14ac:dyDescent="0.3">
      <c r="A8986"/>
      <c r="B8986" s="72"/>
      <c r="E8986" s="72"/>
      <c r="H8986" s="49"/>
      <c r="K8986"/>
      <c r="L8986" s="73"/>
    </row>
    <row r="8987" spans="1:12" x14ac:dyDescent="0.3">
      <c r="A8987"/>
      <c r="B8987" s="72"/>
      <c r="E8987" s="72"/>
      <c r="H8987" s="49"/>
      <c r="K8987"/>
      <c r="L8987" s="73"/>
    </row>
    <row r="8988" spans="1:12" x14ac:dyDescent="0.3">
      <c r="A8988"/>
      <c r="B8988" s="72"/>
      <c r="E8988" s="72"/>
      <c r="H8988" s="49"/>
      <c r="K8988"/>
      <c r="L8988" s="73"/>
    </row>
    <row r="8989" spans="1:12" x14ac:dyDescent="0.3">
      <c r="A8989"/>
      <c r="B8989" s="72"/>
      <c r="E8989" s="72"/>
      <c r="H8989" s="49"/>
      <c r="K8989"/>
      <c r="L8989" s="73"/>
    </row>
    <row r="8990" spans="1:12" x14ac:dyDescent="0.3">
      <c r="A8990"/>
      <c r="B8990" s="72"/>
      <c r="E8990" s="72"/>
      <c r="H8990" s="49"/>
      <c r="K8990"/>
      <c r="L8990" s="73"/>
    </row>
    <row r="8991" spans="1:12" x14ac:dyDescent="0.3">
      <c r="A8991"/>
      <c r="B8991" s="72"/>
      <c r="E8991" s="72"/>
      <c r="H8991" s="49"/>
      <c r="K8991"/>
      <c r="L8991" s="73"/>
    </row>
    <row r="8992" spans="1:12" x14ac:dyDescent="0.3">
      <c r="A8992"/>
      <c r="B8992" s="72"/>
      <c r="E8992" s="72"/>
      <c r="H8992" s="49"/>
      <c r="K8992"/>
      <c r="L8992" s="73"/>
    </row>
    <row r="8993" spans="1:12" x14ac:dyDescent="0.3">
      <c r="A8993"/>
      <c r="B8993" s="72"/>
      <c r="E8993" s="72"/>
      <c r="H8993" s="49"/>
      <c r="K8993"/>
      <c r="L8993" s="73"/>
    </row>
    <row r="8994" spans="1:12" x14ac:dyDescent="0.3">
      <c r="A8994"/>
      <c r="B8994" s="72"/>
      <c r="E8994" s="72"/>
      <c r="H8994" s="49"/>
      <c r="K8994"/>
      <c r="L8994" s="73"/>
    </row>
    <row r="8995" spans="1:12" x14ac:dyDescent="0.3">
      <c r="A8995"/>
      <c r="B8995" s="72"/>
      <c r="E8995" s="72"/>
      <c r="H8995" s="49"/>
      <c r="K8995"/>
      <c r="L8995" s="73"/>
    </row>
    <row r="8996" spans="1:12" x14ac:dyDescent="0.3">
      <c r="A8996"/>
      <c r="B8996" s="72"/>
      <c r="E8996" s="72"/>
      <c r="H8996" s="49"/>
      <c r="K8996"/>
      <c r="L8996" s="73"/>
    </row>
    <row r="8997" spans="1:12" x14ac:dyDescent="0.3">
      <c r="A8997"/>
      <c r="B8997" s="72"/>
      <c r="E8997" s="72"/>
      <c r="H8997" s="49"/>
      <c r="K8997"/>
      <c r="L8997" s="73"/>
    </row>
    <row r="8998" spans="1:12" x14ac:dyDescent="0.3">
      <c r="A8998"/>
      <c r="B8998" s="72"/>
      <c r="E8998" s="72"/>
      <c r="H8998" s="49"/>
      <c r="K8998"/>
      <c r="L8998" s="73"/>
    </row>
    <row r="8999" spans="1:12" x14ac:dyDescent="0.3">
      <c r="A8999"/>
      <c r="B8999" s="72"/>
      <c r="E8999" s="72"/>
      <c r="H8999" s="49"/>
      <c r="K8999"/>
      <c r="L8999" s="73"/>
    </row>
    <row r="9000" spans="1:12" x14ac:dyDescent="0.3">
      <c r="A9000"/>
      <c r="B9000" s="72"/>
      <c r="E9000" s="72"/>
      <c r="H9000" s="49"/>
      <c r="K9000"/>
      <c r="L9000" s="73"/>
    </row>
    <row r="9001" spans="1:12" x14ac:dyDescent="0.3">
      <c r="A9001"/>
      <c r="B9001" s="72"/>
      <c r="E9001" s="72"/>
      <c r="H9001" s="49"/>
      <c r="K9001"/>
      <c r="L9001" s="73"/>
    </row>
    <row r="9002" spans="1:12" x14ac:dyDescent="0.3">
      <c r="A9002"/>
      <c r="B9002" s="72"/>
      <c r="E9002" s="72"/>
      <c r="H9002" s="49"/>
      <c r="K9002"/>
      <c r="L9002" s="73"/>
    </row>
    <row r="9003" spans="1:12" x14ac:dyDescent="0.3">
      <c r="A9003"/>
      <c r="B9003" s="72"/>
      <c r="E9003" s="72"/>
      <c r="H9003" s="49"/>
      <c r="K9003"/>
      <c r="L9003" s="73"/>
    </row>
    <row r="9004" spans="1:12" x14ac:dyDescent="0.3">
      <c r="A9004"/>
      <c r="B9004" s="72"/>
      <c r="E9004" s="72"/>
      <c r="H9004" s="49"/>
      <c r="K9004"/>
      <c r="L9004" s="73"/>
    </row>
    <row r="9005" spans="1:12" x14ac:dyDescent="0.3">
      <c r="A9005"/>
      <c r="B9005" s="72"/>
      <c r="E9005" s="72"/>
      <c r="H9005" s="49"/>
      <c r="K9005"/>
      <c r="L9005" s="73"/>
    </row>
    <row r="9006" spans="1:12" x14ac:dyDescent="0.3">
      <c r="A9006"/>
      <c r="B9006" s="72"/>
      <c r="E9006" s="72"/>
      <c r="H9006" s="49"/>
      <c r="K9006"/>
      <c r="L9006" s="73"/>
    </row>
    <row r="9007" spans="1:12" x14ac:dyDescent="0.3">
      <c r="A9007"/>
      <c r="B9007" s="72"/>
      <c r="E9007" s="72"/>
      <c r="H9007" s="49"/>
      <c r="K9007"/>
      <c r="L9007" s="73"/>
    </row>
    <row r="9008" spans="1:12" x14ac:dyDescent="0.3">
      <c r="A9008"/>
      <c r="B9008" s="72"/>
      <c r="E9008" s="72"/>
      <c r="H9008" s="49"/>
      <c r="K9008"/>
      <c r="L9008" s="73"/>
    </row>
    <row r="9009" spans="1:12" x14ac:dyDescent="0.3">
      <c r="A9009"/>
      <c r="B9009" s="72"/>
      <c r="E9009" s="72"/>
      <c r="H9009" s="49"/>
      <c r="K9009"/>
      <c r="L9009" s="73"/>
    </row>
    <row r="9010" spans="1:12" x14ac:dyDescent="0.3">
      <c r="A9010"/>
      <c r="B9010" s="72"/>
      <c r="E9010" s="72"/>
      <c r="H9010" s="49"/>
      <c r="K9010"/>
      <c r="L9010" s="73"/>
    </row>
    <row r="9011" spans="1:12" x14ac:dyDescent="0.3">
      <c r="A9011"/>
      <c r="B9011" s="72"/>
      <c r="E9011" s="72"/>
      <c r="H9011" s="49"/>
      <c r="K9011"/>
      <c r="L9011" s="73"/>
    </row>
    <row r="9012" spans="1:12" x14ac:dyDescent="0.3">
      <c r="A9012"/>
      <c r="B9012" s="72"/>
      <c r="E9012" s="72"/>
      <c r="H9012" s="49"/>
      <c r="K9012"/>
      <c r="L9012" s="73"/>
    </row>
    <row r="9013" spans="1:12" x14ac:dyDescent="0.3">
      <c r="A9013"/>
      <c r="B9013" s="72"/>
      <c r="E9013" s="72"/>
      <c r="H9013" s="49"/>
      <c r="K9013"/>
      <c r="L9013" s="73"/>
    </row>
    <row r="9014" spans="1:12" x14ac:dyDescent="0.3">
      <c r="A9014"/>
      <c r="B9014" s="72"/>
      <c r="E9014" s="72"/>
      <c r="H9014" s="49"/>
      <c r="K9014"/>
      <c r="L9014" s="73"/>
    </row>
    <row r="9015" spans="1:12" x14ac:dyDescent="0.3">
      <c r="A9015"/>
      <c r="B9015" s="72"/>
      <c r="E9015" s="72"/>
      <c r="H9015" s="49"/>
      <c r="K9015"/>
      <c r="L9015" s="73"/>
    </row>
    <row r="9016" spans="1:12" x14ac:dyDescent="0.3">
      <c r="A9016"/>
      <c r="B9016" s="72"/>
      <c r="E9016" s="72"/>
      <c r="H9016" s="49"/>
      <c r="K9016"/>
      <c r="L9016" s="73"/>
    </row>
    <row r="9017" spans="1:12" x14ac:dyDescent="0.3">
      <c r="A9017"/>
      <c r="B9017" s="72"/>
      <c r="E9017" s="72"/>
      <c r="H9017" s="49"/>
      <c r="K9017"/>
      <c r="L9017" s="73"/>
    </row>
    <row r="9018" spans="1:12" x14ac:dyDescent="0.3">
      <c r="A9018"/>
      <c r="B9018" s="72"/>
      <c r="E9018" s="72"/>
      <c r="H9018" s="49"/>
      <c r="K9018"/>
      <c r="L9018" s="73"/>
    </row>
    <row r="9019" spans="1:12" x14ac:dyDescent="0.3">
      <c r="A9019"/>
      <c r="B9019" s="72"/>
      <c r="E9019" s="72"/>
      <c r="H9019" s="49"/>
      <c r="K9019"/>
      <c r="L9019" s="73"/>
    </row>
    <row r="9020" spans="1:12" x14ac:dyDescent="0.3">
      <c r="A9020"/>
      <c r="B9020" s="72"/>
      <c r="E9020" s="72"/>
      <c r="H9020" s="49"/>
      <c r="K9020"/>
      <c r="L9020" s="73"/>
    </row>
    <row r="9021" spans="1:12" x14ac:dyDescent="0.3">
      <c r="A9021"/>
      <c r="B9021" s="72"/>
      <c r="E9021" s="72"/>
      <c r="H9021" s="49"/>
      <c r="K9021"/>
      <c r="L9021" s="73"/>
    </row>
    <row r="9022" spans="1:12" x14ac:dyDescent="0.3">
      <c r="A9022"/>
      <c r="B9022" s="72"/>
      <c r="E9022" s="72"/>
      <c r="H9022" s="49"/>
      <c r="K9022"/>
      <c r="L9022" s="73"/>
    </row>
    <row r="9023" spans="1:12" x14ac:dyDescent="0.3">
      <c r="A9023"/>
      <c r="B9023" s="72"/>
      <c r="E9023" s="72"/>
      <c r="H9023" s="49"/>
      <c r="K9023"/>
      <c r="L9023" s="73"/>
    </row>
    <row r="9024" spans="1:12" x14ac:dyDescent="0.3">
      <c r="A9024"/>
      <c r="B9024" s="72"/>
      <c r="E9024" s="72"/>
      <c r="H9024" s="49"/>
      <c r="K9024"/>
      <c r="L9024" s="73"/>
    </row>
    <row r="9025" spans="1:12" x14ac:dyDescent="0.3">
      <c r="A9025"/>
      <c r="B9025" s="72"/>
      <c r="E9025" s="72"/>
      <c r="H9025" s="49"/>
      <c r="K9025"/>
      <c r="L9025" s="73"/>
    </row>
    <row r="9026" spans="1:12" x14ac:dyDescent="0.3">
      <c r="A9026"/>
      <c r="B9026" s="72"/>
      <c r="E9026" s="72"/>
      <c r="H9026" s="49"/>
      <c r="K9026"/>
      <c r="L9026" s="73"/>
    </row>
    <row r="9027" spans="1:12" x14ac:dyDescent="0.3">
      <c r="A9027"/>
      <c r="B9027" s="72"/>
      <c r="E9027" s="72"/>
      <c r="H9027" s="49"/>
      <c r="K9027"/>
      <c r="L9027" s="73"/>
    </row>
    <row r="9028" spans="1:12" x14ac:dyDescent="0.3">
      <c r="A9028"/>
      <c r="B9028" s="72"/>
      <c r="E9028" s="72"/>
      <c r="H9028" s="49"/>
      <c r="K9028"/>
      <c r="L9028" s="73"/>
    </row>
    <row r="9029" spans="1:12" x14ac:dyDescent="0.3">
      <c r="A9029"/>
      <c r="B9029" s="72"/>
      <c r="E9029" s="72"/>
      <c r="H9029" s="49"/>
      <c r="K9029"/>
      <c r="L9029" s="73"/>
    </row>
    <row r="9030" spans="1:12" x14ac:dyDescent="0.3">
      <c r="A9030"/>
      <c r="B9030" s="72"/>
      <c r="E9030" s="72"/>
      <c r="H9030" s="49"/>
      <c r="K9030"/>
      <c r="L9030" s="73"/>
    </row>
    <row r="9031" spans="1:12" x14ac:dyDescent="0.3">
      <c r="A9031"/>
      <c r="B9031" s="72"/>
      <c r="E9031" s="72"/>
      <c r="H9031" s="49"/>
      <c r="K9031"/>
      <c r="L9031" s="73"/>
    </row>
    <row r="9032" spans="1:12" x14ac:dyDescent="0.3">
      <c r="A9032"/>
      <c r="B9032" s="72"/>
      <c r="E9032" s="72"/>
      <c r="H9032" s="49"/>
      <c r="K9032"/>
      <c r="L9032" s="73"/>
    </row>
    <row r="9033" spans="1:12" x14ac:dyDescent="0.3">
      <c r="A9033"/>
      <c r="B9033" s="72"/>
      <c r="E9033" s="72"/>
      <c r="H9033" s="49"/>
      <c r="K9033"/>
      <c r="L9033" s="73"/>
    </row>
    <row r="9034" spans="1:12" x14ac:dyDescent="0.3">
      <c r="A9034"/>
      <c r="B9034" s="72"/>
      <c r="E9034" s="72"/>
      <c r="H9034" s="49"/>
      <c r="K9034"/>
      <c r="L9034" s="73"/>
    </row>
    <row r="9035" spans="1:12" x14ac:dyDescent="0.3">
      <c r="A9035"/>
      <c r="B9035" s="72"/>
      <c r="E9035" s="72"/>
      <c r="H9035" s="49"/>
      <c r="K9035"/>
      <c r="L9035" s="73"/>
    </row>
    <row r="9036" spans="1:12" x14ac:dyDescent="0.3">
      <c r="A9036"/>
      <c r="B9036" s="72"/>
      <c r="E9036" s="72"/>
      <c r="H9036" s="49"/>
      <c r="K9036"/>
      <c r="L9036" s="73"/>
    </row>
    <row r="9037" spans="1:12" x14ac:dyDescent="0.3">
      <c r="A9037"/>
      <c r="B9037" s="72"/>
      <c r="E9037" s="72"/>
      <c r="H9037" s="49"/>
      <c r="K9037"/>
      <c r="L9037" s="73"/>
    </row>
    <row r="9038" spans="1:12" x14ac:dyDescent="0.3">
      <c r="A9038"/>
      <c r="B9038" s="72"/>
      <c r="E9038" s="72"/>
      <c r="H9038" s="49"/>
      <c r="K9038"/>
      <c r="L9038" s="73"/>
    </row>
    <row r="9039" spans="1:12" x14ac:dyDescent="0.3">
      <c r="A9039"/>
      <c r="B9039" s="72"/>
      <c r="E9039" s="72"/>
      <c r="H9039" s="49"/>
      <c r="K9039"/>
      <c r="L9039" s="73"/>
    </row>
    <row r="9040" spans="1:12" x14ac:dyDescent="0.3">
      <c r="A9040"/>
      <c r="B9040" s="72"/>
      <c r="E9040" s="72"/>
      <c r="H9040" s="49"/>
      <c r="K9040"/>
      <c r="L9040" s="73"/>
    </row>
    <row r="9041" spans="1:12" x14ac:dyDescent="0.3">
      <c r="A9041"/>
      <c r="B9041" s="72"/>
      <c r="E9041" s="72"/>
      <c r="H9041" s="49"/>
      <c r="K9041"/>
      <c r="L9041" s="73"/>
    </row>
    <row r="9042" spans="1:12" x14ac:dyDescent="0.3">
      <c r="A9042"/>
      <c r="B9042" s="72"/>
      <c r="E9042" s="72"/>
      <c r="H9042" s="49"/>
      <c r="K9042"/>
      <c r="L9042" s="73"/>
    </row>
    <row r="9043" spans="1:12" x14ac:dyDescent="0.3">
      <c r="A9043"/>
      <c r="B9043" s="72"/>
      <c r="E9043" s="72"/>
      <c r="H9043" s="49"/>
      <c r="K9043"/>
      <c r="L9043" s="73"/>
    </row>
    <row r="9044" spans="1:12" x14ac:dyDescent="0.3">
      <c r="A9044"/>
      <c r="B9044" s="72"/>
      <c r="E9044" s="72"/>
      <c r="H9044" s="49"/>
      <c r="K9044"/>
      <c r="L9044" s="73"/>
    </row>
    <row r="9045" spans="1:12" x14ac:dyDescent="0.3">
      <c r="A9045"/>
      <c r="B9045" s="72"/>
      <c r="E9045" s="72"/>
      <c r="H9045" s="49"/>
      <c r="K9045"/>
      <c r="L9045" s="73"/>
    </row>
    <row r="9046" spans="1:12" x14ac:dyDescent="0.3">
      <c r="A9046"/>
      <c r="B9046" s="72"/>
      <c r="E9046" s="72"/>
      <c r="H9046" s="49"/>
      <c r="K9046"/>
      <c r="L9046" s="73"/>
    </row>
    <row r="9047" spans="1:12" x14ac:dyDescent="0.3">
      <c r="A9047"/>
      <c r="B9047" s="72"/>
      <c r="E9047" s="72"/>
      <c r="H9047" s="49"/>
      <c r="K9047"/>
      <c r="L9047" s="73"/>
    </row>
    <row r="9048" spans="1:12" x14ac:dyDescent="0.3">
      <c r="A9048"/>
      <c r="B9048" s="72"/>
      <c r="E9048" s="72"/>
      <c r="H9048" s="49"/>
      <c r="K9048"/>
      <c r="L9048" s="73"/>
    </row>
    <row r="9049" spans="1:12" x14ac:dyDescent="0.3">
      <c r="A9049"/>
      <c r="B9049" s="72"/>
      <c r="E9049" s="72"/>
      <c r="H9049" s="49"/>
      <c r="K9049"/>
      <c r="L9049" s="73"/>
    </row>
    <row r="9050" spans="1:12" x14ac:dyDescent="0.3">
      <c r="A9050"/>
      <c r="B9050" s="72"/>
      <c r="E9050" s="72"/>
      <c r="H9050" s="49"/>
      <c r="K9050"/>
      <c r="L9050" s="73"/>
    </row>
    <row r="9051" spans="1:12" x14ac:dyDescent="0.3">
      <c r="A9051"/>
      <c r="B9051" s="72"/>
      <c r="E9051" s="72"/>
      <c r="H9051" s="49"/>
      <c r="K9051"/>
      <c r="L9051" s="73"/>
    </row>
    <row r="9052" spans="1:12" x14ac:dyDescent="0.3">
      <c r="A9052"/>
      <c r="B9052" s="72"/>
      <c r="E9052" s="72"/>
      <c r="H9052" s="49"/>
      <c r="K9052"/>
      <c r="L9052" s="73"/>
    </row>
    <row r="9053" spans="1:12" x14ac:dyDescent="0.3">
      <c r="A9053"/>
      <c r="B9053" s="72"/>
      <c r="E9053" s="72"/>
      <c r="H9053" s="49"/>
      <c r="K9053"/>
      <c r="L9053" s="73"/>
    </row>
    <row r="9054" spans="1:12" x14ac:dyDescent="0.3">
      <c r="A9054"/>
      <c r="B9054" s="72"/>
      <c r="E9054" s="72"/>
      <c r="H9054" s="49"/>
      <c r="K9054"/>
      <c r="L9054" s="73"/>
    </row>
    <row r="9055" spans="1:12" x14ac:dyDescent="0.3">
      <c r="A9055"/>
      <c r="B9055" s="72"/>
      <c r="E9055" s="72"/>
      <c r="H9055" s="49"/>
      <c r="K9055"/>
      <c r="L9055" s="73"/>
    </row>
    <row r="9056" spans="1:12" x14ac:dyDescent="0.3">
      <c r="A9056"/>
      <c r="B9056" s="72"/>
      <c r="E9056" s="72"/>
      <c r="H9056" s="49"/>
      <c r="K9056"/>
      <c r="L9056" s="73"/>
    </row>
    <row r="9057" spans="1:12" x14ac:dyDescent="0.3">
      <c r="A9057"/>
      <c r="B9057" s="72"/>
      <c r="E9057" s="72"/>
      <c r="H9057" s="49"/>
      <c r="K9057"/>
      <c r="L9057" s="73"/>
    </row>
    <row r="9058" spans="1:12" x14ac:dyDescent="0.3">
      <c r="A9058"/>
      <c r="B9058" s="72"/>
      <c r="E9058" s="72"/>
      <c r="H9058" s="49"/>
      <c r="K9058"/>
      <c r="L9058" s="73"/>
    </row>
    <row r="9059" spans="1:12" x14ac:dyDescent="0.3">
      <c r="A9059"/>
      <c r="B9059" s="72"/>
      <c r="E9059" s="72"/>
      <c r="H9059" s="49"/>
      <c r="K9059"/>
      <c r="L9059" s="73"/>
    </row>
    <row r="9060" spans="1:12" x14ac:dyDescent="0.3">
      <c r="A9060"/>
      <c r="B9060" s="72"/>
      <c r="E9060" s="72"/>
      <c r="H9060" s="49"/>
      <c r="K9060"/>
      <c r="L9060" s="73"/>
    </row>
    <row r="9061" spans="1:12" x14ac:dyDescent="0.3">
      <c r="A9061"/>
      <c r="B9061" s="72"/>
      <c r="E9061" s="72"/>
      <c r="H9061" s="49"/>
      <c r="K9061"/>
      <c r="L9061" s="73"/>
    </row>
    <row r="9062" spans="1:12" x14ac:dyDescent="0.3">
      <c r="A9062"/>
      <c r="B9062" s="72"/>
      <c r="E9062" s="72"/>
      <c r="H9062" s="49"/>
      <c r="K9062"/>
      <c r="L9062" s="73"/>
    </row>
    <row r="9063" spans="1:12" x14ac:dyDescent="0.3">
      <c r="A9063"/>
      <c r="B9063" s="72"/>
      <c r="E9063" s="72"/>
      <c r="H9063" s="49"/>
      <c r="K9063"/>
      <c r="L9063" s="73"/>
    </row>
    <row r="9064" spans="1:12" x14ac:dyDescent="0.3">
      <c r="A9064"/>
      <c r="B9064" s="72"/>
      <c r="E9064" s="72"/>
      <c r="H9064" s="49"/>
      <c r="K9064"/>
      <c r="L9064" s="73"/>
    </row>
    <row r="9065" spans="1:12" x14ac:dyDescent="0.3">
      <c r="A9065"/>
      <c r="B9065" s="72"/>
      <c r="E9065" s="72"/>
      <c r="H9065" s="49"/>
      <c r="K9065"/>
      <c r="L9065" s="73"/>
    </row>
    <row r="9066" spans="1:12" x14ac:dyDescent="0.3">
      <c r="A9066"/>
      <c r="B9066" s="72"/>
      <c r="E9066" s="72"/>
      <c r="H9066" s="49"/>
      <c r="K9066"/>
      <c r="L9066" s="73"/>
    </row>
    <row r="9067" spans="1:12" x14ac:dyDescent="0.3">
      <c r="A9067"/>
      <c r="B9067" s="72"/>
      <c r="E9067" s="72"/>
      <c r="H9067" s="49"/>
      <c r="K9067"/>
      <c r="L9067" s="73"/>
    </row>
    <row r="9068" spans="1:12" x14ac:dyDescent="0.3">
      <c r="A9068"/>
      <c r="B9068" s="72"/>
      <c r="E9068" s="72"/>
      <c r="H9068" s="49"/>
      <c r="K9068"/>
      <c r="L9068" s="73"/>
    </row>
    <row r="9069" spans="1:12" x14ac:dyDescent="0.3">
      <c r="A9069"/>
      <c r="B9069" s="72"/>
      <c r="E9069" s="72"/>
      <c r="H9069" s="49"/>
      <c r="K9069"/>
      <c r="L9069" s="73"/>
    </row>
    <row r="9070" spans="1:12" x14ac:dyDescent="0.3">
      <c r="A9070"/>
      <c r="B9070" s="72"/>
      <c r="E9070" s="72"/>
      <c r="H9070" s="49"/>
      <c r="K9070"/>
      <c r="L9070" s="73"/>
    </row>
    <row r="9071" spans="1:12" x14ac:dyDescent="0.3">
      <c r="A9071"/>
      <c r="B9071" s="72"/>
      <c r="E9071" s="72"/>
      <c r="H9071" s="49"/>
      <c r="K9071"/>
      <c r="L9071" s="73"/>
    </row>
    <row r="9072" spans="1:12" x14ac:dyDescent="0.3">
      <c r="A9072"/>
      <c r="B9072" s="72"/>
      <c r="E9072" s="72"/>
      <c r="H9072" s="49"/>
      <c r="K9072"/>
      <c r="L9072" s="73"/>
    </row>
    <row r="9073" spans="1:12" x14ac:dyDescent="0.3">
      <c r="A9073"/>
      <c r="B9073" s="72"/>
      <c r="E9073" s="72"/>
      <c r="H9073" s="49"/>
      <c r="K9073"/>
      <c r="L9073" s="73"/>
    </row>
    <row r="9074" spans="1:12" x14ac:dyDescent="0.3">
      <c r="A9074"/>
      <c r="B9074" s="72"/>
      <c r="E9074" s="72"/>
      <c r="H9074" s="49"/>
      <c r="K9074"/>
      <c r="L9074" s="73"/>
    </row>
    <row r="9075" spans="1:12" x14ac:dyDescent="0.3">
      <c r="A9075"/>
      <c r="B9075" s="72"/>
      <c r="E9075" s="72"/>
      <c r="H9075" s="49"/>
      <c r="K9075"/>
      <c r="L9075" s="73"/>
    </row>
    <row r="9076" spans="1:12" x14ac:dyDescent="0.3">
      <c r="A9076"/>
      <c r="B9076" s="72"/>
      <c r="E9076" s="72"/>
      <c r="H9076" s="49"/>
      <c r="K9076"/>
      <c r="L9076" s="73"/>
    </row>
    <row r="9077" spans="1:12" x14ac:dyDescent="0.3">
      <c r="A9077"/>
      <c r="B9077" s="72"/>
      <c r="E9077" s="72"/>
      <c r="H9077" s="49"/>
      <c r="K9077"/>
      <c r="L9077" s="73"/>
    </row>
    <row r="9078" spans="1:12" x14ac:dyDescent="0.3">
      <c r="A9078"/>
      <c r="B9078" s="72"/>
      <c r="E9078" s="72"/>
      <c r="H9078" s="49"/>
      <c r="K9078"/>
      <c r="L9078" s="73"/>
    </row>
    <row r="9079" spans="1:12" x14ac:dyDescent="0.3">
      <c r="A9079"/>
      <c r="B9079" s="72"/>
      <c r="E9079" s="72"/>
      <c r="H9079" s="49"/>
      <c r="K9079"/>
      <c r="L9079" s="73"/>
    </row>
    <row r="9080" spans="1:12" x14ac:dyDescent="0.3">
      <c r="A9080"/>
      <c r="B9080" s="72"/>
      <c r="E9080" s="72"/>
      <c r="H9080" s="49"/>
      <c r="K9080"/>
      <c r="L9080" s="73"/>
    </row>
    <row r="9081" spans="1:12" x14ac:dyDescent="0.3">
      <c r="A9081"/>
      <c r="B9081" s="72"/>
      <c r="E9081" s="72"/>
      <c r="H9081" s="49"/>
      <c r="K9081"/>
      <c r="L9081" s="73"/>
    </row>
    <row r="9082" spans="1:12" x14ac:dyDescent="0.3">
      <c r="A9082"/>
      <c r="B9082" s="72"/>
      <c r="E9082" s="72"/>
      <c r="H9082" s="49"/>
      <c r="K9082"/>
      <c r="L9082" s="73"/>
    </row>
    <row r="9083" spans="1:12" x14ac:dyDescent="0.3">
      <c r="A9083"/>
      <c r="B9083" s="72"/>
      <c r="E9083" s="72"/>
      <c r="H9083" s="49"/>
      <c r="K9083"/>
      <c r="L9083" s="73"/>
    </row>
    <row r="9084" spans="1:12" x14ac:dyDescent="0.3">
      <c r="A9084"/>
      <c r="B9084" s="72"/>
      <c r="E9084" s="72"/>
      <c r="H9084" s="49"/>
      <c r="K9084"/>
      <c r="L9084" s="73"/>
    </row>
    <row r="9085" spans="1:12" x14ac:dyDescent="0.3">
      <c r="A9085"/>
      <c r="B9085" s="72"/>
      <c r="E9085" s="72"/>
      <c r="H9085" s="49"/>
      <c r="K9085"/>
      <c r="L9085" s="73"/>
    </row>
    <row r="9086" spans="1:12" x14ac:dyDescent="0.3">
      <c r="A9086"/>
      <c r="B9086" s="72"/>
      <c r="E9086" s="72"/>
      <c r="H9086" s="49"/>
      <c r="K9086"/>
      <c r="L9086" s="73"/>
    </row>
    <row r="9087" spans="1:12" x14ac:dyDescent="0.3">
      <c r="A9087"/>
      <c r="B9087" s="72"/>
      <c r="E9087" s="72"/>
      <c r="H9087" s="49"/>
      <c r="K9087"/>
      <c r="L9087" s="73"/>
    </row>
    <row r="9088" spans="1:12" x14ac:dyDescent="0.3">
      <c r="A9088"/>
      <c r="B9088" s="72"/>
      <c r="E9088" s="72"/>
      <c r="H9088" s="49"/>
      <c r="K9088"/>
      <c r="L9088" s="73"/>
    </row>
    <row r="9089" spans="1:12" x14ac:dyDescent="0.3">
      <c r="A9089"/>
      <c r="B9089" s="72"/>
      <c r="E9089" s="72"/>
      <c r="H9089" s="49"/>
      <c r="K9089"/>
      <c r="L9089" s="73"/>
    </row>
    <row r="9090" spans="1:12" x14ac:dyDescent="0.3">
      <c r="A9090"/>
      <c r="B9090" s="72"/>
      <c r="E9090" s="72"/>
      <c r="H9090" s="49"/>
      <c r="K9090"/>
      <c r="L9090" s="73"/>
    </row>
    <row r="9091" spans="1:12" x14ac:dyDescent="0.3">
      <c r="A9091"/>
      <c r="B9091" s="72"/>
      <c r="E9091" s="72"/>
      <c r="H9091" s="49"/>
      <c r="K9091"/>
      <c r="L9091" s="73"/>
    </row>
    <row r="9092" spans="1:12" x14ac:dyDescent="0.3">
      <c r="A9092"/>
      <c r="B9092" s="72"/>
      <c r="E9092" s="72"/>
      <c r="H9092" s="49"/>
      <c r="K9092"/>
      <c r="L9092" s="73"/>
    </row>
    <row r="9093" spans="1:12" x14ac:dyDescent="0.3">
      <c r="A9093"/>
      <c r="B9093" s="72"/>
      <c r="E9093" s="72"/>
      <c r="H9093" s="49"/>
      <c r="K9093"/>
      <c r="L9093" s="73"/>
    </row>
    <row r="9094" spans="1:12" x14ac:dyDescent="0.3">
      <c r="A9094"/>
      <c r="B9094" s="72"/>
      <c r="E9094" s="72"/>
      <c r="H9094" s="49"/>
      <c r="K9094"/>
      <c r="L9094" s="73"/>
    </row>
    <row r="9095" spans="1:12" x14ac:dyDescent="0.3">
      <c r="A9095"/>
      <c r="B9095" s="72"/>
      <c r="E9095" s="72"/>
      <c r="H9095" s="49"/>
      <c r="K9095"/>
      <c r="L9095" s="73"/>
    </row>
    <row r="9096" spans="1:12" x14ac:dyDescent="0.3">
      <c r="A9096"/>
      <c r="B9096" s="72"/>
      <c r="E9096" s="72"/>
      <c r="H9096" s="49"/>
      <c r="K9096"/>
      <c r="L9096" s="73"/>
    </row>
    <row r="9097" spans="1:12" x14ac:dyDescent="0.3">
      <c r="A9097"/>
      <c r="B9097" s="72"/>
      <c r="E9097" s="72"/>
      <c r="H9097" s="49"/>
      <c r="K9097"/>
      <c r="L9097" s="73"/>
    </row>
    <row r="9098" spans="1:12" x14ac:dyDescent="0.3">
      <c r="A9098"/>
      <c r="B9098" s="72"/>
      <c r="E9098" s="72"/>
      <c r="H9098" s="49"/>
      <c r="K9098"/>
      <c r="L9098" s="73"/>
    </row>
    <row r="9099" spans="1:12" x14ac:dyDescent="0.3">
      <c r="A9099"/>
      <c r="B9099" s="72"/>
      <c r="E9099" s="72"/>
      <c r="H9099" s="49"/>
      <c r="K9099"/>
      <c r="L9099" s="73"/>
    </row>
    <row r="9100" spans="1:12" x14ac:dyDescent="0.3">
      <c r="A9100"/>
      <c r="B9100" s="72"/>
      <c r="E9100" s="72"/>
      <c r="H9100" s="49"/>
      <c r="K9100"/>
      <c r="L9100" s="73"/>
    </row>
    <row r="9101" spans="1:12" x14ac:dyDescent="0.3">
      <c r="A9101"/>
      <c r="B9101" s="72"/>
      <c r="E9101" s="72"/>
      <c r="H9101" s="49"/>
      <c r="K9101"/>
      <c r="L9101" s="73"/>
    </row>
    <row r="9102" spans="1:12" x14ac:dyDescent="0.3">
      <c r="A9102"/>
      <c r="B9102" s="72"/>
      <c r="E9102" s="72"/>
      <c r="H9102" s="49"/>
      <c r="K9102"/>
      <c r="L9102" s="73"/>
    </row>
    <row r="9103" spans="1:12" x14ac:dyDescent="0.3">
      <c r="A9103"/>
      <c r="B9103" s="72"/>
      <c r="E9103" s="72"/>
      <c r="H9103" s="49"/>
      <c r="K9103"/>
      <c r="L9103" s="73"/>
    </row>
    <row r="9104" spans="1:12" x14ac:dyDescent="0.3">
      <c r="A9104"/>
      <c r="B9104" s="72"/>
      <c r="E9104" s="72"/>
      <c r="H9104" s="49"/>
      <c r="K9104"/>
      <c r="L9104" s="73"/>
    </row>
    <row r="9105" spans="1:12" x14ac:dyDescent="0.3">
      <c r="A9105"/>
      <c r="B9105" s="72"/>
      <c r="E9105" s="72"/>
      <c r="H9105" s="49"/>
      <c r="K9105"/>
      <c r="L9105" s="73"/>
    </row>
    <row r="9106" spans="1:12" x14ac:dyDescent="0.3">
      <c r="A9106"/>
      <c r="B9106" s="72"/>
      <c r="E9106" s="72"/>
      <c r="H9106" s="49"/>
      <c r="K9106"/>
      <c r="L9106" s="73"/>
    </row>
    <row r="9107" spans="1:12" x14ac:dyDescent="0.3">
      <c r="A9107"/>
      <c r="B9107" s="72"/>
      <c r="E9107" s="72"/>
      <c r="H9107" s="49"/>
      <c r="K9107"/>
      <c r="L9107" s="73"/>
    </row>
    <row r="9108" spans="1:12" x14ac:dyDescent="0.3">
      <c r="A9108"/>
      <c r="B9108" s="72"/>
      <c r="E9108" s="72"/>
      <c r="H9108" s="49"/>
      <c r="K9108"/>
      <c r="L9108" s="73"/>
    </row>
    <row r="9109" spans="1:12" x14ac:dyDescent="0.3">
      <c r="A9109"/>
      <c r="B9109" s="72"/>
      <c r="E9109" s="72"/>
      <c r="H9109" s="49"/>
      <c r="K9109"/>
      <c r="L9109" s="73"/>
    </row>
    <row r="9110" spans="1:12" x14ac:dyDescent="0.3">
      <c r="A9110"/>
      <c r="B9110" s="72"/>
      <c r="E9110" s="72"/>
      <c r="H9110" s="49"/>
      <c r="K9110"/>
      <c r="L9110" s="73"/>
    </row>
    <row r="9111" spans="1:12" x14ac:dyDescent="0.3">
      <c r="A9111"/>
      <c r="B9111" s="72"/>
      <c r="E9111" s="72"/>
      <c r="H9111" s="49"/>
      <c r="K9111"/>
      <c r="L9111" s="73"/>
    </row>
    <row r="9112" spans="1:12" x14ac:dyDescent="0.3">
      <c r="A9112"/>
      <c r="B9112" s="72"/>
      <c r="E9112" s="72"/>
      <c r="H9112" s="49"/>
      <c r="K9112"/>
      <c r="L9112" s="73"/>
    </row>
    <row r="9113" spans="1:12" x14ac:dyDescent="0.3">
      <c r="A9113"/>
      <c r="B9113" s="72"/>
      <c r="E9113" s="72"/>
      <c r="H9113" s="49"/>
      <c r="K9113"/>
      <c r="L9113" s="73"/>
    </row>
    <row r="9114" spans="1:12" x14ac:dyDescent="0.3">
      <c r="A9114"/>
      <c r="B9114" s="72"/>
      <c r="E9114" s="72"/>
      <c r="H9114" s="49"/>
      <c r="K9114"/>
      <c r="L9114" s="73"/>
    </row>
    <row r="9115" spans="1:12" x14ac:dyDescent="0.3">
      <c r="A9115"/>
      <c r="B9115" s="72"/>
      <c r="E9115" s="72"/>
      <c r="H9115" s="49"/>
      <c r="K9115"/>
      <c r="L9115" s="73"/>
    </row>
    <row r="9116" spans="1:12" x14ac:dyDescent="0.3">
      <c r="A9116"/>
      <c r="B9116" s="72"/>
      <c r="E9116" s="72"/>
      <c r="H9116" s="49"/>
      <c r="K9116"/>
      <c r="L9116" s="73"/>
    </row>
    <row r="9117" spans="1:12" x14ac:dyDescent="0.3">
      <c r="A9117"/>
      <c r="B9117" s="72"/>
      <c r="E9117" s="72"/>
      <c r="H9117" s="49"/>
      <c r="K9117"/>
      <c r="L9117" s="73"/>
    </row>
    <row r="9118" spans="1:12" x14ac:dyDescent="0.3">
      <c r="A9118"/>
      <c r="B9118" s="72"/>
      <c r="E9118" s="72"/>
      <c r="H9118" s="49"/>
      <c r="K9118"/>
      <c r="L9118" s="73"/>
    </row>
    <row r="9119" spans="1:12" x14ac:dyDescent="0.3">
      <c r="A9119"/>
      <c r="B9119" s="72"/>
      <c r="E9119" s="72"/>
      <c r="H9119" s="49"/>
      <c r="K9119"/>
      <c r="L9119" s="73"/>
    </row>
    <row r="9120" spans="1:12" x14ac:dyDescent="0.3">
      <c r="A9120"/>
      <c r="B9120" s="72"/>
      <c r="E9120" s="72"/>
      <c r="H9120" s="49"/>
      <c r="K9120"/>
      <c r="L9120" s="73"/>
    </row>
    <row r="9121" spans="1:12" x14ac:dyDescent="0.3">
      <c r="A9121"/>
      <c r="B9121" s="72"/>
      <c r="E9121" s="72"/>
      <c r="H9121" s="49"/>
      <c r="K9121"/>
      <c r="L9121" s="73"/>
    </row>
    <row r="9122" spans="1:12" x14ac:dyDescent="0.3">
      <c r="A9122"/>
      <c r="B9122" s="72"/>
      <c r="E9122" s="72"/>
      <c r="H9122" s="49"/>
      <c r="K9122"/>
      <c r="L9122" s="73"/>
    </row>
    <row r="9123" spans="1:12" x14ac:dyDescent="0.3">
      <c r="A9123"/>
      <c r="B9123" s="72"/>
      <c r="E9123" s="72"/>
      <c r="H9123" s="49"/>
      <c r="K9123"/>
      <c r="L9123" s="73"/>
    </row>
    <row r="9124" spans="1:12" x14ac:dyDescent="0.3">
      <c r="A9124"/>
      <c r="B9124" s="72"/>
      <c r="E9124" s="72"/>
      <c r="H9124" s="49"/>
      <c r="K9124"/>
      <c r="L9124" s="73"/>
    </row>
    <row r="9125" spans="1:12" x14ac:dyDescent="0.3">
      <c r="A9125"/>
      <c r="B9125" s="72"/>
      <c r="E9125" s="72"/>
      <c r="H9125" s="49"/>
      <c r="K9125"/>
      <c r="L9125" s="73"/>
    </row>
    <row r="9126" spans="1:12" x14ac:dyDescent="0.3">
      <c r="A9126"/>
      <c r="B9126" s="72"/>
      <c r="E9126" s="72"/>
      <c r="H9126" s="49"/>
      <c r="K9126"/>
      <c r="L9126" s="73"/>
    </row>
    <row r="9127" spans="1:12" x14ac:dyDescent="0.3">
      <c r="A9127"/>
      <c r="B9127" s="72"/>
      <c r="E9127" s="72"/>
      <c r="H9127" s="49"/>
      <c r="K9127"/>
      <c r="L9127" s="73"/>
    </row>
    <row r="9128" spans="1:12" x14ac:dyDescent="0.3">
      <c r="A9128"/>
      <c r="B9128" s="72"/>
      <c r="E9128" s="72"/>
      <c r="H9128" s="49"/>
      <c r="K9128"/>
      <c r="L9128" s="73"/>
    </row>
    <row r="9129" spans="1:12" x14ac:dyDescent="0.3">
      <c r="A9129"/>
      <c r="B9129" s="72"/>
      <c r="E9129" s="72"/>
      <c r="H9129" s="49"/>
      <c r="K9129"/>
      <c r="L9129" s="73"/>
    </row>
    <row r="9130" spans="1:12" x14ac:dyDescent="0.3">
      <c r="A9130"/>
      <c r="B9130" s="72"/>
      <c r="E9130" s="72"/>
      <c r="H9130" s="49"/>
      <c r="K9130"/>
      <c r="L9130" s="73"/>
    </row>
    <row r="9131" spans="1:12" x14ac:dyDescent="0.3">
      <c r="A9131"/>
      <c r="B9131" s="72"/>
      <c r="E9131" s="72"/>
      <c r="H9131" s="49"/>
      <c r="K9131"/>
      <c r="L9131" s="73"/>
    </row>
    <row r="9132" spans="1:12" x14ac:dyDescent="0.3">
      <c r="A9132"/>
      <c r="B9132" s="72"/>
      <c r="E9132" s="72"/>
      <c r="H9132" s="49"/>
      <c r="K9132"/>
      <c r="L9132" s="73"/>
    </row>
    <row r="9133" spans="1:12" x14ac:dyDescent="0.3">
      <c r="A9133"/>
      <c r="B9133" s="72"/>
      <c r="E9133" s="72"/>
      <c r="H9133" s="49"/>
      <c r="K9133"/>
      <c r="L9133" s="73"/>
    </row>
    <row r="9134" spans="1:12" x14ac:dyDescent="0.3">
      <c r="A9134"/>
      <c r="B9134" s="72"/>
      <c r="E9134" s="72"/>
      <c r="H9134" s="49"/>
      <c r="K9134"/>
      <c r="L9134" s="73"/>
    </row>
    <row r="9135" spans="1:12" x14ac:dyDescent="0.3">
      <c r="A9135"/>
      <c r="B9135" s="72"/>
      <c r="E9135" s="72"/>
      <c r="H9135" s="49"/>
      <c r="K9135"/>
      <c r="L9135" s="73"/>
    </row>
    <row r="9136" spans="1:12" x14ac:dyDescent="0.3">
      <c r="A9136"/>
      <c r="B9136" s="72"/>
      <c r="E9136" s="72"/>
      <c r="H9136" s="49"/>
      <c r="K9136"/>
      <c r="L9136" s="73"/>
    </row>
    <row r="9137" spans="1:12" x14ac:dyDescent="0.3">
      <c r="A9137"/>
      <c r="B9137" s="72"/>
      <c r="E9137" s="72"/>
      <c r="H9137" s="49"/>
      <c r="K9137"/>
      <c r="L9137" s="73"/>
    </row>
    <row r="9138" spans="1:12" x14ac:dyDescent="0.3">
      <c r="A9138"/>
      <c r="B9138" s="72"/>
      <c r="E9138" s="72"/>
      <c r="H9138" s="49"/>
      <c r="K9138"/>
      <c r="L9138" s="73"/>
    </row>
    <row r="9139" spans="1:12" x14ac:dyDescent="0.3">
      <c r="A9139"/>
      <c r="B9139" s="72"/>
      <c r="E9139" s="72"/>
      <c r="H9139" s="49"/>
      <c r="K9139"/>
      <c r="L9139" s="73"/>
    </row>
    <row r="9140" spans="1:12" x14ac:dyDescent="0.3">
      <c r="A9140"/>
      <c r="B9140" s="72"/>
      <c r="E9140" s="72"/>
      <c r="H9140" s="49"/>
      <c r="K9140"/>
      <c r="L9140" s="73"/>
    </row>
    <row r="9141" spans="1:12" x14ac:dyDescent="0.3">
      <c r="A9141"/>
      <c r="B9141" s="72"/>
      <c r="E9141" s="72"/>
      <c r="H9141" s="49"/>
      <c r="K9141"/>
      <c r="L9141" s="73"/>
    </row>
    <row r="9142" spans="1:12" x14ac:dyDescent="0.3">
      <c r="A9142"/>
      <c r="B9142" s="72"/>
      <c r="E9142" s="72"/>
      <c r="H9142" s="49"/>
      <c r="K9142"/>
      <c r="L9142" s="73"/>
    </row>
    <row r="9143" spans="1:12" x14ac:dyDescent="0.3">
      <c r="A9143"/>
      <c r="B9143" s="72"/>
      <c r="E9143" s="72"/>
      <c r="H9143" s="49"/>
      <c r="K9143"/>
      <c r="L9143" s="73"/>
    </row>
    <row r="9144" spans="1:12" x14ac:dyDescent="0.3">
      <c r="A9144"/>
      <c r="B9144" s="72"/>
      <c r="E9144" s="72"/>
      <c r="H9144" s="49"/>
      <c r="K9144"/>
      <c r="L9144" s="73"/>
    </row>
    <row r="9145" spans="1:12" x14ac:dyDescent="0.3">
      <c r="A9145"/>
      <c r="B9145" s="72"/>
      <c r="E9145" s="72"/>
      <c r="H9145" s="49"/>
      <c r="K9145"/>
      <c r="L9145" s="73"/>
    </row>
    <row r="9146" spans="1:12" x14ac:dyDescent="0.3">
      <c r="A9146"/>
      <c r="B9146" s="72"/>
      <c r="E9146" s="72"/>
      <c r="H9146" s="49"/>
      <c r="K9146"/>
      <c r="L9146" s="73"/>
    </row>
    <row r="9147" spans="1:12" x14ac:dyDescent="0.3">
      <c r="A9147"/>
      <c r="B9147" s="72"/>
      <c r="E9147" s="72"/>
      <c r="H9147" s="49"/>
      <c r="K9147"/>
      <c r="L9147" s="73"/>
    </row>
    <row r="9148" spans="1:12" x14ac:dyDescent="0.3">
      <c r="A9148"/>
      <c r="B9148" s="72"/>
      <c r="E9148" s="72"/>
      <c r="H9148" s="49"/>
      <c r="K9148"/>
      <c r="L9148" s="73"/>
    </row>
    <row r="9149" spans="1:12" x14ac:dyDescent="0.3">
      <c r="A9149"/>
      <c r="B9149" s="72"/>
      <c r="E9149" s="72"/>
      <c r="H9149" s="49"/>
      <c r="K9149"/>
      <c r="L9149" s="73"/>
    </row>
    <row r="9150" spans="1:12" x14ac:dyDescent="0.3">
      <c r="A9150"/>
      <c r="B9150" s="72"/>
      <c r="E9150" s="72"/>
      <c r="H9150" s="49"/>
      <c r="K9150"/>
      <c r="L9150" s="73"/>
    </row>
    <row r="9151" spans="1:12" x14ac:dyDescent="0.3">
      <c r="A9151"/>
      <c r="B9151" s="72"/>
      <c r="E9151" s="72"/>
      <c r="H9151" s="49"/>
      <c r="K9151"/>
      <c r="L9151" s="73"/>
    </row>
    <row r="9152" spans="1:12" x14ac:dyDescent="0.3">
      <c r="A9152"/>
      <c r="B9152" s="72"/>
      <c r="E9152" s="72"/>
      <c r="H9152" s="49"/>
      <c r="K9152"/>
      <c r="L9152" s="73"/>
    </row>
    <row r="9153" spans="1:12" x14ac:dyDescent="0.3">
      <c r="A9153"/>
      <c r="B9153" s="72"/>
      <c r="E9153" s="72"/>
      <c r="H9153" s="49"/>
      <c r="K9153"/>
      <c r="L9153" s="73"/>
    </row>
    <row r="9154" spans="1:12" x14ac:dyDescent="0.3">
      <c r="A9154"/>
      <c r="B9154" s="72"/>
      <c r="E9154" s="72"/>
      <c r="H9154" s="49"/>
      <c r="K9154"/>
      <c r="L9154" s="73"/>
    </row>
    <row r="9155" spans="1:12" x14ac:dyDescent="0.3">
      <c r="A9155"/>
      <c r="B9155" s="72"/>
      <c r="E9155" s="72"/>
      <c r="H9155" s="49"/>
      <c r="K9155"/>
      <c r="L9155" s="73"/>
    </row>
    <row r="9156" spans="1:12" x14ac:dyDescent="0.3">
      <c r="A9156"/>
      <c r="B9156" s="72"/>
      <c r="E9156" s="72"/>
      <c r="H9156" s="49"/>
      <c r="K9156"/>
      <c r="L9156" s="73"/>
    </row>
    <row r="9157" spans="1:12" x14ac:dyDescent="0.3">
      <c r="A9157"/>
      <c r="B9157" s="72"/>
      <c r="E9157" s="72"/>
      <c r="H9157" s="49"/>
      <c r="K9157"/>
      <c r="L9157" s="73"/>
    </row>
    <row r="9158" spans="1:12" x14ac:dyDescent="0.3">
      <c r="A9158"/>
      <c r="B9158" s="72"/>
      <c r="E9158" s="72"/>
      <c r="H9158" s="49"/>
      <c r="K9158"/>
      <c r="L9158" s="73"/>
    </row>
    <row r="9159" spans="1:12" x14ac:dyDescent="0.3">
      <c r="A9159"/>
      <c r="B9159" s="72"/>
      <c r="E9159" s="72"/>
      <c r="H9159" s="49"/>
      <c r="K9159"/>
      <c r="L9159" s="73"/>
    </row>
    <row r="9160" spans="1:12" x14ac:dyDescent="0.3">
      <c r="A9160"/>
      <c r="B9160" s="72"/>
      <c r="E9160" s="72"/>
      <c r="H9160" s="49"/>
      <c r="K9160"/>
      <c r="L9160" s="73"/>
    </row>
    <row r="9161" spans="1:12" x14ac:dyDescent="0.3">
      <c r="A9161"/>
      <c r="B9161" s="72"/>
      <c r="E9161" s="72"/>
      <c r="H9161" s="49"/>
      <c r="K9161"/>
      <c r="L9161" s="73"/>
    </row>
    <row r="9162" spans="1:12" x14ac:dyDescent="0.3">
      <c r="A9162"/>
      <c r="B9162" s="72"/>
      <c r="E9162" s="72"/>
      <c r="H9162" s="49"/>
      <c r="K9162"/>
      <c r="L9162" s="73"/>
    </row>
    <row r="9163" spans="1:12" x14ac:dyDescent="0.3">
      <c r="A9163"/>
      <c r="B9163" s="72"/>
      <c r="E9163" s="72"/>
      <c r="H9163" s="49"/>
      <c r="K9163"/>
      <c r="L9163" s="73"/>
    </row>
    <row r="9164" spans="1:12" x14ac:dyDescent="0.3">
      <c r="A9164"/>
      <c r="B9164" s="72"/>
      <c r="E9164" s="72"/>
      <c r="H9164" s="49"/>
      <c r="K9164"/>
      <c r="L9164" s="73"/>
    </row>
    <row r="9165" spans="1:12" x14ac:dyDescent="0.3">
      <c r="A9165"/>
      <c r="B9165" s="72"/>
      <c r="E9165" s="72"/>
      <c r="H9165" s="49"/>
      <c r="K9165"/>
      <c r="L9165" s="73"/>
    </row>
    <row r="9166" spans="1:12" x14ac:dyDescent="0.3">
      <c r="A9166"/>
      <c r="B9166" s="72"/>
      <c r="E9166" s="72"/>
      <c r="H9166" s="49"/>
      <c r="K9166"/>
      <c r="L9166" s="73"/>
    </row>
    <row r="9167" spans="1:12" x14ac:dyDescent="0.3">
      <c r="A9167"/>
      <c r="B9167" s="72"/>
      <c r="E9167" s="72"/>
      <c r="H9167" s="49"/>
      <c r="K9167"/>
      <c r="L9167" s="73"/>
    </row>
    <row r="9168" spans="1:12" x14ac:dyDescent="0.3">
      <c r="A9168"/>
      <c r="B9168" s="72"/>
      <c r="E9168" s="72"/>
      <c r="H9168" s="49"/>
      <c r="K9168"/>
      <c r="L9168" s="73"/>
    </row>
    <row r="9169" spans="1:12" x14ac:dyDescent="0.3">
      <c r="A9169"/>
      <c r="B9169" s="72"/>
      <c r="E9169" s="72"/>
      <c r="H9169" s="49"/>
      <c r="K9169"/>
      <c r="L9169" s="73"/>
    </row>
    <row r="9170" spans="1:12" x14ac:dyDescent="0.3">
      <c r="A9170"/>
      <c r="B9170" s="72"/>
      <c r="E9170" s="72"/>
      <c r="H9170" s="49"/>
      <c r="K9170"/>
      <c r="L9170" s="73"/>
    </row>
    <row r="9171" spans="1:12" x14ac:dyDescent="0.3">
      <c r="A9171"/>
      <c r="B9171" s="72"/>
      <c r="E9171" s="72"/>
      <c r="H9171" s="49"/>
      <c r="K9171"/>
      <c r="L9171" s="73"/>
    </row>
    <row r="9172" spans="1:12" x14ac:dyDescent="0.3">
      <c r="A9172"/>
      <c r="B9172" s="72"/>
      <c r="E9172" s="72"/>
      <c r="H9172" s="49"/>
      <c r="K9172"/>
      <c r="L9172" s="73"/>
    </row>
    <row r="9173" spans="1:12" x14ac:dyDescent="0.3">
      <c r="A9173"/>
      <c r="B9173" s="72"/>
      <c r="E9173" s="72"/>
      <c r="H9173" s="49"/>
      <c r="K9173"/>
      <c r="L9173" s="73"/>
    </row>
    <row r="9174" spans="1:12" x14ac:dyDescent="0.3">
      <c r="A9174"/>
      <c r="B9174" s="72"/>
      <c r="E9174" s="72"/>
      <c r="H9174" s="49"/>
      <c r="K9174"/>
      <c r="L9174" s="73"/>
    </row>
    <row r="9175" spans="1:12" x14ac:dyDescent="0.3">
      <c r="A9175"/>
      <c r="B9175" s="72"/>
      <c r="E9175" s="72"/>
      <c r="H9175" s="49"/>
      <c r="K9175"/>
      <c r="L9175" s="73"/>
    </row>
    <row r="9176" spans="1:12" x14ac:dyDescent="0.3">
      <c r="A9176"/>
      <c r="B9176" s="72"/>
      <c r="E9176" s="72"/>
      <c r="H9176" s="49"/>
      <c r="K9176"/>
      <c r="L9176" s="73"/>
    </row>
    <row r="9177" spans="1:12" x14ac:dyDescent="0.3">
      <c r="A9177"/>
      <c r="B9177" s="72"/>
      <c r="E9177" s="72"/>
      <c r="H9177" s="49"/>
      <c r="K9177"/>
      <c r="L9177" s="73"/>
    </row>
    <row r="9178" spans="1:12" x14ac:dyDescent="0.3">
      <c r="A9178"/>
      <c r="B9178" s="72"/>
      <c r="E9178" s="72"/>
      <c r="H9178" s="49"/>
      <c r="K9178"/>
      <c r="L9178" s="73"/>
    </row>
    <row r="9179" spans="1:12" x14ac:dyDescent="0.3">
      <c r="A9179"/>
      <c r="B9179" s="72"/>
      <c r="E9179" s="72"/>
      <c r="H9179" s="49"/>
      <c r="K9179"/>
      <c r="L9179" s="73"/>
    </row>
    <row r="9180" spans="1:12" x14ac:dyDescent="0.3">
      <c r="A9180"/>
      <c r="B9180" s="72"/>
      <c r="E9180" s="72"/>
      <c r="H9180" s="49"/>
      <c r="K9180"/>
      <c r="L9180" s="73"/>
    </row>
    <row r="9181" spans="1:12" x14ac:dyDescent="0.3">
      <c r="A9181"/>
      <c r="B9181" s="72"/>
      <c r="E9181" s="72"/>
      <c r="H9181" s="49"/>
      <c r="K9181"/>
      <c r="L9181" s="73"/>
    </row>
    <row r="9182" spans="1:12" x14ac:dyDescent="0.3">
      <c r="A9182"/>
      <c r="B9182" s="72"/>
      <c r="E9182" s="72"/>
      <c r="H9182" s="49"/>
      <c r="K9182"/>
      <c r="L9182" s="73"/>
    </row>
    <row r="9183" spans="1:12" x14ac:dyDescent="0.3">
      <c r="A9183"/>
      <c r="B9183" s="72"/>
      <c r="E9183" s="72"/>
      <c r="H9183" s="49"/>
      <c r="K9183"/>
      <c r="L9183" s="73"/>
    </row>
    <row r="9184" spans="1:12" x14ac:dyDescent="0.3">
      <c r="A9184"/>
      <c r="B9184" s="72"/>
      <c r="E9184" s="72"/>
      <c r="H9184" s="49"/>
      <c r="K9184"/>
      <c r="L9184" s="73"/>
    </row>
    <row r="9185" spans="1:12" x14ac:dyDescent="0.3">
      <c r="A9185"/>
      <c r="B9185" s="72"/>
      <c r="E9185" s="72"/>
      <c r="H9185" s="49"/>
      <c r="K9185"/>
      <c r="L9185" s="73"/>
    </row>
    <row r="9186" spans="1:12" x14ac:dyDescent="0.3">
      <c r="A9186"/>
      <c r="B9186" s="72"/>
      <c r="E9186" s="72"/>
      <c r="H9186" s="49"/>
      <c r="K9186"/>
      <c r="L9186" s="73"/>
    </row>
    <row r="9187" spans="1:12" x14ac:dyDescent="0.3">
      <c r="A9187"/>
      <c r="B9187" s="72"/>
      <c r="E9187" s="72"/>
      <c r="H9187" s="49"/>
      <c r="K9187"/>
      <c r="L9187" s="73"/>
    </row>
    <row r="9188" spans="1:12" x14ac:dyDescent="0.3">
      <c r="A9188"/>
      <c r="B9188" s="72"/>
      <c r="E9188" s="72"/>
      <c r="H9188" s="49"/>
      <c r="K9188"/>
      <c r="L9188" s="73"/>
    </row>
    <row r="9189" spans="1:12" x14ac:dyDescent="0.3">
      <c r="A9189"/>
      <c r="B9189" s="72"/>
      <c r="E9189" s="72"/>
      <c r="H9189" s="49"/>
      <c r="K9189"/>
      <c r="L9189" s="73"/>
    </row>
    <row r="9190" spans="1:12" x14ac:dyDescent="0.3">
      <c r="A9190"/>
      <c r="B9190" s="72"/>
      <c r="E9190" s="72"/>
      <c r="H9190" s="49"/>
      <c r="K9190"/>
      <c r="L9190" s="73"/>
    </row>
    <row r="9191" spans="1:12" x14ac:dyDescent="0.3">
      <c r="A9191"/>
      <c r="B9191" s="72"/>
      <c r="E9191" s="72"/>
      <c r="H9191" s="49"/>
      <c r="K9191"/>
      <c r="L9191" s="73"/>
    </row>
    <row r="9192" spans="1:12" x14ac:dyDescent="0.3">
      <c r="A9192"/>
      <c r="B9192" s="72"/>
      <c r="E9192" s="72"/>
      <c r="H9192" s="49"/>
      <c r="K9192"/>
      <c r="L9192" s="73"/>
    </row>
    <row r="9193" spans="1:12" x14ac:dyDescent="0.3">
      <c r="A9193"/>
      <c r="B9193" s="72"/>
      <c r="E9193" s="72"/>
      <c r="H9193" s="49"/>
      <c r="K9193"/>
      <c r="L9193" s="73"/>
    </row>
    <row r="9194" spans="1:12" x14ac:dyDescent="0.3">
      <c r="A9194"/>
      <c r="B9194" s="72"/>
      <c r="E9194" s="72"/>
      <c r="H9194" s="49"/>
      <c r="K9194"/>
      <c r="L9194" s="73"/>
    </row>
    <row r="9195" spans="1:12" x14ac:dyDescent="0.3">
      <c r="A9195"/>
      <c r="B9195" s="72"/>
      <c r="E9195" s="72"/>
      <c r="H9195" s="49"/>
      <c r="K9195"/>
      <c r="L9195" s="73"/>
    </row>
    <row r="9196" spans="1:12" x14ac:dyDescent="0.3">
      <c r="A9196"/>
      <c r="B9196" s="72"/>
      <c r="E9196" s="72"/>
      <c r="H9196" s="49"/>
      <c r="K9196"/>
      <c r="L9196" s="73"/>
    </row>
    <row r="9197" spans="1:12" x14ac:dyDescent="0.3">
      <c r="A9197"/>
      <c r="B9197" s="72"/>
      <c r="E9197" s="72"/>
      <c r="H9197" s="49"/>
      <c r="K9197"/>
      <c r="L9197" s="73"/>
    </row>
    <row r="9198" spans="1:12" x14ac:dyDescent="0.3">
      <c r="A9198"/>
      <c r="B9198" s="72"/>
      <c r="E9198" s="72"/>
      <c r="H9198" s="49"/>
      <c r="K9198"/>
      <c r="L9198" s="73"/>
    </row>
    <row r="9199" spans="1:12" x14ac:dyDescent="0.3">
      <c r="A9199"/>
      <c r="B9199" s="72"/>
      <c r="E9199" s="72"/>
      <c r="H9199" s="49"/>
      <c r="K9199"/>
      <c r="L9199" s="73"/>
    </row>
    <row r="9200" spans="1:12" x14ac:dyDescent="0.3">
      <c r="A9200"/>
      <c r="B9200" s="72"/>
      <c r="E9200" s="72"/>
      <c r="H9200" s="49"/>
      <c r="K9200"/>
      <c r="L9200" s="73"/>
    </row>
    <row r="9201" spans="1:12" x14ac:dyDescent="0.3">
      <c r="A9201"/>
      <c r="B9201" s="72"/>
      <c r="E9201" s="72"/>
      <c r="H9201" s="49"/>
      <c r="K9201"/>
      <c r="L9201" s="73"/>
    </row>
    <row r="9202" spans="1:12" x14ac:dyDescent="0.3">
      <c r="A9202"/>
      <c r="B9202" s="72"/>
      <c r="E9202" s="72"/>
      <c r="H9202" s="49"/>
      <c r="K9202"/>
      <c r="L9202" s="73"/>
    </row>
    <row r="9203" spans="1:12" x14ac:dyDescent="0.3">
      <c r="A9203"/>
      <c r="B9203" s="72"/>
      <c r="E9203" s="72"/>
      <c r="H9203" s="49"/>
      <c r="K9203"/>
      <c r="L9203" s="73"/>
    </row>
    <row r="9204" spans="1:12" x14ac:dyDescent="0.3">
      <c r="A9204"/>
      <c r="B9204" s="72"/>
      <c r="E9204" s="72"/>
      <c r="H9204" s="49"/>
      <c r="K9204"/>
      <c r="L9204" s="73"/>
    </row>
    <row r="9205" spans="1:12" x14ac:dyDescent="0.3">
      <c r="A9205"/>
      <c r="B9205" s="72"/>
      <c r="E9205" s="72"/>
      <c r="H9205" s="49"/>
      <c r="K9205"/>
      <c r="L9205" s="73"/>
    </row>
    <row r="9206" spans="1:12" x14ac:dyDescent="0.3">
      <c r="A9206"/>
      <c r="B9206" s="72"/>
      <c r="E9206" s="72"/>
      <c r="H9206" s="49"/>
      <c r="K9206"/>
      <c r="L9206" s="73"/>
    </row>
    <row r="9207" spans="1:12" x14ac:dyDescent="0.3">
      <c r="A9207"/>
      <c r="B9207" s="72"/>
      <c r="E9207" s="72"/>
      <c r="H9207" s="49"/>
      <c r="K9207"/>
      <c r="L9207" s="73"/>
    </row>
    <row r="9208" spans="1:12" x14ac:dyDescent="0.3">
      <c r="A9208"/>
      <c r="B9208" s="72"/>
      <c r="E9208" s="72"/>
      <c r="H9208" s="49"/>
      <c r="K9208"/>
      <c r="L9208" s="73"/>
    </row>
    <row r="9209" spans="1:12" x14ac:dyDescent="0.3">
      <c r="A9209"/>
      <c r="B9209" s="72"/>
      <c r="E9209" s="72"/>
      <c r="H9209" s="49"/>
      <c r="K9209"/>
      <c r="L9209" s="73"/>
    </row>
    <row r="9210" spans="1:12" x14ac:dyDescent="0.3">
      <c r="A9210"/>
      <c r="B9210" s="72"/>
      <c r="E9210" s="72"/>
      <c r="H9210" s="49"/>
      <c r="K9210"/>
      <c r="L9210" s="73"/>
    </row>
    <row r="9211" spans="1:12" x14ac:dyDescent="0.3">
      <c r="A9211"/>
      <c r="B9211" s="72"/>
      <c r="E9211" s="72"/>
      <c r="H9211" s="49"/>
      <c r="K9211"/>
      <c r="L9211" s="73"/>
    </row>
    <row r="9212" spans="1:12" x14ac:dyDescent="0.3">
      <c r="A9212"/>
      <c r="B9212" s="72"/>
      <c r="E9212" s="72"/>
      <c r="H9212" s="49"/>
      <c r="K9212"/>
      <c r="L9212" s="73"/>
    </row>
    <row r="9213" spans="1:12" x14ac:dyDescent="0.3">
      <c r="A9213"/>
      <c r="B9213" s="72"/>
      <c r="E9213" s="72"/>
      <c r="H9213" s="49"/>
      <c r="K9213"/>
      <c r="L9213" s="73"/>
    </row>
    <row r="9214" spans="1:12" x14ac:dyDescent="0.3">
      <c r="A9214"/>
      <c r="B9214" s="72"/>
      <c r="E9214" s="72"/>
      <c r="H9214" s="49"/>
      <c r="K9214"/>
      <c r="L9214" s="73"/>
    </row>
    <row r="9215" spans="1:12" x14ac:dyDescent="0.3">
      <c r="A9215"/>
      <c r="B9215" s="72"/>
      <c r="E9215" s="72"/>
      <c r="H9215" s="49"/>
      <c r="K9215"/>
      <c r="L9215" s="73"/>
    </row>
    <row r="9216" spans="1:12" x14ac:dyDescent="0.3">
      <c r="A9216"/>
      <c r="B9216" s="72"/>
      <c r="E9216" s="72"/>
      <c r="H9216" s="49"/>
      <c r="K9216"/>
      <c r="L9216" s="73"/>
    </row>
    <row r="9217" spans="1:12" x14ac:dyDescent="0.3">
      <c r="A9217"/>
      <c r="B9217" s="72"/>
      <c r="E9217" s="72"/>
      <c r="H9217" s="49"/>
      <c r="K9217"/>
      <c r="L9217" s="73"/>
    </row>
    <row r="9218" spans="1:12" x14ac:dyDescent="0.3">
      <c r="A9218"/>
      <c r="B9218" s="72"/>
      <c r="E9218" s="72"/>
      <c r="H9218" s="49"/>
      <c r="K9218"/>
      <c r="L9218" s="73"/>
    </row>
    <row r="9219" spans="1:12" x14ac:dyDescent="0.3">
      <c r="A9219"/>
      <c r="B9219" s="72"/>
      <c r="E9219" s="72"/>
      <c r="H9219" s="49"/>
      <c r="K9219"/>
      <c r="L9219" s="73"/>
    </row>
    <row r="9220" spans="1:12" x14ac:dyDescent="0.3">
      <c r="A9220"/>
      <c r="B9220" s="72"/>
      <c r="E9220" s="72"/>
      <c r="H9220" s="49"/>
      <c r="K9220"/>
      <c r="L9220" s="73"/>
    </row>
    <row r="9221" spans="1:12" x14ac:dyDescent="0.3">
      <c r="A9221"/>
      <c r="B9221" s="72"/>
      <c r="E9221" s="72"/>
      <c r="H9221" s="49"/>
      <c r="K9221"/>
      <c r="L9221" s="73"/>
    </row>
    <row r="9222" spans="1:12" x14ac:dyDescent="0.3">
      <c r="A9222"/>
      <c r="B9222" s="72"/>
      <c r="E9222" s="72"/>
      <c r="H9222" s="49"/>
      <c r="K9222"/>
      <c r="L9222" s="73"/>
    </row>
    <row r="9223" spans="1:12" x14ac:dyDescent="0.3">
      <c r="A9223"/>
      <c r="B9223" s="72"/>
      <c r="E9223" s="72"/>
      <c r="H9223" s="49"/>
      <c r="K9223"/>
      <c r="L9223" s="73"/>
    </row>
    <row r="9224" spans="1:12" x14ac:dyDescent="0.3">
      <c r="A9224"/>
      <c r="B9224" s="72"/>
      <c r="E9224" s="72"/>
      <c r="H9224" s="49"/>
      <c r="K9224"/>
      <c r="L9224" s="73"/>
    </row>
    <row r="9225" spans="1:12" x14ac:dyDescent="0.3">
      <c r="A9225"/>
      <c r="B9225" s="72"/>
      <c r="E9225" s="72"/>
      <c r="H9225" s="49"/>
      <c r="K9225"/>
      <c r="L9225" s="73"/>
    </row>
    <row r="9226" spans="1:12" x14ac:dyDescent="0.3">
      <c r="A9226"/>
      <c r="B9226" s="72"/>
      <c r="E9226" s="72"/>
      <c r="H9226" s="49"/>
      <c r="K9226"/>
      <c r="L9226" s="73"/>
    </row>
    <row r="9227" spans="1:12" x14ac:dyDescent="0.3">
      <c r="A9227"/>
      <c r="B9227" s="72"/>
      <c r="E9227" s="72"/>
      <c r="H9227" s="49"/>
      <c r="K9227"/>
      <c r="L9227" s="73"/>
    </row>
    <row r="9228" spans="1:12" x14ac:dyDescent="0.3">
      <c r="A9228"/>
      <c r="B9228" s="72"/>
      <c r="E9228" s="72"/>
      <c r="H9228" s="49"/>
      <c r="K9228"/>
      <c r="L9228" s="73"/>
    </row>
    <row r="9229" spans="1:12" x14ac:dyDescent="0.3">
      <c r="A9229"/>
      <c r="B9229" s="72"/>
      <c r="E9229" s="72"/>
      <c r="H9229" s="49"/>
      <c r="K9229"/>
      <c r="L9229" s="73"/>
    </row>
    <row r="9230" spans="1:12" x14ac:dyDescent="0.3">
      <c r="A9230"/>
      <c r="B9230" s="72"/>
      <c r="E9230" s="72"/>
      <c r="H9230" s="49"/>
      <c r="K9230"/>
      <c r="L9230" s="73"/>
    </row>
    <row r="9231" spans="1:12" x14ac:dyDescent="0.3">
      <c r="A9231"/>
      <c r="B9231" s="72"/>
      <c r="E9231" s="72"/>
      <c r="H9231" s="49"/>
      <c r="K9231"/>
      <c r="L9231" s="73"/>
    </row>
    <row r="9232" spans="1:12" x14ac:dyDescent="0.3">
      <c r="A9232"/>
      <c r="B9232" s="72"/>
      <c r="E9232" s="72"/>
      <c r="H9232" s="49"/>
      <c r="K9232"/>
      <c r="L9232" s="73"/>
    </row>
    <row r="9233" spans="1:12" x14ac:dyDescent="0.3">
      <c r="A9233"/>
      <c r="B9233" s="72"/>
      <c r="E9233" s="72"/>
      <c r="H9233" s="49"/>
      <c r="K9233"/>
      <c r="L9233" s="73"/>
    </row>
    <row r="9234" spans="1:12" x14ac:dyDescent="0.3">
      <c r="A9234"/>
      <c r="B9234" s="72"/>
      <c r="E9234" s="72"/>
      <c r="H9234" s="49"/>
      <c r="K9234"/>
      <c r="L9234" s="73"/>
    </row>
    <row r="9235" spans="1:12" x14ac:dyDescent="0.3">
      <c r="A9235"/>
      <c r="B9235" s="72"/>
      <c r="E9235" s="72"/>
      <c r="H9235" s="49"/>
      <c r="K9235"/>
      <c r="L9235" s="73"/>
    </row>
    <row r="9236" spans="1:12" x14ac:dyDescent="0.3">
      <c r="A9236"/>
      <c r="B9236" s="72"/>
      <c r="E9236" s="72"/>
      <c r="H9236" s="49"/>
      <c r="K9236"/>
      <c r="L9236" s="73"/>
    </row>
    <row r="9237" spans="1:12" x14ac:dyDescent="0.3">
      <c r="A9237"/>
      <c r="B9237" s="72"/>
      <c r="E9237" s="72"/>
      <c r="H9237" s="49"/>
      <c r="K9237"/>
      <c r="L9237" s="73"/>
    </row>
    <row r="9238" spans="1:12" x14ac:dyDescent="0.3">
      <c r="A9238"/>
      <c r="B9238" s="72"/>
      <c r="E9238" s="72"/>
      <c r="H9238" s="49"/>
      <c r="K9238"/>
      <c r="L9238" s="73"/>
    </row>
    <row r="9239" spans="1:12" x14ac:dyDescent="0.3">
      <c r="A9239"/>
      <c r="B9239" s="72"/>
      <c r="E9239" s="72"/>
      <c r="H9239" s="49"/>
      <c r="K9239"/>
      <c r="L9239" s="73"/>
    </row>
    <row r="9240" spans="1:12" x14ac:dyDescent="0.3">
      <c r="A9240"/>
      <c r="B9240" s="72"/>
      <c r="E9240" s="72"/>
      <c r="H9240" s="49"/>
      <c r="K9240"/>
      <c r="L9240" s="73"/>
    </row>
    <row r="9241" spans="1:12" x14ac:dyDescent="0.3">
      <c r="A9241"/>
      <c r="B9241" s="72"/>
      <c r="E9241" s="72"/>
      <c r="H9241" s="49"/>
      <c r="K9241"/>
      <c r="L9241" s="73"/>
    </row>
    <row r="9242" spans="1:12" x14ac:dyDescent="0.3">
      <c r="A9242"/>
      <c r="B9242" s="72"/>
      <c r="E9242" s="72"/>
      <c r="H9242" s="49"/>
      <c r="K9242"/>
      <c r="L9242" s="73"/>
    </row>
    <row r="9243" spans="1:12" x14ac:dyDescent="0.3">
      <c r="A9243"/>
      <c r="B9243" s="72"/>
      <c r="E9243" s="72"/>
      <c r="H9243" s="49"/>
      <c r="K9243"/>
      <c r="L9243" s="73"/>
    </row>
    <row r="9244" spans="1:12" x14ac:dyDescent="0.3">
      <c r="A9244"/>
      <c r="B9244" s="72"/>
      <c r="E9244" s="72"/>
      <c r="H9244" s="49"/>
      <c r="K9244"/>
      <c r="L9244" s="73"/>
    </row>
    <row r="9245" spans="1:12" x14ac:dyDescent="0.3">
      <c r="A9245"/>
      <c r="B9245" s="72"/>
      <c r="E9245" s="72"/>
      <c r="H9245" s="49"/>
      <c r="K9245"/>
      <c r="L9245" s="73"/>
    </row>
    <row r="9246" spans="1:12" x14ac:dyDescent="0.3">
      <c r="A9246"/>
      <c r="B9246" s="72"/>
      <c r="E9246" s="72"/>
      <c r="H9246" s="49"/>
      <c r="K9246"/>
      <c r="L9246" s="73"/>
    </row>
    <row r="9247" spans="1:12" x14ac:dyDescent="0.3">
      <c r="A9247"/>
      <c r="B9247" s="72"/>
      <c r="E9247" s="72"/>
      <c r="H9247" s="49"/>
      <c r="K9247"/>
      <c r="L9247" s="73"/>
    </row>
    <row r="9248" spans="1:12" x14ac:dyDescent="0.3">
      <c r="A9248"/>
      <c r="B9248" s="72"/>
      <c r="E9248" s="72"/>
      <c r="H9248" s="49"/>
      <c r="K9248"/>
      <c r="L9248" s="73"/>
    </row>
    <row r="9249" spans="1:12" x14ac:dyDescent="0.3">
      <c r="A9249"/>
      <c r="B9249" s="72"/>
      <c r="E9249" s="72"/>
      <c r="H9249" s="49"/>
      <c r="K9249"/>
      <c r="L9249" s="73"/>
    </row>
    <row r="9250" spans="1:12" x14ac:dyDescent="0.3">
      <c r="A9250"/>
      <c r="B9250" s="72"/>
      <c r="E9250" s="72"/>
      <c r="H9250" s="49"/>
      <c r="K9250"/>
      <c r="L9250" s="73"/>
    </row>
    <row r="9251" spans="1:12" x14ac:dyDescent="0.3">
      <c r="A9251"/>
      <c r="B9251" s="72"/>
      <c r="E9251" s="72"/>
      <c r="H9251" s="49"/>
      <c r="K9251"/>
      <c r="L9251" s="73"/>
    </row>
    <row r="9252" spans="1:12" x14ac:dyDescent="0.3">
      <c r="A9252"/>
      <c r="B9252" s="72"/>
      <c r="E9252" s="72"/>
      <c r="H9252" s="49"/>
      <c r="K9252"/>
      <c r="L9252" s="73"/>
    </row>
    <row r="9253" spans="1:12" x14ac:dyDescent="0.3">
      <c r="A9253"/>
      <c r="B9253" s="72"/>
      <c r="E9253" s="72"/>
      <c r="H9253" s="49"/>
      <c r="K9253"/>
      <c r="L9253" s="73"/>
    </row>
    <row r="9254" spans="1:12" x14ac:dyDescent="0.3">
      <c r="A9254"/>
      <c r="B9254" s="72"/>
      <c r="E9254" s="72"/>
      <c r="H9254" s="49"/>
      <c r="K9254"/>
      <c r="L9254" s="73"/>
    </row>
    <row r="9255" spans="1:12" x14ac:dyDescent="0.3">
      <c r="A9255"/>
      <c r="B9255" s="72"/>
      <c r="E9255" s="72"/>
      <c r="H9255" s="49"/>
      <c r="K9255"/>
      <c r="L9255" s="73"/>
    </row>
    <row r="9256" spans="1:12" x14ac:dyDescent="0.3">
      <c r="A9256"/>
      <c r="B9256" s="72"/>
      <c r="E9256" s="72"/>
      <c r="H9256" s="49"/>
      <c r="K9256"/>
      <c r="L9256" s="73"/>
    </row>
    <row r="9257" spans="1:12" x14ac:dyDescent="0.3">
      <c r="A9257"/>
      <c r="B9257" s="72"/>
      <c r="E9257" s="72"/>
      <c r="H9257" s="49"/>
      <c r="K9257"/>
      <c r="L9257" s="73"/>
    </row>
    <row r="9258" spans="1:12" x14ac:dyDescent="0.3">
      <c r="A9258"/>
      <c r="B9258" s="72"/>
      <c r="E9258" s="72"/>
      <c r="H9258" s="49"/>
      <c r="K9258"/>
      <c r="L9258" s="73"/>
    </row>
    <row r="9259" spans="1:12" x14ac:dyDescent="0.3">
      <c r="A9259"/>
      <c r="B9259" s="72"/>
      <c r="E9259" s="72"/>
      <c r="H9259" s="49"/>
      <c r="K9259"/>
      <c r="L9259" s="73"/>
    </row>
    <row r="9260" spans="1:12" x14ac:dyDescent="0.3">
      <c r="A9260"/>
      <c r="B9260" s="72"/>
      <c r="E9260" s="72"/>
      <c r="H9260" s="49"/>
      <c r="K9260"/>
      <c r="L9260" s="73"/>
    </row>
    <row r="9261" spans="1:12" x14ac:dyDescent="0.3">
      <c r="A9261"/>
      <c r="B9261" s="72"/>
      <c r="E9261" s="72"/>
      <c r="H9261" s="49"/>
      <c r="K9261"/>
      <c r="L9261" s="73"/>
    </row>
    <row r="9262" spans="1:12" x14ac:dyDescent="0.3">
      <c r="A9262"/>
      <c r="B9262" s="72"/>
      <c r="E9262" s="72"/>
      <c r="H9262" s="49"/>
      <c r="K9262"/>
      <c r="L9262" s="73"/>
    </row>
    <row r="9263" spans="1:12" x14ac:dyDescent="0.3">
      <c r="A9263"/>
      <c r="B9263" s="72"/>
      <c r="E9263" s="72"/>
      <c r="H9263" s="49"/>
      <c r="K9263"/>
      <c r="L9263" s="73"/>
    </row>
    <row r="9264" spans="1:12" x14ac:dyDescent="0.3">
      <c r="A9264"/>
      <c r="B9264" s="72"/>
      <c r="E9264" s="72"/>
      <c r="H9264" s="49"/>
      <c r="K9264"/>
      <c r="L9264" s="73"/>
    </row>
    <row r="9265" spans="1:12" x14ac:dyDescent="0.3">
      <c r="A9265"/>
      <c r="B9265" s="72"/>
      <c r="E9265" s="72"/>
      <c r="H9265" s="49"/>
      <c r="K9265"/>
      <c r="L9265" s="73"/>
    </row>
    <row r="9266" spans="1:12" x14ac:dyDescent="0.3">
      <c r="A9266"/>
      <c r="B9266" s="72"/>
      <c r="E9266" s="72"/>
      <c r="H9266" s="49"/>
      <c r="K9266"/>
      <c r="L9266" s="73"/>
    </row>
    <row r="9267" spans="1:12" x14ac:dyDescent="0.3">
      <c r="A9267"/>
      <c r="B9267" s="72"/>
      <c r="E9267" s="72"/>
      <c r="H9267" s="49"/>
      <c r="K9267"/>
      <c r="L9267" s="73"/>
    </row>
    <row r="9268" spans="1:12" x14ac:dyDescent="0.3">
      <c r="A9268"/>
      <c r="B9268" s="72"/>
      <c r="E9268" s="72"/>
      <c r="H9268" s="49"/>
      <c r="K9268"/>
      <c r="L9268" s="73"/>
    </row>
    <row r="9269" spans="1:12" x14ac:dyDescent="0.3">
      <c r="A9269"/>
      <c r="B9269" s="72"/>
      <c r="E9269" s="72"/>
      <c r="H9269" s="49"/>
      <c r="K9269"/>
      <c r="L9269" s="73"/>
    </row>
    <row r="9270" spans="1:12" x14ac:dyDescent="0.3">
      <c r="A9270"/>
      <c r="B9270" s="72"/>
      <c r="E9270" s="72"/>
      <c r="H9270" s="49"/>
      <c r="K9270"/>
      <c r="L9270" s="73"/>
    </row>
    <row r="9271" spans="1:12" x14ac:dyDescent="0.3">
      <c r="A9271"/>
      <c r="B9271" s="72"/>
      <c r="E9271" s="72"/>
      <c r="H9271" s="49"/>
      <c r="K9271"/>
      <c r="L9271" s="73"/>
    </row>
    <row r="9272" spans="1:12" x14ac:dyDescent="0.3">
      <c r="A9272"/>
      <c r="B9272" s="72"/>
      <c r="E9272" s="72"/>
      <c r="H9272" s="49"/>
      <c r="K9272"/>
      <c r="L9272" s="73"/>
    </row>
    <row r="9273" spans="1:12" x14ac:dyDescent="0.3">
      <c r="A9273"/>
      <c r="B9273" s="72"/>
      <c r="E9273" s="72"/>
      <c r="H9273" s="49"/>
      <c r="K9273"/>
      <c r="L9273" s="73"/>
    </row>
    <row r="9274" spans="1:12" x14ac:dyDescent="0.3">
      <c r="A9274"/>
      <c r="B9274" s="72"/>
      <c r="E9274" s="72"/>
      <c r="H9274" s="49"/>
      <c r="K9274"/>
      <c r="L9274" s="73"/>
    </row>
    <row r="9275" spans="1:12" x14ac:dyDescent="0.3">
      <c r="A9275"/>
      <c r="B9275" s="72"/>
      <c r="E9275" s="72"/>
      <c r="H9275" s="49"/>
      <c r="K9275"/>
      <c r="L9275" s="73"/>
    </row>
    <row r="9276" spans="1:12" x14ac:dyDescent="0.3">
      <c r="A9276"/>
      <c r="B9276" s="72"/>
      <c r="E9276" s="72"/>
      <c r="H9276" s="49"/>
      <c r="K9276"/>
      <c r="L9276" s="73"/>
    </row>
    <row r="9277" spans="1:12" x14ac:dyDescent="0.3">
      <c r="A9277"/>
      <c r="B9277" s="72"/>
      <c r="E9277" s="72"/>
      <c r="H9277" s="49"/>
      <c r="K9277"/>
      <c r="L9277" s="73"/>
    </row>
    <row r="9278" spans="1:12" x14ac:dyDescent="0.3">
      <c r="A9278"/>
      <c r="B9278" s="72"/>
      <c r="E9278" s="72"/>
      <c r="H9278" s="49"/>
      <c r="K9278"/>
      <c r="L9278" s="73"/>
    </row>
    <row r="9279" spans="1:12" x14ac:dyDescent="0.3">
      <c r="A9279"/>
      <c r="B9279" s="72"/>
      <c r="E9279" s="72"/>
      <c r="H9279" s="49"/>
      <c r="K9279"/>
      <c r="L9279" s="73"/>
    </row>
    <row r="9280" spans="1:12" x14ac:dyDescent="0.3">
      <c r="A9280"/>
      <c r="B9280" s="72"/>
      <c r="E9280" s="72"/>
      <c r="H9280" s="49"/>
      <c r="K9280"/>
      <c r="L9280" s="73"/>
    </row>
    <row r="9281" spans="1:12" x14ac:dyDescent="0.3">
      <c r="A9281"/>
      <c r="B9281" s="72"/>
      <c r="E9281" s="72"/>
      <c r="H9281" s="49"/>
      <c r="K9281"/>
      <c r="L9281" s="73"/>
    </row>
    <row r="9282" spans="1:12" x14ac:dyDescent="0.3">
      <c r="A9282"/>
      <c r="B9282" s="72"/>
      <c r="E9282" s="72"/>
      <c r="H9282" s="49"/>
      <c r="K9282"/>
      <c r="L9282" s="73"/>
    </row>
    <row r="9283" spans="1:12" x14ac:dyDescent="0.3">
      <c r="A9283"/>
      <c r="B9283" s="72"/>
      <c r="E9283" s="72"/>
      <c r="H9283" s="49"/>
      <c r="K9283"/>
      <c r="L9283" s="73"/>
    </row>
    <row r="9284" spans="1:12" x14ac:dyDescent="0.3">
      <c r="A9284"/>
      <c r="B9284" s="72"/>
      <c r="E9284" s="72"/>
      <c r="H9284" s="49"/>
      <c r="K9284"/>
      <c r="L9284" s="73"/>
    </row>
    <row r="9285" spans="1:12" x14ac:dyDescent="0.3">
      <c r="A9285"/>
      <c r="B9285" s="72"/>
      <c r="E9285" s="72"/>
      <c r="H9285" s="49"/>
      <c r="K9285"/>
      <c r="L9285" s="73"/>
    </row>
    <row r="9286" spans="1:12" x14ac:dyDescent="0.3">
      <c r="A9286"/>
      <c r="B9286" s="72"/>
      <c r="E9286" s="72"/>
      <c r="H9286" s="49"/>
      <c r="K9286"/>
      <c r="L9286" s="73"/>
    </row>
    <row r="9287" spans="1:12" x14ac:dyDescent="0.3">
      <c r="A9287"/>
      <c r="B9287" s="72"/>
      <c r="E9287" s="72"/>
      <c r="H9287" s="49"/>
      <c r="K9287"/>
      <c r="L9287" s="73"/>
    </row>
    <row r="9288" spans="1:12" x14ac:dyDescent="0.3">
      <c r="A9288"/>
      <c r="B9288" s="72"/>
      <c r="E9288" s="72"/>
      <c r="H9288" s="49"/>
      <c r="K9288"/>
      <c r="L9288" s="73"/>
    </row>
    <row r="9289" spans="1:12" x14ac:dyDescent="0.3">
      <c r="A9289"/>
      <c r="B9289" s="72"/>
      <c r="E9289" s="72"/>
      <c r="H9289" s="49"/>
      <c r="K9289"/>
      <c r="L9289" s="73"/>
    </row>
    <row r="9290" spans="1:12" x14ac:dyDescent="0.3">
      <c r="A9290"/>
      <c r="B9290" s="72"/>
      <c r="E9290" s="72"/>
      <c r="H9290" s="49"/>
      <c r="K9290"/>
      <c r="L9290" s="73"/>
    </row>
    <row r="9291" spans="1:12" x14ac:dyDescent="0.3">
      <c r="A9291"/>
      <c r="B9291" s="72"/>
      <c r="E9291" s="72"/>
      <c r="H9291" s="49"/>
      <c r="K9291"/>
      <c r="L9291" s="73"/>
    </row>
    <row r="9292" spans="1:12" x14ac:dyDescent="0.3">
      <c r="A9292"/>
      <c r="B9292" s="72"/>
      <c r="E9292" s="72"/>
      <c r="H9292" s="49"/>
      <c r="K9292"/>
      <c r="L9292" s="73"/>
    </row>
    <row r="9293" spans="1:12" x14ac:dyDescent="0.3">
      <c r="A9293"/>
      <c r="B9293" s="72"/>
      <c r="E9293" s="72"/>
      <c r="H9293" s="49"/>
      <c r="K9293"/>
      <c r="L9293" s="73"/>
    </row>
    <row r="9294" spans="1:12" x14ac:dyDescent="0.3">
      <c r="A9294"/>
      <c r="B9294" s="72"/>
      <c r="E9294" s="72"/>
      <c r="H9294" s="49"/>
      <c r="K9294"/>
      <c r="L9294" s="73"/>
    </row>
    <row r="9295" spans="1:12" x14ac:dyDescent="0.3">
      <c r="A9295"/>
      <c r="B9295" s="72"/>
      <c r="E9295" s="72"/>
      <c r="H9295" s="49"/>
      <c r="K9295"/>
      <c r="L9295" s="73"/>
    </row>
    <row r="9296" spans="1:12" x14ac:dyDescent="0.3">
      <c r="A9296"/>
      <c r="B9296" s="72"/>
      <c r="E9296" s="72"/>
      <c r="H9296" s="49"/>
      <c r="K9296"/>
      <c r="L9296" s="73"/>
    </row>
    <row r="9297" spans="1:12" x14ac:dyDescent="0.3">
      <c r="A9297"/>
      <c r="B9297" s="72"/>
      <c r="E9297" s="72"/>
      <c r="H9297" s="49"/>
      <c r="K9297"/>
      <c r="L9297" s="73"/>
    </row>
    <row r="9298" spans="1:12" x14ac:dyDescent="0.3">
      <c r="A9298"/>
      <c r="B9298" s="72"/>
      <c r="E9298" s="72"/>
      <c r="H9298" s="49"/>
      <c r="K9298"/>
      <c r="L9298" s="73"/>
    </row>
    <row r="9299" spans="1:12" x14ac:dyDescent="0.3">
      <c r="A9299"/>
      <c r="B9299" s="72"/>
      <c r="E9299" s="72"/>
      <c r="H9299" s="49"/>
      <c r="K9299"/>
      <c r="L9299" s="73"/>
    </row>
    <row r="9300" spans="1:12" x14ac:dyDescent="0.3">
      <c r="A9300"/>
      <c r="B9300" s="72"/>
      <c r="E9300" s="72"/>
      <c r="H9300" s="49"/>
      <c r="K9300"/>
      <c r="L9300" s="73"/>
    </row>
    <row r="9301" spans="1:12" x14ac:dyDescent="0.3">
      <c r="A9301"/>
      <c r="B9301" s="72"/>
      <c r="E9301" s="72"/>
      <c r="H9301" s="49"/>
      <c r="K9301"/>
      <c r="L9301" s="73"/>
    </row>
    <row r="9302" spans="1:12" x14ac:dyDescent="0.3">
      <c r="A9302"/>
      <c r="B9302" s="72"/>
      <c r="E9302" s="72"/>
      <c r="H9302" s="49"/>
      <c r="K9302"/>
      <c r="L9302" s="73"/>
    </row>
    <row r="9303" spans="1:12" x14ac:dyDescent="0.3">
      <c r="A9303"/>
      <c r="B9303" s="72"/>
      <c r="E9303" s="72"/>
      <c r="H9303" s="49"/>
      <c r="K9303"/>
      <c r="L9303" s="73"/>
    </row>
    <row r="9304" spans="1:12" x14ac:dyDescent="0.3">
      <c r="A9304"/>
      <c r="B9304" s="72"/>
      <c r="E9304" s="72"/>
      <c r="H9304" s="49"/>
      <c r="K9304"/>
      <c r="L9304" s="73"/>
    </row>
    <row r="9305" spans="1:12" x14ac:dyDescent="0.3">
      <c r="A9305"/>
      <c r="B9305" s="72"/>
      <c r="E9305" s="72"/>
      <c r="H9305" s="49"/>
      <c r="K9305"/>
      <c r="L9305" s="73"/>
    </row>
    <row r="9306" spans="1:12" x14ac:dyDescent="0.3">
      <c r="A9306"/>
      <c r="B9306" s="72"/>
      <c r="E9306" s="72"/>
      <c r="H9306" s="49"/>
      <c r="K9306"/>
      <c r="L9306" s="73"/>
    </row>
    <row r="9307" spans="1:12" x14ac:dyDescent="0.3">
      <c r="A9307"/>
      <c r="B9307" s="72"/>
      <c r="E9307" s="72"/>
      <c r="H9307" s="49"/>
      <c r="K9307"/>
      <c r="L9307" s="73"/>
    </row>
    <row r="9308" spans="1:12" x14ac:dyDescent="0.3">
      <c r="A9308"/>
      <c r="B9308" s="72"/>
      <c r="E9308" s="72"/>
      <c r="H9308" s="49"/>
      <c r="K9308"/>
      <c r="L9308" s="73"/>
    </row>
    <row r="9309" spans="1:12" x14ac:dyDescent="0.3">
      <c r="A9309"/>
      <c r="B9309" s="72"/>
      <c r="E9309" s="72"/>
      <c r="H9309" s="49"/>
      <c r="K9309"/>
      <c r="L9309" s="73"/>
    </row>
    <row r="9310" spans="1:12" x14ac:dyDescent="0.3">
      <c r="A9310"/>
      <c r="B9310" s="72"/>
      <c r="E9310" s="72"/>
      <c r="H9310" s="49"/>
      <c r="K9310"/>
      <c r="L9310" s="73"/>
    </row>
    <row r="9311" spans="1:12" x14ac:dyDescent="0.3">
      <c r="A9311"/>
      <c r="B9311" s="72"/>
      <c r="E9311" s="72"/>
      <c r="H9311" s="49"/>
      <c r="K9311"/>
      <c r="L9311" s="73"/>
    </row>
    <row r="9312" spans="1:12" x14ac:dyDescent="0.3">
      <c r="A9312"/>
      <c r="B9312" s="72"/>
      <c r="E9312" s="72"/>
      <c r="H9312" s="49"/>
      <c r="K9312"/>
      <c r="L9312" s="73"/>
    </row>
    <row r="9313" spans="1:12" x14ac:dyDescent="0.3">
      <c r="A9313"/>
      <c r="B9313" s="72"/>
      <c r="E9313" s="72"/>
      <c r="H9313" s="49"/>
      <c r="K9313"/>
      <c r="L9313" s="73"/>
    </row>
    <row r="9314" spans="1:12" x14ac:dyDescent="0.3">
      <c r="A9314"/>
      <c r="B9314" s="72"/>
      <c r="E9314" s="72"/>
      <c r="H9314" s="49"/>
      <c r="K9314"/>
      <c r="L9314" s="73"/>
    </row>
    <row r="9315" spans="1:12" x14ac:dyDescent="0.3">
      <c r="A9315"/>
      <c r="B9315" s="72"/>
      <c r="E9315" s="72"/>
      <c r="H9315" s="49"/>
      <c r="K9315"/>
      <c r="L9315" s="73"/>
    </row>
    <row r="9316" spans="1:12" x14ac:dyDescent="0.3">
      <c r="A9316"/>
      <c r="B9316" s="72"/>
      <c r="E9316" s="72"/>
      <c r="H9316" s="49"/>
      <c r="K9316"/>
      <c r="L9316" s="73"/>
    </row>
    <row r="9317" spans="1:12" x14ac:dyDescent="0.3">
      <c r="A9317"/>
      <c r="B9317" s="72"/>
      <c r="E9317" s="72"/>
      <c r="H9317" s="49"/>
      <c r="K9317"/>
      <c r="L9317" s="73"/>
    </row>
    <row r="9318" spans="1:12" x14ac:dyDescent="0.3">
      <c r="A9318"/>
      <c r="B9318" s="72"/>
      <c r="E9318" s="72"/>
      <c r="H9318" s="49"/>
      <c r="K9318"/>
      <c r="L9318" s="73"/>
    </row>
    <row r="9319" spans="1:12" x14ac:dyDescent="0.3">
      <c r="A9319"/>
      <c r="B9319" s="72"/>
      <c r="E9319" s="72"/>
      <c r="H9319" s="49"/>
      <c r="K9319"/>
      <c r="L9319" s="73"/>
    </row>
    <row r="9320" spans="1:12" x14ac:dyDescent="0.3">
      <c r="A9320"/>
      <c r="B9320" s="72"/>
      <c r="E9320" s="72"/>
      <c r="H9320" s="49"/>
      <c r="K9320"/>
      <c r="L9320" s="73"/>
    </row>
    <row r="9321" spans="1:12" x14ac:dyDescent="0.3">
      <c r="A9321"/>
      <c r="B9321" s="72"/>
      <c r="E9321" s="72"/>
      <c r="H9321" s="49"/>
      <c r="K9321"/>
      <c r="L9321" s="73"/>
    </row>
    <row r="9322" spans="1:12" x14ac:dyDescent="0.3">
      <c r="A9322"/>
      <c r="B9322" s="72"/>
      <c r="E9322" s="72"/>
      <c r="H9322" s="49"/>
      <c r="K9322"/>
      <c r="L9322" s="73"/>
    </row>
    <row r="9323" spans="1:12" x14ac:dyDescent="0.3">
      <c r="A9323"/>
      <c r="B9323" s="72"/>
      <c r="E9323" s="72"/>
      <c r="H9323" s="49"/>
      <c r="K9323"/>
      <c r="L9323" s="73"/>
    </row>
    <row r="9324" spans="1:12" x14ac:dyDescent="0.3">
      <c r="A9324"/>
      <c r="B9324" s="72"/>
      <c r="E9324" s="72"/>
      <c r="H9324" s="49"/>
      <c r="K9324"/>
      <c r="L9324" s="73"/>
    </row>
    <row r="9325" spans="1:12" x14ac:dyDescent="0.3">
      <c r="A9325"/>
      <c r="B9325" s="72"/>
      <c r="E9325" s="72"/>
      <c r="H9325" s="49"/>
      <c r="K9325"/>
      <c r="L9325" s="73"/>
    </row>
    <row r="9326" spans="1:12" x14ac:dyDescent="0.3">
      <c r="A9326"/>
      <c r="B9326" s="72"/>
      <c r="E9326" s="72"/>
      <c r="H9326" s="49"/>
      <c r="K9326"/>
      <c r="L9326" s="73"/>
    </row>
    <row r="9327" spans="1:12" x14ac:dyDescent="0.3">
      <c r="A9327"/>
      <c r="B9327" s="72"/>
      <c r="E9327" s="72"/>
      <c r="H9327" s="49"/>
      <c r="K9327"/>
      <c r="L9327" s="73"/>
    </row>
    <row r="9328" spans="1:12" x14ac:dyDescent="0.3">
      <c r="A9328"/>
      <c r="B9328" s="72"/>
      <c r="E9328" s="72"/>
      <c r="H9328" s="49"/>
      <c r="K9328"/>
      <c r="L9328" s="73"/>
    </row>
    <row r="9329" spans="1:12" x14ac:dyDescent="0.3">
      <c r="A9329"/>
      <c r="B9329" s="72"/>
      <c r="E9329" s="72"/>
      <c r="H9329" s="49"/>
      <c r="K9329"/>
      <c r="L9329" s="73"/>
    </row>
    <row r="9330" spans="1:12" x14ac:dyDescent="0.3">
      <c r="A9330"/>
      <c r="B9330" s="72"/>
      <c r="E9330" s="72"/>
      <c r="H9330" s="49"/>
      <c r="K9330"/>
      <c r="L9330" s="73"/>
    </row>
    <row r="9331" spans="1:12" x14ac:dyDescent="0.3">
      <c r="A9331"/>
      <c r="B9331" s="72"/>
      <c r="E9331" s="72"/>
      <c r="H9331" s="49"/>
      <c r="K9331"/>
      <c r="L9331" s="73"/>
    </row>
    <row r="9332" spans="1:12" x14ac:dyDescent="0.3">
      <c r="A9332"/>
      <c r="B9332" s="72"/>
      <c r="E9332" s="72"/>
      <c r="H9332" s="49"/>
      <c r="K9332"/>
      <c r="L9332" s="73"/>
    </row>
    <row r="9333" spans="1:12" x14ac:dyDescent="0.3">
      <c r="A9333"/>
      <c r="B9333" s="72"/>
      <c r="E9333" s="72"/>
      <c r="H9333" s="49"/>
      <c r="K9333"/>
      <c r="L9333" s="73"/>
    </row>
    <row r="9334" spans="1:12" x14ac:dyDescent="0.3">
      <c r="A9334"/>
      <c r="B9334" s="72"/>
      <c r="E9334" s="72"/>
      <c r="H9334" s="49"/>
      <c r="K9334"/>
      <c r="L9334" s="73"/>
    </row>
    <row r="9335" spans="1:12" x14ac:dyDescent="0.3">
      <c r="A9335"/>
      <c r="B9335" s="72"/>
      <c r="E9335" s="72"/>
      <c r="H9335" s="49"/>
      <c r="K9335"/>
      <c r="L9335" s="73"/>
    </row>
    <row r="9336" spans="1:12" x14ac:dyDescent="0.3">
      <c r="A9336"/>
      <c r="B9336" s="72"/>
      <c r="E9336" s="72"/>
      <c r="H9336" s="49"/>
      <c r="K9336"/>
      <c r="L9336" s="73"/>
    </row>
    <row r="9337" spans="1:12" x14ac:dyDescent="0.3">
      <c r="A9337"/>
      <c r="B9337" s="72"/>
      <c r="E9337" s="72"/>
      <c r="H9337" s="49"/>
      <c r="K9337"/>
      <c r="L9337" s="73"/>
    </row>
    <row r="9338" spans="1:12" x14ac:dyDescent="0.3">
      <c r="A9338"/>
      <c r="B9338" s="72"/>
      <c r="E9338" s="72"/>
      <c r="H9338" s="49"/>
      <c r="K9338"/>
      <c r="L9338" s="73"/>
    </row>
    <row r="9339" spans="1:12" x14ac:dyDescent="0.3">
      <c r="A9339"/>
      <c r="B9339" s="72"/>
      <c r="E9339" s="72"/>
      <c r="H9339" s="49"/>
      <c r="K9339"/>
      <c r="L9339" s="73"/>
    </row>
    <row r="9340" spans="1:12" x14ac:dyDescent="0.3">
      <c r="A9340"/>
      <c r="B9340" s="72"/>
      <c r="E9340" s="72"/>
      <c r="H9340" s="49"/>
      <c r="K9340"/>
      <c r="L9340" s="73"/>
    </row>
    <row r="9341" spans="1:12" x14ac:dyDescent="0.3">
      <c r="A9341"/>
      <c r="B9341" s="72"/>
      <c r="E9341" s="72"/>
      <c r="H9341" s="49"/>
      <c r="K9341"/>
      <c r="L9341" s="73"/>
    </row>
    <row r="9342" spans="1:12" x14ac:dyDescent="0.3">
      <c r="A9342"/>
      <c r="B9342" s="72"/>
      <c r="E9342" s="72"/>
      <c r="H9342" s="49"/>
      <c r="K9342"/>
      <c r="L9342" s="73"/>
    </row>
    <row r="9343" spans="1:12" x14ac:dyDescent="0.3">
      <c r="A9343"/>
      <c r="B9343" s="72"/>
      <c r="E9343" s="72"/>
      <c r="H9343" s="49"/>
      <c r="K9343"/>
      <c r="L9343" s="73"/>
    </row>
    <row r="9344" spans="1:12" x14ac:dyDescent="0.3">
      <c r="A9344"/>
      <c r="B9344" s="72"/>
      <c r="E9344" s="72"/>
      <c r="H9344" s="49"/>
      <c r="K9344"/>
      <c r="L9344" s="73"/>
    </row>
    <row r="9345" spans="1:12" x14ac:dyDescent="0.3">
      <c r="A9345"/>
      <c r="B9345" s="72"/>
      <c r="E9345" s="72"/>
      <c r="H9345" s="49"/>
      <c r="K9345"/>
      <c r="L9345" s="73"/>
    </row>
    <row r="9346" spans="1:12" x14ac:dyDescent="0.3">
      <c r="A9346"/>
      <c r="B9346" s="72"/>
      <c r="E9346" s="72"/>
      <c r="H9346" s="49"/>
      <c r="K9346"/>
      <c r="L9346" s="73"/>
    </row>
    <row r="9347" spans="1:12" x14ac:dyDescent="0.3">
      <c r="A9347"/>
      <c r="B9347" s="72"/>
      <c r="E9347" s="72"/>
      <c r="H9347" s="49"/>
      <c r="K9347"/>
      <c r="L9347" s="73"/>
    </row>
    <row r="9348" spans="1:12" x14ac:dyDescent="0.3">
      <c r="A9348"/>
      <c r="B9348" s="72"/>
      <c r="E9348" s="72"/>
      <c r="H9348" s="49"/>
      <c r="K9348"/>
      <c r="L9348" s="73"/>
    </row>
    <row r="9349" spans="1:12" x14ac:dyDescent="0.3">
      <c r="A9349"/>
      <c r="B9349" s="72"/>
      <c r="E9349" s="72"/>
      <c r="H9349" s="49"/>
      <c r="K9349"/>
      <c r="L9349" s="73"/>
    </row>
    <row r="9350" spans="1:12" x14ac:dyDescent="0.3">
      <c r="A9350"/>
      <c r="B9350" s="72"/>
      <c r="E9350" s="72"/>
      <c r="H9350" s="49"/>
      <c r="K9350"/>
      <c r="L9350" s="73"/>
    </row>
    <row r="9351" spans="1:12" x14ac:dyDescent="0.3">
      <c r="A9351"/>
      <c r="B9351" s="72"/>
      <c r="E9351" s="72"/>
      <c r="H9351" s="49"/>
      <c r="K9351"/>
      <c r="L9351" s="73"/>
    </row>
    <row r="9352" spans="1:12" x14ac:dyDescent="0.3">
      <c r="A9352"/>
      <c r="B9352" s="72"/>
      <c r="E9352" s="72"/>
      <c r="H9352" s="49"/>
      <c r="K9352"/>
      <c r="L9352" s="73"/>
    </row>
    <row r="9353" spans="1:12" x14ac:dyDescent="0.3">
      <c r="A9353"/>
      <c r="B9353" s="72"/>
      <c r="E9353" s="72"/>
      <c r="H9353" s="49"/>
      <c r="K9353"/>
      <c r="L9353" s="73"/>
    </row>
    <row r="9354" spans="1:12" x14ac:dyDescent="0.3">
      <c r="A9354"/>
      <c r="B9354" s="72"/>
      <c r="E9354" s="72"/>
      <c r="H9354" s="49"/>
      <c r="K9354"/>
      <c r="L9354" s="73"/>
    </row>
    <row r="9355" spans="1:12" x14ac:dyDescent="0.3">
      <c r="A9355"/>
      <c r="B9355" s="72"/>
      <c r="E9355" s="72"/>
      <c r="H9355" s="49"/>
      <c r="K9355"/>
      <c r="L9355" s="73"/>
    </row>
    <row r="9356" spans="1:12" x14ac:dyDescent="0.3">
      <c r="A9356"/>
      <c r="B9356" s="72"/>
      <c r="E9356" s="72"/>
      <c r="H9356" s="49"/>
      <c r="K9356"/>
      <c r="L9356" s="73"/>
    </row>
    <row r="9357" spans="1:12" x14ac:dyDescent="0.3">
      <c r="A9357"/>
      <c r="B9357" s="72"/>
      <c r="E9357" s="72"/>
      <c r="H9357" s="49"/>
      <c r="K9357"/>
      <c r="L9357" s="73"/>
    </row>
    <row r="9358" spans="1:12" x14ac:dyDescent="0.3">
      <c r="A9358"/>
      <c r="B9358" s="72"/>
      <c r="E9358" s="72"/>
      <c r="H9358" s="49"/>
      <c r="K9358"/>
      <c r="L9358" s="73"/>
    </row>
    <row r="9359" spans="1:12" x14ac:dyDescent="0.3">
      <c r="A9359"/>
      <c r="B9359" s="72"/>
      <c r="E9359" s="72"/>
      <c r="H9359" s="49"/>
      <c r="K9359"/>
      <c r="L9359" s="73"/>
    </row>
    <row r="9360" spans="1:12" x14ac:dyDescent="0.3">
      <c r="A9360"/>
      <c r="B9360" s="72"/>
      <c r="E9360" s="72"/>
      <c r="H9360" s="49"/>
      <c r="K9360"/>
      <c r="L9360" s="73"/>
    </row>
    <row r="9361" spans="1:12" x14ac:dyDescent="0.3">
      <c r="A9361"/>
      <c r="B9361" s="72"/>
      <c r="E9361" s="72"/>
      <c r="H9361" s="49"/>
      <c r="K9361"/>
      <c r="L9361" s="73"/>
    </row>
    <row r="9362" spans="1:12" x14ac:dyDescent="0.3">
      <c r="A9362"/>
      <c r="B9362" s="72"/>
      <c r="E9362" s="72"/>
      <c r="H9362" s="49"/>
      <c r="K9362"/>
      <c r="L9362" s="73"/>
    </row>
    <row r="9363" spans="1:12" x14ac:dyDescent="0.3">
      <c r="A9363"/>
      <c r="B9363" s="72"/>
      <c r="E9363" s="72"/>
      <c r="H9363" s="49"/>
      <c r="K9363"/>
      <c r="L9363" s="73"/>
    </row>
    <row r="9364" spans="1:12" x14ac:dyDescent="0.3">
      <c r="A9364"/>
      <c r="B9364" s="72"/>
      <c r="E9364" s="72"/>
      <c r="H9364" s="49"/>
      <c r="K9364"/>
      <c r="L9364" s="73"/>
    </row>
    <row r="9365" spans="1:12" x14ac:dyDescent="0.3">
      <c r="A9365"/>
      <c r="B9365" s="72"/>
      <c r="E9365" s="72"/>
      <c r="H9365" s="49"/>
      <c r="K9365"/>
      <c r="L9365" s="73"/>
    </row>
    <row r="9366" spans="1:12" x14ac:dyDescent="0.3">
      <c r="A9366"/>
      <c r="B9366" s="72"/>
      <c r="E9366" s="72"/>
      <c r="H9366" s="49"/>
      <c r="K9366"/>
      <c r="L9366" s="73"/>
    </row>
    <row r="9367" spans="1:12" x14ac:dyDescent="0.3">
      <c r="A9367"/>
      <c r="B9367" s="72"/>
      <c r="E9367" s="72"/>
      <c r="H9367" s="49"/>
      <c r="K9367"/>
      <c r="L9367" s="73"/>
    </row>
    <row r="9368" spans="1:12" x14ac:dyDescent="0.3">
      <c r="A9368"/>
      <c r="B9368" s="72"/>
      <c r="E9368" s="72"/>
      <c r="H9368" s="49"/>
      <c r="K9368"/>
      <c r="L9368" s="73"/>
    </row>
    <row r="9369" spans="1:12" x14ac:dyDescent="0.3">
      <c r="A9369"/>
      <c r="B9369" s="72"/>
      <c r="E9369" s="72"/>
      <c r="H9369" s="49"/>
      <c r="K9369"/>
      <c r="L9369" s="73"/>
    </row>
    <row r="9370" spans="1:12" x14ac:dyDescent="0.3">
      <c r="A9370"/>
      <c r="B9370" s="72"/>
      <c r="E9370" s="72"/>
      <c r="H9370" s="49"/>
      <c r="K9370"/>
      <c r="L9370" s="73"/>
    </row>
    <row r="9371" spans="1:12" x14ac:dyDescent="0.3">
      <c r="A9371"/>
      <c r="B9371" s="72"/>
      <c r="E9371" s="72"/>
      <c r="H9371" s="49"/>
      <c r="K9371"/>
      <c r="L9371" s="73"/>
    </row>
    <row r="9372" spans="1:12" x14ac:dyDescent="0.3">
      <c r="A9372"/>
      <c r="B9372" s="72"/>
      <c r="E9372" s="72"/>
      <c r="H9372" s="49"/>
      <c r="K9372"/>
      <c r="L9372" s="73"/>
    </row>
    <row r="9373" spans="1:12" x14ac:dyDescent="0.3">
      <c r="A9373"/>
      <c r="B9373" s="72"/>
      <c r="E9373" s="72"/>
      <c r="H9373" s="49"/>
      <c r="K9373"/>
      <c r="L9373" s="73"/>
    </row>
    <row r="9374" spans="1:12" x14ac:dyDescent="0.3">
      <c r="A9374"/>
      <c r="B9374" s="72"/>
      <c r="E9374" s="72"/>
      <c r="H9374" s="49"/>
      <c r="K9374"/>
      <c r="L9374" s="73"/>
    </row>
    <row r="9375" spans="1:12" x14ac:dyDescent="0.3">
      <c r="A9375"/>
      <c r="B9375" s="72"/>
      <c r="E9375" s="72"/>
      <c r="H9375" s="49"/>
      <c r="K9375"/>
      <c r="L9375" s="73"/>
    </row>
    <row r="9376" spans="1:12" x14ac:dyDescent="0.3">
      <c r="A9376"/>
      <c r="B9376" s="72"/>
      <c r="E9376" s="72"/>
      <c r="H9376" s="49"/>
      <c r="K9376"/>
      <c r="L9376" s="73"/>
    </row>
    <row r="9377" spans="1:12" x14ac:dyDescent="0.3">
      <c r="A9377"/>
      <c r="B9377" s="72"/>
      <c r="E9377" s="72"/>
      <c r="H9377" s="49"/>
      <c r="K9377"/>
      <c r="L9377" s="73"/>
    </row>
    <row r="9378" spans="1:12" x14ac:dyDescent="0.3">
      <c r="A9378"/>
      <c r="B9378" s="72"/>
      <c r="E9378" s="72"/>
      <c r="H9378" s="49"/>
      <c r="K9378"/>
      <c r="L9378" s="73"/>
    </row>
    <row r="9379" spans="1:12" x14ac:dyDescent="0.3">
      <c r="A9379"/>
      <c r="B9379" s="72"/>
      <c r="E9379" s="72"/>
      <c r="H9379" s="49"/>
      <c r="K9379"/>
      <c r="L9379" s="73"/>
    </row>
    <row r="9380" spans="1:12" x14ac:dyDescent="0.3">
      <c r="A9380"/>
      <c r="B9380" s="72"/>
      <c r="E9380" s="72"/>
      <c r="H9380" s="49"/>
      <c r="K9380"/>
      <c r="L9380" s="73"/>
    </row>
    <row r="9381" spans="1:12" x14ac:dyDescent="0.3">
      <c r="A9381"/>
      <c r="B9381" s="72"/>
      <c r="E9381" s="72"/>
      <c r="H9381" s="49"/>
      <c r="K9381"/>
      <c r="L9381" s="73"/>
    </row>
    <row r="9382" spans="1:12" x14ac:dyDescent="0.3">
      <c r="A9382"/>
      <c r="B9382" s="72"/>
      <c r="E9382" s="72"/>
      <c r="H9382" s="49"/>
      <c r="K9382"/>
      <c r="L9382" s="73"/>
    </row>
    <row r="9383" spans="1:12" x14ac:dyDescent="0.3">
      <c r="A9383"/>
      <c r="B9383" s="72"/>
      <c r="E9383" s="72"/>
      <c r="H9383" s="49"/>
      <c r="K9383"/>
      <c r="L9383" s="73"/>
    </row>
    <row r="9384" spans="1:12" x14ac:dyDescent="0.3">
      <c r="A9384"/>
      <c r="B9384" s="72"/>
      <c r="E9384" s="72"/>
      <c r="H9384" s="49"/>
      <c r="K9384"/>
      <c r="L9384" s="73"/>
    </row>
    <row r="9385" spans="1:12" x14ac:dyDescent="0.3">
      <c r="A9385"/>
      <c r="B9385" s="72"/>
      <c r="E9385" s="72"/>
      <c r="H9385" s="49"/>
      <c r="K9385"/>
      <c r="L9385" s="73"/>
    </row>
    <row r="9386" spans="1:12" x14ac:dyDescent="0.3">
      <c r="A9386"/>
      <c r="B9386" s="72"/>
      <c r="E9386" s="72"/>
      <c r="H9386" s="49"/>
      <c r="K9386"/>
      <c r="L9386" s="73"/>
    </row>
    <row r="9387" spans="1:12" x14ac:dyDescent="0.3">
      <c r="A9387"/>
      <c r="B9387" s="72"/>
      <c r="E9387" s="72"/>
      <c r="H9387" s="49"/>
      <c r="K9387"/>
      <c r="L9387" s="73"/>
    </row>
    <row r="9388" spans="1:12" x14ac:dyDescent="0.3">
      <c r="A9388"/>
      <c r="B9388" s="72"/>
      <c r="E9388" s="72"/>
      <c r="H9388" s="49"/>
      <c r="K9388"/>
      <c r="L9388" s="73"/>
    </row>
    <row r="9389" spans="1:12" x14ac:dyDescent="0.3">
      <c r="A9389"/>
      <c r="B9389" s="72"/>
      <c r="E9389" s="72"/>
      <c r="H9389" s="49"/>
      <c r="K9389"/>
      <c r="L9389" s="73"/>
    </row>
    <row r="9390" spans="1:12" x14ac:dyDescent="0.3">
      <c r="A9390"/>
      <c r="B9390" s="72"/>
      <c r="E9390" s="72"/>
      <c r="H9390" s="49"/>
      <c r="K9390"/>
      <c r="L9390" s="73"/>
    </row>
    <row r="9391" spans="1:12" x14ac:dyDescent="0.3">
      <c r="A9391"/>
      <c r="B9391" s="72"/>
      <c r="E9391" s="72"/>
      <c r="H9391" s="49"/>
      <c r="K9391"/>
      <c r="L9391" s="73"/>
    </row>
    <row r="9392" spans="1:12" x14ac:dyDescent="0.3">
      <c r="A9392"/>
      <c r="B9392" s="72"/>
      <c r="E9392" s="72"/>
      <c r="H9392" s="49"/>
      <c r="K9392"/>
      <c r="L9392" s="73"/>
    </row>
    <row r="9393" spans="1:12" x14ac:dyDescent="0.3">
      <c r="A9393"/>
      <c r="B9393" s="72"/>
      <c r="E9393" s="72"/>
      <c r="H9393" s="49"/>
      <c r="K9393"/>
      <c r="L9393" s="73"/>
    </row>
    <row r="9394" spans="1:12" x14ac:dyDescent="0.3">
      <c r="A9394"/>
      <c r="B9394" s="72"/>
      <c r="E9394" s="72"/>
      <c r="H9394" s="49"/>
      <c r="K9394"/>
      <c r="L9394" s="73"/>
    </row>
    <row r="9395" spans="1:12" x14ac:dyDescent="0.3">
      <c r="A9395"/>
      <c r="B9395" s="72"/>
      <c r="E9395" s="72"/>
      <c r="H9395" s="49"/>
      <c r="K9395"/>
      <c r="L9395" s="73"/>
    </row>
    <row r="9396" spans="1:12" x14ac:dyDescent="0.3">
      <c r="A9396"/>
      <c r="B9396" s="72"/>
      <c r="E9396" s="72"/>
      <c r="H9396" s="49"/>
      <c r="K9396"/>
      <c r="L9396" s="73"/>
    </row>
    <row r="9397" spans="1:12" x14ac:dyDescent="0.3">
      <c r="A9397"/>
      <c r="B9397" s="72"/>
      <c r="E9397" s="72"/>
      <c r="H9397" s="49"/>
      <c r="K9397"/>
      <c r="L9397" s="73"/>
    </row>
    <row r="9398" spans="1:12" x14ac:dyDescent="0.3">
      <c r="A9398"/>
      <c r="B9398" s="72"/>
      <c r="E9398" s="72"/>
      <c r="H9398" s="49"/>
      <c r="K9398"/>
      <c r="L9398" s="73"/>
    </row>
    <row r="9399" spans="1:12" x14ac:dyDescent="0.3">
      <c r="A9399"/>
      <c r="B9399" s="72"/>
      <c r="E9399" s="72"/>
      <c r="H9399" s="49"/>
      <c r="K9399"/>
      <c r="L9399" s="73"/>
    </row>
    <row r="9400" spans="1:12" x14ac:dyDescent="0.3">
      <c r="A9400"/>
      <c r="B9400" s="72"/>
      <c r="E9400" s="72"/>
      <c r="H9400" s="49"/>
      <c r="K9400"/>
      <c r="L9400" s="73"/>
    </row>
    <row r="9401" spans="1:12" x14ac:dyDescent="0.3">
      <c r="A9401"/>
      <c r="B9401" s="72"/>
      <c r="E9401" s="72"/>
      <c r="H9401" s="49"/>
      <c r="K9401"/>
      <c r="L9401" s="73"/>
    </row>
    <row r="9402" spans="1:12" x14ac:dyDescent="0.3">
      <c r="A9402"/>
      <c r="B9402" s="72"/>
      <c r="E9402" s="72"/>
      <c r="H9402" s="49"/>
      <c r="K9402"/>
      <c r="L9402" s="73"/>
    </row>
    <row r="9403" spans="1:12" x14ac:dyDescent="0.3">
      <c r="A9403"/>
      <c r="B9403" s="72"/>
      <c r="E9403" s="72"/>
      <c r="H9403" s="49"/>
      <c r="K9403"/>
      <c r="L9403" s="73"/>
    </row>
    <row r="9404" spans="1:12" x14ac:dyDescent="0.3">
      <c r="A9404"/>
      <c r="B9404" s="72"/>
      <c r="E9404" s="72"/>
      <c r="H9404" s="49"/>
      <c r="K9404"/>
      <c r="L9404" s="73"/>
    </row>
    <row r="9405" spans="1:12" x14ac:dyDescent="0.3">
      <c r="A9405"/>
      <c r="B9405" s="72"/>
      <c r="E9405" s="72"/>
      <c r="H9405" s="49"/>
      <c r="K9405"/>
      <c r="L9405" s="73"/>
    </row>
    <row r="9406" spans="1:12" x14ac:dyDescent="0.3">
      <c r="A9406"/>
      <c r="B9406" s="72"/>
      <c r="E9406" s="72"/>
      <c r="H9406" s="49"/>
      <c r="K9406"/>
      <c r="L9406" s="73"/>
    </row>
    <row r="9407" spans="1:12" x14ac:dyDescent="0.3">
      <c r="A9407"/>
      <c r="B9407" s="72"/>
      <c r="E9407" s="72"/>
      <c r="H9407" s="49"/>
      <c r="K9407"/>
      <c r="L9407" s="73"/>
    </row>
    <row r="9408" spans="1:12" x14ac:dyDescent="0.3">
      <c r="A9408"/>
      <c r="B9408" s="72"/>
      <c r="E9408" s="72"/>
      <c r="H9408" s="49"/>
      <c r="K9408"/>
      <c r="L9408" s="73"/>
    </row>
    <row r="9409" spans="1:12" x14ac:dyDescent="0.3">
      <c r="A9409"/>
      <c r="B9409" s="72"/>
      <c r="E9409" s="72"/>
      <c r="H9409" s="49"/>
      <c r="K9409"/>
      <c r="L9409" s="73"/>
    </row>
    <row r="9410" spans="1:12" x14ac:dyDescent="0.3">
      <c r="A9410"/>
      <c r="B9410" s="72"/>
      <c r="E9410" s="72"/>
      <c r="H9410" s="49"/>
      <c r="K9410"/>
      <c r="L9410" s="73"/>
    </row>
    <row r="9411" spans="1:12" x14ac:dyDescent="0.3">
      <c r="A9411"/>
      <c r="B9411" s="72"/>
      <c r="E9411" s="72"/>
      <c r="H9411" s="49"/>
      <c r="K9411"/>
      <c r="L9411" s="73"/>
    </row>
    <row r="9412" spans="1:12" x14ac:dyDescent="0.3">
      <c r="A9412"/>
      <c r="B9412" s="72"/>
      <c r="E9412" s="72"/>
      <c r="H9412" s="49"/>
      <c r="K9412"/>
      <c r="L9412" s="73"/>
    </row>
    <row r="9413" spans="1:12" x14ac:dyDescent="0.3">
      <c r="A9413"/>
      <c r="B9413" s="72"/>
      <c r="E9413" s="72"/>
      <c r="H9413" s="49"/>
      <c r="K9413"/>
      <c r="L9413" s="73"/>
    </row>
    <row r="9414" spans="1:12" x14ac:dyDescent="0.3">
      <c r="A9414"/>
      <c r="B9414" s="72"/>
      <c r="E9414" s="72"/>
      <c r="H9414" s="49"/>
      <c r="K9414"/>
      <c r="L9414" s="73"/>
    </row>
    <row r="9415" spans="1:12" x14ac:dyDescent="0.3">
      <c r="A9415"/>
      <c r="B9415" s="72"/>
      <c r="E9415" s="72"/>
      <c r="H9415" s="49"/>
      <c r="K9415"/>
      <c r="L9415" s="73"/>
    </row>
    <row r="9416" spans="1:12" x14ac:dyDescent="0.3">
      <c r="A9416"/>
      <c r="B9416" s="72"/>
      <c r="E9416" s="72"/>
      <c r="H9416" s="49"/>
      <c r="K9416"/>
      <c r="L9416" s="73"/>
    </row>
    <row r="9417" spans="1:12" x14ac:dyDescent="0.3">
      <c r="A9417"/>
      <c r="B9417" s="72"/>
      <c r="E9417" s="72"/>
      <c r="H9417" s="49"/>
      <c r="K9417"/>
      <c r="L9417" s="73"/>
    </row>
    <row r="9418" spans="1:12" x14ac:dyDescent="0.3">
      <c r="A9418"/>
      <c r="B9418" s="72"/>
      <c r="E9418" s="72"/>
      <c r="H9418" s="49"/>
      <c r="K9418"/>
      <c r="L9418" s="73"/>
    </row>
    <row r="9419" spans="1:12" x14ac:dyDescent="0.3">
      <c r="A9419"/>
      <c r="B9419" s="72"/>
      <c r="E9419" s="72"/>
      <c r="H9419" s="49"/>
      <c r="K9419"/>
      <c r="L9419" s="73"/>
    </row>
    <row r="9420" spans="1:12" x14ac:dyDescent="0.3">
      <c r="A9420"/>
      <c r="B9420" s="72"/>
      <c r="E9420" s="72"/>
      <c r="H9420" s="49"/>
      <c r="K9420"/>
      <c r="L9420" s="73"/>
    </row>
    <row r="9421" spans="1:12" x14ac:dyDescent="0.3">
      <c r="A9421"/>
      <c r="B9421" s="72"/>
      <c r="E9421" s="72"/>
      <c r="H9421" s="49"/>
      <c r="K9421"/>
      <c r="L9421" s="73"/>
    </row>
    <row r="9422" spans="1:12" x14ac:dyDescent="0.3">
      <c r="A9422"/>
      <c r="B9422" s="72"/>
      <c r="E9422" s="72"/>
      <c r="H9422" s="49"/>
      <c r="K9422"/>
      <c r="L9422" s="73"/>
    </row>
    <row r="9423" spans="1:12" x14ac:dyDescent="0.3">
      <c r="A9423"/>
      <c r="B9423" s="72"/>
      <c r="E9423" s="72"/>
      <c r="H9423" s="49"/>
      <c r="K9423"/>
      <c r="L9423" s="73"/>
    </row>
    <row r="9424" spans="1:12" x14ac:dyDescent="0.3">
      <c r="A9424"/>
      <c r="B9424" s="72"/>
      <c r="E9424" s="72"/>
      <c r="H9424" s="49"/>
      <c r="K9424"/>
      <c r="L9424" s="73"/>
    </row>
    <row r="9425" spans="1:12" x14ac:dyDescent="0.3">
      <c r="A9425"/>
      <c r="B9425" s="72"/>
      <c r="E9425" s="72"/>
      <c r="H9425" s="49"/>
      <c r="K9425"/>
      <c r="L9425" s="73"/>
    </row>
    <row r="9426" spans="1:12" x14ac:dyDescent="0.3">
      <c r="A9426"/>
      <c r="B9426" s="72"/>
      <c r="E9426" s="72"/>
      <c r="H9426" s="49"/>
      <c r="K9426"/>
      <c r="L9426" s="73"/>
    </row>
    <row r="9427" spans="1:12" x14ac:dyDescent="0.3">
      <c r="A9427"/>
      <c r="B9427" s="72"/>
      <c r="E9427" s="72"/>
      <c r="H9427" s="49"/>
      <c r="K9427"/>
      <c r="L9427" s="73"/>
    </row>
    <row r="9428" spans="1:12" x14ac:dyDescent="0.3">
      <c r="A9428"/>
      <c r="B9428" s="72"/>
      <c r="E9428" s="72"/>
      <c r="H9428" s="49"/>
      <c r="K9428"/>
      <c r="L9428" s="73"/>
    </row>
    <row r="9429" spans="1:12" x14ac:dyDescent="0.3">
      <c r="A9429"/>
      <c r="B9429" s="72"/>
      <c r="E9429" s="72"/>
      <c r="H9429" s="49"/>
      <c r="K9429"/>
      <c r="L9429" s="73"/>
    </row>
    <row r="9430" spans="1:12" x14ac:dyDescent="0.3">
      <c r="A9430"/>
      <c r="B9430" s="72"/>
      <c r="E9430" s="72"/>
      <c r="H9430" s="49"/>
      <c r="K9430"/>
      <c r="L9430" s="73"/>
    </row>
    <row r="9431" spans="1:12" x14ac:dyDescent="0.3">
      <c r="A9431"/>
      <c r="B9431" s="72"/>
      <c r="E9431" s="72"/>
      <c r="H9431" s="49"/>
      <c r="K9431"/>
      <c r="L9431" s="73"/>
    </row>
    <row r="9432" spans="1:12" x14ac:dyDescent="0.3">
      <c r="A9432"/>
      <c r="B9432" s="72"/>
      <c r="E9432" s="72"/>
      <c r="H9432" s="49"/>
      <c r="K9432"/>
      <c r="L9432" s="73"/>
    </row>
    <row r="9433" spans="1:12" x14ac:dyDescent="0.3">
      <c r="A9433"/>
      <c r="B9433" s="72"/>
      <c r="E9433" s="72"/>
      <c r="H9433" s="49"/>
      <c r="K9433"/>
      <c r="L9433" s="73"/>
    </row>
    <row r="9434" spans="1:12" x14ac:dyDescent="0.3">
      <c r="A9434"/>
      <c r="B9434" s="72"/>
      <c r="E9434" s="72"/>
      <c r="H9434" s="49"/>
      <c r="K9434"/>
      <c r="L9434" s="73"/>
    </row>
    <row r="9435" spans="1:12" x14ac:dyDescent="0.3">
      <c r="A9435"/>
      <c r="B9435" s="72"/>
      <c r="E9435" s="72"/>
      <c r="H9435" s="49"/>
      <c r="K9435"/>
      <c r="L9435" s="73"/>
    </row>
    <row r="9436" spans="1:12" x14ac:dyDescent="0.3">
      <c r="A9436"/>
      <c r="B9436" s="72"/>
      <c r="E9436" s="72"/>
      <c r="H9436" s="49"/>
      <c r="K9436"/>
      <c r="L9436" s="73"/>
    </row>
    <row r="9437" spans="1:12" x14ac:dyDescent="0.3">
      <c r="A9437"/>
      <c r="B9437" s="72"/>
      <c r="E9437" s="72"/>
      <c r="H9437" s="49"/>
      <c r="K9437"/>
      <c r="L9437" s="73"/>
    </row>
    <row r="9438" spans="1:12" x14ac:dyDescent="0.3">
      <c r="A9438"/>
      <c r="B9438" s="72"/>
      <c r="E9438" s="72"/>
      <c r="H9438" s="49"/>
      <c r="K9438"/>
      <c r="L9438" s="73"/>
    </row>
    <row r="9439" spans="1:12" x14ac:dyDescent="0.3">
      <c r="A9439"/>
      <c r="B9439" s="72"/>
      <c r="E9439" s="72"/>
      <c r="H9439" s="49"/>
      <c r="K9439"/>
      <c r="L9439" s="73"/>
    </row>
    <row r="9440" spans="1:12" x14ac:dyDescent="0.3">
      <c r="A9440"/>
      <c r="B9440" s="72"/>
      <c r="E9440" s="72"/>
      <c r="H9440" s="49"/>
      <c r="K9440"/>
      <c r="L9440" s="73"/>
    </row>
    <row r="9441" spans="1:12" x14ac:dyDescent="0.3">
      <c r="A9441"/>
      <c r="B9441" s="72"/>
      <c r="E9441" s="72"/>
      <c r="H9441" s="49"/>
      <c r="K9441"/>
      <c r="L9441" s="73"/>
    </row>
    <row r="9442" spans="1:12" x14ac:dyDescent="0.3">
      <c r="A9442"/>
      <c r="B9442" s="72"/>
      <c r="E9442" s="72"/>
      <c r="H9442" s="49"/>
      <c r="K9442"/>
      <c r="L9442" s="73"/>
    </row>
    <row r="9443" spans="1:12" x14ac:dyDescent="0.3">
      <c r="A9443"/>
      <c r="B9443" s="72"/>
      <c r="E9443" s="72"/>
      <c r="H9443" s="49"/>
      <c r="K9443"/>
      <c r="L9443" s="73"/>
    </row>
    <row r="9444" spans="1:12" x14ac:dyDescent="0.3">
      <c r="A9444"/>
      <c r="B9444" s="72"/>
      <c r="E9444" s="72"/>
      <c r="H9444" s="49"/>
      <c r="K9444"/>
      <c r="L9444" s="73"/>
    </row>
    <row r="9445" spans="1:12" x14ac:dyDescent="0.3">
      <c r="A9445"/>
      <c r="B9445" s="72"/>
      <c r="E9445" s="72"/>
      <c r="H9445" s="49"/>
      <c r="K9445"/>
      <c r="L9445" s="73"/>
    </row>
    <row r="9446" spans="1:12" x14ac:dyDescent="0.3">
      <c r="A9446"/>
      <c r="B9446" s="72"/>
      <c r="E9446" s="72"/>
      <c r="H9446" s="49"/>
      <c r="K9446"/>
      <c r="L9446" s="73"/>
    </row>
    <row r="9447" spans="1:12" x14ac:dyDescent="0.3">
      <c r="A9447"/>
      <c r="B9447" s="72"/>
      <c r="E9447" s="72"/>
      <c r="H9447" s="49"/>
      <c r="K9447"/>
      <c r="L9447" s="73"/>
    </row>
    <row r="9448" spans="1:12" x14ac:dyDescent="0.3">
      <c r="A9448"/>
      <c r="B9448" s="72"/>
      <c r="E9448" s="72"/>
      <c r="H9448" s="49"/>
      <c r="K9448"/>
      <c r="L9448" s="73"/>
    </row>
    <row r="9449" spans="1:12" x14ac:dyDescent="0.3">
      <c r="A9449"/>
      <c r="B9449" s="72"/>
      <c r="E9449" s="72"/>
      <c r="H9449" s="49"/>
      <c r="K9449"/>
      <c r="L9449" s="73"/>
    </row>
    <row r="9450" spans="1:12" x14ac:dyDescent="0.3">
      <c r="A9450"/>
      <c r="B9450" s="72"/>
      <c r="E9450" s="72"/>
      <c r="H9450" s="49"/>
      <c r="K9450"/>
      <c r="L9450" s="73"/>
    </row>
    <row r="9451" spans="1:12" x14ac:dyDescent="0.3">
      <c r="A9451"/>
      <c r="B9451" s="72"/>
      <c r="E9451" s="72"/>
      <c r="H9451" s="49"/>
      <c r="K9451"/>
      <c r="L9451" s="73"/>
    </row>
    <row r="9452" spans="1:12" x14ac:dyDescent="0.3">
      <c r="A9452"/>
      <c r="B9452" s="72"/>
      <c r="E9452" s="72"/>
      <c r="H9452" s="49"/>
      <c r="K9452"/>
      <c r="L9452" s="73"/>
    </row>
    <row r="9453" spans="1:12" x14ac:dyDescent="0.3">
      <c r="A9453"/>
      <c r="B9453" s="72"/>
      <c r="E9453" s="72"/>
      <c r="H9453" s="49"/>
      <c r="K9453"/>
      <c r="L9453" s="73"/>
    </row>
    <row r="9454" spans="1:12" x14ac:dyDescent="0.3">
      <c r="A9454"/>
      <c r="B9454" s="72"/>
      <c r="E9454" s="72"/>
      <c r="H9454" s="49"/>
      <c r="K9454"/>
      <c r="L9454" s="73"/>
    </row>
    <row r="9455" spans="1:12" x14ac:dyDescent="0.3">
      <c r="A9455"/>
      <c r="B9455" s="72"/>
      <c r="E9455" s="72"/>
      <c r="H9455" s="49"/>
      <c r="K9455"/>
      <c r="L9455" s="73"/>
    </row>
    <row r="9456" spans="1:12" x14ac:dyDescent="0.3">
      <c r="A9456"/>
      <c r="B9456" s="72"/>
      <c r="E9456" s="72"/>
      <c r="H9456" s="49"/>
      <c r="K9456"/>
      <c r="L9456" s="73"/>
    </row>
    <row r="9457" spans="1:12" x14ac:dyDescent="0.3">
      <c r="A9457"/>
      <c r="B9457" s="72"/>
      <c r="E9457" s="72"/>
      <c r="H9457" s="49"/>
      <c r="K9457"/>
      <c r="L9457" s="73"/>
    </row>
    <row r="9458" spans="1:12" x14ac:dyDescent="0.3">
      <c r="A9458"/>
      <c r="B9458" s="72"/>
      <c r="E9458" s="72"/>
      <c r="H9458" s="49"/>
      <c r="K9458"/>
      <c r="L9458" s="73"/>
    </row>
    <row r="9459" spans="1:12" x14ac:dyDescent="0.3">
      <c r="A9459"/>
      <c r="B9459" s="72"/>
      <c r="E9459" s="72"/>
      <c r="H9459" s="49"/>
      <c r="K9459"/>
      <c r="L9459" s="73"/>
    </row>
    <row r="9460" spans="1:12" x14ac:dyDescent="0.3">
      <c r="A9460"/>
      <c r="B9460" s="72"/>
      <c r="E9460" s="72"/>
      <c r="H9460" s="49"/>
      <c r="K9460"/>
      <c r="L9460" s="73"/>
    </row>
    <row r="9461" spans="1:12" x14ac:dyDescent="0.3">
      <c r="A9461"/>
      <c r="B9461" s="72"/>
      <c r="E9461" s="72"/>
      <c r="H9461" s="49"/>
      <c r="K9461"/>
      <c r="L9461" s="73"/>
    </row>
    <row r="9462" spans="1:12" x14ac:dyDescent="0.3">
      <c r="A9462"/>
      <c r="B9462" s="72"/>
      <c r="E9462" s="72"/>
      <c r="H9462" s="49"/>
      <c r="K9462"/>
      <c r="L9462" s="73"/>
    </row>
    <row r="9463" spans="1:12" x14ac:dyDescent="0.3">
      <c r="A9463"/>
      <c r="B9463" s="72"/>
      <c r="E9463" s="72"/>
      <c r="H9463" s="49"/>
      <c r="K9463"/>
      <c r="L9463" s="73"/>
    </row>
    <row r="9464" spans="1:12" x14ac:dyDescent="0.3">
      <c r="A9464"/>
      <c r="B9464" s="72"/>
      <c r="E9464" s="72"/>
      <c r="H9464" s="49"/>
      <c r="K9464"/>
      <c r="L9464" s="73"/>
    </row>
    <row r="9465" spans="1:12" x14ac:dyDescent="0.3">
      <c r="A9465"/>
      <c r="B9465" s="72"/>
      <c r="E9465" s="72"/>
      <c r="H9465" s="49"/>
      <c r="K9465"/>
      <c r="L9465" s="73"/>
    </row>
    <row r="9466" spans="1:12" x14ac:dyDescent="0.3">
      <c r="A9466"/>
      <c r="B9466" s="72"/>
      <c r="E9466" s="72"/>
      <c r="H9466" s="49"/>
      <c r="K9466"/>
      <c r="L9466" s="73"/>
    </row>
    <row r="9467" spans="1:12" x14ac:dyDescent="0.3">
      <c r="A9467"/>
      <c r="B9467" s="72"/>
      <c r="E9467" s="72"/>
      <c r="H9467" s="49"/>
      <c r="K9467"/>
      <c r="L9467" s="73"/>
    </row>
    <row r="9468" spans="1:12" x14ac:dyDescent="0.3">
      <c r="A9468"/>
      <c r="B9468" s="72"/>
      <c r="E9468" s="72"/>
      <c r="H9468" s="49"/>
      <c r="K9468"/>
      <c r="L9468" s="73"/>
    </row>
    <row r="9469" spans="1:12" x14ac:dyDescent="0.3">
      <c r="A9469"/>
      <c r="B9469" s="72"/>
      <c r="E9469" s="72"/>
      <c r="H9469" s="49"/>
      <c r="K9469"/>
      <c r="L9469" s="73"/>
    </row>
    <row r="9470" spans="1:12" x14ac:dyDescent="0.3">
      <c r="A9470"/>
      <c r="B9470" s="72"/>
      <c r="E9470" s="72"/>
      <c r="H9470" s="49"/>
      <c r="K9470"/>
      <c r="L9470" s="73"/>
    </row>
    <row r="9471" spans="1:12" x14ac:dyDescent="0.3">
      <c r="A9471"/>
      <c r="B9471" s="72"/>
      <c r="E9471" s="72"/>
      <c r="H9471" s="49"/>
      <c r="K9471"/>
      <c r="L9471" s="73"/>
    </row>
    <row r="9472" spans="1:12" x14ac:dyDescent="0.3">
      <c r="A9472"/>
      <c r="B9472" s="72"/>
      <c r="E9472" s="72"/>
      <c r="H9472" s="49"/>
      <c r="K9472"/>
      <c r="L9472" s="73"/>
    </row>
    <row r="9473" spans="1:12" x14ac:dyDescent="0.3">
      <c r="A9473"/>
      <c r="B9473" s="72"/>
      <c r="E9473" s="72"/>
      <c r="H9473" s="49"/>
      <c r="K9473"/>
      <c r="L9473" s="73"/>
    </row>
    <row r="9474" spans="1:12" x14ac:dyDescent="0.3">
      <c r="A9474"/>
      <c r="B9474" s="72"/>
      <c r="E9474" s="72"/>
      <c r="H9474" s="49"/>
      <c r="K9474"/>
      <c r="L9474" s="73"/>
    </row>
    <row r="9475" spans="1:12" x14ac:dyDescent="0.3">
      <c r="A9475"/>
      <c r="B9475" s="72"/>
      <c r="E9475" s="72"/>
      <c r="H9475" s="49"/>
      <c r="K9475"/>
      <c r="L9475" s="73"/>
    </row>
    <row r="9476" spans="1:12" x14ac:dyDescent="0.3">
      <c r="A9476"/>
      <c r="B9476" s="72"/>
      <c r="E9476" s="72"/>
      <c r="H9476" s="49"/>
      <c r="K9476"/>
      <c r="L9476" s="73"/>
    </row>
    <row r="9477" spans="1:12" x14ac:dyDescent="0.3">
      <c r="A9477"/>
      <c r="B9477" s="72"/>
      <c r="E9477" s="72"/>
      <c r="H9477" s="49"/>
      <c r="K9477"/>
      <c r="L9477" s="73"/>
    </row>
    <row r="9478" spans="1:12" x14ac:dyDescent="0.3">
      <c r="A9478"/>
      <c r="B9478" s="72"/>
      <c r="E9478" s="72"/>
      <c r="H9478" s="49"/>
      <c r="K9478"/>
      <c r="L9478" s="73"/>
    </row>
    <row r="9479" spans="1:12" x14ac:dyDescent="0.3">
      <c r="A9479"/>
      <c r="B9479" s="72"/>
      <c r="E9479" s="72"/>
      <c r="H9479" s="49"/>
      <c r="K9479"/>
      <c r="L9479" s="73"/>
    </row>
    <row r="9480" spans="1:12" x14ac:dyDescent="0.3">
      <c r="A9480"/>
      <c r="B9480" s="72"/>
      <c r="E9480" s="72"/>
      <c r="H9480" s="49"/>
      <c r="K9480"/>
      <c r="L9480" s="73"/>
    </row>
    <row r="9481" spans="1:12" x14ac:dyDescent="0.3">
      <c r="A9481"/>
      <c r="B9481" s="72"/>
      <c r="E9481" s="72"/>
      <c r="H9481" s="49"/>
      <c r="K9481"/>
      <c r="L9481" s="73"/>
    </row>
    <row r="9482" spans="1:12" x14ac:dyDescent="0.3">
      <c r="A9482"/>
      <c r="B9482" s="72"/>
      <c r="E9482" s="72"/>
      <c r="H9482" s="49"/>
      <c r="K9482"/>
      <c r="L9482" s="73"/>
    </row>
    <row r="9483" spans="1:12" x14ac:dyDescent="0.3">
      <c r="A9483"/>
      <c r="B9483" s="72"/>
      <c r="E9483" s="72"/>
      <c r="H9483" s="49"/>
      <c r="K9483"/>
      <c r="L9483" s="73"/>
    </row>
    <row r="9484" spans="1:12" x14ac:dyDescent="0.3">
      <c r="A9484"/>
      <c r="B9484" s="72"/>
      <c r="E9484" s="72"/>
      <c r="H9484" s="49"/>
      <c r="K9484"/>
      <c r="L9484" s="73"/>
    </row>
    <row r="9485" spans="1:12" x14ac:dyDescent="0.3">
      <c r="A9485"/>
      <c r="B9485" s="72"/>
      <c r="E9485" s="72"/>
      <c r="H9485" s="49"/>
      <c r="K9485"/>
      <c r="L9485" s="73"/>
    </row>
    <row r="9486" spans="1:12" x14ac:dyDescent="0.3">
      <c r="A9486"/>
      <c r="B9486" s="72"/>
      <c r="E9486" s="72"/>
      <c r="H9486" s="49"/>
      <c r="K9486"/>
      <c r="L9486" s="73"/>
    </row>
    <row r="9487" spans="1:12" x14ac:dyDescent="0.3">
      <c r="A9487"/>
      <c r="B9487" s="72"/>
      <c r="E9487" s="72"/>
      <c r="H9487" s="49"/>
      <c r="K9487"/>
      <c r="L9487" s="73"/>
    </row>
    <row r="9488" spans="1:12" x14ac:dyDescent="0.3">
      <c r="A9488"/>
      <c r="B9488" s="72"/>
      <c r="E9488" s="72"/>
      <c r="H9488" s="49"/>
      <c r="K9488"/>
      <c r="L9488" s="73"/>
    </row>
    <row r="9489" spans="1:12" x14ac:dyDescent="0.3">
      <c r="A9489"/>
      <c r="B9489" s="72"/>
      <c r="E9489" s="72"/>
      <c r="H9489" s="49"/>
      <c r="K9489"/>
      <c r="L9489" s="73"/>
    </row>
    <row r="9490" spans="1:12" x14ac:dyDescent="0.3">
      <c r="A9490"/>
      <c r="B9490" s="72"/>
      <c r="E9490" s="72"/>
      <c r="H9490" s="49"/>
      <c r="K9490"/>
      <c r="L9490" s="73"/>
    </row>
    <row r="9491" spans="1:12" x14ac:dyDescent="0.3">
      <c r="A9491"/>
      <c r="B9491" s="72"/>
      <c r="E9491" s="72"/>
      <c r="H9491" s="49"/>
      <c r="K9491"/>
      <c r="L9491" s="73"/>
    </row>
    <row r="9492" spans="1:12" x14ac:dyDescent="0.3">
      <c r="A9492"/>
      <c r="B9492" s="72"/>
      <c r="E9492" s="72"/>
      <c r="H9492" s="49"/>
      <c r="K9492"/>
      <c r="L9492" s="73"/>
    </row>
    <row r="9493" spans="1:12" x14ac:dyDescent="0.3">
      <c r="A9493"/>
      <c r="B9493" s="72"/>
      <c r="E9493" s="72"/>
      <c r="H9493" s="49"/>
      <c r="K9493"/>
      <c r="L9493" s="73"/>
    </row>
    <row r="9494" spans="1:12" x14ac:dyDescent="0.3">
      <c r="A9494"/>
      <c r="B9494" s="72"/>
      <c r="E9494" s="72"/>
      <c r="H9494" s="49"/>
      <c r="K9494"/>
      <c r="L9494" s="73"/>
    </row>
    <row r="9495" spans="1:12" x14ac:dyDescent="0.3">
      <c r="A9495"/>
      <c r="B9495" s="72"/>
      <c r="E9495" s="72"/>
      <c r="H9495" s="49"/>
      <c r="K9495"/>
      <c r="L9495" s="73"/>
    </row>
    <row r="9496" spans="1:12" x14ac:dyDescent="0.3">
      <c r="A9496"/>
      <c r="B9496" s="72"/>
      <c r="E9496" s="72"/>
      <c r="H9496" s="49"/>
      <c r="K9496"/>
      <c r="L9496" s="73"/>
    </row>
    <row r="9497" spans="1:12" x14ac:dyDescent="0.3">
      <c r="A9497"/>
      <c r="B9497" s="72"/>
      <c r="E9497" s="72"/>
      <c r="H9497" s="49"/>
      <c r="K9497"/>
      <c r="L9497" s="73"/>
    </row>
    <row r="9498" spans="1:12" x14ac:dyDescent="0.3">
      <c r="A9498"/>
      <c r="B9498" s="72"/>
      <c r="E9498" s="72"/>
      <c r="H9498" s="49"/>
      <c r="K9498"/>
      <c r="L9498" s="73"/>
    </row>
    <row r="9499" spans="1:12" x14ac:dyDescent="0.3">
      <c r="A9499"/>
      <c r="B9499" s="72"/>
      <c r="E9499" s="72"/>
      <c r="H9499" s="49"/>
      <c r="K9499"/>
      <c r="L9499" s="73"/>
    </row>
    <row r="9500" spans="1:12" x14ac:dyDescent="0.3">
      <c r="A9500"/>
      <c r="B9500" s="72"/>
      <c r="E9500" s="72"/>
      <c r="H9500" s="49"/>
      <c r="K9500"/>
      <c r="L9500" s="73"/>
    </row>
    <row r="9501" spans="1:12" x14ac:dyDescent="0.3">
      <c r="A9501"/>
      <c r="B9501" s="72"/>
      <c r="E9501" s="72"/>
      <c r="H9501" s="49"/>
      <c r="K9501"/>
      <c r="L9501" s="73"/>
    </row>
    <row r="9502" spans="1:12" x14ac:dyDescent="0.3">
      <c r="A9502"/>
      <c r="B9502" s="72"/>
      <c r="E9502" s="72"/>
      <c r="H9502" s="49"/>
      <c r="K9502"/>
      <c r="L9502" s="73"/>
    </row>
    <row r="9503" spans="1:12" x14ac:dyDescent="0.3">
      <c r="A9503"/>
      <c r="B9503" s="72"/>
      <c r="E9503" s="72"/>
      <c r="H9503" s="49"/>
      <c r="K9503"/>
      <c r="L9503" s="73"/>
    </row>
    <row r="9504" spans="1:12" x14ac:dyDescent="0.3">
      <c r="A9504"/>
      <c r="B9504" s="72"/>
      <c r="E9504" s="72"/>
      <c r="H9504" s="49"/>
      <c r="K9504"/>
      <c r="L9504" s="73"/>
    </row>
    <row r="9505" spans="1:12" x14ac:dyDescent="0.3">
      <c r="A9505"/>
      <c r="B9505" s="72"/>
      <c r="E9505" s="72"/>
      <c r="H9505" s="49"/>
      <c r="K9505"/>
      <c r="L9505" s="73"/>
    </row>
    <row r="9506" spans="1:12" x14ac:dyDescent="0.3">
      <c r="A9506"/>
      <c r="B9506" s="72"/>
      <c r="E9506" s="72"/>
      <c r="H9506" s="49"/>
      <c r="K9506"/>
      <c r="L9506" s="73"/>
    </row>
    <row r="9507" spans="1:12" x14ac:dyDescent="0.3">
      <c r="A9507"/>
      <c r="B9507" s="72"/>
      <c r="E9507" s="72"/>
      <c r="H9507" s="49"/>
      <c r="K9507"/>
      <c r="L9507" s="73"/>
    </row>
    <row r="9508" spans="1:12" x14ac:dyDescent="0.3">
      <c r="A9508"/>
      <c r="B9508" s="72"/>
      <c r="E9508" s="72"/>
      <c r="H9508" s="49"/>
      <c r="K9508"/>
      <c r="L9508" s="73"/>
    </row>
    <row r="9509" spans="1:12" x14ac:dyDescent="0.3">
      <c r="A9509"/>
      <c r="B9509" s="72"/>
      <c r="E9509" s="72"/>
      <c r="H9509" s="49"/>
      <c r="K9509"/>
      <c r="L9509" s="73"/>
    </row>
    <row r="9510" spans="1:12" x14ac:dyDescent="0.3">
      <c r="A9510"/>
      <c r="B9510" s="72"/>
      <c r="E9510" s="72"/>
      <c r="H9510" s="49"/>
      <c r="K9510"/>
      <c r="L9510" s="73"/>
    </row>
    <row r="9511" spans="1:12" x14ac:dyDescent="0.3">
      <c r="A9511"/>
      <c r="B9511" s="72"/>
      <c r="E9511" s="72"/>
      <c r="H9511" s="49"/>
      <c r="K9511"/>
      <c r="L9511" s="73"/>
    </row>
    <row r="9512" spans="1:12" x14ac:dyDescent="0.3">
      <c r="A9512"/>
      <c r="B9512" s="72"/>
      <c r="E9512" s="72"/>
      <c r="H9512" s="49"/>
      <c r="K9512"/>
      <c r="L9512" s="73"/>
    </row>
    <row r="9513" spans="1:12" x14ac:dyDescent="0.3">
      <c r="A9513"/>
      <c r="B9513" s="72"/>
      <c r="E9513" s="72"/>
      <c r="H9513" s="49"/>
      <c r="K9513"/>
      <c r="L9513" s="73"/>
    </row>
    <row r="9514" spans="1:12" x14ac:dyDescent="0.3">
      <c r="A9514"/>
      <c r="B9514" s="72"/>
      <c r="E9514" s="72"/>
      <c r="H9514" s="49"/>
      <c r="K9514"/>
      <c r="L9514" s="73"/>
    </row>
    <row r="9515" spans="1:12" x14ac:dyDescent="0.3">
      <c r="A9515"/>
      <c r="B9515" s="72"/>
      <c r="E9515" s="72"/>
      <c r="H9515" s="49"/>
      <c r="K9515"/>
      <c r="L9515" s="73"/>
    </row>
    <row r="9516" spans="1:12" x14ac:dyDescent="0.3">
      <c r="A9516"/>
      <c r="B9516" s="72"/>
      <c r="E9516" s="72"/>
      <c r="H9516" s="49"/>
      <c r="K9516"/>
      <c r="L9516" s="73"/>
    </row>
    <row r="9517" spans="1:12" x14ac:dyDescent="0.3">
      <c r="A9517"/>
      <c r="B9517" s="72"/>
      <c r="E9517" s="72"/>
      <c r="H9517" s="49"/>
      <c r="K9517"/>
      <c r="L9517" s="73"/>
    </row>
    <row r="9518" spans="1:12" x14ac:dyDescent="0.3">
      <c r="A9518"/>
      <c r="B9518" s="72"/>
      <c r="E9518" s="72"/>
      <c r="H9518" s="49"/>
      <c r="K9518"/>
      <c r="L9518" s="73"/>
    </row>
    <row r="9519" spans="1:12" x14ac:dyDescent="0.3">
      <c r="A9519"/>
      <c r="B9519" s="72"/>
      <c r="E9519" s="72"/>
      <c r="H9519" s="49"/>
      <c r="K9519"/>
      <c r="L9519" s="73"/>
    </row>
    <row r="9520" spans="1:12" x14ac:dyDescent="0.3">
      <c r="A9520"/>
      <c r="B9520" s="72"/>
      <c r="E9520" s="72"/>
      <c r="H9520" s="49"/>
      <c r="K9520"/>
      <c r="L9520" s="73"/>
    </row>
    <row r="9521" spans="1:12" x14ac:dyDescent="0.3">
      <c r="A9521"/>
      <c r="B9521" s="72"/>
      <c r="E9521" s="72"/>
      <c r="H9521" s="49"/>
      <c r="K9521"/>
      <c r="L9521" s="73"/>
    </row>
    <row r="9522" spans="1:12" x14ac:dyDescent="0.3">
      <c r="A9522"/>
      <c r="B9522" s="72"/>
      <c r="E9522" s="72"/>
      <c r="H9522" s="49"/>
      <c r="K9522"/>
      <c r="L9522" s="73"/>
    </row>
    <row r="9523" spans="1:12" x14ac:dyDescent="0.3">
      <c r="A9523"/>
      <c r="B9523" s="72"/>
      <c r="E9523" s="72"/>
      <c r="H9523" s="49"/>
      <c r="K9523"/>
      <c r="L9523" s="73"/>
    </row>
    <row r="9524" spans="1:12" x14ac:dyDescent="0.3">
      <c r="A9524"/>
      <c r="B9524" s="72"/>
      <c r="E9524" s="72"/>
      <c r="H9524" s="49"/>
      <c r="K9524"/>
      <c r="L9524" s="73"/>
    </row>
    <row r="9525" spans="1:12" x14ac:dyDescent="0.3">
      <c r="A9525"/>
      <c r="B9525" s="72"/>
      <c r="E9525" s="72"/>
      <c r="H9525" s="49"/>
      <c r="K9525"/>
      <c r="L9525" s="73"/>
    </row>
    <row r="9526" spans="1:12" x14ac:dyDescent="0.3">
      <c r="A9526"/>
      <c r="B9526" s="72"/>
      <c r="E9526" s="72"/>
      <c r="H9526" s="49"/>
      <c r="K9526"/>
      <c r="L9526" s="73"/>
    </row>
    <row r="9527" spans="1:12" x14ac:dyDescent="0.3">
      <c r="A9527"/>
      <c r="B9527" s="72"/>
      <c r="E9527" s="72"/>
      <c r="H9527" s="49"/>
      <c r="K9527"/>
      <c r="L9527" s="73"/>
    </row>
    <row r="9528" spans="1:12" x14ac:dyDescent="0.3">
      <c r="A9528"/>
      <c r="B9528" s="72"/>
      <c r="E9528" s="72"/>
      <c r="H9528" s="49"/>
      <c r="K9528"/>
      <c r="L9528" s="73"/>
    </row>
    <row r="9529" spans="1:12" x14ac:dyDescent="0.3">
      <c r="A9529"/>
      <c r="B9529" s="72"/>
      <c r="E9529" s="72"/>
      <c r="H9529" s="49"/>
      <c r="K9529"/>
      <c r="L9529" s="73"/>
    </row>
    <row r="9530" spans="1:12" x14ac:dyDescent="0.3">
      <c r="A9530"/>
      <c r="B9530" s="72"/>
      <c r="E9530" s="72"/>
      <c r="H9530" s="49"/>
      <c r="K9530"/>
      <c r="L9530" s="73"/>
    </row>
    <row r="9531" spans="1:12" x14ac:dyDescent="0.3">
      <c r="A9531"/>
      <c r="B9531" s="72"/>
      <c r="E9531" s="72"/>
      <c r="H9531" s="49"/>
      <c r="K9531"/>
      <c r="L9531" s="73"/>
    </row>
    <row r="9532" spans="1:12" x14ac:dyDescent="0.3">
      <c r="A9532"/>
      <c r="B9532" s="72"/>
      <c r="E9532" s="72"/>
      <c r="H9532" s="49"/>
      <c r="K9532"/>
      <c r="L9532" s="73"/>
    </row>
    <row r="9533" spans="1:12" x14ac:dyDescent="0.3">
      <c r="A9533"/>
      <c r="B9533" s="72"/>
      <c r="E9533" s="72"/>
      <c r="H9533" s="49"/>
      <c r="K9533"/>
      <c r="L9533" s="73"/>
    </row>
    <row r="9534" spans="1:12" x14ac:dyDescent="0.3">
      <c r="A9534"/>
      <c r="B9534" s="72"/>
      <c r="E9534" s="72"/>
      <c r="H9534" s="49"/>
      <c r="K9534"/>
      <c r="L9534" s="73"/>
    </row>
    <row r="9535" spans="1:12" x14ac:dyDescent="0.3">
      <c r="A9535"/>
      <c r="B9535" s="72"/>
      <c r="E9535" s="72"/>
      <c r="H9535" s="49"/>
      <c r="K9535"/>
      <c r="L9535" s="73"/>
    </row>
    <row r="9536" spans="1:12" x14ac:dyDescent="0.3">
      <c r="A9536"/>
      <c r="B9536" s="72"/>
      <c r="E9536" s="72"/>
      <c r="H9536" s="49"/>
      <c r="K9536"/>
      <c r="L9536" s="73"/>
    </row>
    <row r="9537" spans="1:12" x14ac:dyDescent="0.3">
      <c r="A9537"/>
      <c r="B9537" s="72"/>
      <c r="E9537" s="72"/>
      <c r="H9537" s="49"/>
      <c r="K9537"/>
      <c r="L9537" s="73"/>
    </row>
    <row r="9538" spans="1:12" x14ac:dyDescent="0.3">
      <c r="A9538"/>
      <c r="B9538" s="72"/>
      <c r="E9538" s="72"/>
      <c r="H9538" s="49"/>
      <c r="K9538"/>
      <c r="L9538" s="73"/>
    </row>
    <row r="9539" spans="1:12" x14ac:dyDescent="0.3">
      <c r="A9539"/>
      <c r="B9539" s="72"/>
      <c r="E9539" s="72"/>
      <c r="H9539" s="49"/>
      <c r="K9539"/>
      <c r="L9539" s="73"/>
    </row>
    <row r="9540" spans="1:12" x14ac:dyDescent="0.3">
      <c r="A9540"/>
      <c r="B9540" s="72"/>
      <c r="E9540" s="72"/>
      <c r="H9540" s="49"/>
      <c r="K9540"/>
      <c r="L9540" s="73"/>
    </row>
    <row r="9541" spans="1:12" x14ac:dyDescent="0.3">
      <c r="A9541"/>
      <c r="B9541" s="72"/>
      <c r="E9541" s="72"/>
      <c r="H9541" s="49"/>
      <c r="K9541"/>
      <c r="L9541" s="73"/>
    </row>
    <row r="9542" spans="1:12" x14ac:dyDescent="0.3">
      <c r="A9542"/>
      <c r="B9542" s="72"/>
      <c r="E9542" s="72"/>
      <c r="H9542" s="49"/>
      <c r="K9542"/>
      <c r="L9542" s="73"/>
    </row>
    <row r="9543" spans="1:12" x14ac:dyDescent="0.3">
      <c r="A9543"/>
      <c r="B9543" s="72"/>
      <c r="E9543" s="72"/>
      <c r="H9543" s="49"/>
      <c r="K9543"/>
      <c r="L9543" s="73"/>
    </row>
    <row r="9544" spans="1:12" x14ac:dyDescent="0.3">
      <c r="A9544"/>
      <c r="B9544" s="72"/>
      <c r="E9544" s="72"/>
      <c r="H9544" s="49"/>
      <c r="K9544"/>
      <c r="L9544" s="73"/>
    </row>
    <row r="9545" spans="1:12" x14ac:dyDescent="0.3">
      <c r="A9545"/>
      <c r="B9545" s="72"/>
      <c r="E9545" s="72"/>
      <c r="H9545" s="49"/>
      <c r="K9545"/>
      <c r="L9545" s="73"/>
    </row>
    <row r="9546" spans="1:12" x14ac:dyDescent="0.3">
      <c r="A9546"/>
      <c r="B9546" s="72"/>
      <c r="E9546" s="72"/>
      <c r="H9546" s="49"/>
      <c r="K9546"/>
      <c r="L9546" s="73"/>
    </row>
    <row r="9547" spans="1:12" x14ac:dyDescent="0.3">
      <c r="A9547"/>
      <c r="B9547" s="72"/>
      <c r="E9547" s="72"/>
      <c r="H9547" s="49"/>
      <c r="K9547"/>
      <c r="L9547" s="73"/>
    </row>
    <row r="9548" spans="1:12" x14ac:dyDescent="0.3">
      <c r="A9548"/>
      <c r="B9548" s="72"/>
      <c r="E9548" s="72"/>
      <c r="H9548" s="49"/>
      <c r="K9548"/>
      <c r="L9548" s="73"/>
    </row>
    <row r="9549" spans="1:12" x14ac:dyDescent="0.3">
      <c r="A9549"/>
      <c r="B9549" s="72"/>
      <c r="E9549" s="72"/>
      <c r="H9549" s="49"/>
      <c r="K9549"/>
      <c r="L9549" s="73"/>
    </row>
    <row r="9550" spans="1:12" x14ac:dyDescent="0.3">
      <c r="A9550"/>
      <c r="B9550" s="72"/>
      <c r="E9550" s="72"/>
      <c r="H9550" s="49"/>
      <c r="K9550"/>
      <c r="L9550" s="73"/>
    </row>
    <row r="9551" spans="1:12" x14ac:dyDescent="0.3">
      <c r="A9551"/>
      <c r="B9551" s="72"/>
      <c r="E9551" s="72"/>
      <c r="H9551" s="49"/>
      <c r="K9551"/>
      <c r="L9551" s="73"/>
    </row>
    <row r="9552" spans="1:12" x14ac:dyDescent="0.3">
      <c r="A9552"/>
      <c r="B9552" s="72"/>
      <c r="E9552" s="72"/>
      <c r="H9552" s="49"/>
      <c r="K9552"/>
      <c r="L9552" s="73"/>
    </row>
    <row r="9553" spans="1:12" x14ac:dyDescent="0.3">
      <c r="A9553"/>
      <c r="B9553" s="72"/>
      <c r="E9553" s="72"/>
      <c r="H9553" s="49"/>
      <c r="K9553"/>
      <c r="L9553" s="73"/>
    </row>
    <row r="9554" spans="1:12" x14ac:dyDescent="0.3">
      <c r="A9554"/>
      <c r="B9554" s="72"/>
      <c r="E9554" s="72"/>
      <c r="H9554" s="49"/>
      <c r="K9554"/>
      <c r="L9554" s="73"/>
    </row>
    <row r="9555" spans="1:12" x14ac:dyDescent="0.3">
      <c r="A9555"/>
      <c r="B9555" s="72"/>
      <c r="E9555" s="72"/>
      <c r="H9555" s="49"/>
      <c r="K9555"/>
      <c r="L9555" s="73"/>
    </row>
    <row r="9556" spans="1:12" x14ac:dyDescent="0.3">
      <c r="A9556"/>
      <c r="B9556" s="72"/>
      <c r="E9556" s="72"/>
      <c r="H9556" s="49"/>
      <c r="K9556"/>
      <c r="L9556" s="73"/>
    </row>
    <row r="9557" spans="1:12" x14ac:dyDescent="0.3">
      <c r="A9557"/>
      <c r="B9557" s="72"/>
      <c r="E9557" s="72"/>
      <c r="H9557" s="49"/>
      <c r="K9557"/>
      <c r="L9557" s="73"/>
    </row>
    <row r="9558" spans="1:12" x14ac:dyDescent="0.3">
      <c r="A9558"/>
      <c r="B9558" s="72"/>
      <c r="E9558" s="72"/>
      <c r="H9558" s="49"/>
      <c r="K9558"/>
      <c r="L9558" s="73"/>
    </row>
    <row r="9559" spans="1:12" x14ac:dyDescent="0.3">
      <c r="A9559"/>
      <c r="B9559" s="72"/>
      <c r="E9559" s="72"/>
      <c r="H9559" s="49"/>
      <c r="K9559"/>
      <c r="L9559" s="73"/>
    </row>
    <row r="9560" spans="1:12" x14ac:dyDescent="0.3">
      <c r="A9560"/>
      <c r="B9560" s="72"/>
      <c r="E9560" s="72"/>
      <c r="H9560" s="49"/>
      <c r="K9560"/>
      <c r="L9560" s="73"/>
    </row>
    <row r="9561" spans="1:12" x14ac:dyDescent="0.3">
      <c r="A9561"/>
      <c r="B9561" s="72"/>
      <c r="E9561" s="72"/>
      <c r="H9561" s="49"/>
      <c r="K9561"/>
      <c r="L9561" s="73"/>
    </row>
    <row r="9562" spans="1:12" x14ac:dyDescent="0.3">
      <c r="A9562"/>
      <c r="B9562" s="72"/>
      <c r="E9562" s="72"/>
      <c r="H9562" s="49"/>
      <c r="K9562"/>
      <c r="L9562" s="73"/>
    </row>
    <row r="9563" spans="1:12" x14ac:dyDescent="0.3">
      <c r="A9563"/>
      <c r="B9563" s="72"/>
      <c r="E9563" s="72"/>
      <c r="H9563" s="49"/>
      <c r="K9563"/>
      <c r="L9563" s="73"/>
    </row>
    <row r="9564" spans="1:12" x14ac:dyDescent="0.3">
      <c r="A9564"/>
      <c r="B9564" s="72"/>
      <c r="E9564" s="72"/>
      <c r="H9564" s="49"/>
      <c r="K9564"/>
      <c r="L9564" s="73"/>
    </row>
    <row r="9565" spans="1:12" x14ac:dyDescent="0.3">
      <c r="A9565"/>
      <c r="B9565" s="72"/>
      <c r="E9565" s="72"/>
      <c r="H9565" s="49"/>
      <c r="K9565"/>
      <c r="L9565" s="73"/>
    </row>
    <row r="9566" spans="1:12" x14ac:dyDescent="0.3">
      <c r="A9566"/>
      <c r="B9566" s="72"/>
      <c r="E9566" s="72"/>
      <c r="H9566" s="49"/>
      <c r="K9566"/>
      <c r="L9566" s="73"/>
    </row>
    <row r="9567" spans="1:12" x14ac:dyDescent="0.3">
      <c r="A9567"/>
      <c r="B9567" s="72"/>
      <c r="E9567" s="72"/>
      <c r="H9567" s="49"/>
      <c r="K9567"/>
      <c r="L9567" s="73"/>
    </row>
    <row r="9568" spans="1:12" x14ac:dyDescent="0.3">
      <c r="A9568"/>
      <c r="B9568" s="72"/>
      <c r="E9568" s="72"/>
      <c r="H9568" s="49"/>
      <c r="K9568"/>
      <c r="L9568" s="73"/>
    </row>
    <row r="9569" spans="1:12" x14ac:dyDescent="0.3">
      <c r="A9569"/>
      <c r="B9569" s="72"/>
      <c r="E9569" s="72"/>
      <c r="H9569" s="49"/>
      <c r="K9569"/>
      <c r="L9569" s="73"/>
    </row>
    <row r="9570" spans="1:12" x14ac:dyDescent="0.3">
      <c r="A9570"/>
      <c r="B9570" s="72"/>
      <c r="E9570" s="72"/>
      <c r="H9570" s="49"/>
      <c r="K9570"/>
      <c r="L9570" s="73"/>
    </row>
    <row r="9571" spans="1:12" x14ac:dyDescent="0.3">
      <c r="A9571"/>
      <c r="B9571" s="72"/>
      <c r="E9571" s="72"/>
      <c r="H9571" s="49"/>
      <c r="K9571"/>
      <c r="L9571" s="73"/>
    </row>
    <row r="9572" spans="1:12" x14ac:dyDescent="0.3">
      <c r="A9572"/>
      <c r="B9572" s="72"/>
      <c r="E9572" s="72"/>
      <c r="H9572" s="49"/>
      <c r="K9572"/>
      <c r="L9572" s="73"/>
    </row>
    <row r="9573" spans="1:12" x14ac:dyDescent="0.3">
      <c r="A9573"/>
      <c r="B9573" s="72"/>
      <c r="E9573" s="72"/>
      <c r="H9573" s="49"/>
      <c r="K9573"/>
      <c r="L9573" s="73"/>
    </row>
    <row r="9574" spans="1:12" x14ac:dyDescent="0.3">
      <c r="A9574"/>
      <c r="B9574" s="72"/>
      <c r="E9574" s="72"/>
      <c r="H9574" s="49"/>
      <c r="K9574"/>
      <c r="L9574" s="73"/>
    </row>
    <row r="9575" spans="1:12" x14ac:dyDescent="0.3">
      <c r="A9575"/>
      <c r="B9575" s="72"/>
      <c r="E9575" s="72"/>
      <c r="H9575" s="49"/>
      <c r="K9575"/>
      <c r="L9575" s="73"/>
    </row>
    <row r="9576" spans="1:12" x14ac:dyDescent="0.3">
      <c r="A9576"/>
      <c r="B9576" s="72"/>
      <c r="E9576" s="72"/>
      <c r="H9576" s="49"/>
      <c r="K9576"/>
      <c r="L9576" s="73"/>
    </row>
    <row r="9577" spans="1:12" x14ac:dyDescent="0.3">
      <c r="A9577"/>
      <c r="B9577" s="72"/>
      <c r="E9577" s="72"/>
      <c r="H9577" s="49"/>
      <c r="K9577"/>
      <c r="L9577" s="73"/>
    </row>
    <row r="9578" spans="1:12" x14ac:dyDescent="0.3">
      <c r="A9578"/>
      <c r="B9578" s="72"/>
      <c r="E9578" s="72"/>
      <c r="H9578" s="49"/>
      <c r="K9578"/>
      <c r="L9578" s="73"/>
    </row>
    <row r="9579" spans="1:12" x14ac:dyDescent="0.3">
      <c r="A9579"/>
      <c r="B9579" s="72"/>
      <c r="E9579" s="72"/>
      <c r="H9579" s="49"/>
      <c r="K9579"/>
      <c r="L9579" s="73"/>
    </row>
    <row r="9580" spans="1:12" x14ac:dyDescent="0.3">
      <c r="A9580"/>
      <c r="B9580" s="72"/>
      <c r="E9580" s="72"/>
      <c r="H9580" s="49"/>
      <c r="K9580"/>
      <c r="L9580" s="73"/>
    </row>
    <row r="9581" spans="1:12" x14ac:dyDescent="0.3">
      <c r="A9581"/>
      <c r="B9581" s="72"/>
      <c r="E9581" s="72"/>
      <c r="H9581" s="49"/>
      <c r="K9581"/>
      <c r="L9581" s="73"/>
    </row>
    <row r="9582" spans="1:12" x14ac:dyDescent="0.3">
      <c r="A9582"/>
      <c r="B9582" s="72"/>
      <c r="E9582" s="72"/>
      <c r="H9582" s="49"/>
      <c r="K9582"/>
      <c r="L9582" s="73"/>
    </row>
    <row r="9583" spans="1:12" x14ac:dyDescent="0.3">
      <c r="A9583"/>
      <c r="B9583" s="72"/>
      <c r="E9583" s="72"/>
      <c r="H9583" s="49"/>
      <c r="K9583"/>
      <c r="L9583" s="73"/>
    </row>
    <row r="9584" spans="1:12" x14ac:dyDescent="0.3">
      <c r="A9584"/>
      <c r="B9584" s="72"/>
      <c r="E9584" s="72"/>
      <c r="H9584" s="49"/>
      <c r="K9584"/>
      <c r="L9584" s="73"/>
    </row>
    <row r="9585" spans="1:12" x14ac:dyDescent="0.3">
      <c r="A9585"/>
      <c r="B9585" s="72"/>
      <c r="E9585" s="72"/>
      <c r="H9585" s="49"/>
      <c r="K9585"/>
      <c r="L9585" s="73"/>
    </row>
    <row r="9586" spans="1:12" x14ac:dyDescent="0.3">
      <c r="A9586"/>
      <c r="B9586" s="72"/>
      <c r="E9586" s="72"/>
      <c r="H9586" s="49"/>
      <c r="K9586"/>
      <c r="L9586" s="73"/>
    </row>
    <row r="9587" spans="1:12" x14ac:dyDescent="0.3">
      <c r="A9587"/>
      <c r="B9587" s="72"/>
      <c r="E9587" s="72"/>
      <c r="H9587" s="49"/>
      <c r="K9587"/>
      <c r="L9587" s="73"/>
    </row>
    <row r="9588" spans="1:12" x14ac:dyDescent="0.3">
      <c r="A9588"/>
      <c r="B9588" s="72"/>
      <c r="E9588" s="72"/>
      <c r="H9588" s="49"/>
      <c r="K9588"/>
      <c r="L9588" s="73"/>
    </row>
    <row r="9589" spans="1:12" x14ac:dyDescent="0.3">
      <c r="A9589"/>
      <c r="B9589" s="72"/>
      <c r="E9589" s="72"/>
      <c r="H9589" s="49"/>
      <c r="K9589"/>
      <c r="L9589" s="73"/>
    </row>
    <row r="9590" spans="1:12" x14ac:dyDescent="0.3">
      <c r="A9590"/>
      <c r="B9590" s="72"/>
      <c r="E9590" s="72"/>
      <c r="H9590" s="49"/>
      <c r="K9590"/>
      <c r="L9590" s="73"/>
    </row>
    <row r="9591" spans="1:12" x14ac:dyDescent="0.3">
      <c r="A9591"/>
      <c r="B9591" s="72"/>
      <c r="E9591" s="72"/>
      <c r="H9591" s="49"/>
      <c r="K9591"/>
      <c r="L9591" s="73"/>
    </row>
    <row r="9592" spans="1:12" x14ac:dyDescent="0.3">
      <c r="A9592"/>
      <c r="B9592" s="72"/>
      <c r="E9592" s="72"/>
      <c r="H9592" s="49"/>
      <c r="K9592"/>
      <c r="L9592" s="73"/>
    </row>
    <row r="9593" spans="1:12" x14ac:dyDescent="0.3">
      <c r="A9593"/>
      <c r="B9593" s="72"/>
      <c r="E9593" s="72"/>
      <c r="H9593" s="49"/>
      <c r="K9593"/>
      <c r="L9593" s="73"/>
    </row>
    <row r="9594" spans="1:12" x14ac:dyDescent="0.3">
      <c r="A9594"/>
      <c r="B9594" s="72"/>
      <c r="E9594" s="72"/>
      <c r="H9594" s="49"/>
      <c r="K9594"/>
      <c r="L9594" s="73"/>
    </row>
    <row r="9595" spans="1:12" x14ac:dyDescent="0.3">
      <c r="A9595"/>
      <c r="B9595" s="72"/>
      <c r="E9595" s="72"/>
      <c r="H9595" s="49"/>
      <c r="K9595"/>
      <c r="L9595" s="73"/>
    </row>
    <row r="9596" spans="1:12" x14ac:dyDescent="0.3">
      <c r="A9596"/>
      <c r="B9596" s="72"/>
      <c r="E9596" s="72"/>
      <c r="H9596" s="49"/>
      <c r="K9596"/>
      <c r="L9596" s="73"/>
    </row>
    <row r="9597" spans="1:12" x14ac:dyDescent="0.3">
      <c r="A9597"/>
      <c r="B9597" s="72"/>
      <c r="E9597" s="72"/>
      <c r="H9597" s="49"/>
      <c r="K9597"/>
      <c r="L9597" s="73"/>
    </row>
    <row r="9598" spans="1:12" x14ac:dyDescent="0.3">
      <c r="A9598"/>
      <c r="B9598" s="72"/>
      <c r="E9598" s="72"/>
      <c r="H9598" s="49"/>
      <c r="K9598"/>
      <c r="L9598" s="73"/>
    </row>
    <row r="9599" spans="1:12" x14ac:dyDescent="0.3">
      <c r="A9599"/>
      <c r="B9599" s="72"/>
      <c r="E9599" s="72"/>
      <c r="H9599" s="49"/>
      <c r="K9599"/>
      <c r="L9599" s="73"/>
    </row>
    <row r="9600" spans="1:12" x14ac:dyDescent="0.3">
      <c r="A9600"/>
      <c r="B9600" s="72"/>
      <c r="E9600" s="72"/>
      <c r="H9600" s="49"/>
      <c r="K9600"/>
      <c r="L9600" s="73"/>
    </row>
    <row r="9601" spans="1:12" x14ac:dyDescent="0.3">
      <c r="A9601"/>
      <c r="B9601" s="72"/>
      <c r="E9601" s="72"/>
      <c r="H9601" s="49"/>
      <c r="K9601"/>
      <c r="L9601" s="73"/>
    </row>
    <row r="9602" spans="1:12" x14ac:dyDescent="0.3">
      <c r="A9602"/>
      <c r="B9602" s="72"/>
      <c r="E9602" s="72"/>
      <c r="H9602" s="49"/>
      <c r="K9602"/>
      <c r="L9602" s="73"/>
    </row>
    <row r="9603" spans="1:12" x14ac:dyDescent="0.3">
      <c r="A9603"/>
      <c r="B9603" s="72"/>
      <c r="E9603" s="72"/>
      <c r="H9603" s="49"/>
      <c r="K9603"/>
      <c r="L9603" s="73"/>
    </row>
    <row r="9604" spans="1:12" x14ac:dyDescent="0.3">
      <c r="A9604"/>
      <c r="B9604" s="72"/>
      <c r="E9604" s="72"/>
      <c r="H9604" s="49"/>
      <c r="K9604"/>
      <c r="L9604" s="73"/>
    </row>
    <row r="9605" spans="1:12" x14ac:dyDescent="0.3">
      <c r="A9605"/>
      <c r="B9605" s="72"/>
      <c r="E9605" s="72"/>
      <c r="H9605" s="49"/>
      <c r="K9605"/>
      <c r="L9605" s="73"/>
    </row>
    <row r="9606" spans="1:12" x14ac:dyDescent="0.3">
      <c r="A9606"/>
      <c r="B9606" s="72"/>
      <c r="E9606" s="72"/>
      <c r="H9606" s="49"/>
      <c r="K9606"/>
      <c r="L9606" s="73"/>
    </row>
    <row r="9607" spans="1:12" x14ac:dyDescent="0.3">
      <c r="A9607"/>
      <c r="B9607" s="72"/>
      <c r="E9607" s="72"/>
      <c r="H9607" s="49"/>
      <c r="K9607"/>
      <c r="L9607" s="73"/>
    </row>
    <row r="9608" spans="1:12" x14ac:dyDescent="0.3">
      <c r="A9608"/>
      <c r="B9608" s="72"/>
      <c r="E9608" s="72"/>
      <c r="H9608" s="49"/>
      <c r="K9608"/>
      <c r="L9608" s="73"/>
    </row>
    <row r="9609" spans="1:12" x14ac:dyDescent="0.3">
      <c r="A9609"/>
      <c r="B9609" s="72"/>
      <c r="E9609" s="72"/>
      <c r="H9609" s="49"/>
      <c r="K9609"/>
      <c r="L9609" s="73"/>
    </row>
    <row r="9610" spans="1:12" x14ac:dyDescent="0.3">
      <c r="A9610"/>
      <c r="B9610" s="72"/>
      <c r="E9610" s="72"/>
      <c r="H9610" s="49"/>
      <c r="K9610"/>
      <c r="L9610" s="73"/>
    </row>
    <row r="9611" spans="1:12" x14ac:dyDescent="0.3">
      <c r="A9611"/>
      <c r="B9611" s="72"/>
      <c r="E9611" s="72"/>
      <c r="H9611" s="49"/>
      <c r="K9611"/>
      <c r="L9611" s="73"/>
    </row>
    <row r="9612" spans="1:12" x14ac:dyDescent="0.3">
      <c r="A9612"/>
      <c r="B9612" s="72"/>
      <c r="E9612" s="72"/>
      <c r="H9612" s="49"/>
      <c r="K9612"/>
      <c r="L9612" s="73"/>
    </row>
    <row r="9613" spans="1:12" x14ac:dyDescent="0.3">
      <c r="A9613"/>
      <c r="B9613" s="72"/>
      <c r="E9613" s="72"/>
      <c r="H9613" s="49"/>
      <c r="K9613"/>
      <c r="L9613" s="73"/>
    </row>
    <row r="9614" spans="1:12" x14ac:dyDescent="0.3">
      <c r="A9614"/>
      <c r="B9614" s="72"/>
      <c r="E9614" s="72"/>
      <c r="H9614" s="49"/>
      <c r="K9614"/>
      <c r="L9614" s="73"/>
    </row>
    <row r="9615" spans="1:12" x14ac:dyDescent="0.3">
      <c r="A9615"/>
      <c r="B9615" s="72"/>
      <c r="E9615" s="72"/>
      <c r="H9615" s="49"/>
      <c r="K9615"/>
      <c r="L9615" s="73"/>
    </row>
    <row r="9616" spans="1:12" x14ac:dyDescent="0.3">
      <c r="A9616"/>
      <c r="B9616" s="72"/>
      <c r="E9616" s="72"/>
      <c r="H9616" s="49"/>
      <c r="K9616"/>
      <c r="L9616" s="73"/>
    </row>
    <row r="9617" spans="1:12" x14ac:dyDescent="0.3">
      <c r="A9617"/>
      <c r="B9617" s="72"/>
      <c r="E9617" s="72"/>
      <c r="H9617" s="49"/>
      <c r="K9617"/>
      <c r="L9617" s="73"/>
    </row>
    <row r="9618" spans="1:12" x14ac:dyDescent="0.3">
      <c r="A9618"/>
      <c r="B9618" s="72"/>
      <c r="E9618" s="72"/>
      <c r="H9618" s="49"/>
      <c r="K9618"/>
      <c r="L9618" s="73"/>
    </row>
    <row r="9619" spans="1:12" x14ac:dyDescent="0.3">
      <c r="A9619"/>
      <c r="B9619" s="72"/>
      <c r="E9619" s="72"/>
      <c r="H9619" s="49"/>
      <c r="K9619"/>
      <c r="L9619" s="73"/>
    </row>
    <row r="9620" spans="1:12" x14ac:dyDescent="0.3">
      <c r="A9620"/>
      <c r="B9620" s="72"/>
      <c r="E9620" s="72"/>
      <c r="H9620" s="49"/>
      <c r="K9620"/>
      <c r="L9620" s="73"/>
    </row>
    <row r="9621" spans="1:12" x14ac:dyDescent="0.3">
      <c r="A9621"/>
      <c r="B9621" s="72"/>
      <c r="E9621" s="72"/>
      <c r="H9621" s="49"/>
      <c r="K9621"/>
      <c r="L9621" s="73"/>
    </row>
    <row r="9622" spans="1:12" x14ac:dyDescent="0.3">
      <c r="A9622"/>
      <c r="B9622" s="72"/>
      <c r="E9622" s="72"/>
      <c r="H9622" s="49"/>
      <c r="K9622"/>
      <c r="L9622" s="73"/>
    </row>
    <row r="9623" spans="1:12" x14ac:dyDescent="0.3">
      <c r="A9623"/>
      <c r="B9623" s="72"/>
      <c r="E9623" s="72"/>
      <c r="H9623" s="49"/>
      <c r="K9623"/>
      <c r="L9623" s="73"/>
    </row>
    <row r="9624" spans="1:12" x14ac:dyDescent="0.3">
      <c r="A9624"/>
      <c r="B9624" s="72"/>
      <c r="E9624" s="72"/>
      <c r="H9624" s="49"/>
      <c r="K9624"/>
      <c r="L9624" s="73"/>
    </row>
    <row r="9625" spans="1:12" x14ac:dyDescent="0.3">
      <c r="A9625"/>
      <c r="B9625" s="72"/>
      <c r="E9625" s="72"/>
      <c r="H9625" s="49"/>
      <c r="K9625"/>
      <c r="L9625" s="73"/>
    </row>
    <row r="9626" spans="1:12" x14ac:dyDescent="0.3">
      <c r="A9626"/>
      <c r="B9626" s="72"/>
      <c r="E9626" s="72"/>
      <c r="H9626" s="49"/>
      <c r="K9626"/>
      <c r="L9626" s="73"/>
    </row>
    <row r="9627" spans="1:12" x14ac:dyDescent="0.3">
      <c r="A9627"/>
      <c r="B9627" s="72"/>
      <c r="E9627" s="72"/>
      <c r="H9627" s="49"/>
      <c r="K9627"/>
      <c r="L9627" s="73"/>
    </row>
    <row r="9628" spans="1:12" x14ac:dyDescent="0.3">
      <c r="A9628"/>
      <c r="B9628" s="72"/>
      <c r="E9628" s="72"/>
      <c r="H9628" s="49"/>
      <c r="K9628"/>
      <c r="L9628" s="73"/>
    </row>
    <row r="9629" spans="1:12" x14ac:dyDescent="0.3">
      <c r="A9629"/>
      <c r="B9629" s="72"/>
      <c r="E9629" s="72"/>
      <c r="H9629" s="49"/>
      <c r="K9629"/>
      <c r="L9629" s="73"/>
    </row>
    <row r="9630" spans="1:12" x14ac:dyDescent="0.3">
      <c r="A9630"/>
      <c r="B9630" s="72"/>
      <c r="E9630" s="72"/>
      <c r="H9630" s="49"/>
      <c r="K9630"/>
      <c r="L9630" s="73"/>
    </row>
    <row r="9631" spans="1:12" x14ac:dyDescent="0.3">
      <c r="A9631"/>
      <c r="B9631" s="72"/>
      <c r="E9631" s="72"/>
      <c r="H9631" s="49"/>
      <c r="K9631"/>
      <c r="L9631" s="73"/>
    </row>
    <row r="9632" spans="1:12" x14ac:dyDescent="0.3">
      <c r="A9632"/>
      <c r="B9632" s="72"/>
      <c r="E9632" s="72"/>
      <c r="H9632" s="49"/>
      <c r="K9632"/>
      <c r="L9632" s="73"/>
    </row>
    <row r="9633" spans="1:12" x14ac:dyDescent="0.3">
      <c r="A9633"/>
      <c r="B9633" s="72"/>
      <c r="E9633" s="72"/>
      <c r="H9633" s="49"/>
      <c r="K9633"/>
      <c r="L9633" s="73"/>
    </row>
    <row r="9634" spans="1:12" x14ac:dyDescent="0.3">
      <c r="A9634"/>
      <c r="B9634" s="72"/>
      <c r="E9634" s="72"/>
      <c r="H9634" s="49"/>
      <c r="K9634"/>
      <c r="L9634" s="73"/>
    </row>
    <row r="9635" spans="1:12" x14ac:dyDescent="0.3">
      <c r="A9635"/>
      <c r="B9635" s="72"/>
      <c r="E9635" s="72"/>
      <c r="H9635" s="49"/>
      <c r="K9635"/>
      <c r="L9635" s="73"/>
    </row>
    <row r="9636" spans="1:12" x14ac:dyDescent="0.3">
      <c r="A9636"/>
      <c r="B9636" s="72"/>
      <c r="E9636" s="72"/>
      <c r="H9636" s="49"/>
      <c r="K9636"/>
      <c r="L9636" s="73"/>
    </row>
    <row r="9637" spans="1:12" x14ac:dyDescent="0.3">
      <c r="A9637"/>
      <c r="B9637" s="72"/>
      <c r="E9637" s="72"/>
      <c r="H9637" s="49"/>
      <c r="K9637"/>
      <c r="L9637" s="73"/>
    </row>
    <row r="9638" spans="1:12" x14ac:dyDescent="0.3">
      <c r="A9638"/>
      <c r="B9638" s="72"/>
      <c r="E9638" s="72"/>
      <c r="H9638" s="49"/>
      <c r="K9638"/>
      <c r="L9638" s="73"/>
    </row>
    <row r="9639" spans="1:12" x14ac:dyDescent="0.3">
      <c r="A9639"/>
      <c r="B9639" s="72"/>
      <c r="E9639" s="72"/>
      <c r="H9639" s="49"/>
      <c r="K9639"/>
      <c r="L9639" s="73"/>
    </row>
    <row r="9640" spans="1:12" x14ac:dyDescent="0.3">
      <c r="A9640"/>
      <c r="B9640" s="72"/>
      <c r="E9640" s="72"/>
      <c r="H9640" s="49"/>
      <c r="K9640"/>
      <c r="L9640" s="73"/>
    </row>
    <row r="9641" spans="1:12" x14ac:dyDescent="0.3">
      <c r="A9641"/>
      <c r="B9641" s="72"/>
      <c r="E9641" s="72"/>
      <c r="H9641" s="49"/>
      <c r="K9641"/>
      <c r="L9641" s="73"/>
    </row>
    <row r="9642" spans="1:12" x14ac:dyDescent="0.3">
      <c r="A9642"/>
      <c r="B9642" s="72"/>
      <c r="E9642" s="72"/>
      <c r="H9642" s="49"/>
      <c r="K9642"/>
      <c r="L9642" s="73"/>
    </row>
    <row r="9643" spans="1:12" x14ac:dyDescent="0.3">
      <c r="A9643"/>
      <c r="B9643" s="72"/>
      <c r="E9643" s="72"/>
      <c r="H9643" s="49"/>
      <c r="K9643"/>
      <c r="L9643" s="73"/>
    </row>
    <row r="9644" spans="1:12" x14ac:dyDescent="0.3">
      <c r="A9644"/>
      <c r="B9644" s="72"/>
      <c r="E9644" s="72"/>
      <c r="H9644" s="49"/>
      <c r="K9644"/>
      <c r="L9644" s="73"/>
    </row>
    <row r="9645" spans="1:12" x14ac:dyDescent="0.3">
      <c r="A9645"/>
      <c r="B9645" s="72"/>
      <c r="E9645" s="72"/>
      <c r="H9645" s="49"/>
      <c r="K9645"/>
      <c r="L9645" s="73"/>
    </row>
    <row r="9646" spans="1:12" x14ac:dyDescent="0.3">
      <c r="A9646"/>
      <c r="B9646" s="72"/>
      <c r="E9646" s="72"/>
      <c r="H9646" s="49"/>
      <c r="K9646"/>
      <c r="L9646" s="73"/>
    </row>
    <row r="9647" spans="1:12" x14ac:dyDescent="0.3">
      <c r="A9647"/>
      <c r="B9647" s="72"/>
      <c r="E9647" s="72"/>
      <c r="H9647" s="49"/>
      <c r="K9647"/>
      <c r="L9647" s="73"/>
    </row>
    <row r="9648" spans="1:12" x14ac:dyDescent="0.3">
      <c r="A9648"/>
      <c r="B9648" s="72"/>
      <c r="E9648" s="72"/>
      <c r="H9648" s="49"/>
      <c r="K9648"/>
      <c r="L9648" s="73"/>
    </row>
    <row r="9649" spans="1:12" x14ac:dyDescent="0.3">
      <c r="A9649"/>
      <c r="B9649" s="72"/>
      <c r="E9649" s="72"/>
      <c r="H9649" s="49"/>
      <c r="K9649"/>
      <c r="L9649" s="73"/>
    </row>
    <row r="9650" spans="1:12" x14ac:dyDescent="0.3">
      <c r="A9650"/>
      <c r="B9650" s="72"/>
      <c r="E9650" s="72"/>
      <c r="H9650" s="49"/>
      <c r="K9650"/>
      <c r="L9650" s="73"/>
    </row>
    <row r="9651" spans="1:12" x14ac:dyDescent="0.3">
      <c r="A9651"/>
      <c r="B9651" s="72"/>
      <c r="E9651" s="72"/>
      <c r="H9651" s="49"/>
      <c r="K9651"/>
      <c r="L9651" s="73"/>
    </row>
    <row r="9652" spans="1:12" x14ac:dyDescent="0.3">
      <c r="A9652"/>
      <c r="B9652" s="72"/>
      <c r="E9652" s="72"/>
      <c r="H9652" s="49"/>
      <c r="K9652"/>
      <c r="L9652" s="73"/>
    </row>
    <row r="9653" spans="1:12" x14ac:dyDescent="0.3">
      <c r="A9653"/>
      <c r="B9653" s="72"/>
      <c r="E9653" s="72"/>
      <c r="H9653" s="49"/>
      <c r="K9653"/>
      <c r="L9653" s="73"/>
    </row>
    <row r="9654" spans="1:12" x14ac:dyDescent="0.3">
      <c r="A9654"/>
      <c r="B9654" s="72"/>
      <c r="E9654" s="72"/>
      <c r="H9654" s="49"/>
      <c r="K9654"/>
      <c r="L9654" s="73"/>
    </row>
    <row r="9655" spans="1:12" x14ac:dyDescent="0.3">
      <c r="A9655"/>
      <c r="B9655" s="72"/>
      <c r="E9655" s="72"/>
      <c r="H9655" s="49"/>
      <c r="K9655"/>
      <c r="L9655" s="73"/>
    </row>
    <row r="9656" spans="1:12" x14ac:dyDescent="0.3">
      <c r="A9656"/>
      <c r="B9656" s="72"/>
      <c r="E9656" s="72"/>
      <c r="H9656" s="49"/>
      <c r="K9656"/>
      <c r="L9656" s="73"/>
    </row>
    <row r="9657" spans="1:12" x14ac:dyDescent="0.3">
      <c r="A9657"/>
      <c r="B9657" s="72"/>
      <c r="E9657" s="72"/>
      <c r="H9657" s="49"/>
      <c r="K9657"/>
      <c r="L9657" s="73"/>
    </row>
    <row r="9658" spans="1:12" x14ac:dyDescent="0.3">
      <c r="A9658"/>
      <c r="B9658" s="72"/>
      <c r="E9658" s="72"/>
      <c r="H9658" s="49"/>
      <c r="K9658"/>
      <c r="L9658" s="73"/>
    </row>
    <row r="9659" spans="1:12" x14ac:dyDescent="0.3">
      <c r="A9659"/>
      <c r="B9659" s="72"/>
      <c r="E9659" s="72"/>
      <c r="H9659" s="49"/>
      <c r="K9659"/>
      <c r="L9659" s="73"/>
    </row>
    <row r="9660" spans="1:12" x14ac:dyDescent="0.3">
      <c r="A9660"/>
      <c r="B9660" s="72"/>
      <c r="E9660" s="72"/>
      <c r="H9660" s="49"/>
      <c r="K9660"/>
      <c r="L9660" s="73"/>
    </row>
    <row r="9661" spans="1:12" x14ac:dyDescent="0.3">
      <c r="A9661"/>
      <c r="B9661" s="72"/>
      <c r="E9661" s="72"/>
      <c r="H9661" s="49"/>
      <c r="K9661"/>
      <c r="L9661" s="73"/>
    </row>
    <row r="9662" spans="1:12" x14ac:dyDescent="0.3">
      <c r="A9662"/>
      <c r="B9662" s="72"/>
      <c r="E9662" s="72"/>
      <c r="H9662" s="49"/>
      <c r="K9662"/>
      <c r="L9662" s="73"/>
    </row>
    <row r="9663" spans="1:12" x14ac:dyDescent="0.3">
      <c r="A9663"/>
      <c r="B9663" s="72"/>
      <c r="E9663" s="72"/>
      <c r="H9663" s="49"/>
      <c r="K9663"/>
      <c r="L9663" s="73"/>
    </row>
    <row r="9664" spans="1:12" x14ac:dyDescent="0.3">
      <c r="A9664"/>
      <c r="B9664" s="72"/>
      <c r="E9664" s="72"/>
      <c r="H9664" s="49"/>
      <c r="K9664"/>
      <c r="L9664" s="73"/>
    </row>
    <row r="9665" spans="1:12" x14ac:dyDescent="0.3">
      <c r="A9665"/>
      <c r="B9665" s="72"/>
      <c r="E9665" s="72"/>
      <c r="H9665" s="49"/>
      <c r="K9665"/>
      <c r="L9665" s="73"/>
    </row>
    <row r="9666" spans="1:12" x14ac:dyDescent="0.3">
      <c r="A9666"/>
      <c r="B9666" s="72"/>
      <c r="E9666" s="72"/>
      <c r="H9666" s="49"/>
      <c r="K9666"/>
      <c r="L9666" s="73"/>
    </row>
    <row r="9667" spans="1:12" x14ac:dyDescent="0.3">
      <c r="A9667"/>
      <c r="B9667" s="72"/>
      <c r="E9667" s="72"/>
      <c r="H9667" s="49"/>
      <c r="K9667"/>
      <c r="L9667" s="73"/>
    </row>
    <row r="9668" spans="1:12" x14ac:dyDescent="0.3">
      <c r="A9668"/>
      <c r="B9668" s="72"/>
      <c r="E9668" s="72"/>
      <c r="H9668" s="49"/>
      <c r="K9668"/>
      <c r="L9668" s="73"/>
    </row>
    <row r="9669" spans="1:12" x14ac:dyDescent="0.3">
      <c r="A9669"/>
      <c r="B9669" s="72"/>
      <c r="E9669" s="72"/>
      <c r="H9669" s="49"/>
      <c r="K9669"/>
      <c r="L9669" s="73"/>
    </row>
    <row r="9670" spans="1:12" x14ac:dyDescent="0.3">
      <c r="A9670"/>
      <c r="B9670" s="72"/>
      <c r="E9670" s="72"/>
      <c r="H9670" s="49"/>
      <c r="K9670"/>
      <c r="L9670" s="73"/>
    </row>
    <row r="9671" spans="1:12" x14ac:dyDescent="0.3">
      <c r="A9671"/>
      <c r="B9671" s="72"/>
      <c r="E9671" s="72"/>
      <c r="H9671" s="49"/>
      <c r="K9671"/>
      <c r="L9671" s="73"/>
    </row>
    <row r="9672" spans="1:12" x14ac:dyDescent="0.3">
      <c r="A9672"/>
      <c r="B9672" s="72"/>
      <c r="E9672" s="72"/>
      <c r="H9672" s="49"/>
      <c r="K9672"/>
      <c r="L9672" s="73"/>
    </row>
    <row r="9673" spans="1:12" x14ac:dyDescent="0.3">
      <c r="A9673"/>
      <c r="B9673" s="72"/>
      <c r="E9673" s="72"/>
      <c r="H9673" s="49"/>
      <c r="K9673"/>
      <c r="L9673" s="73"/>
    </row>
    <row r="9674" spans="1:12" x14ac:dyDescent="0.3">
      <c r="A9674"/>
      <c r="B9674" s="72"/>
      <c r="E9674" s="72"/>
      <c r="H9674" s="49"/>
      <c r="K9674"/>
      <c r="L9674" s="73"/>
    </row>
    <row r="9675" spans="1:12" x14ac:dyDescent="0.3">
      <c r="A9675"/>
      <c r="B9675" s="72"/>
      <c r="E9675" s="72"/>
      <c r="H9675" s="49"/>
      <c r="K9675"/>
      <c r="L9675" s="73"/>
    </row>
    <row r="9676" spans="1:12" x14ac:dyDescent="0.3">
      <c r="A9676"/>
      <c r="B9676" s="72"/>
      <c r="E9676" s="72"/>
      <c r="H9676" s="49"/>
      <c r="K9676"/>
      <c r="L9676" s="73"/>
    </row>
    <row r="9677" spans="1:12" x14ac:dyDescent="0.3">
      <c r="A9677"/>
      <c r="B9677" s="72"/>
      <c r="E9677" s="72"/>
      <c r="H9677" s="49"/>
      <c r="K9677"/>
      <c r="L9677" s="73"/>
    </row>
    <row r="9678" spans="1:12" x14ac:dyDescent="0.3">
      <c r="A9678"/>
      <c r="B9678" s="72"/>
      <c r="E9678" s="72"/>
      <c r="H9678" s="49"/>
      <c r="K9678"/>
      <c r="L9678" s="73"/>
    </row>
    <row r="9679" spans="1:12" x14ac:dyDescent="0.3">
      <c r="A9679"/>
      <c r="B9679" s="72"/>
      <c r="E9679" s="72"/>
      <c r="H9679" s="49"/>
      <c r="K9679"/>
      <c r="L9679" s="73"/>
    </row>
    <row r="9680" spans="1:12" x14ac:dyDescent="0.3">
      <c r="A9680"/>
      <c r="B9680" s="72"/>
      <c r="E9680" s="72"/>
      <c r="H9680" s="49"/>
      <c r="K9680"/>
      <c r="L9680" s="73"/>
    </row>
    <row r="9681" spans="1:12" x14ac:dyDescent="0.3">
      <c r="A9681"/>
      <c r="B9681" s="72"/>
      <c r="E9681" s="72"/>
      <c r="H9681" s="49"/>
      <c r="K9681"/>
      <c r="L9681" s="73"/>
    </row>
    <row r="9682" spans="1:12" x14ac:dyDescent="0.3">
      <c r="A9682"/>
      <c r="B9682" s="72"/>
      <c r="E9682" s="72"/>
      <c r="H9682" s="49"/>
      <c r="K9682"/>
      <c r="L9682" s="73"/>
    </row>
    <row r="9683" spans="1:12" x14ac:dyDescent="0.3">
      <c r="A9683"/>
      <c r="B9683" s="72"/>
      <c r="E9683" s="72"/>
      <c r="H9683" s="49"/>
      <c r="K9683"/>
      <c r="L9683" s="73"/>
    </row>
    <row r="9684" spans="1:12" x14ac:dyDescent="0.3">
      <c r="A9684"/>
      <c r="B9684" s="72"/>
      <c r="E9684" s="72"/>
      <c r="H9684" s="49"/>
      <c r="K9684"/>
      <c r="L9684" s="73"/>
    </row>
    <row r="9685" spans="1:12" x14ac:dyDescent="0.3">
      <c r="A9685"/>
      <c r="B9685" s="72"/>
      <c r="E9685" s="72"/>
      <c r="H9685" s="49"/>
      <c r="K9685"/>
      <c r="L9685" s="73"/>
    </row>
    <row r="9686" spans="1:12" x14ac:dyDescent="0.3">
      <c r="A9686"/>
      <c r="B9686" s="72"/>
      <c r="E9686" s="72"/>
      <c r="H9686" s="49"/>
      <c r="K9686"/>
      <c r="L9686" s="73"/>
    </row>
    <row r="9687" spans="1:12" x14ac:dyDescent="0.3">
      <c r="A9687"/>
      <c r="B9687" s="72"/>
      <c r="E9687" s="72"/>
      <c r="H9687" s="49"/>
      <c r="K9687"/>
      <c r="L9687" s="73"/>
    </row>
    <row r="9688" spans="1:12" x14ac:dyDescent="0.3">
      <c r="A9688"/>
      <c r="B9688" s="72"/>
      <c r="E9688" s="72"/>
      <c r="H9688" s="49"/>
      <c r="K9688"/>
      <c r="L9688" s="73"/>
    </row>
    <row r="9689" spans="1:12" x14ac:dyDescent="0.3">
      <c r="A9689"/>
      <c r="B9689" s="72"/>
      <c r="E9689" s="72"/>
      <c r="H9689" s="49"/>
      <c r="K9689"/>
      <c r="L9689" s="73"/>
    </row>
    <row r="9690" spans="1:12" x14ac:dyDescent="0.3">
      <c r="A9690"/>
      <c r="B9690" s="72"/>
      <c r="E9690" s="72"/>
      <c r="H9690" s="49"/>
      <c r="K9690"/>
      <c r="L9690" s="73"/>
    </row>
    <row r="9691" spans="1:12" x14ac:dyDescent="0.3">
      <c r="A9691"/>
      <c r="B9691" s="72"/>
      <c r="E9691" s="72"/>
      <c r="H9691" s="49"/>
      <c r="K9691"/>
      <c r="L9691" s="73"/>
    </row>
    <row r="9692" spans="1:12" x14ac:dyDescent="0.3">
      <c r="A9692"/>
      <c r="B9692" s="72"/>
      <c r="E9692" s="72"/>
      <c r="H9692" s="49"/>
      <c r="K9692"/>
      <c r="L9692" s="73"/>
    </row>
    <row r="9693" spans="1:12" x14ac:dyDescent="0.3">
      <c r="A9693"/>
      <c r="B9693" s="72"/>
      <c r="E9693" s="72"/>
      <c r="H9693" s="49"/>
      <c r="K9693"/>
      <c r="L9693" s="73"/>
    </row>
    <row r="9694" spans="1:12" x14ac:dyDescent="0.3">
      <c r="A9694"/>
      <c r="B9694" s="72"/>
      <c r="E9694" s="72"/>
      <c r="H9694" s="49"/>
      <c r="K9694"/>
      <c r="L9694" s="73"/>
    </row>
    <row r="9695" spans="1:12" x14ac:dyDescent="0.3">
      <c r="A9695"/>
      <c r="B9695" s="72"/>
      <c r="E9695" s="72"/>
      <c r="H9695" s="49"/>
      <c r="K9695"/>
      <c r="L9695" s="73"/>
    </row>
    <row r="9696" spans="1:12" x14ac:dyDescent="0.3">
      <c r="A9696"/>
      <c r="B9696" s="72"/>
      <c r="E9696" s="72"/>
      <c r="H9696" s="49"/>
      <c r="K9696"/>
      <c r="L9696" s="73"/>
    </row>
    <row r="9697" spans="1:12" x14ac:dyDescent="0.3">
      <c r="A9697"/>
      <c r="B9697" s="72"/>
      <c r="E9697" s="72"/>
      <c r="H9697" s="49"/>
      <c r="K9697"/>
      <c r="L9697" s="73"/>
    </row>
    <row r="9698" spans="1:12" x14ac:dyDescent="0.3">
      <c r="A9698"/>
      <c r="B9698" s="72"/>
      <c r="E9698" s="72"/>
      <c r="H9698" s="49"/>
      <c r="K9698"/>
      <c r="L9698" s="73"/>
    </row>
    <row r="9699" spans="1:12" x14ac:dyDescent="0.3">
      <c r="A9699"/>
      <c r="B9699" s="72"/>
      <c r="E9699" s="72"/>
      <c r="H9699" s="49"/>
      <c r="K9699"/>
      <c r="L9699" s="73"/>
    </row>
    <row r="9700" spans="1:12" x14ac:dyDescent="0.3">
      <c r="A9700"/>
      <c r="B9700" s="72"/>
      <c r="E9700" s="72"/>
      <c r="H9700" s="49"/>
      <c r="K9700"/>
      <c r="L9700" s="73"/>
    </row>
    <row r="9701" spans="1:12" x14ac:dyDescent="0.3">
      <c r="A9701"/>
      <c r="B9701" s="72"/>
      <c r="E9701" s="72"/>
      <c r="H9701" s="49"/>
      <c r="K9701"/>
      <c r="L9701" s="73"/>
    </row>
    <row r="9702" spans="1:12" x14ac:dyDescent="0.3">
      <c r="A9702"/>
      <c r="B9702" s="72"/>
      <c r="E9702" s="72"/>
      <c r="H9702" s="49"/>
      <c r="K9702"/>
      <c r="L9702" s="73"/>
    </row>
    <row r="9703" spans="1:12" x14ac:dyDescent="0.3">
      <c r="A9703"/>
      <c r="B9703" s="72"/>
      <c r="E9703" s="72"/>
      <c r="H9703" s="49"/>
      <c r="K9703"/>
      <c r="L9703" s="73"/>
    </row>
    <row r="9704" spans="1:12" x14ac:dyDescent="0.3">
      <c r="A9704"/>
      <c r="B9704" s="72"/>
      <c r="E9704" s="72"/>
      <c r="H9704" s="49"/>
      <c r="K9704"/>
      <c r="L9704" s="73"/>
    </row>
    <row r="9705" spans="1:12" x14ac:dyDescent="0.3">
      <c r="A9705"/>
      <c r="B9705" s="72"/>
      <c r="E9705" s="72"/>
      <c r="H9705" s="49"/>
      <c r="K9705"/>
      <c r="L9705" s="73"/>
    </row>
    <row r="9706" spans="1:12" x14ac:dyDescent="0.3">
      <c r="A9706"/>
      <c r="B9706" s="72"/>
      <c r="E9706" s="72"/>
      <c r="H9706" s="49"/>
      <c r="K9706"/>
      <c r="L9706" s="73"/>
    </row>
    <row r="9707" spans="1:12" x14ac:dyDescent="0.3">
      <c r="A9707"/>
      <c r="B9707" s="72"/>
      <c r="E9707" s="72"/>
      <c r="H9707" s="49"/>
      <c r="K9707"/>
      <c r="L9707" s="73"/>
    </row>
    <row r="9708" spans="1:12" x14ac:dyDescent="0.3">
      <c r="A9708"/>
      <c r="B9708" s="72"/>
      <c r="E9708" s="72"/>
      <c r="H9708" s="49"/>
      <c r="K9708"/>
      <c r="L9708" s="73"/>
    </row>
    <row r="9709" spans="1:12" x14ac:dyDescent="0.3">
      <c r="A9709"/>
      <c r="B9709" s="72"/>
      <c r="E9709" s="72"/>
      <c r="H9709" s="49"/>
      <c r="K9709"/>
      <c r="L9709" s="73"/>
    </row>
    <row r="9710" spans="1:12" x14ac:dyDescent="0.3">
      <c r="A9710"/>
      <c r="B9710" s="72"/>
      <c r="E9710" s="72"/>
      <c r="H9710" s="49"/>
      <c r="K9710"/>
      <c r="L9710" s="73"/>
    </row>
    <row r="9711" spans="1:12" x14ac:dyDescent="0.3">
      <c r="A9711"/>
      <c r="B9711" s="72"/>
      <c r="E9711" s="72"/>
      <c r="H9711" s="49"/>
      <c r="K9711"/>
      <c r="L9711" s="73"/>
    </row>
    <row r="9712" spans="1:12" x14ac:dyDescent="0.3">
      <c r="A9712"/>
      <c r="B9712" s="72"/>
      <c r="E9712" s="72"/>
      <c r="H9712" s="49"/>
      <c r="K9712"/>
      <c r="L9712" s="73"/>
    </row>
    <row r="9713" spans="1:12" x14ac:dyDescent="0.3">
      <c r="A9713"/>
      <c r="B9713" s="72"/>
      <c r="E9713" s="72"/>
      <c r="H9713" s="49"/>
      <c r="K9713"/>
      <c r="L9713" s="73"/>
    </row>
    <row r="9714" spans="1:12" x14ac:dyDescent="0.3">
      <c r="A9714"/>
      <c r="B9714" s="72"/>
      <c r="E9714" s="72"/>
      <c r="H9714" s="49"/>
      <c r="K9714"/>
      <c r="L9714" s="73"/>
    </row>
    <row r="9715" spans="1:12" x14ac:dyDescent="0.3">
      <c r="A9715"/>
      <c r="B9715" s="72"/>
      <c r="E9715" s="72"/>
      <c r="H9715" s="49"/>
      <c r="K9715"/>
      <c r="L9715" s="73"/>
    </row>
    <row r="9716" spans="1:12" x14ac:dyDescent="0.3">
      <c r="A9716"/>
      <c r="B9716" s="72"/>
      <c r="E9716" s="72"/>
      <c r="H9716" s="49"/>
      <c r="K9716"/>
      <c r="L9716" s="73"/>
    </row>
    <row r="9717" spans="1:12" x14ac:dyDescent="0.3">
      <c r="A9717"/>
      <c r="B9717" s="72"/>
      <c r="E9717" s="72"/>
      <c r="H9717" s="49"/>
      <c r="K9717"/>
      <c r="L9717" s="73"/>
    </row>
    <row r="9718" spans="1:12" x14ac:dyDescent="0.3">
      <c r="A9718"/>
      <c r="B9718" s="72"/>
      <c r="E9718" s="72"/>
      <c r="H9718" s="49"/>
      <c r="K9718"/>
      <c r="L9718" s="73"/>
    </row>
    <row r="9719" spans="1:12" x14ac:dyDescent="0.3">
      <c r="A9719"/>
      <c r="B9719" s="72"/>
      <c r="E9719" s="72"/>
      <c r="H9719" s="49"/>
      <c r="K9719"/>
      <c r="L9719" s="73"/>
    </row>
    <row r="9720" spans="1:12" x14ac:dyDescent="0.3">
      <c r="A9720"/>
      <c r="B9720" s="72"/>
      <c r="E9720" s="72"/>
      <c r="H9720" s="49"/>
      <c r="K9720"/>
      <c r="L9720" s="73"/>
    </row>
    <row r="9721" spans="1:12" x14ac:dyDescent="0.3">
      <c r="A9721"/>
      <c r="B9721" s="72"/>
      <c r="E9721" s="72"/>
      <c r="H9721" s="49"/>
      <c r="K9721"/>
      <c r="L9721" s="73"/>
    </row>
    <row r="9722" spans="1:12" x14ac:dyDescent="0.3">
      <c r="A9722"/>
      <c r="B9722" s="72"/>
      <c r="E9722" s="72"/>
      <c r="H9722" s="49"/>
      <c r="K9722"/>
      <c r="L9722" s="73"/>
    </row>
    <row r="9723" spans="1:12" x14ac:dyDescent="0.3">
      <c r="A9723"/>
      <c r="B9723" s="72"/>
      <c r="E9723" s="72"/>
      <c r="H9723" s="49"/>
      <c r="K9723"/>
      <c r="L9723" s="73"/>
    </row>
    <row r="9724" spans="1:12" x14ac:dyDescent="0.3">
      <c r="A9724"/>
      <c r="B9724" s="72"/>
      <c r="E9724" s="72"/>
      <c r="H9724" s="49"/>
      <c r="K9724"/>
      <c r="L9724" s="73"/>
    </row>
    <row r="9725" spans="1:12" x14ac:dyDescent="0.3">
      <c r="A9725"/>
      <c r="B9725" s="72"/>
      <c r="E9725" s="72"/>
      <c r="H9725" s="49"/>
      <c r="K9725"/>
      <c r="L9725" s="73"/>
    </row>
    <row r="9726" spans="1:12" x14ac:dyDescent="0.3">
      <c r="A9726"/>
      <c r="B9726" s="72"/>
      <c r="E9726" s="72"/>
      <c r="H9726" s="49"/>
      <c r="K9726"/>
      <c r="L9726" s="73"/>
    </row>
    <row r="9727" spans="1:12" x14ac:dyDescent="0.3">
      <c r="A9727"/>
      <c r="B9727" s="72"/>
      <c r="E9727" s="72"/>
      <c r="H9727" s="49"/>
      <c r="K9727"/>
      <c r="L9727" s="73"/>
    </row>
    <row r="9728" spans="1:12" x14ac:dyDescent="0.3">
      <c r="A9728"/>
      <c r="B9728" s="72"/>
      <c r="E9728" s="72"/>
      <c r="H9728" s="49"/>
      <c r="K9728"/>
      <c r="L9728" s="73"/>
    </row>
    <row r="9729" spans="1:12" x14ac:dyDescent="0.3">
      <c r="A9729"/>
      <c r="B9729" s="72"/>
      <c r="E9729" s="72"/>
      <c r="H9729" s="49"/>
      <c r="K9729"/>
      <c r="L9729" s="73"/>
    </row>
    <row r="9730" spans="1:12" x14ac:dyDescent="0.3">
      <c r="A9730"/>
      <c r="B9730" s="72"/>
      <c r="E9730" s="72"/>
      <c r="H9730" s="49"/>
      <c r="K9730"/>
      <c r="L9730" s="73"/>
    </row>
    <row r="9731" spans="1:12" x14ac:dyDescent="0.3">
      <c r="A9731"/>
      <c r="B9731" s="72"/>
      <c r="E9731" s="72"/>
      <c r="H9731" s="49"/>
      <c r="K9731"/>
      <c r="L9731" s="73"/>
    </row>
    <row r="9732" spans="1:12" x14ac:dyDescent="0.3">
      <c r="A9732"/>
      <c r="B9732" s="72"/>
      <c r="E9732" s="72"/>
      <c r="H9732" s="49"/>
      <c r="K9732"/>
      <c r="L9732" s="73"/>
    </row>
    <row r="9733" spans="1:12" x14ac:dyDescent="0.3">
      <c r="A9733"/>
      <c r="B9733" s="72"/>
      <c r="E9733" s="72"/>
      <c r="H9733" s="49"/>
      <c r="K9733"/>
      <c r="L9733" s="73"/>
    </row>
    <row r="9734" spans="1:12" x14ac:dyDescent="0.3">
      <c r="A9734"/>
      <c r="B9734" s="72"/>
      <c r="E9734" s="72"/>
      <c r="H9734" s="49"/>
      <c r="K9734"/>
      <c r="L9734" s="73"/>
    </row>
    <row r="9735" spans="1:12" x14ac:dyDescent="0.3">
      <c r="A9735"/>
      <c r="B9735" s="72"/>
      <c r="E9735" s="72"/>
      <c r="H9735" s="49"/>
      <c r="K9735"/>
      <c r="L9735" s="73"/>
    </row>
    <row r="9736" spans="1:12" x14ac:dyDescent="0.3">
      <c r="A9736"/>
      <c r="B9736" s="72"/>
      <c r="E9736" s="72"/>
      <c r="H9736" s="49"/>
      <c r="K9736"/>
      <c r="L9736" s="73"/>
    </row>
    <row r="9737" spans="1:12" x14ac:dyDescent="0.3">
      <c r="A9737"/>
      <c r="B9737" s="72"/>
      <c r="E9737" s="72"/>
      <c r="H9737" s="49"/>
      <c r="K9737"/>
      <c r="L9737" s="73"/>
    </row>
    <row r="9738" spans="1:12" x14ac:dyDescent="0.3">
      <c r="A9738"/>
      <c r="B9738" s="72"/>
      <c r="E9738" s="72"/>
      <c r="H9738" s="49"/>
      <c r="K9738"/>
      <c r="L9738" s="73"/>
    </row>
    <row r="9739" spans="1:12" x14ac:dyDescent="0.3">
      <c r="A9739"/>
      <c r="B9739" s="72"/>
      <c r="E9739" s="72"/>
      <c r="H9739" s="49"/>
      <c r="K9739"/>
      <c r="L9739" s="73"/>
    </row>
    <row r="9740" spans="1:12" x14ac:dyDescent="0.3">
      <c r="A9740"/>
      <c r="B9740" s="72"/>
      <c r="E9740" s="72"/>
      <c r="H9740" s="49"/>
      <c r="K9740"/>
      <c r="L9740" s="73"/>
    </row>
    <row r="9741" spans="1:12" x14ac:dyDescent="0.3">
      <c r="A9741"/>
      <c r="B9741" s="72"/>
      <c r="E9741" s="72"/>
      <c r="H9741" s="49"/>
      <c r="K9741"/>
      <c r="L9741" s="73"/>
    </row>
    <row r="9742" spans="1:12" x14ac:dyDescent="0.3">
      <c r="A9742"/>
      <c r="B9742" s="72"/>
      <c r="E9742" s="72"/>
      <c r="H9742" s="49"/>
      <c r="K9742"/>
      <c r="L9742" s="73"/>
    </row>
    <row r="9743" spans="1:12" x14ac:dyDescent="0.3">
      <c r="A9743"/>
      <c r="B9743" s="72"/>
      <c r="E9743" s="72"/>
      <c r="H9743" s="49"/>
      <c r="K9743"/>
      <c r="L9743" s="73"/>
    </row>
    <row r="9744" spans="1:12" x14ac:dyDescent="0.3">
      <c r="A9744"/>
      <c r="B9744" s="72"/>
      <c r="E9744" s="72"/>
      <c r="H9744" s="49"/>
      <c r="K9744"/>
      <c r="L9744" s="73"/>
    </row>
    <row r="9745" spans="1:12" x14ac:dyDescent="0.3">
      <c r="A9745"/>
      <c r="B9745" s="72"/>
      <c r="E9745" s="72"/>
      <c r="H9745" s="49"/>
      <c r="K9745"/>
      <c r="L9745" s="73"/>
    </row>
    <row r="9746" spans="1:12" x14ac:dyDescent="0.3">
      <c r="A9746"/>
      <c r="B9746" s="72"/>
      <c r="E9746" s="72"/>
      <c r="H9746" s="49"/>
      <c r="K9746"/>
      <c r="L9746" s="73"/>
    </row>
    <row r="9747" spans="1:12" x14ac:dyDescent="0.3">
      <c r="A9747"/>
      <c r="B9747" s="72"/>
      <c r="E9747" s="72"/>
      <c r="H9747" s="49"/>
      <c r="K9747"/>
      <c r="L9747" s="73"/>
    </row>
    <row r="9748" spans="1:12" x14ac:dyDescent="0.3">
      <c r="A9748"/>
      <c r="B9748" s="72"/>
      <c r="E9748" s="72"/>
      <c r="H9748" s="49"/>
      <c r="K9748"/>
      <c r="L9748" s="73"/>
    </row>
    <row r="9749" spans="1:12" x14ac:dyDescent="0.3">
      <c r="A9749"/>
      <c r="B9749" s="72"/>
      <c r="E9749" s="72"/>
      <c r="H9749" s="49"/>
      <c r="K9749"/>
      <c r="L9749" s="73"/>
    </row>
    <row r="9750" spans="1:12" x14ac:dyDescent="0.3">
      <c r="A9750"/>
      <c r="B9750" s="72"/>
      <c r="E9750" s="72"/>
      <c r="H9750" s="49"/>
      <c r="K9750"/>
      <c r="L9750" s="73"/>
    </row>
    <row r="9751" spans="1:12" x14ac:dyDescent="0.3">
      <c r="A9751"/>
      <c r="B9751" s="72"/>
      <c r="E9751" s="72"/>
      <c r="H9751" s="49"/>
      <c r="K9751"/>
      <c r="L9751" s="73"/>
    </row>
    <row r="9752" spans="1:12" x14ac:dyDescent="0.3">
      <c r="A9752"/>
      <c r="B9752" s="72"/>
      <c r="E9752" s="72"/>
      <c r="H9752" s="49"/>
      <c r="K9752"/>
      <c r="L9752" s="73"/>
    </row>
    <row r="9753" spans="1:12" x14ac:dyDescent="0.3">
      <c r="A9753"/>
      <c r="B9753" s="72"/>
      <c r="E9753" s="72"/>
      <c r="H9753" s="49"/>
      <c r="K9753"/>
      <c r="L9753" s="73"/>
    </row>
    <row r="9754" spans="1:12" x14ac:dyDescent="0.3">
      <c r="A9754"/>
      <c r="B9754" s="72"/>
      <c r="E9754" s="72"/>
      <c r="H9754" s="49"/>
      <c r="K9754"/>
      <c r="L9754" s="73"/>
    </row>
    <row r="9755" spans="1:12" x14ac:dyDescent="0.3">
      <c r="A9755"/>
      <c r="B9755" s="72"/>
      <c r="E9755" s="72"/>
      <c r="H9755" s="49"/>
      <c r="K9755"/>
      <c r="L9755" s="73"/>
    </row>
    <row r="9756" spans="1:12" x14ac:dyDescent="0.3">
      <c r="A9756"/>
      <c r="B9756" s="72"/>
      <c r="E9756" s="72"/>
      <c r="H9756" s="49"/>
      <c r="K9756"/>
      <c r="L9756" s="73"/>
    </row>
    <row r="9757" spans="1:12" x14ac:dyDescent="0.3">
      <c r="A9757"/>
      <c r="B9757" s="72"/>
      <c r="E9757" s="72"/>
      <c r="H9757" s="49"/>
      <c r="K9757"/>
      <c r="L9757" s="73"/>
    </row>
    <row r="9758" spans="1:12" x14ac:dyDescent="0.3">
      <c r="A9758"/>
      <c r="B9758" s="72"/>
      <c r="E9758" s="72"/>
      <c r="H9758" s="49"/>
      <c r="K9758"/>
      <c r="L9758" s="73"/>
    </row>
    <row r="9759" spans="1:12" x14ac:dyDescent="0.3">
      <c r="A9759"/>
      <c r="B9759" s="72"/>
      <c r="E9759" s="72"/>
      <c r="H9759" s="49"/>
      <c r="K9759"/>
      <c r="L9759" s="73"/>
    </row>
    <row r="9760" spans="1:12" x14ac:dyDescent="0.3">
      <c r="A9760"/>
      <c r="B9760" s="72"/>
      <c r="E9760" s="72"/>
      <c r="H9760" s="49"/>
      <c r="K9760"/>
      <c r="L9760" s="73"/>
    </row>
    <row r="9761" spans="1:12" x14ac:dyDescent="0.3">
      <c r="A9761"/>
      <c r="B9761" s="72"/>
      <c r="E9761" s="72"/>
      <c r="H9761" s="49"/>
      <c r="K9761"/>
      <c r="L9761" s="73"/>
    </row>
    <row r="9762" spans="1:12" x14ac:dyDescent="0.3">
      <c r="A9762"/>
      <c r="B9762" s="72"/>
      <c r="E9762" s="72"/>
      <c r="H9762" s="49"/>
      <c r="K9762"/>
      <c r="L9762" s="73"/>
    </row>
    <row r="9763" spans="1:12" x14ac:dyDescent="0.3">
      <c r="A9763"/>
      <c r="B9763" s="72"/>
      <c r="E9763" s="72"/>
      <c r="H9763" s="49"/>
      <c r="K9763"/>
      <c r="L9763" s="73"/>
    </row>
    <row r="9764" spans="1:12" x14ac:dyDescent="0.3">
      <c r="A9764"/>
      <c r="B9764" s="72"/>
      <c r="E9764" s="72"/>
      <c r="H9764" s="49"/>
      <c r="K9764"/>
      <c r="L9764" s="73"/>
    </row>
    <row r="9765" spans="1:12" x14ac:dyDescent="0.3">
      <c r="A9765"/>
      <c r="B9765" s="72"/>
      <c r="E9765" s="72"/>
      <c r="H9765" s="49"/>
      <c r="K9765"/>
      <c r="L9765" s="73"/>
    </row>
    <row r="9766" spans="1:12" x14ac:dyDescent="0.3">
      <c r="A9766"/>
      <c r="B9766" s="72"/>
      <c r="E9766" s="72"/>
      <c r="H9766" s="49"/>
      <c r="K9766"/>
      <c r="L9766" s="73"/>
    </row>
    <row r="9767" spans="1:12" x14ac:dyDescent="0.3">
      <c r="A9767"/>
      <c r="B9767" s="72"/>
      <c r="E9767" s="72"/>
      <c r="H9767" s="49"/>
      <c r="K9767"/>
      <c r="L9767" s="73"/>
    </row>
    <row r="9768" spans="1:12" x14ac:dyDescent="0.3">
      <c r="A9768"/>
      <c r="B9768" s="72"/>
      <c r="E9768" s="72"/>
      <c r="H9768" s="49"/>
      <c r="K9768"/>
      <c r="L9768" s="73"/>
    </row>
    <row r="9769" spans="1:12" x14ac:dyDescent="0.3">
      <c r="A9769"/>
      <c r="B9769" s="72"/>
      <c r="E9769" s="72"/>
      <c r="H9769" s="49"/>
      <c r="K9769"/>
      <c r="L9769" s="73"/>
    </row>
    <row r="9770" spans="1:12" x14ac:dyDescent="0.3">
      <c r="A9770"/>
      <c r="B9770" s="72"/>
      <c r="E9770" s="72"/>
      <c r="H9770" s="49"/>
      <c r="K9770"/>
      <c r="L9770" s="73"/>
    </row>
    <row r="9771" spans="1:12" x14ac:dyDescent="0.3">
      <c r="A9771"/>
      <c r="B9771" s="72"/>
      <c r="E9771" s="72"/>
      <c r="H9771" s="49"/>
      <c r="K9771"/>
      <c r="L9771" s="73"/>
    </row>
    <row r="9772" spans="1:12" x14ac:dyDescent="0.3">
      <c r="A9772"/>
      <c r="B9772" s="72"/>
      <c r="E9772" s="72"/>
      <c r="H9772" s="49"/>
      <c r="K9772"/>
      <c r="L9772" s="73"/>
    </row>
    <row r="9773" spans="1:12" x14ac:dyDescent="0.3">
      <c r="A9773"/>
      <c r="B9773" s="72"/>
      <c r="E9773" s="72"/>
      <c r="H9773" s="49"/>
      <c r="K9773"/>
      <c r="L9773" s="73"/>
    </row>
    <row r="9774" spans="1:12" x14ac:dyDescent="0.3">
      <c r="A9774"/>
      <c r="B9774" s="72"/>
      <c r="E9774" s="72"/>
      <c r="H9774" s="49"/>
      <c r="K9774"/>
      <c r="L9774" s="73"/>
    </row>
    <row r="9775" spans="1:12" x14ac:dyDescent="0.3">
      <c r="A9775"/>
      <c r="B9775" s="72"/>
      <c r="E9775" s="72"/>
      <c r="H9775" s="49"/>
      <c r="K9775"/>
      <c r="L9775" s="73"/>
    </row>
    <row r="9776" spans="1:12" x14ac:dyDescent="0.3">
      <c r="A9776"/>
      <c r="B9776" s="72"/>
      <c r="E9776" s="72"/>
      <c r="H9776" s="49"/>
      <c r="K9776"/>
      <c r="L9776" s="73"/>
    </row>
    <row r="9777" spans="1:12" x14ac:dyDescent="0.3">
      <c r="A9777"/>
      <c r="B9777" s="72"/>
      <c r="E9777" s="72"/>
      <c r="H9777" s="49"/>
      <c r="K9777"/>
      <c r="L9777" s="73"/>
    </row>
    <row r="9778" spans="1:12" x14ac:dyDescent="0.3">
      <c r="A9778"/>
      <c r="B9778" s="72"/>
      <c r="E9778" s="72"/>
      <c r="H9778" s="49"/>
      <c r="K9778"/>
      <c r="L9778" s="73"/>
    </row>
    <row r="9779" spans="1:12" x14ac:dyDescent="0.3">
      <c r="A9779"/>
      <c r="B9779" s="72"/>
      <c r="E9779" s="72"/>
      <c r="H9779" s="49"/>
      <c r="K9779"/>
      <c r="L9779" s="73"/>
    </row>
    <row r="9780" spans="1:12" x14ac:dyDescent="0.3">
      <c r="A9780"/>
      <c r="B9780" s="72"/>
      <c r="E9780" s="72"/>
      <c r="H9780" s="49"/>
      <c r="K9780"/>
      <c r="L9780" s="73"/>
    </row>
    <row r="9781" spans="1:12" x14ac:dyDescent="0.3">
      <c r="A9781"/>
      <c r="B9781" s="72"/>
      <c r="E9781" s="72"/>
      <c r="H9781" s="49"/>
      <c r="K9781"/>
      <c r="L9781" s="73"/>
    </row>
    <row r="9782" spans="1:12" x14ac:dyDescent="0.3">
      <c r="A9782"/>
      <c r="B9782" s="72"/>
      <c r="E9782" s="72"/>
      <c r="H9782" s="49"/>
      <c r="K9782"/>
      <c r="L9782" s="73"/>
    </row>
    <row r="9783" spans="1:12" x14ac:dyDescent="0.3">
      <c r="A9783"/>
      <c r="B9783" s="72"/>
      <c r="E9783" s="72"/>
      <c r="H9783" s="49"/>
      <c r="K9783"/>
      <c r="L9783" s="73"/>
    </row>
    <row r="9784" spans="1:12" x14ac:dyDescent="0.3">
      <c r="A9784"/>
      <c r="B9784" s="72"/>
      <c r="E9784" s="72"/>
      <c r="H9784" s="49"/>
      <c r="K9784"/>
      <c r="L9784" s="73"/>
    </row>
    <row r="9785" spans="1:12" x14ac:dyDescent="0.3">
      <c r="A9785"/>
      <c r="B9785" s="72"/>
      <c r="E9785" s="72"/>
      <c r="H9785" s="49"/>
      <c r="K9785"/>
      <c r="L9785" s="73"/>
    </row>
    <row r="9786" spans="1:12" x14ac:dyDescent="0.3">
      <c r="A9786"/>
      <c r="B9786" s="72"/>
      <c r="E9786" s="72"/>
      <c r="H9786" s="49"/>
      <c r="K9786"/>
      <c r="L9786" s="73"/>
    </row>
    <row r="9787" spans="1:12" x14ac:dyDescent="0.3">
      <c r="A9787"/>
      <c r="B9787" s="72"/>
      <c r="E9787" s="72"/>
      <c r="H9787" s="49"/>
      <c r="K9787"/>
      <c r="L9787" s="73"/>
    </row>
    <row r="9788" spans="1:12" x14ac:dyDescent="0.3">
      <c r="A9788"/>
      <c r="B9788" s="72"/>
      <c r="E9788" s="72"/>
      <c r="H9788" s="49"/>
      <c r="K9788"/>
      <c r="L9788" s="73"/>
    </row>
    <row r="9789" spans="1:12" x14ac:dyDescent="0.3">
      <c r="A9789"/>
      <c r="B9789" s="72"/>
      <c r="E9789" s="72"/>
      <c r="H9789" s="49"/>
      <c r="K9789"/>
      <c r="L9789" s="73"/>
    </row>
    <row r="9790" spans="1:12" x14ac:dyDescent="0.3">
      <c r="A9790"/>
      <c r="B9790" s="72"/>
      <c r="E9790" s="72"/>
      <c r="H9790" s="49"/>
      <c r="K9790"/>
      <c r="L9790" s="73"/>
    </row>
    <row r="9791" spans="1:12" x14ac:dyDescent="0.3">
      <c r="A9791"/>
      <c r="B9791" s="72"/>
      <c r="E9791" s="72"/>
      <c r="H9791" s="49"/>
      <c r="K9791"/>
      <c r="L9791" s="73"/>
    </row>
    <row r="9792" spans="1:12" x14ac:dyDescent="0.3">
      <c r="A9792"/>
      <c r="B9792" s="72"/>
      <c r="E9792" s="72"/>
      <c r="H9792" s="49"/>
      <c r="K9792"/>
      <c r="L9792" s="73"/>
    </row>
    <row r="9793" spans="1:12" x14ac:dyDescent="0.3">
      <c r="A9793"/>
      <c r="B9793" s="72"/>
      <c r="E9793" s="72"/>
      <c r="H9793" s="49"/>
      <c r="K9793"/>
      <c r="L9793" s="73"/>
    </row>
    <row r="9794" spans="1:12" x14ac:dyDescent="0.3">
      <c r="A9794"/>
      <c r="B9794" s="72"/>
      <c r="E9794" s="72"/>
      <c r="H9794" s="49"/>
      <c r="K9794"/>
      <c r="L9794" s="73"/>
    </row>
    <row r="9795" spans="1:12" x14ac:dyDescent="0.3">
      <c r="A9795"/>
      <c r="B9795" s="72"/>
      <c r="E9795" s="72"/>
      <c r="H9795" s="49"/>
      <c r="K9795"/>
      <c r="L9795" s="73"/>
    </row>
    <row r="9796" spans="1:12" x14ac:dyDescent="0.3">
      <c r="A9796"/>
      <c r="B9796" s="72"/>
      <c r="E9796" s="72"/>
      <c r="H9796" s="49"/>
      <c r="K9796"/>
      <c r="L9796" s="73"/>
    </row>
    <row r="9797" spans="1:12" x14ac:dyDescent="0.3">
      <c r="A9797"/>
      <c r="B9797" s="72"/>
      <c r="E9797" s="72"/>
      <c r="H9797" s="49"/>
      <c r="K9797"/>
      <c r="L9797" s="73"/>
    </row>
    <row r="9798" spans="1:12" x14ac:dyDescent="0.3">
      <c r="A9798"/>
      <c r="B9798" s="72"/>
      <c r="E9798" s="72"/>
      <c r="H9798" s="49"/>
      <c r="K9798"/>
      <c r="L9798" s="73"/>
    </row>
    <row r="9799" spans="1:12" x14ac:dyDescent="0.3">
      <c r="A9799"/>
      <c r="B9799" s="72"/>
      <c r="E9799" s="72"/>
      <c r="H9799" s="49"/>
      <c r="K9799"/>
      <c r="L9799" s="73"/>
    </row>
    <row r="9800" spans="1:12" x14ac:dyDescent="0.3">
      <c r="A9800"/>
      <c r="B9800" s="72"/>
      <c r="E9800" s="72"/>
      <c r="H9800" s="49"/>
      <c r="K9800"/>
      <c r="L9800" s="73"/>
    </row>
    <row r="9801" spans="1:12" x14ac:dyDescent="0.3">
      <c r="A9801"/>
      <c r="B9801" s="72"/>
      <c r="E9801" s="72"/>
      <c r="H9801" s="49"/>
      <c r="K9801"/>
      <c r="L9801" s="73"/>
    </row>
    <row r="9802" spans="1:12" x14ac:dyDescent="0.3">
      <c r="A9802"/>
      <c r="B9802" s="72"/>
      <c r="E9802" s="72"/>
      <c r="H9802" s="49"/>
      <c r="K9802"/>
      <c r="L9802" s="73"/>
    </row>
    <row r="9803" spans="1:12" x14ac:dyDescent="0.3">
      <c r="A9803"/>
      <c r="B9803" s="72"/>
      <c r="E9803" s="72"/>
      <c r="H9803" s="49"/>
      <c r="K9803"/>
      <c r="L9803" s="73"/>
    </row>
    <row r="9804" spans="1:12" x14ac:dyDescent="0.3">
      <c r="A9804"/>
      <c r="B9804" s="72"/>
      <c r="E9804" s="72"/>
      <c r="H9804" s="49"/>
      <c r="K9804"/>
      <c r="L9804" s="73"/>
    </row>
    <row r="9805" spans="1:12" x14ac:dyDescent="0.3">
      <c r="A9805"/>
      <c r="B9805" s="72"/>
      <c r="E9805" s="72"/>
      <c r="H9805" s="49"/>
      <c r="K9805"/>
      <c r="L9805" s="73"/>
    </row>
    <row r="9806" spans="1:12" x14ac:dyDescent="0.3">
      <c r="A9806"/>
      <c r="B9806" s="72"/>
      <c r="E9806" s="72"/>
      <c r="H9806" s="49"/>
      <c r="K9806"/>
      <c r="L9806" s="73"/>
    </row>
    <row r="9807" spans="1:12" x14ac:dyDescent="0.3">
      <c r="A9807"/>
      <c r="B9807" s="72"/>
      <c r="E9807" s="72"/>
      <c r="H9807" s="49"/>
      <c r="K9807"/>
      <c r="L9807" s="73"/>
    </row>
    <row r="9808" spans="1:12" x14ac:dyDescent="0.3">
      <c r="A9808"/>
      <c r="B9808" s="72"/>
      <c r="E9808" s="72"/>
      <c r="H9808" s="49"/>
      <c r="K9808"/>
      <c r="L9808" s="73"/>
    </row>
    <row r="9809" spans="1:12" x14ac:dyDescent="0.3">
      <c r="A9809"/>
      <c r="B9809" s="72"/>
      <c r="E9809" s="72"/>
      <c r="H9809" s="49"/>
      <c r="K9809"/>
      <c r="L9809" s="73"/>
    </row>
    <row r="9810" spans="1:12" x14ac:dyDescent="0.3">
      <c r="A9810"/>
      <c r="B9810" s="72"/>
      <c r="E9810" s="72"/>
      <c r="H9810" s="49"/>
      <c r="K9810"/>
      <c r="L9810" s="73"/>
    </row>
    <row r="9811" spans="1:12" x14ac:dyDescent="0.3">
      <c r="A9811"/>
      <c r="B9811" s="72"/>
      <c r="E9811" s="72"/>
      <c r="H9811" s="49"/>
      <c r="K9811"/>
      <c r="L9811" s="73"/>
    </row>
    <row r="9812" spans="1:12" x14ac:dyDescent="0.3">
      <c r="A9812"/>
      <c r="B9812" s="72"/>
      <c r="E9812" s="72"/>
      <c r="H9812" s="49"/>
      <c r="K9812"/>
      <c r="L9812" s="73"/>
    </row>
    <row r="9813" spans="1:12" x14ac:dyDescent="0.3">
      <c r="A9813"/>
      <c r="B9813" s="72"/>
      <c r="E9813" s="72"/>
      <c r="H9813" s="49"/>
      <c r="K9813"/>
      <c r="L9813" s="73"/>
    </row>
    <row r="9814" spans="1:12" x14ac:dyDescent="0.3">
      <c r="A9814"/>
      <c r="B9814" s="72"/>
      <c r="E9814" s="72"/>
      <c r="H9814" s="49"/>
      <c r="K9814"/>
      <c r="L9814" s="73"/>
    </row>
    <row r="9815" spans="1:12" x14ac:dyDescent="0.3">
      <c r="A9815"/>
      <c r="B9815" s="72"/>
      <c r="E9815" s="72"/>
      <c r="H9815" s="49"/>
      <c r="K9815"/>
      <c r="L9815" s="73"/>
    </row>
    <row r="9816" spans="1:12" x14ac:dyDescent="0.3">
      <c r="A9816"/>
      <c r="B9816" s="72"/>
      <c r="E9816" s="72"/>
      <c r="H9816" s="49"/>
      <c r="K9816"/>
      <c r="L9816" s="73"/>
    </row>
    <row r="9817" spans="1:12" x14ac:dyDescent="0.3">
      <c r="A9817"/>
      <c r="B9817" s="72"/>
      <c r="E9817" s="72"/>
      <c r="H9817" s="49"/>
      <c r="K9817"/>
      <c r="L9817" s="73"/>
    </row>
    <row r="9818" spans="1:12" x14ac:dyDescent="0.3">
      <c r="A9818"/>
      <c r="B9818" s="72"/>
      <c r="E9818" s="72"/>
      <c r="H9818" s="49"/>
      <c r="K9818"/>
      <c r="L9818" s="73"/>
    </row>
    <row r="9819" spans="1:12" x14ac:dyDescent="0.3">
      <c r="A9819"/>
      <c r="B9819" s="72"/>
      <c r="E9819" s="72"/>
      <c r="H9819" s="49"/>
      <c r="K9819"/>
      <c r="L9819" s="73"/>
    </row>
    <row r="9820" spans="1:12" x14ac:dyDescent="0.3">
      <c r="A9820"/>
      <c r="B9820" s="72"/>
      <c r="E9820" s="72"/>
      <c r="H9820" s="49"/>
      <c r="K9820"/>
      <c r="L9820" s="73"/>
    </row>
    <row r="9821" spans="1:12" x14ac:dyDescent="0.3">
      <c r="A9821"/>
      <c r="B9821" s="72"/>
      <c r="E9821" s="72"/>
      <c r="H9821" s="49"/>
      <c r="K9821"/>
      <c r="L9821" s="73"/>
    </row>
    <row r="9822" spans="1:12" x14ac:dyDescent="0.3">
      <c r="A9822"/>
      <c r="B9822" s="72"/>
      <c r="E9822" s="72"/>
      <c r="H9822" s="49"/>
      <c r="K9822"/>
      <c r="L9822" s="73"/>
    </row>
    <row r="9823" spans="1:12" x14ac:dyDescent="0.3">
      <c r="A9823"/>
      <c r="B9823" s="72"/>
      <c r="E9823" s="72"/>
      <c r="H9823" s="49"/>
      <c r="K9823"/>
      <c r="L9823" s="73"/>
    </row>
    <row r="9824" spans="1:12" x14ac:dyDescent="0.3">
      <c r="A9824"/>
      <c r="B9824" s="72"/>
      <c r="E9824" s="72"/>
      <c r="H9824" s="49"/>
      <c r="K9824"/>
      <c r="L9824" s="73"/>
    </row>
    <row r="9825" spans="1:12" x14ac:dyDescent="0.3">
      <c r="A9825"/>
      <c r="B9825" s="72"/>
      <c r="E9825" s="72"/>
      <c r="H9825" s="49"/>
      <c r="K9825"/>
      <c r="L9825" s="73"/>
    </row>
    <row r="9826" spans="1:12" x14ac:dyDescent="0.3">
      <c r="A9826"/>
      <c r="B9826" s="72"/>
      <c r="E9826" s="72"/>
      <c r="H9826" s="49"/>
      <c r="K9826"/>
      <c r="L9826" s="73"/>
    </row>
    <row r="9827" spans="1:12" x14ac:dyDescent="0.3">
      <c r="A9827"/>
      <c r="B9827" s="72"/>
      <c r="E9827" s="72"/>
      <c r="H9827" s="49"/>
      <c r="K9827"/>
      <c r="L9827" s="73"/>
    </row>
    <row r="9828" spans="1:12" x14ac:dyDescent="0.3">
      <c r="A9828"/>
      <c r="B9828" s="72"/>
      <c r="E9828" s="72"/>
      <c r="H9828" s="49"/>
      <c r="K9828"/>
      <c r="L9828" s="73"/>
    </row>
    <row r="9829" spans="1:12" x14ac:dyDescent="0.3">
      <c r="A9829"/>
      <c r="B9829" s="72"/>
      <c r="E9829" s="72"/>
      <c r="H9829" s="49"/>
      <c r="K9829"/>
      <c r="L9829" s="73"/>
    </row>
    <row r="9830" spans="1:12" x14ac:dyDescent="0.3">
      <c r="A9830"/>
      <c r="B9830" s="72"/>
      <c r="E9830" s="72"/>
      <c r="H9830" s="49"/>
      <c r="K9830"/>
      <c r="L9830" s="73"/>
    </row>
    <row r="9831" spans="1:12" x14ac:dyDescent="0.3">
      <c r="A9831"/>
      <c r="B9831" s="72"/>
      <c r="E9831" s="72"/>
      <c r="H9831" s="49"/>
      <c r="K9831"/>
      <c r="L9831" s="73"/>
    </row>
    <row r="9832" spans="1:12" x14ac:dyDescent="0.3">
      <c r="A9832"/>
      <c r="B9832" s="72"/>
      <c r="E9832" s="72"/>
      <c r="H9832" s="49"/>
      <c r="K9832"/>
      <c r="L9832" s="73"/>
    </row>
    <row r="9833" spans="1:12" x14ac:dyDescent="0.3">
      <c r="A9833"/>
      <c r="B9833" s="72"/>
      <c r="E9833" s="72"/>
      <c r="H9833" s="49"/>
      <c r="K9833"/>
      <c r="L9833" s="73"/>
    </row>
    <row r="9834" spans="1:12" x14ac:dyDescent="0.3">
      <c r="A9834"/>
      <c r="B9834" s="72"/>
      <c r="E9834" s="72"/>
      <c r="H9834" s="49"/>
      <c r="K9834"/>
      <c r="L9834" s="73"/>
    </row>
    <row r="9835" spans="1:12" x14ac:dyDescent="0.3">
      <c r="A9835"/>
      <c r="B9835" s="72"/>
      <c r="E9835" s="72"/>
      <c r="H9835" s="49"/>
      <c r="K9835"/>
      <c r="L9835" s="73"/>
    </row>
    <row r="9836" spans="1:12" x14ac:dyDescent="0.3">
      <c r="A9836"/>
      <c r="B9836" s="72"/>
      <c r="E9836" s="72"/>
      <c r="H9836" s="49"/>
      <c r="K9836"/>
      <c r="L9836" s="73"/>
    </row>
    <row r="9837" spans="1:12" x14ac:dyDescent="0.3">
      <c r="A9837"/>
      <c r="B9837" s="72"/>
      <c r="E9837" s="72"/>
      <c r="H9837" s="49"/>
      <c r="K9837"/>
      <c r="L9837" s="73"/>
    </row>
    <row r="9838" spans="1:12" x14ac:dyDescent="0.3">
      <c r="A9838"/>
      <c r="B9838" s="72"/>
      <c r="E9838" s="72"/>
      <c r="H9838" s="49"/>
      <c r="K9838"/>
      <c r="L9838" s="73"/>
    </row>
    <row r="9839" spans="1:12" x14ac:dyDescent="0.3">
      <c r="A9839"/>
      <c r="B9839" s="72"/>
      <c r="E9839" s="72"/>
      <c r="H9839" s="49"/>
      <c r="K9839"/>
      <c r="L9839" s="73"/>
    </row>
    <row r="9840" spans="1:12" x14ac:dyDescent="0.3">
      <c r="A9840"/>
      <c r="B9840" s="72"/>
      <c r="E9840" s="72"/>
      <c r="H9840" s="49"/>
      <c r="K9840"/>
      <c r="L9840" s="73"/>
    </row>
    <row r="9841" spans="1:12" x14ac:dyDescent="0.3">
      <c r="A9841"/>
      <c r="B9841" s="72"/>
      <c r="E9841" s="72"/>
      <c r="H9841" s="49"/>
      <c r="K9841"/>
      <c r="L9841" s="73"/>
    </row>
    <row r="9842" spans="1:12" x14ac:dyDescent="0.3">
      <c r="A9842"/>
      <c r="B9842" s="72"/>
      <c r="E9842" s="72"/>
      <c r="H9842" s="49"/>
      <c r="K9842"/>
      <c r="L9842" s="73"/>
    </row>
    <row r="9843" spans="1:12" x14ac:dyDescent="0.3">
      <c r="A9843"/>
      <c r="B9843" s="72"/>
      <c r="E9843" s="72"/>
      <c r="H9843" s="49"/>
      <c r="K9843"/>
      <c r="L9843" s="73"/>
    </row>
    <row r="9844" spans="1:12" x14ac:dyDescent="0.3">
      <c r="A9844"/>
      <c r="B9844" s="72"/>
      <c r="E9844" s="72"/>
      <c r="H9844" s="49"/>
      <c r="K9844"/>
      <c r="L9844" s="73"/>
    </row>
    <row r="9845" spans="1:12" x14ac:dyDescent="0.3">
      <c r="A9845"/>
      <c r="B9845" s="72"/>
      <c r="E9845" s="72"/>
      <c r="H9845" s="49"/>
      <c r="K9845"/>
      <c r="L9845" s="73"/>
    </row>
    <row r="9846" spans="1:12" x14ac:dyDescent="0.3">
      <c r="A9846"/>
      <c r="B9846" s="72"/>
      <c r="E9846" s="72"/>
      <c r="H9846" s="49"/>
      <c r="K9846"/>
      <c r="L9846" s="73"/>
    </row>
    <row r="9847" spans="1:12" x14ac:dyDescent="0.3">
      <c r="A9847"/>
      <c r="B9847" s="72"/>
      <c r="E9847" s="72"/>
      <c r="H9847" s="49"/>
      <c r="K9847"/>
      <c r="L9847" s="73"/>
    </row>
    <row r="9848" spans="1:12" x14ac:dyDescent="0.3">
      <c r="A9848"/>
      <c r="B9848" s="72"/>
      <c r="E9848" s="72"/>
      <c r="H9848" s="49"/>
      <c r="K9848"/>
      <c r="L9848" s="73"/>
    </row>
    <row r="9849" spans="1:12" x14ac:dyDescent="0.3">
      <c r="A9849"/>
      <c r="B9849" s="72"/>
      <c r="E9849" s="72"/>
      <c r="H9849" s="49"/>
      <c r="K9849"/>
      <c r="L9849" s="73"/>
    </row>
    <row r="9850" spans="1:12" x14ac:dyDescent="0.3">
      <c r="A9850"/>
      <c r="B9850" s="72"/>
      <c r="E9850" s="72"/>
      <c r="H9850" s="49"/>
      <c r="K9850"/>
      <c r="L9850" s="73"/>
    </row>
    <row r="9851" spans="1:12" x14ac:dyDescent="0.3">
      <c r="A9851"/>
      <c r="B9851" s="72"/>
      <c r="E9851" s="72"/>
      <c r="H9851" s="49"/>
      <c r="K9851"/>
      <c r="L9851" s="73"/>
    </row>
    <row r="9852" spans="1:12" x14ac:dyDescent="0.3">
      <c r="A9852"/>
      <c r="B9852" s="72"/>
      <c r="E9852" s="72"/>
      <c r="H9852" s="49"/>
      <c r="K9852"/>
      <c r="L9852" s="73"/>
    </row>
    <row r="9853" spans="1:12" x14ac:dyDescent="0.3">
      <c r="A9853"/>
      <c r="B9853" s="72"/>
      <c r="E9853" s="72"/>
      <c r="H9853" s="49"/>
      <c r="K9853"/>
      <c r="L9853" s="73"/>
    </row>
    <row r="9854" spans="1:12" x14ac:dyDescent="0.3">
      <c r="A9854"/>
      <c r="B9854" s="72"/>
      <c r="E9854" s="72"/>
      <c r="H9854" s="49"/>
      <c r="K9854"/>
      <c r="L9854" s="73"/>
    </row>
    <row r="9855" spans="1:12" x14ac:dyDescent="0.3">
      <c r="A9855"/>
      <c r="B9855" s="72"/>
      <c r="E9855" s="72"/>
      <c r="H9855" s="49"/>
      <c r="K9855"/>
      <c r="L9855" s="73"/>
    </row>
    <row r="9856" spans="1:12" x14ac:dyDescent="0.3">
      <c r="A9856"/>
      <c r="B9856" s="72"/>
      <c r="E9856" s="72"/>
      <c r="H9856" s="49"/>
      <c r="K9856"/>
      <c r="L9856" s="73"/>
    </row>
    <row r="9857" spans="1:12" x14ac:dyDescent="0.3">
      <c r="A9857"/>
      <c r="B9857" s="72"/>
      <c r="E9857" s="72"/>
      <c r="H9857" s="49"/>
      <c r="K9857"/>
      <c r="L9857" s="73"/>
    </row>
    <row r="9858" spans="1:12" x14ac:dyDescent="0.3">
      <c r="A9858"/>
      <c r="B9858" s="72"/>
      <c r="E9858" s="72"/>
      <c r="H9858" s="49"/>
      <c r="K9858"/>
      <c r="L9858" s="73"/>
    </row>
    <row r="9859" spans="1:12" x14ac:dyDescent="0.3">
      <c r="A9859"/>
      <c r="B9859" s="72"/>
      <c r="E9859" s="72"/>
      <c r="H9859" s="49"/>
      <c r="K9859"/>
      <c r="L9859" s="73"/>
    </row>
    <row r="9860" spans="1:12" x14ac:dyDescent="0.3">
      <c r="A9860"/>
      <c r="B9860" s="72"/>
      <c r="E9860" s="72"/>
      <c r="H9860" s="49"/>
      <c r="K9860"/>
      <c r="L9860" s="73"/>
    </row>
    <row r="9861" spans="1:12" x14ac:dyDescent="0.3">
      <c r="A9861"/>
      <c r="B9861" s="72"/>
      <c r="E9861" s="72"/>
      <c r="H9861" s="49"/>
      <c r="K9861"/>
      <c r="L9861" s="73"/>
    </row>
    <row r="9862" spans="1:12" x14ac:dyDescent="0.3">
      <c r="A9862"/>
      <c r="B9862" s="72"/>
      <c r="E9862" s="72"/>
      <c r="H9862" s="49"/>
      <c r="K9862"/>
      <c r="L9862" s="73"/>
    </row>
    <row r="9863" spans="1:12" x14ac:dyDescent="0.3">
      <c r="A9863"/>
      <c r="B9863" s="72"/>
      <c r="E9863" s="72"/>
      <c r="H9863" s="49"/>
      <c r="K9863"/>
      <c r="L9863" s="73"/>
    </row>
    <row r="9864" spans="1:12" x14ac:dyDescent="0.3">
      <c r="A9864"/>
      <c r="B9864" s="72"/>
      <c r="E9864" s="72"/>
      <c r="H9864" s="49"/>
      <c r="K9864"/>
      <c r="L9864" s="73"/>
    </row>
    <row r="9865" spans="1:12" x14ac:dyDescent="0.3">
      <c r="A9865"/>
      <c r="B9865" s="72"/>
      <c r="E9865" s="72"/>
      <c r="H9865" s="49"/>
      <c r="K9865"/>
      <c r="L9865" s="73"/>
    </row>
    <row r="9866" spans="1:12" x14ac:dyDescent="0.3">
      <c r="A9866"/>
      <c r="B9866" s="72"/>
      <c r="E9866" s="72"/>
      <c r="H9866" s="49"/>
      <c r="K9866"/>
      <c r="L9866" s="73"/>
    </row>
    <row r="9867" spans="1:12" x14ac:dyDescent="0.3">
      <c r="A9867"/>
      <c r="B9867" s="72"/>
      <c r="E9867" s="72"/>
      <c r="H9867" s="49"/>
      <c r="K9867"/>
      <c r="L9867" s="73"/>
    </row>
    <row r="9868" spans="1:12" x14ac:dyDescent="0.3">
      <c r="A9868"/>
      <c r="B9868" s="72"/>
      <c r="E9868" s="72"/>
      <c r="H9868" s="49"/>
      <c r="K9868"/>
      <c r="L9868" s="73"/>
    </row>
    <row r="9869" spans="1:12" x14ac:dyDescent="0.3">
      <c r="A9869"/>
      <c r="B9869" s="72"/>
      <c r="E9869" s="72"/>
      <c r="H9869" s="49"/>
      <c r="K9869"/>
      <c r="L9869" s="73"/>
    </row>
    <row r="9870" spans="1:12" x14ac:dyDescent="0.3">
      <c r="A9870"/>
      <c r="B9870" s="72"/>
      <c r="E9870" s="72"/>
      <c r="H9870" s="49"/>
      <c r="K9870"/>
      <c r="L9870" s="73"/>
    </row>
    <row r="9871" spans="1:12" x14ac:dyDescent="0.3">
      <c r="A9871"/>
      <c r="B9871" s="72"/>
      <c r="E9871" s="72"/>
      <c r="H9871" s="49"/>
      <c r="K9871"/>
      <c r="L9871" s="73"/>
    </row>
    <row r="9872" spans="1:12" x14ac:dyDescent="0.3">
      <c r="A9872"/>
      <c r="B9872" s="72"/>
      <c r="E9872" s="72"/>
      <c r="H9872" s="49"/>
      <c r="K9872"/>
      <c r="L9872" s="73"/>
    </row>
    <row r="9873" spans="1:12" x14ac:dyDescent="0.3">
      <c r="A9873"/>
      <c r="B9873" s="72"/>
      <c r="E9873" s="72"/>
      <c r="H9873" s="49"/>
      <c r="K9873"/>
      <c r="L9873" s="73"/>
    </row>
    <row r="9874" spans="1:12" x14ac:dyDescent="0.3">
      <c r="A9874"/>
      <c r="B9874" s="72"/>
      <c r="E9874" s="72"/>
      <c r="H9874" s="49"/>
      <c r="K9874"/>
      <c r="L9874" s="73"/>
    </row>
    <row r="9875" spans="1:12" x14ac:dyDescent="0.3">
      <c r="A9875"/>
      <c r="B9875" s="72"/>
      <c r="E9875" s="72"/>
      <c r="H9875" s="49"/>
      <c r="K9875"/>
      <c r="L9875" s="73"/>
    </row>
    <row r="9876" spans="1:12" x14ac:dyDescent="0.3">
      <c r="A9876"/>
      <c r="B9876" s="72"/>
      <c r="E9876" s="72"/>
      <c r="H9876" s="49"/>
      <c r="K9876"/>
      <c r="L9876" s="73"/>
    </row>
    <row r="9877" spans="1:12" x14ac:dyDescent="0.3">
      <c r="A9877"/>
      <c r="B9877" s="72"/>
      <c r="E9877" s="72"/>
      <c r="H9877" s="49"/>
      <c r="K9877"/>
      <c r="L9877" s="73"/>
    </row>
    <row r="9878" spans="1:12" x14ac:dyDescent="0.3">
      <c r="A9878"/>
      <c r="B9878" s="72"/>
      <c r="E9878" s="72"/>
      <c r="H9878" s="49"/>
      <c r="K9878"/>
      <c r="L9878" s="73"/>
    </row>
    <row r="9879" spans="1:12" x14ac:dyDescent="0.3">
      <c r="A9879"/>
      <c r="B9879" s="72"/>
      <c r="E9879" s="72"/>
      <c r="H9879" s="49"/>
      <c r="K9879"/>
      <c r="L9879" s="73"/>
    </row>
    <row r="9880" spans="1:12" x14ac:dyDescent="0.3">
      <c r="A9880"/>
      <c r="B9880" s="72"/>
      <c r="E9880" s="72"/>
      <c r="H9880" s="49"/>
      <c r="K9880"/>
      <c r="L9880" s="73"/>
    </row>
    <row r="9881" spans="1:12" x14ac:dyDescent="0.3">
      <c r="A9881"/>
      <c r="B9881" s="72"/>
      <c r="E9881" s="72"/>
      <c r="H9881" s="49"/>
      <c r="K9881"/>
      <c r="L9881" s="73"/>
    </row>
    <row r="9882" spans="1:12" x14ac:dyDescent="0.3">
      <c r="A9882"/>
      <c r="B9882" s="72"/>
      <c r="E9882" s="72"/>
      <c r="H9882" s="49"/>
      <c r="K9882"/>
      <c r="L9882" s="73"/>
    </row>
    <row r="9883" spans="1:12" x14ac:dyDescent="0.3">
      <c r="A9883"/>
      <c r="B9883" s="72"/>
      <c r="E9883" s="72"/>
      <c r="H9883" s="49"/>
      <c r="K9883"/>
      <c r="L9883" s="73"/>
    </row>
    <row r="9884" spans="1:12" x14ac:dyDescent="0.3">
      <c r="A9884"/>
      <c r="B9884" s="72"/>
      <c r="E9884" s="72"/>
      <c r="H9884" s="49"/>
      <c r="K9884"/>
      <c r="L9884" s="73"/>
    </row>
    <row r="9885" spans="1:12" x14ac:dyDescent="0.3">
      <c r="A9885"/>
      <c r="B9885" s="72"/>
      <c r="E9885" s="72"/>
      <c r="H9885" s="49"/>
      <c r="K9885"/>
      <c r="L9885" s="73"/>
    </row>
    <row r="9886" spans="1:12" x14ac:dyDescent="0.3">
      <c r="A9886"/>
      <c r="B9886" s="72"/>
      <c r="E9886" s="72"/>
      <c r="H9886" s="49"/>
      <c r="K9886"/>
      <c r="L9886" s="73"/>
    </row>
    <row r="9887" spans="1:12" x14ac:dyDescent="0.3">
      <c r="A9887"/>
      <c r="B9887" s="72"/>
      <c r="E9887" s="72"/>
      <c r="H9887" s="49"/>
      <c r="K9887"/>
      <c r="L9887" s="73"/>
    </row>
    <row r="9888" spans="1:12" x14ac:dyDescent="0.3">
      <c r="A9888"/>
      <c r="B9888" s="72"/>
      <c r="E9888" s="72"/>
      <c r="H9888" s="49"/>
      <c r="K9888"/>
      <c r="L9888" s="73"/>
    </row>
    <row r="9889" spans="1:12" x14ac:dyDescent="0.3">
      <c r="A9889"/>
      <c r="B9889" s="72"/>
      <c r="E9889" s="72"/>
      <c r="H9889" s="49"/>
      <c r="K9889"/>
      <c r="L9889" s="73"/>
    </row>
    <row r="9890" spans="1:12" x14ac:dyDescent="0.3">
      <c r="A9890"/>
      <c r="B9890" s="72"/>
      <c r="E9890" s="72"/>
      <c r="H9890" s="49"/>
      <c r="K9890"/>
      <c r="L9890" s="73"/>
    </row>
    <row r="9891" spans="1:12" x14ac:dyDescent="0.3">
      <c r="A9891"/>
      <c r="B9891" s="72"/>
      <c r="E9891" s="72"/>
      <c r="H9891" s="49"/>
      <c r="K9891"/>
      <c r="L9891" s="73"/>
    </row>
    <row r="9892" spans="1:12" x14ac:dyDescent="0.3">
      <c r="A9892"/>
      <c r="B9892" s="72"/>
      <c r="E9892" s="72"/>
      <c r="H9892" s="49"/>
      <c r="K9892"/>
      <c r="L9892" s="73"/>
    </row>
    <row r="9893" spans="1:12" x14ac:dyDescent="0.3">
      <c r="A9893"/>
      <c r="B9893" s="72"/>
      <c r="E9893" s="72"/>
      <c r="H9893" s="49"/>
      <c r="K9893"/>
      <c r="L9893" s="73"/>
    </row>
    <row r="9894" spans="1:12" x14ac:dyDescent="0.3">
      <c r="A9894"/>
      <c r="B9894" s="72"/>
      <c r="E9894" s="72"/>
      <c r="H9894" s="49"/>
      <c r="K9894"/>
      <c r="L9894" s="73"/>
    </row>
    <row r="9895" spans="1:12" x14ac:dyDescent="0.3">
      <c r="A9895"/>
      <c r="B9895" s="72"/>
      <c r="E9895" s="72"/>
      <c r="H9895" s="49"/>
      <c r="K9895"/>
      <c r="L9895" s="73"/>
    </row>
    <row r="9896" spans="1:12" x14ac:dyDescent="0.3">
      <c r="A9896"/>
      <c r="B9896" s="72"/>
      <c r="E9896" s="72"/>
      <c r="H9896" s="49"/>
      <c r="K9896"/>
      <c r="L9896" s="73"/>
    </row>
    <row r="9897" spans="1:12" x14ac:dyDescent="0.3">
      <c r="A9897"/>
      <c r="B9897" s="72"/>
      <c r="E9897" s="72"/>
      <c r="H9897" s="49"/>
      <c r="K9897"/>
      <c r="L9897" s="73"/>
    </row>
    <row r="9898" spans="1:12" x14ac:dyDescent="0.3">
      <c r="A9898"/>
      <c r="B9898" s="72"/>
      <c r="E9898" s="72"/>
      <c r="H9898" s="49"/>
      <c r="K9898"/>
      <c r="L9898" s="73"/>
    </row>
    <row r="9899" spans="1:12" x14ac:dyDescent="0.3">
      <c r="A9899"/>
      <c r="B9899" s="72"/>
      <c r="E9899" s="72"/>
      <c r="H9899" s="49"/>
      <c r="K9899"/>
      <c r="L9899" s="73"/>
    </row>
    <row r="9900" spans="1:12" x14ac:dyDescent="0.3">
      <c r="A9900"/>
      <c r="B9900" s="72"/>
      <c r="E9900" s="72"/>
      <c r="H9900" s="49"/>
      <c r="K9900"/>
      <c r="L9900" s="73"/>
    </row>
    <row r="9901" spans="1:12" x14ac:dyDescent="0.3">
      <c r="A9901"/>
      <c r="B9901" s="72"/>
      <c r="E9901" s="72"/>
      <c r="H9901" s="49"/>
      <c r="K9901"/>
      <c r="L9901" s="73"/>
    </row>
    <row r="9902" spans="1:12" x14ac:dyDescent="0.3">
      <c r="A9902"/>
      <c r="B9902" s="72"/>
      <c r="E9902" s="72"/>
      <c r="H9902" s="49"/>
      <c r="K9902"/>
      <c r="L9902" s="73"/>
    </row>
    <row r="9903" spans="1:12" x14ac:dyDescent="0.3">
      <c r="A9903"/>
      <c r="B9903" s="72"/>
      <c r="E9903" s="72"/>
      <c r="H9903" s="49"/>
      <c r="K9903"/>
      <c r="L9903" s="73"/>
    </row>
    <row r="9904" spans="1:12" x14ac:dyDescent="0.3">
      <c r="A9904"/>
      <c r="B9904" s="72"/>
      <c r="E9904" s="72"/>
      <c r="H9904" s="49"/>
      <c r="K9904"/>
      <c r="L9904" s="73"/>
    </row>
    <row r="9905" spans="1:12" x14ac:dyDescent="0.3">
      <c r="A9905"/>
      <c r="B9905" s="72"/>
      <c r="E9905" s="72"/>
      <c r="H9905" s="49"/>
      <c r="K9905"/>
      <c r="L9905" s="73"/>
    </row>
    <row r="9906" spans="1:12" x14ac:dyDescent="0.3">
      <c r="A9906"/>
      <c r="B9906" s="72"/>
      <c r="E9906" s="72"/>
      <c r="H9906" s="49"/>
      <c r="K9906"/>
      <c r="L9906" s="73"/>
    </row>
    <row r="9907" spans="1:12" x14ac:dyDescent="0.3">
      <c r="A9907"/>
      <c r="B9907" s="72"/>
      <c r="E9907" s="72"/>
      <c r="H9907" s="49"/>
      <c r="K9907"/>
      <c r="L9907" s="73"/>
    </row>
    <row r="9908" spans="1:12" x14ac:dyDescent="0.3">
      <c r="A9908"/>
      <c r="B9908" s="72"/>
      <c r="E9908" s="72"/>
      <c r="H9908" s="49"/>
      <c r="K9908"/>
      <c r="L9908" s="73"/>
    </row>
    <row r="9909" spans="1:12" x14ac:dyDescent="0.3">
      <c r="A9909"/>
      <c r="B9909" s="72"/>
      <c r="E9909" s="72"/>
      <c r="H9909" s="49"/>
      <c r="K9909"/>
      <c r="L9909" s="73"/>
    </row>
    <row r="9910" spans="1:12" x14ac:dyDescent="0.3">
      <c r="A9910"/>
      <c r="B9910" s="72"/>
      <c r="E9910" s="72"/>
      <c r="H9910" s="49"/>
      <c r="K9910"/>
      <c r="L9910" s="73"/>
    </row>
    <row r="9911" spans="1:12" x14ac:dyDescent="0.3">
      <c r="A9911"/>
      <c r="B9911" s="72"/>
      <c r="E9911" s="72"/>
      <c r="H9911" s="49"/>
      <c r="K9911"/>
      <c r="L9911" s="73"/>
    </row>
    <row r="9912" spans="1:12" x14ac:dyDescent="0.3">
      <c r="A9912"/>
      <c r="B9912" s="72"/>
      <c r="E9912" s="72"/>
      <c r="H9912" s="49"/>
      <c r="K9912"/>
      <c r="L9912" s="73"/>
    </row>
    <row r="9913" spans="1:12" x14ac:dyDescent="0.3">
      <c r="A9913"/>
      <c r="B9913" s="72"/>
      <c r="E9913" s="72"/>
      <c r="H9913" s="49"/>
      <c r="K9913"/>
      <c r="L9913" s="73"/>
    </row>
    <row r="9914" spans="1:12" x14ac:dyDescent="0.3">
      <c r="A9914"/>
      <c r="B9914" s="72"/>
      <c r="E9914" s="72"/>
      <c r="H9914" s="49"/>
      <c r="K9914"/>
      <c r="L9914" s="73"/>
    </row>
    <row r="9915" spans="1:12" x14ac:dyDescent="0.3">
      <c r="A9915"/>
      <c r="B9915" s="72"/>
      <c r="E9915" s="72"/>
      <c r="H9915" s="49"/>
      <c r="K9915"/>
      <c r="L9915" s="73"/>
    </row>
    <row r="9916" spans="1:12" x14ac:dyDescent="0.3">
      <c r="A9916"/>
      <c r="B9916" s="72"/>
      <c r="E9916" s="72"/>
      <c r="H9916" s="49"/>
      <c r="K9916"/>
      <c r="L9916" s="73"/>
    </row>
    <row r="9917" spans="1:12" x14ac:dyDescent="0.3">
      <c r="A9917"/>
      <c r="B9917" s="72"/>
      <c r="E9917" s="72"/>
      <c r="H9917" s="49"/>
      <c r="K9917"/>
      <c r="L9917" s="73"/>
    </row>
    <row r="9918" spans="1:12" x14ac:dyDescent="0.3">
      <c r="A9918"/>
      <c r="B9918" s="72"/>
      <c r="E9918" s="72"/>
      <c r="H9918" s="49"/>
      <c r="K9918"/>
      <c r="L9918" s="73"/>
    </row>
    <row r="9919" spans="1:12" x14ac:dyDescent="0.3">
      <c r="A9919"/>
      <c r="B9919" s="72"/>
      <c r="E9919" s="72"/>
      <c r="H9919" s="49"/>
      <c r="K9919"/>
      <c r="L9919" s="73"/>
    </row>
    <row r="9920" spans="1:12" x14ac:dyDescent="0.3">
      <c r="A9920"/>
      <c r="B9920" s="72"/>
      <c r="E9920" s="72"/>
      <c r="H9920" s="49"/>
      <c r="K9920"/>
      <c r="L9920" s="73"/>
    </row>
    <row r="9921" spans="1:12" x14ac:dyDescent="0.3">
      <c r="A9921"/>
      <c r="B9921" s="72"/>
      <c r="E9921" s="72"/>
      <c r="H9921" s="49"/>
      <c r="K9921"/>
      <c r="L9921" s="73"/>
    </row>
    <row r="9922" spans="1:12" x14ac:dyDescent="0.3">
      <c r="A9922"/>
      <c r="B9922" s="72"/>
      <c r="E9922" s="72"/>
      <c r="H9922" s="49"/>
      <c r="K9922"/>
      <c r="L9922" s="73"/>
    </row>
    <row r="9923" spans="1:12" x14ac:dyDescent="0.3">
      <c r="A9923"/>
      <c r="B9923" s="72"/>
      <c r="E9923" s="72"/>
      <c r="H9923" s="49"/>
      <c r="K9923"/>
      <c r="L9923" s="73"/>
    </row>
    <row r="9924" spans="1:12" x14ac:dyDescent="0.3">
      <c r="A9924"/>
      <c r="B9924" s="72"/>
      <c r="E9924" s="72"/>
      <c r="H9924" s="49"/>
      <c r="K9924"/>
      <c r="L9924" s="73"/>
    </row>
    <row r="9925" spans="1:12" x14ac:dyDescent="0.3">
      <c r="A9925"/>
      <c r="B9925" s="72"/>
      <c r="E9925" s="72"/>
      <c r="H9925" s="49"/>
      <c r="K9925"/>
      <c r="L9925" s="73"/>
    </row>
    <row r="9926" spans="1:12" x14ac:dyDescent="0.3">
      <c r="A9926"/>
      <c r="B9926" s="72"/>
      <c r="E9926" s="72"/>
      <c r="H9926" s="49"/>
      <c r="K9926"/>
      <c r="L9926" s="73"/>
    </row>
    <row r="9927" spans="1:12" x14ac:dyDescent="0.3">
      <c r="A9927"/>
      <c r="B9927" s="72"/>
      <c r="E9927" s="72"/>
      <c r="H9927" s="49"/>
      <c r="K9927"/>
      <c r="L9927" s="73"/>
    </row>
    <row r="9928" spans="1:12" x14ac:dyDescent="0.3">
      <c r="A9928"/>
      <c r="B9928" s="72"/>
      <c r="E9928" s="72"/>
      <c r="H9928" s="49"/>
      <c r="K9928"/>
      <c r="L9928" s="73"/>
    </row>
    <row r="9929" spans="1:12" x14ac:dyDescent="0.3">
      <c r="A9929"/>
      <c r="B9929" s="72"/>
      <c r="E9929" s="72"/>
      <c r="H9929" s="49"/>
      <c r="K9929"/>
      <c r="L9929" s="73"/>
    </row>
    <row r="9930" spans="1:12" x14ac:dyDescent="0.3">
      <c r="A9930"/>
      <c r="B9930" s="72"/>
      <c r="E9930" s="72"/>
      <c r="H9930" s="49"/>
      <c r="K9930"/>
      <c r="L9930" s="73"/>
    </row>
    <row r="9931" spans="1:12" x14ac:dyDescent="0.3">
      <c r="A9931"/>
      <c r="B9931" s="72"/>
      <c r="E9931" s="72"/>
      <c r="H9931" s="49"/>
      <c r="K9931"/>
      <c r="L9931" s="73"/>
    </row>
    <row r="9932" spans="1:12" x14ac:dyDescent="0.3">
      <c r="A9932"/>
      <c r="B9932" s="72"/>
      <c r="E9932" s="72"/>
      <c r="H9932" s="49"/>
      <c r="K9932"/>
      <c r="L9932" s="73"/>
    </row>
    <row r="9933" spans="1:12" x14ac:dyDescent="0.3">
      <c r="A9933"/>
      <c r="B9933" s="72"/>
      <c r="E9933" s="72"/>
      <c r="H9933" s="49"/>
      <c r="K9933"/>
      <c r="L9933" s="73"/>
    </row>
    <row r="9934" spans="1:12" x14ac:dyDescent="0.3">
      <c r="A9934"/>
      <c r="B9934" s="72"/>
      <c r="E9934" s="72"/>
      <c r="H9934" s="49"/>
      <c r="K9934"/>
      <c r="L9934" s="73"/>
    </row>
    <row r="9935" spans="1:12" x14ac:dyDescent="0.3">
      <c r="A9935"/>
      <c r="B9935" s="72"/>
      <c r="E9935" s="72"/>
      <c r="H9935" s="49"/>
      <c r="K9935"/>
      <c r="L9935" s="73"/>
    </row>
    <row r="9936" spans="1:12" x14ac:dyDescent="0.3">
      <c r="A9936"/>
      <c r="B9936" s="72"/>
      <c r="E9936" s="72"/>
      <c r="H9936" s="49"/>
      <c r="K9936"/>
      <c r="L9936" s="73"/>
    </row>
    <row r="9937" spans="1:12" x14ac:dyDescent="0.3">
      <c r="A9937"/>
      <c r="B9937" s="72"/>
      <c r="E9937" s="72"/>
      <c r="H9937" s="49"/>
      <c r="K9937"/>
      <c r="L9937" s="73"/>
    </row>
    <row r="9938" spans="1:12" x14ac:dyDescent="0.3">
      <c r="A9938"/>
      <c r="B9938" s="72"/>
      <c r="E9938" s="72"/>
      <c r="H9938" s="49"/>
      <c r="K9938"/>
      <c r="L9938" s="73"/>
    </row>
    <row r="9939" spans="1:12" x14ac:dyDescent="0.3">
      <c r="A9939"/>
      <c r="B9939" s="72"/>
      <c r="E9939" s="72"/>
      <c r="H9939" s="49"/>
      <c r="K9939"/>
      <c r="L9939" s="73"/>
    </row>
    <row r="9940" spans="1:12" x14ac:dyDescent="0.3">
      <c r="A9940"/>
      <c r="B9940" s="72"/>
      <c r="E9940" s="72"/>
      <c r="H9940" s="49"/>
      <c r="K9940"/>
      <c r="L9940" s="73"/>
    </row>
    <row r="9941" spans="1:12" x14ac:dyDescent="0.3">
      <c r="A9941"/>
      <c r="B9941" s="72"/>
      <c r="E9941" s="72"/>
      <c r="H9941" s="49"/>
      <c r="K9941"/>
      <c r="L9941" s="73"/>
    </row>
    <row r="9942" spans="1:12" x14ac:dyDescent="0.3">
      <c r="A9942"/>
      <c r="B9942" s="72"/>
      <c r="E9942" s="72"/>
      <c r="H9942" s="49"/>
      <c r="K9942"/>
      <c r="L9942" s="73"/>
    </row>
    <row r="9943" spans="1:12" x14ac:dyDescent="0.3">
      <c r="A9943"/>
      <c r="B9943" s="72"/>
      <c r="E9943" s="72"/>
      <c r="H9943" s="49"/>
      <c r="K9943"/>
      <c r="L9943" s="73"/>
    </row>
    <row r="9944" spans="1:12" x14ac:dyDescent="0.3">
      <c r="A9944"/>
      <c r="B9944" s="72"/>
      <c r="E9944" s="72"/>
      <c r="H9944" s="49"/>
      <c r="K9944"/>
      <c r="L9944" s="73"/>
    </row>
    <row r="9945" spans="1:12" x14ac:dyDescent="0.3">
      <c r="A9945"/>
      <c r="B9945" s="72"/>
      <c r="E9945" s="72"/>
      <c r="H9945" s="49"/>
      <c r="K9945"/>
      <c r="L9945" s="73"/>
    </row>
    <row r="9946" spans="1:12" x14ac:dyDescent="0.3">
      <c r="A9946"/>
      <c r="B9946" s="72"/>
      <c r="E9946" s="72"/>
      <c r="H9946" s="49"/>
      <c r="K9946"/>
      <c r="L9946" s="73"/>
    </row>
    <row r="9947" spans="1:12" x14ac:dyDescent="0.3">
      <c r="A9947"/>
      <c r="B9947" s="72"/>
      <c r="E9947" s="72"/>
      <c r="H9947" s="49"/>
      <c r="K9947"/>
      <c r="L9947" s="73"/>
    </row>
    <row r="9948" spans="1:12" x14ac:dyDescent="0.3">
      <c r="A9948"/>
      <c r="B9948" s="72"/>
      <c r="E9948" s="72"/>
      <c r="H9948" s="49"/>
      <c r="K9948"/>
      <c r="L9948" s="73"/>
    </row>
    <row r="9949" spans="1:12" x14ac:dyDescent="0.3">
      <c r="A9949"/>
      <c r="B9949" s="72"/>
      <c r="E9949" s="72"/>
      <c r="H9949" s="49"/>
      <c r="K9949"/>
      <c r="L9949" s="73"/>
    </row>
    <row r="9950" spans="1:12" x14ac:dyDescent="0.3">
      <c r="A9950"/>
      <c r="B9950" s="72"/>
      <c r="E9950" s="72"/>
      <c r="H9950" s="49"/>
      <c r="K9950"/>
      <c r="L9950" s="73"/>
    </row>
    <row r="9951" spans="1:12" x14ac:dyDescent="0.3">
      <c r="A9951"/>
      <c r="B9951" s="72"/>
      <c r="E9951" s="72"/>
      <c r="H9951" s="49"/>
      <c r="K9951"/>
      <c r="L9951" s="73"/>
    </row>
    <row r="9952" spans="1:12" x14ac:dyDescent="0.3">
      <c r="A9952"/>
      <c r="B9952" s="72"/>
      <c r="E9952" s="72"/>
      <c r="H9952" s="49"/>
      <c r="K9952"/>
      <c r="L9952" s="73"/>
    </row>
    <row r="9953" spans="1:12" x14ac:dyDescent="0.3">
      <c r="A9953"/>
      <c r="B9953" s="72"/>
      <c r="E9953" s="72"/>
      <c r="H9953" s="49"/>
      <c r="K9953"/>
      <c r="L9953" s="73"/>
    </row>
    <row r="9954" spans="1:12" x14ac:dyDescent="0.3">
      <c r="A9954"/>
      <c r="B9954" s="72"/>
      <c r="E9954" s="72"/>
      <c r="H9954" s="49"/>
      <c r="K9954"/>
      <c r="L9954" s="73"/>
    </row>
    <row r="9955" spans="1:12" x14ac:dyDescent="0.3">
      <c r="A9955"/>
      <c r="B9955" s="72"/>
      <c r="E9955" s="72"/>
      <c r="H9955" s="49"/>
      <c r="K9955"/>
      <c r="L9955" s="73"/>
    </row>
    <row r="9956" spans="1:12" x14ac:dyDescent="0.3">
      <c r="A9956"/>
      <c r="B9956" s="72"/>
      <c r="E9956" s="72"/>
      <c r="H9956" s="49"/>
      <c r="K9956"/>
      <c r="L9956" s="73"/>
    </row>
    <row r="9957" spans="1:12" x14ac:dyDescent="0.3">
      <c r="A9957"/>
      <c r="B9957" s="72"/>
      <c r="E9957" s="72"/>
      <c r="H9957" s="49"/>
      <c r="K9957"/>
      <c r="L9957" s="73"/>
    </row>
    <row r="9958" spans="1:12" x14ac:dyDescent="0.3">
      <c r="A9958"/>
      <c r="B9958" s="72"/>
      <c r="E9958" s="72"/>
      <c r="H9958" s="49"/>
      <c r="K9958"/>
      <c r="L9958" s="73"/>
    </row>
    <row r="9959" spans="1:12" x14ac:dyDescent="0.3">
      <c r="A9959"/>
      <c r="B9959" s="72"/>
      <c r="E9959" s="72"/>
      <c r="H9959" s="49"/>
      <c r="K9959"/>
      <c r="L9959" s="73"/>
    </row>
    <row r="9960" spans="1:12" x14ac:dyDescent="0.3">
      <c r="A9960"/>
      <c r="B9960" s="72"/>
      <c r="E9960" s="72"/>
      <c r="H9960" s="49"/>
      <c r="K9960"/>
      <c r="L9960" s="73"/>
    </row>
    <row r="9961" spans="1:12" x14ac:dyDescent="0.3">
      <c r="A9961"/>
      <c r="B9961" s="72"/>
      <c r="E9961" s="72"/>
      <c r="H9961" s="49"/>
      <c r="K9961"/>
      <c r="L9961" s="73"/>
    </row>
    <row r="9962" spans="1:12" x14ac:dyDescent="0.3">
      <c r="A9962"/>
      <c r="B9962" s="72"/>
      <c r="E9962" s="72"/>
      <c r="H9962" s="49"/>
      <c r="K9962"/>
      <c r="L9962" s="73"/>
    </row>
    <row r="9963" spans="1:12" x14ac:dyDescent="0.3">
      <c r="A9963"/>
      <c r="B9963" s="72"/>
      <c r="E9963" s="72"/>
      <c r="H9963" s="49"/>
      <c r="K9963"/>
      <c r="L9963" s="73"/>
    </row>
    <row r="9964" spans="1:12" x14ac:dyDescent="0.3">
      <c r="A9964"/>
      <c r="B9964" s="72"/>
      <c r="E9964" s="72"/>
      <c r="H9964" s="49"/>
      <c r="K9964"/>
      <c r="L9964" s="73"/>
    </row>
    <row r="9965" spans="1:12" x14ac:dyDescent="0.3">
      <c r="A9965"/>
      <c r="B9965" s="72"/>
      <c r="E9965" s="72"/>
      <c r="H9965" s="49"/>
      <c r="K9965"/>
      <c r="L9965" s="73"/>
    </row>
    <row r="9966" spans="1:12" x14ac:dyDescent="0.3">
      <c r="A9966"/>
      <c r="B9966" s="72"/>
      <c r="E9966" s="72"/>
      <c r="H9966" s="49"/>
      <c r="K9966"/>
      <c r="L9966" s="73"/>
    </row>
    <row r="9967" spans="1:12" x14ac:dyDescent="0.3">
      <c r="A9967"/>
      <c r="B9967" s="72"/>
      <c r="E9967" s="72"/>
      <c r="H9967" s="49"/>
      <c r="K9967"/>
      <c r="L9967" s="73"/>
    </row>
    <row r="9968" spans="1:12" x14ac:dyDescent="0.3">
      <c r="A9968"/>
      <c r="B9968" s="72"/>
      <c r="E9968" s="72"/>
      <c r="H9968" s="49"/>
      <c r="K9968"/>
      <c r="L9968" s="73"/>
    </row>
    <row r="9969" spans="1:12" x14ac:dyDescent="0.3">
      <c r="A9969"/>
      <c r="B9969" s="72"/>
      <c r="E9969" s="72"/>
      <c r="H9969" s="49"/>
      <c r="K9969"/>
      <c r="L9969" s="73"/>
    </row>
    <row r="9970" spans="1:12" x14ac:dyDescent="0.3">
      <c r="A9970"/>
      <c r="B9970" s="72"/>
      <c r="E9970" s="72"/>
      <c r="H9970" s="49"/>
      <c r="K9970"/>
      <c r="L9970" s="73"/>
    </row>
    <row r="9971" spans="1:12" x14ac:dyDescent="0.3">
      <c r="A9971"/>
      <c r="B9971" s="72"/>
      <c r="E9971" s="72"/>
      <c r="H9971" s="49"/>
      <c r="K9971"/>
      <c r="L9971" s="73"/>
    </row>
    <row r="9972" spans="1:12" x14ac:dyDescent="0.3">
      <c r="A9972"/>
      <c r="B9972" s="72"/>
      <c r="E9972" s="72"/>
      <c r="H9972" s="49"/>
      <c r="K9972"/>
      <c r="L9972" s="73"/>
    </row>
    <row r="9973" spans="1:12" x14ac:dyDescent="0.3">
      <c r="A9973"/>
      <c r="B9973" s="72"/>
      <c r="E9973" s="72"/>
      <c r="H9973" s="49"/>
      <c r="K9973"/>
      <c r="L9973" s="73"/>
    </row>
    <row r="9974" spans="1:12" x14ac:dyDescent="0.3">
      <c r="A9974"/>
      <c r="B9974" s="72"/>
      <c r="E9974" s="72"/>
      <c r="H9974" s="49"/>
      <c r="K9974"/>
      <c r="L9974" s="73"/>
    </row>
    <row r="9975" spans="1:12" x14ac:dyDescent="0.3">
      <c r="A9975"/>
      <c r="B9975" s="72"/>
      <c r="E9975" s="72"/>
      <c r="H9975" s="49"/>
      <c r="K9975"/>
      <c r="L9975" s="73"/>
    </row>
    <row r="9976" spans="1:12" x14ac:dyDescent="0.3">
      <c r="A9976"/>
      <c r="B9976" s="72"/>
      <c r="E9976" s="72"/>
      <c r="H9976" s="49"/>
      <c r="K9976"/>
      <c r="L9976" s="73"/>
    </row>
    <row r="9977" spans="1:12" x14ac:dyDescent="0.3">
      <c r="A9977"/>
      <c r="B9977" s="72"/>
      <c r="E9977" s="72"/>
      <c r="H9977" s="49"/>
      <c r="K9977"/>
      <c r="L9977" s="73"/>
    </row>
    <row r="9978" spans="1:12" x14ac:dyDescent="0.3">
      <c r="A9978"/>
      <c r="B9978" s="72"/>
      <c r="E9978" s="72"/>
      <c r="H9978" s="49"/>
      <c r="K9978"/>
      <c r="L9978" s="73"/>
    </row>
    <row r="9979" spans="1:12" x14ac:dyDescent="0.3">
      <c r="A9979"/>
      <c r="B9979" s="72"/>
      <c r="E9979" s="72"/>
      <c r="H9979" s="49"/>
      <c r="K9979"/>
      <c r="L9979" s="73"/>
    </row>
    <row r="9980" spans="1:12" x14ac:dyDescent="0.3">
      <c r="A9980"/>
      <c r="B9980" s="72"/>
      <c r="E9980" s="72"/>
      <c r="H9980" s="49"/>
      <c r="K9980"/>
      <c r="L9980" s="73"/>
    </row>
    <row r="9981" spans="1:12" x14ac:dyDescent="0.3">
      <c r="A9981"/>
      <c r="B9981" s="72"/>
      <c r="E9981" s="72"/>
      <c r="H9981" s="49"/>
      <c r="K9981"/>
      <c r="L9981" s="73"/>
    </row>
    <row r="9982" spans="1:12" x14ac:dyDescent="0.3">
      <c r="A9982"/>
      <c r="B9982" s="72"/>
      <c r="E9982" s="72"/>
      <c r="H9982" s="49"/>
      <c r="K9982"/>
      <c r="L9982" s="73"/>
    </row>
    <row r="9983" spans="1:12" x14ac:dyDescent="0.3">
      <c r="A9983"/>
      <c r="B9983" s="72"/>
      <c r="E9983" s="72"/>
      <c r="H9983" s="49"/>
      <c r="K9983"/>
      <c r="L9983" s="73"/>
    </row>
    <row r="9984" spans="1:12" x14ac:dyDescent="0.3">
      <c r="A9984"/>
      <c r="B9984" s="72"/>
      <c r="E9984" s="72"/>
      <c r="H9984" s="49"/>
      <c r="K9984"/>
      <c r="L9984" s="73"/>
    </row>
    <row r="9985" spans="1:12" x14ac:dyDescent="0.3">
      <c r="A9985"/>
      <c r="B9985" s="72"/>
      <c r="E9985" s="72"/>
      <c r="H9985" s="49"/>
      <c r="K9985"/>
      <c r="L9985" s="73"/>
    </row>
    <row r="9986" spans="1:12" x14ac:dyDescent="0.3">
      <c r="A9986"/>
      <c r="B9986" s="72"/>
      <c r="E9986" s="72"/>
      <c r="H9986" s="49"/>
      <c r="K9986"/>
      <c r="L9986" s="73"/>
    </row>
    <row r="9987" spans="1:12" x14ac:dyDescent="0.3">
      <c r="A9987"/>
      <c r="B9987" s="72"/>
      <c r="E9987" s="72"/>
      <c r="H9987" s="49"/>
      <c r="K9987"/>
      <c r="L9987" s="73"/>
    </row>
    <row r="9988" spans="1:12" x14ac:dyDescent="0.3">
      <c r="A9988"/>
      <c r="B9988" s="72"/>
      <c r="E9988" s="72"/>
      <c r="H9988" s="49"/>
      <c r="K9988"/>
      <c r="L9988" s="73"/>
    </row>
    <row r="9989" spans="1:12" x14ac:dyDescent="0.3">
      <c r="A9989"/>
      <c r="B9989" s="72"/>
      <c r="E9989" s="72"/>
      <c r="H9989" s="49"/>
      <c r="K9989"/>
      <c r="L9989" s="73"/>
    </row>
    <row r="9990" spans="1:12" x14ac:dyDescent="0.3">
      <c r="A9990"/>
      <c r="B9990" s="72"/>
      <c r="E9990" s="72"/>
      <c r="H9990" s="49"/>
      <c r="K9990"/>
      <c r="L9990" s="73"/>
    </row>
    <row r="9991" spans="1:12" x14ac:dyDescent="0.3">
      <c r="A9991"/>
      <c r="B9991" s="72"/>
      <c r="E9991" s="72"/>
      <c r="H9991" s="49"/>
      <c r="K9991"/>
      <c r="L9991" s="73"/>
    </row>
    <row r="9992" spans="1:12" x14ac:dyDescent="0.3">
      <c r="A9992"/>
      <c r="B9992" s="72"/>
      <c r="E9992" s="72"/>
      <c r="H9992" s="49"/>
      <c r="K9992"/>
      <c r="L9992" s="73"/>
    </row>
    <row r="9993" spans="1:12" x14ac:dyDescent="0.3">
      <c r="A9993"/>
      <c r="B9993" s="72"/>
      <c r="E9993" s="72"/>
      <c r="H9993" s="49"/>
      <c r="K9993"/>
      <c r="L9993" s="73"/>
    </row>
    <row r="9994" spans="1:12" x14ac:dyDescent="0.3">
      <c r="A9994"/>
      <c r="B9994" s="72"/>
      <c r="E9994" s="72"/>
      <c r="H9994" s="49"/>
      <c r="K9994"/>
      <c r="L9994" s="73"/>
    </row>
    <row r="9995" spans="1:12" x14ac:dyDescent="0.3">
      <c r="A9995"/>
      <c r="B9995" s="72"/>
      <c r="E9995" s="72"/>
      <c r="H9995" s="49"/>
      <c r="K9995"/>
      <c r="L9995" s="73"/>
    </row>
    <row r="9996" spans="1:12" x14ac:dyDescent="0.3">
      <c r="A9996"/>
      <c r="B9996" s="72"/>
      <c r="E9996" s="72"/>
      <c r="H9996" s="49"/>
      <c r="K9996"/>
      <c r="L9996" s="73"/>
    </row>
    <row r="9997" spans="1:12" x14ac:dyDescent="0.3">
      <c r="A9997"/>
      <c r="B9997" s="72"/>
      <c r="E9997" s="72"/>
      <c r="H9997" s="49"/>
      <c r="K9997"/>
      <c r="L9997" s="73"/>
    </row>
    <row r="9998" spans="1:12" x14ac:dyDescent="0.3">
      <c r="A9998"/>
      <c r="B9998" s="72"/>
      <c r="E9998" s="72"/>
      <c r="H9998" s="49"/>
      <c r="K9998"/>
      <c r="L9998" s="73"/>
    </row>
    <row r="9999" spans="1:12" x14ac:dyDescent="0.3">
      <c r="A9999"/>
      <c r="B9999" s="72"/>
      <c r="E9999" s="72"/>
      <c r="H9999" s="49"/>
      <c r="K9999"/>
      <c r="L9999" s="73"/>
    </row>
    <row r="10000" spans="1:12" x14ac:dyDescent="0.3">
      <c r="A10000"/>
      <c r="B10000" s="72"/>
      <c r="E10000" s="72"/>
      <c r="H10000" s="49"/>
      <c r="K10000"/>
      <c r="L10000" s="73"/>
    </row>
    <row r="10001" spans="1:12" x14ac:dyDescent="0.3">
      <c r="A10001"/>
      <c r="B10001" s="72"/>
      <c r="E10001" s="72"/>
      <c r="H10001" s="49"/>
      <c r="K10001"/>
      <c r="L10001" s="73"/>
    </row>
    <row r="10002" spans="1:12" x14ac:dyDescent="0.3">
      <c r="A10002"/>
      <c r="B10002" s="72"/>
      <c r="E10002" s="72"/>
      <c r="H10002" s="49"/>
      <c r="K10002"/>
      <c r="L10002" s="73"/>
    </row>
    <row r="10003" spans="1:12" x14ac:dyDescent="0.3">
      <c r="A10003"/>
      <c r="B10003" s="72"/>
      <c r="E10003" s="72"/>
      <c r="H10003" s="49"/>
      <c r="K10003"/>
      <c r="L10003" s="73"/>
    </row>
    <row r="10004" spans="1:12" x14ac:dyDescent="0.3">
      <c r="A10004"/>
      <c r="B10004" s="72"/>
      <c r="E10004" s="72"/>
      <c r="H10004" s="49"/>
      <c r="K10004"/>
      <c r="L10004" s="73"/>
    </row>
    <row r="10005" spans="1:12" x14ac:dyDescent="0.3">
      <c r="A10005"/>
      <c r="B10005" s="72"/>
      <c r="E10005" s="72"/>
      <c r="H10005" s="49"/>
      <c r="K10005"/>
      <c r="L10005" s="73"/>
    </row>
    <row r="10006" spans="1:12" x14ac:dyDescent="0.3">
      <c r="A10006"/>
      <c r="B10006" s="72"/>
      <c r="E10006" s="72"/>
      <c r="H10006" s="49"/>
      <c r="K10006"/>
      <c r="L10006" s="73"/>
    </row>
    <row r="10007" spans="1:12" x14ac:dyDescent="0.3">
      <c r="A10007"/>
      <c r="B10007" s="72"/>
      <c r="E10007" s="72"/>
      <c r="H10007" s="49"/>
      <c r="K10007"/>
      <c r="L10007" s="73"/>
    </row>
    <row r="10008" spans="1:12" x14ac:dyDescent="0.3">
      <c r="A10008"/>
      <c r="B10008" s="72"/>
      <c r="E10008" s="72"/>
      <c r="H10008" s="49"/>
      <c r="K10008"/>
      <c r="L10008" s="73"/>
    </row>
    <row r="10009" spans="1:12" x14ac:dyDescent="0.3">
      <c r="A10009"/>
      <c r="B10009" s="72"/>
      <c r="E10009" s="72"/>
      <c r="H10009" s="49"/>
      <c r="K10009"/>
      <c r="L10009" s="73"/>
    </row>
    <row r="10010" spans="1:12" x14ac:dyDescent="0.3">
      <c r="A10010"/>
      <c r="B10010" s="72"/>
      <c r="E10010" s="72"/>
      <c r="H10010" s="49"/>
      <c r="K10010"/>
      <c r="L10010" s="73"/>
    </row>
    <row r="10011" spans="1:12" x14ac:dyDescent="0.3">
      <c r="A10011"/>
      <c r="B10011" s="72"/>
      <c r="E10011" s="72"/>
      <c r="H10011" s="49"/>
      <c r="K10011"/>
      <c r="L10011" s="73"/>
    </row>
    <row r="10012" spans="1:12" x14ac:dyDescent="0.3">
      <c r="A10012"/>
      <c r="B10012" s="72"/>
      <c r="E10012" s="72"/>
      <c r="H10012" s="49"/>
      <c r="K10012"/>
      <c r="L10012" s="73"/>
    </row>
    <row r="10013" spans="1:12" x14ac:dyDescent="0.3">
      <c r="A10013"/>
      <c r="B10013" s="72"/>
      <c r="E10013" s="72"/>
      <c r="H10013" s="49"/>
      <c r="K10013"/>
      <c r="L10013" s="73"/>
    </row>
    <row r="10014" spans="1:12" x14ac:dyDescent="0.3">
      <c r="A10014"/>
      <c r="B10014" s="72"/>
      <c r="E10014" s="72"/>
      <c r="H10014" s="49"/>
      <c r="K10014"/>
      <c r="L10014" s="73"/>
    </row>
    <row r="10015" spans="1:12" x14ac:dyDescent="0.3">
      <c r="A10015"/>
      <c r="B10015" s="72"/>
      <c r="E10015" s="72"/>
      <c r="H10015" s="49"/>
      <c r="K10015"/>
      <c r="L10015" s="73"/>
    </row>
    <row r="10016" spans="1:12" x14ac:dyDescent="0.3">
      <c r="A10016"/>
      <c r="B10016" s="72"/>
      <c r="E10016" s="72"/>
      <c r="H10016" s="49"/>
      <c r="K10016"/>
      <c r="L10016" s="73"/>
    </row>
    <row r="10017" spans="1:12" x14ac:dyDescent="0.3">
      <c r="A10017"/>
      <c r="B10017" s="72"/>
      <c r="E10017" s="72"/>
      <c r="H10017" s="49"/>
      <c r="K10017"/>
      <c r="L10017" s="73"/>
    </row>
    <row r="10018" spans="1:12" x14ac:dyDescent="0.3">
      <c r="A10018"/>
      <c r="B10018" s="72"/>
      <c r="E10018" s="72"/>
      <c r="H10018" s="49"/>
      <c r="K10018"/>
      <c r="L10018" s="73"/>
    </row>
    <row r="10019" spans="1:12" x14ac:dyDescent="0.3">
      <c r="A10019"/>
      <c r="B10019" s="72"/>
      <c r="E10019" s="72"/>
      <c r="H10019" s="49"/>
      <c r="K10019"/>
      <c r="L10019" s="73"/>
    </row>
    <row r="10020" spans="1:12" x14ac:dyDescent="0.3">
      <c r="A10020"/>
      <c r="B10020" s="72"/>
      <c r="E10020" s="72"/>
      <c r="H10020" s="49"/>
      <c r="K10020"/>
      <c r="L10020" s="73"/>
    </row>
    <row r="10021" spans="1:12" x14ac:dyDescent="0.3">
      <c r="A10021"/>
      <c r="B10021" s="72"/>
      <c r="E10021" s="72"/>
      <c r="H10021" s="49"/>
      <c r="K10021"/>
      <c r="L10021" s="73"/>
    </row>
    <row r="10022" spans="1:12" x14ac:dyDescent="0.3">
      <c r="A10022"/>
      <c r="B10022" s="72"/>
      <c r="E10022" s="72"/>
      <c r="H10022" s="49"/>
      <c r="K10022"/>
      <c r="L10022" s="73"/>
    </row>
    <row r="10023" spans="1:12" x14ac:dyDescent="0.3">
      <c r="A10023"/>
      <c r="B10023" s="72"/>
      <c r="E10023" s="72"/>
      <c r="H10023" s="49"/>
      <c r="K10023"/>
      <c r="L10023" s="73"/>
    </row>
    <row r="10024" spans="1:12" x14ac:dyDescent="0.3">
      <c r="A10024"/>
      <c r="B10024" s="72"/>
      <c r="E10024" s="72"/>
      <c r="H10024" s="49"/>
      <c r="K10024"/>
      <c r="L10024" s="73"/>
    </row>
    <row r="10025" spans="1:12" x14ac:dyDescent="0.3">
      <c r="A10025"/>
      <c r="B10025" s="72"/>
      <c r="E10025" s="72"/>
      <c r="H10025" s="49"/>
      <c r="K10025"/>
      <c r="L10025" s="73"/>
    </row>
    <row r="10026" spans="1:12" x14ac:dyDescent="0.3">
      <c r="A10026"/>
      <c r="B10026" s="72"/>
      <c r="E10026" s="72"/>
      <c r="H10026" s="49"/>
      <c r="K10026"/>
      <c r="L10026" s="73"/>
    </row>
    <row r="10027" spans="1:12" x14ac:dyDescent="0.3">
      <c r="A10027"/>
      <c r="B10027" s="72"/>
      <c r="E10027" s="72"/>
      <c r="H10027" s="49"/>
      <c r="K10027"/>
      <c r="L10027" s="73"/>
    </row>
    <row r="10028" spans="1:12" x14ac:dyDescent="0.3">
      <c r="A10028"/>
      <c r="B10028" s="72"/>
      <c r="E10028" s="72"/>
      <c r="H10028" s="49"/>
      <c r="K10028"/>
      <c r="L10028" s="73"/>
    </row>
    <row r="10029" spans="1:12" x14ac:dyDescent="0.3">
      <c r="A10029"/>
      <c r="B10029" s="72"/>
      <c r="E10029" s="72"/>
      <c r="H10029" s="49"/>
      <c r="K10029"/>
      <c r="L10029" s="73"/>
    </row>
    <row r="10030" spans="1:12" x14ac:dyDescent="0.3">
      <c r="A10030"/>
      <c r="B10030" s="72"/>
      <c r="E10030" s="72"/>
      <c r="H10030" s="49"/>
      <c r="K10030"/>
      <c r="L10030" s="73"/>
    </row>
    <row r="10031" spans="1:12" x14ac:dyDescent="0.3">
      <c r="A10031"/>
      <c r="B10031" s="72"/>
      <c r="E10031" s="72"/>
      <c r="H10031" s="49"/>
      <c r="K10031"/>
      <c r="L10031" s="73"/>
    </row>
    <row r="10032" spans="1:12" x14ac:dyDescent="0.3">
      <c r="A10032"/>
      <c r="B10032" s="72"/>
      <c r="E10032" s="72"/>
      <c r="H10032" s="49"/>
      <c r="K10032"/>
      <c r="L10032" s="73"/>
    </row>
    <row r="10033" spans="1:12" x14ac:dyDescent="0.3">
      <c r="A10033"/>
      <c r="B10033" s="72"/>
      <c r="E10033" s="72"/>
      <c r="H10033" s="49"/>
      <c r="K10033"/>
      <c r="L10033" s="73"/>
    </row>
    <row r="10034" spans="1:12" x14ac:dyDescent="0.3">
      <c r="A10034"/>
      <c r="B10034" s="72"/>
      <c r="E10034" s="72"/>
      <c r="H10034" s="49"/>
      <c r="K10034"/>
      <c r="L10034" s="73"/>
    </row>
    <row r="10035" spans="1:12" x14ac:dyDescent="0.3">
      <c r="A10035"/>
      <c r="B10035" s="72"/>
      <c r="E10035" s="72"/>
      <c r="H10035" s="49"/>
      <c r="K10035"/>
      <c r="L10035" s="73"/>
    </row>
    <row r="10036" spans="1:12" x14ac:dyDescent="0.3">
      <c r="A10036"/>
      <c r="B10036" s="72"/>
      <c r="E10036" s="72"/>
      <c r="H10036" s="49"/>
      <c r="K10036"/>
      <c r="L10036" s="73"/>
    </row>
    <row r="10037" spans="1:12" x14ac:dyDescent="0.3">
      <c r="A10037"/>
      <c r="B10037" s="72"/>
      <c r="E10037" s="72"/>
      <c r="H10037" s="49"/>
      <c r="K10037"/>
      <c r="L10037" s="73"/>
    </row>
    <row r="10038" spans="1:12" x14ac:dyDescent="0.3">
      <c r="A10038"/>
      <c r="B10038" s="72"/>
      <c r="E10038" s="72"/>
      <c r="H10038" s="49"/>
      <c r="K10038"/>
      <c r="L10038" s="73"/>
    </row>
    <row r="10039" spans="1:12" x14ac:dyDescent="0.3">
      <c r="A10039"/>
      <c r="B10039" s="72"/>
      <c r="E10039" s="72"/>
      <c r="H10039" s="49"/>
      <c r="K10039"/>
      <c r="L10039" s="73"/>
    </row>
    <row r="10040" spans="1:12" x14ac:dyDescent="0.3">
      <c r="A10040"/>
      <c r="B10040" s="72"/>
      <c r="E10040" s="72"/>
      <c r="H10040" s="49"/>
      <c r="K10040"/>
      <c r="L10040" s="73"/>
    </row>
    <row r="10041" spans="1:12" x14ac:dyDescent="0.3">
      <c r="A10041"/>
      <c r="B10041" s="72"/>
      <c r="E10041" s="72"/>
      <c r="H10041" s="49"/>
      <c r="K10041"/>
      <c r="L10041" s="73"/>
    </row>
    <row r="10042" spans="1:12" x14ac:dyDescent="0.3">
      <c r="A10042"/>
      <c r="B10042" s="72"/>
      <c r="E10042" s="72"/>
      <c r="H10042" s="49"/>
      <c r="K10042"/>
      <c r="L10042" s="73"/>
    </row>
    <row r="10043" spans="1:12" x14ac:dyDescent="0.3">
      <c r="A10043"/>
      <c r="B10043" s="72"/>
      <c r="E10043" s="72"/>
      <c r="H10043" s="49"/>
      <c r="K10043"/>
      <c r="L10043" s="73"/>
    </row>
    <row r="10044" spans="1:12" x14ac:dyDescent="0.3">
      <c r="A10044"/>
      <c r="B10044" s="72"/>
      <c r="E10044" s="72"/>
      <c r="H10044" s="49"/>
      <c r="K10044"/>
      <c r="L10044" s="73"/>
    </row>
    <row r="10045" spans="1:12" x14ac:dyDescent="0.3">
      <c r="A10045"/>
      <c r="B10045" s="72"/>
      <c r="E10045" s="72"/>
      <c r="H10045" s="49"/>
      <c r="K10045"/>
      <c r="L10045" s="73"/>
    </row>
    <row r="10046" spans="1:12" x14ac:dyDescent="0.3">
      <c r="A10046"/>
      <c r="B10046" s="72"/>
      <c r="E10046" s="72"/>
      <c r="H10046" s="49"/>
      <c r="K10046"/>
      <c r="L10046" s="73"/>
    </row>
    <row r="10047" spans="1:12" x14ac:dyDescent="0.3">
      <c r="A10047"/>
      <c r="B10047" s="72"/>
      <c r="E10047" s="72"/>
      <c r="H10047" s="49"/>
      <c r="K10047"/>
      <c r="L10047" s="73"/>
    </row>
    <row r="10048" spans="1:12" x14ac:dyDescent="0.3">
      <c r="A10048"/>
      <c r="B10048" s="72"/>
      <c r="E10048" s="72"/>
      <c r="H10048" s="49"/>
      <c r="K10048"/>
      <c r="L10048" s="73"/>
    </row>
    <row r="10049" spans="1:12" x14ac:dyDescent="0.3">
      <c r="A10049"/>
      <c r="B10049" s="72"/>
      <c r="E10049" s="72"/>
      <c r="H10049" s="49"/>
      <c r="K10049"/>
      <c r="L10049" s="73"/>
    </row>
    <row r="10050" spans="1:12" x14ac:dyDescent="0.3">
      <c r="A10050"/>
      <c r="B10050" s="72"/>
      <c r="E10050" s="72"/>
      <c r="H10050" s="49"/>
      <c r="K10050"/>
      <c r="L10050" s="73"/>
    </row>
    <row r="10051" spans="1:12" x14ac:dyDescent="0.3">
      <c r="A10051"/>
      <c r="B10051" s="72"/>
      <c r="E10051" s="72"/>
      <c r="H10051" s="49"/>
      <c r="K10051"/>
      <c r="L10051" s="73"/>
    </row>
    <row r="10052" spans="1:12" x14ac:dyDescent="0.3">
      <c r="A10052"/>
      <c r="B10052" s="72"/>
      <c r="E10052" s="72"/>
      <c r="H10052" s="49"/>
      <c r="K10052"/>
      <c r="L10052" s="73"/>
    </row>
    <row r="10053" spans="1:12" x14ac:dyDescent="0.3">
      <c r="A10053"/>
      <c r="B10053" s="72"/>
      <c r="E10053" s="72"/>
      <c r="H10053" s="49"/>
      <c r="K10053"/>
      <c r="L10053" s="73"/>
    </row>
    <row r="10054" spans="1:12" x14ac:dyDescent="0.3">
      <c r="A10054"/>
      <c r="B10054" s="72"/>
      <c r="E10054" s="72"/>
      <c r="H10054" s="49"/>
      <c r="K10054"/>
      <c r="L10054" s="73"/>
    </row>
    <row r="10055" spans="1:12" x14ac:dyDescent="0.3">
      <c r="A10055"/>
      <c r="B10055" s="72"/>
      <c r="E10055" s="72"/>
      <c r="H10055" s="49"/>
      <c r="K10055"/>
      <c r="L10055" s="73"/>
    </row>
    <row r="10056" spans="1:12" x14ac:dyDescent="0.3">
      <c r="A10056"/>
      <c r="B10056" s="72"/>
      <c r="E10056" s="72"/>
      <c r="H10056" s="49"/>
      <c r="K10056"/>
      <c r="L10056" s="73"/>
    </row>
    <row r="10057" spans="1:12" x14ac:dyDescent="0.3">
      <c r="A10057"/>
      <c r="B10057" s="72"/>
      <c r="E10057" s="72"/>
      <c r="H10057" s="49"/>
      <c r="K10057"/>
      <c r="L10057" s="73"/>
    </row>
    <row r="10058" spans="1:12" x14ac:dyDescent="0.3">
      <c r="A10058"/>
      <c r="B10058" s="72"/>
      <c r="E10058" s="72"/>
      <c r="H10058" s="49"/>
      <c r="K10058"/>
      <c r="L10058" s="73"/>
    </row>
    <row r="10059" spans="1:12" x14ac:dyDescent="0.3">
      <c r="A10059"/>
      <c r="B10059" s="72"/>
      <c r="E10059" s="72"/>
      <c r="H10059" s="49"/>
      <c r="K10059"/>
      <c r="L10059" s="73"/>
    </row>
    <row r="10060" spans="1:12" x14ac:dyDescent="0.3">
      <c r="A10060"/>
      <c r="B10060" s="72"/>
      <c r="E10060" s="72"/>
      <c r="H10060" s="49"/>
      <c r="K10060"/>
      <c r="L10060" s="73"/>
    </row>
    <row r="10061" spans="1:12" x14ac:dyDescent="0.3">
      <c r="A10061"/>
      <c r="B10061" s="72"/>
      <c r="E10061" s="72"/>
      <c r="H10061" s="49"/>
      <c r="K10061"/>
      <c r="L10061" s="73"/>
    </row>
    <row r="10062" spans="1:12" x14ac:dyDescent="0.3">
      <c r="A10062"/>
      <c r="B10062" s="72"/>
      <c r="E10062" s="72"/>
      <c r="H10062" s="49"/>
      <c r="K10062"/>
      <c r="L10062" s="73"/>
    </row>
    <row r="10063" spans="1:12" x14ac:dyDescent="0.3">
      <c r="A10063"/>
      <c r="B10063" s="72"/>
      <c r="E10063" s="72"/>
      <c r="H10063" s="49"/>
      <c r="K10063"/>
      <c r="L10063" s="73"/>
    </row>
    <row r="10064" spans="1:12" x14ac:dyDescent="0.3">
      <c r="A10064"/>
      <c r="B10064" s="72"/>
      <c r="E10064" s="72"/>
      <c r="H10064" s="49"/>
      <c r="K10064"/>
      <c r="L10064" s="73"/>
    </row>
    <row r="10065" spans="1:12" x14ac:dyDescent="0.3">
      <c r="A10065"/>
      <c r="B10065" s="72"/>
      <c r="E10065" s="72"/>
      <c r="H10065" s="49"/>
      <c r="K10065"/>
      <c r="L10065" s="73"/>
    </row>
    <row r="10066" spans="1:12" x14ac:dyDescent="0.3">
      <c r="A10066"/>
      <c r="B10066" s="72"/>
      <c r="E10066" s="72"/>
      <c r="H10066" s="49"/>
      <c r="K10066"/>
      <c r="L10066" s="73"/>
    </row>
    <row r="10067" spans="1:12" x14ac:dyDescent="0.3">
      <c r="A10067"/>
      <c r="B10067" s="72"/>
      <c r="E10067" s="72"/>
      <c r="H10067" s="49"/>
      <c r="K10067"/>
      <c r="L10067" s="73"/>
    </row>
    <row r="10068" spans="1:12" x14ac:dyDescent="0.3">
      <c r="A10068"/>
      <c r="B10068" s="72"/>
      <c r="E10068" s="72"/>
      <c r="H10068" s="49"/>
      <c r="K10068"/>
      <c r="L10068" s="73"/>
    </row>
    <row r="10069" spans="1:12" x14ac:dyDescent="0.3">
      <c r="A10069"/>
      <c r="B10069" s="72"/>
      <c r="E10069" s="72"/>
      <c r="H10069" s="49"/>
      <c r="K10069"/>
      <c r="L10069" s="73"/>
    </row>
    <row r="10070" spans="1:12" x14ac:dyDescent="0.3">
      <c r="A10070"/>
      <c r="B10070" s="72"/>
      <c r="E10070" s="72"/>
      <c r="H10070" s="49"/>
      <c r="K10070"/>
      <c r="L10070" s="73"/>
    </row>
    <row r="10071" spans="1:12" x14ac:dyDescent="0.3">
      <c r="A10071"/>
      <c r="B10071" s="72"/>
      <c r="E10071" s="72"/>
      <c r="H10071" s="49"/>
      <c r="K10071"/>
      <c r="L10071" s="73"/>
    </row>
    <row r="10072" spans="1:12" x14ac:dyDescent="0.3">
      <c r="A10072"/>
      <c r="B10072" s="72"/>
      <c r="E10072" s="72"/>
      <c r="H10072" s="49"/>
      <c r="K10072"/>
      <c r="L10072" s="73"/>
    </row>
    <row r="10073" spans="1:12" x14ac:dyDescent="0.3">
      <c r="A10073"/>
      <c r="B10073" s="72"/>
      <c r="E10073" s="72"/>
      <c r="H10073" s="49"/>
      <c r="K10073"/>
      <c r="L10073" s="73"/>
    </row>
    <row r="10074" spans="1:12" x14ac:dyDescent="0.3">
      <c r="A10074"/>
      <c r="B10074" s="72"/>
      <c r="E10074" s="72"/>
      <c r="H10074" s="49"/>
      <c r="K10074"/>
      <c r="L10074" s="73"/>
    </row>
    <row r="10075" spans="1:12" x14ac:dyDescent="0.3">
      <c r="A10075"/>
      <c r="B10075" s="72"/>
      <c r="E10075" s="72"/>
      <c r="H10075" s="49"/>
      <c r="K10075"/>
      <c r="L10075" s="73"/>
    </row>
    <row r="10076" spans="1:12" x14ac:dyDescent="0.3">
      <c r="A10076"/>
      <c r="B10076" s="72"/>
      <c r="E10076" s="72"/>
      <c r="H10076" s="49"/>
      <c r="K10076"/>
      <c r="L10076" s="73"/>
    </row>
    <row r="10077" spans="1:12" x14ac:dyDescent="0.3">
      <c r="A10077"/>
      <c r="B10077" s="72"/>
      <c r="E10077" s="72"/>
      <c r="H10077" s="49"/>
      <c r="K10077"/>
      <c r="L10077" s="73"/>
    </row>
    <row r="10078" spans="1:12" x14ac:dyDescent="0.3">
      <c r="A10078"/>
      <c r="B10078" s="72"/>
      <c r="E10078" s="72"/>
      <c r="H10078" s="49"/>
      <c r="K10078"/>
      <c r="L10078" s="73"/>
    </row>
    <row r="10079" spans="1:12" x14ac:dyDescent="0.3">
      <c r="A10079"/>
      <c r="B10079" s="72"/>
      <c r="E10079" s="72"/>
      <c r="H10079" s="49"/>
      <c r="K10079"/>
      <c r="L10079" s="73"/>
    </row>
    <row r="10080" spans="1:12" x14ac:dyDescent="0.3">
      <c r="A10080"/>
      <c r="B10080" s="72"/>
      <c r="E10080" s="72"/>
      <c r="H10080" s="49"/>
      <c r="K10080"/>
      <c r="L10080" s="73"/>
    </row>
    <row r="10081" spans="1:12" x14ac:dyDescent="0.3">
      <c r="A10081"/>
      <c r="B10081" s="72"/>
      <c r="E10081" s="72"/>
      <c r="H10081" s="49"/>
      <c r="K10081"/>
      <c r="L10081" s="73"/>
    </row>
    <row r="10082" spans="1:12" x14ac:dyDescent="0.3">
      <c r="A10082"/>
      <c r="B10082" s="72"/>
      <c r="E10082" s="72"/>
      <c r="H10082" s="49"/>
      <c r="K10082"/>
      <c r="L10082" s="73"/>
    </row>
    <row r="10083" spans="1:12" x14ac:dyDescent="0.3">
      <c r="A10083"/>
      <c r="B10083" s="72"/>
      <c r="E10083" s="72"/>
      <c r="H10083" s="49"/>
      <c r="K10083"/>
      <c r="L10083" s="73"/>
    </row>
    <row r="10084" spans="1:12" x14ac:dyDescent="0.3">
      <c r="A10084"/>
      <c r="B10084" s="72"/>
      <c r="E10084" s="72"/>
      <c r="H10084" s="49"/>
      <c r="K10084"/>
      <c r="L10084" s="73"/>
    </row>
    <row r="10085" spans="1:12" x14ac:dyDescent="0.3">
      <c r="A10085"/>
      <c r="B10085" s="72"/>
      <c r="E10085" s="72"/>
      <c r="H10085" s="49"/>
      <c r="K10085"/>
      <c r="L10085" s="73"/>
    </row>
    <row r="10086" spans="1:12" x14ac:dyDescent="0.3">
      <c r="A10086"/>
      <c r="B10086" s="72"/>
      <c r="E10086" s="72"/>
      <c r="H10086" s="49"/>
      <c r="K10086"/>
      <c r="L10086" s="73"/>
    </row>
    <row r="10087" spans="1:12" x14ac:dyDescent="0.3">
      <c r="A10087"/>
      <c r="B10087" s="72"/>
      <c r="E10087" s="72"/>
      <c r="H10087" s="49"/>
      <c r="K10087"/>
      <c r="L10087" s="73"/>
    </row>
    <row r="10088" spans="1:12" x14ac:dyDescent="0.3">
      <c r="A10088"/>
      <c r="B10088" s="72"/>
      <c r="E10088" s="72"/>
      <c r="H10088" s="49"/>
      <c r="K10088"/>
      <c r="L10088" s="73"/>
    </row>
    <row r="10089" spans="1:12" x14ac:dyDescent="0.3">
      <c r="A10089"/>
      <c r="B10089" s="72"/>
      <c r="E10089" s="72"/>
      <c r="H10089" s="49"/>
      <c r="K10089"/>
      <c r="L10089" s="73"/>
    </row>
    <row r="10090" spans="1:12" x14ac:dyDescent="0.3">
      <c r="A10090"/>
      <c r="B10090" s="72"/>
      <c r="E10090" s="72"/>
      <c r="H10090" s="49"/>
      <c r="K10090"/>
      <c r="L10090" s="73"/>
    </row>
    <row r="10091" spans="1:12" x14ac:dyDescent="0.3">
      <c r="A10091"/>
      <c r="B10091" s="72"/>
      <c r="E10091" s="72"/>
      <c r="H10091" s="49"/>
      <c r="K10091"/>
      <c r="L10091" s="73"/>
    </row>
    <row r="10092" spans="1:12" x14ac:dyDescent="0.3">
      <c r="A10092"/>
      <c r="B10092" s="72"/>
      <c r="E10092" s="72"/>
      <c r="H10092" s="49"/>
      <c r="K10092"/>
      <c r="L10092" s="73"/>
    </row>
    <row r="10093" spans="1:12" x14ac:dyDescent="0.3">
      <c r="A10093"/>
      <c r="B10093" s="72"/>
      <c r="E10093" s="72"/>
      <c r="H10093" s="49"/>
      <c r="K10093"/>
      <c r="L10093" s="73"/>
    </row>
    <row r="10094" spans="1:12" x14ac:dyDescent="0.3">
      <c r="A10094"/>
      <c r="B10094" s="72"/>
      <c r="E10094" s="72"/>
      <c r="H10094" s="49"/>
      <c r="K10094"/>
      <c r="L10094" s="73"/>
    </row>
    <row r="10095" spans="1:12" x14ac:dyDescent="0.3">
      <c r="A10095"/>
      <c r="B10095" s="72"/>
      <c r="E10095" s="72"/>
      <c r="H10095" s="49"/>
      <c r="K10095"/>
      <c r="L10095" s="73"/>
    </row>
    <row r="10096" spans="1:12" x14ac:dyDescent="0.3">
      <c r="A10096"/>
      <c r="B10096" s="72"/>
      <c r="E10096" s="72"/>
      <c r="H10096" s="49"/>
      <c r="K10096"/>
      <c r="L10096" s="73"/>
    </row>
    <row r="10097" spans="1:12" x14ac:dyDescent="0.3">
      <c r="A10097"/>
      <c r="B10097" s="72"/>
      <c r="E10097" s="72"/>
      <c r="H10097" s="49"/>
      <c r="K10097"/>
      <c r="L10097" s="73"/>
    </row>
    <row r="10098" spans="1:12" x14ac:dyDescent="0.3">
      <c r="A10098"/>
      <c r="B10098" s="72"/>
      <c r="E10098" s="72"/>
      <c r="H10098" s="49"/>
      <c r="K10098"/>
      <c r="L10098" s="73"/>
    </row>
    <row r="10099" spans="1:12" x14ac:dyDescent="0.3">
      <c r="A10099"/>
      <c r="B10099" s="72"/>
      <c r="E10099" s="72"/>
      <c r="H10099" s="49"/>
      <c r="K10099"/>
      <c r="L10099" s="73"/>
    </row>
    <row r="10100" spans="1:12" x14ac:dyDescent="0.3">
      <c r="A10100"/>
      <c r="B10100" s="72"/>
      <c r="E10100" s="72"/>
      <c r="H10100" s="49"/>
      <c r="K10100"/>
      <c r="L10100" s="73"/>
    </row>
    <row r="10101" spans="1:12" x14ac:dyDescent="0.3">
      <c r="A10101"/>
      <c r="B10101" s="72"/>
      <c r="E10101" s="72"/>
      <c r="H10101" s="49"/>
      <c r="K10101"/>
      <c r="L10101" s="73"/>
    </row>
    <row r="10102" spans="1:12" x14ac:dyDescent="0.3">
      <c r="A10102"/>
      <c r="B10102" s="72"/>
      <c r="E10102" s="72"/>
      <c r="H10102" s="49"/>
      <c r="K10102"/>
      <c r="L10102" s="73"/>
    </row>
    <row r="10103" spans="1:12" x14ac:dyDescent="0.3">
      <c r="A10103"/>
      <c r="B10103" s="72"/>
      <c r="E10103" s="72"/>
      <c r="H10103" s="49"/>
      <c r="K10103"/>
      <c r="L10103" s="73"/>
    </row>
    <row r="10104" spans="1:12" x14ac:dyDescent="0.3">
      <c r="A10104"/>
      <c r="B10104" s="72"/>
      <c r="E10104" s="72"/>
      <c r="H10104" s="49"/>
      <c r="K10104"/>
      <c r="L10104" s="73"/>
    </row>
    <row r="10105" spans="1:12" x14ac:dyDescent="0.3">
      <c r="A10105"/>
      <c r="B10105" s="72"/>
      <c r="E10105" s="72"/>
      <c r="H10105" s="49"/>
      <c r="K10105"/>
      <c r="L10105" s="73"/>
    </row>
    <row r="10106" spans="1:12" x14ac:dyDescent="0.3">
      <c r="A10106"/>
      <c r="B10106" s="72"/>
      <c r="E10106" s="72"/>
      <c r="H10106" s="49"/>
      <c r="K10106"/>
      <c r="L10106" s="73"/>
    </row>
    <row r="10107" spans="1:12" x14ac:dyDescent="0.3">
      <c r="A10107"/>
      <c r="B10107" s="72"/>
      <c r="E10107" s="72"/>
      <c r="H10107" s="49"/>
      <c r="K10107"/>
      <c r="L10107" s="73"/>
    </row>
    <row r="10108" spans="1:12" x14ac:dyDescent="0.3">
      <c r="A10108"/>
      <c r="B10108" s="72"/>
      <c r="E10108" s="72"/>
      <c r="H10108" s="49"/>
      <c r="K10108"/>
      <c r="L10108" s="73"/>
    </row>
    <row r="10109" spans="1:12" x14ac:dyDescent="0.3">
      <c r="A10109"/>
      <c r="B10109" s="72"/>
      <c r="E10109" s="72"/>
      <c r="H10109" s="49"/>
      <c r="K10109"/>
      <c r="L10109" s="73"/>
    </row>
    <row r="10110" spans="1:12" x14ac:dyDescent="0.3">
      <c r="A10110"/>
      <c r="B10110" s="72"/>
      <c r="E10110" s="72"/>
      <c r="H10110" s="49"/>
      <c r="K10110"/>
      <c r="L10110" s="73"/>
    </row>
    <row r="10111" spans="1:12" x14ac:dyDescent="0.3">
      <c r="A10111"/>
      <c r="B10111" s="72"/>
      <c r="E10111" s="72"/>
      <c r="H10111" s="49"/>
      <c r="K10111"/>
      <c r="L10111" s="73"/>
    </row>
    <row r="10112" spans="1:12" x14ac:dyDescent="0.3">
      <c r="A10112"/>
      <c r="B10112" s="72"/>
      <c r="E10112" s="72"/>
      <c r="H10112" s="49"/>
      <c r="K10112"/>
      <c r="L10112" s="73"/>
    </row>
    <row r="10113" spans="1:12" x14ac:dyDescent="0.3">
      <c r="A10113"/>
      <c r="B10113" s="72"/>
      <c r="E10113" s="72"/>
      <c r="H10113" s="49"/>
      <c r="K10113"/>
      <c r="L10113" s="73"/>
    </row>
    <row r="10114" spans="1:12" x14ac:dyDescent="0.3">
      <c r="A10114"/>
      <c r="B10114" s="72"/>
      <c r="E10114" s="72"/>
      <c r="H10114" s="49"/>
      <c r="K10114"/>
      <c r="L10114" s="73"/>
    </row>
    <row r="10115" spans="1:12" x14ac:dyDescent="0.3">
      <c r="A10115"/>
      <c r="B10115" s="72"/>
      <c r="E10115" s="72"/>
      <c r="H10115" s="49"/>
      <c r="K10115"/>
      <c r="L10115" s="73"/>
    </row>
    <row r="10116" spans="1:12" x14ac:dyDescent="0.3">
      <c r="A10116"/>
      <c r="B10116" s="72"/>
      <c r="E10116" s="72"/>
      <c r="H10116" s="49"/>
      <c r="K10116"/>
      <c r="L10116" s="73"/>
    </row>
    <row r="10117" spans="1:12" x14ac:dyDescent="0.3">
      <c r="A10117"/>
      <c r="B10117" s="72"/>
      <c r="E10117" s="72"/>
      <c r="H10117" s="49"/>
      <c r="K10117"/>
      <c r="L10117" s="73"/>
    </row>
    <row r="10118" spans="1:12" x14ac:dyDescent="0.3">
      <c r="A10118"/>
      <c r="B10118" s="72"/>
      <c r="E10118" s="72"/>
      <c r="H10118" s="49"/>
      <c r="K10118"/>
      <c r="L10118" s="73"/>
    </row>
    <row r="10119" spans="1:12" x14ac:dyDescent="0.3">
      <c r="A10119"/>
      <c r="B10119" s="72"/>
      <c r="E10119" s="72"/>
      <c r="H10119" s="49"/>
      <c r="K10119"/>
      <c r="L10119" s="73"/>
    </row>
    <row r="10120" spans="1:12" x14ac:dyDescent="0.3">
      <c r="A10120"/>
      <c r="B10120" s="72"/>
      <c r="E10120" s="72"/>
      <c r="H10120" s="49"/>
      <c r="K10120"/>
      <c r="L10120" s="73"/>
    </row>
    <row r="10121" spans="1:12" x14ac:dyDescent="0.3">
      <c r="A10121"/>
      <c r="B10121" s="72"/>
      <c r="E10121" s="72"/>
      <c r="H10121" s="49"/>
      <c r="K10121"/>
      <c r="L10121" s="73"/>
    </row>
    <row r="10122" spans="1:12" x14ac:dyDescent="0.3">
      <c r="A10122"/>
      <c r="B10122" s="72"/>
      <c r="E10122" s="72"/>
      <c r="H10122" s="49"/>
      <c r="K10122"/>
      <c r="L10122" s="73"/>
    </row>
    <row r="10123" spans="1:12" x14ac:dyDescent="0.3">
      <c r="A10123"/>
      <c r="B10123" s="72"/>
      <c r="E10123" s="72"/>
      <c r="H10123" s="49"/>
      <c r="K10123"/>
      <c r="L10123" s="73"/>
    </row>
    <row r="10124" spans="1:12" x14ac:dyDescent="0.3">
      <c r="A10124"/>
      <c r="B10124" s="72"/>
      <c r="E10124" s="72"/>
      <c r="H10124" s="49"/>
      <c r="K10124"/>
      <c r="L10124" s="73"/>
    </row>
    <row r="10125" spans="1:12" x14ac:dyDescent="0.3">
      <c r="A10125"/>
      <c r="B10125" s="72"/>
      <c r="E10125" s="72"/>
      <c r="H10125" s="49"/>
      <c r="K10125"/>
      <c r="L10125" s="73"/>
    </row>
    <row r="10126" spans="1:12" x14ac:dyDescent="0.3">
      <c r="A10126"/>
      <c r="B10126" s="72"/>
      <c r="E10126" s="72"/>
      <c r="H10126" s="49"/>
      <c r="K10126"/>
      <c r="L10126" s="73"/>
    </row>
    <row r="10127" spans="1:12" x14ac:dyDescent="0.3">
      <c r="A10127"/>
      <c r="B10127" s="72"/>
      <c r="E10127" s="72"/>
      <c r="H10127" s="49"/>
      <c r="K10127"/>
      <c r="L10127" s="73"/>
    </row>
    <row r="10128" spans="1:12" x14ac:dyDescent="0.3">
      <c r="A10128"/>
      <c r="B10128" s="72"/>
      <c r="E10128" s="72"/>
      <c r="H10128" s="49"/>
      <c r="K10128"/>
      <c r="L10128" s="73"/>
    </row>
    <row r="10129" spans="1:12" x14ac:dyDescent="0.3">
      <c r="A10129"/>
      <c r="B10129" s="72"/>
      <c r="E10129" s="72"/>
      <c r="H10129" s="49"/>
      <c r="K10129"/>
      <c r="L10129" s="73"/>
    </row>
    <row r="10130" spans="1:12" x14ac:dyDescent="0.3">
      <c r="A10130"/>
      <c r="B10130" s="72"/>
      <c r="E10130" s="72"/>
      <c r="H10130" s="49"/>
      <c r="K10130"/>
      <c r="L10130" s="73"/>
    </row>
    <row r="10131" spans="1:12" x14ac:dyDescent="0.3">
      <c r="A10131"/>
      <c r="B10131" s="72"/>
      <c r="E10131" s="72"/>
      <c r="H10131" s="49"/>
      <c r="K10131"/>
      <c r="L10131" s="73"/>
    </row>
    <row r="10132" spans="1:12" x14ac:dyDescent="0.3">
      <c r="A10132"/>
      <c r="B10132" s="72"/>
      <c r="E10132" s="72"/>
      <c r="H10132" s="49"/>
      <c r="K10132"/>
      <c r="L10132" s="73"/>
    </row>
    <row r="10133" spans="1:12" x14ac:dyDescent="0.3">
      <c r="A10133"/>
      <c r="B10133" s="72"/>
      <c r="E10133" s="72"/>
      <c r="H10133" s="49"/>
      <c r="K10133"/>
      <c r="L10133" s="73"/>
    </row>
    <row r="10134" spans="1:12" x14ac:dyDescent="0.3">
      <c r="A10134"/>
      <c r="B10134" s="72"/>
      <c r="E10134" s="72"/>
      <c r="H10134" s="49"/>
      <c r="K10134"/>
      <c r="L10134" s="73"/>
    </row>
    <row r="10135" spans="1:12" x14ac:dyDescent="0.3">
      <c r="A10135"/>
      <c r="B10135" s="72"/>
      <c r="E10135" s="72"/>
      <c r="H10135" s="49"/>
      <c r="K10135"/>
      <c r="L10135" s="73"/>
    </row>
    <row r="10136" spans="1:12" x14ac:dyDescent="0.3">
      <c r="A10136"/>
      <c r="B10136" s="72"/>
      <c r="E10136" s="72"/>
      <c r="H10136" s="49"/>
      <c r="K10136"/>
      <c r="L10136" s="73"/>
    </row>
    <row r="10137" spans="1:12" x14ac:dyDescent="0.3">
      <c r="A10137"/>
      <c r="B10137" s="72"/>
      <c r="E10137" s="72"/>
      <c r="H10137" s="49"/>
      <c r="K10137"/>
      <c r="L10137" s="73"/>
    </row>
    <row r="10138" spans="1:12" x14ac:dyDescent="0.3">
      <c r="A10138"/>
      <c r="B10138" s="72"/>
      <c r="E10138" s="72"/>
      <c r="H10138" s="49"/>
      <c r="K10138"/>
      <c r="L10138" s="73"/>
    </row>
    <row r="10139" spans="1:12" x14ac:dyDescent="0.3">
      <c r="A10139"/>
      <c r="B10139" s="72"/>
      <c r="E10139" s="72"/>
      <c r="H10139" s="49"/>
      <c r="K10139"/>
      <c r="L10139" s="73"/>
    </row>
    <row r="10140" spans="1:12" x14ac:dyDescent="0.3">
      <c r="A10140"/>
      <c r="B10140" s="72"/>
      <c r="E10140" s="72"/>
      <c r="H10140" s="49"/>
      <c r="K10140"/>
      <c r="L10140" s="73"/>
    </row>
    <row r="10141" spans="1:12" x14ac:dyDescent="0.3">
      <c r="A10141"/>
      <c r="B10141" s="72"/>
      <c r="E10141" s="72"/>
      <c r="H10141" s="49"/>
      <c r="K10141"/>
      <c r="L10141" s="73"/>
    </row>
    <row r="10142" spans="1:12" x14ac:dyDescent="0.3">
      <c r="A10142"/>
      <c r="B10142" s="72"/>
      <c r="E10142" s="72"/>
      <c r="H10142" s="49"/>
      <c r="K10142"/>
      <c r="L10142" s="73"/>
    </row>
    <row r="10143" spans="1:12" x14ac:dyDescent="0.3">
      <c r="A10143"/>
      <c r="B10143" s="72"/>
      <c r="E10143" s="72"/>
      <c r="H10143" s="49"/>
      <c r="K10143"/>
      <c r="L10143" s="73"/>
    </row>
    <row r="10144" spans="1:12" x14ac:dyDescent="0.3">
      <c r="A10144"/>
      <c r="B10144" s="72"/>
      <c r="E10144" s="72"/>
      <c r="H10144" s="49"/>
      <c r="K10144"/>
      <c r="L10144" s="73"/>
    </row>
    <row r="10145" spans="1:12" x14ac:dyDescent="0.3">
      <c r="A10145"/>
      <c r="B10145" s="72"/>
      <c r="E10145" s="72"/>
      <c r="H10145" s="49"/>
      <c r="K10145"/>
      <c r="L10145" s="73"/>
    </row>
    <row r="10146" spans="1:12" x14ac:dyDescent="0.3">
      <c r="A10146"/>
      <c r="B10146" s="72"/>
      <c r="E10146" s="72"/>
      <c r="H10146" s="49"/>
      <c r="K10146"/>
      <c r="L10146" s="73"/>
    </row>
    <row r="10147" spans="1:12" x14ac:dyDescent="0.3">
      <c r="A10147"/>
      <c r="B10147" s="72"/>
      <c r="E10147" s="72"/>
      <c r="H10147" s="49"/>
      <c r="K10147"/>
      <c r="L10147" s="73"/>
    </row>
    <row r="10148" spans="1:12" x14ac:dyDescent="0.3">
      <c r="A10148"/>
      <c r="B10148" s="72"/>
      <c r="E10148" s="72"/>
      <c r="H10148" s="49"/>
      <c r="K10148"/>
      <c r="L10148" s="73"/>
    </row>
    <row r="10149" spans="1:12" x14ac:dyDescent="0.3">
      <c r="A10149"/>
      <c r="B10149" s="72"/>
      <c r="E10149" s="72"/>
      <c r="H10149" s="49"/>
      <c r="K10149"/>
      <c r="L10149" s="73"/>
    </row>
    <row r="10150" spans="1:12" x14ac:dyDescent="0.3">
      <c r="A10150"/>
      <c r="B10150" s="72"/>
      <c r="E10150" s="72"/>
      <c r="H10150" s="49"/>
      <c r="K10150"/>
      <c r="L10150" s="73"/>
    </row>
    <row r="10151" spans="1:12" x14ac:dyDescent="0.3">
      <c r="A10151"/>
      <c r="B10151" s="72"/>
      <c r="E10151" s="72"/>
      <c r="H10151" s="49"/>
      <c r="K10151"/>
      <c r="L10151" s="73"/>
    </row>
    <row r="10152" spans="1:12" x14ac:dyDescent="0.3">
      <c r="A10152"/>
      <c r="B10152" s="72"/>
      <c r="E10152" s="72"/>
      <c r="H10152" s="49"/>
      <c r="K10152"/>
      <c r="L10152" s="73"/>
    </row>
    <row r="10153" spans="1:12" x14ac:dyDescent="0.3">
      <c r="A10153"/>
      <c r="B10153" s="72"/>
      <c r="E10153" s="72"/>
      <c r="H10153" s="49"/>
      <c r="K10153"/>
      <c r="L10153" s="73"/>
    </row>
    <row r="10154" spans="1:12" x14ac:dyDescent="0.3">
      <c r="A10154"/>
      <c r="B10154" s="72"/>
      <c r="E10154" s="72"/>
      <c r="H10154" s="49"/>
      <c r="K10154"/>
      <c r="L10154" s="73"/>
    </row>
    <row r="10155" spans="1:12" x14ac:dyDescent="0.3">
      <c r="A10155"/>
      <c r="B10155" s="72"/>
      <c r="E10155" s="72"/>
      <c r="H10155" s="49"/>
      <c r="K10155"/>
      <c r="L10155" s="73"/>
    </row>
    <row r="10156" spans="1:12" x14ac:dyDescent="0.3">
      <c r="A10156"/>
      <c r="B10156" s="72"/>
      <c r="E10156" s="72"/>
      <c r="H10156" s="49"/>
      <c r="K10156"/>
      <c r="L10156" s="73"/>
    </row>
    <row r="10157" spans="1:12" x14ac:dyDescent="0.3">
      <c r="A10157"/>
      <c r="B10157" s="72"/>
      <c r="E10157" s="72"/>
      <c r="H10157" s="49"/>
      <c r="K10157"/>
      <c r="L10157" s="73"/>
    </row>
    <row r="10158" spans="1:12" x14ac:dyDescent="0.3">
      <c r="A10158"/>
      <c r="B10158" s="72"/>
      <c r="E10158" s="72"/>
      <c r="H10158" s="49"/>
      <c r="K10158"/>
      <c r="L10158" s="73"/>
    </row>
    <row r="10159" spans="1:12" x14ac:dyDescent="0.3">
      <c r="A10159"/>
      <c r="B10159" s="72"/>
      <c r="E10159" s="72"/>
      <c r="H10159" s="49"/>
      <c r="K10159"/>
      <c r="L10159" s="73"/>
    </row>
    <row r="10160" spans="1:12" x14ac:dyDescent="0.3">
      <c r="A10160"/>
      <c r="B10160" s="72"/>
      <c r="E10160" s="72"/>
      <c r="H10160" s="49"/>
      <c r="K10160"/>
      <c r="L10160" s="73"/>
    </row>
    <row r="10161" spans="1:12" x14ac:dyDescent="0.3">
      <c r="A10161"/>
      <c r="B10161" s="72"/>
      <c r="E10161" s="72"/>
      <c r="H10161" s="49"/>
      <c r="K10161"/>
      <c r="L10161" s="73"/>
    </row>
    <row r="10162" spans="1:12" x14ac:dyDescent="0.3">
      <c r="A10162"/>
      <c r="B10162" s="72"/>
      <c r="E10162" s="72"/>
      <c r="H10162" s="49"/>
      <c r="K10162"/>
      <c r="L10162" s="73"/>
    </row>
    <row r="10163" spans="1:12" x14ac:dyDescent="0.3">
      <c r="A10163"/>
      <c r="B10163" s="72"/>
      <c r="E10163" s="72"/>
      <c r="H10163" s="49"/>
      <c r="K10163"/>
      <c r="L10163" s="73"/>
    </row>
    <row r="10164" spans="1:12" x14ac:dyDescent="0.3">
      <c r="A10164"/>
      <c r="B10164" s="72"/>
      <c r="E10164" s="72"/>
      <c r="H10164" s="49"/>
      <c r="K10164"/>
      <c r="L10164" s="73"/>
    </row>
    <row r="10165" spans="1:12" x14ac:dyDescent="0.3">
      <c r="A10165"/>
      <c r="B10165" s="72"/>
      <c r="E10165" s="72"/>
      <c r="H10165" s="49"/>
      <c r="K10165"/>
      <c r="L10165" s="73"/>
    </row>
    <row r="10166" spans="1:12" x14ac:dyDescent="0.3">
      <c r="A10166"/>
      <c r="B10166" s="72"/>
      <c r="E10166" s="72"/>
      <c r="H10166" s="49"/>
      <c r="K10166"/>
      <c r="L10166" s="73"/>
    </row>
    <row r="10167" spans="1:12" x14ac:dyDescent="0.3">
      <c r="A10167"/>
      <c r="B10167" s="72"/>
      <c r="E10167" s="72"/>
      <c r="H10167" s="49"/>
      <c r="K10167"/>
      <c r="L10167" s="73"/>
    </row>
    <row r="10168" spans="1:12" x14ac:dyDescent="0.3">
      <c r="A10168"/>
      <c r="B10168" s="72"/>
      <c r="E10168" s="72"/>
      <c r="H10168" s="49"/>
      <c r="K10168"/>
      <c r="L10168" s="73"/>
    </row>
    <row r="10169" spans="1:12" x14ac:dyDescent="0.3">
      <c r="A10169"/>
      <c r="B10169" s="72"/>
      <c r="E10169" s="72"/>
      <c r="H10169" s="49"/>
      <c r="K10169"/>
      <c r="L10169" s="73"/>
    </row>
    <row r="10170" spans="1:12" x14ac:dyDescent="0.3">
      <c r="A10170"/>
      <c r="B10170" s="72"/>
      <c r="E10170" s="72"/>
      <c r="H10170" s="49"/>
      <c r="K10170"/>
      <c r="L10170" s="73"/>
    </row>
    <row r="10171" spans="1:12" x14ac:dyDescent="0.3">
      <c r="A10171"/>
      <c r="B10171" s="72"/>
      <c r="E10171" s="72"/>
      <c r="H10171" s="49"/>
      <c r="K10171"/>
      <c r="L10171" s="73"/>
    </row>
    <row r="10172" spans="1:12" x14ac:dyDescent="0.3">
      <c r="A10172"/>
      <c r="B10172" s="72"/>
      <c r="E10172" s="72"/>
      <c r="H10172" s="49"/>
      <c r="K10172"/>
      <c r="L10172" s="73"/>
    </row>
    <row r="10173" spans="1:12" x14ac:dyDescent="0.3">
      <c r="A10173"/>
      <c r="B10173" s="72"/>
      <c r="E10173" s="72"/>
      <c r="H10173" s="49"/>
      <c r="K10173"/>
      <c r="L10173" s="73"/>
    </row>
    <row r="10174" spans="1:12" x14ac:dyDescent="0.3">
      <c r="A10174"/>
      <c r="B10174" s="72"/>
      <c r="E10174" s="72"/>
      <c r="H10174" s="49"/>
      <c r="K10174"/>
      <c r="L10174" s="73"/>
    </row>
    <row r="10175" spans="1:12" x14ac:dyDescent="0.3">
      <c r="A10175"/>
      <c r="B10175" s="72"/>
      <c r="E10175" s="72"/>
      <c r="H10175" s="49"/>
      <c r="K10175"/>
      <c r="L10175" s="73"/>
    </row>
    <row r="10176" spans="1:12" x14ac:dyDescent="0.3">
      <c r="A10176"/>
      <c r="B10176" s="72"/>
      <c r="E10176" s="72"/>
      <c r="H10176" s="49"/>
      <c r="K10176"/>
      <c r="L10176" s="73"/>
    </row>
    <row r="10177" spans="1:12" x14ac:dyDescent="0.3">
      <c r="A10177"/>
      <c r="B10177" s="72"/>
      <c r="E10177" s="72"/>
      <c r="H10177" s="49"/>
      <c r="K10177"/>
      <c r="L10177" s="73"/>
    </row>
    <row r="10178" spans="1:12" x14ac:dyDescent="0.3">
      <c r="A10178"/>
      <c r="B10178" s="72"/>
      <c r="E10178" s="72"/>
      <c r="H10178" s="49"/>
      <c r="K10178"/>
      <c r="L10178" s="73"/>
    </row>
    <row r="10179" spans="1:12" x14ac:dyDescent="0.3">
      <c r="A10179"/>
      <c r="B10179" s="72"/>
      <c r="E10179" s="72"/>
      <c r="H10179" s="49"/>
      <c r="K10179"/>
      <c r="L10179" s="73"/>
    </row>
    <row r="10180" spans="1:12" x14ac:dyDescent="0.3">
      <c r="A10180"/>
      <c r="B10180" s="72"/>
      <c r="E10180" s="72"/>
      <c r="H10180" s="49"/>
      <c r="K10180"/>
      <c r="L10180" s="73"/>
    </row>
    <row r="10181" spans="1:12" x14ac:dyDescent="0.3">
      <c r="A10181"/>
      <c r="B10181" s="72"/>
      <c r="E10181" s="72"/>
      <c r="H10181" s="49"/>
      <c r="K10181"/>
      <c r="L10181" s="73"/>
    </row>
    <row r="10182" spans="1:12" x14ac:dyDescent="0.3">
      <c r="A10182"/>
      <c r="B10182" s="72"/>
      <c r="E10182" s="72"/>
      <c r="H10182" s="49"/>
      <c r="K10182"/>
      <c r="L10182" s="73"/>
    </row>
    <row r="10183" spans="1:12" x14ac:dyDescent="0.3">
      <c r="A10183"/>
      <c r="B10183" s="72"/>
      <c r="E10183" s="72"/>
      <c r="H10183" s="49"/>
      <c r="K10183"/>
      <c r="L10183" s="73"/>
    </row>
    <row r="10184" spans="1:12" x14ac:dyDescent="0.3">
      <c r="A10184"/>
      <c r="B10184" s="72"/>
      <c r="E10184" s="72"/>
      <c r="H10184" s="49"/>
      <c r="K10184"/>
      <c r="L10184" s="73"/>
    </row>
    <row r="10185" spans="1:12" x14ac:dyDescent="0.3">
      <c r="A10185"/>
      <c r="B10185" s="72"/>
      <c r="E10185" s="72"/>
      <c r="H10185" s="49"/>
      <c r="K10185"/>
      <c r="L10185" s="73"/>
    </row>
    <row r="10186" spans="1:12" x14ac:dyDescent="0.3">
      <c r="A10186"/>
      <c r="B10186" s="72"/>
      <c r="E10186" s="72"/>
      <c r="H10186" s="49"/>
      <c r="K10186"/>
      <c r="L10186" s="73"/>
    </row>
    <row r="10187" spans="1:12" x14ac:dyDescent="0.3">
      <c r="A10187"/>
      <c r="B10187" s="72"/>
      <c r="E10187" s="72"/>
      <c r="H10187" s="49"/>
      <c r="K10187"/>
      <c r="L10187" s="73"/>
    </row>
    <row r="10188" spans="1:12" x14ac:dyDescent="0.3">
      <c r="A10188"/>
      <c r="B10188" s="72"/>
      <c r="E10188" s="72"/>
      <c r="H10188" s="49"/>
      <c r="K10188"/>
      <c r="L10188" s="73"/>
    </row>
    <row r="10189" spans="1:12" x14ac:dyDescent="0.3">
      <c r="A10189"/>
      <c r="B10189" s="72"/>
      <c r="E10189" s="72"/>
      <c r="H10189" s="49"/>
      <c r="K10189"/>
      <c r="L10189" s="73"/>
    </row>
    <row r="10190" spans="1:12" x14ac:dyDescent="0.3">
      <c r="A10190"/>
      <c r="B10190" s="72"/>
      <c r="E10190" s="72"/>
      <c r="H10190" s="49"/>
      <c r="K10190"/>
      <c r="L10190" s="73"/>
    </row>
    <row r="10191" spans="1:12" x14ac:dyDescent="0.3">
      <c r="A10191"/>
      <c r="B10191" s="72"/>
      <c r="E10191" s="72"/>
      <c r="H10191" s="49"/>
      <c r="K10191"/>
      <c r="L10191" s="73"/>
    </row>
    <row r="10192" spans="1:12" x14ac:dyDescent="0.3">
      <c r="A10192"/>
      <c r="B10192" s="72"/>
      <c r="E10192" s="72"/>
      <c r="H10192" s="49"/>
      <c r="K10192"/>
      <c r="L10192" s="73"/>
    </row>
    <row r="10193" spans="1:12" x14ac:dyDescent="0.3">
      <c r="A10193"/>
      <c r="B10193" s="72"/>
      <c r="E10193" s="72"/>
      <c r="H10193" s="49"/>
      <c r="K10193"/>
      <c r="L10193" s="73"/>
    </row>
    <row r="10194" spans="1:12" x14ac:dyDescent="0.3">
      <c r="A10194"/>
      <c r="B10194" s="72"/>
      <c r="E10194" s="72"/>
      <c r="H10194" s="49"/>
      <c r="K10194"/>
      <c r="L10194" s="73"/>
    </row>
    <row r="10195" spans="1:12" x14ac:dyDescent="0.3">
      <c r="A10195"/>
      <c r="B10195" s="72"/>
      <c r="E10195" s="72"/>
      <c r="H10195" s="49"/>
      <c r="K10195"/>
      <c r="L10195" s="73"/>
    </row>
    <row r="10196" spans="1:12" x14ac:dyDescent="0.3">
      <c r="A10196"/>
      <c r="B10196" s="72"/>
      <c r="E10196" s="72"/>
      <c r="H10196" s="49"/>
      <c r="K10196"/>
      <c r="L10196" s="73"/>
    </row>
    <row r="10197" spans="1:12" x14ac:dyDescent="0.3">
      <c r="A10197"/>
      <c r="B10197" s="72"/>
      <c r="E10197" s="72"/>
      <c r="H10197" s="49"/>
      <c r="K10197"/>
      <c r="L10197" s="73"/>
    </row>
    <row r="10198" spans="1:12" x14ac:dyDescent="0.3">
      <c r="A10198"/>
      <c r="B10198" s="72"/>
      <c r="E10198" s="72"/>
      <c r="H10198" s="49"/>
      <c r="K10198"/>
      <c r="L10198" s="73"/>
    </row>
    <row r="10199" spans="1:12" x14ac:dyDescent="0.3">
      <c r="A10199"/>
      <c r="B10199" s="72"/>
      <c r="E10199" s="72"/>
      <c r="H10199" s="49"/>
      <c r="K10199"/>
      <c r="L10199" s="73"/>
    </row>
    <row r="10200" spans="1:12" x14ac:dyDescent="0.3">
      <c r="A10200"/>
      <c r="B10200" s="72"/>
      <c r="E10200" s="72"/>
      <c r="H10200" s="49"/>
      <c r="K10200"/>
      <c r="L10200" s="73"/>
    </row>
    <row r="10201" spans="1:12" x14ac:dyDescent="0.3">
      <c r="A10201"/>
      <c r="B10201" s="72"/>
      <c r="E10201" s="72"/>
      <c r="H10201" s="49"/>
      <c r="K10201"/>
      <c r="L10201" s="73"/>
    </row>
    <row r="10202" spans="1:12" x14ac:dyDescent="0.3">
      <c r="A10202"/>
      <c r="B10202" s="72"/>
      <c r="E10202" s="72"/>
      <c r="H10202" s="49"/>
      <c r="K10202"/>
      <c r="L10202" s="73"/>
    </row>
    <row r="10203" spans="1:12" x14ac:dyDescent="0.3">
      <c r="A10203"/>
      <c r="B10203" s="72"/>
      <c r="E10203" s="72"/>
      <c r="H10203" s="49"/>
      <c r="K10203"/>
      <c r="L10203" s="73"/>
    </row>
    <row r="10204" spans="1:12" x14ac:dyDescent="0.3">
      <c r="A10204"/>
      <c r="B10204" s="72"/>
      <c r="E10204" s="72"/>
      <c r="H10204" s="49"/>
      <c r="K10204"/>
      <c r="L10204" s="73"/>
    </row>
    <row r="10205" spans="1:12" x14ac:dyDescent="0.3">
      <c r="A10205"/>
      <c r="B10205" s="72"/>
      <c r="E10205" s="72"/>
      <c r="H10205" s="49"/>
      <c r="K10205"/>
      <c r="L10205" s="73"/>
    </row>
    <row r="10206" spans="1:12" x14ac:dyDescent="0.3">
      <c r="A10206"/>
      <c r="B10206" s="72"/>
      <c r="E10206" s="72"/>
      <c r="H10206" s="49"/>
      <c r="K10206"/>
      <c r="L10206" s="73"/>
    </row>
    <row r="10207" spans="1:12" x14ac:dyDescent="0.3">
      <c r="A10207"/>
      <c r="B10207" s="72"/>
      <c r="E10207" s="72"/>
      <c r="H10207" s="49"/>
      <c r="K10207"/>
      <c r="L10207" s="73"/>
    </row>
    <row r="10208" spans="1:12" x14ac:dyDescent="0.3">
      <c r="A10208"/>
      <c r="B10208" s="72"/>
      <c r="E10208" s="72"/>
      <c r="H10208" s="49"/>
      <c r="K10208"/>
      <c r="L10208" s="73"/>
    </row>
    <row r="10209" spans="1:12" x14ac:dyDescent="0.3">
      <c r="A10209"/>
      <c r="B10209" s="72"/>
      <c r="E10209" s="72"/>
      <c r="H10209" s="49"/>
      <c r="K10209"/>
      <c r="L10209" s="73"/>
    </row>
    <row r="10210" spans="1:12" x14ac:dyDescent="0.3">
      <c r="A10210"/>
      <c r="B10210" s="72"/>
      <c r="E10210" s="72"/>
      <c r="H10210" s="49"/>
      <c r="K10210"/>
      <c r="L10210" s="73"/>
    </row>
    <row r="10211" spans="1:12" x14ac:dyDescent="0.3">
      <c r="A10211"/>
      <c r="B10211" s="72"/>
      <c r="E10211" s="72"/>
      <c r="H10211" s="49"/>
      <c r="K10211"/>
      <c r="L10211" s="73"/>
    </row>
    <row r="10212" spans="1:12" x14ac:dyDescent="0.3">
      <c r="A10212"/>
      <c r="B10212" s="72"/>
      <c r="E10212" s="72"/>
      <c r="H10212" s="49"/>
      <c r="K10212"/>
      <c r="L10212" s="73"/>
    </row>
    <row r="10213" spans="1:12" x14ac:dyDescent="0.3">
      <c r="A10213"/>
      <c r="B10213" s="72"/>
      <c r="E10213" s="72"/>
      <c r="H10213" s="49"/>
      <c r="K10213"/>
      <c r="L10213" s="73"/>
    </row>
    <row r="10214" spans="1:12" x14ac:dyDescent="0.3">
      <c r="A10214"/>
      <c r="B10214" s="72"/>
      <c r="E10214" s="72"/>
      <c r="H10214" s="49"/>
      <c r="K10214"/>
      <c r="L10214" s="73"/>
    </row>
    <row r="10215" spans="1:12" x14ac:dyDescent="0.3">
      <c r="A10215"/>
      <c r="B10215" s="72"/>
      <c r="E10215" s="72"/>
      <c r="H10215" s="49"/>
      <c r="K10215"/>
      <c r="L10215" s="73"/>
    </row>
    <row r="10216" spans="1:12" x14ac:dyDescent="0.3">
      <c r="A10216"/>
      <c r="B10216" s="72"/>
      <c r="E10216" s="72"/>
      <c r="H10216" s="49"/>
      <c r="K10216"/>
      <c r="L10216" s="73"/>
    </row>
    <row r="10217" spans="1:12" x14ac:dyDescent="0.3">
      <c r="A10217"/>
      <c r="B10217" s="72"/>
      <c r="E10217" s="72"/>
      <c r="H10217" s="49"/>
      <c r="K10217"/>
      <c r="L10217" s="73"/>
    </row>
    <row r="10218" spans="1:12" x14ac:dyDescent="0.3">
      <c r="A10218"/>
      <c r="B10218" s="72"/>
      <c r="E10218" s="72"/>
      <c r="H10218" s="49"/>
      <c r="K10218"/>
      <c r="L10218" s="73"/>
    </row>
    <row r="10219" spans="1:12" x14ac:dyDescent="0.3">
      <c r="A10219"/>
      <c r="B10219" s="72"/>
      <c r="E10219" s="72"/>
      <c r="H10219" s="49"/>
      <c r="K10219"/>
      <c r="L10219" s="73"/>
    </row>
    <row r="10220" spans="1:12" x14ac:dyDescent="0.3">
      <c r="A10220"/>
      <c r="B10220" s="72"/>
      <c r="E10220" s="72"/>
      <c r="H10220" s="49"/>
      <c r="K10220"/>
      <c r="L10220" s="73"/>
    </row>
    <row r="10221" spans="1:12" x14ac:dyDescent="0.3">
      <c r="A10221"/>
      <c r="B10221" s="72"/>
      <c r="E10221" s="72"/>
      <c r="H10221" s="49"/>
      <c r="K10221"/>
      <c r="L10221" s="73"/>
    </row>
    <row r="10222" spans="1:12" x14ac:dyDescent="0.3">
      <c r="A10222"/>
      <c r="B10222" s="72"/>
      <c r="E10222" s="72"/>
      <c r="H10222" s="49"/>
      <c r="K10222"/>
      <c r="L10222" s="73"/>
    </row>
    <row r="10223" spans="1:12" x14ac:dyDescent="0.3">
      <c r="A10223"/>
      <c r="B10223" s="72"/>
      <c r="E10223" s="72"/>
      <c r="H10223" s="49"/>
      <c r="K10223"/>
      <c r="L10223" s="73"/>
    </row>
    <row r="10224" spans="1:12" x14ac:dyDescent="0.3">
      <c r="A10224"/>
      <c r="B10224" s="72"/>
      <c r="E10224" s="72"/>
      <c r="H10224" s="49"/>
      <c r="K10224"/>
      <c r="L10224" s="73"/>
    </row>
    <row r="10225" spans="1:12" x14ac:dyDescent="0.3">
      <c r="A10225"/>
      <c r="B10225" s="72"/>
      <c r="E10225" s="72"/>
      <c r="H10225" s="49"/>
      <c r="K10225"/>
      <c r="L10225" s="73"/>
    </row>
    <row r="10226" spans="1:12" x14ac:dyDescent="0.3">
      <c r="A10226"/>
      <c r="B10226" s="72"/>
      <c r="E10226" s="72"/>
      <c r="H10226" s="49"/>
      <c r="K10226"/>
      <c r="L10226" s="73"/>
    </row>
    <row r="10227" spans="1:12" x14ac:dyDescent="0.3">
      <c r="A10227"/>
      <c r="B10227" s="72"/>
      <c r="E10227" s="72"/>
      <c r="H10227" s="49"/>
      <c r="K10227"/>
      <c r="L10227" s="73"/>
    </row>
    <row r="10228" spans="1:12" x14ac:dyDescent="0.3">
      <c r="A10228"/>
      <c r="B10228" s="72"/>
      <c r="E10228" s="72"/>
      <c r="H10228" s="49"/>
      <c r="K10228"/>
      <c r="L10228" s="73"/>
    </row>
    <row r="10229" spans="1:12" x14ac:dyDescent="0.3">
      <c r="A10229"/>
      <c r="B10229" s="72"/>
      <c r="E10229" s="72"/>
      <c r="H10229" s="49"/>
      <c r="K10229"/>
      <c r="L10229" s="73"/>
    </row>
    <row r="10230" spans="1:12" x14ac:dyDescent="0.3">
      <c r="A10230"/>
      <c r="B10230" s="72"/>
      <c r="E10230" s="72"/>
      <c r="H10230" s="49"/>
      <c r="K10230"/>
      <c r="L10230" s="73"/>
    </row>
    <row r="10231" spans="1:12" x14ac:dyDescent="0.3">
      <c r="A10231"/>
      <c r="B10231" s="72"/>
      <c r="E10231" s="72"/>
      <c r="H10231" s="49"/>
      <c r="K10231"/>
      <c r="L10231" s="73"/>
    </row>
    <row r="10232" spans="1:12" x14ac:dyDescent="0.3">
      <c r="A10232"/>
      <c r="B10232" s="72"/>
      <c r="E10232" s="72"/>
      <c r="H10232" s="49"/>
      <c r="K10232"/>
      <c r="L10232" s="73"/>
    </row>
    <row r="10233" spans="1:12" x14ac:dyDescent="0.3">
      <c r="A10233"/>
      <c r="B10233" s="72"/>
      <c r="E10233" s="72"/>
      <c r="H10233" s="49"/>
      <c r="K10233"/>
      <c r="L10233" s="73"/>
    </row>
    <row r="10234" spans="1:12" x14ac:dyDescent="0.3">
      <c r="A10234"/>
      <c r="B10234" s="72"/>
      <c r="E10234" s="72"/>
      <c r="H10234" s="49"/>
      <c r="K10234"/>
      <c r="L10234" s="73"/>
    </row>
    <row r="10235" spans="1:12" x14ac:dyDescent="0.3">
      <c r="A10235"/>
      <c r="B10235" s="72"/>
      <c r="E10235" s="72"/>
      <c r="H10235" s="49"/>
      <c r="K10235"/>
      <c r="L10235" s="73"/>
    </row>
    <row r="10236" spans="1:12" x14ac:dyDescent="0.3">
      <c r="A10236"/>
      <c r="B10236" s="72"/>
      <c r="E10236" s="72"/>
      <c r="H10236" s="49"/>
      <c r="K10236"/>
      <c r="L10236" s="73"/>
    </row>
    <row r="10237" spans="1:12" x14ac:dyDescent="0.3">
      <c r="A10237"/>
      <c r="B10237" s="72"/>
      <c r="E10237" s="72"/>
      <c r="H10237" s="49"/>
      <c r="K10237"/>
      <c r="L10237" s="73"/>
    </row>
    <row r="10238" spans="1:12" x14ac:dyDescent="0.3">
      <c r="A10238"/>
      <c r="B10238" s="72"/>
      <c r="E10238" s="72"/>
      <c r="H10238" s="49"/>
      <c r="K10238"/>
      <c r="L10238" s="73"/>
    </row>
    <row r="10239" spans="1:12" x14ac:dyDescent="0.3">
      <c r="A10239"/>
      <c r="B10239" s="72"/>
      <c r="E10239" s="72"/>
      <c r="H10239" s="49"/>
      <c r="K10239"/>
      <c r="L10239" s="73"/>
    </row>
    <row r="10240" spans="1:12" x14ac:dyDescent="0.3">
      <c r="A10240"/>
      <c r="B10240" s="72"/>
      <c r="E10240" s="72"/>
      <c r="H10240" s="49"/>
      <c r="K10240"/>
      <c r="L10240" s="73"/>
    </row>
    <row r="10241" spans="1:12" x14ac:dyDescent="0.3">
      <c r="A10241"/>
      <c r="B10241" s="72"/>
      <c r="E10241" s="72"/>
      <c r="H10241" s="49"/>
      <c r="K10241"/>
      <c r="L10241" s="73"/>
    </row>
    <row r="10242" spans="1:12" x14ac:dyDescent="0.3">
      <c r="A10242"/>
      <c r="B10242" s="72"/>
      <c r="E10242" s="72"/>
      <c r="H10242" s="49"/>
      <c r="K10242"/>
      <c r="L10242" s="73"/>
    </row>
    <row r="10243" spans="1:12" x14ac:dyDescent="0.3">
      <c r="A10243"/>
      <c r="B10243" s="72"/>
      <c r="E10243" s="72"/>
      <c r="H10243" s="49"/>
      <c r="K10243"/>
      <c r="L10243" s="73"/>
    </row>
    <row r="10244" spans="1:12" x14ac:dyDescent="0.3">
      <c r="A10244"/>
      <c r="B10244" s="72"/>
      <c r="E10244" s="72"/>
      <c r="H10244" s="49"/>
      <c r="K10244"/>
      <c r="L10244" s="73"/>
    </row>
    <row r="10245" spans="1:12" x14ac:dyDescent="0.3">
      <c r="A10245"/>
      <c r="B10245" s="72"/>
      <c r="E10245" s="72"/>
      <c r="H10245" s="49"/>
      <c r="K10245"/>
      <c r="L10245" s="73"/>
    </row>
    <row r="10246" spans="1:12" x14ac:dyDescent="0.3">
      <c r="A10246"/>
      <c r="B10246" s="72"/>
      <c r="E10246" s="72"/>
      <c r="H10246" s="49"/>
      <c r="K10246"/>
      <c r="L10246" s="73"/>
    </row>
    <row r="10247" spans="1:12" x14ac:dyDescent="0.3">
      <c r="A10247"/>
      <c r="B10247" s="72"/>
      <c r="E10247" s="72"/>
      <c r="H10247" s="49"/>
      <c r="K10247"/>
      <c r="L10247" s="73"/>
    </row>
    <row r="10248" spans="1:12" x14ac:dyDescent="0.3">
      <c r="A10248"/>
      <c r="B10248" s="72"/>
      <c r="E10248" s="72"/>
      <c r="H10248" s="49"/>
      <c r="K10248"/>
      <c r="L10248" s="73"/>
    </row>
    <row r="10249" spans="1:12" x14ac:dyDescent="0.3">
      <c r="A10249"/>
      <c r="B10249" s="72"/>
      <c r="E10249" s="72"/>
      <c r="H10249" s="49"/>
      <c r="K10249"/>
      <c r="L10249" s="73"/>
    </row>
    <row r="10250" spans="1:12" x14ac:dyDescent="0.3">
      <c r="A10250"/>
      <c r="B10250" s="72"/>
      <c r="E10250" s="72"/>
      <c r="H10250" s="49"/>
      <c r="K10250"/>
      <c r="L10250" s="73"/>
    </row>
    <row r="10251" spans="1:12" x14ac:dyDescent="0.3">
      <c r="A10251"/>
      <c r="B10251" s="72"/>
      <c r="E10251" s="72"/>
      <c r="H10251" s="49"/>
      <c r="K10251"/>
      <c r="L10251" s="73"/>
    </row>
    <row r="10252" spans="1:12" x14ac:dyDescent="0.3">
      <c r="A10252"/>
      <c r="B10252" s="72"/>
      <c r="E10252" s="72"/>
      <c r="H10252" s="49"/>
      <c r="K10252"/>
      <c r="L10252" s="73"/>
    </row>
    <row r="10253" spans="1:12" x14ac:dyDescent="0.3">
      <c r="A10253"/>
      <c r="B10253" s="72"/>
      <c r="E10253" s="72"/>
      <c r="H10253" s="49"/>
      <c r="K10253"/>
      <c r="L10253" s="73"/>
    </row>
    <row r="10254" spans="1:12" x14ac:dyDescent="0.3">
      <c r="A10254"/>
      <c r="B10254" s="72"/>
      <c r="E10254" s="72"/>
      <c r="H10254" s="49"/>
      <c r="K10254"/>
      <c r="L10254" s="73"/>
    </row>
    <row r="10255" spans="1:12" x14ac:dyDescent="0.3">
      <c r="A10255"/>
      <c r="B10255" s="72"/>
      <c r="E10255" s="72"/>
      <c r="H10255" s="49"/>
      <c r="K10255"/>
      <c r="L10255" s="73"/>
    </row>
    <row r="10256" spans="1:12" x14ac:dyDescent="0.3">
      <c r="A10256"/>
      <c r="B10256" s="72"/>
      <c r="E10256" s="72"/>
      <c r="H10256" s="49"/>
      <c r="K10256"/>
      <c r="L10256" s="73"/>
    </row>
    <row r="10257" spans="1:12" x14ac:dyDescent="0.3">
      <c r="A10257"/>
      <c r="B10257" s="72"/>
      <c r="E10257" s="72"/>
      <c r="H10257" s="49"/>
      <c r="K10257"/>
      <c r="L10257" s="73"/>
    </row>
    <row r="10258" spans="1:12" x14ac:dyDescent="0.3">
      <c r="A10258"/>
      <c r="B10258" s="72"/>
      <c r="E10258" s="72"/>
      <c r="H10258" s="49"/>
      <c r="K10258"/>
      <c r="L10258" s="73"/>
    </row>
    <row r="10259" spans="1:12" x14ac:dyDescent="0.3">
      <c r="A10259"/>
      <c r="B10259" s="72"/>
      <c r="E10259" s="72"/>
      <c r="H10259" s="49"/>
      <c r="K10259"/>
      <c r="L10259" s="73"/>
    </row>
    <row r="10260" spans="1:12" x14ac:dyDescent="0.3">
      <c r="A10260"/>
      <c r="B10260" s="72"/>
      <c r="E10260" s="72"/>
      <c r="H10260" s="49"/>
      <c r="K10260"/>
      <c r="L10260" s="73"/>
    </row>
    <row r="10261" spans="1:12" x14ac:dyDescent="0.3">
      <c r="A10261"/>
      <c r="B10261" s="72"/>
      <c r="E10261" s="72"/>
      <c r="H10261" s="49"/>
      <c r="K10261"/>
      <c r="L10261" s="73"/>
    </row>
    <row r="10262" spans="1:12" x14ac:dyDescent="0.3">
      <c r="A10262"/>
      <c r="B10262" s="72"/>
      <c r="E10262" s="72"/>
      <c r="H10262" s="49"/>
      <c r="K10262"/>
      <c r="L10262" s="73"/>
    </row>
    <row r="10263" spans="1:12" x14ac:dyDescent="0.3">
      <c r="A10263"/>
      <c r="B10263" s="72"/>
      <c r="E10263" s="72"/>
      <c r="H10263" s="49"/>
      <c r="K10263"/>
      <c r="L10263" s="73"/>
    </row>
    <row r="10264" spans="1:12" x14ac:dyDescent="0.3">
      <c r="A10264"/>
      <c r="B10264" s="72"/>
      <c r="E10264" s="72"/>
      <c r="H10264" s="49"/>
      <c r="K10264"/>
      <c r="L10264" s="73"/>
    </row>
    <row r="10265" spans="1:12" x14ac:dyDescent="0.3">
      <c r="A10265"/>
      <c r="B10265" s="72"/>
      <c r="E10265" s="72"/>
      <c r="H10265" s="49"/>
      <c r="K10265"/>
      <c r="L10265" s="73"/>
    </row>
    <row r="10266" spans="1:12" x14ac:dyDescent="0.3">
      <c r="A10266"/>
      <c r="B10266" s="72"/>
      <c r="E10266" s="72"/>
      <c r="H10266" s="49"/>
      <c r="K10266"/>
      <c r="L10266" s="73"/>
    </row>
    <row r="10267" spans="1:12" x14ac:dyDescent="0.3">
      <c r="A10267"/>
      <c r="B10267" s="72"/>
      <c r="E10267" s="72"/>
      <c r="H10267" s="49"/>
      <c r="K10267"/>
      <c r="L10267" s="73"/>
    </row>
    <row r="10268" spans="1:12" x14ac:dyDescent="0.3">
      <c r="A10268"/>
      <c r="B10268" s="72"/>
      <c r="E10268" s="72"/>
      <c r="H10268" s="49"/>
      <c r="K10268"/>
      <c r="L10268" s="73"/>
    </row>
    <row r="10269" spans="1:12" x14ac:dyDescent="0.3">
      <c r="A10269"/>
      <c r="B10269" s="72"/>
      <c r="E10269" s="72"/>
      <c r="H10269" s="49"/>
      <c r="K10269"/>
      <c r="L10269" s="73"/>
    </row>
    <row r="10270" spans="1:12" x14ac:dyDescent="0.3">
      <c r="A10270"/>
      <c r="B10270" s="72"/>
      <c r="E10270" s="72"/>
      <c r="H10270" s="49"/>
      <c r="K10270"/>
      <c r="L10270" s="73"/>
    </row>
    <row r="10271" spans="1:12" x14ac:dyDescent="0.3">
      <c r="A10271"/>
      <c r="B10271" s="72"/>
      <c r="E10271" s="72"/>
      <c r="H10271" s="49"/>
      <c r="K10271"/>
      <c r="L10271" s="73"/>
    </row>
    <row r="10272" spans="1:12" x14ac:dyDescent="0.3">
      <c r="A10272"/>
      <c r="B10272" s="72"/>
      <c r="E10272" s="72"/>
      <c r="H10272" s="49"/>
      <c r="K10272"/>
      <c r="L10272" s="73"/>
    </row>
    <row r="10273" spans="1:12" x14ac:dyDescent="0.3">
      <c r="A10273"/>
      <c r="B10273" s="72"/>
      <c r="E10273" s="72"/>
      <c r="H10273" s="49"/>
      <c r="K10273"/>
      <c r="L10273" s="73"/>
    </row>
    <row r="10274" spans="1:12" x14ac:dyDescent="0.3">
      <c r="A10274"/>
      <c r="B10274" s="72"/>
      <c r="E10274" s="72"/>
      <c r="H10274" s="49"/>
      <c r="K10274"/>
      <c r="L10274" s="73"/>
    </row>
    <row r="10275" spans="1:12" x14ac:dyDescent="0.3">
      <c r="A10275"/>
      <c r="B10275" s="72"/>
      <c r="E10275" s="72"/>
      <c r="H10275" s="49"/>
      <c r="K10275"/>
      <c r="L10275" s="73"/>
    </row>
    <row r="10276" spans="1:12" x14ac:dyDescent="0.3">
      <c r="A10276"/>
      <c r="B10276" s="72"/>
      <c r="E10276" s="72"/>
      <c r="H10276" s="49"/>
      <c r="K10276"/>
      <c r="L10276" s="73"/>
    </row>
    <row r="10277" spans="1:12" x14ac:dyDescent="0.3">
      <c r="A10277"/>
      <c r="B10277" s="72"/>
      <c r="E10277" s="72"/>
      <c r="H10277" s="49"/>
      <c r="K10277"/>
      <c r="L10277" s="73"/>
    </row>
    <row r="10278" spans="1:12" x14ac:dyDescent="0.3">
      <c r="A10278"/>
      <c r="B10278" s="72"/>
      <c r="E10278" s="72"/>
      <c r="H10278" s="49"/>
      <c r="K10278"/>
      <c r="L10278" s="73"/>
    </row>
    <row r="10279" spans="1:12" x14ac:dyDescent="0.3">
      <c r="A10279"/>
      <c r="B10279" s="72"/>
      <c r="E10279" s="72"/>
      <c r="H10279" s="49"/>
      <c r="K10279"/>
      <c r="L10279" s="73"/>
    </row>
    <row r="10280" spans="1:12" x14ac:dyDescent="0.3">
      <c r="A10280"/>
      <c r="B10280" s="72"/>
      <c r="E10280" s="72"/>
      <c r="H10280" s="49"/>
      <c r="K10280"/>
      <c r="L10280" s="73"/>
    </row>
    <row r="10281" spans="1:12" x14ac:dyDescent="0.3">
      <c r="A10281"/>
      <c r="B10281" s="72"/>
      <c r="E10281" s="72"/>
      <c r="H10281" s="49"/>
      <c r="K10281"/>
      <c r="L10281" s="73"/>
    </row>
    <row r="10282" spans="1:12" x14ac:dyDescent="0.3">
      <c r="A10282"/>
      <c r="B10282" s="72"/>
      <c r="E10282" s="72"/>
      <c r="H10282" s="49"/>
      <c r="K10282"/>
      <c r="L10282" s="73"/>
    </row>
    <row r="10283" spans="1:12" x14ac:dyDescent="0.3">
      <c r="A10283"/>
      <c r="B10283" s="72"/>
      <c r="E10283" s="72"/>
      <c r="H10283" s="49"/>
      <c r="K10283"/>
      <c r="L10283" s="73"/>
    </row>
    <row r="10284" spans="1:12" x14ac:dyDescent="0.3">
      <c r="A10284"/>
      <c r="B10284" s="72"/>
      <c r="E10284" s="72"/>
      <c r="H10284" s="49"/>
      <c r="K10284"/>
      <c r="L10284" s="73"/>
    </row>
    <row r="10285" spans="1:12" x14ac:dyDescent="0.3">
      <c r="A10285"/>
      <c r="B10285" s="72"/>
      <c r="E10285" s="72"/>
      <c r="H10285" s="49"/>
      <c r="K10285"/>
      <c r="L10285" s="73"/>
    </row>
    <row r="10286" spans="1:12" x14ac:dyDescent="0.3">
      <c r="A10286"/>
      <c r="B10286" s="72"/>
      <c r="E10286" s="72"/>
      <c r="H10286" s="49"/>
      <c r="K10286"/>
      <c r="L10286" s="73"/>
    </row>
    <row r="10287" spans="1:12" x14ac:dyDescent="0.3">
      <c r="A10287"/>
      <c r="B10287" s="72"/>
      <c r="E10287" s="72"/>
      <c r="H10287" s="49"/>
      <c r="K10287"/>
      <c r="L10287" s="73"/>
    </row>
    <row r="10288" spans="1:12" x14ac:dyDescent="0.3">
      <c r="A10288"/>
      <c r="B10288" s="72"/>
      <c r="E10288" s="72"/>
      <c r="H10288" s="49"/>
      <c r="K10288"/>
      <c r="L10288" s="73"/>
    </row>
    <row r="10289" spans="1:12" x14ac:dyDescent="0.3">
      <c r="A10289"/>
      <c r="B10289" s="72"/>
      <c r="E10289" s="72"/>
      <c r="H10289" s="49"/>
      <c r="K10289"/>
      <c r="L10289" s="73"/>
    </row>
    <row r="10290" spans="1:12" x14ac:dyDescent="0.3">
      <c r="A10290"/>
      <c r="B10290" s="72"/>
      <c r="E10290" s="72"/>
      <c r="H10290" s="49"/>
      <c r="K10290"/>
      <c r="L10290" s="73"/>
    </row>
    <row r="10291" spans="1:12" x14ac:dyDescent="0.3">
      <c r="A10291"/>
      <c r="B10291" s="72"/>
      <c r="E10291" s="72"/>
      <c r="H10291" s="49"/>
      <c r="K10291"/>
      <c r="L10291" s="73"/>
    </row>
    <row r="10292" spans="1:12" x14ac:dyDescent="0.3">
      <c r="A10292"/>
      <c r="B10292" s="72"/>
      <c r="E10292" s="72"/>
      <c r="H10292" s="49"/>
      <c r="K10292"/>
      <c r="L10292" s="73"/>
    </row>
    <row r="10293" spans="1:12" x14ac:dyDescent="0.3">
      <c r="A10293"/>
      <c r="B10293" s="72"/>
      <c r="E10293" s="72"/>
      <c r="H10293" s="49"/>
      <c r="K10293"/>
      <c r="L10293" s="73"/>
    </row>
    <row r="10294" spans="1:12" x14ac:dyDescent="0.3">
      <c r="A10294"/>
      <c r="B10294" s="72"/>
      <c r="E10294" s="72"/>
      <c r="H10294" s="49"/>
      <c r="K10294"/>
      <c r="L10294" s="73"/>
    </row>
    <row r="10295" spans="1:12" x14ac:dyDescent="0.3">
      <c r="A10295"/>
      <c r="B10295" s="72"/>
      <c r="E10295" s="72"/>
      <c r="H10295" s="49"/>
      <c r="K10295"/>
      <c r="L10295" s="73"/>
    </row>
    <row r="10296" spans="1:12" x14ac:dyDescent="0.3">
      <c r="A10296"/>
      <c r="B10296" s="72"/>
      <c r="E10296" s="72"/>
      <c r="H10296" s="49"/>
      <c r="K10296"/>
      <c r="L10296" s="73"/>
    </row>
    <row r="10297" spans="1:12" x14ac:dyDescent="0.3">
      <c r="A10297"/>
      <c r="B10297" s="72"/>
      <c r="E10297" s="72"/>
      <c r="H10297" s="49"/>
      <c r="K10297"/>
      <c r="L10297" s="73"/>
    </row>
    <row r="10298" spans="1:12" x14ac:dyDescent="0.3">
      <c r="A10298"/>
      <c r="B10298" s="72"/>
      <c r="E10298" s="72"/>
      <c r="H10298" s="49"/>
      <c r="K10298"/>
      <c r="L10298" s="73"/>
    </row>
    <row r="10299" spans="1:12" x14ac:dyDescent="0.3">
      <c r="A10299"/>
      <c r="B10299" s="72"/>
      <c r="E10299" s="72"/>
      <c r="H10299" s="49"/>
      <c r="K10299"/>
      <c r="L10299" s="73"/>
    </row>
    <row r="10300" spans="1:12" x14ac:dyDescent="0.3">
      <c r="A10300"/>
      <c r="B10300" s="72"/>
      <c r="E10300" s="72"/>
      <c r="H10300" s="49"/>
      <c r="K10300"/>
      <c r="L10300" s="73"/>
    </row>
    <row r="10301" spans="1:12" x14ac:dyDescent="0.3">
      <c r="A10301"/>
      <c r="B10301" s="72"/>
      <c r="E10301" s="72"/>
      <c r="H10301" s="49"/>
      <c r="K10301"/>
      <c r="L10301" s="73"/>
    </row>
    <row r="10302" spans="1:12" x14ac:dyDescent="0.3">
      <c r="A10302"/>
      <c r="B10302" s="72"/>
      <c r="E10302" s="72"/>
      <c r="H10302" s="49"/>
      <c r="K10302"/>
      <c r="L10302" s="73"/>
    </row>
    <row r="10303" spans="1:12" x14ac:dyDescent="0.3">
      <c r="A10303"/>
      <c r="B10303" s="72"/>
      <c r="E10303" s="72"/>
      <c r="H10303" s="49"/>
      <c r="K10303"/>
      <c r="L10303" s="73"/>
    </row>
    <row r="10304" spans="1:12" x14ac:dyDescent="0.3">
      <c r="A10304"/>
      <c r="B10304" s="72"/>
      <c r="E10304" s="72"/>
      <c r="H10304" s="49"/>
      <c r="K10304"/>
      <c r="L10304" s="73"/>
    </row>
    <row r="10305" spans="1:12" x14ac:dyDescent="0.3">
      <c r="A10305"/>
      <c r="B10305" s="72"/>
      <c r="E10305" s="72"/>
      <c r="H10305" s="49"/>
      <c r="K10305"/>
      <c r="L10305" s="73"/>
    </row>
    <row r="10306" spans="1:12" x14ac:dyDescent="0.3">
      <c r="A10306"/>
      <c r="B10306" s="72"/>
      <c r="E10306" s="72"/>
      <c r="H10306" s="49"/>
      <c r="K10306"/>
      <c r="L10306" s="73"/>
    </row>
    <row r="10307" spans="1:12" x14ac:dyDescent="0.3">
      <c r="A10307"/>
      <c r="B10307" s="72"/>
      <c r="E10307" s="72"/>
      <c r="H10307" s="49"/>
      <c r="K10307"/>
      <c r="L10307" s="73"/>
    </row>
    <row r="10308" spans="1:12" x14ac:dyDescent="0.3">
      <c r="A10308"/>
      <c r="B10308" s="72"/>
      <c r="E10308" s="72"/>
      <c r="H10308" s="49"/>
      <c r="K10308"/>
      <c r="L10308" s="73"/>
    </row>
    <row r="10309" spans="1:12" x14ac:dyDescent="0.3">
      <c r="A10309"/>
      <c r="B10309" s="72"/>
      <c r="E10309" s="72"/>
      <c r="H10309" s="49"/>
      <c r="K10309"/>
      <c r="L10309" s="73"/>
    </row>
    <row r="10310" spans="1:12" x14ac:dyDescent="0.3">
      <c r="A10310"/>
      <c r="B10310" s="72"/>
      <c r="E10310" s="72"/>
      <c r="H10310" s="49"/>
      <c r="K10310"/>
      <c r="L10310" s="73"/>
    </row>
    <row r="10311" spans="1:12" x14ac:dyDescent="0.3">
      <c r="A10311"/>
      <c r="B10311" s="72"/>
      <c r="E10311" s="72"/>
      <c r="H10311" s="49"/>
      <c r="K10311"/>
      <c r="L10311" s="73"/>
    </row>
    <row r="10312" spans="1:12" x14ac:dyDescent="0.3">
      <c r="A10312"/>
      <c r="B10312" s="72"/>
      <c r="E10312" s="72"/>
      <c r="H10312" s="49"/>
      <c r="K10312"/>
      <c r="L10312" s="73"/>
    </row>
    <row r="10313" spans="1:12" x14ac:dyDescent="0.3">
      <c r="A10313"/>
      <c r="B10313" s="72"/>
      <c r="E10313" s="72"/>
      <c r="H10313" s="49"/>
      <c r="K10313"/>
      <c r="L10313" s="73"/>
    </row>
    <row r="10314" spans="1:12" x14ac:dyDescent="0.3">
      <c r="A10314"/>
      <c r="B10314" s="72"/>
      <c r="E10314" s="72"/>
      <c r="H10314" s="49"/>
      <c r="K10314"/>
      <c r="L10314" s="73"/>
    </row>
    <row r="10315" spans="1:12" x14ac:dyDescent="0.3">
      <c r="A10315"/>
      <c r="B10315" s="72"/>
      <c r="E10315" s="72"/>
      <c r="H10315" s="49"/>
      <c r="K10315"/>
      <c r="L10315" s="73"/>
    </row>
    <row r="10316" spans="1:12" x14ac:dyDescent="0.3">
      <c r="A10316"/>
      <c r="B10316" s="72"/>
      <c r="E10316" s="72"/>
      <c r="H10316" s="49"/>
      <c r="K10316"/>
      <c r="L10316" s="73"/>
    </row>
    <row r="10317" spans="1:12" x14ac:dyDescent="0.3">
      <c r="A10317"/>
      <c r="B10317" s="72"/>
      <c r="E10317" s="72"/>
      <c r="H10317" s="49"/>
      <c r="K10317"/>
      <c r="L10317" s="73"/>
    </row>
    <row r="10318" spans="1:12" x14ac:dyDescent="0.3">
      <c r="A10318"/>
      <c r="B10318" s="72"/>
      <c r="E10318" s="72"/>
      <c r="H10318" s="49"/>
      <c r="K10318"/>
      <c r="L10318" s="73"/>
    </row>
    <row r="10319" spans="1:12" x14ac:dyDescent="0.3">
      <c r="A10319"/>
      <c r="B10319" s="72"/>
      <c r="E10319" s="72"/>
      <c r="H10319" s="49"/>
      <c r="K10319"/>
      <c r="L10319" s="73"/>
    </row>
    <row r="10320" spans="1:12" x14ac:dyDescent="0.3">
      <c r="A10320"/>
      <c r="B10320" s="72"/>
      <c r="E10320" s="72"/>
      <c r="H10320" s="49"/>
      <c r="K10320"/>
      <c r="L10320" s="73"/>
    </row>
    <row r="10321" spans="1:12" x14ac:dyDescent="0.3">
      <c r="A10321"/>
      <c r="B10321" s="72"/>
      <c r="E10321" s="72"/>
      <c r="H10321" s="49"/>
      <c r="K10321"/>
      <c r="L10321" s="73"/>
    </row>
    <row r="10322" spans="1:12" x14ac:dyDescent="0.3">
      <c r="A10322"/>
      <c r="B10322" s="72"/>
      <c r="E10322" s="72"/>
      <c r="H10322" s="49"/>
      <c r="K10322"/>
      <c r="L10322" s="73"/>
    </row>
    <row r="10323" spans="1:12" x14ac:dyDescent="0.3">
      <c r="A10323"/>
      <c r="B10323" s="72"/>
      <c r="E10323" s="72"/>
      <c r="H10323" s="49"/>
      <c r="K10323"/>
      <c r="L10323" s="73"/>
    </row>
    <row r="10324" spans="1:12" x14ac:dyDescent="0.3">
      <c r="A10324"/>
      <c r="B10324" s="72"/>
      <c r="E10324" s="72"/>
      <c r="H10324" s="49"/>
      <c r="K10324"/>
      <c r="L10324" s="73"/>
    </row>
    <row r="10325" spans="1:12" x14ac:dyDescent="0.3">
      <c r="A10325"/>
      <c r="B10325" s="72"/>
      <c r="E10325" s="72"/>
      <c r="H10325" s="49"/>
      <c r="K10325"/>
      <c r="L10325" s="73"/>
    </row>
    <row r="10326" spans="1:12" x14ac:dyDescent="0.3">
      <c r="A10326"/>
      <c r="B10326" s="72"/>
      <c r="E10326" s="72"/>
      <c r="H10326" s="49"/>
      <c r="K10326"/>
      <c r="L10326" s="73"/>
    </row>
    <row r="10327" spans="1:12" x14ac:dyDescent="0.3">
      <c r="A10327"/>
      <c r="B10327" s="72"/>
      <c r="E10327" s="72"/>
      <c r="H10327" s="49"/>
      <c r="K10327"/>
      <c r="L10327" s="73"/>
    </row>
    <row r="10328" spans="1:12" x14ac:dyDescent="0.3">
      <c r="A10328"/>
      <c r="B10328" s="72"/>
      <c r="E10328" s="72"/>
      <c r="H10328" s="49"/>
      <c r="K10328"/>
      <c r="L10328" s="73"/>
    </row>
    <row r="10329" spans="1:12" x14ac:dyDescent="0.3">
      <c r="A10329"/>
      <c r="B10329" s="72"/>
      <c r="E10329" s="72"/>
      <c r="H10329" s="49"/>
      <c r="K10329"/>
      <c r="L10329" s="73"/>
    </row>
    <row r="10330" spans="1:12" x14ac:dyDescent="0.3">
      <c r="A10330"/>
      <c r="B10330" s="72"/>
      <c r="E10330" s="72"/>
      <c r="H10330" s="49"/>
      <c r="K10330"/>
      <c r="L10330" s="73"/>
    </row>
    <row r="10331" spans="1:12" x14ac:dyDescent="0.3">
      <c r="A10331"/>
      <c r="B10331" s="72"/>
      <c r="E10331" s="72"/>
      <c r="H10331" s="49"/>
      <c r="K10331"/>
      <c r="L10331" s="73"/>
    </row>
    <row r="10332" spans="1:12" x14ac:dyDescent="0.3">
      <c r="A10332"/>
      <c r="B10332" s="72"/>
      <c r="E10332" s="72"/>
      <c r="H10332" s="49"/>
      <c r="K10332"/>
      <c r="L10332" s="73"/>
    </row>
    <row r="10333" spans="1:12" x14ac:dyDescent="0.3">
      <c r="A10333"/>
      <c r="B10333" s="72"/>
      <c r="E10333" s="72"/>
      <c r="H10333" s="49"/>
      <c r="K10333"/>
      <c r="L10333" s="73"/>
    </row>
    <row r="10334" spans="1:12" x14ac:dyDescent="0.3">
      <c r="A10334"/>
      <c r="B10334" s="72"/>
      <c r="E10334" s="72"/>
      <c r="H10334" s="49"/>
      <c r="K10334"/>
      <c r="L10334" s="73"/>
    </row>
    <row r="10335" spans="1:12" x14ac:dyDescent="0.3">
      <c r="A10335"/>
      <c r="B10335" s="72"/>
      <c r="E10335" s="72"/>
      <c r="H10335" s="49"/>
      <c r="K10335"/>
      <c r="L10335" s="73"/>
    </row>
    <row r="10336" spans="1:12" x14ac:dyDescent="0.3">
      <c r="A10336"/>
      <c r="B10336" s="72"/>
      <c r="E10336" s="72"/>
      <c r="H10336" s="49"/>
      <c r="K10336"/>
      <c r="L10336" s="73"/>
    </row>
    <row r="10337" spans="1:12" x14ac:dyDescent="0.3">
      <c r="A10337"/>
      <c r="B10337" s="72"/>
      <c r="E10337" s="72"/>
      <c r="H10337" s="49"/>
      <c r="K10337"/>
      <c r="L10337" s="73"/>
    </row>
    <row r="10338" spans="1:12" x14ac:dyDescent="0.3">
      <c r="A10338"/>
      <c r="B10338" s="72"/>
      <c r="E10338" s="72"/>
      <c r="H10338" s="49"/>
      <c r="K10338"/>
      <c r="L10338" s="73"/>
    </row>
    <row r="10339" spans="1:12" x14ac:dyDescent="0.3">
      <c r="A10339"/>
      <c r="B10339" s="72"/>
      <c r="E10339" s="72"/>
      <c r="H10339" s="49"/>
      <c r="K10339"/>
      <c r="L10339" s="73"/>
    </row>
    <row r="10340" spans="1:12" x14ac:dyDescent="0.3">
      <c r="A10340"/>
      <c r="B10340" s="72"/>
      <c r="E10340" s="72"/>
      <c r="H10340" s="49"/>
      <c r="K10340"/>
      <c r="L10340" s="73"/>
    </row>
    <row r="10341" spans="1:12" x14ac:dyDescent="0.3">
      <c r="A10341"/>
      <c r="B10341" s="72"/>
      <c r="E10341" s="72"/>
      <c r="H10341" s="49"/>
      <c r="K10341"/>
      <c r="L10341" s="73"/>
    </row>
    <row r="10342" spans="1:12" x14ac:dyDescent="0.3">
      <c r="A10342"/>
      <c r="B10342" s="72"/>
      <c r="E10342" s="72"/>
      <c r="H10342" s="49"/>
      <c r="K10342"/>
      <c r="L10342" s="73"/>
    </row>
    <row r="10343" spans="1:12" x14ac:dyDescent="0.3">
      <c r="A10343"/>
      <c r="B10343" s="72"/>
      <c r="E10343" s="72"/>
      <c r="H10343" s="49"/>
      <c r="K10343"/>
      <c r="L10343" s="73"/>
    </row>
    <row r="10344" spans="1:12" x14ac:dyDescent="0.3">
      <c r="A10344"/>
      <c r="B10344" s="72"/>
      <c r="E10344" s="72"/>
      <c r="H10344" s="49"/>
      <c r="K10344"/>
      <c r="L10344" s="73"/>
    </row>
    <row r="10345" spans="1:12" x14ac:dyDescent="0.3">
      <c r="A10345"/>
      <c r="B10345" s="72"/>
      <c r="E10345" s="72"/>
      <c r="H10345" s="49"/>
      <c r="K10345"/>
      <c r="L10345" s="73"/>
    </row>
    <row r="10346" spans="1:12" x14ac:dyDescent="0.3">
      <c r="A10346"/>
      <c r="B10346" s="72"/>
      <c r="E10346" s="72"/>
      <c r="H10346" s="49"/>
      <c r="K10346"/>
      <c r="L10346" s="73"/>
    </row>
    <row r="10347" spans="1:12" x14ac:dyDescent="0.3">
      <c r="A10347"/>
      <c r="B10347" s="72"/>
      <c r="E10347" s="72"/>
      <c r="H10347" s="49"/>
      <c r="K10347"/>
      <c r="L10347" s="73"/>
    </row>
    <row r="10348" spans="1:12" x14ac:dyDescent="0.3">
      <c r="A10348"/>
      <c r="B10348" s="72"/>
      <c r="E10348" s="72"/>
      <c r="H10348" s="49"/>
      <c r="K10348"/>
      <c r="L10348" s="73"/>
    </row>
    <row r="10349" spans="1:12" x14ac:dyDescent="0.3">
      <c r="A10349"/>
      <c r="B10349" s="72"/>
      <c r="E10349" s="72"/>
      <c r="H10349" s="49"/>
      <c r="K10349"/>
      <c r="L10349" s="73"/>
    </row>
    <row r="10350" spans="1:12" x14ac:dyDescent="0.3">
      <c r="A10350"/>
      <c r="B10350" s="72"/>
      <c r="E10350" s="72"/>
      <c r="H10350" s="49"/>
      <c r="K10350"/>
      <c r="L10350" s="73"/>
    </row>
    <row r="10351" spans="1:12" x14ac:dyDescent="0.3">
      <c r="A10351"/>
      <c r="B10351" s="72"/>
      <c r="E10351" s="72"/>
      <c r="H10351" s="49"/>
      <c r="K10351"/>
      <c r="L10351" s="73"/>
    </row>
    <row r="10352" spans="1:12" x14ac:dyDescent="0.3">
      <c r="A10352"/>
      <c r="B10352" s="72"/>
      <c r="E10352" s="72"/>
      <c r="H10352" s="49"/>
      <c r="K10352"/>
      <c r="L10352" s="73"/>
    </row>
    <row r="10353" spans="1:12" x14ac:dyDescent="0.3">
      <c r="A10353"/>
      <c r="B10353" s="72"/>
      <c r="E10353" s="72"/>
      <c r="H10353" s="49"/>
      <c r="K10353"/>
      <c r="L10353" s="73"/>
    </row>
    <row r="10354" spans="1:12" x14ac:dyDescent="0.3">
      <c r="A10354"/>
      <c r="B10354" s="72"/>
      <c r="E10354" s="72"/>
      <c r="H10354" s="49"/>
      <c r="K10354"/>
      <c r="L10354" s="73"/>
    </row>
    <row r="10355" spans="1:12" x14ac:dyDescent="0.3">
      <c r="A10355"/>
      <c r="B10355" s="72"/>
      <c r="E10355" s="72"/>
      <c r="H10355" s="49"/>
      <c r="K10355"/>
      <c r="L10355" s="73"/>
    </row>
    <row r="10356" spans="1:12" x14ac:dyDescent="0.3">
      <c r="A10356"/>
      <c r="B10356" s="72"/>
      <c r="E10356" s="72"/>
      <c r="H10356" s="49"/>
      <c r="K10356"/>
      <c r="L10356" s="73"/>
    </row>
    <row r="10357" spans="1:12" x14ac:dyDescent="0.3">
      <c r="A10357"/>
      <c r="B10357" s="72"/>
      <c r="E10357" s="72"/>
      <c r="H10357" s="49"/>
      <c r="K10357"/>
      <c r="L10357" s="73"/>
    </row>
    <row r="10358" spans="1:12" x14ac:dyDescent="0.3">
      <c r="A10358"/>
      <c r="B10358" s="72"/>
      <c r="E10358" s="72"/>
      <c r="H10358" s="49"/>
      <c r="K10358"/>
      <c r="L10358" s="73"/>
    </row>
    <row r="10359" spans="1:12" x14ac:dyDescent="0.3">
      <c r="A10359"/>
      <c r="B10359" s="72"/>
      <c r="E10359" s="72"/>
      <c r="H10359" s="49"/>
      <c r="K10359"/>
      <c r="L10359" s="73"/>
    </row>
    <row r="10360" spans="1:12" x14ac:dyDescent="0.3">
      <c r="A10360"/>
      <c r="B10360" s="72"/>
      <c r="E10360" s="72"/>
      <c r="H10360" s="49"/>
      <c r="K10360"/>
      <c r="L10360" s="73"/>
    </row>
    <row r="10361" spans="1:12" x14ac:dyDescent="0.3">
      <c r="A10361"/>
      <c r="B10361" s="72"/>
      <c r="E10361" s="72"/>
      <c r="H10361" s="49"/>
      <c r="K10361"/>
      <c r="L10361" s="73"/>
    </row>
    <row r="10362" spans="1:12" x14ac:dyDescent="0.3">
      <c r="A10362"/>
      <c r="B10362" s="72"/>
      <c r="E10362" s="72"/>
      <c r="H10362" s="49"/>
      <c r="K10362"/>
      <c r="L10362" s="73"/>
    </row>
    <row r="10363" spans="1:12" x14ac:dyDescent="0.3">
      <c r="A10363"/>
      <c r="B10363" s="72"/>
      <c r="E10363" s="72"/>
      <c r="H10363" s="49"/>
      <c r="K10363"/>
      <c r="L10363" s="73"/>
    </row>
    <row r="10364" spans="1:12" x14ac:dyDescent="0.3">
      <c r="A10364"/>
      <c r="B10364" s="72"/>
      <c r="E10364" s="72"/>
      <c r="H10364" s="49"/>
      <c r="K10364"/>
      <c r="L10364" s="73"/>
    </row>
    <row r="10365" spans="1:12" x14ac:dyDescent="0.3">
      <c r="A10365"/>
      <c r="B10365" s="72"/>
      <c r="E10365" s="72"/>
      <c r="H10365" s="49"/>
      <c r="K10365"/>
      <c r="L10365" s="73"/>
    </row>
    <row r="10366" spans="1:12" x14ac:dyDescent="0.3">
      <c r="A10366"/>
      <c r="B10366" s="72"/>
      <c r="E10366" s="72"/>
      <c r="H10366" s="49"/>
      <c r="K10366"/>
      <c r="L10366" s="73"/>
    </row>
    <row r="10367" spans="1:12" x14ac:dyDescent="0.3">
      <c r="A10367"/>
      <c r="B10367" s="72"/>
      <c r="E10367" s="72"/>
      <c r="H10367" s="49"/>
      <c r="K10367"/>
      <c r="L10367" s="73"/>
    </row>
    <row r="10368" spans="1:12" x14ac:dyDescent="0.3">
      <c r="A10368"/>
      <c r="B10368" s="72"/>
      <c r="E10368" s="72"/>
      <c r="H10368" s="49"/>
      <c r="K10368"/>
      <c r="L10368" s="73"/>
    </row>
    <row r="10369" spans="1:12" x14ac:dyDescent="0.3">
      <c r="A10369"/>
      <c r="B10369" s="72"/>
      <c r="E10369" s="72"/>
      <c r="H10369" s="49"/>
      <c r="K10369"/>
      <c r="L10369" s="73"/>
    </row>
    <row r="10370" spans="1:12" x14ac:dyDescent="0.3">
      <c r="A10370"/>
      <c r="B10370" s="72"/>
      <c r="E10370" s="72"/>
      <c r="H10370" s="49"/>
      <c r="K10370"/>
      <c r="L10370" s="73"/>
    </row>
    <row r="10371" spans="1:12" x14ac:dyDescent="0.3">
      <c r="A10371"/>
      <c r="B10371" s="72"/>
      <c r="E10371" s="72"/>
      <c r="H10371" s="49"/>
      <c r="K10371"/>
      <c r="L10371" s="73"/>
    </row>
    <row r="10372" spans="1:12" x14ac:dyDescent="0.3">
      <c r="A10372"/>
      <c r="B10372" s="72"/>
      <c r="E10372" s="72"/>
      <c r="H10372" s="49"/>
      <c r="K10372"/>
      <c r="L10372" s="73"/>
    </row>
    <row r="10373" spans="1:12" x14ac:dyDescent="0.3">
      <c r="A10373"/>
      <c r="B10373" s="72"/>
      <c r="E10373" s="72"/>
      <c r="H10373" s="49"/>
      <c r="K10373"/>
      <c r="L10373" s="73"/>
    </row>
    <row r="10374" spans="1:12" x14ac:dyDescent="0.3">
      <c r="A10374"/>
      <c r="B10374" s="72"/>
      <c r="E10374" s="72"/>
      <c r="H10374" s="49"/>
      <c r="K10374"/>
      <c r="L10374" s="73"/>
    </row>
    <row r="10375" spans="1:12" x14ac:dyDescent="0.3">
      <c r="A10375"/>
      <c r="B10375" s="72"/>
      <c r="E10375" s="72"/>
      <c r="H10375" s="49"/>
      <c r="K10375"/>
      <c r="L10375" s="73"/>
    </row>
    <row r="10376" spans="1:12" x14ac:dyDescent="0.3">
      <c r="A10376"/>
      <c r="B10376" s="72"/>
      <c r="E10376" s="72"/>
      <c r="H10376" s="49"/>
      <c r="K10376"/>
      <c r="L10376" s="73"/>
    </row>
    <row r="10377" spans="1:12" x14ac:dyDescent="0.3">
      <c r="A10377"/>
      <c r="B10377" s="72"/>
      <c r="E10377" s="72"/>
      <c r="H10377" s="49"/>
      <c r="K10377"/>
      <c r="L10377" s="73"/>
    </row>
    <row r="10378" spans="1:12" x14ac:dyDescent="0.3">
      <c r="A10378"/>
      <c r="B10378" s="72"/>
      <c r="E10378" s="72"/>
      <c r="H10378" s="49"/>
      <c r="K10378"/>
      <c r="L10378" s="73"/>
    </row>
    <row r="10379" spans="1:12" x14ac:dyDescent="0.3">
      <c r="A10379"/>
      <c r="B10379" s="72"/>
      <c r="E10379" s="72"/>
      <c r="H10379" s="49"/>
      <c r="K10379"/>
      <c r="L10379" s="73"/>
    </row>
    <row r="10380" spans="1:12" x14ac:dyDescent="0.3">
      <c r="A10380"/>
      <c r="B10380" s="72"/>
      <c r="E10380" s="72"/>
      <c r="H10380" s="49"/>
      <c r="K10380"/>
      <c r="L10380" s="73"/>
    </row>
    <row r="10381" spans="1:12" x14ac:dyDescent="0.3">
      <c r="A10381"/>
      <c r="B10381" s="72"/>
      <c r="E10381" s="72"/>
      <c r="H10381" s="49"/>
      <c r="K10381"/>
      <c r="L10381" s="73"/>
    </row>
    <row r="10382" spans="1:12" x14ac:dyDescent="0.3">
      <c r="A10382"/>
      <c r="B10382" s="72"/>
      <c r="E10382" s="72"/>
      <c r="H10382" s="49"/>
      <c r="K10382"/>
      <c r="L10382" s="73"/>
    </row>
    <row r="10383" spans="1:12" x14ac:dyDescent="0.3">
      <c r="A10383"/>
      <c r="B10383" s="72"/>
      <c r="E10383" s="72"/>
      <c r="H10383" s="49"/>
      <c r="K10383"/>
      <c r="L10383" s="73"/>
    </row>
    <row r="10384" spans="1:12" x14ac:dyDescent="0.3">
      <c r="A10384"/>
      <c r="B10384" s="72"/>
      <c r="E10384" s="72"/>
      <c r="H10384" s="49"/>
      <c r="K10384"/>
      <c r="L10384" s="73"/>
    </row>
    <row r="10385" spans="1:12" x14ac:dyDescent="0.3">
      <c r="A10385"/>
      <c r="B10385" s="72"/>
      <c r="E10385" s="72"/>
      <c r="H10385" s="49"/>
      <c r="K10385"/>
      <c r="L10385" s="73"/>
    </row>
    <row r="10386" spans="1:12" x14ac:dyDescent="0.3">
      <c r="A10386"/>
      <c r="B10386" s="72"/>
      <c r="E10386" s="72"/>
      <c r="H10386" s="49"/>
      <c r="K10386"/>
      <c r="L10386" s="73"/>
    </row>
    <row r="10387" spans="1:12" x14ac:dyDescent="0.3">
      <c r="A10387"/>
      <c r="B10387" s="72"/>
      <c r="E10387" s="72"/>
      <c r="H10387" s="49"/>
      <c r="K10387"/>
      <c r="L10387" s="73"/>
    </row>
    <row r="10388" spans="1:12" x14ac:dyDescent="0.3">
      <c r="A10388"/>
      <c r="B10388" s="72"/>
      <c r="E10388" s="72"/>
      <c r="H10388" s="49"/>
      <c r="K10388"/>
      <c r="L10388" s="73"/>
    </row>
    <row r="10389" spans="1:12" x14ac:dyDescent="0.3">
      <c r="A10389"/>
      <c r="B10389" s="72"/>
      <c r="E10389" s="72"/>
      <c r="H10389" s="49"/>
      <c r="K10389"/>
      <c r="L10389" s="73"/>
    </row>
    <row r="10390" spans="1:12" x14ac:dyDescent="0.3">
      <c r="A10390"/>
      <c r="B10390" s="72"/>
      <c r="E10390" s="72"/>
      <c r="H10390" s="49"/>
      <c r="K10390"/>
      <c r="L10390" s="73"/>
    </row>
    <row r="10391" spans="1:12" x14ac:dyDescent="0.3">
      <c r="A10391"/>
      <c r="B10391" s="72"/>
      <c r="E10391" s="72"/>
      <c r="H10391" s="49"/>
      <c r="K10391"/>
      <c r="L10391" s="73"/>
    </row>
    <row r="10392" spans="1:12" x14ac:dyDescent="0.3">
      <c r="A10392"/>
      <c r="B10392" s="72"/>
      <c r="E10392" s="72"/>
      <c r="H10392" s="49"/>
      <c r="K10392"/>
      <c r="L10392" s="73"/>
    </row>
    <row r="10393" spans="1:12" x14ac:dyDescent="0.3">
      <c r="A10393"/>
      <c r="B10393" s="72"/>
      <c r="E10393" s="72"/>
      <c r="H10393" s="49"/>
      <c r="K10393"/>
      <c r="L10393" s="73"/>
    </row>
    <row r="10394" spans="1:12" x14ac:dyDescent="0.3">
      <c r="A10394"/>
      <c r="B10394" s="72"/>
      <c r="E10394" s="72"/>
      <c r="H10394" s="49"/>
      <c r="K10394"/>
      <c r="L10394" s="73"/>
    </row>
    <row r="10395" spans="1:12" x14ac:dyDescent="0.3">
      <c r="A10395"/>
      <c r="B10395" s="72"/>
      <c r="E10395" s="72"/>
      <c r="H10395" s="49"/>
      <c r="K10395"/>
      <c r="L10395" s="73"/>
    </row>
    <row r="10396" spans="1:12" x14ac:dyDescent="0.3">
      <c r="A10396"/>
      <c r="B10396" s="72"/>
      <c r="E10396" s="72"/>
      <c r="H10396" s="49"/>
      <c r="K10396"/>
      <c r="L10396" s="73"/>
    </row>
    <row r="10397" spans="1:12" x14ac:dyDescent="0.3">
      <c r="A10397"/>
      <c r="B10397" s="72"/>
      <c r="E10397" s="72"/>
      <c r="H10397" s="49"/>
      <c r="K10397"/>
      <c r="L10397" s="73"/>
    </row>
    <row r="10398" spans="1:12" x14ac:dyDescent="0.3">
      <c r="A10398"/>
      <c r="B10398" s="72"/>
      <c r="E10398" s="72"/>
      <c r="H10398" s="49"/>
      <c r="K10398"/>
      <c r="L10398" s="73"/>
    </row>
    <row r="10399" spans="1:12" x14ac:dyDescent="0.3">
      <c r="A10399"/>
      <c r="B10399" s="72"/>
      <c r="E10399" s="72"/>
      <c r="H10399" s="49"/>
      <c r="K10399"/>
      <c r="L10399" s="73"/>
    </row>
    <row r="10400" spans="1:12" x14ac:dyDescent="0.3">
      <c r="A10400"/>
      <c r="B10400" s="72"/>
      <c r="E10400" s="72"/>
      <c r="H10400" s="49"/>
      <c r="K10400"/>
      <c r="L10400" s="73"/>
    </row>
    <row r="10401" spans="1:12" x14ac:dyDescent="0.3">
      <c r="A10401"/>
      <c r="B10401" s="72"/>
      <c r="E10401" s="72"/>
      <c r="H10401" s="49"/>
      <c r="K10401"/>
      <c r="L10401" s="73"/>
    </row>
    <row r="10402" spans="1:12" x14ac:dyDescent="0.3">
      <c r="A10402"/>
      <c r="B10402" s="72"/>
      <c r="E10402" s="72"/>
      <c r="H10402" s="49"/>
      <c r="K10402"/>
      <c r="L10402" s="73"/>
    </row>
    <row r="10403" spans="1:12" x14ac:dyDescent="0.3">
      <c r="A10403"/>
      <c r="B10403" s="72"/>
      <c r="E10403" s="72"/>
      <c r="H10403" s="49"/>
      <c r="K10403"/>
      <c r="L10403" s="73"/>
    </row>
    <row r="10404" spans="1:12" x14ac:dyDescent="0.3">
      <c r="A10404"/>
      <c r="B10404" s="72"/>
      <c r="E10404" s="72"/>
      <c r="H10404" s="49"/>
      <c r="K10404"/>
      <c r="L10404" s="73"/>
    </row>
    <row r="10405" spans="1:12" x14ac:dyDescent="0.3">
      <c r="A10405"/>
      <c r="B10405" s="72"/>
      <c r="E10405" s="72"/>
      <c r="H10405" s="49"/>
      <c r="K10405"/>
      <c r="L10405" s="73"/>
    </row>
    <row r="10406" spans="1:12" x14ac:dyDescent="0.3">
      <c r="A10406"/>
      <c r="B10406" s="72"/>
      <c r="E10406" s="72"/>
      <c r="H10406" s="49"/>
      <c r="K10406"/>
      <c r="L10406" s="73"/>
    </row>
    <row r="10407" spans="1:12" x14ac:dyDescent="0.3">
      <c r="A10407"/>
      <c r="B10407" s="72"/>
      <c r="E10407" s="72"/>
      <c r="H10407" s="49"/>
      <c r="K10407"/>
      <c r="L10407" s="73"/>
    </row>
    <row r="10408" spans="1:12" x14ac:dyDescent="0.3">
      <c r="A10408"/>
      <c r="B10408" s="72"/>
      <c r="E10408" s="72"/>
      <c r="H10408" s="49"/>
      <c r="K10408"/>
      <c r="L10408" s="73"/>
    </row>
    <row r="10409" spans="1:12" x14ac:dyDescent="0.3">
      <c r="A10409"/>
      <c r="B10409" s="72"/>
      <c r="E10409" s="72"/>
      <c r="H10409" s="49"/>
      <c r="K10409"/>
      <c r="L10409" s="73"/>
    </row>
    <row r="10410" spans="1:12" x14ac:dyDescent="0.3">
      <c r="A10410"/>
      <c r="B10410" s="72"/>
      <c r="E10410" s="72"/>
      <c r="H10410" s="49"/>
      <c r="K10410"/>
      <c r="L10410" s="73"/>
    </row>
    <row r="10411" spans="1:12" x14ac:dyDescent="0.3">
      <c r="A10411"/>
      <c r="B10411" s="72"/>
      <c r="E10411" s="72"/>
      <c r="H10411" s="49"/>
      <c r="K10411"/>
      <c r="L10411" s="73"/>
    </row>
    <row r="10412" spans="1:12" x14ac:dyDescent="0.3">
      <c r="A10412"/>
      <c r="B10412" s="72"/>
      <c r="E10412" s="72"/>
      <c r="H10412" s="49"/>
      <c r="K10412"/>
      <c r="L10412" s="73"/>
    </row>
    <row r="10413" spans="1:12" x14ac:dyDescent="0.3">
      <c r="A10413"/>
      <c r="B10413" s="72"/>
      <c r="E10413" s="72"/>
      <c r="H10413" s="49"/>
      <c r="K10413"/>
      <c r="L10413" s="73"/>
    </row>
    <row r="10414" spans="1:12" x14ac:dyDescent="0.3">
      <c r="A10414"/>
      <c r="B10414" s="72"/>
      <c r="E10414" s="72"/>
      <c r="H10414" s="49"/>
      <c r="K10414"/>
      <c r="L10414" s="73"/>
    </row>
    <row r="10415" spans="1:12" x14ac:dyDescent="0.3">
      <c r="A10415"/>
      <c r="B10415" s="72"/>
      <c r="E10415" s="72"/>
      <c r="H10415" s="49"/>
      <c r="K10415"/>
      <c r="L10415" s="73"/>
    </row>
    <row r="10416" spans="1:12" x14ac:dyDescent="0.3">
      <c r="A10416"/>
      <c r="B10416" s="72"/>
      <c r="E10416" s="72"/>
      <c r="H10416" s="49"/>
      <c r="K10416"/>
      <c r="L10416" s="73"/>
    </row>
    <row r="10417" spans="1:12" x14ac:dyDescent="0.3">
      <c r="A10417"/>
      <c r="B10417" s="72"/>
      <c r="E10417" s="72"/>
      <c r="H10417" s="49"/>
      <c r="K10417"/>
      <c r="L10417" s="73"/>
    </row>
    <row r="10418" spans="1:12" x14ac:dyDescent="0.3">
      <c r="A10418"/>
      <c r="B10418" s="72"/>
      <c r="E10418" s="72"/>
      <c r="H10418" s="49"/>
      <c r="K10418"/>
      <c r="L10418" s="73"/>
    </row>
    <row r="10419" spans="1:12" x14ac:dyDescent="0.3">
      <c r="A10419"/>
      <c r="B10419" s="72"/>
      <c r="E10419" s="72"/>
      <c r="H10419" s="49"/>
      <c r="K10419"/>
      <c r="L10419" s="73"/>
    </row>
    <row r="10420" spans="1:12" x14ac:dyDescent="0.3">
      <c r="A10420"/>
      <c r="B10420" s="72"/>
      <c r="E10420" s="72"/>
      <c r="H10420" s="49"/>
      <c r="K10420"/>
      <c r="L10420" s="73"/>
    </row>
    <row r="10421" spans="1:12" x14ac:dyDescent="0.3">
      <c r="A10421"/>
      <c r="B10421" s="72"/>
      <c r="E10421" s="72"/>
      <c r="H10421" s="49"/>
      <c r="K10421"/>
      <c r="L10421" s="73"/>
    </row>
    <row r="10422" spans="1:12" x14ac:dyDescent="0.3">
      <c r="A10422"/>
      <c r="B10422" s="72"/>
      <c r="E10422" s="72"/>
      <c r="H10422" s="49"/>
      <c r="K10422"/>
      <c r="L10422" s="73"/>
    </row>
    <row r="10423" spans="1:12" x14ac:dyDescent="0.3">
      <c r="A10423"/>
      <c r="B10423" s="72"/>
      <c r="E10423" s="72"/>
      <c r="H10423" s="49"/>
      <c r="K10423"/>
      <c r="L10423" s="73"/>
    </row>
    <row r="10424" spans="1:12" x14ac:dyDescent="0.3">
      <c r="A10424"/>
      <c r="B10424" s="72"/>
      <c r="E10424" s="72"/>
      <c r="H10424" s="49"/>
      <c r="K10424"/>
      <c r="L10424" s="73"/>
    </row>
    <row r="10425" spans="1:12" x14ac:dyDescent="0.3">
      <c r="A10425"/>
      <c r="B10425" s="72"/>
      <c r="E10425" s="72"/>
      <c r="H10425" s="49"/>
      <c r="K10425"/>
      <c r="L10425" s="73"/>
    </row>
    <row r="10426" spans="1:12" x14ac:dyDescent="0.3">
      <c r="A10426"/>
      <c r="B10426" s="72"/>
      <c r="E10426" s="72"/>
      <c r="H10426" s="49"/>
      <c r="K10426"/>
      <c r="L10426" s="73"/>
    </row>
    <row r="10427" spans="1:12" x14ac:dyDescent="0.3">
      <c r="A10427"/>
      <c r="B10427" s="72"/>
      <c r="E10427" s="72"/>
      <c r="H10427" s="49"/>
      <c r="K10427"/>
      <c r="L10427" s="73"/>
    </row>
    <row r="10428" spans="1:12" x14ac:dyDescent="0.3">
      <c r="A10428"/>
      <c r="B10428" s="72"/>
      <c r="E10428" s="72"/>
      <c r="H10428" s="49"/>
      <c r="K10428"/>
      <c r="L10428" s="73"/>
    </row>
    <row r="10429" spans="1:12" x14ac:dyDescent="0.3">
      <c r="A10429"/>
      <c r="B10429" s="72"/>
      <c r="E10429" s="72"/>
      <c r="H10429" s="49"/>
      <c r="K10429"/>
      <c r="L10429" s="73"/>
    </row>
    <row r="10430" spans="1:12" x14ac:dyDescent="0.3">
      <c r="A10430"/>
      <c r="B10430" s="72"/>
      <c r="E10430" s="72"/>
      <c r="H10430" s="49"/>
      <c r="K10430"/>
      <c r="L10430" s="73"/>
    </row>
    <row r="10431" spans="1:12" x14ac:dyDescent="0.3">
      <c r="A10431"/>
      <c r="B10431" s="72"/>
      <c r="E10431" s="72"/>
      <c r="H10431" s="49"/>
      <c r="K10431"/>
      <c r="L10431" s="73"/>
    </row>
    <row r="10432" spans="1:12" x14ac:dyDescent="0.3">
      <c r="A10432"/>
      <c r="B10432" s="72"/>
      <c r="E10432" s="72"/>
      <c r="H10432" s="49"/>
      <c r="K10432"/>
      <c r="L10432" s="73"/>
    </row>
    <row r="10433" spans="1:12" x14ac:dyDescent="0.3">
      <c r="A10433"/>
      <c r="B10433" s="72"/>
      <c r="E10433" s="72"/>
      <c r="H10433" s="49"/>
      <c r="K10433"/>
      <c r="L10433" s="73"/>
    </row>
    <row r="10434" spans="1:12" x14ac:dyDescent="0.3">
      <c r="A10434"/>
      <c r="B10434" s="72"/>
      <c r="E10434" s="72"/>
      <c r="H10434" s="49"/>
      <c r="K10434"/>
      <c r="L10434" s="73"/>
    </row>
    <row r="10435" spans="1:12" x14ac:dyDescent="0.3">
      <c r="A10435"/>
      <c r="B10435" s="72"/>
      <c r="E10435" s="72"/>
      <c r="H10435" s="49"/>
      <c r="K10435"/>
      <c r="L10435" s="73"/>
    </row>
    <row r="10436" spans="1:12" x14ac:dyDescent="0.3">
      <c r="A10436"/>
      <c r="B10436" s="72"/>
      <c r="E10436" s="72"/>
      <c r="H10436" s="49"/>
      <c r="K10436"/>
      <c r="L10436" s="73"/>
    </row>
    <row r="10437" spans="1:12" x14ac:dyDescent="0.3">
      <c r="A10437"/>
      <c r="B10437" s="72"/>
      <c r="E10437" s="72"/>
      <c r="H10437" s="49"/>
      <c r="K10437"/>
      <c r="L10437" s="73"/>
    </row>
    <row r="10438" spans="1:12" x14ac:dyDescent="0.3">
      <c r="A10438"/>
      <c r="B10438" s="72"/>
      <c r="E10438" s="72"/>
      <c r="H10438" s="49"/>
      <c r="K10438"/>
      <c r="L10438" s="73"/>
    </row>
    <row r="10439" spans="1:12" x14ac:dyDescent="0.3">
      <c r="A10439"/>
      <c r="B10439" s="72"/>
      <c r="E10439" s="72"/>
      <c r="H10439" s="49"/>
      <c r="K10439"/>
      <c r="L10439" s="73"/>
    </row>
    <row r="10440" spans="1:12" x14ac:dyDescent="0.3">
      <c r="A10440"/>
      <c r="B10440" s="72"/>
      <c r="E10440" s="72"/>
      <c r="H10440" s="49"/>
      <c r="K10440"/>
      <c r="L10440" s="73"/>
    </row>
    <row r="10441" spans="1:12" x14ac:dyDescent="0.3">
      <c r="A10441"/>
      <c r="B10441" s="72"/>
      <c r="E10441" s="72"/>
      <c r="H10441" s="49"/>
      <c r="K10441"/>
      <c r="L10441" s="73"/>
    </row>
    <row r="10442" spans="1:12" x14ac:dyDescent="0.3">
      <c r="A10442"/>
      <c r="B10442" s="72"/>
      <c r="E10442" s="72"/>
      <c r="H10442" s="49"/>
      <c r="K10442"/>
      <c r="L10442" s="73"/>
    </row>
    <row r="10443" spans="1:12" x14ac:dyDescent="0.3">
      <c r="A10443"/>
      <c r="B10443" s="72"/>
      <c r="E10443" s="72"/>
      <c r="H10443" s="49"/>
      <c r="K10443"/>
      <c r="L10443" s="73"/>
    </row>
    <row r="10444" spans="1:12" x14ac:dyDescent="0.3">
      <c r="A10444"/>
      <c r="B10444" s="72"/>
      <c r="E10444" s="72"/>
      <c r="H10444" s="49"/>
      <c r="K10444"/>
      <c r="L10444" s="73"/>
    </row>
    <row r="10445" spans="1:12" x14ac:dyDescent="0.3">
      <c r="A10445"/>
      <c r="B10445" s="72"/>
      <c r="E10445" s="72"/>
      <c r="H10445" s="49"/>
      <c r="K10445"/>
      <c r="L10445" s="73"/>
    </row>
    <row r="10446" spans="1:12" x14ac:dyDescent="0.3">
      <c r="A10446"/>
      <c r="B10446" s="72"/>
      <c r="E10446" s="72"/>
      <c r="H10446" s="49"/>
      <c r="K10446"/>
      <c r="L10446" s="73"/>
    </row>
    <row r="10447" spans="1:12" x14ac:dyDescent="0.3">
      <c r="A10447"/>
      <c r="B10447" s="72"/>
      <c r="E10447" s="72"/>
      <c r="H10447" s="49"/>
      <c r="K10447"/>
      <c r="L10447" s="73"/>
    </row>
    <row r="10448" spans="1:12" x14ac:dyDescent="0.3">
      <c r="A10448"/>
      <c r="B10448" s="72"/>
      <c r="E10448" s="72"/>
      <c r="H10448" s="49"/>
      <c r="K10448"/>
      <c r="L10448" s="73"/>
    </row>
    <row r="10449" spans="1:12" x14ac:dyDescent="0.3">
      <c r="A10449"/>
      <c r="B10449" s="72"/>
      <c r="E10449" s="72"/>
      <c r="H10449" s="49"/>
      <c r="K10449"/>
      <c r="L10449" s="73"/>
    </row>
    <row r="10450" spans="1:12" x14ac:dyDescent="0.3">
      <c r="A10450"/>
      <c r="B10450" s="72"/>
      <c r="E10450" s="72"/>
      <c r="H10450" s="49"/>
      <c r="K10450"/>
      <c r="L10450" s="73"/>
    </row>
    <row r="10451" spans="1:12" x14ac:dyDescent="0.3">
      <c r="A10451"/>
      <c r="B10451" s="72"/>
      <c r="E10451" s="72"/>
      <c r="H10451" s="49"/>
      <c r="K10451"/>
      <c r="L10451" s="73"/>
    </row>
    <row r="10452" spans="1:12" x14ac:dyDescent="0.3">
      <c r="A10452"/>
      <c r="B10452" s="72"/>
      <c r="E10452" s="72"/>
      <c r="H10452" s="49"/>
      <c r="K10452"/>
      <c r="L10452" s="73"/>
    </row>
    <row r="10453" spans="1:12" x14ac:dyDescent="0.3">
      <c r="A10453"/>
      <c r="B10453" s="72"/>
      <c r="E10453" s="72"/>
      <c r="H10453" s="49"/>
      <c r="K10453"/>
      <c r="L10453" s="73"/>
    </row>
    <row r="10454" spans="1:12" x14ac:dyDescent="0.3">
      <c r="A10454"/>
      <c r="B10454" s="72"/>
      <c r="E10454" s="72"/>
      <c r="H10454" s="49"/>
      <c r="K10454"/>
      <c r="L10454" s="73"/>
    </row>
    <row r="10455" spans="1:12" x14ac:dyDescent="0.3">
      <c r="A10455"/>
      <c r="B10455" s="72"/>
      <c r="E10455" s="72"/>
      <c r="H10455" s="49"/>
      <c r="K10455"/>
      <c r="L10455" s="73"/>
    </row>
    <row r="10456" spans="1:12" x14ac:dyDescent="0.3">
      <c r="A10456"/>
      <c r="B10456" s="72"/>
      <c r="E10456" s="72"/>
      <c r="H10456" s="49"/>
      <c r="K10456"/>
      <c r="L10456" s="73"/>
    </row>
    <row r="10457" spans="1:12" x14ac:dyDescent="0.3">
      <c r="A10457"/>
      <c r="B10457" s="72"/>
      <c r="E10457" s="72"/>
      <c r="H10457" s="49"/>
      <c r="K10457"/>
      <c r="L10457" s="73"/>
    </row>
    <row r="10458" spans="1:12" x14ac:dyDescent="0.3">
      <c r="A10458"/>
      <c r="B10458" s="72"/>
      <c r="E10458" s="72"/>
      <c r="H10458" s="49"/>
      <c r="K10458"/>
      <c r="L10458" s="73"/>
    </row>
    <row r="10459" spans="1:12" x14ac:dyDescent="0.3">
      <c r="A10459"/>
      <c r="B10459" s="72"/>
      <c r="E10459" s="72"/>
      <c r="H10459" s="49"/>
      <c r="K10459"/>
      <c r="L10459" s="73"/>
    </row>
    <row r="10460" spans="1:12" x14ac:dyDescent="0.3">
      <c r="A10460"/>
      <c r="B10460" s="72"/>
      <c r="E10460" s="72"/>
      <c r="H10460" s="49"/>
      <c r="K10460"/>
      <c r="L10460" s="73"/>
    </row>
    <row r="10461" spans="1:12" x14ac:dyDescent="0.3">
      <c r="A10461"/>
      <c r="B10461" s="72"/>
      <c r="E10461" s="72"/>
      <c r="H10461" s="49"/>
      <c r="K10461"/>
      <c r="L10461" s="73"/>
    </row>
    <row r="10462" spans="1:12" x14ac:dyDescent="0.3">
      <c r="A10462"/>
      <c r="B10462" s="72"/>
      <c r="E10462" s="72"/>
      <c r="H10462" s="49"/>
      <c r="K10462"/>
      <c r="L10462" s="73"/>
    </row>
    <row r="10463" spans="1:12" x14ac:dyDescent="0.3">
      <c r="A10463"/>
      <c r="B10463" s="72"/>
      <c r="E10463" s="72"/>
      <c r="H10463" s="49"/>
      <c r="K10463"/>
      <c r="L10463" s="73"/>
    </row>
    <row r="10464" spans="1:12" x14ac:dyDescent="0.3">
      <c r="A10464"/>
      <c r="B10464" s="72"/>
      <c r="E10464" s="72"/>
      <c r="H10464" s="49"/>
      <c r="K10464"/>
      <c r="L10464" s="73"/>
    </row>
    <row r="10465" spans="1:12" x14ac:dyDescent="0.3">
      <c r="A10465"/>
      <c r="B10465" s="72"/>
      <c r="E10465" s="72"/>
      <c r="H10465" s="49"/>
      <c r="K10465"/>
      <c r="L10465" s="73"/>
    </row>
    <row r="10466" spans="1:12" x14ac:dyDescent="0.3">
      <c r="A10466"/>
      <c r="B10466" s="72"/>
      <c r="E10466" s="72"/>
      <c r="H10466" s="49"/>
      <c r="K10466"/>
      <c r="L10466" s="73"/>
    </row>
    <row r="10467" spans="1:12" x14ac:dyDescent="0.3">
      <c r="A10467"/>
      <c r="B10467" s="72"/>
      <c r="E10467" s="72"/>
      <c r="H10467" s="49"/>
      <c r="K10467"/>
      <c r="L10467" s="73"/>
    </row>
    <row r="10468" spans="1:12" x14ac:dyDescent="0.3">
      <c r="A10468"/>
      <c r="B10468" s="72"/>
      <c r="E10468" s="72"/>
      <c r="H10468" s="49"/>
      <c r="K10468"/>
      <c r="L10468" s="73"/>
    </row>
    <row r="10469" spans="1:12" x14ac:dyDescent="0.3">
      <c r="A10469"/>
      <c r="B10469" s="72"/>
      <c r="E10469" s="72"/>
      <c r="H10469" s="49"/>
      <c r="K10469"/>
      <c r="L10469" s="73"/>
    </row>
    <row r="10470" spans="1:12" x14ac:dyDescent="0.3">
      <c r="A10470"/>
      <c r="B10470" s="72"/>
      <c r="E10470" s="72"/>
      <c r="H10470" s="49"/>
      <c r="K10470"/>
      <c r="L10470" s="73"/>
    </row>
    <row r="10471" spans="1:12" x14ac:dyDescent="0.3">
      <c r="A10471"/>
      <c r="B10471" s="72"/>
      <c r="E10471" s="72"/>
      <c r="H10471" s="49"/>
      <c r="K10471"/>
      <c r="L10471" s="73"/>
    </row>
    <row r="10472" spans="1:12" x14ac:dyDescent="0.3">
      <c r="A10472"/>
      <c r="B10472" s="72"/>
      <c r="E10472" s="72"/>
      <c r="H10472" s="49"/>
      <c r="K10472"/>
      <c r="L10472" s="73"/>
    </row>
    <row r="10473" spans="1:12" x14ac:dyDescent="0.3">
      <c r="A10473"/>
      <c r="B10473" s="72"/>
      <c r="E10473" s="72"/>
      <c r="H10473" s="49"/>
      <c r="K10473"/>
      <c r="L10473" s="73"/>
    </row>
    <row r="10474" spans="1:12" x14ac:dyDescent="0.3">
      <c r="A10474"/>
      <c r="B10474" s="72"/>
      <c r="E10474" s="72"/>
      <c r="H10474" s="49"/>
      <c r="K10474"/>
      <c r="L10474" s="73"/>
    </row>
    <row r="10475" spans="1:12" x14ac:dyDescent="0.3">
      <c r="A10475"/>
      <c r="B10475" s="72"/>
      <c r="E10475" s="72"/>
      <c r="H10475" s="49"/>
      <c r="K10475"/>
      <c r="L10475" s="73"/>
    </row>
    <row r="10476" spans="1:12" x14ac:dyDescent="0.3">
      <c r="A10476"/>
      <c r="B10476" s="72"/>
      <c r="E10476" s="72"/>
      <c r="H10476" s="49"/>
      <c r="K10476"/>
      <c r="L10476" s="73"/>
    </row>
    <row r="10477" spans="1:12" x14ac:dyDescent="0.3">
      <c r="A10477"/>
      <c r="B10477" s="72"/>
      <c r="E10477" s="72"/>
      <c r="H10477" s="49"/>
      <c r="K10477"/>
      <c r="L10477" s="73"/>
    </row>
    <row r="10478" spans="1:12" x14ac:dyDescent="0.3">
      <c r="A10478"/>
      <c r="B10478" s="72"/>
      <c r="E10478" s="72"/>
      <c r="H10478" s="49"/>
      <c r="K10478"/>
      <c r="L10478" s="73"/>
    </row>
    <row r="10479" spans="1:12" x14ac:dyDescent="0.3">
      <c r="A10479"/>
      <c r="B10479" s="72"/>
      <c r="E10479" s="72"/>
      <c r="H10479" s="49"/>
      <c r="K10479"/>
      <c r="L10479" s="73"/>
    </row>
    <row r="10480" spans="1:12" x14ac:dyDescent="0.3">
      <c r="A10480"/>
      <c r="B10480" s="72"/>
      <c r="E10480" s="72"/>
      <c r="H10480" s="49"/>
      <c r="K10480"/>
      <c r="L10480" s="73"/>
    </row>
    <row r="10481" spans="1:12" x14ac:dyDescent="0.3">
      <c r="A10481"/>
      <c r="B10481" s="72"/>
      <c r="E10481" s="72"/>
      <c r="H10481" s="49"/>
      <c r="K10481"/>
      <c r="L10481" s="73"/>
    </row>
    <row r="10482" spans="1:12" x14ac:dyDescent="0.3">
      <c r="A10482"/>
      <c r="B10482" s="72"/>
      <c r="E10482" s="72"/>
      <c r="H10482" s="49"/>
      <c r="K10482"/>
      <c r="L10482" s="73"/>
    </row>
    <row r="10483" spans="1:12" x14ac:dyDescent="0.3">
      <c r="A10483"/>
      <c r="B10483" s="72"/>
      <c r="E10483" s="72"/>
      <c r="H10483" s="49"/>
      <c r="K10483"/>
      <c r="L10483" s="73"/>
    </row>
    <row r="10484" spans="1:12" x14ac:dyDescent="0.3">
      <c r="A10484"/>
      <c r="B10484" s="72"/>
      <c r="E10484" s="72"/>
      <c r="H10484" s="49"/>
      <c r="K10484"/>
      <c r="L10484" s="73"/>
    </row>
    <row r="10485" spans="1:12" x14ac:dyDescent="0.3">
      <c r="A10485"/>
      <c r="B10485" s="72"/>
      <c r="E10485" s="72"/>
      <c r="H10485" s="49"/>
      <c r="K10485"/>
      <c r="L10485" s="73"/>
    </row>
    <row r="10486" spans="1:12" x14ac:dyDescent="0.3">
      <c r="A10486"/>
      <c r="B10486" s="72"/>
      <c r="E10486" s="72"/>
      <c r="H10486" s="49"/>
      <c r="K10486"/>
      <c r="L10486" s="73"/>
    </row>
    <row r="10487" spans="1:12" x14ac:dyDescent="0.3">
      <c r="A10487"/>
      <c r="B10487" s="72"/>
      <c r="E10487" s="72"/>
      <c r="H10487" s="49"/>
      <c r="K10487"/>
      <c r="L10487" s="73"/>
    </row>
    <row r="10488" spans="1:12" x14ac:dyDescent="0.3">
      <c r="A10488"/>
      <c r="B10488" s="72"/>
      <c r="E10488" s="72"/>
      <c r="H10488" s="49"/>
      <c r="K10488"/>
      <c r="L10488" s="73"/>
    </row>
    <row r="10489" spans="1:12" x14ac:dyDescent="0.3">
      <c r="A10489"/>
      <c r="B10489" s="72"/>
      <c r="E10489" s="72"/>
      <c r="H10489" s="49"/>
      <c r="K10489"/>
      <c r="L10489" s="73"/>
    </row>
    <row r="10490" spans="1:12" x14ac:dyDescent="0.3">
      <c r="A10490"/>
      <c r="B10490" s="72"/>
      <c r="E10490" s="72"/>
      <c r="H10490" s="49"/>
      <c r="K10490"/>
      <c r="L10490" s="73"/>
    </row>
    <row r="10491" spans="1:12" x14ac:dyDescent="0.3">
      <c r="A10491"/>
      <c r="B10491" s="72"/>
      <c r="E10491" s="72"/>
      <c r="H10491" s="49"/>
      <c r="K10491"/>
      <c r="L10491" s="73"/>
    </row>
    <row r="10492" spans="1:12" x14ac:dyDescent="0.3">
      <c r="A10492"/>
      <c r="B10492" s="72"/>
      <c r="E10492" s="72"/>
      <c r="H10492" s="49"/>
      <c r="K10492"/>
      <c r="L10492" s="73"/>
    </row>
    <row r="10493" spans="1:12" x14ac:dyDescent="0.3">
      <c r="A10493"/>
      <c r="B10493" s="72"/>
      <c r="E10493" s="72"/>
      <c r="H10493" s="49"/>
      <c r="K10493"/>
      <c r="L10493" s="73"/>
    </row>
    <row r="10494" spans="1:12" x14ac:dyDescent="0.3">
      <c r="A10494"/>
      <c r="B10494" s="72"/>
      <c r="E10494" s="72"/>
      <c r="H10494" s="49"/>
      <c r="K10494"/>
      <c r="L10494" s="73"/>
    </row>
    <row r="10495" spans="1:12" x14ac:dyDescent="0.3">
      <c r="A10495"/>
      <c r="B10495" s="72"/>
      <c r="E10495" s="72"/>
      <c r="H10495" s="49"/>
      <c r="K10495"/>
      <c r="L10495" s="73"/>
    </row>
    <row r="10496" spans="1:12" x14ac:dyDescent="0.3">
      <c r="A10496"/>
      <c r="B10496" s="72"/>
      <c r="E10496" s="72"/>
      <c r="H10496" s="49"/>
      <c r="K10496"/>
      <c r="L10496" s="73"/>
    </row>
    <row r="10497" spans="1:12" x14ac:dyDescent="0.3">
      <c r="A10497"/>
      <c r="B10497" s="72"/>
      <c r="E10497" s="72"/>
      <c r="H10497" s="49"/>
      <c r="K10497"/>
      <c r="L10497" s="73"/>
    </row>
    <row r="10498" spans="1:12" x14ac:dyDescent="0.3">
      <c r="A10498"/>
      <c r="B10498" s="72"/>
      <c r="E10498" s="72"/>
      <c r="H10498" s="49"/>
      <c r="K10498"/>
      <c r="L10498" s="73"/>
    </row>
    <row r="10499" spans="1:12" x14ac:dyDescent="0.3">
      <c r="A10499"/>
      <c r="B10499" s="72"/>
      <c r="E10499" s="72"/>
      <c r="H10499" s="49"/>
      <c r="K10499"/>
      <c r="L10499" s="73"/>
    </row>
    <row r="10500" spans="1:12" x14ac:dyDescent="0.3">
      <c r="A10500"/>
      <c r="B10500" s="72"/>
      <c r="E10500" s="72"/>
      <c r="H10500" s="49"/>
      <c r="K10500"/>
      <c r="L10500" s="73"/>
    </row>
    <row r="10501" spans="1:12" x14ac:dyDescent="0.3">
      <c r="A10501"/>
      <c r="B10501" s="72"/>
      <c r="E10501" s="72"/>
      <c r="H10501" s="49"/>
      <c r="K10501"/>
      <c r="L10501" s="73"/>
    </row>
    <row r="10502" spans="1:12" x14ac:dyDescent="0.3">
      <c r="A10502"/>
      <c r="B10502" s="72"/>
      <c r="E10502" s="72"/>
      <c r="H10502" s="49"/>
      <c r="K10502"/>
      <c r="L10502" s="73"/>
    </row>
    <row r="10503" spans="1:12" x14ac:dyDescent="0.3">
      <c r="A10503"/>
      <c r="B10503" s="72"/>
      <c r="E10503" s="72"/>
      <c r="H10503" s="49"/>
      <c r="K10503"/>
      <c r="L10503" s="73"/>
    </row>
    <row r="10504" spans="1:12" x14ac:dyDescent="0.3">
      <c r="A10504"/>
      <c r="B10504" s="72"/>
      <c r="E10504" s="72"/>
      <c r="H10504" s="49"/>
      <c r="K10504"/>
      <c r="L10504" s="73"/>
    </row>
    <row r="10505" spans="1:12" x14ac:dyDescent="0.3">
      <c r="A10505"/>
      <c r="B10505" s="72"/>
      <c r="E10505" s="72"/>
      <c r="H10505" s="49"/>
      <c r="K10505"/>
      <c r="L10505" s="73"/>
    </row>
    <row r="10506" spans="1:12" x14ac:dyDescent="0.3">
      <c r="A10506"/>
      <c r="B10506" s="72"/>
      <c r="E10506" s="72"/>
      <c r="H10506" s="49"/>
      <c r="K10506"/>
      <c r="L10506" s="73"/>
    </row>
    <row r="10507" spans="1:12" x14ac:dyDescent="0.3">
      <c r="A10507"/>
      <c r="B10507" s="72"/>
      <c r="E10507" s="72"/>
      <c r="H10507" s="49"/>
      <c r="K10507"/>
      <c r="L10507" s="73"/>
    </row>
    <row r="10508" spans="1:12" x14ac:dyDescent="0.3">
      <c r="A10508"/>
      <c r="B10508" s="72"/>
      <c r="E10508" s="72"/>
      <c r="H10508" s="49"/>
      <c r="K10508"/>
      <c r="L10508" s="73"/>
    </row>
    <row r="10509" spans="1:12" x14ac:dyDescent="0.3">
      <c r="A10509"/>
      <c r="B10509" s="72"/>
      <c r="E10509" s="72"/>
      <c r="H10509" s="49"/>
      <c r="K10509"/>
      <c r="L10509" s="73"/>
    </row>
    <row r="10510" spans="1:12" x14ac:dyDescent="0.3">
      <c r="A10510"/>
      <c r="B10510" s="72"/>
      <c r="E10510" s="72"/>
      <c r="H10510" s="49"/>
      <c r="K10510"/>
      <c r="L10510" s="73"/>
    </row>
    <row r="10511" spans="1:12" x14ac:dyDescent="0.3">
      <c r="A10511"/>
      <c r="B10511" s="72"/>
      <c r="E10511" s="72"/>
      <c r="H10511" s="49"/>
      <c r="K10511"/>
      <c r="L10511" s="73"/>
    </row>
    <row r="10512" spans="1:12" x14ac:dyDescent="0.3">
      <c r="A10512"/>
      <c r="B10512" s="72"/>
      <c r="E10512" s="72"/>
      <c r="H10512" s="49"/>
      <c r="K10512"/>
      <c r="L10512" s="73"/>
    </row>
    <row r="10513" spans="1:12" x14ac:dyDescent="0.3">
      <c r="A10513"/>
      <c r="B10513" s="72"/>
      <c r="E10513" s="72"/>
      <c r="H10513" s="49"/>
      <c r="K10513"/>
      <c r="L10513" s="73"/>
    </row>
    <row r="10514" spans="1:12" x14ac:dyDescent="0.3">
      <c r="A10514"/>
      <c r="B10514" s="72"/>
      <c r="E10514" s="72"/>
      <c r="H10514" s="49"/>
      <c r="K10514"/>
      <c r="L10514" s="73"/>
    </row>
    <row r="10515" spans="1:12" x14ac:dyDescent="0.3">
      <c r="A10515"/>
      <c r="B10515" s="72"/>
      <c r="E10515" s="72"/>
      <c r="H10515" s="49"/>
      <c r="K10515"/>
      <c r="L10515" s="73"/>
    </row>
    <row r="10516" spans="1:12" x14ac:dyDescent="0.3">
      <c r="A10516"/>
      <c r="B10516" s="72"/>
      <c r="E10516" s="72"/>
      <c r="H10516" s="49"/>
      <c r="K10516"/>
      <c r="L10516" s="73"/>
    </row>
    <row r="10517" spans="1:12" x14ac:dyDescent="0.3">
      <c r="A10517"/>
      <c r="B10517" s="72"/>
      <c r="E10517" s="72"/>
      <c r="H10517" s="49"/>
      <c r="K10517"/>
      <c r="L10517" s="73"/>
    </row>
    <row r="10518" spans="1:12" x14ac:dyDescent="0.3">
      <c r="A10518"/>
      <c r="B10518" s="72"/>
      <c r="E10518" s="72"/>
      <c r="H10518" s="49"/>
      <c r="K10518"/>
      <c r="L10518" s="73"/>
    </row>
    <row r="10519" spans="1:12" x14ac:dyDescent="0.3">
      <c r="A10519"/>
      <c r="B10519" s="72"/>
      <c r="E10519" s="72"/>
      <c r="H10519" s="49"/>
      <c r="K10519"/>
      <c r="L10519" s="73"/>
    </row>
    <row r="10520" spans="1:12" x14ac:dyDescent="0.3">
      <c r="A10520"/>
      <c r="B10520" s="72"/>
      <c r="E10520" s="72"/>
      <c r="H10520" s="49"/>
      <c r="K10520"/>
      <c r="L10520" s="73"/>
    </row>
    <row r="10521" spans="1:12" x14ac:dyDescent="0.3">
      <c r="A10521"/>
      <c r="B10521" s="72"/>
      <c r="E10521" s="72"/>
      <c r="H10521" s="49"/>
      <c r="K10521"/>
      <c r="L10521" s="73"/>
    </row>
    <row r="10522" spans="1:12" x14ac:dyDescent="0.3">
      <c r="A10522"/>
      <c r="B10522" s="72"/>
      <c r="E10522" s="72"/>
      <c r="H10522" s="49"/>
      <c r="K10522"/>
      <c r="L10522" s="73"/>
    </row>
    <row r="10523" spans="1:12" x14ac:dyDescent="0.3">
      <c r="A10523"/>
      <c r="B10523" s="72"/>
      <c r="E10523" s="72"/>
      <c r="H10523" s="49"/>
      <c r="K10523"/>
      <c r="L10523" s="73"/>
    </row>
    <row r="10524" spans="1:12" x14ac:dyDescent="0.3">
      <c r="A10524"/>
      <c r="B10524" s="72"/>
      <c r="E10524" s="72"/>
      <c r="H10524" s="49"/>
      <c r="K10524"/>
      <c r="L10524" s="73"/>
    </row>
    <row r="10525" spans="1:12" x14ac:dyDescent="0.3">
      <c r="A10525"/>
      <c r="B10525" s="72"/>
      <c r="E10525" s="72"/>
      <c r="H10525" s="49"/>
      <c r="K10525"/>
      <c r="L10525" s="73"/>
    </row>
    <row r="10526" spans="1:12" x14ac:dyDescent="0.3">
      <c r="A10526"/>
      <c r="B10526" s="72"/>
      <c r="E10526" s="72"/>
      <c r="H10526" s="49"/>
      <c r="K10526"/>
      <c r="L10526" s="73"/>
    </row>
    <row r="10527" spans="1:12" x14ac:dyDescent="0.3">
      <c r="A10527"/>
      <c r="B10527" s="72"/>
      <c r="E10527" s="72"/>
      <c r="H10527" s="49"/>
      <c r="K10527"/>
      <c r="L10527" s="73"/>
    </row>
    <row r="10528" spans="1:12" x14ac:dyDescent="0.3">
      <c r="A10528"/>
      <c r="B10528" s="72"/>
      <c r="E10528" s="72"/>
      <c r="H10528" s="49"/>
      <c r="K10528"/>
      <c r="L10528" s="73"/>
    </row>
    <row r="10529" spans="1:12" x14ac:dyDescent="0.3">
      <c r="A10529"/>
      <c r="B10529" s="72"/>
      <c r="E10529" s="72"/>
      <c r="H10529" s="49"/>
      <c r="K10529"/>
      <c r="L10529" s="73"/>
    </row>
    <row r="10530" spans="1:12" x14ac:dyDescent="0.3">
      <c r="A10530"/>
      <c r="B10530" s="72"/>
      <c r="E10530" s="72"/>
      <c r="H10530" s="49"/>
      <c r="K10530"/>
      <c r="L10530" s="73"/>
    </row>
    <row r="10531" spans="1:12" x14ac:dyDescent="0.3">
      <c r="A10531"/>
      <c r="B10531" s="72"/>
      <c r="E10531" s="72"/>
      <c r="H10531" s="49"/>
      <c r="K10531"/>
      <c r="L10531" s="73"/>
    </row>
    <row r="10532" spans="1:12" x14ac:dyDescent="0.3">
      <c r="A10532"/>
      <c r="B10532" s="72"/>
      <c r="E10532" s="72"/>
      <c r="H10532" s="49"/>
      <c r="K10532"/>
      <c r="L10532" s="73"/>
    </row>
    <row r="10533" spans="1:12" x14ac:dyDescent="0.3">
      <c r="A10533"/>
      <c r="B10533" s="72"/>
      <c r="E10533" s="72"/>
      <c r="H10533" s="49"/>
      <c r="K10533"/>
      <c r="L10533" s="73"/>
    </row>
    <row r="10534" spans="1:12" x14ac:dyDescent="0.3">
      <c r="A10534"/>
      <c r="B10534" s="72"/>
      <c r="E10534" s="72"/>
      <c r="H10534" s="49"/>
      <c r="K10534"/>
      <c r="L10534" s="73"/>
    </row>
    <row r="10535" spans="1:12" x14ac:dyDescent="0.3">
      <c r="A10535"/>
      <c r="B10535" s="72"/>
      <c r="E10535" s="72"/>
      <c r="H10535" s="49"/>
      <c r="K10535"/>
      <c r="L10535" s="73"/>
    </row>
    <row r="10536" spans="1:12" x14ac:dyDescent="0.3">
      <c r="A10536"/>
      <c r="B10536" s="72"/>
      <c r="E10536" s="72"/>
      <c r="H10536" s="49"/>
      <c r="K10536"/>
      <c r="L10536" s="73"/>
    </row>
    <row r="10537" spans="1:12" x14ac:dyDescent="0.3">
      <c r="A10537"/>
      <c r="B10537" s="72"/>
      <c r="E10537" s="72"/>
      <c r="H10537" s="49"/>
      <c r="K10537"/>
      <c r="L10537" s="73"/>
    </row>
    <row r="10538" spans="1:12" x14ac:dyDescent="0.3">
      <c r="A10538"/>
      <c r="B10538" s="72"/>
      <c r="E10538" s="72"/>
      <c r="H10538" s="49"/>
      <c r="K10538"/>
      <c r="L10538" s="73"/>
    </row>
    <row r="10539" spans="1:12" x14ac:dyDescent="0.3">
      <c r="A10539"/>
      <c r="B10539" s="72"/>
      <c r="E10539" s="72"/>
      <c r="H10539" s="49"/>
      <c r="K10539"/>
      <c r="L10539" s="73"/>
    </row>
    <row r="10540" spans="1:12" ht="13.5" customHeight="1" x14ac:dyDescent="0.3">
      <c r="A10540"/>
      <c r="B10540" s="72"/>
      <c r="E10540" s="72"/>
      <c r="H10540" s="49"/>
      <c r="K10540"/>
      <c r="L10540" s="73"/>
    </row>
    <row r="10541" spans="1:12" x14ac:dyDescent="0.3">
      <c r="A10541" s="74"/>
      <c r="B10541" s="75"/>
      <c r="E10541" s="75"/>
      <c r="F10541" s="76"/>
      <c r="G10541" s="77"/>
      <c r="H10541" s="49"/>
      <c r="K10541"/>
      <c r="L10541" s="73"/>
    </row>
    <row r="10542" spans="1:12" x14ac:dyDescent="0.3">
      <c r="A10542" s="74"/>
      <c r="B10542" s="75"/>
      <c r="E10542" s="75"/>
      <c r="F10542" s="76"/>
      <c r="G10542" s="77"/>
      <c r="H10542" s="49"/>
      <c r="K10542"/>
      <c r="L10542" s="73"/>
    </row>
    <row r="10543" spans="1:12" x14ac:dyDescent="0.3">
      <c r="A10543" s="74"/>
      <c r="B10543" s="75"/>
      <c r="E10543" s="75"/>
      <c r="F10543" s="76"/>
      <c r="G10543" s="77"/>
      <c r="H10543" s="49"/>
      <c r="K10543"/>
      <c r="L10543" s="73"/>
    </row>
    <row r="10544" spans="1:12" x14ac:dyDescent="0.3">
      <c r="A10544" s="74"/>
      <c r="B10544" s="75"/>
      <c r="E10544" s="75"/>
      <c r="F10544" s="76"/>
      <c r="G10544" s="77"/>
      <c r="H10544" s="49"/>
      <c r="K10544"/>
      <c r="L10544" s="73"/>
    </row>
    <row r="10545" spans="1:12" x14ac:dyDescent="0.3">
      <c r="A10545" s="74"/>
      <c r="B10545" s="75"/>
      <c r="E10545" s="75"/>
      <c r="F10545" s="76"/>
      <c r="G10545" s="77"/>
      <c r="H10545" s="49"/>
      <c r="K10545"/>
      <c r="L10545" s="73"/>
    </row>
    <row r="10546" spans="1:12" x14ac:dyDescent="0.3">
      <c r="A10546" s="74"/>
      <c r="B10546" s="75"/>
      <c r="E10546" s="75"/>
      <c r="F10546" s="76"/>
      <c r="G10546" s="77"/>
      <c r="H10546" s="49"/>
      <c r="K10546"/>
      <c r="L10546" s="73"/>
    </row>
    <row r="10547" spans="1:12" x14ac:dyDescent="0.3">
      <c r="A10547" s="74"/>
      <c r="B10547" s="75"/>
      <c r="E10547" s="75"/>
      <c r="F10547" s="76"/>
      <c r="G10547" s="77"/>
      <c r="H10547" s="49"/>
      <c r="K10547"/>
      <c r="L10547" s="73"/>
    </row>
    <row r="10548" spans="1:12" x14ac:dyDescent="0.3">
      <c r="A10548" s="74"/>
      <c r="B10548" s="75"/>
      <c r="E10548" s="75"/>
      <c r="F10548" s="76"/>
      <c r="G10548" s="77"/>
      <c r="H10548" s="49"/>
      <c r="K10548"/>
      <c r="L10548" s="73"/>
    </row>
    <row r="10549" spans="1:12" x14ac:dyDescent="0.3">
      <c r="A10549" s="74"/>
      <c r="B10549" s="75"/>
      <c r="E10549" s="75"/>
      <c r="F10549" s="76"/>
      <c r="G10549" s="77"/>
      <c r="H10549" s="49"/>
      <c r="K10549"/>
      <c r="L10549" s="73"/>
    </row>
    <row r="10550" spans="1:12" x14ac:dyDescent="0.3">
      <c r="A10550" s="74"/>
      <c r="B10550" s="75"/>
      <c r="E10550" s="75"/>
      <c r="F10550" s="76"/>
      <c r="G10550" s="77"/>
      <c r="H10550" s="49"/>
      <c r="K10550"/>
      <c r="L10550" s="73"/>
    </row>
    <row r="10551" spans="1:12" x14ac:dyDescent="0.3">
      <c r="A10551" s="74"/>
      <c r="B10551" s="75"/>
      <c r="E10551" s="75"/>
      <c r="F10551" s="76"/>
      <c r="G10551" s="77"/>
      <c r="H10551" s="49"/>
      <c r="K10551"/>
      <c r="L10551" s="73"/>
    </row>
    <row r="10552" spans="1:12" x14ac:dyDescent="0.3">
      <c r="A10552" s="74"/>
      <c r="B10552" s="75"/>
      <c r="E10552" s="75"/>
      <c r="F10552" s="76"/>
      <c r="G10552" s="77"/>
      <c r="H10552" s="49"/>
      <c r="K10552"/>
      <c r="L10552" s="73"/>
    </row>
    <row r="10553" spans="1:12" x14ac:dyDescent="0.3">
      <c r="A10553" s="74"/>
      <c r="B10553" s="75"/>
      <c r="E10553" s="75"/>
      <c r="F10553" s="76"/>
      <c r="G10553" s="77"/>
      <c r="H10553" s="49"/>
      <c r="K10553"/>
      <c r="L10553" s="73"/>
    </row>
    <row r="10554" spans="1:12" x14ac:dyDescent="0.3">
      <c r="A10554" s="78"/>
      <c r="B10554" s="79"/>
      <c r="E10554" s="75"/>
      <c r="F10554" s="76"/>
      <c r="G10554" s="77"/>
      <c r="H10554" s="49"/>
      <c r="K10554"/>
      <c r="L10554" s="73"/>
    </row>
    <row r="10555" spans="1:12" x14ac:dyDescent="0.3">
      <c r="A10555" s="74"/>
      <c r="B10555" s="75"/>
      <c r="E10555" s="75"/>
      <c r="F10555" s="76"/>
      <c r="G10555" s="80"/>
      <c r="H10555" s="49"/>
      <c r="K10555"/>
      <c r="L10555" s="73"/>
    </row>
    <row r="10556" spans="1:12" x14ac:dyDescent="0.3">
      <c r="A10556" s="74"/>
      <c r="B10556" s="75"/>
      <c r="E10556" s="75"/>
      <c r="F10556" s="76"/>
      <c r="G10556" s="80"/>
      <c r="H10556" s="49"/>
      <c r="K10556"/>
      <c r="L10556" s="73"/>
    </row>
    <row r="10557" spans="1:12" x14ac:dyDescent="0.3">
      <c r="A10557" s="74"/>
      <c r="B10557" s="75"/>
      <c r="E10557" s="75"/>
      <c r="F10557" s="76"/>
      <c r="G10557" s="77"/>
      <c r="H10557" s="49"/>
      <c r="K10557"/>
      <c r="L10557" s="73"/>
    </row>
    <row r="10558" spans="1:12" x14ac:dyDescent="0.3">
      <c r="A10558" s="74"/>
      <c r="B10558" s="75"/>
      <c r="E10558" s="75"/>
      <c r="F10558" s="76"/>
      <c r="G10558" s="77"/>
      <c r="H10558" s="49"/>
      <c r="K10558"/>
      <c r="L10558" s="73"/>
    </row>
    <row r="10559" spans="1:12" x14ac:dyDescent="0.3">
      <c r="A10559" s="74"/>
      <c r="B10559" s="75"/>
      <c r="E10559" s="75"/>
      <c r="F10559" s="76"/>
      <c r="G10559" s="77"/>
      <c r="H10559" s="49"/>
      <c r="K10559"/>
      <c r="L10559" s="73"/>
    </row>
    <row r="10560" spans="1:12" x14ac:dyDescent="0.3">
      <c r="A10560" s="74"/>
      <c r="B10560" s="75"/>
      <c r="E10560" s="75"/>
      <c r="F10560" s="76"/>
      <c r="G10560" s="77"/>
      <c r="H10560" s="49"/>
      <c r="K10560"/>
      <c r="L10560" s="73"/>
    </row>
    <row r="10561" spans="1:12" x14ac:dyDescent="0.3">
      <c r="A10561" s="74"/>
      <c r="B10561" s="75"/>
      <c r="E10561" s="75"/>
      <c r="F10561" s="76"/>
      <c r="G10561" s="77"/>
      <c r="H10561" s="49"/>
      <c r="K10561"/>
      <c r="L10561" s="73"/>
    </row>
    <row r="10562" spans="1:12" x14ac:dyDescent="0.3">
      <c r="A10562" s="74"/>
      <c r="B10562" s="75"/>
      <c r="E10562" s="75"/>
      <c r="F10562" s="76"/>
      <c r="G10562" s="77"/>
      <c r="H10562" s="49"/>
      <c r="K10562"/>
      <c r="L10562" s="73"/>
    </row>
    <row r="10563" spans="1:12" x14ac:dyDescent="0.3">
      <c r="A10563" s="74"/>
      <c r="B10563" s="75"/>
      <c r="E10563" s="75"/>
      <c r="F10563" s="76"/>
      <c r="G10563" s="77"/>
      <c r="H10563" s="49"/>
      <c r="K10563"/>
      <c r="L10563" s="73"/>
    </row>
    <row r="10564" spans="1:12" x14ac:dyDescent="0.3">
      <c r="A10564" s="74"/>
      <c r="B10564" s="75"/>
      <c r="E10564" s="75"/>
      <c r="F10564" s="76"/>
      <c r="G10564" s="77"/>
      <c r="H10564" s="49"/>
      <c r="K10564"/>
      <c r="L10564" s="73"/>
    </row>
    <row r="10565" spans="1:12" x14ac:dyDescent="0.3">
      <c r="A10565" s="74"/>
      <c r="B10565" s="75"/>
      <c r="E10565" s="75"/>
      <c r="F10565" s="76"/>
      <c r="G10565" s="77"/>
      <c r="H10565" s="49"/>
      <c r="K10565"/>
      <c r="L10565" s="73"/>
    </row>
    <row r="10566" spans="1:12" x14ac:dyDescent="0.3">
      <c r="A10566" s="74"/>
      <c r="B10566" s="75"/>
      <c r="E10566" s="75"/>
      <c r="F10566" s="76"/>
      <c r="G10566" s="77"/>
      <c r="H10566" s="49"/>
      <c r="K10566"/>
      <c r="L10566" s="73"/>
    </row>
    <row r="10567" spans="1:12" x14ac:dyDescent="0.3">
      <c r="A10567" s="74"/>
      <c r="B10567" s="75"/>
      <c r="E10567" s="75"/>
      <c r="F10567" s="76"/>
      <c r="G10567" s="77"/>
      <c r="H10567" s="49"/>
      <c r="K10567"/>
      <c r="L10567" s="73"/>
    </row>
    <row r="10568" spans="1:12" x14ac:dyDescent="0.3">
      <c r="A10568" s="74"/>
      <c r="B10568" s="75"/>
      <c r="E10568" s="75"/>
      <c r="F10568" s="76"/>
      <c r="G10568" s="77"/>
      <c r="H10568" s="49"/>
      <c r="K10568"/>
      <c r="L10568" s="73"/>
    </row>
    <row r="10569" spans="1:12" x14ac:dyDescent="0.3">
      <c r="A10569" s="74"/>
      <c r="B10569" s="75"/>
      <c r="E10569" s="75"/>
      <c r="F10569" s="76"/>
      <c r="G10569" s="77"/>
      <c r="H10569" s="49"/>
      <c r="K10569"/>
      <c r="L10569" s="73"/>
    </row>
    <row r="10570" spans="1:12" x14ac:dyDescent="0.3">
      <c r="A10570" s="74"/>
      <c r="B10570" s="75"/>
      <c r="E10570" s="75"/>
      <c r="F10570" s="76"/>
      <c r="G10570" s="80"/>
      <c r="H10570" s="49"/>
      <c r="K10570"/>
      <c r="L10570" s="73"/>
    </row>
    <row r="10571" spans="1:12" x14ac:dyDescent="0.3">
      <c r="A10571" s="74"/>
      <c r="B10571" s="75"/>
      <c r="E10571" s="75"/>
      <c r="F10571" s="76"/>
      <c r="G10571" s="80"/>
      <c r="H10571" s="49"/>
      <c r="K10571"/>
      <c r="L10571" s="73"/>
    </row>
    <row r="10572" spans="1:12" x14ac:dyDescent="0.3">
      <c r="A10572" s="74"/>
      <c r="B10572" s="75"/>
      <c r="E10572" s="75"/>
      <c r="F10572" s="76"/>
      <c r="G10572" s="80"/>
      <c r="H10572" s="49"/>
      <c r="K10572"/>
      <c r="L10572" s="73"/>
    </row>
    <row r="10573" spans="1:12" x14ac:dyDescent="0.3">
      <c r="A10573" s="74"/>
      <c r="B10573" s="75"/>
      <c r="E10573" s="75"/>
      <c r="F10573" s="76"/>
      <c r="G10573" s="80"/>
      <c r="H10573" s="49"/>
      <c r="K10573"/>
      <c r="L10573" s="73"/>
    </row>
    <row r="10574" spans="1:12" x14ac:dyDescent="0.3">
      <c r="A10574" s="74"/>
      <c r="B10574" s="75"/>
      <c r="E10574" s="75"/>
      <c r="F10574" s="76"/>
      <c r="G10574" s="81"/>
      <c r="H10574" s="49"/>
      <c r="K10574"/>
      <c r="L10574" s="73"/>
    </row>
    <row r="10575" spans="1:12" x14ac:dyDescent="0.3">
      <c r="A10575" s="74"/>
      <c r="B10575" s="75"/>
      <c r="E10575" s="75"/>
      <c r="F10575" s="76"/>
      <c r="G10575" s="81"/>
      <c r="H10575" s="49"/>
      <c r="K10575"/>
      <c r="L10575" s="73"/>
    </row>
    <row r="10576" spans="1:12" x14ac:dyDescent="0.3">
      <c r="A10576" s="74"/>
      <c r="B10576" s="75"/>
      <c r="E10576" s="75"/>
      <c r="F10576" s="76"/>
      <c r="G10576" s="77"/>
      <c r="H10576" s="49"/>
      <c r="K10576"/>
      <c r="L10576" s="73"/>
    </row>
    <row r="10577" spans="1:12" x14ac:dyDescent="0.3">
      <c r="A10577" s="74"/>
      <c r="B10577" s="75"/>
      <c r="E10577" s="75"/>
      <c r="F10577" s="76"/>
      <c r="G10577" s="77"/>
      <c r="H10577" s="49"/>
      <c r="K10577"/>
      <c r="L10577" s="73"/>
    </row>
    <row r="10578" spans="1:12" x14ac:dyDescent="0.3">
      <c r="A10578" s="74"/>
      <c r="B10578" s="75"/>
      <c r="E10578" s="75"/>
      <c r="F10578" s="76"/>
      <c r="G10578" s="77"/>
      <c r="H10578" s="49"/>
      <c r="K10578"/>
      <c r="L10578" s="73"/>
    </row>
    <row r="10579" spans="1:12" x14ac:dyDescent="0.3">
      <c r="A10579" s="74"/>
      <c r="B10579" s="75"/>
      <c r="E10579" s="75"/>
      <c r="F10579" s="76"/>
      <c r="G10579" s="77"/>
      <c r="H10579" s="49"/>
      <c r="K10579"/>
      <c r="L10579" s="73"/>
    </row>
    <row r="10580" spans="1:12" x14ac:dyDescent="0.3">
      <c r="A10580" s="74"/>
      <c r="B10580" s="75"/>
      <c r="E10580" s="75"/>
      <c r="F10580" s="76"/>
      <c r="G10580" s="77"/>
      <c r="H10580" s="49"/>
      <c r="K10580"/>
      <c r="L10580" s="73"/>
    </row>
    <row r="10581" spans="1:12" x14ac:dyDescent="0.3">
      <c r="A10581" s="74"/>
      <c r="B10581" s="75"/>
      <c r="E10581" s="75"/>
      <c r="F10581" s="76"/>
      <c r="G10581" s="77"/>
      <c r="H10581" s="49"/>
      <c r="K10581"/>
      <c r="L10581" s="73"/>
    </row>
    <row r="10582" spans="1:12" x14ac:dyDescent="0.3">
      <c r="A10582" s="74"/>
      <c r="B10582" s="75"/>
      <c r="E10582" s="75"/>
      <c r="F10582" s="76"/>
      <c r="G10582" s="77"/>
      <c r="H10582" s="49"/>
      <c r="K10582"/>
      <c r="L10582" s="73"/>
    </row>
    <row r="10583" spans="1:12" x14ac:dyDescent="0.3">
      <c r="A10583" s="74"/>
      <c r="B10583" s="75"/>
      <c r="E10583" s="75"/>
      <c r="F10583" s="76"/>
      <c r="G10583" s="77"/>
      <c r="H10583" s="49"/>
      <c r="K10583"/>
      <c r="L10583" s="73"/>
    </row>
    <row r="10584" spans="1:12" x14ac:dyDescent="0.3">
      <c r="A10584" s="74"/>
      <c r="B10584" s="75"/>
      <c r="E10584" s="75"/>
      <c r="F10584" s="76"/>
      <c r="G10584" s="77"/>
      <c r="H10584" s="49"/>
      <c r="K10584"/>
      <c r="L10584" s="73"/>
    </row>
    <row r="10585" spans="1:12" x14ac:dyDescent="0.3">
      <c r="A10585" s="74"/>
      <c r="B10585" s="75"/>
      <c r="E10585" s="75"/>
      <c r="F10585" s="76"/>
      <c r="G10585" s="77"/>
      <c r="H10585" s="49"/>
      <c r="K10585"/>
      <c r="L10585" s="73"/>
    </row>
    <row r="10586" spans="1:12" x14ac:dyDescent="0.3">
      <c r="A10586" s="74"/>
      <c r="B10586" s="75"/>
      <c r="E10586" s="75"/>
      <c r="F10586" s="76"/>
      <c r="G10586" s="77"/>
      <c r="H10586" s="49"/>
      <c r="K10586"/>
      <c r="L10586" s="73"/>
    </row>
    <row r="10587" spans="1:12" x14ac:dyDescent="0.3">
      <c r="A10587" s="74"/>
      <c r="B10587" s="75"/>
      <c r="E10587" s="75"/>
      <c r="F10587" s="76"/>
      <c r="G10587" s="77"/>
      <c r="H10587" s="49"/>
      <c r="K10587"/>
      <c r="L10587" s="73"/>
    </row>
    <row r="10588" spans="1:12" x14ac:dyDescent="0.3">
      <c r="A10588" s="74"/>
      <c r="B10588" s="75"/>
      <c r="E10588" s="75"/>
      <c r="F10588" s="76"/>
      <c r="G10588" s="77"/>
      <c r="H10588" s="49"/>
      <c r="K10588"/>
      <c r="L10588" s="73"/>
    </row>
    <row r="10589" spans="1:12" x14ac:dyDescent="0.3">
      <c r="A10589" s="74"/>
      <c r="B10589" s="75"/>
      <c r="E10589" s="75"/>
      <c r="F10589" s="76"/>
      <c r="G10589" s="77"/>
      <c r="H10589" s="49"/>
      <c r="K10589"/>
      <c r="L10589" s="73"/>
    </row>
    <row r="10590" spans="1:12" x14ac:dyDescent="0.3">
      <c r="A10590" s="74"/>
      <c r="B10590" s="75"/>
      <c r="E10590" s="75"/>
      <c r="F10590" s="76"/>
      <c r="G10590" s="77"/>
      <c r="H10590" s="49"/>
      <c r="K10590"/>
      <c r="L10590" s="73"/>
    </row>
    <row r="10591" spans="1:12" x14ac:dyDescent="0.3">
      <c r="A10591" s="22"/>
      <c r="B10591" s="82"/>
      <c r="E10591" s="83"/>
      <c r="F10591" s="76"/>
      <c r="G10591" s="77"/>
      <c r="H10591" s="49"/>
      <c r="K10591"/>
      <c r="L10591" s="73"/>
    </row>
    <row r="10592" spans="1:12" x14ac:dyDescent="0.3">
      <c r="A10592" s="22"/>
      <c r="B10592" s="82"/>
      <c r="E10592" s="83"/>
      <c r="F10592" s="76"/>
      <c r="G10592" s="77"/>
      <c r="H10592" s="49"/>
      <c r="K10592"/>
      <c r="L10592" s="73"/>
    </row>
    <row r="10593" spans="1:12" x14ac:dyDescent="0.3">
      <c r="A10593" s="22"/>
      <c r="B10593" s="82"/>
      <c r="E10593" s="83"/>
      <c r="F10593" s="76"/>
      <c r="G10593" s="77"/>
      <c r="H10593" s="49"/>
      <c r="K10593"/>
      <c r="L10593" s="73"/>
    </row>
    <row r="10594" spans="1:12" x14ac:dyDescent="0.3">
      <c r="A10594" s="74"/>
      <c r="B10594" s="75"/>
      <c r="E10594" s="83"/>
      <c r="F10594" s="76"/>
      <c r="G10594" s="77"/>
      <c r="H10594" s="49"/>
      <c r="K10594"/>
      <c r="L10594" s="73"/>
    </row>
    <row r="10595" spans="1:12" x14ac:dyDescent="0.3">
      <c r="A10595" s="84"/>
      <c r="B10595" s="85"/>
      <c r="E10595" s="86"/>
      <c r="F10595" s="76"/>
      <c r="G10595" s="24"/>
      <c r="H10595" s="49"/>
      <c r="K10595"/>
      <c r="L10595" s="73"/>
    </row>
    <row r="10596" spans="1:12" x14ac:dyDescent="0.3">
      <c r="A10596" s="84"/>
      <c r="B10596" s="85"/>
      <c r="E10596" s="86"/>
      <c r="F10596" s="76"/>
      <c r="G10596" s="24"/>
      <c r="H10596" s="49"/>
      <c r="K10596"/>
      <c r="L10596" s="73"/>
    </row>
    <row r="10597" spans="1:12" x14ac:dyDescent="0.3">
      <c r="A10597" s="84"/>
      <c r="B10597" s="85"/>
      <c r="E10597" s="86"/>
      <c r="F10597" s="76"/>
      <c r="G10597" s="24"/>
      <c r="H10597" s="49"/>
      <c r="K10597"/>
      <c r="L10597" s="73"/>
    </row>
    <row r="10598" spans="1:12" x14ac:dyDescent="0.3">
      <c r="A10598" s="84"/>
      <c r="B10598" s="85"/>
      <c r="E10598" s="86"/>
      <c r="F10598" s="76"/>
      <c r="G10598" s="24"/>
      <c r="H10598" s="49"/>
      <c r="K10598"/>
      <c r="L10598" s="73"/>
    </row>
    <row r="10599" spans="1:12" x14ac:dyDescent="0.3">
      <c r="A10599" s="84"/>
      <c r="B10599" s="85"/>
      <c r="E10599" s="86"/>
      <c r="F10599" s="76"/>
      <c r="G10599" s="24"/>
      <c r="H10599" s="49"/>
      <c r="K10599"/>
      <c r="L10599" s="73"/>
    </row>
    <row r="10600" spans="1:12" x14ac:dyDescent="0.3">
      <c r="A10600" s="84"/>
      <c r="B10600" s="85"/>
      <c r="E10600" s="86"/>
      <c r="F10600" s="76"/>
      <c r="G10600" s="24"/>
      <c r="H10600" s="49"/>
      <c r="K10600"/>
      <c r="L10600" s="73"/>
    </row>
    <row r="10601" spans="1:12" x14ac:dyDescent="0.3">
      <c r="A10601" s="84"/>
      <c r="B10601" s="85"/>
      <c r="E10601" s="86"/>
      <c r="F10601" s="76"/>
      <c r="G10601" s="24"/>
      <c r="H10601" s="49"/>
      <c r="K10601"/>
      <c r="L10601" s="73"/>
    </row>
    <row r="10602" spans="1:12" x14ac:dyDescent="0.3">
      <c r="A10602" s="84"/>
      <c r="B10602" s="85"/>
      <c r="E10602" s="86"/>
      <c r="F10602" s="76"/>
      <c r="G10602" s="24"/>
      <c r="H10602" s="49"/>
      <c r="K10602"/>
      <c r="L10602" s="73"/>
    </row>
    <row r="10603" spans="1:12" x14ac:dyDescent="0.3">
      <c r="A10603" s="84"/>
      <c r="B10603" s="85"/>
      <c r="E10603" s="86"/>
      <c r="F10603" s="76"/>
      <c r="G10603" s="24"/>
      <c r="H10603" s="49"/>
      <c r="K10603"/>
      <c r="L10603" s="73"/>
    </row>
    <row r="10604" spans="1:12" x14ac:dyDescent="0.3">
      <c r="A10604" s="84"/>
      <c r="B10604" s="85"/>
      <c r="E10604" s="86"/>
      <c r="F10604" s="76"/>
      <c r="G10604" s="24"/>
      <c r="H10604" s="49"/>
      <c r="K10604"/>
      <c r="L10604" s="73"/>
    </row>
    <row r="10605" spans="1:12" x14ac:dyDescent="0.3">
      <c r="A10605" s="84"/>
      <c r="B10605" s="85"/>
      <c r="E10605" s="86"/>
      <c r="F10605" s="76"/>
      <c r="G10605" s="24"/>
      <c r="H10605" s="49"/>
      <c r="K10605"/>
      <c r="L10605" s="73"/>
    </row>
    <row r="10606" spans="1:12" x14ac:dyDescent="0.3">
      <c r="A10606" s="84"/>
      <c r="B10606" s="85"/>
      <c r="E10606" s="86"/>
      <c r="F10606" s="76"/>
      <c r="G10606" s="24"/>
      <c r="H10606" s="49"/>
      <c r="K10606"/>
      <c r="L10606" s="73"/>
    </row>
    <row r="10607" spans="1:12" x14ac:dyDescent="0.3">
      <c r="A10607" s="84"/>
      <c r="B10607" s="85"/>
      <c r="E10607" s="86"/>
      <c r="F10607" s="76"/>
      <c r="G10607" s="24"/>
      <c r="H10607" s="49"/>
      <c r="K10607"/>
      <c r="L10607" s="73"/>
    </row>
    <row r="10608" spans="1:12" x14ac:dyDescent="0.3">
      <c r="A10608" s="84"/>
      <c r="B10608" s="85"/>
      <c r="E10608" s="86"/>
      <c r="F10608" s="76"/>
      <c r="G10608" s="24"/>
      <c r="H10608" s="49"/>
      <c r="K10608"/>
      <c r="L10608" s="73"/>
    </row>
    <row r="10609" spans="1:12" x14ac:dyDescent="0.3">
      <c r="A10609" s="84"/>
      <c r="B10609" s="85"/>
      <c r="E10609" s="86"/>
      <c r="F10609" s="76"/>
      <c r="G10609" s="24"/>
      <c r="H10609" s="49"/>
      <c r="K10609"/>
      <c r="L10609" s="73"/>
    </row>
    <row r="10610" spans="1:12" x14ac:dyDescent="0.3">
      <c r="A10610" s="84"/>
      <c r="B10610" s="85"/>
      <c r="E10610" s="86"/>
      <c r="F10610" s="76"/>
      <c r="G10610" s="24"/>
      <c r="H10610" s="49"/>
      <c r="K10610"/>
      <c r="L10610" s="73"/>
    </row>
    <row r="10611" spans="1:12" x14ac:dyDescent="0.3">
      <c r="A10611" s="84"/>
      <c r="B10611" s="85"/>
      <c r="E10611" s="86"/>
      <c r="F10611" s="76"/>
      <c r="G10611" s="24"/>
      <c r="H10611" s="49"/>
      <c r="K10611"/>
      <c r="L10611" s="73"/>
    </row>
    <row r="10612" spans="1:12" x14ac:dyDescent="0.3">
      <c r="A10612" s="84"/>
      <c r="B10612" s="85"/>
      <c r="E10612" s="86"/>
      <c r="F10612" s="76"/>
      <c r="G10612" s="24"/>
      <c r="H10612" s="49"/>
      <c r="K10612"/>
      <c r="L10612" s="73"/>
    </row>
    <row r="10613" spans="1:12" x14ac:dyDescent="0.3">
      <c r="A10613" s="84"/>
      <c r="B10613" s="85"/>
      <c r="E10613" s="86"/>
      <c r="F10613" s="76"/>
      <c r="G10613" s="24"/>
      <c r="H10613" s="49"/>
      <c r="K10613"/>
      <c r="L10613" s="73"/>
    </row>
    <row r="10614" spans="1:12" x14ac:dyDescent="0.3">
      <c r="A10614" s="84"/>
      <c r="B10614" s="85"/>
      <c r="E10614" s="86"/>
      <c r="F10614" s="76"/>
      <c r="G10614" s="24"/>
      <c r="H10614" s="49"/>
      <c r="K10614"/>
      <c r="L10614" s="73"/>
    </row>
    <row r="10615" spans="1:12" x14ac:dyDescent="0.3">
      <c r="A10615" s="84"/>
      <c r="B10615" s="85"/>
      <c r="E10615" s="86"/>
      <c r="F10615" s="76"/>
      <c r="G10615" s="24"/>
      <c r="H10615" s="49"/>
      <c r="K10615"/>
      <c r="L10615" s="73"/>
    </row>
    <row r="10616" spans="1:12" x14ac:dyDescent="0.3">
      <c r="A10616" s="84"/>
      <c r="B10616" s="85"/>
      <c r="E10616" s="86"/>
      <c r="F10616" s="76"/>
      <c r="G10616" s="24"/>
      <c r="H10616" s="49"/>
      <c r="K10616"/>
      <c r="L10616" s="73"/>
    </row>
    <row r="10617" spans="1:12" x14ac:dyDescent="0.3">
      <c r="A10617" s="84"/>
      <c r="B10617" s="85"/>
      <c r="E10617" s="86"/>
      <c r="F10617" s="76"/>
      <c r="G10617" s="24"/>
      <c r="H10617" s="49"/>
      <c r="K10617"/>
      <c r="L10617" s="73"/>
    </row>
    <row r="10618" spans="1:12" x14ac:dyDescent="0.3">
      <c r="A10618" s="84"/>
      <c r="B10618" s="85"/>
      <c r="E10618" s="86"/>
      <c r="F10618" s="76"/>
      <c r="G10618" s="24"/>
      <c r="H10618" s="49"/>
      <c r="K10618"/>
      <c r="L10618" s="73"/>
    </row>
    <row r="10619" spans="1:12" x14ac:dyDescent="0.3">
      <c r="A10619" s="84"/>
      <c r="B10619" s="85"/>
      <c r="E10619" s="86"/>
      <c r="F10619" s="76"/>
      <c r="G10619" s="24"/>
      <c r="H10619" s="49"/>
      <c r="K10619"/>
      <c r="L10619" s="73"/>
    </row>
    <row r="10620" spans="1:12" x14ac:dyDescent="0.3">
      <c r="A10620" s="84"/>
      <c r="B10620" s="85"/>
      <c r="E10620" s="86"/>
      <c r="F10620" s="76"/>
      <c r="G10620" s="24"/>
      <c r="H10620" s="49"/>
      <c r="K10620"/>
      <c r="L10620" s="73"/>
    </row>
    <row r="10621" spans="1:12" x14ac:dyDescent="0.3">
      <c r="A10621" s="84"/>
      <c r="B10621" s="85"/>
      <c r="E10621" s="86"/>
      <c r="F10621" s="76"/>
      <c r="G10621" s="24"/>
      <c r="H10621" s="49"/>
      <c r="K10621"/>
      <c r="L10621" s="73"/>
    </row>
    <row r="10622" spans="1:12" x14ac:dyDescent="0.3">
      <c r="A10622" s="84"/>
      <c r="B10622" s="85"/>
      <c r="E10622" s="86"/>
      <c r="F10622" s="76"/>
      <c r="G10622" s="24"/>
      <c r="H10622" s="49"/>
      <c r="K10622"/>
      <c r="L10622" s="73"/>
    </row>
    <row r="10623" spans="1:12" x14ac:dyDescent="0.3">
      <c r="A10623" s="84"/>
      <c r="B10623" s="85"/>
      <c r="E10623" s="86"/>
      <c r="F10623" s="76"/>
      <c r="G10623" s="24"/>
      <c r="H10623" s="49"/>
      <c r="K10623"/>
      <c r="L10623" s="73"/>
    </row>
    <row r="10624" spans="1:12" x14ac:dyDescent="0.3">
      <c r="A10624" s="84"/>
      <c r="B10624" s="85"/>
      <c r="E10624" s="86"/>
      <c r="F10624" s="76"/>
      <c r="G10624" s="24"/>
      <c r="H10624" s="49"/>
      <c r="K10624"/>
      <c r="L10624" s="73"/>
    </row>
    <row r="10625" spans="1:12" x14ac:dyDescent="0.3">
      <c r="A10625" s="84"/>
      <c r="B10625" s="85"/>
      <c r="E10625" s="86"/>
      <c r="F10625" s="76"/>
      <c r="G10625" s="24"/>
      <c r="H10625" s="49"/>
      <c r="K10625"/>
      <c r="L10625" s="73"/>
    </row>
    <row r="10626" spans="1:12" x14ac:dyDescent="0.3">
      <c r="A10626" s="84"/>
      <c r="B10626" s="85"/>
      <c r="E10626" s="86"/>
      <c r="F10626" s="76"/>
      <c r="G10626" s="24"/>
      <c r="H10626" s="49"/>
      <c r="K10626"/>
      <c r="L10626" s="73"/>
    </row>
    <row r="10627" spans="1:12" x14ac:dyDescent="0.3">
      <c r="A10627" s="84"/>
      <c r="B10627" s="85"/>
      <c r="E10627" s="86"/>
      <c r="F10627" s="76"/>
      <c r="G10627" s="24"/>
      <c r="H10627" s="49"/>
      <c r="K10627"/>
      <c r="L10627" s="73"/>
    </row>
    <row r="10628" spans="1:12" x14ac:dyDescent="0.3">
      <c r="A10628" s="84"/>
      <c r="B10628" s="85"/>
      <c r="E10628" s="86"/>
      <c r="F10628" s="76"/>
      <c r="G10628" s="24"/>
      <c r="H10628" s="49"/>
      <c r="K10628"/>
      <c r="L10628" s="73"/>
    </row>
    <row r="10629" spans="1:12" x14ac:dyDescent="0.3">
      <c r="A10629" s="84"/>
      <c r="B10629" s="85"/>
      <c r="E10629" s="86"/>
      <c r="F10629" s="76"/>
      <c r="G10629" s="24"/>
      <c r="H10629" s="49"/>
      <c r="K10629"/>
      <c r="L10629" s="73"/>
    </row>
    <row r="10630" spans="1:12" x14ac:dyDescent="0.3">
      <c r="A10630" s="84"/>
      <c r="B10630" s="85"/>
      <c r="E10630" s="86"/>
      <c r="F10630" s="76"/>
      <c r="G10630" s="24"/>
      <c r="H10630" s="49"/>
      <c r="K10630"/>
      <c r="L10630" s="73"/>
    </row>
    <row r="10631" spans="1:12" x14ac:dyDescent="0.3">
      <c r="A10631" s="84"/>
      <c r="B10631" s="85"/>
      <c r="E10631" s="86"/>
      <c r="F10631" s="76"/>
      <c r="G10631" s="24"/>
      <c r="H10631" s="49"/>
      <c r="K10631"/>
      <c r="L10631" s="73"/>
    </row>
    <row r="10632" spans="1:12" x14ac:dyDescent="0.3">
      <c r="A10632" s="84"/>
      <c r="B10632" s="85"/>
      <c r="E10632" s="86"/>
      <c r="F10632" s="76"/>
      <c r="G10632" s="24"/>
      <c r="H10632" s="49"/>
      <c r="K10632"/>
      <c r="L10632" s="73"/>
    </row>
    <row r="10633" spans="1:12" x14ac:dyDescent="0.3">
      <c r="A10633" s="84"/>
      <c r="B10633" s="85"/>
      <c r="E10633" s="86"/>
      <c r="F10633" s="76"/>
      <c r="G10633" s="24"/>
      <c r="H10633" s="49"/>
      <c r="K10633"/>
      <c r="L10633" s="73"/>
    </row>
    <row r="10634" spans="1:12" x14ac:dyDescent="0.3">
      <c r="A10634" s="84"/>
      <c r="B10634" s="85"/>
      <c r="E10634" s="86"/>
      <c r="F10634" s="76"/>
      <c r="G10634" s="24"/>
      <c r="H10634" s="49"/>
      <c r="K10634"/>
      <c r="L10634" s="73"/>
    </row>
    <row r="10635" spans="1:12" x14ac:dyDescent="0.3">
      <c r="A10635" s="84"/>
      <c r="B10635" s="85"/>
      <c r="E10635" s="86"/>
      <c r="F10635" s="76"/>
      <c r="G10635" s="24"/>
      <c r="H10635" s="49"/>
      <c r="K10635"/>
      <c r="L10635" s="73"/>
    </row>
    <row r="10636" spans="1:12" x14ac:dyDescent="0.3">
      <c r="A10636" s="84"/>
      <c r="B10636" s="85"/>
      <c r="E10636" s="86"/>
      <c r="F10636" s="76"/>
      <c r="G10636" s="24"/>
      <c r="H10636" s="49"/>
      <c r="K10636"/>
      <c r="L10636" s="73"/>
    </row>
    <row r="10637" spans="1:12" x14ac:dyDescent="0.3">
      <c r="A10637" s="84"/>
      <c r="B10637" s="85"/>
      <c r="E10637" s="86"/>
      <c r="F10637" s="76"/>
      <c r="G10637" s="24"/>
      <c r="H10637" s="49"/>
      <c r="K10637"/>
      <c r="L10637" s="73"/>
    </row>
    <row r="10638" spans="1:12" x14ac:dyDescent="0.3">
      <c r="A10638" s="84"/>
      <c r="B10638" s="85"/>
      <c r="E10638" s="86"/>
      <c r="F10638" s="76"/>
      <c r="G10638" s="24"/>
      <c r="H10638" s="49"/>
      <c r="K10638"/>
      <c r="L10638" s="73"/>
    </row>
    <row r="10639" spans="1:12" x14ac:dyDescent="0.3">
      <c r="A10639" s="84"/>
      <c r="B10639" s="85"/>
      <c r="E10639" s="86"/>
      <c r="F10639" s="76"/>
      <c r="G10639" s="24"/>
      <c r="H10639" s="49"/>
      <c r="K10639"/>
      <c r="L10639" s="73"/>
    </row>
    <row r="10640" spans="1:12" x14ac:dyDescent="0.3">
      <c r="A10640" s="84"/>
      <c r="B10640" s="85"/>
      <c r="E10640" s="86"/>
      <c r="F10640" s="76"/>
      <c r="G10640" s="24"/>
      <c r="H10640" s="49"/>
      <c r="K10640"/>
      <c r="L10640" s="73"/>
    </row>
    <row r="10641" spans="1:12" x14ac:dyDescent="0.3">
      <c r="A10641" s="84"/>
      <c r="B10641" s="85"/>
      <c r="E10641" s="86"/>
      <c r="F10641" s="76"/>
      <c r="G10641" s="24"/>
      <c r="H10641" s="49"/>
      <c r="K10641"/>
      <c r="L10641" s="73"/>
    </row>
    <row r="10642" spans="1:12" x14ac:dyDescent="0.3">
      <c r="A10642" s="84"/>
      <c r="B10642" s="85"/>
      <c r="E10642" s="86"/>
      <c r="F10642" s="76"/>
      <c r="G10642" s="24"/>
      <c r="H10642" s="49"/>
      <c r="K10642"/>
      <c r="L10642" s="73"/>
    </row>
    <row r="10643" spans="1:12" x14ac:dyDescent="0.3">
      <c r="A10643" s="84"/>
      <c r="B10643" s="85"/>
      <c r="E10643" s="86"/>
      <c r="F10643" s="76"/>
      <c r="G10643" s="24"/>
      <c r="H10643" s="49"/>
      <c r="K10643"/>
      <c r="L10643" s="73"/>
    </row>
    <row r="10644" spans="1:12" x14ac:dyDescent="0.3">
      <c r="A10644" s="84"/>
      <c r="B10644" s="85"/>
      <c r="E10644" s="86"/>
      <c r="F10644" s="76"/>
      <c r="G10644" s="24"/>
      <c r="H10644" s="49"/>
      <c r="K10644"/>
      <c r="L10644" s="73"/>
    </row>
    <row r="10645" spans="1:12" x14ac:dyDescent="0.3">
      <c r="A10645" s="84"/>
      <c r="B10645" s="85"/>
      <c r="E10645" s="86"/>
      <c r="F10645" s="76"/>
      <c r="G10645" s="24"/>
      <c r="H10645" s="49"/>
      <c r="K10645"/>
      <c r="L10645" s="73"/>
    </row>
    <row r="10646" spans="1:12" x14ac:dyDescent="0.3">
      <c r="A10646" s="84"/>
      <c r="B10646" s="85"/>
      <c r="E10646" s="86"/>
      <c r="F10646" s="76"/>
      <c r="G10646" s="24"/>
      <c r="H10646" s="49"/>
      <c r="K10646"/>
      <c r="L10646" s="73"/>
    </row>
    <row r="10647" spans="1:12" x14ac:dyDescent="0.3">
      <c r="A10647" s="84"/>
      <c r="B10647" s="85"/>
      <c r="E10647" s="86"/>
      <c r="F10647" s="76"/>
      <c r="G10647" s="24"/>
      <c r="H10647" s="49"/>
      <c r="K10647"/>
      <c r="L10647" s="73"/>
    </row>
    <row r="10648" spans="1:12" x14ac:dyDescent="0.3">
      <c r="A10648" s="84"/>
      <c r="B10648" s="85"/>
      <c r="E10648" s="86"/>
      <c r="F10648" s="76"/>
      <c r="G10648" s="24"/>
      <c r="H10648" s="49"/>
      <c r="K10648"/>
      <c r="L10648" s="73"/>
    </row>
    <row r="10649" spans="1:12" x14ac:dyDescent="0.3">
      <c r="A10649" s="84"/>
      <c r="B10649" s="85"/>
      <c r="E10649" s="86"/>
      <c r="F10649" s="76"/>
      <c r="G10649" s="24"/>
      <c r="H10649" s="49"/>
      <c r="K10649"/>
      <c r="L10649" s="73"/>
    </row>
    <row r="10650" spans="1:12" x14ac:dyDescent="0.3">
      <c r="A10650" s="84"/>
      <c r="B10650" s="85"/>
      <c r="E10650" s="86"/>
      <c r="F10650" s="76"/>
      <c r="G10650" s="24"/>
      <c r="H10650" s="49"/>
      <c r="K10650"/>
      <c r="L10650" s="73"/>
    </row>
    <row r="10651" spans="1:12" x14ac:dyDescent="0.3">
      <c r="A10651" s="84"/>
      <c r="B10651" s="85"/>
      <c r="E10651" s="86"/>
      <c r="F10651" s="76"/>
      <c r="G10651" s="24"/>
      <c r="H10651" s="49"/>
      <c r="K10651"/>
      <c r="L10651" s="73"/>
    </row>
    <row r="10652" spans="1:12" x14ac:dyDescent="0.3">
      <c r="A10652" s="84"/>
      <c r="B10652" s="85"/>
      <c r="E10652" s="86"/>
      <c r="F10652" s="76"/>
      <c r="G10652" s="24"/>
      <c r="H10652" s="49"/>
      <c r="K10652"/>
      <c r="L10652" s="73"/>
    </row>
    <row r="10653" spans="1:12" x14ac:dyDescent="0.3">
      <c r="A10653" s="84"/>
      <c r="B10653" s="85"/>
      <c r="E10653" s="86"/>
      <c r="F10653" s="76"/>
      <c r="G10653" s="24"/>
      <c r="H10653" s="49"/>
      <c r="K10653"/>
      <c r="L10653" s="73"/>
    </row>
    <row r="10654" spans="1:12" x14ac:dyDescent="0.3">
      <c r="A10654" s="84"/>
      <c r="B10654" s="85"/>
      <c r="E10654" s="86"/>
      <c r="F10654" s="76"/>
      <c r="G10654" s="24"/>
      <c r="H10654" s="49"/>
      <c r="K10654"/>
      <c r="L10654" s="73"/>
    </row>
    <row r="10655" spans="1:12" x14ac:dyDescent="0.3">
      <c r="A10655" s="84"/>
      <c r="B10655" s="85"/>
      <c r="E10655" s="86"/>
      <c r="F10655" s="76"/>
      <c r="G10655" s="24"/>
      <c r="H10655" s="49"/>
      <c r="K10655"/>
      <c r="L10655" s="73"/>
    </row>
    <row r="10656" spans="1:12" x14ac:dyDescent="0.3">
      <c r="A10656" s="84"/>
      <c r="B10656" s="85"/>
      <c r="E10656" s="86"/>
      <c r="F10656" s="76"/>
      <c r="G10656" s="24"/>
      <c r="H10656" s="49"/>
      <c r="K10656"/>
      <c r="L10656" s="73"/>
    </row>
    <row r="10657" spans="1:12" x14ac:dyDescent="0.3">
      <c r="A10657" s="84"/>
      <c r="B10657" s="85"/>
      <c r="E10657" s="86"/>
      <c r="F10657" s="76"/>
      <c r="G10657" s="24"/>
      <c r="H10657" s="49"/>
      <c r="K10657"/>
      <c r="L10657" s="73"/>
    </row>
    <row r="10658" spans="1:12" x14ac:dyDescent="0.3">
      <c r="A10658" s="84"/>
      <c r="B10658" s="85"/>
      <c r="E10658" s="86"/>
      <c r="F10658" s="76"/>
      <c r="G10658" s="24"/>
      <c r="H10658" s="49"/>
      <c r="K10658"/>
      <c r="L10658" s="73"/>
    </row>
    <row r="10659" spans="1:12" x14ac:dyDescent="0.3">
      <c r="A10659" s="84"/>
      <c r="B10659" s="85"/>
      <c r="E10659" s="86"/>
      <c r="F10659" s="76"/>
      <c r="G10659" s="24"/>
      <c r="H10659" s="49"/>
      <c r="K10659"/>
      <c r="L10659" s="73"/>
    </row>
    <row r="10660" spans="1:12" x14ac:dyDescent="0.3">
      <c r="A10660" s="84"/>
      <c r="B10660" s="85"/>
      <c r="E10660" s="86"/>
      <c r="F10660" s="76"/>
      <c r="G10660" s="24"/>
      <c r="H10660" s="49"/>
      <c r="K10660"/>
      <c r="L10660" s="73"/>
    </row>
    <row r="10661" spans="1:12" x14ac:dyDescent="0.3">
      <c r="A10661" s="84"/>
      <c r="B10661" s="85"/>
      <c r="E10661" s="86"/>
      <c r="F10661" s="76"/>
      <c r="G10661" s="24"/>
      <c r="H10661" s="49"/>
      <c r="K10661"/>
      <c r="L10661" s="73"/>
    </row>
    <row r="10662" spans="1:12" x14ac:dyDescent="0.3">
      <c r="A10662" s="84"/>
      <c r="B10662" s="85"/>
      <c r="E10662" s="86"/>
      <c r="F10662" s="76"/>
      <c r="G10662" s="24"/>
      <c r="H10662" s="49"/>
      <c r="K10662"/>
      <c r="L10662" s="73"/>
    </row>
    <row r="10663" spans="1:12" x14ac:dyDescent="0.3">
      <c r="A10663" s="84"/>
      <c r="B10663" s="85"/>
      <c r="E10663" s="86"/>
      <c r="F10663" s="76"/>
      <c r="G10663" s="24"/>
      <c r="H10663" s="49"/>
      <c r="K10663"/>
      <c r="L10663" s="73"/>
    </row>
    <row r="10664" spans="1:12" x14ac:dyDescent="0.3">
      <c r="A10664" s="84"/>
      <c r="B10664" s="85"/>
      <c r="E10664" s="86"/>
      <c r="F10664" s="76"/>
      <c r="G10664" s="24"/>
      <c r="H10664" s="49"/>
      <c r="K10664"/>
      <c r="L10664" s="73"/>
    </row>
    <row r="10665" spans="1:12" x14ac:dyDescent="0.3">
      <c r="A10665" s="84"/>
      <c r="B10665" s="85"/>
      <c r="E10665" s="86"/>
      <c r="F10665" s="76"/>
      <c r="G10665" s="24"/>
      <c r="H10665" s="49"/>
      <c r="K10665"/>
      <c r="L10665" s="73"/>
    </row>
    <row r="10666" spans="1:12" x14ac:dyDescent="0.3">
      <c r="A10666" s="84"/>
      <c r="B10666" s="85"/>
      <c r="E10666" s="86"/>
      <c r="F10666" s="76"/>
      <c r="G10666" s="24"/>
      <c r="H10666" s="49"/>
      <c r="K10666"/>
      <c r="L10666" s="73"/>
    </row>
    <row r="10667" spans="1:12" x14ac:dyDescent="0.3">
      <c r="A10667" s="84"/>
      <c r="B10667" s="85"/>
      <c r="E10667" s="86"/>
      <c r="F10667" s="76"/>
      <c r="G10667" s="24"/>
      <c r="H10667" s="49"/>
      <c r="K10667"/>
      <c r="L10667" s="73"/>
    </row>
    <row r="10668" spans="1:12" x14ac:dyDescent="0.3">
      <c r="A10668" s="84"/>
      <c r="B10668" s="85"/>
      <c r="E10668" s="86"/>
      <c r="F10668" s="76"/>
      <c r="G10668" s="24"/>
      <c r="H10668" s="49"/>
      <c r="K10668"/>
      <c r="L10668" s="73"/>
    </row>
    <row r="10669" spans="1:12" x14ac:dyDescent="0.3">
      <c r="A10669" s="84"/>
      <c r="B10669" s="85"/>
      <c r="E10669" s="86"/>
      <c r="F10669" s="76"/>
      <c r="G10669" s="24"/>
      <c r="H10669" s="49"/>
      <c r="K10669"/>
      <c r="L10669" s="73"/>
    </row>
    <row r="10670" spans="1:12" x14ac:dyDescent="0.3">
      <c r="A10670" s="84"/>
      <c r="B10670" s="85"/>
      <c r="E10670" s="86"/>
      <c r="F10670" s="76"/>
      <c r="G10670" s="24"/>
      <c r="H10670" s="49"/>
      <c r="K10670"/>
      <c r="L10670" s="73"/>
    </row>
    <row r="10671" spans="1:12" x14ac:dyDescent="0.3">
      <c r="A10671" s="84"/>
      <c r="B10671" s="85"/>
      <c r="E10671" s="86"/>
      <c r="F10671" s="76"/>
      <c r="G10671" s="24"/>
      <c r="H10671" s="49"/>
      <c r="K10671"/>
      <c r="L10671" s="73"/>
    </row>
    <row r="10672" spans="1:12" x14ac:dyDescent="0.3">
      <c r="A10672" s="84"/>
      <c r="B10672" s="85"/>
      <c r="E10672" s="86"/>
      <c r="F10672" s="76"/>
      <c r="G10672" s="24"/>
      <c r="H10672" s="49"/>
      <c r="K10672"/>
      <c r="L10672" s="73"/>
    </row>
    <row r="10673" spans="1:12" x14ac:dyDescent="0.3">
      <c r="A10673" s="84"/>
      <c r="B10673" s="85"/>
      <c r="E10673" s="86"/>
      <c r="F10673" s="76"/>
      <c r="G10673" s="24"/>
      <c r="H10673" s="49"/>
      <c r="K10673"/>
      <c r="L10673" s="73"/>
    </row>
    <row r="10674" spans="1:12" x14ac:dyDescent="0.3">
      <c r="A10674" s="84"/>
      <c r="B10674" s="85"/>
      <c r="E10674" s="86"/>
      <c r="F10674" s="76"/>
      <c r="G10674" s="24"/>
      <c r="H10674" s="49"/>
      <c r="K10674"/>
      <c r="L10674" s="73"/>
    </row>
    <row r="10675" spans="1:12" x14ac:dyDescent="0.3">
      <c r="A10675" s="84"/>
      <c r="B10675" s="85"/>
      <c r="E10675" s="86"/>
      <c r="F10675" s="76"/>
      <c r="G10675" s="24"/>
      <c r="H10675" s="49"/>
      <c r="K10675"/>
      <c r="L10675" s="73"/>
    </row>
    <row r="10676" spans="1:12" x14ac:dyDescent="0.3">
      <c r="A10676" s="84"/>
      <c r="B10676" s="85"/>
      <c r="E10676" s="86"/>
      <c r="F10676" s="76"/>
      <c r="G10676" s="24"/>
      <c r="H10676" s="49"/>
      <c r="K10676"/>
      <c r="L10676" s="73"/>
    </row>
    <row r="10677" spans="1:12" x14ac:dyDescent="0.3">
      <c r="A10677" s="84"/>
      <c r="B10677" s="85"/>
      <c r="E10677" s="86"/>
      <c r="F10677" s="76"/>
      <c r="G10677" s="24"/>
      <c r="H10677" s="49"/>
      <c r="K10677"/>
      <c r="L10677" s="73"/>
    </row>
    <row r="10678" spans="1:12" x14ac:dyDescent="0.3">
      <c r="A10678" s="84"/>
      <c r="B10678" s="85"/>
      <c r="E10678" s="86"/>
      <c r="F10678" s="76"/>
      <c r="G10678" s="24"/>
      <c r="H10678" s="49"/>
      <c r="K10678"/>
      <c r="L10678" s="73"/>
    </row>
    <row r="10679" spans="1:12" x14ac:dyDescent="0.3">
      <c r="A10679" s="84"/>
      <c r="B10679" s="85"/>
      <c r="E10679" s="86"/>
      <c r="F10679" s="76"/>
      <c r="G10679" s="24"/>
      <c r="H10679" s="49"/>
      <c r="K10679"/>
      <c r="L10679" s="73"/>
    </row>
    <row r="10680" spans="1:12" x14ac:dyDescent="0.3">
      <c r="A10680" s="84"/>
      <c r="B10680" s="85"/>
      <c r="E10680" s="86"/>
      <c r="F10680" s="76"/>
      <c r="G10680" s="24"/>
      <c r="H10680" s="49"/>
      <c r="K10680"/>
      <c r="L10680" s="73"/>
    </row>
    <row r="10681" spans="1:12" x14ac:dyDescent="0.3">
      <c r="A10681" s="84"/>
      <c r="B10681" s="85"/>
      <c r="E10681" s="86"/>
      <c r="F10681" s="76"/>
      <c r="G10681" s="24"/>
      <c r="H10681" s="49"/>
      <c r="K10681"/>
      <c r="L10681" s="73"/>
    </row>
    <row r="10682" spans="1:12" x14ac:dyDescent="0.3">
      <c r="A10682" s="84"/>
      <c r="B10682" s="85"/>
      <c r="E10682" s="86"/>
      <c r="F10682" s="76"/>
      <c r="G10682" s="24"/>
      <c r="H10682" s="49"/>
      <c r="K10682"/>
      <c r="L10682" s="73"/>
    </row>
    <row r="10683" spans="1:12" x14ac:dyDescent="0.3">
      <c r="A10683" s="84"/>
      <c r="B10683" s="85"/>
      <c r="E10683" s="86"/>
      <c r="F10683" s="76"/>
      <c r="G10683" s="24"/>
      <c r="H10683" s="49"/>
      <c r="K10683"/>
      <c r="L10683" s="73"/>
    </row>
    <row r="10684" spans="1:12" x14ac:dyDescent="0.3">
      <c r="A10684" s="84"/>
      <c r="B10684" s="85"/>
      <c r="E10684" s="86"/>
      <c r="F10684" s="76"/>
      <c r="G10684" s="24"/>
      <c r="H10684" s="49"/>
      <c r="K10684"/>
      <c r="L10684" s="73"/>
    </row>
    <row r="10685" spans="1:12" x14ac:dyDescent="0.3">
      <c r="A10685" s="84"/>
      <c r="B10685" s="85"/>
      <c r="E10685" s="86"/>
      <c r="F10685" s="76"/>
      <c r="G10685" s="24"/>
      <c r="H10685" s="49"/>
      <c r="K10685"/>
      <c r="L10685" s="73"/>
    </row>
    <row r="10686" spans="1:12" x14ac:dyDescent="0.3">
      <c r="A10686" s="84"/>
      <c r="B10686" s="85"/>
      <c r="E10686" s="86"/>
      <c r="F10686" s="76"/>
      <c r="G10686" s="24"/>
      <c r="H10686" s="49"/>
      <c r="K10686"/>
      <c r="L10686" s="73"/>
    </row>
    <row r="10687" spans="1:12" x14ac:dyDescent="0.3">
      <c r="A10687" s="84"/>
      <c r="B10687" s="85"/>
      <c r="E10687" s="86"/>
      <c r="F10687" s="76"/>
      <c r="G10687" s="24"/>
      <c r="H10687" s="49"/>
      <c r="K10687"/>
      <c r="L10687" s="73"/>
    </row>
    <row r="10688" spans="1:12" x14ac:dyDescent="0.3">
      <c r="A10688" s="84"/>
      <c r="B10688" s="85"/>
      <c r="E10688" s="86"/>
      <c r="F10688" s="76"/>
      <c r="G10688" s="24"/>
      <c r="H10688" s="49"/>
      <c r="K10688"/>
      <c r="L10688" s="73"/>
    </row>
    <row r="10689" spans="1:12" x14ac:dyDescent="0.3">
      <c r="A10689" s="84"/>
      <c r="B10689" s="85"/>
      <c r="E10689" s="86"/>
      <c r="F10689" s="76"/>
      <c r="G10689" s="24"/>
      <c r="H10689" s="49"/>
      <c r="K10689"/>
      <c r="L10689" s="73"/>
    </row>
    <row r="10690" spans="1:12" x14ac:dyDescent="0.3">
      <c r="A10690" s="84"/>
      <c r="B10690" s="85"/>
      <c r="E10690" s="86"/>
      <c r="F10690" s="76"/>
      <c r="G10690" s="24"/>
      <c r="H10690" s="49"/>
      <c r="K10690"/>
      <c r="L10690" s="73"/>
    </row>
    <row r="10691" spans="1:12" x14ac:dyDescent="0.3">
      <c r="A10691" s="84"/>
      <c r="B10691" s="85"/>
      <c r="E10691" s="86"/>
      <c r="F10691" s="76"/>
      <c r="G10691" s="24"/>
      <c r="H10691" s="49"/>
      <c r="K10691"/>
      <c r="L10691" s="73"/>
    </row>
    <row r="10692" spans="1:12" x14ac:dyDescent="0.3">
      <c r="A10692" s="84"/>
      <c r="B10692" s="85"/>
      <c r="E10692" s="86"/>
      <c r="F10692" s="76"/>
      <c r="G10692" s="24"/>
      <c r="H10692" s="49"/>
      <c r="K10692"/>
      <c r="L10692" s="73"/>
    </row>
    <row r="10693" spans="1:12" x14ac:dyDescent="0.3">
      <c r="A10693" s="84"/>
      <c r="B10693" s="85"/>
      <c r="E10693" s="86"/>
      <c r="F10693" s="76"/>
      <c r="G10693" s="24"/>
      <c r="H10693" s="49"/>
      <c r="K10693"/>
      <c r="L10693" s="73"/>
    </row>
    <row r="10694" spans="1:12" x14ac:dyDescent="0.3">
      <c r="A10694" s="84"/>
      <c r="B10694" s="85"/>
      <c r="E10694" s="86"/>
      <c r="F10694" s="76"/>
      <c r="G10694" s="24"/>
      <c r="H10694" s="49"/>
      <c r="K10694"/>
      <c r="L10694" s="73"/>
    </row>
    <row r="10695" spans="1:12" x14ac:dyDescent="0.3">
      <c r="A10695" s="84"/>
      <c r="B10695" s="85"/>
      <c r="E10695" s="86"/>
      <c r="F10695" s="76"/>
      <c r="G10695" s="24"/>
      <c r="H10695" s="49"/>
      <c r="K10695"/>
      <c r="L10695" s="73"/>
    </row>
    <row r="10696" spans="1:12" x14ac:dyDescent="0.3">
      <c r="A10696" s="84"/>
      <c r="B10696" s="85"/>
      <c r="E10696" s="86"/>
      <c r="F10696" s="76"/>
      <c r="G10696" s="24"/>
      <c r="H10696" s="49"/>
      <c r="K10696"/>
      <c r="L10696" s="73"/>
    </row>
    <row r="10697" spans="1:12" x14ac:dyDescent="0.3">
      <c r="A10697" s="84"/>
      <c r="B10697" s="85"/>
      <c r="E10697" s="86"/>
      <c r="F10697" s="76"/>
      <c r="G10697" s="24"/>
      <c r="H10697" s="49"/>
      <c r="K10697"/>
      <c r="L10697" s="73"/>
    </row>
    <row r="10698" spans="1:12" x14ac:dyDescent="0.3">
      <c r="A10698" s="84"/>
      <c r="B10698" s="85"/>
      <c r="E10698" s="86"/>
      <c r="F10698" s="76"/>
      <c r="G10698" s="24"/>
      <c r="H10698" s="49"/>
      <c r="K10698"/>
      <c r="L10698" s="73"/>
    </row>
    <row r="10699" spans="1:12" x14ac:dyDescent="0.3">
      <c r="A10699" s="84"/>
      <c r="B10699" s="85"/>
      <c r="E10699" s="86"/>
      <c r="F10699" s="76"/>
      <c r="G10699" s="24"/>
      <c r="H10699" s="49"/>
      <c r="K10699"/>
      <c r="L10699" s="73"/>
    </row>
    <row r="10700" spans="1:12" x14ac:dyDescent="0.3">
      <c r="A10700" s="84"/>
      <c r="B10700" s="85"/>
      <c r="E10700" s="86"/>
      <c r="F10700" s="76"/>
      <c r="G10700" s="24"/>
      <c r="H10700" s="49"/>
      <c r="K10700"/>
      <c r="L10700" s="73"/>
    </row>
    <row r="10701" spans="1:12" x14ac:dyDescent="0.3">
      <c r="A10701" s="84"/>
      <c r="B10701" s="85"/>
      <c r="E10701" s="86"/>
      <c r="F10701" s="76"/>
      <c r="G10701" s="24"/>
      <c r="H10701" s="49"/>
      <c r="K10701"/>
      <c r="L10701" s="73"/>
    </row>
    <row r="10702" spans="1:12" x14ac:dyDescent="0.3">
      <c r="A10702" s="84"/>
      <c r="B10702" s="85"/>
      <c r="E10702" s="86"/>
      <c r="F10702" s="76"/>
      <c r="G10702" s="24"/>
      <c r="H10702" s="49"/>
      <c r="K10702"/>
      <c r="L10702" s="73"/>
    </row>
    <row r="10703" spans="1:12" x14ac:dyDescent="0.3">
      <c r="A10703" s="84"/>
      <c r="B10703" s="85"/>
      <c r="E10703" s="86"/>
      <c r="F10703" s="76"/>
      <c r="G10703" s="24"/>
      <c r="H10703" s="49"/>
      <c r="K10703"/>
      <c r="L10703" s="73"/>
    </row>
    <row r="10704" spans="1:12" x14ac:dyDescent="0.3">
      <c r="A10704" s="84"/>
      <c r="B10704" s="85"/>
      <c r="E10704" s="86"/>
      <c r="F10704" s="76"/>
      <c r="G10704" s="24"/>
      <c r="H10704" s="49"/>
      <c r="K10704"/>
      <c r="L10704" s="73"/>
    </row>
    <row r="10705" spans="1:12" x14ac:dyDescent="0.3">
      <c r="A10705" s="84"/>
      <c r="B10705" s="85"/>
      <c r="E10705" s="86"/>
      <c r="F10705" s="76"/>
      <c r="G10705" s="24"/>
      <c r="H10705" s="49"/>
      <c r="K10705"/>
      <c r="L10705" s="73"/>
    </row>
    <row r="10706" spans="1:12" x14ac:dyDescent="0.3">
      <c r="A10706" s="84"/>
      <c r="B10706" s="85"/>
      <c r="E10706" s="86"/>
      <c r="F10706" s="76"/>
      <c r="G10706" s="24"/>
      <c r="H10706" s="49"/>
      <c r="K10706"/>
      <c r="L10706" s="73"/>
    </row>
    <row r="10707" spans="1:12" x14ac:dyDescent="0.3">
      <c r="A10707" s="84"/>
      <c r="B10707" s="85"/>
      <c r="E10707" s="86"/>
      <c r="F10707" s="76"/>
      <c r="G10707" s="24"/>
      <c r="H10707" s="49"/>
      <c r="K10707"/>
      <c r="L10707" s="73"/>
    </row>
    <row r="10708" spans="1:12" x14ac:dyDescent="0.3">
      <c r="A10708" s="84"/>
      <c r="B10708" s="85"/>
      <c r="E10708" s="86"/>
      <c r="F10708" s="76"/>
      <c r="G10708" s="24"/>
      <c r="H10708" s="49"/>
      <c r="K10708"/>
      <c r="L10708" s="73"/>
    </row>
    <row r="10709" spans="1:12" x14ac:dyDescent="0.3">
      <c r="A10709" s="84"/>
      <c r="B10709" s="85"/>
      <c r="E10709" s="86"/>
      <c r="F10709" s="76"/>
      <c r="G10709" s="24"/>
      <c r="H10709" s="49"/>
      <c r="K10709"/>
      <c r="L10709" s="73"/>
    </row>
    <row r="10710" spans="1:12" x14ac:dyDescent="0.3">
      <c r="A10710" s="84"/>
      <c r="B10710" s="85"/>
      <c r="E10710" s="86"/>
      <c r="F10710" s="76"/>
      <c r="G10710" s="24"/>
      <c r="H10710" s="49"/>
      <c r="K10710"/>
      <c r="L10710" s="73"/>
    </row>
    <row r="10711" spans="1:12" x14ac:dyDescent="0.3">
      <c r="A10711" s="84"/>
      <c r="B10711" s="85"/>
      <c r="E10711" s="86"/>
      <c r="F10711" s="76"/>
      <c r="G10711" s="24"/>
      <c r="H10711" s="49"/>
      <c r="K10711"/>
      <c r="L10711" s="73"/>
    </row>
    <row r="10712" spans="1:12" x14ac:dyDescent="0.3">
      <c r="A10712" s="84"/>
      <c r="B10712" s="85"/>
      <c r="E10712" s="86"/>
      <c r="F10712" s="76"/>
      <c r="G10712" s="24"/>
      <c r="H10712" s="49"/>
      <c r="K10712"/>
      <c r="L10712" s="73"/>
    </row>
    <row r="10713" spans="1:12" x14ac:dyDescent="0.3">
      <c r="A10713" s="84"/>
      <c r="B10713" s="85"/>
      <c r="E10713" s="86"/>
      <c r="F10713" s="76"/>
      <c r="G10713" s="24"/>
      <c r="H10713" s="49"/>
      <c r="K10713"/>
      <c r="L10713" s="73"/>
    </row>
    <row r="10714" spans="1:12" x14ac:dyDescent="0.3">
      <c r="A10714" s="84"/>
      <c r="B10714" s="85"/>
      <c r="E10714" s="86"/>
      <c r="F10714" s="76"/>
      <c r="G10714" s="24"/>
      <c r="H10714" s="49"/>
      <c r="K10714"/>
      <c r="L10714" s="73"/>
    </row>
    <row r="10715" spans="1:12" x14ac:dyDescent="0.3">
      <c r="A10715" s="84"/>
      <c r="B10715" s="85"/>
      <c r="E10715" s="86"/>
      <c r="F10715" s="76"/>
      <c r="G10715" s="24"/>
      <c r="H10715" s="49"/>
      <c r="K10715"/>
      <c r="L10715" s="73"/>
    </row>
    <row r="10716" spans="1:12" x14ac:dyDescent="0.3">
      <c r="A10716" s="84"/>
      <c r="B10716" s="85"/>
      <c r="E10716" s="86"/>
      <c r="F10716" s="76"/>
      <c r="G10716" s="24"/>
      <c r="H10716" s="49"/>
      <c r="K10716"/>
      <c r="L10716" s="73"/>
    </row>
    <row r="10717" spans="1:12" x14ac:dyDescent="0.3">
      <c r="A10717" s="84"/>
      <c r="B10717" s="85"/>
      <c r="E10717" s="86"/>
      <c r="F10717" s="76"/>
      <c r="G10717" s="24"/>
      <c r="H10717" s="49"/>
      <c r="K10717"/>
      <c r="L10717" s="73"/>
    </row>
    <row r="10718" spans="1:12" x14ac:dyDescent="0.3">
      <c r="A10718" s="84"/>
      <c r="B10718" s="85"/>
      <c r="E10718" s="86"/>
      <c r="F10718" s="76"/>
      <c r="G10718" s="24"/>
      <c r="H10718" s="49"/>
      <c r="K10718"/>
      <c r="L10718" s="73"/>
    </row>
    <row r="10719" spans="1:12" x14ac:dyDescent="0.3">
      <c r="A10719" s="84"/>
      <c r="B10719" s="85"/>
      <c r="E10719" s="86"/>
      <c r="F10719" s="76"/>
      <c r="G10719" s="24"/>
      <c r="H10719" s="49"/>
      <c r="K10719"/>
      <c r="L10719" s="73"/>
    </row>
    <row r="10720" spans="1:12" x14ac:dyDescent="0.3">
      <c r="A10720" s="84"/>
      <c r="B10720" s="85"/>
      <c r="E10720" s="86"/>
      <c r="F10720" s="76"/>
      <c r="G10720" s="24"/>
      <c r="H10720" s="49"/>
      <c r="K10720"/>
      <c r="L10720" s="73"/>
    </row>
    <row r="10721" spans="1:12" x14ac:dyDescent="0.3">
      <c r="A10721" s="84"/>
      <c r="B10721" s="85"/>
      <c r="E10721" s="86"/>
      <c r="F10721" s="76"/>
      <c r="G10721" s="24"/>
      <c r="H10721" s="49"/>
      <c r="K10721"/>
      <c r="L10721" s="73"/>
    </row>
    <row r="10722" spans="1:12" x14ac:dyDescent="0.3">
      <c r="A10722" s="84"/>
      <c r="B10722" s="85"/>
      <c r="E10722" s="86"/>
      <c r="F10722" s="76"/>
      <c r="G10722" s="24"/>
      <c r="H10722" s="49"/>
      <c r="K10722"/>
      <c r="L10722" s="73"/>
    </row>
    <row r="10723" spans="1:12" x14ac:dyDescent="0.3">
      <c r="A10723" s="84"/>
      <c r="B10723" s="85"/>
      <c r="E10723" s="86"/>
      <c r="F10723" s="76"/>
      <c r="G10723" s="24"/>
      <c r="H10723" s="49"/>
      <c r="K10723"/>
      <c r="L10723" s="73"/>
    </row>
    <row r="10724" spans="1:12" x14ac:dyDescent="0.3">
      <c r="A10724" s="84"/>
      <c r="B10724" s="85"/>
      <c r="E10724" s="86"/>
      <c r="F10724" s="76"/>
      <c r="G10724" s="24"/>
      <c r="H10724" s="49"/>
      <c r="K10724"/>
      <c r="L10724" s="73"/>
    </row>
    <row r="10725" spans="1:12" x14ac:dyDescent="0.3">
      <c r="A10725" s="84"/>
      <c r="B10725" s="85"/>
      <c r="E10725" s="86"/>
      <c r="F10725" s="76"/>
      <c r="G10725" s="24"/>
      <c r="H10725" s="49"/>
      <c r="K10725"/>
      <c r="L10725" s="73"/>
    </row>
    <row r="10726" spans="1:12" x14ac:dyDescent="0.3">
      <c r="A10726" s="84"/>
      <c r="B10726" s="85"/>
      <c r="E10726" s="86"/>
      <c r="F10726" s="76"/>
      <c r="G10726" s="24"/>
      <c r="H10726" s="49"/>
      <c r="K10726"/>
      <c r="L10726" s="73"/>
    </row>
    <row r="10727" spans="1:12" x14ac:dyDescent="0.3">
      <c r="A10727" s="84"/>
      <c r="B10727" s="85"/>
      <c r="E10727" s="86"/>
      <c r="F10727" s="76"/>
      <c r="G10727" s="24"/>
      <c r="H10727" s="49"/>
      <c r="K10727"/>
      <c r="L10727" s="73"/>
    </row>
    <row r="10728" spans="1:12" x14ac:dyDescent="0.3">
      <c r="A10728" s="84"/>
      <c r="B10728" s="85"/>
      <c r="E10728" s="86"/>
      <c r="F10728" s="76"/>
      <c r="G10728" s="24"/>
      <c r="H10728" s="49"/>
      <c r="K10728"/>
      <c r="L10728" s="73"/>
    </row>
    <row r="10729" spans="1:12" x14ac:dyDescent="0.3">
      <c r="A10729" s="84"/>
      <c r="B10729" s="85"/>
      <c r="E10729" s="86"/>
      <c r="F10729" s="76"/>
      <c r="G10729" s="24"/>
      <c r="H10729" s="49"/>
      <c r="K10729"/>
      <c r="L10729" s="73"/>
    </row>
    <row r="10730" spans="1:12" x14ac:dyDescent="0.3">
      <c r="A10730" s="84"/>
      <c r="B10730" s="85"/>
      <c r="E10730" s="86"/>
      <c r="F10730" s="76"/>
      <c r="G10730" s="24"/>
      <c r="H10730" s="49"/>
      <c r="K10730"/>
      <c r="L10730" s="73"/>
    </row>
    <row r="10731" spans="1:12" x14ac:dyDescent="0.3">
      <c r="A10731" s="84"/>
      <c r="B10731" s="85"/>
      <c r="E10731" s="86"/>
      <c r="F10731" s="76"/>
      <c r="G10731" s="24"/>
      <c r="H10731" s="49"/>
      <c r="K10731"/>
      <c r="L10731" s="73"/>
    </row>
    <row r="10732" spans="1:12" x14ac:dyDescent="0.3">
      <c r="A10732" s="84"/>
      <c r="B10732" s="85"/>
      <c r="E10732" s="86"/>
      <c r="F10732" s="76"/>
      <c r="G10732" s="24"/>
      <c r="H10732" s="49"/>
      <c r="K10732"/>
      <c r="L10732" s="73"/>
    </row>
    <row r="10733" spans="1:12" x14ac:dyDescent="0.3">
      <c r="A10733" s="84"/>
      <c r="B10733" s="85"/>
      <c r="E10733" s="86"/>
      <c r="F10733" s="76"/>
      <c r="G10733" s="24"/>
      <c r="H10733" s="49"/>
      <c r="K10733"/>
      <c r="L10733" s="73"/>
    </row>
    <row r="10734" spans="1:12" x14ac:dyDescent="0.3">
      <c r="A10734" s="84"/>
      <c r="B10734" s="85"/>
      <c r="E10734" s="86"/>
      <c r="F10734" s="76"/>
      <c r="G10734" s="24"/>
      <c r="H10734" s="49"/>
      <c r="K10734"/>
      <c r="L10734" s="73"/>
    </row>
    <row r="10735" spans="1:12" x14ac:dyDescent="0.3">
      <c r="A10735" s="84"/>
      <c r="B10735" s="85"/>
      <c r="E10735" s="86"/>
      <c r="F10735" s="76"/>
      <c r="G10735" s="24"/>
      <c r="H10735" s="49"/>
      <c r="K10735"/>
      <c r="L10735" s="73"/>
    </row>
    <row r="10736" spans="1:12" x14ac:dyDescent="0.3">
      <c r="A10736" s="84"/>
      <c r="B10736" s="85"/>
      <c r="E10736" s="86"/>
      <c r="F10736" s="76"/>
      <c r="G10736" s="24"/>
      <c r="H10736" s="49"/>
      <c r="K10736"/>
      <c r="L10736" s="73"/>
    </row>
    <row r="10737" spans="1:12" x14ac:dyDescent="0.3">
      <c r="A10737" s="84"/>
      <c r="B10737" s="85"/>
      <c r="E10737" s="86"/>
      <c r="F10737" s="76"/>
      <c r="G10737" s="24"/>
      <c r="H10737" s="49"/>
      <c r="K10737"/>
      <c r="L10737" s="73"/>
    </row>
    <row r="10738" spans="1:12" x14ac:dyDescent="0.3">
      <c r="A10738" s="84"/>
      <c r="B10738" s="85"/>
      <c r="E10738" s="86"/>
      <c r="F10738" s="76"/>
      <c r="G10738" s="24"/>
      <c r="H10738" s="49"/>
      <c r="K10738"/>
      <c r="L10738" s="73"/>
    </row>
    <row r="10739" spans="1:12" x14ac:dyDescent="0.3">
      <c r="A10739" s="84"/>
      <c r="B10739" s="85"/>
      <c r="E10739" s="86"/>
      <c r="F10739" s="76"/>
      <c r="G10739" s="24"/>
      <c r="H10739" s="49"/>
      <c r="K10739"/>
      <c r="L10739" s="73"/>
    </row>
    <row r="10740" spans="1:12" x14ac:dyDescent="0.3">
      <c r="A10740" s="84"/>
      <c r="B10740" s="85"/>
      <c r="E10740" s="86"/>
      <c r="F10740" s="76"/>
      <c r="G10740" s="24"/>
      <c r="H10740" s="49"/>
      <c r="K10740"/>
      <c r="L10740" s="73"/>
    </row>
    <row r="10741" spans="1:12" x14ac:dyDescent="0.3">
      <c r="A10741" s="84"/>
      <c r="B10741" s="85"/>
      <c r="E10741" s="86"/>
      <c r="F10741" s="76"/>
      <c r="G10741" s="24"/>
      <c r="H10741" s="49"/>
      <c r="K10741"/>
      <c r="L10741" s="73"/>
    </row>
    <row r="10742" spans="1:12" x14ac:dyDescent="0.3">
      <c r="A10742" s="84"/>
      <c r="B10742" s="85"/>
      <c r="E10742" s="86"/>
      <c r="F10742" s="76"/>
      <c r="G10742" s="24"/>
      <c r="H10742" s="49"/>
      <c r="K10742"/>
      <c r="L10742" s="73"/>
    </row>
    <row r="10743" spans="1:12" x14ac:dyDescent="0.3">
      <c r="A10743" s="84"/>
      <c r="B10743" s="85"/>
      <c r="E10743" s="86"/>
      <c r="F10743" s="76"/>
      <c r="G10743" s="24"/>
      <c r="H10743" s="49"/>
      <c r="K10743"/>
      <c r="L10743" s="73"/>
    </row>
    <row r="10744" spans="1:12" x14ac:dyDescent="0.3">
      <c r="A10744" s="84"/>
      <c r="B10744" s="85"/>
      <c r="E10744" s="86"/>
      <c r="F10744" s="76"/>
      <c r="G10744" s="24"/>
      <c r="H10744" s="49"/>
      <c r="K10744"/>
      <c r="L10744" s="73"/>
    </row>
    <row r="10745" spans="1:12" x14ac:dyDescent="0.3">
      <c r="A10745" s="84"/>
      <c r="B10745" s="85"/>
      <c r="E10745" s="86"/>
      <c r="F10745" s="76"/>
      <c r="G10745" s="24"/>
      <c r="H10745" s="49"/>
      <c r="K10745"/>
      <c r="L10745" s="73"/>
    </row>
    <row r="10746" spans="1:12" x14ac:dyDescent="0.3">
      <c r="A10746" s="84"/>
      <c r="B10746" s="85"/>
      <c r="E10746" s="86"/>
      <c r="F10746" s="76"/>
      <c r="G10746" s="24"/>
      <c r="H10746" s="49"/>
      <c r="K10746"/>
      <c r="L10746" s="73"/>
    </row>
    <row r="10747" spans="1:12" x14ac:dyDescent="0.3">
      <c r="A10747" s="84"/>
      <c r="B10747" s="85"/>
      <c r="E10747" s="86"/>
      <c r="F10747" s="76"/>
      <c r="G10747" s="24"/>
      <c r="H10747" s="49"/>
      <c r="K10747"/>
      <c r="L10747" s="73"/>
    </row>
    <row r="10748" spans="1:12" x14ac:dyDescent="0.3">
      <c r="A10748" s="84"/>
      <c r="B10748" s="85"/>
      <c r="E10748" s="86"/>
      <c r="F10748" s="76"/>
      <c r="G10748" s="24"/>
      <c r="H10748" s="49"/>
      <c r="K10748"/>
      <c r="L10748" s="73"/>
    </row>
    <row r="10749" spans="1:12" x14ac:dyDescent="0.3">
      <c r="A10749" s="84"/>
      <c r="B10749" s="85"/>
      <c r="E10749" s="86"/>
      <c r="F10749" s="76"/>
      <c r="G10749" s="24"/>
      <c r="H10749" s="49"/>
      <c r="K10749"/>
      <c r="L10749" s="73"/>
    </row>
    <row r="10750" spans="1:12" x14ac:dyDescent="0.3">
      <c r="A10750" s="84"/>
      <c r="B10750" s="85"/>
      <c r="E10750" s="86"/>
      <c r="F10750" s="76"/>
      <c r="G10750" s="24"/>
      <c r="H10750" s="49"/>
      <c r="K10750"/>
      <c r="L10750" s="73"/>
    </row>
    <row r="10751" spans="1:12" x14ac:dyDescent="0.3">
      <c r="A10751" s="84"/>
      <c r="B10751" s="85"/>
      <c r="E10751" s="86"/>
      <c r="F10751" s="76"/>
      <c r="G10751" s="24"/>
      <c r="H10751" s="49"/>
      <c r="K10751"/>
      <c r="L10751" s="73"/>
    </row>
    <row r="10752" spans="1:12" x14ac:dyDescent="0.3">
      <c r="A10752" s="84"/>
      <c r="B10752" s="85"/>
      <c r="E10752" s="86"/>
      <c r="F10752" s="76"/>
      <c r="G10752" s="24"/>
      <c r="H10752" s="49"/>
      <c r="K10752"/>
      <c r="L10752" s="73"/>
    </row>
    <row r="10753" spans="1:12" x14ac:dyDescent="0.3">
      <c r="A10753" s="84"/>
      <c r="B10753" s="85"/>
      <c r="E10753" s="86"/>
      <c r="F10753" s="76"/>
      <c r="G10753" s="24"/>
      <c r="H10753" s="49"/>
      <c r="K10753"/>
      <c r="L10753" s="73"/>
    </row>
    <row r="10754" spans="1:12" x14ac:dyDescent="0.3">
      <c r="A10754" s="84"/>
      <c r="B10754" s="85"/>
      <c r="E10754" s="86"/>
      <c r="F10754" s="76"/>
      <c r="G10754" s="24"/>
      <c r="H10754" s="49"/>
      <c r="K10754"/>
      <c r="L10754" s="73"/>
    </row>
    <row r="10755" spans="1:12" x14ac:dyDescent="0.3">
      <c r="A10755" s="84"/>
      <c r="B10755" s="85"/>
      <c r="E10755" s="86"/>
      <c r="F10755" s="76"/>
      <c r="G10755" s="24"/>
      <c r="H10755" s="49"/>
      <c r="K10755"/>
      <c r="L10755" s="73"/>
    </row>
    <row r="10756" spans="1:12" x14ac:dyDescent="0.3">
      <c r="A10756" s="84"/>
      <c r="B10756" s="85"/>
      <c r="E10756" s="86"/>
      <c r="F10756" s="76"/>
      <c r="G10756" s="24"/>
      <c r="H10756" s="49"/>
      <c r="K10756"/>
      <c r="L10756" s="73"/>
    </row>
    <row r="10757" spans="1:12" x14ac:dyDescent="0.3">
      <c r="A10757" s="84"/>
      <c r="B10757" s="85"/>
      <c r="E10757" s="86"/>
      <c r="F10757" s="76"/>
      <c r="G10757" s="24"/>
      <c r="H10757" s="49"/>
      <c r="K10757"/>
      <c r="L10757" s="73"/>
    </row>
    <row r="10758" spans="1:12" x14ac:dyDescent="0.3">
      <c r="A10758" s="84"/>
      <c r="B10758" s="85"/>
      <c r="E10758" s="86"/>
      <c r="F10758" s="76"/>
      <c r="G10758" s="24"/>
      <c r="H10758" s="49"/>
      <c r="K10758"/>
      <c r="L10758" s="73"/>
    </row>
    <row r="10759" spans="1:12" x14ac:dyDescent="0.3">
      <c r="A10759" s="84"/>
      <c r="B10759" s="85"/>
      <c r="E10759" s="86"/>
      <c r="F10759" s="76"/>
      <c r="G10759" s="24"/>
      <c r="H10759" s="49"/>
      <c r="K10759"/>
      <c r="L10759" s="73"/>
    </row>
    <row r="10760" spans="1:12" x14ac:dyDescent="0.3">
      <c r="A10760" s="84"/>
      <c r="B10760" s="85"/>
      <c r="E10760" s="86"/>
      <c r="F10760" s="76"/>
      <c r="G10760" s="24"/>
      <c r="H10760" s="49"/>
      <c r="K10760"/>
      <c r="L10760" s="73"/>
    </row>
    <row r="10761" spans="1:12" x14ac:dyDescent="0.3">
      <c r="A10761" s="84"/>
      <c r="B10761" s="85"/>
      <c r="E10761" s="86"/>
      <c r="F10761" s="76"/>
      <c r="G10761" s="24"/>
      <c r="H10761" s="49"/>
      <c r="K10761"/>
      <c r="L10761" s="73"/>
    </row>
    <row r="10762" spans="1:12" x14ac:dyDescent="0.3">
      <c r="A10762" s="84"/>
      <c r="B10762" s="85"/>
      <c r="E10762" s="86"/>
      <c r="F10762" s="76"/>
      <c r="G10762" s="24"/>
      <c r="H10762" s="49"/>
      <c r="K10762"/>
      <c r="L10762" s="73"/>
    </row>
    <row r="10763" spans="1:12" x14ac:dyDescent="0.3">
      <c r="A10763" s="84"/>
      <c r="B10763" s="85"/>
      <c r="E10763" s="86"/>
      <c r="F10763" s="76"/>
      <c r="G10763" s="24"/>
      <c r="H10763" s="49"/>
      <c r="K10763"/>
      <c r="L10763" s="73"/>
    </row>
    <row r="10764" spans="1:12" x14ac:dyDescent="0.3">
      <c r="A10764" s="84"/>
      <c r="B10764" s="85"/>
      <c r="E10764" s="86"/>
      <c r="F10764" s="76"/>
      <c r="G10764" s="24"/>
      <c r="H10764" s="49"/>
      <c r="K10764"/>
      <c r="L10764" s="73"/>
    </row>
    <row r="10765" spans="1:12" x14ac:dyDescent="0.3">
      <c r="A10765" s="84"/>
      <c r="B10765" s="85"/>
      <c r="E10765" s="86"/>
      <c r="F10765" s="76"/>
      <c r="G10765" s="24"/>
      <c r="H10765" s="49"/>
      <c r="K10765"/>
      <c r="L10765" s="73"/>
    </row>
    <row r="10766" spans="1:12" x14ac:dyDescent="0.3">
      <c r="A10766" s="84"/>
      <c r="B10766" s="85"/>
      <c r="E10766" s="86"/>
      <c r="F10766" s="76"/>
      <c r="G10766" s="24"/>
      <c r="H10766" s="49"/>
      <c r="K10766"/>
      <c r="L10766" s="73"/>
    </row>
    <row r="10767" spans="1:12" x14ac:dyDescent="0.3">
      <c r="A10767" s="84"/>
      <c r="B10767" s="85"/>
      <c r="E10767" s="86"/>
      <c r="F10767" s="76"/>
      <c r="G10767" s="24"/>
      <c r="H10767" s="49"/>
      <c r="K10767"/>
      <c r="L10767" s="73"/>
    </row>
    <row r="10768" spans="1:12" x14ac:dyDescent="0.3">
      <c r="A10768" s="84"/>
      <c r="B10768" s="85"/>
      <c r="E10768" s="86"/>
      <c r="F10768" s="76"/>
      <c r="G10768" s="24"/>
      <c r="H10768" s="49"/>
      <c r="K10768"/>
      <c r="L10768" s="73"/>
    </row>
    <row r="10769" spans="1:12" x14ac:dyDescent="0.3">
      <c r="A10769" s="84"/>
      <c r="B10769" s="85"/>
      <c r="E10769" s="86"/>
      <c r="F10769" s="76"/>
      <c r="G10769" s="24"/>
      <c r="H10769" s="49"/>
      <c r="K10769"/>
      <c r="L10769" s="73"/>
    </row>
    <row r="10770" spans="1:12" x14ac:dyDescent="0.3">
      <c r="A10770" s="84"/>
      <c r="B10770" s="85"/>
      <c r="E10770" s="86"/>
      <c r="F10770" s="76"/>
      <c r="G10770" s="24"/>
      <c r="H10770" s="49"/>
      <c r="K10770"/>
      <c r="L10770" s="73"/>
    </row>
    <row r="10771" spans="1:12" x14ac:dyDescent="0.3">
      <c r="A10771" s="84"/>
      <c r="B10771" s="85"/>
      <c r="E10771" s="86"/>
      <c r="F10771" s="76"/>
      <c r="G10771" s="24"/>
      <c r="H10771" s="49"/>
      <c r="K10771"/>
      <c r="L10771" s="73"/>
    </row>
    <row r="10772" spans="1:12" x14ac:dyDescent="0.3">
      <c r="A10772" s="84"/>
      <c r="B10772" s="85"/>
      <c r="E10772" s="86"/>
      <c r="F10772" s="76"/>
      <c r="G10772" s="24"/>
      <c r="H10772" s="49"/>
      <c r="K10772"/>
      <c r="L10772" s="73"/>
    </row>
    <row r="10773" spans="1:12" x14ac:dyDescent="0.3">
      <c r="A10773" s="84"/>
      <c r="B10773" s="85"/>
      <c r="E10773" s="86"/>
      <c r="F10773" s="76"/>
      <c r="G10773" s="24"/>
      <c r="H10773" s="49"/>
      <c r="K10773"/>
      <c r="L10773" s="73"/>
    </row>
    <row r="10774" spans="1:12" x14ac:dyDescent="0.3">
      <c r="A10774" s="84"/>
      <c r="B10774" s="85"/>
      <c r="E10774" s="86"/>
      <c r="F10774" s="76"/>
      <c r="G10774" s="24"/>
      <c r="H10774" s="49"/>
      <c r="K10774"/>
      <c r="L10774" s="73"/>
    </row>
    <row r="10775" spans="1:12" x14ac:dyDescent="0.3">
      <c r="A10775" s="84"/>
      <c r="B10775" s="85"/>
      <c r="E10775" s="86"/>
      <c r="F10775" s="76"/>
      <c r="G10775" s="24"/>
      <c r="H10775" s="49"/>
      <c r="K10775"/>
      <c r="L10775" s="73"/>
    </row>
    <row r="10776" spans="1:12" x14ac:dyDescent="0.3">
      <c r="A10776" s="84"/>
      <c r="B10776" s="85"/>
      <c r="E10776" s="86"/>
      <c r="F10776" s="76"/>
      <c r="G10776" s="24"/>
      <c r="H10776" s="49"/>
      <c r="K10776"/>
      <c r="L10776" s="73"/>
    </row>
    <row r="10777" spans="1:12" x14ac:dyDescent="0.3">
      <c r="A10777" s="84"/>
      <c r="B10777" s="85"/>
      <c r="E10777" s="86"/>
      <c r="F10777" s="76"/>
      <c r="G10777" s="24"/>
      <c r="H10777" s="49"/>
      <c r="K10777"/>
      <c r="L10777" s="73"/>
    </row>
    <row r="10778" spans="1:12" x14ac:dyDescent="0.3">
      <c r="A10778" s="84"/>
      <c r="B10778" s="85"/>
      <c r="E10778" s="86"/>
      <c r="F10778" s="76"/>
      <c r="G10778" s="24"/>
      <c r="H10778" s="49"/>
      <c r="K10778"/>
      <c r="L10778" s="73"/>
    </row>
    <row r="10779" spans="1:12" x14ac:dyDescent="0.3">
      <c r="A10779" s="84"/>
      <c r="B10779" s="85"/>
      <c r="E10779" s="86"/>
      <c r="F10779" s="76"/>
      <c r="G10779" s="24"/>
      <c r="H10779" s="49"/>
      <c r="K10779"/>
      <c r="L10779" s="73"/>
    </row>
    <row r="10780" spans="1:12" x14ac:dyDescent="0.3">
      <c r="A10780" s="84"/>
      <c r="B10780" s="85"/>
      <c r="E10780" s="86"/>
      <c r="F10780" s="76"/>
      <c r="G10780" s="24"/>
      <c r="H10780" s="49"/>
      <c r="K10780"/>
      <c r="L10780" s="73"/>
    </row>
    <row r="10781" spans="1:12" x14ac:dyDescent="0.3">
      <c r="A10781" s="84"/>
      <c r="B10781" s="85"/>
      <c r="E10781" s="86"/>
      <c r="F10781" s="76"/>
      <c r="G10781" s="24"/>
      <c r="H10781" s="49"/>
      <c r="K10781"/>
      <c r="L10781" s="73"/>
    </row>
    <row r="10782" spans="1:12" x14ac:dyDescent="0.3">
      <c r="A10782" s="84"/>
      <c r="B10782" s="85"/>
      <c r="E10782" s="86"/>
      <c r="F10782" s="76"/>
      <c r="G10782" s="24"/>
      <c r="H10782" s="49"/>
      <c r="K10782"/>
      <c r="L10782" s="73"/>
    </row>
    <row r="10783" spans="1:12" x14ac:dyDescent="0.3">
      <c r="A10783" s="84"/>
      <c r="B10783" s="85"/>
      <c r="E10783" s="86"/>
      <c r="F10783" s="76"/>
      <c r="G10783" s="24"/>
      <c r="H10783" s="49"/>
      <c r="K10783"/>
      <c r="L10783" s="73"/>
    </row>
    <row r="10784" spans="1:12" x14ac:dyDescent="0.3">
      <c r="A10784" s="84"/>
      <c r="B10784" s="85"/>
      <c r="E10784" s="86"/>
      <c r="F10784" s="76"/>
      <c r="G10784" s="24"/>
      <c r="H10784" s="49"/>
      <c r="K10784"/>
      <c r="L10784" s="73"/>
    </row>
    <row r="10785" spans="1:12" x14ac:dyDescent="0.3">
      <c r="A10785" s="84"/>
      <c r="B10785" s="85"/>
      <c r="E10785" s="86"/>
      <c r="F10785" s="76"/>
      <c r="G10785" s="24"/>
      <c r="H10785" s="49"/>
      <c r="K10785"/>
      <c r="L10785" s="73"/>
    </row>
    <row r="10786" spans="1:12" x14ac:dyDescent="0.3">
      <c r="A10786" s="84"/>
      <c r="B10786" s="85"/>
      <c r="E10786" s="86"/>
      <c r="F10786" s="76"/>
      <c r="G10786" s="24"/>
      <c r="H10786" s="49"/>
      <c r="K10786"/>
      <c r="L10786" s="73"/>
    </row>
    <row r="10787" spans="1:12" x14ac:dyDescent="0.3">
      <c r="A10787" s="84"/>
      <c r="B10787" s="85"/>
      <c r="E10787" s="86"/>
      <c r="F10787" s="76"/>
      <c r="G10787" s="24"/>
      <c r="H10787" s="49"/>
      <c r="K10787"/>
      <c r="L10787" s="73"/>
    </row>
    <row r="10788" spans="1:12" x14ac:dyDescent="0.3">
      <c r="A10788" s="84"/>
      <c r="B10788" s="85"/>
      <c r="E10788" s="86"/>
      <c r="F10788" s="76"/>
      <c r="G10788" s="24"/>
      <c r="H10788" s="49"/>
      <c r="K10788"/>
      <c r="L10788" s="73"/>
    </row>
    <row r="10789" spans="1:12" x14ac:dyDescent="0.3">
      <c r="A10789" s="84"/>
      <c r="B10789" s="85"/>
      <c r="E10789" s="86"/>
      <c r="F10789" s="76"/>
      <c r="G10789" s="24"/>
      <c r="H10789" s="49"/>
      <c r="K10789"/>
      <c r="L10789" s="73"/>
    </row>
    <row r="10790" spans="1:12" x14ac:dyDescent="0.3">
      <c r="A10790" s="84"/>
      <c r="B10790" s="85"/>
      <c r="E10790" s="86"/>
      <c r="F10790" s="76"/>
      <c r="G10790" s="24"/>
      <c r="H10790" s="49"/>
      <c r="K10790"/>
      <c r="L10790" s="73"/>
    </row>
    <row r="10791" spans="1:12" x14ac:dyDescent="0.3">
      <c r="A10791" s="84"/>
      <c r="B10791" s="85"/>
      <c r="E10791" s="86"/>
      <c r="F10791" s="76"/>
      <c r="G10791" s="24"/>
      <c r="H10791" s="49"/>
      <c r="K10791"/>
      <c r="L10791" s="73"/>
    </row>
    <row r="10792" spans="1:12" x14ac:dyDescent="0.3">
      <c r="A10792" s="84"/>
      <c r="B10792" s="85"/>
      <c r="E10792" s="86"/>
      <c r="F10792" s="76"/>
      <c r="G10792" s="24"/>
      <c r="H10792" s="49"/>
      <c r="K10792"/>
      <c r="L10792" s="73"/>
    </row>
    <row r="10793" spans="1:12" x14ac:dyDescent="0.3">
      <c r="A10793" s="84"/>
      <c r="B10793" s="85"/>
      <c r="E10793" s="86"/>
      <c r="F10793" s="76"/>
      <c r="G10793" s="24"/>
      <c r="H10793" s="49"/>
      <c r="K10793"/>
      <c r="L10793" s="73"/>
    </row>
    <row r="10794" spans="1:12" x14ac:dyDescent="0.3">
      <c r="A10794" s="84"/>
      <c r="B10794" s="85"/>
      <c r="E10794" s="86"/>
      <c r="F10794" s="76"/>
      <c r="G10794" s="24"/>
      <c r="H10794" s="49"/>
      <c r="K10794"/>
      <c r="L10794" s="73"/>
    </row>
    <row r="10795" spans="1:12" x14ac:dyDescent="0.3">
      <c r="A10795" s="84"/>
      <c r="B10795" s="85"/>
      <c r="E10795" s="86"/>
      <c r="F10795" s="76"/>
      <c r="G10795" s="24"/>
      <c r="H10795" s="49"/>
      <c r="K10795"/>
      <c r="L10795" s="73"/>
    </row>
    <row r="10796" spans="1:12" x14ac:dyDescent="0.3">
      <c r="A10796" s="84"/>
      <c r="B10796" s="85"/>
      <c r="E10796" s="86"/>
      <c r="F10796" s="76"/>
      <c r="G10796" s="24"/>
      <c r="H10796" s="49"/>
      <c r="K10796"/>
      <c r="L10796" s="73"/>
    </row>
    <row r="10797" spans="1:12" x14ac:dyDescent="0.3">
      <c r="A10797" s="84"/>
      <c r="B10797" s="85"/>
      <c r="E10797" s="86"/>
      <c r="F10797" s="76"/>
      <c r="G10797" s="24"/>
      <c r="H10797" s="49"/>
      <c r="K10797"/>
      <c r="L10797" s="73"/>
    </row>
    <row r="10798" spans="1:12" x14ac:dyDescent="0.3">
      <c r="A10798" s="84"/>
      <c r="B10798" s="85"/>
      <c r="E10798" s="86"/>
      <c r="F10798" s="76"/>
      <c r="G10798" s="24"/>
      <c r="H10798" s="49"/>
      <c r="K10798"/>
      <c r="L10798" s="73"/>
    </row>
    <row r="10799" spans="1:12" x14ac:dyDescent="0.3">
      <c r="A10799" s="84"/>
      <c r="B10799" s="85"/>
      <c r="E10799" s="86"/>
      <c r="F10799" s="76"/>
      <c r="G10799" s="24"/>
      <c r="H10799" s="49"/>
      <c r="K10799"/>
      <c r="L10799" s="73"/>
    </row>
    <row r="10800" spans="1:12" x14ac:dyDescent="0.3">
      <c r="A10800" s="84"/>
      <c r="B10800" s="85"/>
      <c r="E10800" s="86"/>
      <c r="F10800" s="76"/>
      <c r="G10800" s="24"/>
      <c r="H10800" s="49"/>
      <c r="K10800"/>
      <c r="L10800" s="73"/>
    </row>
    <row r="10801" spans="1:12" x14ac:dyDescent="0.3">
      <c r="A10801" s="84"/>
      <c r="B10801" s="85"/>
      <c r="E10801" s="86"/>
      <c r="F10801" s="76"/>
      <c r="G10801" s="24"/>
      <c r="H10801" s="49"/>
      <c r="K10801"/>
      <c r="L10801" s="73"/>
    </row>
    <row r="10802" spans="1:12" x14ac:dyDescent="0.3">
      <c r="A10802" s="84"/>
      <c r="B10802" s="85"/>
      <c r="E10802" s="86"/>
      <c r="F10802" s="76"/>
      <c r="G10802" s="24"/>
      <c r="H10802" s="49"/>
      <c r="K10802"/>
      <c r="L10802" s="73"/>
    </row>
    <row r="10803" spans="1:12" x14ac:dyDescent="0.3">
      <c r="A10803" s="84"/>
      <c r="B10803" s="85"/>
      <c r="E10803" s="86"/>
      <c r="F10803" s="76"/>
      <c r="G10803" s="24"/>
      <c r="H10803" s="49"/>
      <c r="K10803"/>
      <c r="L10803" s="73"/>
    </row>
    <row r="10804" spans="1:12" x14ac:dyDescent="0.3">
      <c r="A10804" s="84"/>
      <c r="B10804" s="85"/>
      <c r="E10804" s="86"/>
      <c r="F10804" s="76"/>
      <c r="G10804" s="24"/>
      <c r="H10804" s="49"/>
      <c r="K10804"/>
      <c r="L10804" s="73"/>
    </row>
    <row r="10805" spans="1:12" x14ac:dyDescent="0.3">
      <c r="A10805" s="84"/>
      <c r="B10805" s="85"/>
      <c r="E10805" s="86"/>
      <c r="F10805" s="76"/>
      <c r="G10805" s="24"/>
      <c r="H10805" s="49"/>
      <c r="K10805"/>
      <c r="L10805" s="73"/>
    </row>
    <row r="10806" spans="1:12" x14ac:dyDescent="0.3">
      <c r="A10806" s="84"/>
      <c r="B10806" s="85"/>
      <c r="E10806" s="86"/>
      <c r="F10806" s="76"/>
      <c r="G10806" s="24"/>
      <c r="H10806" s="49"/>
      <c r="K10806"/>
      <c r="L10806" s="73"/>
    </row>
    <row r="10807" spans="1:12" x14ac:dyDescent="0.3">
      <c r="A10807" s="84"/>
      <c r="B10807" s="85"/>
      <c r="E10807" s="86"/>
      <c r="F10807" s="76"/>
      <c r="G10807" s="24"/>
      <c r="H10807" s="49"/>
      <c r="K10807"/>
      <c r="L10807" s="73"/>
    </row>
    <row r="10808" spans="1:12" x14ac:dyDescent="0.3">
      <c r="A10808" s="84"/>
      <c r="B10808" s="85"/>
      <c r="E10808" s="86"/>
      <c r="F10808" s="76"/>
      <c r="G10808" s="24"/>
      <c r="H10808" s="49"/>
      <c r="K10808"/>
      <c r="L10808" s="73"/>
    </row>
    <row r="10809" spans="1:12" x14ac:dyDescent="0.3">
      <c r="A10809" s="84"/>
      <c r="B10809" s="85"/>
      <c r="E10809" s="86"/>
      <c r="F10809" s="76"/>
      <c r="G10809" s="24"/>
      <c r="H10809" s="49"/>
      <c r="K10809"/>
      <c r="L10809" s="73"/>
    </row>
    <row r="10810" spans="1:12" x14ac:dyDescent="0.3">
      <c r="A10810" s="84"/>
      <c r="B10810" s="85"/>
      <c r="E10810" s="86"/>
      <c r="F10810" s="76"/>
      <c r="G10810" s="24"/>
      <c r="H10810" s="49"/>
      <c r="K10810"/>
      <c r="L10810" s="73"/>
    </row>
    <row r="10811" spans="1:12" x14ac:dyDescent="0.3">
      <c r="A10811" s="84"/>
      <c r="B10811" s="85"/>
      <c r="E10811" s="86"/>
      <c r="F10811" s="76"/>
      <c r="G10811" s="24"/>
      <c r="H10811" s="49"/>
      <c r="K10811"/>
      <c r="L10811" s="73"/>
    </row>
    <row r="10812" spans="1:12" x14ac:dyDescent="0.3">
      <c r="A10812" s="84"/>
      <c r="B10812" s="85"/>
      <c r="E10812" s="86"/>
      <c r="F10812" s="76"/>
      <c r="G10812" s="24"/>
      <c r="H10812" s="49"/>
      <c r="K10812"/>
      <c r="L10812" s="73"/>
    </row>
    <row r="10813" spans="1:12" x14ac:dyDescent="0.3">
      <c r="A10813" s="84"/>
      <c r="B10813" s="85"/>
      <c r="E10813" s="86"/>
      <c r="F10813" s="76"/>
      <c r="G10813" s="24"/>
      <c r="H10813" s="49"/>
      <c r="K10813"/>
      <c r="L10813" s="73"/>
    </row>
    <row r="10814" spans="1:12" x14ac:dyDescent="0.3">
      <c r="A10814" s="84"/>
      <c r="B10814" s="85"/>
      <c r="E10814" s="86"/>
      <c r="F10814" s="76"/>
      <c r="G10814" s="24"/>
      <c r="H10814" s="49"/>
      <c r="K10814"/>
      <c r="L10814" s="73"/>
    </row>
    <row r="10815" spans="1:12" x14ac:dyDescent="0.3">
      <c r="A10815" s="84"/>
      <c r="B10815" s="85"/>
      <c r="E10815" s="86"/>
      <c r="F10815" s="76"/>
      <c r="G10815" s="24"/>
      <c r="H10815" s="49"/>
      <c r="K10815"/>
      <c r="L10815" s="73"/>
    </row>
    <row r="10816" spans="1:12" x14ac:dyDescent="0.3">
      <c r="A10816" s="84"/>
      <c r="B10816" s="85"/>
      <c r="E10816" s="86"/>
      <c r="F10816" s="76"/>
      <c r="G10816" s="24"/>
      <c r="H10816" s="49"/>
      <c r="K10816"/>
      <c r="L10816" s="73"/>
    </row>
    <row r="10817" spans="1:12" x14ac:dyDescent="0.3">
      <c r="A10817" s="84"/>
      <c r="B10817" s="85"/>
      <c r="E10817" s="86"/>
      <c r="F10817" s="76"/>
      <c r="G10817" s="24"/>
      <c r="H10817" s="49"/>
      <c r="K10817"/>
      <c r="L10817" s="73"/>
    </row>
    <row r="10818" spans="1:12" x14ac:dyDescent="0.3">
      <c r="A10818" s="84"/>
      <c r="B10818" s="85"/>
      <c r="E10818" s="86"/>
      <c r="F10818" s="76"/>
      <c r="G10818" s="24"/>
      <c r="H10818" s="49"/>
      <c r="K10818"/>
      <c r="L10818" s="73"/>
    </row>
    <row r="10819" spans="1:12" x14ac:dyDescent="0.3">
      <c r="A10819" s="84"/>
      <c r="B10819" s="85"/>
      <c r="E10819" s="86"/>
      <c r="F10819" s="76"/>
      <c r="G10819" s="24"/>
      <c r="H10819" s="49"/>
      <c r="K10819"/>
      <c r="L10819" s="73"/>
    </row>
    <row r="10820" spans="1:12" x14ac:dyDescent="0.3">
      <c r="A10820" s="84"/>
      <c r="B10820" s="85"/>
      <c r="E10820" s="86"/>
      <c r="F10820" s="76"/>
      <c r="G10820" s="24"/>
      <c r="H10820" s="49"/>
      <c r="K10820"/>
      <c r="L10820" s="73"/>
    </row>
    <row r="10821" spans="1:12" x14ac:dyDescent="0.3">
      <c r="A10821" s="84"/>
      <c r="B10821" s="85"/>
      <c r="E10821" s="86"/>
      <c r="F10821" s="76"/>
      <c r="G10821" s="24"/>
      <c r="H10821" s="49"/>
      <c r="K10821"/>
      <c r="L10821" s="73"/>
    </row>
    <row r="10822" spans="1:12" x14ac:dyDescent="0.3">
      <c r="A10822" s="84"/>
      <c r="B10822" s="85"/>
      <c r="E10822" s="86"/>
      <c r="F10822" s="76"/>
      <c r="G10822" s="24"/>
      <c r="H10822" s="49"/>
      <c r="K10822"/>
      <c r="L10822" s="73"/>
    </row>
    <row r="10823" spans="1:12" x14ac:dyDescent="0.3">
      <c r="A10823" s="84"/>
      <c r="B10823" s="85"/>
      <c r="E10823" s="86"/>
      <c r="F10823" s="76"/>
      <c r="G10823" s="24"/>
      <c r="H10823" s="49"/>
      <c r="K10823"/>
      <c r="L10823" s="73"/>
    </row>
    <row r="10824" spans="1:12" x14ac:dyDescent="0.3">
      <c r="A10824" s="84"/>
      <c r="B10824" s="85"/>
      <c r="E10824" s="86"/>
      <c r="F10824" s="76"/>
      <c r="G10824" s="24"/>
      <c r="H10824" s="49"/>
      <c r="K10824"/>
      <c r="L10824" s="73"/>
    </row>
    <row r="10825" spans="1:12" x14ac:dyDescent="0.3">
      <c r="A10825" s="84"/>
      <c r="B10825" s="85"/>
      <c r="E10825" s="86"/>
      <c r="F10825" s="76"/>
      <c r="G10825" s="24"/>
      <c r="H10825" s="49"/>
      <c r="K10825"/>
      <c r="L10825" s="73"/>
    </row>
    <row r="10826" spans="1:12" x14ac:dyDescent="0.3">
      <c r="A10826" s="84"/>
      <c r="B10826" s="85"/>
      <c r="E10826" s="86"/>
      <c r="F10826" s="76"/>
      <c r="G10826" s="24"/>
      <c r="H10826" s="49"/>
      <c r="K10826"/>
      <c r="L10826" s="73"/>
    </row>
    <row r="10827" spans="1:12" x14ac:dyDescent="0.3">
      <c r="A10827" s="84"/>
      <c r="B10827" s="85"/>
      <c r="E10827" s="86"/>
      <c r="F10827" s="76"/>
      <c r="G10827" s="24"/>
      <c r="H10827" s="49"/>
      <c r="K10827"/>
      <c r="L10827" s="73"/>
    </row>
    <row r="10828" spans="1:12" x14ac:dyDescent="0.3">
      <c r="A10828" s="84"/>
      <c r="B10828" s="85"/>
      <c r="E10828" s="86"/>
      <c r="F10828" s="76"/>
      <c r="G10828" s="24"/>
      <c r="H10828" s="49"/>
      <c r="K10828"/>
      <c r="L10828" s="73"/>
    </row>
    <row r="10829" spans="1:12" x14ac:dyDescent="0.3">
      <c r="A10829" s="84"/>
      <c r="B10829" s="85"/>
      <c r="E10829" s="86"/>
      <c r="F10829" s="76"/>
      <c r="G10829" s="24"/>
      <c r="H10829" s="49"/>
      <c r="K10829"/>
      <c r="L10829" s="73"/>
    </row>
    <row r="10830" spans="1:12" x14ac:dyDescent="0.3">
      <c r="A10830" s="84"/>
      <c r="B10830" s="85"/>
      <c r="E10830" s="86"/>
      <c r="F10830" s="76"/>
      <c r="G10830" s="24"/>
      <c r="H10830" s="49"/>
      <c r="K10830"/>
      <c r="L10830" s="73"/>
    </row>
    <row r="10831" spans="1:12" x14ac:dyDescent="0.3">
      <c r="A10831" s="84"/>
      <c r="B10831" s="85"/>
      <c r="E10831" s="86"/>
      <c r="F10831" s="76"/>
      <c r="G10831" s="24"/>
      <c r="H10831" s="49"/>
      <c r="K10831"/>
      <c r="L10831" s="73"/>
    </row>
    <row r="10832" spans="1:12" x14ac:dyDescent="0.3">
      <c r="A10832" s="84"/>
      <c r="B10832" s="85"/>
      <c r="E10832" s="86"/>
      <c r="F10832" s="76"/>
      <c r="G10832" s="24"/>
      <c r="H10832" s="49"/>
      <c r="K10832"/>
      <c r="L10832" s="73"/>
    </row>
    <row r="10833" spans="1:12" x14ac:dyDescent="0.3">
      <c r="A10833" s="84"/>
      <c r="B10833" s="85"/>
      <c r="E10833" s="86"/>
      <c r="F10833" s="76"/>
      <c r="G10833" s="24"/>
      <c r="H10833" s="49"/>
      <c r="K10833"/>
      <c r="L10833" s="73"/>
    </row>
    <row r="10834" spans="1:12" x14ac:dyDescent="0.3">
      <c r="A10834" s="84"/>
      <c r="B10834" s="85"/>
      <c r="E10834" s="86"/>
      <c r="F10834" s="76"/>
      <c r="G10834" s="24"/>
      <c r="H10834" s="49"/>
      <c r="K10834"/>
      <c r="L10834" s="73"/>
    </row>
    <row r="10835" spans="1:12" x14ac:dyDescent="0.3">
      <c r="A10835" s="84"/>
      <c r="B10835" s="85"/>
      <c r="E10835" s="86"/>
      <c r="F10835" s="76"/>
      <c r="G10835" s="24"/>
      <c r="H10835" s="49"/>
      <c r="K10835"/>
      <c r="L10835" s="73"/>
    </row>
    <row r="10836" spans="1:12" x14ac:dyDescent="0.3">
      <c r="A10836" s="84"/>
      <c r="B10836" s="85"/>
      <c r="E10836" s="86"/>
      <c r="F10836" s="76"/>
      <c r="G10836" s="24"/>
      <c r="H10836" s="49"/>
      <c r="K10836"/>
      <c r="L10836" s="73"/>
    </row>
    <row r="10837" spans="1:12" x14ac:dyDescent="0.3">
      <c r="A10837" s="84"/>
      <c r="B10837" s="85"/>
      <c r="E10837" s="86"/>
      <c r="F10837" s="76"/>
      <c r="G10837" s="24"/>
      <c r="H10837" s="49"/>
      <c r="K10837"/>
      <c r="L10837" s="73"/>
    </row>
    <row r="10838" spans="1:12" x14ac:dyDescent="0.3">
      <c r="A10838" s="84"/>
      <c r="B10838" s="85"/>
      <c r="E10838" s="86"/>
      <c r="F10838" s="76"/>
      <c r="G10838" s="24"/>
      <c r="H10838" s="49"/>
      <c r="K10838"/>
      <c r="L10838" s="73"/>
    </row>
    <row r="10839" spans="1:12" x14ac:dyDescent="0.3">
      <c r="A10839" s="84"/>
      <c r="B10839" s="85"/>
      <c r="E10839" s="86"/>
      <c r="F10839" s="76"/>
      <c r="G10839" s="24"/>
      <c r="H10839" s="49"/>
      <c r="K10839"/>
      <c r="L10839" s="73"/>
    </row>
    <row r="10840" spans="1:12" x14ac:dyDescent="0.3">
      <c r="A10840" s="84"/>
      <c r="B10840" s="85"/>
      <c r="E10840" s="86"/>
      <c r="F10840" s="76"/>
      <c r="G10840" s="24"/>
      <c r="H10840" s="49"/>
      <c r="K10840"/>
      <c r="L10840" s="73"/>
    </row>
    <row r="10841" spans="1:12" x14ac:dyDescent="0.3">
      <c r="A10841" s="84"/>
      <c r="B10841" s="85"/>
      <c r="E10841" s="86"/>
      <c r="F10841" s="76"/>
      <c r="G10841" s="24"/>
      <c r="H10841" s="49"/>
      <c r="K10841"/>
      <c r="L10841" s="73"/>
    </row>
    <row r="10842" spans="1:12" x14ac:dyDescent="0.3">
      <c r="A10842" s="84"/>
      <c r="B10842" s="85"/>
      <c r="E10842" s="86"/>
      <c r="F10842" s="76"/>
      <c r="G10842" s="24"/>
      <c r="H10842" s="49"/>
      <c r="K10842"/>
      <c r="L10842" s="73"/>
    </row>
    <row r="10843" spans="1:12" x14ac:dyDescent="0.3">
      <c r="A10843" s="84"/>
      <c r="B10843" s="85"/>
      <c r="E10843" s="86"/>
      <c r="F10843" s="76"/>
      <c r="G10843" s="24"/>
      <c r="H10843" s="49"/>
      <c r="K10843"/>
      <c r="L10843" s="73"/>
    </row>
    <row r="10844" spans="1:12" x14ac:dyDescent="0.3">
      <c r="A10844" s="84"/>
      <c r="B10844" s="85"/>
      <c r="E10844" s="86"/>
      <c r="F10844" s="76"/>
      <c r="G10844" s="24"/>
      <c r="H10844" s="49"/>
      <c r="K10844"/>
      <c r="L10844" s="73"/>
    </row>
    <row r="10845" spans="1:12" x14ac:dyDescent="0.3">
      <c r="A10845" s="84"/>
      <c r="B10845" s="85"/>
      <c r="E10845" s="86"/>
      <c r="F10845" s="76"/>
      <c r="G10845" s="24"/>
      <c r="H10845" s="49"/>
      <c r="K10845"/>
      <c r="L10845" s="73"/>
    </row>
    <row r="10846" spans="1:12" x14ac:dyDescent="0.3">
      <c r="A10846" s="84"/>
      <c r="B10846" s="85"/>
      <c r="E10846" s="86"/>
      <c r="F10846" s="76"/>
      <c r="G10846" s="24"/>
      <c r="H10846" s="49"/>
      <c r="K10846"/>
      <c r="L10846" s="73"/>
    </row>
    <row r="10847" spans="1:12" x14ac:dyDescent="0.3">
      <c r="A10847" s="84"/>
      <c r="B10847" s="85"/>
      <c r="E10847" s="86"/>
      <c r="F10847" s="76"/>
      <c r="G10847" s="24"/>
      <c r="H10847" s="49"/>
      <c r="K10847"/>
      <c r="L10847" s="73"/>
    </row>
    <row r="10848" spans="1:12" x14ac:dyDescent="0.3">
      <c r="A10848" s="84"/>
      <c r="B10848" s="85"/>
      <c r="E10848" s="86"/>
      <c r="F10848" s="76"/>
      <c r="G10848" s="24"/>
      <c r="H10848" s="49"/>
      <c r="K10848"/>
      <c r="L10848" s="73"/>
    </row>
    <row r="10849" spans="1:12" x14ac:dyDescent="0.3">
      <c r="A10849" s="84"/>
      <c r="B10849" s="85"/>
      <c r="E10849" s="86"/>
      <c r="F10849" s="76"/>
      <c r="G10849" s="24"/>
      <c r="H10849" s="49"/>
      <c r="K10849"/>
      <c r="L10849" s="73"/>
    </row>
    <row r="10850" spans="1:12" x14ac:dyDescent="0.3">
      <c r="A10850" s="84"/>
      <c r="B10850" s="85"/>
      <c r="E10850" s="86"/>
      <c r="F10850" s="76"/>
      <c r="G10850" s="24"/>
      <c r="H10850" s="49"/>
      <c r="K10850"/>
      <c r="L10850" s="73"/>
    </row>
    <row r="10851" spans="1:12" x14ac:dyDescent="0.3">
      <c r="A10851" s="84"/>
      <c r="B10851" s="85"/>
      <c r="E10851" s="86"/>
      <c r="F10851" s="76"/>
      <c r="G10851" s="24"/>
      <c r="H10851" s="49"/>
      <c r="K10851"/>
      <c r="L10851" s="73"/>
    </row>
    <row r="10852" spans="1:12" x14ac:dyDescent="0.3">
      <c r="A10852" s="84"/>
      <c r="B10852" s="85"/>
      <c r="E10852" s="86"/>
      <c r="F10852" s="76"/>
      <c r="G10852" s="24"/>
      <c r="H10852" s="49"/>
      <c r="K10852"/>
      <c r="L10852" s="73"/>
    </row>
    <row r="10853" spans="1:12" x14ac:dyDescent="0.3">
      <c r="A10853" s="84"/>
      <c r="B10853" s="85"/>
      <c r="E10853" s="86"/>
      <c r="F10853" s="76"/>
      <c r="G10853" s="24"/>
      <c r="H10853" s="49"/>
      <c r="K10853"/>
      <c r="L10853" s="73"/>
    </row>
    <row r="10854" spans="1:12" x14ac:dyDescent="0.3">
      <c r="A10854" s="84"/>
      <c r="B10854" s="85"/>
      <c r="E10854" s="86"/>
      <c r="F10854" s="76"/>
      <c r="G10854" s="24"/>
      <c r="H10854" s="49"/>
      <c r="K10854"/>
      <c r="L10854" s="73"/>
    </row>
    <row r="10855" spans="1:12" x14ac:dyDescent="0.3">
      <c r="A10855" s="84"/>
      <c r="B10855" s="85"/>
      <c r="E10855" s="86"/>
      <c r="F10855" s="76"/>
      <c r="G10855" s="24"/>
      <c r="H10855" s="49"/>
      <c r="K10855"/>
      <c r="L10855" s="73"/>
    </row>
    <row r="10856" spans="1:12" x14ac:dyDescent="0.3">
      <c r="A10856" s="84"/>
      <c r="B10856" s="85"/>
      <c r="E10856" s="86"/>
      <c r="F10856" s="76"/>
      <c r="G10856" s="24"/>
      <c r="H10856" s="49"/>
      <c r="K10856"/>
      <c r="L10856" s="73"/>
    </row>
    <row r="10857" spans="1:12" x14ac:dyDescent="0.3">
      <c r="A10857" s="84"/>
      <c r="B10857" s="85"/>
      <c r="E10857" s="86"/>
      <c r="F10857" s="76"/>
      <c r="G10857" s="24"/>
      <c r="H10857" s="49"/>
      <c r="K10857"/>
      <c r="L10857" s="73"/>
    </row>
    <row r="10858" spans="1:12" x14ac:dyDescent="0.3">
      <c r="A10858" s="84"/>
      <c r="B10858" s="85"/>
      <c r="E10858" s="86"/>
      <c r="F10858" s="76"/>
      <c r="G10858" s="24"/>
      <c r="H10858" s="49"/>
      <c r="K10858"/>
      <c r="L10858" s="73"/>
    </row>
    <row r="10859" spans="1:12" x14ac:dyDescent="0.3">
      <c r="A10859" s="84"/>
      <c r="B10859" s="85"/>
      <c r="E10859" s="86"/>
      <c r="F10859" s="76"/>
      <c r="G10859" s="24"/>
      <c r="H10859" s="49"/>
      <c r="K10859"/>
      <c r="L10859" s="73"/>
    </row>
    <row r="10860" spans="1:12" x14ac:dyDescent="0.3">
      <c r="A10860" s="84"/>
      <c r="B10860" s="85"/>
      <c r="E10860" s="86"/>
      <c r="F10860" s="76"/>
      <c r="G10860" s="24"/>
      <c r="H10860" s="49"/>
      <c r="K10860"/>
      <c r="L10860" s="73"/>
    </row>
    <row r="10861" spans="1:12" x14ac:dyDescent="0.3">
      <c r="A10861" s="84"/>
      <c r="B10861" s="85"/>
      <c r="E10861" s="86"/>
      <c r="F10861" s="76"/>
      <c r="G10861" s="24"/>
      <c r="H10861" s="49"/>
      <c r="K10861"/>
      <c r="L10861" s="73"/>
    </row>
    <row r="10862" spans="1:12" x14ac:dyDescent="0.3">
      <c r="A10862" s="84"/>
      <c r="B10862" s="85"/>
      <c r="E10862" s="86"/>
      <c r="F10862" s="76"/>
      <c r="G10862" s="24"/>
      <c r="H10862" s="49"/>
      <c r="K10862"/>
      <c r="L10862" s="73"/>
    </row>
    <row r="10863" spans="1:12" x14ac:dyDescent="0.3">
      <c r="A10863" s="84"/>
      <c r="B10863" s="85"/>
      <c r="E10863" s="86"/>
      <c r="F10863" s="76"/>
      <c r="G10863" s="24"/>
      <c r="H10863" s="49"/>
      <c r="K10863"/>
      <c r="L10863" s="73"/>
    </row>
    <row r="10864" spans="1:12" x14ac:dyDescent="0.3">
      <c r="A10864" s="84"/>
      <c r="B10864" s="85"/>
      <c r="E10864" s="86"/>
      <c r="F10864" s="76"/>
      <c r="G10864" s="24"/>
      <c r="H10864" s="49"/>
      <c r="K10864"/>
      <c r="L10864" s="73"/>
    </row>
    <row r="10865" spans="1:12" x14ac:dyDescent="0.3">
      <c r="A10865" s="84"/>
      <c r="B10865" s="85"/>
      <c r="E10865" s="86"/>
      <c r="F10865" s="76"/>
      <c r="G10865" s="24"/>
      <c r="H10865" s="49"/>
      <c r="K10865"/>
      <c r="L10865" s="73"/>
    </row>
    <row r="10866" spans="1:12" x14ac:dyDescent="0.3">
      <c r="A10866" s="84"/>
      <c r="B10866" s="85"/>
      <c r="E10866" s="86"/>
      <c r="F10866" s="76"/>
      <c r="G10866" s="24"/>
      <c r="H10866" s="49"/>
      <c r="K10866"/>
      <c r="L10866" s="73"/>
    </row>
    <row r="10867" spans="1:12" x14ac:dyDescent="0.3">
      <c r="A10867" s="84"/>
      <c r="B10867" s="85"/>
      <c r="E10867" s="86"/>
      <c r="F10867" s="76"/>
      <c r="G10867" s="24"/>
      <c r="H10867" s="49"/>
      <c r="K10867"/>
      <c r="L10867" s="73"/>
    </row>
    <row r="10868" spans="1:12" x14ac:dyDescent="0.3">
      <c r="A10868" s="84"/>
      <c r="B10868" s="85"/>
      <c r="E10868" s="86"/>
      <c r="F10868" s="76"/>
      <c r="G10868" s="24"/>
      <c r="H10868" s="49"/>
      <c r="K10868"/>
      <c r="L10868" s="73"/>
    </row>
    <row r="10869" spans="1:12" x14ac:dyDescent="0.3">
      <c r="A10869" s="84"/>
      <c r="B10869" s="85"/>
      <c r="E10869" s="86"/>
      <c r="F10869" s="76"/>
      <c r="G10869" s="24"/>
      <c r="H10869" s="49"/>
      <c r="K10869"/>
      <c r="L10869" s="73"/>
    </row>
    <row r="10870" spans="1:12" x14ac:dyDescent="0.3">
      <c r="A10870" s="84"/>
      <c r="B10870" s="85"/>
      <c r="E10870" s="86"/>
      <c r="F10870" s="76"/>
      <c r="G10870" s="24"/>
      <c r="H10870" s="49"/>
      <c r="K10870"/>
      <c r="L10870" s="73"/>
    </row>
    <row r="10871" spans="1:12" x14ac:dyDescent="0.3">
      <c r="A10871" s="84"/>
      <c r="B10871" s="85"/>
      <c r="E10871" s="86"/>
      <c r="F10871" s="76"/>
      <c r="G10871" s="24"/>
      <c r="H10871" s="49"/>
      <c r="K10871"/>
      <c r="L10871" s="73"/>
    </row>
    <row r="10872" spans="1:12" x14ac:dyDescent="0.3">
      <c r="A10872" s="84"/>
      <c r="B10872" s="85"/>
      <c r="E10872" s="86"/>
      <c r="F10872" s="76"/>
      <c r="G10872" s="24"/>
      <c r="H10872" s="49"/>
      <c r="K10872"/>
      <c r="L10872" s="73"/>
    </row>
    <row r="10873" spans="1:12" x14ac:dyDescent="0.3">
      <c r="A10873" s="84"/>
      <c r="B10873" s="85"/>
      <c r="E10873" s="86"/>
      <c r="F10873" s="76"/>
      <c r="G10873" s="24"/>
      <c r="H10873" s="49"/>
      <c r="K10873"/>
      <c r="L10873" s="73"/>
    </row>
    <row r="10874" spans="1:12" x14ac:dyDescent="0.3">
      <c r="A10874" s="84"/>
      <c r="B10874" s="85"/>
      <c r="E10874" s="86"/>
      <c r="F10874" s="76"/>
      <c r="G10874" s="24"/>
      <c r="H10874" s="49"/>
      <c r="K10874"/>
      <c r="L10874" s="73"/>
    </row>
    <row r="10875" spans="1:12" x14ac:dyDescent="0.3">
      <c r="A10875" s="84"/>
      <c r="B10875" s="85"/>
      <c r="E10875" s="86"/>
      <c r="F10875" s="76"/>
      <c r="G10875" s="24"/>
      <c r="H10875" s="49"/>
      <c r="K10875"/>
      <c r="L10875" s="73"/>
    </row>
    <row r="10876" spans="1:12" x14ac:dyDescent="0.3">
      <c r="A10876" s="84"/>
      <c r="B10876" s="85"/>
      <c r="E10876" s="86"/>
      <c r="F10876" s="76"/>
      <c r="G10876" s="24"/>
      <c r="H10876" s="49"/>
      <c r="K10876"/>
      <c r="L10876" s="73"/>
    </row>
    <row r="10877" spans="1:12" x14ac:dyDescent="0.3">
      <c r="A10877" s="84"/>
      <c r="B10877" s="85"/>
      <c r="E10877" s="86"/>
      <c r="F10877" s="76"/>
      <c r="G10877" s="24"/>
      <c r="H10877" s="49"/>
      <c r="K10877"/>
      <c r="L10877" s="73"/>
    </row>
    <row r="10878" spans="1:12" x14ac:dyDescent="0.3">
      <c r="A10878" s="84"/>
      <c r="B10878" s="85"/>
      <c r="E10878" s="86"/>
      <c r="F10878" s="76"/>
      <c r="G10878" s="24"/>
      <c r="H10878" s="49"/>
      <c r="K10878"/>
      <c r="L10878" s="73"/>
    </row>
    <row r="10879" spans="1:12" x14ac:dyDescent="0.3">
      <c r="A10879" s="84"/>
      <c r="B10879" s="85"/>
      <c r="E10879" s="86"/>
      <c r="F10879" s="76"/>
      <c r="G10879" s="24"/>
      <c r="H10879" s="49"/>
      <c r="K10879"/>
      <c r="L10879" s="73"/>
    </row>
    <row r="10880" spans="1:12" x14ac:dyDescent="0.3">
      <c r="A10880" s="84"/>
      <c r="B10880" s="85"/>
      <c r="E10880" s="86"/>
      <c r="F10880" s="76"/>
      <c r="G10880" s="24"/>
      <c r="H10880" s="49"/>
      <c r="K10880"/>
      <c r="L10880" s="73"/>
    </row>
    <row r="10881" spans="1:12" x14ac:dyDescent="0.3">
      <c r="A10881" s="84"/>
      <c r="B10881" s="85"/>
      <c r="E10881" s="86"/>
      <c r="F10881" s="76"/>
      <c r="G10881" s="24"/>
      <c r="H10881" s="49"/>
      <c r="K10881"/>
      <c r="L10881" s="73"/>
    </row>
    <row r="10882" spans="1:12" x14ac:dyDescent="0.3">
      <c r="A10882" s="84"/>
      <c r="B10882" s="85"/>
      <c r="E10882" s="86"/>
      <c r="F10882" s="76"/>
      <c r="G10882" s="24"/>
      <c r="H10882" s="49"/>
      <c r="K10882"/>
      <c r="L10882" s="73"/>
    </row>
    <row r="10883" spans="1:12" x14ac:dyDescent="0.3">
      <c r="A10883" s="84"/>
      <c r="B10883" s="85"/>
      <c r="E10883" s="86"/>
      <c r="F10883" s="76"/>
      <c r="G10883" s="24"/>
      <c r="H10883" s="49"/>
      <c r="K10883"/>
      <c r="L10883" s="73"/>
    </row>
    <row r="10884" spans="1:12" x14ac:dyDescent="0.3">
      <c r="A10884" s="84"/>
      <c r="B10884" s="85"/>
      <c r="E10884" s="86"/>
      <c r="F10884" s="76"/>
      <c r="G10884" s="24"/>
      <c r="H10884" s="49"/>
      <c r="K10884"/>
      <c r="L10884" s="73"/>
    </row>
    <row r="10885" spans="1:12" x14ac:dyDescent="0.3">
      <c r="A10885" s="84"/>
      <c r="B10885" s="85"/>
      <c r="E10885" s="86"/>
      <c r="F10885" s="76"/>
      <c r="G10885" s="24"/>
      <c r="H10885" s="49"/>
      <c r="K10885"/>
      <c r="L10885" s="73"/>
    </row>
    <row r="10886" spans="1:12" x14ac:dyDescent="0.3">
      <c r="A10886" s="84"/>
      <c r="B10886" s="85"/>
      <c r="E10886" s="86"/>
      <c r="F10886" s="76"/>
      <c r="G10886" s="24"/>
      <c r="H10886" s="49"/>
      <c r="K10886"/>
      <c r="L10886" s="73"/>
    </row>
    <row r="10887" spans="1:12" x14ac:dyDescent="0.3">
      <c r="A10887" s="84"/>
      <c r="B10887" s="85"/>
      <c r="E10887" s="86"/>
      <c r="F10887" s="76"/>
      <c r="G10887" s="24"/>
      <c r="H10887" s="49"/>
      <c r="K10887"/>
      <c r="L10887" s="73"/>
    </row>
    <row r="10888" spans="1:12" x14ac:dyDescent="0.3">
      <c r="A10888" s="84"/>
      <c r="B10888" s="85"/>
      <c r="E10888" s="86"/>
      <c r="F10888" s="76"/>
      <c r="G10888" s="24"/>
      <c r="H10888" s="49"/>
      <c r="K10888"/>
      <c r="L10888" s="73"/>
    </row>
    <row r="10889" spans="1:12" x14ac:dyDescent="0.3">
      <c r="A10889" s="84"/>
      <c r="B10889" s="85"/>
      <c r="E10889" s="86"/>
      <c r="F10889" s="76"/>
      <c r="G10889" s="24"/>
      <c r="H10889" s="49"/>
      <c r="K10889"/>
      <c r="L10889" s="73"/>
    </row>
    <row r="10890" spans="1:12" x14ac:dyDescent="0.3">
      <c r="A10890" s="84"/>
      <c r="B10890" s="85"/>
      <c r="E10890" s="86"/>
      <c r="F10890" s="76"/>
      <c r="G10890" s="24"/>
      <c r="H10890" s="49"/>
      <c r="K10890"/>
      <c r="L10890" s="73"/>
    </row>
    <row r="10891" spans="1:12" x14ac:dyDescent="0.3">
      <c r="A10891" s="84"/>
      <c r="B10891" s="85"/>
      <c r="E10891" s="86"/>
      <c r="F10891" s="76"/>
      <c r="G10891" s="24"/>
      <c r="H10891" s="49"/>
      <c r="K10891"/>
      <c r="L10891" s="73"/>
    </row>
    <row r="10892" spans="1:12" x14ac:dyDescent="0.3">
      <c r="A10892" s="84"/>
      <c r="B10892" s="85"/>
      <c r="E10892" s="86"/>
      <c r="F10892" s="76"/>
      <c r="G10892" s="24"/>
      <c r="H10892" s="49"/>
      <c r="K10892"/>
      <c r="L10892" s="73"/>
    </row>
    <row r="10893" spans="1:12" x14ac:dyDescent="0.3">
      <c r="A10893" s="84"/>
      <c r="B10893" s="85"/>
      <c r="E10893" s="86"/>
      <c r="F10893" s="76"/>
      <c r="G10893" s="24"/>
      <c r="H10893" s="49"/>
      <c r="K10893"/>
      <c r="L10893" s="73"/>
    </row>
    <row r="10894" spans="1:12" x14ac:dyDescent="0.3">
      <c r="A10894" s="84"/>
      <c r="B10894" s="85"/>
      <c r="E10894" s="86"/>
      <c r="F10894" s="76"/>
      <c r="G10894" s="24"/>
      <c r="H10894" s="49"/>
      <c r="K10894"/>
      <c r="L10894" s="73"/>
    </row>
    <row r="10895" spans="1:12" x14ac:dyDescent="0.3">
      <c r="A10895" s="84"/>
      <c r="B10895" s="85"/>
      <c r="E10895" s="86"/>
      <c r="F10895" s="76"/>
      <c r="G10895" s="24"/>
      <c r="H10895" s="49"/>
      <c r="K10895"/>
      <c r="L10895" s="73"/>
    </row>
    <row r="10896" spans="1:12" x14ac:dyDescent="0.3">
      <c r="A10896" s="84"/>
      <c r="B10896" s="85"/>
      <c r="E10896" s="86"/>
      <c r="F10896" s="76"/>
      <c r="G10896" s="24"/>
      <c r="H10896" s="49"/>
      <c r="K10896"/>
      <c r="L10896" s="73"/>
    </row>
    <row r="10897" spans="1:12" x14ac:dyDescent="0.3">
      <c r="A10897" s="84"/>
      <c r="B10897" s="85"/>
      <c r="E10897" s="86"/>
      <c r="F10897" s="76"/>
      <c r="G10897" s="24"/>
      <c r="H10897" s="49"/>
      <c r="K10897"/>
      <c r="L10897" s="73"/>
    </row>
    <row r="10898" spans="1:12" x14ac:dyDescent="0.3">
      <c r="A10898" s="84"/>
      <c r="B10898" s="85"/>
      <c r="E10898" s="86"/>
      <c r="F10898" s="76"/>
      <c r="G10898" s="24"/>
      <c r="H10898" s="49"/>
      <c r="K10898"/>
      <c r="L10898" s="73"/>
    </row>
    <row r="10899" spans="1:12" x14ac:dyDescent="0.3">
      <c r="A10899" s="84"/>
      <c r="B10899" s="85"/>
      <c r="E10899" s="86"/>
      <c r="F10899" s="76"/>
      <c r="G10899" s="24"/>
      <c r="H10899" s="49"/>
      <c r="K10899"/>
      <c r="L10899" s="73"/>
    </row>
    <row r="10900" spans="1:12" x14ac:dyDescent="0.3">
      <c r="A10900" s="84"/>
      <c r="B10900" s="85"/>
      <c r="E10900" s="86"/>
      <c r="F10900" s="76"/>
      <c r="G10900" s="24"/>
      <c r="H10900" s="49"/>
      <c r="K10900"/>
      <c r="L10900" s="73"/>
    </row>
    <row r="10901" spans="1:12" x14ac:dyDescent="0.3">
      <c r="A10901" s="84"/>
      <c r="B10901" s="85"/>
      <c r="E10901" s="86"/>
      <c r="F10901" s="76"/>
      <c r="G10901" s="24"/>
      <c r="H10901" s="49"/>
      <c r="K10901"/>
      <c r="L10901" s="73"/>
    </row>
    <row r="10902" spans="1:12" x14ac:dyDescent="0.3">
      <c r="A10902" s="84"/>
      <c r="B10902" s="85"/>
      <c r="E10902" s="86"/>
      <c r="F10902" s="76"/>
      <c r="G10902" s="24"/>
      <c r="H10902" s="49"/>
      <c r="K10902"/>
      <c r="L10902" s="73"/>
    </row>
    <row r="10903" spans="1:12" x14ac:dyDescent="0.3">
      <c r="A10903" s="84"/>
      <c r="B10903" s="85"/>
      <c r="E10903" s="86"/>
      <c r="F10903" s="76"/>
      <c r="G10903" s="24"/>
      <c r="H10903" s="49"/>
      <c r="K10903"/>
      <c r="L10903" s="73"/>
    </row>
    <row r="10904" spans="1:12" x14ac:dyDescent="0.3">
      <c r="A10904" s="84"/>
      <c r="B10904" s="85"/>
      <c r="E10904" s="86"/>
      <c r="F10904" s="76"/>
      <c r="G10904" s="24"/>
      <c r="H10904" s="49"/>
      <c r="K10904"/>
      <c r="L10904" s="73"/>
    </row>
    <row r="10905" spans="1:12" x14ac:dyDescent="0.3">
      <c r="A10905" s="84"/>
      <c r="B10905" s="85"/>
      <c r="E10905" s="86"/>
      <c r="F10905" s="76"/>
      <c r="G10905" s="24"/>
      <c r="H10905" s="49"/>
      <c r="K10905"/>
      <c r="L10905" s="73"/>
    </row>
    <row r="10906" spans="1:12" x14ac:dyDescent="0.3">
      <c r="A10906" s="84"/>
      <c r="B10906" s="85"/>
      <c r="E10906" s="86"/>
      <c r="F10906" s="76"/>
      <c r="G10906" s="24"/>
      <c r="H10906" s="49"/>
      <c r="K10906"/>
      <c r="L10906" s="73"/>
    </row>
    <row r="10907" spans="1:12" x14ac:dyDescent="0.3">
      <c r="A10907" s="84"/>
      <c r="B10907" s="85"/>
      <c r="E10907" s="86"/>
      <c r="F10907" s="76"/>
      <c r="G10907" s="24"/>
      <c r="H10907" s="49"/>
      <c r="K10907"/>
      <c r="L10907" s="73"/>
    </row>
    <row r="10908" spans="1:12" x14ac:dyDescent="0.3">
      <c r="A10908" s="84"/>
      <c r="B10908" s="85"/>
      <c r="E10908" s="86"/>
      <c r="F10908" s="76"/>
      <c r="G10908" s="24"/>
      <c r="H10908" s="49"/>
      <c r="K10908"/>
      <c r="L10908" s="73"/>
    </row>
    <row r="10909" spans="1:12" x14ac:dyDescent="0.3">
      <c r="A10909" s="84"/>
      <c r="B10909" s="85"/>
      <c r="E10909" s="86"/>
      <c r="F10909" s="76"/>
      <c r="G10909" s="24"/>
      <c r="H10909" s="49"/>
      <c r="K10909"/>
      <c r="L10909" s="73"/>
    </row>
    <row r="10910" spans="1:12" x14ac:dyDescent="0.3">
      <c r="A10910" s="84"/>
      <c r="B10910" s="85"/>
      <c r="E10910" s="86"/>
      <c r="F10910" s="76"/>
      <c r="G10910" s="24"/>
      <c r="H10910" s="49"/>
      <c r="K10910"/>
      <c r="L10910" s="73"/>
    </row>
    <row r="10911" spans="1:12" x14ac:dyDescent="0.3">
      <c r="A10911" s="84"/>
      <c r="B10911" s="85"/>
      <c r="E10911" s="86"/>
      <c r="F10911" s="76"/>
      <c r="G10911" s="24"/>
      <c r="H10911" s="49"/>
      <c r="K10911"/>
      <c r="L10911" s="73"/>
    </row>
    <row r="10912" spans="1:12" x14ac:dyDescent="0.3">
      <c r="A10912" s="84"/>
      <c r="B10912" s="85"/>
      <c r="E10912" s="86"/>
      <c r="F10912" s="76"/>
      <c r="G10912" s="24"/>
      <c r="H10912" s="49"/>
      <c r="K10912"/>
      <c r="L10912" s="73"/>
    </row>
    <row r="10913" spans="1:12" x14ac:dyDescent="0.3">
      <c r="A10913"/>
      <c r="B10913" s="72"/>
      <c r="E10913" s="72"/>
      <c r="F10913" s="76"/>
      <c r="G10913" s="24"/>
      <c r="H10913" s="49"/>
      <c r="K10913"/>
      <c r="L10913" s="73"/>
    </row>
    <row r="10914" spans="1:12" x14ac:dyDescent="0.3">
      <c r="A10914"/>
      <c r="B10914" s="72"/>
      <c r="E10914" s="72"/>
      <c r="F10914" s="76"/>
      <c r="G10914" s="24"/>
      <c r="H10914" s="49"/>
      <c r="K10914"/>
      <c r="L10914" s="73"/>
    </row>
    <row r="10915" spans="1:12" x14ac:dyDescent="0.3">
      <c r="A10915"/>
      <c r="B10915" s="72"/>
      <c r="E10915" s="72"/>
      <c r="F10915" s="76"/>
      <c r="G10915" s="24"/>
      <c r="H10915" s="49"/>
      <c r="K10915"/>
      <c r="L10915" s="73"/>
    </row>
    <row r="10916" spans="1:12" x14ac:dyDescent="0.3">
      <c r="A10916"/>
      <c r="B10916" s="72"/>
      <c r="E10916" s="72"/>
      <c r="F10916" s="76"/>
      <c r="G10916" s="24"/>
      <c r="H10916" s="49"/>
      <c r="K10916"/>
      <c r="L10916" s="73"/>
    </row>
    <row r="10917" spans="1:12" x14ac:dyDescent="0.3">
      <c r="A10917"/>
      <c r="B10917" s="72"/>
      <c r="E10917" s="72"/>
      <c r="F10917" s="76"/>
      <c r="G10917" s="24"/>
      <c r="H10917" s="49"/>
      <c r="K10917"/>
      <c r="L10917" s="73"/>
    </row>
    <row r="10918" spans="1:12" x14ac:dyDescent="0.3">
      <c r="A10918"/>
      <c r="B10918" s="72"/>
      <c r="E10918" s="72"/>
      <c r="F10918" s="76"/>
      <c r="G10918" s="24"/>
      <c r="H10918" s="49"/>
      <c r="K10918"/>
      <c r="L10918" s="73"/>
    </row>
    <row r="10919" spans="1:12" x14ac:dyDescent="0.3">
      <c r="A10919"/>
      <c r="B10919" s="72"/>
      <c r="E10919" s="72"/>
      <c r="F10919" s="76"/>
      <c r="G10919" s="24"/>
      <c r="H10919" s="49"/>
      <c r="K10919"/>
      <c r="L10919" s="73"/>
    </row>
    <row r="10920" spans="1:12" x14ac:dyDescent="0.3">
      <c r="A10920"/>
      <c r="B10920" s="72"/>
      <c r="E10920" s="72"/>
      <c r="F10920" s="76"/>
      <c r="G10920" s="24"/>
      <c r="H10920" s="49"/>
      <c r="K10920"/>
      <c r="L10920" s="73"/>
    </row>
    <row r="10921" spans="1:12" x14ac:dyDescent="0.3">
      <c r="A10921"/>
      <c r="B10921" s="72"/>
      <c r="E10921" s="72"/>
      <c r="F10921" s="76"/>
      <c r="G10921" s="24"/>
      <c r="H10921" s="49"/>
      <c r="K10921"/>
      <c r="L10921" s="73"/>
    </row>
    <row r="10922" spans="1:12" x14ac:dyDescent="0.3">
      <c r="A10922"/>
      <c r="B10922" s="72"/>
      <c r="E10922" s="72"/>
      <c r="F10922" s="76"/>
      <c r="G10922" s="24"/>
      <c r="H10922" s="49"/>
      <c r="K10922"/>
      <c r="L10922" s="73"/>
    </row>
    <row r="10923" spans="1:12" x14ac:dyDescent="0.3">
      <c r="A10923"/>
      <c r="B10923" s="72"/>
      <c r="E10923" s="72"/>
      <c r="F10923" s="76"/>
      <c r="G10923" s="24"/>
      <c r="H10923" s="49"/>
      <c r="K10923"/>
      <c r="L10923" s="73"/>
    </row>
    <row r="10924" spans="1:12" x14ac:dyDescent="0.3">
      <c r="A10924"/>
      <c r="B10924" s="72"/>
      <c r="E10924" s="72"/>
      <c r="F10924" s="76"/>
      <c r="G10924" s="24"/>
      <c r="H10924" s="49"/>
      <c r="K10924"/>
      <c r="L10924" s="73"/>
    </row>
    <row r="10925" spans="1:12" x14ac:dyDescent="0.3">
      <c r="A10925"/>
      <c r="B10925" s="72"/>
      <c r="E10925" s="72"/>
      <c r="F10925" s="76"/>
      <c r="G10925" s="24"/>
      <c r="H10925" s="49"/>
      <c r="K10925"/>
      <c r="L10925" s="73"/>
    </row>
    <row r="10926" spans="1:12" x14ac:dyDescent="0.3">
      <c r="A10926"/>
      <c r="B10926" s="72"/>
      <c r="E10926" s="72"/>
      <c r="F10926" s="76"/>
      <c r="G10926" s="24"/>
      <c r="H10926" s="49"/>
      <c r="K10926"/>
      <c r="L10926" s="73"/>
    </row>
    <row r="10927" spans="1:12" x14ac:dyDescent="0.3">
      <c r="A10927"/>
      <c r="B10927" s="72"/>
      <c r="E10927" s="72"/>
      <c r="F10927" s="76"/>
      <c r="G10927" s="24"/>
      <c r="H10927" s="49"/>
      <c r="K10927"/>
      <c r="L10927" s="73"/>
    </row>
    <row r="10928" spans="1:12" x14ac:dyDescent="0.3">
      <c r="A10928"/>
      <c r="B10928" s="72"/>
      <c r="E10928" s="72"/>
      <c r="F10928" s="76"/>
      <c r="G10928" s="24"/>
      <c r="H10928" s="49"/>
      <c r="K10928"/>
      <c r="L10928" s="73"/>
    </row>
    <row r="10929" spans="1:12" x14ac:dyDescent="0.3">
      <c r="A10929"/>
      <c r="B10929" s="72"/>
      <c r="E10929" s="72"/>
      <c r="F10929" s="76"/>
      <c r="G10929" s="24"/>
      <c r="H10929" s="49"/>
      <c r="K10929"/>
      <c r="L10929" s="73"/>
    </row>
    <row r="10930" spans="1:12" x14ac:dyDescent="0.3">
      <c r="A10930"/>
      <c r="B10930" s="72"/>
      <c r="E10930" s="72"/>
      <c r="F10930" s="76"/>
      <c r="G10930" s="24"/>
      <c r="H10930" s="49"/>
      <c r="K10930"/>
      <c r="L10930" s="73"/>
    </row>
    <row r="10931" spans="1:12" x14ac:dyDescent="0.3">
      <c r="A10931"/>
      <c r="B10931" s="72"/>
      <c r="E10931" s="72"/>
      <c r="F10931" s="76"/>
      <c r="G10931" s="24"/>
      <c r="H10931" s="49"/>
      <c r="K10931"/>
      <c r="L10931" s="73"/>
    </row>
    <row r="10932" spans="1:12" x14ac:dyDescent="0.3">
      <c r="A10932"/>
      <c r="B10932" s="72"/>
      <c r="E10932" s="72"/>
      <c r="F10932" s="76"/>
      <c r="G10932" s="24"/>
      <c r="H10932" s="49"/>
      <c r="K10932"/>
      <c r="L10932" s="73"/>
    </row>
    <row r="10933" spans="1:12" x14ac:dyDescent="0.3">
      <c r="A10933"/>
      <c r="B10933" s="72"/>
      <c r="E10933" s="72"/>
      <c r="F10933" s="76"/>
      <c r="G10933" s="24"/>
      <c r="H10933" s="49"/>
      <c r="K10933"/>
      <c r="L10933" s="73"/>
    </row>
    <row r="10934" spans="1:12" x14ac:dyDescent="0.3">
      <c r="A10934"/>
      <c r="B10934" s="72"/>
      <c r="E10934" s="72"/>
      <c r="F10934" s="76"/>
      <c r="G10934" s="24"/>
      <c r="H10934" s="49"/>
      <c r="K10934"/>
      <c r="L10934" s="73"/>
    </row>
    <row r="10935" spans="1:12" x14ac:dyDescent="0.3">
      <c r="A10935"/>
      <c r="B10935" s="72"/>
      <c r="E10935" s="72"/>
      <c r="F10935" s="76"/>
      <c r="G10935" s="24"/>
      <c r="H10935" s="49"/>
      <c r="K10935"/>
      <c r="L10935" s="73"/>
    </row>
    <row r="10936" spans="1:12" x14ac:dyDescent="0.3">
      <c r="A10936"/>
      <c r="B10936" s="72"/>
      <c r="E10936" s="72"/>
      <c r="F10936" s="76"/>
      <c r="G10936" s="24"/>
      <c r="H10936" s="49"/>
      <c r="K10936"/>
      <c r="L10936" s="73"/>
    </row>
    <row r="10937" spans="1:12" x14ac:dyDescent="0.3">
      <c r="A10937"/>
      <c r="B10937" s="72"/>
      <c r="E10937" s="72"/>
      <c r="F10937" s="76"/>
      <c r="G10937" s="24"/>
      <c r="H10937" s="49"/>
      <c r="K10937"/>
      <c r="L10937" s="73"/>
    </row>
    <row r="10938" spans="1:12" x14ac:dyDescent="0.3">
      <c r="A10938"/>
      <c r="B10938" s="72"/>
      <c r="E10938" s="72"/>
      <c r="F10938" s="76"/>
      <c r="G10938" s="24"/>
      <c r="H10938" s="49"/>
      <c r="K10938"/>
      <c r="L10938" s="73"/>
    </row>
    <row r="10939" spans="1:12" x14ac:dyDescent="0.3">
      <c r="A10939"/>
      <c r="B10939" s="72"/>
      <c r="E10939" s="72"/>
      <c r="F10939" s="76"/>
      <c r="G10939" s="24"/>
      <c r="H10939" s="49"/>
      <c r="K10939"/>
      <c r="L10939" s="73"/>
    </row>
    <row r="10940" spans="1:12" x14ac:dyDescent="0.3">
      <c r="A10940"/>
      <c r="B10940" s="72"/>
      <c r="E10940" s="72"/>
      <c r="F10940" s="76"/>
      <c r="G10940" s="24"/>
      <c r="H10940" s="49"/>
      <c r="K10940"/>
      <c r="L10940" s="73"/>
    </row>
    <row r="10941" spans="1:12" x14ac:dyDescent="0.3">
      <c r="A10941"/>
      <c r="B10941" s="72"/>
      <c r="E10941" s="72"/>
      <c r="F10941" s="76"/>
      <c r="G10941" s="24"/>
      <c r="H10941" s="49"/>
      <c r="K10941"/>
      <c r="L10941" s="73"/>
    </row>
    <row r="10942" spans="1:12" x14ac:dyDescent="0.3">
      <c r="A10942"/>
      <c r="B10942" s="72"/>
      <c r="E10942" s="72"/>
      <c r="F10942" s="76"/>
      <c r="G10942" s="24"/>
      <c r="H10942" s="49"/>
      <c r="K10942"/>
      <c r="L10942" s="73"/>
    </row>
    <row r="10943" spans="1:12" x14ac:dyDescent="0.3">
      <c r="A10943"/>
      <c r="B10943" s="72"/>
      <c r="E10943" s="72"/>
      <c r="F10943" s="76"/>
      <c r="G10943" s="24"/>
      <c r="H10943" s="49"/>
      <c r="K10943"/>
      <c r="L10943" s="73"/>
    </row>
    <row r="10944" spans="1:12" x14ac:dyDescent="0.3">
      <c r="A10944"/>
      <c r="B10944" s="72"/>
      <c r="E10944" s="72"/>
      <c r="F10944" s="76"/>
      <c r="G10944" s="24"/>
      <c r="H10944" s="49"/>
      <c r="K10944"/>
      <c r="L10944" s="73"/>
    </row>
    <row r="10945" spans="1:12" x14ac:dyDescent="0.3">
      <c r="A10945"/>
      <c r="B10945" s="72"/>
      <c r="E10945" s="72"/>
      <c r="F10945" s="76"/>
      <c r="G10945" s="24"/>
      <c r="H10945" s="49"/>
      <c r="K10945"/>
      <c r="L10945" s="73"/>
    </row>
    <row r="10946" spans="1:12" x14ac:dyDescent="0.3">
      <c r="A10946"/>
      <c r="B10946" s="72"/>
      <c r="E10946" s="72"/>
      <c r="F10946" s="76"/>
      <c r="G10946" s="24"/>
      <c r="H10946" s="49"/>
      <c r="K10946"/>
      <c r="L10946" s="73"/>
    </row>
    <row r="10947" spans="1:12" x14ac:dyDescent="0.3">
      <c r="A10947"/>
      <c r="B10947" s="72"/>
      <c r="E10947" s="72"/>
      <c r="F10947" s="76"/>
      <c r="G10947" s="24"/>
      <c r="H10947" s="49"/>
      <c r="K10947"/>
      <c r="L10947" s="73"/>
    </row>
    <row r="10948" spans="1:12" x14ac:dyDescent="0.3">
      <c r="A10948"/>
      <c r="B10948" s="72"/>
      <c r="E10948" s="72"/>
      <c r="F10948" s="76"/>
      <c r="G10948" s="24"/>
      <c r="H10948" s="49"/>
      <c r="K10948"/>
      <c r="L10948" s="73"/>
    </row>
    <row r="10949" spans="1:12" x14ac:dyDescent="0.3">
      <c r="A10949"/>
      <c r="B10949" s="72"/>
      <c r="E10949" s="72"/>
      <c r="F10949" s="76"/>
      <c r="G10949" s="24"/>
      <c r="H10949" s="49"/>
      <c r="K10949"/>
      <c r="L10949" s="73"/>
    </row>
    <row r="10950" spans="1:12" x14ac:dyDescent="0.3">
      <c r="A10950"/>
      <c r="B10950" s="72"/>
      <c r="E10950" s="72"/>
      <c r="F10950" s="76"/>
      <c r="G10950" s="24"/>
      <c r="H10950" s="49"/>
      <c r="K10950"/>
      <c r="L10950" s="73"/>
    </row>
    <row r="10951" spans="1:12" x14ac:dyDescent="0.3">
      <c r="A10951"/>
      <c r="B10951" s="72"/>
      <c r="E10951" s="72"/>
      <c r="F10951" s="76"/>
      <c r="G10951" s="24"/>
      <c r="H10951" s="49"/>
      <c r="K10951"/>
      <c r="L10951" s="73"/>
    </row>
    <row r="10952" spans="1:12" x14ac:dyDescent="0.3">
      <c r="A10952"/>
      <c r="B10952" s="72"/>
      <c r="E10952" s="72"/>
      <c r="F10952" s="76"/>
      <c r="G10952" s="24"/>
      <c r="H10952" s="49"/>
      <c r="K10952"/>
      <c r="L10952" s="73"/>
    </row>
    <row r="10953" spans="1:12" x14ac:dyDescent="0.3">
      <c r="A10953"/>
      <c r="B10953" s="72"/>
      <c r="E10953" s="72"/>
      <c r="F10953" s="76"/>
      <c r="G10953" s="24"/>
      <c r="H10953" s="49"/>
      <c r="K10953"/>
      <c r="L10953" s="73"/>
    </row>
    <row r="10954" spans="1:12" x14ac:dyDescent="0.3">
      <c r="A10954"/>
      <c r="B10954" s="72"/>
      <c r="E10954" s="72"/>
      <c r="F10954" s="76"/>
      <c r="G10954" s="24"/>
      <c r="H10954" s="49"/>
      <c r="K10954"/>
      <c r="L10954" s="73"/>
    </row>
    <row r="10955" spans="1:12" x14ac:dyDescent="0.3">
      <c r="A10955"/>
      <c r="B10955" s="72"/>
      <c r="E10955" s="72"/>
      <c r="F10955" s="76"/>
      <c r="G10955" s="24"/>
      <c r="H10955" s="49"/>
      <c r="K10955"/>
      <c r="L10955" s="73"/>
    </row>
    <row r="10956" spans="1:12" x14ac:dyDescent="0.3">
      <c r="A10956"/>
      <c r="B10956" s="72"/>
      <c r="E10956" s="72"/>
      <c r="F10956" s="76"/>
      <c r="G10956" s="24"/>
      <c r="H10956" s="49"/>
      <c r="K10956"/>
      <c r="L10956" s="73"/>
    </row>
    <row r="10957" spans="1:12" x14ac:dyDescent="0.3">
      <c r="A10957"/>
      <c r="B10957" s="72"/>
      <c r="E10957" s="72"/>
      <c r="F10957" s="76"/>
      <c r="G10957" s="24"/>
      <c r="H10957" s="49"/>
      <c r="K10957"/>
      <c r="L10957" s="73"/>
    </row>
    <row r="10958" spans="1:12" x14ac:dyDescent="0.3">
      <c r="A10958"/>
      <c r="B10958" s="72"/>
      <c r="E10958" s="72"/>
      <c r="F10958" s="76"/>
      <c r="G10958" s="24"/>
      <c r="H10958" s="49"/>
      <c r="K10958"/>
      <c r="L10958" s="73"/>
    </row>
    <row r="10959" spans="1:12" x14ac:dyDescent="0.3">
      <c r="A10959"/>
      <c r="B10959" s="72"/>
      <c r="E10959" s="72"/>
      <c r="F10959" s="76"/>
      <c r="G10959" s="24"/>
      <c r="H10959" s="49"/>
      <c r="K10959"/>
      <c r="L10959" s="73"/>
    </row>
    <row r="10960" spans="1:12" x14ac:dyDescent="0.3">
      <c r="A10960"/>
      <c r="B10960" s="72"/>
      <c r="E10960" s="72"/>
      <c r="F10960" s="76"/>
      <c r="G10960" s="24"/>
      <c r="H10960" s="49"/>
      <c r="K10960"/>
      <c r="L10960" s="73"/>
    </row>
    <row r="10961" spans="1:12" x14ac:dyDescent="0.3">
      <c r="A10961"/>
      <c r="B10961" s="72"/>
      <c r="E10961" s="87"/>
      <c r="F10961" s="76"/>
      <c r="G10961" s="24"/>
      <c r="H10961" s="49"/>
      <c r="K10961"/>
      <c r="L10961" s="73"/>
    </row>
    <row r="10962" spans="1:12" x14ac:dyDescent="0.3">
      <c r="A10962"/>
      <c r="B10962" s="72"/>
      <c r="E10962" s="87"/>
      <c r="F10962" s="76"/>
      <c r="G10962" s="24"/>
      <c r="H10962" s="49"/>
      <c r="K10962"/>
      <c r="L10962" s="73"/>
    </row>
    <row r="10963" spans="1:12" x14ac:dyDescent="0.3">
      <c r="A10963"/>
      <c r="B10963" s="72"/>
      <c r="E10963" s="72"/>
      <c r="F10963" s="76"/>
      <c r="G10963" s="24"/>
      <c r="H10963" s="49"/>
      <c r="K10963"/>
      <c r="L10963" s="73"/>
    </row>
    <row r="10964" spans="1:12" x14ac:dyDescent="0.3">
      <c r="A10964"/>
      <c r="B10964" s="72"/>
      <c r="E10964" s="72"/>
      <c r="F10964" s="76"/>
      <c r="G10964" s="24"/>
      <c r="H10964" s="49"/>
      <c r="K10964"/>
      <c r="L10964" s="73"/>
    </row>
    <row r="10965" spans="1:12" x14ac:dyDescent="0.3">
      <c r="A10965"/>
      <c r="B10965" s="72"/>
      <c r="E10965" s="72"/>
      <c r="F10965" s="76"/>
      <c r="G10965" s="24"/>
      <c r="H10965" s="49"/>
      <c r="K10965"/>
      <c r="L10965" s="73"/>
    </row>
    <row r="10966" spans="1:12" x14ac:dyDescent="0.3">
      <c r="A10966"/>
      <c r="B10966" s="72"/>
      <c r="E10966" s="72"/>
      <c r="F10966" s="76"/>
      <c r="G10966" s="24"/>
      <c r="H10966" s="49"/>
      <c r="K10966"/>
      <c r="L10966" s="73"/>
    </row>
    <row r="10967" spans="1:12" x14ac:dyDescent="0.3">
      <c r="A10967"/>
      <c r="B10967" s="72"/>
      <c r="E10967" s="72"/>
      <c r="F10967" s="76"/>
      <c r="G10967" s="24"/>
      <c r="H10967" s="49"/>
      <c r="K10967"/>
      <c r="L10967" s="73"/>
    </row>
    <row r="10968" spans="1:12" x14ac:dyDescent="0.3">
      <c r="A10968"/>
      <c r="B10968" s="72"/>
      <c r="E10968" s="72"/>
      <c r="F10968" s="76"/>
      <c r="G10968" s="24"/>
      <c r="H10968" s="49"/>
      <c r="K10968"/>
      <c r="L10968" s="73"/>
    </row>
    <row r="10969" spans="1:12" x14ac:dyDescent="0.3">
      <c r="A10969"/>
      <c r="B10969" s="72"/>
      <c r="E10969" s="72"/>
      <c r="F10969" s="76"/>
      <c r="G10969" s="24"/>
      <c r="H10969" s="49"/>
      <c r="K10969"/>
      <c r="L10969" s="73"/>
    </row>
    <row r="10970" spans="1:12" x14ac:dyDescent="0.3">
      <c r="A10970"/>
      <c r="B10970" s="72"/>
      <c r="C10970" s="88"/>
      <c r="E10970" s="72"/>
      <c r="H10970" s="49"/>
      <c r="K10970" s="48"/>
      <c r="L10970" s="89"/>
    </row>
    <row r="10971" spans="1:12" x14ac:dyDescent="0.3">
      <c r="A10971"/>
      <c r="B10971" s="72"/>
      <c r="C10971" s="88"/>
      <c r="E10971" s="72"/>
      <c r="H10971" s="49"/>
      <c r="K10971" s="48"/>
      <c r="L10971" s="89"/>
    </row>
    <row r="10972" spans="1:12" x14ac:dyDescent="0.3">
      <c r="A10972"/>
      <c r="B10972" s="72"/>
      <c r="C10972" s="88"/>
      <c r="E10972" s="72"/>
      <c r="H10972" s="49"/>
      <c r="K10972" s="48"/>
      <c r="L10972" s="89"/>
    </row>
    <row r="10973" spans="1:12" x14ac:dyDescent="0.3">
      <c r="A10973"/>
      <c r="B10973" s="72"/>
      <c r="C10973" s="88"/>
      <c r="E10973" s="72"/>
      <c r="H10973" s="49"/>
      <c r="K10973" s="48"/>
      <c r="L10973" s="89"/>
    </row>
    <row r="10974" spans="1:12" x14ac:dyDescent="0.3">
      <c r="A10974"/>
      <c r="B10974" s="72"/>
      <c r="C10974" s="88"/>
      <c r="E10974" s="72"/>
      <c r="H10974" s="49"/>
      <c r="K10974" s="48"/>
      <c r="L10974" s="89"/>
    </row>
    <row r="10975" spans="1:12" x14ac:dyDescent="0.3">
      <c r="A10975"/>
      <c r="B10975" s="72"/>
      <c r="C10975" s="88"/>
      <c r="E10975" s="72"/>
      <c r="H10975" s="49"/>
      <c r="K10975" s="48"/>
      <c r="L10975" s="89"/>
    </row>
    <row r="10976" spans="1:12" x14ac:dyDescent="0.3">
      <c r="A10976"/>
      <c r="B10976" s="72"/>
      <c r="C10976" s="88"/>
      <c r="E10976" s="72"/>
      <c r="H10976" s="49"/>
      <c r="K10976" s="48"/>
      <c r="L10976" s="89"/>
    </row>
    <row r="10977" spans="1:12" x14ac:dyDescent="0.3">
      <c r="A10977"/>
      <c r="B10977" s="72"/>
      <c r="C10977" s="88"/>
      <c r="E10977" s="72"/>
      <c r="H10977" s="49"/>
      <c r="K10977" s="48"/>
      <c r="L10977" s="89"/>
    </row>
    <row r="10978" spans="1:12" x14ac:dyDescent="0.3">
      <c r="A10978"/>
      <c r="B10978" s="72"/>
      <c r="C10978" s="88"/>
      <c r="E10978" s="72"/>
      <c r="H10978" s="49"/>
      <c r="K10978" s="48"/>
      <c r="L10978" s="89"/>
    </row>
    <row r="10979" spans="1:12" x14ac:dyDescent="0.3">
      <c r="A10979"/>
      <c r="B10979" s="72"/>
      <c r="C10979" s="88"/>
      <c r="E10979" s="72"/>
      <c r="H10979" s="49"/>
      <c r="K10979" s="48"/>
      <c r="L10979" s="89"/>
    </row>
    <row r="10980" spans="1:12" x14ac:dyDescent="0.3">
      <c r="A10980"/>
      <c r="B10980" s="72"/>
      <c r="C10980" s="88"/>
      <c r="E10980" s="72"/>
      <c r="H10980" s="49"/>
      <c r="K10980" s="48"/>
      <c r="L10980" s="89"/>
    </row>
    <row r="10981" spans="1:12" x14ac:dyDescent="0.3">
      <c r="A10981"/>
      <c r="B10981" s="72"/>
      <c r="C10981" s="88"/>
      <c r="E10981" s="72"/>
      <c r="H10981" s="49"/>
      <c r="K10981" s="48"/>
      <c r="L10981" s="89"/>
    </row>
    <row r="10982" spans="1:12" x14ac:dyDescent="0.3">
      <c r="A10982"/>
      <c r="B10982" s="72"/>
      <c r="C10982" s="88"/>
      <c r="E10982" s="72"/>
      <c r="H10982" s="49"/>
      <c r="K10982" s="48"/>
      <c r="L10982" s="89"/>
    </row>
    <row r="10983" spans="1:12" x14ac:dyDescent="0.3">
      <c r="A10983"/>
      <c r="B10983" s="72"/>
      <c r="C10983" s="88"/>
      <c r="E10983" s="72"/>
      <c r="H10983" s="49"/>
      <c r="K10983" s="48"/>
      <c r="L10983" s="89"/>
    </row>
    <row r="10984" spans="1:12" x14ac:dyDescent="0.3">
      <c r="A10984"/>
      <c r="B10984" s="72"/>
      <c r="C10984" s="88"/>
      <c r="E10984" s="72"/>
      <c r="H10984" s="49"/>
      <c r="K10984" s="48"/>
      <c r="L10984" s="89"/>
    </row>
    <row r="10985" spans="1:12" x14ac:dyDescent="0.3">
      <c r="A10985"/>
      <c r="B10985" s="72"/>
      <c r="C10985" s="88"/>
      <c r="E10985" s="72"/>
      <c r="H10985" s="49"/>
      <c r="K10985" s="48"/>
      <c r="L10985" s="89"/>
    </row>
    <row r="10986" spans="1:12" x14ac:dyDescent="0.3">
      <c r="A10986"/>
      <c r="B10986" s="72"/>
      <c r="C10986" s="88"/>
      <c r="E10986" s="72"/>
      <c r="H10986" s="49"/>
      <c r="K10986" s="48"/>
      <c r="L10986" s="89"/>
    </row>
    <row r="10987" spans="1:12" x14ac:dyDescent="0.3">
      <c r="A10987"/>
      <c r="B10987" s="72"/>
      <c r="C10987" s="88"/>
      <c r="E10987" s="72"/>
      <c r="H10987" s="49"/>
      <c r="K10987" s="48"/>
      <c r="L10987" s="89"/>
    </row>
    <row r="10988" spans="1:12" x14ac:dyDescent="0.3">
      <c r="A10988"/>
      <c r="B10988" s="72"/>
      <c r="C10988" s="88"/>
      <c r="E10988" s="72"/>
      <c r="H10988" s="49"/>
      <c r="K10988" s="48"/>
      <c r="L10988" s="89"/>
    </row>
    <row r="10989" spans="1:12" x14ac:dyDescent="0.3">
      <c r="A10989"/>
      <c r="B10989" s="72"/>
      <c r="C10989" s="88"/>
      <c r="E10989" s="72"/>
      <c r="H10989" s="49"/>
      <c r="K10989" s="48"/>
      <c r="L10989" s="89"/>
    </row>
    <row r="10990" spans="1:12" x14ac:dyDescent="0.3">
      <c r="A10990"/>
      <c r="B10990" s="72"/>
      <c r="C10990" s="88"/>
      <c r="E10990" s="72"/>
      <c r="H10990" s="49"/>
      <c r="K10990" s="48"/>
      <c r="L10990" s="89"/>
    </row>
    <row r="10991" spans="1:12" x14ac:dyDescent="0.3">
      <c r="A10991"/>
      <c r="B10991" s="72"/>
      <c r="C10991" s="88"/>
      <c r="E10991" s="72"/>
      <c r="H10991" s="49"/>
      <c r="K10991" s="48"/>
      <c r="L10991" s="89"/>
    </row>
    <row r="10992" spans="1:12" x14ac:dyDescent="0.3">
      <c r="A10992"/>
      <c r="B10992" s="72"/>
      <c r="C10992" s="88"/>
      <c r="E10992" s="72"/>
      <c r="H10992" s="49"/>
      <c r="K10992" s="48"/>
      <c r="L10992" s="89"/>
    </row>
    <row r="10993" spans="1:12" x14ac:dyDescent="0.3">
      <c r="A10993"/>
      <c r="B10993" s="72"/>
      <c r="C10993" s="88"/>
      <c r="E10993" s="72"/>
      <c r="H10993" s="49"/>
      <c r="K10993" s="48"/>
      <c r="L10993" s="89"/>
    </row>
    <row r="10994" spans="1:12" x14ac:dyDescent="0.3">
      <c r="A10994"/>
      <c r="B10994" s="72"/>
      <c r="C10994" s="88"/>
      <c r="E10994" s="72"/>
      <c r="H10994" s="49"/>
      <c r="K10994" s="48"/>
      <c r="L10994" s="89"/>
    </row>
    <row r="10995" spans="1:12" x14ac:dyDescent="0.3">
      <c r="A10995"/>
      <c r="B10995" s="72"/>
      <c r="C10995" s="88"/>
      <c r="E10995" s="72"/>
      <c r="H10995" s="49"/>
      <c r="K10995" s="48"/>
      <c r="L10995" s="89"/>
    </row>
    <row r="10996" spans="1:12" x14ac:dyDescent="0.3">
      <c r="A10996"/>
      <c r="B10996" s="72"/>
      <c r="C10996" s="88"/>
      <c r="E10996" s="72"/>
      <c r="H10996" s="49"/>
      <c r="K10996" s="48"/>
      <c r="L10996" s="89"/>
    </row>
    <row r="10997" spans="1:12" x14ac:dyDescent="0.3">
      <c r="A10997"/>
      <c r="B10997" s="72"/>
      <c r="C10997" s="88"/>
      <c r="E10997" s="72"/>
      <c r="H10997" s="49"/>
      <c r="K10997" s="48"/>
      <c r="L10997" s="89"/>
    </row>
    <row r="10998" spans="1:12" x14ac:dyDescent="0.3">
      <c r="A10998"/>
      <c r="B10998" s="72"/>
      <c r="C10998" s="88"/>
      <c r="E10998" s="72"/>
      <c r="H10998" s="49"/>
      <c r="K10998" s="48"/>
      <c r="L10998" s="89"/>
    </row>
    <row r="10999" spans="1:12" x14ac:dyDescent="0.3">
      <c r="A10999"/>
      <c r="B10999" s="72"/>
      <c r="C10999" s="88"/>
      <c r="E10999" s="72"/>
      <c r="H10999" s="49"/>
      <c r="K10999" s="48"/>
      <c r="L10999" s="89"/>
    </row>
    <row r="11000" spans="1:12" x14ac:dyDescent="0.3">
      <c r="A11000"/>
      <c r="B11000" s="72"/>
      <c r="C11000" s="88"/>
      <c r="E11000" s="72"/>
      <c r="H11000" s="49"/>
      <c r="K11000" s="48"/>
      <c r="L11000" s="89"/>
    </row>
    <row r="11001" spans="1:12" x14ac:dyDescent="0.3">
      <c r="A11001"/>
      <c r="B11001" s="72"/>
      <c r="C11001" s="88"/>
      <c r="E11001" s="72"/>
      <c r="H11001" s="49"/>
      <c r="K11001" s="48"/>
      <c r="L11001" s="89"/>
    </row>
    <row r="11002" spans="1:12" x14ac:dyDescent="0.3">
      <c r="A11002"/>
      <c r="B11002" s="72"/>
      <c r="C11002" s="88"/>
      <c r="E11002" s="72"/>
      <c r="H11002" s="49"/>
      <c r="K11002" s="48"/>
      <c r="L11002" s="89"/>
    </row>
    <row r="11003" spans="1:12" x14ac:dyDescent="0.3">
      <c r="A11003"/>
      <c r="B11003" s="72"/>
      <c r="C11003" s="88"/>
      <c r="E11003" s="72"/>
      <c r="H11003" s="49"/>
      <c r="K11003" s="48"/>
      <c r="L11003" s="89"/>
    </row>
    <row r="11004" spans="1:12" x14ac:dyDescent="0.3">
      <c r="A11004"/>
      <c r="B11004" s="72"/>
      <c r="C11004" s="88"/>
      <c r="E11004" s="72"/>
      <c r="H11004" s="49"/>
      <c r="K11004" s="48"/>
      <c r="L11004" s="89"/>
    </row>
    <row r="11005" spans="1:12" x14ac:dyDescent="0.3">
      <c r="A11005"/>
      <c r="B11005" s="72"/>
      <c r="C11005" s="88"/>
      <c r="E11005" s="72"/>
      <c r="H11005" s="49"/>
      <c r="K11005" s="48"/>
      <c r="L11005" s="89"/>
    </row>
    <row r="11006" spans="1:12" x14ac:dyDescent="0.3">
      <c r="A11006"/>
      <c r="B11006" s="72"/>
      <c r="C11006" s="88"/>
      <c r="E11006" s="72"/>
      <c r="H11006" s="49"/>
      <c r="K11006" s="48"/>
      <c r="L11006" s="89"/>
    </row>
    <row r="11007" spans="1:12" x14ac:dyDescent="0.3">
      <c r="A11007"/>
      <c r="B11007" s="72"/>
      <c r="C11007" s="88"/>
      <c r="E11007" s="72"/>
      <c r="H11007" s="49"/>
      <c r="K11007" s="48"/>
      <c r="L11007" s="89"/>
    </row>
    <row r="11008" spans="1:12" x14ac:dyDescent="0.3">
      <c r="A11008"/>
      <c r="B11008" s="72"/>
      <c r="C11008" s="88"/>
      <c r="E11008" s="72"/>
      <c r="H11008" s="49"/>
      <c r="K11008" s="48"/>
      <c r="L11008" s="89"/>
    </row>
    <row r="11009" spans="1:12" x14ac:dyDescent="0.3">
      <c r="A11009"/>
      <c r="B11009" s="72"/>
      <c r="C11009" s="88"/>
      <c r="E11009" s="72"/>
      <c r="H11009" s="49"/>
      <c r="K11009" s="48"/>
      <c r="L11009" s="89"/>
    </row>
    <row r="11010" spans="1:12" x14ac:dyDescent="0.3">
      <c r="A11010"/>
      <c r="B11010" s="72"/>
      <c r="C11010" s="88"/>
      <c r="E11010" s="72"/>
      <c r="H11010" s="49"/>
      <c r="K11010" s="48"/>
      <c r="L11010" s="89"/>
    </row>
    <row r="11011" spans="1:12" x14ac:dyDescent="0.3">
      <c r="A11011"/>
      <c r="B11011" s="72"/>
      <c r="C11011" s="88"/>
      <c r="E11011" s="72"/>
      <c r="H11011" s="49"/>
      <c r="K11011" s="48"/>
      <c r="L11011" s="89"/>
    </row>
    <row r="11012" spans="1:12" x14ac:dyDescent="0.3">
      <c r="A11012"/>
      <c r="B11012" s="72"/>
      <c r="C11012" s="88"/>
      <c r="E11012" s="72"/>
      <c r="H11012" s="49"/>
      <c r="K11012" s="48"/>
      <c r="L11012" s="89"/>
    </row>
    <row r="11013" spans="1:12" x14ac:dyDescent="0.3">
      <c r="A11013"/>
      <c r="B11013" s="72"/>
      <c r="C11013" s="88"/>
      <c r="E11013" s="72"/>
      <c r="H11013" s="49"/>
      <c r="K11013" s="48"/>
      <c r="L11013" s="89"/>
    </row>
    <row r="11014" spans="1:12" x14ac:dyDescent="0.3">
      <c r="A11014"/>
      <c r="B11014" s="72"/>
      <c r="C11014" s="88"/>
      <c r="E11014" s="72"/>
      <c r="H11014" s="49"/>
      <c r="K11014" s="48"/>
      <c r="L11014" s="89"/>
    </row>
    <row r="11015" spans="1:12" x14ac:dyDescent="0.3">
      <c r="A11015"/>
      <c r="B11015" s="72"/>
      <c r="C11015" s="88"/>
      <c r="E11015" s="72"/>
      <c r="H11015" s="49"/>
      <c r="K11015" s="48"/>
      <c r="L11015" s="89"/>
    </row>
    <row r="11016" spans="1:12" x14ac:dyDescent="0.3">
      <c r="A11016"/>
      <c r="B11016" s="72"/>
      <c r="C11016" s="88"/>
      <c r="E11016" s="72"/>
      <c r="H11016" s="49"/>
      <c r="K11016" s="48"/>
      <c r="L11016" s="89"/>
    </row>
    <row r="11017" spans="1:12" x14ac:dyDescent="0.3">
      <c r="A11017"/>
      <c r="B11017" s="72"/>
      <c r="C11017" s="88"/>
      <c r="E11017" s="72"/>
      <c r="H11017" s="49"/>
      <c r="K11017" s="48"/>
      <c r="L11017" s="89"/>
    </row>
    <row r="11018" spans="1:12" x14ac:dyDescent="0.3">
      <c r="A11018"/>
      <c r="B11018" s="72"/>
      <c r="C11018" s="88"/>
      <c r="E11018" s="72"/>
      <c r="H11018" s="49"/>
      <c r="K11018" s="48"/>
      <c r="L11018" s="89"/>
    </row>
    <row r="11019" spans="1:12" x14ac:dyDescent="0.3">
      <c r="A11019"/>
      <c r="B11019" s="72"/>
      <c r="C11019" s="88"/>
      <c r="E11019" s="72"/>
      <c r="H11019" s="49"/>
      <c r="K11019" s="48"/>
      <c r="L11019" s="89"/>
    </row>
    <row r="11020" spans="1:12" x14ac:dyDescent="0.3">
      <c r="A11020"/>
      <c r="B11020" s="72"/>
      <c r="C11020" s="88"/>
      <c r="E11020" s="72"/>
      <c r="H11020" s="49"/>
      <c r="K11020" s="48"/>
      <c r="L11020" s="89"/>
    </row>
    <row r="11021" spans="1:12" x14ac:dyDescent="0.3">
      <c r="A11021"/>
      <c r="B11021" s="72"/>
      <c r="C11021" s="88"/>
      <c r="E11021" s="72"/>
      <c r="H11021" s="49"/>
      <c r="K11021" s="48"/>
      <c r="L11021" s="89"/>
    </row>
    <row r="11022" spans="1:12" x14ac:dyDescent="0.3">
      <c r="A11022"/>
      <c r="B11022" s="72"/>
      <c r="C11022" s="88"/>
      <c r="E11022" s="72"/>
      <c r="H11022" s="49"/>
      <c r="K11022" s="48"/>
      <c r="L11022" s="89"/>
    </row>
    <row r="11023" spans="1:12" x14ac:dyDescent="0.3">
      <c r="A11023"/>
      <c r="B11023" s="72"/>
      <c r="C11023" s="88"/>
      <c r="E11023" s="72"/>
      <c r="H11023" s="49"/>
      <c r="K11023" s="48"/>
      <c r="L11023" s="89"/>
    </row>
    <row r="11024" spans="1:12" x14ac:dyDescent="0.3">
      <c r="A11024"/>
      <c r="B11024" s="72"/>
      <c r="C11024" s="88"/>
      <c r="E11024" s="72"/>
      <c r="H11024" s="49"/>
      <c r="K11024" s="48"/>
      <c r="L11024" s="89"/>
    </row>
    <row r="11025" spans="1:12" x14ac:dyDescent="0.3">
      <c r="A11025"/>
      <c r="B11025" s="72"/>
      <c r="C11025" s="88"/>
      <c r="E11025" s="72"/>
      <c r="H11025" s="49"/>
      <c r="K11025" s="48"/>
      <c r="L11025" s="89"/>
    </row>
    <row r="11026" spans="1:12" x14ac:dyDescent="0.3">
      <c r="A11026"/>
      <c r="B11026" s="72"/>
      <c r="C11026" s="88"/>
      <c r="E11026" s="72"/>
      <c r="H11026" s="49"/>
      <c r="K11026" s="48"/>
      <c r="L11026" s="89"/>
    </row>
    <row r="11027" spans="1:12" x14ac:dyDescent="0.3">
      <c r="A11027"/>
      <c r="B11027" s="72"/>
      <c r="C11027" s="88"/>
      <c r="E11027" s="72"/>
      <c r="H11027" s="49"/>
      <c r="K11027" s="48"/>
      <c r="L11027" s="89"/>
    </row>
    <row r="11028" spans="1:12" x14ac:dyDescent="0.3">
      <c r="A11028"/>
      <c r="B11028" s="72"/>
      <c r="C11028" s="88"/>
      <c r="E11028" s="72"/>
      <c r="H11028" s="49"/>
      <c r="K11028" s="48"/>
      <c r="L11028" s="89"/>
    </row>
    <row r="11029" spans="1:12" x14ac:dyDescent="0.3">
      <c r="A11029"/>
      <c r="B11029" s="72"/>
      <c r="C11029" s="88"/>
      <c r="E11029" s="72"/>
      <c r="H11029" s="49"/>
      <c r="K11029" s="48"/>
      <c r="L11029" s="89"/>
    </row>
    <row r="11030" spans="1:12" x14ac:dyDescent="0.3">
      <c r="A11030"/>
      <c r="B11030" s="72"/>
      <c r="C11030" s="88"/>
      <c r="E11030" s="72"/>
      <c r="H11030" s="49"/>
      <c r="K11030" s="48"/>
      <c r="L11030" s="89"/>
    </row>
    <row r="11031" spans="1:12" x14ac:dyDescent="0.3">
      <c r="A11031"/>
      <c r="B11031" s="72"/>
      <c r="C11031" s="88"/>
      <c r="E11031" s="72"/>
      <c r="H11031" s="49"/>
      <c r="K11031" s="48"/>
      <c r="L11031" s="89"/>
    </row>
    <row r="11032" spans="1:12" x14ac:dyDescent="0.3">
      <c r="A11032"/>
      <c r="B11032" s="72"/>
      <c r="C11032" s="88"/>
      <c r="E11032" s="72"/>
      <c r="H11032" s="49"/>
      <c r="K11032" s="48"/>
      <c r="L11032" s="89"/>
    </row>
    <row r="11033" spans="1:12" x14ac:dyDescent="0.3">
      <c r="A11033"/>
      <c r="B11033" s="72"/>
      <c r="C11033" s="88"/>
      <c r="E11033" s="72"/>
      <c r="H11033" s="49"/>
      <c r="K11033" s="48"/>
      <c r="L11033" s="89"/>
    </row>
    <row r="11034" spans="1:12" x14ac:dyDescent="0.3">
      <c r="A11034"/>
      <c r="B11034" s="72"/>
      <c r="C11034" s="88"/>
      <c r="E11034" s="72"/>
      <c r="H11034" s="49"/>
      <c r="K11034" s="48"/>
      <c r="L11034" s="89"/>
    </row>
    <row r="11035" spans="1:12" x14ac:dyDescent="0.3">
      <c r="A11035"/>
      <c r="B11035" s="72"/>
      <c r="C11035" s="88"/>
      <c r="E11035" s="72"/>
      <c r="H11035" s="49"/>
      <c r="K11035" s="48"/>
      <c r="L11035" s="89"/>
    </row>
    <row r="11036" spans="1:12" x14ac:dyDescent="0.3">
      <c r="A11036"/>
      <c r="B11036" s="72"/>
      <c r="C11036" s="88"/>
      <c r="E11036" s="72"/>
      <c r="H11036" s="49"/>
      <c r="K11036" s="48"/>
      <c r="L11036" s="89"/>
    </row>
    <row r="11037" spans="1:12" x14ac:dyDescent="0.3">
      <c r="A11037"/>
      <c r="B11037" s="72"/>
      <c r="C11037" s="88"/>
      <c r="E11037" s="72"/>
      <c r="H11037" s="49"/>
      <c r="K11037" s="48"/>
      <c r="L11037" s="89"/>
    </row>
    <row r="11038" spans="1:12" x14ac:dyDescent="0.3">
      <c r="A11038"/>
      <c r="B11038" s="72"/>
      <c r="C11038" s="88"/>
      <c r="E11038" s="72"/>
      <c r="H11038" s="49"/>
      <c r="K11038" s="48"/>
      <c r="L11038" s="89"/>
    </row>
    <row r="11039" spans="1:12" x14ac:dyDescent="0.3">
      <c r="A11039"/>
      <c r="B11039" s="72"/>
      <c r="C11039" s="88"/>
      <c r="E11039" s="72"/>
      <c r="H11039" s="49"/>
      <c r="K11039" s="48"/>
      <c r="L11039" s="89"/>
    </row>
    <row r="11040" spans="1:12" x14ac:dyDescent="0.3">
      <c r="A11040"/>
      <c r="B11040" s="72"/>
      <c r="C11040" s="88"/>
      <c r="E11040" s="72"/>
      <c r="H11040" s="49"/>
      <c r="K11040" s="48"/>
      <c r="L11040" s="89"/>
    </row>
    <row r="11041" spans="1:12" x14ac:dyDescent="0.3">
      <c r="A11041"/>
      <c r="B11041" s="72"/>
      <c r="C11041" s="88"/>
      <c r="E11041" s="72"/>
      <c r="H11041" s="49"/>
      <c r="K11041" s="48"/>
      <c r="L11041" s="89"/>
    </row>
    <row r="11042" spans="1:12" x14ac:dyDescent="0.3">
      <c r="A11042"/>
      <c r="B11042" s="72"/>
      <c r="C11042" s="88"/>
      <c r="E11042" s="72"/>
      <c r="H11042" s="49"/>
      <c r="K11042" s="48"/>
      <c r="L11042" s="89"/>
    </row>
    <row r="11043" spans="1:12" x14ac:dyDescent="0.3">
      <c r="A11043"/>
      <c r="B11043" s="72"/>
      <c r="C11043" s="88"/>
      <c r="E11043" s="72"/>
      <c r="H11043" s="49"/>
      <c r="K11043" s="48"/>
      <c r="L11043" s="89"/>
    </row>
    <row r="11044" spans="1:12" x14ac:dyDescent="0.3">
      <c r="A11044"/>
      <c r="B11044" s="72"/>
      <c r="C11044" s="88"/>
      <c r="E11044" s="72"/>
      <c r="H11044" s="49"/>
      <c r="K11044" s="48"/>
      <c r="L11044" s="89"/>
    </row>
    <row r="11045" spans="1:12" x14ac:dyDescent="0.3">
      <c r="A11045"/>
      <c r="B11045" s="72"/>
      <c r="C11045" s="88"/>
      <c r="E11045" s="72"/>
      <c r="H11045" s="49"/>
      <c r="K11045" s="48"/>
      <c r="L11045" s="89"/>
    </row>
    <row r="11046" spans="1:12" x14ac:dyDescent="0.3">
      <c r="A11046"/>
      <c r="B11046" s="72"/>
      <c r="C11046" s="88"/>
      <c r="E11046" s="72"/>
      <c r="H11046" s="49"/>
      <c r="K11046" s="48"/>
      <c r="L11046" s="89"/>
    </row>
    <row r="11047" spans="1:12" x14ac:dyDescent="0.3">
      <c r="A11047"/>
      <c r="B11047" s="72"/>
      <c r="C11047" s="88"/>
      <c r="E11047" s="72"/>
      <c r="H11047" s="49"/>
      <c r="K11047" s="48"/>
      <c r="L11047" s="89"/>
    </row>
    <row r="11048" spans="1:12" x14ac:dyDescent="0.3">
      <c r="A11048"/>
      <c r="B11048" s="72"/>
      <c r="C11048" s="88"/>
      <c r="E11048" s="72"/>
      <c r="H11048" s="49"/>
      <c r="K11048" s="48"/>
      <c r="L11048" s="89"/>
    </row>
    <row r="11049" spans="1:12" x14ac:dyDescent="0.3">
      <c r="A11049"/>
      <c r="B11049" s="72"/>
      <c r="C11049" s="88"/>
      <c r="E11049" s="72"/>
      <c r="H11049" s="49"/>
      <c r="K11049" s="48"/>
      <c r="L11049" s="89"/>
    </row>
    <row r="11050" spans="1:12" x14ac:dyDescent="0.3">
      <c r="A11050"/>
      <c r="B11050" s="72"/>
      <c r="C11050" s="88"/>
      <c r="E11050" s="72"/>
      <c r="H11050" s="49"/>
      <c r="K11050" s="48"/>
      <c r="L11050" s="89"/>
    </row>
    <row r="11051" spans="1:12" x14ac:dyDescent="0.3">
      <c r="A11051"/>
      <c r="B11051" s="72"/>
      <c r="C11051" s="88"/>
      <c r="E11051" s="72"/>
      <c r="H11051" s="49"/>
      <c r="K11051" s="48"/>
      <c r="L11051" s="89"/>
    </row>
    <row r="11052" spans="1:12" x14ac:dyDescent="0.3">
      <c r="A11052"/>
      <c r="B11052" s="72"/>
      <c r="C11052" s="88"/>
      <c r="E11052" s="72"/>
      <c r="H11052" s="49"/>
      <c r="K11052" s="48"/>
      <c r="L11052" s="89"/>
    </row>
    <row r="11053" spans="1:12" x14ac:dyDescent="0.3">
      <c r="A11053"/>
      <c r="B11053" s="72"/>
      <c r="C11053" s="88"/>
      <c r="E11053" s="72"/>
      <c r="H11053" s="49"/>
      <c r="K11053" s="48"/>
      <c r="L11053" s="89"/>
    </row>
    <row r="11054" spans="1:12" x14ac:dyDescent="0.3">
      <c r="A11054"/>
      <c r="B11054" s="72"/>
      <c r="C11054" s="88"/>
      <c r="E11054" s="72"/>
      <c r="H11054" s="49"/>
      <c r="K11054" s="48"/>
      <c r="L11054" s="89"/>
    </row>
    <row r="11055" spans="1:12" x14ac:dyDescent="0.3">
      <c r="A11055"/>
      <c r="B11055" s="72"/>
      <c r="C11055" s="88"/>
      <c r="E11055" s="72"/>
      <c r="H11055" s="49"/>
      <c r="K11055" s="48"/>
      <c r="L11055" s="89"/>
    </row>
    <row r="11056" spans="1:12" x14ac:dyDescent="0.3">
      <c r="A11056"/>
      <c r="B11056" s="72"/>
      <c r="C11056" s="88"/>
      <c r="E11056" s="72"/>
      <c r="H11056" s="49"/>
      <c r="K11056" s="48"/>
      <c r="L11056" s="89"/>
    </row>
    <row r="11057" spans="1:12" x14ac:dyDescent="0.3">
      <c r="A11057"/>
      <c r="B11057" s="72"/>
      <c r="C11057" s="88"/>
      <c r="E11057" s="72"/>
      <c r="H11057" s="49"/>
      <c r="K11057" s="48"/>
      <c r="L11057" s="89"/>
    </row>
    <row r="11058" spans="1:12" x14ac:dyDescent="0.3">
      <c r="A11058"/>
      <c r="B11058" s="72"/>
      <c r="C11058" s="88"/>
      <c r="E11058" s="72"/>
      <c r="H11058" s="49"/>
      <c r="K11058" s="48"/>
      <c r="L11058" s="89"/>
    </row>
    <row r="11059" spans="1:12" x14ac:dyDescent="0.3">
      <c r="A11059"/>
      <c r="B11059" s="72"/>
      <c r="C11059" s="88"/>
      <c r="E11059" s="72"/>
      <c r="H11059" s="49"/>
      <c r="K11059" s="48"/>
      <c r="L11059" s="89"/>
    </row>
    <row r="11060" spans="1:12" x14ac:dyDescent="0.3">
      <c r="A11060"/>
      <c r="B11060" s="72"/>
      <c r="C11060" s="88"/>
      <c r="E11060" s="72"/>
      <c r="H11060" s="49"/>
      <c r="K11060" s="48"/>
      <c r="L11060" s="89"/>
    </row>
    <row r="11061" spans="1:12" x14ac:dyDescent="0.3">
      <c r="A11061"/>
      <c r="B11061" s="72"/>
      <c r="C11061" s="88"/>
      <c r="E11061" s="72"/>
      <c r="H11061" s="49"/>
      <c r="K11061" s="48"/>
      <c r="L11061" s="89"/>
    </row>
    <row r="11062" spans="1:12" x14ac:dyDescent="0.3">
      <c r="A11062"/>
      <c r="B11062" s="72"/>
      <c r="C11062" s="88"/>
      <c r="E11062" s="72"/>
      <c r="H11062" s="49"/>
      <c r="K11062" s="48"/>
      <c r="L11062" s="89"/>
    </row>
    <row r="11063" spans="1:12" x14ac:dyDescent="0.3">
      <c r="A11063"/>
      <c r="B11063" s="72"/>
      <c r="C11063" s="88"/>
      <c r="E11063" s="72"/>
      <c r="H11063" s="49"/>
      <c r="K11063" s="48"/>
      <c r="L11063" s="89"/>
    </row>
    <row r="11064" spans="1:12" x14ac:dyDescent="0.3">
      <c r="A11064"/>
      <c r="B11064" s="72"/>
      <c r="C11064" s="88"/>
      <c r="E11064" s="72"/>
      <c r="H11064" s="49"/>
      <c r="K11064" s="48"/>
      <c r="L11064" s="89"/>
    </row>
    <row r="11065" spans="1:12" x14ac:dyDescent="0.3">
      <c r="A11065"/>
      <c r="B11065" s="72"/>
      <c r="C11065" s="88"/>
      <c r="E11065" s="72"/>
      <c r="H11065" s="49"/>
      <c r="K11065" s="48"/>
      <c r="L11065" s="89"/>
    </row>
    <row r="11066" spans="1:12" x14ac:dyDescent="0.3">
      <c r="A11066"/>
      <c r="B11066" s="72"/>
      <c r="C11066" s="88"/>
      <c r="E11066" s="72"/>
      <c r="H11066" s="49"/>
      <c r="K11066" s="48"/>
      <c r="L11066" s="89"/>
    </row>
    <row r="11067" spans="1:12" x14ac:dyDescent="0.3">
      <c r="A11067"/>
      <c r="B11067" s="72"/>
      <c r="C11067" s="88"/>
      <c r="E11067" s="72"/>
      <c r="H11067" s="49"/>
      <c r="K11067" s="48"/>
      <c r="L11067" s="89"/>
    </row>
    <row r="11068" spans="1:12" x14ac:dyDescent="0.3">
      <c r="A11068"/>
      <c r="B11068" s="72"/>
      <c r="C11068" s="88"/>
      <c r="E11068" s="72"/>
      <c r="H11068" s="49"/>
      <c r="K11068" s="48"/>
      <c r="L11068" s="89"/>
    </row>
    <row r="11069" spans="1:12" x14ac:dyDescent="0.3">
      <c r="A11069"/>
      <c r="B11069" s="72"/>
      <c r="C11069" s="88"/>
      <c r="E11069" s="72"/>
      <c r="H11069" s="49"/>
      <c r="K11069" s="48"/>
      <c r="L11069" s="89"/>
    </row>
    <row r="11070" spans="1:12" x14ac:dyDescent="0.3">
      <c r="A11070"/>
      <c r="B11070" s="72"/>
      <c r="C11070" s="88"/>
      <c r="E11070" s="72"/>
      <c r="H11070" s="49"/>
      <c r="K11070" s="48"/>
      <c r="L11070" s="89"/>
    </row>
    <row r="11071" spans="1:12" x14ac:dyDescent="0.3">
      <c r="A11071"/>
      <c r="B11071" s="72"/>
      <c r="C11071" s="88"/>
      <c r="E11071" s="72"/>
      <c r="H11071" s="49"/>
      <c r="K11071" s="48"/>
      <c r="L11071" s="89"/>
    </row>
    <row r="11072" spans="1:12" x14ac:dyDescent="0.3">
      <c r="A11072"/>
      <c r="B11072" s="72"/>
      <c r="C11072" s="88"/>
      <c r="E11072" s="72"/>
      <c r="H11072" s="49"/>
      <c r="K11072" s="48"/>
      <c r="L11072" s="89"/>
    </row>
    <row r="11073" spans="1:12" x14ac:dyDescent="0.3">
      <c r="A11073"/>
      <c r="B11073" s="72"/>
      <c r="C11073" s="88"/>
      <c r="E11073" s="72"/>
      <c r="H11073" s="49"/>
      <c r="K11073" s="48"/>
      <c r="L11073" s="89"/>
    </row>
    <row r="11074" spans="1:12" x14ac:dyDescent="0.3">
      <c r="A11074"/>
      <c r="B11074" s="72"/>
      <c r="C11074" s="88"/>
      <c r="E11074" s="72"/>
      <c r="H11074" s="49"/>
      <c r="K11074" s="48"/>
      <c r="L11074" s="89"/>
    </row>
    <row r="11075" spans="1:12" x14ac:dyDescent="0.3">
      <c r="A11075"/>
      <c r="B11075" s="72"/>
      <c r="C11075" s="88"/>
      <c r="E11075" s="72"/>
      <c r="H11075" s="49"/>
      <c r="K11075" s="48"/>
      <c r="L11075" s="89"/>
    </row>
    <row r="11076" spans="1:12" x14ac:dyDescent="0.3">
      <c r="A11076"/>
      <c r="B11076" s="72"/>
      <c r="C11076" s="88"/>
      <c r="E11076" s="72"/>
      <c r="H11076" s="49"/>
      <c r="K11076" s="48"/>
      <c r="L11076" s="89"/>
    </row>
    <row r="11077" spans="1:12" x14ac:dyDescent="0.3">
      <c r="A11077"/>
      <c r="B11077" s="72"/>
      <c r="C11077" s="88"/>
      <c r="E11077" s="72"/>
      <c r="H11077" s="49"/>
      <c r="K11077" s="48"/>
      <c r="L11077" s="89"/>
    </row>
    <row r="11078" spans="1:12" x14ac:dyDescent="0.3">
      <c r="A11078"/>
      <c r="B11078" s="72"/>
      <c r="C11078" s="88"/>
      <c r="E11078" s="72"/>
      <c r="H11078" s="49"/>
      <c r="K11078" s="48"/>
      <c r="L11078" s="89"/>
    </row>
    <row r="11079" spans="1:12" x14ac:dyDescent="0.3">
      <c r="A11079"/>
      <c r="B11079" s="72"/>
      <c r="C11079" s="88"/>
      <c r="E11079" s="72"/>
      <c r="H11079" s="49"/>
      <c r="K11079" s="48"/>
      <c r="L11079" s="89"/>
    </row>
    <row r="11080" spans="1:12" x14ac:dyDescent="0.3">
      <c r="A11080"/>
      <c r="B11080" s="72"/>
      <c r="C11080" s="88"/>
      <c r="E11080" s="72"/>
      <c r="H11080" s="49"/>
      <c r="K11080" s="48"/>
      <c r="L11080" s="89"/>
    </row>
    <row r="11081" spans="1:12" x14ac:dyDescent="0.3">
      <c r="A11081"/>
      <c r="B11081" s="72"/>
      <c r="C11081" s="88"/>
      <c r="E11081" s="72"/>
      <c r="H11081" s="49"/>
      <c r="K11081" s="48"/>
      <c r="L11081" s="89"/>
    </row>
    <row r="11082" spans="1:12" x14ac:dyDescent="0.3">
      <c r="A11082"/>
      <c r="B11082" s="72"/>
      <c r="C11082" s="88"/>
      <c r="E11082" s="72"/>
      <c r="H11082" s="49"/>
      <c r="K11082" s="48"/>
      <c r="L11082" s="89"/>
    </row>
    <row r="11083" spans="1:12" x14ac:dyDescent="0.3">
      <c r="A11083"/>
      <c r="B11083" s="72"/>
      <c r="C11083" s="88"/>
      <c r="E11083" s="72"/>
      <c r="H11083" s="49"/>
      <c r="K11083" s="48"/>
      <c r="L11083" s="89"/>
    </row>
    <row r="11084" spans="1:12" x14ac:dyDescent="0.3">
      <c r="A11084"/>
      <c r="B11084" s="72"/>
      <c r="C11084" s="88"/>
      <c r="E11084" s="72"/>
      <c r="H11084" s="49"/>
      <c r="K11084" s="48"/>
      <c r="L11084" s="89"/>
    </row>
    <row r="11085" spans="1:12" x14ac:dyDescent="0.3">
      <c r="A11085"/>
      <c r="B11085" s="72"/>
      <c r="C11085" s="88"/>
      <c r="E11085" s="72"/>
      <c r="H11085" s="49"/>
      <c r="K11085" s="48"/>
      <c r="L11085" s="89"/>
    </row>
    <row r="11086" spans="1:12" x14ac:dyDescent="0.3">
      <c r="A11086"/>
      <c r="B11086" s="72"/>
      <c r="C11086" s="88"/>
      <c r="E11086" s="72"/>
      <c r="H11086" s="49"/>
      <c r="K11086" s="48"/>
      <c r="L11086" s="89"/>
    </row>
    <row r="11087" spans="1:12" x14ac:dyDescent="0.3">
      <c r="A11087"/>
      <c r="B11087" s="72"/>
      <c r="C11087" s="88"/>
      <c r="E11087" s="72"/>
      <c r="H11087" s="49"/>
      <c r="K11087" s="48"/>
      <c r="L11087" s="89"/>
    </row>
    <row r="11088" spans="1:12" x14ac:dyDescent="0.3">
      <c r="A11088"/>
      <c r="B11088" s="72"/>
      <c r="C11088" s="88"/>
      <c r="E11088" s="72"/>
      <c r="H11088" s="49"/>
      <c r="K11088" s="48"/>
      <c r="L11088" s="89"/>
    </row>
    <row r="11089" spans="1:12" x14ac:dyDescent="0.3">
      <c r="A11089"/>
      <c r="B11089" s="72"/>
      <c r="C11089" s="88"/>
      <c r="E11089" s="72"/>
      <c r="H11089" s="49"/>
      <c r="K11089" s="48"/>
      <c r="L11089" s="89"/>
    </row>
    <row r="11090" spans="1:12" x14ac:dyDescent="0.3">
      <c r="A11090"/>
      <c r="B11090" s="72"/>
      <c r="C11090" s="88"/>
      <c r="E11090" s="72"/>
      <c r="H11090" s="49"/>
      <c r="K11090" s="48"/>
      <c r="L11090" s="89"/>
    </row>
    <row r="11091" spans="1:12" x14ac:dyDescent="0.3">
      <c r="A11091"/>
      <c r="B11091" s="72"/>
      <c r="C11091" s="88"/>
      <c r="E11091" s="72"/>
      <c r="H11091" s="49"/>
      <c r="K11091" s="48"/>
      <c r="L11091" s="89"/>
    </row>
    <row r="11092" spans="1:12" x14ac:dyDescent="0.3">
      <c r="A11092"/>
      <c r="B11092" s="72"/>
      <c r="C11092" s="88"/>
      <c r="E11092" s="72"/>
      <c r="H11092" s="49"/>
      <c r="K11092" s="48"/>
      <c r="L11092" s="89"/>
    </row>
    <row r="11093" spans="1:12" x14ac:dyDescent="0.3">
      <c r="A11093"/>
      <c r="B11093" s="72"/>
      <c r="C11093" s="88"/>
      <c r="E11093" s="72"/>
      <c r="H11093" s="49"/>
      <c r="K11093" s="48"/>
      <c r="L11093" s="89"/>
    </row>
    <row r="11094" spans="1:12" x14ac:dyDescent="0.3">
      <c r="A11094"/>
      <c r="B11094" s="72"/>
      <c r="C11094" s="88"/>
      <c r="E11094" s="72"/>
      <c r="H11094" s="49"/>
      <c r="K11094" s="48"/>
      <c r="L11094" s="89"/>
    </row>
    <row r="11095" spans="1:12" x14ac:dyDescent="0.3">
      <c r="A11095"/>
      <c r="B11095" s="72"/>
      <c r="C11095" s="88"/>
      <c r="E11095" s="72"/>
      <c r="H11095" s="49"/>
      <c r="K11095" s="48"/>
      <c r="L11095" s="89"/>
    </row>
    <row r="11096" spans="1:12" x14ac:dyDescent="0.3">
      <c r="A11096"/>
      <c r="B11096" s="72"/>
      <c r="C11096" s="88"/>
      <c r="E11096" s="72"/>
      <c r="H11096" s="49"/>
      <c r="K11096" s="48"/>
      <c r="L11096" s="89"/>
    </row>
    <row r="11097" spans="1:12" x14ac:dyDescent="0.3">
      <c r="A11097"/>
      <c r="B11097" s="72"/>
      <c r="C11097" s="88"/>
      <c r="E11097" s="72"/>
      <c r="H11097" s="49"/>
      <c r="K11097" s="48"/>
      <c r="L11097" s="89"/>
    </row>
    <row r="11098" spans="1:12" x14ac:dyDescent="0.3">
      <c r="A11098"/>
      <c r="B11098" s="72"/>
      <c r="C11098" s="88"/>
      <c r="E11098" s="72"/>
      <c r="H11098" s="49"/>
      <c r="K11098" s="48"/>
      <c r="L11098" s="89"/>
    </row>
    <row r="11099" spans="1:12" x14ac:dyDescent="0.3">
      <c r="A11099"/>
      <c r="B11099" s="72"/>
      <c r="C11099" s="88"/>
      <c r="E11099" s="72"/>
      <c r="H11099" s="49"/>
      <c r="K11099" s="48"/>
      <c r="L11099" s="89"/>
    </row>
    <row r="11100" spans="1:12" x14ac:dyDescent="0.3">
      <c r="A11100"/>
      <c r="B11100" s="72"/>
      <c r="C11100" s="88"/>
      <c r="E11100" s="72"/>
      <c r="H11100" s="49"/>
      <c r="K11100" s="48"/>
      <c r="L11100" s="89"/>
    </row>
    <row r="11101" spans="1:12" x14ac:dyDescent="0.3">
      <c r="A11101"/>
      <c r="B11101" s="72"/>
      <c r="C11101" s="88"/>
      <c r="E11101" s="72"/>
      <c r="H11101" s="49"/>
      <c r="K11101" s="48"/>
      <c r="L11101" s="89"/>
    </row>
    <row r="11102" spans="1:12" x14ac:dyDescent="0.3">
      <c r="A11102"/>
      <c r="B11102" s="72"/>
      <c r="C11102" s="88"/>
      <c r="E11102" s="72"/>
      <c r="H11102" s="49"/>
      <c r="K11102" s="48"/>
      <c r="L11102" s="89"/>
    </row>
    <row r="11103" spans="1:12" x14ac:dyDescent="0.3">
      <c r="A11103"/>
      <c r="B11103" s="72"/>
      <c r="C11103" s="88"/>
      <c r="E11103" s="72"/>
      <c r="H11103" s="49"/>
      <c r="K11103" s="48"/>
      <c r="L11103" s="89"/>
    </row>
    <row r="11104" spans="1:12" x14ac:dyDescent="0.3">
      <c r="A11104"/>
      <c r="B11104" s="72"/>
      <c r="C11104" s="88"/>
      <c r="E11104" s="72"/>
      <c r="H11104" s="49"/>
      <c r="K11104" s="48"/>
      <c r="L11104" s="89"/>
    </row>
    <row r="11105" spans="1:12" x14ac:dyDescent="0.3">
      <c r="A11105"/>
      <c r="B11105" s="72"/>
      <c r="C11105" s="88"/>
      <c r="E11105" s="72"/>
      <c r="H11105" s="49"/>
      <c r="K11105" s="48"/>
      <c r="L11105" s="89"/>
    </row>
    <row r="11106" spans="1:12" x14ac:dyDescent="0.3">
      <c r="A11106"/>
      <c r="B11106" s="72"/>
      <c r="C11106" s="88"/>
      <c r="E11106" s="72"/>
      <c r="H11106" s="49"/>
      <c r="K11106" s="48"/>
      <c r="L11106" s="89"/>
    </row>
    <row r="11107" spans="1:12" x14ac:dyDescent="0.3">
      <c r="A11107"/>
      <c r="B11107" s="72"/>
      <c r="C11107" s="88"/>
      <c r="E11107" s="72"/>
      <c r="H11107" s="49"/>
      <c r="K11107" s="48"/>
      <c r="L11107" s="89"/>
    </row>
    <row r="11108" spans="1:12" x14ac:dyDescent="0.3">
      <c r="A11108"/>
      <c r="B11108" s="72"/>
      <c r="C11108" s="88"/>
      <c r="E11108" s="72"/>
      <c r="H11108" s="49"/>
      <c r="K11108" s="48"/>
      <c r="L11108" s="89"/>
    </row>
    <row r="11109" spans="1:12" x14ac:dyDescent="0.3">
      <c r="A11109"/>
      <c r="B11109" s="72"/>
      <c r="C11109" s="88"/>
      <c r="E11109" s="72"/>
      <c r="H11109" s="49"/>
      <c r="K11109" s="48"/>
      <c r="L11109" s="89"/>
    </row>
    <row r="11110" spans="1:12" x14ac:dyDescent="0.3">
      <c r="A11110"/>
      <c r="B11110" s="72"/>
      <c r="C11110" s="88"/>
      <c r="E11110" s="72"/>
      <c r="H11110" s="49"/>
      <c r="K11110" s="48"/>
      <c r="L11110" s="89"/>
    </row>
    <row r="11111" spans="1:12" x14ac:dyDescent="0.3">
      <c r="A11111"/>
      <c r="B11111" s="72"/>
      <c r="C11111" s="88"/>
      <c r="E11111" s="72"/>
      <c r="H11111" s="49"/>
      <c r="K11111" s="48"/>
      <c r="L11111" s="89"/>
    </row>
    <row r="11112" spans="1:12" x14ac:dyDescent="0.3">
      <c r="A11112"/>
      <c r="B11112" s="72"/>
      <c r="C11112" s="88"/>
      <c r="E11112" s="72"/>
      <c r="H11112" s="49"/>
      <c r="K11112" s="48"/>
      <c r="L11112" s="89"/>
    </row>
    <row r="11113" spans="1:12" x14ac:dyDescent="0.3">
      <c r="A11113"/>
      <c r="B11113" s="72"/>
      <c r="C11113" s="88"/>
      <c r="E11113" s="72"/>
      <c r="H11113" s="49"/>
      <c r="K11113" s="48"/>
      <c r="L11113" s="89"/>
    </row>
    <row r="11114" spans="1:12" x14ac:dyDescent="0.3">
      <c r="A11114"/>
      <c r="B11114" s="72"/>
      <c r="C11114" s="88"/>
      <c r="E11114" s="72"/>
      <c r="H11114" s="49"/>
      <c r="K11114" s="48"/>
      <c r="L11114" s="89"/>
    </row>
    <row r="11115" spans="1:12" x14ac:dyDescent="0.3">
      <c r="A11115"/>
      <c r="B11115" s="72"/>
      <c r="C11115" s="88"/>
      <c r="E11115" s="72"/>
      <c r="H11115" s="49"/>
      <c r="K11115" s="48"/>
      <c r="L11115" s="89"/>
    </row>
    <row r="11116" spans="1:12" x14ac:dyDescent="0.3">
      <c r="A11116"/>
      <c r="B11116" s="72"/>
      <c r="C11116" s="88"/>
      <c r="E11116" s="72"/>
      <c r="H11116" s="49"/>
      <c r="K11116" s="48"/>
      <c r="L11116" s="89"/>
    </row>
    <row r="11117" spans="1:12" x14ac:dyDescent="0.3">
      <c r="A11117"/>
      <c r="B11117" s="72"/>
      <c r="C11117" s="88"/>
      <c r="E11117" s="72"/>
      <c r="H11117" s="49"/>
      <c r="K11117" s="48"/>
      <c r="L11117" s="89"/>
    </row>
    <row r="11118" spans="1:12" x14ac:dyDescent="0.3">
      <c r="A11118"/>
      <c r="B11118" s="72"/>
      <c r="C11118" s="88"/>
      <c r="E11118" s="72"/>
      <c r="H11118" s="49"/>
      <c r="K11118" s="48"/>
      <c r="L11118" s="89"/>
    </row>
    <row r="11119" spans="1:12" x14ac:dyDescent="0.3">
      <c r="A11119"/>
      <c r="B11119" s="72"/>
      <c r="C11119" s="88"/>
      <c r="E11119" s="72"/>
      <c r="H11119" s="49"/>
      <c r="K11119" s="48"/>
      <c r="L11119" s="89"/>
    </row>
    <row r="11120" spans="1:12" x14ac:dyDescent="0.3">
      <c r="A11120"/>
      <c r="B11120" s="72"/>
      <c r="C11120" s="88"/>
      <c r="E11120" s="72"/>
      <c r="H11120" s="49"/>
      <c r="K11120" s="48"/>
      <c r="L11120" s="89"/>
    </row>
    <row r="11121" spans="1:12" x14ac:dyDescent="0.3">
      <c r="A11121"/>
      <c r="B11121" s="72"/>
      <c r="C11121" s="88"/>
      <c r="E11121" s="72"/>
      <c r="H11121" s="49"/>
      <c r="K11121" s="48"/>
      <c r="L11121" s="89"/>
    </row>
    <row r="11122" spans="1:12" x14ac:dyDescent="0.3">
      <c r="A11122"/>
      <c r="B11122" s="72"/>
      <c r="C11122" s="88"/>
      <c r="E11122" s="72"/>
      <c r="H11122" s="49"/>
      <c r="K11122" s="48"/>
      <c r="L11122" s="89"/>
    </row>
    <row r="11123" spans="1:12" x14ac:dyDescent="0.3">
      <c r="A11123"/>
      <c r="B11123" s="72"/>
      <c r="C11123" s="88"/>
      <c r="E11123" s="72"/>
      <c r="H11123" s="49"/>
      <c r="K11123" s="48"/>
      <c r="L11123" s="89"/>
    </row>
    <row r="11124" spans="1:12" x14ac:dyDescent="0.3">
      <c r="A11124"/>
      <c r="B11124" s="72"/>
      <c r="C11124" s="88"/>
      <c r="E11124" s="72"/>
      <c r="H11124" s="49"/>
      <c r="K11124" s="48"/>
      <c r="L11124" s="89"/>
    </row>
    <row r="11125" spans="1:12" x14ac:dyDescent="0.3">
      <c r="A11125"/>
      <c r="B11125" s="72"/>
      <c r="C11125" s="88"/>
      <c r="E11125" s="72"/>
      <c r="H11125" s="49"/>
      <c r="K11125" s="48"/>
      <c r="L11125" s="89"/>
    </row>
    <row r="11126" spans="1:12" x14ac:dyDescent="0.3">
      <c r="A11126"/>
      <c r="B11126" s="72"/>
      <c r="C11126" s="88"/>
      <c r="E11126" s="72"/>
      <c r="H11126" s="49"/>
      <c r="K11126" s="48"/>
      <c r="L11126" s="89"/>
    </row>
    <row r="11127" spans="1:12" x14ac:dyDescent="0.3">
      <c r="A11127"/>
      <c r="B11127" s="72"/>
      <c r="C11127" s="88"/>
      <c r="E11127" s="72"/>
      <c r="H11127" s="49"/>
      <c r="K11127" s="48"/>
      <c r="L11127" s="89"/>
    </row>
    <row r="11128" spans="1:12" x14ac:dyDescent="0.3">
      <c r="A11128"/>
      <c r="B11128" s="72"/>
      <c r="C11128" s="88"/>
      <c r="E11128" s="72"/>
      <c r="H11128" s="49"/>
      <c r="K11128" s="48"/>
      <c r="L11128" s="89"/>
    </row>
    <row r="11129" spans="1:12" x14ac:dyDescent="0.3">
      <c r="A11129"/>
      <c r="B11129" s="72"/>
      <c r="C11129" s="88"/>
      <c r="E11129" s="72"/>
      <c r="H11129" s="49"/>
      <c r="K11129" s="48"/>
      <c r="L11129" s="89"/>
    </row>
    <row r="11130" spans="1:12" x14ac:dyDescent="0.3">
      <c r="A11130"/>
      <c r="B11130" s="72"/>
      <c r="C11130" s="88"/>
      <c r="E11130" s="72"/>
      <c r="H11130" s="49"/>
      <c r="K11130" s="48"/>
      <c r="L11130" s="89"/>
    </row>
    <row r="11131" spans="1:12" x14ac:dyDescent="0.3">
      <c r="A11131"/>
      <c r="B11131" s="72"/>
      <c r="C11131" s="88"/>
      <c r="E11131" s="72"/>
      <c r="H11131" s="49"/>
      <c r="K11131" s="48"/>
      <c r="L11131" s="89"/>
    </row>
    <row r="11132" spans="1:12" x14ac:dyDescent="0.3">
      <c r="A11132"/>
      <c r="B11132" s="72"/>
      <c r="C11132" s="88"/>
      <c r="E11132" s="72"/>
      <c r="H11132" s="49"/>
      <c r="K11132" s="48"/>
      <c r="L11132" s="89"/>
    </row>
    <row r="11133" spans="1:12" x14ac:dyDescent="0.3">
      <c r="A11133"/>
      <c r="B11133" s="72"/>
      <c r="C11133" s="88"/>
      <c r="E11133" s="72"/>
      <c r="H11133" s="49"/>
      <c r="K11133" s="48"/>
      <c r="L11133" s="89"/>
    </row>
    <row r="11134" spans="1:12" x14ac:dyDescent="0.3">
      <c r="A11134"/>
      <c r="B11134" s="72"/>
      <c r="C11134" s="88"/>
      <c r="E11134" s="72"/>
      <c r="H11134" s="49"/>
      <c r="K11134" s="48"/>
      <c r="L11134" s="89"/>
    </row>
    <row r="11135" spans="1:12" x14ac:dyDescent="0.3">
      <c r="A11135"/>
      <c r="B11135" s="72"/>
      <c r="C11135" s="88"/>
      <c r="E11135" s="72"/>
      <c r="H11135" s="49"/>
      <c r="K11135" s="48"/>
      <c r="L11135" s="89"/>
    </row>
    <row r="11136" spans="1:12" x14ac:dyDescent="0.3">
      <c r="A11136"/>
      <c r="B11136" s="72"/>
      <c r="C11136" s="88"/>
      <c r="E11136" s="72"/>
      <c r="H11136" s="49"/>
      <c r="K11136" s="48"/>
      <c r="L11136" s="89"/>
    </row>
    <row r="11137" spans="1:12" x14ac:dyDescent="0.3">
      <c r="A11137"/>
      <c r="B11137" s="72"/>
      <c r="C11137" s="88"/>
      <c r="E11137" s="72"/>
      <c r="H11137" s="49"/>
      <c r="K11137" s="48"/>
      <c r="L11137" s="89"/>
    </row>
    <row r="11138" spans="1:12" x14ac:dyDescent="0.3">
      <c r="A11138"/>
      <c r="B11138" s="72"/>
      <c r="C11138" s="88"/>
      <c r="E11138" s="72"/>
      <c r="H11138" s="49"/>
      <c r="K11138" s="48"/>
      <c r="L11138" s="89"/>
    </row>
    <row r="11139" spans="1:12" x14ac:dyDescent="0.3">
      <c r="A11139"/>
      <c r="B11139" s="72"/>
      <c r="C11139" s="88"/>
      <c r="E11139" s="72"/>
      <c r="H11139" s="49"/>
      <c r="K11139" s="48"/>
      <c r="L11139" s="89"/>
    </row>
    <row r="11140" spans="1:12" x14ac:dyDescent="0.3">
      <c r="A11140"/>
      <c r="B11140" s="72"/>
      <c r="C11140" s="88"/>
      <c r="E11140" s="72"/>
      <c r="H11140" s="49"/>
      <c r="K11140" s="48"/>
      <c r="L11140" s="89"/>
    </row>
    <row r="11141" spans="1:12" x14ac:dyDescent="0.3">
      <c r="A11141"/>
      <c r="B11141" s="72"/>
      <c r="C11141" s="88"/>
      <c r="E11141" s="72"/>
      <c r="H11141" s="49"/>
      <c r="K11141" s="48"/>
      <c r="L11141" s="89"/>
    </row>
    <row r="11142" spans="1:12" x14ac:dyDescent="0.3">
      <c r="A11142"/>
      <c r="B11142" s="72"/>
      <c r="C11142" s="88"/>
      <c r="E11142" s="72"/>
      <c r="H11142" s="49"/>
      <c r="K11142" s="48"/>
      <c r="L11142" s="89"/>
    </row>
    <row r="11143" spans="1:12" x14ac:dyDescent="0.3">
      <c r="A11143"/>
      <c r="B11143" s="72"/>
      <c r="C11143" s="88"/>
      <c r="E11143" s="72"/>
      <c r="H11143" s="49"/>
      <c r="K11143" s="48"/>
      <c r="L11143" s="89"/>
    </row>
    <row r="11144" spans="1:12" x14ac:dyDescent="0.3">
      <c r="A11144"/>
      <c r="B11144" s="72"/>
      <c r="C11144" s="88"/>
      <c r="E11144" s="72"/>
      <c r="H11144" s="49"/>
      <c r="K11144" s="48"/>
      <c r="L11144" s="89"/>
    </row>
    <row r="11145" spans="1:12" x14ac:dyDescent="0.3">
      <c r="A11145"/>
      <c r="B11145" s="72"/>
      <c r="C11145" s="88"/>
      <c r="E11145" s="72"/>
      <c r="H11145" s="49"/>
      <c r="K11145" s="48"/>
      <c r="L11145" s="89"/>
    </row>
    <row r="11146" spans="1:12" x14ac:dyDescent="0.3">
      <c r="A11146"/>
      <c r="B11146" s="72"/>
      <c r="C11146" s="88"/>
      <c r="E11146" s="72"/>
      <c r="H11146" s="49"/>
      <c r="K11146" s="48"/>
      <c r="L11146" s="89"/>
    </row>
    <row r="11147" spans="1:12" x14ac:dyDescent="0.3">
      <c r="A11147"/>
      <c r="B11147" s="72"/>
      <c r="C11147" s="88"/>
      <c r="E11147" s="72"/>
      <c r="H11147" s="49"/>
      <c r="K11147" s="48"/>
      <c r="L11147" s="89"/>
    </row>
    <row r="11148" spans="1:12" x14ac:dyDescent="0.3">
      <c r="A11148"/>
      <c r="B11148" s="72"/>
      <c r="C11148" s="88"/>
      <c r="E11148" s="72"/>
      <c r="H11148" s="49"/>
      <c r="K11148" s="48"/>
      <c r="L11148" s="89"/>
    </row>
    <row r="11149" spans="1:12" x14ac:dyDescent="0.3">
      <c r="A11149"/>
      <c r="B11149" s="72"/>
      <c r="C11149" s="88"/>
      <c r="E11149" s="72"/>
      <c r="H11149" s="49"/>
      <c r="K11149" s="48"/>
      <c r="L11149" s="89"/>
    </row>
    <row r="11150" spans="1:12" x14ac:dyDescent="0.3">
      <c r="A11150"/>
      <c r="B11150" s="72"/>
      <c r="C11150" s="88"/>
      <c r="E11150" s="72"/>
      <c r="H11150" s="49"/>
      <c r="K11150" s="48"/>
      <c r="L11150" s="89"/>
    </row>
    <row r="11151" spans="1:12" x14ac:dyDescent="0.3">
      <c r="A11151"/>
      <c r="B11151" s="72"/>
      <c r="C11151" s="88"/>
      <c r="E11151" s="72"/>
      <c r="H11151" s="49"/>
      <c r="K11151" s="48"/>
      <c r="L11151" s="89"/>
    </row>
    <row r="11152" spans="1:12" x14ac:dyDescent="0.3">
      <c r="A11152"/>
      <c r="B11152" s="72"/>
      <c r="C11152" s="88"/>
      <c r="E11152" s="72"/>
      <c r="H11152" s="49"/>
      <c r="K11152" s="48"/>
      <c r="L11152" s="89"/>
    </row>
    <row r="11153" spans="1:12" x14ac:dyDescent="0.3">
      <c r="A11153"/>
      <c r="B11153" s="72"/>
      <c r="C11153" s="88"/>
      <c r="E11153" s="72"/>
      <c r="H11153" s="49"/>
      <c r="K11153" s="48"/>
      <c r="L11153" s="89"/>
    </row>
    <row r="11154" spans="1:12" x14ac:dyDescent="0.3">
      <c r="A11154"/>
      <c r="B11154" s="72"/>
      <c r="C11154" s="88"/>
      <c r="E11154" s="72"/>
      <c r="H11154" s="49"/>
      <c r="K11154" s="48"/>
      <c r="L11154" s="89"/>
    </row>
    <row r="11155" spans="1:12" x14ac:dyDescent="0.3">
      <c r="A11155"/>
      <c r="B11155" s="72"/>
      <c r="C11155" s="88"/>
      <c r="E11155" s="72"/>
      <c r="H11155" s="49"/>
      <c r="K11155" s="48"/>
      <c r="L11155" s="89"/>
    </row>
    <row r="11156" spans="1:12" x14ac:dyDescent="0.3">
      <c r="A11156"/>
      <c r="B11156" s="72"/>
      <c r="C11156" s="88"/>
      <c r="E11156" s="72"/>
      <c r="H11156" s="49"/>
      <c r="K11156" s="48"/>
      <c r="L11156" s="89"/>
    </row>
    <row r="11157" spans="1:12" x14ac:dyDescent="0.3">
      <c r="A11157"/>
      <c r="B11157" s="72"/>
      <c r="C11157" s="88"/>
      <c r="E11157" s="72"/>
      <c r="H11157" s="49"/>
      <c r="K11157" s="48"/>
      <c r="L11157" s="89"/>
    </row>
    <row r="11158" spans="1:12" x14ac:dyDescent="0.3">
      <c r="A11158"/>
      <c r="B11158" s="72"/>
      <c r="C11158" s="88"/>
      <c r="E11158" s="72"/>
      <c r="H11158" s="49"/>
      <c r="K11158" s="48"/>
      <c r="L11158" s="89"/>
    </row>
    <row r="11159" spans="1:12" x14ac:dyDescent="0.3">
      <c r="A11159"/>
      <c r="B11159" s="72"/>
      <c r="C11159" s="88"/>
      <c r="E11159" s="72"/>
      <c r="H11159" s="49"/>
      <c r="K11159" s="48"/>
      <c r="L11159" s="89"/>
    </row>
    <row r="11160" spans="1:12" x14ac:dyDescent="0.3">
      <c r="A11160"/>
      <c r="B11160" s="72"/>
      <c r="C11160" s="88"/>
      <c r="E11160" s="72"/>
      <c r="H11160" s="49"/>
      <c r="K11160" s="48"/>
      <c r="L11160" s="89"/>
    </row>
    <row r="11161" spans="1:12" x14ac:dyDescent="0.3">
      <c r="A11161"/>
      <c r="B11161" s="72"/>
      <c r="C11161" s="88"/>
      <c r="E11161" s="72"/>
      <c r="H11161" s="49"/>
      <c r="K11161" s="48"/>
      <c r="L11161" s="89"/>
    </row>
    <row r="11162" spans="1:12" x14ac:dyDescent="0.3">
      <c r="A11162"/>
      <c r="B11162" s="72"/>
      <c r="C11162" s="88"/>
      <c r="E11162" s="72"/>
      <c r="H11162" s="49"/>
      <c r="K11162" s="48"/>
      <c r="L11162" s="89"/>
    </row>
    <row r="11163" spans="1:12" x14ac:dyDescent="0.3">
      <c r="A11163"/>
      <c r="B11163" s="72"/>
      <c r="C11163" s="88"/>
      <c r="E11163" s="72"/>
      <c r="H11163" s="49"/>
      <c r="K11163" s="48"/>
      <c r="L11163" s="89"/>
    </row>
    <row r="11164" spans="1:12" x14ac:dyDescent="0.3">
      <c r="A11164"/>
      <c r="B11164" s="72"/>
      <c r="C11164" s="88"/>
      <c r="E11164" s="72"/>
      <c r="H11164" s="49"/>
      <c r="K11164" s="48"/>
      <c r="L11164" s="89"/>
    </row>
    <row r="11165" spans="1:12" x14ac:dyDescent="0.3">
      <c r="A11165"/>
      <c r="B11165" s="72"/>
      <c r="C11165" s="88"/>
      <c r="E11165" s="72"/>
      <c r="H11165" s="49"/>
      <c r="K11165" s="48"/>
      <c r="L11165" s="89"/>
    </row>
    <row r="11166" spans="1:12" x14ac:dyDescent="0.3">
      <c r="A11166"/>
      <c r="B11166" s="72"/>
      <c r="C11166" s="88"/>
      <c r="E11166" s="72"/>
      <c r="H11166" s="49"/>
      <c r="K11166" s="48"/>
      <c r="L11166" s="89"/>
    </row>
    <row r="11167" spans="1:12" x14ac:dyDescent="0.3">
      <c r="A11167"/>
      <c r="B11167" s="72"/>
      <c r="C11167" s="88"/>
      <c r="E11167" s="72"/>
      <c r="H11167" s="49"/>
      <c r="K11167" s="48"/>
      <c r="L11167" s="89"/>
    </row>
    <row r="11168" spans="1:12" x14ac:dyDescent="0.3">
      <c r="A11168"/>
      <c r="B11168" s="72"/>
      <c r="C11168" s="88"/>
      <c r="E11168" s="72"/>
      <c r="H11168" s="49"/>
      <c r="K11168" s="48"/>
      <c r="L11168" s="89"/>
    </row>
    <row r="11169" spans="1:12" x14ac:dyDescent="0.3">
      <c r="A11169"/>
      <c r="B11169" s="72"/>
      <c r="C11169" s="88"/>
      <c r="E11169" s="72"/>
      <c r="H11169" s="49"/>
      <c r="K11169" s="48"/>
      <c r="L11169" s="89"/>
    </row>
    <row r="11170" spans="1:12" x14ac:dyDescent="0.3">
      <c r="A11170"/>
      <c r="B11170" s="72"/>
      <c r="C11170" s="88"/>
      <c r="E11170" s="72"/>
      <c r="H11170" s="49"/>
      <c r="K11170" s="48"/>
      <c r="L11170" s="89"/>
    </row>
    <row r="11171" spans="1:12" x14ac:dyDescent="0.3">
      <c r="A11171"/>
      <c r="B11171" s="72"/>
      <c r="C11171" s="88"/>
      <c r="E11171" s="72"/>
      <c r="H11171" s="49"/>
      <c r="K11171" s="48"/>
      <c r="L11171" s="89"/>
    </row>
    <row r="11172" spans="1:12" x14ac:dyDescent="0.3">
      <c r="A11172"/>
      <c r="B11172" s="72"/>
      <c r="C11172" s="88"/>
      <c r="E11172" s="72"/>
      <c r="H11172" s="49"/>
      <c r="K11172" s="48"/>
      <c r="L11172" s="89"/>
    </row>
    <row r="11173" spans="1:12" x14ac:dyDescent="0.3">
      <c r="A11173"/>
      <c r="B11173" s="72"/>
      <c r="C11173" s="88"/>
      <c r="E11173" s="72"/>
      <c r="H11173" s="49"/>
      <c r="K11173" s="48"/>
      <c r="L11173" s="89"/>
    </row>
    <row r="11174" spans="1:12" x14ac:dyDescent="0.3">
      <c r="A11174"/>
      <c r="B11174" s="72"/>
      <c r="C11174" s="88"/>
      <c r="E11174" s="72"/>
      <c r="H11174" s="49"/>
      <c r="K11174" s="48"/>
      <c r="L11174" s="89"/>
    </row>
    <row r="11175" spans="1:12" x14ac:dyDescent="0.3">
      <c r="A11175"/>
      <c r="B11175" s="72"/>
      <c r="C11175" s="88"/>
      <c r="E11175" s="72"/>
      <c r="H11175" s="49"/>
      <c r="K11175" s="48"/>
      <c r="L11175" s="89"/>
    </row>
    <row r="11176" spans="1:12" x14ac:dyDescent="0.3">
      <c r="A11176"/>
      <c r="B11176" s="72"/>
      <c r="C11176" s="88"/>
      <c r="E11176" s="72"/>
      <c r="H11176" s="49"/>
      <c r="K11176" s="48"/>
      <c r="L11176" s="89"/>
    </row>
    <row r="11177" spans="1:12" x14ac:dyDescent="0.3">
      <c r="A11177"/>
      <c r="B11177" s="72"/>
      <c r="C11177" s="88"/>
      <c r="E11177" s="72"/>
      <c r="H11177" s="49"/>
      <c r="K11177" s="48"/>
      <c r="L11177" s="89"/>
    </row>
    <row r="11178" spans="1:12" x14ac:dyDescent="0.3">
      <c r="A11178"/>
      <c r="B11178" s="72"/>
      <c r="C11178" s="88"/>
      <c r="E11178" s="72"/>
      <c r="H11178" s="49"/>
      <c r="K11178" s="48"/>
      <c r="L11178" s="89"/>
    </row>
    <row r="11179" spans="1:12" x14ac:dyDescent="0.3">
      <c r="A11179"/>
      <c r="B11179" s="72"/>
      <c r="C11179" s="88"/>
      <c r="E11179" s="72"/>
      <c r="H11179" s="49"/>
      <c r="K11179" s="48"/>
      <c r="L11179" s="89"/>
    </row>
    <row r="11180" spans="1:12" x14ac:dyDescent="0.3">
      <c r="A11180"/>
      <c r="B11180" s="72"/>
      <c r="C11180" s="88"/>
      <c r="E11180" s="72"/>
      <c r="H11180" s="49"/>
      <c r="K11180" s="48"/>
      <c r="L11180" s="89"/>
    </row>
    <row r="11181" spans="1:12" x14ac:dyDescent="0.3">
      <c r="A11181"/>
      <c r="B11181" s="72"/>
      <c r="C11181" s="88"/>
      <c r="E11181" s="72"/>
      <c r="H11181" s="49"/>
      <c r="K11181" s="48"/>
      <c r="L11181" s="89"/>
    </row>
    <row r="11182" spans="1:12" x14ac:dyDescent="0.3">
      <c r="A11182"/>
      <c r="B11182" s="72"/>
      <c r="C11182" s="88"/>
      <c r="E11182" s="72"/>
      <c r="H11182" s="49"/>
      <c r="K11182" s="48"/>
      <c r="L11182" s="89"/>
    </row>
    <row r="11183" spans="1:12" x14ac:dyDescent="0.3">
      <c r="A11183"/>
      <c r="B11183" s="72"/>
      <c r="C11183" s="88"/>
      <c r="E11183" s="72"/>
      <c r="H11183" s="49"/>
      <c r="K11183" s="48"/>
      <c r="L11183" s="89"/>
    </row>
    <row r="11184" spans="1:12" x14ac:dyDescent="0.3">
      <c r="A11184"/>
      <c r="B11184" s="72"/>
      <c r="C11184" s="88"/>
      <c r="E11184" s="72"/>
      <c r="H11184" s="49"/>
      <c r="K11184" s="48"/>
      <c r="L11184" s="89"/>
    </row>
    <row r="11185" spans="1:12" x14ac:dyDescent="0.3">
      <c r="A11185"/>
      <c r="B11185" s="72"/>
      <c r="C11185" s="88"/>
      <c r="E11185" s="72"/>
      <c r="H11185" s="49"/>
      <c r="K11185" s="48"/>
      <c r="L11185" s="89"/>
    </row>
    <row r="11186" spans="1:12" x14ac:dyDescent="0.3">
      <c r="A11186"/>
      <c r="B11186" s="72"/>
      <c r="C11186" s="88"/>
      <c r="E11186" s="72"/>
      <c r="H11186" s="49"/>
      <c r="K11186" s="48"/>
      <c r="L11186" s="89"/>
    </row>
    <row r="11187" spans="1:12" x14ac:dyDescent="0.3">
      <c r="A11187"/>
      <c r="B11187" s="72"/>
      <c r="C11187" s="88"/>
      <c r="E11187" s="72"/>
      <c r="H11187" s="49"/>
      <c r="K11187" s="48"/>
      <c r="L11187" s="89"/>
    </row>
    <row r="11188" spans="1:12" x14ac:dyDescent="0.3">
      <c r="A11188"/>
      <c r="B11188" s="72"/>
      <c r="C11188" s="88"/>
      <c r="E11188" s="72"/>
      <c r="H11188" s="49"/>
      <c r="K11188" s="48"/>
      <c r="L11188" s="89"/>
    </row>
    <row r="11189" spans="1:12" x14ac:dyDescent="0.3">
      <c r="A11189"/>
      <c r="B11189" s="72"/>
      <c r="C11189" s="88"/>
      <c r="E11189" s="72"/>
      <c r="H11189" s="49"/>
      <c r="K11189" s="48"/>
      <c r="L11189" s="89"/>
    </row>
    <row r="11190" spans="1:12" x14ac:dyDescent="0.3">
      <c r="A11190"/>
      <c r="B11190" s="72"/>
      <c r="C11190" s="88"/>
      <c r="E11190" s="72"/>
      <c r="H11190" s="49"/>
      <c r="K11190" s="48"/>
      <c r="L11190" s="89"/>
    </row>
    <row r="11191" spans="1:12" x14ac:dyDescent="0.3">
      <c r="A11191"/>
      <c r="B11191" s="72"/>
      <c r="C11191" s="88"/>
      <c r="E11191" s="72"/>
      <c r="H11191" s="49"/>
      <c r="K11191" s="48"/>
      <c r="L11191" s="89"/>
    </row>
    <row r="11192" spans="1:12" x14ac:dyDescent="0.3">
      <c r="A11192"/>
      <c r="B11192" s="72"/>
      <c r="C11192" s="88"/>
      <c r="E11192" s="72"/>
      <c r="H11192" s="49"/>
      <c r="K11192" s="48"/>
      <c r="L11192" s="89"/>
    </row>
    <row r="11193" spans="1:12" x14ac:dyDescent="0.3">
      <c r="A11193"/>
      <c r="B11193" s="72"/>
      <c r="C11193" s="88"/>
      <c r="E11193" s="72"/>
      <c r="H11193" s="49"/>
      <c r="K11193" s="48"/>
      <c r="L11193" s="89"/>
    </row>
    <row r="11194" spans="1:12" x14ac:dyDescent="0.3">
      <c r="A11194"/>
      <c r="B11194" s="72"/>
      <c r="C11194" s="88"/>
      <c r="E11194" s="72"/>
      <c r="H11194" s="49"/>
      <c r="K11194" s="48"/>
      <c r="L11194" s="89"/>
    </row>
    <row r="11195" spans="1:12" x14ac:dyDescent="0.3">
      <c r="A11195"/>
      <c r="B11195" s="72"/>
      <c r="C11195" s="88"/>
      <c r="E11195" s="72"/>
      <c r="H11195" s="49"/>
      <c r="K11195" s="48"/>
      <c r="L11195" s="89"/>
    </row>
    <row r="11196" spans="1:12" x14ac:dyDescent="0.3">
      <c r="A11196"/>
      <c r="B11196" s="72"/>
      <c r="C11196" s="88"/>
      <c r="E11196" s="72"/>
      <c r="H11196" s="49"/>
      <c r="K11196" s="48"/>
      <c r="L11196" s="89"/>
    </row>
    <row r="11197" spans="1:12" x14ac:dyDescent="0.3">
      <c r="A11197"/>
      <c r="B11197" s="72"/>
      <c r="C11197" s="88"/>
      <c r="E11197" s="72"/>
      <c r="H11197" s="49"/>
      <c r="K11197" s="48"/>
      <c r="L11197" s="89"/>
    </row>
    <row r="11198" spans="1:12" x14ac:dyDescent="0.3">
      <c r="A11198"/>
      <c r="B11198" s="72"/>
      <c r="C11198" s="88"/>
      <c r="E11198" s="72"/>
      <c r="H11198" s="49"/>
      <c r="K11198" s="48"/>
      <c r="L11198" s="89"/>
    </row>
    <row r="11199" spans="1:12" x14ac:dyDescent="0.3">
      <c r="A11199"/>
      <c r="B11199" s="72"/>
      <c r="C11199" s="88"/>
      <c r="E11199" s="72"/>
      <c r="H11199" s="49"/>
      <c r="K11199" s="48"/>
      <c r="L11199" s="89"/>
    </row>
    <row r="11200" spans="1:12" x14ac:dyDescent="0.3">
      <c r="A11200"/>
      <c r="B11200" s="72"/>
      <c r="C11200" s="88"/>
      <c r="E11200" s="72"/>
      <c r="H11200" s="49"/>
      <c r="K11200" s="48"/>
      <c r="L11200" s="89"/>
    </row>
    <row r="11201" spans="1:12" x14ac:dyDescent="0.3">
      <c r="A11201"/>
      <c r="B11201" s="72"/>
      <c r="C11201" s="88"/>
      <c r="E11201" s="72"/>
      <c r="H11201" s="49"/>
      <c r="K11201" s="48"/>
      <c r="L11201" s="89"/>
    </row>
    <row r="11202" spans="1:12" x14ac:dyDescent="0.3">
      <c r="A11202"/>
      <c r="B11202" s="72"/>
      <c r="C11202" s="88"/>
      <c r="E11202" s="72"/>
      <c r="H11202" s="49"/>
      <c r="K11202" s="48"/>
      <c r="L11202" s="89"/>
    </row>
    <row r="11203" spans="1:12" x14ac:dyDescent="0.3">
      <c r="A11203"/>
      <c r="B11203" s="72"/>
      <c r="C11203" s="88"/>
      <c r="E11203" s="72"/>
      <c r="H11203" s="49"/>
      <c r="K11203" s="48"/>
      <c r="L11203" s="89"/>
    </row>
    <row r="11204" spans="1:12" x14ac:dyDescent="0.3">
      <c r="A11204"/>
      <c r="B11204" s="72"/>
      <c r="C11204" s="88"/>
      <c r="E11204" s="72"/>
      <c r="H11204" s="49"/>
      <c r="K11204" s="48"/>
      <c r="L11204" s="89"/>
    </row>
    <row r="11205" spans="1:12" x14ac:dyDescent="0.3">
      <c r="A11205"/>
      <c r="B11205" s="72"/>
      <c r="C11205" s="88"/>
      <c r="E11205" s="72"/>
      <c r="H11205" s="49"/>
      <c r="K11205" s="48"/>
      <c r="L11205" s="89"/>
    </row>
    <row r="11206" spans="1:12" x14ac:dyDescent="0.3">
      <c r="A11206"/>
      <c r="B11206" s="72"/>
      <c r="C11206" s="88"/>
      <c r="E11206" s="72"/>
      <c r="H11206" s="49"/>
      <c r="K11206" s="48"/>
      <c r="L11206" s="89"/>
    </row>
    <row r="11207" spans="1:12" x14ac:dyDescent="0.3">
      <c r="A11207"/>
      <c r="B11207" s="72"/>
      <c r="C11207" s="88"/>
      <c r="E11207" s="72"/>
      <c r="H11207" s="49"/>
      <c r="K11207" s="48"/>
      <c r="L11207" s="89"/>
    </row>
    <row r="11208" spans="1:12" x14ac:dyDescent="0.3">
      <c r="A11208"/>
      <c r="B11208" s="72"/>
      <c r="C11208" s="88"/>
      <c r="E11208" s="72"/>
      <c r="H11208" s="49"/>
      <c r="K11208" s="48"/>
      <c r="L11208" s="89"/>
    </row>
    <row r="11209" spans="1:12" x14ac:dyDescent="0.3">
      <c r="A11209"/>
      <c r="B11209" s="72"/>
      <c r="C11209" s="88"/>
      <c r="E11209" s="72"/>
      <c r="H11209" s="49"/>
      <c r="K11209" s="48"/>
      <c r="L11209" s="89"/>
    </row>
    <row r="11210" spans="1:12" x14ac:dyDescent="0.3">
      <c r="A11210"/>
      <c r="B11210" s="72"/>
      <c r="C11210" s="88"/>
      <c r="E11210" s="72"/>
      <c r="H11210" s="49"/>
      <c r="K11210" s="48"/>
      <c r="L11210" s="89"/>
    </row>
    <row r="11211" spans="1:12" x14ac:dyDescent="0.3">
      <c r="A11211"/>
      <c r="B11211" s="72"/>
      <c r="C11211" s="88"/>
      <c r="E11211" s="72"/>
      <c r="H11211" s="49"/>
      <c r="K11211" s="48"/>
      <c r="L11211" s="89"/>
    </row>
    <row r="11212" spans="1:12" x14ac:dyDescent="0.3">
      <c r="A11212"/>
      <c r="B11212" s="72"/>
      <c r="C11212" s="88"/>
      <c r="E11212" s="72"/>
      <c r="H11212" s="49"/>
      <c r="K11212" s="48"/>
      <c r="L11212" s="89"/>
    </row>
    <row r="11213" spans="1:12" x14ac:dyDescent="0.3">
      <c r="A11213"/>
      <c r="B11213" s="72"/>
      <c r="C11213" s="88"/>
      <c r="E11213" s="72"/>
      <c r="H11213" s="49"/>
      <c r="K11213" s="48"/>
      <c r="L11213" s="89"/>
    </row>
    <row r="11214" spans="1:12" x14ac:dyDescent="0.3">
      <c r="A11214"/>
      <c r="B11214" s="72"/>
      <c r="C11214" s="88"/>
      <c r="E11214" s="72"/>
      <c r="H11214" s="49"/>
      <c r="K11214" s="48"/>
      <c r="L11214" s="89"/>
    </row>
    <row r="11215" spans="1:12" x14ac:dyDescent="0.3">
      <c r="A11215"/>
      <c r="B11215" s="72"/>
      <c r="C11215" s="88"/>
      <c r="E11215" s="72"/>
      <c r="H11215" s="49"/>
      <c r="K11215" s="48"/>
      <c r="L11215" s="89"/>
    </row>
    <row r="11216" spans="1:12" x14ac:dyDescent="0.3">
      <c r="A11216"/>
      <c r="B11216" s="72"/>
      <c r="C11216" s="88"/>
      <c r="E11216" s="72"/>
      <c r="H11216" s="49"/>
      <c r="K11216" s="48"/>
      <c r="L11216" s="89"/>
    </row>
    <row r="11217" spans="1:12" x14ac:dyDescent="0.3">
      <c r="A11217"/>
      <c r="B11217" s="72"/>
      <c r="C11217" s="88"/>
      <c r="E11217" s="72"/>
      <c r="H11217" s="49"/>
      <c r="K11217" s="48"/>
      <c r="L11217" s="89"/>
    </row>
    <row r="11218" spans="1:12" x14ac:dyDescent="0.3">
      <c r="A11218"/>
      <c r="B11218" s="72"/>
      <c r="C11218" s="88"/>
      <c r="E11218" s="72"/>
      <c r="H11218" s="49"/>
      <c r="K11218" s="48"/>
      <c r="L11218" s="89"/>
    </row>
    <row r="11219" spans="1:12" x14ac:dyDescent="0.3">
      <c r="A11219"/>
      <c r="B11219" s="72"/>
      <c r="C11219" s="88"/>
      <c r="E11219" s="72"/>
      <c r="H11219" s="49"/>
      <c r="K11219" s="48"/>
      <c r="L11219" s="89"/>
    </row>
    <row r="11220" spans="1:12" x14ac:dyDescent="0.3">
      <c r="A11220"/>
      <c r="B11220" s="72"/>
      <c r="C11220" s="88"/>
      <c r="E11220" s="72"/>
      <c r="H11220" s="49"/>
      <c r="K11220" s="48"/>
      <c r="L11220" s="89"/>
    </row>
    <row r="11221" spans="1:12" x14ac:dyDescent="0.3">
      <c r="A11221"/>
      <c r="B11221" s="72"/>
      <c r="C11221" s="88"/>
      <c r="E11221" s="72"/>
      <c r="H11221" s="49"/>
      <c r="K11221" s="48"/>
      <c r="L11221" s="89"/>
    </row>
    <row r="11222" spans="1:12" x14ac:dyDescent="0.3">
      <c r="A11222"/>
      <c r="B11222" s="72"/>
      <c r="C11222" s="88"/>
      <c r="E11222" s="72"/>
      <c r="H11222" s="49"/>
      <c r="K11222" s="48"/>
      <c r="L11222" s="89"/>
    </row>
    <row r="11223" spans="1:12" x14ac:dyDescent="0.3">
      <c r="A11223"/>
      <c r="B11223" s="72"/>
      <c r="C11223" s="88"/>
      <c r="E11223" s="72"/>
      <c r="H11223" s="49"/>
      <c r="K11223" s="48"/>
      <c r="L11223" s="89"/>
    </row>
    <row r="11224" spans="1:12" x14ac:dyDescent="0.3">
      <c r="A11224"/>
      <c r="B11224" s="72"/>
      <c r="C11224" s="88"/>
      <c r="E11224" s="72"/>
      <c r="H11224" s="49"/>
      <c r="K11224" s="48"/>
      <c r="L11224" s="89"/>
    </row>
    <row r="11225" spans="1:12" x14ac:dyDescent="0.3">
      <c r="A11225"/>
      <c r="B11225" s="72"/>
      <c r="C11225" s="88"/>
      <c r="E11225" s="72"/>
      <c r="H11225" s="49"/>
      <c r="K11225" s="48"/>
      <c r="L11225" s="89"/>
    </row>
    <row r="11226" spans="1:12" x14ac:dyDescent="0.3">
      <c r="A11226"/>
      <c r="B11226" s="72"/>
      <c r="C11226" s="88"/>
      <c r="E11226" s="72"/>
      <c r="H11226" s="49"/>
      <c r="K11226" s="48"/>
      <c r="L11226" s="89"/>
    </row>
    <row r="11227" spans="1:12" x14ac:dyDescent="0.3">
      <c r="A11227"/>
      <c r="B11227" s="72"/>
      <c r="C11227" s="88"/>
      <c r="E11227" s="72"/>
      <c r="H11227" s="49"/>
      <c r="K11227" s="48"/>
      <c r="L11227" s="89"/>
    </row>
    <row r="11228" spans="1:12" x14ac:dyDescent="0.3">
      <c r="A11228"/>
      <c r="B11228" s="72"/>
      <c r="C11228" s="88"/>
      <c r="E11228" s="72"/>
      <c r="H11228" s="49"/>
      <c r="K11228" s="48"/>
      <c r="L11228" s="89"/>
    </row>
    <row r="11229" spans="1:12" x14ac:dyDescent="0.3">
      <c r="A11229"/>
      <c r="B11229" s="72"/>
      <c r="C11229" s="88"/>
      <c r="E11229" s="72"/>
      <c r="H11229" s="49"/>
      <c r="K11229" s="48"/>
      <c r="L11229" s="89"/>
    </row>
    <row r="11230" spans="1:12" x14ac:dyDescent="0.3">
      <c r="A11230"/>
      <c r="B11230" s="72"/>
      <c r="C11230" s="88"/>
      <c r="E11230" s="72"/>
      <c r="H11230" s="49"/>
      <c r="K11230" s="48"/>
      <c r="L11230" s="89"/>
    </row>
    <row r="11231" spans="1:12" x14ac:dyDescent="0.3">
      <c r="A11231"/>
      <c r="B11231" s="72"/>
      <c r="C11231" s="88"/>
      <c r="E11231" s="72"/>
      <c r="H11231" s="49"/>
      <c r="K11231" s="48"/>
      <c r="L11231" s="89"/>
    </row>
    <row r="11232" spans="1:12" x14ac:dyDescent="0.3">
      <c r="A11232"/>
      <c r="B11232" s="72"/>
      <c r="C11232" s="88"/>
      <c r="E11232" s="72"/>
      <c r="H11232" s="49"/>
      <c r="K11232" s="48"/>
      <c r="L11232" s="89"/>
    </row>
    <row r="11233" spans="1:12" x14ac:dyDescent="0.3">
      <c r="A11233"/>
      <c r="B11233" s="72"/>
      <c r="C11233" s="88"/>
      <c r="E11233" s="72"/>
      <c r="H11233" s="49"/>
      <c r="K11233" s="48"/>
      <c r="L11233" s="89"/>
    </row>
    <row r="11234" spans="1:12" x14ac:dyDescent="0.3">
      <c r="A11234"/>
      <c r="B11234" s="72"/>
      <c r="C11234" s="88"/>
      <c r="E11234" s="72"/>
      <c r="H11234" s="49"/>
      <c r="K11234" s="48"/>
      <c r="L11234" s="89"/>
    </row>
    <row r="11235" spans="1:12" x14ac:dyDescent="0.3">
      <c r="A11235"/>
      <c r="B11235" s="72"/>
      <c r="C11235" s="88"/>
      <c r="E11235" s="72"/>
      <c r="H11235" s="49"/>
      <c r="K11235" s="48"/>
      <c r="L11235" s="89"/>
    </row>
    <row r="11236" spans="1:12" x14ac:dyDescent="0.3">
      <c r="A11236"/>
      <c r="B11236" s="72"/>
      <c r="C11236" s="88"/>
      <c r="E11236" s="72"/>
      <c r="H11236" s="49"/>
      <c r="K11236" s="48"/>
      <c r="L11236" s="89"/>
    </row>
    <row r="11237" spans="1:12" x14ac:dyDescent="0.3">
      <c r="A11237"/>
      <c r="B11237" s="72"/>
      <c r="C11237" s="88"/>
      <c r="E11237" s="72"/>
      <c r="H11237" s="49"/>
      <c r="K11237" s="48"/>
      <c r="L11237" s="89"/>
    </row>
    <row r="11238" spans="1:12" x14ac:dyDescent="0.3">
      <c r="A11238"/>
      <c r="B11238" s="72"/>
      <c r="C11238" s="88"/>
      <c r="E11238" s="72"/>
      <c r="H11238" s="49"/>
      <c r="K11238" s="48"/>
      <c r="L11238" s="89"/>
    </row>
    <row r="11239" spans="1:12" x14ac:dyDescent="0.3">
      <c r="A11239"/>
      <c r="B11239" s="72"/>
      <c r="C11239" s="88"/>
      <c r="E11239" s="72"/>
      <c r="H11239" s="49"/>
      <c r="K11239" s="48"/>
      <c r="L11239" s="89"/>
    </row>
    <row r="11240" spans="1:12" x14ac:dyDescent="0.3">
      <c r="A11240"/>
      <c r="B11240" s="72"/>
      <c r="C11240" s="88"/>
      <c r="E11240" s="72"/>
      <c r="H11240" s="49"/>
      <c r="K11240" s="48"/>
      <c r="L11240" s="89"/>
    </row>
    <row r="11241" spans="1:12" x14ac:dyDescent="0.3">
      <c r="A11241"/>
      <c r="B11241" s="72"/>
      <c r="C11241" s="88"/>
      <c r="E11241" s="72"/>
      <c r="H11241" s="49"/>
      <c r="K11241" s="48"/>
      <c r="L11241" s="89"/>
    </row>
    <row r="11242" spans="1:12" x14ac:dyDescent="0.3">
      <c r="A11242"/>
      <c r="B11242" s="72"/>
      <c r="C11242" s="88"/>
      <c r="E11242" s="72"/>
      <c r="H11242" s="49"/>
      <c r="K11242" s="48"/>
      <c r="L11242" s="89"/>
    </row>
    <row r="11243" spans="1:12" x14ac:dyDescent="0.3">
      <c r="A11243"/>
      <c r="B11243" s="72"/>
      <c r="C11243" s="88"/>
      <c r="E11243" s="72"/>
      <c r="H11243" s="49"/>
      <c r="K11243" s="48"/>
      <c r="L11243" s="89"/>
    </row>
    <row r="11244" spans="1:12" x14ac:dyDescent="0.3">
      <c r="A11244"/>
      <c r="B11244" s="72"/>
      <c r="C11244" s="88"/>
      <c r="E11244" s="72"/>
      <c r="H11244" s="49"/>
      <c r="K11244" s="48"/>
      <c r="L11244" s="89"/>
    </row>
    <row r="11245" spans="1:12" x14ac:dyDescent="0.3">
      <c r="A11245"/>
      <c r="B11245" s="72"/>
      <c r="C11245" s="88"/>
      <c r="E11245" s="72"/>
      <c r="H11245" s="49"/>
      <c r="K11245" s="48"/>
      <c r="L11245" s="89"/>
    </row>
    <row r="11246" spans="1:12" x14ac:dyDescent="0.3">
      <c r="A11246"/>
      <c r="B11246" s="72"/>
      <c r="C11246" s="88"/>
      <c r="E11246" s="72"/>
      <c r="H11246" s="49"/>
      <c r="K11246" s="48"/>
      <c r="L11246" s="89"/>
    </row>
    <row r="11247" spans="1:12" x14ac:dyDescent="0.3">
      <c r="A11247"/>
      <c r="B11247" s="72"/>
      <c r="C11247" s="88"/>
      <c r="E11247" s="72"/>
      <c r="H11247" s="49"/>
      <c r="K11247" s="48"/>
      <c r="L11247" s="89"/>
    </row>
    <row r="11248" spans="1:12" x14ac:dyDescent="0.3">
      <c r="A11248"/>
      <c r="B11248" s="72"/>
      <c r="C11248" s="88"/>
      <c r="E11248" s="72"/>
      <c r="H11248" s="49"/>
      <c r="K11248" s="48"/>
      <c r="L11248" s="89"/>
    </row>
    <row r="11249" spans="1:12" x14ac:dyDescent="0.3">
      <c r="A11249"/>
      <c r="B11249" s="72"/>
      <c r="C11249" s="88"/>
      <c r="E11249" s="72"/>
      <c r="H11249" s="49"/>
      <c r="K11249" s="48"/>
      <c r="L11249" s="89"/>
    </row>
    <row r="11250" spans="1:12" x14ac:dyDescent="0.3">
      <c r="A11250"/>
      <c r="B11250" s="72"/>
      <c r="C11250" s="88"/>
      <c r="E11250" s="72"/>
      <c r="H11250" s="49"/>
      <c r="K11250" s="48"/>
      <c r="L11250" s="89"/>
    </row>
    <row r="11251" spans="1:12" x14ac:dyDescent="0.3">
      <c r="A11251"/>
      <c r="B11251" s="72"/>
      <c r="C11251" s="88"/>
      <c r="E11251" s="72"/>
      <c r="H11251" s="49"/>
      <c r="K11251" s="48"/>
      <c r="L11251" s="89"/>
    </row>
    <row r="11252" spans="1:12" x14ac:dyDescent="0.3">
      <c r="A11252"/>
      <c r="B11252" s="72"/>
      <c r="C11252" s="88"/>
      <c r="E11252" s="72"/>
      <c r="H11252" s="49"/>
      <c r="K11252" s="48"/>
      <c r="L11252" s="89"/>
    </row>
    <row r="11253" spans="1:12" x14ac:dyDescent="0.3">
      <c r="A11253"/>
      <c r="B11253" s="72"/>
      <c r="C11253" s="88"/>
      <c r="E11253" s="72"/>
      <c r="H11253" s="49"/>
      <c r="K11253" s="48"/>
      <c r="L11253" s="89"/>
    </row>
    <row r="11254" spans="1:12" x14ac:dyDescent="0.3">
      <c r="A11254"/>
      <c r="B11254" s="72"/>
      <c r="C11254" s="88"/>
      <c r="E11254" s="72"/>
      <c r="H11254" s="49"/>
      <c r="K11254" s="48"/>
      <c r="L11254" s="89"/>
    </row>
    <row r="11255" spans="1:12" x14ac:dyDescent="0.3">
      <c r="A11255"/>
      <c r="B11255" s="72"/>
      <c r="C11255" s="88"/>
      <c r="E11255" s="72"/>
      <c r="H11255" s="49"/>
      <c r="K11255" s="48"/>
      <c r="L11255" s="89"/>
    </row>
    <row r="11256" spans="1:12" x14ac:dyDescent="0.3">
      <c r="A11256"/>
      <c r="B11256" s="72"/>
      <c r="C11256" s="88"/>
      <c r="E11256" s="72"/>
      <c r="H11256" s="49"/>
      <c r="K11256" s="48"/>
      <c r="L11256" s="89"/>
    </row>
    <row r="11257" spans="1:12" x14ac:dyDescent="0.3">
      <c r="A11257"/>
      <c r="B11257" s="72"/>
      <c r="C11257" s="88"/>
      <c r="E11257" s="72"/>
      <c r="H11257" s="49"/>
      <c r="K11257" s="48"/>
      <c r="L11257" s="89"/>
    </row>
    <row r="11258" spans="1:12" x14ac:dyDescent="0.3">
      <c r="A11258"/>
      <c r="B11258" s="72"/>
      <c r="C11258" s="88"/>
      <c r="E11258" s="72"/>
      <c r="H11258" s="49"/>
      <c r="K11258" s="48"/>
      <c r="L11258" s="89"/>
    </row>
    <row r="11259" spans="1:12" x14ac:dyDescent="0.3">
      <c r="A11259"/>
      <c r="B11259" s="72"/>
      <c r="C11259" s="88"/>
      <c r="E11259" s="72"/>
      <c r="H11259" s="49"/>
      <c r="K11259" s="48"/>
      <c r="L11259" s="89"/>
    </row>
    <row r="11260" spans="1:12" x14ac:dyDescent="0.3">
      <c r="A11260"/>
      <c r="B11260" s="72"/>
      <c r="C11260" s="88"/>
      <c r="E11260" s="72"/>
      <c r="H11260" s="49"/>
      <c r="K11260" s="48"/>
      <c r="L11260" s="89"/>
    </row>
    <row r="11261" spans="1:12" x14ac:dyDescent="0.3">
      <c r="A11261"/>
      <c r="B11261" s="72"/>
      <c r="C11261" s="88"/>
      <c r="E11261" s="72"/>
      <c r="H11261" s="49"/>
      <c r="K11261" s="48"/>
      <c r="L11261" s="89"/>
    </row>
    <row r="11262" spans="1:12" x14ac:dyDescent="0.3">
      <c r="A11262"/>
      <c r="B11262" s="72"/>
      <c r="C11262" s="88"/>
      <c r="E11262" s="72"/>
      <c r="H11262" s="49"/>
      <c r="K11262" s="48"/>
      <c r="L11262" s="89"/>
    </row>
    <row r="11263" spans="1:12" x14ac:dyDescent="0.3">
      <c r="A11263"/>
      <c r="B11263" s="72"/>
      <c r="C11263" s="88"/>
      <c r="E11263" s="72"/>
      <c r="H11263" s="49"/>
      <c r="K11263" s="48"/>
      <c r="L11263" s="89"/>
    </row>
    <row r="11264" spans="1:12" x14ac:dyDescent="0.3">
      <c r="A11264"/>
      <c r="B11264" s="72"/>
      <c r="C11264" s="88"/>
      <c r="E11264" s="72"/>
      <c r="H11264" s="49"/>
      <c r="K11264" s="48"/>
      <c r="L11264" s="89"/>
    </row>
    <row r="11265" spans="1:12" x14ac:dyDescent="0.3">
      <c r="A11265"/>
      <c r="B11265" s="72"/>
      <c r="C11265" s="88"/>
      <c r="E11265" s="72"/>
      <c r="H11265" s="49"/>
      <c r="K11265" s="48"/>
      <c r="L11265" s="89"/>
    </row>
    <row r="11266" spans="1:12" x14ac:dyDescent="0.3">
      <c r="A11266"/>
      <c r="B11266" s="72"/>
      <c r="C11266" s="88"/>
      <c r="E11266" s="72"/>
      <c r="H11266" s="49"/>
      <c r="K11266" s="48"/>
      <c r="L11266" s="89"/>
    </row>
    <row r="11267" spans="1:12" x14ac:dyDescent="0.3">
      <c r="A11267"/>
      <c r="B11267" s="72"/>
      <c r="C11267" s="88"/>
      <c r="E11267" s="72"/>
      <c r="H11267" s="49"/>
      <c r="K11267" s="48"/>
      <c r="L11267" s="89"/>
    </row>
    <row r="11268" spans="1:12" x14ac:dyDescent="0.3">
      <c r="A11268"/>
      <c r="B11268" s="72"/>
      <c r="C11268" s="88"/>
      <c r="E11268" s="72"/>
      <c r="H11268" s="49"/>
      <c r="K11268" s="48"/>
      <c r="L11268" s="89"/>
    </row>
    <row r="11269" spans="1:12" x14ac:dyDescent="0.3">
      <c r="A11269"/>
      <c r="B11269" s="72"/>
      <c r="C11269" s="88"/>
      <c r="E11269" s="72"/>
      <c r="H11269" s="49"/>
      <c r="K11269" s="48"/>
      <c r="L11269" s="89"/>
    </row>
    <row r="11270" spans="1:12" x14ac:dyDescent="0.3">
      <c r="A11270"/>
      <c r="B11270" s="72"/>
      <c r="C11270" s="88"/>
      <c r="E11270" s="72"/>
      <c r="H11270" s="49"/>
      <c r="K11270" s="48"/>
      <c r="L11270" s="89"/>
    </row>
    <row r="11271" spans="1:12" x14ac:dyDescent="0.3">
      <c r="A11271"/>
      <c r="B11271" s="72"/>
      <c r="C11271" s="88"/>
      <c r="E11271" s="72"/>
      <c r="H11271" s="49"/>
      <c r="K11271" s="48"/>
      <c r="L11271" s="89"/>
    </row>
    <row r="11272" spans="1:12" x14ac:dyDescent="0.3">
      <c r="A11272"/>
      <c r="B11272" s="72"/>
      <c r="C11272" s="88"/>
      <c r="E11272" s="72"/>
      <c r="H11272" s="49"/>
      <c r="K11272" s="48"/>
      <c r="L11272" s="89"/>
    </row>
    <row r="11273" spans="1:12" x14ac:dyDescent="0.3">
      <c r="A11273"/>
      <c r="B11273" s="72"/>
      <c r="C11273" s="88"/>
      <c r="E11273" s="72"/>
      <c r="H11273" s="49"/>
      <c r="K11273" s="48"/>
      <c r="L11273" s="89"/>
    </row>
    <row r="11274" spans="1:12" x14ac:dyDescent="0.3">
      <c r="A11274"/>
      <c r="B11274" s="72"/>
      <c r="C11274" s="88"/>
      <c r="E11274" s="72"/>
      <c r="H11274" s="49"/>
      <c r="K11274" s="48"/>
      <c r="L11274" s="89"/>
    </row>
    <row r="11275" spans="1:12" x14ac:dyDescent="0.3">
      <c r="A11275"/>
      <c r="B11275" s="72"/>
      <c r="C11275" s="88"/>
      <c r="E11275" s="72"/>
      <c r="H11275" s="49"/>
      <c r="K11275" s="48"/>
      <c r="L11275" s="89"/>
    </row>
    <row r="11276" spans="1:12" x14ac:dyDescent="0.3">
      <c r="A11276"/>
      <c r="B11276" s="72"/>
      <c r="C11276" s="88"/>
      <c r="E11276" s="72"/>
      <c r="H11276" s="49"/>
      <c r="K11276" s="48"/>
      <c r="L11276" s="89"/>
    </row>
    <row r="11277" spans="1:12" x14ac:dyDescent="0.3">
      <c r="A11277"/>
      <c r="B11277" s="72"/>
      <c r="C11277" s="88"/>
      <c r="E11277" s="72"/>
      <c r="H11277" s="49"/>
      <c r="K11277" s="48"/>
      <c r="L11277" s="89"/>
    </row>
    <row r="11278" spans="1:12" x14ac:dyDescent="0.3">
      <c r="A11278"/>
      <c r="B11278" s="72"/>
      <c r="C11278" s="88"/>
      <c r="E11278" s="72"/>
      <c r="H11278" s="49"/>
      <c r="K11278" s="48"/>
      <c r="L11278" s="89"/>
    </row>
    <row r="11279" spans="1:12" x14ac:dyDescent="0.3">
      <c r="A11279"/>
      <c r="B11279" s="72"/>
      <c r="C11279" s="88"/>
      <c r="E11279" s="72"/>
      <c r="H11279" s="49"/>
      <c r="K11279" s="48"/>
      <c r="L11279" s="89"/>
    </row>
    <row r="11280" spans="1:12" x14ac:dyDescent="0.3">
      <c r="A11280"/>
      <c r="B11280" s="72"/>
      <c r="C11280" s="88"/>
      <c r="E11280" s="72"/>
      <c r="H11280" s="49"/>
      <c r="K11280" s="48"/>
      <c r="L11280" s="89"/>
    </row>
    <row r="11281" spans="1:12" x14ac:dyDescent="0.3">
      <c r="A11281"/>
      <c r="B11281" s="72"/>
      <c r="C11281" s="88"/>
      <c r="E11281" s="72"/>
      <c r="H11281" s="49"/>
      <c r="K11281" s="48"/>
      <c r="L11281" s="89"/>
    </row>
    <row r="11282" spans="1:12" x14ac:dyDescent="0.3">
      <c r="A11282"/>
      <c r="B11282" s="72"/>
      <c r="C11282" s="88"/>
      <c r="E11282" s="72"/>
      <c r="H11282" s="49"/>
      <c r="K11282" s="48"/>
      <c r="L11282" s="89"/>
    </row>
    <row r="11283" spans="1:12" x14ac:dyDescent="0.3">
      <c r="A11283"/>
      <c r="B11283" s="72"/>
      <c r="C11283" s="88"/>
      <c r="E11283" s="72"/>
      <c r="H11283" s="49"/>
      <c r="K11283" s="48"/>
      <c r="L11283" s="89"/>
    </row>
    <row r="11284" spans="1:12" x14ac:dyDescent="0.3">
      <c r="A11284"/>
      <c r="B11284" s="72"/>
      <c r="C11284" s="88"/>
      <c r="E11284" s="72"/>
      <c r="H11284" s="49"/>
      <c r="K11284" s="48"/>
      <c r="L11284" s="89"/>
    </row>
    <row r="11285" spans="1:12" x14ac:dyDescent="0.3">
      <c r="A11285"/>
      <c r="B11285" s="72"/>
      <c r="C11285" s="88"/>
      <c r="E11285" s="72"/>
      <c r="H11285" s="49"/>
      <c r="K11285" s="48"/>
      <c r="L11285" s="89"/>
    </row>
    <row r="11286" spans="1:12" x14ac:dyDescent="0.3">
      <c r="A11286"/>
      <c r="B11286" s="72"/>
      <c r="C11286" s="88"/>
      <c r="E11286" s="72"/>
      <c r="H11286" s="49"/>
      <c r="K11286" s="48"/>
      <c r="L11286" s="89"/>
    </row>
    <row r="11287" spans="1:12" x14ac:dyDescent="0.3">
      <c r="A11287"/>
      <c r="B11287" s="72"/>
      <c r="C11287" s="88"/>
      <c r="E11287" s="72"/>
      <c r="H11287" s="49"/>
      <c r="K11287" s="48"/>
      <c r="L11287" s="89"/>
    </row>
    <row r="11288" spans="1:12" x14ac:dyDescent="0.3">
      <c r="A11288"/>
      <c r="B11288" s="72"/>
      <c r="C11288" s="88"/>
      <c r="E11288" s="72"/>
      <c r="H11288" s="49"/>
      <c r="K11288" s="48"/>
      <c r="L11288" s="89"/>
    </row>
    <row r="11289" spans="1:12" x14ac:dyDescent="0.3">
      <c r="A11289"/>
      <c r="B11289" s="72"/>
      <c r="C11289" s="88"/>
      <c r="E11289" s="72"/>
      <c r="H11289" s="49"/>
      <c r="K11289" s="48"/>
      <c r="L11289" s="89"/>
    </row>
    <row r="11290" spans="1:12" x14ac:dyDescent="0.3">
      <c r="A11290"/>
      <c r="B11290" s="72"/>
      <c r="C11290" s="88"/>
      <c r="E11290" s="72"/>
      <c r="H11290" s="49"/>
      <c r="K11290" s="48"/>
      <c r="L11290" s="89"/>
    </row>
    <row r="11291" spans="1:12" x14ac:dyDescent="0.3">
      <c r="A11291"/>
      <c r="B11291" s="72"/>
      <c r="C11291" s="88"/>
      <c r="E11291" s="72"/>
      <c r="H11291" s="49"/>
      <c r="K11291" s="48"/>
      <c r="L11291" s="89"/>
    </row>
    <row r="11292" spans="1:12" x14ac:dyDescent="0.3">
      <c r="A11292"/>
      <c r="B11292" s="72"/>
      <c r="C11292" s="88"/>
      <c r="E11292" s="72"/>
      <c r="H11292" s="49"/>
      <c r="K11292" s="48"/>
      <c r="L11292" s="89"/>
    </row>
    <row r="11293" spans="1:12" x14ac:dyDescent="0.3">
      <c r="A11293"/>
      <c r="B11293" s="72"/>
      <c r="C11293" s="88"/>
      <c r="E11293" s="72"/>
      <c r="H11293" s="49"/>
      <c r="K11293" s="48"/>
      <c r="L11293" s="89"/>
    </row>
    <row r="11294" spans="1:12" x14ac:dyDescent="0.3">
      <c r="A11294"/>
      <c r="B11294" s="72"/>
      <c r="C11294" s="88"/>
      <c r="E11294" s="72"/>
      <c r="H11294" s="49"/>
      <c r="K11294" s="48"/>
      <c r="L11294" s="89"/>
    </row>
    <row r="11295" spans="1:12" x14ac:dyDescent="0.3">
      <c r="A11295"/>
      <c r="B11295" s="72"/>
      <c r="C11295" s="88"/>
      <c r="E11295" s="72"/>
      <c r="H11295" s="49"/>
      <c r="K11295" s="48"/>
      <c r="L11295" s="89"/>
    </row>
    <row r="11296" spans="1:12" x14ac:dyDescent="0.3">
      <c r="A11296"/>
      <c r="B11296" s="72"/>
      <c r="C11296" s="88"/>
      <c r="E11296" s="72"/>
      <c r="H11296" s="49"/>
      <c r="K11296" s="48"/>
      <c r="L11296" s="89"/>
    </row>
    <row r="11297" spans="1:12" x14ac:dyDescent="0.3">
      <c r="A11297"/>
      <c r="B11297" s="72"/>
      <c r="C11297" s="88"/>
      <c r="E11297" s="72"/>
      <c r="H11297" s="49"/>
      <c r="K11297" s="48"/>
      <c r="L11297" s="89"/>
    </row>
    <row r="11298" spans="1:12" x14ac:dyDescent="0.3">
      <c r="A11298"/>
      <c r="B11298" s="72"/>
      <c r="C11298" s="88"/>
      <c r="E11298" s="72"/>
      <c r="H11298" s="49"/>
      <c r="K11298" s="48"/>
      <c r="L11298" s="89"/>
    </row>
    <row r="11299" spans="1:12" x14ac:dyDescent="0.3">
      <c r="A11299"/>
      <c r="B11299" s="72"/>
      <c r="C11299" s="88"/>
      <c r="E11299" s="72"/>
      <c r="H11299" s="49"/>
      <c r="K11299" s="48"/>
      <c r="L11299" s="89"/>
    </row>
    <row r="11300" spans="1:12" x14ac:dyDescent="0.3">
      <c r="A11300"/>
      <c r="B11300" s="72"/>
      <c r="C11300" s="88"/>
      <c r="E11300" s="72"/>
      <c r="H11300" s="49"/>
      <c r="K11300" s="48"/>
      <c r="L11300" s="89"/>
    </row>
    <row r="11301" spans="1:12" x14ac:dyDescent="0.3">
      <c r="A11301"/>
      <c r="B11301" s="72"/>
      <c r="C11301" s="88"/>
      <c r="E11301" s="72"/>
      <c r="H11301" s="49"/>
      <c r="K11301" s="48"/>
      <c r="L11301" s="89"/>
    </row>
    <row r="11302" spans="1:12" x14ac:dyDescent="0.3">
      <c r="A11302"/>
      <c r="B11302" s="72"/>
      <c r="C11302" s="88"/>
      <c r="E11302" s="72"/>
      <c r="H11302" s="49"/>
      <c r="K11302" s="48"/>
      <c r="L11302" s="89"/>
    </row>
    <row r="11303" spans="1:12" x14ac:dyDescent="0.3">
      <c r="A11303"/>
      <c r="B11303" s="72"/>
      <c r="C11303" s="88"/>
      <c r="E11303" s="72"/>
      <c r="H11303" s="49"/>
      <c r="K11303" s="48"/>
      <c r="L11303" s="89"/>
    </row>
    <row r="11304" spans="1:12" x14ac:dyDescent="0.3">
      <c r="A11304"/>
      <c r="B11304" s="72"/>
      <c r="C11304" s="88"/>
      <c r="E11304" s="72"/>
      <c r="H11304" s="49"/>
      <c r="K11304" s="48"/>
      <c r="L11304" s="89"/>
    </row>
    <row r="11305" spans="1:12" x14ac:dyDescent="0.3">
      <c r="A11305"/>
      <c r="B11305" s="72"/>
      <c r="C11305" s="88"/>
      <c r="E11305" s="72"/>
      <c r="H11305" s="49"/>
      <c r="K11305" s="48"/>
      <c r="L11305" s="89"/>
    </row>
    <row r="11306" spans="1:12" x14ac:dyDescent="0.3">
      <c r="A11306"/>
      <c r="B11306" s="72"/>
      <c r="C11306" s="88"/>
      <c r="E11306" s="72"/>
      <c r="H11306" s="49"/>
      <c r="K11306" s="48"/>
      <c r="L11306" s="89"/>
    </row>
    <row r="11307" spans="1:12" x14ac:dyDescent="0.3">
      <c r="A11307"/>
      <c r="B11307" s="72"/>
      <c r="C11307" s="88"/>
      <c r="E11307" s="72"/>
      <c r="H11307" s="49"/>
      <c r="K11307" s="48"/>
      <c r="L11307" s="89"/>
    </row>
    <row r="11308" spans="1:12" x14ac:dyDescent="0.3">
      <c r="A11308"/>
      <c r="B11308" s="72"/>
      <c r="C11308" s="88"/>
      <c r="E11308" s="72"/>
      <c r="H11308" s="49"/>
      <c r="K11308" s="48"/>
      <c r="L11308" s="89"/>
    </row>
    <row r="11309" spans="1:12" x14ac:dyDescent="0.3">
      <c r="A11309"/>
      <c r="B11309" s="72"/>
      <c r="C11309" s="88"/>
      <c r="E11309" s="72"/>
      <c r="H11309" s="49"/>
      <c r="K11309" s="48"/>
      <c r="L11309" s="89"/>
    </row>
    <row r="11310" spans="1:12" x14ac:dyDescent="0.3">
      <c r="A11310"/>
      <c r="B11310" s="72"/>
      <c r="C11310" s="88"/>
      <c r="E11310" s="72"/>
      <c r="H11310" s="49"/>
      <c r="K11310" s="48"/>
      <c r="L11310" s="89"/>
    </row>
    <row r="11311" spans="1:12" x14ac:dyDescent="0.3">
      <c r="A11311"/>
      <c r="B11311" s="72"/>
      <c r="C11311" s="88"/>
      <c r="E11311" s="72"/>
      <c r="H11311" s="49"/>
      <c r="K11311" s="48"/>
      <c r="L11311" s="89"/>
    </row>
    <row r="11312" spans="1:12" x14ac:dyDescent="0.3">
      <c r="A11312"/>
      <c r="B11312" s="72"/>
      <c r="C11312" s="88"/>
      <c r="E11312" s="72"/>
      <c r="H11312" s="49"/>
      <c r="K11312" s="48"/>
      <c r="L11312" s="89"/>
    </row>
    <row r="11313" spans="1:12" x14ac:dyDescent="0.3">
      <c r="A11313"/>
      <c r="B11313" s="72"/>
      <c r="C11313" s="88"/>
      <c r="E11313" s="72"/>
      <c r="H11313" s="49"/>
      <c r="K11313" s="48"/>
      <c r="L11313" s="89"/>
    </row>
    <row r="11314" spans="1:12" x14ac:dyDescent="0.3">
      <c r="A11314"/>
      <c r="B11314" s="72"/>
      <c r="C11314" s="88"/>
      <c r="E11314" s="72"/>
      <c r="H11314" s="49"/>
      <c r="K11314" s="48"/>
      <c r="L11314" s="89"/>
    </row>
    <row r="11315" spans="1:12" x14ac:dyDescent="0.3">
      <c r="A11315"/>
      <c r="B11315" s="72"/>
      <c r="C11315" s="88"/>
      <c r="E11315" s="72"/>
      <c r="H11315" s="49"/>
      <c r="K11315" s="48"/>
      <c r="L11315" s="89"/>
    </row>
    <row r="11316" spans="1:12" x14ac:dyDescent="0.3">
      <c r="A11316"/>
      <c r="B11316" s="72"/>
      <c r="C11316" s="88"/>
      <c r="E11316" s="72"/>
      <c r="H11316" s="49"/>
      <c r="K11316" s="48"/>
      <c r="L11316" s="89"/>
    </row>
    <row r="11317" spans="1:12" x14ac:dyDescent="0.3">
      <c r="A11317"/>
      <c r="B11317" s="72"/>
      <c r="C11317" s="88"/>
      <c r="E11317" s="72"/>
      <c r="H11317" s="49"/>
      <c r="K11317" s="48"/>
      <c r="L11317" s="89"/>
    </row>
    <row r="11318" spans="1:12" x14ac:dyDescent="0.3">
      <c r="A11318"/>
      <c r="B11318" s="72"/>
      <c r="C11318" s="88"/>
      <c r="E11318" s="72"/>
      <c r="H11318" s="49"/>
      <c r="K11318" s="48"/>
      <c r="L11318" s="89"/>
    </row>
    <row r="11319" spans="1:12" x14ac:dyDescent="0.3">
      <c r="A11319"/>
      <c r="B11319" s="72"/>
      <c r="C11319" s="88"/>
      <c r="E11319" s="72"/>
      <c r="H11319" s="49"/>
      <c r="K11319" s="48"/>
      <c r="L11319" s="89"/>
    </row>
    <row r="11320" spans="1:12" x14ac:dyDescent="0.3">
      <c r="A11320"/>
      <c r="B11320" s="72"/>
      <c r="C11320" s="88"/>
      <c r="E11320" s="72"/>
      <c r="H11320" s="49"/>
      <c r="K11320" s="48"/>
      <c r="L11320" s="89"/>
    </row>
    <row r="11321" spans="1:12" x14ac:dyDescent="0.3">
      <c r="A11321"/>
      <c r="B11321" s="72"/>
      <c r="C11321" s="88"/>
      <c r="E11321" s="72"/>
      <c r="H11321" s="49"/>
      <c r="K11321" s="48"/>
      <c r="L11321" s="89"/>
    </row>
    <row r="11322" spans="1:12" x14ac:dyDescent="0.3">
      <c r="A11322"/>
      <c r="B11322" s="72"/>
      <c r="C11322" s="88"/>
      <c r="E11322" s="72"/>
      <c r="H11322" s="49"/>
      <c r="K11322" s="48"/>
      <c r="L11322" s="89"/>
    </row>
    <row r="11323" spans="1:12" x14ac:dyDescent="0.3">
      <c r="A11323"/>
      <c r="B11323" s="72"/>
      <c r="C11323" s="88"/>
      <c r="E11323" s="72"/>
      <c r="H11323" s="49"/>
      <c r="K11323" s="48"/>
      <c r="L11323" s="89"/>
    </row>
    <row r="11324" spans="1:12" x14ac:dyDescent="0.3">
      <c r="A11324"/>
      <c r="B11324" s="72"/>
      <c r="C11324" s="88"/>
      <c r="E11324" s="72"/>
      <c r="H11324" s="49"/>
      <c r="K11324" s="48"/>
      <c r="L11324" s="89"/>
    </row>
    <row r="11325" spans="1:12" x14ac:dyDescent="0.3">
      <c r="A11325"/>
      <c r="B11325" s="72"/>
      <c r="C11325" s="88"/>
      <c r="E11325" s="72"/>
      <c r="H11325" s="49"/>
      <c r="K11325" s="48"/>
      <c r="L11325" s="89"/>
    </row>
    <row r="11326" spans="1:12" x14ac:dyDescent="0.3">
      <c r="A11326"/>
      <c r="B11326" s="72"/>
      <c r="C11326" s="88"/>
      <c r="E11326" s="72"/>
      <c r="H11326" s="49"/>
      <c r="K11326" s="48"/>
      <c r="L11326" s="89"/>
    </row>
    <row r="11327" spans="1:12" x14ac:dyDescent="0.3">
      <c r="A11327"/>
      <c r="B11327" s="72"/>
      <c r="C11327" s="88"/>
      <c r="E11327" s="72"/>
      <c r="H11327" s="49"/>
      <c r="K11327" s="48"/>
      <c r="L11327" s="89"/>
    </row>
    <row r="11328" spans="1:12" x14ac:dyDescent="0.3">
      <c r="A11328"/>
      <c r="B11328" s="72"/>
      <c r="C11328" s="88"/>
      <c r="E11328" s="72"/>
      <c r="H11328" s="49"/>
      <c r="K11328" s="48"/>
      <c r="L11328" s="89"/>
    </row>
    <row r="11329" spans="1:12" x14ac:dyDescent="0.3">
      <c r="A11329"/>
      <c r="B11329" s="72"/>
      <c r="C11329" s="88"/>
      <c r="E11329" s="72"/>
      <c r="H11329" s="49"/>
      <c r="K11329" s="48"/>
      <c r="L11329" s="89"/>
    </row>
    <row r="11330" spans="1:12" x14ac:dyDescent="0.3">
      <c r="A11330"/>
      <c r="B11330" s="72"/>
      <c r="C11330" s="88"/>
      <c r="E11330" s="72"/>
      <c r="H11330" s="49"/>
      <c r="K11330" s="48"/>
      <c r="L11330" s="89"/>
    </row>
    <row r="11331" spans="1:12" x14ac:dyDescent="0.3">
      <c r="A11331"/>
      <c r="B11331" s="72"/>
      <c r="C11331" s="88"/>
      <c r="E11331" s="72"/>
      <c r="H11331" s="49"/>
      <c r="K11331" s="48"/>
      <c r="L11331" s="89"/>
    </row>
    <row r="11332" spans="1:12" x14ac:dyDescent="0.3">
      <c r="A11332"/>
      <c r="B11332" s="72"/>
      <c r="C11332" s="88"/>
      <c r="E11332" s="72"/>
      <c r="H11332" s="49"/>
      <c r="K11332" s="48"/>
      <c r="L11332" s="89"/>
    </row>
    <row r="11333" spans="1:12" x14ac:dyDescent="0.3">
      <c r="A11333"/>
      <c r="B11333" s="72"/>
      <c r="C11333" s="88"/>
      <c r="E11333" s="72"/>
      <c r="H11333" s="49"/>
      <c r="K11333" s="48"/>
      <c r="L11333" s="89"/>
    </row>
    <row r="11334" spans="1:12" x14ac:dyDescent="0.3">
      <c r="A11334"/>
      <c r="B11334" s="72"/>
      <c r="C11334" s="88"/>
      <c r="E11334" s="72"/>
      <c r="H11334" s="49"/>
      <c r="K11334" s="48"/>
      <c r="L11334" s="89"/>
    </row>
    <row r="11335" spans="1:12" x14ac:dyDescent="0.3">
      <c r="A11335"/>
      <c r="B11335" s="72"/>
      <c r="C11335" s="88"/>
      <c r="E11335" s="72"/>
      <c r="H11335" s="49"/>
      <c r="K11335" s="48"/>
      <c r="L11335" s="89"/>
    </row>
    <row r="11336" spans="1:12" x14ac:dyDescent="0.3">
      <c r="A11336"/>
      <c r="B11336" s="72"/>
      <c r="C11336" s="88"/>
      <c r="E11336" s="72"/>
      <c r="H11336" s="49"/>
      <c r="K11336" s="48"/>
      <c r="L11336" s="89"/>
    </row>
    <row r="11337" spans="1:12" x14ac:dyDescent="0.3">
      <c r="A11337"/>
      <c r="B11337" s="72"/>
      <c r="C11337" s="88"/>
      <c r="E11337" s="72"/>
      <c r="H11337" s="49"/>
      <c r="K11337" s="48"/>
      <c r="L11337" s="89"/>
    </row>
    <row r="11338" spans="1:12" x14ac:dyDescent="0.3">
      <c r="A11338"/>
      <c r="B11338" s="72"/>
      <c r="C11338" s="88"/>
      <c r="E11338" s="72"/>
      <c r="H11338" s="49"/>
      <c r="K11338" s="48"/>
      <c r="L11338" s="89"/>
    </row>
    <row r="11339" spans="1:12" x14ac:dyDescent="0.3">
      <c r="A11339"/>
      <c r="B11339" s="72"/>
      <c r="C11339" s="88"/>
      <c r="E11339" s="72"/>
      <c r="H11339" s="49"/>
      <c r="K11339" s="48"/>
      <c r="L11339" s="89"/>
    </row>
    <row r="11340" spans="1:12" x14ac:dyDescent="0.3">
      <c r="A11340"/>
      <c r="B11340" s="72"/>
      <c r="C11340" s="88"/>
      <c r="E11340" s="72"/>
      <c r="H11340" s="49"/>
      <c r="K11340" s="48"/>
      <c r="L11340" s="89"/>
    </row>
    <row r="11341" spans="1:12" x14ac:dyDescent="0.3">
      <c r="A11341"/>
      <c r="B11341" s="72"/>
      <c r="C11341" s="88"/>
      <c r="E11341" s="72"/>
      <c r="H11341" s="49"/>
      <c r="K11341" s="48"/>
      <c r="L11341" s="89"/>
    </row>
    <row r="11342" spans="1:12" x14ac:dyDescent="0.3">
      <c r="A11342"/>
      <c r="B11342" s="72"/>
      <c r="C11342" s="88"/>
      <c r="E11342" s="72"/>
      <c r="H11342" s="49"/>
      <c r="K11342" s="48"/>
      <c r="L11342" s="89"/>
    </row>
    <row r="11343" spans="1:12" x14ac:dyDescent="0.3">
      <c r="A11343"/>
      <c r="B11343" s="72"/>
      <c r="C11343" s="88"/>
      <c r="E11343" s="72"/>
      <c r="H11343" s="49"/>
      <c r="K11343" s="48"/>
      <c r="L11343" s="89"/>
    </row>
    <row r="11344" spans="1:12" x14ac:dyDescent="0.3">
      <c r="A11344"/>
      <c r="B11344" s="72"/>
      <c r="C11344" s="88"/>
      <c r="E11344" s="72"/>
      <c r="H11344" s="49"/>
      <c r="K11344" s="48"/>
      <c r="L11344" s="89"/>
    </row>
    <row r="11345" spans="1:12" x14ac:dyDescent="0.3">
      <c r="A11345"/>
      <c r="B11345" s="72"/>
      <c r="C11345" s="88"/>
      <c r="E11345" s="72"/>
      <c r="H11345" s="49"/>
      <c r="K11345" s="48"/>
      <c r="L11345" s="89"/>
    </row>
    <row r="11346" spans="1:12" x14ac:dyDescent="0.3">
      <c r="A11346"/>
      <c r="B11346" s="72"/>
      <c r="C11346" s="88"/>
      <c r="E11346" s="72"/>
      <c r="H11346" s="49"/>
      <c r="K11346" s="48"/>
      <c r="L11346" s="89"/>
    </row>
    <row r="11347" spans="1:12" x14ac:dyDescent="0.3">
      <c r="A11347"/>
      <c r="B11347" s="72"/>
      <c r="C11347" s="88"/>
      <c r="E11347" s="72"/>
      <c r="H11347" s="49"/>
      <c r="K11347" s="48"/>
      <c r="L11347" s="89"/>
    </row>
    <row r="11348" spans="1:12" x14ac:dyDescent="0.3">
      <c r="A11348"/>
      <c r="B11348" s="72"/>
      <c r="C11348" s="88"/>
      <c r="E11348" s="72"/>
      <c r="H11348" s="49"/>
      <c r="K11348" s="48"/>
      <c r="L11348" s="89"/>
    </row>
    <row r="11349" spans="1:12" x14ac:dyDescent="0.3">
      <c r="A11349"/>
      <c r="B11349" s="72"/>
      <c r="C11349" s="88"/>
      <c r="E11349" s="72"/>
      <c r="H11349" s="49"/>
      <c r="K11349" s="48"/>
      <c r="L11349" s="89"/>
    </row>
    <row r="11350" spans="1:12" x14ac:dyDescent="0.3">
      <c r="A11350"/>
      <c r="B11350" s="72"/>
      <c r="C11350" s="88"/>
      <c r="E11350" s="72"/>
      <c r="H11350" s="49"/>
      <c r="K11350" s="48"/>
      <c r="L11350" s="89"/>
    </row>
    <row r="11351" spans="1:12" x14ac:dyDescent="0.3">
      <c r="A11351"/>
      <c r="B11351" s="72"/>
      <c r="C11351" s="88"/>
      <c r="E11351" s="72"/>
      <c r="H11351" s="49"/>
      <c r="K11351" s="48"/>
      <c r="L11351" s="89"/>
    </row>
    <row r="11352" spans="1:12" x14ac:dyDescent="0.3">
      <c r="A11352"/>
      <c r="B11352" s="72"/>
      <c r="C11352" s="88"/>
      <c r="E11352" s="72"/>
      <c r="H11352" s="49"/>
      <c r="K11352" s="48"/>
      <c r="L11352" s="89"/>
    </row>
    <row r="11353" spans="1:12" x14ac:dyDescent="0.3">
      <c r="A11353"/>
      <c r="B11353" s="72"/>
      <c r="C11353" s="88"/>
      <c r="E11353" s="72"/>
      <c r="H11353" s="49"/>
      <c r="K11353" s="48"/>
      <c r="L11353" s="89"/>
    </row>
    <row r="11354" spans="1:12" x14ac:dyDescent="0.3">
      <c r="A11354"/>
      <c r="B11354" s="72"/>
      <c r="C11354" s="88"/>
      <c r="E11354" s="72"/>
      <c r="H11354" s="49"/>
      <c r="K11354" s="48"/>
      <c r="L11354" s="89"/>
    </row>
    <row r="11355" spans="1:12" x14ac:dyDescent="0.3">
      <c r="A11355"/>
      <c r="B11355" s="72"/>
      <c r="C11355" s="88"/>
      <c r="E11355" s="72"/>
      <c r="H11355" s="49"/>
      <c r="K11355" s="48"/>
      <c r="L11355" s="89"/>
    </row>
    <row r="11356" spans="1:12" x14ac:dyDescent="0.3">
      <c r="A11356"/>
      <c r="B11356" s="72"/>
      <c r="C11356" s="88"/>
      <c r="E11356" s="72"/>
      <c r="H11356" s="49"/>
      <c r="K11356" s="48"/>
      <c r="L11356" s="89"/>
    </row>
    <row r="11357" spans="1:12" x14ac:dyDescent="0.3">
      <c r="A11357"/>
      <c r="B11357" s="72"/>
      <c r="C11357" s="88"/>
      <c r="E11357" s="72"/>
      <c r="H11357" s="49"/>
      <c r="K11357" s="48"/>
      <c r="L11357" s="89"/>
    </row>
    <row r="11358" spans="1:12" x14ac:dyDescent="0.3">
      <c r="A11358"/>
      <c r="B11358" s="72"/>
      <c r="C11358" s="88"/>
      <c r="E11358" s="72"/>
      <c r="H11358" s="49"/>
      <c r="K11358" s="48"/>
      <c r="L11358" s="89"/>
    </row>
    <row r="11359" spans="1:12" x14ac:dyDescent="0.3">
      <c r="A11359"/>
      <c r="B11359" s="72"/>
      <c r="C11359" s="88"/>
      <c r="E11359" s="72"/>
      <c r="H11359" s="49"/>
      <c r="K11359" s="48"/>
      <c r="L11359" s="89"/>
    </row>
    <row r="11360" spans="1:12" x14ac:dyDescent="0.3">
      <c r="A11360"/>
      <c r="B11360" s="72"/>
      <c r="C11360" s="88"/>
      <c r="E11360" s="72"/>
      <c r="H11360" s="49"/>
      <c r="K11360" s="48"/>
      <c r="L11360" s="89"/>
    </row>
    <row r="11361" spans="1:12" x14ac:dyDescent="0.3">
      <c r="A11361"/>
      <c r="B11361" s="72"/>
      <c r="C11361" s="88"/>
      <c r="E11361" s="72"/>
      <c r="H11361" s="49"/>
      <c r="K11361" s="48"/>
      <c r="L11361" s="89"/>
    </row>
    <row r="11362" spans="1:12" x14ac:dyDescent="0.3">
      <c r="A11362"/>
      <c r="B11362" s="72"/>
      <c r="C11362" s="88"/>
      <c r="E11362" s="72"/>
      <c r="H11362" s="49"/>
      <c r="K11362" s="48"/>
      <c r="L11362" s="89"/>
    </row>
    <row r="11363" spans="1:12" x14ac:dyDescent="0.3">
      <c r="A11363"/>
      <c r="B11363" s="72"/>
      <c r="C11363" s="88"/>
      <c r="E11363" s="72"/>
      <c r="H11363" s="49"/>
      <c r="K11363" s="48"/>
      <c r="L11363" s="89"/>
    </row>
    <row r="11364" spans="1:12" x14ac:dyDescent="0.3">
      <c r="A11364"/>
      <c r="B11364" s="72"/>
      <c r="C11364" s="88"/>
      <c r="E11364" s="72"/>
      <c r="H11364" s="49"/>
      <c r="K11364" s="48"/>
      <c r="L11364" s="89"/>
    </row>
    <row r="11365" spans="1:12" x14ac:dyDescent="0.3">
      <c r="A11365"/>
      <c r="B11365" s="72"/>
      <c r="C11365" s="88"/>
      <c r="E11365" s="72"/>
      <c r="H11365" s="49"/>
      <c r="K11365" s="48"/>
      <c r="L11365" s="89"/>
    </row>
    <row r="11366" spans="1:12" x14ac:dyDescent="0.3">
      <c r="A11366"/>
      <c r="B11366" s="72"/>
      <c r="C11366" s="88"/>
      <c r="E11366" s="72"/>
      <c r="H11366" s="49"/>
      <c r="K11366" s="48"/>
      <c r="L11366" s="89"/>
    </row>
    <row r="11367" spans="1:12" x14ac:dyDescent="0.3">
      <c r="A11367"/>
      <c r="B11367" s="72"/>
      <c r="C11367" s="88"/>
      <c r="E11367" s="72"/>
      <c r="H11367" s="49"/>
      <c r="K11367" s="48"/>
      <c r="L11367" s="89"/>
    </row>
    <row r="11368" spans="1:12" x14ac:dyDescent="0.3">
      <c r="A11368"/>
      <c r="B11368" s="72"/>
      <c r="C11368" s="88"/>
      <c r="E11368" s="72"/>
      <c r="H11368" s="49"/>
      <c r="K11368" s="48"/>
      <c r="L11368" s="89"/>
    </row>
    <row r="11369" spans="1:12" x14ac:dyDescent="0.3">
      <c r="A11369"/>
      <c r="B11369" s="72"/>
      <c r="C11369" s="88"/>
      <c r="E11369" s="72"/>
      <c r="H11369" s="49"/>
      <c r="K11369" s="48"/>
      <c r="L11369" s="89"/>
    </row>
    <row r="11370" spans="1:12" x14ac:dyDescent="0.3">
      <c r="A11370"/>
      <c r="B11370" s="72"/>
      <c r="C11370" s="88"/>
      <c r="E11370" s="72"/>
      <c r="H11370" s="49"/>
      <c r="K11370" s="48"/>
      <c r="L11370" s="89"/>
    </row>
    <row r="11371" spans="1:12" x14ac:dyDescent="0.3">
      <c r="A11371"/>
      <c r="B11371" s="72"/>
      <c r="C11371" s="88"/>
      <c r="E11371" s="72"/>
      <c r="H11371" s="49"/>
      <c r="K11371" s="48"/>
      <c r="L11371" s="89"/>
    </row>
    <row r="11372" spans="1:12" x14ac:dyDescent="0.3">
      <c r="A11372"/>
      <c r="B11372" s="72"/>
      <c r="C11372" s="88"/>
      <c r="E11372" s="72"/>
      <c r="H11372" s="49"/>
      <c r="K11372" s="48"/>
      <c r="L11372" s="89"/>
    </row>
    <row r="11373" spans="1:12" x14ac:dyDescent="0.3">
      <c r="A11373"/>
      <c r="B11373" s="72"/>
      <c r="C11373" s="88"/>
      <c r="E11373" s="72"/>
      <c r="H11373" s="49"/>
      <c r="K11373" s="48"/>
      <c r="L11373" s="89"/>
    </row>
    <row r="11374" spans="1:12" x14ac:dyDescent="0.3">
      <c r="A11374"/>
      <c r="B11374" s="72"/>
      <c r="C11374" s="88"/>
      <c r="E11374" s="72"/>
      <c r="H11374" s="49"/>
      <c r="K11374" s="48"/>
      <c r="L11374" s="89"/>
    </row>
    <row r="11375" spans="1:12" x14ac:dyDescent="0.3">
      <c r="A11375"/>
      <c r="B11375" s="72"/>
      <c r="C11375" s="88"/>
      <c r="E11375" s="72"/>
      <c r="H11375" s="49"/>
      <c r="K11375" s="48"/>
      <c r="L11375" s="89"/>
    </row>
    <row r="11376" spans="1:12" x14ac:dyDescent="0.3">
      <c r="A11376"/>
      <c r="B11376" s="72"/>
      <c r="C11376" s="88"/>
      <c r="E11376" s="72"/>
      <c r="H11376" s="49"/>
      <c r="K11376" s="48"/>
      <c r="L11376" s="89"/>
    </row>
    <row r="11377" spans="1:12" x14ac:dyDescent="0.3">
      <c r="A11377"/>
      <c r="B11377" s="72"/>
      <c r="C11377" s="88"/>
      <c r="E11377" s="72"/>
      <c r="H11377" s="49"/>
      <c r="K11377" s="48"/>
      <c r="L11377" s="89"/>
    </row>
    <row r="11378" spans="1:12" x14ac:dyDescent="0.3">
      <c r="A11378"/>
      <c r="B11378" s="72"/>
      <c r="C11378" s="88"/>
      <c r="E11378" s="72"/>
      <c r="H11378" s="49"/>
      <c r="K11378" s="48"/>
      <c r="L11378" s="89"/>
    </row>
    <row r="11379" spans="1:12" x14ac:dyDescent="0.3">
      <c r="A11379"/>
      <c r="B11379" s="72"/>
      <c r="C11379" s="88"/>
      <c r="E11379" s="72"/>
      <c r="H11379" s="49"/>
      <c r="K11379" s="48"/>
      <c r="L11379" s="89"/>
    </row>
    <row r="11380" spans="1:12" x14ac:dyDescent="0.3">
      <c r="A11380"/>
      <c r="B11380" s="72"/>
      <c r="C11380" s="88"/>
      <c r="E11380" s="72"/>
      <c r="H11380" s="49"/>
      <c r="K11380" s="48"/>
      <c r="L11380" s="89"/>
    </row>
    <row r="11381" spans="1:12" x14ac:dyDescent="0.3">
      <c r="A11381"/>
      <c r="B11381" s="72"/>
      <c r="C11381" s="88"/>
      <c r="E11381" s="72"/>
      <c r="H11381" s="49"/>
      <c r="K11381" s="48"/>
      <c r="L11381" s="89"/>
    </row>
    <row r="11382" spans="1:12" x14ac:dyDescent="0.3">
      <c r="A11382"/>
      <c r="B11382" s="72"/>
      <c r="C11382" s="88"/>
      <c r="E11382" s="72"/>
      <c r="H11382" s="49"/>
      <c r="K11382" s="48"/>
      <c r="L11382" s="89"/>
    </row>
    <row r="11383" spans="1:12" x14ac:dyDescent="0.3">
      <c r="A11383"/>
      <c r="B11383" s="72"/>
      <c r="C11383" s="88"/>
      <c r="E11383" s="72"/>
      <c r="H11383" s="49"/>
      <c r="K11383" s="48"/>
      <c r="L11383" s="89"/>
    </row>
    <row r="11384" spans="1:12" x14ac:dyDescent="0.3">
      <c r="A11384"/>
      <c r="B11384" s="72"/>
      <c r="C11384" s="88"/>
      <c r="E11384" s="72"/>
      <c r="H11384" s="49"/>
      <c r="K11384" s="48"/>
      <c r="L11384" s="89"/>
    </row>
    <row r="11385" spans="1:12" x14ac:dyDescent="0.3">
      <c r="A11385"/>
      <c r="B11385" s="72"/>
      <c r="C11385" s="88"/>
      <c r="E11385" s="72"/>
      <c r="H11385" s="49"/>
      <c r="K11385" s="48"/>
      <c r="L11385" s="89"/>
    </row>
    <row r="11386" spans="1:12" x14ac:dyDescent="0.3">
      <c r="A11386"/>
      <c r="B11386" s="72"/>
      <c r="C11386" s="88"/>
      <c r="E11386" s="72"/>
      <c r="H11386" s="49"/>
      <c r="K11386" s="48"/>
      <c r="L11386" s="89"/>
    </row>
    <row r="11387" spans="1:12" x14ac:dyDescent="0.3">
      <c r="A11387"/>
      <c r="B11387" s="72"/>
      <c r="C11387" s="88"/>
      <c r="E11387" s="72"/>
      <c r="H11387" s="49"/>
      <c r="K11387" s="48"/>
      <c r="L11387" s="89"/>
    </row>
    <row r="11388" spans="1:12" x14ac:dyDescent="0.3">
      <c r="A11388"/>
      <c r="B11388" s="72"/>
      <c r="C11388" s="88"/>
      <c r="E11388" s="72"/>
      <c r="H11388" s="49"/>
      <c r="K11388" s="48"/>
      <c r="L11388" s="89"/>
    </row>
    <row r="11389" spans="1:12" x14ac:dyDescent="0.3">
      <c r="A11389"/>
      <c r="B11389" s="72"/>
      <c r="C11389" s="88"/>
      <c r="E11389" s="72"/>
      <c r="H11389" s="49"/>
      <c r="K11389" s="48"/>
      <c r="L11389" s="89"/>
    </row>
    <row r="11390" spans="1:12" x14ac:dyDescent="0.3">
      <c r="A11390"/>
      <c r="B11390" s="72"/>
      <c r="C11390" s="88"/>
      <c r="E11390" s="72"/>
      <c r="H11390" s="49"/>
      <c r="K11390" s="48"/>
      <c r="L11390" s="89"/>
    </row>
    <row r="11391" spans="1:12" x14ac:dyDescent="0.3">
      <c r="A11391"/>
      <c r="B11391" s="72"/>
      <c r="C11391" s="88"/>
      <c r="E11391" s="72"/>
      <c r="H11391" s="49"/>
      <c r="K11391" s="48"/>
      <c r="L11391" s="89"/>
    </row>
    <row r="11392" spans="1:12" x14ac:dyDescent="0.3">
      <c r="A11392"/>
      <c r="B11392" s="72"/>
      <c r="C11392" s="88"/>
      <c r="E11392" s="72"/>
      <c r="H11392" s="49"/>
      <c r="K11392" s="48"/>
      <c r="L11392" s="89"/>
    </row>
    <row r="11393" spans="1:12" x14ac:dyDescent="0.3">
      <c r="A11393"/>
      <c r="B11393" s="72"/>
      <c r="C11393" s="88"/>
      <c r="E11393" s="72"/>
      <c r="H11393" s="49"/>
      <c r="K11393" s="48"/>
      <c r="L11393" s="89"/>
    </row>
    <row r="11394" spans="1:12" x14ac:dyDescent="0.3">
      <c r="A11394"/>
      <c r="B11394" s="72"/>
      <c r="C11394" s="88"/>
      <c r="E11394" s="72"/>
      <c r="H11394" s="49"/>
      <c r="K11394" s="48"/>
      <c r="L11394" s="89"/>
    </row>
    <row r="11395" spans="1:12" x14ac:dyDescent="0.3">
      <c r="A11395"/>
      <c r="B11395" s="72"/>
      <c r="C11395" s="88"/>
      <c r="E11395" s="72"/>
      <c r="H11395" s="49"/>
      <c r="K11395" s="48"/>
      <c r="L11395" s="89"/>
    </row>
    <row r="11396" spans="1:12" x14ac:dyDescent="0.3">
      <c r="A11396"/>
      <c r="B11396" s="72"/>
      <c r="C11396" s="88"/>
      <c r="E11396" s="72"/>
      <c r="H11396" s="49"/>
      <c r="K11396" s="48"/>
      <c r="L11396" s="89"/>
    </row>
    <row r="11397" spans="1:12" x14ac:dyDescent="0.3">
      <c r="A11397"/>
      <c r="B11397" s="72"/>
      <c r="C11397" s="88"/>
      <c r="E11397" s="72"/>
      <c r="H11397" s="49"/>
      <c r="K11397" s="48"/>
      <c r="L11397" s="89"/>
    </row>
    <row r="11398" spans="1:12" x14ac:dyDescent="0.3">
      <c r="A11398"/>
      <c r="B11398" s="72"/>
      <c r="C11398" s="88"/>
      <c r="E11398" s="72"/>
      <c r="H11398" s="49"/>
      <c r="K11398" s="48"/>
      <c r="L11398" s="89"/>
    </row>
    <row r="11399" spans="1:12" x14ac:dyDescent="0.3">
      <c r="A11399"/>
      <c r="B11399" s="72"/>
      <c r="C11399" s="88"/>
      <c r="E11399" s="72"/>
      <c r="H11399" s="49"/>
      <c r="K11399" s="48"/>
      <c r="L11399" s="89"/>
    </row>
    <row r="11400" spans="1:12" x14ac:dyDescent="0.3">
      <c r="A11400"/>
      <c r="B11400" s="72"/>
      <c r="C11400" s="88"/>
      <c r="E11400" s="72"/>
      <c r="H11400" s="49"/>
      <c r="K11400" s="48"/>
      <c r="L11400" s="89"/>
    </row>
    <row r="11401" spans="1:12" x14ac:dyDescent="0.3">
      <c r="A11401"/>
      <c r="B11401" s="72"/>
      <c r="C11401" s="88"/>
      <c r="E11401" s="72"/>
      <c r="H11401" s="49"/>
      <c r="K11401" s="48"/>
      <c r="L11401" s="89"/>
    </row>
    <row r="11402" spans="1:12" x14ac:dyDescent="0.3">
      <c r="A11402"/>
      <c r="B11402" s="72"/>
      <c r="C11402" s="88"/>
      <c r="E11402" s="72"/>
      <c r="H11402" s="49"/>
      <c r="K11402" s="48"/>
      <c r="L11402" s="89"/>
    </row>
    <row r="11403" spans="1:12" x14ac:dyDescent="0.3">
      <c r="A11403"/>
      <c r="B11403" s="72"/>
      <c r="C11403" s="88"/>
      <c r="E11403" s="72"/>
      <c r="H11403" s="49"/>
      <c r="K11403" s="48"/>
      <c r="L11403" s="89"/>
    </row>
    <row r="11404" spans="1:12" x14ac:dyDescent="0.3">
      <c r="A11404"/>
      <c r="B11404" s="72"/>
      <c r="C11404" s="88"/>
      <c r="E11404" s="72"/>
      <c r="H11404" s="49"/>
      <c r="K11404" s="48"/>
      <c r="L11404" s="89"/>
    </row>
    <row r="11405" spans="1:12" x14ac:dyDescent="0.3">
      <c r="A11405"/>
      <c r="B11405" s="72"/>
      <c r="C11405" s="88"/>
      <c r="E11405" s="72"/>
      <c r="H11405" s="49"/>
      <c r="K11405" s="48"/>
      <c r="L11405" s="89"/>
    </row>
    <row r="11406" spans="1:12" x14ac:dyDescent="0.3">
      <c r="A11406"/>
      <c r="B11406" s="72"/>
      <c r="C11406" s="88"/>
      <c r="E11406" s="72"/>
      <c r="H11406" s="49"/>
      <c r="K11406" s="48"/>
      <c r="L11406" s="89"/>
    </row>
    <row r="11407" spans="1:12" x14ac:dyDescent="0.3">
      <c r="A11407"/>
      <c r="B11407" s="72"/>
      <c r="C11407" s="88"/>
      <c r="E11407" s="72"/>
      <c r="H11407" s="49"/>
      <c r="K11407" s="48"/>
      <c r="L11407" s="89"/>
    </row>
    <row r="11408" spans="1:12" x14ac:dyDescent="0.3">
      <c r="A11408"/>
      <c r="B11408" s="72"/>
      <c r="C11408" s="88"/>
      <c r="E11408" s="72"/>
      <c r="H11408" s="49"/>
      <c r="K11408" s="48"/>
      <c r="L11408" s="89"/>
    </row>
    <row r="11409" spans="1:12" x14ac:dyDescent="0.3">
      <c r="A11409"/>
      <c r="B11409" s="72"/>
      <c r="C11409" s="88"/>
      <c r="E11409" s="72"/>
      <c r="H11409" s="49"/>
      <c r="K11409" s="48"/>
      <c r="L11409" s="89"/>
    </row>
    <row r="11410" spans="1:12" x14ac:dyDescent="0.3">
      <c r="A11410"/>
      <c r="B11410" s="72"/>
      <c r="C11410" s="88"/>
      <c r="E11410" s="72"/>
      <c r="H11410" s="49"/>
      <c r="K11410" s="48"/>
      <c r="L11410" s="89"/>
    </row>
    <row r="11411" spans="1:12" x14ac:dyDescent="0.3">
      <c r="A11411"/>
      <c r="B11411" s="72"/>
      <c r="C11411" s="88"/>
      <c r="E11411" s="72"/>
      <c r="H11411" s="49"/>
      <c r="K11411" s="48"/>
      <c r="L11411" s="89"/>
    </row>
    <row r="11412" spans="1:12" x14ac:dyDescent="0.3">
      <c r="A11412"/>
      <c r="B11412" s="72"/>
      <c r="C11412" s="88"/>
      <c r="E11412" s="72"/>
      <c r="H11412" s="49"/>
      <c r="K11412" s="48"/>
      <c r="L11412" s="89"/>
    </row>
    <row r="11413" spans="1:12" x14ac:dyDescent="0.3">
      <c r="A11413"/>
      <c r="B11413" s="72"/>
      <c r="C11413" s="88"/>
      <c r="E11413" s="72"/>
      <c r="H11413" s="49"/>
      <c r="K11413" s="48"/>
      <c r="L11413" s="89"/>
    </row>
    <row r="11414" spans="1:12" x14ac:dyDescent="0.3">
      <c r="A11414"/>
      <c r="B11414" s="72"/>
      <c r="C11414" s="88"/>
      <c r="E11414" s="72"/>
      <c r="H11414" s="49"/>
      <c r="K11414" s="48"/>
      <c r="L11414" s="89"/>
    </row>
    <row r="11415" spans="1:12" x14ac:dyDescent="0.3">
      <c r="A11415"/>
      <c r="B11415" s="72"/>
      <c r="C11415" s="88"/>
      <c r="E11415" s="72"/>
      <c r="H11415" s="49"/>
      <c r="K11415" s="48"/>
      <c r="L11415" s="89"/>
    </row>
    <row r="11416" spans="1:12" x14ac:dyDescent="0.3">
      <c r="A11416"/>
      <c r="B11416" s="72"/>
      <c r="C11416" s="88"/>
      <c r="E11416" s="72"/>
      <c r="H11416" s="49"/>
      <c r="K11416" s="48"/>
      <c r="L11416" s="89"/>
    </row>
    <row r="11417" spans="1:12" x14ac:dyDescent="0.3">
      <c r="A11417"/>
      <c r="B11417" s="72"/>
      <c r="C11417" s="88"/>
      <c r="E11417" s="72"/>
      <c r="H11417" s="49"/>
      <c r="K11417" s="48"/>
      <c r="L11417" s="89"/>
    </row>
    <row r="11418" spans="1:12" x14ac:dyDescent="0.3">
      <c r="A11418"/>
      <c r="B11418" s="72"/>
      <c r="C11418" s="88"/>
      <c r="E11418" s="72"/>
      <c r="H11418" s="49"/>
      <c r="K11418" s="48"/>
      <c r="L11418" s="89"/>
    </row>
    <row r="11419" spans="1:12" x14ac:dyDescent="0.3">
      <c r="A11419"/>
      <c r="B11419" s="72"/>
      <c r="C11419" s="88"/>
      <c r="E11419" s="72"/>
      <c r="H11419" s="49"/>
      <c r="K11419" s="48"/>
      <c r="L11419" s="89"/>
    </row>
    <row r="11420" spans="1:12" x14ac:dyDescent="0.3">
      <c r="A11420"/>
      <c r="B11420" s="72"/>
      <c r="C11420" s="88"/>
      <c r="E11420" s="72"/>
      <c r="H11420" s="49"/>
      <c r="K11420" s="48"/>
      <c r="L11420" s="89"/>
    </row>
    <row r="11421" spans="1:12" x14ac:dyDescent="0.3">
      <c r="A11421"/>
      <c r="B11421" s="72"/>
      <c r="C11421" s="88"/>
      <c r="E11421" s="72"/>
      <c r="H11421" s="49"/>
      <c r="K11421" s="48"/>
      <c r="L11421" s="89"/>
    </row>
    <row r="11422" spans="1:12" x14ac:dyDescent="0.3">
      <c r="A11422"/>
      <c r="B11422" s="72"/>
      <c r="C11422" s="88"/>
      <c r="E11422" s="72"/>
      <c r="H11422" s="49"/>
      <c r="K11422" s="48"/>
      <c r="L11422" s="89"/>
    </row>
    <row r="11423" spans="1:12" x14ac:dyDescent="0.3">
      <c r="A11423"/>
      <c r="B11423" s="72"/>
      <c r="C11423" s="88"/>
      <c r="E11423" s="72"/>
      <c r="H11423" s="49"/>
      <c r="K11423" s="48"/>
      <c r="L11423" s="89"/>
    </row>
    <row r="11424" spans="1:12" x14ac:dyDescent="0.3">
      <c r="A11424"/>
      <c r="B11424" s="72"/>
      <c r="C11424" s="88"/>
      <c r="E11424" s="72"/>
      <c r="H11424" s="49"/>
      <c r="K11424" s="48"/>
      <c r="L11424" s="89"/>
    </row>
    <row r="11425" spans="1:12" x14ac:dyDescent="0.3">
      <c r="A11425"/>
      <c r="B11425" s="72"/>
      <c r="C11425" s="88"/>
      <c r="E11425" s="72"/>
      <c r="H11425" s="49"/>
      <c r="K11425" s="48"/>
      <c r="L11425" s="89"/>
    </row>
    <row r="11426" spans="1:12" x14ac:dyDescent="0.3">
      <c r="A11426"/>
      <c r="B11426" s="72"/>
      <c r="C11426" s="88"/>
      <c r="E11426" s="72"/>
      <c r="H11426" s="49"/>
      <c r="K11426" s="48"/>
      <c r="L11426" s="89"/>
    </row>
    <row r="11427" spans="1:12" x14ac:dyDescent="0.3">
      <c r="A11427"/>
      <c r="B11427" s="72"/>
      <c r="C11427" s="88"/>
      <c r="E11427" s="72"/>
      <c r="H11427" s="49"/>
      <c r="K11427" s="48"/>
      <c r="L11427" s="89"/>
    </row>
    <row r="11428" spans="1:12" x14ac:dyDescent="0.3">
      <c r="A11428"/>
      <c r="B11428" s="72"/>
      <c r="C11428" s="88"/>
      <c r="E11428" s="72"/>
      <c r="H11428" s="49"/>
      <c r="K11428" s="48"/>
      <c r="L11428" s="89"/>
    </row>
    <row r="11429" spans="1:12" x14ac:dyDescent="0.3">
      <c r="A11429"/>
      <c r="B11429" s="72"/>
      <c r="C11429" s="88"/>
      <c r="E11429" s="72"/>
      <c r="H11429" s="49"/>
      <c r="K11429" s="48"/>
      <c r="L11429" s="89"/>
    </row>
    <row r="11430" spans="1:12" x14ac:dyDescent="0.3">
      <c r="A11430"/>
      <c r="B11430" s="72"/>
      <c r="C11430" s="88"/>
      <c r="E11430" s="72"/>
      <c r="H11430" s="49"/>
      <c r="K11430" s="48"/>
      <c r="L11430" s="89"/>
    </row>
    <row r="11431" spans="1:12" x14ac:dyDescent="0.3">
      <c r="A11431"/>
      <c r="B11431" s="72"/>
      <c r="C11431" s="88"/>
      <c r="E11431" s="72"/>
      <c r="H11431" s="49"/>
      <c r="K11431" s="48"/>
      <c r="L11431" s="89"/>
    </row>
    <row r="11432" spans="1:12" x14ac:dyDescent="0.3">
      <c r="A11432"/>
      <c r="B11432" s="72"/>
      <c r="C11432" s="88"/>
      <c r="E11432" s="72"/>
      <c r="H11432" s="49"/>
      <c r="K11432" s="48"/>
      <c r="L11432" s="89"/>
    </row>
    <row r="11433" spans="1:12" x14ac:dyDescent="0.3">
      <c r="A11433"/>
      <c r="B11433" s="72"/>
      <c r="C11433" s="88"/>
      <c r="E11433" s="72"/>
      <c r="H11433" s="49"/>
      <c r="K11433" s="48"/>
      <c r="L11433" s="89"/>
    </row>
    <row r="11434" spans="1:12" x14ac:dyDescent="0.3">
      <c r="A11434"/>
      <c r="B11434" s="72"/>
      <c r="C11434" s="88"/>
      <c r="E11434" s="72"/>
      <c r="H11434" s="49"/>
      <c r="K11434" s="48"/>
      <c r="L11434" s="89"/>
    </row>
    <row r="11435" spans="1:12" x14ac:dyDescent="0.3">
      <c r="A11435"/>
      <c r="B11435" s="72"/>
      <c r="C11435" s="88"/>
      <c r="E11435" s="72"/>
      <c r="H11435" s="49"/>
      <c r="K11435" s="48"/>
      <c r="L11435" s="89"/>
    </row>
    <row r="11436" spans="1:12" x14ac:dyDescent="0.3">
      <c r="A11436"/>
      <c r="B11436" s="72"/>
      <c r="C11436" s="88"/>
      <c r="E11436" s="72"/>
      <c r="H11436" s="49"/>
      <c r="K11436" s="48"/>
      <c r="L11436" s="89"/>
    </row>
    <row r="11437" spans="1:12" x14ac:dyDescent="0.3">
      <c r="A11437"/>
      <c r="B11437" s="72"/>
      <c r="C11437" s="88"/>
      <c r="E11437" s="72"/>
      <c r="H11437" s="49"/>
      <c r="K11437" s="48"/>
      <c r="L11437" s="89"/>
    </row>
    <row r="11438" spans="1:12" x14ac:dyDescent="0.3">
      <c r="A11438"/>
      <c r="B11438" s="72"/>
      <c r="C11438" s="88"/>
      <c r="E11438" s="72"/>
      <c r="H11438" s="49"/>
      <c r="K11438" s="48"/>
      <c r="L11438" s="89"/>
    </row>
    <row r="11439" spans="1:12" x14ac:dyDescent="0.3">
      <c r="A11439"/>
      <c r="B11439" s="72"/>
      <c r="C11439" s="88"/>
      <c r="E11439" s="72"/>
      <c r="H11439" s="49"/>
      <c r="K11439" s="48"/>
      <c r="L11439" s="89"/>
    </row>
    <row r="11440" spans="1:12" x14ac:dyDescent="0.3">
      <c r="A11440"/>
      <c r="B11440" s="72"/>
      <c r="C11440" s="88"/>
      <c r="E11440" s="72"/>
      <c r="H11440" s="49"/>
      <c r="K11440" s="48"/>
      <c r="L11440" s="89"/>
    </row>
    <row r="11441" spans="1:12" x14ac:dyDescent="0.3">
      <c r="A11441"/>
      <c r="B11441" s="72"/>
      <c r="C11441" s="88"/>
      <c r="E11441" s="72"/>
      <c r="H11441" s="49"/>
      <c r="K11441" s="48"/>
      <c r="L11441" s="89"/>
    </row>
    <row r="11442" spans="1:12" x14ac:dyDescent="0.3">
      <c r="A11442"/>
      <c r="B11442" s="72"/>
      <c r="C11442" s="88"/>
      <c r="E11442" s="72"/>
      <c r="H11442" s="49"/>
      <c r="K11442" s="48"/>
      <c r="L11442" s="89"/>
    </row>
    <row r="11443" spans="1:12" x14ac:dyDescent="0.3">
      <c r="A11443"/>
      <c r="B11443" s="72"/>
      <c r="C11443" s="88"/>
      <c r="E11443" s="72"/>
      <c r="H11443" s="49"/>
      <c r="K11443" s="48"/>
      <c r="L11443" s="89"/>
    </row>
    <row r="11444" spans="1:12" x14ac:dyDescent="0.3">
      <c r="A11444"/>
      <c r="B11444" s="72"/>
      <c r="C11444" s="88"/>
      <c r="E11444" s="72"/>
      <c r="H11444" s="49"/>
      <c r="K11444" s="48"/>
      <c r="L11444" s="89"/>
    </row>
    <row r="11445" spans="1:12" x14ac:dyDescent="0.3">
      <c r="A11445"/>
      <c r="B11445" s="72"/>
      <c r="C11445" s="88"/>
      <c r="E11445" s="72"/>
      <c r="H11445" s="49"/>
      <c r="K11445" s="48"/>
      <c r="L11445" s="89"/>
    </row>
    <row r="11446" spans="1:12" x14ac:dyDescent="0.3">
      <c r="A11446"/>
      <c r="B11446" s="72"/>
      <c r="C11446" s="88"/>
      <c r="E11446" s="72"/>
      <c r="H11446" s="49"/>
      <c r="K11446" s="48"/>
      <c r="L11446" s="89"/>
    </row>
    <row r="11447" spans="1:12" x14ac:dyDescent="0.3">
      <c r="A11447"/>
      <c r="B11447" s="72"/>
      <c r="C11447" s="88"/>
      <c r="E11447" s="72"/>
      <c r="H11447" s="49"/>
      <c r="K11447" s="48"/>
      <c r="L11447" s="89"/>
    </row>
    <row r="11448" spans="1:12" x14ac:dyDescent="0.3">
      <c r="A11448"/>
      <c r="B11448" s="72"/>
      <c r="C11448" s="88"/>
      <c r="E11448" s="72"/>
      <c r="H11448" s="49"/>
      <c r="K11448" s="48"/>
      <c r="L11448" s="89"/>
    </row>
    <row r="11449" spans="1:12" x14ac:dyDescent="0.3">
      <c r="A11449"/>
      <c r="B11449" s="72"/>
      <c r="C11449" s="88"/>
      <c r="E11449" s="72"/>
      <c r="H11449" s="49"/>
      <c r="K11449" s="48"/>
      <c r="L11449" s="89"/>
    </row>
    <row r="11450" spans="1:12" x14ac:dyDescent="0.3">
      <c r="A11450"/>
      <c r="B11450" s="72"/>
      <c r="C11450" s="88"/>
      <c r="E11450" s="72"/>
      <c r="H11450" s="49"/>
      <c r="K11450" s="48"/>
      <c r="L11450" s="89"/>
    </row>
    <row r="11451" spans="1:12" x14ac:dyDescent="0.3">
      <c r="A11451"/>
      <c r="B11451" s="72"/>
      <c r="C11451" s="88"/>
      <c r="E11451" s="72"/>
      <c r="H11451" s="49"/>
      <c r="K11451" s="48"/>
      <c r="L11451" s="89"/>
    </row>
    <row r="11452" spans="1:12" x14ac:dyDescent="0.3">
      <c r="A11452"/>
      <c r="B11452" s="72"/>
      <c r="C11452" s="88"/>
      <c r="E11452" s="72"/>
      <c r="H11452" s="49"/>
      <c r="K11452" s="48"/>
      <c r="L11452" s="89"/>
    </row>
    <row r="11453" spans="1:12" x14ac:dyDescent="0.3">
      <c r="A11453"/>
      <c r="B11453" s="72"/>
      <c r="C11453" s="88"/>
      <c r="E11453" s="72"/>
      <c r="H11453" s="49"/>
      <c r="K11453" s="48"/>
      <c r="L11453" s="89"/>
    </row>
    <row r="11454" spans="1:12" x14ac:dyDescent="0.3">
      <c r="A11454"/>
      <c r="B11454" s="72"/>
      <c r="C11454" s="88"/>
      <c r="E11454" s="72"/>
      <c r="H11454" s="49"/>
      <c r="K11454" s="48"/>
      <c r="L11454" s="89"/>
    </row>
    <row r="11455" spans="1:12" x14ac:dyDescent="0.3">
      <c r="A11455"/>
      <c r="B11455" s="72"/>
      <c r="C11455" s="88"/>
      <c r="E11455" s="72"/>
      <c r="H11455" s="49"/>
      <c r="K11455" s="48"/>
      <c r="L11455" s="89"/>
    </row>
    <row r="11456" spans="1:12" x14ac:dyDescent="0.3">
      <c r="A11456"/>
      <c r="B11456" s="72"/>
      <c r="C11456" s="88"/>
      <c r="E11456" s="72"/>
      <c r="H11456" s="49"/>
      <c r="K11456" s="48"/>
      <c r="L11456" s="89"/>
    </row>
    <row r="11457" spans="1:12" x14ac:dyDescent="0.3">
      <c r="A11457"/>
      <c r="B11457" s="72"/>
      <c r="C11457" s="88"/>
      <c r="E11457" s="72"/>
      <c r="H11457" s="49"/>
      <c r="K11457" s="48"/>
      <c r="L11457" s="89"/>
    </row>
    <row r="11458" spans="1:12" x14ac:dyDescent="0.3">
      <c r="A11458"/>
      <c r="B11458" s="72"/>
      <c r="C11458" s="88"/>
      <c r="E11458" s="72"/>
      <c r="H11458" s="49"/>
      <c r="K11458" s="48"/>
      <c r="L11458" s="89"/>
    </row>
    <row r="11459" spans="1:12" x14ac:dyDescent="0.3">
      <c r="A11459"/>
      <c r="B11459" s="72"/>
      <c r="C11459" s="88"/>
      <c r="E11459" s="72"/>
      <c r="H11459" s="49"/>
      <c r="K11459" s="48"/>
      <c r="L11459" s="89"/>
    </row>
    <row r="11460" spans="1:12" x14ac:dyDescent="0.3">
      <c r="A11460"/>
      <c r="B11460" s="72"/>
      <c r="C11460" s="88"/>
      <c r="E11460" s="72"/>
      <c r="H11460" s="49"/>
      <c r="K11460" s="48"/>
      <c r="L11460" s="89"/>
    </row>
    <row r="11461" spans="1:12" x14ac:dyDescent="0.3">
      <c r="A11461"/>
      <c r="B11461" s="72"/>
      <c r="C11461" s="88"/>
      <c r="E11461" s="72"/>
      <c r="H11461" s="49"/>
      <c r="K11461" s="48"/>
      <c r="L11461" s="89"/>
    </row>
    <row r="11462" spans="1:12" x14ac:dyDescent="0.3">
      <c r="A11462"/>
      <c r="B11462" s="72"/>
      <c r="C11462" s="88"/>
      <c r="E11462" s="72"/>
      <c r="H11462" s="49"/>
      <c r="K11462" s="48"/>
      <c r="L11462" s="89"/>
    </row>
    <row r="11463" spans="1:12" x14ac:dyDescent="0.3">
      <c r="A11463"/>
      <c r="B11463" s="72"/>
      <c r="C11463" s="88"/>
      <c r="E11463" s="72"/>
      <c r="H11463" s="49"/>
      <c r="K11463" s="48"/>
      <c r="L11463" s="89"/>
    </row>
    <row r="11464" spans="1:12" x14ac:dyDescent="0.3">
      <c r="A11464"/>
      <c r="B11464" s="72"/>
      <c r="C11464" s="88"/>
      <c r="E11464" s="72"/>
      <c r="H11464" s="49"/>
      <c r="K11464" s="48"/>
      <c r="L11464" s="89"/>
    </row>
    <row r="11465" spans="1:12" x14ac:dyDescent="0.3">
      <c r="A11465"/>
      <c r="B11465" s="72"/>
      <c r="C11465" s="88"/>
      <c r="E11465" s="72"/>
      <c r="H11465" s="49"/>
      <c r="K11465" s="48"/>
      <c r="L11465" s="89"/>
    </row>
    <row r="11466" spans="1:12" x14ac:dyDescent="0.3">
      <c r="A11466"/>
      <c r="B11466" s="72"/>
      <c r="C11466" s="88"/>
      <c r="E11466" s="72"/>
      <c r="H11466" s="49"/>
      <c r="K11466" s="48"/>
      <c r="L11466" s="89"/>
    </row>
    <row r="11467" spans="1:12" x14ac:dyDescent="0.3">
      <c r="A11467"/>
      <c r="B11467" s="72"/>
      <c r="C11467" s="88"/>
      <c r="E11467" s="72"/>
      <c r="H11467" s="49"/>
      <c r="K11467" s="48"/>
      <c r="L11467" s="89"/>
    </row>
    <row r="11468" spans="1:12" x14ac:dyDescent="0.3">
      <c r="A11468"/>
      <c r="B11468" s="72"/>
      <c r="C11468" s="88"/>
      <c r="E11468" s="72"/>
      <c r="H11468" s="49"/>
      <c r="K11468" s="48"/>
      <c r="L11468" s="89"/>
    </row>
    <row r="11469" spans="1:12" x14ac:dyDescent="0.3">
      <c r="A11469"/>
      <c r="B11469" s="72"/>
      <c r="C11469" s="88"/>
      <c r="E11469" s="72"/>
      <c r="H11469" s="49"/>
      <c r="K11469" s="48"/>
      <c r="L11469" s="89"/>
    </row>
    <row r="11470" spans="1:12" x14ac:dyDescent="0.3">
      <c r="A11470"/>
      <c r="B11470" s="72"/>
      <c r="C11470" s="88"/>
      <c r="E11470" s="72"/>
      <c r="H11470" s="49"/>
      <c r="K11470" s="48"/>
      <c r="L11470" s="89"/>
    </row>
    <row r="11471" spans="1:12" x14ac:dyDescent="0.3">
      <c r="A11471"/>
      <c r="B11471" s="72"/>
      <c r="C11471" s="88"/>
      <c r="E11471" s="72"/>
      <c r="H11471" s="49"/>
      <c r="K11471" s="48"/>
      <c r="L11471" s="89"/>
    </row>
    <row r="11472" spans="1:12" x14ac:dyDescent="0.3">
      <c r="A11472"/>
      <c r="B11472" s="72"/>
      <c r="C11472" s="88"/>
      <c r="E11472" s="72"/>
      <c r="H11472" s="49"/>
      <c r="K11472" s="48"/>
      <c r="L11472" s="89"/>
    </row>
    <row r="11473" spans="1:12" x14ac:dyDescent="0.3">
      <c r="A11473"/>
      <c r="B11473" s="72"/>
      <c r="C11473" s="88"/>
      <c r="E11473" s="72"/>
      <c r="H11473" s="49"/>
      <c r="K11473" s="48"/>
      <c r="L11473" s="89"/>
    </row>
    <row r="11474" spans="1:12" x14ac:dyDescent="0.3">
      <c r="A11474"/>
      <c r="B11474" s="72"/>
      <c r="C11474" s="88"/>
      <c r="E11474" s="72"/>
      <c r="H11474" s="49"/>
      <c r="K11474" s="48"/>
      <c r="L11474" s="89"/>
    </row>
    <row r="11475" spans="1:12" x14ac:dyDescent="0.3">
      <c r="A11475"/>
      <c r="B11475" s="72"/>
      <c r="C11475" s="88"/>
      <c r="E11475" s="72"/>
      <c r="H11475" s="49"/>
      <c r="K11475" s="48"/>
      <c r="L11475" s="89"/>
    </row>
    <row r="11476" spans="1:12" x14ac:dyDescent="0.3">
      <c r="A11476"/>
      <c r="B11476" s="72"/>
      <c r="C11476" s="88"/>
      <c r="E11476" s="72"/>
      <c r="H11476" s="49"/>
      <c r="K11476" s="48"/>
      <c r="L11476" s="89"/>
    </row>
    <row r="11477" spans="1:12" x14ac:dyDescent="0.3">
      <c r="A11477"/>
      <c r="B11477" s="72"/>
      <c r="C11477" s="88"/>
      <c r="E11477" s="72"/>
      <c r="H11477" s="49"/>
      <c r="K11477" s="48"/>
      <c r="L11477" s="89"/>
    </row>
    <row r="11478" spans="1:12" x14ac:dyDescent="0.3">
      <c r="A11478"/>
      <c r="B11478" s="72"/>
      <c r="C11478" s="88"/>
      <c r="E11478" s="72"/>
      <c r="H11478" s="49"/>
      <c r="K11478" s="48"/>
      <c r="L11478" s="89"/>
    </row>
    <row r="11479" spans="1:12" x14ac:dyDescent="0.3">
      <c r="A11479"/>
      <c r="B11479" s="72"/>
      <c r="C11479" s="88"/>
      <c r="E11479" s="72"/>
      <c r="H11479" s="49"/>
      <c r="K11479" s="48"/>
      <c r="L11479" s="89"/>
    </row>
    <row r="11480" spans="1:12" x14ac:dyDescent="0.3">
      <c r="A11480"/>
      <c r="B11480" s="72"/>
      <c r="C11480" s="88"/>
      <c r="E11480" s="72"/>
      <c r="H11480" s="49"/>
      <c r="K11480" s="48"/>
      <c r="L11480" s="89"/>
    </row>
    <row r="11481" spans="1:12" x14ac:dyDescent="0.3">
      <c r="A11481"/>
      <c r="B11481" s="72"/>
      <c r="C11481" s="88"/>
      <c r="E11481" s="72"/>
      <c r="H11481" s="49"/>
      <c r="K11481" s="48"/>
      <c r="L11481" s="89"/>
    </row>
    <row r="11482" spans="1:12" x14ac:dyDescent="0.3">
      <c r="A11482"/>
      <c r="B11482" s="72"/>
      <c r="C11482" s="88"/>
      <c r="E11482" s="72"/>
      <c r="H11482" s="49"/>
      <c r="K11482" s="48"/>
      <c r="L11482" s="89"/>
    </row>
    <row r="11483" spans="1:12" x14ac:dyDescent="0.3">
      <c r="A11483"/>
      <c r="B11483" s="72"/>
      <c r="C11483" s="88"/>
      <c r="E11483" s="72"/>
      <c r="H11483" s="49"/>
      <c r="K11483" s="48"/>
      <c r="L11483" s="89"/>
    </row>
    <row r="11484" spans="1:12" x14ac:dyDescent="0.3">
      <c r="A11484"/>
      <c r="B11484" s="72"/>
      <c r="C11484" s="88"/>
      <c r="E11484" s="72"/>
      <c r="H11484" s="49"/>
      <c r="K11484" s="48"/>
      <c r="L11484" s="89"/>
    </row>
    <row r="11485" spans="1:12" x14ac:dyDescent="0.3">
      <c r="A11485"/>
      <c r="B11485" s="72"/>
      <c r="C11485" s="88"/>
      <c r="E11485" s="72"/>
      <c r="H11485" s="49"/>
      <c r="K11485" s="48"/>
      <c r="L11485" s="89"/>
    </row>
    <row r="11486" spans="1:12" x14ac:dyDescent="0.3">
      <c r="A11486"/>
      <c r="B11486" s="72"/>
      <c r="C11486" s="88"/>
      <c r="E11486" s="72"/>
      <c r="H11486" s="49"/>
      <c r="K11486" s="48"/>
      <c r="L11486" s="89"/>
    </row>
    <row r="11487" spans="1:12" x14ac:dyDescent="0.3">
      <c r="A11487"/>
      <c r="B11487" s="72"/>
      <c r="C11487" s="88"/>
      <c r="E11487" s="72"/>
      <c r="H11487" s="49"/>
      <c r="K11487" s="48"/>
      <c r="L11487" s="89"/>
    </row>
    <row r="11488" spans="1:12" x14ac:dyDescent="0.3">
      <c r="A11488"/>
      <c r="B11488" s="72"/>
      <c r="C11488" s="88"/>
      <c r="E11488" s="72"/>
      <c r="H11488" s="49"/>
      <c r="K11488" s="48"/>
      <c r="L11488" s="89"/>
    </row>
    <row r="11489" spans="1:12" x14ac:dyDescent="0.3">
      <c r="A11489"/>
      <c r="B11489" s="72"/>
      <c r="C11489" s="88"/>
      <c r="E11489" s="72"/>
      <c r="H11489" s="49"/>
      <c r="K11489" s="48"/>
      <c r="L11489" s="89"/>
    </row>
    <row r="11490" spans="1:12" x14ac:dyDescent="0.3">
      <c r="A11490"/>
      <c r="B11490" s="72"/>
      <c r="C11490" s="88"/>
      <c r="E11490" s="72"/>
      <c r="H11490" s="49"/>
      <c r="K11490" s="48"/>
      <c r="L11490" s="89"/>
    </row>
    <row r="11491" spans="1:12" x14ac:dyDescent="0.3">
      <c r="A11491"/>
      <c r="B11491" s="72"/>
      <c r="C11491" s="88"/>
      <c r="E11491" s="72"/>
      <c r="H11491" s="49"/>
      <c r="K11491" s="48"/>
      <c r="L11491" s="89"/>
    </row>
    <row r="11492" spans="1:12" x14ac:dyDescent="0.3">
      <c r="A11492"/>
      <c r="B11492" s="72"/>
      <c r="C11492" s="88"/>
      <c r="E11492" s="72"/>
      <c r="H11492" s="49"/>
      <c r="K11492" s="48"/>
      <c r="L11492" s="89"/>
    </row>
    <row r="11493" spans="1:12" x14ac:dyDescent="0.3">
      <c r="A11493"/>
      <c r="B11493" s="72"/>
      <c r="C11493" s="88"/>
      <c r="E11493" s="72"/>
      <c r="H11493" s="49"/>
      <c r="K11493" s="48"/>
      <c r="L11493" s="89"/>
    </row>
    <row r="11494" spans="1:12" x14ac:dyDescent="0.3">
      <c r="A11494"/>
      <c r="B11494" s="72"/>
      <c r="C11494" s="88"/>
      <c r="E11494" s="72"/>
      <c r="H11494" s="49"/>
      <c r="K11494" s="48"/>
      <c r="L11494" s="89"/>
    </row>
    <row r="11495" spans="1:12" x14ac:dyDescent="0.3">
      <c r="A11495"/>
      <c r="B11495" s="72"/>
      <c r="C11495" s="88"/>
      <c r="E11495" s="72"/>
      <c r="H11495" s="49"/>
      <c r="K11495" s="48"/>
      <c r="L11495" s="89"/>
    </row>
    <row r="11496" spans="1:12" x14ac:dyDescent="0.3">
      <c r="A11496"/>
      <c r="B11496" s="72"/>
      <c r="C11496" s="88"/>
      <c r="E11496" s="72"/>
      <c r="H11496" s="49"/>
      <c r="K11496" s="48"/>
      <c r="L11496" s="89"/>
    </row>
    <row r="11497" spans="1:12" x14ac:dyDescent="0.3">
      <c r="A11497"/>
      <c r="B11497" s="72"/>
      <c r="C11497" s="88"/>
      <c r="E11497" s="72"/>
      <c r="H11497" s="49"/>
      <c r="K11497" s="48"/>
      <c r="L11497" s="89"/>
    </row>
    <row r="11498" spans="1:12" x14ac:dyDescent="0.3">
      <c r="A11498"/>
      <c r="B11498" s="72"/>
      <c r="C11498" s="88"/>
      <c r="E11498" s="72"/>
      <c r="H11498" s="49"/>
      <c r="K11498" s="48"/>
      <c r="L11498" s="89"/>
    </row>
    <row r="11499" spans="1:12" x14ac:dyDescent="0.3">
      <c r="A11499"/>
      <c r="B11499" s="72"/>
      <c r="C11499" s="88"/>
      <c r="E11499" s="72"/>
      <c r="H11499" s="49"/>
      <c r="K11499" s="48"/>
      <c r="L11499" s="89"/>
    </row>
    <row r="11500" spans="1:12" x14ac:dyDescent="0.3">
      <c r="A11500"/>
      <c r="B11500" s="72"/>
      <c r="C11500" s="88"/>
      <c r="E11500" s="72"/>
      <c r="H11500" s="49"/>
      <c r="K11500" s="48"/>
      <c r="L11500" s="89"/>
    </row>
    <row r="11501" spans="1:12" x14ac:dyDescent="0.3">
      <c r="A11501"/>
      <c r="B11501" s="72"/>
      <c r="C11501" s="88"/>
      <c r="E11501" s="72"/>
      <c r="H11501" s="49"/>
      <c r="K11501" s="48"/>
      <c r="L11501" s="89"/>
    </row>
    <row r="11502" spans="1:12" x14ac:dyDescent="0.3">
      <c r="A11502"/>
      <c r="B11502" s="72"/>
      <c r="C11502" s="88"/>
      <c r="E11502" s="72"/>
      <c r="H11502" s="49"/>
      <c r="K11502" s="48"/>
      <c r="L11502" s="89"/>
    </row>
    <row r="11503" spans="1:12" x14ac:dyDescent="0.3">
      <c r="A11503"/>
      <c r="B11503" s="72"/>
      <c r="C11503" s="88"/>
      <c r="E11503" s="72"/>
      <c r="H11503" s="49"/>
      <c r="K11503" s="48"/>
      <c r="L11503" s="89"/>
    </row>
    <row r="11504" spans="1:12" x14ac:dyDescent="0.3">
      <c r="A11504"/>
      <c r="B11504" s="72"/>
      <c r="C11504" s="88"/>
      <c r="E11504" s="72"/>
      <c r="H11504" s="49"/>
      <c r="K11504" s="48"/>
      <c r="L11504" s="89"/>
    </row>
    <row r="11505" spans="1:12" x14ac:dyDescent="0.3">
      <c r="A11505"/>
      <c r="B11505" s="72"/>
      <c r="C11505" s="88"/>
      <c r="E11505" s="72"/>
      <c r="H11505" s="49"/>
      <c r="K11505" s="48"/>
      <c r="L11505" s="89"/>
    </row>
    <row r="11506" spans="1:12" x14ac:dyDescent="0.3">
      <c r="A11506"/>
      <c r="B11506" s="72"/>
      <c r="C11506" s="88"/>
      <c r="E11506" s="72"/>
      <c r="H11506" s="49"/>
      <c r="K11506" s="48"/>
      <c r="L11506" s="89"/>
    </row>
    <row r="11507" spans="1:12" x14ac:dyDescent="0.3">
      <c r="A11507"/>
      <c r="B11507" s="72"/>
      <c r="C11507" s="88"/>
      <c r="E11507" s="72"/>
      <c r="H11507" s="49"/>
      <c r="K11507" s="48"/>
      <c r="L11507" s="89"/>
    </row>
    <row r="11508" spans="1:12" x14ac:dyDescent="0.3">
      <c r="A11508"/>
      <c r="B11508" s="72"/>
      <c r="C11508" s="88"/>
      <c r="E11508" s="72"/>
      <c r="H11508" s="49"/>
      <c r="K11508" s="48"/>
      <c r="L11508" s="89"/>
    </row>
    <row r="11509" spans="1:12" x14ac:dyDescent="0.3">
      <c r="A11509"/>
      <c r="B11509" s="72"/>
      <c r="C11509" s="88"/>
      <c r="E11509" s="72"/>
      <c r="H11509" s="49"/>
      <c r="K11509" s="48"/>
      <c r="L11509" s="89"/>
    </row>
    <row r="11510" spans="1:12" x14ac:dyDescent="0.3">
      <c r="A11510"/>
      <c r="B11510" s="72"/>
      <c r="C11510" s="88"/>
      <c r="E11510" s="72"/>
      <c r="H11510" s="49"/>
      <c r="K11510" s="48"/>
      <c r="L11510" s="89"/>
    </row>
    <row r="11511" spans="1:12" x14ac:dyDescent="0.3">
      <c r="A11511"/>
      <c r="B11511" s="72"/>
      <c r="C11511" s="88"/>
      <c r="E11511" s="72"/>
      <c r="H11511" s="49"/>
      <c r="K11511" s="48"/>
      <c r="L11511" s="89"/>
    </row>
    <row r="11512" spans="1:12" x14ac:dyDescent="0.3">
      <c r="A11512"/>
      <c r="B11512" s="72"/>
      <c r="C11512" s="88"/>
      <c r="E11512" s="72"/>
      <c r="H11512" s="49"/>
      <c r="K11512" s="48"/>
      <c r="L11512" s="89"/>
    </row>
    <row r="11513" spans="1:12" x14ac:dyDescent="0.3">
      <c r="A11513"/>
      <c r="B11513" s="72"/>
      <c r="C11513" s="88"/>
      <c r="E11513" s="72"/>
      <c r="H11513" s="49"/>
      <c r="K11513" s="48"/>
      <c r="L11513" s="89"/>
    </row>
    <row r="11514" spans="1:12" x14ac:dyDescent="0.3">
      <c r="A11514"/>
      <c r="B11514" s="72"/>
      <c r="C11514" s="88"/>
      <c r="E11514" s="72"/>
      <c r="H11514" s="49"/>
      <c r="K11514" s="48"/>
      <c r="L11514" s="89"/>
    </row>
    <row r="11515" spans="1:12" x14ac:dyDescent="0.3">
      <c r="A11515"/>
      <c r="B11515" s="72"/>
      <c r="C11515" s="88"/>
      <c r="E11515" s="72"/>
      <c r="H11515" s="49"/>
      <c r="K11515" s="48"/>
      <c r="L11515" s="89"/>
    </row>
    <row r="11516" spans="1:12" x14ac:dyDescent="0.3">
      <c r="A11516"/>
      <c r="B11516" s="72"/>
      <c r="C11516" s="88"/>
      <c r="E11516" s="72"/>
      <c r="H11516" s="49"/>
      <c r="K11516" s="48"/>
      <c r="L11516" s="89"/>
    </row>
    <row r="11517" spans="1:12" x14ac:dyDescent="0.3">
      <c r="A11517"/>
      <c r="B11517" s="72"/>
      <c r="C11517" s="88"/>
      <c r="E11517" s="72"/>
      <c r="H11517" s="49"/>
      <c r="K11517" s="48"/>
      <c r="L11517" s="89"/>
    </row>
    <row r="11518" spans="1:12" x14ac:dyDescent="0.3">
      <c r="A11518"/>
      <c r="B11518" s="72"/>
      <c r="C11518" s="88"/>
      <c r="E11518" s="72"/>
      <c r="H11518" s="49"/>
      <c r="K11518" s="48"/>
      <c r="L11518" s="89"/>
    </row>
    <row r="11519" spans="1:12" x14ac:dyDescent="0.3">
      <c r="A11519"/>
      <c r="B11519" s="72"/>
      <c r="C11519" s="88"/>
      <c r="E11519" s="72"/>
      <c r="H11519" s="49"/>
      <c r="K11519" s="48"/>
      <c r="L11519" s="89"/>
    </row>
    <row r="11520" spans="1:12" x14ac:dyDescent="0.3">
      <c r="A11520"/>
      <c r="B11520" s="72"/>
      <c r="C11520" s="88"/>
      <c r="E11520" s="72"/>
      <c r="H11520" s="49"/>
      <c r="K11520" s="48"/>
      <c r="L11520" s="89"/>
    </row>
    <row r="11521" spans="1:12" x14ac:dyDescent="0.3">
      <c r="A11521"/>
      <c r="B11521" s="72"/>
      <c r="C11521" s="88"/>
      <c r="E11521" s="72"/>
      <c r="H11521" s="49"/>
      <c r="K11521" s="48"/>
      <c r="L11521" s="89"/>
    </row>
    <row r="11522" spans="1:12" x14ac:dyDescent="0.3">
      <c r="A11522"/>
      <c r="B11522" s="72"/>
      <c r="C11522" s="88"/>
      <c r="E11522" s="72"/>
      <c r="H11522" s="49"/>
      <c r="K11522" s="48"/>
      <c r="L11522" s="89"/>
    </row>
    <row r="11523" spans="1:12" x14ac:dyDescent="0.3">
      <c r="A11523"/>
      <c r="B11523" s="72"/>
      <c r="C11523" s="88"/>
      <c r="E11523" s="72"/>
      <c r="H11523" s="49"/>
      <c r="K11523" s="48"/>
      <c r="L11523" s="89"/>
    </row>
    <row r="11524" spans="1:12" x14ac:dyDescent="0.3">
      <c r="A11524"/>
      <c r="B11524" s="72"/>
      <c r="C11524" s="88"/>
      <c r="E11524" s="72"/>
      <c r="H11524" s="49"/>
      <c r="K11524" s="48"/>
      <c r="L11524" s="89"/>
    </row>
    <row r="11525" spans="1:12" x14ac:dyDescent="0.3">
      <c r="A11525"/>
      <c r="B11525" s="72"/>
      <c r="C11525" s="88"/>
      <c r="E11525" s="72"/>
      <c r="H11525" s="49"/>
      <c r="K11525" s="48"/>
      <c r="L11525" s="89"/>
    </row>
    <row r="11526" spans="1:12" x14ac:dyDescent="0.3">
      <c r="A11526"/>
      <c r="B11526" s="72"/>
      <c r="C11526" s="88"/>
      <c r="E11526" s="72"/>
      <c r="H11526" s="49"/>
      <c r="K11526" s="48"/>
      <c r="L11526" s="89"/>
    </row>
    <row r="11527" spans="1:12" x14ac:dyDescent="0.3">
      <c r="A11527"/>
      <c r="B11527" s="72"/>
      <c r="C11527" s="88"/>
      <c r="E11527" s="72"/>
      <c r="H11527" s="49"/>
      <c r="K11527" s="48"/>
      <c r="L11527" s="89"/>
    </row>
    <row r="11528" spans="1:12" x14ac:dyDescent="0.3">
      <c r="A11528"/>
      <c r="B11528" s="72"/>
      <c r="C11528" s="88"/>
      <c r="E11528" s="72"/>
      <c r="H11528" s="49"/>
      <c r="K11528" s="48"/>
      <c r="L11528" s="89"/>
    </row>
    <row r="11529" spans="1:12" x14ac:dyDescent="0.3">
      <c r="A11529"/>
      <c r="B11529" s="72"/>
      <c r="C11529" s="88"/>
      <c r="E11529" s="72"/>
      <c r="H11529" s="49"/>
      <c r="K11529" s="48"/>
      <c r="L11529" s="89"/>
    </row>
    <row r="11530" spans="1:12" x14ac:dyDescent="0.3">
      <c r="A11530"/>
      <c r="B11530" s="72"/>
      <c r="C11530" s="88"/>
      <c r="E11530" s="72"/>
      <c r="H11530" s="49"/>
      <c r="K11530" s="48"/>
      <c r="L11530" s="89"/>
    </row>
    <row r="11531" spans="1:12" x14ac:dyDescent="0.3">
      <c r="A11531"/>
      <c r="B11531" s="72"/>
      <c r="C11531" s="88"/>
      <c r="E11531" s="72"/>
      <c r="H11531" s="49"/>
      <c r="K11531" s="48"/>
      <c r="L11531" s="89"/>
    </row>
    <row r="11532" spans="1:12" x14ac:dyDescent="0.3">
      <c r="A11532"/>
      <c r="B11532" s="72"/>
      <c r="C11532" s="88"/>
      <c r="E11532" s="72"/>
      <c r="H11532" s="49"/>
      <c r="K11532" s="48"/>
      <c r="L11532" s="89"/>
    </row>
    <row r="11533" spans="1:12" x14ac:dyDescent="0.3">
      <c r="A11533"/>
      <c r="B11533" s="72"/>
      <c r="C11533" s="88"/>
      <c r="E11533" s="72"/>
      <c r="H11533" s="49"/>
      <c r="K11533" s="48"/>
      <c r="L11533" s="89"/>
    </row>
    <row r="11534" spans="1:12" x14ac:dyDescent="0.3">
      <c r="A11534"/>
      <c r="B11534" s="72"/>
      <c r="C11534" s="88"/>
      <c r="E11534" s="72"/>
      <c r="H11534" s="49"/>
      <c r="K11534" s="48"/>
      <c r="L11534" s="89"/>
    </row>
    <row r="11535" spans="1:12" x14ac:dyDescent="0.3">
      <c r="A11535"/>
      <c r="B11535" s="72"/>
      <c r="C11535" s="88"/>
      <c r="E11535" s="72"/>
      <c r="H11535" s="49"/>
      <c r="K11535" s="48"/>
      <c r="L11535" s="89"/>
    </row>
    <row r="11536" spans="1:12" x14ac:dyDescent="0.3">
      <c r="A11536"/>
      <c r="B11536" s="72"/>
      <c r="C11536" s="88"/>
      <c r="E11536" s="72"/>
      <c r="H11536" s="49"/>
      <c r="K11536" s="48"/>
      <c r="L11536" s="89"/>
    </row>
    <row r="11537" spans="1:12" x14ac:dyDescent="0.3">
      <c r="A11537"/>
      <c r="B11537" s="72"/>
      <c r="C11537" s="88"/>
      <c r="E11537" s="72"/>
      <c r="H11537" s="49"/>
      <c r="K11537" s="48"/>
      <c r="L11537" s="89"/>
    </row>
    <row r="11538" spans="1:12" x14ac:dyDescent="0.3">
      <c r="A11538"/>
      <c r="B11538" s="72"/>
      <c r="C11538" s="88"/>
      <c r="E11538" s="72"/>
      <c r="H11538" s="49"/>
      <c r="K11538" s="48"/>
      <c r="L11538" s="89"/>
    </row>
    <row r="11539" spans="1:12" x14ac:dyDescent="0.3">
      <c r="A11539"/>
      <c r="B11539" s="72"/>
      <c r="C11539" s="88"/>
      <c r="E11539" s="72"/>
      <c r="H11539" s="49"/>
      <c r="K11539" s="48"/>
      <c r="L11539" s="89"/>
    </row>
    <row r="11540" spans="1:12" x14ac:dyDescent="0.3">
      <c r="A11540"/>
      <c r="B11540" s="72"/>
      <c r="C11540" s="88"/>
      <c r="E11540" s="72"/>
      <c r="H11540" s="49"/>
      <c r="K11540" s="48"/>
      <c r="L11540" s="89"/>
    </row>
    <row r="11541" spans="1:12" x14ac:dyDescent="0.3">
      <c r="A11541"/>
      <c r="B11541" s="72"/>
      <c r="C11541" s="88"/>
      <c r="E11541" s="72"/>
      <c r="H11541" s="49"/>
      <c r="K11541" s="48"/>
      <c r="L11541" s="89"/>
    </row>
    <row r="11542" spans="1:12" x14ac:dyDescent="0.3">
      <c r="A11542"/>
      <c r="B11542" s="72"/>
      <c r="C11542" s="88"/>
      <c r="E11542" s="72"/>
      <c r="H11542" s="49"/>
      <c r="K11542" s="48"/>
      <c r="L11542" s="89"/>
    </row>
    <row r="11543" spans="1:12" x14ac:dyDescent="0.3">
      <c r="A11543"/>
      <c r="B11543" s="72"/>
      <c r="C11543" s="88"/>
      <c r="E11543" s="72"/>
      <c r="H11543" s="49"/>
      <c r="K11543" s="48"/>
      <c r="L11543" s="89"/>
    </row>
    <row r="11544" spans="1:12" x14ac:dyDescent="0.3">
      <c r="A11544"/>
      <c r="B11544" s="72"/>
      <c r="C11544" s="88"/>
      <c r="E11544" s="72"/>
      <c r="H11544" s="49"/>
      <c r="K11544" s="48"/>
      <c r="L11544" s="89"/>
    </row>
    <row r="11545" spans="1:12" x14ac:dyDescent="0.3">
      <c r="A11545"/>
      <c r="B11545" s="72"/>
      <c r="C11545" s="88"/>
      <c r="E11545" s="72"/>
      <c r="H11545" s="49"/>
      <c r="K11545" s="48"/>
      <c r="L11545" s="89"/>
    </row>
    <row r="11546" spans="1:12" x14ac:dyDescent="0.3">
      <c r="A11546"/>
      <c r="B11546" s="72"/>
      <c r="C11546" s="88"/>
      <c r="E11546" s="72"/>
      <c r="H11546" s="49"/>
      <c r="K11546" s="48"/>
      <c r="L11546" s="89"/>
    </row>
    <row r="11547" spans="1:12" x14ac:dyDescent="0.3">
      <c r="A11547"/>
      <c r="B11547" s="72"/>
      <c r="C11547" s="88"/>
      <c r="E11547" s="72"/>
      <c r="H11547" s="49"/>
      <c r="K11547" s="48"/>
      <c r="L11547" s="89"/>
    </row>
    <row r="11548" spans="1:12" x14ac:dyDescent="0.3">
      <c r="A11548"/>
      <c r="B11548" s="72"/>
      <c r="C11548" s="88"/>
      <c r="E11548" s="72"/>
      <c r="H11548" s="49"/>
      <c r="K11548" s="48"/>
      <c r="L11548" s="89"/>
    </row>
    <row r="11549" spans="1:12" x14ac:dyDescent="0.3">
      <c r="A11549"/>
      <c r="B11549" s="72"/>
      <c r="C11549" s="88"/>
      <c r="E11549" s="72"/>
      <c r="H11549" s="49"/>
      <c r="K11549" s="48"/>
      <c r="L11549" s="89"/>
    </row>
    <row r="11550" spans="1:12" x14ac:dyDescent="0.3">
      <c r="A11550"/>
      <c r="B11550" s="72"/>
      <c r="C11550" s="88"/>
      <c r="E11550" s="72"/>
      <c r="H11550" s="49"/>
      <c r="K11550" s="48"/>
      <c r="L11550" s="89"/>
    </row>
    <row r="11551" spans="1:12" x14ac:dyDescent="0.3">
      <c r="A11551"/>
      <c r="B11551" s="72"/>
      <c r="C11551" s="88"/>
      <c r="E11551" s="72"/>
      <c r="H11551" s="49"/>
      <c r="K11551" s="48"/>
      <c r="L11551" s="89"/>
    </row>
    <row r="11552" spans="1:12" x14ac:dyDescent="0.3">
      <c r="A11552"/>
      <c r="B11552" s="72"/>
      <c r="C11552" s="88"/>
      <c r="E11552" s="72"/>
      <c r="H11552" s="49"/>
      <c r="K11552" s="48"/>
      <c r="L11552" s="89"/>
    </row>
    <row r="11553" spans="1:12" x14ac:dyDescent="0.3">
      <c r="A11553"/>
      <c r="B11553" s="72"/>
      <c r="C11553" s="88"/>
      <c r="E11553" s="72"/>
      <c r="H11553" s="49"/>
      <c r="K11553" s="48"/>
      <c r="L11553" s="89"/>
    </row>
    <row r="11554" spans="1:12" x14ac:dyDescent="0.3">
      <c r="A11554"/>
      <c r="B11554" s="72"/>
      <c r="C11554" s="88"/>
      <c r="E11554" s="72"/>
      <c r="H11554" s="49"/>
      <c r="K11554" s="48"/>
      <c r="L11554" s="89"/>
    </row>
    <row r="11555" spans="1:12" x14ac:dyDescent="0.3">
      <c r="A11555"/>
      <c r="B11555" s="72"/>
      <c r="C11555" s="88"/>
      <c r="E11555" s="72"/>
      <c r="H11555" s="49"/>
      <c r="K11555" s="48"/>
      <c r="L11555" s="89"/>
    </row>
    <row r="11556" spans="1:12" x14ac:dyDescent="0.3">
      <c r="A11556"/>
      <c r="B11556" s="72"/>
      <c r="C11556" s="88"/>
      <c r="E11556" s="72"/>
      <c r="H11556" s="49"/>
      <c r="K11556" s="48"/>
      <c r="L11556" s="89"/>
    </row>
    <row r="11557" spans="1:12" x14ac:dyDescent="0.3">
      <c r="A11557"/>
      <c r="B11557" s="72"/>
      <c r="C11557" s="88"/>
      <c r="E11557" s="72"/>
      <c r="H11557" s="49"/>
      <c r="K11557" s="48"/>
      <c r="L11557" s="89"/>
    </row>
    <row r="11558" spans="1:12" x14ac:dyDescent="0.3">
      <c r="A11558"/>
      <c r="B11558" s="72"/>
      <c r="C11558" s="88"/>
      <c r="E11558" s="72"/>
      <c r="H11558" s="49"/>
      <c r="K11558" s="48"/>
      <c r="L11558" s="89"/>
    </row>
    <row r="11559" spans="1:12" x14ac:dyDescent="0.3">
      <c r="A11559"/>
      <c r="B11559" s="72"/>
      <c r="C11559" s="88"/>
      <c r="E11559" s="72"/>
      <c r="H11559" s="49"/>
      <c r="K11559" s="48"/>
      <c r="L11559" s="89"/>
    </row>
    <row r="11560" spans="1:12" x14ac:dyDescent="0.3">
      <c r="A11560"/>
      <c r="B11560" s="72"/>
      <c r="C11560" s="88"/>
      <c r="E11560" s="72"/>
      <c r="H11560" s="49"/>
      <c r="K11560" s="48"/>
      <c r="L11560" s="89"/>
    </row>
    <row r="11561" spans="1:12" x14ac:dyDescent="0.3">
      <c r="A11561"/>
      <c r="B11561" s="72"/>
      <c r="C11561" s="88"/>
      <c r="E11561" s="72"/>
      <c r="H11561" s="49"/>
      <c r="K11561" s="48"/>
      <c r="L11561" s="89"/>
    </row>
    <row r="11562" spans="1:12" x14ac:dyDescent="0.3">
      <c r="A11562"/>
      <c r="B11562" s="72"/>
      <c r="C11562" s="88"/>
      <c r="E11562" s="72"/>
      <c r="H11562" s="49"/>
      <c r="K11562" s="48"/>
      <c r="L11562" s="89"/>
    </row>
    <row r="11563" spans="1:12" x14ac:dyDescent="0.3">
      <c r="A11563"/>
      <c r="B11563" s="72"/>
      <c r="C11563" s="88"/>
      <c r="E11563" s="72"/>
      <c r="H11563" s="49"/>
      <c r="K11563" s="48"/>
      <c r="L11563" s="89"/>
    </row>
    <row r="11564" spans="1:12" x14ac:dyDescent="0.3">
      <c r="A11564"/>
      <c r="B11564" s="72"/>
      <c r="C11564" s="88"/>
      <c r="E11564" s="72"/>
      <c r="H11564" s="49"/>
      <c r="K11564" s="48"/>
      <c r="L11564" s="89"/>
    </row>
    <row r="11565" spans="1:12" x14ac:dyDescent="0.3">
      <c r="A11565"/>
      <c r="B11565" s="72"/>
      <c r="C11565" s="88"/>
      <c r="E11565" s="72"/>
      <c r="H11565" s="49"/>
      <c r="K11565" s="48"/>
      <c r="L11565" s="89"/>
    </row>
    <row r="11566" spans="1:12" x14ac:dyDescent="0.3">
      <c r="A11566"/>
      <c r="B11566" s="72"/>
      <c r="C11566" s="88"/>
      <c r="E11566" s="72"/>
      <c r="H11566" s="49"/>
      <c r="K11566" s="48"/>
      <c r="L11566" s="89"/>
    </row>
    <row r="11567" spans="1:12" x14ac:dyDescent="0.3">
      <c r="A11567"/>
      <c r="B11567" s="72"/>
      <c r="C11567" s="88"/>
      <c r="E11567" s="72"/>
      <c r="H11567" s="49"/>
      <c r="K11567" s="48"/>
      <c r="L11567" s="89"/>
    </row>
    <row r="11568" spans="1:12" x14ac:dyDescent="0.3">
      <c r="A11568"/>
      <c r="B11568" s="72"/>
      <c r="C11568" s="88"/>
      <c r="E11568" s="72"/>
      <c r="H11568" s="49"/>
      <c r="K11568" s="48"/>
      <c r="L11568" s="89"/>
    </row>
    <row r="11569" spans="1:12" x14ac:dyDescent="0.3">
      <c r="A11569"/>
      <c r="B11569" s="72"/>
      <c r="C11569" s="88"/>
      <c r="E11569" s="72"/>
      <c r="H11569" s="49"/>
      <c r="K11569" s="48"/>
      <c r="L11569" s="89"/>
    </row>
    <row r="11570" spans="1:12" x14ac:dyDescent="0.3">
      <c r="A11570"/>
      <c r="B11570" s="72"/>
      <c r="C11570" s="88"/>
      <c r="E11570" s="72"/>
      <c r="H11570" s="49"/>
      <c r="K11570" s="48"/>
      <c r="L11570" s="89"/>
    </row>
    <row r="11571" spans="1:12" x14ac:dyDescent="0.3">
      <c r="A11571"/>
      <c r="B11571" s="72"/>
      <c r="C11571" s="88"/>
      <c r="E11571" s="72"/>
      <c r="H11571" s="49"/>
      <c r="K11571" s="48"/>
      <c r="L11571" s="89"/>
    </row>
    <row r="11572" spans="1:12" x14ac:dyDescent="0.3">
      <c r="A11572"/>
      <c r="B11572" s="72"/>
      <c r="C11572" s="88"/>
      <c r="E11572" s="72"/>
      <c r="H11572" s="49"/>
      <c r="K11572" s="48"/>
      <c r="L11572" s="89"/>
    </row>
    <row r="11573" spans="1:12" x14ac:dyDescent="0.3">
      <c r="A11573"/>
      <c r="B11573" s="72"/>
      <c r="C11573" s="88"/>
      <c r="E11573" s="72"/>
      <c r="H11573" s="49"/>
      <c r="K11573" s="48"/>
      <c r="L11573" s="89"/>
    </row>
    <row r="11574" spans="1:12" x14ac:dyDescent="0.3">
      <c r="A11574"/>
      <c r="B11574" s="72"/>
      <c r="C11574" s="88"/>
      <c r="E11574" s="72"/>
      <c r="H11574" s="49"/>
      <c r="K11574" s="48"/>
      <c r="L11574" s="89"/>
    </row>
    <row r="11575" spans="1:12" x14ac:dyDescent="0.3">
      <c r="A11575"/>
      <c r="B11575" s="72"/>
      <c r="C11575" s="88"/>
      <c r="E11575" s="72"/>
      <c r="H11575" s="49"/>
      <c r="K11575" s="48"/>
      <c r="L11575" s="89"/>
    </row>
    <row r="11576" spans="1:12" x14ac:dyDescent="0.3">
      <c r="A11576"/>
      <c r="B11576" s="72"/>
      <c r="C11576" s="88"/>
      <c r="E11576" s="72"/>
      <c r="H11576" s="49"/>
      <c r="K11576" s="48"/>
      <c r="L11576" s="89"/>
    </row>
    <row r="11577" spans="1:12" x14ac:dyDescent="0.3">
      <c r="A11577"/>
      <c r="B11577" s="72"/>
      <c r="C11577" s="88"/>
      <c r="E11577" s="72"/>
      <c r="H11577" s="49"/>
      <c r="K11577" s="48"/>
      <c r="L11577" s="89"/>
    </row>
    <row r="11578" spans="1:12" x14ac:dyDescent="0.3">
      <c r="A11578"/>
      <c r="B11578" s="72"/>
      <c r="C11578" s="88"/>
      <c r="E11578" s="72"/>
      <c r="H11578" s="49"/>
      <c r="K11578" s="48"/>
      <c r="L11578" s="89"/>
    </row>
    <row r="11579" spans="1:12" x14ac:dyDescent="0.3">
      <c r="A11579"/>
      <c r="B11579" s="72"/>
      <c r="C11579" s="88"/>
      <c r="E11579" s="72"/>
      <c r="H11579" s="49"/>
      <c r="K11579" s="48"/>
      <c r="L11579" s="89"/>
    </row>
    <row r="11580" spans="1:12" x14ac:dyDescent="0.3">
      <c r="A11580"/>
      <c r="B11580" s="72"/>
      <c r="C11580" s="88"/>
      <c r="E11580" s="72"/>
      <c r="H11580" s="49"/>
      <c r="K11580" s="48"/>
      <c r="L11580" s="89"/>
    </row>
    <row r="11581" spans="1:12" x14ac:dyDescent="0.3">
      <c r="A11581"/>
      <c r="B11581" s="72"/>
      <c r="C11581" s="88"/>
      <c r="E11581" s="72"/>
      <c r="H11581" s="49"/>
      <c r="K11581" s="48"/>
      <c r="L11581" s="89"/>
    </row>
    <row r="11582" spans="1:12" x14ac:dyDescent="0.3">
      <c r="A11582"/>
      <c r="B11582" s="72"/>
      <c r="C11582" s="88"/>
      <c r="E11582" s="72"/>
      <c r="H11582" s="49"/>
      <c r="K11582" s="48"/>
      <c r="L11582" s="89"/>
    </row>
    <row r="11583" spans="1:12" x14ac:dyDescent="0.3">
      <c r="A11583"/>
      <c r="B11583" s="72"/>
      <c r="C11583" s="88"/>
      <c r="E11583" s="72"/>
      <c r="H11583" s="49"/>
      <c r="K11583" s="48"/>
      <c r="L11583" s="89"/>
    </row>
    <row r="11584" spans="1:12" x14ac:dyDescent="0.3">
      <c r="A11584"/>
      <c r="B11584" s="72"/>
      <c r="C11584" s="88"/>
      <c r="E11584" s="72"/>
      <c r="H11584" s="49"/>
      <c r="K11584" s="48"/>
      <c r="L11584" s="89"/>
    </row>
    <row r="11585" spans="1:12" x14ac:dyDescent="0.3">
      <c r="A11585"/>
      <c r="B11585" s="72"/>
      <c r="C11585" s="88"/>
      <c r="E11585" s="72"/>
      <c r="H11585" s="49"/>
      <c r="K11585" s="48"/>
      <c r="L11585" s="89"/>
    </row>
    <row r="11586" spans="1:12" x14ac:dyDescent="0.3">
      <c r="A11586"/>
      <c r="B11586" s="72"/>
      <c r="C11586" s="88"/>
      <c r="E11586" s="72"/>
      <c r="H11586" s="49"/>
      <c r="K11586" s="48"/>
      <c r="L11586" s="89"/>
    </row>
    <row r="11587" spans="1:12" x14ac:dyDescent="0.3">
      <c r="A11587"/>
      <c r="B11587" s="72"/>
      <c r="C11587" s="88"/>
      <c r="E11587" s="72"/>
      <c r="H11587" s="49"/>
      <c r="K11587" s="48"/>
      <c r="L11587" s="89"/>
    </row>
    <row r="11588" spans="1:12" x14ac:dyDescent="0.3">
      <c r="A11588"/>
      <c r="B11588" s="72"/>
      <c r="C11588" s="88"/>
      <c r="E11588" s="72"/>
      <c r="H11588" s="49"/>
      <c r="K11588" s="48"/>
      <c r="L11588" s="89"/>
    </row>
    <row r="11589" spans="1:12" x14ac:dyDescent="0.3">
      <c r="A11589"/>
      <c r="B11589" s="72"/>
      <c r="C11589" s="88"/>
      <c r="E11589" s="72"/>
      <c r="H11589" s="49"/>
      <c r="K11589" s="48"/>
      <c r="L11589" s="89"/>
    </row>
    <row r="11590" spans="1:12" x14ac:dyDescent="0.3">
      <c r="A11590"/>
      <c r="B11590" s="72"/>
      <c r="C11590" s="88"/>
      <c r="E11590" s="72"/>
      <c r="H11590" s="49"/>
      <c r="K11590" s="48"/>
      <c r="L11590" s="89"/>
    </row>
    <row r="11591" spans="1:12" x14ac:dyDescent="0.3">
      <c r="A11591"/>
      <c r="B11591" s="72"/>
      <c r="C11591" s="88"/>
      <c r="E11591" s="72"/>
      <c r="H11591" s="49"/>
      <c r="K11591" s="48"/>
      <c r="L11591" s="89"/>
    </row>
    <row r="11592" spans="1:12" x14ac:dyDescent="0.3">
      <c r="A11592"/>
      <c r="B11592" s="72"/>
      <c r="C11592" s="88"/>
      <c r="E11592" s="72"/>
      <c r="H11592" s="49"/>
      <c r="K11592" s="48"/>
      <c r="L11592" s="89"/>
    </row>
    <row r="11593" spans="1:12" x14ac:dyDescent="0.3">
      <c r="A11593"/>
      <c r="B11593" s="72"/>
      <c r="C11593" s="88"/>
      <c r="E11593" s="72"/>
      <c r="H11593" s="49"/>
      <c r="K11593" s="48"/>
      <c r="L11593" s="89"/>
    </row>
    <row r="11594" spans="1:12" x14ac:dyDescent="0.3">
      <c r="A11594"/>
      <c r="B11594" s="72"/>
      <c r="C11594" s="88"/>
      <c r="E11594" s="72"/>
      <c r="H11594" s="49"/>
      <c r="K11594" s="48"/>
      <c r="L11594" s="89"/>
    </row>
    <row r="11595" spans="1:12" x14ac:dyDescent="0.3">
      <c r="A11595"/>
      <c r="B11595" s="72"/>
      <c r="C11595" s="88"/>
      <c r="E11595" s="72"/>
      <c r="H11595" s="49"/>
      <c r="K11595" s="48"/>
      <c r="L11595" s="89"/>
    </row>
    <row r="11596" spans="1:12" x14ac:dyDescent="0.3">
      <c r="A11596"/>
      <c r="B11596" s="72"/>
      <c r="C11596" s="88"/>
      <c r="E11596" s="72"/>
      <c r="H11596" s="49"/>
      <c r="K11596" s="48"/>
      <c r="L11596" s="89"/>
    </row>
    <row r="11597" spans="1:12" x14ac:dyDescent="0.3">
      <c r="A11597"/>
      <c r="B11597" s="72"/>
      <c r="C11597" s="88"/>
      <c r="E11597" s="72"/>
      <c r="H11597" s="49"/>
      <c r="K11597" s="48"/>
      <c r="L11597" s="89"/>
    </row>
    <row r="11598" spans="1:12" x14ac:dyDescent="0.3">
      <c r="A11598"/>
      <c r="B11598" s="72"/>
      <c r="C11598" s="88"/>
      <c r="E11598" s="72"/>
      <c r="H11598" s="49"/>
      <c r="K11598" s="48"/>
      <c r="L11598" s="89"/>
    </row>
    <row r="11599" spans="1:12" x14ac:dyDescent="0.3">
      <c r="A11599"/>
      <c r="B11599" s="72"/>
      <c r="C11599" s="88"/>
      <c r="E11599" s="72"/>
      <c r="H11599" s="49"/>
      <c r="K11599" s="48"/>
      <c r="L11599" s="89"/>
    </row>
    <row r="11600" spans="1:12" x14ac:dyDescent="0.3">
      <c r="A11600"/>
      <c r="B11600" s="72"/>
      <c r="C11600" s="88"/>
      <c r="E11600" s="72"/>
      <c r="H11600" s="49"/>
      <c r="K11600" s="48"/>
      <c r="L11600" s="89"/>
    </row>
    <row r="11601" spans="1:12" x14ac:dyDescent="0.3">
      <c r="A11601"/>
      <c r="B11601" s="72"/>
      <c r="C11601" s="88"/>
      <c r="E11601" s="72"/>
      <c r="H11601" s="49"/>
      <c r="K11601" s="48"/>
      <c r="L11601" s="89"/>
    </row>
    <row r="11602" spans="1:12" x14ac:dyDescent="0.3">
      <c r="A11602"/>
      <c r="B11602" s="72"/>
      <c r="C11602" s="88"/>
      <c r="E11602" s="72"/>
      <c r="H11602" s="49"/>
      <c r="K11602" s="48"/>
      <c r="L11602" s="89"/>
    </row>
    <row r="11603" spans="1:12" x14ac:dyDescent="0.3">
      <c r="A11603"/>
      <c r="B11603" s="72"/>
      <c r="C11603" s="88"/>
      <c r="E11603" s="72"/>
      <c r="H11603" s="49"/>
      <c r="K11603" s="48"/>
      <c r="L11603" s="89"/>
    </row>
    <row r="11604" spans="1:12" x14ac:dyDescent="0.3">
      <c r="A11604"/>
      <c r="B11604" s="72"/>
      <c r="C11604" s="88"/>
      <c r="E11604" s="72"/>
      <c r="H11604" s="49"/>
      <c r="K11604" s="48"/>
      <c r="L11604" s="89"/>
    </row>
    <row r="11605" spans="1:12" x14ac:dyDescent="0.3">
      <c r="A11605"/>
      <c r="B11605" s="72"/>
      <c r="C11605" s="88"/>
      <c r="E11605" s="72"/>
      <c r="H11605" s="49"/>
      <c r="K11605" s="48"/>
      <c r="L11605" s="89"/>
    </row>
    <row r="11606" spans="1:12" x14ac:dyDescent="0.3">
      <c r="A11606"/>
      <c r="B11606" s="72"/>
      <c r="C11606" s="88"/>
      <c r="E11606" s="72"/>
      <c r="H11606" s="49"/>
      <c r="K11606" s="48"/>
      <c r="L11606" s="89"/>
    </row>
    <row r="11607" spans="1:12" x14ac:dyDescent="0.3">
      <c r="A11607"/>
      <c r="B11607" s="72"/>
      <c r="C11607" s="88"/>
      <c r="E11607" s="72"/>
      <c r="H11607" s="49"/>
      <c r="K11607" s="48"/>
      <c r="L11607" s="89"/>
    </row>
    <row r="11608" spans="1:12" x14ac:dyDescent="0.3">
      <c r="A11608"/>
      <c r="B11608" s="72"/>
      <c r="C11608" s="88"/>
      <c r="E11608" s="72"/>
      <c r="H11608" s="49"/>
      <c r="K11608" s="48"/>
      <c r="L11608" s="89"/>
    </row>
    <row r="11609" spans="1:12" x14ac:dyDescent="0.3">
      <c r="A11609"/>
      <c r="B11609" s="72"/>
      <c r="C11609" s="88"/>
      <c r="E11609" s="72"/>
      <c r="H11609" s="49"/>
      <c r="K11609" s="48"/>
      <c r="L11609" s="89"/>
    </row>
    <row r="11610" spans="1:12" x14ac:dyDescent="0.3">
      <c r="A11610"/>
      <c r="B11610" s="72"/>
      <c r="C11610" s="88"/>
      <c r="E11610" s="72"/>
      <c r="H11610" s="49"/>
      <c r="K11610" s="48"/>
      <c r="L11610" s="89"/>
    </row>
    <row r="11611" spans="1:12" x14ac:dyDescent="0.3">
      <c r="A11611"/>
      <c r="B11611" s="72"/>
      <c r="C11611" s="88"/>
      <c r="E11611" s="72"/>
      <c r="H11611" s="49"/>
      <c r="K11611" s="48"/>
      <c r="L11611" s="89"/>
    </row>
    <row r="11612" spans="1:12" x14ac:dyDescent="0.3">
      <c r="A11612"/>
      <c r="B11612" s="72"/>
      <c r="C11612" s="88"/>
      <c r="E11612" s="72"/>
      <c r="H11612" s="49"/>
      <c r="K11612" s="48"/>
      <c r="L11612" s="89"/>
    </row>
    <row r="11613" spans="1:12" x14ac:dyDescent="0.3">
      <c r="A11613"/>
      <c r="B11613" s="72"/>
      <c r="C11613" s="88"/>
      <c r="E11613" s="72"/>
      <c r="H11613" s="49"/>
      <c r="K11613" s="48"/>
      <c r="L11613" s="89"/>
    </row>
    <row r="11614" spans="1:12" x14ac:dyDescent="0.3">
      <c r="A11614"/>
      <c r="B11614" s="72"/>
      <c r="C11614" s="88"/>
      <c r="E11614" s="72"/>
      <c r="H11614" s="49"/>
      <c r="K11614" s="48"/>
      <c r="L11614" s="89"/>
    </row>
    <row r="11615" spans="1:12" x14ac:dyDescent="0.3">
      <c r="A11615"/>
      <c r="B11615" s="72"/>
      <c r="C11615" s="88"/>
      <c r="E11615" s="72"/>
      <c r="H11615" s="49"/>
      <c r="K11615" s="48"/>
      <c r="L11615" s="89"/>
    </row>
    <row r="11616" spans="1:12" x14ac:dyDescent="0.3">
      <c r="A11616"/>
      <c r="B11616" s="72"/>
      <c r="C11616" s="88"/>
      <c r="E11616" s="72"/>
      <c r="H11616" s="49"/>
      <c r="K11616" s="48"/>
      <c r="L11616" s="89"/>
    </row>
    <row r="11617" spans="1:12" x14ac:dyDescent="0.3">
      <c r="A11617"/>
      <c r="B11617" s="72"/>
      <c r="C11617" s="88"/>
      <c r="E11617" s="72"/>
      <c r="H11617" s="49"/>
      <c r="K11617" s="48"/>
      <c r="L11617" s="89"/>
    </row>
    <row r="11618" spans="1:12" x14ac:dyDescent="0.3">
      <c r="A11618"/>
      <c r="B11618" s="72"/>
      <c r="C11618" s="88"/>
      <c r="E11618" s="72"/>
      <c r="H11618" s="49"/>
      <c r="K11618" s="48"/>
      <c r="L11618" s="89"/>
    </row>
    <row r="11619" spans="1:12" x14ac:dyDescent="0.3">
      <c r="A11619"/>
      <c r="B11619" s="72"/>
      <c r="C11619" s="88"/>
      <c r="E11619" s="72"/>
      <c r="H11619" s="49"/>
      <c r="K11619" s="48"/>
      <c r="L11619" s="89"/>
    </row>
    <row r="11620" spans="1:12" x14ac:dyDescent="0.3">
      <c r="A11620"/>
      <c r="B11620" s="72"/>
      <c r="C11620" s="88"/>
      <c r="E11620" s="72"/>
      <c r="H11620" s="49"/>
      <c r="K11620" s="48"/>
      <c r="L11620" s="89"/>
    </row>
    <row r="11621" spans="1:12" x14ac:dyDescent="0.3">
      <c r="A11621"/>
      <c r="B11621" s="72"/>
      <c r="C11621" s="88"/>
      <c r="E11621" s="72"/>
      <c r="H11621" s="49"/>
      <c r="K11621" s="48"/>
      <c r="L11621" s="89"/>
    </row>
    <row r="11622" spans="1:12" x14ac:dyDescent="0.3">
      <c r="A11622"/>
      <c r="B11622" s="72"/>
      <c r="C11622" s="88"/>
      <c r="E11622" s="72"/>
      <c r="H11622" s="49"/>
      <c r="K11622" s="48"/>
      <c r="L11622" s="89"/>
    </row>
    <row r="11623" spans="1:12" x14ac:dyDescent="0.3">
      <c r="A11623"/>
      <c r="B11623" s="72"/>
      <c r="C11623" s="88"/>
      <c r="E11623" s="72"/>
      <c r="H11623" s="49"/>
      <c r="K11623" s="48"/>
      <c r="L11623" s="89"/>
    </row>
    <row r="11624" spans="1:12" x14ac:dyDescent="0.3">
      <c r="A11624"/>
      <c r="B11624" s="72"/>
      <c r="C11624" s="88"/>
      <c r="E11624" s="72"/>
      <c r="H11624" s="49"/>
      <c r="K11624" s="48"/>
      <c r="L11624" s="89"/>
    </row>
    <row r="11625" spans="1:12" x14ac:dyDescent="0.3">
      <c r="A11625"/>
      <c r="B11625" s="72"/>
      <c r="C11625" s="88"/>
      <c r="E11625" s="72"/>
      <c r="H11625" s="49"/>
      <c r="K11625" s="48"/>
      <c r="L11625" s="89"/>
    </row>
    <row r="11626" spans="1:12" x14ac:dyDescent="0.3">
      <c r="A11626"/>
      <c r="B11626" s="72"/>
      <c r="C11626" s="88"/>
      <c r="E11626" s="72"/>
      <c r="H11626" s="49"/>
      <c r="K11626" s="48"/>
      <c r="L11626" s="89"/>
    </row>
    <row r="11627" spans="1:12" x14ac:dyDescent="0.3">
      <c r="A11627"/>
      <c r="B11627" s="72"/>
      <c r="C11627" s="88"/>
      <c r="E11627" s="72"/>
      <c r="H11627" s="49"/>
      <c r="K11627" s="48"/>
      <c r="L11627" s="89"/>
    </row>
    <row r="11628" spans="1:12" x14ac:dyDescent="0.3">
      <c r="A11628"/>
      <c r="B11628" s="72"/>
      <c r="C11628" s="88"/>
      <c r="E11628" s="72"/>
      <c r="H11628" s="49"/>
      <c r="K11628" s="48"/>
      <c r="L11628" s="89"/>
    </row>
    <row r="11629" spans="1:12" x14ac:dyDescent="0.3">
      <c r="A11629"/>
      <c r="B11629" s="72"/>
      <c r="C11629" s="88"/>
      <c r="E11629" s="72"/>
      <c r="H11629" s="49"/>
      <c r="K11629" s="48"/>
      <c r="L11629" s="89"/>
    </row>
    <row r="11630" spans="1:12" x14ac:dyDescent="0.3">
      <c r="A11630"/>
      <c r="B11630" s="72"/>
      <c r="C11630" s="88"/>
      <c r="E11630" s="72"/>
      <c r="H11630" s="49"/>
      <c r="K11630" s="48"/>
      <c r="L11630" s="89"/>
    </row>
    <row r="11631" spans="1:12" x14ac:dyDescent="0.3">
      <c r="A11631"/>
      <c r="B11631" s="72"/>
      <c r="C11631" s="88"/>
      <c r="E11631" s="72"/>
      <c r="H11631" s="49"/>
      <c r="K11631" s="48"/>
      <c r="L11631" s="89"/>
    </row>
    <row r="11632" spans="1:12" x14ac:dyDescent="0.3">
      <c r="A11632"/>
      <c r="B11632" s="72"/>
      <c r="C11632" s="88"/>
      <c r="E11632" s="72"/>
      <c r="H11632" s="49"/>
      <c r="K11632" s="48"/>
      <c r="L11632" s="89"/>
    </row>
    <row r="11633" spans="1:12" x14ac:dyDescent="0.3">
      <c r="A11633"/>
      <c r="B11633" s="72"/>
      <c r="C11633" s="88"/>
      <c r="E11633" s="72"/>
      <c r="H11633" s="49"/>
      <c r="K11633" s="48"/>
      <c r="L11633" s="89"/>
    </row>
    <row r="11634" spans="1:12" x14ac:dyDescent="0.3">
      <c r="A11634"/>
      <c r="B11634" s="72"/>
      <c r="C11634" s="88"/>
      <c r="E11634" s="72"/>
      <c r="H11634" s="49"/>
      <c r="K11634" s="48"/>
      <c r="L11634" s="89"/>
    </row>
    <row r="11635" spans="1:12" x14ac:dyDescent="0.3">
      <c r="A11635"/>
      <c r="B11635" s="72"/>
      <c r="C11635" s="88"/>
      <c r="E11635" s="72"/>
      <c r="H11635" s="49"/>
      <c r="K11635" s="48"/>
      <c r="L11635" s="89"/>
    </row>
    <row r="11636" spans="1:12" x14ac:dyDescent="0.3">
      <c r="A11636"/>
      <c r="B11636" s="72"/>
      <c r="C11636" s="88"/>
      <c r="E11636" s="72"/>
      <c r="H11636" s="49"/>
      <c r="K11636" s="48"/>
      <c r="L11636" s="89"/>
    </row>
    <row r="11637" spans="1:12" x14ac:dyDescent="0.3">
      <c r="A11637"/>
      <c r="B11637" s="72"/>
      <c r="C11637" s="88"/>
      <c r="E11637" s="72"/>
      <c r="H11637" s="49"/>
      <c r="K11637" s="48"/>
      <c r="L11637" s="89"/>
    </row>
    <row r="11638" spans="1:12" x14ac:dyDescent="0.3">
      <c r="A11638"/>
      <c r="B11638" s="72"/>
      <c r="C11638" s="88"/>
      <c r="E11638" s="72"/>
      <c r="H11638" s="49"/>
      <c r="K11638" s="48"/>
      <c r="L11638" s="89"/>
    </row>
    <row r="11639" spans="1:12" x14ac:dyDescent="0.3">
      <c r="A11639"/>
      <c r="B11639" s="72"/>
      <c r="C11639" s="88"/>
      <c r="E11639" s="72"/>
      <c r="H11639" s="49"/>
      <c r="K11639" s="48"/>
      <c r="L11639" s="89"/>
    </row>
    <row r="11640" spans="1:12" x14ac:dyDescent="0.3">
      <c r="A11640"/>
      <c r="B11640" s="72"/>
      <c r="C11640" s="88"/>
      <c r="E11640" s="72"/>
      <c r="H11640" s="49"/>
      <c r="K11640" s="48"/>
      <c r="L11640" s="89"/>
    </row>
    <row r="11641" spans="1:12" x14ac:dyDescent="0.3">
      <c r="A11641"/>
      <c r="B11641" s="72"/>
      <c r="C11641" s="88"/>
      <c r="E11641" s="72"/>
      <c r="H11641" s="49"/>
      <c r="K11641" s="48"/>
      <c r="L11641" s="89"/>
    </row>
    <row r="11642" spans="1:12" x14ac:dyDescent="0.3">
      <c r="A11642"/>
      <c r="B11642" s="72"/>
      <c r="C11642" s="88"/>
      <c r="E11642" s="72"/>
      <c r="H11642" s="49"/>
      <c r="K11642" s="48"/>
      <c r="L11642" s="89"/>
    </row>
    <row r="11643" spans="1:12" x14ac:dyDescent="0.3">
      <c r="A11643"/>
      <c r="B11643" s="72"/>
      <c r="C11643" s="88"/>
      <c r="E11643" s="72"/>
      <c r="H11643" s="49"/>
      <c r="K11643" s="48"/>
      <c r="L11643" s="89"/>
    </row>
    <row r="11644" spans="1:12" x14ac:dyDescent="0.3">
      <c r="A11644"/>
      <c r="B11644" s="72"/>
      <c r="C11644" s="88"/>
      <c r="E11644" s="72"/>
      <c r="H11644" s="49"/>
      <c r="K11644" s="48"/>
      <c r="L11644" s="89"/>
    </row>
    <row r="11645" spans="1:12" x14ac:dyDescent="0.3">
      <c r="A11645"/>
      <c r="B11645" s="72"/>
      <c r="C11645" s="88"/>
      <c r="E11645" s="72"/>
      <c r="H11645" s="49"/>
      <c r="K11645" s="48"/>
      <c r="L11645" s="89"/>
    </row>
    <row r="11646" spans="1:12" x14ac:dyDescent="0.3">
      <c r="A11646"/>
      <c r="B11646" s="72"/>
      <c r="C11646" s="88"/>
      <c r="E11646" s="72"/>
      <c r="H11646" s="49"/>
      <c r="K11646" s="48"/>
      <c r="L11646" s="89"/>
    </row>
    <row r="11647" spans="1:12" x14ac:dyDescent="0.3">
      <c r="A11647"/>
      <c r="B11647" s="72"/>
      <c r="C11647" s="88"/>
      <c r="E11647" s="72"/>
      <c r="H11647" s="49"/>
      <c r="K11647" s="48"/>
      <c r="L11647" s="89"/>
    </row>
    <row r="11648" spans="1:12" x14ac:dyDescent="0.3">
      <c r="A11648"/>
      <c r="B11648" s="72"/>
      <c r="C11648" s="88"/>
      <c r="E11648" s="72"/>
      <c r="H11648" s="49"/>
      <c r="K11648" s="48"/>
      <c r="L11648" s="89"/>
    </row>
    <row r="11649" spans="1:12" x14ac:dyDescent="0.3">
      <c r="A11649"/>
      <c r="B11649" s="72"/>
      <c r="C11649" s="88"/>
      <c r="E11649" s="72"/>
      <c r="H11649" s="49"/>
      <c r="K11649" s="48"/>
      <c r="L11649" s="89"/>
    </row>
    <row r="11650" spans="1:12" x14ac:dyDescent="0.3">
      <c r="A11650"/>
      <c r="B11650" s="72"/>
      <c r="C11650" s="88"/>
      <c r="E11650" s="72"/>
      <c r="H11650" s="49"/>
      <c r="K11650" s="48"/>
      <c r="L11650" s="89"/>
    </row>
    <row r="11651" spans="1:12" x14ac:dyDescent="0.3">
      <c r="A11651"/>
      <c r="B11651" s="72"/>
      <c r="C11651" s="88"/>
      <c r="E11651" s="72"/>
      <c r="H11651" s="49"/>
      <c r="K11651" s="48"/>
      <c r="L11651" s="89"/>
    </row>
    <row r="11652" spans="1:12" x14ac:dyDescent="0.3">
      <c r="A11652"/>
      <c r="B11652" s="72"/>
      <c r="C11652" s="88"/>
      <c r="E11652" s="72"/>
      <c r="H11652" s="49"/>
      <c r="K11652" s="48"/>
      <c r="L11652" s="89"/>
    </row>
    <row r="11653" spans="1:12" x14ac:dyDescent="0.3">
      <c r="A11653"/>
      <c r="B11653" s="72"/>
      <c r="C11653" s="88"/>
      <c r="E11653" s="72"/>
      <c r="H11653" s="49"/>
      <c r="K11653" s="48"/>
      <c r="L11653" s="89"/>
    </row>
    <row r="11654" spans="1:12" x14ac:dyDescent="0.3">
      <c r="A11654"/>
      <c r="B11654" s="72"/>
      <c r="C11654" s="88"/>
      <c r="E11654" s="72"/>
      <c r="H11654" s="49"/>
      <c r="K11654" s="48"/>
      <c r="L11654" s="89"/>
    </row>
    <row r="11655" spans="1:12" x14ac:dyDescent="0.3">
      <c r="A11655"/>
      <c r="B11655" s="72"/>
      <c r="C11655" s="88"/>
      <c r="E11655" s="72"/>
      <c r="H11655" s="49"/>
      <c r="K11655" s="48"/>
      <c r="L11655" s="89"/>
    </row>
    <row r="11656" spans="1:12" x14ac:dyDescent="0.3">
      <c r="A11656"/>
      <c r="B11656" s="72"/>
      <c r="C11656" s="88"/>
      <c r="E11656" s="72"/>
      <c r="H11656" s="49"/>
      <c r="K11656" s="48"/>
      <c r="L11656" s="89"/>
    </row>
    <row r="11657" spans="1:12" x14ac:dyDescent="0.3">
      <c r="A11657"/>
      <c r="B11657" s="72"/>
      <c r="C11657" s="88"/>
      <c r="E11657" s="72"/>
      <c r="H11657" s="49"/>
      <c r="K11657" s="48"/>
      <c r="L11657" s="89"/>
    </row>
    <row r="11658" spans="1:12" x14ac:dyDescent="0.3">
      <c r="A11658"/>
      <c r="B11658" s="72"/>
      <c r="C11658" s="88"/>
      <c r="E11658" s="72"/>
      <c r="H11658" s="49"/>
      <c r="K11658" s="48"/>
      <c r="L11658" s="89"/>
    </row>
    <row r="11659" spans="1:12" x14ac:dyDescent="0.3">
      <c r="A11659"/>
      <c r="B11659" s="72"/>
      <c r="C11659" s="88"/>
      <c r="E11659" s="72"/>
      <c r="H11659" s="49"/>
      <c r="K11659" s="48"/>
      <c r="L11659" s="89"/>
    </row>
    <row r="11660" spans="1:12" x14ac:dyDescent="0.3">
      <c r="A11660"/>
      <c r="B11660" s="72"/>
      <c r="C11660" s="88"/>
      <c r="E11660" s="72"/>
      <c r="H11660" s="49"/>
      <c r="K11660" s="48"/>
      <c r="L11660" s="89"/>
    </row>
    <row r="11661" spans="1:12" x14ac:dyDescent="0.3">
      <c r="A11661"/>
      <c r="B11661" s="72"/>
      <c r="C11661" s="88"/>
      <c r="E11661" s="72"/>
      <c r="H11661" s="49"/>
      <c r="K11661" s="48"/>
      <c r="L11661" s="89"/>
    </row>
    <row r="11662" spans="1:12" x14ac:dyDescent="0.3">
      <c r="A11662"/>
      <c r="B11662" s="72"/>
      <c r="C11662" s="88"/>
      <c r="E11662" s="72"/>
      <c r="H11662" s="49"/>
      <c r="K11662" s="48"/>
      <c r="L11662" s="89"/>
    </row>
    <row r="11663" spans="1:12" x14ac:dyDescent="0.3">
      <c r="A11663"/>
      <c r="B11663" s="72"/>
      <c r="C11663" s="88"/>
      <c r="E11663" s="72"/>
      <c r="H11663" s="49"/>
      <c r="K11663" s="48"/>
      <c r="L11663" s="89"/>
    </row>
    <row r="11664" spans="1:12" x14ac:dyDescent="0.3">
      <c r="A11664"/>
      <c r="B11664" s="72"/>
      <c r="C11664" s="88"/>
      <c r="E11664" s="72"/>
      <c r="H11664" s="49"/>
      <c r="K11664" s="48"/>
      <c r="L11664" s="89"/>
    </row>
    <row r="11665" spans="1:12" x14ac:dyDescent="0.3">
      <c r="A11665"/>
      <c r="B11665" s="72"/>
      <c r="C11665" s="88"/>
      <c r="E11665" s="72"/>
      <c r="H11665" s="49"/>
      <c r="K11665" s="48"/>
      <c r="L11665" s="89"/>
    </row>
    <row r="11666" spans="1:12" x14ac:dyDescent="0.3">
      <c r="A11666"/>
      <c r="B11666" s="72"/>
      <c r="C11666" s="88"/>
      <c r="E11666" s="72"/>
      <c r="H11666" s="49"/>
      <c r="K11666" s="48"/>
      <c r="L11666" s="89"/>
    </row>
    <row r="11667" spans="1:12" x14ac:dyDescent="0.3">
      <c r="A11667"/>
      <c r="B11667" s="72"/>
      <c r="C11667" s="88"/>
      <c r="E11667" s="72"/>
      <c r="H11667" s="49"/>
      <c r="K11667" s="48"/>
      <c r="L11667" s="89"/>
    </row>
    <row r="11668" spans="1:12" x14ac:dyDescent="0.3">
      <c r="A11668"/>
      <c r="B11668" s="72"/>
      <c r="C11668" s="88"/>
      <c r="E11668" s="72"/>
      <c r="H11668" s="49"/>
      <c r="K11668" s="48"/>
      <c r="L11668" s="89"/>
    </row>
    <row r="11669" spans="1:12" x14ac:dyDescent="0.3">
      <c r="A11669"/>
      <c r="B11669" s="72"/>
      <c r="C11669" s="88"/>
      <c r="E11669" s="72"/>
      <c r="H11669" s="49"/>
      <c r="K11669" s="48"/>
      <c r="L11669" s="89"/>
    </row>
    <row r="11670" spans="1:12" x14ac:dyDescent="0.3">
      <c r="A11670"/>
      <c r="B11670" s="72"/>
      <c r="C11670" s="88"/>
      <c r="E11670" s="72"/>
      <c r="H11670" s="49"/>
      <c r="K11670" s="48"/>
      <c r="L11670" s="89"/>
    </row>
    <row r="11671" spans="1:12" x14ac:dyDescent="0.3">
      <c r="A11671"/>
      <c r="B11671" s="72"/>
      <c r="C11671" s="88"/>
      <c r="E11671" s="72"/>
      <c r="H11671" s="49"/>
      <c r="K11671" s="48"/>
      <c r="L11671" s="89"/>
    </row>
    <row r="11672" spans="1:12" x14ac:dyDescent="0.3">
      <c r="A11672"/>
      <c r="B11672" s="72"/>
      <c r="C11672" s="88"/>
      <c r="E11672" s="72"/>
      <c r="H11672" s="49"/>
      <c r="K11672" s="48"/>
      <c r="L11672" s="89"/>
    </row>
    <row r="11673" spans="1:12" x14ac:dyDescent="0.3">
      <c r="A11673"/>
      <c r="B11673" s="72"/>
      <c r="C11673" s="88"/>
      <c r="E11673" s="72"/>
      <c r="H11673" s="49"/>
      <c r="K11673" s="48"/>
      <c r="L11673" s="89"/>
    </row>
    <row r="11674" spans="1:12" x14ac:dyDescent="0.3">
      <c r="A11674"/>
      <c r="B11674" s="72"/>
      <c r="C11674" s="88"/>
      <c r="E11674" s="72"/>
      <c r="H11674" s="49"/>
      <c r="K11674" s="48"/>
      <c r="L11674" s="89"/>
    </row>
    <row r="11675" spans="1:12" x14ac:dyDescent="0.3">
      <c r="A11675"/>
      <c r="B11675" s="72"/>
      <c r="C11675" s="88"/>
      <c r="E11675" s="72"/>
      <c r="H11675" s="49"/>
      <c r="K11675" s="48"/>
      <c r="L11675" s="89"/>
    </row>
    <row r="11676" spans="1:12" x14ac:dyDescent="0.3">
      <c r="A11676"/>
      <c r="B11676" s="72"/>
      <c r="C11676" s="88"/>
      <c r="E11676" s="72"/>
      <c r="H11676" s="49"/>
      <c r="K11676" s="48"/>
      <c r="L11676" s="89"/>
    </row>
    <row r="11677" spans="1:12" x14ac:dyDescent="0.3">
      <c r="A11677"/>
      <c r="B11677" s="72"/>
      <c r="C11677" s="88"/>
      <c r="E11677" s="72"/>
      <c r="H11677" s="49"/>
      <c r="K11677" s="48"/>
      <c r="L11677" s="89"/>
    </row>
    <row r="11678" spans="1:12" x14ac:dyDescent="0.3">
      <c r="A11678"/>
      <c r="B11678" s="72"/>
      <c r="C11678" s="88"/>
      <c r="E11678" s="72"/>
      <c r="H11678" s="49"/>
      <c r="K11678" s="48"/>
      <c r="L11678" s="89"/>
    </row>
    <row r="11679" spans="1:12" x14ac:dyDescent="0.3">
      <c r="A11679"/>
      <c r="B11679" s="72"/>
      <c r="C11679" s="88"/>
      <c r="E11679" s="72"/>
      <c r="H11679" s="49"/>
      <c r="K11679" s="48"/>
      <c r="L11679" s="89"/>
    </row>
    <row r="11680" spans="1:12" x14ac:dyDescent="0.3">
      <c r="A11680"/>
      <c r="B11680" s="72"/>
      <c r="C11680" s="88"/>
      <c r="E11680" s="72"/>
      <c r="H11680" s="49"/>
      <c r="K11680" s="48"/>
      <c r="L11680" s="89"/>
    </row>
    <row r="11681" spans="1:12" x14ac:dyDescent="0.3">
      <c r="A11681"/>
      <c r="B11681" s="72"/>
      <c r="C11681" s="88"/>
      <c r="E11681" s="72"/>
      <c r="H11681" s="49"/>
      <c r="K11681" s="48"/>
      <c r="L11681" s="89"/>
    </row>
    <row r="11682" spans="1:12" x14ac:dyDescent="0.3">
      <c r="A11682"/>
      <c r="B11682" s="72"/>
      <c r="C11682" s="88"/>
      <c r="E11682" s="72"/>
      <c r="H11682" s="49"/>
      <c r="K11682" s="48"/>
      <c r="L11682" s="89"/>
    </row>
    <row r="11683" spans="1:12" x14ac:dyDescent="0.3">
      <c r="A11683"/>
      <c r="B11683" s="72"/>
      <c r="C11683" s="88"/>
      <c r="E11683" s="72"/>
      <c r="H11683" s="49"/>
      <c r="K11683" s="48"/>
      <c r="L11683" s="89"/>
    </row>
    <row r="11684" spans="1:12" x14ac:dyDescent="0.3">
      <c r="A11684"/>
      <c r="B11684" s="72"/>
      <c r="C11684" s="88"/>
      <c r="E11684" s="72"/>
      <c r="H11684" s="49"/>
      <c r="K11684" s="48"/>
      <c r="L11684" s="89"/>
    </row>
    <row r="11685" spans="1:12" x14ac:dyDescent="0.3">
      <c r="A11685"/>
      <c r="B11685" s="72"/>
      <c r="C11685" s="88"/>
      <c r="E11685" s="72"/>
      <c r="H11685" s="49"/>
      <c r="K11685" s="48"/>
      <c r="L11685" s="89"/>
    </row>
    <row r="11686" spans="1:12" x14ac:dyDescent="0.3">
      <c r="A11686"/>
      <c r="B11686" s="72"/>
      <c r="C11686" s="88"/>
      <c r="E11686" s="72"/>
      <c r="H11686" s="49"/>
      <c r="K11686" s="48"/>
      <c r="L11686" s="89"/>
    </row>
    <row r="11687" spans="1:12" x14ac:dyDescent="0.3">
      <c r="A11687"/>
      <c r="B11687" s="72"/>
      <c r="C11687" s="88"/>
      <c r="E11687" s="72"/>
      <c r="H11687" s="49"/>
      <c r="K11687" s="48"/>
      <c r="L11687" s="89"/>
    </row>
    <row r="11688" spans="1:12" x14ac:dyDescent="0.3">
      <c r="A11688"/>
      <c r="B11688" s="72"/>
      <c r="C11688" s="88"/>
      <c r="E11688" s="72"/>
      <c r="H11688" s="49"/>
      <c r="K11688" s="48"/>
      <c r="L11688" s="89"/>
    </row>
    <row r="11689" spans="1:12" x14ac:dyDescent="0.3">
      <c r="A11689"/>
      <c r="B11689" s="72"/>
      <c r="C11689" s="88"/>
      <c r="E11689" s="72"/>
      <c r="H11689" s="49"/>
      <c r="K11689" s="48"/>
      <c r="L11689" s="89"/>
    </row>
    <row r="11690" spans="1:12" x14ac:dyDescent="0.3">
      <c r="A11690"/>
      <c r="B11690" s="72"/>
      <c r="C11690" s="88"/>
      <c r="E11690" s="72"/>
      <c r="H11690" s="49"/>
      <c r="K11690" s="48"/>
      <c r="L11690" s="89"/>
    </row>
    <row r="11691" spans="1:12" x14ac:dyDescent="0.3">
      <c r="A11691"/>
      <c r="B11691" s="72"/>
      <c r="C11691" s="88"/>
      <c r="E11691" s="72"/>
      <c r="H11691" s="49"/>
      <c r="K11691" s="48"/>
      <c r="L11691" s="89"/>
    </row>
    <row r="11692" spans="1:12" x14ac:dyDescent="0.3">
      <c r="A11692"/>
      <c r="B11692" s="72"/>
      <c r="C11692" s="88"/>
      <c r="E11692" s="72"/>
      <c r="H11692" s="49"/>
      <c r="K11692" s="48"/>
      <c r="L11692" s="89"/>
    </row>
    <row r="11693" spans="1:12" x14ac:dyDescent="0.3">
      <c r="A11693"/>
      <c r="B11693" s="72"/>
      <c r="C11693" s="88"/>
      <c r="E11693" s="72"/>
      <c r="H11693" s="49"/>
      <c r="K11693" s="48"/>
      <c r="L11693" s="89"/>
    </row>
    <row r="11694" spans="1:12" x14ac:dyDescent="0.3">
      <c r="A11694"/>
      <c r="B11694" s="72"/>
      <c r="C11694" s="88"/>
      <c r="E11694" s="72"/>
      <c r="H11694" s="49"/>
      <c r="K11694" s="48"/>
      <c r="L11694" s="89"/>
    </row>
    <row r="11695" spans="1:12" x14ac:dyDescent="0.3">
      <c r="A11695"/>
      <c r="B11695" s="72"/>
      <c r="C11695" s="88"/>
      <c r="E11695" s="72"/>
      <c r="H11695" s="49"/>
      <c r="K11695" s="48"/>
      <c r="L11695" s="89"/>
    </row>
    <row r="11696" spans="1:12" x14ac:dyDescent="0.3">
      <c r="A11696"/>
      <c r="B11696" s="72"/>
      <c r="C11696" s="88"/>
      <c r="E11696" s="72"/>
      <c r="H11696" s="49"/>
      <c r="K11696" s="48"/>
      <c r="L11696" s="89"/>
    </row>
    <row r="11697" spans="1:12" x14ac:dyDescent="0.3">
      <c r="A11697"/>
      <c r="B11697" s="72"/>
      <c r="C11697" s="88"/>
      <c r="E11697" s="72"/>
      <c r="H11697" s="49"/>
      <c r="K11697" s="48"/>
      <c r="L11697" s="89"/>
    </row>
    <row r="11698" spans="1:12" x14ac:dyDescent="0.3">
      <c r="A11698"/>
      <c r="B11698" s="72"/>
      <c r="C11698" s="88"/>
      <c r="E11698" s="72"/>
      <c r="H11698" s="49"/>
      <c r="K11698" s="48"/>
      <c r="L11698" s="89"/>
    </row>
    <row r="11699" spans="1:12" x14ac:dyDescent="0.3">
      <c r="A11699"/>
      <c r="B11699" s="72"/>
      <c r="C11699" s="88"/>
      <c r="E11699" s="72"/>
      <c r="H11699" s="49"/>
      <c r="K11699" s="48"/>
      <c r="L11699" s="89"/>
    </row>
    <row r="11700" spans="1:12" x14ac:dyDescent="0.3">
      <c r="A11700"/>
      <c r="B11700" s="72"/>
      <c r="C11700" s="88"/>
      <c r="E11700" s="72"/>
      <c r="H11700" s="49"/>
      <c r="K11700" s="48"/>
      <c r="L11700" s="89"/>
    </row>
    <row r="11701" spans="1:12" x14ac:dyDescent="0.3">
      <c r="A11701"/>
      <c r="B11701" s="72"/>
      <c r="C11701" s="88"/>
      <c r="E11701" s="72"/>
      <c r="H11701" s="49"/>
      <c r="K11701" s="48"/>
      <c r="L11701" s="89"/>
    </row>
    <row r="11702" spans="1:12" x14ac:dyDescent="0.3">
      <c r="A11702"/>
      <c r="B11702" s="72"/>
      <c r="C11702" s="88"/>
      <c r="E11702" s="72"/>
      <c r="H11702" s="49"/>
      <c r="K11702" s="48"/>
      <c r="L11702" s="89"/>
    </row>
    <row r="11703" spans="1:12" x14ac:dyDescent="0.3">
      <c r="A11703"/>
      <c r="B11703" s="72"/>
      <c r="C11703" s="88"/>
      <c r="E11703" s="72"/>
      <c r="H11703" s="49"/>
      <c r="K11703" s="48"/>
      <c r="L11703" s="89"/>
    </row>
    <row r="11704" spans="1:12" x14ac:dyDescent="0.3">
      <c r="A11704"/>
      <c r="B11704" s="72"/>
      <c r="C11704" s="88"/>
      <c r="E11704" s="72"/>
      <c r="H11704" s="49"/>
      <c r="K11704" s="48"/>
      <c r="L11704" s="89"/>
    </row>
    <row r="11705" spans="1:12" x14ac:dyDescent="0.3">
      <c r="A11705"/>
      <c r="B11705" s="72"/>
      <c r="C11705" s="88"/>
      <c r="E11705" s="72"/>
      <c r="H11705" s="49"/>
      <c r="K11705" s="48"/>
      <c r="L11705" s="89"/>
    </row>
    <row r="11706" spans="1:12" x14ac:dyDescent="0.3">
      <c r="A11706"/>
      <c r="B11706" s="72"/>
      <c r="C11706" s="88"/>
      <c r="E11706" s="72"/>
      <c r="H11706" s="49"/>
      <c r="K11706" s="48"/>
      <c r="L11706" s="89"/>
    </row>
    <row r="11707" spans="1:12" x14ac:dyDescent="0.3">
      <c r="A11707"/>
      <c r="B11707" s="72"/>
      <c r="C11707" s="88"/>
      <c r="E11707" s="72"/>
      <c r="H11707" s="49"/>
      <c r="K11707" s="48"/>
      <c r="L11707" s="89"/>
    </row>
    <row r="11708" spans="1:12" x14ac:dyDescent="0.3">
      <c r="A11708"/>
      <c r="B11708" s="72"/>
      <c r="C11708" s="88"/>
      <c r="E11708" s="72"/>
      <c r="H11708" s="49"/>
      <c r="K11708" s="48"/>
      <c r="L11708" s="89"/>
    </row>
    <row r="11709" spans="1:12" x14ac:dyDescent="0.3">
      <c r="A11709"/>
      <c r="B11709" s="72"/>
      <c r="C11709" s="88"/>
      <c r="E11709" s="72"/>
      <c r="H11709" s="49"/>
      <c r="K11709" s="48"/>
      <c r="L11709" s="89"/>
    </row>
    <row r="11710" spans="1:12" x14ac:dyDescent="0.3">
      <c r="A11710"/>
      <c r="B11710" s="72"/>
      <c r="C11710" s="88"/>
      <c r="E11710" s="72"/>
      <c r="H11710" s="49"/>
      <c r="K11710" s="48"/>
      <c r="L11710" s="89"/>
    </row>
    <row r="11711" spans="1:12" x14ac:dyDescent="0.3">
      <c r="A11711"/>
      <c r="B11711" s="72"/>
      <c r="C11711" s="88"/>
      <c r="E11711" s="72"/>
      <c r="H11711" s="49"/>
      <c r="K11711" s="48"/>
      <c r="L11711" s="89"/>
    </row>
    <row r="11712" spans="1:12" x14ac:dyDescent="0.3">
      <c r="A11712"/>
      <c r="B11712" s="72"/>
      <c r="C11712" s="88"/>
      <c r="E11712" s="72"/>
      <c r="H11712" s="49"/>
      <c r="K11712" s="48"/>
      <c r="L11712" s="89"/>
    </row>
    <row r="11713" spans="1:12" x14ac:dyDescent="0.3">
      <c r="A11713"/>
      <c r="B11713" s="72"/>
      <c r="C11713" s="88"/>
      <c r="E11713" s="72"/>
      <c r="H11713" s="49"/>
      <c r="K11713" s="48"/>
      <c r="L11713" s="89"/>
    </row>
    <row r="11714" spans="1:12" x14ac:dyDescent="0.3">
      <c r="A11714"/>
      <c r="B11714" s="72"/>
      <c r="C11714" s="88"/>
      <c r="E11714" s="72"/>
      <c r="H11714" s="49"/>
      <c r="K11714" s="48"/>
      <c r="L11714" s="89"/>
    </row>
    <row r="11715" spans="1:12" x14ac:dyDescent="0.3">
      <c r="A11715"/>
      <c r="B11715" s="72"/>
      <c r="C11715" s="88"/>
      <c r="E11715" s="72"/>
      <c r="H11715" s="49"/>
      <c r="K11715" s="48"/>
      <c r="L11715" s="89"/>
    </row>
    <row r="11716" spans="1:12" x14ac:dyDescent="0.3">
      <c r="A11716"/>
      <c r="B11716" s="72"/>
      <c r="C11716" s="88"/>
      <c r="E11716" s="72"/>
      <c r="H11716" s="49"/>
      <c r="K11716" s="48"/>
      <c r="L11716" s="89"/>
    </row>
    <row r="11717" spans="1:12" x14ac:dyDescent="0.3">
      <c r="A11717"/>
      <c r="B11717" s="72"/>
      <c r="C11717" s="88"/>
      <c r="E11717" s="72"/>
      <c r="H11717" s="49"/>
      <c r="K11717" s="48"/>
      <c r="L11717" s="89"/>
    </row>
    <row r="11718" spans="1:12" x14ac:dyDescent="0.3">
      <c r="A11718"/>
      <c r="B11718" s="72"/>
      <c r="C11718" s="88"/>
      <c r="E11718" s="72"/>
      <c r="H11718" s="49"/>
      <c r="K11718" s="48"/>
      <c r="L11718" s="89"/>
    </row>
    <row r="11719" spans="1:12" x14ac:dyDescent="0.3">
      <c r="A11719"/>
      <c r="B11719" s="72"/>
      <c r="C11719" s="88"/>
      <c r="E11719" s="72"/>
      <c r="H11719" s="49"/>
      <c r="K11719" s="48"/>
      <c r="L11719" s="89"/>
    </row>
    <row r="11720" spans="1:12" x14ac:dyDescent="0.3">
      <c r="A11720"/>
      <c r="B11720" s="72"/>
      <c r="C11720" s="88"/>
      <c r="E11720" s="72"/>
      <c r="H11720" s="49"/>
      <c r="K11720" s="48"/>
      <c r="L11720" s="89"/>
    </row>
    <row r="11721" spans="1:12" x14ac:dyDescent="0.3">
      <c r="A11721"/>
      <c r="B11721" s="72"/>
      <c r="C11721" s="88"/>
      <c r="E11721" s="72"/>
      <c r="H11721" s="49"/>
      <c r="K11721" s="48"/>
      <c r="L11721" s="89"/>
    </row>
    <row r="11722" spans="1:12" x14ac:dyDescent="0.3">
      <c r="A11722"/>
      <c r="B11722" s="72"/>
      <c r="C11722" s="88"/>
      <c r="E11722" s="72"/>
      <c r="H11722" s="49"/>
      <c r="K11722" s="48"/>
      <c r="L11722" s="89"/>
    </row>
    <row r="11723" spans="1:12" x14ac:dyDescent="0.3">
      <c r="A11723"/>
      <c r="B11723" s="72"/>
      <c r="C11723" s="88"/>
      <c r="E11723" s="72"/>
      <c r="H11723" s="49"/>
      <c r="K11723" s="48"/>
      <c r="L11723" s="89"/>
    </row>
    <row r="11724" spans="1:12" x14ac:dyDescent="0.3">
      <c r="A11724"/>
      <c r="B11724" s="72"/>
      <c r="C11724" s="88"/>
      <c r="E11724" s="72"/>
      <c r="H11724" s="49"/>
      <c r="K11724" s="48"/>
      <c r="L11724" s="89"/>
    </row>
    <row r="11725" spans="1:12" x14ac:dyDescent="0.3">
      <c r="A11725"/>
      <c r="B11725" s="72"/>
      <c r="C11725" s="88"/>
      <c r="E11725" s="72"/>
      <c r="H11725" s="49"/>
      <c r="K11725" s="48"/>
      <c r="L11725" s="89"/>
    </row>
    <row r="11726" spans="1:12" x14ac:dyDescent="0.3">
      <c r="A11726"/>
      <c r="B11726" s="72"/>
      <c r="C11726" s="88"/>
      <c r="E11726" s="72"/>
      <c r="H11726" s="49"/>
      <c r="K11726" s="48"/>
      <c r="L11726" s="89"/>
    </row>
    <row r="11727" spans="1:12" x14ac:dyDescent="0.3">
      <c r="A11727"/>
      <c r="B11727" s="72"/>
      <c r="C11727" s="88"/>
      <c r="E11727" s="72"/>
      <c r="H11727" s="49"/>
      <c r="K11727" s="48"/>
      <c r="L11727" s="89"/>
    </row>
    <row r="11728" spans="1:12" x14ac:dyDescent="0.3">
      <c r="A11728"/>
      <c r="B11728" s="72"/>
      <c r="C11728" s="88"/>
      <c r="E11728" s="72"/>
      <c r="H11728" s="49"/>
      <c r="K11728" s="48"/>
      <c r="L11728" s="89"/>
    </row>
    <row r="11729" spans="1:12" x14ac:dyDescent="0.3">
      <c r="A11729"/>
      <c r="B11729" s="72"/>
      <c r="C11729" s="88"/>
      <c r="E11729" s="72"/>
      <c r="H11729" s="49"/>
      <c r="K11729" s="48"/>
      <c r="L11729" s="89"/>
    </row>
    <row r="11730" spans="1:12" x14ac:dyDescent="0.3">
      <c r="A11730"/>
      <c r="B11730" s="72"/>
      <c r="C11730" s="88"/>
      <c r="E11730" s="72"/>
      <c r="H11730" s="49"/>
      <c r="K11730" s="48"/>
      <c r="L11730" s="89"/>
    </row>
    <row r="11731" spans="1:12" x14ac:dyDescent="0.3">
      <c r="A11731"/>
      <c r="B11731" s="72"/>
      <c r="C11731" s="88"/>
      <c r="E11731" s="72"/>
      <c r="H11731" s="49"/>
      <c r="K11731" s="48"/>
      <c r="L11731" s="89"/>
    </row>
    <row r="11732" spans="1:12" x14ac:dyDescent="0.3">
      <c r="A11732"/>
      <c r="B11732" s="72"/>
      <c r="C11732" s="88"/>
      <c r="E11732" s="72"/>
      <c r="H11732" s="49"/>
      <c r="K11732" s="48"/>
      <c r="L11732" s="89"/>
    </row>
    <row r="11733" spans="1:12" x14ac:dyDescent="0.3">
      <c r="A11733"/>
      <c r="B11733" s="72"/>
      <c r="C11733" s="88"/>
      <c r="E11733" s="72"/>
      <c r="H11733" s="49"/>
      <c r="K11733" s="48"/>
      <c r="L11733" s="89"/>
    </row>
    <row r="11734" spans="1:12" x14ac:dyDescent="0.3">
      <c r="A11734"/>
      <c r="B11734" s="72"/>
      <c r="C11734" s="88"/>
      <c r="E11734" s="72"/>
      <c r="H11734" s="49"/>
      <c r="K11734" s="48"/>
      <c r="L11734" s="89"/>
    </row>
    <row r="11735" spans="1:12" x14ac:dyDescent="0.3">
      <c r="A11735"/>
      <c r="B11735" s="72"/>
      <c r="C11735" s="88"/>
      <c r="E11735" s="72"/>
      <c r="H11735" s="49"/>
      <c r="K11735" s="48"/>
      <c r="L11735" s="89"/>
    </row>
    <row r="11736" spans="1:12" x14ac:dyDescent="0.3">
      <c r="A11736"/>
      <c r="B11736" s="72"/>
      <c r="C11736" s="88"/>
      <c r="E11736" s="72"/>
      <c r="H11736" s="49"/>
      <c r="K11736" s="48"/>
      <c r="L11736" s="89"/>
    </row>
    <row r="11737" spans="1:12" x14ac:dyDescent="0.3">
      <c r="A11737"/>
      <c r="B11737" s="72"/>
      <c r="C11737" s="88"/>
      <c r="E11737" s="72"/>
      <c r="H11737" s="49"/>
      <c r="K11737" s="48"/>
      <c r="L11737" s="89"/>
    </row>
    <row r="11738" spans="1:12" x14ac:dyDescent="0.3">
      <c r="A11738"/>
      <c r="B11738" s="72"/>
      <c r="C11738" s="88"/>
      <c r="E11738" s="72"/>
      <c r="H11738" s="49"/>
      <c r="K11738" s="48"/>
      <c r="L11738" s="89"/>
    </row>
    <row r="11739" spans="1:12" x14ac:dyDescent="0.3">
      <c r="A11739"/>
      <c r="B11739" s="72"/>
      <c r="C11739" s="88"/>
      <c r="E11739" s="72"/>
      <c r="H11739" s="49"/>
      <c r="K11739" s="48"/>
      <c r="L11739" s="89"/>
    </row>
    <row r="11740" spans="1:12" x14ac:dyDescent="0.3">
      <c r="A11740"/>
      <c r="B11740" s="72"/>
      <c r="C11740" s="88"/>
      <c r="E11740" s="72"/>
      <c r="H11740" s="49"/>
      <c r="K11740" s="48"/>
      <c r="L11740" s="89"/>
    </row>
    <row r="11741" spans="1:12" x14ac:dyDescent="0.3">
      <c r="A11741"/>
      <c r="B11741" s="72"/>
      <c r="C11741" s="88"/>
      <c r="E11741" s="72"/>
      <c r="H11741" s="49"/>
      <c r="K11741" s="48"/>
      <c r="L11741" s="89"/>
    </row>
    <row r="11742" spans="1:12" x14ac:dyDescent="0.3">
      <c r="A11742"/>
      <c r="B11742" s="72"/>
      <c r="C11742" s="88"/>
      <c r="E11742" s="72"/>
      <c r="H11742" s="49"/>
      <c r="K11742" s="48"/>
      <c r="L11742" s="89"/>
    </row>
    <row r="11743" spans="1:12" x14ac:dyDescent="0.3">
      <c r="A11743"/>
      <c r="B11743" s="72"/>
      <c r="C11743" s="88"/>
      <c r="E11743" s="72"/>
      <c r="H11743" s="49"/>
      <c r="K11743" s="48"/>
      <c r="L11743" s="89"/>
    </row>
    <row r="11744" spans="1:12" x14ac:dyDescent="0.3">
      <c r="A11744"/>
      <c r="B11744" s="72"/>
      <c r="C11744" s="88"/>
      <c r="E11744" s="72"/>
      <c r="H11744" s="49"/>
      <c r="K11744" s="48"/>
      <c r="L11744" s="89"/>
    </row>
    <row r="11745" spans="1:12" x14ac:dyDescent="0.3">
      <c r="A11745"/>
      <c r="B11745" s="72"/>
      <c r="C11745" s="88"/>
      <c r="E11745" s="72"/>
      <c r="H11745" s="49"/>
      <c r="K11745" s="48"/>
      <c r="L11745" s="89"/>
    </row>
    <row r="11746" spans="1:12" x14ac:dyDescent="0.3">
      <c r="A11746"/>
      <c r="B11746" s="72"/>
      <c r="C11746" s="88"/>
      <c r="E11746" s="72"/>
      <c r="H11746" s="49"/>
      <c r="K11746" s="48"/>
      <c r="L11746" s="89"/>
    </row>
    <row r="11747" spans="1:12" x14ac:dyDescent="0.3">
      <c r="A11747"/>
      <c r="B11747" s="72"/>
      <c r="C11747" s="88"/>
      <c r="E11747" s="72"/>
      <c r="H11747" s="49"/>
      <c r="K11747" s="48"/>
      <c r="L11747" s="89"/>
    </row>
    <row r="11748" spans="1:12" x14ac:dyDescent="0.3">
      <c r="A11748"/>
      <c r="B11748" s="72"/>
      <c r="C11748" s="88"/>
      <c r="E11748" s="72"/>
      <c r="H11748" s="49"/>
      <c r="K11748" s="48"/>
      <c r="L11748" s="89"/>
    </row>
    <row r="11749" spans="1:12" x14ac:dyDescent="0.3">
      <c r="A11749"/>
      <c r="B11749" s="72"/>
      <c r="C11749" s="88"/>
      <c r="E11749" s="72"/>
      <c r="H11749" s="49"/>
      <c r="K11749" s="48"/>
      <c r="L11749" s="89"/>
    </row>
    <row r="11750" spans="1:12" x14ac:dyDescent="0.3">
      <c r="A11750"/>
      <c r="B11750" s="72"/>
      <c r="C11750" s="88"/>
      <c r="E11750" s="72"/>
      <c r="H11750" s="49"/>
      <c r="K11750" s="48"/>
      <c r="L11750" s="89"/>
    </row>
    <row r="11751" spans="1:12" x14ac:dyDescent="0.3">
      <c r="A11751"/>
      <c r="B11751" s="72"/>
      <c r="C11751" s="88"/>
      <c r="E11751" s="72"/>
      <c r="H11751" s="49"/>
      <c r="K11751" s="48"/>
      <c r="L11751" s="89"/>
    </row>
    <row r="11752" spans="1:12" x14ac:dyDescent="0.3">
      <c r="A11752"/>
      <c r="B11752" s="72"/>
      <c r="C11752" s="88"/>
      <c r="E11752" s="72"/>
      <c r="H11752" s="49"/>
      <c r="K11752" s="48"/>
      <c r="L11752" s="89"/>
    </row>
    <row r="11753" spans="1:12" x14ac:dyDescent="0.3">
      <c r="A11753"/>
      <c r="B11753" s="72"/>
      <c r="C11753" s="88"/>
      <c r="E11753" s="72"/>
      <c r="H11753" s="49"/>
      <c r="K11753" s="48"/>
      <c r="L11753" s="89"/>
    </row>
    <row r="11754" spans="1:12" x14ac:dyDescent="0.3">
      <c r="A11754"/>
      <c r="B11754" s="72"/>
      <c r="C11754" s="88"/>
      <c r="E11754" s="72"/>
      <c r="H11754" s="49"/>
      <c r="K11754" s="48"/>
      <c r="L11754" s="89"/>
    </row>
    <row r="11755" spans="1:12" x14ac:dyDescent="0.3">
      <c r="A11755"/>
      <c r="B11755" s="72"/>
      <c r="C11755" s="88"/>
      <c r="E11755" s="72"/>
      <c r="H11755" s="49"/>
      <c r="K11755" s="48"/>
      <c r="L11755" s="89"/>
    </row>
    <row r="11756" spans="1:12" x14ac:dyDescent="0.3">
      <c r="A11756"/>
      <c r="B11756" s="72"/>
      <c r="C11756" s="88"/>
      <c r="E11756" s="72"/>
      <c r="H11756" s="49"/>
      <c r="K11756" s="48"/>
      <c r="L11756" s="89"/>
    </row>
    <row r="11757" spans="1:12" x14ac:dyDescent="0.3">
      <c r="A11757"/>
      <c r="B11757" s="72"/>
      <c r="C11757" s="88"/>
      <c r="E11757" s="72"/>
      <c r="H11757" s="49"/>
      <c r="K11757" s="48"/>
      <c r="L11757" s="89"/>
    </row>
    <row r="11758" spans="1:12" x14ac:dyDescent="0.3">
      <c r="A11758"/>
      <c r="B11758" s="72"/>
      <c r="C11758" s="88"/>
      <c r="E11758" s="72"/>
      <c r="H11758" s="49"/>
      <c r="K11758" s="48"/>
      <c r="L11758" s="89"/>
    </row>
    <row r="11759" spans="1:12" x14ac:dyDescent="0.3">
      <c r="A11759"/>
      <c r="B11759" s="72"/>
      <c r="C11759" s="88"/>
      <c r="E11759" s="72"/>
      <c r="H11759" s="49"/>
      <c r="K11759" s="48"/>
      <c r="L11759" s="89"/>
    </row>
    <row r="11760" spans="1:12" x14ac:dyDescent="0.3">
      <c r="A11760"/>
      <c r="B11760" s="72"/>
      <c r="C11760" s="88"/>
      <c r="E11760" s="72"/>
      <c r="H11760" s="49"/>
      <c r="K11760" s="48"/>
      <c r="L11760" s="89"/>
    </row>
    <row r="11761" spans="1:12" x14ac:dyDescent="0.3">
      <c r="A11761"/>
      <c r="B11761" s="72"/>
      <c r="C11761" s="88"/>
      <c r="E11761" s="72"/>
      <c r="H11761" s="49"/>
      <c r="K11761" s="48"/>
      <c r="L11761" s="89"/>
    </row>
    <row r="11762" spans="1:12" x14ac:dyDescent="0.3">
      <c r="A11762"/>
      <c r="B11762" s="72"/>
      <c r="C11762" s="88"/>
      <c r="E11762" s="72"/>
      <c r="H11762" s="49"/>
      <c r="K11762" s="48"/>
      <c r="L11762" s="89"/>
    </row>
    <row r="11763" spans="1:12" x14ac:dyDescent="0.3">
      <c r="A11763"/>
      <c r="B11763" s="72"/>
      <c r="C11763" s="88"/>
      <c r="E11763" s="72"/>
      <c r="H11763" s="49"/>
      <c r="K11763" s="48"/>
      <c r="L11763" s="89"/>
    </row>
    <row r="11764" spans="1:12" x14ac:dyDescent="0.3">
      <c r="A11764"/>
      <c r="B11764" s="72"/>
      <c r="C11764" s="88"/>
      <c r="E11764" s="72"/>
      <c r="H11764" s="49"/>
      <c r="K11764" s="48"/>
      <c r="L11764" s="89"/>
    </row>
    <row r="11765" spans="1:12" x14ac:dyDescent="0.3">
      <c r="A11765"/>
      <c r="B11765" s="72"/>
      <c r="C11765" s="88"/>
      <c r="E11765" s="72"/>
      <c r="H11765" s="49"/>
      <c r="K11765" s="48"/>
      <c r="L11765" s="89"/>
    </row>
    <row r="11766" spans="1:12" x14ac:dyDescent="0.3">
      <c r="A11766"/>
      <c r="B11766" s="72"/>
      <c r="C11766" s="88"/>
      <c r="E11766" s="72"/>
      <c r="H11766" s="49"/>
      <c r="K11766" s="48"/>
      <c r="L11766" s="89"/>
    </row>
    <row r="11767" spans="1:12" x14ac:dyDescent="0.3">
      <c r="A11767"/>
      <c r="B11767" s="72"/>
      <c r="C11767" s="88"/>
      <c r="E11767" s="72"/>
      <c r="H11767" s="49"/>
      <c r="K11767" s="48"/>
      <c r="L11767" s="89"/>
    </row>
    <row r="11768" spans="1:12" x14ac:dyDescent="0.3">
      <c r="A11768"/>
      <c r="B11768" s="72"/>
      <c r="C11768" s="88"/>
      <c r="E11768" s="72"/>
      <c r="H11768" s="49"/>
      <c r="K11768" s="48"/>
      <c r="L11768" s="89"/>
    </row>
    <row r="11769" spans="1:12" x14ac:dyDescent="0.3">
      <c r="A11769"/>
      <c r="B11769" s="72"/>
      <c r="C11769" s="88"/>
      <c r="E11769" s="72"/>
      <c r="H11769" s="49"/>
      <c r="K11769" s="48"/>
      <c r="L11769" s="89"/>
    </row>
    <row r="11770" spans="1:12" x14ac:dyDescent="0.3">
      <c r="A11770"/>
      <c r="B11770" s="72"/>
      <c r="C11770" s="88"/>
      <c r="E11770" s="72"/>
      <c r="H11770" s="49"/>
      <c r="K11770" s="48"/>
      <c r="L11770" s="89"/>
    </row>
    <row r="11771" spans="1:12" x14ac:dyDescent="0.3">
      <c r="A11771"/>
      <c r="B11771" s="72"/>
      <c r="C11771" s="88"/>
      <c r="E11771" s="72"/>
      <c r="H11771" s="49"/>
      <c r="K11771" s="48"/>
      <c r="L11771" s="89"/>
    </row>
    <row r="11772" spans="1:12" x14ac:dyDescent="0.3">
      <c r="A11772"/>
      <c r="B11772" s="72"/>
      <c r="C11772" s="88"/>
      <c r="E11772" s="72"/>
      <c r="H11772" s="49"/>
      <c r="K11772" s="48"/>
      <c r="L11772" s="89"/>
    </row>
    <row r="11773" spans="1:12" x14ac:dyDescent="0.3">
      <c r="A11773"/>
      <c r="B11773" s="72"/>
      <c r="C11773" s="88"/>
      <c r="E11773" s="72"/>
      <c r="H11773" s="49"/>
      <c r="K11773" s="48"/>
      <c r="L11773" s="89"/>
    </row>
    <row r="11774" spans="1:12" x14ac:dyDescent="0.3">
      <c r="A11774"/>
      <c r="B11774" s="72"/>
      <c r="C11774" s="88"/>
      <c r="E11774" s="72"/>
      <c r="H11774" s="49"/>
      <c r="K11774" s="48"/>
      <c r="L11774" s="89"/>
    </row>
    <row r="11775" spans="1:12" x14ac:dyDescent="0.3">
      <c r="A11775"/>
      <c r="B11775" s="72"/>
      <c r="C11775" s="88"/>
      <c r="E11775" s="72"/>
      <c r="H11775" s="49"/>
      <c r="K11775" s="48"/>
      <c r="L11775" s="89"/>
    </row>
    <row r="11776" spans="1:12" x14ac:dyDescent="0.3">
      <c r="A11776"/>
      <c r="B11776" s="72"/>
      <c r="C11776" s="88"/>
      <c r="E11776" s="72"/>
      <c r="H11776" s="49"/>
      <c r="K11776" s="48"/>
      <c r="L11776" s="89"/>
    </row>
    <row r="11777" spans="1:12" x14ac:dyDescent="0.3">
      <c r="A11777"/>
      <c r="B11777" s="72"/>
      <c r="C11777" s="88"/>
      <c r="E11777" s="72"/>
      <c r="H11777" s="49"/>
      <c r="K11777" s="48"/>
      <c r="L11777" s="89"/>
    </row>
    <row r="11778" spans="1:12" x14ac:dyDescent="0.3">
      <c r="A11778"/>
      <c r="B11778" s="72"/>
      <c r="C11778" s="88"/>
      <c r="E11778" s="72"/>
      <c r="H11778" s="49"/>
      <c r="K11778" s="48"/>
      <c r="L11778" s="89"/>
    </row>
    <row r="11779" spans="1:12" x14ac:dyDescent="0.3">
      <c r="A11779"/>
      <c r="B11779" s="72"/>
      <c r="C11779" s="88"/>
      <c r="E11779" s="72"/>
      <c r="H11779" s="49"/>
      <c r="K11779" s="48"/>
      <c r="L11779" s="89"/>
    </row>
    <row r="11780" spans="1:12" x14ac:dyDescent="0.3">
      <c r="A11780"/>
      <c r="B11780" s="72"/>
      <c r="C11780" s="88"/>
      <c r="E11780" s="72"/>
      <c r="H11780" s="49"/>
      <c r="K11780" s="48"/>
      <c r="L11780" s="89"/>
    </row>
    <row r="11781" spans="1:12" x14ac:dyDescent="0.3">
      <c r="A11781"/>
      <c r="B11781" s="72"/>
      <c r="C11781" s="88"/>
      <c r="E11781" s="72"/>
      <c r="H11781" s="49"/>
      <c r="K11781" s="48"/>
      <c r="L11781" s="89"/>
    </row>
    <row r="11782" spans="1:12" x14ac:dyDescent="0.3">
      <c r="A11782"/>
      <c r="B11782" s="72"/>
      <c r="C11782" s="88"/>
      <c r="E11782" s="72"/>
      <c r="H11782" s="49"/>
      <c r="K11782" s="48"/>
      <c r="L11782" s="89"/>
    </row>
    <row r="11783" spans="1:12" x14ac:dyDescent="0.3">
      <c r="A11783"/>
      <c r="B11783" s="72"/>
      <c r="C11783" s="88"/>
      <c r="E11783" s="72"/>
      <c r="H11783" s="49"/>
      <c r="K11783" s="48"/>
      <c r="L11783" s="89"/>
    </row>
    <row r="11784" spans="1:12" x14ac:dyDescent="0.3">
      <c r="A11784"/>
      <c r="B11784" s="72"/>
      <c r="C11784" s="88"/>
      <c r="E11784" s="72"/>
      <c r="H11784" s="49"/>
      <c r="K11784" s="48"/>
      <c r="L11784" s="89"/>
    </row>
    <row r="11785" spans="1:12" x14ac:dyDescent="0.3">
      <c r="A11785"/>
      <c r="B11785" s="72"/>
      <c r="C11785" s="88"/>
      <c r="E11785" s="72"/>
      <c r="H11785" s="49"/>
      <c r="K11785" s="48"/>
      <c r="L11785" s="89"/>
    </row>
    <row r="11786" spans="1:12" x14ac:dyDescent="0.3">
      <c r="A11786"/>
      <c r="B11786" s="72"/>
      <c r="C11786" s="88"/>
      <c r="E11786" s="72"/>
      <c r="H11786" s="49"/>
      <c r="K11786" s="48"/>
      <c r="L11786" s="89"/>
    </row>
    <row r="11787" spans="1:12" x14ac:dyDescent="0.3">
      <c r="A11787"/>
      <c r="B11787" s="72"/>
      <c r="C11787" s="88"/>
      <c r="E11787" s="72"/>
      <c r="H11787" s="49"/>
      <c r="K11787" s="48"/>
      <c r="L11787" s="89"/>
    </row>
    <row r="11788" spans="1:12" x14ac:dyDescent="0.3">
      <c r="A11788"/>
      <c r="B11788" s="72"/>
      <c r="C11788" s="88"/>
      <c r="E11788" s="72"/>
      <c r="H11788" s="49"/>
      <c r="K11788" s="48"/>
      <c r="L11788" s="89"/>
    </row>
    <row r="11789" spans="1:12" x14ac:dyDescent="0.3">
      <c r="A11789"/>
      <c r="B11789" s="72"/>
      <c r="C11789" s="88"/>
      <c r="E11789" s="72"/>
      <c r="H11789" s="49"/>
      <c r="K11789" s="48"/>
      <c r="L11789" s="89"/>
    </row>
    <row r="11790" spans="1:12" x14ac:dyDescent="0.3">
      <c r="A11790"/>
      <c r="B11790" s="72"/>
      <c r="C11790" s="88"/>
      <c r="E11790" s="72"/>
      <c r="H11790" s="49"/>
      <c r="K11790" s="48"/>
      <c r="L11790" s="89"/>
    </row>
    <row r="11791" spans="1:12" x14ac:dyDescent="0.3">
      <c r="A11791"/>
      <c r="B11791" s="72"/>
      <c r="C11791" s="88"/>
      <c r="E11791" s="72"/>
      <c r="H11791" s="49"/>
      <c r="K11791" s="48"/>
      <c r="L11791" s="89"/>
    </row>
    <row r="11792" spans="1:12" x14ac:dyDescent="0.3">
      <c r="A11792"/>
      <c r="B11792" s="72"/>
      <c r="C11792" s="88"/>
      <c r="E11792" s="72"/>
      <c r="H11792" s="49"/>
      <c r="K11792" s="48"/>
      <c r="L11792" s="89"/>
    </row>
    <row r="11793" spans="1:12" x14ac:dyDescent="0.3">
      <c r="A11793"/>
      <c r="B11793" s="72"/>
      <c r="C11793" s="88"/>
      <c r="E11793" s="72"/>
      <c r="H11793" s="49"/>
      <c r="K11793" s="48"/>
      <c r="L11793" s="89"/>
    </row>
    <row r="11794" spans="1:12" x14ac:dyDescent="0.3">
      <c r="A11794"/>
      <c r="B11794" s="72"/>
      <c r="C11794" s="88"/>
      <c r="E11794" s="72"/>
      <c r="H11794" s="49"/>
      <c r="K11794" s="48"/>
      <c r="L11794" s="89"/>
    </row>
    <row r="11795" spans="1:12" x14ac:dyDescent="0.3">
      <c r="A11795"/>
      <c r="B11795" s="72"/>
      <c r="C11795" s="88"/>
      <c r="E11795" s="72"/>
      <c r="H11795" s="49"/>
      <c r="K11795" s="48"/>
      <c r="L11795" s="89"/>
    </row>
    <row r="11796" spans="1:12" x14ac:dyDescent="0.3">
      <c r="A11796"/>
      <c r="B11796" s="72"/>
      <c r="C11796" s="88"/>
      <c r="E11796" s="72"/>
      <c r="H11796" s="49"/>
      <c r="K11796" s="48"/>
      <c r="L11796" s="89"/>
    </row>
    <row r="11797" spans="1:12" x14ac:dyDescent="0.3">
      <c r="A11797"/>
      <c r="B11797" s="72"/>
      <c r="C11797" s="88"/>
      <c r="E11797" s="72"/>
      <c r="H11797" s="49"/>
      <c r="K11797" s="48"/>
      <c r="L11797" s="89"/>
    </row>
    <row r="11798" spans="1:12" x14ac:dyDescent="0.3">
      <c r="A11798"/>
      <c r="B11798" s="72"/>
      <c r="C11798" s="88"/>
      <c r="E11798" s="72"/>
      <c r="H11798" s="49"/>
      <c r="K11798" s="48"/>
      <c r="L11798" s="89"/>
    </row>
    <row r="11799" spans="1:12" x14ac:dyDescent="0.3">
      <c r="A11799"/>
      <c r="B11799" s="72"/>
      <c r="C11799" s="88"/>
      <c r="E11799" s="72"/>
      <c r="H11799" s="49"/>
      <c r="K11799" s="48"/>
      <c r="L11799" s="89"/>
    </row>
    <row r="11800" spans="1:12" x14ac:dyDescent="0.3">
      <c r="A11800"/>
      <c r="B11800" s="72"/>
      <c r="C11800" s="88"/>
      <c r="E11800" s="72"/>
      <c r="H11800" s="49"/>
      <c r="K11800" s="48"/>
      <c r="L11800" s="89"/>
    </row>
    <row r="11801" spans="1:12" x14ac:dyDescent="0.3">
      <c r="A11801"/>
      <c r="B11801" s="72"/>
      <c r="C11801" s="88"/>
      <c r="E11801" s="72"/>
      <c r="H11801" s="49"/>
      <c r="K11801" s="48"/>
      <c r="L11801" s="89"/>
    </row>
    <row r="11802" spans="1:12" x14ac:dyDescent="0.3">
      <c r="A11802"/>
      <c r="B11802" s="72"/>
      <c r="C11802" s="88"/>
      <c r="E11802" s="72"/>
      <c r="H11802" s="49"/>
      <c r="K11802" s="48"/>
      <c r="L11802" s="89"/>
    </row>
    <row r="11803" spans="1:12" x14ac:dyDescent="0.3">
      <c r="A11803"/>
      <c r="B11803" s="72"/>
      <c r="C11803" s="88"/>
      <c r="E11803" s="72"/>
      <c r="H11803" s="49"/>
      <c r="K11803" s="48"/>
      <c r="L11803" s="89"/>
    </row>
    <row r="11804" spans="1:12" x14ac:dyDescent="0.3">
      <c r="A11804"/>
      <c r="B11804" s="72"/>
      <c r="C11804" s="88"/>
      <c r="E11804" s="72"/>
      <c r="H11804" s="49"/>
      <c r="K11804" s="48"/>
      <c r="L11804" s="89"/>
    </row>
    <row r="11805" spans="1:12" x14ac:dyDescent="0.3">
      <c r="A11805"/>
      <c r="B11805" s="72"/>
      <c r="C11805" s="88"/>
      <c r="E11805" s="72"/>
      <c r="H11805" s="49"/>
      <c r="K11805" s="48"/>
      <c r="L11805" s="89"/>
    </row>
    <row r="11806" spans="1:12" x14ac:dyDescent="0.3">
      <c r="A11806"/>
      <c r="B11806" s="72"/>
      <c r="C11806" s="88"/>
      <c r="E11806" s="72"/>
      <c r="H11806" s="49"/>
      <c r="K11806" s="48"/>
      <c r="L11806" s="89"/>
    </row>
    <row r="11807" spans="1:12" x14ac:dyDescent="0.3">
      <c r="A11807"/>
      <c r="B11807" s="72"/>
      <c r="C11807" s="88"/>
      <c r="E11807" s="72"/>
      <c r="H11807" s="49"/>
      <c r="K11807" s="48"/>
      <c r="L11807" s="89"/>
    </row>
    <row r="11808" spans="1:12" x14ac:dyDescent="0.3">
      <c r="A11808"/>
      <c r="B11808" s="72"/>
      <c r="C11808" s="88"/>
      <c r="E11808" s="72"/>
      <c r="H11808" s="49"/>
      <c r="K11808" s="48"/>
      <c r="L11808" s="89"/>
    </row>
    <row r="11809" spans="1:12" x14ac:dyDescent="0.3">
      <c r="A11809"/>
      <c r="B11809" s="72"/>
      <c r="C11809" s="88"/>
      <c r="E11809" s="72"/>
      <c r="H11809" s="49"/>
      <c r="K11809" s="48"/>
      <c r="L11809" s="89"/>
    </row>
    <row r="11810" spans="1:12" x14ac:dyDescent="0.3">
      <c r="A11810"/>
      <c r="B11810" s="72"/>
      <c r="C11810" s="88"/>
      <c r="E11810" s="72"/>
      <c r="H11810" s="49"/>
      <c r="K11810" s="48"/>
      <c r="L11810" s="89"/>
    </row>
    <row r="11811" spans="1:12" x14ac:dyDescent="0.3">
      <c r="A11811"/>
      <c r="B11811" s="72"/>
      <c r="C11811" s="88"/>
      <c r="E11811" s="72"/>
      <c r="H11811" s="49"/>
      <c r="K11811" s="48"/>
      <c r="L11811" s="89"/>
    </row>
    <row r="11812" spans="1:12" x14ac:dyDescent="0.3">
      <c r="A11812"/>
      <c r="B11812" s="72"/>
      <c r="C11812" s="88"/>
      <c r="E11812" s="72"/>
      <c r="H11812" s="49"/>
      <c r="K11812" s="48"/>
      <c r="L11812" s="89"/>
    </row>
    <row r="11813" spans="1:12" x14ac:dyDescent="0.3">
      <c r="A11813"/>
      <c r="B11813" s="72"/>
      <c r="C11813" s="88"/>
      <c r="E11813" s="72"/>
      <c r="H11813" s="49"/>
      <c r="K11813" s="48"/>
      <c r="L11813" s="89"/>
    </row>
    <row r="11814" spans="1:12" x14ac:dyDescent="0.3">
      <c r="A11814"/>
      <c r="B11814" s="72"/>
      <c r="C11814" s="88"/>
      <c r="E11814" s="72"/>
      <c r="H11814" s="49"/>
      <c r="K11814" s="48"/>
      <c r="L11814" s="89"/>
    </row>
    <row r="11815" spans="1:12" x14ac:dyDescent="0.3">
      <c r="A11815"/>
      <c r="B11815" s="72"/>
      <c r="C11815" s="88"/>
      <c r="E11815" s="72"/>
      <c r="H11815" s="49"/>
      <c r="K11815" s="48"/>
      <c r="L11815" s="89"/>
    </row>
    <row r="11816" spans="1:12" x14ac:dyDescent="0.3">
      <c r="A11816"/>
      <c r="B11816" s="72"/>
      <c r="C11816" s="88"/>
      <c r="E11816" s="72"/>
      <c r="H11816" s="49"/>
      <c r="K11816" s="48"/>
      <c r="L11816" s="89"/>
    </row>
    <row r="11817" spans="1:12" x14ac:dyDescent="0.3">
      <c r="A11817"/>
      <c r="B11817" s="72"/>
      <c r="C11817" s="88"/>
      <c r="E11817" s="72"/>
      <c r="H11817" s="49"/>
      <c r="K11817" s="48"/>
      <c r="L11817" s="89"/>
    </row>
    <row r="11818" spans="1:12" x14ac:dyDescent="0.3">
      <c r="A11818"/>
      <c r="B11818" s="72"/>
      <c r="C11818" s="88"/>
      <c r="E11818" s="72"/>
      <c r="H11818" s="49"/>
      <c r="K11818" s="48"/>
      <c r="L11818" s="89"/>
    </row>
    <row r="11819" spans="1:12" x14ac:dyDescent="0.3">
      <c r="A11819"/>
      <c r="B11819" s="72"/>
      <c r="C11819" s="88"/>
      <c r="E11819" s="72"/>
      <c r="H11819" s="49"/>
      <c r="K11819" s="48"/>
      <c r="L11819" s="89"/>
    </row>
    <row r="11820" spans="1:12" x14ac:dyDescent="0.3">
      <c r="A11820"/>
      <c r="B11820" s="72"/>
      <c r="C11820" s="88"/>
      <c r="E11820" s="72"/>
      <c r="H11820" s="49"/>
      <c r="K11820" s="48"/>
      <c r="L11820" s="89"/>
    </row>
    <row r="11821" spans="1:12" x14ac:dyDescent="0.3">
      <c r="A11821"/>
      <c r="B11821" s="72"/>
      <c r="C11821" s="88"/>
      <c r="E11821" s="72"/>
      <c r="H11821" s="49"/>
      <c r="K11821" s="48"/>
      <c r="L11821" s="89"/>
    </row>
    <row r="11822" spans="1:12" x14ac:dyDescent="0.3">
      <c r="A11822"/>
      <c r="B11822" s="72"/>
      <c r="C11822" s="88"/>
      <c r="E11822" s="72"/>
      <c r="H11822" s="49"/>
      <c r="K11822" s="48"/>
      <c r="L11822" s="89"/>
    </row>
    <row r="11823" spans="1:12" x14ac:dyDescent="0.3">
      <c r="A11823"/>
      <c r="B11823" s="72"/>
      <c r="C11823" s="88"/>
      <c r="E11823" s="72"/>
      <c r="H11823" s="49"/>
      <c r="K11823" s="48"/>
      <c r="L11823" s="89"/>
    </row>
    <row r="11824" spans="1:12" x14ac:dyDescent="0.3">
      <c r="A11824"/>
      <c r="B11824" s="72"/>
      <c r="C11824" s="88"/>
      <c r="E11824" s="72"/>
      <c r="H11824" s="49"/>
      <c r="K11824" s="48"/>
      <c r="L11824" s="89"/>
    </row>
    <row r="11825" spans="1:12" x14ac:dyDescent="0.3">
      <c r="A11825"/>
      <c r="B11825" s="72"/>
      <c r="C11825" s="88"/>
      <c r="E11825" s="72"/>
      <c r="H11825" s="49"/>
      <c r="K11825" s="48"/>
      <c r="L11825" s="89"/>
    </row>
    <row r="11826" spans="1:12" x14ac:dyDescent="0.3">
      <c r="A11826"/>
      <c r="B11826" s="72"/>
      <c r="C11826" s="88"/>
      <c r="E11826" s="72"/>
      <c r="H11826" s="49"/>
      <c r="K11826" s="48"/>
      <c r="L11826" s="89"/>
    </row>
    <row r="11827" spans="1:12" x14ac:dyDescent="0.3">
      <c r="A11827"/>
      <c r="B11827" s="72"/>
      <c r="C11827" s="88"/>
      <c r="E11827" s="72"/>
      <c r="H11827" s="49"/>
      <c r="K11827" s="48"/>
      <c r="L11827" s="89"/>
    </row>
    <row r="11828" spans="1:12" x14ac:dyDescent="0.3">
      <c r="A11828"/>
      <c r="B11828" s="72"/>
      <c r="C11828" s="88"/>
      <c r="E11828" s="72"/>
      <c r="H11828" s="49"/>
      <c r="K11828" s="48"/>
      <c r="L11828" s="89"/>
    </row>
    <row r="11829" spans="1:12" x14ac:dyDescent="0.3">
      <c r="A11829"/>
      <c r="B11829" s="72"/>
      <c r="C11829" s="88"/>
      <c r="E11829" s="72"/>
      <c r="H11829" s="49"/>
      <c r="K11829" s="48"/>
      <c r="L11829" s="89"/>
    </row>
    <row r="11830" spans="1:12" x14ac:dyDescent="0.3">
      <c r="A11830"/>
      <c r="B11830" s="72"/>
      <c r="C11830" s="88"/>
      <c r="E11830" s="72"/>
      <c r="H11830" s="49"/>
      <c r="K11830" s="48"/>
      <c r="L11830" s="89"/>
    </row>
    <row r="11831" spans="1:12" x14ac:dyDescent="0.3">
      <c r="A11831"/>
      <c r="B11831" s="72"/>
      <c r="C11831" s="88"/>
      <c r="E11831" s="72"/>
      <c r="H11831" s="49"/>
      <c r="K11831" s="48"/>
      <c r="L11831" s="89"/>
    </row>
    <row r="11832" spans="1:12" x14ac:dyDescent="0.3">
      <c r="A11832"/>
      <c r="B11832" s="72"/>
      <c r="C11832" s="88"/>
      <c r="E11832" s="72"/>
      <c r="H11832" s="49"/>
      <c r="K11832" s="48"/>
      <c r="L11832" s="89"/>
    </row>
    <row r="11833" spans="1:12" x14ac:dyDescent="0.3">
      <c r="A11833"/>
      <c r="B11833" s="72"/>
      <c r="C11833" s="88"/>
      <c r="E11833" s="72"/>
      <c r="H11833" s="49"/>
      <c r="K11833" s="48"/>
      <c r="L11833" s="89"/>
    </row>
    <row r="11834" spans="1:12" x14ac:dyDescent="0.3">
      <c r="A11834"/>
      <c r="B11834" s="72"/>
      <c r="C11834" s="88"/>
      <c r="E11834" s="72"/>
      <c r="H11834" s="49"/>
      <c r="K11834" s="48"/>
      <c r="L11834" s="89"/>
    </row>
    <row r="11835" spans="1:12" x14ac:dyDescent="0.3">
      <c r="A11835"/>
      <c r="B11835" s="72"/>
      <c r="C11835" s="88"/>
      <c r="E11835" s="72"/>
      <c r="H11835" s="49"/>
      <c r="K11835" s="48"/>
      <c r="L11835" s="89"/>
    </row>
    <row r="11836" spans="1:12" x14ac:dyDescent="0.3">
      <c r="A11836"/>
      <c r="B11836" s="72"/>
      <c r="C11836" s="88"/>
      <c r="E11836" s="72"/>
      <c r="H11836" s="49"/>
      <c r="K11836" s="48"/>
      <c r="L11836" s="89"/>
    </row>
    <row r="11837" spans="1:12" x14ac:dyDescent="0.3">
      <c r="A11837"/>
      <c r="B11837" s="72"/>
      <c r="C11837" s="88"/>
      <c r="E11837" s="72"/>
      <c r="H11837" s="49"/>
      <c r="K11837" s="48"/>
      <c r="L11837" s="89"/>
    </row>
    <row r="11838" spans="1:12" x14ac:dyDescent="0.3">
      <c r="A11838"/>
      <c r="B11838" s="72"/>
      <c r="C11838" s="88"/>
      <c r="E11838" s="72"/>
      <c r="H11838" s="49"/>
      <c r="K11838" s="48"/>
      <c r="L11838" s="89"/>
    </row>
    <row r="11839" spans="1:12" x14ac:dyDescent="0.3">
      <c r="A11839"/>
      <c r="B11839" s="72"/>
      <c r="C11839" s="88"/>
      <c r="E11839" s="72"/>
      <c r="H11839" s="49"/>
      <c r="K11839" s="48"/>
      <c r="L11839" s="89"/>
    </row>
    <row r="11840" spans="1:12" x14ac:dyDescent="0.3">
      <c r="A11840"/>
      <c r="B11840" s="72"/>
      <c r="C11840" s="88"/>
      <c r="E11840" s="72"/>
      <c r="H11840" s="49"/>
      <c r="K11840" s="48"/>
      <c r="L11840" s="89"/>
    </row>
    <row r="11841" spans="1:12" x14ac:dyDescent="0.3">
      <c r="A11841"/>
      <c r="B11841" s="72"/>
      <c r="C11841" s="88"/>
      <c r="E11841" s="72"/>
      <c r="H11841" s="49"/>
      <c r="K11841" s="48"/>
      <c r="L11841" s="89"/>
    </row>
    <row r="11842" spans="1:12" x14ac:dyDescent="0.3">
      <c r="A11842"/>
      <c r="B11842" s="72"/>
      <c r="C11842" s="88"/>
      <c r="E11842" s="72"/>
      <c r="H11842" s="49"/>
      <c r="K11842" s="48"/>
      <c r="L11842" s="89"/>
    </row>
    <row r="11843" spans="1:12" x14ac:dyDescent="0.3">
      <c r="A11843"/>
      <c r="B11843" s="72"/>
      <c r="C11843" s="88"/>
      <c r="E11843" s="72"/>
      <c r="H11843" s="49"/>
      <c r="K11843" s="48"/>
      <c r="L11843" s="89"/>
    </row>
    <row r="11844" spans="1:12" x14ac:dyDescent="0.3">
      <c r="A11844"/>
      <c r="B11844" s="72"/>
      <c r="C11844" s="88"/>
      <c r="E11844" s="72"/>
      <c r="H11844" s="49"/>
      <c r="K11844" s="48"/>
      <c r="L11844" s="89"/>
    </row>
    <row r="11845" spans="1:12" x14ac:dyDescent="0.3">
      <c r="A11845"/>
      <c r="B11845" s="72"/>
      <c r="C11845" s="88"/>
      <c r="E11845" s="72"/>
      <c r="H11845" s="49"/>
      <c r="K11845" s="48"/>
      <c r="L11845" s="89"/>
    </row>
    <row r="11846" spans="1:12" x14ac:dyDescent="0.3">
      <c r="A11846"/>
      <c r="B11846" s="72"/>
      <c r="C11846" s="88"/>
      <c r="E11846" s="72"/>
      <c r="H11846" s="49"/>
      <c r="K11846" s="48"/>
      <c r="L11846" s="89"/>
    </row>
    <row r="11847" spans="1:12" x14ac:dyDescent="0.3">
      <c r="A11847"/>
      <c r="B11847" s="72"/>
      <c r="C11847" s="88"/>
      <c r="E11847" s="72"/>
      <c r="H11847" s="49"/>
      <c r="K11847" s="48"/>
      <c r="L11847" s="89"/>
    </row>
    <row r="11848" spans="1:12" x14ac:dyDescent="0.3">
      <c r="A11848"/>
      <c r="B11848" s="72"/>
      <c r="C11848" s="88"/>
      <c r="E11848" s="72"/>
      <c r="H11848" s="49"/>
      <c r="K11848" s="48"/>
      <c r="L11848" s="89"/>
    </row>
    <row r="11849" spans="1:12" x14ac:dyDescent="0.3">
      <c r="A11849"/>
      <c r="B11849" s="72"/>
      <c r="C11849" s="88"/>
      <c r="E11849" s="72"/>
      <c r="H11849" s="49"/>
      <c r="K11849" s="48"/>
      <c r="L11849" s="89"/>
    </row>
    <row r="11850" spans="1:12" x14ac:dyDescent="0.3">
      <c r="A11850"/>
      <c r="B11850" s="72"/>
      <c r="C11850" s="88"/>
      <c r="E11850" s="72"/>
      <c r="H11850" s="49"/>
      <c r="K11850" s="48"/>
      <c r="L11850" s="89"/>
    </row>
    <row r="11851" spans="1:12" x14ac:dyDescent="0.3">
      <c r="A11851"/>
      <c r="B11851" s="72"/>
      <c r="C11851" s="88"/>
      <c r="E11851" s="72"/>
      <c r="H11851" s="49"/>
      <c r="K11851" s="48"/>
      <c r="L11851" s="89"/>
    </row>
    <row r="11852" spans="1:12" x14ac:dyDescent="0.3">
      <c r="A11852"/>
      <c r="B11852" s="72"/>
      <c r="C11852" s="88"/>
      <c r="E11852" s="72"/>
      <c r="H11852" s="49"/>
      <c r="K11852" s="48"/>
      <c r="L11852" s="89"/>
    </row>
    <row r="11853" spans="1:12" x14ac:dyDescent="0.3">
      <c r="A11853"/>
      <c r="B11853" s="72"/>
      <c r="C11853" s="88"/>
      <c r="E11853" s="72"/>
      <c r="H11853" s="49"/>
      <c r="K11853" s="48"/>
      <c r="L11853" s="89"/>
    </row>
    <row r="11854" spans="1:12" x14ac:dyDescent="0.3">
      <c r="A11854"/>
      <c r="B11854" s="72"/>
      <c r="C11854" s="88"/>
      <c r="E11854" s="72"/>
      <c r="H11854" s="49"/>
      <c r="K11854" s="48"/>
      <c r="L11854" s="89"/>
    </row>
    <row r="11855" spans="1:12" x14ac:dyDescent="0.3">
      <c r="A11855"/>
      <c r="B11855" s="72"/>
      <c r="C11855" s="88"/>
      <c r="E11855" s="72"/>
      <c r="H11855" s="49"/>
      <c r="K11855" s="48"/>
      <c r="L11855" s="89"/>
    </row>
    <row r="11856" spans="1:12" x14ac:dyDescent="0.3">
      <c r="A11856"/>
      <c r="B11856" s="72"/>
      <c r="C11856" s="88"/>
      <c r="E11856" s="72"/>
      <c r="H11856" s="49"/>
      <c r="K11856" s="48"/>
      <c r="L11856" s="89"/>
    </row>
    <row r="11857" spans="1:12" x14ac:dyDescent="0.3">
      <c r="A11857"/>
      <c r="B11857" s="72"/>
      <c r="C11857" s="88"/>
      <c r="E11857" s="72"/>
      <c r="H11857" s="49"/>
      <c r="K11857" s="48"/>
      <c r="L11857" s="89"/>
    </row>
    <row r="11858" spans="1:12" x14ac:dyDescent="0.3">
      <c r="A11858"/>
      <c r="B11858" s="72"/>
      <c r="C11858" s="88"/>
      <c r="E11858" s="72"/>
      <c r="H11858" s="49"/>
      <c r="K11858" s="48"/>
      <c r="L11858" s="89"/>
    </row>
    <row r="11859" spans="1:12" x14ac:dyDescent="0.3">
      <c r="A11859"/>
      <c r="B11859" s="72"/>
      <c r="C11859" s="88"/>
      <c r="E11859" s="72"/>
      <c r="H11859" s="49"/>
      <c r="K11859" s="48"/>
      <c r="L11859" s="89"/>
    </row>
    <row r="11860" spans="1:12" x14ac:dyDescent="0.3">
      <c r="A11860"/>
      <c r="B11860" s="72"/>
      <c r="C11860" s="88"/>
      <c r="E11860" s="72"/>
      <c r="H11860" s="49"/>
      <c r="K11860" s="48"/>
      <c r="L11860" s="89"/>
    </row>
    <row r="11861" spans="1:12" x14ac:dyDescent="0.3">
      <c r="A11861"/>
      <c r="B11861" s="72"/>
      <c r="C11861" s="88"/>
      <c r="E11861" s="72"/>
      <c r="H11861" s="49"/>
      <c r="K11861" s="48"/>
      <c r="L11861" s="89"/>
    </row>
    <row r="11862" spans="1:12" x14ac:dyDescent="0.3">
      <c r="A11862"/>
      <c r="B11862" s="72"/>
      <c r="C11862" s="88"/>
      <c r="E11862" s="72"/>
      <c r="H11862" s="49"/>
      <c r="K11862" s="48"/>
      <c r="L11862" s="89"/>
    </row>
    <row r="11863" spans="1:12" x14ac:dyDescent="0.3">
      <c r="A11863"/>
      <c r="B11863" s="72"/>
      <c r="C11863" s="88"/>
      <c r="E11863" s="72"/>
      <c r="H11863" s="49"/>
      <c r="K11863" s="48"/>
      <c r="L11863" s="89"/>
    </row>
    <row r="11864" spans="1:12" x14ac:dyDescent="0.3">
      <c r="A11864"/>
      <c r="B11864" s="72"/>
      <c r="C11864" s="88"/>
      <c r="E11864" s="72"/>
      <c r="H11864" s="49"/>
      <c r="K11864" s="48"/>
      <c r="L11864" s="89"/>
    </row>
    <row r="11865" spans="1:12" x14ac:dyDescent="0.3">
      <c r="A11865"/>
      <c r="B11865" s="72"/>
      <c r="C11865" s="88"/>
      <c r="E11865" s="72"/>
      <c r="H11865" s="49"/>
      <c r="K11865" s="48"/>
      <c r="L11865" s="89"/>
    </row>
    <row r="11866" spans="1:12" x14ac:dyDescent="0.3">
      <c r="A11866"/>
      <c r="B11866" s="72"/>
      <c r="C11866" s="88"/>
      <c r="E11866" s="72"/>
      <c r="H11866" s="49"/>
      <c r="K11866" s="48"/>
      <c r="L11866" s="89"/>
    </row>
    <row r="11867" spans="1:12" x14ac:dyDescent="0.3">
      <c r="A11867"/>
      <c r="B11867" s="72"/>
      <c r="C11867" s="88"/>
      <c r="E11867" s="72"/>
      <c r="H11867" s="49"/>
      <c r="K11867" s="48"/>
      <c r="L11867" s="89"/>
    </row>
    <row r="11868" spans="1:12" x14ac:dyDescent="0.3">
      <c r="A11868"/>
      <c r="B11868" s="72"/>
      <c r="C11868" s="88"/>
      <c r="E11868" s="72"/>
      <c r="H11868" s="49"/>
      <c r="K11868" s="48"/>
      <c r="L11868" s="89"/>
    </row>
    <row r="11869" spans="1:12" x14ac:dyDescent="0.3">
      <c r="A11869"/>
      <c r="B11869" s="72"/>
      <c r="C11869" s="88"/>
      <c r="E11869" s="72"/>
      <c r="H11869" s="49"/>
      <c r="K11869" s="48"/>
      <c r="L11869" s="89"/>
    </row>
    <row r="11870" spans="1:12" x14ac:dyDescent="0.3">
      <c r="A11870"/>
      <c r="B11870" s="72"/>
      <c r="C11870" s="88"/>
      <c r="E11870" s="72"/>
      <c r="H11870" s="49"/>
      <c r="K11870" s="48"/>
      <c r="L11870" s="89"/>
    </row>
    <row r="11871" spans="1:12" x14ac:dyDescent="0.3">
      <c r="A11871"/>
      <c r="B11871" s="72"/>
      <c r="C11871" s="88"/>
      <c r="E11871" s="72"/>
      <c r="H11871" s="49"/>
      <c r="K11871" s="48"/>
      <c r="L11871" s="89"/>
    </row>
    <row r="11872" spans="1:12" x14ac:dyDescent="0.3">
      <c r="A11872"/>
      <c r="B11872" s="72"/>
      <c r="C11872" s="88"/>
      <c r="E11872" s="72"/>
      <c r="H11872" s="49"/>
      <c r="K11872" s="48"/>
      <c r="L11872" s="89"/>
    </row>
    <row r="11873" spans="1:12" x14ac:dyDescent="0.3">
      <c r="A11873"/>
      <c r="B11873" s="72"/>
      <c r="C11873" s="88"/>
      <c r="E11873" s="72"/>
      <c r="H11873" s="49"/>
      <c r="K11873" s="48"/>
      <c r="L11873" s="89"/>
    </row>
    <row r="11874" spans="1:12" x14ac:dyDescent="0.3">
      <c r="A11874"/>
      <c r="B11874" s="72"/>
      <c r="C11874" s="88"/>
      <c r="E11874" s="72"/>
      <c r="H11874" s="49"/>
      <c r="K11874" s="48"/>
      <c r="L11874" s="89"/>
    </row>
    <row r="11875" spans="1:12" x14ac:dyDescent="0.3">
      <c r="A11875"/>
      <c r="B11875" s="72"/>
      <c r="C11875" s="88"/>
      <c r="E11875" s="72"/>
      <c r="H11875" s="49"/>
      <c r="K11875" s="48"/>
      <c r="L11875" s="89"/>
    </row>
    <row r="11876" spans="1:12" x14ac:dyDescent="0.3">
      <c r="A11876"/>
      <c r="B11876" s="72"/>
      <c r="C11876" s="88"/>
      <c r="E11876" s="72"/>
      <c r="H11876" s="49"/>
      <c r="K11876" s="48"/>
      <c r="L11876" s="89"/>
    </row>
    <row r="11877" spans="1:12" x14ac:dyDescent="0.3">
      <c r="A11877"/>
      <c r="B11877" s="72"/>
      <c r="C11877" s="88"/>
      <c r="E11877" s="72"/>
      <c r="H11877" s="49"/>
      <c r="K11877" s="48"/>
      <c r="L11877" s="89"/>
    </row>
    <row r="11878" spans="1:12" x14ac:dyDescent="0.3">
      <c r="A11878"/>
      <c r="B11878" s="72"/>
      <c r="C11878" s="88"/>
      <c r="E11878" s="72"/>
      <c r="H11878" s="49"/>
      <c r="K11878" s="48"/>
      <c r="L11878" s="89"/>
    </row>
    <row r="11879" spans="1:12" x14ac:dyDescent="0.3">
      <c r="A11879"/>
      <c r="B11879" s="72"/>
      <c r="C11879" s="88"/>
      <c r="E11879" s="72"/>
      <c r="H11879" s="49"/>
      <c r="K11879" s="48"/>
      <c r="L11879" s="89"/>
    </row>
    <row r="11880" spans="1:12" x14ac:dyDescent="0.3">
      <c r="A11880"/>
      <c r="B11880" s="72"/>
      <c r="C11880" s="88"/>
      <c r="E11880" s="72"/>
      <c r="H11880" s="49"/>
      <c r="K11880" s="48"/>
      <c r="L11880" s="89"/>
    </row>
    <row r="11881" spans="1:12" x14ac:dyDescent="0.3">
      <c r="A11881"/>
      <c r="B11881" s="72"/>
      <c r="C11881" s="88"/>
      <c r="E11881" s="72"/>
      <c r="H11881" s="49"/>
      <c r="K11881" s="48"/>
      <c r="L11881" s="89"/>
    </row>
    <row r="11882" spans="1:12" x14ac:dyDescent="0.3">
      <c r="A11882"/>
      <c r="B11882" s="72"/>
      <c r="C11882" s="88"/>
      <c r="E11882" s="72"/>
      <c r="H11882" s="49"/>
      <c r="K11882" s="48"/>
      <c r="L11882" s="89"/>
    </row>
    <row r="11883" spans="1:12" x14ac:dyDescent="0.3">
      <c r="A11883"/>
      <c r="B11883" s="72"/>
      <c r="C11883" s="88"/>
      <c r="E11883" s="72"/>
      <c r="H11883" s="49"/>
      <c r="K11883" s="48"/>
      <c r="L11883" s="89"/>
    </row>
    <row r="11884" spans="1:12" x14ac:dyDescent="0.3">
      <c r="A11884"/>
      <c r="B11884" s="72"/>
      <c r="C11884" s="88"/>
      <c r="E11884" s="72"/>
      <c r="H11884" s="49"/>
      <c r="K11884" s="48"/>
      <c r="L11884" s="89"/>
    </row>
    <row r="11885" spans="1:12" x14ac:dyDescent="0.3">
      <c r="A11885"/>
      <c r="B11885" s="72"/>
      <c r="C11885" s="88"/>
      <c r="E11885" s="72"/>
      <c r="H11885" s="49"/>
      <c r="K11885" s="48"/>
      <c r="L11885" s="89"/>
    </row>
    <row r="11886" spans="1:12" x14ac:dyDescent="0.3">
      <c r="A11886"/>
      <c r="B11886" s="72"/>
      <c r="C11886" s="88"/>
      <c r="E11886" s="72"/>
      <c r="H11886" s="49"/>
      <c r="K11886" s="48"/>
      <c r="L11886" s="89"/>
    </row>
    <row r="11887" spans="1:12" x14ac:dyDescent="0.3">
      <c r="A11887"/>
      <c r="B11887" s="72"/>
      <c r="C11887" s="88"/>
      <c r="E11887" s="72"/>
      <c r="H11887" s="49"/>
      <c r="K11887" s="48"/>
      <c r="L11887" s="89"/>
    </row>
    <row r="11888" spans="1:12" x14ac:dyDescent="0.3">
      <c r="A11888"/>
      <c r="B11888" s="72"/>
      <c r="C11888" s="88"/>
      <c r="E11888" s="72"/>
      <c r="H11888" s="49"/>
      <c r="K11888" s="48"/>
      <c r="L11888" s="89"/>
    </row>
    <row r="11889" spans="1:12" x14ac:dyDescent="0.3">
      <c r="A11889"/>
      <c r="B11889" s="72"/>
      <c r="C11889" s="88"/>
      <c r="E11889" s="72"/>
      <c r="H11889" s="49"/>
      <c r="K11889" s="48"/>
      <c r="L11889" s="89"/>
    </row>
    <row r="11890" spans="1:12" x14ac:dyDescent="0.3">
      <c r="A11890"/>
      <c r="B11890" s="72"/>
      <c r="C11890" s="88"/>
      <c r="E11890" s="72"/>
      <c r="H11890" s="49"/>
      <c r="K11890" s="48"/>
      <c r="L11890" s="89"/>
    </row>
    <row r="11891" spans="1:12" x14ac:dyDescent="0.3">
      <c r="A11891"/>
      <c r="B11891" s="72"/>
      <c r="C11891" s="88"/>
      <c r="E11891" s="72"/>
      <c r="H11891" s="49"/>
      <c r="K11891" s="48"/>
      <c r="L11891" s="89"/>
    </row>
    <row r="11892" spans="1:12" x14ac:dyDescent="0.3">
      <c r="A11892"/>
      <c r="B11892" s="72"/>
      <c r="C11892" s="88"/>
      <c r="E11892" s="72"/>
      <c r="H11892" s="49"/>
      <c r="K11892" s="48"/>
      <c r="L11892" s="89"/>
    </row>
    <row r="11893" spans="1:12" x14ac:dyDescent="0.3">
      <c r="A11893"/>
      <c r="B11893" s="72"/>
      <c r="C11893" s="88"/>
      <c r="E11893" s="72"/>
      <c r="H11893" s="49"/>
      <c r="K11893" s="48"/>
      <c r="L11893" s="89"/>
    </row>
    <row r="11894" spans="1:12" x14ac:dyDescent="0.3">
      <c r="A11894"/>
      <c r="B11894" s="72"/>
      <c r="C11894" s="88"/>
      <c r="E11894" s="72"/>
      <c r="H11894" s="49"/>
      <c r="K11894" s="48"/>
      <c r="L11894" s="89"/>
    </row>
    <row r="11895" spans="1:12" x14ac:dyDescent="0.3">
      <c r="A11895"/>
      <c r="B11895" s="72"/>
      <c r="C11895" s="88"/>
      <c r="E11895" s="72"/>
      <c r="H11895" s="49"/>
      <c r="K11895" s="48"/>
      <c r="L11895" s="89"/>
    </row>
    <row r="11896" spans="1:12" x14ac:dyDescent="0.3">
      <c r="A11896"/>
      <c r="B11896" s="72"/>
      <c r="C11896" s="88"/>
      <c r="E11896" s="72"/>
      <c r="H11896" s="49"/>
      <c r="K11896" s="48"/>
      <c r="L11896" s="89"/>
    </row>
    <row r="11897" spans="1:12" x14ac:dyDescent="0.3">
      <c r="A11897"/>
      <c r="B11897" s="72"/>
      <c r="C11897" s="88"/>
      <c r="E11897" s="72"/>
      <c r="H11897" s="49"/>
      <c r="K11897" s="48"/>
      <c r="L11897" s="89"/>
    </row>
    <row r="11898" spans="1:12" x14ac:dyDescent="0.3">
      <c r="A11898"/>
      <c r="B11898" s="72"/>
      <c r="C11898" s="88"/>
      <c r="E11898" s="72"/>
      <c r="H11898" s="49"/>
      <c r="K11898" s="48"/>
      <c r="L11898" s="89"/>
    </row>
    <row r="11899" spans="1:12" x14ac:dyDescent="0.3">
      <c r="A11899"/>
      <c r="B11899" s="72"/>
      <c r="C11899" s="88"/>
      <c r="E11899" s="72"/>
      <c r="H11899" s="49"/>
      <c r="K11899" s="48"/>
      <c r="L11899" s="89"/>
    </row>
    <row r="11900" spans="1:12" x14ac:dyDescent="0.3">
      <c r="A11900"/>
      <c r="B11900" s="72"/>
      <c r="C11900" s="88"/>
      <c r="E11900" s="72"/>
      <c r="H11900" s="49"/>
      <c r="K11900" s="48"/>
      <c r="L11900" s="89"/>
    </row>
    <row r="11901" spans="1:12" x14ac:dyDescent="0.3">
      <c r="A11901"/>
      <c r="B11901" s="72"/>
      <c r="C11901" s="88"/>
      <c r="E11901" s="72"/>
      <c r="H11901" s="49"/>
      <c r="K11901" s="48"/>
      <c r="L11901" s="89"/>
    </row>
    <row r="11902" spans="1:12" x14ac:dyDescent="0.3">
      <c r="A11902"/>
      <c r="B11902" s="72"/>
      <c r="C11902" s="88"/>
      <c r="E11902" s="72"/>
      <c r="H11902" s="49"/>
      <c r="K11902" s="48"/>
      <c r="L11902" s="89"/>
    </row>
    <row r="11903" spans="1:12" x14ac:dyDescent="0.3">
      <c r="A11903"/>
      <c r="B11903" s="72"/>
      <c r="C11903" s="88"/>
      <c r="E11903" s="72"/>
      <c r="H11903" s="49"/>
      <c r="K11903" s="48"/>
      <c r="L11903" s="89"/>
    </row>
    <row r="11904" spans="1:12" x14ac:dyDescent="0.3">
      <c r="A11904"/>
      <c r="B11904" s="72"/>
      <c r="C11904" s="88"/>
      <c r="E11904" s="72"/>
      <c r="H11904" s="49"/>
      <c r="K11904" s="48"/>
      <c r="L11904" s="89"/>
    </row>
    <row r="11905" spans="1:12" x14ac:dyDescent="0.3">
      <c r="A11905"/>
      <c r="B11905" s="72"/>
      <c r="C11905" s="88"/>
      <c r="E11905" s="72"/>
      <c r="H11905" s="49"/>
      <c r="K11905" s="48"/>
      <c r="L11905" s="89"/>
    </row>
    <row r="11906" spans="1:12" x14ac:dyDescent="0.3">
      <c r="A11906"/>
      <c r="B11906" s="72"/>
      <c r="C11906" s="88"/>
      <c r="E11906" s="72"/>
      <c r="H11906" s="49"/>
      <c r="K11906" s="48"/>
      <c r="L11906" s="89"/>
    </row>
    <row r="11907" spans="1:12" x14ac:dyDescent="0.3">
      <c r="A11907"/>
      <c r="B11907" s="72"/>
      <c r="C11907" s="88"/>
      <c r="E11907" s="72"/>
      <c r="H11907" s="49"/>
      <c r="K11907" s="48"/>
      <c r="L11907" s="89"/>
    </row>
    <row r="11908" spans="1:12" x14ac:dyDescent="0.3">
      <c r="A11908"/>
      <c r="B11908" s="72"/>
      <c r="C11908" s="88"/>
      <c r="E11908" s="72"/>
      <c r="H11908" s="49"/>
      <c r="K11908" s="48"/>
      <c r="L11908" s="89"/>
    </row>
    <row r="11909" spans="1:12" x14ac:dyDescent="0.3">
      <c r="A11909"/>
      <c r="B11909" s="72"/>
      <c r="C11909" s="88"/>
      <c r="E11909" s="72"/>
      <c r="H11909" s="49"/>
      <c r="K11909" s="48"/>
      <c r="L11909" s="89"/>
    </row>
    <row r="11910" spans="1:12" x14ac:dyDescent="0.3">
      <c r="A11910"/>
      <c r="B11910" s="72"/>
      <c r="C11910" s="88"/>
      <c r="E11910" s="72"/>
      <c r="H11910" s="49"/>
      <c r="K11910" s="48"/>
      <c r="L11910" s="89"/>
    </row>
    <row r="11911" spans="1:12" x14ac:dyDescent="0.3">
      <c r="A11911"/>
      <c r="B11911" s="72"/>
      <c r="C11911" s="88"/>
      <c r="E11911" s="72"/>
      <c r="H11911" s="49"/>
      <c r="K11911" s="48"/>
      <c r="L11911" s="89"/>
    </row>
    <row r="11912" spans="1:12" x14ac:dyDescent="0.3">
      <c r="A11912"/>
      <c r="B11912" s="72"/>
      <c r="C11912" s="88"/>
      <c r="E11912" s="72"/>
      <c r="H11912" s="49"/>
      <c r="K11912" s="48"/>
      <c r="L11912" s="89"/>
    </row>
    <row r="11913" spans="1:12" x14ac:dyDescent="0.3">
      <c r="A11913"/>
      <c r="B11913" s="72"/>
      <c r="C11913" s="88"/>
      <c r="E11913" s="72"/>
      <c r="H11913" s="49"/>
      <c r="K11913" s="48"/>
      <c r="L11913" s="89"/>
    </row>
    <row r="11914" spans="1:12" x14ac:dyDescent="0.3">
      <c r="A11914"/>
      <c r="B11914" s="72"/>
      <c r="C11914" s="88"/>
      <c r="E11914" s="72"/>
      <c r="H11914" s="49"/>
      <c r="K11914" s="48"/>
      <c r="L11914" s="89"/>
    </row>
    <row r="11915" spans="1:12" x14ac:dyDescent="0.3">
      <c r="A11915"/>
      <c r="B11915" s="72"/>
      <c r="C11915" s="88"/>
      <c r="E11915" s="72"/>
      <c r="H11915" s="49"/>
      <c r="K11915" s="48"/>
      <c r="L11915" s="89"/>
    </row>
    <row r="11916" spans="1:12" x14ac:dyDescent="0.3">
      <c r="A11916"/>
      <c r="B11916" s="72"/>
      <c r="C11916" s="88"/>
      <c r="E11916" s="72"/>
      <c r="H11916" s="49"/>
      <c r="K11916" s="48"/>
      <c r="L11916" s="89"/>
    </row>
    <row r="11917" spans="1:12" x14ac:dyDescent="0.3">
      <c r="A11917"/>
      <c r="B11917" s="72"/>
      <c r="C11917" s="88"/>
      <c r="E11917" s="72"/>
      <c r="H11917" s="49"/>
      <c r="K11917" s="48"/>
      <c r="L11917" s="89"/>
    </row>
    <row r="11918" spans="1:12" x14ac:dyDescent="0.3">
      <c r="A11918"/>
      <c r="B11918" s="72"/>
      <c r="C11918" s="88"/>
      <c r="E11918" s="72"/>
      <c r="H11918" s="49"/>
      <c r="K11918" s="48"/>
      <c r="L11918" s="89"/>
    </row>
    <row r="11919" spans="1:12" x14ac:dyDescent="0.3">
      <c r="A11919"/>
      <c r="B11919" s="72"/>
      <c r="C11919" s="88"/>
      <c r="E11919" s="72"/>
      <c r="H11919" s="49"/>
      <c r="K11919" s="48"/>
      <c r="L11919" s="89"/>
    </row>
    <row r="11920" spans="1:12" x14ac:dyDescent="0.3">
      <c r="A11920"/>
      <c r="B11920" s="72"/>
      <c r="C11920" s="88"/>
      <c r="E11920" s="72"/>
      <c r="H11920" s="49"/>
      <c r="K11920" s="48"/>
      <c r="L11920" s="89"/>
    </row>
    <row r="11921" spans="1:12" x14ac:dyDescent="0.3">
      <c r="A11921"/>
      <c r="B11921" s="72"/>
      <c r="C11921" s="88"/>
      <c r="E11921" s="72"/>
      <c r="H11921" s="49"/>
      <c r="K11921" s="48"/>
      <c r="L11921" s="89"/>
    </row>
    <row r="11922" spans="1:12" x14ac:dyDescent="0.3">
      <c r="A11922"/>
      <c r="B11922" s="72"/>
      <c r="C11922" s="88"/>
      <c r="E11922" s="72"/>
      <c r="H11922" s="49"/>
      <c r="K11922" s="48"/>
      <c r="L11922" s="89"/>
    </row>
    <row r="11923" spans="1:12" x14ac:dyDescent="0.3">
      <c r="A11923"/>
      <c r="B11923" s="72"/>
      <c r="C11923" s="88"/>
      <c r="E11923" s="72"/>
      <c r="H11923" s="49"/>
      <c r="K11923" s="48"/>
      <c r="L11923" s="89"/>
    </row>
    <row r="11924" spans="1:12" x14ac:dyDescent="0.3">
      <c r="A11924"/>
      <c r="B11924" s="72"/>
      <c r="C11924" s="88"/>
      <c r="E11924" s="72"/>
      <c r="H11924" s="49"/>
      <c r="K11924" s="48"/>
      <c r="L11924" s="89"/>
    </row>
    <row r="11925" spans="1:12" x14ac:dyDescent="0.3">
      <c r="A11925"/>
      <c r="B11925" s="72"/>
      <c r="C11925" s="88"/>
      <c r="E11925" s="72"/>
      <c r="H11925" s="49"/>
      <c r="K11925" s="48"/>
      <c r="L11925" s="89"/>
    </row>
    <row r="11926" spans="1:12" x14ac:dyDescent="0.3">
      <c r="A11926"/>
      <c r="B11926" s="72"/>
      <c r="C11926" s="88"/>
      <c r="E11926" s="72"/>
      <c r="H11926" s="49"/>
      <c r="K11926" s="48"/>
      <c r="L11926" s="89"/>
    </row>
    <row r="11927" spans="1:12" x14ac:dyDescent="0.3">
      <c r="A11927"/>
      <c r="B11927" s="72"/>
      <c r="C11927" s="88"/>
      <c r="E11927" s="72"/>
      <c r="H11927" s="49"/>
      <c r="K11927" s="48"/>
      <c r="L11927" s="89"/>
    </row>
    <row r="11928" spans="1:12" x14ac:dyDescent="0.3">
      <c r="A11928"/>
      <c r="B11928" s="72"/>
      <c r="C11928" s="88"/>
      <c r="E11928" s="72"/>
      <c r="H11928" s="49"/>
      <c r="K11928" s="48"/>
      <c r="L11928" s="89"/>
    </row>
    <row r="11929" spans="1:12" x14ac:dyDescent="0.3">
      <c r="A11929"/>
      <c r="B11929" s="72"/>
      <c r="C11929" s="88"/>
      <c r="E11929" s="72"/>
      <c r="H11929" s="49"/>
      <c r="K11929" s="48"/>
      <c r="L11929" s="89"/>
    </row>
    <row r="11930" spans="1:12" x14ac:dyDescent="0.3">
      <c r="A11930"/>
      <c r="B11930" s="72"/>
      <c r="C11930" s="88"/>
      <c r="E11930" s="72"/>
      <c r="H11930" s="49"/>
      <c r="K11930" s="48"/>
      <c r="L11930" s="89"/>
    </row>
    <row r="11931" spans="1:12" x14ac:dyDescent="0.3">
      <c r="A11931"/>
      <c r="B11931" s="72"/>
      <c r="C11931" s="88"/>
      <c r="E11931" s="72"/>
      <c r="H11931" s="49"/>
      <c r="K11931" s="48"/>
      <c r="L11931" s="89"/>
    </row>
    <row r="11932" spans="1:12" x14ac:dyDescent="0.3">
      <c r="A11932"/>
      <c r="B11932" s="72"/>
      <c r="C11932" s="88"/>
      <c r="E11932" s="72"/>
      <c r="H11932" s="49"/>
      <c r="K11932" s="48"/>
      <c r="L11932" s="89"/>
    </row>
    <row r="11933" spans="1:12" x14ac:dyDescent="0.3">
      <c r="A11933"/>
      <c r="B11933" s="72"/>
      <c r="C11933" s="88"/>
      <c r="E11933" s="72"/>
      <c r="H11933" s="49"/>
      <c r="K11933" s="48"/>
      <c r="L11933" s="89"/>
    </row>
    <row r="11934" spans="1:12" x14ac:dyDescent="0.3">
      <c r="A11934"/>
      <c r="B11934" s="72"/>
      <c r="C11934" s="88"/>
      <c r="E11934" s="72"/>
      <c r="H11934" s="49"/>
      <c r="K11934" s="48"/>
      <c r="L11934" s="89"/>
    </row>
    <row r="11935" spans="1:12" x14ac:dyDescent="0.3">
      <c r="A11935"/>
      <c r="B11935" s="72"/>
      <c r="C11935" s="88"/>
      <c r="E11935" s="72"/>
      <c r="H11935" s="49"/>
      <c r="K11935" s="48"/>
      <c r="L11935" s="89"/>
    </row>
    <row r="11936" spans="1:12" x14ac:dyDescent="0.3">
      <c r="A11936"/>
      <c r="B11936" s="72"/>
      <c r="C11936" s="88"/>
      <c r="E11936" s="72"/>
      <c r="H11936" s="49"/>
      <c r="K11936" s="48"/>
      <c r="L11936" s="89"/>
    </row>
    <row r="11937" spans="1:12" x14ac:dyDescent="0.3">
      <c r="A11937"/>
      <c r="B11937" s="72"/>
      <c r="C11937" s="88"/>
      <c r="E11937" s="72"/>
      <c r="H11937" s="49"/>
      <c r="K11937" s="48"/>
      <c r="L11937" s="89"/>
    </row>
    <row r="11938" spans="1:12" x14ac:dyDescent="0.3">
      <c r="A11938"/>
      <c r="B11938" s="72"/>
      <c r="C11938" s="88"/>
      <c r="E11938" s="72"/>
      <c r="H11938" s="49"/>
      <c r="K11938" s="48"/>
      <c r="L11938" s="89"/>
    </row>
    <row r="11939" spans="1:12" x14ac:dyDescent="0.3">
      <c r="A11939"/>
      <c r="B11939" s="72"/>
      <c r="C11939" s="88"/>
      <c r="E11939" s="72"/>
      <c r="H11939" s="49"/>
      <c r="K11939" s="48"/>
      <c r="L11939" s="89"/>
    </row>
    <row r="11940" spans="1:12" x14ac:dyDescent="0.3">
      <c r="A11940"/>
      <c r="B11940" s="72"/>
      <c r="C11940" s="88"/>
      <c r="E11940" s="72"/>
      <c r="H11940" s="49"/>
      <c r="K11940" s="48"/>
      <c r="L11940" s="89"/>
    </row>
    <row r="11941" spans="1:12" x14ac:dyDescent="0.3">
      <c r="A11941"/>
      <c r="B11941" s="72"/>
      <c r="C11941" s="88"/>
      <c r="E11941" s="72"/>
      <c r="H11941" s="49"/>
      <c r="K11941" s="48"/>
      <c r="L11941" s="89"/>
    </row>
    <row r="11942" spans="1:12" x14ac:dyDescent="0.3">
      <c r="A11942"/>
      <c r="B11942" s="72"/>
      <c r="C11942" s="88"/>
      <c r="E11942" s="72"/>
      <c r="H11942" s="49"/>
      <c r="K11942" s="48"/>
      <c r="L11942" s="89"/>
    </row>
    <row r="11943" spans="1:12" x14ac:dyDescent="0.3">
      <c r="A11943"/>
      <c r="B11943" s="72"/>
      <c r="C11943" s="88"/>
      <c r="E11943" s="72"/>
      <c r="H11943" s="49"/>
      <c r="K11943" s="48"/>
      <c r="L11943" s="89"/>
    </row>
    <row r="11944" spans="1:12" x14ac:dyDescent="0.3">
      <c r="A11944"/>
      <c r="B11944" s="72"/>
      <c r="C11944" s="88"/>
      <c r="E11944" s="72"/>
      <c r="H11944" s="49"/>
      <c r="K11944" s="48"/>
      <c r="L11944" s="89"/>
    </row>
    <row r="11945" spans="1:12" x14ac:dyDescent="0.3">
      <c r="A11945"/>
      <c r="B11945" s="72"/>
      <c r="C11945" s="88"/>
      <c r="E11945" s="72"/>
      <c r="H11945" s="49"/>
      <c r="K11945" s="48"/>
      <c r="L11945" s="89"/>
    </row>
    <row r="11946" spans="1:12" x14ac:dyDescent="0.3">
      <c r="A11946"/>
      <c r="B11946" s="72"/>
      <c r="C11946" s="88"/>
      <c r="E11946" s="72"/>
      <c r="H11946" s="49"/>
      <c r="K11946" s="48"/>
      <c r="L11946" s="89"/>
    </row>
    <row r="11947" spans="1:12" x14ac:dyDescent="0.3">
      <c r="A11947"/>
      <c r="B11947" s="72"/>
      <c r="C11947" s="88"/>
      <c r="E11947" s="72"/>
      <c r="H11947" s="49"/>
      <c r="K11947" s="48"/>
      <c r="L11947" s="89"/>
    </row>
    <row r="11948" spans="1:12" x14ac:dyDescent="0.3">
      <c r="A11948"/>
      <c r="B11948" s="72"/>
      <c r="C11948" s="88"/>
      <c r="E11948" s="72"/>
      <c r="H11948" s="49"/>
      <c r="K11948" s="48"/>
      <c r="L11948" s="89"/>
    </row>
    <row r="11949" spans="1:12" x14ac:dyDescent="0.3">
      <c r="A11949"/>
      <c r="B11949" s="72"/>
      <c r="C11949" s="88"/>
      <c r="E11949" s="72"/>
      <c r="H11949" s="49"/>
      <c r="K11949" s="48"/>
      <c r="L11949" s="89"/>
    </row>
    <row r="11950" spans="1:12" x14ac:dyDescent="0.3">
      <c r="A11950"/>
      <c r="B11950" s="72"/>
      <c r="C11950" s="88"/>
      <c r="E11950" s="72"/>
      <c r="H11950" s="49"/>
      <c r="K11950" s="48"/>
      <c r="L11950" s="89"/>
    </row>
    <row r="11951" spans="1:12" x14ac:dyDescent="0.3">
      <c r="A11951"/>
      <c r="B11951" s="72"/>
      <c r="C11951" s="88"/>
      <c r="E11951" s="72"/>
      <c r="H11951" s="49"/>
      <c r="K11951" s="48"/>
      <c r="L11951" s="89"/>
    </row>
    <row r="11952" spans="1:12" x14ac:dyDescent="0.3">
      <c r="A11952"/>
      <c r="B11952" s="72"/>
      <c r="C11952" s="88"/>
      <c r="E11952" s="72"/>
      <c r="H11952" s="49"/>
      <c r="K11952" s="48"/>
      <c r="L11952" s="89"/>
    </row>
    <row r="11953" spans="1:12" x14ac:dyDescent="0.3">
      <c r="A11953"/>
      <c r="B11953" s="72"/>
      <c r="C11953" s="88"/>
      <c r="E11953" s="72"/>
      <c r="H11953" s="49"/>
      <c r="K11953" s="48"/>
      <c r="L11953" s="89"/>
    </row>
    <row r="11954" spans="1:12" x14ac:dyDescent="0.3">
      <c r="A11954"/>
      <c r="B11954" s="72"/>
      <c r="C11954" s="88"/>
      <c r="E11954" s="72"/>
      <c r="H11954" s="49"/>
      <c r="K11954" s="48"/>
      <c r="L11954" s="89"/>
    </row>
    <row r="11955" spans="1:12" x14ac:dyDescent="0.3">
      <c r="A11955"/>
      <c r="B11955" s="72"/>
      <c r="C11955" s="88"/>
      <c r="E11955" s="72"/>
      <c r="H11955" s="49"/>
      <c r="K11955" s="48"/>
      <c r="L11955" s="89"/>
    </row>
    <row r="11956" spans="1:12" x14ac:dyDescent="0.3">
      <c r="A11956"/>
      <c r="B11956" s="72"/>
      <c r="C11956" s="88"/>
      <c r="E11956" s="72"/>
      <c r="H11956" s="49"/>
      <c r="K11956" s="48"/>
      <c r="L11956" s="89"/>
    </row>
    <row r="11957" spans="1:12" x14ac:dyDescent="0.3">
      <c r="A11957"/>
      <c r="B11957" s="72"/>
      <c r="C11957" s="88"/>
      <c r="E11957" s="72"/>
      <c r="H11957" s="49"/>
      <c r="K11957" s="48"/>
      <c r="L11957" s="89"/>
    </row>
    <row r="11958" spans="1:12" x14ac:dyDescent="0.3">
      <c r="A11958"/>
      <c r="B11958" s="72"/>
      <c r="C11958" s="88"/>
      <c r="E11958" s="72"/>
      <c r="H11958" s="49"/>
      <c r="K11958" s="48"/>
      <c r="L11958" s="89"/>
    </row>
    <row r="11959" spans="1:12" x14ac:dyDescent="0.3">
      <c r="A11959"/>
      <c r="B11959" s="72"/>
      <c r="C11959" s="88"/>
      <c r="E11959" s="72"/>
      <c r="H11959" s="49"/>
      <c r="K11959" s="48"/>
      <c r="L11959" s="89"/>
    </row>
    <row r="11960" spans="1:12" x14ac:dyDescent="0.3">
      <c r="A11960"/>
      <c r="B11960" s="72"/>
      <c r="C11960" s="88"/>
      <c r="E11960" s="72"/>
      <c r="H11960" s="49"/>
      <c r="K11960" s="48"/>
      <c r="L11960" s="89"/>
    </row>
    <row r="11961" spans="1:12" x14ac:dyDescent="0.3">
      <c r="A11961"/>
      <c r="B11961" s="72"/>
      <c r="C11961" s="88"/>
      <c r="E11961" s="72"/>
      <c r="H11961" s="49"/>
      <c r="K11961" s="48"/>
      <c r="L11961" s="89"/>
    </row>
    <row r="11962" spans="1:12" x14ac:dyDescent="0.3">
      <c r="A11962"/>
      <c r="B11962" s="72"/>
      <c r="C11962" s="88"/>
      <c r="E11962" s="72"/>
      <c r="H11962" s="49"/>
      <c r="K11962" s="48"/>
      <c r="L11962" s="89"/>
    </row>
    <row r="11963" spans="1:12" x14ac:dyDescent="0.3">
      <c r="A11963"/>
      <c r="B11963" s="72"/>
      <c r="C11963" s="88"/>
      <c r="E11963" s="72"/>
      <c r="H11963" s="49"/>
      <c r="K11963" s="48"/>
      <c r="L11963" s="89"/>
    </row>
    <row r="11964" spans="1:12" x14ac:dyDescent="0.3">
      <c r="A11964"/>
      <c r="B11964" s="72"/>
      <c r="C11964" s="88"/>
      <c r="E11964" s="72"/>
      <c r="H11964" s="49"/>
      <c r="K11964" s="48"/>
      <c r="L11964" s="89"/>
    </row>
    <row r="11965" spans="1:12" x14ac:dyDescent="0.3">
      <c r="A11965"/>
      <c r="B11965" s="72"/>
      <c r="C11965" s="88"/>
      <c r="E11965" s="72"/>
      <c r="H11965" s="49"/>
      <c r="K11965" s="48"/>
      <c r="L11965" s="89"/>
    </row>
    <row r="11966" spans="1:12" x14ac:dyDescent="0.3">
      <c r="A11966"/>
      <c r="B11966" s="72"/>
      <c r="C11966" s="88"/>
      <c r="E11966" s="72"/>
      <c r="H11966" s="49"/>
      <c r="K11966" s="48"/>
      <c r="L11966" s="89"/>
    </row>
    <row r="11967" spans="1:12" x14ac:dyDescent="0.3">
      <c r="A11967"/>
      <c r="B11967" s="72"/>
      <c r="C11967" s="88"/>
      <c r="E11967" s="72"/>
      <c r="H11967" s="49"/>
      <c r="K11967" s="48"/>
      <c r="L11967" s="89"/>
    </row>
    <row r="11968" spans="1:12" x14ac:dyDescent="0.3">
      <c r="A11968"/>
      <c r="B11968" s="72"/>
      <c r="C11968" s="88"/>
      <c r="E11968" s="72"/>
      <c r="H11968" s="49"/>
      <c r="K11968" s="48"/>
      <c r="L11968" s="89"/>
    </row>
    <row r="11969" spans="1:12" x14ac:dyDescent="0.3">
      <c r="A11969"/>
      <c r="B11969" s="72"/>
      <c r="C11969" s="88"/>
      <c r="E11969" s="72"/>
      <c r="H11969" s="49"/>
      <c r="K11969" s="48"/>
      <c r="L11969" s="89"/>
    </row>
    <row r="11970" spans="1:12" x14ac:dyDescent="0.3">
      <c r="A11970"/>
      <c r="B11970" s="72"/>
      <c r="C11970" s="88"/>
      <c r="E11970" s="72"/>
      <c r="H11970" s="49"/>
      <c r="K11970" s="48"/>
      <c r="L11970" s="89"/>
    </row>
    <row r="11971" spans="1:12" x14ac:dyDescent="0.3">
      <c r="A11971"/>
      <c r="B11971" s="72"/>
      <c r="C11971" s="88"/>
      <c r="E11971" s="72"/>
      <c r="H11971" s="49"/>
      <c r="K11971" s="48"/>
      <c r="L11971" s="89"/>
    </row>
    <row r="11972" spans="1:12" x14ac:dyDescent="0.3">
      <c r="A11972"/>
      <c r="B11972" s="72"/>
      <c r="C11972" s="88"/>
      <c r="E11972" s="72"/>
      <c r="H11972" s="49"/>
      <c r="K11972" s="48"/>
      <c r="L11972" s="89"/>
    </row>
    <row r="11973" spans="1:12" x14ac:dyDescent="0.3">
      <c r="A11973"/>
      <c r="B11973" s="72"/>
      <c r="C11973" s="88"/>
      <c r="E11973" s="72"/>
      <c r="H11973" s="49"/>
      <c r="K11973" s="48"/>
      <c r="L11973" s="89"/>
    </row>
    <row r="11974" spans="1:12" x14ac:dyDescent="0.3">
      <c r="A11974"/>
      <c r="B11974" s="72"/>
      <c r="C11974" s="88"/>
      <c r="E11974" s="72"/>
      <c r="H11974" s="49"/>
      <c r="K11974" s="48"/>
      <c r="L11974" s="89"/>
    </row>
    <row r="11975" spans="1:12" x14ac:dyDescent="0.3">
      <c r="A11975"/>
      <c r="B11975" s="72"/>
      <c r="C11975" s="88"/>
      <c r="E11975" s="72"/>
      <c r="H11975" s="49"/>
      <c r="K11975" s="48"/>
      <c r="L11975" s="89"/>
    </row>
    <row r="11976" spans="1:12" x14ac:dyDescent="0.3">
      <c r="A11976"/>
      <c r="B11976" s="72"/>
      <c r="C11976" s="88"/>
      <c r="E11976" s="72"/>
      <c r="H11976" s="49"/>
      <c r="K11976" s="48"/>
      <c r="L11976" s="89"/>
    </row>
    <row r="11977" spans="1:12" x14ac:dyDescent="0.3">
      <c r="A11977"/>
      <c r="B11977" s="72"/>
      <c r="C11977" s="88"/>
      <c r="E11977" s="72"/>
      <c r="H11977" s="49"/>
      <c r="K11977" s="48"/>
      <c r="L11977" s="89"/>
    </row>
    <row r="11978" spans="1:12" x14ac:dyDescent="0.3">
      <c r="A11978"/>
      <c r="B11978" s="72"/>
      <c r="C11978" s="88"/>
      <c r="E11978" s="72"/>
      <c r="H11978" s="49"/>
      <c r="K11978" s="48"/>
      <c r="L11978" s="89"/>
    </row>
    <row r="11979" spans="1:12" x14ac:dyDescent="0.3">
      <c r="A11979"/>
      <c r="B11979" s="72"/>
      <c r="C11979" s="88"/>
      <c r="E11979" s="72"/>
      <c r="H11979" s="49"/>
      <c r="K11979" s="48"/>
      <c r="L11979" s="89"/>
    </row>
    <row r="11980" spans="1:12" x14ac:dyDescent="0.3">
      <c r="A11980"/>
      <c r="B11980" s="72"/>
      <c r="C11980" s="88"/>
      <c r="E11980" s="72"/>
      <c r="H11980" s="49"/>
      <c r="K11980" s="48"/>
      <c r="L11980" s="89"/>
    </row>
    <row r="11981" spans="1:12" x14ac:dyDescent="0.3">
      <c r="A11981"/>
      <c r="B11981" s="72"/>
      <c r="C11981" s="88"/>
      <c r="E11981" s="72"/>
      <c r="H11981" s="49"/>
      <c r="K11981" s="48"/>
      <c r="L11981" s="89"/>
    </row>
    <row r="11982" spans="1:12" x14ac:dyDescent="0.3">
      <c r="A11982"/>
      <c r="B11982" s="72"/>
      <c r="C11982" s="88"/>
      <c r="E11982" s="72"/>
      <c r="H11982" s="49"/>
      <c r="K11982" s="48"/>
      <c r="L11982" s="89"/>
    </row>
    <row r="11983" spans="1:12" x14ac:dyDescent="0.3">
      <c r="A11983"/>
      <c r="B11983" s="72"/>
      <c r="C11983" s="88"/>
      <c r="E11983" s="72"/>
      <c r="H11983" s="49"/>
      <c r="K11983" s="48"/>
      <c r="L11983" s="89"/>
    </row>
    <row r="11984" spans="1:12" x14ac:dyDescent="0.3">
      <c r="A11984"/>
      <c r="B11984" s="72"/>
      <c r="C11984" s="88"/>
      <c r="E11984" s="72"/>
      <c r="H11984" s="49"/>
      <c r="K11984" s="48"/>
      <c r="L11984" s="89"/>
    </row>
    <row r="11985" spans="1:12" x14ac:dyDescent="0.3">
      <c r="A11985"/>
      <c r="B11985" s="72"/>
      <c r="C11985" s="88"/>
      <c r="E11985" s="72"/>
      <c r="H11985" s="49"/>
      <c r="K11985" s="48"/>
      <c r="L11985" s="89"/>
    </row>
    <row r="11986" spans="1:12" x14ac:dyDescent="0.3">
      <c r="A11986"/>
      <c r="B11986" s="72"/>
      <c r="C11986" s="88"/>
      <c r="E11986" s="72"/>
      <c r="H11986" s="49"/>
      <c r="K11986" s="48"/>
      <c r="L11986" s="89"/>
    </row>
    <row r="11987" spans="1:12" x14ac:dyDescent="0.3">
      <c r="A11987"/>
      <c r="B11987" s="72"/>
      <c r="C11987" s="88"/>
      <c r="E11987" s="72"/>
      <c r="H11987" s="49"/>
      <c r="K11987" s="48"/>
      <c r="L11987" s="89"/>
    </row>
    <row r="11988" spans="1:12" x14ac:dyDescent="0.3">
      <c r="A11988"/>
      <c r="B11988" s="72"/>
      <c r="C11988" s="88"/>
      <c r="E11988" s="72"/>
      <c r="H11988" s="49"/>
      <c r="K11988" s="48"/>
      <c r="L11988" s="89"/>
    </row>
    <row r="11989" spans="1:12" x14ac:dyDescent="0.3">
      <c r="A11989"/>
      <c r="B11989" s="72"/>
      <c r="C11989" s="88"/>
      <c r="E11989" s="72"/>
      <c r="H11989" s="49"/>
      <c r="K11989" s="48"/>
      <c r="L11989" s="89"/>
    </row>
    <row r="11990" spans="1:12" x14ac:dyDescent="0.3">
      <c r="A11990"/>
      <c r="B11990" s="72"/>
      <c r="C11990" s="88"/>
      <c r="E11990" s="72"/>
      <c r="H11990" s="49"/>
      <c r="K11990" s="48"/>
      <c r="L11990" s="89"/>
    </row>
    <row r="11991" spans="1:12" x14ac:dyDescent="0.3">
      <c r="A11991"/>
      <c r="B11991" s="72"/>
      <c r="C11991" s="88"/>
      <c r="E11991" s="72"/>
      <c r="H11991" s="49"/>
      <c r="K11991" s="48"/>
      <c r="L11991" s="89"/>
    </row>
    <row r="11992" spans="1:12" x14ac:dyDescent="0.3">
      <c r="A11992"/>
      <c r="B11992" s="72"/>
      <c r="C11992" s="88"/>
      <c r="E11992" s="72"/>
      <c r="H11992" s="49"/>
      <c r="K11992" s="48"/>
      <c r="L11992" s="89"/>
    </row>
    <row r="11993" spans="1:12" x14ac:dyDescent="0.3">
      <c r="A11993"/>
      <c r="B11993" s="72"/>
      <c r="C11993" s="88"/>
      <c r="E11993" s="72"/>
      <c r="H11993" s="49"/>
      <c r="K11993" s="48"/>
      <c r="L11993" s="89"/>
    </row>
    <row r="11994" spans="1:12" x14ac:dyDescent="0.3">
      <c r="A11994"/>
      <c r="B11994" s="72"/>
      <c r="C11994" s="88"/>
      <c r="E11994" s="72"/>
      <c r="H11994" s="49"/>
      <c r="K11994" s="48"/>
      <c r="L11994" s="89"/>
    </row>
    <row r="11995" spans="1:12" x14ac:dyDescent="0.3">
      <c r="A11995"/>
      <c r="B11995" s="72"/>
      <c r="C11995" s="88"/>
      <c r="E11995" s="72"/>
      <c r="H11995" s="49"/>
      <c r="K11995" s="48"/>
      <c r="L11995" s="89"/>
    </row>
    <row r="11996" spans="1:12" x14ac:dyDescent="0.3">
      <c r="A11996"/>
      <c r="B11996" s="72"/>
      <c r="C11996" s="88"/>
      <c r="E11996" s="72"/>
      <c r="H11996" s="49"/>
      <c r="K11996" s="48"/>
      <c r="L11996" s="89"/>
    </row>
    <row r="11997" spans="1:12" x14ac:dyDescent="0.3">
      <c r="A11997"/>
      <c r="B11997" s="72"/>
      <c r="C11997" s="88"/>
      <c r="E11997" s="72"/>
      <c r="H11997" s="49"/>
      <c r="K11997" s="48"/>
      <c r="L11997" s="89"/>
    </row>
    <row r="11998" spans="1:12" x14ac:dyDescent="0.3">
      <c r="A11998"/>
      <c r="B11998" s="72"/>
      <c r="C11998" s="88"/>
      <c r="E11998" s="72"/>
      <c r="H11998" s="49"/>
      <c r="K11998" s="48"/>
      <c r="L11998" s="89"/>
    </row>
    <row r="11999" spans="1:12" x14ac:dyDescent="0.3">
      <c r="A11999"/>
      <c r="B11999" s="72"/>
      <c r="C11999" s="88"/>
      <c r="E11999" s="72"/>
      <c r="H11999" s="49"/>
      <c r="K11999" s="48"/>
      <c r="L11999" s="89"/>
    </row>
    <row r="12000" spans="1:12" x14ac:dyDescent="0.3">
      <c r="A12000"/>
      <c r="B12000" s="72"/>
      <c r="C12000" s="88"/>
      <c r="E12000" s="72"/>
      <c r="H12000" s="49"/>
      <c r="K12000" s="48"/>
      <c r="L12000" s="89"/>
    </row>
    <row r="12001" spans="1:12" x14ac:dyDescent="0.3">
      <c r="A12001"/>
      <c r="B12001" s="72"/>
      <c r="C12001" s="88"/>
      <c r="E12001" s="72"/>
      <c r="H12001" s="49"/>
      <c r="K12001" s="48"/>
      <c r="L12001" s="89"/>
    </row>
    <row r="12002" spans="1:12" x14ac:dyDescent="0.3">
      <c r="A12002"/>
      <c r="B12002" s="72"/>
      <c r="C12002" s="88"/>
      <c r="E12002" s="72"/>
      <c r="H12002" s="49"/>
      <c r="K12002" s="48"/>
      <c r="L12002" s="89"/>
    </row>
    <row r="12003" spans="1:12" x14ac:dyDescent="0.3">
      <c r="A12003"/>
      <c r="B12003" s="72"/>
      <c r="C12003" s="88"/>
      <c r="E12003" s="72"/>
      <c r="H12003" s="49"/>
      <c r="K12003" s="48"/>
      <c r="L12003" s="89"/>
    </row>
    <row r="12004" spans="1:12" x14ac:dyDescent="0.3">
      <c r="A12004"/>
      <c r="B12004" s="72"/>
      <c r="C12004" s="88"/>
      <c r="E12004" s="72"/>
      <c r="H12004" s="49"/>
      <c r="K12004" s="48"/>
      <c r="L12004" s="89"/>
    </row>
    <row r="12005" spans="1:12" x14ac:dyDescent="0.3">
      <c r="A12005"/>
      <c r="B12005" s="72"/>
      <c r="C12005" s="88"/>
      <c r="E12005" s="72"/>
      <c r="H12005" s="49"/>
      <c r="K12005" s="48"/>
      <c r="L12005" s="89"/>
    </row>
    <row r="12006" spans="1:12" x14ac:dyDescent="0.3">
      <c r="A12006"/>
      <c r="B12006" s="72"/>
      <c r="C12006" s="88"/>
      <c r="E12006" s="72"/>
      <c r="H12006" s="49"/>
      <c r="K12006" s="48"/>
      <c r="L12006" s="89"/>
    </row>
    <row r="12007" spans="1:12" x14ac:dyDescent="0.3">
      <c r="A12007"/>
      <c r="B12007" s="72"/>
      <c r="C12007" s="88"/>
      <c r="E12007" s="72"/>
      <c r="H12007" s="49"/>
      <c r="K12007" s="48"/>
      <c r="L12007" s="89"/>
    </row>
    <row r="12008" spans="1:12" x14ac:dyDescent="0.3">
      <c r="A12008"/>
      <c r="B12008" s="72"/>
      <c r="C12008" s="88"/>
      <c r="E12008" s="72"/>
      <c r="H12008" s="49"/>
      <c r="K12008" s="48"/>
      <c r="L12008" s="89"/>
    </row>
    <row r="12009" spans="1:12" x14ac:dyDescent="0.3">
      <c r="A12009"/>
      <c r="B12009" s="72"/>
      <c r="C12009" s="88"/>
      <c r="E12009" s="72"/>
      <c r="H12009" s="49"/>
      <c r="K12009" s="48"/>
      <c r="L12009" s="89"/>
    </row>
    <row r="12010" spans="1:12" x14ac:dyDescent="0.3">
      <c r="A12010"/>
      <c r="B12010" s="72"/>
      <c r="C12010" s="88"/>
      <c r="E12010" s="72"/>
      <c r="H12010" s="49"/>
      <c r="K12010" s="48"/>
      <c r="L12010" s="89"/>
    </row>
    <row r="12011" spans="1:12" x14ac:dyDescent="0.3">
      <c r="A12011"/>
      <c r="B12011" s="72"/>
      <c r="C12011" s="88"/>
      <c r="E12011" s="72"/>
      <c r="H12011" s="49"/>
      <c r="K12011" s="48"/>
      <c r="L12011" s="89"/>
    </row>
    <row r="12012" spans="1:12" x14ac:dyDescent="0.3">
      <c r="A12012"/>
      <c r="B12012" s="72"/>
      <c r="C12012" s="88"/>
      <c r="E12012" s="72"/>
      <c r="H12012" s="49"/>
      <c r="K12012" s="48"/>
      <c r="L12012" s="89"/>
    </row>
    <row r="12013" spans="1:12" x14ac:dyDescent="0.3">
      <c r="A12013"/>
      <c r="B12013" s="72"/>
      <c r="C12013" s="88"/>
      <c r="E12013" s="72"/>
      <c r="H12013" s="49"/>
      <c r="K12013" s="48"/>
      <c r="L12013" s="89"/>
    </row>
    <row r="12014" spans="1:12" x14ac:dyDescent="0.3">
      <c r="A12014"/>
      <c r="B12014" s="72"/>
      <c r="C12014" s="88"/>
      <c r="E12014" s="72"/>
      <c r="H12014" s="49"/>
      <c r="K12014" s="48"/>
      <c r="L12014" s="89"/>
    </row>
    <row r="12015" spans="1:12" x14ac:dyDescent="0.3">
      <c r="A12015"/>
      <c r="B12015" s="72"/>
      <c r="C12015" s="88"/>
      <c r="E12015" s="72"/>
      <c r="H12015" s="49"/>
      <c r="K12015" s="48"/>
      <c r="L12015" s="89"/>
    </row>
    <row r="12016" spans="1:12" x14ac:dyDescent="0.3">
      <c r="A12016"/>
      <c r="B12016" s="72"/>
      <c r="C12016" s="88"/>
      <c r="E12016" s="72"/>
      <c r="H12016" s="49"/>
      <c r="K12016" s="48"/>
      <c r="L12016" s="89"/>
    </row>
    <row r="12017" spans="1:12" x14ac:dyDescent="0.3">
      <c r="A12017"/>
      <c r="B12017" s="72"/>
      <c r="C12017" s="88"/>
      <c r="E12017" s="72"/>
      <c r="H12017" s="49"/>
      <c r="K12017" s="48"/>
      <c r="L12017" s="89"/>
    </row>
    <row r="12018" spans="1:12" x14ac:dyDescent="0.3">
      <c r="A12018"/>
      <c r="B12018" s="72"/>
      <c r="C12018" s="88"/>
      <c r="E12018" s="72"/>
      <c r="H12018" s="49"/>
      <c r="K12018" s="48"/>
      <c r="L12018" s="89"/>
    </row>
    <row r="12019" spans="1:12" x14ac:dyDescent="0.3">
      <c r="A12019"/>
      <c r="B12019" s="72"/>
      <c r="C12019" s="88"/>
      <c r="E12019" s="72"/>
      <c r="H12019" s="49"/>
      <c r="K12019" s="48"/>
      <c r="L12019" s="89"/>
    </row>
    <row r="12020" spans="1:12" x14ac:dyDescent="0.3">
      <c r="A12020"/>
      <c r="B12020" s="72"/>
      <c r="C12020" s="88"/>
      <c r="E12020" s="72"/>
      <c r="H12020" s="49"/>
      <c r="K12020" s="48"/>
      <c r="L12020" s="89"/>
    </row>
    <row r="12021" spans="1:12" x14ac:dyDescent="0.3">
      <c r="A12021"/>
      <c r="B12021" s="72"/>
      <c r="C12021" s="88"/>
      <c r="E12021" s="72"/>
      <c r="H12021" s="49"/>
      <c r="K12021" s="48"/>
      <c r="L12021" s="89"/>
    </row>
    <row r="12022" spans="1:12" x14ac:dyDescent="0.3">
      <c r="A12022"/>
      <c r="B12022" s="72"/>
      <c r="C12022" s="88"/>
      <c r="E12022" s="72"/>
      <c r="H12022" s="49"/>
      <c r="K12022" s="48"/>
      <c r="L12022" s="89"/>
    </row>
    <row r="12023" spans="1:12" x14ac:dyDescent="0.3">
      <c r="A12023"/>
      <c r="B12023" s="72"/>
      <c r="C12023" s="88"/>
      <c r="E12023" s="72"/>
      <c r="H12023" s="49"/>
      <c r="K12023" s="48"/>
      <c r="L12023" s="89"/>
    </row>
    <row r="12024" spans="1:12" x14ac:dyDescent="0.3">
      <c r="A12024"/>
      <c r="B12024" s="72"/>
      <c r="C12024" s="88"/>
      <c r="E12024" s="72"/>
      <c r="H12024" s="49"/>
      <c r="K12024" s="48"/>
      <c r="L12024" s="89"/>
    </row>
    <row r="12025" spans="1:12" x14ac:dyDescent="0.3">
      <c r="A12025"/>
      <c r="B12025" s="72"/>
      <c r="C12025" s="88"/>
      <c r="E12025" s="72"/>
      <c r="H12025" s="49"/>
      <c r="K12025" s="48"/>
      <c r="L12025" s="89"/>
    </row>
    <row r="12026" spans="1:12" x14ac:dyDescent="0.3">
      <c r="A12026"/>
      <c r="B12026" s="72"/>
      <c r="C12026" s="88"/>
      <c r="E12026" s="72"/>
      <c r="H12026" s="49"/>
      <c r="K12026" s="48"/>
      <c r="L12026" s="89"/>
    </row>
    <row r="12027" spans="1:12" x14ac:dyDescent="0.3">
      <c r="A12027"/>
      <c r="B12027" s="72"/>
      <c r="C12027" s="88"/>
      <c r="E12027" s="72"/>
      <c r="H12027" s="49"/>
      <c r="K12027" s="48"/>
      <c r="L12027" s="89"/>
    </row>
    <row r="12028" spans="1:12" x14ac:dyDescent="0.3">
      <c r="A12028"/>
      <c r="B12028" s="72"/>
      <c r="C12028" s="88"/>
      <c r="E12028" s="72"/>
      <c r="H12028" s="49"/>
      <c r="K12028" s="48"/>
      <c r="L12028" s="89"/>
    </row>
    <row r="12029" spans="1:12" x14ac:dyDescent="0.3">
      <c r="A12029"/>
      <c r="B12029" s="72"/>
      <c r="C12029" s="88"/>
      <c r="E12029" s="72"/>
      <c r="H12029" s="49"/>
      <c r="K12029" s="48"/>
      <c r="L12029" s="89"/>
    </row>
    <row r="12030" spans="1:12" x14ac:dyDescent="0.3">
      <c r="A12030"/>
      <c r="B12030" s="72"/>
      <c r="C12030" s="88"/>
      <c r="E12030" s="72"/>
      <c r="H12030" s="49"/>
      <c r="K12030" s="48"/>
      <c r="L12030" s="89"/>
    </row>
    <row r="12031" spans="1:12" x14ac:dyDescent="0.3">
      <c r="A12031"/>
      <c r="B12031" s="72"/>
      <c r="C12031" s="88"/>
      <c r="E12031" s="72"/>
      <c r="H12031" s="49"/>
      <c r="K12031" s="48"/>
      <c r="L12031" s="89"/>
    </row>
    <row r="12032" spans="1:12" x14ac:dyDescent="0.3">
      <c r="A12032"/>
      <c r="B12032" s="72"/>
      <c r="C12032" s="88"/>
      <c r="E12032" s="72"/>
      <c r="H12032" s="49"/>
      <c r="K12032" s="48"/>
      <c r="L12032" s="89"/>
    </row>
    <row r="12033" spans="1:12" x14ac:dyDescent="0.3">
      <c r="A12033"/>
      <c r="B12033" s="72"/>
      <c r="C12033" s="88"/>
      <c r="E12033" s="72"/>
      <c r="H12033" s="49"/>
      <c r="K12033" s="48"/>
      <c r="L12033" s="89"/>
    </row>
    <row r="12034" spans="1:12" x14ac:dyDescent="0.3">
      <c r="A12034"/>
      <c r="B12034" s="72"/>
      <c r="C12034" s="88"/>
      <c r="E12034" s="72"/>
      <c r="H12034" s="49"/>
      <c r="K12034" s="48"/>
      <c r="L12034" s="89"/>
    </row>
    <row r="12035" spans="1:12" x14ac:dyDescent="0.3">
      <c r="A12035"/>
      <c r="B12035" s="72"/>
      <c r="C12035" s="88"/>
      <c r="E12035" s="72"/>
      <c r="H12035" s="49"/>
      <c r="K12035" s="48"/>
      <c r="L12035" s="89"/>
    </row>
    <row r="12036" spans="1:12" x14ac:dyDescent="0.3">
      <c r="A12036"/>
      <c r="B12036" s="72"/>
      <c r="C12036" s="88"/>
      <c r="E12036" s="72"/>
      <c r="H12036" s="49"/>
      <c r="K12036" s="48"/>
      <c r="L12036" s="89"/>
    </row>
    <row r="12037" spans="1:12" x14ac:dyDescent="0.3">
      <c r="A12037"/>
      <c r="B12037" s="72"/>
      <c r="C12037" s="88"/>
      <c r="E12037" s="72"/>
      <c r="H12037" s="49"/>
      <c r="K12037" s="48"/>
      <c r="L12037" s="89"/>
    </row>
    <row r="12038" spans="1:12" x14ac:dyDescent="0.3">
      <c r="A12038"/>
      <c r="B12038" s="72"/>
      <c r="C12038" s="88"/>
      <c r="E12038" s="72"/>
      <c r="H12038" s="49"/>
      <c r="K12038" s="48"/>
      <c r="L12038" s="89"/>
    </row>
    <row r="12039" spans="1:12" x14ac:dyDescent="0.3">
      <c r="A12039"/>
      <c r="B12039" s="72"/>
      <c r="C12039" s="88"/>
      <c r="E12039" s="72"/>
      <c r="H12039" s="49"/>
      <c r="K12039" s="48"/>
      <c r="L12039" s="89"/>
    </row>
    <row r="12040" spans="1:12" x14ac:dyDescent="0.3">
      <c r="A12040"/>
      <c r="B12040" s="72"/>
      <c r="C12040" s="88"/>
      <c r="E12040" s="72"/>
      <c r="H12040" s="49"/>
      <c r="K12040" s="48"/>
      <c r="L12040" s="89"/>
    </row>
    <row r="12041" spans="1:12" x14ac:dyDescent="0.3">
      <c r="A12041"/>
      <c r="B12041" s="72"/>
      <c r="C12041" s="88"/>
      <c r="E12041" s="72"/>
      <c r="H12041" s="49"/>
      <c r="K12041" s="48"/>
      <c r="L12041" s="89"/>
    </row>
    <row r="12042" spans="1:12" x14ac:dyDescent="0.3">
      <c r="A12042"/>
      <c r="B12042" s="72"/>
      <c r="C12042" s="88"/>
      <c r="E12042" s="72"/>
      <c r="H12042" s="49"/>
      <c r="K12042" s="48"/>
      <c r="L12042" s="89"/>
    </row>
    <row r="12043" spans="1:12" x14ac:dyDescent="0.3">
      <c r="A12043"/>
      <c r="B12043" s="72"/>
      <c r="C12043" s="88"/>
      <c r="E12043" s="72"/>
      <c r="H12043" s="49"/>
      <c r="K12043" s="48"/>
      <c r="L12043" s="89"/>
    </row>
    <row r="12044" spans="1:12" x14ac:dyDescent="0.3">
      <c r="A12044"/>
      <c r="B12044" s="72"/>
      <c r="C12044" s="88"/>
      <c r="E12044" s="72"/>
      <c r="H12044" s="49"/>
      <c r="K12044" s="48"/>
      <c r="L12044" s="89"/>
    </row>
    <row r="12045" spans="1:12" x14ac:dyDescent="0.3">
      <c r="A12045"/>
      <c r="B12045" s="72"/>
      <c r="C12045" s="88"/>
      <c r="E12045" s="72"/>
      <c r="H12045" s="49"/>
      <c r="K12045" s="48"/>
      <c r="L12045" s="89"/>
    </row>
    <row r="12046" spans="1:12" x14ac:dyDescent="0.3">
      <c r="A12046"/>
      <c r="B12046" s="72"/>
      <c r="C12046" s="88"/>
      <c r="E12046" s="72"/>
      <c r="H12046" s="49"/>
      <c r="K12046" s="48"/>
      <c r="L12046" s="89"/>
    </row>
    <row r="12047" spans="1:12" x14ac:dyDescent="0.3">
      <c r="A12047"/>
      <c r="B12047" s="72"/>
      <c r="C12047" s="88"/>
      <c r="E12047" s="72"/>
      <c r="H12047" s="49"/>
      <c r="K12047" s="48"/>
      <c r="L12047" s="89"/>
    </row>
    <row r="12048" spans="1:12" x14ac:dyDescent="0.3">
      <c r="A12048"/>
      <c r="B12048" s="72"/>
      <c r="C12048" s="88"/>
      <c r="E12048" s="72"/>
      <c r="H12048" s="49"/>
      <c r="K12048" s="48"/>
      <c r="L12048" s="89"/>
    </row>
    <row r="12049" spans="1:12" x14ac:dyDescent="0.3">
      <c r="A12049"/>
      <c r="B12049" s="72"/>
      <c r="C12049" s="88"/>
      <c r="E12049" s="72"/>
      <c r="H12049" s="49"/>
      <c r="K12049" s="48"/>
      <c r="L12049" s="89"/>
    </row>
    <row r="12050" spans="1:12" x14ac:dyDescent="0.3">
      <c r="A12050"/>
      <c r="B12050" s="72"/>
      <c r="C12050" s="88"/>
      <c r="E12050" s="72"/>
      <c r="H12050" s="49"/>
      <c r="K12050" s="48"/>
      <c r="L12050" s="89"/>
    </row>
    <row r="12051" spans="1:12" x14ac:dyDescent="0.3">
      <c r="A12051"/>
      <c r="B12051" s="72"/>
      <c r="C12051" s="88"/>
      <c r="E12051" s="72"/>
      <c r="H12051" s="49"/>
      <c r="K12051" s="48"/>
      <c r="L12051" s="89"/>
    </row>
    <row r="12052" spans="1:12" x14ac:dyDescent="0.3">
      <c r="A12052"/>
      <c r="B12052" s="72"/>
      <c r="C12052" s="88"/>
      <c r="E12052" s="72"/>
      <c r="H12052" s="49"/>
      <c r="K12052" s="48"/>
      <c r="L12052" s="89"/>
    </row>
    <row r="12053" spans="1:12" x14ac:dyDescent="0.3">
      <c r="A12053"/>
      <c r="B12053" s="72"/>
      <c r="C12053" s="88"/>
      <c r="E12053" s="72"/>
      <c r="H12053" s="49"/>
      <c r="K12053" s="48"/>
      <c r="L12053" s="89"/>
    </row>
    <row r="12054" spans="1:12" x14ac:dyDescent="0.3">
      <c r="A12054"/>
      <c r="B12054" s="72"/>
      <c r="C12054" s="88"/>
      <c r="E12054" s="72"/>
      <c r="H12054" s="49"/>
      <c r="K12054" s="48"/>
      <c r="L12054" s="89"/>
    </row>
    <row r="12055" spans="1:12" x14ac:dyDescent="0.3">
      <c r="A12055"/>
      <c r="B12055" s="72"/>
      <c r="C12055" s="88"/>
      <c r="E12055" s="72"/>
      <c r="H12055" s="49"/>
      <c r="K12055" s="48"/>
      <c r="L12055" s="89"/>
    </row>
    <row r="12056" spans="1:12" x14ac:dyDescent="0.3">
      <c r="A12056"/>
      <c r="B12056" s="72"/>
      <c r="C12056" s="88"/>
      <c r="E12056" s="72"/>
      <c r="H12056" s="49"/>
      <c r="K12056" s="48"/>
      <c r="L12056" s="89"/>
    </row>
    <row r="12057" spans="1:12" x14ac:dyDescent="0.3">
      <c r="A12057"/>
      <c r="B12057" s="72"/>
      <c r="C12057" s="88"/>
      <c r="E12057" s="72"/>
      <c r="H12057" s="49"/>
      <c r="K12057" s="48"/>
      <c r="L12057" s="89"/>
    </row>
    <row r="12058" spans="1:12" x14ac:dyDescent="0.3">
      <c r="A12058"/>
      <c r="B12058" s="72"/>
      <c r="C12058" s="88"/>
      <c r="E12058" s="72"/>
      <c r="H12058" s="49"/>
      <c r="K12058" s="48"/>
      <c r="L12058" s="89"/>
    </row>
    <row r="12059" spans="1:12" x14ac:dyDescent="0.3">
      <c r="A12059"/>
      <c r="B12059" s="72"/>
      <c r="C12059" s="88"/>
      <c r="E12059" s="72"/>
      <c r="H12059" s="49"/>
      <c r="K12059" s="48"/>
      <c r="L12059" s="89"/>
    </row>
    <row r="12060" spans="1:12" x14ac:dyDescent="0.3">
      <c r="A12060"/>
      <c r="B12060" s="72"/>
      <c r="C12060" s="88"/>
      <c r="E12060" s="72"/>
      <c r="H12060" s="49"/>
      <c r="K12060" s="48"/>
      <c r="L12060" s="89"/>
    </row>
    <row r="12061" spans="1:12" x14ac:dyDescent="0.3">
      <c r="A12061"/>
      <c r="B12061" s="72"/>
      <c r="C12061" s="88"/>
      <c r="E12061" s="72"/>
      <c r="H12061" s="49"/>
      <c r="K12061" s="48"/>
      <c r="L12061" s="89"/>
    </row>
    <row r="12062" spans="1:12" x14ac:dyDescent="0.3">
      <c r="A12062"/>
      <c r="B12062" s="72"/>
      <c r="C12062" s="88"/>
      <c r="E12062" s="72"/>
      <c r="H12062" s="49"/>
      <c r="K12062" s="48"/>
      <c r="L12062" s="89"/>
    </row>
    <row r="12063" spans="1:12" x14ac:dyDescent="0.3">
      <c r="A12063"/>
      <c r="B12063" s="72"/>
      <c r="C12063" s="88"/>
      <c r="E12063" s="72"/>
      <c r="H12063" s="49"/>
      <c r="K12063" s="48"/>
      <c r="L12063" s="89"/>
    </row>
    <row r="12064" spans="1:12" x14ac:dyDescent="0.3">
      <c r="A12064"/>
      <c r="B12064" s="72"/>
      <c r="C12064" s="88"/>
      <c r="E12064" s="72"/>
      <c r="H12064" s="49"/>
      <c r="K12064" s="48"/>
      <c r="L12064" s="89"/>
    </row>
    <row r="12065" spans="1:12" x14ac:dyDescent="0.3">
      <c r="A12065"/>
      <c r="B12065" s="72"/>
      <c r="C12065" s="88"/>
      <c r="E12065" s="72"/>
      <c r="H12065" s="49"/>
      <c r="K12065" s="48"/>
      <c r="L12065" s="89"/>
    </row>
    <row r="12066" spans="1:12" x14ac:dyDescent="0.3">
      <c r="A12066"/>
      <c r="B12066" s="72"/>
      <c r="C12066" s="88"/>
      <c r="E12066" s="72"/>
      <c r="H12066" s="49"/>
      <c r="K12066" s="48"/>
      <c r="L12066" s="89"/>
    </row>
    <row r="12067" spans="1:12" x14ac:dyDescent="0.3">
      <c r="A12067"/>
      <c r="B12067" s="72"/>
      <c r="C12067" s="88"/>
      <c r="E12067" s="72"/>
      <c r="H12067" s="49"/>
      <c r="K12067" s="48"/>
      <c r="L12067" s="89"/>
    </row>
    <row r="12068" spans="1:12" x14ac:dyDescent="0.3">
      <c r="A12068"/>
      <c r="B12068" s="72"/>
      <c r="C12068" s="88"/>
      <c r="E12068" s="72"/>
      <c r="H12068" s="49"/>
      <c r="K12068" s="48"/>
      <c r="L12068" s="89"/>
    </row>
    <row r="12069" spans="1:12" x14ac:dyDescent="0.3">
      <c r="A12069"/>
      <c r="B12069" s="72"/>
      <c r="C12069" s="88"/>
      <c r="E12069" s="72"/>
      <c r="H12069" s="49"/>
      <c r="K12069" s="48"/>
      <c r="L12069" s="89"/>
    </row>
    <row r="12070" spans="1:12" x14ac:dyDescent="0.3">
      <c r="A12070"/>
      <c r="B12070" s="72"/>
      <c r="C12070" s="88"/>
      <c r="E12070" s="72"/>
      <c r="H12070" s="49"/>
      <c r="K12070" s="48"/>
      <c r="L12070" s="89"/>
    </row>
    <row r="12071" spans="1:12" x14ac:dyDescent="0.3">
      <c r="A12071"/>
      <c r="B12071" s="72"/>
      <c r="C12071" s="88"/>
      <c r="E12071" s="72"/>
      <c r="H12071" s="49"/>
      <c r="K12071" s="48"/>
      <c r="L12071" s="89"/>
    </row>
    <row r="12072" spans="1:12" x14ac:dyDescent="0.3">
      <c r="A12072"/>
      <c r="B12072" s="72"/>
      <c r="C12072" s="88"/>
      <c r="E12072" s="72"/>
      <c r="H12072" s="49"/>
      <c r="K12072" s="48"/>
      <c r="L12072" s="89"/>
    </row>
    <row r="12073" spans="1:12" x14ac:dyDescent="0.3">
      <c r="A12073"/>
      <c r="B12073" s="72"/>
      <c r="C12073" s="88"/>
      <c r="E12073" s="72"/>
      <c r="H12073" s="49"/>
      <c r="K12073" s="48"/>
      <c r="L12073" s="89"/>
    </row>
    <row r="12074" spans="1:12" x14ac:dyDescent="0.3">
      <c r="A12074"/>
      <c r="B12074" s="72"/>
      <c r="C12074" s="88"/>
      <c r="E12074" s="72"/>
      <c r="H12074" s="49"/>
      <c r="K12074" s="48"/>
      <c r="L12074" s="89"/>
    </row>
    <row r="12075" spans="1:12" x14ac:dyDescent="0.3">
      <c r="A12075"/>
      <c r="B12075" s="72"/>
      <c r="C12075" s="88"/>
      <c r="E12075" s="72"/>
      <c r="H12075" s="49"/>
      <c r="K12075" s="48"/>
      <c r="L12075" s="89"/>
    </row>
    <row r="12076" spans="1:12" x14ac:dyDescent="0.3">
      <c r="A12076"/>
      <c r="B12076" s="72"/>
      <c r="C12076" s="88"/>
      <c r="E12076" s="72"/>
      <c r="H12076" s="49"/>
      <c r="K12076" s="48"/>
      <c r="L12076" s="89"/>
    </row>
    <row r="12077" spans="1:12" x14ac:dyDescent="0.3">
      <c r="A12077"/>
      <c r="B12077" s="72"/>
      <c r="C12077" s="88"/>
      <c r="E12077" s="72"/>
      <c r="H12077" s="49"/>
      <c r="K12077" s="48"/>
      <c r="L12077" s="89"/>
    </row>
    <row r="12078" spans="1:12" x14ac:dyDescent="0.3">
      <c r="A12078"/>
      <c r="B12078" s="72"/>
      <c r="C12078" s="88"/>
      <c r="E12078" s="72"/>
      <c r="H12078" s="49"/>
      <c r="K12078" s="48"/>
      <c r="L12078" s="89"/>
    </row>
    <row r="12079" spans="1:12" x14ac:dyDescent="0.3">
      <c r="A12079"/>
      <c r="B12079" s="72"/>
      <c r="C12079" s="88"/>
      <c r="E12079" s="72"/>
      <c r="H12079" s="49"/>
      <c r="K12079" s="48"/>
      <c r="L12079" s="89"/>
    </row>
    <row r="12080" spans="1:12" x14ac:dyDescent="0.3">
      <c r="A12080"/>
      <c r="B12080" s="72"/>
      <c r="C12080" s="88"/>
      <c r="E12080" s="72"/>
      <c r="H12080" s="49"/>
      <c r="K12080" s="48"/>
      <c r="L12080" s="89"/>
    </row>
    <row r="12081" spans="1:12" x14ac:dyDescent="0.3">
      <c r="A12081"/>
      <c r="B12081" s="72"/>
      <c r="C12081" s="88"/>
      <c r="E12081" s="72"/>
      <c r="H12081" s="49"/>
      <c r="K12081" s="48"/>
      <c r="L12081" s="89"/>
    </row>
    <row r="12082" spans="1:12" x14ac:dyDescent="0.3">
      <c r="A12082"/>
      <c r="B12082" s="72"/>
      <c r="C12082" s="88"/>
      <c r="E12082" s="72"/>
      <c r="H12082" s="49"/>
      <c r="K12082" s="48"/>
      <c r="L12082" s="89"/>
    </row>
    <row r="12083" spans="1:12" x14ac:dyDescent="0.3">
      <c r="A12083"/>
      <c r="B12083" s="72"/>
      <c r="C12083" s="88"/>
      <c r="E12083" s="72"/>
      <c r="H12083" s="49"/>
      <c r="K12083" s="48"/>
      <c r="L12083" s="89"/>
    </row>
    <row r="12084" spans="1:12" x14ac:dyDescent="0.3">
      <c r="A12084"/>
      <c r="B12084" s="72"/>
      <c r="C12084" s="88"/>
      <c r="E12084" s="72"/>
      <c r="H12084" s="49"/>
      <c r="K12084" s="48"/>
      <c r="L12084" s="89"/>
    </row>
    <row r="12085" spans="1:12" x14ac:dyDescent="0.3">
      <c r="A12085"/>
      <c r="B12085" s="72"/>
      <c r="C12085" s="88"/>
      <c r="E12085" s="72"/>
      <c r="H12085" s="49"/>
      <c r="K12085" s="48"/>
      <c r="L12085" s="89"/>
    </row>
    <row r="12086" spans="1:12" x14ac:dyDescent="0.3">
      <c r="A12086"/>
      <c r="B12086" s="72"/>
      <c r="C12086" s="88"/>
      <c r="E12086" s="72"/>
      <c r="H12086" s="49"/>
      <c r="K12086" s="48"/>
      <c r="L12086" s="89"/>
    </row>
    <row r="12087" spans="1:12" x14ac:dyDescent="0.3">
      <c r="A12087"/>
      <c r="B12087" s="72"/>
      <c r="C12087" s="88"/>
      <c r="E12087" s="72"/>
      <c r="H12087" s="49"/>
      <c r="K12087" s="48"/>
      <c r="L12087" s="89"/>
    </row>
    <row r="12088" spans="1:12" x14ac:dyDescent="0.3">
      <c r="A12088"/>
      <c r="B12088" s="72"/>
      <c r="C12088" s="88"/>
      <c r="E12088" s="72"/>
      <c r="H12088" s="49"/>
      <c r="K12088" s="48"/>
      <c r="L12088" s="89"/>
    </row>
    <row r="12089" spans="1:12" x14ac:dyDescent="0.3">
      <c r="A12089"/>
      <c r="B12089" s="72"/>
      <c r="C12089" s="88"/>
      <c r="E12089" s="72"/>
      <c r="H12089" s="49"/>
      <c r="K12089" s="48"/>
      <c r="L12089" s="89"/>
    </row>
    <row r="12090" spans="1:12" x14ac:dyDescent="0.3">
      <c r="A12090"/>
      <c r="B12090" s="72"/>
      <c r="C12090" s="88"/>
      <c r="E12090" s="72"/>
      <c r="H12090" s="49"/>
      <c r="K12090" s="48"/>
      <c r="L12090" s="89"/>
    </row>
    <row r="12091" spans="1:12" x14ac:dyDescent="0.3">
      <c r="A12091"/>
      <c r="B12091" s="72"/>
      <c r="C12091" s="88"/>
      <c r="E12091" s="72"/>
      <c r="H12091" s="49"/>
      <c r="K12091" s="48"/>
      <c r="L12091" s="89"/>
    </row>
    <row r="12092" spans="1:12" x14ac:dyDescent="0.3">
      <c r="A12092"/>
      <c r="B12092" s="72"/>
      <c r="C12092" s="88"/>
      <c r="E12092" s="72"/>
      <c r="H12092" s="49"/>
      <c r="K12092" s="48"/>
      <c r="L12092" s="89"/>
    </row>
    <row r="12093" spans="1:12" x14ac:dyDescent="0.3">
      <c r="A12093"/>
      <c r="B12093" s="72"/>
      <c r="C12093" s="88"/>
      <c r="E12093" s="72"/>
      <c r="H12093" s="49"/>
      <c r="K12093" s="48"/>
      <c r="L12093" s="89"/>
    </row>
    <row r="12094" spans="1:12" x14ac:dyDescent="0.3">
      <c r="A12094"/>
      <c r="B12094" s="72"/>
      <c r="C12094" s="88"/>
      <c r="E12094" s="72"/>
      <c r="H12094" s="49"/>
      <c r="K12094" s="48"/>
      <c r="L12094" s="89"/>
    </row>
    <row r="12095" spans="1:12" x14ac:dyDescent="0.3">
      <c r="A12095"/>
      <c r="B12095" s="72"/>
      <c r="C12095" s="88"/>
      <c r="E12095" s="72"/>
      <c r="H12095" s="49"/>
      <c r="K12095" s="48"/>
      <c r="L12095" s="89"/>
    </row>
    <row r="12096" spans="1:12" x14ac:dyDescent="0.3">
      <c r="A12096"/>
      <c r="B12096" s="72"/>
      <c r="C12096" s="88"/>
      <c r="E12096" s="72"/>
      <c r="H12096" s="49"/>
      <c r="K12096" s="48"/>
      <c r="L12096" s="89"/>
    </row>
    <row r="12097" spans="1:12" x14ac:dyDescent="0.3">
      <c r="A12097"/>
      <c r="B12097" s="72"/>
      <c r="C12097" s="88"/>
      <c r="E12097" s="72"/>
      <c r="H12097" s="49"/>
      <c r="K12097" s="48"/>
      <c r="L12097" s="89"/>
    </row>
    <row r="12098" spans="1:12" x14ac:dyDescent="0.3">
      <c r="A12098"/>
      <c r="B12098" s="72"/>
      <c r="C12098" s="88"/>
      <c r="E12098" s="72"/>
      <c r="H12098" s="49"/>
      <c r="K12098" s="48"/>
      <c r="L12098" s="89"/>
    </row>
    <row r="12099" spans="1:12" x14ac:dyDescent="0.3">
      <c r="A12099"/>
      <c r="B12099" s="72"/>
      <c r="C12099" s="88"/>
      <c r="E12099" s="72"/>
      <c r="H12099" s="49"/>
      <c r="K12099" s="48"/>
      <c r="L12099" s="89"/>
    </row>
    <row r="12100" spans="1:12" x14ac:dyDescent="0.3">
      <c r="A12100"/>
      <c r="B12100" s="72"/>
      <c r="C12100" s="88"/>
      <c r="E12100" s="72"/>
      <c r="H12100" s="49"/>
      <c r="K12100" s="48"/>
      <c r="L12100" s="89"/>
    </row>
    <row r="12101" spans="1:12" x14ac:dyDescent="0.3">
      <c r="A12101"/>
      <c r="B12101" s="72"/>
      <c r="C12101" s="88"/>
      <c r="E12101" s="72"/>
      <c r="H12101" s="49"/>
      <c r="K12101" s="48"/>
      <c r="L12101" s="89"/>
    </row>
    <row r="12102" spans="1:12" x14ac:dyDescent="0.3">
      <c r="A12102"/>
      <c r="B12102" s="72"/>
      <c r="C12102" s="88"/>
      <c r="E12102" s="72"/>
      <c r="H12102" s="49"/>
      <c r="K12102" s="48"/>
      <c r="L12102" s="89"/>
    </row>
    <row r="12103" spans="1:12" x14ac:dyDescent="0.3">
      <c r="A12103"/>
      <c r="B12103" s="72"/>
      <c r="C12103" s="88"/>
      <c r="E12103" s="72"/>
      <c r="H12103" s="49"/>
      <c r="K12103" s="48"/>
      <c r="L12103" s="89"/>
    </row>
    <row r="12104" spans="1:12" x14ac:dyDescent="0.3">
      <c r="A12104"/>
      <c r="B12104" s="72"/>
      <c r="C12104" s="88"/>
      <c r="E12104" s="72"/>
      <c r="H12104" s="49"/>
      <c r="K12104" s="48"/>
      <c r="L12104" s="89"/>
    </row>
    <row r="12105" spans="1:12" x14ac:dyDescent="0.3">
      <c r="A12105"/>
      <c r="B12105" s="72"/>
      <c r="C12105" s="88"/>
      <c r="E12105" s="72"/>
      <c r="H12105" s="49"/>
      <c r="K12105" s="48"/>
      <c r="L12105" s="89"/>
    </row>
    <row r="12106" spans="1:12" x14ac:dyDescent="0.3">
      <c r="A12106"/>
      <c r="B12106" s="72"/>
      <c r="C12106" s="88"/>
      <c r="E12106" s="72"/>
      <c r="H12106" s="49"/>
      <c r="K12106" s="48"/>
      <c r="L12106" s="89"/>
    </row>
    <row r="12107" spans="1:12" x14ac:dyDescent="0.3">
      <c r="A12107"/>
      <c r="B12107" s="72"/>
      <c r="C12107" s="88"/>
      <c r="E12107" s="72"/>
      <c r="H12107" s="49"/>
      <c r="K12107" s="48"/>
      <c r="L12107" s="89"/>
    </row>
    <row r="12108" spans="1:12" x14ac:dyDescent="0.3">
      <c r="A12108"/>
      <c r="B12108" s="72"/>
      <c r="C12108" s="88"/>
      <c r="E12108" s="72"/>
      <c r="H12108" s="49"/>
      <c r="K12108" s="48"/>
      <c r="L12108" s="89"/>
    </row>
    <row r="12109" spans="1:12" x14ac:dyDescent="0.3">
      <c r="A12109"/>
      <c r="B12109" s="72"/>
      <c r="C12109" s="88"/>
      <c r="E12109" s="72"/>
      <c r="H12109" s="49"/>
      <c r="K12109" s="48"/>
      <c r="L12109" s="89"/>
    </row>
    <row r="12110" spans="1:12" x14ac:dyDescent="0.3">
      <c r="A12110"/>
      <c r="B12110" s="72"/>
      <c r="C12110" s="88"/>
      <c r="E12110" s="72"/>
      <c r="H12110" s="49"/>
      <c r="K12110" s="48"/>
      <c r="L12110" s="89"/>
    </row>
    <row r="12111" spans="1:12" x14ac:dyDescent="0.3">
      <c r="A12111"/>
      <c r="B12111" s="72"/>
      <c r="C12111" s="88"/>
      <c r="E12111" s="72"/>
      <c r="H12111" s="49"/>
      <c r="K12111" s="48"/>
      <c r="L12111" s="89"/>
    </row>
    <row r="12112" spans="1:12" x14ac:dyDescent="0.3">
      <c r="A12112"/>
      <c r="B12112" s="72"/>
      <c r="C12112" s="88"/>
      <c r="E12112" s="72"/>
      <c r="H12112" s="49"/>
      <c r="K12112" s="48"/>
      <c r="L12112" s="89"/>
    </row>
    <row r="12113" spans="1:12" x14ac:dyDescent="0.3">
      <c r="A12113"/>
      <c r="B12113" s="72"/>
      <c r="C12113" s="88"/>
      <c r="E12113" s="72"/>
      <c r="H12113" s="49"/>
      <c r="K12113" s="48"/>
      <c r="L12113" s="89"/>
    </row>
    <row r="12114" spans="1:12" x14ac:dyDescent="0.3">
      <c r="A12114"/>
      <c r="B12114" s="72"/>
      <c r="C12114" s="88"/>
      <c r="E12114" s="72"/>
      <c r="H12114" s="49"/>
      <c r="K12114" s="48"/>
      <c r="L12114" s="89"/>
    </row>
    <row r="12115" spans="1:12" x14ac:dyDescent="0.3">
      <c r="A12115"/>
      <c r="B12115" s="72"/>
      <c r="C12115" s="88"/>
      <c r="E12115" s="72"/>
      <c r="H12115" s="49"/>
      <c r="K12115" s="48"/>
      <c r="L12115" s="89"/>
    </row>
    <row r="12116" spans="1:12" x14ac:dyDescent="0.3">
      <c r="A12116"/>
      <c r="B12116" s="72"/>
      <c r="C12116" s="88"/>
      <c r="E12116" s="72"/>
      <c r="H12116" s="49"/>
      <c r="K12116" s="48"/>
      <c r="L12116" s="89"/>
    </row>
    <row r="12117" spans="1:12" x14ac:dyDescent="0.3">
      <c r="A12117"/>
      <c r="B12117" s="72"/>
      <c r="C12117" s="88"/>
      <c r="E12117" s="72"/>
      <c r="H12117" s="49"/>
      <c r="K12117" s="48"/>
      <c r="L12117" s="89"/>
    </row>
    <row r="12118" spans="1:12" x14ac:dyDescent="0.3">
      <c r="A12118"/>
      <c r="B12118" s="72"/>
      <c r="C12118" s="88"/>
      <c r="E12118" s="72"/>
      <c r="H12118" s="49"/>
      <c r="K12118" s="48"/>
      <c r="L12118" s="89"/>
    </row>
    <row r="12119" spans="1:12" x14ac:dyDescent="0.3">
      <c r="A12119"/>
      <c r="B12119" s="72"/>
      <c r="C12119" s="88"/>
      <c r="E12119" s="72"/>
      <c r="H12119" s="49"/>
      <c r="K12119" s="48"/>
      <c r="L12119" s="89"/>
    </row>
    <row r="12120" spans="1:12" x14ac:dyDescent="0.3">
      <c r="A12120"/>
      <c r="B12120" s="72"/>
      <c r="C12120" s="88"/>
      <c r="E12120" s="72"/>
      <c r="H12120" s="49"/>
      <c r="K12120" s="48"/>
      <c r="L12120" s="89"/>
    </row>
    <row r="12121" spans="1:12" x14ac:dyDescent="0.3">
      <c r="A12121"/>
      <c r="B12121" s="72"/>
      <c r="C12121" s="88"/>
      <c r="E12121" s="72"/>
      <c r="H12121" s="49"/>
      <c r="K12121" s="48"/>
      <c r="L12121" s="89"/>
    </row>
    <row r="12122" spans="1:12" x14ac:dyDescent="0.3">
      <c r="A12122"/>
      <c r="B12122" s="72"/>
      <c r="C12122" s="88"/>
      <c r="E12122" s="72"/>
      <c r="H12122" s="49"/>
      <c r="K12122" s="48"/>
      <c r="L12122" s="89"/>
    </row>
    <row r="12123" spans="1:12" x14ac:dyDescent="0.3">
      <c r="A12123"/>
      <c r="B12123" s="72"/>
      <c r="C12123" s="88"/>
      <c r="E12123" s="72"/>
      <c r="H12123" s="49"/>
      <c r="K12123" s="48"/>
      <c r="L12123" s="89"/>
    </row>
    <row r="12124" spans="1:12" x14ac:dyDescent="0.3">
      <c r="A12124"/>
      <c r="B12124" s="72"/>
      <c r="C12124" s="88"/>
      <c r="E12124" s="72"/>
      <c r="H12124" s="49"/>
      <c r="K12124" s="48"/>
      <c r="L12124" s="89"/>
    </row>
    <row r="12125" spans="1:12" x14ac:dyDescent="0.3">
      <c r="A12125"/>
      <c r="B12125" s="72"/>
      <c r="C12125" s="88"/>
      <c r="E12125" s="72"/>
      <c r="H12125" s="49"/>
      <c r="K12125" s="48"/>
      <c r="L12125" s="89"/>
    </row>
    <row r="12126" spans="1:12" x14ac:dyDescent="0.3">
      <c r="A12126"/>
      <c r="B12126" s="72"/>
      <c r="C12126" s="88"/>
      <c r="E12126" s="72"/>
      <c r="H12126" s="49"/>
      <c r="K12126" s="48"/>
      <c r="L12126" s="89"/>
    </row>
    <row r="12127" spans="1:12" x14ac:dyDescent="0.3">
      <c r="A12127"/>
      <c r="B12127" s="72"/>
      <c r="C12127" s="88"/>
      <c r="E12127" s="72"/>
      <c r="H12127" s="49"/>
      <c r="K12127" s="48"/>
      <c r="L12127" s="89"/>
    </row>
    <row r="12128" spans="1:12" x14ac:dyDescent="0.3">
      <c r="A12128"/>
      <c r="B12128" s="72"/>
      <c r="C12128" s="88"/>
      <c r="E12128" s="72"/>
      <c r="H12128" s="49"/>
      <c r="K12128" s="48"/>
      <c r="L12128" s="89"/>
    </row>
    <row r="12129" spans="1:12" x14ac:dyDescent="0.3">
      <c r="A12129"/>
      <c r="B12129" s="72"/>
      <c r="C12129" s="88"/>
      <c r="E12129" s="72"/>
      <c r="H12129" s="49"/>
      <c r="K12129" s="48"/>
      <c r="L12129" s="89"/>
    </row>
    <row r="12130" spans="1:12" x14ac:dyDescent="0.3">
      <c r="A12130"/>
      <c r="B12130" s="72"/>
      <c r="C12130" s="88"/>
      <c r="E12130" s="72"/>
      <c r="H12130" s="49"/>
      <c r="K12130" s="48"/>
      <c r="L12130" s="89"/>
    </row>
    <row r="12131" spans="1:12" x14ac:dyDescent="0.3">
      <c r="A12131"/>
      <c r="B12131" s="72"/>
      <c r="C12131" s="88"/>
      <c r="E12131" s="72"/>
      <c r="H12131" s="49"/>
      <c r="K12131" s="48"/>
      <c r="L12131" s="89"/>
    </row>
    <row r="12132" spans="1:12" x14ac:dyDescent="0.3">
      <c r="A12132"/>
      <c r="B12132" s="72"/>
      <c r="C12132" s="88"/>
      <c r="E12132" s="72"/>
      <c r="H12132" s="49"/>
      <c r="K12132" s="48"/>
      <c r="L12132" s="89"/>
    </row>
    <row r="12133" spans="1:12" x14ac:dyDescent="0.3">
      <c r="A12133"/>
      <c r="B12133" s="72"/>
      <c r="C12133" s="88"/>
      <c r="E12133" s="72"/>
      <c r="H12133" s="49"/>
      <c r="K12133" s="48"/>
      <c r="L12133" s="89"/>
    </row>
    <row r="12134" spans="1:12" x14ac:dyDescent="0.3">
      <c r="A12134"/>
      <c r="B12134" s="72"/>
      <c r="C12134" s="88"/>
      <c r="E12134" s="72"/>
      <c r="H12134" s="49"/>
      <c r="K12134" s="48"/>
      <c r="L12134" s="89"/>
    </row>
    <row r="12135" spans="1:12" x14ac:dyDescent="0.3">
      <c r="A12135"/>
      <c r="B12135" s="72"/>
      <c r="C12135" s="88"/>
      <c r="E12135" s="72"/>
      <c r="H12135" s="49"/>
      <c r="K12135" s="48"/>
      <c r="L12135" s="89"/>
    </row>
    <row r="12136" spans="1:12" x14ac:dyDescent="0.3">
      <c r="A12136"/>
      <c r="B12136" s="72"/>
      <c r="C12136" s="88"/>
      <c r="E12136" s="72"/>
      <c r="H12136" s="49"/>
      <c r="K12136" s="48"/>
      <c r="L12136" s="89"/>
    </row>
    <row r="12137" spans="1:12" x14ac:dyDescent="0.3">
      <c r="A12137"/>
      <c r="B12137" s="72"/>
      <c r="C12137" s="88"/>
      <c r="E12137" s="72"/>
      <c r="H12137" s="49"/>
      <c r="K12137" s="48"/>
      <c r="L12137" s="89"/>
    </row>
    <row r="12138" spans="1:12" x14ac:dyDescent="0.3">
      <c r="A12138"/>
      <c r="B12138" s="72"/>
      <c r="C12138" s="88"/>
      <c r="E12138" s="72"/>
      <c r="H12138" s="49"/>
      <c r="K12138" s="48"/>
      <c r="L12138" s="89"/>
    </row>
    <row r="12139" spans="1:12" x14ac:dyDescent="0.3">
      <c r="A12139"/>
      <c r="B12139" s="72"/>
      <c r="C12139" s="88"/>
      <c r="E12139" s="72"/>
      <c r="H12139" s="49"/>
      <c r="K12139" s="48"/>
      <c r="L12139" s="89"/>
    </row>
    <row r="12140" spans="1:12" x14ac:dyDescent="0.3">
      <c r="A12140"/>
      <c r="B12140" s="72"/>
      <c r="C12140" s="88"/>
      <c r="E12140" s="72"/>
      <c r="H12140" s="49"/>
      <c r="K12140" s="48"/>
      <c r="L12140" s="89"/>
    </row>
    <row r="12141" spans="1:12" x14ac:dyDescent="0.3">
      <c r="A12141"/>
      <c r="B12141" s="72"/>
      <c r="C12141" s="88"/>
      <c r="E12141" s="72"/>
      <c r="H12141" s="49"/>
      <c r="K12141" s="48"/>
      <c r="L12141" s="89"/>
    </row>
    <row r="12142" spans="1:12" x14ac:dyDescent="0.3">
      <c r="A12142"/>
      <c r="B12142" s="72"/>
      <c r="C12142" s="88"/>
      <c r="E12142" s="72"/>
      <c r="H12142" s="49"/>
      <c r="K12142" s="48"/>
      <c r="L12142" s="89"/>
    </row>
    <row r="12143" spans="1:12" x14ac:dyDescent="0.3">
      <c r="A12143"/>
      <c r="B12143" s="72"/>
      <c r="C12143" s="88"/>
      <c r="E12143" s="72"/>
      <c r="H12143" s="49"/>
      <c r="K12143" s="48"/>
      <c r="L12143" s="89"/>
    </row>
    <row r="12144" spans="1:12" x14ac:dyDescent="0.3">
      <c r="A12144"/>
      <c r="B12144" s="72"/>
      <c r="C12144" s="88"/>
      <c r="E12144" s="72"/>
      <c r="H12144" s="49"/>
      <c r="K12144" s="48"/>
      <c r="L12144" s="89"/>
    </row>
    <row r="12145" spans="1:12" x14ac:dyDescent="0.3">
      <c r="A12145"/>
      <c r="B12145" s="72"/>
      <c r="C12145" s="88"/>
      <c r="E12145" s="72"/>
      <c r="H12145" s="49"/>
      <c r="K12145" s="48"/>
      <c r="L12145" s="89"/>
    </row>
    <row r="12146" spans="1:12" x14ac:dyDescent="0.3">
      <c r="A12146"/>
      <c r="B12146" s="72"/>
      <c r="C12146" s="88"/>
      <c r="E12146" s="72"/>
      <c r="H12146" s="49"/>
      <c r="K12146" s="48"/>
      <c r="L12146" s="89"/>
    </row>
    <row r="12147" spans="1:12" x14ac:dyDescent="0.3">
      <c r="A12147"/>
      <c r="B12147" s="72"/>
      <c r="C12147" s="88"/>
      <c r="E12147" s="72"/>
      <c r="H12147" s="49"/>
      <c r="K12147" s="48"/>
      <c r="L12147" s="89"/>
    </row>
    <row r="12148" spans="1:12" x14ac:dyDescent="0.3">
      <c r="A12148"/>
      <c r="B12148" s="72"/>
      <c r="C12148" s="88"/>
      <c r="E12148" s="72"/>
      <c r="H12148" s="49"/>
      <c r="K12148" s="48"/>
      <c r="L12148" s="89"/>
    </row>
    <row r="12149" spans="1:12" x14ac:dyDescent="0.3">
      <c r="A12149"/>
      <c r="B12149" s="72"/>
      <c r="C12149" s="88"/>
      <c r="E12149" s="72"/>
      <c r="H12149" s="49"/>
      <c r="K12149" s="48"/>
      <c r="L12149" s="89"/>
    </row>
    <row r="12150" spans="1:12" x14ac:dyDescent="0.3">
      <c r="A12150"/>
      <c r="B12150" s="72"/>
      <c r="C12150" s="88"/>
      <c r="E12150" s="72"/>
      <c r="H12150" s="49"/>
      <c r="K12150" s="48"/>
      <c r="L12150" s="89"/>
    </row>
    <row r="12151" spans="1:12" x14ac:dyDescent="0.3">
      <c r="A12151"/>
      <c r="B12151" s="72"/>
      <c r="C12151" s="88"/>
      <c r="E12151" s="72"/>
      <c r="H12151" s="49"/>
      <c r="K12151" s="48"/>
      <c r="L12151" s="89"/>
    </row>
    <row r="12152" spans="1:12" x14ac:dyDescent="0.3">
      <c r="A12152"/>
      <c r="B12152" s="72"/>
      <c r="C12152" s="88"/>
      <c r="E12152" s="72"/>
      <c r="H12152" s="49"/>
      <c r="K12152" s="48"/>
      <c r="L12152" s="89"/>
    </row>
    <row r="12153" spans="1:12" x14ac:dyDescent="0.3">
      <c r="A12153"/>
      <c r="B12153" s="72"/>
      <c r="C12153" s="88"/>
      <c r="E12153" s="72"/>
      <c r="H12153" s="49"/>
      <c r="K12153" s="48"/>
      <c r="L12153" s="89"/>
    </row>
    <row r="12154" spans="1:12" x14ac:dyDescent="0.3">
      <c r="A12154"/>
      <c r="B12154" s="72"/>
      <c r="C12154" s="88"/>
      <c r="E12154" s="72"/>
      <c r="H12154" s="49"/>
      <c r="K12154" s="48"/>
      <c r="L12154" s="89"/>
    </row>
    <row r="12155" spans="1:12" x14ac:dyDescent="0.3">
      <c r="A12155"/>
      <c r="B12155" s="72"/>
      <c r="C12155" s="88"/>
      <c r="E12155" s="72"/>
      <c r="H12155" s="49"/>
      <c r="K12155" s="48"/>
      <c r="L12155" s="89"/>
    </row>
    <row r="12156" spans="1:12" x14ac:dyDescent="0.3">
      <c r="A12156"/>
      <c r="B12156" s="72"/>
      <c r="C12156" s="88"/>
      <c r="E12156" s="72"/>
      <c r="H12156" s="49"/>
      <c r="K12156" s="48"/>
      <c r="L12156" s="89"/>
    </row>
    <row r="12157" spans="1:12" x14ac:dyDescent="0.3">
      <c r="A12157"/>
      <c r="B12157" s="72"/>
      <c r="C12157" s="88"/>
      <c r="E12157" s="72"/>
      <c r="H12157" s="49"/>
      <c r="K12157" s="48"/>
      <c r="L12157" s="89"/>
    </row>
    <row r="12158" spans="1:12" x14ac:dyDescent="0.3">
      <c r="A12158"/>
      <c r="B12158" s="72"/>
      <c r="C12158" s="88"/>
      <c r="E12158" s="72"/>
      <c r="H12158" s="49"/>
      <c r="K12158" s="48"/>
      <c r="L12158" s="89"/>
    </row>
    <row r="12159" spans="1:12" x14ac:dyDescent="0.3">
      <c r="A12159"/>
      <c r="B12159" s="72"/>
      <c r="C12159" s="88"/>
      <c r="E12159" s="72"/>
      <c r="H12159" s="49"/>
      <c r="K12159" s="48"/>
      <c r="L12159" s="89"/>
    </row>
    <row r="12160" spans="1:12" x14ac:dyDescent="0.3">
      <c r="A12160"/>
      <c r="B12160" s="72"/>
      <c r="C12160" s="88"/>
      <c r="E12160" s="72"/>
      <c r="G12160"/>
      <c r="H12160" s="49"/>
      <c r="K12160" s="48"/>
      <c r="L12160" s="89"/>
    </row>
    <row r="12161" spans="1:12" x14ac:dyDescent="0.3">
      <c r="A12161"/>
      <c r="B12161" s="72"/>
      <c r="C12161" s="88"/>
      <c r="E12161" s="72"/>
      <c r="H12161" s="49"/>
      <c r="K12161" s="48"/>
      <c r="L12161" s="89"/>
    </row>
    <row r="12162" spans="1:12" x14ac:dyDescent="0.3">
      <c r="A12162"/>
      <c r="B12162" s="72"/>
      <c r="C12162" s="88"/>
      <c r="E12162" s="72"/>
      <c r="H12162" s="49"/>
      <c r="K12162" s="48"/>
      <c r="L12162" s="89"/>
    </row>
    <row r="12163" spans="1:12" x14ac:dyDescent="0.3">
      <c r="A12163"/>
      <c r="B12163" s="72"/>
      <c r="C12163" s="88"/>
      <c r="E12163" s="72"/>
      <c r="H12163" s="49"/>
      <c r="K12163" s="48"/>
      <c r="L12163" s="89"/>
    </row>
    <row r="12164" spans="1:12" x14ac:dyDescent="0.3">
      <c r="A12164"/>
      <c r="B12164" s="72"/>
      <c r="C12164" s="88"/>
      <c r="E12164" s="72"/>
      <c r="H12164" s="49"/>
      <c r="K12164" s="48"/>
      <c r="L12164" s="89"/>
    </row>
    <row r="12165" spans="1:12" x14ac:dyDescent="0.3">
      <c r="A12165"/>
      <c r="B12165" s="72"/>
      <c r="C12165" s="88"/>
      <c r="E12165" s="72"/>
      <c r="H12165" s="49"/>
      <c r="K12165" s="48"/>
      <c r="L12165" s="89"/>
    </row>
    <row r="12166" spans="1:12" x14ac:dyDescent="0.3">
      <c r="A12166"/>
      <c r="B12166" s="72"/>
      <c r="C12166" s="88"/>
      <c r="E12166" s="72"/>
      <c r="H12166" s="49"/>
      <c r="K12166" s="48"/>
      <c r="L12166" s="89"/>
    </row>
    <row r="12167" spans="1:12" x14ac:dyDescent="0.3">
      <c r="A12167"/>
      <c r="B12167" s="72"/>
      <c r="C12167" s="88"/>
      <c r="E12167" s="72"/>
      <c r="H12167" s="49"/>
      <c r="K12167" s="48"/>
      <c r="L12167" s="89"/>
    </row>
    <row r="12168" spans="1:12" x14ac:dyDescent="0.3">
      <c r="A12168"/>
      <c r="B12168" s="72"/>
      <c r="C12168" s="88"/>
      <c r="E12168" s="72"/>
      <c r="H12168" s="49"/>
      <c r="K12168" s="48"/>
      <c r="L12168" s="89"/>
    </row>
    <row r="12169" spans="1:12" x14ac:dyDescent="0.3">
      <c r="A12169"/>
      <c r="B12169" s="72"/>
      <c r="C12169" s="88"/>
      <c r="E12169" s="72"/>
      <c r="H12169" s="49"/>
      <c r="K12169" s="48"/>
      <c r="L12169" s="89"/>
    </row>
    <row r="12170" spans="1:12" x14ac:dyDescent="0.3">
      <c r="A12170"/>
      <c r="B12170" s="72"/>
      <c r="C12170" s="88"/>
      <c r="E12170" s="72"/>
      <c r="H12170" s="49"/>
      <c r="K12170" s="48"/>
      <c r="L12170" s="89"/>
    </row>
    <row r="12171" spans="1:12" x14ac:dyDescent="0.3">
      <c r="A12171"/>
      <c r="B12171" s="72"/>
      <c r="C12171" s="88"/>
      <c r="E12171" s="72"/>
      <c r="H12171" s="49"/>
      <c r="K12171" s="48"/>
      <c r="L12171" s="89"/>
    </row>
    <row r="12172" spans="1:12" x14ac:dyDescent="0.3">
      <c r="A12172"/>
      <c r="B12172" s="72"/>
      <c r="C12172" s="88"/>
      <c r="E12172" s="72"/>
      <c r="H12172" s="49"/>
      <c r="K12172" s="48"/>
      <c r="L12172" s="89"/>
    </row>
    <row r="12173" spans="1:12" x14ac:dyDescent="0.3">
      <c r="A12173"/>
      <c r="B12173" s="72"/>
      <c r="C12173" s="88"/>
      <c r="E12173" s="72"/>
      <c r="H12173" s="49"/>
      <c r="K12173" s="48"/>
      <c r="L12173" s="89"/>
    </row>
    <row r="12174" spans="1:12" x14ac:dyDescent="0.3">
      <c r="A12174"/>
      <c r="B12174" s="72"/>
      <c r="C12174" s="88"/>
      <c r="E12174" s="72"/>
      <c r="H12174" s="49"/>
      <c r="K12174" s="48"/>
      <c r="L12174" s="89"/>
    </row>
    <row r="12175" spans="1:12" x14ac:dyDescent="0.3">
      <c r="A12175"/>
      <c r="B12175" s="72"/>
      <c r="C12175" s="88"/>
      <c r="E12175" s="72"/>
      <c r="H12175" s="49"/>
      <c r="K12175" s="48"/>
      <c r="L12175" s="89"/>
    </row>
    <row r="12176" spans="1:12" x14ac:dyDescent="0.3">
      <c r="A12176"/>
      <c r="B12176" s="72"/>
      <c r="C12176" s="88"/>
      <c r="E12176" s="72"/>
      <c r="H12176" s="49"/>
      <c r="K12176" s="48"/>
      <c r="L12176" s="89"/>
    </row>
    <row r="12177" spans="1:12" x14ac:dyDescent="0.3">
      <c r="A12177"/>
      <c r="B12177" s="72"/>
      <c r="C12177" s="88"/>
      <c r="E12177" s="72"/>
      <c r="H12177" s="49"/>
      <c r="K12177" s="48"/>
      <c r="L12177" s="89"/>
    </row>
    <row r="12178" spans="1:12" x14ac:dyDescent="0.3">
      <c r="A12178"/>
      <c r="B12178" s="72"/>
      <c r="C12178" s="88"/>
      <c r="E12178" s="72"/>
      <c r="H12178" s="49"/>
      <c r="K12178" s="48"/>
      <c r="L12178" s="89"/>
    </row>
    <row r="12179" spans="1:12" x14ac:dyDescent="0.3">
      <c r="A12179"/>
      <c r="B12179" s="72"/>
      <c r="C12179" s="88"/>
      <c r="E12179" s="72"/>
      <c r="H12179" s="49"/>
      <c r="K12179" s="48"/>
      <c r="L12179" s="89"/>
    </row>
    <row r="12180" spans="1:12" x14ac:dyDescent="0.3">
      <c r="A12180"/>
      <c r="B12180" s="72"/>
      <c r="C12180" s="88"/>
      <c r="E12180" s="72"/>
      <c r="H12180" s="49"/>
      <c r="K12180" s="48"/>
      <c r="L12180" s="89"/>
    </row>
    <row r="12181" spans="1:12" x14ac:dyDescent="0.3">
      <c r="A12181"/>
      <c r="B12181" s="72"/>
      <c r="C12181" s="88"/>
      <c r="E12181" s="72"/>
      <c r="H12181" s="49"/>
      <c r="K12181" s="48"/>
      <c r="L12181" s="89"/>
    </row>
    <row r="12182" spans="1:12" x14ac:dyDescent="0.3">
      <c r="A12182"/>
      <c r="B12182" s="72"/>
      <c r="C12182" s="88"/>
      <c r="E12182" s="72"/>
      <c r="H12182" s="49"/>
      <c r="K12182" s="48"/>
      <c r="L12182" s="89"/>
    </row>
    <row r="12183" spans="1:12" x14ac:dyDescent="0.3">
      <c r="A12183"/>
      <c r="B12183" s="72"/>
      <c r="C12183" s="88"/>
      <c r="E12183" s="72"/>
      <c r="H12183" s="49"/>
      <c r="K12183" s="48"/>
      <c r="L12183" s="89"/>
    </row>
    <row r="12184" spans="1:12" x14ac:dyDescent="0.3">
      <c r="A12184"/>
      <c r="B12184" s="72"/>
      <c r="C12184" s="88"/>
      <c r="E12184" s="72"/>
      <c r="H12184" s="49"/>
      <c r="K12184" s="48"/>
      <c r="L12184" s="89"/>
    </row>
    <row r="12185" spans="1:12" x14ac:dyDescent="0.3">
      <c r="A12185"/>
      <c r="B12185" s="72"/>
      <c r="C12185" s="88"/>
      <c r="E12185" s="72"/>
      <c r="H12185" s="49"/>
      <c r="K12185" s="48"/>
      <c r="L12185" s="89"/>
    </row>
    <row r="12186" spans="1:12" x14ac:dyDescent="0.3">
      <c r="A12186"/>
      <c r="B12186" s="72"/>
      <c r="C12186" s="88"/>
      <c r="E12186" s="72"/>
      <c r="H12186" s="49"/>
      <c r="K12186" s="48"/>
      <c r="L12186" s="89"/>
    </row>
    <row r="12187" spans="1:12" x14ac:dyDescent="0.3">
      <c r="A12187"/>
      <c r="B12187" s="72"/>
      <c r="C12187" s="88"/>
      <c r="E12187" s="72"/>
      <c r="H12187" s="49"/>
      <c r="K12187" s="48"/>
      <c r="L12187" s="89"/>
    </row>
    <row r="12188" spans="1:12" x14ac:dyDescent="0.3">
      <c r="A12188"/>
      <c r="B12188" s="72"/>
      <c r="C12188" s="88"/>
      <c r="E12188" s="72"/>
      <c r="H12188" s="49"/>
      <c r="K12188" s="48"/>
      <c r="L12188" s="89"/>
    </row>
    <row r="12189" spans="1:12" x14ac:dyDescent="0.3">
      <c r="A12189"/>
      <c r="B12189" s="72"/>
      <c r="C12189" s="88"/>
      <c r="E12189" s="72"/>
      <c r="H12189" s="49"/>
      <c r="K12189" s="48"/>
      <c r="L12189" s="89"/>
    </row>
    <row r="12190" spans="1:12" x14ac:dyDescent="0.3">
      <c r="A12190"/>
      <c r="B12190" s="72"/>
      <c r="C12190" s="88"/>
      <c r="E12190" s="72"/>
      <c r="H12190" s="49"/>
      <c r="K12190" s="48"/>
      <c r="L12190" s="89"/>
    </row>
    <row r="12191" spans="1:12" x14ac:dyDescent="0.3">
      <c r="A12191"/>
      <c r="B12191" s="72"/>
      <c r="C12191" s="88"/>
      <c r="E12191" s="72"/>
      <c r="H12191" s="49"/>
      <c r="K12191" s="48"/>
      <c r="L12191" s="89"/>
    </row>
    <row r="12192" spans="1:12" x14ac:dyDescent="0.3">
      <c r="A12192"/>
      <c r="B12192" s="72"/>
      <c r="C12192" s="88"/>
      <c r="E12192" s="72"/>
      <c r="H12192" s="49"/>
      <c r="K12192" s="48"/>
      <c r="L12192" s="89"/>
    </row>
    <row r="12193" spans="1:12" x14ac:dyDescent="0.3">
      <c r="A12193"/>
      <c r="B12193" s="72"/>
      <c r="C12193" s="88"/>
      <c r="E12193" s="72"/>
      <c r="H12193" s="49"/>
      <c r="K12193" s="48"/>
      <c r="L12193" s="89"/>
    </row>
    <row r="12194" spans="1:12" x14ac:dyDescent="0.3">
      <c r="A12194"/>
      <c r="B12194" s="72"/>
      <c r="C12194" s="88"/>
      <c r="E12194" s="72"/>
      <c r="H12194" s="49"/>
      <c r="K12194" s="48"/>
      <c r="L12194" s="89"/>
    </row>
    <row r="12195" spans="1:12" x14ac:dyDescent="0.3">
      <c r="A12195"/>
      <c r="B12195" s="72"/>
      <c r="C12195" s="88"/>
      <c r="E12195" s="72"/>
      <c r="H12195" s="49"/>
      <c r="K12195" s="48"/>
      <c r="L12195" s="89"/>
    </row>
    <row r="12196" spans="1:12" x14ac:dyDescent="0.3">
      <c r="A12196"/>
      <c r="B12196" s="72"/>
      <c r="C12196" s="88"/>
      <c r="E12196" s="72"/>
      <c r="H12196" s="49"/>
      <c r="K12196" s="48"/>
      <c r="L12196" s="89"/>
    </row>
    <row r="12197" spans="1:12" x14ac:dyDescent="0.3">
      <c r="A12197"/>
      <c r="B12197" s="72"/>
      <c r="C12197" s="88"/>
      <c r="E12197" s="72"/>
      <c r="H12197" s="49"/>
      <c r="K12197" s="48"/>
      <c r="L12197" s="89"/>
    </row>
    <row r="12198" spans="1:12" x14ac:dyDescent="0.3">
      <c r="A12198"/>
      <c r="B12198" s="72"/>
      <c r="C12198" s="88"/>
      <c r="E12198" s="72"/>
      <c r="H12198" s="49"/>
      <c r="K12198" s="48"/>
      <c r="L12198" s="89"/>
    </row>
    <row r="12199" spans="1:12" x14ac:dyDescent="0.3">
      <c r="A12199"/>
      <c r="B12199" s="72"/>
      <c r="C12199" s="88"/>
      <c r="E12199" s="72"/>
      <c r="H12199" s="49"/>
      <c r="K12199" s="48"/>
      <c r="L12199" s="89"/>
    </row>
    <row r="12200" spans="1:12" x14ac:dyDescent="0.3">
      <c r="A12200"/>
      <c r="B12200" s="72"/>
      <c r="C12200" s="88"/>
      <c r="E12200" s="72"/>
      <c r="H12200" s="49"/>
      <c r="K12200" s="48"/>
      <c r="L12200" s="89"/>
    </row>
    <row r="12201" spans="1:12" x14ac:dyDescent="0.3">
      <c r="A12201"/>
      <c r="B12201" s="72"/>
      <c r="C12201" s="88"/>
      <c r="E12201" s="72"/>
      <c r="H12201" s="49"/>
      <c r="K12201" s="48"/>
      <c r="L12201" s="89"/>
    </row>
    <row r="12202" spans="1:12" x14ac:dyDescent="0.3">
      <c r="A12202"/>
      <c r="B12202" s="72"/>
      <c r="C12202" s="88"/>
      <c r="E12202" s="72"/>
      <c r="H12202" s="49"/>
      <c r="K12202" s="48"/>
      <c r="L12202" s="89"/>
    </row>
    <row r="12203" spans="1:12" x14ac:dyDescent="0.3">
      <c r="A12203"/>
      <c r="B12203" s="72"/>
      <c r="C12203" s="88"/>
      <c r="E12203" s="72"/>
      <c r="H12203" s="49"/>
      <c r="K12203" s="48"/>
      <c r="L12203" s="89"/>
    </row>
    <row r="12204" spans="1:12" x14ac:dyDescent="0.3">
      <c r="A12204"/>
      <c r="B12204" s="72"/>
      <c r="C12204" s="88"/>
      <c r="E12204" s="72"/>
      <c r="H12204" s="49"/>
      <c r="K12204" s="48"/>
      <c r="L12204" s="89"/>
    </row>
    <row r="12205" spans="1:12" x14ac:dyDescent="0.3">
      <c r="A12205"/>
      <c r="B12205" s="72"/>
      <c r="C12205" s="88"/>
      <c r="E12205" s="72"/>
      <c r="H12205" s="49"/>
      <c r="K12205" s="48"/>
      <c r="L12205" s="89"/>
    </row>
    <row r="12206" spans="1:12" x14ac:dyDescent="0.3">
      <c r="A12206"/>
      <c r="B12206" s="72"/>
      <c r="C12206" s="88"/>
      <c r="E12206" s="72"/>
      <c r="H12206" s="49"/>
      <c r="K12206" s="48"/>
      <c r="L12206" s="89"/>
    </row>
    <row r="12207" spans="1:12" x14ac:dyDescent="0.3">
      <c r="A12207"/>
      <c r="B12207" s="72"/>
      <c r="C12207" s="88"/>
      <c r="E12207" s="72"/>
      <c r="H12207" s="49"/>
      <c r="K12207" s="48"/>
      <c r="L12207" s="89"/>
    </row>
    <row r="12208" spans="1:12" x14ac:dyDescent="0.3">
      <c r="A12208"/>
      <c r="B12208" s="72"/>
      <c r="C12208" s="88"/>
      <c r="E12208" s="72"/>
      <c r="H12208" s="49"/>
      <c r="K12208" s="48"/>
      <c r="L12208" s="89"/>
    </row>
    <row r="12209" spans="1:12" x14ac:dyDescent="0.3">
      <c r="A12209"/>
      <c r="B12209" s="72"/>
      <c r="C12209" s="88"/>
      <c r="E12209" s="72"/>
      <c r="H12209" s="49"/>
      <c r="K12209" s="48"/>
      <c r="L12209" s="89"/>
    </row>
    <row r="12210" spans="1:12" x14ac:dyDescent="0.3">
      <c r="A12210"/>
      <c r="B12210" s="72"/>
      <c r="C12210" s="88"/>
      <c r="E12210" s="72"/>
      <c r="H12210" s="49"/>
      <c r="K12210" s="48"/>
      <c r="L12210" s="89"/>
    </row>
    <row r="12211" spans="1:12" x14ac:dyDescent="0.3">
      <c r="A12211"/>
      <c r="B12211" s="72"/>
      <c r="C12211" s="88"/>
      <c r="E12211" s="72"/>
      <c r="H12211" s="49"/>
      <c r="K12211" s="48"/>
      <c r="L12211" s="89"/>
    </row>
    <row r="12212" spans="1:12" x14ac:dyDescent="0.3">
      <c r="A12212"/>
      <c r="B12212" s="72"/>
      <c r="C12212" s="88"/>
      <c r="E12212" s="72"/>
      <c r="H12212" s="49"/>
      <c r="K12212" s="48"/>
      <c r="L12212" s="89"/>
    </row>
    <row r="12213" spans="1:12" x14ac:dyDescent="0.3">
      <c r="A12213"/>
      <c r="B12213" s="72"/>
      <c r="C12213" s="88"/>
      <c r="E12213" s="72"/>
      <c r="H12213" s="49"/>
      <c r="K12213" s="48"/>
      <c r="L12213" s="89"/>
    </row>
    <row r="12214" spans="1:12" x14ac:dyDescent="0.3">
      <c r="A12214"/>
      <c r="B12214" s="72"/>
      <c r="C12214" s="88"/>
      <c r="E12214" s="72"/>
      <c r="H12214" s="49"/>
      <c r="K12214" s="48"/>
      <c r="L12214" s="89"/>
    </row>
    <row r="12215" spans="1:12" x14ac:dyDescent="0.3">
      <c r="A12215"/>
      <c r="B12215" s="72"/>
      <c r="C12215" s="88"/>
      <c r="E12215" s="72"/>
      <c r="H12215" s="49"/>
      <c r="K12215" s="48"/>
      <c r="L12215" s="89"/>
    </row>
    <row r="12216" spans="1:12" x14ac:dyDescent="0.3">
      <c r="A12216"/>
      <c r="B12216" s="72"/>
      <c r="C12216" s="88"/>
      <c r="E12216" s="72"/>
      <c r="H12216" s="49"/>
      <c r="K12216" s="48"/>
      <c r="L12216" s="89"/>
    </row>
    <row r="12217" spans="1:12" x14ac:dyDescent="0.3">
      <c r="A12217"/>
      <c r="B12217" s="72"/>
      <c r="C12217" s="88"/>
      <c r="E12217" s="72"/>
      <c r="H12217" s="49"/>
      <c r="K12217" s="48"/>
      <c r="L12217" s="89"/>
    </row>
    <row r="12218" spans="1:12" x14ac:dyDescent="0.3">
      <c r="A12218"/>
      <c r="B12218" s="72"/>
      <c r="C12218" s="88"/>
      <c r="E12218" s="72"/>
      <c r="H12218" s="49"/>
      <c r="K12218" s="48"/>
      <c r="L12218" s="89"/>
    </row>
    <row r="12219" spans="1:12" x14ac:dyDescent="0.3">
      <c r="A12219"/>
      <c r="B12219" s="72"/>
      <c r="C12219" s="88"/>
      <c r="E12219" s="72"/>
      <c r="H12219" s="49"/>
      <c r="K12219" s="48"/>
      <c r="L12219" s="89"/>
    </row>
    <row r="12220" spans="1:12" x14ac:dyDescent="0.3">
      <c r="A12220"/>
      <c r="B12220" s="72"/>
      <c r="C12220" s="88"/>
      <c r="E12220" s="72"/>
      <c r="H12220" s="49"/>
      <c r="K12220" s="48"/>
      <c r="L12220" s="89"/>
    </row>
    <row r="12221" spans="1:12" x14ac:dyDescent="0.3">
      <c r="A12221"/>
      <c r="B12221" s="72"/>
      <c r="C12221" s="88"/>
      <c r="E12221" s="72"/>
      <c r="H12221" s="49"/>
      <c r="K12221" s="48"/>
      <c r="L12221" s="89"/>
    </row>
    <row r="12222" spans="1:12" x14ac:dyDescent="0.3">
      <c r="A12222"/>
      <c r="B12222" s="72"/>
      <c r="C12222" s="88"/>
      <c r="E12222" s="72"/>
      <c r="H12222" s="49"/>
      <c r="K12222" s="48"/>
      <c r="L12222" s="89"/>
    </row>
    <row r="12223" spans="1:12" x14ac:dyDescent="0.3">
      <c r="A12223"/>
      <c r="B12223" s="72"/>
      <c r="C12223" s="88"/>
      <c r="E12223" s="72"/>
      <c r="H12223" s="49"/>
      <c r="K12223" s="48"/>
      <c r="L12223" s="89"/>
    </row>
    <row r="12224" spans="1:12" x14ac:dyDescent="0.3">
      <c r="A12224"/>
      <c r="B12224" s="72"/>
      <c r="C12224" s="88"/>
      <c r="E12224" s="72"/>
      <c r="H12224" s="49"/>
      <c r="K12224" s="48"/>
      <c r="L12224" s="89"/>
    </row>
    <row r="12225" spans="1:12" x14ac:dyDescent="0.3">
      <c r="A12225"/>
      <c r="B12225" s="72"/>
      <c r="C12225" s="88"/>
      <c r="E12225" s="72"/>
      <c r="H12225" s="49"/>
      <c r="K12225" s="48"/>
      <c r="L12225" s="89"/>
    </row>
    <row r="12226" spans="1:12" x14ac:dyDescent="0.3">
      <c r="A12226"/>
      <c r="B12226" s="72"/>
      <c r="C12226" s="88"/>
      <c r="E12226" s="72"/>
      <c r="H12226" s="49"/>
      <c r="K12226" s="48"/>
      <c r="L12226" s="89"/>
    </row>
    <row r="12227" spans="1:12" x14ac:dyDescent="0.3">
      <c r="A12227"/>
      <c r="B12227" s="72"/>
      <c r="C12227" s="88"/>
      <c r="E12227" s="72"/>
      <c r="H12227" s="49"/>
      <c r="K12227" s="48"/>
      <c r="L12227" s="89"/>
    </row>
    <row r="12228" spans="1:12" x14ac:dyDescent="0.3">
      <c r="A12228"/>
      <c r="B12228" s="72"/>
      <c r="C12228" s="88"/>
      <c r="E12228" s="72"/>
      <c r="H12228" s="49"/>
      <c r="K12228" s="48"/>
      <c r="L12228" s="89"/>
    </row>
    <row r="12229" spans="1:12" x14ac:dyDescent="0.3">
      <c r="A12229"/>
      <c r="B12229" s="72"/>
      <c r="C12229" s="88"/>
      <c r="E12229" s="72"/>
      <c r="H12229" s="49"/>
      <c r="K12229" s="48"/>
      <c r="L12229" s="89"/>
    </row>
    <row r="12230" spans="1:12" x14ac:dyDescent="0.3">
      <c r="A12230"/>
      <c r="B12230" s="72"/>
      <c r="C12230" s="88"/>
      <c r="E12230" s="72"/>
      <c r="H12230" s="49"/>
      <c r="K12230" s="48"/>
      <c r="L12230" s="89"/>
    </row>
    <row r="12231" spans="1:12" x14ac:dyDescent="0.3">
      <c r="A12231"/>
      <c r="B12231" s="72"/>
      <c r="C12231" s="88"/>
      <c r="E12231" s="72"/>
      <c r="H12231" s="49"/>
      <c r="K12231" s="48"/>
      <c r="L12231" s="89"/>
    </row>
    <row r="12232" spans="1:12" x14ac:dyDescent="0.3">
      <c r="A12232"/>
      <c r="B12232" s="72"/>
      <c r="C12232" s="88"/>
      <c r="E12232" s="72"/>
      <c r="H12232" s="49"/>
      <c r="K12232" s="48"/>
      <c r="L12232" s="89"/>
    </row>
    <row r="12233" spans="1:12" x14ac:dyDescent="0.3">
      <c r="A12233"/>
      <c r="B12233" s="72"/>
      <c r="C12233" s="88"/>
      <c r="E12233" s="72"/>
      <c r="H12233" s="49"/>
      <c r="K12233" s="48"/>
      <c r="L12233" s="89"/>
    </row>
    <row r="12234" spans="1:12" x14ac:dyDescent="0.3">
      <c r="A12234"/>
      <c r="B12234" s="72"/>
      <c r="C12234" s="88"/>
      <c r="E12234" s="72"/>
      <c r="H12234" s="49"/>
      <c r="K12234" s="48"/>
      <c r="L12234" s="89"/>
    </row>
    <row r="12235" spans="1:12" x14ac:dyDescent="0.3">
      <c r="A12235"/>
      <c r="B12235" s="72"/>
      <c r="C12235" s="88"/>
      <c r="E12235" s="72"/>
      <c r="H12235" s="49"/>
      <c r="K12235" s="48"/>
      <c r="L12235" s="89"/>
    </row>
    <row r="12236" spans="1:12" x14ac:dyDescent="0.3">
      <c r="A12236"/>
      <c r="B12236" s="72"/>
      <c r="C12236" s="88"/>
      <c r="E12236" s="72"/>
      <c r="H12236" s="49"/>
      <c r="K12236" s="48"/>
      <c r="L12236" s="89"/>
    </row>
    <row r="12237" spans="1:12" x14ac:dyDescent="0.3">
      <c r="A12237"/>
      <c r="B12237" s="72"/>
      <c r="C12237" s="88"/>
      <c r="E12237" s="72"/>
      <c r="H12237" s="49"/>
      <c r="K12237" s="48"/>
      <c r="L12237" s="89"/>
    </row>
    <row r="12238" spans="1:12" x14ac:dyDescent="0.3">
      <c r="A12238"/>
      <c r="B12238" s="72"/>
      <c r="C12238" s="88"/>
      <c r="E12238" s="72"/>
      <c r="H12238" s="49"/>
      <c r="K12238" s="48"/>
      <c r="L12238" s="89"/>
    </row>
    <row r="12239" spans="1:12" x14ac:dyDescent="0.3">
      <c r="A12239"/>
      <c r="B12239" s="72"/>
      <c r="C12239" s="88"/>
      <c r="E12239" s="72"/>
      <c r="H12239" s="49"/>
      <c r="K12239" s="48"/>
      <c r="L12239" s="89"/>
    </row>
    <row r="12240" spans="1:12" x14ac:dyDescent="0.3">
      <c r="A12240"/>
      <c r="B12240" s="72"/>
      <c r="C12240" s="88"/>
      <c r="E12240" s="72"/>
      <c r="H12240" s="49"/>
      <c r="K12240" s="48"/>
      <c r="L12240" s="89"/>
    </row>
    <row r="12241" spans="1:12" x14ac:dyDescent="0.3">
      <c r="A12241"/>
      <c r="B12241" s="72"/>
      <c r="C12241" s="88"/>
      <c r="E12241" s="72"/>
      <c r="H12241" s="49"/>
      <c r="K12241" s="48"/>
      <c r="L12241" s="89"/>
    </row>
    <row r="12242" spans="1:12" x14ac:dyDescent="0.3">
      <c r="A12242"/>
      <c r="B12242" s="72"/>
      <c r="C12242" s="88"/>
      <c r="E12242" s="72"/>
      <c r="H12242" s="49"/>
      <c r="K12242" s="48"/>
      <c r="L12242" s="89"/>
    </row>
    <row r="12243" spans="1:12" x14ac:dyDescent="0.3">
      <c r="A12243"/>
      <c r="B12243" s="72"/>
      <c r="C12243" s="88"/>
      <c r="E12243" s="72"/>
      <c r="H12243" s="49"/>
      <c r="K12243" s="48"/>
      <c r="L12243" s="89"/>
    </row>
    <row r="12244" spans="1:12" x14ac:dyDescent="0.3">
      <c r="A12244"/>
      <c r="B12244" s="72"/>
      <c r="C12244" s="88"/>
      <c r="E12244" s="72"/>
      <c r="H12244" s="49"/>
      <c r="K12244" s="48"/>
      <c r="L12244" s="89"/>
    </row>
    <row r="12245" spans="1:12" x14ac:dyDescent="0.3">
      <c r="A12245"/>
      <c r="B12245" s="72"/>
      <c r="C12245" s="88"/>
      <c r="E12245" s="72"/>
      <c r="H12245" s="49"/>
      <c r="K12245" s="48"/>
      <c r="L12245" s="89"/>
    </row>
    <row r="12246" spans="1:12" x14ac:dyDescent="0.3">
      <c r="A12246"/>
      <c r="B12246" s="72"/>
      <c r="C12246" s="88"/>
      <c r="E12246" s="72"/>
      <c r="H12246" s="49"/>
      <c r="K12246" s="48"/>
      <c r="L12246" s="89"/>
    </row>
    <row r="12247" spans="1:12" x14ac:dyDescent="0.3">
      <c r="A12247"/>
      <c r="B12247" s="72"/>
      <c r="C12247" s="88"/>
      <c r="E12247" s="72"/>
      <c r="H12247" s="49"/>
      <c r="K12247" s="48"/>
      <c r="L12247" s="89"/>
    </row>
    <row r="12248" spans="1:12" x14ac:dyDescent="0.3">
      <c r="A12248"/>
      <c r="B12248" s="72"/>
      <c r="C12248" s="88"/>
      <c r="E12248" s="72"/>
      <c r="H12248" s="49"/>
      <c r="K12248" s="48"/>
      <c r="L12248" s="89"/>
    </row>
    <row r="12249" spans="1:12" x14ac:dyDescent="0.3">
      <c r="A12249"/>
      <c r="B12249" s="72"/>
      <c r="C12249" s="88"/>
      <c r="E12249" s="72"/>
      <c r="H12249" s="49"/>
      <c r="K12249" s="48"/>
      <c r="L12249" s="89"/>
    </row>
    <row r="12250" spans="1:12" x14ac:dyDescent="0.3">
      <c r="A12250"/>
      <c r="B12250" s="72"/>
      <c r="C12250" s="88"/>
      <c r="E12250" s="72"/>
      <c r="H12250" s="49"/>
      <c r="K12250" s="48"/>
      <c r="L12250" s="89"/>
    </row>
    <row r="12251" spans="1:12" x14ac:dyDescent="0.3">
      <c r="A12251"/>
      <c r="B12251" s="72"/>
      <c r="C12251" s="88"/>
      <c r="E12251" s="72"/>
      <c r="H12251" s="49"/>
      <c r="K12251" s="48"/>
      <c r="L12251" s="89"/>
    </row>
    <row r="12252" spans="1:12" x14ac:dyDescent="0.3">
      <c r="A12252"/>
      <c r="B12252" s="72"/>
      <c r="C12252" s="88"/>
      <c r="E12252" s="72"/>
      <c r="H12252" s="49"/>
      <c r="K12252" s="48"/>
      <c r="L12252" s="89"/>
    </row>
    <row r="12253" spans="1:12" x14ac:dyDescent="0.3">
      <c r="A12253"/>
      <c r="B12253" s="72"/>
      <c r="C12253" s="88"/>
      <c r="E12253" s="72"/>
      <c r="H12253" s="49"/>
      <c r="K12253" s="48"/>
      <c r="L12253" s="89"/>
    </row>
    <row r="12254" spans="1:12" x14ac:dyDescent="0.3">
      <c r="A12254"/>
      <c r="B12254" s="72"/>
      <c r="C12254" s="88"/>
      <c r="E12254" s="72"/>
      <c r="H12254" s="49"/>
      <c r="K12254" s="48"/>
      <c r="L12254" s="89"/>
    </row>
    <row r="12255" spans="1:12" x14ac:dyDescent="0.3">
      <c r="A12255"/>
      <c r="B12255" s="72"/>
      <c r="C12255" s="88"/>
      <c r="E12255" s="72"/>
      <c r="H12255" s="49"/>
      <c r="K12255" s="48"/>
      <c r="L12255" s="89"/>
    </row>
    <row r="12256" spans="1:12" x14ac:dyDescent="0.3">
      <c r="A12256"/>
      <c r="B12256" s="72"/>
      <c r="C12256" s="88"/>
      <c r="E12256" s="72"/>
      <c r="H12256" s="49"/>
      <c r="K12256" s="48"/>
      <c r="L12256" s="89"/>
    </row>
    <row r="12257" spans="1:12" x14ac:dyDescent="0.3">
      <c r="A12257"/>
      <c r="B12257" s="72"/>
      <c r="C12257" s="88"/>
      <c r="E12257" s="72"/>
      <c r="H12257" s="49"/>
      <c r="K12257" s="48"/>
      <c r="L12257" s="89"/>
    </row>
    <row r="12258" spans="1:12" x14ac:dyDescent="0.3">
      <c r="A12258"/>
      <c r="B12258" s="72"/>
      <c r="C12258" s="88"/>
      <c r="E12258" s="72"/>
      <c r="H12258" s="49"/>
      <c r="K12258" s="48"/>
      <c r="L12258" s="89"/>
    </row>
    <row r="12259" spans="1:12" x14ac:dyDescent="0.3">
      <c r="A12259"/>
      <c r="B12259" s="72"/>
      <c r="C12259" s="88"/>
      <c r="E12259" s="72"/>
      <c r="H12259" s="49"/>
      <c r="K12259" s="48"/>
      <c r="L12259" s="89"/>
    </row>
    <row r="12260" spans="1:12" x14ac:dyDescent="0.3">
      <c r="A12260"/>
      <c r="B12260" s="72"/>
      <c r="C12260" s="88"/>
      <c r="E12260" s="72"/>
      <c r="H12260" s="49"/>
      <c r="K12260" s="48"/>
      <c r="L12260" s="89"/>
    </row>
    <row r="12261" spans="1:12" x14ac:dyDescent="0.3">
      <c r="A12261"/>
      <c r="B12261" s="72"/>
      <c r="C12261" s="88"/>
      <c r="E12261" s="72"/>
      <c r="H12261" s="49"/>
      <c r="K12261" s="48"/>
      <c r="L12261" s="89"/>
    </row>
    <row r="12262" spans="1:12" x14ac:dyDescent="0.3">
      <c r="A12262"/>
      <c r="B12262" s="72"/>
      <c r="C12262" s="88"/>
      <c r="E12262" s="72"/>
      <c r="H12262" s="49"/>
      <c r="K12262" s="48"/>
      <c r="L12262" s="89"/>
    </row>
    <row r="12263" spans="1:12" x14ac:dyDescent="0.3">
      <c r="A12263"/>
      <c r="B12263" s="72"/>
      <c r="C12263" s="88"/>
      <c r="E12263" s="72"/>
      <c r="H12263" s="49"/>
      <c r="K12263" s="48"/>
      <c r="L12263" s="89"/>
    </row>
    <row r="12264" spans="1:12" x14ac:dyDescent="0.3">
      <c r="A12264"/>
      <c r="B12264" s="72"/>
      <c r="C12264" s="88"/>
      <c r="E12264" s="72"/>
      <c r="H12264" s="49"/>
      <c r="K12264" s="48"/>
      <c r="L12264" s="89"/>
    </row>
    <row r="12265" spans="1:12" x14ac:dyDescent="0.3">
      <c r="A12265"/>
      <c r="B12265" s="72"/>
      <c r="C12265" s="88"/>
      <c r="E12265" s="72"/>
      <c r="H12265" s="49"/>
      <c r="K12265" s="48"/>
      <c r="L12265" s="89"/>
    </row>
    <row r="12266" spans="1:12" x14ac:dyDescent="0.3">
      <c r="A12266"/>
      <c r="B12266" s="72"/>
      <c r="C12266" s="88"/>
      <c r="E12266" s="72"/>
      <c r="H12266" s="49"/>
      <c r="K12266" s="48"/>
      <c r="L12266" s="89"/>
    </row>
    <row r="12267" spans="1:12" x14ac:dyDescent="0.3">
      <c r="A12267"/>
      <c r="B12267" s="72"/>
      <c r="C12267" s="88"/>
      <c r="E12267" s="72"/>
      <c r="H12267" s="49"/>
      <c r="K12267" s="48"/>
      <c r="L12267" s="89"/>
    </row>
    <row r="12268" spans="1:12" x14ac:dyDescent="0.3">
      <c r="A12268"/>
      <c r="B12268" s="72"/>
      <c r="C12268" s="88"/>
      <c r="E12268" s="72"/>
      <c r="H12268" s="49"/>
      <c r="K12268" s="48"/>
      <c r="L12268" s="89"/>
    </row>
    <row r="12269" spans="1:12" x14ac:dyDescent="0.3">
      <c r="A12269"/>
      <c r="B12269" s="72"/>
      <c r="C12269" s="88"/>
      <c r="E12269" s="72"/>
      <c r="H12269" s="49"/>
      <c r="K12269" s="48"/>
      <c r="L12269" s="89"/>
    </row>
    <row r="12270" spans="1:12" x14ac:dyDescent="0.3">
      <c r="A12270"/>
      <c r="B12270" s="72"/>
      <c r="C12270" s="88"/>
      <c r="E12270" s="72"/>
      <c r="H12270" s="49"/>
      <c r="K12270" s="48"/>
      <c r="L12270" s="89"/>
    </row>
    <row r="12271" spans="1:12" x14ac:dyDescent="0.3">
      <c r="A12271"/>
      <c r="B12271" s="72"/>
      <c r="C12271" s="88"/>
      <c r="E12271" s="72"/>
      <c r="H12271" s="49"/>
      <c r="K12271" s="48"/>
      <c r="L12271" s="89"/>
    </row>
    <row r="12272" spans="1:12" x14ac:dyDescent="0.3">
      <c r="A12272"/>
      <c r="B12272" s="72"/>
      <c r="C12272" s="88"/>
      <c r="E12272" s="72"/>
      <c r="H12272" s="49"/>
      <c r="K12272" s="48"/>
      <c r="L12272" s="89"/>
    </row>
    <row r="12273" spans="1:12" x14ac:dyDescent="0.3">
      <c r="A12273"/>
      <c r="B12273" s="72"/>
      <c r="C12273" s="88"/>
      <c r="E12273" s="72"/>
      <c r="H12273" s="49"/>
      <c r="K12273" s="48"/>
      <c r="L12273" s="89"/>
    </row>
    <row r="12274" spans="1:12" x14ac:dyDescent="0.3">
      <c r="A12274"/>
      <c r="B12274" s="72"/>
      <c r="C12274" s="88"/>
      <c r="E12274" s="72"/>
      <c r="H12274" s="49"/>
      <c r="K12274" s="48"/>
      <c r="L12274" s="89"/>
    </row>
    <row r="12275" spans="1:12" x14ac:dyDescent="0.3">
      <c r="A12275"/>
      <c r="B12275" s="72"/>
      <c r="C12275" s="88"/>
      <c r="E12275" s="72"/>
      <c r="H12275" s="49"/>
      <c r="K12275" s="48"/>
      <c r="L12275" s="89"/>
    </row>
    <row r="12276" spans="1:12" x14ac:dyDescent="0.3">
      <c r="A12276"/>
      <c r="B12276" s="72"/>
      <c r="C12276" s="88"/>
      <c r="E12276" s="72"/>
      <c r="H12276" s="49"/>
      <c r="K12276" s="48"/>
      <c r="L12276" s="89"/>
    </row>
    <row r="12277" spans="1:12" x14ac:dyDescent="0.3">
      <c r="A12277"/>
      <c r="B12277" s="72"/>
      <c r="C12277" s="88"/>
      <c r="E12277" s="72"/>
      <c r="H12277" s="49"/>
      <c r="K12277" s="48"/>
      <c r="L12277" s="89"/>
    </row>
    <row r="12278" spans="1:12" x14ac:dyDescent="0.3">
      <c r="A12278"/>
      <c r="B12278" s="72"/>
      <c r="C12278" s="88"/>
      <c r="E12278" s="72"/>
      <c r="H12278" s="49"/>
      <c r="K12278" s="48"/>
      <c r="L12278" s="89"/>
    </row>
    <row r="12279" spans="1:12" x14ac:dyDescent="0.3">
      <c r="A12279"/>
      <c r="B12279" s="72"/>
      <c r="C12279" s="88"/>
      <c r="E12279" s="72"/>
      <c r="H12279" s="49"/>
      <c r="K12279" s="48"/>
      <c r="L12279" s="89"/>
    </row>
    <row r="12280" spans="1:12" x14ac:dyDescent="0.3">
      <c r="A12280"/>
      <c r="B12280" s="72"/>
      <c r="C12280" s="88"/>
      <c r="E12280" s="72"/>
      <c r="H12280" s="49"/>
      <c r="K12280" s="48"/>
      <c r="L12280" s="89"/>
    </row>
    <row r="12281" spans="1:12" x14ac:dyDescent="0.3">
      <c r="A12281"/>
      <c r="B12281" s="72"/>
      <c r="C12281" s="88"/>
      <c r="E12281" s="72"/>
      <c r="H12281" s="49"/>
      <c r="K12281" s="48"/>
      <c r="L12281" s="89"/>
    </row>
    <row r="12282" spans="1:12" x14ac:dyDescent="0.3">
      <c r="A12282"/>
      <c r="B12282" s="72"/>
      <c r="C12282" s="88"/>
      <c r="E12282" s="72"/>
      <c r="H12282" s="49"/>
      <c r="K12282" s="48"/>
      <c r="L12282" s="89"/>
    </row>
    <row r="12283" spans="1:12" x14ac:dyDescent="0.3">
      <c r="A12283"/>
      <c r="B12283" s="72"/>
      <c r="C12283" s="88"/>
      <c r="E12283" s="72"/>
      <c r="H12283" s="49"/>
      <c r="K12283" s="48"/>
      <c r="L12283" s="89"/>
    </row>
    <row r="12284" spans="1:12" x14ac:dyDescent="0.3">
      <c r="A12284"/>
      <c r="B12284" s="72"/>
      <c r="C12284" s="88"/>
      <c r="E12284" s="72"/>
      <c r="H12284" s="49"/>
      <c r="K12284" s="48"/>
      <c r="L12284" s="89"/>
    </row>
    <row r="12285" spans="1:12" x14ac:dyDescent="0.3">
      <c r="A12285"/>
      <c r="B12285" s="72"/>
      <c r="C12285" s="88"/>
      <c r="E12285" s="72"/>
      <c r="H12285" s="49"/>
      <c r="K12285" s="48"/>
      <c r="L12285" s="89"/>
    </row>
    <row r="12286" spans="1:12" x14ac:dyDescent="0.3">
      <c r="A12286"/>
      <c r="B12286" s="72"/>
      <c r="C12286" s="88"/>
      <c r="E12286" s="72"/>
      <c r="H12286" s="49"/>
      <c r="K12286" s="48"/>
      <c r="L12286" s="89"/>
    </row>
    <row r="12287" spans="1:12" x14ac:dyDescent="0.3">
      <c r="A12287"/>
      <c r="B12287" s="72"/>
      <c r="C12287" s="88"/>
      <c r="E12287" s="72"/>
      <c r="H12287" s="49"/>
      <c r="K12287" s="48"/>
      <c r="L12287" s="89"/>
    </row>
    <row r="12288" spans="1:12" x14ac:dyDescent="0.3">
      <c r="A12288"/>
      <c r="B12288" s="72"/>
      <c r="C12288" s="88"/>
      <c r="E12288" s="72"/>
      <c r="H12288" s="49"/>
      <c r="K12288" s="48"/>
      <c r="L12288" s="89"/>
    </row>
    <row r="12289" spans="1:12" x14ac:dyDescent="0.3">
      <c r="A12289"/>
      <c r="B12289" s="72"/>
      <c r="C12289" s="88"/>
      <c r="E12289" s="72"/>
      <c r="H12289" s="49"/>
      <c r="K12289" s="48"/>
      <c r="L12289" s="89"/>
    </row>
    <row r="12290" spans="1:12" x14ac:dyDescent="0.3">
      <c r="A12290"/>
      <c r="B12290" s="72"/>
      <c r="C12290" s="88"/>
      <c r="E12290" s="72"/>
      <c r="H12290" s="49"/>
      <c r="K12290" s="48"/>
      <c r="L12290" s="89"/>
    </row>
    <row r="12291" spans="1:12" x14ac:dyDescent="0.3">
      <c r="A12291"/>
      <c r="B12291" s="72"/>
      <c r="C12291" s="88"/>
      <c r="E12291" s="72"/>
      <c r="H12291" s="49"/>
      <c r="K12291" s="48"/>
      <c r="L12291" s="89"/>
    </row>
    <row r="12292" spans="1:12" x14ac:dyDescent="0.3">
      <c r="A12292"/>
      <c r="B12292" s="72"/>
      <c r="C12292" s="88"/>
      <c r="E12292" s="72"/>
      <c r="H12292" s="49"/>
      <c r="K12292" s="48"/>
      <c r="L12292" s="89"/>
    </row>
    <row r="12293" spans="1:12" x14ac:dyDescent="0.3">
      <c r="A12293"/>
      <c r="B12293" s="72"/>
      <c r="C12293" s="88"/>
      <c r="E12293" s="72"/>
      <c r="H12293" s="49"/>
      <c r="K12293" s="48"/>
      <c r="L12293" s="89"/>
    </row>
    <row r="12294" spans="1:12" x14ac:dyDescent="0.3">
      <c r="A12294"/>
      <c r="B12294" s="72"/>
      <c r="C12294" s="88"/>
      <c r="E12294" s="72"/>
      <c r="H12294" s="49"/>
      <c r="K12294" s="48"/>
      <c r="L12294" s="89"/>
    </row>
    <row r="12295" spans="1:12" x14ac:dyDescent="0.3">
      <c r="A12295"/>
      <c r="B12295" s="72"/>
      <c r="C12295" s="88"/>
      <c r="E12295" s="72"/>
      <c r="H12295" s="49"/>
      <c r="K12295" s="48"/>
      <c r="L12295" s="89"/>
    </row>
    <row r="12296" spans="1:12" x14ac:dyDescent="0.3">
      <c r="A12296"/>
      <c r="B12296" s="72"/>
      <c r="C12296" s="88"/>
      <c r="E12296" s="72"/>
      <c r="H12296" s="49"/>
      <c r="K12296" s="48"/>
      <c r="L12296" s="89"/>
    </row>
    <row r="12297" spans="1:12" x14ac:dyDescent="0.3">
      <c r="A12297"/>
      <c r="B12297" s="72"/>
      <c r="C12297" s="88"/>
      <c r="E12297" s="72"/>
      <c r="H12297" s="49"/>
      <c r="K12297" s="48"/>
      <c r="L12297" s="89"/>
    </row>
    <row r="12298" spans="1:12" x14ac:dyDescent="0.3">
      <c r="A12298"/>
      <c r="B12298" s="72"/>
      <c r="C12298" s="88"/>
      <c r="E12298" s="72"/>
      <c r="H12298" s="49"/>
      <c r="K12298" s="48"/>
      <c r="L12298" s="89"/>
    </row>
    <row r="12299" spans="1:12" x14ac:dyDescent="0.3">
      <c r="A12299"/>
      <c r="B12299" s="72"/>
      <c r="C12299" s="88"/>
      <c r="E12299" s="72"/>
      <c r="H12299" s="49"/>
      <c r="K12299" s="48"/>
      <c r="L12299" s="89"/>
    </row>
    <row r="12300" spans="1:12" x14ac:dyDescent="0.3">
      <c r="A12300"/>
      <c r="B12300" s="72"/>
      <c r="C12300" s="88"/>
      <c r="E12300" s="72"/>
      <c r="H12300" s="49"/>
      <c r="K12300" s="48"/>
      <c r="L12300" s="89"/>
    </row>
    <row r="12301" spans="1:12" x14ac:dyDescent="0.3">
      <c r="A12301"/>
      <c r="B12301" s="72"/>
      <c r="C12301" s="88"/>
      <c r="E12301" s="72"/>
      <c r="H12301" s="49"/>
      <c r="K12301" s="48"/>
      <c r="L12301" s="89"/>
    </row>
    <row r="12302" spans="1:12" x14ac:dyDescent="0.3">
      <c r="A12302"/>
      <c r="B12302" s="72"/>
      <c r="C12302" s="88"/>
      <c r="E12302" s="72"/>
      <c r="H12302" s="49"/>
      <c r="K12302" s="48"/>
      <c r="L12302" s="89"/>
    </row>
    <row r="12303" spans="1:12" x14ac:dyDescent="0.3">
      <c r="A12303"/>
      <c r="B12303" s="72"/>
      <c r="C12303" s="88"/>
      <c r="E12303" s="72"/>
      <c r="H12303" s="49"/>
      <c r="K12303" s="48"/>
      <c r="L12303" s="89"/>
    </row>
    <row r="12304" spans="1:12" x14ac:dyDescent="0.3">
      <c r="A12304"/>
      <c r="B12304" s="72"/>
      <c r="C12304" s="88"/>
      <c r="E12304" s="72"/>
      <c r="H12304" s="49"/>
      <c r="K12304" s="48"/>
      <c r="L12304" s="89"/>
    </row>
    <row r="12305" spans="1:12" x14ac:dyDescent="0.3">
      <c r="A12305"/>
      <c r="B12305" s="72"/>
      <c r="C12305" s="88"/>
      <c r="E12305" s="72"/>
      <c r="H12305" s="49"/>
      <c r="K12305" s="48"/>
      <c r="L12305" s="89"/>
    </row>
    <row r="12306" spans="1:12" x14ac:dyDescent="0.3">
      <c r="A12306"/>
      <c r="B12306" s="72"/>
      <c r="C12306" s="88"/>
      <c r="E12306" s="72"/>
      <c r="H12306" s="49"/>
      <c r="K12306" s="48"/>
      <c r="L12306" s="89"/>
    </row>
    <row r="12307" spans="1:12" x14ac:dyDescent="0.3">
      <c r="A12307"/>
      <c r="B12307" s="72"/>
      <c r="C12307" s="88"/>
      <c r="E12307" s="72"/>
      <c r="H12307" s="49"/>
      <c r="K12307" s="48"/>
      <c r="L12307" s="89"/>
    </row>
    <row r="12308" spans="1:12" x14ac:dyDescent="0.3">
      <c r="A12308"/>
      <c r="B12308" s="72"/>
      <c r="C12308" s="88"/>
      <c r="E12308" s="72"/>
      <c r="H12308" s="49"/>
      <c r="K12308" s="48"/>
      <c r="L12308" s="89"/>
    </row>
    <row r="12309" spans="1:12" x14ac:dyDescent="0.3">
      <c r="A12309"/>
      <c r="B12309" s="72"/>
      <c r="C12309" s="88"/>
      <c r="E12309" s="72"/>
      <c r="H12309" s="49"/>
      <c r="K12309" s="48"/>
      <c r="L12309" s="89"/>
    </row>
    <row r="12310" spans="1:12" x14ac:dyDescent="0.3">
      <c r="A12310"/>
      <c r="B12310" s="72"/>
      <c r="C12310" s="88"/>
      <c r="E12310" s="72"/>
      <c r="H12310" s="49"/>
      <c r="K12310" s="48"/>
      <c r="L12310" s="89"/>
    </row>
    <row r="12311" spans="1:12" x14ac:dyDescent="0.3">
      <c r="A12311"/>
      <c r="B12311" s="72"/>
      <c r="C12311" s="88"/>
      <c r="E12311" s="72"/>
      <c r="H12311" s="49"/>
      <c r="K12311" s="48"/>
      <c r="L12311" s="89"/>
    </row>
    <row r="12312" spans="1:12" x14ac:dyDescent="0.3">
      <c r="A12312"/>
      <c r="B12312" s="72"/>
      <c r="C12312" s="88"/>
      <c r="E12312" s="72"/>
      <c r="H12312" s="49"/>
      <c r="K12312" s="48"/>
      <c r="L12312" s="89"/>
    </row>
    <row r="12313" spans="1:12" x14ac:dyDescent="0.3">
      <c r="A12313"/>
      <c r="B12313" s="72"/>
      <c r="C12313" s="88"/>
      <c r="E12313" s="72"/>
      <c r="H12313" s="49"/>
      <c r="K12313" s="48"/>
      <c r="L12313" s="89"/>
    </row>
    <row r="12314" spans="1:12" x14ac:dyDescent="0.3">
      <c r="A12314"/>
      <c r="B12314" s="72"/>
      <c r="C12314" s="88"/>
      <c r="E12314" s="72"/>
      <c r="H12314" s="49"/>
      <c r="K12314" s="48"/>
      <c r="L12314" s="89"/>
    </row>
    <row r="12315" spans="1:12" x14ac:dyDescent="0.3">
      <c r="A12315"/>
      <c r="B12315" s="72"/>
      <c r="C12315" s="88"/>
      <c r="E12315" s="72"/>
      <c r="H12315" s="49"/>
      <c r="K12315" s="48"/>
      <c r="L12315" s="89"/>
    </row>
    <row r="12316" spans="1:12" x14ac:dyDescent="0.3">
      <c r="A12316"/>
      <c r="B12316" s="72"/>
      <c r="C12316" s="88"/>
      <c r="E12316" s="72"/>
      <c r="H12316" s="49"/>
      <c r="K12316" s="48"/>
      <c r="L12316" s="89"/>
    </row>
    <row r="12317" spans="1:12" x14ac:dyDescent="0.3">
      <c r="A12317"/>
      <c r="B12317" s="72"/>
      <c r="C12317" s="88"/>
      <c r="E12317" s="72"/>
      <c r="H12317" s="49"/>
      <c r="K12317" s="48"/>
      <c r="L12317" s="89"/>
    </row>
    <row r="12318" spans="1:12" x14ac:dyDescent="0.3">
      <c r="A12318"/>
      <c r="B12318" s="72"/>
      <c r="C12318" s="88"/>
      <c r="E12318" s="72"/>
      <c r="H12318" s="49"/>
      <c r="K12318" s="48"/>
      <c r="L12318" s="89"/>
    </row>
    <row r="12319" spans="1:12" x14ac:dyDescent="0.3">
      <c r="A12319"/>
      <c r="B12319" s="72"/>
      <c r="C12319" s="88"/>
      <c r="E12319" s="72"/>
      <c r="H12319" s="49"/>
      <c r="K12319" s="48"/>
      <c r="L12319" s="89"/>
    </row>
    <row r="12320" spans="1:12" x14ac:dyDescent="0.3">
      <c r="A12320"/>
      <c r="B12320" s="72"/>
      <c r="C12320" s="88"/>
      <c r="E12320" s="72"/>
      <c r="H12320" s="49"/>
      <c r="K12320" s="48"/>
      <c r="L12320" s="89"/>
    </row>
    <row r="12321" spans="1:12" x14ac:dyDescent="0.3">
      <c r="A12321"/>
      <c r="B12321" s="72"/>
      <c r="C12321" s="88"/>
      <c r="E12321" s="72"/>
      <c r="H12321" s="49"/>
      <c r="K12321" s="48"/>
      <c r="L12321" s="89"/>
    </row>
    <row r="12322" spans="1:12" x14ac:dyDescent="0.3">
      <c r="A12322"/>
      <c r="B12322" s="72"/>
      <c r="C12322" s="88"/>
      <c r="E12322" s="72"/>
      <c r="H12322" s="49"/>
      <c r="K12322" s="48"/>
      <c r="L12322" s="89"/>
    </row>
    <row r="12323" spans="1:12" x14ac:dyDescent="0.3">
      <c r="A12323"/>
      <c r="B12323" s="72"/>
      <c r="C12323" s="88"/>
      <c r="E12323" s="72"/>
      <c r="H12323" s="49"/>
      <c r="K12323" s="48"/>
      <c r="L12323" s="89"/>
    </row>
    <row r="12324" spans="1:12" x14ac:dyDescent="0.3">
      <c r="A12324"/>
      <c r="B12324" s="72"/>
      <c r="C12324" s="88"/>
      <c r="E12324" s="72"/>
      <c r="H12324" s="49"/>
      <c r="K12324" s="48"/>
      <c r="L12324" s="89"/>
    </row>
    <row r="12325" spans="1:12" x14ac:dyDescent="0.3">
      <c r="A12325"/>
      <c r="B12325" s="72"/>
      <c r="C12325" s="88"/>
      <c r="E12325" s="72"/>
      <c r="H12325" s="49"/>
      <c r="K12325" s="48"/>
      <c r="L12325" s="89"/>
    </row>
    <row r="12326" spans="1:12" x14ac:dyDescent="0.3">
      <c r="A12326"/>
      <c r="B12326" s="72"/>
      <c r="C12326" s="88"/>
      <c r="E12326" s="72"/>
      <c r="H12326" s="49"/>
      <c r="K12326" s="48"/>
      <c r="L12326" s="89"/>
    </row>
    <row r="12327" spans="1:12" x14ac:dyDescent="0.3">
      <c r="A12327"/>
      <c r="B12327" s="72"/>
      <c r="C12327" s="88"/>
      <c r="E12327" s="72"/>
      <c r="H12327" s="49"/>
      <c r="K12327" s="48"/>
      <c r="L12327" s="89"/>
    </row>
    <row r="12328" spans="1:12" x14ac:dyDescent="0.3">
      <c r="A12328"/>
      <c r="B12328" s="72"/>
      <c r="C12328" s="88"/>
      <c r="E12328" s="72"/>
      <c r="H12328" s="49"/>
      <c r="K12328" s="48"/>
      <c r="L12328" s="89"/>
    </row>
    <row r="12329" spans="1:12" x14ac:dyDescent="0.3">
      <c r="A12329"/>
      <c r="B12329" s="72"/>
      <c r="C12329" s="88"/>
      <c r="E12329" s="72"/>
      <c r="H12329" s="49"/>
      <c r="K12329" s="48"/>
      <c r="L12329" s="89"/>
    </row>
    <row r="12330" spans="1:12" x14ac:dyDescent="0.3">
      <c r="A12330"/>
      <c r="B12330" s="72"/>
      <c r="C12330" s="88"/>
      <c r="E12330" s="72"/>
      <c r="H12330" s="49"/>
      <c r="K12330" s="48"/>
      <c r="L12330" s="89"/>
    </row>
    <row r="12331" spans="1:12" x14ac:dyDescent="0.3">
      <c r="A12331"/>
      <c r="B12331" s="72"/>
      <c r="C12331" s="88"/>
      <c r="E12331" s="72"/>
      <c r="H12331" s="49"/>
      <c r="K12331" s="48"/>
      <c r="L12331" s="89"/>
    </row>
    <row r="12332" spans="1:12" x14ac:dyDescent="0.3">
      <c r="A12332"/>
      <c r="B12332" s="72"/>
      <c r="C12332" s="88"/>
      <c r="E12332" s="72"/>
      <c r="H12332" s="49"/>
      <c r="K12332" s="48"/>
      <c r="L12332" s="89"/>
    </row>
    <row r="12333" spans="1:12" x14ac:dyDescent="0.3">
      <c r="A12333"/>
      <c r="B12333" s="72"/>
      <c r="C12333" s="88"/>
      <c r="E12333" s="72"/>
      <c r="H12333" s="49"/>
      <c r="K12333" s="48"/>
      <c r="L12333" s="89"/>
    </row>
    <row r="12334" spans="1:12" x14ac:dyDescent="0.3">
      <c r="A12334"/>
      <c r="B12334" s="72"/>
      <c r="C12334" s="88"/>
      <c r="E12334" s="72"/>
      <c r="H12334" s="49"/>
      <c r="K12334" s="48"/>
      <c r="L12334" s="89"/>
    </row>
    <row r="12335" spans="1:12" x14ac:dyDescent="0.3">
      <c r="A12335"/>
      <c r="B12335" s="72"/>
      <c r="C12335" s="88"/>
      <c r="E12335" s="72"/>
      <c r="G12335"/>
      <c r="H12335" s="49"/>
      <c r="K12335" s="48"/>
      <c r="L12335" s="89"/>
    </row>
    <row r="12336" spans="1:12" x14ac:dyDescent="0.3">
      <c r="A12336"/>
      <c r="B12336" s="72"/>
      <c r="C12336" s="88"/>
      <c r="E12336" s="72"/>
      <c r="G12336"/>
      <c r="H12336" s="49"/>
      <c r="K12336" s="48"/>
      <c r="L12336" s="89"/>
    </row>
    <row r="12337" spans="1:12" x14ac:dyDescent="0.3">
      <c r="A12337"/>
      <c r="B12337" s="72"/>
      <c r="C12337" s="88"/>
      <c r="E12337" s="72"/>
      <c r="G12337"/>
      <c r="H12337" s="49"/>
      <c r="K12337" s="48"/>
      <c r="L12337" s="89"/>
    </row>
    <row r="12338" spans="1:12" x14ac:dyDescent="0.3">
      <c r="A12338"/>
      <c r="B12338" s="72"/>
      <c r="C12338" s="88"/>
      <c r="E12338" s="72"/>
      <c r="G12338"/>
      <c r="H12338" s="49"/>
      <c r="K12338" s="48"/>
      <c r="L12338" s="89"/>
    </row>
    <row r="12339" spans="1:12" x14ac:dyDescent="0.3">
      <c r="A12339"/>
      <c r="B12339" s="72"/>
      <c r="C12339" s="88"/>
      <c r="E12339" s="72"/>
      <c r="G12339"/>
      <c r="H12339" s="49"/>
      <c r="K12339" s="48"/>
      <c r="L12339" s="89"/>
    </row>
    <row r="12340" spans="1:12" x14ac:dyDescent="0.3">
      <c r="A12340"/>
      <c r="B12340" s="72"/>
      <c r="C12340" s="88"/>
      <c r="E12340" s="72"/>
      <c r="G12340"/>
      <c r="H12340" s="49"/>
      <c r="K12340" s="48"/>
      <c r="L12340" s="89"/>
    </row>
    <row r="12341" spans="1:12" x14ac:dyDescent="0.3">
      <c r="A12341"/>
      <c r="B12341" s="72"/>
      <c r="C12341" s="88"/>
      <c r="E12341" s="72"/>
      <c r="G12341"/>
      <c r="H12341" s="49"/>
      <c r="K12341" s="48"/>
      <c r="L12341" s="89"/>
    </row>
    <row r="12342" spans="1:12" x14ac:dyDescent="0.3">
      <c r="A12342"/>
      <c r="B12342" s="72"/>
      <c r="C12342" s="88"/>
      <c r="E12342" s="72"/>
      <c r="G12342"/>
      <c r="H12342" s="49"/>
      <c r="K12342" s="48"/>
      <c r="L12342" s="89"/>
    </row>
    <row r="12343" spans="1:12" x14ac:dyDescent="0.3">
      <c r="A12343"/>
      <c r="B12343" s="72"/>
      <c r="C12343" s="88"/>
      <c r="E12343" s="72"/>
      <c r="G12343"/>
      <c r="H12343" s="49"/>
      <c r="K12343" s="48"/>
      <c r="L12343" s="89"/>
    </row>
    <row r="12344" spans="1:12" x14ac:dyDescent="0.3">
      <c r="A12344"/>
      <c r="B12344" s="72"/>
      <c r="C12344" s="88"/>
      <c r="E12344" s="72"/>
      <c r="G12344"/>
      <c r="H12344" s="49"/>
      <c r="K12344" s="48"/>
      <c r="L12344" s="89"/>
    </row>
    <row r="12345" spans="1:12" x14ac:dyDescent="0.3">
      <c r="A12345"/>
      <c r="B12345" s="72"/>
      <c r="C12345" s="88"/>
      <c r="E12345" s="72"/>
      <c r="G12345"/>
      <c r="H12345" s="49"/>
      <c r="K12345" s="48"/>
      <c r="L12345" s="89"/>
    </row>
    <row r="12346" spans="1:12" x14ac:dyDescent="0.3">
      <c r="A12346"/>
      <c r="B12346" s="72"/>
      <c r="C12346" s="88"/>
      <c r="E12346" s="72"/>
      <c r="G12346"/>
      <c r="H12346" s="49"/>
      <c r="K12346" s="48"/>
      <c r="L12346" s="89"/>
    </row>
    <row r="12347" spans="1:12" x14ac:dyDescent="0.3">
      <c r="A12347"/>
      <c r="B12347" s="72"/>
      <c r="C12347" s="88"/>
      <c r="E12347" s="72"/>
      <c r="G12347"/>
      <c r="H12347" s="49"/>
      <c r="K12347" s="48"/>
      <c r="L12347" s="89"/>
    </row>
    <row r="12348" spans="1:12" x14ac:dyDescent="0.3">
      <c r="A12348"/>
      <c r="B12348" s="72"/>
      <c r="C12348" s="88"/>
      <c r="E12348" s="72"/>
      <c r="G12348"/>
      <c r="H12348" s="49"/>
      <c r="K12348" s="48"/>
      <c r="L12348" s="89"/>
    </row>
    <row r="12349" spans="1:12" x14ac:dyDescent="0.3">
      <c r="A12349"/>
      <c r="B12349" s="72"/>
      <c r="C12349" s="88"/>
      <c r="E12349" s="72"/>
      <c r="G12349"/>
      <c r="H12349" s="49"/>
      <c r="K12349" s="48"/>
      <c r="L12349" s="89"/>
    </row>
    <row r="12350" spans="1:12" x14ac:dyDescent="0.3">
      <c r="A12350"/>
      <c r="B12350" s="72"/>
      <c r="C12350" s="88"/>
      <c r="E12350" s="72"/>
      <c r="G12350"/>
      <c r="H12350" s="49"/>
      <c r="K12350" s="48"/>
      <c r="L12350" s="89"/>
    </row>
    <row r="12351" spans="1:12" x14ac:dyDescent="0.3">
      <c r="A12351"/>
      <c r="B12351" s="72"/>
      <c r="C12351" s="88"/>
      <c r="E12351" s="72"/>
      <c r="G12351"/>
      <c r="H12351" s="49"/>
      <c r="K12351" s="48"/>
      <c r="L12351" s="89"/>
    </row>
    <row r="12352" spans="1:12" x14ac:dyDescent="0.3">
      <c r="A12352"/>
      <c r="B12352" s="72"/>
      <c r="C12352" s="88"/>
      <c r="E12352" s="72"/>
      <c r="G12352"/>
      <c r="H12352" s="49"/>
      <c r="K12352" s="48"/>
      <c r="L12352" s="89"/>
    </row>
    <row r="12353" spans="1:12" x14ac:dyDescent="0.3">
      <c r="A12353"/>
      <c r="B12353" s="72"/>
      <c r="C12353" s="88"/>
      <c r="E12353" s="72"/>
      <c r="G12353"/>
      <c r="H12353" s="49"/>
      <c r="K12353" s="48"/>
      <c r="L12353" s="89"/>
    </row>
    <row r="12354" spans="1:12" x14ac:dyDescent="0.3">
      <c r="A12354"/>
      <c r="B12354" s="72"/>
      <c r="C12354" s="88"/>
      <c r="E12354" s="72"/>
      <c r="G12354"/>
      <c r="H12354" s="49"/>
      <c r="K12354" s="48"/>
      <c r="L12354" s="89"/>
    </row>
    <row r="12355" spans="1:12" x14ac:dyDescent="0.3">
      <c r="A12355"/>
      <c r="B12355" s="72"/>
      <c r="C12355" s="88"/>
      <c r="E12355" s="72"/>
      <c r="G12355"/>
      <c r="H12355" s="49"/>
      <c r="K12355" s="48"/>
      <c r="L12355" s="89"/>
    </row>
    <row r="12356" spans="1:12" x14ac:dyDescent="0.3">
      <c r="A12356"/>
      <c r="B12356" s="72"/>
      <c r="C12356" s="88"/>
      <c r="E12356" s="72"/>
      <c r="G12356"/>
      <c r="H12356" s="49"/>
      <c r="K12356" s="48"/>
      <c r="L12356" s="89"/>
    </row>
    <row r="12357" spans="1:12" x14ac:dyDescent="0.3">
      <c r="A12357"/>
      <c r="B12357" s="72"/>
      <c r="C12357" s="88"/>
      <c r="E12357" s="72"/>
      <c r="G12357"/>
      <c r="H12357" s="49"/>
      <c r="K12357" s="48"/>
      <c r="L12357" s="89"/>
    </row>
    <row r="12358" spans="1:12" x14ac:dyDescent="0.3">
      <c r="A12358"/>
      <c r="B12358" s="72"/>
      <c r="C12358" s="88"/>
      <c r="E12358" s="72"/>
      <c r="G12358"/>
      <c r="H12358" s="49"/>
      <c r="K12358" s="48"/>
      <c r="L12358" s="89"/>
    </row>
    <row r="12359" spans="1:12" x14ac:dyDescent="0.3">
      <c r="A12359"/>
      <c r="B12359" s="72"/>
      <c r="C12359" s="88"/>
      <c r="E12359" s="72"/>
      <c r="G12359"/>
      <c r="H12359" s="49"/>
      <c r="K12359" s="48"/>
      <c r="L12359" s="89"/>
    </row>
    <row r="12360" spans="1:12" x14ac:dyDescent="0.3">
      <c r="A12360"/>
      <c r="B12360" s="72"/>
      <c r="C12360" s="88"/>
      <c r="E12360" s="72"/>
      <c r="H12360" s="49"/>
      <c r="K12360" s="48"/>
      <c r="L12360" s="89"/>
    </row>
    <row r="12361" spans="1:12" x14ac:dyDescent="0.3">
      <c r="A12361"/>
      <c r="B12361" s="72"/>
      <c r="C12361" s="88"/>
      <c r="E12361" s="72"/>
      <c r="H12361" s="49"/>
      <c r="K12361" s="48"/>
      <c r="L12361" s="89"/>
    </row>
    <row r="12362" spans="1:12" x14ac:dyDescent="0.3">
      <c r="A12362"/>
      <c r="B12362" s="72"/>
      <c r="C12362" s="88"/>
      <c r="E12362" s="72"/>
      <c r="H12362" s="49"/>
      <c r="K12362" s="48"/>
      <c r="L12362" s="89"/>
    </row>
    <row r="12363" spans="1:12" x14ac:dyDescent="0.3">
      <c r="A12363"/>
      <c r="B12363" s="72"/>
      <c r="C12363" s="88"/>
      <c r="E12363" s="72"/>
      <c r="H12363" s="49"/>
      <c r="K12363" s="48"/>
      <c r="L12363" s="89"/>
    </row>
    <row r="12364" spans="1:12" x14ac:dyDescent="0.3">
      <c r="A12364"/>
      <c r="B12364" s="72"/>
      <c r="C12364" s="88"/>
      <c r="E12364" s="72"/>
      <c r="H12364" s="49"/>
      <c r="K12364" s="48"/>
      <c r="L12364" s="89"/>
    </row>
    <row r="12365" spans="1:12" x14ac:dyDescent="0.3">
      <c r="A12365"/>
      <c r="B12365" s="72"/>
      <c r="C12365" s="88"/>
      <c r="E12365" s="72"/>
      <c r="H12365" s="49"/>
      <c r="K12365" s="48"/>
      <c r="L12365" s="89"/>
    </row>
    <row r="12366" spans="1:12" x14ac:dyDescent="0.3">
      <c r="A12366"/>
      <c r="B12366" s="72"/>
      <c r="C12366" s="88"/>
      <c r="E12366" s="72"/>
      <c r="H12366" s="49"/>
      <c r="K12366" s="48"/>
      <c r="L12366" s="89"/>
    </row>
    <row r="12367" spans="1:12" x14ac:dyDescent="0.3">
      <c r="A12367"/>
      <c r="B12367" s="72"/>
      <c r="C12367" s="88"/>
      <c r="E12367" s="72"/>
      <c r="H12367" s="49"/>
      <c r="K12367" s="48"/>
      <c r="L12367" s="89"/>
    </row>
    <row r="12368" spans="1:12" x14ac:dyDescent="0.3">
      <c r="A12368"/>
      <c r="B12368" s="72"/>
      <c r="C12368" s="88"/>
      <c r="E12368" s="72"/>
      <c r="H12368" s="49"/>
      <c r="K12368" s="48"/>
      <c r="L12368" s="89"/>
    </row>
    <row r="12369" spans="1:12" x14ac:dyDescent="0.3">
      <c r="A12369"/>
      <c r="B12369" s="72"/>
      <c r="C12369" s="88"/>
      <c r="E12369" s="72"/>
      <c r="H12369" s="49"/>
      <c r="K12369" s="48"/>
      <c r="L12369" s="89"/>
    </row>
    <row r="12370" spans="1:12" x14ac:dyDescent="0.3">
      <c r="A12370"/>
      <c r="B12370" s="72"/>
      <c r="C12370" s="88"/>
      <c r="E12370" s="72"/>
      <c r="H12370" s="49"/>
      <c r="K12370" s="48"/>
      <c r="L12370" s="89"/>
    </row>
    <row r="12371" spans="1:12" x14ac:dyDescent="0.3">
      <c r="A12371"/>
      <c r="B12371" s="72"/>
      <c r="C12371" s="88"/>
      <c r="E12371" s="72"/>
      <c r="H12371" s="49"/>
      <c r="K12371" s="48"/>
      <c r="L12371" s="89"/>
    </row>
    <row r="12372" spans="1:12" x14ac:dyDescent="0.3">
      <c r="A12372"/>
      <c r="B12372" s="72"/>
      <c r="C12372" s="88"/>
      <c r="E12372" s="72"/>
      <c r="H12372" s="49"/>
      <c r="K12372" s="48"/>
      <c r="L12372" s="89"/>
    </row>
    <row r="12373" spans="1:12" x14ac:dyDescent="0.3">
      <c r="A12373"/>
      <c r="B12373" s="72"/>
      <c r="C12373" s="88"/>
      <c r="E12373" s="72"/>
      <c r="H12373" s="49"/>
      <c r="K12373" s="48"/>
      <c r="L12373" s="89"/>
    </row>
    <row r="12374" spans="1:12" x14ac:dyDescent="0.3">
      <c r="A12374"/>
      <c r="B12374" s="72"/>
      <c r="C12374" s="88"/>
      <c r="E12374" s="72"/>
      <c r="H12374" s="49"/>
      <c r="K12374" s="48"/>
      <c r="L12374" s="89"/>
    </row>
    <row r="12375" spans="1:12" x14ac:dyDescent="0.3">
      <c r="A12375"/>
      <c r="B12375" s="72"/>
      <c r="C12375" s="88"/>
      <c r="E12375" s="72"/>
      <c r="H12375" s="49"/>
      <c r="K12375" s="48"/>
      <c r="L12375" s="89"/>
    </row>
    <row r="12376" spans="1:12" x14ac:dyDescent="0.3">
      <c r="A12376"/>
      <c r="B12376" s="72"/>
      <c r="C12376" s="88"/>
      <c r="E12376" s="72"/>
      <c r="H12376" s="49"/>
      <c r="K12376" s="48"/>
      <c r="L12376" s="89"/>
    </row>
    <row r="12377" spans="1:12" x14ac:dyDescent="0.3">
      <c r="A12377"/>
      <c r="B12377" s="72"/>
      <c r="C12377" s="88"/>
      <c r="E12377" s="72"/>
      <c r="H12377" s="49"/>
      <c r="K12377" s="48"/>
      <c r="L12377" s="89"/>
    </row>
    <row r="12378" spans="1:12" x14ac:dyDescent="0.3">
      <c r="A12378"/>
      <c r="B12378" s="72"/>
      <c r="C12378" s="88"/>
      <c r="E12378" s="72"/>
      <c r="H12378" s="49"/>
      <c r="K12378" s="48"/>
      <c r="L12378" s="89"/>
    </row>
    <row r="12379" spans="1:12" x14ac:dyDescent="0.3">
      <c r="A12379"/>
      <c r="B12379" s="72"/>
      <c r="C12379" s="88"/>
      <c r="E12379" s="72"/>
      <c r="H12379" s="49"/>
      <c r="K12379" s="48"/>
      <c r="L12379" s="89"/>
    </row>
    <row r="12380" spans="1:12" x14ac:dyDescent="0.3">
      <c r="A12380"/>
      <c r="B12380" s="72"/>
      <c r="C12380" s="88"/>
      <c r="E12380" s="72"/>
      <c r="H12380" s="49"/>
      <c r="K12380" s="48"/>
      <c r="L12380" s="89"/>
    </row>
    <row r="12381" spans="1:12" x14ac:dyDescent="0.3">
      <c r="A12381"/>
      <c r="B12381" s="72"/>
      <c r="C12381" s="88"/>
      <c r="E12381" s="72"/>
      <c r="H12381" s="49"/>
      <c r="K12381" s="48"/>
      <c r="L12381" s="89"/>
    </row>
    <row r="12382" spans="1:12" x14ac:dyDescent="0.3">
      <c r="A12382"/>
      <c r="B12382" s="72"/>
      <c r="C12382" s="88"/>
      <c r="E12382" s="72"/>
      <c r="H12382" s="49"/>
      <c r="K12382" s="48"/>
      <c r="L12382" s="89"/>
    </row>
    <row r="12383" spans="1:12" x14ac:dyDescent="0.3">
      <c r="A12383"/>
      <c r="B12383" s="72"/>
      <c r="C12383" s="88"/>
      <c r="E12383" s="72"/>
      <c r="H12383" s="49"/>
      <c r="K12383" s="48"/>
      <c r="L12383" s="89"/>
    </row>
    <row r="12384" spans="1:12" x14ac:dyDescent="0.3">
      <c r="A12384"/>
      <c r="B12384" s="72"/>
      <c r="C12384" s="88"/>
      <c r="E12384" s="72"/>
      <c r="H12384" s="49"/>
      <c r="K12384" s="48"/>
      <c r="L12384" s="89"/>
    </row>
    <row r="12385" spans="1:12" x14ac:dyDescent="0.3">
      <c r="A12385"/>
      <c r="B12385" s="72"/>
      <c r="C12385" s="88"/>
      <c r="E12385" s="72"/>
      <c r="H12385" s="49"/>
      <c r="K12385" s="48"/>
      <c r="L12385" s="89"/>
    </row>
    <row r="12386" spans="1:12" x14ac:dyDescent="0.3">
      <c r="A12386"/>
      <c r="B12386" s="72"/>
      <c r="C12386" s="88"/>
      <c r="E12386" s="72"/>
      <c r="H12386" s="49"/>
      <c r="K12386" s="48"/>
      <c r="L12386" s="89"/>
    </row>
    <row r="12387" spans="1:12" x14ac:dyDescent="0.3">
      <c r="A12387"/>
      <c r="B12387" s="72"/>
      <c r="C12387" s="88"/>
      <c r="E12387" s="72"/>
      <c r="H12387" s="49"/>
      <c r="K12387" s="48"/>
      <c r="L12387" s="89"/>
    </row>
    <row r="12388" spans="1:12" x14ac:dyDescent="0.3">
      <c r="A12388"/>
      <c r="B12388" s="72"/>
      <c r="C12388" s="88"/>
      <c r="E12388" s="72"/>
      <c r="H12388" s="49"/>
      <c r="K12388" s="48"/>
      <c r="L12388" s="89"/>
    </row>
    <row r="12389" spans="1:12" x14ac:dyDescent="0.3">
      <c r="A12389"/>
      <c r="B12389" s="72"/>
      <c r="C12389" s="88"/>
      <c r="E12389" s="72"/>
      <c r="H12389" s="49"/>
      <c r="K12389" s="48"/>
      <c r="L12389" s="89"/>
    </row>
    <row r="12390" spans="1:12" x14ac:dyDescent="0.3">
      <c r="A12390"/>
      <c r="B12390" s="72"/>
      <c r="C12390" s="88"/>
      <c r="E12390" s="72"/>
      <c r="H12390" s="49"/>
      <c r="K12390" s="48"/>
      <c r="L12390" s="89"/>
    </row>
    <row r="12391" spans="1:12" x14ac:dyDescent="0.3">
      <c r="A12391"/>
      <c r="B12391" s="72"/>
      <c r="C12391" s="88"/>
      <c r="E12391" s="72"/>
      <c r="H12391" s="49"/>
      <c r="K12391" s="48"/>
      <c r="L12391" s="89"/>
    </row>
    <row r="12392" spans="1:12" x14ac:dyDescent="0.3">
      <c r="A12392"/>
      <c r="B12392" s="72"/>
      <c r="C12392" s="88"/>
      <c r="E12392" s="72"/>
      <c r="H12392" s="49"/>
      <c r="K12392" s="48"/>
      <c r="L12392" s="89"/>
    </row>
    <row r="12393" spans="1:12" x14ac:dyDescent="0.3">
      <c r="A12393"/>
      <c r="B12393" s="72"/>
      <c r="C12393" s="88"/>
      <c r="E12393" s="72"/>
      <c r="H12393" s="49"/>
      <c r="K12393" s="48"/>
      <c r="L12393" s="89"/>
    </row>
    <row r="12394" spans="1:12" x14ac:dyDescent="0.3">
      <c r="A12394"/>
      <c r="B12394" s="72"/>
      <c r="C12394" s="88"/>
      <c r="E12394" s="72"/>
      <c r="H12394" s="49"/>
      <c r="K12394" s="48"/>
      <c r="L12394" s="89"/>
    </row>
    <row r="12395" spans="1:12" x14ac:dyDescent="0.3">
      <c r="A12395"/>
      <c r="B12395" s="72"/>
      <c r="C12395" s="88"/>
      <c r="E12395" s="72"/>
      <c r="H12395" s="49"/>
      <c r="K12395" s="48"/>
      <c r="L12395" s="89"/>
    </row>
    <row r="12396" spans="1:12" x14ac:dyDescent="0.3">
      <c r="A12396"/>
      <c r="B12396" s="72"/>
      <c r="C12396" s="88"/>
      <c r="E12396" s="72"/>
      <c r="H12396" s="49"/>
      <c r="K12396" s="48"/>
      <c r="L12396" s="89"/>
    </row>
    <row r="12397" spans="1:12" x14ac:dyDescent="0.3">
      <c r="A12397"/>
      <c r="B12397" s="72"/>
      <c r="C12397" s="88"/>
      <c r="E12397" s="72"/>
      <c r="H12397" s="49"/>
      <c r="K12397" s="48"/>
      <c r="L12397" s="89"/>
    </row>
    <row r="12398" spans="1:12" x14ac:dyDescent="0.3">
      <c r="A12398"/>
      <c r="B12398" s="72"/>
      <c r="C12398" s="88"/>
      <c r="E12398" s="72"/>
      <c r="H12398" s="49"/>
      <c r="K12398" s="48"/>
      <c r="L12398" s="89"/>
    </row>
    <row r="12399" spans="1:12" x14ac:dyDescent="0.3">
      <c r="A12399"/>
      <c r="B12399" s="72"/>
      <c r="C12399" s="88"/>
      <c r="E12399" s="72"/>
      <c r="H12399" s="49"/>
      <c r="K12399" s="48"/>
      <c r="L12399" s="89"/>
    </row>
    <row r="12400" spans="1:12" x14ac:dyDescent="0.3">
      <c r="A12400"/>
      <c r="B12400" s="72"/>
      <c r="C12400" s="88"/>
      <c r="E12400" s="72"/>
      <c r="H12400" s="49"/>
      <c r="K12400" s="48"/>
      <c r="L12400" s="89"/>
    </row>
    <row r="12401" spans="1:12" x14ac:dyDescent="0.3">
      <c r="A12401"/>
      <c r="B12401" s="72"/>
      <c r="C12401" s="88"/>
      <c r="E12401" s="72"/>
      <c r="H12401" s="49"/>
      <c r="K12401" s="48"/>
      <c r="L12401" s="89"/>
    </row>
    <row r="12402" spans="1:12" x14ac:dyDescent="0.3">
      <c r="A12402"/>
      <c r="B12402" s="72"/>
      <c r="C12402" s="88"/>
      <c r="E12402" s="72"/>
      <c r="H12402" s="49"/>
      <c r="K12402" s="48"/>
      <c r="L12402" s="89"/>
    </row>
    <row r="12403" spans="1:12" x14ac:dyDescent="0.3">
      <c r="A12403"/>
      <c r="B12403" s="72"/>
      <c r="C12403" s="88"/>
      <c r="E12403" s="72"/>
      <c r="H12403" s="49"/>
      <c r="K12403" s="48"/>
      <c r="L12403" s="89"/>
    </row>
    <row r="12404" spans="1:12" x14ac:dyDescent="0.3">
      <c r="A12404"/>
      <c r="B12404" s="72"/>
      <c r="C12404" s="88"/>
      <c r="E12404" s="72"/>
      <c r="H12404" s="49"/>
      <c r="K12404" s="48"/>
      <c r="L12404" s="89"/>
    </row>
    <row r="12405" spans="1:12" x14ac:dyDescent="0.3">
      <c r="A12405"/>
      <c r="B12405" s="72"/>
      <c r="C12405" s="88"/>
      <c r="E12405" s="72"/>
      <c r="H12405" s="49"/>
      <c r="K12405" s="48"/>
      <c r="L12405" s="89"/>
    </row>
    <row r="12406" spans="1:12" x14ac:dyDescent="0.3">
      <c r="A12406"/>
      <c r="B12406" s="72"/>
      <c r="C12406" s="88"/>
      <c r="E12406" s="72"/>
      <c r="H12406" s="49"/>
      <c r="K12406" s="48"/>
      <c r="L12406" s="89"/>
    </row>
    <row r="12407" spans="1:12" x14ac:dyDescent="0.3">
      <c r="A12407"/>
      <c r="B12407" s="72"/>
      <c r="C12407" s="88"/>
      <c r="E12407" s="72"/>
      <c r="H12407" s="49"/>
      <c r="K12407" s="48"/>
      <c r="L12407" s="89"/>
    </row>
    <row r="12408" spans="1:12" x14ac:dyDescent="0.3">
      <c r="A12408"/>
      <c r="B12408" s="72"/>
      <c r="C12408" s="88"/>
      <c r="E12408" s="72"/>
      <c r="H12408" s="49"/>
      <c r="K12408" s="48"/>
      <c r="L12408" s="89"/>
    </row>
    <row r="12409" spans="1:12" x14ac:dyDescent="0.3">
      <c r="A12409"/>
      <c r="B12409" s="72"/>
      <c r="C12409" s="88"/>
      <c r="E12409" s="72"/>
      <c r="H12409" s="49"/>
      <c r="K12409" s="48"/>
      <c r="L12409" s="89"/>
    </row>
    <row r="12410" spans="1:12" x14ac:dyDescent="0.3">
      <c r="A12410"/>
      <c r="B12410" s="72"/>
      <c r="C12410" s="88"/>
      <c r="E12410" s="72"/>
      <c r="H12410" s="49"/>
      <c r="K12410" s="48"/>
      <c r="L12410" s="89"/>
    </row>
    <row r="12411" spans="1:12" x14ac:dyDescent="0.3">
      <c r="A12411"/>
      <c r="B12411" s="72"/>
      <c r="C12411" s="88"/>
      <c r="E12411" s="72"/>
      <c r="H12411" s="49"/>
      <c r="K12411" s="48"/>
      <c r="L12411" s="89"/>
    </row>
    <row r="12412" spans="1:12" x14ac:dyDescent="0.3">
      <c r="A12412"/>
      <c r="B12412" s="72"/>
      <c r="C12412" s="88"/>
      <c r="E12412" s="72"/>
      <c r="H12412" s="49"/>
      <c r="K12412" s="48"/>
      <c r="L12412" s="89"/>
    </row>
    <row r="12413" spans="1:12" x14ac:dyDescent="0.3">
      <c r="A12413"/>
      <c r="B12413" s="72"/>
      <c r="C12413" s="88"/>
      <c r="E12413" s="72"/>
      <c r="H12413" s="49"/>
      <c r="K12413" s="48"/>
      <c r="L12413" s="89"/>
    </row>
    <row r="12414" spans="1:12" x14ac:dyDescent="0.3">
      <c r="A12414"/>
      <c r="B12414" s="72"/>
      <c r="C12414" s="88"/>
      <c r="E12414" s="72"/>
      <c r="H12414" s="49"/>
      <c r="K12414" s="48"/>
      <c r="L12414" s="89"/>
    </row>
    <row r="12415" spans="1:12" x14ac:dyDescent="0.3">
      <c r="A12415"/>
      <c r="B12415" s="72"/>
      <c r="C12415" s="88"/>
      <c r="E12415" s="72"/>
      <c r="H12415" s="49"/>
      <c r="K12415" s="48"/>
      <c r="L12415" s="89"/>
    </row>
    <row r="12416" spans="1:12" x14ac:dyDescent="0.3">
      <c r="A12416"/>
      <c r="B12416" s="72"/>
      <c r="C12416" s="88"/>
      <c r="E12416" s="72"/>
      <c r="H12416" s="49"/>
      <c r="K12416" s="48"/>
      <c r="L12416" s="89"/>
    </row>
    <row r="12417" spans="1:12" x14ac:dyDescent="0.3">
      <c r="A12417"/>
      <c r="B12417" s="72"/>
      <c r="C12417" s="88"/>
      <c r="E12417" s="72"/>
      <c r="H12417" s="49"/>
      <c r="K12417" s="48"/>
      <c r="L12417" s="89"/>
    </row>
    <row r="12418" spans="1:12" x14ac:dyDescent="0.3">
      <c r="A12418"/>
      <c r="B12418" s="72"/>
      <c r="C12418" s="88"/>
      <c r="E12418" s="72"/>
      <c r="H12418" s="49"/>
      <c r="K12418" s="48"/>
      <c r="L12418" s="89"/>
    </row>
    <row r="12419" spans="1:12" x14ac:dyDescent="0.3">
      <c r="A12419"/>
      <c r="B12419" s="72"/>
      <c r="C12419" s="88"/>
      <c r="E12419" s="72"/>
      <c r="H12419" s="49"/>
      <c r="K12419" s="48"/>
      <c r="L12419" s="89"/>
    </row>
    <row r="12420" spans="1:12" x14ac:dyDescent="0.3">
      <c r="A12420"/>
      <c r="B12420" s="72"/>
      <c r="C12420" s="88"/>
      <c r="E12420" s="72"/>
      <c r="H12420" s="49"/>
      <c r="K12420" s="48"/>
      <c r="L12420" s="89"/>
    </row>
    <row r="12421" spans="1:12" x14ac:dyDescent="0.3">
      <c r="A12421"/>
      <c r="B12421" s="72"/>
      <c r="C12421" s="88"/>
      <c r="E12421" s="72"/>
      <c r="H12421" s="49"/>
      <c r="K12421" s="48"/>
      <c r="L12421" s="89"/>
    </row>
    <row r="12422" spans="1:12" x14ac:dyDescent="0.3">
      <c r="A12422"/>
      <c r="B12422" s="72"/>
      <c r="C12422" s="88"/>
      <c r="E12422" s="72"/>
      <c r="H12422" s="49"/>
      <c r="K12422" s="48"/>
      <c r="L12422" s="89"/>
    </row>
    <row r="12423" spans="1:12" x14ac:dyDescent="0.3">
      <c r="A12423"/>
      <c r="B12423" s="72"/>
      <c r="C12423" s="88"/>
      <c r="E12423" s="72"/>
      <c r="H12423" s="49"/>
      <c r="K12423" s="48"/>
      <c r="L12423" s="89"/>
    </row>
    <row r="12424" spans="1:12" x14ac:dyDescent="0.3">
      <c r="A12424"/>
      <c r="B12424" s="72"/>
      <c r="C12424" s="88"/>
      <c r="E12424" s="72"/>
      <c r="H12424" s="49"/>
      <c r="K12424" s="48"/>
      <c r="L12424" s="89"/>
    </row>
    <row r="12425" spans="1:12" x14ac:dyDescent="0.3">
      <c r="A12425"/>
      <c r="B12425" s="72"/>
      <c r="C12425" s="88"/>
      <c r="E12425" s="72"/>
      <c r="H12425" s="49"/>
      <c r="K12425" s="48"/>
      <c r="L12425" s="89"/>
    </row>
    <row r="12426" spans="1:12" x14ac:dyDescent="0.3">
      <c r="A12426"/>
      <c r="B12426" s="72"/>
      <c r="C12426" s="88"/>
      <c r="E12426" s="72"/>
      <c r="H12426" s="49"/>
      <c r="K12426" s="48"/>
      <c r="L12426" s="89"/>
    </row>
    <row r="12427" spans="1:12" x14ac:dyDescent="0.3">
      <c r="A12427"/>
      <c r="B12427" s="72"/>
      <c r="C12427" s="88"/>
      <c r="E12427" s="72"/>
      <c r="H12427" s="49"/>
      <c r="K12427" s="48"/>
      <c r="L12427" s="89"/>
    </row>
    <row r="12428" spans="1:12" x14ac:dyDescent="0.3">
      <c r="A12428"/>
      <c r="B12428" s="72"/>
      <c r="C12428" s="88"/>
      <c r="E12428" s="72"/>
      <c r="H12428" s="49"/>
      <c r="K12428" s="48"/>
      <c r="L12428" s="89"/>
    </row>
    <row r="12429" spans="1:12" x14ac:dyDescent="0.3">
      <c r="A12429"/>
      <c r="B12429" s="72"/>
      <c r="C12429" s="88"/>
      <c r="E12429" s="72"/>
      <c r="H12429" s="49"/>
      <c r="K12429" s="48"/>
      <c r="L12429" s="89"/>
    </row>
    <row r="12430" spans="1:12" x14ac:dyDescent="0.3">
      <c r="A12430"/>
      <c r="B12430" s="72"/>
      <c r="C12430" s="88"/>
      <c r="E12430" s="72"/>
      <c r="H12430" s="49"/>
      <c r="K12430" s="48"/>
      <c r="L12430" s="89"/>
    </row>
    <row r="12431" spans="1:12" x14ac:dyDescent="0.3">
      <c r="A12431"/>
      <c r="B12431" s="72"/>
      <c r="C12431" s="88"/>
      <c r="E12431" s="72"/>
      <c r="H12431" s="49"/>
      <c r="K12431" s="48"/>
      <c r="L12431" s="89"/>
    </row>
    <row r="12432" spans="1:12" x14ac:dyDescent="0.3">
      <c r="A12432"/>
      <c r="B12432" s="72"/>
      <c r="C12432" s="88"/>
      <c r="E12432" s="72"/>
      <c r="H12432" s="49"/>
      <c r="K12432" s="48"/>
      <c r="L12432" s="89"/>
    </row>
    <row r="12433" spans="1:12" x14ac:dyDescent="0.3">
      <c r="A12433"/>
      <c r="B12433" s="72"/>
      <c r="C12433" s="88"/>
      <c r="E12433" s="72"/>
      <c r="H12433" s="49"/>
      <c r="K12433" s="48"/>
      <c r="L12433" s="89"/>
    </row>
    <row r="12434" spans="1:12" x14ac:dyDescent="0.3">
      <c r="A12434"/>
      <c r="B12434" s="72"/>
      <c r="C12434" s="88"/>
      <c r="E12434" s="72"/>
      <c r="H12434" s="49"/>
      <c r="K12434" s="48"/>
      <c r="L12434" s="89"/>
    </row>
    <row r="12435" spans="1:12" x14ac:dyDescent="0.3">
      <c r="A12435"/>
      <c r="B12435" s="72"/>
      <c r="C12435" s="88"/>
      <c r="E12435" s="72"/>
      <c r="H12435" s="49"/>
      <c r="K12435" s="48"/>
      <c r="L12435" s="89"/>
    </row>
    <row r="12436" spans="1:12" x14ac:dyDescent="0.3">
      <c r="A12436"/>
      <c r="B12436" s="72"/>
      <c r="C12436" s="88"/>
      <c r="E12436" s="72"/>
      <c r="H12436" s="49"/>
      <c r="K12436" s="48"/>
      <c r="L12436" s="89"/>
    </row>
    <row r="12437" spans="1:12" x14ac:dyDescent="0.3">
      <c r="A12437"/>
      <c r="B12437" s="72"/>
      <c r="C12437" s="88"/>
      <c r="E12437" s="72"/>
      <c r="H12437" s="49"/>
      <c r="K12437" s="48"/>
      <c r="L12437" s="89"/>
    </row>
    <row r="12438" spans="1:12" x14ac:dyDescent="0.3">
      <c r="A12438"/>
      <c r="B12438" s="72"/>
      <c r="C12438" s="88"/>
      <c r="E12438" s="72"/>
      <c r="H12438" s="49"/>
      <c r="K12438" s="48"/>
      <c r="L12438" s="89"/>
    </row>
    <row r="12439" spans="1:12" x14ac:dyDescent="0.3">
      <c r="A12439"/>
      <c r="B12439" s="72"/>
      <c r="C12439" s="88"/>
      <c r="E12439" s="72"/>
      <c r="H12439" s="49"/>
      <c r="K12439" s="48"/>
      <c r="L12439" s="89"/>
    </row>
    <row r="12440" spans="1:12" x14ac:dyDescent="0.3">
      <c r="A12440"/>
      <c r="B12440" s="72"/>
      <c r="C12440" s="88"/>
      <c r="E12440" s="72"/>
      <c r="H12440" s="49"/>
      <c r="K12440" s="48"/>
      <c r="L12440" s="89"/>
    </row>
    <row r="12441" spans="1:12" x14ac:dyDescent="0.3">
      <c r="A12441"/>
      <c r="B12441" s="72"/>
      <c r="C12441" s="88"/>
      <c r="E12441" s="72"/>
      <c r="H12441" s="49"/>
      <c r="K12441" s="48"/>
      <c r="L12441" s="89"/>
    </row>
    <row r="12442" spans="1:12" x14ac:dyDescent="0.3">
      <c r="A12442"/>
      <c r="B12442" s="72"/>
      <c r="C12442" s="88"/>
      <c r="E12442" s="72"/>
      <c r="H12442" s="49"/>
      <c r="K12442" s="48"/>
      <c r="L12442" s="89"/>
    </row>
    <row r="12443" spans="1:12" x14ac:dyDescent="0.3">
      <c r="A12443"/>
      <c r="B12443" s="72"/>
      <c r="C12443" s="88"/>
      <c r="E12443" s="72"/>
      <c r="H12443" s="49"/>
      <c r="K12443" s="48"/>
      <c r="L12443" s="89"/>
    </row>
    <row r="12444" spans="1:12" x14ac:dyDescent="0.3">
      <c r="A12444"/>
      <c r="B12444" s="72"/>
      <c r="C12444" s="88"/>
      <c r="E12444" s="72"/>
      <c r="H12444" s="49"/>
      <c r="K12444" s="48"/>
      <c r="L12444" s="89"/>
    </row>
    <row r="12445" spans="1:12" x14ac:dyDescent="0.3">
      <c r="A12445"/>
      <c r="B12445" s="72"/>
      <c r="C12445" s="88"/>
      <c r="E12445" s="72"/>
      <c r="H12445" s="49"/>
      <c r="K12445" s="48"/>
      <c r="L12445" s="89"/>
    </row>
    <row r="12446" spans="1:12" x14ac:dyDescent="0.3">
      <c r="A12446"/>
      <c r="B12446" s="72"/>
      <c r="C12446" s="88"/>
      <c r="E12446" s="72"/>
      <c r="H12446" s="49"/>
      <c r="K12446" s="48"/>
      <c r="L12446" s="89"/>
    </row>
    <row r="12447" spans="1:12" x14ac:dyDescent="0.3">
      <c r="A12447"/>
      <c r="B12447" s="72"/>
      <c r="C12447" s="88"/>
      <c r="E12447" s="72"/>
      <c r="H12447" s="49"/>
      <c r="K12447" s="48"/>
      <c r="L12447" s="89"/>
    </row>
    <row r="12448" spans="1:12" x14ac:dyDescent="0.3">
      <c r="A12448"/>
      <c r="B12448" s="72"/>
      <c r="C12448" s="88"/>
      <c r="E12448" s="72"/>
      <c r="H12448" s="49"/>
      <c r="K12448" s="48"/>
      <c r="L12448" s="89"/>
    </row>
    <row r="12449" spans="1:12" x14ac:dyDescent="0.3">
      <c r="A12449"/>
      <c r="B12449" s="72"/>
      <c r="C12449" s="88"/>
      <c r="E12449" s="72"/>
      <c r="H12449" s="49"/>
      <c r="K12449" s="48"/>
      <c r="L12449" s="89"/>
    </row>
    <row r="12450" spans="1:12" x14ac:dyDescent="0.3">
      <c r="A12450"/>
      <c r="B12450" s="72"/>
      <c r="C12450" s="88"/>
      <c r="E12450" s="72"/>
      <c r="H12450" s="49"/>
      <c r="K12450" s="48"/>
      <c r="L12450" s="89"/>
    </row>
    <row r="12451" spans="1:12" x14ac:dyDescent="0.3">
      <c r="A12451"/>
      <c r="B12451" s="72"/>
      <c r="C12451" s="88"/>
      <c r="E12451" s="72"/>
      <c r="H12451" s="49"/>
      <c r="K12451" s="48"/>
      <c r="L12451" s="89"/>
    </row>
    <row r="12452" spans="1:12" x14ac:dyDescent="0.3">
      <c r="A12452"/>
      <c r="B12452" s="72"/>
      <c r="C12452" s="88"/>
      <c r="E12452" s="72"/>
      <c r="H12452" s="49"/>
      <c r="K12452" s="48"/>
      <c r="L12452" s="89"/>
    </row>
    <row r="12453" spans="1:12" x14ac:dyDescent="0.3">
      <c r="A12453"/>
      <c r="B12453" s="72"/>
      <c r="C12453" s="88"/>
      <c r="E12453" s="72"/>
      <c r="H12453" s="49"/>
      <c r="K12453" s="48"/>
      <c r="L12453" s="89"/>
    </row>
    <row r="12454" spans="1:12" x14ac:dyDescent="0.3">
      <c r="A12454"/>
      <c r="B12454" s="72"/>
      <c r="C12454" s="88"/>
      <c r="E12454" s="72"/>
      <c r="H12454" s="49"/>
      <c r="K12454" s="48"/>
      <c r="L12454" s="89"/>
    </row>
    <row r="12455" spans="1:12" x14ac:dyDescent="0.3">
      <c r="A12455"/>
      <c r="B12455" s="72"/>
      <c r="C12455" s="88"/>
      <c r="E12455" s="72"/>
      <c r="H12455" s="49"/>
      <c r="K12455" s="48"/>
      <c r="L12455" s="89"/>
    </row>
    <row r="12456" spans="1:12" x14ac:dyDescent="0.3">
      <c r="A12456"/>
      <c r="B12456" s="72"/>
      <c r="C12456" s="88"/>
      <c r="E12456" s="72"/>
      <c r="H12456" s="49"/>
      <c r="K12456" s="48"/>
      <c r="L12456" s="89"/>
    </row>
    <row r="12457" spans="1:12" x14ac:dyDescent="0.3">
      <c r="A12457"/>
      <c r="B12457" s="72"/>
      <c r="C12457" s="88"/>
      <c r="E12457" s="72"/>
      <c r="H12457" s="49"/>
      <c r="K12457" s="48"/>
      <c r="L12457" s="89"/>
    </row>
    <row r="12458" spans="1:12" x14ac:dyDescent="0.3">
      <c r="A12458"/>
      <c r="B12458" s="72"/>
      <c r="C12458" s="88"/>
      <c r="E12458" s="72"/>
      <c r="H12458" s="49"/>
      <c r="K12458" s="48"/>
      <c r="L12458" s="89"/>
    </row>
    <row r="12459" spans="1:12" x14ac:dyDescent="0.3">
      <c r="A12459"/>
      <c r="B12459" s="72"/>
      <c r="C12459" s="88"/>
      <c r="E12459" s="72"/>
      <c r="H12459" s="49"/>
      <c r="K12459" s="48"/>
      <c r="L12459" s="89"/>
    </row>
    <row r="12460" spans="1:12" x14ac:dyDescent="0.3">
      <c r="A12460"/>
      <c r="B12460" s="72"/>
      <c r="C12460" s="88"/>
      <c r="E12460" s="72"/>
      <c r="H12460" s="49"/>
      <c r="K12460" s="48"/>
      <c r="L12460" s="89"/>
    </row>
    <row r="12461" spans="1:12" x14ac:dyDescent="0.3">
      <c r="A12461"/>
      <c r="B12461" s="72"/>
      <c r="C12461" s="88"/>
      <c r="E12461" s="72"/>
      <c r="H12461" s="49"/>
      <c r="K12461" s="48"/>
      <c r="L12461" s="89"/>
    </row>
    <row r="12462" spans="1:12" x14ac:dyDescent="0.3">
      <c r="A12462"/>
      <c r="B12462" s="72"/>
      <c r="C12462" s="88"/>
      <c r="E12462" s="72"/>
      <c r="H12462" s="49"/>
      <c r="K12462" s="48"/>
      <c r="L12462" s="89"/>
    </row>
    <row r="12463" spans="1:12" x14ac:dyDescent="0.3">
      <c r="A12463"/>
      <c r="B12463" s="72"/>
      <c r="C12463" s="88"/>
      <c r="E12463" s="72"/>
      <c r="H12463" s="49"/>
      <c r="K12463" s="48"/>
      <c r="L12463" s="89"/>
    </row>
    <row r="12464" spans="1:12" x14ac:dyDescent="0.3">
      <c r="A12464"/>
      <c r="B12464" s="72"/>
      <c r="C12464" s="88"/>
      <c r="E12464" s="72"/>
      <c r="H12464" s="49"/>
      <c r="K12464" s="48"/>
      <c r="L12464" s="89"/>
    </row>
    <row r="12465" spans="1:12" x14ac:dyDescent="0.3">
      <c r="A12465"/>
      <c r="B12465" s="72"/>
      <c r="C12465" s="88"/>
      <c r="E12465" s="72"/>
      <c r="H12465" s="49"/>
      <c r="K12465" s="48"/>
      <c r="L12465" s="89"/>
    </row>
    <row r="12466" spans="1:12" x14ac:dyDescent="0.3">
      <c r="A12466"/>
      <c r="B12466" s="72"/>
      <c r="C12466" s="88"/>
      <c r="E12466" s="72"/>
      <c r="H12466" s="49"/>
      <c r="K12466" s="48"/>
      <c r="L12466" s="89"/>
    </row>
    <row r="12467" spans="1:12" x14ac:dyDescent="0.3">
      <c r="A12467"/>
      <c r="B12467" s="72"/>
      <c r="C12467" s="88"/>
      <c r="E12467" s="72"/>
      <c r="H12467" s="49"/>
      <c r="K12467" s="48"/>
      <c r="L12467" s="89"/>
    </row>
    <row r="12468" spans="1:12" x14ac:dyDescent="0.3">
      <c r="A12468"/>
      <c r="B12468" s="72"/>
      <c r="C12468" s="88"/>
      <c r="E12468" s="72"/>
      <c r="H12468" s="49"/>
      <c r="K12468" s="48"/>
      <c r="L12468" s="89"/>
    </row>
    <row r="12469" spans="1:12" x14ac:dyDescent="0.3">
      <c r="A12469"/>
      <c r="B12469" s="72"/>
      <c r="C12469" s="88"/>
      <c r="E12469" s="72"/>
      <c r="H12469" s="49"/>
      <c r="K12469" s="48"/>
      <c r="L12469" s="89"/>
    </row>
    <row r="12470" spans="1:12" x14ac:dyDescent="0.3">
      <c r="A12470"/>
      <c r="B12470" s="72"/>
      <c r="C12470" s="88"/>
      <c r="E12470" s="72"/>
      <c r="H12470" s="49"/>
      <c r="K12470" s="48"/>
      <c r="L12470" s="89"/>
    </row>
    <row r="12471" spans="1:12" x14ac:dyDescent="0.3">
      <c r="A12471"/>
      <c r="B12471" s="72"/>
      <c r="C12471" s="88"/>
      <c r="E12471" s="72"/>
      <c r="H12471" s="49"/>
      <c r="K12471" s="48"/>
      <c r="L12471" s="89"/>
    </row>
    <row r="12472" spans="1:12" x14ac:dyDescent="0.3">
      <c r="A12472"/>
      <c r="B12472" s="72"/>
      <c r="C12472" s="88"/>
      <c r="E12472" s="72"/>
      <c r="H12472" s="49"/>
      <c r="K12472" s="48"/>
      <c r="L12472" s="89"/>
    </row>
    <row r="12473" spans="1:12" x14ac:dyDescent="0.3">
      <c r="A12473"/>
      <c r="B12473" s="72"/>
      <c r="C12473" s="88"/>
      <c r="E12473" s="72"/>
      <c r="H12473" s="49"/>
      <c r="K12473" s="48"/>
      <c r="L12473" s="89"/>
    </row>
    <row r="12474" spans="1:12" x14ac:dyDescent="0.3">
      <c r="A12474"/>
      <c r="B12474" s="72"/>
      <c r="C12474" s="88"/>
      <c r="E12474" s="72"/>
      <c r="H12474" s="49"/>
      <c r="K12474" s="48"/>
      <c r="L12474" s="89"/>
    </row>
    <row r="12475" spans="1:12" x14ac:dyDescent="0.3">
      <c r="A12475"/>
      <c r="B12475" s="72"/>
      <c r="C12475" s="88"/>
      <c r="E12475" s="72"/>
      <c r="H12475" s="49"/>
      <c r="K12475" s="48"/>
      <c r="L12475" s="89"/>
    </row>
    <row r="12476" spans="1:12" x14ac:dyDescent="0.3">
      <c r="A12476"/>
      <c r="B12476" s="72"/>
      <c r="C12476" s="88"/>
      <c r="E12476" s="72"/>
      <c r="H12476" s="49"/>
      <c r="K12476" s="48"/>
      <c r="L12476" s="89"/>
    </row>
    <row r="12477" spans="1:12" x14ac:dyDescent="0.3">
      <c r="A12477"/>
      <c r="B12477" s="72"/>
      <c r="C12477" s="88"/>
      <c r="E12477" s="72"/>
      <c r="H12477" s="49"/>
      <c r="K12477" s="48"/>
      <c r="L12477" s="89"/>
    </row>
    <row r="12478" spans="1:12" x14ac:dyDescent="0.3">
      <c r="A12478"/>
      <c r="B12478" s="72"/>
      <c r="C12478" s="88"/>
      <c r="E12478" s="72"/>
      <c r="H12478" s="49"/>
      <c r="K12478" s="48"/>
      <c r="L12478" s="89"/>
    </row>
    <row r="12479" spans="1:12" x14ac:dyDescent="0.3">
      <c r="A12479"/>
      <c r="B12479" s="72"/>
      <c r="C12479" s="88"/>
      <c r="E12479" s="72"/>
      <c r="H12479" s="49"/>
      <c r="K12479" s="48"/>
      <c r="L12479" s="89"/>
    </row>
    <row r="12480" spans="1:12" x14ac:dyDescent="0.3">
      <c r="A12480"/>
      <c r="B12480" s="72"/>
      <c r="C12480" s="88"/>
      <c r="E12480" s="72"/>
      <c r="H12480" s="49"/>
      <c r="K12480" s="48"/>
      <c r="L12480" s="89"/>
    </row>
    <row r="12481" spans="1:12" x14ac:dyDescent="0.3">
      <c r="A12481"/>
      <c r="B12481" s="72"/>
      <c r="C12481" s="88"/>
      <c r="E12481" s="72"/>
      <c r="H12481" s="49"/>
      <c r="K12481" s="48"/>
      <c r="L12481" s="89"/>
    </row>
    <row r="12482" spans="1:12" x14ac:dyDescent="0.3">
      <c r="A12482"/>
      <c r="B12482" s="72"/>
      <c r="C12482" s="88"/>
      <c r="E12482" s="72"/>
      <c r="H12482" s="49"/>
      <c r="K12482" s="48"/>
      <c r="L12482" s="89"/>
    </row>
    <row r="12483" spans="1:12" x14ac:dyDescent="0.3">
      <c r="A12483"/>
      <c r="B12483" s="72"/>
      <c r="C12483" s="88"/>
      <c r="E12483" s="72"/>
      <c r="H12483" s="49"/>
      <c r="K12483" s="48"/>
      <c r="L12483" s="89"/>
    </row>
    <row r="12484" spans="1:12" x14ac:dyDescent="0.3">
      <c r="A12484"/>
      <c r="B12484" s="72"/>
      <c r="C12484" s="88"/>
      <c r="E12484" s="72"/>
      <c r="H12484" s="49"/>
      <c r="K12484" s="48"/>
      <c r="L12484" s="89"/>
    </row>
    <row r="12485" spans="1:12" x14ac:dyDescent="0.3">
      <c r="A12485"/>
      <c r="B12485" s="72"/>
      <c r="C12485" s="88"/>
      <c r="E12485" s="72"/>
      <c r="H12485" s="49"/>
      <c r="K12485" s="48"/>
      <c r="L12485" s="89"/>
    </row>
    <row r="12486" spans="1:12" x14ac:dyDescent="0.3">
      <c r="A12486"/>
      <c r="B12486" s="72"/>
      <c r="C12486" s="88"/>
      <c r="E12486" s="72"/>
      <c r="H12486" s="49"/>
      <c r="K12486" s="48"/>
      <c r="L12486" s="89"/>
    </row>
    <row r="12487" spans="1:12" x14ac:dyDescent="0.3">
      <c r="A12487"/>
      <c r="B12487" s="72"/>
      <c r="C12487" s="88"/>
      <c r="E12487" s="72"/>
      <c r="H12487" s="49"/>
      <c r="K12487" s="48"/>
      <c r="L12487" s="89"/>
    </row>
    <row r="12488" spans="1:12" x14ac:dyDescent="0.3">
      <c r="A12488"/>
      <c r="B12488" s="72"/>
      <c r="C12488" s="88"/>
      <c r="E12488" s="72"/>
      <c r="H12488" s="49"/>
      <c r="K12488" s="48"/>
      <c r="L12488" s="89"/>
    </row>
    <row r="12489" spans="1:12" x14ac:dyDescent="0.3">
      <c r="A12489"/>
      <c r="B12489" s="72"/>
      <c r="C12489" s="88"/>
      <c r="E12489" s="72"/>
      <c r="H12489" s="49"/>
      <c r="K12489" s="48"/>
      <c r="L12489" s="89"/>
    </row>
    <row r="12490" spans="1:12" x14ac:dyDescent="0.3">
      <c r="A12490"/>
      <c r="B12490" s="72"/>
      <c r="C12490" s="88"/>
      <c r="E12490" s="72"/>
      <c r="H12490" s="49"/>
      <c r="K12490" s="48"/>
      <c r="L12490" s="89"/>
    </row>
    <row r="12491" spans="1:12" x14ac:dyDescent="0.3">
      <c r="A12491"/>
      <c r="B12491" s="72"/>
      <c r="C12491" s="88"/>
      <c r="E12491" s="72"/>
      <c r="H12491" s="49"/>
      <c r="K12491" s="48"/>
      <c r="L12491" s="89"/>
    </row>
    <row r="12492" spans="1:12" x14ac:dyDescent="0.3">
      <c r="A12492"/>
      <c r="B12492" s="72"/>
      <c r="C12492" s="88"/>
      <c r="E12492" s="72"/>
      <c r="H12492" s="49"/>
      <c r="K12492" s="48"/>
      <c r="L12492" s="89"/>
    </row>
    <row r="12493" spans="1:12" x14ac:dyDescent="0.3">
      <c r="A12493"/>
      <c r="B12493" s="72"/>
      <c r="C12493" s="88"/>
      <c r="E12493" s="72"/>
      <c r="H12493" s="49"/>
      <c r="K12493" s="48"/>
      <c r="L12493" s="89"/>
    </row>
    <row r="12494" spans="1:12" x14ac:dyDescent="0.3">
      <c r="A12494"/>
      <c r="B12494" s="72"/>
      <c r="C12494" s="88"/>
      <c r="E12494" s="72"/>
      <c r="H12494" s="49"/>
      <c r="K12494" s="48"/>
      <c r="L12494" s="89"/>
    </row>
    <row r="12495" spans="1:12" x14ac:dyDescent="0.3">
      <c r="A12495"/>
      <c r="B12495" s="72"/>
      <c r="C12495" s="88"/>
      <c r="E12495" s="72"/>
      <c r="H12495" s="49"/>
      <c r="K12495" s="48"/>
      <c r="L12495" s="89"/>
    </row>
    <row r="12496" spans="1:12" x14ac:dyDescent="0.3">
      <c r="A12496"/>
      <c r="B12496" s="72"/>
      <c r="C12496" s="88"/>
      <c r="E12496" s="72"/>
      <c r="H12496" s="49"/>
      <c r="K12496" s="48"/>
      <c r="L12496" s="89"/>
    </row>
    <row r="12497" spans="1:12" x14ac:dyDescent="0.3">
      <c r="A12497"/>
      <c r="B12497" s="72"/>
      <c r="C12497" s="88"/>
      <c r="E12497" s="72"/>
      <c r="H12497" s="49"/>
      <c r="K12497" s="48"/>
      <c r="L12497" s="89"/>
    </row>
    <row r="12498" spans="1:12" x14ac:dyDescent="0.3">
      <c r="A12498"/>
      <c r="B12498" s="72"/>
      <c r="C12498" s="88"/>
      <c r="E12498" s="72"/>
      <c r="H12498" s="49"/>
      <c r="K12498" s="48"/>
      <c r="L12498" s="89"/>
    </row>
    <row r="12499" spans="1:12" x14ac:dyDescent="0.3">
      <c r="A12499"/>
      <c r="B12499" s="72"/>
      <c r="C12499" s="88"/>
      <c r="E12499" s="72"/>
      <c r="H12499" s="49"/>
      <c r="K12499" s="48"/>
      <c r="L12499" s="89"/>
    </row>
    <row r="12500" spans="1:12" x14ac:dyDescent="0.3">
      <c r="A12500"/>
      <c r="B12500" s="72"/>
      <c r="C12500" s="88"/>
      <c r="E12500" s="72"/>
      <c r="H12500" s="49"/>
      <c r="K12500" s="48"/>
      <c r="L12500" s="89"/>
    </row>
    <row r="12501" spans="1:12" x14ac:dyDescent="0.3">
      <c r="A12501"/>
      <c r="B12501" s="72"/>
      <c r="C12501" s="88"/>
      <c r="E12501" s="72"/>
      <c r="H12501" s="49"/>
      <c r="K12501" s="48"/>
      <c r="L12501" s="89"/>
    </row>
    <row r="12502" spans="1:12" x14ac:dyDescent="0.3">
      <c r="A12502"/>
      <c r="B12502" s="72"/>
      <c r="C12502" s="88"/>
      <c r="E12502" s="72"/>
      <c r="H12502" s="49"/>
      <c r="K12502" s="48"/>
      <c r="L12502" s="89"/>
    </row>
    <row r="12503" spans="1:12" x14ac:dyDescent="0.3">
      <c r="A12503"/>
      <c r="B12503" s="72"/>
      <c r="C12503" s="88"/>
      <c r="E12503" s="72"/>
      <c r="H12503" s="49"/>
      <c r="K12503" s="48"/>
      <c r="L12503" s="89"/>
    </row>
    <row r="12504" spans="1:12" x14ac:dyDescent="0.3">
      <c r="A12504"/>
      <c r="B12504" s="72"/>
      <c r="C12504" s="88"/>
      <c r="E12504" s="72"/>
      <c r="H12504" s="49"/>
      <c r="K12504" s="48"/>
      <c r="L12504" s="89"/>
    </row>
    <row r="12505" spans="1:12" x14ac:dyDescent="0.3">
      <c r="A12505"/>
      <c r="B12505" s="72"/>
      <c r="C12505" s="88"/>
      <c r="E12505" s="72"/>
      <c r="H12505" s="49"/>
      <c r="K12505" s="48"/>
      <c r="L12505" s="89"/>
    </row>
    <row r="12506" spans="1:12" x14ac:dyDescent="0.3">
      <c r="A12506"/>
      <c r="B12506" s="72"/>
      <c r="C12506" s="88"/>
      <c r="E12506" s="72"/>
      <c r="H12506" s="49"/>
      <c r="K12506" s="48"/>
      <c r="L12506" s="89"/>
    </row>
    <row r="12507" spans="1:12" x14ac:dyDescent="0.3">
      <c r="A12507"/>
      <c r="B12507" s="72"/>
      <c r="C12507" s="88"/>
      <c r="E12507" s="72"/>
      <c r="H12507" s="49"/>
      <c r="K12507" s="48"/>
      <c r="L12507" s="89"/>
    </row>
    <row r="12508" spans="1:12" x14ac:dyDescent="0.3">
      <c r="A12508"/>
      <c r="B12508" s="72"/>
      <c r="C12508" s="88"/>
      <c r="E12508" s="72"/>
      <c r="H12508" s="49"/>
      <c r="K12508" s="48"/>
      <c r="L12508" s="89"/>
    </row>
    <row r="12509" spans="1:12" x14ac:dyDescent="0.3">
      <c r="A12509"/>
      <c r="B12509" s="72"/>
      <c r="C12509" s="88"/>
      <c r="E12509" s="72"/>
      <c r="H12509" s="49"/>
      <c r="K12509" s="48"/>
      <c r="L12509" s="89"/>
    </row>
    <row r="12510" spans="1:12" x14ac:dyDescent="0.3">
      <c r="A12510"/>
      <c r="B12510" s="72"/>
      <c r="C12510" s="88"/>
      <c r="E12510" s="72"/>
      <c r="H12510" s="49"/>
      <c r="K12510" s="48"/>
      <c r="L12510" s="89"/>
    </row>
    <row r="12511" spans="1:12" x14ac:dyDescent="0.3">
      <c r="A12511"/>
      <c r="B12511" s="72"/>
      <c r="C12511" s="88"/>
      <c r="E12511" s="72"/>
      <c r="H12511" s="49"/>
      <c r="K12511" s="48"/>
      <c r="L12511" s="89"/>
    </row>
    <row r="12512" spans="1:12" x14ac:dyDescent="0.3">
      <c r="A12512"/>
      <c r="B12512" s="72"/>
      <c r="C12512" s="88"/>
      <c r="E12512" s="72"/>
      <c r="H12512" s="49"/>
      <c r="K12512" s="48"/>
      <c r="L12512" s="89"/>
    </row>
    <row r="12513" spans="1:12" x14ac:dyDescent="0.3">
      <c r="A12513"/>
      <c r="B12513" s="72"/>
      <c r="C12513" s="88"/>
      <c r="E12513" s="72"/>
      <c r="H12513" s="49"/>
      <c r="K12513" s="48"/>
      <c r="L12513" s="89"/>
    </row>
    <row r="12514" spans="1:12" x14ac:dyDescent="0.3">
      <c r="A12514"/>
      <c r="B12514" s="72"/>
      <c r="C12514" s="88"/>
      <c r="E12514" s="72"/>
      <c r="H12514" s="49"/>
      <c r="K12514" s="48"/>
      <c r="L12514" s="89"/>
    </row>
    <row r="12515" spans="1:12" x14ac:dyDescent="0.3">
      <c r="A12515"/>
      <c r="B12515" s="72"/>
      <c r="C12515" s="88"/>
      <c r="E12515" s="72"/>
      <c r="H12515" s="49"/>
      <c r="K12515" s="48"/>
      <c r="L12515" s="89"/>
    </row>
    <row r="12516" spans="1:12" x14ac:dyDescent="0.3">
      <c r="A12516"/>
      <c r="B12516" s="72"/>
      <c r="C12516" s="88"/>
      <c r="E12516" s="72"/>
      <c r="H12516" s="49"/>
      <c r="K12516" s="48"/>
      <c r="L12516" s="89"/>
    </row>
    <row r="12517" spans="1:12" x14ac:dyDescent="0.3">
      <c r="A12517"/>
      <c r="B12517" s="72"/>
      <c r="C12517" s="88"/>
      <c r="E12517" s="72"/>
      <c r="H12517" s="49"/>
      <c r="K12517" s="48"/>
      <c r="L12517" s="89"/>
    </row>
    <row r="12518" spans="1:12" x14ac:dyDescent="0.3">
      <c r="A12518"/>
      <c r="B12518" s="72"/>
      <c r="C12518" s="88"/>
      <c r="E12518" s="72"/>
      <c r="H12518" s="49"/>
      <c r="K12518" s="48"/>
      <c r="L12518" s="89"/>
    </row>
    <row r="12519" spans="1:12" x14ac:dyDescent="0.3">
      <c r="A12519"/>
      <c r="B12519" s="72"/>
      <c r="C12519" s="88"/>
      <c r="E12519" s="72"/>
      <c r="H12519" s="49"/>
      <c r="K12519" s="48"/>
      <c r="L12519" s="89"/>
    </row>
    <row r="12520" spans="1:12" x14ac:dyDescent="0.3">
      <c r="A12520"/>
      <c r="B12520" s="72"/>
      <c r="C12520" s="88"/>
      <c r="E12520" s="72"/>
      <c r="H12520" s="49"/>
      <c r="K12520" s="48"/>
      <c r="L12520" s="89"/>
    </row>
    <row r="12521" spans="1:12" x14ac:dyDescent="0.3">
      <c r="A12521"/>
      <c r="B12521" s="72"/>
      <c r="C12521" s="88"/>
      <c r="E12521" s="72"/>
      <c r="H12521" s="49"/>
      <c r="K12521" s="48"/>
      <c r="L12521" s="89"/>
    </row>
    <row r="12522" spans="1:12" x14ac:dyDescent="0.3">
      <c r="A12522"/>
      <c r="B12522" s="72"/>
      <c r="C12522" s="88"/>
      <c r="E12522" s="72"/>
      <c r="H12522" s="49"/>
      <c r="K12522" s="48"/>
      <c r="L12522" s="89"/>
    </row>
    <row r="12523" spans="1:12" x14ac:dyDescent="0.3">
      <c r="A12523"/>
      <c r="B12523" s="72"/>
      <c r="C12523" s="88"/>
      <c r="E12523" s="72"/>
      <c r="H12523" s="49"/>
      <c r="K12523" s="48"/>
      <c r="L12523" s="89"/>
    </row>
    <row r="12524" spans="1:12" x14ac:dyDescent="0.3">
      <c r="A12524"/>
      <c r="B12524" s="72"/>
      <c r="C12524" s="88"/>
      <c r="E12524" s="72"/>
      <c r="H12524" s="49"/>
      <c r="K12524" s="48"/>
      <c r="L12524" s="89"/>
    </row>
    <row r="12525" spans="1:12" x14ac:dyDescent="0.3">
      <c r="A12525"/>
      <c r="B12525" s="72"/>
      <c r="C12525" s="88"/>
      <c r="E12525" s="72"/>
      <c r="H12525" s="49"/>
      <c r="K12525" s="48"/>
      <c r="L12525" s="89"/>
    </row>
    <row r="12526" spans="1:12" x14ac:dyDescent="0.3">
      <c r="A12526"/>
      <c r="B12526" s="72"/>
      <c r="C12526" s="88"/>
      <c r="E12526" s="72"/>
      <c r="H12526" s="49"/>
      <c r="K12526" s="48"/>
      <c r="L12526" s="89"/>
    </row>
    <row r="12527" spans="1:12" x14ac:dyDescent="0.3">
      <c r="A12527"/>
      <c r="B12527" s="72"/>
      <c r="C12527" s="88"/>
      <c r="E12527" s="72"/>
      <c r="H12527" s="49"/>
      <c r="K12527" s="48"/>
      <c r="L12527" s="89"/>
    </row>
    <row r="12528" spans="1:12" x14ac:dyDescent="0.3">
      <c r="A12528"/>
      <c r="B12528" s="72"/>
      <c r="C12528" s="88"/>
      <c r="E12528" s="72"/>
      <c r="H12528" s="49"/>
      <c r="K12528" s="48"/>
      <c r="L12528" s="89"/>
    </row>
    <row r="12529" spans="1:12" x14ac:dyDescent="0.3">
      <c r="A12529"/>
      <c r="B12529" s="72"/>
      <c r="C12529" s="88"/>
      <c r="E12529" s="72"/>
      <c r="H12529" s="49"/>
      <c r="K12529" s="48"/>
      <c r="L12529" s="89"/>
    </row>
    <row r="12530" spans="1:12" x14ac:dyDescent="0.3">
      <c r="A12530"/>
      <c r="B12530" s="72"/>
      <c r="C12530" s="88"/>
      <c r="E12530" s="72"/>
      <c r="H12530" s="49"/>
      <c r="K12530" s="48"/>
      <c r="L12530" s="89"/>
    </row>
    <row r="12531" spans="1:12" x14ac:dyDescent="0.3">
      <c r="A12531"/>
      <c r="B12531" s="72"/>
      <c r="C12531" s="88"/>
      <c r="E12531" s="72"/>
      <c r="H12531" s="49"/>
      <c r="K12531" s="48"/>
      <c r="L12531" s="89"/>
    </row>
    <row r="12532" spans="1:12" x14ac:dyDescent="0.3">
      <c r="A12532"/>
      <c r="B12532" s="72"/>
      <c r="C12532" s="88"/>
      <c r="E12532" s="72"/>
      <c r="H12532" s="49"/>
      <c r="K12532" s="48"/>
      <c r="L12532" s="89"/>
    </row>
    <row r="12533" spans="1:12" x14ac:dyDescent="0.3">
      <c r="A12533"/>
      <c r="B12533" s="72"/>
      <c r="C12533" s="88"/>
      <c r="E12533" s="72"/>
      <c r="H12533" s="49"/>
      <c r="K12533" s="48"/>
      <c r="L12533" s="89"/>
    </row>
    <row r="12534" spans="1:12" x14ac:dyDescent="0.3">
      <c r="A12534"/>
      <c r="B12534" s="72"/>
      <c r="C12534" s="88"/>
      <c r="E12534" s="72"/>
      <c r="H12534" s="49"/>
      <c r="K12534" s="48"/>
      <c r="L12534" s="89"/>
    </row>
    <row r="12535" spans="1:12" x14ac:dyDescent="0.3">
      <c r="A12535"/>
      <c r="B12535" s="72"/>
      <c r="C12535" s="88"/>
      <c r="E12535" s="72"/>
      <c r="H12535" s="49"/>
      <c r="K12535" s="48"/>
      <c r="L12535" s="89"/>
    </row>
    <row r="12536" spans="1:12" x14ac:dyDescent="0.3">
      <c r="A12536"/>
      <c r="B12536" s="72"/>
      <c r="C12536" s="88"/>
      <c r="E12536" s="72"/>
      <c r="H12536" s="49"/>
      <c r="K12536" s="48"/>
      <c r="L12536" s="89"/>
    </row>
    <row r="12537" spans="1:12" x14ac:dyDescent="0.3">
      <c r="A12537"/>
      <c r="B12537" s="72"/>
      <c r="C12537" s="88"/>
      <c r="E12537" s="72"/>
      <c r="H12537" s="49"/>
      <c r="K12537" s="48"/>
      <c r="L12537" s="89"/>
    </row>
    <row r="12538" spans="1:12" x14ac:dyDescent="0.3">
      <c r="A12538"/>
      <c r="B12538" s="72"/>
      <c r="C12538" s="88"/>
      <c r="E12538" s="72"/>
      <c r="H12538" s="49"/>
      <c r="K12538" s="48"/>
      <c r="L12538" s="89"/>
    </row>
    <row r="12539" spans="1:12" x14ac:dyDescent="0.3">
      <c r="A12539"/>
      <c r="B12539" s="72"/>
      <c r="C12539" s="88"/>
      <c r="E12539" s="72"/>
      <c r="H12539" s="49"/>
      <c r="K12539" s="48"/>
      <c r="L12539" s="89"/>
    </row>
    <row r="12540" spans="1:12" x14ac:dyDescent="0.3">
      <c r="A12540"/>
      <c r="B12540" s="72"/>
      <c r="C12540" s="88"/>
      <c r="E12540" s="72"/>
      <c r="H12540" s="49"/>
      <c r="K12540" s="48"/>
      <c r="L12540" s="89"/>
    </row>
    <row r="12541" spans="1:12" x14ac:dyDescent="0.3">
      <c r="A12541"/>
      <c r="B12541" s="72"/>
      <c r="C12541" s="88"/>
      <c r="E12541" s="72"/>
      <c r="H12541" s="49"/>
      <c r="K12541" s="48"/>
      <c r="L12541" s="89"/>
    </row>
    <row r="12542" spans="1:12" x14ac:dyDescent="0.3">
      <c r="A12542"/>
      <c r="B12542" s="72"/>
      <c r="C12542" s="88"/>
      <c r="E12542" s="72"/>
      <c r="H12542" s="49"/>
      <c r="K12542" s="48"/>
      <c r="L12542" s="89"/>
    </row>
    <row r="12543" spans="1:12" x14ac:dyDescent="0.3">
      <c r="A12543"/>
      <c r="B12543" s="72"/>
      <c r="C12543" s="88"/>
      <c r="E12543" s="72"/>
      <c r="H12543" s="49"/>
      <c r="K12543" s="48"/>
      <c r="L12543" s="89"/>
    </row>
    <row r="12544" spans="1:12" x14ac:dyDescent="0.3">
      <c r="A12544"/>
      <c r="B12544" s="72"/>
      <c r="C12544" s="88"/>
      <c r="E12544" s="72"/>
      <c r="H12544" s="49"/>
      <c r="K12544" s="48"/>
      <c r="L12544" s="89"/>
    </row>
    <row r="12545" spans="1:12" x14ac:dyDescent="0.3">
      <c r="A12545"/>
      <c r="B12545" s="72"/>
      <c r="C12545" s="88"/>
      <c r="E12545" s="72"/>
      <c r="H12545" s="49"/>
      <c r="K12545" s="48"/>
      <c r="L12545" s="89"/>
    </row>
    <row r="12546" spans="1:12" x14ac:dyDescent="0.3">
      <c r="A12546"/>
      <c r="B12546" s="72"/>
      <c r="C12546" s="88"/>
      <c r="E12546" s="72"/>
      <c r="H12546" s="49"/>
      <c r="K12546" s="48"/>
      <c r="L12546" s="89"/>
    </row>
    <row r="12547" spans="1:12" x14ac:dyDescent="0.3">
      <c r="A12547"/>
      <c r="B12547" s="72"/>
      <c r="C12547" s="88"/>
      <c r="E12547" s="72"/>
      <c r="H12547" s="49"/>
      <c r="K12547" s="48"/>
      <c r="L12547" s="89"/>
    </row>
    <row r="12548" spans="1:12" x14ac:dyDescent="0.3">
      <c r="A12548"/>
      <c r="B12548" s="72"/>
      <c r="C12548" s="88"/>
      <c r="E12548" s="72"/>
      <c r="H12548" s="49"/>
      <c r="K12548" s="48"/>
      <c r="L12548" s="89"/>
    </row>
    <row r="12549" spans="1:12" x14ac:dyDescent="0.3">
      <c r="A12549"/>
      <c r="B12549" s="72"/>
      <c r="C12549" s="88"/>
      <c r="E12549" s="72"/>
      <c r="H12549" s="49"/>
      <c r="K12549" s="48"/>
      <c r="L12549" s="89"/>
    </row>
    <row r="12550" spans="1:12" x14ac:dyDescent="0.3">
      <c r="A12550"/>
      <c r="B12550" s="72"/>
      <c r="C12550" s="88"/>
      <c r="E12550" s="72"/>
      <c r="H12550" s="49"/>
      <c r="K12550" s="48"/>
      <c r="L12550" s="89"/>
    </row>
    <row r="12551" spans="1:12" x14ac:dyDescent="0.3">
      <c r="A12551"/>
      <c r="B12551" s="72"/>
      <c r="C12551" s="88"/>
      <c r="E12551" s="72"/>
      <c r="H12551" s="49"/>
      <c r="K12551" s="48"/>
      <c r="L12551" s="89"/>
    </row>
    <row r="12552" spans="1:12" x14ac:dyDescent="0.3">
      <c r="A12552"/>
      <c r="B12552" s="72"/>
      <c r="C12552" s="88"/>
      <c r="E12552" s="72"/>
      <c r="H12552" s="49"/>
      <c r="K12552" s="48"/>
      <c r="L12552" s="89"/>
    </row>
    <row r="12553" spans="1:12" x14ac:dyDescent="0.3">
      <c r="A12553"/>
      <c r="B12553" s="72"/>
      <c r="C12553" s="88"/>
      <c r="E12553" s="72"/>
      <c r="H12553" s="49"/>
      <c r="K12553" s="48"/>
      <c r="L12553" s="89"/>
    </row>
    <row r="12554" spans="1:12" x14ac:dyDescent="0.3">
      <c r="A12554"/>
      <c r="B12554" s="72"/>
      <c r="C12554" s="88"/>
      <c r="E12554" s="72"/>
      <c r="H12554" s="49"/>
      <c r="K12554" s="48"/>
      <c r="L12554" s="89"/>
    </row>
    <row r="12555" spans="1:12" x14ac:dyDescent="0.3">
      <c r="A12555"/>
      <c r="B12555" s="72"/>
      <c r="C12555" s="88"/>
      <c r="E12555" s="72"/>
      <c r="H12555" s="49"/>
      <c r="K12555" s="48"/>
      <c r="L12555" s="89"/>
    </row>
    <row r="12556" spans="1:12" x14ac:dyDescent="0.3">
      <c r="A12556"/>
      <c r="B12556" s="72"/>
      <c r="C12556" s="88"/>
      <c r="E12556" s="72"/>
      <c r="H12556" s="49"/>
      <c r="K12556" s="48"/>
      <c r="L12556" s="89"/>
    </row>
    <row r="12557" spans="1:12" x14ac:dyDescent="0.3">
      <c r="A12557"/>
      <c r="B12557" s="72"/>
      <c r="C12557" s="88"/>
      <c r="E12557" s="72"/>
      <c r="H12557" s="49"/>
      <c r="K12557" s="48"/>
      <c r="L12557" s="89"/>
    </row>
    <row r="12558" spans="1:12" x14ac:dyDescent="0.3">
      <c r="A12558"/>
      <c r="B12558" s="72"/>
      <c r="C12558" s="88"/>
      <c r="E12558" s="72"/>
      <c r="H12558" s="49"/>
      <c r="K12558" s="48"/>
      <c r="L12558" s="89"/>
    </row>
    <row r="12559" spans="1:12" x14ac:dyDescent="0.3">
      <c r="A12559"/>
      <c r="B12559" s="72"/>
      <c r="C12559" s="88"/>
      <c r="E12559" s="72"/>
      <c r="H12559" s="49"/>
      <c r="K12559" s="48"/>
      <c r="L12559" s="89"/>
    </row>
    <row r="12560" spans="1:12" x14ac:dyDescent="0.3">
      <c r="A12560"/>
      <c r="B12560" s="72"/>
      <c r="C12560" s="88"/>
      <c r="E12560" s="72"/>
      <c r="H12560" s="49"/>
      <c r="K12560" s="48"/>
      <c r="L12560" s="89"/>
    </row>
    <row r="12561" spans="1:12" x14ac:dyDescent="0.3">
      <c r="A12561"/>
      <c r="B12561" s="72"/>
      <c r="C12561" s="88"/>
      <c r="E12561" s="72"/>
      <c r="H12561" s="49"/>
      <c r="K12561" s="48"/>
      <c r="L12561" s="89"/>
    </row>
    <row r="12562" spans="1:12" x14ac:dyDescent="0.3">
      <c r="A12562"/>
      <c r="B12562" s="72"/>
      <c r="C12562" s="88"/>
      <c r="E12562" s="72"/>
      <c r="H12562" s="49"/>
      <c r="K12562" s="48"/>
      <c r="L12562" s="89"/>
    </row>
    <row r="12563" spans="1:12" x14ac:dyDescent="0.3">
      <c r="A12563"/>
      <c r="B12563" s="72"/>
      <c r="C12563" s="88"/>
      <c r="E12563" s="72"/>
      <c r="H12563" s="49"/>
      <c r="K12563" s="48"/>
      <c r="L12563" s="89"/>
    </row>
    <row r="12564" spans="1:12" x14ac:dyDescent="0.3">
      <c r="A12564"/>
      <c r="B12564" s="72"/>
      <c r="C12564" s="88"/>
      <c r="E12564" s="72"/>
      <c r="H12564" s="49"/>
      <c r="K12564" s="48"/>
      <c r="L12564" s="89"/>
    </row>
    <row r="12565" spans="1:12" x14ac:dyDescent="0.3">
      <c r="A12565"/>
      <c r="B12565" s="72"/>
      <c r="C12565" s="88"/>
      <c r="E12565" s="72"/>
      <c r="H12565" s="49"/>
      <c r="K12565" s="48"/>
      <c r="L12565" s="89"/>
    </row>
    <row r="12566" spans="1:12" x14ac:dyDescent="0.3">
      <c r="A12566"/>
      <c r="B12566" s="72"/>
      <c r="C12566" s="88"/>
      <c r="E12566" s="72"/>
      <c r="H12566" s="49"/>
      <c r="K12566" s="48"/>
      <c r="L12566" s="89"/>
    </row>
    <row r="12567" spans="1:12" x14ac:dyDescent="0.3">
      <c r="A12567"/>
      <c r="B12567" s="72"/>
      <c r="C12567" s="88"/>
      <c r="E12567" s="72"/>
      <c r="H12567" s="49"/>
      <c r="K12567" s="48"/>
      <c r="L12567" s="89"/>
    </row>
    <row r="12568" spans="1:12" x14ac:dyDescent="0.3">
      <c r="A12568"/>
      <c r="B12568" s="72"/>
      <c r="C12568" s="88"/>
      <c r="E12568" s="72"/>
      <c r="H12568" s="49"/>
      <c r="K12568" s="48"/>
      <c r="L12568" s="89"/>
    </row>
    <row r="12569" spans="1:12" x14ac:dyDescent="0.3">
      <c r="A12569"/>
      <c r="B12569" s="72"/>
      <c r="C12569" s="88"/>
      <c r="E12569" s="72"/>
      <c r="H12569" s="49"/>
      <c r="K12569" s="48"/>
      <c r="L12569" s="89"/>
    </row>
    <row r="12570" spans="1:12" x14ac:dyDescent="0.3">
      <c r="A12570"/>
      <c r="B12570" s="72"/>
      <c r="C12570" s="88"/>
      <c r="E12570" s="72"/>
      <c r="H12570" s="49"/>
      <c r="K12570" s="48"/>
      <c r="L12570" s="89"/>
    </row>
    <row r="12571" spans="1:12" x14ac:dyDescent="0.3">
      <c r="A12571"/>
      <c r="B12571" s="72"/>
      <c r="C12571" s="88"/>
      <c r="E12571" s="72"/>
      <c r="H12571" s="49"/>
      <c r="K12571" s="48"/>
      <c r="L12571" s="89"/>
    </row>
    <row r="12572" spans="1:12" x14ac:dyDescent="0.3">
      <c r="A12572"/>
      <c r="B12572" s="72"/>
      <c r="C12572" s="88"/>
      <c r="E12572" s="72"/>
      <c r="H12572" s="49"/>
      <c r="K12572" s="48"/>
      <c r="L12572" s="89"/>
    </row>
    <row r="12573" spans="1:12" x14ac:dyDescent="0.3">
      <c r="A12573"/>
      <c r="B12573" s="72"/>
      <c r="C12573" s="88"/>
      <c r="E12573" s="72"/>
      <c r="H12573" s="49"/>
      <c r="K12573" s="48"/>
      <c r="L12573" s="89"/>
    </row>
    <row r="12574" spans="1:12" x14ac:dyDescent="0.3">
      <c r="A12574"/>
      <c r="B12574" s="72"/>
      <c r="C12574" s="88"/>
      <c r="E12574" s="72"/>
      <c r="H12574" s="49"/>
      <c r="K12574" s="48"/>
      <c r="L12574" s="89"/>
    </row>
    <row r="12575" spans="1:12" x14ac:dyDescent="0.3">
      <c r="A12575"/>
      <c r="B12575" s="72"/>
      <c r="C12575" s="88"/>
      <c r="E12575" s="72"/>
      <c r="H12575" s="49"/>
      <c r="K12575" s="48"/>
      <c r="L12575" s="89"/>
    </row>
    <row r="12576" spans="1:12" x14ac:dyDescent="0.3">
      <c r="A12576"/>
      <c r="B12576" s="72"/>
      <c r="C12576" s="88"/>
      <c r="E12576" s="72"/>
      <c r="H12576" s="49"/>
      <c r="K12576" s="48"/>
      <c r="L12576" s="89"/>
    </row>
    <row r="12577" spans="1:12" x14ac:dyDescent="0.3">
      <c r="A12577"/>
      <c r="B12577" s="72"/>
      <c r="C12577" s="88"/>
      <c r="E12577" s="72"/>
      <c r="H12577" s="49"/>
      <c r="K12577" s="48"/>
      <c r="L12577" s="89"/>
    </row>
    <row r="12578" spans="1:12" x14ac:dyDescent="0.3">
      <c r="A12578"/>
      <c r="B12578" s="72"/>
      <c r="C12578" s="88"/>
      <c r="E12578" s="72"/>
      <c r="H12578" s="49"/>
      <c r="K12578" s="48"/>
      <c r="L12578" s="89"/>
    </row>
    <row r="12579" spans="1:12" x14ac:dyDescent="0.3">
      <c r="A12579"/>
      <c r="B12579" s="72"/>
      <c r="C12579" s="88"/>
      <c r="E12579" s="72"/>
      <c r="H12579" s="49"/>
      <c r="K12579" s="48"/>
      <c r="L12579" s="89"/>
    </row>
    <row r="12580" spans="1:12" x14ac:dyDescent="0.3">
      <c r="A12580"/>
      <c r="B12580" s="72"/>
      <c r="C12580" s="88"/>
      <c r="E12580" s="72"/>
      <c r="H12580" s="49"/>
      <c r="K12580" s="48"/>
      <c r="L12580" s="89"/>
    </row>
    <row r="12581" spans="1:12" x14ac:dyDescent="0.3">
      <c r="A12581"/>
      <c r="B12581" s="72"/>
      <c r="C12581" s="88"/>
      <c r="E12581" s="72"/>
      <c r="H12581" s="49"/>
      <c r="K12581" s="48"/>
      <c r="L12581" s="89"/>
    </row>
    <row r="12582" spans="1:12" x14ac:dyDescent="0.3">
      <c r="A12582"/>
      <c r="B12582" s="72"/>
      <c r="C12582" s="88"/>
      <c r="E12582" s="72"/>
      <c r="H12582" s="49"/>
      <c r="K12582" s="48"/>
      <c r="L12582" s="89"/>
    </row>
    <row r="12583" spans="1:12" x14ac:dyDescent="0.3">
      <c r="A12583"/>
      <c r="B12583" s="72"/>
      <c r="C12583" s="88"/>
      <c r="E12583" s="72"/>
      <c r="H12583" s="49"/>
      <c r="K12583" s="48"/>
      <c r="L12583" s="89"/>
    </row>
    <row r="12584" spans="1:12" x14ac:dyDescent="0.3">
      <c r="A12584"/>
      <c r="B12584" s="72"/>
      <c r="C12584" s="88"/>
      <c r="E12584" s="72"/>
      <c r="H12584" s="49"/>
      <c r="K12584" s="48"/>
      <c r="L12584" s="89"/>
    </row>
    <row r="12585" spans="1:12" x14ac:dyDescent="0.3">
      <c r="A12585"/>
      <c r="B12585" s="72"/>
      <c r="C12585" s="88"/>
      <c r="E12585" s="72"/>
      <c r="H12585" s="49"/>
      <c r="K12585" s="48"/>
      <c r="L12585" s="89"/>
    </row>
    <row r="12586" spans="1:12" x14ac:dyDescent="0.3">
      <c r="A12586"/>
      <c r="B12586" s="72"/>
      <c r="C12586" s="88"/>
      <c r="E12586" s="72"/>
      <c r="H12586" s="49"/>
      <c r="K12586" s="48"/>
      <c r="L12586" s="89"/>
    </row>
    <row r="12587" spans="1:12" x14ac:dyDescent="0.3">
      <c r="A12587"/>
      <c r="B12587" s="72"/>
      <c r="C12587" s="88"/>
      <c r="E12587" s="72"/>
      <c r="H12587" s="49"/>
      <c r="K12587" s="48"/>
      <c r="L12587" s="89"/>
    </row>
    <row r="12588" spans="1:12" x14ac:dyDescent="0.3">
      <c r="A12588"/>
      <c r="B12588" s="72"/>
      <c r="C12588" s="88"/>
      <c r="E12588" s="72"/>
      <c r="H12588" s="49"/>
      <c r="K12588" s="48"/>
      <c r="L12588" s="89"/>
    </row>
    <row r="12589" spans="1:12" x14ac:dyDescent="0.3">
      <c r="A12589"/>
      <c r="B12589" s="72"/>
      <c r="C12589" s="88"/>
      <c r="E12589" s="72"/>
      <c r="H12589" s="49"/>
      <c r="K12589" s="48"/>
      <c r="L12589" s="89"/>
    </row>
    <row r="12590" spans="1:12" x14ac:dyDescent="0.3">
      <c r="A12590"/>
      <c r="B12590" s="72"/>
      <c r="C12590" s="88"/>
      <c r="E12590" s="72"/>
      <c r="H12590" s="49"/>
      <c r="K12590" s="48"/>
      <c r="L12590" s="89"/>
    </row>
    <row r="12591" spans="1:12" x14ac:dyDescent="0.3">
      <c r="A12591"/>
      <c r="B12591" s="72"/>
      <c r="C12591" s="88"/>
      <c r="E12591" s="72"/>
      <c r="H12591" s="49"/>
      <c r="K12591" s="48"/>
      <c r="L12591" s="89"/>
    </row>
    <row r="12592" spans="1:12" x14ac:dyDescent="0.3">
      <c r="A12592"/>
      <c r="B12592" s="72"/>
      <c r="C12592" s="88"/>
      <c r="E12592" s="72"/>
      <c r="H12592" s="49"/>
      <c r="K12592" s="48"/>
      <c r="L12592" s="89"/>
    </row>
    <row r="12593" spans="1:12" x14ac:dyDescent="0.3">
      <c r="A12593"/>
      <c r="B12593" s="72"/>
      <c r="C12593" s="88"/>
      <c r="E12593" s="72"/>
      <c r="H12593" s="49"/>
      <c r="K12593" s="48"/>
      <c r="L12593" s="89"/>
    </row>
    <row r="12594" spans="1:12" x14ac:dyDescent="0.3">
      <c r="A12594"/>
      <c r="B12594" s="72"/>
      <c r="C12594" s="88"/>
      <c r="E12594" s="72"/>
      <c r="H12594" s="49"/>
      <c r="K12594" s="48"/>
      <c r="L12594" s="89"/>
    </row>
    <row r="12595" spans="1:12" x14ac:dyDescent="0.3">
      <c r="A12595"/>
      <c r="B12595" s="72"/>
      <c r="C12595" s="88"/>
      <c r="E12595" s="72"/>
      <c r="H12595" s="49"/>
      <c r="K12595" s="48"/>
      <c r="L12595" s="89"/>
    </row>
    <row r="12596" spans="1:12" x14ac:dyDescent="0.3">
      <c r="A12596"/>
      <c r="B12596" s="72"/>
      <c r="C12596" s="88"/>
      <c r="E12596" s="72"/>
      <c r="H12596" s="49"/>
      <c r="K12596" s="48"/>
      <c r="L12596" s="89"/>
    </row>
    <row r="12597" spans="1:12" x14ac:dyDescent="0.3">
      <c r="A12597"/>
      <c r="B12597" s="72"/>
      <c r="C12597" s="88"/>
      <c r="E12597" s="72"/>
      <c r="H12597" s="49"/>
      <c r="K12597" s="48"/>
      <c r="L12597" s="89"/>
    </row>
    <row r="12598" spans="1:12" x14ac:dyDescent="0.3">
      <c r="A12598"/>
      <c r="B12598" s="72"/>
      <c r="C12598" s="88"/>
      <c r="E12598" s="72"/>
      <c r="H12598" s="49"/>
      <c r="K12598" s="48"/>
      <c r="L12598" s="89"/>
    </row>
    <row r="12599" spans="1:12" x14ac:dyDescent="0.3">
      <c r="A12599"/>
      <c r="B12599" s="72"/>
      <c r="C12599" s="88"/>
      <c r="E12599" s="72"/>
      <c r="H12599" s="49"/>
      <c r="K12599" s="48"/>
      <c r="L12599" s="89"/>
    </row>
    <row r="12600" spans="1:12" x14ac:dyDescent="0.3">
      <c r="A12600"/>
      <c r="B12600" s="72"/>
      <c r="C12600" s="88"/>
      <c r="E12600" s="72"/>
      <c r="H12600" s="49"/>
      <c r="K12600" s="48"/>
      <c r="L12600" s="89"/>
    </row>
    <row r="12601" spans="1:12" x14ac:dyDescent="0.3">
      <c r="A12601"/>
      <c r="B12601" s="72"/>
      <c r="C12601" s="88"/>
      <c r="E12601" s="72"/>
      <c r="H12601" s="49"/>
      <c r="K12601" s="48"/>
      <c r="L12601" s="89"/>
    </row>
    <row r="12602" spans="1:12" x14ac:dyDescent="0.3">
      <c r="A12602"/>
      <c r="B12602" s="72"/>
      <c r="C12602" s="88"/>
      <c r="E12602" s="72"/>
      <c r="H12602" s="49"/>
      <c r="K12602" s="48"/>
      <c r="L12602" s="89"/>
    </row>
    <row r="12603" spans="1:12" x14ac:dyDescent="0.3">
      <c r="A12603"/>
      <c r="B12603" s="72"/>
      <c r="C12603" s="88"/>
      <c r="E12603" s="72"/>
      <c r="H12603" s="49"/>
      <c r="K12603" s="48"/>
      <c r="L12603" s="89"/>
    </row>
    <row r="12604" spans="1:12" x14ac:dyDescent="0.3">
      <c r="A12604"/>
      <c r="B12604" s="72"/>
      <c r="C12604" s="88"/>
      <c r="E12604" s="72"/>
      <c r="H12604" s="49"/>
      <c r="K12604" s="48"/>
      <c r="L12604" s="89"/>
    </row>
    <row r="12605" spans="1:12" x14ac:dyDescent="0.3">
      <c r="A12605"/>
      <c r="B12605" s="72"/>
      <c r="C12605" s="88"/>
      <c r="E12605" s="72"/>
      <c r="H12605" s="49"/>
      <c r="K12605" s="48"/>
      <c r="L12605" s="89"/>
    </row>
    <row r="12606" spans="1:12" x14ac:dyDescent="0.3">
      <c r="A12606"/>
      <c r="B12606" s="72"/>
      <c r="C12606" s="88"/>
      <c r="E12606" s="72"/>
      <c r="H12606" s="49"/>
      <c r="K12606" s="48"/>
      <c r="L12606" s="89"/>
    </row>
    <row r="12607" spans="1:12" x14ac:dyDescent="0.3">
      <c r="A12607"/>
      <c r="B12607" s="72"/>
      <c r="C12607" s="88"/>
      <c r="E12607" s="72"/>
      <c r="H12607" s="49"/>
      <c r="K12607" s="48"/>
      <c r="L12607" s="89"/>
    </row>
    <row r="12608" spans="1:12" x14ac:dyDescent="0.3">
      <c r="A12608"/>
      <c r="B12608" s="72"/>
      <c r="C12608" s="88"/>
      <c r="E12608" s="72"/>
      <c r="H12608" s="49"/>
      <c r="K12608" s="48"/>
      <c r="L12608" s="89"/>
    </row>
    <row r="12609" spans="1:12" x14ac:dyDescent="0.3">
      <c r="A12609"/>
      <c r="B12609" s="72"/>
      <c r="C12609" s="88"/>
      <c r="E12609" s="72"/>
      <c r="H12609" s="49"/>
      <c r="K12609" s="48"/>
      <c r="L12609" s="89"/>
    </row>
    <row r="12610" spans="1:12" x14ac:dyDescent="0.3">
      <c r="A12610"/>
      <c r="B12610" s="72"/>
      <c r="C12610" s="88"/>
      <c r="E12610" s="72"/>
      <c r="H12610" s="49"/>
      <c r="K12610" s="48"/>
      <c r="L12610" s="89"/>
    </row>
    <row r="12611" spans="1:12" x14ac:dyDescent="0.3">
      <c r="A12611"/>
      <c r="B12611" s="72"/>
      <c r="C12611" s="88"/>
      <c r="E12611" s="72"/>
      <c r="H12611" s="49"/>
      <c r="K12611" s="48"/>
      <c r="L12611" s="89"/>
    </row>
    <row r="12612" spans="1:12" x14ac:dyDescent="0.3">
      <c r="A12612"/>
      <c r="B12612" s="72"/>
      <c r="C12612" s="88"/>
      <c r="E12612" s="72"/>
      <c r="H12612" s="49"/>
      <c r="K12612" s="48"/>
      <c r="L12612" s="89"/>
    </row>
    <row r="12613" spans="1:12" x14ac:dyDescent="0.3">
      <c r="A12613"/>
      <c r="B12613" s="72"/>
      <c r="C12613" s="88"/>
      <c r="E12613" s="72"/>
      <c r="H12613" s="49"/>
      <c r="K12613" s="48"/>
      <c r="L12613" s="89"/>
    </row>
    <row r="12614" spans="1:12" x14ac:dyDescent="0.3">
      <c r="A12614"/>
      <c r="B12614" s="72"/>
      <c r="C12614" s="88"/>
      <c r="E12614" s="72"/>
      <c r="H12614" s="49"/>
      <c r="K12614" s="48"/>
      <c r="L12614" s="89"/>
    </row>
    <row r="12615" spans="1:12" x14ac:dyDescent="0.3">
      <c r="A12615"/>
      <c r="B12615" s="72"/>
      <c r="C12615" s="88"/>
      <c r="E12615" s="72"/>
      <c r="H12615" s="49"/>
      <c r="K12615" s="48"/>
      <c r="L12615" s="89"/>
    </row>
    <row r="12616" spans="1:12" x14ac:dyDescent="0.3">
      <c r="A12616"/>
      <c r="B12616" s="72"/>
      <c r="C12616" s="88"/>
      <c r="E12616" s="72"/>
      <c r="H12616" s="49"/>
      <c r="K12616" s="48"/>
      <c r="L12616" s="89"/>
    </row>
    <row r="12617" spans="1:12" x14ac:dyDescent="0.3">
      <c r="A12617"/>
      <c r="B12617" s="72"/>
      <c r="C12617" s="88"/>
      <c r="E12617" s="72"/>
      <c r="H12617" s="49"/>
      <c r="K12617" s="48"/>
      <c r="L12617" s="89"/>
    </row>
    <row r="12618" spans="1:12" x14ac:dyDescent="0.3">
      <c r="A12618"/>
      <c r="B12618" s="72"/>
      <c r="C12618" s="88"/>
      <c r="E12618" s="72"/>
      <c r="H12618" s="49"/>
      <c r="K12618" s="48"/>
      <c r="L12618" s="89"/>
    </row>
    <row r="12619" spans="1:12" x14ac:dyDescent="0.3">
      <c r="A12619"/>
      <c r="B12619" s="72"/>
      <c r="C12619" s="88"/>
      <c r="E12619" s="72"/>
      <c r="H12619" s="49"/>
      <c r="K12619" s="48"/>
      <c r="L12619" s="89"/>
    </row>
    <row r="12620" spans="1:12" x14ac:dyDescent="0.3">
      <c r="A12620"/>
      <c r="B12620" s="72"/>
      <c r="C12620" s="88"/>
      <c r="E12620" s="72"/>
      <c r="H12620" s="49"/>
      <c r="K12620" s="48"/>
      <c r="L12620" s="89"/>
    </row>
    <row r="12621" spans="1:12" x14ac:dyDescent="0.3">
      <c r="A12621"/>
      <c r="B12621" s="72"/>
      <c r="C12621" s="88"/>
      <c r="E12621" s="72"/>
      <c r="H12621" s="49"/>
      <c r="K12621" s="48"/>
      <c r="L12621" s="89"/>
    </row>
    <row r="12622" spans="1:12" x14ac:dyDescent="0.3">
      <c r="A12622"/>
      <c r="B12622" s="72"/>
      <c r="C12622" s="88"/>
      <c r="E12622" s="72"/>
      <c r="H12622" s="49"/>
      <c r="K12622" s="48"/>
      <c r="L12622" s="89"/>
    </row>
    <row r="12623" spans="1:12" x14ac:dyDescent="0.3">
      <c r="A12623"/>
      <c r="B12623" s="72"/>
      <c r="C12623" s="88"/>
      <c r="E12623" s="72"/>
      <c r="H12623" s="49"/>
      <c r="K12623" s="48"/>
      <c r="L12623" s="89"/>
    </row>
    <row r="12624" spans="1:12" x14ac:dyDescent="0.3">
      <c r="A12624"/>
      <c r="B12624" s="72"/>
      <c r="C12624" s="88"/>
      <c r="E12624" s="72"/>
      <c r="H12624" s="49"/>
      <c r="K12624" s="48"/>
      <c r="L12624" s="89"/>
    </row>
    <row r="12625" spans="8:12" x14ac:dyDescent="0.3">
      <c r="H12625" s="49"/>
      <c r="K12625" s="48"/>
      <c r="L12625" s="89"/>
    </row>
    <row r="12626" spans="8:12" x14ac:dyDescent="0.3">
      <c r="H12626" s="49"/>
      <c r="K12626" s="48"/>
      <c r="L12626" s="89"/>
    </row>
    <row r="12627" spans="8:12" x14ac:dyDescent="0.3">
      <c r="H12627" s="49"/>
      <c r="K12627" s="48"/>
      <c r="L12627" s="89"/>
    </row>
    <row r="12628" spans="8:12" x14ac:dyDescent="0.3">
      <c r="H12628" s="49"/>
      <c r="K12628" s="48"/>
      <c r="L12628" s="89"/>
    </row>
    <row r="12629" spans="8:12" x14ac:dyDescent="0.3">
      <c r="H12629" s="49"/>
      <c r="K12629" s="48"/>
      <c r="L12629" s="89"/>
    </row>
    <row r="12630" spans="8:12" x14ac:dyDescent="0.3">
      <c r="H12630" s="49"/>
      <c r="K12630" s="48"/>
      <c r="L12630" s="89"/>
    </row>
    <row r="12631" spans="8:12" x14ac:dyDescent="0.3">
      <c r="H12631" s="49"/>
      <c r="K12631" s="48"/>
      <c r="L12631" s="89"/>
    </row>
    <row r="12632" spans="8:12" x14ac:dyDescent="0.3">
      <c r="H12632" s="49"/>
      <c r="K12632" s="48"/>
      <c r="L12632" s="89"/>
    </row>
    <row r="12633" spans="8:12" x14ac:dyDescent="0.3">
      <c r="H12633" s="49"/>
      <c r="K12633" s="48"/>
      <c r="L12633" s="89"/>
    </row>
    <row r="12634" spans="8:12" x14ac:dyDescent="0.3">
      <c r="H12634" s="49"/>
      <c r="K12634" s="48"/>
      <c r="L12634" s="89"/>
    </row>
    <row r="12635" spans="8:12" x14ac:dyDescent="0.3">
      <c r="H12635" s="49"/>
      <c r="K12635" s="48"/>
      <c r="L12635" s="89"/>
    </row>
    <row r="12636" spans="8:12" x14ac:dyDescent="0.3">
      <c r="H12636" s="49"/>
      <c r="K12636" s="48"/>
      <c r="L12636" s="89"/>
    </row>
    <row r="12637" spans="8:12" x14ac:dyDescent="0.3">
      <c r="H12637" s="49"/>
      <c r="K12637" s="48"/>
      <c r="L12637" s="89"/>
    </row>
    <row r="12638" spans="8:12" x14ac:dyDescent="0.3">
      <c r="H12638" s="49"/>
      <c r="K12638" s="48"/>
      <c r="L12638" s="89"/>
    </row>
    <row r="12639" spans="8:12" x14ac:dyDescent="0.3">
      <c r="H12639" s="49"/>
      <c r="K12639" s="48"/>
      <c r="L12639" s="89"/>
    </row>
    <row r="12640" spans="8:12" x14ac:dyDescent="0.3">
      <c r="H12640" s="49"/>
      <c r="K12640" s="48"/>
      <c r="L12640" s="89"/>
    </row>
    <row r="12641" spans="8:12" x14ac:dyDescent="0.3">
      <c r="H12641" s="49"/>
      <c r="K12641" s="48"/>
      <c r="L12641" s="89"/>
    </row>
    <row r="12642" spans="8:12" x14ac:dyDescent="0.3">
      <c r="H12642" s="49"/>
      <c r="K12642" s="48"/>
      <c r="L12642" s="89"/>
    </row>
    <row r="12643" spans="8:12" x14ac:dyDescent="0.3">
      <c r="H12643" s="49"/>
      <c r="K12643" s="48"/>
      <c r="L12643" s="89"/>
    </row>
    <row r="12644" spans="8:12" x14ac:dyDescent="0.3">
      <c r="H12644" s="49"/>
      <c r="K12644" s="48"/>
      <c r="L12644" s="89"/>
    </row>
    <row r="12645" spans="8:12" x14ac:dyDescent="0.3">
      <c r="H12645" s="49"/>
      <c r="K12645" s="48"/>
      <c r="L12645" s="89"/>
    </row>
    <row r="12646" spans="8:12" x14ac:dyDescent="0.3">
      <c r="H12646" s="49"/>
      <c r="K12646" s="48"/>
      <c r="L12646" s="89"/>
    </row>
    <row r="12647" spans="8:12" x14ac:dyDescent="0.3">
      <c r="H12647" s="49"/>
      <c r="K12647" s="48"/>
      <c r="L12647" s="89"/>
    </row>
    <row r="12648" spans="8:12" x14ac:dyDescent="0.3">
      <c r="H12648" s="49"/>
      <c r="K12648" s="48"/>
      <c r="L12648" s="89"/>
    </row>
    <row r="12649" spans="8:12" x14ac:dyDescent="0.3">
      <c r="H12649" s="49"/>
      <c r="K12649" s="48"/>
      <c r="L12649" s="89"/>
    </row>
    <row r="12650" spans="8:12" x14ac:dyDescent="0.3">
      <c r="H12650" s="49"/>
      <c r="K12650" s="48"/>
      <c r="L12650" s="89"/>
    </row>
    <row r="12651" spans="8:12" x14ac:dyDescent="0.3">
      <c r="H12651" s="49"/>
      <c r="K12651" s="48"/>
      <c r="L12651" s="89"/>
    </row>
    <row r="12652" spans="8:12" x14ac:dyDescent="0.3">
      <c r="H12652" s="49"/>
      <c r="K12652" s="48"/>
      <c r="L12652" s="89"/>
    </row>
    <row r="12653" spans="8:12" x14ac:dyDescent="0.3">
      <c r="H12653" s="49"/>
      <c r="K12653" s="48"/>
      <c r="L12653" s="89"/>
    </row>
    <row r="12654" spans="8:12" x14ac:dyDescent="0.3">
      <c r="H12654" s="49"/>
      <c r="K12654" s="48"/>
      <c r="L12654" s="89"/>
    </row>
    <row r="12655" spans="8:12" x14ac:dyDescent="0.3">
      <c r="H12655" s="49"/>
      <c r="K12655" s="48"/>
      <c r="L12655" s="89"/>
    </row>
    <row r="12656" spans="8:12" x14ac:dyDescent="0.3">
      <c r="H12656" s="49"/>
      <c r="K12656" s="48"/>
      <c r="L12656" s="89"/>
    </row>
    <row r="12657" spans="8:12" x14ac:dyDescent="0.3">
      <c r="H12657" s="49"/>
      <c r="K12657" s="48"/>
      <c r="L12657" s="89"/>
    </row>
    <row r="12658" spans="8:12" x14ac:dyDescent="0.3">
      <c r="H12658" s="49"/>
      <c r="K12658" s="48"/>
      <c r="L12658" s="89"/>
    </row>
    <row r="12659" spans="8:12" x14ac:dyDescent="0.3">
      <c r="H12659" s="49"/>
      <c r="K12659" s="48"/>
      <c r="L12659" s="89"/>
    </row>
    <row r="12660" spans="8:12" x14ac:dyDescent="0.3">
      <c r="H12660" s="49"/>
      <c r="K12660" s="48"/>
      <c r="L12660" s="89"/>
    </row>
    <row r="12661" spans="8:12" x14ac:dyDescent="0.3">
      <c r="H12661" s="49"/>
      <c r="K12661" s="48"/>
      <c r="L12661" s="89"/>
    </row>
    <row r="12662" spans="8:12" x14ac:dyDescent="0.3">
      <c r="H12662" s="49"/>
      <c r="K12662" s="48"/>
      <c r="L12662" s="89"/>
    </row>
    <row r="12663" spans="8:12" x14ac:dyDescent="0.3">
      <c r="H12663" s="49"/>
      <c r="K12663" s="48"/>
      <c r="L12663" s="89"/>
    </row>
    <row r="12664" spans="8:12" x14ac:dyDescent="0.3">
      <c r="H12664" s="49"/>
      <c r="K12664" s="48"/>
      <c r="L12664" s="89"/>
    </row>
    <row r="12665" spans="8:12" x14ac:dyDescent="0.3">
      <c r="H12665" s="49"/>
      <c r="K12665" s="48"/>
      <c r="L12665" s="89"/>
    </row>
    <row r="12666" spans="8:12" x14ac:dyDescent="0.3">
      <c r="H12666" s="49"/>
      <c r="K12666" s="48"/>
      <c r="L12666" s="89"/>
    </row>
    <row r="12667" spans="8:12" x14ac:dyDescent="0.3">
      <c r="H12667" s="49"/>
      <c r="K12667" s="48"/>
      <c r="L12667" s="89"/>
    </row>
    <row r="12668" spans="8:12" x14ac:dyDescent="0.3">
      <c r="H12668" s="49"/>
      <c r="K12668" s="48"/>
      <c r="L12668" s="89"/>
    </row>
    <row r="12669" spans="8:12" x14ac:dyDescent="0.3">
      <c r="H12669" s="49"/>
      <c r="K12669" s="48"/>
      <c r="L12669" s="89"/>
    </row>
    <row r="12670" spans="8:12" x14ac:dyDescent="0.3">
      <c r="H12670" s="49"/>
      <c r="K12670" s="48"/>
      <c r="L12670" s="89"/>
    </row>
    <row r="12671" spans="8:12" x14ac:dyDescent="0.3">
      <c r="H12671" s="49"/>
      <c r="K12671" s="48"/>
      <c r="L12671" s="89"/>
    </row>
    <row r="12672" spans="8:12" x14ac:dyDescent="0.3">
      <c r="H12672" s="49"/>
      <c r="K12672" s="48"/>
      <c r="L12672" s="89"/>
    </row>
    <row r="12673" spans="8:12" x14ac:dyDescent="0.3">
      <c r="H12673" s="49"/>
      <c r="K12673" s="48"/>
      <c r="L12673" s="89"/>
    </row>
    <row r="12674" spans="8:12" x14ac:dyDescent="0.3">
      <c r="H12674" s="49"/>
      <c r="K12674" s="48"/>
      <c r="L12674" s="89"/>
    </row>
    <row r="12675" spans="8:12" x14ac:dyDescent="0.3">
      <c r="H12675" s="49"/>
      <c r="K12675" s="48"/>
      <c r="L12675" s="89"/>
    </row>
    <row r="12676" spans="8:12" x14ac:dyDescent="0.3">
      <c r="H12676" s="49"/>
      <c r="K12676" s="48"/>
      <c r="L12676" s="89"/>
    </row>
    <row r="12677" spans="8:12" x14ac:dyDescent="0.3">
      <c r="H12677" s="49"/>
      <c r="K12677" s="48"/>
      <c r="L12677" s="89"/>
    </row>
    <row r="12678" spans="8:12" x14ac:dyDescent="0.3">
      <c r="H12678" s="49"/>
      <c r="K12678" s="48"/>
      <c r="L12678" s="89"/>
    </row>
    <row r="12679" spans="8:12" x14ac:dyDescent="0.3">
      <c r="H12679" s="49"/>
      <c r="K12679" s="48"/>
      <c r="L12679" s="89"/>
    </row>
    <row r="12680" spans="8:12" x14ac:dyDescent="0.3">
      <c r="H12680" s="49"/>
      <c r="K12680" s="48"/>
      <c r="L12680" s="89"/>
    </row>
    <row r="12681" spans="8:12" x14ac:dyDescent="0.3">
      <c r="H12681" s="49"/>
      <c r="K12681" s="48"/>
      <c r="L12681" s="89"/>
    </row>
    <row r="12682" spans="8:12" x14ac:dyDescent="0.3">
      <c r="H12682" s="49"/>
      <c r="K12682" s="48"/>
      <c r="L12682" s="89"/>
    </row>
    <row r="12683" spans="8:12" x14ac:dyDescent="0.3">
      <c r="H12683" s="49"/>
      <c r="K12683" s="48"/>
      <c r="L12683" s="89"/>
    </row>
    <row r="12684" spans="8:12" x14ac:dyDescent="0.3">
      <c r="H12684" s="49"/>
      <c r="K12684" s="48"/>
      <c r="L12684" s="89"/>
    </row>
    <row r="12685" spans="8:12" x14ac:dyDescent="0.3">
      <c r="H12685" s="49"/>
      <c r="K12685" s="48"/>
      <c r="L12685" s="89"/>
    </row>
    <row r="12686" spans="8:12" x14ac:dyDescent="0.3">
      <c r="H12686" s="49"/>
      <c r="K12686" s="48"/>
      <c r="L12686" s="89"/>
    </row>
    <row r="12687" spans="8:12" x14ac:dyDescent="0.3">
      <c r="H12687" s="49"/>
      <c r="K12687" s="48"/>
      <c r="L12687" s="89"/>
    </row>
    <row r="12688" spans="8:12" x14ac:dyDescent="0.3">
      <c r="H12688" s="49"/>
      <c r="K12688" s="48"/>
      <c r="L12688" s="89"/>
    </row>
    <row r="12689" spans="8:12" x14ac:dyDescent="0.3">
      <c r="H12689" s="49"/>
      <c r="K12689" s="48"/>
      <c r="L12689" s="89"/>
    </row>
    <row r="12690" spans="8:12" x14ac:dyDescent="0.3">
      <c r="H12690" s="49"/>
      <c r="K12690" s="48"/>
      <c r="L12690" s="89"/>
    </row>
    <row r="12691" spans="8:12" x14ac:dyDescent="0.3">
      <c r="H12691" s="49"/>
      <c r="K12691" s="48"/>
      <c r="L12691" s="89"/>
    </row>
    <row r="12692" spans="8:12" x14ac:dyDescent="0.3">
      <c r="H12692" s="49"/>
      <c r="K12692" s="48"/>
      <c r="L12692" s="89"/>
    </row>
    <row r="12693" spans="8:12" x14ac:dyDescent="0.3">
      <c r="H12693" s="49"/>
      <c r="K12693" s="48"/>
      <c r="L12693" s="89"/>
    </row>
    <row r="12694" spans="8:12" x14ac:dyDescent="0.3">
      <c r="H12694" s="49"/>
      <c r="K12694" s="48"/>
      <c r="L12694" s="89"/>
    </row>
    <row r="12695" spans="8:12" x14ac:dyDescent="0.3">
      <c r="H12695" s="49"/>
      <c r="K12695" s="48"/>
      <c r="L12695" s="89"/>
    </row>
    <row r="12696" spans="8:12" x14ac:dyDescent="0.3">
      <c r="H12696" s="49"/>
      <c r="K12696" s="48"/>
      <c r="L12696" s="89"/>
    </row>
    <row r="12697" spans="8:12" x14ac:dyDescent="0.3">
      <c r="H12697" s="49"/>
      <c r="K12697" s="48"/>
      <c r="L12697" s="89"/>
    </row>
    <row r="12698" spans="8:12" x14ac:dyDescent="0.3">
      <c r="H12698" s="49"/>
      <c r="K12698" s="48"/>
      <c r="L12698" s="89"/>
    </row>
    <row r="12699" spans="8:12" x14ac:dyDescent="0.3">
      <c r="H12699" s="49"/>
      <c r="K12699" s="48"/>
      <c r="L12699" s="89"/>
    </row>
    <row r="12700" spans="8:12" x14ac:dyDescent="0.3">
      <c r="H12700" s="49"/>
      <c r="K12700" s="48"/>
      <c r="L12700" s="89"/>
    </row>
    <row r="12701" spans="8:12" x14ac:dyDescent="0.3">
      <c r="H12701" s="49"/>
      <c r="K12701" s="48"/>
      <c r="L12701" s="89"/>
    </row>
    <row r="12702" spans="8:12" x14ac:dyDescent="0.3">
      <c r="H12702" s="49"/>
      <c r="K12702" s="48"/>
      <c r="L12702" s="89"/>
    </row>
    <row r="12703" spans="8:12" x14ac:dyDescent="0.3">
      <c r="H12703" s="49"/>
      <c r="K12703" s="48"/>
      <c r="L12703" s="89"/>
    </row>
    <row r="12704" spans="8:12" x14ac:dyDescent="0.3">
      <c r="H12704" s="49"/>
      <c r="K12704" s="48"/>
      <c r="L12704" s="89"/>
    </row>
    <row r="12705" spans="8:12" x14ac:dyDescent="0.3">
      <c r="H12705" s="49"/>
      <c r="K12705" s="48"/>
      <c r="L12705" s="89"/>
    </row>
    <row r="12706" spans="8:12" x14ac:dyDescent="0.3">
      <c r="H12706" s="49"/>
      <c r="K12706" s="48"/>
      <c r="L12706" s="89"/>
    </row>
    <row r="12707" spans="8:12" x14ac:dyDescent="0.3">
      <c r="H12707" s="49"/>
      <c r="K12707" s="48"/>
      <c r="L12707" s="89"/>
    </row>
    <row r="12708" spans="8:12" x14ac:dyDescent="0.3">
      <c r="H12708" s="49"/>
      <c r="K12708" s="48"/>
      <c r="L12708" s="89"/>
    </row>
    <row r="12709" spans="8:12" x14ac:dyDescent="0.3">
      <c r="H12709" s="49"/>
      <c r="K12709" s="48"/>
      <c r="L12709" s="89"/>
    </row>
    <row r="12710" spans="8:12" x14ac:dyDescent="0.3">
      <c r="H12710" s="49"/>
      <c r="K12710" s="48"/>
      <c r="L12710" s="89"/>
    </row>
    <row r="12711" spans="8:12" x14ac:dyDescent="0.3">
      <c r="H12711" s="49"/>
      <c r="K12711" s="48"/>
      <c r="L12711" s="89"/>
    </row>
    <row r="12712" spans="8:12" x14ac:dyDescent="0.3">
      <c r="H12712" s="49"/>
      <c r="K12712" s="48"/>
      <c r="L12712" s="89"/>
    </row>
    <row r="12713" spans="8:12" x14ac:dyDescent="0.3">
      <c r="H12713" s="49"/>
      <c r="K12713" s="48"/>
      <c r="L12713" s="89"/>
    </row>
    <row r="12714" spans="8:12" x14ac:dyDescent="0.3">
      <c r="H12714" s="49"/>
      <c r="K12714" s="48"/>
      <c r="L12714" s="89"/>
    </row>
    <row r="12715" spans="8:12" x14ac:dyDescent="0.3">
      <c r="H12715" s="49"/>
      <c r="K12715" s="48"/>
      <c r="L12715" s="89"/>
    </row>
    <row r="12716" spans="8:12" x14ac:dyDescent="0.3">
      <c r="H12716" s="49"/>
      <c r="K12716" s="48"/>
      <c r="L12716" s="89"/>
    </row>
    <row r="12717" spans="8:12" x14ac:dyDescent="0.3">
      <c r="H12717" s="49"/>
      <c r="K12717" s="48"/>
      <c r="L12717" s="89"/>
    </row>
    <row r="12718" spans="8:12" x14ac:dyDescent="0.3">
      <c r="H12718" s="49"/>
      <c r="K12718" s="48"/>
      <c r="L12718" s="89"/>
    </row>
    <row r="12719" spans="8:12" x14ac:dyDescent="0.3">
      <c r="H12719" s="49"/>
      <c r="K12719" s="48"/>
      <c r="L12719" s="89"/>
    </row>
    <row r="12720" spans="8:12" x14ac:dyDescent="0.3">
      <c r="H12720" s="49"/>
      <c r="K12720" s="48"/>
      <c r="L12720" s="89"/>
    </row>
    <row r="12721" spans="8:12" x14ac:dyDescent="0.3">
      <c r="H12721" s="49"/>
      <c r="K12721" s="48"/>
      <c r="L12721" s="89"/>
    </row>
    <row r="12722" spans="8:12" x14ac:dyDescent="0.3">
      <c r="H12722" s="49"/>
      <c r="K12722" s="48"/>
      <c r="L12722" s="89"/>
    </row>
    <row r="12723" spans="8:12" x14ac:dyDescent="0.3">
      <c r="H12723" s="49"/>
      <c r="K12723" s="48"/>
      <c r="L12723" s="89"/>
    </row>
    <row r="12724" spans="8:12" x14ac:dyDescent="0.3">
      <c r="H12724" s="49"/>
      <c r="K12724" s="48"/>
      <c r="L12724" s="89"/>
    </row>
    <row r="12725" spans="8:12" x14ac:dyDescent="0.3">
      <c r="H12725" s="49"/>
      <c r="K12725" s="48"/>
      <c r="L12725" s="89"/>
    </row>
    <row r="12726" spans="8:12" x14ac:dyDescent="0.3">
      <c r="H12726" s="49"/>
      <c r="K12726" s="48"/>
      <c r="L12726" s="89"/>
    </row>
    <row r="12727" spans="8:12" x14ac:dyDescent="0.3">
      <c r="H12727" s="49"/>
      <c r="K12727" s="48"/>
      <c r="L12727" s="89"/>
    </row>
    <row r="12728" spans="8:12" x14ac:dyDescent="0.3">
      <c r="H12728" s="49"/>
      <c r="K12728" s="48"/>
      <c r="L12728" s="89"/>
    </row>
    <row r="12729" spans="8:12" x14ac:dyDescent="0.3">
      <c r="H12729" s="49"/>
      <c r="K12729" s="48"/>
      <c r="L12729" s="89"/>
    </row>
    <row r="12730" spans="8:12" x14ac:dyDescent="0.3">
      <c r="H12730" s="49"/>
      <c r="K12730" s="48"/>
      <c r="L12730" s="89"/>
    </row>
    <row r="12731" spans="8:12" x14ac:dyDescent="0.3">
      <c r="H12731" s="49"/>
      <c r="K12731" s="48"/>
      <c r="L12731" s="89"/>
    </row>
    <row r="12732" spans="8:12" x14ac:dyDescent="0.3">
      <c r="H12732" s="49"/>
      <c r="K12732" s="48"/>
      <c r="L12732" s="89"/>
    </row>
    <row r="12733" spans="8:12" x14ac:dyDescent="0.3">
      <c r="H12733" s="49"/>
      <c r="K12733" s="48"/>
      <c r="L12733" s="89"/>
    </row>
    <row r="12734" spans="8:12" x14ac:dyDescent="0.3">
      <c r="H12734" s="49"/>
      <c r="K12734" s="48"/>
      <c r="L12734" s="89"/>
    </row>
    <row r="12735" spans="8:12" x14ac:dyDescent="0.3">
      <c r="H12735" s="49"/>
      <c r="K12735" s="48"/>
      <c r="L12735" s="89"/>
    </row>
    <row r="12736" spans="8:12" x14ac:dyDescent="0.3">
      <c r="H12736" s="49"/>
      <c r="K12736" s="48"/>
      <c r="L12736" s="89"/>
    </row>
    <row r="12737" spans="8:12" x14ac:dyDescent="0.3">
      <c r="H12737" s="49"/>
      <c r="K12737" s="48"/>
      <c r="L12737" s="89"/>
    </row>
    <row r="12738" spans="8:12" x14ac:dyDescent="0.3">
      <c r="H12738" s="49"/>
      <c r="K12738" s="48"/>
      <c r="L12738" s="89"/>
    </row>
    <row r="12739" spans="8:12" x14ac:dyDescent="0.3">
      <c r="H12739" s="49"/>
      <c r="K12739" s="48"/>
      <c r="L12739" s="89"/>
    </row>
    <row r="12740" spans="8:12" x14ac:dyDescent="0.3">
      <c r="H12740" s="49"/>
      <c r="K12740" s="48"/>
      <c r="L12740" s="89"/>
    </row>
    <row r="12741" spans="8:12" x14ac:dyDescent="0.3">
      <c r="H12741" s="49"/>
      <c r="K12741" s="48"/>
      <c r="L12741" s="89"/>
    </row>
    <row r="12742" spans="8:12" x14ac:dyDescent="0.3">
      <c r="H12742" s="49"/>
      <c r="K12742" s="48"/>
      <c r="L12742" s="89"/>
    </row>
    <row r="12743" spans="8:12" x14ac:dyDescent="0.3">
      <c r="H12743" s="49"/>
      <c r="K12743" s="48"/>
      <c r="L12743" s="89"/>
    </row>
    <row r="12744" spans="8:12" x14ac:dyDescent="0.3">
      <c r="H12744" s="49"/>
      <c r="K12744" s="48"/>
      <c r="L12744" s="89"/>
    </row>
    <row r="12745" spans="8:12" x14ac:dyDescent="0.3">
      <c r="H12745" s="49"/>
      <c r="K12745" s="48"/>
      <c r="L12745" s="89"/>
    </row>
    <row r="12746" spans="8:12" x14ac:dyDescent="0.3">
      <c r="H12746" s="49"/>
      <c r="K12746" s="48"/>
      <c r="L12746" s="89"/>
    </row>
    <row r="12747" spans="8:12" x14ac:dyDescent="0.3">
      <c r="H12747" s="49"/>
      <c r="K12747" s="48"/>
      <c r="L12747" s="89"/>
    </row>
    <row r="12748" spans="8:12" x14ac:dyDescent="0.3">
      <c r="H12748" s="49"/>
      <c r="K12748" s="48"/>
      <c r="L12748" s="89"/>
    </row>
    <row r="12749" spans="8:12" x14ac:dyDescent="0.3">
      <c r="H12749" s="49"/>
      <c r="K12749" s="48"/>
      <c r="L12749" s="89"/>
    </row>
    <row r="12750" spans="8:12" x14ac:dyDescent="0.3">
      <c r="H12750" s="49"/>
      <c r="K12750" s="48"/>
      <c r="L12750" s="89"/>
    </row>
    <row r="12751" spans="8:12" x14ac:dyDescent="0.3">
      <c r="H12751" s="49"/>
      <c r="K12751" s="48"/>
      <c r="L12751" s="89"/>
    </row>
    <row r="12752" spans="8:12" x14ac:dyDescent="0.3">
      <c r="H12752" s="49"/>
      <c r="K12752" s="48"/>
      <c r="L12752" s="89"/>
    </row>
    <row r="12753" spans="8:12" x14ac:dyDescent="0.3">
      <c r="H12753" s="49"/>
      <c r="K12753" s="48"/>
      <c r="L12753" s="89"/>
    </row>
    <row r="12754" spans="8:12" x14ac:dyDescent="0.3">
      <c r="H12754" s="49"/>
      <c r="K12754" s="48"/>
      <c r="L12754" s="89"/>
    </row>
    <row r="12755" spans="8:12" x14ac:dyDescent="0.3">
      <c r="H12755" s="49"/>
      <c r="K12755" s="48"/>
      <c r="L12755" s="89"/>
    </row>
    <row r="12756" spans="8:12" x14ac:dyDescent="0.3">
      <c r="H12756" s="49"/>
      <c r="K12756" s="48"/>
      <c r="L12756" s="89"/>
    </row>
    <row r="12757" spans="8:12" x14ac:dyDescent="0.3">
      <c r="H12757" s="49"/>
      <c r="K12757" s="48"/>
      <c r="L12757" s="89"/>
    </row>
    <row r="12758" spans="8:12" x14ac:dyDescent="0.3">
      <c r="H12758" s="49"/>
      <c r="K12758" s="48"/>
      <c r="L12758" s="89"/>
    </row>
    <row r="12759" spans="8:12" x14ac:dyDescent="0.3">
      <c r="H12759" s="49"/>
      <c r="K12759" s="48"/>
      <c r="L12759" s="89"/>
    </row>
    <row r="12760" spans="8:12" x14ac:dyDescent="0.3">
      <c r="H12760" s="49"/>
      <c r="K12760" s="48"/>
      <c r="L12760" s="89"/>
    </row>
    <row r="12761" spans="8:12" x14ac:dyDescent="0.3">
      <c r="H12761" s="49"/>
      <c r="K12761" s="48"/>
      <c r="L12761" s="89"/>
    </row>
    <row r="12762" spans="8:12" x14ac:dyDescent="0.3">
      <c r="H12762" s="49"/>
      <c r="K12762" s="48"/>
      <c r="L12762" s="89"/>
    </row>
    <row r="12763" spans="8:12" x14ac:dyDescent="0.3">
      <c r="H12763" s="49"/>
      <c r="K12763" s="48"/>
      <c r="L12763" s="89"/>
    </row>
    <row r="12764" spans="8:12" x14ac:dyDescent="0.3">
      <c r="H12764" s="49"/>
      <c r="K12764" s="48"/>
      <c r="L12764" s="89"/>
    </row>
    <row r="12765" spans="8:12" x14ac:dyDescent="0.3">
      <c r="H12765" s="49"/>
      <c r="K12765" s="48"/>
      <c r="L12765" s="89"/>
    </row>
    <row r="12766" spans="8:12" x14ac:dyDescent="0.3">
      <c r="H12766" s="49"/>
      <c r="K12766" s="48"/>
      <c r="L12766" s="89"/>
    </row>
    <row r="12767" spans="8:12" x14ac:dyDescent="0.3">
      <c r="H12767" s="49"/>
      <c r="K12767" s="48"/>
      <c r="L12767" s="89"/>
    </row>
    <row r="12768" spans="8:12" x14ac:dyDescent="0.3">
      <c r="H12768" s="49"/>
      <c r="K12768" s="48"/>
      <c r="L12768" s="89"/>
    </row>
    <row r="12769" spans="8:12" x14ac:dyDescent="0.3">
      <c r="H12769" s="49"/>
      <c r="K12769" s="48"/>
      <c r="L12769" s="89"/>
    </row>
    <row r="12770" spans="8:12" x14ac:dyDescent="0.3">
      <c r="H12770" s="49"/>
      <c r="K12770" s="48"/>
      <c r="L12770" s="89"/>
    </row>
    <row r="12771" spans="8:12" x14ac:dyDescent="0.3">
      <c r="H12771" s="49"/>
      <c r="K12771" s="48"/>
      <c r="L12771" s="89"/>
    </row>
    <row r="12772" spans="8:12" x14ac:dyDescent="0.3">
      <c r="H12772" s="49"/>
      <c r="K12772" s="48"/>
      <c r="L12772" s="89"/>
    </row>
    <row r="12773" spans="8:12" x14ac:dyDescent="0.3">
      <c r="H12773" s="49"/>
      <c r="K12773" s="48"/>
      <c r="L12773" s="89"/>
    </row>
    <row r="12774" spans="8:12" x14ac:dyDescent="0.3">
      <c r="H12774" s="49"/>
      <c r="K12774" s="48"/>
      <c r="L12774" s="89"/>
    </row>
    <row r="12775" spans="8:12" x14ac:dyDescent="0.3">
      <c r="H12775" s="49"/>
      <c r="K12775" s="48"/>
      <c r="L12775" s="89"/>
    </row>
    <row r="12776" spans="8:12" x14ac:dyDescent="0.3">
      <c r="H12776" s="49"/>
      <c r="K12776" s="48"/>
      <c r="L12776" s="89"/>
    </row>
    <row r="12777" spans="8:12" x14ac:dyDescent="0.3">
      <c r="H12777" s="49"/>
      <c r="K12777" s="48"/>
      <c r="L12777" s="89"/>
    </row>
    <row r="12778" spans="8:12" x14ac:dyDescent="0.3">
      <c r="H12778" s="49"/>
      <c r="K12778" s="48"/>
      <c r="L12778" s="89"/>
    </row>
    <row r="12779" spans="8:12" x14ac:dyDescent="0.3">
      <c r="H12779" s="49"/>
      <c r="K12779" s="48"/>
      <c r="L12779" s="89"/>
    </row>
    <row r="12780" spans="8:12" x14ac:dyDescent="0.3">
      <c r="H12780" s="49"/>
      <c r="K12780" s="48"/>
      <c r="L12780" s="89"/>
    </row>
    <row r="12781" spans="8:12" x14ac:dyDescent="0.3">
      <c r="H12781" s="49"/>
      <c r="K12781" s="48"/>
      <c r="L12781" s="89"/>
    </row>
    <row r="12782" spans="8:12" x14ac:dyDescent="0.3">
      <c r="H12782" s="49"/>
      <c r="K12782" s="48"/>
      <c r="L12782" s="89"/>
    </row>
    <row r="12783" spans="8:12" x14ac:dyDescent="0.3">
      <c r="H12783" s="49"/>
      <c r="K12783" s="48"/>
      <c r="L12783" s="89"/>
    </row>
    <row r="12784" spans="8:12" x14ac:dyDescent="0.3">
      <c r="H12784" s="49"/>
      <c r="K12784" s="48"/>
      <c r="L12784" s="89"/>
    </row>
    <row r="12785" spans="8:12" x14ac:dyDescent="0.3">
      <c r="H12785" s="49"/>
      <c r="K12785" s="48"/>
      <c r="L12785" s="89"/>
    </row>
    <row r="12786" spans="8:12" x14ac:dyDescent="0.3">
      <c r="H12786" s="49"/>
      <c r="K12786" s="48"/>
      <c r="L12786" s="89"/>
    </row>
    <row r="12787" spans="8:12" x14ac:dyDescent="0.3">
      <c r="H12787" s="49"/>
      <c r="K12787" s="48"/>
      <c r="L12787" s="89"/>
    </row>
    <row r="12788" spans="8:12" x14ac:dyDescent="0.3">
      <c r="H12788" s="49"/>
      <c r="K12788" s="48"/>
      <c r="L12788" s="89"/>
    </row>
    <row r="12789" spans="8:12" x14ac:dyDescent="0.3">
      <c r="H12789" s="49"/>
      <c r="K12789" s="48"/>
      <c r="L12789" s="89"/>
    </row>
    <row r="12790" spans="8:12" x14ac:dyDescent="0.3">
      <c r="H12790" s="49"/>
      <c r="K12790" s="48"/>
      <c r="L12790" s="89"/>
    </row>
    <row r="12791" spans="8:12" x14ac:dyDescent="0.3">
      <c r="H12791" s="49"/>
      <c r="K12791" s="48"/>
      <c r="L12791" s="89"/>
    </row>
    <row r="12792" spans="8:12" x14ac:dyDescent="0.3">
      <c r="H12792" s="49"/>
      <c r="K12792" s="48"/>
      <c r="L12792" s="89"/>
    </row>
    <row r="12793" spans="8:12" x14ac:dyDescent="0.3">
      <c r="H12793" s="49"/>
      <c r="K12793" s="48"/>
      <c r="L12793" s="89"/>
    </row>
    <row r="12794" spans="8:12" x14ac:dyDescent="0.3">
      <c r="H12794" s="49"/>
      <c r="K12794" s="48"/>
      <c r="L12794" s="89"/>
    </row>
    <row r="12795" spans="8:12" x14ac:dyDescent="0.3">
      <c r="H12795" s="49"/>
      <c r="K12795" s="48"/>
      <c r="L12795" s="89"/>
    </row>
    <row r="12796" spans="8:12" x14ac:dyDescent="0.3">
      <c r="H12796" s="49"/>
      <c r="K12796" s="48"/>
      <c r="L12796" s="89"/>
    </row>
    <row r="12797" spans="8:12" x14ac:dyDescent="0.3">
      <c r="H12797" s="49"/>
      <c r="K12797" s="48"/>
      <c r="L12797" s="89"/>
    </row>
    <row r="12798" spans="8:12" x14ac:dyDescent="0.3">
      <c r="H12798" s="49"/>
      <c r="K12798" s="48"/>
      <c r="L12798" s="89"/>
    </row>
    <row r="12799" spans="8:12" x14ac:dyDescent="0.3">
      <c r="H12799" s="49"/>
      <c r="K12799" s="48"/>
      <c r="L12799" s="89"/>
    </row>
    <row r="12800" spans="8:12" x14ac:dyDescent="0.3">
      <c r="H12800" s="49"/>
      <c r="K12800" s="48"/>
      <c r="L12800" s="89"/>
    </row>
    <row r="12801" spans="8:12" x14ac:dyDescent="0.3">
      <c r="H12801" s="49"/>
      <c r="K12801" s="48"/>
      <c r="L12801" s="89"/>
    </row>
    <row r="12802" spans="8:12" x14ac:dyDescent="0.3">
      <c r="H12802" s="49"/>
      <c r="K12802" s="48"/>
      <c r="L12802" s="89"/>
    </row>
    <row r="12803" spans="8:12" x14ac:dyDescent="0.3">
      <c r="H12803" s="49"/>
      <c r="K12803" s="48"/>
      <c r="L12803" s="89"/>
    </row>
    <row r="12804" spans="8:12" x14ac:dyDescent="0.3">
      <c r="H12804" s="49"/>
      <c r="K12804" s="48"/>
      <c r="L12804" s="89"/>
    </row>
    <row r="12805" spans="8:12" x14ac:dyDescent="0.3">
      <c r="H12805" s="49"/>
      <c r="K12805" s="48"/>
      <c r="L12805" s="89"/>
    </row>
    <row r="12806" spans="8:12" x14ac:dyDescent="0.3">
      <c r="H12806" s="49"/>
      <c r="K12806" s="48"/>
      <c r="L12806" s="89"/>
    </row>
    <row r="12807" spans="8:12" x14ac:dyDescent="0.3">
      <c r="H12807" s="49"/>
      <c r="K12807" s="48"/>
      <c r="L12807" s="89"/>
    </row>
    <row r="12808" spans="8:12" x14ac:dyDescent="0.3">
      <c r="H12808" s="49"/>
      <c r="K12808" s="48"/>
      <c r="L12808" s="89"/>
    </row>
    <row r="12809" spans="8:12" x14ac:dyDescent="0.3">
      <c r="H12809" s="49"/>
      <c r="K12809" s="48"/>
      <c r="L12809" s="89"/>
    </row>
    <row r="12810" spans="8:12" x14ac:dyDescent="0.3">
      <c r="H12810" s="49"/>
      <c r="K12810" s="48"/>
      <c r="L12810" s="89"/>
    </row>
    <row r="12811" spans="8:12" x14ac:dyDescent="0.3">
      <c r="H12811" s="49"/>
      <c r="K12811" s="48"/>
      <c r="L12811" s="89"/>
    </row>
    <row r="12812" spans="8:12" x14ac:dyDescent="0.3">
      <c r="H12812" s="49"/>
      <c r="K12812" s="48"/>
      <c r="L12812" s="89"/>
    </row>
    <row r="12813" spans="8:12" x14ac:dyDescent="0.3">
      <c r="H12813" s="49"/>
      <c r="K12813" s="48"/>
      <c r="L12813" s="89"/>
    </row>
    <row r="12814" spans="8:12" x14ac:dyDescent="0.3">
      <c r="H12814" s="49"/>
      <c r="K12814" s="48"/>
      <c r="L12814" s="89"/>
    </row>
    <row r="12815" spans="8:12" x14ac:dyDescent="0.3">
      <c r="H12815" s="49"/>
      <c r="K12815" s="48"/>
      <c r="L12815" s="89"/>
    </row>
    <row r="12816" spans="8:12" x14ac:dyDescent="0.3">
      <c r="H12816" s="49"/>
      <c r="K12816" s="48"/>
      <c r="L12816" s="89"/>
    </row>
    <row r="12817" spans="8:12" x14ac:dyDescent="0.3">
      <c r="H12817" s="49"/>
      <c r="K12817" s="48"/>
      <c r="L12817" s="89"/>
    </row>
    <row r="12818" spans="8:12" x14ac:dyDescent="0.3">
      <c r="H12818" s="49"/>
      <c r="K12818" s="48"/>
      <c r="L12818" s="89"/>
    </row>
    <row r="12819" spans="8:12" x14ac:dyDescent="0.3">
      <c r="H12819" s="49"/>
      <c r="K12819" s="48"/>
      <c r="L12819" s="89"/>
    </row>
    <row r="12820" spans="8:12" x14ac:dyDescent="0.3">
      <c r="H12820" s="49"/>
      <c r="K12820" s="48"/>
      <c r="L12820" s="89"/>
    </row>
    <row r="12821" spans="8:12" x14ac:dyDescent="0.3">
      <c r="H12821" s="49"/>
      <c r="K12821" s="48"/>
      <c r="L12821" s="89"/>
    </row>
    <row r="12822" spans="8:12" x14ac:dyDescent="0.3">
      <c r="H12822" s="49"/>
      <c r="K12822" s="48"/>
      <c r="L12822" s="89"/>
    </row>
    <row r="12823" spans="8:12" x14ac:dyDescent="0.3">
      <c r="H12823" s="49"/>
      <c r="K12823" s="48"/>
      <c r="L12823" s="89"/>
    </row>
    <row r="12824" spans="8:12" x14ac:dyDescent="0.3">
      <c r="H12824" s="49"/>
      <c r="K12824" s="48"/>
      <c r="L12824" s="89"/>
    </row>
    <row r="12825" spans="8:12" x14ac:dyDescent="0.3">
      <c r="H12825" s="49"/>
      <c r="K12825" s="48"/>
      <c r="L12825" s="89"/>
    </row>
    <row r="12826" spans="8:12" x14ac:dyDescent="0.3">
      <c r="H12826" s="49"/>
      <c r="K12826" s="48"/>
      <c r="L12826" s="89"/>
    </row>
    <row r="12827" spans="8:12" x14ac:dyDescent="0.3">
      <c r="H12827" s="49"/>
      <c r="K12827" s="48"/>
      <c r="L12827" s="89"/>
    </row>
    <row r="12828" spans="8:12" x14ac:dyDescent="0.3">
      <c r="H12828" s="49"/>
      <c r="K12828" s="48"/>
      <c r="L12828" s="89"/>
    </row>
    <row r="12829" spans="8:12" x14ac:dyDescent="0.3">
      <c r="H12829" s="49"/>
      <c r="K12829" s="48"/>
      <c r="L12829" s="89"/>
    </row>
    <row r="12830" spans="8:12" x14ac:dyDescent="0.3">
      <c r="H12830" s="49"/>
      <c r="K12830" s="48"/>
      <c r="L12830" s="89"/>
    </row>
    <row r="12831" spans="8:12" x14ac:dyDescent="0.3">
      <c r="H12831" s="49"/>
      <c r="K12831" s="48"/>
      <c r="L12831" s="89"/>
    </row>
    <row r="12832" spans="8:12" x14ac:dyDescent="0.3">
      <c r="H12832" s="49"/>
      <c r="K12832" s="48"/>
      <c r="L12832" s="89"/>
    </row>
    <row r="12833" spans="8:12" x14ac:dyDescent="0.3">
      <c r="H12833" s="49"/>
      <c r="K12833" s="48"/>
      <c r="L12833" s="89"/>
    </row>
    <row r="12834" spans="8:12" x14ac:dyDescent="0.3">
      <c r="H12834" s="49"/>
      <c r="K12834" s="48"/>
      <c r="L12834" s="89"/>
    </row>
    <row r="12835" spans="8:12" x14ac:dyDescent="0.3">
      <c r="H12835" s="49"/>
      <c r="K12835" s="48"/>
      <c r="L12835" s="89"/>
    </row>
    <row r="12836" spans="8:12" x14ac:dyDescent="0.3">
      <c r="H12836" s="49"/>
      <c r="K12836" s="48"/>
      <c r="L12836" s="89"/>
    </row>
    <row r="12837" spans="8:12" x14ac:dyDescent="0.3">
      <c r="H12837" s="49"/>
      <c r="K12837" s="48"/>
      <c r="L12837" s="89"/>
    </row>
    <row r="12838" spans="8:12" x14ac:dyDescent="0.3">
      <c r="H12838" s="49"/>
      <c r="K12838" s="48"/>
      <c r="L12838" s="89"/>
    </row>
    <row r="12839" spans="8:12" x14ac:dyDescent="0.3">
      <c r="H12839" s="49"/>
      <c r="K12839" s="48"/>
      <c r="L12839" s="89"/>
    </row>
    <row r="12840" spans="8:12" x14ac:dyDescent="0.3">
      <c r="H12840" s="49"/>
      <c r="K12840" s="48"/>
      <c r="L12840" s="89"/>
    </row>
    <row r="12841" spans="8:12" x14ac:dyDescent="0.3">
      <c r="H12841" s="49"/>
      <c r="K12841" s="48"/>
      <c r="L12841" s="89"/>
    </row>
    <row r="12842" spans="8:12" x14ac:dyDescent="0.3">
      <c r="H12842" s="49"/>
      <c r="K12842" s="48"/>
      <c r="L12842" s="89"/>
    </row>
    <row r="12843" spans="8:12" x14ac:dyDescent="0.3">
      <c r="H12843" s="49"/>
      <c r="K12843" s="48"/>
      <c r="L12843" s="89"/>
    </row>
    <row r="12844" spans="8:12" x14ac:dyDescent="0.3">
      <c r="H12844" s="49"/>
      <c r="K12844" s="48"/>
      <c r="L12844" s="89"/>
    </row>
    <row r="12845" spans="8:12" x14ac:dyDescent="0.3">
      <c r="H12845" s="49"/>
      <c r="K12845" s="48"/>
      <c r="L12845" s="89"/>
    </row>
    <row r="12846" spans="8:12" x14ac:dyDescent="0.3">
      <c r="H12846" s="49"/>
      <c r="K12846" s="48"/>
      <c r="L12846" s="89"/>
    </row>
    <row r="12847" spans="8:12" x14ac:dyDescent="0.3">
      <c r="H12847" s="49"/>
      <c r="K12847" s="48"/>
      <c r="L12847" s="89"/>
    </row>
    <row r="12848" spans="8:12" x14ac:dyDescent="0.3">
      <c r="H12848" s="49"/>
      <c r="K12848" s="48"/>
      <c r="L12848" s="89"/>
    </row>
    <row r="12849" spans="8:12" x14ac:dyDescent="0.3">
      <c r="H12849" s="49"/>
      <c r="K12849" s="48"/>
      <c r="L12849" s="89"/>
    </row>
    <row r="12850" spans="8:12" x14ac:dyDescent="0.3">
      <c r="H12850" s="49"/>
      <c r="K12850" s="48"/>
      <c r="L12850" s="89"/>
    </row>
    <row r="12851" spans="8:12" x14ac:dyDescent="0.3">
      <c r="H12851" s="49"/>
      <c r="K12851" s="48"/>
      <c r="L12851" s="89"/>
    </row>
    <row r="12852" spans="8:12" x14ac:dyDescent="0.3">
      <c r="H12852" s="49"/>
      <c r="K12852" s="48"/>
      <c r="L12852" s="89"/>
    </row>
    <row r="12853" spans="8:12" x14ac:dyDescent="0.3">
      <c r="H12853" s="49"/>
      <c r="K12853" s="48"/>
      <c r="L12853" s="89"/>
    </row>
    <row r="12854" spans="8:12" x14ac:dyDescent="0.3">
      <c r="H12854" s="49"/>
      <c r="K12854" s="48"/>
      <c r="L12854" s="89"/>
    </row>
    <row r="12855" spans="8:12" x14ac:dyDescent="0.3">
      <c r="H12855" s="49"/>
      <c r="K12855" s="48"/>
      <c r="L12855" s="89"/>
    </row>
    <row r="12856" spans="8:12" x14ac:dyDescent="0.3">
      <c r="H12856" s="49"/>
      <c r="K12856" s="48"/>
      <c r="L12856" s="89"/>
    </row>
    <row r="12857" spans="8:12" x14ac:dyDescent="0.3">
      <c r="H12857" s="49"/>
      <c r="K12857" s="48"/>
      <c r="L12857" s="89"/>
    </row>
    <row r="12858" spans="8:12" x14ac:dyDescent="0.3">
      <c r="H12858" s="49"/>
      <c r="K12858" s="48"/>
      <c r="L12858" s="89"/>
    </row>
    <row r="12859" spans="8:12" x14ac:dyDescent="0.3">
      <c r="H12859" s="49"/>
      <c r="K12859" s="48"/>
      <c r="L12859" s="89"/>
    </row>
    <row r="12860" spans="8:12" x14ac:dyDescent="0.3">
      <c r="H12860" s="49"/>
      <c r="K12860" s="48"/>
      <c r="L12860" s="89"/>
    </row>
    <row r="12861" spans="8:12" x14ac:dyDescent="0.3">
      <c r="H12861" s="49"/>
      <c r="K12861" s="48"/>
      <c r="L12861" s="89"/>
    </row>
    <row r="12862" spans="8:12" x14ac:dyDescent="0.3">
      <c r="H12862" s="49"/>
      <c r="K12862" s="48"/>
      <c r="L12862" s="89"/>
    </row>
    <row r="12863" spans="8:12" x14ac:dyDescent="0.3">
      <c r="H12863" s="49"/>
      <c r="K12863" s="48"/>
      <c r="L12863" s="89"/>
    </row>
    <row r="12864" spans="8:12" x14ac:dyDescent="0.3">
      <c r="H12864" s="49"/>
      <c r="K12864" s="48"/>
      <c r="L12864" s="89"/>
    </row>
    <row r="12865" spans="8:12" x14ac:dyDescent="0.3">
      <c r="H12865" s="49"/>
      <c r="K12865" s="48"/>
      <c r="L12865" s="89"/>
    </row>
    <row r="12866" spans="8:12" x14ac:dyDescent="0.3">
      <c r="H12866" s="49"/>
      <c r="K12866" s="48"/>
      <c r="L12866" s="89"/>
    </row>
    <row r="12867" spans="8:12" x14ac:dyDescent="0.3">
      <c r="H12867" s="49"/>
      <c r="K12867" s="48"/>
      <c r="L12867" s="89"/>
    </row>
    <row r="12868" spans="8:12" x14ac:dyDescent="0.3">
      <c r="H12868" s="49"/>
      <c r="K12868" s="48"/>
      <c r="L12868" s="89"/>
    </row>
    <row r="12869" spans="8:12" x14ac:dyDescent="0.3">
      <c r="H12869" s="49"/>
      <c r="K12869" s="48"/>
      <c r="L12869" s="89"/>
    </row>
    <row r="12870" spans="8:12" x14ac:dyDescent="0.3">
      <c r="H12870" s="49"/>
      <c r="K12870" s="48"/>
      <c r="L12870" s="89"/>
    </row>
    <row r="12871" spans="8:12" x14ac:dyDescent="0.3">
      <c r="H12871" s="49"/>
      <c r="K12871" s="48"/>
      <c r="L12871" s="89"/>
    </row>
    <row r="12872" spans="8:12" x14ac:dyDescent="0.3">
      <c r="H12872" s="49"/>
      <c r="K12872" s="48"/>
      <c r="L12872" s="89"/>
    </row>
    <row r="12873" spans="8:12" x14ac:dyDescent="0.3">
      <c r="H12873" s="49"/>
      <c r="K12873" s="48"/>
      <c r="L12873" s="89"/>
    </row>
    <row r="12874" spans="8:12" x14ac:dyDescent="0.3">
      <c r="H12874" s="49"/>
      <c r="K12874" s="48"/>
      <c r="L12874" s="89"/>
    </row>
    <row r="12875" spans="8:12" x14ac:dyDescent="0.3">
      <c r="H12875" s="49"/>
      <c r="K12875" s="48"/>
      <c r="L12875" s="89"/>
    </row>
    <row r="12876" spans="8:12" x14ac:dyDescent="0.3">
      <c r="H12876" s="49"/>
      <c r="K12876" s="48"/>
      <c r="L12876" s="89"/>
    </row>
    <row r="12877" spans="8:12" x14ac:dyDescent="0.3">
      <c r="H12877" s="49"/>
      <c r="K12877" s="48"/>
      <c r="L12877" s="89"/>
    </row>
    <row r="12878" spans="8:12" x14ac:dyDescent="0.3">
      <c r="H12878" s="49"/>
      <c r="K12878" s="48"/>
      <c r="L12878" s="89"/>
    </row>
    <row r="12879" spans="8:12" x14ac:dyDescent="0.3">
      <c r="H12879" s="49"/>
      <c r="K12879" s="48"/>
      <c r="L12879" s="89"/>
    </row>
    <row r="12880" spans="8:12" x14ac:dyDescent="0.3">
      <c r="H12880" s="49"/>
      <c r="K12880" s="48"/>
      <c r="L12880" s="89"/>
    </row>
    <row r="12881" spans="8:12" x14ac:dyDescent="0.3">
      <c r="H12881" s="49"/>
      <c r="K12881" s="48"/>
      <c r="L12881" s="89"/>
    </row>
    <row r="12882" spans="8:12" x14ac:dyDescent="0.3">
      <c r="H12882" s="49"/>
      <c r="K12882" s="48"/>
      <c r="L12882" s="89"/>
    </row>
    <row r="12883" spans="8:12" x14ac:dyDescent="0.3">
      <c r="H12883" s="49"/>
      <c r="K12883" s="48"/>
      <c r="L12883" s="89"/>
    </row>
    <row r="12884" spans="8:12" x14ac:dyDescent="0.3">
      <c r="H12884" s="49"/>
      <c r="K12884" s="48"/>
      <c r="L12884" s="89"/>
    </row>
    <row r="12885" spans="8:12" x14ac:dyDescent="0.3">
      <c r="H12885" s="49"/>
      <c r="K12885" s="48"/>
      <c r="L12885" s="89"/>
    </row>
    <row r="12886" spans="8:12" x14ac:dyDescent="0.3">
      <c r="H12886" s="49"/>
      <c r="K12886" s="48"/>
      <c r="L12886" s="89"/>
    </row>
    <row r="12887" spans="8:12" x14ac:dyDescent="0.3">
      <c r="H12887" s="49"/>
      <c r="K12887" s="48"/>
      <c r="L12887" s="89"/>
    </row>
    <row r="12888" spans="8:12" x14ac:dyDescent="0.3">
      <c r="H12888" s="49"/>
      <c r="K12888" s="48"/>
      <c r="L12888" s="89"/>
    </row>
    <row r="12889" spans="8:12" x14ac:dyDescent="0.3">
      <c r="H12889" s="49"/>
      <c r="K12889" s="48"/>
      <c r="L12889" s="89"/>
    </row>
    <row r="12890" spans="8:12" x14ac:dyDescent="0.3">
      <c r="H12890" s="49"/>
      <c r="K12890" s="48"/>
      <c r="L12890" s="89"/>
    </row>
    <row r="12891" spans="8:12" x14ac:dyDescent="0.3">
      <c r="H12891" s="49"/>
      <c r="K12891" s="48"/>
      <c r="L12891" s="89"/>
    </row>
    <row r="12892" spans="8:12" x14ac:dyDescent="0.3">
      <c r="H12892" s="49"/>
      <c r="K12892" s="48"/>
      <c r="L12892" s="89"/>
    </row>
    <row r="12893" spans="8:12" x14ac:dyDescent="0.3">
      <c r="H12893" s="49"/>
      <c r="K12893" s="48"/>
      <c r="L12893" s="89"/>
    </row>
    <row r="12894" spans="8:12" x14ac:dyDescent="0.3">
      <c r="H12894" s="49"/>
      <c r="K12894" s="48"/>
      <c r="L12894" s="89"/>
    </row>
    <row r="12895" spans="8:12" x14ac:dyDescent="0.3">
      <c r="H12895" s="49"/>
      <c r="K12895" s="48"/>
      <c r="L12895" s="89"/>
    </row>
    <row r="12896" spans="8:12" x14ac:dyDescent="0.3">
      <c r="H12896" s="49"/>
      <c r="K12896" s="48"/>
      <c r="L12896" s="89"/>
    </row>
    <row r="12897" spans="8:12" x14ac:dyDescent="0.3">
      <c r="H12897" s="49"/>
      <c r="K12897" s="48"/>
      <c r="L12897" s="89"/>
    </row>
    <row r="12898" spans="8:12" x14ac:dyDescent="0.3">
      <c r="H12898" s="49"/>
      <c r="K12898" s="48"/>
      <c r="L12898" s="89"/>
    </row>
    <row r="12899" spans="8:12" x14ac:dyDescent="0.3">
      <c r="H12899" s="49"/>
      <c r="K12899" s="48"/>
      <c r="L12899" s="89"/>
    </row>
    <row r="12900" spans="8:12" x14ac:dyDescent="0.3">
      <c r="H12900" s="49"/>
      <c r="K12900" s="48"/>
      <c r="L12900" s="89"/>
    </row>
    <row r="12901" spans="8:12" x14ac:dyDescent="0.3">
      <c r="H12901" s="49"/>
      <c r="K12901" s="48"/>
      <c r="L12901" s="89"/>
    </row>
    <row r="12902" spans="8:12" x14ac:dyDescent="0.3">
      <c r="H12902" s="49"/>
      <c r="K12902" s="48"/>
      <c r="L12902" s="89"/>
    </row>
    <row r="12903" spans="8:12" x14ac:dyDescent="0.3">
      <c r="H12903" s="49"/>
      <c r="K12903" s="48"/>
      <c r="L12903" s="89"/>
    </row>
    <row r="12904" spans="8:12" x14ac:dyDescent="0.3">
      <c r="H12904" s="49"/>
      <c r="K12904" s="48"/>
      <c r="L12904" s="89"/>
    </row>
    <row r="12905" spans="8:12" x14ac:dyDescent="0.3">
      <c r="H12905" s="49"/>
      <c r="K12905" s="48"/>
      <c r="L12905" s="89"/>
    </row>
    <row r="12906" spans="8:12" x14ac:dyDescent="0.3">
      <c r="H12906" s="49"/>
      <c r="K12906" s="48"/>
      <c r="L12906" s="89"/>
    </row>
    <row r="12907" spans="8:12" x14ac:dyDescent="0.3">
      <c r="H12907" s="49"/>
      <c r="K12907" s="48"/>
      <c r="L12907" s="89"/>
    </row>
    <row r="12908" spans="8:12" x14ac:dyDescent="0.3">
      <c r="H12908" s="49"/>
      <c r="K12908" s="48"/>
      <c r="L12908" s="89"/>
    </row>
    <row r="12909" spans="8:12" x14ac:dyDescent="0.3">
      <c r="H12909" s="49"/>
      <c r="K12909" s="48"/>
      <c r="L12909" s="89"/>
    </row>
    <row r="12910" spans="8:12" x14ac:dyDescent="0.3">
      <c r="H12910" s="49"/>
      <c r="K12910" s="48"/>
      <c r="L12910" s="89"/>
    </row>
    <row r="12911" spans="8:12" x14ac:dyDescent="0.3">
      <c r="H12911" s="49"/>
      <c r="K12911" s="48"/>
      <c r="L12911" s="89"/>
    </row>
    <row r="12912" spans="8:12" x14ac:dyDescent="0.3">
      <c r="H12912" s="49"/>
      <c r="K12912" s="48"/>
      <c r="L12912" s="89"/>
    </row>
    <row r="12913" spans="8:12" x14ac:dyDescent="0.3">
      <c r="H12913" s="49"/>
      <c r="K12913" s="48"/>
      <c r="L12913" s="89"/>
    </row>
    <row r="12914" spans="8:12" x14ac:dyDescent="0.3">
      <c r="H12914" s="49"/>
      <c r="K12914" s="48"/>
      <c r="L12914" s="89"/>
    </row>
    <row r="12915" spans="8:12" x14ac:dyDescent="0.3">
      <c r="H12915" s="49"/>
      <c r="K12915" s="48"/>
      <c r="L12915" s="89"/>
    </row>
    <row r="12916" spans="8:12" x14ac:dyDescent="0.3">
      <c r="H12916" s="49"/>
      <c r="K12916" s="48"/>
      <c r="L12916" s="89"/>
    </row>
    <row r="12917" spans="8:12" x14ac:dyDescent="0.3">
      <c r="H12917" s="49"/>
      <c r="K12917" s="48"/>
      <c r="L12917" s="89"/>
    </row>
    <row r="12918" spans="8:12" x14ac:dyDescent="0.3">
      <c r="H12918" s="49"/>
      <c r="K12918" s="48"/>
      <c r="L12918" s="89"/>
    </row>
    <row r="12919" spans="8:12" x14ac:dyDescent="0.3">
      <c r="H12919" s="49"/>
      <c r="K12919" s="48"/>
      <c r="L12919" s="89"/>
    </row>
    <row r="12920" spans="8:12" x14ac:dyDescent="0.3">
      <c r="H12920" s="49"/>
      <c r="K12920" s="48"/>
      <c r="L12920" s="89"/>
    </row>
    <row r="12921" spans="8:12" x14ac:dyDescent="0.3">
      <c r="H12921" s="49"/>
      <c r="K12921" s="48"/>
      <c r="L12921" s="89"/>
    </row>
    <row r="12922" spans="8:12" x14ac:dyDescent="0.3">
      <c r="H12922" s="49"/>
      <c r="K12922" s="48"/>
      <c r="L12922" s="89"/>
    </row>
    <row r="12923" spans="8:12" x14ac:dyDescent="0.3">
      <c r="H12923" s="49"/>
      <c r="K12923" s="48"/>
      <c r="L12923" s="89"/>
    </row>
    <row r="12924" spans="8:12" x14ac:dyDescent="0.3">
      <c r="H12924" s="49"/>
      <c r="K12924" s="48"/>
      <c r="L12924" s="89"/>
    </row>
    <row r="12925" spans="8:12" x14ac:dyDescent="0.3">
      <c r="H12925" s="49"/>
      <c r="K12925" s="48"/>
      <c r="L12925" s="89"/>
    </row>
    <row r="12926" spans="8:12" x14ac:dyDescent="0.3">
      <c r="H12926" s="49"/>
      <c r="K12926" s="48"/>
      <c r="L12926" s="89"/>
    </row>
    <row r="12927" spans="8:12" x14ac:dyDescent="0.3">
      <c r="H12927" s="49"/>
      <c r="K12927" s="48"/>
      <c r="L12927" s="89"/>
    </row>
    <row r="12928" spans="8:12" x14ac:dyDescent="0.3">
      <c r="H12928" s="49"/>
      <c r="K12928" s="48"/>
      <c r="L12928" s="89"/>
    </row>
    <row r="12929" spans="8:12" x14ac:dyDescent="0.3">
      <c r="H12929" s="49"/>
      <c r="K12929" s="48"/>
      <c r="L12929" s="89"/>
    </row>
    <row r="12930" spans="8:12" x14ac:dyDescent="0.3">
      <c r="H12930" s="49"/>
      <c r="K12930" s="48"/>
      <c r="L12930" s="89"/>
    </row>
    <row r="12931" spans="8:12" x14ac:dyDescent="0.3">
      <c r="H12931" s="49"/>
      <c r="K12931" s="48"/>
      <c r="L12931" s="89"/>
    </row>
    <row r="12932" spans="8:12" x14ac:dyDescent="0.3">
      <c r="H12932" s="49"/>
      <c r="K12932" s="48"/>
      <c r="L12932" s="89"/>
    </row>
    <row r="12933" spans="8:12" x14ac:dyDescent="0.3">
      <c r="H12933" s="49"/>
      <c r="K12933" s="48"/>
      <c r="L12933" s="89"/>
    </row>
    <row r="12934" spans="8:12" x14ac:dyDescent="0.3">
      <c r="H12934" s="49"/>
      <c r="K12934" s="48"/>
      <c r="L12934" s="89"/>
    </row>
    <row r="12935" spans="8:12" x14ac:dyDescent="0.3">
      <c r="H12935" s="49"/>
      <c r="K12935" s="48"/>
      <c r="L12935" s="89"/>
    </row>
    <row r="12936" spans="8:12" x14ac:dyDescent="0.3">
      <c r="H12936" s="49"/>
      <c r="K12936" s="48"/>
      <c r="L12936" s="89"/>
    </row>
    <row r="12937" spans="8:12" x14ac:dyDescent="0.3">
      <c r="H12937" s="49"/>
      <c r="K12937" s="48"/>
      <c r="L12937" s="89"/>
    </row>
    <row r="12938" spans="8:12" x14ac:dyDescent="0.3">
      <c r="H12938" s="49"/>
      <c r="K12938" s="48"/>
      <c r="L12938" s="89"/>
    </row>
    <row r="12939" spans="8:12" x14ac:dyDescent="0.3">
      <c r="H12939" s="49"/>
      <c r="K12939" s="48"/>
      <c r="L12939" s="89"/>
    </row>
    <row r="12940" spans="8:12" x14ac:dyDescent="0.3">
      <c r="H12940" s="49"/>
      <c r="K12940" s="48"/>
      <c r="L12940" s="89"/>
    </row>
    <row r="12941" spans="8:12" x14ac:dyDescent="0.3">
      <c r="H12941" s="49"/>
      <c r="K12941" s="48"/>
      <c r="L12941" s="89"/>
    </row>
    <row r="12942" spans="8:12" x14ac:dyDescent="0.3">
      <c r="H12942" s="49"/>
      <c r="K12942" s="48"/>
      <c r="L12942" s="89"/>
    </row>
    <row r="12943" spans="8:12" x14ac:dyDescent="0.3">
      <c r="H12943" s="49"/>
      <c r="K12943" s="48"/>
      <c r="L12943" s="89"/>
    </row>
    <row r="12944" spans="8:12" x14ac:dyDescent="0.3">
      <c r="H12944" s="49"/>
      <c r="K12944" s="48"/>
      <c r="L12944" s="89"/>
    </row>
    <row r="12945" spans="8:12" x14ac:dyDescent="0.3">
      <c r="H12945" s="49"/>
      <c r="K12945" s="48"/>
      <c r="L12945" s="89"/>
    </row>
    <row r="12946" spans="8:12" x14ac:dyDescent="0.3">
      <c r="H12946" s="49"/>
      <c r="K12946" s="48"/>
      <c r="L12946" s="89"/>
    </row>
    <row r="12947" spans="8:12" x14ac:dyDescent="0.3">
      <c r="H12947" s="49"/>
      <c r="K12947" s="48"/>
      <c r="L12947" s="89"/>
    </row>
    <row r="12948" spans="8:12" x14ac:dyDescent="0.3">
      <c r="H12948" s="49"/>
      <c r="K12948" s="48"/>
      <c r="L12948" s="89"/>
    </row>
    <row r="12949" spans="8:12" x14ac:dyDescent="0.3">
      <c r="H12949" s="49"/>
      <c r="K12949" s="48"/>
      <c r="L12949" s="89"/>
    </row>
    <row r="12950" spans="8:12" x14ac:dyDescent="0.3">
      <c r="H12950" s="49"/>
      <c r="K12950" s="48"/>
      <c r="L12950" s="89"/>
    </row>
    <row r="12951" spans="8:12" x14ac:dyDescent="0.3">
      <c r="H12951" s="49"/>
      <c r="K12951" s="48"/>
      <c r="L12951" s="89"/>
    </row>
    <row r="12952" spans="8:12" x14ac:dyDescent="0.3">
      <c r="H12952" s="49"/>
      <c r="K12952" s="48"/>
      <c r="L12952" s="89"/>
    </row>
    <row r="12953" spans="8:12" x14ac:dyDescent="0.3">
      <c r="H12953" s="49"/>
      <c r="K12953" s="48"/>
      <c r="L12953" s="89"/>
    </row>
    <row r="12954" spans="8:12" x14ac:dyDescent="0.3">
      <c r="H12954" s="49"/>
      <c r="K12954" s="48"/>
      <c r="L12954" s="89"/>
    </row>
    <row r="12955" spans="8:12" x14ac:dyDescent="0.3">
      <c r="H12955" s="49"/>
      <c r="K12955" s="48"/>
      <c r="L12955" s="89"/>
    </row>
    <row r="12956" spans="8:12" x14ac:dyDescent="0.3">
      <c r="H12956" s="49"/>
      <c r="K12956" s="48"/>
      <c r="L12956" s="89"/>
    </row>
    <row r="12957" spans="8:12" x14ac:dyDescent="0.3">
      <c r="H12957" s="49"/>
      <c r="K12957" s="48"/>
      <c r="L12957" s="89"/>
    </row>
    <row r="12958" spans="8:12" x14ac:dyDescent="0.3">
      <c r="H12958" s="49"/>
      <c r="K12958" s="48"/>
      <c r="L12958" s="89"/>
    </row>
    <row r="12959" spans="8:12" x14ac:dyDescent="0.3">
      <c r="H12959" s="49"/>
      <c r="K12959" s="48"/>
      <c r="L12959" s="89"/>
    </row>
    <row r="12960" spans="8:12" x14ac:dyDescent="0.3">
      <c r="H12960" s="49"/>
      <c r="K12960" s="48"/>
      <c r="L12960" s="89"/>
    </row>
    <row r="12961" spans="8:12" x14ac:dyDescent="0.3">
      <c r="H12961" s="49"/>
      <c r="K12961" s="48"/>
      <c r="L12961" s="89"/>
    </row>
    <row r="12962" spans="8:12" x14ac:dyDescent="0.3">
      <c r="H12962" s="49"/>
      <c r="K12962" s="48"/>
      <c r="L12962" s="89"/>
    </row>
    <row r="12963" spans="8:12" x14ac:dyDescent="0.3">
      <c r="H12963" s="49"/>
      <c r="K12963" s="48"/>
      <c r="L12963" s="89"/>
    </row>
    <row r="12964" spans="8:12" x14ac:dyDescent="0.3">
      <c r="H12964" s="49"/>
      <c r="K12964" s="48"/>
      <c r="L12964" s="89"/>
    </row>
    <row r="12965" spans="8:12" x14ac:dyDescent="0.3">
      <c r="H12965" s="49"/>
      <c r="K12965" s="48"/>
      <c r="L12965" s="89"/>
    </row>
    <row r="12966" spans="8:12" x14ac:dyDescent="0.3">
      <c r="H12966" s="49"/>
      <c r="K12966" s="48"/>
      <c r="L12966" s="89"/>
    </row>
    <row r="12967" spans="8:12" x14ac:dyDescent="0.3">
      <c r="H12967" s="49"/>
      <c r="K12967" s="48"/>
      <c r="L12967" s="89"/>
    </row>
    <row r="12968" spans="8:12" x14ac:dyDescent="0.3">
      <c r="H12968" s="49"/>
      <c r="K12968" s="48"/>
      <c r="L12968" s="89"/>
    </row>
    <row r="12969" spans="8:12" x14ac:dyDescent="0.3">
      <c r="H12969" s="49"/>
      <c r="K12969" s="48"/>
      <c r="L12969" s="89"/>
    </row>
    <row r="12970" spans="8:12" x14ac:dyDescent="0.3">
      <c r="H12970" s="49"/>
      <c r="K12970" s="48"/>
      <c r="L12970" s="89"/>
    </row>
    <row r="12971" spans="8:12" x14ac:dyDescent="0.3">
      <c r="H12971" s="49"/>
      <c r="K12971" s="48"/>
      <c r="L12971" s="89"/>
    </row>
    <row r="12972" spans="8:12" x14ac:dyDescent="0.3">
      <c r="H12972" s="49"/>
      <c r="K12972" s="48"/>
      <c r="L12972" s="89"/>
    </row>
    <row r="12973" spans="8:12" x14ac:dyDescent="0.3">
      <c r="H12973" s="49"/>
      <c r="K12973" s="48"/>
      <c r="L12973" s="89"/>
    </row>
    <row r="12974" spans="8:12" x14ac:dyDescent="0.3">
      <c r="H12974" s="49"/>
      <c r="K12974" s="48"/>
      <c r="L12974" s="89"/>
    </row>
    <row r="12975" spans="8:12" x14ac:dyDescent="0.3">
      <c r="H12975" s="49"/>
      <c r="K12975" s="48"/>
      <c r="L12975" s="89"/>
    </row>
    <row r="12976" spans="8:12" x14ac:dyDescent="0.3">
      <c r="H12976" s="49"/>
      <c r="K12976" s="48"/>
      <c r="L12976" s="89"/>
    </row>
    <row r="12977" spans="8:12" x14ac:dyDescent="0.3">
      <c r="H12977" s="49"/>
      <c r="K12977" s="48"/>
      <c r="L12977" s="89"/>
    </row>
    <row r="12978" spans="8:12" x14ac:dyDescent="0.3">
      <c r="H12978" s="49"/>
      <c r="K12978" s="48"/>
      <c r="L12978" s="89"/>
    </row>
    <row r="12979" spans="8:12" x14ac:dyDescent="0.3">
      <c r="H12979" s="49"/>
      <c r="K12979" s="48"/>
      <c r="L12979" s="89"/>
    </row>
    <row r="12980" spans="8:12" x14ac:dyDescent="0.3">
      <c r="H12980" s="49"/>
      <c r="K12980" s="48"/>
      <c r="L12980" s="89"/>
    </row>
    <row r="12981" spans="8:12" x14ac:dyDescent="0.3">
      <c r="H12981" s="49"/>
      <c r="K12981" s="48"/>
      <c r="L12981" s="89"/>
    </row>
    <row r="12982" spans="8:12" x14ac:dyDescent="0.3">
      <c r="H12982" s="49"/>
      <c r="K12982" s="48"/>
      <c r="L12982" s="89"/>
    </row>
    <row r="12983" spans="8:12" x14ac:dyDescent="0.3">
      <c r="H12983" s="49"/>
      <c r="K12983" s="48"/>
      <c r="L12983" s="89"/>
    </row>
    <row r="12984" spans="8:12" x14ac:dyDescent="0.3">
      <c r="H12984" s="49"/>
      <c r="K12984" s="48"/>
      <c r="L12984" s="89"/>
    </row>
    <row r="12985" spans="8:12" x14ac:dyDescent="0.3">
      <c r="H12985" s="49"/>
      <c r="K12985" s="48"/>
      <c r="L12985" s="89"/>
    </row>
    <row r="12986" spans="8:12" x14ac:dyDescent="0.3">
      <c r="H12986" s="49"/>
      <c r="K12986" s="48"/>
      <c r="L12986" s="89"/>
    </row>
    <row r="12987" spans="8:12" x14ac:dyDescent="0.3">
      <c r="H12987" s="49"/>
      <c r="K12987" s="48"/>
      <c r="L12987" s="89"/>
    </row>
    <row r="12988" spans="8:12" x14ac:dyDescent="0.3">
      <c r="H12988" s="49"/>
      <c r="K12988" s="48"/>
      <c r="L12988" s="89"/>
    </row>
    <row r="12989" spans="8:12" x14ac:dyDescent="0.3">
      <c r="H12989" s="49"/>
      <c r="K12989" s="48"/>
      <c r="L12989" s="89"/>
    </row>
    <row r="12990" spans="8:12" x14ac:dyDescent="0.3">
      <c r="H12990" s="49"/>
      <c r="K12990" s="48"/>
      <c r="L12990" s="89"/>
    </row>
    <row r="12991" spans="8:12" x14ac:dyDescent="0.3">
      <c r="H12991" s="49"/>
      <c r="K12991" s="48"/>
      <c r="L12991" s="89"/>
    </row>
    <row r="12992" spans="8:12" x14ac:dyDescent="0.3">
      <c r="H12992" s="49"/>
      <c r="K12992" s="48"/>
      <c r="L12992" s="89"/>
    </row>
    <row r="12993" spans="8:12" x14ac:dyDescent="0.3">
      <c r="H12993" s="49"/>
      <c r="K12993" s="48"/>
      <c r="L12993" s="89"/>
    </row>
    <row r="12994" spans="8:12" x14ac:dyDescent="0.3">
      <c r="H12994" s="49"/>
      <c r="K12994" s="48"/>
      <c r="L12994" s="89"/>
    </row>
    <row r="12995" spans="8:12" x14ac:dyDescent="0.3">
      <c r="H12995" s="49"/>
      <c r="K12995" s="48"/>
      <c r="L12995" s="89"/>
    </row>
    <row r="12996" spans="8:12" x14ac:dyDescent="0.3">
      <c r="H12996" s="49"/>
      <c r="K12996" s="48"/>
      <c r="L12996" s="89"/>
    </row>
    <row r="12997" spans="8:12" x14ac:dyDescent="0.3">
      <c r="H12997" s="49"/>
      <c r="K12997" s="48"/>
      <c r="L12997" s="89"/>
    </row>
    <row r="12998" spans="8:12" x14ac:dyDescent="0.3">
      <c r="H12998" s="49"/>
      <c r="K12998" s="48"/>
      <c r="L12998" s="89"/>
    </row>
    <row r="12999" spans="8:12" x14ac:dyDescent="0.3">
      <c r="H12999" s="49"/>
      <c r="K12999" s="48"/>
      <c r="L12999" s="89"/>
    </row>
    <row r="13000" spans="8:12" x14ac:dyDescent="0.3">
      <c r="H13000" s="49"/>
      <c r="K13000" s="48"/>
      <c r="L13000" s="89"/>
    </row>
    <row r="13001" spans="8:12" x14ac:dyDescent="0.3">
      <c r="H13001" s="49"/>
      <c r="K13001" s="48"/>
      <c r="L13001" s="89"/>
    </row>
    <row r="13002" spans="8:12" x14ac:dyDescent="0.3">
      <c r="H13002" s="49"/>
      <c r="K13002" s="48"/>
      <c r="L13002" s="89"/>
    </row>
    <row r="13003" spans="8:12" x14ac:dyDescent="0.3">
      <c r="H13003" s="49"/>
      <c r="K13003" s="48"/>
      <c r="L13003" s="89"/>
    </row>
    <row r="13004" spans="8:12" x14ac:dyDescent="0.3">
      <c r="H13004" s="49"/>
      <c r="K13004" s="48"/>
      <c r="L13004" s="89"/>
    </row>
    <row r="13005" spans="8:12" x14ac:dyDescent="0.3">
      <c r="H13005" s="49"/>
      <c r="K13005" s="48"/>
      <c r="L13005" s="89"/>
    </row>
    <row r="13006" spans="8:12" x14ac:dyDescent="0.3">
      <c r="H13006" s="49"/>
      <c r="K13006" s="48"/>
      <c r="L13006" s="89"/>
    </row>
    <row r="13007" spans="8:12" x14ac:dyDescent="0.3">
      <c r="H13007" s="49"/>
      <c r="K13007" s="48"/>
      <c r="L13007" s="89"/>
    </row>
    <row r="13008" spans="8:12" x14ac:dyDescent="0.3">
      <c r="H13008" s="49"/>
      <c r="K13008" s="48"/>
      <c r="L13008" s="89"/>
    </row>
    <row r="13009" spans="8:12" x14ac:dyDescent="0.3">
      <c r="H13009" s="49"/>
      <c r="K13009" s="48"/>
      <c r="L13009" s="89"/>
    </row>
    <row r="13010" spans="8:12" x14ac:dyDescent="0.3">
      <c r="H13010" s="49"/>
      <c r="K13010" s="48"/>
      <c r="L13010" s="89"/>
    </row>
    <row r="13011" spans="8:12" x14ac:dyDescent="0.3">
      <c r="H13011" s="49"/>
      <c r="K13011" s="48"/>
      <c r="L13011" s="89"/>
    </row>
    <row r="13012" spans="8:12" x14ac:dyDescent="0.3">
      <c r="H13012" s="49"/>
      <c r="K13012" s="48"/>
      <c r="L13012" s="89"/>
    </row>
    <row r="13013" spans="8:12" x14ac:dyDescent="0.3">
      <c r="H13013" s="49"/>
      <c r="K13013" s="48"/>
      <c r="L13013" s="89"/>
    </row>
    <row r="13014" spans="8:12" x14ac:dyDescent="0.3">
      <c r="H13014" s="49"/>
      <c r="K13014" s="48"/>
      <c r="L13014" s="89"/>
    </row>
    <row r="13015" spans="8:12" x14ac:dyDescent="0.3">
      <c r="H13015" s="49"/>
      <c r="K13015" s="48"/>
      <c r="L13015" s="89"/>
    </row>
    <row r="13016" spans="8:12" x14ac:dyDescent="0.3">
      <c r="H13016" s="49"/>
      <c r="K13016" s="48"/>
      <c r="L13016" s="89"/>
    </row>
    <row r="13017" spans="8:12" x14ac:dyDescent="0.3">
      <c r="H13017" s="49"/>
      <c r="K13017" s="48"/>
      <c r="L13017" s="89"/>
    </row>
    <row r="13018" spans="8:12" x14ac:dyDescent="0.3">
      <c r="H13018" s="49"/>
      <c r="K13018" s="48"/>
      <c r="L13018" s="89"/>
    </row>
    <row r="13019" spans="8:12" x14ac:dyDescent="0.3">
      <c r="H13019" s="49"/>
      <c r="K13019" s="48"/>
      <c r="L13019" s="89"/>
    </row>
    <row r="13020" spans="8:12" x14ac:dyDescent="0.3">
      <c r="H13020" s="49"/>
      <c r="K13020" s="48"/>
      <c r="L13020" s="89"/>
    </row>
    <row r="13021" spans="8:12" x14ac:dyDescent="0.3">
      <c r="H13021" s="49"/>
      <c r="K13021" s="48"/>
      <c r="L13021" s="89"/>
    </row>
    <row r="13022" spans="8:12" x14ac:dyDescent="0.3">
      <c r="H13022" s="49"/>
      <c r="K13022" s="48"/>
      <c r="L13022" s="89"/>
    </row>
    <row r="13023" spans="8:12" x14ac:dyDescent="0.3">
      <c r="H13023" s="49"/>
      <c r="K13023" s="48"/>
      <c r="L13023" s="89"/>
    </row>
    <row r="13024" spans="8:12" x14ac:dyDescent="0.3">
      <c r="H13024" s="49"/>
      <c r="K13024" s="48"/>
      <c r="L13024" s="89"/>
    </row>
    <row r="13025" spans="8:12" x14ac:dyDescent="0.3">
      <c r="H13025" s="49"/>
      <c r="K13025" s="48"/>
      <c r="L13025" s="89"/>
    </row>
    <row r="13026" spans="8:12" x14ac:dyDescent="0.3">
      <c r="H13026" s="49"/>
      <c r="K13026" s="48"/>
      <c r="L13026" s="89"/>
    </row>
    <row r="13027" spans="8:12" x14ac:dyDescent="0.3">
      <c r="H13027" s="49"/>
      <c r="K13027" s="48"/>
      <c r="L13027" s="89"/>
    </row>
    <row r="13028" spans="8:12" x14ac:dyDescent="0.3">
      <c r="H13028" s="49"/>
      <c r="K13028" s="48"/>
      <c r="L13028" s="89"/>
    </row>
    <row r="13029" spans="8:12" x14ac:dyDescent="0.3">
      <c r="H13029" s="49"/>
      <c r="K13029" s="48"/>
      <c r="L13029" s="89"/>
    </row>
    <row r="13030" spans="8:12" x14ac:dyDescent="0.3">
      <c r="H13030" s="49"/>
      <c r="K13030" s="48"/>
      <c r="L13030" s="89"/>
    </row>
    <row r="13031" spans="8:12" x14ac:dyDescent="0.3">
      <c r="H13031" s="49"/>
      <c r="K13031" s="48"/>
      <c r="L13031" s="89"/>
    </row>
    <row r="13032" spans="8:12" x14ac:dyDescent="0.3">
      <c r="H13032" s="49"/>
      <c r="K13032" s="48"/>
      <c r="L13032" s="89"/>
    </row>
    <row r="13033" spans="8:12" x14ac:dyDescent="0.3">
      <c r="H13033" s="49"/>
      <c r="K13033" s="48"/>
      <c r="L13033" s="89"/>
    </row>
    <row r="13034" spans="8:12" x14ac:dyDescent="0.3">
      <c r="H13034" s="49"/>
      <c r="K13034" s="48"/>
      <c r="L13034" s="89"/>
    </row>
    <row r="13035" spans="8:12" x14ac:dyDescent="0.3">
      <c r="H13035" s="49"/>
      <c r="K13035" s="48"/>
      <c r="L13035" s="89"/>
    </row>
    <row r="13036" spans="8:12" x14ac:dyDescent="0.3">
      <c r="H13036" s="49"/>
      <c r="K13036" s="48"/>
      <c r="L13036" s="89"/>
    </row>
    <row r="13037" spans="8:12" x14ac:dyDescent="0.3">
      <c r="H13037" s="49"/>
      <c r="K13037" s="48"/>
      <c r="L13037" s="89"/>
    </row>
    <row r="13038" spans="8:12" x14ac:dyDescent="0.3">
      <c r="H13038" s="49"/>
      <c r="K13038" s="48"/>
      <c r="L13038" s="89"/>
    </row>
    <row r="13039" spans="8:12" x14ac:dyDescent="0.3">
      <c r="H13039" s="49"/>
      <c r="K13039" s="48"/>
      <c r="L13039" s="89"/>
    </row>
    <row r="13040" spans="8:12" x14ac:dyDescent="0.3">
      <c r="H13040" s="49"/>
      <c r="K13040" s="48"/>
      <c r="L13040" s="89"/>
    </row>
    <row r="13041" spans="8:12" x14ac:dyDescent="0.3">
      <c r="H13041" s="49"/>
      <c r="K13041" s="48"/>
      <c r="L13041" s="89"/>
    </row>
    <row r="13042" spans="8:12" x14ac:dyDescent="0.3">
      <c r="H13042" s="49"/>
      <c r="K13042" s="48"/>
      <c r="L13042" s="89"/>
    </row>
    <row r="13043" spans="8:12" x14ac:dyDescent="0.3">
      <c r="H13043" s="49"/>
      <c r="K13043" s="48"/>
      <c r="L13043" s="89"/>
    </row>
    <row r="13044" spans="8:12" x14ac:dyDescent="0.3">
      <c r="H13044" s="49"/>
      <c r="K13044" s="48"/>
      <c r="L13044" s="89"/>
    </row>
    <row r="13045" spans="8:12" x14ac:dyDescent="0.3">
      <c r="H13045" s="49"/>
      <c r="K13045" s="48"/>
      <c r="L13045" s="89"/>
    </row>
    <row r="13046" spans="8:12" x14ac:dyDescent="0.3">
      <c r="H13046" s="49"/>
      <c r="K13046" s="48"/>
      <c r="L13046" s="89"/>
    </row>
    <row r="13047" spans="8:12" x14ac:dyDescent="0.3">
      <c r="H13047" s="49"/>
      <c r="K13047" s="48"/>
      <c r="L13047" s="89"/>
    </row>
    <row r="13048" spans="8:12" x14ac:dyDescent="0.3">
      <c r="H13048" s="49"/>
      <c r="K13048" s="48"/>
      <c r="L13048" s="89"/>
    </row>
    <row r="13049" spans="8:12" x14ac:dyDescent="0.3">
      <c r="H13049" s="49"/>
      <c r="K13049" s="48"/>
      <c r="L13049" s="89"/>
    </row>
    <row r="13050" spans="8:12" x14ac:dyDescent="0.3">
      <c r="H13050" s="49"/>
      <c r="K13050" s="48"/>
      <c r="L13050" s="89"/>
    </row>
    <row r="13051" spans="8:12" x14ac:dyDescent="0.3">
      <c r="H13051" s="49"/>
      <c r="K13051" s="48"/>
      <c r="L13051" s="89"/>
    </row>
    <row r="13052" spans="8:12" x14ac:dyDescent="0.3">
      <c r="H13052" s="49"/>
      <c r="K13052" s="48"/>
      <c r="L13052" s="89"/>
    </row>
    <row r="13053" spans="8:12" x14ac:dyDescent="0.3">
      <c r="H13053" s="49"/>
      <c r="K13053" s="48"/>
      <c r="L13053" s="89"/>
    </row>
    <row r="13054" spans="8:12" x14ac:dyDescent="0.3">
      <c r="H13054" s="49"/>
      <c r="K13054" s="48"/>
      <c r="L13054" s="89"/>
    </row>
    <row r="13055" spans="8:12" x14ac:dyDescent="0.3">
      <c r="H13055" s="49"/>
      <c r="K13055" s="48"/>
      <c r="L13055" s="89"/>
    </row>
    <row r="13056" spans="8:12" x14ac:dyDescent="0.3">
      <c r="H13056" s="49"/>
      <c r="K13056" s="48"/>
      <c r="L13056" s="89"/>
    </row>
    <row r="13057" spans="8:12" x14ac:dyDescent="0.3">
      <c r="H13057" s="49"/>
      <c r="K13057" s="48"/>
      <c r="L13057" s="89"/>
    </row>
    <row r="13058" spans="8:12" x14ac:dyDescent="0.3">
      <c r="H13058" s="49"/>
      <c r="K13058" s="48"/>
      <c r="L13058" s="89"/>
    </row>
    <row r="13059" spans="8:12" x14ac:dyDescent="0.3">
      <c r="H13059" s="49"/>
      <c r="K13059" s="48"/>
      <c r="L13059" s="89"/>
    </row>
    <row r="13060" spans="8:12" x14ac:dyDescent="0.3">
      <c r="H13060" s="49"/>
      <c r="K13060" s="48"/>
      <c r="L13060" s="89"/>
    </row>
    <row r="13061" spans="8:12" x14ac:dyDescent="0.3">
      <c r="H13061" s="49"/>
      <c r="K13061" s="48"/>
      <c r="L13061" s="89"/>
    </row>
    <row r="13062" spans="8:12" x14ac:dyDescent="0.3">
      <c r="H13062" s="49"/>
      <c r="K13062" s="48"/>
      <c r="L13062" s="89"/>
    </row>
    <row r="13063" spans="8:12" x14ac:dyDescent="0.3">
      <c r="H13063" s="49"/>
      <c r="K13063" s="48"/>
      <c r="L13063" s="89"/>
    </row>
    <row r="13064" spans="8:12" x14ac:dyDescent="0.3">
      <c r="H13064" s="49"/>
      <c r="K13064" s="48"/>
      <c r="L13064" s="89"/>
    </row>
    <row r="13065" spans="8:12" x14ac:dyDescent="0.3">
      <c r="H13065" s="49"/>
      <c r="K13065" s="48"/>
      <c r="L13065" s="89"/>
    </row>
    <row r="13066" spans="8:12" x14ac:dyDescent="0.3">
      <c r="H13066" s="49"/>
      <c r="K13066" s="48"/>
      <c r="L13066" s="89"/>
    </row>
    <row r="13067" spans="8:12" x14ac:dyDescent="0.3">
      <c r="H13067" s="49"/>
      <c r="K13067" s="48"/>
      <c r="L13067" s="89"/>
    </row>
    <row r="13068" spans="8:12" x14ac:dyDescent="0.3">
      <c r="H13068" s="49"/>
      <c r="K13068" s="48"/>
      <c r="L13068" s="89"/>
    </row>
    <row r="13069" spans="8:12" x14ac:dyDescent="0.3">
      <c r="H13069" s="49"/>
      <c r="K13069" s="48"/>
      <c r="L13069" s="89"/>
    </row>
    <row r="13070" spans="8:12" x14ac:dyDescent="0.3">
      <c r="H13070" s="49"/>
      <c r="K13070" s="48"/>
      <c r="L13070" s="89"/>
    </row>
    <row r="13071" spans="8:12" x14ac:dyDescent="0.3">
      <c r="H13071" s="49"/>
      <c r="K13071" s="48"/>
      <c r="L13071" s="89"/>
    </row>
    <row r="13072" spans="8:12" x14ac:dyDescent="0.3">
      <c r="H13072" s="49"/>
      <c r="K13072" s="48"/>
      <c r="L13072" s="89"/>
    </row>
    <row r="13073" spans="8:12" x14ac:dyDescent="0.3">
      <c r="H13073" s="49"/>
      <c r="K13073" s="48"/>
      <c r="L13073" s="89"/>
    </row>
    <row r="13074" spans="8:12" x14ac:dyDescent="0.3">
      <c r="H13074" s="49"/>
      <c r="K13074" s="48"/>
      <c r="L13074" s="89"/>
    </row>
    <row r="13075" spans="8:12" x14ac:dyDescent="0.3">
      <c r="H13075" s="49"/>
      <c r="K13075" s="48"/>
      <c r="L13075" s="89"/>
    </row>
    <row r="13076" spans="8:12" x14ac:dyDescent="0.3">
      <c r="H13076" s="49"/>
      <c r="K13076" s="48"/>
      <c r="L13076" s="89"/>
    </row>
    <row r="13077" spans="8:12" x14ac:dyDescent="0.3">
      <c r="H13077" s="49"/>
      <c r="K13077" s="48"/>
      <c r="L13077" s="89"/>
    </row>
    <row r="13078" spans="8:12" x14ac:dyDescent="0.3">
      <c r="H13078" s="49"/>
      <c r="K13078" s="48"/>
      <c r="L13078" s="89"/>
    </row>
    <row r="13079" spans="8:12" x14ac:dyDescent="0.3">
      <c r="H13079" s="49"/>
      <c r="K13079" s="48"/>
      <c r="L13079" s="89"/>
    </row>
    <row r="13080" spans="8:12" x14ac:dyDescent="0.3">
      <c r="H13080" s="49"/>
      <c r="K13080" s="48"/>
      <c r="L13080" s="89"/>
    </row>
    <row r="13081" spans="8:12" x14ac:dyDescent="0.3">
      <c r="H13081" s="49"/>
      <c r="K13081" s="48"/>
      <c r="L13081" s="89"/>
    </row>
    <row r="13082" spans="8:12" x14ac:dyDescent="0.3">
      <c r="H13082" s="49"/>
      <c r="K13082" s="48"/>
      <c r="L13082" s="89"/>
    </row>
    <row r="13083" spans="8:12" x14ac:dyDescent="0.3">
      <c r="H13083" s="49"/>
      <c r="K13083" s="48"/>
      <c r="L13083" s="89"/>
    </row>
    <row r="13084" spans="8:12" x14ac:dyDescent="0.3">
      <c r="H13084" s="49"/>
      <c r="K13084" s="48"/>
      <c r="L13084" s="89"/>
    </row>
    <row r="13085" spans="8:12" x14ac:dyDescent="0.3">
      <c r="H13085" s="49"/>
      <c r="K13085" s="48"/>
      <c r="L13085" s="89"/>
    </row>
    <row r="13086" spans="8:12" x14ac:dyDescent="0.3">
      <c r="H13086" s="49"/>
      <c r="K13086" s="48"/>
      <c r="L13086" s="89"/>
    </row>
    <row r="13087" spans="8:12" x14ac:dyDescent="0.3">
      <c r="H13087" s="49"/>
      <c r="K13087" s="48"/>
      <c r="L13087" s="89"/>
    </row>
    <row r="13088" spans="8:12" x14ac:dyDescent="0.3">
      <c r="H13088" s="49"/>
      <c r="K13088" s="48"/>
      <c r="L13088" s="89"/>
    </row>
    <row r="13089" spans="8:12" x14ac:dyDescent="0.3">
      <c r="H13089" s="49"/>
      <c r="K13089" s="48"/>
      <c r="L13089" s="89"/>
    </row>
    <row r="13090" spans="8:12" x14ac:dyDescent="0.3">
      <c r="H13090" s="49"/>
      <c r="K13090" s="48"/>
      <c r="L13090" s="89"/>
    </row>
    <row r="13091" spans="8:12" x14ac:dyDescent="0.3">
      <c r="H13091" s="49"/>
      <c r="K13091" s="48"/>
      <c r="L13091" s="89"/>
    </row>
    <row r="13092" spans="8:12" x14ac:dyDescent="0.3">
      <c r="H13092" s="49"/>
      <c r="K13092" s="48"/>
      <c r="L13092" s="89"/>
    </row>
    <row r="13093" spans="8:12" x14ac:dyDescent="0.3">
      <c r="H13093" s="49"/>
      <c r="K13093" s="48"/>
      <c r="L13093" s="89"/>
    </row>
    <row r="13094" spans="8:12" x14ac:dyDescent="0.3">
      <c r="H13094" s="49"/>
      <c r="K13094" s="48"/>
      <c r="L13094" s="89"/>
    </row>
    <row r="13095" spans="8:12" x14ac:dyDescent="0.3">
      <c r="H13095" s="49"/>
      <c r="K13095" s="48"/>
      <c r="L13095" s="89"/>
    </row>
    <row r="13096" spans="8:12" x14ac:dyDescent="0.3">
      <c r="H13096" s="49"/>
      <c r="K13096" s="48"/>
      <c r="L13096" s="89"/>
    </row>
    <row r="13097" spans="8:12" x14ac:dyDescent="0.3">
      <c r="H13097" s="49"/>
      <c r="K13097" s="48"/>
      <c r="L13097" s="89"/>
    </row>
    <row r="13098" spans="8:12" x14ac:dyDescent="0.3">
      <c r="H13098" s="49"/>
      <c r="K13098" s="48"/>
      <c r="L13098" s="89"/>
    </row>
    <row r="13099" spans="8:12" x14ac:dyDescent="0.3">
      <c r="H13099" s="49"/>
      <c r="K13099" s="48"/>
      <c r="L13099" s="89"/>
    </row>
    <row r="13100" spans="8:12" x14ac:dyDescent="0.3">
      <c r="H13100" s="49"/>
      <c r="K13100" s="48"/>
      <c r="L13100" s="89"/>
    </row>
    <row r="13101" spans="8:12" x14ac:dyDescent="0.3">
      <c r="H13101" s="49"/>
      <c r="K13101" s="48"/>
      <c r="L13101" s="89"/>
    </row>
    <row r="13102" spans="8:12" x14ac:dyDescent="0.3">
      <c r="H13102" s="49"/>
      <c r="K13102" s="48"/>
      <c r="L13102" s="89"/>
    </row>
    <row r="13103" spans="8:12" x14ac:dyDescent="0.3">
      <c r="H13103" s="49"/>
      <c r="K13103" s="48"/>
      <c r="L13103" s="89"/>
    </row>
    <row r="13104" spans="8:12" x14ac:dyDescent="0.3">
      <c r="H13104" s="49"/>
      <c r="K13104" s="48"/>
      <c r="L13104" s="89"/>
    </row>
    <row r="13105" spans="8:12" x14ac:dyDescent="0.3">
      <c r="H13105" s="49"/>
      <c r="K13105" s="48"/>
      <c r="L13105" s="89"/>
    </row>
    <row r="13106" spans="8:12" x14ac:dyDescent="0.3">
      <c r="H13106" s="49"/>
      <c r="K13106" s="48"/>
      <c r="L13106" s="89"/>
    </row>
    <row r="13107" spans="8:12" x14ac:dyDescent="0.3">
      <c r="H13107" s="49"/>
      <c r="K13107" s="48"/>
      <c r="L13107" s="89"/>
    </row>
    <row r="13108" spans="8:12" x14ac:dyDescent="0.3">
      <c r="H13108" s="49"/>
      <c r="K13108" s="48"/>
      <c r="L13108" s="89"/>
    </row>
    <row r="13109" spans="8:12" x14ac:dyDescent="0.3">
      <c r="H13109" s="49"/>
      <c r="K13109" s="48"/>
      <c r="L13109" s="89"/>
    </row>
    <row r="13110" spans="8:12" x14ac:dyDescent="0.3">
      <c r="H13110" s="49"/>
      <c r="K13110" s="48"/>
      <c r="L13110" s="89"/>
    </row>
    <row r="13111" spans="8:12" x14ac:dyDescent="0.3">
      <c r="H13111" s="49"/>
      <c r="K13111" s="48"/>
      <c r="L13111" s="89"/>
    </row>
    <row r="13112" spans="8:12" x14ac:dyDescent="0.3">
      <c r="H13112" s="49"/>
      <c r="K13112" s="48"/>
      <c r="L13112" s="89"/>
    </row>
    <row r="13113" spans="8:12" x14ac:dyDescent="0.3">
      <c r="H13113" s="49"/>
      <c r="K13113" s="48"/>
      <c r="L13113" s="89"/>
    </row>
    <row r="13114" spans="8:12" x14ac:dyDescent="0.3">
      <c r="H13114" s="49"/>
      <c r="K13114" s="48"/>
      <c r="L13114" s="89"/>
    </row>
    <row r="13115" spans="8:12" x14ac:dyDescent="0.3">
      <c r="H13115" s="49"/>
      <c r="K13115" s="48"/>
      <c r="L13115" s="89"/>
    </row>
    <row r="13116" spans="8:12" x14ac:dyDescent="0.3">
      <c r="H13116" s="49"/>
      <c r="K13116" s="48"/>
      <c r="L13116" s="89"/>
    </row>
    <row r="13117" spans="8:12" x14ac:dyDescent="0.3">
      <c r="H13117" s="49"/>
      <c r="K13117" s="48"/>
      <c r="L13117" s="89"/>
    </row>
    <row r="13118" spans="8:12" x14ac:dyDescent="0.3">
      <c r="H13118" s="49"/>
      <c r="K13118" s="48"/>
      <c r="L13118" s="89"/>
    </row>
    <row r="13119" spans="8:12" x14ac:dyDescent="0.3">
      <c r="H13119" s="49"/>
      <c r="K13119" s="48"/>
      <c r="L13119" s="89"/>
    </row>
    <row r="13120" spans="8:12" x14ac:dyDescent="0.3">
      <c r="H13120" s="49"/>
      <c r="K13120" s="48"/>
      <c r="L13120" s="89"/>
    </row>
    <row r="13121" spans="8:12" x14ac:dyDescent="0.3">
      <c r="H13121" s="49"/>
      <c r="K13121" s="48"/>
      <c r="L13121" s="89"/>
    </row>
    <row r="13122" spans="8:12" x14ac:dyDescent="0.3">
      <c r="H13122" s="49"/>
      <c r="K13122" s="48"/>
      <c r="L13122" s="89"/>
    </row>
    <row r="13123" spans="8:12" x14ac:dyDescent="0.3">
      <c r="H13123" s="49"/>
      <c r="K13123" s="48"/>
      <c r="L13123" s="89"/>
    </row>
    <row r="13124" spans="8:12" x14ac:dyDescent="0.3">
      <c r="H13124" s="49"/>
      <c r="K13124" s="48"/>
      <c r="L13124" s="89"/>
    </row>
    <row r="13125" spans="8:12" x14ac:dyDescent="0.3">
      <c r="H13125" s="49"/>
      <c r="K13125" s="48"/>
      <c r="L13125" s="89"/>
    </row>
    <row r="13126" spans="8:12" x14ac:dyDescent="0.3">
      <c r="H13126" s="49"/>
      <c r="K13126" s="48"/>
      <c r="L13126" s="89"/>
    </row>
    <row r="13127" spans="8:12" x14ac:dyDescent="0.3">
      <c r="H13127" s="49"/>
      <c r="K13127" s="48"/>
      <c r="L13127" s="89"/>
    </row>
    <row r="13128" spans="8:12" x14ac:dyDescent="0.3">
      <c r="H13128" s="49"/>
      <c r="K13128" s="48"/>
      <c r="L13128" s="89"/>
    </row>
    <row r="13129" spans="8:12" x14ac:dyDescent="0.3">
      <c r="H13129" s="49"/>
      <c r="K13129" s="48"/>
      <c r="L13129" s="89"/>
    </row>
    <row r="13130" spans="8:12" x14ac:dyDescent="0.3">
      <c r="H13130" s="49"/>
      <c r="K13130" s="48"/>
      <c r="L13130" s="89"/>
    </row>
    <row r="13131" spans="8:12" x14ac:dyDescent="0.3">
      <c r="H13131" s="49"/>
      <c r="K13131" s="48"/>
      <c r="L13131" s="89"/>
    </row>
    <row r="13132" spans="8:12" x14ac:dyDescent="0.3">
      <c r="H13132" s="49"/>
      <c r="K13132" s="48"/>
      <c r="L13132" s="89"/>
    </row>
    <row r="13133" spans="8:12" x14ac:dyDescent="0.3">
      <c r="H13133" s="49"/>
      <c r="K13133" s="48"/>
      <c r="L13133" s="89"/>
    </row>
    <row r="13134" spans="8:12" x14ac:dyDescent="0.3">
      <c r="H13134" s="49"/>
      <c r="K13134" s="48"/>
      <c r="L13134" s="89"/>
    </row>
    <row r="13135" spans="8:12" x14ac:dyDescent="0.3">
      <c r="H13135" s="49"/>
      <c r="K13135" s="48"/>
      <c r="L13135" s="89"/>
    </row>
    <row r="13136" spans="8:12" x14ac:dyDescent="0.3">
      <c r="H13136" s="49"/>
      <c r="K13136" s="48"/>
      <c r="L13136" s="89"/>
    </row>
    <row r="13137" spans="8:12" x14ac:dyDescent="0.3">
      <c r="H13137" s="49"/>
      <c r="K13137" s="48"/>
      <c r="L13137" s="89"/>
    </row>
    <row r="13138" spans="8:12" x14ac:dyDescent="0.3">
      <c r="H13138" s="49"/>
      <c r="K13138" s="48"/>
      <c r="L13138" s="89"/>
    </row>
    <row r="13139" spans="8:12" x14ac:dyDescent="0.3">
      <c r="H13139" s="49"/>
      <c r="K13139" s="48"/>
      <c r="L13139" s="89"/>
    </row>
    <row r="13140" spans="8:12" x14ac:dyDescent="0.3">
      <c r="H13140" s="49"/>
      <c r="K13140" s="48"/>
      <c r="L13140" s="89"/>
    </row>
    <row r="13141" spans="8:12" x14ac:dyDescent="0.3">
      <c r="H13141" s="49"/>
      <c r="K13141" s="48"/>
      <c r="L13141" s="89"/>
    </row>
    <row r="13142" spans="8:12" x14ac:dyDescent="0.3">
      <c r="H13142" s="49"/>
      <c r="K13142" s="48"/>
      <c r="L13142" s="89"/>
    </row>
    <row r="13143" spans="8:12" x14ac:dyDescent="0.3">
      <c r="H13143" s="49"/>
      <c r="K13143" s="48"/>
      <c r="L13143" s="89"/>
    </row>
    <row r="13144" spans="8:12" x14ac:dyDescent="0.3">
      <c r="H13144" s="49"/>
      <c r="K13144" s="48"/>
      <c r="L13144" s="89"/>
    </row>
    <row r="13145" spans="8:12" x14ac:dyDescent="0.3">
      <c r="H13145" s="49"/>
      <c r="K13145" s="48"/>
      <c r="L13145" s="89"/>
    </row>
    <row r="13146" spans="8:12" x14ac:dyDescent="0.3">
      <c r="H13146" s="49"/>
      <c r="K13146" s="48"/>
      <c r="L13146" s="89"/>
    </row>
    <row r="13147" spans="8:12" x14ac:dyDescent="0.3">
      <c r="H13147" s="49"/>
      <c r="K13147" s="48"/>
      <c r="L13147" s="89"/>
    </row>
    <row r="13148" spans="8:12" x14ac:dyDescent="0.3">
      <c r="H13148" s="49"/>
      <c r="K13148" s="48"/>
      <c r="L13148" s="89"/>
    </row>
    <row r="13149" spans="8:12" x14ac:dyDescent="0.3">
      <c r="H13149" s="49"/>
      <c r="K13149" s="48"/>
      <c r="L13149" s="89"/>
    </row>
    <row r="13150" spans="8:12" x14ac:dyDescent="0.3">
      <c r="H13150" s="49"/>
      <c r="K13150" s="48"/>
      <c r="L13150" s="89"/>
    </row>
    <row r="13151" spans="8:12" x14ac:dyDescent="0.3">
      <c r="H13151" s="49"/>
      <c r="K13151" s="48"/>
      <c r="L13151" s="89"/>
    </row>
    <row r="13152" spans="8:12" x14ac:dyDescent="0.3">
      <c r="H13152" s="49"/>
      <c r="K13152" s="48"/>
      <c r="L13152" s="89"/>
    </row>
    <row r="13153" spans="8:12" x14ac:dyDescent="0.3">
      <c r="H13153" s="49"/>
      <c r="K13153" s="48"/>
      <c r="L13153" s="89"/>
    </row>
    <row r="13154" spans="8:12" x14ac:dyDescent="0.3">
      <c r="H13154" s="49"/>
      <c r="K13154" s="48"/>
      <c r="L13154" s="89"/>
    </row>
    <row r="13155" spans="8:12" x14ac:dyDescent="0.3">
      <c r="H13155" s="49"/>
      <c r="K13155" s="48"/>
      <c r="L13155" s="89"/>
    </row>
    <row r="13156" spans="8:12" x14ac:dyDescent="0.3">
      <c r="H13156" s="49"/>
      <c r="K13156" s="48"/>
      <c r="L13156" s="89"/>
    </row>
    <row r="13157" spans="8:12" x14ac:dyDescent="0.3">
      <c r="H13157" s="49"/>
      <c r="K13157" s="48"/>
      <c r="L13157" s="89"/>
    </row>
    <row r="13158" spans="8:12" x14ac:dyDescent="0.3">
      <c r="H13158" s="49"/>
      <c r="K13158" s="48"/>
      <c r="L13158" s="89"/>
    </row>
    <row r="13159" spans="8:12" x14ac:dyDescent="0.3">
      <c r="H13159" s="49"/>
      <c r="K13159" s="48"/>
      <c r="L13159" s="89"/>
    </row>
    <row r="13160" spans="8:12" x14ac:dyDescent="0.3">
      <c r="H13160" s="49"/>
      <c r="K13160" s="48"/>
      <c r="L13160" s="89"/>
    </row>
    <row r="13161" spans="8:12" x14ac:dyDescent="0.3">
      <c r="H13161" s="49"/>
      <c r="K13161" s="48"/>
      <c r="L13161" s="89"/>
    </row>
    <row r="13162" spans="8:12" x14ac:dyDescent="0.3">
      <c r="H13162" s="49"/>
      <c r="K13162" s="48"/>
      <c r="L13162" s="89"/>
    </row>
    <row r="13163" spans="8:12" x14ac:dyDescent="0.3">
      <c r="H13163" s="49"/>
      <c r="K13163" s="48"/>
      <c r="L13163" s="89"/>
    </row>
    <row r="13164" spans="8:12" x14ac:dyDescent="0.3">
      <c r="H13164" s="49"/>
      <c r="K13164" s="48"/>
      <c r="L13164" s="89"/>
    </row>
    <row r="13165" spans="8:12" x14ac:dyDescent="0.3">
      <c r="H13165" s="49"/>
      <c r="K13165" s="48"/>
      <c r="L13165" s="89"/>
    </row>
    <row r="13166" spans="8:12" x14ac:dyDescent="0.3">
      <c r="H13166" s="49"/>
      <c r="K13166" s="48"/>
      <c r="L13166" s="89"/>
    </row>
    <row r="13167" spans="8:12" x14ac:dyDescent="0.3">
      <c r="H13167" s="49"/>
      <c r="K13167" s="48"/>
      <c r="L13167" s="89"/>
    </row>
    <row r="13168" spans="8:12" x14ac:dyDescent="0.3">
      <c r="H13168" s="49"/>
      <c r="K13168" s="48"/>
      <c r="L13168" s="89"/>
    </row>
    <row r="13169" spans="8:12" x14ac:dyDescent="0.3">
      <c r="H13169" s="49"/>
      <c r="K13169" s="48"/>
      <c r="L13169" s="89"/>
    </row>
    <row r="13170" spans="8:12" x14ac:dyDescent="0.3">
      <c r="H13170" s="49"/>
      <c r="K13170" s="48"/>
      <c r="L13170" s="89"/>
    </row>
    <row r="13171" spans="8:12" x14ac:dyDescent="0.3">
      <c r="H13171" s="49"/>
      <c r="K13171" s="48"/>
      <c r="L13171" s="89"/>
    </row>
    <row r="13172" spans="8:12" x14ac:dyDescent="0.3">
      <c r="H13172" s="49"/>
      <c r="K13172" s="48"/>
      <c r="L13172" s="89"/>
    </row>
    <row r="13173" spans="8:12" x14ac:dyDescent="0.3">
      <c r="H13173" s="49"/>
      <c r="K13173" s="48"/>
      <c r="L13173" s="89"/>
    </row>
    <row r="13174" spans="8:12" x14ac:dyDescent="0.3">
      <c r="H13174" s="49"/>
      <c r="K13174" s="48"/>
      <c r="L13174" s="89"/>
    </row>
    <row r="13175" spans="8:12" x14ac:dyDescent="0.3">
      <c r="H13175" s="49"/>
      <c r="K13175" s="48"/>
      <c r="L13175" s="89"/>
    </row>
    <row r="13176" spans="8:12" x14ac:dyDescent="0.3">
      <c r="H13176" s="49"/>
      <c r="K13176" s="48"/>
      <c r="L13176" s="89"/>
    </row>
    <row r="13177" spans="8:12" x14ac:dyDescent="0.3">
      <c r="H13177" s="49"/>
      <c r="K13177" s="48"/>
      <c r="L13177" s="89"/>
    </row>
    <row r="13178" spans="8:12" x14ac:dyDescent="0.3">
      <c r="H13178" s="49"/>
      <c r="K13178" s="48"/>
      <c r="L13178" s="89"/>
    </row>
    <row r="13179" spans="8:12" x14ac:dyDescent="0.3">
      <c r="H13179" s="49"/>
      <c r="K13179" s="48"/>
      <c r="L13179" s="89"/>
    </row>
    <row r="13180" spans="8:12" x14ac:dyDescent="0.3">
      <c r="H13180" s="49"/>
      <c r="K13180" s="48"/>
      <c r="L13180" s="89"/>
    </row>
    <row r="13181" spans="8:12" x14ac:dyDescent="0.3">
      <c r="H13181" s="49"/>
      <c r="K13181" s="48"/>
      <c r="L13181" s="89"/>
    </row>
    <row r="13182" spans="8:12" x14ac:dyDescent="0.3">
      <c r="H13182" s="49"/>
      <c r="K13182" s="48"/>
      <c r="L13182" s="89"/>
    </row>
    <row r="13183" spans="8:12" x14ac:dyDescent="0.3">
      <c r="H13183" s="49"/>
      <c r="K13183" s="48"/>
      <c r="L13183" s="89"/>
    </row>
    <row r="13184" spans="8:12" x14ac:dyDescent="0.3">
      <c r="H13184" s="49"/>
      <c r="K13184" s="48"/>
      <c r="L13184" s="89"/>
    </row>
    <row r="13185" spans="8:12" x14ac:dyDescent="0.3">
      <c r="H13185" s="49"/>
      <c r="K13185" s="48"/>
      <c r="L13185" s="89"/>
    </row>
    <row r="13186" spans="8:12" x14ac:dyDescent="0.3">
      <c r="H13186" s="49"/>
      <c r="K13186" s="48"/>
      <c r="L13186" s="89"/>
    </row>
    <row r="13187" spans="8:12" x14ac:dyDescent="0.3">
      <c r="H13187" s="49"/>
      <c r="K13187" s="48"/>
      <c r="L13187" s="89"/>
    </row>
    <row r="13188" spans="8:12" x14ac:dyDescent="0.3">
      <c r="H13188" s="49"/>
      <c r="K13188" s="48"/>
      <c r="L13188" s="89"/>
    </row>
    <row r="13189" spans="8:12" x14ac:dyDescent="0.3">
      <c r="H13189" s="49"/>
      <c r="K13189" s="48"/>
      <c r="L13189" s="89"/>
    </row>
    <row r="13190" spans="8:12" x14ac:dyDescent="0.3">
      <c r="H13190" s="49"/>
      <c r="K13190" s="48"/>
      <c r="L13190" s="89"/>
    </row>
    <row r="13191" spans="8:12" x14ac:dyDescent="0.3">
      <c r="H13191" s="49"/>
      <c r="K13191" s="48"/>
      <c r="L13191" s="89"/>
    </row>
    <row r="13192" spans="8:12" x14ac:dyDescent="0.3">
      <c r="H13192" s="49"/>
      <c r="K13192" s="48"/>
      <c r="L13192" s="89"/>
    </row>
    <row r="13193" spans="8:12" x14ac:dyDescent="0.3">
      <c r="H13193" s="49"/>
      <c r="K13193" s="48"/>
      <c r="L13193" s="89"/>
    </row>
    <row r="13194" spans="8:12" x14ac:dyDescent="0.3">
      <c r="H13194" s="49"/>
      <c r="K13194" s="48"/>
      <c r="L13194" s="89"/>
    </row>
    <row r="13195" spans="8:12" x14ac:dyDescent="0.3">
      <c r="H13195" s="49"/>
      <c r="K13195" s="48"/>
      <c r="L13195" s="89"/>
    </row>
    <row r="13196" spans="8:12" x14ac:dyDescent="0.3">
      <c r="H13196" s="49"/>
      <c r="K13196" s="48"/>
      <c r="L13196" s="89"/>
    </row>
    <row r="13197" spans="8:12" x14ac:dyDescent="0.3">
      <c r="H13197" s="49"/>
      <c r="K13197" s="48"/>
      <c r="L13197" s="89"/>
    </row>
    <row r="13198" spans="8:12" x14ac:dyDescent="0.3">
      <c r="H13198" s="49"/>
      <c r="K13198" s="48"/>
      <c r="L13198" s="89"/>
    </row>
    <row r="13199" spans="8:12" x14ac:dyDescent="0.3">
      <c r="H13199" s="49"/>
      <c r="K13199" s="48"/>
      <c r="L13199" s="89"/>
    </row>
    <row r="13200" spans="8:12" x14ac:dyDescent="0.3">
      <c r="H13200" s="49"/>
      <c r="K13200" s="48"/>
      <c r="L13200" s="89"/>
    </row>
    <row r="13201" spans="8:12" x14ac:dyDescent="0.3">
      <c r="H13201" s="49"/>
      <c r="K13201" s="48"/>
      <c r="L13201" s="89"/>
    </row>
    <row r="13202" spans="8:12" x14ac:dyDescent="0.3">
      <c r="H13202" s="49"/>
      <c r="K13202" s="48"/>
      <c r="L13202" s="89"/>
    </row>
    <row r="13203" spans="8:12" x14ac:dyDescent="0.3">
      <c r="H13203" s="49"/>
      <c r="K13203" s="48"/>
      <c r="L13203" s="89"/>
    </row>
    <row r="13204" spans="8:12" x14ac:dyDescent="0.3">
      <c r="H13204" s="49"/>
      <c r="K13204" s="48"/>
      <c r="L13204" s="89"/>
    </row>
    <row r="13205" spans="8:12" x14ac:dyDescent="0.3">
      <c r="H13205" s="49"/>
      <c r="K13205" s="48"/>
      <c r="L13205" s="89"/>
    </row>
    <row r="13206" spans="8:12" x14ac:dyDescent="0.3">
      <c r="H13206" s="49"/>
      <c r="K13206" s="48"/>
      <c r="L13206" s="89"/>
    </row>
    <row r="13207" spans="8:12" x14ac:dyDescent="0.3">
      <c r="H13207" s="49"/>
      <c r="K13207" s="48"/>
      <c r="L13207" s="89"/>
    </row>
    <row r="13208" spans="8:12" x14ac:dyDescent="0.3">
      <c r="H13208" s="49"/>
      <c r="K13208" s="48"/>
      <c r="L13208" s="89"/>
    </row>
    <row r="13209" spans="8:12" x14ac:dyDescent="0.3">
      <c r="H13209" s="49"/>
      <c r="K13209" s="48"/>
      <c r="L13209" s="89"/>
    </row>
    <row r="13210" spans="8:12" x14ac:dyDescent="0.3">
      <c r="H13210" s="49"/>
      <c r="K13210" s="48"/>
      <c r="L13210" s="89"/>
    </row>
    <row r="13211" spans="8:12" x14ac:dyDescent="0.3">
      <c r="H13211" s="49"/>
      <c r="K13211" s="48"/>
      <c r="L13211" s="89"/>
    </row>
    <row r="13212" spans="8:12" x14ac:dyDescent="0.3">
      <c r="H13212" s="49"/>
      <c r="K13212" s="48"/>
      <c r="L13212" s="89"/>
    </row>
    <row r="13213" spans="8:12" x14ac:dyDescent="0.3">
      <c r="H13213" s="49"/>
      <c r="K13213" s="48"/>
      <c r="L13213" s="89"/>
    </row>
    <row r="13214" spans="8:12" x14ac:dyDescent="0.3">
      <c r="H13214" s="49"/>
      <c r="K13214" s="48"/>
      <c r="L13214" s="89"/>
    </row>
    <row r="13215" spans="8:12" x14ac:dyDescent="0.3">
      <c r="H13215" s="49"/>
      <c r="K13215" s="48"/>
      <c r="L13215" s="89"/>
    </row>
    <row r="13216" spans="8:12" x14ac:dyDescent="0.3">
      <c r="H13216" s="49"/>
      <c r="K13216" s="48"/>
      <c r="L13216" s="89"/>
    </row>
    <row r="13217" spans="8:12" x14ac:dyDescent="0.3">
      <c r="H13217" s="49"/>
      <c r="K13217" s="48"/>
      <c r="L13217" s="89"/>
    </row>
    <row r="13218" spans="8:12" x14ac:dyDescent="0.3">
      <c r="H13218" s="49"/>
      <c r="K13218" s="48"/>
      <c r="L13218" s="89"/>
    </row>
    <row r="13219" spans="8:12" x14ac:dyDescent="0.3">
      <c r="H13219" s="49"/>
      <c r="K13219" s="48"/>
      <c r="L13219" s="89"/>
    </row>
    <row r="13220" spans="8:12" x14ac:dyDescent="0.3">
      <c r="H13220" s="49"/>
      <c r="K13220" s="48"/>
      <c r="L13220" s="89"/>
    </row>
    <row r="13221" spans="8:12" x14ac:dyDescent="0.3">
      <c r="H13221" s="49"/>
      <c r="K13221" s="48"/>
      <c r="L13221" s="89"/>
    </row>
    <row r="13222" spans="8:12" x14ac:dyDescent="0.3">
      <c r="H13222" s="49"/>
      <c r="K13222" s="48"/>
      <c r="L13222" s="89"/>
    </row>
    <row r="13223" spans="8:12" x14ac:dyDescent="0.3">
      <c r="H13223" s="49"/>
      <c r="K13223" s="48"/>
      <c r="L13223" s="89"/>
    </row>
    <row r="13224" spans="8:12" x14ac:dyDescent="0.3">
      <c r="H13224" s="49"/>
      <c r="K13224" s="48"/>
      <c r="L13224" s="89"/>
    </row>
    <row r="13225" spans="8:12" x14ac:dyDescent="0.3">
      <c r="H13225" s="49"/>
      <c r="K13225" s="48"/>
      <c r="L13225" s="89"/>
    </row>
    <row r="13226" spans="8:12" x14ac:dyDescent="0.3">
      <c r="H13226" s="49"/>
      <c r="K13226" s="48"/>
      <c r="L13226" s="89"/>
    </row>
    <row r="13227" spans="8:12" x14ac:dyDescent="0.3">
      <c r="H13227" s="49"/>
      <c r="K13227" s="48"/>
      <c r="L13227" s="89"/>
    </row>
    <row r="13228" spans="8:12" x14ac:dyDescent="0.3">
      <c r="H13228" s="49"/>
      <c r="K13228" s="48"/>
      <c r="L13228" s="89"/>
    </row>
    <row r="13229" spans="8:12" x14ac:dyDescent="0.3">
      <c r="H13229" s="49"/>
      <c r="K13229" s="48"/>
      <c r="L13229" s="89"/>
    </row>
    <row r="13230" spans="8:12" x14ac:dyDescent="0.3">
      <c r="H13230" s="49"/>
      <c r="K13230" s="48"/>
      <c r="L13230" s="89"/>
    </row>
    <row r="13231" spans="8:12" x14ac:dyDescent="0.3">
      <c r="H13231" s="49"/>
      <c r="K13231" s="48"/>
      <c r="L13231" s="89"/>
    </row>
    <row r="13232" spans="8:12" x14ac:dyDescent="0.3">
      <c r="H13232" s="49"/>
      <c r="K13232" s="48"/>
      <c r="L13232" s="89"/>
    </row>
    <row r="13233" spans="8:12" x14ac:dyDescent="0.3">
      <c r="H13233" s="49"/>
      <c r="K13233" s="48"/>
      <c r="L13233" s="89"/>
    </row>
    <row r="13234" spans="8:12" x14ac:dyDescent="0.3">
      <c r="H13234" s="49"/>
      <c r="K13234" s="48"/>
      <c r="L13234" s="89"/>
    </row>
    <row r="13235" spans="8:12" x14ac:dyDescent="0.3">
      <c r="H13235" s="49"/>
      <c r="K13235" s="48"/>
      <c r="L13235" s="89"/>
    </row>
    <row r="13236" spans="8:12" x14ac:dyDescent="0.3">
      <c r="H13236" s="49"/>
      <c r="K13236" s="48"/>
      <c r="L13236" s="89"/>
    </row>
    <row r="13237" spans="8:12" x14ac:dyDescent="0.3">
      <c r="H13237" s="49"/>
      <c r="K13237" s="48"/>
      <c r="L13237" s="89"/>
    </row>
    <row r="13238" spans="8:12" x14ac:dyDescent="0.3">
      <c r="H13238" s="49"/>
      <c r="K13238" s="48"/>
      <c r="L13238" s="89"/>
    </row>
    <row r="13239" spans="8:12" x14ac:dyDescent="0.3">
      <c r="H13239" s="49"/>
      <c r="K13239" s="48"/>
      <c r="L13239" s="89"/>
    </row>
    <row r="13240" spans="8:12" x14ac:dyDescent="0.3">
      <c r="H13240" s="49"/>
      <c r="K13240" s="48"/>
      <c r="L13240" s="89"/>
    </row>
    <row r="13241" spans="8:12" x14ac:dyDescent="0.3">
      <c r="H13241" s="49"/>
      <c r="K13241" s="48"/>
      <c r="L13241" s="89"/>
    </row>
    <row r="13242" spans="8:12" x14ac:dyDescent="0.3">
      <c r="H13242" s="49"/>
      <c r="K13242" s="48"/>
      <c r="L13242" s="89"/>
    </row>
    <row r="13243" spans="8:12" x14ac:dyDescent="0.3">
      <c r="H13243" s="49"/>
      <c r="K13243" s="48"/>
      <c r="L13243" s="89"/>
    </row>
    <row r="13244" spans="8:12" x14ac:dyDescent="0.3">
      <c r="H13244" s="49"/>
      <c r="K13244" s="48"/>
      <c r="L13244" s="89"/>
    </row>
    <row r="13245" spans="8:12" x14ac:dyDescent="0.3">
      <c r="H13245" s="49"/>
      <c r="K13245" s="48"/>
      <c r="L13245" s="89"/>
    </row>
    <row r="13246" spans="8:12" x14ac:dyDescent="0.3">
      <c r="H13246" s="49"/>
      <c r="K13246" s="48"/>
      <c r="L13246" s="89"/>
    </row>
    <row r="13247" spans="8:12" x14ac:dyDescent="0.3">
      <c r="H13247" s="49"/>
      <c r="K13247" s="48"/>
      <c r="L13247" s="89"/>
    </row>
    <row r="13248" spans="8:12" x14ac:dyDescent="0.3">
      <c r="H13248" s="49"/>
      <c r="K13248" s="48"/>
      <c r="L13248" s="89"/>
    </row>
    <row r="13249" spans="8:12" x14ac:dyDescent="0.3">
      <c r="H13249" s="49"/>
      <c r="K13249" s="48"/>
      <c r="L13249" s="89"/>
    </row>
    <row r="13250" spans="8:12" x14ac:dyDescent="0.3">
      <c r="H13250" s="49"/>
      <c r="K13250" s="48"/>
      <c r="L13250" s="89"/>
    </row>
    <row r="13251" spans="8:12" x14ac:dyDescent="0.3">
      <c r="H13251" s="49"/>
      <c r="K13251" s="48"/>
      <c r="L13251" s="89"/>
    </row>
    <row r="13252" spans="8:12" x14ac:dyDescent="0.3">
      <c r="H13252" s="49"/>
      <c r="K13252" s="48"/>
      <c r="L13252" s="89"/>
    </row>
    <row r="13253" spans="8:12" x14ac:dyDescent="0.3">
      <c r="H13253" s="49"/>
      <c r="K13253" s="48"/>
      <c r="L13253" s="89"/>
    </row>
    <row r="13254" spans="8:12" x14ac:dyDescent="0.3">
      <c r="H13254" s="49"/>
      <c r="K13254" s="48"/>
      <c r="L13254" s="89"/>
    </row>
    <row r="13255" spans="8:12" x14ac:dyDescent="0.3">
      <c r="H13255" s="49"/>
      <c r="K13255" s="48"/>
      <c r="L13255" s="89"/>
    </row>
    <row r="13256" spans="8:12" x14ac:dyDescent="0.3">
      <c r="H13256" s="49"/>
      <c r="K13256" s="48"/>
      <c r="L13256" s="89"/>
    </row>
    <row r="13257" spans="8:12" x14ac:dyDescent="0.3">
      <c r="H13257" s="49"/>
      <c r="K13257" s="48"/>
      <c r="L13257" s="89"/>
    </row>
    <row r="13258" spans="8:12" x14ac:dyDescent="0.3">
      <c r="H13258" s="49"/>
      <c r="K13258" s="48"/>
      <c r="L13258" s="89"/>
    </row>
    <row r="13259" spans="8:12" x14ac:dyDescent="0.3">
      <c r="H13259" s="49"/>
      <c r="K13259" s="48"/>
      <c r="L13259" s="89"/>
    </row>
    <row r="13260" spans="8:12" x14ac:dyDescent="0.3">
      <c r="H13260" s="49"/>
      <c r="K13260" s="48"/>
      <c r="L13260" s="89"/>
    </row>
    <row r="13261" spans="8:12" x14ac:dyDescent="0.3">
      <c r="H13261" s="49"/>
      <c r="K13261" s="48"/>
      <c r="L13261" s="89"/>
    </row>
    <row r="13262" spans="8:12" x14ac:dyDescent="0.3">
      <c r="H13262" s="49"/>
      <c r="K13262" s="48"/>
      <c r="L13262" s="89"/>
    </row>
    <row r="13263" spans="8:12" x14ac:dyDescent="0.3">
      <c r="H13263" s="49"/>
      <c r="K13263" s="48"/>
      <c r="L13263" s="89"/>
    </row>
    <row r="13264" spans="8:12" x14ac:dyDescent="0.3">
      <c r="H13264" s="49"/>
      <c r="K13264" s="48"/>
      <c r="L13264" s="89"/>
    </row>
    <row r="13265" spans="8:12" x14ac:dyDescent="0.3">
      <c r="H13265" s="49"/>
      <c r="K13265" s="48"/>
      <c r="L13265" s="89"/>
    </row>
    <row r="13266" spans="8:12" x14ac:dyDescent="0.3">
      <c r="H13266" s="49"/>
      <c r="K13266" s="48"/>
      <c r="L13266" s="89"/>
    </row>
    <row r="13267" spans="8:12" x14ac:dyDescent="0.3">
      <c r="H13267" s="49"/>
      <c r="K13267" s="48"/>
      <c r="L13267" s="89"/>
    </row>
    <row r="13268" spans="8:12" x14ac:dyDescent="0.3">
      <c r="H13268" s="49"/>
      <c r="K13268" s="48"/>
      <c r="L13268" s="89"/>
    </row>
    <row r="13269" spans="8:12" x14ac:dyDescent="0.3">
      <c r="H13269" s="49"/>
      <c r="K13269" s="48"/>
      <c r="L13269" s="89"/>
    </row>
    <row r="13270" spans="8:12" x14ac:dyDescent="0.3">
      <c r="H13270" s="49"/>
      <c r="K13270" s="48"/>
      <c r="L13270" s="89"/>
    </row>
    <row r="13271" spans="8:12" x14ac:dyDescent="0.3">
      <c r="H13271" s="49"/>
      <c r="K13271" s="48"/>
      <c r="L13271" s="89"/>
    </row>
    <row r="13272" spans="8:12" x14ac:dyDescent="0.3">
      <c r="H13272" s="49"/>
      <c r="K13272" s="48"/>
      <c r="L13272" s="89"/>
    </row>
    <row r="13273" spans="8:12" x14ac:dyDescent="0.3">
      <c r="H13273" s="49"/>
      <c r="K13273" s="48"/>
      <c r="L13273" s="89"/>
    </row>
    <row r="13274" spans="8:12" x14ac:dyDescent="0.3">
      <c r="H13274" s="49"/>
      <c r="K13274" s="48"/>
      <c r="L13274" s="89"/>
    </row>
    <row r="13275" spans="8:12" x14ac:dyDescent="0.3">
      <c r="H13275" s="49"/>
      <c r="K13275" s="48"/>
      <c r="L13275" s="89"/>
    </row>
    <row r="13276" spans="8:12" x14ac:dyDescent="0.3">
      <c r="H13276" s="49"/>
      <c r="K13276" s="48"/>
      <c r="L13276" s="89"/>
    </row>
    <row r="13277" spans="8:12" x14ac:dyDescent="0.3">
      <c r="H13277" s="49"/>
      <c r="K13277" s="48"/>
      <c r="L13277" s="89"/>
    </row>
    <row r="13278" spans="8:12" x14ac:dyDescent="0.3">
      <c r="H13278" s="49"/>
      <c r="K13278" s="48"/>
      <c r="L13278" s="89"/>
    </row>
    <row r="13279" spans="8:12" x14ac:dyDescent="0.3">
      <c r="H13279" s="49"/>
      <c r="K13279" s="48"/>
      <c r="L13279" s="89"/>
    </row>
    <row r="13280" spans="8:12" x14ac:dyDescent="0.3">
      <c r="H13280" s="49"/>
      <c r="K13280" s="48"/>
      <c r="L13280" s="89"/>
    </row>
    <row r="13281" spans="8:12" x14ac:dyDescent="0.3">
      <c r="H13281" s="49"/>
      <c r="K13281" s="48"/>
      <c r="L13281" s="89"/>
    </row>
    <row r="13282" spans="8:12" x14ac:dyDescent="0.3">
      <c r="H13282" s="49"/>
      <c r="K13282" s="48"/>
      <c r="L13282" s="89"/>
    </row>
    <row r="13283" spans="8:12" x14ac:dyDescent="0.3">
      <c r="H13283" s="49"/>
      <c r="K13283" s="48"/>
      <c r="L13283" s="89"/>
    </row>
    <row r="13284" spans="8:12" x14ac:dyDescent="0.3">
      <c r="H13284" s="49"/>
      <c r="K13284" s="48"/>
      <c r="L13284" s="89"/>
    </row>
    <row r="13285" spans="8:12" x14ac:dyDescent="0.3">
      <c r="H13285" s="49"/>
      <c r="K13285" s="48"/>
      <c r="L13285" s="89"/>
    </row>
    <row r="13286" spans="8:12" x14ac:dyDescent="0.3">
      <c r="H13286" s="49"/>
      <c r="K13286" s="48"/>
      <c r="L13286" s="89"/>
    </row>
    <row r="13287" spans="8:12" x14ac:dyDescent="0.3">
      <c r="H13287" s="49"/>
      <c r="K13287" s="48"/>
      <c r="L13287" s="89"/>
    </row>
    <row r="13288" spans="8:12" x14ac:dyDescent="0.3">
      <c r="H13288" s="49"/>
      <c r="K13288" s="48"/>
      <c r="L13288" s="89"/>
    </row>
    <row r="13289" spans="8:12" x14ac:dyDescent="0.3">
      <c r="H13289" s="49"/>
      <c r="K13289" s="48"/>
      <c r="L13289" s="89"/>
    </row>
    <row r="13290" spans="8:12" x14ac:dyDescent="0.3">
      <c r="H13290" s="49"/>
      <c r="K13290" s="48"/>
      <c r="L13290" s="89"/>
    </row>
    <row r="13291" spans="8:12" x14ac:dyDescent="0.3">
      <c r="H13291" s="49"/>
      <c r="K13291" s="48"/>
      <c r="L13291" s="89"/>
    </row>
    <row r="13292" spans="8:12" x14ac:dyDescent="0.3">
      <c r="H13292" s="49"/>
      <c r="K13292" s="48"/>
      <c r="L13292" s="89"/>
    </row>
    <row r="13293" spans="8:12" x14ac:dyDescent="0.3">
      <c r="H13293" s="49"/>
      <c r="K13293" s="48"/>
      <c r="L13293" s="89"/>
    </row>
    <row r="13294" spans="8:12" x14ac:dyDescent="0.3">
      <c r="H13294" s="49"/>
      <c r="K13294" s="48"/>
      <c r="L13294" s="89"/>
    </row>
    <row r="13295" spans="8:12" x14ac:dyDescent="0.3">
      <c r="H13295" s="49"/>
      <c r="K13295" s="48"/>
      <c r="L13295" s="89"/>
    </row>
    <row r="13296" spans="8:12" x14ac:dyDescent="0.3">
      <c r="H13296" s="49"/>
      <c r="K13296" s="48"/>
      <c r="L13296" s="89"/>
    </row>
    <row r="13297" spans="8:12" x14ac:dyDescent="0.3">
      <c r="H13297" s="49"/>
      <c r="K13297" s="48"/>
      <c r="L13297" s="89"/>
    </row>
    <row r="13298" spans="8:12" x14ac:dyDescent="0.3">
      <c r="H13298" s="49"/>
      <c r="K13298" s="48"/>
      <c r="L13298" s="89"/>
    </row>
    <row r="13299" spans="8:12" x14ac:dyDescent="0.3">
      <c r="H13299" s="49"/>
      <c r="K13299" s="48"/>
      <c r="L13299" s="89"/>
    </row>
    <row r="13300" spans="8:12" x14ac:dyDescent="0.3">
      <c r="H13300" s="49"/>
      <c r="K13300" s="48"/>
      <c r="L13300" s="89"/>
    </row>
    <row r="13301" spans="8:12" x14ac:dyDescent="0.3">
      <c r="H13301" s="49"/>
      <c r="K13301" s="48"/>
      <c r="L13301" s="89"/>
    </row>
    <row r="13302" spans="8:12" x14ac:dyDescent="0.3">
      <c r="H13302" s="49"/>
      <c r="K13302" s="48"/>
      <c r="L13302" s="89"/>
    </row>
    <row r="13303" spans="8:12" x14ac:dyDescent="0.3">
      <c r="H13303" s="49"/>
      <c r="K13303" s="48"/>
      <c r="L13303" s="89"/>
    </row>
    <row r="13304" spans="8:12" x14ac:dyDescent="0.3">
      <c r="H13304" s="49"/>
      <c r="K13304" s="48"/>
      <c r="L13304" s="89"/>
    </row>
    <row r="13305" spans="8:12" x14ac:dyDescent="0.3">
      <c r="H13305" s="49"/>
      <c r="K13305" s="48"/>
      <c r="L13305" s="89"/>
    </row>
    <row r="13306" spans="8:12" x14ac:dyDescent="0.3">
      <c r="H13306" s="49"/>
      <c r="K13306" s="48"/>
      <c r="L13306" s="89"/>
    </row>
    <row r="13307" spans="8:12" x14ac:dyDescent="0.3">
      <c r="H13307" s="49"/>
      <c r="K13307" s="48"/>
      <c r="L13307" s="89"/>
    </row>
    <row r="13308" spans="8:12" x14ac:dyDescent="0.3">
      <c r="H13308" s="49"/>
      <c r="K13308" s="48"/>
      <c r="L13308" s="89"/>
    </row>
    <row r="13309" spans="8:12" x14ac:dyDescent="0.3">
      <c r="H13309" s="49"/>
      <c r="K13309" s="48"/>
      <c r="L13309" s="89"/>
    </row>
    <row r="13310" spans="8:12" x14ac:dyDescent="0.3">
      <c r="H13310" s="49"/>
      <c r="K13310" s="48"/>
      <c r="L13310" s="89"/>
    </row>
    <row r="13311" spans="8:12" x14ac:dyDescent="0.3">
      <c r="H13311" s="49"/>
      <c r="K13311" s="48"/>
      <c r="L13311" s="89"/>
    </row>
    <row r="13312" spans="8:12" x14ac:dyDescent="0.3">
      <c r="H13312" s="49"/>
      <c r="K13312" s="48"/>
      <c r="L13312" s="89"/>
    </row>
    <row r="13313" spans="8:12" x14ac:dyDescent="0.3">
      <c r="H13313" s="49"/>
      <c r="K13313" s="48"/>
      <c r="L13313" s="89"/>
    </row>
    <row r="13314" spans="8:12" x14ac:dyDescent="0.3">
      <c r="H13314" s="49"/>
      <c r="K13314" s="48"/>
      <c r="L13314" s="89"/>
    </row>
    <row r="13315" spans="8:12" x14ac:dyDescent="0.3">
      <c r="H13315" s="49"/>
      <c r="K13315" s="48"/>
      <c r="L13315" s="89"/>
    </row>
    <row r="13316" spans="8:12" x14ac:dyDescent="0.3">
      <c r="H13316" s="49"/>
      <c r="K13316" s="48"/>
      <c r="L13316" s="89"/>
    </row>
    <row r="13317" spans="8:12" x14ac:dyDescent="0.3">
      <c r="H13317" s="49"/>
      <c r="K13317" s="48"/>
      <c r="L13317" s="89"/>
    </row>
    <row r="13318" spans="8:12" x14ac:dyDescent="0.3">
      <c r="H13318" s="49"/>
      <c r="K13318" s="48"/>
      <c r="L13318" s="89"/>
    </row>
    <row r="13319" spans="8:12" x14ac:dyDescent="0.3">
      <c r="H13319" s="49"/>
      <c r="K13319" s="48"/>
      <c r="L13319" s="89"/>
    </row>
    <row r="13320" spans="8:12" x14ac:dyDescent="0.3">
      <c r="H13320" s="49"/>
      <c r="K13320" s="48"/>
      <c r="L13320" s="89"/>
    </row>
    <row r="13321" spans="8:12" x14ac:dyDescent="0.3">
      <c r="H13321" s="49"/>
      <c r="K13321" s="48"/>
      <c r="L13321" s="89"/>
    </row>
    <row r="13322" spans="8:12" x14ac:dyDescent="0.3">
      <c r="H13322" s="49"/>
      <c r="K13322" s="48"/>
      <c r="L13322" s="89"/>
    </row>
    <row r="13323" spans="8:12" x14ac:dyDescent="0.3">
      <c r="H13323" s="49"/>
      <c r="K13323" s="48"/>
      <c r="L13323" s="89"/>
    </row>
    <row r="13324" spans="8:12" x14ac:dyDescent="0.3">
      <c r="H13324" s="49"/>
      <c r="K13324" s="48"/>
      <c r="L13324" s="89"/>
    </row>
    <row r="13325" spans="8:12" x14ac:dyDescent="0.3">
      <c r="H13325" s="49"/>
      <c r="K13325" s="48"/>
      <c r="L13325" s="89"/>
    </row>
    <row r="13326" spans="8:12" x14ac:dyDescent="0.3">
      <c r="H13326" s="49"/>
      <c r="K13326" s="48"/>
      <c r="L13326" s="89"/>
    </row>
    <row r="13327" spans="8:12" x14ac:dyDescent="0.3">
      <c r="H13327" s="49"/>
      <c r="K13327" s="48"/>
      <c r="L13327" s="89"/>
    </row>
    <row r="13328" spans="8:12" x14ac:dyDescent="0.3">
      <c r="H13328" s="49"/>
      <c r="K13328" s="48"/>
      <c r="L13328" s="89"/>
    </row>
    <row r="13329" spans="8:12" x14ac:dyDescent="0.3">
      <c r="H13329" s="49"/>
      <c r="K13329" s="48"/>
      <c r="L13329" s="89"/>
    </row>
    <row r="13330" spans="8:12" x14ac:dyDescent="0.3">
      <c r="H13330" s="49"/>
      <c r="K13330" s="48"/>
      <c r="L13330" s="89"/>
    </row>
    <row r="13331" spans="8:12" x14ac:dyDescent="0.3">
      <c r="H13331" s="49"/>
      <c r="K13331" s="48"/>
      <c r="L13331" s="89"/>
    </row>
    <row r="13332" spans="8:12" x14ac:dyDescent="0.3">
      <c r="H13332" s="49"/>
      <c r="K13332" s="48"/>
      <c r="L13332" s="89"/>
    </row>
    <row r="13333" spans="8:12" x14ac:dyDescent="0.3">
      <c r="H13333" s="49"/>
      <c r="K13333" s="48"/>
      <c r="L13333" s="89"/>
    </row>
    <row r="13334" spans="8:12" x14ac:dyDescent="0.3">
      <c r="H13334" s="49"/>
      <c r="K13334" s="48"/>
      <c r="L13334" s="89"/>
    </row>
    <row r="13335" spans="8:12" x14ac:dyDescent="0.3">
      <c r="H13335" s="49"/>
      <c r="K13335" s="48"/>
      <c r="L13335" s="89"/>
    </row>
    <row r="13336" spans="8:12" x14ac:dyDescent="0.3">
      <c r="H13336" s="49"/>
      <c r="K13336" s="48"/>
      <c r="L13336" s="89"/>
    </row>
    <row r="13337" spans="8:12" x14ac:dyDescent="0.3">
      <c r="H13337" s="49"/>
      <c r="K13337" s="48"/>
      <c r="L13337" s="89"/>
    </row>
    <row r="13338" spans="8:12" x14ac:dyDescent="0.3">
      <c r="H13338" s="49"/>
      <c r="K13338" s="48"/>
      <c r="L13338" s="89"/>
    </row>
    <row r="13339" spans="8:12" x14ac:dyDescent="0.3">
      <c r="H13339" s="49"/>
      <c r="K13339" s="48"/>
      <c r="L13339" s="89"/>
    </row>
    <row r="13340" spans="8:12" x14ac:dyDescent="0.3">
      <c r="H13340" s="49"/>
      <c r="K13340" s="48"/>
      <c r="L13340" s="89"/>
    </row>
    <row r="13341" spans="8:12" x14ac:dyDescent="0.3">
      <c r="H13341" s="49"/>
      <c r="K13341" s="48"/>
      <c r="L13341" s="89"/>
    </row>
    <row r="13342" spans="8:12" x14ac:dyDescent="0.3">
      <c r="H13342" s="49"/>
      <c r="K13342" s="48"/>
      <c r="L13342" s="89"/>
    </row>
    <row r="13343" spans="8:12" x14ac:dyDescent="0.3">
      <c r="H13343" s="49"/>
      <c r="K13343" s="48"/>
      <c r="L13343" s="89"/>
    </row>
    <row r="13344" spans="8:12" x14ac:dyDescent="0.3">
      <c r="H13344" s="49"/>
      <c r="K13344" s="48"/>
      <c r="L13344" s="89"/>
    </row>
    <row r="13345" spans="8:12" x14ac:dyDescent="0.3">
      <c r="H13345" s="49"/>
      <c r="K13345" s="48"/>
      <c r="L13345" s="89"/>
    </row>
    <row r="13346" spans="8:12" x14ac:dyDescent="0.3">
      <c r="H13346" s="49"/>
      <c r="K13346" s="48"/>
      <c r="L13346" s="89"/>
    </row>
    <row r="13347" spans="8:12" x14ac:dyDescent="0.3">
      <c r="H13347" s="49"/>
      <c r="K13347" s="48"/>
      <c r="L13347" s="89"/>
    </row>
    <row r="13348" spans="8:12" x14ac:dyDescent="0.3">
      <c r="H13348" s="49"/>
      <c r="K13348" s="48"/>
      <c r="L13348" s="89"/>
    </row>
    <row r="13349" spans="8:12" x14ac:dyDescent="0.3">
      <c r="H13349" s="49"/>
      <c r="K13349" s="48"/>
      <c r="L13349" s="89"/>
    </row>
    <row r="13350" spans="8:12" x14ac:dyDescent="0.3">
      <c r="H13350" s="49"/>
      <c r="K13350" s="48"/>
      <c r="L13350" s="89"/>
    </row>
    <row r="13351" spans="8:12" x14ac:dyDescent="0.3">
      <c r="H13351" s="49"/>
      <c r="K13351" s="48"/>
      <c r="L13351" s="89"/>
    </row>
    <row r="13352" spans="8:12" x14ac:dyDescent="0.3">
      <c r="H13352" s="49"/>
      <c r="K13352" s="48"/>
      <c r="L13352" s="89"/>
    </row>
    <row r="13353" spans="8:12" x14ac:dyDescent="0.3">
      <c r="H13353" s="49"/>
      <c r="K13353" s="48"/>
      <c r="L13353" s="89"/>
    </row>
    <row r="13354" spans="8:12" x14ac:dyDescent="0.3">
      <c r="H13354" s="49"/>
      <c r="K13354" s="48"/>
      <c r="L13354" s="89"/>
    </row>
    <row r="13355" spans="8:12" x14ac:dyDescent="0.3">
      <c r="H13355" s="49"/>
      <c r="K13355" s="48"/>
      <c r="L13355" s="89"/>
    </row>
    <row r="13356" spans="8:12" x14ac:dyDescent="0.3">
      <c r="H13356" s="49"/>
      <c r="K13356" s="48"/>
      <c r="L13356" s="89"/>
    </row>
    <row r="13357" spans="8:12" x14ac:dyDescent="0.3">
      <c r="H13357" s="49"/>
      <c r="K13357" s="48"/>
      <c r="L13357" s="89"/>
    </row>
    <row r="13358" spans="8:12" x14ac:dyDescent="0.3">
      <c r="H13358" s="49"/>
      <c r="K13358" s="48"/>
      <c r="L13358" s="89"/>
    </row>
    <row r="13359" spans="8:12" x14ac:dyDescent="0.3">
      <c r="H13359" s="49"/>
      <c r="K13359" s="48"/>
      <c r="L13359" s="89"/>
    </row>
    <row r="13360" spans="8:12" x14ac:dyDescent="0.3">
      <c r="H13360" s="49"/>
      <c r="K13360" s="48"/>
      <c r="L13360" s="89"/>
    </row>
    <row r="13361" spans="8:12" x14ac:dyDescent="0.3">
      <c r="H13361" s="49"/>
      <c r="K13361" s="48"/>
      <c r="L13361" s="89"/>
    </row>
    <row r="13362" spans="8:12" x14ac:dyDescent="0.3">
      <c r="H13362" s="49"/>
      <c r="K13362" s="48"/>
      <c r="L13362" s="89"/>
    </row>
    <row r="13363" spans="8:12" x14ac:dyDescent="0.3">
      <c r="H13363" s="49"/>
      <c r="K13363" s="48"/>
      <c r="L13363" s="89"/>
    </row>
    <row r="13364" spans="8:12" x14ac:dyDescent="0.3">
      <c r="H13364" s="49"/>
      <c r="K13364" s="48"/>
      <c r="L13364" s="89"/>
    </row>
    <row r="13365" spans="8:12" x14ac:dyDescent="0.3">
      <c r="H13365" s="49"/>
      <c r="K13365" s="48"/>
      <c r="L13365" s="89"/>
    </row>
    <row r="13366" spans="8:12" x14ac:dyDescent="0.3">
      <c r="H13366" s="49"/>
      <c r="K13366" s="48"/>
      <c r="L13366" s="89"/>
    </row>
    <row r="13367" spans="8:12" x14ac:dyDescent="0.3">
      <c r="H13367" s="49"/>
      <c r="K13367" s="48"/>
      <c r="L13367" s="89"/>
    </row>
    <row r="13368" spans="8:12" x14ac:dyDescent="0.3">
      <c r="H13368" s="49"/>
      <c r="K13368" s="48"/>
      <c r="L13368" s="89"/>
    </row>
    <row r="13369" spans="8:12" x14ac:dyDescent="0.3">
      <c r="H13369" s="49"/>
      <c r="K13369" s="48"/>
      <c r="L13369" s="89"/>
    </row>
    <row r="13370" spans="8:12" x14ac:dyDescent="0.3">
      <c r="H13370" s="49"/>
      <c r="K13370" s="48"/>
      <c r="L13370" s="89"/>
    </row>
    <row r="13371" spans="8:12" x14ac:dyDescent="0.3">
      <c r="H13371" s="49"/>
      <c r="K13371" s="48"/>
      <c r="L13371" s="89"/>
    </row>
    <row r="13372" spans="8:12" x14ac:dyDescent="0.3">
      <c r="H13372" s="49"/>
      <c r="K13372" s="48"/>
      <c r="L13372" s="89"/>
    </row>
    <row r="13373" spans="8:12" x14ac:dyDescent="0.3">
      <c r="H13373" s="49"/>
      <c r="K13373" s="48"/>
      <c r="L13373" s="89"/>
    </row>
    <row r="13374" spans="8:12" x14ac:dyDescent="0.3">
      <c r="H13374" s="49"/>
      <c r="K13374" s="48"/>
      <c r="L13374" s="89"/>
    </row>
    <row r="13375" spans="8:12" x14ac:dyDescent="0.3">
      <c r="H13375" s="49"/>
      <c r="K13375" s="48"/>
      <c r="L13375" s="89"/>
    </row>
    <row r="13376" spans="8:12" x14ac:dyDescent="0.3">
      <c r="H13376" s="49"/>
      <c r="K13376" s="48"/>
      <c r="L13376" s="89"/>
    </row>
    <row r="13377" spans="8:12" x14ac:dyDescent="0.3">
      <c r="H13377" s="49"/>
      <c r="K13377" s="48"/>
      <c r="L13377" s="89"/>
    </row>
    <row r="13378" spans="8:12" x14ac:dyDescent="0.3">
      <c r="H13378" s="49"/>
      <c r="K13378" s="48"/>
      <c r="L13378" s="89"/>
    </row>
    <row r="13379" spans="8:12" x14ac:dyDescent="0.3">
      <c r="H13379" s="49"/>
      <c r="K13379" s="48"/>
      <c r="L13379" s="89"/>
    </row>
    <row r="13380" spans="8:12" x14ac:dyDescent="0.3">
      <c r="H13380" s="49"/>
      <c r="K13380" s="48"/>
      <c r="L13380" s="89"/>
    </row>
    <row r="13381" spans="8:12" x14ac:dyDescent="0.3">
      <c r="H13381" s="49"/>
      <c r="K13381" s="48"/>
      <c r="L13381" s="89"/>
    </row>
    <row r="13382" spans="8:12" x14ac:dyDescent="0.3">
      <c r="H13382" s="49"/>
      <c r="K13382" s="48"/>
      <c r="L13382" s="89"/>
    </row>
    <row r="13383" spans="8:12" x14ac:dyDescent="0.3">
      <c r="H13383" s="49"/>
      <c r="K13383" s="48"/>
      <c r="L13383" s="89"/>
    </row>
    <row r="13384" spans="8:12" x14ac:dyDescent="0.3">
      <c r="H13384" s="49"/>
      <c r="K13384" s="48"/>
      <c r="L13384" s="89"/>
    </row>
    <row r="13385" spans="8:12" x14ac:dyDescent="0.3">
      <c r="H13385" s="49"/>
      <c r="K13385" s="48"/>
      <c r="L13385" s="89"/>
    </row>
    <row r="13386" spans="8:12" x14ac:dyDescent="0.3">
      <c r="H13386" s="49"/>
      <c r="K13386" s="48"/>
      <c r="L13386" s="89"/>
    </row>
    <row r="13387" spans="8:12" x14ac:dyDescent="0.3">
      <c r="H13387" s="49"/>
      <c r="K13387" s="48"/>
      <c r="L13387" s="89"/>
    </row>
    <row r="13388" spans="8:12" x14ac:dyDescent="0.3">
      <c r="H13388" s="49"/>
      <c r="K13388" s="48"/>
      <c r="L13388" s="89"/>
    </row>
    <row r="13389" spans="8:12" x14ac:dyDescent="0.3">
      <c r="H13389" s="49"/>
      <c r="K13389" s="48"/>
      <c r="L13389" s="89"/>
    </row>
    <row r="13390" spans="8:12" x14ac:dyDescent="0.3">
      <c r="H13390" s="49"/>
      <c r="K13390" s="48"/>
      <c r="L13390" s="89"/>
    </row>
    <row r="13391" spans="8:12" x14ac:dyDescent="0.3">
      <c r="H13391" s="49"/>
      <c r="K13391" s="48"/>
      <c r="L13391" s="89"/>
    </row>
    <row r="13392" spans="8:12" x14ac:dyDescent="0.3">
      <c r="H13392" s="49"/>
      <c r="K13392" s="48"/>
      <c r="L13392" s="89"/>
    </row>
    <row r="13393" spans="8:12" x14ac:dyDescent="0.3">
      <c r="H13393" s="49"/>
      <c r="K13393" s="48"/>
      <c r="L13393" s="89"/>
    </row>
    <row r="13394" spans="8:12" x14ac:dyDescent="0.3">
      <c r="H13394" s="49"/>
      <c r="K13394" s="48"/>
      <c r="L13394" s="89"/>
    </row>
    <row r="13395" spans="8:12" x14ac:dyDescent="0.3">
      <c r="H13395" s="49"/>
      <c r="K13395" s="48"/>
      <c r="L13395" s="89"/>
    </row>
    <row r="13396" spans="8:12" x14ac:dyDescent="0.3">
      <c r="H13396" s="49"/>
      <c r="K13396" s="48"/>
      <c r="L13396" s="89"/>
    </row>
    <row r="13397" spans="8:12" x14ac:dyDescent="0.3">
      <c r="H13397" s="49"/>
      <c r="K13397" s="48"/>
      <c r="L13397" s="89"/>
    </row>
    <row r="13398" spans="8:12" x14ac:dyDescent="0.3">
      <c r="H13398" s="49"/>
      <c r="K13398" s="48"/>
      <c r="L13398" s="89"/>
    </row>
    <row r="13399" spans="8:12" x14ac:dyDescent="0.3">
      <c r="H13399" s="49"/>
      <c r="K13399" s="48"/>
      <c r="L13399" s="89"/>
    </row>
    <row r="13400" spans="8:12" x14ac:dyDescent="0.3">
      <c r="H13400" s="49"/>
      <c r="K13400" s="48"/>
      <c r="L13400" s="89"/>
    </row>
    <row r="13401" spans="8:12" x14ac:dyDescent="0.3">
      <c r="H13401" s="49"/>
      <c r="K13401" s="48"/>
      <c r="L13401" s="89"/>
    </row>
    <row r="13402" spans="8:12" x14ac:dyDescent="0.3">
      <c r="H13402" s="49"/>
      <c r="K13402" s="48"/>
      <c r="L13402" s="89"/>
    </row>
    <row r="13403" spans="8:12" x14ac:dyDescent="0.3">
      <c r="H13403" s="49"/>
      <c r="K13403" s="48"/>
      <c r="L13403" s="89"/>
    </row>
    <row r="13404" spans="8:12" x14ac:dyDescent="0.3">
      <c r="H13404" s="49"/>
      <c r="K13404" s="48"/>
      <c r="L13404" s="89"/>
    </row>
    <row r="13405" spans="8:12" x14ac:dyDescent="0.3">
      <c r="H13405" s="49"/>
      <c r="K13405" s="48"/>
      <c r="L13405" s="89"/>
    </row>
    <row r="13406" spans="8:12" x14ac:dyDescent="0.3">
      <c r="H13406" s="49"/>
      <c r="K13406" s="48"/>
      <c r="L13406" s="89"/>
    </row>
    <row r="13407" spans="8:12" x14ac:dyDescent="0.3">
      <c r="H13407" s="49"/>
      <c r="K13407" s="48"/>
      <c r="L13407" s="89"/>
    </row>
    <row r="13408" spans="8:12" x14ac:dyDescent="0.3">
      <c r="H13408" s="49"/>
      <c r="K13408" s="48"/>
      <c r="L13408" s="89"/>
    </row>
    <row r="13409" spans="8:12" x14ac:dyDescent="0.3">
      <c r="H13409" s="49"/>
      <c r="K13409" s="48"/>
      <c r="L13409" s="89"/>
    </row>
    <row r="13410" spans="8:12" x14ac:dyDescent="0.3">
      <c r="H13410" s="49"/>
      <c r="K13410" s="48"/>
      <c r="L13410" s="89"/>
    </row>
    <row r="13411" spans="8:12" x14ac:dyDescent="0.3">
      <c r="H13411" s="49"/>
      <c r="K13411" s="48"/>
      <c r="L13411" s="89"/>
    </row>
    <row r="13412" spans="8:12" x14ac:dyDescent="0.3">
      <c r="H13412" s="49"/>
      <c r="K13412" s="48"/>
      <c r="L13412" s="89"/>
    </row>
    <row r="13413" spans="8:12" x14ac:dyDescent="0.3">
      <c r="H13413" s="49"/>
      <c r="K13413" s="48"/>
      <c r="L13413" s="89"/>
    </row>
    <row r="13414" spans="8:12" x14ac:dyDescent="0.3">
      <c r="H13414" s="49"/>
      <c r="K13414" s="48"/>
      <c r="L13414" s="89"/>
    </row>
    <row r="13415" spans="8:12" x14ac:dyDescent="0.3">
      <c r="H13415" s="49"/>
      <c r="K13415" s="48"/>
      <c r="L13415" s="89"/>
    </row>
    <row r="13416" spans="8:12" x14ac:dyDescent="0.3">
      <c r="H13416" s="49"/>
      <c r="K13416" s="48"/>
      <c r="L13416" s="89"/>
    </row>
    <row r="13417" spans="8:12" x14ac:dyDescent="0.3">
      <c r="H13417" s="49"/>
      <c r="K13417" s="48"/>
      <c r="L13417" s="89"/>
    </row>
    <row r="13418" spans="8:12" x14ac:dyDescent="0.3">
      <c r="H13418" s="49"/>
      <c r="K13418" s="48"/>
      <c r="L13418" s="89"/>
    </row>
    <row r="13419" spans="8:12" x14ac:dyDescent="0.3">
      <c r="H13419" s="49"/>
      <c r="K13419" s="48"/>
      <c r="L13419" s="89"/>
    </row>
    <row r="13420" spans="8:12" x14ac:dyDescent="0.3">
      <c r="H13420" s="49"/>
      <c r="K13420" s="48"/>
      <c r="L13420" s="89"/>
    </row>
    <row r="13421" spans="8:12" x14ac:dyDescent="0.3">
      <c r="H13421" s="49"/>
      <c r="K13421" s="48"/>
      <c r="L13421" s="89"/>
    </row>
    <row r="13422" spans="8:12" x14ac:dyDescent="0.3">
      <c r="H13422" s="49"/>
      <c r="K13422" s="48"/>
      <c r="L13422" s="89"/>
    </row>
    <row r="13423" spans="8:12" x14ac:dyDescent="0.3">
      <c r="H13423" s="49"/>
      <c r="K13423" s="48"/>
      <c r="L13423" s="89"/>
    </row>
    <row r="13424" spans="8:12" x14ac:dyDescent="0.3">
      <c r="H13424" s="49"/>
      <c r="K13424" s="48"/>
      <c r="L13424" s="89"/>
    </row>
    <row r="13425" spans="8:12" x14ac:dyDescent="0.3">
      <c r="H13425" s="49"/>
      <c r="K13425" s="48"/>
      <c r="L13425" s="89"/>
    </row>
    <row r="13426" spans="8:12" x14ac:dyDescent="0.3">
      <c r="H13426" s="49"/>
      <c r="K13426" s="48"/>
      <c r="L13426" s="89"/>
    </row>
    <row r="13427" spans="8:12" x14ac:dyDescent="0.3">
      <c r="H13427" s="49"/>
      <c r="K13427" s="48"/>
      <c r="L13427" s="89"/>
    </row>
    <row r="13428" spans="8:12" x14ac:dyDescent="0.3">
      <c r="H13428" s="49"/>
      <c r="K13428" s="48"/>
      <c r="L13428" s="89"/>
    </row>
    <row r="13429" spans="8:12" x14ac:dyDescent="0.3">
      <c r="H13429" s="49"/>
      <c r="K13429" s="48"/>
      <c r="L13429" s="89"/>
    </row>
    <row r="13430" spans="8:12" x14ac:dyDescent="0.3">
      <c r="H13430" s="49"/>
      <c r="K13430" s="48"/>
      <c r="L13430" s="89"/>
    </row>
    <row r="13431" spans="8:12" x14ac:dyDescent="0.3">
      <c r="H13431" s="49"/>
      <c r="K13431" s="48"/>
      <c r="L13431" s="89"/>
    </row>
    <row r="13432" spans="8:12" x14ac:dyDescent="0.3">
      <c r="H13432" s="49"/>
      <c r="K13432" s="48"/>
      <c r="L13432" s="89"/>
    </row>
    <row r="13433" spans="8:12" x14ac:dyDescent="0.3">
      <c r="H13433" s="49"/>
      <c r="K13433" s="48"/>
      <c r="L13433" s="89"/>
    </row>
    <row r="13434" spans="8:12" x14ac:dyDescent="0.3">
      <c r="H13434" s="49"/>
      <c r="K13434" s="48"/>
      <c r="L13434" s="89"/>
    </row>
    <row r="13435" spans="8:12" x14ac:dyDescent="0.3">
      <c r="H13435" s="49"/>
      <c r="K13435" s="48"/>
      <c r="L13435" s="89"/>
    </row>
    <row r="13436" spans="8:12" x14ac:dyDescent="0.3">
      <c r="H13436" s="49"/>
      <c r="K13436" s="48"/>
      <c r="L13436" s="89"/>
    </row>
    <row r="13437" spans="8:12" x14ac:dyDescent="0.3">
      <c r="H13437" s="49"/>
      <c r="K13437" s="48"/>
      <c r="L13437" s="89"/>
    </row>
    <row r="13438" spans="8:12" x14ac:dyDescent="0.3">
      <c r="H13438" s="49"/>
      <c r="K13438" s="48"/>
      <c r="L13438" s="89"/>
    </row>
    <row r="13439" spans="8:12" x14ac:dyDescent="0.3">
      <c r="H13439" s="49"/>
      <c r="K13439" s="48"/>
      <c r="L13439" s="89"/>
    </row>
    <row r="13440" spans="8:12" x14ac:dyDescent="0.3">
      <c r="H13440" s="49"/>
      <c r="K13440" s="48"/>
      <c r="L13440" s="89"/>
    </row>
    <row r="13441" spans="8:12" x14ac:dyDescent="0.3">
      <c r="H13441" s="49"/>
      <c r="K13441" s="48"/>
      <c r="L13441" s="89"/>
    </row>
    <row r="13442" spans="8:12" x14ac:dyDescent="0.3">
      <c r="H13442" s="49"/>
      <c r="K13442" s="48"/>
      <c r="L13442" s="89"/>
    </row>
    <row r="13443" spans="8:12" x14ac:dyDescent="0.3">
      <c r="H13443" s="49"/>
      <c r="K13443" s="48"/>
      <c r="L13443" s="89"/>
    </row>
    <row r="13444" spans="8:12" x14ac:dyDescent="0.3">
      <c r="H13444" s="49"/>
      <c r="K13444" s="48"/>
      <c r="L13444" s="89"/>
    </row>
    <row r="13445" spans="8:12" x14ac:dyDescent="0.3">
      <c r="H13445" s="49"/>
      <c r="K13445" s="48"/>
      <c r="L13445" s="89"/>
    </row>
    <row r="13446" spans="8:12" x14ac:dyDescent="0.3">
      <c r="H13446" s="49"/>
      <c r="K13446" s="48"/>
      <c r="L13446" s="89"/>
    </row>
    <row r="13447" spans="8:12" x14ac:dyDescent="0.3">
      <c r="H13447" s="49"/>
      <c r="K13447" s="48"/>
      <c r="L13447" s="89"/>
    </row>
    <row r="13448" spans="8:12" x14ac:dyDescent="0.3">
      <c r="H13448" s="49"/>
      <c r="K13448" s="48"/>
      <c r="L13448" s="89"/>
    </row>
    <row r="13449" spans="8:12" x14ac:dyDescent="0.3">
      <c r="H13449" s="49"/>
      <c r="K13449" s="48"/>
      <c r="L13449" s="89"/>
    </row>
    <row r="13450" spans="8:12" x14ac:dyDescent="0.3">
      <c r="H13450" s="49"/>
      <c r="K13450" s="48"/>
      <c r="L13450" s="89"/>
    </row>
    <row r="13451" spans="8:12" x14ac:dyDescent="0.3">
      <c r="H13451" s="49"/>
      <c r="K13451" s="48"/>
      <c r="L13451" s="89"/>
    </row>
    <row r="13452" spans="8:12" x14ac:dyDescent="0.3">
      <c r="H13452" s="49"/>
      <c r="K13452" s="48"/>
      <c r="L13452" s="89"/>
    </row>
    <row r="13453" spans="8:12" x14ac:dyDescent="0.3">
      <c r="H13453" s="49"/>
      <c r="K13453" s="48"/>
      <c r="L13453" s="89"/>
    </row>
    <row r="13454" spans="8:12" x14ac:dyDescent="0.3">
      <c r="H13454" s="49"/>
      <c r="K13454" s="48"/>
      <c r="L13454" s="89"/>
    </row>
    <row r="13455" spans="8:12" x14ac:dyDescent="0.3">
      <c r="H13455" s="49"/>
      <c r="K13455" s="48"/>
      <c r="L13455" s="89"/>
    </row>
    <row r="13456" spans="8:12" x14ac:dyDescent="0.3">
      <c r="H13456" s="49"/>
      <c r="K13456" s="48"/>
      <c r="L13456" s="89"/>
    </row>
    <row r="13457" spans="8:12" x14ac:dyDescent="0.3">
      <c r="H13457" s="49"/>
      <c r="K13457" s="48"/>
      <c r="L13457" s="89"/>
    </row>
    <row r="13458" spans="8:12" x14ac:dyDescent="0.3">
      <c r="H13458" s="49"/>
      <c r="K13458" s="48"/>
      <c r="L13458" s="89"/>
    </row>
    <row r="13459" spans="8:12" x14ac:dyDescent="0.3">
      <c r="H13459" s="49"/>
      <c r="K13459" s="48"/>
      <c r="L13459" s="89"/>
    </row>
    <row r="13460" spans="8:12" x14ac:dyDescent="0.3">
      <c r="H13460" s="49"/>
      <c r="K13460" s="48"/>
      <c r="L13460" s="89"/>
    </row>
    <row r="13461" spans="8:12" x14ac:dyDescent="0.3">
      <c r="H13461" s="49"/>
      <c r="K13461" s="48"/>
      <c r="L13461" s="89"/>
    </row>
    <row r="13462" spans="8:12" x14ac:dyDescent="0.3">
      <c r="H13462" s="49"/>
      <c r="K13462" s="48"/>
      <c r="L13462" s="89"/>
    </row>
    <row r="13463" spans="8:12" x14ac:dyDescent="0.3">
      <c r="H13463" s="49"/>
      <c r="K13463" s="48"/>
      <c r="L13463" s="89"/>
    </row>
    <row r="13464" spans="8:12" x14ac:dyDescent="0.3">
      <c r="H13464" s="49"/>
      <c r="K13464" s="48"/>
      <c r="L13464" s="89"/>
    </row>
    <row r="13465" spans="8:12" x14ac:dyDescent="0.3">
      <c r="H13465" s="49"/>
      <c r="K13465" s="48"/>
      <c r="L13465" s="89"/>
    </row>
    <row r="13466" spans="8:12" x14ac:dyDescent="0.3">
      <c r="H13466" s="49"/>
      <c r="K13466" s="48"/>
      <c r="L13466" s="89"/>
    </row>
    <row r="13467" spans="8:12" x14ac:dyDescent="0.3">
      <c r="H13467" s="49"/>
      <c r="K13467" s="48"/>
      <c r="L13467" s="89"/>
    </row>
    <row r="13468" spans="8:12" x14ac:dyDescent="0.3">
      <c r="H13468" s="49"/>
      <c r="K13468" s="48"/>
      <c r="L13468" s="89"/>
    </row>
    <row r="13469" spans="8:12" x14ac:dyDescent="0.3">
      <c r="H13469" s="49"/>
      <c r="K13469" s="48"/>
      <c r="L13469" s="89"/>
    </row>
    <row r="13470" spans="8:12" x14ac:dyDescent="0.3">
      <c r="H13470" s="49"/>
      <c r="K13470" s="48"/>
      <c r="L13470" s="89"/>
    </row>
    <row r="13471" spans="8:12" x14ac:dyDescent="0.3">
      <c r="H13471" s="49"/>
      <c r="K13471" s="48"/>
      <c r="L13471" s="89"/>
    </row>
    <row r="13472" spans="8:12" x14ac:dyDescent="0.3">
      <c r="H13472" s="49"/>
      <c r="K13472" s="48"/>
      <c r="L13472" s="89"/>
    </row>
    <row r="13473" spans="8:12" x14ac:dyDescent="0.3">
      <c r="H13473" s="49"/>
      <c r="K13473" s="48"/>
      <c r="L13473" s="89"/>
    </row>
    <row r="13474" spans="8:12" x14ac:dyDescent="0.3">
      <c r="H13474" s="49"/>
      <c r="K13474" s="48"/>
      <c r="L13474" s="89"/>
    </row>
    <row r="13475" spans="8:12" x14ac:dyDescent="0.3">
      <c r="H13475" s="49"/>
      <c r="K13475" s="48"/>
      <c r="L13475" s="89"/>
    </row>
    <row r="13476" spans="8:12" x14ac:dyDescent="0.3">
      <c r="H13476" s="49"/>
      <c r="K13476" s="48"/>
      <c r="L13476" s="89"/>
    </row>
    <row r="13477" spans="8:12" x14ac:dyDescent="0.3">
      <c r="H13477" s="49"/>
      <c r="K13477" s="48"/>
      <c r="L13477" s="89"/>
    </row>
    <row r="13478" spans="8:12" x14ac:dyDescent="0.3">
      <c r="H13478" s="49"/>
      <c r="K13478" s="48"/>
      <c r="L13478" s="89"/>
    </row>
    <row r="13479" spans="8:12" x14ac:dyDescent="0.3">
      <c r="H13479" s="49"/>
      <c r="K13479" s="48"/>
      <c r="L13479" s="89"/>
    </row>
    <row r="13480" spans="8:12" x14ac:dyDescent="0.3">
      <c r="H13480" s="49"/>
      <c r="K13480" s="48"/>
      <c r="L13480" s="89"/>
    </row>
    <row r="13481" spans="8:12" x14ac:dyDescent="0.3">
      <c r="H13481" s="49"/>
      <c r="K13481" s="48"/>
      <c r="L13481" s="89"/>
    </row>
    <row r="13482" spans="8:12" x14ac:dyDescent="0.3">
      <c r="H13482" s="49"/>
      <c r="K13482" s="48"/>
      <c r="L13482" s="89"/>
    </row>
    <row r="13483" spans="8:12" x14ac:dyDescent="0.3">
      <c r="H13483" s="49"/>
      <c r="K13483" s="48"/>
      <c r="L13483" s="89"/>
    </row>
    <row r="13484" spans="8:12" x14ac:dyDescent="0.3">
      <c r="H13484" s="49"/>
      <c r="K13484" s="48"/>
      <c r="L13484" s="89"/>
    </row>
    <row r="13485" spans="8:12" x14ac:dyDescent="0.3">
      <c r="H13485" s="49"/>
      <c r="K13485" s="48"/>
      <c r="L13485" s="89"/>
    </row>
    <row r="13486" spans="8:12" x14ac:dyDescent="0.3">
      <c r="H13486" s="49"/>
      <c r="K13486" s="48"/>
      <c r="L13486" s="89"/>
    </row>
    <row r="13487" spans="8:12" x14ac:dyDescent="0.3">
      <c r="H13487" s="49"/>
      <c r="K13487" s="48"/>
      <c r="L13487" s="89"/>
    </row>
    <row r="13488" spans="8:12" x14ac:dyDescent="0.3">
      <c r="H13488" s="49"/>
      <c r="K13488" s="48"/>
      <c r="L13488" s="89"/>
    </row>
    <row r="13489" spans="8:12" x14ac:dyDescent="0.3">
      <c r="H13489" s="49"/>
      <c r="K13489" s="48"/>
      <c r="L13489" s="89"/>
    </row>
    <row r="13490" spans="8:12" x14ac:dyDescent="0.3">
      <c r="H13490" s="49"/>
      <c r="K13490" s="48"/>
      <c r="L13490" s="89"/>
    </row>
    <row r="13491" spans="8:12" x14ac:dyDescent="0.3">
      <c r="H13491" s="49"/>
      <c r="K13491" s="48"/>
      <c r="L13491" s="89"/>
    </row>
    <row r="13492" spans="8:12" x14ac:dyDescent="0.3">
      <c r="H13492" s="49"/>
      <c r="K13492" s="48"/>
      <c r="L13492" s="89"/>
    </row>
    <row r="13493" spans="8:12" x14ac:dyDescent="0.3">
      <c r="H13493" s="49"/>
      <c r="K13493" s="48"/>
      <c r="L13493" s="89"/>
    </row>
    <row r="13494" spans="8:12" x14ac:dyDescent="0.3">
      <c r="H13494" s="49"/>
      <c r="K13494" s="48"/>
      <c r="L13494" s="89"/>
    </row>
    <row r="13495" spans="8:12" x14ac:dyDescent="0.3">
      <c r="H13495" s="49"/>
      <c r="K13495" s="48"/>
      <c r="L13495" s="89"/>
    </row>
    <row r="13496" spans="8:12" x14ac:dyDescent="0.3">
      <c r="H13496" s="49"/>
      <c r="K13496" s="48"/>
      <c r="L13496" s="89"/>
    </row>
    <row r="13497" spans="8:12" x14ac:dyDescent="0.3">
      <c r="H13497" s="49"/>
      <c r="K13497" s="48"/>
      <c r="L13497" s="89"/>
    </row>
    <row r="13498" spans="8:12" x14ac:dyDescent="0.3">
      <c r="H13498" s="49"/>
      <c r="K13498" s="48"/>
      <c r="L13498" s="89"/>
    </row>
    <row r="13499" spans="8:12" x14ac:dyDescent="0.3">
      <c r="H13499" s="49"/>
      <c r="K13499" s="48"/>
      <c r="L13499" s="89"/>
    </row>
    <row r="13500" spans="8:12" x14ac:dyDescent="0.3">
      <c r="H13500" s="49"/>
      <c r="K13500" s="48"/>
      <c r="L13500" s="89"/>
    </row>
    <row r="13501" spans="8:12" x14ac:dyDescent="0.3">
      <c r="H13501" s="49"/>
      <c r="K13501" s="48"/>
      <c r="L13501" s="89"/>
    </row>
    <row r="13502" spans="8:12" x14ac:dyDescent="0.3">
      <c r="H13502" s="49"/>
      <c r="K13502" s="48"/>
      <c r="L13502" s="89"/>
    </row>
    <row r="13503" spans="8:12" x14ac:dyDescent="0.3">
      <c r="H13503" s="49"/>
      <c r="K13503" s="48"/>
      <c r="L13503" s="89"/>
    </row>
    <row r="13504" spans="8:12" x14ac:dyDescent="0.3">
      <c r="H13504" s="49"/>
      <c r="K13504" s="48"/>
      <c r="L13504" s="89"/>
    </row>
    <row r="13505" spans="8:12" x14ac:dyDescent="0.3">
      <c r="H13505" s="49"/>
      <c r="K13505" s="48"/>
      <c r="L13505" s="89"/>
    </row>
    <row r="13506" spans="8:12" x14ac:dyDescent="0.3">
      <c r="H13506" s="49"/>
      <c r="K13506" s="48"/>
      <c r="L13506" s="89"/>
    </row>
    <row r="13507" spans="8:12" x14ac:dyDescent="0.3">
      <c r="H13507" s="49"/>
      <c r="K13507" s="48"/>
      <c r="L13507" s="89"/>
    </row>
    <row r="13508" spans="8:12" x14ac:dyDescent="0.3">
      <c r="H13508" s="49"/>
      <c r="K13508" s="48"/>
      <c r="L13508" s="89"/>
    </row>
    <row r="13509" spans="8:12" x14ac:dyDescent="0.3">
      <c r="H13509" s="49"/>
      <c r="K13509" s="48"/>
      <c r="L13509" s="89"/>
    </row>
    <row r="13510" spans="8:12" x14ac:dyDescent="0.3">
      <c r="H13510" s="49"/>
      <c r="K13510" s="48"/>
      <c r="L13510" s="89"/>
    </row>
    <row r="13511" spans="8:12" x14ac:dyDescent="0.3">
      <c r="H13511" s="49"/>
      <c r="K13511" s="48"/>
      <c r="L13511" s="89"/>
    </row>
    <row r="13512" spans="8:12" x14ac:dyDescent="0.3">
      <c r="H13512" s="49"/>
      <c r="K13512" s="48"/>
      <c r="L13512" s="89"/>
    </row>
    <row r="13513" spans="8:12" x14ac:dyDescent="0.3">
      <c r="H13513" s="49"/>
      <c r="K13513" s="48"/>
      <c r="L13513" s="89"/>
    </row>
    <row r="13514" spans="8:12" x14ac:dyDescent="0.3">
      <c r="H13514" s="49"/>
      <c r="K13514" s="48"/>
      <c r="L13514" s="89"/>
    </row>
    <row r="13515" spans="8:12" x14ac:dyDescent="0.3">
      <c r="H13515" s="49"/>
      <c r="K13515" s="48"/>
      <c r="L13515" s="89"/>
    </row>
    <row r="13516" spans="8:12" x14ac:dyDescent="0.3">
      <c r="H13516" s="49"/>
      <c r="K13516" s="48"/>
      <c r="L13516" s="89"/>
    </row>
    <row r="13517" spans="8:12" x14ac:dyDescent="0.3">
      <c r="H13517" s="49"/>
      <c r="K13517" s="48"/>
      <c r="L13517" s="89"/>
    </row>
    <row r="13518" spans="8:12" x14ac:dyDescent="0.3">
      <c r="H13518" s="49"/>
      <c r="K13518" s="48"/>
      <c r="L13518" s="89"/>
    </row>
    <row r="13519" spans="8:12" x14ac:dyDescent="0.3">
      <c r="H13519" s="49"/>
      <c r="K13519" s="48"/>
      <c r="L13519" s="89"/>
    </row>
    <row r="13520" spans="8:12" x14ac:dyDescent="0.3">
      <c r="H13520" s="49"/>
      <c r="K13520" s="48"/>
      <c r="L13520" s="89"/>
    </row>
    <row r="13521" spans="8:12" x14ac:dyDescent="0.3">
      <c r="H13521" s="49"/>
      <c r="K13521" s="48"/>
      <c r="L13521" s="89"/>
    </row>
    <row r="13522" spans="8:12" x14ac:dyDescent="0.3">
      <c r="H13522" s="49"/>
      <c r="K13522" s="48"/>
      <c r="L13522" s="89"/>
    </row>
    <row r="13523" spans="8:12" x14ac:dyDescent="0.3">
      <c r="H13523" s="49"/>
      <c r="K13523" s="48"/>
      <c r="L13523" s="89"/>
    </row>
    <row r="13524" spans="8:12" x14ac:dyDescent="0.3">
      <c r="H13524" s="49"/>
      <c r="K13524" s="48"/>
      <c r="L13524" s="89"/>
    </row>
    <row r="13525" spans="8:12" x14ac:dyDescent="0.3">
      <c r="H13525" s="49"/>
      <c r="K13525" s="48"/>
      <c r="L13525" s="89"/>
    </row>
    <row r="13526" spans="8:12" x14ac:dyDescent="0.3">
      <c r="H13526" s="49"/>
      <c r="K13526" s="48"/>
      <c r="L13526" s="89"/>
    </row>
    <row r="13527" spans="8:12" x14ac:dyDescent="0.3">
      <c r="H13527" s="49"/>
      <c r="K13527" s="48"/>
      <c r="L13527" s="89"/>
    </row>
    <row r="13528" spans="8:12" x14ac:dyDescent="0.3">
      <c r="H13528" s="49"/>
      <c r="K13528" s="48"/>
      <c r="L13528" s="89"/>
    </row>
    <row r="13529" spans="8:12" x14ac:dyDescent="0.3">
      <c r="H13529" s="49"/>
      <c r="K13529" s="48"/>
      <c r="L13529" s="89"/>
    </row>
    <row r="13530" spans="8:12" x14ac:dyDescent="0.3">
      <c r="H13530" s="49"/>
      <c r="K13530" s="48"/>
      <c r="L13530" s="89"/>
    </row>
    <row r="13531" spans="8:12" x14ac:dyDescent="0.3">
      <c r="H13531" s="49"/>
      <c r="K13531" s="48"/>
      <c r="L13531" s="89"/>
    </row>
    <row r="13532" spans="8:12" x14ac:dyDescent="0.3">
      <c r="H13532" s="49"/>
      <c r="K13532" s="48"/>
      <c r="L13532" s="89"/>
    </row>
    <row r="13533" spans="8:12" x14ac:dyDescent="0.3">
      <c r="H13533" s="49"/>
      <c r="K13533" s="48"/>
      <c r="L13533" s="89"/>
    </row>
    <row r="13534" spans="8:12" x14ac:dyDescent="0.3">
      <c r="H13534" s="49"/>
      <c r="K13534" s="48"/>
      <c r="L13534" s="89"/>
    </row>
    <row r="13535" spans="8:12" x14ac:dyDescent="0.3">
      <c r="H13535" s="49"/>
      <c r="K13535" s="48"/>
      <c r="L13535" s="89"/>
    </row>
    <row r="13536" spans="8:12" x14ac:dyDescent="0.3">
      <c r="H13536" s="49"/>
      <c r="K13536" s="48"/>
      <c r="L13536" s="89"/>
    </row>
    <row r="13537" spans="8:12" x14ac:dyDescent="0.3">
      <c r="H13537" s="49"/>
      <c r="K13537" s="48"/>
      <c r="L13537" s="89"/>
    </row>
    <row r="13538" spans="8:12" x14ac:dyDescent="0.3">
      <c r="H13538" s="49"/>
      <c r="K13538" s="48"/>
      <c r="L13538" s="89"/>
    </row>
    <row r="13539" spans="8:12" x14ac:dyDescent="0.3">
      <c r="H13539" s="49"/>
      <c r="K13539" s="48"/>
      <c r="L13539" s="89"/>
    </row>
    <row r="13540" spans="8:12" x14ac:dyDescent="0.3">
      <c r="H13540" s="49"/>
      <c r="K13540" s="48"/>
      <c r="L13540" s="89"/>
    </row>
    <row r="13541" spans="8:12" x14ac:dyDescent="0.3">
      <c r="H13541" s="49"/>
      <c r="K13541" s="48"/>
      <c r="L13541" s="89"/>
    </row>
    <row r="13542" spans="8:12" x14ac:dyDescent="0.3">
      <c r="H13542" s="49"/>
      <c r="K13542" s="48"/>
      <c r="L13542" s="89"/>
    </row>
    <row r="13543" spans="8:12" x14ac:dyDescent="0.3">
      <c r="H13543" s="49"/>
      <c r="K13543" s="48"/>
      <c r="L13543" s="89"/>
    </row>
    <row r="13544" spans="8:12" x14ac:dyDescent="0.3">
      <c r="H13544" s="49"/>
      <c r="K13544" s="48"/>
      <c r="L13544" s="89"/>
    </row>
    <row r="13545" spans="8:12" x14ac:dyDescent="0.3">
      <c r="H13545" s="49"/>
      <c r="K13545" s="48"/>
      <c r="L13545" s="89"/>
    </row>
    <row r="13546" spans="8:12" x14ac:dyDescent="0.3">
      <c r="H13546" s="49"/>
      <c r="K13546" s="48"/>
      <c r="L13546" s="89"/>
    </row>
    <row r="13547" spans="8:12" x14ac:dyDescent="0.3">
      <c r="H13547" s="49"/>
      <c r="K13547" s="48"/>
      <c r="L13547" s="89"/>
    </row>
    <row r="13548" spans="8:12" x14ac:dyDescent="0.3">
      <c r="H13548" s="49"/>
      <c r="K13548" s="48"/>
      <c r="L13548" s="89"/>
    </row>
    <row r="13549" spans="8:12" x14ac:dyDescent="0.3">
      <c r="H13549" s="49"/>
      <c r="K13549" s="48"/>
      <c r="L13549" s="89"/>
    </row>
    <row r="13550" spans="8:12" x14ac:dyDescent="0.3">
      <c r="H13550" s="49"/>
      <c r="K13550" s="48"/>
      <c r="L13550" s="89"/>
    </row>
    <row r="13551" spans="8:12" x14ac:dyDescent="0.3">
      <c r="H13551" s="49"/>
      <c r="K13551" s="48"/>
      <c r="L13551" s="89"/>
    </row>
    <row r="13552" spans="8:12" x14ac:dyDescent="0.3">
      <c r="H13552" s="49"/>
      <c r="K13552" s="48"/>
      <c r="L13552" s="89"/>
    </row>
    <row r="13553" spans="8:12" x14ac:dyDescent="0.3">
      <c r="H13553" s="49"/>
      <c r="K13553" s="48"/>
      <c r="L13553" s="89"/>
    </row>
    <row r="13554" spans="8:12" x14ac:dyDescent="0.3">
      <c r="H13554" s="49"/>
      <c r="K13554" s="48"/>
      <c r="L13554" s="89"/>
    </row>
    <row r="13555" spans="8:12" x14ac:dyDescent="0.3">
      <c r="H13555" s="49"/>
      <c r="K13555" s="48"/>
      <c r="L13555" s="89"/>
    </row>
    <row r="13556" spans="8:12" x14ac:dyDescent="0.3">
      <c r="H13556" s="49"/>
      <c r="K13556" s="48"/>
      <c r="L13556" s="89"/>
    </row>
    <row r="13557" spans="8:12" x14ac:dyDescent="0.3">
      <c r="H13557" s="49"/>
      <c r="K13557" s="48"/>
      <c r="L13557" s="89"/>
    </row>
    <row r="13558" spans="8:12" x14ac:dyDescent="0.3">
      <c r="H13558" s="49"/>
      <c r="K13558" s="48"/>
      <c r="L13558" s="89"/>
    </row>
    <row r="13559" spans="8:12" x14ac:dyDescent="0.3">
      <c r="H13559" s="49"/>
      <c r="K13559" s="48"/>
      <c r="L13559" s="89"/>
    </row>
    <row r="13560" spans="8:12" x14ac:dyDescent="0.3">
      <c r="H13560" s="49"/>
      <c r="K13560" s="48"/>
      <c r="L13560" s="89"/>
    </row>
    <row r="13561" spans="8:12" x14ac:dyDescent="0.3">
      <c r="H13561" s="49"/>
      <c r="K13561" s="48"/>
      <c r="L13561" s="89"/>
    </row>
    <row r="13562" spans="8:12" x14ac:dyDescent="0.3">
      <c r="H13562" s="49"/>
      <c r="K13562" s="48"/>
      <c r="L13562" s="89"/>
    </row>
    <row r="13563" spans="8:12" x14ac:dyDescent="0.3">
      <c r="H13563" s="49"/>
      <c r="K13563" s="48"/>
      <c r="L13563" s="89"/>
    </row>
    <row r="13564" spans="8:12" x14ac:dyDescent="0.3">
      <c r="H13564" s="49"/>
      <c r="K13564" s="48"/>
      <c r="L13564" s="89"/>
    </row>
    <row r="13565" spans="8:12" x14ac:dyDescent="0.3">
      <c r="H13565" s="49"/>
      <c r="K13565" s="48"/>
      <c r="L13565" s="89"/>
    </row>
    <row r="13566" spans="8:12" x14ac:dyDescent="0.3">
      <c r="H13566" s="49"/>
      <c r="K13566" s="48"/>
      <c r="L13566" s="89"/>
    </row>
    <row r="13567" spans="8:12" x14ac:dyDescent="0.3">
      <c r="H13567" s="49"/>
      <c r="K13567" s="48"/>
      <c r="L13567" s="89"/>
    </row>
    <row r="13568" spans="8:12" x14ac:dyDescent="0.3">
      <c r="H13568" s="49"/>
      <c r="K13568" s="48"/>
      <c r="L13568" s="89"/>
    </row>
    <row r="13569" spans="8:12" x14ac:dyDescent="0.3">
      <c r="H13569" s="49"/>
      <c r="K13569" s="48"/>
      <c r="L13569" s="89"/>
    </row>
    <row r="13570" spans="8:12" x14ac:dyDescent="0.3">
      <c r="H13570" s="49"/>
      <c r="K13570" s="48"/>
      <c r="L13570" s="89"/>
    </row>
    <row r="13571" spans="8:12" x14ac:dyDescent="0.3">
      <c r="H13571" s="49"/>
      <c r="K13571" s="48"/>
      <c r="L13571" s="89"/>
    </row>
    <row r="13572" spans="8:12" x14ac:dyDescent="0.3">
      <c r="H13572" s="49"/>
      <c r="K13572" s="48"/>
      <c r="L13572" s="89"/>
    </row>
    <row r="13573" spans="8:12" x14ac:dyDescent="0.3">
      <c r="H13573" s="49"/>
      <c r="K13573" s="48"/>
      <c r="L13573" s="89"/>
    </row>
    <row r="13574" spans="8:12" x14ac:dyDescent="0.3">
      <c r="H13574" s="49"/>
      <c r="K13574" s="48"/>
      <c r="L13574" s="89"/>
    </row>
    <row r="13575" spans="8:12" x14ac:dyDescent="0.3">
      <c r="H13575" s="49"/>
      <c r="K13575" s="48"/>
      <c r="L13575" s="89"/>
    </row>
    <row r="13576" spans="8:12" x14ac:dyDescent="0.3">
      <c r="H13576" s="49"/>
      <c r="K13576" s="48"/>
      <c r="L13576" s="89"/>
    </row>
    <row r="13577" spans="8:12" x14ac:dyDescent="0.3">
      <c r="H13577" s="49"/>
      <c r="K13577" s="48"/>
      <c r="L13577" s="89"/>
    </row>
    <row r="13578" spans="8:12" x14ac:dyDescent="0.3">
      <c r="H13578" s="49"/>
      <c r="K13578" s="48"/>
      <c r="L13578" s="89"/>
    </row>
    <row r="13579" spans="8:12" x14ac:dyDescent="0.3">
      <c r="H13579" s="49"/>
      <c r="K13579" s="48"/>
      <c r="L13579" s="89"/>
    </row>
    <row r="13580" spans="8:12" x14ac:dyDescent="0.3">
      <c r="H13580" s="49"/>
      <c r="K13580" s="48"/>
      <c r="L13580" s="89"/>
    </row>
    <row r="13581" spans="8:12" x14ac:dyDescent="0.3">
      <c r="H13581" s="49"/>
      <c r="K13581" s="48"/>
      <c r="L13581" s="89"/>
    </row>
    <row r="13582" spans="8:12" x14ac:dyDescent="0.3">
      <c r="H13582" s="49"/>
      <c r="K13582" s="48"/>
      <c r="L13582" s="89"/>
    </row>
    <row r="13583" spans="8:12" x14ac:dyDescent="0.3">
      <c r="H13583" s="49"/>
      <c r="K13583" s="48"/>
      <c r="L13583" s="89"/>
    </row>
    <row r="13584" spans="8:12" x14ac:dyDescent="0.3">
      <c r="H13584" s="49"/>
      <c r="K13584" s="48"/>
      <c r="L13584" s="89"/>
    </row>
    <row r="13585" spans="8:12" x14ac:dyDescent="0.3">
      <c r="H13585" s="49"/>
      <c r="K13585" s="48"/>
      <c r="L13585" s="89"/>
    </row>
    <row r="13586" spans="8:12" x14ac:dyDescent="0.3">
      <c r="H13586" s="49"/>
      <c r="K13586" s="48"/>
      <c r="L13586" s="89"/>
    </row>
    <row r="13587" spans="8:12" x14ac:dyDescent="0.3">
      <c r="H13587" s="49"/>
      <c r="K13587" s="48"/>
      <c r="L13587" s="89"/>
    </row>
    <row r="13588" spans="8:12" x14ac:dyDescent="0.3">
      <c r="H13588" s="49"/>
      <c r="K13588" s="48"/>
      <c r="L13588" s="89"/>
    </row>
    <row r="13589" spans="8:12" x14ac:dyDescent="0.3">
      <c r="H13589" s="49"/>
      <c r="K13589" s="48"/>
      <c r="L13589" s="89"/>
    </row>
    <row r="13590" spans="8:12" x14ac:dyDescent="0.3">
      <c r="H13590" s="49"/>
      <c r="K13590" s="48"/>
      <c r="L13590" s="89"/>
    </row>
    <row r="13591" spans="8:12" x14ac:dyDescent="0.3">
      <c r="H13591" s="49"/>
      <c r="K13591" s="48"/>
      <c r="L13591" s="89"/>
    </row>
    <row r="13592" spans="8:12" x14ac:dyDescent="0.3">
      <c r="H13592" s="49"/>
      <c r="K13592" s="48"/>
      <c r="L13592" s="89"/>
    </row>
    <row r="13593" spans="8:12" x14ac:dyDescent="0.3">
      <c r="H13593" s="49"/>
      <c r="K13593" s="48"/>
      <c r="L13593" s="89"/>
    </row>
    <row r="13594" spans="8:12" x14ac:dyDescent="0.3">
      <c r="H13594" s="49"/>
      <c r="K13594" s="48"/>
      <c r="L13594" s="89"/>
    </row>
    <row r="13595" spans="8:12" x14ac:dyDescent="0.3">
      <c r="H13595" s="49"/>
      <c r="K13595" s="48"/>
      <c r="L13595" s="89"/>
    </row>
    <row r="13596" spans="8:12" x14ac:dyDescent="0.3">
      <c r="H13596" s="49"/>
      <c r="K13596" s="48"/>
      <c r="L13596" s="89"/>
    </row>
    <row r="13597" spans="8:12" x14ac:dyDescent="0.3">
      <c r="H13597" s="49"/>
      <c r="K13597" s="48"/>
      <c r="L13597" s="89"/>
    </row>
    <row r="13598" spans="8:12" x14ac:dyDescent="0.3">
      <c r="H13598" s="49"/>
      <c r="K13598" s="48"/>
      <c r="L13598" s="89"/>
    </row>
    <row r="13599" spans="8:12" x14ac:dyDescent="0.3">
      <c r="H13599" s="49"/>
      <c r="K13599" s="48"/>
      <c r="L13599" s="89"/>
    </row>
    <row r="13600" spans="8:12" x14ac:dyDescent="0.3">
      <c r="H13600" s="49"/>
      <c r="K13600" s="48"/>
      <c r="L13600" s="89"/>
    </row>
    <row r="13601" spans="8:12" x14ac:dyDescent="0.3">
      <c r="H13601" s="49"/>
      <c r="K13601" s="48"/>
      <c r="L13601" s="89"/>
    </row>
    <row r="13602" spans="8:12" x14ac:dyDescent="0.3">
      <c r="H13602" s="49"/>
      <c r="K13602" s="48"/>
      <c r="L13602" s="89"/>
    </row>
    <row r="13603" spans="8:12" x14ac:dyDescent="0.3">
      <c r="H13603" s="49"/>
      <c r="K13603" s="48"/>
      <c r="L13603" s="89"/>
    </row>
    <row r="13604" spans="8:12" x14ac:dyDescent="0.3">
      <c r="H13604" s="49"/>
      <c r="K13604" s="48"/>
      <c r="L13604" s="89"/>
    </row>
    <row r="13605" spans="8:12" x14ac:dyDescent="0.3">
      <c r="H13605" s="49"/>
      <c r="K13605" s="48"/>
      <c r="L13605" s="89"/>
    </row>
    <row r="13606" spans="8:12" x14ac:dyDescent="0.3">
      <c r="H13606" s="49"/>
      <c r="K13606" s="48"/>
      <c r="L13606" s="89"/>
    </row>
    <row r="13607" spans="8:12" x14ac:dyDescent="0.3">
      <c r="H13607" s="49"/>
      <c r="K13607" s="48"/>
      <c r="L13607" s="89"/>
    </row>
    <row r="13608" spans="8:12" x14ac:dyDescent="0.3">
      <c r="H13608" s="49"/>
      <c r="K13608" s="48"/>
      <c r="L13608" s="89"/>
    </row>
    <row r="13609" spans="8:12" x14ac:dyDescent="0.3">
      <c r="H13609" s="49"/>
      <c r="K13609" s="48"/>
      <c r="L13609" s="89"/>
    </row>
    <row r="13610" spans="8:12" x14ac:dyDescent="0.3">
      <c r="H13610" s="49"/>
      <c r="K13610" s="48"/>
      <c r="L13610" s="89"/>
    </row>
    <row r="13611" spans="8:12" x14ac:dyDescent="0.3">
      <c r="H13611" s="49"/>
      <c r="K13611" s="48"/>
      <c r="L13611" s="89"/>
    </row>
    <row r="13612" spans="8:12" x14ac:dyDescent="0.3">
      <c r="H13612" s="49"/>
      <c r="K13612" s="48"/>
      <c r="L13612" s="89"/>
    </row>
    <row r="13613" spans="8:12" x14ac:dyDescent="0.3">
      <c r="H13613" s="49"/>
      <c r="K13613" s="48"/>
      <c r="L13613" s="89"/>
    </row>
    <row r="13614" spans="8:12" x14ac:dyDescent="0.3">
      <c r="H13614" s="49"/>
      <c r="K13614" s="48"/>
      <c r="L13614" s="89"/>
    </row>
    <row r="13615" spans="8:12" x14ac:dyDescent="0.3">
      <c r="H13615" s="49"/>
      <c r="K13615" s="48"/>
      <c r="L13615" s="89"/>
    </row>
    <row r="13616" spans="8:12" x14ac:dyDescent="0.3">
      <c r="H13616" s="49"/>
      <c r="K13616" s="48"/>
      <c r="L13616" s="89"/>
    </row>
    <row r="13617" spans="8:12" x14ac:dyDescent="0.3">
      <c r="H13617" s="49"/>
      <c r="K13617" s="48"/>
      <c r="L13617" s="89"/>
    </row>
    <row r="13618" spans="8:12" x14ac:dyDescent="0.3">
      <c r="H13618" s="49"/>
      <c r="K13618" s="48"/>
      <c r="L13618" s="89"/>
    </row>
    <row r="13619" spans="8:12" x14ac:dyDescent="0.3">
      <c r="H13619" s="49"/>
      <c r="K13619" s="48"/>
      <c r="L13619" s="89"/>
    </row>
    <row r="13620" spans="8:12" x14ac:dyDescent="0.3">
      <c r="H13620" s="49"/>
      <c r="K13620" s="48"/>
      <c r="L13620" s="89"/>
    </row>
    <row r="13621" spans="8:12" x14ac:dyDescent="0.3">
      <c r="H13621" s="49"/>
      <c r="K13621" s="48"/>
      <c r="L13621" s="89"/>
    </row>
    <row r="13622" spans="8:12" x14ac:dyDescent="0.3">
      <c r="H13622" s="49"/>
      <c r="K13622" s="48"/>
      <c r="L13622" s="89"/>
    </row>
    <row r="13623" spans="8:12" x14ac:dyDescent="0.3">
      <c r="H13623" s="49"/>
      <c r="K13623" s="48"/>
      <c r="L13623" s="89"/>
    </row>
    <row r="13624" spans="8:12" x14ac:dyDescent="0.3">
      <c r="H13624" s="49"/>
      <c r="K13624" s="48"/>
      <c r="L13624" s="89"/>
    </row>
    <row r="13625" spans="8:12" x14ac:dyDescent="0.3">
      <c r="H13625" s="49"/>
      <c r="K13625" s="48"/>
      <c r="L13625" s="89"/>
    </row>
    <row r="13626" spans="8:12" x14ac:dyDescent="0.3">
      <c r="H13626" s="49"/>
      <c r="K13626" s="48"/>
      <c r="L13626" s="89"/>
    </row>
    <row r="13627" spans="8:12" x14ac:dyDescent="0.3">
      <c r="H13627" s="49"/>
      <c r="K13627" s="48"/>
      <c r="L13627" s="89"/>
    </row>
    <row r="13628" spans="8:12" x14ac:dyDescent="0.3">
      <c r="H13628" s="49"/>
      <c r="K13628" s="48"/>
      <c r="L13628" s="89"/>
    </row>
    <row r="13629" spans="8:12" x14ac:dyDescent="0.3">
      <c r="H13629" s="49"/>
      <c r="K13629" s="48"/>
      <c r="L13629" s="89"/>
    </row>
    <row r="13630" spans="8:12" x14ac:dyDescent="0.3">
      <c r="H13630" s="49"/>
      <c r="K13630" s="48"/>
      <c r="L13630" s="89"/>
    </row>
    <row r="13631" spans="8:12" x14ac:dyDescent="0.3">
      <c r="H13631" s="49"/>
      <c r="K13631" s="48"/>
      <c r="L13631" s="89"/>
    </row>
    <row r="13632" spans="8:12" x14ac:dyDescent="0.3">
      <c r="H13632" s="49"/>
      <c r="K13632" s="48"/>
      <c r="L13632" s="89"/>
    </row>
    <row r="13633" spans="8:12" x14ac:dyDescent="0.3">
      <c r="H13633" s="49"/>
      <c r="K13633" s="48"/>
      <c r="L13633" s="89"/>
    </row>
    <row r="13634" spans="8:12" x14ac:dyDescent="0.3">
      <c r="H13634" s="49"/>
      <c r="K13634" s="48"/>
      <c r="L13634" s="89"/>
    </row>
    <row r="13635" spans="8:12" x14ac:dyDescent="0.3">
      <c r="H13635" s="49"/>
      <c r="K13635" s="48"/>
      <c r="L13635" s="89"/>
    </row>
    <row r="13636" spans="8:12" x14ac:dyDescent="0.3">
      <c r="H13636" s="49"/>
      <c r="K13636" s="48"/>
      <c r="L13636" s="89"/>
    </row>
    <row r="13637" spans="8:12" x14ac:dyDescent="0.3">
      <c r="H13637" s="49"/>
      <c r="K13637" s="48"/>
      <c r="L13637" s="89"/>
    </row>
    <row r="13638" spans="8:12" x14ac:dyDescent="0.3">
      <c r="H13638" s="49"/>
      <c r="K13638" s="48"/>
      <c r="L13638" s="89"/>
    </row>
    <row r="13639" spans="8:12" x14ac:dyDescent="0.3">
      <c r="H13639" s="49"/>
      <c r="K13639" s="48"/>
      <c r="L13639" s="89"/>
    </row>
    <row r="13640" spans="8:12" x14ac:dyDescent="0.3">
      <c r="H13640" s="49"/>
      <c r="K13640" s="48"/>
      <c r="L13640" s="89"/>
    </row>
    <row r="13641" spans="8:12" x14ac:dyDescent="0.3">
      <c r="H13641" s="49"/>
      <c r="K13641" s="48"/>
      <c r="L13641" s="89"/>
    </row>
    <row r="13642" spans="8:12" x14ac:dyDescent="0.3">
      <c r="H13642" s="49"/>
      <c r="K13642" s="48"/>
      <c r="L13642" s="89"/>
    </row>
    <row r="13643" spans="8:12" x14ac:dyDescent="0.3">
      <c r="H13643" s="49"/>
      <c r="K13643" s="48"/>
      <c r="L13643" s="89"/>
    </row>
    <row r="13644" spans="8:12" x14ac:dyDescent="0.3">
      <c r="H13644" s="49"/>
      <c r="K13644" s="48"/>
      <c r="L13644" s="89"/>
    </row>
    <row r="13645" spans="8:12" x14ac:dyDescent="0.3">
      <c r="H13645" s="49"/>
      <c r="K13645" s="48"/>
      <c r="L13645" s="89"/>
    </row>
    <row r="13646" spans="8:12" x14ac:dyDescent="0.3">
      <c r="H13646" s="49"/>
      <c r="K13646" s="48"/>
      <c r="L13646" s="89"/>
    </row>
    <row r="13647" spans="8:12" x14ac:dyDescent="0.3">
      <c r="H13647" s="49"/>
      <c r="K13647" s="48"/>
      <c r="L13647" s="89"/>
    </row>
    <row r="13648" spans="8:12" x14ac:dyDescent="0.3">
      <c r="H13648" s="49"/>
      <c r="K13648" s="48"/>
      <c r="L13648" s="89"/>
    </row>
    <row r="13649" spans="8:12" x14ac:dyDescent="0.3">
      <c r="H13649" s="49"/>
      <c r="K13649" s="48"/>
      <c r="L13649" s="89"/>
    </row>
    <row r="13650" spans="8:12" x14ac:dyDescent="0.3">
      <c r="H13650" s="49"/>
      <c r="K13650" s="48"/>
      <c r="L13650" s="89"/>
    </row>
    <row r="13651" spans="8:12" x14ac:dyDescent="0.3">
      <c r="H13651" s="49"/>
      <c r="K13651" s="48"/>
      <c r="L13651" s="89"/>
    </row>
    <row r="13652" spans="8:12" x14ac:dyDescent="0.3">
      <c r="H13652" s="49"/>
      <c r="K13652" s="48"/>
      <c r="L13652" s="89"/>
    </row>
    <row r="13653" spans="8:12" x14ac:dyDescent="0.3">
      <c r="H13653" s="49"/>
      <c r="K13653" s="48"/>
      <c r="L13653" s="89"/>
    </row>
    <row r="13654" spans="8:12" x14ac:dyDescent="0.3">
      <c r="H13654" s="49"/>
      <c r="K13654" s="48"/>
      <c r="L13654" s="89"/>
    </row>
    <row r="13655" spans="8:12" x14ac:dyDescent="0.3">
      <c r="H13655" s="49"/>
      <c r="K13655" s="48"/>
      <c r="L13655" s="89"/>
    </row>
    <row r="13656" spans="8:12" x14ac:dyDescent="0.3">
      <c r="H13656" s="49"/>
      <c r="K13656" s="48"/>
      <c r="L13656" s="89"/>
    </row>
    <row r="13657" spans="8:12" x14ac:dyDescent="0.3">
      <c r="H13657" s="49"/>
      <c r="K13657" s="48"/>
      <c r="L13657" s="89"/>
    </row>
    <row r="13658" spans="8:12" x14ac:dyDescent="0.3">
      <c r="H13658" s="49"/>
      <c r="K13658" s="48"/>
      <c r="L13658" s="89"/>
    </row>
    <row r="13659" spans="8:12" x14ac:dyDescent="0.3">
      <c r="H13659" s="49"/>
      <c r="K13659" s="48"/>
      <c r="L13659" s="89"/>
    </row>
    <row r="13660" spans="8:12" x14ac:dyDescent="0.3">
      <c r="H13660" s="49"/>
      <c r="K13660" s="48"/>
      <c r="L13660" s="89"/>
    </row>
    <row r="13661" spans="8:12" x14ac:dyDescent="0.3">
      <c r="H13661" s="49"/>
      <c r="K13661" s="48"/>
      <c r="L13661" s="89"/>
    </row>
    <row r="13662" spans="8:12" x14ac:dyDescent="0.3">
      <c r="H13662" s="49"/>
      <c r="K13662" s="48"/>
      <c r="L13662" s="89"/>
    </row>
    <row r="13663" spans="8:12" x14ac:dyDescent="0.3">
      <c r="H13663" s="49"/>
      <c r="K13663" s="48"/>
      <c r="L13663" s="89"/>
    </row>
    <row r="13664" spans="8:12" x14ac:dyDescent="0.3">
      <c r="H13664" s="49"/>
      <c r="K13664" s="48"/>
      <c r="L13664" s="89"/>
    </row>
    <row r="13665" spans="8:12" x14ac:dyDescent="0.3">
      <c r="H13665" s="49"/>
      <c r="K13665" s="48"/>
      <c r="L13665" s="89"/>
    </row>
    <row r="13666" spans="8:12" x14ac:dyDescent="0.3">
      <c r="H13666" s="49"/>
      <c r="K13666" s="48"/>
      <c r="L13666" s="89"/>
    </row>
    <row r="13667" spans="8:12" x14ac:dyDescent="0.3">
      <c r="H13667" s="49"/>
      <c r="K13667" s="48"/>
      <c r="L13667" s="89"/>
    </row>
    <row r="13668" spans="8:12" x14ac:dyDescent="0.3">
      <c r="H13668" s="49"/>
      <c r="K13668" s="48"/>
      <c r="L13668" s="89"/>
    </row>
    <row r="13669" spans="8:12" x14ac:dyDescent="0.3">
      <c r="H13669" s="49"/>
      <c r="K13669" s="48"/>
      <c r="L13669" s="89"/>
    </row>
    <row r="13670" spans="8:12" x14ac:dyDescent="0.3">
      <c r="H13670" s="49"/>
      <c r="K13670" s="48"/>
      <c r="L13670" s="89"/>
    </row>
    <row r="13671" spans="8:12" x14ac:dyDescent="0.3">
      <c r="H13671" s="49"/>
      <c r="K13671" s="48"/>
      <c r="L13671" s="89"/>
    </row>
    <row r="13672" spans="8:12" x14ac:dyDescent="0.3">
      <c r="H13672" s="49"/>
      <c r="K13672" s="48"/>
      <c r="L13672" s="89"/>
    </row>
    <row r="13673" spans="8:12" x14ac:dyDescent="0.3">
      <c r="H13673" s="49"/>
      <c r="K13673" s="48"/>
      <c r="L13673" s="89"/>
    </row>
    <row r="13674" spans="8:12" x14ac:dyDescent="0.3">
      <c r="H13674" s="49"/>
      <c r="K13674" s="48"/>
      <c r="L13674" s="89"/>
    </row>
    <row r="13675" spans="8:12" x14ac:dyDescent="0.3">
      <c r="H13675" s="49"/>
      <c r="K13675" s="48"/>
      <c r="L13675" s="89"/>
    </row>
    <row r="13676" spans="8:12" x14ac:dyDescent="0.3">
      <c r="H13676" s="49"/>
      <c r="K13676" s="48"/>
      <c r="L13676" s="89"/>
    </row>
    <row r="13677" spans="8:12" x14ac:dyDescent="0.3">
      <c r="H13677" s="49"/>
      <c r="K13677" s="48"/>
      <c r="L13677" s="89"/>
    </row>
    <row r="13678" spans="8:12" x14ac:dyDescent="0.3">
      <c r="H13678" s="49"/>
      <c r="K13678" s="48"/>
      <c r="L13678" s="89"/>
    </row>
    <row r="13679" spans="8:12" x14ac:dyDescent="0.3">
      <c r="H13679" s="49"/>
      <c r="K13679" s="48"/>
      <c r="L13679" s="89"/>
    </row>
    <row r="13680" spans="8:12" x14ac:dyDescent="0.3">
      <c r="H13680" s="49"/>
      <c r="K13680" s="48"/>
      <c r="L13680" s="89"/>
    </row>
    <row r="13681" spans="8:12" x14ac:dyDescent="0.3">
      <c r="H13681" s="49"/>
      <c r="K13681" s="48"/>
      <c r="L13681" s="89"/>
    </row>
    <row r="13682" spans="8:12" x14ac:dyDescent="0.3">
      <c r="H13682" s="49"/>
      <c r="K13682" s="48"/>
      <c r="L13682" s="89"/>
    </row>
    <row r="13683" spans="8:12" x14ac:dyDescent="0.3">
      <c r="H13683" s="49"/>
      <c r="K13683" s="48"/>
      <c r="L13683" s="89"/>
    </row>
    <row r="13684" spans="8:12" x14ac:dyDescent="0.3">
      <c r="H13684" s="49"/>
      <c r="K13684" s="48"/>
      <c r="L13684" s="89"/>
    </row>
    <row r="13685" spans="8:12" x14ac:dyDescent="0.3">
      <c r="H13685" s="49"/>
      <c r="K13685" s="48"/>
      <c r="L13685" s="89"/>
    </row>
    <row r="13686" spans="8:12" x14ac:dyDescent="0.3">
      <c r="H13686" s="49"/>
      <c r="K13686" s="48"/>
      <c r="L13686" s="89"/>
    </row>
    <row r="13687" spans="8:12" x14ac:dyDescent="0.3">
      <c r="H13687" s="49"/>
      <c r="K13687" s="48"/>
      <c r="L13687" s="89"/>
    </row>
    <row r="13688" spans="8:12" x14ac:dyDescent="0.3">
      <c r="H13688" s="49"/>
      <c r="K13688" s="48"/>
      <c r="L13688" s="89"/>
    </row>
    <row r="13689" spans="8:12" x14ac:dyDescent="0.3">
      <c r="H13689" s="49"/>
      <c r="K13689" s="48"/>
      <c r="L13689" s="89"/>
    </row>
    <row r="13690" spans="8:12" x14ac:dyDescent="0.3">
      <c r="H13690" s="49"/>
      <c r="K13690" s="48"/>
      <c r="L13690" s="89"/>
    </row>
    <row r="13691" spans="8:12" x14ac:dyDescent="0.3">
      <c r="H13691" s="49"/>
      <c r="K13691" s="48"/>
      <c r="L13691" s="89"/>
    </row>
    <row r="13692" spans="8:12" x14ac:dyDescent="0.3">
      <c r="H13692" s="49"/>
      <c r="K13692" s="48"/>
      <c r="L13692" s="89"/>
    </row>
    <row r="13693" spans="8:12" x14ac:dyDescent="0.3">
      <c r="H13693" s="49"/>
      <c r="K13693" s="48"/>
      <c r="L13693" s="89"/>
    </row>
    <row r="13694" spans="8:12" x14ac:dyDescent="0.3">
      <c r="H13694" s="49"/>
      <c r="K13694" s="48"/>
      <c r="L13694" s="89"/>
    </row>
    <row r="13695" spans="8:12" x14ac:dyDescent="0.3">
      <c r="H13695" s="49"/>
      <c r="K13695" s="48"/>
      <c r="L13695" s="89"/>
    </row>
    <row r="13696" spans="8:12" x14ac:dyDescent="0.3">
      <c r="H13696" s="49"/>
      <c r="K13696" s="48"/>
      <c r="L13696" s="89"/>
    </row>
    <row r="13697" spans="8:12" x14ac:dyDescent="0.3">
      <c r="H13697" s="49"/>
      <c r="K13697" s="48"/>
      <c r="L13697" s="89"/>
    </row>
    <row r="13698" spans="8:12" x14ac:dyDescent="0.3">
      <c r="H13698" s="49"/>
      <c r="K13698" s="48"/>
      <c r="L13698" s="89"/>
    </row>
    <row r="13699" spans="8:12" x14ac:dyDescent="0.3">
      <c r="H13699" s="49"/>
      <c r="K13699" s="48"/>
      <c r="L13699" s="89"/>
    </row>
    <row r="13700" spans="8:12" x14ac:dyDescent="0.3">
      <c r="H13700" s="49"/>
      <c r="K13700" s="48"/>
      <c r="L13700" s="89"/>
    </row>
    <row r="13701" spans="8:12" x14ac:dyDescent="0.3">
      <c r="H13701" s="49"/>
      <c r="K13701" s="48"/>
      <c r="L13701" s="89"/>
    </row>
    <row r="13702" spans="8:12" x14ac:dyDescent="0.3">
      <c r="H13702" s="49"/>
      <c r="K13702" s="48"/>
      <c r="L13702" s="89"/>
    </row>
    <row r="13703" spans="8:12" x14ac:dyDescent="0.3">
      <c r="H13703" s="49"/>
      <c r="K13703" s="48"/>
      <c r="L13703" s="89"/>
    </row>
    <row r="13704" spans="8:12" x14ac:dyDescent="0.3">
      <c r="H13704" s="49"/>
      <c r="K13704" s="48"/>
      <c r="L13704" s="89"/>
    </row>
    <row r="13705" spans="8:12" x14ac:dyDescent="0.3">
      <c r="H13705" s="49"/>
      <c r="K13705" s="48"/>
      <c r="L13705" s="89"/>
    </row>
    <row r="13706" spans="8:12" x14ac:dyDescent="0.3">
      <c r="H13706" s="49"/>
      <c r="K13706" s="48"/>
      <c r="L13706" s="89"/>
    </row>
    <row r="13707" spans="8:12" x14ac:dyDescent="0.3">
      <c r="H13707" s="49"/>
      <c r="K13707" s="48"/>
      <c r="L13707" s="89"/>
    </row>
    <row r="13708" spans="8:12" x14ac:dyDescent="0.3">
      <c r="H13708" s="49"/>
      <c r="K13708" s="48"/>
      <c r="L13708" s="89"/>
    </row>
    <row r="13709" spans="8:12" x14ac:dyDescent="0.3">
      <c r="H13709" s="49"/>
      <c r="K13709" s="48"/>
      <c r="L13709" s="89"/>
    </row>
    <row r="13710" spans="8:12" x14ac:dyDescent="0.3">
      <c r="H13710" s="49"/>
      <c r="K13710" s="48"/>
      <c r="L13710" s="89"/>
    </row>
    <row r="13711" spans="8:12" x14ac:dyDescent="0.3">
      <c r="H13711" s="49"/>
      <c r="K13711" s="48"/>
      <c r="L13711" s="89"/>
    </row>
    <row r="13712" spans="8:12" x14ac:dyDescent="0.3">
      <c r="H13712" s="49"/>
      <c r="K13712" s="48"/>
      <c r="L13712" s="89"/>
    </row>
    <row r="13713" spans="8:12" x14ac:dyDescent="0.3">
      <c r="H13713" s="49"/>
      <c r="K13713" s="48"/>
      <c r="L13713" s="89"/>
    </row>
    <row r="13714" spans="8:12" x14ac:dyDescent="0.3">
      <c r="H13714" s="49"/>
      <c r="K13714" s="48"/>
      <c r="L13714" s="89"/>
    </row>
    <row r="13715" spans="8:12" x14ac:dyDescent="0.3">
      <c r="H13715" s="49"/>
      <c r="K13715" s="48"/>
      <c r="L13715" s="89"/>
    </row>
    <row r="13716" spans="8:12" x14ac:dyDescent="0.3">
      <c r="H13716" s="49"/>
      <c r="K13716" s="48"/>
      <c r="L13716" s="89"/>
    </row>
    <row r="13717" spans="8:12" x14ac:dyDescent="0.3">
      <c r="H13717" s="49"/>
      <c r="K13717" s="48"/>
      <c r="L13717" s="89"/>
    </row>
    <row r="13718" spans="8:12" x14ac:dyDescent="0.3">
      <c r="H13718" s="49"/>
      <c r="K13718" s="48"/>
      <c r="L13718" s="89"/>
    </row>
    <row r="13719" spans="8:12" x14ac:dyDescent="0.3">
      <c r="H13719" s="49"/>
      <c r="K13719" s="48"/>
      <c r="L13719" s="89"/>
    </row>
    <row r="13720" spans="8:12" x14ac:dyDescent="0.3">
      <c r="H13720" s="49"/>
      <c r="K13720" s="48"/>
      <c r="L13720" s="89"/>
    </row>
    <row r="13721" spans="8:12" x14ac:dyDescent="0.3">
      <c r="H13721" s="49"/>
      <c r="K13721" s="48"/>
      <c r="L13721" s="89"/>
    </row>
    <row r="13722" spans="8:12" x14ac:dyDescent="0.3">
      <c r="H13722" s="49"/>
      <c r="K13722" s="48"/>
      <c r="L13722" s="89"/>
    </row>
    <row r="13723" spans="8:12" x14ac:dyDescent="0.3">
      <c r="H13723" s="49"/>
      <c r="K13723" s="48"/>
      <c r="L13723" s="89"/>
    </row>
    <row r="13724" spans="8:12" x14ac:dyDescent="0.3">
      <c r="H13724" s="49"/>
      <c r="K13724" s="48"/>
      <c r="L13724" s="89"/>
    </row>
    <row r="13725" spans="8:12" x14ac:dyDescent="0.3">
      <c r="H13725" s="49"/>
      <c r="K13725" s="48"/>
      <c r="L13725" s="89"/>
    </row>
    <row r="13726" spans="8:12" x14ac:dyDescent="0.3">
      <c r="H13726" s="49"/>
      <c r="K13726" s="48"/>
      <c r="L13726" s="89"/>
    </row>
    <row r="13727" spans="8:12" x14ac:dyDescent="0.3">
      <c r="H13727" s="49"/>
      <c r="K13727" s="48"/>
      <c r="L13727" s="89"/>
    </row>
    <row r="13728" spans="8:12" x14ac:dyDescent="0.3">
      <c r="H13728" s="49"/>
      <c r="K13728" s="48"/>
      <c r="L13728" s="89"/>
    </row>
    <row r="13729" spans="8:12" x14ac:dyDescent="0.3">
      <c r="H13729" s="49"/>
      <c r="K13729" s="48"/>
      <c r="L13729" s="89"/>
    </row>
    <row r="13730" spans="8:12" x14ac:dyDescent="0.3">
      <c r="H13730" s="49"/>
      <c r="K13730" s="48"/>
      <c r="L13730" s="89"/>
    </row>
    <row r="13731" spans="8:12" x14ac:dyDescent="0.3">
      <c r="H13731" s="49"/>
      <c r="K13731" s="48"/>
      <c r="L13731" s="89"/>
    </row>
    <row r="13732" spans="8:12" x14ac:dyDescent="0.3">
      <c r="H13732" s="49"/>
      <c r="K13732" s="48"/>
      <c r="L13732" s="89"/>
    </row>
    <row r="13733" spans="8:12" x14ac:dyDescent="0.3">
      <c r="H13733" s="49"/>
      <c r="K13733" s="48"/>
      <c r="L13733" s="89"/>
    </row>
    <row r="13734" spans="8:12" x14ac:dyDescent="0.3">
      <c r="H13734" s="49"/>
      <c r="K13734" s="48"/>
      <c r="L13734" s="89"/>
    </row>
    <row r="13735" spans="8:12" x14ac:dyDescent="0.3">
      <c r="H13735" s="49"/>
      <c r="K13735" s="48"/>
      <c r="L13735" s="89"/>
    </row>
    <row r="13736" spans="8:12" x14ac:dyDescent="0.3">
      <c r="H13736" s="49"/>
      <c r="K13736" s="48"/>
      <c r="L13736" s="89"/>
    </row>
    <row r="13737" spans="8:12" x14ac:dyDescent="0.3">
      <c r="H13737" s="49"/>
      <c r="K13737" s="48"/>
      <c r="L13737" s="89"/>
    </row>
    <row r="13738" spans="8:12" x14ac:dyDescent="0.3">
      <c r="H13738" s="49"/>
      <c r="K13738" s="48"/>
      <c r="L13738" s="89"/>
    </row>
    <row r="13739" spans="8:12" x14ac:dyDescent="0.3">
      <c r="H13739" s="49"/>
      <c r="K13739" s="48"/>
      <c r="L13739" s="89"/>
    </row>
    <row r="13740" spans="8:12" x14ac:dyDescent="0.3">
      <c r="H13740" s="49"/>
      <c r="K13740" s="48"/>
      <c r="L13740" s="89"/>
    </row>
    <row r="13741" spans="8:12" x14ac:dyDescent="0.3">
      <c r="H13741" s="49"/>
      <c r="K13741" s="48"/>
      <c r="L13741" s="89"/>
    </row>
    <row r="13742" spans="8:12" x14ac:dyDescent="0.3">
      <c r="H13742" s="49"/>
      <c r="K13742" s="48"/>
      <c r="L13742" s="89"/>
    </row>
    <row r="13743" spans="8:12" x14ac:dyDescent="0.3">
      <c r="H13743" s="49"/>
      <c r="K13743" s="48"/>
      <c r="L13743" s="89"/>
    </row>
    <row r="13744" spans="8:12" x14ac:dyDescent="0.3">
      <c r="H13744" s="49"/>
      <c r="K13744" s="48"/>
      <c r="L13744" s="89"/>
    </row>
    <row r="13745" spans="8:12" x14ac:dyDescent="0.3">
      <c r="H13745" s="49"/>
      <c r="K13745" s="48"/>
      <c r="L13745" s="89"/>
    </row>
    <row r="13746" spans="8:12" x14ac:dyDescent="0.3">
      <c r="H13746" s="49"/>
      <c r="K13746" s="48"/>
      <c r="L13746" s="89"/>
    </row>
    <row r="13747" spans="8:12" x14ac:dyDescent="0.3">
      <c r="H13747" s="49"/>
      <c r="K13747" s="48"/>
      <c r="L13747" s="89"/>
    </row>
    <row r="13748" spans="8:12" x14ac:dyDescent="0.3">
      <c r="H13748" s="49"/>
      <c r="K13748" s="48"/>
      <c r="L13748" s="89"/>
    </row>
    <row r="13749" spans="8:12" x14ac:dyDescent="0.3">
      <c r="H13749" s="49"/>
      <c r="K13749" s="48"/>
      <c r="L13749" s="89"/>
    </row>
    <row r="13750" spans="8:12" x14ac:dyDescent="0.3">
      <c r="H13750" s="49"/>
      <c r="K13750" s="48"/>
      <c r="L13750" s="89"/>
    </row>
    <row r="13751" spans="8:12" x14ac:dyDescent="0.3">
      <c r="H13751" s="49"/>
      <c r="K13751" s="48"/>
      <c r="L13751" s="89"/>
    </row>
    <row r="13752" spans="8:12" x14ac:dyDescent="0.3">
      <c r="H13752" s="49"/>
      <c r="K13752" s="48"/>
      <c r="L13752" s="89"/>
    </row>
    <row r="13753" spans="8:12" x14ac:dyDescent="0.3">
      <c r="H13753" s="49"/>
      <c r="K13753" s="48"/>
      <c r="L13753" s="89"/>
    </row>
    <row r="13754" spans="8:12" x14ac:dyDescent="0.3">
      <c r="H13754" s="49"/>
      <c r="K13754" s="48"/>
      <c r="L13754" s="89"/>
    </row>
    <row r="13755" spans="8:12" x14ac:dyDescent="0.3">
      <c r="H13755" s="49"/>
      <c r="K13755" s="48"/>
      <c r="L13755" s="89"/>
    </row>
    <row r="13756" spans="8:12" x14ac:dyDescent="0.3">
      <c r="H13756" s="49"/>
      <c r="K13756" s="48"/>
      <c r="L13756" s="89"/>
    </row>
    <row r="13757" spans="8:12" x14ac:dyDescent="0.3">
      <c r="H13757" s="49"/>
      <c r="K13757" s="48"/>
      <c r="L13757" s="89"/>
    </row>
    <row r="13758" spans="8:12" x14ac:dyDescent="0.3">
      <c r="H13758" s="49"/>
      <c r="K13758" s="48"/>
      <c r="L13758" s="89"/>
    </row>
    <row r="13759" spans="8:12" x14ac:dyDescent="0.3">
      <c r="H13759" s="49"/>
      <c r="K13759" s="48"/>
      <c r="L13759" s="89"/>
    </row>
    <row r="13760" spans="8:12" x14ac:dyDescent="0.3">
      <c r="H13760" s="49"/>
      <c r="K13760" s="48"/>
      <c r="L13760" s="89"/>
    </row>
    <row r="13761" spans="8:12" x14ac:dyDescent="0.3">
      <c r="H13761" s="49"/>
      <c r="K13761" s="48"/>
      <c r="L13761" s="89"/>
    </row>
    <row r="13762" spans="8:12" x14ac:dyDescent="0.3">
      <c r="H13762" s="49"/>
      <c r="K13762" s="48"/>
      <c r="L13762" s="89"/>
    </row>
    <row r="13763" spans="8:12" x14ac:dyDescent="0.3">
      <c r="H13763" s="49"/>
      <c r="K13763" s="48"/>
      <c r="L13763" s="89"/>
    </row>
    <row r="13764" spans="8:12" x14ac:dyDescent="0.3">
      <c r="H13764" s="49"/>
      <c r="K13764" s="48"/>
      <c r="L13764" s="89"/>
    </row>
    <row r="13765" spans="8:12" x14ac:dyDescent="0.3">
      <c r="H13765" s="49"/>
      <c r="K13765" s="48"/>
      <c r="L13765" s="89"/>
    </row>
    <row r="13766" spans="8:12" x14ac:dyDescent="0.3">
      <c r="H13766" s="49"/>
      <c r="K13766" s="48"/>
      <c r="L13766" s="89"/>
    </row>
    <row r="13767" spans="8:12" x14ac:dyDescent="0.3">
      <c r="H13767" s="49"/>
      <c r="K13767" s="48"/>
      <c r="L13767" s="89"/>
    </row>
    <row r="13768" spans="8:12" x14ac:dyDescent="0.3">
      <c r="H13768" s="49"/>
      <c r="K13768" s="48"/>
      <c r="L13768" s="89"/>
    </row>
    <row r="13769" spans="8:12" x14ac:dyDescent="0.3">
      <c r="H13769" s="49"/>
      <c r="K13769" s="48"/>
      <c r="L13769" s="89"/>
    </row>
    <row r="13770" spans="8:12" x14ac:dyDescent="0.3">
      <c r="H13770" s="49"/>
      <c r="K13770" s="48"/>
      <c r="L13770" s="89"/>
    </row>
    <row r="13771" spans="8:12" x14ac:dyDescent="0.3">
      <c r="H13771" s="49"/>
      <c r="K13771" s="48"/>
      <c r="L13771" s="89"/>
    </row>
    <row r="13772" spans="8:12" x14ac:dyDescent="0.3">
      <c r="H13772" s="49"/>
      <c r="K13772" s="48"/>
      <c r="L13772" s="89"/>
    </row>
    <row r="13773" spans="8:12" x14ac:dyDescent="0.3">
      <c r="H13773" s="49"/>
      <c r="K13773" s="48"/>
      <c r="L13773" s="89"/>
    </row>
    <row r="13774" spans="8:12" x14ac:dyDescent="0.3">
      <c r="H13774" s="49"/>
      <c r="K13774" s="48"/>
      <c r="L13774" s="89"/>
    </row>
    <row r="13775" spans="8:12" x14ac:dyDescent="0.3">
      <c r="H13775" s="49"/>
      <c r="K13775" s="48"/>
      <c r="L13775" s="89"/>
    </row>
    <row r="13776" spans="8:12" x14ac:dyDescent="0.3">
      <c r="H13776" s="49"/>
      <c r="K13776" s="48"/>
      <c r="L13776" s="89"/>
    </row>
    <row r="13777" spans="8:12" x14ac:dyDescent="0.3">
      <c r="H13777" s="49"/>
      <c r="K13777" s="48"/>
      <c r="L13777" s="89"/>
    </row>
    <row r="13778" spans="8:12" x14ac:dyDescent="0.3">
      <c r="H13778" s="49"/>
      <c r="K13778" s="48"/>
      <c r="L13778" s="89"/>
    </row>
    <row r="13779" spans="8:12" x14ac:dyDescent="0.3">
      <c r="H13779" s="49"/>
      <c r="K13779" s="48"/>
      <c r="L13779" s="89"/>
    </row>
    <row r="13780" spans="8:12" x14ac:dyDescent="0.3">
      <c r="H13780" s="49"/>
      <c r="K13780" s="48"/>
      <c r="L13780" s="89"/>
    </row>
    <row r="13781" spans="8:12" x14ac:dyDescent="0.3">
      <c r="H13781" s="49"/>
      <c r="K13781" s="48"/>
      <c r="L13781" s="89"/>
    </row>
    <row r="13782" spans="8:12" x14ac:dyDescent="0.3">
      <c r="H13782" s="49"/>
      <c r="K13782" s="48"/>
      <c r="L13782" s="89"/>
    </row>
    <row r="13783" spans="8:12" x14ac:dyDescent="0.3">
      <c r="H13783" s="49"/>
      <c r="K13783" s="48"/>
      <c r="L13783" s="89"/>
    </row>
    <row r="13784" spans="8:12" x14ac:dyDescent="0.3">
      <c r="H13784" s="49"/>
      <c r="K13784" s="48"/>
      <c r="L13784" s="89"/>
    </row>
    <row r="13785" spans="8:12" x14ac:dyDescent="0.3">
      <c r="H13785" s="49"/>
      <c r="K13785" s="48"/>
      <c r="L13785" s="89"/>
    </row>
    <row r="13786" spans="8:12" x14ac:dyDescent="0.3">
      <c r="H13786" s="49"/>
      <c r="K13786" s="48"/>
      <c r="L13786" s="89"/>
    </row>
    <row r="13787" spans="8:12" x14ac:dyDescent="0.3">
      <c r="H13787" s="49"/>
      <c r="K13787" s="48"/>
      <c r="L13787" s="89"/>
    </row>
    <row r="13788" spans="8:12" x14ac:dyDescent="0.3">
      <c r="H13788" s="49"/>
      <c r="K13788" s="48"/>
      <c r="L13788" s="89"/>
    </row>
    <row r="13789" spans="8:12" x14ac:dyDescent="0.3">
      <c r="H13789" s="49"/>
      <c r="K13789" s="48"/>
      <c r="L13789" s="89"/>
    </row>
    <row r="13790" spans="8:12" x14ac:dyDescent="0.3">
      <c r="H13790" s="49"/>
      <c r="K13790" s="48"/>
      <c r="L13790" s="89"/>
    </row>
    <row r="13791" spans="8:12" x14ac:dyDescent="0.3">
      <c r="H13791" s="49"/>
      <c r="K13791" s="48"/>
      <c r="L13791" s="89"/>
    </row>
    <row r="13792" spans="8:12" x14ac:dyDescent="0.3">
      <c r="H13792" s="49"/>
      <c r="K13792" s="48"/>
      <c r="L13792" s="89"/>
    </row>
    <row r="13793" spans="8:12" x14ac:dyDescent="0.3">
      <c r="H13793" s="49"/>
      <c r="K13793" s="48"/>
      <c r="L13793" s="89"/>
    </row>
    <row r="13794" spans="8:12" x14ac:dyDescent="0.3">
      <c r="H13794" s="49"/>
      <c r="K13794" s="48"/>
      <c r="L13794" s="89"/>
    </row>
    <row r="13795" spans="8:12" x14ac:dyDescent="0.3">
      <c r="H13795" s="49"/>
      <c r="K13795" s="48"/>
      <c r="L13795" s="89"/>
    </row>
    <row r="13796" spans="8:12" x14ac:dyDescent="0.3">
      <c r="H13796" s="49"/>
      <c r="K13796" s="48"/>
      <c r="L13796" s="89"/>
    </row>
    <row r="13797" spans="8:12" x14ac:dyDescent="0.3">
      <c r="H13797" s="49"/>
      <c r="K13797" s="48"/>
      <c r="L13797" s="89"/>
    </row>
    <row r="13798" spans="8:12" x14ac:dyDescent="0.3">
      <c r="H13798" s="49"/>
      <c r="K13798" s="48"/>
      <c r="L13798" s="89"/>
    </row>
    <row r="13799" spans="8:12" x14ac:dyDescent="0.3">
      <c r="H13799" s="49"/>
      <c r="K13799" s="48"/>
      <c r="L13799" s="89"/>
    </row>
    <row r="13800" spans="8:12" x14ac:dyDescent="0.3">
      <c r="H13800" s="49"/>
      <c r="K13800" s="48"/>
      <c r="L13800" s="89"/>
    </row>
    <row r="13801" spans="8:12" x14ac:dyDescent="0.3">
      <c r="H13801" s="49"/>
      <c r="K13801" s="48"/>
      <c r="L13801" s="89"/>
    </row>
    <row r="13802" spans="8:12" x14ac:dyDescent="0.3">
      <c r="H13802" s="49"/>
      <c r="K13802" s="48"/>
      <c r="L13802" s="89"/>
    </row>
    <row r="13803" spans="8:12" x14ac:dyDescent="0.3">
      <c r="H13803" s="49"/>
      <c r="K13803" s="48"/>
      <c r="L13803" s="89"/>
    </row>
    <row r="13804" spans="8:12" x14ac:dyDescent="0.3">
      <c r="H13804" s="49"/>
      <c r="K13804" s="48"/>
      <c r="L13804" s="89"/>
    </row>
    <row r="13805" spans="8:12" x14ac:dyDescent="0.3">
      <c r="H13805" s="49"/>
      <c r="K13805" s="48"/>
      <c r="L13805" s="89"/>
    </row>
    <row r="13806" spans="8:12" x14ac:dyDescent="0.3">
      <c r="H13806" s="49"/>
      <c r="K13806" s="48"/>
      <c r="L13806" s="89"/>
    </row>
    <row r="13807" spans="8:12" x14ac:dyDescent="0.3">
      <c r="H13807" s="49"/>
      <c r="K13807" s="48"/>
      <c r="L13807" s="89"/>
    </row>
    <row r="13808" spans="8:12" x14ac:dyDescent="0.3">
      <c r="H13808" s="49"/>
      <c r="K13808" s="48"/>
      <c r="L13808" s="89"/>
    </row>
    <row r="13809" spans="8:12" x14ac:dyDescent="0.3">
      <c r="H13809" s="49"/>
      <c r="K13809" s="48"/>
      <c r="L13809" s="89"/>
    </row>
    <row r="13810" spans="8:12" x14ac:dyDescent="0.3">
      <c r="H13810" s="49"/>
      <c r="K13810" s="48"/>
      <c r="L13810" s="89"/>
    </row>
    <row r="13811" spans="8:12" x14ac:dyDescent="0.3">
      <c r="H13811" s="49"/>
      <c r="K13811" s="48"/>
      <c r="L13811" s="89"/>
    </row>
    <row r="13812" spans="8:12" x14ac:dyDescent="0.3">
      <c r="H13812" s="49"/>
      <c r="K13812" s="48"/>
      <c r="L13812" s="89"/>
    </row>
    <row r="13813" spans="8:12" x14ac:dyDescent="0.3">
      <c r="H13813" s="49"/>
      <c r="K13813" s="48"/>
      <c r="L13813" s="89"/>
    </row>
    <row r="13814" spans="8:12" x14ac:dyDescent="0.3">
      <c r="H13814" s="49"/>
      <c r="K13814" s="48"/>
      <c r="L13814" s="89"/>
    </row>
    <row r="13815" spans="8:12" x14ac:dyDescent="0.3">
      <c r="H13815" s="49"/>
      <c r="K13815" s="48"/>
      <c r="L13815" s="89"/>
    </row>
    <row r="13816" spans="8:12" x14ac:dyDescent="0.3">
      <c r="H13816" s="49"/>
      <c r="K13816" s="48"/>
      <c r="L13816" s="89"/>
    </row>
    <row r="13817" spans="8:12" x14ac:dyDescent="0.3">
      <c r="H13817" s="49"/>
      <c r="K13817" s="48"/>
      <c r="L13817" s="89"/>
    </row>
    <row r="13818" spans="8:12" x14ac:dyDescent="0.3">
      <c r="H13818" s="49"/>
      <c r="K13818" s="48"/>
      <c r="L13818" s="89"/>
    </row>
    <row r="13819" spans="8:12" x14ac:dyDescent="0.3">
      <c r="H13819" s="49"/>
      <c r="K13819" s="48"/>
      <c r="L13819" s="89"/>
    </row>
    <row r="13820" spans="8:12" x14ac:dyDescent="0.3">
      <c r="H13820" s="49"/>
      <c r="K13820" s="48"/>
      <c r="L13820" s="89"/>
    </row>
    <row r="13821" spans="8:12" x14ac:dyDescent="0.3">
      <c r="H13821" s="49"/>
      <c r="K13821" s="48"/>
      <c r="L13821" s="89"/>
    </row>
    <row r="13822" spans="8:12" x14ac:dyDescent="0.3">
      <c r="H13822" s="49"/>
      <c r="K13822" s="48"/>
      <c r="L13822" s="89"/>
    </row>
    <row r="13823" spans="8:12" x14ac:dyDescent="0.3">
      <c r="H13823" s="49"/>
      <c r="K13823" s="48"/>
      <c r="L13823" s="89"/>
    </row>
    <row r="13824" spans="8:12" x14ac:dyDescent="0.3">
      <c r="H13824" s="49"/>
      <c r="K13824" s="48"/>
      <c r="L13824" s="89"/>
    </row>
    <row r="13825" spans="8:12" x14ac:dyDescent="0.3">
      <c r="H13825" s="49"/>
      <c r="K13825" s="48"/>
      <c r="L13825" s="89"/>
    </row>
    <row r="13826" spans="8:12" x14ac:dyDescent="0.3">
      <c r="H13826" s="49"/>
      <c r="K13826" s="48"/>
      <c r="L13826" s="89"/>
    </row>
    <row r="13827" spans="8:12" x14ac:dyDescent="0.3">
      <c r="H13827" s="49"/>
      <c r="K13827" s="48"/>
      <c r="L13827" s="89"/>
    </row>
    <row r="13828" spans="8:12" x14ac:dyDescent="0.3">
      <c r="H13828" s="49"/>
      <c r="K13828" s="48"/>
      <c r="L13828" s="89"/>
    </row>
    <row r="13829" spans="8:12" x14ac:dyDescent="0.3">
      <c r="H13829" s="49"/>
      <c r="K13829" s="48"/>
      <c r="L13829" s="89"/>
    </row>
    <row r="13830" spans="8:12" x14ac:dyDescent="0.3">
      <c r="H13830" s="49"/>
      <c r="K13830" s="48"/>
      <c r="L13830" s="89"/>
    </row>
    <row r="13831" spans="8:12" x14ac:dyDescent="0.3">
      <c r="H13831" s="49"/>
      <c r="K13831" s="48"/>
      <c r="L13831" s="89"/>
    </row>
    <row r="13832" spans="8:12" x14ac:dyDescent="0.3">
      <c r="H13832" s="49"/>
      <c r="K13832" s="48"/>
      <c r="L13832" s="89"/>
    </row>
    <row r="13833" spans="8:12" x14ac:dyDescent="0.3">
      <c r="H13833" s="49"/>
      <c r="K13833" s="48"/>
      <c r="L13833" s="89"/>
    </row>
    <row r="13834" spans="8:12" x14ac:dyDescent="0.3">
      <c r="H13834" s="49"/>
      <c r="K13834" s="48"/>
      <c r="L13834" s="89"/>
    </row>
    <row r="13835" spans="8:12" x14ac:dyDescent="0.3">
      <c r="H13835" s="49"/>
      <c r="K13835" s="48"/>
      <c r="L13835" s="89"/>
    </row>
    <row r="13836" spans="8:12" x14ac:dyDescent="0.3">
      <c r="H13836" s="49"/>
      <c r="K13836" s="48"/>
      <c r="L13836" s="89"/>
    </row>
    <row r="13837" spans="8:12" x14ac:dyDescent="0.3">
      <c r="H13837" s="49"/>
      <c r="K13837" s="48"/>
      <c r="L13837" s="89"/>
    </row>
    <row r="13838" spans="8:12" x14ac:dyDescent="0.3">
      <c r="H13838" s="49"/>
      <c r="K13838" s="48"/>
      <c r="L13838" s="89"/>
    </row>
    <row r="13839" spans="8:12" x14ac:dyDescent="0.3">
      <c r="H13839" s="49"/>
      <c r="K13839" s="48"/>
      <c r="L13839" s="89"/>
    </row>
    <row r="13840" spans="8:12" x14ac:dyDescent="0.3">
      <c r="H13840" s="49"/>
      <c r="K13840" s="48"/>
      <c r="L13840" s="89"/>
    </row>
    <row r="13841" spans="8:12" x14ac:dyDescent="0.3">
      <c r="H13841" s="49"/>
      <c r="K13841" s="48"/>
      <c r="L13841" s="89"/>
    </row>
    <row r="13842" spans="8:12" x14ac:dyDescent="0.3">
      <c r="H13842" s="49"/>
      <c r="K13842" s="48"/>
      <c r="L13842" s="89"/>
    </row>
    <row r="13843" spans="8:12" x14ac:dyDescent="0.3">
      <c r="H13843" s="49"/>
      <c r="K13843" s="48"/>
      <c r="L13843" s="89"/>
    </row>
    <row r="13844" spans="8:12" x14ac:dyDescent="0.3">
      <c r="H13844" s="49"/>
      <c r="K13844" s="48"/>
      <c r="L13844" s="89"/>
    </row>
    <row r="13845" spans="8:12" x14ac:dyDescent="0.3">
      <c r="H13845" s="49"/>
      <c r="K13845" s="48"/>
      <c r="L13845" s="89"/>
    </row>
    <row r="13846" spans="8:12" x14ac:dyDescent="0.3">
      <c r="H13846" s="49"/>
      <c r="K13846" s="48"/>
      <c r="L13846" s="89"/>
    </row>
    <row r="13847" spans="8:12" x14ac:dyDescent="0.3">
      <c r="H13847" s="49"/>
      <c r="K13847" s="48"/>
      <c r="L13847" s="89"/>
    </row>
    <row r="13848" spans="8:12" x14ac:dyDescent="0.3">
      <c r="H13848" s="49"/>
      <c r="K13848" s="48"/>
      <c r="L13848" s="89"/>
    </row>
    <row r="13849" spans="8:12" x14ac:dyDescent="0.3">
      <c r="H13849" s="49"/>
      <c r="K13849" s="48"/>
      <c r="L13849" s="89"/>
    </row>
    <row r="13850" spans="8:12" x14ac:dyDescent="0.3">
      <c r="H13850" s="49"/>
      <c r="K13850" s="48"/>
      <c r="L13850" s="89"/>
    </row>
    <row r="13851" spans="8:12" x14ac:dyDescent="0.3">
      <c r="H13851" s="49"/>
      <c r="K13851" s="48"/>
      <c r="L13851" s="89"/>
    </row>
    <row r="13852" spans="8:12" x14ac:dyDescent="0.3">
      <c r="H13852" s="49"/>
      <c r="K13852" s="48"/>
      <c r="L13852" s="89"/>
    </row>
    <row r="13853" spans="8:12" x14ac:dyDescent="0.3">
      <c r="H13853" s="49"/>
      <c r="K13853" s="48"/>
      <c r="L13853" s="89"/>
    </row>
    <row r="13854" spans="8:12" x14ac:dyDescent="0.3">
      <c r="H13854" s="49"/>
      <c r="K13854" s="48"/>
      <c r="L13854" s="89"/>
    </row>
    <row r="13855" spans="8:12" x14ac:dyDescent="0.3">
      <c r="H13855" s="49"/>
      <c r="K13855" s="48"/>
      <c r="L13855" s="89"/>
    </row>
    <row r="13856" spans="8:12" x14ac:dyDescent="0.3">
      <c r="H13856" s="49"/>
      <c r="K13856" s="48"/>
      <c r="L13856" s="89"/>
    </row>
    <row r="13857" spans="8:12" x14ac:dyDescent="0.3">
      <c r="H13857" s="49"/>
      <c r="K13857" s="48"/>
      <c r="L13857" s="89"/>
    </row>
    <row r="13858" spans="8:12" x14ac:dyDescent="0.3">
      <c r="H13858" s="49"/>
      <c r="K13858" s="48"/>
      <c r="L13858" s="89"/>
    </row>
    <row r="13859" spans="8:12" x14ac:dyDescent="0.3">
      <c r="H13859" s="49"/>
      <c r="K13859" s="48"/>
      <c r="L13859" s="89"/>
    </row>
    <row r="13860" spans="8:12" x14ac:dyDescent="0.3">
      <c r="H13860" s="49"/>
      <c r="K13860" s="48"/>
      <c r="L13860" s="89"/>
    </row>
    <row r="13861" spans="8:12" x14ac:dyDescent="0.3">
      <c r="H13861" s="49"/>
      <c r="K13861" s="48"/>
      <c r="L13861" s="89"/>
    </row>
    <row r="13862" spans="8:12" x14ac:dyDescent="0.3">
      <c r="H13862" s="49"/>
      <c r="K13862" s="48"/>
      <c r="L13862" s="89"/>
    </row>
    <row r="13863" spans="8:12" x14ac:dyDescent="0.3">
      <c r="H13863" s="49"/>
      <c r="K13863" s="48"/>
      <c r="L13863" s="89"/>
    </row>
    <row r="13864" spans="8:12" x14ac:dyDescent="0.3">
      <c r="H13864" s="49"/>
      <c r="K13864" s="48"/>
      <c r="L13864" s="89"/>
    </row>
    <row r="13865" spans="8:12" x14ac:dyDescent="0.3">
      <c r="H13865" s="49"/>
      <c r="K13865" s="48"/>
      <c r="L13865" s="89"/>
    </row>
    <row r="13866" spans="8:12" x14ac:dyDescent="0.3">
      <c r="H13866" s="49"/>
      <c r="K13866" s="48"/>
      <c r="L13866" s="89"/>
    </row>
    <row r="13867" spans="8:12" x14ac:dyDescent="0.3">
      <c r="H13867" s="49"/>
      <c r="K13867" s="48"/>
      <c r="L13867" s="89"/>
    </row>
    <row r="13868" spans="8:12" x14ac:dyDescent="0.3">
      <c r="H13868" s="49"/>
      <c r="K13868" s="48"/>
      <c r="L13868" s="89"/>
    </row>
    <row r="13869" spans="8:12" x14ac:dyDescent="0.3">
      <c r="H13869" s="49"/>
      <c r="K13869" s="48"/>
      <c r="L13869" s="89"/>
    </row>
    <row r="13870" spans="8:12" x14ac:dyDescent="0.3">
      <c r="H13870" s="49"/>
      <c r="K13870" s="48"/>
      <c r="L13870" s="89"/>
    </row>
    <row r="13871" spans="8:12" x14ac:dyDescent="0.3">
      <c r="H13871" s="49"/>
      <c r="K13871" s="48"/>
      <c r="L13871" s="89"/>
    </row>
    <row r="13872" spans="8:12" x14ac:dyDescent="0.3">
      <c r="H13872" s="49"/>
      <c r="K13872" s="48"/>
      <c r="L13872" s="89"/>
    </row>
    <row r="13873" spans="8:12" x14ac:dyDescent="0.3">
      <c r="H13873" s="49"/>
      <c r="K13873" s="48"/>
      <c r="L13873" s="89"/>
    </row>
    <row r="13874" spans="8:12" x14ac:dyDescent="0.3">
      <c r="H13874" s="49"/>
      <c r="K13874" s="48"/>
      <c r="L13874" s="89"/>
    </row>
    <row r="13875" spans="8:12" x14ac:dyDescent="0.3">
      <c r="H13875" s="49"/>
      <c r="K13875" s="48"/>
      <c r="L13875" s="89"/>
    </row>
    <row r="13876" spans="8:12" x14ac:dyDescent="0.3">
      <c r="H13876" s="49"/>
      <c r="K13876" s="48"/>
      <c r="L13876" s="89"/>
    </row>
    <row r="13877" spans="8:12" x14ac:dyDescent="0.3">
      <c r="H13877" s="49"/>
      <c r="K13877" s="48"/>
      <c r="L13877" s="89"/>
    </row>
    <row r="13878" spans="8:12" x14ac:dyDescent="0.3">
      <c r="H13878" s="49"/>
      <c r="K13878" s="48"/>
      <c r="L13878" s="89"/>
    </row>
    <row r="13879" spans="8:12" x14ac:dyDescent="0.3">
      <c r="H13879" s="49"/>
      <c r="K13879" s="48"/>
      <c r="L13879" s="89"/>
    </row>
    <row r="13880" spans="8:12" x14ac:dyDescent="0.3">
      <c r="H13880" s="49"/>
      <c r="K13880" s="48"/>
      <c r="L13880" s="89"/>
    </row>
    <row r="13881" spans="8:12" x14ac:dyDescent="0.3">
      <c r="H13881" s="49"/>
      <c r="K13881" s="48"/>
      <c r="L13881" s="89"/>
    </row>
    <row r="13882" spans="8:12" x14ac:dyDescent="0.3">
      <c r="H13882" s="49"/>
      <c r="K13882" s="48"/>
      <c r="L13882" s="89"/>
    </row>
    <row r="13883" spans="8:12" x14ac:dyDescent="0.3">
      <c r="H13883" s="49"/>
      <c r="K13883" s="48"/>
      <c r="L13883" s="89"/>
    </row>
    <row r="13884" spans="8:12" x14ac:dyDescent="0.3">
      <c r="H13884" s="49"/>
      <c r="K13884" s="48"/>
      <c r="L13884" s="89"/>
    </row>
    <row r="13885" spans="8:12" x14ac:dyDescent="0.3">
      <c r="H13885" s="49"/>
      <c r="K13885" s="48"/>
      <c r="L13885" s="89"/>
    </row>
    <row r="13886" spans="8:12" x14ac:dyDescent="0.3">
      <c r="H13886" s="49"/>
      <c r="K13886" s="48"/>
      <c r="L13886" s="89"/>
    </row>
    <row r="13887" spans="8:12" x14ac:dyDescent="0.3">
      <c r="H13887" s="49"/>
      <c r="K13887" s="48"/>
      <c r="L13887" s="89"/>
    </row>
    <row r="13888" spans="8:12" x14ac:dyDescent="0.3">
      <c r="H13888" s="49"/>
      <c r="K13888" s="48"/>
      <c r="L13888" s="89"/>
    </row>
    <row r="13889" spans="8:12" x14ac:dyDescent="0.3">
      <c r="H13889" s="49"/>
      <c r="K13889" s="48"/>
      <c r="L13889" s="89"/>
    </row>
    <row r="13890" spans="8:12" x14ac:dyDescent="0.3">
      <c r="H13890" s="49"/>
      <c r="K13890" s="48"/>
      <c r="L13890" s="89"/>
    </row>
    <row r="13891" spans="8:12" x14ac:dyDescent="0.3">
      <c r="H13891" s="49"/>
      <c r="K13891" s="48"/>
      <c r="L13891" s="89"/>
    </row>
    <row r="13892" spans="8:12" x14ac:dyDescent="0.3">
      <c r="H13892" s="49"/>
      <c r="K13892" s="48"/>
      <c r="L13892" s="89"/>
    </row>
    <row r="13893" spans="8:12" x14ac:dyDescent="0.3">
      <c r="H13893" s="49"/>
      <c r="K13893" s="48"/>
      <c r="L13893" s="89"/>
    </row>
    <row r="13894" spans="8:12" x14ac:dyDescent="0.3">
      <c r="H13894" s="49"/>
      <c r="K13894" s="48"/>
      <c r="L13894" s="89"/>
    </row>
    <row r="13895" spans="8:12" x14ac:dyDescent="0.3">
      <c r="H13895" s="49"/>
      <c r="K13895" s="48"/>
      <c r="L13895" s="89"/>
    </row>
    <row r="13896" spans="8:12" x14ac:dyDescent="0.3">
      <c r="H13896" s="49"/>
      <c r="K13896" s="48"/>
      <c r="L13896" s="89"/>
    </row>
    <row r="13897" spans="8:12" x14ac:dyDescent="0.3">
      <c r="H13897" s="49"/>
      <c r="K13897" s="48"/>
      <c r="L13897" s="89"/>
    </row>
    <row r="13898" spans="8:12" x14ac:dyDescent="0.3">
      <c r="H13898" s="49"/>
      <c r="K13898" s="48"/>
      <c r="L13898" s="89"/>
    </row>
    <row r="13899" spans="8:12" x14ac:dyDescent="0.3">
      <c r="H13899" s="49"/>
      <c r="K13899" s="48"/>
      <c r="L13899" s="89"/>
    </row>
    <row r="13900" spans="8:12" x14ac:dyDescent="0.3">
      <c r="H13900" s="49"/>
      <c r="K13900" s="48"/>
      <c r="L13900" s="89"/>
    </row>
    <row r="13901" spans="8:12" x14ac:dyDescent="0.3">
      <c r="H13901" s="49"/>
      <c r="K13901" s="48"/>
      <c r="L13901" s="89"/>
    </row>
    <row r="13902" spans="8:12" x14ac:dyDescent="0.3">
      <c r="H13902" s="49"/>
      <c r="K13902" s="48"/>
      <c r="L13902" s="89"/>
    </row>
    <row r="13903" spans="8:12" x14ac:dyDescent="0.3">
      <c r="H13903" s="49"/>
      <c r="K13903" s="48"/>
      <c r="L13903" s="89"/>
    </row>
    <row r="13904" spans="8:12" x14ac:dyDescent="0.3">
      <c r="H13904" s="49"/>
      <c r="K13904" s="48"/>
      <c r="L13904" s="89"/>
    </row>
    <row r="13905" spans="8:12" x14ac:dyDescent="0.3">
      <c r="H13905" s="49"/>
      <c r="K13905" s="48"/>
      <c r="L13905" s="89"/>
    </row>
    <row r="13906" spans="8:12" x14ac:dyDescent="0.3">
      <c r="H13906" s="49"/>
      <c r="K13906" s="48"/>
      <c r="L13906" s="89"/>
    </row>
    <row r="13907" spans="8:12" x14ac:dyDescent="0.3">
      <c r="H13907" s="49"/>
      <c r="K13907" s="48"/>
      <c r="L13907" s="89"/>
    </row>
    <row r="13908" spans="8:12" x14ac:dyDescent="0.3">
      <c r="H13908" s="49"/>
      <c r="K13908" s="48"/>
      <c r="L13908" s="89"/>
    </row>
    <row r="13909" spans="8:12" x14ac:dyDescent="0.3">
      <c r="H13909" s="49"/>
      <c r="K13909" s="48"/>
      <c r="L13909" s="89"/>
    </row>
    <row r="13910" spans="8:12" x14ac:dyDescent="0.3">
      <c r="H13910" s="49"/>
      <c r="K13910" s="48"/>
      <c r="L13910" s="89"/>
    </row>
    <row r="13911" spans="8:12" x14ac:dyDescent="0.3">
      <c r="H13911" s="49"/>
      <c r="K13911" s="48"/>
      <c r="L13911" s="89"/>
    </row>
    <row r="13912" spans="8:12" x14ac:dyDescent="0.3">
      <c r="H13912" s="49"/>
      <c r="K13912" s="48"/>
      <c r="L13912" s="89"/>
    </row>
    <row r="13913" spans="8:12" x14ac:dyDescent="0.3">
      <c r="H13913" s="49"/>
      <c r="K13913" s="48"/>
      <c r="L13913" s="89"/>
    </row>
    <row r="13914" spans="8:12" x14ac:dyDescent="0.3">
      <c r="H13914" s="49"/>
      <c r="K13914" s="48"/>
      <c r="L13914" s="89"/>
    </row>
    <row r="13915" spans="8:12" x14ac:dyDescent="0.3">
      <c r="H13915" s="49"/>
      <c r="K13915" s="48"/>
      <c r="L13915" s="89"/>
    </row>
    <row r="13916" spans="8:12" x14ac:dyDescent="0.3">
      <c r="H13916" s="49"/>
      <c r="K13916" s="48"/>
      <c r="L13916" s="89"/>
    </row>
    <row r="13917" spans="8:12" x14ac:dyDescent="0.3">
      <c r="H13917" s="49"/>
      <c r="K13917" s="48"/>
      <c r="L13917" s="89"/>
    </row>
    <row r="13918" spans="8:12" x14ac:dyDescent="0.3">
      <c r="H13918" s="49"/>
      <c r="K13918" s="48"/>
      <c r="L13918" s="89"/>
    </row>
    <row r="13919" spans="8:12" x14ac:dyDescent="0.3">
      <c r="H13919" s="49"/>
      <c r="K13919" s="48"/>
      <c r="L13919" s="89"/>
    </row>
    <row r="13920" spans="8:12" x14ac:dyDescent="0.3">
      <c r="H13920" s="49"/>
      <c r="K13920" s="48"/>
      <c r="L13920" s="89"/>
    </row>
    <row r="13921" spans="8:12" x14ac:dyDescent="0.3">
      <c r="H13921" s="49"/>
      <c r="K13921" s="48"/>
      <c r="L13921" s="89"/>
    </row>
    <row r="13922" spans="8:12" x14ac:dyDescent="0.3">
      <c r="H13922" s="49"/>
      <c r="K13922" s="48"/>
      <c r="L13922" s="89"/>
    </row>
    <row r="13923" spans="8:12" x14ac:dyDescent="0.3">
      <c r="H13923" s="49"/>
      <c r="K13923" s="48"/>
      <c r="L13923" s="89"/>
    </row>
    <row r="13924" spans="8:12" x14ac:dyDescent="0.3">
      <c r="H13924" s="49"/>
      <c r="K13924" s="48"/>
      <c r="L13924" s="89"/>
    </row>
    <row r="13925" spans="8:12" x14ac:dyDescent="0.3">
      <c r="H13925" s="49"/>
      <c r="K13925" s="48"/>
      <c r="L13925" s="89"/>
    </row>
    <row r="13926" spans="8:12" x14ac:dyDescent="0.3">
      <c r="H13926" s="49"/>
      <c r="K13926" s="48"/>
      <c r="L13926" s="89"/>
    </row>
    <row r="13927" spans="8:12" x14ac:dyDescent="0.3">
      <c r="H13927" s="49"/>
      <c r="K13927" s="48"/>
      <c r="L13927" s="89"/>
    </row>
    <row r="13928" spans="8:12" x14ac:dyDescent="0.3">
      <c r="H13928" s="49"/>
      <c r="K13928" s="48"/>
      <c r="L13928" s="89"/>
    </row>
    <row r="13929" spans="8:12" x14ac:dyDescent="0.3">
      <c r="H13929" s="49"/>
      <c r="K13929" s="48"/>
      <c r="L13929" s="89"/>
    </row>
    <row r="13930" spans="8:12" x14ac:dyDescent="0.3">
      <c r="H13930" s="49"/>
      <c r="K13930" s="48"/>
      <c r="L13930" s="89"/>
    </row>
    <row r="13931" spans="8:12" x14ac:dyDescent="0.3">
      <c r="H13931" s="49"/>
      <c r="K13931" s="48"/>
      <c r="L13931" s="89"/>
    </row>
    <row r="13932" spans="8:12" x14ac:dyDescent="0.3">
      <c r="H13932" s="49"/>
      <c r="K13932" s="48"/>
      <c r="L13932" s="89"/>
    </row>
    <row r="13933" spans="8:12" x14ac:dyDescent="0.3">
      <c r="H13933" s="49"/>
      <c r="K13933" s="48"/>
      <c r="L13933" s="89"/>
    </row>
    <row r="13934" spans="8:12" x14ac:dyDescent="0.3">
      <c r="H13934" s="49"/>
      <c r="K13934" s="48"/>
      <c r="L13934" s="89"/>
    </row>
    <row r="13935" spans="8:12" x14ac:dyDescent="0.3">
      <c r="H13935" s="49"/>
      <c r="K13935" s="48"/>
      <c r="L13935" s="89"/>
    </row>
    <row r="13936" spans="8:12" x14ac:dyDescent="0.3">
      <c r="H13936" s="49"/>
      <c r="K13936" s="48"/>
      <c r="L13936" s="89"/>
    </row>
    <row r="13937" spans="8:12" x14ac:dyDescent="0.3">
      <c r="H13937" s="49"/>
      <c r="K13937" s="48"/>
      <c r="L13937" s="89"/>
    </row>
    <row r="13938" spans="8:12" x14ac:dyDescent="0.3">
      <c r="H13938" s="49"/>
      <c r="K13938" s="48"/>
      <c r="L13938" s="89"/>
    </row>
    <row r="13939" spans="8:12" x14ac:dyDescent="0.3">
      <c r="H13939" s="49"/>
      <c r="K13939" s="48"/>
      <c r="L13939" s="89"/>
    </row>
    <row r="13940" spans="8:12" x14ac:dyDescent="0.3">
      <c r="H13940" s="49"/>
      <c r="K13940" s="48"/>
      <c r="L13940" s="89"/>
    </row>
    <row r="13941" spans="8:12" x14ac:dyDescent="0.3">
      <c r="H13941" s="49"/>
      <c r="K13941" s="48"/>
      <c r="L13941" s="89"/>
    </row>
    <row r="13942" spans="8:12" x14ac:dyDescent="0.3">
      <c r="H13942" s="49"/>
      <c r="K13942" s="48"/>
      <c r="L13942" s="89"/>
    </row>
    <row r="13943" spans="8:12" x14ac:dyDescent="0.3">
      <c r="H13943" s="49"/>
      <c r="K13943" s="48"/>
      <c r="L13943" s="89"/>
    </row>
    <row r="13944" spans="8:12" x14ac:dyDescent="0.3">
      <c r="H13944" s="49"/>
      <c r="K13944" s="48"/>
      <c r="L13944" s="89"/>
    </row>
    <row r="13945" spans="8:12" x14ac:dyDescent="0.3">
      <c r="H13945" s="49"/>
      <c r="K13945" s="48"/>
      <c r="L13945" s="89"/>
    </row>
    <row r="13946" spans="8:12" x14ac:dyDescent="0.3">
      <c r="H13946" s="49"/>
      <c r="K13946" s="48"/>
      <c r="L13946" s="89"/>
    </row>
    <row r="13947" spans="8:12" x14ac:dyDescent="0.3">
      <c r="H13947" s="49"/>
      <c r="K13947" s="48"/>
      <c r="L13947" s="89"/>
    </row>
    <row r="13948" spans="8:12" x14ac:dyDescent="0.3">
      <c r="H13948" s="49"/>
      <c r="K13948" s="48"/>
      <c r="L13948" s="89"/>
    </row>
    <row r="13949" spans="8:12" x14ac:dyDescent="0.3">
      <c r="H13949" s="49"/>
      <c r="K13949" s="48"/>
      <c r="L13949" s="89"/>
    </row>
    <row r="13950" spans="8:12" x14ac:dyDescent="0.3">
      <c r="H13950" s="49"/>
      <c r="K13950" s="48"/>
      <c r="L13950" s="89"/>
    </row>
    <row r="13951" spans="8:12" x14ac:dyDescent="0.3">
      <c r="H13951" s="49"/>
      <c r="K13951" s="48"/>
      <c r="L13951" s="89"/>
    </row>
    <row r="13952" spans="8:12" x14ac:dyDescent="0.3">
      <c r="H13952" s="49"/>
      <c r="K13952" s="48"/>
      <c r="L13952" s="89"/>
    </row>
    <row r="13953" spans="8:12" x14ac:dyDescent="0.3">
      <c r="H13953" s="49"/>
      <c r="K13953" s="48"/>
      <c r="L13953" s="89"/>
    </row>
    <row r="13954" spans="8:12" x14ac:dyDescent="0.3">
      <c r="H13954" s="49"/>
      <c r="K13954" s="48"/>
      <c r="L13954" s="89"/>
    </row>
    <row r="13955" spans="8:12" x14ac:dyDescent="0.3">
      <c r="H13955" s="49"/>
      <c r="K13955" s="48"/>
      <c r="L13955" s="89"/>
    </row>
    <row r="13956" spans="8:12" x14ac:dyDescent="0.3">
      <c r="H13956" s="49"/>
      <c r="K13956" s="48"/>
      <c r="L13956" s="89"/>
    </row>
    <row r="13957" spans="8:12" x14ac:dyDescent="0.3">
      <c r="H13957" s="49"/>
      <c r="K13957" s="48"/>
      <c r="L13957" s="89"/>
    </row>
    <row r="13958" spans="8:12" x14ac:dyDescent="0.3">
      <c r="H13958" s="49"/>
      <c r="K13958" s="48"/>
      <c r="L13958" s="89"/>
    </row>
    <row r="13959" spans="8:12" x14ac:dyDescent="0.3">
      <c r="H13959" s="49"/>
      <c r="K13959" s="48"/>
      <c r="L13959" s="89"/>
    </row>
    <row r="13960" spans="8:12" x14ac:dyDescent="0.3">
      <c r="H13960" s="49"/>
      <c r="K13960" s="48"/>
      <c r="L13960" s="89"/>
    </row>
    <row r="13961" spans="8:12" x14ac:dyDescent="0.3">
      <c r="H13961" s="49"/>
      <c r="K13961" s="48"/>
      <c r="L13961" s="89"/>
    </row>
    <row r="13962" spans="8:12" x14ac:dyDescent="0.3">
      <c r="H13962" s="49"/>
      <c r="K13962" s="48"/>
      <c r="L13962" s="89"/>
    </row>
    <row r="13963" spans="8:12" x14ac:dyDescent="0.3">
      <c r="H13963" s="49"/>
      <c r="K13963" s="48"/>
      <c r="L13963" s="89"/>
    </row>
    <row r="13964" spans="8:12" x14ac:dyDescent="0.3">
      <c r="H13964" s="49"/>
      <c r="K13964" s="48"/>
      <c r="L13964" s="89"/>
    </row>
    <row r="13965" spans="8:12" x14ac:dyDescent="0.3">
      <c r="H13965" s="49"/>
      <c r="K13965" s="48"/>
      <c r="L13965" s="89"/>
    </row>
    <row r="13966" spans="8:12" x14ac:dyDescent="0.3">
      <c r="H13966" s="49"/>
      <c r="K13966" s="48"/>
      <c r="L13966" s="89"/>
    </row>
    <row r="13967" spans="8:12" x14ac:dyDescent="0.3">
      <c r="H13967" s="49"/>
      <c r="K13967" s="48"/>
      <c r="L13967" s="89"/>
    </row>
    <row r="13968" spans="8:12" x14ac:dyDescent="0.3">
      <c r="H13968" s="49"/>
      <c r="K13968" s="48"/>
      <c r="L13968" s="89"/>
    </row>
    <row r="13969" spans="8:12" x14ac:dyDescent="0.3">
      <c r="H13969" s="49"/>
      <c r="K13969" s="48"/>
      <c r="L13969" s="89"/>
    </row>
    <row r="13970" spans="8:12" x14ac:dyDescent="0.3">
      <c r="H13970" s="49"/>
      <c r="K13970" s="48"/>
      <c r="L13970" s="89"/>
    </row>
    <row r="13971" spans="8:12" x14ac:dyDescent="0.3">
      <c r="H13971" s="49"/>
      <c r="K13971" s="48"/>
      <c r="L13971" s="89"/>
    </row>
    <row r="13972" spans="8:12" x14ac:dyDescent="0.3">
      <c r="H13972" s="49"/>
      <c r="K13972" s="48"/>
      <c r="L13972" s="89"/>
    </row>
    <row r="13973" spans="8:12" x14ac:dyDescent="0.3">
      <c r="H13973" s="49"/>
      <c r="K13973" s="48"/>
      <c r="L13973" s="89"/>
    </row>
    <row r="13974" spans="8:12" x14ac:dyDescent="0.3">
      <c r="H13974" s="49"/>
      <c r="K13974" s="48"/>
      <c r="L13974" s="89"/>
    </row>
    <row r="13975" spans="8:12" x14ac:dyDescent="0.3">
      <c r="H13975" s="49"/>
      <c r="K13975" s="48"/>
      <c r="L13975" s="89"/>
    </row>
    <row r="13976" spans="8:12" x14ac:dyDescent="0.3">
      <c r="H13976" s="49"/>
      <c r="K13976" s="48"/>
      <c r="L13976" s="89"/>
    </row>
    <row r="13977" spans="8:12" x14ac:dyDescent="0.3">
      <c r="H13977" s="49"/>
      <c r="K13977" s="48"/>
      <c r="L13977" s="89"/>
    </row>
    <row r="13978" spans="8:12" x14ac:dyDescent="0.3">
      <c r="H13978" s="49"/>
      <c r="K13978" s="48"/>
      <c r="L13978" s="89"/>
    </row>
    <row r="13979" spans="8:12" x14ac:dyDescent="0.3">
      <c r="H13979" s="49"/>
      <c r="K13979" s="48"/>
      <c r="L13979" s="89"/>
    </row>
    <row r="13980" spans="8:12" x14ac:dyDescent="0.3">
      <c r="H13980" s="49"/>
      <c r="K13980" s="48"/>
      <c r="L13980" s="89"/>
    </row>
    <row r="13981" spans="8:12" x14ac:dyDescent="0.3">
      <c r="H13981" s="49"/>
      <c r="K13981" s="48"/>
      <c r="L13981" s="89"/>
    </row>
    <row r="13982" spans="8:12" x14ac:dyDescent="0.3">
      <c r="H13982" s="49"/>
      <c r="K13982" s="48"/>
      <c r="L13982" s="89"/>
    </row>
    <row r="13983" spans="8:12" x14ac:dyDescent="0.3">
      <c r="H13983" s="49"/>
      <c r="K13983" s="48"/>
      <c r="L13983" s="89"/>
    </row>
    <row r="13984" spans="8:12" x14ac:dyDescent="0.3">
      <c r="H13984" s="49"/>
      <c r="K13984" s="48"/>
      <c r="L13984" s="89"/>
    </row>
    <row r="13985" spans="8:12" x14ac:dyDescent="0.3">
      <c r="H13985" s="49"/>
      <c r="K13985" s="48"/>
      <c r="L13985" s="89"/>
    </row>
    <row r="13986" spans="8:12" x14ac:dyDescent="0.3">
      <c r="H13986" s="49"/>
      <c r="K13986" s="48"/>
      <c r="L13986" s="89"/>
    </row>
    <row r="13987" spans="8:12" x14ac:dyDescent="0.3">
      <c r="H13987" s="49"/>
      <c r="K13987" s="48"/>
      <c r="L13987" s="89"/>
    </row>
    <row r="13988" spans="8:12" x14ac:dyDescent="0.3">
      <c r="H13988" s="49"/>
      <c r="K13988" s="48"/>
      <c r="L13988" s="89"/>
    </row>
    <row r="13989" spans="8:12" x14ac:dyDescent="0.3">
      <c r="H13989" s="49"/>
      <c r="K13989" s="48"/>
      <c r="L13989" s="89"/>
    </row>
    <row r="13990" spans="8:12" x14ac:dyDescent="0.3">
      <c r="H13990" s="49"/>
      <c r="K13990" s="48"/>
      <c r="L13990" s="89"/>
    </row>
    <row r="13991" spans="8:12" x14ac:dyDescent="0.3">
      <c r="H13991" s="49"/>
      <c r="K13991" s="48"/>
      <c r="L13991" s="89"/>
    </row>
    <row r="13992" spans="8:12" x14ac:dyDescent="0.3">
      <c r="H13992" s="49"/>
      <c r="K13992" s="48"/>
      <c r="L13992" s="89"/>
    </row>
    <row r="13993" spans="8:12" x14ac:dyDescent="0.3">
      <c r="H13993" s="49"/>
      <c r="K13993" s="48"/>
      <c r="L13993" s="89"/>
    </row>
    <row r="13994" spans="8:12" x14ac:dyDescent="0.3">
      <c r="H13994" s="49"/>
      <c r="K13994" s="48"/>
      <c r="L13994" s="89"/>
    </row>
    <row r="13995" spans="8:12" x14ac:dyDescent="0.3">
      <c r="H13995" s="49"/>
      <c r="K13995" s="48"/>
      <c r="L13995" s="89"/>
    </row>
    <row r="13996" spans="8:12" x14ac:dyDescent="0.3">
      <c r="H13996" s="49"/>
      <c r="K13996" s="48"/>
      <c r="L13996" s="89"/>
    </row>
    <row r="13997" spans="8:12" x14ac:dyDescent="0.3">
      <c r="H13997" s="49"/>
      <c r="K13997" s="48"/>
      <c r="L13997" s="89"/>
    </row>
    <row r="13998" spans="8:12" x14ac:dyDescent="0.3">
      <c r="H13998" s="49"/>
      <c r="K13998" s="48"/>
      <c r="L13998" s="89"/>
    </row>
    <row r="13999" spans="8:12" x14ac:dyDescent="0.3">
      <c r="H13999" s="49"/>
      <c r="K13999" s="48"/>
      <c r="L13999" s="89"/>
    </row>
    <row r="14000" spans="8:12" x14ac:dyDescent="0.3">
      <c r="H14000" s="49"/>
      <c r="K14000" s="48"/>
      <c r="L14000" s="89"/>
    </row>
    <row r="14001" spans="8:12" x14ac:dyDescent="0.3">
      <c r="H14001" s="49"/>
      <c r="K14001" s="48"/>
      <c r="L14001" s="89"/>
    </row>
    <row r="14002" spans="8:12" x14ac:dyDescent="0.3">
      <c r="H14002" s="49"/>
      <c r="K14002" s="48"/>
      <c r="L14002" s="89"/>
    </row>
    <row r="14003" spans="8:12" x14ac:dyDescent="0.3">
      <c r="H14003" s="49"/>
      <c r="K14003" s="48"/>
      <c r="L14003" s="89"/>
    </row>
    <row r="14004" spans="8:12" x14ac:dyDescent="0.3">
      <c r="H14004" s="49"/>
      <c r="K14004" s="48"/>
      <c r="L14004" s="89"/>
    </row>
    <row r="14005" spans="8:12" x14ac:dyDescent="0.3">
      <c r="H14005" s="49"/>
      <c r="K14005" s="48"/>
      <c r="L14005" s="89"/>
    </row>
    <row r="14006" spans="8:12" x14ac:dyDescent="0.3">
      <c r="H14006" s="49"/>
      <c r="K14006" s="48"/>
      <c r="L14006" s="89"/>
    </row>
    <row r="14007" spans="8:12" x14ac:dyDescent="0.3">
      <c r="H14007" s="49"/>
      <c r="K14007" s="48"/>
      <c r="L14007" s="89"/>
    </row>
    <row r="14008" spans="8:12" x14ac:dyDescent="0.3">
      <c r="H14008" s="49"/>
      <c r="K14008" s="48"/>
      <c r="L14008" s="89"/>
    </row>
    <row r="14009" spans="8:12" x14ac:dyDescent="0.3">
      <c r="H14009" s="49"/>
      <c r="K14009" s="48"/>
      <c r="L14009" s="89"/>
    </row>
    <row r="14010" spans="8:12" x14ac:dyDescent="0.3">
      <c r="H14010" s="49"/>
      <c r="K14010" s="48"/>
      <c r="L14010" s="89"/>
    </row>
    <row r="14011" spans="8:12" x14ac:dyDescent="0.3">
      <c r="H14011" s="49"/>
      <c r="K14011" s="48"/>
      <c r="L14011" s="89"/>
    </row>
    <row r="14012" spans="8:12" x14ac:dyDescent="0.3">
      <c r="H14012" s="49"/>
      <c r="K14012" s="48"/>
      <c r="L14012" s="89"/>
    </row>
    <row r="14013" spans="8:12" x14ac:dyDescent="0.3">
      <c r="H14013" s="49"/>
      <c r="K14013" s="48"/>
      <c r="L14013" s="89"/>
    </row>
    <row r="14014" spans="8:12" x14ac:dyDescent="0.3">
      <c r="H14014" s="49"/>
      <c r="K14014" s="48"/>
      <c r="L14014" s="89"/>
    </row>
    <row r="14015" spans="8:12" x14ac:dyDescent="0.3">
      <c r="H14015" s="49"/>
      <c r="K14015" s="48"/>
      <c r="L14015" s="89"/>
    </row>
    <row r="14016" spans="8:12" x14ac:dyDescent="0.3">
      <c r="H14016" s="49"/>
      <c r="K14016" s="48"/>
      <c r="L14016" s="89"/>
    </row>
    <row r="14017" spans="8:12" x14ac:dyDescent="0.3">
      <c r="H14017" s="49"/>
      <c r="K14017" s="48"/>
      <c r="L14017" s="89"/>
    </row>
    <row r="14018" spans="8:12" x14ac:dyDescent="0.3">
      <c r="H14018" s="49"/>
      <c r="K14018" s="48"/>
      <c r="L14018" s="89"/>
    </row>
    <row r="14019" spans="8:12" x14ac:dyDescent="0.3">
      <c r="H14019" s="49"/>
      <c r="K14019" s="48"/>
      <c r="L14019" s="89"/>
    </row>
    <row r="14020" spans="8:12" x14ac:dyDescent="0.3">
      <c r="H14020" s="49"/>
      <c r="K14020" s="48"/>
      <c r="L14020" s="89"/>
    </row>
    <row r="14021" spans="8:12" x14ac:dyDescent="0.3">
      <c r="H14021" s="49"/>
      <c r="K14021" s="48"/>
      <c r="L14021" s="89"/>
    </row>
    <row r="14022" spans="8:12" x14ac:dyDescent="0.3">
      <c r="H14022" s="49"/>
      <c r="K14022" s="48"/>
      <c r="L14022" s="89"/>
    </row>
    <row r="14023" spans="8:12" x14ac:dyDescent="0.3">
      <c r="H14023" s="49"/>
      <c r="K14023" s="48"/>
      <c r="L14023" s="89"/>
    </row>
    <row r="14024" spans="8:12" x14ac:dyDescent="0.3">
      <c r="H14024" s="49"/>
      <c r="K14024" s="48"/>
      <c r="L14024" s="89"/>
    </row>
    <row r="14025" spans="8:12" x14ac:dyDescent="0.3">
      <c r="H14025" s="49"/>
      <c r="K14025" s="48"/>
      <c r="L14025" s="89"/>
    </row>
    <row r="14026" spans="8:12" x14ac:dyDescent="0.3">
      <c r="H14026" s="49"/>
      <c r="K14026" s="48"/>
      <c r="L14026" s="89"/>
    </row>
    <row r="14027" spans="8:12" x14ac:dyDescent="0.3">
      <c r="H14027" s="49"/>
      <c r="K14027" s="48"/>
      <c r="L14027" s="89"/>
    </row>
    <row r="14028" spans="8:12" x14ac:dyDescent="0.3">
      <c r="H14028" s="49"/>
      <c r="K14028" s="48"/>
      <c r="L14028" s="89"/>
    </row>
    <row r="14029" spans="8:12" x14ac:dyDescent="0.3">
      <c r="H14029" s="49"/>
      <c r="K14029" s="48"/>
      <c r="L14029" s="89"/>
    </row>
    <row r="14030" spans="8:12" x14ac:dyDescent="0.3">
      <c r="H14030" s="49"/>
      <c r="K14030" s="48"/>
      <c r="L14030" s="89"/>
    </row>
    <row r="14031" spans="8:12" x14ac:dyDescent="0.3">
      <c r="H14031" s="49"/>
      <c r="K14031" s="48"/>
      <c r="L14031" s="89"/>
    </row>
    <row r="14032" spans="8:12" x14ac:dyDescent="0.3">
      <c r="H14032" s="49"/>
      <c r="K14032" s="48"/>
      <c r="L14032" s="89"/>
    </row>
    <row r="14033" spans="8:12" x14ac:dyDescent="0.3">
      <c r="H14033" s="49"/>
      <c r="K14033" s="48"/>
      <c r="L14033" s="89"/>
    </row>
    <row r="14034" spans="8:12" x14ac:dyDescent="0.3">
      <c r="H14034" s="49"/>
      <c r="K14034" s="48"/>
      <c r="L14034" s="89"/>
    </row>
    <row r="14035" spans="8:12" x14ac:dyDescent="0.3">
      <c r="H14035" s="49"/>
      <c r="K14035" s="48"/>
      <c r="L14035" s="89"/>
    </row>
    <row r="14036" spans="8:12" x14ac:dyDescent="0.3">
      <c r="H14036" s="49"/>
      <c r="K14036" s="48"/>
      <c r="L14036" s="89"/>
    </row>
    <row r="14037" spans="8:12" x14ac:dyDescent="0.3">
      <c r="H14037" s="49"/>
      <c r="K14037" s="48"/>
      <c r="L14037" s="89"/>
    </row>
    <row r="14038" spans="8:12" x14ac:dyDescent="0.3">
      <c r="H14038" s="49"/>
      <c r="K14038" s="48"/>
      <c r="L14038" s="89"/>
    </row>
    <row r="14039" spans="8:12" x14ac:dyDescent="0.3">
      <c r="H14039" s="49"/>
      <c r="K14039" s="48"/>
      <c r="L14039" s="89"/>
    </row>
    <row r="14040" spans="8:12" x14ac:dyDescent="0.3">
      <c r="H14040" s="49"/>
      <c r="K14040" s="48"/>
      <c r="L14040" s="89"/>
    </row>
    <row r="14041" spans="8:12" x14ac:dyDescent="0.3">
      <c r="H14041" s="49"/>
      <c r="K14041" s="48"/>
      <c r="L14041" s="89"/>
    </row>
    <row r="14042" spans="8:12" x14ac:dyDescent="0.3">
      <c r="H14042" s="49"/>
      <c r="K14042" s="48"/>
      <c r="L14042" s="89"/>
    </row>
    <row r="14043" spans="8:12" x14ac:dyDescent="0.3">
      <c r="H14043" s="49"/>
      <c r="K14043" s="48"/>
      <c r="L14043" s="89"/>
    </row>
    <row r="14044" spans="8:12" x14ac:dyDescent="0.3">
      <c r="H14044" s="49"/>
      <c r="K14044" s="48"/>
      <c r="L14044" s="89"/>
    </row>
    <row r="14045" spans="8:12" x14ac:dyDescent="0.3">
      <c r="H14045" s="49"/>
      <c r="K14045" s="48"/>
      <c r="L14045" s="89"/>
    </row>
    <row r="14046" spans="8:12" x14ac:dyDescent="0.3">
      <c r="H14046" s="49"/>
      <c r="K14046" s="48"/>
      <c r="L14046" s="89"/>
    </row>
    <row r="14047" spans="8:12" x14ac:dyDescent="0.3">
      <c r="H14047" s="49"/>
      <c r="K14047" s="48"/>
      <c r="L14047" s="89"/>
    </row>
    <row r="14048" spans="8:12" x14ac:dyDescent="0.3">
      <c r="H14048" s="49"/>
      <c r="K14048" s="48"/>
      <c r="L14048" s="89"/>
    </row>
    <row r="14049" spans="8:12" x14ac:dyDescent="0.3">
      <c r="H14049" s="49"/>
      <c r="K14049" s="48"/>
      <c r="L14049" s="89"/>
    </row>
    <row r="14050" spans="8:12" x14ac:dyDescent="0.3">
      <c r="H14050" s="49"/>
      <c r="K14050" s="48"/>
      <c r="L14050" s="89"/>
    </row>
    <row r="14051" spans="8:12" x14ac:dyDescent="0.3">
      <c r="H14051" s="49"/>
      <c r="K14051" s="48"/>
      <c r="L14051" s="89"/>
    </row>
    <row r="14052" spans="8:12" x14ac:dyDescent="0.3">
      <c r="H14052" s="49"/>
      <c r="K14052" s="48"/>
      <c r="L14052" s="89"/>
    </row>
    <row r="14053" spans="8:12" x14ac:dyDescent="0.3">
      <c r="H14053" s="49"/>
      <c r="K14053" s="48"/>
      <c r="L14053" s="89"/>
    </row>
    <row r="14054" spans="8:12" x14ac:dyDescent="0.3">
      <c r="H14054" s="49"/>
      <c r="K14054" s="48"/>
      <c r="L14054" s="89"/>
    </row>
    <row r="14055" spans="8:12" x14ac:dyDescent="0.3">
      <c r="H14055" s="49"/>
      <c r="K14055" s="48"/>
      <c r="L14055" s="89"/>
    </row>
    <row r="14056" spans="8:12" x14ac:dyDescent="0.3">
      <c r="H14056" s="49"/>
      <c r="K14056" s="48"/>
      <c r="L14056" s="89"/>
    </row>
    <row r="14057" spans="8:12" x14ac:dyDescent="0.3">
      <c r="H14057" s="49"/>
      <c r="K14057" s="48"/>
      <c r="L14057" s="89"/>
    </row>
    <row r="14058" spans="8:12" x14ac:dyDescent="0.3">
      <c r="H14058" s="49"/>
      <c r="K14058" s="48"/>
      <c r="L14058" s="89"/>
    </row>
    <row r="14059" spans="8:12" x14ac:dyDescent="0.3">
      <c r="H14059" s="49"/>
      <c r="K14059" s="48"/>
      <c r="L14059" s="89"/>
    </row>
    <row r="14060" spans="8:12" x14ac:dyDescent="0.3">
      <c r="H14060" s="49"/>
      <c r="K14060" s="48"/>
      <c r="L14060" s="89"/>
    </row>
    <row r="14061" spans="8:12" x14ac:dyDescent="0.3">
      <c r="H14061" s="49"/>
      <c r="K14061" s="48"/>
      <c r="L14061" s="89"/>
    </row>
    <row r="14062" spans="8:12" x14ac:dyDescent="0.3">
      <c r="H14062" s="49"/>
      <c r="K14062" s="48"/>
      <c r="L14062" s="89"/>
    </row>
    <row r="14063" spans="8:12" x14ac:dyDescent="0.3">
      <c r="H14063" s="49"/>
      <c r="K14063" s="48"/>
      <c r="L14063" s="89"/>
    </row>
    <row r="14064" spans="8:12" x14ac:dyDescent="0.3">
      <c r="H14064" s="49"/>
      <c r="K14064" s="48"/>
      <c r="L14064" s="89"/>
    </row>
    <row r="14065" spans="8:12" x14ac:dyDescent="0.3">
      <c r="H14065" s="49"/>
      <c r="K14065" s="48"/>
      <c r="L14065" s="89"/>
    </row>
    <row r="14066" spans="8:12" x14ac:dyDescent="0.3">
      <c r="H14066" s="49"/>
      <c r="K14066" s="48"/>
      <c r="L14066" s="89"/>
    </row>
    <row r="14067" spans="8:12" x14ac:dyDescent="0.3">
      <c r="H14067" s="49"/>
      <c r="K14067" s="48"/>
      <c r="L14067" s="89"/>
    </row>
    <row r="14068" spans="8:12" x14ac:dyDescent="0.3">
      <c r="H14068" s="49"/>
      <c r="K14068" s="48"/>
      <c r="L14068" s="89"/>
    </row>
    <row r="14069" spans="8:12" x14ac:dyDescent="0.3">
      <c r="H14069" s="49"/>
      <c r="K14069" s="48"/>
      <c r="L14069" s="89"/>
    </row>
    <row r="14070" spans="8:12" x14ac:dyDescent="0.3">
      <c r="H14070" s="49"/>
      <c r="K14070" s="48"/>
      <c r="L14070" s="89"/>
    </row>
    <row r="14071" spans="8:12" x14ac:dyDescent="0.3">
      <c r="H14071" s="49"/>
      <c r="K14071" s="48"/>
      <c r="L14071" s="89"/>
    </row>
    <row r="14072" spans="8:12" x14ac:dyDescent="0.3">
      <c r="H14072" s="49"/>
      <c r="K14072" s="48"/>
      <c r="L14072" s="89"/>
    </row>
    <row r="14073" spans="8:12" x14ac:dyDescent="0.3">
      <c r="H14073" s="49"/>
      <c r="K14073" s="48"/>
      <c r="L14073" s="89"/>
    </row>
    <row r="14074" spans="8:12" x14ac:dyDescent="0.3">
      <c r="H14074" s="49"/>
      <c r="K14074" s="48"/>
      <c r="L14074" s="89"/>
    </row>
    <row r="14075" spans="8:12" x14ac:dyDescent="0.3">
      <c r="H14075" s="49"/>
      <c r="K14075" s="48"/>
      <c r="L14075" s="89"/>
    </row>
    <row r="14076" spans="8:12" x14ac:dyDescent="0.3">
      <c r="H14076" s="49"/>
      <c r="K14076" s="48"/>
      <c r="L14076" s="89"/>
    </row>
    <row r="14077" spans="8:12" x14ac:dyDescent="0.3">
      <c r="H14077" s="49"/>
      <c r="K14077" s="48"/>
      <c r="L14077" s="89"/>
    </row>
    <row r="14078" spans="8:12" x14ac:dyDescent="0.3">
      <c r="H14078" s="49"/>
      <c r="K14078" s="48"/>
      <c r="L14078" s="89"/>
    </row>
    <row r="14079" spans="8:12" x14ac:dyDescent="0.3">
      <c r="H14079" s="49"/>
      <c r="K14079" s="48"/>
      <c r="L14079" s="89"/>
    </row>
    <row r="14080" spans="8:12" x14ac:dyDescent="0.3">
      <c r="H14080" s="49"/>
      <c r="K14080" s="48"/>
      <c r="L14080" s="89"/>
    </row>
    <row r="14081" spans="8:12" x14ac:dyDescent="0.3">
      <c r="H14081" s="49"/>
      <c r="K14081" s="48"/>
      <c r="L14081" s="89"/>
    </row>
    <row r="14082" spans="8:12" x14ac:dyDescent="0.3">
      <c r="H14082" s="49"/>
      <c r="K14082" s="48"/>
      <c r="L14082" s="89"/>
    </row>
    <row r="14083" spans="8:12" x14ac:dyDescent="0.3">
      <c r="H14083" s="49"/>
      <c r="K14083" s="48"/>
      <c r="L14083" s="89"/>
    </row>
    <row r="14084" spans="8:12" x14ac:dyDescent="0.3">
      <c r="H14084" s="49"/>
      <c r="K14084" s="48"/>
      <c r="L14084" s="89"/>
    </row>
    <row r="14085" spans="8:12" x14ac:dyDescent="0.3">
      <c r="H14085" s="49"/>
      <c r="K14085" s="48"/>
      <c r="L14085" s="89"/>
    </row>
    <row r="14086" spans="8:12" x14ac:dyDescent="0.3">
      <c r="H14086" s="49"/>
      <c r="K14086" s="48"/>
      <c r="L14086" s="89"/>
    </row>
    <row r="14087" spans="8:12" x14ac:dyDescent="0.3">
      <c r="H14087" s="49"/>
      <c r="K14087" s="48"/>
      <c r="L14087" s="89"/>
    </row>
    <row r="14088" spans="8:12" x14ac:dyDescent="0.3">
      <c r="H14088" s="49"/>
      <c r="K14088" s="48"/>
      <c r="L14088" s="89"/>
    </row>
    <row r="14089" spans="8:12" x14ac:dyDescent="0.3">
      <c r="H14089" s="49"/>
      <c r="K14089" s="48"/>
      <c r="L14089" s="89"/>
    </row>
    <row r="14090" spans="8:12" x14ac:dyDescent="0.3">
      <c r="H14090" s="49"/>
      <c r="K14090" s="48"/>
      <c r="L14090" s="89"/>
    </row>
    <row r="14091" spans="8:12" x14ac:dyDescent="0.3">
      <c r="H14091" s="49"/>
      <c r="K14091" s="48"/>
      <c r="L14091" s="89"/>
    </row>
    <row r="14092" spans="8:12" x14ac:dyDescent="0.3">
      <c r="H14092" s="49"/>
      <c r="K14092" s="48"/>
      <c r="L14092" s="89"/>
    </row>
    <row r="14093" spans="8:12" x14ac:dyDescent="0.3">
      <c r="H14093" s="49"/>
      <c r="K14093" s="48"/>
      <c r="L14093" s="89"/>
    </row>
    <row r="14094" spans="8:12" x14ac:dyDescent="0.3">
      <c r="H14094" s="49"/>
      <c r="K14094" s="48"/>
      <c r="L14094" s="89"/>
    </row>
    <row r="14095" spans="8:12" x14ac:dyDescent="0.3">
      <c r="H14095" s="49"/>
      <c r="K14095" s="48"/>
      <c r="L14095" s="89"/>
    </row>
    <row r="14096" spans="8:12" x14ac:dyDescent="0.3">
      <c r="H14096" s="49"/>
      <c r="K14096" s="48"/>
      <c r="L14096" s="89"/>
    </row>
    <row r="14097" spans="8:12" x14ac:dyDescent="0.3">
      <c r="H14097" s="49"/>
      <c r="K14097" s="48"/>
      <c r="L14097" s="89"/>
    </row>
    <row r="14098" spans="8:12" x14ac:dyDescent="0.3">
      <c r="H14098" s="49"/>
      <c r="K14098" s="48"/>
      <c r="L14098" s="89"/>
    </row>
    <row r="14099" spans="8:12" x14ac:dyDescent="0.3">
      <c r="H14099" s="49"/>
      <c r="K14099" s="48"/>
      <c r="L14099" s="89"/>
    </row>
    <row r="14100" spans="8:12" x14ac:dyDescent="0.3">
      <c r="H14100" s="49"/>
      <c r="K14100" s="48"/>
      <c r="L14100" s="89"/>
    </row>
    <row r="14101" spans="8:12" x14ac:dyDescent="0.3">
      <c r="H14101" s="49"/>
      <c r="K14101" s="48"/>
      <c r="L14101" s="89"/>
    </row>
    <row r="14102" spans="8:12" x14ac:dyDescent="0.3">
      <c r="H14102" s="49"/>
      <c r="K14102" s="48"/>
      <c r="L14102" s="89"/>
    </row>
    <row r="14103" spans="8:12" x14ac:dyDescent="0.3">
      <c r="H14103" s="49"/>
      <c r="K14103" s="48"/>
      <c r="L14103" s="89"/>
    </row>
    <row r="14104" spans="8:12" x14ac:dyDescent="0.3">
      <c r="H14104" s="49"/>
      <c r="K14104" s="48"/>
      <c r="L14104" s="89"/>
    </row>
    <row r="14105" spans="8:12" x14ac:dyDescent="0.3">
      <c r="H14105" s="49"/>
      <c r="K14105" s="48"/>
      <c r="L14105" s="89"/>
    </row>
    <row r="14106" spans="8:12" x14ac:dyDescent="0.3">
      <c r="H14106" s="49"/>
      <c r="K14106" s="48"/>
      <c r="L14106" s="89"/>
    </row>
    <row r="14107" spans="8:12" x14ac:dyDescent="0.3">
      <c r="H14107" s="49"/>
      <c r="K14107" s="48"/>
      <c r="L14107" s="89"/>
    </row>
    <row r="14108" spans="8:12" x14ac:dyDescent="0.3">
      <c r="H14108" s="49"/>
      <c r="K14108" s="48"/>
      <c r="L14108" s="89"/>
    </row>
    <row r="14109" spans="8:12" x14ac:dyDescent="0.3">
      <c r="H14109" s="49"/>
      <c r="K14109" s="48"/>
      <c r="L14109" s="89"/>
    </row>
    <row r="14110" spans="8:12" x14ac:dyDescent="0.3">
      <c r="H14110" s="49"/>
      <c r="K14110" s="48"/>
      <c r="L14110" s="89"/>
    </row>
    <row r="14111" spans="8:12" x14ac:dyDescent="0.3">
      <c r="H14111" s="49"/>
      <c r="K14111" s="48"/>
      <c r="L14111" s="89"/>
    </row>
    <row r="14112" spans="8:12" x14ac:dyDescent="0.3">
      <c r="H14112" s="49"/>
      <c r="K14112" s="48"/>
      <c r="L14112" s="89"/>
    </row>
    <row r="14113" spans="8:12" x14ac:dyDescent="0.3">
      <c r="H14113" s="49"/>
      <c r="K14113" s="48"/>
      <c r="L14113" s="89"/>
    </row>
    <row r="14114" spans="8:12" x14ac:dyDescent="0.3">
      <c r="H14114" s="49"/>
      <c r="K14114" s="48"/>
      <c r="L14114" s="89"/>
    </row>
    <row r="14115" spans="8:12" x14ac:dyDescent="0.3">
      <c r="H14115" s="49"/>
      <c r="K14115" s="48"/>
      <c r="L14115" s="89"/>
    </row>
    <row r="14116" spans="8:12" x14ac:dyDescent="0.3">
      <c r="H14116" s="49"/>
      <c r="K14116" s="48"/>
      <c r="L14116" s="89"/>
    </row>
    <row r="14117" spans="8:12" x14ac:dyDescent="0.3">
      <c r="H14117" s="49"/>
      <c r="K14117" s="48"/>
      <c r="L14117" s="89"/>
    </row>
    <row r="14118" spans="8:12" x14ac:dyDescent="0.3">
      <c r="H14118" s="49"/>
      <c r="K14118" s="48"/>
      <c r="L14118" s="89"/>
    </row>
    <row r="14119" spans="8:12" x14ac:dyDescent="0.3">
      <c r="H14119" s="49"/>
      <c r="K14119" s="48"/>
      <c r="L14119" s="89"/>
    </row>
    <row r="14120" spans="8:12" x14ac:dyDescent="0.3">
      <c r="H14120" s="49"/>
      <c r="K14120" s="48"/>
      <c r="L14120" s="89"/>
    </row>
    <row r="14121" spans="8:12" x14ac:dyDescent="0.3">
      <c r="H14121" s="49"/>
      <c r="K14121" s="48"/>
      <c r="L14121" s="89"/>
    </row>
    <row r="14122" spans="8:12" x14ac:dyDescent="0.3">
      <c r="H14122" s="49"/>
      <c r="K14122" s="48"/>
      <c r="L14122" s="89"/>
    </row>
    <row r="14123" spans="8:12" x14ac:dyDescent="0.3">
      <c r="H14123" s="49"/>
      <c r="K14123" s="48"/>
      <c r="L14123" s="89"/>
    </row>
    <row r="14124" spans="8:12" x14ac:dyDescent="0.3">
      <c r="H14124" s="49"/>
      <c r="K14124" s="48"/>
      <c r="L14124" s="89"/>
    </row>
    <row r="14125" spans="8:12" x14ac:dyDescent="0.3">
      <c r="H14125" s="49"/>
      <c r="K14125" s="48"/>
      <c r="L14125" s="89"/>
    </row>
    <row r="14126" spans="8:12" x14ac:dyDescent="0.3">
      <c r="H14126" s="49"/>
      <c r="K14126" s="48"/>
      <c r="L14126" s="89"/>
    </row>
    <row r="14127" spans="8:12" x14ac:dyDescent="0.3">
      <c r="H14127" s="49"/>
      <c r="K14127" s="48"/>
      <c r="L14127" s="89"/>
    </row>
    <row r="14128" spans="8:12" x14ac:dyDescent="0.3">
      <c r="H14128" s="49"/>
      <c r="K14128" s="48"/>
      <c r="L14128" s="89"/>
    </row>
    <row r="14129" spans="8:12" x14ac:dyDescent="0.3">
      <c r="H14129" s="49"/>
      <c r="K14129" s="48"/>
      <c r="L14129" s="89"/>
    </row>
    <row r="14130" spans="8:12" x14ac:dyDescent="0.3">
      <c r="H14130" s="49"/>
      <c r="K14130" s="48"/>
      <c r="L14130" s="89"/>
    </row>
    <row r="14131" spans="8:12" x14ac:dyDescent="0.3">
      <c r="H14131" s="49"/>
      <c r="K14131" s="48"/>
      <c r="L14131" s="89"/>
    </row>
    <row r="14132" spans="8:12" x14ac:dyDescent="0.3">
      <c r="H14132" s="49"/>
      <c r="K14132" s="48"/>
      <c r="L14132" s="89"/>
    </row>
    <row r="14133" spans="8:12" x14ac:dyDescent="0.3">
      <c r="H14133" s="49"/>
      <c r="K14133" s="48"/>
      <c r="L14133" s="89"/>
    </row>
    <row r="14134" spans="8:12" x14ac:dyDescent="0.3">
      <c r="H14134" s="49"/>
      <c r="K14134" s="48"/>
      <c r="L14134" s="89"/>
    </row>
    <row r="14135" spans="8:12" x14ac:dyDescent="0.3">
      <c r="H14135" s="49"/>
      <c r="K14135" s="48"/>
      <c r="L14135" s="89"/>
    </row>
    <row r="14136" spans="8:12" x14ac:dyDescent="0.3">
      <c r="H14136" s="49"/>
      <c r="K14136" s="48"/>
      <c r="L14136" s="89"/>
    </row>
    <row r="14137" spans="8:12" x14ac:dyDescent="0.3">
      <c r="H14137" s="49"/>
      <c r="K14137" s="48"/>
      <c r="L14137" s="89"/>
    </row>
    <row r="14138" spans="8:12" x14ac:dyDescent="0.3">
      <c r="H14138" s="49"/>
      <c r="K14138" s="48"/>
      <c r="L14138" s="89"/>
    </row>
    <row r="14139" spans="8:12" x14ac:dyDescent="0.3">
      <c r="H14139" s="49"/>
      <c r="K14139" s="48"/>
      <c r="L14139" s="89"/>
    </row>
    <row r="14140" spans="8:12" x14ac:dyDescent="0.3">
      <c r="H14140" s="49"/>
      <c r="K14140" s="48"/>
      <c r="L14140" s="89"/>
    </row>
    <row r="14141" spans="8:12" x14ac:dyDescent="0.3">
      <c r="H14141" s="49"/>
      <c r="K14141" s="48"/>
      <c r="L14141" s="89"/>
    </row>
    <row r="14142" spans="8:12" x14ac:dyDescent="0.3">
      <c r="H14142" s="49"/>
      <c r="K14142" s="48"/>
      <c r="L14142" s="89"/>
    </row>
    <row r="14143" spans="8:12" x14ac:dyDescent="0.3">
      <c r="H14143" s="49"/>
      <c r="K14143" s="48"/>
      <c r="L14143" s="89"/>
    </row>
    <row r="14144" spans="8:12" x14ac:dyDescent="0.3">
      <c r="H14144" s="49"/>
      <c r="K14144" s="48"/>
      <c r="L14144" s="89"/>
    </row>
    <row r="14145" spans="8:12" x14ac:dyDescent="0.3">
      <c r="H14145" s="49"/>
      <c r="K14145" s="48"/>
      <c r="L14145" s="89"/>
    </row>
    <row r="14146" spans="8:12" x14ac:dyDescent="0.3">
      <c r="H14146" s="49"/>
      <c r="K14146" s="48"/>
      <c r="L14146" s="89"/>
    </row>
    <row r="14147" spans="8:12" x14ac:dyDescent="0.3">
      <c r="H14147" s="49"/>
      <c r="K14147" s="48"/>
      <c r="L14147" s="89"/>
    </row>
    <row r="14148" spans="8:12" x14ac:dyDescent="0.3">
      <c r="H14148" s="49"/>
      <c r="K14148" s="48"/>
      <c r="L14148" s="89"/>
    </row>
    <row r="14149" spans="8:12" x14ac:dyDescent="0.3">
      <c r="H14149" s="49"/>
      <c r="K14149" s="48"/>
      <c r="L14149" s="89"/>
    </row>
    <row r="14150" spans="8:12" x14ac:dyDescent="0.3">
      <c r="H14150" s="49"/>
      <c r="K14150" s="48"/>
      <c r="L14150" s="89"/>
    </row>
    <row r="14151" spans="8:12" x14ac:dyDescent="0.3">
      <c r="H14151" s="49"/>
      <c r="K14151" s="48"/>
      <c r="L14151" s="89"/>
    </row>
    <row r="14152" spans="8:12" x14ac:dyDescent="0.3">
      <c r="H14152" s="49"/>
      <c r="K14152" s="48"/>
      <c r="L14152" s="89"/>
    </row>
    <row r="14153" spans="8:12" x14ac:dyDescent="0.3">
      <c r="H14153" s="49"/>
      <c r="K14153" s="48"/>
      <c r="L14153" s="89"/>
    </row>
    <row r="14154" spans="8:12" x14ac:dyDescent="0.3">
      <c r="H14154" s="49"/>
      <c r="K14154" s="48"/>
      <c r="L14154" s="89"/>
    </row>
    <row r="14155" spans="8:12" x14ac:dyDescent="0.3">
      <c r="H14155" s="49"/>
      <c r="K14155" s="48"/>
      <c r="L14155" s="89"/>
    </row>
    <row r="14156" spans="8:12" x14ac:dyDescent="0.3">
      <c r="H14156" s="49"/>
      <c r="K14156" s="48"/>
      <c r="L14156" s="89"/>
    </row>
    <row r="14157" spans="8:12" x14ac:dyDescent="0.3">
      <c r="H14157" s="49"/>
      <c r="K14157" s="48"/>
      <c r="L14157" s="89"/>
    </row>
    <row r="14158" spans="8:12" x14ac:dyDescent="0.3">
      <c r="H14158" s="49"/>
      <c r="K14158" s="48"/>
      <c r="L14158" s="89"/>
    </row>
    <row r="14159" spans="8:12" x14ac:dyDescent="0.3">
      <c r="H14159" s="49"/>
      <c r="K14159" s="48"/>
      <c r="L14159" s="89"/>
    </row>
    <row r="14160" spans="8:12" x14ac:dyDescent="0.3">
      <c r="H14160" s="49"/>
      <c r="K14160" s="48"/>
      <c r="L14160" s="89"/>
    </row>
    <row r="14161" spans="8:12" x14ac:dyDescent="0.3">
      <c r="H14161" s="49"/>
      <c r="K14161" s="48"/>
      <c r="L14161" s="89"/>
    </row>
    <row r="14162" spans="8:12" x14ac:dyDescent="0.3">
      <c r="H14162" s="49"/>
      <c r="K14162" s="48"/>
      <c r="L14162" s="89"/>
    </row>
    <row r="14163" spans="8:12" x14ac:dyDescent="0.3">
      <c r="H14163" s="49"/>
      <c r="K14163" s="48"/>
      <c r="L14163" s="89"/>
    </row>
    <row r="14164" spans="8:12" x14ac:dyDescent="0.3">
      <c r="H14164" s="49"/>
      <c r="K14164" s="48"/>
      <c r="L14164" s="89"/>
    </row>
    <row r="14165" spans="8:12" x14ac:dyDescent="0.3">
      <c r="H14165" s="49"/>
      <c r="K14165" s="48"/>
      <c r="L14165" s="89"/>
    </row>
    <row r="14166" spans="8:12" x14ac:dyDescent="0.3">
      <c r="H14166" s="49"/>
      <c r="K14166" s="48"/>
      <c r="L14166" s="89"/>
    </row>
    <row r="14167" spans="8:12" x14ac:dyDescent="0.3">
      <c r="H14167" s="49"/>
      <c r="K14167" s="48"/>
      <c r="L14167" s="89"/>
    </row>
    <row r="14168" spans="8:12" x14ac:dyDescent="0.3">
      <c r="H14168" s="49"/>
      <c r="K14168" s="48"/>
      <c r="L14168" s="89"/>
    </row>
    <row r="14169" spans="8:12" x14ac:dyDescent="0.3">
      <c r="H14169" s="49"/>
      <c r="K14169" s="48"/>
      <c r="L14169" s="89"/>
    </row>
    <row r="14170" spans="8:12" x14ac:dyDescent="0.3">
      <c r="H14170" s="49"/>
      <c r="K14170" s="48"/>
      <c r="L14170" s="89"/>
    </row>
    <row r="14171" spans="8:12" x14ac:dyDescent="0.3">
      <c r="H14171" s="49"/>
      <c r="K14171" s="48"/>
      <c r="L14171" s="89"/>
    </row>
    <row r="14172" spans="8:12" x14ac:dyDescent="0.3">
      <c r="H14172" s="49"/>
      <c r="K14172" s="48"/>
      <c r="L14172" s="89"/>
    </row>
    <row r="14173" spans="8:12" x14ac:dyDescent="0.3">
      <c r="H14173" s="49"/>
      <c r="K14173" s="48"/>
      <c r="L14173" s="89"/>
    </row>
    <row r="14174" spans="8:12" x14ac:dyDescent="0.3">
      <c r="H14174" s="49"/>
      <c r="K14174" s="48"/>
      <c r="L14174" s="89"/>
    </row>
    <row r="14175" spans="8:12" x14ac:dyDescent="0.3">
      <c r="H14175" s="49"/>
      <c r="K14175" s="48"/>
      <c r="L14175" s="89"/>
    </row>
    <row r="14176" spans="8:12" x14ac:dyDescent="0.3">
      <c r="H14176" s="49"/>
      <c r="K14176" s="48"/>
      <c r="L14176" s="89"/>
    </row>
    <row r="14177" spans="8:12" x14ac:dyDescent="0.3">
      <c r="H14177" s="49"/>
      <c r="K14177" s="48"/>
      <c r="L14177" s="89"/>
    </row>
    <row r="14178" spans="8:12" x14ac:dyDescent="0.3">
      <c r="H14178" s="49"/>
      <c r="K14178" s="48"/>
      <c r="L14178" s="89"/>
    </row>
    <row r="14179" spans="8:12" x14ac:dyDescent="0.3">
      <c r="H14179" s="49"/>
      <c r="K14179" s="48"/>
      <c r="L14179" s="89"/>
    </row>
    <row r="14180" spans="8:12" x14ac:dyDescent="0.3">
      <c r="H14180" s="49"/>
      <c r="K14180" s="48"/>
      <c r="L14180" s="89"/>
    </row>
    <row r="14181" spans="8:12" x14ac:dyDescent="0.3">
      <c r="H14181" s="49"/>
      <c r="K14181" s="48"/>
      <c r="L14181" s="89"/>
    </row>
    <row r="14182" spans="8:12" x14ac:dyDescent="0.3">
      <c r="H14182" s="49"/>
      <c r="K14182" s="48"/>
      <c r="L14182" s="89"/>
    </row>
    <row r="14183" spans="8:12" x14ac:dyDescent="0.3">
      <c r="H14183" s="49"/>
      <c r="K14183" s="48"/>
      <c r="L14183" s="89"/>
    </row>
    <row r="14184" spans="8:12" x14ac:dyDescent="0.3">
      <c r="H14184" s="49"/>
      <c r="K14184" s="48"/>
      <c r="L14184" s="89"/>
    </row>
    <row r="14185" spans="8:12" x14ac:dyDescent="0.3">
      <c r="H14185" s="49"/>
      <c r="K14185" s="48"/>
      <c r="L14185" s="89"/>
    </row>
    <row r="14186" spans="8:12" x14ac:dyDescent="0.3">
      <c r="H14186" s="49"/>
      <c r="K14186" s="48"/>
      <c r="L14186" s="89"/>
    </row>
    <row r="14187" spans="8:12" x14ac:dyDescent="0.3">
      <c r="H14187" s="49"/>
      <c r="K14187" s="48"/>
      <c r="L14187" s="89"/>
    </row>
    <row r="14188" spans="8:12" x14ac:dyDescent="0.3">
      <c r="H14188" s="49"/>
      <c r="K14188" s="48"/>
      <c r="L14188" s="89"/>
    </row>
    <row r="14189" spans="8:12" x14ac:dyDescent="0.3">
      <c r="H14189" s="49"/>
      <c r="K14189" s="48"/>
      <c r="L14189" s="89"/>
    </row>
    <row r="14190" spans="8:12" x14ac:dyDescent="0.3">
      <c r="H14190" s="49"/>
      <c r="K14190" s="48"/>
      <c r="L14190" s="89"/>
    </row>
    <row r="14191" spans="8:12" x14ac:dyDescent="0.3">
      <c r="H14191" s="49"/>
      <c r="K14191" s="48"/>
      <c r="L14191" s="89"/>
    </row>
    <row r="14192" spans="8:12" x14ac:dyDescent="0.3">
      <c r="H14192" s="49"/>
      <c r="K14192" s="48"/>
      <c r="L14192" s="89"/>
    </row>
    <row r="14193" spans="8:12" x14ac:dyDescent="0.3">
      <c r="H14193" s="49"/>
      <c r="K14193" s="48"/>
      <c r="L14193" s="89"/>
    </row>
    <row r="14194" spans="8:12" x14ac:dyDescent="0.3">
      <c r="H14194" s="49"/>
      <c r="K14194" s="48"/>
      <c r="L14194" s="89"/>
    </row>
    <row r="14195" spans="8:12" x14ac:dyDescent="0.3">
      <c r="H14195" s="49"/>
      <c r="K14195" s="48"/>
      <c r="L14195" s="89"/>
    </row>
    <row r="14196" spans="8:12" x14ac:dyDescent="0.3">
      <c r="H14196" s="49"/>
      <c r="K14196" s="48"/>
      <c r="L14196" s="89"/>
    </row>
    <row r="14197" spans="8:12" x14ac:dyDescent="0.3">
      <c r="H14197" s="49"/>
      <c r="K14197" s="48"/>
      <c r="L14197" s="89"/>
    </row>
    <row r="14198" spans="8:12" x14ac:dyDescent="0.3">
      <c r="H14198" s="49"/>
      <c r="K14198" s="48"/>
      <c r="L14198" s="89"/>
    </row>
    <row r="14199" spans="8:12" x14ac:dyDescent="0.3">
      <c r="H14199" s="49"/>
      <c r="K14199" s="48"/>
      <c r="L14199" s="89"/>
    </row>
    <row r="14200" spans="8:12" x14ac:dyDescent="0.3">
      <c r="H14200" s="49"/>
      <c r="K14200" s="48"/>
      <c r="L14200" s="89"/>
    </row>
    <row r="14201" spans="8:12" x14ac:dyDescent="0.3">
      <c r="H14201" s="49"/>
      <c r="K14201" s="48"/>
      <c r="L14201" s="89"/>
    </row>
    <row r="14202" spans="8:12" x14ac:dyDescent="0.3">
      <c r="H14202" s="49"/>
      <c r="K14202" s="48"/>
      <c r="L14202" s="89"/>
    </row>
    <row r="14203" spans="8:12" x14ac:dyDescent="0.3">
      <c r="H14203" s="49"/>
      <c r="K14203" s="48"/>
      <c r="L14203" s="89"/>
    </row>
    <row r="14204" spans="8:12" x14ac:dyDescent="0.3">
      <c r="H14204" s="49"/>
      <c r="K14204" s="48"/>
      <c r="L14204" s="89"/>
    </row>
    <row r="14205" spans="8:12" x14ac:dyDescent="0.3">
      <c r="H14205" s="49"/>
      <c r="K14205" s="48"/>
      <c r="L14205" s="89"/>
    </row>
    <row r="14206" spans="8:12" x14ac:dyDescent="0.3">
      <c r="H14206" s="49"/>
      <c r="K14206" s="48"/>
      <c r="L14206" s="89"/>
    </row>
    <row r="14207" spans="8:12" x14ac:dyDescent="0.3">
      <c r="H14207" s="49"/>
      <c r="K14207" s="48"/>
      <c r="L14207" s="89"/>
    </row>
    <row r="14208" spans="8:12" x14ac:dyDescent="0.3">
      <c r="H14208" s="49"/>
      <c r="K14208" s="48"/>
      <c r="L14208" s="89"/>
    </row>
    <row r="14209" spans="8:12" x14ac:dyDescent="0.3">
      <c r="H14209" s="49"/>
      <c r="K14209" s="48"/>
      <c r="L14209" s="89"/>
    </row>
    <row r="14210" spans="8:12" x14ac:dyDescent="0.3">
      <c r="H14210" s="49"/>
      <c r="K14210" s="48"/>
      <c r="L14210" s="89"/>
    </row>
    <row r="14211" spans="8:12" x14ac:dyDescent="0.3">
      <c r="H14211" s="49"/>
      <c r="K14211" s="48"/>
      <c r="L14211" s="89"/>
    </row>
    <row r="14212" spans="8:12" x14ac:dyDescent="0.3">
      <c r="H14212" s="49"/>
      <c r="K14212" s="48"/>
      <c r="L14212" s="89"/>
    </row>
    <row r="14213" spans="8:12" x14ac:dyDescent="0.3">
      <c r="H14213" s="49"/>
      <c r="K14213" s="48"/>
      <c r="L14213" s="89"/>
    </row>
    <row r="14214" spans="8:12" x14ac:dyDescent="0.3">
      <c r="H14214" s="49"/>
      <c r="K14214" s="48"/>
      <c r="L14214" s="89"/>
    </row>
    <row r="14215" spans="8:12" x14ac:dyDescent="0.3">
      <c r="H14215" s="49"/>
      <c r="K14215" s="48"/>
      <c r="L14215" s="89"/>
    </row>
    <row r="14216" spans="8:12" x14ac:dyDescent="0.3">
      <c r="H14216" s="49"/>
      <c r="K14216" s="48"/>
      <c r="L14216" s="89"/>
    </row>
    <row r="14217" spans="8:12" x14ac:dyDescent="0.3">
      <c r="H14217" s="49"/>
      <c r="K14217" s="48"/>
      <c r="L14217" s="89"/>
    </row>
    <row r="14218" spans="8:12" x14ac:dyDescent="0.3">
      <c r="H14218" s="49"/>
      <c r="K14218" s="48"/>
      <c r="L14218" s="89"/>
    </row>
    <row r="14219" spans="8:12" x14ac:dyDescent="0.3">
      <c r="H14219" s="49"/>
      <c r="K14219" s="48"/>
      <c r="L14219" s="89"/>
    </row>
    <row r="14220" spans="8:12" x14ac:dyDescent="0.3">
      <c r="H14220" s="49"/>
      <c r="K14220" s="48"/>
      <c r="L14220" s="89"/>
    </row>
    <row r="14221" spans="8:12" x14ac:dyDescent="0.3">
      <c r="H14221" s="49"/>
      <c r="K14221" s="48"/>
      <c r="L14221" s="89"/>
    </row>
    <row r="14222" spans="8:12" x14ac:dyDescent="0.3">
      <c r="H14222" s="49"/>
      <c r="K14222" s="48"/>
      <c r="L14222" s="89"/>
    </row>
    <row r="14223" spans="8:12" x14ac:dyDescent="0.3">
      <c r="H14223" s="49"/>
      <c r="K14223" s="48"/>
      <c r="L14223" s="89"/>
    </row>
    <row r="14224" spans="8:12" x14ac:dyDescent="0.3">
      <c r="H14224" s="49"/>
      <c r="K14224" s="48"/>
      <c r="L14224" s="89"/>
    </row>
    <row r="14225" spans="8:12" x14ac:dyDescent="0.3">
      <c r="H14225" s="49"/>
      <c r="K14225" s="48"/>
      <c r="L14225" s="89"/>
    </row>
    <row r="14226" spans="8:12" x14ac:dyDescent="0.3">
      <c r="H14226" s="49"/>
      <c r="K14226" s="48"/>
      <c r="L14226" s="89"/>
    </row>
    <row r="14227" spans="8:12" x14ac:dyDescent="0.3">
      <c r="H14227" s="49"/>
      <c r="K14227" s="48"/>
      <c r="L14227" s="89"/>
    </row>
    <row r="14228" spans="8:12" x14ac:dyDescent="0.3">
      <c r="H14228" s="49"/>
      <c r="K14228" s="48"/>
      <c r="L14228" s="89"/>
    </row>
    <row r="14229" spans="8:12" x14ac:dyDescent="0.3">
      <c r="H14229" s="49"/>
      <c r="K14229" s="48"/>
      <c r="L14229" s="89"/>
    </row>
    <row r="14230" spans="8:12" x14ac:dyDescent="0.3">
      <c r="H14230" s="49"/>
      <c r="K14230" s="48"/>
      <c r="L14230" s="89"/>
    </row>
    <row r="14231" spans="8:12" x14ac:dyDescent="0.3">
      <c r="H14231" s="49"/>
      <c r="K14231" s="48"/>
      <c r="L14231" s="89"/>
    </row>
    <row r="14232" spans="8:12" x14ac:dyDescent="0.3">
      <c r="H14232" s="49"/>
      <c r="K14232" s="48"/>
      <c r="L14232" s="89"/>
    </row>
    <row r="14233" spans="8:12" x14ac:dyDescent="0.3">
      <c r="H14233" s="49"/>
      <c r="K14233" s="48"/>
      <c r="L14233" s="89"/>
    </row>
    <row r="14234" spans="8:12" x14ac:dyDescent="0.3">
      <c r="H14234" s="49"/>
      <c r="K14234" s="48"/>
      <c r="L14234" s="89"/>
    </row>
    <row r="14235" spans="8:12" x14ac:dyDescent="0.3">
      <c r="H14235" s="49"/>
      <c r="K14235" s="48"/>
      <c r="L14235" s="89"/>
    </row>
    <row r="14236" spans="8:12" x14ac:dyDescent="0.3">
      <c r="H14236" s="49"/>
      <c r="K14236" s="48"/>
      <c r="L14236" s="89"/>
    </row>
    <row r="14237" spans="8:12" x14ac:dyDescent="0.3">
      <c r="H14237" s="49"/>
      <c r="K14237" s="48"/>
      <c r="L14237" s="89"/>
    </row>
    <row r="14238" spans="8:12" x14ac:dyDescent="0.3">
      <c r="H14238" s="49"/>
      <c r="K14238" s="48"/>
      <c r="L14238" s="89"/>
    </row>
    <row r="14239" spans="8:12" x14ac:dyDescent="0.3">
      <c r="H14239" s="49"/>
      <c r="K14239" s="48"/>
      <c r="L14239" s="89"/>
    </row>
    <row r="14240" spans="8:12" x14ac:dyDescent="0.3">
      <c r="H14240" s="49"/>
      <c r="K14240" s="48"/>
      <c r="L14240" s="89"/>
    </row>
    <row r="14241" spans="8:12" x14ac:dyDescent="0.3">
      <c r="H14241" s="49"/>
      <c r="K14241" s="48"/>
      <c r="L14241" s="89"/>
    </row>
    <row r="14242" spans="8:12" x14ac:dyDescent="0.3">
      <c r="H14242" s="49"/>
      <c r="K14242" s="48"/>
      <c r="L14242" s="89"/>
    </row>
    <row r="14243" spans="8:12" x14ac:dyDescent="0.3">
      <c r="H14243" s="49"/>
      <c r="K14243" s="48"/>
      <c r="L14243" s="89"/>
    </row>
    <row r="14244" spans="8:12" x14ac:dyDescent="0.3">
      <c r="H14244" s="49"/>
      <c r="K14244" s="48"/>
      <c r="L14244" s="89"/>
    </row>
    <row r="14245" spans="8:12" x14ac:dyDescent="0.3">
      <c r="H14245" s="49"/>
      <c r="K14245" s="48"/>
      <c r="L14245" s="89"/>
    </row>
    <row r="14246" spans="8:12" x14ac:dyDescent="0.3">
      <c r="H14246" s="49"/>
      <c r="K14246" s="48"/>
      <c r="L14246" s="89"/>
    </row>
    <row r="14247" spans="8:12" x14ac:dyDescent="0.3">
      <c r="H14247" s="49"/>
      <c r="K14247" s="48"/>
      <c r="L14247" s="89"/>
    </row>
    <row r="14248" spans="8:12" x14ac:dyDescent="0.3">
      <c r="H14248" s="49"/>
      <c r="K14248" s="48"/>
      <c r="L14248" s="89"/>
    </row>
    <row r="14249" spans="8:12" x14ac:dyDescent="0.3">
      <c r="H14249" s="49"/>
      <c r="K14249" s="48"/>
      <c r="L14249" s="89"/>
    </row>
    <row r="14250" spans="8:12" x14ac:dyDescent="0.3">
      <c r="H14250" s="49"/>
      <c r="K14250" s="48"/>
      <c r="L14250" s="89"/>
    </row>
    <row r="14251" spans="8:12" x14ac:dyDescent="0.3">
      <c r="H14251" s="49"/>
      <c r="K14251" s="48"/>
      <c r="L14251" s="89"/>
    </row>
    <row r="14252" spans="8:12" x14ac:dyDescent="0.3">
      <c r="H14252" s="49"/>
      <c r="K14252" s="48"/>
      <c r="L14252" s="89"/>
    </row>
    <row r="14253" spans="8:12" x14ac:dyDescent="0.3">
      <c r="H14253" s="49"/>
      <c r="K14253" s="48"/>
      <c r="L14253" s="89"/>
    </row>
    <row r="14254" spans="8:12" x14ac:dyDescent="0.3">
      <c r="H14254" s="49"/>
      <c r="K14254" s="48"/>
      <c r="L14254" s="89"/>
    </row>
    <row r="14255" spans="8:12" x14ac:dyDescent="0.3">
      <c r="H14255" s="49"/>
      <c r="K14255" s="48"/>
      <c r="L14255" s="89"/>
    </row>
    <row r="14256" spans="8:12" x14ac:dyDescent="0.3">
      <c r="H14256" s="49"/>
      <c r="K14256" s="48"/>
      <c r="L14256" s="89"/>
    </row>
    <row r="14257" spans="8:12" x14ac:dyDescent="0.3">
      <c r="H14257" s="49"/>
      <c r="K14257" s="48"/>
      <c r="L14257" s="89"/>
    </row>
    <row r="14258" spans="8:12" x14ac:dyDescent="0.3">
      <c r="H14258" s="49"/>
      <c r="K14258" s="48"/>
      <c r="L14258" s="89"/>
    </row>
    <row r="14259" spans="8:12" x14ac:dyDescent="0.3">
      <c r="H14259" s="49"/>
      <c r="K14259" s="48"/>
      <c r="L14259" s="89"/>
    </row>
    <row r="14260" spans="8:12" x14ac:dyDescent="0.3">
      <c r="H14260" s="49"/>
      <c r="K14260" s="48"/>
      <c r="L14260" s="89"/>
    </row>
    <row r="14261" spans="8:12" x14ac:dyDescent="0.3">
      <c r="H14261" s="49"/>
      <c r="K14261" s="48"/>
      <c r="L14261" s="89"/>
    </row>
    <row r="14262" spans="8:12" x14ac:dyDescent="0.3">
      <c r="H14262" s="49"/>
      <c r="K14262" s="48"/>
      <c r="L14262" s="89"/>
    </row>
    <row r="14263" spans="8:12" x14ac:dyDescent="0.3">
      <c r="H14263" s="49"/>
      <c r="K14263" s="48"/>
      <c r="L14263" s="89"/>
    </row>
    <row r="14264" spans="8:12" x14ac:dyDescent="0.3">
      <c r="H14264" s="49"/>
      <c r="K14264" s="48"/>
      <c r="L14264" s="89"/>
    </row>
    <row r="14265" spans="8:12" x14ac:dyDescent="0.3">
      <c r="H14265" s="49"/>
      <c r="K14265" s="48"/>
      <c r="L14265" s="89"/>
    </row>
    <row r="14266" spans="8:12" x14ac:dyDescent="0.3">
      <c r="H14266" s="49"/>
      <c r="K14266" s="48"/>
      <c r="L14266" s="89"/>
    </row>
    <row r="14267" spans="8:12" x14ac:dyDescent="0.3">
      <c r="H14267" s="49"/>
      <c r="K14267" s="48"/>
      <c r="L14267" s="89"/>
    </row>
    <row r="14268" spans="8:12" x14ac:dyDescent="0.3">
      <c r="H14268" s="49"/>
      <c r="K14268" s="48"/>
      <c r="L14268" s="89"/>
    </row>
    <row r="14269" spans="8:12" x14ac:dyDescent="0.3">
      <c r="H14269" s="49"/>
      <c r="K14269" s="48"/>
      <c r="L14269" s="89"/>
    </row>
    <row r="14270" spans="8:12" x14ac:dyDescent="0.3">
      <c r="H14270" s="49"/>
      <c r="K14270" s="48"/>
      <c r="L14270" s="89"/>
    </row>
    <row r="14271" spans="8:12" x14ac:dyDescent="0.3">
      <c r="H14271" s="49"/>
      <c r="K14271" s="48"/>
      <c r="L14271" s="89"/>
    </row>
    <row r="14272" spans="8:12" x14ac:dyDescent="0.3">
      <c r="H14272" s="49"/>
      <c r="K14272" s="48"/>
      <c r="L14272" s="89"/>
    </row>
    <row r="14273" spans="8:12" x14ac:dyDescent="0.3">
      <c r="H14273" s="49"/>
      <c r="K14273" s="48"/>
      <c r="L14273" s="89"/>
    </row>
    <row r="14274" spans="8:12" x14ac:dyDescent="0.3">
      <c r="H14274" s="49"/>
      <c r="K14274" s="48"/>
      <c r="L14274" s="89"/>
    </row>
    <row r="14275" spans="8:12" x14ac:dyDescent="0.3">
      <c r="H14275" s="49"/>
      <c r="K14275" s="48"/>
      <c r="L14275" s="89"/>
    </row>
    <row r="14276" spans="8:12" x14ac:dyDescent="0.3">
      <c r="H14276" s="49"/>
      <c r="K14276" s="48"/>
      <c r="L14276" s="89"/>
    </row>
    <row r="14277" spans="8:12" x14ac:dyDescent="0.3">
      <c r="H14277" s="49"/>
      <c r="K14277" s="48"/>
      <c r="L14277" s="89"/>
    </row>
    <row r="14278" spans="8:12" x14ac:dyDescent="0.3">
      <c r="H14278" s="49"/>
      <c r="K14278" s="48"/>
      <c r="L14278" s="89"/>
    </row>
    <row r="14279" spans="8:12" x14ac:dyDescent="0.3">
      <c r="H14279" s="49"/>
      <c r="K14279" s="48"/>
      <c r="L14279" s="89"/>
    </row>
    <row r="14280" spans="8:12" x14ac:dyDescent="0.3">
      <c r="H14280" s="49"/>
      <c r="K14280" s="48"/>
      <c r="L14280" s="89"/>
    </row>
    <row r="14281" spans="8:12" x14ac:dyDescent="0.3">
      <c r="H14281" s="49"/>
      <c r="K14281" s="48"/>
      <c r="L14281" s="89"/>
    </row>
    <row r="14282" spans="8:12" x14ac:dyDescent="0.3">
      <c r="H14282" s="49"/>
      <c r="K14282" s="48"/>
      <c r="L14282" s="89"/>
    </row>
    <row r="14283" spans="8:12" x14ac:dyDescent="0.3">
      <c r="H14283" s="49"/>
      <c r="K14283" s="48"/>
      <c r="L14283" s="89"/>
    </row>
    <row r="14284" spans="8:12" x14ac:dyDescent="0.3">
      <c r="H14284" s="49"/>
      <c r="K14284" s="48"/>
      <c r="L14284" s="89"/>
    </row>
    <row r="14285" spans="8:12" x14ac:dyDescent="0.3">
      <c r="H14285" s="49"/>
      <c r="K14285" s="48"/>
      <c r="L14285" s="89"/>
    </row>
    <row r="14286" spans="8:12" x14ac:dyDescent="0.3">
      <c r="H14286" s="49"/>
      <c r="K14286" s="48"/>
      <c r="L14286" s="89"/>
    </row>
    <row r="14287" spans="8:12" x14ac:dyDescent="0.3">
      <c r="H14287" s="49"/>
      <c r="K14287" s="48"/>
      <c r="L14287" s="89"/>
    </row>
    <row r="14288" spans="8:12" x14ac:dyDescent="0.3">
      <c r="H14288" s="49"/>
      <c r="K14288" s="48"/>
      <c r="L14288" s="89"/>
    </row>
    <row r="14289" spans="8:12" x14ac:dyDescent="0.3">
      <c r="H14289" s="49"/>
      <c r="K14289" s="48"/>
      <c r="L14289" s="89"/>
    </row>
    <row r="14290" spans="8:12" x14ac:dyDescent="0.3">
      <c r="H14290" s="49"/>
      <c r="K14290" s="48"/>
      <c r="L14290" s="89"/>
    </row>
    <row r="14291" spans="8:12" x14ac:dyDescent="0.3">
      <c r="H14291" s="49"/>
      <c r="K14291" s="48"/>
      <c r="L14291" s="89"/>
    </row>
    <row r="14292" spans="8:12" x14ac:dyDescent="0.3">
      <c r="H14292" s="49"/>
      <c r="K14292" s="48"/>
      <c r="L14292" s="89"/>
    </row>
    <row r="14293" spans="8:12" x14ac:dyDescent="0.3">
      <c r="H14293" s="49"/>
      <c r="K14293" s="48"/>
      <c r="L14293" s="89"/>
    </row>
    <row r="14294" spans="8:12" x14ac:dyDescent="0.3">
      <c r="H14294" s="49"/>
      <c r="K14294" s="48"/>
      <c r="L14294" s="89"/>
    </row>
    <row r="14295" spans="8:12" x14ac:dyDescent="0.3">
      <c r="H14295" s="49"/>
      <c r="K14295" s="48"/>
      <c r="L14295" s="89"/>
    </row>
    <row r="14296" spans="8:12" x14ac:dyDescent="0.3">
      <c r="H14296" s="49"/>
      <c r="K14296" s="48"/>
      <c r="L14296" s="89"/>
    </row>
    <row r="14297" spans="8:12" x14ac:dyDescent="0.3">
      <c r="H14297" s="49"/>
      <c r="K14297" s="48"/>
      <c r="L14297" s="89"/>
    </row>
    <row r="14298" spans="8:12" x14ac:dyDescent="0.3">
      <c r="H14298" s="49"/>
      <c r="K14298" s="48"/>
      <c r="L14298" s="89"/>
    </row>
    <row r="14299" spans="8:12" x14ac:dyDescent="0.3">
      <c r="H14299" s="49"/>
      <c r="K14299" s="48"/>
      <c r="L14299" s="89"/>
    </row>
    <row r="14300" spans="8:12" x14ac:dyDescent="0.3">
      <c r="H14300" s="49"/>
      <c r="K14300" s="48"/>
      <c r="L14300" s="89"/>
    </row>
    <row r="14301" spans="8:12" x14ac:dyDescent="0.3">
      <c r="H14301" s="49"/>
      <c r="K14301" s="48"/>
      <c r="L14301" s="89"/>
    </row>
    <row r="14302" spans="8:12" x14ac:dyDescent="0.3">
      <c r="H14302" s="49"/>
      <c r="K14302" s="48"/>
      <c r="L14302" s="89"/>
    </row>
    <row r="14303" spans="8:12" x14ac:dyDescent="0.3">
      <c r="H14303" s="49"/>
      <c r="K14303" s="48"/>
      <c r="L14303" s="89"/>
    </row>
    <row r="14304" spans="8:12" x14ac:dyDescent="0.3">
      <c r="H14304" s="49"/>
      <c r="K14304" s="48"/>
      <c r="L14304" s="89"/>
    </row>
    <row r="14305" spans="8:12" x14ac:dyDescent="0.3">
      <c r="H14305" s="49"/>
      <c r="K14305" s="48"/>
      <c r="L14305" s="89"/>
    </row>
    <row r="14306" spans="8:12" x14ac:dyDescent="0.3">
      <c r="H14306" s="49"/>
      <c r="K14306" s="48"/>
      <c r="L14306" s="89"/>
    </row>
    <row r="14307" spans="8:12" x14ac:dyDescent="0.3">
      <c r="H14307" s="49"/>
      <c r="K14307" s="48"/>
      <c r="L14307" s="89"/>
    </row>
    <row r="14308" spans="8:12" x14ac:dyDescent="0.3">
      <c r="H14308" s="49"/>
      <c r="K14308" s="48"/>
      <c r="L14308" s="89"/>
    </row>
    <row r="14309" spans="8:12" x14ac:dyDescent="0.3">
      <c r="H14309" s="49"/>
      <c r="K14309" s="48"/>
      <c r="L14309" s="89"/>
    </row>
    <row r="14310" spans="8:12" x14ac:dyDescent="0.3">
      <c r="H14310" s="49"/>
      <c r="K14310" s="48"/>
      <c r="L14310" s="89"/>
    </row>
    <row r="14311" spans="8:12" x14ac:dyDescent="0.3">
      <c r="H14311" s="49"/>
      <c r="K14311" s="48"/>
      <c r="L14311" s="89"/>
    </row>
    <row r="14312" spans="8:12" x14ac:dyDescent="0.3">
      <c r="H14312" s="49"/>
      <c r="K14312" s="48"/>
      <c r="L14312" s="89"/>
    </row>
    <row r="14313" spans="8:12" x14ac:dyDescent="0.3">
      <c r="H14313" s="49"/>
      <c r="K14313" s="48"/>
      <c r="L14313" s="89"/>
    </row>
    <row r="14314" spans="8:12" x14ac:dyDescent="0.3">
      <c r="H14314" s="49"/>
      <c r="K14314" s="48"/>
      <c r="L14314" s="89"/>
    </row>
    <row r="14315" spans="8:12" x14ac:dyDescent="0.3">
      <c r="H14315" s="49"/>
      <c r="K14315" s="48"/>
      <c r="L14315" s="89"/>
    </row>
    <row r="14316" spans="8:12" x14ac:dyDescent="0.3">
      <c r="H14316" s="49"/>
      <c r="K14316" s="48"/>
      <c r="L14316" s="89"/>
    </row>
    <row r="14317" spans="8:12" x14ac:dyDescent="0.3">
      <c r="H14317" s="49"/>
      <c r="K14317" s="48"/>
      <c r="L14317" s="89"/>
    </row>
    <row r="14318" spans="8:12" x14ac:dyDescent="0.3">
      <c r="H14318" s="49"/>
      <c r="K14318" s="48"/>
      <c r="L14318" s="89"/>
    </row>
    <row r="14319" spans="8:12" x14ac:dyDescent="0.3">
      <c r="H14319" s="49"/>
      <c r="K14319" s="48"/>
      <c r="L14319" s="89"/>
    </row>
    <row r="14320" spans="8:12" x14ac:dyDescent="0.3">
      <c r="H14320" s="49"/>
      <c r="K14320" s="48"/>
      <c r="L14320" s="89"/>
    </row>
    <row r="14321" spans="8:12" x14ac:dyDescent="0.3">
      <c r="H14321" s="49"/>
      <c r="K14321" s="48"/>
      <c r="L14321" s="89"/>
    </row>
    <row r="14322" spans="8:12" x14ac:dyDescent="0.3">
      <c r="H14322" s="49"/>
      <c r="K14322" s="48"/>
      <c r="L14322" s="89"/>
    </row>
    <row r="14323" spans="8:12" x14ac:dyDescent="0.3">
      <c r="H14323" s="49"/>
      <c r="K14323" s="48"/>
      <c r="L14323" s="89"/>
    </row>
    <row r="14324" spans="8:12" x14ac:dyDescent="0.3">
      <c r="H14324" s="49"/>
      <c r="K14324" s="48"/>
      <c r="L14324" s="89"/>
    </row>
    <row r="14325" spans="8:12" x14ac:dyDescent="0.3">
      <c r="H14325" s="49"/>
      <c r="K14325" s="48"/>
      <c r="L14325" s="89"/>
    </row>
    <row r="14326" spans="8:12" x14ac:dyDescent="0.3">
      <c r="H14326" s="49"/>
      <c r="K14326" s="48"/>
      <c r="L14326" s="89"/>
    </row>
    <row r="14327" spans="8:12" x14ac:dyDescent="0.3">
      <c r="H14327" s="49"/>
      <c r="K14327" s="48"/>
      <c r="L14327" s="89"/>
    </row>
    <row r="14328" spans="8:12" x14ac:dyDescent="0.3">
      <c r="H14328" s="49"/>
      <c r="K14328" s="48"/>
      <c r="L14328" s="89"/>
    </row>
    <row r="14329" spans="8:12" x14ac:dyDescent="0.3">
      <c r="H14329" s="49"/>
      <c r="K14329" s="48"/>
      <c r="L14329" s="89"/>
    </row>
    <row r="14330" spans="8:12" x14ac:dyDescent="0.3">
      <c r="H14330" s="49"/>
      <c r="K14330" s="48"/>
      <c r="L14330" s="89"/>
    </row>
    <row r="14331" spans="8:12" x14ac:dyDescent="0.3">
      <c r="H14331" s="49"/>
      <c r="K14331" s="48"/>
      <c r="L14331" s="89"/>
    </row>
    <row r="14332" spans="8:12" x14ac:dyDescent="0.3">
      <c r="H14332" s="49"/>
      <c r="K14332" s="48"/>
      <c r="L14332" s="89"/>
    </row>
    <row r="14333" spans="8:12" x14ac:dyDescent="0.3">
      <c r="H14333" s="49"/>
      <c r="K14333" s="48"/>
      <c r="L14333" s="89"/>
    </row>
    <row r="14334" spans="8:12" x14ac:dyDescent="0.3">
      <c r="H14334" s="49"/>
      <c r="K14334" s="48"/>
      <c r="L14334" s="89"/>
    </row>
    <row r="14335" spans="8:12" x14ac:dyDescent="0.3">
      <c r="H14335" s="49"/>
      <c r="K14335" s="48"/>
      <c r="L14335" s="89"/>
    </row>
    <row r="14336" spans="8:12" x14ac:dyDescent="0.3">
      <c r="H14336" s="49"/>
      <c r="K14336" s="48"/>
      <c r="L14336" s="89"/>
    </row>
    <row r="14337" spans="8:12" x14ac:dyDescent="0.3">
      <c r="H14337" s="49"/>
      <c r="K14337" s="48"/>
      <c r="L14337" s="89"/>
    </row>
    <row r="14338" spans="8:12" x14ac:dyDescent="0.3">
      <c r="H14338" s="49"/>
      <c r="K14338" s="48"/>
      <c r="L14338" s="89"/>
    </row>
    <row r="14339" spans="8:12" x14ac:dyDescent="0.3">
      <c r="H14339" s="49"/>
      <c r="K14339" s="48"/>
      <c r="L14339" s="89"/>
    </row>
    <row r="14340" spans="8:12" x14ac:dyDescent="0.3">
      <c r="H14340" s="49"/>
      <c r="K14340" s="48"/>
      <c r="L14340" s="89"/>
    </row>
    <row r="14341" spans="8:12" x14ac:dyDescent="0.3">
      <c r="H14341" s="49"/>
      <c r="K14341" s="48"/>
      <c r="L14341" s="89"/>
    </row>
    <row r="14342" spans="8:12" x14ac:dyDescent="0.3">
      <c r="H14342" s="49"/>
      <c r="K14342" s="48"/>
      <c r="L14342" s="89"/>
    </row>
    <row r="14343" spans="8:12" x14ac:dyDescent="0.3">
      <c r="H14343" s="49"/>
      <c r="K14343" s="48"/>
      <c r="L14343" s="89"/>
    </row>
    <row r="14344" spans="8:12" x14ac:dyDescent="0.3">
      <c r="H14344" s="49"/>
      <c r="K14344" s="48"/>
      <c r="L14344" s="89"/>
    </row>
    <row r="14345" spans="8:12" x14ac:dyDescent="0.3">
      <c r="H14345" s="49"/>
      <c r="K14345" s="48"/>
      <c r="L14345" s="89"/>
    </row>
    <row r="14346" spans="8:12" x14ac:dyDescent="0.3">
      <c r="H14346" s="49"/>
      <c r="K14346" s="48"/>
      <c r="L14346" s="89"/>
    </row>
    <row r="14347" spans="8:12" x14ac:dyDescent="0.3">
      <c r="H14347" s="49"/>
      <c r="K14347" s="48"/>
      <c r="L14347" s="89"/>
    </row>
    <row r="14348" spans="8:12" x14ac:dyDescent="0.3">
      <c r="H14348" s="49"/>
      <c r="K14348" s="48"/>
      <c r="L14348" s="89"/>
    </row>
    <row r="14349" spans="8:12" x14ac:dyDescent="0.3">
      <c r="H14349" s="49"/>
      <c r="K14349" s="48"/>
      <c r="L14349" s="89"/>
    </row>
    <row r="14350" spans="8:12" x14ac:dyDescent="0.3">
      <c r="H14350" s="49"/>
      <c r="K14350" s="48"/>
      <c r="L14350" s="89"/>
    </row>
    <row r="14351" spans="8:12" x14ac:dyDescent="0.3">
      <c r="H14351" s="49"/>
      <c r="K14351" s="48"/>
      <c r="L14351" s="89"/>
    </row>
    <row r="14352" spans="8:12" x14ac:dyDescent="0.3">
      <c r="H14352" s="49"/>
      <c r="K14352" s="48"/>
      <c r="L14352" s="89"/>
    </row>
    <row r="14353" spans="8:12" x14ac:dyDescent="0.3">
      <c r="H14353" s="49"/>
      <c r="K14353" s="48"/>
      <c r="L14353" s="89"/>
    </row>
    <row r="14354" spans="8:12" x14ac:dyDescent="0.3">
      <c r="H14354" s="49"/>
      <c r="K14354" s="48"/>
      <c r="L14354" s="89"/>
    </row>
    <row r="14355" spans="8:12" x14ac:dyDescent="0.3">
      <c r="H14355" s="49"/>
      <c r="K14355" s="48"/>
      <c r="L14355" s="89"/>
    </row>
    <row r="14356" spans="8:12" x14ac:dyDescent="0.3">
      <c r="H14356" s="49"/>
      <c r="K14356" s="48"/>
      <c r="L14356" s="89"/>
    </row>
    <row r="14357" spans="8:12" x14ac:dyDescent="0.3">
      <c r="H14357" s="49"/>
      <c r="K14357" s="48"/>
      <c r="L14357" s="89"/>
    </row>
    <row r="14358" spans="8:12" x14ac:dyDescent="0.3">
      <c r="H14358" s="49"/>
      <c r="K14358" s="48"/>
      <c r="L14358" s="89"/>
    </row>
    <row r="14359" spans="8:12" x14ac:dyDescent="0.3">
      <c r="H14359" s="49"/>
      <c r="K14359" s="48"/>
      <c r="L14359" s="89"/>
    </row>
    <row r="14360" spans="8:12" x14ac:dyDescent="0.3">
      <c r="H14360" s="49"/>
      <c r="K14360" s="48"/>
      <c r="L14360" s="89"/>
    </row>
    <row r="14361" spans="8:12" x14ac:dyDescent="0.3">
      <c r="H14361" s="49"/>
      <c r="K14361" s="48"/>
      <c r="L14361" s="89"/>
    </row>
    <row r="14362" spans="8:12" x14ac:dyDescent="0.3">
      <c r="H14362" s="49"/>
      <c r="K14362" s="48"/>
      <c r="L14362" s="89"/>
    </row>
    <row r="14363" spans="8:12" x14ac:dyDescent="0.3">
      <c r="H14363" s="49"/>
      <c r="K14363" s="48"/>
      <c r="L14363" s="89"/>
    </row>
    <row r="14364" spans="8:12" x14ac:dyDescent="0.3">
      <c r="H14364" s="49"/>
      <c r="K14364" s="48"/>
      <c r="L14364" s="89"/>
    </row>
    <row r="14365" spans="8:12" x14ac:dyDescent="0.3">
      <c r="H14365" s="49"/>
      <c r="K14365" s="48"/>
      <c r="L14365" s="89"/>
    </row>
    <row r="14366" spans="8:12" x14ac:dyDescent="0.3">
      <c r="H14366" s="49"/>
      <c r="K14366" s="48"/>
      <c r="L14366" s="89"/>
    </row>
    <row r="14367" spans="8:12" x14ac:dyDescent="0.3">
      <c r="H14367" s="49"/>
      <c r="K14367" s="48"/>
      <c r="L14367" s="89"/>
    </row>
    <row r="14368" spans="8:12" x14ac:dyDescent="0.3">
      <c r="H14368" s="49"/>
      <c r="K14368" s="48"/>
      <c r="L14368" s="89"/>
    </row>
    <row r="14369" spans="8:12" x14ac:dyDescent="0.3">
      <c r="H14369" s="49"/>
      <c r="K14369" s="48"/>
      <c r="L14369" s="89"/>
    </row>
    <row r="14370" spans="8:12" x14ac:dyDescent="0.3">
      <c r="H14370" s="49"/>
      <c r="K14370" s="48"/>
      <c r="L14370" s="89"/>
    </row>
    <row r="14371" spans="8:12" x14ac:dyDescent="0.3">
      <c r="H14371" s="49"/>
      <c r="K14371" s="48"/>
      <c r="L14371" s="89"/>
    </row>
    <row r="14372" spans="8:12" x14ac:dyDescent="0.3">
      <c r="H14372" s="49"/>
      <c r="K14372" s="48"/>
      <c r="L14372" s="89"/>
    </row>
    <row r="14373" spans="8:12" x14ac:dyDescent="0.3">
      <c r="H14373" s="49"/>
      <c r="K14373" s="48"/>
      <c r="L14373" s="89"/>
    </row>
    <row r="14374" spans="8:12" x14ac:dyDescent="0.3">
      <c r="H14374" s="49"/>
      <c r="K14374" s="48"/>
      <c r="L14374" s="89"/>
    </row>
    <row r="14375" spans="8:12" x14ac:dyDescent="0.3">
      <c r="H14375" s="49"/>
      <c r="K14375" s="48"/>
      <c r="L14375" s="89"/>
    </row>
    <row r="14376" spans="8:12" x14ac:dyDescent="0.3">
      <c r="H14376" s="49"/>
      <c r="K14376" s="48"/>
      <c r="L14376" s="89"/>
    </row>
    <row r="14377" spans="8:12" x14ac:dyDescent="0.3">
      <c r="H14377" s="49"/>
      <c r="K14377" s="48"/>
      <c r="L14377" s="89"/>
    </row>
    <row r="14378" spans="8:12" x14ac:dyDescent="0.3">
      <c r="H14378" s="49"/>
      <c r="K14378" s="48"/>
      <c r="L14378" s="89"/>
    </row>
    <row r="14379" spans="8:12" x14ac:dyDescent="0.3">
      <c r="H14379" s="49"/>
      <c r="K14379" s="48"/>
      <c r="L14379" s="89"/>
    </row>
    <row r="14380" spans="8:12" x14ac:dyDescent="0.3">
      <c r="H14380" s="49"/>
      <c r="K14380" s="48"/>
      <c r="L14380" s="89"/>
    </row>
    <row r="14381" spans="8:12" x14ac:dyDescent="0.3">
      <c r="H14381" s="49"/>
      <c r="K14381" s="48"/>
      <c r="L14381" s="89"/>
    </row>
    <row r="14382" spans="8:12" x14ac:dyDescent="0.3">
      <c r="H14382" s="49"/>
      <c r="K14382" s="48"/>
      <c r="L14382" s="89"/>
    </row>
    <row r="14383" spans="8:12" x14ac:dyDescent="0.3">
      <c r="H14383" s="49"/>
      <c r="K14383" s="48"/>
      <c r="L14383" s="89"/>
    </row>
    <row r="14384" spans="8:12" x14ac:dyDescent="0.3">
      <c r="H14384" s="49"/>
      <c r="K14384" s="48"/>
      <c r="L14384" s="89"/>
    </row>
    <row r="14385" spans="8:12" x14ac:dyDescent="0.3">
      <c r="H14385" s="49"/>
      <c r="K14385" s="48"/>
      <c r="L14385" s="89"/>
    </row>
    <row r="14386" spans="8:12" x14ac:dyDescent="0.3">
      <c r="H14386" s="49"/>
      <c r="K14386" s="48"/>
      <c r="L14386" s="89"/>
    </row>
    <row r="14387" spans="8:12" x14ac:dyDescent="0.3">
      <c r="H14387" s="49"/>
      <c r="K14387" s="48"/>
      <c r="L14387" s="89"/>
    </row>
    <row r="14388" spans="8:12" x14ac:dyDescent="0.3">
      <c r="H14388" s="49"/>
      <c r="K14388" s="48"/>
      <c r="L14388" s="89"/>
    </row>
    <row r="14389" spans="8:12" x14ac:dyDescent="0.3">
      <c r="H14389" s="49"/>
      <c r="K14389" s="48"/>
      <c r="L14389" s="89"/>
    </row>
    <row r="14390" spans="8:12" x14ac:dyDescent="0.3">
      <c r="H14390" s="49"/>
      <c r="K14390" s="48"/>
      <c r="L14390" s="89"/>
    </row>
    <row r="14391" spans="8:12" x14ac:dyDescent="0.3">
      <c r="H14391" s="49"/>
      <c r="K14391" s="48"/>
      <c r="L14391" s="89"/>
    </row>
    <row r="14392" spans="8:12" x14ac:dyDescent="0.3">
      <c r="H14392" s="49"/>
      <c r="K14392" s="48"/>
      <c r="L14392" s="89"/>
    </row>
    <row r="14393" spans="8:12" x14ac:dyDescent="0.3">
      <c r="H14393" s="49"/>
      <c r="K14393" s="48"/>
      <c r="L14393" s="89"/>
    </row>
    <row r="14394" spans="8:12" x14ac:dyDescent="0.3">
      <c r="H14394" s="49"/>
      <c r="K14394" s="48"/>
      <c r="L14394" s="89"/>
    </row>
    <row r="14395" spans="8:12" x14ac:dyDescent="0.3">
      <c r="H14395" s="49"/>
      <c r="K14395" s="48"/>
      <c r="L14395" s="89"/>
    </row>
    <row r="14396" spans="8:12" x14ac:dyDescent="0.3">
      <c r="H14396" s="49"/>
      <c r="K14396" s="48"/>
      <c r="L14396" s="89"/>
    </row>
    <row r="14397" spans="8:12" x14ac:dyDescent="0.3">
      <c r="H14397" s="49"/>
      <c r="K14397" s="48"/>
      <c r="L14397" s="89"/>
    </row>
    <row r="14398" spans="8:12" x14ac:dyDescent="0.3">
      <c r="H14398" s="49"/>
      <c r="K14398" s="48"/>
      <c r="L14398" s="89"/>
    </row>
    <row r="14399" spans="8:12" x14ac:dyDescent="0.3">
      <c r="H14399" s="49"/>
      <c r="K14399" s="48"/>
      <c r="L14399" s="89"/>
    </row>
    <row r="14400" spans="8:12" x14ac:dyDescent="0.3">
      <c r="H14400" s="49"/>
      <c r="K14400" s="48"/>
      <c r="L14400" s="89"/>
    </row>
    <row r="14401" spans="8:12" x14ac:dyDescent="0.3">
      <c r="H14401" s="49"/>
      <c r="K14401" s="48"/>
      <c r="L14401" s="89"/>
    </row>
    <row r="14402" spans="8:12" x14ac:dyDescent="0.3">
      <c r="H14402" s="49"/>
      <c r="K14402" s="48"/>
      <c r="L14402" s="89"/>
    </row>
    <row r="14403" spans="8:12" x14ac:dyDescent="0.3">
      <c r="H14403" s="49"/>
      <c r="K14403" s="48"/>
      <c r="L14403" s="89"/>
    </row>
    <row r="14404" spans="8:12" x14ac:dyDescent="0.3">
      <c r="H14404" s="49"/>
      <c r="K14404" s="48"/>
      <c r="L14404" s="89"/>
    </row>
    <row r="14405" spans="8:12" x14ac:dyDescent="0.3">
      <c r="H14405" s="49"/>
      <c r="K14405" s="48"/>
      <c r="L14405" s="89"/>
    </row>
    <row r="14406" spans="8:12" x14ac:dyDescent="0.3">
      <c r="H14406" s="49"/>
      <c r="K14406" s="48"/>
      <c r="L14406" s="89"/>
    </row>
    <row r="14407" spans="8:12" x14ac:dyDescent="0.3">
      <c r="H14407" s="49"/>
      <c r="K14407" s="48"/>
      <c r="L14407" s="89"/>
    </row>
    <row r="14408" spans="8:12" x14ac:dyDescent="0.3">
      <c r="H14408" s="49"/>
      <c r="K14408" s="48"/>
      <c r="L14408" s="89"/>
    </row>
    <row r="14409" spans="8:12" x14ac:dyDescent="0.3">
      <c r="H14409" s="49"/>
      <c r="K14409" s="48"/>
      <c r="L14409" s="89"/>
    </row>
    <row r="14410" spans="8:12" x14ac:dyDescent="0.3">
      <c r="H14410" s="49"/>
      <c r="K14410" s="48"/>
      <c r="L14410" s="89"/>
    </row>
    <row r="14411" spans="8:12" x14ac:dyDescent="0.3">
      <c r="H14411" s="49"/>
      <c r="K14411" s="48"/>
      <c r="L14411" s="89"/>
    </row>
    <row r="14412" spans="8:12" x14ac:dyDescent="0.3">
      <c r="H14412" s="49"/>
      <c r="K14412" s="48"/>
      <c r="L14412" s="89"/>
    </row>
    <row r="14413" spans="8:12" x14ac:dyDescent="0.3">
      <c r="H14413" s="49"/>
      <c r="K14413" s="48"/>
      <c r="L14413" s="89"/>
    </row>
    <row r="14414" spans="8:12" x14ac:dyDescent="0.3">
      <c r="H14414" s="49"/>
      <c r="K14414" s="48"/>
      <c r="L14414" s="89"/>
    </row>
    <row r="14415" spans="8:12" x14ac:dyDescent="0.3">
      <c r="H14415" s="49"/>
      <c r="K14415" s="48"/>
      <c r="L14415" s="89"/>
    </row>
    <row r="14416" spans="8:12" x14ac:dyDescent="0.3">
      <c r="H14416" s="49"/>
      <c r="K14416" s="48"/>
      <c r="L14416" s="89"/>
    </row>
    <row r="14417" spans="8:12" x14ac:dyDescent="0.3">
      <c r="H14417" s="49"/>
      <c r="K14417" s="48"/>
      <c r="L14417" s="89"/>
    </row>
    <row r="14418" spans="8:12" x14ac:dyDescent="0.3">
      <c r="H14418" s="49"/>
      <c r="K14418" s="48"/>
      <c r="L14418" s="89"/>
    </row>
    <row r="14419" spans="8:12" x14ac:dyDescent="0.3">
      <c r="H14419" s="49"/>
      <c r="K14419" s="48"/>
      <c r="L14419" s="89"/>
    </row>
    <row r="14420" spans="8:12" x14ac:dyDescent="0.3">
      <c r="H14420" s="49"/>
      <c r="K14420" s="48"/>
      <c r="L14420" s="89"/>
    </row>
    <row r="14421" spans="8:12" x14ac:dyDescent="0.3">
      <c r="H14421" s="49"/>
      <c r="K14421" s="48"/>
      <c r="L14421" s="89"/>
    </row>
    <row r="14422" spans="8:12" x14ac:dyDescent="0.3">
      <c r="H14422" s="49"/>
      <c r="K14422" s="48"/>
      <c r="L14422" s="89"/>
    </row>
    <row r="14423" spans="8:12" x14ac:dyDescent="0.3">
      <c r="H14423" s="49"/>
      <c r="K14423" s="48"/>
      <c r="L14423" s="89"/>
    </row>
    <row r="14424" spans="8:12" x14ac:dyDescent="0.3">
      <c r="H14424" s="49"/>
      <c r="K14424" s="48"/>
      <c r="L14424" s="89"/>
    </row>
    <row r="14425" spans="8:12" x14ac:dyDescent="0.3">
      <c r="H14425" s="49"/>
      <c r="K14425" s="48"/>
      <c r="L14425" s="89"/>
    </row>
    <row r="14426" spans="8:12" x14ac:dyDescent="0.3">
      <c r="H14426" s="49"/>
      <c r="K14426" s="48"/>
      <c r="L14426" s="89"/>
    </row>
    <row r="14427" spans="8:12" x14ac:dyDescent="0.3">
      <c r="H14427" s="49"/>
      <c r="K14427" s="48"/>
      <c r="L14427" s="89"/>
    </row>
    <row r="14428" spans="8:12" x14ac:dyDescent="0.3">
      <c r="H14428" s="49"/>
      <c r="K14428" s="48"/>
      <c r="L14428" s="89"/>
    </row>
    <row r="14429" spans="8:12" x14ac:dyDescent="0.3">
      <c r="H14429" s="49"/>
      <c r="K14429" s="48"/>
      <c r="L14429" s="89"/>
    </row>
    <row r="14430" spans="8:12" x14ac:dyDescent="0.3">
      <c r="H14430" s="49"/>
      <c r="K14430" s="48"/>
      <c r="L14430" s="89"/>
    </row>
    <row r="14431" spans="8:12" x14ac:dyDescent="0.3">
      <c r="H14431" s="49"/>
      <c r="K14431" s="48"/>
      <c r="L14431" s="89"/>
    </row>
    <row r="14432" spans="8:12" x14ac:dyDescent="0.3">
      <c r="H14432" s="49"/>
      <c r="K14432" s="48"/>
      <c r="L14432" s="89"/>
    </row>
    <row r="14433" spans="8:12" x14ac:dyDescent="0.3">
      <c r="H14433" s="49"/>
      <c r="K14433" s="48"/>
      <c r="L14433" s="89"/>
    </row>
    <row r="14434" spans="8:12" x14ac:dyDescent="0.3">
      <c r="H14434" s="49"/>
      <c r="K14434" s="48"/>
      <c r="L14434" s="89"/>
    </row>
    <row r="14435" spans="8:12" x14ac:dyDescent="0.3">
      <c r="H14435" s="49"/>
      <c r="K14435" s="48"/>
      <c r="L14435" s="89"/>
    </row>
    <row r="14436" spans="8:12" x14ac:dyDescent="0.3">
      <c r="H14436" s="49"/>
      <c r="K14436" s="48"/>
      <c r="L14436" s="89"/>
    </row>
    <row r="14437" spans="8:12" x14ac:dyDescent="0.3">
      <c r="H14437" s="49"/>
      <c r="K14437" s="48"/>
      <c r="L14437" s="89"/>
    </row>
    <row r="14438" spans="8:12" x14ac:dyDescent="0.3">
      <c r="H14438" s="49"/>
      <c r="K14438" s="48"/>
      <c r="L14438" s="89"/>
    </row>
    <row r="14439" spans="8:12" x14ac:dyDescent="0.3">
      <c r="H14439" s="49"/>
      <c r="K14439" s="48"/>
      <c r="L14439" s="89"/>
    </row>
    <row r="14440" spans="8:12" x14ac:dyDescent="0.3">
      <c r="H14440" s="49"/>
      <c r="K14440" s="48"/>
      <c r="L14440" s="89"/>
    </row>
    <row r="14441" spans="8:12" x14ac:dyDescent="0.3">
      <c r="H14441" s="49"/>
      <c r="K14441" s="48"/>
      <c r="L14441" s="89"/>
    </row>
    <row r="14442" spans="8:12" x14ac:dyDescent="0.3">
      <c r="H14442" s="49"/>
      <c r="K14442" s="48"/>
      <c r="L14442" s="89"/>
    </row>
    <row r="14443" spans="8:12" x14ac:dyDescent="0.3">
      <c r="H14443" s="49"/>
      <c r="K14443" s="48"/>
      <c r="L14443" s="89"/>
    </row>
    <row r="14444" spans="8:12" x14ac:dyDescent="0.3">
      <c r="H14444" s="49"/>
      <c r="K14444" s="48"/>
      <c r="L14444" s="89"/>
    </row>
    <row r="14445" spans="8:12" x14ac:dyDescent="0.3">
      <c r="H14445" s="49"/>
      <c r="K14445" s="48"/>
      <c r="L14445" s="89"/>
    </row>
    <row r="14446" spans="8:12" x14ac:dyDescent="0.3">
      <c r="H14446" s="49"/>
      <c r="K14446" s="48"/>
      <c r="L14446" s="89"/>
    </row>
    <row r="14447" spans="8:12" x14ac:dyDescent="0.3">
      <c r="H14447" s="49"/>
      <c r="K14447" s="48"/>
      <c r="L14447" s="89"/>
    </row>
    <row r="14448" spans="8:12" x14ac:dyDescent="0.3">
      <c r="H14448" s="49"/>
      <c r="K14448" s="48"/>
      <c r="L14448" s="89"/>
    </row>
    <row r="14449" spans="8:12" x14ac:dyDescent="0.3">
      <c r="H14449" s="49"/>
      <c r="K14449" s="48"/>
      <c r="L14449" s="89"/>
    </row>
    <row r="14450" spans="8:12" x14ac:dyDescent="0.3">
      <c r="H14450" s="49"/>
      <c r="K14450" s="48"/>
      <c r="L14450" s="89"/>
    </row>
    <row r="14451" spans="8:12" x14ac:dyDescent="0.3">
      <c r="H14451" s="49"/>
      <c r="K14451" s="48"/>
      <c r="L14451" s="89"/>
    </row>
    <row r="14452" spans="8:12" x14ac:dyDescent="0.3">
      <c r="H14452" s="49"/>
      <c r="K14452" s="48"/>
      <c r="L14452" s="89"/>
    </row>
    <row r="14453" spans="8:12" x14ac:dyDescent="0.3">
      <c r="H14453" s="49"/>
      <c r="K14453" s="48"/>
      <c r="L14453" s="89"/>
    </row>
    <row r="14454" spans="8:12" x14ac:dyDescent="0.3">
      <c r="H14454" s="49"/>
      <c r="K14454" s="48"/>
      <c r="L14454" s="89"/>
    </row>
    <row r="14455" spans="8:12" x14ac:dyDescent="0.3">
      <c r="H14455" s="49"/>
      <c r="K14455" s="48"/>
      <c r="L14455" s="89"/>
    </row>
    <row r="14456" spans="8:12" x14ac:dyDescent="0.3">
      <c r="H14456" s="49"/>
      <c r="K14456" s="48"/>
      <c r="L14456" s="89"/>
    </row>
    <row r="14457" spans="8:12" x14ac:dyDescent="0.3">
      <c r="H14457" s="49"/>
      <c r="K14457" s="48"/>
      <c r="L14457" s="89"/>
    </row>
    <row r="14458" spans="8:12" x14ac:dyDescent="0.3">
      <c r="H14458" s="49"/>
      <c r="K14458" s="48"/>
      <c r="L14458" s="89"/>
    </row>
    <row r="14459" spans="8:12" x14ac:dyDescent="0.3">
      <c r="H14459" s="49"/>
      <c r="K14459" s="48"/>
      <c r="L14459" s="89"/>
    </row>
    <row r="14460" spans="8:12" x14ac:dyDescent="0.3">
      <c r="H14460" s="49"/>
      <c r="K14460" s="48"/>
      <c r="L14460" s="89"/>
    </row>
    <row r="14461" spans="8:12" x14ac:dyDescent="0.3">
      <c r="H14461" s="49"/>
      <c r="K14461" s="48"/>
      <c r="L14461" s="89"/>
    </row>
    <row r="14462" spans="8:12" x14ac:dyDescent="0.3">
      <c r="H14462" s="49"/>
      <c r="K14462" s="48"/>
      <c r="L14462" s="89"/>
    </row>
    <row r="14463" spans="8:12" x14ac:dyDescent="0.3">
      <c r="H14463" s="49"/>
      <c r="K14463" s="48"/>
      <c r="L14463" s="89"/>
    </row>
    <row r="14464" spans="8:12" x14ac:dyDescent="0.3">
      <c r="H14464" s="49"/>
      <c r="K14464" s="48"/>
      <c r="L14464" s="89"/>
    </row>
    <row r="14465" spans="8:12" x14ac:dyDescent="0.3">
      <c r="H14465" s="49"/>
      <c r="K14465" s="48"/>
      <c r="L14465" s="89"/>
    </row>
    <row r="14466" spans="8:12" x14ac:dyDescent="0.3">
      <c r="H14466" s="49"/>
      <c r="K14466" s="48"/>
      <c r="L14466" s="89"/>
    </row>
    <row r="14467" spans="8:12" x14ac:dyDescent="0.3">
      <c r="H14467" s="49"/>
      <c r="K14467" s="48"/>
      <c r="L14467" s="89"/>
    </row>
    <row r="14468" spans="8:12" x14ac:dyDescent="0.3">
      <c r="H14468" s="49"/>
      <c r="K14468" s="48"/>
      <c r="L14468" s="89"/>
    </row>
    <row r="14469" spans="8:12" x14ac:dyDescent="0.3">
      <c r="H14469" s="49"/>
      <c r="K14469" s="48"/>
      <c r="L14469" s="89"/>
    </row>
    <row r="14470" spans="8:12" x14ac:dyDescent="0.3">
      <c r="H14470" s="49"/>
      <c r="K14470" s="48"/>
      <c r="L14470" s="89"/>
    </row>
    <row r="14471" spans="8:12" x14ac:dyDescent="0.3">
      <c r="H14471" s="49"/>
      <c r="K14471" s="48"/>
      <c r="L14471" s="89"/>
    </row>
  </sheetData>
  <autoFilter ref="A2:W2668" xr:uid="{00000000-0001-0000-0000-000000000000}">
    <filterColumn colId="4">
      <filters>
        <filter val="Artex EASIFILL 20 5KG"/>
        <filter val="Artex EASIFILLER LIGHT 2.5KG"/>
        <filter val="Artex EASIFILLER POWDER 1kg"/>
        <filter val="Artex EASIFILLER READYMIXED 1KG"/>
        <filter val="EASIFILL 60 10KG"/>
      </filters>
    </filterColumn>
  </autoFilter>
  <dataConsolidate/>
  <phoneticPr fontId="17" type="noConversion"/>
  <conditionalFormatting sqref="A1:A126 A128:A236 A238:A254 A256:A276 A278:A289 A291:A1048576">
    <cfRule type="duplicateValues" dxfId="29" priority="8"/>
    <cfRule type="duplicateValues" dxfId="28" priority="32"/>
  </conditionalFormatting>
  <conditionalFormatting sqref="A3:A93 A459:A1011 A300:A311">
    <cfRule type="duplicateValues" dxfId="27" priority="22"/>
  </conditionalFormatting>
  <conditionalFormatting sqref="A94:A97">
    <cfRule type="duplicateValues" dxfId="26" priority="19"/>
  </conditionalFormatting>
  <conditionalFormatting sqref="A98:A112">
    <cfRule type="duplicateValues" dxfId="25" priority="20"/>
  </conditionalFormatting>
  <conditionalFormatting sqref="A312:A458">
    <cfRule type="duplicateValues" dxfId="24" priority="21"/>
  </conditionalFormatting>
  <conditionalFormatting sqref="A10970:A12624">
    <cfRule type="duplicateValues" dxfId="23" priority="27"/>
    <cfRule type="duplicateValues" dxfId="22" priority="28"/>
  </conditionalFormatting>
  <conditionalFormatting sqref="A1:B112 A2492:B2499 A2500:A2598 A2599:B2616 A2618:B8405 E1073:E8405">
    <cfRule type="expression" dxfId="21" priority="14">
      <formula>LEN(A1)&gt;20</formula>
    </cfRule>
  </conditionalFormatting>
  <conditionalFormatting sqref="A300:B1072">
    <cfRule type="expression" dxfId="20" priority="10">
      <formula>LEN(A300)&gt;20</formula>
    </cfRule>
  </conditionalFormatting>
  <conditionalFormatting sqref="A2479:B2489 B2490:B2491">
    <cfRule type="expression" dxfId="19" priority="31">
      <formula>LEN(A2479)&gt;20</formula>
    </cfRule>
  </conditionalFormatting>
  <conditionalFormatting sqref="A2617:B2617">
    <cfRule type="expression" dxfId="18" priority="2">
      <formula>LEN(A2617)&gt;20</formula>
    </cfRule>
  </conditionalFormatting>
  <conditionalFormatting sqref="A12625:B1048576">
    <cfRule type="expression" dxfId="17" priority="30">
      <formula>LEN(A12625)&gt;20</formula>
    </cfRule>
  </conditionalFormatting>
  <conditionalFormatting sqref="B2">
    <cfRule type="duplicateValues" dxfId="16" priority="33"/>
  </conditionalFormatting>
  <conditionalFormatting sqref="B3:B93 B459:B1011 B300:B311">
    <cfRule type="duplicateValues" dxfId="15" priority="18"/>
  </conditionalFormatting>
  <conditionalFormatting sqref="B94:B97">
    <cfRule type="duplicateValues" dxfId="14" priority="15"/>
  </conditionalFormatting>
  <conditionalFormatting sqref="B98:B112">
    <cfRule type="duplicateValues" dxfId="13" priority="16"/>
  </conditionalFormatting>
  <conditionalFormatting sqref="B312:B458">
    <cfRule type="duplicateValues" dxfId="12" priority="17"/>
  </conditionalFormatting>
  <conditionalFormatting sqref="B1012:B1046 B1048:B1053 B1070:B1072 B2479:B2499 E2500:E2598 B2599:B8405">
    <cfRule type="duplicateValues" dxfId="11" priority="34"/>
  </conditionalFormatting>
  <conditionalFormatting sqref="B1047">
    <cfRule type="duplicateValues" dxfId="10" priority="13"/>
  </conditionalFormatting>
  <conditionalFormatting sqref="B1054:B1066">
    <cfRule type="duplicateValues" dxfId="9" priority="12"/>
  </conditionalFormatting>
  <conditionalFormatting sqref="B1067">
    <cfRule type="duplicateValues" dxfId="8" priority="11"/>
  </conditionalFormatting>
  <conditionalFormatting sqref="B1074:B2478">
    <cfRule type="duplicateValues" dxfId="7" priority="7"/>
  </conditionalFormatting>
  <conditionalFormatting sqref="B10970:B12624">
    <cfRule type="duplicateValues" dxfId="6" priority="25"/>
    <cfRule type="duplicateValues" dxfId="5" priority="26"/>
  </conditionalFormatting>
  <conditionalFormatting sqref="E2:E86 E88:E128 E131:E337 E340 E342:E345 E348:E547 E549:E551 E553:E980 E982:E1069">
    <cfRule type="expression" dxfId="4" priority="23">
      <formula>LEN(E2)&gt;20</formula>
    </cfRule>
  </conditionalFormatting>
  <conditionalFormatting sqref="E340 E342:E345 E1073 E3:E86 E549:E551 E88:E128 E131:E337 E348:E547 E553:E980 E982:E1069">
    <cfRule type="duplicateValues" dxfId="3" priority="24"/>
  </conditionalFormatting>
  <conditionalFormatting sqref="F1:F1048576 E1070:E1072">
    <cfRule type="expression" dxfId="2" priority="9">
      <formula>LEN(E1)&gt;50</formula>
    </cfRule>
  </conditionalFormatting>
  <conditionalFormatting sqref="G2490:G2500">
    <cfRule type="expression" dxfId="1" priority="6">
      <formula>LEN(G2490)&gt;50</formula>
    </cfRule>
  </conditionalFormatting>
  <conditionalFormatting sqref="G2666">
    <cfRule type="expression" dxfId="0" priority="1">
      <formula>LEN(G2666)&gt;50</formula>
    </cfRule>
  </conditionalFormatting>
  <pageMargins left="0.7" right="0.7" top="0.75" bottom="0.75" header="0.3" footer="0.3"/>
  <pageSetup paperSize="9"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Uploads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Richardson, Chris (BIR)</dc:creator>
  <cp:lastModifiedBy>Jack Bellamy</cp:lastModifiedBy>
  <dcterms:created xsi:type="dcterms:W3CDTF">2023-10-04T07:41:28Z</dcterms:created>
  <dcterms:modified xsi:type="dcterms:W3CDTF">2025-10-07T08:49:59Z</dcterms:modified>
</cp:coreProperties>
</file>